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000" windowHeight="18000"/>
  </bookViews>
  <sheets>
    <sheet name="README" sheetId="9" r:id="rId1"/>
    <sheet name="Population" sheetId="1" r:id="rId2"/>
    <sheet name="Preference_Profiles" sheetId="2" r:id="rId3"/>
    <sheet name="Absolute_Scores" sheetId="3" r:id="rId4"/>
    <sheet name="Normalized_Scores" sheetId="4" r:id="rId5"/>
    <sheet name="Distribution_Summary" sheetId="5" r:id="rId6"/>
    <sheet name="Histogram_Data" sheetId="6" r:id="rId7"/>
    <sheet name="Preference_Comparison" sheetId="7" r:id="rId8"/>
    <sheet name="Validation" sheetId="8" r:id="rId9"/>
    <sheet name="Histogram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<sst xmlns="http://schemas.openxmlformats.org/spreadsheetml/2006/main" count="14864" uniqueCount="5389">
  <si>
    <t>AUTOMETRIC — BRAND MATCH DISTRIBUTION TEST</t>
  </si>
  <si>
    <t>6991 creators read from the KOL server · three preference profiles · populations of 1243, 5115, 687 · Absolute and Normalized scores, six histograms.</t>
  </si>
  <si>
    <t>1. WHAT THIS FILE IS FOR</t>
  </si>
  <si>
    <t>The question</t>
  </si>
  <si>
    <t>Not "who should this brand hire". It is: taking the Absolute Brand Match Score exactly as it stands, what shape does it take across a real population, and does dividing by the population maximum make it easier to read?</t>
  </si>
  <si>
    <t>What was NOT changed</t>
  </si>
  <si>
    <t>No weight, sub-weight, normalisation target, match-level band or relevance-matrix cell. The scores here are produced by scripts/brand-match/scoring.mjs, a JavaScript port of the workbook formulas that is gated by npm run brandmatch:port:verify — it recalculates the published 24x5 comparison workbook in Excel and asserts the port reproduces all 120 rows across 26 score columns exactly. 3.120 values, no tolerance.</t>
  </si>
  <si>
    <t>The one change that was made</t>
  </si>
  <si>
    <t>A bug, and the brief allows bug fixing. The emptiness guard on the keyword and topic haystacks tested LEN(TRIM(haystack))=0, but the haystack joins four fields with " | ", so a creator with none of them still produced " | | | " and the guard never fired — three creators with no bio and no captions were scoring 0 ("searched, found nothing") where the design says N/A ("nothing was searched"). The guard now strips the separators first. It affects 15 of the 120 rows in the comparison workbook and nothing else.</t>
  </si>
  <si>
    <t>2. HOW TO READ THE TWO SCORES</t>
  </si>
  <si>
    <t>Absolute Score</t>
  </si>
  <si>
    <t>Answers "what value did the scoring formula produce". It is comparable across preferences and across time, and it is the number to look at when asking whether the model itself is working.</t>
  </si>
  <si>
    <t>Normalized Score</t>
  </si>
  <si>
    <t>Answers "how high does this creator sit compared with the others in the SAME comparison population". Normalized = Absolute ÷ MAX(Absolute in that population) × 100. The three divisors here are Preference A 80, Preference B 80, Preference C 67.</t>
  </si>
  <si>
    <t>What 100 does NOT mean</t>
  </si>
  <si>
    <t>A Normalized Score of 100 means "highest relative match within the current comparison population". It does not mean a 100% fit. In Preference A the top creator scores an Absolute 80 and a Normalized 100 — the same creator, the same evidence, two different questions. Both sheets ship for exactly this reason.</t>
  </si>
  <si>
    <t>3. WHAT THE DATA SHOWS</t>
  </si>
  <si>
    <t>The distribution is compressed, and normalisation does not fix it</t>
  </si>
  <si>
    <t>Preference A (LumiSkin, N=1243) spans 25-80 but its middle half sits between 44 and 50 — 6 points of a 55-point range. Preference B (DailyBite, N=5115) spans 18-80 but its middle half sits between 41 and 50 — 9 points of a 62-point range. Preference C (NovaTech, N=687) spans 18-67 but its middle half sits between 36 and 48 — 12 points of a 49-point range. The absolute scores occupy a narrow band in the middle of the 0-100 scale, so almost every creator lands in Low Match against bands that assume a complete record.</t>
  </si>
  <si>
    <t>Normalisation is affine, so it cannot change shape</t>
  </si>
  <si>
    <t>Dividing every value by one constant is a linear rescale. It moves the maximum to 100 and stretches the axis, but skewness, the ordering, and the relative gaps are mathematically identical — which is why the Skewness column on Distribution_Summary reads the same for Absolute and Normalized in every one of the three preferences. Normalisation is a presentation layer. It makes a ranking easier to read; it cannot make a compressed score more discriminating.</t>
  </si>
  <si>
    <t>Why so many creators land on the same value</t>
  </si>
  <si>
    <t>Preference A: 33.7% of the population scores exactly 50 · Preference B: 45.0% of the population scores exactly 50 · Preference C: 10.0% of the population scores exactly 55. The reason is on the Population sheet: 55,8% of creators carry a category and almost nobody carries anything else, so for most of the population the model has only Category Match, verification and sometimes an engagement rate to work with. A discrete input produces a discrete score, and creators with no category at all take CAL_NEUTRAL = 50 on every category-driven sub-score at once.</t>
  </si>
  <si>
    <t>The ranking does change when the brand changes</t>
  </si>
  <si>
    <t>Across the 194 creators eligible under all three preferences, the median rank spread is 2409 places and the widest is 5082. 152 of them (78.4%) move by more than 10 percentiles between the best and worst preference for them. The score is behaving contextually: changing the brand reorders the population rather than only relabelling it.</t>
  </si>
  <si>
    <t>4. SHEETS</t>
  </si>
  <si>
    <t>Sheet</t>
  </si>
  <si>
    <t>What it holds</t>
  </si>
  <si>
    <t/>
  </si>
  <si>
    <t>Population</t>
  </si>
  <si>
    <t>What was read, and the signal-coverage table that explains every distribution here.</t>
  </si>
  <si>
    <t>Preference_Profiles</t>
  </si>
  <si>
    <t>The three brands and their eligibility rules, with the database column behind each.</t>
  </si>
  <si>
    <t>Absolute_Scores</t>
  </si>
  <si>
    <t>The unchanged model, one block per preference.</t>
  </si>
  <si>
    <t>Normalized_Scores</t>
  </si>
  <si>
    <t>Absolute ÷ population max × 100, as live formulas, with the absolute beside it.</t>
  </si>
  <si>
    <t>Distribution_Summary</t>
  </si>
  <si>
    <t>N, Min, Max, Mean, Median, Std Dev, P25, P75, SKEW() and a tail reading per series.</t>
  </si>
  <si>
    <t>Histogram_Data</t>
  </si>
  <si>
    <t>Twenty five-point bins per series, as COUNTIFS. The six charts read from here.</t>
  </si>
  <si>
    <t>Histograms</t>
  </si>
  <si>
    <t>The six charts: Absolute and Normalized for each preference.</t>
  </si>
  <si>
    <t>Preference_Comparison</t>
  </si>
  <si>
    <t>Creators eligible under all three, with both scores and all three ranks.</t>
  </si>
  <si>
    <t>Validation</t>
  </si>
  <si>
    <t>The fifteen checks.</t>
  </si>
  <si>
    <t>5. REGENERATING</t>
  </si>
  <si>
    <t>Commands</t>
  </si>
  <si>
    <t>npm run brandmatch:population  (office VPN)  ·  npm run brandmatch:port:verify  (the gate)  ·  npm run brandmatch:distribution</t>
  </si>
  <si>
    <t>POPULATION  ·  what was read off the KOL server, and how much of it can be scored</t>
  </si>
  <si>
    <t>6991 active creators from public.kol_directory, measured 2026-09-10 06:25 UTC from 10.100.14.216/kol. No creator here was invented and no metric was filled in. The coverage table below is the single most important context for every distribution on the other sheets.</t>
  </si>
  <si>
    <t>A. SIGNAL COVERAGE  ·  how many of the population carry each input the model reads</t>
  </si>
  <si>
    <t>Input</t>
  </si>
  <si>
    <t>Creators carrying it</t>
  </si>
  <si>
    <t>Share of population</t>
  </si>
  <si>
    <t>Which component it feeds</t>
  </si>
  <si>
    <t>Consequence when absent</t>
  </si>
  <si>
    <t>Followers</t>
  </si>
  <si>
    <t>Tier, and every eligibility rule</t>
  </si>
  <si>
    <t>—</t>
  </si>
  <si>
    <t>Canonical category (kol_categories.taxonomy_key)</t>
  </si>
  <si>
    <t>Brand &amp; Business Relevance (60% of it)</t>
  </si>
  <si>
    <t>Category Match falls back to CAL_NEUTRAL = 50</t>
  </si>
  <si>
    <t xml:space="preserve">  of those, live from kol_categories</t>
  </si>
  <si>
    <t>as above</t>
  </si>
  <si>
    <t>Engagement rate</t>
  </si>
  <si>
    <t>Performance Quality (35% of it)</t>
  </si>
  <si>
    <t>ER Score N/A; Performance renormalises or drops out</t>
  </si>
  <si>
    <t>View-to-follower ratio</t>
  </si>
  <si>
    <t>Performance Quality (10% of it)</t>
  </si>
  <si>
    <t>Average Views Score N/A</t>
  </si>
  <si>
    <t>Audience analysis (quality / authenticity)</t>
  </si>
  <si>
    <t>Performance and Brand Safety</t>
  </si>
  <si>
    <t>Safety falls back to verification alone</t>
  </si>
  <si>
    <t>Audience interests</t>
  </si>
  <si>
    <t>Target Audience Relevance (30% of it)</t>
  </si>
  <si>
    <t>Interest Score N/A; whole component often N/A</t>
  </si>
  <si>
    <t>Harvested captions</t>
  </si>
  <si>
    <t>Content Relevance and Keyword Match</t>
  </si>
  <si>
    <t>Topic Match N/A; category cannot be classified</t>
  </si>
  <si>
    <t>Bio text</t>
  </si>
  <si>
    <t>Keyword Match</t>
  </si>
  <si>
    <t>Keyword Match N/A unless a category name is present</t>
  </si>
  <si>
    <t>Platform-verified</t>
  </si>
  <si>
    <t>Brand Safety (15% of it)</t>
  </si>
  <si>
    <t>scores CAL_VERIFIED_NO = 50, not 0</t>
  </si>
  <si>
    <t>B. THE THREE COMPARISON POPULATIONS  ·  each preference filters the same reading</t>
  </si>
  <si>
    <t>Preference</t>
  </si>
  <si>
    <t>Brand</t>
  </si>
  <si>
    <t>Brand category</t>
  </si>
  <si>
    <t>Population size (N)</t>
  </si>
  <si>
    <t>Eligibility</t>
  </si>
  <si>
    <t>Preference A</t>
  </si>
  <si>
    <t>LumiSkin</t>
  </si>
  <si>
    <t>Beauty</t>
  </si>
  <si>
    <t>Platform: Instagram only  ·  Minimum followers: 10.000 (Micro and above)  ·  Category requirement: must carry at least one kol_categories row  ·  Brand category: Beauty  ·  Gender target: Female</t>
  </si>
  <si>
    <t>Preference B</t>
  </si>
  <si>
    <t>DailyBite</t>
  </si>
  <si>
    <t>Food</t>
  </si>
  <si>
    <t>Platform: Instagram and TikTok  ·  Minimum followers: 10.000 (Micro and above)  ·  Category requirement: none  ·  Brand category: Food  ·  Gender target: Balanced</t>
  </si>
  <si>
    <t>Preference C</t>
  </si>
  <si>
    <t>NovaTech</t>
  </si>
  <si>
    <t>Tech</t>
  </si>
  <si>
    <t>Platform: Instagram and TikTok  ·  Minimum followers: 100.000 (Macro and above)  ·  Minimum engagement rate: must be measured (kol_directory.engagement_rate not null)  ·  Brand category: Tech  ·  Gender target: Balanced</t>
  </si>
  <si>
    <t>PREFERENCE PROFILES  ·  the three brand profiles under test</t>
  </si>
  <si>
    <t>Each is an existing brand from the comparison workbook — same canonical category, same keywords, same interest keys — paired with an eligibility rule that decides its comparison population. Every filter used is one the Discovery catalogue marks DONE; none gates on a column that is 0% filled.</t>
  </si>
  <si>
    <t>Preference A  ·  LumiSkin  ·  category Beauty  ·  N = 1243</t>
  </si>
  <si>
    <t>Why this profile</t>
  </si>
  <si>
    <t>A beauty brand buying on Instagram. Beauty is the second-largest category on the server (1.206 creators), so this preference has a deep pool of on-category creators and a female-audience target that most of the roster can be measured against.</t>
  </si>
  <si>
    <t>Criterion</t>
  </si>
  <si>
    <t>Value</t>
  </si>
  <si>
    <t>Source in the database</t>
  </si>
  <si>
    <t>Kind</t>
  </si>
  <si>
    <t>Platform</t>
  </si>
  <si>
    <t>Instagram only</t>
  </si>
  <si>
    <t>kol_directory.platform_id → platforms.key</t>
  </si>
  <si>
    <t>HARD FILTER</t>
  </si>
  <si>
    <t>Minimum followers</t>
  </si>
  <si>
    <t>10.000 (Micro and above)</t>
  </si>
  <si>
    <t>kol_directory.followers_count</t>
  </si>
  <si>
    <t>Category requirement</t>
  </si>
  <si>
    <t>must carry at least one kol_categories row</t>
  </si>
  <si>
    <t>kol_directory.category_ids → kol_categories</t>
  </si>
  <si>
    <t>public.kol_categories.taxonomy_key</t>
  </si>
  <si>
    <t>SOFT MATCH — scored, never gated</t>
  </si>
  <si>
    <t>Gender target</t>
  </si>
  <si>
    <t>Female</t>
  </si>
  <si>
    <t>audience_demographics_daily / feature.*_audience_analysis.female_pct</t>
  </si>
  <si>
    <t>SOFT MATCH</t>
  </si>
  <si>
    <t>Brand keywords</t>
  </si>
  <si>
    <t>skincare, perawatan kulit, kecantikan, glowing, serum, sunscreen</t>
  </si>
  <si>
    <t>public.brand.brand_keywords</t>
  </si>
  <si>
    <t>beauty, fashion, entertainment</t>
  </si>
  <si>
    <t>l2_gold.audience_interest_daily.interest_key</t>
  </si>
  <si>
    <t>Preference B  ·  DailyBite  ·  category Food  ·  N = 5115</t>
  </si>
  <si>
    <t>A mass-market F&amp;B brand with the broadest possible reach: both platforms, no category requirement. This is the largest of the three populations and the one most exposed to creators the database knows almost nothing about, which is exactly what makes it worth measuring.</t>
  </si>
  <si>
    <t>Instagram and TikTok</t>
  </si>
  <si>
    <t>none</t>
  </si>
  <si>
    <t>Balanced</t>
  </si>
  <si>
    <t>makanan, minuman, kuliner, resto, cafe, jajan</t>
  </si>
  <si>
    <t>food, entertainment, parenting, travel</t>
  </si>
  <si>
    <t>Preference C  ·  NovaTech  ·  category Tech  ·  N = 687</t>
  </si>
  <si>
    <t>A B2B software brand buying large accounts with measured engagement. Tech is the SMALLEST canonical category on the server — 4 creators carry it — so this preference tests what the model does when almost nobody in the population is on-category, and the engagement-rate gate makes it the only one of the three where every creator has a Performance Score.</t>
  </si>
  <si>
    <t>100.000 (Macro and above)</t>
  </si>
  <si>
    <t>Minimum engagement rate</t>
  </si>
  <si>
    <t>must be measured (kol_directory.engagement_rate not null)</t>
  </si>
  <si>
    <t>kol_directory.engagement_rate</t>
  </si>
  <si>
    <t>teknologi, software, aplikasi, produktivitas, bisnis, digital</t>
  </si>
  <si>
    <t>technology, business, education, gaming</t>
  </si>
  <si>
    <t>ABSOLUTE SCORES  ·  the model exactly as it stands, one block per preference</t>
  </si>
  <si>
    <t>Every value is the Final Match Score produced by the unchanged model. Blocks are side by side rather than stacked so each preference keeps its own contiguous range — which is what lets Distribution_Summary and Histogram_Data be live formulas over a population instead of pasted numbers.</t>
  </si>
  <si>
    <t>Preference A · LumiSkin (Beauty) · N=1243</t>
  </si>
  <si>
    <t>Preference B · DailyBite (Food) · N=5115</t>
  </si>
  <si>
    <t>Preference C · NovaTech (Tech) · N=687</t>
  </si>
  <si>
    <t>KOL</t>
  </si>
  <si>
    <t>@almamestika</t>
  </si>
  <si>
    <t>Instagram</t>
  </si>
  <si>
    <t>@nanakoot</t>
  </si>
  <si>
    <t>TikTok</t>
  </si>
  <si>
    <t>@alyaaputri</t>
  </si>
  <si>
    <t>@desylasterina</t>
  </si>
  <si>
    <t>@inul.d</t>
  </si>
  <si>
    <t>@hipatrickreal</t>
  </si>
  <si>
    <t>@regina_nugroho</t>
  </si>
  <si>
    <t>@cheekykiddo</t>
  </si>
  <si>
    <t>@nfahdan</t>
  </si>
  <si>
    <t>@__ditamal</t>
  </si>
  <si>
    <t>@dairyqueen</t>
  </si>
  <si>
    <t>@suryainsomnia</t>
  </si>
  <si>
    <t>@angelaaudreyyy</t>
  </si>
  <si>
    <t>@dimsthemeatguy</t>
  </si>
  <si>
    <t>@indahnadapuspita</t>
  </si>
  <si>
    <t>@carlenedoraa</t>
  </si>
  <si>
    <t>@mursid241</t>
  </si>
  <si>
    <t>@anggikabolsterli</t>
  </si>
  <si>
    <t>@cindercella</t>
  </si>
  <si>
    <t>@ainiraaul</t>
  </si>
  <si>
    <t>@bobbykertanegara</t>
  </si>
  <si>
    <t>@lindakayhz</t>
  </si>
  <si>
    <t>@kayleemiracle</t>
  </si>
  <si>
    <t>@raniaayamin</t>
  </si>
  <si>
    <t>@laura_theux</t>
  </si>
  <si>
    <t>@theliztagram</t>
  </si>
  <si>
    <t>@kokikutv</t>
  </si>
  <si>
    <t>@ia_nita_lohiya</t>
  </si>
  <si>
    <t>@vaniafebrianne</t>
  </si>
  <si>
    <t>@karmalogy</t>
  </si>
  <si>
    <t>@yorikooangln_</t>
  </si>
  <si>
    <t>@aira_mishel_aurellia</t>
  </si>
  <si>
    <t>@__ehan</t>
  </si>
  <si>
    <t>@yudhistirawr</t>
  </si>
  <si>
    <t>@dimasramadhan</t>
  </si>
  <si>
    <t>@abellyc</t>
  </si>
  <si>
    <t>@therealasilamaisa</t>
  </si>
  <si>
    <t>@lilisbadriyahh</t>
  </si>
  <si>
    <t>@adenalfurqon</t>
  </si>
  <si>
    <t>@jerhemynemo</t>
  </si>
  <si>
    <t>@yusufhendratnoo</t>
  </si>
  <si>
    <t>@aialbar</t>
  </si>
  <si>
    <t>@ataliabunga</t>
  </si>
  <si>
    <t>@alexandraasherly</t>
  </si>
  <si>
    <t>@makanber2</t>
  </si>
  <si>
    <t>@alyssadaguise</t>
  </si>
  <si>
    <t>@baksorusukjoss</t>
  </si>
  <si>
    <t>@andikahonda18</t>
  </si>
  <si>
    <t>@nisaput_hudia</t>
  </si>
  <si>
    <t>@dellyclarissa</t>
  </si>
  <si>
    <t>@andrew.white._</t>
  </si>
  <si>
    <t>@vfeliciwa</t>
  </si>
  <si>
    <t>@destira_inka</t>
  </si>
  <si>
    <t>@aninditahidayat</t>
  </si>
  <si>
    <t>@babyylisa_</t>
  </si>
  <si>
    <t>@pojoksatu.id</t>
  </si>
  <si>
    <t>@basiaputri</t>
  </si>
  <si>
    <t>@cakecaine</t>
  </si>
  <si>
    <t>@bobonsantoso</t>
  </si>
  <si>
    <t>@bumantarateam</t>
  </si>
  <si>
    <t>@faniaelizaa</t>
  </si>
  <si>
    <t>@mursyidzon</t>
  </si>
  <si>
    <t>@chachathaib</t>
  </si>
  <si>
    <t>@tasyakamila</t>
  </si>
  <si>
    <t>@a.ci.pa</t>
  </si>
  <si>
    <t>@clahayes</t>
  </si>
  <si>
    <t>@agnes_jennifer</t>
  </si>
  <si>
    <t>@deasaufika</t>
  </si>
  <si>
    <t>@adrianarmanasco</t>
  </si>
  <si>
    <t>@ahquote</t>
  </si>
  <si>
    <t>@degensiotter</t>
  </si>
  <si>
    <t>@aldogiustino21</t>
  </si>
  <si>
    <t>@dillaljaidi</t>
  </si>
  <si>
    <t>@avy_vhie</t>
  </si>
  <si>
    <t>@alfyfatmasaga</t>
  </si>
  <si>
    <t>@dwiatikanova</t>
  </si>
  <si>
    <t>@faniaputriutami</t>
  </si>
  <si>
    <t>@andreaslukita_</t>
  </si>
  <si>
    <t>@elvira.tjan</t>
  </si>
  <si>
    <t>@kangferrymaryadi</t>
  </si>
  <si>
    <t>@anisabasyir</t>
  </si>
  <si>
    <t>@farhanfirms</t>
  </si>
  <si>
    <t>@annabellesjy</t>
  </si>
  <si>
    <t>@fifi.sasta</t>
  </si>
  <si>
    <t>@nopeknovian</t>
  </si>
  <si>
    <t>@arafahrianti02</t>
  </si>
  <si>
    <t>@folkative</t>
  </si>
  <si>
    <t>@panjisuryono7</t>
  </si>
  <si>
    <t>@gamcul</t>
  </si>
  <si>
    <t>@papiabeabeabe</t>
  </si>
  <si>
    <t>@ayi_stari</t>
  </si>
  <si>
    <t>@halokrw</t>
  </si>
  <si>
    <t>@winnylieyantii</t>
  </si>
  <si>
    <t>@aymanalts</t>
  </si>
  <si>
    <t>@hifdzikhoir</t>
  </si>
  <si>
    <t>@alecyavebyy</t>
  </si>
  <si>
    <t>@ayuwisya666</t>
  </si>
  <si>
    <t>@ibrhmrsyd</t>
  </si>
  <si>
    <t>@anggiriana</t>
  </si>
  <si>
    <t>@aziarizzza</t>
  </si>
  <si>
    <t>@infojkt24</t>
  </si>
  <si>
    <t>@arianirosidi</t>
  </si>
  <si>
    <t>@bailafauri</t>
  </si>
  <si>
    <t>@istri.koko</t>
  </si>
  <si>
    <t>@ayulstrni</t>
  </si>
  <si>
    <t>@bekasi.terkini</t>
  </si>
  <si>
    <t>@julianjacs</t>
  </si>
  <si>
    <t>@bebyydils</t>
  </si>
  <si>
    <t>@celinenobleza</t>
  </si>
  <si>
    <t>@keisavourie</t>
  </si>
  <si>
    <t>@christianistella</t>
  </si>
  <si>
    <t>@cimitcu</t>
  </si>
  <si>
    <t>@larissachou</t>
  </si>
  <si>
    <t>@emilianald</t>
  </si>
  <si>
    <t>@clarestatok</t>
  </si>
  <si>
    <t>@laurasiburiann</t>
  </si>
  <si>
    <t>@febbyfadilaa</t>
  </si>
  <si>
    <t>@dillaprb</t>
  </si>
  <si>
    <t>@luluelhasbu</t>
  </si>
  <si>
    <t>@fidyahaliza_</t>
  </si>
  <si>
    <t>@drrichardlee</t>
  </si>
  <si>
    <t>@lunamaya</t>
  </si>
  <si>
    <t>@kanazhra</t>
  </si>
  <si>
    <t>@ejpeace.ent</t>
  </si>
  <si>
    <t>@marcoivanos12</t>
  </si>
  <si>
    <t>@eunicetjoaa</t>
  </si>
  <si>
    <t>@mass.arkan</t>
  </si>
  <si>
    <t>@najlahsy</t>
  </si>
  <si>
    <t>@faizsadad</t>
  </si>
  <si>
    <t>@meliana_d3w</t>
  </si>
  <si>
    <t>@nandafmarcelina</t>
  </si>
  <si>
    <t>@merdioctav</t>
  </si>
  <si>
    <t>@properbeauty.id</t>
  </si>
  <si>
    <t>@farhanbashel</t>
  </si>
  <si>
    <t>@michelleloraaa</t>
  </si>
  <si>
    <t>@sarah_novika</t>
  </si>
  <si>
    <t>@felicia.tjiasaka</t>
  </si>
  <si>
    <t>@mputrasetia</t>
  </si>
  <si>
    <t>@slvdew</t>
  </si>
  <si>
    <t>@gabriellaekaputrii</t>
  </si>
  <si>
    <t>@muhammadrfl</t>
  </si>
  <si>
    <t>@_nelfaanndt</t>
  </si>
  <si>
    <t>@geyghea</t>
  </si>
  <si>
    <t>@mymnca</t>
  </si>
  <si>
    <t>@alianuyudha</t>
  </si>
  <si>
    <t>@haloakuclay</t>
  </si>
  <si>
    <t>@nabilagardena</t>
  </si>
  <si>
    <t>@alitakata</t>
  </si>
  <si>
    <t>@hendydion</t>
  </si>
  <si>
    <t>@namiramonda</t>
  </si>
  <si>
    <t>@angelwbw</t>
  </si>
  <si>
    <t>@imeyhou</t>
  </si>
  <si>
    <t>@nikma.rahmaa</t>
  </si>
  <si>
    <t>@anisaipmawati</t>
  </si>
  <si>
    <t>@infodepok24</t>
  </si>
  <si>
    <t>@nisafathoni</t>
  </si>
  <si>
    <t>@anna_liusitan</t>
  </si>
  <si>
    <t>@itsyourchel</t>
  </si>
  <si>
    <t>@nonawilly16</t>
  </si>
  <si>
    <t>@ansurr1</t>
  </si>
  <si>
    <t>@janes_cs</t>
  </si>
  <si>
    <t>@queenzangell</t>
  </si>
  <si>
    <t>@arie.auliaa</t>
  </si>
  <si>
    <t>@jennifer.coppen</t>
  </si>
  <si>
    <t>@raffinagita1717</t>
  </si>
  <si>
    <t>@arinlubis</t>
  </si>
  <si>
    <t>@jenniferbachdim</t>
  </si>
  <si>
    <t>@refalhady</t>
  </si>
  <si>
    <t>@beautyandacne</t>
  </si>
  <si>
    <t>@rinaldi_ni</t>
  </si>
  <si>
    <t>@byviolina</t>
  </si>
  <si>
    <t>@kezializina</t>
  </si>
  <si>
    <t>@riyukabunga</t>
  </si>
  <si>
    <t>@camilarasy</t>
  </si>
  <si>
    <t>@leyladerina</t>
  </si>
  <si>
    <t>@rucenuenda</t>
  </si>
  <si>
    <t>@chofyx</t>
  </si>
  <si>
    <t>@lystianovilda</t>
  </si>
  <si>
    <t>@rx_mnd</t>
  </si>
  <si>
    <t>@ddini.rahmaaa</t>
  </si>
  <si>
    <t>@maharajasp8</t>
  </si>
  <si>
    <t>@ryangoutama</t>
  </si>
  <si>
    <t>@dewimeisyamld</t>
  </si>
  <si>
    <t>@maspaijooo</t>
  </si>
  <si>
    <t>@sabrinasosiawan</t>
  </si>
  <si>
    <t>@dewmalaa</t>
  </si>
  <si>
    <t>@mmivia</t>
  </si>
  <si>
    <t>@sakilagustina</t>
  </si>
  <si>
    <t>@dheaudrey</t>
  </si>
  <si>
    <t>@mumukdaneno</t>
  </si>
  <si>
    <t>@sashfir</t>
  </si>
  <si>
    <t>@diah.rosmawati7</t>
  </si>
  <si>
    <t>@shielyv</t>
  </si>
  <si>
    <t>@diniarvita17</t>
  </si>
  <si>
    <t>@pandawaragroup</t>
  </si>
  <si>
    <t>@skupingg</t>
  </si>
  <si>
    <t>@divaalatas</t>
  </si>
  <si>
    <t>@panggilakubambang</t>
  </si>
  <si>
    <t>@solehsolihun</t>
  </si>
  <si>
    <t>@dwii.s97</t>
  </si>
  <si>
    <t>@stephanie.hertanto</t>
  </si>
  <si>
    <t>@ellypurple</t>
  </si>
  <si>
    <t>@sunnydahye</t>
  </si>
  <si>
    <t>@erieharun</t>
  </si>
  <si>
    <t>@queerkunoichi</t>
  </si>
  <si>
    <t>@syafira_hdd</t>
  </si>
  <si>
    <t>@farisaaisss</t>
  </si>
  <si>
    <t>@raymondchins</t>
  </si>
  <si>
    <t>@talitamaghfira</t>
  </si>
  <si>
    <t>@feliciaongkarina</t>
  </si>
  <si>
    <t>@risyadandson</t>
  </si>
  <si>
    <t>@valeriedewiofficial</t>
  </si>
  <si>
    <t>@firdianovita</t>
  </si>
  <si>
    <t>@sahilmulachela</t>
  </si>
  <si>
    <t>@vinthadevina</t>
  </si>
  <si>
    <t>@fradila_anggita</t>
  </si>
  <si>
    <t>@shella_fernanda29</t>
  </si>
  <si>
    <t>@xiaoyuebiie</t>
  </si>
  <si>
    <t>@gabriellaekaputri</t>
  </si>
  <si>
    <t>@skupakping</t>
  </si>
  <si>
    <t>@yassinbintang</t>
  </si>
  <si>
    <t>@gadissyfha</t>
  </si>
  <si>
    <t>@soimah_pancawati</t>
  </si>
  <si>
    <t>@aqsaaswar</t>
  </si>
  <si>
    <t>@hanjizah</t>
  </si>
  <si>
    <t>@sport77official</t>
  </si>
  <si>
    <t>@cindifanisa</t>
  </si>
  <si>
    <t>@hanna.mardiyah</t>
  </si>
  <si>
    <t>@sunnydahye_</t>
  </si>
  <si>
    <t>@dilanjaniyar</t>
  </si>
  <si>
    <t>@hentiyashinta</t>
  </si>
  <si>
    <t>@syahnazsadiqah</t>
  </si>
  <si>
    <t>@elikaboen</t>
  </si>
  <si>
    <t>@hestiadityas</t>
  </si>
  <si>
    <t>@tiarach18</t>
  </si>
  <si>
    <t>@miraagile</t>
  </si>
  <si>
    <t>@iffydentity</t>
  </si>
  <si>
    <t>@twitter</t>
  </si>
  <si>
    <t>@nazlaalifa</t>
  </si>
  <si>
    <t>@ira_sugianty</t>
  </si>
  <si>
    <t>@willyanggawinata</t>
  </si>
  <si>
    <t>@ryujiutomo</t>
  </si>
  <si>
    <t>@iva_asih</t>
  </si>
  <si>
    <t>@shela_lala96</t>
  </si>
  <si>
    <t>@jennielevina</t>
  </si>
  <si>
    <t>@wulanestriyani</t>
  </si>
  <si>
    <t>@jeonkii28</t>
  </si>
  <si>
    <t>@yourrkayesss</t>
  </si>
  <si>
    <t>@jessicaliviaa</t>
  </si>
  <si>
    <t>@agnes_widiautama</t>
  </si>
  <si>
    <t>@ameliazega</t>
  </si>
  <si>
    <t>@jessicawongso_</t>
  </si>
  <si>
    <t>@kiararindani</t>
  </si>
  <si>
    <t>@kim.official____</t>
  </si>
  <si>
    <t>@nyamwithinopp</t>
  </si>
  <si>
    <t>@kiyokochii_</t>
  </si>
  <si>
    <t>@larosesl</t>
  </si>
  <si>
    <t>@leyareen</t>
  </si>
  <si>
    <t>@akugakgendutloh</t>
  </si>
  <si>
    <t>@listiadwisetyanti</t>
  </si>
  <si>
    <t>@aleadella</t>
  </si>
  <si>
    <t>@lstxndn_</t>
  </si>
  <si>
    <t>@anaayu16</t>
  </si>
  <si>
    <t>@vansa.be</t>
  </si>
  <si>
    <t>@maudypermata</t>
  </si>
  <si>
    <t>@auliapsptadewii</t>
  </si>
  <si>
    <t>@adindafala</t>
  </si>
  <si>
    <t>@meishellybarbieee</t>
  </si>
  <si>
    <t>@ayu_widyanitha</t>
  </si>
  <si>
    <t>@melfianaputri</t>
  </si>
  <si>
    <t>@ayub_1993</t>
  </si>
  <si>
    <t>@cindylevinaa</t>
  </si>
  <si>
    <t>@merifyu</t>
  </si>
  <si>
    <t>@baksojwr</t>
  </si>
  <si>
    <t>@gelangelicca</t>
  </si>
  <si>
    <t>@michikochan_88</t>
  </si>
  <si>
    <t>@baksojwrofficial</t>
  </si>
  <si>
    <t>@liana_tan</t>
  </si>
  <si>
    <t>@nadya.sari</t>
  </si>
  <si>
    <t>@bali.spot</t>
  </si>
  <si>
    <t>@mr.filipuss</t>
  </si>
  <si>
    <t>@nadysha.alana</t>
  </si>
  <si>
    <t>@bbbbmo</t>
  </si>
  <si>
    <t>@viankacalista</t>
  </si>
  <si>
    <t>@neko_oneesan</t>
  </si>
  <si>
    <t>@bellyculinaryid</t>
  </si>
  <si>
    <t>@onestyanes</t>
  </si>
  <si>
    <t>@besokkemanaril</t>
  </si>
  <si>
    <t>@almirantifira</t>
  </si>
  <si>
    <t>@paci20_</t>
  </si>
  <si>
    <t>@bilameal</t>
  </si>
  <si>
    <t>@bangsaonline</t>
  </si>
  <si>
    <t>@penipitriani</t>
  </si>
  <si>
    <t>@christatita</t>
  </si>
  <si>
    <t>@cristiano</t>
  </si>
  <si>
    <t>@pitipitss</t>
  </si>
  <si>
    <t>@creativejr</t>
  </si>
  <si>
    <t>@debisagita</t>
  </si>
  <si>
    <t>@princessrhie</t>
  </si>
  <si>
    <t>@dairyqueenid</t>
  </si>
  <si>
    <t>@prodica_saricaa</t>
  </si>
  <si>
    <t>@deliciousbalii</t>
  </si>
  <si>
    <t>@fadiljaidi</t>
  </si>
  <si>
    <t>@putripratiwi.f</t>
  </si>
  <si>
    <t>@dhifa.mci11</t>
  </si>
  <si>
    <t>@riii_nz</t>
  </si>
  <si>
    <t>@diaryalfiiiii</t>
  </si>
  <si>
    <t>@salshaam</t>
  </si>
  <si>
    <t>@diexplorein</t>
  </si>
  <si>
    <t>@ibnuwardani</t>
  </si>
  <si>
    <t>@shafanrq</t>
  </si>
  <si>
    <t>@dimin105</t>
  </si>
  <si>
    <t>@lambe_turah</t>
  </si>
  <si>
    <t>@shandyzahrass</t>
  </si>
  <si>
    <t>@ditanganu</t>
  </si>
  <si>
    <t>@titantyra</t>
  </si>
  <si>
    <t>@shannahssn</t>
  </si>
  <si>
    <t>@eldenxnisyaa</t>
  </si>
  <si>
    <t>@ussfeeds</t>
  </si>
  <si>
    <t>@silvinw</t>
  </si>
  <si>
    <t>@evelynpricilia</t>
  </si>
  <si>
    <t>@sofieaorcasitas</t>
  </si>
  <si>
    <t>@fakhriroon</t>
  </si>
  <si>
    <t>@arifahsari</t>
  </si>
  <si>
    <t>@stftmh__</t>
  </si>
  <si>
    <t>@beritainspira_</t>
  </si>
  <si>
    <t>@tamariscl</t>
  </si>
  <si>
    <t>@cretivox</t>
  </si>
  <si>
    <t>@taniadrwis</t>
  </si>
  <si>
    <t>@halonisyaa</t>
  </si>
  <si>
    <t>@iben_ma</t>
  </si>
  <si>
    <t>@taraanzh</t>
  </si>
  <si>
    <t>@hesfinatia</t>
  </si>
  <si>
    <t>@jeremiahlakhwani</t>
  </si>
  <si>
    <t>@valenciatacco</t>
  </si>
  <si>
    <t>@iqbalzain2002</t>
  </si>
  <si>
    <t>@noiscasonya</t>
  </si>
  <si>
    <t>@vitrinadhiroh</t>
  </si>
  <si>
    <t>@itsorcaputris</t>
  </si>
  <si>
    <t>@realityclub</t>
  </si>
  <si>
    <t>@vivimayapariskaa</t>
  </si>
  <si>
    <t>@jalanbarengdarla</t>
  </si>
  <si>
    <t>@vanessaegas</t>
  </si>
  <si>
    <t>@wenny_2929</t>
  </si>
  <si>
    <t>@jesselynmci8</t>
  </si>
  <si>
    <t>@zhie_pu3</t>
  </si>
  <si>
    <t>@wilna9297</t>
  </si>
  <si>
    <t>@jessicarachelia</t>
  </si>
  <si>
    <t>@_kfatmawatii</t>
  </si>
  <si>
    <t>@winanesbitt</t>
  </si>
  <si>
    <t>@almirakys</t>
  </si>
  <si>
    <t>@zadnyaa</t>
  </si>
  <si>
    <t>@jktfoodmap</t>
  </si>
  <si>
    <t>@amelridhawati</t>
  </si>
  <si>
    <t>@fahirair</t>
  </si>
  <si>
    <t>@jordhialdyan_</t>
  </si>
  <si>
    <t>@anggisdevakii</t>
  </si>
  <si>
    <t>@hildaa.maulida</t>
  </si>
  <si>
    <t>@kezia_stephanie</t>
  </si>
  <si>
    <t>@awrelalifiaa</t>
  </si>
  <si>
    <t>@krisstouv</t>
  </si>
  <si>
    <t>@bernadettegainara</t>
  </si>
  <si>
    <t>@kuliner_bekasi_hits</t>
  </si>
  <si>
    <t>@chicco.jerikho</t>
  </si>
  <si>
    <t>@kuliner1.menit</t>
  </si>
  <si>
    <t>@kulinerbali</t>
  </si>
  <si>
    <t>@desnov1812</t>
  </si>
  <si>
    <t>@kulinernyaber2</t>
  </si>
  <si>
    <t>@desta80s</t>
  </si>
  <si>
    <t>@loli_adelardo</t>
  </si>
  <si>
    <t>@dikingo69</t>
  </si>
  <si>
    <t>@anggraenivaniap</t>
  </si>
  <si>
    <t>@megastyn</t>
  </si>
  <si>
    <t>@faithcns_</t>
  </si>
  <si>
    <t>@muaramine</t>
  </si>
  <si>
    <t>@hildachriss</t>
  </si>
  <si>
    <t>@ngunyahpedia</t>
  </si>
  <si>
    <t>@nithaaa28</t>
  </si>
  <si>
    <t>@njajantoksby</t>
  </si>
  <si>
    <t>@putriemje</t>
  </si>
  <si>
    <t>@maverick.jonathan</t>
  </si>
  <si>
    <t>@nongkrongintrovert</t>
  </si>
  <si>
    <t>@sptrakori_</t>
  </si>
  <si>
    <t>@rtfelish</t>
  </si>
  <si>
    <t>@nyamwithinop</t>
  </si>
  <si>
    <t>@saura.thania</t>
  </si>
  <si>
    <t>@olivia.tommy</t>
  </si>
  <si>
    <t>@weni_sf</t>
  </si>
  <si>
    <t>@olivialeryana</t>
  </si>
  <si>
    <t>@andreastaulany</t>
  </si>
  <si>
    <t>@ana_alviandro</t>
  </si>
  <si>
    <t>@oppa_kuliner</t>
  </si>
  <si>
    <t>@andreayudias</t>
  </si>
  <si>
    <t>@opsioktm</t>
  </si>
  <si>
    <t>@bellatjahyadii</t>
  </si>
  <si>
    <t>@otwrosel</t>
  </si>
  <si>
    <t>@arkhanfikri</t>
  </si>
  <si>
    <t>@pikurii</t>
  </si>
  <si>
    <t>@nexcarlos</t>
  </si>
  <si>
    <t>@pipihouston</t>
  </si>
  <si>
    <t>@bjawato</t>
  </si>
  <si>
    <t>@alenzivio</t>
  </si>
  <si>
    <t>@ratnarevata</t>
  </si>
  <si>
    <t>@reviewmajo</t>
  </si>
  <si>
    <t>@reyhan.hilman</t>
  </si>
  <si>
    <t>@donnaharunofficial</t>
  </si>
  <si>
    <t>@divvaaura</t>
  </si>
  <si>
    <t>@rhynaass</t>
  </si>
  <si>
    <t>@gelaelized</t>
  </si>
  <si>
    <t>@geamaria</t>
  </si>
  <si>
    <t>@richardstvn</t>
  </si>
  <si>
    <t>@hy.hani</t>
  </si>
  <si>
    <t>@rndysz</t>
  </si>
  <si>
    <t>@jakartaselatan24jam</t>
  </si>
  <si>
    <t>@karindennisha</t>
  </si>
  <si>
    <t>@salshabilazzahraa</t>
  </si>
  <si>
    <t>@kentri_ag</t>
  </si>
  <si>
    <t>@kylakameron</t>
  </si>
  <si>
    <t>@sheilakmal</t>
  </si>
  <si>
    <t>@limintangdilino</t>
  </si>
  <si>
    <t>@sherenaffff</t>
  </si>
  <si>
    <t>@meearaaaa</t>
  </si>
  <si>
    <t>@sijajanjalan</t>
  </si>
  <si>
    <t>@oktasoekarno</t>
  </si>
  <si>
    <t>@meisyasallwa</t>
  </si>
  <si>
    <t>@sisiltaneal</t>
  </si>
  <si>
    <t>@olivia.liem</t>
  </si>
  <si>
    <t>@syarifsindy</t>
  </si>
  <si>
    <t>@pevpearce</t>
  </si>
  <si>
    <t>@okkyalparessi</t>
  </si>
  <si>
    <t>@tanameracoffeeindonesia</t>
  </si>
  <si>
    <t>@riofhm_</t>
  </si>
  <si>
    <t>@thebalispot</t>
  </si>
  <si>
    <t>@rin_hermana</t>
  </si>
  <si>
    <t>@sabreenadressler</t>
  </si>
  <si>
    <t>@traveat_id</t>
  </si>
  <si>
    <t>@sysyaaaaaaa_</t>
  </si>
  <si>
    <t>@viacipi_</t>
  </si>
  <si>
    <t>@azahhra</t>
  </si>
  <si>
    <t>@zaachiraf</t>
  </si>
  <si>
    <t>@bbrightvc</t>
  </si>
  <si>
    <t>@dibawahpohon_</t>
  </si>
  <si>
    <t>@fitriaqatrunnada</t>
  </si>
  <si>
    <t>@bukanwulanwu</t>
  </si>
  <si>
    <t>@ilasalsabilla</t>
  </si>
  <si>
    <t>@jackable__</t>
  </si>
  <si>
    <t>@yunie.saputra</t>
  </si>
  <si>
    <t>@learellaa</t>
  </si>
  <si>
    <t>@rrghufrona</t>
  </si>
  <si>
    <t>@akhairunnisa</t>
  </si>
  <si>
    <t>@mhmmdlatifsaputra_</t>
  </si>
  <si>
    <t>@amerossaaaaa</t>
  </si>
  <si>
    <t>@nova_nayla</t>
  </si>
  <si>
    <t>@amy_raharjo</t>
  </si>
  <si>
    <t>@ocihasanah</t>
  </si>
  <si>
    <t>@queenviolia</t>
  </si>
  <si>
    <t>@rennireree</t>
  </si>
  <si>
    <t>@anggunhrmsr</t>
  </si>
  <si>
    <t>@safirakaunang</t>
  </si>
  <si>
    <t>@asriutari8</t>
  </si>
  <si>
    <t>@serafinalvs</t>
  </si>
  <si>
    <t>@ayu.kartikaa</t>
  </si>
  <si>
    <t>@tehikaa</t>
  </si>
  <si>
    <t>@virginiaobed</t>
  </si>
  <si>
    <t>@bepe20</t>
  </si>
  <si>
    <t>@vlrieval</t>
  </si>
  <si>
    <t>@kokojackson7</t>
  </si>
  <si>
    <t>@cidhiya</t>
  </si>
  <si>
    <t>@arinprastya</t>
  </si>
  <si>
    <t>@deborahani</t>
  </si>
  <si>
    <t>@brigittairene22</t>
  </si>
  <si>
    <t>@doktermedok</t>
  </si>
  <si>
    <t>@cindymeisiany</t>
  </si>
  <si>
    <t>@enyablanco</t>
  </si>
  <si>
    <t>@daenkrukka</t>
  </si>
  <si>
    <t>@eunike_tn</t>
  </si>
  <si>
    <t>@delaakr_</t>
  </si>
  <si>
    <t>@farasyafara</t>
  </si>
  <si>
    <t>@dwisuci_ardi</t>
  </si>
  <si>
    <t>@firna.alisha</t>
  </si>
  <si>
    <t>@dwiuuzzukk19</t>
  </si>
  <si>
    <t>@hendyvijaya</t>
  </si>
  <si>
    <t>@evi_mamadzaky</t>
  </si>
  <si>
    <t>@fideliachristina_</t>
  </si>
  <si>
    <t>@heyciaa</t>
  </si>
  <si>
    <t>@haiucel</t>
  </si>
  <si>
    <t>@ibas404</t>
  </si>
  <si>
    <t>@jocelynleora_</t>
  </si>
  <si>
    <t>@andyyanata</t>
  </si>
  <si>
    <t>@indrowarkop_asli</t>
  </si>
  <si>
    <t>@jujudaisme</t>
  </si>
  <si>
    <t>@irwansyah_15</t>
  </si>
  <si>
    <t>@levianaivel</t>
  </si>
  <si>
    <t>@jonathan_abe</t>
  </si>
  <si>
    <t>@miaanf</t>
  </si>
  <si>
    <t>@kaekariany</t>
  </si>
  <si>
    <t>@mineralbotanica</t>
  </si>
  <si>
    <t>@aqilladiary</t>
  </si>
  <si>
    <t>@mahirakanis</t>
  </si>
  <si>
    <t>@mommylony</t>
  </si>
  <si>
    <t>@marianesia</t>
  </si>
  <si>
    <t>@nadhieraa</t>
  </si>
  <si>
    <t>@asabelliaa</t>
  </si>
  <si>
    <t>@metaiskandar</t>
  </si>
  <si>
    <t>@oliviareginas18</t>
  </si>
  <si>
    <t>@mutiarasanova</t>
  </si>
  <si>
    <t>@queenpink2818</t>
  </si>
  <si>
    <t>@mutiatreza</t>
  </si>
  <si>
    <t>@revialdooo</t>
  </si>
  <si>
    <t>@nabibil.a</t>
  </si>
  <si>
    <t>@riaprnmasr</t>
  </si>
  <si>
    <t>@neexchy</t>
  </si>
  <si>
    <t>@skinonscreen</t>
  </si>
  <si>
    <t>@cchasagala</t>
  </si>
  <si>
    <t>@sopiyamn</t>
  </si>
  <si>
    <t>@ns.hafidz</t>
  </si>
  <si>
    <t>@syakirdaulay</t>
  </si>
  <si>
    <t>@oceanaskygumilar</t>
  </si>
  <si>
    <t>@_jessicaayu</t>
  </si>
  <si>
    <t>@putrikurniads_</t>
  </si>
  <si>
    <t>@_risaeka</t>
  </si>
  <si>
    <t>@reinhard.h.s</t>
  </si>
  <si>
    <t>@14sella</t>
  </si>
  <si>
    <t>@resti.ika</t>
  </si>
  <si>
    <t>@abang_azum</t>
  </si>
  <si>
    <t>@ririeprams</t>
  </si>
  <si>
    <t>@abidinirosemary</t>
  </si>
  <si>
    <t>@sabrinachairunnisa_</t>
  </si>
  <si>
    <t>@adeauliyar</t>
  </si>
  <si>
    <t>@adjengpdc</t>
  </si>
  <si>
    <t>@tiaramw_</t>
  </si>
  <si>
    <t>@adriankhalif</t>
  </si>
  <si>
    <t>@ulyaslsss__</t>
  </si>
  <si>
    <t>@affioktaf</t>
  </si>
  <si>
    <t>@gabriellaglady</t>
  </si>
  <si>
    <t>@vallent.auliya</t>
  </si>
  <si>
    <t>@viaazulviani</t>
  </si>
  <si>
    <t>@ainunsway</t>
  </si>
  <si>
    <t>@wargatangsel</t>
  </si>
  <si>
    <t>@ajengsekartiwi</t>
  </si>
  <si>
    <t>@akubetsaa</t>
  </si>
  <si>
    <t>@al.wahab_</t>
  </si>
  <si>
    <t>@arya_artamansa</t>
  </si>
  <si>
    <t>@aliciaaurora_</t>
  </si>
  <si>
    <t>@atriesangel</t>
  </si>
  <si>
    <t>@alisanabilah96</t>
  </si>
  <si>
    <t>@ichaswavira</t>
  </si>
  <si>
    <t>@allegra19_</t>
  </si>
  <si>
    <t>@iim_fahima</t>
  </si>
  <si>
    <t>@fbyramadhana</t>
  </si>
  <si>
    <t>@almaquintha</t>
  </si>
  <si>
    <t>@febiesmeralda</t>
  </si>
  <si>
    <t>@alviansyahnr</t>
  </si>
  <si>
    <t>@helminursifah</t>
  </si>
  <si>
    <t>@amahmaulana12</t>
  </si>
  <si>
    <t>@amalia_dety</t>
  </si>
  <si>
    <t>@kanayamia_lowery</t>
  </si>
  <si>
    <t>@ameliawww08</t>
  </si>
  <si>
    <t>@lalitahutami</t>
  </si>
  <si>
    <t>@angellyaguillera</t>
  </si>
  <si>
    <t>@laurentiasheila</t>
  </si>
  <si>
    <t>@angga.phn</t>
  </si>
  <si>
    <t>@melisasoetjipto</t>
  </si>
  <si>
    <t>@anggar_ina</t>
  </si>
  <si>
    <t>@niputuchandra</t>
  </si>
  <si>
    <t>@anggie_yoelyiantie</t>
  </si>
  <si>
    <t>@olevelove</t>
  </si>
  <si>
    <t>@anisa_albasir</t>
  </si>
  <si>
    <t>@svmmerloco</t>
  </si>
  <si>
    <t>@anisa.maulidaa</t>
  </si>
  <si>
    <t>@tenggowicaksono</t>
  </si>
  <si>
    <t>@anisaaulia28</t>
  </si>
  <si>
    <t>@marlisathen</t>
  </si>
  <si>
    <t>@violetaekanjani</t>
  </si>
  <si>
    <t>@anitakrlinaa</t>
  </si>
  <si>
    <t>@bagassianipar_</t>
  </si>
  <si>
    <t>@anjanne87</t>
  </si>
  <si>
    <t>@bintanbukanbintang</t>
  </si>
  <si>
    <t>@annebakara</t>
  </si>
  <si>
    <t>@melatigunawan</t>
  </si>
  <si>
    <t>@damarindraa_</t>
  </si>
  <si>
    <t>@annesbelia</t>
  </si>
  <si>
    <t>@gulajawaofficial</t>
  </si>
  <si>
    <t>@annisaicha354</t>
  </si>
  <si>
    <t>@imeyliem?hl=en</t>
  </si>
  <si>
    <t>@apriliabellaa</t>
  </si>
  <si>
    <t>@laurasiburian</t>
  </si>
  <si>
    <t>@arifianthi</t>
  </si>
  <si>
    <t>@lenny.juwita</t>
  </si>
  <si>
    <t>@arlylaksita</t>
  </si>
  <si>
    <t>@lugnutz_aj</t>
  </si>
  <si>
    <t>@arsakhakenzie</t>
  </si>
  <si>
    <t>@marcelldarwin</t>
  </si>
  <si>
    <t>@artiwibeastly</t>
  </si>
  <si>
    <t>@mitadwiputri</t>
  </si>
  <si>
    <t>@astuti.deny</t>
  </si>
  <si>
    <t>@nanamirdad_</t>
  </si>
  <si>
    <t>@atin_nuratikah</t>
  </si>
  <si>
    <t>@nora_wuu</t>
  </si>
  <si>
    <t>@atk_caa</t>
  </si>
  <si>
    <t>@atsaqafi</t>
  </si>
  <si>
    <t>@aukk____</t>
  </si>
  <si>
    <t>@penaattt</t>
  </si>
  <si>
    <t>@auliaamj</t>
  </si>
  <si>
    <t>@aya_mdf</t>
  </si>
  <si>
    <t>@qanitafachirah</t>
  </si>
  <si>
    <t>@ayu.ulfa.dewi</t>
  </si>
  <si>
    <t>@ayuktami_official</t>
  </si>
  <si>
    <t>@shaniaaaf</t>
  </si>
  <si>
    <t>@ayundashendy_</t>
  </si>
  <si>
    <t>@ayyu7588</t>
  </si>
  <si>
    <t>@timotiusmul</t>
  </si>
  <si>
    <t>@azkaalfi</t>
  </si>
  <si>
    <t>@azkasachiorafif</t>
  </si>
  <si>
    <t>@yolenta.joanna</t>
  </si>
  <si>
    <t>@azzahra_3015</t>
  </si>
  <si>
    <t>@saalhaerid</t>
  </si>
  <si>
    <t>@zahra_puspita</t>
  </si>
  <si>
    <t>@badiah_basyaib</t>
  </si>
  <si>
    <t>@adindavld</t>
  </si>
  <si>
    <t>@bayuilhambintang19</t>
  </si>
  <si>
    <t>@alwinsast</t>
  </si>
  <si>
    <t>@bee.febyy</t>
  </si>
  <si>
    <t>@anyageraldine</t>
  </si>
  <si>
    <t>@brillydiary</t>
  </si>
  <si>
    <t>@bulanfortuna</t>
  </si>
  <si>
    <t>@aymanalatas</t>
  </si>
  <si>
    <t>@bunahrhiaaa14</t>
  </si>
  <si>
    <t>@cacahya17</t>
  </si>
  <si>
    <t>@cindyjessiica</t>
  </si>
  <si>
    <t>@cahyaningtyas.nagara</t>
  </si>
  <si>
    <t>@cantikaamanda16</t>
  </si>
  <si>
    <t>@davidwijaya23</t>
  </si>
  <si>
    <t>@ceceh15</t>
  </si>
  <si>
    <t>@devinakonatra</t>
  </si>
  <si>
    <t>@chandrameimei</t>
  </si>
  <si>
    <t>@devinaureel</t>
  </si>
  <si>
    <t>@chantikkhaniadha</t>
  </si>
  <si>
    <t>@dramaid06_</t>
  </si>
  <si>
    <t>@checeh.eka</t>
  </si>
  <si>
    <t>@chicaharyati</t>
  </si>
  <si>
    <t>@ghandy_spw</t>
  </si>
  <si>
    <t>@ci_lan89</t>
  </si>
  <si>
    <t>@good.diel</t>
  </si>
  <si>
    <t>@cindykhooo</t>
  </si>
  <si>
    <t>@yunika.fedianti</t>
  </si>
  <si>
    <t>@heyitsvianka</t>
  </si>
  <si>
    <t>@ciptaningtyasdw_</t>
  </si>
  <si>
    <t>@indah_impiyanii</t>
  </si>
  <si>
    <t>@claaaara.______</t>
  </si>
  <si>
    <t>@inezzsabrina</t>
  </si>
  <si>
    <t>@clararimaaa</t>
  </si>
  <si>
    <t>@angggiiie</t>
  </si>
  <si>
    <t>@infobogor</t>
  </si>
  <si>
    <t>@connysantosoo</t>
  </si>
  <si>
    <t>@ankatama</t>
  </si>
  <si>
    <t>@its_ziandsty</t>
  </si>
  <si>
    <t>@cpls_21</t>
  </si>
  <si>
    <t>@jalur5</t>
  </si>
  <si>
    <t>@d.heyyo</t>
  </si>
  <si>
    <t>@baldtwins</t>
  </si>
  <si>
    <t>@kekekania</t>
  </si>
  <si>
    <t>@damarpanuluh_k</t>
  </si>
  <si>
    <t>@bambangmosaja_</t>
  </si>
  <si>
    <t>@keprionline.co.id</t>
  </si>
  <si>
    <t>@dapur_hany</t>
  </si>
  <si>
    <t>@leomessi</t>
  </si>
  <si>
    <t>@dar.q</t>
  </si>
  <si>
    <t>@davinakaramoy</t>
  </si>
  <si>
    <t>@megautami3147</t>
  </si>
  <si>
    <t>@defgarnis</t>
  </si>
  <si>
    <t>@dennysumargoreal</t>
  </si>
  <si>
    <t>@dela_yo</t>
  </si>
  <si>
    <t>@desinta_rw</t>
  </si>
  <si>
    <t>@nisacookie</t>
  </si>
  <si>
    <t>@desipertiwii</t>
  </si>
  <si>
    <t>@dr.mariojohan</t>
  </si>
  <si>
    <t>@putriandanii</t>
  </si>
  <si>
    <t>@desliyaninatalia</t>
  </si>
  <si>
    <t>@efritaasmr</t>
  </si>
  <si>
    <t>@rapunzelbila1</t>
  </si>
  <si>
    <t>@dessyandrianipratiwi</t>
  </si>
  <si>
    <t>@rerreputri</t>
  </si>
  <si>
    <t>@desy_oktaviasari</t>
  </si>
  <si>
    <t>@kei.savourie</t>
  </si>
  <si>
    <t>@devikustinaw</t>
  </si>
  <si>
    <t>@megandomanii</t>
  </si>
  <si>
    <t>@devirafika22</t>
  </si>
  <si>
    <t>@milaalawiyah</t>
  </si>
  <si>
    <t>@devirininta</t>
  </si>
  <si>
    <t>@sararobert</t>
  </si>
  <si>
    <t>@dewicahyaprawita</t>
  </si>
  <si>
    <t>@nabilasyabanaa</t>
  </si>
  <si>
    <t>@shannondorothea1</t>
  </si>
  <si>
    <t>@dewiikrisma22</t>
  </si>
  <si>
    <t>@dewiseptya09</t>
  </si>
  <si>
    <t>@dheauwinaa</t>
  </si>
  <si>
    <t>@tynadwijayanti</t>
  </si>
  <si>
    <t>@dhilgha</t>
  </si>
  <si>
    <t>@verenaindha</t>
  </si>
  <si>
    <t>@dhinafd</t>
  </si>
  <si>
    <t>@tiranissya</t>
  </si>
  <si>
    <t>@dhita.deasy</t>
  </si>
  <si>
    <t>@annesaritaa</t>
  </si>
  <si>
    <t>@diahhardii</t>
  </si>
  <si>
    <t>@ardilasv17</t>
  </si>
  <si>
    <t>@dianasrrhmwt</t>
  </si>
  <si>
    <t>@arif_alfiansyah</t>
  </si>
  <si>
    <t>@dianwijaya8936</t>
  </si>
  <si>
    <t>@balikpapanku</t>
  </si>
  <si>
    <t>@dianyosihw</t>
  </si>
  <si>
    <t>@ns_rdt</t>
  </si>
  <si>
    <t>@cunplawer</t>
  </si>
  <si>
    <t>@dieta_nirmala</t>
  </si>
  <si>
    <t>@dapurbekal</t>
  </si>
  <si>
    <t>@diiannaseptianii_</t>
  </si>
  <si>
    <t>@diasftri21</t>
  </si>
  <si>
    <t>@dinfiaa</t>
  </si>
  <si>
    <t>@diniindahc</t>
  </si>
  <si>
    <t>@dzhea_zee</t>
  </si>
  <si>
    <t>@dinnirz</t>
  </si>
  <si>
    <t>@emmachatarina</t>
  </si>
  <si>
    <t>@ditapamelia</t>
  </si>
  <si>
    <t>@emrahma</t>
  </si>
  <si>
    <t>@dittaanyanie</t>
  </si>
  <si>
    <t>@erinagustinaa</t>
  </si>
  <si>
    <t>@dokyeong04</t>
  </si>
  <si>
    <t>@govinzulhelmi</t>
  </si>
  <si>
    <t>@info_pondokgede</t>
  </si>
  <si>
    <t>@drh.rahmahf08</t>
  </si>
  <si>
    <t>@laperstory</t>
  </si>
  <si>
    <t>@iniimona</t>
  </si>
  <si>
    <t>@dutakejora</t>
  </si>
  <si>
    <t>@dwipriatiningsih</t>
  </si>
  <si>
    <t>@itsagnesdwiw</t>
  </si>
  <si>
    <t>@dwiyantiprasetyo</t>
  </si>
  <si>
    <t>@madelarasati</t>
  </si>
  <si>
    <t>@joannadv</t>
  </si>
  <si>
    <t>@echiiiiii</t>
  </si>
  <si>
    <t>@nabilaaprikarnin</t>
  </si>
  <si>
    <t>@eeppiioo</t>
  </si>
  <si>
    <t>@nancyagita</t>
  </si>
  <si>
    <t>@ega.panda</t>
  </si>
  <si>
    <t>@nathaniec</t>
  </si>
  <si>
    <t>@eireenjuslimm</t>
  </si>
  <si>
    <t>@oktosiagian</t>
  </si>
  <si>
    <t>@elfinayunisari</t>
  </si>
  <si>
    <t>@ranireaction</t>
  </si>
  <si>
    <t>@elissuciati.else</t>
  </si>
  <si>
    <t>@sophia_latjuba88</t>
  </si>
  <si>
    <t>@elmaro.eml</t>
  </si>
  <si>
    <t>@aiiyouvidh</t>
  </si>
  <si>
    <t>@stkhadijah99_</t>
  </si>
  <si>
    <t>@elvia_rara</t>
  </si>
  <si>
    <t>@strawberrymint17</t>
  </si>
  <si>
    <t>@ty_nanda91</t>
  </si>
  <si>
    <t>@enikeveronika</t>
  </si>
  <si>
    <t>@baksorusuksamanhudi</t>
  </si>
  <si>
    <t>@widya_luvy</t>
  </si>
  <si>
    <t>@erac_01</t>
  </si>
  <si>
    <t>@xfy0z_</t>
  </si>
  <si>
    <t>@erialukmanasr</t>
  </si>
  <si>
    <t>@aamandazahra</t>
  </si>
  <si>
    <t>@erlanggabayuuu</t>
  </si>
  <si>
    <t>@adell.exe</t>
  </si>
  <si>
    <t>@erlitakhoirilisa</t>
  </si>
  <si>
    <t>@angelineafandi</t>
  </si>
  <si>
    <t>@ernamu31</t>
  </si>
  <si>
    <t>@anisasetiawan_</t>
  </si>
  <si>
    <t>@erni_tristiani</t>
  </si>
  <si>
    <t>@arbanirezas</t>
  </si>
  <si>
    <t>@eskaaw_</t>
  </si>
  <si>
    <t>@asakecil</t>
  </si>
  <si>
    <t>@evarozalinaa</t>
  </si>
  <si>
    <t>@astaririri</t>
  </si>
  <si>
    <t>@evisarah</t>
  </si>
  <si>
    <t>@charisaafaith</t>
  </si>
  <si>
    <t>@explore.fajar</t>
  </si>
  <si>
    <t>@heybybs</t>
  </si>
  <si>
    <t>@dahliachr</t>
  </si>
  <si>
    <t>@fajarrusalem</t>
  </si>
  <si>
    <t>@deviliviaa</t>
  </si>
  <si>
    <t>@faqih_hanna</t>
  </si>
  <si>
    <t>@mayanksarrii</t>
  </si>
  <si>
    <t>@dziyanabilaaa</t>
  </si>
  <si>
    <t>@farsiscaa</t>
  </si>
  <si>
    <t>@melysaha_</t>
  </si>
  <si>
    <t>@evevlynn09</t>
  </si>
  <si>
    <t>@febbych_</t>
  </si>
  <si>
    <t>@fannyghassani</t>
  </si>
  <si>
    <t>@febrianagnes</t>
  </si>
  <si>
    <t>@faqih.dh</t>
  </si>
  <si>
    <t>@febryyantibayni_oria</t>
  </si>
  <si>
    <t>@farislovitasari</t>
  </si>
  <si>
    <t>@febylasmia_ma</t>
  </si>
  <si>
    <t>@fenyrosdiana</t>
  </si>
  <si>
    <t>@inungw12</t>
  </si>
  <si>
    <t>@fernando_wijaya_</t>
  </si>
  <si>
    <t>@sharoncb_</t>
  </si>
  <si>
    <t>@iwanbanaranblog</t>
  </si>
  <si>
    <t>@fiavidri05</t>
  </si>
  <si>
    <t>@jakartabarat24jam</t>
  </si>
  <si>
    <t>@fiezhanis</t>
  </si>
  <si>
    <t>@juniarayutl</t>
  </si>
  <si>
    <t>@fina_nst21</t>
  </si>
  <si>
    <t>@tanameracoffee</t>
  </si>
  <si>
    <t>@karinadila8921</t>
  </si>
  <si>
    <t>@fiocelesta</t>
  </si>
  <si>
    <t>@kikysaputrii</t>
  </si>
  <si>
    <t>@fitraama</t>
  </si>
  <si>
    <t>@tristatristar</t>
  </si>
  <si>
    <t>@kiyoe.shima</t>
  </si>
  <si>
    <t>@fitriah_93</t>
  </si>
  <si>
    <t>@kristianita_dian</t>
  </si>
  <si>
    <t>@fritaargaf</t>
  </si>
  <si>
    <t>@zeezaharaputri</t>
  </si>
  <si>
    <t>@leoafandi_</t>
  </si>
  <si>
    <t>@ftriy</t>
  </si>
  <si>
    <t>@____xsan</t>
  </si>
  <si>
    <t>@margenie_mg</t>
  </si>
  <si>
    <t>@fujiiraaaa</t>
  </si>
  <si>
    <t>@g.millenia</t>
  </si>
  <si>
    <t>@__your.bby</t>
  </si>
  <si>
    <t>@momdhifa.mia</t>
  </si>
  <si>
    <t>@gianfyi</t>
  </si>
  <si>
    <t>@_avdaa</t>
  </si>
  <si>
    <t>@motomobitv</t>
  </si>
  <si>
    <t>@gisyacha</t>
  </si>
  <si>
    <t>@_bangbrewok</t>
  </si>
  <si>
    <t>@mudaberumahtangga</t>
  </si>
  <si>
    <t>@gongzhuofficial</t>
  </si>
  <si>
    <t>@_ciya_0</t>
  </si>
  <si>
    <t>@h_fitria30</t>
  </si>
  <si>
    <t>@_cynthiacfp</t>
  </si>
  <si>
    <t>@naylarazisky</t>
  </si>
  <si>
    <t>@haiiyullya</t>
  </si>
  <si>
    <t>@_davinaputri10</t>
  </si>
  <si>
    <t>@piekisses2</t>
  </si>
  <si>
    <t>@hallowulandari</t>
  </si>
  <si>
    <t>@_deamonica</t>
  </si>
  <si>
    <t>@pipirasabakpao</t>
  </si>
  <si>
    <t>@hannaevilia</t>
  </si>
  <si>
    <t>@_ekawulandarii</t>
  </si>
  <si>
    <t>@pwgofficial</t>
  </si>
  <si>
    <t>@heiina_</t>
  </si>
  <si>
    <t>@racuncouple</t>
  </si>
  <si>
    <t>@helenind</t>
  </si>
  <si>
    <t>@_little.ail</t>
  </si>
  <si>
    <t>@rayanurfitrird</t>
  </si>
  <si>
    <t>@heni_nino</t>
  </si>
  <si>
    <t>@_niilaams</t>
  </si>
  <si>
    <t>@heyy.itsamee</t>
  </si>
  <si>
    <t>@_nunooh</t>
  </si>
  <si>
    <t>@siveve</t>
  </si>
  <si>
    <t>@hmangela02</t>
  </si>
  <si>
    <t>@sriayun12</t>
  </si>
  <si>
    <t>@hufianafl</t>
  </si>
  <si>
    <t>@_rzkgii</t>
  </si>
  <si>
    <t>@utrichfarzah</t>
  </si>
  <si>
    <t>@ibuk.vanno</t>
  </si>
  <si>
    <t>@_shaz</t>
  </si>
  <si>
    <t>@vanessaechaa26</t>
  </si>
  <si>
    <t>@idaakwariah</t>
  </si>
  <si>
    <t>@_sherlymg</t>
  </si>
  <si>
    <t>@wellisnaa</t>
  </si>
  <si>
    <t>@idawsafitri</t>
  </si>
  <si>
    <t>@_suriayu</t>
  </si>
  <si>
    <t>@wulanwu</t>
  </si>
  <si>
    <t>@ifahalifah</t>
  </si>
  <si>
    <t>@_syifaalfii</t>
  </si>
  <si>
    <t>@zahrenaa</t>
  </si>
  <si>
    <t>@ifmaa_</t>
  </si>
  <si>
    <t>@_vaniawijaya</t>
  </si>
  <si>
    <t>@iid_msaidah</t>
  </si>
  <si>
    <t>@_wdyazh09</t>
  </si>
  <si>
    <t>@anifa.tamara</t>
  </si>
  <si>
    <t>@iindindriani</t>
  </si>
  <si>
    <t>@.ayambakar20</t>
  </si>
  <si>
    <t>@anthonysudarsono</t>
  </si>
  <si>
    <t>@ika.chan6</t>
  </si>
  <si>
    <t>@.karyn444</t>
  </si>
  <si>
    <t>@artiyanangeliza_</t>
  </si>
  <si>
    <t>@ikafnursani</t>
  </si>
  <si>
    <t>@.nidaawafa</t>
  </si>
  <si>
    <t>@ilmaizlhq_</t>
  </si>
  <si>
    <t>@carissa_puteri</t>
  </si>
  <si>
    <t>@imaa19</t>
  </si>
  <si>
    <t>@666jjjn__</t>
  </si>
  <si>
    <t>@cynthiaganesha</t>
  </si>
  <si>
    <t>@indaaindodd</t>
  </si>
  <si>
    <t>@6tea6ix</t>
  </si>
  <si>
    <t>@dinzzur</t>
  </si>
  <si>
    <t>@indah.viryasvastika</t>
  </si>
  <si>
    <t>@7649121</t>
  </si>
  <si>
    <t>@elysacandra</t>
  </si>
  <si>
    <t>@indahabby</t>
  </si>
  <si>
    <t>@aaprilea</t>
  </si>
  <si>
    <t>@indahayuamanda</t>
  </si>
  <si>
    <t>@indiranand</t>
  </si>
  <si>
    <t>@abadibersamaadelweis</t>
  </si>
  <si>
    <t>@itsvivie91</t>
  </si>
  <si>
    <t>@indriwidiartii</t>
  </si>
  <si>
    <t>@jakarta.terkini</t>
  </si>
  <si>
    <t>@ineesbrna</t>
  </si>
  <si>
    <t>@abdngoimc</t>
  </si>
  <si>
    <t>@jharnabhagwani</t>
  </si>
  <si>
    <t>@iniakunitaa__</t>
  </si>
  <si>
    <t>@abel_cantika</t>
  </si>
  <si>
    <t>@joviadhiguna</t>
  </si>
  <si>
    <t>@inikarinagita</t>
  </si>
  <si>
    <t>@abeltrld</t>
  </si>
  <si>
    <t>@lifia_laeticia</t>
  </si>
  <si>
    <t>@inkallee03</t>
  </si>
  <si>
    <t>@mariakarinaa</t>
  </si>
  <si>
    <t>@innacahyani1308</t>
  </si>
  <si>
    <t>@abiejie</t>
  </si>
  <si>
    <t>@nadialaydrus</t>
  </si>
  <si>
    <t>@inne_salim</t>
  </si>
  <si>
    <t>@abigailaurellia</t>
  </si>
  <si>
    <t>@nesyanabila</t>
  </si>
  <si>
    <t>@intaniamay16</t>
  </si>
  <si>
    <t>@abigusmas</t>
  </si>
  <si>
    <t>@pipithuang</t>
  </si>
  <si>
    <t>@iqbalghiffari</t>
  </si>
  <si>
    <t>@abinyaayin</t>
  </si>
  <si>
    <t>@prisciliatanbayong</t>
  </si>
  <si>
    <t>@irawati0309</t>
  </si>
  <si>
    <t>@abramwenas</t>
  </si>
  <si>
    <t>@raatihsyafriza</t>
  </si>
  <si>
    <t>@isnaenikkh</t>
  </si>
  <si>
    <t>@accio.olshop</t>
  </si>
  <si>
    <t>@reginaseptinamainof</t>
  </si>
  <si>
    <t>@itamargareta_</t>
  </si>
  <si>
    <t>@acessz</t>
  </si>
  <si>
    <t>@rotuaaa</t>
  </si>
  <si>
    <t>@its.fadil_</t>
  </si>
  <si>
    <t>@acharamel_</t>
  </si>
  <si>
    <t>@sonia_wibisono</t>
  </si>
  <si>
    <t>@itsagnesdwi</t>
  </si>
  <si>
    <t>@acimlaz</t>
  </si>
  <si>
    <t>@tasyafarasya</t>
  </si>
  <si>
    <t>@itsaiiuayu27</t>
  </si>
  <si>
    <t>@acinggu</t>
  </si>
  <si>
    <t>@wulanguritno</t>
  </si>
  <si>
    <t>@itsvennyy</t>
  </si>
  <si>
    <t>@adabinacindina</t>
  </si>
  <si>
    <t>@_icedgreentea8</t>
  </si>
  <si>
    <t>@iya.nevin</t>
  </si>
  <si>
    <t>@adamfaiiq</t>
  </si>
  <si>
    <t>@iyyan_alf</t>
  </si>
  <si>
    <t>@izza_ilmi_alyusufi</t>
  </si>
  <si>
    <t>@adel_nurra</t>
  </si>
  <si>
    <t>@amelia_angelineee</t>
  </si>
  <si>
    <t>@izza.lubna</t>
  </si>
  <si>
    <t>@adelina.darminto</t>
  </si>
  <si>
    <t>@anazsiantar</t>
  </si>
  <si>
    <t>@jennmalita</t>
  </si>
  <si>
    <t>@adeljkt48</t>
  </si>
  <si>
    <t>@arahardiant</t>
  </si>
  <si>
    <t>@jerny.sidabutar</t>
  </si>
  <si>
    <t>@adhetora</t>
  </si>
  <si>
    <t>@asriwahyunirais</t>
  </si>
  <si>
    <t>@juliyani_06</t>
  </si>
  <si>
    <t>@adianpricil</t>
  </si>
  <si>
    <t>@kakaminda</t>
  </si>
  <si>
    <t>@adibdwitamma</t>
  </si>
  <si>
    <t>@bapak2id</t>
  </si>
  <si>
    <t>@kamilaanisa_</t>
  </si>
  <si>
    <t>@adiellaberliani</t>
  </si>
  <si>
    <t>@berliansalim</t>
  </si>
  <si>
    <t>@kareenaptr</t>
  </si>
  <si>
    <t>@adifarvn</t>
  </si>
  <si>
    <t>@bogor_update</t>
  </si>
  <si>
    <t>@kayraacans</t>
  </si>
  <si>
    <t>@adimback01</t>
  </si>
  <si>
    <t>@cindycendana</t>
  </si>
  <si>
    <t>@kellykhey</t>
  </si>
  <si>
    <t>@dr_danar</t>
  </si>
  <si>
    <t>@kharistauvi</t>
  </si>
  <si>
    <t>@adlysagara</t>
  </si>
  <si>
    <t>@dwiaay</t>
  </si>
  <si>
    <t>@khilyaa10</t>
  </si>
  <si>
    <t>@adrianjabonga6</t>
  </si>
  <si>
    <t>@fatyabiya</t>
  </si>
  <si>
    <t>@klarissa_kl</t>
  </si>
  <si>
    <t>@fazrikecap_</t>
  </si>
  <si>
    <t>@kocak.petcaah</t>
  </si>
  <si>
    <t>@febibuder</t>
  </si>
  <si>
    <t>@afira.sya</t>
  </si>
  <si>
    <t>@kusumapuu</t>
  </si>
  <si>
    <t>@afiyafiya19</t>
  </si>
  <si>
    <t>@instagram</t>
  </si>
  <si>
    <t>@kyim.kusnadireja</t>
  </si>
  <si>
    <t>@afridaluthfiyah</t>
  </si>
  <si>
    <t>@l_lela99</t>
  </si>
  <si>
    <t>@afrinaltist</t>
  </si>
  <si>
    <t>@kianara.nay</t>
  </si>
  <si>
    <t>@laili_amalina</t>
  </si>
  <si>
    <t>@agneswidiautama</t>
  </si>
  <si>
    <t>@lee.bella999</t>
  </si>
  <si>
    <t>@leandrashye</t>
  </si>
  <si>
    <t>@agnezteee</t>
  </si>
  <si>
    <t>@litahutami</t>
  </si>
  <si>
    <t>@lelynsf</t>
  </si>
  <si>
    <t>@agunggg03__</t>
  </si>
  <si>
    <t>@maggiekholine</t>
  </si>
  <si>
    <t>@lenafachan</t>
  </si>
  <si>
    <t>@agungmerryzky</t>
  </si>
  <si>
    <t>@meilianacen</t>
  </si>
  <si>
    <t>@lidiawildhasonata</t>
  </si>
  <si>
    <t>@agustin_silvi</t>
  </si>
  <si>
    <t>@linarahma17</t>
  </si>
  <si>
    <t>@ah.yayaa</t>
  </si>
  <si>
    <t>@liputpiutzpiut</t>
  </si>
  <si>
    <t>@okkapratama</t>
  </si>
  <si>
    <t>@lisaandini25</t>
  </si>
  <si>
    <t>@ainybariqq</t>
  </si>
  <si>
    <t>@lucky_wlf</t>
  </si>
  <si>
    <t>@aisyahhaa_</t>
  </si>
  <si>
    <t>@rhasiebatara</t>
  </si>
  <si>
    <t>@lulurinjanim12</t>
  </si>
  <si>
    <t>@aisykaspol</t>
  </si>
  <si>
    <t>@ria.ria14</t>
  </si>
  <si>
    <t>@ma_donnnaaa_</t>
  </si>
  <si>
    <t>@ajenggee16</t>
  </si>
  <si>
    <t>@riezhaaulia</t>
  </si>
  <si>
    <t>@mainikki95</t>
  </si>
  <si>
    <t>@ajenglestari18</t>
  </si>
  <si>
    <t>@shannondorothea</t>
  </si>
  <si>
    <t>@mamahnavp_channel</t>
  </si>
  <si>
    <t>@ajengptrn</t>
  </si>
  <si>
    <t>@sing.adisastro</t>
  </si>
  <si>
    <t>@mankook_</t>
  </si>
  <si>
    <t>@siskasaragih</t>
  </si>
  <si>
    <t>@marsyarmitha</t>
  </si>
  <si>
    <t>@aksel.lolly</t>
  </si>
  <si>
    <t>@valeriastahlk</t>
  </si>
  <si>
    <t>@martika_tirta</t>
  </si>
  <si>
    <t>@akubeingrandom</t>
  </si>
  <si>
    <t>@wetgloss</t>
  </si>
  <si>
    <t>@mawarsiska20</t>
  </si>
  <si>
    <t>@akundefazz</t>
  </si>
  <si>
    <t>@abouttng</t>
  </si>
  <si>
    <t>@mayadestira</t>
  </si>
  <si>
    <t>@akuumii17</t>
  </si>
  <si>
    <t>@alexeffendhy</t>
  </si>
  <si>
    <t>@mayrisaputri</t>
  </si>
  <si>
    <t>@al_hanaroo</t>
  </si>
  <si>
    <t>@megaputripamungkas</t>
  </si>
  <si>
    <t>@anniska_suwasdy</t>
  </si>
  <si>
    <t>@meikefatimah</t>
  </si>
  <si>
    <t>@alamjayya</t>
  </si>
  <si>
    <t>@bodyfitbybagus</t>
  </si>
  <si>
    <t>@melaaprilia74_</t>
  </si>
  <si>
    <t>@alannaumsntk</t>
  </si>
  <si>
    <t>@calistaangelina</t>
  </si>
  <si>
    <t>@melindazharich</t>
  </si>
  <si>
    <t>@albiansyahreal</t>
  </si>
  <si>
    <t>@dellaaseptt</t>
  </si>
  <si>
    <t>@melvinmaylani</t>
  </si>
  <si>
    <t>@albuchori_0891</t>
  </si>
  <si>
    <t>@dinastyan</t>
  </si>
  <si>
    <t>@melz.oei</t>
  </si>
  <si>
    <t>@aldasuwardi</t>
  </si>
  <si>
    <t>@meyrinaaputrii</t>
  </si>
  <si>
    <t>@aldenametta1</t>
  </si>
  <si>
    <t>@infobekasi</t>
  </si>
  <si>
    <t>@meysetiawati</t>
  </si>
  <si>
    <t>@aldianmr</t>
  </si>
  <si>
    <t>@infobekasi.coo</t>
  </si>
  <si>
    <t>@mia___far</t>
  </si>
  <si>
    <t>@aldoavega</t>
  </si>
  <si>
    <t>@infodepok_id</t>
  </si>
  <si>
    <t>@milkaiueo</t>
  </si>
  <si>
    <t>@aldojusman</t>
  </si>
  <si>
    <t>@irenaldriana</t>
  </si>
  <si>
    <t>@mimigendismimigendis</t>
  </si>
  <si>
    <t>@aldosutarnaa</t>
  </si>
  <si>
    <t>@jaysforeal</t>
  </si>
  <si>
    <t>@mirzahidayat_</t>
  </si>
  <si>
    <t>@alecyavebyyy</t>
  </si>
  <si>
    <t>@jktgo</t>
  </si>
  <si>
    <t>@missdjie</t>
  </si>
  <si>
    <t>@alethaabew</t>
  </si>
  <si>
    <t>@kabarcibubur24jam</t>
  </si>
  <si>
    <t>@moms_twinsaraswati</t>
  </si>
  <si>
    <t>@aletheeeea</t>
  </si>
  <si>
    <t>@kemalmochtar</t>
  </si>
  <si>
    <t>@monicapurdiani1710</t>
  </si>
  <si>
    <t>@alfanarsyad</t>
  </si>
  <si>
    <t>@kethagustine</t>
  </si>
  <si>
    <t>@mrs.hanarismay</t>
  </si>
  <si>
    <t>@alfani.sidharta</t>
  </si>
  <si>
    <t>@putrighafar</t>
  </si>
  <si>
    <t>@mrs.senopati</t>
  </si>
  <si>
    <t>@alfarizi_sahrul</t>
  </si>
  <si>
    <t>@sindyfungg</t>
  </si>
  <si>
    <t>@muliafitri55</t>
  </si>
  <si>
    <t>@alfi1712</t>
  </si>
  <si>
    <t>@yaswildblood</t>
  </si>
  <si>
    <t>@murni_fatih</t>
  </si>
  <si>
    <t>@alfikhair_</t>
  </si>
  <si>
    <t>@aletaanovianda</t>
  </si>
  <si>
    <t>@muthiashz</t>
  </si>
  <si>
    <t>@alfiromi</t>
  </si>
  <si>
    <t>@anggunmiad</t>
  </si>
  <si>
    <t>@mynameucii</t>
  </si>
  <si>
    <t>@aliansyaht</t>
  </si>
  <si>
    <t>@captainbarbershopid</t>
  </si>
  <si>
    <t>@mytatika</t>
  </si>
  <si>
    <t>@dimasbudiu</t>
  </si>
  <si>
    <t>@nabilahlthfyh</t>
  </si>
  <si>
    <t>@aliciadell18</t>
  </si>
  <si>
    <t>@nadhif.almira</t>
  </si>
  <si>
    <t>@alifiaaudita99</t>
  </si>
  <si>
    <t>@fauziaahanum</t>
  </si>
  <si>
    <t>@nadindaayyu12_</t>
  </si>
  <si>
    <t>@alikhawahyu</t>
  </si>
  <si>
    <t>@fenny_fennyyy</t>
  </si>
  <si>
    <t>@namyrasyahdan</t>
  </si>
  <si>
    <t>@alipwahid</t>
  </si>
  <si>
    <t>@galagea_</t>
  </si>
  <si>
    <t>@nana_dwiyuliana</t>
  </si>
  <si>
    <t>@guaryan__</t>
  </si>
  <si>
    <t>@naqiyyahsyam</t>
  </si>
  <si>
    <t>@aliyasw</t>
  </si>
  <si>
    <t>@hairnerdsstudio</t>
  </si>
  <si>
    <t>@nashani</t>
  </si>
  <si>
    <t>@alkhanmarcedo</t>
  </si>
  <si>
    <t>@jihanyusnita</t>
  </si>
  <si>
    <t>@neandrosabian</t>
  </si>
  <si>
    <t>@kyranayda</t>
  </si>
  <si>
    <t>@nengdesinengdesi</t>
  </si>
  <si>
    <t>@allisyaaffa</t>
  </si>
  <si>
    <t>@lidyarismi</t>
  </si>
  <si>
    <t>@niisa_anggaraii</t>
  </si>
  <si>
    <t>@allugra</t>
  </si>
  <si>
    <t>@oliviatanned</t>
  </si>
  <si>
    <t>@nisacaldis</t>
  </si>
  <si>
    <t>@onyahero</t>
  </si>
  <si>
    <t>@niss_ya11</t>
  </si>
  <si>
    <t>@almayunita06</t>
  </si>
  <si>
    <t>@putrypurwantika</t>
  </si>
  <si>
    <t>@nissataqiyyah</t>
  </si>
  <si>
    <t>@aloeeveeraaaaa</t>
  </si>
  <si>
    <t>@rizky.rakhmasari</t>
  </si>
  <si>
    <t>@nitaaja73</t>
  </si>
  <si>
    <t>@salsabyyllaa</t>
  </si>
  <si>
    <t>@noon_skinner</t>
  </si>
  <si>
    <t>@alvinsyahvin</t>
  </si>
  <si>
    <t>@salyangkamu</t>
  </si>
  <si>
    <t>@nqaulia</t>
  </si>
  <si>
    <t>@alvirazhrn</t>
  </si>
  <si>
    <t>@susijournal1509</t>
  </si>
  <si>
    <t>@nungky_viida</t>
  </si>
  <si>
    <t>@alyabroziouz</t>
  </si>
  <si>
    <t>@theopasaribu_</t>
  </si>
  <si>
    <t>@nunu.hasanahnur</t>
  </si>
  <si>
    <t>@alyakbar__</t>
  </si>
  <si>
    <t>@verafirdyana</t>
  </si>
  <si>
    <t>@nunungnrhyti_</t>
  </si>
  <si>
    <t>@alyttlebit</t>
  </si>
  <si>
    <t>@ajiyana_as</t>
  </si>
  <si>
    <t>@nuraeni_moms_kl</t>
  </si>
  <si>
    <t>@amadeaseptiaa</t>
  </si>
  <si>
    <t>@angelinawj</t>
  </si>
  <si>
    <t>@nurassyafa_</t>
  </si>
  <si>
    <t>@caesarlaineanggi2</t>
  </si>
  <si>
    <t>@nurfadillahh_3</t>
  </si>
  <si>
    <t>@eshahidayat</t>
  </si>
  <si>
    <t>@nurilfarida_</t>
  </si>
  <si>
    <t>@amaliamrdtnn</t>
  </si>
  <si>
    <t>@femaledailynetwork</t>
  </si>
  <si>
    <t>@nurirrahmah_nst</t>
  </si>
  <si>
    <t>@amaliarizqi962</t>
  </si>
  <si>
    <t>@habibul251</t>
  </si>
  <si>
    <t>@nurjanah_adiba17</t>
  </si>
  <si>
    <t>@amanalfarisii</t>
  </si>
  <si>
    <t>@isyanasarasvati</t>
  </si>
  <si>
    <t>@nurkomala_s14</t>
  </si>
  <si>
    <t>@amanaturr</t>
  </si>
  <si>
    <t>@jeffchristianchen</t>
  </si>
  <si>
    <t>@nurul_ikra</t>
  </si>
  <si>
    <t>@amanda_putrii12</t>
  </si>
  <si>
    <t>@jktinfo</t>
  </si>
  <si>
    <t>@nurul.adila__</t>
  </si>
  <si>
    <t>@amandaskiy</t>
  </si>
  <si>
    <t>@key.rzky</t>
  </si>
  <si>
    <t>@nurulhikmahn_</t>
  </si>
  <si>
    <t>@amandastatic_</t>
  </si>
  <si>
    <t>@nurulsafitri3982</t>
  </si>
  <si>
    <t>@amandatorquise</t>
  </si>
  <si>
    <t>@melisadwlndrr</t>
  </si>
  <si>
    <t>@nurulumayahs_</t>
  </si>
  <si>
    <t>@amaracintia16</t>
  </si>
  <si>
    <t>@nadirandr_</t>
  </si>
  <si>
    <t>@nuryani.tri_dn</t>
  </si>
  <si>
    <t>@ambarayd_</t>
  </si>
  <si>
    <t>@nonik_fay</t>
  </si>
  <si>
    <t>@nyk_mlg</t>
  </si>
  <si>
    <t>@amelia.almasyhad</t>
  </si>
  <si>
    <t>@norawuu</t>
  </si>
  <si>
    <t>@octafinda</t>
  </si>
  <si>
    <t>@ameliaasshh</t>
  </si>
  <si>
    <t>@pinkkyganz</t>
  </si>
  <si>
    <t>@shintya_audrey</t>
  </si>
  <si>
    <t>@olliveeikaaa</t>
  </si>
  <si>
    <t>@amelisar_</t>
  </si>
  <si>
    <t>@sintiaardianti</t>
  </si>
  <si>
    <t>@oppieaulia</t>
  </si>
  <si>
    <t>@amerowssa</t>
  </si>
  <si>
    <t>@teukudinoo</t>
  </si>
  <si>
    <t>@pagns</t>
  </si>
  <si>
    <t>@amertadian</t>
  </si>
  <si>
    <t>@theadamsband</t>
  </si>
  <si>
    <t>@parlybengkulu18</t>
  </si>
  <si>
    <t>@aminyandawi</t>
  </si>
  <si>
    <t>@vennyalawiyah</t>
  </si>
  <si>
    <t>@patrice_dmq2206</t>
  </si>
  <si>
    <t>@amitamonica</t>
  </si>
  <si>
    <t>@virgadana</t>
  </si>
  <si>
    <t>@pawon_nia</t>
  </si>
  <si>
    <t>@ammi_lina87</t>
  </si>
  <si>
    <t>@_putritidurr_</t>
  </si>
  <si>
    <t>@pemerela</t>
  </si>
  <si>
    <t>@anadiaaisyah</t>
  </si>
  <si>
    <t>@asyahidan</t>
  </si>
  <si>
    <t>@petywulandari</t>
  </si>
  <si>
    <t>@anakmamiii96</t>
  </si>
  <si>
    <t>@ceritapelari</t>
  </si>
  <si>
    <t>@pi.pi.te</t>
  </si>
  <si>
    <t>@anakmotorbaru</t>
  </si>
  <si>
    <t>@cinpawpaw</t>
  </si>
  <si>
    <t>@pratiwi.ftry</t>
  </si>
  <si>
    <t>@anaknyaibukelis</t>
  </si>
  <si>
    <t>@cliffton_zhang</t>
  </si>
  <si>
    <t>@pu.put6683</t>
  </si>
  <si>
    <t>@anastasiamanik1</t>
  </si>
  <si>
    <t>@cndytang</t>
  </si>
  <si>
    <t>@putherikhan2805</t>
  </si>
  <si>
    <t>@anastasyaard_</t>
  </si>
  <si>
    <t>@cokardina</t>
  </si>
  <si>
    <t>@putriandezta</t>
  </si>
  <si>
    <t>@anatacaa</t>
  </si>
  <si>
    <t>@dionharyadi</t>
  </si>
  <si>
    <t>@putrii.apnd</t>
  </si>
  <si>
    <t>@anboow</t>
  </si>
  <si>
    <t>@fikrifreestyle</t>
  </si>
  <si>
    <t>@putrinurlaila96</t>
  </si>
  <si>
    <t>@andhikaerdy</t>
  </si>
  <si>
    <t>@galangbedon</t>
  </si>
  <si>
    <t>@putskichu</t>
  </si>
  <si>
    <t>@andiniatmaja</t>
  </si>
  <si>
    <t>@ghinarestini</t>
  </si>
  <si>
    <t>@rachelfransiska7</t>
  </si>
  <si>
    <t>@andreaparamesti</t>
  </si>
  <si>
    <t>@kabarbintaro</t>
  </si>
  <si>
    <t>@radofamily0504</t>
  </si>
  <si>
    <t>@andrynd</t>
  </si>
  <si>
    <t>@marfanu26</t>
  </si>
  <si>
    <t>@rafida_erwin</t>
  </si>
  <si>
    <t>@angela.purnamasari</t>
  </si>
  <si>
    <t>@maya_permatasari76</t>
  </si>
  <si>
    <t>@rahman_nur77</t>
  </si>
  <si>
    <t>@pipirmnov_</t>
  </si>
  <si>
    <t>@rahmaniakwb</t>
  </si>
  <si>
    <t>@angellisandidoang</t>
  </si>
  <si>
    <t>@sarahh.zu</t>
  </si>
  <si>
    <t>@rahmasulis__</t>
  </si>
  <si>
    <t>@angelluwensk.y</t>
  </si>
  <si>
    <t>@tiera.rm</t>
  </si>
  <si>
    <t>@ramadyah_ninik</t>
  </si>
  <si>
    <t>@tikarahayusarii</t>
  </si>
  <si>
    <t>@rani_rifayati</t>
  </si>
  <si>
    <t>@angelwjy__</t>
  </si>
  <si>
    <t>@ubaneste</t>
  </si>
  <si>
    <t>@regiinaaptr</t>
  </si>
  <si>
    <t>@angelynne_and</t>
  </si>
  <si>
    <t>@adeliaazzahra97</t>
  </si>
  <si>
    <t>@reginagitta</t>
  </si>
  <si>
    <t>@alfifanni</t>
  </si>
  <si>
    <t>@reivira.arindhi</t>
  </si>
  <si>
    <t>@ardiansyahgoli_</t>
  </si>
  <si>
    <t>@reni_fi3ani</t>
  </si>
  <si>
    <t>@ashleykantjana</t>
  </si>
  <si>
    <t>@renymdh</t>
  </si>
  <si>
    <t>@anggifatchur</t>
  </si>
  <si>
    <t>@atharalikhwan</t>
  </si>
  <si>
    <t>@rere_nusaputera</t>
  </si>
  <si>
    <t>@anggii_prdttaa25</t>
  </si>
  <si>
    <t>@destaaaww</t>
  </si>
  <si>
    <t>@retnowindaryani</t>
  </si>
  <si>
    <t>@anggraini_lilik</t>
  </si>
  <si>
    <t>@djasminesoraya</t>
  </si>
  <si>
    <t>@reyfifitri</t>
  </si>
  <si>
    <t>@angie.marella</t>
  </si>
  <si>
    <t>@ellenterrence</t>
  </si>
  <si>
    <t>@rezaamitap</t>
  </si>
  <si>
    <t>@anidyanti_</t>
  </si>
  <si>
    <t>@fanny_angelique</t>
  </si>
  <si>
    <t>@riiska.khaa</t>
  </si>
  <si>
    <t>@anidyanti__</t>
  </si>
  <si>
    <t>@febignwn</t>
  </si>
  <si>
    <t>@rikachimoy</t>
  </si>
  <si>
    <t>@aniinkunnin</t>
  </si>
  <si>
    <t>@inihenny</t>
  </si>
  <si>
    <t>@rikaistiqomah05</t>
  </si>
  <si>
    <t>@anindietazhra</t>
  </si>
  <si>
    <t>@intansukmautami</t>
  </si>
  <si>
    <t>@riskiiiku_</t>
  </si>
  <si>
    <t>@mariasteffigunadi</t>
  </si>
  <si>
    <t>@rittaahandayanii</t>
  </si>
  <si>
    <t>@marzcheese</t>
  </si>
  <si>
    <t>@rivie_baverly</t>
  </si>
  <si>
    <t>@anisaaryant</t>
  </si>
  <si>
    <t>@powerslidebrand</t>
  </si>
  <si>
    <t>@rizhaa</t>
  </si>
  <si>
    <t>@randikanurmauli</t>
  </si>
  <si>
    <t>@rizkinadyaputri</t>
  </si>
  <si>
    <t>@anisahijriani</t>
  </si>
  <si>
    <t>@riltrian</t>
  </si>
  <si>
    <t>@rizkyamelia019</t>
  </si>
  <si>
    <t>@anisatswn</t>
  </si>
  <si>
    <t>@rosita_mehrunisa1212</t>
  </si>
  <si>
    <t>@rizma.vhee_</t>
  </si>
  <si>
    <t>@anisawesome_</t>
  </si>
  <si>
    <t>@skevinooc</t>
  </si>
  <si>
    <t>@rjesyakira</t>
  </si>
  <si>
    <t>@anisyaaasiddik</t>
  </si>
  <si>
    <t>@suwantoasennn</t>
  </si>
  <si>
    <t>@rkhaa_marline</t>
  </si>
  <si>
    <t>@anitacindhy</t>
  </si>
  <si>
    <t>@tommy.utomoo</t>
  </si>
  <si>
    <t>@roedyeina</t>
  </si>
  <si>
    <t>@zoaai</t>
  </si>
  <si>
    <t>@rraxxq</t>
  </si>
  <si>
    <t>@anjaneeeyy</t>
  </si>
  <si>
    <t>@arfanafiif</t>
  </si>
  <si>
    <t>@rumahbeevi</t>
  </si>
  <si>
    <t>@babylea_genevieve</t>
  </si>
  <si>
    <t>@ruro_kim</t>
  </si>
  <si>
    <t>@ankeardine</t>
  </si>
  <si>
    <t>@cessy_dr</t>
  </si>
  <si>
    <t>@ryanadewis</t>
  </si>
  <si>
    <t>@annaannisaa</t>
  </si>
  <si>
    <t>@deenish_20</t>
  </si>
  <si>
    <t>@ryanury</t>
  </si>
  <si>
    <t>@annapulupulu</t>
  </si>
  <si>
    <t>@dhian_setyarini</t>
  </si>
  <si>
    <t>@saaelisaasaaa</t>
  </si>
  <si>
    <t>@febryantieby</t>
  </si>
  <si>
    <t>@sairetthahutagalung</t>
  </si>
  <si>
    <t>@annesarita93</t>
  </si>
  <si>
    <t>@indahmegaa</t>
  </si>
  <si>
    <t>@salyoroselin</t>
  </si>
  <si>
    <t>@sandrachane</t>
  </si>
  <si>
    <t>@anneseptiaa</t>
  </si>
  <si>
    <t>@santiuwey</t>
  </si>
  <si>
    <t>@annetteyules</t>
  </si>
  <si>
    <t>@muhammadfahrul_</t>
  </si>
  <si>
    <t>@sapipoooy</t>
  </si>
  <si>
    <t>@annisahavni</t>
  </si>
  <si>
    <t>@naftaliangel_miracle</t>
  </si>
  <si>
    <t>@sarahzahrahhh</t>
  </si>
  <si>
    <t>@raditya_dika</t>
  </si>
  <si>
    <t>@selepy_agustin</t>
  </si>
  <si>
    <t>@annisakhoirinaa</t>
  </si>
  <si>
    <t>@revdy</t>
  </si>
  <si>
    <t>@selieffendy</t>
  </si>
  <si>
    <t>@annisanisnoy_</t>
  </si>
  <si>
    <t>@rizkaamelya_</t>
  </si>
  <si>
    <t>@septiyanah93</t>
  </si>
  <si>
    <t>@annisapuspitaz</t>
  </si>
  <si>
    <t>@sitimasth_</t>
  </si>
  <si>
    <t>@sfnnauliaa_</t>
  </si>
  <si>
    <t>@anothersalsu</t>
  </si>
  <si>
    <t>@shahnaz204</t>
  </si>
  <si>
    <t>@anyen_huang</t>
  </si>
  <si>
    <t>@shasazhania</t>
  </si>
  <si>
    <t>@aoelija</t>
  </si>
  <si>
    <t>@vae_tobing97</t>
  </si>
  <si>
    <t>@sheilaayata</t>
  </si>
  <si>
    <t>@aphrodite.glow</t>
  </si>
  <si>
    <t>@wilona_asheera92</t>
  </si>
  <si>
    <t>@shendaputri</t>
  </si>
  <si>
    <t>@aprilia_fitri2604</t>
  </si>
  <si>
    <t>@_jamesadam_</t>
  </si>
  <si>
    <t>@sheput_</t>
  </si>
  <si>
    <t>@asti_geboy</t>
  </si>
  <si>
    <t>@sindyafrillia_</t>
  </si>
  <si>
    <t>@apriliafitri75</t>
  </si>
  <si>
    <t>@attiusandrw</t>
  </si>
  <si>
    <t>@sisila.z</t>
  </si>
  <si>
    <t>@aprilistyadara</t>
  </si>
  <si>
    <t>@ceciliafrntk</t>
  </si>
  <si>
    <t>@siskaswrd</t>
  </si>
  <si>
    <t>@aprillyzasalmaa</t>
  </si>
  <si>
    <t>@fangs_kezia</t>
  </si>
  <si>
    <t>@sitiyayanf</t>
  </si>
  <si>
    <t>@apt.sintaaprilianas</t>
  </si>
  <si>
    <t>@infokabupatenbogor</t>
  </si>
  <si>
    <t>@sobatpukat</t>
  </si>
  <si>
    <t>@aqeela.neirasha</t>
  </si>
  <si>
    <t>@ismatuilan</t>
  </si>
  <si>
    <t>@soekaraja_</t>
  </si>
  <si>
    <t>@aqeelaaz_</t>
  </si>
  <si>
    <t>@jennangelina_</t>
  </si>
  <si>
    <t>@sselynaa</t>
  </si>
  <si>
    <t>@araarafia</t>
  </si>
  <si>
    <t>@stellaprita</t>
  </si>
  <si>
    <t>@arabpakez</t>
  </si>
  <si>
    <t>@stepjeje</t>
  </si>
  <si>
    <t>@archieyevia</t>
  </si>
  <si>
    <t>@mahdarayy</t>
  </si>
  <si>
    <t>@sucii1202</t>
  </si>
  <si>
    <t>@ardan_achsya</t>
  </si>
  <si>
    <t>@melina_lyn</t>
  </si>
  <si>
    <t>@suciirestiipertiwii</t>
  </si>
  <si>
    <t>@ardellnab</t>
  </si>
  <si>
    <t>@okywulandarii</t>
  </si>
  <si>
    <t>@suniiiy_</t>
  </si>
  <si>
    <t>@ardfoodie</t>
  </si>
  <si>
    <t>@ovieekaoru</t>
  </si>
  <si>
    <t>@susisinta</t>
  </si>
  <si>
    <t>@ardikatamps</t>
  </si>
  <si>
    <t>@syakhyahzanullutfian</t>
  </si>
  <si>
    <t>@ardipocen</t>
  </si>
  <si>
    <t>@syamilahhouse</t>
  </si>
  <si>
    <t>@arena.fakta</t>
  </si>
  <si>
    <t>@szcaalghofur</t>
  </si>
  <si>
    <t>@sytami15</t>
  </si>
  <si>
    <t>@tangsel.info</t>
  </si>
  <si>
    <t>@taslinah</t>
  </si>
  <si>
    <t>@arin_an28</t>
  </si>
  <si>
    <t>@tata_early</t>
  </si>
  <si>
    <t>@tasya.caa</t>
  </si>
  <si>
    <t>@arin2408_ar</t>
  </si>
  <si>
    <t>@theaven1802</t>
  </si>
  <si>
    <t>@tasyaaneke</t>
  </si>
  <si>
    <t>@arindapuy</t>
  </si>
  <si>
    <t>@tebyharun</t>
  </si>
  <si>
    <t>@arindyoktar</t>
  </si>
  <si>
    <t>@vanessachrst</t>
  </si>
  <si>
    <t>@teh_dinil</t>
  </si>
  <si>
    <t>@arinfaala18</t>
  </si>
  <si>
    <t>@vera_ratasya</t>
  </si>
  <si>
    <t>@tica_pramesty</t>
  </si>
  <si>
    <t>@ariwidyasari6</t>
  </si>
  <si>
    <t>@volix.media</t>
  </si>
  <si>
    <t>@tri_asics</t>
  </si>
  <si>
    <t>@arkamlee</t>
  </si>
  <si>
    <t>@anatakirana</t>
  </si>
  <si>
    <t>@triayulaksana</t>
  </si>
  <si>
    <t>@arashimalya</t>
  </si>
  <si>
    <t>@tyaslidyarusdiantoro</t>
  </si>
  <si>
    <t>@armalinaa</t>
  </si>
  <si>
    <t>@bellprist</t>
  </si>
  <si>
    <t>@uchyea</t>
  </si>
  <si>
    <t>@arnettaauriella</t>
  </si>
  <si>
    <t>@edeline.vk</t>
  </si>
  <si>
    <t>@ulfahoktavianiii</t>
  </si>
  <si>
    <t>@arrianar</t>
  </si>
  <si>
    <t>@harveyanthonius</t>
  </si>
  <si>
    <t>@ulfahzahrotinnisa</t>
  </si>
  <si>
    <t>@hijrahfest</t>
  </si>
  <si>
    <t>@unayumna</t>
  </si>
  <si>
    <t>@arstaaats</t>
  </si>
  <si>
    <t>@irma_miranti</t>
  </si>
  <si>
    <t>@unclemayk</t>
  </si>
  <si>
    <t>@arthaadaa</t>
  </si>
  <si>
    <t>@itsjesselin</t>
  </si>
  <si>
    <t>@vaiqelizza</t>
  </si>
  <si>
    <t>@jesicalin_</t>
  </si>
  <si>
    <t>@valent_cynthia</t>
  </si>
  <si>
    <t>@arynnuna_</t>
  </si>
  <si>
    <t>@litanurlitaf</t>
  </si>
  <si>
    <t>@vannynrs</t>
  </si>
  <si>
    <t>@asa.hsnh</t>
  </si>
  <si>
    <t>@veraa_h_p</t>
  </si>
  <si>
    <t>@asam.manis.kehidupan</t>
  </si>
  <si>
    <t>@oceljoycelyn</t>
  </si>
  <si>
    <t>@verenvalenciaa</t>
  </si>
  <si>
    <t>@asetianingtyas</t>
  </si>
  <si>
    <t>@veronicaavrill21</t>
  </si>
  <si>
    <t>@ashaaye</t>
  </si>
  <si>
    <t>@ritarichie_</t>
  </si>
  <si>
    <t>@victdewi</t>
  </si>
  <si>
    <t>@ashafiranatasya</t>
  </si>
  <si>
    <t>@vindynaisya</t>
  </si>
  <si>
    <t>@asni.w.arsyad</t>
  </si>
  <si>
    <t>@taniaatnt</t>
  </si>
  <si>
    <t>@vionawinargo</t>
  </si>
  <si>
    <t>@asrnto_2</t>
  </si>
  <si>
    <t>@veveyen_</t>
  </si>
  <si>
    <t>@viozulistia</t>
  </si>
  <si>
    <t>@assyifaa26_</t>
  </si>
  <si>
    <t>@zalfanadhira</t>
  </si>
  <si>
    <t>@vyen92</t>
  </si>
  <si>
    <t>@adistyrnii_</t>
  </si>
  <si>
    <t>@wardah_yns</t>
  </si>
  <si>
    <t>@asyeraamajesti</t>
  </si>
  <si>
    <t>@anisahijr</t>
  </si>
  <si>
    <t>@wardahasyarqiyah_</t>
  </si>
  <si>
    <t>@asyla_r</t>
  </si>
  <si>
    <t>@bang__ashim</t>
  </si>
  <si>
    <t>@wddy.s</t>
  </si>
  <si>
    <t>@bizzlexo</t>
  </si>
  <si>
    <t>@whinainti</t>
  </si>
  <si>
    <t>@bogor.terkini</t>
  </si>
  <si>
    <t>@widdamahesh03</t>
  </si>
  <si>
    <t>@atmosfour</t>
  </si>
  <si>
    <t>@carolinataliia</t>
  </si>
  <si>
    <t>@wiji95</t>
  </si>
  <si>
    <t>@ceninin</t>
  </si>
  <si>
    <t>@wijjer_</t>
  </si>
  <si>
    <t>@audifzn</t>
  </si>
  <si>
    <t>@clarice.emerald</t>
  </si>
  <si>
    <t>@windi_budiharti</t>
  </si>
  <si>
    <t>@augstne95</t>
  </si>
  <si>
    <t>@dayangprtiwi</t>
  </si>
  <si>
    <t>@windyrismaa</t>
  </si>
  <si>
    <t>@dee_vanz</t>
  </si>
  <si>
    <t>@withnisalia</t>
  </si>
  <si>
    <t>@aulia.nrz</t>
  </si>
  <si>
    <t>@delmiraprabu</t>
  </si>
  <si>
    <t>@yandigsa</t>
  </si>
  <si>
    <t>@auliaaaku_</t>
  </si>
  <si>
    <t>@depok24jam</t>
  </si>
  <si>
    <t>@yaninaayu</t>
  </si>
  <si>
    <t>@elysia_tania</t>
  </si>
  <si>
    <t>@yeni_setiyawati</t>
  </si>
  <si>
    <t>@auliamj</t>
  </si>
  <si>
    <t>@ibupedia_id</t>
  </si>
  <si>
    <t>@yenifarida93</t>
  </si>
  <si>
    <t>@aulianuzl</t>
  </si>
  <si>
    <t>@ig.syipaanr</t>
  </si>
  <si>
    <t>@yenirahma44</t>
  </si>
  <si>
    <t>@auraa.ths</t>
  </si>
  <si>
    <t>@info.jakartabarat</t>
  </si>
  <si>
    <t>@yennigow</t>
  </si>
  <si>
    <t>@austeniche</t>
  </si>
  <si>
    <t>@infotangerang.id</t>
  </si>
  <si>
    <t>@ysmnlbs</t>
  </si>
  <si>
    <t>@austinkohandfamily</t>
  </si>
  <si>
    <t>@jakartasiana</t>
  </si>
  <si>
    <t>@yuanita_aaa</t>
  </si>
  <si>
    <t>@averylss</t>
  </si>
  <si>
    <t>@justrismaa</t>
  </si>
  <si>
    <t>@yulianarnengtyas</t>
  </si>
  <si>
    <t>@awaleeyaa</t>
  </si>
  <si>
    <t>@lita.chan</t>
  </si>
  <si>
    <t>@yuniiapr</t>
  </si>
  <si>
    <t>@awl.ya</t>
  </si>
  <si>
    <t>@mfchaca</t>
  </si>
  <si>
    <t>@yunitanitaps</t>
  </si>
  <si>
    <t>@axplicit</t>
  </si>
  <si>
    <t>@moms_cia</t>
  </si>
  <si>
    <t>@zulherman_fm</t>
  </si>
  <si>
    <t>@phonayzanethaa</t>
  </si>
  <si>
    <t>@ayachoiriyah</t>
  </si>
  <si>
    <t>@ranyoomi</t>
  </si>
  <si>
    <t>@dennyalfary</t>
  </si>
  <si>
    <t>@ayamnyapahaatas</t>
  </si>
  <si>
    <t>@risasabilla_</t>
  </si>
  <si>
    <t>@ewihyy</t>
  </si>
  <si>
    <t>@rollerblade</t>
  </si>
  <si>
    <t>@ayudiie</t>
  </si>
  <si>
    <t>@shellayang</t>
  </si>
  <si>
    <t>@feliciatyrenz</t>
  </si>
  <si>
    <t>@ayukppip</t>
  </si>
  <si>
    <t>@tangerang.terkini</t>
  </si>
  <si>
    <t>@undercover.id</t>
  </si>
  <si>
    <t>@lahisyaghaysani</t>
  </si>
  <si>
    <t>@ayumikuu</t>
  </si>
  <si>
    <t>@wivina_fauzya</t>
  </si>
  <si>
    <t>@ayundash_</t>
  </si>
  <si>
    <t>@wr.gusnari</t>
  </si>
  <si>
    <t>@nadiyarawil</t>
  </si>
  <si>
    <t>@zalfanadhiraa</t>
  </si>
  <si>
    <t>@silvia_ratu</t>
  </si>
  <si>
    <t>@ayuni_reftalina</t>
  </si>
  <si>
    <t>@deeana_05</t>
  </si>
  <si>
    <t>@yuristissia</t>
  </si>
  <si>
    <t>@ayunoor.a</t>
  </si>
  <si>
    <t>@gracious_my</t>
  </si>
  <si>
    <t>@ayuvidh</t>
  </si>
  <si>
    <t>@ikkaprashee</t>
  </si>
  <si>
    <t>@indozone.id</t>
  </si>
  <si>
    <t>@azahhrr</t>
  </si>
  <si>
    <t>@jabodetabek.terkini</t>
  </si>
  <si>
    <t>@bilasuryanto</t>
  </si>
  <si>
    <t>@azahrahf</t>
  </si>
  <si>
    <t>@jenongtiktok</t>
  </si>
  <si>
    <t>@azaleapute</t>
  </si>
  <si>
    <t>@kinesgamers</t>
  </si>
  <si>
    <t>@azaliyaay</t>
  </si>
  <si>
    <t>@nadi_ngopi</t>
  </si>
  <si>
    <t>@putryjeje</t>
  </si>
  <si>
    <t>@aziz_syaputra</t>
  </si>
  <si>
    <t>@naura_nca</t>
  </si>
  <si>
    <t>@raniashafira</t>
  </si>
  <si>
    <t>@azizahsalshaa</t>
  </si>
  <si>
    <t>@onya210</t>
  </si>
  <si>
    <t>@rachmamalia</t>
  </si>
  <si>
    <t>@anisaframita</t>
  </si>
  <si>
    <t>@store.kdi</t>
  </si>
  <si>
    <t>@azmannis</t>
  </si>
  <si>
    <t>@tasyadinikafajar3</t>
  </si>
  <si>
    <t>@temanbumil</t>
  </si>
  <si>
    <t>@cittaf</t>
  </si>
  <si>
    <t>@azzahra.09_</t>
  </si>
  <si>
    <t>@wendyodixius</t>
  </si>
  <si>
    <t>@dewi.jalal</t>
  </si>
  <si>
    <t>@babygfw</t>
  </si>
  <si>
    <t>@andreadianbimo</t>
  </si>
  <si>
    <t>@dinshabina</t>
  </si>
  <si>
    <t>@babyzoezie</t>
  </si>
  <si>
    <t>@david_rizal</t>
  </si>
  <si>
    <t>@eyuliarita</t>
  </si>
  <si>
    <t>@ekasriwahyni</t>
  </si>
  <si>
    <t>@badlanbamon</t>
  </si>
  <si>
    <t>@ibra.berkisah</t>
  </si>
  <si>
    <t>@baihakidisini</t>
  </si>
  <si>
    <t>@rinda_farhan</t>
  </si>
  <si>
    <t>@balitravelfolder</t>
  </si>
  <si>
    <t>@bangadiho</t>
  </si>
  <si>
    <t>@dianps2509</t>
  </si>
  <si>
    <t>@bangbaud_</t>
  </si>
  <si>
    <t>@febestari</t>
  </si>
  <si>
    <t>@mitareny</t>
  </si>
  <si>
    <t>@bangkikis</t>
  </si>
  <si>
    <t>@media.virals</t>
  </si>
  <si>
    <t>@barokmk</t>
  </si>
  <si>
    <t>@melisa.josiah</t>
  </si>
  <si>
    <t>@raniazzhr</t>
  </si>
  <si>
    <t>@baru_punya_mobil</t>
  </si>
  <si>
    <t>@monethmona</t>
  </si>
  <si>
    <t>@nadianinette</t>
  </si>
  <si>
    <t>@bayusimerah</t>
  </si>
  <si>
    <t>@bbyjiangell_</t>
  </si>
  <si>
    <t>@calistacherrie</t>
  </si>
  <si>
    <t>@syaharanieptr</t>
  </si>
  <si>
    <t>@bbyndaa27</t>
  </si>
  <si>
    <t>@claudia.yycin</t>
  </si>
  <si>
    <t>@be__ce</t>
  </si>
  <si>
    <t>@febbyrastanty</t>
  </si>
  <si>
    <t>@adit_insomnia</t>
  </si>
  <si>
    <t>@bebyenyen</t>
  </si>
  <si>
    <t>@kiaraleswara</t>
  </si>
  <si>
    <t>@bebyocha99</t>
  </si>
  <si>
    <t>@tarnandoete</t>
  </si>
  <si>
    <t>@andinih.erlangga</t>
  </si>
  <si>
    <t>@biila___</t>
  </si>
  <si>
    <t>@beebiancaa</t>
  </si>
  <si>
    <t>@martinaahuang</t>
  </si>
  <si>
    <t>@bondol.jpg</t>
  </si>
  <si>
    <t>@belayaaaaa_</t>
  </si>
  <si>
    <t>@ratnatita</t>
  </si>
  <si>
    <t>@callin_lim</t>
  </si>
  <si>
    <t>@bellamarthasari18</t>
  </si>
  <si>
    <t>@sasyashena</t>
  </si>
  <si>
    <t>@belzelvel</t>
  </si>
  <si>
    <t>@ben.onix</t>
  </si>
  <si>
    <t>@dwitakdewii</t>
  </si>
  <si>
    <t>@bepeeekk</t>
  </si>
  <si>
    <t>@deliciousbali</t>
  </si>
  <si>
    <t>@beritaindonesia____</t>
  </si>
  <si>
    <t>@justvita28</t>
  </si>
  <si>
    <t>@puputmitha_</t>
  </si>
  <si>
    <t>@amyasriv</t>
  </si>
  <si>
    <t>@bestiebelin</t>
  </si>
  <si>
    <t>@scepynun</t>
  </si>
  <si>
    <t>@azizahannah</t>
  </si>
  <si>
    <t>@bforbilee</t>
  </si>
  <si>
    <t>@tellaaa09</t>
  </si>
  <si>
    <t>@bebyneyra</t>
  </si>
  <si>
    <t>@bgsjava</t>
  </si>
  <si>
    <t>@kumpulanresepmasak</t>
  </si>
  <si>
    <t>@bianca_maura_filia</t>
  </si>
  <si>
    <t>@siresepbunda</t>
  </si>
  <si>
    <t>@bibulbib</t>
  </si>
  <si>
    <t>@erlina.ayu</t>
  </si>
  <si>
    <t>@faaarm.z</t>
  </si>
  <si>
    <t>@bidandewigurniingjambi</t>
  </si>
  <si>
    <t>@khadziyah_</t>
  </si>
  <si>
    <t>@bidarakirana</t>
  </si>
  <si>
    <t>@biiittaa</t>
  </si>
  <si>
    <t>@bil.lasyabilla</t>
  </si>
  <si>
    <t>@nsf_82</t>
  </si>
  <si>
    <t>@bilalfadh</t>
  </si>
  <si>
    <t>@bilbawazier</t>
  </si>
  <si>
    <t>@billaazz</t>
  </si>
  <si>
    <t>@binar_tika</t>
  </si>
  <si>
    <t>@bintangmaretta</t>
  </si>
  <si>
    <t>@uchiruhendi</t>
  </si>
  <si>
    <t>@bitcj4lyf</t>
  </si>
  <si>
    <t>@_ameliatriani</t>
  </si>
  <si>
    <t>@bitpply</t>
  </si>
  <si>
    <t>@_ifa.sl</t>
  </si>
  <si>
    <t>@bixxy.chan</t>
  </si>
  <si>
    <t>@20.atim</t>
  </si>
  <si>
    <t>@a.nasrahma</t>
  </si>
  <si>
    <t>@bloginnara</t>
  </si>
  <si>
    <t>@addindaputri</t>
  </si>
  <si>
    <t>@boahancuk</t>
  </si>
  <si>
    <t>@adeaclaudiagunawan</t>
  </si>
  <si>
    <t>@bobahidup</t>
  </si>
  <si>
    <t>@adelastfriend</t>
  </si>
  <si>
    <t>@bobbysaputraaaa</t>
  </si>
  <si>
    <t>@adhis_lilstar</t>
  </si>
  <si>
    <t>@bobysuardii</t>
  </si>
  <si>
    <t>@adindadwa</t>
  </si>
  <si>
    <t>@bonbineu</t>
  </si>
  <si>
    <t>@agrilisaafinta</t>
  </si>
  <si>
    <t>@borukukuss</t>
  </si>
  <si>
    <t>@ai.aisia</t>
  </si>
  <si>
    <t>@bosenajadirumah</t>
  </si>
  <si>
    <t>@ain_chaariro</t>
  </si>
  <si>
    <t>@botakteras</t>
  </si>
  <si>
    <t>@aishinda25_</t>
  </si>
  <si>
    <t>@brendashahnaz</t>
  </si>
  <si>
    <t>@ajenglarasaty8039</t>
  </si>
  <si>
    <t>@breobreyen</t>
  </si>
  <si>
    <t>@ajengshinshin</t>
  </si>
  <si>
    <t>@akuumii_94</t>
  </si>
  <si>
    <t>@brrybluee</t>
  </si>
  <si>
    <t>@alfianalfarisqy</t>
  </si>
  <si>
    <t>@brutalkidz</t>
  </si>
  <si>
    <t>@alicesanie</t>
  </si>
  <si>
    <t>@bschristy</t>
  </si>
  <si>
    <t>@alxndra.britney</t>
  </si>
  <si>
    <t>@bukanalicia</t>
  </si>
  <si>
    <t>@amaliafebriyana</t>
  </si>
  <si>
    <t>@bukancecil</t>
  </si>
  <si>
    <t>@amandania922</t>
  </si>
  <si>
    <t>@bukanmemels</t>
  </si>
  <si>
    <t>@ambrrni</t>
  </si>
  <si>
    <t>@bukanodef</t>
  </si>
  <si>
    <t>@amelindah.is</t>
  </si>
  <si>
    <t>@amy.gendhis</t>
  </si>
  <si>
    <t>@bulebuaran</t>
  </si>
  <si>
    <t>@anaagustinp</t>
  </si>
  <si>
    <t>@anasparhasian</t>
  </si>
  <si>
    <t>@bundaarsya_</t>
  </si>
  <si>
    <t>@andinamerrysagita</t>
  </si>
  <si>
    <t>@bundakuwe</t>
  </si>
  <si>
    <t>@andindseptina</t>
  </si>
  <si>
    <t>@bunga_ardina</t>
  </si>
  <si>
    <t>@andrianilm</t>
  </si>
  <si>
    <t>@bungaaayu</t>
  </si>
  <si>
    <t>@angelicamarietta</t>
  </si>
  <si>
    <t>@bungaadnda2</t>
  </si>
  <si>
    <t>@anggie_ira</t>
  </si>
  <si>
    <t>@burr.11</t>
  </si>
  <si>
    <t>@anggrayunita</t>
  </si>
  <si>
    <t>@bylodlia</t>
  </si>
  <si>
    <t>@anggun_sanisa_ms</t>
  </si>
  <si>
    <t>@cacaaantiksss_</t>
  </si>
  <si>
    <t>@anikwulan95</t>
  </si>
  <si>
    <t>@anisthesiahuda</t>
  </si>
  <si>
    <t>@caesadhanisa</t>
  </si>
  <si>
    <t>@anitadwi.handayani</t>
  </si>
  <si>
    <t>@cahayahikmaa</t>
  </si>
  <si>
    <t>@anna.wulandari</t>
  </si>
  <si>
    <t>@annaanggunf</t>
  </si>
  <si>
    <t>@callmealh</t>
  </si>
  <si>
    <t>@annanakesya</t>
  </si>
  <si>
    <t>@campervangirl01</t>
  </si>
  <si>
    <t>@annisarisnasari</t>
  </si>
  <si>
    <t>@canduncan</t>
  </si>
  <si>
    <t>@candyelina_</t>
  </si>
  <si>
    <t>@ariyanipe</t>
  </si>
  <si>
    <t>@cantikaaacn</t>
  </si>
  <si>
    <t>@arofah_24</t>
  </si>
  <si>
    <t>@arum.triw</t>
  </si>
  <si>
    <t>@cantykaf</t>
  </si>
  <si>
    <t>@arumi_andhara</t>
  </si>
  <si>
    <t>@caramellina07</t>
  </si>
  <si>
    <t>@atikahhermani</t>
  </si>
  <si>
    <t>@carizqa</t>
  </si>
  <si>
    <t>@auliaarosyid</t>
  </si>
  <si>
    <t>@auliaaseptiani</t>
  </si>
  <si>
    <t>@catleaoktaviana</t>
  </si>
  <si>
    <t>@awulaans</t>
  </si>
  <si>
    <t>@ayu_bahari03</t>
  </si>
  <si>
    <t>@ceceyolanda26</t>
  </si>
  <si>
    <t>@ayuku1234</t>
  </si>
  <si>
    <t>@ceer.iaa</t>
  </si>
  <si>
    <t>@ayutrianah.d</t>
  </si>
  <si>
    <t>@cellajt</t>
  </si>
  <si>
    <t>@azxrne</t>
  </si>
  <si>
    <t>@cels_73</t>
  </si>
  <si>
    <t>@bahaghiya</t>
  </si>
  <si>
    <t>@celviin__</t>
  </si>
  <si>
    <t>@bd_yanis</t>
  </si>
  <si>
    <t>@ceritanyaangel</t>
  </si>
  <si>
    <t>@bunda_erhan_rafisqy</t>
  </si>
  <si>
    <t>@cete.r</t>
  </si>
  <si>
    <t>@bunda_oftwo</t>
  </si>
  <si>
    <t>@chacuuuu</t>
  </si>
  <si>
    <t>@bundaqueensha26</t>
  </si>
  <si>
    <t>@chairina_bawazir</t>
  </si>
  <si>
    <t>@chala...sw</t>
  </si>
  <si>
    <t>@callmeastri</t>
  </si>
  <si>
    <t>@chaltenciptadi</t>
  </si>
  <si>
    <t>@cchooxx</t>
  </si>
  <si>
    <t>@chaerunnisa_imr</t>
  </si>
  <si>
    <t>@chytraanggraeni</t>
  </si>
  <si>
    <t>@chanzliap</t>
  </si>
  <si>
    <t>@cicinviaa_</t>
  </si>
  <si>
    <t>@chaoticri0t</t>
  </si>
  <si>
    <t>@cindy_nanlohy</t>
  </si>
  <si>
    <t>@cio.uhay</t>
  </si>
  <si>
    <t>@chels_kris</t>
  </si>
  <si>
    <t>@clarinapriliap</t>
  </si>
  <si>
    <t>@chelsheaflo</t>
  </si>
  <si>
    <t>@clay.cliff.hartono</t>
  </si>
  <si>
    <t>@chenyamelia_</t>
  </si>
  <si>
    <t>@cnycp_</t>
  </si>
  <si>
    <t>@cheverlakelsey10</t>
  </si>
  <si>
    <t>@crismafh</t>
  </si>
  <si>
    <t>@dameriagullo</t>
  </si>
  <si>
    <t>@chielvyy</t>
  </si>
  <si>
    <t>@danialyaa_</t>
  </si>
  <si>
    <t>@chienadya</t>
  </si>
  <si>
    <t>@datikk</t>
  </si>
  <si>
    <t>@chika_rossa</t>
  </si>
  <si>
    <t>@deavalenta</t>
  </si>
  <si>
    <t>@chikajssca</t>
  </si>
  <si>
    <t>@deeassyy</t>
  </si>
  <si>
    <t>@chillaaa03</t>
  </si>
  <si>
    <t>@delladelnr</t>
  </si>
  <si>
    <t>@chintiaerwin</t>
  </si>
  <si>
    <t>@dessiapriliya</t>
  </si>
  <si>
    <t>@chintya.cn</t>
  </si>
  <si>
    <t>@dewantidini</t>
  </si>
  <si>
    <t>@christanedison</t>
  </si>
  <si>
    <t>@dewi.utamisari</t>
  </si>
  <si>
    <t>@christea.finds</t>
  </si>
  <si>
    <t>@dewi13247484</t>
  </si>
  <si>
    <t>@christianvns</t>
  </si>
  <si>
    <t>@dheeaana</t>
  </si>
  <si>
    <t>@christinebe.sidabalok</t>
  </si>
  <si>
    <t>@dhiajengskhodijah</t>
  </si>
  <si>
    <t>@dhitaoktaputri</t>
  </si>
  <si>
    <t>@cilcecilll</t>
  </si>
  <si>
    <t>@dhyanilyas</t>
  </si>
  <si>
    <t>@cilitami_</t>
  </si>
  <si>
    <t>@dianaikha</t>
  </si>
  <si>
    <t>@cillavioletta</t>
  </si>
  <si>
    <t>@dinacheira</t>
  </si>
  <si>
    <t>@cindy_widy</t>
  </si>
  <si>
    <t>@dindaaaws</t>
  </si>
  <si>
    <t>@cindyalfiann</t>
  </si>
  <si>
    <t>@dita.bundarda</t>
  </si>
  <si>
    <t>@cindyangelpurba</t>
  </si>
  <si>
    <t>@dw.rista</t>
  </si>
  <si>
    <t>@dwikantariii</t>
  </si>
  <si>
    <t>@cindylorenza_00</t>
  </si>
  <si>
    <t>@dwisar17</t>
  </si>
  <si>
    <t>@cindyorchidia</t>
  </si>
  <si>
    <t>@ealindafithry</t>
  </si>
  <si>
    <t>@cino_medhok</t>
  </si>
  <si>
    <t>@ekshanti_oktavia</t>
  </si>
  <si>
    <t>@cintacindys</t>
  </si>
  <si>
    <t>@elkajuwita</t>
  </si>
  <si>
    <t>@cintiatan</t>
  </si>
  <si>
    <t>@elya_tami</t>
  </si>
  <si>
    <t>@emakkahiyang</t>
  </si>
  <si>
    <t>@ciputrakunz</t>
  </si>
  <si>
    <t>@eniwinarti</t>
  </si>
  <si>
    <t>@cissss23</t>
  </si>
  <si>
    <t>@epifania_veve</t>
  </si>
  <si>
    <t>@citrasulis19</t>
  </si>
  <si>
    <t>@erika_sammy</t>
  </si>
  <si>
    <t>@citrazaraa</t>
  </si>
  <si>
    <t>@cl_anthonia</t>
  </si>
  <si>
    <t>@faizhaaa</t>
  </si>
  <si>
    <t>@fanghela_30729</t>
  </si>
  <si>
    <t>@clara.krisstiane</t>
  </si>
  <si>
    <t>@farisahsabrinaa</t>
  </si>
  <si>
    <t>@claraagustinn</t>
  </si>
  <si>
    <t>@fdlatri</t>
  </si>
  <si>
    <t>@febikartikadewi</t>
  </si>
  <si>
    <t>@clariceecutie</t>
  </si>
  <si>
    <t>@clarissacmty</t>
  </si>
  <si>
    <t>@fhaaifanm</t>
  </si>
  <si>
    <t>@claudyadona</t>
  </si>
  <si>
    <t>@firdadafiraseptialoka</t>
  </si>
  <si>
    <t>@claycliffhartono</t>
  </si>
  <si>
    <t>@gitapd151</t>
  </si>
  <si>
    <t>@clownofbali</t>
  </si>
  <si>
    <t>@glamalia</t>
  </si>
  <si>
    <t>@coach.rh</t>
  </si>
  <si>
    <t>@great.ej</t>
  </si>
  <si>
    <t>@cokcinta</t>
  </si>
  <si>
    <t>@griya_nurussyifa</t>
  </si>
  <si>
    <t>@gustianatriyani</t>
  </si>
  <si>
    <t>@corneleaparamithaa</t>
  </si>
  <si>
    <t>@handasulistiyo</t>
  </si>
  <si>
    <t>@corneliosantoso</t>
  </si>
  <si>
    <t>@handaynsrii</t>
  </si>
  <si>
    <t>@hefi_paristin</t>
  </si>
  <si>
    <t>@cranbernies</t>
  </si>
  <si>
    <t>@hellondiy</t>
  </si>
  <si>
    <t>@crescentiads</t>
  </si>
  <si>
    <t>@herlinanr</t>
  </si>
  <si>
    <t>@cukiinn_</t>
  </si>
  <si>
    <t>@hestyalvionitaoctavera</t>
  </si>
  <si>
    <t>@cunnul111</t>
  </si>
  <si>
    <t>@hetty_ke</t>
  </si>
  <si>
    <t>@cupcake_dai</t>
  </si>
  <si>
    <t>@hikmahcamelia</t>
  </si>
  <si>
    <t>@cutdibiaa</t>
  </si>
  <si>
    <t>@hilmial12</t>
  </si>
  <si>
    <t>@cutfebrina</t>
  </si>
  <si>
    <t>@hyedetty99</t>
  </si>
  <si>
    <t>@cutnaaa</t>
  </si>
  <si>
    <t>@i.am_belz</t>
  </si>
  <si>
    <t>@cutsalsahency</t>
  </si>
  <si>
    <t>@ic.hie</t>
  </si>
  <si>
    <t>@cyntiayoga</t>
  </si>
  <si>
    <t>@ida_apriliana</t>
  </si>
  <si>
    <t>@d_mutia_putri</t>
  </si>
  <si>
    <t>@idaefrida99</t>
  </si>
  <si>
    <t>@d.cidoriii</t>
  </si>
  <si>
    <t>@ika.ratna.12</t>
  </si>
  <si>
    <t>@ikenj09</t>
  </si>
  <si>
    <t>@daffarizqiyana</t>
  </si>
  <si>
    <t>@illuminareyou</t>
  </si>
  <si>
    <t>@dainlite</t>
  </si>
  <si>
    <t>@im.rikaaa</t>
  </si>
  <si>
    <t>@indira_az</t>
  </si>
  <si>
    <t>@dandeeey</t>
  </si>
  <si>
    <t>@indrimardiana__</t>
  </si>
  <si>
    <t>@danielmanihuruk</t>
  </si>
  <si>
    <t>@inne93</t>
  </si>
  <si>
    <t>@ira.sryni</t>
  </si>
  <si>
    <t>@dapurmamahalfa</t>
  </si>
  <si>
    <t>@jannah.silvia</t>
  </si>
  <si>
    <t>@daraanindhita</t>
  </si>
  <si>
    <t>@joannaanastasia</t>
  </si>
  <si>
    <t>@daraasekar</t>
  </si>
  <si>
    <t>@joe_azizah</t>
  </si>
  <si>
    <t>@davidlie15</t>
  </si>
  <si>
    <t>@juheriah_nurahman</t>
  </si>
  <si>
    <t>@davu_elazar</t>
  </si>
  <si>
    <t>@junibella06</t>
  </si>
  <si>
    <t>@dayy.ayya</t>
  </si>
  <si>
    <t>@karimaassegaf</t>
  </si>
  <si>
    <t>@dccamel</t>
  </si>
  <si>
    <t>@kennyharlen</t>
  </si>
  <si>
    <t>@ddiddiv</t>
  </si>
  <si>
    <t>@kenzkai__</t>
  </si>
  <si>
    <t>@ddimpleee</t>
  </si>
  <si>
    <t>@kethijuliana1</t>
  </si>
  <si>
    <t>@deamanipa</t>
  </si>
  <si>
    <t>@deandramarissi</t>
  </si>
  <si>
    <t>@kimmiraa_</t>
  </si>
  <si>
    <t>@deandriani_</t>
  </si>
  <si>
    <t>@laidaalubis</t>
  </si>
  <si>
    <t>@debyibnuy</t>
  </si>
  <si>
    <t>@laurajunisa27</t>
  </si>
  <si>
    <t>@dedeivori</t>
  </si>
  <si>
    <t>@leavlo</t>
  </si>
  <si>
    <t>@dedesiro815</t>
  </si>
  <si>
    <t>@lelyramdhani.skincare</t>
  </si>
  <si>
    <t>@lia_hrlina</t>
  </si>
  <si>
    <t>@deganduls</t>
  </si>
  <si>
    <t>@lianaabbey</t>
  </si>
  <si>
    <t>@deilanofficial</t>
  </si>
  <si>
    <t>@lidyasalsabillaaa</t>
  </si>
  <si>
    <t>@deira.28</t>
  </si>
  <si>
    <t>@lilyhaniilfani</t>
  </si>
  <si>
    <t>@linda.haqushe</t>
  </si>
  <si>
    <t>@dellamariagracia</t>
  </si>
  <si>
    <t>@lintanggarini</t>
  </si>
  <si>
    <t>@dellamonika19</t>
  </si>
  <si>
    <t>@lisaristya88</t>
  </si>
  <si>
    <t>@deltanrmdny</t>
  </si>
  <si>
    <t>@listiantir28</t>
  </si>
  <si>
    <t>@dena.18</t>
  </si>
  <si>
    <t>@listyanadafys</t>
  </si>
  <si>
    <t>@denaaul</t>
  </si>
  <si>
    <t>@lita.meliana.sihotang</t>
  </si>
  <si>
    <t>@dennielyoesmita</t>
  </si>
  <si>
    <t>@louwysapristiati</t>
  </si>
  <si>
    <t>@dennyskenjiro</t>
  </si>
  <si>
    <t>@luki_female</t>
  </si>
  <si>
    <t>@depok.update</t>
  </si>
  <si>
    <t>@lulukimroatus</t>
  </si>
  <si>
    <t>@deprianthony</t>
  </si>
  <si>
    <t>@lulurahmalinaa_</t>
  </si>
  <si>
    <t>@deri_ardi</t>
  </si>
  <si>
    <t>@makjannahaeyo</t>
  </si>
  <si>
    <t>@derrafuadi</t>
  </si>
  <si>
    <t>@mamaknya.zayn</t>
  </si>
  <si>
    <t>@deshafiira</t>
  </si>
  <si>
    <t>@mamanatira</t>
  </si>
  <si>
    <t>@desidwiyustiani_</t>
  </si>
  <si>
    <t>@mandafuady</t>
  </si>
  <si>
    <t>@desiekasulistyowati</t>
  </si>
  <si>
    <t>@margarethbms</t>
  </si>
  <si>
    <t>@marhezaayu</t>
  </si>
  <si>
    <t>@marlinajourney</t>
  </si>
  <si>
    <t>@desisyaptri</t>
  </si>
  <si>
    <t>@marslilia.kelas</t>
  </si>
  <si>
    <t>@mas.dikaaa</t>
  </si>
  <si>
    <t>@desmiatideudeu</t>
  </si>
  <si>
    <t>@mastikaws</t>
  </si>
  <si>
    <t>@desmonda.devi</t>
  </si>
  <si>
    <t>@mbak.julia</t>
  </si>
  <si>
    <t>@desraawr</t>
  </si>
  <si>
    <t>@mdtobing__</t>
  </si>
  <si>
    <t>@dessiinatalia</t>
  </si>
  <si>
    <t>@megaawd</t>
  </si>
  <si>
    <t>@meighayudyh</t>
  </si>
  <si>
    <t>@dessydyl</t>
  </si>
  <si>
    <t>@michavier_instag</t>
  </si>
  <si>
    <t>@dessykarinalestari</t>
  </si>
  <si>
    <t>@momysisiel</t>
  </si>
  <si>
    <t>@dessytsr_</t>
  </si>
  <si>
    <t>@mrs.italyono</t>
  </si>
  <si>
    <t>@destianti5</t>
  </si>
  <si>
    <t>@mrsniaaaa___</t>
  </si>
  <si>
    <t>@destyamiq</t>
  </si>
  <si>
    <t>@mrsvitasyifa</t>
  </si>
  <si>
    <t>@mukti.agt</t>
  </si>
  <si>
    <t>@desyaris.ayzara</t>
  </si>
  <si>
    <t>@nabilaaprln</t>
  </si>
  <si>
    <t>@detalinalviza_</t>
  </si>
  <si>
    <t>@naddy234</t>
  </si>
  <si>
    <t>@nadiaerlinia20</t>
  </si>
  <si>
    <t>@devinasusantoo</t>
  </si>
  <si>
    <t>@nadianst16</t>
  </si>
  <si>
    <t>@nadinamizah.id</t>
  </si>
  <si>
    <t>@dewi_defor</t>
  </si>
  <si>
    <t>@nanidiansofiana</t>
  </si>
  <si>
    <t>@nara_elfreda</t>
  </si>
  <si>
    <t>@naura_anandaputri</t>
  </si>
  <si>
    <t>@dewiirmayanti30</t>
  </si>
  <si>
    <t>@nazla_hani</t>
  </si>
  <si>
    <t>@neenengtv</t>
  </si>
  <si>
    <t>@dfriza_</t>
  </si>
  <si>
    <t>@nengsepty_</t>
  </si>
  <si>
    <t>@dhannicha</t>
  </si>
  <si>
    <t>@ni.kadekrai</t>
  </si>
  <si>
    <t>@dheadelavega</t>
  </si>
  <si>
    <t>@nickittaiskandar</t>
  </si>
  <si>
    <t>@dheafeb</t>
  </si>
  <si>
    <t>@nina.alfa</t>
  </si>
  <si>
    <t>@dheofauzi</t>
  </si>
  <si>
    <t>@ninna_linggasari</t>
  </si>
  <si>
    <t>@dheryamonicc</t>
  </si>
  <si>
    <t>@nisanichan31</t>
  </si>
  <si>
    <t>@novanan</t>
  </si>
  <si>
    <t>@nurfadhilahlaia18</t>
  </si>
  <si>
    <t>@dhiomahesaa_07</t>
  </si>
  <si>
    <t>@nuri_nurpurwaningsih</t>
  </si>
  <si>
    <t>@nurulwidiyanti18</t>
  </si>
  <si>
    <t>@dhonet</t>
  </si>
  <si>
    <t>@nyuzhella_mahasetia</t>
  </si>
  <si>
    <t>@diahayuaryn_</t>
  </si>
  <si>
    <t>@oei_lanlan</t>
  </si>
  <si>
    <t>@official.barbienouva</t>
  </si>
  <si>
    <t>@diahrosanti82</t>
  </si>
  <si>
    <t>@olyvia_kerin</t>
  </si>
  <si>
    <t>@diana_vianiii</t>
  </si>
  <si>
    <t>@on.ly.hom</t>
  </si>
  <si>
    <t>@panggilvanyaja</t>
  </si>
  <si>
    <t>@diancagrcl</t>
  </si>
  <si>
    <t>@pebrianti_ines</t>
  </si>
  <si>
    <t>@diandragautama</t>
  </si>
  <si>
    <t>@pinx_fransiska</t>
  </si>
  <si>
    <t>@dianlatri2</t>
  </si>
  <si>
    <t>@prill_cn</t>
  </si>
  <si>
    <t>@dianmendadakpurnamaaa</t>
  </si>
  <si>
    <t>@puputlestari</t>
  </si>
  <si>
    <t>@diantielma</t>
  </si>
  <si>
    <t>@putranugra</t>
  </si>
  <si>
    <t>@putrinasher</t>
  </si>
  <si>
    <t>@qianzikayla</t>
  </si>
  <si>
    <t>@diaryanakmakan</t>
  </si>
  <si>
    <t>@ra_araaaa02</t>
  </si>
  <si>
    <t>@diaryofworkinmommy</t>
  </si>
  <si>
    <t>@rahayualfarizky</t>
  </si>
  <si>
    <t>@diasayl</t>
  </si>
  <si>
    <t>@rahma_anthie</t>
  </si>
  <si>
    <t>@dibdiby</t>
  </si>
  <si>
    <t>@raninurcha</t>
  </si>
  <si>
    <t>@diboool</t>
  </si>
  <si>
    <t>@rarakayyisaa</t>
  </si>
  <si>
    <t>@dici.marcis</t>
  </si>
  <si>
    <t>@ratna_069</t>
  </si>
  <si>
    <t>@didinfelani_</t>
  </si>
  <si>
    <t>@retnodyahp</t>
  </si>
  <si>
    <t>@diesty_arwid</t>
  </si>
  <si>
    <t>@rezaanggalin_dwiputri</t>
  </si>
  <si>
    <t>@rhyzkaangel</t>
  </si>
  <si>
    <t>@riaernaaa</t>
  </si>
  <si>
    <t>@diica_00</t>
  </si>
  <si>
    <t>@riana_nananna</t>
  </si>
  <si>
    <t>@dilahomedecorlover</t>
  </si>
  <si>
    <t>@rina_meyrina</t>
  </si>
  <si>
    <t>@dilatur</t>
  </si>
  <si>
    <t>@rinarhmd</t>
  </si>
  <si>
    <t>@dimasirfans_</t>
  </si>
  <si>
    <t>@rindybestya</t>
  </si>
  <si>
    <t>@dimasyudhystira</t>
  </si>
  <si>
    <t>@ririzanugraeny</t>
  </si>
  <si>
    <t>@dinaagr14</t>
  </si>
  <si>
    <t>@ritaardiani</t>
  </si>
  <si>
    <t>@dindaanggriani</t>
  </si>
  <si>
    <t>@riya_dloh</t>
  </si>
  <si>
    <t>@dindayasminn</t>
  </si>
  <si>
    <t>@rizki.putriutami</t>
  </si>
  <si>
    <t>@dinefp</t>
  </si>
  <si>
    <t>@roro_dyy</t>
  </si>
  <si>
    <t>@rosa_icn</t>
  </si>
  <si>
    <t>@rumah_haura</t>
  </si>
  <si>
    <t>@dinikusumaaa</t>
  </si>
  <si>
    <t>@rvstika</t>
  </si>
  <si>
    <t>@dinnassssss</t>
  </si>
  <si>
    <t>@saacoddd2</t>
  </si>
  <si>
    <t>@safitri_adhiyaksha</t>
  </si>
  <si>
    <t>@dinouris</t>
  </si>
  <si>
    <t>@sajidah28</t>
  </si>
  <si>
    <t>@dio.rahman</t>
  </si>
  <si>
    <t>@salmaaa312</t>
  </si>
  <si>
    <t>@dippae_</t>
  </si>
  <si>
    <t>@salsavina</t>
  </si>
  <si>
    <t>@dita.dipi</t>
  </si>
  <si>
    <t>@samrotul09</t>
  </si>
  <si>
    <t>@ditaarta_khan</t>
  </si>
  <si>
    <t>@sannysandra</t>
  </si>
  <si>
    <t>@selinoviani</t>
  </si>
  <si>
    <t>@ditasaphira</t>
  </si>
  <si>
    <t>@septyandari12</t>
  </si>
  <si>
    <t>@seraphina.tania</t>
  </si>
  <si>
    <t>@divarum_</t>
  </si>
  <si>
    <t>@setyadewy</t>
  </si>
  <si>
    <t>@diviasofie?igshid=6hg1qrocg6no</t>
  </si>
  <si>
    <t>@sewsant</t>
  </si>
  <si>
    <t>@divrdiansyh</t>
  </si>
  <si>
    <t>@shanty.hdiyani</t>
  </si>
  <si>
    <t>@divykeduaa</t>
  </si>
  <si>
    <t>@shintarosrosi</t>
  </si>
  <si>
    <t>@djevi_ida</t>
  </si>
  <si>
    <t>@silmmi</t>
  </si>
  <si>
    <t>@djodivaleery</t>
  </si>
  <si>
    <t>@sintaputrinadila</t>
  </si>
  <si>
    <t>@dndea</t>
  </si>
  <si>
    <t>@siskaasiska</t>
  </si>
  <si>
    <t>@dokterikadevisppd</t>
  </si>
  <si>
    <t>@sisterabigail_</t>
  </si>
  <si>
    <t>@sitisarahadiyastuti</t>
  </si>
  <si>
    <t>@dominiquesierruh</t>
  </si>
  <si>
    <t>@snurkholifah04</t>
  </si>
  <si>
    <t>@dontlikeacaffee</t>
  </si>
  <si>
    <t>@sofie_sopik</t>
  </si>
  <si>
    <t>@dopjla</t>
  </si>
  <si>
    <t>@ssheilloooooo</t>
  </si>
  <si>
    <t>@dr.feliciasiswanto</t>
  </si>
  <si>
    <t>@sucimelia198</t>
  </si>
  <si>
    <t>@drgfira</t>
  </si>
  <si>
    <t>@tarialrasyid</t>
  </si>
  <si>
    <t>@teoakustikgitar</t>
  </si>
  <si>
    <t>@drillian_basketball</t>
  </si>
  <si>
    <t>@thyalatifah</t>
  </si>
  <si>
    <t>@dudukpalingdepan</t>
  </si>
  <si>
    <t>@trheey_airaa23</t>
  </si>
  <si>
    <t>@dunia.siuna</t>
  </si>
  <si>
    <t>@triansyahbani</t>
  </si>
  <si>
    <t>@triiutarie</t>
  </si>
  <si>
    <t>@dvitasss</t>
  </si>
  <si>
    <t>@triwahyuningtias</t>
  </si>
  <si>
    <t>@dvnanatalia</t>
  </si>
  <si>
    <t>@umi_arayya</t>
  </si>
  <si>
    <t>@dwi.efriyanaa</t>
  </si>
  <si>
    <t>@ummu_fatihfaiha</t>
  </si>
  <si>
    <t>@dwialhikmawati</t>
  </si>
  <si>
    <t>@uswahachma</t>
  </si>
  <si>
    <t>@dwielsytha_</t>
  </si>
  <si>
    <t>@utbahatsatsah</t>
  </si>
  <si>
    <t>@dwikpermana</t>
  </si>
  <si>
    <t>@valencecilia_</t>
  </si>
  <si>
    <t>@vanaatiara</t>
  </si>
  <si>
    <t>@dwipujirahayu300</t>
  </si>
  <si>
    <t>@wafanurhilma</t>
  </si>
  <si>
    <t>@wahyu.permatasari</t>
  </si>
  <si>
    <t>@dxzdaa</t>
  </si>
  <si>
    <t>@widyacita1</t>
  </si>
  <si>
    <t>@dya_andya</t>
  </si>
  <si>
    <t>@winariarl</t>
  </si>
  <si>
    <t>@dygheaddyghead</t>
  </si>
  <si>
    <t>@windaekaryn</t>
  </si>
  <si>
    <t>@eatingforlyfe</t>
  </si>
  <si>
    <t>@windahhyn</t>
  </si>
  <si>
    <t>@eaudesarah</t>
  </si>
  <si>
    <t>@windyputria</t>
  </si>
  <si>
    <t>@echaarina19</t>
  </si>
  <si>
    <t>@withzaza</t>
  </si>
  <si>
    <t>@echalaksmi</t>
  </si>
  <si>
    <t>@wulan.amsar</t>
  </si>
  <si>
    <t>@wulandaritarigan</t>
  </si>
  <si>
    <t>@edelynemia</t>
  </si>
  <si>
    <t>@wulandyas</t>
  </si>
  <si>
    <t>@wydiaprillia</t>
  </si>
  <si>
    <t>@yasyfi_la</t>
  </si>
  <si>
    <t>@ei.eily</t>
  </si>
  <si>
    <t>@yfahrurizal</t>
  </si>
  <si>
    <t>@yoanprastywi</t>
  </si>
  <si>
    <t>@eka0.9</t>
  </si>
  <si>
    <t>@yulianitiara</t>
  </si>
  <si>
    <t>@ekaafy</t>
  </si>
  <si>
    <t>@yulistia.utami</t>
  </si>
  <si>
    <t>@ekaduwih</t>
  </si>
  <si>
    <t>@zahranisaaprilia</t>
  </si>
  <si>
    <t>@ekaramadhani92</t>
  </si>
  <si>
    <t>@alinda_kholisoh</t>
  </si>
  <si>
    <t>@ekasukmariyanti</t>
  </si>
  <si>
    <t>@ambarao</t>
  </si>
  <si>
    <t>@ekayounitha</t>
  </si>
  <si>
    <t>@elenabintang</t>
  </si>
  <si>
    <t>@bellaclaudya</t>
  </si>
  <si>
    <t>@cindylaurenziaa12</t>
  </si>
  <si>
    <t>@claraviaadn</t>
  </si>
  <si>
    <t>@elizstp</t>
  </si>
  <si>
    <t>@daniarelvaria</t>
  </si>
  <si>
    <t>@elki.sumanto</t>
  </si>
  <si>
    <t>@dessydecyl</t>
  </si>
  <si>
    <t>@ella_azis</t>
  </si>
  <si>
    <t>@divaarnda.97_</t>
  </si>
  <si>
    <t>@ellagoeltom</t>
  </si>
  <si>
    <t>@fitaagustin</t>
  </si>
  <si>
    <t>@ellynurul</t>
  </si>
  <si>
    <t>@frisellavindyy</t>
  </si>
  <si>
    <t>@g.giselaaa</t>
  </si>
  <si>
    <t>@elnafta</t>
  </si>
  <si>
    <t>@jeolsi</t>
  </si>
  <si>
    <t>@jihaannp_</t>
  </si>
  <si>
    <t>@elvieprawiro</t>
  </si>
  <si>
    <t>@juliusjason_</t>
  </si>
  <si>
    <t>@elvin.gaa</t>
  </si>
  <si>
    <t>@elvinsalasa</t>
  </si>
  <si>
    <t>@elzaraproject</t>
  </si>
  <si>
    <t>@ema.ervita</t>
  </si>
  <si>
    <t>@mel_josh_claire</t>
  </si>
  <si>
    <t>@emaandii</t>
  </si>
  <si>
    <t>@putripujiastti</t>
  </si>
  <si>
    <t>@emaksatuanak09</t>
  </si>
  <si>
    <t>@putrisarah17</t>
  </si>
  <si>
    <t>@emilutfi</t>
  </si>
  <si>
    <t>@queenaya22</t>
  </si>
  <si>
    <t>@emilykwik</t>
  </si>
  <si>
    <t>@ratnaadewihariadi</t>
  </si>
  <si>
    <t>@refinatrianii</t>
  </si>
  <si>
    <t>@emyli_lin</t>
  </si>
  <si>
    <t>@renal1995</t>
  </si>
  <si>
    <t>@endah_wulandhari</t>
  </si>
  <si>
    <t>@endahdwisetyawan</t>
  </si>
  <si>
    <t>@suciwhn</t>
  </si>
  <si>
    <t>@enjelinong</t>
  </si>
  <si>
    <t>@sukmabayusetiawan</t>
  </si>
  <si>
    <t>@erialsr.makeupart</t>
  </si>
  <si>
    <t>@vinauliaa_</t>
  </si>
  <si>
    <t>@erin_carllo</t>
  </si>
  <si>
    <t>@yenydap</t>
  </si>
  <si>
    <t>@erin.carllo</t>
  </si>
  <si>
    <t>@alfinpanduu</t>
  </si>
  <si>
    <t>@erlanggaxzs</t>
  </si>
  <si>
    <t>@amandatrst</t>
  </si>
  <si>
    <t>@erlina.novitasar</t>
  </si>
  <si>
    <t>@amelsal_</t>
  </si>
  <si>
    <t>@ceyogrl</t>
  </si>
  <si>
    <t>@claritafeifeiky</t>
  </si>
  <si>
    <t>@ernanapitupulu_</t>
  </si>
  <si>
    <t>@cynthiasrswt</t>
  </si>
  <si>
    <t>@ernandaa__</t>
  </si>
  <si>
    <t>@devitul99</t>
  </si>
  <si>
    <t>@ernawiguna</t>
  </si>
  <si>
    <t>@dilanadilaa_</t>
  </si>
  <si>
    <t>@ftmknnt</t>
  </si>
  <si>
    <t>@ernps_</t>
  </si>
  <si>
    <t>@gabriellaben_</t>
  </si>
  <si>
    <t>@ernypuspa</t>
  </si>
  <si>
    <t>@haikaladlin_</t>
  </si>
  <si>
    <t>@erwanti_wahyu</t>
  </si>
  <si>
    <t>@herlinasalsabila16</t>
  </si>
  <si>
    <t>@esterlitaalexander</t>
  </si>
  <si>
    <t>@esyasparkles</t>
  </si>
  <si>
    <t>@jf.seeyah</t>
  </si>
  <si>
    <t>@euginiavalen220</t>
  </si>
  <si>
    <t>@euisramadhani12</t>
  </si>
  <si>
    <t>@karada_id</t>
  </si>
  <si>
    <t>@euisssspr</t>
  </si>
  <si>
    <t>@eunchaheunchah</t>
  </si>
  <si>
    <t>@mirza.mgfr</t>
  </si>
  <si>
    <t>@euzhanmarsa</t>
  </si>
  <si>
    <t>@nhyllaqym</t>
  </si>
  <si>
    <t>@evalita.tasya</t>
  </si>
  <si>
    <t>@prisciliabella</t>
  </si>
  <si>
    <t>@raniaahstr</t>
  </si>
  <si>
    <t>@exellnn_</t>
  </si>
  <si>
    <t>@salwakhalishaa</t>
  </si>
  <si>
    <t>@sfyt_nisa</t>
  </si>
  <si>
    <t>@explorewithbella</t>
  </si>
  <si>
    <t>@siti.f4tim4h</t>
  </si>
  <si>
    <t>@eygrasinuhaji</t>
  </si>
  <si>
    <t>@eyyowzizah</t>
  </si>
  <si>
    <t>@ummi_khaira_</t>
  </si>
  <si>
    <t>@ezaanbiyatisna374</t>
  </si>
  <si>
    <t>@wnywinn</t>
  </si>
  <si>
    <t>@faduyyy</t>
  </si>
  <si>
    <t>@yusufff04_</t>
  </si>
  <si>
    <t>@fahadhaydra</t>
  </si>
  <si>
    <t>@fahmiryz</t>
  </si>
  <si>
    <t>@arraliaruf</t>
  </si>
  <si>
    <t>@fahri.061</t>
  </si>
  <si>
    <t>@atikah_nurmala</t>
  </si>
  <si>
    <t>@fairouz_perdana</t>
  </si>
  <si>
    <t>@fajarmahez</t>
  </si>
  <si>
    <t>@deaputrik</t>
  </si>
  <si>
    <t>@fanahworld</t>
  </si>
  <si>
    <t>@fakhrimu</t>
  </si>
  <si>
    <t>@kevinmooses</t>
  </si>
  <si>
    <t>@falyaaqiela</t>
  </si>
  <si>
    <t>@letta_himeka29</t>
  </si>
  <si>
    <t>@fanggg66_</t>
  </si>
  <si>
    <t>@nukesaputraa</t>
  </si>
  <si>
    <t>@faniekalistiyana</t>
  </si>
  <si>
    <t>@priscillaakarens</t>
  </si>
  <si>
    <t>@fannydwimm</t>
  </si>
  <si>
    <t>@ragil_respati</t>
  </si>
  <si>
    <t>@fara_syafara2</t>
  </si>
  <si>
    <t>@skidsans</t>
  </si>
  <si>
    <t>@faradinaauliya</t>
  </si>
  <si>
    <t>@farahalula</t>
  </si>
  <si>
    <t>@farelibnu__</t>
  </si>
  <si>
    <t>@farhanadili</t>
  </si>
  <si>
    <t>@vie_evie</t>
  </si>
  <si>
    <t>@farrenbenedictus_</t>
  </si>
  <si>
    <t>@andira_83</t>
  </si>
  <si>
    <t>@desidwiyustiani</t>
  </si>
  <si>
    <t>@fathiafauzan</t>
  </si>
  <si>
    <t>@felizchang</t>
  </si>
  <si>
    <t>@fathinhafidzah24</t>
  </si>
  <si>
    <t>@fathria_satriani</t>
  </si>
  <si>
    <t>@kristiani_chen</t>
  </si>
  <si>
    <t>@fauzannoorqolbi</t>
  </si>
  <si>
    <t>@linda.fr4ns</t>
  </si>
  <si>
    <t>@fauziah.rachmawati</t>
  </si>
  <si>
    <t>@niffvirgiasari</t>
  </si>
  <si>
    <t>@osin__osin</t>
  </si>
  <si>
    <t>@febrianaelita</t>
  </si>
  <si>
    <t>@rafimnaf</t>
  </si>
  <si>
    <t>@febrinuzi</t>
  </si>
  <si>
    <t>@septianaragil</t>
  </si>
  <si>
    <t>@febryolaindra</t>
  </si>
  <si>
    <t>@aant_otomotif</t>
  </si>
  <si>
    <t>@fedrina.ads</t>
  </si>
  <si>
    <t>@albelajar</t>
  </si>
  <si>
    <t>@feelingaquarius</t>
  </si>
  <si>
    <t>@dwist89</t>
  </si>
  <si>
    <t>@feliaphang</t>
  </si>
  <si>
    <t>@felixlilacboy</t>
  </si>
  <si>
    <t>@fenygabriella</t>
  </si>
  <si>
    <t>@iffah_latifah88</t>
  </si>
  <si>
    <t>@irenelintong</t>
  </si>
  <si>
    <t>@ferenciaannabele</t>
  </si>
  <si>
    <t>@karinnmarzuki</t>
  </si>
  <si>
    <t>@ferendikaa</t>
  </si>
  <si>
    <t>@lalogstina</t>
  </si>
  <si>
    <t>@larashere__</t>
  </si>
  <si>
    <t>@ferrennabilapn</t>
  </si>
  <si>
    <t>@nilaavenila</t>
  </si>
  <si>
    <t>@ferrihc</t>
  </si>
  <si>
    <t>@riasasr</t>
  </si>
  <si>
    <t>@richaicha16</t>
  </si>
  <si>
    <t>@fieekazoo</t>
  </si>
  <si>
    <t>@fierlia15</t>
  </si>
  <si>
    <t>@yolakadeshi27</t>
  </si>
  <si>
    <t>@fika_afriyanti</t>
  </si>
  <si>
    <t>@fikamoo</t>
  </si>
  <si>
    <t>@ai_aprianti</t>
  </si>
  <si>
    <t>@fikramfahrurazi</t>
  </si>
  <si>
    <t>@ambarrachi</t>
  </si>
  <si>
    <t>@filipusadc</t>
  </si>
  <si>
    <t>@angelinasetiadii</t>
  </si>
  <si>
    <t>@angelitaiskandar</t>
  </si>
  <si>
    <t>@finaa_tsaniya</t>
  </si>
  <si>
    <t>@finaadiny</t>
  </si>
  <si>
    <t>@finadiana93</t>
  </si>
  <si>
    <t>@fineelhaq</t>
  </si>
  <si>
    <t>@balqissabhika</t>
  </si>
  <si>
    <t>@fio.stacey</t>
  </si>
  <si>
    <t>@fiona.melly</t>
  </si>
  <si>
    <t>@dethaniam_</t>
  </si>
  <si>
    <t>@firasyodhas</t>
  </si>
  <si>
    <t>@firdasaff</t>
  </si>
  <si>
    <t>@diandrachmi</t>
  </si>
  <si>
    <t>@diniastriani14</t>
  </si>
  <si>
    <t>@fitrahsakinahh</t>
  </si>
  <si>
    <t>@dinna_mystyle</t>
  </si>
  <si>
    <t>@el.natia</t>
  </si>
  <si>
    <t>@fitrianahisnainy</t>
  </si>
  <si>
    <t>@fdlhalkaf</t>
  </si>
  <si>
    <t>@fitrianirachmawati</t>
  </si>
  <si>
    <t>@fitriyendesi</t>
  </si>
  <si>
    <t>@ina_anilre</t>
  </si>
  <si>
    <t>@flame.drip</t>
  </si>
  <si>
    <t>@irmasinagah</t>
  </si>
  <si>
    <t>@floerlilie</t>
  </si>
  <si>
    <t>@khansagabril</t>
  </si>
  <si>
    <t>@fn_handayani</t>
  </si>
  <si>
    <t>@maurashafa</t>
  </si>
  <si>
    <t>@fngrlacc_</t>
  </si>
  <si>
    <t>@fooddoctor.id</t>
  </si>
  <si>
    <t>@nisskha</t>
  </si>
  <si>
    <t>@foodjournal_bdg</t>
  </si>
  <si>
    <t>@raishazeamutiba</t>
  </si>
  <si>
    <t>@fransiscaaa94</t>
  </si>
  <si>
    <t>@renandaand</t>
  </si>
  <si>
    <t>@fransiscamakdalena</t>
  </si>
  <si>
    <t>@fransiska.timothy</t>
  </si>
  <si>
    <t>@rskayuni</t>
  </si>
  <si>
    <t>@frdrck___</t>
  </si>
  <si>
    <t>@suspitha_</t>
  </si>
  <si>
    <t>@frederickyangg</t>
  </si>
  <si>
    <t>@syanaz.tifanabila25</t>
  </si>
  <si>
    <t>@frencha_toast</t>
  </si>
  <si>
    <t>@syarif.yosee</t>
  </si>
  <si>
    <t>@frishhhy</t>
  </si>
  <si>
    <t>@tyasayuswndr</t>
  </si>
  <si>
    <t>@frsmutiaraaa</t>
  </si>
  <si>
    <t>@veiloveita</t>
  </si>
  <si>
    <t>@fumie.aya</t>
  </si>
  <si>
    <t>@wulan6juli</t>
  </si>
  <si>
    <t>@gabi_ga_biel</t>
  </si>
  <si>
    <t>@annisahidayarahmahica</t>
  </si>
  <si>
    <t>@gabriellamileniaa</t>
  </si>
  <si>
    <t>@asya.ep</t>
  </si>
  <si>
    <t>@gabybsaputraa</t>
  </si>
  <si>
    <t>@ayu_ast</t>
  </si>
  <si>
    <t>@gadisaries97</t>
  </si>
  <si>
    <t>@azizahazwar23</t>
  </si>
  <si>
    <t>@gaklucuaku</t>
  </si>
  <si>
    <t>@claudya.dona</t>
  </si>
  <si>
    <t>@galuhe_</t>
  </si>
  <si>
    <t>@desdesshe</t>
  </si>
  <si>
    <t>@gamautidur</t>
  </si>
  <si>
    <t>@deviavril</t>
  </si>
  <si>
    <t>@garrilla666</t>
  </si>
  <si>
    <t>@dhaniutary</t>
  </si>
  <si>
    <t>@geges___</t>
  </si>
  <si>
    <t>@dhiangela88</t>
  </si>
  <si>
    <t>@gelialinda</t>
  </si>
  <si>
    <t>@genta_buanarr</t>
  </si>
  <si>
    <t>@gestanorio</t>
  </si>
  <si>
    <t>@geuneve</t>
  </si>
  <si>
    <t>@leninurjanah</t>
  </si>
  <si>
    <t>@geyongclub</t>
  </si>
  <si>
    <t>@lisadianaoktavia</t>
  </si>
  <si>
    <t>@ghaida_hakiki</t>
  </si>
  <si>
    <t>@nandafitriyaa</t>
  </si>
  <si>
    <t>@ghaniaa18</t>
  </si>
  <si>
    <t>@ghatfaan__</t>
  </si>
  <si>
    <t>@nurlaila90934</t>
  </si>
  <si>
    <t>@oy_hai</t>
  </si>
  <si>
    <t>@gigidprams</t>
  </si>
  <si>
    <t>@rivaldimy</t>
  </si>
  <si>
    <t>@gilangsamiadji</t>
  </si>
  <si>
    <t>@seiradlphhh_</t>
  </si>
  <si>
    <t>@gilannngr</t>
  </si>
  <si>
    <t>@sitifaradhilaranita</t>
  </si>
  <si>
    <t>@ginaagriani95</t>
  </si>
  <si>
    <t>@sitiialifahh</t>
  </si>
  <si>
    <t>@ginawidiav</t>
  </si>
  <si>
    <t>@giselarns</t>
  </si>
  <si>
    <t>@agnesvisia.re</t>
  </si>
  <si>
    <t>@gispanitaj</t>
  </si>
  <si>
    <t>@ararachma</t>
  </si>
  <si>
    <t>@ayurha13</t>
  </si>
  <si>
    <t>@gita_vbpr</t>
  </si>
  <si>
    <t>@gitahermanda</t>
  </si>
  <si>
    <t>@debiyuliaa</t>
  </si>
  <si>
    <t>@gitaprtwi</t>
  </si>
  <si>
    <t>@glennaxel</t>
  </si>
  <si>
    <t>@fiahmasfiah</t>
  </si>
  <si>
    <t>@glenoni</t>
  </si>
  <si>
    <t>@happywithjess</t>
  </si>
  <si>
    <t>@gracefeliciaaa</t>
  </si>
  <si>
    <t>@maudiriski</t>
  </si>
  <si>
    <t>@graciacarolinee</t>
  </si>
  <si>
    <t>@merindasr</t>
  </si>
  <si>
    <t>@gracieme_</t>
  </si>
  <si>
    <t>@najwa_maulida23</t>
  </si>
  <si>
    <t>@greatcatastrophe</t>
  </si>
  <si>
    <t>@nanalutfiana</t>
  </si>
  <si>
    <t>@grecia.yessefie</t>
  </si>
  <si>
    <t>@puutriaa</t>
  </si>
  <si>
    <t>@greygoosze</t>
  </si>
  <si>
    <t>@rezaputriamelia</t>
  </si>
  <si>
    <t>@gridddeliaa_</t>
  </si>
  <si>
    <t>@rheatjhai</t>
  </si>
  <si>
    <t>@grizzzlly3</t>
  </si>
  <si>
    <t>@rika.fransiska92</t>
  </si>
  <si>
    <t>@guessyoullhavetofindout</t>
  </si>
  <si>
    <t>@serayaworld</t>
  </si>
  <si>
    <t>@gunawannww</t>
  </si>
  <si>
    <t>@stephaprilia</t>
  </si>
  <si>
    <t>@gung_indii</t>
  </si>
  <si>
    <t>@widyajiwo</t>
  </si>
  <si>
    <t>@gungmaspemayun</t>
  </si>
  <si>
    <t>@witadwi52</t>
  </si>
  <si>
    <t>@guntur.d.feri</t>
  </si>
  <si>
    <t>@_rahayuncii</t>
  </si>
  <si>
    <t>@gurumasalalu</t>
  </si>
  <si>
    <t>@gurumudakamu</t>
  </si>
  <si>
    <t>@chainhere</t>
  </si>
  <si>
    <t>@cindyagilo</t>
  </si>
  <si>
    <t>@habibahrisa</t>
  </si>
  <si>
    <t>@ctraniarta</t>
  </si>
  <si>
    <t>@habibiedanayitanpanun</t>
  </si>
  <si>
    <t>@hahahen_</t>
  </si>
  <si>
    <t>@dje_putri92</t>
  </si>
  <si>
    <t>@dwpuspitaaa</t>
  </si>
  <si>
    <t>@haledomo</t>
  </si>
  <si>
    <t>@dyandy02</t>
  </si>
  <si>
    <t>@joyuthon</t>
  </si>
  <si>
    <t>@halotugek</t>
  </si>
  <si>
    <t>@lailysadiah19_</t>
  </si>
  <si>
    <t>@hamzahnstt</t>
  </si>
  <si>
    <t>@hanaalaydrus</t>
  </si>
  <si>
    <t>@haniffnh</t>
  </si>
  <si>
    <t>@meirinchan29</t>
  </si>
  <si>
    <t>@hanifthalib28</t>
  </si>
  <si>
    <t>@mmekuliner</t>
  </si>
  <si>
    <t>@hanin.arifah</t>
  </si>
  <si>
    <t>@hanisasarah18</t>
  </si>
  <si>
    <t>@muse_dianbudiati</t>
  </si>
  <si>
    <t>@ndahput07</t>
  </si>
  <si>
    <t>@hapvymeal</t>
  </si>
  <si>
    <t>@nurhidayahdena</t>
  </si>
  <si>
    <t>@hasnafizaa</t>
  </si>
  <si>
    <t>@rivani_rahmadani</t>
  </si>
  <si>
    <t>@hasnielo23</t>
  </si>
  <si>
    <t>@sdaninuri</t>
  </si>
  <si>
    <t>@hatethepipel</t>
  </si>
  <si>
    <t>@viranisa_riska</t>
  </si>
  <si>
    <t>@hay_thy</t>
  </si>
  <si>
    <t>@ay_akm</t>
  </si>
  <si>
    <t>@hay.sha30</t>
  </si>
  <si>
    <t>@hayillor</t>
  </si>
  <si>
    <t>@cmietamagotchi</t>
  </si>
  <si>
    <t>@haymoothia</t>
  </si>
  <si>
    <t>@headkirbyy</t>
  </si>
  <si>
    <t>@eci_chan30</t>
  </si>
  <si>
    <t>@hedii30_</t>
  </si>
  <si>
    <t>@princesssadira</t>
  </si>
  <si>
    <t>@hegyzy</t>
  </si>
  <si>
    <t>@ratusalza</t>
  </si>
  <si>
    <t>@hehebalik</t>
  </si>
  <si>
    <t>@sasikapretisa</t>
  </si>
  <si>
    <t>@helena_cj</t>
  </si>
  <si>
    <t>@hellosikecil</t>
  </si>
  <si>
    <t>@gizaamel_</t>
  </si>
  <si>
    <t>@helmaliiaaa_</t>
  </si>
  <si>
    <t>@helpbeauty07</t>
  </si>
  <si>
    <t>@sisca_zhang18</t>
  </si>
  <si>
    <t>@hendihindarto</t>
  </si>
  <si>
    <t>@sunarsiech_chochobiez</t>
  </si>
  <si>
    <t>@hendydaneka</t>
  </si>
  <si>
    <t>@xavierius_alvin</t>
  </si>
  <si>
    <t>@hendyprdn</t>
  </si>
  <si>
    <t>@henyperm</t>
  </si>
  <si>
    <t>@heracneblog</t>
  </si>
  <si>
    <t>@feralexia_</t>
  </si>
  <si>
    <t>@heri_horeh</t>
  </si>
  <si>
    <t>@fitrifree</t>
  </si>
  <si>
    <t>@herlina.elisa</t>
  </si>
  <si>
    <t>@herlinaaleee</t>
  </si>
  <si>
    <t>@tmcblog</t>
  </si>
  <si>
    <t>@heruahmaja</t>
  </si>
  <si>
    <t>@herustyler</t>
  </si>
  <si>
    <t>@demmyps_</t>
  </si>
  <si>
    <t>@heyitsarshya</t>
  </si>
  <si>
    <t>@evyjuliana_</t>
  </si>
  <si>
    <t>@heyitsciul</t>
  </si>
  <si>
    <t>@fitriani_rachmawati</t>
  </si>
  <si>
    <t>@heyitsmarwa</t>
  </si>
  <si>
    <t>@heyoo.lin</t>
  </si>
  <si>
    <t>@meongculinary</t>
  </si>
  <si>
    <t>@r_amalia98</t>
  </si>
  <si>
    <t>@heyyodila</t>
  </si>
  <si>
    <t>@al_uswa</t>
  </si>
  <si>
    <t>@hi_armaida</t>
  </si>
  <si>
    <t>@hilmy_zulvian</t>
  </si>
  <si>
    <t>@mrs.diah_kartika</t>
  </si>
  <si>
    <t>@hilusiana</t>
  </si>
  <si>
    <t>@noniikiky</t>
  </si>
  <si>
    <t>@hiwigooagain</t>
  </si>
  <si>
    <t>@abednego_n</t>
  </si>
  <si>
    <t>@hizkiia.s</t>
  </si>
  <si>
    <t>@houseofpamungkas</t>
  </si>
  <si>
    <t>@hoveryponen12</t>
  </si>
  <si>
    <t>@humairatushafa</t>
  </si>
  <si>
    <t>@humdyzyd</t>
  </si>
  <si>
    <t>@huningprastiwi</t>
  </si>
  <si>
    <t>@hxneybz</t>
  </si>
  <si>
    <t>@hyeiwn</t>
  </si>
  <si>
    <t>@hyemhyemla</t>
  </si>
  <si>
    <t>@hyly.angie</t>
  </si>
  <si>
    <t>@hypee.boyy</t>
  </si>
  <si>
    <t>@hythyrr</t>
  </si>
  <si>
    <t>@iaamsyn</t>
  </si>
  <si>
    <t>@iam_evole</t>
  </si>
  <si>
    <t>@iamferitaafr</t>
  </si>
  <si>
    <t>@iamhirman_</t>
  </si>
  <si>
    <t>@ibanana99</t>
  </si>
  <si>
    <t>@ibel_arumichy</t>
  </si>
  <si>
    <t>@ibuhajat123</t>
  </si>
  <si>
    <t>@ibukhappy</t>
  </si>
  <si>
    <t>@ica_anisa05</t>
  </si>
  <si>
    <t>@icaaakim</t>
  </si>
  <si>
    <t>@iceddmatchalatteee</t>
  </si>
  <si>
    <t>@ichaam_s</t>
  </si>
  <si>
    <t>@ichanovtiana</t>
  </si>
  <si>
    <t>@ichsansahrul</t>
  </si>
  <si>
    <t>@icindanjoy1</t>
  </si>
  <si>
    <t>@idanursiani1</t>
  </si>
  <si>
    <t>@iftinassya.rf</t>
  </si>
  <si>
    <t>@iga.pertamasari</t>
  </si>
  <si>
    <t>@igandhika23</t>
  </si>
  <si>
    <t>@ihipitih</t>
  </si>
  <si>
    <t>@ihsan.hafifi</t>
  </si>
  <si>
    <t>@iipehepii</t>
  </si>
  <si>
    <t>@ika66_</t>
  </si>
  <si>
    <t>@ikaastriekartika4</t>
  </si>
  <si>
    <t>@ike.m.ayu</t>
  </si>
  <si>
    <t>@ikeaini10</t>
  </si>
  <si>
    <t>@ikka.em</t>
  </si>
  <si>
    <t>@ilfa_ubayya</t>
  </si>
  <si>
    <t>@ilfinsight</t>
  </si>
  <si>
    <t>@im.jenniey</t>
  </si>
  <si>
    <t>@imeldadwl_</t>
  </si>
  <si>
    <t>@imoyazura16</t>
  </si>
  <si>
    <t>@inayofina</t>
  </si>
  <si>
    <t>@indahindys</t>
  </si>
  <si>
    <t>@indahmegaa1</t>
  </si>
  <si>
    <t>@indahoctria</t>
  </si>
  <si>
    <t>@indahrezkinatasya</t>
  </si>
  <si>
    <t>@indahrizkiani.kiki</t>
  </si>
  <si>
    <t>@indahsulis_s</t>
  </si>
  <si>
    <t>@indahtede_</t>
  </si>
  <si>
    <t>@indaindi</t>
  </si>
  <si>
    <t>@indhoktv8</t>
  </si>
  <si>
    <t>@indonesia.netizen</t>
  </si>
  <si>
    <t>@indrianilaila</t>
  </si>
  <si>
    <t>@indriarianti</t>
  </si>
  <si>
    <t>@inem_laundry</t>
  </si>
  <si>
    <t>@infocbng</t>
  </si>
  <si>
    <t>@inggridea</t>
  </si>
  <si>
    <t>@ini_mamet</t>
  </si>
  <si>
    <t>@iniakunitaa_</t>
  </si>
  <si>
    <t>@inidivyy</t>
  </si>
  <si>
    <t>@ininia9</t>
  </si>
  <si>
    <t>@iniputcah</t>
  </si>
  <si>
    <t>@inislan</t>
  </si>
  <si>
    <t>@initehwini</t>
  </si>
  <si>
    <t>@initokyolagii</t>
  </si>
  <si>
    <t>@inkatama_</t>
  </si>
  <si>
    <t>@inkathhh</t>
  </si>
  <si>
    <t>@inna_niya</t>
  </si>
  <si>
    <t>@inna.cahyani</t>
  </si>
  <si>
    <t>@inspirasipemuda.id</t>
  </si>
  <si>
    <t>@intan_nuraini3150</t>
  </si>
  <si>
    <t>@intansarass_</t>
  </si>
  <si>
    <t>@intanscbl</t>
  </si>
  <si>
    <t>@inungws12</t>
  </si>
  <si>
    <t>@iputpj</t>
  </si>
  <si>
    <t>@iqbalbaihaqyy</t>
  </si>
  <si>
    <t>@ireene_mariana?hl=en</t>
  </si>
  <si>
    <t>@irgicrayon</t>
  </si>
  <si>
    <t>@irliiy</t>
  </si>
  <si>
    <t>@irma_firda</t>
  </si>
  <si>
    <t>@irmasrie</t>
  </si>
  <si>
    <t>@isaamsudin</t>
  </si>
  <si>
    <t>@ishvaary</t>
  </si>
  <si>
    <t>@ismhayantii</t>
  </si>
  <si>
    <t>@isnainingtyas</t>
  </si>
  <si>
    <t>@isthatshabrina</t>
  </si>
  <si>
    <t>@iswara.alesha</t>
  </si>
  <si>
    <t>@isyarora</t>
  </si>
  <si>
    <t>@itajegegbaliid</t>
  </si>
  <si>
    <t>@its.browngurll</t>
  </si>
  <si>
    <t>@itsbrigittatifanny</t>
  </si>
  <si>
    <t>@itsmeralda</t>
  </si>
  <si>
    <t>@itsmestasi</t>
  </si>
  <si>
    <t>@itsmoanya</t>
  </si>
  <si>
    <t>@itsnfransisca</t>
  </si>
  <si>
    <t>@itzzme.maharani</t>
  </si>
  <si>
    <t>@ivyfeb</t>
  </si>
  <si>
    <t>@iyey.esj</t>
  </si>
  <si>
    <t>@iyinynrtaa</t>
  </si>
  <si>
    <t>@iyuz_inhiji</t>
  </si>
  <si>
    <t>@iyuzmisterius</t>
  </si>
  <si>
    <t>@izaraarta</t>
  </si>
  <si>
    <t>@j.noviena</t>
  </si>
  <si>
    <t>@jabdrr</t>
  </si>
  <si>
    <t>@jacqueswifee</t>
  </si>
  <si>
    <t>@jahekembangtahu</t>
  </si>
  <si>
    <t>@jaichrora</t>
  </si>
  <si>
    <t>@jaiiibruh</t>
  </si>
  <si>
    <t>@jakarta_zone</t>
  </si>
  <si>
    <t>@jakartalucu</t>
  </si>
  <si>
    <t>@jakia_wedding</t>
  </si>
  <si>
    <t>@jalanjalanjajananma</t>
  </si>
  <si>
    <t>@jamess.27</t>
  </si>
  <si>
    <t>@jamiputtiandini</t>
  </si>
  <si>
    <t>@janeabys</t>
  </si>
  <si>
    <t>@janeferrinka</t>
  </si>
  <si>
    <t>@jannafla</t>
  </si>
  <si>
    <t>@jannahcochrane</t>
  </si>
  <si>
    <t>@jasonoliv3r</t>
  </si>
  <si>
    <t>@jassminemhrn</t>
  </si>
  <si>
    <t>@javierstoy2.0</t>
  </si>
  <si>
    <t>@jaydenoliv3r</t>
  </si>
  <si>
    <t>@jeanjulian217</t>
  </si>
  <si>
    <t>@jeannirawidny</t>
  </si>
  <si>
    <t>@jecelline.els</t>
  </si>
  <si>
    <t>@jekichannn</t>
  </si>
  <si>
    <t>@jelitawidiaw</t>
  </si>
  <si>
    <t>@jellyjels_</t>
  </si>
  <si>
    <t>@jemmymelviano</t>
  </si>
  <si>
    <t>@jenniferchrstie</t>
  </si>
  <si>
    <t>@jenniferkezia99</t>
  </si>
  <si>
    <t>@jepe.14</t>
  </si>
  <si>
    <t>@jeremyviar1</t>
  </si>
  <si>
    <t>@jerkuy_</t>
  </si>
  <si>
    <t>@jesicaceren_</t>
  </si>
  <si>
    <t>@jessicajehaa</t>
  </si>
  <si>
    <t>@jessicanovia26</t>
  </si>
  <si>
    <t>@jesslynanggara</t>
  </si>
  <si>
    <t>@jesslynfed</t>
  </si>
  <si>
    <t>@jesslynjoy1</t>
  </si>
  <si>
    <t>@jevoonn</t>
  </si>
  <si>
    <t>@jhenyw</t>
  </si>
  <si>
    <t>@jiancokraimu</t>
  </si>
  <si>
    <t>@jillkimberlykwee</t>
  </si>
  <si>
    <t>@jkt48gracia</t>
  </si>
  <si>
    <t>@jnnzee</t>
  </si>
  <si>
    <t>@joevianly</t>
  </si>
  <si>
    <t>@joeybndkt</t>
  </si>
  <si>
    <t>@jogja_berada</t>
  </si>
  <si>
    <t>@jon.ganda</t>
  </si>
  <si>
    <t>@joseph1negaby</t>
  </si>
  <si>
    <t>@josephinehalim</t>
  </si>
  <si>
    <t>@jourimanzkyp</t>
  </si>
  <si>
    <t>@jovita.sulaiman</t>
  </si>
  <si>
    <t>@jtthere</t>
  </si>
  <si>
    <t>@jurnaldigital</t>
  </si>
  <si>
    <t>@jurnalsafa</t>
  </si>
  <si>
    <t>@just.ir.ma</t>
  </si>
  <si>
    <t>@justrelaxgurl</t>
  </si>
  <si>
    <t>@juwitalarast</t>
  </si>
  <si>
    <t>@juwllll</t>
  </si>
  <si>
    <t>@kaci.nuna</t>
  </si>
  <si>
    <t>@kadang.sokinggris</t>
  </si>
  <si>
    <t>@kaeside_</t>
  </si>
  <si>
    <t>@kafimbrk98__</t>
  </si>
  <si>
    <t>@kalyazhr</t>
  </si>
  <si>
    <t>@kamuflasse</t>
  </si>
  <si>
    <t>@kania_permatasari</t>
  </si>
  <si>
    <t>@kaniajoo</t>
  </si>
  <si>
    <t>@kanizzlle</t>
  </si>
  <si>
    <t>@karina_noor</t>
  </si>
  <si>
    <t>@karina_rattulangi</t>
  </si>
  <si>
    <t>@karinabelindaa</t>
  </si>
  <si>
    <t>@karl_home</t>
  </si>
  <si>
    <t>@kasyaaptr</t>
  </si>
  <si>
    <t>@kathleen_renee18</t>
  </si>
  <si>
    <t>@kathpriskila</t>
  </si>
  <si>
    <t>@kathypermata9</t>
  </si>
  <si>
    <t>@kayla_odeliazahra</t>
  </si>
  <si>
    <t>@kaylaaaapf</t>
  </si>
  <si>
    <t>@kaylahafsyari</t>
  </si>
  <si>
    <t>@keanuagl</t>
  </si>
  <si>
    <t>@keciilll</t>
  </si>
  <si>
    <t>@kee_ms</t>
  </si>
  <si>
    <t>@keerunnn</t>
  </si>
  <si>
    <t>@kehidupankoe</t>
  </si>
  <si>
    <t>@kehlaniaa</t>
  </si>
  <si>
    <t>@keiishabel</t>
  </si>
  <si>
    <t>@keila_naifa</t>
  </si>
  <si>
    <t>@kelompoklapan</t>
  </si>
  <si>
    <t>@keluargaa6zay</t>
  </si>
  <si>
    <t>@keluargacina</t>
  </si>
  <si>
    <t>@keluargapakseno</t>
  </si>
  <si>
    <t>@kenesah</t>
  </si>
  <si>
    <t>@kent.hadi</t>
  </si>
  <si>
    <t>@kepinappsss</t>
  </si>
  <si>
    <t>@kepusoccer</t>
  </si>
  <si>
    <t>@kesyaputrihsr</t>
  </si>
  <si>
    <t>@ketinmakan</t>
  </si>
  <si>
    <t>@kevinmuham</t>
  </si>
  <si>
    <t>@kevinyowilliam</t>
  </si>
  <si>
    <t>@keziaaletheia</t>
  </si>
  <si>
    <t>@keziaameliaviolin</t>
  </si>
  <si>
    <t>@keziaatmadji</t>
  </si>
  <si>
    <t>@keziachan88</t>
  </si>
  <si>
    <t>@keziaclaritaaa</t>
  </si>
  <si>
    <t>@keziasutrisna</t>
  </si>
  <si>
    <t>@keziatabita</t>
  </si>
  <si>
    <t>@khadijahaulya</t>
  </si>
  <si>
    <t>@khaleesieee</t>
  </si>
  <si>
    <t>@khalidibrahimoriginal</t>
  </si>
  <si>
    <t>@khan_theux</t>
  </si>
  <si>
    <t>@khansaneira</t>
  </si>
  <si>
    <t>@khilda_syafaini88</t>
  </si>
  <si>
    <t>@khodijahariani</t>
  </si>
  <si>
    <t>@kholifahrifani</t>
  </si>
  <si>
    <t>@kiaraflaviastory</t>
  </si>
  <si>
    <t>@kiki.tifani</t>
  </si>
  <si>
    <t>@kimatcha_</t>
  </si>
  <si>
    <t>@kimdea</t>
  </si>
  <si>
    <t>@kinancu</t>
  </si>
  <si>
    <t>@kingcempaka</t>
  </si>
  <si>
    <t>@kitingss</t>
  </si>
  <si>
    <t>@kodisgataukeberapa</t>
  </si>
  <si>
    <t>@kokopebasket</t>
  </si>
  <si>
    <t>@komangteguh11</t>
  </si>
  <si>
    <t>@krisna_hfa</t>
  </si>
  <si>
    <t>@krnchrs</t>
  </si>
  <si>
    <t>@kulturekit</t>
  </si>
  <si>
    <t>@kurniamadani_</t>
  </si>
  <si>
    <t>@kusumaadeewi</t>
  </si>
  <si>
    <t>@kyfania</t>
  </si>
  <si>
    <t>@kyyon1403</t>
  </si>
  <si>
    <t>@laaabos</t>
  </si>
  <si>
    <t>@lachimoolala</t>
  </si>
  <si>
    <t>@ladymeraliaa</t>
  </si>
  <si>
    <t>@lahisyaa</t>
  </si>
  <si>
    <t>@lahlupede</t>
  </si>
  <si>
    <t>@lakembaa</t>
  </si>
  <si>
    <t>@laksmidamayanti2</t>
  </si>
  <si>
    <t>@lalalafyouuu</t>
  </si>
  <si>
    <t>@lalardianss</t>
  </si>
  <si>
    <t>@lannytjo</t>
  </si>
  <si>
    <t>@lazhimah</t>
  </si>
  <si>
    <t>@lazuardimeri</t>
  </si>
  <si>
    <t>@leanderla8</t>
  </si>
  <si>
    <t>@leavlo_</t>
  </si>
  <si>
    <t>@leerubyv</t>
  </si>
  <si>
    <t>@leharoy_pattiradjawane</t>
  </si>
  <si>
    <t>@leibenoname</t>
  </si>
  <si>
    <t>@leninurj</t>
  </si>
  <si>
    <t>@lennyjuwita</t>
  </si>
  <si>
    <t>@lenynuragustina</t>
  </si>
  <si>
    <t>@leoahmdd</t>
  </si>
  <si>
    <t>@leongigs</t>
  </si>
  <si>
    <t>@leovarr</t>
  </si>
  <si>
    <t>@leurinz</t>
  </si>
  <si>
    <t>@lia_aranku</t>
  </si>
  <si>
    <t>@liaferianggrestiana</t>
  </si>
  <si>
    <t>@liasnamaruli</t>
  </si>
  <si>
    <t>@lidiabizza</t>
  </si>
  <si>
    <t>@lidianofi</t>
  </si>
  <si>
    <t>@liffanie</t>
  </si>
  <si>
    <t>@lifnisanders</t>
  </si>
  <si>
    <t>@lihaalihuu</t>
  </si>
  <si>
    <t>@lilidipsie</t>
  </si>
  <si>
    <t>@lilis_akmal</t>
  </si>
  <si>
    <t>@lilscott_x</t>
  </si>
  <si>
    <t>@lindanirmala24</t>
  </si>
  <si>
    <t>@lingling.sptri</t>
  </si>
  <si>
    <t>@linglinglinaa</t>
  </si>
  <si>
    <t>@lingrahma13</t>
  </si>
  <si>
    <t>@lintangmrld</t>
  </si>
  <si>
    <t>@lionwehlah</t>
  </si>
  <si>
    <t>@lisaandhiny</t>
  </si>
  <si>
    <t>@lisahaliza27</t>
  </si>
  <si>
    <t>@lissacahaya_</t>
  </si>
  <si>
    <t>@lita.christabel</t>
  </si>
  <si>
    <t>@littlevendust</t>
  </si>
  <si>
    <t>@liviagabriell</t>
  </si>
  <si>
    <t>@livianatalya</t>
  </si>
  <si>
    <t>@llealinaa</t>
  </si>
  <si>
    <t>@longleggedgirl</t>
  </si>
  <si>
    <t>@louivigrace</t>
  </si>
  <si>
    <t>@louuvrtapee</t>
  </si>
  <si>
    <t>@lubabaa_</t>
  </si>
  <si>
    <t>@luciana_rina_silaban_</t>
  </si>
  <si>
    <t>@luckybimansyah3</t>
  </si>
  <si>
    <t>@lulssky</t>
  </si>
  <si>
    <t>@luniyd91</t>
  </si>
  <si>
    <t>@lupitaalitaa</t>
  </si>
  <si>
    <t>@lutfi.afansyah</t>
  </si>
  <si>
    <t>@lutfiadicha</t>
  </si>
  <si>
    <t>@lydiaaas__</t>
  </si>
  <si>
    <t>@lydiawidianti</t>
  </si>
  <si>
    <t>@lyta_annidapranata</t>
  </si>
  <si>
    <t>@maachiat0o</t>
  </si>
  <si>
    <t>@machan15</t>
  </si>
  <si>
    <t>@magdalenabhe</t>
  </si>
  <si>
    <t>@mahirakaniss</t>
  </si>
  <si>
    <t>@maintennis</t>
  </si>
  <si>
    <t>@makansamakoko</t>
  </si>
  <si>
    <t>@makeupjesslyn</t>
  </si>
  <si>
    <t>@makimadagingcincang</t>
  </si>
  <si>
    <t>@malameze</t>
  </si>
  <si>
    <t>@maleikhi</t>
  </si>
  <si>
    <t>@mamabercerita</t>
  </si>
  <si>
    <t>@mamanianindi</t>
  </si>
  <si>
    <t>@mamasaverodansheila_</t>
  </si>
  <si>
    <t>@mami_divinia</t>
  </si>
  <si>
    <t>@mamibubos</t>
  </si>
  <si>
    <t>@mamijaksel</t>
  </si>
  <si>
    <t>@mandputrr</t>
  </si>
  <si>
    <t>@mankemond</t>
  </si>
  <si>
    <t>@mantrianarani</t>
  </si>
  <si>
    <t>@marcelldarwin58</t>
  </si>
  <si>
    <t>@marcusapi</t>
  </si>
  <si>
    <t>@mardatillahika</t>
  </si>
  <si>
    <t>@margareta.wijaya</t>
  </si>
  <si>
    <t>@margareth_angelina</t>
  </si>
  <si>
    <t>@maria_isnaini</t>
  </si>
  <si>
    <t>@mariaasfc</t>
  </si>
  <si>
    <t>@marinasea26</t>
  </si>
  <si>
    <t>@marindaaws</t>
  </si>
  <si>
    <t>@mariodelano</t>
  </si>
  <si>
    <t>@marissa.megawati</t>
  </si>
  <si>
    <t>@maritzazhrsy</t>
  </si>
  <si>
    <t>@mariyamanta</t>
  </si>
  <si>
    <t>@marsha.jkt48</t>
  </si>
  <si>
    <t>@marshaaazhr</t>
  </si>
  <si>
    <t>@masayudebby89</t>
  </si>
  <si>
    <t>@masmasjawabantul</t>
  </si>
  <si>
    <t>@maswendix</t>
  </si>
  <si>
    <t>@matakukecil</t>
  </si>
  <si>
    <t>@maudyalmiraa</t>
  </si>
  <si>
    <t>@maulanaalzukhri</t>
  </si>
  <si>
    <t>@maulidads</t>
  </si>
  <si>
    <t>@maulisarh</t>
  </si>
  <si>
    <t>@maumaukuji</t>
  </si>
  <si>
    <t>@maurenhwang</t>
  </si>
  <si>
    <t>@mawang.s.i</t>
  </si>
  <si>
    <t>@mawminumaja</t>
  </si>
  <si>
    <t>@may_angeliska</t>
  </si>
  <si>
    <t>@mayadinasaa</t>
  </si>
  <si>
    <t>@mayaems</t>
  </si>
  <si>
    <t>@mayamonica.s</t>
  </si>
  <si>
    <t>@maychelta_love</t>
  </si>
  <si>
    <t>@mayradeva</t>
  </si>
  <si>
    <t>@mayshajhuann</t>
  </si>
  <si>
    <t>@mbakverro</t>
  </si>
  <si>
    <t>@me.me.meiii</t>
  </si>
  <si>
    <t>@meandthingss</t>
  </si>
  <si>
    <t>@meiangeel</t>
  </si>
  <si>
    <t>@meighayudyhs</t>
  </si>
  <si>
    <t>@meiipriska</t>
  </si>
  <si>
    <t>@meiraniamalia</t>
  </si>
  <si>
    <t>@mel_mly20</t>
  </si>
  <si>
    <t>@melatiyeka</t>
  </si>
  <si>
    <t>@melianasiska06</t>
  </si>
  <si>
    <t>@melidaasti</t>
  </si>
  <si>
    <t>@melisa_kusnadi</t>
  </si>
  <si>
    <t>@melisawd__</t>
  </si>
  <si>
    <t>@melissaanggriawan</t>
  </si>
  <si>
    <t>@mellyana.thalikaa</t>
  </si>
  <si>
    <t>@melycholif</t>
  </si>
  <si>
    <t>@memoirpng</t>
  </si>
  <si>
    <t>@merasaria</t>
  </si>
  <si>
    <t>@merlinnats_</t>
  </si>
  <si>
    <t>@metametw</t>
  </si>
  <si>
    <t>@mfarellm_</t>
  </si>
  <si>
    <t>@mfdtnnaf_27</t>
  </si>
  <si>
    <t>@miaagstyn</t>
  </si>
  <si>
    <t>@miahomecatfe</t>
  </si>
  <si>
    <t>@miarefafadila</t>
  </si>
  <si>
    <t>@miawwwallace</t>
  </si>
  <si>
    <t>@mich.lauren_</t>
  </si>
  <si>
    <t>@michaelgwn</t>
  </si>
  <si>
    <t>@michaeltjiu</t>
  </si>
  <si>
    <t>@michelladominique</t>
  </si>
  <si>
    <t>@michelle_v.k</t>
  </si>
  <si>
    <t>@michelleoktani</t>
  </si>
  <si>
    <t>@michelletaniago</t>
  </si>
  <si>
    <t>@mifta.kharimah</t>
  </si>
  <si>
    <t>@mikety08</t>
  </si>
  <si>
    <t>@miledut</t>
  </si>
  <si>
    <t>@mimauluddin</t>
  </si>
  <si>
    <t>@mimii.fairy</t>
  </si>
  <si>
    <t>@minaharisatullisan</t>
  </si>
  <si>
    <t>@minihomeabil</t>
  </si>
  <si>
    <t>@miniituhamini</t>
  </si>
  <si>
    <t>@minijetplane</t>
  </si>
  <si>
    <t>@minla_yg</t>
  </si>
  <si>
    <t>@miraa.fj</t>
  </si>
  <si>
    <t>@mirawaty17</t>
  </si>
  <si>
    <t>@missevev</t>
  </si>
  <si>
    <t>@misyandpiyo</t>
  </si>
  <si>
    <t>@mitseliathya</t>
  </si>
  <si>
    <t>@mlfyfngrstyl</t>
  </si>
  <si>
    <t>@mnayuninglistya</t>
  </si>
  <si>
    <t>@mochamadziddan</t>
  </si>
  <si>
    <t>@mohamedaces</t>
  </si>
  <si>
    <t>@moietchance</t>
  </si>
  <si>
    <t>@moladelle</t>
  </si>
  <si>
    <t>@momcenzio</t>
  </si>
  <si>
    <t>@mommycio0621</t>
  </si>
  <si>
    <t>@monica_ivha</t>
  </si>
  <si>
    <t>@monica.vio</t>
  </si>
  <si>
    <t>@monicantoniio</t>
  </si>
  <si>
    <t>@monichrhd</t>
  </si>
  <si>
    <t>@monnnnnnnique</t>
  </si>
  <si>
    <t>@montparnasse6eme</t>
  </si>
  <si>
    <t>@morningtaisback</t>
  </si>
  <si>
    <t>@mr.eat374</t>
  </si>
  <si>
    <t>@mr.hana_</t>
  </si>
  <si>
    <t>@mrgara</t>
  </si>
  <si>
    <t>@mrgoldbag</t>
  </si>
  <si>
    <t>@mrs.arrusydi</t>
  </si>
  <si>
    <t>@mrsstellach</t>
  </si>
  <si>
    <t>@ms.sherlyo</t>
  </si>
  <si>
    <t>@msacnebegone</t>
  </si>
  <si>
    <t>@msfarhmhoops</t>
  </si>
  <si>
    <t>@msolinaya_</t>
  </si>
  <si>
    <t>@mtrayaa_</t>
  </si>
  <si>
    <t>@muhammadarjun</t>
  </si>
  <si>
    <t>@muhammadcarlos</t>
  </si>
  <si>
    <t>@murnidwikartika</t>
  </si>
  <si>
    <t>@muthejkt48</t>
  </si>
  <si>
    <t>@my.linho</t>
  </si>
  <si>
    <t>@mydeyaaa</t>
  </si>
  <si>
    <t>@mysecrets3lf</t>
  </si>
  <si>
    <t>@n.ureee</t>
  </si>
  <si>
    <t>@naadinndiana</t>
  </si>
  <si>
    <t>@nabilaishma</t>
  </si>
  <si>
    <t>@nabillamentary</t>
  </si>
  <si>
    <t>@nadaferlysia</t>
  </si>
  <si>
    <t>@naddyadea</t>
  </si>
  <si>
    <t>@nadfitr</t>
  </si>
  <si>
    <t>@nadianesa</t>
  </si>
  <si>
    <t>@nadirardys</t>
  </si>
  <si>
    <t>@nadsyzhr</t>
  </si>
  <si>
    <t>@nadya.diego</t>
  </si>
  <si>
    <t>@nadyaaqillaa</t>
  </si>
  <si>
    <t>@nadyabels</t>
  </si>
  <si>
    <t>@naelunsukarelawati18</t>
  </si>
  <si>
    <t>@naely_rachmah</t>
  </si>
  <si>
    <t>@nagi.shaq</t>
  </si>
  <si>
    <t>@nahdaia</t>
  </si>
  <si>
    <t>@naila_aisyah_zahra</t>
  </si>
  <si>
    <t>@nailamunandar</t>
  </si>
  <si>
    <t>@nailarushadd</t>
  </si>
  <si>
    <t>@najlalalalaa</t>
  </si>
  <si>
    <t>@najwaaeyn</t>
  </si>
  <si>
    <t>@najwaqim</t>
  </si>
  <si>
    <t>@namanyajuag</t>
  </si>
  <si>
    <t>@namiraagustinaa</t>
  </si>
  <si>
    <t>@namiradjani</t>
  </si>
  <si>
    <t>@namiraratuu</t>
  </si>
  <si>
    <t>@nananailafhra</t>
  </si>
  <si>
    <t>@nanasarmu</t>
  </si>
  <si>
    <t>@nancmayta</t>
  </si>
  <si>
    <t>@nandapriscillia29</t>
  </si>
  <si>
    <t>@nashani.dindra</t>
  </si>
  <si>
    <t>@nashyasyara</t>
  </si>
  <si>
    <t>@natalia_aysien</t>
  </si>
  <si>
    <t>@nataliajulyana</t>
  </si>
  <si>
    <t>@natashahiranyy</t>
  </si>
  <si>
    <t>@natasianurwitas</t>
  </si>
  <si>
    <t>@natasya_arenta</t>
  </si>
  <si>
    <t>@naufalfawwaz_official</t>
  </si>
  <si>
    <t>@naura_alya_of</t>
  </si>
  <si>
    <t>@nauraadheliaputri</t>
  </si>
  <si>
    <t>@nazila_ummu_faza</t>
  </si>
  <si>
    <t>@nazla.tiara</t>
  </si>
  <si>
    <t>@nazlakhn</t>
  </si>
  <si>
    <t>@neayayah</t>
  </si>
  <si>
    <t>@nessa.sadin</t>
  </si>
  <si>
    <t>@nestie_27</t>
  </si>
  <si>
    <t>@neymakeup</t>
  </si>
  <si>
    <t>@nfkeyla</t>
  </si>
  <si>
    <t>@ngabtos</t>
  </si>
  <si>
    <t>@ngunyahwithtaufik</t>
  </si>
  <si>
    <t>@nia_rizq</t>
  </si>
  <si>
    <t>@nia.knia1</t>
  </si>
  <si>
    <t>@nichawili</t>
  </si>
  <si>
    <t>@nida_mufidah22</t>
  </si>
  <si>
    <t>@nikenandalusia</t>
  </si>
  <si>
    <t>@niki.shuu</t>
  </si>
  <si>
    <t>@nikiwindia</t>
  </si>
  <si>
    <t>@nilaqueen_</t>
  </si>
  <si>
    <t>@niluhputurisyaandari</t>
  </si>
  <si>
    <t>@nindahaf</t>
  </si>
  <si>
    <t>@nindidewi_</t>
  </si>
  <si>
    <t>@ninunaaa</t>
  </si>
  <si>
    <t>@nirwaanantya</t>
  </si>
  <si>
    <t>@nisaa027_</t>
  </si>
  <si>
    <t>@nisabilahanjani</t>
  </si>
  <si>
    <t>@nisheilaf</t>
  </si>
  <si>
    <t>@nissanisyanur</t>
  </si>
  <si>
    <t>@nita.juwithafina</t>
  </si>
  <si>
    <t>@nitafebri01</t>
  </si>
  <si>
    <t>@nitamaharanie</t>
  </si>
  <si>
    <t>@nizzuyy</t>
  </si>
  <si>
    <t>@nmaliccaa</t>
  </si>
  <si>
    <t>@nn.khitt</t>
  </si>
  <si>
    <t>@noellaanindhita</t>
  </si>
  <si>
    <t>@noiscawinasonya</t>
  </si>
  <si>
    <t>@nooppa_</t>
  </si>
  <si>
    <t>@notcaci</t>
  </si>
  <si>
    <t>@notriisaaa</t>
  </si>
  <si>
    <t>@notsol0nely</t>
  </si>
  <si>
    <t>@notursupport</t>
  </si>
  <si>
    <t>@notyourtentor</t>
  </si>
  <si>
    <t>@noureen_adam</t>
  </si>
  <si>
    <t>@novilgstnn</t>
  </si>
  <si>
    <t>@nr.rahmat_</t>
  </si>
  <si>
    <t>@nrlzkh_</t>
  </si>
  <si>
    <t>@ns.putubahagiana</t>
  </si>
  <si>
    <t>@ntlygp</t>
  </si>
  <si>
    <t>@nugiestyles</t>
  </si>
  <si>
    <t>@nunanash_04</t>
  </si>
  <si>
    <t>@nur_mujiana90</t>
  </si>
  <si>
    <t>@nuraliyanatasha13</t>
  </si>
  <si>
    <t>@nurmeyuliai94</t>
  </si>
  <si>
    <t>@nuruladds</t>
  </si>
  <si>
    <t>@nurulafrinaapt</t>
  </si>
  <si>
    <t>@nurulmahfudhotin</t>
  </si>
  <si>
    <t>@nutri.jilie</t>
  </si>
  <si>
    <t>@nyakizza</t>
  </si>
  <si>
    <t>@nyndooo</t>
  </si>
  <si>
    <t>@nyok_elen</t>
  </si>
  <si>
    <t>@oceanasky_</t>
  </si>
  <si>
    <t>@odikabayu</t>
  </si>
  <si>
    <t>@ohipaipa</t>
  </si>
  <si>
    <t>@oktadanik</t>
  </si>
  <si>
    <t>@oktavialaw</t>
  </si>
  <si>
    <t>@olgazebrinaa</t>
  </si>
  <si>
    <t>@oliphyo</t>
  </si>
  <si>
    <t>@oliverjane</t>
  </si>
  <si>
    <t>@olivesuryanto</t>
  </si>
  <si>
    <t>@ollskull</t>
  </si>
  <si>
    <t>@olviapp</t>
  </si>
  <si>
    <t>@onedinda</t>
  </si>
  <si>
    <t>@onie_callista</t>
  </si>
  <si>
    <t>@opakaefsi</t>
  </si>
  <si>
    <t>@orandm</t>
  </si>
  <si>
    <t>@oryzaaaaaf</t>
  </si>
  <si>
    <t>@othersideofcaroline</t>
  </si>
  <si>
    <t>@oubreyauliaa</t>
  </si>
  <si>
    <t>@outbrakeid</t>
  </si>
  <si>
    <t>@ovi_roro</t>
  </si>
  <si>
    <t>@ovierestii</t>
  </si>
  <si>
    <t>@ovilia_dht</t>
  </si>
  <si>
    <t>@ovillaasdha</t>
  </si>
  <si>
    <t>@pacarkamuinii</t>
  </si>
  <si>
    <t>@pacarwooseok_oppa</t>
  </si>
  <si>
    <t>@padeendul</t>
  </si>
  <si>
    <t>@pamelaigann</t>
  </si>
  <si>
    <t>@panjijawara</t>
  </si>
  <si>
    <t>@paperflower_bylita</t>
  </si>
  <si>
    <t>@parent.ina</t>
  </si>
  <si>
    <t>@patricevianca</t>
  </si>
  <si>
    <t>@patrinevianca</t>
  </si>
  <si>
    <t>@pattygurlz</t>
  </si>
  <si>
    <t>@paulinekharisma</t>
  </si>
  <si>
    <t>@payy______sya</t>
  </si>
  <si>
    <t>@pdx.kitty</t>
  </si>
  <si>
    <t>@peaceano</t>
  </si>
  <si>
    <t>@pencildrwng</t>
  </si>
  <si>
    <t>@perdana.indra</t>
  </si>
  <si>
    <t>@pesimussel</t>
  </si>
  <si>
    <t>@phinadyaenggar</t>
  </si>
  <si>
    <t>@phoebevalentina</t>
  </si>
  <si>
    <t>@plumptolean</t>
  </si>
  <si>
    <t>@pluto0child</t>
  </si>
  <si>
    <t>@plxelqrte</t>
  </si>
  <si>
    <t>@pophaustic</t>
  </si>
  <si>
    <t>@pranastyaiqball</t>
  </si>
  <si>
    <t>@praserika2</t>
  </si>
  <si>
    <t>@pratiwidya_</t>
  </si>
  <si>
    <t>@prawindafitri</t>
  </si>
  <si>
    <t>@pricilia_micca</t>
  </si>
  <si>
    <t>@pridmagusti</t>
  </si>
  <si>
    <t>@primabaros</t>
  </si>
  <si>
    <t>@princes_clovenka</t>
  </si>
  <si>
    <t>@priscilla.wresty</t>
  </si>
  <si>
    <t>@priscillaraintung</t>
  </si>
  <si>
    <t>@priscillia_danillie18</t>
  </si>
  <si>
    <t>@priscufifuh</t>
  </si>
  <si>
    <t>@priska_christnova</t>
  </si>
  <si>
    <t>@prmswrijanii</t>
  </si>
  <si>
    <t>@proterinabati</t>
  </si>
  <si>
    <t>@prscllseira</t>
  </si>
  <si>
    <t>@prudenceangl</t>
  </si>
  <si>
    <t>@ptr_mayangg</t>
  </si>
  <si>
    <t>@ptramrqz_</t>
  </si>
  <si>
    <t>@puahsitistory</t>
  </si>
  <si>
    <t>@pungkydp17</t>
  </si>
  <si>
    <t>@puputrimakeup</t>
  </si>
  <si>
    <t>@pupuyeng_</t>
  </si>
  <si>
    <t>@purplelithaass</t>
  </si>
  <si>
    <t>@puspitajati</t>
  </si>
  <si>
    <t>@puspitawulandari88</t>
  </si>
  <si>
    <t>@puspitayusari</t>
  </si>
  <si>
    <t>@putcorn</t>
  </si>
  <si>
    <t>@puteriersa</t>
  </si>
  <si>
    <t>@putrakangkuk</t>
  </si>
  <si>
    <t>@putramangaraja</t>
  </si>
  <si>
    <t>@putriaasyy</t>
  </si>
  <si>
    <t>@putriduyung14</t>
  </si>
  <si>
    <t>@putriiii_1709</t>
  </si>
  <si>
    <t>@putrimith</t>
  </si>
  <si>
    <t>@putrinurwanti11</t>
  </si>
  <si>
    <t>@putrisarahsanly</t>
  </si>
  <si>
    <t>@putrynie</t>
  </si>
  <si>
    <t>@puttri_joy</t>
  </si>
  <si>
    <t>@pylucious</t>
  </si>
  <si>
    <t>@qifa_r</t>
  </si>
  <si>
    <t>@qiminyoo</t>
  </si>
  <si>
    <t>@qonita.zh</t>
  </si>
  <si>
    <t>@qqdilla</t>
  </si>
  <si>
    <t>@queen_veeoliviaa</t>
  </si>
  <si>
    <t>@quinn.jiva</t>
  </si>
  <si>
    <t>@quinshakimora</t>
  </si>
  <si>
    <t>@r00fle</t>
  </si>
  <si>
    <t>@r12h05</t>
  </si>
  <si>
    <t>@racerlaoban</t>
  </si>
  <si>
    <t>@rachelins11</t>
  </si>
  <si>
    <t>@racunwithdivani</t>
  </si>
  <si>
    <t>@racuuunwidya</t>
  </si>
  <si>
    <t>@radeis_mokoginta</t>
  </si>
  <si>
    <t>@radenajengagustina_</t>
  </si>
  <si>
    <t>@radintabtari</t>
  </si>
  <si>
    <t>@raffattarrayyan</t>
  </si>
  <si>
    <t>@raflyfs7</t>
  </si>
  <si>
    <t>@rahadianfaqih</t>
  </si>
  <si>
    <t>@rahimmahs</t>
  </si>
  <si>
    <t>@rahmadani_safitri13</t>
  </si>
  <si>
    <t>@rahmandaps</t>
  </si>
  <si>
    <t>@rahmicahyasarii</t>
  </si>
  <si>
    <t>@raihandwindra</t>
  </si>
  <si>
    <t>@rainaaaa02</t>
  </si>
  <si>
    <t>@rainaomi.alesha.mashel</t>
  </si>
  <si>
    <t>@raindahmaydna</t>
  </si>
  <si>
    <t>@raisha.ar</t>
  </si>
  <si>
    <t>@raissanadia11</t>
  </si>
  <si>
    <t>@rakkazizz</t>
  </si>
  <si>
    <t>@ralpheugene15</t>
  </si>
  <si>
    <t>@ramadhan_sraj</t>
  </si>
  <si>
    <t>@ramorasya</t>
  </si>
  <si>
    <t>@ramzibayhaqie</t>
  </si>
  <si>
    <t>@raniaacantika</t>
  </si>
  <si>
    <t>@raniahalaydroes</t>
  </si>
  <si>
    <t>@raniueow</t>
  </si>
  <si>
    <t>@raracellina</t>
  </si>
  <si>
    <t>@rarascitra</t>
  </si>
  <si>
    <t>@rashdamawn</t>
  </si>
  <si>
    <t>@ratich.palgunadi</t>
  </si>
  <si>
    <t>@ratih_putri0</t>
  </si>
  <si>
    <t>@ratih.diningsih</t>
  </si>
  <si>
    <t>@ratikaptri</t>
  </si>
  <si>
    <t>@ratna.kartiika</t>
  </si>
  <si>
    <t>@ratnasabilla</t>
  </si>
  <si>
    <t>@ratu.ghania</t>
  </si>
  <si>
    <t>@ratujesya</t>
  </si>
  <si>
    <t>@ratukachitaa</t>
  </si>
  <si>
    <t>@ratukusumaningrum</t>
  </si>
  <si>
    <t>@rauzyiranda</t>
  </si>
  <si>
    <t>@ravondra_asyam</t>
  </si>
  <si>
    <t>@ravuuunzel</t>
  </si>
  <si>
    <t>@raybel.14</t>
  </si>
  <si>
    <t>@raynaaptr_</t>
  </si>
  <si>
    <t>@raynaldowijaya</t>
  </si>
  <si>
    <t>@razanialsya</t>
  </si>
  <si>
    <t>@rcnsqrtyn</t>
  </si>
  <si>
    <t>@rdiaaan</t>
  </si>
  <si>
    <t>@rdnanik</t>
  </si>
  <si>
    <t>@reaaaulyh_</t>
  </si>
  <si>
    <t>@recepiforyouu</t>
  </si>
  <si>
    <t>@redjaramli19</t>
  </si>
  <si>
    <t>@regiitenk</t>
  </si>
  <si>
    <t>@regina.audrianov</t>
  </si>
  <si>
    <t>@regina.tanya</t>
  </si>
  <si>
    <t>@reginaayudita</t>
  </si>
  <si>
    <t>@reginaltf</t>
  </si>
  <si>
    <t>@reinermawan</t>
  </si>
  <si>
    <t>@rekomendasi_abin</t>
  </si>
  <si>
    <t>@renssinaaa_</t>
  </si>
  <si>
    <t>@rereeonni</t>
  </si>
  <si>
    <t>@resansp</t>
  </si>
  <si>
    <t>@resisundari29</t>
  </si>
  <si>
    <t>@restawin99</t>
  </si>
  <si>
    <t>@restusyahputrii</t>
  </si>
  <si>
    <t>@retnanikory</t>
  </si>
  <si>
    <t>@revelkenneth</t>
  </si>
  <si>
    <t>@reviewmamais</t>
  </si>
  <si>
    <t>@reviewyuk21</t>
  </si>
  <si>
    <t>@reyza.dahlia</t>
  </si>
  <si>
    <t>@rezartari</t>
  </si>
  <si>
    <t>@rframadhantyy</t>
  </si>
  <si>
    <t>@rfrzazzz</t>
  </si>
  <si>
    <t>@rftkmida_</t>
  </si>
  <si>
    <t>@rgdiwan1010</t>
  </si>
  <si>
    <t>@rhasiebatarap</t>
  </si>
  <si>
    <t>@rhizmaa78</t>
  </si>
  <si>
    <t>@rhmdniainbri_</t>
  </si>
  <si>
    <t>@riadnti</t>
  </si>
  <si>
    <t>@ribkaaugust</t>
  </si>
  <si>
    <t>@richa_annisa</t>
  </si>
  <si>
    <t>@ridho_mohamad</t>
  </si>
  <si>
    <t>@ridwan.maulanaa_</t>
  </si>
  <si>
    <t>@rie_nadisya</t>
  </si>
  <si>
    <t>@rifaneyy0</t>
  </si>
  <si>
    <t>@rifel_ipe04</t>
  </si>
  <si>
    <t>@rifkarofiah</t>
  </si>
  <si>
    <t>@riiidh0</t>
  </si>
  <si>
    <t>@riiyanti30</t>
  </si>
  <si>
    <t>@rikaaaaams</t>
  </si>
  <si>
    <t>@rikaakhanaa</t>
  </si>
  <si>
    <t>@rikigustiana</t>
  </si>
  <si>
    <t>@rimarismayanti56</t>
  </si>
  <si>
    <t>@rina_hayden_evelyn</t>
  </si>
  <si>
    <t>@rinaldyprast</t>
  </si>
  <si>
    <t>@rinanose_josscy</t>
  </si>
  <si>
    <t>@riniperdiyanti77</t>
  </si>
  <si>
    <t>@riopra22_</t>
  </si>
  <si>
    <t>@ripanakmalamir</t>
  </si>
  <si>
    <t>@ririeprameswari</t>
  </si>
  <si>
    <t>@ririi.tann</t>
  </si>
  <si>
    <t>@risamhq</t>
  </si>
  <si>
    <t>@riska_aseftiana</t>
  </si>
  <si>
    <t>@riskeu7134</t>
  </si>
  <si>
    <t>@riskisorra</t>
  </si>
  <si>
    <t>@riskyamiliya</t>
  </si>
  <si>
    <t>@rismaaisyah11</t>
  </si>
  <si>
    <t>@risolunyil</t>
  </si>
  <si>
    <t>@ristafhani</t>
  </si>
  <si>
    <t>@risty.aja</t>
  </si>
  <si>
    <t>@ritmaraa</t>
  </si>
  <si>
    <t>@rivanirahmadani</t>
  </si>
  <si>
    <t>@rizalhamzahnasution</t>
  </si>
  <si>
    <t>@rizanjani</t>
  </si>
  <si>
    <t>@rizantifadilah</t>
  </si>
  <si>
    <t>@rizayitnawati</t>
  </si>
  <si>
    <t>@rizkambalika</t>
  </si>
  <si>
    <t>@rizkayunindaa</t>
  </si>
  <si>
    <t>@rizkiapebriyantii</t>
  </si>
  <si>
    <t>@rizkymaulana5450</t>
  </si>
  <si>
    <t>@rizmalda_</t>
  </si>
  <si>
    <t>@rlinachang</t>
  </si>
  <si>
    <t>@ronal.kim_taeroo98</t>
  </si>
  <si>
    <t>@ronaldandrian.k</t>
  </si>
  <si>
    <t>@ronaromansyah11</t>
  </si>
  <si>
    <t>@rosaliameydln</t>
  </si>
  <si>
    <t>@rosellienonn</t>
  </si>
  <si>
    <t>@rosiiii_1</t>
  </si>
  <si>
    <t>@rosiitaputri_</t>
  </si>
  <si>
    <t>@rowienaumboh</t>
  </si>
  <si>
    <t>@rozeismyname</t>
  </si>
  <si>
    <t>@rrajjaar_</t>
  </si>
  <si>
    <t>@rratuasha</t>
  </si>
  <si>
    <t>@rratuwn</t>
  </si>
  <si>
    <t>@rumah.atu</t>
  </si>
  <si>
    <t>@rumah.kaia</t>
  </si>
  <si>
    <t>@rumahriqata</t>
  </si>
  <si>
    <t>@rumahurang</t>
  </si>
  <si>
    <t>@rushrunners</t>
  </si>
  <si>
    <t>@ruthwilianto</t>
  </si>
  <si>
    <t>@rvylichah</t>
  </si>
  <si>
    <t>@ryana15_</t>
  </si>
  <si>
    <t>@ryanayam</t>
  </si>
  <si>
    <t>@ryanfadh</t>
  </si>
  <si>
    <t>@ryanottelo</t>
  </si>
  <si>
    <t>@rzfany_</t>
  </si>
  <si>
    <t>@s_meilani5</t>
  </si>
  <si>
    <t>@s.abila</t>
  </si>
  <si>
    <t>@saafrinna</t>
  </si>
  <si>
    <t>@sabarglowup</t>
  </si>
  <si>
    <t>@sabbilaags</t>
  </si>
  <si>
    <t>@sabrinayovela</t>
  </si>
  <si>
    <t>@sadrinaoctadelya</t>
  </si>
  <si>
    <t>@safitriaayu</t>
  </si>
  <si>
    <t>@safsafierra</t>
  </si>
  <si>
    <t>@salamaazizahh</t>
  </si>
  <si>
    <t>@salmaaristiana</t>
  </si>
  <si>
    <t>@salmafitri8</t>
  </si>
  <si>
    <t>@salmameiiiii</t>
  </si>
  <si>
    <t>@salmazzhra18</t>
  </si>
  <si>
    <t>@salmon.roll</t>
  </si>
  <si>
    <t>@salsabilaenn</t>
  </si>
  <si>
    <t>@salsabilainii</t>
  </si>
  <si>
    <t>@salsabilasalwaaa</t>
  </si>
  <si>
    <t>@salsabilazta</t>
  </si>
  <si>
    <t>@salvalie</t>
  </si>
  <si>
    <t>@samanthaahana</t>
  </si>
  <si>
    <t>@san_saniaa</t>
  </si>
  <si>
    <t>@sanditia_permata</t>
  </si>
  <si>
    <t>@sanntania</t>
  </si>
  <si>
    <t>@sanshiners</t>
  </si>
  <si>
    <t>@santimaesyaroh</t>
  </si>
  <si>
    <t>@saphirasyndrome</t>
  </si>
  <si>
    <t>@sara.nataliasnl</t>
  </si>
  <si>
    <t>@sarah.aidid</t>
  </si>
  <si>
    <t>@sarahtumiwa</t>
  </si>
  <si>
    <t>@sariislamioktovia</t>
  </si>
  <si>
    <t>@sasaads22</t>
  </si>
  <si>
    <t>@saufanyy</t>
  </si>
  <si>
    <t>@sawanganupdate</t>
  </si>
  <si>
    <t>@scharliezetjong</t>
  </si>
  <si>
    <t>@seanifersydney</t>
  </si>
  <si>
    <t>@secnidaaa</t>
  </si>
  <si>
    <t>@sefiiin</t>
  </si>
  <si>
    <t>@seilairfniaaa</t>
  </si>
  <si>
    <t>@seillarahma</t>
  </si>
  <si>
    <t>@selasidoo</t>
  </si>
  <si>
    <t>@selina.agusta</t>
  </si>
  <si>
    <t>@selinaagusta</t>
  </si>
  <si>
    <t>@semoganakbaik</t>
  </si>
  <si>
    <t>@senjafirsta</t>
  </si>
  <si>
    <t>@sennysetia</t>
  </si>
  <si>
    <t>@sephioora</t>
  </si>
  <si>
    <t>@septinasilalahi</t>
  </si>
  <si>
    <t>@serviralvty</t>
  </si>
  <si>
    <t>@seti.yw</t>
  </si>
  <si>
    <t>@shaaaqy</t>
  </si>
  <si>
    <t>@shab00ri</t>
  </si>
  <si>
    <t>@shabiraalulaadnan</t>
  </si>
  <si>
    <t>@shafadriness</t>
  </si>
  <si>
    <t>@shafaikaa</t>
  </si>
  <si>
    <t>@shaguffta_</t>
  </si>
  <si>
    <t>@shalsarsyaa</t>
  </si>
  <si>
    <t>@shalsarsyaa?lang=en</t>
  </si>
  <si>
    <t>@shandrabahari</t>
  </si>
  <si>
    <t>@shannonkurniawan_</t>
  </si>
  <si>
    <t>@sharengraciella</t>
  </si>
  <si>
    <t>@sharon_christabelle</t>
  </si>
  <si>
    <t>@shaturday</t>
  </si>
  <si>
    <t>@she_wian</t>
  </si>
  <si>
    <t>@shellaapriliahanada</t>
  </si>
  <si>
    <t>@sherlavenia</t>
  </si>
  <si>
    <t>@sherly.ocktavia</t>
  </si>
  <si>
    <t>@sherlyaltissa</t>
  </si>
  <si>
    <t>@sherlycalistaa</t>
  </si>
  <si>
    <t>@sherlylid_</t>
  </si>
  <si>
    <t>@shevaudreyy</t>
  </si>
  <si>
    <t>@sheza.dw</t>
  </si>
  <si>
    <t>@shfraa._a</t>
  </si>
  <si>
    <t>@shhhhne</t>
  </si>
  <si>
    <t>@shinta.deput</t>
  </si>
  <si>
    <t>@shivbell</t>
  </si>
  <si>
    <t>@shopee.stash</t>
  </si>
  <si>
    <t>@shorthairme_</t>
  </si>
  <si>
    <t>@shortneckkk</t>
  </si>
  <si>
    <t>@shortygrey</t>
  </si>
  <si>
    <t>@shusiie_limbong</t>
  </si>
  <si>
    <t>@shynaudina</t>
  </si>
  <si>
    <t>@sichandrajayapermana</t>
  </si>
  <si>
    <t>@sifa.sipol</t>
  </si>
  <si>
    <t>@siibuuyuy</t>
  </si>
  <si>
    <t>@sikesayangann</t>
  </si>
  <si>
    <t>@silviafajrins</t>
  </si>
  <si>
    <t>@silviajnd</t>
  </si>
  <si>
    <t>@silvinurrahayu</t>
  </si>
  <si>
    <t>@sindiauliaaay</t>
  </si>
  <si>
    <t>@sindysukendy</t>
  </si>
  <si>
    <t>@sinthiasindy</t>
  </si>
  <si>
    <t>@sipinug</t>
  </si>
  <si>
    <t>@sirliulfa</t>
  </si>
  <si>
    <t>@siscaisma</t>
  </si>
  <si>
    <t>@sistersbourbond</t>
  </si>
  <si>
    <t>@sitinurnaibah_</t>
  </si>
  <si>
    <t>@sitisarahadiyastuti?r=nametag</t>
  </si>
  <si>
    <t>@situkangjajanjogja</t>
  </si>
  <si>
    <t>@skingasmid</t>
  </si>
  <si>
    <t>@skinofmeid</t>
  </si>
  <si>
    <t>@skolastikaingee</t>
  </si>
  <si>
    <t>@skylesjours</t>
  </si>
  <si>
    <t>@skyliezzlemynizzl</t>
  </si>
  <si>
    <t>@sllsbila2</t>
  </si>
  <si>
    <t>@sniaaaaaaaaaaaaaa_</t>
  </si>
  <si>
    <t>@so.niall</t>
  </si>
  <si>
    <t>@sofyaulfa_</t>
  </si>
  <si>
    <t>@someoneclass2</t>
  </si>
  <si>
    <t>@song.anna06</t>
  </si>
  <si>
    <t>@sophiaaljufri</t>
  </si>
  <si>
    <t>@soviborntoplay</t>
  </si>
  <si>
    <t>@spalspilgurl</t>
  </si>
  <si>
    <t>@spicycurryyramen</t>
  </si>
  <si>
    <t>@squisu</t>
  </si>
  <si>
    <t>@srcn111</t>
  </si>
  <si>
    <t>@sriingsh_</t>
  </si>
  <si>
    <t>@srirahma_y</t>
  </si>
  <si>
    <t>@ssoursally</t>
  </si>
  <si>
    <t>@st.adhaayu</t>
  </si>
  <si>
    <t>@stabiitaaa</t>
  </si>
  <si>
    <t>@starvavva</t>
  </si>
  <si>
    <t>@stefandhermanus</t>
  </si>
  <si>
    <t>@stellameryl</t>
  </si>
  <si>
    <t>@stells_diary</t>
  </si>
  <si>
    <t>@stephagathaw</t>
  </si>
  <si>
    <t>@stephdish</t>
  </si>
  <si>
    <t>@stevanpasaribu</t>
  </si>
  <si>
    <t>@stfutooo</t>
  </si>
  <si>
    <t>@subasri_16</t>
  </si>
  <si>
    <t>@suciawaliahharis</t>
  </si>
  <si>
    <t>@sucifitriaapriani</t>
  </si>
  <si>
    <t>@suhandrifamily</t>
  </si>
  <si>
    <t>@suhvashv</t>
  </si>
  <si>
    <t>@sukangegym</t>
  </si>
  <si>
    <t>@sukmaasuk</t>
  </si>
  <si>
    <t>@summernichols.model</t>
  </si>
  <si>
    <t>@sundayaromatics</t>
  </si>
  <si>
    <t>@surjakentjana</t>
  </si>
  <si>
    <t>@susiayulestari_</t>
  </si>
  <si>
    <t>@susidevitta</t>
  </si>
  <si>
    <t>@susiibeauty96</t>
  </si>
  <si>
    <t>@sweeturcandy</t>
  </si>
  <si>
    <t>@sweetyzf</t>
  </si>
  <si>
    <t>@syaaviolett</t>
  </si>
  <si>
    <t>@syafithfz</t>
  </si>
  <si>
    <t>@syahranithomasri</t>
  </si>
  <si>
    <t>@syamalwahab</t>
  </si>
  <si>
    <t>@syavicaf</t>
  </si>
  <si>
    <t>@sye.daily</t>
  </si>
  <si>
    <t>@syifabyandra</t>
  </si>
  <si>
    <t>@syifahadjuuuuuuu</t>
  </si>
  <si>
    <t>@syifaslestari</t>
  </si>
  <si>
    <t>@sylauvme</t>
  </si>
  <si>
    <t>@sylviatann_</t>
  </si>
  <si>
    <t>@sylvyprinces</t>
  </si>
  <si>
    <t>@synaprrr</t>
  </si>
  <si>
    <t>@syuka2mintul</t>
  </si>
  <si>
    <t>@taclaresta</t>
  </si>
  <si>
    <t>@talbotrio</t>
  </si>
  <si>
    <t>@talitaredja</t>
  </si>
  <si>
    <t>@tantish</t>
  </si>
  <si>
    <t>@taqy_comel</t>
  </si>
  <si>
    <t>@tar.nl</t>
  </si>
  <si>
    <t>@tarachika</t>
  </si>
  <si>
    <t>@tastehuntsman</t>
  </si>
  <si>
    <t>@tasyacalista_</t>
  </si>
  <si>
    <t>@tasyalvioo</t>
  </si>
  <si>
    <t>@tasyamalinda_</t>
  </si>
  <si>
    <t>@tasyaoctav</t>
  </si>
  <si>
    <t>@tatangazak</t>
  </si>
  <si>
    <t>@tataokta93</t>
  </si>
  <si>
    <t>@tatasyaah</t>
  </si>
  <si>
    <t>@taufikeffendi88</t>
  </si>
  <si>
    <t>@tavaleras</t>
  </si>
  <si>
    <t>@tdianakusmi</t>
  </si>
  <si>
    <t>@temilladwenty</t>
  </si>
  <si>
    <t>@tenya.cynthiadi</t>
  </si>
  <si>
    <t>@tessa_aan</t>
  </si>
  <si>
    <t>@thaa_0322</t>
  </si>
  <si>
    <t>@thaluaaaa</t>
  </si>
  <si>
    <t>@thariolivia</t>
  </si>
  <si>
    <t>@thasyaserafina_</t>
  </si>
  <si>
    <t>@themaplemedia</t>
  </si>
  <si>
    <t>@themunchingbee</t>
  </si>
  <si>
    <t>@thesipitz</t>
  </si>
  <si>
    <t>@thisishannon</t>
  </si>
  <si>
    <t>@thoipatun</t>
  </si>
  <si>
    <t>@thotbarbie</t>
  </si>
  <si>
    <t>@threeazz</t>
  </si>
  <si>
    <t>@thvvrichi</t>
  </si>
  <si>
    <t>@thyarassii</t>
  </si>
  <si>
    <t>@tiakrtka_</t>
  </si>
  <si>
    <t>@tiarahasian_</t>
  </si>
  <si>
    <t>@tiaraptrb__</t>
  </si>
  <si>
    <t>@tika.mulyawati</t>
  </si>
  <si>
    <t>@tikamuzt</t>
  </si>
  <si>
    <t>@tiktoknyaadam</t>
  </si>
  <si>
    <t>@tips.ibunda</t>
  </si>
  <si>
    <t>@tirtogandaa</t>
  </si>
  <si>
    <t>@titis.puji</t>
  </si>
  <si>
    <t>@tiwi_prawito</t>
  </si>
  <si>
    <t>@topiieq</t>
  </si>
  <si>
    <t>@tracy_3110</t>
  </si>
  <si>
    <t>@travellercantique</t>
  </si>
  <si>
    <t>@tri_murtii</t>
  </si>
  <si>
    <t>@triaayu41</t>
  </si>
  <si>
    <t>@triarona</t>
  </si>
  <si>
    <t>@trishaln</t>
  </si>
  <si>
    <t>@ts.jasmine</t>
  </si>
  <si>
    <t>@tsanianl_</t>
  </si>
  <si>
    <t>@tsanqinr</t>
  </si>
  <si>
    <t>@ttaaokk05</t>
  </si>
  <si>
    <t>@tuanmudatazir</t>
  </si>
  <si>
    <t>@tukangmakeuppp</t>
  </si>
  <si>
    <t>@tumbenrajin</t>
  </si>
  <si>
    <t>@twindasigma</t>
  </si>
  <si>
    <t>@twulandar_</t>
  </si>
  <si>
    <t>@tyaap10</t>
  </si>
  <si>
    <t>@tyamarizaa</t>
  </si>
  <si>
    <t>@tyasnay</t>
  </si>
  <si>
    <t>@tyassyaff</t>
  </si>
  <si>
    <t>@tytamurti</t>
  </si>
  <si>
    <t>@tytaptr</t>
  </si>
  <si>
    <t>@ucyullll</t>
  </si>
  <si>
    <t>@ufo_yaa</t>
  </si>
  <si>
    <t>@ulfahnurhidayati_</t>
  </si>
  <si>
    <t>@ulfamarryee</t>
  </si>
  <si>
    <t>@ulfawm</t>
  </si>
  <si>
    <t>@ulyashafa</t>
  </si>
  <si>
    <t>@ulyayulihana</t>
  </si>
  <si>
    <t>@umacantikk</t>
  </si>
  <si>
    <t>@umik_ilonatanjung</t>
  </si>
  <si>
    <t>@ummafathan</t>
  </si>
  <si>
    <t>@ummi_quary30</t>
  </si>
  <si>
    <t>@ummi_umaroh</t>
  </si>
  <si>
    <t>@ummuava</t>
  </si>
  <si>
    <t>@una_husnana</t>
  </si>
  <si>
    <t>@uncahbuncah</t>
  </si>
  <si>
    <t>@uni.esce</t>
  </si>
  <si>
    <t>@unie.88</t>
  </si>
  <si>
    <t>@upalestari12</t>
  </si>
  <si>
    <t>@urr911_</t>
  </si>
  <si>
    <t>@ursecretwitch</t>
  </si>
  <si>
    <t>@uswatunkhasanah.93</t>
  </si>
  <si>
    <t>@utamigunawati</t>
  </si>
  <si>
    <t>@vaalllssss</t>
  </si>
  <si>
    <t>@vajraalexey</t>
  </si>
  <si>
    <t>@vallyrians</t>
  </si>
  <si>
    <t>@vamells</t>
  </si>
  <si>
    <t>@vaniahendra</t>
  </si>
  <si>
    <t>@vaniakwans</t>
  </si>
  <si>
    <t>@vanilla.latte28</t>
  </si>
  <si>
    <t>@vaninovia</t>
  </si>
  <si>
    <t>@vebrianieamz</t>
  </si>
  <si>
    <t>@veliaveve_</t>
  </si>
  <si>
    <t>@vellawss</t>
  </si>
  <si>
    <t>@velsjournal</t>
  </si>
  <si>
    <t>@vendialexander</t>
  </si>
  <si>
    <t>@ventyherdian29</t>
  </si>
  <si>
    <t>@venvenod</t>
  </si>
  <si>
    <t>@verasiagian</t>
  </si>
  <si>
    <t>@verdinvee</t>
  </si>
  <si>
    <t>@verinanath</t>
  </si>
  <si>
    <t>@verinavee_</t>
  </si>
  <si>
    <t>@veronaavl</t>
  </si>
  <si>
    <t>@veroniamelia</t>
  </si>
  <si>
    <t>@veronicafbny</t>
  </si>
  <si>
    <t>@verrenchristy12</t>
  </si>
  <si>
    <t>@vervee_</t>
  </si>
  <si>
    <t>@vevenita17</t>
  </si>
  <si>
    <t>@veyba.anindita</t>
  </si>
  <si>
    <t>@vhiiaa.svlyn</t>
  </si>
  <si>
    <t>@vi.homecafe</t>
  </si>
  <si>
    <t>@viana_fransiscayra</t>
  </si>
  <si>
    <t>@vianny_acoustic</t>
  </si>
  <si>
    <t>@vibeswith.yesha</t>
  </si>
  <si>
    <t>@victori_vitality</t>
  </si>
  <si>
    <t>@vidamardatillah_</t>
  </si>
  <si>
    <t>@vinaalubis_</t>
  </si>
  <si>
    <t>@vinaariyanti2020</t>
  </si>
  <si>
    <t>@vinacuu12</t>
  </si>
  <si>
    <t>@vinaoktav15</t>
  </si>
  <si>
    <t>@vinasilvani</t>
  </si>
  <si>
    <t>@vinavia89</t>
  </si>
  <si>
    <t>@vincedi.gg</t>
  </si>
  <si>
    <t>@vinkaniaaa</t>
  </si>
  <si>
    <t>@vinnagraciaa</t>
  </si>
  <si>
    <t>@viofitriana</t>
  </si>
  <si>
    <t>@violetviancadhia</t>
  </si>
  <si>
    <t>@vissiapoppy</t>
  </si>
  <si>
    <t>@vitri.annna</t>
  </si>
  <si>
    <t>@vivipihh</t>
  </si>
  <si>
    <t>@vnessakr</t>
  </si>
  <si>
    <t>@vynamoniccaaa</t>
  </si>
  <si>
    <t>@w_homecafe</t>
  </si>
  <si>
    <t>@wabisabi.jogja</t>
  </si>
  <si>
    <t>@wahyuanishau</t>
  </si>
  <si>
    <t>@wenisita11</t>
  </si>
  <si>
    <t>@wenty.ing</t>
  </si>
  <si>
    <t>@wevvssmusic</t>
  </si>
  <si>
    <t>@wh0dlv</t>
  </si>
  <si>
    <t>@whyve</t>
  </si>
  <si>
    <t>@widyatarmizi</t>
  </si>
  <si>
    <t>@willamaidia</t>
  </si>
  <si>
    <t>@williamlomban</t>
  </si>
  <si>
    <t>@williamnugraha</t>
  </si>
  <si>
    <t>@winandaharistha</t>
  </si>
  <si>
    <t>@winolasebastian</t>
  </si>
  <si>
    <t>@witaervianda</t>
  </si>
  <si>
    <t>@wlsleo2</t>
  </si>
  <si>
    <t>@wndi.aa__</t>
  </si>
  <si>
    <t>@wulanoctarya</t>
  </si>
  <si>
    <t>@xeronav</t>
  </si>
  <si>
    <t>@xicadel_</t>
  </si>
  <si>
    <t>@xpeditiontravelove</t>
  </si>
  <si>
    <t>@xvtree</t>
  </si>
  <si>
    <t>@y0urcocaine</t>
  </si>
  <si>
    <t>@yakalimel</t>
  </si>
  <si>
    <t>@yallbewildinaf</t>
  </si>
  <si>
    <t>@yanna.oxania</t>
  </si>
  <si>
    <t>@yantianiz</t>
  </si>
  <si>
    <t>@yarabbiiii</t>
  </si>
  <si>
    <t>@yashyashbaby</t>
  </si>
  <si>
    <t>@yasminaashilaa</t>
  </si>
  <si>
    <t>@yay.nads</t>
  </si>
  <si>
    <t>@yayukistiana606</t>
  </si>
  <si>
    <t>@yemimaashn</t>
  </si>
  <si>
    <t>@yeni_ermawaty</t>
  </si>
  <si>
    <t>@yennip.tambak</t>
  </si>
  <si>
    <t>@yennyxiu</t>
  </si>
  <si>
    <t>@yerikhotuasela</t>
  </si>
  <si>
    <t>@yessi_js</t>
  </si>
  <si>
    <t>@yesyade</t>
  </si>
  <si>
    <t>@yevamenorah</t>
  </si>
  <si>
    <t>@yeyedgr</t>
  </si>
  <si>
    <t>@yikesjeezy</t>
  </si>
  <si>
    <t>@yo_sipu</t>
  </si>
  <si>
    <t>@yogaffmaulana</t>
  </si>
  <si>
    <t>@yolaalumbangaol</t>
  </si>
  <si>
    <t>@yolkp</t>
  </si>
  <si>
    <t>@yoniza_fbrn</t>
  </si>
  <si>
    <t>@yonobakrie_</t>
  </si>
  <si>
    <t>@yosikaantyas</t>
  </si>
  <si>
    <t>@yourfavoriteb0y</t>
  </si>
  <si>
    <t>@youronlyhijabi</t>
  </si>
  <si>
    <t>@yparikesit</t>
  </si>
  <si>
    <t>@ysmndania</t>
  </si>
  <si>
    <t>@yudha_ganis</t>
  </si>
  <si>
    <t>@yudharizkisaputraa</t>
  </si>
  <si>
    <t>@yudhibronch</t>
  </si>
  <si>
    <t>@yulianitasohpiana</t>
  </si>
  <si>
    <t>@yulistiashodri</t>
  </si>
  <si>
    <t>@yuniardwi0</t>
  </si>
  <si>
    <t>@yuniarwulandarii</t>
  </si>
  <si>
    <t>@yunii_wdini</t>
  </si>
  <si>
    <t>@yunuura</t>
  </si>
  <si>
    <t>@yuriiaw</t>
  </si>
  <si>
    <t>@yuu_ke</t>
  </si>
  <si>
    <t>@yuvellala</t>
  </si>
  <si>
    <t>@yvbw</t>
  </si>
  <si>
    <t>@zaidandye</t>
  </si>
  <si>
    <t>@zakiadestryan</t>
  </si>
  <si>
    <t>@zakiaramanda28</t>
  </si>
  <si>
    <t>@zakiazf</t>
  </si>
  <si>
    <t>@zakkynfl</t>
  </si>
  <si>
    <t>@zakyrizqi</t>
  </si>
  <si>
    <t>@zalfaafikaa</t>
  </si>
  <si>
    <t>@zee_belle.pretty</t>
  </si>
  <si>
    <t>@zeyko_111</t>
  </si>
  <si>
    <t>@zharif.dk</t>
  </si>
  <si>
    <t>@zheliatann</t>
  </si>
  <si>
    <t>@zhifaaaaa</t>
  </si>
  <si>
    <t>@ziashome</t>
  </si>
  <si>
    <t>@zidanakmal</t>
  </si>
  <si>
    <t>@zivaafisah</t>
  </si>
  <si>
    <t>@zt.justzt</t>
  </si>
  <si>
    <t>@zuifany</t>
  </si>
  <si>
    <t>@zulfanurjannahh</t>
  </si>
  <si>
    <t>@amelamelon</t>
  </si>
  <si>
    <t>@auranixie</t>
  </si>
  <si>
    <t>@dhiarcom</t>
  </si>
  <si>
    <t>@dinararizqiyyaraf93</t>
  </si>
  <si>
    <t>@dosenkecantikan</t>
  </si>
  <si>
    <t>@erickapineda09</t>
  </si>
  <si>
    <t>@farizaynn</t>
  </si>
  <si>
    <t>@farrajaidi</t>
  </si>
  <si>
    <t>@florie_aa_</t>
  </si>
  <si>
    <t>@josephinetheaa</t>
  </si>
  <si>
    <t>@karenkurniawan_kk</t>
  </si>
  <si>
    <t>@marshaaruan</t>
  </si>
  <si>
    <t>@monicasahr</t>
  </si>
  <si>
    <t>@parsih.homedecor</t>
  </si>
  <si>
    <t>@putrizianii</t>
  </si>
  <si>
    <t>@vic.sam</t>
  </si>
  <si>
    <t>@zaraanih</t>
  </si>
  <si>
    <t>@abu_hadiassegaf89</t>
  </si>
  <si>
    <t>@anaindahafsheenmy</t>
  </si>
  <si>
    <t>@cb1103</t>
  </si>
  <si>
    <t>@choco.emong</t>
  </si>
  <si>
    <t>@conchizzlin</t>
  </si>
  <si>
    <t>@conytiwi</t>
  </si>
  <si>
    <t>@desiinata</t>
  </si>
  <si>
    <t>@desyaghnia</t>
  </si>
  <si>
    <t>@elissuciati99</t>
  </si>
  <si>
    <t>@farislovitasari2</t>
  </si>
  <si>
    <t>@fendystella</t>
  </si>
  <si>
    <t>@ghinalwi</t>
  </si>
  <si>
    <t>@goodboiitae</t>
  </si>
  <si>
    <t>@hizkiadelano</t>
  </si>
  <si>
    <t>@inkaayusaskia</t>
  </si>
  <si>
    <t>@jennifervidya</t>
  </si>
  <si>
    <t>@kakasfitri</t>
  </si>
  <si>
    <t>@lafadyasteele</t>
  </si>
  <si>
    <t>@maharani_97</t>
  </si>
  <si>
    <t>@mahdiyasirfan</t>
  </si>
  <si>
    <t>@marvelinegrace</t>
  </si>
  <si>
    <t>@maudimo</t>
  </si>
  <si>
    <t>@maulanahasyim_</t>
  </si>
  <si>
    <t>@mettykurniadewi_</t>
  </si>
  <si>
    <t>@milamiza00</t>
  </si>
  <si>
    <t>@priscillamery</t>
  </si>
  <si>
    <t>@priscillamery13</t>
  </si>
  <si>
    <t>@pujihidayatimahendra</t>
  </si>
  <si>
    <t>@puputdewiasiah17</t>
  </si>
  <si>
    <t>@ratnatita5</t>
  </si>
  <si>
    <t>@rerein.family</t>
  </si>
  <si>
    <t>@reshabtzm</t>
  </si>
  <si>
    <t>@riekemeilanis23</t>
  </si>
  <si>
    <t>@rotidanselai1717</t>
  </si>
  <si>
    <t>@steffanyoctavina</t>
  </si>
  <si>
    <t>@steph.hertanto</t>
  </si>
  <si>
    <t>@yassipoullomanik</t>
  </si>
  <si>
    <t>@yerikacornelia</t>
  </si>
  <si>
    <t>@zhea_zee</t>
  </si>
  <si>
    <t>@arjunasutedjaa</t>
  </si>
  <si>
    <t>@asheeqaleesha</t>
  </si>
  <si>
    <t>@catherineealicia</t>
  </si>
  <si>
    <t>@cielmakeupartist</t>
  </si>
  <si>
    <t>@mithatan</t>
  </si>
  <si>
    <t>@sasyamaharani</t>
  </si>
  <si>
    <t>@tasyakamilaofficial</t>
  </si>
  <si>
    <t>@thebeautywimp</t>
  </si>
  <si>
    <t>@abcdefuvkkkk7</t>
  </si>
  <si>
    <t>@adilladimitrihardjanto</t>
  </si>
  <si>
    <t>@anumhafzz</t>
  </si>
  <si>
    <t>@ashlyn.richelle</t>
  </si>
  <si>
    <t>@bangudinj.o</t>
  </si>
  <si>
    <t>@dedeap_</t>
  </si>
  <si>
    <t>@inayahasmr</t>
  </si>
  <si>
    <t>@kalaundry</t>
  </si>
  <si>
    <t>@mutiaraarsya</t>
  </si>
  <si>
    <t>@noiaswari</t>
  </si>
  <si>
    <t>@racuntikt0k__</t>
  </si>
  <si>
    <t>@tellyyasmine_</t>
  </si>
  <si>
    <t>@tia.sptn</t>
  </si>
  <si>
    <t>@ullie_iswara</t>
  </si>
  <si>
    <t>@_amelians</t>
  </si>
  <si>
    <t>@3am_uzi</t>
  </si>
  <si>
    <t>@abrahamgustavito</t>
  </si>
  <si>
    <t>@accangdoedoe02</t>
  </si>
  <si>
    <t>@achtasyaiman</t>
  </si>
  <si>
    <t>@adam.vt7</t>
  </si>
  <si>
    <t>@adelscooking</t>
  </si>
  <si>
    <t>@aevxfl.nss</t>
  </si>
  <si>
    <t>@agemmmmm</t>
  </si>
  <si>
    <t>@aisyafputri</t>
  </si>
  <si>
    <t>@aku_ratumauraaa</t>
  </si>
  <si>
    <t>@aku.madan</t>
  </si>
  <si>
    <t>@alanddpradana</t>
  </si>
  <si>
    <t>@aldyroo</t>
  </si>
  <si>
    <t>@almahyraska</t>
  </si>
  <si>
    <t>@alvitaangela19</t>
  </si>
  <si>
    <t>@amandakohar</t>
  </si>
  <si>
    <t>@amizahnadin</t>
  </si>
  <si>
    <t>@angelyn_bloom</t>
  </si>
  <si>
    <t>@annissamunaf</t>
  </si>
  <si>
    <t>@anopqklmnvt</t>
  </si>
  <si>
    <t>@ansellbndy</t>
  </si>
  <si>
    <t>@anthonyhartono_</t>
  </si>
  <si>
    <t>@apriliaryani95</t>
  </si>
  <si>
    <t>@arifreyy</t>
  </si>
  <si>
    <t>@astrityas</t>
  </si>
  <si>
    <t>@ayuandrni_</t>
  </si>
  <si>
    <t>@baddiebaday</t>
  </si>
  <si>
    <t>@bananatall</t>
  </si>
  <si>
    <t>@bbykevv_</t>
  </si>
  <si>
    <t>@bebytsabinaa</t>
  </si>
  <si>
    <t>@bramrpaa</t>
  </si>
  <si>
    <t>@bundahamster</t>
  </si>
  <si>
    <t>@cacamoora</t>
  </si>
  <si>
    <t>@chrislin.chrislin</t>
  </si>
  <si>
    <t>@chxrryblssom</t>
  </si>
  <si>
    <t>@ciasootd</t>
  </si>
  <si>
    <t>@citatociki</t>
  </si>
  <si>
    <t>@cut_icha</t>
  </si>
  <si>
    <t>@cuterthandell</t>
  </si>
  <si>
    <t>@dantifaramita</t>
  </si>
  <si>
    <t>@deandranditaa</t>
  </si>
  <si>
    <t>@deckyrs</t>
  </si>
  <si>
    <t>@delalune_</t>
  </si>
  <si>
    <t>@devarawijayaa</t>
  </si>
  <si>
    <t>@dickysuryadikk</t>
  </si>
  <si>
    <t>@dikialfaa</t>
  </si>
  <si>
    <t>@dila_jm</t>
  </si>
  <si>
    <t>@diondykusuma</t>
  </si>
  <si>
    <t>@dipanggiljose</t>
  </si>
  <si>
    <t>@dominggaa</t>
  </si>
  <si>
    <t>@doradori21</t>
  </si>
  <si>
    <t>@doscincoo</t>
  </si>
  <si>
    <t>@duomins</t>
  </si>
  <si>
    <t>@eline.angeline</t>
  </si>
  <si>
    <t>@erizachrr</t>
  </si>
  <si>
    <t>@evelyngwyneth</t>
  </si>
  <si>
    <t>@ezyvz</t>
  </si>
  <si>
    <t>@fadliinzaghi</t>
  </si>
  <si>
    <t>@farhanzubedi</t>
  </si>
  <si>
    <t>@faustaottoni</t>
  </si>
  <si>
    <t>@fawzyahaz</t>
  </si>
  <si>
    <t>@fessvtae</t>
  </si>
  <si>
    <t>@fionadominiquee</t>
  </si>
  <si>
    <t>@gagap_was_here</t>
  </si>
  <si>
    <t>@galgadun26</t>
  </si>
  <si>
    <t>@gayatriay</t>
  </si>
  <si>
    <t>@gilangseiya</t>
  </si>
  <si>
    <t>@giovanniputraa</t>
  </si>
  <si>
    <t>@glowyya</t>
  </si>
  <si>
    <t>@gosongexotis</t>
  </si>
  <si>
    <t>@grandementor</t>
  </si>
  <si>
    <t>@gumilang_jatii</t>
  </si>
  <si>
    <t>@hanifa_ross</t>
  </si>
  <si>
    <t>@harjunatbm</t>
  </si>
  <si>
    <t>@holanana</t>
  </si>
  <si>
    <t>@holeeey_</t>
  </si>
  <si>
    <t>@hungrymikego</t>
  </si>
  <si>
    <t>@ibass444</t>
  </si>
  <si>
    <t>@ikafitriza</t>
  </si>
  <si>
    <t>@ilyyrmd</t>
  </si>
  <si>
    <t>@indyish</t>
  </si>
  <si>
    <t>@infodepok24jam</t>
  </si>
  <si>
    <t>@inggridchan</t>
  </si>
  <si>
    <t>@ino_gaol</t>
  </si>
  <si>
    <t>@ishmaannisa96</t>
  </si>
  <si>
    <t>@itawidya___</t>
  </si>
  <si>
    <t>@itspikachi</t>
  </si>
  <si>
    <t>@izatlistifnya10</t>
  </si>
  <si>
    <t>@jenniferchayra</t>
  </si>
  <si>
    <t>@jennifersutionoo</t>
  </si>
  <si>
    <t>@jennipongg</t>
  </si>
  <si>
    <t>@jhrrzel</t>
  </si>
  <si>
    <t>@jona_pottger</t>
  </si>
  <si>
    <t>@jonathan_abee</t>
  </si>
  <si>
    <t>@jordanfadhilla</t>
  </si>
  <si>
    <t>@juniarayutll</t>
  </si>
  <si>
    <t>@k.e.l.a.r.a</t>
  </si>
  <si>
    <t>@kamilahfickychannel</t>
  </si>
  <si>
    <t>@kaniadachlan</t>
  </si>
  <si>
    <t>@kathrynlisaa</t>
  </si>
  <si>
    <t>@kevinthennedy</t>
  </si>
  <si>
    <t>@keykanyamey</t>
  </si>
  <si>
    <t>@keyuruh</t>
  </si>
  <si>
    <t>@kingk00nta</t>
  </si>
  <si>
    <t>@knzymyln__</t>
  </si>
  <si>
    <t>@koko_pino</t>
  </si>
  <si>
    <t>@korinjul</t>
  </si>
  <si>
    <t>@kurakuraca</t>
  </si>
  <si>
    <t>@lauratheux</t>
  </si>
  <si>
    <t>@lauraziphoraa</t>
  </si>
  <si>
    <t>@littlejarvischannel</t>
  </si>
  <si>
    <t>@livbabylol</t>
  </si>
  <si>
    <t>@livianasm</t>
  </si>
  <si>
    <t>@marcelldegen</t>
  </si>
  <si>
    <t>@mardefff</t>
  </si>
  <si>
    <t>@masyoarief</t>
  </si>
  <si>
    <t>@mbaktinsaja</t>
  </si>
  <si>
    <t>@melssupit</t>
  </si>
  <si>
    <t>@merryyanis</t>
  </si>
  <si>
    <t>@mimigendis</t>
  </si>
  <si>
    <t>@mochabagas</t>
  </si>
  <si>
    <t>@mtgras</t>
  </si>
  <si>
    <t>@mumkidzone.189</t>
  </si>
  <si>
    <t>@mzojol</t>
  </si>
  <si>
    <t>@nabilamndd</t>
  </si>
  <si>
    <t>@nandasamsu</t>
  </si>
  <si>
    <t>@natajadeh</t>
  </si>
  <si>
    <t>@nbpiolabg</t>
  </si>
  <si>
    <t>@nidahenida22</t>
  </si>
  <si>
    <t>@ninanikicio</t>
  </si>
  <si>
    <t>@nininajadeh</t>
  </si>
  <si>
    <t>@nisaraate</t>
  </si>
  <si>
    <t>@nissyasp</t>
  </si>
  <si>
    <t>@nonikbawels</t>
  </si>
  <si>
    <t>@notfound_4</t>
  </si>
  <si>
    <t>@novia_yaz</t>
  </si>
  <si>
    <t>@nursitamryn</t>
  </si>
  <si>
    <t>@nurulsafitri065</t>
  </si>
  <si>
    <t>@ozomrockers</t>
  </si>
  <si>
    <t>@panggildhia</t>
  </si>
  <si>
    <t>@pingkyruslie</t>
  </si>
  <si>
    <t>@raflidesrama04</t>
  </si>
  <si>
    <t>@raidanra_</t>
  </si>
  <si>
    <t>@raisasa6690</t>
  </si>
  <si>
    <t>@randomvisit</t>
  </si>
  <si>
    <t>@reginabundiarti</t>
  </si>
  <si>
    <t>@rei.la</t>
  </si>
  <si>
    <t>@rereanggara</t>
  </si>
  <si>
    <t>@rererafald7</t>
  </si>
  <si>
    <t>@rika_yusnia</t>
  </si>
  <si>
    <t>@rtsfya</t>
  </si>
  <si>
    <t>@ruicheru</t>
  </si>
  <si>
    <t>@ryanrandomtiktok</t>
  </si>
  <si>
    <t>@salsabila_10114</t>
  </si>
  <si>
    <t>@seaankyle</t>
  </si>
  <si>
    <t>@sehatbarengyu</t>
  </si>
  <si>
    <t>@septian_amd</t>
  </si>
  <si>
    <t>@shanianayaa</t>
  </si>
  <si>
    <t>@shasa.navira</t>
  </si>
  <si>
    <t>@shavirazahra</t>
  </si>
  <si>
    <t>@shitabhoraa</t>
  </si>
  <si>
    <t>@simeisya</t>
  </si>
  <si>
    <t>@siregardespa</t>
  </si>
  <si>
    <t>@sofiaelmia</t>
  </si>
  <si>
    <t>@srdesignart</t>
  </si>
  <si>
    <t>@syalmeuu</t>
  </si>
  <si>
    <t>@taffyvine</t>
  </si>
  <si>
    <t>@tamiradimyati</t>
  </si>
  <si>
    <t>@tasyacax</t>
  </si>
  <si>
    <t>@tekinziee</t>
  </si>
  <si>
    <t>@tetehaull</t>
  </si>
  <si>
    <t>@thari_chacol92</t>
  </si>
  <si>
    <t>@titisapwa_</t>
  </si>
  <si>
    <t>@triyogi.apriansya</t>
  </si>
  <si>
    <t>@tttesayang</t>
  </si>
  <si>
    <t>@twomannn</t>
  </si>
  <si>
    <t>@ucilyouchill</t>
  </si>
  <si>
    <t>@ulfanafia</t>
  </si>
  <si>
    <t>@ummulsalmaa</t>
  </si>
  <si>
    <t>@unyukaaa</t>
  </si>
  <si>
    <t>@vandhri</t>
  </si>
  <si>
    <t>@veronikalydiaa</t>
  </si>
  <si>
    <t>@viliacarl</t>
  </si>
  <si>
    <t>@vinnie.hasan</t>
  </si>
  <si>
    <t>@vionacharlotte</t>
  </si>
  <si>
    <t>@wendyodixiuss</t>
  </si>
  <si>
    <t>@wiyanda__</t>
  </si>
  <si>
    <t>@xixixixixixixixixixi</t>
  </si>
  <si>
    <t>@yezsy07</t>
  </si>
  <si>
    <t>@yuni.saputra</t>
  </si>
  <si>
    <t>@yunisyarizqa_</t>
  </si>
  <si>
    <t>@yusahai</t>
  </si>
  <si>
    <t>@zhie_pu3.official</t>
  </si>
  <si>
    <t>@zxkllm</t>
  </si>
  <si>
    <t>@_novilia</t>
  </si>
  <si>
    <t>@abcdewi13_</t>
  </si>
  <si>
    <t>@admhrscha</t>
  </si>
  <si>
    <t>@alfikhair_ahsol</t>
  </si>
  <si>
    <t>@alkindi_18</t>
  </si>
  <si>
    <t>@andrywulansari</t>
  </si>
  <si>
    <t>@anggieloveangel</t>
  </si>
  <si>
    <t>@angme99</t>
  </si>
  <si>
    <t>@arsitakhoirunisa</t>
  </si>
  <si>
    <t>@astriehapsarii</t>
  </si>
  <si>
    <t>@audreykareninaa</t>
  </si>
  <si>
    <t>@ayuulfadewi8</t>
  </si>
  <si>
    <t>@banyube</t>
  </si>
  <si>
    <t>@bekasiinfo_id</t>
  </si>
  <si>
    <t>@bidandesi</t>
  </si>
  <si>
    <t>@bidanzulfa</t>
  </si>
  <si>
    <t>@bimbyanggara_</t>
  </si>
  <si>
    <t>@bluberriela</t>
  </si>
  <si>
    <t>@brigitta_elena</t>
  </si>
  <si>
    <t>@ca1lmelater_</t>
  </si>
  <si>
    <t>@chintyacn28</t>
  </si>
  <si>
    <t>@christinajennifer</t>
  </si>
  <si>
    <t>@chyntiadewanti</t>
  </si>
  <si>
    <t>@ciputski</t>
  </si>
  <si>
    <t>@citraniaa</t>
  </si>
  <si>
    <t>@claudiaprawira</t>
  </si>
  <si>
    <t>@coverbyalma</t>
  </si>
  <si>
    <t>@danielmarcell</t>
  </si>
  <si>
    <t>@delladefriza</t>
  </si>
  <si>
    <t>@dhyaniiiip</t>
  </si>
  <si>
    <t>@ditaayuanitaa</t>
  </si>
  <si>
    <t>@dlyzx_</t>
  </si>
  <si>
    <t>@evansyahhh</t>
  </si>
  <si>
    <t>@fashionmen_1</t>
  </si>
  <si>
    <t>@fbrynpp</t>
  </si>
  <si>
    <t>@febbyfy23</t>
  </si>
  <si>
    <t>@fellamaheen</t>
  </si>
  <si>
    <t>@fergigutomo_</t>
  </si>
  <si>
    <t>@firyalnbla</t>
  </si>
  <si>
    <t>@fzyhanisa_</t>
  </si>
  <si>
    <t>@hazyaadira</t>
  </si>
  <si>
    <t>@igayuintan</t>
  </si>
  <si>
    <t>@imjstalonee</t>
  </si>
  <si>
    <t>@intanangell</t>
  </si>
  <si>
    <t>@intanaww</t>
  </si>
  <si>
    <t>@jenni.wang</t>
  </si>
  <si>
    <t>@jsn.amelia</t>
  </si>
  <si>
    <t>@justmiselhere</t>
  </si>
  <si>
    <t>@karinabilla_</t>
  </si>
  <si>
    <t>@kevinjulio_a</t>
  </si>
  <si>
    <t>@lienda.moshi</t>
  </si>
  <si>
    <t>@linov.alif</t>
  </si>
  <si>
    <t>@luhrahayuu_</t>
  </si>
  <si>
    <t>@lylypad</t>
  </si>
  <si>
    <t>@marciangel20</t>
  </si>
  <si>
    <t>@marisaahapsari</t>
  </si>
  <si>
    <t>@maulana.alzukhri_</t>
  </si>
  <si>
    <t>@mkarenam</t>
  </si>
  <si>
    <t>@mrs.deviana</t>
  </si>
  <si>
    <t>@mutiarahazle</t>
  </si>
  <si>
    <t>@mybaby9995</t>
  </si>
  <si>
    <t>@nathaniaraynelle</t>
  </si>
  <si>
    <t>@neng.rismart</t>
  </si>
  <si>
    <t>@niccole__</t>
  </si>
  <si>
    <t>@niluhekaad</t>
  </si>
  <si>
    <t>@olaitsemmy</t>
  </si>
  <si>
    <t>@oreomilk24</t>
  </si>
  <si>
    <t>@parligita</t>
  </si>
  <si>
    <t>@pirrrrrrnandul</t>
  </si>
  <si>
    <t>@popy_indri23</t>
  </si>
  <si>
    <t>@prillistyy</t>
  </si>
  <si>
    <t>@puti.aibige</t>
  </si>
  <si>
    <t>@putriikalumata</t>
  </si>
  <si>
    <t>@redvelvettlate</t>
  </si>
  <si>
    <t>@rezasptr17_</t>
  </si>
  <si>
    <t>@rfqhriya_</t>
  </si>
  <si>
    <t>@rohim_arkhan_elfahrie</t>
  </si>
  <si>
    <t>@rra_xyzz</t>
  </si>
  <si>
    <t>@salmasfyn</t>
  </si>
  <si>
    <t>@salsa.vb</t>
  </si>
  <si>
    <t>@salsavinandita</t>
  </si>
  <si>
    <t>@sangbulanr</t>
  </si>
  <si>
    <t>@scoopofgoodness</t>
  </si>
  <si>
    <t>@sena_cahya_</t>
  </si>
  <si>
    <t>@senandn19</t>
  </si>
  <si>
    <t>@septibeneran</t>
  </si>
  <si>
    <t>@sgabrielaaimee_</t>
  </si>
  <si>
    <t>@sghinagm</t>
  </si>
  <si>
    <t>@silvia_fani</t>
  </si>
  <si>
    <t>@squishycheeksss</t>
  </si>
  <si>
    <t>@steveowen.j.k</t>
  </si>
  <si>
    <t>@supingg_02</t>
  </si>
  <si>
    <t>@susisinta23</t>
  </si>
  <si>
    <t>@syafrilia</t>
  </si>
  <si>
    <t>@talithalase</t>
  </si>
  <si>
    <t>@tarinvt</t>
  </si>
  <si>
    <t>@thatsenjaa</t>
  </si>
  <si>
    <t>@veronyca.ang</t>
  </si>
  <si>
    <t>@verrynangell</t>
  </si>
  <si>
    <t>@viviaje33</t>
  </si>
  <si>
    <t>@wolly_ameera</t>
  </si>
  <si>
    <t>@xxszans</t>
  </si>
  <si>
    <t>@xyzherdi</t>
  </si>
  <si>
    <t>@yue_chan11</t>
  </si>
  <si>
    <t>@zielsnra</t>
  </si>
  <si>
    <t>@_deriell</t>
  </si>
  <si>
    <t>@_pravi</t>
  </si>
  <si>
    <t>@abilsdv</t>
  </si>
  <si>
    <t>@aenefa</t>
  </si>
  <si>
    <t>@afinasalma</t>
  </si>
  <si>
    <t>@akusintiakuaci</t>
  </si>
  <si>
    <t>@alelococo</t>
  </si>
  <si>
    <t>@alex_effendhy</t>
  </si>
  <si>
    <t>@anakmamah0403_</t>
  </si>
  <si>
    <t>@andrewgiovannii</t>
  </si>
  <si>
    <t>@aneyuliastuti17</t>
  </si>
  <si>
    <t>@anggeldia86</t>
  </si>
  <si>
    <t>@annisaasharudin</t>
  </si>
  <si>
    <t>@arminarachma</t>
  </si>
  <si>
    <t>@aurandm</t>
  </si>
  <si>
    <t>@aurelanakrumahan</t>
  </si>
  <si>
    <t>@ayuwulandri12</t>
  </si>
  <si>
    <t>@baitusskh</t>
  </si>
  <si>
    <t>@balqislonnie</t>
  </si>
  <si>
    <t>@bananalace</t>
  </si>
  <si>
    <t>@bebelhz</t>
  </si>
  <si>
    <t>@camilapaulen</t>
  </si>
  <si>
    <t>@carerabella</t>
  </si>
  <si>
    <t>@celiceli_</t>
  </si>
  <si>
    <t>@ciciangelica5</t>
  </si>
  <si>
    <t>@clarissazli</t>
  </si>
  <si>
    <t>@cucupajokowi</t>
  </si>
  <si>
    <t>@darinassh</t>
  </si>
  <si>
    <t>@demarellementari</t>
  </si>
  <si>
    <t>@devindaayu19</t>
  </si>
  <si>
    <t>@deviwangg</t>
  </si>
  <si>
    <t>@dianalatifah</t>
  </si>
  <si>
    <t>@dinihari20</t>
  </si>
  <si>
    <t>@diyooou_</t>
  </si>
  <si>
    <t>@dynaprl</t>
  </si>
  <si>
    <t>@elenaa20___</t>
  </si>
  <si>
    <t>@elvi_mahendra</t>
  </si>
  <si>
    <t>@etadesta21</t>
  </si>
  <si>
    <t>@fajaredogawaa</t>
  </si>
  <si>
    <t>@fara.olivia</t>
  </si>
  <si>
    <t>@fen24__</t>
  </si>
  <si>
    <t>@ferryonggo</t>
  </si>
  <si>
    <t>@fickassss</t>
  </si>
  <si>
    <t>@ghimihunimida</t>
  </si>
  <si>
    <t>@giga_pramudika_putry</t>
  </si>
  <si>
    <t>@hafidz.ns</t>
  </si>
  <si>
    <t>@icha_silaban_92</t>
  </si>
  <si>
    <t>@iin_fdlh</t>
  </si>
  <si>
    <t>@ikenurha25</t>
  </si>
  <si>
    <t>@ilaamooy_</t>
  </si>
  <si>
    <t>@incesssha</t>
  </si>
  <si>
    <t>@izumiyaa</t>
  </si>
  <si>
    <t>@jamesadam</t>
  </si>
  <si>
    <t>@jfanylie</t>
  </si>
  <si>
    <t>@jinggaaa13</t>
  </si>
  <si>
    <t>@jocelynscape</t>
  </si>
  <si>
    <t>@kangfanboy</t>
  </si>
  <si>
    <t>@kdkoreanmask</t>
  </si>
  <si>
    <t>@kembarannyazara</t>
  </si>
  <si>
    <t>@krisbiee</t>
  </si>
  <si>
    <t>@kyle_seann</t>
  </si>
  <si>
    <t>@manullang_30</t>
  </si>
  <si>
    <t>@meitadwi_lestari</t>
  </si>
  <si>
    <t>@michellinchrysant_</t>
  </si>
  <si>
    <t>@miseue_ka</t>
  </si>
  <si>
    <t>@miss.faustinasoe</t>
  </si>
  <si>
    <t>@mutiaramarl</t>
  </si>
  <si>
    <t>@mywrk1000</t>
  </si>
  <si>
    <t>@n.niaa_</t>
  </si>
  <si>
    <t>@nabilariupassa</t>
  </si>
  <si>
    <t>@nadiahaqumaminurcahyani</t>
  </si>
  <si>
    <t>@nanashop_shop04</t>
  </si>
  <si>
    <t>@nancyferdinand</t>
  </si>
  <si>
    <t>@niaaryanii</t>
  </si>
  <si>
    <t>@notyourtypicallllll</t>
  </si>
  <si>
    <t>@nurfitrianoviantii</t>
  </si>
  <si>
    <t>@nuruldefgh</t>
  </si>
  <si>
    <t>@patriaatp</t>
  </si>
  <si>
    <t>@petentenk</t>
  </si>
  <si>
    <t>@queencharrrrrrrr</t>
  </si>
  <si>
    <t>@rachelorenza</t>
  </si>
  <si>
    <t>@rahmarahayu25</t>
  </si>
  <si>
    <t>@rayshalevina</t>
  </si>
  <si>
    <t>@reynalzy</t>
  </si>
  <si>
    <t>@ri.suma</t>
  </si>
  <si>
    <t>@rinrini875</t>
  </si>
  <si>
    <t>@riskafagistaa</t>
  </si>
  <si>
    <t>@rizkacullen</t>
  </si>
  <si>
    <t>@rndys29</t>
  </si>
  <si>
    <t>@safiraalft</t>
  </si>
  <si>
    <t>@saii.shary05</t>
  </si>
  <si>
    <t>@salsa_fii</t>
  </si>
  <si>
    <t>@sannisca</t>
  </si>
  <si>
    <t>@seilairfniaa</t>
  </si>
  <si>
    <t>@sherlyxu</t>
  </si>
  <si>
    <t>@sidecil</t>
  </si>
  <si>
    <t>@sikebaebae</t>
  </si>
  <si>
    <t>@sleepylilie</t>
  </si>
  <si>
    <t>@steffigouw</t>
  </si>
  <si>
    <t>@talitawb</t>
  </si>
  <si>
    <t>@tinep17</t>
  </si>
  <si>
    <t>@tsmitasoraya</t>
  </si>
  <si>
    <t>@uyuy_ns</t>
  </si>
  <si>
    <t>@volliepowp</t>
  </si>
  <si>
    <t>@witapsarii</t>
  </si>
  <si>
    <t>@zahrulsilmi</t>
  </si>
  <si>
    <t>@zakariatara</t>
  </si>
  <si>
    <t>@zulfa_jamilaa</t>
  </si>
  <si>
    <t>@805.aal</t>
  </si>
  <si>
    <t>@aatthhee</t>
  </si>
  <si>
    <t>@abedamzari15</t>
  </si>
  <si>
    <t>@adigunadaniel</t>
  </si>
  <si>
    <t>@adrianramadhan093</t>
  </si>
  <si>
    <t>@akmalmlnaa</t>
  </si>
  <si>
    <t>@alzwashere</t>
  </si>
  <si>
    <t>@anez_scarlet</t>
  </si>
  <si>
    <t>@angelinesumardyy</t>
  </si>
  <si>
    <t>@aradhanara</t>
  </si>
  <si>
    <t>@arievrahman</t>
  </si>
  <si>
    <t>@bagus.bay</t>
  </si>
  <si>
    <t>@bayuajiefit</t>
  </si>
  <si>
    <t>@bayukenan</t>
  </si>
  <si>
    <t>@bbrighttvv</t>
  </si>
  <si>
    <t>@boymunthee</t>
  </si>
  <si>
    <t>@calivfarido</t>
  </si>
  <si>
    <t>@claraa_chantika</t>
  </si>
  <si>
    <t>@delyviaazra</t>
  </si>
  <si>
    <t>@dmsspptr</t>
  </si>
  <si>
    <t>@eduardo_adam</t>
  </si>
  <si>
    <t>@ehfank</t>
  </si>
  <si>
    <t>@ekakmldw_</t>
  </si>
  <si>
    <t>@encolalaina</t>
  </si>
  <si>
    <t>@fahezafebrianti</t>
  </si>
  <si>
    <t>@faisalary</t>
  </si>
  <si>
    <t>@firmansalvatore</t>
  </si>
  <si>
    <t>@gautama_gt</t>
  </si>
  <si>
    <t>@gilangpurnama_</t>
  </si>
  <si>
    <t>@gilbertgideonn</t>
  </si>
  <si>
    <t>@habibieishere</t>
  </si>
  <si>
    <t>@heyaguswandi</t>
  </si>
  <si>
    <t>@heykur</t>
  </si>
  <si>
    <t>@its.kii__</t>
  </si>
  <si>
    <t>@johannesgabriell</t>
  </si>
  <si>
    <t>@jojoaeyo</t>
  </si>
  <si>
    <t>@jubanh</t>
  </si>
  <si>
    <t>@kataruang_</t>
  </si>
  <si>
    <t>@kegabutann12_</t>
  </si>
  <si>
    <t>@leonardusyesino</t>
  </si>
  <si>
    <t>@lianadevn</t>
  </si>
  <si>
    <t>@liannandopr</t>
  </si>
  <si>
    <t>@mahalmer</t>
  </si>
  <si>
    <t>@masnur93</t>
  </si>
  <si>
    <t>@maulyaridwans</t>
  </si>
  <si>
    <t>@mrafffy12</t>
  </si>
  <si>
    <t>@nata.kansias</t>
  </si>
  <si>
    <t>@omndutv</t>
  </si>
  <si>
    <t>@pahimhim</t>
  </si>
  <si>
    <t>@paldoooo</t>
  </si>
  <si>
    <t>@potatona3</t>
  </si>
  <si>
    <t>@quotesmotivasi86</t>
  </si>
  <si>
    <t>@raider_wenas</t>
  </si>
  <si>
    <t>@rdhmhdvk</t>
  </si>
  <si>
    <t>@redridho</t>
  </si>
  <si>
    <t>@riczco</t>
  </si>
  <si>
    <t>@risyahputra06</t>
  </si>
  <si>
    <t>@roni.rahadi96</t>
  </si>
  <si>
    <t>@sadinsquad</t>
  </si>
  <si>
    <t>@sammypwk</t>
  </si>
  <si>
    <t>@seinxxx</t>
  </si>
  <si>
    <t>@shabrinaautomo</t>
  </si>
  <si>
    <t>@skyiskandar123</t>
  </si>
  <si>
    <t>@sulhan_khann</t>
  </si>
  <si>
    <t>@tutsunarye__</t>
  </si>
  <si>
    <t>@vaniapuspitasarii</t>
  </si>
  <si>
    <t>@widayanti_36</t>
  </si>
  <si>
    <t>@yoursmeet</t>
  </si>
  <si>
    <t>@yudhipp_</t>
  </si>
  <si>
    <t>@yutaj_</t>
  </si>
  <si>
    <t>@a_gungds</t>
  </si>
  <si>
    <t>@brigita.andine</t>
  </si>
  <si>
    <t>@cohrirans</t>
  </si>
  <si>
    <t>@faizalakew</t>
  </si>
  <si>
    <t>@minyo33</t>
  </si>
  <si>
    <t>@rifaarhas</t>
  </si>
  <si>
    <t>@tya.kq</t>
  </si>
  <si>
    <t>@vivianwahab</t>
  </si>
  <si>
    <t>@angie_levinaaa</t>
  </si>
  <si>
    <t>@ash_bharlly</t>
  </si>
  <si>
    <t>@candycallista</t>
  </si>
  <si>
    <t>@dhorriii</t>
  </si>
  <si>
    <t>@diana.nana.id</t>
  </si>
  <si>
    <t>@dwiayuasribahari</t>
  </si>
  <si>
    <t>@eiyan_guitaris</t>
  </si>
  <si>
    <t>@f__arwen</t>
  </si>
  <si>
    <t>@ichalesta</t>
  </si>
  <si>
    <t>@isabellaimanuella</t>
  </si>
  <si>
    <t>@jauzahumairo</t>
  </si>
  <si>
    <t>@karlinachandraa</t>
  </si>
  <si>
    <t>@margarethaaa</t>
  </si>
  <si>
    <t>@minatiatmanagara</t>
  </si>
  <si>
    <t>@mondeamore</t>
  </si>
  <si>
    <t>@namik2604</t>
  </si>
  <si>
    <t>@natashagracia</t>
  </si>
  <si>
    <t>@princesskica</t>
  </si>
  <si>
    <t>@rima.nk</t>
  </si>
  <si>
    <t>@salsabylasya</t>
  </si>
  <si>
    <t>@saqinnaconelly</t>
  </si>
  <si>
    <t>@talkboutskin</t>
  </si>
  <si>
    <t>@tikhasudirja17</t>
  </si>
  <si>
    <t>@uwilan</t>
  </si>
  <si>
    <t>@_meithazahra</t>
  </si>
  <si>
    <t>@_orange.peel</t>
  </si>
  <si>
    <t>@_orenji00</t>
  </si>
  <si>
    <t>@_putriitidurr_</t>
  </si>
  <si>
    <t>@_tiaraa.._</t>
  </si>
  <si>
    <t>@29.nan</t>
  </si>
  <si>
    <t>@2nditstyaraaaa</t>
  </si>
  <si>
    <t>@aaaauudreyy</t>
  </si>
  <si>
    <t>@aanotherocha</t>
  </si>
  <si>
    <t>@aarrielll_</t>
  </si>
  <si>
    <t>@abcddgemes</t>
  </si>
  <si>
    <t>@abcdefginjal</t>
  </si>
  <si>
    <t>@abcdepiee</t>
  </si>
  <si>
    <t>@abelsoe</t>
  </si>
  <si>
    <t>@abgl__loves</t>
  </si>
  <si>
    <t>@abigaelzerren</t>
  </si>
  <si>
    <t>@adeliapasha22</t>
  </si>
  <si>
    <t>@adillasaefitri</t>
  </si>
  <si>
    <t>@adistyhecaa</t>
  </si>
  <si>
    <t>@adzaninamira</t>
  </si>
  <si>
    <t>@afafalkatirii</t>
  </si>
  <si>
    <t>@afaraaaa</t>
  </si>
  <si>
    <t>@afidamadina</t>
  </si>
  <si>
    <t>@afifahlr27</t>
  </si>
  <si>
    <t>@afn.salma</t>
  </si>
  <si>
    <t>@afniii_f</t>
  </si>
  <si>
    <t>@agneslianna</t>
  </si>
  <si>
    <t>@ai_thya</t>
  </si>
  <si>
    <t>@aiinasution_</t>
  </si>
  <si>
    <t>@ainihapsari</t>
  </si>
  <si>
    <t>@ainunfp3</t>
  </si>
  <si>
    <t>@aisyaasyh_</t>
  </si>
  <si>
    <t>@aiwuffwy0u</t>
  </si>
  <si>
    <t>@aku3y1n</t>
  </si>
  <si>
    <t>@akusitaa</t>
  </si>
  <si>
    <t>@aldajessicaa</t>
  </si>
  <si>
    <t>@aldibaa</t>
  </si>
  <si>
    <t>@alisyaays</t>
  </si>
  <si>
    <t>@allofbeautycheck</t>
  </si>
  <si>
    <t>@almirandni</t>
  </si>
  <si>
    <t>@almollyyy</t>
  </si>
  <si>
    <t>@alzhafff</t>
  </si>
  <si>
    <t>@amandapuspitawardani</t>
  </si>
  <si>
    <t>@amekajaa</t>
  </si>
  <si>
    <t>@amell2.7</t>
  </si>
  <si>
    <t>@amioktarina</t>
  </si>
  <si>
    <t>@amyaudithaa</t>
  </si>
  <si>
    <t>@anarghia</t>
  </si>
  <si>
    <t>@andityaratu</t>
  </si>
  <si>
    <t>@angelicalouisedmd</t>
  </si>
  <si>
    <t>@anggirianaa</t>
  </si>
  <si>
    <t>@anibhays</t>
  </si>
  <si>
    <t>@anindya.ramaa</t>
  </si>
  <si>
    <t>@annawkwk</t>
  </si>
  <si>
    <t>@annisaap__</t>
  </si>
  <si>
    <t>@annisahnfhh</t>
  </si>
  <si>
    <t>@annsasyfrna5</t>
  </si>
  <si>
    <t>@apiccaa</t>
  </si>
  <si>
    <t>@apriliazhrrr</t>
  </si>
  <si>
    <t>@araaaagh</t>
  </si>
  <si>
    <t>@arameera</t>
  </si>
  <si>
    <t>@arinininii_</t>
  </si>
  <si>
    <t>@ashirazamita</t>
  </si>
  <si>
    <t>@ashpyxia2</t>
  </si>
  <si>
    <t>@aulia.nrdiniah</t>
  </si>
  <si>
    <t>@auraptris</t>
  </si>
  <si>
    <t>@aureliafw</t>
  </si>
  <si>
    <t>@aurellsantiio</t>
  </si>
  <si>
    <t>@awwnod</t>
  </si>
  <si>
    <t>@ayaaptrrr</t>
  </si>
  <si>
    <t>@ayacahya58</t>
  </si>
  <si>
    <t>@ayamdindut</t>
  </si>
  <si>
    <t>@ayobersyucure</t>
  </si>
  <si>
    <t>@ayuarsini28</t>
  </si>
  <si>
    <t>@ayumustikarini14</t>
  </si>
  <si>
    <t>@ayunanda2104</t>
  </si>
  <si>
    <t>@azariaza</t>
  </si>
  <si>
    <t>@aziebeautyshop</t>
  </si>
  <si>
    <t>@babybabybyy</t>
  </si>
  <si>
    <t>@barneysfling</t>
  </si>
  <si>
    <t>@bayuxsn</t>
  </si>
  <si>
    <t>@bbydreamer93</t>
  </si>
  <si>
    <t>@bbyleow</t>
  </si>
  <si>
    <t>@bbyprils</t>
  </si>
  <si>
    <t>@bbyyouan</t>
  </si>
  <si>
    <t>@bebiaurelllll</t>
  </si>
  <si>
    <t>@belaasnc</t>
  </si>
  <si>
    <t>@beliicia</t>
  </si>
  <si>
    <t>@belinsid</t>
  </si>
  <si>
    <t>@bellanjabulanan</t>
  </si>
  <si>
    <t>@bellendear</t>
  </si>
  <si>
    <t>@berlinaus6</t>
  </si>
  <si>
    <t>@bestabeste</t>
  </si>
  <si>
    <t>@bestalifta</t>
  </si>
  <si>
    <t>@bianisubki</t>
  </si>
  <si>
    <t>@bidanku.afita</t>
  </si>
  <si>
    <t>@bikingendut</t>
  </si>
  <si>
    <t>@bila.salsabil25</t>
  </si>
  <si>
    <t>@bilehbillah</t>
  </si>
  <si>
    <t>@billovedd</t>
  </si>
  <si>
    <t>@blackxugar</t>
  </si>
  <si>
    <t>@blue_fairytalee</t>
  </si>
  <si>
    <t>@bluurain</t>
  </si>
  <si>
    <t>@btr_babyla</t>
  </si>
  <si>
    <t>@bukananakmanjaa</t>
  </si>
  <si>
    <t>@bukangansa</t>
  </si>
  <si>
    <t>@bymauveine</t>
  </si>
  <si>
    <t>@bynurafifahh</t>
  </si>
  <si>
    <t>@cacaxx.ca</t>
  </si>
  <si>
    <t>@cadburylemonade</t>
  </si>
  <si>
    <t>@calcalala</t>
  </si>
  <si>
    <t>@callmec4</t>
  </si>
  <si>
    <t>@canclesrac_</t>
  </si>
  <si>
    <t>@cantikamartini</t>
  </si>
  <si>
    <t>@cassandraslee</t>
  </si>
  <si>
    <t>@cath_as</t>
  </si>
  <si>
    <t>@cclaracr</t>
  </si>
  <si>
    <t>@cclarenttiffany</t>
  </si>
  <si>
    <t>@celinesingz</t>
  </si>
  <si>
    <t>@cessshabine</t>
  </si>
  <si>
    <t>@chalulaashdr</t>
  </si>
  <si>
    <t>@chareraprilly</t>
  </si>
  <si>
    <t>@charinnnsy</t>
  </si>
  <si>
    <t>@cheeseeecats</t>
  </si>
  <si>
    <t>@chelsyalaurent</t>
  </si>
  <si>
    <t>@cherylyaaa</t>
  </si>
  <si>
    <t>@chikaaherdaa</t>
  </si>
  <si>
    <t>@chikaasss</t>
  </si>
  <si>
    <t>@christie.ofcl</t>
  </si>
  <si>
    <t>@christinatchh</t>
  </si>
  <si>
    <t>@ciicicici__</t>
  </si>
  <si>
    <t>@cikeunugget</t>
  </si>
  <si>
    <t>@cilakkkkkkkk</t>
  </si>
  <si>
    <t>@cimeeyyyy</t>
  </si>
  <si>
    <t>@cintaindraa</t>
  </si>
  <si>
    <t>@citraayudiaa</t>
  </si>
  <si>
    <t>@clara.louisea</t>
  </si>
  <si>
    <t>@clayolayyy</t>
  </si>
  <si>
    <t>@clorinisaa</t>
  </si>
  <si>
    <t>@crankygvrlishere</t>
  </si>
  <si>
    <t>@cutarsyilla</t>
  </si>
  <si>
    <t>@cutetastic_</t>
  </si>
  <si>
    <t>@cutiiecatpie</t>
  </si>
  <si>
    <t>@cyntiaar_</t>
  </si>
  <si>
    <t>@daineujune</t>
  </si>
  <si>
    <t>@darksidemica</t>
  </si>
  <si>
    <t>@dastiaprajak</t>
  </si>
  <si>
    <t>@deliacavilll</t>
  </si>
  <si>
    <t>@dellatiroo</t>
  </si>
  <si>
    <t>@denis.park_</t>
  </si>
  <si>
    <t>@dessy.jlta</t>
  </si>
  <si>
    <t>@destiarifa</t>
  </si>
  <si>
    <t>@destyazhr</t>
  </si>
  <si>
    <t>@desyaaa.dmh</t>
  </si>
  <si>
    <t>@devmesha</t>
  </si>
  <si>
    <t>@dhamayy_</t>
  </si>
  <si>
    <t>@dheaeaea</t>
  </si>
  <si>
    <t>@diaann24_</t>
  </si>
  <si>
    <t>@diakrtps</t>
  </si>
  <si>
    <t>@dianpebrylaa</t>
  </si>
  <si>
    <t>@dianwm</t>
  </si>
  <si>
    <t>@dibsky</t>
  </si>
  <si>
    <t>@dididudu_</t>
  </si>
  <si>
    <t>@dijaaaah.h</t>
  </si>
  <si>
    <t>@dilaaprily</t>
  </si>
  <si>
    <t>@dilannf</t>
  </si>
  <si>
    <t>@dillasurayaa</t>
  </si>
  <si>
    <t>@dillgatess</t>
  </si>
  <si>
    <t>@dinda.nurafifa</t>
  </si>
  <si>
    <t>@dindangela</t>
  </si>
  <si>
    <t>@diniiftt</t>
  </si>
  <si>
    <t>@dioalviero</t>
  </si>
  <si>
    <t>@divanglptr</t>
  </si>
  <si>
    <t>@dndyulia13</t>
  </si>
  <si>
    <t>@dominiquesie</t>
  </si>
  <si>
    <t>@doyandairymilkk</t>
  </si>
  <si>
    <t>@dsylvlvy</t>
  </si>
  <si>
    <t>@duwiii.r</t>
  </si>
  <si>
    <t>@dyahknissa</t>
  </si>
  <si>
    <t>@ebi_furaai</t>
  </si>
  <si>
    <t>@ekasundr</t>
  </si>
  <si>
    <t>@ekkapuspitaa</t>
  </si>
  <si>
    <t>@el.lisss1</t>
  </si>
  <si>
    <t>@eldhik</t>
  </si>
  <si>
    <t>@ellencamelia</t>
  </si>
  <si>
    <t>@enuzaiin</t>
  </si>
  <si>
    <t>@er.ef.em</t>
  </si>
  <si>
    <t>@erfinhdt</t>
  </si>
  <si>
    <t>@ervinaaaprilianti</t>
  </si>
  <si>
    <t>@evana.diary</t>
  </si>
  <si>
    <t>@eveberliana</t>
  </si>
  <si>
    <t>@ewhyy7</t>
  </si>
  <si>
    <t>@extra.0.rdinary</t>
  </si>
  <si>
    <t>@eyenedel</t>
  </si>
  <si>
    <t>@fafauzyah</t>
  </si>
  <si>
    <t>@fahrisaas</t>
  </si>
  <si>
    <t>@fanggg66</t>
  </si>
  <si>
    <t>@fardina31</t>
  </si>
  <si>
    <t>@farell.akbar12</t>
  </si>
  <si>
    <t>@fasterbabyy</t>
  </si>
  <si>
    <t>@fatiyaiya</t>
  </si>
  <si>
    <t>@fatyabiyaaa</t>
  </si>
  <si>
    <t>@fayolaleoo</t>
  </si>
  <si>
    <t>@fayyyzza</t>
  </si>
  <si>
    <t>@fazhayaaa</t>
  </si>
  <si>
    <t>@feilianaveve</t>
  </si>
  <si>
    <t>@felicia.carissa</t>
  </si>
  <si>
    <t>@felita_anthony</t>
  </si>
  <si>
    <t>@felongkarina</t>
  </si>
  <si>
    <t>@feyapp</t>
  </si>
  <si>
    <t>@ffesya</t>
  </si>
  <si>
    <t>@finaaa__0</t>
  </si>
  <si>
    <t>@fiq.taufiq</t>
  </si>
  <si>
    <t>@firzadrian</t>
  </si>
  <si>
    <t>@fitririzkia93</t>
  </si>
  <si>
    <t>@fitriyar</t>
  </si>
  <si>
    <t>@fluffyaa_</t>
  </si>
  <si>
    <t>@fredoaquinaldo</t>
  </si>
  <si>
    <t>@frinanaila</t>
  </si>
  <si>
    <t>@fujiraaaaaa</t>
  </si>
  <si>
    <t>@gabisaditemukan</t>
  </si>
  <si>
    <t>@gabywijaya_</t>
  </si>
  <si>
    <t>@galdielocks</t>
  </si>
  <si>
    <t>@gataulupa12350</t>
  </si>
  <si>
    <t>@ghaidaaaz</t>
  </si>
  <si>
    <t>@ghaitcaaa</t>
  </si>
  <si>
    <t>@ghendudee</t>
  </si>
  <si>
    <t>@gisellashafa</t>
  </si>
  <si>
    <t>@gladisalexandria</t>
  </si>
  <si>
    <t>@glorianovenaa</t>
  </si>
  <si>
    <t>@halifaintaniaa</t>
  </si>
  <si>
    <t>@hallotell_</t>
  </si>
  <si>
    <t>@haloakuririn</t>
  </si>
  <si>
    <t>@haloneneu</t>
  </si>
  <si>
    <t>@hanacrlne</t>
  </si>
  <si>
    <t>@hanaofficial88</t>
  </si>
  <si>
    <t>@hanatz</t>
  </si>
  <si>
    <t>@haneybunnyyy</t>
  </si>
  <si>
    <t>@hanita.e</t>
  </si>
  <si>
    <t>@hanumsajidah1</t>
  </si>
  <si>
    <t>@hasnaaazz_</t>
  </si>
  <si>
    <t>@heffalump88</t>
  </si>
  <si>
    <t>@helen.mn_</t>
  </si>
  <si>
    <t>@hellosun_0</t>
  </si>
  <si>
    <t>@hellowfunnyy</t>
  </si>
  <si>
    <t>@henakuhen</t>
  </si>
  <si>
    <t>@henirahayu01</t>
  </si>
  <si>
    <t>@herikanatasya_</t>
  </si>
  <si>
    <t>@heylulaa</t>
  </si>
  <si>
    <t>@hifazra</t>
  </si>
  <si>
    <t>@hik4wu</t>
  </si>
  <si>
    <t>@hillaryeilishh</t>
  </si>
  <si>
    <t>@hourlysar</t>
  </si>
  <si>
    <t>@hsign62</t>
  </si>
  <si>
    <t>@https.buna</t>
  </si>
  <si>
    <t>@iamkeylie</t>
  </si>
  <si>
    <t>@idulbukanidoel</t>
  </si>
  <si>
    <t>@ig.devynchintya</t>
  </si>
  <si>
    <t>@ikanbirruuu</t>
  </si>
  <si>
    <t>@im.hopey</t>
  </si>
  <si>
    <t>@imaowta</t>
  </si>
  <si>
    <t>@imn0t.yours</t>
  </si>
  <si>
    <t>@inaadonad</t>
  </si>
  <si>
    <t>@indrimeiliana</t>
  </si>
  <si>
    <t>@iniochaak</t>
  </si>
  <si>
    <t>@iraamulyani</t>
  </si>
  <si>
    <t>@ireniaofficial</t>
  </si>
  <si>
    <t>@irma.iryanto3</t>
  </si>
  <si>
    <t>@istiqamhh</t>
  </si>
  <si>
    <t>@itscykaa</t>
  </si>
  <si>
    <t>@itsmeaprilola</t>
  </si>
  <si>
    <t>@itsnuyi</t>
  </si>
  <si>
    <t>@itsrachul</t>
  </si>
  <si>
    <t>@itzzme.ang</t>
  </si>
  <si>
    <t>@janessatheo</t>
  </si>
  <si>
    <t>@janicesamanthaa</t>
  </si>
  <si>
    <t>@jeliliyy_</t>
  </si>
  <si>
    <t>@jesiscajesis</t>
  </si>
  <si>
    <t>@jesselinjess</t>
  </si>
  <si>
    <t>@jessicarosmaureena</t>
  </si>
  <si>
    <t>@jesslynhere</t>
  </si>
  <si>
    <t>@jessysaaas</t>
  </si>
  <si>
    <t>@jihanmndaa</t>
  </si>
  <si>
    <t>@julianastasia</t>
  </si>
  <si>
    <t>@juniarwitan</t>
  </si>
  <si>
    <t>@junjunshii</t>
  </si>
  <si>
    <t>@justlintang</t>
  </si>
  <si>
    <t>@kakakjilbabcoklat</t>
  </si>
  <si>
    <t>@kakatayaa</t>
  </si>
  <si>
    <t>@kardevvvv</t>
  </si>
  <si>
    <t>@karenhendrawan7</t>
  </si>
  <si>
    <t>@karenthaliaaa</t>
  </si>
  <si>
    <t>@kareynaz</t>
  </si>
  <si>
    <t>@karinspill</t>
  </si>
  <si>
    <t>@kemalagita</t>
  </si>
  <si>
    <t>@khadziyah13_</t>
  </si>
  <si>
    <t>@khairsaa</t>
  </si>
  <si>
    <t>@kheiv</t>
  </si>
  <si>
    <t>@kiynnar</t>
  </si>
  <si>
    <t>@kkmn99</t>
  </si>
  <si>
    <t>@laladitiktok</t>
  </si>
  <si>
    <t>@lalajuliandari053</t>
  </si>
  <si>
    <t>@lalapoo76</t>
  </si>
  <si>
    <t>@leilamrnda</t>
  </si>
  <si>
    <t>@lenimizzle</t>
  </si>
  <si>
    <t>@leonymarcha</t>
  </si>
  <si>
    <t>@lilyawliya</t>
  </si>
  <si>
    <t>@lilyisnotflowerrr</t>
  </si>
  <si>
    <t>@lindawidyaa8</t>
  </si>
  <si>
    <t>@lingstephanie</t>
  </si>
  <si>
    <t>@lintangraina</t>
  </si>
  <si>
    <t>@lisdafbrd_</t>
  </si>
  <si>
    <t>@literalygabuttt</t>
  </si>
  <si>
    <t>@lorrrrrrrra_</t>
  </si>
  <si>
    <t>@ludovicajessica</t>
  </si>
  <si>
    <t>@lul0l</t>
  </si>
  <si>
    <t>@lutxani</t>
  </si>
  <si>
    <t>@maddienathania</t>
  </si>
  <si>
    <t>@madivabeer</t>
  </si>
  <si>
    <t>@makeupbyjane2</t>
  </si>
  <si>
    <t>@makeupfor30s</t>
  </si>
  <si>
    <t>@makeupxsherren</t>
  </si>
  <si>
    <t>@mamanarasi</t>
  </si>
  <si>
    <t>@marcelinafzhh</t>
  </si>
  <si>
    <t>@mardatills</t>
  </si>
  <si>
    <t>@marisajasminee</t>
  </si>
  <si>
    <t>@marsyabungaaa</t>
  </si>
  <si>
    <t>@matchaaciiiiii</t>
  </si>
  <si>
    <t>@matchajunkie</t>
  </si>
  <si>
    <t>@mayanadiaa</t>
  </si>
  <si>
    <t>@maybmei</t>
  </si>
  <si>
    <t>@mbanajlaa</t>
  </si>
  <si>
    <t>@meeiiya</t>
  </si>
  <si>
    <t>@meilanindraa</t>
  </si>
  <si>
    <t>@melfacitra</t>
  </si>
  <si>
    <t>@merilazuardiii</t>
  </si>
  <si>
    <t>@merisaptr_</t>
  </si>
  <si>
    <t>@metaliaaaaaaa</t>
  </si>
  <si>
    <t>@metta.phan</t>
  </si>
  <si>
    <t>@meyleela</t>
  </si>
  <si>
    <t>@micaellamnn</t>
  </si>
  <si>
    <t>@micloudy</t>
  </si>
  <si>
    <t>@milkywoof</t>
  </si>
  <si>
    <t>@mindysabrina</t>
  </si>
  <si>
    <t>@miyaaliii</t>
  </si>
  <si>
    <t>@mlkrtkaa</t>
  </si>
  <si>
    <t>@monnyriskianip</t>
  </si>
  <si>
    <t>@ms.stya</t>
  </si>
  <si>
    <t>@mtsyvtr</t>
  </si>
  <si>
    <t>@mucia.au</t>
  </si>
  <si>
    <t>@mulia_setyowati</t>
  </si>
  <si>
    <t>@muthiazohra</t>
  </si>
  <si>
    <t>@mutiaadawiyyah5</t>
  </si>
  <si>
    <t>@mutiasrigianti</t>
  </si>
  <si>
    <t>@mwojii</t>
  </si>
  <si>
    <t>@nabilafirdaus07</t>
  </si>
  <si>
    <t>@nabilahwirizkiii</t>
  </si>
  <si>
    <t>@nacalatte</t>
  </si>
  <si>
    <t>@nadiaaaalll</t>
  </si>
  <si>
    <t>@nadiaaag01</t>
  </si>
  <si>
    <t>@nadiatussaa</t>
  </si>
  <si>
    <t>@nadilaafatesa</t>
  </si>
  <si>
    <t>@nadyaanatashaaa</t>
  </si>
  <si>
    <t>@nadyamgdlnn</t>
  </si>
  <si>
    <t>@naisalsabila</t>
  </si>
  <si>
    <t>@namanya.katerine</t>
  </si>
  <si>
    <t>@nandaadelia21</t>
  </si>
  <si>
    <t>@natashaalaurentinaa</t>
  </si>
  <si>
    <t>@natasyafifialayda_</t>
  </si>
  <si>
    <t>@naylasyr</t>
  </si>
  <si>
    <t>@nazwamhrm</t>
  </si>
  <si>
    <t>@nbllaap</t>
  </si>
  <si>
    <t>@ndini_rahma23</t>
  </si>
  <si>
    <t>@nellyharahap25_</t>
  </si>
  <si>
    <t>@nesagnesss_</t>
  </si>
  <si>
    <t>@nhsnasya_</t>
  </si>
  <si>
    <t>@nicetmy</t>
  </si>
  <si>
    <t>@nidatidurmulu</t>
  </si>
  <si>
    <t>@nindya.widyasaputri</t>
  </si>
  <si>
    <t>@nissa.sekar</t>
  </si>
  <si>
    <t>@nmarecar</t>
  </si>
  <si>
    <t>@noiamig</t>
  </si>
  <si>
    <t>@nolahariadi</t>
  </si>
  <si>
    <t>@nonaatyass</t>
  </si>
  <si>
    <t>@northstargirls_</t>
  </si>
  <si>
    <t>@nov_kbc</t>
  </si>
  <si>
    <t>@novalexannn07</t>
  </si>
  <si>
    <t>@novandadaraa</t>
  </si>
  <si>
    <t>@nrlaellaa</t>
  </si>
  <si>
    <t>@nu_qila</t>
  </si>
  <si>
    <t>@nudshine</t>
  </si>
  <si>
    <t>@nuraenisappee</t>
  </si>
  <si>
    <t>@nuralissaaa</t>
  </si>
  <si>
    <t>@ocedecee</t>
  </si>
  <si>
    <t>@octaviani.w</t>
  </si>
  <si>
    <t>@odeliachristina</t>
  </si>
  <si>
    <t>@odxlxx</t>
  </si>
  <si>
    <t>@oikavva2</t>
  </si>
  <si>
    <t>@oliviasompie</t>
  </si>
  <si>
    <t>@oyicloudy</t>
  </si>
  <si>
    <t>@pamelawanggg</t>
  </si>
  <si>
    <t>@pangilaja_nyu</t>
  </si>
  <si>
    <t>@patricialourence</t>
  </si>
  <si>
    <t>@peachydf</t>
  </si>
  <si>
    <t>@peonyyypeony</t>
  </si>
  <si>
    <t>@periwinkle_9</t>
  </si>
  <si>
    <t>@peteputee</t>
  </si>
  <si>
    <t>@pinkyglass7</t>
  </si>
  <si>
    <t>@pistaschioo</t>
  </si>
  <si>
    <t>@pokziee</t>
  </si>
  <si>
    <t>@pr3eety</t>
  </si>
  <si>
    <t>@prcliaavanessa</t>
  </si>
  <si>
    <t>@precioushifa</t>
  </si>
  <si>
    <t>@primaomaaa</t>
  </si>
  <si>
    <t>@prnmagatrii</t>
  </si>
  <si>
    <t>@psychobaby.xx</t>
  </si>
  <si>
    <t>@putrek18</t>
  </si>
  <si>
    <t>@putricitra27</t>
  </si>
  <si>
    <t>@qamaraasr</t>
  </si>
  <si>
    <t>@qheylazv</t>
  </si>
  <si>
    <t>@qinomsaurus</t>
  </si>
  <si>
    <t>@queeeenzaaa</t>
  </si>
  <si>
    <t>@queenoee1</t>
  </si>
  <si>
    <t>@queentann_</t>
  </si>
  <si>
    <t>@queenzyyr</t>
  </si>
  <si>
    <t>@r22nn4</t>
  </si>
  <si>
    <t>@raflyalvinn</t>
  </si>
  <si>
    <t>@rani.yln</t>
  </si>
  <si>
    <t>@ratucariissa</t>
  </si>
  <si>
    <t>@ravie.pie</t>
  </si>
  <si>
    <t>@refaaalhady</t>
  </si>
  <si>
    <t>@refiameidi</t>
  </si>
  <si>
    <t>@reginadebii</t>
  </si>
  <si>
    <t>@reginanugroho</t>
  </si>
  <si>
    <t>@reginayoshida_</t>
  </si>
  <si>
    <t>@renagriselda</t>
  </si>
  <si>
    <t>@renieas</t>
  </si>
  <si>
    <t>@renisiaaa</t>
  </si>
  <si>
    <t>@renny_pl</t>
  </si>
  <si>
    <t>@renny.antonious</t>
  </si>
  <si>
    <t>@ricapuspitas</t>
  </si>
  <si>
    <t>@richrachellll</t>
  </si>
  <si>
    <t>@rihaikha</t>
  </si>
  <si>
    <t>@rikhalaila</t>
  </si>
  <si>
    <t>@riskareres</t>
  </si>
  <si>
    <t>@risqianao</t>
  </si>
  <si>
    <t>@rizkibles</t>
  </si>
  <si>
    <t>@rizzkaaulia_</t>
  </si>
  <si>
    <t>@rossyrosee3</t>
  </si>
  <si>
    <t>@rrfebryl</t>
  </si>
  <si>
    <t>@rsnakr</t>
  </si>
  <si>
    <t>@sabilavirajati</t>
  </si>
  <si>
    <t>@sabrinaisarah</t>
  </si>
  <si>
    <t>@safapelangii</t>
  </si>
  <si>
    <t>@safiramiss</t>
  </si>
  <si>
    <t>@sahasahaaieuu</t>
  </si>
  <si>
    <t>@salma.nafissa</t>
  </si>
  <si>
    <t>@salmaqilla</t>
  </si>
  <si>
    <t>@sarfahh_</t>
  </si>
  <si>
    <t>@sarifahhanaa</t>
  </si>
  <si>
    <t>@sasaihsansii</t>
  </si>
  <si>
    <t>@sawitri_nopela</t>
  </si>
  <si>
    <t>@selvisantoso92</t>
  </si>
  <si>
    <t>@selymutiara__</t>
  </si>
  <si>
    <t>@sepertiteman</t>
  </si>
  <si>
    <t>@shanijkt48</t>
  </si>
  <si>
    <t>@sharfeint</t>
  </si>
  <si>
    <t>@sharonatashaa</t>
  </si>
  <si>
    <t>@shelaoktav1</t>
  </si>
  <si>
    <t>@shellaalaztha</t>
  </si>
  <si>
    <t>@shellacletus</t>
  </si>
  <si>
    <t>@shelly.chandra</t>
  </si>
  <si>
    <t>@shellyagathaa</t>
  </si>
  <si>
    <t>@sherenzx</t>
  </si>
  <si>
    <t>@sheylanada</t>
  </si>
  <si>
    <t>@shii.faa_</t>
  </si>
  <si>
    <t>@shintadez_20</t>
  </si>
  <si>
    <t>@shiskarabekenz</t>
  </si>
  <si>
    <t>@shvnyleona</t>
  </si>
  <si>
    <t>@shyacaa</t>
  </si>
  <si>
    <t>@sicicisipit</t>
  </si>
  <si>
    <t>@siiiincerelyaprilll</t>
  </si>
  <si>
    <t>@silvahidfm</t>
  </si>
  <si>
    <t>@silvalim_</t>
  </si>
  <si>
    <t>@silvidnlorenza</t>
  </si>
  <si>
    <t>@sindiprastika.s</t>
  </si>
  <si>
    <t>@sitijenab044</t>
  </si>
  <si>
    <t>@sitisandah</t>
  </si>
  <si>
    <t>@skincarebyw</t>
  </si>
  <si>
    <t>@skingasm_id</t>
  </si>
  <si>
    <t>@snowwhiteezz</t>
  </si>
  <si>
    <t>@softyicecream_</t>
  </si>
  <si>
    <t>@soufberry</t>
  </si>
  <si>
    <t>@soviosjustle</t>
  </si>
  <si>
    <t>@starlssmoon</t>
  </si>
  <si>
    <t>@stellajoee_</t>
  </si>
  <si>
    <t>@stellatandajaya</t>
  </si>
  <si>
    <t>@suchiaas</t>
  </si>
  <si>
    <t>@sufarelysia</t>
  </si>
  <si>
    <t>@sukmaningrum__</t>
  </si>
  <si>
    <t>@sunflowerszir</t>
  </si>
  <si>
    <t>@sweetirtup</t>
  </si>
  <si>
    <t>@syaast</t>
  </si>
  <si>
    <t>@syavicaf_</t>
  </si>
  <si>
    <t>@syeaja</t>
  </si>
  <si>
    <t>@syewiw</t>
  </si>
  <si>
    <t>@syifaazizah_</t>
  </si>
  <si>
    <t>@t.cheese_</t>
  </si>
  <si>
    <t>@taa_768</t>
  </si>
  <si>
    <t>@takanasamisakata</t>
  </si>
  <si>
    <t>@talithanaf96</t>
  </si>
  <si>
    <t>@tatanzrh</t>
  </si>
  <si>
    <t>@theardrop</t>
  </si>
  <si>
    <t>@theblackswannn</t>
  </si>
  <si>
    <t>@thefabulousvin</t>
  </si>
  <si>
    <t>@thifapuspita</t>
  </si>
  <si>
    <t>@thisisyuhupo</t>
  </si>
  <si>
    <t>@thsaurus</t>
  </si>
  <si>
    <t>@tiaratshh</t>
  </si>
  <si>
    <t>@tiiraamisuuu</t>
  </si>
  <si>
    <t>@tiktokshopblue</t>
  </si>
  <si>
    <t>@tissabianiazzahra</t>
  </si>
  <si>
    <t>@tresyee</t>
  </si>
  <si>
    <t>@trustiyanamaya</t>
  </si>
  <si>
    <t>@tsysal</t>
  </si>
  <si>
    <t>@tunasko</t>
  </si>
  <si>
    <t>@tyaltya</t>
  </si>
  <si>
    <t>@udahgalibur</t>
  </si>
  <si>
    <t>@ulfadianita</t>
  </si>
  <si>
    <t>@uracnebf</t>
  </si>
  <si>
    <t>@urskinrescuer</t>
  </si>
  <si>
    <t>@utezet</t>
  </si>
  <si>
    <t>@uwioyeng</t>
  </si>
  <si>
    <t>@v.sevillaaa</t>
  </si>
  <si>
    <t>@vanessaabigail31</t>
  </si>
  <si>
    <t>@vanessacha95</t>
  </si>
  <si>
    <t>@vaniaahmad101</t>
  </si>
  <si>
    <t>@velaineee</t>
  </si>
  <si>
    <t>@veldaasuma</t>
  </si>
  <si>
    <t>@veryvinca</t>
  </si>
  <si>
    <t>@vetegbr</t>
  </si>
  <si>
    <t>@vidyadikaa</t>
  </si>
  <si>
    <t>@viekalika</t>
  </si>
  <si>
    <t>@vika.dwicakra</t>
  </si>
  <si>
    <t>@vinnilya</t>
  </si>
  <si>
    <t>@vitamincyuu</t>
  </si>
  <si>
    <t>@vitridev</t>
  </si>
  <si>
    <t>@vlnnnjb</t>
  </si>
  <si>
    <t>@vntsyaaa</t>
  </si>
  <si>
    <t>@voilaaah</t>
  </si>
  <si>
    <t>@vvafarrah</t>
  </si>
  <si>
    <t>@wearsunblock</t>
  </si>
  <si>
    <t>@wellisnaa_</t>
  </si>
  <si>
    <t>@whatspo0pin</t>
  </si>
  <si>
    <t>@whiteflowerains</t>
  </si>
  <si>
    <t>@whoismontserratgizelle</t>
  </si>
  <si>
    <t>@widya.wei</t>
  </si>
  <si>
    <t>@wiiiiinawdynt02</t>
  </si>
  <si>
    <t>@wndzzzzz</t>
  </si>
  <si>
    <t>@woonbabe</t>
  </si>
  <si>
    <t>@wrgusnari_</t>
  </si>
  <si>
    <t>@wuwu6</t>
  </si>
  <si>
    <t>@wynneaqila</t>
  </si>
  <si>
    <t>@xclusive.piy</t>
  </si>
  <si>
    <t>@yaiyaiaa</t>
  </si>
  <si>
    <t>@yanikuhhh</t>
  </si>
  <si>
    <t>@yazfarach</t>
  </si>
  <si>
    <t>@yemimaassa</t>
  </si>
  <si>
    <t>@ymlia002</t>
  </si>
  <si>
    <t>@yolksacc</t>
  </si>
  <si>
    <t>@yosefineyoe</t>
  </si>
  <si>
    <t>@yosep.muach</t>
  </si>
  <si>
    <t>@yoursadbestfriend</t>
  </si>
  <si>
    <t>@zahrah.ateerah</t>
  </si>
  <si>
    <t>@zahrahauu</t>
  </si>
  <si>
    <t>@zahrasalsabilaaaaa</t>
  </si>
  <si>
    <t>@zaramatoshi</t>
  </si>
  <si>
    <t>@zeejkt48</t>
  </si>
  <si>
    <t>@zistalutzfayda</t>
  </si>
  <si>
    <t>@zulfajuman</t>
  </si>
  <si>
    <t>@zzalishaa</t>
  </si>
  <si>
    <t>@amerizkaaa</t>
  </si>
  <si>
    <t>@annasyashaqueenanavisha</t>
  </si>
  <si>
    <t>@ayu_agstn24</t>
  </si>
  <si>
    <t>@celinesoegiardjo_</t>
  </si>
  <si>
    <t>@ciledug24jam</t>
  </si>
  <si>
    <t>@kingkong_me</t>
  </si>
  <si>
    <t>@malika.bstr</t>
  </si>
  <si>
    <t>@ocilia_saragi</t>
  </si>
  <si>
    <t>@sizkywlndri</t>
  </si>
  <si>
    <t>@tiffrappucino</t>
  </si>
  <si>
    <t>@aditya_sigma12</t>
  </si>
  <si>
    <t>@alegeor_</t>
  </si>
  <si>
    <t>@anisaulkhasanahh</t>
  </si>
  <si>
    <t>@ardhisekartaji</t>
  </si>
  <si>
    <t>@arjunabiru20</t>
  </si>
  <si>
    <t>@daniiyaa11</t>
  </si>
  <si>
    <t>@denganvivi</t>
  </si>
  <si>
    <t>@depokterkini</t>
  </si>
  <si>
    <t>@derrickbroaster</t>
  </si>
  <si>
    <t>@deysamosir</t>
  </si>
  <si>
    <t>@difarraa</t>
  </si>
  <si>
    <t>@faizfazliii</t>
  </si>
  <si>
    <t>@febrianratna</t>
  </si>
  <si>
    <t>@fernandagunsan</t>
  </si>
  <si>
    <t>@fitrii_ags</t>
  </si>
  <si>
    <t>@gamebrott.com</t>
  </si>
  <si>
    <t>@gamila_chavaleeya4</t>
  </si>
  <si>
    <t>@gansaaay</t>
  </si>
  <si>
    <t>@gigislavina</t>
  </si>
  <si>
    <t>@haekalmajid</t>
  </si>
  <si>
    <t>@ikaoktavia22</t>
  </si>
  <si>
    <t>@jesstheoutfitrepeater</t>
  </si>
  <si>
    <t>@kenn.hiro.keiko</t>
  </si>
  <si>
    <t>@kiunazira</t>
  </si>
  <si>
    <t>@kokowil_titiwil</t>
  </si>
  <si>
    <t>@krindanii</t>
  </si>
  <si>
    <t>@lhyalihe</t>
  </si>
  <si>
    <t>@mamahshema</t>
  </si>
  <si>
    <t>@nureynia</t>
  </si>
  <si>
    <t>@princezxx</t>
  </si>
  <si>
    <t>@renandaandp</t>
  </si>
  <si>
    <t>@seftiaani_</t>
  </si>
  <si>
    <t>@selvielim</t>
  </si>
  <si>
    <t>@ursboyy_</t>
  </si>
  <si>
    <t>@wisnukumoro_official</t>
  </si>
  <si>
    <t>@aaasiiel</t>
  </si>
  <si>
    <t>@alimtlh</t>
  </si>
  <si>
    <t>@arnyjiang</t>
  </si>
  <si>
    <t>@ayurarasa</t>
  </si>
  <si>
    <t>@bochld</t>
  </si>
  <si>
    <t>@danbening</t>
  </si>
  <si>
    <t>@dinnnsl</t>
  </si>
  <si>
    <t>@fasolasidoshop</t>
  </si>
  <si>
    <t>@fenty_atikaa21</t>
  </si>
  <si>
    <t>@ficillia.cicill</t>
  </si>
  <si>
    <t>@helenhannahleongara</t>
  </si>
  <si>
    <t>@itsflowra</t>
  </si>
  <si>
    <t>@ivo_bahar</t>
  </si>
  <si>
    <t>@jalerijal</t>
  </si>
  <si>
    <t>@jonstipenn_</t>
  </si>
  <si>
    <t>@latisharputri</t>
  </si>
  <si>
    <t>@noviemm</t>
  </si>
  <si>
    <t>@panggilajapejang</t>
  </si>
  <si>
    <t>@puterisalsabilaaaa</t>
  </si>
  <si>
    <t>@rhyntofebrian</t>
  </si>
  <si>
    <t>@rikariafatma</t>
  </si>
  <si>
    <t>@rxx_mnd</t>
  </si>
  <si>
    <t>@satria_elfdr17</t>
  </si>
  <si>
    <t>@uly.mz</t>
  </si>
  <si>
    <t>@zzarssept98</t>
  </si>
  <si>
    <t>@___moccacinta</t>
  </si>
  <si>
    <t>@alfifauziah__</t>
  </si>
  <si>
    <t>@anggraeni_uni</t>
  </si>
  <si>
    <t>@asyaaazh</t>
  </si>
  <si>
    <t>@deenduuh</t>
  </si>
  <si>
    <t>@dwmalaa_</t>
  </si>
  <si>
    <t>@fdishaa</t>
  </si>
  <si>
    <t>@fulgentio</t>
  </si>
  <si>
    <t>@infociputatcom</t>
  </si>
  <si>
    <t>@kukymunchsterrr_</t>
  </si>
  <si>
    <t>@medinaka_17</t>
  </si>
  <si>
    <t>@nyonyahafidz_</t>
  </si>
  <si>
    <t>@puspitawi</t>
  </si>
  <si>
    <t>@sitifitriyani115</t>
  </si>
  <si>
    <t>@sylvyprincesnata</t>
  </si>
  <si>
    <t>@tutusthomson</t>
  </si>
  <si>
    <t>@valleskaraa</t>
  </si>
  <si>
    <t>@yericastephaniek</t>
  </si>
  <si>
    <t>@anastyapandan</t>
  </si>
  <si>
    <t>@angui.11</t>
  </si>
  <si>
    <t>@anisanhdlyh_</t>
  </si>
  <si>
    <t>@antikawlns_</t>
  </si>
  <si>
    <t>@aprillmuuv</t>
  </si>
  <si>
    <t>@ayoskincarean</t>
  </si>
  <si>
    <t>@citrasidabutar1</t>
  </si>
  <si>
    <t>@darraalfaridzi</t>
  </si>
  <si>
    <t>@dekaul</t>
  </si>
  <si>
    <t>@divocado</t>
  </si>
  <si>
    <t>@dzidzihadid</t>
  </si>
  <si>
    <t>@effioct</t>
  </si>
  <si>
    <t>@el_tannn</t>
  </si>
  <si>
    <t>@fitrianaf123</t>
  </si>
  <si>
    <t>@florinrine</t>
  </si>
  <si>
    <t>@inge_majoz</t>
  </si>
  <si>
    <t>@jellycho0</t>
  </si>
  <si>
    <t>@kellyaliandra</t>
  </si>
  <si>
    <t>@lia_hdm</t>
  </si>
  <si>
    <t>@melysatann</t>
  </si>
  <si>
    <t>@meydicine</t>
  </si>
  <si>
    <t>@nafilahm</t>
  </si>
  <si>
    <t>@nhafsaaa</t>
  </si>
  <si>
    <t>@niacnofitasari</t>
  </si>
  <si>
    <t>@nida0698</t>
  </si>
  <si>
    <t>@nindihr_</t>
  </si>
  <si>
    <t>@nindtha</t>
  </si>
  <si>
    <t>@oriveralinas</t>
  </si>
  <si>
    <t>@reviewnana</t>
  </si>
  <si>
    <t>@rischachikaa</t>
  </si>
  <si>
    <t>@roulineee</t>
  </si>
  <si>
    <t>@she.nathasya</t>
  </si>
  <si>
    <t>@tepungoreng_</t>
  </si>
  <si>
    <t>@thisisnaiii</t>
  </si>
  <si>
    <t>@trzadyn</t>
  </si>
  <si>
    <t>@widya98</t>
  </si>
  <si>
    <t>@wudih</t>
  </si>
  <si>
    <t>@.nanab</t>
  </si>
  <si>
    <t>@alyssachairiena</t>
  </si>
  <si>
    <t>@anisapianika_</t>
  </si>
  <si>
    <t>@baby.dinar</t>
  </si>
  <si>
    <t>@daphnemadeline</t>
  </si>
  <si>
    <t>@dodevvvv</t>
  </si>
  <si>
    <t>@eka_frasetty</t>
  </si>
  <si>
    <t>@evelynsumarli</t>
  </si>
  <si>
    <t>@fifelia</t>
  </si>
  <si>
    <t>@hmrifah</t>
  </si>
  <si>
    <t>@indhkhrnnsaa</t>
  </si>
  <si>
    <t>@inezmanggau</t>
  </si>
  <si>
    <t>@jessica_sisy</t>
  </si>
  <si>
    <t>@justbeyousist</t>
  </si>
  <si>
    <t>@khailamom28</t>
  </si>
  <si>
    <t>@kuaisyy</t>
  </si>
  <si>
    <t>@niikakichi</t>
  </si>
  <si>
    <t>@nurul_aziiz</t>
  </si>
  <si>
    <t>@pricylzhang</t>
  </si>
  <si>
    <t>@selviaanrreal</t>
  </si>
  <si>
    <t>@shaasya.a</t>
  </si>
  <si>
    <t>@silajubran</t>
  </si>
  <si>
    <t>@syeajaaa</t>
  </si>
  <si>
    <t>@tiffanylauwrence</t>
  </si>
  <si>
    <t>@trisa066</t>
  </si>
  <si>
    <t>@veralinee</t>
  </si>
  <si>
    <t>@xtin.angelia</t>
  </si>
  <si>
    <t>@yannysukmana</t>
  </si>
  <si>
    <t>@yassipoullo</t>
  </si>
  <si>
    <t>@alyaarzkymln</t>
  </si>
  <si>
    <t>@anggtraa</t>
  </si>
  <si>
    <t>@arjunfahri</t>
  </si>
  <si>
    <t>@britneykim06</t>
  </si>
  <si>
    <t>@c_llatan88</t>
  </si>
  <si>
    <t>@cacajuwiita</t>
  </si>
  <si>
    <t>@cee_tra99</t>
  </si>
  <si>
    <t>@dessyaditya</t>
  </si>
  <si>
    <t>@enesty.putricho</t>
  </si>
  <si>
    <t>@eptriian</t>
  </si>
  <si>
    <t>@gebi_gabriela</t>
  </si>
  <si>
    <t>@hampson.zachary</t>
  </si>
  <si>
    <t>@hananabdn</t>
  </si>
  <si>
    <t>@jedsonjioriadistyo</t>
  </si>
  <si>
    <t>@jeevan_akawa</t>
  </si>
  <si>
    <t>@kay.kimiko</t>
  </si>
  <si>
    <t>@lamriadel_</t>
  </si>
  <si>
    <t>@lolitawardani</t>
  </si>
  <si>
    <t>@naybaihaqi</t>
  </si>
  <si>
    <t>@princesshuangg</t>
  </si>
  <si>
    <t>@rafael_tjoeng</t>
  </si>
  <si>
    <t>@sita_riyani</t>
  </si>
  <si>
    <t>@sywijii</t>
  </si>
  <si>
    <t>@yuliastuty1</t>
  </si>
  <si>
    <t>@adzkiya_rizqi</t>
  </si>
  <si>
    <t>@lustyaa23</t>
  </si>
  <si>
    <t>@nana.shakira.397</t>
  </si>
  <si>
    <t>@nplia</t>
  </si>
  <si>
    <t>@nurulfitriaa__</t>
  </si>
  <si>
    <t>@pantjoranpik</t>
  </si>
  <si>
    <t>@riniamanah_ra</t>
  </si>
  <si>
    <t>@vonirhamaa</t>
  </si>
  <si>
    <t>@nisa_alifa</t>
  </si>
  <si>
    <t>@joselyn.velixia</t>
  </si>
  <si>
    <t>NORMALIZED SCORES  ·  Absolute ÷ population maximum × 100</t>
  </si>
  <si>
    <t>Every cell is a formula over Absolute_Scores, and the divisor is the MAX of THAT preference's own population — never a global maximum across the database. 100 therefore means "the highest relative match inside this comparison group", and it does NOT mean a perfect or 100% fit. The absolute score it came from is one sheet to the left.</t>
  </si>
  <si>
    <t xml:space="preserve">Preference A · LumiSkin · population maximum = </t>
  </si>
  <si>
    <t xml:space="preserve">Preference B · DailyBite · population maximum = </t>
  </si>
  <si>
    <t xml:space="preserve">Preference C · NovaTech · population maximum = </t>
  </si>
  <si>
    <t>DISTRIBUTION SUMMARY  ·  every statistic computed by Excel over the score ranges</t>
  </si>
  <si>
    <t>Nothing on this sheet is a pasted number. Each cell is a formula over the corresponding column of Absolute_Scores or Normalized_Scores, so the statistics cannot drift from the data and SKEW() is Excel's own.</t>
  </si>
  <si>
    <t>Score Type</t>
  </si>
  <si>
    <t>N</t>
  </si>
  <si>
    <t>Min</t>
  </si>
  <si>
    <t>Max</t>
  </si>
  <si>
    <t>Mean</t>
  </si>
  <si>
    <t>Median</t>
  </si>
  <si>
    <t>Std Dev</t>
  </si>
  <si>
    <t>P25</t>
  </si>
  <si>
    <t>P75</t>
  </si>
  <si>
    <t>Absolute</t>
  </si>
  <si>
    <t>Normalized</t>
  </si>
  <si>
    <t>SKEWNESS AND TAIL  ·  SKEW() is Excel's own sample skewness; the reading beside it is a description, not a verdict</t>
  </si>
  <si>
    <t>Skewness =SKEW()</t>
  </si>
  <si>
    <t>Reading</t>
  </si>
  <si>
    <t>Spread (Max-Min)</t>
  </si>
  <si>
    <t>IQR (P75-P25)</t>
  </si>
  <si>
    <t>Modal value</t>
  </si>
  <si>
    <t>Modal share</t>
  </si>
  <si>
    <t>Tail Observation</t>
  </si>
  <si>
    <t>HISTOGRAM DATA  ·  bin counts behind the six charts</t>
  </si>
  <si>
    <t>Twenty five-point bins spanning the whole 0-100 scale, not the observed range: a chart auto-scaled to the data would make a distribution occupying 18-80 look like it fills the scale, which is the impression this test exists to check. Every count is a COUNTIFS over the score column, so the charts move with the data.</t>
  </si>
  <si>
    <t>x-axis = score band · y-axis = number of KOL</t>
  </si>
  <si>
    <t>Bin (score)</t>
  </si>
  <si>
    <t>Preference A Absolute</t>
  </si>
  <si>
    <t>Preference A Normalized</t>
  </si>
  <si>
    <t>Preference B Absolute</t>
  </si>
  <si>
    <t>Preference B Normalized</t>
  </si>
  <si>
    <t>Preference C Absolute</t>
  </si>
  <si>
    <t>Preference C Normalized</t>
  </si>
  <si>
    <t>0-5</t>
  </si>
  <si>
    <t>5-10</t>
  </si>
  <si>
    <t>10-15</t>
  </si>
  <si>
    <t>15-20</t>
  </si>
  <si>
    <t>20-25</t>
  </si>
  <si>
    <t>25-30</t>
  </si>
  <si>
    <t>30-35</t>
  </si>
  <si>
    <t>35-40</t>
  </si>
  <si>
    <t>40-45</t>
  </si>
  <si>
    <t>45-50</t>
  </si>
  <si>
    <t>50-55</t>
  </si>
  <si>
    <t>55-60</t>
  </si>
  <si>
    <t>60-65</t>
  </si>
  <si>
    <t>65-70</t>
  </si>
  <si>
    <t>70-75</t>
  </si>
  <si>
    <t>75-80</t>
  </si>
  <si>
    <t>80-85</t>
  </si>
  <si>
    <t>85-90</t>
  </si>
  <si>
    <t>90-95</t>
  </si>
  <si>
    <t>95-100</t>
  </si>
  <si>
    <t>TOTAL</t>
  </si>
  <si>
    <t>PREFERENCE COMPARISON  ·  the same creators scored under all three profiles</t>
  </si>
  <si>
    <t>Only creators eligible for ALL THREE populations appear here — that is what makes the six numbers on a row comparable. Absolute and Normalized travel together, and the rank columns are what answer whether changing the brand changes the order rather than just the numbers.</t>
  </si>
  <si>
    <t>194 creators are eligible under all three preferences</t>
  </si>
  <si>
    <t>Category</t>
  </si>
  <si>
    <t>Pref A Abs</t>
  </si>
  <si>
    <t>Pref A Norm</t>
  </si>
  <si>
    <t>Pref A Rank</t>
  </si>
  <si>
    <t>Pref B Abs</t>
  </si>
  <si>
    <t>Pref B Norm</t>
  </si>
  <si>
    <t>Pref B Rank</t>
  </si>
  <si>
    <t>Pref C Abs</t>
  </si>
  <si>
    <t>Pref C Norm</t>
  </si>
  <si>
    <t>Pref C Rank</t>
  </si>
  <si>
    <t>Rank spread (max-min)</t>
  </si>
  <si>
    <t>Lifestyle</t>
  </si>
  <si>
    <t>Entertainment</t>
  </si>
  <si>
    <t>Moms</t>
  </si>
  <si>
    <t>Fitness</t>
  </si>
  <si>
    <t>N/A</t>
  </si>
  <si>
    <t>Fashion</t>
  </si>
  <si>
    <t>VALIDATION  ·  the checks this test has to pass before its conclusions mean anything</t>
  </si>
  <si>
    <t>Formula checks recompute in the workbook. Process checks record what was done outside it and where the evidence lives.</t>
  </si>
  <si>
    <t>#</t>
  </si>
  <si>
    <t>Check</t>
  </si>
  <si>
    <t>Result</t>
  </si>
  <si>
    <t>Detail</t>
  </si>
  <si>
    <t>No dummy KOL</t>
  </si>
  <si>
    <t>PASS</t>
  </si>
  <si>
    <t>Every creator comes from public.kol_directory where directory_status='active'. Population read 2026-09-10 06:25 UTC from 10.100.14.216/kol.</t>
  </si>
  <si>
    <t>No duplicate KOL within a population</t>
  </si>
  <si>
    <t>Each preference population is a filter over one reading, and each directory row appears once in it.</t>
  </si>
  <si>
    <t>No fabricated metrics</t>
  </si>
  <si>
    <t>Every input is read or null. Where the server has nothing the sub-score is N/A and its weight renormalises; nothing is defaulted to zero. See the coverage table on Population.</t>
  </si>
  <si>
    <t>Population size recorded</t>
  </si>
  <si>
    <t>Active creators read: 6991. Eligible per preference: Preference A N=1243 · Preference B N=5115 · Preference C N=687</t>
  </si>
  <si>
    <t>Three preference profiles recorded</t>
  </si>
  <si>
    <t>Preference A = LumiSkin (Beauty) · Preference B = DailyBite (Food) · Preference C = NovaTech (Tech)</t>
  </si>
  <si>
    <t>Absolute Score unchanged</t>
  </si>
  <si>
    <t>No weight, sub-weight, normalisation target, band or matrix cell was altered for this test. npm run brandmatch:port:verify recalculates the 24x5 comparison workbook in Excel and asserts the JavaScript scorer reproduces all 120 rows across 26 score columns — 3.120 values, exact match.</t>
  </si>
  <si>
    <t>One bug fixed, and named</t>
  </si>
  <si>
    <t>NOTED</t>
  </si>
  <si>
    <t>The haystack emptiness guard tested LEN(TRIM(haystack))=0, but the haystack is four fields joined with " | ", so a creator with none of them still produced " | | | " and the guard never fired. Three creators with no bio and no captions were scoring Keyword and Topic Match 0 instead of N/A. Now stripped of separators before the test. This is the only change to scoring behaviour.</t>
  </si>
  <si>
    <t>Normalized uses the max of its OWN population</t>
  </si>
  <si>
    <t>Each Normalized column divides by MAX of that preference's own Absolute column, shown on Normalized_Scores row 4. A correct normalisation puts exactly 100 at the top of every population. No global database maximum is used anywhere.</t>
  </si>
  <si>
    <t>Normalized Score inside 0-100</t>
  </si>
  <si>
    <t>Absolute Score still present beside it</t>
  </si>
  <si>
    <t>Absolute_Scores is a full sheet, and Normalized_Scores repeats the absolute value in the column immediately left of each normalised one. Neither replaces the other.</t>
  </si>
  <si>
    <t>Histogram bin counts reconcile with N</t>
  </si>
  <si>
    <t>Every scored creator lands in exactly one bin: the six bin totals equal the six population counts.</t>
  </si>
  <si>
    <t>Distribution summary present</t>
  </si>
  <si>
    <t>Count, Min, Max, Mean, Median, Std Dev, P25 and P75 for all six series, each an Excel formula over the score range.</t>
  </si>
  <si>
    <t>Skewness present</t>
  </si>
  <si>
    <t>Excel =SKEW() over each of the six ranges, on Distribution_Summary.</t>
  </si>
  <si>
    <t>Tail observation present</t>
  </si>
  <si>
    <t>Per series on Distribution_Summary, assembled from that series' own P25, median, P75, range and modal share.</t>
  </si>
  <si>
    <t>Creators comparable across all three preferences</t>
  </si>
  <si>
    <t>Populations differ by design, so only creators eligible under all three can have their ranks compared. Preference_Comparison holds them.</t>
  </si>
  <si>
    <t>HISTOGRAMS  -  x-axis = score band, y-axis = number of KOL</t>
  </si>
  <si>
    <t>Bins are five points wide and span the full 0-100 scale, so empty space at either end is part of the finding. Counts come from Histogram_Data.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</si>
</sst>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00"/>
    <numFmt numFmtId="181" formatCode="0.0%"/>
  </numFmts>
  <fonts count="31">
    <font>
      <sz val="11"/>
      <color theme="1"/>
      <name val="Calibri"/>
      <charset val="134"/>
      <scheme val="minor"/>
    </font>
    <font>
      <b/>
      <sz val="14"/>
      <color theme="1"/>
      <name val="Calibri"/>
      <charset val="134"/>
      <scheme val="minor"/>
    </font>
    <font>
      <i/>
      <sz val="11"/>
      <color theme="1"/>
      <name val="Calibri"/>
      <charset val="134"/>
      <scheme val="minor"/>
    </font>
    <font>
      <b/>
      <sz val="13"/>
      <color rgb="FFFFFFFF"/>
      <name val="Calibri"/>
      <charset val="134"/>
    </font>
    <font>
      <i/>
      <sz val="9"/>
      <color rgb="FF6B7280"/>
      <name val="Calibri"/>
      <charset val="134"/>
    </font>
    <font>
      <b/>
      <sz val="9"/>
      <color rgb="FFFFFFFF"/>
      <name val="Calibri"/>
      <charset val="134"/>
    </font>
    <font>
      <sz val="9"/>
      <color rgb="FF111827"/>
      <name val="Calibri"/>
      <charset val="134"/>
    </font>
    <font>
      <b/>
      <sz val="9"/>
      <color rgb="FF111827"/>
      <name val="Calibri"/>
      <charset val="134"/>
    </font>
    <font>
      <sz val="9"/>
      <color rgb="FF6B7280"/>
      <name val="Calibri"/>
      <charset val="134"/>
    </font>
    <font>
      <b/>
      <sz val="10"/>
      <color rgb="FFFFFFFF"/>
      <name val="Calibri"/>
      <charset val="134"/>
    </font>
    <font>
      <b/>
      <sz val="10"/>
      <color rgb="FF111827"/>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5325B"/>
        <bgColor indexed="64"/>
      </patternFill>
    </fill>
    <fill>
      <patternFill patternType="solid">
        <fgColor rgb="FF1F2937"/>
        <bgColor indexed="64"/>
      </patternFill>
    </fill>
    <fill>
      <patternFill patternType="solid">
        <fgColor rgb="FFF0F6FF"/>
        <bgColor indexed="64"/>
      </patternFill>
    </fill>
    <fill>
      <patternFill patternType="solid">
        <fgColor rgb="FFF3F4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F172A"/>
      </left>
      <right style="thin">
        <color rgb="FF0F172A"/>
      </right>
      <top style="thin">
        <color rgb="FF0F172A"/>
      </top>
      <bottom style="thin">
        <color rgb="FF0F172A"/>
      </bottom>
      <diagonal/>
    </border>
    <border>
      <left style="thin">
        <color rgb="FFE5E7EB"/>
      </left>
      <right style="thin">
        <color rgb="FFE5E7EB"/>
      </right>
      <top style="thin">
        <color rgb="FFE5E7EB"/>
      </top>
      <bottom style="thin">
        <color rgb="FFE5E7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1" fillId="8" borderId="7" applyNumberFormat="0" applyAlignment="0" applyProtection="0">
      <alignment vertical="center"/>
    </xf>
    <xf numFmtId="0" fontId="22" fillId="8" borderId="6" applyNumberFormat="0" applyAlignment="0" applyProtection="0">
      <alignment vertical="center"/>
    </xf>
    <xf numFmtId="0" fontId="23" fillId="9"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36">
    <xf numFmtId="0" fontId="0" fillId="0" borderId="0" xfId="0"/>
    <xf numFmtId="0" fontId="1" fillId="0" borderId="0" xfId="0" applyFont="1"/>
    <xf numFmtId="0" fontId="2" fillId="0" borderId="0" xfId="0" applyFont="1"/>
    <xf numFmtId="0" fontId="3" fillId="2" borderId="0" xfId="0" applyFont="1" applyFill="1" applyAlignment="1">
      <alignment vertical="center" indent="1"/>
    </xf>
    <xf numFmtId="0" fontId="4" fillId="0" borderId="0" xfId="0" applyFont="1" applyAlignment="1">
      <alignment vertical="center" wrapText="1" indent="1"/>
    </xf>
    <xf numFmtId="0" fontId="5" fillId="3" borderId="1" xfId="0" applyFont="1" applyFill="1" applyBorder="1" applyAlignment="1">
      <alignment horizontal="center" vertical="center" wrapText="1"/>
    </xf>
    <xf numFmtId="0" fontId="6" fillId="0" borderId="2" xfId="0" applyFont="1" applyBorder="1" applyAlignment="1">
      <alignment horizontal="center"/>
    </xf>
    <xf numFmtId="0" fontId="7" fillId="0" borderId="2" xfId="0" applyFont="1" applyBorder="1" applyAlignment="1">
      <alignment vertical="center"/>
    </xf>
    <xf numFmtId="0" fontId="7" fillId="4" borderId="2" xfId="0" applyFont="1" applyFill="1" applyBorder="1" applyAlignment="1">
      <alignment horizontal="center"/>
    </xf>
    <xf numFmtId="0" fontId="8" fillId="0" borderId="2" xfId="0" applyFont="1" applyBorder="1" applyAlignment="1">
      <alignment vertical="center" wrapText="1"/>
    </xf>
    <xf numFmtId="0" fontId="8" fillId="0" borderId="2" xfId="0" applyFont="1" applyBorder="1" applyAlignment="1">
      <alignment vertical="center"/>
    </xf>
    <xf numFmtId="0" fontId="7" fillId="0" borderId="2" xfId="0" applyFont="1" applyBorder="1"/>
    <xf numFmtId="0" fontId="6" fillId="0" borderId="2" xfId="0" applyFont="1" applyBorder="1"/>
    <xf numFmtId="1" fontId="7" fillId="0" borderId="2" xfId="0" applyNumberFormat="1" applyFont="1" applyBorder="1"/>
    <xf numFmtId="2" fontId="6" fillId="0" borderId="2" xfId="0" applyNumberFormat="1" applyFont="1" applyBorder="1"/>
    <xf numFmtId="3" fontId="6" fillId="0" borderId="2" xfId="0" applyNumberFormat="1" applyFont="1" applyBorder="1"/>
    <xf numFmtId="3" fontId="7" fillId="0" borderId="2" xfId="0" applyNumberFormat="1" applyFont="1" applyBorder="1"/>
    <xf numFmtId="0" fontId="7" fillId="5" borderId="2" xfId="0" applyFont="1" applyFill="1" applyBorder="1" applyAlignment="1">
      <alignment vertical="center"/>
    </xf>
    <xf numFmtId="3" fontId="7" fillId="4" borderId="2" xfId="0" applyNumberFormat="1" applyFont="1" applyFill="1" applyBorder="1"/>
    <xf numFmtId="0" fontId="6" fillId="0" borderId="2" xfId="0" applyFont="1" applyBorder="1" applyAlignment="1">
      <alignment vertical="center"/>
    </xf>
    <xf numFmtId="3" fontId="6" fillId="0" borderId="2" xfId="0" applyNumberFormat="1" applyFont="1" applyBorder="1" applyAlignment="1">
      <alignment horizontal="right"/>
    </xf>
    <xf numFmtId="1" fontId="6" fillId="0" borderId="2" xfId="0" applyNumberFormat="1" applyFont="1" applyBorder="1" applyAlignment="1">
      <alignment horizontal="right"/>
    </xf>
    <xf numFmtId="2" fontId="6" fillId="0" borderId="2" xfId="0" applyNumberFormat="1" applyFont="1" applyBorder="1" applyAlignment="1">
      <alignment horizontal="right"/>
    </xf>
    <xf numFmtId="0" fontId="9" fillId="3" borderId="0" xfId="0" applyFont="1" applyFill="1" applyAlignment="1">
      <alignment vertical="center" indent="1"/>
    </xf>
    <xf numFmtId="180" fontId="7" fillId="0" borderId="2" xfId="0" applyNumberFormat="1" applyFont="1" applyBorder="1" applyAlignment="1">
      <alignment horizontal="right"/>
    </xf>
    <xf numFmtId="181" fontId="6" fillId="0" borderId="2" xfId="0" applyNumberFormat="1" applyFont="1" applyBorder="1" applyAlignment="1">
      <alignment horizontal="right"/>
    </xf>
    <xf numFmtId="0" fontId="8" fillId="0" borderId="2" xfId="0" applyFont="1" applyBorder="1" applyAlignment="1">
      <alignment vertical="top" wrapText="1"/>
    </xf>
    <xf numFmtId="0" fontId="10" fillId="5" borderId="2" xfId="0" applyFont="1" applyFill="1" applyBorder="1" applyAlignment="1">
      <alignment vertical="center"/>
    </xf>
    <xf numFmtId="1" fontId="10" fillId="4" borderId="2" xfId="0" applyNumberFormat="1" applyFont="1" applyFill="1" applyBorder="1"/>
    <xf numFmtId="1" fontId="6" fillId="0" borderId="2" xfId="0" applyNumberFormat="1" applyFont="1" applyBorder="1"/>
    <xf numFmtId="2" fontId="7" fillId="0" borderId="2" xfId="0" applyNumberFormat="1" applyFont="1" applyBorder="1"/>
    <xf numFmtId="0" fontId="6" fillId="0" borderId="2" xfId="0" applyFont="1" applyBorder="1" applyAlignment="1">
      <alignment vertical="center" wrapText="1"/>
    </xf>
    <xf numFmtId="3" fontId="6" fillId="0" borderId="2" xfId="0" applyNumberFormat="1" applyFont="1" applyBorder="1" applyAlignment="1">
      <alignment vertical="center"/>
    </xf>
    <xf numFmtId="181" fontId="6" fillId="0" borderId="2" xfId="0" applyNumberFormat="1" applyFont="1" applyBorder="1" applyAlignment="1">
      <alignment vertical="center"/>
    </xf>
    <xf numFmtId="3" fontId="7" fillId="0" borderId="2" xfId="0" applyNumberFormat="1" applyFont="1" applyBorder="1" applyAlignment="1">
      <alignment vertical="center"/>
    </xf>
    <xf numFmtId="0" fontId="10" fillId="0" borderId="2"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A — LumiSkin — Absolute Score</a:t>
            </a:r>
            <a:endParaRPr sz="1100"/>
          </a:p>
        </c:rich>
      </c:tx>
      <c:layout/>
      <c:overlay val="0"/>
    </c:title>
    <c:autoTitleDeleted val="0"/>
    <c:plotArea>
      <c:layout/>
      <c:barChart>
        <c:barDir val="col"/>
        <c:grouping val="clustered"/>
        <c:varyColors val="0"/>
        <c:ser>
          <c:idx val="0"/>
          <c:order val="0"/>
          <c:tx>
            <c:strRef>
              <c:f>"Preference A — LumiSkin — Absolute Score"</c:f>
              <c:strCache>
                <c:ptCount val="1"/>
                <c:pt idx="0">
                  <c:v>Preference A — LumiSkin — Absolute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Histogram_Data!$B$6:$B$25</c:f>
              <c:numCache>
                <c:formatCode>#,##0</c:formatCode>
                <c:ptCount val="20"/>
                <c:pt idx="0">
                  <c:v>0</c:v>
                </c:pt>
                <c:pt idx="1">
                  <c:v>0</c:v>
                </c:pt>
                <c:pt idx="2">
                  <c:v>0</c:v>
                </c:pt>
                <c:pt idx="3">
                  <c:v>0</c:v>
                </c:pt>
                <c:pt idx="4">
                  <c:v>0</c:v>
                </c:pt>
                <c:pt idx="5">
                  <c:v>5</c:v>
                </c:pt>
                <c:pt idx="6">
                  <c:v>34</c:v>
                </c:pt>
                <c:pt idx="7">
                  <c:v>120</c:v>
                </c:pt>
                <c:pt idx="8">
                  <c:v>389</c:v>
                </c:pt>
                <c:pt idx="9">
                  <c:v>66</c:v>
                </c:pt>
                <c:pt idx="10">
                  <c:v>481</c:v>
                </c:pt>
                <c:pt idx="11">
                  <c:v>112</c:v>
                </c:pt>
                <c:pt idx="12">
                  <c:v>21</c:v>
                </c:pt>
                <c:pt idx="13">
                  <c:v>13</c:v>
                </c:pt>
                <c:pt idx="14">
                  <c:v>1</c:v>
                </c:pt>
                <c:pt idx="15">
                  <c:v>0</c:v>
                </c:pt>
                <c:pt idx="16">
                  <c:v>1</c:v>
                </c:pt>
                <c:pt idx="17">
                  <c:v>0</c:v>
                </c:pt>
                <c:pt idx="18">
                  <c:v>0</c:v>
                </c:pt>
                <c:pt idx="19">
                  <c:v>0</c:v>
                </c:pt>
              </c:numCache>
            </c:numRef>
          </c:val>
        </c:ser>
        <c:dLbls>
          <c:showLegendKey val="0"/>
          <c:showVal val="0"/>
          <c:showCatName val="0"/>
          <c:showSerName val="0"/>
          <c:showPercent val="0"/>
          <c:showBubbleSize val="0"/>
        </c:dLbls>
        <c:gapWidth val="10"/>
        <c:axId val="466614764"/>
        <c:axId val="771298692"/>
      </c:barChart>
      <c:catAx>
        <c:axId val="466614764"/>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71298692"/>
        <c:crosses val="autoZero"/>
        <c:auto val="1"/>
        <c:lblAlgn val="ctr"/>
        <c:lblOffset val="100"/>
        <c:noMultiLvlLbl val="0"/>
      </c:catAx>
      <c:valAx>
        <c:axId val="771298692"/>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66614764"/>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A — LumiSkin — Normalized Score</a:t>
            </a:r>
            <a:endParaRPr sz="1100"/>
          </a:p>
        </c:rich>
      </c:tx>
      <c:layout/>
      <c:overlay val="0"/>
    </c:title>
    <c:autoTitleDeleted val="0"/>
    <c:plotArea>
      <c:layout/>
      <c:barChart>
        <c:barDir val="col"/>
        <c:grouping val="clustered"/>
        <c:varyColors val="0"/>
        <c:ser>
          <c:idx val="0"/>
          <c:order val="0"/>
          <c:tx>
            <c:strRef>
              <c:f>"Preference A — LumiSkin — Normalized Score"</c:f>
              <c:strCache>
                <c:ptCount val="1"/>
                <c:pt idx="0">
                  <c:v>Preference A — LumiSkin — Normalized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Histogram_Data!$C$6:$C$25</c:f>
              <c:numCache>
                <c:formatCode>#,##0</c:formatCode>
                <c:ptCount val="20"/>
                <c:pt idx="0">
                  <c:v>0</c:v>
                </c:pt>
                <c:pt idx="1">
                  <c:v>0</c:v>
                </c:pt>
                <c:pt idx="2">
                  <c:v>0</c:v>
                </c:pt>
                <c:pt idx="3">
                  <c:v>0</c:v>
                </c:pt>
                <c:pt idx="4">
                  <c:v>0</c:v>
                </c:pt>
                <c:pt idx="5">
                  <c:v>0</c:v>
                </c:pt>
                <c:pt idx="6">
                  <c:v>4</c:v>
                </c:pt>
                <c:pt idx="7">
                  <c:v>12</c:v>
                </c:pt>
                <c:pt idx="8">
                  <c:v>45</c:v>
                </c:pt>
                <c:pt idx="9">
                  <c:v>98</c:v>
                </c:pt>
                <c:pt idx="10">
                  <c:v>94</c:v>
                </c:pt>
                <c:pt idx="11">
                  <c:v>341</c:v>
                </c:pt>
                <c:pt idx="12">
                  <c:v>463</c:v>
                </c:pt>
                <c:pt idx="13">
                  <c:v>46</c:v>
                </c:pt>
                <c:pt idx="14">
                  <c:v>104</c:v>
                </c:pt>
                <c:pt idx="15">
                  <c:v>19</c:v>
                </c:pt>
                <c:pt idx="16">
                  <c:v>14</c:v>
                </c:pt>
                <c:pt idx="17">
                  <c:v>1</c:v>
                </c:pt>
                <c:pt idx="18">
                  <c:v>1</c:v>
                </c:pt>
                <c:pt idx="19">
                  <c:v>1</c:v>
                </c:pt>
              </c:numCache>
            </c:numRef>
          </c:val>
        </c:ser>
        <c:dLbls>
          <c:showLegendKey val="0"/>
          <c:showVal val="0"/>
          <c:showCatName val="0"/>
          <c:showSerName val="0"/>
          <c:showPercent val="0"/>
          <c:showBubbleSize val="0"/>
        </c:dLbls>
        <c:gapWidth val="10"/>
        <c:axId val="873734122"/>
        <c:axId val="820175868"/>
      </c:barChart>
      <c:catAx>
        <c:axId val="873734122"/>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20175868"/>
        <c:crosses val="autoZero"/>
        <c:auto val="1"/>
        <c:lblAlgn val="ctr"/>
        <c:lblOffset val="100"/>
        <c:noMultiLvlLbl val="0"/>
      </c:catAx>
      <c:valAx>
        <c:axId val="820175868"/>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73734122"/>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B — DailyBite — Absolute Score</a:t>
            </a:r>
            <a:endParaRPr sz="1100"/>
          </a:p>
        </c:rich>
      </c:tx>
      <c:layout/>
      <c:overlay val="0"/>
    </c:title>
    <c:autoTitleDeleted val="0"/>
    <c:plotArea>
      <c:layout/>
      <c:barChart>
        <c:barDir val="col"/>
        <c:grouping val="clustered"/>
        <c:varyColors val="0"/>
        <c:ser>
          <c:idx val="0"/>
          <c:order val="0"/>
          <c:tx>
            <c:strRef>
              <c:f>"Preference B — DailyBite — Absolute Score"</c:f>
              <c:strCache>
                <c:ptCount val="1"/>
                <c:pt idx="0">
                  <c:v>Preference B — DailyBite — Absolute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Histogram_Data!$D$6:$D$25</c:f>
              <c:numCache>
                <c:formatCode>#,##0</c:formatCode>
                <c:ptCount val="20"/>
                <c:pt idx="0">
                  <c:v>0</c:v>
                </c:pt>
                <c:pt idx="1">
                  <c:v>0</c:v>
                </c:pt>
                <c:pt idx="2">
                  <c:v>0</c:v>
                </c:pt>
                <c:pt idx="3">
                  <c:v>1</c:v>
                </c:pt>
                <c:pt idx="4">
                  <c:v>3</c:v>
                </c:pt>
                <c:pt idx="5">
                  <c:v>6</c:v>
                </c:pt>
                <c:pt idx="6">
                  <c:v>229</c:v>
                </c:pt>
                <c:pt idx="7">
                  <c:v>936</c:v>
                </c:pt>
                <c:pt idx="8">
                  <c:v>1008</c:v>
                </c:pt>
                <c:pt idx="9">
                  <c:v>276</c:v>
                </c:pt>
                <c:pt idx="10">
                  <c:v>2378</c:v>
                </c:pt>
                <c:pt idx="11">
                  <c:v>188</c:v>
                </c:pt>
                <c:pt idx="12">
                  <c:v>79</c:v>
                </c:pt>
                <c:pt idx="13">
                  <c:v>10</c:v>
                </c:pt>
                <c:pt idx="14">
                  <c:v>0</c:v>
                </c:pt>
                <c:pt idx="15">
                  <c:v>0</c:v>
                </c:pt>
                <c:pt idx="16">
                  <c:v>1</c:v>
                </c:pt>
                <c:pt idx="17">
                  <c:v>0</c:v>
                </c:pt>
                <c:pt idx="18">
                  <c:v>0</c:v>
                </c:pt>
                <c:pt idx="19">
                  <c:v>0</c:v>
                </c:pt>
              </c:numCache>
            </c:numRef>
          </c:val>
        </c:ser>
        <c:dLbls>
          <c:showLegendKey val="0"/>
          <c:showVal val="0"/>
          <c:showCatName val="0"/>
          <c:showSerName val="0"/>
          <c:showPercent val="0"/>
          <c:showBubbleSize val="0"/>
        </c:dLbls>
        <c:gapWidth val="10"/>
        <c:axId val="405363581"/>
        <c:axId val="348412295"/>
      </c:barChart>
      <c:catAx>
        <c:axId val="405363581"/>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48412295"/>
        <c:crosses val="autoZero"/>
        <c:auto val="1"/>
        <c:lblAlgn val="ctr"/>
        <c:lblOffset val="100"/>
        <c:noMultiLvlLbl val="0"/>
      </c:catAx>
      <c:valAx>
        <c:axId val="348412295"/>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05363581"/>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B — DailyBite — Normalized Score</a:t>
            </a:r>
            <a:endParaRPr sz="1100"/>
          </a:p>
        </c:rich>
      </c:tx>
      <c:layout/>
      <c:overlay val="0"/>
    </c:title>
    <c:autoTitleDeleted val="0"/>
    <c:plotArea>
      <c:layout/>
      <c:barChart>
        <c:barDir val="col"/>
        <c:grouping val="clustered"/>
        <c:varyColors val="0"/>
        <c:ser>
          <c:idx val="0"/>
          <c:order val="0"/>
          <c:tx>
            <c:strRef>
              <c:f>"Preference B — DailyBite — Normalized Score"</c:f>
              <c:strCache>
                <c:ptCount val="1"/>
                <c:pt idx="0">
                  <c:v>Preference B — DailyBite — Normalized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Histogram_Data!$E$6:$E$25</c:f>
              <c:numCache>
                <c:formatCode>#,##0</c:formatCode>
                <c:ptCount val="20"/>
                <c:pt idx="0">
                  <c:v>0</c:v>
                </c:pt>
                <c:pt idx="1">
                  <c:v>0</c:v>
                </c:pt>
                <c:pt idx="2">
                  <c:v>0</c:v>
                </c:pt>
                <c:pt idx="3">
                  <c:v>0</c:v>
                </c:pt>
                <c:pt idx="4">
                  <c:v>1</c:v>
                </c:pt>
                <c:pt idx="5">
                  <c:v>2</c:v>
                </c:pt>
                <c:pt idx="6">
                  <c:v>4</c:v>
                </c:pt>
                <c:pt idx="7">
                  <c:v>75</c:v>
                </c:pt>
                <c:pt idx="8">
                  <c:v>218</c:v>
                </c:pt>
                <c:pt idx="9">
                  <c:v>875</c:v>
                </c:pt>
                <c:pt idx="10">
                  <c:v>519</c:v>
                </c:pt>
                <c:pt idx="11">
                  <c:v>708</c:v>
                </c:pt>
                <c:pt idx="12">
                  <c:v>2387</c:v>
                </c:pt>
                <c:pt idx="13">
                  <c:v>139</c:v>
                </c:pt>
                <c:pt idx="14">
                  <c:v>97</c:v>
                </c:pt>
                <c:pt idx="15">
                  <c:v>75</c:v>
                </c:pt>
                <c:pt idx="16">
                  <c:v>9</c:v>
                </c:pt>
                <c:pt idx="17">
                  <c:v>5</c:v>
                </c:pt>
                <c:pt idx="18">
                  <c:v>0</c:v>
                </c:pt>
                <c:pt idx="19">
                  <c:v>1</c:v>
                </c:pt>
              </c:numCache>
            </c:numRef>
          </c:val>
        </c:ser>
        <c:dLbls>
          <c:showLegendKey val="0"/>
          <c:showVal val="0"/>
          <c:showCatName val="0"/>
          <c:showSerName val="0"/>
          <c:showPercent val="0"/>
          <c:showBubbleSize val="0"/>
        </c:dLbls>
        <c:gapWidth val="10"/>
        <c:axId val="13353207"/>
        <c:axId val="250645714"/>
      </c:barChart>
      <c:catAx>
        <c:axId val="13353207"/>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0645714"/>
        <c:crosses val="autoZero"/>
        <c:auto val="1"/>
        <c:lblAlgn val="ctr"/>
        <c:lblOffset val="100"/>
        <c:noMultiLvlLbl val="0"/>
      </c:catAx>
      <c:valAx>
        <c:axId val="250645714"/>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3353207"/>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C — NovaTech — Absolute Score</a:t>
            </a:r>
            <a:endParaRPr sz="1100"/>
          </a:p>
        </c:rich>
      </c:tx>
      <c:layout/>
      <c:overlay val="0"/>
    </c:title>
    <c:autoTitleDeleted val="0"/>
    <c:plotArea>
      <c:layout/>
      <c:barChart>
        <c:barDir val="col"/>
        <c:grouping val="clustered"/>
        <c:varyColors val="0"/>
        <c:ser>
          <c:idx val="0"/>
          <c:order val="0"/>
          <c:tx>
            <c:strRef>
              <c:f>"Preference C — NovaTech — Absolute Score"</c:f>
              <c:strCache>
                <c:ptCount val="1"/>
                <c:pt idx="0">
                  <c:v>Preference C — NovaTech — Absolute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Histogram_Data!$F$6:$F$25</c:f>
              <c:numCache>
                <c:formatCode>#,##0</c:formatCode>
                <c:ptCount val="20"/>
                <c:pt idx="0">
                  <c:v>0</c:v>
                </c:pt>
                <c:pt idx="1">
                  <c:v>0</c:v>
                </c:pt>
                <c:pt idx="2">
                  <c:v>0</c:v>
                </c:pt>
                <c:pt idx="3">
                  <c:v>1</c:v>
                </c:pt>
                <c:pt idx="4">
                  <c:v>9</c:v>
                </c:pt>
                <c:pt idx="5">
                  <c:v>24</c:v>
                </c:pt>
                <c:pt idx="6">
                  <c:v>108</c:v>
                </c:pt>
                <c:pt idx="7">
                  <c:v>106</c:v>
                </c:pt>
                <c:pt idx="8">
                  <c:v>177</c:v>
                </c:pt>
                <c:pt idx="9">
                  <c:v>133</c:v>
                </c:pt>
                <c:pt idx="10">
                  <c:v>49</c:v>
                </c:pt>
                <c:pt idx="11">
                  <c:v>75</c:v>
                </c:pt>
                <c:pt idx="12">
                  <c:v>2</c:v>
                </c:pt>
                <c:pt idx="13">
                  <c:v>3</c:v>
                </c:pt>
                <c:pt idx="14">
                  <c:v>0</c:v>
                </c:pt>
                <c:pt idx="15">
                  <c:v>0</c:v>
                </c:pt>
                <c:pt idx="16">
                  <c:v>0</c:v>
                </c:pt>
                <c:pt idx="17">
                  <c:v>0</c:v>
                </c:pt>
                <c:pt idx="18">
                  <c:v>0</c:v>
                </c:pt>
                <c:pt idx="19">
                  <c:v>0</c:v>
                </c:pt>
              </c:numCache>
            </c:numRef>
          </c:val>
        </c:ser>
        <c:dLbls>
          <c:showLegendKey val="0"/>
          <c:showVal val="0"/>
          <c:showCatName val="0"/>
          <c:showSerName val="0"/>
          <c:showPercent val="0"/>
          <c:showBubbleSize val="0"/>
        </c:dLbls>
        <c:gapWidth val="10"/>
        <c:axId val="762679192"/>
        <c:axId val="219839173"/>
      </c:barChart>
      <c:catAx>
        <c:axId val="762679192"/>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9839173"/>
        <c:crosses val="autoZero"/>
        <c:auto val="1"/>
        <c:lblAlgn val="ctr"/>
        <c:lblOffset val="100"/>
        <c:noMultiLvlLbl val="0"/>
      </c:catAx>
      <c:valAx>
        <c:axId val="219839173"/>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62679192"/>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100" b="1" i="0" u="none" strike="noStrike" kern="1200" baseline="0">
                <a:solidFill>
                  <a:schemeClr val="tx1"/>
                </a:solidFill>
                <a:latin typeface="+mn-lt"/>
                <a:ea typeface="+mn-ea"/>
                <a:cs typeface="+mn-cs"/>
              </a:defRPr>
            </a:pPr>
            <a:r>
              <a:rPr sz="1100"/>
              <a:t>Preference C — NovaTech — Normalized Score</a:t>
            </a:r>
            <a:endParaRPr sz="1100"/>
          </a:p>
        </c:rich>
      </c:tx>
      <c:layout/>
      <c:overlay val="0"/>
    </c:title>
    <c:autoTitleDeleted val="0"/>
    <c:plotArea>
      <c:layout/>
      <c:barChart>
        <c:barDir val="col"/>
        <c:grouping val="clustered"/>
        <c:varyColors val="0"/>
        <c:ser>
          <c:idx val="0"/>
          <c:order val="0"/>
          <c:tx>
            <c:strRef>
              <c:f>"Preference C — NovaTech — Normalized Score"</c:f>
              <c:strCache>
                <c:ptCount val="1"/>
                <c:pt idx="0">
                  <c:v>Preference C — NovaTech — Normalized Score</c:v>
                </c:pt>
              </c:strCache>
            </c:strRef>
          </c:tx>
          <c:invertIfNegative val="0"/>
          <c:dLbls>
            <c:delete val="1"/>
          </c:dLbls>
          <c:cat>
            <c:strRef>
              <c:f>Histogram_Data!$A$6:$A$25</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Histogram_Data!$G$6:$G$25</c:f>
              <c:numCache>
                <c:formatCode>#,##0</c:formatCode>
                <c:ptCount val="20"/>
                <c:pt idx="0">
                  <c:v>0</c:v>
                </c:pt>
                <c:pt idx="1">
                  <c:v>0</c:v>
                </c:pt>
                <c:pt idx="2">
                  <c:v>0</c:v>
                </c:pt>
                <c:pt idx="3">
                  <c:v>0</c:v>
                </c:pt>
                <c:pt idx="4">
                  <c:v>0</c:v>
                </c:pt>
                <c:pt idx="5">
                  <c:v>3</c:v>
                </c:pt>
                <c:pt idx="6">
                  <c:v>2</c:v>
                </c:pt>
                <c:pt idx="7">
                  <c:v>11</c:v>
                </c:pt>
                <c:pt idx="8">
                  <c:v>33</c:v>
                </c:pt>
                <c:pt idx="9">
                  <c:v>74</c:v>
                </c:pt>
                <c:pt idx="10">
                  <c:v>60</c:v>
                </c:pt>
                <c:pt idx="11">
                  <c:v>102</c:v>
                </c:pt>
                <c:pt idx="12">
                  <c:v>99</c:v>
                </c:pt>
                <c:pt idx="13">
                  <c:v>82</c:v>
                </c:pt>
                <c:pt idx="14">
                  <c:v>101</c:v>
                </c:pt>
                <c:pt idx="15">
                  <c:v>32</c:v>
                </c:pt>
                <c:pt idx="16">
                  <c:v>79</c:v>
                </c:pt>
                <c:pt idx="17">
                  <c:v>4</c:v>
                </c:pt>
                <c:pt idx="18">
                  <c:v>2</c:v>
                </c:pt>
                <c:pt idx="19">
                  <c:v>3</c:v>
                </c:pt>
              </c:numCache>
            </c:numRef>
          </c:val>
        </c:ser>
        <c:dLbls>
          <c:showLegendKey val="0"/>
          <c:showVal val="0"/>
          <c:showCatName val="0"/>
          <c:showSerName val="0"/>
          <c:showPercent val="0"/>
          <c:showBubbleSize val="0"/>
        </c:dLbls>
        <c:gapWidth val="10"/>
        <c:axId val="589686331"/>
        <c:axId val="362609380"/>
      </c:barChart>
      <c:catAx>
        <c:axId val="589686331"/>
        <c:scaling>
          <c:orientation val="minMax"/>
        </c:scaling>
        <c:delete val="0"/>
        <c:axPos val="b"/>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Score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62609380"/>
        <c:crosses val="autoZero"/>
        <c:auto val="1"/>
        <c:lblAlgn val="ctr"/>
        <c:lblOffset val="100"/>
        <c:noMultiLvlLbl val="0"/>
      </c:catAx>
      <c:valAx>
        <c:axId val="362609380"/>
        <c:scaling>
          <c:orientation val="minMax"/>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Number of KOL</a:t>
                </a:r>
              </a:p>
            </c:rich>
          </c:tx>
          <c:layout/>
          <c:overlay val="0"/>
        </c:title>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89686331"/>
        <c:crosses val="autoZero"/>
        <c:crossBetween val="between"/>
      </c:valAx>
    </c:plotArea>
    <c:plotVisOnly val="1"/>
    <c:dispBlanksAs val="gap"/>
    <c:showDLblsOverMax val="0"/>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254000</xdr:colOff>
      <xdr:row>3</xdr:row>
      <xdr:rowOff>167640</xdr:rowOff>
    </xdr:from>
    <xdr:to>
      <xdr:col>9</xdr:col>
      <xdr:colOff>482600</xdr:colOff>
      <xdr:row>23</xdr:row>
      <xdr:rowOff>66040</xdr:rowOff>
    </xdr:to>
    <xdr:graphicFrame>
      <xdr:nvGraphicFramePr>
        <xdr:cNvPr id="2" name="Chart 1"/>
        <xdr:cNvGraphicFramePr/>
      </xdr:nvGraphicFramePr>
      <xdr:xfrm>
        <a:off x="254000" y="762000"/>
        <a:ext cx="5715000" cy="3556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127000</xdr:colOff>
      <xdr:row>3</xdr:row>
      <xdr:rowOff>167640</xdr:rowOff>
    </xdr:from>
    <xdr:to>
      <xdr:col>19</xdr:col>
      <xdr:colOff>355600</xdr:colOff>
      <xdr:row>23</xdr:row>
      <xdr:rowOff>66040</xdr:rowOff>
    </xdr:to>
    <xdr:graphicFrame>
      <xdr:nvGraphicFramePr>
        <xdr:cNvPr id="3" name="Chart 2"/>
        <xdr:cNvGraphicFramePr/>
      </xdr:nvGraphicFramePr>
      <xdr:xfrm>
        <a:off x="6223000" y="762000"/>
        <a:ext cx="5715000" cy="3556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24</xdr:row>
      <xdr:rowOff>137160</xdr:rowOff>
    </xdr:from>
    <xdr:to>
      <xdr:col>9</xdr:col>
      <xdr:colOff>482600</xdr:colOff>
      <xdr:row>44</xdr:row>
      <xdr:rowOff>35560</xdr:rowOff>
    </xdr:to>
    <xdr:graphicFrame>
      <xdr:nvGraphicFramePr>
        <xdr:cNvPr id="4" name="Chart 3"/>
        <xdr:cNvGraphicFramePr/>
      </xdr:nvGraphicFramePr>
      <xdr:xfrm>
        <a:off x="254000" y="4572000"/>
        <a:ext cx="5715000" cy="3556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127000</xdr:colOff>
      <xdr:row>24</xdr:row>
      <xdr:rowOff>137160</xdr:rowOff>
    </xdr:from>
    <xdr:to>
      <xdr:col>19</xdr:col>
      <xdr:colOff>355600</xdr:colOff>
      <xdr:row>44</xdr:row>
      <xdr:rowOff>35560</xdr:rowOff>
    </xdr:to>
    <xdr:graphicFrame>
      <xdr:nvGraphicFramePr>
        <xdr:cNvPr id="5" name="Chart 4"/>
        <xdr:cNvGraphicFramePr/>
      </xdr:nvGraphicFramePr>
      <xdr:xfrm>
        <a:off x="6223000" y="4572000"/>
        <a:ext cx="5715000" cy="35560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254000</xdr:colOff>
      <xdr:row>45</xdr:row>
      <xdr:rowOff>106680</xdr:rowOff>
    </xdr:from>
    <xdr:to>
      <xdr:col>9</xdr:col>
      <xdr:colOff>482600</xdr:colOff>
      <xdr:row>65</xdr:row>
      <xdr:rowOff>5080</xdr:rowOff>
    </xdr:to>
    <xdr:graphicFrame>
      <xdr:nvGraphicFramePr>
        <xdr:cNvPr id="6" name="Chart 5"/>
        <xdr:cNvGraphicFramePr/>
      </xdr:nvGraphicFramePr>
      <xdr:xfrm>
        <a:off x="254000" y="8382000"/>
        <a:ext cx="5715000" cy="35560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127000</xdr:colOff>
      <xdr:row>45</xdr:row>
      <xdr:rowOff>106680</xdr:rowOff>
    </xdr:from>
    <xdr:to>
      <xdr:col>19</xdr:col>
      <xdr:colOff>355600</xdr:colOff>
      <xdr:row>65</xdr:row>
      <xdr:rowOff>5080</xdr:rowOff>
    </xdr:to>
    <xdr:graphicFrame>
      <xdr:nvGraphicFramePr>
        <xdr:cNvPr id="7" name="Chart 6"/>
        <xdr:cNvGraphicFramePr/>
      </xdr:nvGraphicFramePr>
      <xdr:xfrm>
        <a:off x="6223000" y="8382000"/>
        <a:ext cx="5715000" cy="35560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9"/>
  <sheetViews>
    <sheetView tabSelected="1" workbookViewId="0">
      <pane ySplit="3" topLeftCell="A4" activePane="bottomLeft" state="frozen"/>
      <selection/>
      <selection pane="bottomLeft" activeCell="A1" sqref="A1:C1"/>
    </sheetView>
  </sheetViews>
  <sheetFormatPr defaultColWidth="9" defaultRowHeight="14.4" outlineLevelCol="2"/>
  <cols>
    <col min="1" max="1" width="34" customWidth="1"/>
    <col min="2" max="2" width="76" customWidth="1"/>
    <col min="3" max="3" width="46" customWidth="1"/>
  </cols>
  <sheetData>
    <row r="1" ht="24" customHeight="1" spans="1:3">
      <c r="A1" s="3" t="s">
        <v>0</v>
      </c>
      <c r="B1" s="3"/>
      <c r="C1" s="3"/>
    </row>
    <row r="2" ht="30" customHeight="1" spans="1:3">
      <c r="A2" s="4" t="s">
        <v>1</v>
      </c>
      <c r="B2" s="4"/>
      <c r="C2" s="4"/>
    </row>
    <row r="4" ht="18" customHeight="1" spans="1:3">
      <c r="A4" s="23" t="s">
        <v>2</v>
      </c>
      <c r="B4" s="23"/>
      <c r="C4" s="23"/>
    </row>
    <row r="5" ht="26" customHeight="1" spans="1:3">
      <c r="A5" s="35" t="s">
        <v>3</v>
      </c>
      <c r="B5" s="26" t="s">
        <v>4</v>
      </c>
      <c r="C5" s="26"/>
    </row>
    <row r="6" ht="52" customHeight="1" spans="1:3">
      <c r="A6" s="35" t="s">
        <v>5</v>
      </c>
      <c r="B6" s="26" t="s">
        <v>6</v>
      </c>
      <c r="C6" s="26"/>
    </row>
    <row r="7" ht="65" customHeight="1" spans="1:3">
      <c r="A7" s="35" t="s">
        <v>7</v>
      </c>
      <c r="B7" s="26" t="s">
        <v>8</v>
      </c>
      <c r="C7" s="26"/>
    </row>
    <row r="8" ht="18" customHeight="1" spans="1:3">
      <c r="A8" s="23" t="s">
        <v>9</v>
      </c>
      <c r="B8" s="23"/>
      <c r="C8" s="23"/>
    </row>
    <row r="9" ht="26" customHeight="1" spans="1:3">
      <c r="A9" s="35" t="s">
        <v>10</v>
      </c>
      <c r="B9" s="26" t="s">
        <v>11</v>
      </c>
      <c r="C9" s="26"/>
    </row>
    <row r="10" ht="39" customHeight="1" spans="1:3">
      <c r="A10" s="35" t="s">
        <v>12</v>
      </c>
      <c r="B10" s="26" t="s">
        <v>13</v>
      </c>
      <c r="C10" s="26"/>
    </row>
    <row r="11" ht="39" customHeight="1" spans="1:3">
      <c r="A11" s="35" t="s">
        <v>14</v>
      </c>
      <c r="B11" s="26" t="s">
        <v>15</v>
      </c>
      <c r="C11" s="26"/>
    </row>
    <row r="12" ht="18" customHeight="1" spans="1:3">
      <c r="A12" s="23" t="s">
        <v>16</v>
      </c>
      <c r="B12" s="23"/>
      <c r="C12" s="23"/>
    </row>
    <row r="13" ht="65" customHeight="1" spans="1:3">
      <c r="A13" s="35" t="s">
        <v>17</v>
      </c>
      <c r="B13" s="26" t="s">
        <v>18</v>
      </c>
      <c r="C13" s="26"/>
    </row>
    <row r="14" ht="52" customHeight="1" spans="1:3">
      <c r="A14" s="35" t="s">
        <v>19</v>
      </c>
      <c r="B14" s="26" t="s">
        <v>20</v>
      </c>
      <c r="C14" s="26"/>
    </row>
    <row r="15" ht="65" customHeight="1" spans="1:3">
      <c r="A15" s="35" t="s">
        <v>21</v>
      </c>
      <c r="B15" s="26" t="s">
        <v>22</v>
      </c>
      <c r="C15" s="26"/>
    </row>
    <row r="16" ht="39" customHeight="1" spans="1:3">
      <c r="A16" s="35" t="s">
        <v>23</v>
      </c>
      <c r="B16" s="26" t="s">
        <v>24</v>
      </c>
      <c r="C16" s="26"/>
    </row>
    <row r="17" ht="18" customHeight="1" spans="1:3">
      <c r="A17" s="23" t="s">
        <v>25</v>
      </c>
      <c r="B17" s="23"/>
      <c r="C17" s="23"/>
    </row>
    <row r="18" ht="20" customHeight="1" spans="1:3">
      <c r="A18" s="5" t="s">
        <v>26</v>
      </c>
      <c r="B18" s="5" t="s">
        <v>27</v>
      </c>
      <c r="C18" s="5" t="s">
        <v>28</v>
      </c>
    </row>
    <row r="19" spans="1:3">
      <c r="A19" s="7" t="s">
        <v>29</v>
      </c>
      <c r="B19" s="9" t="s">
        <v>30</v>
      </c>
      <c r="C19" s="9"/>
    </row>
    <row r="20" spans="1:3">
      <c r="A20" s="7" t="s">
        <v>31</v>
      </c>
      <c r="B20" s="9" t="s">
        <v>32</v>
      </c>
      <c r="C20" s="9"/>
    </row>
    <row r="21" spans="1:3">
      <c r="A21" s="7" t="s">
        <v>33</v>
      </c>
      <c r="B21" s="9" t="s">
        <v>34</v>
      </c>
      <c r="C21" s="9"/>
    </row>
    <row r="22" spans="1:3">
      <c r="A22" s="7" t="s">
        <v>35</v>
      </c>
      <c r="B22" s="9" t="s">
        <v>36</v>
      </c>
      <c r="C22" s="9"/>
    </row>
    <row r="23" spans="1:3">
      <c r="A23" s="7" t="s">
        <v>37</v>
      </c>
      <c r="B23" s="9" t="s">
        <v>38</v>
      </c>
      <c r="C23" s="9"/>
    </row>
    <row r="24" spans="1:3">
      <c r="A24" s="7" t="s">
        <v>39</v>
      </c>
      <c r="B24" s="9" t="s">
        <v>40</v>
      </c>
      <c r="C24" s="9"/>
    </row>
    <row r="25" spans="1:3">
      <c r="A25" s="7" t="s">
        <v>41</v>
      </c>
      <c r="B25" s="9" t="s">
        <v>42</v>
      </c>
      <c r="C25" s="9"/>
    </row>
    <row r="26" spans="1:3">
      <c r="A26" s="7" t="s">
        <v>43</v>
      </c>
      <c r="B26" s="9" t="s">
        <v>44</v>
      </c>
      <c r="C26" s="9"/>
    </row>
    <row r="27" spans="1:3">
      <c r="A27" s="7" t="s">
        <v>45</v>
      </c>
      <c r="B27" s="9" t="s">
        <v>46</v>
      </c>
      <c r="C27" s="9"/>
    </row>
    <row r="28" ht="18" customHeight="1" spans="1:3">
      <c r="A28" s="23" t="s">
        <v>47</v>
      </c>
      <c r="B28" s="23"/>
      <c r="C28" s="23"/>
    </row>
    <row r="29" ht="26" customHeight="1" spans="1:3">
      <c r="A29" s="35" t="s">
        <v>48</v>
      </c>
      <c r="B29" s="26" t="s">
        <v>49</v>
      </c>
      <c r="C29" s="26"/>
    </row>
  </sheetData>
  <mergeCells count="27">
    <mergeCell ref="A1:C1"/>
    <mergeCell ref="A2:C2"/>
    <mergeCell ref="A4:C4"/>
    <mergeCell ref="B5:C5"/>
    <mergeCell ref="B6:C6"/>
    <mergeCell ref="B7:C7"/>
    <mergeCell ref="A8:C8"/>
    <mergeCell ref="B9:C9"/>
    <mergeCell ref="B10:C10"/>
    <mergeCell ref="B11:C11"/>
    <mergeCell ref="A12:C12"/>
    <mergeCell ref="B13:C13"/>
    <mergeCell ref="B14:C14"/>
    <mergeCell ref="B15:C15"/>
    <mergeCell ref="B16:C16"/>
    <mergeCell ref="A17:C17"/>
    <mergeCell ref="B19:C19"/>
    <mergeCell ref="B20:C20"/>
    <mergeCell ref="B21:C21"/>
    <mergeCell ref="B22:C22"/>
    <mergeCell ref="B23:C23"/>
    <mergeCell ref="B24:C24"/>
    <mergeCell ref="B25:C25"/>
    <mergeCell ref="B26:C26"/>
    <mergeCell ref="B27:C27"/>
    <mergeCell ref="A28:C28"/>
    <mergeCell ref="B29:C29"/>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pane ySplit="4" topLeftCell="A5" activePane="bottomLeft" state="frozen"/>
      <selection/>
      <selection pane="bottomLeft" activeCell="A1" sqref="A1:E1"/>
    </sheetView>
  </sheetViews>
  <sheetFormatPr defaultColWidth="9" defaultRowHeight="14.4" outlineLevelCol="4"/>
  <cols>
    <col min="1" max="1" width="44" customWidth="1"/>
    <col min="2" max="2" width="20" customWidth="1"/>
    <col min="3" max="3" width="18" customWidth="1"/>
    <col min="4" max="4" width="20" customWidth="1"/>
    <col min="5" max="5" width="74" customWidth="1"/>
  </cols>
  <sheetData>
    <row r="1" ht="24" customHeight="1" spans="1:5">
      <c r="A1" s="3" t="s">
        <v>50</v>
      </c>
      <c r="B1" s="3"/>
      <c r="C1" s="3"/>
      <c r="D1" s="3"/>
      <c r="E1" s="3"/>
    </row>
    <row r="2" ht="30" customHeight="1" spans="1:5">
      <c r="A2" s="4" t="s">
        <v>51</v>
      </c>
      <c r="B2" s="4"/>
      <c r="C2" s="4"/>
      <c r="D2" s="4"/>
      <c r="E2" s="4"/>
    </row>
    <row r="4" ht="18" customHeight="1" spans="1:5">
      <c r="A4" s="23" t="s">
        <v>52</v>
      </c>
      <c r="B4" s="23"/>
      <c r="C4" s="23"/>
      <c r="D4" s="23"/>
      <c r="E4" s="23"/>
    </row>
    <row r="5" ht="26" customHeight="1" spans="1:5">
      <c r="A5" s="5" t="s">
        <v>53</v>
      </c>
      <c r="B5" s="5" t="s">
        <v>54</v>
      </c>
      <c r="C5" s="5" t="s">
        <v>55</v>
      </c>
      <c r="D5" s="5" t="s">
        <v>56</v>
      </c>
      <c r="E5" s="5" t="s">
        <v>57</v>
      </c>
    </row>
    <row r="6" ht="24" spans="1:5">
      <c r="A6" s="7" t="s">
        <v>58</v>
      </c>
      <c r="B6" s="32">
        <v>6991</v>
      </c>
      <c r="C6" s="33">
        <f t="shared" ref="C6:C15" si="0">B6/6991</f>
        <v>1</v>
      </c>
      <c r="D6" s="9" t="s">
        <v>59</v>
      </c>
      <c r="E6" s="9" t="s">
        <v>60</v>
      </c>
    </row>
    <row r="7" ht="24" spans="1:5">
      <c r="A7" s="7" t="s">
        <v>61</v>
      </c>
      <c r="B7" s="32">
        <v>3888</v>
      </c>
      <c r="C7" s="33">
        <f t="shared" si="0"/>
        <v>0.556143613216993</v>
      </c>
      <c r="D7" s="9" t="s">
        <v>62</v>
      </c>
      <c r="E7" s="9" t="s">
        <v>63</v>
      </c>
    </row>
    <row r="8" spans="1:5">
      <c r="A8" s="19" t="s">
        <v>64</v>
      </c>
      <c r="B8" s="32">
        <v>3847</v>
      </c>
      <c r="C8" s="33">
        <f t="shared" si="0"/>
        <v>0.550278930052925</v>
      </c>
      <c r="D8" s="9" t="s">
        <v>65</v>
      </c>
      <c r="E8" s="9" t="s">
        <v>60</v>
      </c>
    </row>
    <row r="9" ht="24" spans="1:5">
      <c r="A9" s="7" t="s">
        <v>66</v>
      </c>
      <c r="B9" s="32">
        <v>1728</v>
      </c>
      <c r="C9" s="33">
        <f t="shared" si="0"/>
        <v>0.247174939207553</v>
      </c>
      <c r="D9" s="9" t="s">
        <v>67</v>
      </c>
      <c r="E9" s="9" t="s">
        <v>68</v>
      </c>
    </row>
    <row r="10" ht="24" spans="1:5">
      <c r="A10" s="7" t="s">
        <v>69</v>
      </c>
      <c r="B10" s="32">
        <v>20</v>
      </c>
      <c r="C10" s="33">
        <f t="shared" si="0"/>
        <v>0.00286082105564297</v>
      </c>
      <c r="D10" s="9" t="s">
        <v>70</v>
      </c>
      <c r="E10" s="9" t="s">
        <v>71</v>
      </c>
    </row>
    <row r="11" ht="24" spans="1:5">
      <c r="A11" s="7" t="s">
        <v>72</v>
      </c>
      <c r="B11" s="32">
        <v>24</v>
      </c>
      <c r="C11" s="33">
        <f t="shared" si="0"/>
        <v>0.00343298526677156</v>
      </c>
      <c r="D11" s="9" t="s">
        <v>73</v>
      </c>
      <c r="E11" s="9" t="s">
        <v>74</v>
      </c>
    </row>
    <row r="12" ht="24" spans="1:5">
      <c r="A12" s="7" t="s">
        <v>75</v>
      </c>
      <c r="B12" s="32">
        <v>24</v>
      </c>
      <c r="C12" s="33">
        <f t="shared" si="0"/>
        <v>0.00343298526677156</v>
      </c>
      <c r="D12" s="9" t="s">
        <v>76</v>
      </c>
      <c r="E12" s="9" t="s">
        <v>77</v>
      </c>
    </row>
    <row r="13" ht="24" spans="1:5">
      <c r="A13" s="7" t="s">
        <v>78</v>
      </c>
      <c r="B13" s="32">
        <v>50</v>
      </c>
      <c r="C13" s="33">
        <f t="shared" si="0"/>
        <v>0.00715205263910742</v>
      </c>
      <c r="D13" s="9" t="s">
        <v>79</v>
      </c>
      <c r="E13" s="9" t="s">
        <v>80</v>
      </c>
    </row>
    <row r="14" spans="1:5">
      <c r="A14" s="7" t="s">
        <v>81</v>
      </c>
      <c r="B14" s="32">
        <v>897</v>
      </c>
      <c r="C14" s="33">
        <f t="shared" si="0"/>
        <v>0.128307824345587</v>
      </c>
      <c r="D14" s="9" t="s">
        <v>82</v>
      </c>
      <c r="E14" s="9" t="s">
        <v>83</v>
      </c>
    </row>
    <row r="15" spans="1:5">
      <c r="A15" s="7" t="s">
        <v>84</v>
      </c>
      <c r="B15" s="32">
        <v>559</v>
      </c>
      <c r="C15" s="33">
        <f t="shared" si="0"/>
        <v>0.079959948505221</v>
      </c>
      <c r="D15" s="9" t="s">
        <v>85</v>
      </c>
      <c r="E15" s="9" t="s">
        <v>86</v>
      </c>
    </row>
    <row r="17" ht="18" customHeight="1" spans="1:5">
      <c r="A17" s="23" t="s">
        <v>87</v>
      </c>
      <c r="B17" s="23"/>
      <c r="C17" s="23"/>
      <c r="D17" s="23"/>
      <c r="E17" s="23"/>
    </row>
    <row r="18" ht="22" customHeight="1" spans="1:5">
      <c r="A18" s="5" t="s">
        <v>88</v>
      </c>
      <c r="B18" s="5" t="s">
        <v>89</v>
      </c>
      <c r="C18" s="5" t="s">
        <v>90</v>
      </c>
      <c r="D18" s="5" t="s">
        <v>91</v>
      </c>
      <c r="E18" s="5" t="s">
        <v>92</v>
      </c>
    </row>
    <row r="19" ht="26" customHeight="1" spans="1:5">
      <c r="A19" s="7" t="s">
        <v>93</v>
      </c>
      <c r="B19" s="19" t="s">
        <v>94</v>
      </c>
      <c r="C19" s="7" t="s">
        <v>95</v>
      </c>
      <c r="D19" s="34">
        <v>1243</v>
      </c>
      <c r="E19" s="9" t="s">
        <v>96</v>
      </c>
    </row>
    <row r="20" ht="26" customHeight="1" spans="1:5">
      <c r="A20" s="7" t="s">
        <v>97</v>
      </c>
      <c r="B20" s="19" t="s">
        <v>98</v>
      </c>
      <c r="C20" s="7" t="s">
        <v>99</v>
      </c>
      <c r="D20" s="34">
        <v>5115</v>
      </c>
      <c r="E20" s="9" t="s">
        <v>100</v>
      </c>
    </row>
    <row r="21" ht="26" customHeight="1" spans="1:5">
      <c r="A21" s="7" t="s">
        <v>101</v>
      </c>
      <c r="B21" s="19" t="s">
        <v>102</v>
      </c>
      <c r="C21" s="7" t="s">
        <v>103</v>
      </c>
      <c r="D21" s="34">
        <v>687</v>
      </c>
      <c r="E21" s="9" t="s">
        <v>104</v>
      </c>
    </row>
  </sheetData>
  <mergeCells count="4">
    <mergeCell ref="A1:E1"/>
    <mergeCell ref="A2:E2"/>
    <mergeCell ref="A4:E4"/>
    <mergeCell ref="A17:E17"/>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pane ySplit="3" topLeftCell="A4" activePane="bottomLeft" state="frozen"/>
      <selection/>
      <selection pane="bottomLeft" activeCell="A1" sqref="A1:D1"/>
    </sheetView>
  </sheetViews>
  <sheetFormatPr defaultColWidth="9" defaultRowHeight="14.4" outlineLevelCol="3"/>
  <cols>
    <col min="1" max="1" width="26" customWidth="1"/>
    <col min="2" max="2" width="52" customWidth="1"/>
    <col min="3" max="3" width="56" customWidth="1"/>
    <col min="4" max="4" width="30" customWidth="1"/>
  </cols>
  <sheetData>
    <row r="1" ht="24" customHeight="1" spans="1:4">
      <c r="A1" s="3" t="s">
        <v>105</v>
      </c>
      <c r="B1" s="3"/>
      <c r="C1" s="3"/>
      <c r="D1" s="3"/>
    </row>
    <row r="2" ht="30" customHeight="1" spans="1:4">
      <c r="A2" s="4" t="s">
        <v>106</v>
      </c>
      <c r="B2" s="4"/>
      <c r="C2" s="4"/>
      <c r="D2" s="4"/>
    </row>
    <row r="4" ht="18" customHeight="1" spans="1:4">
      <c r="A4" s="23" t="s">
        <v>107</v>
      </c>
      <c r="B4" s="23"/>
      <c r="C4" s="23"/>
      <c r="D4" s="23"/>
    </row>
    <row r="5" ht="34" customHeight="1" spans="1:4">
      <c r="A5" s="7" t="s">
        <v>108</v>
      </c>
      <c r="B5" s="9" t="s">
        <v>109</v>
      </c>
      <c r="C5" s="9"/>
      <c r="D5" s="9"/>
    </row>
    <row r="6" ht="20" customHeight="1" spans="1:4">
      <c r="A6" s="5" t="s">
        <v>110</v>
      </c>
      <c r="B6" s="5" t="s">
        <v>111</v>
      </c>
      <c r="C6" s="5" t="s">
        <v>112</v>
      </c>
      <c r="D6" s="5" t="s">
        <v>113</v>
      </c>
    </row>
    <row r="7" spans="1:4">
      <c r="A7" s="7" t="s">
        <v>114</v>
      </c>
      <c r="B7" s="19" t="s">
        <v>115</v>
      </c>
      <c r="C7" s="10" t="s">
        <v>116</v>
      </c>
      <c r="D7" s="10" t="s">
        <v>117</v>
      </c>
    </row>
    <row r="8" spans="1:4">
      <c r="A8" s="7" t="s">
        <v>118</v>
      </c>
      <c r="B8" s="19" t="s">
        <v>119</v>
      </c>
      <c r="C8" s="10" t="s">
        <v>120</v>
      </c>
      <c r="D8" s="10" t="s">
        <v>117</v>
      </c>
    </row>
    <row r="9" spans="1:4">
      <c r="A9" s="7" t="s">
        <v>121</v>
      </c>
      <c r="B9" s="19" t="s">
        <v>122</v>
      </c>
      <c r="C9" s="10" t="s">
        <v>123</v>
      </c>
      <c r="D9" s="10" t="s">
        <v>117</v>
      </c>
    </row>
    <row r="10" spans="1:4">
      <c r="A10" s="7" t="s">
        <v>90</v>
      </c>
      <c r="B10" s="19" t="s">
        <v>95</v>
      </c>
      <c r="C10" s="10" t="s">
        <v>124</v>
      </c>
      <c r="D10" s="10" t="s">
        <v>125</v>
      </c>
    </row>
    <row r="11" spans="1:4">
      <c r="A11" s="7" t="s">
        <v>126</v>
      </c>
      <c r="B11" s="19" t="s">
        <v>127</v>
      </c>
      <c r="C11" s="10" t="s">
        <v>128</v>
      </c>
      <c r="D11" s="10" t="s">
        <v>129</v>
      </c>
    </row>
    <row r="12" spans="1:4">
      <c r="A12" s="7" t="s">
        <v>130</v>
      </c>
      <c r="B12" s="31" t="s">
        <v>131</v>
      </c>
      <c r="C12" s="10" t="s">
        <v>132</v>
      </c>
    </row>
    <row r="13" spans="1:4">
      <c r="A13" s="7" t="s">
        <v>75</v>
      </c>
      <c r="B13" s="31" t="s">
        <v>133</v>
      </c>
      <c r="C13" s="10" t="s">
        <v>134</v>
      </c>
    </row>
    <row r="16" ht="18" customHeight="1" spans="1:4">
      <c r="A16" s="23" t="s">
        <v>135</v>
      </c>
      <c r="B16" s="23"/>
      <c r="C16" s="23"/>
      <c r="D16" s="23"/>
    </row>
    <row r="17" ht="34" customHeight="1" spans="1:4">
      <c r="A17" s="7" t="s">
        <v>108</v>
      </c>
      <c r="B17" s="9" t="s">
        <v>136</v>
      </c>
      <c r="C17" s="9"/>
      <c r="D17" s="9"/>
    </row>
    <row r="18" ht="20" customHeight="1" spans="1:4">
      <c r="A18" s="5" t="s">
        <v>110</v>
      </c>
      <c r="B18" s="5" t="s">
        <v>111</v>
      </c>
      <c r="C18" s="5" t="s">
        <v>112</v>
      </c>
      <c r="D18" s="5" t="s">
        <v>113</v>
      </c>
    </row>
    <row r="19" spans="1:4">
      <c r="A19" s="7" t="s">
        <v>114</v>
      </c>
      <c r="B19" s="19" t="s">
        <v>137</v>
      </c>
      <c r="C19" s="10" t="s">
        <v>116</v>
      </c>
      <c r="D19" s="10" t="s">
        <v>117</v>
      </c>
    </row>
    <row r="20" spans="1:4">
      <c r="A20" s="7" t="s">
        <v>118</v>
      </c>
      <c r="B20" s="19" t="s">
        <v>119</v>
      </c>
      <c r="C20" s="10" t="s">
        <v>120</v>
      </c>
      <c r="D20" s="10" t="s">
        <v>117</v>
      </c>
    </row>
    <row r="21" spans="1:4">
      <c r="A21" s="7" t="s">
        <v>121</v>
      </c>
      <c r="B21" s="19" t="s">
        <v>138</v>
      </c>
      <c r="C21" s="10" t="s">
        <v>123</v>
      </c>
      <c r="D21" s="10" t="s">
        <v>117</v>
      </c>
    </row>
    <row r="22" spans="1:4">
      <c r="A22" s="7" t="s">
        <v>90</v>
      </c>
      <c r="B22" s="19" t="s">
        <v>99</v>
      </c>
      <c r="C22" s="10" t="s">
        <v>124</v>
      </c>
      <c r="D22" s="10" t="s">
        <v>125</v>
      </c>
    </row>
    <row r="23" spans="1:4">
      <c r="A23" s="7" t="s">
        <v>126</v>
      </c>
      <c r="B23" s="19" t="s">
        <v>139</v>
      </c>
      <c r="C23" s="10" t="s">
        <v>128</v>
      </c>
      <c r="D23" s="10" t="s">
        <v>129</v>
      </c>
    </row>
    <row r="24" spans="1:4">
      <c r="A24" s="7" t="s">
        <v>130</v>
      </c>
      <c r="B24" s="31" t="s">
        <v>140</v>
      </c>
      <c r="C24" s="10" t="s">
        <v>132</v>
      </c>
    </row>
    <row r="25" spans="1:4">
      <c r="A25" s="7" t="s">
        <v>75</v>
      </c>
      <c r="B25" s="31" t="s">
        <v>141</v>
      </c>
      <c r="C25" s="10" t="s">
        <v>134</v>
      </c>
    </row>
    <row r="28" ht="18" customHeight="1" spans="1:4">
      <c r="A28" s="23" t="s">
        <v>142</v>
      </c>
      <c r="B28" s="23"/>
      <c r="C28" s="23"/>
      <c r="D28" s="23"/>
    </row>
    <row r="29" ht="34" customHeight="1" spans="1:4">
      <c r="A29" s="7" t="s">
        <v>108</v>
      </c>
      <c r="B29" s="9" t="s">
        <v>143</v>
      </c>
      <c r="C29" s="9"/>
      <c r="D29" s="9"/>
    </row>
    <row r="30" ht="20" customHeight="1" spans="1:4">
      <c r="A30" s="5" t="s">
        <v>110</v>
      </c>
      <c r="B30" s="5" t="s">
        <v>111</v>
      </c>
      <c r="C30" s="5" t="s">
        <v>112</v>
      </c>
      <c r="D30" s="5" t="s">
        <v>113</v>
      </c>
    </row>
    <row r="31" spans="1:4">
      <c r="A31" s="7" t="s">
        <v>114</v>
      </c>
      <c r="B31" s="19" t="s">
        <v>137</v>
      </c>
      <c r="C31" s="10" t="s">
        <v>116</v>
      </c>
      <c r="D31" s="10" t="s">
        <v>117</v>
      </c>
    </row>
    <row r="32" spans="1:4">
      <c r="A32" s="7" t="s">
        <v>118</v>
      </c>
      <c r="B32" s="19" t="s">
        <v>144</v>
      </c>
      <c r="C32" s="10" t="s">
        <v>120</v>
      </c>
      <c r="D32" s="10" t="s">
        <v>117</v>
      </c>
    </row>
    <row r="33" spans="1:4">
      <c r="A33" s="7" t="s">
        <v>145</v>
      </c>
      <c r="B33" s="19" t="s">
        <v>146</v>
      </c>
      <c r="C33" s="10" t="s">
        <v>147</v>
      </c>
      <c r="D33" s="10" t="s">
        <v>117</v>
      </c>
    </row>
    <row r="34" spans="1:4">
      <c r="A34" s="7" t="s">
        <v>90</v>
      </c>
      <c r="B34" s="19" t="s">
        <v>103</v>
      </c>
      <c r="C34" s="10" t="s">
        <v>124</v>
      </c>
      <c r="D34" s="10" t="s">
        <v>125</v>
      </c>
    </row>
    <row r="35" spans="1:4">
      <c r="A35" s="7" t="s">
        <v>126</v>
      </c>
      <c r="B35" s="19" t="s">
        <v>139</v>
      </c>
      <c r="C35" s="10" t="s">
        <v>128</v>
      </c>
      <c r="D35" s="10" t="s">
        <v>129</v>
      </c>
    </row>
    <row r="36" spans="1:4">
      <c r="A36" s="7" t="s">
        <v>130</v>
      </c>
      <c r="B36" s="31" t="s">
        <v>148</v>
      </c>
      <c r="C36" s="10" t="s">
        <v>132</v>
      </c>
    </row>
    <row r="37" spans="1:4">
      <c r="A37" s="7" t="s">
        <v>75</v>
      </c>
      <c r="B37" s="31" t="s">
        <v>149</v>
      </c>
      <c r="C37" s="10" t="s">
        <v>134</v>
      </c>
    </row>
  </sheetData>
  <mergeCells count="8">
    <mergeCell ref="A1:D1"/>
    <mergeCell ref="A2:D2"/>
    <mergeCell ref="A4:D4"/>
    <mergeCell ref="B5:D5"/>
    <mergeCell ref="A16:D16"/>
    <mergeCell ref="B17:D17"/>
    <mergeCell ref="A28:D28"/>
    <mergeCell ref="B29:D29"/>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20"/>
  <sheetViews>
    <sheetView workbookViewId="0">
      <pane ySplit="5" topLeftCell="A6" activePane="bottomLeft" state="frozen"/>
      <selection/>
      <selection pane="bottomLeft" activeCell="A1" sqref="A1:O1"/>
    </sheetView>
  </sheetViews>
  <sheetFormatPr defaultColWidth="9" defaultRowHeight="14.4"/>
  <cols>
    <col min="1" max="1" width="24" customWidth="1"/>
    <col min="2" max="2" width="11" customWidth="1"/>
    <col min="3" max="3" width="13" customWidth="1"/>
    <col min="4" max="4" width="15" customWidth="1"/>
    <col min="5" max="5" width="3" customWidth="1"/>
    <col min="6" max="6" width="24" customWidth="1"/>
    <col min="7" max="7" width="11" customWidth="1"/>
    <col min="8" max="8" width="13" customWidth="1"/>
    <col min="9" max="9" width="15" customWidth="1"/>
    <col min="10" max="10" width="3" customWidth="1"/>
    <col min="11" max="11" width="24" customWidth="1"/>
    <col min="12" max="12" width="11" customWidth="1"/>
    <col min="13" max="13" width="13" customWidth="1"/>
    <col min="14" max="14" width="15" customWidth="1"/>
    <col min="15" max="15" width="3" customWidth="1"/>
  </cols>
  <sheetData>
    <row r="1" ht="24" customHeight="1" spans="1:15">
      <c r="A1" s="3" t="s">
        <v>150</v>
      </c>
      <c r="B1" s="3"/>
      <c r="C1" s="3"/>
      <c r="D1" s="3"/>
      <c r="E1" s="3"/>
      <c r="F1" s="3"/>
      <c r="G1" s="3"/>
      <c r="H1" s="3"/>
      <c r="I1" s="3"/>
      <c r="J1" s="3"/>
      <c r="K1" s="3"/>
      <c r="L1" s="3"/>
      <c r="M1" s="3"/>
      <c r="N1" s="3"/>
      <c r="O1" s="3"/>
    </row>
    <row r="2" ht="30" customHeight="1" spans="1:15">
      <c r="A2" s="4" t="s">
        <v>151</v>
      </c>
      <c r="B2" s="4"/>
      <c r="C2" s="4"/>
      <c r="D2" s="4"/>
      <c r="E2" s="4"/>
      <c r="F2" s="4"/>
      <c r="G2" s="4"/>
      <c r="H2" s="4"/>
      <c r="I2" s="4"/>
      <c r="J2" s="4"/>
      <c r="K2" s="4"/>
      <c r="L2" s="4"/>
      <c r="M2" s="4"/>
      <c r="N2" s="4"/>
      <c r="O2" s="4"/>
    </row>
    <row r="4" spans="1:15">
      <c r="A4" s="27" t="s">
        <v>152</v>
      </c>
      <c r="B4" s="27"/>
      <c r="C4" s="27"/>
      <c r="D4" s="27"/>
      <c r="F4" s="27" t="s">
        <v>153</v>
      </c>
      <c r="G4" s="27"/>
      <c r="H4" s="27"/>
      <c r="I4" s="27"/>
      <c r="K4" s="27" t="s">
        <v>154</v>
      </c>
      <c r="L4" s="27"/>
      <c r="M4" s="27"/>
      <c r="N4" s="27"/>
    </row>
    <row r="5" ht="26" customHeight="1" spans="1:15">
      <c r="A5" s="5" t="s">
        <v>155</v>
      </c>
      <c r="B5" s="5" t="s">
        <v>114</v>
      </c>
      <c r="C5" s="5" t="s">
        <v>58</v>
      </c>
      <c r="D5" s="5" t="s">
        <v>10</v>
      </c>
      <c r="F5" s="5" t="s">
        <v>155</v>
      </c>
      <c r="G5" s="5" t="s">
        <v>114</v>
      </c>
      <c r="H5" s="5" t="s">
        <v>58</v>
      </c>
      <c r="I5" s="5" t="s">
        <v>10</v>
      </c>
      <c r="K5" s="5" t="s">
        <v>155</v>
      </c>
      <c r="L5" s="5" t="s">
        <v>114</v>
      </c>
      <c r="M5" s="5" t="s">
        <v>58</v>
      </c>
      <c r="N5" s="5" t="s">
        <v>10</v>
      </c>
    </row>
    <row r="6" spans="1:15">
      <c r="A6" s="12" t="s">
        <v>156</v>
      </c>
      <c r="B6" s="12" t="s">
        <v>157</v>
      </c>
      <c r="C6" s="15">
        <v>165218</v>
      </c>
      <c r="D6" s="13">
        <v>80</v>
      </c>
      <c r="F6" s="12" t="s">
        <v>158</v>
      </c>
      <c r="G6" s="12" t="s">
        <v>159</v>
      </c>
      <c r="H6" s="15">
        <v>9900000</v>
      </c>
      <c r="I6" s="13">
        <v>80</v>
      </c>
      <c r="K6" s="12" t="s">
        <v>160</v>
      </c>
      <c r="L6" s="12" t="s">
        <v>157</v>
      </c>
      <c r="M6" s="15">
        <v>236164</v>
      </c>
      <c r="N6" s="13">
        <v>67</v>
      </c>
    </row>
    <row r="7" spans="1:15">
      <c r="A7" s="12" t="s">
        <v>161</v>
      </c>
      <c r="B7" s="12" t="s">
        <v>157</v>
      </c>
      <c r="C7" s="15">
        <v>80404</v>
      </c>
      <c r="D7" s="13">
        <v>72</v>
      </c>
      <c r="F7" s="12" t="s">
        <v>162</v>
      </c>
      <c r="G7" s="12" t="s">
        <v>157</v>
      </c>
      <c r="H7" s="15">
        <v>20046665</v>
      </c>
      <c r="I7" s="13">
        <v>69</v>
      </c>
      <c r="K7" s="12" t="s">
        <v>163</v>
      </c>
      <c r="L7" s="12" t="s">
        <v>157</v>
      </c>
      <c r="M7" s="15">
        <v>116769</v>
      </c>
      <c r="N7" s="13">
        <v>67</v>
      </c>
    </row>
    <row r="8" spans="1:15">
      <c r="A8" s="12" t="s">
        <v>164</v>
      </c>
      <c r="B8" s="12" t="s">
        <v>157</v>
      </c>
      <c r="C8" s="15">
        <v>91319</v>
      </c>
      <c r="D8" s="13">
        <v>69</v>
      </c>
      <c r="F8" s="12" t="s">
        <v>165</v>
      </c>
      <c r="G8" s="12" t="s">
        <v>159</v>
      </c>
      <c r="H8" s="15">
        <v>5600000</v>
      </c>
      <c r="I8" s="13">
        <v>68</v>
      </c>
      <c r="K8" s="12" t="s">
        <v>166</v>
      </c>
      <c r="L8" s="12" t="s">
        <v>157</v>
      </c>
      <c r="M8" s="15">
        <v>143915</v>
      </c>
      <c r="N8" s="13">
        <v>67</v>
      </c>
    </row>
    <row r="9" spans="1:15">
      <c r="A9" s="12" t="s">
        <v>167</v>
      </c>
      <c r="B9" s="12" t="s">
        <v>157</v>
      </c>
      <c r="C9" s="15">
        <v>122110</v>
      </c>
      <c r="D9" s="13">
        <v>67</v>
      </c>
      <c r="F9" s="12" t="s">
        <v>168</v>
      </c>
      <c r="G9" s="12" t="s">
        <v>159</v>
      </c>
      <c r="H9" s="15">
        <v>307567</v>
      </c>
      <c r="I9" s="13">
        <v>68</v>
      </c>
      <c r="K9" s="12" t="s">
        <v>169</v>
      </c>
      <c r="L9" s="12" t="s">
        <v>157</v>
      </c>
      <c r="M9" s="15">
        <v>2137780</v>
      </c>
      <c r="N9" s="13">
        <v>62</v>
      </c>
    </row>
    <row r="10" spans="1:15">
      <c r="A10" s="12" t="s">
        <v>170</v>
      </c>
      <c r="B10" s="12" t="s">
        <v>157</v>
      </c>
      <c r="C10" s="15">
        <v>102609</v>
      </c>
      <c r="D10" s="13">
        <v>67</v>
      </c>
      <c r="F10" s="12" t="s">
        <v>171</v>
      </c>
      <c r="G10" s="12" t="s">
        <v>159</v>
      </c>
      <c r="H10" s="15">
        <v>6600000</v>
      </c>
      <c r="I10" s="13">
        <v>68</v>
      </c>
      <c r="K10" s="12" t="s">
        <v>172</v>
      </c>
      <c r="L10" s="12" t="s">
        <v>157</v>
      </c>
      <c r="M10" s="15">
        <v>1132901</v>
      </c>
      <c r="N10" s="13">
        <v>61</v>
      </c>
    </row>
    <row r="11" spans="1:15">
      <c r="A11" s="12" t="s">
        <v>173</v>
      </c>
      <c r="B11" s="12" t="s">
        <v>157</v>
      </c>
      <c r="C11" s="15">
        <v>98222</v>
      </c>
      <c r="D11" s="13">
        <v>67</v>
      </c>
      <c r="F11" s="12" t="s">
        <v>174</v>
      </c>
      <c r="G11" s="12" t="s">
        <v>159</v>
      </c>
      <c r="H11" s="15">
        <v>6685227</v>
      </c>
      <c r="I11" s="13">
        <v>68</v>
      </c>
      <c r="K11" s="12" t="s">
        <v>175</v>
      </c>
      <c r="L11" s="12" t="s">
        <v>157</v>
      </c>
      <c r="M11" s="15">
        <v>805581</v>
      </c>
      <c r="N11" s="13">
        <v>59</v>
      </c>
    </row>
    <row r="12" spans="1:15">
      <c r="A12" s="12" t="s">
        <v>176</v>
      </c>
      <c r="B12" s="12" t="s">
        <v>157</v>
      </c>
      <c r="C12" s="15">
        <v>740575</v>
      </c>
      <c r="D12" s="13">
        <v>67</v>
      </c>
      <c r="F12" s="12" t="s">
        <v>177</v>
      </c>
      <c r="G12" s="12" t="s">
        <v>157</v>
      </c>
      <c r="H12" s="15">
        <v>193274</v>
      </c>
      <c r="I12" s="13">
        <v>67</v>
      </c>
      <c r="K12" s="12" t="s">
        <v>178</v>
      </c>
      <c r="L12" s="12" t="s">
        <v>157</v>
      </c>
      <c r="M12" s="15">
        <v>948683</v>
      </c>
      <c r="N12" s="13">
        <v>59</v>
      </c>
    </row>
    <row r="13" spans="1:15">
      <c r="A13" s="12" t="s">
        <v>179</v>
      </c>
      <c r="B13" s="12" t="s">
        <v>157</v>
      </c>
      <c r="C13" s="15">
        <v>324971</v>
      </c>
      <c r="D13" s="13">
        <v>67</v>
      </c>
      <c r="F13" s="12" t="s">
        <v>160</v>
      </c>
      <c r="G13" s="12" t="s">
        <v>157</v>
      </c>
      <c r="H13" s="15">
        <v>236164</v>
      </c>
      <c r="I13" s="13">
        <v>67</v>
      </c>
      <c r="K13" s="12" t="s">
        <v>180</v>
      </c>
      <c r="L13" s="12" t="s">
        <v>157</v>
      </c>
      <c r="M13" s="15">
        <v>343960</v>
      </c>
      <c r="N13" s="13">
        <v>59</v>
      </c>
    </row>
    <row r="14" spans="1:15">
      <c r="A14" s="12" t="s">
        <v>181</v>
      </c>
      <c r="B14" s="12" t="s">
        <v>157</v>
      </c>
      <c r="C14" s="15">
        <v>429570</v>
      </c>
      <c r="D14" s="13">
        <v>67</v>
      </c>
      <c r="F14" s="12" t="s">
        <v>163</v>
      </c>
      <c r="G14" s="12" t="s">
        <v>157</v>
      </c>
      <c r="H14" s="15">
        <v>116769</v>
      </c>
      <c r="I14" s="13">
        <v>67</v>
      </c>
      <c r="K14" s="12" t="s">
        <v>182</v>
      </c>
      <c r="L14" s="12" t="s">
        <v>157</v>
      </c>
      <c r="M14" s="15">
        <v>794018</v>
      </c>
      <c r="N14" s="13">
        <v>59</v>
      </c>
    </row>
    <row r="15" spans="1:15">
      <c r="A15" s="12" t="s">
        <v>183</v>
      </c>
      <c r="B15" s="12" t="s">
        <v>157</v>
      </c>
      <c r="C15" s="15">
        <v>299227</v>
      </c>
      <c r="D15" s="13">
        <v>67</v>
      </c>
      <c r="F15" s="12" t="s">
        <v>184</v>
      </c>
      <c r="G15" s="12" t="s">
        <v>157</v>
      </c>
      <c r="H15" s="15">
        <v>729181</v>
      </c>
      <c r="I15" s="13">
        <v>67</v>
      </c>
      <c r="K15" s="12" t="s">
        <v>185</v>
      </c>
      <c r="L15" s="12" t="s">
        <v>157</v>
      </c>
      <c r="M15" s="15">
        <v>209819</v>
      </c>
      <c r="N15" s="13">
        <v>56</v>
      </c>
    </row>
    <row r="16" spans="1:15">
      <c r="A16" s="12" t="s">
        <v>186</v>
      </c>
      <c r="B16" s="12" t="s">
        <v>157</v>
      </c>
      <c r="C16" s="15">
        <v>121140</v>
      </c>
      <c r="D16" s="13">
        <v>67</v>
      </c>
      <c r="F16" s="12" t="s">
        <v>166</v>
      </c>
      <c r="G16" s="12" t="s">
        <v>157</v>
      </c>
      <c r="H16" s="15">
        <v>143915</v>
      </c>
      <c r="I16" s="13">
        <v>67</v>
      </c>
      <c r="K16" s="12" t="s">
        <v>187</v>
      </c>
      <c r="L16" s="12" t="s">
        <v>159</v>
      </c>
      <c r="M16" s="15">
        <v>2100000</v>
      </c>
      <c r="N16" s="13">
        <v>56</v>
      </c>
    </row>
    <row r="17" spans="1:14">
      <c r="A17" s="12" t="s">
        <v>188</v>
      </c>
      <c r="B17" s="12" t="s">
        <v>157</v>
      </c>
      <c r="C17" s="15">
        <v>2011129</v>
      </c>
      <c r="D17" s="13">
        <v>67</v>
      </c>
      <c r="F17" s="12" t="s">
        <v>189</v>
      </c>
      <c r="G17" s="12" t="s">
        <v>157</v>
      </c>
      <c r="H17" s="15">
        <v>102895</v>
      </c>
      <c r="I17" s="13">
        <v>64</v>
      </c>
      <c r="K17" s="12" t="s">
        <v>190</v>
      </c>
      <c r="L17" s="12" t="s">
        <v>159</v>
      </c>
      <c r="M17" s="15">
        <v>4900000</v>
      </c>
      <c r="N17" s="13">
        <v>55</v>
      </c>
    </row>
    <row r="18" spans="1:14">
      <c r="A18" s="12" t="s">
        <v>191</v>
      </c>
      <c r="B18" s="12" t="s">
        <v>157</v>
      </c>
      <c r="C18" s="15">
        <v>82989</v>
      </c>
      <c r="D18" s="13">
        <v>67</v>
      </c>
      <c r="F18" s="12" t="s">
        <v>192</v>
      </c>
      <c r="G18" s="12" t="s">
        <v>157</v>
      </c>
      <c r="H18" s="15">
        <v>636731</v>
      </c>
      <c r="I18" s="13">
        <v>64</v>
      </c>
      <c r="K18" s="12" t="s">
        <v>193</v>
      </c>
      <c r="L18" s="12" t="s">
        <v>157</v>
      </c>
      <c r="M18" s="15">
        <v>1185494</v>
      </c>
      <c r="N18" s="13">
        <v>55</v>
      </c>
    </row>
    <row r="19" spans="1:14">
      <c r="A19" s="12" t="s">
        <v>194</v>
      </c>
      <c r="B19" s="12" t="s">
        <v>157</v>
      </c>
      <c r="C19" s="15">
        <v>1077231</v>
      </c>
      <c r="D19" s="13">
        <v>66</v>
      </c>
      <c r="F19" s="12" t="s">
        <v>195</v>
      </c>
      <c r="G19" s="12" t="s">
        <v>157</v>
      </c>
      <c r="H19" s="15">
        <v>125170</v>
      </c>
      <c r="I19" s="13">
        <v>64</v>
      </c>
      <c r="K19" s="12" t="s">
        <v>196</v>
      </c>
      <c r="L19" s="12" t="s">
        <v>157</v>
      </c>
      <c r="M19" s="15">
        <v>144180</v>
      </c>
      <c r="N19" s="13">
        <v>55</v>
      </c>
    </row>
    <row r="20" spans="1:14">
      <c r="A20" s="12" t="s">
        <v>197</v>
      </c>
      <c r="B20" s="12" t="s">
        <v>157</v>
      </c>
      <c r="C20" s="15">
        <v>1801352</v>
      </c>
      <c r="D20" s="13">
        <v>65</v>
      </c>
      <c r="F20" s="12" t="s">
        <v>198</v>
      </c>
      <c r="G20" s="12" t="s">
        <v>157</v>
      </c>
      <c r="H20" s="15">
        <v>347725</v>
      </c>
      <c r="I20" s="13">
        <v>64</v>
      </c>
      <c r="K20" s="12" t="s">
        <v>199</v>
      </c>
      <c r="L20" s="12" t="s">
        <v>157</v>
      </c>
      <c r="M20" s="15">
        <v>177789</v>
      </c>
      <c r="N20" s="13">
        <v>55</v>
      </c>
    </row>
    <row r="21" spans="1:14">
      <c r="A21" s="12" t="s">
        <v>200</v>
      </c>
      <c r="B21" s="12" t="s">
        <v>157</v>
      </c>
      <c r="C21" s="15">
        <v>74519</v>
      </c>
      <c r="D21" s="13">
        <v>64</v>
      </c>
      <c r="F21" s="12" t="s">
        <v>185</v>
      </c>
      <c r="G21" s="12" t="s">
        <v>157</v>
      </c>
      <c r="H21" s="15">
        <v>209819</v>
      </c>
      <c r="I21" s="13">
        <v>63</v>
      </c>
      <c r="K21" s="12" t="s">
        <v>201</v>
      </c>
      <c r="L21" s="12" t="s">
        <v>157</v>
      </c>
      <c r="M21" s="15">
        <v>155620</v>
      </c>
      <c r="N21" s="13">
        <v>55</v>
      </c>
    </row>
    <row r="22" spans="1:14">
      <c r="A22" s="12" t="s">
        <v>192</v>
      </c>
      <c r="B22" s="12" t="s">
        <v>157</v>
      </c>
      <c r="C22" s="15">
        <v>636731</v>
      </c>
      <c r="D22" s="13">
        <v>64</v>
      </c>
      <c r="F22" s="12" t="s">
        <v>202</v>
      </c>
      <c r="G22" s="12" t="s">
        <v>157</v>
      </c>
      <c r="H22" s="15">
        <v>36773</v>
      </c>
      <c r="I22" s="13">
        <v>63</v>
      </c>
      <c r="K22" s="12" t="s">
        <v>203</v>
      </c>
      <c r="L22" s="12" t="s">
        <v>157</v>
      </c>
      <c r="M22" s="15">
        <v>3918239</v>
      </c>
      <c r="N22" s="13">
        <v>55</v>
      </c>
    </row>
    <row r="23" spans="1:14">
      <c r="A23" s="12" t="s">
        <v>185</v>
      </c>
      <c r="B23" s="12" t="s">
        <v>157</v>
      </c>
      <c r="C23" s="15">
        <v>209819</v>
      </c>
      <c r="D23" s="13">
        <v>63</v>
      </c>
      <c r="F23" s="12" t="s">
        <v>204</v>
      </c>
      <c r="G23" s="12" t="s">
        <v>157</v>
      </c>
      <c r="H23" s="15">
        <v>879015</v>
      </c>
      <c r="I23" s="13">
        <v>62</v>
      </c>
      <c r="K23" s="12" t="s">
        <v>205</v>
      </c>
      <c r="L23" s="12" t="s">
        <v>157</v>
      </c>
      <c r="M23" s="15">
        <v>323501</v>
      </c>
      <c r="N23" s="13">
        <v>55</v>
      </c>
    </row>
    <row r="24" spans="1:14">
      <c r="A24" s="12" t="s">
        <v>206</v>
      </c>
      <c r="B24" s="12" t="s">
        <v>157</v>
      </c>
      <c r="C24" s="15">
        <v>74448</v>
      </c>
      <c r="D24" s="13">
        <v>63</v>
      </c>
      <c r="F24" s="12" t="s">
        <v>207</v>
      </c>
      <c r="G24" s="12" t="s">
        <v>157</v>
      </c>
      <c r="H24" s="15">
        <v>411474</v>
      </c>
      <c r="I24" s="13">
        <v>62</v>
      </c>
      <c r="K24" s="12" t="s">
        <v>208</v>
      </c>
      <c r="L24" s="12" t="s">
        <v>157</v>
      </c>
      <c r="M24" s="15">
        <v>961731</v>
      </c>
      <c r="N24" s="13">
        <v>55</v>
      </c>
    </row>
    <row r="25" spans="1:14">
      <c r="A25" s="12" t="s">
        <v>209</v>
      </c>
      <c r="B25" s="12" t="s">
        <v>157</v>
      </c>
      <c r="C25" s="15">
        <v>116843</v>
      </c>
      <c r="D25" s="13">
        <v>63</v>
      </c>
      <c r="F25" s="12" t="s">
        <v>210</v>
      </c>
      <c r="G25" s="12" t="s">
        <v>157</v>
      </c>
      <c r="H25" s="15">
        <v>106466</v>
      </c>
      <c r="I25" s="13">
        <v>62</v>
      </c>
      <c r="K25" s="12" t="s">
        <v>211</v>
      </c>
      <c r="L25" s="12" t="s">
        <v>157</v>
      </c>
      <c r="M25" s="15">
        <v>1268275</v>
      </c>
      <c r="N25" s="13">
        <v>55</v>
      </c>
    </row>
    <row r="26" spans="1:14">
      <c r="A26" s="12" t="s">
        <v>212</v>
      </c>
      <c r="B26" s="12" t="s">
        <v>157</v>
      </c>
      <c r="C26" s="15">
        <v>117740</v>
      </c>
      <c r="D26" s="13">
        <v>62</v>
      </c>
      <c r="F26" s="12" t="s">
        <v>213</v>
      </c>
      <c r="G26" s="12" t="s">
        <v>159</v>
      </c>
      <c r="H26" s="15">
        <v>10500000</v>
      </c>
      <c r="I26" s="13">
        <v>62</v>
      </c>
      <c r="K26" s="12" t="s">
        <v>214</v>
      </c>
      <c r="L26" s="12" t="s">
        <v>157</v>
      </c>
      <c r="M26" s="15">
        <v>156604</v>
      </c>
      <c r="N26" s="13">
        <v>55</v>
      </c>
    </row>
    <row r="27" spans="1:14">
      <c r="A27" s="12" t="s">
        <v>215</v>
      </c>
      <c r="B27" s="12" t="s">
        <v>157</v>
      </c>
      <c r="C27" s="15">
        <v>2961548</v>
      </c>
      <c r="D27" s="13">
        <v>62</v>
      </c>
      <c r="F27" s="12" t="s">
        <v>169</v>
      </c>
      <c r="G27" s="12" t="s">
        <v>157</v>
      </c>
      <c r="H27" s="15">
        <v>2137780</v>
      </c>
      <c r="I27" s="13">
        <v>62</v>
      </c>
      <c r="K27" s="12" t="s">
        <v>216</v>
      </c>
      <c r="L27" s="12" t="s">
        <v>157</v>
      </c>
      <c r="M27" s="15">
        <v>3532582</v>
      </c>
      <c r="N27" s="13">
        <v>55</v>
      </c>
    </row>
    <row r="28" spans="1:14">
      <c r="A28" s="12" t="s">
        <v>207</v>
      </c>
      <c r="B28" s="12" t="s">
        <v>157</v>
      </c>
      <c r="C28" s="15">
        <v>411474</v>
      </c>
      <c r="D28" s="13">
        <v>62</v>
      </c>
      <c r="F28" s="12" t="s">
        <v>172</v>
      </c>
      <c r="G28" s="12" t="s">
        <v>157</v>
      </c>
      <c r="H28" s="15">
        <v>1132901</v>
      </c>
      <c r="I28" s="13">
        <v>61</v>
      </c>
      <c r="K28" s="12" t="s">
        <v>217</v>
      </c>
      <c r="L28" s="12" t="s">
        <v>157</v>
      </c>
      <c r="M28" s="15">
        <v>195207</v>
      </c>
      <c r="N28" s="13">
        <v>55</v>
      </c>
    </row>
    <row r="29" spans="1:14">
      <c r="A29" s="12" t="s">
        <v>218</v>
      </c>
      <c r="B29" s="12" t="s">
        <v>157</v>
      </c>
      <c r="C29" s="15">
        <v>69423</v>
      </c>
      <c r="D29" s="13">
        <v>62</v>
      </c>
      <c r="F29" s="12" t="s">
        <v>219</v>
      </c>
      <c r="G29" s="12" t="s">
        <v>157</v>
      </c>
      <c r="H29" s="15">
        <v>983917</v>
      </c>
      <c r="I29" s="13">
        <v>61</v>
      </c>
      <c r="K29" s="12" t="s">
        <v>220</v>
      </c>
      <c r="L29" s="12" t="s">
        <v>157</v>
      </c>
      <c r="M29" s="15">
        <v>133031</v>
      </c>
      <c r="N29" s="13">
        <v>55</v>
      </c>
    </row>
    <row r="30" spans="1:14">
      <c r="A30" s="12" t="s">
        <v>221</v>
      </c>
      <c r="B30" s="12" t="s">
        <v>157</v>
      </c>
      <c r="C30" s="15">
        <v>5042266</v>
      </c>
      <c r="D30" s="13">
        <v>61</v>
      </c>
      <c r="F30" s="12" t="s">
        <v>222</v>
      </c>
      <c r="G30" s="12" t="s">
        <v>157</v>
      </c>
      <c r="H30" s="15">
        <v>375972</v>
      </c>
      <c r="I30" s="13">
        <v>60</v>
      </c>
      <c r="K30" s="12" t="s">
        <v>223</v>
      </c>
      <c r="L30" s="12" t="s">
        <v>157</v>
      </c>
      <c r="M30" s="15">
        <v>528059</v>
      </c>
      <c r="N30" s="13">
        <v>55</v>
      </c>
    </row>
    <row r="31" spans="1:14">
      <c r="A31" s="12" t="s">
        <v>222</v>
      </c>
      <c r="B31" s="12" t="s">
        <v>157</v>
      </c>
      <c r="C31" s="15">
        <v>375972</v>
      </c>
      <c r="D31" s="13">
        <v>60</v>
      </c>
      <c r="F31" s="12" t="s">
        <v>224</v>
      </c>
      <c r="G31" s="12" t="s">
        <v>159</v>
      </c>
      <c r="H31" s="15">
        <v>3500000</v>
      </c>
      <c r="I31" s="13">
        <v>60</v>
      </c>
      <c r="K31" s="12" t="s">
        <v>225</v>
      </c>
      <c r="L31" s="12" t="s">
        <v>157</v>
      </c>
      <c r="M31" s="15">
        <v>140497</v>
      </c>
      <c r="N31" s="13">
        <v>55</v>
      </c>
    </row>
    <row r="32" spans="1:14">
      <c r="A32" s="12" t="s">
        <v>226</v>
      </c>
      <c r="B32" s="12" t="s">
        <v>157</v>
      </c>
      <c r="C32" s="15">
        <v>174816</v>
      </c>
      <c r="D32" s="13">
        <v>60</v>
      </c>
      <c r="F32" s="12" t="s">
        <v>227</v>
      </c>
      <c r="G32" s="12" t="s">
        <v>157</v>
      </c>
      <c r="H32" s="15">
        <v>2775736</v>
      </c>
      <c r="I32" s="13">
        <v>60</v>
      </c>
      <c r="K32" s="12" t="s">
        <v>228</v>
      </c>
      <c r="L32" s="12" t="s">
        <v>157</v>
      </c>
      <c r="M32" s="15">
        <v>1377267</v>
      </c>
      <c r="N32" s="13">
        <v>55</v>
      </c>
    </row>
    <row r="33" spans="1:14">
      <c r="A33" s="12" t="s">
        <v>227</v>
      </c>
      <c r="B33" s="12" t="s">
        <v>157</v>
      </c>
      <c r="C33" s="15">
        <v>2775736</v>
      </c>
      <c r="D33" s="13">
        <v>60</v>
      </c>
      <c r="F33" s="12" t="s">
        <v>229</v>
      </c>
      <c r="G33" s="12" t="s">
        <v>159</v>
      </c>
      <c r="H33" s="15">
        <v>2800000</v>
      </c>
      <c r="I33" s="13">
        <v>60</v>
      </c>
      <c r="K33" s="12" t="s">
        <v>230</v>
      </c>
      <c r="L33" s="12" t="s">
        <v>157</v>
      </c>
      <c r="M33" s="15">
        <v>2284424</v>
      </c>
      <c r="N33" s="13">
        <v>55</v>
      </c>
    </row>
    <row r="34" spans="1:14">
      <c r="A34" s="12" t="s">
        <v>231</v>
      </c>
      <c r="B34" s="12" t="s">
        <v>157</v>
      </c>
      <c r="C34" s="15">
        <v>135115</v>
      </c>
      <c r="D34" s="13">
        <v>60</v>
      </c>
      <c r="F34" s="12" t="s">
        <v>232</v>
      </c>
      <c r="G34" s="12" t="s">
        <v>159</v>
      </c>
      <c r="H34" s="15">
        <v>5100000</v>
      </c>
      <c r="I34" s="13">
        <v>60</v>
      </c>
      <c r="K34" s="12" t="s">
        <v>233</v>
      </c>
      <c r="L34" s="12" t="s">
        <v>157</v>
      </c>
      <c r="M34" s="15">
        <v>134655</v>
      </c>
      <c r="N34" s="13">
        <v>55</v>
      </c>
    </row>
    <row r="35" spans="1:14">
      <c r="A35" s="12" t="s">
        <v>234</v>
      </c>
      <c r="B35" s="12" t="s">
        <v>157</v>
      </c>
      <c r="C35" s="15">
        <v>110416</v>
      </c>
      <c r="D35" s="13">
        <v>60</v>
      </c>
      <c r="F35" s="12" t="s">
        <v>235</v>
      </c>
      <c r="G35" s="12" t="s">
        <v>159</v>
      </c>
      <c r="H35" s="15">
        <v>526800</v>
      </c>
      <c r="I35" s="13">
        <v>60</v>
      </c>
      <c r="K35" s="12" t="s">
        <v>236</v>
      </c>
      <c r="L35" s="12" t="s">
        <v>157</v>
      </c>
      <c r="M35" s="15">
        <v>290919</v>
      </c>
      <c r="N35" s="13">
        <v>55</v>
      </c>
    </row>
    <row r="36" spans="1:14">
      <c r="A36" s="12" t="s">
        <v>237</v>
      </c>
      <c r="B36" s="12" t="s">
        <v>157</v>
      </c>
      <c r="C36" s="15">
        <v>1406645</v>
      </c>
      <c r="D36" s="13">
        <v>60</v>
      </c>
      <c r="F36" s="12" t="s">
        <v>238</v>
      </c>
      <c r="G36" s="12" t="s">
        <v>159</v>
      </c>
      <c r="H36" s="15">
        <v>1200000</v>
      </c>
      <c r="I36" s="13">
        <v>60</v>
      </c>
      <c r="K36" s="12" t="s">
        <v>239</v>
      </c>
      <c r="L36" s="12" t="s">
        <v>157</v>
      </c>
      <c r="M36" s="15">
        <v>275217</v>
      </c>
      <c r="N36" s="13">
        <v>55</v>
      </c>
    </row>
    <row r="37" spans="1:14">
      <c r="A37" s="12" t="s">
        <v>195</v>
      </c>
      <c r="B37" s="12" t="s">
        <v>157</v>
      </c>
      <c r="C37" s="15">
        <v>125170</v>
      </c>
      <c r="D37" s="13">
        <v>60</v>
      </c>
      <c r="F37" s="12" t="s">
        <v>240</v>
      </c>
      <c r="G37" s="12" t="s">
        <v>159</v>
      </c>
      <c r="H37" s="15">
        <v>306200</v>
      </c>
      <c r="I37" s="13">
        <v>60</v>
      </c>
      <c r="K37" s="12" t="s">
        <v>241</v>
      </c>
      <c r="L37" s="12" t="s">
        <v>157</v>
      </c>
      <c r="M37" s="15">
        <v>306528</v>
      </c>
      <c r="N37" s="13">
        <v>55</v>
      </c>
    </row>
    <row r="38" spans="1:14">
      <c r="A38" s="12" t="s">
        <v>242</v>
      </c>
      <c r="B38" s="12" t="s">
        <v>157</v>
      </c>
      <c r="C38" s="15">
        <v>1436816</v>
      </c>
      <c r="D38" s="13">
        <v>60</v>
      </c>
      <c r="F38" s="12" t="s">
        <v>243</v>
      </c>
      <c r="G38" s="12" t="s">
        <v>159</v>
      </c>
      <c r="H38" s="15">
        <v>6200000</v>
      </c>
      <c r="I38" s="13">
        <v>60</v>
      </c>
      <c r="K38" s="12" t="s">
        <v>244</v>
      </c>
      <c r="L38" s="12" t="s">
        <v>157</v>
      </c>
      <c r="M38" s="15">
        <v>7156562</v>
      </c>
      <c r="N38" s="13">
        <v>55</v>
      </c>
    </row>
    <row r="39" spans="1:14">
      <c r="A39" s="12" t="s">
        <v>245</v>
      </c>
      <c r="B39" s="12" t="s">
        <v>157</v>
      </c>
      <c r="C39" s="15">
        <v>118133</v>
      </c>
      <c r="D39" s="13">
        <v>60</v>
      </c>
      <c r="F39" s="12" t="s">
        <v>231</v>
      </c>
      <c r="G39" s="12" t="s">
        <v>157</v>
      </c>
      <c r="H39" s="15">
        <v>135115</v>
      </c>
      <c r="I39" s="13">
        <v>60</v>
      </c>
      <c r="K39" s="12" t="s">
        <v>246</v>
      </c>
      <c r="L39" s="12" t="s">
        <v>157</v>
      </c>
      <c r="M39" s="15">
        <v>156556</v>
      </c>
      <c r="N39" s="13">
        <v>55</v>
      </c>
    </row>
    <row r="40" spans="1:14">
      <c r="A40" s="12" t="s">
        <v>247</v>
      </c>
      <c r="B40" s="12" t="s">
        <v>157</v>
      </c>
      <c r="C40" s="15">
        <v>488918</v>
      </c>
      <c r="D40" s="13">
        <v>60</v>
      </c>
      <c r="F40" s="12" t="s">
        <v>248</v>
      </c>
      <c r="G40" s="12" t="s">
        <v>159</v>
      </c>
      <c r="H40" s="15">
        <v>983500</v>
      </c>
      <c r="I40" s="13">
        <v>60</v>
      </c>
      <c r="K40" s="12" t="s">
        <v>249</v>
      </c>
      <c r="L40" s="12" t="s">
        <v>157</v>
      </c>
      <c r="M40" s="15">
        <v>401205</v>
      </c>
      <c r="N40" s="13">
        <v>55</v>
      </c>
    </row>
    <row r="41" spans="1:14">
      <c r="A41" s="12" t="s">
        <v>250</v>
      </c>
      <c r="B41" s="12" t="s">
        <v>157</v>
      </c>
      <c r="C41" s="15">
        <v>43600</v>
      </c>
      <c r="D41" s="13">
        <v>60</v>
      </c>
      <c r="F41" s="12" t="s">
        <v>251</v>
      </c>
      <c r="G41" s="12" t="s">
        <v>159</v>
      </c>
      <c r="H41" s="15">
        <v>1900000</v>
      </c>
      <c r="I41" s="13">
        <v>60</v>
      </c>
      <c r="K41" s="12" t="s">
        <v>252</v>
      </c>
      <c r="L41" s="12" t="s">
        <v>157</v>
      </c>
      <c r="M41" s="15">
        <v>215657</v>
      </c>
      <c r="N41" s="13">
        <v>55</v>
      </c>
    </row>
    <row r="42" spans="1:14">
      <c r="A42" s="12" t="s">
        <v>253</v>
      </c>
      <c r="B42" s="12" t="s">
        <v>157</v>
      </c>
      <c r="C42" s="15">
        <v>107893</v>
      </c>
      <c r="D42" s="13">
        <v>59</v>
      </c>
      <c r="F42" s="12" t="s">
        <v>254</v>
      </c>
      <c r="G42" s="12" t="s">
        <v>159</v>
      </c>
      <c r="H42" s="15">
        <v>3200000</v>
      </c>
      <c r="I42" s="13">
        <v>60</v>
      </c>
      <c r="K42" s="12" t="s">
        <v>255</v>
      </c>
      <c r="L42" s="12" t="s">
        <v>157</v>
      </c>
      <c r="M42" s="15">
        <v>564687</v>
      </c>
      <c r="N42" s="13">
        <v>55</v>
      </c>
    </row>
    <row r="43" spans="1:14">
      <c r="A43" s="12" t="s">
        <v>256</v>
      </c>
      <c r="B43" s="12" t="s">
        <v>157</v>
      </c>
      <c r="C43" s="15">
        <v>64009</v>
      </c>
      <c r="D43" s="13">
        <v>59</v>
      </c>
      <c r="F43" s="12" t="s">
        <v>257</v>
      </c>
      <c r="G43" s="12" t="s">
        <v>159</v>
      </c>
      <c r="H43" s="15">
        <v>90200</v>
      </c>
      <c r="I43" s="13">
        <v>60</v>
      </c>
      <c r="K43" s="12" t="s">
        <v>258</v>
      </c>
      <c r="L43" s="12" t="s">
        <v>157</v>
      </c>
      <c r="M43" s="15">
        <v>295009</v>
      </c>
      <c r="N43" s="13">
        <v>55</v>
      </c>
    </row>
    <row r="44" spans="1:14">
      <c r="A44" s="12" t="s">
        <v>259</v>
      </c>
      <c r="B44" s="12" t="s">
        <v>157</v>
      </c>
      <c r="C44" s="15">
        <v>35595</v>
      </c>
      <c r="D44" s="13">
        <v>59</v>
      </c>
      <c r="F44" s="12" t="s">
        <v>260</v>
      </c>
      <c r="G44" s="12" t="s">
        <v>159</v>
      </c>
      <c r="H44" s="15">
        <v>290500</v>
      </c>
      <c r="I44" s="13">
        <v>60</v>
      </c>
      <c r="K44" s="12" t="s">
        <v>261</v>
      </c>
      <c r="L44" s="12" t="s">
        <v>157</v>
      </c>
      <c r="M44" s="15">
        <v>176589</v>
      </c>
      <c r="N44" s="13">
        <v>55</v>
      </c>
    </row>
    <row r="45" spans="1:14">
      <c r="A45" s="12" t="s">
        <v>262</v>
      </c>
      <c r="B45" s="12" t="s">
        <v>157</v>
      </c>
      <c r="C45" s="15">
        <v>140891</v>
      </c>
      <c r="D45" s="13">
        <v>59</v>
      </c>
      <c r="F45" s="12" t="s">
        <v>263</v>
      </c>
      <c r="G45" s="12" t="s">
        <v>157</v>
      </c>
      <c r="H45" s="15">
        <v>431220</v>
      </c>
      <c r="I45" s="13">
        <v>60</v>
      </c>
      <c r="K45" s="12" t="s">
        <v>264</v>
      </c>
      <c r="L45" s="12" t="s">
        <v>157</v>
      </c>
      <c r="M45" s="15">
        <v>944128</v>
      </c>
      <c r="N45" s="13">
        <v>55</v>
      </c>
    </row>
    <row r="46" spans="1:14">
      <c r="A46" s="12" t="s">
        <v>265</v>
      </c>
      <c r="B46" s="12" t="s">
        <v>157</v>
      </c>
      <c r="C46" s="15">
        <v>57800</v>
      </c>
      <c r="D46" s="13">
        <v>59</v>
      </c>
      <c r="F46" s="12" t="s">
        <v>266</v>
      </c>
      <c r="G46" s="12" t="s">
        <v>159</v>
      </c>
      <c r="H46" s="15">
        <v>5800000</v>
      </c>
      <c r="I46" s="13">
        <v>60</v>
      </c>
      <c r="K46" s="12" t="s">
        <v>267</v>
      </c>
      <c r="L46" s="12" t="s">
        <v>157</v>
      </c>
      <c r="M46" s="15">
        <v>388946</v>
      </c>
      <c r="N46" s="13">
        <v>55</v>
      </c>
    </row>
    <row r="47" spans="1:14">
      <c r="A47" s="12" t="s">
        <v>268</v>
      </c>
      <c r="B47" s="12" t="s">
        <v>157</v>
      </c>
      <c r="C47" s="15">
        <v>364007</v>
      </c>
      <c r="D47" s="13">
        <v>59</v>
      </c>
      <c r="F47" s="12" t="s">
        <v>269</v>
      </c>
      <c r="G47" s="12" t="s">
        <v>159</v>
      </c>
      <c r="H47" s="15">
        <v>913900</v>
      </c>
      <c r="I47" s="13">
        <v>60</v>
      </c>
      <c r="K47" s="12" t="s">
        <v>270</v>
      </c>
      <c r="L47" s="12" t="s">
        <v>157</v>
      </c>
      <c r="M47" s="15">
        <v>2193158</v>
      </c>
      <c r="N47" s="13">
        <v>55</v>
      </c>
    </row>
    <row r="48" spans="1:14">
      <c r="A48" s="12" t="s">
        <v>271</v>
      </c>
      <c r="B48" s="12" t="s">
        <v>157</v>
      </c>
      <c r="C48" s="15">
        <v>42486</v>
      </c>
      <c r="D48" s="13">
        <v>59</v>
      </c>
      <c r="F48" s="12" t="s">
        <v>272</v>
      </c>
      <c r="G48" s="12" t="s">
        <v>159</v>
      </c>
      <c r="H48" s="15">
        <v>1600000</v>
      </c>
      <c r="I48" s="13">
        <v>60</v>
      </c>
      <c r="K48" s="12" t="s">
        <v>273</v>
      </c>
      <c r="L48" s="12" t="s">
        <v>157</v>
      </c>
      <c r="M48" s="15">
        <v>702968</v>
      </c>
      <c r="N48" s="13">
        <v>55</v>
      </c>
    </row>
    <row r="49" spans="1:14">
      <c r="A49" s="12" t="s">
        <v>274</v>
      </c>
      <c r="B49" s="12" t="s">
        <v>157</v>
      </c>
      <c r="C49" s="15">
        <v>49994</v>
      </c>
      <c r="D49" s="13">
        <v>59</v>
      </c>
      <c r="F49" s="12" t="s">
        <v>275</v>
      </c>
      <c r="G49" s="12" t="s">
        <v>159</v>
      </c>
      <c r="H49" s="15">
        <v>2000000</v>
      </c>
      <c r="I49" s="13">
        <v>60</v>
      </c>
      <c r="K49" s="12" t="s">
        <v>276</v>
      </c>
      <c r="L49" s="12" t="s">
        <v>157</v>
      </c>
      <c r="M49" s="15">
        <v>277700</v>
      </c>
      <c r="N49" s="13">
        <v>55</v>
      </c>
    </row>
    <row r="50" spans="1:14">
      <c r="A50" s="12" t="s">
        <v>277</v>
      </c>
      <c r="B50" s="12" t="s">
        <v>157</v>
      </c>
      <c r="C50" s="15">
        <v>103627</v>
      </c>
      <c r="D50" s="13">
        <v>59</v>
      </c>
      <c r="F50" s="12" t="s">
        <v>278</v>
      </c>
      <c r="G50" s="12" t="s">
        <v>159</v>
      </c>
      <c r="H50" s="15">
        <v>5300000</v>
      </c>
      <c r="I50" s="13">
        <v>60</v>
      </c>
      <c r="K50" s="12" t="s">
        <v>279</v>
      </c>
      <c r="L50" s="12" t="s">
        <v>157</v>
      </c>
      <c r="M50" s="15">
        <v>37961844</v>
      </c>
      <c r="N50" s="13">
        <v>55</v>
      </c>
    </row>
    <row r="51" spans="1:14">
      <c r="A51" s="12" t="s">
        <v>280</v>
      </c>
      <c r="B51" s="12" t="s">
        <v>157</v>
      </c>
      <c r="C51" s="15">
        <v>83341</v>
      </c>
      <c r="D51" s="13">
        <v>59</v>
      </c>
      <c r="F51" s="12" t="s">
        <v>281</v>
      </c>
      <c r="G51" s="12" t="s">
        <v>159</v>
      </c>
      <c r="H51" s="15">
        <v>3100000</v>
      </c>
      <c r="I51" s="13">
        <v>60</v>
      </c>
      <c r="K51" s="12" t="s">
        <v>282</v>
      </c>
      <c r="L51" s="12" t="s">
        <v>157</v>
      </c>
      <c r="M51" s="15">
        <v>407214</v>
      </c>
      <c r="N51" s="13">
        <v>55</v>
      </c>
    </row>
    <row r="52" spans="1:14">
      <c r="A52" s="12" t="s">
        <v>279</v>
      </c>
      <c r="B52" s="12" t="s">
        <v>157</v>
      </c>
      <c r="C52" s="15">
        <v>37961844</v>
      </c>
      <c r="D52" s="13">
        <v>59</v>
      </c>
      <c r="F52" s="12" t="s">
        <v>283</v>
      </c>
      <c r="G52" s="12" t="s">
        <v>159</v>
      </c>
      <c r="H52" s="15">
        <v>10000000</v>
      </c>
      <c r="I52" s="13">
        <v>60</v>
      </c>
      <c r="K52" s="12" t="s">
        <v>284</v>
      </c>
      <c r="L52" s="12" t="s">
        <v>157</v>
      </c>
      <c r="M52" s="15">
        <v>140856</v>
      </c>
      <c r="N52" s="13">
        <v>55</v>
      </c>
    </row>
    <row r="53" spans="1:14">
      <c r="A53" s="12" t="s">
        <v>285</v>
      </c>
      <c r="B53" s="12" t="s">
        <v>157</v>
      </c>
      <c r="C53" s="15">
        <v>48643</v>
      </c>
      <c r="D53" s="13">
        <v>59</v>
      </c>
      <c r="F53" s="12" t="s">
        <v>286</v>
      </c>
      <c r="G53" s="12" t="s">
        <v>159</v>
      </c>
      <c r="H53" s="15">
        <v>1100000</v>
      </c>
      <c r="I53" s="13">
        <v>60</v>
      </c>
      <c r="K53" s="12" t="s">
        <v>287</v>
      </c>
      <c r="L53" s="12" t="s">
        <v>157</v>
      </c>
      <c r="M53" s="15">
        <v>269287</v>
      </c>
      <c r="N53" s="13">
        <v>55</v>
      </c>
    </row>
    <row r="54" spans="1:14">
      <c r="A54" s="12" t="s">
        <v>288</v>
      </c>
      <c r="B54" s="12" t="s">
        <v>157</v>
      </c>
      <c r="C54" s="15">
        <v>50202</v>
      </c>
      <c r="D54" s="13">
        <v>59</v>
      </c>
      <c r="F54" s="12" t="s">
        <v>234</v>
      </c>
      <c r="G54" s="12" t="s">
        <v>157</v>
      </c>
      <c r="H54" s="15">
        <v>110416</v>
      </c>
      <c r="I54" s="13">
        <v>60</v>
      </c>
      <c r="K54" s="12" t="s">
        <v>289</v>
      </c>
      <c r="L54" s="12" t="s">
        <v>157</v>
      </c>
      <c r="M54" s="15">
        <v>535394</v>
      </c>
      <c r="N54" s="13">
        <v>55</v>
      </c>
    </row>
    <row r="55" spans="1:14">
      <c r="A55" s="12" t="s">
        <v>290</v>
      </c>
      <c r="B55" s="12" t="s">
        <v>157</v>
      </c>
      <c r="C55" s="15">
        <v>125880</v>
      </c>
      <c r="D55" s="13">
        <v>59</v>
      </c>
      <c r="F55" s="12" t="s">
        <v>291</v>
      </c>
      <c r="G55" s="12" t="s">
        <v>159</v>
      </c>
      <c r="H55" s="15">
        <v>1300000</v>
      </c>
      <c r="I55" s="13">
        <v>60</v>
      </c>
      <c r="K55" s="12" t="s">
        <v>292</v>
      </c>
      <c r="L55" s="12" t="s">
        <v>157</v>
      </c>
      <c r="M55" s="15">
        <v>101667</v>
      </c>
      <c r="N55" s="13">
        <v>55</v>
      </c>
    </row>
    <row r="56" spans="1:14">
      <c r="A56" s="12" t="s">
        <v>293</v>
      </c>
      <c r="B56" s="12" t="s">
        <v>157</v>
      </c>
      <c r="C56" s="15">
        <v>142611</v>
      </c>
      <c r="D56" s="13">
        <v>59</v>
      </c>
      <c r="F56" s="12" t="s">
        <v>294</v>
      </c>
      <c r="G56" s="12" t="s">
        <v>159</v>
      </c>
      <c r="H56" s="15">
        <v>1400000</v>
      </c>
      <c r="I56" s="13">
        <v>60</v>
      </c>
      <c r="K56" s="12" t="s">
        <v>295</v>
      </c>
      <c r="L56" s="12" t="s">
        <v>157</v>
      </c>
      <c r="M56" s="15">
        <v>533278</v>
      </c>
      <c r="N56" s="13">
        <v>55</v>
      </c>
    </row>
    <row r="57" spans="1:14">
      <c r="A57" s="12" t="s">
        <v>296</v>
      </c>
      <c r="B57" s="12" t="s">
        <v>157</v>
      </c>
      <c r="C57" s="15">
        <v>45326</v>
      </c>
      <c r="D57" s="13">
        <v>59</v>
      </c>
      <c r="F57" s="12" t="s">
        <v>297</v>
      </c>
      <c r="G57" s="12" t="s">
        <v>159</v>
      </c>
      <c r="H57" s="15">
        <v>1800000</v>
      </c>
      <c r="I57" s="13">
        <v>60</v>
      </c>
      <c r="K57" s="12" t="s">
        <v>298</v>
      </c>
      <c r="L57" s="12" t="s">
        <v>157</v>
      </c>
      <c r="M57" s="15">
        <v>125059</v>
      </c>
      <c r="N57" s="13">
        <v>55</v>
      </c>
    </row>
    <row r="58" spans="1:14">
      <c r="A58" s="12" t="s">
        <v>299</v>
      </c>
      <c r="B58" s="12" t="s">
        <v>157</v>
      </c>
      <c r="C58" s="15">
        <v>12193</v>
      </c>
      <c r="D58" s="13">
        <v>58</v>
      </c>
      <c r="F58" s="12" t="s">
        <v>300</v>
      </c>
      <c r="G58" s="12" t="s">
        <v>159</v>
      </c>
      <c r="H58" s="15">
        <v>2800000</v>
      </c>
      <c r="I58" s="13">
        <v>60</v>
      </c>
      <c r="K58" s="12" t="s">
        <v>301</v>
      </c>
      <c r="L58" s="12" t="s">
        <v>157</v>
      </c>
      <c r="M58" s="15">
        <v>239031</v>
      </c>
      <c r="N58" s="13">
        <v>55</v>
      </c>
    </row>
    <row r="59" spans="1:14">
      <c r="A59" s="12" t="s">
        <v>302</v>
      </c>
      <c r="B59" s="12" t="s">
        <v>157</v>
      </c>
      <c r="C59" s="15">
        <v>16494</v>
      </c>
      <c r="D59" s="13">
        <v>58</v>
      </c>
      <c r="F59" s="12" t="s">
        <v>303</v>
      </c>
      <c r="G59" s="12" t="s">
        <v>159</v>
      </c>
      <c r="H59" s="15">
        <v>610700</v>
      </c>
      <c r="I59" s="13">
        <v>60</v>
      </c>
      <c r="K59" s="12" t="s">
        <v>304</v>
      </c>
      <c r="L59" s="12" t="s">
        <v>157</v>
      </c>
      <c r="M59" s="15">
        <v>605620</v>
      </c>
      <c r="N59" s="13">
        <v>55</v>
      </c>
    </row>
    <row r="60" spans="1:14">
      <c r="A60" s="12" t="s">
        <v>305</v>
      </c>
      <c r="B60" s="12" t="s">
        <v>157</v>
      </c>
      <c r="C60" s="15">
        <v>12443</v>
      </c>
      <c r="D60" s="13">
        <v>58</v>
      </c>
      <c r="F60" s="12" t="s">
        <v>306</v>
      </c>
      <c r="G60" s="12" t="s">
        <v>159</v>
      </c>
      <c r="H60" s="15">
        <v>536400</v>
      </c>
      <c r="I60" s="13">
        <v>60</v>
      </c>
      <c r="K60" s="12" t="s">
        <v>307</v>
      </c>
      <c r="L60" s="12" t="s">
        <v>157</v>
      </c>
      <c r="M60" s="15">
        <v>344550</v>
      </c>
      <c r="N60" s="13">
        <v>55</v>
      </c>
    </row>
    <row r="61" spans="1:14">
      <c r="A61" s="12" t="s">
        <v>308</v>
      </c>
      <c r="B61" s="12" t="s">
        <v>157</v>
      </c>
      <c r="C61" s="15">
        <v>24809</v>
      </c>
      <c r="D61" s="13">
        <v>58</v>
      </c>
      <c r="F61" s="12" t="s">
        <v>309</v>
      </c>
      <c r="G61" s="12" t="s">
        <v>159</v>
      </c>
      <c r="H61" s="15">
        <v>6000000</v>
      </c>
      <c r="I61" s="13">
        <v>60</v>
      </c>
      <c r="K61" s="12" t="s">
        <v>310</v>
      </c>
      <c r="L61" s="12" t="s">
        <v>157</v>
      </c>
      <c r="M61" s="15">
        <v>102105</v>
      </c>
      <c r="N61" s="13">
        <v>55</v>
      </c>
    </row>
    <row r="62" spans="1:14">
      <c r="A62" s="12" t="s">
        <v>311</v>
      </c>
      <c r="B62" s="12" t="s">
        <v>157</v>
      </c>
      <c r="C62" s="15">
        <v>12499</v>
      </c>
      <c r="D62" s="13">
        <v>58</v>
      </c>
      <c r="F62" s="12" t="s">
        <v>312</v>
      </c>
      <c r="G62" s="12" t="s">
        <v>157</v>
      </c>
      <c r="H62" s="15">
        <v>124953</v>
      </c>
      <c r="I62" s="13">
        <v>60</v>
      </c>
      <c r="K62" s="12" t="s">
        <v>313</v>
      </c>
      <c r="L62" s="12" t="s">
        <v>157</v>
      </c>
      <c r="M62" s="15">
        <v>181496</v>
      </c>
      <c r="N62" s="13">
        <v>55</v>
      </c>
    </row>
    <row r="63" spans="1:14">
      <c r="A63" s="12" t="s">
        <v>314</v>
      </c>
      <c r="B63" s="12" t="s">
        <v>157</v>
      </c>
      <c r="C63" s="15">
        <v>11593</v>
      </c>
      <c r="D63" s="13">
        <v>58</v>
      </c>
      <c r="F63" s="12" t="s">
        <v>315</v>
      </c>
      <c r="G63" s="12" t="s">
        <v>159</v>
      </c>
      <c r="H63" s="15">
        <v>1700000</v>
      </c>
      <c r="I63" s="13">
        <v>60</v>
      </c>
      <c r="K63" s="12" t="s">
        <v>316</v>
      </c>
      <c r="L63" s="12" t="s">
        <v>157</v>
      </c>
      <c r="M63" s="15">
        <v>333058</v>
      </c>
      <c r="N63" s="13">
        <v>55</v>
      </c>
    </row>
    <row r="64" spans="1:14">
      <c r="A64" s="12" t="s">
        <v>317</v>
      </c>
      <c r="B64" s="12" t="s">
        <v>157</v>
      </c>
      <c r="C64" s="15">
        <v>30477</v>
      </c>
      <c r="D64" s="13">
        <v>58</v>
      </c>
      <c r="F64" s="12" t="s">
        <v>318</v>
      </c>
      <c r="G64" s="12" t="s">
        <v>159</v>
      </c>
      <c r="H64" s="15">
        <v>2800000</v>
      </c>
      <c r="I64" s="13">
        <v>60</v>
      </c>
      <c r="K64" s="12" t="s">
        <v>319</v>
      </c>
      <c r="L64" s="12" t="s">
        <v>157</v>
      </c>
      <c r="M64" s="15">
        <v>155964</v>
      </c>
      <c r="N64" s="13">
        <v>55</v>
      </c>
    </row>
    <row r="65" spans="1:14">
      <c r="A65" s="12" t="s">
        <v>320</v>
      </c>
      <c r="B65" s="12" t="s">
        <v>157</v>
      </c>
      <c r="C65" s="15">
        <v>12537</v>
      </c>
      <c r="D65" s="13">
        <v>58</v>
      </c>
      <c r="F65" s="12" t="s">
        <v>321</v>
      </c>
      <c r="G65" s="12" t="s">
        <v>159</v>
      </c>
      <c r="H65" s="15">
        <v>4100000</v>
      </c>
      <c r="I65" s="13">
        <v>60</v>
      </c>
      <c r="K65" s="12" t="s">
        <v>322</v>
      </c>
      <c r="L65" s="12" t="s">
        <v>157</v>
      </c>
      <c r="M65" s="15">
        <v>75052814</v>
      </c>
      <c r="N65" s="13">
        <v>55</v>
      </c>
    </row>
    <row r="66" spans="1:14">
      <c r="A66" s="12" t="s">
        <v>323</v>
      </c>
      <c r="B66" s="12" t="s">
        <v>157</v>
      </c>
      <c r="C66" s="15">
        <v>12327</v>
      </c>
      <c r="D66" s="13">
        <v>58</v>
      </c>
      <c r="F66" s="12" t="s">
        <v>324</v>
      </c>
      <c r="G66" s="12" t="s">
        <v>159</v>
      </c>
      <c r="H66" s="15">
        <v>461500</v>
      </c>
      <c r="I66" s="13">
        <v>60</v>
      </c>
      <c r="K66" s="12" t="s">
        <v>325</v>
      </c>
      <c r="L66" s="12" t="s">
        <v>157</v>
      </c>
      <c r="M66" s="15">
        <v>2226091</v>
      </c>
      <c r="N66" s="13">
        <v>55</v>
      </c>
    </row>
    <row r="67" spans="1:14">
      <c r="A67" s="12" t="s">
        <v>326</v>
      </c>
      <c r="B67" s="12" t="s">
        <v>157</v>
      </c>
      <c r="C67" s="15">
        <v>18038</v>
      </c>
      <c r="D67" s="13">
        <v>58</v>
      </c>
      <c r="F67" s="12" t="s">
        <v>237</v>
      </c>
      <c r="G67" s="12" t="s">
        <v>157</v>
      </c>
      <c r="H67" s="15">
        <v>1406645</v>
      </c>
      <c r="I67" s="13">
        <v>60</v>
      </c>
      <c r="K67" s="12" t="s">
        <v>327</v>
      </c>
      <c r="L67" s="12" t="s">
        <v>157</v>
      </c>
      <c r="M67" s="15">
        <v>821693</v>
      </c>
      <c r="N67" s="13">
        <v>55</v>
      </c>
    </row>
    <row r="68" spans="1:14">
      <c r="A68" s="12" t="s">
        <v>328</v>
      </c>
      <c r="B68" s="12" t="s">
        <v>157</v>
      </c>
      <c r="C68" s="15">
        <v>16032</v>
      </c>
      <c r="D68" s="13">
        <v>58</v>
      </c>
      <c r="F68" s="12" t="s">
        <v>329</v>
      </c>
      <c r="G68" s="12" t="s">
        <v>159</v>
      </c>
      <c r="H68" s="15">
        <v>1100000</v>
      </c>
      <c r="I68" s="13">
        <v>60</v>
      </c>
      <c r="K68" s="12" t="s">
        <v>330</v>
      </c>
      <c r="L68" s="12" t="s">
        <v>159</v>
      </c>
      <c r="M68" s="15">
        <v>3400000</v>
      </c>
      <c r="N68" s="13">
        <v>55</v>
      </c>
    </row>
    <row r="69" spans="1:14">
      <c r="A69" s="12" t="s">
        <v>331</v>
      </c>
      <c r="B69" s="12" t="s">
        <v>157</v>
      </c>
      <c r="C69" s="15">
        <v>13716</v>
      </c>
      <c r="D69" s="13">
        <v>58</v>
      </c>
      <c r="F69" s="12" t="s">
        <v>332</v>
      </c>
      <c r="G69" s="12" t="s">
        <v>159</v>
      </c>
      <c r="H69" s="15">
        <v>3500000</v>
      </c>
      <c r="I69" s="13">
        <v>60</v>
      </c>
      <c r="K69" s="12" t="s">
        <v>333</v>
      </c>
      <c r="L69" s="12" t="s">
        <v>157</v>
      </c>
      <c r="M69" s="15">
        <v>2001469</v>
      </c>
      <c r="N69" s="13">
        <v>55</v>
      </c>
    </row>
    <row r="70" spans="1:14">
      <c r="A70" s="12" t="s">
        <v>334</v>
      </c>
      <c r="B70" s="12" t="s">
        <v>157</v>
      </c>
      <c r="C70" s="15">
        <v>12379</v>
      </c>
      <c r="D70" s="13">
        <v>58</v>
      </c>
      <c r="F70" s="12" t="s">
        <v>335</v>
      </c>
      <c r="G70" s="12" t="s">
        <v>159</v>
      </c>
      <c r="H70" s="15">
        <v>406100</v>
      </c>
      <c r="I70" s="13">
        <v>60</v>
      </c>
      <c r="K70" s="12" t="s">
        <v>336</v>
      </c>
      <c r="L70" s="12" t="s">
        <v>157</v>
      </c>
      <c r="M70" s="15">
        <v>160752</v>
      </c>
      <c r="N70" s="13">
        <v>55</v>
      </c>
    </row>
    <row r="71" spans="1:14">
      <c r="A71" s="12" t="s">
        <v>337</v>
      </c>
      <c r="B71" s="12" t="s">
        <v>157</v>
      </c>
      <c r="C71" s="15">
        <v>17047</v>
      </c>
      <c r="D71" s="13">
        <v>58</v>
      </c>
      <c r="F71" s="12" t="s">
        <v>338</v>
      </c>
      <c r="G71" s="12" t="s">
        <v>159</v>
      </c>
      <c r="H71" s="15">
        <v>1100000</v>
      </c>
      <c r="I71" s="13">
        <v>60</v>
      </c>
      <c r="K71" s="12" t="s">
        <v>339</v>
      </c>
      <c r="L71" s="12" t="s">
        <v>157</v>
      </c>
      <c r="M71" s="15">
        <v>152347</v>
      </c>
      <c r="N71" s="13">
        <v>55</v>
      </c>
    </row>
    <row r="72" spans="1:14">
      <c r="A72" s="12" t="s">
        <v>340</v>
      </c>
      <c r="B72" s="12" t="s">
        <v>157</v>
      </c>
      <c r="C72" s="15">
        <v>10711</v>
      </c>
      <c r="D72" s="13">
        <v>58</v>
      </c>
      <c r="F72" s="12" t="s">
        <v>341</v>
      </c>
      <c r="G72" s="12" t="s">
        <v>159</v>
      </c>
      <c r="H72" s="15">
        <v>2700000</v>
      </c>
      <c r="I72" s="13">
        <v>60</v>
      </c>
      <c r="K72" s="12" t="s">
        <v>342</v>
      </c>
      <c r="L72" s="12" t="s">
        <v>157</v>
      </c>
      <c r="M72" s="15">
        <v>242430</v>
      </c>
      <c r="N72" s="13">
        <v>55</v>
      </c>
    </row>
    <row r="73" spans="1:14">
      <c r="A73" s="12" t="s">
        <v>343</v>
      </c>
      <c r="B73" s="12" t="s">
        <v>157</v>
      </c>
      <c r="C73" s="15">
        <v>13969</v>
      </c>
      <c r="D73" s="13">
        <v>58</v>
      </c>
      <c r="F73" s="12" t="s">
        <v>344</v>
      </c>
      <c r="G73" s="12" t="s">
        <v>159</v>
      </c>
      <c r="H73" s="15">
        <v>3300000</v>
      </c>
      <c r="I73" s="13">
        <v>60</v>
      </c>
      <c r="K73" s="12" t="s">
        <v>345</v>
      </c>
      <c r="L73" s="12" t="s">
        <v>157</v>
      </c>
      <c r="M73" s="15">
        <v>103553</v>
      </c>
      <c r="N73" s="13">
        <v>55</v>
      </c>
    </row>
    <row r="74" spans="1:14">
      <c r="A74" s="12" t="s">
        <v>346</v>
      </c>
      <c r="B74" s="12" t="s">
        <v>157</v>
      </c>
      <c r="C74" s="15">
        <v>23298</v>
      </c>
      <c r="D74" s="13">
        <v>58</v>
      </c>
      <c r="F74" s="12" t="s">
        <v>347</v>
      </c>
      <c r="G74" s="12" t="s">
        <v>159</v>
      </c>
      <c r="H74" s="15">
        <v>2000000</v>
      </c>
      <c r="I74" s="13">
        <v>60</v>
      </c>
      <c r="K74" s="12" t="s">
        <v>348</v>
      </c>
      <c r="L74" s="12" t="s">
        <v>157</v>
      </c>
      <c r="M74" s="15">
        <v>1043120</v>
      </c>
      <c r="N74" s="13">
        <v>55</v>
      </c>
    </row>
    <row r="75" spans="1:14">
      <c r="A75" s="12" t="s">
        <v>349</v>
      </c>
      <c r="B75" s="12" t="s">
        <v>157</v>
      </c>
      <c r="C75" s="15">
        <v>18147</v>
      </c>
      <c r="D75" s="13">
        <v>58</v>
      </c>
      <c r="F75" s="12" t="s">
        <v>242</v>
      </c>
      <c r="G75" s="12" t="s">
        <v>157</v>
      </c>
      <c r="H75" s="15">
        <v>1436816</v>
      </c>
      <c r="I75" s="13">
        <v>60</v>
      </c>
      <c r="K75" s="12" t="s">
        <v>350</v>
      </c>
      <c r="L75" s="12" t="s">
        <v>157</v>
      </c>
      <c r="M75" s="15">
        <v>108601</v>
      </c>
      <c r="N75" s="13">
        <v>55</v>
      </c>
    </row>
    <row r="76" spans="1:14">
      <c r="A76" s="12" t="s">
        <v>351</v>
      </c>
      <c r="B76" s="12" t="s">
        <v>157</v>
      </c>
      <c r="C76" s="15">
        <v>10785</v>
      </c>
      <c r="D76" s="13">
        <v>58</v>
      </c>
      <c r="F76" s="12" t="s">
        <v>352</v>
      </c>
      <c r="G76" s="12" t="s">
        <v>159</v>
      </c>
      <c r="H76" s="15">
        <v>8400000</v>
      </c>
      <c r="I76" s="13">
        <v>60</v>
      </c>
      <c r="K76" s="12" t="s">
        <v>353</v>
      </c>
      <c r="L76" s="12" t="s">
        <v>157</v>
      </c>
      <c r="M76" s="15">
        <v>271556</v>
      </c>
      <c r="N76" s="13">
        <v>55</v>
      </c>
    </row>
    <row r="77" spans="1:14">
      <c r="A77" s="12" t="s">
        <v>354</v>
      </c>
      <c r="B77" s="12" t="s">
        <v>157</v>
      </c>
      <c r="C77" s="15">
        <v>24336</v>
      </c>
      <c r="D77" s="13">
        <v>58</v>
      </c>
      <c r="F77" s="12" t="s">
        <v>355</v>
      </c>
      <c r="G77" s="12" t="s">
        <v>159</v>
      </c>
      <c r="H77" s="15">
        <v>3000000</v>
      </c>
      <c r="I77" s="13">
        <v>60</v>
      </c>
      <c r="K77" s="12" t="s">
        <v>356</v>
      </c>
      <c r="L77" s="12" t="s">
        <v>157</v>
      </c>
      <c r="M77" s="15">
        <v>409089</v>
      </c>
      <c r="N77" s="13">
        <v>55</v>
      </c>
    </row>
    <row r="78" spans="1:14">
      <c r="A78" s="12" t="s">
        <v>357</v>
      </c>
      <c r="B78" s="12" t="s">
        <v>157</v>
      </c>
      <c r="C78" s="15">
        <v>10089</v>
      </c>
      <c r="D78" s="13">
        <v>58</v>
      </c>
      <c r="F78" s="12" t="s">
        <v>245</v>
      </c>
      <c r="G78" s="12" t="s">
        <v>157</v>
      </c>
      <c r="H78" s="15">
        <v>118133</v>
      </c>
      <c r="I78" s="13">
        <v>60</v>
      </c>
      <c r="K78" s="12" t="s">
        <v>358</v>
      </c>
      <c r="L78" s="12" t="s">
        <v>157</v>
      </c>
      <c r="M78" s="15">
        <v>352818</v>
      </c>
      <c r="N78" s="13">
        <v>55</v>
      </c>
    </row>
    <row r="79" spans="1:14">
      <c r="A79" s="12" t="s">
        <v>359</v>
      </c>
      <c r="B79" s="12" t="s">
        <v>157</v>
      </c>
      <c r="C79" s="15">
        <v>47138</v>
      </c>
      <c r="D79" s="13">
        <v>58</v>
      </c>
      <c r="F79" s="12" t="s">
        <v>247</v>
      </c>
      <c r="G79" s="12" t="s">
        <v>157</v>
      </c>
      <c r="H79" s="15">
        <v>488918</v>
      </c>
      <c r="I79" s="13">
        <v>60</v>
      </c>
      <c r="K79" s="12" t="s">
        <v>360</v>
      </c>
      <c r="L79" s="12" t="s">
        <v>157</v>
      </c>
      <c r="M79" s="15">
        <v>1021293</v>
      </c>
      <c r="N79" s="13">
        <v>55</v>
      </c>
    </row>
    <row r="80" spans="1:14">
      <c r="A80" s="12" t="s">
        <v>361</v>
      </c>
      <c r="B80" s="12" t="s">
        <v>157</v>
      </c>
      <c r="C80" s="15">
        <v>21665</v>
      </c>
      <c r="D80" s="13">
        <v>58</v>
      </c>
      <c r="F80" s="12" t="s">
        <v>362</v>
      </c>
      <c r="G80" s="12" t="s">
        <v>159</v>
      </c>
      <c r="H80" s="15">
        <v>1000000</v>
      </c>
      <c r="I80" s="13">
        <v>60</v>
      </c>
      <c r="K80" s="12" t="s">
        <v>363</v>
      </c>
      <c r="L80" s="12" t="s">
        <v>157</v>
      </c>
      <c r="M80" s="15">
        <v>2236355</v>
      </c>
      <c r="N80" s="13">
        <v>55</v>
      </c>
    </row>
    <row r="81" spans="1:14">
      <c r="A81" s="12" t="s">
        <v>364</v>
      </c>
      <c r="B81" s="12" t="s">
        <v>157</v>
      </c>
      <c r="C81" s="15">
        <v>27603</v>
      </c>
      <c r="D81" s="13">
        <v>58</v>
      </c>
      <c r="F81" s="12" t="s">
        <v>365</v>
      </c>
      <c r="G81" s="12" t="s">
        <v>159</v>
      </c>
      <c r="H81" s="15">
        <v>1700000</v>
      </c>
      <c r="I81" s="13">
        <v>60</v>
      </c>
      <c r="K81" s="12" t="s">
        <v>366</v>
      </c>
      <c r="L81" s="12" t="s">
        <v>157</v>
      </c>
      <c r="M81" s="15">
        <v>484039</v>
      </c>
      <c r="N81" s="13">
        <v>55</v>
      </c>
    </row>
    <row r="82" spans="1:14">
      <c r="A82" s="12" t="s">
        <v>367</v>
      </c>
      <c r="B82" s="12" t="s">
        <v>157</v>
      </c>
      <c r="C82" s="15">
        <v>12317</v>
      </c>
      <c r="D82" s="13">
        <v>58</v>
      </c>
      <c r="F82" s="12" t="s">
        <v>368</v>
      </c>
      <c r="G82" s="12" t="s">
        <v>159</v>
      </c>
      <c r="H82" s="15">
        <v>2700000</v>
      </c>
      <c r="I82" s="13">
        <v>60</v>
      </c>
      <c r="K82" s="12" t="s">
        <v>369</v>
      </c>
      <c r="L82" s="12" t="s">
        <v>157</v>
      </c>
      <c r="M82" s="15">
        <v>281002</v>
      </c>
      <c r="N82" s="13">
        <v>55</v>
      </c>
    </row>
    <row r="83" spans="1:14">
      <c r="A83" s="12" t="s">
        <v>370</v>
      </c>
      <c r="B83" s="12" t="s">
        <v>157</v>
      </c>
      <c r="C83" s="15">
        <v>33415</v>
      </c>
      <c r="D83" s="13">
        <v>58</v>
      </c>
      <c r="F83" s="12" t="s">
        <v>371</v>
      </c>
      <c r="G83" s="12" t="s">
        <v>159</v>
      </c>
      <c r="H83" s="15">
        <v>3400000</v>
      </c>
      <c r="I83" s="13">
        <v>60</v>
      </c>
      <c r="K83" s="12" t="s">
        <v>372</v>
      </c>
      <c r="L83" s="12" t="s">
        <v>157</v>
      </c>
      <c r="M83" s="15">
        <v>396396</v>
      </c>
      <c r="N83" s="13">
        <v>55</v>
      </c>
    </row>
    <row r="84" spans="1:14">
      <c r="A84" s="12" t="s">
        <v>373</v>
      </c>
      <c r="B84" s="12" t="s">
        <v>157</v>
      </c>
      <c r="C84" s="15">
        <v>113921</v>
      </c>
      <c r="D84" s="13">
        <v>58</v>
      </c>
      <c r="F84" s="12" t="s">
        <v>374</v>
      </c>
      <c r="G84" s="12" t="s">
        <v>159</v>
      </c>
      <c r="H84" s="15">
        <v>1600000</v>
      </c>
      <c r="I84" s="13">
        <v>60</v>
      </c>
      <c r="K84" s="12" t="s">
        <v>375</v>
      </c>
      <c r="L84" s="12" t="s">
        <v>157</v>
      </c>
      <c r="M84" s="15">
        <v>123213</v>
      </c>
      <c r="N84" s="13">
        <v>55</v>
      </c>
    </row>
    <row r="85" spans="1:14">
      <c r="A85" s="12" t="s">
        <v>376</v>
      </c>
      <c r="B85" s="12" t="s">
        <v>157</v>
      </c>
      <c r="C85" s="15">
        <v>1047948</v>
      </c>
      <c r="D85" s="13">
        <v>58</v>
      </c>
      <c r="F85" s="12" t="s">
        <v>377</v>
      </c>
      <c r="G85" s="12" t="s">
        <v>159</v>
      </c>
      <c r="H85" s="15">
        <v>2045399</v>
      </c>
      <c r="I85" s="13">
        <v>60</v>
      </c>
      <c r="K85" s="12" t="s">
        <v>378</v>
      </c>
      <c r="L85" s="12" t="s">
        <v>157</v>
      </c>
      <c r="M85" s="15">
        <v>524904</v>
      </c>
      <c r="N85" s="13">
        <v>55</v>
      </c>
    </row>
    <row r="86" spans="1:14">
      <c r="A86" s="12" t="s">
        <v>379</v>
      </c>
      <c r="B86" s="12" t="s">
        <v>157</v>
      </c>
      <c r="C86" s="15">
        <v>20017</v>
      </c>
      <c r="D86" s="13">
        <v>58</v>
      </c>
      <c r="F86" s="12" t="s">
        <v>380</v>
      </c>
      <c r="G86" s="12" t="s">
        <v>159</v>
      </c>
      <c r="H86" s="15">
        <v>3400000</v>
      </c>
      <c r="I86" s="13">
        <v>60</v>
      </c>
      <c r="K86" s="12" t="s">
        <v>381</v>
      </c>
      <c r="L86" s="12" t="s">
        <v>157</v>
      </c>
      <c r="M86" s="15">
        <v>190638</v>
      </c>
      <c r="N86" s="13">
        <v>54</v>
      </c>
    </row>
    <row r="87" spans="1:14">
      <c r="A87" s="12" t="s">
        <v>382</v>
      </c>
      <c r="B87" s="12" t="s">
        <v>157</v>
      </c>
      <c r="C87" s="15">
        <v>19849</v>
      </c>
      <c r="D87" s="13">
        <v>58</v>
      </c>
      <c r="F87" s="12" t="s">
        <v>383</v>
      </c>
      <c r="G87" s="12" t="s">
        <v>159</v>
      </c>
      <c r="H87" s="15">
        <v>579900</v>
      </c>
      <c r="I87" s="13">
        <v>60</v>
      </c>
      <c r="K87" s="12" t="s">
        <v>384</v>
      </c>
      <c r="L87" s="12" t="s">
        <v>157</v>
      </c>
      <c r="M87" s="15">
        <v>101015</v>
      </c>
      <c r="N87" s="13">
        <v>54</v>
      </c>
    </row>
    <row r="88" spans="1:14">
      <c r="A88" s="12" t="s">
        <v>385</v>
      </c>
      <c r="B88" s="12" t="s">
        <v>157</v>
      </c>
      <c r="C88" s="15">
        <v>14636</v>
      </c>
      <c r="D88" s="13">
        <v>58</v>
      </c>
      <c r="F88" s="12" t="s">
        <v>386</v>
      </c>
      <c r="G88" s="12" t="s">
        <v>159</v>
      </c>
      <c r="H88" s="15">
        <v>2000000</v>
      </c>
      <c r="I88" s="13">
        <v>60</v>
      </c>
      <c r="K88" s="12" t="s">
        <v>387</v>
      </c>
      <c r="L88" s="12" t="s">
        <v>157</v>
      </c>
      <c r="M88" s="15">
        <v>1883474</v>
      </c>
      <c r="N88" s="13">
        <v>54</v>
      </c>
    </row>
    <row r="89" spans="1:14">
      <c r="A89" s="12" t="s">
        <v>388</v>
      </c>
      <c r="B89" s="12" t="s">
        <v>157</v>
      </c>
      <c r="C89" s="15">
        <v>16933</v>
      </c>
      <c r="D89" s="13">
        <v>58</v>
      </c>
      <c r="F89" s="12" t="s">
        <v>389</v>
      </c>
      <c r="G89" s="12" t="s">
        <v>159</v>
      </c>
      <c r="H89" s="15">
        <v>5696374</v>
      </c>
      <c r="I89" s="13">
        <v>60</v>
      </c>
      <c r="K89" s="12" t="s">
        <v>390</v>
      </c>
      <c r="L89" s="12" t="s">
        <v>157</v>
      </c>
      <c r="M89" s="15">
        <v>535764</v>
      </c>
      <c r="N89" s="13">
        <v>54</v>
      </c>
    </row>
    <row r="90" spans="1:14">
      <c r="A90" s="12" t="s">
        <v>391</v>
      </c>
      <c r="B90" s="12" t="s">
        <v>157</v>
      </c>
      <c r="C90" s="15">
        <v>11078</v>
      </c>
      <c r="D90" s="13">
        <v>58</v>
      </c>
      <c r="F90" s="12" t="s">
        <v>392</v>
      </c>
      <c r="G90" s="12" t="s">
        <v>159</v>
      </c>
      <c r="H90" s="15">
        <v>270000</v>
      </c>
      <c r="I90" s="13">
        <v>60</v>
      </c>
      <c r="K90" s="12" t="s">
        <v>393</v>
      </c>
      <c r="L90" s="12" t="s">
        <v>157</v>
      </c>
      <c r="M90" s="15">
        <v>383298</v>
      </c>
      <c r="N90" s="13">
        <v>54</v>
      </c>
    </row>
    <row r="91" spans="1:14">
      <c r="A91" s="12" t="s">
        <v>394</v>
      </c>
      <c r="B91" s="12" t="s">
        <v>157</v>
      </c>
      <c r="C91" s="15">
        <v>10380</v>
      </c>
      <c r="D91" s="13">
        <v>58</v>
      </c>
      <c r="F91" s="12" t="s">
        <v>395</v>
      </c>
      <c r="G91" s="12" t="s">
        <v>159</v>
      </c>
      <c r="H91" s="15">
        <v>260900</v>
      </c>
      <c r="I91" s="13">
        <v>60</v>
      </c>
      <c r="K91" s="12" t="s">
        <v>396</v>
      </c>
      <c r="L91" s="12" t="s">
        <v>157</v>
      </c>
      <c r="M91" s="15">
        <v>363535</v>
      </c>
      <c r="N91" s="13">
        <v>54</v>
      </c>
    </row>
    <row r="92" spans="1:14">
      <c r="A92" s="12" t="s">
        <v>397</v>
      </c>
      <c r="B92" s="12" t="s">
        <v>157</v>
      </c>
      <c r="C92" s="15">
        <v>17488</v>
      </c>
      <c r="D92" s="13">
        <v>58</v>
      </c>
      <c r="F92" s="12" t="s">
        <v>398</v>
      </c>
      <c r="G92" s="12" t="s">
        <v>159</v>
      </c>
      <c r="H92" s="15">
        <v>1400000</v>
      </c>
      <c r="I92" s="13">
        <v>60</v>
      </c>
      <c r="K92" s="12" t="s">
        <v>399</v>
      </c>
      <c r="L92" s="12" t="s">
        <v>157</v>
      </c>
      <c r="M92" s="15">
        <v>546452</v>
      </c>
      <c r="N92" s="13">
        <v>54</v>
      </c>
    </row>
    <row r="93" spans="1:14">
      <c r="A93" s="12" t="s">
        <v>400</v>
      </c>
      <c r="B93" s="12" t="s">
        <v>157</v>
      </c>
      <c r="C93" s="15">
        <v>33514</v>
      </c>
      <c r="D93" s="13">
        <v>58</v>
      </c>
      <c r="F93" s="12" t="s">
        <v>250</v>
      </c>
      <c r="G93" s="12" t="s">
        <v>157</v>
      </c>
      <c r="H93" s="15">
        <v>43600</v>
      </c>
      <c r="I93" s="13">
        <v>60</v>
      </c>
      <c r="K93" s="12" t="s">
        <v>401</v>
      </c>
      <c r="L93" s="12" t="s">
        <v>157</v>
      </c>
      <c r="M93" s="15">
        <v>2512148</v>
      </c>
      <c r="N93" s="13">
        <v>54</v>
      </c>
    </row>
    <row r="94" spans="1:14">
      <c r="A94" s="12" t="s">
        <v>402</v>
      </c>
      <c r="B94" s="12" t="s">
        <v>157</v>
      </c>
      <c r="C94" s="15">
        <v>15251</v>
      </c>
      <c r="D94" s="13">
        <v>58</v>
      </c>
      <c r="F94" s="12" t="s">
        <v>403</v>
      </c>
      <c r="G94" s="12" t="s">
        <v>159</v>
      </c>
      <c r="H94" s="15">
        <v>93600</v>
      </c>
      <c r="I94" s="13">
        <v>60</v>
      </c>
      <c r="K94" s="12" t="s">
        <v>222</v>
      </c>
      <c r="L94" s="12" t="s">
        <v>157</v>
      </c>
      <c r="M94" s="15">
        <v>375972</v>
      </c>
      <c r="N94" s="13">
        <v>53</v>
      </c>
    </row>
    <row r="95" spans="1:14">
      <c r="A95" s="12" t="s">
        <v>404</v>
      </c>
      <c r="B95" s="12" t="s">
        <v>157</v>
      </c>
      <c r="C95" s="15">
        <v>11842</v>
      </c>
      <c r="D95" s="13">
        <v>58</v>
      </c>
      <c r="F95" s="12" t="s">
        <v>405</v>
      </c>
      <c r="G95" s="12" t="s">
        <v>159</v>
      </c>
      <c r="H95" s="15">
        <v>8000000</v>
      </c>
      <c r="I95" s="13">
        <v>60</v>
      </c>
      <c r="K95" s="12" t="s">
        <v>227</v>
      </c>
      <c r="L95" s="12" t="s">
        <v>157</v>
      </c>
      <c r="M95" s="15">
        <v>2775736</v>
      </c>
      <c r="N95" s="13">
        <v>53</v>
      </c>
    </row>
    <row r="96" spans="1:14">
      <c r="A96" s="12" t="s">
        <v>406</v>
      </c>
      <c r="B96" s="12" t="s">
        <v>157</v>
      </c>
      <c r="C96" s="15">
        <v>22375</v>
      </c>
      <c r="D96" s="13">
        <v>58</v>
      </c>
      <c r="F96" s="12" t="s">
        <v>407</v>
      </c>
      <c r="G96" s="12" t="s">
        <v>157</v>
      </c>
      <c r="H96" s="15">
        <v>290065</v>
      </c>
      <c r="I96" s="13">
        <v>59</v>
      </c>
      <c r="K96" s="12" t="s">
        <v>408</v>
      </c>
      <c r="L96" s="12" t="s">
        <v>157</v>
      </c>
      <c r="M96" s="15">
        <v>181789</v>
      </c>
      <c r="N96" s="13">
        <v>53</v>
      </c>
    </row>
    <row r="97" spans="1:14">
      <c r="A97" s="12" t="s">
        <v>409</v>
      </c>
      <c r="B97" s="12" t="s">
        <v>157</v>
      </c>
      <c r="C97" s="15">
        <v>73663</v>
      </c>
      <c r="D97" s="13">
        <v>58</v>
      </c>
      <c r="F97" s="12" t="s">
        <v>268</v>
      </c>
      <c r="G97" s="12" t="s">
        <v>157</v>
      </c>
      <c r="H97" s="15">
        <v>364007</v>
      </c>
      <c r="I97" s="13">
        <v>59</v>
      </c>
      <c r="K97" s="12" t="s">
        <v>231</v>
      </c>
      <c r="L97" s="12" t="s">
        <v>157</v>
      </c>
      <c r="M97" s="15">
        <v>135115</v>
      </c>
      <c r="N97" s="13">
        <v>53</v>
      </c>
    </row>
    <row r="98" spans="1:14">
      <c r="A98" s="12" t="s">
        <v>410</v>
      </c>
      <c r="B98" s="12" t="s">
        <v>157</v>
      </c>
      <c r="C98" s="15">
        <v>30803</v>
      </c>
      <c r="D98" s="13">
        <v>58</v>
      </c>
      <c r="F98" s="12" t="s">
        <v>310</v>
      </c>
      <c r="G98" s="12" t="s">
        <v>157</v>
      </c>
      <c r="H98" s="15">
        <v>102105</v>
      </c>
      <c r="I98" s="13">
        <v>59</v>
      </c>
      <c r="K98" s="12" t="s">
        <v>234</v>
      </c>
      <c r="L98" s="12" t="s">
        <v>157</v>
      </c>
      <c r="M98" s="15">
        <v>110416</v>
      </c>
      <c r="N98" s="13">
        <v>53</v>
      </c>
    </row>
    <row r="99" spans="1:14">
      <c r="A99" s="12" t="s">
        <v>411</v>
      </c>
      <c r="B99" s="12" t="s">
        <v>157</v>
      </c>
      <c r="C99" s="15">
        <v>33218</v>
      </c>
      <c r="D99" s="13">
        <v>58</v>
      </c>
      <c r="F99" s="12" t="s">
        <v>412</v>
      </c>
      <c r="G99" s="12" t="s">
        <v>157</v>
      </c>
      <c r="H99" s="15">
        <v>139014</v>
      </c>
      <c r="I99" s="13">
        <v>59</v>
      </c>
      <c r="K99" s="12" t="s">
        <v>237</v>
      </c>
      <c r="L99" s="12" t="s">
        <v>157</v>
      </c>
      <c r="M99" s="15">
        <v>1406645</v>
      </c>
      <c r="N99" s="13">
        <v>53</v>
      </c>
    </row>
    <row r="100" spans="1:14">
      <c r="A100" s="12" t="s">
        <v>413</v>
      </c>
      <c r="B100" s="12" t="s">
        <v>157</v>
      </c>
      <c r="C100" s="15">
        <v>16714</v>
      </c>
      <c r="D100" s="13">
        <v>58</v>
      </c>
      <c r="F100" s="12" t="s">
        <v>322</v>
      </c>
      <c r="G100" s="12" t="s">
        <v>157</v>
      </c>
      <c r="H100" s="15">
        <v>75052814</v>
      </c>
      <c r="I100" s="13">
        <v>59</v>
      </c>
      <c r="K100" s="12" t="s">
        <v>195</v>
      </c>
      <c r="L100" s="12" t="s">
        <v>157</v>
      </c>
      <c r="M100" s="15">
        <v>125170</v>
      </c>
      <c r="N100" s="13">
        <v>53</v>
      </c>
    </row>
    <row r="101" spans="1:14">
      <c r="A101" s="12" t="s">
        <v>414</v>
      </c>
      <c r="B101" s="12" t="s">
        <v>157</v>
      </c>
      <c r="C101" s="15">
        <v>17130</v>
      </c>
      <c r="D101" s="13">
        <v>58</v>
      </c>
      <c r="F101" s="12" t="s">
        <v>293</v>
      </c>
      <c r="G101" s="12" t="s">
        <v>157</v>
      </c>
      <c r="H101" s="15">
        <v>142611</v>
      </c>
      <c r="I101" s="13">
        <v>59</v>
      </c>
      <c r="K101" s="12" t="s">
        <v>242</v>
      </c>
      <c r="L101" s="12" t="s">
        <v>157</v>
      </c>
      <c r="M101" s="15">
        <v>1436816</v>
      </c>
      <c r="N101" s="13">
        <v>53</v>
      </c>
    </row>
    <row r="102" spans="1:14">
      <c r="A102" s="12" t="s">
        <v>415</v>
      </c>
      <c r="B102" s="12" t="s">
        <v>157</v>
      </c>
      <c r="C102" s="15">
        <v>21319</v>
      </c>
      <c r="D102" s="13">
        <v>58</v>
      </c>
      <c r="F102" s="12" t="s">
        <v>416</v>
      </c>
      <c r="G102" s="12" t="s">
        <v>159</v>
      </c>
      <c r="H102" s="15">
        <v>48099</v>
      </c>
      <c r="I102" s="13">
        <v>58</v>
      </c>
      <c r="K102" s="12" t="s">
        <v>245</v>
      </c>
      <c r="L102" s="12" t="s">
        <v>157</v>
      </c>
      <c r="M102" s="15">
        <v>118133</v>
      </c>
      <c r="N102" s="13">
        <v>53</v>
      </c>
    </row>
    <row r="103" spans="1:14">
      <c r="A103" s="12" t="s">
        <v>417</v>
      </c>
      <c r="B103" s="12" t="s">
        <v>157</v>
      </c>
      <c r="C103" s="15">
        <v>32093</v>
      </c>
      <c r="D103" s="13">
        <v>58</v>
      </c>
      <c r="F103" s="12" t="s">
        <v>418</v>
      </c>
      <c r="G103" s="12" t="s">
        <v>159</v>
      </c>
      <c r="H103" s="15">
        <v>20247</v>
      </c>
      <c r="I103" s="13">
        <v>58</v>
      </c>
      <c r="K103" s="12" t="s">
        <v>247</v>
      </c>
      <c r="L103" s="12" t="s">
        <v>157</v>
      </c>
      <c r="M103" s="15">
        <v>488918</v>
      </c>
      <c r="N103" s="13">
        <v>53</v>
      </c>
    </row>
    <row r="104" spans="1:14">
      <c r="A104" s="12" t="s">
        <v>419</v>
      </c>
      <c r="B104" s="12" t="s">
        <v>157</v>
      </c>
      <c r="C104" s="15">
        <v>55538</v>
      </c>
      <c r="D104" s="13">
        <v>58</v>
      </c>
      <c r="F104" s="12" t="s">
        <v>420</v>
      </c>
      <c r="G104" s="12" t="s">
        <v>159</v>
      </c>
      <c r="H104" s="15">
        <v>529800</v>
      </c>
      <c r="I104" s="13">
        <v>58</v>
      </c>
      <c r="K104" s="12" t="s">
        <v>421</v>
      </c>
      <c r="L104" s="12" t="s">
        <v>159</v>
      </c>
      <c r="M104" s="15">
        <v>1300000</v>
      </c>
      <c r="N104" s="13">
        <v>53</v>
      </c>
    </row>
    <row r="105" spans="1:14">
      <c r="A105" s="12" t="s">
        <v>422</v>
      </c>
      <c r="B105" s="12" t="s">
        <v>157</v>
      </c>
      <c r="C105" s="15">
        <v>15586</v>
      </c>
      <c r="D105" s="13">
        <v>58</v>
      </c>
      <c r="F105" s="12" t="s">
        <v>423</v>
      </c>
      <c r="G105" s="12" t="s">
        <v>157</v>
      </c>
      <c r="H105" s="15">
        <v>31400</v>
      </c>
      <c r="I105" s="13">
        <v>58</v>
      </c>
      <c r="K105" s="12" t="s">
        <v>424</v>
      </c>
      <c r="L105" s="12" t="s">
        <v>157</v>
      </c>
      <c r="M105" s="15">
        <v>157873</v>
      </c>
      <c r="N105" s="13">
        <v>52</v>
      </c>
    </row>
    <row r="106" spans="1:14">
      <c r="A106" s="12" t="s">
        <v>425</v>
      </c>
      <c r="B106" s="12" t="s">
        <v>157</v>
      </c>
      <c r="C106" s="15">
        <v>17076</v>
      </c>
      <c r="D106" s="13">
        <v>58</v>
      </c>
      <c r="F106" s="12" t="s">
        <v>426</v>
      </c>
      <c r="G106" s="12" t="s">
        <v>159</v>
      </c>
      <c r="H106" s="15">
        <v>178707</v>
      </c>
      <c r="I106" s="13">
        <v>58</v>
      </c>
      <c r="K106" s="12" t="s">
        <v>268</v>
      </c>
      <c r="L106" s="12" t="s">
        <v>157</v>
      </c>
      <c r="M106" s="15">
        <v>364007</v>
      </c>
      <c r="N106" s="13">
        <v>52</v>
      </c>
    </row>
    <row r="107" spans="1:14">
      <c r="A107" s="12" t="s">
        <v>427</v>
      </c>
      <c r="B107" s="12" t="s">
        <v>157</v>
      </c>
      <c r="C107" s="15">
        <v>20606</v>
      </c>
      <c r="D107" s="13">
        <v>58</v>
      </c>
      <c r="F107" s="12" t="s">
        <v>428</v>
      </c>
      <c r="G107" s="12" t="s">
        <v>159</v>
      </c>
      <c r="H107" s="15">
        <v>330900</v>
      </c>
      <c r="I107" s="13">
        <v>58</v>
      </c>
      <c r="K107" s="12" t="s">
        <v>429</v>
      </c>
      <c r="L107" s="12" t="s">
        <v>157</v>
      </c>
      <c r="M107" s="15">
        <v>336849</v>
      </c>
      <c r="N107" s="13">
        <v>52</v>
      </c>
    </row>
    <row r="108" spans="1:14">
      <c r="A108" s="12" t="s">
        <v>430</v>
      </c>
      <c r="B108" s="12" t="s">
        <v>157</v>
      </c>
      <c r="C108" s="15">
        <v>30166</v>
      </c>
      <c r="D108" s="13">
        <v>58</v>
      </c>
      <c r="F108" s="12" t="s">
        <v>431</v>
      </c>
      <c r="G108" s="12" t="s">
        <v>157</v>
      </c>
      <c r="H108" s="15">
        <v>21379</v>
      </c>
      <c r="I108" s="13">
        <v>58</v>
      </c>
      <c r="K108" s="12" t="s">
        <v>432</v>
      </c>
      <c r="L108" s="12" t="s">
        <v>157</v>
      </c>
      <c r="M108" s="15">
        <v>283926</v>
      </c>
      <c r="N108" s="13">
        <v>52</v>
      </c>
    </row>
    <row r="109" spans="1:14">
      <c r="A109" s="12" t="s">
        <v>433</v>
      </c>
      <c r="B109" s="12" t="s">
        <v>157</v>
      </c>
      <c r="C109" s="15">
        <v>11955</v>
      </c>
      <c r="D109" s="13">
        <v>58</v>
      </c>
      <c r="F109" s="12" t="s">
        <v>434</v>
      </c>
      <c r="G109" s="12" t="s">
        <v>159</v>
      </c>
      <c r="H109" s="15">
        <v>105775</v>
      </c>
      <c r="I109" s="13">
        <v>58</v>
      </c>
      <c r="K109" s="12" t="s">
        <v>435</v>
      </c>
      <c r="L109" s="12" t="s">
        <v>157</v>
      </c>
      <c r="M109" s="15">
        <v>275159</v>
      </c>
      <c r="N109" s="13">
        <v>52</v>
      </c>
    </row>
    <row r="110" spans="1:14">
      <c r="A110" s="12" t="s">
        <v>436</v>
      </c>
      <c r="B110" s="12" t="s">
        <v>157</v>
      </c>
      <c r="C110" s="15">
        <v>21589</v>
      </c>
      <c r="D110" s="13">
        <v>58</v>
      </c>
      <c r="F110" s="12" t="s">
        <v>437</v>
      </c>
      <c r="G110" s="12" t="s">
        <v>159</v>
      </c>
      <c r="H110" s="15">
        <v>33645</v>
      </c>
      <c r="I110" s="13">
        <v>58</v>
      </c>
      <c r="K110" s="12" t="s">
        <v>438</v>
      </c>
      <c r="L110" s="12" t="s">
        <v>157</v>
      </c>
      <c r="M110" s="15">
        <v>101157</v>
      </c>
      <c r="N110" s="13">
        <v>52</v>
      </c>
    </row>
    <row r="111" spans="1:14">
      <c r="A111" s="12" t="s">
        <v>439</v>
      </c>
      <c r="B111" s="12" t="s">
        <v>157</v>
      </c>
      <c r="C111" s="15">
        <v>23288</v>
      </c>
      <c r="D111" s="13">
        <v>58</v>
      </c>
      <c r="F111" s="12" t="s">
        <v>440</v>
      </c>
      <c r="G111" s="12" t="s">
        <v>159</v>
      </c>
      <c r="H111" s="15">
        <v>23500</v>
      </c>
      <c r="I111" s="13">
        <v>58</v>
      </c>
      <c r="K111" s="12" t="s">
        <v>441</v>
      </c>
      <c r="L111" s="12" t="s">
        <v>157</v>
      </c>
      <c r="M111" s="15">
        <v>423744</v>
      </c>
      <c r="N111" s="13">
        <v>52</v>
      </c>
    </row>
    <row r="112" spans="1:14">
      <c r="A112" s="12" t="s">
        <v>442</v>
      </c>
      <c r="B112" s="12" t="s">
        <v>157</v>
      </c>
      <c r="C112" s="15">
        <v>22925</v>
      </c>
      <c r="D112" s="13">
        <v>58</v>
      </c>
      <c r="F112" s="12" t="s">
        <v>443</v>
      </c>
      <c r="G112" s="12" t="s">
        <v>159</v>
      </c>
      <c r="H112" s="15">
        <v>92500</v>
      </c>
      <c r="I112" s="13">
        <v>58</v>
      </c>
      <c r="K112" s="12" t="s">
        <v>189</v>
      </c>
      <c r="L112" s="12" t="s">
        <v>157</v>
      </c>
      <c r="M112" s="15">
        <v>102895</v>
      </c>
      <c r="N112" s="13">
        <v>51</v>
      </c>
    </row>
    <row r="113" spans="1:14">
      <c r="A113" s="12" t="s">
        <v>444</v>
      </c>
      <c r="B113" s="12" t="s">
        <v>157</v>
      </c>
      <c r="C113" s="15">
        <v>27496</v>
      </c>
      <c r="D113" s="13">
        <v>58</v>
      </c>
      <c r="F113" s="12" t="s">
        <v>445</v>
      </c>
      <c r="G113" s="12" t="s">
        <v>159</v>
      </c>
      <c r="H113" s="15">
        <v>76600</v>
      </c>
      <c r="I113" s="13">
        <v>58</v>
      </c>
      <c r="K113" s="12" t="s">
        <v>446</v>
      </c>
      <c r="L113" s="12" t="s">
        <v>157</v>
      </c>
      <c r="M113" s="15">
        <v>248772</v>
      </c>
      <c r="N113" s="13">
        <v>51</v>
      </c>
    </row>
    <row r="114" spans="1:14">
      <c r="A114" s="12" t="s">
        <v>447</v>
      </c>
      <c r="B114" s="12" t="s">
        <v>157</v>
      </c>
      <c r="C114" s="15">
        <v>42590</v>
      </c>
      <c r="D114" s="13">
        <v>58</v>
      </c>
      <c r="F114" s="12" t="s">
        <v>448</v>
      </c>
      <c r="G114" s="12" t="s">
        <v>159</v>
      </c>
      <c r="H114" s="15">
        <v>39992</v>
      </c>
      <c r="I114" s="13">
        <v>58</v>
      </c>
      <c r="K114" s="12" t="s">
        <v>449</v>
      </c>
      <c r="L114" s="12" t="s">
        <v>159</v>
      </c>
      <c r="M114" s="15">
        <v>5400000</v>
      </c>
      <c r="N114" s="13">
        <v>51</v>
      </c>
    </row>
    <row r="115" spans="1:14">
      <c r="A115" s="12" t="s">
        <v>450</v>
      </c>
      <c r="B115" s="12" t="s">
        <v>157</v>
      </c>
      <c r="C115" s="15">
        <v>11028</v>
      </c>
      <c r="D115" s="13">
        <v>58</v>
      </c>
      <c r="F115" s="12" t="s">
        <v>451</v>
      </c>
      <c r="G115" s="12" t="s">
        <v>159</v>
      </c>
      <c r="H115" s="15">
        <v>235500</v>
      </c>
      <c r="I115" s="13">
        <v>58</v>
      </c>
      <c r="K115" s="12" t="s">
        <v>452</v>
      </c>
      <c r="L115" s="12" t="s">
        <v>157</v>
      </c>
      <c r="M115" s="15">
        <v>679264838</v>
      </c>
      <c r="N115" s="13">
        <v>51</v>
      </c>
    </row>
    <row r="116" spans="1:14">
      <c r="A116" s="12" t="s">
        <v>453</v>
      </c>
      <c r="B116" s="12" t="s">
        <v>157</v>
      </c>
      <c r="C116" s="15">
        <v>11247</v>
      </c>
      <c r="D116" s="13">
        <v>58</v>
      </c>
      <c r="F116" s="12" t="s">
        <v>454</v>
      </c>
      <c r="G116" s="12" t="s">
        <v>159</v>
      </c>
      <c r="H116" s="15">
        <v>23020</v>
      </c>
      <c r="I116" s="13">
        <v>58</v>
      </c>
      <c r="K116" s="12" t="s">
        <v>455</v>
      </c>
      <c r="L116" s="12" t="s">
        <v>157</v>
      </c>
      <c r="M116" s="15">
        <v>611395</v>
      </c>
      <c r="N116" s="13">
        <v>51</v>
      </c>
    </row>
    <row r="117" spans="1:14">
      <c r="A117" s="12" t="s">
        <v>456</v>
      </c>
      <c r="B117" s="12" t="s">
        <v>157</v>
      </c>
      <c r="C117" s="15">
        <v>21368</v>
      </c>
      <c r="D117" s="13">
        <v>58</v>
      </c>
      <c r="F117" s="12" t="s">
        <v>457</v>
      </c>
      <c r="G117" s="12" t="s">
        <v>157</v>
      </c>
      <c r="H117" s="15">
        <v>21151</v>
      </c>
      <c r="I117" s="13">
        <v>58</v>
      </c>
      <c r="K117" s="12" t="s">
        <v>192</v>
      </c>
      <c r="L117" s="12" t="s">
        <v>157</v>
      </c>
      <c r="M117" s="15">
        <v>636731</v>
      </c>
      <c r="N117" s="13">
        <v>51</v>
      </c>
    </row>
    <row r="118" spans="1:14">
      <c r="A118" s="12" t="s">
        <v>458</v>
      </c>
      <c r="B118" s="12" t="s">
        <v>157</v>
      </c>
      <c r="C118" s="15">
        <v>14513</v>
      </c>
      <c r="D118" s="13">
        <v>58</v>
      </c>
      <c r="F118" s="12" t="s">
        <v>459</v>
      </c>
      <c r="G118" s="12" t="s">
        <v>159</v>
      </c>
      <c r="H118" s="15">
        <v>157639</v>
      </c>
      <c r="I118" s="13">
        <v>58</v>
      </c>
      <c r="K118" s="12" t="s">
        <v>460</v>
      </c>
      <c r="L118" s="12" t="s">
        <v>157</v>
      </c>
      <c r="M118" s="15">
        <v>14398391</v>
      </c>
      <c r="N118" s="13">
        <v>51</v>
      </c>
    </row>
    <row r="119" spans="1:14">
      <c r="A119" s="12" t="s">
        <v>461</v>
      </c>
      <c r="B119" s="12" t="s">
        <v>157</v>
      </c>
      <c r="C119" s="15">
        <v>10936</v>
      </c>
      <c r="D119" s="13">
        <v>58</v>
      </c>
      <c r="F119" s="12" t="s">
        <v>462</v>
      </c>
      <c r="G119" s="12" t="s">
        <v>157</v>
      </c>
      <c r="H119" s="15">
        <v>15662</v>
      </c>
      <c r="I119" s="13">
        <v>58</v>
      </c>
      <c r="K119" s="12" t="s">
        <v>373</v>
      </c>
      <c r="L119" s="12" t="s">
        <v>157</v>
      </c>
      <c r="M119" s="15">
        <v>113921</v>
      </c>
      <c r="N119" s="13">
        <v>51</v>
      </c>
    </row>
    <row r="120" spans="1:14">
      <c r="A120" s="12" t="s">
        <v>463</v>
      </c>
      <c r="B120" s="12" t="s">
        <v>157</v>
      </c>
      <c r="C120" s="15">
        <v>12704</v>
      </c>
      <c r="D120" s="13">
        <v>58</v>
      </c>
      <c r="F120" s="12" t="s">
        <v>464</v>
      </c>
      <c r="G120" s="12" t="s">
        <v>159</v>
      </c>
      <c r="H120" s="15">
        <v>16457</v>
      </c>
      <c r="I120" s="13">
        <v>58</v>
      </c>
      <c r="K120" s="12" t="s">
        <v>376</v>
      </c>
      <c r="L120" s="12" t="s">
        <v>157</v>
      </c>
      <c r="M120" s="15">
        <v>1047948</v>
      </c>
      <c r="N120" s="13">
        <v>51</v>
      </c>
    </row>
    <row r="121" spans="1:14">
      <c r="A121" s="12" t="s">
        <v>465</v>
      </c>
      <c r="B121" s="12" t="s">
        <v>157</v>
      </c>
      <c r="C121" s="15">
        <v>10727</v>
      </c>
      <c r="D121" s="13">
        <v>58</v>
      </c>
      <c r="F121" s="12" t="s">
        <v>466</v>
      </c>
      <c r="G121" s="12" t="s">
        <v>159</v>
      </c>
      <c r="H121" s="15">
        <v>17064</v>
      </c>
      <c r="I121" s="13">
        <v>58</v>
      </c>
      <c r="K121" s="12" t="s">
        <v>467</v>
      </c>
      <c r="L121" s="12" t="s">
        <v>159</v>
      </c>
      <c r="M121" s="15">
        <v>26200000</v>
      </c>
      <c r="N121" s="13">
        <v>51</v>
      </c>
    </row>
    <row r="122" spans="1:14">
      <c r="A122" s="12" t="s">
        <v>468</v>
      </c>
      <c r="B122" s="12" t="s">
        <v>157</v>
      </c>
      <c r="C122" s="15">
        <v>17289</v>
      </c>
      <c r="D122" s="13">
        <v>58</v>
      </c>
      <c r="F122" s="12" t="s">
        <v>469</v>
      </c>
      <c r="G122" s="12" t="s">
        <v>159</v>
      </c>
      <c r="H122" s="15">
        <v>27675</v>
      </c>
      <c r="I122" s="13">
        <v>58</v>
      </c>
      <c r="K122" s="12" t="s">
        <v>470</v>
      </c>
      <c r="L122" s="12" t="s">
        <v>157</v>
      </c>
      <c r="M122" s="15">
        <v>12163586</v>
      </c>
      <c r="N122" s="13">
        <v>51</v>
      </c>
    </row>
    <row r="123" spans="1:14">
      <c r="A123" s="12" t="s">
        <v>471</v>
      </c>
      <c r="B123" s="12" t="s">
        <v>157</v>
      </c>
      <c r="C123" s="15">
        <v>24896</v>
      </c>
      <c r="D123" s="13">
        <v>58</v>
      </c>
      <c r="F123" s="12" t="s">
        <v>472</v>
      </c>
      <c r="G123" s="12" t="s">
        <v>159</v>
      </c>
      <c r="H123" s="15">
        <v>12100000</v>
      </c>
      <c r="I123" s="13">
        <v>58</v>
      </c>
      <c r="K123" s="12" t="s">
        <v>473</v>
      </c>
      <c r="L123" s="12" t="s">
        <v>157</v>
      </c>
      <c r="M123" s="15">
        <v>797948</v>
      </c>
      <c r="N123" s="13">
        <v>51</v>
      </c>
    </row>
    <row r="124" spans="1:14">
      <c r="A124" s="12" t="s">
        <v>474</v>
      </c>
      <c r="B124" s="12" t="s">
        <v>157</v>
      </c>
      <c r="C124" s="15">
        <v>15693</v>
      </c>
      <c r="D124" s="13">
        <v>58</v>
      </c>
      <c r="F124" s="12" t="s">
        <v>475</v>
      </c>
      <c r="G124" s="12" t="s">
        <v>159</v>
      </c>
      <c r="H124" s="15">
        <v>10809</v>
      </c>
      <c r="I124" s="13">
        <v>58</v>
      </c>
      <c r="K124" s="12" t="s">
        <v>476</v>
      </c>
      <c r="L124" s="12" t="s">
        <v>157</v>
      </c>
      <c r="M124" s="15">
        <v>2238181</v>
      </c>
      <c r="N124" s="13">
        <v>51</v>
      </c>
    </row>
    <row r="125" spans="1:14">
      <c r="A125" s="12" t="s">
        <v>477</v>
      </c>
      <c r="B125" s="12" t="s">
        <v>157</v>
      </c>
      <c r="C125" s="15">
        <v>21912</v>
      </c>
      <c r="D125" s="13">
        <v>58</v>
      </c>
      <c r="F125" s="12" t="s">
        <v>478</v>
      </c>
      <c r="G125" s="12" t="s">
        <v>159</v>
      </c>
      <c r="H125" s="15">
        <v>38400</v>
      </c>
      <c r="I125" s="13">
        <v>58</v>
      </c>
      <c r="K125" s="12" t="s">
        <v>198</v>
      </c>
      <c r="L125" s="12" t="s">
        <v>157</v>
      </c>
      <c r="M125" s="15">
        <v>347725</v>
      </c>
      <c r="N125" s="13">
        <v>51</v>
      </c>
    </row>
    <row r="126" spans="1:14">
      <c r="A126" s="12" t="s">
        <v>479</v>
      </c>
      <c r="B126" s="12" t="s">
        <v>157</v>
      </c>
      <c r="C126" s="15">
        <v>10411</v>
      </c>
      <c r="D126" s="13">
        <v>58</v>
      </c>
      <c r="F126" s="12" t="s">
        <v>480</v>
      </c>
      <c r="G126" s="12" t="s">
        <v>159</v>
      </c>
      <c r="H126" s="15">
        <v>21542</v>
      </c>
      <c r="I126" s="13">
        <v>58</v>
      </c>
      <c r="K126" s="12" t="s">
        <v>481</v>
      </c>
      <c r="L126" s="12" t="s">
        <v>157</v>
      </c>
      <c r="M126" s="15">
        <v>122579</v>
      </c>
      <c r="N126" s="13">
        <v>50</v>
      </c>
    </row>
    <row r="127" spans="1:14">
      <c r="A127" s="12" t="s">
        <v>482</v>
      </c>
      <c r="B127" s="12" t="s">
        <v>157</v>
      </c>
      <c r="C127" s="15">
        <v>11988</v>
      </c>
      <c r="D127" s="13">
        <v>58</v>
      </c>
      <c r="F127" s="12" t="s">
        <v>373</v>
      </c>
      <c r="G127" s="12" t="s">
        <v>157</v>
      </c>
      <c r="H127" s="15">
        <v>113921</v>
      </c>
      <c r="I127" s="13">
        <v>58</v>
      </c>
      <c r="K127" s="12" t="s">
        <v>483</v>
      </c>
      <c r="L127" s="12" t="s">
        <v>159</v>
      </c>
      <c r="M127" s="15">
        <v>1200000</v>
      </c>
      <c r="N127" s="13">
        <v>50</v>
      </c>
    </row>
    <row r="128" spans="1:14">
      <c r="A128" s="12" t="s">
        <v>484</v>
      </c>
      <c r="B128" s="12" t="s">
        <v>157</v>
      </c>
      <c r="C128" s="15">
        <v>10180</v>
      </c>
      <c r="D128" s="13">
        <v>58</v>
      </c>
      <c r="F128" s="12" t="s">
        <v>376</v>
      </c>
      <c r="G128" s="12" t="s">
        <v>157</v>
      </c>
      <c r="H128" s="15">
        <v>1047948</v>
      </c>
      <c r="I128" s="13">
        <v>58</v>
      </c>
      <c r="K128" s="12" t="s">
        <v>485</v>
      </c>
      <c r="L128" s="12" t="s">
        <v>157</v>
      </c>
      <c r="M128" s="15">
        <v>1129093</v>
      </c>
      <c r="N128" s="13">
        <v>50</v>
      </c>
    </row>
    <row r="129" spans="1:14">
      <c r="A129" s="12" t="s">
        <v>486</v>
      </c>
      <c r="B129" s="12" t="s">
        <v>157</v>
      </c>
      <c r="C129" s="15">
        <v>21840</v>
      </c>
      <c r="D129" s="13">
        <v>58</v>
      </c>
      <c r="F129" s="12" t="s">
        <v>487</v>
      </c>
      <c r="G129" s="12" t="s">
        <v>157</v>
      </c>
      <c r="H129" s="15">
        <v>17622</v>
      </c>
      <c r="I129" s="13">
        <v>58</v>
      </c>
      <c r="K129" s="12" t="s">
        <v>488</v>
      </c>
      <c r="L129" s="12" t="s">
        <v>159</v>
      </c>
      <c r="M129" s="15">
        <v>24400000</v>
      </c>
      <c r="N129" s="13">
        <v>50</v>
      </c>
    </row>
    <row r="130" spans="1:14">
      <c r="A130" s="12" t="s">
        <v>489</v>
      </c>
      <c r="B130" s="12" t="s">
        <v>157</v>
      </c>
      <c r="C130" s="15">
        <v>10461</v>
      </c>
      <c r="D130" s="13">
        <v>58</v>
      </c>
      <c r="F130" s="12" t="s">
        <v>490</v>
      </c>
      <c r="G130" s="12" t="s">
        <v>159</v>
      </c>
      <c r="H130" s="15">
        <v>12000000</v>
      </c>
      <c r="I130" s="13">
        <v>58</v>
      </c>
      <c r="K130" s="12" t="s">
        <v>491</v>
      </c>
      <c r="L130" s="12" t="s">
        <v>157</v>
      </c>
      <c r="M130" s="15">
        <v>433433</v>
      </c>
      <c r="N130" s="13">
        <v>50</v>
      </c>
    </row>
    <row r="131" spans="1:14">
      <c r="A131" s="12" t="s">
        <v>492</v>
      </c>
      <c r="B131" s="12" t="s">
        <v>157</v>
      </c>
      <c r="C131" s="15">
        <v>11754</v>
      </c>
      <c r="D131" s="13">
        <v>58</v>
      </c>
      <c r="F131" s="12" t="s">
        <v>493</v>
      </c>
      <c r="G131" s="12" t="s">
        <v>159</v>
      </c>
      <c r="H131" s="15">
        <v>10200</v>
      </c>
      <c r="I131" s="13">
        <v>58</v>
      </c>
      <c r="K131" s="12" t="s">
        <v>494</v>
      </c>
      <c r="L131" s="12" t="s">
        <v>157</v>
      </c>
      <c r="M131" s="15">
        <v>304680</v>
      </c>
      <c r="N131" s="13">
        <v>50</v>
      </c>
    </row>
    <row r="132" spans="1:14">
      <c r="A132" s="12" t="s">
        <v>495</v>
      </c>
      <c r="B132" s="12" t="s">
        <v>157</v>
      </c>
      <c r="C132" s="15">
        <v>16937</v>
      </c>
      <c r="D132" s="13">
        <v>58</v>
      </c>
      <c r="F132" s="12" t="s">
        <v>496</v>
      </c>
      <c r="G132" s="12" t="s">
        <v>159</v>
      </c>
      <c r="H132" s="15">
        <v>18728</v>
      </c>
      <c r="I132" s="13">
        <v>58</v>
      </c>
      <c r="K132" s="12" t="s">
        <v>497</v>
      </c>
      <c r="L132" s="12" t="s">
        <v>157</v>
      </c>
      <c r="M132" s="15">
        <v>543897</v>
      </c>
      <c r="N132" s="13">
        <v>50</v>
      </c>
    </row>
    <row r="133" spans="1:14">
      <c r="A133" s="12" t="s">
        <v>498</v>
      </c>
      <c r="B133" s="12" t="s">
        <v>157</v>
      </c>
      <c r="C133" s="15">
        <v>10383</v>
      </c>
      <c r="D133" s="13">
        <v>58</v>
      </c>
      <c r="F133" s="12" t="s">
        <v>499</v>
      </c>
      <c r="G133" s="12" t="s">
        <v>159</v>
      </c>
      <c r="H133" s="15">
        <v>173371</v>
      </c>
      <c r="I133" s="13">
        <v>58</v>
      </c>
      <c r="K133" s="12" t="s">
        <v>500</v>
      </c>
      <c r="L133" s="12" t="s">
        <v>157</v>
      </c>
      <c r="M133" s="15">
        <v>130692</v>
      </c>
      <c r="N133" s="13">
        <v>50</v>
      </c>
    </row>
    <row r="134" spans="1:14">
      <c r="A134" s="12" t="s">
        <v>501</v>
      </c>
      <c r="B134" s="12" t="s">
        <v>157</v>
      </c>
      <c r="C134" s="15">
        <v>10745</v>
      </c>
      <c r="D134" s="13">
        <v>58</v>
      </c>
      <c r="F134" s="12" t="s">
        <v>502</v>
      </c>
      <c r="G134" s="12" t="s">
        <v>159</v>
      </c>
      <c r="H134" s="15">
        <v>571000</v>
      </c>
      <c r="I134" s="13">
        <v>58</v>
      </c>
      <c r="K134" s="12" t="s">
        <v>503</v>
      </c>
      <c r="L134" s="12" t="s">
        <v>157</v>
      </c>
      <c r="M134" s="15">
        <v>108819</v>
      </c>
      <c r="N134" s="13">
        <v>50</v>
      </c>
    </row>
    <row r="135" spans="1:14">
      <c r="A135" s="12" t="s">
        <v>504</v>
      </c>
      <c r="B135" s="12" t="s">
        <v>157</v>
      </c>
      <c r="C135" s="15">
        <v>28272</v>
      </c>
      <c r="D135" s="13">
        <v>58</v>
      </c>
      <c r="F135" s="12" t="s">
        <v>505</v>
      </c>
      <c r="G135" s="12" t="s">
        <v>159</v>
      </c>
      <c r="H135" s="15">
        <v>176000</v>
      </c>
      <c r="I135" s="13">
        <v>58</v>
      </c>
      <c r="K135" s="12" t="s">
        <v>506</v>
      </c>
      <c r="L135" s="12" t="s">
        <v>157</v>
      </c>
      <c r="M135" s="15">
        <v>132014</v>
      </c>
      <c r="N135" s="13">
        <v>49</v>
      </c>
    </row>
    <row r="136" spans="1:14">
      <c r="A136" s="12" t="s">
        <v>507</v>
      </c>
      <c r="B136" s="12" t="s">
        <v>157</v>
      </c>
      <c r="C136" s="15">
        <v>14429</v>
      </c>
      <c r="D136" s="13">
        <v>58</v>
      </c>
      <c r="F136" s="12" t="s">
        <v>409</v>
      </c>
      <c r="G136" s="12" t="s">
        <v>157</v>
      </c>
      <c r="H136" s="15">
        <v>73663</v>
      </c>
      <c r="I136" s="13">
        <v>58</v>
      </c>
      <c r="K136" s="12" t="s">
        <v>508</v>
      </c>
      <c r="L136" s="12" t="s">
        <v>157</v>
      </c>
      <c r="M136" s="15">
        <v>101693</v>
      </c>
      <c r="N136" s="13">
        <v>49</v>
      </c>
    </row>
    <row r="137" spans="1:14">
      <c r="A137" s="12" t="s">
        <v>509</v>
      </c>
      <c r="B137" s="12" t="s">
        <v>157</v>
      </c>
      <c r="C137" s="15">
        <v>12923</v>
      </c>
      <c r="D137" s="13">
        <v>58</v>
      </c>
      <c r="F137" s="12" t="s">
        <v>510</v>
      </c>
      <c r="G137" s="12" t="s">
        <v>159</v>
      </c>
      <c r="H137" s="15">
        <v>37000</v>
      </c>
      <c r="I137" s="13">
        <v>58</v>
      </c>
      <c r="K137" s="12" t="s">
        <v>511</v>
      </c>
      <c r="L137" s="12" t="s">
        <v>157</v>
      </c>
      <c r="M137" s="15">
        <v>267415</v>
      </c>
      <c r="N137" s="13">
        <v>49</v>
      </c>
    </row>
    <row r="138" spans="1:14">
      <c r="A138" s="12" t="s">
        <v>512</v>
      </c>
      <c r="B138" s="12" t="s">
        <v>157</v>
      </c>
      <c r="C138" s="15">
        <v>79658</v>
      </c>
      <c r="D138" s="13">
        <v>57</v>
      </c>
      <c r="F138" s="12" t="s">
        <v>513</v>
      </c>
      <c r="G138" s="12" t="s">
        <v>159</v>
      </c>
      <c r="H138" s="15">
        <v>148700</v>
      </c>
      <c r="I138" s="13">
        <v>58</v>
      </c>
      <c r="K138" s="12" t="s">
        <v>514</v>
      </c>
      <c r="L138" s="12" t="s">
        <v>157</v>
      </c>
      <c r="M138" s="15">
        <v>599856</v>
      </c>
      <c r="N138" s="13">
        <v>49</v>
      </c>
    </row>
    <row r="139" spans="1:14">
      <c r="A139" s="12" t="s">
        <v>515</v>
      </c>
      <c r="B139" s="12" t="s">
        <v>157</v>
      </c>
      <c r="C139" s="15">
        <v>82015</v>
      </c>
      <c r="D139" s="13">
        <v>57</v>
      </c>
      <c r="F139" s="12" t="s">
        <v>516</v>
      </c>
      <c r="G139" s="12" t="s">
        <v>157</v>
      </c>
      <c r="H139" s="15">
        <v>392230</v>
      </c>
      <c r="I139" s="13">
        <v>58</v>
      </c>
      <c r="K139" s="12" t="s">
        <v>517</v>
      </c>
      <c r="L139" s="12" t="s">
        <v>157</v>
      </c>
      <c r="M139" s="15">
        <v>383730</v>
      </c>
      <c r="N139" s="13">
        <v>49</v>
      </c>
    </row>
    <row r="140" spans="1:14">
      <c r="A140" s="12" t="s">
        <v>497</v>
      </c>
      <c r="B140" s="12" t="s">
        <v>157</v>
      </c>
      <c r="C140" s="15">
        <v>543897</v>
      </c>
      <c r="D140" s="13">
        <v>57</v>
      </c>
      <c r="F140" s="12" t="s">
        <v>518</v>
      </c>
      <c r="G140" s="12" t="s">
        <v>159</v>
      </c>
      <c r="H140" s="15">
        <v>13000</v>
      </c>
      <c r="I140" s="13">
        <v>58</v>
      </c>
      <c r="K140" s="12" t="s">
        <v>519</v>
      </c>
      <c r="L140" s="12" t="s">
        <v>157</v>
      </c>
      <c r="M140" s="15">
        <v>180114</v>
      </c>
      <c r="N140" s="13">
        <v>49</v>
      </c>
    </row>
    <row r="141" spans="1:14">
      <c r="A141" s="12" t="s">
        <v>500</v>
      </c>
      <c r="B141" s="12" t="s">
        <v>157</v>
      </c>
      <c r="C141" s="15">
        <v>130692</v>
      </c>
      <c r="D141" s="13">
        <v>57</v>
      </c>
      <c r="F141" s="12" t="s">
        <v>520</v>
      </c>
      <c r="G141" s="12" t="s">
        <v>159</v>
      </c>
      <c r="H141" s="15">
        <v>41300</v>
      </c>
      <c r="I141" s="13">
        <v>58</v>
      </c>
      <c r="K141" s="12" t="s">
        <v>521</v>
      </c>
      <c r="L141" s="12" t="s">
        <v>157</v>
      </c>
      <c r="M141" s="15">
        <v>3050573</v>
      </c>
      <c r="N141" s="13">
        <v>49</v>
      </c>
    </row>
    <row r="142" spans="1:14">
      <c r="A142" s="12" t="s">
        <v>503</v>
      </c>
      <c r="B142" s="12" t="s">
        <v>157</v>
      </c>
      <c r="C142" s="15">
        <v>108819</v>
      </c>
      <c r="D142" s="13">
        <v>57</v>
      </c>
      <c r="F142" s="12" t="s">
        <v>522</v>
      </c>
      <c r="G142" s="12" t="s">
        <v>159</v>
      </c>
      <c r="H142" s="15">
        <v>3200000</v>
      </c>
      <c r="I142" s="13">
        <v>58</v>
      </c>
      <c r="K142" s="12" t="s">
        <v>207</v>
      </c>
      <c r="L142" s="12" t="s">
        <v>157</v>
      </c>
      <c r="M142" s="15">
        <v>411474</v>
      </c>
      <c r="N142" s="13">
        <v>49</v>
      </c>
    </row>
    <row r="143" spans="1:14">
      <c r="A143" s="12" t="s">
        <v>514</v>
      </c>
      <c r="B143" s="12" t="s">
        <v>157</v>
      </c>
      <c r="C143" s="15">
        <v>599856</v>
      </c>
      <c r="D143" s="13">
        <v>56</v>
      </c>
      <c r="F143" s="12" t="s">
        <v>523</v>
      </c>
      <c r="G143" s="12" t="s">
        <v>159</v>
      </c>
      <c r="H143" s="15">
        <v>98210</v>
      </c>
      <c r="I143" s="13">
        <v>58</v>
      </c>
      <c r="K143" s="12" t="s">
        <v>524</v>
      </c>
      <c r="L143" s="12" t="s">
        <v>157</v>
      </c>
      <c r="M143" s="15">
        <v>197803</v>
      </c>
      <c r="N143" s="13">
        <v>49</v>
      </c>
    </row>
    <row r="144" spans="1:14">
      <c r="A144" s="12" t="s">
        <v>517</v>
      </c>
      <c r="B144" s="12" t="s">
        <v>157</v>
      </c>
      <c r="C144" s="15">
        <v>383730</v>
      </c>
      <c r="D144" s="13">
        <v>56</v>
      </c>
      <c r="F144" s="12" t="s">
        <v>525</v>
      </c>
      <c r="G144" s="12" t="s">
        <v>159</v>
      </c>
      <c r="H144" s="15">
        <v>54400</v>
      </c>
      <c r="I144" s="13">
        <v>58</v>
      </c>
      <c r="K144" s="12" t="s">
        <v>526</v>
      </c>
      <c r="L144" s="12" t="s">
        <v>157</v>
      </c>
      <c r="M144" s="15">
        <v>3599718</v>
      </c>
      <c r="N144" s="13">
        <v>49</v>
      </c>
    </row>
    <row r="145" spans="1:14">
      <c r="A145" s="12" t="s">
        <v>519</v>
      </c>
      <c r="B145" s="12" t="s">
        <v>157</v>
      </c>
      <c r="C145" s="15">
        <v>180114</v>
      </c>
      <c r="D145" s="13">
        <v>56</v>
      </c>
      <c r="F145" s="12" t="s">
        <v>527</v>
      </c>
      <c r="G145" s="12" t="s">
        <v>159</v>
      </c>
      <c r="H145" s="15">
        <v>1200000</v>
      </c>
      <c r="I145" s="13">
        <v>58</v>
      </c>
      <c r="K145" s="12" t="s">
        <v>528</v>
      </c>
      <c r="L145" s="12" t="s">
        <v>159</v>
      </c>
      <c r="M145" s="15">
        <v>1700000</v>
      </c>
      <c r="N145" s="13">
        <v>49</v>
      </c>
    </row>
    <row r="146" spans="1:14">
      <c r="A146" s="12" t="s">
        <v>529</v>
      </c>
      <c r="B146" s="12" t="s">
        <v>157</v>
      </c>
      <c r="C146" s="15">
        <v>409413</v>
      </c>
      <c r="D146" s="13">
        <v>55</v>
      </c>
      <c r="F146" s="12" t="s">
        <v>530</v>
      </c>
      <c r="G146" s="12" t="s">
        <v>159</v>
      </c>
      <c r="H146" s="15">
        <v>21100</v>
      </c>
      <c r="I146" s="13">
        <v>58</v>
      </c>
      <c r="K146" s="12" t="s">
        <v>531</v>
      </c>
      <c r="L146" s="12" t="s">
        <v>157</v>
      </c>
      <c r="M146" s="15">
        <v>409700</v>
      </c>
      <c r="N146" s="13">
        <v>49</v>
      </c>
    </row>
    <row r="147" spans="1:14">
      <c r="A147" s="12" t="s">
        <v>481</v>
      </c>
      <c r="B147" s="12" t="s">
        <v>157</v>
      </c>
      <c r="C147" s="15">
        <v>122579</v>
      </c>
      <c r="D147" s="13">
        <v>55</v>
      </c>
      <c r="F147" s="12" t="s">
        <v>532</v>
      </c>
      <c r="G147" s="12" t="s">
        <v>159</v>
      </c>
      <c r="H147" s="15">
        <v>18442</v>
      </c>
      <c r="I147" s="13">
        <v>58</v>
      </c>
      <c r="K147" s="12" t="s">
        <v>533</v>
      </c>
      <c r="L147" s="12" t="s">
        <v>157</v>
      </c>
      <c r="M147" s="15">
        <v>130272</v>
      </c>
      <c r="N147" s="13">
        <v>49</v>
      </c>
    </row>
    <row r="148" spans="1:14">
      <c r="A148" s="12" t="s">
        <v>217</v>
      </c>
      <c r="B148" s="12" t="s">
        <v>157</v>
      </c>
      <c r="C148" s="15">
        <v>195207</v>
      </c>
      <c r="D148" s="13">
        <v>55</v>
      </c>
      <c r="F148" s="12" t="s">
        <v>534</v>
      </c>
      <c r="G148" s="12" t="s">
        <v>159</v>
      </c>
      <c r="H148" s="15">
        <v>148836</v>
      </c>
      <c r="I148" s="13">
        <v>58</v>
      </c>
      <c r="K148" s="12" t="s">
        <v>535</v>
      </c>
      <c r="L148" s="12" t="s">
        <v>157</v>
      </c>
      <c r="M148" s="15">
        <v>110332</v>
      </c>
      <c r="N148" s="13">
        <v>49</v>
      </c>
    </row>
    <row r="149" spans="1:14">
      <c r="A149" s="12" t="s">
        <v>485</v>
      </c>
      <c r="B149" s="12" t="s">
        <v>157</v>
      </c>
      <c r="C149" s="15">
        <v>1129093</v>
      </c>
      <c r="D149" s="13">
        <v>55</v>
      </c>
      <c r="F149" s="12" t="s">
        <v>536</v>
      </c>
      <c r="G149" s="12" t="s">
        <v>159</v>
      </c>
      <c r="H149" s="15">
        <v>126915</v>
      </c>
      <c r="I149" s="13">
        <v>58</v>
      </c>
      <c r="K149" s="12" t="s">
        <v>537</v>
      </c>
      <c r="L149" s="12" t="s">
        <v>157</v>
      </c>
      <c r="M149" s="15">
        <v>172280</v>
      </c>
      <c r="N149" s="13">
        <v>49</v>
      </c>
    </row>
    <row r="150" spans="1:14">
      <c r="A150" s="12" t="s">
        <v>538</v>
      </c>
      <c r="B150" s="12" t="s">
        <v>157</v>
      </c>
      <c r="C150" s="15">
        <v>97558</v>
      </c>
      <c r="D150" s="13">
        <v>55</v>
      </c>
      <c r="F150" s="12" t="s">
        <v>539</v>
      </c>
      <c r="G150" s="12" t="s">
        <v>159</v>
      </c>
      <c r="H150" s="15">
        <v>14000</v>
      </c>
      <c r="I150" s="13">
        <v>58</v>
      </c>
      <c r="K150" s="12" t="s">
        <v>540</v>
      </c>
      <c r="L150" s="12" t="s">
        <v>159</v>
      </c>
      <c r="M150" s="15">
        <v>13100000</v>
      </c>
      <c r="N150" s="13">
        <v>49</v>
      </c>
    </row>
    <row r="151" spans="1:14">
      <c r="A151" s="12" t="s">
        <v>541</v>
      </c>
      <c r="B151" s="12" t="s">
        <v>157</v>
      </c>
      <c r="C151" s="15">
        <v>402891</v>
      </c>
      <c r="D151" s="13">
        <v>55</v>
      </c>
      <c r="F151" s="12" t="s">
        <v>542</v>
      </c>
      <c r="G151" s="12" t="s">
        <v>159</v>
      </c>
      <c r="H151" s="15">
        <v>577067</v>
      </c>
      <c r="I151" s="13">
        <v>58</v>
      </c>
      <c r="K151" s="12" t="s">
        <v>167</v>
      </c>
      <c r="L151" s="12" t="s">
        <v>157</v>
      </c>
      <c r="M151" s="15">
        <v>122110</v>
      </c>
      <c r="N151" s="13">
        <v>48</v>
      </c>
    </row>
    <row r="152" spans="1:14">
      <c r="A152" s="12" t="s">
        <v>543</v>
      </c>
      <c r="B152" s="12" t="s">
        <v>157</v>
      </c>
      <c r="C152" s="15">
        <v>33650</v>
      </c>
      <c r="D152" s="13">
        <v>55</v>
      </c>
      <c r="F152" s="12" t="s">
        <v>544</v>
      </c>
      <c r="G152" s="12" t="s">
        <v>159</v>
      </c>
      <c r="H152" s="15">
        <v>357400</v>
      </c>
      <c r="I152" s="13">
        <v>58</v>
      </c>
      <c r="K152" s="12" t="s">
        <v>177</v>
      </c>
      <c r="L152" s="12" t="s">
        <v>157</v>
      </c>
      <c r="M152" s="15">
        <v>193274</v>
      </c>
      <c r="N152" s="13">
        <v>48</v>
      </c>
    </row>
    <row r="153" spans="1:14">
      <c r="A153" s="12" t="s">
        <v>545</v>
      </c>
      <c r="B153" s="12" t="s">
        <v>157</v>
      </c>
      <c r="C153" s="15">
        <v>199857</v>
      </c>
      <c r="D153" s="13">
        <v>55</v>
      </c>
      <c r="F153" s="12" t="s">
        <v>546</v>
      </c>
      <c r="G153" s="12" t="s">
        <v>159</v>
      </c>
      <c r="H153" s="15">
        <v>100100</v>
      </c>
      <c r="I153" s="13">
        <v>58</v>
      </c>
      <c r="K153" s="12" t="s">
        <v>547</v>
      </c>
      <c r="L153" s="12" t="s">
        <v>157</v>
      </c>
      <c r="M153" s="15">
        <v>4874978</v>
      </c>
      <c r="N153" s="13">
        <v>48</v>
      </c>
    </row>
    <row r="154" spans="1:14">
      <c r="A154" s="12" t="s">
        <v>548</v>
      </c>
      <c r="B154" s="12" t="s">
        <v>157</v>
      </c>
      <c r="C154" s="15">
        <v>266897</v>
      </c>
      <c r="D154" s="13">
        <v>54</v>
      </c>
      <c r="F154" s="12" t="s">
        <v>549</v>
      </c>
      <c r="G154" s="12" t="s">
        <v>159</v>
      </c>
      <c r="H154" s="15">
        <v>71100</v>
      </c>
      <c r="I154" s="13">
        <v>58</v>
      </c>
      <c r="K154" s="12" t="s">
        <v>170</v>
      </c>
      <c r="L154" s="12" t="s">
        <v>157</v>
      </c>
      <c r="M154" s="15">
        <v>102609</v>
      </c>
      <c r="N154" s="13">
        <v>48</v>
      </c>
    </row>
    <row r="155" spans="1:14">
      <c r="A155" s="12" t="s">
        <v>550</v>
      </c>
      <c r="B155" s="12" t="s">
        <v>157</v>
      </c>
      <c r="C155" s="15">
        <v>155290</v>
      </c>
      <c r="D155" s="13">
        <v>54</v>
      </c>
      <c r="F155" s="12" t="s">
        <v>551</v>
      </c>
      <c r="G155" s="12" t="s">
        <v>159</v>
      </c>
      <c r="H155" s="15">
        <v>314574</v>
      </c>
      <c r="I155" s="13">
        <v>58</v>
      </c>
      <c r="K155" s="12" t="s">
        <v>529</v>
      </c>
      <c r="L155" s="12" t="s">
        <v>157</v>
      </c>
      <c r="M155" s="15">
        <v>409413</v>
      </c>
      <c r="N155" s="13">
        <v>48</v>
      </c>
    </row>
    <row r="156" spans="1:14">
      <c r="A156" s="12" t="s">
        <v>552</v>
      </c>
      <c r="B156" s="12" t="s">
        <v>157</v>
      </c>
      <c r="C156" s="15">
        <v>196466</v>
      </c>
      <c r="D156" s="13">
        <v>54</v>
      </c>
      <c r="F156" s="12" t="s">
        <v>553</v>
      </c>
      <c r="G156" s="12" t="s">
        <v>159</v>
      </c>
      <c r="H156" s="15">
        <v>14100</v>
      </c>
      <c r="I156" s="13">
        <v>58</v>
      </c>
      <c r="K156" s="12" t="s">
        <v>554</v>
      </c>
      <c r="L156" s="12" t="s">
        <v>157</v>
      </c>
      <c r="M156" s="15">
        <v>232244</v>
      </c>
      <c r="N156" s="13">
        <v>48</v>
      </c>
    </row>
    <row r="157" spans="1:14">
      <c r="A157" s="12" t="s">
        <v>524</v>
      </c>
      <c r="B157" s="12" t="s">
        <v>157</v>
      </c>
      <c r="C157" s="15">
        <v>197803</v>
      </c>
      <c r="D157" s="13">
        <v>54</v>
      </c>
      <c r="F157" s="12" t="s">
        <v>555</v>
      </c>
      <c r="G157" s="12" t="s">
        <v>159</v>
      </c>
      <c r="H157" s="15">
        <v>20600</v>
      </c>
      <c r="I157" s="13">
        <v>58</v>
      </c>
      <c r="K157" s="12" t="s">
        <v>212</v>
      </c>
      <c r="L157" s="12" t="s">
        <v>157</v>
      </c>
      <c r="M157" s="15">
        <v>117740</v>
      </c>
      <c r="N157" s="13">
        <v>48</v>
      </c>
    </row>
    <row r="158" spans="1:14">
      <c r="A158" s="12" t="s">
        <v>556</v>
      </c>
      <c r="B158" s="12" t="s">
        <v>157</v>
      </c>
      <c r="C158" s="15">
        <v>1525475</v>
      </c>
      <c r="D158" s="13">
        <v>54</v>
      </c>
      <c r="F158" s="12" t="s">
        <v>557</v>
      </c>
      <c r="G158" s="12" t="s">
        <v>159</v>
      </c>
      <c r="H158" s="15">
        <v>33095</v>
      </c>
      <c r="I158" s="13">
        <v>58</v>
      </c>
      <c r="K158" s="12" t="s">
        <v>558</v>
      </c>
      <c r="L158" s="12" t="s">
        <v>157</v>
      </c>
      <c r="M158" s="15">
        <v>117988</v>
      </c>
      <c r="N158" s="13">
        <v>48</v>
      </c>
    </row>
    <row r="159" spans="1:14">
      <c r="A159" s="12" t="s">
        <v>559</v>
      </c>
      <c r="B159" s="12" t="s">
        <v>157</v>
      </c>
      <c r="C159" s="15">
        <v>47226</v>
      </c>
      <c r="D159" s="13">
        <v>53</v>
      </c>
      <c r="F159" s="12" t="s">
        <v>560</v>
      </c>
      <c r="G159" s="12" t="s">
        <v>159</v>
      </c>
      <c r="H159" s="15">
        <v>93400</v>
      </c>
      <c r="I159" s="13">
        <v>58</v>
      </c>
      <c r="K159" s="12" t="s">
        <v>215</v>
      </c>
      <c r="L159" s="12" t="s">
        <v>157</v>
      </c>
      <c r="M159" s="15">
        <v>2961548</v>
      </c>
      <c r="N159" s="13">
        <v>48</v>
      </c>
    </row>
    <row r="160" spans="1:14">
      <c r="A160" s="12" t="s">
        <v>554</v>
      </c>
      <c r="B160" s="12" t="s">
        <v>157</v>
      </c>
      <c r="C160" s="15">
        <v>232244</v>
      </c>
      <c r="D160" s="13">
        <v>53</v>
      </c>
      <c r="F160" s="12" t="s">
        <v>561</v>
      </c>
      <c r="G160" s="12" t="s">
        <v>159</v>
      </c>
      <c r="H160" s="15">
        <v>106300</v>
      </c>
      <c r="I160" s="13">
        <v>58</v>
      </c>
      <c r="K160" s="12" t="s">
        <v>176</v>
      </c>
      <c r="L160" s="12" t="s">
        <v>157</v>
      </c>
      <c r="M160" s="15">
        <v>740575</v>
      </c>
      <c r="N160" s="13">
        <v>48</v>
      </c>
    </row>
    <row r="161" spans="1:14">
      <c r="A161" s="12" t="s">
        <v>558</v>
      </c>
      <c r="B161" s="12" t="s">
        <v>157</v>
      </c>
      <c r="C161" s="15">
        <v>117988</v>
      </c>
      <c r="D161" s="13">
        <v>53</v>
      </c>
      <c r="F161" s="12" t="s">
        <v>562</v>
      </c>
      <c r="G161" s="12" t="s">
        <v>159</v>
      </c>
      <c r="H161" s="15">
        <v>20000</v>
      </c>
      <c r="I161" s="13">
        <v>58</v>
      </c>
      <c r="K161" s="12" t="s">
        <v>563</v>
      </c>
      <c r="L161" s="12" t="s">
        <v>157</v>
      </c>
      <c r="M161" s="15">
        <v>586677</v>
      </c>
      <c r="N161" s="13">
        <v>48</v>
      </c>
    </row>
    <row r="162" spans="1:14">
      <c r="A162" s="12" t="s">
        <v>564</v>
      </c>
      <c r="B162" s="12" t="s">
        <v>157</v>
      </c>
      <c r="C162" s="15">
        <v>216560</v>
      </c>
      <c r="D162" s="13">
        <v>53</v>
      </c>
      <c r="F162" s="12" t="s">
        <v>565</v>
      </c>
      <c r="G162" s="12" t="s">
        <v>159</v>
      </c>
      <c r="H162" s="15">
        <v>69000</v>
      </c>
      <c r="I162" s="13">
        <v>58</v>
      </c>
      <c r="K162" s="12" t="s">
        <v>566</v>
      </c>
      <c r="L162" s="12" t="s">
        <v>157</v>
      </c>
      <c r="M162" s="15">
        <v>630106</v>
      </c>
      <c r="N162" s="13">
        <v>48</v>
      </c>
    </row>
    <row r="163" spans="1:14">
      <c r="A163" s="12" t="s">
        <v>567</v>
      </c>
      <c r="B163" s="12" t="s">
        <v>157</v>
      </c>
      <c r="C163" s="15">
        <v>55152</v>
      </c>
      <c r="D163" s="13">
        <v>53</v>
      </c>
      <c r="F163" s="12" t="s">
        <v>568</v>
      </c>
      <c r="G163" s="12" t="s">
        <v>159</v>
      </c>
      <c r="H163" s="15">
        <v>190990</v>
      </c>
      <c r="I163" s="13">
        <v>58</v>
      </c>
      <c r="K163" s="12" t="s">
        <v>569</v>
      </c>
      <c r="L163" s="12" t="s">
        <v>157</v>
      </c>
      <c r="M163" s="15">
        <v>123528</v>
      </c>
      <c r="N163" s="13">
        <v>48</v>
      </c>
    </row>
    <row r="164" spans="1:14">
      <c r="A164" s="12" t="s">
        <v>566</v>
      </c>
      <c r="B164" s="12" t="s">
        <v>157</v>
      </c>
      <c r="C164" s="15">
        <v>630106</v>
      </c>
      <c r="D164" s="13">
        <v>53</v>
      </c>
      <c r="F164" s="12" t="s">
        <v>570</v>
      </c>
      <c r="G164" s="12" t="s">
        <v>159</v>
      </c>
      <c r="H164" s="15">
        <v>41934</v>
      </c>
      <c r="I164" s="13">
        <v>58</v>
      </c>
      <c r="K164" s="12" t="s">
        <v>571</v>
      </c>
      <c r="L164" s="12" t="s">
        <v>157</v>
      </c>
      <c r="M164" s="15">
        <v>163961</v>
      </c>
      <c r="N164" s="13">
        <v>48</v>
      </c>
    </row>
    <row r="165" spans="1:14">
      <c r="A165" s="12" t="s">
        <v>572</v>
      </c>
      <c r="B165" s="12" t="s">
        <v>157</v>
      </c>
      <c r="C165" s="15">
        <v>78853</v>
      </c>
      <c r="D165" s="13">
        <v>53</v>
      </c>
      <c r="F165" s="12" t="s">
        <v>573</v>
      </c>
      <c r="G165" s="12" t="s">
        <v>159</v>
      </c>
      <c r="H165" s="15">
        <v>58500</v>
      </c>
      <c r="I165" s="13">
        <v>58</v>
      </c>
      <c r="K165" s="12" t="s">
        <v>574</v>
      </c>
      <c r="L165" s="12" t="s">
        <v>157</v>
      </c>
      <c r="M165" s="15">
        <v>142670</v>
      </c>
      <c r="N165" s="13">
        <v>48</v>
      </c>
    </row>
    <row r="166" spans="1:14">
      <c r="A166" s="12" t="s">
        <v>575</v>
      </c>
      <c r="B166" s="12" t="s">
        <v>157</v>
      </c>
      <c r="C166" s="15">
        <v>47304</v>
      </c>
      <c r="D166" s="13">
        <v>53</v>
      </c>
      <c r="F166" s="12" t="s">
        <v>576</v>
      </c>
      <c r="G166" s="12" t="s">
        <v>159</v>
      </c>
      <c r="H166" s="15">
        <v>58300</v>
      </c>
      <c r="I166" s="13">
        <v>58</v>
      </c>
      <c r="K166" s="12" t="s">
        <v>184</v>
      </c>
      <c r="L166" s="12" t="s">
        <v>157</v>
      </c>
      <c r="M166" s="15">
        <v>729181</v>
      </c>
      <c r="N166" s="13">
        <v>48</v>
      </c>
    </row>
    <row r="167" spans="1:14">
      <c r="A167" s="12" t="s">
        <v>577</v>
      </c>
      <c r="B167" s="12" t="s">
        <v>157</v>
      </c>
      <c r="C167" s="15">
        <v>63841</v>
      </c>
      <c r="D167" s="13">
        <v>53</v>
      </c>
      <c r="F167" s="12" t="s">
        <v>578</v>
      </c>
      <c r="G167" s="12" t="s">
        <v>159</v>
      </c>
      <c r="H167" s="15">
        <v>45800</v>
      </c>
      <c r="I167" s="13">
        <v>58</v>
      </c>
      <c r="K167" s="12" t="s">
        <v>179</v>
      </c>
      <c r="L167" s="12" t="s">
        <v>157</v>
      </c>
      <c r="M167" s="15">
        <v>324971</v>
      </c>
      <c r="N167" s="13">
        <v>48</v>
      </c>
    </row>
    <row r="168" spans="1:14">
      <c r="A168" s="12" t="s">
        <v>579</v>
      </c>
      <c r="B168" s="12" t="s">
        <v>157</v>
      </c>
      <c r="C168" s="15">
        <v>39942</v>
      </c>
      <c r="D168" s="13">
        <v>53</v>
      </c>
      <c r="F168" s="12" t="s">
        <v>580</v>
      </c>
      <c r="G168" s="12" t="s">
        <v>159</v>
      </c>
      <c r="H168" s="15">
        <v>98909</v>
      </c>
      <c r="I168" s="13">
        <v>58</v>
      </c>
      <c r="K168" s="12" t="s">
        <v>581</v>
      </c>
      <c r="L168" s="12" t="s">
        <v>157</v>
      </c>
      <c r="M168" s="15">
        <v>139486</v>
      </c>
      <c r="N168" s="13">
        <v>48</v>
      </c>
    </row>
    <row r="169" spans="1:14">
      <c r="A169" s="12" t="s">
        <v>582</v>
      </c>
      <c r="B169" s="12" t="s">
        <v>157</v>
      </c>
      <c r="C169" s="15">
        <v>162215</v>
      </c>
      <c r="D169" s="13">
        <v>53</v>
      </c>
      <c r="F169" s="12" t="s">
        <v>583</v>
      </c>
      <c r="G169" s="12" t="s">
        <v>159</v>
      </c>
      <c r="H169" s="15">
        <v>111800</v>
      </c>
      <c r="I169" s="13">
        <v>58</v>
      </c>
      <c r="K169" s="12" t="s">
        <v>584</v>
      </c>
      <c r="L169" s="12" t="s">
        <v>159</v>
      </c>
      <c r="M169" s="15">
        <v>1000000</v>
      </c>
      <c r="N169" s="13">
        <v>48</v>
      </c>
    </row>
    <row r="170" spans="1:14">
      <c r="A170" s="12" t="s">
        <v>535</v>
      </c>
      <c r="B170" s="12" t="s">
        <v>157</v>
      </c>
      <c r="C170" s="15">
        <v>110332</v>
      </c>
      <c r="D170" s="13">
        <v>53</v>
      </c>
      <c r="F170" s="12" t="s">
        <v>585</v>
      </c>
      <c r="G170" s="12" t="s">
        <v>159</v>
      </c>
      <c r="H170" s="15">
        <v>27400</v>
      </c>
      <c r="I170" s="13">
        <v>58</v>
      </c>
      <c r="K170" s="12" t="s">
        <v>586</v>
      </c>
      <c r="L170" s="12" t="s">
        <v>157</v>
      </c>
      <c r="M170" s="15">
        <v>17452714</v>
      </c>
      <c r="N170" s="13">
        <v>48</v>
      </c>
    </row>
    <row r="171" spans="1:14">
      <c r="A171" s="12" t="s">
        <v>587</v>
      </c>
      <c r="B171" s="12" t="s">
        <v>157</v>
      </c>
      <c r="C171" s="15">
        <v>94447</v>
      </c>
      <c r="D171" s="13">
        <v>53</v>
      </c>
      <c r="F171" s="12" t="s">
        <v>588</v>
      </c>
      <c r="G171" s="12" t="s">
        <v>159</v>
      </c>
      <c r="H171" s="15">
        <v>10365</v>
      </c>
      <c r="I171" s="13">
        <v>58</v>
      </c>
      <c r="K171" s="12" t="s">
        <v>181</v>
      </c>
      <c r="L171" s="12" t="s">
        <v>157</v>
      </c>
      <c r="M171" s="15">
        <v>429570</v>
      </c>
      <c r="N171" s="13">
        <v>48</v>
      </c>
    </row>
    <row r="172" spans="1:14">
      <c r="A172" s="12" t="s">
        <v>589</v>
      </c>
      <c r="B172" s="12" t="s">
        <v>157</v>
      </c>
      <c r="C172" s="15">
        <v>509170</v>
      </c>
      <c r="D172" s="13">
        <v>53</v>
      </c>
      <c r="F172" s="12" t="s">
        <v>590</v>
      </c>
      <c r="G172" s="12" t="s">
        <v>157</v>
      </c>
      <c r="H172" s="15">
        <v>25965</v>
      </c>
      <c r="I172" s="13">
        <v>58</v>
      </c>
      <c r="K172" s="12" t="s">
        <v>591</v>
      </c>
      <c r="L172" s="12" t="s">
        <v>157</v>
      </c>
      <c r="M172" s="15">
        <v>119230</v>
      </c>
      <c r="N172" s="13">
        <v>48</v>
      </c>
    </row>
    <row r="173" spans="1:14">
      <c r="A173" s="12" t="s">
        <v>592</v>
      </c>
      <c r="B173" s="12" t="s">
        <v>157</v>
      </c>
      <c r="C173" s="15">
        <v>332442</v>
      </c>
      <c r="D173" s="13">
        <v>53</v>
      </c>
      <c r="F173" s="12" t="s">
        <v>593</v>
      </c>
      <c r="G173" s="12" t="s">
        <v>157</v>
      </c>
      <c r="H173" s="15">
        <v>109311</v>
      </c>
      <c r="I173" s="13">
        <v>58</v>
      </c>
      <c r="K173" s="12" t="s">
        <v>589</v>
      </c>
      <c r="L173" s="12" t="s">
        <v>157</v>
      </c>
      <c r="M173" s="15">
        <v>509170</v>
      </c>
      <c r="N173" s="13">
        <v>48</v>
      </c>
    </row>
    <row r="174" spans="1:14">
      <c r="A174" s="12" t="s">
        <v>594</v>
      </c>
      <c r="B174" s="12" t="s">
        <v>157</v>
      </c>
      <c r="C174" s="15">
        <v>158500</v>
      </c>
      <c r="D174" s="13">
        <v>53</v>
      </c>
      <c r="F174" s="12" t="s">
        <v>595</v>
      </c>
      <c r="G174" s="12" t="s">
        <v>159</v>
      </c>
      <c r="H174" s="15">
        <v>11873</v>
      </c>
      <c r="I174" s="13">
        <v>58</v>
      </c>
      <c r="K174" s="12" t="s">
        <v>592</v>
      </c>
      <c r="L174" s="12" t="s">
        <v>157</v>
      </c>
      <c r="M174" s="15">
        <v>332442</v>
      </c>
      <c r="N174" s="13">
        <v>48</v>
      </c>
    </row>
    <row r="175" spans="1:14">
      <c r="A175" s="12" t="s">
        <v>596</v>
      </c>
      <c r="B175" s="12" t="s">
        <v>157</v>
      </c>
      <c r="C175" s="15">
        <v>20480</v>
      </c>
      <c r="D175" s="13">
        <v>52</v>
      </c>
      <c r="F175" s="12" t="s">
        <v>597</v>
      </c>
      <c r="G175" s="12" t="s">
        <v>159</v>
      </c>
      <c r="H175" s="15">
        <v>57600</v>
      </c>
      <c r="I175" s="13">
        <v>58</v>
      </c>
      <c r="K175" s="12" t="s">
        <v>293</v>
      </c>
      <c r="L175" s="12" t="s">
        <v>157</v>
      </c>
      <c r="M175" s="15">
        <v>142611</v>
      </c>
      <c r="N175" s="13">
        <v>48</v>
      </c>
    </row>
    <row r="176" spans="1:14">
      <c r="A176" s="12" t="s">
        <v>598</v>
      </c>
      <c r="B176" s="12" t="s">
        <v>157</v>
      </c>
      <c r="C176" s="15">
        <v>18018065</v>
      </c>
      <c r="D176" s="13">
        <v>52</v>
      </c>
      <c r="F176" s="12" t="s">
        <v>481</v>
      </c>
      <c r="G176" s="12" t="s">
        <v>157</v>
      </c>
      <c r="H176" s="15">
        <v>122579</v>
      </c>
      <c r="I176" s="13">
        <v>57</v>
      </c>
      <c r="K176" s="12" t="s">
        <v>183</v>
      </c>
      <c r="L176" s="12" t="s">
        <v>157</v>
      </c>
      <c r="M176" s="15">
        <v>299227</v>
      </c>
      <c r="N176" s="13">
        <v>48</v>
      </c>
    </row>
    <row r="177" spans="1:14">
      <c r="A177" s="12" t="s">
        <v>599</v>
      </c>
      <c r="B177" s="12" t="s">
        <v>157</v>
      </c>
      <c r="C177" s="15">
        <v>89454</v>
      </c>
      <c r="D177" s="13">
        <v>52</v>
      </c>
      <c r="F177" s="12" t="s">
        <v>552</v>
      </c>
      <c r="G177" s="12" t="s">
        <v>157</v>
      </c>
      <c r="H177" s="15">
        <v>196466</v>
      </c>
      <c r="I177" s="13">
        <v>57</v>
      </c>
      <c r="K177" s="12" t="s">
        <v>186</v>
      </c>
      <c r="L177" s="12" t="s">
        <v>157</v>
      </c>
      <c r="M177" s="15">
        <v>121140</v>
      </c>
      <c r="N177" s="13">
        <v>48</v>
      </c>
    </row>
    <row r="178" spans="1:14">
      <c r="A178" s="12" t="s">
        <v>600</v>
      </c>
      <c r="B178" s="12" t="s">
        <v>157</v>
      </c>
      <c r="C178" s="15">
        <v>574646</v>
      </c>
      <c r="D178" s="13">
        <v>52</v>
      </c>
      <c r="F178" s="12" t="s">
        <v>601</v>
      </c>
      <c r="G178" s="12" t="s">
        <v>159</v>
      </c>
      <c r="H178" s="15">
        <v>1400000</v>
      </c>
      <c r="I178" s="13">
        <v>57</v>
      </c>
      <c r="K178" s="12" t="s">
        <v>545</v>
      </c>
      <c r="L178" s="12" t="s">
        <v>157</v>
      </c>
      <c r="M178" s="15">
        <v>199857</v>
      </c>
      <c r="N178" s="13">
        <v>48</v>
      </c>
    </row>
    <row r="179" spans="1:14">
      <c r="A179" s="12" t="s">
        <v>602</v>
      </c>
      <c r="B179" s="12" t="s">
        <v>157</v>
      </c>
      <c r="C179" s="15">
        <v>11068</v>
      </c>
      <c r="D179" s="13">
        <v>52</v>
      </c>
      <c r="F179" s="12" t="s">
        <v>241</v>
      </c>
      <c r="G179" s="12" t="s">
        <v>157</v>
      </c>
      <c r="H179" s="15">
        <v>306528</v>
      </c>
      <c r="I179" s="13">
        <v>57</v>
      </c>
      <c r="K179" s="12" t="s">
        <v>188</v>
      </c>
      <c r="L179" s="12" t="s">
        <v>157</v>
      </c>
      <c r="M179" s="15">
        <v>2011129</v>
      </c>
      <c r="N179" s="13">
        <v>48</v>
      </c>
    </row>
    <row r="180" spans="1:14">
      <c r="A180" s="12" t="s">
        <v>603</v>
      </c>
      <c r="B180" s="12" t="s">
        <v>157</v>
      </c>
      <c r="C180" s="15">
        <v>22862</v>
      </c>
      <c r="D180" s="13">
        <v>52</v>
      </c>
      <c r="F180" s="12" t="s">
        <v>497</v>
      </c>
      <c r="G180" s="12" t="s">
        <v>157</v>
      </c>
      <c r="H180" s="15">
        <v>543897</v>
      </c>
      <c r="I180" s="13">
        <v>57</v>
      </c>
      <c r="K180" s="12" t="s">
        <v>604</v>
      </c>
      <c r="L180" s="12" t="s">
        <v>157</v>
      </c>
      <c r="M180" s="15">
        <v>113967</v>
      </c>
      <c r="N180" s="13">
        <v>48</v>
      </c>
    </row>
    <row r="181" spans="1:14">
      <c r="A181" s="12" t="s">
        <v>605</v>
      </c>
      <c r="B181" s="12" t="s">
        <v>157</v>
      </c>
      <c r="C181" s="15">
        <v>82105</v>
      </c>
      <c r="D181" s="13">
        <v>52</v>
      </c>
      <c r="F181" s="12" t="s">
        <v>606</v>
      </c>
      <c r="G181" s="12" t="s">
        <v>157</v>
      </c>
      <c r="H181" s="15">
        <v>101429</v>
      </c>
      <c r="I181" s="13">
        <v>57</v>
      </c>
      <c r="K181" s="12" t="s">
        <v>607</v>
      </c>
      <c r="L181" s="12" t="s">
        <v>157</v>
      </c>
      <c r="M181" s="15">
        <v>270553</v>
      </c>
      <c r="N181" s="13">
        <v>47</v>
      </c>
    </row>
    <row r="182" spans="1:14">
      <c r="A182" s="12" t="s">
        <v>608</v>
      </c>
      <c r="B182" s="12" t="s">
        <v>157</v>
      </c>
      <c r="C182" s="15">
        <v>11948</v>
      </c>
      <c r="D182" s="13">
        <v>52</v>
      </c>
      <c r="F182" s="12" t="s">
        <v>500</v>
      </c>
      <c r="G182" s="12" t="s">
        <v>157</v>
      </c>
      <c r="H182" s="15">
        <v>130692</v>
      </c>
      <c r="I182" s="13">
        <v>57</v>
      </c>
      <c r="K182" s="12" t="s">
        <v>609</v>
      </c>
      <c r="L182" s="12" t="s">
        <v>157</v>
      </c>
      <c r="M182" s="15">
        <v>338011</v>
      </c>
      <c r="N182" s="13">
        <v>47</v>
      </c>
    </row>
    <row r="183" spans="1:14">
      <c r="A183" s="12" t="s">
        <v>610</v>
      </c>
      <c r="B183" s="12" t="s">
        <v>157</v>
      </c>
      <c r="C183" s="15">
        <v>117565</v>
      </c>
      <c r="D183" s="13">
        <v>52</v>
      </c>
      <c r="F183" s="12" t="s">
        <v>545</v>
      </c>
      <c r="G183" s="12" t="s">
        <v>157</v>
      </c>
      <c r="H183" s="15">
        <v>199857</v>
      </c>
      <c r="I183" s="13">
        <v>57</v>
      </c>
      <c r="K183" s="12" t="s">
        <v>611</v>
      </c>
      <c r="L183" s="12" t="s">
        <v>157</v>
      </c>
      <c r="M183" s="15">
        <v>127269</v>
      </c>
      <c r="N183" s="13">
        <v>47</v>
      </c>
    </row>
    <row r="184" spans="1:14">
      <c r="A184" s="12" t="s">
        <v>612</v>
      </c>
      <c r="B184" s="12" t="s">
        <v>157</v>
      </c>
      <c r="C184" s="15">
        <v>121983</v>
      </c>
      <c r="D184" s="13">
        <v>52</v>
      </c>
      <c r="F184" s="12" t="s">
        <v>503</v>
      </c>
      <c r="G184" s="12" t="s">
        <v>157</v>
      </c>
      <c r="H184" s="15">
        <v>108819</v>
      </c>
      <c r="I184" s="13">
        <v>57</v>
      </c>
      <c r="K184" s="12" t="s">
        <v>548</v>
      </c>
      <c r="L184" s="12" t="s">
        <v>157</v>
      </c>
      <c r="M184" s="15">
        <v>266897</v>
      </c>
      <c r="N184" s="13">
        <v>47</v>
      </c>
    </row>
    <row r="185" spans="1:14">
      <c r="A185" s="12" t="s">
        <v>613</v>
      </c>
      <c r="B185" s="12" t="s">
        <v>157</v>
      </c>
      <c r="C185" s="15">
        <v>420042</v>
      </c>
      <c r="D185" s="13">
        <v>52</v>
      </c>
      <c r="F185" s="12" t="s">
        <v>514</v>
      </c>
      <c r="G185" s="12" t="s">
        <v>157</v>
      </c>
      <c r="H185" s="15">
        <v>599856</v>
      </c>
      <c r="I185" s="13">
        <v>56</v>
      </c>
      <c r="K185" s="12" t="s">
        <v>550</v>
      </c>
      <c r="L185" s="12" t="s">
        <v>157</v>
      </c>
      <c r="M185" s="15">
        <v>155290</v>
      </c>
      <c r="N185" s="13">
        <v>47</v>
      </c>
    </row>
    <row r="186" spans="1:14">
      <c r="A186" s="12" t="s">
        <v>614</v>
      </c>
      <c r="B186" s="12" t="s">
        <v>157</v>
      </c>
      <c r="C186" s="15">
        <v>269064</v>
      </c>
      <c r="D186" s="13">
        <v>52</v>
      </c>
      <c r="F186" s="12" t="s">
        <v>517</v>
      </c>
      <c r="G186" s="12" t="s">
        <v>157</v>
      </c>
      <c r="H186" s="15">
        <v>383730</v>
      </c>
      <c r="I186" s="13">
        <v>56</v>
      </c>
      <c r="K186" s="12" t="s">
        <v>615</v>
      </c>
      <c r="L186" s="12" t="s">
        <v>157</v>
      </c>
      <c r="M186" s="15">
        <v>103086</v>
      </c>
      <c r="N186" s="13">
        <v>47</v>
      </c>
    </row>
    <row r="187" spans="1:14">
      <c r="A187" s="12" t="s">
        <v>616</v>
      </c>
      <c r="B187" s="12" t="s">
        <v>157</v>
      </c>
      <c r="C187" s="15">
        <v>627991</v>
      </c>
      <c r="D187" s="13">
        <v>52</v>
      </c>
      <c r="F187" s="12" t="s">
        <v>519</v>
      </c>
      <c r="G187" s="12" t="s">
        <v>157</v>
      </c>
      <c r="H187" s="15">
        <v>180114</v>
      </c>
      <c r="I187" s="13">
        <v>56</v>
      </c>
      <c r="K187" s="12" t="s">
        <v>617</v>
      </c>
      <c r="L187" s="12" t="s">
        <v>157</v>
      </c>
      <c r="M187" s="15">
        <v>125584</v>
      </c>
      <c r="N187" s="13">
        <v>47</v>
      </c>
    </row>
    <row r="188" spans="1:14">
      <c r="A188" s="12" t="s">
        <v>618</v>
      </c>
      <c r="B188" s="12" t="s">
        <v>157</v>
      </c>
      <c r="C188" s="15">
        <v>23624</v>
      </c>
      <c r="D188" s="13">
        <v>52</v>
      </c>
      <c r="F188" s="12" t="s">
        <v>488</v>
      </c>
      <c r="G188" s="12" t="s">
        <v>159</v>
      </c>
      <c r="H188" s="15">
        <v>24400000</v>
      </c>
      <c r="I188" s="13">
        <v>56</v>
      </c>
      <c r="K188" s="12" t="s">
        <v>619</v>
      </c>
      <c r="L188" s="12" t="s">
        <v>157</v>
      </c>
      <c r="M188" s="15">
        <v>284438</v>
      </c>
      <c r="N188" s="13">
        <v>47</v>
      </c>
    </row>
    <row r="189" spans="1:14">
      <c r="A189" s="12" t="s">
        <v>620</v>
      </c>
      <c r="B189" s="12" t="s">
        <v>157</v>
      </c>
      <c r="C189" s="15">
        <v>251163</v>
      </c>
      <c r="D189" s="13">
        <v>52</v>
      </c>
      <c r="F189" s="12" t="s">
        <v>467</v>
      </c>
      <c r="G189" s="12" t="s">
        <v>159</v>
      </c>
      <c r="H189" s="15">
        <v>26200000</v>
      </c>
      <c r="I189" s="13">
        <v>56</v>
      </c>
      <c r="K189" s="12" t="s">
        <v>552</v>
      </c>
      <c r="L189" s="12" t="s">
        <v>157</v>
      </c>
      <c r="M189" s="15">
        <v>196466</v>
      </c>
      <c r="N189" s="13">
        <v>47</v>
      </c>
    </row>
    <row r="190" spans="1:14">
      <c r="A190" s="12" t="s">
        <v>621</v>
      </c>
      <c r="B190" s="12" t="s">
        <v>157</v>
      </c>
      <c r="C190" s="15">
        <v>142728</v>
      </c>
      <c r="D190" s="13">
        <v>52</v>
      </c>
      <c r="F190" s="12" t="s">
        <v>187</v>
      </c>
      <c r="G190" s="12" t="s">
        <v>159</v>
      </c>
      <c r="H190" s="15">
        <v>2100000</v>
      </c>
      <c r="I190" s="13">
        <v>56</v>
      </c>
      <c r="K190" s="12" t="s">
        <v>622</v>
      </c>
      <c r="L190" s="12" t="s">
        <v>157</v>
      </c>
      <c r="M190" s="15">
        <v>1385758</v>
      </c>
      <c r="N190" s="13">
        <v>47</v>
      </c>
    </row>
    <row r="191" spans="1:14">
      <c r="A191" s="12" t="s">
        <v>623</v>
      </c>
      <c r="B191" s="12" t="s">
        <v>157</v>
      </c>
      <c r="C191" s="15">
        <v>12694</v>
      </c>
      <c r="D191" s="13">
        <v>52</v>
      </c>
      <c r="F191" s="12" t="s">
        <v>624</v>
      </c>
      <c r="G191" s="12" t="s">
        <v>157</v>
      </c>
      <c r="H191" s="15">
        <v>125925</v>
      </c>
      <c r="I191" s="13">
        <v>56</v>
      </c>
      <c r="K191" s="12" t="s">
        <v>625</v>
      </c>
      <c r="L191" s="12" t="s">
        <v>157</v>
      </c>
      <c r="M191" s="15">
        <v>103099</v>
      </c>
      <c r="N191" s="13">
        <v>47</v>
      </c>
    </row>
    <row r="192" spans="1:14">
      <c r="A192" s="12" t="s">
        <v>626</v>
      </c>
      <c r="B192" s="12" t="s">
        <v>157</v>
      </c>
      <c r="C192" s="15">
        <v>143556</v>
      </c>
      <c r="D192" s="13">
        <v>51</v>
      </c>
      <c r="F192" s="12" t="s">
        <v>612</v>
      </c>
      <c r="G192" s="12" t="s">
        <v>157</v>
      </c>
      <c r="H192" s="15">
        <v>121983</v>
      </c>
      <c r="I192" s="13">
        <v>56</v>
      </c>
      <c r="K192" s="12" t="s">
        <v>627</v>
      </c>
      <c r="L192" s="12" t="s">
        <v>157</v>
      </c>
      <c r="M192" s="15">
        <v>131902</v>
      </c>
      <c r="N192" s="13">
        <v>47</v>
      </c>
    </row>
    <row r="193" spans="1:14">
      <c r="A193" s="12" t="s">
        <v>628</v>
      </c>
      <c r="B193" s="12" t="s">
        <v>157</v>
      </c>
      <c r="C193" s="15">
        <v>287121</v>
      </c>
      <c r="D193" s="13">
        <v>51</v>
      </c>
      <c r="F193" s="12" t="s">
        <v>190</v>
      </c>
      <c r="G193" s="12" t="s">
        <v>159</v>
      </c>
      <c r="H193" s="15">
        <v>4900000</v>
      </c>
      <c r="I193" s="13">
        <v>55</v>
      </c>
      <c r="K193" s="12" t="s">
        <v>629</v>
      </c>
      <c r="L193" s="12" t="s">
        <v>157</v>
      </c>
      <c r="M193" s="15">
        <v>1175193</v>
      </c>
      <c r="N193" s="13">
        <v>47</v>
      </c>
    </row>
    <row r="194" spans="1:14">
      <c r="A194" s="12" t="s">
        <v>630</v>
      </c>
      <c r="B194" s="12" t="s">
        <v>157</v>
      </c>
      <c r="C194" s="15">
        <v>23551</v>
      </c>
      <c r="D194" s="13">
        <v>51</v>
      </c>
      <c r="F194" s="12" t="s">
        <v>193</v>
      </c>
      <c r="G194" s="12" t="s">
        <v>157</v>
      </c>
      <c r="H194" s="15">
        <v>1185494</v>
      </c>
      <c r="I194" s="13">
        <v>55</v>
      </c>
      <c r="K194" s="12" t="s">
        <v>631</v>
      </c>
      <c r="L194" s="12" t="s">
        <v>157</v>
      </c>
      <c r="M194" s="15">
        <v>236465</v>
      </c>
      <c r="N194" s="13">
        <v>47</v>
      </c>
    </row>
    <row r="195" spans="1:14">
      <c r="A195" s="12" t="s">
        <v>632</v>
      </c>
      <c r="B195" s="12" t="s">
        <v>157</v>
      </c>
      <c r="C195" s="15">
        <v>236121</v>
      </c>
      <c r="D195" s="13">
        <v>51</v>
      </c>
      <c r="F195" s="12" t="s">
        <v>196</v>
      </c>
      <c r="G195" s="12" t="s">
        <v>157</v>
      </c>
      <c r="H195" s="15">
        <v>144180</v>
      </c>
      <c r="I195" s="13">
        <v>55</v>
      </c>
      <c r="K195" s="12" t="s">
        <v>633</v>
      </c>
      <c r="L195" s="12" t="s">
        <v>157</v>
      </c>
      <c r="M195" s="15">
        <v>104773</v>
      </c>
      <c r="N195" s="13">
        <v>47</v>
      </c>
    </row>
    <row r="196" spans="1:14">
      <c r="A196" s="12" t="s">
        <v>634</v>
      </c>
      <c r="B196" s="12" t="s">
        <v>157</v>
      </c>
      <c r="C196" s="15">
        <v>16157</v>
      </c>
      <c r="D196" s="13">
        <v>51</v>
      </c>
      <c r="F196" s="12" t="s">
        <v>199</v>
      </c>
      <c r="G196" s="12" t="s">
        <v>157</v>
      </c>
      <c r="H196" s="15">
        <v>177789</v>
      </c>
      <c r="I196" s="13">
        <v>55</v>
      </c>
      <c r="K196" s="12" t="s">
        <v>635</v>
      </c>
      <c r="L196" s="12" t="s">
        <v>157</v>
      </c>
      <c r="M196" s="15">
        <v>113772</v>
      </c>
      <c r="N196" s="13">
        <v>47</v>
      </c>
    </row>
    <row r="197" spans="1:14">
      <c r="A197" s="12" t="s">
        <v>636</v>
      </c>
      <c r="B197" s="12" t="s">
        <v>157</v>
      </c>
      <c r="C197" s="15">
        <v>151397</v>
      </c>
      <c r="D197" s="13">
        <v>51</v>
      </c>
      <c r="F197" s="12" t="s">
        <v>559</v>
      </c>
      <c r="G197" s="12" t="s">
        <v>157</v>
      </c>
      <c r="H197" s="15">
        <v>47226</v>
      </c>
      <c r="I197" s="13">
        <v>55</v>
      </c>
      <c r="K197" s="12" t="s">
        <v>637</v>
      </c>
      <c r="L197" s="12" t="s">
        <v>157</v>
      </c>
      <c r="M197" s="15">
        <v>124133</v>
      </c>
      <c r="N197" s="13">
        <v>47</v>
      </c>
    </row>
    <row r="198" spans="1:14">
      <c r="A198" s="12" t="s">
        <v>638</v>
      </c>
      <c r="B198" s="12" t="s">
        <v>157</v>
      </c>
      <c r="C198" s="15">
        <v>79779</v>
      </c>
      <c r="D198" s="13">
        <v>51</v>
      </c>
      <c r="F198" s="12" t="s">
        <v>201</v>
      </c>
      <c r="G198" s="12" t="s">
        <v>157</v>
      </c>
      <c r="H198" s="15">
        <v>155620</v>
      </c>
      <c r="I198" s="13">
        <v>55</v>
      </c>
      <c r="K198" s="12" t="s">
        <v>639</v>
      </c>
      <c r="L198" s="12" t="s">
        <v>157</v>
      </c>
      <c r="M198" s="15">
        <v>130988</v>
      </c>
      <c r="N198" s="13">
        <v>47</v>
      </c>
    </row>
    <row r="199" spans="1:14">
      <c r="A199" s="12" t="s">
        <v>640</v>
      </c>
      <c r="B199" s="12" t="s">
        <v>157</v>
      </c>
      <c r="C199" s="15">
        <v>175629</v>
      </c>
      <c r="D199" s="13">
        <v>51</v>
      </c>
      <c r="F199" s="12" t="s">
        <v>203</v>
      </c>
      <c r="G199" s="12" t="s">
        <v>157</v>
      </c>
      <c r="H199" s="15">
        <v>3918239</v>
      </c>
      <c r="I199" s="13">
        <v>55</v>
      </c>
      <c r="K199" s="12" t="s">
        <v>490</v>
      </c>
      <c r="L199" s="12" t="s">
        <v>159</v>
      </c>
      <c r="M199" s="15">
        <v>12000000</v>
      </c>
      <c r="N199" s="13">
        <v>47</v>
      </c>
    </row>
    <row r="200" spans="1:14">
      <c r="A200" s="12" t="s">
        <v>641</v>
      </c>
      <c r="B200" s="12" t="s">
        <v>157</v>
      </c>
      <c r="C200" s="15">
        <v>96675</v>
      </c>
      <c r="D200" s="13">
        <v>51</v>
      </c>
      <c r="F200" s="12" t="s">
        <v>205</v>
      </c>
      <c r="G200" s="12" t="s">
        <v>157</v>
      </c>
      <c r="H200" s="15">
        <v>323501</v>
      </c>
      <c r="I200" s="13">
        <v>55</v>
      </c>
      <c r="K200" s="12" t="s">
        <v>642</v>
      </c>
      <c r="L200" s="12" t="s">
        <v>157</v>
      </c>
      <c r="M200" s="15">
        <v>572620</v>
      </c>
      <c r="N200" s="13">
        <v>47</v>
      </c>
    </row>
    <row r="201" spans="1:14">
      <c r="A201" s="12" t="s">
        <v>643</v>
      </c>
      <c r="B201" s="12" t="s">
        <v>157</v>
      </c>
      <c r="C201" s="15">
        <v>24054</v>
      </c>
      <c r="D201" s="13">
        <v>51</v>
      </c>
      <c r="F201" s="12" t="s">
        <v>208</v>
      </c>
      <c r="G201" s="12" t="s">
        <v>157</v>
      </c>
      <c r="H201" s="15">
        <v>961731</v>
      </c>
      <c r="I201" s="13">
        <v>55</v>
      </c>
      <c r="K201" s="12" t="s">
        <v>644</v>
      </c>
      <c r="L201" s="12" t="s">
        <v>157</v>
      </c>
      <c r="M201" s="15">
        <v>159379</v>
      </c>
      <c r="N201" s="13">
        <v>47</v>
      </c>
    </row>
    <row r="202" spans="1:14">
      <c r="A202" s="12" t="s">
        <v>645</v>
      </c>
      <c r="B202" s="12" t="s">
        <v>157</v>
      </c>
      <c r="C202" s="15">
        <v>22518</v>
      </c>
      <c r="D202" s="13">
        <v>51</v>
      </c>
      <c r="F202" s="12" t="s">
        <v>646</v>
      </c>
      <c r="G202" s="12" t="s">
        <v>157</v>
      </c>
      <c r="H202" s="15">
        <v>97550</v>
      </c>
      <c r="I202" s="13">
        <v>55</v>
      </c>
      <c r="K202" s="12" t="s">
        <v>647</v>
      </c>
      <c r="L202" s="12" t="s">
        <v>157</v>
      </c>
      <c r="M202" s="15">
        <v>2258700</v>
      </c>
      <c r="N202" s="13">
        <v>47</v>
      </c>
    </row>
    <row r="203" spans="1:14">
      <c r="A203" s="12" t="s">
        <v>648</v>
      </c>
      <c r="B203" s="12" t="s">
        <v>157</v>
      </c>
      <c r="C203" s="15">
        <v>76098</v>
      </c>
      <c r="D203" s="13">
        <v>51</v>
      </c>
      <c r="F203" s="12" t="s">
        <v>175</v>
      </c>
      <c r="G203" s="12" t="s">
        <v>157</v>
      </c>
      <c r="H203" s="15">
        <v>805581</v>
      </c>
      <c r="I203" s="13">
        <v>55</v>
      </c>
      <c r="K203" s="12" t="s">
        <v>649</v>
      </c>
      <c r="L203" s="12" t="s">
        <v>157</v>
      </c>
      <c r="M203" s="15">
        <v>14916540</v>
      </c>
      <c r="N203" s="13">
        <v>47</v>
      </c>
    </row>
    <row r="204" spans="1:14">
      <c r="A204" s="12" t="s">
        <v>650</v>
      </c>
      <c r="B204" s="12" t="s">
        <v>157</v>
      </c>
      <c r="C204" s="15">
        <v>25658</v>
      </c>
      <c r="D204" s="13">
        <v>51</v>
      </c>
      <c r="F204" s="12" t="s">
        <v>529</v>
      </c>
      <c r="G204" s="12" t="s">
        <v>157</v>
      </c>
      <c r="H204" s="15">
        <v>409413</v>
      </c>
      <c r="I204" s="13">
        <v>55</v>
      </c>
      <c r="K204" s="12" t="s">
        <v>651</v>
      </c>
      <c r="L204" s="12" t="s">
        <v>157</v>
      </c>
      <c r="M204" s="15">
        <v>359337</v>
      </c>
      <c r="N204" s="13">
        <v>47</v>
      </c>
    </row>
    <row r="205" spans="1:14">
      <c r="A205" s="12" t="s">
        <v>652</v>
      </c>
      <c r="B205" s="12" t="s">
        <v>157</v>
      </c>
      <c r="C205" s="15">
        <v>10661</v>
      </c>
      <c r="D205" s="13">
        <v>51</v>
      </c>
      <c r="F205" s="12" t="s">
        <v>211</v>
      </c>
      <c r="G205" s="12" t="s">
        <v>157</v>
      </c>
      <c r="H205" s="15">
        <v>1268275</v>
      </c>
      <c r="I205" s="13">
        <v>55</v>
      </c>
      <c r="K205" s="12" t="s">
        <v>653</v>
      </c>
      <c r="L205" s="12" t="s">
        <v>157</v>
      </c>
      <c r="M205" s="15">
        <v>101017</v>
      </c>
      <c r="N205" s="13">
        <v>47</v>
      </c>
    </row>
    <row r="206" spans="1:14">
      <c r="A206" s="12" t="s">
        <v>654</v>
      </c>
      <c r="B206" s="12" t="s">
        <v>157</v>
      </c>
      <c r="C206" s="15">
        <v>205371</v>
      </c>
      <c r="D206" s="13">
        <v>51</v>
      </c>
      <c r="F206" s="12" t="s">
        <v>655</v>
      </c>
      <c r="G206" s="12" t="s">
        <v>157</v>
      </c>
      <c r="H206" s="15">
        <v>73187</v>
      </c>
      <c r="I206" s="13">
        <v>55</v>
      </c>
      <c r="K206" s="12" t="s">
        <v>656</v>
      </c>
      <c r="L206" s="12" t="s">
        <v>157</v>
      </c>
      <c r="M206" s="15">
        <v>143159</v>
      </c>
      <c r="N206" s="13">
        <v>47</v>
      </c>
    </row>
    <row r="207" spans="1:14">
      <c r="A207" s="12" t="s">
        <v>657</v>
      </c>
      <c r="B207" s="12" t="s">
        <v>157</v>
      </c>
      <c r="C207" s="15">
        <v>323873</v>
      </c>
      <c r="D207" s="13">
        <v>51</v>
      </c>
      <c r="F207" s="12" t="s">
        <v>554</v>
      </c>
      <c r="G207" s="12" t="s">
        <v>157</v>
      </c>
      <c r="H207" s="15">
        <v>232244</v>
      </c>
      <c r="I207" s="13">
        <v>55</v>
      </c>
      <c r="K207" s="12" t="s">
        <v>658</v>
      </c>
      <c r="L207" s="12" t="s">
        <v>157</v>
      </c>
      <c r="M207" s="15">
        <v>218899</v>
      </c>
      <c r="N207" s="13">
        <v>47</v>
      </c>
    </row>
    <row r="208" spans="1:14">
      <c r="A208" s="12" t="s">
        <v>659</v>
      </c>
      <c r="B208" s="12" t="s">
        <v>157</v>
      </c>
      <c r="C208" s="15">
        <v>655177</v>
      </c>
      <c r="D208" s="13">
        <v>51</v>
      </c>
      <c r="F208" s="12" t="s">
        <v>660</v>
      </c>
      <c r="G208" s="12" t="s">
        <v>157</v>
      </c>
      <c r="H208" s="15">
        <v>86261</v>
      </c>
      <c r="I208" s="13">
        <v>55</v>
      </c>
      <c r="K208" s="12" t="s">
        <v>661</v>
      </c>
      <c r="L208" s="12" t="s">
        <v>157</v>
      </c>
      <c r="M208" s="15">
        <v>115486</v>
      </c>
      <c r="N208" s="13">
        <v>47</v>
      </c>
    </row>
    <row r="209" spans="1:14">
      <c r="A209" s="12" t="s">
        <v>662</v>
      </c>
      <c r="B209" s="12" t="s">
        <v>157</v>
      </c>
      <c r="C209" s="15">
        <v>113909</v>
      </c>
      <c r="D209" s="13">
        <v>51</v>
      </c>
      <c r="F209" s="12" t="s">
        <v>214</v>
      </c>
      <c r="G209" s="12" t="s">
        <v>157</v>
      </c>
      <c r="H209" s="15">
        <v>156604</v>
      </c>
      <c r="I209" s="13">
        <v>55</v>
      </c>
      <c r="K209" s="12" t="s">
        <v>663</v>
      </c>
      <c r="L209" s="12" t="s">
        <v>157</v>
      </c>
      <c r="M209" s="15">
        <v>117466</v>
      </c>
      <c r="N209" s="13">
        <v>47</v>
      </c>
    </row>
    <row r="210" spans="1:14">
      <c r="A210" s="12" t="s">
        <v>664</v>
      </c>
      <c r="B210" s="12" t="s">
        <v>157</v>
      </c>
      <c r="C210" s="15">
        <v>61196</v>
      </c>
      <c r="D210" s="13">
        <v>51</v>
      </c>
      <c r="F210" s="12" t="s">
        <v>558</v>
      </c>
      <c r="G210" s="12" t="s">
        <v>157</v>
      </c>
      <c r="H210" s="15">
        <v>117988</v>
      </c>
      <c r="I210" s="13">
        <v>55</v>
      </c>
      <c r="K210" s="12" t="s">
        <v>665</v>
      </c>
      <c r="L210" s="12" t="s">
        <v>157</v>
      </c>
      <c r="M210" s="15">
        <v>1026392</v>
      </c>
      <c r="N210" s="13">
        <v>47</v>
      </c>
    </row>
    <row r="211" spans="1:14">
      <c r="A211" s="12" t="s">
        <v>666</v>
      </c>
      <c r="B211" s="12" t="s">
        <v>157</v>
      </c>
      <c r="C211" s="15">
        <v>194787</v>
      </c>
      <c r="D211" s="13">
        <v>51</v>
      </c>
      <c r="F211" s="12" t="s">
        <v>216</v>
      </c>
      <c r="G211" s="12" t="s">
        <v>157</v>
      </c>
      <c r="H211" s="15">
        <v>3532582</v>
      </c>
      <c r="I211" s="13">
        <v>55</v>
      </c>
      <c r="K211" s="12" t="s">
        <v>667</v>
      </c>
      <c r="L211" s="12" t="s">
        <v>157</v>
      </c>
      <c r="M211" s="15">
        <v>435113</v>
      </c>
      <c r="N211" s="13">
        <v>47</v>
      </c>
    </row>
    <row r="212" spans="1:14">
      <c r="A212" s="12" t="s">
        <v>668</v>
      </c>
      <c r="B212" s="12" t="s">
        <v>157</v>
      </c>
      <c r="C212" s="15">
        <v>106471</v>
      </c>
      <c r="D212" s="13">
        <v>51</v>
      </c>
      <c r="F212" s="12" t="s">
        <v>217</v>
      </c>
      <c r="G212" s="12" t="s">
        <v>157</v>
      </c>
      <c r="H212" s="15">
        <v>195207</v>
      </c>
      <c r="I212" s="13">
        <v>55</v>
      </c>
      <c r="K212" s="12" t="s">
        <v>669</v>
      </c>
      <c r="L212" s="12" t="s">
        <v>157</v>
      </c>
      <c r="M212" s="15">
        <v>175984</v>
      </c>
      <c r="N212" s="13">
        <v>47</v>
      </c>
    </row>
    <row r="213" spans="1:14">
      <c r="A213" s="12" t="s">
        <v>670</v>
      </c>
      <c r="B213" s="12" t="s">
        <v>157</v>
      </c>
      <c r="C213" s="15">
        <v>14730</v>
      </c>
      <c r="D213" s="13">
        <v>51</v>
      </c>
      <c r="F213" s="12" t="s">
        <v>671</v>
      </c>
      <c r="G213" s="12" t="s">
        <v>157</v>
      </c>
      <c r="H213" s="15">
        <v>64960</v>
      </c>
      <c r="I213" s="13">
        <v>55</v>
      </c>
      <c r="K213" s="12" t="s">
        <v>556</v>
      </c>
      <c r="L213" s="12" t="s">
        <v>157</v>
      </c>
      <c r="M213" s="15">
        <v>1525475</v>
      </c>
      <c r="N213" s="13">
        <v>47</v>
      </c>
    </row>
    <row r="214" spans="1:14">
      <c r="A214" s="12" t="s">
        <v>672</v>
      </c>
      <c r="B214" s="12" t="s">
        <v>157</v>
      </c>
      <c r="C214" s="15">
        <v>148282</v>
      </c>
      <c r="D214" s="13">
        <v>51</v>
      </c>
      <c r="F214" s="12" t="s">
        <v>220</v>
      </c>
      <c r="G214" s="12" t="s">
        <v>157</v>
      </c>
      <c r="H214" s="15">
        <v>133031</v>
      </c>
      <c r="I214" s="13">
        <v>55</v>
      </c>
      <c r="K214" s="12" t="s">
        <v>673</v>
      </c>
      <c r="L214" s="12" t="s">
        <v>157</v>
      </c>
      <c r="M214" s="15">
        <v>105503</v>
      </c>
      <c r="N214" s="13">
        <v>47</v>
      </c>
    </row>
    <row r="215" spans="1:14">
      <c r="A215" s="12" t="s">
        <v>674</v>
      </c>
      <c r="B215" s="12" t="s">
        <v>157</v>
      </c>
      <c r="C215" s="15">
        <v>7694004</v>
      </c>
      <c r="D215" s="13">
        <v>51</v>
      </c>
      <c r="F215" s="12" t="s">
        <v>223</v>
      </c>
      <c r="G215" s="12" t="s">
        <v>157</v>
      </c>
      <c r="H215" s="15">
        <v>528059</v>
      </c>
      <c r="I215" s="13">
        <v>55</v>
      </c>
      <c r="K215" s="12" t="s">
        <v>675</v>
      </c>
      <c r="L215" s="12" t="s">
        <v>157</v>
      </c>
      <c r="M215" s="15">
        <v>122463</v>
      </c>
      <c r="N215" s="13">
        <v>47</v>
      </c>
    </row>
    <row r="216" spans="1:14">
      <c r="A216" s="12" t="s">
        <v>676</v>
      </c>
      <c r="B216" s="12" t="s">
        <v>157</v>
      </c>
      <c r="C216" s="15">
        <v>12347</v>
      </c>
      <c r="D216" s="13">
        <v>50</v>
      </c>
      <c r="F216" s="12" t="s">
        <v>485</v>
      </c>
      <c r="G216" s="12" t="s">
        <v>157</v>
      </c>
      <c r="H216" s="15">
        <v>1129093</v>
      </c>
      <c r="I216" s="13">
        <v>55</v>
      </c>
      <c r="K216" s="12" t="s">
        <v>677</v>
      </c>
      <c r="L216" s="12" t="s">
        <v>157</v>
      </c>
      <c r="M216" s="15">
        <v>126153</v>
      </c>
      <c r="N216" s="13">
        <v>47</v>
      </c>
    </row>
    <row r="217" spans="1:14">
      <c r="A217" s="12" t="s">
        <v>678</v>
      </c>
      <c r="B217" s="12" t="s">
        <v>157</v>
      </c>
      <c r="C217" s="15">
        <v>11192</v>
      </c>
      <c r="D217" s="13">
        <v>50</v>
      </c>
      <c r="F217" s="12" t="s">
        <v>225</v>
      </c>
      <c r="G217" s="12" t="s">
        <v>157</v>
      </c>
      <c r="H217" s="15">
        <v>140497</v>
      </c>
      <c r="I217" s="13">
        <v>55</v>
      </c>
      <c r="K217" s="12" t="s">
        <v>679</v>
      </c>
      <c r="L217" s="12" t="s">
        <v>157</v>
      </c>
      <c r="M217" s="15">
        <v>199777</v>
      </c>
      <c r="N217" s="13">
        <v>47</v>
      </c>
    </row>
    <row r="218" spans="1:14">
      <c r="A218" s="12" t="s">
        <v>680</v>
      </c>
      <c r="B218" s="12" t="s">
        <v>157</v>
      </c>
      <c r="C218" s="15">
        <v>10295</v>
      </c>
      <c r="D218" s="13">
        <v>50</v>
      </c>
      <c r="F218" s="12" t="s">
        <v>228</v>
      </c>
      <c r="G218" s="12" t="s">
        <v>157</v>
      </c>
      <c r="H218" s="15">
        <v>1377267</v>
      </c>
      <c r="I218" s="13">
        <v>55</v>
      </c>
      <c r="K218" s="12" t="s">
        <v>681</v>
      </c>
      <c r="L218" s="12" t="s">
        <v>159</v>
      </c>
      <c r="M218" s="15">
        <v>202100</v>
      </c>
      <c r="N218" s="13">
        <v>47</v>
      </c>
    </row>
    <row r="219" spans="1:14">
      <c r="A219" s="12" t="s">
        <v>682</v>
      </c>
      <c r="B219" s="12" t="s">
        <v>157</v>
      </c>
      <c r="C219" s="15">
        <v>25550</v>
      </c>
      <c r="D219" s="13">
        <v>50</v>
      </c>
      <c r="F219" s="12" t="s">
        <v>230</v>
      </c>
      <c r="G219" s="12" t="s">
        <v>157</v>
      </c>
      <c r="H219" s="15">
        <v>2284424</v>
      </c>
      <c r="I219" s="13">
        <v>55</v>
      </c>
      <c r="K219" s="12" t="s">
        <v>683</v>
      </c>
      <c r="L219" s="12" t="s">
        <v>157</v>
      </c>
      <c r="M219" s="15">
        <v>315016</v>
      </c>
      <c r="N219" s="13">
        <v>47</v>
      </c>
    </row>
    <row r="220" spans="1:14">
      <c r="A220" s="12" t="s">
        <v>684</v>
      </c>
      <c r="B220" s="12" t="s">
        <v>157</v>
      </c>
      <c r="C220" s="15">
        <v>14354</v>
      </c>
      <c r="D220" s="13">
        <v>50</v>
      </c>
      <c r="F220" s="12" t="s">
        <v>233</v>
      </c>
      <c r="G220" s="12" t="s">
        <v>157</v>
      </c>
      <c r="H220" s="15">
        <v>134655</v>
      </c>
      <c r="I220" s="13">
        <v>55</v>
      </c>
      <c r="K220" s="12" t="s">
        <v>685</v>
      </c>
      <c r="L220" s="12" t="s">
        <v>157</v>
      </c>
      <c r="M220" s="15">
        <v>1712568</v>
      </c>
      <c r="N220" s="13">
        <v>47</v>
      </c>
    </row>
    <row r="221" spans="1:14">
      <c r="A221" s="12" t="s">
        <v>686</v>
      </c>
      <c r="B221" s="12" t="s">
        <v>157</v>
      </c>
      <c r="C221" s="15">
        <v>26506</v>
      </c>
      <c r="D221" s="13">
        <v>50</v>
      </c>
      <c r="F221" s="12" t="s">
        <v>236</v>
      </c>
      <c r="G221" s="12" t="s">
        <v>157</v>
      </c>
      <c r="H221" s="15">
        <v>290919</v>
      </c>
      <c r="I221" s="13">
        <v>55</v>
      </c>
      <c r="K221" s="12" t="s">
        <v>194</v>
      </c>
      <c r="L221" s="12" t="s">
        <v>157</v>
      </c>
      <c r="M221" s="15">
        <v>1077231</v>
      </c>
      <c r="N221" s="13">
        <v>47</v>
      </c>
    </row>
    <row r="222" spans="1:14">
      <c r="A222" s="12" t="s">
        <v>687</v>
      </c>
      <c r="B222" s="12" t="s">
        <v>157</v>
      </c>
      <c r="C222" s="15">
        <v>11268</v>
      </c>
      <c r="D222" s="13">
        <v>50</v>
      </c>
      <c r="F222" s="12" t="s">
        <v>239</v>
      </c>
      <c r="G222" s="12" t="s">
        <v>157</v>
      </c>
      <c r="H222" s="15">
        <v>275217</v>
      </c>
      <c r="I222" s="13">
        <v>55</v>
      </c>
      <c r="K222" s="12" t="s">
        <v>688</v>
      </c>
      <c r="L222" s="12" t="s">
        <v>157</v>
      </c>
      <c r="M222" s="15">
        <v>159398</v>
      </c>
      <c r="N222" s="13">
        <v>47</v>
      </c>
    </row>
    <row r="223" spans="1:14">
      <c r="A223" s="12" t="s">
        <v>689</v>
      </c>
      <c r="B223" s="12" t="s">
        <v>157</v>
      </c>
      <c r="C223" s="15">
        <v>30011</v>
      </c>
      <c r="D223" s="13">
        <v>50</v>
      </c>
      <c r="F223" s="12" t="s">
        <v>244</v>
      </c>
      <c r="G223" s="12" t="s">
        <v>157</v>
      </c>
      <c r="H223" s="15">
        <v>7156562</v>
      </c>
      <c r="I223" s="13">
        <v>55</v>
      </c>
      <c r="K223" s="12" t="s">
        <v>690</v>
      </c>
      <c r="L223" s="12" t="s">
        <v>157</v>
      </c>
      <c r="M223" s="15">
        <v>112359</v>
      </c>
      <c r="N223" s="13">
        <v>47</v>
      </c>
    </row>
    <row r="224" spans="1:14">
      <c r="A224" s="12" t="s">
        <v>691</v>
      </c>
      <c r="B224" s="12" t="s">
        <v>157</v>
      </c>
      <c r="C224" s="15">
        <v>11500</v>
      </c>
      <c r="D224" s="13">
        <v>50</v>
      </c>
      <c r="F224" s="12" t="s">
        <v>692</v>
      </c>
      <c r="G224" s="12" t="s">
        <v>157</v>
      </c>
      <c r="H224" s="15">
        <v>226732</v>
      </c>
      <c r="I224" s="13">
        <v>55</v>
      </c>
      <c r="K224" s="12" t="s">
        <v>693</v>
      </c>
      <c r="L224" s="12" t="s">
        <v>157</v>
      </c>
      <c r="M224" s="15">
        <v>102398</v>
      </c>
      <c r="N224" s="13">
        <v>47</v>
      </c>
    </row>
    <row r="225" spans="1:14">
      <c r="A225" s="12" t="s">
        <v>177</v>
      </c>
      <c r="B225" s="12" t="s">
        <v>157</v>
      </c>
      <c r="C225" s="15">
        <v>193274</v>
      </c>
      <c r="D225" s="13">
        <v>50</v>
      </c>
      <c r="F225" s="12" t="s">
        <v>246</v>
      </c>
      <c r="G225" s="12" t="s">
        <v>157</v>
      </c>
      <c r="H225" s="15">
        <v>156556</v>
      </c>
      <c r="I225" s="13">
        <v>55</v>
      </c>
      <c r="K225" s="12" t="s">
        <v>694</v>
      </c>
      <c r="L225" s="12" t="s">
        <v>159</v>
      </c>
      <c r="M225" s="15">
        <v>147100</v>
      </c>
      <c r="N225" s="13">
        <v>47</v>
      </c>
    </row>
    <row r="226" spans="1:14">
      <c r="A226" s="12" t="s">
        <v>695</v>
      </c>
      <c r="B226" s="12" t="s">
        <v>157</v>
      </c>
      <c r="C226" s="15">
        <v>11401</v>
      </c>
      <c r="D226" s="13">
        <v>50</v>
      </c>
      <c r="F226" s="12" t="s">
        <v>566</v>
      </c>
      <c r="G226" s="12" t="s">
        <v>157</v>
      </c>
      <c r="H226" s="15">
        <v>630106</v>
      </c>
      <c r="I226" s="13">
        <v>55</v>
      </c>
      <c r="K226" s="12" t="s">
        <v>696</v>
      </c>
      <c r="L226" s="12" t="s">
        <v>157</v>
      </c>
      <c r="M226" s="15">
        <v>328971</v>
      </c>
      <c r="N226" s="13">
        <v>47</v>
      </c>
    </row>
    <row r="227" spans="1:14">
      <c r="A227" s="12" t="s">
        <v>697</v>
      </c>
      <c r="B227" s="12" t="s">
        <v>157</v>
      </c>
      <c r="C227" s="15">
        <v>11967</v>
      </c>
      <c r="D227" s="13">
        <v>50</v>
      </c>
      <c r="F227" s="12" t="s">
        <v>249</v>
      </c>
      <c r="G227" s="12" t="s">
        <v>157</v>
      </c>
      <c r="H227" s="15">
        <v>401205</v>
      </c>
      <c r="I227" s="13">
        <v>55</v>
      </c>
      <c r="K227" s="12" t="s">
        <v>698</v>
      </c>
      <c r="L227" s="12" t="s">
        <v>159</v>
      </c>
      <c r="M227" s="15">
        <v>388300</v>
      </c>
      <c r="N227" s="13">
        <v>46</v>
      </c>
    </row>
    <row r="228" spans="1:14">
      <c r="A228" s="12" t="s">
        <v>699</v>
      </c>
      <c r="B228" s="12" t="s">
        <v>157</v>
      </c>
      <c r="C228" s="15">
        <v>12164</v>
      </c>
      <c r="D228" s="13">
        <v>50</v>
      </c>
      <c r="F228" s="12" t="s">
        <v>252</v>
      </c>
      <c r="G228" s="12" t="s">
        <v>157</v>
      </c>
      <c r="H228" s="15">
        <v>215657</v>
      </c>
      <c r="I228" s="13">
        <v>55</v>
      </c>
      <c r="K228" s="12" t="s">
        <v>700</v>
      </c>
      <c r="L228" s="12" t="s">
        <v>157</v>
      </c>
      <c r="M228" s="15">
        <v>661616</v>
      </c>
      <c r="N228" s="13">
        <v>46</v>
      </c>
    </row>
    <row r="229" spans="1:14">
      <c r="A229" s="12" t="s">
        <v>701</v>
      </c>
      <c r="B229" s="12" t="s">
        <v>157</v>
      </c>
      <c r="C229" s="15">
        <v>16344</v>
      </c>
      <c r="D229" s="13">
        <v>50</v>
      </c>
      <c r="F229" s="12" t="s">
        <v>255</v>
      </c>
      <c r="G229" s="12" t="s">
        <v>157</v>
      </c>
      <c r="H229" s="15">
        <v>564687</v>
      </c>
      <c r="I229" s="13">
        <v>55</v>
      </c>
      <c r="K229" s="12" t="s">
        <v>702</v>
      </c>
      <c r="L229" s="12" t="s">
        <v>157</v>
      </c>
      <c r="M229" s="15">
        <v>299790</v>
      </c>
      <c r="N229" s="13">
        <v>46</v>
      </c>
    </row>
    <row r="230" spans="1:14">
      <c r="A230" s="12" t="s">
        <v>703</v>
      </c>
      <c r="B230" s="12" t="s">
        <v>157</v>
      </c>
      <c r="C230" s="15">
        <v>28715</v>
      </c>
      <c r="D230" s="13">
        <v>50</v>
      </c>
      <c r="F230" s="12" t="s">
        <v>704</v>
      </c>
      <c r="G230" s="12" t="s">
        <v>157</v>
      </c>
      <c r="H230" s="15">
        <v>99503</v>
      </c>
      <c r="I230" s="13">
        <v>55</v>
      </c>
      <c r="K230" s="12" t="s">
        <v>564</v>
      </c>
      <c r="L230" s="12" t="s">
        <v>157</v>
      </c>
      <c r="M230" s="15">
        <v>216560</v>
      </c>
      <c r="N230" s="13">
        <v>46</v>
      </c>
    </row>
    <row r="231" spans="1:14">
      <c r="A231" s="12" t="s">
        <v>705</v>
      </c>
      <c r="B231" s="12" t="s">
        <v>157</v>
      </c>
      <c r="C231" s="15">
        <v>19928</v>
      </c>
      <c r="D231" s="13">
        <v>50</v>
      </c>
      <c r="F231" s="12" t="s">
        <v>706</v>
      </c>
      <c r="G231" s="12" t="s">
        <v>157</v>
      </c>
      <c r="H231" s="15">
        <v>40637</v>
      </c>
      <c r="I231" s="13">
        <v>55</v>
      </c>
      <c r="K231" s="12" t="s">
        <v>707</v>
      </c>
      <c r="L231" s="12" t="s">
        <v>157</v>
      </c>
      <c r="M231" s="15">
        <v>103932</v>
      </c>
      <c r="N231" s="13">
        <v>46</v>
      </c>
    </row>
    <row r="232" spans="1:14">
      <c r="A232" s="12" t="s">
        <v>708</v>
      </c>
      <c r="B232" s="12" t="s">
        <v>157</v>
      </c>
      <c r="C232" s="15">
        <v>13388</v>
      </c>
      <c r="D232" s="13">
        <v>50</v>
      </c>
      <c r="F232" s="12" t="s">
        <v>258</v>
      </c>
      <c r="G232" s="12" t="s">
        <v>157</v>
      </c>
      <c r="H232" s="15">
        <v>295009</v>
      </c>
      <c r="I232" s="13">
        <v>55</v>
      </c>
      <c r="K232" s="12" t="s">
        <v>709</v>
      </c>
      <c r="L232" s="12" t="s">
        <v>157</v>
      </c>
      <c r="M232" s="15">
        <v>105608</v>
      </c>
      <c r="N232" s="13">
        <v>46</v>
      </c>
    </row>
    <row r="233" spans="1:14">
      <c r="A233" s="12" t="s">
        <v>710</v>
      </c>
      <c r="B233" s="12" t="s">
        <v>157</v>
      </c>
      <c r="C233" s="15">
        <v>24312</v>
      </c>
      <c r="D233" s="13">
        <v>50</v>
      </c>
      <c r="F233" s="12" t="s">
        <v>261</v>
      </c>
      <c r="G233" s="12" t="s">
        <v>157</v>
      </c>
      <c r="H233" s="15">
        <v>176589</v>
      </c>
      <c r="I233" s="13">
        <v>55</v>
      </c>
      <c r="K233" s="12" t="s">
        <v>711</v>
      </c>
      <c r="L233" s="12" t="s">
        <v>157</v>
      </c>
      <c r="M233" s="15">
        <v>1132784</v>
      </c>
      <c r="N233" s="13">
        <v>46</v>
      </c>
    </row>
    <row r="234" spans="1:14">
      <c r="A234" s="12" t="s">
        <v>712</v>
      </c>
      <c r="B234" s="12" t="s">
        <v>157</v>
      </c>
      <c r="C234" s="15">
        <v>10339</v>
      </c>
      <c r="D234" s="13">
        <v>50</v>
      </c>
      <c r="F234" s="12" t="s">
        <v>264</v>
      </c>
      <c r="G234" s="12" t="s">
        <v>157</v>
      </c>
      <c r="H234" s="15">
        <v>944128</v>
      </c>
      <c r="I234" s="13">
        <v>55</v>
      </c>
      <c r="K234" s="12" t="s">
        <v>197</v>
      </c>
      <c r="L234" s="12" t="s">
        <v>157</v>
      </c>
      <c r="M234" s="15">
        <v>1801352</v>
      </c>
      <c r="N234" s="13">
        <v>46</v>
      </c>
    </row>
    <row r="235" spans="1:14">
      <c r="A235" s="12" t="s">
        <v>713</v>
      </c>
      <c r="B235" s="12" t="s">
        <v>157</v>
      </c>
      <c r="C235" s="15">
        <v>15648</v>
      </c>
      <c r="D235" s="13">
        <v>50</v>
      </c>
      <c r="F235" s="12" t="s">
        <v>180</v>
      </c>
      <c r="G235" s="12" t="s">
        <v>157</v>
      </c>
      <c r="H235" s="15">
        <v>343960</v>
      </c>
      <c r="I235" s="13">
        <v>55</v>
      </c>
      <c r="K235" s="12" t="s">
        <v>714</v>
      </c>
      <c r="L235" s="12" t="s">
        <v>157</v>
      </c>
      <c r="M235" s="15">
        <v>170550</v>
      </c>
      <c r="N235" s="13">
        <v>46</v>
      </c>
    </row>
    <row r="236" spans="1:14">
      <c r="A236" s="12" t="s">
        <v>715</v>
      </c>
      <c r="B236" s="12" t="s">
        <v>157</v>
      </c>
      <c r="C236" s="15">
        <v>11277</v>
      </c>
      <c r="D236" s="13">
        <v>50</v>
      </c>
      <c r="F236" s="12" t="s">
        <v>267</v>
      </c>
      <c r="G236" s="12" t="s">
        <v>157</v>
      </c>
      <c r="H236" s="15">
        <v>388946</v>
      </c>
      <c r="I236" s="13">
        <v>55</v>
      </c>
      <c r="K236" s="12" t="s">
        <v>716</v>
      </c>
      <c r="L236" s="12" t="s">
        <v>159</v>
      </c>
      <c r="M236" s="15">
        <v>12700000</v>
      </c>
      <c r="N236" s="13">
        <v>46</v>
      </c>
    </row>
    <row r="237" spans="1:14">
      <c r="A237" s="12" t="s">
        <v>717</v>
      </c>
      <c r="B237" s="12" t="s">
        <v>157</v>
      </c>
      <c r="C237" s="15">
        <v>23672</v>
      </c>
      <c r="D237" s="13">
        <v>50</v>
      </c>
      <c r="F237" s="12" t="s">
        <v>270</v>
      </c>
      <c r="G237" s="12" t="s">
        <v>157</v>
      </c>
      <c r="H237" s="15">
        <v>2193158</v>
      </c>
      <c r="I237" s="13">
        <v>55</v>
      </c>
      <c r="K237" s="12" t="s">
        <v>718</v>
      </c>
      <c r="L237" s="12" t="s">
        <v>157</v>
      </c>
      <c r="M237" s="15">
        <v>109735</v>
      </c>
      <c r="N237" s="13">
        <v>46</v>
      </c>
    </row>
    <row r="238" spans="1:14">
      <c r="A238" s="12" t="s">
        <v>719</v>
      </c>
      <c r="B238" s="12" t="s">
        <v>157</v>
      </c>
      <c r="C238" s="15">
        <v>15941</v>
      </c>
      <c r="D238" s="13">
        <v>50</v>
      </c>
      <c r="F238" s="12" t="s">
        <v>182</v>
      </c>
      <c r="G238" s="12" t="s">
        <v>157</v>
      </c>
      <c r="H238" s="15">
        <v>794018</v>
      </c>
      <c r="I238" s="13">
        <v>55</v>
      </c>
      <c r="K238" s="12" t="s">
        <v>720</v>
      </c>
      <c r="L238" s="12" t="s">
        <v>157</v>
      </c>
      <c r="M238" s="15">
        <v>127718</v>
      </c>
      <c r="N238" s="13">
        <v>46</v>
      </c>
    </row>
    <row r="239" spans="1:14">
      <c r="A239" s="12" t="s">
        <v>721</v>
      </c>
      <c r="B239" s="12" t="s">
        <v>157</v>
      </c>
      <c r="C239" s="15">
        <v>15056</v>
      </c>
      <c r="D239" s="13">
        <v>50</v>
      </c>
      <c r="F239" s="12" t="s">
        <v>273</v>
      </c>
      <c r="G239" s="12" t="s">
        <v>157</v>
      </c>
      <c r="H239" s="15">
        <v>702968</v>
      </c>
      <c r="I239" s="13">
        <v>55</v>
      </c>
      <c r="K239" s="12" t="s">
        <v>722</v>
      </c>
      <c r="L239" s="12" t="s">
        <v>157</v>
      </c>
      <c r="M239" s="15">
        <v>291053</v>
      </c>
      <c r="N239" s="13">
        <v>46</v>
      </c>
    </row>
    <row r="240" spans="1:14">
      <c r="A240" s="12" t="s">
        <v>723</v>
      </c>
      <c r="B240" s="12" t="s">
        <v>157</v>
      </c>
      <c r="C240" s="15">
        <v>11758</v>
      </c>
      <c r="D240" s="13">
        <v>50</v>
      </c>
      <c r="F240" s="12" t="s">
        <v>577</v>
      </c>
      <c r="G240" s="12" t="s">
        <v>157</v>
      </c>
      <c r="H240" s="15">
        <v>63841</v>
      </c>
      <c r="I240" s="13">
        <v>55</v>
      </c>
      <c r="K240" s="12" t="s">
        <v>724</v>
      </c>
      <c r="L240" s="12" t="s">
        <v>157</v>
      </c>
      <c r="M240" s="15">
        <v>437134</v>
      </c>
      <c r="N240" s="13">
        <v>46</v>
      </c>
    </row>
    <row r="241" spans="1:14">
      <c r="A241" s="12" t="s">
        <v>725</v>
      </c>
      <c r="B241" s="12" t="s">
        <v>157</v>
      </c>
      <c r="C241" s="15">
        <v>11925</v>
      </c>
      <c r="D241" s="13">
        <v>50</v>
      </c>
      <c r="F241" s="12" t="s">
        <v>276</v>
      </c>
      <c r="G241" s="12" t="s">
        <v>157</v>
      </c>
      <c r="H241" s="15">
        <v>277700</v>
      </c>
      <c r="I241" s="13">
        <v>55</v>
      </c>
      <c r="K241" s="12" t="s">
        <v>726</v>
      </c>
      <c r="L241" s="12" t="s">
        <v>157</v>
      </c>
      <c r="M241" s="15">
        <v>423290</v>
      </c>
      <c r="N241" s="13">
        <v>46</v>
      </c>
    </row>
    <row r="242" spans="1:14">
      <c r="A242" s="12" t="s">
        <v>727</v>
      </c>
      <c r="B242" s="12" t="s">
        <v>157</v>
      </c>
      <c r="C242" s="15">
        <v>14490</v>
      </c>
      <c r="D242" s="13">
        <v>50</v>
      </c>
      <c r="F242" s="12" t="s">
        <v>282</v>
      </c>
      <c r="G242" s="12" t="s">
        <v>157</v>
      </c>
      <c r="H242" s="15">
        <v>407214</v>
      </c>
      <c r="I242" s="13">
        <v>55</v>
      </c>
      <c r="K242" s="12" t="s">
        <v>728</v>
      </c>
      <c r="L242" s="12" t="s">
        <v>157</v>
      </c>
      <c r="M242" s="15">
        <v>288661</v>
      </c>
      <c r="N242" s="13">
        <v>46</v>
      </c>
    </row>
    <row r="243" spans="1:14">
      <c r="A243" s="12" t="s">
        <v>729</v>
      </c>
      <c r="B243" s="12" t="s">
        <v>157</v>
      </c>
      <c r="C243" s="15">
        <v>10190</v>
      </c>
      <c r="D243" s="13">
        <v>50</v>
      </c>
      <c r="F243" s="12" t="s">
        <v>730</v>
      </c>
      <c r="G243" s="12" t="s">
        <v>157</v>
      </c>
      <c r="H243" s="15">
        <v>71865</v>
      </c>
      <c r="I243" s="13">
        <v>55</v>
      </c>
      <c r="K243" s="12" t="s">
        <v>731</v>
      </c>
      <c r="L243" s="12" t="s">
        <v>159</v>
      </c>
      <c r="M243" s="15">
        <v>259400</v>
      </c>
      <c r="N243" s="13">
        <v>46</v>
      </c>
    </row>
    <row r="244" spans="1:14">
      <c r="A244" s="12" t="s">
        <v>732</v>
      </c>
      <c r="B244" s="12" t="s">
        <v>157</v>
      </c>
      <c r="C244" s="15">
        <v>11871</v>
      </c>
      <c r="D244" s="13">
        <v>50</v>
      </c>
      <c r="F244" s="12" t="s">
        <v>284</v>
      </c>
      <c r="G244" s="12" t="s">
        <v>157</v>
      </c>
      <c r="H244" s="15">
        <v>140856</v>
      </c>
      <c r="I244" s="13">
        <v>55</v>
      </c>
      <c r="K244" s="12" t="s">
        <v>733</v>
      </c>
      <c r="L244" s="12" t="s">
        <v>159</v>
      </c>
      <c r="M244" s="15">
        <v>626100</v>
      </c>
      <c r="N244" s="13">
        <v>45</v>
      </c>
    </row>
    <row r="245" spans="1:14">
      <c r="A245" s="12" t="s">
        <v>734</v>
      </c>
      <c r="B245" s="12" t="s">
        <v>157</v>
      </c>
      <c r="C245" s="15">
        <v>20944</v>
      </c>
      <c r="D245" s="13">
        <v>50</v>
      </c>
      <c r="F245" s="12" t="s">
        <v>538</v>
      </c>
      <c r="G245" s="12" t="s">
        <v>157</v>
      </c>
      <c r="H245" s="15">
        <v>97558</v>
      </c>
      <c r="I245" s="13">
        <v>55</v>
      </c>
      <c r="K245" s="12" t="s">
        <v>735</v>
      </c>
      <c r="L245" s="12" t="s">
        <v>159</v>
      </c>
      <c r="M245" s="15">
        <v>113700</v>
      </c>
      <c r="N245" s="13">
        <v>45</v>
      </c>
    </row>
    <row r="246" spans="1:14">
      <c r="A246" s="12" t="s">
        <v>736</v>
      </c>
      <c r="B246" s="12" t="s">
        <v>157</v>
      </c>
      <c r="C246" s="15">
        <v>20036</v>
      </c>
      <c r="D246" s="13">
        <v>50</v>
      </c>
      <c r="F246" s="12" t="s">
        <v>737</v>
      </c>
      <c r="G246" s="12" t="s">
        <v>157</v>
      </c>
      <c r="H246" s="15">
        <v>61091</v>
      </c>
      <c r="I246" s="13">
        <v>55</v>
      </c>
      <c r="K246" s="12" t="s">
        <v>738</v>
      </c>
      <c r="L246" s="12" t="s">
        <v>157</v>
      </c>
      <c r="M246" s="15">
        <v>146770</v>
      </c>
      <c r="N246" s="13">
        <v>45</v>
      </c>
    </row>
    <row r="247" spans="1:14">
      <c r="A247" s="12" t="s">
        <v>739</v>
      </c>
      <c r="B247" s="12" t="s">
        <v>157</v>
      </c>
      <c r="C247" s="15">
        <v>34574</v>
      </c>
      <c r="D247" s="13">
        <v>50</v>
      </c>
      <c r="F247" s="12" t="s">
        <v>287</v>
      </c>
      <c r="G247" s="12" t="s">
        <v>157</v>
      </c>
      <c r="H247" s="15">
        <v>269287</v>
      </c>
      <c r="I247" s="13">
        <v>55</v>
      </c>
      <c r="K247" s="12" t="s">
        <v>740</v>
      </c>
      <c r="L247" s="12" t="s">
        <v>159</v>
      </c>
      <c r="M247" s="15">
        <v>839300</v>
      </c>
      <c r="N247" s="13">
        <v>45</v>
      </c>
    </row>
    <row r="248" spans="1:14">
      <c r="A248" s="12" t="s">
        <v>741</v>
      </c>
      <c r="B248" s="12" t="s">
        <v>157</v>
      </c>
      <c r="C248" s="15">
        <v>10786</v>
      </c>
      <c r="D248" s="13">
        <v>50</v>
      </c>
      <c r="F248" s="12" t="s">
        <v>289</v>
      </c>
      <c r="G248" s="12" t="s">
        <v>157</v>
      </c>
      <c r="H248" s="15">
        <v>535394</v>
      </c>
      <c r="I248" s="13">
        <v>55</v>
      </c>
      <c r="K248" s="12" t="s">
        <v>742</v>
      </c>
      <c r="L248" s="12" t="s">
        <v>157</v>
      </c>
      <c r="M248" s="15">
        <v>101706</v>
      </c>
      <c r="N248" s="13">
        <v>45</v>
      </c>
    </row>
    <row r="249" spans="1:14">
      <c r="A249" s="12" t="s">
        <v>743</v>
      </c>
      <c r="B249" s="12" t="s">
        <v>157</v>
      </c>
      <c r="C249" s="15">
        <v>12286</v>
      </c>
      <c r="D249" s="13">
        <v>50</v>
      </c>
      <c r="F249" s="12" t="s">
        <v>292</v>
      </c>
      <c r="G249" s="12" t="s">
        <v>157</v>
      </c>
      <c r="H249" s="15">
        <v>101667</v>
      </c>
      <c r="I249" s="13">
        <v>55</v>
      </c>
      <c r="K249" s="12" t="s">
        <v>744</v>
      </c>
      <c r="L249" s="12" t="s">
        <v>159</v>
      </c>
      <c r="M249" s="15">
        <v>2900000</v>
      </c>
      <c r="N249" s="13">
        <v>45</v>
      </c>
    </row>
    <row r="250" spans="1:14">
      <c r="A250" s="12" t="s">
        <v>745</v>
      </c>
      <c r="B250" s="12" t="s">
        <v>157</v>
      </c>
      <c r="C250" s="15">
        <v>10501</v>
      </c>
      <c r="D250" s="13">
        <v>50</v>
      </c>
      <c r="F250" s="12" t="s">
        <v>295</v>
      </c>
      <c r="G250" s="12" t="s">
        <v>157</v>
      </c>
      <c r="H250" s="15">
        <v>533278</v>
      </c>
      <c r="I250" s="13">
        <v>55</v>
      </c>
      <c r="K250" s="12" t="s">
        <v>746</v>
      </c>
      <c r="L250" s="12" t="s">
        <v>157</v>
      </c>
      <c r="M250" s="15">
        <v>150437</v>
      </c>
      <c r="N250" s="13">
        <v>45</v>
      </c>
    </row>
    <row r="251" spans="1:14">
      <c r="A251" s="12" t="s">
        <v>747</v>
      </c>
      <c r="B251" s="12" t="s">
        <v>157</v>
      </c>
      <c r="C251" s="15">
        <v>23183</v>
      </c>
      <c r="D251" s="13">
        <v>50</v>
      </c>
      <c r="F251" s="12" t="s">
        <v>298</v>
      </c>
      <c r="G251" s="12" t="s">
        <v>157</v>
      </c>
      <c r="H251" s="15">
        <v>125059</v>
      </c>
      <c r="I251" s="13">
        <v>55</v>
      </c>
      <c r="K251" s="12" t="s">
        <v>748</v>
      </c>
      <c r="L251" s="12" t="s">
        <v>157</v>
      </c>
      <c r="M251" s="15">
        <v>152826</v>
      </c>
      <c r="N251" s="13">
        <v>45</v>
      </c>
    </row>
    <row r="252" spans="1:14">
      <c r="A252" s="12" t="s">
        <v>749</v>
      </c>
      <c r="B252" s="12" t="s">
        <v>157</v>
      </c>
      <c r="C252" s="15">
        <v>20628</v>
      </c>
      <c r="D252" s="13">
        <v>50</v>
      </c>
      <c r="F252" s="12" t="s">
        <v>301</v>
      </c>
      <c r="G252" s="12" t="s">
        <v>157</v>
      </c>
      <c r="H252" s="15">
        <v>239031</v>
      </c>
      <c r="I252" s="13">
        <v>55</v>
      </c>
      <c r="K252" s="12" t="s">
        <v>750</v>
      </c>
      <c r="L252" s="12" t="s">
        <v>157</v>
      </c>
      <c r="M252" s="15">
        <v>1210698</v>
      </c>
      <c r="N252" s="13">
        <v>45</v>
      </c>
    </row>
    <row r="253" spans="1:14">
      <c r="A253" s="12" t="s">
        <v>751</v>
      </c>
      <c r="B253" s="12" t="s">
        <v>157</v>
      </c>
      <c r="C253" s="15">
        <v>11774</v>
      </c>
      <c r="D253" s="13">
        <v>50</v>
      </c>
      <c r="F253" s="12" t="s">
        <v>304</v>
      </c>
      <c r="G253" s="12" t="s">
        <v>157</v>
      </c>
      <c r="H253" s="15">
        <v>605620</v>
      </c>
      <c r="I253" s="13">
        <v>55</v>
      </c>
      <c r="K253" s="12" t="s">
        <v>752</v>
      </c>
      <c r="L253" s="12" t="s">
        <v>157</v>
      </c>
      <c r="M253" s="15">
        <v>106754</v>
      </c>
      <c r="N253" s="13">
        <v>45</v>
      </c>
    </row>
    <row r="254" spans="1:14">
      <c r="A254" s="12" t="s">
        <v>753</v>
      </c>
      <c r="B254" s="12" t="s">
        <v>157</v>
      </c>
      <c r="C254" s="15">
        <v>25175</v>
      </c>
      <c r="D254" s="13">
        <v>50</v>
      </c>
      <c r="F254" s="12" t="s">
        <v>307</v>
      </c>
      <c r="G254" s="12" t="s">
        <v>157</v>
      </c>
      <c r="H254" s="15">
        <v>344550</v>
      </c>
      <c r="I254" s="13">
        <v>55</v>
      </c>
      <c r="K254" s="12" t="s">
        <v>754</v>
      </c>
      <c r="L254" s="12" t="s">
        <v>157</v>
      </c>
      <c r="M254" s="15">
        <v>3768396</v>
      </c>
      <c r="N254" s="13">
        <v>45</v>
      </c>
    </row>
    <row r="255" spans="1:14">
      <c r="A255" s="12" t="s">
        <v>755</v>
      </c>
      <c r="B255" s="12" t="s">
        <v>157</v>
      </c>
      <c r="C255" s="15">
        <v>19694</v>
      </c>
      <c r="D255" s="13">
        <v>50</v>
      </c>
      <c r="F255" s="12" t="s">
        <v>313</v>
      </c>
      <c r="G255" s="12" t="s">
        <v>157</v>
      </c>
      <c r="H255" s="15">
        <v>181496</v>
      </c>
      <c r="I255" s="13">
        <v>55</v>
      </c>
      <c r="K255" s="12" t="s">
        <v>756</v>
      </c>
      <c r="L255" s="12" t="s">
        <v>159</v>
      </c>
      <c r="M255" s="15">
        <v>105700</v>
      </c>
      <c r="N255" s="13">
        <v>45</v>
      </c>
    </row>
    <row r="256" spans="1:14">
      <c r="A256" s="12" t="s">
        <v>757</v>
      </c>
      <c r="B256" s="12" t="s">
        <v>157</v>
      </c>
      <c r="C256" s="15">
        <v>14527</v>
      </c>
      <c r="D256" s="13">
        <v>50</v>
      </c>
      <c r="F256" s="12" t="s">
        <v>316</v>
      </c>
      <c r="G256" s="12" t="s">
        <v>157</v>
      </c>
      <c r="H256" s="15">
        <v>333058</v>
      </c>
      <c r="I256" s="13">
        <v>55</v>
      </c>
      <c r="K256" s="12" t="s">
        <v>610</v>
      </c>
      <c r="L256" s="12" t="s">
        <v>157</v>
      </c>
      <c r="M256" s="15">
        <v>117565</v>
      </c>
      <c r="N256" s="13">
        <v>45</v>
      </c>
    </row>
    <row r="257" spans="1:14">
      <c r="A257" s="12" t="s">
        <v>758</v>
      </c>
      <c r="B257" s="12" t="s">
        <v>157</v>
      </c>
      <c r="C257" s="15">
        <v>19061</v>
      </c>
      <c r="D257" s="13">
        <v>50</v>
      </c>
      <c r="F257" s="12" t="s">
        <v>587</v>
      </c>
      <c r="G257" s="12" t="s">
        <v>157</v>
      </c>
      <c r="H257" s="15">
        <v>94447</v>
      </c>
      <c r="I257" s="13">
        <v>55</v>
      </c>
      <c r="K257" s="12" t="s">
        <v>612</v>
      </c>
      <c r="L257" s="12" t="s">
        <v>157</v>
      </c>
      <c r="M257" s="15">
        <v>121983</v>
      </c>
      <c r="N257" s="13">
        <v>45</v>
      </c>
    </row>
    <row r="258" spans="1:14">
      <c r="A258" s="12" t="s">
        <v>759</v>
      </c>
      <c r="B258" s="12" t="s">
        <v>157</v>
      </c>
      <c r="C258" s="15">
        <v>13879</v>
      </c>
      <c r="D258" s="13">
        <v>50</v>
      </c>
      <c r="F258" s="12" t="s">
        <v>319</v>
      </c>
      <c r="G258" s="12" t="s">
        <v>157</v>
      </c>
      <c r="H258" s="15">
        <v>155964</v>
      </c>
      <c r="I258" s="13">
        <v>55</v>
      </c>
      <c r="K258" s="12" t="s">
        <v>760</v>
      </c>
      <c r="L258" s="12" t="s">
        <v>159</v>
      </c>
      <c r="M258" s="15">
        <v>125800</v>
      </c>
      <c r="N258" s="13">
        <v>45</v>
      </c>
    </row>
    <row r="259" spans="1:14">
      <c r="A259" s="12" t="s">
        <v>761</v>
      </c>
      <c r="B259" s="12" t="s">
        <v>157</v>
      </c>
      <c r="C259" s="15">
        <v>28651</v>
      </c>
      <c r="D259" s="13">
        <v>50</v>
      </c>
      <c r="F259" s="12" t="s">
        <v>325</v>
      </c>
      <c r="G259" s="12" t="s">
        <v>157</v>
      </c>
      <c r="H259" s="15">
        <v>2226091</v>
      </c>
      <c r="I259" s="13">
        <v>55</v>
      </c>
      <c r="K259" s="12" t="s">
        <v>213</v>
      </c>
      <c r="L259" s="12" t="s">
        <v>159</v>
      </c>
      <c r="M259" s="15">
        <v>10500000</v>
      </c>
      <c r="N259" s="13">
        <v>45</v>
      </c>
    </row>
    <row r="260" spans="1:14">
      <c r="A260" s="12" t="s">
        <v>762</v>
      </c>
      <c r="B260" s="12" t="s">
        <v>157</v>
      </c>
      <c r="C260" s="15">
        <v>19225</v>
      </c>
      <c r="D260" s="13">
        <v>50</v>
      </c>
      <c r="F260" s="12" t="s">
        <v>327</v>
      </c>
      <c r="G260" s="12" t="s">
        <v>157</v>
      </c>
      <c r="H260" s="15">
        <v>821693</v>
      </c>
      <c r="I260" s="13">
        <v>55</v>
      </c>
      <c r="K260" s="12" t="s">
        <v>763</v>
      </c>
      <c r="L260" s="12" t="s">
        <v>159</v>
      </c>
      <c r="M260" s="15">
        <v>147900</v>
      </c>
      <c r="N260" s="13">
        <v>45</v>
      </c>
    </row>
    <row r="261" spans="1:14">
      <c r="A261" s="12" t="s">
        <v>764</v>
      </c>
      <c r="B261" s="12" t="s">
        <v>157</v>
      </c>
      <c r="C261" s="15">
        <v>13809</v>
      </c>
      <c r="D261" s="13">
        <v>50</v>
      </c>
      <c r="F261" s="12" t="s">
        <v>589</v>
      </c>
      <c r="G261" s="12" t="s">
        <v>157</v>
      </c>
      <c r="H261" s="15">
        <v>509170</v>
      </c>
      <c r="I261" s="13">
        <v>55</v>
      </c>
      <c r="K261" s="12" t="s">
        <v>616</v>
      </c>
      <c r="L261" s="12" t="s">
        <v>157</v>
      </c>
      <c r="M261" s="15">
        <v>627991</v>
      </c>
      <c r="N261" s="13">
        <v>45</v>
      </c>
    </row>
    <row r="262" spans="1:14">
      <c r="A262" s="12" t="s">
        <v>765</v>
      </c>
      <c r="B262" s="12" t="s">
        <v>157</v>
      </c>
      <c r="C262" s="15">
        <v>15963</v>
      </c>
      <c r="D262" s="13">
        <v>50</v>
      </c>
      <c r="F262" s="12" t="s">
        <v>330</v>
      </c>
      <c r="G262" s="12" t="s">
        <v>159</v>
      </c>
      <c r="H262" s="15">
        <v>3400000</v>
      </c>
      <c r="I262" s="13">
        <v>55</v>
      </c>
      <c r="K262" s="12" t="s">
        <v>766</v>
      </c>
      <c r="L262" s="12" t="s">
        <v>159</v>
      </c>
      <c r="M262" s="15">
        <v>138900</v>
      </c>
      <c r="N262" s="13">
        <v>45</v>
      </c>
    </row>
    <row r="263" spans="1:14">
      <c r="A263" s="12" t="s">
        <v>767</v>
      </c>
      <c r="B263" s="12" t="s">
        <v>157</v>
      </c>
      <c r="C263" s="15">
        <v>31911</v>
      </c>
      <c r="D263" s="13">
        <v>50</v>
      </c>
      <c r="F263" s="12" t="s">
        <v>541</v>
      </c>
      <c r="G263" s="12" t="s">
        <v>157</v>
      </c>
      <c r="H263" s="15">
        <v>402891</v>
      </c>
      <c r="I263" s="13">
        <v>55</v>
      </c>
      <c r="K263" s="12" t="s">
        <v>620</v>
      </c>
      <c r="L263" s="12" t="s">
        <v>157</v>
      </c>
      <c r="M263" s="15">
        <v>251163</v>
      </c>
      <c r="N263" s="13">
        <v>45</v>
      </c>
    </row>
    <row r="264" spans="1:14">
      <c r="A264" s="12" t="s">
        <v>768</v>
      </c>
      <c r="B264" s="12" t="s">
        <v>157</v>
      </c>
      <c r="C264" s="15">
        <v>17183</v>
      </c>
      <c r="D264" s="13">
        <v>50</v>
      </c>
      <c r="F264" s="12" t="s">
        <v>333</v>
      </c>
      <c r="G264" s="12" t="s">
        <v>157</v>
      </c>
      <c r="H264" s="15">
        <v>2001469</v>
      </c>
      <c r="I264" s="13">
        <v>55</v>
      </c>
      <c r="K264" s="12" t="s">
        <v>769</v>
      </c>
      <c r="L264" s="12" t="s">
        <v>157</v>
      </c>
      <c r="M264" s="15">
        <v>561102</v>
      </c>
      <c r="N264" s="13">
        <v>45</v>
      </c>
    </row>
    <row r="265" spans="1:14">
      <c r="A265" s="12" t="s">
        <v>770</v>
      </c>
      <c r="B265" s="12" t="s">
        <v>157</v>
      </c>
      <c r="C265" s="15">
        <v>17280</v>
      </c>
      <c r="D265" s="13">
        <v>50</v>
      </c>
      <c r="F265" s="12" t="s">
        <v>336</v>
      </c>
      <c r="G265" s="12" t="s">
        <v>157</v>
      </c>
      <c r="H265" s="15">
        <v>160752</v>
      </c>
      <c r="I265" s="13">
        <v>55</v>
      </c>
      <c r="K265" s="12" t="s">
        <v>621</v>
      </c>
      <c r="L265" s="12" t="s">
        <v>157</v>
      </c>
      <c r="M265" s="15">
        <v>142728</v>
      </c>
      <c r="N265" s="13">
        <v>45</v>
      </c>
    </row>
    <row r="266" spans="1:14">
      <c r="A266" s="12" t="s">
        <v>771</v>
      </c>
      <c r="B266" s="12" t="s">
        <v>157</v>
      </c>
      <c r="C266" s="15">
        <v>23880</v>
      </c>
      <c r="D266" s="13">
        <v>50</v>
      </c>
      <c r="F266" s="12" t="s">
        <v>339</v>
      </c>
      <c r="G266" s="12" t="s">
        <v>157</v>
      </c>
      <c r="H266" s="15">
        <v>152347</v>
      </c>
      <c r="I266" s="13">
        <v>55</v>
      </c>
      <c r="K266" s="12" t="s">
        <v>772</v>
      </c>
      <c r="L266" s="12" t="s">
        <v>159</v>
      </c>
      <c r="M266" s="15">
        <v>359800</v>
      </c>
      <c r="N266" s="13">
        <v>45</v>
      </c>
    </row>
    <row r="267" spans="1:14">
      <c r="A267" s="12" t="s">
        <v>773</v>
      </c>
      <c r="B267" s="12" t="s">
        <v>157</v>
      </c>
      <c r="C267" s="15">
        <v>12155</v>
      </c>
      <c r="D267" s="13">
        <v>50</v>
      </c>
      <c r="F267" s="12" t="s">
        <v>774</v>
      </c>
      <c r="G267" s="12" t="s">
        <v>159</v>
      </c>
      <c r="H267" s="15">
        <v>14000000</v>
      </c>
      <c r="I267" s="13">
        <v>55</v>
      </c>
      <c r="K267" s="12" t="s">
        <v>775</v>
      </c>
      <c r="L267" s="12" t="s">
        <v>157</v>
      </c>
      <c r="M267" s="15">
        <v>142483</v>
      </c>
      <c r="N267" s="13">
        <v>45</v>
      </c>
    </row>
    <row r="268" spans="1:14">
      <c r="A268" s="12" t="s">
        <v>776</v>
      </c>
      <c r="B268" s="12" t="s">
        <v>157</v>
      </c>
      <c r="C268" s="15">
        <v>16098</v>
      </c>
      <c r="D268" s="13">
        <v>50</v>
      </c>
      <c r="F268" s="12" t="s">
        <v>592</v>
      </c>
      <c r="G268" s="12" t="s">
        <v>157</v>
      </c>
      <c r="H268" s="15">
        <v>332442</v>
      </c>
      <c r="I268" s="13">
        <v>55</v>
      </c>
      <c r="K268" s="12" t="s">
        <v>777</v>
      </c>
      <c r="L268" s="12" t="s">
        <v>157</v>
      </c>
      <c r="M268" s="15">
        <v>100829</v>
      </c>
      <c r="N268" s="13">
        <v>44</v>
      </c>
    </row>
    <row r="269" spans="1:14">
      <c r="A269" s="12" t="s">
        <v>778</v>
      </c>
      <c r="B269" s="12" t="s">
        <v>157</v>
      </c>
      <c r="C269" s="15">
        <v>12368</v>
      </c>
      <c r="D269" s="13">
        <v>50</v>
      </c>
      <c r="F269" s="12" t="s">
        <v>342</v>
      </c>
      <c r="G269" s="12" t="s">
        <v>157</v>
      </c>
      <c r="H269" s="15">
        <v>242430</v>
      </c>
      <c r="I269" s="13">
        <v>55</v>
      </c>
      <c r="K269" s="12" t="s">
        <v>779</v>
      </c>
      <c r="L269" s="12" t="s">
        <v>159</v>
      </c>
      <c r="M269" s="15">
        <v>221300</v>
      </c>
      <c r="N269" s="13">
        <v>44</v>
      </c>
    </row>
    <row r="270" spans="1:14">
      <c r="A270" s="12" t="s">
        <v>780</v>
      </c>
      <c r="B270" s="12" t="s">
        <v>157</v>
      </c>
      <c r="C270" s="15">
        <v>18616</v>
      </c>
      <c r="D270" s="13">
        <v>50</v>
      </c>
      <c r="F270" s="12" t="s">
        <v>345</v>
      </c>
      <c r="G270" s="12" t="s">
        <v>157</v>
      </c>
      <c r="H270" s="15">
        <v>103553</v>
      </c>
      <c r="I270" s="13">
        <v>55</v>
      </c>
      <c r="K270" s="12" t="s">
        <v>781</v>
      </c>
      <c r="L270" s="12" t="s">
        <v>157</v>
      </c>
      <c r="M270" s="15">
        <v>11208273</v>
      </c>
      <c r="N270" s="13">
        <v>44</v>
      </c>
    </row>
    <row r="271" spans="1:14">
      <c r="A271" s="12" t="s">
        <v>782</v>
      </c>
      <c r="B271" s="12" t="s">
        <v>157</v>
      </c>
      <c r="C271" s="15">
        <v>98163</v>
      </c>
      <c r="D271" s="13">
        <v>50</v>
      </c>
      <c r="F271" s="12" t="s">
        <v>348</v>
      </c>
      <c r="G271" s="12" t="s">
        <v>157</v>
      </c>
      <c r="H271" s="15">
        <v>1043120</v>
      </c>
      <c r="I271" s="13">
        <v>55</v>
      </c>
      <c r="K271" s="12" t="s">
        <v>626</v>
      </c>
      <c r="L271" s="12" t="s">
        <v>157</v>
      </c>
      <c r="M271" s="15">
        <v>143556</v>
      </c>
      <c r="N271" s="13">
        <v>44</v>
      </c>
    </row>
    <row r="272" spans="1:14">
      <c r="A272" s="12" t="s">
        <v>783</v>
      </c>
      <c r="B272" s="12" t="s">
        <v>157</v>
      </c>
      <c r="C272" s="15">
        <v>19533</v>
      </c>
      <c r="D272" s="13">
        <v>50</v>
      </c>
      <c r="F272" s="12" t="s">
        <v>350</v>
      </c>
      <c r="G272" s="12" t="s">
        <v>157</v>
      </c>
      <c r="H272" s="15">
        <v>108601</v>
      </c>
      <c r="I272" s="13">
        <v>55</v>
      </c>
      <c r="K272" s="12" t="s">
        <v>784</v>
      </c>
      <c r="L272" s="12" t="s">
        <v>157</v>
      </c>
      <c r="M272" s="15">
        <v>751257</v>
      </c>
      <c r="N272" s="13">
        <v>44</v>
      </c>
    </row>
    <row r="273" spans="1:14">
      <c r="A273" s="12" t="s">
        <v>785</v>
      </c>
      <c r="B273" s="12" t="s">
        <v>157</v>
      </c>
      <c r="C273" s="15">
        <v>12028</v>
      </c>
      <c r="D273" s="13">
        <v>50</v>
      </c>
      <c r="F273" s="12" t="s">
        <v>353</v>
      </c>
      <c r="G273" s="12" t="s">
        <v>157</v>
      </c>
      <c r="H273" s="15">
        <v>271556</v>
      </c>
      <c r="I273" s="13">
        <v>55</v>
      </c>
      <c r="K273" s="12" t="s">
        <v>628</v>
      </c>
      <c r="L273" s="12" t="s">
        <v>157</v>
      </c>
      <c r="M273" s="15">
        <v>287121</v>
      </c>
      <c r="N273" s="13">
        <v>44</v>
      </c>
    </row>
    <row r="274" spans="1:14">
      <c r="A274" s="12" t="s">
        <v>786</v>
      </c>
      <c r="B274" s="12" t="s">
        <v>157</v>
      </c>
      <c r="C274" s="15">
        <v>14866</v>
      </c>
      <c r="D274" s="13">
        <v>50</v>
      </c>
      <c r="F274" s="12" t="s">
        <v>356</v>
      </c>
      <c r="G274" s="12" t="s">
        <v>157</v>
      </c>
      <c r="H274" s="15">
        <v>409089</v>
      </c>
      <c r="I274" s="13">
        <v>55</v>
      </c>
      <c r="K274" s="12" t="s">
        <v>787</v>
      </c>
      <c r="L274" s="12" t="s">
        <v>157</v>
      </c>
      <c r="M274" s="15">
        <v>177213</v>
      </c>
      <c r="N274" s="13">
        <v>44</v>
      </c>
    </row>
    <row r="275" spans="1:14">
      <c r="A275" s="12" t="s">
        <v>788</v>
      </c>
      <c r="B275" s="12" t="s">
        <v>157</v>
      </c>
      <c r="C275" s="15">
        <v>13292</v>
      </c>
      <c r="D275" s="13">
        <v>50</v>
      </c>
      <c r="F275" s="12" t="s">
        <v>358</v>
      </c>
      <c r="G275" s="12" t="s">
        <v>157</v>
      </c>
      <c r="H275" s="15">
        <v>352818</v>
      </c>
      <c r="I275" s="13">
        <v>55</v>
      </c>
      <c r="K275" s="12" t="s">
        <v>632</v>
      </c>
      <c r="L275" s="12" t="s">
        <v>157</v>
      </c>
      <c r="M275" s="15">
        <v>236121</v>
      </c>
      <c r="N275" s="13">
        <v>44</v>
      </c>
    </row>
    <row r="276" spans="1:14">
      <c r="A276" s="12" t="s">
        <v>789</v>
      </c>
      <c r="B276" s="12" t="s">
        <v>157</v>
      </c>
      <c r="C276" s="15">
        <v>15817</v>
      </c>
      <c r="D276" s="13">
        <v>50</v>
      </c>
      <c r="F276" s="12" t="s">
        <v>360</v>
      </c>
      <c r="G276" s="12" t="s">
        <v>157</v>
      </c>
      <c r="H276" s="15">
        <v>1021293</v>
      </c>
      <c r="I276" s="13">
        <v>55</v>
      </c>
      <c r="K276" s="12" t="s">
        <v>790</v>
      </c>
      <c r="L276" s="12" t="s">
        <v>157</v>
      </c>
      <c r="M276" s="15">
        <v>331089</v>
      </c>
      <c r="N276" s="13">
        <v>44</v>
      </c>
    </row>
    <row r="277" spans="1:14">
      <c r="A277" s="12" t="s">
        <v>791</v>
      </c>
      <c r="B277" s="12" t="s">
        <v>157</v>
      </c>
      <c r="C277" s="15">
        <v>20271</v>
      </c>
      <c r="D277" s="13">
        <v>50</v>
      </c>
      <c r="F277" s="12" t="s">
        <v>363</v>
      </c>
      <c r="G277" s="12" t="s">
        <v>157</v>
      </c>
      <c r="H277" s="15">
        <v>2236355</v>
      </c>
      <c r="I277" s="13">
        <v>55</v>
      </c>
      <c r="K277" s="12" t="s">
        <v>792</v>
      </c>
      <c r="L277" s="12" t="s">
        <v>157</v>
      </c>
      <c r="M277" s="15">
        <v>152506</v>
      </c>
      <c r="N277" s="13">
        <v>44</v>
      </c>
    </row>
    <row r="278" spans="1:14">
      <c r="A278" s="12" t="s">
        <v>793</v>
      </c>
      <c r="B278" s="12" t="s">
        <v>157</v>
      </c>
      <c r="C278" s="15">
        <v>11247</v>
      </c>
      <c r="D278" s="13">
        <v>50</v>
      </c>
      <c r="F278" s="12" t="s">
        <v>366</v>
      </c>
      <c r="G278" s="12" t="s">
        <v>157</v>
      </c>
      <c r="H278" s="15">
        <v>484039</v>
      </c>
      <c r="I278" s="13">
        <v>55</v>
      </c>
      <c r="K278" s="12" t="s">
        <v>794</v>
      </c>
      <c r="L278" s="12" t="s">
        <v>157</v>
      </c>
      <c r="M278" s="15">
        <v>889184</v>
      </c>
      <c r="N278" s="13">
        <v>44</v>
      </c>
    </row>
    <row r="279" spans="1:14">
      <c r="A279" s="12" t="s">
        <v>795</v>
      </c>
      <c r="B279" s="12" t="s">
        <v>157</v>
      </c>
      <c r="C279" s="15">
        <v>10738</v>
      </c>
      <c r="D279" s="13">
        <v>50</v>
      </c>
      <c r="F279" s="12" t="s">
        <v>369</v>
      </c>
      <c r="G279" s="12" t="s">
        <v>157</v>
      </c>
      <c r="H279" s="15">
        <v>281002</v>
      </c>
      <c r="I279" s="13">
        <v>55</v>
      </c>
      <c r="K279" s="12" t="s">
        <v>796</v>
      </c>
      <c r="L279" s="12" t="s">
        <v>159</v>
      </c>
      <c r="M279" s="15">
        <v>120700</v>
      </c>
      <c r="N279" s="13">
        <v>44</v>
      </c>
    </row>
    <row r="280" spans="1:14">
      <c r="A280" s="12" t="s">
        <v>797</v>
      </c>
      <c r="B280" s="12" t="s">
        <v>157</v>
      </c>
      <c r="C280" s="15">
        <v>14958</v>
      </c>
      <c r="D280" s="13">
        <v>50</v>
      </c>
      <c r="F280" s="12" t="s">
        <v>372</v>
      </c>
      <c r="G280" s="12" t="s">
        <v>157</v>
      </c>
      <c r="H280" s="15">
        <v>396396</v>
      </c>
      <c r="I280" s="13">
        <v>55</v>
      </c>
      <c r="K280" s="12" t="s">
        <v>640</v>
      </c>
      <c r="L280" s="12" t="s">
        <v>157</v>
      </c>
      <c r="M280" s="15">
        <v>175629</v>
      </c>
      <c r="N280" s="13">
        <v>44</v>
      </c>
    </row>
    <row r="281" spans="1:14">
      <c r="A281" s="12" t="s">
        <v>798</v>
      </c>
      <c r="B281" s="12" t="s">
        <v>157</v>
      </c>
      <c r="C281" s="15">
        <v>10586</v>
      </c>
      <c r="D281" s="13">
        <v>50</v>
      </c>
      <c r="F281" s="12" t="s">
        <v>375</v>
      </c>
      <c r="G281" s="12" t="s">
        <v>157</v>
      </c>
      <c r="H281" s="15">
        <v>123213</v>
      </c>
      <c r="I281" s="13">
        <v>55</v>
      </c>
      <c r="K281" s="12" t="s">
        <v>799</v>
      </c>
      <c r="L281" s="12" t="s">
        <v>157</v>
      </c>
      <c r="M281" s="15">
        <v>299497</v>
      </c>
      <c r="N281" s="13">
        <v>44</v>
      </c>
    </row>
    <row r="282" spans="1:14">
      <c r="A282" s="12" t="s">
        <v>800</v>
      </c>
      <c r="B282" s="12" t="s">
        <v>157</v>
      </c>
      <c r="C282" s="15">
        <v>22899</v>
      </c>
      <c r="D282" s="13">
        <v>50</v>
      </c>
      <c r="F282" s="12" t="s">
        <v>378</v>
      </c>
      <c r="G282" s="12" t="s">
        <v>157</v>
      </c>
      <c r="H282" s="15">
        <v>524904</v>
      </c>
      <c r="I282" s="13">
        <v>55</v>
      </c>
      <c r="K282" s="12" t="s">
        <v>801</v>
      </c>
      <c r="L282" s="12" t="s">
        <v>157</v>
      </c>
      <c r="M282" s="15">
        <v>104116</v>
      </c>
      <c r="N282" s="13">
        <v>44</v>
      </c>
    </row>
    <row r="283" spans="1:14">
      <c r="A283" s="12" t="s">
        <v>802</v>
      </c>
      <c r="B283" s="12" t="s">
        <v>157</v>
      </c>
      <c r="C283" s="15">
        <v>24965</v>
      </c>
      <c r="D283" s="13">
        <v>50</v>
      </c>
      <c r="F283" s="12" t="s">
        <v>803</v>
      </c>
      <c r="G283" s="12" t="s">
        <v>157</v>
      </c>
      <c r="H283" s="15">
        <v>63622</v>
      </c>
      <c r="I283" s="13">
        <v>55</v>
      </c>
      <c r="K283" s="12" t="s">
        <v>804</v>
      </c>
      <c r="L283" s="12" t="s">
        <v>159</v>
      </c>
      <c r="M283" s="15">
        <v>102400</v>
      </c>
      <c r="N283" s="13">
        <v>44</v>
      </c>
    </row>
    <row r="284" spans="1:14">
      <c r="A284" s="12" t="s">
        <v>805</v>
      </c>
      <c r="B284" s="12" t="s">
        <v>157</v>
      </c>
      <c r="C284" s="15">
        <v>25700</v>
      </c>
      <c r="D284" s="13">
        <v>50</v>
      </c>
      <c r="F284" s="12" t="s">
        <v>548</v>
      </c>
      <c r="G284" s="12" t="s">
        <v>157</v>
      </c>
      <c r="H284" s="15">
        <v>266897</v>
      </c>
      <c r="I284" s="13">
        <v>54</v>
      </c>
      <c r="K284" s="12" t="s">
        <v>806</v>
      </c>
      <c r="L284" s="12" t="s">
        <v>157</v>
      </c>
      <c r="M284" s="15">
        <v>125296</v>
      </c>
      <c r="N284" s="13">
        <v>44</v>
      </c>
    </row>
    <row r="285" spans="1:14">
      <c r="A285" s="12" t="s">
        <v>807</v>
      </c>
      <c r="B285" s="12" t="s">
        <v>157</v>
      </c>
      <c r="C285" s="15">
        <v>10785</v>
      </c>
      <c r="D285" s="13">
        <v>50</v>
      </c>
      <c r="F285" s="12" t="s">
        <v>550</v>
      </c>
      <c r="G285" s="12" t="s">
        <v>157</v>
      </c>
      <c r="H285" s="15">
        <v>155290</v>
      </c>
      <c r="I285" s="13">
        <v>54</v>
      </c>
      <c r="K285" s="12" t="s">
        <v>808</v>
      </c>
      <c r="L285" s="12" t="s">
        <v>159</v>
      </c>
      <c r="M285" s="15">
        <v>141900</v>
      </c>
      <c r="N285" s="13">
        <v>44</v>
      </c>
    </row>
    <row r="286" spans="1:14">
      <c r="A286" s="12" t="s">
        <v>809</v>
      </c>
      <c r="B286" s="12" t="s">
        <v>157</v>
      </c>
      <c r="C286" s="15">
        <v>30343</v>
      </c>
      <c r="D286" s="13">
        <v>50</v>
      </c>
      <c r="F286" s="12" t="s">
        <v>810</v>
      </c>
      <c r="G286" s="12" t="s">
        <v>159</v>
      </c>
      <c r="H286" s="15">
        <v>2300000</v>
      </c>
      <c r="I286" s="13">
        <v>54</v>
      </c>
      <c r="K286" s="12" t="s">
        <v>811</v>
      </c>
      <c r="L286" s="12" t="s">
        <v>157</v>
      </c>
      <c r="M286" s="15">
        <v>385025</v>
      </c>
      <c r="N286" s="13">
        <v>44</v>
      </c>
    </row>
    <row r="287" spans="1:14">
      <c r="A287" s="12" t="s">
        <v>812</v>
      </c>
      <c r="B287" s="12" t="s">
        <v>157</v>
      </c>
      <c r="C287" s="15">
        <v>17369</v>
      </c>
      <c r="D287" s="13">
        <v>50</v>
      </c>
      <c r="F287" s="12" t="s">
        <v>813</v>
      </c>
      <c r="G287" s="12" t="s">
        <v>157</v>
      </c>
      <c r="H287" s="15">
        <v>98915</v>
      </c>
      <c r="I287" s="13">
        <v>54</v>
      </c>
      <c r="K287" s="12" t="s">
        <v>814</v>
      </c>
      <c r="L287" s="12" t="s">
        <v>157</v>
      </c>
      <c r="M287" s="15">
        <v>239792</v>
      </c>
      <c r="N287" s="13">
        <v>44</v>
      </c>
    </row>
    <row r="288" spans="1:14">
      <c r="A288" s="12" t="s">
        <v>815</v>
      </c>
      <c r="B288" s="12" t="s">
        <v>157</v>
      </c>
      <c r="C288" s="15">
        <v>17612</v>
      </c>
      <c r="D288" s="13">
        <v>50</v>
      </c>
      <c r="F288" s="12" t="s">
        <v>381</v>
      </c>
      <c r="G288" s="12" t="s">
        <v>157</v>
      </c>
      <c r="H288" s="15">
        <v>190638</v>
      </c>
      <c r="I288" s="13">
        <v>54</v>
      </c>
      <c r="K288" s="12" t="s">
        <v>816</v>
      </c>
      <c r="L288" s="12" t="s">
        <v>157</v>
      </c>
      <c r="M288" s="15">
        <v>157080</v>
      </c>
      <c r="N288" s="13">
        <v>44</v>
      </c>
    </row>
    <row r="289" spans="1:14">
      <c r="A289" s="12" t="s">
        <v>817</v>
      </c>
      <c r="B289" s="12" t="s">
        <v>157</v>
      </c>
      <c r="C289" s="15">
        <v>33702</v>
      </c>
      <c r="D289" s="13">
        <v>50</v>
      </c>
      <c r="F289" s="12" t="s">
        <v>818</v>
      </c>
      <c r="G289" s="12" t="s">
        <v>159</v>
      </c>
      <c r="H289" s="15">
        <v>4200000</v>
      </c>
      <c r="I289" s="13">
        <v>54</v>
      </c>
      <c r="K289" s="12" t="s">
        <v>819</v>
      </c>
      <c r="L289" s="12" t="s">
        <v>157</v>
      </c>
      <c r="M289" s="15">
        <v>139678</v>
      </c>
      <c r="N289" s="13">
        <v>44</v>
      </c>
    </row>
    <row r="290" spans="1:14">
      <c r="A290" s="12" t="s">
        <v>820</v>
      </c>
      <c r="B290" s="12" t="s">
        <v>157</v>
      </c>
      <c r="C290" s="15">
        <v>22471</v>
      </c>
      <c r="D290" s="13">
        <v>50</v>
      </c>
      <c r="F290" s="12" t="s">
        <v>821</v>
      </c>
      <c r="G290" s="12" t="s">
        <v>159</v>
      </c>
      <c r="H290" s="15">
        <v>408500</v>
      </c>
      <c r="I290" s="13">
        <v>54</v>
      </c>
      <c r="K290" s="12" t="s">
        <v>822</v>
      </c>
      <c r="L290" s="12" t="s">
        <v>159</v>
      </c>
      <c r="M290" s="15">
        <v>127600</v>
      </c>
      <c r="N290" s="13">
        <v>44</v>
      </c>
    </row>
    <row r="291" spans="1:14">
      <c r="A291" s="12" t="s">
        <v>823</v>
      </c>
      <c r="B291" s="12" t="s">
        <v>157</v>
      </c>
      <c r="C291" s="15">
        <v>22138</v>
      </c>
      <c r="D291" s="13">
        <v>50</v>
      </c>
      <c r="F291" s="12" t="s">
        <v>384</v>
      </c>
      <c r="G291" s="12" t="s">
        <v>157</v>
      </c>
      <c r="H291" s="15">
        <v>101015</v>
      </c>
      <c r="I291" s="13">
        <v>54</v>
      </c>
      <c r="K291" s="12" t="s">
        <v>824</v>
      </c>
      <c r="L291" s="12" t="s">
        <v>157</v>
      </c>
      <c r="M291" s="15">
        <v>516185245</v>
      </c>
      <c r="N291" s="13">
        <v>44</v>
      </c>
    </row>
    <row r="292" spans="1:14">
      <c r="A292" s="12" t="s">
        <v>825</v>
      </c>
      <c r="B292" s="12" t="s">
        <v>157</v>
      </c>
      <c r="C292" s="15">
        <v>45067</v>
      </c>
      <c r="D292" s="13">
        <v>50</v>
      </c>
      <c r="F292" s="12" t="s">
        <v>826</v>
      </c>
      <c r="G292" s="12" t="s">
        <v>159</v>
      </c>
      <c r="H292" s="15">
        <v>604600</v>
      </c>
      <c r="I292" s="13">
        <v>54</v>
      </c>
      <c r="K292" s="12" t="s">
        <v>827</v>
      </c>
      <c r="L292" s="12" t="s">
        <v>157</v>
      </c>
      <c r="M292" s="15">
        <v>104924</v>
      </c>
      <c r="N292" s="13">
        <v>44</v>
      </c>
    </row>
    <row r="293" spans="1:14">
      <c r="A293" s="12" t="s">
        <v>828</v>
      </c>
      <c r="B293" s="12" t="s">
        <v>157</v>
      </c>
      <c r="C293" s="15">
        <v>28399</v>
      </c>
      <c r="D293" s="13">
        <v>50</v>
      </c>
      <c r="F293" s="12" t="s">
        <v>829</v>
      </c>
      <c r="G293" s="12" t="s">
        <v>159</v>
      </c>
      <c r="H293" s="15">
        <v>8300000</v>
      </c>
      <c r="I293" s="13">
        <v>54</v>
      </c>
      <c r="K293" s="12" t="s">
        <v>657</v>
      </c>
      <c r="L293" s="12" t="s">
        <v>157</v>
      </c>
      <c r="M293" s="15">
        <v>323873</v>
      </c>
      <c r="N293" s="13">
        <v>44</v>
      </c>
    </row>
    <row r="294" spans="1:14">
      <c r="A294" s="12" t="s">
        <v>830</v>
      </c>
      <c r="B294" s="12" t="s">
        <v>157</v>
      </c>
      <c r="C294" s="15">
        <v>20165</v>
      </c>
      <c r="D294" s="13">
        <v>50</v>
      </c>
      <c r="F294" s="12" t="s">
        <v>524</v>
      </c>
      <c r="G294" s="12" t="s">
        <v>157</v>
      </c>
      <c r="H294" s="15">
        <v>197803</v>
      </c>
      <c r="I294" s="13">
        <v>54</v>
      </c>
      <c r="K294" s="12" t="s">
        <v>659</v>
      </c>
      <c r="L294" s="12" t="s">
        <v>157</v>
      </c>
      <c r="M294" s="15">
        <v>655177</v>
      </c>
      <c r="N294" s="13">
        <v>44</v>
      </c>
    </row>
    <row r="295" spans="1:14">
      <c r="A295" s="12" t="s">
        <v>831</v>
      </c>
      <c r="B295" s="12" t="s">
        <v>157</v>
      </c>
      <c r="C295" s="15">
        <v>13609</v>
      </c>
      <c r="D295" s="13">
        <v>50</v>
      </c>
      <c r="F295" s="12" t="s">
        <v>387</v>
      </c>
      <c r="G295" s="12" t="s">
        <v>157</v>
      </c>
      <c r="H295" s="15">
        <v>1883474</v>
      </c>
      <c r="I295" s="13">
        <v>54</v>
      </c>
      <c r="K295" s="12" t="s">
        <v>832</v>
      </c>
      <c r="L295" s="12" t="s">
        <v>157</v>
      </c>
      <c r="M295" s="15">
        <v>1183264</v>
      </c>
      <c r="N295" s="13">
        <v>44</v>
      </c>
    </row>
    <row r="296" spans="1:14">
      <c r="A296" s="12" t="s">
        <v>833</v>
      </c>
      <c r="B296" s="12" t="s">
        <v>157</v>
      </c>
      <c r="C296" s="15">
        <v>15118</v>
      </c>
      <c r="D296" s="13">
        <v>50</v>
      </c>
      <c r="F296" s="12" t="s">
        <v>834</v>
      </c>
      <c r="G296" s="12" t="s">
        <v>159</v>
      </c>
      <c r="H296" s="15">
        <v>1100000</v>
      </c>
      <c r="I296" s="13">
        <v>54</v>
      </c>
      <c r="K296" s="12" t="s">
        <v>835</v>
      </c>
      <c r="L296" s="12" t="s">
        <v>157</v>
      </c>
      <c r="M296" s="15">
        <v>491814</v>
      </c>
      <c r="N296" s="13">
        <v>44</v>
      </c>
    </row>
    <row r="297" spans="1:14">
      <c r="A297" s="12" t="s">
        <v>836</v>
      </c>
      <c r="B297" s="12" t="s">
        <v>157</v>
      </c>
      <c r="C297" s="15">
        <v>21811</v>
      </c>
      <c r="D297" s="13">
        <v>50</v>
      </c>
      <c r="F297" s="12" t="s">
        <v>837</v>
      </c>
      <c r="G297" s="12" t="s">
        <v>159</v>
      </c>
      <c r="H297" s="15">
        <v>7200000</v>
      </c>
      <c r="I297" s="13">
        <v>54</v>
      </c>
      <c r="K297" s="12" t="s">
        <v>838</v>
      </c>
      <c r="L297" s="12" t="s">
        <v>159</v>
      </c>
      <c r="M297" s="15">
        <v>940200</v>
      </c>
      <c r="N297" s="13">
        <v>44</v>
      </c>
    </row>
    <row r="298" spans="1:14">
      <c r="A298" s="12" t="s">
        <v>839</v>
      </c>
      <c r="B298" s="12" t="s">
        <v>157</v>
      </c>
      <c r="C298" s="15">
        <v>20116</v>
      </c>
      <c r="D298" s="13">
        <v>50</v>
      </c>
      <c r="F298" s="12" t="s">
        <v>390</v>
      </c>
      <c r="G298" s="12" t="s">
        <v>157</v>
      </c>
      <c r="H298" s="15">
        <v>535764</v>
      </c>
      <c r="I298" s="13">
        <v>54</v>
      </c>
      <c r="K298" s="12" t="s">
        <v>840</v>
      </c>
      <c r="L298" s="12" t="s">
        <v>157</v>
      </c>
      <c r="M298" s="15">
        <v>134494</v>
      </c>
      <c r="N298" s="13">
        <v>44</v>
      </c>
    </row>
    <row r="299" spans="1:14">
      <c r="A299" s="12" t="s">
        <v>841</v>
      </c>
      <c r="B299" s="12" t="s">
        <v>157</v>
      </c>
      <c r="C299" s="15">
        <v>19150</v>
      </c>
      <c r="D299" s="13">
        <v>50</v>
      </c>
      <c r="F299" s="12" t="s">
        <v>842</v>
      </c>
      <c r="G299" s="12" t="s">
        <v>159</v>
      </c>
      <c r="H299" s="15">
        <v>159300</v>
      </c>
      <c r="I299" s="13">
        <v>54</v>
      </c>
      <c r="K299" s="12" t="s">
        <v>666</v>
      </c>
      <c r="L299" s="12" t="s">
        <v>157</v>
      </c>
      <c r="M299" s="15">
        <v>194787</v>
      </c>
      <c r="N299" s="13">
        <v>44</v>
      </c>
    </row>
    <row r="300" spans="1:14">
      <c r="A300" s="12" t="s">
        <v>843</v>
      </c>
      <c r="B300" s="12" t="s">
        <v>157</v>
      </c>
      <c r="C300" s="15">
        <v>17951</v>
      </c>
      <c r="D300" s="13">
        <v>50</v>
      </c>
      <c r="F300" s="12" t="s">
        <v>844</v>
      </c>
      <c r="G300" s="12" t="s">
        <v>159</v>
      </c>
      <c r="H300" s="15">
        <v>5700000</v>
      </c>
      <c r="I300" s="13">
        <v>54</v>
      </c>
      <c r="K300" s="12" t="s">
        <v>668</v>
      </c>
      <c r="L300" s="12" t="s">
        <v>157</v>
      </c>
      <c r="M300" s="15">
        <v>106471</v>
      </c>
      <c r="N300" s="13">
        <v>44</v>
      </c>
    </row>
    <row r="301" spans="1:14">
      <c r="A301" s="12" t="s">
        <v>845</v>
      </c>
      <c r="B301" s="12" t="s">
        <v>157</v>
      </c>
      <c r="C301" s="15">
        <v>11617</v>
      </c>
      <c r="D301" s="13">
        <v>50</v>
      </c>
      <c r="F301" s="12" t="s">
        <v>846</v>
      </c>
      <c r="G301" s="12" t="s">
        <v>159</v>
      </c>
      <c r="H301" s="15">
        <v>5200000</v>
      </c>
      <c r="I301" s="13">
        <v>54</v>
      </c>
      <c r="K301" s="12" t="s">
        <v>774</v>
      </c>
      <c r="L301" s="12" t="s">
        <v>159</v>
      </c>
      <c r="M301" s="15">
        <v>14000000</v>
      </c>
      <c r="N301" s="13">
        <v>44</v>
      </c>
    </row>
    <row r="302" spans="1:14">
      <c r="A302" s="12" t="s">
        <v>847</v>
      </c>
      <c r="B302" s="12" t="s">
        <v>157</v>
      </c>
      <c r="C302" s="15">
        <v>31550</v>
      </c>
      <c r="D302" s="13">
        <v>50</v>
      </c>
      <c r="F302" s="12" t="s">
        <v>393</v>
      </c>
      <c r="G302" s="12" t="s">
        <v>157</v>
      </c>
      <c r="H302" s="15">
        <v>383298</v>
      </c>
      <c r="I302" s="13">
        <v>54</v>
      </c>
      <c r="K302" s="12" t="s">
        <v>848</v>
      </c>
      <c r="L302" s="12" t="s">
        <v>157</v>
      </c>
      <c r="M302" s="15">
        <v>166689</v>
      </c>
      <c r="N302" s="13">
        <v>44</v>
      </c>
    </row>
    <row r="303" spans="1:14">
      <c r="A303" s="12" t="s">
        <v>849</v>
      </c>
      <c r="B303" s="12" t="s">
        <v>157</v>
      </c>
      <c r="C303" s="15">
        <v>11043</v>
      </c>
      <c r="D303" s="13">
        <v>50</v>
      </c>
      <c r="F303" s="12" t="s">
        <v>850</v>
      </c>
      <c r="G303" s="12" t="s">
        <v>159</v>
      </c>
      <c r="H303" s="15">
        <v>1700000</v>
      </c>
      <c r="I303" s="13">
        <v>54</v>
      </c>
      <c r="K303" s="12" t="s">
        <v>851</v>
      </c>
      <c r="L303" s="12" t="s">
        <v>159</v>
      </c>
      <c r="M303" s="15">
        <v>107800</v>
      </c>
      <c r="N303" s="13">
        <v>44</v>
      </c>
    </row>
    <row r="304" spans="1:14">
      <c r="A304" s="12" t="s">
        <v>852</v>
      </c>
      <c r="B304" s="12" t="s">
        <v>157</v>
      </c>
      <c r="C304" s="15">
        <v>11311</v>
      </c>
      <c r="D304" s="13">
        <v>50</v>
      </c>
      <c r="F304" s="12" t="s">
        <v>396</v>
      </c>
      <c r="G304" s="12" t="s">
        <v>157</v>
      </c>
      <c r="H304" s="15">
        <v>363535</v>
      </c>
      <c r="I304" s="13">
        <v>54</v>
      </c>
      <c r="K304" s="12" t="s">
        <v>672</v>
      </c>
      <c r="L304" s="12" t="s">
        <v>157</v>
      </c>
      <c r="M304" s="15">
        <v>148282</v>
      </c>
      <c r="N304" s="13">
        <v>44</v>
      </c>
    </row>
    <row r="305" spans="1:14">
      <c r="A305" s="12" t="s">
        <v>853</v>
      </c>
      <c r="B305" s="12" t="s">
        <v>157</v>
      </c>
      <c r="C305" s="15">
        <v>13091</v>
      </c>
      <c r="D305" s="13">
        <v>50</v>
      </c>
      <c r="F305" s="12" t="s">
        <v>556</v>
      </c>
      <c r="G305" s="12" t="s">
        <v>157</v>
      </c>
      <c r="H305" s="15">
        <v>1525475</v>
      </c>
      <c r="I305" s="13">
        <v>54</v>
      </c>
      <c r="K305" s="12" t="s">
        <v>674</v>
      </c>
      <c r="L305" s="12" t="s">
        <v>157</v>
      </c>
      <c r="M305" s="15">
        <v>7694004</v>
      </c>
      <c r="N305" s="13">
        <v>44</v>
      </c>
    </row>
    <row r="306" spans="1:14">
      <c r="A306" s="12" t="s">
        <v>854</v>
      </c>
      <c r="B306" s="12" t="s">
        <v>157</v>
      </c>
      <c r="C306" s="15">
        <v>19832</v>
      </c>
      <c r="D306" s="13">
        <v>50</v>
      </c>
      <c r="F306" s="12" t="s">
        <v>399</v>
      </c>
      <c r="G306" s="12" t="s">
        <v>157</v>
      </c>
      <c r="H306" s="15">
        <v>546452</v>
      </c>
      <c r="I306" s="13">
        <v>54</v>
      </c>
      <c r="K306" s="12" t="s">
        <v>855</v>
      </c>
      <c r="L306" s="12" t="s">
        <v>157</v>
      </c>
      <c r="M306" s="15">
        <v>837587</v>
      </c>
      <c r="N306" s="13">
        <v>44</v>
      </c>
    </row>
    <row r="307" spans="1:14">
      <c r="A307" s="12" t="s">
        <v>856</v>
      </c>
      <c r="B307" s="12" t="s">
        <v>157</v>
      </c>
      <c r="C307" s="15">
        <v>11548</v>
      </c>
      <c r="D307" s="13">
        <v>50</v>
      </c>
      <c r="F307" s="12" t="s">
        <v>401</v>
      </c>
      <c r="G307" s="12" t="s">
        <v>157</v>
      </c>
      <c r="H307" s="15">
        <v>2512148</v>
      </c>
      <c r="I307" s="13">
        <v>54</v>
      </c>
      <c r="K307" s="12" t="s">
        <v>857</v>
      </c>
      <c r="L307" s="12" t="s">
        <v>157</v>
      </c>
      <c r="M307" s="15">
        <v>393654</v>
      </c>
      <c r="N307" s="13">
        <v>44</v>
      </c>
    </row>
    <row r="308" spans="1:14">
      <c r="A308" s="12" t="s">
        <v>858</v>
      </c>
      <c r="B308" s="12" t="s">
        <v>157</v>
      </c>
      <c r="C308" s="15">
        <v>24751</v>
      </c>
      <c r="D308" s="13">
        <v>50</v>
      </c>
      <c r="F308" s="12" t="s">
        <v>859</v>
      </c>
      <c r="G308" s="12" t="s">
        <v>159</v>
      </c>
      <c r="H308" s="15">
        <v>987700</v>
      </c>
      <c r="I308" s="13">
        <v>54</v>
      </c>
      <c r="K308" s="12" t="s">
        <v>209</v>
      </c>
      <c r="L308" s="12" t="s">
        <v>157</v>
      </c>
      <c r="M308" s="15">
        <v>116843</v>
      </c>
      <c r="N308" s="13">
        <v>44</v>
      </c>
    </row>
    <row r="309" spans="1:14">
      <c r="A309" s="12" t="s">
        <v>860</v>
      </c>
      <c r="B309" s="12" t="s">
        <v>157</v>
      </c>
      <c r="C309" s="15">
        <v>22750</v>
      </c>
      <c r="D309" s="13">
        <v>50</v>
      </c>
      <c r="F309" s="12" t="s">
        <v>408</v>
      </c>
      <c r="G309" s="12" t="s">
        <v>157</v>
      </c>
      <c r="H309" s="15">
        <v>181789</v>
      </c>
      <c r="I309" s="13">
        <v>53</v>
      </c>
      <c r="K309" s="12" t="s">
        <v>861</v>
      </c>
      <c r="L309" s="12" t="s">
        <v>157</v>
      </c>
      <c r="M309" s="15">
        <v>226435</v>
      </c>
      <c r="N309" s="13">
        <v>43</v>
      </c>
    </row>
    <row r="310" spans="1:14">
      <c r="A310" s="12" t="s">
        <v>862</v>
      </c>
      <c r="B310" s="12" t="s">
        <v>157</v>
      </c>
      <c r="C310" s="15">
        <v>10424</v>
      </c>
      <c r="D310" s="13">
        <v>50</v>
      </c>
      <c r="F310" s="12" t="s">
        <v>178</v>
      </c>
      <c r="G310" s="12" t="s">
        <v>157</v>
      </c>
      <c r="H310" s="15">
        <v>948683</v>
      </c>
      <c r="I310" s="13">
        <v>53</v>
      </c>
      <c r="K310" s="12" t="s">
        <v>863</v>
      </c>
      <c r="L310" s="12" t="s">
        <v>159</v>
      </c>
      <c r="M310" s="15">
        <v>210600</v>
      </c>
      <c r="N310" s="13">
        <v>43</v>
      </c>
    </row>
    <row r="311" spans="1:14">
      <c r="A311" s="12" t="s">
        <v>864</v>
      </c>
      <c r="B311" s="12" t="s">
        <v>157</v>
      </c>
      <c r="C311" s="15">
        <v>21687</v>
      </c>
      <c r="D311" s="13">
        <v>50</v>
      </c>
      <c r="F311" s="12" t="s">
        <v>564</v>
      </c>
      <c r="G311" s="12" t="s">
        <v>157</v>
      </c>
      <c r="H311" s="15">
        <v>216560</v>
      </c>
      <c r="I311" s="13">
        <v>53</v>
      </c>
      <c r="K311" s="12" t="s">
        <v>865</v>
      </c>
      <c r="L311" s="12" t="s">
        <v>157</v>
      </c>
      <c r="M311" s="15">
        <v>272803</v>
      </c>
      <c r="N311" s="13">
        <v>43</v>
      </c>
    </row>
    <row r="312" spans="1:14">
      <c r="A312" s="12" t="s">
        <v>866</v>
      </c>
      <c r="B312" s="12" t="s">
        <v>157</v>
      </c>
      <c r="C312" s="15">
        <v>13934</v>
      </c>
      <c r="D312" s="13">
        <v>50</v>
      </c>
      <c r="F312" s="12" t="s">
        <v>535</v>
      </c>
      <c r="G312" s="12" t="s">
        <v>157</v>
      </c>
      <c r="H312" s="15">
        <v>110332</v>
      </c>
      <c r="I312" s="13">
        <v>53</v>
      </c>
      <c r="K312" s="12" t="s">
        <v>867</v>
      </c>
      <c r="L312" s="12" t="s">
        <v>157</v>
      </c>
      <c r="M312" s="15">
        <v>644524</v>
      </c>
      <c r="N312" s="13">
        <v>43</v>
      </c>
    </row>
    <row r="313" spans="1:14">
      <c r="A313" s="12" t="s">
        <v>868</v>
      </c>
      <c r="B313" s="12" t="s">
        <v>157</v>
      </c>
      <c r="C313" s="15">
        <v>47592</v>
      </c>
      <c r="D313" s="13">
        <v>50</v>
      </c>
      <c r="F313" s="12" t="s">
        <v>869</v>
      </c>
      <c r="G313" s="12" t="s">
        <v>157</v>
      </c>
      <c r="H313" s="15">
        <v>606698</v>
      </c>
      <c r="I313" s="13">
        <v>53</v>
      </c>
      <c r="K313" s="12" t="s">
        <v>870</v>
      </c>
      <c r="L313" s="12" t="s">
        <v>159</v>
      </c>
      <c r="M313" s="15">
        <v>106000</v>
      </c>
      <c r="N313" s="13">
        <v>43</v>
      </c>
    </row>
    <row r="314" spans="1:14">
      <c r="A314" s="12" t="s">
        <v>871</v>
      </c>
      <c r="B314" s="12" t="s">
        <v>157</v>
      </c>
      <c r="C314" s="15">
        <v>35329</v>
      </c>
      <c r="D314" s="13">
        <v>50</v>
      </c>
      <c r="F314" s="12" t="s">
        <v>586</v>
      </c>
      <c r="G314" s="12" t="s">
        <v>157</v>
      </c>
      <c r="H314" s="15">
        <v>17452714</v>
      </c>
      <c r="I314" s="13">
        <v>53</v>
      </c>
      <c r="K314" s="12" t="s">
        <v>872</v>
      </c>
      <c r="L314" s="12" t="s">
        <v>159</v>
      </c>
      <c r="M314" s="15">
        <v>331900</v>
      </c>
      <c r="N314" s="13">
        <v>43</v>
      </c>
    </row>
    <row r="315" spans="1:14">
      <c r="A315" s="12" t="s">
        <v>873</v>
      </c>
      <c r="B315" s="12" t="s">
        <v>157</v>
      </c>
      <c r="C315" s="15">
        <v>21019</v>
      </c>
      <c r="D315" s="13">
        <v>50</v>
      </c>
      <c r="F315" s="12" t="s">
        <v>421</v>
      </c>
      <c r="G315" s="12" t="s">
        <v>159</v>
      </c>
      <c r="H315" s="15">
        <v>1300000</v>
      </c>
      <c r="I315" s="13">
        <v>53</v>
      </c>
      <c r="K315" s="12" t="s">
        <v>874</v>
      </c>
      <c r="L315" s="12" t="s">
        <v>157</v>
      </c>
      <c r="M315" s="15">
        <v>191664</v>
      </c>
      <c r="N315" s="13">
        <v>43</v>
      </c>
    </row>
    <row r="316" spans="1:14">
      <c r="A316" s="12" t="s">
        <v>875</v>
      </c>
      <c r="B316" s="12" t="s">
        <v>157</v>
      </c>
      <c r="C316" s="15">
        <v>24289</v>
      </c>
      <c r="D316" s="13">
        <v>50</v>
      </c>
      <c r="F316" s="12" t="s">
        <v>424</v>
      </c>
      <c r="G316" s="12" t="s">
        <v>157</v>
      </c>
      <c r="H316" s="15">
        <v>157873</v>
      </c>
      <c r="I316" s="13">
        <v>52</v>
      </c>
      <c r="K316" s="12" t="s">
        <v>472</v>
      </c>
      <c r="L316" s="12" t="s">
        <v>159</v>
      </c>
      <c r="M316" s="15">
        <v>12100000</v>
      </c>
      <c r="N316" s="13">
        <v>43</v>
      </c>
    </row>
    <row r="317" spans="1:14">
      <c r="A317" s="12" t="s">
        <v>876</v>
      </c>
      <c r="B317" s="12" t="s">
        <v>157</v>
      </c>
      <c r="C317" s="15">
        <v>14341</v>
      </c>
      <c r="D317" s="13">
        <v>50</v>
      </c>
      <c r="F317" s="12" t="s">
        <v>429</v>
      </c>
      <c r="G317" s="12" t="s">
        <v>157</v>
      </c>
      <c r="H317" s="15">
        <v>336849</v>
      </c>
      <c r="I317" s="13">
        <v>52</v>
      </c>
      <c r="K317" s="12" t="s">
        <v>877</v>
      </c>
      <c r="L317" s="12" t="s">
        <v>159</v>
      </c>
      <c r="M317" s="15">
        <v>107500</v>
      </c>
      <c r="N317" s="13">
        <v>43</v>
      </c>
    </row>
    <row r="318" spans="1:14">
      <c r="A318" s="12" t="s">
        <v>878</v>
      </c>
      <c r="B318" s="12" t="s">
        <v>157</v>
      </c>
      <c r="C318" s="15">
        <v>11667</v>
      </c>
      <c r="D318" s="13">
        <v>50</v>
      </c>
      <c r="F318" s="12" t="s">
        <v>599</v>
      </c>
      <c r="G318" s="12" t="s">
        <v>157</v>
      </c>
      <c r="H318" s="15">
        <v>89454</v>
      </c>
      <c r="I318" s="13">
        <v>52</v>
      </c>
      <c r="K318" s="12" t="s">
        <v>879</v>
      </c>
      <c r="L318" s="12" t="s">
        <v>159</v>
      </c>
      <c r="M318" s="15">
        <v>150100</v>
      </c>
      <c r="N318" s="13">
        <v>43</v>
      </c>
    </row>
    <row r="319" spans="1:14">
      <c r="A319" s="12" t="s">
        <v>880</v>
      </c>
      <c r="B319" s="12" t="s">
        <v>157</v>
      </c>
      <c r="C319" s="15">
        <v>21404</v>
      </c>
      <c r="D319" s="13">
        <v>50</v>
      </c>
      <c r="F319" s="12" t="s">
        <v>600</v>
      </c>
      <c r="G319" s="12" t="s">
        <v>157</v>
      </c>
      <c r="H319" s="15">
        <v>574646</v>
      </c>
      <c r="I319" s="13">
        <v>52</v>
      </c>
      <c r="K319" s="12" t="s">
        <v>881</v>
      </c>
      <c r="L319" s="12" t="s">
        <v>157</v>
      </c>
      <c r="M319" s="15">
        <v>116979</v>
      </c>
      <c r="N319" s="13">
        <v>43</v>
      </c>
    </row>
    <row r="320" spans="1:14">
      <c r="A320" s="12" t="s">
        <v>882</v>
      </c>
      <c r="B320" s="12" t="s">
        <v>157</v>
      </c>
      <c r="C320" s="15">
        <v>14648</v>
      </c>
      <c r="D320" s="13">
        <v>50</v>
      </c>
      <c r="F320" s="12" t="s">
        <v>432</v>
      </c>
      <c r="G320" s="12" t="s">
        <v>157</v>
      </c>
      <c r="H320" s="15">
        <v>283926</v>
      </c>
      <c r="I320" s="13">
        <v>52</v>
      </c>
      <c r="K320" s="12" t="s">
        <v>883</v>
      </c>
      <c r="L320" s="12" t="s">
        <v>159</v>
      </c>
      <c r="M320" s="15">
        <v>401600</v>
      </c>
      <c r="N320" s="13">
        <v>43</v>
      </c>
    </row>
    <row r="321" spans="1:14">
      <c r="A321" s="12" t="s">
        <v>884</v>
      </c>
      <c r="B321" s="12" t="s">
        <v>157</v>
      </c>
      <c r="C321" s="15">
        <v>24494</v>
      </c>
      <c r="D321" s="13">
        <v>50</v>
      </c>
      <c r="F321" s="12" t="s">
        <v>885</v>
      </c>
      <c r="G321" s="12" t="s">
        <v>157</v>
      </c>
      <c r="H321" s="15">
        <v>116585</v>
      </c>
      <c r="I321" s="13">
        <v>52</v>
      </c>
      <c r="K321" s="12" t="s">
        <v>886</v>
      </c>
      <c r="L321" s="12" t="s">
        <v>157</v>
      </c>
      <c r="M321" s="15">
        <v>178537</v>
      </c>
      <c r="N321" s="13">
        <v>43</v>
      </c>
    </row>
    <row r="322" spans="1:14">
      <c r="A322" s="12" t="s">
        <v>887</v>
      </c>
      <c r="B322" s="12" t="s">
        <v>157</v>
      </c>
      <c r="C322" s="15">
        <v>12282</v>
      </c>
      <c r="D322" s="13">
        <v>50</v>
      </c>
      <c r="F322" s="12" t="s">
        <v>888</v>
      </c>
      <c r="G322" s="12" t="s">
        <v>157</v>
      </c>
      <c r="H322" s="15">
        <v>382923</v>
      </c>
      <c r="I322" s="13">
        <v>52</v>
      </c>
      <c r="K322" s="12" t="s">
        <v>889</v>
      </c>
      <c r="L322" s="12" t="s">
        <v>159</v>
      </c>
      <c r="M322" s="15">
        <v>241600</v>
      </c>
      <c r="N322" s="13">
        <v>43</v>
      </c>
    </row>
    <row r="323" spans="1:14">
      <c r="A323" s="12" t="s">
        <v>890</v>
      </c>
      <c r="B323" s="12" t="s">
        <v>157</v>
      </c>
      <c r="C323" s="15">
        <v>10351</v>
      </c>
      <c r="D323" s="13">
        <v>50</v>
      </c>
      <c r="F323" s="12" t="s">
        <v>744</v>
      </c>
      <c r="G323" s="12" t="s">
        <v>159</v>
      </c>
      <c r="H323" s="15">
        <v>2900000</v>
      </c>
      <c r="I323" s="13">
        <v>52</v>
      </c>
      <c r="K323" s="12" t="s">
        <v>162</v>
      </c>
      <c r="L323" s="12" t="s">
        <v>157</v>
      </c>
      <c r="M323" s="15">
        <v>20046665</v>
      </c>
      <c r="N323" s="13">
        <v>43</v>
      </c>
    </row>
    <row r="324" spans="1:14">
      <c r="A324" s="12" t="s">
        <v>891</v>
      </c>
      <c r="B324" s="12" t="s">
        <v>157</v>
      </c>
      <c r="C324" s="15">
        <v>11406</v>
      </c>
      <c r="D324" s="13">
        <v>50</v>
      </c>
      <c r="F324" s="12" t="s">
        <v>435</v>
      </c>
      <c r="G324" s="12" t="s">
        <v>157</v>
      </c>
      <c r="H324" s="15">
        <v>275159</v>
      </c>
      <c r="I324" s="13">
        <v>52</v>
      </c>
      <c r="K324" s="12" t="s">
        <v>892</v>
      </c>
      <c r="L324" s="12" t="s">
        <v>159</v>
      </c>
      <c r="M324" s="15">
        <v>312400</v>
      </c>
      <c r="N324" s="13">
        <v>43</v>
      </c>
    </row>
    <row r="325" spans="1:14">
      <c r="A325" s="12" t="s">
        <v>893</v>
      </c>
      <c r="B325" s="12" t="s">
        <v>157</v>
      </c>
      <c r="C325" s="15">
        <v>10367</v>
      </c>
      <c r="D325" s="13">
        <v>50</v>
      </c>
      <c r="F325" s="12" t="s">
        <v>894</v>
      </c>
      <c r="G325" s="12" t="s">
        <v>159</v>
      </c>
      <c r="H325" s="15">
        <v>148500</v>
      </c>
      <c r="I325" s="13">
        <v>52</v>
      </c>
      <c r="K325" s="12" t="s">
        <v>895</v>
      </c>
      <c r="L325" s="12" t="s">
        <v>159</v>
      </c>
      <c r="M325" s="15">
        <v>195400</v>
      </c>
      <c r="N325" s="13">
        <v>43</v>
      </c>
    </row>
    <row r="326" spans="1:14">
      <c r="A326" s="12" t="s">
        <v>896</v>
      </c>
      <c r="B326" s="12" t="s">
        <v>157</v>
      </c>
      <c r="C326" s="15">
        <v>32717</v>
      </c>
      <c r="D326" s="13">
        <v>50</v>
      </c>
      <c r="F326" s="12" t="s">
        <v>438</v>
      </c>
      <c r="G326" s="12" t="s">
        <v>157</v>
      </c>
      <c r="H326" s="15">
        <v>101157</v>
      </c>
      <c r="I326" s="13">
        <v>52</v>
      </c>
      <c r="K326" s="12" t="s">
        <v>897</v>
      </c>
      <c r="L326" s="12" t="s">
        <v>157</v>
      </c>
      <c r="M326" s="15">
        <v>244860</v>
      </c>
      <c r="N326" s="13">
        <v>43</v>
      </c>
    </row>
    <row r="327" spans="1:14">
      <c r="A327" s="12" t="s">
        <v>898</v>
      </c>
      <c r="B327" s="12" t="s">
        <v>157</v>
      </c>
      <c r="C327" s="15">
        <v>19370</v>
      </c>
      <c r="D327" s="13">
        <v>50</v>
      </c>
      <c r="F327" s="12" t="s">
        <v>610</v>
      </c>
      <c r="G327" s="12" t="s">
        <v>157</v>
      </c>
      <c r="H327" s="15">
        <v>117565</v>
      </c>
      <c r="I327" s="13">
        <v>52</v>
      </c>
      <c r="K327" s="12" t="s">
        <v>899</v>
      </c>
      <c r="L327" s="12" t="s">
        <v>157</v>
      </c>
      <c r="M327" s="15">
        <v>110311</v>
      </c>
      <c r="N327" s="13">
        <v>43</v>
      </c>
    </row>
    <row r="328" spans="1:14">
      <c r="A328" s="12" t="s">
        <v>900</v>
      </c>
      <c r="B328" s="12" t="s">
        <v>157</v>
      </c>
      <c r="C328" s="15">
        <v>11360</v>
      </c>
      <c r="D328" s="13">
        <v>50</v>
      </c>
      <c r="F328" s="12" t="s">
        <v>616</v>
      </c>
      <c r="G328" s="12" t="s">
        <v>157</v>
      </c>
      <c r="H328" s="15">
        <v>627991</v>
      </c>
      <c r="I328" s="13">
        <v>52</v>
      </c>
      <c r="K328" s="12" t="s">
        <v>901</v>
      </c>
      <c r="L328" s="12" t="s">
        <v>157</v>
      </c>
      <c r="M328" s="15">
        <v>106023</v>
      </c>
      <c r="N328" s="13">
        <v>43</v>
      </c>
    </row>
    <row r="329" spans="1:14">
      <c r="A329" s="12" t="s">
        <v>902</v>
      </c>
      <c r="B329" s="12" t="s">
        <v>157</v>
      </c>
      <c r="C329" s="15">
        <v>16301</v>
      </c>
      <c r="D329" s="13">
        <v>50</v>
      </c>
      <c r="F329" s="12" t="s">
        <v>620</v>
      </c>
      <c r="G329" s="12" t="s">
        <v>157</v>
      </c>
      <c r="H329" s="15">
        <v>251163</v>
      </c>
      <c r="I329" s="13">
        <v>52</v>
      </c>
      <c r="K329" s="12" t="s">
        <v>903</v>
      </c>
      <c r="L329" s="12" t="s">
        <v>157</v>
      </c>
      <c r="M329" s="15">
        <v>570281</v>
      </c>
      <c r="N329" s="13">
        <v>43</v>
      </c>
    </row>
    <row r="330" spans="1:14">
      <c r="A330" s="12" t="s">
        <v>904</v>
      </c>
      <c r="B330" s="12" t="s">
        <v>157</v>
      </c>
      <c r="C330" s="15">
        <v>21942</v>
      </c>
      <c r="D330" s="13">
        <v>50</v>
      </c>
      <c r="F330" s="12" t="s">
        <v>441</v>
      </c>
      <c r="G330" s="12" t="s">
        <v>157</v>
      </c>
      <c r="H330" s="15">
        <v>423744</v>
      </c>
      <c r="I330" s="13">
        <v>52</v>
      </c>
      <c r="K330" s="12" t="s">
        <v>905</v>
      </c>
      <c r="L330" s="12" t="s">
        <v>159</v>
      </c>
      <c r="M330" s="15">
        <v>241900</v>
      </c>
      <c r="N330" s="13">
        <v>43</v>
      </c>
    </row>
    <row r="331" spans="1:14">
      <c r="A331" s="12" t="s">
        <v>906</v>
      </c>
      <c r="B331" s="12" t="s">
        <v>157</v>
      </c>
      <c r="C331" s="15">
        <v>32114</v>
      </c>
      <c r="D331" s="13">
        <v>50</v>
      </c>
      <c r="F331" s="12" t="s">
        <v>621</v>
      </c>
      <c r="G331" s="12" t="s">
        <v>157</v>
      </c>
      <c r="H331" s="15">
        <v>142728</v>
      </c>
      <c r="I331" s="13">
        <v>52</v>
      </c>
      <c r="K331" s="12" t="s">
        <v>907</v>
      </c>
      <c r="L331" s="12" t="s">
        <v>157</v>
      </c>
      <c r="M331" s="15">
        <v>3495969</v>
      </c>
      <c r="N331" s="13">
        <v>43</v>
      </c>
    </row>
    <row r="332" spans="1:14">
      <c r="A332" s="12" t="s">
        <v>908</v>
      </c>
      <c r="B332" s="12" t="s">
        <v>157</v>
      </c>
      <c r="C332" s="15">
        <v>19971</v>
      </c>
      <c r="D332" s="13">
        <v>50</v>
      </c>
      <c r="F332" s="12" t="s">
        <v>909</v>
      </c>
      <c r="G332" s="12" t="s">
        <v>157</v>
      </c>
      <c r="H332" s="15">
        <v>118392</v>
      </c>
      <c r="I332" s="13">
        <v>51</v>
      </c>
      <c r="K332" s="12" t="s">
        <v>910</v>
      </c>
      <c r="L332" s="12" t="s">
        <v>157</v>
      </c>
      <c r="M332" s="15">
        <v>102382</v>
      </c>
      <c r="N332" s="13">
        <v>43</v>
      </c>
    </row>
    <row r="333" spans="1:14">
      <c r="A333" s="12" t="s">
        <v>911</v>
      </c>
      <c r="B333" s="12" t="s">
        <v>157</v>
      </c>
      <c r="C333" s="15">
        <v>11388</v>
      </c>
      <c r="D333" s="13">
        <v>50</v>
      </c>
      <c r="F333" s="12" t="s">
        <v>446</v>
      </c>
      <c r="G333" s="12" t="s">
        <v>157</v>
      </c>
      <c r="H333" s="15">
        <v>248772</v>
      </c>
      <c r="I333" s="13">
        <v>51</v>
      </c>
      <c r="K333" s="12" t="s">
        <v>912</v>
      </c>
      <c r="L333" s="12" t="s">
        <v>159</v>
      </c>
      <c r="M333" s="15">
        <v>160000</v>
      </c>
      <c r="N333" s="13">
        <v>43</v>
      </c>
    </row>
    <row r="334" spans="1:14">
      <c r="A334" s="12" t="s">
        <v>881</v>
      </c>
      <c r="B334" s="12" t="s">
        <v>157</v>
      </c>
      <c r="C334" s="15">
        <v>116979</v>
      </c>
      <c r="D334" s="13">
        <v>50</v>
      </c>
      <c r="F334" s="12" t="s">
        <v>626</v>
      </c>
      <c r="G334" s="12" t="s">
        <v>157</v>
      </c>
      <c r="H334" s="15">
        <v>143556</v>
      </c>
      <c r="I334" s="13">
        <v>51</v>
      </c>
      <c r="K334" s="12" t="s">
        <v>913</v>
      </c>
      <c r="L334" s="12" t="s">
        <v>157</v>
      </c>
      <c r="M334" s="15">
        <v>971904</v>
      </c>
      <c r="N334" s="13">
        <v>43</v>
      </c>
    </row>
    <row r="335" spans="1:14">
      <c r="A335" s="12" t="s">
        <v>914</v>
      </c>
      <c r="B335" s="12" t="s">
        <v>157</v>
      </c>
      <c r="C335" s="15">
        <v>15832</v>
      </c>
      <c r="D335" s="13">
        <v>50</v>
      </c>
      <c r="F335" s="12" t="s">
        <v>915</v>
      </c>
      <c r="G335" s="12" t="s">
        <v>157</v>
      </c>
      <c r="H335" s="15">
        <v>19119</v>
      </c>
      <c r="I335" s="13">
        <v>51</v>
      </c>
      <c r="K335" s="12" t="s">
        <v>916</v>
      </c>
      <c r="L335" s="12" t="s">
        <v>159</v>
      </c>
      <c r="M335" s="15">
        <v>303300</v>
      </c>
      <c r="N335" s="13">
        <v>43</v>
      </c>
    </row>
    <row r="336" spans="1:14">
      <c r="A336" s="12" t="s">
        <v>917</v>
      </c>
      <c r="B336" s="12" t="s">
        <v>157</v>
      </c>
      <c r="C336" s="15">
        <v>10006</v>
      </c>
      <c r="D336" s="13">
        <v>50</v>
      </c>
      <c r="F336" s="12" t="s">
        <v>449</v>
      </c>
      <c r="G336" s="12" t="s">
        <v>159</v>
      </c>
      <c r="H336" s="15">
        <v>5400000</v>
      </c>
      <c r="I336" s="13">
        <v>51</v>
      </c>
      <c r="K336" s="12" t="s">
        <v>918</v>
      </c>
      <c r="L336" s="12" t="s">
        <v>159</v>
      </c>
      <c r="M336" s="15">
        <v>492400</v>
      </c>
      <c r="N336" s="13">
        <v>43</v>
      </c>
    </row>
    <row r="337" spans="1:14">
      <c r="A337" s="12" t="s">
        <v>919</v>
      </c>
      <c r="B337" s="12" t="s">
        <v>157</v>
      </c>
      <c r="C337" s="15">
        <v>26045</v>
      </c>
      <c r="D337" s="13">
        <v>50</v>
      </c>
      <c r="F337" s="12" t="s">
        <v>628</v>
      </c>
      <c r="G337" s="12" t="s">
        <v>157</v>
      </c>
      <c r="H337" s="15">
        <v>287121</v>
      </c>
      <c r="I337" s="13">
        <v>51</v>
      </c>
      <c r="K337" s="12" t="s">
        <v>920</v>
      </c>
      <c r="L337" s="12" t="s">
        <v>157</v>
      </c>
      <c r="M337" s="15">
        <v>1194675</v>
      </c>
      <c r="N337" s="13">
        <v>42</v>
      </c>
    </row>
    <row r="338" spans="1:14">
      <c r="A338" s="12" t="s">
        <v>921</v>
      </c>
      <c r="B338" s="12" t="s">
        <v>157</v>
      </c>
      <c r="C338" s="15">
        <v>18098</v>
      </c>
      <c r="D338" s="13">
        <v>50</v>
      </c>
      <c r="F338" s="12" t="s">
        <v>632</v>
      </c>
      <c r="G338" s="12" t="s">
        <v>157</v>
      </c>
      <c r="H338" s="15">
        <v>236121</v>
      </c>
      <c r="I338" s="13">
        <v>51</v>
      </c>
      <c r="K338" s="12" t="s">
        <v>922</v>
      </c>
      <c r="L338" s="12" t="s">
        <v>159</v>
      </c>
      <c r="M338" s="15">
        <v>371800</v>
      </c>
      <c r="N338" s="13">
        <v>42</v>
      </c>
    </row>
    <row r="339" spans="1:14">
      <c r="A339" s="12" t="s">
        <v>923</v>
      </c>
      <c r="B339" s="12" t="s">
        <v>157</v>
      </c>
      <c r="C339" s="15">
        <v>18075</v>
      </c>
      <c r="D339" s="13">
        <v>50</v>
      </c>
      <c r="F339" s="12" t="s">
        <v>455</v>
      </c>
      <c r="G339" s="12" t="s">
        <v>157</v>
      </c>
      <c r="H339" s="15">
        <v>611395</v>
      </c>
      <c r="I339" s="13">
        <v>51</v>
      </c>
      <c r="K339" s="12" t="s">
        <v>924</v>
      </c>
      <c r="L339" s="12" t="s">
        <v>159</v>
      </c>
      <c r="M339" s="15">
        <v>229500</v>
      </c>
      <c r="N339" s="13">
        <v>42</v>
      </c>
    </row>
    <row r="340" spans="1:14">
      <c r="A340" s="12" t="s">
        <v>925</v>
      </c>
      <c r="B340" s="12" t="s">
        <v>157</v>
      </c>
      <c r="C340" s="15">
        <v>12218</v>
      </c>
      <c r="D340" s="13">
        <v>50</v>
      </c>
      <c r="F340" s="12" t="s">
        <v>636</v>
      </c>
      <c r="G340" s="12" t="s">
        <v>157</v>
      </c>
      <c r="H340" s="15">
        <v>151397</v>
      </c>
      <c r="I340" s="13">
        <v>51</v>
      </c>
      <c r="K340" s="12" t="s">
        <v>926</v>
      </c>
      <c r="L340" s="12" t="s">
        <v>159</v>
      </c>
      <c r="M340" s="15">
        <v>133200</v>
      </c>
      <c r="N340" s="13">
        <v>42</v>
      </c>
    </row>
    <row r="341" spans="1:14">
      <c r="A341" s="12" t="s">
        <v>927</v>
      </c>
      <c r="B341" s="12" t="s">
        <v>157</v>
      </c>
      <c r="C341" s="15">
        <v>10051</v>
      </c>
      <c r="D341" s="13">
        <v>50</v>
      </c>
      <c r="F341" s="12" t="s">
        <v>638</v>
      </c>
      <c r="G341" s="12" t="s">
        <v>157</v>
      </c>
      <c r="H341" s="15">
        <v>79779</v>
      </c>
      <c r="I341" s="13">
        <v>51</v>
      </c>
      <c r="K341" s="12" t="s">
        <v>928</v>
      </c>
      <c r="L341" s="12" t="s">
        <v>157</v>
      </c>
      <c r="M341" s="15">
        <v>137899</v>
      </c>
      <c r="N341" s="13">
        <v>42</v>
      </c>
    </row>
    <row r="342" spans="1:14">
      <c r="A342" s="12" t="s">
        <v>929</v>
      </c>
      <c r="B342" s="12" t="s">
        <v>157</v>
      </c>
      <c r="C342" s="15">
        <v>16917</v>
      </c>
      <c r="D342" s="13">
        <v>50</v>
      </c>
      <c r="F342" s="12" t="s">
        <v>640</v>
      </c>
      <c r="G342" s="12" t="s">
        <v>157</v>
      </c>
      <c r="H342" s="15">
        <v>175629</v>
      </c>
      <c r="I342" s="13">
        <v>51</v>
      </c>
      <c r="K342" s="12" t="s">
        <v>930</v>
      </c>
      <c r="L342" s="12" t="s">
        <v>157</v>
      </c>
      <c r="M342" s="15">
        <v>132863</v>
      </c>
      <c r="N342" s="13">
        <v>42</v>
      </c>
    </row>
    <row r="343" spans="1:14">
      <c r="A343" s="12" t="s">
        <v>931</v>
      </c>
      <c r="B343" s="12" t="s">
        <v>157</v>
      </c>
      <c r="C343" s="15">
        <v>27137</v>
      </c>
      <c r="D343" s="13">
        <v>50</v>
      </c>
      <c r="F343" s="12" t="s">
        <v>460</v>
      </c>
      <c r="G343" s="12" t="s">
        <v>157</v>
      </c>
      <c r="H343" s="15">
        <v>14398391</v>
      </c>
      <c r="I343" s="13">
        <v>51</v>
      </c>
      <c r="K343" s="12" t="s">
        <v>932</v>
      </c>
      <c r="L343" s="12" t="s">
        <v>157</v>
      </c>
      <c r="M343" s="15">
        <v>845673</v>
      </c>
      <c r="N343" s="13">
        <v>42</v>
      </c>
    </row>
    <row r="344" spans="1:14">
      <c r="A344" s="12" t="s">
        <v>933</v>
      </c>
      <c r="B344" s="12" t="s">
        <v>157</v>
      </c>
      <c r="C344" s="15">
        <v>10583</v>
      </c>
      <c r="D344" s="13">
        <v>50</v>
      </c>
      <c r="F344" s="12" t="s">
        <v>641</v>
      </c>
      <c r="G344" s="12" t="s">
        <v>157</v>
      </c>
      <c r="H344" s="15">
        <v>96675</v>
      </c>
      <c r="I344" s="13">
        <v>51</v>
      </c>
      <c r="K344" s="12" t="s">
        <v>934</v>
      </c>
      <c r="L344" s="12" t="s">
        <v>157</v>
      </c>
      <c r="M344" s="15">
        <v>289981</v>
      </c>
      <c r="N344" s="13">
        <v>42</v>
      </c>
    </row>
    <row r="345" spans="1:14">
      <c r="A345" s="12" t="s">
        <v>935</v>
      </c>
      <c r="B345" s="12" t="s">
        <v>157</v>
      </c>
      <c r="C345" s="15">
        <v>12290</v>
      </c>
      <c r="D345" s="13">
        <v>50</v>
      </c>
      <c r="F345" s="12" t="s">
        <v>936</v>
      </c>
      <c r="G345" s="12" t="s">
        <v>159</v>
      </c>
      <c r="H345" s="15">
        <v>13200</v>
      </c>
      <c r="I345" s="13">
        <v>51</v>
      </c>
      <c r="K345" s="12" t="s">
        <v>937</v>
      </c>
      <c r="L345" s="12" t="s">
        <v>157</v>
      </c>
      <c r="M345" s="15">
        <v>3236332</v>
      </c>
      <c r="N345" s="13">
        <v>42</v>
      </c>
    </row>
    <row r="346" spans="1:14">
      <c r="A346" s="12" t="s">
        <v>938</v>
      </c>
      <c r="B346" s="12" t="s">
        <v>157</v>
      </c>
      <c r="C346" s="15">
        <v>13111</v>
      </c>
      <c r="D346" s="13">
        <v>50</v>
      </c>
      <c r="F346" s="12" t="s">
        <v>648</v>
      </c>
      <c r="G346" s="12" t="s">
        <v>157</v>
      </c>
      <c r="H346" s="15">
        <v>76098</v>
      </c>
      <c r="I346" s="13">
        <v>51</v>
      </c>
      <c r="K346" s="12" t="s">
        <v>939</v>
      </c>
      <c r="L346" s="12" t="s">
        <v>159</v>
      </c>
      <c r="M346" s="15">
        <v>1200000</v>
      </c>
      <c r="N346" s="13">
        <v>42</v>
      </c>
    </row>
    <row r="347" spans="1:14">
      <c r="A347" s="12" t="s">
        <v>940</v>
      </c>
      <c r="B347" s="12" t="s">
        <v>157</v>
      </c>
      <c r="C347" s="15">
        <v>31327</v>
      </c>
      <c r="D347" s="13">
        <v>50</v>
      </c>
      <c r="F347" s="12" t="s">
        <v>941</v>
      </c>
      <c r="G347" s="12" t="s">
        <v>157</v>
      </c>
      <c r="H347" s="15">
        <v>117637</v>
      </c>
      <c r="I347" s="13">
        <v>51</v>
      </c>
      <c r="K347" s="12" t="s">
        <v>942</v>
      </c>
      <c r="L347" s="12" t="s">
        <v>159</v>
      </c>
      <c r="M347" s="15">
        <v>214600</v>
      </c>
      <c r="N347" s="13">
        <v>42</v>
      </c>
    </row>
    <row r="348" spans="1:14">
      <c r="A348" s="12" t="s">
        <v>943</v>
      </c>
      <c r="B348" s="12" t="s">
        <v>157</v>
      </c>
      <c r="C348" s="15">
        <v>12623</v>
      </c>
      <c r="D348" s="13">
        <v>50</v>
      </c>
      <c r="F348" s="12" t="s">
        <v>944</v>
      </c>
      <c r="G348" s="12" t="s">
        <v>157</v>
      </c>
      <c r="H348" s="15">
        <v>132461</v>
      </c>
      <c r="I348" s="13">
        <v>51</v>
      </c>
      <c r="K348" s="12" t="s">
        <v>945</v>
      </c>
      <c r="L348" s="12" t="s">
        <v>159</v>
      </c>
      <c r="M348" s="15">
        <v>138100</v>
      </c>
      <c r="N348" s="13">
        <v>42</v>
      </c>
    </row>
    <row r="349" spans="1:14">
      <c r="A349" s="12" t="s">
        <v>946</v>
      </c>
      <c r="B349" s="12" t="s">
        <v>157</v>
      </c>
      <c r="C349" s="15">
        <v>13851</v>
      </c>
      <c r="D349" s="13">
        <v>50</v>
      </c>
      <c r="F349" s="12" t="s">
        <v>657</v>
      </c>
      <c r="G349" s="12" t="s">
        <v>157</v>
      </c>
      <c r="H349" s="15">
        <v>323873</v>
      </c>
      <c r="I349" s="13">
        <v>51</v>
      </c>
      <c r="K349" s="12" t="s">
        <v>947</v>
      </c>
      <c r="L349" s="12" t="s">
        <v>157</v>
      </c>
      <c r="M349" s="15">
        <v>1810952</v>
      </c>
      <c r="N349" s="13">
        <v>42</v>
      </c>
    </row>
    <row r="350" spans="1:14">
      <c r="A350" s="12" t="s">
        <v>948</v>
      </c>
      <c r="B350" s="12" t="s">
        <v>157</v>
      </c>
      <c r="C350" s="15">
        <v>11717</v>
      </c>
      <c r="D350" s="13">
        <v>50</v>
      </c>
      <c r="F350" s="12" t="s">
        <v>659</v>
      </c>
      <c r="G350" s="12" t="s">
        <v>157</v>
      </c>
      <c r="H350" s="15">
        <v>655177</v>
      </c>
      <c r="I350" s="13">
        <v>51</v>
      </c>
      <c r="K350" s="12" t="s">
        <v>949</v>
      </c>
      <c r="L350" s="12" t="s">
        <v>157</v>
      </c>
      <c r="M350" s="15">
        <v>258057</v>
      </c>
      <c r="N350" s="13">
        <v>42</v>
      </c>
    </row>
    <row r="351" spans="1:14">
      <c r="A351" s="12" t="s">
        <v>950</v>
      </c>
      <c r="B351" s="12" t="s">
        <v>157</v>
      </c>
      <c r="C351" s="15">
        <v>37764</v>
      </c>
      <c r="D351" s="13">
        <v>50</v>
      </c>
      <c r="F351" s="12" t="s">
        <v>664</v>
      </c>
      <c r="G351" s="12" t="s">
        <v>157</v>
      </c>
      <c r="H351" s="15">
        <v>61196</v>
      </c>
      <c r="I351" s="13">
        <v>51</v>
      </c>
      <c r="K351" s="12" t="s">
        <v>951</v>
      </c>
      <c r="L351" s="12" t="s">
        <v>157</v>
      </c>
      <c r="M351" s="15">
        <v>107155</v>
      </c>
      <c r="N351" s="13">
        <v>42</v>
      </c>
    </row>
    <row r="352" spans="1:14">
      <c r="A352" s="12" t="s">
        <v>952</v>
      </c>
      <c r="B352" s="12" t="s">
        <v>157</v>
      </c>
      <c r="C352" s="15">
        <v>24986</v>
      </c>
      <c r="D352" s="13">
        <v>50</v>
      </c>
      <c r="F352" s="12" t="s">
        <v>666</v>
      </c>
      <c r="G352" s="12" t="s">
        <v>157</v>
      </c>
      <c r="H352" s="15">
        <v>194787</v>
      </c>
      <c r="I352" s="13">
        <v>51</v>
      </c>
      <c r="K352" s="12" t="s">
        <v>692</v>
      </c>
      <c r="L352" s="12" t="s">
        <v>157</v>
      </c>
      <c r="M352" s="15">
        <v>226732</v>
      </c>
      <c r="N352" s="13">
        <v>42</v>
      </c>
    </row>
    <row r="353" spans="1:14">
      <c r="A353" s="12" t="s">
        <v>953</v>
      </c>
      <c r="B353" s="12" t="s">
        <v>157</v>
      </c>
      <c r="C353" s="15">
        <v>18538</v>
      </c>
      <c r="D353" s="13">
        <v>50</v>
      </c>
      <c r="F353" s="12" t="s">
        <v>668</v>
      </c>
      <c r="G353" s="12" t="s">
        <v>157</v>
      </c>
      <c r="H353" s="15">
        <v>106471</v>
      </c>
      <c r="I353" s="13">
        <v>51</v>
      </c>
      <c r="K353" s="12" t="s">
        <v>954</v>
      </c>
      <c r="L353" s="12" t="s">
        <v>159</v>
      </c>
      <c r="M353" s="15">
        <v>117400</v>
      </c>
      <c r="N353" s="13">
        <v>42</v>
      </c>
    </row>
    <row r="354" spans="1:14">
      <c r="A354" s="12" t="s">
        <v>955</v>
      </c>
      <c r="B354" s="12" t="s">
        <v>157</v>
      </c>
      <c r="C354" s="15">
        <v>14259</v>
      </c>
      <c r="D354" s="13">
        <v>50</v>
      </c>
      <c r="F354" s="12" t="s">
        <v>956</v>
      </c>
      <c r="G354" s="12" t="s">
        <v>157</v>
      </c>
      <c r="H354" s="15">
        <v>28997</v>
      </c>
      <c r="I354" s="13">
        <v>51</v>
      </c>
      <c r="K354" s="12" t="s">
        <v>957</v>
      </c>
      <c r="L354" s="12" t="s">
        <v>157</v>
      </c>
      <c r="M354" s="15">
        <v>332216</v>
      </c>
      <c r="N354" s="13">
        <v>42</v>
      </c>
    </row>
    <row r="355" spans="1:14">
      <c r="A355" s="12" t="s">
        <v>958</v>
      </c>
      <c r="B355" s="12" t="s">
        <v>157</v>
      </c>
      <c r="C355" s="15">
        <v>239426</v>
      </c>
      <c r="D355" s="13">
        <v>50</v>
      </c>
      <c r="F355" s="12" t="s">
        <v>672</v>
      </c>
      <c r="G355" s="12" t="s">
        <v>157</v>
      </c>
      <c r="H355" s="15">
        <v>148282</v>
      </c>
      <c r="I355" s="13">
        <v>51</v>
      </c>
      <c r="K355" s="12" t="s">
        <v>959</v>
      </c>
      <c r="L355" s="12" t="s">
        <v>157</v>
      </c>
      <c r="M355" s="15">
        <v>154632</v>
      </c>
      <c r="N355" s="13">
        <v>42</v>
      </c>
    </row>
    <row r="356" spans="1:14">
      <c r="A356" s="12" t="s">
        <v>960</v>
      </c>
      <c r="B356" s="12" t="s">
        <v>157</v>
      </c>
      <c r="C356" s="15">
        <v>12603</v>
      </c>
      <c r="D356" s="13">
        <v>50</v>
      </c>
      <c r="F356" s="12" t="s">
        <v>674</v>
      </c>
      <c r="G356" s="12" t="s">
        <v>157</v>
      </c>
      <c r="H356" s="15">
        <v>7694004</v>
      </c>
      <c r="I356" s="13">
        <v>51</v>
      </c>
      <c r="K356" s="12" t="s">
        <v>961</v>
      </c>
      <c r="L356" s="12" t="s">
        <v>157</v>
      </c>
      <c r="M356" s="15">
        <v>287970</v>
      </c>
      <c r="N356" s="13">
        <v>42</v>
      </c>
    </row>
    <row r="357" spans="1:14">
      <c r="A357" s="12" t="s">
        <v>962</v>
      </c>
      <c r="B357" s="12" t="s">
        <v>157</v>
      </c>
      <c r="C357" s="15">
        <v>20178</v>
      </c>
      <c r="D357" s="13">
        <v>50</v>
      </c>
      <c r="F357" s="12" t="s">
        <v>963</v>
      </c>
      <c r="G357" s="12" t="s">
        <v>157</v>
      </c>
      <c r="H357" s="15">
        <v>121604</v>
      </c>
      <c r="I357" s="13">
        <v>51</v>
      </c>
      <c r="K357" s="12" t="s">
        <v>964</v>
      </c>
      <c r="L357" s="12" t="s">
        <v>157</v>
      </c>
      <c r="M357" s="15">
        <v>336041</v>
      </c>
      <c r="N357" s="13">
        <v>42</v>
      </c>
    </row>
    <row r="358" spans="1:14">
      <c r="A358" s="12" t="s">
        <v>965</v>
      </c>
      <c r="B358" s="12" t="s">
        <v>157</v>
      </c>
      <c r="C358" s="15">
        <v>10421</v>
      </c>
      <c r="D358" s="13">
        <v>50</v>
      </c>
      <c r="F358" s="12" t="s">
        <v>473</v>
      </c>
      <c r="G358" s="12" t="s">
        <v>157</v>
      </c>
      <c r="H358" s="15">
        <v>797948</v>
      </c>
      <c r="I358" s="13">
        <v>51</v>
      </c>
      <c r="K358" s="12" t="s">
        <v>966</v>
      </c>
      <c r="L358" s="12" t="s">
        <v>157</v>
      </c>
      <c r="M358" s="15">
        <v>3783998</v>
      </c>
      <c r="N358" s="13">
        <v>42</v>
      </c>
    </row>
    <row r="359" spans="1:14">
      <c r="A359" s="12" t="s">
        <v>967</v>
      </c>
      <c r="B359" s="12" t="s">
        <v>157</v>
      </c>
      <c r="C359" s="15">
        <v>14213</v>
      </c>
      <c r="D359" s="13">
        <v>50</v>
      </c>
      <c r="F359" s="12" t="s">
        <v>968</v>
      </c>
      <c r="G359" s="12" t="s">
        <v>157</v>
      </c>
      <c r="H359" s="15">
        <v>113846</v>
      </c>
      <c r="I359" s="13">
        <v>51</v>
      </c>
      <c r="K359" s="12" t="s">
        <v>969</v>
      </c>
      <c r="L359" s="12" t="s">
        <v>159</v>
      </c>
      <c r="M359" s="15">
        <v>521200</v>
      </c>
      <c r="N359" s="13">
        <v>42</v>
      </c>
    </row>
    <row r="360" spans="1:14">
      <c r="A360" s="12" t="s">
        <v>970</v>
      </c>
      <c r="B360" s="12" t="s">
        <v>157</v>
      </c>
      <c r="C360" s="15">
        <v>10107</v>
      </c>
      <c r="D360" s="13">
        <v>50</v>
      </c>
      <c r="F360" s="12" t="s">
        <v>476</v>
      </c>
      <c r="G360" s="12" t="s">
        <v>157</v>
      </c>
      <c r="H360" s="15">
        <v>2238181</v>
      </c>
      <c r="I360" s="13">
        <v>51</v>
      </c>
      <c r="K360" s="12" t="s">
        <v>971</v>
      </c>
      <c r="L360" s="12" t="s">
        <v>157</v>
      </c>
      <c r="M360" s="15">
        <v>980645</v>
      </c>
      <c r="N360" s="13">
        <v>42</v>
      </c>
    </row>
    <row r="361" spans="1:14">
      <c r="A361" s="12" t="s">
        <v>972</v>
      </c>
      <c r="B361" s="12" t="s">
        <v>157</v>
      </c>
      <c r="C361" s="15">
        <v>12001</v>
      </c>
      <c r="D361" s="13">
        <v>50</v>
      </c>
      <c r="F361" s="12" t="s">
        <v>973</v>
      </c>
      <c r="G361" s="12" t="s">
        <v>157</v>
      </c>
      <c r="H361" s="15">
        <v>32174</v>
      </c>
      <c r="I361" s="13">
        <v>51</v>
      </c>
      <c r="K361" s="12" t="s">
        <v>974</v>
      </c>
      <c r="L361" s="12" t="s">
        <v>157</v>
      </c>
      <c r="M361" s="15">
        <v>109296</v>
      </c>
      <c r="N361" s="13">
        <v>42</v>
      </c>
    </row>
    <row r="362" spans="1:14">
      <c r="A362" s="12" t="s">
        <v>975</v>
      </c>
      <c r="B362" s="12" t="s">
        <v>157</v>
      </c>
      <c r="C362" s="15">
        <v>10023</v>
      </c>
      <c r="D362" s="13">
        <v>50</v>
      </c>
      <c r="F362" s="12" t="s">
        <v>976</v>
      </c>
      <c r="G362" s="12" t="s">
        <v>159</v>
      </c>
      <c r="H362" s="15">
        <v>133500</v>
      </c>
      <c r="I362" s="13">
        <v>50</v>
      </c>
      <c r="K362" s="12" t="s">
        <v>977</v>
      </c>
      <c r="L362" s="12" t="s">
        <v>157</v>
      </c>
      <c r="M362" s="15">
        <v>232987</v>
      </c>
      <c r="N362" s="13">
        <v>42</v>
      </c>
    </row>
    <row r="363" spans="1:14">
      <c r="A363" s="12" t="s">
        <v>978</v>
      </c>
      <c r="B363" s="12" t="s">
        <v>157</v>
      </c>
      <c r="C363" s="15">
        <v>11551</v>
      </c>
      <c r="D363" s="13">
        <v>50</v>
      </c>
      <c r="F363" s="12" t="s">
        <v>167</v>
      </c>
      <c r="G363" s="12" t="s">
        <v>157</v>
      </c>
      <c r="H363" s="15">
        <v>122110</v>
      </c>
      <c r="I363" s="13">
        <v>50</v>
      </c>
      <c r="K363" s="12" t="s">
        <v>944</v>
      </c>
      <c r="L363" s="12" t="s">
        <v>157</v>
      </c>
      <c r="M363" s="15">
        <v>132461</v>
      </c>
      <c r="N363" s="13">
        <v>42</v>
      </c>
    </row>
    <row r="364" spans="1:14">
      <c r="A364" s="12" t="s">
        <v>979</v>
      </c>
      <c r="B364" s="12" t="s">
        <v>157</v>
      </c>
      <c r="C364" s="15">
        <v>31199</v>
      </c>
      <c r="D364" s="13">
        <v>50</v>
      </c>
      <c r="F364" s="12" t="s">
        <v>980</v>
      </c>
      <c r="G364" s="12" t="s">
        <v>159</v>
      </c>
      <c r="H364" s="15">
        <v>28000</v>
      </c>
      <c r="I364" s="13">
        <v>50</v>
      </c>
      <c r="K364" s="12" t="s">
        <v>981</v>
      </c>
      <c r="L364" s="12" t="s">
        <v>157</v>
      </c>
      <c r="M364" s="15">
        <v>205822</v>
      </c>
      <c r="N364" s="13">
        <v>42</v>
      </c>
    </row>
    <row r="365" spans="1:14">
      <c r="A365" s="12" t="s">
        <v>982</v>
      </c>
      <c r="B365" s="12" t="s">
        <v>157</v>
      </c>
      <c r="C365" s="15">
        <v>12792</v>
      </c>
      <c r="D365" s="13">
        <v>50</v>
      </c>
      <c r="F365" s="12" t="s">
        <v>983</v>
      </c>
      <c r="G365" s="12" t="s">
        <v>159</v>
      </c>
      <c r="H365" s="15">
        <v>35700</v>
      </c>
      <c r="I365" s="13">
        <v>50</v>
      </c>
      <c r="K365" s="12" t="s">
        <v>984</v>
      </c>
      <c r="L365" s="12" t="s">
        <v>157</v>
      </c>
      <c r="M365" s="15">
        <v>1239375</v>
      </c>
      <c r="N365" s="13">
        <v>42</v>
      </c>
    </row>
    <row r="366" spans="1:14">
      <c r="A366" s="12" t="s">
        <v>985</v>
      </c>
      <c r="B366" s="12" t="s">
        <v>157</v>
      </c>
      <c r="C366" s="15">
        <v>21366</v>
      </c>
      <c r="D366" s="13">
        <v>50</v>
      </c>
      <c r="F366" s="12" t="s">
        <v>986</v>
      </c>
      <c r="G366" s="12" t="s">
        <v>159</v>
      </c>
      <c r="H366" s="15">
        <v>142600</v>
      </c>
      <c r="I366" s="13">
        <v>50</v>
      </c>
      <c r="K366" s="12" t="s">
        <v>987</v>
      </c>
      <c r="L366" s="12" t="s">
        <v>159</v>
      </c>
      <c r="M366" s="15">
        <v>331000</v>
      </c>
      <c r="N366" s="13">
        <v>42</v>
      </c>
    </row>
    <row r="367" spans="1:14">
      <c r="A367" s="12" t="s">
        <v>988</v>
      </c>
      <c r="B367" s="12" t="s">
        <v>157</v>
      </c>
      <c r="C367" s="15">
        <v>30260</v>
      </c>
      <c r="D367" s="13">
        <v>50</v>
      </c>
      <c r="F367" s="12" t="s">
        <v>989</v>
      </c>
      <c r="G367" s="12" t="s">
        <v>157</v>
      </c>
      <c r="H367" s="15">
        <v>13117</v>
      </c>
      <c r="I367" s="13">
        <v>50</v>
      </c>
      <c r="K367" s="12" t="s">
        <v>219</v>
      </c>
      <c r="L367" s="12" t="s">
        <v>157</v>
      </c>
      <c r="M367" s="15">
        <v>983917</v>
      </c>
      <c r="N367" s="13">
        <v>42</v>
      </c>
    </row>
    <row r="368" spans="1:14">
      <c r="A368" s="12" t="s">
        <v>990</v>
      </c>
      <c r="B368" s="12" t="s">
        <v>157</v>
      </c>
      <c r="C368" s="15">
        <v>14225</v>
      </c>
      <c r="D368" s="13">
        <v>50</v>
      </c>
      <c r="F368" s="12" t="s">
        <v>991</v>
      </c>
      <c r="G368" s="12" t="s">
        <v>159</v>
      </c>
      <c r="H368" s="15">
        <v>57200</v>
      </c>
      <c r="I368" s="13">
        <v>50</v>
      </c>
      <c r="K368" s="12" t="s">
        <v>992</v>
      </c>
      <c r="L368" s="12" t="s">
        <v>159</v>
      </c>
      <c r="M368" s="15">
        <v>130000</v>
      </c>
      <c r="N368" s="13">
        <v>42</v>
      </c>
    </row>
    <row r="369" spans="1:14">
      <c r="A369" s="12" t="s">
        <v>993</v>
      </c>
      <c r="B369" s="12" t="s">
        <v>157</v>
      </c>
      <c r="C369" s="15">
        <v>15776</v>
      </c>
      <c r="D369" s="13">
        <v>50</v>
      </c>
      <c r="F369" s="12" t="s">
        <v>994</v>
      </c>
      <c r="G369" s="12" t="s">
        <v>159</v>
      </c>
      <c r="H369" s="15">
        <v>87100</v>
      </c>
      <c r="I369" s="13">
        <v>50</v>
      </c>
      <c r="K369" s="12" t="s">
        <v>995</v>
      </c>
      <c r="L369" s="12" t="s">
        <v>159</v>
      </c>
      <c r="M369" s="15">
        <v>214900</v>
      </c>
      <c r="N369" s="13">
        <v>42</v>
      </c>
    </row>
    <row r="370" spans="1:14">
      <c r="A370" s="12" t="s">
        <v>996</v>
      </c>
      <c r="B370" s="12" t="s">
        <v>157</v>
      </c>
      <c r="C370" s="15">
        <v>10134</v>
      </c>
      <c r="D370" s="13">
        <v>50</v>
      </c>
      <c r="F370" s="12" t="s">
        <v>997</v>
      </c>
      <c r="G370" s="12" t="s">
        <v>157</v>
      </c>
      <c r="H370" s="15">
        <v>16191</v>
      </c>
      <c r="I370" s="13">
        <v>50</v>
      </c>
      <c r="K370" s="12" t="s">
        <v>998</v>
      </c>
      <c r="L370" s="12" t="s">
        <v>159</v>
      </c>
      <c r="M370" s="15">
        <v>274700</v>
      </c>
      <c r="N370" s="13">
        <v>42</v>
      </c>
    </row>
    <row r="371" spans="1:14">
      <c r="A371" s="12" t="s">
        <v>999</v>
      </c>
      <c r="B371" s="12" t="s">
        <v>157</v>
      </c>
      <c r="C371" s="15">
        <v>13838</v>
      </c>
      <c r="D371" s="13">
        <v>50</v>
      </c>
      <c r="F371" s="12" t="s">
        <v>1000</v>
      </c>
      <c r="G371" s="12" t="s">
        <v>157</v>
      </c>
      <c r="H371" s="15">
        <v>22915</v>
      </c>
      <c r="I371" s="13">
        <v>50</v>
      </c>
      <c r="K371" s="12" t="s">
        <v>1001</v>
      </c>
      <c r="L371" s="12" t="s">
        <v>157</v>
      </c>
      <c r="M371" s="15">
        <v>256224</v>
      </c>
      <c r="N371" s="13">
        <v>42</v>
      </c>
    </row>
    <row r="372" spans="1:14">
      <c r="A372" s="12" t="s">
        <v>1002</v>
      </c>
      <c r="B372" s="12" t="s">
        <v>157</v>
      </c>
      <c r="C372" s="15">
        <v>11331</v>
      </c>
      <c r="D372" s="13">
        <v>50</v>
      </c>
      <c r="F372" s="12" t="s">
        <v>676</v>
      </c>
      <c r="G372" s="12" t="s">
        <v>157</v>
      </c>
      <c r="H372" s="15">
        <v>12347</v>
      </c>
      <c r="I372" s="13">
        <v>50</v>
      </c>
      <c r="K372" s="12" t="s">
        <v>1003</v>
      </c>
      <c r="L372" s="12" t="s">
        <v>159</v>
      </c>
      <c r="M372" s="15">
        <v>319400</v>
      </c>
      <c r="N372" s="13">
        <v>42</v>
      </c>
    </row>
    <row r="373" spans="1:14">
      <c r="A373" s="12" t="s">
        <v>1004</v>
      </c>
      <c r="B373" s="12" t="s">
        <v>157</v>
      </c>
      <c r="C373" s="15">
        <v>13466</v>
      </c>
      <c r="D373" s="13">
        <v>50</v>
      </c>
      <c r="F373" s="12" t="s">
        <v>1005</v>
      </c>
      <c r="G373" s="12" t="s">
        <v>157</v>
      </c>
      <c r="H373" s="15">
        <v>11020</v>
      </c>
      <c r="I373" s="13">
        <v>50</v>
      </c>
      <c r="K373" s="12" t="s">
        <v>1006</v>
      </c>
      <c r="L373" s="12" t="s">
        <v>157</v>
      </c>
      <c r="M373" s="15">
        <v>8408364</v>
      </c>
      <c r="N373" s="13">
        <v>42</v>
      </c>
    </row>
    <row r="374" spans="1:14">
      <c r="A374" s="12" t="s">
        <v>1007</v>
      </c>
      <c r="B374" s="12" t="s">
        <v>157</v>
      </c>
      <c r="C374" s="15">
        <v>28417</v>
      </c>
      <c r="D374" s="13">
        <v>50</v>
      </c>
      <c r="F374" s="12" t="s">
        <v>1008</v>
      </c>
      <c r="G374" s="12" t="s">
        <v>159</v>
      </c>
      <c r="H374" s="15">
        <v>90200</v>
      </c>
      <c r="I374" s="13">
        <v>50</v>
      </c>
      <c r="K374" s="12" t="s">
        <v>541</v>
      </c>
      <c r="L374" s="12" t="s">
        <v>157</v>
      </c>
      <c r="M374" s="15">
        <v>402891</v>
      </c>
      <c r="N374" s="13">
        <v>42</v>
      </c>
    </row>
    <row r="375" spans="1:14">
      <c r="A375" s="12" t="s">
        <v>1009</v>
      </c>
      <c r="B375" s="12" t="s">
        <v>157</v>
      </c>
      <c r="C375" s="15">
        <v>16560</v>
      </c>
      <c r="D375" s="13">
        <v>50</v>
      </c>
      <c r="F375" s="12" t="s">
        <v>1010</v>
      </c>
      <c r="G375" s="12" t="s">
        <v>159</v>
      </c>
      <c r="H375" s="15">
        <v>63800</v>
      </c>
      <c r="I375" s="13">
        <v>50</v>
      </c>
      <c r="K375" s="12" t="s">
        <v>1011</v>
      </c>
      <c r="L375" s="12" t="s">
        <v>157</v>
      </c>
      <c r="M375" s="15">
        <v>156226</v>
      </c>
      <c r="N375" s="13">
        <v>42</v>
      </c>
    </row>
    <row r="376" spans="1:14">
      <c r="A376" s="12" t="s">
        <v>1012</v>
      </c>
      <c r="B376" s="12" t="s">
        <v>157</v>
      </c>
      <c r="C376" s="15">
        <v>17811</v>
      </c>
      <c r="D376" s="13">
        <v>50</v>
      </c>
      <c r="F376" s="12" t="s">
        <v>678</v>
      </c>
      <c r="G376" s="12" t="s">
        <v>157</v>
      </c>
      <c r="H376" s="15">
        <v>11192</v>
      </c>
      <c r="I376" s="13">
        <v>50</v>
      </c>
      <c r="K376" s="12" t="s">
        <v>1013</v>
      </c>
      <c r="L376" s="12" t="s">
        <v>159</v>
      </c>
      <c r="M376" s="15">
        <v>108000</v>
      </c>
      <c r="N376" s="13">
        <v>42</v>
      </c>
    </row>
    <row r="377" spans="1:14">
      <c r="A377" s="12" t="s">
        <v>1014</v>
      </c>
      <c r="B377" s="12" t="s">
        <v>157</v>
      </c>
      <c r="C377" s="15">
        <v>15077</v>
      </c>
      <c r="D377" s="13">
        <v>50</v>
      </c>
      <c r="F377" s="12" t="s">
        <v>1015</v>
      </c>
      <c r="G377" s="12" t="s">
        <v>159</v>
      </c>
      <c r="H377" s="15">
        <v>271800</v>
      </c>
      <c r="I377" s="13">
        <v>50</v>
      </c>
      <c r="K377" s="12" t="s">
        <v>1016</v>
      </c>
      <c r="L377" s="12" t="s">
        <v>159</v>
      </c>
      <c r="M377" s="15">
        <v>306200</v>
      </c>
      <c r="N377" s="13">
        <v>42</v>
      </c>
    </row>
    <row r="378" spans="1:14">
      <c r="A378" s="12" t="s">
        <v>1017</v>
      </c>
      <c r="B378" s="12" t="s">
        <v>157</v>
      </c>
      <c r="C378" s="15">
        <v>16145</v>
      </c>
      <c r="D378" s="13">
        <v>50</v>
      </c>
      <c r="F378" s="12" t="s">
        <v>1018</v>
      </c>
      <c r="G378" s="12" t="s">
        <v>159</v>
      </c>
      <c r="H378" s="15">
        <v>921200</v>
      </c>
      <c r="I378" s="13">
        <v>50</v>
      </c>
      <c r="K378" s="12" t="s">
        <v>1019</v>
      </c>
      <c r="L378" s="12" t="s">
        <v>159</v>
      </c>
      <c r="M378" s="15">
        <v>105200</v>
      </c>
      <c r="N378" s="13">
        <v>42</v>
      </c>
    </row>
    <row r="379" spans="1:14">
      <c r="A379" s="12" t="s">
        <v>1020</v>
      </c>
      <c r="B379" s="12" t="s">
        <v>157</v>
      </c>
      <c r="C379" s="15">
        <v>19703</v>
      </c>
      <c r="D379" s="13">
        <v>50</v>
      </c>
      <c r="F379" s="12" t="s">
        <v>1021</v>
      </c>
      <c r="G379" s="12" t="s">
        <v>159</v>
      </c>
      <c r="H379" s="15">
        <v>144600</v>
      </c>
      <c r="I379" s="13">
        <v>50</v>
      </c>
      <c r="K379" s="12" t="s">
        <v>1022</v>
      </c>
      <c r="L379" s="12" t="s">
        <v>157</v>
      </c>
      <c r="M379" s="15">
        <v>227371</v>
      </c>
      <c r="N379" s="13">
        <v>42</v>
      </c>
    </row>
    <row r="380" spans="1:14">
      <c r="A380" s="12" t="s">
        <v>1023</v>
      </c>
      <c r="B380" s="12" t="s">
        <v>157</v>
      </c>
      <c r="C380" s="15">
        <v>19641</v>
      </c>
      <c r="D380" s="13">
        <v>50</v>
      </c>
      <c r="F380" s="12" t="s">
        <v>1024</v>
      </c>
      <c r="G380" s="12" t="s">
        <v>159</v>
      </c>
      <c r="H380" s="15">
        <v>135500</v>
      </c>
      <c r="I380" s="13">
        <v>50</v>
      </c>
      <c r="K380" s="12" t="s">
        <v>1025</v>
      </c>
      <c r="L380" s="12" t="s">
        <v>157</v>
      </c>
      <c r="M380" s="15">
        <v>201027</v>
      </c>
      <c r="N380" s="13">
        <v>42</v>
      </c>
    </row>
    <row r="381" spans="1:14">
      <c r="A381" s="12" t="s">
        <v>1026</v>
      </c>
      <c r="B381" s="12" t="s">
        <v>157</v>
      </c>
      <c r="C381" s="15">
        <v>14770</v>
      </c>
      <c r="D381" s="13">
        <v>50</v>
      </c>
      <c r="F381" s="12" t="s">
        <v>1027</v>
      </c>
      <c r="G381" s="12" t="s">
        <v>159</v>
      </c>
      <c r="H381" s="15">
        <v>20000</v>
      </c>
      <c r="I381" s="13">
        <v>50</v>
      </c>
      <c r="K381" s="12" t="s">
        <v>1028</v>
      </c>
      <c r="L381" s="12" t="s">
        <v>159</v>
      </c>
      <c r="M381" s="15">
        <v>171400</v>
      </c>
      <c r="N381" s="13">
        <v>42</v>
      </c>
    </row>
    <row r="382" spans="1:14">
      <c r="A382" s="12" t="s">
        <v>1029</v>
      </c>
      <c r="B382" s="12" t="s">
        <v>157</v>
      </c>
      <c r="C382" s="15">
        <v>12578</v>
      </c>
      <c r="D382" s="13">
        <v>50</v>
      </c>
      <c r="F382" s="12" t="s">
        <v>1030</v>
      </c>
      <c r="G382" s="12" t="s">
        <v>159</v>
      </c>
      <c r="H382" s="15">
        <v>117300</v>
      </c>
      <c r="I382" s="13">
        <v>50</v>
      </c>
      <c r="K382" s="12" t="s">
        <v>226</v>
      </c>
      <c r="L382" s="12" t="s">
        <v>157</v>
      </c>
      <c r="M382" s="15">
        <v>174816</v>
      </c>
      <c r="N382" s="13">
        <v>41</v>
      </c>
    </row>
    <row r="383" spans="1:14">
      <c r="A383" s="12" t="s">
        <v>1031</v>
      </c>
      <c r="B383" s="12" t="s">
        <v>157</v>
      </c>
      <c r="C383" s="15">
        <v>14310</v>
      </c>
      <c r="D383" s="13">
        <v>50</v>
      </c>
      <c r="F383" s="12" t="s">
        <v>1032</v>
      </c>
      <c r="G383" s="12" t="s">
        <v>157</v>
      </c>
      <c r="H383" s="15">
        <v>12399</v>
      </c>
      <c r="I383" s="13">
        <v>50</v>
      </c>
      <c r="K383" s="12" t="s">
        <v>1033</v>
      </c>
      <c r="L383" s="12" t="s">
        <v>157</v>
      </c>
      <c r="M383" s="15">
        <v>172679</v>
      </c>
      <c r="N383" s="13">
        <v>41</v>
      </c>
    </row>
    <row r="384" spans="1:14">
      <c r="A384" s="12" t="s">
        <v>1034</v>
      </c>
      <c r="B384" s="12" t="s">
        <v>157</v>
      </c>
      <c r="C384" s="15">
        <v>29073</v>
      </c>
      <c r="D384" s="13">
        <v>50</v>
      </c>
      <c r="F384" s="12" t="s">
        <v>1035</v>
      </c>
      <c r="G384" s="12" t="s">
        <v>159</v>
      </c>
      <c r="H384" s="15">
        <v>16400</v>
      </c>
      <c r="I384" s="13">
        <v>50</v>
      </c>
      <c r="K384" s="12" t="s">
        <v>1036</v>
      </c>
      <c r="L384" s="12" t="s">
        <v>157</v>
      </c>
      <c r="M384" s="15">
        <v>266557</v>
      </c>
      <c r="N384" s="13">
        <v>41</v>
      </c>
    </row>
    <row r="385" spans="1:14">
      <c r="A385" s="12" t="s">
        <v>1037</v>
      </c>
      <c r="B385" s="12" t="s">
        <v>157</v>
      </c>
      <c r="C385" s="15">
        <v>19412</v>
      </c>
      <c r="D385" s="13">
        <v>50</v>
      </c>
      <c r="F385" s="12" t="s">
        <v>1038</v>
      </c>
      <c r="G385" s="12" t="s">
        <v>159</v>
      </c>
      <c r="H385" s="15">
        <v>33800</v>
      </c>
      <c r="I385" s="13">
        <v>50</v>
      </c>
      <c r="K385" s="12" t="s">
        <v>1039</v>
      </c>
      <c r="L385" s="12" t="s">
        <v>157</v>
      </c>
      <c r="M385" s="15">
        <v>396605</v>
      </c>
      <c r="N385" s="13">
        <v>41</v>
      </c>
    </row>
    <row r="386" spans="1:14">
      <c r="A386" s="12" t="s">
        <v>1040</v>
      </c>
      <c r="B386" s="12" t="s">
        <v>157</v>
      </c>
      <c r="C386" s="15">
        <v>14943</v>
      </c>
      <c r="D386" s="13">
        <v>50</v>
      </c>
      <c r="F386" s="12" t="s">
        <v>1041</v>
      </c>
      <c r="G386" s="12" t="s">
        <v>159</v>
      </c>
      <c r="H386" s="15">
        <v>572100</v>
      </c>
      <c r="I386" s="13">
        <v>50</v>
      </c>
      <c r="K386" s="12" t="s">
        <v>204</v>
      </c>
      <c r="L386" s="12" t="s">
        <v>157</v>
      </c>
      <c r="M386" s="15">
        <v>879015</v>
      </c>
      <c r="N386" s="13">
        <v>41</v>
      </c>
    </row>
    <row r="387" spans="1:14">
      <c r="A387" s="12" t="s">
        <v>1042</v>
      </c>
      <c r="B387" s="12" t="s">
        <v>157</v>
      </c>
      <c r="C387" s="15">
        <v>30400</v>
      </c>
      <c r="D387" s="13">
        <v>50</v>
      </c>
      <c r="F387" s="12" t="s">
        <v>680</v>
      </c>
      <c r="G387" s="12" t="s">
        <v>157</v>
      </c>
      <c r="H387" s="15">
        <v>10295</v>
      </c>
      <c r="I387" s="13">
        <v>50</v>
      </c>
      <c r="K387" s="12" t="s">
        <v>1043</v>
      </c>
      <c r="L387" s="12" t="s">
        <v>157</v>
      </c>
      <c r="M387" s="15">
        <v>1983877</v>
      </c>
      <c r="N387" s="13">
        <v>41</v>
      </c>
    </row>
    <row r="388" spans="1:14">
      <c r="A388" s="12" t="s">
        <v>1044</v>
      </c>
      <c r="B388" s="12" t="s">
        <v>157</v>
      </c>
      <c r="C388" s="15">
        <v>24103</v>
      </c>
      <c r="D388" s="13">
        <v>50</v>
      </c>
      <c r="F388" s="12" t="s">
        <v>1045</v>
      </c>
      <c r="G388" s="12" t="s">
        <v>159</v>
      </c>
      <c r="H388" s="15">
        <v>19400</v>
      </c>
      <c r="I388" s="13">
        <v>50</v>
      </c>
      <c r="K388" s="12" t="s">
        <v>1046</v>
      </c>
      <c r="L388" s="12" t="s">
        <v>157</v>
      </c>
      <c r="M388" s="15">
        <v>327616</v>
      </c>
      <c r="N388" s="13">
        <v>41</v>
      </c>
    </row>
    <row r="389" spans="1:14">
      <c r="A389" s="12" t="s">
        <v>1047</v>
      </c>
      <c r="B389" s="12" t="s">
        <v>157</v>
      </c>
      <c r="C389" s="15">
        <v>20688</v>
      </c>
      <c r="D389" s="13">
        <v>50</v>
      </c>
      <c r="F389" s="12" t="s">
        <v>1048</v>
      </c>
      <c r="G389" s="12" t="s">
        <v>159</v>
      </c>
      <c r="H389" s="15">
        <v>22200</v>
      </c>
      <c r="I389" s="13">
        <v>50</v>
      </c>
      <c r="K389" s="12" t="s">
        <v>1049</v>
      </c>
      <c r="L389" s="12" t="s">
        <v>157</v>
      </c>
      <c r="M389" s="15">
        <v>272217</v>
      </c>
      <c r="N389" s="13">
        <v>41</v>
      </c>
    </row>
    <row r="390" spans="1:14">
      <c r="A390" s="12" t="s">
        <v>1050</v>
      </c>
      <c r="B390" s="12" t="s">
        <v>157</v>
      </c>
      <c r="C390" s="15">
        <v>10158</v>
      </c>
      <c r="D390" s="13">
        <v>50</v>
      </c>
      <c r="F390" s="12" t="s">
        <v>1051</v>
      </c>
      <c r="G390" s="12" t="s">
        <v>159</v>
      </c>
      <c r="H390" s="15">
        <v>67500</v>
      </c>
      <c r="I390" s="13">
        <v>50</v>
      </c>
      <c r="K390" s="12" t="s">
        <v>1052</v>
      </c>
      <c r="L390" s="12" t="s">
        <v>157</v>
      </c>
      <c r="M390" s="15">
        <v>200615</v>
      </c>
      <c r="N390" s="13">
        <v>41</v>
      </c>
    </row>
    <row r="391" spans="1:14">
      <c r="A391" s="12" t="s">
        <v>1053</v>
      </c>
      <c r="B391" s="12" t="s">
        <v>157</v>
      </c>
      <c r="C391" s="15">
        <v>14925</v>
      </c>
      <c r="D391" s="13">
        <v>50</v>
      </c>
      <c r="F391" s="12" t="s">
        <v>1054</v>
      </c>
      <c r="G391" s="12" t="s">
        <v>159</v>
      </c>
      <c r="H391" s="15">
        <v>87100</v>
      </c>
      <c r="I391" s="13">
        <v>50</v>
      </c>
      <c r="K391" s="12" t="s">
        <v>1055</v>
      </c>
      <c r="L391" s="12" t="s">
        <v>157</v>
      </c>
      <c r="M391" s="15">
        <v>209905</v>
      </c>
      <c r="N391" s="13">
        <v>41</v>
      </c>
    </row>
    <row r="392" spans="1:14">
      <c r="A392" s="12" t="s">
        <v>1056</v>
      </c>
      <c r="B392" s="12" t="s">
        <v>157</v>
      </c>
      <c r="C392" s="15">
        <v>31833</v>
      </c>
      <c r="D392" s="13">
        <v>50</v>
      </c>
      <c r="F392" s="12" t="s">
        <v>1057</v>
      </c>
      <c r="G392" s="12" t="s">
        <v>159</v>
      </c>
      <c r="H392" s="15">
        <v>68000</v>
      </c>
      <c r="I392" s="13">
        <v>50</v>
      </c>
      <c r="K392" s="12" t="s">
        <v>1058</v>
      </c>
      <c r="L392" s="12" t="s">
        <v>157</v>
      </c>
      <c r="M392" s="15">
        <v>192311</v>
      </c>
      <c r="N392" s="13">
        <v>41</v>
      </c>
    </row>
    <row r="393" spans="1:14">
      <c r="A393" s="12" t="s">
        <v>1059</v>
      </c>
      <c r="B393" s="12" t="s">
        <v>157</v>
      </c>
      <c r="C393" s="15">
        <v>18559</v>
      </c>
      <c r="D393" s="13">
        <v>50</v>
      </c>
      <c r="F393" s="12" t="s">
        <v>682</v>
      </c>
      <c r="G393" s="12" t="s">
        <v>157</v>
      </c>
      <c r="H393" s="15">
        <v>25550</v>
      </c>
      <c r="I393" s="13">
        <v>50</v>
      </c>
      <c r="K393" s="12" t="s">
        <v>1060</v>
      </c>
      <c r="L393" s="12" t="s">
        <v>157</v>
      </c>
      <c r="M393" s="15">
        <v>2308270</v>
      </c>
      <c r="N393" s="13">
        <v>41</v>
      </c>
    </row>
    <row r="394" spans="1:14">
      <c r="A394" s="12" t="s">
        <v>1061</v>
      </c>
      <c r="B394" s="12" t="s">
        <v>157</v>
      </c>
      <c r="C394" s="15">
        <v>10663</v>
      </c>
      <c r="D394" s="13">
        <v>50</v>
      </c>
      <c r="F394" s="12" t="s">
        <v>1062</v>
      </c>
      <c r="G394" s="12" t="s">
        <v>159</v>
      </c>
      <c r="H394" s="15">
        <v>12500</v>
      </c>
      <c r="I394" s="13">
        <v>50</v>
      </c>
      <c r="K394" s="12" t="s">
        <v>1063</v>
      </c>
      <c r="L394" s="12" t="s">
        <v>159</v>
      </c>
      <c r="M394" s="15">
        <v>13200000</v>
      </c>
      <c r="N394" s="13">
        <v>41</v>
      </c>
    </row>
    <row r="395" spans="1:14">
      <c r="A395" s="12" t="s">
        <v>1064</v>
      </c>
      <c r="B395" s="12" t="s">
        <v>157</v>
      </c>
      <c r="C395" s="15">
        <v>31086</v>
      </c>
      <c r="D395" s="13">
        <v>50</v>
      </c>
      <c r="F395" s="12" t="s">
        <v>1065</v>
      </c>
      <c r="G395" s="12" t="s">
        <v>159</v>
      </c>
      <c r="H395" s="15">
        <v>195900</v>
      </c>
      <c r="I395" s="13">
        <v>50</v>
      </c>
      <c r="K395" s="12" t="s">
        <v>1066</v>
      </c>
      <c r="L395" s="12" t="s">
        <v>157</v>
      </c>
      <c r="M395" s="15">
        <v>836024</v>
      </c>
      <c r="N395" s="13">
        <v>41</v>
      </c>
    </row>
    <row r="396" spans="1:14">
      <c r="A396" s="12" t="s">
        <v>1067</v>
      </c>
      <c r="B396" s="12" t="s">
        <v>157</v>
      </c>
      <c r="C396" s="15">
        <v>10406</v>
      </c>
      <c r="D396" s="13">
        <v>50</v>
      </c>
      <c r="F396" s="12" t="s">
        <v>1068</v>
      </c>
      <c r="G396" s="12" t="s">
        <v>159</v>
      </c>
      <c r="H396" s="15">
        <v>32700</v>
      </c>
      <c r="I396" s="13">
        <v>50</v>
      </c>
      <c r="K396" s="12" t="s">
        <v>1069</v>
      </c>
      <c r="L396" s="12" t="s">
        <v>157</v>
      </c>
      <c r="M396" s="15">
        <v>123942</v>
      </c>
      <c r="N396" s="13">
        <v>41</v>
      </c>
    </row>
    <row r="397" spans="1:14">
      <c r="A397" s="12" t="s">
        <v>1070</v>
      </c>
      <c r="B397" s="12" t="s">
        <v>157</v>
      </c>
      <c r="C397" s="15">
        <v>12187</v>
      </c>
      <c r="D397" s="13">
        <v>50</v>
      </c>
      <c r="F397" s="12" t="s">
        <v>684</v>
      </c>
      <c r="G397" s="12" t="s">
        <v>157</v>
      </c>
      <c r="H397" s="15">
        <v>14354</v>
      </c>
      <c r="I397" s="13">
        <v>50</v>
      </c>
      <c r="K397" s="12" t="s">
        <v>1071</v>
      </c>
      <c r="L397" s="12" t="s">
        <v>157</v>
      </c>
      <c r="M397" s="15">
        <v>344256</v>
      </c>
      <c r="N397" s="13">
        <v>41</v>
      </c>
    </row>
    <row r="398" spans="1:14">
      <c r="A398" s="12" t="s">
        <v>1072</v>
      </c>
      <c r="B398" s="12" t="s">
        <v>157</v>
      </c>
      <c r="C398" s="15">
        <v>29436</v>
      </c>
      <c r="D398" s="13">
        <v>50</v>
      </c>
      <c r="F398" s="12" t="s">
        <v>1073</v>
      </c>
      <c r="G398" s="12" t="s">
        <v>157</v>
      </c>
      <c r="H398" s="15">
        <v>49554</v>
      </c>
      <c r="I398" s="13">
        <v>50</v>
      </c>
      <c r="K398" s="12" t="s">
        <v>1074</v>
      </c>
      <c r="L398" s="12" t="s">
        <v>157</v>
      </c>
      <c r="M398" s="15">
        <v>615866</v>
      </c>
      <c r="N398" s="13">
        <v>41</v>
      </c>
    </row>
    <row r="399" spans="1:14">
      <c r="A399" s="12" t="s">
        <v>1075</v>
      </c>
      <c r="B399" s="12" t="s">
        <v>157</v>
      </c>
      <c r="C399" s="15">
        <v>11340</v>
      </c>
      <c r="D399" s="13">
        <v>50</v>
      </c>
      <c r="F399" s="12" t="s">
        <v>1076</v>
      </c>
      <c r="G399" s="12" t="s">
        <v>159</v>
      </c>
      <c r="H399" s="15">
        <v>97200</v>
      </c>
      <c r="I399" s="13">
        <v>50</v>
      </c>
      <c r="K399" s="12" t="s">
        <v>1077</v>
      </c>
      <c r="L399" s="12" t="s">
        <v>157</v>
      </c>
      <c r="M399" s="15">
        <v>287963</v>
      </c>
      <c r="N399" s="13">
        <v>41</v>
      </c>
    </row>
    <row r="400" spans="1:14">
      <c r="A400" s="12" t="s">
        <v>1078</v>
      </c>
      <c r="B400" s="12" t="s">
        <v>157</v>
      </c>
      <c r="C400" s="15">
        <v>22845</v>
      </c>
      <c r="D400" s="13">
        <v>50</v>
      </c>
      <c r="F400" s="12" t="s">
        <v>1079</v>
      </c>
      <c r="G400" s="12" t="s">
        <v>159</v>
      </c>
      <c r="H400" s="15">
        <v>58000</v>
      </c>
      <c r="I400" s="13">
        <v>50</v>
      </c>
      <c r="K400" s="12" t="s">
        <v>1080</v>
      </c>
      <c r="L400" s="12" t="s">
        <v>157</v>
      </c>
      <c r="M400" s="15">
        <v>109555</v>
      </c>
      <c r="N400" s="13">
        <v>41</v>
      </c>
    </row>
    <row r="401" spans="1:14">
      <c r="A401" s="12" t="s">
        <v>1081</v>
      </c>
      <c r="B401" s="12" t="s">
        <v>157</v>
      </c>
      <c r="C401" s="15">
        <v>12909</v>
      </c>
      <c r="D401" s="13">
        <v>50</v>
      </c>
      <c r="F401" s="12" t="s">
        <v>1082</v>
      </c>
      <c r="G401" s="12" t="s">
        <v>159</v>
      </c>
      <c r="H401" s="15">
        <v>32200</v>
      </c>
      <c r="I401" s="13">
        <v>50</v>
      </c>
      <c r="K401" s="12" t="s">
        <v>1083</v>
      </c>
      <c r="L401" s="12" t="s">
        <v>157</v>
      </c>
      <c r="M401" s="15">
        <v>438045</v>
      </c>
      <c r="N401" s="13">
        <v>41</v>
      </c>
    </row>
    <row r="402" spans="1:14">
      <c r="A402" s="12" t="s">
        <v>1084</v>
      </c>
      <c r="B402" s="12" t="s">
        <v>157</v>
      </c>
      <c r="C402" s="15">
        <v>31550</v>
      </c>
      <c r="D402" s="13">
        <v>50</v>
      </c>
      <c r="F402" s="12" t="s">
        <v>1085</v>
      </c>
      <c r="G402" s="12" t="s">
        <v>159</v>
      </c>
      <c r="H402" s="15">
        <v>24900</v>
      </c>
      <c r="I402" s="13">
        <v>50</v>
      </c>
      <c r="K402" s="12" t="s">
        <v>1086</v>
      </c>
      <c r="L402" s="12" t="s">
        <v>157</v>
      </c>
      <c r="M402" s="15">
        <v>103144</v>
      </c>
      <c r="N402" s="13">
        <v>41</v>
      </c>
    </row>
    <row r="403" spans="1:14">
      <c r="A403" s="12" t="s">
        <v>1087</v>
      </c>
      <c r="B403" s="12" t="s">
        <v>157</v>
      </c>
      <c r="C403" s="15">
        <v>12987</v>
      </c>
      <c r="D403" s="13">
        <v>50</v>
      </c>
      <c r="F403" s="12" t="s">
        <v>1088</v>
      </c>
      <c r="G403" s="12" t="s">
        <v>159</v>
      </c>
      <c r="H403" s="15">
        <v>139900</v>
      </c>
      <c r="I403" s="13">
        <v>50</v>
      </c>
      <c r="K403" s="12" t="s">
        <v>1089</v>
      </c>
      <c r="L403" s="12" t="s">
        <v>157</v>
      </c>
      <c r="M403" s="15">
        <v>150328</v>
      </c>
      <c r="N403" s="13">
        <v>41</v>
      </c>
    </row>
    <row r="404" spans="1:14">
      <c r="A404" s="12" t="s">
        <v>1090</v>
      </c>
      <c r="B404" s="12" t="s">
        <v>157</v>
      </c>
      <c r="C404" s="15">
        <v>22979</v>
      </c>
      <c r="D404" s="13">
        <v>50</v>
      </c>
      <c r="F404" s="12" t="s">
        <v>1091</v>
      </c>
      <c r="G404" s="12" t="s">
        <v>159</v>
      </c>
      <c r="H404" s="15">
        <v>47700</v>
      </c>
      <c r="I404" s="13">
        <v>50</v>
      </c>
      <c r="K404" s="12" t="s">
        <v>1092</v>
      </c>
      <c r="L404" s="12" t="s">
        <v>157</v>
      </c>
      <c r="M404" s="15">
        <v>149966</v>
      </c>
      <c r="N404" s="13">
        <v>41</v>
      </c>
    </row>
    <row r="405" spans="1:14">
      <c r="A405" s="12" t="s">
        <v>1093</v>
      </c>
      <c r="B405" s="12" t="s">
        <v>157</v>
      </c>
      <c r="C405" s="15">
        <v>10063</v>
      </c>
      <c r="D405" s="13">
        <v>50</v>
      </c>
      <c r="F405" s="12" t="s">
        <v>1094</v>
      </c>
      <c r="G405" s="12" t="s">
        <v>159</v>
      </c>
      <c r="H405" s="15">
        <v>99900</v>
      </c>
      <c r="I405" s="13">
        <v>50</v>
      </c>
      <c r="K405" s="12" t="s">
        <v>1095</v>
      </c>
      <c r="L405" s="12" t="s">
        <v>157</v>
      </c>
      <c r="M405" s="15">
        <v>1737829</v>
      </c>
      <c r="N405" s="13">
        <v>41</v>
      </c>
    </row>
    <row r="406" spans="1:14">
      <c r="A406" s="12" t="s">
        <v>1096</v>
      </c>
      <c r="B406" s="12" t="s">
        <v>157</v>
      </c>
      <c r="C406" s="15">
        <v>29796</v>
      </c>
      <c r="D406" s="13">
        <v>50</v>
      </c>
      <c r="F406" s="12" t="s">
        <v>1097</v>
      </c>
      <c r="G406" s="12" t="s">
        <v>159</v>
      </c>
      <c r="H406" s="15">
        <v>17900</v>
      </c>
      <c r="I406" s="13">
        <v>50</v>
      </c>
      <c r="K406" s="12" t="s">
        <v>1098</v>
      </c>
      <c r="L406" s="12" t="s">
        <v>157</v>
      </c>
      <c r="M406" s="15">
        <v>7358061</v>
      </c>
      <c r="N406" s="13">
        <v>41</v>
      </c>
    </row>
    <row r="407" spans="1:14">
      <c r="A407" s="12" t="s">
        <v>1099</v>
      </c>
      <c r="B407" s="12" t="s">
        <v>157</v>
      </c>
      <c r="C407" s="15">
        <v>11884</v>
      </c>
      <c r="D407" s="13">
        <v>50</v>
      </c>
      <c r="F407" s="12" t="s">
        <v>1100</v>
      </c>
      <c r="G407" s="12" t="s">
        <v>159</v>
      </c>
      <c r="H407" s="15">
        <v>18300</v>
      </c>
      <c r="I407" s="13">
        <v>50</v>
      </c>
      <c r="K407" s="12" t="s">
        <v>1101</v>
      </c>
      <c r="L407" s="12" t="s">
        <v>157</v>
      </c>
      <c r="M407" s="15">
        <v>6133691</v>
      </c>
      <c r="N407" s="13">
        <v>41</v>
      </c>
    </row>
    <row r="408" spans="1:14">
      <c r="A408" s="12" t="s">
        <v>1102</v>
      </c>
      <c r="B408" s="12" t="s">
        <v>157</v>
      </c>
      <c r="C408" s="15">
        <v>16176</v>
      </c>
      <c r="D408" s="13">
        <v>50</v>
      </c>
      <c r="F408" s="12" t="s">
        <v>1103</v>
      </c>
      <c r="G408" s="12" t="s">
        <v>157</v>
      </c>
      <c r="H408" s="15">
        <v>11739</v>
      </c>
      <c r="I408" s="13">
        <v>50</v>
      </c>
      <c r="K408" s="12" t="s">
        <v>1104</v>
      </c>
      <c r="L408" s="12" t="s">
        <v>159</v>
      </c>
      <c r="M408" s="15">
        <v>140000</v>
      </c>
      <c r="N408" s="13">
        <v>40</v>
      </c>
    </row>
    <row r="409" spans="1:14">
      <c r="A409" s="12" t="s">
        <v>1105</v>
      </c>
      <c r="B409" s="12" t="s">
        <v>157</v>
      </c>
      <c r="C409" s="15">
        <v>12220</v>
      </c>
      <c r="D409" s="13">
        <v>50</v>
      </c>
      <c r="F409" s="12" t="s">
        <v>1106</v>
      </c>
      <c r="G409" s="12" t="s">
        <v>159</v>
      </c>
      <c r="H409" s="15">
        <v>34500</v>
      </c>
      <c r="I409" s="13">
        <v>50</v>
      </c>
      <c r="K409" s="12" t="s">
        <v>407</v>
      </c>
      <c r="L409" s="12" t="s">
        <v>157</v>
      </c>
      <c r="M409" s="15">
        <v>290065</v>
      </c>
      <c r="N409" s="13">
        <v>40</v>
      </c>
    </row>
    <row r="410" spans="1:14">
      <c r="A410" s="12" t="s">
        <v>1107</v>
      </c>
      <c r="B410" s="12" t="s">
        <v>157</v>
      </c>
      <c r="C410" s="15">
        <v>10757</v>
      </c>
      <c r="D410" s="13">
        <v>50</v>
      </c>
      <c r="F410" s="12" t="s">
        <v>686</v>
      </c>
      <c r="G410" s="12" t="s">
        <v>157</v>
      </c>
      <c r="H410" s="15">
        <v>26506</v>
      </c>
      <c r="I410" s="13">
        <v>50</v>
      </c>
      <c r="K410" s="12" t="s">
        <v>253</v>
      </c>
      <c r="L410" s="12" t="s">
        <v>157</v>
      </c>
      <c r="M410" s="15">
        <v>107893</v>
      </c>
      <c r="N410" s="13">
        <v>40</v>
      </c>
    </row>
    <row r="411" spans="1:14">
      <c r="A411" s="12" t="s">
        <v>1108</v>
      </c>
      <c r="B411" s="12" t="s">
        <v>157</v>
      </c>
      <c r="C411" s="15">
        <v>21705</v>
      </c>
      <c r="D411" s="13">
        <v>50</v>
      </c>
      <c r="F411" s="12" t="s">
        <v>1109</v>
      </c>
      <c r="G411" s="12" t="s">
        <v>157</v>
      </c>
      <c r="H411" s="15">
        <v>36828</v>
      </c>
      <c r="I411" s="13">
        <v>50</v>
      </c>
      <c r="K411" s="12" t="s">
        <v>1110</v>
      </c>
      <c r="L411" s="12" t="s">
        <v>157</v>
      </c>
      <c r="M411" s="15">
        <v>437793</v>
      </c>
      <c r="N411" s="13">
        <v>40</v>
      </c>
    </row>
    <row r="412" spans="1:14">
      <c r="A412" s="12" t="s">
        <v>1111</v>
      </c>
      <c r="B412" s="12" t="s">
        <v>157</v>
      </c>
      <c r="C412" s="15">
        <v>10177</v>
      </c>
      <c r="D412" s="13">
        <v>50</v>
      </c>
      <c r="F412" s="12" t="s">
        <v>1112</v>
      </c>
      <c r="G412" s="12" t="s">
        <v>157</v>
      </c>
      <c r="H412" s="15">
        <v>11266</v>
      </c>
      <c r="I412" s="13">
        <v>50</v>
      </c>
      <c r="K412" s="12" t="s">
        <v>1113</v>
      </c>
      <c r="L412" s="12" t="s">
        <v>157</v>
      </c>
      <c r="M412" s="15">
        <v>547844</v>
      </c>
      <c r="N412" s="13">
        <v>40</v>
      </c>
    </row>
    <row r="413" spans="1:14">
      <c r="A413" s="12" t="s">
        <v>1114</v>
      </c>
      <c r="B413" s="12" t="s">
        <v>157</v>
      </c>
      <c r="C413" s="15">
        <v>14508</v>
      </c>
      <c r="D413" s="13">
        <v>50</v>
      </c>
      <c r="F413" s="12" t="s">
        <v>1115</v>
      </c>
      <c r="G413" s="12" t="s">
        <v>159</v>
      </c>
      <c r="H413" s="15">
        <v>3100000</v>
      </c>
      <c r="I413" s="13">
        <v>50</v>
      </c>
      <c r="K413" s="12" t="s">
        <v>1116</v>
      </c>
      <c r="L413" s="12" t="s">
        <v>157</v>
      </c>
      <c r="M413" s="15">
        <v>212013</v>
      </c>
      <c r="N413" s="13">
        <v>40</v>
      </c>
    </row>
    <row r="414" spans="1:14">
      <c r="A414" s="12" t="s">
        <v>1117</v>
      </c>
      <c r="B414" s="12" t="s">
        <v>157</v>
      </c>
      <c r="C414" s="15">
        <v>22710</v>
      </c>
      <c r="D414" s="13">
        <v>50</v>
      </c>
      <c r="F414" s="12" t="s">
        <v>1118</v>
      </c>
      <c r="G414" s="12" t="s">
        <v>159</v>
      </c>
      <c r="H414" s="15">
        <v>74800</v>
      </c>
      <c r="I414" s="13">
        <v>50</v>
      </c>
      <c r="K414" s="12" t="s">
        <v>1119</v>
      </c>
      <c r="L414" s="12" t="s">
        <v>157</v>
      </c>
      <c r="M414" s="15">
        <v>102148</v>
      </c>
      <c r="N414" s="13">
        <v>40</v>
      </c>
    </row>
    <row r="415" spans="1:14">
      <c r="A415" s="12" t="s">
        <v>1120</v>
      </c>
      <c r="B415" s="12" t="s">
        <v>157</v>
      </c>
      <c r="C415" s="15">
        <v>10369</v>
      </c>
      <c r="D415" s="13">
        <v>50</v>
      </c>
      <c r="F415" s="12" t="s">
        <v>1121</v>
      </c>
      <c r="G415" s="12" t="s">
        <v>159</v>
      </c>
      <c r="H415" s="15">
        <v>35400</v>
      </c>
      <c r="I415" s="13">
        <v>50</v>
      </c>
      <c r="K415" s="12" t="s">
        <v>262</v>
      </c>
      <c r="L415" s="12" t="s">
        <v>157</v>
      </c>
      <c r="M415" s="15">
        <v>140891</v>
      </c>
      <c r="N415" s="13">
        <v>40</v>
      </c>
    </row>
    <row r="416" spans="1:14">
      <c r="A416" s="12" t="s">
        <v>1122</v>
      </c>
      <c r="B416" s="12" t="s">
        <v>157</v>
      </c>
      <c r="C416" s="15">
        <v>22227</v>
      </c>
      <c r="D416" s="13">
        <v>50</v>
      </c>
      <c r="F416" s="12" t="s">
        <v>1123</v>
      </c>
      <c r="G416" s="12" t="s">
        <v>159</v>
      </c>
      <c r="H416" s="15">
        <v>29500</v>
      </c>
      <c r="I416" s="13">
        <v>50</v>
      </c>
      <c r="K416" s="12" t="s">
        <v>1124</v>
      </c>
      <c r="L416" s="12" t="s">
        <v>157</v>
      </c>
      <c r="M416" s="15">
        <v>1878680</v>
      </c>
      <c r="N416" s="13">
        <v>40</v>
      </c>
    </row>
    <row r="417" spans="1:14">
      <c r="A417" s="12" t="s">
        <v>1125</v>
      </c>
      <c r="B417" s="12" t="s">
        <v>157</v>
      </c>
      <c r="C417" s="15">
        <v>14552</v>
      </c>
      <c r="D417" s="13">
        <v>50</v>
      </c>
      <c r="F417" s="12" t="s">
        <v>1126</v>
      </c>
      <c r="G417" s="12" t="s">
        <v>159</v>
      </c>
      <c r="H417" s="15">
        <v>23700</v>
      </c>
      <c r="I417" s="13">
        <v>50</v>
      </c>
      <c r="K417" s="12" t="s">
        <v>1127</v>
      </c>
      <c r="L417" s="12" t="s">
        <v>157</v>
      </c>
      <c r="M417" s="15">
        <v>341661</v>
      </c>
      <c r="N417" s="13">
        <v>40</v>
      </c>
    </row>
    <row r="418" spans="1:14">
      <c r="A418" s="12" t="s">
        <v>1128</v>
      </c>
      <c r="B418" s="12" t="s">
        <v>157</v>
      </c>
      <c r="C418" s="15">
        <v>10763</v>
      </c>
      <c r="D418" s="13">
        <v>50</v>
      </c>
      <c r="F418" s="12" t="s">
        <v>1129</v>
      </c>
      <c r="G418" s="12" t="s">
        <v>159</v>
      </c>
      <c r="H418" s="15">
        <v>20600</v>
      </c>
      <c r="I418" s="13">
        <v>50</v>
      </c>
      <c r="K418" s="12" t="s">
        <v>1130</v>
      </c>
      <c r="L418" s="12" t="s">
        <v>157</v>
      </c>
      <c r="M418" s="15">
        <v>232826</v>
      </c>
      <c r="N418" s="13">
        <v>40</v>
      </c>
    </row>
    <row r="419" spans="1:14">
      <c r="A419" s="12" t="s">
        <v>1131</v>
      </c>
      <c r="B419" s="12" t="s">
        <v>157</v>
      </c>
      <c r="C419" s="15">
        <v>26567</v>
      </c>
      <c r="D419" s="13">
        <v>50</v>
      </c>
      <c r="F419" s="12" t="s">
        <v>1132</v>
      </c>
      <c r="G419" s="12" t="s">
        <v>157</v>
      </c>
      <c r="H419" s="15">
        <v>72135</v>
      </c>
      <c r="I419" s="13">
        <v>50</v>
      </c>
      <c r="K419" s="12" t="s">
        <v>1133</v>
      </c>
      <c r="L419" s="12" t="s">
        <v>157</v>
      </c>
      <c r="M419" s="15">
        <v>186180</v>
      </c>
      <c r="N419" s="13">
        <v>40</v>
      </c>
    </row>
    <row r="420" spans="1:14">
      <c r="A420" s="12" t="s">
        <v>1134</v>
      </c>
      <c r="B420" s="12" t="s">
        <v>157</v>
      </c>
      <c r="C420" s="15">
        <v>28959</v>
      </c>
      <c r="D420" s="13">
        <v>50</v>
      </c>
      <c r="F420" s="12" t="s">
        <v>687</v>
      </c>
      <c r="G420" s="12" t="s">
        <v>157</v>
      </c>
      <c r="H420" s="15">
        <v>11268</v>
      </c>
      <c r="I420" s="13">
        <v>50</v>
      </c>
      <c r="K420" s="12" t="s">
        <v>1135</v>
      </c>
      <c r="L420" s="12" t="s">
        <v>157</v>
      </c>
      <c r="M420" s="15">
        <v>298432</v>
      </c>
      <c r="N420" s="13">
        <v>40</v>
      </c>
    </row>
    <row r="421" spans="1:14">
      <c r="A421" s="12" t="s">
        <v>1136</v>
      </c>
      <c r="B421" s="12" t="s">
        <v>157</v>
      </c>
      <c r="C421" s="15">
        <v>10100</v>
      </c>
      <c r="D421" s="13">
        <v>50</v>
      </c>
      <c r="F421" s="12" t="s">
        <v>1137</v>
      </c>
      <c r="G421" s="12" t="s">
        <v>159</v>
      </c>
      <c r="H421" s="15">
        <v>53900</v>
      </c>
      <c r="I421" s="13">
        <v>50</v>
      </c>
      <c r="K421" s="12" t="s">
        <v>1138</v>
      </c>
      <c r="L421" s="12" t="s">
        <v>157</v>
      </c>
      <c r="M421" s="15">
        <v>156144</v>
      </c>
      <c r="N421" s="13">
        <v>40</v>
      </c>
    </row>
    <row r="422" spans="1:14">
      <c r="A422" s="12" t="s">
        <v>1139</v>
      </c>
      <c r="B422" s="12" t="s">
        <v>157</v>
      </c>
      <c r="C422" s="15">
        <v>10956</v>
      </c>
      <c r="D422" s="13">
        <v>50</v>
      </c>
      <c r="F422" s="12" t="s">
        <v>1140</v>
      </c>
      <c r="G422" s="12" t="s">
        <v>159</v>
      </c>
      <c r="H422" s="15">
        <v>46700</v>
      </c>
      <c r="I422" s="13">
        <v>50</v>
      </c>
      <c r="K422" s="12" t="s">
        <v>1141</v>
      </c>
      <c r="L422" s="12" t="s">
        <v>157</v>
      </c>
      <c r="M422" s="15">
        <v>349108</v>
      </c>
      <c r="N422" s="13">
        <v>40</v>
      </c>
    </row>
    <row r="423" spans="1:14">
      <c r="A423" s="12" t="s">
        <v>1142</v>
      </c>
      <c r="B423" s="12" t="s">
        <v>157</v>
      </c>
      <c r="C423" s="15">
        <v>33146</v>
      </c>
      <c r="D423" s="13">
        <v>50</v>
      </c>
      <c r="F423" s="12" t="s">
        <v>689</v>
      </c>
      <c r="G423" s="12" t="s">
        <v>157</v>
      </c>
      <c r="H423" s="15">
        <v>30011</v>
      </c>
      <c r="I423" s="13">
        <v>50</v>
      </c>
      <c r="K423" s="12" t="s">
        <v>1143</v>
      </c>
      <c r="L423" s="12" t="s">
        <v>157</v>
      </c>
      <c r="M423" s="15">
        <v>182900</v>
      </c>
      <c r="N423" s="13">
        <v>40</v>
      </c>
    </row>
    <row r="424" spans="1:14">
      <c r="A424" s="12" t="s">
        <v>1144</v>
      </c>
      <c r="B424" s="12" t="s">
        <v>157</v>
      </c>
      <c r="C424" s="15">
        <v>1124014</v>
      </c>
      <c r="D424" s="13">
        <v>50</v>
      </c>
      <c r="F424" s="12" t="s">
        <v>691</v>
      </c>
      <c r="G424" s="12" t="s">
        <v>157</v>
      </c>
      <c r="H424" s="15">
        <v>11500</v>
      </c>
      <c r="I424" s="13">
        <v>50</v>
      </c>
      <c r="K424" s="12" t="s">
        <v>1145</v>
      </c>
      <c r="L424" s="12" t="s">
        <v>157</v>
      </c>
      <c r="M424" s="15">
        <v>112733</v>
      </c>
      <c r="N424" s="13">
        <v>40</v>
      </c>
    </row>
    <row r="425" spans="1:14">
      <c r="A425" s="12" t="s">
        <v>184</v>
      </c>
      <c r="B425" s="12" t="s">
        <v>157</v>
      </c>
      <c r="C425" s="15">
        <v>729181</v>
      </c>
      <c r="D425" s="13">
        <v>50</v>
      </c>
      <c r="F425" s="12" t="s">
        <v>1146</v>
      </c>
      <c r="G425" s="12" t="s">
        <v>159</v>
      </c>
      <c r="H425" s="15">
        <v>40700</v>
      </c>
      <c r="I425" s="13">
        <v>50</v>
      </c>
      <c r="K425" s="12" t="s">
        <v>277</v>
      </c>
      <c r="L425" s="12" t="s">
        <v>157</v>
      </c>
      <c r="M425" s="15">
        <v>103627</v>
      </c>
      <c r="N425" s="13">
        <v>40</v>
      </c>
    </row>
    <row r="426" spans="1:14">
      <c r="A426" s="12" t="s">
        <v>1147</v>
      </c>
      <c r="B426" s="12" t="s">
        <v>157</v>
      </c>
      <c r="C426" s="15">
        <v>11611</v>
      </c>
      <c r="D426" s="13">
        <v>50</v>
      </c>
      <c r="F426" s="12" t="s">
        <v>1148</v>
      </c>
      <c r="G426" s="12" t="s">
        <v>157</v>
      </c>
      <c r="H426" s="15">
        <v>11309</v>
      </c>
      <c r="I426" s="13">
        <v>50</v>
      </c>
      <c r="K426" s="12" t="s">
        <v>1149</v>
      </c>
      <c r="L426" s="12" t="s">
        <v>157</v>
      </c>
      <c r="M426" s="15">
        <v>685896635</v>
      </c>
      <c r="N426" s="13">
        <v>40</v>
      </c>
    </row>
    <row r="427" spans="1:14">
      <c r="A427" s="12" t="s">
        <v>1150</v>
      </c>
      <c r="B427" s="12" t="s">
        <v>157</v>
      </c>
      <c r="C427" s="15">
        <v>11773</v>
      </c>
      <c r="D427" s="13">
        <v>50</v>
      </c>
      <c r="F427" s="12" t="s">
        <v>1151</v>
      </c>
      <c r="G427" s="12" t="s">
        <v>157</v>
      </c>
      <c r="H427" s="15">
        <v>10091</v>
      </c>
      <c r="I427" s="13">
        <v>50</v>
      </c>
      <c r="K427" s="12" t="s">
        <v>516</v>
      </c>
      <c r="L427" s="12" t="s">
        <v>157</v>
      </c>
      <c r="M427" s="15">
        <v>392230</v>
      </c>
      <c r="N427" s="13">
        <v>40</v>
      </c>
    </row>
    <row r="428" spans="1:14">
      <c r="A428" s="12" t="s">
        <v>1152</v>
      </c>
      <c r="B428" s="12" t="s">
        <v>157</v>
      </c>
      <c r="C428" s="15">
        <v>11212</v>
      </c>
      <c r="D428" s="13">
        <v>50</v>
      </c>
      <c r="F428" s="12" t="s">
        <v>1153</v>
      </c>
      <c r="G428" s="12" t="s">
        <v>159</v>
      </c>
      <c r="H428" s="15">
        <v>20500</v>
      </c>
      <c r="I428" s="13">
        <v>50</v>
      </c>
      <c r="K428" s="12" t="s">
        <v>1154</v>
      </c>
      <c r="L428" s="12" t="s">
        <v>157</v>
      </c>
      <c r="M428" s="15">
        <v>102537</v>
      </c>
      <c r="N428" s="13">
        <v>40</v>
      </c>
    </row>
    <row r="429" spans="1:14">
      <c r="A429" s="12" t="s">
        <v>1155</v>
      </c>
      <c r="B429" s="12" t="s">
        <v>157</v>
      </c>
      <c r="C429" s="15">
        <v>10443</v>
      </c>
      <c r="D429" s="13">
        <v>50</v>
      </c>
      <c r="F429" s="12" t="s">
        <v>1156</v>
      </c>
      <c r="G429" s="12" t="s">
        <v>159</v>
      </c>
      <c r="H429" s="15">
        <v>1523194</v>
      </c>
      <c r="I429" s="13">
        <v>50</v>
      </c>
      <c r="K429" s="12" t="s">
        <v>1157</v>
      </c>
      <c r="L429" s="12" t="s">
        <v>157</v>
      </c>
      <c r="M429" s="15">
        <v>112409</v>
      </c>
      <c r="N429" s="13">
        <v>40</v>
      </c>
    </row>
    <row r="430" spans="1:14">
      <c r="A430" s="12" t="s">
        <v>1158</v>
      </c>
      <c r="B430" s="12" t="s">
        <v>157</v>
      </c>
      <c r="C430" s="15">
        <v>24050</v>
      </c>
      <c r="D430" s="13">
        <v>50</v>
      </c>
      <c r="F430" s="12" t="s">
        <v>1159</v>
      </c>
      <c r="G430" s="12" t="s">
        <v>159</v>
      </c>
      <c r="H430" s="15">
        <v>16400</v>
      </c>
      <c r="I430" s="13">
        <v>50</v>
      </c>
      <c r="K430" s="12" t="s">
        <v>1160</v>
      </c>
      <c r="L430" s="12" t="s">
        <v>157</v>
      </c>
      <c r="M430" s="15">
        <v>1995254</v>
      </c>
      <c r="N430" s="13">
        <v>40</v>
      </c>
    </row>
    <row r="431" spans="1:14">
      <c r="A431" s="12" t="s">
        <v>1161</v>
      </c>
      <c r="B431" s="12" t="s">
        <v>157</v>
      </c>
      <c r="C431" s="15">
        <v>15337</v>
      </c>
      <c r="D431" s="13">
        <v>50</v>
      </c>
      <c r="F431" s="12" t="s">
        <v>1162</v>
      </c>
      <c r="G431" s="12" t="s">
        <v>157</v>
      </c>
      <c r="H431" s="15">
        <v>15516</v>
      </c>
      <c r="I431" s="13">
        <v>50</v>
      </c>
      <c r="K431" s="12" t="s">
        <v>1163</v>
      </c>
      <c r="L431" s="12" t="s">
        <v>157</v>
      </c>
      <c r="M431" s="15">
        <v>302022</v>
      </c>
      <c r="N431" s="13">
        <v>40</v>
      </c>
    </row>
    <row r="432" spans="1:14">
      <c r="A432" s="12" t="s">
        <v>1164</v>
      </c>
      <c r="B432" s="12" t="s">
        <v>157</v>
      </c>
      <c r="C432" s="15">
        <v>16195</v>
      </c>
      <c r="D432" s="13">
        <v>50</v>
      </c>
      <c r="F432" s="12" t="s">
        <v>1165</v>
      </c>
      <c r="G432" s="12" t="s">
        <v>159</v>
      </c>
      <c r="H432" s="15">
        <v>95700</v>
      </c>
      <c r="I432" s="13">
        <v>50</v>
      </c>
      <c r="K432" s="12" t="s">
        <v>1166</v>
      </c>
      <c r="L432" s="12" t="s">
        <v>157</v>
      </c>
      <c r="M432" s="15">
        <v>204995</v>
      </c>
      <c r="N432" s="13">
        <v>40</v>
      </c>
    </row>
    <row r="433" spans="1:14">
      <c r="A433" s="12" t="s">
        <v>1167</v>
      </c>
      <c r="B433" s="12" t="s">
        <v>157</v>
      </c>
      <c r="C433" s="15">
        <v>10546</v>
      </c>
      <c r="D433" s="13">
        <v>50</v>
      </c>
      <c r="F433" s="12" t="s">
        <v>1168</v>
      </c>
      <c r="G433" s="12" t="s">
        <v>157</v>
      </c>
      <c r="H433" s="15">
        <v>34723</v>
      </c>
      <c r="I433" s="13">
        <v>50</v>
      </c>
      <c r="K433" s="12" t="s">
        <v>869</v>
      </c>
      <c r="L433" s="12" t="s">
        <v>157</v>
      </c>
      <c r="M433" s="15">
        <v>606698</v>
      </c>
      <c r="N433" s="13">
        <v>40</v>
      </c>
    </row>
    <row r="434" spans="1:14">
      <c r="A434" s="12" t="s">
        <v>1169</v>
      </c>
      <c r="B434" s="12" t="s">
        <v>157</v>
      </c>
      <c r="C434" s="15">
        <v>19913</v>
      </c>
      <c r="D434" s="13">
        <v>50</v>
      </c>
      <c r="F434" s="12" t="s">
        <v>1170</v>
      </c>
      <c r="G434" s="12" t="s">
        <v>157</v>
      </c>
      <c r="H434" s="15">
        <v>14715</v>
      </c>
      <c r="I434" s="13">
        <v>50</v>
      </c>
      <c r="K434" s="12" t="s">
        <v>412</v>
      </c>
      <c r="L434" s="12" t="s">
        <v>157</v>
      </c>
      <c r="M434" s="15">
        <v>139014</v>
      </c>
      <c r="N434" s="13">
        <v>40</v>
      </c>
    </row>
    <row r="435" spans="1:14">
      <c r="A435" s="12" t="s">
        <v>1171</v>
      </c>
      <c r="B435" s="12" t="s">
        <v>157</v>
      </c>
      <c r="C435" s="15">
        <v>11374</v>
      </c>
      <c r="D435" s="13">
        <v>50</v>
      </c>
      <c r="F435" s="12" t="s">
        <v>695</v>
      </c>
      <c r="G435" s="12" t="s">
        <v>157</v>
      </c>
      <c r="H435" s="15">
        <v>11401</v>
      </c>
      <c r="I435" s="13">
        <v>50</v>
      </c>
      <c r="K435" s="12" t="s">
        <v>1172</v>
      </c>
      <c r="L435" s="12" t="s">
        <v>157</v>
      </c>
      <c r="M435" s="15">
        <v>1129785</v>
      </c>
      <c r="N435" s="13">
        <v>40</v>
      </c>
    </row>
    <row r="436" spans="1:14">
      <c r="A436" s="12" t="s">
        <v>1173</v>
      </c>
      <c r="B436" s="12" t="s">
        <v>157</v>
      </c>
      <c r="C436" s="15">
        <v>10527</v>
      </c>
      <c r="D436" s="13">
        <v>50</v>
      </c>
      <c r="F436" s="12" t="s">
        <v>1174</v>
      </c>
      <c r="G436" s="12" t="s">
        <v>157</v>
      </c>
      <c r="H436" s="15">
        <v>21477</v>
      </c>
      <c r="I436" s="13">
        <v>50</v>
      </c>
      <c r="K436" s="12" t="s">
        <v>290</v>
      </c>
      <c r="L436" s="12" t="s">
        <v>157</v>
      </c>
      <c r="M436" s="15">
        <v>125880</v>
      </c>
      <c r="N436" s="13">
        <v>40</v>
      </c>
    </row>
    <row r="437" spans="1:14">
      <c r="A437" s="12" t="s">
        <v>1175</v>
      </c>
      <c r="B437" s="12" t="s">
        <v>157</v>
      </c>
      <c r="C437" s="15">
        <v>21013</v>
      </c>
      <c r="D437" s="13">
        <v>50</v>
      </c>
      <c r="F437" s="12" t="s">
        <v>1176</v>
      </c>
      <c r="G437" s="12" t="s">
        <v>159</v>
      </c>
      <c r="H437" s="15">
        <v>55800</v>
      </c>
      <c r="I437" s="13">
        <v>50</v>
      </c>
      <c r="K437" s="12" t="s">
        <v>1177</v>
      </c>
      <c r="L437" s="12" t="s">
        <v>157</v>
      </c>
      <c r="M437" s="15">
        <v>116777</v>
      </c>
      <c r="N437" s="13">
        <v>40</v>
      </c>
    </row>
    <row r="438" spans="1:14">
      <c r="A438" s="12" t="s">
        <v>1178</v>
      </c>
      <c r="B438" s="12" t="s">
        <v>157</v>
      </c>
      <c r="C438" s="15">
        <v>20152</v>
      </c>
      <c r="D438" s="13">
        <v>50</v>
      </c>
      <c r="F438" s="12" t="s">
        <v>1179</v>
      </c>
      <c r="G438" s="12" t="s">
        <v>159</v>
      </c>
      <c r="H438" s="15">
        <v>363800</v>
      </c>
      <c r="I438" s="13">
        <v>50</v>
      </c>
      <c r="K438" s="12" t="s">
        <v>1180</v>
      </c>
      <c r="L438" s="12" t="s">
        <v>157</v>
      </c>
      <c r="M438" s="15">
        <v>103135</v>
      </c>
      <c r="N438" s="13">
        <v>40</v>
      </c>
    </row>
    <row r="439" spans="1:14">
      <c r="A439" s="12" t="s">
        <v>1181</v>
      </c>
      <c r="B439" s="12" t="s">
        <v>157</v>
      </c>
      <c r="C439" s="15">
        <v>11618</v>
      </c>
      <c r="D439" s="13">
        <v>50</v>
      </c>
      <c r="F439" s="12" t="s">
        <v>1182</v>
      </c>
      <c r="G439" s="12" t="s">
        <v>157</v>
      </c>
      <c r="H439" s="15">
        <v>11774</v>
      </c>
      <c r="I439" s="13">
        <v>50</v>
      </c>
      <c r="K439" s="12" t="s">
        <v>1183</v>
      </c>
      <c r="L439" s="12" t="s">
        <v>157</v>
      </c>
      <c r="M439" s="15">
        <v>128122</v>
      </c>
      <c r="N439" s="13">
        <v>40</v>
      </c>
    </row>
    <row r="440" spans="1:14">
      <c r="A440" s="12" t="s">
        <v>1184</v>
      </c>
      <c r="B440" s="12" t="s">
        <v>157</v>
      </c>
      <c r="C440" s="15">
        <v>10228</v>
      </c>
      <c r="D440" s="13">
        <v>50</v>
      </c>
      <c r="F440" s="12" t="s">
        <v>1185</v>
      </c>
      <c r="G440" s="12" t="s">
        <v>159</v>
      </c>
      <c r="H440" s="15">
        <v>68300</v>
      </c>
      <c r="I440" s="13">
        <v>50</v>
      </c>
      <c r="K440" s="12" t="s">
        <v>1186</v>
      </c>
      <c r="L440" s="12" t="s">
        <v>157</v>
      </c>
      <c r="M440" s="15">
        <v>254204</v>
      </c>
      <c r="N440" s="13">
        <v>40</v>
      </c>
    </row>
    <row r="441" spans="1:14">
      <c r="A441" s="12" t="s">
        <v>1187</v>
      </c>
      <c r="B441" s="12" t="s">
        <v>157</v>
      </c>
      <c r="C441" s="15">
        <v>17255</v>
      </c>
      <c r="D441" s="13">
        <v>50</v>
      </c>
      <c r="F441" s="12" t="s">
        <v>1188</v>
      </c>
      <c r="G441" s="12" t="s">
        <v>157</v>
      </c>
      <c r="H441" s="15">
        <v>29989</v>
      </c>
      <c r="I441" s="13">
        <v>50</v>
      </c>
      <c r="K441" s="12" t="s">
        <v>1189</v>
      </c>
      <c r="L441" s="12" t="s">
        <v>157</v>
      </c>
      <c r="M441" s="15">
        <v>327388</v>
      </c>
      <c r="N441" s="13">
        <v>40</v>
      </c>
    </row>
    <row r="442" spans="1:14">
      <c r="A442" s="12" t="s">
        <v>1190</v>
      </c>
      <c r="B442" s="12" t="s">
        <v>157</v>
      </c>
      <c r="C442" s="15">
        <v>14097</v>
      </c>
      <c r="D442" s="13">
        <v>50</v>
      </c>
      <c r="F442" s="12" t="s">
        <v>697</v>
      </c>
      <c r="G442" s="12" t="s">
        <v>157</v>
      </c>
      <c r="H442" s="15">
        <v>11967</v>
      </c>
      <c r="I442" s="13">
        <v>50</v>
      </c>
      <c r="K442" s="12" t="s">
        <v>1191</v>
      </c>
      <c r="L442" s="12" t="s">
        <v>157</v>
      </c>
      <c r="M442" s="15">
        <v>101492</v>
      </c>
      <c r="N442" s="13">
        <v>40</v>
      </c>
    </row>
    <row r="443" spans="1:14">
      <c r="A443" s="12" t="s">
        <v>1192</v>
      </c>
      <c r="B443" s="12" t="s">
        <v>157</v>
      </c>
      <c r="C443" s="15">
        <v>13312</v>
      </c>
      <c r="D443" s="13">
        <v>50</v>
      </c>
      <c r="F443" s="12" t="s">
        <v>1193</v>
      </c>
      <c r="G443" s="12" t="s">
        <v>159</v>
      </c>
      <c r="H443" s="15">
        <v>86200</v>
      </c>
      <c r="I443" s="13">
        <v>50</v>
      </c>
      <c r="K443" s="12" t="s">
        <v>1194</v>
      </c>
      <c r="L443" s="12" t="s">
        <v>157</v>
      </c>
      <c r="M443" s="15">
        <v>241296</v>
      </c>
      <c r="N443" s="13">
        <v>40</v>
      </c>
    </row>
    <row r="444" spans="1:14">
      <c r="A444" s="12" t="s">
        <v>1195</v>
      </c>
      <c r="B444" s="12" t="s">
        <v>157</v>
      </c>
      <c r="C444" s="15">
        <v>13570</v>
      </c>
      <c r="D444" s="13">
        <v>50</v>
      </c>
      <c r="F444" s="12" t="s">
        <v>1196</v>
      </c>
      <c r="G444" s="12" t="s">
        <v>159</v>
      </c>
      <c r="H444" s="15">
        <v>64000</v>
      </c>
      <c r="I444" s="13">
        <v>50</v>
      </c>
      <c r="K444" s="12" t="s">
        <v>1197</v>
      </c>
      <c r="L444" s="12" t="s">
        <v>157</v>
      </c>
      <c r="M444" s="15">
        <v>130414</v>
      </c>
      <c r="N444" s="13">
        <v>40</v>
      </c>
    </row>
    <row r="445" spans="1:14">
      <c r="A445" s="12" t="s">
        <v>1198</v>
      </c>
      <c r="B445" s="12" t="s">
        <v>157</v>
      </c>
      <c r="C445" s="15">
        <v>11127</v>
      </c>
      <c r="D445" s="13">
        <v>50</v>
      </c>
      <c r="F445" s="12" t="s">
        <v>1199</v>
      </c>
      <c r="G445" s="12" t="s">
        <v>157</v>
      </c>
      <c r="H445" s="15">
        <v>12229</v>
      </c>
      <c r="I445" s="13">
        <v>50</v>
      </c>
      <c r="K445" s="12" t="s">
        <v>1200</v>
      </c>
      <c r="L445" s="12" t="s">
        <v>157</v>
      </c>
      <c r="M445" s="15">
        <v>1377379</v>
      </c>
      <c r="N445" s="13">
        <v>39</v>
      </c>
    </row>
    <row r="446" spans="1:14">
      <c r="A446" s="12" t="s">
        <v>1201</v>
      </c>
      <c r="B446" s="12" t="s">
        <v>157</v>
      </c>
      <c r="C446" s="15">
        <v>13009</v>
      </c>
      <c r="D446" s="13">
        <v>50</v>
      </c>
      <c r="F446" s="12" t="s">
        <v>1202</v>
      </c>
      <c r="G446" s="12" t="s">
        <v>159</v>
      </c>
      <c r="H446" s="15">
        <v>12200</v>
      </c>
      <c r="I446" s="13">
        <v>50</v>
      </c>
      <c r="K446" s="12" t="s">
        <v>1203</v>
      </c>
      <c r="L446" s="12" t="s">
        <v>157</v>
      </c>
      <c r="M446" s="15">
        <v>119537</v>
      </c>
      <c r="N446" s="13">
        <v>39</v>
      </c>
    </row>
    <row r="447" spans="1:14">
      <c r="A447" s="12" t="s">
        <v>1204</v>
      </c>
      <c r="B447" s="12" t="s">
        <v>157</v>
      </c>
      <c r="C447" s="15">
        <v>19985</v>
      </c>
      <c r="D447" s="13">
        <v>50</v>
      </c>
      <c r="F447" s="12" t="s">
        <v>1205</v>
      </c>
      <c r="G447" s="12" t="s">
        <v>159</v>
      </c>
      <c r="H447" s="15">
        <v>16600</v>
      </c>
      <c r="I447" s="13">
        <v>50</v>
      </c>
      <c r="K447" s="12" t="s">
        <v>156</v>
      </c>
      <c r="L447" s="12" t="s">
        <v>157</v>
      </c>
      <c r="M447" s="15">
        <v>165218</v>
      </c>
      <c r="N447" s="13">
        <v>39</v>
      </c>
    </row>
    <row r="448" spans="1:14">
      <c r="A448" s="12" t="s">
        <v>1206</v>
      </c>
      <c r="B448" s="12" t="s">
        <v>157</v>
      </c>
      <c r="C448" s="15">
        <v>16282</v>
      </c>
      <c r="D448" s="13">
        <v>50</v>
      </c>
      <c r="F448" s="12" t="s">
        <v>699</v>
      </c>
      <c r="G448" s="12" t="s">
        <v>157</v>
      </c>
      <c r="H448" s="15">
        <v>12164</v>
      </c>
      <c r="I448" s="13">
        <v>50</v>
      </c>
      <c r="K448" s="12" t="s">
        <v>1207</v>
      </c>
      <c r="L448" s="12" t="s">
        <v>157</v>
      </c>
      <c r="M448" s="15">
        <v>146243</v>
      </c>
      <c r="N448" s="13">
        <v>39</v>
      </c>
    </row>
    <row r="449" spans="1:14">
      <c r="A449" s="12" t="s">
        <v>1208</v>
      </c>
      <c r="B449" s="12" t="s">
        <v>157</v>
      </c>
      <c r="C449" s="15">
        <v>13954</v>
      </c>
      <c r="D449" s="13">
        <v>50</v>
      </c>
      <c r="F449" s="12" t="s">
        <v>1209</v>
      </c>
      <c r="G449" s="12" t="s">
        <v>159</v>
      </c>
      <c r="H449" s="15">
        <v>301000</v>
      </c>
      <c r="I449" s="13">
        <v>50</v>
      </c>
      <c r="K449" s="12" t="s">
        <v>1210</v>
      </c>
      <c r="L449" s="12" t="s">
        <v>157</v>
      </c>
      <c r="M449" s="15">
        <v>1879833</v>
      </c>
      <c r="N449" s="13">
        <v>39</v>
      </c>
    </row>
    <row r="450" spans="1:14">
      <c r="A450" s="12" t="s">
        <v>1211</v>
      </c>
      <c r="B450" s="12" t="s">
        <v>157</v>
      </c>
      <c r="C450" s="15">
        <v>29172</v>
      </c>
      <c r="D450" s="13">
        <v>50</v>
      </c>
      <c r="F450" s="12" t="s">
        <v>1212</v>
      </c>
      <c r="G450" s="12" t="s">
        <v>159</v>
      </c>
      <c r="H450" s="15">
        <v>25100</v>
      </c>
      <c r="I450" s="13">
        <v>50</v>
      </c>
      <c r="K450" s="12" t="s">
        <v>1213</v>
      </c>
      <c r="L450" s="12" t="s">
        <v>157</v>
      </c>
      <c r="M450" s="15">
        <v>100159</v>
      </c>
      <c r="N450" s="13">
        <v>39</v>
      </c>
    </row>
    <row r="451" spans="1:14">
      <c r="A451" s="12" t="s">
        <v>1214</v>
      </c>
      <c r="B451" s="12" t="s">
        <v>157</v>
      </c>
      <c r="C451" s="15">
        <v>10188</v>
      </c>
      <c r="D451" s="13">
        <v>50</v>
      </c>
      <c r="F451" s="12" t="s">
        <v>1215</v>
      </c>
      <c r="G451" s="12" t="s">
        <v>157</v>
      </c>
      <c r="H451" s="15">
        <v>16704</v>
      </c>
      <c r="I451" s="13">
        <v>50</v>
      </c>
      <c r="K451" s="12" t="s">
        <v>1216</v>
      </c>
      <c r="L451" s="12" t="s">
        <v>157</v>
      </c>
      <c r="M451" s="15">
        <v>678397</v>
      </c>
      <c r="N451" s="13">
        <v>39</v>
      </c>
    </row>
    <row r="452" spans="1:14">
      <c r="A452" s="12" t="s">
        <v>1217</v>
      </c>
      <c r="B452" s="12" t="s">
        <v>157</v>
      </c>
      <c r="C452" s="15">
        <v>29130</v>
      </c>
      <c r="D452" s="13">
        <v>50</v>
      </c>
      <c r="F452" s="12" t="s">
        <v>1218</v>
      </c>
      <c r="G452" s="12" t="s">
        <v>159</v>
      </c>
      <c r="H452" s="15">
        <v>15900</v>
      </c>
      <c r="I452" s="13">
        <v>50</v>
      </c>
      <c r="K452" s="12" t="s">
        <v>1219</v>
      </c>
      <c r="L452" s="12" t="s">
        <v>157</v>
      </c>
      <c r="M452" s="15">
        <v>112095</v>
      </c>
      <c r="N452" s="13">
        <v>39</v>
      </c>
    </row>
    <row r="453" spans="1:14">
      <c r="A453" s="12" t="s">
        <v>1220</v>
      </c>
      <c r="B453" s="12" t="s">
        <v>157</v>
      </c>
      <c r="C453" s="15">
        <v>15990</v>
      </c>
      <c r="D453" s="13">
        <v>50</v>
      </c>
      <c r="F453" s="12" t="s">
        <v>1221</v>
      </c>
      <c r="G453" s="12" t="s">
        <v>159</v>
      </c>
      <c r="H453" s="15">
        <v>43200</v>
      </c>
      <c r="I453" s="13">
        <v>50</v>
      </c>
      <c r="K453" s="12" t="s">
        <v>885</v>
      </c>
      <c r="L453" s="12" t="s">
        <v>157</v>
      </c>
      <c r="M453" s="15">
        <v>116585</v>
      </c>
      <c r="N453" s="13">
        <v>39</v>
      </c>
    </row>
    <row r="454" spans="1:14">
      <c r="A454" s="12" t="s">
        <v>1222</v>
      </c>
      <c r="B454" s="12" t="s">
        <v>157</v>
      </c>
      <c r="C454" s="15">
        <v>12094</v>
      </c>
      <c r="D454" s="13">
        <v>50</v>
      </c>
      <c r="F454" s="12" t="s">
        <v>1223</v>
      </c>
      <c r="G454" s="12" t="s">
        <v>159</v>
      </c>
      <c r="H454" s="15">
        <v>43400</v>
      </c>
      <c r="I454" s="13">
        <v>50</v>
      </c>
      <c r="K454" s="12" t="s">
        <v>1224</v>
      </c>
      <c r="L454" s="12" t="s">
        <v>157</v>
      </c>
      <c r="M454" s="15">
        <v>976998</v>
      </c>
      <c r="N454" s="13">
        <v>39</v>
      </c>
    </row>
    <row r="455" spans="1:14">
      <c r="A455" s="12" t="s">
        <v>1225</v>
      </c>
      <c r="B455" s="12" t="s">
        <v>157</v>
      </c>
      <c r="C455" s="15">
        <v>10553</v>
      </c>
      <c r="D455" s="13">
        <v>50</v>
      </c>
      <c r="F455" s="12" t="s">
        <v>1226</v>
      </c>
      <c r="G455" s="12" t="s">
        <v>159</v>
      </c>
      <c r="H455" s="15">
        <v>22500</v>
      </c>
      <c r="I455" s="13">
        <v>50</v>
      </c>
      <c r="K455" s="12" t="s">
        <v>1227</v>
      </c>
      <c r="L455" s="12" t="s">
        <v>157</v>
      </c>
      <c r="M455" s="15">
        <v>683308</v>
      </c>
      <c r="N455" s="13">
        <v>39</v>
      </c>
    </row>
    <row r="456" spans="1:14">
      <c r="A456" s="12" t="s">
        <v>1228</v>
      </c>
      <c r="B456" s="12" t="s">
        <v>157</v>
      </c>
      <c r="C456" s="15">
        <v>10028</v>
      </c>
      <c r="D456" s="13">
        <v>50</v>
      </c>
      <c r="F456" s="12" t="s">
        <v>1229</v>
      </c>
      <c r="G456" s="12" t="s">
        <v>159</v>
      </c>
      <c r="H456" s="15">
        <v>110000</v>
      </c>
      <c r="I456" s="13">
        <v>50</v>
      </c>
      <c r="K456" s="12" t="s">
        <v>1230</v>
      </c>
      <c r="L456" s="12" t="s">
        <v>157</v>
      </c>
      <c r="M456" s="15">
        <v>927378</v>
      </c>
      <c r="N456" s="13">
        <v>39</v>
      </c>
    </row>
    <row r="457" spans="1:14">
      <c r="A457" s="12" t="s">
        <v>1231</v>
      </c>
      <c r="B457" s="12" t="s">
        <v>157</v>
      </c>
      <c r="C457" s="15">
        <v>26003</v>
      </c>
      <c r="D457" s="13">
        <v>50</v>
      </c>
      <c r="F457" s="12" t="s">
        <v>1232</v>
      </c>
      <c r="G457" s="12" t="s">
        <v>157</v>
      </c>
      <c r="H457" s="15">
        <v>17107</v>
      </c>
      <c r="I457" s="13">
        <v>50</v>
      </c>
      <c r="K457" s="12" t="s">
        <v>1233</v>
      </c>
      <c r="L457" s="12" t="s">
        <v>157</v>
      </c>
      <c r="M457" s="15">
        <v>134879</v>
      </c>
      <c r="N457" s="13">
        <v>39</v>
      </c>
    </row>
    <row r="458" spans="1:14">
      <c r="A458" s="12" t="s">
        <v>1234</v>
      </c>
      <c r="B458" s="12" t="s">
        <v>157</v>
      </c>
      <c r="C458" s="15">
        <v>14273</v>
      </c>
      <c r="D458" s="13">
        <v>50</v>
      </c>
      <c r="F458" s="12" t="s">
        <v>1235</v>
      </c>
      <c r="G458" s="12" t="s">
        <v>157</v>
      </c>
      <c r="H458" s="15">
        <v>11944</v>
      </c>
      <c r="I458" s="13">
        <v>50</v>
      </c>
      <c r="K458" s="12" t="s">
        <v>1236</v>
      </c>
      <c r="L458" s="12" t="s">
        <v>157</v>
      </c>
      <c r="M458" s="15">
        <v>567527</v>
      </c>
      <c r="N458" s="13">
        <v>39</v>
      </c>
    </row>
    <row r="459" spans="1:14">
      <c r="A459" s="12" t="s">
        <v>1237</v>
      </c>
      <c r="B459" s="12" t="s">
        <v>157</v>
      </c>
      <c r="C459" s="15">
        <v>23698</v>
      </c>
      <c r="D459" s="13">
        <v>50</v>
      </c>
      <c r="F459" s="12" t="s">
        <v>1238</v>
      </c>
      <c r="G459" s="12" t="s">
        <v>159</v>
      </c>
      <c r="H459" s="15">
        <v>572800</v>
      </c>
      <c r="I459" s="13">
        <v>50</v>
      </c>
      <c r="K459" s="12" t="s">
        <v>1239</v>
      </c>
      <c r="L459" s="12" t="s">
        <v>157</v>
      </c>
      <c r="M459" s="15">
        <v>1878057</v>
      </c>
      <c r="N459" s="13">
        <v>39</v>
      </c>
    </row>
    <row r="460" spans="1:14">
      <c r="A460" s="12" t="s">
        <v>1240</v>
      </c>
      <c r="B460" s="12" t="s">
        <v>157</v>
      </c>
      <c r="C460" s="15">
        <v>113354</v>
      </c>
      <c r="D460" s="13">
        <v>50</v>
      </c>
      <c r="F460" s="12" t="s">
        <v>1241</v>
      </c>
      <c r="G460" s="12" t="s">
        <v>159</v>
      </c>
      <c r="H460" s="15">
        <v>746000</v>
      </c>
      <c r="I460" s="13">
        <v>50</v>
      </c>
      <c r="K460" s="12" t="s">
        <v>1242</v>
      </c>
      <c r="L460" s="12" t="s">
        <v>157</v>
      </c>
      <c r="M460" s="15">
        <v>327524</v>
      </c>
      <c r="N460" s="13">
        <v>39</v>
      </c>
    </row>
    <row r="461" spans="1:14">
      <c r="A461" s="12" t="s">
        <v>1243</v>
      </c>
      <c r="B461" s="12" t="s">
        <v>157</v>
      </c>
      <c r="C461" s="15">
        <v>34208</v>
      </c>
      <c r="D461" s="13">
        <v>50</v>
      </c>
      <c r="F461" s="12" t="s">
        <v>1244</v>
      </c>
      <c r="G461" s="12" t="s">
        <v>159</v>
      </c>
      <c r="H461" s="15">
        <v>28100</v>
      </c>
      <c r="I461" s="13">
        <v>50</v>
      </c>
      <c r="K461" s="12" t="s">
        <v>1245</v>
      </c>
      <c r="L461" s="12" t="s">
        <v>157</v>
      </c>
      <c r="M461" s="15">
        <v>178279</v>
      </c>
      <c r="N461" s="13">
        <v>39</v>
      </c>
    </row>
    <row r="462" spans="1:14">
      <c r="A462" s="12" t="s">
        <v>1246</v>
      </c>
      <c r="B462" s="12" t="s">
        <v>157</v>
      </c>
      <c r="C462" s="15">
        <v>15395</v>
      </c>
      <c r="D462" s="13">
        <v>50</v>
      </c>
      <c r="F462" s="12" t="s">
        <v>1247</v>
      </c>
      <c r="G462" s="12" t="s">
        <v>157</v>
      </c>
      <c r="H462" s="15">
        <v>27755</v>
      </c>
      <c r="I462" s="13">
        <v>50</v>
      </c>
      <c r="K462" s="12" t="s">
        <v>1248</v>
      </c>
      <c r="L462" s="12" t="s">
        <v>157</v>
      </c>
      <c r="M462" s="15">
        <v>286029</v>
      </c>
      <c r="N462" s="13">
        <v>39</v>
      </c>
    </row>
    <row r="463" spans="1:14">
      <c r="A463" s="12" t="s">
        <v>1249</v>
      </c>
      <c r="B463" s="12" t="s">
        <v>157</v>
      </c>
      <c r="C463" s="15">
        <v>21037</v>
      </c>
      <c r="D463" s="13">
        <v>50</v>
      </c>
      <c r="F463" s="12" t="s">
        <v>1250</v>
      </c>
      <c r="G463" s="12" t="s">
        <v>157</v>
      </c>
      <c r="H463" s="15">
        <v>14185</v>
      </c>
      <c r="I463" s="13">
        <v>50</v>
      </c>
      <c r="K463" s="12" t="s">
        <v>1251</v>
      </c>
      <c r="L463" s="12" t="s">
        <v>157</v>
      </c>
      <c r="M463" s="15">
        <v>106287</v>
      </c>
      <c r="N463" s="13">
        <v>39</v>
      </c>
    </row>
    <row r="464" spans="1:14">
      <c r="A464" s="12" t="s">
        <v>1252</v>
      </c>
      <c r="B464" s="12" t="s">
        <v>157</v>
      </c>
      <c r="C464" s="15">
        <v>14584</v>
      </c>
      <c r="D464" s="13">
        <v>50</v>
      </c>
      <c r="F464" s="12" t="s">
        <v>1253</v>
      </c>
      <c r="G464" s="12" t="s">
        <v>157</v>
      </c>
      <c r="H464" s="15">
        <v>24133</v>
      </c>
      <c r="I464" s="13">
        <v>50</v>
      </c>
      <c r="K464" s="12" t="s">
        <v>1254</v>
      </c>
      <c r="L464" s="12" t="s">
        <v>157</v>
      </c>
      <c r="M464" s="15">
        <v>271497</v>
      </c>
      <c r="N464" s="13">
        <v>39</v>
      </c>
    </row>
    <row r="465" spans="1:14">
      <c r="A465" s="12" t="s">
        <v>1255</v>
      </c>
      <c r="B465" s="12" t="s">
        <v>157</v>
      </c>
      <c r="C465" s="15">
        <v>16757</v>
      </c>
      <c r="D465" s="13">
        <v>50</v>
      </c>
      <c r="F465" s="12" t="s">
        <v>1256</v>
      </c>
      <c r="G465" s="12" t="s">
        <v>159</v>
      </c>
      <c r="H465" s="15">
        <v>17800</v>
      </c>
      <c r="I465" s="13">
        <v>50</v>
      </c>
      <c r="K465" s="12" t="s">
        <v>1257</v>
      </c>
      <c r="L465" s="12" t="s">
        <v>157</v>
      </c>
      <c r="M465" s="15">
        <v>1776337</v>
      </c>
      <c r="N465" s="13">
        <v>39</v>
      </c>
    </row>
    <row r="466" spans="1:14">
      <c r="A466" s="12" t="s">
        <v>1258</v>
      </c>
      <c r="B466" s="12" t="s">
        <v>157</v>
      </c>
      <c r="C466" s="15">
        <v>15992</v>
      </c>
      <c r="D466" s="13">
        <v>50</v>
      </c>
      <c r="F466" s="12" t="s">
        <v>1259</v>
      </c>
      <c r="G466" s="12" t="s">
        <v>159</v>
      </c>
      <c r="H466" s="15">
        <v>19800</v>
      </c>
      <c r="I466" s="13">
        <v>50</v>
      </c>
      <c r="K466" s="12" t="s">
        <v>1260</v>
      </c>
      <c r="L466" s="12" t="s">
        <v>159</v>
      </c>
      <c r="M466" s="15">
        <v>257000</v>
      </c>
      <c r="N466" s="13">
        <v>38</v>
      </c>
    </row>
    <row r="467" spans="1:14">
      <c r="A467" s="12" t="s">
        <v>1261</v>
      </c>
      <c r="B467" s="12" t="s">
        <v>157</v>
      </c>
      <c r="C467" s="15">
        <v>11269</v>
      </c>
      <c r="D467" s="13">
        <v>50</v>
      </c>
      <c r="F467" s="12" t="s">
        <v>1262</v>
      </c>
      <c r="G467" s="12" t="s">
        <v>157</v>
      </c>
      <c r="H467" s="15">
        <v>16650</v>
      </c>
      <c r="I467" s="13">
        <v>50</v>
      </c>
      <c r="K467" s="12" t="s">
        <v>1263</v>
      </c>
      <c r="L467" s="12" t="s">
        <v>157</v>
      </c>
      <c r="M467" s="15">
        <v>221080</v>
      </c>
      <c r="N467" s="13">
        <v>38</v>
      </c>
    </row>
    <row r="468" spans="1:14">
      <c r="A468" s="12" t="s">
        <v>1264</v>
      </c>
      <c r="B468" s="12" t="s">
        <v>157</v>
      </c>
      <c r="C468" s="15">
        <v>30554</v>
      </c>
      <c r="D468" s="13">
        <v>50</v>
      </c>
      <c r="F468" s="12" t="s">
        <v>1265</v>
      </c>
      <c r="G468" s="12" t="s">
        <v>159</v>
      </c>
      <c r="H468" s="15">
        <v>93500</v>
      </c>
      <c r="I468" s="13">
        <v>50</v>
      </c>
      <c r="K468" s="12" t="s">
        <v>1266</v>
      </c>
      <c r="L468" s="12" t="s">
        <v>157</v>
      </c>
      <c r="M468" s="15">
        <v>341411</v>
      </c>
      <c r="N468" s="13">
        <v>38</v>
      </c>
    </row>
    <row r="469" spans="1:14">
      <c r="A469" s="12" t="s">
        <v>1267</v>
      </c>
      <c r="B469" s="12" t="s">
        <v>157</v>
      </c>
      <c r="C469" s="15">
        <v>31795</v>
      </c>
      <c r="D469" s="13">
        <v>50</v>
      </c>
      <c r="F469" s="12" t="s">
        <v>701</v>
      </c>
      <c r="G469" s="12" t="s">
        <v>157</v>
      </c>
      <c r="H469" s="15">
        <v>16344</v>
      </c>
      <c r="I469" s="13">
        <v>50</v>
      </c>
      <c r="K469" s="12" t="s">
        <v>1268</v>
      </c>
      <c r="L469" s="12" t="s">
        <v>159</v>
      </c>
      <c r="M469" s="15">
        <v>316100</v>
      </c>
      <c r="N469" s="13">
        <v>38</v>
      </c>
    </row>
    <row r="470" spans="1:14">
      <c r="A470" s="12" t="s">
        <v>1269</v>
      </c>
      <c r="B470" s="12" t="s">
        <v>157</v>
      </c>
      <c r="C470" s="15">
        <v>17690</v>
      </c>
      <c r="D470" s="13">
        <v>50</v>
      </c>
      <c r="F470" s="12" t="s">
        <v>1270</v>
      </c>
      <c r="G470" s="12" t="s">
        <v>157</v>
      </c>
      <c r="H470" s="15">
        <v>12608</v>
      </c>
      <c r="I470" s="13">
        <v>50</v>
      </c>
      <c r="K470" s="12" t="s">
        <v>636</v>
      </c>
      <c r="L470" s="12" t="s">
        <v>157</v>
      </c>
      <c r="M470" s="15">
        <v>151397</v>
      </c>
      <c r="N470" s="13">
        <v>38</v>
      </c>
    </row>
    <row r="471" spans="1:14">
      <c r="A471" s="12" t="s">
        <v>1271</v>
      </c>
      <c r="B471" s="12" t="s">
        <v>157</v>
      </c>
      <c r="C471" s="15">
        <v>29871</v>
      </c>
      <c r="D471" s="13">
        <v>50</v>
      </c>
      <c r="F471" s="12" t="s">
        <v>1272</v>
      </c>
      <c r="G471" s="12" t="s">
        <v>157</v>
      </c>
      <c r="H471" s="15">
        <v>11077</v>
      </c>
      <c r="I471" s="13">
        <v>50</v>
      </c>
      <c r="K471" s="12" t="s">
        <v>1273</v>
      </c>
      <c r="L471" s="12" t="s">
        <v>157</v>
      </c>
      <c r="M471" s="15">
        <v>239826</v>
      </c>
      <c r="N471" s="13">
        <v>38</v>
      </c>
    </row>
    <row r="472" spans="1:14">
      <c r="A472" s="12" t="s">
        <v>1274</v>
      </c>
      <c r="B472" s="12" t="s">
        <v>157</v>
      </c>
      <c r="C472" s="15">
        <v>20058</v>
      </c>
      <c r="D472" s="13">
        <v>50</v>
      </c>
      <c r="F472" s="12" t="s">
        <v>1275</v>
      </c>
      <c r="G472" s="12" t="s">
        <v>159</v>
      </c>
      <c r="H472" s="15">
        <v>439600</v>
      </c>
      <c r="I472" s="13">
        <v>50</v>
      </c>
      <c r="K472" s="12" t="s">
        <v>1276</v>
      </c>
      <c r="L472" s="12" t="s">
        <v>157</v>
      </c>
      <c r="M472" s="15">
        <v>106722</v>
      </c>
      <c r="N472" s="13">
        <v>38</v>
      </c>
    </row>
    <row r="473" spans="1:14">
      <c r="A473" s="12" t="s">
        <v>1277</v>
      </c>
      <c r="B473" s="12" t="s">
        <v>157</v>
      </c>
      <c r="C473" s="15">
        <v>10120</v>
      </c>
      <c r="D473" s="13">
        <v>50</v>
      </c>
      <c r="F473" s="12" t="s">
        <v>1278</v>
      </c>
      <c r="G473" s="12" t="s">
        <v>159</v>
      </c>
      <c r="H473" s="15">
        <v>1100000</v>
      </c>
      <c r="I473" s="13">
        <v>50</v>
      </c>
      <c r="K473" s="12" t="s">
        <v>1279</v>
      </c>
      <c r="L473" s="12" t="s">
        <v>159</v>
      </c>
      <c r="M473" s="15">
        <v>876600</v>
      </c>
      <c r="N473" s="13">
        <v>38</v>
      </c>
    </row>
    <row r="474" spans="1:14">
      <c r="A474" s="12" t="s">
        <v>1280</v>
      </c>
      <c r="B474" s="12" t="s">
        <v>157</v>
      </c>
      <c r="C474" s="15">
        <v>22235</v>
      </c>
      <c r="D474" s="13">
        <v>50</v>
      </c>
      <c r="F474" s="12" t="s">
        <v>703</v>
      </c>
      <c r="G474" s="12" t="s">
        <v>157</v>
      </c>
      <c r="H474" s="15">
        <v>28715</v>
      </c>
      <c r="I474" s="13">
        <v>50</v>
      </c>
      <c r="K474" s="12" t="s">
        <v>1281</v>
      </c>
      <c r="L474" s="12" t="s">
        <v>159</v>
      </c>
      <c r="M474" s="15">
        <v>199200</v>
      </c>
      <c r="N474" s="13">
        <v>38</v>
      </c>
    </row>
    <row r="475" spans="1:14">
      <c r="A475" s="12" t="s">
        <v>1282</v>
      </c>
      <c r="B475" s="12" t="s">
        <v>157</v>
      </c>
      <c r="C475" s="15">
        <v>30363</v>
      </c>
      <c r="D475" s="13">
        <v>50</v>
      </c>
      <c r="F475" s="12" t="s">
        <v>1283</v>
      </c>
      <c r="G475" s="12" t="s">
        <v>157</v>
      </c>
      <c r="H475" s="15">
        <v>20084</v>
      </c>
      <c r="I475" s="13">
        <v>50</v>
      </c>
      <c r="K475" s="12" t="s">
        <v>1284</v>
      </c>
      <c r="L475" s="12" t="s">
        <v>157</v>
      </c>
      <c r="M475" s="15">
        <v>312384</v>
      </c>
      <c r="N475" s="13">
        <v>38</v>
      </c>
    </row>
    <row r="476" spans="1:14">
      <c r="A476" s="12" t="s">
        <v>1285</v>
      </c>
      <c r="B476" s="12" t="s">
        <v>157</v>
      </c>
      <c r="C476" s="15">
        <v>31259</v>
      </c>
      <c r="D476" s="13">
        <v>50</v>
      </c>
      <c r="F476" s="12" t="s">
        <v>1286</v>
      </c>
      <c r="G476" s="12" t="s">
        <v>159</v>
      </c>
      <c r="H476" s="15">
        <v>550900</v>
      </c>
      <c r="I476" s="13">
        <v>50</v>
      </c>
      <c r="K476" s="12" t="s">
        <v>1287</v>
      </c>
      <c r="L476" s="12" t="s">
        <v>157</v>
      </c>
      <c r="M476" s="15">
        <v>106920</v>
      </c>
      <c r="N476" s="13">
        <v>38</v>
      </c>
    </row>
    <row r="477" spans="1:14">
      <c r="A477" s="12" t="s">
        <v>1288</v>
      </c>
      <c r="B477" s="12" t="s">
        <v>157</v>
      </c>
      <c r="C477" s="15">
        <v>34700</v>
      </c>
      <c r="D477" s="13">
        <v>50</v>
      </c>
      <c r="F477" s="12" t="s">
        <v>705</v>
      </c>
      <c r="G477" s="12" t="s">
        <v>157</v>
      </c>
      <c r="H477" s="15">
        <v>19928</v>
      </c>
      <c r="I477" s="13">
        <v>50</v>
      </c>
      <c r="K477" s="12" t="s">
        <v>1289</v>
      </c>
      <c r="L477" s="12" t="s">
        <v>157</v>
      </c>
      <c r="M477" s="15">
        <v>276007</v>
      </c>
      <c r="N477" s="13">
        <v>38</v>
      </c>
    </row>
    <row r="478" spans="1:14">
      <c r="A478" s="12" t="s">
        <v>1290</v>
      </c>
      <c r="B478" s="12" t="s">
        <v>157</v>
      </c>
      <c r="C478" s="15">
        <v>10991</v>
      </c>
      <c r="D478" s="13">
        <v>50</v>
      </c>
      <c r="F478" s="12" t="s">
        <v>1291</v>
      </c>
      <c r="G478" s="12" t="s">
        <v>159</v>
      </c>
      <c r="H478" s="15">
        <v>103100</v>
      </c>
      <c r="I478" s="13">
        <v>50</v>
      </c>
      <c r="K478" s="12" t="s">
        <v>1292</v>
      </c>
      <c r="L478" s="12" t="s">
        <v>159</v>
      </c>
      <c r="M478" s="15">
        <v>109300</v>
      </c>
      <c r="N478" s="13">
        <v>38</v>
      </c>
    </row>
    <row r="479" spans="1:14">
      <c r="A479" s="12" t="s">
        <v>1293</v>
      </c>
      <c r="B479" s="12" t="s">
        <v>157</v>
      </c>
      <c r="C479" s="15">
        <v>16741</v>
      </c>
      <c r="D479" s="13">
        <v>50</v>
      </c>
      <c r="F479" s="12" t="s">
        <v>1294</v>
      </c>
      <c r="G479" s="12" t="s">
        <v>159</v>
      </c>
      <c r="H479" s="15">
        <v>28800</v>
      </c>
      <c r="I479" s="13">
        <v>50</v>
      </c>
      <c r="K479" s="12" t="s">
        <v>1295</v>
      </c>
      <c r="L479" s="12" t="s">
        <v>157</v>
      </c>
      <c r="M479" s="15">
        <v>208046</v>
      </c>
      <c r="N479" s="13">
        <v>38</v>
      </c>
    </row>
    <row r="480" spans="1:14">
      <c r="A480" s="12" t="s">
        <v>1296</v>
      </c>
      <c r="B480" s="12" t="s">
        <v>157</v>
      </c>
      <c r="C480" s="15">
        <v>10996</v>
      </c>
      <c r="D480" s="13">
        <v>50</v>
      </c>
      <c r="F480" s="12" t="s">
        <v>708</v>
      </c>
      <c r="G480" s="12" t="s">
        <v>157</v>
      </c>
      <c r="H480" s="15">
        <v>13388</v>
      </c>
      <c r="I480" s="13">
        <v>50</v>
      </c>
      <c r="K480" s="12" t="s">
        <v>1297</v>
      </c>
      <c r="L480" s="12" t="s">
        <v>157</v>
      </c>
      <c r="M480" s="15">
        <v>225500</v>
      </c>
      <c r="N480" s="13">
        <v>38</v>
      </c>
    </row>
    <row r="481" spans="1:14">
      <c r="A481" s="12" t="s">
        <v>1298</v>
      </c>
      <c r="B481" s="12" t="s">
        <v>157</v>
      </c>
      <c r="C481" s="15">
        <v>11670</v>
      </c>
      <c r="D481" s="13">
        <v>50</v>
      </c>
      <c r="F481" s="12" t="s">
        <v>1299</v>
      </c>
      <c r="G481" s="12" t="s">
        <v>159</v>
      </c>
      <c r="H481" s="15">
        <v>15600</v>
      </c>
      <c r="I481" s="13">
        <v>50</v>
      </c>
      <c r="K481" s="12" t="s">
        <v>1300</v>
      </c>
      <c r="L481" s="12" t="s">
        <v>157</v>
      </c>
      <c r="M481" s="15">
        <v>211019</v>
      </c>
      <c r="N481" s="13">
        <v>38</v>
      </c>
    </row>
    <row r="482" spans="1:14">
      <c r="A482" s="12" t="s">
        <v>1301</v>
      </c>
      <c r="B482" s="12" t="s">
        <v>157</v>
      </c>
      <c r="C482" s="15">
        <v>20681</v>
      </c>
      <c r="D482" s="13">
        <v>50</v>
      </c>
      <c r="F482" s="12" t="s">
        <v>1302</v>
      </c>
      <c r="G482" s="12" t="s">
        <v>159</v>
      </c>
      <c r="H482" s="15">
        <v>63400</v>
      </c>
      <c r="I482" s="13">
        <v>50</v>
      </c>
      <c r="K482" s="12" t="s">
        <v>1303</v>
      </c>
      <c r="L482" s="12" t="s">
        <v>157</v>
      </c>
      <c r="M482" s="15">
        <v>122155</v>
      </c>
      <c r="N482" s="13">
        <v>38</v>
      </c>
    </row>
    <row r="483" spans="1:14">
      <c r="A483" s="12" t="s">
        <v>1304</v>
      </c>
      <c r="B483" s="12" t="s">
        <v>157</v>
      </c>
      <c r="C483" s="15">
        <v>11924</v>
      </c>
      <c r="D483" s="13">
        <v>50</v>
      </c>
      <c r="F483" s="12" t="s">
        <v>710</v>
      </c>
      <c r="G483" s="12" t="s">
        <v>157</v>
      </c>
      <c r="H483" s="15">
        <v>24312</v>
      </c>
      <c r="I483" s="13">
        <v>50</v>
      </c>
      <c r="K483" s="12" t="s">
        <v>1305</v>
      </c>
      <c r="L483" s="12" t="s">
        <v>159</v>
      </c>
      <c r="M483" s="15">
        <v>176100</v>
      </c>
      <c r="N483" s="13">
        <v>38</v>
      </c>
    </row>
    <row r="484" spans="1:14">
      <c r="A484" s="12" t="s">
        <v>1306</v>
      </c>
      <c r="B484" s="12" t="s">
        <v>157</v>
      </c>
      <c r="C484" s="15">
        <v>15911</v>
      </c>
      <c r="D484" s="13">
        <v>50</v>
      </c>
      <c r="F484" s="12" t="s">
        <v>1307</v>
      </c>
      <c r="G484" s="12" t="s">
        <v>159</v>
      </c>
      <c r="H484" s="15">
        <v>51700</v>
      </c>
      <c r="I484" s="13">
        <v>50</v>
      </c>
      <c r="K484" s="12" t="s">
        <v>1308</v>
      </c>
      <c r="L484" s="12" t="s">
        <v>159</v>
      </c>
      <c r="M484" s="15">
        <v>770000</v>
      </c>
      <c r="N484" s="13">
        <v>38</v>
      </c>
    </row>
    <row r="485" spans="1:14">
      <c r="A485" s="12" t="s">
        <v>1309</v>
      </c>
      <c r="B485" s="12" t="s">
        <v>157</v>
      </c>
      <c r="C485" s="15">
        <v>30179</v>
      </c>
      <c r="D485" s="13">
        <v>50</v>
      </c>
      <c r="F485" s="12" t="s">
        <v>1310</v>
      </c>
      <c r="G485" s="12" t="s">
        <v>159</v>
      </c>
      <c r="H485" s="15">
        <v>93500</v>
      </c>
      <c r="I485" s="13">
        <v>50</v>
      </c>
      <c r="K485" s="12" t="s">
        <v>1311</v>
      </c>
      <c r="L485" s="12" t="s">
        <v>157</v>
      </c>
      <c r="M485" s="15">
        <v>267982</v>
      </c>
      <c r="N485" s="13">
        <v>38</v>
      </c>
    </row>
    <row r="486" spans="1:14">
      <c r="A486" s="12" t="s">
        <v>1312</v>
      </c>
      <c r="B486" s="12" t="s">
        <v>157</v>
      </c>
      <c r="C486" s="15">
        <v>11441</v>
      </c>
      <c r="D486" s="13">
        <v>50</v>
      </c>
      <c r="F486" s="12" t="s">
        <v>1313</v>
      </c>
      <c r="G486" s="12" t="s">
        <v>159</v>
      </c>
      <c r="H486" s="15">
        <v>426900</v>
      </c>
      <c r="I486" s="13">
        <v>50</v>
      </c>
      <c r="K486" s="12" t="s">
        <v>1314</v>
      </c>
      <c r="L486" s="12" t="s">
        <v>157</v>
      </c>
      <c r="M486" s="15">
        <v>208540</v>
      </c>
      <c r="N486" s="13">
        <v>38</v>
      </c>
    </row>
    <row r="487" spans="1:14">
      <c r="A487" s="12" t="s">
        <v>1315</v>
      </c>
      <c r="B487" s="12" t="s">
        <v>157</v>
      </c>
      <c r="C487" s="15">
        <v>13158</v>
      </c>
      <c r="D487" s="13">
        <v>50</v>
      </c>
      <c r="F487" s="12" t="s">
        <v>1316</v>
      </c>
      <c r="G487" s="12" t="s">
        <v>159</v>
      </c>
      <c r="H487" s="15">
        <v>96700</v>
      </c>
      <c r="I487" s="13">
        <v>50</v>
      </c>
      <c r="K487" s="12" t="s">
        <v>1317</v>
      </c>
      <c r="L487" s="12" t="s">
        <v>157</v>
      </c>
      <c r="M487" s="15">
        <v>104408</v>
      </c>
      <c r="N487" s="13">
        <v>38</v>
      </c>
    </row>
    <row r="488" spans="1:14">
      <c r="A488" s="12" t="s">
        <v>1318</v>
      </c>
      <c r="B488" s="12" t="s">
        <v>157</v>
      </c>
      <c r="C488" s="15">
        <v>11782</v>
      </c>
      <c r="D488" s="13">
        <v>50</v>
      </c>
      <c r="F488" s="12" t="s">
        <v>1319</v>
      </c>
      <c r="G488" s="12" t="s">
        <v>159</v>
      </c>
      <c r="H488" s="15">
        <v>68100</v>
      </c>
      <c r="I488" s="13">
        <v>50</v>
      </c>
      <c r="K488" s="12" t="s">
        <v>1320</v>
      </c>
      <c r="L488" s="12" t="s">
        <v>159</v>
      </c>
      <c r="M488" s="15">
        <v>174200</v>
      </c>
      <c r="N488" s="13">
        <v>37</v>
      </c>
    </row>
    <row r="489" spans="1:14">
      <c r="A489" s="12" t="s">
        <v>1321</v>
      </c>
      <c r="B489" s="12" t="s">
        <v>157</v>
      </c>
      <c r="C489" s="15">
        <v>10045</v>
      </c>
      <c r="D489" s="13">
        <v>50</v>
      </c>
      <c r="F489" s="12" t="s">
        <v>1322</v>
      </c>
      <c r="G489" s="12" t="s">
        <v>159</v>
      </c>
      <c r="H489" s="15">
        <v>995900</v>
      </c>
      <c r="I489" s="13">
        <v>50</v>
      </c>
      <c r="K489" s="12" t="s">
        <v>1323</v>
      </c>
      <c r="L489" s="12" t="s">
        <v>159</v>
      </c>
      <c r="M489" s="15">
        <v>985900</v>
      </c>
      <c r="N489" s="13">
        <v>37</v>
      </c>
    </row>
    <row r="490" spans="1:14">
      <c r="A490" s="12" t="s">
        <v>1324</v>
      </c>
      <c r="B490" s="12" t="s">
        <v>157</v>
      </c>
      <c r="C490" s="15">
        <v>20560</v>
      </c>
      <c r="D490" s="13">
        <v>50</v>
      </c>
      <c r="F490" s="12" t="s">
        <v>712</v>
      </c>
      <c r="G490" s="12" t="s">
        <v>157</v>
      </c>
      <c r="H490" s="15">
        <v>10339</v>
      </c>
      <c r="I490" s="13">
        <v>50</v>
      </c>
      <c r="K490" s="12" t="s">
        <v>1325</v>
      </c>
      <c r="L490" s="12" t="s">
        <v>157</v>
      </c>
      <c r="M490" s="15">
        <v>239094</v>
      </c>
      <c r="N490" s="13">
        <v>37</v>
      </c>
    </row>
    <row r="491" spans="1:14">
      <c r="A491" s="12" t="s">
        <v>1326</v>
      </c>
      <c r="B491" s="12" t="s">
        <v>157</v>
      </c>
      <c r="C491" s="15">
        <v>12674</v>
      </c>
      <c r="D491" s="13">
        <v>50</v>
      </c>
      <c r="F491" s="12" t="s">
        <v>713</v>
      </c>
      <c r="G491" s="12" t="s">
        <v>157</v>
      </c>
      <c r="H491" s="15">
        <v>15648</v>
      </c>
      <c r="I491" s="13">
        <v>50</v>
      </c>
      <c r="K491" s="12" t="s">
        <v>1327</v>
      </c>
      <c r="L491" s="12" t="s">
        <v>157</v>
      </c>
      <c r="M491" s="15">
        <v>106287</v>
      </c>
      <c r="N491" s="13">
        <v>37</v>
      </c>
    </row>
    <row r="492" spans="1:14">
      <c r="A492" s="12" t="s">
        <v>1328</v>
      </c>
      <c r="B492" s="12" t="s">
        <v>157</v>
      </c>
      <c r="C492" s="15">
        <v>26259</v>
      </c>
      <c r="D492" s="13">
        <v>50</v>
      </c>
      <c r="F492" s="12" t="s">
        <v>1329</v>
      </c>
      <c r="G492" s="12" t="s">
        <v>159</v>
      </c>
      <c r="H492" s="15">
        <v>10200</v>
      </c>
      <c r="I492" s="13">
        <v>50</v>
      </c>
      <c r="K492" s="12" t="s">
        <v>1330</v>
      </c>
      <c r="L492" s="12" t="s">
        <v>157</v>
      </c>
      <c r="M492" s="15">
        <v>841376</v>
      </c>
      <c r="N492" s="13">
        <v>37</v>
      </c>
    </row>
    <row r="493" spans="1:14">
      <c r="A493" s="12" t="s">
        <v>1331</v>
      </c>
      <c r="B493" s="12" t="s">
        <v>157</v>
      </c>
      <c r="C493" s="15">
        <v>17675</v>
      </c>
      <c r="D493" s="13">
        <v>50</v>
      </c>
      <c r="F493" s="12" t="s">
        <v>1332</v>
      </c>
      <c r="G493" s="12" t="s">
        <v>157</v>
      </c>
      <c r="H493" s="15">
        <v>11047</v>
      </c>
      <c r="I493" s="13">
        <v>50</v>
      </c>
      <c r="K493" s="12" t="s">
        <v>1333</v>
      </c>
      <c r="L493" s="12" t="s">
        <v>159</v>
      </c>
      <c r="M493" s="15">
        <v>632200</v>
      </c>
      <c r="N493" s="13">
        <v>37</v>
      </c>
    </row>
    <row r="494" spans="1:14">
      <c r="A494" s="12" t="s">
        <v>1334</v>
      </c>
      <c r="B494" s="12" t="s">
        <v>157</v>
      </c>
      <c r="C494" s="15">
        <v>17500</v>
      </c>
      <c r="D494" s="13">
        <v>50</v>
      </c>
      <c r="F494" s="12" t="s">
        <v>1335</v>
      </c>
      <c r="G494" s="12" t="s">
        <v>159</v>
      </c>
      <c r="H494" s="15">
        <v>153000</v>
      </c>
      <c r="I494" s="13">
        <v>50</v>
      </c>
      <c r="K494" s="12" t="s">
        <v>1336</v>
      </c>
      <c r="L494" s="12" t="s">
        <v>157</v>
      </c>
      <c r="M494" s="15">
        <v>12292815</v>
      </c>
      <c r="N494" s="13">
        <v>37</v>
      </c>
    </row>
    <row r="495" spans="1:14">
      <c r="A495" s="12" t="s">
        <v>1337</v>
      </c>
      <c r="B495" s="12" t="s">
        <v>157</v>
      </c>
      <c r="C495" s="15">
        <v>10735</v>
      </c>
      <c r="D495" s="13">
        <v>50</v>
      </c>
      <c r="F495" s="12" t="s">
        <v>1338</v>
      </c>
      <c r="G495" s="12" t="s">
        <v>159</v>
      </c>
      <c r="H495" s="15">
        <v>32800</v>
      </c>
      <c r="I495" s="13">
        <v>50</v>
      </c>
      <c r="K495" s="12" t="s">
        <v>1339</v>
      </c>
      <c r="L495" s="12" t="s">
        <v>157</v>
      </c>
      <c r="M495" s="15">
        <v>140211</v>
      </c>
      <c r="N495" s="13">
        <v>37</v>
      </c>
    </row>
    <row r="496" spans="1:14">
      <c r="A496" s="12" t="s">
        <v>1340</v>
      </c>
      <c r="B496" s="12" t="s">
        <v>157</v>
      </c>
      <c r="C496" s="15">
        <v>15137</v>
      </c>
      <c r="D496" s="13">
        <v>50</v>
      </c>
      <c r="F496" s="12" t="s">
        <v>1341</v>
      </c>
      <c r="G496" s="12" t="s">
        <v>159</v>
      </c>
      <c r="H496" s="15">
        <v>181100</v>
      </c>
      <c r="I496" s="13">
        <v>50</v>
      </c>
      <c r="K496" s="12" t="s">
        <v>1342</v>
      </c>
      <c r="L496" s="12" t="s">
        <v>157</v>
      </c>
      <c r="M496" s="15">
        <v>3954716</v>
      </c>
      <c r="N496" s="13">
        <v>37</v>
      </c>
    </row>
    <row r="497" spans="1:14">
      <c r="A497" s="12" t="s">
        <v>1343</v>
      </c>
      <c r="B497" s="12" t="s">
        <v>157</v>
      </c>
      <c r="C497" s="15">
        <v>11385</v>
      </c>
      <c r="D497" s="13">
        <v>50</v>
      </c>
      <c r="F497" s="12" t="s">
        <v>1344</v>
      </c>
      <c r="G497" s="12" t="s">
        <v>159</v>
      </c>
      <c r="H497" s="15">
        <v>89400</v>
      </c>
      <c r="I497" s="13">
        <v>50</v>
      </c>
      <c r="K497" s="12" t="s">
        <v>1345</v>
      </c>
      <c r="L497" s="12" t="s">
        <v>157</v>
      </c>
      <c r="M497" s="15">
        <v>544484</v>
      </c>
      <c r="N497" s="13">
        <v>37</v>
      </c>
    </row>
    <row r="498" spans="1:14">
      <c r="A498" s="12" t="s">
        <v>1346</v>
      </c>
      <c r="B498" s="12" t="s">
        <v>157</v>
      </c>
      <c r="C498" s="15">
        <v>12174</v>
      </c>
      <c r="D498" s="13">
        <v>50</v>
      </c>
      <c r="F498" s="12" t="s">
        <v>1347</v>
      </c>
      <c r="G498" s="12" t="s">
        <v>159</v>
      </c>
      <c r="H498" s="15">
        <v>229000</v>
      </c>
      <c r="I498" s="13">
        <v>50</v>
      </c>
      <c r="K498" s="12" t="s">
        <v>624</v>
      </c>
      <c r="L498" s="12" t="s">
        <v>157</v>
      </c>
      <c r="M498" s="15">
        <v>125925</v>
      </c>
      <c r="N498" s="13">
        <v>37</v>
      </c>
    </row>
    <row r="499" spans="1:14">
      <c r="A499" s="12" t="s">
        <v>1348</v>
      </c>
      <c r="B499" s="12" t="s">
        <v>157</v>
      </c>
      <c r="C499" s="15">
        <v>14288</v>
      </c>
      <c r="D499" s="13">
        <v>50</v>
      </c>
      <c r="F499" s="12" t="s">
        <v>1349</v>
      </c>
      <c r="G499" s="12" t="s">
        <v>157</v>
      </c>
      <c r="H499" s="15">
        <v>19893</v>
      </c>
      <c r="I499" s="13">
        <v>50</v>
      </c>
      <c r="K499" s="12" t="s">
        <v>1350</v>
      </c>
      <c r="L499" s="12" t="s">
        <v>159</v>
      </c>
      <c r="M499" s="15">
        <v>167800</v>
      </c>
      <c r="N499" s="13">
        <v>37</v>
      </c>
    </row>
    <row r="500" spans="1:14">
      <c r="A500" s="12" t="s">
        <v>1351</v>
      </c>
      <c r="B500" s="12" t="s">
        <v>157</v>
      </c>
      <c r="C500" s="15">
        <v>10977</v>
      </c>
      <c r="D500" s="13">
        <v>50</v>
      </c>
      <c r="F500" s="12" t="s">
        <v>1352</v>
      </c>
      <c r="G500" s="12" t="s">
        <v>157</v>
      </c>
      <c r="H500" s="15">
        <v>10115</v>
      </c>
      <c r="I500" s="13">
        <v>50</v>
      </c>
      <c r="K500" s="12" t="s">
        <v>1353</v>
      </c>
      <c r="L500" s="12" t="s">
        <v>157</v>
      </c>
      <c r="M500" s="15">
        <v>129309</v>
      </c>
      <c r="N500" s="13">
        <v>37</v>
      </c>
    </row>
    <row r="501" spans="1:14">
      <c r="A501" s="12" t="s">
        <v>1354</v>
      </c>
      <c r="B501" s="12" t="s">
        <v>157</v>
      </c>
      <c r="C501" s="15">
        <v>25400</v>
      </c>
      <c r="D501" s="13">
        <v>50</v>
      </c>
      <c r="F501" s="12" t="s">
        <v>1355</v>
      </c>
      <c r="G501" s="12" t="s">
        <v>157</v>
      </c>
      <c r="H501" s="15">
        <v>18838</v>
      </c>
      <c r="I501" s="13">
        <v>50</v>
      </c>
      <c r="K501" s="12" t="s">
        <v>1356</v>
      </c>
      <c r="L501" s="12" t="s">
        <v>157</v>
      </c>
      <c r="M501" s="15">
        <v>146280</v>
      </c>
      <c r="N501" s="13">
        <v>37</v>
      </c>
    </row>
    <row r="502" spans="1:14">
      <c r="A502" s="12" t="s">
        <v>1357</v>
      </c>
      <c r="B502" s="12" t="s">
        <v>157</v>
      </c>
      <c r="C502" s="15">
        <v>22126</v>
      </c>
      <c r="D502" s="13">
        <v>50</v>
      </c>
      <c r="F502" s="12" t="s">
        <v>1358</v>
      </c>
      <c r="G502" s="12" t="s">
        <v>159</v>
      </c>
      <c r="H502" s="15">
        <v>11100</v>
      </c>
      <c r="I502" s="13">
        <v>50</v>
      </c>
      <c r="K502" s="12" t="s">
        <v>1359</v>
      </c>
      <c r="L502" s="12" t="s">
        <v>157</v>
      </c>
      <c r="M502" s="15">
        <v>171905</v>
      </c>
      <c r="N502" s="13">
        <v>37</v>
      </c>
    </row>
    <row r="503" spans="1:14">
      <c r="A503" s="12" t="s">
        <v>1360</v>
      </c>
      <c r="B503" s="12" t="s">
        <v>157</v>
      </c>
      <c r="C503" s="15">
        <v>22193</v>
      </c>
      <c r="D503" s="13">
        <v>50</v>
      </c>
      <c r="F503" s="12" t="s">
        <v>1361</v>
      </c>
      <c r="G503" s="12" t="s">
        <v>159</v>
      </c>
      <c r="H503" s="15">
        <v>56000</v>
      </c>
      <c r="I503" s="13">
        <v>50</v>
      </c>
      <c r="K503" s="12" t="s">
        <v>1362</v>
      </c>
      <c r="L503" s="12" t="s">
        <v>159</v>
      </c>
      <c r="M503" s="15">
        <v>256200</v>
      </c>
      <c r="N503" s="13">
        <v>37</v>
      </c>
    </row>
    <row r="504" spans="1:14">
      <c r="A504" s="12" t="s">
        <v>903</v>
      </c>
      <c r="B504" s="12" t="s">
        <v>157</v>
      </c>
      <c r="C504" s="15">
        <v>570281</v>
      </c>
      <c r="D504" s="13">
        <v>50</v>
      </c>
      <c r="F504" s="12" t="s">
        <v>715</v>
      </c>
      <c r="G504" s="12" t="s">
        <v>157</v>
      </c>
      <c r="H504" s="15">
        <v>11277</v>
      </c>
      <c r="I504" s="13">
        <v>50</v>
      </c>
      <c r="K504" s="12" t="s">
        <v>1363</v>
      </c>
      <c r="L504" s="12" t="s">
        <v>157</v>
      </c>
      <c r="M504" s="15">
        <v>123546</v>
      </c>
      <c r="N504" s="13">
        <v>37</v>
      </c>
    </row>
    <row r="505" spans="1:14">
      <c r="A505" s="12" t="s">
        <v>1364</v>
      </c>
      <c r="B505" s="12" t="s">
        <v>157</v>
      </c>
      <c r="C505" s="15">
        <v>11766</v>
      </c>
      <c r="D505" s="13">
        <v>50</v>
      </c>
      <c r="F505" s="12" t="s">
        <v>1365</v>
      </c>
      <c r="G505" s="12" t="s">
        <v>159</v>
      </c>
      <c r="H505" s="15">
        <v>161100</v>
      </c>
      <c r="I505" s="13">
        <v>50</v>
      </c>
      <c r="K505" s="12" t="s">
        <v>1366</v>
      </c>
      <c r="L505" s="12" t="s">
        <v>157</v>
      </c>
      <c r="M505" s="15">
        <v>103674</v>
      </c>
      <c r="N505" s="13">
        <v>37</v>
      </c>
    </row>
    <row r="506" spans="1:14">
      <c r="A506" s="12" t="s">
        <v>1367</v>
      </c>
      <c r="B506" s="12" t="s">
        <v>157</v>
      </c>
      <c r="C506" s="15">
        <v>24442</v>
      </c>
      <c r="D506" s="13">
        <v>50</v>
      </c>
      <c r="F506" s="12" t="s">
        <v>1368</v>
      </c>
      <c r="G506" s="12" t="s">
        <v>159</v>
      </c>
      <c r="H506" s="15">
        <v>1245939</v>
      </c>
      <c r="I506" s="13">
        <v>50</v>
      </c>
      <c r="K506" s="12" t="s">
        <v>1369</v>
      </c>
      <c r="L506" s="12" t="s">
        <v>159</v>
      </c>
      <c r="M506" s="15">
        <v>279800</v>
      </c>
      <c r="N506" s="13">
        <v>37</v>
      </c>
    </row>
    <row r="507" spans="1:14">
      <c r="A507" s="12" t="s">
        <v>1370</v>
      </c>
      <c r="B507" s="12" t="s">
        <v>157</v>
      </c>
      <c r="C507" s="15">
        <v>11556</v>
      </c>
      <c r="D507" s="13">
        <v>50</v>
      </c>
      <c r="F507" s="12" t="s">
        <v>1371</v>
      </c>
      <c r="G507" s="12" t="s">
        <v>159</v>
      </c>
      <c r="H507" s="15">
        <v>11000</v>
      </c>
      <c r="I507" s="13">
        <v>50</v>
      </c>
      <c r="K507" s="12" t="s">
        <v>1372</v>
      </c>
      <c r="L507" s="12" t="s">
        <v>157</v>
      </c>
      <c r="M507" s="15">
        <v>221708</v>
      </c>
      <c r="N507" s="13">
        <v>37</v>
      </c>
    </row>
    <row r="508" spans="1:14">
      <c r="A508" s="12" t="s">
        <v>1373</v>
      </c>
      <c r="B508" s="12" t="s">
        <v>157</v>
      </c>
      <c r="C508" s="15">
        <v>11636</v>
      </c>
      <c r="D508" s="13">
        <v>50</v>
      </c>
      <c r="F508" s="12" t="s">
        <v>1374</v>
      </c>
      <c r="G508" s="12" t="s">
        <v>159</v>
      </c>
      <c r="H508" s="15">
        <v>61500</v>
      </c>
      <c r="I508" s="13">
        <v>50</v>
      </c>
      <c r="K508" s="12" t="s">
        <v>1375</v>
      </c>
      <c r="L508" s="12" t="s">
        <v>157</v>
      </c>
      <c r="M508" s="15">
        <v>182982</v>
      </c>
      <c r="N508" s="13">
        <v>37</v>
      </c>
    </row>
    <row r="509" spans="1:14">
      <c r="A509" s="12" t="s">
        <v>1376</v>
      </c>
      <c r="B509" s="12" t="s">
        <v>157</v>
      </c>
      <c r="C509" s="15">
        <v>20698</v>
      </c>
      <c r="D509" s="13">
        <v>50</v>
      </c>
      <c r="F509" s="12" t="s">
        <v>1377</v>
      </c>
      <c r="G509" s="12" t="s">
        <v>157</v>
      </c>
      <c r="H509" s="15">
        <v>15274</v>
      </c>
      <c r="I509" s="13">
        <v>50</v>
      </c>
      <c r="K509" s="12" t="s">
        <v>1378</v>
      </c>
      <c r="L509" s="12" t="s">
        <v>159</v>
      </c>
      <c r="M509" s="15">
        <v>2600000</v>
      </c>
      <c r="N509" s="13">
        <v>37</v>
      </c>
    </row>
    <row r="510" spans="1:14">
      <c r="A510" s="12" t="s">
        <v>1379</v>
      </c>
      <c r="B510" s="12" t="s">
        <v>157</v>
      </c>
      <c r="C510" s="15">
        <v>14990</v>
      </c>
      <c r="D510" s="13">
        <v>50</v>
      </c>
      <c r="F510" s="12" t="s">
        <v>1380</v>
      </c>
      <c r="G510" s="12" t="s">
        <v>157</v>
      </c>
      <c r="H510" s="15">
        <v>11177</v>
      </c>
      <c r="I510" s="13">
        <v>50</v>
      </c>
      <c r="K510" s="12" t="s">
        <v>1381</v>
      </c>
      <c r="L510" s="12" t="s">
        <v>159</v>
      </c>
      <c r="M510" s="15">
        <v>113600</v>
      </c>
      <c r="N510" s="13">
        <v>36</v>
      </c>
    </row>
    <row r="511" spans="1:14">
      <c r="A511" s="12" t="s">
        <v>1382</v>
      </c>
      <c r="B511" s="12" t="s">
        <v>157</v>
      </c>
      <c r="C511" s="15">
        <v>11687</v>
      </c>
      <c r="D511" s="13">
        <v>50</v>
      </c>
      <c r="F511" s="12" t="s">
        <v>1383</v>
      </c>
      <c r="G511" s="12" t="s">
        <v>157</v>
      </c>
      <c r="H511" s="15">
        <v>30894</v>
      </c>
      <c r="I511" s="13">
        <v>50</v>
      </c>
      <c r="K511" s="12" t="s">
        <v>1384</v>
      </c>
      <c r="L511" s="12" t="s">
        <v>159</v>
      </c>
      <c r="M511" s="15">
        <v>123000</v>
      </c>
      <c r="N511" s="13">
        <v>36</v>
      </c>
    </row>
    <row r="512" spans="1:14">
      <c r="A512" s="12" t="s">
        <v>1385</v>
      </c>
      <c r="B512" s="12" t="s">
        <v>157</v>
      </c>
      <c r="C512" s="15">
        <v>20655</v>
      </c>
      <c r="D512" s="13">
        <v>50</v>
      </c>
      <c r="F512" s="12" t="s">
        <v>1386</v>
      </c>
      <c r="G512" s="12" t="s">
        <v>159</v>
      </c>
      <c r="H512" s="15">
        <v>13000</v>
      </c>
      <c r="I512" s="13">
        <v>50</v>
      </c>
      <c r="K512" s="12" t="s">
        <v>1387</v>
      </c>
      <c r="L512" s="12" t="s">
        <v>157</v>
      </c>
      <c r="M512" s="15">
        <v>187339</v>
      </c>
      <c r="N512" s="13">
        <v>36</v>
      </c>
    </row>
    <row r="513" spans="1:14">
      <c r="A513" s="12" t="s">
        <v>1388</v>
      </c>
      <c r="B513" s="12" t="s">
        <v>157</v>
      </c>
      <c r="C513" s="15">
        <v>32719</v>
      </c>
      <c r="D513" s="13">
        <v>50</v>
      </c>
      <c r="F513" s="12" t="s">
        <v>1389</v>
      </c>
      <c r="G513" s="12" t="s">
        <v>159</v>
      </c>
      <c r="H513" s="15">
        <v>41700</v>
      </c>
      <c r="I513" s="13">
        <v>50</v>
      </c>
      <c r="K513" s="12" t="s">
        <v>1390</v>
      </c>
      <c r="L513" s="12" t="s">
        <v>157</v>
      </c>
      <c r="M513" s="15">
        <v>107091</v>
      </c>
      <c r="N513" s="13">
        <v>36</v>
      </c>
    </row>
    <row r="514" spans="1:14">
      <c r="A514" s="12" t="s">
        <v>1391</v>
      </c>
      <c r="B514" s="12" t="s">
        <v>157</v>
      </c>
      <c r="C514" s="15">
        <v>29465</v>
      </c>
      <c r="D514" s="13">
        <v>50</v>
      </c>
      <c r="F514" s="12" t="s">
        <v>1392</v>
      </c>
      <c r="G514" s="12" t="s">
        <v>159</v>
      </c>
      <c r="H514" s="15">
        <v>11400</v>
      </c>
      <c r="I514" s="13">
        <v>50</v>
      </c>
      <c r="K514" s="12" t="s">
        <v>1393</v>
      </c>
      <c r="L514" s="12" t="s">
        <v>157</v>
      </c>
      <c r="M514" s="15">
        <v>128765</v>
      </c>
      <c r="N514" s="13">
        <v>36</v>
      </c>
    </row>
    <row r="515" spans="1:14">
      <c r="A515" s="12" t="s">
        <v>1394</v>
      </c>
      <c r="B515" s="12" t="s">
        <v>157</v>
      </c>
      <c r="C515" s="15">
        <v>17676</v>
      </c>
      <c r="D515" s="13">
        <v>50</v>
      </c>
      <c r="F515" s="12" t="s">
        <v>1395</v>
      </c>
      <c r="G515" s="12" t="s">
        <v>157</v>
      </c>
      <c r="H515" s="15">
        <v>20486</v>
      </c>
      <c r="I515" s="13">
        <v>50</v>
      </c>
      <c r="K515" s="12" t="s">
        <v>1396</v>
      </c>
      <c r="L515" s="12" t="s">
        <v>157</v>
      </c>
      <c r="M515" s="15">
        <v>100180</v>
      </c>
      <c r="N515" s="13">
        <v>36</v>
      </c>
    </row>
    <row r="516" spans="1:14">
      <c r="A516" s="12" t="s">
        <v>1397</v>
      </c>
      <c r="B516" s="12" t="s">
        <v>157</v>
      </c>
      <c r="C516" s="15">
        <v>11461</v>
      </c>
      <c r="D516" s="13">
        <v>50</v>
      </c>
      <c r="F516" s="12" t="s">
        <v>1398</v>
      </c>
      <c r="G516" s="12" t="s">
        <v>157</v>
      </c>
      <c r="H516" s="15">
        <v>35076</v>
      </c>
      <c r="I516" s="13">
        <v>50</v>
      </c>
      <c r="K516" s="12" t="s">
        <v>1399</v>
      </c>
      <c r="L516" s="12" t="s">
        <v>159</v>
      </c>
      <c r="M516" s="15">
        <v>320500</v>
      </c>
      <c r="N516" s="13">
        <v>36</v>
      </c>
    </row>
    <row r="517" spans="1:14">
      <c r="A517" s="12" t="s">
        <v>1400</v>
      </c>
      <c r="B517" s="12" t="s">
        <v>157</v>
      </c>
      <c r="C517" s="15">
        <v>10884</v>
      </c>
      <c r="D517" s="13">
        <v>50</v>
      </c>
      <c r="F517" s="12" t="s">
        <v>1401</v>
      </c>
      <c r="G517" s="12" t="s">
        <v>159</v>
      </c>
      <c r="H517" s="15">
        <v>44000</v>
      </c>
      <c r="I517" s="13">
        <v>50</v>
      </c>
      <c r="K517" s="12" t="s">
        <v>1402</v>
      </c>
      <c r="L517" s="12" t="s">
        <v>157</v>
      </c>
      <c r="M517" s="15">
        <v>875827</v>
      </c>
      <c r="N517" s="13">
        <v>36</v>
      </c>
    </row>
    <row r="518" spans="1:14">
      <c r="A518" s="12" t="s">
        <v>1403</v>
      </c>
      <c r="B518" s="12" t="s">
        <v>157</v>
      </c>
      <c r="C518" s="15">
        <v>15286</v>
      </c>
      <c r="D518" s="13">
        <v>50</v>
      </c>
      <c r="F518" s="12" t="s">
        <v>1404</v>
      </c>
      <c r="G518" s="12" t="s">
        <v>159</v>
      </c>
      <c r="H518" s="15">
        <v>13600</v>
      </c>
      <c r="I518" s="13">
        <v>50</v>
      </c>
      <c r="K518" s="12" t="s">
        <v>1405</v>
      </c>
      <c r="L518" s="12" t="s">
        <v>159</v>
      </c>
      <c r="M518" s="15">
        <v>248100</v>
      </c>
      <c r="N518" s="13">
        <v>36</v>
      </c>
    </row>
    <row r="519" spans="1:14">
      <c r="A519" s="12" t="s">
        <v>1406</v>
      </c>
      <c r="B519" s="12" t="s">
        <v>157</v>
      </c>
      <c r="C519" s="15">
        <v>19698</v>
      </c>
      <c r="D519" s="13">
        <v>50</v>
      </c>
      <c r="F519" s="12" t="s">
        <v>1407</v>
      </c>
      <c r="G519" s="12" t="s">
        <v>159</v>
      </c>
      <c r="H519" s="15">
        <v>18600</v>
      </c>
      <c r="I519" s="13">
        <v>50</v>
      </c>
      <c r="K519" s="12" t="s">
        <v>1408</v>
      </c>
      <c r="L519" s="12" t="s">
        <v>159</v>
      </c>
      <c r="M519" s="15">
        <v>295000</v>
      </c>
      <c r="N519" s="13">
        <v>36</v>
      </c>
    </row>
    <row r="520" spans="1:14">
      <c r="A520" s="12" t="s">
        <v>1409</v>
      </c>
      <c r="B520" s="12" t="s">
        <v>157</v>
      </c>
      <c r="C520" s="15">
        <v>19219</v>
      </c>
      <c r="D520" s="13">
        <v>50</v>
      </c>
      <c r="F520" s="12" t="s">
        <v>1410</v>
      </c>
      <c r="G520" s="12" t="s">
        <v>159</v>
      </c>
      <c r="H520" s="15">
        <v>277300</v>
      </c>
      <c r="I520" s="13">
        <v>50</v>
      </c>
      <c r="K520" s="12" t="s">
        <v>1411</v>
      </c>
      <c r="L520" s="12" t="s">
        <v>159</v>
      </c>
      <c r="M520" s="15">
        <v>208500</v>
      </c>
      <c r="N520" s="13">
        <v>36</v>
      </c>
    </row>
    <row r="521" spans="1:14">
      <c r="A521" s="12" t="s">
        <v>1412</v>
      </c>
      <c r="B521" s="12" t="s">
        <v>157</v>
      </c>
      <c r="C521" s="15">
        <v>11876</v>
      </c>
      <c r="D521" s="13">
        <v>50</v>
      </c>
      <c r="F521" s="12" t="s">
        <v>1413</v>
      </c>
      <c r="G521" s="12" t="s">
        <v>157</v>
      </c>
      <c r="H521" s="15">
        <v>12153</v>
      </c>
      <c r="I521" s="13">
        <v>50</v>
      </c>
      <c r="K521" s="12" t="s">
        <v>1414</v>
      </c>
      <c r="L521" s="12" t="s">
        <v>157</v>
      </c>
      <c r="M521" s="15">
        <v>282886</v>
      </c>
      <c r="N521" s="13">
        <v>36</v>
      </c>
    </row>
    <row r="522" spans="1:14">
      <c r="A522" s="12" t="s">
        <v>1415</v>
      </c>
      <c r="B522" s="12" t="s">
        <v>157</v>
      </c>
      <c r="C522" s="15">
        <v>15429</v>
      </c>
      <c r="D522" s="13">
        <v>50</v>
      </c>
      <c r="F522" s="12" t="s">
        <v>1416</v>
      </c>
      <c r="G522" s="12" t="s">
        <v>157</v>
      </c>
      <c r="H522" s="15">
        <v>12842</v>
      </c>
      <c r="I522" s="13">
        <v>50</v>
      </c>
      <c r="K522" s="12" t="s">
        <v>1417</v>
      </c>
      <c r="L522" s="12" t="s">
        <v>157</v>
      </c>
      <c r="M522" s="15">
        <v>118979</v>
      </c>
      <c r="N522" s="13">
        <v>36</v>
      </c>
    </row>
    <row r="523" spans="1:14">
      <c r="A523" s="12" t="s">
        <v>1418</v>
      </c>
      <c r="B523" s="12" t="s">
        <v>157</v>
      </c>
      <c r="C523" s="15">
        <v>29396</v>
      </c>
      <c r="D523" s="13">
        <v>50</v>
      </c>
      <c r="F523" s="12" t="s">
        <v>1419</v>
      </c>
      <c r="G523" s="12" t="s">
        <v>157</v>
      </c>
      <c r="H523" s="15">
        <v>34629</v>
      </c>
      <c r="I523" s="13">
        <v>50</v>
      </c>
      <c r="K523" s="12" t="s">
        <v>1420</v>
      </c>
      <c r="L523" s="12" t="s">
        <v>157</v>
      </c>
      <c r="M523" s="15">
        <v>105340</v>
      </c>
      <c r="N523" s="13">
        <v>36</v>
      </c>
    </row>
    <row r="524" spans="1:14">
      <c r="A524" s="12" t="s">
        <v>1421</v>
      </c>
      <c r="B524" s="12" t="s">
        <v>157</v>
      </c>
      <c r="C524" s="15">
        <v>11664</v>
      </c>
      <c r="D524" s="13">
        <v>50</v>
      </c>
      <c r="F524" s="12" t="s">
        <v>170</v>
      </c>
      <c r="G524" s="12" t="s">
        <v>157</v>
      </c>
      <c r="H524" s="15">
        <v>102609</v>
      </c>
      <c r="I524" s="13">
        <v>50</v>
      </c>
      <c r="K524" s="12" t="s">
        <v>1422</v>
      </c>
      <c r="L524" s="12" t="s">
        <v>159</v>
      </c>
      <c r="M524" s="15">
        <v>705400</v>
      </c>
      <c r="N524" s="13">
        <v>36</v>
      </c>
    </row>
    <row r="525" spans="1:14">
      <c r="A525" s="12" t="s">
        <v>1423</v>
      </c>
      <c r="B525" s="12" t="s">
        <v>157</v>
      </c>
      <c r="C525" s="15">
        <v>22777</v>
      </c>
      <c r="D525" s="13">
        <v>50</v>
      </c>
      <c r="F525" s="12" t="s">
        <v>1424</v>
      </c>
      <c r="G525" s="12" t="s">
        <v>159</v>
      </c>
      <c r="H525" s="15">
        <v>70900</v>
      </c>
      <c r="I525" s="13">
        <v>50</v>
      </c>
      <c r="K525" s="12" t="s">
        <v>1425</v>
      </c>
      <c r="L525" s="12" t="s">
        <v>157</v>
      </c>
      <c r="M525" s="15">
        <v>100458</v>
      </c>
      <c r="N525" s="13">
        <v>36</v>
      </c>
    </row>
    <row r="526" spans="1:14">
      <c r="A526" s="12" t="s">
        <v>1426</v>
      </c>
      <c r="B526" s="12" t="s">
        <v>157</v>
      </c>
      <c r="C526" s="15">
        <v>19464</v>
      </c>
      <c r="D526" s="13">
        <v>50</v>
      </c>
      <c r="F526" s="12" t="s">
        <v>1427</v>
      </c>
      <c r="G526" s="12" t="s">
        <v>157</v>
      </c>
      <c r="H526" s="15">
        <v>34171</v>
      </c>
      <c r="I526" s="13">
        <v>50</v>
      </c>
      <c r="K526" s="12" t="s">
        <v>1428</v>
      </c>
      <c r="L526" s="12" t="s">
        <v>157</v>
      </c>
      <c r="M526" s="15">
        <v>106535</v>
      </c>
      <c r="N526" s="13">
        <v>36</v>
      </c>
    </row>
    <row r="527" spans="1:14">
      <c r="A527" s="12" t="s">
        <v>1429</v>
      </c>
      <c r="B527" s="12" t="s">
        <v>157</v>
      </c>
      <c r="C527" s="15">
        <v>10759</v>
      </c>
      <c r="D527" s="13">
        <v>50</v>
      </c>
      <c r="F527" s="12" t="s">
        <v>717</v>
      </c>
      <c r="G527" s="12" t="s">
        <v>157</v>
      </c>
      <c r="H527" s="15">
        <v>23672</v>
      </c>
      <c r="I527" s="13">
        <v>50</v>
      </c>
      <c r="K527" s="12" t="s">
        <v>1430</v>
      </c>
      <c r="L527" s="12" t="s">
        <v>159</v>
      </c>
      <c r="M527" s="15">
        <v>297300</v>
      </c>
      <c r="N527" s="13">
        <v>36</v>
      </c>
    </row>
    <row r="528" spans="1:14">
      <c r="A528" s="12" t="s">
        <v>1431</v>
      </c>
      <c r="B528" s="12" t="s">
        <v>157</v>
      </c>
      <c r="C528" s="15">
        <v>34302</v>
      </c>
      <c r="D528" s="13">
        <v>50</v>
      </c>
      <c r="F528" s="12" t="s">
        <v>1432</v>
      </c>
      <c r="G528" s="12" t="s">
        <v>159</v>
      </c>
      <c r="H528" s="15">
        <v>73200</v>
      </c>
      <c r="I528" s="13">
        <v>50</v>
      </c>
      <c r="K528" s="12" t="s">
        <v>1433</v>
      </c>
      <c r="L528" s="12" t="s">
        <v>159</v>
      </c>
      <c r="M528" s="15">
        <v>197200</v>
      </c>
      <c r="N528" s="13">
        <v>36</v>
      </c>
    </row>
    <row r="529" spans="1:14">
      <c r="A529" s="12" t="s">
        <v>1434</v>
      </c>
      <c r="B529" s="12" t="s">
        <v>157</v>
      </c>
      <c r="C529" s="15">
        <v>40287</v>
      </c>
      <c r="D529" s="13">
        <v>50</v>
      </c>
      <c r="F529" s="12" t="s">
        <v>1435</v>
      </c>
      <c r="G529" s="12" t="s">
        <v>159</v>
      </c>
      <c r="H529" s="15">
        <v>378400</v>
      </c>
      <c r="I529" s="13">
        <v>50</v>
      </c>
      <c r="K529" s="12" t="s">
        <v>1436</v>
      </c>
      <c r="L529" s="12" t="s">
        <v>159</v>
      </c>
      <c r="M529" s="15">
        <v>668700</v>
      </c>
      <c r="N529" s="13">
        <v>35</v>
      </c>
    </row>
    <row r="530" spans="1:14">
      <c r="A530" s="12" t="s">
        <v>1437</v>
      </c>
      <c r="B530" s="12" t="s">
        <v>157</v>
      </c>
      <c r="C530" s="15">
        <v>11803</v>
      </c>
      <c r="D530" s="13">
        <v>50</v>
      </c>
      <c r="F530" s="12" t="s">
        <v>719</v>
      </c>
      <c r="G530" s="12" t="s">
        <v>157</v>
      </c>
      <c r="H530" s="15">
        <v>15941</v>
      </c>
      <c r="I530" s="13">
        <v>50</v>
      </c>
      <c r="K530" s="12" t="s">
        <v>1438</v>
      </c>
      <c r="L530" s="12" t="s">
        <v>157</v>
      </c>
      <c r="M530" s="15">
        <v>129124</v>
      </c>
      <c r="N530" s="13">
        <v>35</v>
      </c>
    </row>
    <row r="531" spans="1:14">
      <c r="A531" s="12" t="s">
        <v>1439</v>
      </c>
      <c r="B531" s="12" t="s">
        <v>157</v>
      </c>
      <c r="C531" s="15">
        <v>15003</v>
      </c>
      <c r="D531" s="13">
        <v>50</v>
      </c>
      <c r="F531" s="12" t="s">
        <v>721</v>
      </c>
      <c r="G531" s="12" t="s">
        <v>157</v>
      </c>
      <c r="H531" s="15">
        <v>15056</v>
      </c>
      <c r="I531" s="13">
        <v>50</v>
      </c>
      <c r="K531" s="12" t="s">
        <v>1440</v>
      </c>
      <c r="L531" s="12" t="s">
        <v>159</v>
      </c>
      <c r="M531" s="15">
        <v>144800</v>
      </c>
      <c r="N531" s="13">
        <v>35</v>
      </c>
    </row>
    <row r="532" spans="1:14">
      <c r="A532" s="12" t="s">
        <v>1441</v>
      </c>
      <c r="B532" s="12" t="s">
        <v>157</v>
      </c>
      <c r="C532" s="15">
        <v>11040</v>
      </c>
      <c r="D532" s="13">
        <v>50</v>
      </c>
      <c r="F532" s="12" t="s">
        <v>723</v>
      </c>
      <c r="G532" s="12" t="s">
        <v>157</v>
      </c>
      <c r="H532" s="15">
        <v>11758</v>
      </c>
      <c r="I532" s="13">
        <v>50</v>
      </c>
      <c r="K532" s="12" t="s">
        <v>1442</v>
      </c>
      <c r="L532" s="12" t="s">
        <v>157</v>
      </c>
      <c r="M532" s="15">
        <v>114412</v>
      </c>
      <c r="N532" s="13">
        <v>35</v>
      </c>
    </row>
    <row r="533" spans="1:14">
      <c r="A533" s="12" t="s">
        <v>1443</v>
      </c>
      <c r="B533" s="12" t="s">
        <v>157</v>
      </c>
      <c r="C533" s="15">
        <v>27842</v>
      </c>
      <c r="D533" s="13">
        <v>50</v>
      </c>
      <c r="F533" s="12" t="s">
        <v>1444</v>
      </c>
      <c r="G533" s="12" t="s">
        <v>157</v>
      </c>
      <c r="H533" s="15">
        <v>36427</v>
      </c>
      <c r="I533" s="13">
        <v>50</v>
      </c>
      <c r="K533" s="12" t="s">
        <v>1445</v>
      </c>
      <c r="L533" s="12" t="s">
        <v>159</v>
      </c>
      <c r="M533" s="15">
        <v>159900</v>
      </c>
      <c r="N533" s="13">
        <v>35</v>
      </c>
    </row>
    <row r="534" spans="1:14">
      <c r="A534" s="12" t="s">
        <v>1446</v>
      </c>
      <c r="B534" s="12" t="s">
        <v>157</v>
      </c>
      <c r="C534" s="15">
        <v>11018</v>
      </c>
      <c r="D534" s="13">
        <v>50</v>
      </c>
      <c r="F534" s="12" t="s">
        <v>1447</v>
      </c>
      <c r="G534" s="12" t="s">
        <v>157</v>
      </c>
      <c r="H534" s="15">
        <v>23526</v>
      </c>
      <c r="I534" s="13">
        <v>50</v>
      </c>
      <c r="K534" s="12" t="s">
        <v>1448</v>
      </c>
      <c r="L534" s="12" t="s">
        <v>159</v>
      </c>
      <c r="M534" s="15">
        <v>417900</v>
      </c>
      <c r="N534" s="13">
        <v>35</v>
      </c>
    </row>
    <row r="535" spans="1:14">
      <c r="A535" s="12" t="s">
        <v>1449</v>
      </c>
      <c r="B535" s="12" t="s">
        <v>157</v>
      </c>
      <c r="C535" s="15">
        <v>12683</v>
      </c>
      <c r="D535" s="13">
        <v>50</v>
      </c>
      <c r="F535" s="12" t="s">
        <v>1450</v>
      </c>
      <c r="G535" s="12" t="s">
        <v>157</v>
      </c>
      <c r="H535" s="15">
        <v>20483</v>
      </c>
      <c r="I535" s="13">
        <v>50</v>
      </c>
      <c r="K535" s="12" t="s">
        <v>1451</v>
      </c>
      <c r="L535" s="12" t="s">
        <v>157</v>
      </c>
      <c r="M535" s="15">
        <v>144478</v>
      </c>
      <c r="N535" s="13">
        <v>35</v>
      </c>
    </row>
    <row r="536" spans="1:14">
      <c r="A536" s="12" t="s">
        <v>1452</v>
      </c>
      <c r="B536" s="12" t="s">
        <v>157</v>
      </c>
      <c r="C536" s="15">
        <v>41145</v>
      </c>
      <c r="D536" s="13">
        <v>50</v>
      </c>
      <c r="F536" s="12" t="s">
        <v>1453</v>
      </c>
      <c r="G536" s="12" t="s">
        <v>159</v>
      </c>
      <c r="H536" s="15">
        <v>10600</v>
      </c>
      <c r="I536" s="13">
        <v>50</v>
      </c>
      <c r="K536" s="12" t="s">
        <v>1454</v>
      </c>
      <c r="L536" s="12" t="s">
        <v>157</v>
      </c>
      <c r="M536" s="15">
        <v>273852</v>
      </c>
      <c r="N536" s="13">
        <v>35</v>
      </c>
    </row>
    <row r="537" spans="1:14">
      <c r="A537" s="12" t="s">
        <v>1455</v>
      </c>
      <c r="B537" s="12" t="s">
        <v>157</v>
      </c>
      <c r="C537" s="15">
        <v>27576</v>
      </c>
      <c r="D537" s="13">
        <v>50</v>
      </c>
      <c r="F537" s="12" t="s">
        <v>1456</v>
      </c>
      <c r="G537" s="12" t="s">
        <v>159</v>
      </c>
      <c r="H537" s="15">
        <v>401500</v>
      </c>
      <c r="I537" s="13">
        <v>50</v>
      </c>
      <c r="K537" s="12" t="s">
        <v>1457</v>
      </c>
      <c r="L537" s="12" t="s">
        <v>157</v>
      </c>
      <c r="M537" s="15">
        <v>154596</v>
      </c>
      <c r="N537" s="13">
        <v>35</v>
      </c>
    </row>
    <row r="538" spans="1:14">
      <c r="A538" s="12" t="s">
        <v>1458</v>
      </c>
      <c r="B538" s="12" t="s">
        <v>157</v>
      </c>
      <c r="C538" s="15">
        <v>20518</v>
      </c>
      <c r="D538" s="13">
        <v>50</v>
      </c>
      <c r="F538" s="12" t="s">
        <v>1459</v>
      </c>
      <c r="G538" s="12" t="s">
        <v>159</v>
      </c>
      <c r="H538" s="15">
        <v>254200</v>
      </c>
      <c r="I538" s="13">
        <v>50</v>
      </c>
      <c r="K538" s="12" t="s">
        <v>1460</v>
      </c>
      <c r="L538" s="12" t="s">
        <v>159</v>
      </c>
      <c r="M538" s="15">
        <v>250700</v>
      </c>
      <c r="N538" s="13">
        <v>35</v>
      </c>
    </row>
    <row r="539" spans="1:14">
      <c r="A539" s="12" t="s">
        <v>1461</v>
      </c>
      <c r="B539" s="12" t="s">
        <v>157</v>
      </c>
      <c r="C539" s="15">
        <v>19799</v>
      </c>
      <c r="D539" s="13">
        <v>50</v>
      </c>
      <c r="F539" s="12" t="s">
        <v>1462</v>
      </c>
      <c r="G539" s="12" t="s">
        <v>157</v>
      </c>
      <c r="H539" s="15">
        <v>27257</v>
      </c>
      <c r="I539" s="13">
        <v>50</v>
      </c>
      <c r="K539" s="12" t="s">
        <v>1463</v>
      </c>
      <c r="L539" s="12" t="s">
        <v>157</v>
      </c>
      <c r="M539" s="15">
        <v>101319</v>
      </c>
      <c r="N539" s="13">
        <v>35</v>
      </c>
    </row>
    <row r="540" spans="1:14">
      <c r="A540" s="12" t="s">
        <v>1464</v>
      </c>
      <c r="B540" s="12" t="s">
        <v>157</v>
      </c>
      <c r="C540" s="15">
        <v>10630</v>
      </c>
      <c r="D540" s="13">
        <v>50</v>
      </c>
      <c r="F540" s="12" t="s">
        <v>1465</v>
      </c>
      <c r="G540" s="12" t="s">
        <v>159</v>
      </c>
      <c r="H540" s="15">
        <v>805400</v>
      </c>
      <c r="I540" s="13">
        <v>50</v>
      </c>
      <c r="K540" s="12" t="s">
        <v>1466</v>
      </c>
      <c r="L540" s="12" t="s">
        <v>157</v>
      </c>
      <c r="M540" s="15">
        <v>194674</v>
      </c>
      <c r="N540" s="13">
        <v>35</v>
      </c>
    </row>
    <row r="541" spans="1:14">
      <c r="A541" s="12" t="s">
        <v>1467</v>
      </c>
      <c r="B541" s="12" t="s">
        <v>157</v>
      </c>
      <c r="C541" s="15">
        <v>10667</v>
      </c>
      <c r="D541" s="13">
        <v>50</v>
      </c>
      <c r="F541" s="12" t="s">
        <v>725</v>
      </c>
      <c r="G541" s="12" t="s">
        <v>157</v>
      </c>
      <c r="H541" s="15">
        <v>11925</v>
      </c>
      <c r="I541" s="13">
        <v>50</v>
      </c>
      <c r="K541" s="12" t="s">
        <v>1468</v>
      </c>
      <c r="L541" s="12" t="s">
        <v>157</v>
      </c>
      <c r="M541" s="15">
        <v>104405</v>
      </c>
      <c r="N541" s="13">
        <v>35</v>
      </c>
    </row>
    <row r="542" spans="1:14">
      <c r="A542" s="12" t="s">
        <v>1469</v>
      </c>
      <c r="B542" s="12" t="s">
        <v>157</v>
      </c>
      <c r="C542" s="15">
        <v>20005</v>
      </c>
      <c r="D542" s="13">
        <v>50</v>
      </c>
      <c r="F542" s="12" t="s">
        <v>727</v>
      </c>
      <c r="G542" s="12" t="s">
        <v>157</v>
      </c>
      <c r="H542" s="15">
        <v>14490</v>
      </c>
      <c r="I542" s="13">
        <v>50</v>
      </c>
      <c r="K542" s="12" t="s">
        <v>1470</v>
      </c>
      <c r="L542" s="12" t="s">
        <v>157</v>
      </c>
      <c r="M542" s="15">
        <v>276292</v>
      </c>
      <c r="N542" s="13">
        <v>35</v>
      </c>
    </row>
    <row r="543" spans="1:14">
      <c r="A543" s="12" t="s">
        <v>1471</v>
      </c>
      <c r="B543" s="12" t="s">
        <v>157</v>
      </c>
      <c r="C543" s="15">
        <v>28995</v>
      </c>
      <c r="D543" s="13">
        <v>50</v>
      </c>
      <c r="F543" s="12" t="s">
        <v>1472</v>
      </c>
      <c r="G543" s="12" t="s">
        <v>157</v>
      </c>
      <c r="H543" s="15">
        <v>34276</v>
      </c>
      <c r="I543" s="13">
        <v>50</v>
      </c>
      <c r="K543" s="12" t="s">
        <v>1473</v>
      </c>
      <c r="L543" s="12" t="s">
        <v>157</v>
      </c>
      <c r="M543" s="15">
        <v>126673</v>
      </c>
      <c r="N543" s="13">
        <v>35</v>
      </c>
    </row>
    <row r="544" spans="1:14">
      <c r="A544" s="12" t="s">
        <v>1474</v>
      </c>
      <c r="B544" s="12" t="s">
        <v>157</v>
      </c>
      <c r="C544" s="15">
        <v>11068</v>
      </c>
      <c r="D544" s="13">
        <v>50</v>
      </c>
      <c r="F544" s="12" t="s">
        <v>729</v>
      </c>
      <c r="G544" s="12" t="s">
        <v>157</v>
      </c>
      <c r="H544" s="15">
        <v>10190</v>
      </c>
      <c r="I544" s="13">
        <v>50</v>
      </c>
      <c r="K544" s="12" t="s">
        <v>1475</v>
      </c>
      <c r="L544" s="12" t="s">
        <v>159</v>
      </c>
      <c r="M544" s="15">
        <v>432800</v>
      </c>
      <c r="N544" s="13">
        <v>35</v>
      </c>
    </row>
    <row r="545" spans="1:14">
      <c r="A545" s="12" t="s">
        <v>1476</v>
      </c>
      <c r="B545" s="12" t="s">
        <v>157</v>
      </c>
      <c r="C545" s="15">
        <v>14524</v>
      </c>
      <c r="D545" s="13">
        <v>50</v>
      </c>
      <c r="F545" s="12" t="s">
        <v>1477</v>
      </c>
      <c r="G545" s="12" t="s">
        <v>159</v>
      </c>
      <c r="H545" s="15">
        <v>22100</v>
      </c>
      <c r="I545" s="13">
        <v>50</v>
      </c>
      <c r="K545" s="12" t="s">
        <v>1478</v>
      </c>
      <c r="L545" s="12" t="s">
        <v>159</v>
      </c>
      <c r="M545" s="15">
        <v>675300</v>
      </c>
      <c r="N545" s="13">
        <v>35</v>
      </c>
    </row>
    <row r="546" spans="1:14">
      <c r="A546" s="12" t="s">
        <v>1479</v>
      </c>
      <c r="B546" s="12" t="s">
        <v>157</v>
      </c>
      <c r="C546" s="15">
        <v>29196</v>
      </c>
      <c r="D546" s="13">
        <v>50</v>
      </c>
      <c r="F546" s="12" t="s">
        <v>1480</v>
      </c>
      <c r="G546" s="12" t="s">
        <v>157</v>
      </c>
      <c r="H546" s="15">
        <v>19131</v>
      </c>
      <c r="I546" s="13">
        <v>50</v>
      </c>
      <c r="K546" s="12" t="s">
        <v>1481</v>
      </c>
      <c r="L546" s="12" t="s">
        <v>159</v>
      </c>
      <c r="M546" s="15">
        <v>158400</v>
      </c>
      <c r="N546" s="13">
        <v>35</v>
      </c>
    </row>
    <row r="547" spans="1:14">
      <c r="A547" s="12" t="s">
        <v>1482</v>
      </c>
      <c r="B547" s="12" t="s">
        <v>157</v>
      </c>
      <c r="C547" s="15">
        <v>25215</v>
      </c>
      <c r="D547" s="13">
        <v>50</v>
      </c>
      <c r="F547" s="12" t="s">
        <v>1483</v>
      </c>
      <c r="G547" s="12" t="s">
        <v>157</v>
      </c>
      <c r="H547" s="15">
        <v>58491</v>
      </c>
      <c r="I547" s="13">
        <v>50</v>
      </c>
      <c r="K547" s="12" t="s">
        <v>1484</v>
      </c>
      <c r="L547" s="12" t="s">
        <v>159</v>
      </c>
      <c r="M547" s="15">
        <v>167600</v>
      </c>
      <c r="N547" s="13">
        <v>35</v>
      </c>
    </row>
    <row r="548" spans="1:14">
      <c r="A548" s="12" t="s">
        <v>1485</v>
      </c>
      <c r="B548" s="12" t="s">
        <v>157</v>
      </c>
      <c r="C548" s="15">
        <v>26012</v>
      </c>
      <c r="D548" s="13">
        <v>50</v>
      </c>
      <c r="F548" s="12" t="s">
        <v>1486</v>
      </c>
      <c r="G548" s="12" t="s">
        <v>159</v>
      </c>
      <c r="H548" s="15">
        <v>11900</v>
      </c>
      <c r="I548" s="13">
        <v>50</v>
      </c>
      <c r="K548" s="12" t="s">
        <v>1487</v>
      </c>
      <c r="L548" s="12" t="s">
        <v>159</v>
      </c>
      <c r="M548" s="15">
        <v>111000</v>
      </c>
      <c r="N548" s="13">
        <v>35</v>
      </c>
    </row>
    <row r="549" spans="1:14">
      <c r="A549" s="12" t="s">
        <v>1488</v>
      </c>
      <c r="B549" s="12" t="s">
        <v>157</v>
      </c>
      <c r="C549" s="15">
        <v>30957</v>
      </c>
      <c r="D549" s="13">
        <v>50</v>
      </c>
      <c r="F549" s="12" t="s">
        <v>1489</v>
      </c>
      <c r="G549" s="12" t="s">
        <v>159</v>
      </c>
      <c r="H549" s="15">
        <v>18100</v>
      </c>
      <c r="I549" s="13">
        <v>50</v>
      </c>
      <c r="K549" s="12" t="s">
        <v>1490</v>
      </c>
      <c r="L549" s="12" t="s">
        <v>159</v>
      </c>
      <c r="M549" s="15">
        <v>128500</v>
      </c>
      <c r="N549" s="13">
        <v>35</v>
      </c>
    </row>
    <row r="550" spans="1:14">
      <c r="A550" s="12" t="s">
        <v>1491</v>
      </c>
      <c r="B550" s="12" t="s">
        <v>157</v>
      </c>
      <c r="C550" s="15">
        <v>23179</v>
      </c>
      <c r="D550" s="13">
        <v>50</v>
      </c>
      <c r="F550" s="12" t="s">
        <v>732</v>
      </c>
      <c r="G550" s="12" t="s">
        <v>157</v>
      </c>
      <c r="H550" s="15">
        <v>11871</v>
      </c>
      <c r="I550" s="13">
        <v>50</v>
      </c>
      <c r="K550" s="12" t="s">
        <v>1492</v>
      </c>
      <c r="L550" s="12" t="s">
        <v>157</v>
      </c>
      <c r="M550" s="15">
        <v>100034</v>
      </c>
      <c r="N550" s="13">
        <v>35</v>
      </c>
    </row>
    <row r="551" spans="1:14">
      <c r="A551" s="12" t="s">
        <v>1493</v>
      </c>
      <c r="B551" s="12" t="s">
        <v>157</v>
      </c>
      <c r="C551" s="15">
        <v>28598</v>
      </c>
      <c r="D551" s="13">
        <v>50</v>
      </c>
      <c r="F551" s="12" t="s">
        <v>1494</v>
      </c>
      <c r="G551" s="12" t="s">
        <v>159</v>
      </c>
      <c r="H551" s="15">
        <v>34300</v>
      </c>
      <c r="I551" s="13">
        <v>50</v>
      </c>
      <c r="K551" s="12" t="s">
        <v>1495</v>
      </c>
      <c r="L551" s="12" t="s">
        <v>157</v>
      </c>
      <c r="M551" s="15">
        <v>317931</v>
      </c>
      <c r="N551" s="13">
        <v>34</v>
      </c>
    </row>
    <row r="552" spans="1:14">
      <c r="A552" s="12" t="s">
        <v>1496</v>
      </c>
      <c r="B552" s="12" t="s">
        <v>157</v>
      </c>
      <c r="C552" s="15">
        <v>11350</v>
      </c>
      <c r="D552" s="13">
        <v>50</v>
      </c>
      <c r="F552" s="12" t="s">
        <v>734</v>
      </c>
      <c r="G552" s="12" t="s">
        <v>157</v>
      </c>
      <c r="H552" s="15">
        <v>20944</v>
      </c>
      <c r="I552" s="13">
        <v>50</v>
      </c>
      <c r="K552" s="12" t="s">
        <v>1497</v>
      </c>
      <c r="L552" s="12" t="s">
        <v>157</v>
      </c>
      <c r="M552" s="15">
        <v>116789</v>
      </c>
      <c r="N552" s="13">
        <v>34</v>
      </c>
    </row>
    <row r="553" spans="1:14">
      <c r="A553" s="12" t="s">
        <v>1498</v>
      </c>
      <c r="B553" s="12" t="s">
        <v>157</v>
      </c>
      <c r="C553" s="15">
        <v>12125</v>
      </c>
      <c r="D553" s="13">
        <v>50</v>
      </c>
      <c r="F553" s="12" t="s">
        <v>1499</v>
      </c>
      <c r="G553" s="12" t="s">
        <v>157</v>
      </c>
      <c r="H553" s="15">
        <v>30957</v>
      </c>
      <c r="I553" s="13">
        <v>50</v>
      </c>
      <c r="K553" s="12" t="s">
        <v>1500</v>
      </c>
      <c r="L553" s="12" t="s">
        <v>157</v>
      </c>
      <c r="M553" s="15">
        <v>102308</v>
      </c>
      <c r="N553" s="13">
        <v>34</v>
      </c>
    </row>
    <row r="554" spans="1:14">
      <c r="A554" s="12" t="s">
        <v>1501</v>
      </c>
      <c r="B554" s="12" t="s">
        <v>157</v>
      </c>
      <c r="C554" s="15">
        <v>10962</v>
      </c>
      <c r="D554" s="13">
        <v>50</v>
      </c>
      <c r="F554" s="12" t="s">
        <v>1502</v>
      </c>
      <c r="G554" s="12" t="s">
        <v>157</v>
      </c>
      <c r="H554" s="15">
        <v>29525</v>
      </c>
      <c r="I554" s="13">
        <v>50</v>
      </c>
      <c r="K554" s="12" t="s">
        <v>1503</v>
      </c>
      <c r="L554" s="12" t="s">
        <v>159</v>
      </c>
      <c r="M554" s="15">
        <v>237300</v>
      </c>
      <c r="N554" s="13">
        <v>34</v>
      </c>
    </row>
    <row r="555" spans="1:14">
      <c r="A555" s="12" t="s">
        <v>1504</v>
      </c>
      <c r="B555" s="12" t="s">
        <v>157</v>
      </c>
      <c r="C555" s="15">
        <v>10990</v>
      </c>
      <c r="D555" s="13">
        <v>50</v>
      </c>
      <c r="F555" s="12" t="s">
        <v>1505</v>
      </c>
      <c r="G555" s="12" t="s">
        <v>159</v>
      </c>
      <c r="H555" s="15">
        <v>221300</v>
      </c>
      <c r="I555" s="13">
        <v>50</v>
      </c>
      <c r="K555" s="12" t="s">
        <v>1506</v>
      </c>
      <c r="L555" s="12" t="s">
        <v>157</v>
      </c>
      <c r="M555" s="15">
        <v>194054</v>
      </c>
      <c r="N555" s="13">
        <v>34</v>
      </c>
    </row>
    <row r="556" spans="1:14">
      <c r="A556" s="12" t="s">
        <v>1507</v>
      </c>
      <c r="B556" s="12" t="s">
        <v>157</v>
      </c>
      <c r="C556" s="15">
        <v>16455</v>
      </c>
      <c r="D556" s="13">
        <v>50</v>
      </c>
      <c r="F556" s="12" t="s">
        <v>736</v>
      </c>
      <c r="G556" s="12" t="s">
        <v>157</v>
      </c>
      <c r="H556" s="15">
        <v>20036</v>
      </c>
      <c r="I556" s="13">
        <v>50</v>
      </c>
      <c r="K556" s="12" t="s">
        <v>1508</v>
      </c>
      <c r="L556" s="12" t="s">
        <v>157</v>
      </c>
      <c r="M556" s="15">
        <v>153922</v>
      </c>
      <c r="N556" s="13">
        <v>34</v>
      </c>
    </row>
    <row r="557" spans="1:14">
      <c r="A557" s="12" t="s">
        <v>1509</v>
      </c>
      <c r="B557" s="12" t="s">
        <v>157</v>
      </c>
      <c r="C557" s="15">
        <v>11441</v>
      </c>
      <c r="D557" s="13">
        <v>50</v>
      </c>
      <c r="F557" s="12" t="s">
        <v>1510</v>
      </c>
      <c r="G557" s="12" t="s">
        <v>159</v>
      </c>
      <c r="H557" s="15">
        <v>11600</v>
      </c>
      <c r="I557" s="13">
        <v>50</v>
      </c>
      <c r="K557" s="12" t="s">
        <v>1511</v>
      </c>
      <c r="L557" s="12" t="s">
        <v>157</v>
      </c>
      <c r="M557" s="15">
        <v>117030</v>
      </c>
      <c r="N557" s="13">
        <v>34</v>
      </c>
    </row>
    <row r="558" spans="1:14">
      <c r="A558" s="12" t="s">
        <v>1512</v>
      </c>
      <c r="B558" s="12" t="s">
        <v>157</v>
      </c>
      <c r="C558" s="15">
        <v>13058</v>
      </c>
      <c r="D558" s="13">
        <v>50</v>
      </c>
      <c r="F558" s="12" t="s">
        <v>739</v>
      </c>
      <c r="G558" s="12" t="s">
        <v>157</v>
      </c>
      <c r="H558" s="15">
        <v>34574</v>
      </c>
      <c r="I558" s="13">
        <v>50</v>
      </c>
      <c r="K558" s="12" t="s">
        <v>941</v>
      </c>
      <c r="L558" s="12" t="s">
        <v>157</v>
      </c>
      <c r="M558" s="15">
        <v>117637</v>
      </c>
      <c r="N558" s="13">
        <v>34</v>
      </c>
    </row>
    <row r="559" spans="1:14">
      <c r="A559" s="12" t="s">
        <v>1513</v>
      </c>
      <c r="B559" s="12" t="s">
        <v>157</v>
      </c>
      <c r="C559" s="15">
        <v>21254</v>
      </c>
      <c r="D559" s="13">
        <v>50</v>
      </c>
      <c r="F559" s="12" t="s">
        <v>1514</v>
      </c>
      <c r="G559" s="12" t="s">
        <v>159</v>
      </c>
      <c r="H559" s="15">
        <v>63000</v>
      </c>
      <c r="I559" s="13">
        <v>50</v>
      </c>
      <c r="K559" s="12" t="s">
        <v>582</v>
      </c>
      <c r="L559" s="12" t="s">
        <v>157</v>
      </c>
      <c r="M559" s="15">
        <v>162215</v>
      </c>
      <c r="N559" s="13">
        <v>34</v>
      </c>
    </row>
    <row r="560" spans="1:14">
      <c r="A560" s="12" t="s">
        <v>1515</v>
      </c>
      <c r="B560" s="12" t="s">
        <v>157</v>
      </c>
      <c r="C560" s="15">
        <v>11261</v>
      </c>
      <c r="D560" s="13">
        <v>50</v>
      </c>
      <c r="F560" s="12" t="s">
        <v>1516</v>
      </c>
      <c r="G560" s="12" t="s">
        <v>159</v>
      </c>
      <c r="H560" s="15">
        <v>117600</v>
      </c>
      <c r="I560" s="13">
        <v>50</v>
      </c>
      <c r="K560" s="12" t="s">
        <v>1517</v>
      </c>
      <c r="L560" s="12" t="s">
        <v>157</v>
      </c>
      <c r="M560" s="15">
        <v>143830</v>
      </c>
      <c r="N560" s="13">
        <v>34</v>
      </c>
    </row>
    <row r="561" spans="1:14">
      <c r="A561" s="12" t="s">
        <v>1518</v>
      </c>
      <c r="B561" s="12" t="s">
        <v>157</v>
      </c>
      <c r="C561" s="15">
        <v>17627</v>
      </c>
      <c r="D561" s="13">
        <v>50</v>
      </c>
      <c r="F561" s="12" t="s">
        <v>1519</v>
      </c>
      <c r="G561" s="12" t="s">
        <v>159</v>
      </c>
      <c r="H561" s="15">
        <v>16600</v>
      </c>
      <c r="I561" s="13">
        <v>50</v>
      </c>
      <c r="K561" s="12" t="s">
        <v>1520</v>
      </c>
      <c r="L561" s="12" t="s">
        <v>157</v>
      </c>
      <c r="M561" s="15">
        <v>158353</v>
      </c>
      <c r="N561" s="13">
        <v>34</v>
      </c>
    </row>
    <row r="562" spans="1:14">
      <c r="A562" s="12" t="s">
        <v>1521</v>
      </c>
      <c r="B562" s="12" t="s">
        <v>157</v>
      </c>
      <c r="C562" s="15">
        <v>10113</v>
      </c>
      <c r="D562" s="13">
        <v>50</v>
      </c>
      <c r="F562" s="12" t="s">
        <v>741</v>
      </c>
      <c r="G562" s="12" t="s">
        <v>157</v>
      </c>
      <c r="H562" s="15">
        <v>10786</v>
      </c>
      <c r="I562" s="13">
        <v>50</v>
      </c>
      <c r="K562" s="12" t="s">
        <v>1522</v>
      </c>
      <c r="L562" s="12" t="s">
        <v>157</v>
      </c>
      <c r="M562" s="15">
        <v>21800065</v>
      </c>
      <c r="N562" s="13">
        <v>34</v>
      </c>
    </row>
    <row r="563" spans="1:14">
      <c r="A563" s="12" t="s">
        <v>1523</v>
      </c>
      <c r="B563" s="12" t="s">
        <v>157</v>
      </c>
      <c r="C563" s="15">
        <v>28371</v>
      </c>
      <c r="D563" s="13">
        <v>50</v>
      </c>
      <c r="F563" s="12" t="s">
        <v>1524</v>
      </c>
      <c r="G563" s="12" t="s">
        <v>159</v>
      </c>
      <c r="H563" s="15">
        <v>20800</v>
      </c>
      <c r="I563" s="13">
        <v>50</v>
      </c>
      <c r="K563" s="12" t="s">
        <v>1525</v>
      </c>
      <c r="L563" s="12" t="s">
        <v>157</v>
      </c>
      <c r="M563" s="15">
        <v>140906</v>
      </c>
      <c r="N563" s="13">
        <v>34</v>
      </c>
    </row>
    <row r="564" spans="1:14">
      <c r="A564" s="12" t="s">
        <v>1526</v>
      </c>
      <c r="B564" s="12" t="s">
        <v>157</v>
      </c>
      <c r="C564" s="15">
        <v>22459</v>
      </c>
      <c r="D564" s="13">
        <v>50</v>
      </c>
      <c r="F564" s="12" t="s">
        <v>1527</v>
      </c>
      <c r="G564" s="12" t="s">
        <v>157</v>
      </c>
      <c r="H564" s="15">
        <v>10466</v>
      </c>
      <c r="I564" s="13">
        <v>50</v>
      </c>
      <c r="K564" s="12" t="s">
        <v>1528</v>
      </c>
      <c r="L564" s="12" t="s">
        <v>157</v>
      </c>
      <c r="M564" s="15">
        <v>356088</v>
      </c>
      <c r="N564" s="13">
        <v>34</v>
      </c>
    </row>
    <row r="565" spans="1:14">
      <c r="A565" s="12" t="s">
        <v>1529</v>
      </c>
      <c r="B565" s="12" t="s">
        <v>157</v>
      </c>
      <c r="C565" s="15">
        <v>15375</v>
      </c>
      <c r="D565" s="13">
        <v>50</v>
      </c>
      <c r="F565" s="12" t="s">
        <v>1530</v>
      </c>
      <c r="G565" s="12" t="s">
        <v>159</v>
      </c>
      <c r="H565" s="15">
        <v>10700</v>
      </c>
      <c r="I565" s="13">
        <v>50</v>
      </c>
      <c r="K565" s="12" t="s">
        <v>1531</v>
      </c>
      <c r="L565" s="12" t="s">
        <v>157</v>
      </c>
      <c r="M565" s="15">
        <v>101960</v>
      </c>
      <c r="N565" s="13">
        <v>34</v>
      </c>
    </row>
    <row r="566" spans="1:14">
      <c r="A566" s="12" t="s">
        <v>1532</v>
      </c>
      <c r="B566" s="12" t="s">
        <v>157</v>
      </c>
      <c r="C566" s="15">
        <v>21038</v>
      </c>
      <c r="D566" s="13">
        <v>50</v>
      </c>
      <c r="F566" s="12" t="s">
        <v>1533</v>
      </c>
      <c r="G566" s="12" t="s">
        <v>159</v>
      </c>
      <c r="H566" s="15">
        <v>30000</v>
      </c>
      <c r="I566" s="13">
        <v>50</v>
      </c>
      <c r="K566" s="12" t="s">
        <v>594</v>
      </c>
      <c r="L566" s="12" t="s">
        <v>157</v>
      </c>
      <c r="M566" s="15">
        <v>158500</v>
      </c>
      <c r="N566" s="13">
        <v>34</v>
      </c>
    </row>
    <row r="567" spans="1:14">
      <c r="A567" s="12" t="s">
        <v>1534</v>
      </c>
      <c r="B567" s="12" t="s">
        <v>157</v>
      </c>
      <c r="C567" s="15">
        <v>13026</v>
      </c>
      <c r="D567" s="13">
        <v>50</v>
      </c>
      <c r="F567" s="12" t="s">
        <v>1535</v>
      </c>
      <c r="G567" s="12" t="s">
        <v>157</v>
      </c>
      <c r="H567" s="15">
        <v>14190</v>
      </c>
      <c r="I567" s="13">
        <v>50</v>
      </c>
      <c r="K567" s="12" t="s">
        <v>968</v>
      </c>
      <c r="L567" s="12" t="s">
        <v>157</v>
      </c>
      <c r="M567" s="15">
        <v>113846</v>
      </c>
      <c r="N567" s="13">
        <v>34</v>
      </c>
    </row>
    <row r="568" spans="1:14">
      <c r="A568" s="12" t="s">
        <v>1536</v>
      </c>
      <c r="B568" s="12" t="s">
        <v>157</v>
      </c>
      <c r="C568" s="15">
        <v>11755</v>
      </c>
      <c r="D568" s="13">
        <v>50</v>
      </c>
      <c r="F568" s="12" t="s">
        <v>1537</v>
      </c>
      <c r="G568" s="12" t="s">
        <v>159</v>
      </c>
      <c r="H568" s="15">
        <v>11500</v>
      </c>
      <c r="I568" s="13">
        <v>50</v>
      </c>
      <c r="K568" s="12" t="s">
        <v>1538</v>
      </c>
      <c r="L568" s="12" t="s">
        <v>157</v>
      </c>
      <c r="M568" s="15">
        <v>541741</v>
      </c>
      <c r="N568" s="13">
        <v>34</v>
      </c>
    </row>
    <row r="569" spans="1:14">
      <c r="A569" s="12" t="s">
        <v>1539</v>
      </c>
      <c r="B569" s="12" t="s">
        <v>157</v>
      </c>
      <c r="C569" s="15">
        <v>14100</v>
      </c>
      <c r="D569" s="13">
        <v>50</v>
      </c>
      <c r="F569" s="12" t="s">
        <v>1540</v>
      </c>
      <c r="G569" s="12" t="s">
        <v>159</v>
      </c>
      <c r="H569" s="15">
        <v>33300</v>
      </c>
      <c r="I569" s="13">
        <v>50</v>
      </c>
      <c r="K569" s="12" t="s">
        <v>1541</v>
      </c>
      <c r="L569" s="12" t="s">
        <v>157</v>
      </c>
      <c r="M569" s="15">
        <v>131541</v>
      </c>
      <c r="N569" s="13">
        <v>34</v>
      </c>
    </row>
    <row r="570" spans="1:14">
      <c r="A570" s="12" t="s">
        <v>1542</v>
      </c>
      <c r="B570" s="12" t="s">
        <v>157</v>
      </c>
      <c r="C570" s="15">
        <v>16812</v>
      </c>
      <c r="D570" s="13">
        <v>50</v>
      </c>
      <c r="F570" s="12" t="s">
        <v>1543</v>
      </c>
      <c r="G570" s="12" t="s">
        <v>157</v>
      </c>
      <c r="H570" s="15">
        <v>21997</v>
      </c>
      <c r="I570" s="13">
        <v>50</v>
      </c>
      <c r="K570" s="12" t="s">
        <v>1544</v>
      </c>
      <c r="L570" s="12" t="s">
        <v>159</v>
      </c>
      <c r="M570" s="15">
        <v>1200000</v>
      </c>
      <c r="N570" s="13">
        <v>33</v>
      </c>
    </row>
    <row r="571" spans="1:14">
      <c r="A571" s="12" t="s">
        <v>1545</v>
      </c>
      <c r="B571" s="12" t="s">
        <v>157</v>
      </c>
      <c r="C571" s="15">
        <v>24709</v>
      </c>
      <c r="D571" s="13">
        <v>50</v>
      </c>
      <c r="F571" s="12" t="s">
        <v>743</v>
      </c>
      <c r="G571" s="12" t="s">
        <v>157</v>
      </c>
      <c r="H571" s="15">
        <v>12286</v>
      </c>
      <c r="I571" s="13">
        <v>50</v>
      </c>
      <c r="K571" s="12" t="s">
        <v>1546</v>
      </c>
      <c r="L571" s="12" t="s">
        <v>157</v>
      </c>
      <c r="M571" s="15">
        <v>192986</v>
      </c>
      <c r="N571" s="13">
        <v>33</v>
      </c>
    </row>
    <row r="572" spans="1:14">
      <c r="A572" s="12" t="s">
        <v>1547</v>
      </c>
      <c r="B572" s="12" t="s">
        <v>157</v>
      </c>
      <c r="C572" s="15">
        <v>11459</v>
      </c>
      <c r="D572" s="13">
        <v>50</v>
      </c>
      <c r="F572" s="12" t="s">
        <v>1548</v>
      </c>
      <c r="G572" s="12" t="s">
        <v>159</v>
      </c>
      <c r="H572" s="15">
        <v>11900</v>
      </c>
      <c r="I572" s="13">
        <v>50</v>
      </c>
      <c r="K572" s="12" t="s">
        <v>1549</v>
      </c>
      <c r="L572" s="12" t="s">
        <v>159</v>
      </c>
      <c r="M572" s="15">
        <v>558800</v>
      </c>
      <c r="N572" s="13">
        <v>33</v>
      </c>
    </row>
    <row r="573" spans="1:14">
      <c r="A573" s="12" t="s">
        <v>1550</v>
      </c>
      <c r="B573" s="12" t="s">
        <v>157</v>
      </c>
      <c r="C573" s="15">
        <v>32535</v>
      </c>
      <c r="D573" s="13">
        <v>50</v>
      </c>
      <c r="F573" s="12" t="s">
        <v>1551</v>
      </c>
      <c r="G573" s="12" t="s">
        <v>157</v>
      </c>
      <c r="H573" s="15">
        <v>34572</v>
      </c>
      <c r="I573" s="13">
        <v>50</v>
      </c>
      <c r="K573" s="12" t="s">
        <v>1552</v>
      </c>
      <c r="L573" s="12" t="s">
        <v>159</v>
      </c>
      <c r="M573" s="15">
        <v>110100</v>
      </c>
      <c r="N573" s="13">
        <v>33</v>
      </c>
    </row>
    <row r="574" spans="1:14">
      <c r="A574" s="12" t="s">
        <v>1553</v>
      </c>
      <c r="B574" s="12" t="s">
        <v>157</v>
      </c>
      <c r="C574" s="15">
        <v>17438</v>
      </c>
      <c r="D574" s="13">
        <v>50</v>
      </c>
      <c r="F574" s="12" t="s">
        <v>1554</v>
      </c>
      <c r="G574" s="12" t="s">
        <v>157</v>
      </c>
      <c r="H574" s="15">
        <v>18974</v>
      </c>
      <c r="I574" s="13">
        <v>50</v>
      </c>
      <c r="K574" s="12" t="s">
        <v>1555</v>
      </c>
      <c r="L574" s="12" t="s">
        <v>157</v>
      </c>
      <c r="M574" s="15">
        <v>145130</v>
      </c>
      <c r="N574" s="13">
        <v>33</v>
      </c>
    </row>
    <row r="575" spans="1:14">
      <c r="A575" s="12" t="s">
        <v>1556</v>
      </c>
      <c r="B575" s="12" t="s">
        <v>157</v>
      </c>
      <c r="C575" s="15">
        <v>26228</v>
      </c>
      <c r="D575" s="13">
        <v>50</v>
      </c>
      <c r="F575" s="12" t="s">
        <v>1557</v>
      </c>
      <c r="G575" s="12" t="s">
        <v>159</v>
      </c>
      <c r="H575" s="15">
        <v>15200</v>
      </c>
      <c r="I575" s="13">
        <v>50</v>
      </c>
      <c r="K575" s="12" t="s">
        <v>1558</v>
      </c>
      <c r="L575" s="12" t="s">
        <v>157</v>
      </c>
      <c r="M575" s="15">
        <v>123936</v>
      </c>
      <c r="N575" s="13">
        <v>33</v>
      </c>
    </row>
    <row r="576" spans="1:14">
      <c r="A576" s="12" t="s">
        <v>1559</v>
      </c>
      <c r="B576" s="12" t="s">
        <v>157</v>
      </c>
      <c r="C576" s="15">
        <v>10908</v>
      </c>
      <c r="D576" s="13">
        <v>50</v>
      </c>
      <c r="F576" s="12" t="s">
        <v>1560</v>
      </c>
      <c r="G576" s="12" t="s">
        <v>159</v>
      </c>
      <c r="H576" s="15">
        <v>62200</v>
      </c>
      <c r="I576" s="13">
        <v>50</v>
      </c>
      <c r="K576" s="12" t="s">
        <v>1561</v>
      </c>
      <c r="L576" s="12" t="s">
        <v>157</v>
      </c>
      <c r="M576" s="15">
        <v>110812</v>
      </c>
      <c r="N576" s="13">
        <v>33</v>
      </c>
    </row>
    <row r="577" spans="1:14">
      <c r="A577" s="12" t="s">
        <v>1562</v>
      </c>
      <c r="B577" s="12" t="s">
        <v>157</v>
      </c>
      <c r="C577" s="15">
        <v>31536</v>
      </c>
      <c r="D577" s="13">
        <v>50</v>
      </c>
      <c r="F577" s="12" t="s">
        <v>1563</v>
      </c>
      <c r="G577" s="12" t="s">
        <v>159</v>
      </c>
      <c r="H577" s="15">
        <v>4640767</v>
      </c>
      <c r="I577" s="13">
        <v>50</v>
      </c>
      <c r="K577" s="12" t="s">
        <v>1564</v>
      </c>
      <c r="L577" s="12" t="s">
        <v>159</v>
      </c>
      <c r="M577" s="15">
        <v>283300</v>
      </c>
      <c r="N577" s="13">
        <v>33</v>
      </c>
    </row>
    <row r="578" spans="1:14">
      <c r="A578" s="12" t="s">
        <v>1565</v>
      </c>
      <c r="B578" s="12" t="s">
        <v>157</v>
      </c>
      <c r="C578" s="15">
        <v>22448</v>
      </c>
      <c r="D578" s="13">
        <v>50</v>
      </c>
      <c r="F578" s="12" t="s">
        <v>1566</v>
      </c>
      <c r="G578" s="12" t="s">
        <v>159</v>
      </c>
      <c r="H578" s="15">
        <v>21900</v>
      </c>
      <c r="I578" s="13">
        <v>50</v>
      </c>
      <c r="K578" s="12" t="s">
        <v>888</v>
      </c>
      <c r="L578" s="12" t="s">
        <v>157</v>
      </c>
      <c r="M578" s="15">
        <v>382923</v>
      </c>
      <c r="N578" s="13">
        <v>33</v>
      </c>
    </row>
    <row r="579" spans="1:14">
      <c r="A579" s="12" t="s">
        <v>1567</v>
      </c>
      <c r="B579" s="12" t="s">
        <v>157</v>
      </c>
      <c r="C579" s="15">
        <v>25289</v>
      </c>
      <c r="D579" s="13">
        <v>50</v>
      </c>
      <c r="F579" s="12" t="s">
        <v>1568</v>
      </c>
      <c r="G579" s="12" t="s">
        <v>159</v>
      </c>
      <c r="H579" s="15">
        <v>19000</v>
      </c>
      <c r="I579" s="13">
        <v>50</v>
      </c>
      <c r="K579" s="12" t="s">
        <v>894</v>
      </c>
      <c r="L579" s="12" t="s">
        <v>159</v>
      </c>
      <c r="M579" s="15">
        <v>148500</v>
      </c>
      <c r="N579" s="13">
        <v>33</v>
      </c>
    </row>
    <row r="580" spans="1:14">
      <c r="A580" s="12" t="s">
        <v>1569</v>
      </c>
      <c r="B580" s="12" t="s">
        <v>157</v>
      </c>
      <c r="C580" s="15">
        <v>18741</v>
      </c>
      <c r="D580" s="13">
        <v>50</v>
      </c>
      <c r="F580" s="12" t="s">
        <v>1570</v>
      </c>
      <c r="G580" s="12" t="s">
        <v>159</v>
      </c>
      <c r="H580" s="15">
        <v>20000</v>
      </c>
      <c r="I580" s="13">
        <v>50</v>
      </c>
      <c r="K580" s="12" t="s">
        <v>1571</v>
      </c>
      <c r="L580" s="12" t="s">
        <v>159</v>
      </c>
      <c r="M580" s="15">
        <v>253400</v>
      </c>
      <c r="N580" s="13">
        <v>33</v>
      </c>
    </row>
    <row r="581" spans="1:14">
      <c r="A581" s="12" t="s">
        <v>1572</v>
      </c>
      <c r="B581" s="12" t="s">
        <v>157</v>
      </c>
      <c r="C581" s="15">
        <v>18219</v>
      </c>
      <c r="D581" s="13">
        <v>50</v>
      </c>
      <c r="F581" s="12" t="s">
        <v>1573</v>
      </c>
      <c r="G581" s="12" t="s">
        <v>159</v>
      </c>
      <c r="H581" s="15">
        <v>98000</v>
      </c>
      <c r="I581" s="13">
        <v>50</v>
      </c>
      <c r="K581" s="12" t="s">
        <v>1574</v>
      </c>
      <c r="L581" s="12" t="s">
        <v>157</v>
      </c>
      <c r="M581" s="15">
        <v>159585</v>
      </c>
      <c r="N581" s="13">
        <v>33</v>
      </c>
    </row>
    <row r="582" spans="1:14">
      <c r="A582" s="12" t="s">
        <v>1575</v>
      </c>
      <c r="B582" s="12" t="s">
        <v>157</v>
      </c>
      <c r="C582" s="15">
        <v>10884</v>
      </c>
      <c r="D582" s="13">
        <v>50</v>
      </c>
      <c r="F582" s="12" t="s">
        <v>1576</v>
      </c>
      <c r="G582" s="12" t="s">
        <v>157</v>
      </c>
      <c r="H582" s="15">
        <v>11705</v>
      </c>
      <c r="I582" s="13">
        <v>50</v>
      </c>
      <c r="K582" s="12" t="s">
        <v>1577</v>
      </c>
      <c r="L582" s="12" t="s">
        <v>157</v>
      </c>
      <c r="M582" s="15">
        <v>100930</v>
      </c>
      <c r="N582" s="13">
        <v>33</v>
      </c>
    </row>
    <row r="583" spans="1:14">
      <c r="A583" s="12" t="s">
        <v>1578</v>
      </c>
      <c r="B583" s="12" t="s">
        <v>157</v>
      </c>
      <c r="C583" s="15">
        <v>15896</v>
      </c>
      <c r="D583" s="13">
        <v>50</v>
      </c>
      <c r="F583" s="12" t="s">
        <v>1579</v>
      </c>
      <c r="G583" s="12" t="s">
        <v>159</v>
      </c>
      <c r="H583" s="15">
        <v>14600</v>
      </c>
      <c r="I583" s="13">
        <v>50</v>
      </c>
      <c r="K583" s="12" t="s">
        <v>1580</v>
      </c>
      <c r="L583" s="12" t="s">
        <v>157</v>
      </c>
      <c r="M583" s="15">
        <v>197399</v>
      </c>
      <c r="N583" s="13">
        <v>33</v>
      </c>
    </row>
    <row r="584" spans="1:14">
      <c r="A584" s="12" t="s">
        <v>1581</v>
      </c>
      <c r="B584" s="12" t="s">
        <v>157</v>
      </c>
      <c r="C584" s="15">
        <v>16666</v>
      </c>
      <c r="D584" s="13">
        <v>50</v>
      </c>
      <c r="F584" s="12" t="s">
        <v>1582</v>
      </c>
      <c r="G584" s="12" t="s">
        <v>159</v>
      </c>
      <c r="H584" s="15">
        <v>349000</v>
      </c>
      <c r="I584" s="13">
        <v>50</v>
      </c>
      <c r="K584" s="12" t="s">
        <v>613</v>
      </c>
      <c r="L584" s="12" t="s">
        <v>157</v>
      </c>
      <c r="M584" s="15">
        <v>420042</v>
      </c>
      <c r="N584" s="13">
        <v>33</v>
      </c>
    </row>
    <row r="585" spans="1:14">
      <c r="A585" s="12" t="s">
        <v>1583</v>
      </c>
      <c r="B585" s="12" t="s">
        <v>157</v>
      </c>
      <c r="C585" s="15">
        <v>10029</v>
      </c>
      <c r="D585" s="13">
        <v>50</v>
      </c>
      <c r="F585" s="12" t="s">
        <v>1584</v>
      </c>
      <c r="G585" s="12" t="s">
        <v>159</v>
      </c>
      <c r="H585" s="15">
        <v>74700</v>
      </c>
      <c r="I585" s="13">
        <v>50</v>
      </c>
      <c r="K585" s="12" t="s">
        <v>614</v>
      </c>
      <c r="L585" s="12" t="s">
        <v>157</v>
      </c>
      <c r="M585" s="15">
        <v>269064</v>
      </c>
      <c r="N585" s="13">
        <v>33</v>
      </c>
    </row>
    <row r="586" spans="1:14">
      <c r="A586" s="12" t="s">
        <v>1585</v>
      </c>
      <c r="B586" s="12" t="s">
        <v>157</v>
      </c>
      <c r="C586" s="15">
        <v>10246</v>
      </c>
      <c r="D586" s="13">
        <v>50</v>
      </c>
      <c r="F586" s="12" t="s">
        <v>1586</v>
      </c>
      <c r="G586" s="12" t="s">
        <v>159</v>
      </c>
      <c r="H586" s="15">
        <v>1300000</v>
      </c>
      <c r="I586" s="13">
        <v>50</v>
      </c>
      <c r="K586" s="12" t="s">
        <v>1587</v>
      </c>
      <c r="L586" s="12" t="s">
        <v>157</v>
      </c>
      <c r="M586" s="15">
        <v>102498</v>
      </c>
      <c r="N586" s="13">
        <v>33</v>
      </c>
    </row>
    <row r="587" spans="1:14">
      <c r="A587" s="12" t="s">
        <v>1588</v>
      </c>
      <c r="B587" s="12" t="s">
        <v>157</v>
      </c>
      <c r="C587" s="15">
        <v>21658</v>
      </c>
      <c r="D587" s="13">
        <v>50</v>
      </c>
      <c r="F587" s="12" t="s">
        <v>745</v>
      </c>
      <c r="G587" s="12" t="s">
        <v>157</v>
      </c>
      <c r="H587" s="15">
        <v>10501</v>
      </c>
      <c r="I587" s="13">
        <v>50</v>
      </c>
      <c r="K587" s="12" t="s">
        <v>1589</v>
      </c>
      <c r="L587" s="12" t="s">
        <v>157</v>
      </c>
      <c r="M587" s="15">
        <v>264379</v>
      </c>
      <c r="N587" s="13">
        <v>33</v>
      </c>
    </row>
    <row r="588" spans="1:14">
      <c r="A588" s="12" t="s">
        <v>1590</v>
      </c>
      <c r="B588" s="12" t="s">
        <v>157</v>
      </c>
      <c r="C588" s="15">
        <v>26344</v>
      </c>
      <c r="D588" s="13">
        <v>50</v>
      </c>
      <c r="F588" s="12" t="s">
        <v>1591</v>
      </c>
      <c r="G588" s="12" t="s">
        <v>157</v>
      </c>
      <c r="H588" s="15">
        <v>31354</v>
      </c>
      <c r="I588" s="13">
        <v>50</v>
      </c>
      <c r="K588" s="12" t="s">
        <v>1592</v>
      </c>
      <c r="L588" s="12" t="s">
        <v>157</v>
      </c>
      <c r="M588" s="15">
        <v>121272</v>
      </c>
      <c r="N588" s="13">
        <v>33</v>
      </c>
    </row>
    <row r="589" spans="1:14">
      <c r="A589" s="12" t="s">
        <v>1593</v>
      </c>
      <c r="B589" s="12" t="s">
        <v>157</v>
      </c>
      <c r="C589" s="15">
        <v>32212</v>
      </c>
      <c r="D589" s="13">
        <v>50</v>
      </c>
      <c r="F589" s="12" t="s">
        <v>1594</v>
      </c>
      <c r="G589" s="12" t="s">
        <v>157</v>
      </c>
      <c r="H589" s="15">
        <v>22766</v>
      </c>
      <c r="I589" s="13">
        <v>50</v>
      </c>
      <c r="K589" s="12" t="s">
        <v>1595</v>
      </c>
      <c r="L589" s="12" t="s">
        <v>159</v>
      </c>
      <c r="M589" s="15">
        <v>103700</v>
      </c>
      <c r="N589" s="13">
        <v>33</v>
      </c>
    </row>
    <row r="590" spans="1:14">
      <c r="A590" s="12" t="s">
        <v>1596</v>
      </c>
      <c r="B590" s="12" t="s">
        <v>157</v>
      </c>
      <c r="C590" s="15">
        <v>13147</v>
      </c>
      <c r="D590" s="13">
        <v>50</v>
      </c>
      <c r="F590" s="12" t="s">
        <v>1597</v>
      </c>
      <c r="G590" s="12" t="s">
        <v>159</v>
      </c>
      <c r="H590" s="15">
        <v>19400</v>
      </c>
      <c r="I590" s="13">
        <v>50</v>
      </c>
      <c r="K590" s="12" t="s">
        <v>593</v>
      </c>
      <c r="L590" s="12" t="s">
        <v>157</v>
      </c>
      <c r="M590" s="15">
        <v>109311</v>
      </c>
      <c r="N590" s="13">
        <v>33</v>
      </c>
    </row>
    <row r="591" spans="1:14">
      <c r="A591" s="12" t="s">
        <v>1598</v>
      </c>
      <c r="B591" s="12" t="s">
        <v>157</v>
      </c>
      <c r="C591" s="15">
        <v>34714</v>
      </c>
      <c r="D591" s="13">
        <v>50</v>
      </c>
      <c r="F591" s="12" t="s">
        <v>1599</v>
      </c>
      <c r="G591" s="12" t="s">
        <v>159</v>
      </c>
      <c r="H591" s="15">
        <v>258600</v>
      </c>
      <c r="I591" s="13">
        <v>50</v>
      </c>
      <c r="K591" s="12" t="s">
        <v>1600</v>
      </c>
      <c r="L591" s="12" t="s">
        <v>157</v>
      </c>
      <c r="M591" s="15">
        <v>204433</v>
      </c>
      <c r="N591" s="13">
        <v>33</v>
      </c>
    </row>
    <row r="592" spans="1:14">
      <c r="A592" s="12" t="s">
        <v>1601</v>
      </c>
      <c r="B592" s="12" t="s">
        <v>157</v>
      </c>
      <c r="C592" s="15">
        <v>21998</v>
      </c>
      <c r="D592" s="13">
        <v>50</v>
      </c>
      <c r="F592" s="12" t="s">
        <v>1602</v>
      </c>
      <c r="G592" s="12" t="s">
        <v>157</v>
      </c>
      <c r="H592" s="15">
        <v>14142</v>
      </c>
      <c r="I592" s="13">
        <v>50</v>
      </c>
      <c r="K592" s="12" t="s">
        <v>1603</v>
      </c>
      <c r="L592" s="12" t="s">
        <v>157</v>
      </c>
      <c r="M592" s="15">
        <v>100675</v>
      </c>
      <c r="N592" s="13">
        <v>33</v>
      </c>
    </row>
    <row r="593" spans="1:14">
      <c r="A593" s="12" t="s">
        <v>1604</v>
      </c>
      <c r="B593" s="12" t="s">
        <v>157</v>
      </c>
      <c r="C593" s="15">
        <v>27078</v>
      </c>
      <c r="D593" s="13">
        <v>50</v>
      </c>
      <c r="F593" s="12" t="s">
        <v>1605</v>
      </c>
      <c r="G593" s="12" t="s">
        <v>159</v>
      </c>
      <c r="H593" s="15">
        <v>30600</v>
      </c>
      <c r="I593" s="13">
        <v>50</v>
      </c>
      <c r="K593" s="12" t="s">
        <v>1606</v>
      </c>
      <c r="L593" s="12" t="s">
        <v>157</v>
      </c>
      <c r="M593" s="15">
        <v>704942</v>
      </c>
      <c r="N593" s="13">
        <v>33</v>
      </c>
    </row>
    <row r="594" spans="1:14">
      <c r="A594" s="12" t="s">
        <v>1607</v>
      </c>
      <c r="B594" s="12" t="s">
        <v>157</v>
      </c>
      <c r="C594" s="15">
        <v>10761</v>
      </c>
      <c r="D594" s="13">
        <v>50</v>
      </c>
      <c r="F594" s="12" t="s">
        <v>1608</v>
      </c>
      <c r="G594" s="12" t="s">
        <v>159</v>
      </c>
      <c r="H594" s="15">
        <v>47400</v>
      </c>
      <c r="I594" s="13">
        <v>50</v>
      </c>
      <c r="K594" s="12" t="s">
        <v>1609</v>
      </c>
      <c r="L594" s="12" t="s">
        <v>157</v>
      </c>
      <c r="M594" s="15">
        <v>107102</v>
      </c>
      <c r="N594" s="13">
        <v>32</v>
      </c>
    </row>
    <row r="595" spans="1:14">
      <c r="A595" s="12" t="s">
        <v>1610</v>
      </c>
      <c r="B595" s="12" t="s">
        <v>157</v>
      </c>
      <c r="C595" s="15">
        <v>10739</v>
      </c>
      <c r="D595" s="13">
        <v>50</v>
      </c>
      <c r="F595" s="12" t="s">
        <v>747</v>
      </c>
      <c r="G595" s="12" t="s">
        <v>157</v>
      </c>
      <c r="H595" s="15">
        <v>23183</v>
      </c>
      <c r="I595" s="13">
        <v>50</v>
      </c>
      <c r="K595" s="12" t="s">
        <v>1611</v>
      </c>
      <c r="L595" s="12" t="s">
        <v>157</v>
      </c>
      <c r="M595" s="15">
        <v>188292</v>
      </c>
      <c r="N595" s="13">
        <v>32</v>
      </c>
    </row>
    <row r="596" spans="1:14">
      <c r="A596" s="12" t="s">
        <v>1612</v>
      </c>
      <c r="B596" s="12" t="s">
        <v>157</v>
      </c>
      <c r="C596" s="15">
        <v>20835</v>
      </c>
      <c r="D596" s="13">
        <v>50</v>
      </c>
      <c r="F596" s="12" t="s">
        <v>1613</v>
      </c>
      <c r="G596" s="12" t="s">
        <v>157</v>
      </c>
      <c r="H596" s="15">
        <v>20074</v>
      </c>
      <c r="I596" s="13">
        <v>50</v>
      </c>
      <c r="K596" s="12" t="s">
        <v>1614</v>
      </c>
      <c r="L596" s="12" t="s">
        <v>157</v>
      </c>
      <c r="M596" s="15">
        <v>110261</v>
      </c>
      <c r="N596" s="13">
        <v>32</v>
      </c>
    </row>
    <row r="597" spans="1:14">
      <c r="A597" s="12" t="s">
        <v>1615</v>
      </c>
      <c r="B597" s="12" t="s">
        <v>157</v>
      </c>
      <c r="C597" s="15">
        <v>42145</v>
      </c>
      <c r="D597" s="13">
        <v>50</v>
      </c>
      <c r="F597" s="12" t="s">
        <v>1616</v>
      </c>
      <c r="G597" s="12" t="s">
        <v>159</v>
      </c>
      <c r="H597" s="15">
        <v>41500</v>
      </c>
      <c r="I597" s="13">
        <v>50</v>
      </c>
      <c r="K597" s="12" t="s">
        <v>1617</v>
      </c>
      <c r="L597" s="12" t="s">
        <v>157</v>
      </c>
      <c r="M597" s="15">
        <v>163563</v>
      </c>
      <c r="N597" s="13">
        <v>32</v>
      </c>
    </row>
    <row r="598" spans="1:14">
      <c r="A598" s="12" t="s">
        <v>1618</v>
      </c>
      <c r="B598" s="12" t="s">
        <v>157</v>
      </c>
      <c r="C598" s="15">
        <v>14650</v>
      </c>
      <c r="D598" s="13">
        <v>50</v>
      </c>
      <c r="F598" s="12" t="s">
        <v>1619</v>
      </c>
      <c r="G598" s="12" t="s">
        <v>157</v>
      </c>
      <c r="H598" s="15">
        <v>12101</v>
      </c>
      <c r="I598" s="13">
        <v>50</v>
      </c>
      <c r="K598" s="12" t="s">
        <v>1620</v>
      </c>
      <c r="L598" s="12" t="s">
        <v>157</v>
      </c>
      <c r="M598" s="15">
        <v>107820</v>
      </c>
      <c r="N598" s="13">
        <v>32</v>
      </c>
    </row>
    <row r="599" spans="1:14">
      <c r="A599" s="12" t="s">
        <v>1621</v>
      </c>
      <c r="B599" s="12" t="s">
        <v>157</v>
      </c>
      <c r="C599" s="15">
        <v>10851</v>
      </c>
      <c r="D599" s="13">
        <v>50</v>
      </c>
      <c r="F599" s="12" t="s">
        <v>749</v>
      </c>
      <c r="G599" s="12" t="s">
        <v>157</v>
      </c>
      <c r="H599" s="15">
        <v>20628</v>
      </c>
      <c r="I599" s="13">
        <v>50</v>
      </c>
      <c r="K599" s="12" t="s">
        <v>1622</v>
      </c>
      <c r="L599" s="12" t="s">
        <v>157</v>
      </c>
      <c r="M599" s="15">
        <v>934301</v>
      </c>
      <c r="N599" s="13">
        <v>32</v>
      </c>
    </row>
    <row r="600" spans="1:14">
      <c r="A600" s="12" t="s">
        <v>1623</v>
      </c>
      <c r="B600" s="12" t="s">
        <v>157</v>
      </c>
      <c r="C600" s="15">
        <v>11733</v>
      </c>
      <c r="D600" s="13">
        <v>50</v>
      </c>
      <c r="F600" s="12" t="s">
        <v>1624</v>
      </c>
      <c r="G600" s="12" t="s">
        <v>159</v>
      </c>
      <c r="H600" s="15">
        <v>15900</v>
      </c>
      <c r="I600" s="13">
        <v>50</v>
      </c>
      <c r="K600" s="12" t="s">
        <v>1625</v>
      </c>
      <c r="L600" s="12" t="s">
        <v>157</v>
      </c>
      <c r="M600" s="15">
        <v>191044</v>
      </c>
      <c r="N600" s="13">
        <v>32</v>
      </c>
    </row>
    <row r="601" spans="1:14">
      <c r="A601" s="12" t="s">
        <v>1626</v>
      </c>
      <c r="B601" s="12" t="s">
        <v>157</v>
      </c>
      <c r="C601" s="15">
        <v>14195</v>
      </c>
      <c r="D601" s="13">
        <v>50</v>
      </c>
      <c r="F601" s="12" t="s">
        <v>1627</v>
      </c>
      <c r="G601" s="12" t="s">
        <v>159</v>
      </c>
      <c r="H601" s="15">
        <v>66400</v>
      </c>
      <c r="I601" s="13">
        <v>50</v>
      </c>
      <c r="K601" s="12" t="s">
        <v>1628</v>
      </c>
      <c r="L601" s="12" t="s">
        <v>159</v>
      </c>
      <c r="M601" s="15">
        <v>1300000</v>
      </c>
      <c r="N601" s="13">
        <v>32</v>
      </c>
    </row>
    <row r="602" spans="1:14">
      <c r="A602" s="12" t="s">
        <v>1629</v>
      </c>
      <c r="B602" s="12" t="s">
        <v>157</v>
      </c>
      <c r="C602" s="15">
        <v>17352</v>
      </c>
      <c r="D602" s="13">
        <v>50</v>
      </c>
      <c r="F602" s="12" t="s">
        <v>751</v>
      </c>
      <c r="G602" s="12" t="s">
        <v>157</v>
      </c>
      <c r="H602" s="15">
        <v>11774</v>
      </c>
      <c r="I602" s="13">
        <v>50</v>
      </c>
      <c r="K602" s="12" t="s">
        <v>1630</v>
      </c>
      <c r="L602" s="12" t="s">
        <v>157</v>
      </c>
      <c r="M602" s="15">
        <v>103861</v>
      </c>
      <c r="N602" s="13">
        <v>32</v>
      </c>
    </row>
    <row r="603" spans="1:14">
      <c r="A603" s="12" t="s">
        <v>1631</v>
      </c>
      <c r="B603" s="12" t="s">
        <v>157</v>
      </c>
      <c r="C603" s="15">
        <v>14173</v>
      </c>
      <c r="D603" s="13">
        <v>50</v>
      </c>
      <c r="F603" s="12" t="s">
        <v>1632</v>
      </c>
      <c r="G603" s="12" t="s">
        <v>157</v>
      </c>
      <c r="H603" s="15">
        <v>21924</v>
      </c>
      <c r="I603" s="13">
        <v>50</v>
      </c>
      <c r="K603" s="12" t="s">
        <v>1633</v>
      </c>
      <c r="L603" s="12" t="s">
        <v>157</v>
      </c>
      <c r="M603" s="15">
        <v>155628</v>
      </c>
      <c r="N603" s="13">
        <v>32</v>
      </c>
    </row>
    <row r="604" spans="1:14">
      <c r="A604" s="12" t="s">
        <v>1634</v>
      </c>
      <c r="B604" s="12" t="s">
        <v>157</v>
      </c>
      <c r="C604" s="15">
        <v>16358</v>
      </c>
      <c r="D604" s="13">
        <v>50</v>
      </c>
      <c r="F604" s="12" t="s">
        <v>1635</v>
      </c>
      <c r="G604" s="12" t="s">
        <v>157</v>
      </c>
      <c r="H604" s="15">
        <v>11216</v>
      </c>
      <c r="I604" s="13">
        <v>50</v>
      </c>
      <c r="K604" s="12" t="s">
        <v>654</v>
      </c>
      <c r="L604" s="12" t="s">
        <v>157</v>
      </c>
      <c r="M604" s="15">
        <v>205371</v>
      </c>
      <c r="N604" s="13">
        <v>32</v>
      </c>
    </row>
    <row r="605" spans="1:14">
      <c r="A605" s="12" t="s">
        <v>1636</v>
      </c>
      <c r="B605" s="12" t="s">
        <v>157</v>
      </c>
      <c r="C605" s="15">
        <v>15380</v>
      </c>
      <c r="D605" s="13">
        <v>50</v>
      </c>
      <c r="F605" s="12" t="s">
        <v>1637</v>
      </c>
      <c r="G605" s="12" t="s">
        <v>157</v>
      </c>
      <c r="H605" s="15">
        <v>28008</v>
      </c>
      <c r="I605" s="13">
        <v>50</v>
      </c>
      <c r="K605" s="12" t="s">
        <v>1638</v>
      </c>
      <c r="L605" s="12" t="s">
        <v>159</v>
      </c>
      <c r="M605" s="15">
        <v>144600</v>
      </c>
      <c r="N605" s="13">
        <v>32</v>
      </c>
    </row>
    <row r="606" spans="1:14">
      <c r="A606" s="12" t="s">
        <v>1639</v>
      </c>
      <c r="B606" s="12" t="s">
        <v>157</v>
      </c>
      <c r="C606" s="15">
        <v>22044</v>
      </c>
      <c r="D606" s="13">
        <v>50</v>
      </c>
      <c r="F606" s="12" t="s">
        <v>1640</v>
      </c>
      <c r="G606" s="12" t="s">
        <v>157</v>
      </c>
      <c r="H606" s="15">
        <v>18287</v>
      </c>
      <c r="I606" s="13">
        <v>50</v>
      </c>
      <c r="K606" s="12" t="s">
        <v>662</v>
      </c>
      <c r="L606" s="12" t="s">
        <v>157</v>
      </c>
      <c r="M606" s="15">
        <v>113909</v>
      </c>
      <c r="N606" s="13">
        <v>32</v>
      </c>
    </row>
    <row r="607" spans="1:14">
      <c r="A607" s="12" t="s">
        <v>1641</v>
      </c>
      <c r="B607" s="12" t="s">
        <v>157</v>
      </c>
      <c r="C607" s="15">
        <v>16982</v>
      </c>
      <c r="D607" s="13">
        <v>50</v>
      </c>
      <c r="F607" s="12" t="s">
        <v>1642</v>
      </c>
      <c r="G607" s="12" t="s">
        <v>159</v>
      </c>
      <c r="H607" s="15">
        <v>61700</v>
      </c>
      <c r="I607" s="13">
        <v>50</v>
      </c>
      <c r="K607" s="12" t="s">
        <v>1643</v>
      </c>
      <c r="L607" s="12" t="s">
        <v>157</v>
      </c>
      <c r="M607" s="15">
        <v>100283</v>
      </c>
      <c r="N607" s="13">
        <v>32</v>
      </c>
    </row>
    <row r="608" spans="1:14">
      <c r="A608" s="12" t="s">
        <v>1644</v>
      </c>
      <c r="B608" s="12" t="s">
        <v>157</v>
      </c>
      <c r="C608" s="15">
        <v>15505</v>
      </c>
      <c r="D608" s="13">
        <v>50</v>
      </c>
      <c r="F608" s="12" t="s">
        <v>1645</v>
      </c>
      <c r="G608" s="12" t="s">
        <v>159</v>
      </c>
      <c r="H608" s="15">
        <v>305600</v>
      </c>
      <c r="I608" s="13">
        <v>50</v>
      </c>
      <c r="K608" s="12" t="s">
        <v>963</v>
      </c>
      <c r="L608" s="12" t="s">
        <v>157</v>
      </c>
      <c r="M608" s="15">
        <v>121604</v>
      </c>
      <c r="N608" s="13">
        <v>32</v>
      </c>
    </row>
    <row r="609" spans="1:14">
      <c r="A609" s="12" t="s">
        <v>1646</v>
      </c>
      <c r="B609" s="12" t="s">
        <v>157</v>
      </c>
      <c r="C609" s="15">
        <v>18808</v>
      </c>
      <c r="D609" s="13">
        <v>50</v>
      </c>
      <c r="F609" s="12" t="s">
        <v>1647</v>
      </c>
      <c r="G609" s="12" t="s">
        <v>157</v>
      </c>
      <c r="H609" s="15">
        <v>22690</v>
      </c>
      <c r="I609" s="13">
        <v>50</v>
      </c>
      <c r="K609" s="12" t="s">
        <v>1648</v>
      </c>
      <c r="L609" s="12" t="s">
        <v>157</v>
      </c>
      <c r="M609" s="15">
        <v>142167</v>
      </c>
      <c r="N609" s="13">
        <v>32</v>
      </c>
    </row>
    <row r="610" spans="1:14">
      <c r="A610" s="12" t="s">
        <v>1649</v>
      </c>
      <c r="B610" s="12" t="s">
        <v>157</v>
      </c>
      <c r="C610" s="15">
        <v>13232</v>
      </c>
      <c r="D610" s="13">
        <v>50</v>
      </c>
      <c r="F610" s="12" t="s">
        <v>1650</v>
      </c>
      <c r="G610" s="12" t="s">
        <v>159</v>
      </c>
      <c r="H610" s="15">
        <v>38300</v>
      </c>
      <c r="I610" s="13">
        <v>50</v>
      </c>
      <c r="K610" s="12" t="s">
        <v>1651</v>
      </c>
      <c r="L610" s="12" t="s">
        <v>157</v>
      </c>
      <c r="M610" s="15">
        <v>136150</v>
      </c>
      <c r="N610" s="13">
        <v>32</v>
      </c>
    </row>
    <row r="611" spans="1:14">
      <c r="A611" s="12" t="s">
        <v>1652</v>
      </c>
      <c r="B611" s="12" t="s">
        <v>157</v>
      </c>
      <c r="C611" s="15">
        <v>18430</v>
      </c>
      <c r="D611" s="13">
        <v>50</v>
      </c>
      <c r="F611" s="12" t="s">
        <v>1653</v>
      </c>
      <c r="G611" s="12" t="s">
        <v>157</v>
      </c>
      <c r="H611" s="15">
        <v>10107</v>
      </c>
      <c r="I611" s="13">
        <v>50</v>
      </c>
      <c r="K611" s="12" t="s">
        <v>1654</v>
      </c>
      <c r="L611" s="12" t="s">
        <v>157</v>
      </c>
      <c r="M611" s="15">
        <v>107204</v>
      </c>
      <c r="N611" s="13">
        <v>32</v>
      </c>
    </row>
    <row r="612" spans="1:14">
      <c r="A612" s="12" t="s">
        <v>1655</v>
      </c>
      <c r="B612" s="12" t="s">
        <v>157</v>
      </c>
      <c r="C612" s="15">
        <v>14078</v>
      </c>
      <c r="D612" s="13">
        <v>50</v>
      </c>
      <c r="F612" s="12" t="s">
        <v>753</v>
      </c>
      <c r="G612" s="12" t="s">
        <v>157</v>
      </c>
      <c r="H612" s="15">
        <v>25175</v>
      </c>
      <c r="I612" s="13">
        <v>50</v>
      </c>
      <c r="K612" s="12" t="s">
        <v>1656</v>
      </c>
      <c r="L612" s="12" t="s">
        <v>159</v>
      </c>
      <c r="M612" s="15">
        <v>613500</v>
      </c>
      <c r="N612" s="13">
        <v>31</v>
      </c>
    </row>
    <row r="613" spans="1:14">
      <c r="A613" s="12" t="s">
        <v>1657</v>
      </c>
      <c r="B613" s="12" t="s">
        <v>157</v>
      </c>
      <c r="C613" s="15">
        <v>20970</v>
      </c>
      <c r="D613" s="13">
        <v>50</v>
      </c>
      <c r="F613" s="12" t="s">
        <v>1658</v>
      </c>
      <c r="G613" s="12" t="s">
        <v>159</v>
      </c>
      <c r="H613" s="15">
        <v>245300</v>
      </c>
      <c r="I613" s="13">
        <v>50</v>
      </c>
      <c r="K613" s="12" t="s">
        <v>1659</v>
      </c>
      <c r="L613" s="12" t="s">
        <v>157</v>
      </c>
      <c r="M613" s="15">
        <v>105143</v>
      </c>
      <c r="N613" s="13">
        <v>31</v>
      </c>
    </row>
    <row r="614" spans="1:14">
      <c r="A614" s="12" t="s">
        <v>1660</v>
      </c>
      <c r="B614" s="12" t="s">
        <v>157</v>
      </c>
      <c r="C614" s="15">
        <v>17056</v>
      </c>
      <c r="D614" s="13">
        <v>50</v>
      </c>
      <c r="F614" s="12" t="s">
        <v>1661</v>
      </c>
      <c r="G614" s="12" t="s">
        <v>159</v>
      </c>
      <c r="H614" s="15">
        <v>16000</v>
      </c>
      <c r="I614" s="13">
        <v>50</v>
      </c>
      <c r="K614" s="12" t="s">
        <v>1662</v>
      </c>
      <c r="L614" s="12" t="s">
        <v>157</v>
      </c>
      <c r="M614" s="15">
        <v>206887</v>
      </c>
      <c r="N614" s="13">
        <v>31</v>
      </c>
    </row>
    <row r="615" spans="1:14">
      <c r="A615" s="12" t="s">
        <v>1663</v>
      </c>
      <c r="B615" s="12" t="s">
        <v>157</v>
      </c>
      <c r="C615" s="15">
        <v>10422</v>
      </c>
      <c r="D615" s="13">
        <v>50</v>
      </c>
      <c r="F615" s="12" t="s">
        <v>755</v>
      </c>
      <c r="G615" s="12" t="s">
        <v>157</v>
      </c>
      <c r="H615" s="15">
        <v>19694</v>
      </c>
      <c r="I615" s="13">
        <v>50</v>
      </c>
      <c r="K615" s="12" t="s">
        <v>1664</v>
      </c>
      <c r="L615" s="12" t="s">
        <v>159</v>
      </c>
      <c r="M615" s="15">
        <v>314300</v>
      </c>
      <c r="N615" s="13">
        <v>31</v>
      </c>
    </row>
    <row r="616" spans="1:14">
      <c r="A616" s="12" t="s">
        <v>1665</v>
      </c>
      <c r="B616" s="12" t="s">
        <v>157</v>
      </c>
      <c r="C616" s="15">
        <v>11323</v>
      </c>
      <c r="D616" s="13">
        <v>50</v>
      </c>
      <c r="F616" s="12" t="s">
        <v>757</v>
      </c>
      <c r="G616" s="12" t="s">
        <v>157</v>
      </c>
      <c r="H616" s="15">
        <v>14527</v>
      </c>
      <c r="I616" s="13">
        <v>50</v>
      </c>
      <c r="K616" s="12" t="s">
        <v>1666</v>
      </c>
      <c r="L616" s="12" t="s">
        <v>157</v>
      </c>
      <c r="M616" s="15">
        <v>285213</v>
      </c>
      <c r="N616" s="13">
        <v>31</v>
      </c>
    </row>
    <row r="617" spans="1:14">
      <c r="A617" s="12" t="s">
        <v>1667</v>
      </c>
      <c r="B617" s="12" t="s">
        <v>157</v>
      </c>
      <c r="C617" s="15">
        <v>11740</v>
      </c>
      <c r="D617" s="13">
        <v>50</v>
      </c>
      <c r="F617" s="12" t="s">
        <v>1668</v>
      </c>
      <c r="G617" s="12" t="s">
        <v>159</v>
      </c>
      <c r="H617" s="15">
        <v>17900</v>
      </c>
      <c r="I617" s="13">
        <v>50</v>
      </c>
      <c r="K617" s="12" t="s">
        <v>1669</v>
      </c>
      <c r="L617" s="12" t="s">
        <v>157</v>
      </c>
      <c r="M617" s="15">
        <v>104393</v>
      </c>
      <c r="N617" s="13">
        <v>31</v>
      </c>
    </row>
    <row r="618" spans="1:14">
      <c r="A618" s="12" t="s">
        <v>1670</v>
      </c>
      <c r="B618" s="12" t="s">
        <v>157</v>
      </c>
      <c r="C618" s="15">
        <v>13895</v>
      </c>
      <c r="D618" s="13">
        <v>50</v>
      </c>
      <c r="F618" s="12" t="s">
        <v>758</v>
      </c>
      <c r="G618" s="12" t="s">
        <v>157</v>
      </c>
      <c r="H618" s="15">
        <v>19061</v>
      </c>
      <c r="I618" s="13">
        <v>50</v>
      </c>
      <c r="K618" s="12" t="s">
        <v>1671</v>
      </c>
      <c r="L618" s="12" t="s">
        <v>159</v>
      </c>
      <c r="M618" s="15">
        <v>149100</v>
      </c>
      <c r="N618" s="13">
        <v>31</v>
      </c>
    </row>
    <row r="619" spans="1:14">
      <c r="A619" s="12" t="s">
        <v>1672</v>
      </c>
      <c r="B619" s="12" t="s">
        <v>157</v>
      </c>
      <c r="C619" s="15">
        <v>30048</v>
      </c>
      <c r="D619" s="13">
        <v>50</v>
      </c>
      <c r="F619" s="12" t="s">
        <v>1673</v>
      </c>
      <c r="G619" s="12" t="s">
        <v>157</v>
      </c>
      <c r="H619" s="15">
        <v>10969</v>
      </c>
      <c r="I619" s="13">
        <v>50</v>
      </c>
      <c r="K619" s="12" t="s">
        <v>1674</v>
      </c>
      <c r="L619" s="12" t="s">
        <v>157</v>
      </c>
      <c r="M619" s="15">
        <v>119838</v>
      </c>
      <c r="N619" s="13">
        <v>31</v>
      </c>
    </row>
    <row r="620" spans="1:14">
      <c r="A620" s="12" t="s">
        <v>1675</v>
      </c>
      <c r="B620" s="12" t="s">
        <v>157</v>
      </c>
      <c r="C620" s="15">
        <v>22435</v>
      </c>
      <c r="D620" s="13">
        <v>50</v>
      </c>
      <c r="F620" s="12" t="s">
        <v>1676</v>
      </c>
      <c r="G620" s="12" t="s">
        <v>157</v>
      </c>
      <c r="H620" s="15">
        <v>19404</v>
      </c>
      <c r="I620" s="13">
        <v>50</v>
      </c>
      <c r="K620" s="12" t="s">
        <v>1677</v>
      </c>
      <c r="L620" s="12" t="s">
        <v>157</v>
      </c>
      <c r="M620" s="15">
        <v>105931</v>
      </c>
      <c r="N620" s="13">
        <v>31</v>
      </c>
    </row>
    <row r="621" spans="1:14">
      <c r="A621" s="12" t="s">
        <v>1678</v>
      </c>
      <c r="B621" s="12" t="s">
        <v>157</v>
      </c>
      <c r="C621" s="15">
        <v>22946</v>
      </c>
      <c r="D621" s="13">
        <v>50</v>
      </c>
      <c r="F621" s="12" t="s">
        <v>759</v>
      </c>
      <c r="G621" s="12" t="s">
        <v>157</v>
      </c>
      <c r="H621" s="15">
        <v>13879</v>
      </c>
      <c r="I621" s="13">
        <v>50</v>
      </c>
      <c r="K621" s="12" t="s">
        <v>1679</v>
      </c>
      <c r="L621" s="12" t="s">
        <v>157</v>
      </c>
      <c r="M621" s="15">
        <v>125452</v>
      </c>
      <c r="N621" s="13">
        <v>31</v>
      </c>
    </row>
    <row r="622" spans="1:14">
      <c r="A622" s="12" t="s">
        <v>1680</v>
      </c>
      <c r="B622" s="12" t="s">
        <v>157</v>
      </c>
      <c r="C622" s="15">
        <v>11587</v>
      </c>
      <c r="D622" s="13">
        <v>50</v>
      </c>
      <c r="F622" s="12" t="s">
        <v>1681</v>
      </c>
      <c r="G622" s="12" t="s">
        <v>159</v>
      </c>
      <c r="H622" s="15">
        <v>11100</v>
      </c>
      <c r="I622" s="13">
        <v>50</v>
      </c>
      <c r="K622" s="12" t="s">
        <v>1682</v>
      </c>
      <c r="L622" s="12" t="s">
        <v>157</v>
      </c>
      <c r="M622" s="15">
        <v>161152</v>
      </c>
      <c r="N622" s="13">
        <v>31</v>
      </c>
    </row>
    <row r="623" spans="1:14">
      <c r="A623" s="12" t="s">
        <v>1683</v>
      </c>
      <c r="B623" s="12" t="s">
        <v>157</v>
      </c>
      <c r="C623" s="15">
        <v>11713</v>
      </c>
      <c r="D623" s="13">
        <v>50</v>
      </c>
      <c r="F623" s="12" t="s">
        <v>1684</v>
      </c>
      <c r="G623" s="12" t="s">
        <v>157</v>
      </c>
      <c r="H623" s="15">
        <v>12578</v>
      </c>
      <c r="I623" s="13">
        <v>50</v>
      </c>
      <c r="K623" s="12" t="s">
        <v>1685</v>
      </c>
      <c r="L623" s="12" t="s">
        <v>157</v>
      </c>
      <c r="M623" s="15">
        <v>921004</v>
      </c>
      <c r="N623" s="13">
        <v>31</v>
      </c>
    </row>
    <row r="624" spans="1:14">
      <c r="A624" s="12" t="s">
        <v>1686</v>
      </c>
      <c r="B624" s="12" t="s">
        <v>157</v>
      </c>
      <c r="C624" s="15">
        <v>12791</v>
      </c>
      <c r="D624" s="13">
        <v>50</v>
      </c>
      <c r="F624" s="12" t="s">
        <v>761</v>
      </c>
      <c r="G624" s="12" t="s">
        <v>157</v>
      </c>
      <c r="H624" s="15">
        <v>28651</v>
      </c>
      <c r="I624" s="13">
        <v>50</v>
      </c>
      <c r="K624" s="12" t="s">
        <v>1687</v>
      </c>
      <c r="L624" s="12" t="s">
        <v>157</v>
      </c>
      <c r="M624" s="15">
        <v>221064</v>
      </c>
      <c r="N624" s="13">
        <v>31</v>
      </c>
    </row>
    <row r="625" spans="1:14">
      <c r="A625" s="12" t="s">
        <v>1688</v>
      </c>
      <c r="B625" s="12" t="s">
        <v>157</v>
      </c>
      <c r="C625" s="15">
        <v>15093</v>
      </c>
      <c r="D625" s="13">
        <v>50</v>
      </c>
      <c r="F625" s="12" t="s">
        <v>1689</v>
      </c>
      <c r="G625" s="12" t="s">
        <v>159</v>
      </c>
      <c r="H625" s="15">
        <v>10800</v>
      </c>
      <c r="I625" s="13">
        <v>50</v>
      </c>
      <c r="K625" s="12" t="s">
        <v>1690</v>
      </c>
      <c r="L625" s="12" t="s">
        <v>157</v>
      </c>
      <c r="M625" s="15">
        <v>1458035</v>
      </c>
      <c r="N625" s="13">
        <v>31</v>
      </c>
    </row>
    <row r="626" spans="1:14">
      <c r="A626" s="12" t="s">
        <v>1691</v>
      </c>
      <c r="B626" s="12" t="s">
        <v>157</v>
      </c>
      <c r="C626" s="15">
        <v>11318</v>
      </c>
      <c r="D626" s="13">
        <v>50</v>
      </c>
      <c r="F626" s="12" t="s">
        <v>1692</v>
      </c>
      <c r="G626" s="12" t="s">
        <v>159</v>
      </c>
      <c r="H626" s="15">
        <v>1200000</v>
      </c>
      <c r="I626" s="13">
        <v>50</v>
      </c>
      <c r="K626" s="12" t="s">
        <v>1693</v>
      </c>
      <c r="L626" s="12" t="s">
        <v>159</v>
      </c>
      <c r="M626" s="15">
        <v>178000</v>
      </c>
      <c r="N626" s="13">
        <v>31</v>
      </c>
    </row>
    <row r="627" spans="1:14">
      <c r="A627" s="12" t="s">
        <v>1694</v>
      </c>
      <c r="B627" s="12" t="s">
        <v>157</v>
      </c>
      <c r="C627" s="15">
        <v>32463</v>
      </c>
      <c r="D627" s="13">
        <v>50</v>
      </c>
      <c r="F627" s="12" t="s">
        <v>1695</v>
      </c>
      <c r="G627" s="12" t="s">
        <v>157</v>
      </c>
      <c r="H627" s="15">
        <v>10908</v>
      </c>
      <c r="I627" s="13">
        <v>50</v>
      </c>
      <c r="K627" s="12" t="s">
        <v>1696</v>
      </c>
      <c r="L627" s="12" t="s">
        <v>157</v>
      </c>
      <c r="M627" s="15">
        <v>150200</v>
      </c>
      <c r="N627" s="13">
        <v>31</v>
      </c>
    </row>
    <row r="628" spans="1:14">
      <c r="A628" s="12" t="s">
        <v>1697</v>
      </c>
      <c r="B628" s="12" t="s">
        <v>157</v>
      </c>
      <c r="C628" s="15">
        <v>34608</v>
      </c>
      <c r="D628" s="13">
        <v>50</v>
      </c>
      <c r="F628" s="12" t="s">
        <v>1698</v>
      </c>
      <c r="G628" s="12" t="s">
        <v>159</v>
      </c>
      <c r="H628" s="15">
        <v>30400</v>
      </c>
      <c r="I628" s="13">
        <v>50</v>
      </c>
      <c r="K628" s="12" t="s">
        <v>1699</v>
      </c>
      <c r="L628" s="12" t="s">
        <v>157</v>
      </c>
      <c r="M628" s="15">
        <v>751499</v>
      </c>
      <c r="N628" s="13">
        <v>31</v>
      </c>
    </row>
    <row r="629" spans="1:14">
      <c r="A629" s="12" t="s">
        <v>1700</v>
      </c>
      <c r="B629" s="12" t="s">
        <v>157</v>
      </c>
      <c r="C629" s="15">
        <v>10729</v>
      </c>
      <c r="D629" s="13">
        <v>50</v>
      </c>
      <c r="F629" s="12" t="s">
        <v>1701</v>
      </c>
      <c r="G629" s="12" t="s">
        <v>159</v>
      </c>
      <c r="H629" s="15">
        <v>2253392</v>
      </c>
      <c r="I629" s="13">
        <v>50</v>
      </c>
      <c r="K629" s="12" t="s">
        <v>1702</v>
      </c>
      <c r="L629" s="12" t="s">
        <v>157</v>
      </c>
      <c r="M629" s="15">
        <v>493059</v>
      </c>
      <c r="N629" s="13">
        <v>31</v>
      </c>
    </row>
    <row r="630" spans="1:14">
      <c r="A630" s="12" t="s">
        <v>1703</v>
      </c>
      <c r="B630" s="12" t="s">
        <v>157</v>
      </c>
      <c r="C630" s="15">
        <v>10207</v>
      </c>
      <c r="D630" s="13">
        <v>50</v>
      </c>
      <c r="F630" s="12" t="s">
        <v>1704</v>
      </c>
      <c r="G630" s="12" t="s">
        <v>159</v>
      </c>
      <c r="H630" s="15">
        <v>26700</v>
      </c>
      <c r="I630" s="13">
        <v>50</v>
      </c>
      <c r="K630" s="12" t="s">
        <v>1705</v>
      </c>
      <c r="L630" s="12" t="s">
        <v>157</v>
      </c>
      <c r="M630" s="15">
        <v>213217</v>
      </c>
      <c r="N630" s="13">
        <v>31</v>
      </c>
    </row>
    <row r="631" spans="1:14">
      <c r="A631" s="12" t="s">
        <v>1706</v>
      </c>
      <c r="B631" s="12" t="s">
        <v>157</v>
      </c>
      <c r="C631" s="15">
        <v>29811</v>
      </c>
      <c r="D631" s="13">
        <v>50</v>
      </c>
      <c r="F631" s="12" t="s">
        <v>1707</v>
      </c>
      <c r="G631" s="12" t="s">
        <v>159</v>
      </c>
      <c r="H631" s="15">
        <v>19300</v>
      </c>
      <c r="I631" s="13">
        <v>50</v>
      </c>
      <c r="K631" s="12" t="s">
        <v>1708</v>
      </c>
      <c r="L631" s="12" t="s">
        <v>157</v>
      </c>
      <c r="M631" s="15">
        <v>338321</v>
      </c>
      <c r="N631" s="13">
        <v>31</v>
      </c>
    </row>
    <row r="632" spans="1:14">
      <c r="A632" s="12" t="s">
        <v>1709</v>
      </c>
      <c r="B632" s="12" t="s">
        <v>157</v>
      </c>
      <c r="C632" s="15">
        <v>26779</v>
      </c>
      <c r="D632" s="13">
        <v>50</v>
      </c>
      <c r="F632" s="12" t="s">
        <v>1710</v>
      </c>
      <c r="G632" s="12" t="s">
        <v>159</v>
      </c>
      <c r="H632" s="15">
        <v>26600</v>
      </c>
      <c r="I632" s="13">
        <v>50</v>
      </c>
      <c r="K632" s="12" t="s">
        <v>1711</v>
      </c>
      <c r="L632" s="12" t="s">
        <v>159</v>
      </c>
      <c r="M632" s="15">
        <v>173400</v>
      </c>
      <c r="N632" s="13">
        <v>31</v>
      </c>
    </row>
    <row r="633" spans="1:14">
      <c r="A633" s="12" t="s">
        <v>1712</v>
      </c>
      <c r="B633" s="12" t="s">
        <v>157</v>
      </c>
      <c r="C633" s="15">
        <v>10806</v>
      </c>
      <c r="D633" s="13">
        <v>50</v>
      </c>
      <c r="F633" s="12" t="s">
        <v>1713</v>
      </c>
      <c r="G633" s="12" t="s">
        <v>159</v>
      </c>
      <c r="H633" s="15">
        <v>24200</v>
      </c>
      <c r="I633" s="13">
        <v>50</v>
      </c>
      <c r="K633" s="12" t="s">
        <v>1714</v>
      </c>
      <c r="L633" s="12" t="s">
        <v>157</v>
      </c>
      <c r="M633" s="15">
        <v>152840</v>
      </c>
      <c r="N633" s="13">
        <v>31</v>
      </c>
    </row>
    <row r="634" spans="1:14">
      <c r="A634" s="12" t="s">
        <v>1715</v>
      </c>
      <c r="B634" s="12" t="s">
        <v>157</v>
      </c>
      <c r="C634" s="15">
        <v>30072</v>
      </c>
      <c r="D634" s="13">
        <v>50</v>
      </c>
      <c r="F634" s="12" t="s">
        <v>762</v>
      </c>
      <c r="G634" s="12" t="s">
        <v>157</v>
      </c>
      <c r="H634" s="15">
        <v>19225</v>
      </c>
      <c r="I634" s="13">
        <v>50</v>
      </c>
      <c r="K634" s="12" t="s">
        <v>1716</v>
      </c>
      <c r="L634" s="12" t="s">
        <v>157</v>
      </c>
      <c r="M634" s="15">
        <v>103787</v>
      </c>
      <c r="N634" s="13">
        <v>31</v>
      </c>
    </row>
    <row r="635" spans="1:14">
      <c r="A635" s="12" t="s">
        <v>928</v>
      </c>
      <c r="B635" s="12" t="s">
        <v>157</v>
      </c>
      <c r="C635" s="15">
        <v>137899</v>
      </c>
      <c r="D635" s="13">
        <v>49</v>
      </c>
      <c r="F635" s="12" t="s">
        <v>1717</v>
      </c>
      <c r="G635" s="12" t="s">
        <v>159</v>
      </c>
      <c r="H635" s="15">
        <v>12000</v>
      </c>
      <c r="I635" s="13">
        <v>50</v>
      </c>
      <c r="K635" s="12" t="s">
        <v>1718</v>
      </c>
      <c r="L635" s="12" t="s">
        <v>157</v>
      </c>
      <c r="M635" s="15">
        <v>117870</v>
      </c>
      <c r="N635" s="13">
        <v>31</v>
      </c>
    </row>
    <row r="636" spans="1:14">
      <c r="A636" s="12" t="s">
        <v>1719</v>
      </c>
      <c r="B636" s="12" t="s">
        <v>157</v>
      </c>
      <c r="C636" s="15">
        <v>34656</v>
      </c>
      <c r="D636" s="13">
        <v>49</v>
      </c>
      <c r="F636" s="12" t="s">
        <v>1720</v>
      </c>
      <c r="G636" s="12" t="s">
        <v>159</v>
      </c>
      <c r="H636" s="15">
        <v>33200</v>
      </c>
      <c r="I636" s="13">
        <v>50</v>
      </c>
      <c r="K636" s="12" t="s">
        <v>1721</v>
      </c>
      <c r="L636" s="12" t="s">
        <v>157</v>
      </c>
      <c r="M636" s="15">
        <v>151177</v>
      </c>
      <c r="N636" s="13">
        <v>31</v>
      </c>
    </row>
    <row r="637" spans="1:14">
      <c r="A637" s="12" t="s">
        <v>1722</v>
      </c>
      <c r="B637" s="12" t="s">
        <v>157</v>
      </c>
      <c r="C637" s="15">
        <v>15219</v>
      </c>
      <c r="D637" s="13">
        <v>49</v>
      </c>
      <c r="F637" s="12" t="s">
        <v>764</v>
      </c>
      <c r="G637" s="12" t="s">
        <v>157</v>
      </c>
      <c r="H637" s="15">
        <v>13809</v>
      </c>
      <c r="I637" s="13">
        <v>50</v>
      </c>
      <c r="K637" s="12" t="s">
        <v>1723</v>
      </c>
      <c r="L637" s="12" t="s">
        <v>157</v>
      </c>
      <c r="M637" s="15">
        <v>184974</v>
      </c>
      <c r="N637" s="13">
        <v>31</v>
      </c>
    </row>
    <row r="638" spans="1:14">
      <c r="A638" s="12" t="s">
        <v>951</v>
      </c>
      <c r="B638" s="12" t="s">
        <v>157</v>
      </c>
      <c r="C638" s="15">
        <v>107155</v>
      </c>
      <c r="D638" s="13">
        <v>49</v>
      </c>
      <c r="F638" s="12" t="s">
        <v>1724</v>
      </c>
      <c r="G638" s="12" t="s">
        <v>159</v>
      </c>
      <c r="H638" s="15">
        <v>10200</v>
      </c>
      <c r="I638" s="13">
        <v>50</v>
      </c>
      <c r="K638" s="12" t="s">
        <v>1725</v>
      </c>
      <c r="L638" s="12" t="s">
        <v>157</v>
      </c>
      <c r="M638" s="15">
        <v>227585</v>
      </c>
      <c r="N638" s="13">
        <v>31</v>
      </c>
    </row>
    <row r="639" spans="1:14">
      <c r="A639" s="12" t="s">
        <v>1726</v>
      </c>
      <c r="B639" s="12" t="s">
        <v>157</v>
      </c>
      <c r="C639" s="15">
        <v>18257</v>
      </c>
      <c r="D639" s="13">
        <v>49</v>
      </c>
      <c r="F639" s="12" t="s">
        <v>1727</v>
      </c>
      <c r="G639" s="12" t="s">
        <v>159</v>
      </c>
      <c r="H639" s="15">
        <v>10700</v>
      </c>
      <c r="I639" s="13">
        <v>50</v>
      </c>
      <c r="K639" s="12" t="s">
        <v>1728</v>
      </c>
      <c r="L639" s="12" t="s">
        <v>157</v>
      </c>
      <c r="M639" s="15">
        <v>242808</v>
      </c>
      <c r="N639" s="13">
        <v>31</v>
      </c>
    </row>
    <row r="640" spans="1:14">
      <c r="A640" s="12" t="s">
        <v>971</v>
      </c>
      <c r="B640" s="12" t="s">
        <v>157</v>
      </c>
      <c r="C640" s="15">
        <v>980645</v>
      </c>
      <c r="D640" s="13">
        <v>49</v>
      </c>
      <c r="F640" s="12" t="s">
        <v>765</v>
      </c>
      <c r="G640" s="12" t="s">
        <v>157</v>
      </c>
      <c r="H640" s="15">
        <v>15963</v>
      </c>
      <c r="I640" s="13">
        <v>50</v>
      </c>
      <c r="K640" s="12" t="s">
        <v>1729</v>
      </c>
      <c r="L640" s="12" t="s">
        <v>157</v>
      </c>
      <c r="M640" s="15">
        <v>1842326</v>
      </c>
      <c r="N640" s="13">
        <v>31</v>
      </c>
    </row>
    <row r="641" spans="1:14">
      <c r="A641" s="12" t="s">
        <v>1730</v>
      </c>
      <c r="B641" s="12" t="s">
        <v>157</v>
      </c>
      <c r="C641" s="15">
        <v>12439</v>
      </c>
      <c r="D641" s="13">
        <v>49</v>
      </c>
      <c r="F641" s="12" t="s">
        <v>1731</v>
      </c>
      <c r="G641" s="12" t="s">
        <v>157</v>
      </c>
      <c r="H641" s="15">
        <v>19628</v>
      </c>
      <c r="I641" s="13">
        <v>50</v>
      </c>
      <c r="K641" s="12" t="s">
        <v>1732</v>
      </c>
      <c r="L641" s="12" t="s">
        <v>157</v>
      </c>
      <c r="M641" s="15">
        <v>121896</v>
      </c>
      <c r="N641" s="13">
        <v>31</v>
      </c>
    </row>
    <row r="642" spans="1:14">
      <c r="A642" s="12" t="s">
        <v>944</v>
      </c>
      <c r="B642" s="12" t="s">
        <v>157</v>
      </c>
      <c r="C642" s="15">
        <v>132461</v>
      </c>
      <c r="D642" s="13">
        <v>49</v>
      </c>
      <c r="F642" s="12" t="s">
        <v>1733</v>
      </c>
      <c r="G642" s="12" t="s">
        <v>159</v>
      </c>
      <c r="H642" s="15">
        <v>10000</v>
      </c>
      <c r="I642" s="13">
        <v>50</v>
      </c>
      <c r="K642" s="12" t="s">
        <v>1734</v>
      </c>
      <c r="L642" s="12" t="s">
        <v>157</v>
      </c>
      <c r="M642" s="15">
        <v>279648</v>
      </c>
      <c r="N642" s="13">
        <v>31</v>
      </c>
    </row>
    <row r="643" spans="1:14">
      <c r="A643" s="12" t="s">
        <v>1735</v>
      </c>
      <c r="B643" s="12" t="s">
        <v>157</v>
      </c>
      <c r="C643" s="15">
        <v>93474</v>
      </c>
      <c r="D643" s="13">
        <v>49</v>
      </c>
      <c r="F643" s="12" t="s">
        <v>767</v>
      </c>
      <c r="G643" s="12" t="s">
        <v>157</v>
      </c>
      <c r="H643" s="15">
        <v>31911</v>
      </c>
      <c r="I643" s="13">
        <v>50</v>
      </c>
      <c r="K643" s="12" t="s">
        <v>1736</v>
      </c>
      <c r="L643" s="12" t="s">
        <v>159</v>
      </c>
      <c r="M643" s="15">
        <v>177900</v>
      </c>
      <c r="N643" s="13">
        <v>31</v>
      </c>
    </row>
    <row r="644" spans="1:14">
      <c r="A644" s="12" t="s">
        <v>1737</v>
      </c>
      <c r="B644" s="12" t="s">
        <v>157</v>
      </c>
      <c r="C644" s="15">
        <v>31388</v>
      </c>
      <c r="D644" s="13">
        <v>49</v>
      </c>
      <c r="F644" s="12" t="s">
        <v>1738</v>
      </c>
      <c r="G644" s="12" t="s">
        <v>159</v>
      </c>
      <c r="H644" s="15">
        <v>252600</v>
      </c>
      <c r="I644" s="13">
        <v>50</v>
      </c>
      <c r="K644" s="12" t="s">
        <v>1739</v>
      </c>
      <c r="L644" s="12" t="s">
        <v>159</v>
      </c>
      <c r="M644" s="15">
        <v>115300</v>
      </c>
      <c r="N644" s="13">
        <v>30</v>
      </c>
    </row>
    <row r="645" spans="1:14">
      <c r="A645" s="12" t="s">
        <v>1740</v>
      </c>
      <c r="B645" s="12" t="s">
        <v>157</v>
      </c>
      <c r="C645" s="15">
        <v>37564</v>
      </c>
      <c r="D645" s="13">
        <v>49</v>
      </c>
      <c r="F645" s="12" t="s">
        <v>1741</v>
      </c>
      <c r="G645" s="12" t="s">
        <v>157</v>
      </c>
      <c r="H645" s="15">
        <v>11359</v>
      </c>
      <c r="I645" s="13">
        <v>50</v>
      </c>
      <c r="K645" s="12" t="s">
        <v>1742</v>
      </c>
      <c r="L645" s="12" t="s">
        <v>157</v>
      </c>
      <c r="M645" s="15">
        <v>104536</v>
      </c>
      <c r="N645" s="13">
        <v>30</v>
      </c>
    </row>
    <row r="646" spans="1:14">
      <c r="A646" s="12" t="s">
        <v>1033</v>
      </c>
      <c r="B646" s="12" t="s">
        <v>157</v>
      </c>
      <c r="C646" s="15">
        <v>172679</v>
      </c>
      <c r="D646" s="13">
        <v>48</v>
      </c>
      <c r="F646" s="12" t="s">
        <v>1743</v>
      </c>
      <c r="G646" s="12" t="s">
        <v>159</v>
      </c>
      <c r="H646" s="15">
        <v>46100</v>
      </c>
      <c r="I646" s="13">
        <v>50</v>
      </c>
      <c r="K646" s="12" t="s">
        <v>1744</v>
      </c>
      <c r="L646" s="12" t="s">
        <v>157</v>
      </c>
      <c r="M646" s="15">
        <v>162058</v>
      </c>
      <c r="N646" s="13">
        <v>30</v>
      </c>
    </row>
    <row r="647" spans="1:14">
      <c r="A647" s="12" t="s">
        <v>1036</v>
      </c>
      <c r="B647" s="12" t="s">
        <v>157</v>
      </c>
      <c r="C647" s="15">
        <v>266557</v>
      </c>
      <c r="D647" s="13">
        <v>48</v>
      </c>
      <c r="F647" s="12" t="s">
        <v>768</v>
      </c>
      <c r="G647" s="12" t="s">
        <v>157</v>
      </c>
      <c r="H647" s="15">
        <v>17183</v>
      </c>
      <c r="I647" s="13">
        <v>50</v>
      </c>
      <c r="K647" s="12" t="s">
        <v>1745</v>
      </c>
      <c r="L647" s="12" t="s">
        <v>157</v>
      </c>
      <c r="M647" s="15">
        <v>5511969</v>
      </c>
      <c r="N647" s="13">
        <v>30</v>
      </c>
    </row>
    <row r="648" spans="1:14">
      <c r="A648" s="12" t="s">
        <v>1495</v>
      </c>
      <c r="B648" s="12" t="s">
        <v>157</v>
      </c>
      <c r="C648" s="15">
        <v>317931</v>
      </c>
      <c r="D648" s="13">
        <v>48</v>
      </c>
      <c r="F648" s="12" t="s">
        <v>1746</v>
      </c>
      <c r="G648" s="12" t="s">
        <v>159</v>
      </c>
      <c r="H648" s="15">
        <v>48800</v>
      </c>
      <c r="I648" s="13">
        <v>50</v>
      </c>
      <c r="K648" s="12" t="s">
        <v>1747</v>
      </c>
      <c r="L648" s="12" t="s">
        <v>157</v>
      </c>
      <c r="M648" s="15">
        <v>640007</v>
      </c>
      <c r="N648" s="13">
        <v>30</v>
      </c>
    </row>
    <row r="649" spans="1:14">
      <c r="A649" s="12" t="s">
        <v>1748</v>
      </c>
      <c r="B649" s="12" t="s">
        <v>157</v>
      </c>
      <c r="C649" s="15">
        <v>44146</v>
      </c>
      <c r="D649" s="13">
        <v>48</v>
      </c>
      <c r="F649" s="12" t="s">
        <v>1749</v>
      </c>
      <c r="G649" s="12" t="s">
        <v>159</v>
      </c>
      <c r="H649" s="15">
        <v>24200</v>
      </c>
      <c r="I649" s="13">
        <v>50</v>
      </c>
      <c r="K649" s="12" t="s">
        <v>1750</v>
      </c>
      <c r="L649" s="12" t="s">
        <v>159</v>
      </c>
      <c r="M649" s="15">
        <v>341600</v>
      </c>
      <c r="N649" s="13">
        <v>30</v>
      </c>
    </row>
    <row r="650" spans="1:14">
      <c r="A650" s="12" t="s">
        <v>1454</v>
      </c>
      <c r="B650" s="12" t="s">
        <v>157</v>
      </c>
      <c r="C650" s="15">
        <v>273852</v>
      </c>
      <c r="D650" s="13">
        <v>48</v>
      </c>
      <c r="F650" s="12" t="s">
        <v>1751</v>
      </c>
      <c r="G650" s="12" t="s">
        <v>157</v>
      </c>
      <c r="H650" s="15">
        <v>18150</v>
      </c>
      <c r="I650" s="13">
        <v>50</v>
      </c>
      <c r="K650" s="12" t="s">
        <v>1752</v>
      </c>
      <c r="L650" s="12" t="s">
        <v>157</v>
      </c>
      <c r="M650" s="15">
        <v>108832</v>
      </c>
      <c r="N650" s="13">
        <v>30</v>
      </c>
    </row>
    <row r="651" spans="1:14">
      <c r="A651" s="12" t="s">
        <v>586</v>
      </c>
      <c r="B651" s="12" t="s">
        <v>157</v>
      </c>
      <c r="C651" s="15">
        <v>17452714</v>
      </c>
      <c r="D651" s="13">
        <v>48</v>
      </c>
      <c r="F651" s="12" t="s">
        <v>1753</v>
      </c>
      <c r="G651" s="12" t="s">
        <v>159</v>
      </c>
      <c r="H651" s="15">
        <v>50000</v>
      </c>
      <c r="I651" s="13">
        <v>50</v>
      </c>
      <c r="K651" s="12" t="s">
        <v>1754</v>
      </c>
      <c r="L651" s="12" t="s">
        <v>159</v>
      </c>
      <c r="M651" s="15">
        <v>125900</v>
      </c>
      <c r="N651" s="13">
        <v>30</v>
      </c>
    </row>
    <row r="652" spans="1:14">
      <c r="A652" s="12" t="s">
        <v>1755</v>
      </c>
      <c r="B652" s="12" t="s">
        <v>157</v>
      </c>
      <c r="C652" s="15">
        <v>155989</v>
      </c>
      <c r="D652" s="13">
        <v>48</v>
      </c>
      <c r="F652" s="12" t="s">
        <v>1756</v>
      </c>
      <c r="G652" s="12" t="s">
        <v>159</v>
      </c>
      <c r="H652" s="15">
        <v>26700</v>
      </c>
      <c r="I652" s="13">
        <v>50</v>
      </c>
      <c r="K652" s="12" t="s">
        <v>1757</v>
      </c>
      <c r="L652" s="12" t="s">
        <v>157</v>
      </c>
      <c r="M652" s="15">
        <v>117390</v>
      </c>
      <c r="N652" s="13">
        <v>30</v>
      </c>
    </row>
    <row r="653" spans="1:14">
      <c r="A653" s="12" t="s">
        <v>1758</v>
      </c>
      <c r="B653" s="12" t="s">
        <v>157</v>
      </c>
      <c r="C653" s="15">
        <v>40203</v>
      </c>
      <c r="D653" s="13">
        <v>48</v>
      </c>
      <c r="F653" s="12" t="s">
        <v>1759</v>
      </c>
      <c r="G653" s="12" t="s">
        <v>159</v>
      </c>
      <c r="H653" s="15">
        <v>3300000</v>
      </c>
      <c r="I653" s="13">
        <v>50</v>
      </c>
      <c r="K653" s="12" t="s">
        <v>1760</v>
      </c>
      <c r="L653" s="12" t="s">
        <v>159</v>
      </c>
      <c r="M653" s="15">
        <v>108900</v>
      </c>
      <c r="N653" s="13">
        <v>30</v>
      </c>
    </row>
    <row r="654" spans="1:14">
      <c r="A654" s="12" t="s">
        <v>1089</v>
      </c>
      <c r="B654" s="12" t="s">
        <v>157</v>
      </c>
      <c r="C654" s="15">
        <v>150328</v>
      </c>
      <c r="D654" s="13">
        <v>48</v>
      </c>
      <c r="F654" s="12" t="s">
        <v>770</v>
      </c>
      <c r="G654" s="12" t="s">
        <v>157</v>
      </c>
      <c r="H654" s="15">
        <v>17280</v>
      </c>
      <c r="I654" s="13">
        <v>50</v>
      </c>
      <c r="K654" s="12" t="s">
        <v>1761</v>
      </c>
      <c r="L654" s="12" t="s">
        <v>159</v>
      </c>
      <c r="M654" s="15">
        <v>209200</v>
      </c>
      <c r="N654" s="13">
        <v>30</v>
      </c>
    </row>
    <row r="655" spans="1:14">
      <c r="A655" s="12" t="s">
        <v>1762</v>
      </c>
      <c r="B655" s="12" t="s">
        <v>157</v>
      </c>
      <c r="C655" s="15">
        <v>88568</v>
      </c>
      <c r="D655" s="13">
        <v>47</v>
      </c>
      <c r="F655" s="12" t="s">
        <v>771</v>
      </c>
      <c r="G655" s="12" t="s">
        <v>157</v>
      </c>
      <c r="H655" s="15">
        <v>23880</v>
      </c>
      <c r="I655" s="13">
        <v>50</v>
      </c>
      <c r="K655" s="12" t="s">
        <v>1763</v>
      </c>
      <c r="L655" s="12" t="s">
        <v>157</v>
      </c>
      <c r="M655" s="15">
        <v>177048</v>
      </c>
      <c r="N655" s="13">
        <v>30</v>
      </c>
    </row>
    <row r="656" spans="1:14">
      <c r="A656" s="12" t="s">
        <v>1116</v>
      </c>
      <c r="B656" s="12" t="s">
        <v>157</v>
      </c>
      <c r="C656" s="15">
        <v>212013</v>
      </c>
      <c r="D656" s="13">
        <v>47</v>
      </c>
      <c r="F656" s="12" t="s">
        <v>1764</v>
      </c>
      <c r="G656" s="12" t="s">
        <v>159</v>
      </c>
      <c r="H656" s="15">
        <v>5750570</v>
      </c>
      <c r="I656" s="13">
        <v>50</v>
      </c>
      <c r="K656" s="12" t="s">
        <v>1765</v>
      </c>
      <c r="L656" s="12" t="s">
        <v>159</v>
      </c>
      <c r="M656" s="15">
        <v>340000</v>
      </c>
      <c r="N656" s="13">
        <v>30</v>
      </c>
    </row>
    <row r="657" spans="1:14">
      <c r="A657" s="12" t="s">
        <v>1119</v>
      </c>
      <c r="B657" s="12" t="s">
        <v>157</v>
      </c>
      <c r="C657" s="15">
        <v>102148</v>
      </c>
      <c r="D657" s="13">
        <v>47</v>
      </c>
      <c r="F657" s="12" t="s">
        <v>773</v>
      </c>
      <c r="G657" s="12" t="s">
        <v>157</v>
      </c>
      <c r="H657" s="15">
        <v>12155</v>
      </c>
      <c r="I657" s="13">
        <v>50</v>
      </c>
      <c r="K657" s="12" t="s">
        <v>1766</v>
      </c>
      <c r="L657" s="12" t="s">
        <v>157</v>
      </c>
      <c r="M657" s="15">
        <v>1270890</v>
      </c>
      <c r="N657" s="13">
        <v>30</v>
      </c>
    </row>
    <row r="658" spans="1:14">
      <c r="A658" s="12" t="s">
        <v>1767</v>
      </c>
      <c r="B658" s="12" t="s">
        <v>157</v>
      </c>
      <c r="C658" s="15">
        <v>204747</v>
      </c>
      <c r="D658" s="13">
        <v>47</v>
      </c>
      <c r="F658" s="12" t="s">
        <v>1768</v>
      </c>
      <c r="G658" s="12" t="s">
        <v>159</v>
      </c>
      <c r="H658" s="15">
        <v>58300</v>
      </c>
      <c r="I658" s="13">
        <v>50</v>
      </c>
      <c r="K658" s="12" t="s">
        <v>1769</v>
      </c>
      <c r="L658" s="12" t="s">
        <v>157</v>
      </c>
      <c r="M658" s="15">
        <v>102033</v>
      </c>
      <c r="N658" s="13">
        <v>30</v>
      </c>
    </row>
    <row r="659" spans="1:14">
      <c r="A659" s="12" t="s">
        <v>1770</v>
      </c>
      <c r="B659" s="12" t="s">
        <v>157</v>
      </c>
      <c r="C659" s="15">
        <v>68387</v>
      </c>
      <c r="D659" s="13">
        <v>47</v>
      </c>
      <c r="F659" s="12" t="s">
        <v>1771</v>
      </c>
      <c r="G659" s="12" t="s">
        <v>157</v>
      </c>
      <c r="H659" s="15">
        <v>135926</v>
      </c>
      <c r="I659" s="13">
        <v>50</v>
      </c>
      <c r="K659" s="12" t="s">
        <v>1772</v>
      </c>
      <c r="L659" s="12" t="s">
        <v>157</v>
      </c>
      <c r="M659" s="15">
        <v>2244644</v>
      </c>
      <c r="N659" s="13">
        <v>29</v>
      </c>
    </row>
    <row r="660" spans="1:14">
      <c r="A660" s="12" t="s">
        <v>1773</v>
      </c>
      <c r="B660" s="12" t="s">
        <v>157</v>
      </c>
      <c r="C660" s="15">
        <v>50524</v>
      </c>
      <c r="D660" s="13">
        <v>47</v>
      </c>
      <c r="F660" s="12" t="s">
        <v>1774</v>
      </c>
      <c r="G660" s="12" t="s">
        <v>159</v>
      </c>
      <c r="H660" s="15">
        <v>578312</v>
      </c>
      <c r="I660" s="13">
        <v>50</v>
      </c>
      <c r="K660" s="12" t="s">
        <v>1775</v>
      </c>
      <c r="L660" s="12" t="s">
        <v>157</v>
      </c>
      <c r="M660" s="15">
        <v>103202</v>
      </c>
      <c r="N660" s="13">
        <v>29</v>
      </c>
    </row>
    <row r="661" spans="1:14">
      <c r="A661" s="12" t="s">
        <v>629</v>
      </c>
      <c r="B661" s="12" t="s">
        <v>157</v>
      </c>
      <c r="C661" s="15">
        <v>1175193</v>
      </c>
      <c r="D661" s="13">
        <v>47</v>
      </c>
      <c r="F661" s="12" t="s">
        <v>776</v>
      </c>
      <c r="G661" s="12" t="s">
        <v>157</v>
      </c>
      <c r="H661" s="15">
        <v>16098</v>
      </c>
      <c r="I661" s="13">
        <v>50</v>
      </c>
      <c r="K661" s="12" t="s">
        <v>1776</v>
      </c>
      <c r="L661" s="12" t="s">
        <v>157</v>
      </c>
      <c r="M661" s="15">
        <v>112800</v>
      </c>
      <c r="N661" s="13">
        <v>29</v>
      </c>
    </row>
    <row r="662" spans="1:14">
      <c r="A662" s="12" t="s">
        <v>1777</v>
      </c>
      <c r="B662" s="12" t="s">
        <v>157</v>
      </c>
      <c r="C662" s="15">
        <v>68736</v>
      </c>
      <c r="D662" s="13">
        <v>47</v>
      </c>
      <c r="F662" s="12" t="s">
        <v>1778</v>
      </c>
      <c r="G662" s="12" t="s">
        <v>159</v>
      </c>
      <c r="H662" s="15">
        <v>14500</v>
      </c>
      <c r="I662" s="13">
        <v>50</v>
      </c>
      <c r="K662" s="12" t="s">
        <v>1755</v>
      </c>
      <c r="L662" s="12" t="s">
        <v>157</v>
      </c>
      <c r="M662" s="15">
        <v>155989</v>
      </c>
      <c r="N662" s="13">
        <v>29</v>
      </c>
    </row>
    <row r="663" spans="1:14">
      <c r="A663" s="12" t="s">
        <v>1779</v>
      </c>
      <c r="B663" s="12" t="s">
        <v>157</v>
      </c>
      <c r="C663" s="15">
        <v>14361</v>
      </c>
      <c r="D663" s="13">
        <v>47</v>
      </c>
      <c r="F663" s="12" t="s">
        <v>1780</v>
      </c>
      <c r="G663" s="12" t="s">
        <v>159</v>
      </c>
      <c r="H663" s="15">
        <v>227600</v>
      </c>
      <c r="I663" s="13">
        <v>50</v>
      </c>
      <c r="K663" s="12" t="s">
        <v>1781</v>
      </c>
      <c r="L663" s="12" t="s">
        <v>157</v>
      </c>
      <c r="M663" s="15">
        <v>143150</v>
      </c>
      <c r="N663" s="13">
        <v>29</v>
      </c>
    </row>
    <row r="664" spans="1:14">
      <c r="A664" s="12" t="s">
        <v>1149</v>
      </c>
      <c r="B664" s="12" t="s">
        <v>157</v>
      </c>
      <c r="C664" s="15">
        <v>685896635</v>
      </c>
      <c r="D664" s="13">
        <v>47</v>
      </c>
      <c r="F664" s="12" t="s">
        <v>1782</v>
      </c>
      <c r="G664" s="12" t="s">
        <v>159</v>
      </c>
      <c r="H664" s="15">
        <v>165680</v>
      </c>
      <c r="I664" s="13">
        <v>50</v>
      </c>
      <c r="K664" s="12" t="s">
        <v>1767</v>
      </c>
      <c r="L664" s="12" t="s">
        <v>157</v>
      </c>
      <c r="M664" s="15">
        <v>204747</v>
      </c>
      <c r="N664" s="13">
        <v>28</v>
      </c>
    </row>
    <row r="665" spans="1:14">
      <c r="A665" s="12" t="s">
        <v>1157</v>
      </c>
      <c r="B665" s="12" t="s">
        <v>157</v>
      </c>
      <c r="C665" s="15">
        <v>112409</v>
      </c>
      <c r="D665" s="13">
        <v>47</v>
      </c>
      <c r="F665" s="12" t="s">
        <v>1783</v>
      </c>
      <c r="G665" s="12" t="s">
        <v>157</v>
      </c>
      <c r="H665" s="15">
        <v>25068</v>
      </c>
      <c r="I665" s="13">
        <v>50</v>
      </c>
      <c r="K665" s="12" t="s">
        <v>1784</v>
      </c>
      <c r="L665" s="12" t="s">
        <v>157</v>
      </c>
      <c r="M665" s="15">
        <v>200688</v>
      </c>
      <c r="N665" s="13">
        <v>28</v>
      </c>
    </row>
    <row r="666" spans="1:14">
      <c r="A666" s="12" t="s">
        <v>1163</v>
      </c>
      <c r="B666" s="12" t="s">
        <v>157</v>
      </c>
      <c r="C666" s="15">
        <v>302022</v>
      </c>
      <c r="D666" s="13">
        <v>47</v>
      </c>
      <c r="F666" s="12" t="s">
        <v>1785</v>
      </c>
      <c r="G666" s="12" t="s">
        <v>159</v>
      </c>
      <c r="H666" s="15">
        <v>2400000</v>
      </c>
      <c r="I666" s="13">
        <v>50</v>
      </c>
      <c r="K666" s="12" t="s">
        <v>1786</v>
      </c>
      <c r="L666" s="12" t="s">
        <v>157</v>
      </c>
      <c r="M666" s="15">
        <v>102492</v>
      </c>
      <c r="N666" s="13">
        <v>28</v>
      </c>
    </row>
    <row r="667" spans="1:14">
      <c r="A667" s="12" t="s">
        <v>1787</v>
      </c>
      <c r="B667" s="12" t="s">
        <v>157</v>
      </c>
      <c r="C667" s="15">
        <v>48028</v>
      </c>
      <c r="D667" s="13">
        <v>47</v>
      </c>
      <c r="F667" s="12" t="s">
        <v>1788</v>
      </c>
      <c r="G667" s="12" t="s">
        <v>159</v>
      </c>
      <c r="H667" s="15">
        <v>26300</v>
      </c>
      <c r="I667" s="13">
        <v>50</v>
      </c>
      <c r="K667" s="12" t="s">
        <v>1789</v>
      </c>
      <c r="L667" s="12" t="s">
        <v>157</v>
      </c>
      <c r="M667" s="15">
        <v>291117</v>
      </c>
      <c r="N667" s="13">
        <v>28</v>
      </c>
    </row>
    <row r="668" spans="1:14">
      <c r="A668" s="12" t="s">
        <v>1001</v>
      </c>
      <c r="B668" s="12" t="s">
        <v>157</v>
      </c>
      <c r="C668" s="15">
        <v>256224</v>
      </c>
      <c r="D668" s="13">
        <v>47</v>
      </c>
      <c r="F668" s="12" t="s">
        <v>1790</v>
      </c>
      <c r="G668" s="12" t="s">
        <v>159</v>
      </c>
      <c r="H668" s="15">
        <v>78200</v>
      </c>
      <c r="I668" s="13">
        <v>50</v>
      </c>
      <c r="K668" s="12" t="s">
        <v>1791</v>
      </c>
      <c r="L668" s="12" t="s">
        <v>157</v>
      </c>
      <c r="M668" s="15">
        <v>259551</v>
      </c>
      <c r="N668" s="13">
        <v>28</v>
      </c>
    </row>
    <row r="669" spans="1:14">
      <c r="A669" s="12" t="s">
        <v>1792</v>
      </c>
      <c r="B669" s="12" t="s">
        <v>157</v>
      </c>
      <c r="C669" s="15">
        <v>50427</v>
      </c>
      <c r="D669" s="13">
        <v>47</v>
      </c>
      <c r="F669" s="12" t="s">
        <v>1793</v>
      </c>
      <c r="G669" s="12" t="s">
        <v>159</v>
      </c>
      <c r="H669" s="15">
        <v>70600</v>
      </c>
      <c r="I669" s="13">
        <v>50</v>
      </c>
      <c r="K669" s="12" t="s">
        <v>1794</v>
      </c>
      <c r="L669" s="12" t="s">
        <v>157</v>
      </c>
      <c r="M669" s="15">
        <v>120903</v>
      </c>
      <c r="N669" s="13">
        <v>28</v>
      </c>
    </row>
    <row r="670" spans="1:14">
      <c r="A670" s="12" t="s">
        <v>1177</v>
      </c>
      <c r="B670" s="12" t="s">
        <v>157</v>
      </c>
      <c r="C670" s="15">
        <v>116777</v>
      </c>
      <c r="D670" s="13">
        <v>47</v>
      </c>
      <c r="F670" s="12" t="s">
        <v>778</v>
      </c>
      <c r="G670" s="12" t="s">
        <v>157</v>
      </c>
      <c r="H670" s="15">
        <v>12368</v>
      </c>
      <c r="I670" s="13">
        <v>50</v>
      </c>
      <c r="K670" s="12" t="s">
        <v>1795</v>
      </c>
      <c r="L670" s="12" t="s">
        <v>157</v>
      </c>
      <c r="M670" s="15">
        <v>167976</v>
      </c>
      <c r="N670" s="13">
        <v>28</v>
      </c>
    </row>
    <row r="671" spans="1:14">
      <c r="A671" s="12" t="s">
        <v>1180</v>
      </c>
      <c r="B671" s="12" t="s">
        <v>157</v>
      </c>
      <c r="C671" s="15">
        <v>103135</v>
      </c>
      <c r="D671" s="13">
        <v>47</v>
      </c>
      <c r="F671" s="12" t="s">
        <v>1796</v>
      </c>
      <c r="G671" s="12" t="s">
        <v>159</v>
      </c>
      <c r="H671" s="15">
        <v>459900</v>
      </c>
      <c r="I671" s="13">
        <v>50</v>
      </c>
      <c r="K671" s="12" t="s">
        <v>158</v>
      </c>
      <c r="L671" s="12" t="s">
        <v>159</v>
      </c>
      <c r="M671" s="15">
        <v>9900000</v>
      </c>
      <c r="N671" s="13">
        <v>28</v>
      </c>
    </row>
    <row r="672" spans="1:14">
      <c r="A672" s="12" t="s">
        <v>1191</v>
      </c>
      <c r="B672" s="12" t="s">
        <v>157</v>
      </c>
      <c r="C672" s="15">
        <v>101492</v>
      </c>
      <c r="D672" s="13">
        <v>47</v>
      </c>
      <c r="F672" s="12" t="s">
        <v>1797</v>
      </c>
      <c r="G672" s="12" t="s">
        <v>159</v>
      </c>
      <c r="H672" s="15">
        <v>72400</v>
      </c>
      <c r="I672" s="13">
        <v>50</v>
      </c>
      <c r="K672" s="12" t="s">
        <v>1798</v>
      </c>
      <c r="L672" s="12" t="s">
        <v>157</v>
      </c>
      <c r="M672" s="15">
        <v>115511</v>
      </c>
      <c r="N672" s="13">
        <v>27</v>
      </c>
    </row>
    <row r="673" spans="1:14">
      <c r="A673" s="12" t="s">
        <v>1799</v>
      </c>
      <c r="B673" s="12" t="s">
        <v>157</v>
      </c>
      <c r="C673" s="15">
        <v>63295</v>
      </c>
      <c r="D673" s="13">
        <v>47</v>
      </c>
      <c r="F673" s="12" t="s">
        <v>1800</v>
      </c>
      <c r="G673" s="12" t="s">
        <v>159</v>
      </c>
      <c r="H673" s="15">
        <v>24700</v>
      </c>
      <c r="I673" s="13">
        <v>50</v>
      </c>
      <c r="K673" s="12" t="s">
        <v>1801</v>
      </c>
      <c r="L673" s="12" t="s">
        <v>157</v>
      </c>
      <c r="M673" s="15">
        <v>153444</v>
      </c>
      <c r="N673" s="13">
        <v>27</v>
      </c>
    </row>
    <row r="674" spans="1:14">
      <c r="A674" s="12" t="s">
        <v>1194</v>
      </c>
      <c r="B674" s="12" t="s">
        <v>157</v>
      </c>
      <c r="C674" s="15">
        <v>241296</v>
      </c>
      <c r="D674" s="13">
        <v>47</v>
      </c>
      <c r="F674" s="12" t="s">
        <v>1802</v>
      </c>
      <c r="G674" s="12" t="s">
        <v>159</v>
      </c>
      <c r="H674" s="15">
        <v>963200</v>
      </c>
      <c r="I674" s="13">
        <v>50</v>
      </c>
      <c r="K674" s="12" t="s">
        <v>1803</v>
      </c>
      <c r="L674" s="12" t="s">
        <v>157</v>
      </c>
      <c r="M674" s="15">
        <v>9199821</v>
      </c>
      <c r="N674" s="13">
        <v>27</v>
      </c>
    </row>
    <row r="675" spans="1:14">
      <c r="A675" s="12" t="s">
        <v>1804</v>
      </c>
      <c r="B675" s="12" t="s">
        <v>157</v>
      </c>
      <c r="C675" s="15">
        <v>88636</v>
      </c>
      <c r="D675" s="13">
        <v>46</v>
      </c>
      <c r="F675" s="12" t="s">
        <v>1805</v>
      </c>
      <c r="G675" s="12" t="s">
        <v>157</v>
      </c>
      <c r="H675" s="15">
        <v>23206</v>
      </c>
      <c r="I675" s="13">
        <v>50</v>
      </c>
      <c r="K675" s="12" t="s">
        <v>1806</v>
      </c>
      <c r="L675" s="12" t="s">
        <v>157</v>
      </c>
      <c r="M675" s="15">
        <v>313217</v>
      </c>
      <c r="N675" s="13">
        <v>27</v>
      </c>
    </row>
    <row r="676" spans="1:14">
      <c r="A676" s="12" t="s">
        <v>1203</v>
      </c>
      <c r="B676" s="12" t="s">
        <v>157</v>
      </c>
      <c r="C676" s="15">
        <v>119537</v>
      </c>
      <c r="D676" s="13">
        <v>46</v>
      </c>
      <c r="F676" s="12" t="s">
        <v>1807</v>
      </c>
      <c r="G676" s="12" t="s">
        <v>159</v>
      </c>
      <c r="H676" s="15">
        <v>21200</v>
      </c>
      <c r="I676" s="13">
        <v>50</v>
      </c>
      <c r="K676" s="12" t="s">
        <v>1808</v>
      </c>
      <c r="L676" s="12" t="s">
        <v>157</v>
      </c>
      <c r="M676" s="15">
        <v>216962</v>
      </c>
      <c r="N676" s="13">
        <v>27</v>
      </c>
    </row>
    <row r="677" spans="1:14">
      <c r="A677" s="12" t="s">
        <v>1809</v>
      </c>
      <c r="B677" s="12" t="s">
        <v>157</v>
      </c>
      <c r="C677" s="15">
        <v>68600</v>
      </c>
      <c r="D677" s="13">
        <v>46</v>
      </c>
      <c r="F677" s="12" t="s">
        <v>780</v>
      </c>
      <c r="G677" s="12" t="s">
        <v>157</v>
      </c>
      <c r="H677" s="15">
        <v>18616</v>
      </c>
      <c r="I677" s="13">
        <v>50</v>
      </c>
      <c r="K677" s="12" t="s">
        <v>1810</v>
      </c>
      <c r="L677" s="12" t="s">
        <v>157</v>
      </c>
      <c r="M677" s="15">
        <v>116072</v>
      </c>
      <c r="N677" s="13">
        <v>26</v>
      </c>
    </row>
    <row r="678" spans="1:14">
      <c r="A678" s="12" t="s">
        <v>1207</v>
      </c>
      <c r="B678" s="12" t="s">
        <v>157</v>
      </c>
      <c r="C678" s="15">
        <v>146243</v>
      </c>
      <c r="D678" s="13">
        <v>46</v>
      </c>
      <c r="F678" s="12" t="s">
        <v>1811</v>
      </c>
      <c r="G678" s="12" t="s">
        <v>159</v>
      </c>
      <c r="H678" s="15">
        <v>13700</v>
      </c>
      <c r="I678" s="13">
        <v>50</v>
      </c>
      <c r="K678" s="12" t="s">
        <v>1812</v>
      </c>
      <c r="L678" s="12" t="s">
        <v>157</v>
      </c>
      <c r="M678" s="15">
        <v>697233</v>
      </c>
      <c r="N678" s="13">
        <v>26</v>
      </c>
    </row>
    <row r="679" spans="1:14">
      <c r="A679" s="12" t="s">
        <v>1813</v>
      </c>
      <c r="B679" s="12" t="s">
        <v>157</v>
      </c>
      <c r="C679" s="15">
        <v>247764</v>
      </c>
      <c r="D679" s="13">
        <v>46</v>
      </c>
      <c r="F679" s="12" t="s">
        <v>1814</v>
      </c>
      <c r="G679" s="12" t="s">
        <v>159</v>
      </c>
      <c r="H679" s="15">
        <v>30600</v>
      </c>
      <c r="I679" s="13">
        <v>50</v>
      </c>
      <c r="K679" s="12" t="s">
        <v>1815</v>
      </c>
      <c r="L679" s="12" t="s">
        <v>157</v>
      </c>
      <c r="M679" s="15">
        <v>126871</v>
      </c>
      <c r="N679" s="13">
        <v>26</v>
      </c>
    </row>
    <row r="680" spans="1:14">
      <c r="A680" s="12" t="s">
        <v>1816</v>
      </c>
      <c r="B680" s="12" t="s">
        <v>157</v>
      </c>
      <c r="C680" s="15">
        <v>14018</v>
      </c>
      <c r="D680" s="13">
        <v>46</v>
      </c>
      <c r="F680" s="12" t="s">
        <v>1817</v>
      </c>
      <c r="G680" s="12" t="s">
        <v>159</v>
      </c>
      <c r="H680" s="15">
        <v>205700</v>
      </c>
      <c r="I680" s="13">
        <v>50</v>
      </c>
      <c r="K680" s="12" t="s">
        <v>1818</v>
      </c>
      <c r="L680" s="12" t="s">
        <v>157</v>
      </c>
      <c r="M680" s="15">
        <v>208798</v>
      </c>
      <c r="N680" s="13">
        <v>26</v>
      </c>
    </row>
    <row r="681" spans="1:14">
      <c r="A681" s="12" t="s">
        <v>1216</v>
      </c>
      <c r="B681" s="12" t="s">
        <v>157</v>
      </c>
      <c r="C681" s="15">
        <v>678397</v>
      </c>
      <c r="D681" s="13">
        <v>46</v>
      </c>
      <c r="F681" s="12" t="s">
        <v>1819</v>
      </c>
      <c r="G681" s="12" t="s">
        <v>159</v>
      </c>
      <c r="H681" s="15">
        <v>20200</v>
      </c>
      <c r="I681" s="13">
        <v>50</v>
      </c>
      <c r="K681" s="12" t="s">
        <v>221</v>
      </c>
      <c r="L681" s="12" t="s">
        <v>157</v>
      </c>
      <c r="M681" s="15">
        <v>5042266</v>
      </c>
      <c r="N681" s="13">
        <v>26</v>
      </c>
    </row>
    <row r="682" spans="1:14">
      <c r="A682" s="12" t="s">
        <v>746</v>
      </c>
      <c r="B682" s="12" t="s">
        <v>157</v>
      </c>
      <c r="C682" s="15">
        <v>150437</v>
      </c>
      <c r="D682" s="13">
        <v>46</v>
      </c>
      <c r="F682" s="12" t="s">
        <v>1820</v>
      </c>
      <c r="G682" s="12" t="s">
        <v>157</v>
      </c>
      <c r="H682" s="15">
        <v>47884</v>
      </c>
      <c r="I682" s="13">
        <v>50</v>
      </c>
      <c r="K682" s="12" t="s">
        <v>1821</v>
      </c>
      <c r="L682" s="12" t="s">
        <v>157</v>
      </c>
      <c r="M682" s="15">
        <v>108222</v>
      </c>
      <c r="N682" s="13">
        <v>25</v>
      </c>
    </row>
    <row r="683" spans="1:14">
      <c r="A683" s="12" t="s">
        <v>1577</v>
      </c>
      <c r="B683" s="12" t="s">
        <v>157</v>
      </c>
      <c r="C683" s="15">
        <v>100930</v>
      </c>
      <c r="D683" s="13">
        <v>46</v>
      </c>
      <c r="F683" s="12" t="s">
        <v>1822</v>
      </c>
      <c r="G683" s="12" t="s">
        <v>159</v>
      </c>
      <c r="H683" s="15">
        <v>59800</v>
      </c>
      <c r="I683" s="13">
        <v>50</v>
      </c>
      <c r="K683" s="12" t="s">
        <v>1823</v>
      </c>
      <c r="L683" s="12" t="s">
        <v>157</v>
      </c>
      <c r="M683" s="15">
        <v>525410</v>
      </c>
      <c r="N683" s="13">
        <v>24</v>
      </c>
    </row>
    <row r="684" spans="1:14">
      <c r="A684" s="12" t="s">
        <v>1251</v>
      </c>
      <c r="B684" s="12" t="s">
        <v>157</v>
      </c>
      <c r="C684" s="15">
        <v>106287</v>
      </c>
      <c r="D684" s="13">
        <v>46</v>
      </c>
      <c r="F684" s="12" t="s">
        <v>1824</v>
      </c>
      <c r="G684" s="12" t="s">
        <v>159</v>
      </c>
      <c r="H684" s="15">
        <v>324300</v>
      </c>
      <c r="I684" s="13">
        <v>50</v>
      </c>
      <c r="K684" s="12" t="s">
        <v>1825</v>
      </c>
      <c r="L684" s="12" t="s">
        <v>157</v>
      </c>
      <c r="M684" s="15">
        <v>105892</v>
      </c>
      <c r="N684" s="13">
        <v>24</v>
      </c>
    </row>
    <row r="685" spans="1:14">
      <c r="A685" s="12" t="s">
        <v>1254</v>
      </c>
      <c r="B685" s="12" t="s">
        <v>157</v>
      </c>
      <c r="C685" s="15">
        <v>271497</v>
      </c>
      <c r="D685" s="13">
        <v>46</v>
      </c>
      <c r="F685" s="12" t="s">
        <v>483</v>
      </c>
      <c r="G685" s="12" t="s">
        <v>159</v>
      </c>
      <c r="H685" s="15">
        <v>1200000</v>
      </c>
      <c r="I685" s="13">
        <v>50</v>
      </c>
      <c r="K685" s="12" t="s">
        <v>1826</v>
      </c>
      <c r="L685" s="12" t="s">
        <v>157</v>
      </c>
      <c r="M685" s="15">
        <v>219189</v>
      </c>
      <c r="N685" s="13">
        <v>24</v>
      </c>
    </row>
    <row r="686" spans="1:14">
      <c r="A686" s="12" t="s">
        <v>1827</v>
      </c>
      <c r="B686" s="12" t="s">
        <v>157</v>
      </c>
      <c r="C686" s="15">
        <v>51284</v>
      </c>
      <c r="D686" s="13">
        <v>45</v>
      </c>
      <c r="F686" s="12" t="s">
        <v>1828</v>
      </c>
      <c r="G686" s="12" t="s">
        <v>159</v>
      </c>
      <c r="H686" s="15">
        <v>16900</v>
      </c>
      <c r="I686" s="13">
        <v>50</v>
      </c>
      <c r="K686" s="12" t="s">
        <v>1829</v>
      </c>
      <c r="L686" s="12" t="s">
        <v>157</v>
      </c>
      <c r="M686" s="15">
        <v>122358</v>
      </c>
      <c r="N686" s="13">
        <v>24</v>
      </c>
    </row>
    <row r="687" spans="1:14">
      <c r="A687" s="12" t="s">
        <v>1830</v>
      </c>
      <c r="B687" s="12" t="s">
        <v>157</v>
      </c>
      <c r="C687" s="15">
        <v>65861</v>
      </c>
      <c r="D687" s="13">
        <v>45</v>
      </c>
      <c r="F687" s="12" t="s">
        <v>1831</v>
      </c>
      <c r="G687" s="12" t="s">
        <v>159</v>
      </c>
      <c r="H687" s="15">
        <v>48500</v>
      </c>
      <c r="I687" s="13">
        <v>50</v>
      </c>
      <c r="K687" s="12" t="s">
        <v>1832</v>
      </c>
      <c r="L687" s="12" t="s">
        <v>157</v>
      </c>
      <c r="M687" s="15">
        <v>119903</v>
      </c>
      <c r="N687" s="13">
        <v>24</v>
      </c>
    </row>
    <row r="688" spans="1:14">
      <c r="A688" s="12" t="s">
        <v>1833</v>
      </c>
      <c r="B688" s="12" t="s">
        <v>157</v>
      </c>
      <c r="C688" s="15">
        <v>48240</v>
      </c>
      <c r="D688" s="13">
        <v>45</v>
      </c>
      <c r="F688" s="12" t="s">
        <v>1834</v>
      </c>
      <c r="G688" s="12" t="s">
        <v>159</v>
      </c>
      <c r="H688" s="15">
        <v>31100</v>
      </c>
      <c r="I688" s="13">
        <v>50</v>
      </c>
      <c r="K688" s="12" t="s">
        <v>1835</v>
      </c>
      <c r="L688" s="12" t="s">
        <v>157</v>
      </c>
      <c r="M688" s="15">
        <v>191383</v>
      </c>
      <c r="N688" s="13">
        <v>23</v>
      </c>
    </row>
    <row r="689" spans="1:14">
      <c r="A689" s="12" t="s">
        <v>1266</v>
      </c>
      <c r="B689" s="12" t="s">
        <v>157</v>
      </c>
      <c r="C689" s="15">
        <v>341411</v>
      </c>
      <c r="D689" s="13">
        <v>45</v>
      </c>
      <c r="F689" s="12" t="s">
        <v>1836</v>
      </c>
      <c r="G689" s="12" t="s">
        <v>157</v>
      </c>
      <c r="H689" s="15">
        <v>10166</v>
      </c>
      <c r="I689" s="13">
        <v>50</v>
      </c>
      <c r="K689" s="12" t="s">
        <v>1837</v>
      </c>
      <c r="L689" s="12" t="s">
        <v>157</v>
      </c>
      <c r="M689" s="15">
        <v>907809</v>
      </c>
      <c r="N689" s="13">
        <v>23</v>
      </c>
    </row>
    <row r="690" spans="1:14">
      <c r="A690" s="12" t="s">
        <v>1138</v>
      </c>
      <c r="B690" s="12" t="s">
        <v>157</v>
      </c>
      <c r="C690" s="15">
        <v>156144</v>
      </c>
      <c r="D690" s="13">
        <v>45</v>
      </c>
      <c r="F690" s="12" t="s">
        <v>1838</v>
      </c>
      <c r="G690" s="12" t="s">
        <v>159</v>
      </c>
      <c r="H690" s="15">
        <v>43700</v>
      </c>
      <c r="I690" s="13">
        <v>50</v>
      </c>
      <c r="K690" s="12" t="s">
        <v>1839</v>
      </c>
      <c r="L690" s="12" t="s">
        <v>157</v>
      </c>
      <c r="M690" s="15">
        <v>112810</v>
      </c>
      <c r="N690" s="13">
        <v>20</v>
      </c>
    </row>
    <row r="691" spans="1:14">
      <c r="A691" s="12" t="s">
        <v>1840</v>
      </c>
      <c r="B691" s="12" t="s">
        <v>157</v>
      </c>
      <c r="C691" s="15">
        <v>43548</v>
      </c>
      <c r="D691" s="13">
        <v>45</v>
      </c>
      <c r="F691" s="12" t="s">
        <v>1841</v>
      </c>
      <c r="G691" s="12" t="s">
        <v>159</v>
      </c>
      <c r="H691" s="15">
        <v>24800</v>
      </c>
      <c r="I691" s="13">
        <v>50</v>
      </c>
      <c r="K691" s="12" t="s">
        <v>1842</v>
      </c>
      <c r="L691" s="12" t="s">
        <v>157</v>
      </c>
      <c r="M691" s="15">
        <v>336823</v>
      </c>
      <c r="N691" s="13">
        <v>20</v>
      </c>
    </row>
    <row r="692" spans="1:14">
      <c r="A692" s="12" t="s">
        <v>1276</v>
      </c>
      <c r="B692" s="12" t="s">
        <v>157</v>
      </c>
      <c r="C692" s="15">
        <v>106722</v>
      </c>
      <c r="D692" s="13">
        <v>45</v>
      </c>
      <c r="F692" s="12" t="s">
        <v>1843</v>
      </c>
      <c r="G692" s="12" t="s">
        <v>159</v>
      </c>
      <c r="H692" s="15">
        <v>11100</v>
      </c>
      <c r="I692" s="13">
        <v>50</v>
      </c>
      <c r="K692" s="12" t="s">
        <v>606</v>
      </c>
      <c r="L692" s="12" t="s">
        <v>157</v>
      </c>
      <c r="M692" s="15">
        <v>101429</v>
      </c>
      <c r="N692" s="13">
        <v>18</v>
      </c>
    </row>
    <row r="693" spans="1:14">
      <c r="A693" s="12" t="s">
        <v>1284</v>
      </c>
      <c r="B693" s="12" t="s">
        <v>157</v>
      </c>
      <c r="C693" s="15">
        <v>312384</v>
      </c>
      <c r="D693" s="13">
        <v>45</v>
      </c>
      <c r="F693" s="12" t="s">
        <v>1844</v>
      </c>
      <c r="G693" s="12" t="s">
        <v>159</v>
      </c>
      <c r="H693" s="15">
        <v>10800</v>
      </c>
      <c r="I693" s="13">
        <v>50</v>
      </c>
    </row>
    <row r="694" spans="1:14">
      <c r="A694" s="12" t="s">
        <v>219</v>
      </c>
      <c r="B694" s="12" t="s">
        <v>157</v>
      </c>
      <c r="C694" s="15">
        <v>983917</v>
      </c>
      <c r="D694" s="13">
        <v>45</v>
      </c>
      <c r="F694" s="12" t="s">
        <v>1845</v>
      </c>
      <c r="G694" s="12" t="s">
        <v>157</v>
      </c>
      <c r="H694" s="15">
        <v>21243</v>
      </c>
      <c r="I694" s="13">
        <v>50</v>
      </c>
    </row>
    <row r="695" spans="1:14">
      <c r="A695" s="12" t="s">
        <v>1846</v>
      </c>
      <c r="B695" s="12" t="s">
        <v>157</v>
      </c>
      <c r="C695" s="15">
        <v>55947</v>
      </c>
      <c r="D695" s="13">
        <v>45</v>
      </c>
      <c r="F695" s="12" t="s">
        <v>1847</v>
      </c>
      <c r="G695" s="12" t="s">
        <v>159</v>
      </c>
      <c r="H695" s="15">
        <v>367400</v>
      </c>
      <c r="I695" s="13">
        <v>50</v>
      </c>
    </row>
    <row r="696" spans="1:14">
      <c r="A696" s="12" t="s">
        <v>1297</v>
      </c>
      <c r="B696" s="12" t="s">
        <v>157</v>
      </c>
      <c r="C696" s="15">
        <v>225500</v>
      </c>
      <c r="D696" s="13">
        <v>45</v>
      </c>
      <c r="F696" s="12" t="s">
        <v>1848</v>
      </c>
      <c r="G696" s="12" t="s">
        <v>159</v>
      </c>
      <c r="H696" s="15">
        <v>23600</v>
      </c>
      <c r="I696" s="13">
        <v>50</v>
      </c>
    </row>
    <row r="697" spans="1:14">
      <c r="A697" s="12" t="s">
        <v>1300</v>
      </c>
      <c r="B697" s="12" t="s">
        <v>157</v>
      </c>
      <c r="C697" s="15">
        <v>211019</v>
      </c>
      <c r="D697" s="13">
        <v>45</v>
      </c>
      <c r="F697" s="12" t="s">
        <v>1849</v>
      </c>
      <c r="G697" s="12" t="s">
        <v>159</v>
      </c>
      <c r="H697" s="15">
        <v>1500000</v>
      </c>
      <c r="I697" s="13">
        <v>50</v>
      </c>
    </row>
    <row r="698" spans="1:14">
      <c r="A698" s="12" t="s">
        <v>1311</v>
      </c>
      <c r="B698" s="12" t="s">
        <v>157</v>
      </c>
      <c r="C698" s="15">
        <v>267982</v>
      </c>
      <c r="D698" s="13">
        <v>45</v>
      </c>
      <c r="F698" s="12" t="s">
        <v>1850</v>
      </c>
      <c r="G698" s="12" t="s">
        <v>159</v>
      </c>
      <c r="H698" s="15">
        <v>70100</v>
      </c>
      <c r="I698" s="13">
        <v>50</v>
      </c>
    </row>
    <row r="699" spans="1:14">
      <c r="A699" s="12" t="s">
        <v>1314</v>
      </c>
      <c r="B699" s="12" t="s">
        <v>157</v>
      </c>
      <c r="C699" s="15">
        <v>208540</v>
      </c>
      <c r="D699" s="13">
        <v>45</v>
      </c>
      <c r="F699" s="12" t="s">
        <v>1851</v>
      </c>
      <c r="G699" s="12" t="s">
        <v>157</v>
      </c>
      <c r="H699" s="15">
        <v>10663</v>
      </c>
      <c r="I699" s="13">
        <v>50</v>
      </c>
    </row>
    <row r="700" spans="1:14">
      <c r="A700" s="12" t="s">
        <v>1852</v>
      </c>
      <c r="B700" s="12" t="s">
        <v>157</v>
      </c>
      <c r="C700" s="15">
        <v>97713</v>
      </c>
      <c r="D700" s="13">
        <v>45</v>
      </c>
      <c r="F700" s="12" t="s">
        <v>1853</v>
      </c>
      <c r="G700" s="12" t="s">
        <v>159</v>
      </c>
      <c r="H700" s="15">
        <v>95500</v>
      </c>
      <c r="I700" s="13">
        <v>50</v>
      </c>
    </row>
    <row r="701" spans="1:14">
      <c r="A701" s="12" t="s">
        <v>1854</v>
      </c>
      <c r="B701" s="12" t="s">
        <v>157</v>
      </c>
      <c r="C701" s="15">
        <v>14768</v>
      </c>
      <c r="D701" s="13">
        <v>44</v>
      </c>
      <c r="F701" s="12" t="s">
        <v>1855</v>
      </c>
      <c r="G701" s="12" t="s">
        <v>159</v>
      </c>
      <c r="H701" s="15">
        <v>107400</v>
      </c>
      <c r="I701" s="13">
        <v>50</v>
      </c>
    </row>
    <row r="702" spans="1:14">
      <c r="A702" s="12" t="s">
        <v>1856</v>
      </c>
      <c r="B702" s="12" t="s">
        <v>157</v>
      </c>
      <c r="C702" s="15">
        <v>10594</v>
      </c>
      <c r="D702" s="13">
        <v>44</v>
      </c>
      <c r="F702" s="12" t="s">
        <v>1857</v>
      </c>
      <c r="G702" s="12" t="s">
        <v>157</v>
      </c>
      <c r="H702" s="15">
        <v>23077</v>
      </c>
      <c r="I702" s="13">
        <v>50</v>
      </c>
    </row>
    <row r="703" spans="1:14">
      <c r="A703" s="12" t="s">
        <v>1858</v>
      </c>
      <c r="B703" s="12" t="s">
        <v>157</v>
      </c>
      <c r="C703" s="15">
        <v>13640</v>
      </c>
      <c r="D703" s="13">
        <v>44</v>
      </c>
      <c r="F703" s="12" t="s">
        <v>1664</v>
      </c>
      <c r="G703" s="12" t="s">
        <v>159</v>
      </c>
      <c r="H703" s="15">
        <v>314300</v>
      </c>
      <c r="I703" s="13">
        <v>50</v>
      </c>
    </row>
    <row r="704" spans="1:14">
      <c r="A704" s="12" t="s">
        <v>1859</v>
      </c>
      <c r="B704" s="12" t="s">
        <v>157</v>
      </c>
      <c r="C704" s="15">
        <v>31349</v>
      </c>
      <c r="D704" s="13">
        <v>44</v>
      </c>
      <c r="F704" s="12" t="s">
        <v>1860</v>
      </c>
      <c r="G704" s="12" t="s">
        <v>159</v>
      </c>
      <c r="H704" s="15">
        <v>31200</v>
      </c>
      <c r="I704" s="13">
        <v>50</v>
      </c>
    </row>
    <row r="705" spans="1:9">
      <c r="A705" s="12" t="s">
        <v>1861</v>
      </c>
      <c r="B705" s="12" t="s">
        <v>157</v>
      </c>
      <c r="C705" s="15">
        <v>11585</v>
      </c>
      <c r="D705" s="13">
        <v>44</v>
      </c>
      <c r="F705" s="12" t="s">
        <v>1862</v>
      </c>
      <c r="G705" s="12" t="s">
        <v>159</v>
      </c>
      <c r="H705" s="15">
        <v>26600</v>
      </c>
      <c r="I705" s="13">
        <v>50</v>
      </c>
    </row>
    <row r="706" spans="1:9">
      <c r="A706" s="12" t="s">
        <v>1863</v>
      </c>
      <c r="B706" s="12" t="s">
        <v>157</v>
      </c>
      <c r="C706" s="15">
        <v>20284</v>
      </c>
      <c r="D706" s="13">
        <v>44</v>
      </c>
      <c r="F706" s="12" t="s">
        <v>1864</v>
      </c>
      <c r="G706" s="12" t="s">
        <v>159</v>
      </c>
      <c r="H706" s="15">
        <v>11300</v>
      </c>
      <c r="I706" s="13">
        <v>50</v>
      </c>
    </row>
    <row r="707" spans="1:9">
      <c r="A707" s="12" t="s">
        <v>1865</v>
      </c>
      <c r="B707" s="12" t="s">
        <v>157</v>
      </c>
      <c r="C707" s="15">
        <v>10900</v>
      </c>
      <c r="D707" s="13">
        <v>44</v>
      </c>
      <c r="F707" s="12" t="s">
        <v>1866</v>
      </c>
      <c r="G707" s="12" t="s">
        <v>159</v>
      </c>
      <c r="H707" s="15">
        <v>262100</v>
      </c>
      <c r="I707" s="13">
        <v>50</v>
      </c>
    </row>
    <row r="708" spans="1:9">
      <c r="A708" s="12" t="s">
        <v>1867</v>
      </c>
      <c r="B708" s="12" t="s">
        <v>157</v>
      </c>
      <c r="C708" s="15">
        <v>12046</v>
      </c>
      <c r="D708" s="13">
        <v>44</v>
      </c>
      <c r="F708" s="12" t="s">
        <v>1868</v>
      </c>
      <c r="G708" s="12" t="s">
        <v>157</v>
      </c>
      <c r="H708" s="15">
        <v>22232</v>
      </c>
      <c r="I708" s="13">
        <v>50</v>
      </c>
    </row>
    <row r="709" spans="1:9">
      <c r="A709" s="12" t="s">
        <v>1869</v>
      </c>
      <c r="B709" s="12" t="s">
        <v>157</v>
      </c>
      <c r="C709" s="15">
        <v>10941</v>
      </c>
      <c r="D709" s="13">
        <v>44</v>
      </c>
      <c r="F709" s="12" t="s">
        <v>1870</v>
      </c>
      <c r="G709" s="12" t="s">
        <v>159</v>
      </c>
      <c r="H709" s="15">
        <v>72300</v>
      </c>
      <c r="I709" s="13">
        <v>50</v>
      </c>
    </row>
    <row r="710" spans="1:9">
      <c r="A710" s="12" t="s">
        <v>1871</v>
      </c>
      <c r="B710" s="12" t="s">
        <v>157</v>
      </c>
      <c r="C710" s="15">
        <v>20185</v>
      </c>
      <c r="D710" s="13">
        <v>44</v>
      </c>
      <c r="F710" s="12" t="s">
        <v>1872</v>
      </c>
      <c r="G710" s="12" t="s">
        <v>159</v>
      </c>
      <c r="H710" s="15">
        <v>220400</v>
      </c>
      <c r="I710" s="13">
        <v>50</v>
      </c>
    </row>
    <row r="711" spans="1:9">
      <c r="A711" s="12" t="s">
        <v>1873</v>
      </c>
      <c r="B711" s="12" t="s">
        <v>157</v>
      </c>
      <c r="C711" s="15">
        <v>12055</v>
      </c>
      <c r="D711" s="13">
        <v>44</v>
      </c>
      <c r="F711" s="12" t="s">
        <v>1874</v>
      </c>
      <c r="G711" s="12" t="s">
        <v>159</v>
      </c>
      <c r="H711" s="15">
        <v>23600</v>
      </c>
      <c r="I711" s="13">
        <v>50</v>
      </c>
    </row>
    <row r="712" spans="1:9">
      <c r="A712" s="12" t="s">
        <v>1875</v>
      </c>
      <c r="B712" s="12" t="s">
        <v>157</v>
      </c>
      <c r="C712" s="15">
        <v>19609</v>
      </c>
      <c r="D712" s="13">
        <v>44</v>
      </c>
      <c r="F712" s="12" t="s">
        <v>1876</v>
      </c>
      <c r="G712" s="12" t="s">
        <v>159</v>
      </c>
      <c r="H712" s="15">
        <v>6200000</v>
      </c>
      <c r="I712" s="13">
        <v>50</v>
      </c>
    </row>
    <row r="713" spans="1:9">
      <c r="A713" s="12" t="s">
        <v>1877</v>
      </c>
      <c r="B713" s="12" t="s">
        <v>157</v>
      </c>
      <c r="C713" s="15">
        <v>19566</v>
      </c>
      <c r="D713" s="13">
        <v>44</v>
      </c>
      <c r="F713" s="12" t="s">
        <v>1878</v>
      </c>
      <c r="G713" s="12" t="s">
        <v>159</v>
      </c>
      <c r="H713" s="15">
        <v>21700</v>
      </c>
      <c r="I713" s="13">
        <v>50</v>
      </c>
    </row>
    <row r="714" spans="1:9">
      <c r="A714" s="12" t="s">
        <v>1879</v>
      </c>
      <c r="B714" s="12" t="s">
        <v>157</v>
      </c>
      <c r="C714" s="15">
        <v>10623</v>
      </c>
      <c r="D714" s="13">
        <v>44</v>
      </c>
      <c r="F714" s="12" t="s">
        <v>1880</v>
      </c>
      <c r="G714" s="12" t="s">
        <v>159</v>
      </c>
      <c r="H714" s="15">
        <v>460000</v>
      </c>
      <c r="I714" s="13">
        <v>50</v>
      </c>
    </row>
    <row r="715" spans="1:9">
      <c r="A715" s="12" t="s">
        <v>1881</v>
      </c>
      <c r="B715" s="12" t="s">
        <v>157</v>
      </c>
      <c r="C715" s="15">
        <v>27520</v>
      </c>
      <c r="D715" s="13">
        <v>44</v>
      </c>
      <c r="F715" s="12" t="s">
        <v>782</v>
      </c>
      <c r="G715" s="12" t="s">
        <v>157</v>
      </c>
      <c r="H715" s="15">
        <v>98163</v>
      </c>
      <c r="I715" s="13">
        <v>50</v>
      </c>
    </row>
    <row r="716" spans="1:9">
      <c r="A716" s="12" t="s">
        <v>1882</v>
      </c>
      <c r="B716" s="12" t="s">
        <v>157</v>
      </c>
      <c r="C716" s="15">
        <v>16977</v>
      </c>
      <c r="D716" s="13">
        <v>44</v>
      </c>
      <c r="F716" s="12" t="s">
        <v>1883</v>
      </c>
      <c r="G716" s="12" t="s">
        <v>157</v>
      </c>
      <c r="H716" s="15">
        <v>20379</v>
      </c>
      <c r="I716" s="13">
        <v>50</v>
      </c>
    </row>
    <row r="717" spans="1:9">
      <c r="A717" s="12" t="s">
        <v>1884</v>
      </c>
      <c r="B717" s="12" t="s">
        <v>157</v>
      </c>
      <c r="C717" s="15">
        <v>14296</v>
      </c>
      <c r="D717" s="13">
        <v>44</v>
      </c>
      <c r="F717" s="12" t="s">
        <v>1885</v>
      </c>
      <c r="G717" s="12" t="s">
        <v>159</v>
      </c>
      <c r="H717" s="15">
        <v>22200</v>
      </c>
      <c r="I717" s="13">
        <v>50</v>
      </c>
    </row>
    <row r="718" spans="1:9">
      <c r="A718" s="12" t="s">
        <v>1886</v>
      </c>
      <c r="B718" s="12" t="s">
        <v>157</v>
      </c>
      <c r="C718" s="15">
        <v>25065</v>
      </c>
      <c r="D718" s="13">
        <v>44</v>
      </c>
      <c r="F718" s="12" t="s">
        <v>1887</v>
      </c>
      <c r="G718" s="12" t="s">
        <v>159</v>
      </c>
      <c r="H718" s="15">
        <v>14400</v>
      </c>
      <c r="I718" s="13">
        <v>50</v>
      </c>
    </row>
    <row r="719" spans="1:9">
      <c r="A719" s="12" t="s">
        <v>1888</v>
      </c>
      <c r="B719" s="12" t="s">
        <v>157</v>
      </c>
      <c r="C719" s="15">
        <v>33573</v>
      </c>
      <c r="D719" s="13">
        <v>44</v>
      </c>
      <c r="F719" s="12" t="s">
        <v>1889</v>
      </c>
      <c r="G719" s="12" t="s">
        <v>159</v>
      </c>
      <c r="H719" s="15">
        <v>12100</v>
      </c>
      <c r="I719" s="13">
        <v>50</v>
      </c>
    </row>
    <row r="720" spans="1:9">
      <c r="A720" s="12" t="s">
        <v>1890</v>
      </c>
      <c r="B720" s="12" t="s">
        <v>157</v>
      </c>
      <c r="C720" s="15">
        <v>29231</v>
      </c>
      <c r="D720" s="13">
        <v>44</v>
      </c>
      <c r="F720" s="12" t="s">
        <v>1891</v>
      </c>
      <c r="G720" s="12" t="s">
        <v>159</v>
      </c>
      <c r="H720" s="15">
        <v>152200</v>
      </c>
      <c r="I720" s="13">
        <v>50</v>
      </c>
    </row>
    <row r="721" spans="1:9">
      <c r="A721" s="12" t="s">
        <v>1892</v>
      </c>
      <c r="B721" s="12" t="s">
        <v>157</v>
      </c>
      <c r="C721" s="15">
        <v>19399</v>
      </c>
      <c r="D721" s="13">
        <v>44</v>
      </c>
      <c r="F721" s="12" t="s">
        <v>1893</v>
      </c>
      <c r="G721" s="12" t="s">
        <v>159</v>
      </c>
      <c r="H721" s="15">
        <v>239100</v>
      </c>
      <c r="I721" s="13">
        <v>50</v>
      </c>
    </row>
    <row r="722" spans="1:9">
      <c r="A722" s="12" t="s">
        <v>1894</v>
      </c>
      <c r="B722" s="12" t="s">
        <v>157</v>
      </c>
      <c r="C722" s="15">
        <v>20209</v>
      </c>
      <c r="D722" s="13">
        <v>44</v>
      </c>
      <c r="F722" s="12" t="s">
        <v>1895</v>
      </c>
      <c r="G722" s="12" t="s">
        <v>159</v>
      </c>
      <c r="H722" s="15">
        <v>10800</v>
      </c>
      <c r="I722" s="13">
        <v>50</v>
      </c>
    </row>
    <row r="723" spans="1:9">
      <c r="A723" s="12" t="s">
        <v>1896</v>
      </c>
      <c r="B723" s="12" t="s">
        <v>157</v>
      </c>
      <c r="C723" s="15">
        <v>61532</v>
      </c>
      <c r="D723" s="13">
        <v>44</v>
      </c>
      <c r="F723" s="12" t="s">
        <v>783</v>
      </c>
      <c r="G723" s="12" t="s">
        <v>157</v>
      </c>
      <c r="H723" s="15">
        <v>19533</v>
      </c>
      <c r="I723" s="13">
        <v>50</v>
      </c>
    </row>
    <row r="724" spans="1:9">
      <c r="A724" s="12" t="s">
        <v>1897</v>
      </c>
      <c r="B724" s="12" t="s">
        <v>157</v>
      </c>
      <c r="C724" s="15">
        <v>19471</v>
      </c>
      <c r="D724" s="13">
        <v>44</v>
      </c>
      <c r="F724" s="12" t="s">
        <v>1898</v>
      </c>
      <c r="G724" s="12" t="s">
        <v>159</v>
      </c>
      <c r="H724" s="15">
        <v>10400</v>
      </c>
      <c r="I724" s="13">
        <v>50</v>
      </c>
    </row>
    <row r="725" spans="1:9">
      <c r="A725" s="12" t="s">
        <v>1899</v>
      </c>
      <c r="B725" s="12" t="s">
        <v>157</v>
      </c>
      <c r="C725" s="15">
        <v>12824</v>
      </c>
      <c r="D725" s="13">
        <v>44</v>
      </c>
      <c r="F725" s="12" t="s">
        <v>785</v>
      </c>
      <c r="G725" s="12" t="s">
        <v>157</v>
      </c>
      <c r="H725" s="15">
        <v>12028</v>
      </c>
      <c r="I725" s="13">
        <v>50</v>
      </c>
    </row>
    <row r="726" spans="1:9">
      <c r="A726" s="12" t="s">
        <v>1900</v>
      </c>
      <c r="B726" s="12" t="s">
        <v>157</v>
      </c>
      <c r="C726" s="15">
        <v>11198</v>
      </c>
      <c r="D726" s="13">
        <v>44</v>
      </c>
      <c r="F726" s="12" t="s">
        <v>1901</v>
      </c>
      <c r="G726" s="12" t="s">
        <v>159</v>
      </c>
      <c r="H726" s="15">
        <v>11800</v>
      </c>
      <c r="I726" s="13">
        <v>50</v>
      </c>
    </row>
    <row r="727" spans="1:9">
      <c r="A727" s="12" t="s">
        <v>1902</v>
      </c>
      <c r="B727" s="12" t="s">
        <v>157</v>
      </c>
      <c r="C727" s="15">
        <v>10862</v>
      </c>
      <c r="D727" s="13">
        <v>44</v>
      </c>
      <c r="F727" s="12" t="s">
        <v>1903</v>
      </c>
      <c r="G727" s="12" t="s">
        <v>159</v>
      </c>
      <c r="H727" s="15">
        <v>11900</v>
      </c>
      <c r="I727" s="13">
        <v>50</v>
      </c>
    </row>
    <row r="728" spans="1:9">
      <c r="A728" s="12" t="s">
        <v>1904</v>
      </c>
      <c r="B728" s="12" t="s">
        <v>157</v>
      </c>
      <c r="C728" s="15">
        <v>15491</v>
      </c>
      <c r="D728" s="13">
        <v>44</v>
      </c>
      <c r="F728" s="12" t="s">
        <v>1905</v>
      </c>
      <c r="G728" s="12" t="s">
        <v>159</v>
      </c>
      <c r="H728" s="15">
        <v>69500</v>
      </c>
      <c r="I728" s="13">
        <v>50</v>
      </c>
    </row>
    <row r="729" spans="1:9">
      <c r="A729" s="12" t="s">
        <v>1906</v>
      </c>
      <c r="B729" s="12" t="s">
        <v>157</v>
      </c>
      <c r="C729" s="15">
        <v>22629</v>
      </c>
      <c r="D729" s="13">
        <v>44</v>
      </c>
      <c r="F729" s="12" t="s">
        <v>1907</v>
      </c>
      <c r="G729" s="12" t="s">
        <v>159</v>
      </c>
      <c r="H729" s="15">
        <v>100300</v>
      </c>
      <c r="I729" s="13">
        <v>50</v>
      </c>
    </row>
    <row r="730" spans="1:9">
      <c r="A730" s="12" t="s">
        <v>1908</v>
      </c>
      <c r="B730" s="12" t="s">
        <v>157</v>
      </c>
      <c r="C730" s="15">
        <v>81665</v>
      </c>
      <c r="D730" s="13">
        <v>44</v>
      </c>
      <c r="F730" s="12" t="s">
        <v>1909</v>
      </c>
      <c r="G730" s="12" t="s">
        <v>159</v>
      </c>
      <c r="H730" s="15">
        <v>207500</v>
      </c>
      <c r="I730" s="13">
        <v>50</v>
      </c>
    </row>
    <row r="731" spans="1:9">
      <c r="A731" s="12" t="s">
        <v>1910</v>
      </c>
      <c r="B731" s="12" t="s">
        <v>157</v>
      </c>
      <c r="C731" s="15">
        <v>13842</v>
      </c>
      <c r="D731" s="13">
        <v>44</v>
      </c>
      <c r="F731" s="12" t="s">
        <v>1911</v>
      </c>
      <c r="G731" s="12" t="s">
        <v>159</v>
      </c>
      <c r="H731" s="15">
        <v>21500</v>
      </c>
      <c r="I731" s="13">
        <v>50</v>
      </c>
    </row>
    <row r="732" spans="1:9">
      <c r="A732" s="12" t="s">
        <v>1912</v>
      </c>
      <c r="B732" s="12" t="s">
        <v>157</v>
      </c>
      <c r="C732" s="15">
        <v>11938</v>
      </c>
      <c r="D732" s="13">
        <v>44</v>
      </c>
      <c r="F732" s="12" t="s">
        <v>1913</v>
      </c>
      <c r="G732" s="12" t="s">
        <v>157</v>
      </c>
      <c r="H732" s="15">
        <v>22454</v>
      </c>
      <c r="I732" s="13">
        <v>50</v>
      </c>
    </row>
    <row r="733" spans="1:9">
      <c r="A733" s="12" t="s">
        <v>1914</v>
      </c>
      <c r="B733" s="12" t="s">
        <v>157</v>
      </c>
      <c r="C733" s="15">
        <v>31699</v>
      </c>
      <c r="D733" s="13">
        <v>44</v>
      </c>
      <c r="F733" s="12" t="s">
        <v>1915</v>
      </c>
      <c r="G733" s="12" t="s">
        <v>159</v>
      </c>
      <c r="H733" s="15">
        <v>195700</v>
      </c>
      <c r="I733" s="13">
        <v>50</v>
      </c>
    </row>
    <row r="734" spans="1:9">
      <c r="A734" s="12" t="s">
        <v>1916</v>
      </c>
      <c r="B734" s="12" t="s">
        <v>157</v>
      </c>
      <c r="C734" s="15">
        <v>10350</v>
      </c>
      <c r="D734" s="13">
        <v>44</v>
      </c>
      <c r="F734" s="12" t="s">
        <v>786</v>
      </c>
      <c r="G734" s="12" t="s">
        <v>157</v>
      </c>
      <c r="H734" s="15">
        <v>14866</v>
      </c>
      <c r="I734" s="13">
        <v>50</v>
      </c>
    </row>
    <row r="735" spans="1:9">
      <c r="A735" s="12" t="s">
        <v>1917</v>
      </c>
      <c r="B735" s="12" t="s">
        <v>157</v>
      </c>
      <c r="C735" s="15">
        <v>12281</v>
      </c>
      <c r="D735" s="13">
        <v>44</v>
      </c>
      <c r="F735" s="12" t="s">
        <v>1918</v>
      </c>
      <c r="G735" s="12" t="s">
        <v>159</v>
      </c>
      <c r="H735" s="15">
        <v>132700</v>
      </c>
      <c r="I735" s="13">
        <v>50</v>
      </c>
    </row>
    <row r="736" spans="1:9">
      <c r="A736" s="12" t="s">
        <v>1919</v>
      </c>
      <c r="B736" s="12" t="s">
        <v>157</v>
      </c>
      <c r="C736" s="15">
        <v>12007</v>
      </c>
      <c r="D736" s="13">
        <v>44</v>
      </c>
      <c r="F736" s="12" t="s">
        <v>1920</v>
      </c>
      <c r="G736" s="12" t="s">
        <v>157</v>
      </c>
      <c r="H736" s="15">
        <v>25348</v>
      </c>
      <c r="I736" s="13">
        <v>50</v>
      </c>
    </row>
    <row r="737" spans="1:9">
      <c r="A737" s="12" t="s">
        <v>1921</v>
      </c>
      <c r="B737" s="12" t="s">
        <v>157</v>
      </c>
      <c r="C737" s="15">
        <v>14532</v>
      </c>
      <c r="D737" s="13">
        <v>44</v>
      </c>
      <c r="F737" s="12" t="s">
        <v>788</v>
      </c>
      <c r="G737" s="12" t="s">
        <v>157</v>
      </c>
      <c r="H737" s="15">
        <v>13292</v>
      </c>
      <c r="I737" s="13">
        <v>50</v>
      </c>
    </row>
    <row r="738" spans="1:9">
      <c r="A738" s="12" t="s">
        <v>1922</v>
      </c>
      <c r="B738" s="12" t="s">
        <v>157</v>
      </c>
      <c r="C738" s="15">
        <v>16690</v>
      </c>
      <c r="D738" s="13">
        <v>44</v>
      </c>
      <c r="F738" s="12" t="s">
        <v>1923</v>
      </c>
      <c r="G738" s="12" t="s">
        <v>157</v>
      </c>
      <c r="H738" s="15">
        <v>12267</v>
      </c>
      <c r="I738" s="13">
        <v>50</v>
      </c>
    </row>
    <row r="739" spans="1:9">
      <c r="A739" s="12" t="s">
        <v>1924</v>
      </c>
      <c r="B739" s="12" t="s">
        <v>157</v>
      </c>
      <c r="C739" s="15">
        <v>12714</v>
      </c>
      <c r="D739" s="13">
        <v>44</v>
      </c>
      <c r="F739" s="12" t="s">
        <v>1925</v>
      </c>
      <c r="G739" s="12" t="s">
        <v>159</v>
      </c>
      <c r="H739" s="15">
        <v>325800</v>
      </c>
      <c r="I739" s="13">
        <v>50</v>
      </c>
    </row>
    <row r="740" spans="1:9">
      <c r="A740" s="12" t="s">
        <v>1926</v>
      </c>
      <c r="B740" s="12" t="s">
        <v>157</v>
      </c>
      <c r="C740" s="15">
        <v>10441</v>
      </c>
      <c r="D740" s="13">
        <v>44</v>
      </c>
      <c r="F740" s="12" t="s">
        <v>1927</v>
      </c>
      <c r="G740" s="12" t="s">
        <v>159</v>
      </c>
      <c r="H740" s="15">
        <v>77200</v>
      </c>
      <c r="I740" s="13">
        <v>50</v>
      </c>
    </row>
    <row r="741" spans="1:9">
      <c r="A741" s="12" t="s">
        <v>781</v>
      </c>
      <c r="B741" s="12" t="s">
        <v>157</v>
      </c>
      <c r="C741" s="15">
        <v>11208273</v>
      </c>
      <c r="D741" s="13">
        <v>44</v>
      </c>
      <c r="F741" s="12" t="s">
        <v>1928</v>
      </c>
      <c r="G741" s="12" t="s">
        <v>157</v>
      </c>
      <c r="H741" s="15">
        <v>31143</v>
      </c>
      <c r="I741" s="13">
        <v>50</v>
      </c>
    </row>
    <row r="742" spans="1:9">
      <c r="A742" s="12" t="s">
        <v>1929</v>
      </c>
      <c r="B742" s="12" t="s">
        <v>157</v>
      </c>
      <c r="C742" s="15">
        <v>11710</v>
      </c>
      <c r="D742" s="13">
        <v>44</v>
      </c>
      <c r="F742" s="12" t="s">
        <v>1930</v>
      </c>
      <c r="G742" s="12" t="s">
        <v>157</v>
      </c>
      <c r="H742" s="15">
        <v>12668</v>
      </c>
      <c r="I742" s="13">
        <v>50</v>
      </c>
    </row>
    <row r="743" spans="1:9">
      <c r="A743" s="12" t="s">
        <v>1931</v>
      </c>
      <c r="B743" s="12" t="s">
        <v>157</v>
      </c>
      <c r="C743" s="15">
        <v>32279</v>
      </c>
      <c r="D743" s="13">
        <v>44</v>
      </c>
      <c r="F743" s="12" t="s">
        <v>789</v>
      </c>
      <c r="G743" s="12" t="s">
        <v>157</v>
      </c>
      <c r="H743" s="15">
        <v>15817</v>
      </c>
      <c r="I743" s="13">
        <v>50</v>
      </c>
    </row>
    <row r="744" spans="1:9">
      <c r="A744" s="12" t="s">
        <v>1932</v>
      </c>
      <c r="B744" s="12" t="s">
        <v>157</v>
      </c>
      <c r="C744" s="15">
        <v>24969</v>
      </c>
      <c r="D744" s="13">
        <v>44</v>
      </c>
      <c r="F744" s="12" t="s">
        <v>1933</v>
      </c>
      <c r="G744" s="12" t="s">
        <v>159</v>
      </c>
      <c r="H744" s="15">
        <v>39100</v>
      </c>
      <c r="I744" s="13">
        <v>50</v>
      </c>
    </row>
    <row r="745" spans="1:9">
      <c r="A745" s="12" t="s">
        <v>1934</v>
      </c>
      <c r="B745" s="12" t="s">
        <v>157</v>
      </c>
      <c r="C745" s="15">
        <v>27655</v>
      </c>
      <c r="D745" s="13">
        <v>44</v>
      </c>
      <c r="F745" s="12" t="s">
        <v>1935</v>
      </c>
      <c r="G745" s="12" t="s">
        <v>157</v>
      </c>
      <c r="H745" s="15">
        <v>11756</v>
      </c>
      <c r="I745" s="13">
        <v>50</v>
      </c>
    </row>
    <row r="746" spans="1:9">
      <c r="A746" s="12" t="s">
        <v>1936</v>
      </c>
      <c r="B746" s="12" t="s">
        <v>157</v>
      </c>
      <c r="C746" s="15">
        <v>13969</v>
      </c>
      <c r="D746" s="13">
        <v>44</v>
      </c>
      <c r="F746" s="12" t="s">
        <v>1937</v>
      </c>
      <c r="G746" s="12" t="s">
        <v>157</v>
      </c>
      <c r="H746" s="15">
        <v>13049</v>
      </c>
      <c r="I746" s="13">
        <v>50</v>
      </c>
    </row>
    <row r="747" spans="1:9">
      <c r="A747" s="12" t="s">
        <v>1938</v>
      </c>
      <c r="B747" s="12" t="s">
        <v>157</v>
      </c>
      <c r="C747" s="15">
        <v>13348</v>
      </c>
      <c r="D747" s="13">
        <v>44</v>
      </c>
      <c r="F747" s="12" t="s">
        <v>173</v>
      </c>
      <c r="G747" s="12" t="s">
        <v>157</v>
      </c>
      <c r="H747" s="15">
        <v>98222</v>
      </c>
      <c r="I747" s="13">
        <v>50</v>
      </c>
    </row>
    <row r="748" spans="1:9">
      <c r="A748" s="12" t="s">
        <v>1939</v>
      </c>
      <c r="B748" s="12" t="s">
        <v>157</v>
      </c>
      <c r="C748" s="15">
        <v>10049</v>
      </c>
      <c r="D748" s="13">
        <v>44</v>
      </c>
      <c r="F748" s="12" t="s">
        <v>1940</v>
      </c>
      <c r="G748" s="12" t="s">
        <v>159</v>
      </c>
      <c r="H748" s="15">
        <v>10600</v>
      </c>
      <c r="I748" s="13">
        <v>50</v>
      </c>
    </row>
    <row r="749" spans="1:9">
      <c r="A749" s="12" t="s">
        <v>1941</v>
      </c>
      <c r="B749" s="12" t="s">
        <v>157</v>
      </c>
      <c r="C749" s="15">
        <v>32582</v>
      </c>
      <c r="D749" s="13">
        <v>44</v>
      </c>
      <c r="F749" s="12" t="s">
        <v>791</v>
      </c>
      <c r="G749" s="12" t="s">
        <v>157</v>
      </c>
      <c r="H749" s="15">
        <v>20271</v>
      </c>
      <c r="I749" s="13">
        <v>50</v>
      </c>
    </row>
    <row r="750" spans="1:9">
      <c r="A750" s="12" t="s">
        <v>1942</v>
      </c>
      <c r="B750" s="12" t="s">
        <v>157</v>
      </c>
      <c r="C750" s="15">
        <v>21666</v>
      </c>
      <c r="D750" s="13">
        <v>44</v>
      </c>
      <c r="F750" s="12" t="s">
        <v>1943</v>
      </c>
      <c r="G750" s="12" t="s">
        <v>159</v>
      </c>
      <c r="H750" s="15">
        <v>12300</v>
      </c>
      <c r="I750" s="13">
        <v>50</v>
      </c>
    </row>
    <row r="751" spans="1:9">
      <c r="A751" s="12" t="s">
        <v>1944</v>
      </c>
      <c r="B751" s="12" t="s">
        <v>157</v>
      </c>
      <c r="C751" s="15">
        <v>13004</v>
      </c>
      <c r="D751" s="13">
        <v>44</v>
      </c>
      <c r="F751" s="12" t="s">
        <v>1945</v>
      </c>
      <c r="G751" s="12" t="s">
        <v>159</v>
      </c>
      <c r="H751" s="15">
        <v>103500</v>
      </c>
      <c r="I751" s="13">
        <v>50</v>
      </c>
    </row>
    <row r="752" spans="1:9">
      <c r="A752" s="12" t="s">
        <v>1946</v>
      </c>
      <c r="B752" s="12" t="s">
        <v>157</v>
      </c>
      <c r="C752" s="15">
        <v>10434</v>
      </c>
      <c r="D752" s="13">
        <v>44</v>
      </c>
      <c r="F752" s="12" t="s">
        <v>1947</v>
      </c>
      <c r="G752" s="12" t="s">
        <v>157</v>
      </c>
      <c r="H752" s="15">
        <v>34182</v>
      </c>
      <c r="I752" s="13">
        <v>50</v>
      </c>
    </row>
    <row r="753" spans="1:9">
      <c r="A753" s="12" t="s">
        <v>1948</v>
      </c>
      <c r="B753" s="12" t="s">
        <v>157</v>
      </c>
      <c r="C753" s="15">
        <v>25369</v>
      </c>
      <c r="D753" s="13">
        <v>44</v>
      </c>
      <c r="F753" s="12" t="s">
        <v>1949</v>
      </c>
      <c r="G753" s="12" t="s">
        <v>159</v>
      </c>
      <c r="H753" s="15">
        <v>11800</v>
      </c>
      <c r="I753" s="13">
        <v>50</v>
      </c>
    </row>
    <row r="754" spans="1:9">
      <c r="A754" s="12" t="s">
        <v>1950</v>
      </c>
      <c r="B754" s="12" t="s">
        <v>157</v>
      </c>
      <c r="C754" s="15">
        <v>16508</v>
      </c>
      <c r="D754" s="13">
        <v>44</v>
      </c>
      <c r="F754" s="12" t="s">
        <v>1951</v>
      </c>
      <c r="G754" s="12" t="s">
        <v>159</v>
      </c>
      <c r="H754" s="15">
        <v>12700</v>
      </c>
      <c r="I754" s="13">
        <v>50</v>
      </c>
    </row>
    <row r="755" spans="1:9">
      <c r="A755" s="12" t="s">
        <v>1952</v>
      </c>
      <c r="B755" s="12" t="s">
        <v>157</v>
      </c>
      <c r="C755" s="15">
        <v>10156</v>
      </c>
      <c r="D755" s="13">
        <v>44</v>
      </c>
      <c r="F755" s="12" t="s">
        <v>1953</v>
      </c>
      <c r="G755" s="12" t="s">
        <v>157</v>
      </c>
      <c r="H755" s="15">
        <v>17255</v>
      </c>
      <c r="I755" s="13">
        <v>50</v>
      </c>
    </row>
    <row r="756" spans="1:9">
      <c r="A756" s="12" t="s">
        <v>1954</v>
      </c>
      <c r="B756" s="12" t="s">
        <v>157</v>
      </c>
      <c r="C756" s="15">
        <v>11450</v>
      </c>
      <c r="D756" s="13">
        <v>44</v>
      </c>
      <c r="F756" s="12" t="s">
        <v>1955</v>
      </c>
      <c r="G756" s="12" t="s">
        <v>159</v>
      </c>
      <c r="H756" s="15">
        <v>37800</v>
      </c>
      <c r="I756" s="13">
        <v>50</v>
      </c>
    </row>
    <row r="757" spans="1:9">
      <c r="A757" s="12" t="s">
        <v>1956</v>
      </c>
      <c r="B757" s="12" t="s">
        <v>157</v>
      </c>
      <c r="C757" s="15">
        <v>12115</v>
      </c>
      <c r="D757" s="13">
        <v>44</v>
      </c>
      <c r="F757" s="12" t="s">
        <v>1957</v>
      </c>
      <c r="G757" s="12" t="s">
        <v>159</v>
      </c>
      <c r="H757" s="15">
        <v>381900</v>
      </c>
      <c r="I757" s="13">
        <v>50</v>
      </c>
    </row>
    <row r="758" spans="1:9">
      <c r="A758" s="12" t="s">
        <v>1958</v>
      </c>
      <c r="B758" s="12" t="s">
        <v>157</v>
      </c>
      <c r="C758" s="15">
        <v>10098</v>
      </c>
      <c r="D758" s="13">
        <v>44</v>
      </c>
      <c r="F758" s="12" t="s">
        <v>1959</v>
      </c>
      <c r="G758" s="12" t="s">
        <v>157</v>
      </c>
      <c r="H758" s="15">
        <v>26055</v>
      </c>
      <c r="I758" s="13">
        <v>50</v>
      </c>
    </row>
    <row r="759" spans="1:9">
      <c r="A759" s="12" t="s">
        <v>1325</v>
      </c>
      <c r="B759" s="12" t="s">
        <v>157</v>
      </c>
      <c r="C759" s="15">
        <v>239094</v>
      </c>
      <c r="D759" s="13">
        <v>44</v>
      </c>
      <c r="F759" s="12" t="s">
        <v>1960</v>
      </c>
      <c r="G759" s="12" t="s">
        <v>159</v>
      </c>
      <c r="H759" s="15">
        <v>253900</v>
      </c>
      <c r="I759" s="13">
        <v>50</v>
      </c>
    </row>
    <row r="760" spans="1:9">
      <c r="A760" s="12" t="s">
        <v>1961</v>
      </c>
      <c r="B760" s="12" t="s">
        <v>157</v>
      </c>
      <c r="C760" s="15">
        <v>12291</v>
      </c>
      <c r="D760" s="13">
        <v>44</v>
      </c>
      <c r="F760" s="12" t="s">
        <v>1962</v>
      </c>
      <c r="G760" s="12" t="s">
        <v>159</v>
      </c>
      <c r="H760" s="15">
        <v>31700</v>
      </c>
      <c r="I760" s="13">
        <v>50</v>
      </c>
    </row>
    <row r="761" spans="1:9">
      <c r="A761" s="12" t="s">
        <v>1963</v>
      </c>
      <c r="B761" s="12" t="s">
        <v>157</v>
      </c>
      <c r="C761" s="15">
        <v>34589</v>
      </c>
      <c r="D761" s="13">
        <v>44</v>
      </c>
      <c r="F761" s="12" t="s">
        <v>793</v>
      </c>
      <c r="G761" s="12" t="s">
        <v>157</v>
      </c>
      <c r="H761" s="15">
        <v>11247</v>
      </c>
      <c r="I761" s="13">
        <v>50</v>
      </c>
    </row>
    <row r="762" spans="1:9">
      <c r="A762" s="12" t="s">
        <v>1964</v>
      </c>
      <c r="B762" s="12" t="s">
        <v>157</v>
      </c>
      <c r="C762" s="15">
        <v>12992</v>
      </c>
      <c r="D762" s="13">
        <v>44</v>
      </c>
      <c r="F762" s="12" t="s">
        <v>795</v>
      </c>
      <c r="G762" s="12" t="s">
        <v>157</v>
      </c>
      <c r="H762" s="15">
        <v>10738</v>
      </c>
      <c r="I762" s="13">
        <v>50</v>
      </c>
    </row>
    <row r="763" spans="1:9">
      <c r="A763" s="12" t="s">
        <v>1965</v>
      </c>
      <c r="B763" s="12" t="s">
        <v>157</v>
      </c>
      <c r="C763" s="15">
        <v>21036</v>
      </c>
      <c r="D763" s="13">
        <v>44</v>
      </c>
      <c r="F763" s="12" t="s">
        <v>1966</v>
      </c>
      <c r="G763" s="12" t="s">
        <v>157</v>
      </c>
      <c r="H763" s="15">
        <v>27081</v>
      </c>
      <c r="I763" s="13">
        <v>50</v>
      </c>
    </row>
    <row r="764" spans="1:9">
      <c r="A764" s="12" t="s">
        <v>1967</v>
      </c>
      <c r="B764" s="12" t="s">
        <v>157</v>
      </c>
      <c r="C764" s="15">
        <v>11188</v>
      </c>
      <c r="D764" s="13">
        <v>44</v>
      </c>
      <c r="F764" s="12" t="s">
        <v>1968</v>
      </c>
      <c r="G764" s="12" t="s">
        <v>159</v>
      </c>
      <c r="H764" s="15">
        <v>13847</v>
      </c>
      <c r="I764" s="13">
        <v>50</v>
      </c>
    </row>
    <row r="765" spans="1:9">
      <c r="A765" s="12" t="s">
        <v>1969</v>
      </c>
      <c r="B765" s="12" t="s">
        <v>157</v>
      </c>
      <c r="C765" s="15">
        <v>11666</v>
      </c>
      <c r="D765" s="13">
        <v>44</v>
      </c>
      <c r="F765" s="12" t="s">
        <v>797</v>
      </c>
      <c r="G765" s="12" t="s">
        <v>157</v>
      </c>
      <c r="H765" s="15">
        <v>14958</v>
      </c>
      <c r="I765" s="13">
        <v>50</v>
      </c>
    </row>
    <row r="766" spans="1:9">
      <c r="A766" s="12" t="s">
        <v>1970</v>
      </c>
      <c r="B766" s="12" t="s">
        <v>157</v>
      </c>
      <c r="C766" s="15">
        <v>19019</v>
      </c>
      <c r="D766" s="13">
        <v>44</v>
      </c>
      <c r="F766" s="12" t="s">
        <v>1971</v>
      </c>
      <c r="G766" s="12" t="s">
        <v>157</v>
      </c>
      <c r="H766" s="15">
        <v>13377</v>
      </c>
      <c r="I766" s="13">
        <v>50</v>
      </c>
    </row>
    <row r="767" spans="1:9">
      <c r="A767" s="12" t="s">
        <v>1972</v>
      </c>
      <c r="B767" s="12" t="s">
        <v>157</v>
      </c>
      <c r="C767" s="15">
        <v>35244</v>
      </c>
      <c r="D767" s="13">
        <v>44</v>
      </c>
      <c r="F767" s="12" t="s">
        <v>1973</v>
      </c>
      <c r="G767" s="12" t="s">
        <v>157</v>
      </c>
      <c r="H767" s="15">
        <v>10236</v>
      </c>
      <c r="I767" s="13">
        <v>50</v>
      </c>
    </row>
    <row r="768" spans="1:9">
      <c r="A768" s="12" t="s">
        <v>1974</v>
      </c>
      <c r="B768" s="12" t="s">
        <v>157</v>
      </c>
      <c r="C768" s="15">
        <v>746448</v>
      </c>
      <c r="D768" s="13">
        <v>44</v>
      </c>
      <c r="F768" s="12" t="s">
        <v>1975</v>
      </c>
      <c r="G768" s="12" t="s">
        <v>159</v>
      </c>
      <c r="H768" s="15">
        <v>42900</v>
      </c>
      <c r="I768" s="13">
        <v>50</v>
      </c>
    </row>
    <row r="769" spans="1:9">
      <c r="A769" s="12" t="s">
        <v>1976</v>
      </c>
      <c r="B769" s="12" t="s">
        <v>157</v>
      </c>
      <c r="C769" s="15">
        <v>10377</v>
      </c>
      <c r="D769" s="13">
        <v>44</v>
      </c>
      <c r="F769" s="12" t="s">
        <v>1977</v>
      </c>
      <c r="G769" s="12" t="s">
        <v>159</v>
      </c>
      <c r="H769" s="15">
        <v>1834797</v>
      </c>
      <c r="I769" s="13">
        <v>50</v>
      </c>
    </row>
    <row r="770" spans="1:9">
      <c r="A770" s="12" t="s">
        <v>1978</v>
      </c>
      <c r="B770" s="12" t="s">
        <v>157</v>
      </c>
      <c r="C770" s="15">
        <v>14544</v>
      </c>
      <c r="D770" s="13">
        <v>44</v>
      </c>
      <c r="F770" s="12" t="s">
        <v>798</v>
      </c>
      <c r="G770" s="12" t="s">
        <v>157</v>
      </c>
      <c r="H770" s="15">
        <v>10586</v>
      </c>
      <c r="I770" s="13">
        <v>50</v>
      </c>
    </row>
    <row r="771" spans="1:9">
      <c r="A771" s="12" t="s">
        <v>1979</v>
      </c>
      <c r="B771" s="12" t="s">
        <v>157</v>
      </c>
      <c r="C771" s="15">
        <v>15815</v>
      </c>
      <c r="D771" s="13">
        <v>44</v>
      </c>
      <c r="F771" s="12" t="s">
        <v>1980</v>
      </c>
      <c r="G771" s="12" t="s">
        <v>159</v>
      </c>
      <c r="H771" s="15">
        <v>23500</v>
      </c>
      <c r="I771" s="13">
        <v>50</v>
      </c>
    </row>
    <row r="772" spans="1:9">
      <c r="A772" s="12" t="s">
        <v>1981</v>
      </c>
      <c r="B772" s="12" t="s">
        <v>157</v>
      </c>
      <c r="C772" s="15">
        <v>12312</v>
      </c>
      <c r="D772" s="13">
        <v>44</v>
      </c>
      <c r="F772" s="12" t="s">
        <v>1982</v>
      </c>
      <c r="G772" s="12" t="s">
        <v>159</v>
      </c>
      <c r="H772" s="15">
        <v>11200</v>
      </c>
      <c r="I772" s="13">
        <v>50</v>
      </c>
    </row>
    <row r="773" spans="1:9">
      <c r="A773" s="12" t="s">
        <v>1983</v>
      </c>
      <c r="B773" s="12" t="s">
        <v>157</v>
      </c>
      <c r="C773" s="15">
        <v>12062</v>
      </c>
      <c r="D773" s="13">
        <v>44</v>
      </c>
      <c r="F773" s="12" t="s">
        <v>1984</v>
      </c>
      <c r="G773" s="12" t="s">
        <v>157</v>
      </c>
      <c r="H773" s="15">
        <v>20891</v>
      </c>
      <c r="I773" s="13">
        <v>50</v>
      </c>
    </row>
    <row r="774" spans="1:9">
      <c r="A774" s="12" t="s">
        <v>1985</v>
      </c>
      <c r="B774" s="12" t="s">
        <v>157</v>
      </c>
      <c r="C774" s="15">
        <v>24530</v>
      </c>
      <c r="D774" s="13">
        <v>44</v>
      </c>
      <c r="F774" s="12" t="s">
        <v>1986</v>
      </c>
      <c r="G774" s="12" t="s">
        <v>159</v>
      </c>
      <c r="H774" s="15">
        <v>45300</v>
      </c>
      <c r="I774" s="13">
        <v>50</v>
      </c>
    </row>
    <row r="775" spans="1:9">
      <c r="A775" s="12" t="s">
        <v>1987</v>
      </c>
      <c r="B775" s="12" t="s">
        <v>157</v>
      </c>
      <c r="C775" s="15">
        <v>16150</v>
      </c>
      <c r="D775" s="13">
        <v>44</v>
      </c>
      <c r="F775" s="12" t="s">
        <v>1988</v>
      </c>
      <c r="G775" s="12" t="s">
        <v>159</v>
      </c>
      <c r="H775" s="15">
        <v>11100</v>
      </c>
      <c r="I775" s="13">
        <v>50</v>
      </c>
    </row>
    <row r="776" spans="1:9">
      <c r="A776" s="12" t="s">
        <v>1989</v>
      </c>
      <c r="B776" s="12" t="s">
        <v>157</v>
      </c>
      <c r="C776" s="15">
        <v>25521</v>
      </c>
      <c r="D776" s="13">
        <v>44</v>
      </c>
      <c r="F776" s="12" t="s">
        <v>1990</v>
      </c>
      <c r="G776" s="12" t="s">
        <v>157</v>
      </c>
      <c r="H776" s="15">
        <v>23421</v>
      </c>
      <c r="I776" s="13">
        <v>50</v>
      </c>
    </row>
    <row r="777" spans="1:9">
      <c r="A777" s="12" t="s">
        <v>1991</v>
      </c>
      <c r="B777" s="12" t="s">
        <v>157</v>
      </c>
      <c r="C777" s="15">
        <v>21643</v>
      </c>
      <c r="D777" s="13">
        <v>44</v>
      </c>
      <c r="F777" s="12" t="s">
        <v>1992</v>
      </c>
      <c r="G777" s="12" t="s">
        <v>157</v>
      </c>
      <c r="H777" s="15">
        <v>11900</v>
      </c>
      <c r="I777" s="13">
        <v>50</v>
      </c>
    </row>
    <row r="778" spans="1:9">
      <c r="A778" s="12" t="s">
        <v>1993</v>
      </c>
      <c r="B778" s="12" t="s">
        <v>157</v>
      </c>
      <c r="C778" s="15">
        <v>12600</v>
      </c>
      <c r="D778" s="13">
        <v>44</v>
      </c>
      <c r="F778" s="12" t="s">
        <v>1994</v>
      </c>
      <c r="G778" s="12" t="s">
        <v>159</v>
      </c>
      <c r="H778" s="15">
        <v>17500</v>
      </c>
      <c r="I778" s="13">
        <v>50</v>
      </c>
    </row>
    <row r="779" spans="1:9">
      <c r="A779" s="12" t="s">
        <v>1995</v>
      </c>
      <c r="B779" s="12" t="s">
        <v>157</v>
      </c>
      <c r="C779" s="15">
        <v>13350</v>
      </c>
      <c r="D779" s="13">
        <v>44</v>
      </c>
      <c r="F779" s="12" t="s">
        <v>1996</v>
      </c>
      <c r="G779" s="12" t="s">
        <v>159</v>
      </c>
      <c r="H779" s="15">
        <v>16200</v>
      </c>
      <c r="I779" s="13">
        <v>50</v>
      </c>
    </row>
    <row r="780" spans="1:9">
      <c r="A780" s="12" t="s">
        <v>1997</v>
      </c>
      <c r="B780" s="12" t="s">
        <v>157</v>
      </c>
      <c r="C780" s="15">
        <v>20622</v>
      </c>
      <c r="D780" s="13">
        <v>44</v>
      </c>
      <c r="F780" s="12" t="s">
        <v>1998</v>
      </c>
      <c r="G780" s="12" t="s">
        <v>159</v>
      </c>
      <c r="H780" s="15">
        <v>165600</v>
      </c>
      <c r="I780" s="13">
        <v>50</v>
      </c>
    </row>
    <row r="781" spans="1:9">
      <c r="A781" s="12" t="s">
        <v>1999</v>
      </c>
      <c r="B781" s="12" t="s">
        <v>157</v>
      </c>
      <c r="C781" s="15">
        <v>22121</v>
      </c>
      <c r="D781" s="13">
        <v>44</v>
      </c>
      <c r="F781" s="12" t="s">
        <v>2000</v>
      </c>
      <c r="G781" s="12" t="s">
        <v>157</v>
      </c>
      <c r="H781" s="15">
        <v>31082</v>
      </c>
      <c r="I781" s="13">
        <v>50</v>
      </c>
    </row>
    <row r="782" spans="1:9">
      <c r="A782" s="12" t="s">
        <v>2001</v>
      </c>
      <c r="B782" s="12" t="s">
        <v>157</v>
      </c>
      <c r="C782" s="15">
        <v>17737</v>
      </c>
      <c r="D782" s="13">
        <v>44</v>
      </c>
      <c r="F782" s="12" t="s">
        <v>800</v>
      </c>
      <c r="G782" s="12" t="s">
        <v>157</v>
      </c>
      <c r="H782" s="15">
        <v>22899</v>
      </c>
      <c r="I782" s="13">
        <v>50</v>
      </c>
    </row>
    <row r="783" spans="1:9">
      <c r="A783" s="12" t="s">
        <v>2002</v>
      </c>
      <c r="B783" s="12" t="s">
        <v>157</v>
      </c>
      <c r="C783" s="15">
        <v>21155</v>
      </c>
      <c r="D783" s="13">
        <v>44</v>
      </c>
      <c r="F783" s="12" t="s">
        <v>2003</v>
      </c>
      <c r="G783" s="12" t="s">
        <v>159</v>
      </c>
      <c r="H783" s="15">
        <v>16200</v>
      </c>
      <c r="I783" s="13">
        <v>50</v>
      </c>
    </row>
    <row r="784" spans="1:9">
      <c r="A784" s="12" t="s">
        <v>2004</v>
      </c>
      <c r="B784" s="12" t="s">
        <v>157</v>
      </c>
      <c r="C784" s="15">
        <v>15496</v>
      </c>
      <c r="D784" s="13">
        <v>44</v>
      </c>
      <c r="F784" s="12" t="s">
        <v>2005</v>
      </c>
      <c r="G784" s="12" t="s">
        <v>157</v>
      </c>
      <c r="H784" s="15">
        <v>10167</v>
      </c>
      <c r="I784" s="13">
        <v>50</v>
      </c>
    </row>
    <row r="785" spans="1:9">
      <c r="A785" s="12" t="s">
        <v>2006</v>
      </c>
      <c r="B785" s="12" t="s">
        <v>157</v>
      </c>
      <c r="C785" s="15">
        <v>18851</v>
      </c>
      <c r="D785" s="13">
        <v>44</v>
      </c>
      <c r="F785" s="12" t="s">
        <v>2007</v>
      </c>
      <c r="G785" s="12" t="s">
        <v>159</v>
      </c>
      <c r="H785" s="15">
        <v>22600</v>
      </c>
      <c r="I785" s="13">
        <v>50</v>
      </c>
    </row>
    <row r="786" spans="1:9">
      <c r="A786" s="12" t="s">
        <v>2008</v>
      </c>
      <c r="B786" s="12" t="s">
        <v>157</v>
      </c>
      <c r="C786" s="15">
        <v>24970</v>
      </c>
      <c r="D786" s="13">
        <v>44</v>
      </c>
      <c r="F786" s="12" t="s">
        <v>176</v>
      </c>
      <c r="G786" s="12" t="s">
        <v>157</v>
      </c>
      <c r="H786" s="15">
        <v>740575</v>
      </c>
      <c r="I786" s="13">
        <v>50</v>
      </c>
    </row>
    <row r="787" spans="1:9">
      <c r="A787" s="12" t="s">
        <v>1219</v>
      </c>
      <c r="B787" s="12" t="s">
        <v>157</v>
      </c>
      <c r="C787" s="15">
        <v>112095</v>
      </c>
      <c r="D787" s="13">
        <v>44</v>
      </c>
      <c r="F787" s="12" t="s">
        <v>2009</v>
      </c>
      <c r="G787" s="12" t="s">
        <v>157</v>
      </c>
      <c r="H787" s="15">
        <v>25029</v>
      </c>
      <c r="I787" s="13">
        <v>50</v>
      </c>
    </row>
    <row r="788" spans="1:9">
      <c r="A788" s="12" t="s">
        <v>2010</v>
      </c>
      <c r="B788" s="12" t="s">
        <v>157</v>
      </c>
      <c r="C788" s="15">
        <v>20942</v>
      </c>
      <c r="D788" s="13">
        <v>44</v>
      </c>
      <c r="F788" s="12" t="s">
        <v>2011</v>
      </c>
      <c r="G788" s="12" t="s">
        <v>159</v>
      </c>
      <c r="H788" s="15">
        <v>97100</v>
      </c>
      <c r="I788" s="13">
        <v>50</v>
      </c>
    </row>
    <row r="789" spans="1:9">
      <c r="A789" s="12" t="s">
        <v>2012</v>
      </c>
      <c r="B789" s="12" t="s">
        <v>157</v>
      </c>
      <c r="C789" s="15">
        <v>78429</v>
      </c>
      <c r="D789" s="13">
        <v>44</v>
      </c>
      <c r="F789" s="12" t="s">
        <v>2013</v>
      </c>
      <c r="G789" s="12" t="s">
        <v>157</v>
      </c>
      <c r="H789" s="15">
        <v>21585</v>
      </c>
      <c r="I789" s="13">
        <v>50</v>
      </c>
    </row>
    <row r="790" spans="1:9">
      <c r="A790" s="12" t="s">
        <v>2014</v>
      </c>
      <c r="B790" s="12" t="s">
        <v>157</v>
      </c>
      <c r="C790" s="15">
        <v>10198</v>
      </c>
      <c r="D790" s="13">
        <v>44</v>
      </c>
      <c r="F790" s="12" t="s">
        <v>802</v>
      </c>
      <c r="G790" s="12" t="s">
        <v>157</v>
      </c>
      <c r="H790" s="15">
        <v>24965</v>
      </c>
      <c r="I790" s="13">
        <v>50</v>
      </c>
    </row>
    <row r="791" spans="1:9">
      <c r="A791" s="12" t="s">
        <v>2015</v>
      </c>
      <c r="B791" s="12" t="s">
        <v>157</v>
      </c>
      <c r="C791" s="15">
        <v>11291</v>
      </c>
      <c r="D791" s="13">
        <v>44</v>
      </c>
      <c r="F791" s="12" t="s">
        <v>2016</v>
      </c>
      <c r="G791" s="12" t="s">
        <v>157</v>
      </c>
      <c r="H791" s="15">
        <v>12544</v>
      </c>
      <c r="I791" s="13">
        <v>50</v>
      </c>
    </row>
    <row r="792" spans="1:9">
      <c r="A792" s="12" t="s">
        <v>2017</v>
      </c>
      <c r="B792" s="12" t="s">
        <v>157</v>
      </c>
      <c r="C792" s="15">
        <v>27064</v>
      </c>
      <c r="D792" s="13">
        <v>44</v>
      </c>
      <c r="F792" s="12" t="s">
        <v>2018</v>
      </c>
      <c r="G792" s="12" t="s">
        <v>159</v>
      </c>
      <c r="H792" s="15">
        <v>332500</v>
      </c>
      <c r="I792" s="13">
        <v>50</v>
      </c>
    </row>
    <row r="793" spans="1:9">
      <c r="A793" s="12" t="s">
        <v>2019</v>
      </c>
      <c r="B793" s="12" t="s">
        <v>157</v>
      </c>
      <c r="C793" s="15">
        <v>20310</v>
      </c>
      <c r="D793" s="13">
        <v>44</v>
      </c>
      <c r="F793" s="12" t="s">
        <v>2020</v>
      </c>
      <c r="G793" s="12" t="s">
        <v>159</v>
      </c>
      <c r="H793" s="15">
        <v>10400</v>
      </c>
      <c r="I793" s="13">
        <v>50</v>
      </c>
    </row>
    <row r="794" spans="1:9">
      <c r="A794" s="12" t="s">
        <v>2021</v>
      </c>
      <c r="B794" s="12" t="s">
        <v>157</v>
      </c>
      <c r="C794" s="15">
        <v>11261</v>
      </c>
      <c r="D794" s="13">
        <v>44</v>
      </c>
      <c r="F794" s="12" t="s">
        <v>2022</v>
      </c>
      <c r="G794" s="12" t="s">
        <v>157</v>
      </c>
      <c r="H794" s="15">
        <v>25357</v>
      </c>
      <c r="I794" s="13">
        <v>50</v>
      </c>
    </row>
    <row r="795" spans="1:9">
      <c r="A795" s="12" t="s">
        <v>2023</v>
      </c>
      <c r="B795" s="12" t="s">
        <v>157</v>
      </c>
      <c r="C795" s="15">
        <v>15885</v>
      </c>
      <c r="D795" s="13">
        <v>44</v>
      </c>
      <c r="F795" s="12" t="s">
        <v>2024</v>
      </c>
      <c r="G795" s="12" t="s">
        <v>159</v>
      </c>
      <c r="H795" s="15">
        <v>330700</v>
      </c>
      <c r="I795" s="13">
        <v>50</v>
      </c>
    </row>
    <row r="796" spans="1:9">
      <c r="A796" s="12" t="s">
        <v>2025</v>
      </c>
      <c r="B796" s="12" t="s">
        <v>157</v>
      </c>
      <c r="C796" s="15">
        <v>14154</v>
      </c>
      <c r="D796" s="13">
        <v>44</v>
      </c>
      <c r="F796" s="12" t="s">
        <v>805</v>
      </c>
      <c r="G796" s="12" t="s">
        <v>157</v>
      </c>
      <c r="H796" s="15">
        <v>25700</v>
      </c>
      <c r="I796" s="13">
        <v>50</v>
      </c>
    </row>
    <row r="797" spans="1:9">
      <c r="A797" s="12" t="s">
        <v>2026</v>
      </c>
      <c r="B797" s="12" t="s">
        <v>157</v>
      </c>
      <c r="C797" s="15">
        <v>11803</v>
      </c>
      <c r="D797" s="13">
        <v>44</v>
      </c>
      <c r="F797" s="12" t="s">
        <v>2027</v>
      </c>
      <c r="G797" s="12" t="s">
        <v>159</v>
      </c>
      <c r="H797" s="15">
        <v>11600</v>
      </c>
      <c r="I797" s="13">
        <v>50</v>
      </c>
    </row>
    <row r="798" spans="1:9">
      <c r="A798" s="12" t="s">
        <v>2028</v>
      </c>
      <c r="B798" s="12" t="s">
        <v>157</v>
      </c>
      <c r="C798" s="15">
        <v>15371</v>
      </c>
      <c r="D798" s="13">
        <v>44</v>
      </c>
      <c r="F798" s="12" t="s">
        <v>2029</v>
      </c>
      <c r="G798" s="12" t="s">
        <v>159</v>
      </c>
      <c r="H798" s="15">
        <v>66100</v>
      </c>
      <c r="I798" s="13">
        <v>50</v>
      </c>
    </row>
    <row r="799" spans="1:9">
      <c r="A799" s="12" t="s">
        <v>2030</v>
      </c>
      <c r="B799" s="12" t="s">
        <v>157</v>
      </c>
      <c r="C799" s="15">
        <v>14628</v>
      </c>
      <c r="D799" s="13">
        <v>44</v>
      </c>
      <c r="F799" s="12" t="s">
        <v>2031</v>
      </c>
      <c r="G799" s="12" t="s">
        <v>159</v>
      </c>
      <c r="H799" s="15">
        <v>24600</v>
      </c>
      <c r="I799" s="13">
        <v>50</v>
      </c>
    </row>
    <row r="800" spans="1:9">
      <c r="A800" s="12" t="s">
        <v>2032</v>
      </c>
      <c r="B800" s="12" t="s">
        <v>157</v>
      </c>
      <c r="C800" s="15">
        <v>23782</v>
      </c>
      <c r="D800" s="13">
        <v>44</v>
      </c>
      <c r="F800" s="12" t="s">
        <v>2033</v>
      </c>
      <c r="G800" s="12" t="s">
        <v>159</v>
      </c>
      <c r="H800" s="15">
        <v>56500</v>
      </c>
      <c r="I800" s="13">
        <v>50</v>
      </c>
    </row>
    <row r="801" spans="1:9">
      <c r="A801" s="12" t="s">
        <v>1327</v>
      </c>
      <c r="B801" s="12" t="s">
        <v>157</v>
      </c>
      <c r="C801" s="15">
        <v>106287</v>
      </c>
      <c r="D801" s="13">
        <v>44</v>
      </c>
      <c r="F801" s="12" t="s">
        <v>2034</v>
      </c>
      <c r="G801" s="12" t="s">
        <v>159</v>
      </c>
      <c r="H801" s="15">
        <v>32000</v>
      </c>
      <c r="I801" s="13">
        <v>50</v>
      </c>
    </row>
    <row r="802" spans="1:9">
      <c r="A802" s="12" t="s">
        <v>2035</v>
      </c>
      <c r="B802" s="12" t="s">
        <v>157</v>
      </c>
      <c r="C802" s="15">
        <v>11560</v>
      </c>
      <c r="D802" s="13">
        <v>44</v>
      </c>
      <c r="F802" s="12" t="s">
        <v>807</v>
      </c>
      <c r="G802" s="12" t="s">
        <v>157</v>
      </c>
      <c r="H802" s="15">
        <v>10785</v>
      </c>
      <c r="I802" s="13">
        <v>50</v>
      </c>
    </row>
    <row r="803" spans="1:9">
      <c r="A803" s="12" t="s">
        <v>2036</v>
      </c>
      <c r="B803" s="12" t="s">
        <v>157</v>
      </c>
      <c r="C803" s="15">
        <v>27731</v>
      </c>
      <c r="D803" s="13">
        <v>44</v>
      </c>
      <c r="F803" s="12" t="s">
        <v>2037</v>
      </c>
      <c r="G803" s="12" t="s">
        <v>159</v>
      </c>
      <c r="H803" s="15">
        <v>77800</v>
      </c>
      <c r="I803" s="13">
        <v>50</v>
      </c>
    </row>
    <row r="804" spans="1:9">
      <c r="A804" s="12" t="s">
        <v>2038</v>
      </c>
      <c r="B804" s="12" t="s">
        <v>157</v>
      </c>
      <c r="C804" s="15">
        <v>12923</v>
      </c>
      <c r="D804" s="13">
        <v>44</v>
      </c>
      <c r="F804" s="12" t="s">
        <v>2039</v>
      </c>
      <c r="G804" s="12" t="s">
        <v>157</v>
      </c>
      <c r="H804" s="15">
        <v>10936</v>
      </c>
      <c r="I804" s="13">
        <v>50</v>
      </c>
    </row>
    <row r="805" spans="1:9">
      <c r="A805" s="12" t="s">
        <v>2040</v>
      </c>
      <c r="B805" s="12" t="s">
        <v>157</v>
      </c>
      <c r="C805" s="15">
        <v>24147</v>
      </c>
      <c r="D805" s="13">
        <v>44</v>
      </c>
      <c r="F805" s="12" t="s">
        <v>809</v>
      </c>
      <c r="G805" s="12" t="s">
        <v>157</v>
      </c>
      <c r="H805" s="15">
        <v>30343</v>
      </c>
      <c r="I805" s="13">
        <v>50</v>
      </c>
    </row>
    <row r="806" spans="1:9">
      <c r="A806" s="12" t="s">
        <v>2041</v>
      </c>
      <c r="B806" s="12" t="s">
        <v>157</v>
      </c>
      <c r="C806" s="15">
        <v>20023</v>
      </c>
      <c r="D806" s="13">
        <v>44</v>
      </c>
      <c r="F806" s="12" t="s">
        <v>2042</v>
      </c>
      <c r="G806" s="12" t="s">
        <v>159</v>
      </c>
      <c r="H806" s="15">
        <v>1000000</v>
      </c>
      <c r="I806" s="13">
        <v>50</v>
      </c>
    </row>
    <row r="807" spans="1:9">
      <c r="A807" s="12" t="s">
        <v>1330</v>
      </c>
      <c r="B807" s="12" t="s">
        <v>157</v>
      </c>
      <c r="C807" s="15">
        <v>841376</v>
      </c>
      <c r="D807" s="13">
        <v>44</v>
      </c>
      <c r="F807" s="12" t="s">
        <v>2043</v>
      </c>
      <c r="G807" s="12" t="s">
        <v>159</v>
      </c>
      <c r="H807" s="15">
        <v>45400</v>
      </c>
      <c r="I807" s="13">
        <v>50</v>
      </c>
    </row>
    <row r="808" spans="1:9">
      <c r="A808" s="12" t="s">
        <v>2044</v>
      </c>
      <c r="B808" s="12" t="s">
        <v>157</v>
      </c>
      <c r="C808" s="15">
        <v>10673</v>
      </c>
      <c r="D808" s="13">
        <v>44</v>
      </c>
      <c r="F808" s="12" t="s">
        <v>2045</v>
      </c>
      <c r="G808" s="12" t="s">
        <v>159</v>
      </c>
      <c r="H808" s="15">
        <v>85400</v>
      </c>
      <c r="I808" s="13">
        <v>50</v>
      </c>
    </row>
    <row r="809" spans="1:9">
      <c r="A809" s="12" t="s">
        <v>2046</v>
      </c>
      <c r="B809" s="12" t="s">
        <v>157</v>
      </c>
      <c r="C809" s="15">
        <v>18514</v>
      </c>
      <c r="D809" s="13">
        <v>44</v>
      </c>
      <c r="F809" s="12" t="s">
        <v>2047</v>
      </c>
      <c r="G809" s="12" t="s">
        <v>159</v>
      </c>
      <c r="H809" s="15">
        <v>2500000</v>
      </c>
      <c r="I809" s="13">
        <v>50</v>
      </c>
    </row>
    <row r="810" spans="1:9">
      <c r="A810" s="12" t="s">
        <v>2048</v>
      </c>
      <c r="B810" s="12" t="s">
        <v>157</v>
      </c>
      <c r="C810" s="15">
        <v>14591</v>
      </c>
      <c r="D810" s="13">
        <v>44</v>
      </c>
      <c r="F810" s="12" t="s">
        <v>2049</v>
      </c>
      <c r="G810" s="12" t="s">
        <v>159</v>
      </c>
      <c r="H810" s="15">
        <v>64700</v>
      </c>
      <c r="I810" s="13">
        <v>50</v>
      </c>
    </row>
    <row r="811" spans="1:9">
      <c r="A811" s="12" t="s">
        <v>2050</v>
      </c>
      <c r="B811" s="12" t="s">
        <v>157</v>
      </c>
      <c r="C811" s="15">
        <v>16122</v>
      </c>
      <c r="D811" s="13">
        <v>44</v>
      </c>
      <c r="F811" s="12" t="s">
        <v>2051</v>
      </c>
      <c r="G811" s="12" t="s">
        <v>159</v>
      </c>
      <c r="H811" s="15">
        <v>268400</v>
      </c>
      <c r="I811" s="13">
        <v>50</v>
      </c>
    </row>
    <row r="812" spans="1:9">
      <c r="A812" s="12" t="s">
        <v>2052</v>
      </c>
      <c r="B812" s="12" t="s">
        <v>157</v>
      </c>
      <c r="C812" s="15">
        <v>27683</v>
      </c>
      <c r="D812" s="13">
        <v>44</v>
      </c>
      <c r="F812" s="12" t="s">
        <v>2053</v>
      </c>
      <c r="G812" s="12" t="s">
        <v>159</v>
      </c>
      <c r="H812" s="15">
        <v>32200</v>
      </c>
      <c r="I812" s="13">
        <v>50</v>
      </c>
    </row>
    <row r="813" spans="1:9">
      <c r="A813" s="12" t="s">
        <v>2054</v>
      </c>
      <c r="B813" s="12" t="s">
        <v>157</v>
      </c>
      <c r="C813" s="15">
        <v>10988</v>
      </c>
      <c r="D813" s="13">
        <v>44</v>
      </c>
      <c r="F813" s="12" t="s">
        <v>812</v>
      </c>
      <c r="G813" s="12" t="s">
        <v>157</v>
      </c>
      <c r="H813" s="15">
        <v>17369</v>
      </c>
      <c r="I813" s="13">
        <v>50</v>
      </c>
    </row>
    <row r="814" spans="1:9">
      <c r="A814" s="12" t="s">
        <v>2055</v>
      </c>
      <c r="B814" s="12" t="s">
        <v>157</v>
      </c>
      <c r="C814" s="15">
        <v>26589</v>
      </c>
      <c r="D814" s="13">
        <v>44</v>
      </c>
      <c r="F814" s="12" t="s">
        <v>2056</v>
      </c>
      <c r="G814" s="12" t="s">
        <v>157</v>
      </c>
      <c r="H814" s="15">
        <v>10277</v>
      </c>
      <c r="I814" s="13">
        <v>50</v>
      </c>
    </row>
    <row r="815" spans="1:9">
      <c r="A815" s="12" t="s">
        <v>2057</v>
      </c>
      <c r="B815" s="12" t="s">
        <v>157</v>
      </c>
      <c r="C815" s="15">
        <v>17113</v>
      </c>
      <c r="D815" s="13">
        <v>44</v>
      </c>
      <c r="F815" s="12" t="s">
        <v>2058</v>
      </c>
      <c r="G815" s="12" t="s">
        <v>159</v>
      </c>
      <c r="H815" s="15">
        <v>17700</v>
      </c>
      <c r="I815" s="13">
        <v>50</v>
      </c>
    </row>
    <row r="816" spans="1:9">
      <c r="A816" s="12" t="s">
        <v>2059</v>
      </c>
      <c r="B816" s="12" t="s">
        <v>157</v>
      </c>
      <c r="C816" s="15">
        <v>22040</v>
      </c>
      <c r="D816" s="13">
        <v>44</v>
      </c>
      <c r="F816" s="12" t="s">
        <v>815</v>
      </c>
      <c r="G816" s="12" t="s">
        <v>157</v>
      </c>
      <c r="H816" s="15">
        <v>17612</v>
      </c>
      <c r="I816" s="13">
        <v>50</v>
      </c>
    </row>
    <row r="817" spans="1:9">
      <c r="A817" s="12" t="s">
        <v>2060</v>
      </c>
      <c r="B817" s="12" t="s">
        <v>157</v>
      </c>
      <c r="C817" s="15">
        <v>11170</v>
      </c>
      <c r="D817" s="13">
        <v>44</v>
      </c>
      <c r="F817" s="12" t="s">
        <v>2061</v>
      </c>
      <c r="G817" s="12" t="s">
        <v>159</v>
      </c>
      <c r="H817" s="15">
        <v>35400</v>
      </c>
      <c r="I817" s="13">
        <v>50</v>
      </c>
    </row>
    <row r="818" spans="1:9">
      <c r="A818" s="12" t="s">
        <v>2062</v>
      </c>
      <c r="B818" s="12" t="s">
        <v>157</v>
      </c>
      <c r="C818" s="15">
        <v>22229</v>
      </c>
      <c r="D818" s="13">
        <v>44</v>
      </c>
      <c r="F818" s="12" t="s">
        <v>2063</v>
      </c>
      <c r="G818" s="12" t="s">
        <v>159</v>
      </c>
      <c r="H818" s="15">
        <v>207300</v>
      </c>
      <c r="I818" s="13">
        <v>50</v>
      </c>
    </row>
    <row r="819" spans="1:9">
      <c r="A819" s="12" t="s">
        <v>2064</v>
      </c>
      <c r="B819" s="12" t="s">
        <v>157</v>
      </c>
      <c r="C819" s="15">
        <v>11242</v>
      </c>
      <c r="D819" s="13">
        <v>44</v>
      </c>
      <c r="F819" s="12" t="s">
        <v>2065</v>
      </c>
      <c r="G819" s="12" t="s">
        <v>159</v>
      </c>
      <c r="H819" s="15">
        <v>10500</v>
      </c>
      <c r="I819" s="13">
        <v>50</v>
      </c>
    </row>
    <row r="820" spans="1:9">
      <c r="A820" s="12" t="s">
        <v>2066</v>
      </c>
      <c r="B820" s="12" t="s">
        <v>157</v>
      </c>
      <c r="C820" s="15">
        <v>11122</v>
      </c>
      <c r="D820" s="13">
        <v>44</v>
      </c>
      <c r="F820" s="12" t="s">
        <v>2067</v>
      </c>
      <c r="G820" s="12" t="s">
        <v>159</v>
      </c>
      <c r="H820" s="15">
        <v>77500</v>
      </c>
      <c r="I820" s="13">
        <v>50</v>
      </c>
    </row>
    <row r="821" spans="1:9">
      <c r="A821" s="12" t="s">
        <v>2068</v>
      </c>
      <c r="B821" s="12" t="s">
        <v>157</v>
      </c>
      <c r="C821" s="15">
        <v>11764</v>
      </c>
      <c r="D821" s="13">
        <v>44</v>
      </c>
      <c r="F821" s="12" t="s">
        <v>2069</v>
      </c>
      <c r="G821" s="12" t="s">
        <v>159</v>
      </c>
      <c r="H821" s="15">
        <v>131800</v>
      </c>
      <c r="I821" s="13">
        <v>50</v>
      </c>
    </row>
    <row r="822" spans="1:9">
      <c r="A822" s="12" t="s">
        <v>2070</v>
      </c>
      <c r="B822" s="12" t="s">
        <v>157</v>
      </c>
      <c r="C822" s="15">
        <v>25099</v>
      </c>
      <c r="D822" s="13">
        <v>44</v>
      </c>
      <c r="F822" s="12" t="s">
        <v>2071</v>
      </c>
      <c r="G822" s="12" t="s">
        <v>159</v>
      </c>
      <c r="H822" s="15">
        <v>10700</v>
      </c>
      <c r="I822" s="13">
        <v>50</v>
      </c>
    </row>
    <row r="823" spans="1:9">
      <c r="A823" s="12" t="s">
        <v>2072</v>
      </c>
      <c r="B823" s="12" t="s">
        <v>157</v>
      </c>
      <c r="C823" s="15">
        <v>17041</v>
      </c>
      <c r="D823" s="13">
        <v>44</v>
      </c>
      <c r="F823" s="12" t="s">
        <v>2073</v>
      </c>
      <c r="G823" s="12" t="s">
        <v>159</v>
      </c>
      <c r="H823" s="15">
        <v>375400</v>
      </c>
      <c r="I823" s="13">
        <v>50</v>
      </c>
    </row>
    <row r="824" spans="1:9">
      <c r="A824" s="12" t="s">
        <v>2074</v>
      </c>
      <c r="B824" s="12" t="s">
        <v>157</v>
      </c>
      <c r="C824" s="15">
        <v>11717</v>
      </c>
      <c r="D824" s="13">
        <v>44</v>
      </c>
      <c r="F824" s="12" t="s">
        <v>2075</v>
      </c>
      <c r="G824" s="12" t="s">
        <v>157</v>
      </c>
      <c r="H824" s="15">
        <v>14712</v>
      </c>
      <c r="I824" s="13">
        <v>50</v>
      </c>
    </row>
    <row r="825" spans="1:9">
      <c r="A825" s="12" t="s">
        <v>2076</v>
      </c>
      <c r="B825" s="12" t="s">
        <v>157</v>
      </c>
      <c r="C825" s="15">
        <v>20993</v>
      </c>
      <c r="D825" s="13">
        <v>44</v>
      </c>
      <c r="F825" s="12" t="s">
        <v>2077</v>
      </c>
      <c r="G825" s="12" t="s">
        <v>157</v>
      </c>
      <c r="H825" s="15">
        <v>11570</v>
      </c>
      <c r="I825" s="13">
        <v>50</v>
      </c>
    </row>
    <row r="826" spans="1:9">
      <c r="A826" s="12" t="s">
        <v>2078</v>
      </c>
      <c r="B826" s="12" t="s">
        <v>157</v>
      </c>
      <c r="C826" s="15">
        <v>23714</v>
      </c>
      <c r="D826" s="13">
        <v>44</v>
      </c>
      <c r="F826" s="12" t="s">
        <v>2079</v>
      </c>
      <c r="G826" s="12" t="s">
        <v>157</v>
      </c>
      <c r="H826" s="15">
        <v>31937</v>
      </c>
      <c r="I826" s="13">
        <v>50</v>
      </c>
    </row>
    <row r="827" spans="1:9">
      <c r="A827" s="12" t="s">
        <v>2080</v>
      </c>
      <c r="B827" s="12" t="s">
        <v>157</v>
      </c>
      <c r="C827" s="15">
        <v>15023</v>
      </c>
      <c r="D827" s="13">
        <v>44</v>
      </c>
      <c r="F827" s="12" t="s">
        <v>2081</v>
      </c>
      <c r="G827" s="12" t="s">
        <v>159</v>
      </c>
      <c r="H827" s="15">
        <v>11100</v>
      </c>
      <c r="I827" s="13">
        <v>50</v>
      </c>
    </row>
    <row r="828" spans="1:9">
      <c r="A828" s="12" t="s">
        <v>2082</v>
      </c>
      <c r="B828" s="12" t="s">
        <v>157</v>
      </c>
      <c r="C828" s="15">
        <v>14099</v>
      </c>
      <c r="D828" s="13">
        <v>44</v>
      </c>
      <c r="F828" s="12" t="s">
        <v>2083</v>
      </c>
      <c r="G828" s="12" t="s">
        <v>159</v>
      </c>
      <c r="H828" s="15">
        <v>465100</v>
      </c>
      <c r="I828" s="13">
        <v>50</v>
      </c>
    </row>
    <row r="829" spans="1:9">
      <c r="A829" s="12" t="s">
        <v>2084</v>
      </c>
      <c r="B829" s="12" t="s">
        <v>157</v>
      </c>
      <c r="C829" s="15">
        <v>12485</v>
      </c>
      <c r="D829" s="13">
        <v>44</v>
      </c>
      <c r="F829" s="12" t="s">
        <v>817</v>
      </c>
      <c r="G829" s="12" t="s">
        <v>157</v>
      </c>
      <c r="H829" s="15">
        <v>33702</v>
      </c>
      <c r="I829" s="13">
        <v>50</v>
      </c>
    </row>
    <row r="830" spans="1:9">
      <c r="A830" s="12" t="s">
        <v>2085</v>
      </c>
      <c r="B830" s="12" t="s">
        <v>157</v>
      </c>
      <c r="C830" s="15">
        <v>16030</v>
      </c>
      <c r="D830" s="13">
        <v>44</v>
      </c>
      <c r="F830" s="12" t="s">
        <v>2086</v>
      </c>
      <c r="G830" s="12" t="s">
        <v>159</v>
      </c>
      <c r="H830" s="15">
        <v>16700</v>
      </c>
      <c r="I830" s="13">
        <v>50</v>
      </c>
    </row>
    <row r="831" spans="1:9">
      <c r="A831" s="12" t="s">
        <v>2087</v>
      </c>
      <c r="B831" s="12" t="s">
        <v>157</v>
      </c>
      <c r="C831" s="15">
        <v>18772</v>
      </c>
      <c r="D831" s="13">
        <v>44</v>
      </c>
      <c r="F831" s="12" t="s">
        <v>2088</v>
      </c>
      <c r="G831" s="12" t="s">
        <v>159</v>
      </c>
      <c r="H831" s="15">
        <v>86300</v>
      </c>
      <c r="I831" s="13">
        <v>50</v>
      </c>
    </row>
    <row r="832" spans="1:9">
      <c r="A832" s="12" t="s">
        <v>2089</v>
      </c>
      <c r="B832" s="12" t="s">
        <v>157</v>
      </c>
      <c r="C832" s="15">
        <v>12837</v>
      </c>
      <c r="D832" s="13">
        <v>44</v>
      </c>
      <c r="F832" s="12" t="s">
        <v>820</v>
      </c>
      <c r="G832" s="12" t="s">
        <v>157</v>
      </c>
      <c r="H832" s="15">
        <v>22471</v>
      </c>
      <c r="I832" s="13">
        <v>50</v>
      </c>
    </row>
    <row r="833" spans="1:9">
      <c r="A833" s="12" t="s">
        <v>2090</v>
      </c>
      <c r="B833" s="12" t="s">
        <v>157</v>
      </c>
      <c r="C833" s="15">
        <v>12160</v>
      </c>
      <c r="D833" s="13">
        <v>44</v>
      </c>
      <c r="F833" s="12" t="s">
        <v>2091</v>
      </c>
      <c r="G833" s="12" t="s">
        <v>159</v>
      </c>
      <c r="H833" s="15">
        <v>157000</v>
      </c>
      <c r="I833" s="13">
        <v>50</v>
      </c>
    </row>
    <row r="834" spans="1:9">
      <c r="A834" s="12" t="s">
        <v>2092</v>
      </c>
      <c r="B834" s="12" t="s">
        <v>157</v>
      </c>
      <c r="C834" s="15">
        <v>12904</v>
      </c>
      <c r="D834" s="13">
        <v>44</v>
      </c>
      <c r="F834" s="12" t="s">
        <v>2093</v>
      </c>
      <c r="G834" s="12" t="s">
        <v>159</v>
      </c>
      <c r="H834" s="15">
        <v>323600</v>
      </c>
      <c r="I834" s="13">
        <v>50</v>
      </c>
    </row>
    <row r="835" spans="1:9">
      <c r="A835" s="12" t="s">
        <v>2094</v>
      </c>
      <c r="B835" s="12" t="s">
        <v>157</v>
      </c>
      <c r="C835" s="15">
        <v>11241</v>
      </c>
      <c r="D835" s="13">
        <v>44</v>
      </c>
      <c r="F835" s="12" t="s">
        <v>823</v>
      </c>
      <c r="G835" s="12" t="s">
        <v>157</v>
      </c>
      <c r="H835" s="15">
        <v>22138</v>
      </c>
      <c r="I835" s="13">
        <v>50</v>
      </c>
    </row>
    <row r="836" spans="1:9">
      <c r="A836" s="12" t="s">
        <v>2095</v>
      </c>
      <c r="B836" s="12" t="s">
        <v>157</v>
      </c>
      <c r="C836" s="15">
        <v>21306</v>
      </c>
      <c r="D836" s="13">
        <v>44</v>
      </c>
      <c r="F836" s="12" t="s">
        <v>2096</v>
      </c>
      <c r="G836" s="12" t="s">
        <v>159</v>
      </c>
      <c r="H836" s="15">
        <v>10300</v>
      </c>
      <c r="I836" s="13">
        <v>50</v>
      </c>
    </row>
    <row r="837" spans="1:9">
      <c r="A837" s="12" t="s">
        <v>2097</v>
      </c>
      <c r="B837" s="12" t="s">
        <v>157</v>
      </c>
      <c r="C837" s="15">
        <v>25432</v>
      </c>
      <c r="D837" s="13">
        <v>44</v>
      </c>
      <c r="F837" s="12" t="s">
        <v>2098</v>
      </c>
      <c r="G837" s="12" t="s">
        <v>157</v>
      </c>
      <c r="H837" s="15">
        <v>12804</v>
      </c>
      <c r="I837" s="13">
        <v>50</v>
      </c>
    </row>
    <row r="838" spans="1:9">
      <c r="A838" s="12" t="s">
        <v>2099</v>
      </c>
      <c r="B838" s="12" t="s">
        <v>157</v>
      </c>
      <c r="C838" s="15">
        <v>27710</v>
      </c>
      <c r="D838" s="13">
        <v>44</v>
      </c>
      <c r="F838" s="12" t="s">
        <v>2100</v>
      </c>
      <c r="G838" s="12" t="s">
        <v>159</v>
      </c>
      <c r="H838" s="15">
        <v>91200</v>
      </c>
      <c r="I838" s="13">
        <v>50</v>
      </c>
    </row>
    <row r="839" spans="1:9">
      <c r="A839" s="12" t="s">
        <v>2101</v>
      </c>
      <c r="B839" s="12" t="s">
        <v>157</v>
      </c>
      <c r="C839" s="15">
        <v>10918</v>
      </c>
      <c r="D839" s="13">
        <v>44</v>
      </c>
      <c r="F839" s="12" t="s">
        <v>2102</v>
      </c>
      <c r="G839" s="12" t="s">
        <v>159</v>
      </c>
      <c r="H839" s="15">
        <v>60000</v>
      </c>
      <c r="I839" s="13">
        <v>50</v>
      </c>
    </row>
    <row r="840" spans="1:9">
      <c r="A840" s="12" t="s">
        <v>2103</v>
      </c>
      <c r="B840" s="12" t="s">
        <v>157</v>
      </c>
      <c r="C840" s="15">
        <v>17229</v>
      </c>
      <c r="D840" s="13">
        <v>44</v>
      </c>
      <c r="F840" s="12" t="s">
        <v>2104</v>
      </c>
      <c r="G840" s="12" t="s">
        <v>159</v>
      </c>
      <c r="H840" s="15">
        <v>28300</v>
      </c>
      <c r="I840" s="13">
        <v>50</v>
      </c>
    </row>
    <row r="841" spans="1:9">
      <c r="A841" s="12" t="s">
        <v>2105</v>
      </c>
      <c r="B841" s="12" t="s">
        <v>157</v>
      </c>
      <c r="C841" s="15">
        <v>11859</v>
      </c>
      <c r="D841" s="13">
        <v>44</v>
      </c>
      <c r="F841" s="12" t="s">
        <v>2106</v>
      </c>
      <c r="G841" s="12" t="s">
        <v>159</v>
      </c>
      <c r="H841" s="15">
        <v>127600</v>
      </c>
      <c r="I841" s="13">
        <v>50</v>
      </c>
    </row>
    <row r="842" spans="1:9">
      <c r="A842" s="12" t="s">
        <v>2107</v>
      </c>
      <c r="B842" s="12" t="s">
        <v>157</v>
      </c>
      <c r="C842" s="15">
        <v>13357</v>
      </c>
      <c r="D842" s="13">
        <v>44</v>
      </c>
      <c r="F842" s="12" t="s">
        <v>2108</v>
      </c>
      <c r="G842" s="12" t="s">
        <v>159</v>
      </c>
      <c r="H842" s="15">
        <v>52500</v>
      </c>
      <c r="I842" s="13">
        <v>50</v>
      </c>
    </row>
    <row r="843" spans="1:9">
      <c r="A843" s="12" t="s">
        <v>2109</v>
      </c>
      <c r="B843" s="12" t="s">
        <v>157</v>
      </c>
      <c r="C843" s="15">
        <v>17594</v>
      </c>
      <c r="D843" s="13">
        <v>44</v>
      </c>
      <c r="F843" s="12" t="s">
        <v>2110</v>
      </c>
      <c r="G843" s="12" t="s">
        <v>159</v>
      </c>
      <c r="H843" s="15">
        <v>13300</v>
      </c>
      <c r="I843" s="13">
        <v>50</v>
      </c>
    </row>
    <row r="844" spans="1:9">
      <c r="A844" s="12" t="s">
        <v>2111</v>
      </c>
      <c r="B844" s="12" t="s">
        <v>157</v>
      </c>
      <c r="C844" s="15">
        <v>25717</v>
      </c>
      <c r="D844" s="13">
        <v>44</v>
      </c>
      <c r="F844" s="12" t="s">
        <v>2112</v>
      </c>
      <c r="G844" s="12" t="s">
        <v>159</v>
      </c>
      <c r="H844" s="15">
        <v>71800</v>
      </c>
      <c r="I844" s="13">
        <v>50</v>
      </c>
    </row>
    <row r="845" spans="1:9">
      <c r="A845" s="12" t="s">
        <v>2113</v>
      </c>
      <c r="B845" s="12" t="s">
        <v>157</v>
      </c>
      <c r="C845" s="15">
        <v>25688</v>
      </c>
      <c r="D845" s="13">
        <v>44</v>
      </c>
      <c r="F845" s="12" t="s">
        <v>2114</v>
      </c>
      <c r="G845" s="12" t="s">
        <v>157</v>
      </c>
      <c r="H845" s="15">
        <v>23158</v>
      </c>
      <c r="I845" s="13">
        <v>50</v>
      </c>
    </row>
    <row r="846" spans="1:9">
      <c r="A846" s="12" t="s">
        <v>1345</v>
      </c>
      <c r="B846" s="12" t="s">
        <v>157</v>
      </c>
      <c r="C846" s="15">
        <v>544484</v>
      </c>
      <c r="D846" s="13">
        <v>44</v>
      </c>
      <c r="F846" s="12" t="s">
        <v>2115</v>
      </c>
      <c r="G846" s="12" t="s">
        <v>159</v>
      </c>
      <c r="H846" s="15">
        <v>168800</v>
      </c>
      <c r="I846" s="13">
        <v>50</v>
      </c>
    </row>
    <row r="847" spans="1:9">
      <c r="A847" s="12" t="s">
        <v>2116</v>
      </c>
      <c r="B847" s="12" t="s">
        <v>157</v>
      </c>
      <c r="C847" s="15">
        <v>20306</v>
      </c>
      <c r="D847" s="13">
        <v>44</v>
      </c>
      <c r="F847" s="12" t="s">
        <v>2117</v>
      </c>
      <c r="G847" s="12" t="s">
        <v>157</v>
      </c>
      <c r="H847" s="15">
        <v>14062</v>
      </c>
      <c r="I847" s="13">
        <v>50</v>
      </c>
    </row>
    <row r="848" spans="1:9">
      <c r="A848" s="12" t="s">
        <v>2118</v>
      </c>
      <c r="B848" s="12" t="s">
        <v>157</v>
      </c>
      <c r="C848" s="15">
        <v>22476</v>
      </c>
      <c r="D848" s="13">
        <v>44</v>
      </c>
      <c r="F848" s="12" t="s">
        <v>2119</v>
      </c>
      <c r="G848" s="12" t="s">
        <v>159</v>
      </c>
      <c r="H848" s="15">
        <v>12500</v>
      </c>
      <c r="I848" s="13">
        <v>50</v>
      </c>
    </row>
    <row r="849" spans="1:9">
      <c r="A849" s="12" t="s">
        <v>2120</v>
      </c>
      <c r="B849" s="12" t="s">
        <v>157</v>
      </c>
      <c r="C849" s="15">
        <v>20714</v>
      </c>
      <c r="D849" s="13">
        <v>44</v>
      </c>
      <c r="F849" s="12" t="s">
        <v>2121</v>
      </c>
      <c r="G849" s="12" t="s">
        <v>157</v>
      </c>
      <c r="H849" s="15">
        <v>12040</v>
      </c>
      <c r="I849" s="13">
        <v>50</v>
      </c>
    </row>
    <row r="850" spans="1:9">
      <c r="A850" s="12" t="s">
        <v>2122</v>
      </c>
      <c r="B850" s="12" t="s">
        <v>157</v>
      </c>
      <c r="C850" s="15">
        <v>29001</v>
      </c>
      <c r="D850" s="13">
        <v>44</v>
      </c>
      <c r="F850" s="12" t="s">
        <v>2123</v>
      </c>
      <c r="G850" s="12" t="s">
        <v>159</v>
      </c>
      <c r="H850" s="15">
        <v>12000</v>
      </c>
      <c r="I850" s="13">
        <v>50</v>
      </c>
    </row>
    <row r="851" spans="1:9">
      <c r="A851" s="12" t="s">
        <v>2124</v>
      </c>
      <c r="B851" s="12" t="s">
        <v>157</v>
      </c>
      <c r="C851" s="15">
        <v>11730</v>
      </c>
      <c r="D851" s="13">
        <v>44</v>
      </c>
      <c r="F851" s="12" t="s">
        <v>828</v>
      </c>
      <c r="G851" s="12" t="s">
        <v>157</v>
      </c>
      <c r="H851" s="15">
        <v>28399</v>
      </c>
      <c r="I851" s="13">
        <v>50</v>
      </c>
    </row>
    <row r="852" spans="1:9">
      <c r="A852" s="12" t="s">
        <v>2125</v>
      </c>
      <c r="B852" s="12" t="s">
        <v>157</v>
      </c>
      <c r="C852" s="15">
        <v>11080</v>
      </c>
      <c r="D852" s="13">
        <v>44</v>
      </c>
      <c r="F852" s="12" t="s">
        <v>2126</v>
      </c>
      <c r="G852" s="12" t="s">
        <v>159</v>
      </c>
      <c r="H852" s="15">
        <v>636100</v>
      </c>
      <c r="I852" s="13">
        <v>50</v>
      </c>
    </row>
    <row r="853" spans="1:9">
      <c r="A853" s="12" t="s">
        <v>2127</v>
      </c>
      <c r="B853" s="12" t="s">
        <v>157</v>
      </c>
      <c r="C853" s="15">
        <v>14159</v>
      </c>
      <c r="D853" s="13">
        <v>44</v>
      </c>
      <c r="F853" s="12" t="s">
        <v>2128</v>
      </c>
      <c r="G853" s="12" t="s">
        <v>159</v>
      </c>
      <c r="H853" s="15">
        <v>22200</v>
      </c>
      <c r="I853" s="13">
        <v>50</v>
      </c>
    </row>
    <row r="854" spans="1:9">
      <c r="A854" s="12" t="s">
        <v>2129</v>
      </c>
      <c r="B854" s="12" t="s">
        <v>157</v>
      </c>
      <c r="C854" s="15">
        <v>28424</v>
      </c>
      <c r="D854" s="13">
        <v>44</v>
      </c>
      <c r="F854" s="12" t="s">
        <v>2130</v>
      </c>
      <c r="G854" s="12" t="s">
        <v>157</v>
      </c>
      <c r="H854" s="15">
        <v>11926</v>
      </c>
      <c r="I854" s="13">
        <v>50</v>
      </c>
    </row>
    <row r="855" spans="1:9">
      <c r="A855" s="12" t="s">
        <v>2131</v>
      </c>
      <c r="B855" s="12" t="s">
        <v>157</v>
      </c>
      <c r="C855" s="15">
        <v>32500</v>
      </c>
      <c r="D855" s="13">
        <v>44</v>
      </c>
      <c r="F855" s="12" t="s">
        <v>830</v>
      </c>
      <c r="G855" s="12" t="s">
        <v>157</v>
      </c>
      <c r="H855" s="15">
        <v>20165</v>
      </c>
      <c r="I855" s="13">
        <v>50</v>
      </c>
    </row>
    <row r="856" spans="1:9">
      <c r="A856" s="12" t="s">
        <v>2132</v>
      </c>
      <c r="B856" s="12" t="s">
        <v>157</v>
      </c>
      <c r="C856" s="15">
        <v>21853</v>
      </c>
      <c r="D856" s="13">
        <v>44</v>
      </c>
      <c r="F856" s="12" t="s">
        <v>2133</v>
      </c>
      <c r="G856" s="12" t="s">
        <v>159</v>
      </c>
      <c r="H856" s="15">
        <v>31200</v>
      </c>
      <c r="I856" s="13">
        <v>50</v>
      </c>
    </row>
    <row r="857" spans="1:9">
      <c r="A857" s="12" t="s">
        <v>2134</v>
      </c>
      <c r="B857" s="12" t="s">
        <v>157</v>
      </c>
      <c r="C857" s="15">
        <v>11625</v>
      </c>
      <c r="D857" s="13">
        <v>44</v>
      </c>
      <c r="F857" s="12" t="s">
        <v>2135</v>
      </c>
      <c r="G857" s="12" t="s">
        <v>159</v>
      </c>
      <c r="H857" s="15">
        <v>10800</v>
      </c>
      <c r="I857" s="13">
        <v>50</v>
      </c>
    </row>
    <row r="858" spans="1:9">
      <c r="A858" s="12" t="s">
        <v>2136</v>
      </c>
      <c r="B858" s="12" t="s">
        <v>157</v>
      </c>
      <c r="C858" s="15">
        <v>24404</v>
      </c>
      <c r="D858" s="13">
        <v>44</v>
      </c>
      <c r="F858" s="12" t="s">
        <v>2137</v>
      </c>
      <c r="G858" s="12" t="s">
        <v>159</v>
      </c>
      <c r="H858" s="15">
        <v>45400</v>
      </c>
      <c r="I858" s="13">
        <v>50</v>
      </c>
    </row>
    <row r="859" spans="1:9">
      <c r="A859" s="12" t="s">
        <v>2138</v>
      </c>
      <c r="B859" s="12" t="s">
        <v>157</v>
      </c>
      <c r="C859" s="15">
        <v>21948</v>
      </c>
      <c r="D859" s="13">
        <v>44</v>
      </c>
      <c r="F859" s="12" t="s">
        <v>2139</v>
      </c>
      <c r="G859" s="12" t="s">
        <v>159</v>
      </c>
      <c r="H859" s="15">
        <v>13900</v>
      </c>
      <c r="I859" s="13">
        <v>50</v>
      </c>
    </row>
    <row r="860" spans="1:9">
      <c r="A860" s="12" t="s">
        <v>2140</v>
      </c>
      <c r="B860" s="12" t="s">
        <v>157</v>
      </c>
      <c r="C860" s="15">
        <v>10038</v>
      </c>
      <c r="D860" s="13">
        <v>44</v>
      </c>
      <c r="F860" s="12" t="s">
        <v>2141</v>
      </c>
      <c r="G860" s="12" t="s">
        <v>159</v>
      </c>
      <c r="H860" s="15">
        <v>68800</v>
      </c>
      <c r="I860" s="13">
        <v>50</v>
      </c>
    </row>
    <row r="861" spans="1:9">
      <c r="A861" s="12" t="s">
        <v>2142</v>
      </c>
      <c r="B861" s="12" t="s">
        <v>157</v>
      </c>
      <c r="C861" s="15">
        <v>27765</v>
      </c>
      <c r="D861" s="13">
        <v>44</v>
      </c>
      <c r="F861" s="12" t="s">
        <v>2143</v>
      </c>
      <c r="G861" s="12" t="s">
        <v>157</v>
      </c>
      <c r="H861" s="15">
        <v>16126</v>
      </c>
      <c r="I861" s="13">
        <v>50</v>
      </c>
    </row>
    <row r="862" spans="1:9">
      <c r="A862" s="12" t="s">
        <v>2144</v>
      </c>
      <c r="B862" s="12" t="s">
        <v>157</v>
      </c>
      <c r="C862" s="15">
        <v>12202</v>
      </c>
      <c r="D862" s="13">
        <v>44</v>
      </c>
      <c r="F862" s="12" t="s">
        <v>2145</v>
      </c>
      <c r="G862" s="12" t="s">
        <v>159</v>
      </c>
      <c r="H862" s="15">
        <v>278400</v>
      </c>
      <c r="I862" s="13">
        <v>50</v>
      </c>
    </row>
    <row r="863" spans="1:9">
      <c r="A863" s="12" t="s">
        <v>2146</v>
      </c>
      <c r="B863" s="12" t="s">
        <v>157</v>
      </c>
      <c r="C863" s="15">
        <v>21653</v>
      </c>
      <c r="D863" s="13">
        <v>44</v>
      </c>
      <c r="F863" s="12" t="s">
        <v>2147</v>
      </c>
      <c r="G863" s="12" t="s">
        <v>157</v>
      </c>
      <c r="H863" s="15">
        <v>107342</v>
      </c>
      <c r="I863" s="13">
        <v>50</v>
      </c>
    </row>
    <row r="864" spans="1:9">
      <c r="A864" s="12" t="s">
        <v>2148</v>
      </c>
      <c r="B864" s="12" t="s">
        <v>157</v>
      </c>
      <c r="C864" s="15">
        <v>16044</v>
      </c>
      <c r="D864" s="13">
        <v>44</v>
      </c>
      <c r="F864" s="12" t="s">
        <v>2149</v>
      </c>
      <c r="G864" s="12" t="s">
        <v>159</v>
      </c>
      <c r="H864" s="15">
        <v>23640</v>
      </c>
      <c r="I864" s="13">
        <v>50</v>
      </c>
    </row>
    <row r="865" spans="1:9">
      <c r="A865" s="12" t="s">
        <v>2150</v>
      </c>
      <c r="B865" s="12" t="s">
        <v>157</v>
      </c>
      <c r="C865" s="15">
        <v>14386</v>
      </c>
      <c r="D865" s="13">
        <v>44</v>
      </c>
      <c r="F865" s="12" t="s">
        <v>2151</v>
      </c>
      <c r="G865" s="12" t="s">
        <v>157</v>
      </c>
      <c r="H865" s="15">
        <v>24375</v>
      </c>
      <c r="I865" s="13">
        <v>50</v>
      </c>
    </row>
    <row r="866" spans="1:9">
      <c r="A866" s="12" t="s">
        <v>2152</v>
      </c>
      <c r="B866" s="12" t="s">
        <v>157</v>
      </c>
      <c r="C866" s="15">
        <v>10282</v>
      </c>
      <c r="D866" s="13">
        <v>44</v>
      </c>
      <c r="F866" s="12" t="s">
        <v>2153</v>
      </c>
      <c r="G866" s="12" t="s">
        <v>157</v>
      </c>
      <c r="H866" s="15">
        <v>12368</v>
      </c>
      <c r="I866" s="13">
        <v>50</v>
      </c>
    </row>
    <row r="867" spans="1:9">
      <c r="A867" s="12" t="s">
        <v>2154</v>
      </c>
      <c r="B867" s="12" t="s">
        <v>157</v>
      </c>
      <c r="C867" s="15">
        <v>11076</v>
      </c>
      <c r="D867" s="13">
        <v>44</v>
      </c>
      <c r="F867" s="12" t="s">
        <v>2155</v>
      </c>
      <c r="G867" s="12" t="s">
        <v>159</v>
      </c>
      <c r="H867" s="15">
        <v>12000</v>
      </c>
      <c r="I867" s="13">
        <v>50</v>
      </c>
    </row>
    <row r="868" spans="1:9">
      <c r="A868" s="12" t="s">
        <v>2156</v>
      </c>
      <c r="B868" s="12" t="s">
        <v>157</v>
      </c>
      <c r="C868" s="15">
        <v>21706</v>
      </c>
      <c r="D868" s="13">
        <v>44</v>
      </c>
      <c r="F868" s="12" t="s">
        <v>2157</v>
      </c>
      <c r="G868" s="12" t="s">
        <v>159</v>
      </c>
      <c r="H868" s="15">
        <v>54600</v>
      </c>
      <c r="I868" s="13">
        <v>50</v>
      </c>
    </row>
    <row r="869" spans="1:9">
      <c r="A869" s="12" t="s">
        <v>2158</v>
      </c>
      <c r="B869" s="12" t="s">
        <v>157</v>
      </c>
      <c r="C869" s="15">
        <v>15095</v>
      </c>
      <c r="D869" s="13">
        <v>44</v>
      </c>
      <c r="F869" s="12" t="s">
        <v>2159</v>
      </c>
      <c r="G869" s="12" t="s">
        <v>157</v>
      </c>
      <c r="H869" s="15">
        <v>14085</v>
      </c>
      <c r="I869" s="13">
        <v>50</v>
      </c>
    </row>
    <row r="870" spans="1:9">
      <c r="A870" s="12" t="s">
        <v>2160</v>
      </c>
      <c r="B870" s="12" t="s">
        <v>157</v>
      </c>
      <c r="C870" s="15">
        <v>10160</v>
      </c>
      <c r="D870" s="13">
        <v>44</v>
      </c>
      <c r="F870" s="12" t="s">
        <v>831</v>
      </c>
      <c r="G870" s="12" t="s">
        <v>157</v>
      </c>
      <c r="H870" s="15">
        <v>13609</v>
      </c>
      <c r="I870" s="13">
        <v>50</v>
      </c>
    </row>
    <row r="871" spans="1:9">
      <c r="A871" s="12" t="s">
        <v>2161</v>
      </c>
      <c r="B871" s="12" t="s">
        <v>157</v>
      </c>
      <c r="C871" s="15">
        <v>28763</v>
      </c>
      <c r="D871" s="13">
        <v>44</v>
      </c>
      <c r="F871" s="12" t="s">
        <v>833</v>
      </c>
      <c r="G871" s="12" t="s">
        <v>157</v>
      </c>
      <c r="H871" s="15">
        <v>15118</v>
      </c>
      <c r="I871" s="13">
        <v>50</v>
      </c>
    </row>
    <row r="872" spans="1:9">
      <c r="A872" s="12" t="s">
        <v>2162</v>
      </c>
      <c r="B872" s="12" t="s">
        <v>157</v>
      </c>
      <c r="C872" s="15">
        <v>12638</v>
      </c>
      <c r="D872" s="13">
        <v>44</v>
      </c>
      <c r="F872" s="12" t="s">
        <v>2163</v>
      </c>
      <c r="G872" s="12" t="s">
        <v>159</v>
      </c>
      <c r="H872" s="15">
        <v>13800</v>
      </c>
      <c r="I872" s="13">
        <v>50</v>
      </c>
    </row>
    <row r="873" spans="1:9">
      <c r="A873" s="12" t="s">
        <v>2164</v>
      </c>
      <c r="B873" s="12" t="s">
        <v>157</v>
      </c>
      <c r="C873" s="15">
        <v>12682</v>
      </c>
      <c r="D873" s="13">
        <v>44</v>
      </c>
      <c r="F873" s="12" t="s">
        <v>836</v>
      </c>
      <c r="G873" s="12" t="s">
        <v>157</v>
      </c>
      <c r="H873" s="15">
        <v>21811</v>
      </c>
      <c r="I873" s="13">
        <v>50</v>
      </c>
    </row>
    <row r="874" spans="1:9">
      <c r="A874" s="12" t="s">
        <v>2165</v>
      </c>
      <c r="B874" s="12" t="s">
        <v>157</v>
      </c>
      <c r="C874" s="15">
        <v>12198</v>
      </c>
      <c r="D874" s="13">
        <v>44</v>
      </c>
      <c r="F874" s="12" t="s">
        <v>2166</v>
      </c>
      <c r="G874" s="12" t="s">
        <v>159</v>
      </c>
      <c r="H874" s="15">
        <v>11700</v>
      </c>
      <c r="I874" s="13">
        <v>50</v>
      </c>
    </row>
    <row r="875" spans="1:9">
      <c r="A875" s="12" t="s">
        <v>2167</v>
      </c>
      <c r="B875" s="12" t="s">
        <v>157</v>
      </c>
      <c r="C875" s="15">
        <v>12945</v>
      </c>
      <c r="D875" s="13">
        <v>44</v>
      </c>
      <c r="F875" s="12" t="s">
        <v>2168</v>
      </c>
      <c r="G875" s="12" t="s">
        <v>159</v>
      </c>
      <c r="H875" s="15">
        <v>98500</v>
      </c>
      <c r="I875" s="13">
        <v>50</v>
      </c>
    </row>
    <row r="876" spans="1:9">
      <c r="A876" s="12" t="s">
        <v>2169</v>
      </c>
      <c r="B876" s="12" t="s">
        <v>157</v>
      </c>
      <c r="C876" s="15">
        <v>12490</v>
      </c>
      <c r="D876" s="13">
        <v>44</v>
      </c>
      <c r="F876" s="12" t="s">
        <v>2170</v>
      </c>
      <c r="G876" s="12" t="s">
        <v>159</v>
      </c>
      <c r="H876" s="15">
        <v>43500</v>
      </c>
      <c r="I876" s="13">
        <v>50</v>
      </c>
    </row>
    <row r="877" spans="1:9">
      <c r="A877" s="12" t="s">
        <v>2171</v>
      </c>
      <c r="B877" s="12" t="s">
        <v>157</v>
      </c>
      <c r="C877" s="15">
        <v>16507</v>
      </c>
      <c r="D877" s="13">
        <v>44</v>
      </c>
      <c r="F877" s="12" t="s">
        <v>2172</v>
      </c>
      <c r="G877" s="12" t="s">
        <v>159</v>
      </c>
      <c r="H877" s="15">
        <v>672600</v>
      </c>
      <c r="I877" s="13">
        <v>50</v>
      </c>
    </row>
    <row r="878" spans="1:9">
      <c r="A878" s="12" t="s">
        <v>2173</v>
      </c>
      <c r="B878" s="12" t="s">
        <v>157</v>
      </c>
      <c r="C878" s="15">
        <v>12199</v>
      </c>
      <c r="D878" s="13">
        <v>44</v>
      </c>
      <c r="F878" s="12" t="s">
        <v>839</v>
      </c>
      <c r="G878" s="12" t="s">
        <v>157</v>
      </c>
      <c r="H878" s="15">
        <v>20116</v>
      </c>
      <c r="I878" s="13">
        <v>50</v>
      </c>
    </row>
    <row r="879" spans="1:9">
      <c r="A879" s="12" t="s">
        <v>2174</v>
      </c>
      <c r="B879" s="12" t="s">
        <v>157</v>
      </c>
      <c r="C879" s="15">
        <v>23989</v>
      </c>
      <c r="D879" s="13">
        <v>44</v>
      </c>
      <c r="F879" s="12" t="s">
        <v>2175</v>
      </c>
      <c r="G879" s="12" t="s">
        <v>159</v>
      </c>
      <c r="H879" s="15">
        <v>153500</v>
      </c>
      <c r="I879" s="13">
        <v>50</v>
      </c>
    </row>
    <row r="880" spans="1:9">
      <c r="A880" s="12" t="s">
        <v>2176</v>
      </c>
      <c r="B880" s="12" t="s">
        <v>157</v>
      </c>
      <c r="C880" s="15">
        <v>29585</v>
      </c>
      <c r="D880" s="13">
        <v>44</v>
      </c>
      <c r="F880" s="12" t="s">
        <v>2177</v>
      </c>
      <c r="G880" s="12" t="s">
        <v>159</v>
      </c>
      <c r="H880" s="15">
        <v>18000</v>
      </c>
      <c r="I880" s="13">
        <v>50</v>
      </c>
    </row>
    <row r="881" spans="1:9">
      <c r="A881" s="12" t="s">
        <v>2178</v>
      </c>
      <c r="B881" s="12" t="s">
        <v>157</v>
      </c>
      <c r="C881" s="15">
        <v>13347</v>
      </c>
      <c r="D881" s="13">
        <v>44</v>
      </c>
      <c r="F881" s="12" t="s">
        <v>2179</v>
      </c>
      <c r="G881" s="12" t="s">
        <v>157</v>
      </c>
      <c r="H881" s="15">
        <v>10836</v>
      </c>
      <c r="I881" s="13">
        <v>50</v>
      </c>
    </row>
    <row r="882" spans="1:9">
      <c r="A882" s="12" t="s">
        <v>2180</v>
      </c>
      <c r="B882" s="12" t="s">
        <v>157</v>
      </c>
      <c r="C882" s="15">
        <v>30110</v>
      </c>
      <c r="D882" s="13">
        <v>44</v>
      </c>
      <c r="F882" s="12" t="s">
        <v>2181</v>
      </c>
      <c r="G882" s="12" t="s">
        <v>159</v>
      </c>
      <c r="H882" s="15">
        <v>93200</v>
      </c>
      <c r="I882" s="13">
        <v>50</v>
      </c>
    </row>
    <row r="883" spans="1:9">
      <c r="A883" s="12" t="s">
        <v>2182</v>
      </c>
      <c r="B883" s="12" t="s">
        <v>157</v>
      </c>
      <c r="C883" s="15">
        <v>23999</v>
      </c>
      <c r="D883" s="13">
        <v>44</v>
      </c>
      <c r="F883" s="12" t="s">
        <v>2183</v>
      </c>
      <c r="G883" s="12" t="s">
        <v>157</v>
      </c>
      <c r="H883" s="15">
        <v>25140</v>
      </c>
      <c r="I883" s="13">
        <v>50</v>
      </c>
    </row>
    <row r="884" spans="1:9">
      <c r="A884" s="12" t="s">
        <v>2184</v>
      </c>
      <c r="B884" s="12" t="s">
        <v>157</v>
      </c>
      <c r="C884" s="15">
        <v>31994</v>
      </c>
      <c r="D884" s="13">
        <v>44</v>
      </c>
      <c r="F884" s="12" t="s">
        <v>841</v>
      </c>
      <c r="G884" s="12" t="s">
        <v>157</v>
      </c>
      <c r="H884" s="15">
        <v>19150</v>
      </c>
      <c r="I884" s="13">
        <v>50</v>
      </c>
    </row>
    <row r="885" spans="1:9">
      <c r="A885" s="12" t="s">
        <v>2185</v>
      </c>
      <c r="B885" s="12" t="s">
        <v>157</v>
      </c>
      <c r="C885" s="15">
        <v>24927</v>
      </c>
      <c r="D885" s="13">
        <v>44</v>
      </c>
      <c r="F885" s="12" t="s">
        <v>2186</v>
      </c>
      <c r="G885" s="12" t="s">
        <v>157</v>
      </c>
      <c r="H885" s="15">
        <v>23050</v>
      </c>
      <c r="I885" s="13">
        <v>50</v>
      </c>
    </row>
    <row r="886" spans="1:9">
      <c r="A886" s="12" t="s">
        <v>2187</v>
      </c>
      <c r="B886" s="12" t="s">
        <v>157</v>
      </c>
      <c r="C886" s="15">
        <v>18223</v>
      </c>
      <c r="D886" s="13">
        <v>44</v>
      </c>
      <c r="F886" s="12" t="s">
        <v>2188</v>
      </c>
      <c r="G886" s="12" t="s">
        <v>157</v>
      </c>
      <c r="H886" s="15">
        <v>25967</v>
      </c>
      <c r="I886" s="13">
        <v>50</v>
      </c>
    </row>
    <row r="887" spans="1:9">
      <c r="A887" s="12" t="s">
        <v>2189</v>
      </c>
      <c r="B887" s="12" t="s">
        <v>157</v>
      </c>
      <c r="C887" s="15">
        <v>30045</v>
      </c>
      <c r="D887" s="13">
        <v>44</v>
      </c>
      <c r="F887" s="12" t="s">
        <v>843</v>
      </c>
      <c r="G887" s="12" t="s">
        <v>157</v>
      </c>
      <c r="H887" s="15">
        <v>17951</v>
      </c>
      <c r="I887" s="13">
        <v>50</v>
      </c>
    </row>
    <row r="888" spans="1:9">
      <c r="A888" s="12" t="s">
        <v>2190</v>
      </c>
      <c r="B888" s="12" t="s">
        <v>157</v>
      </c>
      <c r="C888" s="15">
        <v>14851</v>
      </c>
      <c r="D888" s="13">
        <v>44</v>
      </c>
      <c r="F888" s="12" t="s">
        <v>2191</v>
      </c>
      <c r="G888" s="12" t="s">
        <v>157</v>
      </c>
      <c r="H888" s="15">
        <v>31619</v>
      </c>
      <c r="I888" s="13">
        <v>50</v>
      </c>
    </row>
    <row r="889" spans="1:9">
      <c r="A889" s="12" t="s">
        <v>2192</v>
      </c>
      <c r="B889" s="12" t="s">
        <v>157</v>
      </c>
      <c r="C889" s="15">
        <v>20647</v>
      </c>
      <c r="D889" s="13">
        <v>44</v>
      </c>
      <c r="F889" s="12" t="s">
        <v>845</v>
      </c>
      <c r="G889" s="12" t="s">
        <v>157</v>
      </c>
      <c r="H889" s="15">
        <v>11617</v>
      </c>
      <c r="I889" s="13">
        <v>50</v>
      </c>
    </row>
    <row r="890" spans="1:9">
      <c r="A890" s="12" t="s">
        <v>2193</v>
      </c>
      <c r="B890" s="12" t="s">
        <v>157</v>
      </c>
      <c r="C890" s="15">
        <v>29303</v>
      </c>
      <c r="D890" s="13">
        <v>44</v>
      </c>
      <c r="F890" s="12" t="s">
        <v>847</v>
      </c>
      <c r="G890" s="12" t="s">
        <v>157</v>
      </c>
      <c r="H890" s="15">
        <v>31550</v>
      </c>
      <c r="I890" s="13">
        <v>50</v>
      </c>
    </row>
    <row r="891" spans="1:9">
      <c r="A891" s="12" t="s">
        <v>1353</v>
      </c>
      <c r="B891" s="12" t="s">
        <v>157</v>
      </c>
      <c r="C891" s="15">
        <v>129309</v>
      </c>
      <c r="D891" s="13">
        <v>44</v>
      </c>
      <c r="F891" s="12" t="s">
        <v>2194</v>
      </c>
      <c r="G891" s="12" t="s">
        <v>159</v>
      </c>
      <c r="H891" s="15">
        <v>27100</v>
      </c>
      <c r="I891" s="13">
        <v>50</v>
      </c>
    </row>
    <row r="892" spans="1:9">
      <c r="A892" s="12" t="s">
        <v>2195</v>
      </c>
      <c r="B892" s="12" t="s">
        <v>157</v>
      </c>
      <c r="C892" s="15">
        <v>16594</v>
      </c>
      <c r="D892" s="13">
        <v>44</v>
      </c>
      <c r="F892" s="12" t="s">
        <v>849</v>
      </c>
      <c r="G892" s="12" t="s">
        <v>157</v>
      </c>
      <c r="H892" s="15">
        <v>11043</v>
      </c>
      <c r="I892" s="13">
        <v>50</v>
      </c>
    </row>
    <row r="893" spans="1:9">
      <c r="A893" s="12" t="s">
        <v>2196</v>
      </c>
      <c r="B893" s="12" t="s">
        <v>157</v>
      </c>
      <c r="C893" s="15">
        <v>31783</v>
      </c>
      <c r="D893" s="13">
        <v>44</v>
      </c>
      <c r="F893" s="12" t="s">
        <v>852</v>
      </c>
      <c r="G893" s="12" t="s">
        <v>157</v>
      </c>
      <c r="H893" s="15">
        <v>11311</v>
      </c>
      <c r="I893" s="13">
        <v>50</v>
      </c>
    </row>
    <row r="894" spans="1:9">
      <c r="A894" s="12" t="s">
        <v>2197</v>
      </c>
      <c r="B894" s="12" t="s">
        <v>157</v>
      </c>
      <c r="C894" s="15">
        <v>18718</v>
      </c>
      <c r="D894" s="13">
        <v>44</v>
      </c>
      <c r="F894" s="12" t="s">
        <v>2198</v>
      </c>
      <c r="G894" s="12" t="s">
        <v>159</v>
      </c>
      <c r="H894" s="15">
        <v>75700</v>
      </c>
      <c r="I894" s="13">
        <v>50</v>
      </c>
    </row>
    <row r="895" spans="1:9">
      <c r="A895" s="12" t="s">
        <v>2199</v>
      </c>
      <c r="B895" s="12" t="s">
        <v>157</v>
      </c>
      <c r="C895" s="15">
        <v>29992</v>
      </c>
      <c r="D895" s="13">
        <v>44</v>
      </c>
      <c r="F895" s="12" t="s">
        <v>853</v>
      </c>
      <c r="G895" s="12" t="s">
        <v>157</v>
      </c>
      <c r="H895" s="15">
        <v>13091</v>
      </c>
      <c r="I895" s="13">
        <v>50</v>
      </c>
    </row>
    <row r="896" spans="1:9">
      <c r="A896" s="12" t="s">
        <v>2200</v>
      </c>
      <c r="B896" s="12" t="s">
        <v>157</v>
      </c>
      <c r="C896" s="15">
        <v>26143</v>
      </c>
      <c r="D896" s="13">
        <v>44</v>
      </c>
      <c r="F896" s="12" t="s">
        <v>2201</v>
      </c>
      <c r="G896" s="12" t="s">
        <v>157</v>
      </c>
      <c r="H896" s="15">
        <v>16779</v>
      </c>
      <c r="I896" s="13">
        <v>50</v>
      </c>
    </row>
    <row r="897" spans="1:9">
      <c r="A897" s="12" t="s">
        <v>2202</v>
      </c>
      <c r="B897" s="12" t="s">
        <v>157</v>
      </c>
      <c r="C897" s="15">
        <v>25002</v>
      </c>
      <c r="D897" s="13">
        <v>44</v>
      </c>
      <c r="F897" s="12" t="s">
        <v>2203</v>
      </c>
      <c r="G897" s="12" t="s">
        <v>159</v>
      </c>
      <c r="H897" s="15">
        <v>179300</v>
      </c>
      <c r="I897" s="13">
        <v>50</v>
      </c>
    </row>
    <row r="898" spans="1:9">
      <c r="A898" s="12" t="s">
        <v>2204</v>
      </c>
      <c r="B898" s="12" t="s">
        <v>157</v>
      </c>
      <c r="C898" s="15">
        <v>20154</v>
      </c>
      <c r="D898" s="13">
        <v>44</v>
      </c>
      <c r="F898" s="12" t="s">
        <v>2205</v>
      </c>
      <c r="G898" s="12" t="s">
        <v>159</v>
      </c>
      <c r="H898" s="15">
        <v>198200</v>
      </c>
      <c r="I898" s="13">
        <v>50</v>
      </c>
    </row>
    <row r="899" spans="1:9">
      <c r="A899" s="12" t="s">
        <v>2206</v>
      </c>
      <c r="B899" s="12" t="s">
        <v>157</v>
      </c>
      <c r="C899" s="15">
        <v>23572</v>
      </c>
      <c r="D899" s="13">
        <v>44</v>
      </c>
      <c r="F899" s="12" t="s">
        <v>2207</v>
      </c>
      <c r="G899" s="12" t="s">
        <v>157</v>
      </c>
      <c r="H899" s="15">
        <v>33885</v>
      </c>
      <c r="I899" s="13">
        <v>50</v>
      </c>
    </row>
    <row r="900" spans="1:9">
      <c r="A900" s="12" t="s">
        <v>2208</v>
      </c>
      <c r="B900" s="12" t="s">
        <v>157</v>
      </c>
      <c r="C900" s="15">
        <v>13750</v>
      </c>
      <c r="D900" s="13">
        <v>44</v>
      </c>
      <c r="F900" s="12" t="s">
        <v>2209</v>
      </c>
      <c r="G900" s="12" t="s">
        <v>159</v>
      </c>
      <c r="H900" s="15">
        <v>26300</v>
      </c>
      <c r="I900" s="13">
        <v>50</v>
      </c>
    </row>
    <row r="901" spans="1:9">
      <c r="A901" s="12" t="s">
        <v>2210</v>
      </c>
      <c r="B901" s="12" t="s">
        <v>157</v>
      </c>
      <c r="C901" s="15">
        <v>22479</v>
      </c>
      <c r="D901" s="13">
        <v>44</v>
      </c>
      <c r="F901" s="12" t="s">
        <v>2211</v>
      </c>
      <c r="G901" s="12" t="s">
        <v>159</v>
      </c>
      <c r="H901" s="15">
        <v>278000</v>
      </c>
      <c r="I901" s="13">
        <v>50</v>
      </c>
    </row>
    <row r="902" spans="1:9">
      <c r="A902" s="12" t="s">
        <v>2212</v>
      </c>
      <c r="B902" s="12" t="s">
        <v>157</v>
      </c>
      <c r="C902" s="15">
        <v>37943</v>
      </c>
      <c r="D902" s="13">
        <v>44</v>
      </c>
      <c r="F902" s="12" t="s">
        <v>856</v>
      </c>
      <c r="G902" s="12" t="s">
        <v>157</v>
      </c>
      <c r="H902" s="15">
        <v>11548</v>
      </c>
      <c r="I902" s="13">
        <v>50</v>
      </c>
    </row>
    <row r="903" spans="1:9">
      <c r="A903" s="12" t="s">
        <v>2213</v>
      </c>
      <c r="B903" s="12" t="s">
        <v>157</v>
      </c>
      <c r="C903" s="15">
        <v>14056</v>
      </c>
      <c r="D903" s="13">
        <v>44</v>
      </c>
      <c r="F903" s="12" t="s">
        <v>858</v>
      </c>
      <c r="G903" s="12" t="s">
        <v>157</v>
      </c>
      <c r="H903" s="15">
        <v>24751</v>
      </c>
      <c r="I903" s="13">
        <v>50</v>
      </c>
    </row>
    <row r="904" spans="1:9">
      <c r="A904" s="12" t="s">
        <v>2214</v>
      </c>
      <c r="B904" s="12" t="s">
        <v>157</v>
      </c>
      <c r="C904" s="15">
        <v>11165</v>
      </c>
      <c r="D904" s="13">
        <v>44</v>
      </c>
      <c r="F904" s="12" t="s">
        <v>2215</v>
      </c>
      <c r="G904" s="12" t="s">
        <v>157</v>
      </c>
      <c r="H904" s="15">
        <v>13368</v>
      </c>
      <c r="I904" s="13">
        <v>50</v>
      </c>
    </row>
    <row r="905" spans="1:9">
      <c r="A905" s="12" t="s">
        <v>2216</v>
      </c>
      <c r="B905" s="12" t="s">
        <v>157</v>
      </c>
      <c r="C905" s="15">
        <v>23138</v>
      </c>
      <c r="D905" s="13">
        <v>44</v>
      </c>
      <c r="F905" s="12" t="s">
        <v>860</v>
      </c>
      <c r="G905" s="12" t="s">
        <v>157</v>
      </c>
      <c r="H905" s="15">
        <v>22750</v>
      </c>
      <c r="I905" s="13">
        <v>50</v>
      </c>
    </row>
    <row r="906" spans="1:9">
      <c r="A906" s="12" t="s">
        <v>2217</v>
      </c>
      <c r="B906" s="12" t="s">
        <v>157</v>
      </c>
      <c r="C906" s="15">
        <v>15962</v>
      </c>
      <c r="D906" s="13">
        <v>44</v>
      </c>
      <c r="F906" s="12" t="s">
        <v>2218</v>
      </c>
      <c r="G906" s="12" t="s">
        <v>159</v>
      </c>
      <c r="H906" s="15">
        <v>23400</v>
      </c>
      <c r="I906" s="13">
        <v>50</v>
      </c>
    </row>
    <row r="907" spans="1:9">
      <c r="A907" s="12" t="s">
        <v>2219</v>
      </c>
      <c r="B907" s="12" t="s">
        <v>157</v>
      </c>
      <c r="C907" s="15">
        <v>23248</v>
      </c>
      <c r="D907" s="13">
        <v>44</v>
      </c>
      <c r="F907" s="12" t="s">
        <v>2220</v>
      </c>
      <c r="G907" s="12" t="s">
        <v>157</v>
      </c>
      <c r="H907" s="15">
        <v>23164</v>
      </c>
      <c r="I907" s="13">
        <v>50</v>
      </c>
    </row>
    <row r="908" spans="1:9">
      <c r="A908" s="12" t="s">
        <v>2221</v>
      </c>
      <c r="B908" s="12" t="s">
        <v>157</v>
      </c>
      <c r="C908" s="15">
        <v>22995</v>
      </c>
      <c r="D908" s="13">
        <v>44</v>
      </c>
      <c r="F908" s="12" t="s">
        <v>862</v>
      </c>
      <c r="G908" s="12" t="s">
        <v>157</v>
      </c>
      <c r="H908" s="15">
        <v>10424</v>
      </c>
      <c r="I908" s="13">
        <v>50</v>
      </c>
    </row>
    <row r="909" spans="1:9">
      <c r="A909" s="12" t="s">
        <v>2222</v>
      </c>
      <c r="B909" s="12" t="s">
        <v>157</v>
      </c>
      <c r="C909" s="15">
        <v>97210</v>
      </c>
      <c r="D909" s="13">
        <v>44</v>
      </c>
      <c r="F909" s="12" t="s">
        <v>2223</v>
      </c>
      <c r="G909" s="12" t="s">
        <v>159</v>
      </c>
      <c r="H909" s="15">
        <v>15900</v>
      </c>
      <c r="I909" s="13">
        <v>50</v>
      </c>
    </row>
    <row r="910" spans="1:9">
      <c r="A910" s="12" t="s">
        <v>2224</v>
      </c>
      <c r="B910" s="12" t="s">
        <v>157</v>
      </c>
      <c r="C910" s="15">
        <v>12800</v>
      </c>
      <c r="D910" s="13">
        <v>44</v>
      </c>
      <c r="F910" s="12" t="s">
        <v>2225</v>
      </c>
      <c r="G910" s="12" t="s">
        <v>157</v>
      </c>
      <c r="H910" s="15">
        <v>12377</v>
      </c>
      <c r="I910" s="13">
        <v>50</v>
      </c>
    </row>
    <row r="911" spans="1:9">
      <c r="A911" s="12" t="s">
        <v>2226</v>
      </c>
      <c r="B911" s="12" t="s">
        <v>157</v>
      </c>
      <c r="C911" s="15">
        <v>18343</v>
      </c>
      <c r="D911" s="13">
        <v>44</v>
      </c>
      <c r="F911" s="12" t="s">
        <v>864</v>
      </c>
      <c r="G911" s="12" t="s">
        <v>157</v>
      </c>
      <c r="H911" s="15">
        <v>21687</v>
      </c>
      <c r="I911" s="13">
        <v>50</v>
      </c>
    </row>
    <row r="912" spans="1:9">
      <c r="A912" s="12" t="s">
        <v>2227</v>
      </c>
      <c r="B912" s="12" t="s">
        <v>157</v>
      </c>
      <c r="C912" s="15">
        <v>30068</v>
      </c>
      <c r="D912" s="13">
        <v>44</v>
      </c>
      <c r="F912" s="12" t="s">
        <v>2228</v>
      </c>
      <c r="G912" s="12" t="s">
        <v>159</v>
      </c>
      <c r="H912" s="15">
        <v>54900</v>
      </c>
      <c r="I912" s="13">
        <v>50</v>
      </c>
    </row>
    <row r="913" spans="1:9">
      <c r="A913" s="12" t="s">
        <v>2229</v>
      </c>
      <c r="B913" s="12" t="s">
        <v>157</v>
      </c>
      <c r="C913" s="15">
        <v>11778</v>
      </c>
      <c r="D913" s="13">
        <v>44</v>
      </c>
      <c r="F913" s="12" t="s">
        <v>2230</v>
      </c>
      <c r="G913" s="12" t="s">
        <v>157</v>
      </c>
      <c r="H913" s="15">
        <v>223738</v>
      </c>
      <c r="I913" s="13">
        <v>50</v>
      </c>
    </row>
    <row r="914" spans="1:9">
      <c r="A914" s="12" t="s">
        <v>2231</v>
      </c>
      <c r="B914" s="12" t="s">
        <v>157</v>
      </c>
      <c r="C914" s="15">
        <v>18777</v>
      </c>
      <c r="D914" s="13">
        <v>44</v>
      </c>
      <c r="F914" s="12" t="s">
        <v>2232</v>
      </c>
      <c r="G914" s="12" t="s">
        <v>159</v>
      </c>
      <c r="H914" s="15">
        <v>10500</v>
      </c>
      <c r="I914" s="13">
        <v>50</v>
      </c>
    </row>
    <row r="915" spans="1:9">
      <c r="A915" s="12" t="s">
        <v>2233</v>
      </c>
      <c r="B915" s="12" t="s">
        <v>157</v>
      </c>
      <c r="C915" s="15">
        <v>25333</v>
      </c>
      <c r="D915" s="13">
        <v>44</v>
      </c>
      <c r="F915" s="12" t="s">
        <v>2234</v>
      </c>
      <c r="G915" s="12" t="s">
        <v>159</v>
      </c>
      <c r="H915" s="15">
        <v>24700</v>
      </c>
      <c r="I915" s="13">
        <v>50</v>
      </c>
    </row>
    <row r="916" spans="1:9">
      <c r="A916" s="12" t="s">
        <v>2235</v>
      </c>
      <c r="B916" s="12" t="s">
        <v>157</v>
      </c>
      <c r="C916" s="15">
        <v>11436</v>
      </c>
      <c r="D916" s="13">
        <v>44</v>
      </c>
      <c r="F916" s="12" t="s">
        <v>2236</v>
      </c>
      <c r="G916" s="12" t="s">
        <v>157</v>
      </c>
      <c r="H916" s="15">
        <v>20492</v>
      </c>
      <c r="I916" s="13">
        <v>50</v>
      </c>
    </row>
    <row r="917" spans="1:9">
      <c r="A917" s="12" t="s">
        <v>2237</v>
      </c>
      <c r="B917" s="12" t="s">
        <v>157</v>
      </c>
      <c r="C917" s="15">
        <v>16540</v>
      </c>
      <c r="D917" s="13">
        <v>44</v>
      </c>
      <c r="F917" s="12" t="s">
        <v>866</v>
      </c>
      <c r="G917" s="12" t="s">
        <v>157</v>
      </c>
      <c r="H917" s="15">
        <v>13934</v>
      </c>
      <c r="I917" s="13">
        <v>50</v>
      </c>
    </row>
    <row r="918" spans="1:9">
      <c r="A918" s="12" t="s">
        <v>2238</v>
      </c>
      <c r="B918" s="12" t="s">
        <v>157</v>
      </c>
      <c r="C918" s="15">
        <v>24146</v>
      </c>
      <c r="D918" s="13">
        <v>44</v>
      </c>
      <c r="F918" s="12" t="s">
        <v>868</v>
      </c>
      <c r="G918" s="12" t="s">
        <v>157</v>
      </c>
      <c r="H918" s="15">
        <v>47592</v>
      </c>
      <c r="I918" s="13">
        <v>50</v>
      </c>
    </row>
    <row r="919" spans="1:9">
      <c r="A919" s="12" t="s">
        <v>2239</v>
      </c>
      <c r="B919" s="12" t="s">
        <v>157</v>
      </c>
      <c r="C919" s="15">
        <v>20780</v>
      </c>
      <c r="D919" s="13">
        <v>44</v>
      </c>
      <c r="F919" s="12" t="s">
        <v>2240</v>
      </c>
      <c r="G919" s="12" t="s">
        <v>159</v>
      </c>
      <c r="H919" s="15">
        <v>36100</v>
      </c>
      <c r="I919" s="13">
        <v>50</v>
      </c>
    </row>
    <row r="920" spans="1:9">
      <c r="A920" s="12" t="s">
        <v>2241</v>
      </c>
      <c r="B920" s="12" t="s">
        <v>157</v>
      </c>
      <c r="C920" s="15">
        <v>11217</v>
      </c>
      <c r="D920" s="13">
        <v>44</v>
      </c>
      <c r="F920" s="12" t="s">
        <v>2242</v>
      </c>
      <c r="G920" s="12" t="s">
        <v>159</v>
      </c>
      <c r="H920" s="15">
        <v>12100</v>
      </c>
      <c r="I920" s="13">
        <v>50</v>
      </c>
    </row>
    <row r="921" spans="1:9">
      <c r="A921" s="12" t="s">
        <v>2243</v>
      </c>
      <c r="B921" s="12" t="s">
        <v>157</v>
      </c>
      <c r="C921" s="15">
        <v>20338</v>
      </c>
      <c r="D921" s="13">
        <v>44</v>
      </c>
      <c r="F921" s="12" t="s">
        <v>2244</v>
      </c>
      <c r="G921" s="12" t="s">
        <v>157</v>
      </c>
      <c r="H921" s="15">
        <v>11981</v>
      </c>
      <c r="I921" s="13">
        <v>50</v>
      </c>
    </row>
    <row r="922" spans="1:9">
      <c r="A922" s="12" t="s">
        <v>2245</v>
      </c>
      <c r="B922" s="12" t="s">
        <v>157</v>
      </c>
      <c r="C922" s="15">
        <v>10882</v>
      </c>
      <c r="D922" s="13">
        <v>44</v>
      </c>
      <c r="F922" s="12" t="s">
        <v>2246</v>
      </c>
      <c r="G922" s="12" t="s">
        <v>159</v>
      </c>
      <c r="H922" s="15">
        <v>96900</v>
      </c>
      <c r="I922" s="13">
        <v>50</v>
      </c>
    </row>
    <row r="923" spans="1:9">
      <c r="A923" s="12" t="s">
        <v>2247</v>
      </c>
      <c r="B923" s="12" t="s">
        <v>157</v>
      </c>
      <c r="C923" s="15">
        <v>12734</v>
      </c>
      <c r="D923" s="13">
        <v>44</v>
      </c>
      <c r="F923" s="12" t="s">
        <v>2248</v>
      </c>
      <c r="G923" s="12" t="s">
        <v>159</v>
      </c>
      <c r="H923" s="15">
        <v>30350</v>
      </c>
      <c r="I923" s="13">
        <v>50</v>
      </c>
    </row>
    <row r="924" spans="1:9">
      <c r="A924" s="12" t="s">
        <v>2249</v>
      </c>
      <c r="B924" s="12" t="s">
        <v>157</v>
      </c>
      <c r="C924" s="15">
        <v>10746</v>
      </c>
      <c r="D924" s="13">
        <v>44</v>
      </c>
      <c r="F924" s="12" t="s">
        <v>2250</v>
      </c>
      <c r="G924" s="12" t="s">
        <v>159</v>
      </c>
      <c r="H924" s="15">
        <v>302500</v>
      </c>
      <c r="I924" s="13">
        <v>50</v>
      </c>
    </row>
    <row r="925" spans="1:9">
      <c r="A925" s="12" t="s">
        <v>2251</v>
      </c>
      <c r="B925" s="12" t="s">
        <v>157</v>
      </c>
      <c r="C925" s="15">
        <v>20549</v>
      </c>
      <c r="D925" s="13">
        <v>44</v>
      </c>
      <c r="F925" s="12" t="s">
        <v>2252</v>
      </c>
      <c r="G925" s="12" t="s">
        <v>159</v>
      </c>
      <c r="H925" s="15">
        <v>76500</v>
      </c>
      <c r="I925" s="13">
        <v>50</v>
      </c>
    </row>
    <row r="926" spans="1:9">
      <c r="A926" s="12" t="s">
        <v>2253</v>
      </c>
      <c r="B926" s="12" t="s">
        <v>157</v>
      </c>
      <c r="C926" s="15">
        <v>23159</v>
      </c>
      <c r="D926" s="13">
        <v>44</v>
      </c>
      <c r="F926" s="12" t="s">
        <v>2254</v>
      </c>
      <c r="G926" s="12" t="s">
        <v>157</v>
      </c>
      <c r="H926" s="15">
        <v>15523</v>
      </c>
      <c r="I926" s="13">
        <v>50</v>
      </c>
    </row>
    <row r="927" spans="1:9">
      <c r="A927" s="12" t="s">
        <v>2255</v>
      </c>
      <c r="B927" s="12" t="s">
        <v>157</v>
      </c>
      <c r="C927" s="15">
        <v>20229</v>
      </c>
      <c r="D927" s="13">
        <v>44</v>
      </c>
      <c r="F927" s="12" t="s">
        <v>871</v>
      </c>
      <c r="G927" s="12" t="s">
        <v>157</v>
      </c>
      <c r="H927" s="15">
        <v>35329</v>
      </c>
      <c r="I927" s="13">
        <v>50</v>
      </c>
    </row>
    <row r="928" spans="1:9">
      <c r="A928" s="12" t="s">
        <v>2256</v>
      </c>
      <c r="B928" s="12" t="s">
        <v>157</v>
      </c>
      <c r="C928" s="15">
        <v>12049</v>
      </c>
      <c r="D928" s="13">
        <v>44</v>
      </c>
      <c r="F928" s="12" t="s">
        <v>873</v>
      </c>
      <c r="G928" s="12" t="s">
        <v>157</v>
      </c>
      <c r="H928" s="15">
        <v>21019</v>
      </c>
      <c r="I928" s="13">
        <v>50</v>
      </c>
    </row>
    <row r="929" spans="1:9">
      <c r="A929" s="12" t="s">
        <v>2257</v>
      </c>
      <c r="B929" s="12" t="s">
        <v>157</v>
      </c>
      <c r="C929" s="15">
        <v>11967</v>
      </c>
      <c r="D929" s="13">
        <v>44</v>
      </c>
      <c r="F929" s="12" t="s">
        <v>2258</v>
      </c>
      <c r="G929" s="12" t="s">
        <v>159</v>
      </c>
      <c r="H929" s="15">
        <v>50800</v>
      </c>
      <c r="I929" s="13">
        <v>50</v>
      </c>
    </row>
    <row r="930" spans="1:9">
      <c r="A930" s="12" t="s">
        <v>2259</v>
      </c>
      <c r="B930" s="12" t="s">
        <v>157</v>
      </c>
      <c r="C930" s="15">
        <v>18193</v>
      </c>
      <c r="D930" s="13">
        <v>44</v>
      </c>
      <c r="F930" s="12" t="s">
        <v>2260</v>
      </c>
      <c r="G930" s="12" t="s">
        <v>159</v>
      </c>
      <c r="H930" s="15">
        <v>70100</v>
      </c>
      <c r="I930" s="13">
        <v>50</v>
      </c>
    </row>
    <row r="931" spans="1:9">
      <c r="A931" s="12" t="s">
        <v>2261</v>
      </c>
      <c r="B931" s="12" t="s">
        <v>157</v>
      </c>
      <c r="C931" s="15">
        <v>11292</v>
      </c>
      <c r="D931" s="13">
        <v>44</v>
      </c>
      <c r="F931" s="12" t="s">
        <v>2262</v>
      </c>
      <c r="G931" s="12" t="s">
        <v>159</v>
      </c>
      <c r="H931" s="15">
        <v>10100</v>
      </c>
      <c r="I931" s="13">
        <v>50</v>
      </c>
    </row>
    <row r="932" spans="1:9">
      <c r="A932" s="12" t="s">
        <v>2263</v>
      </c>
      <c r="B932" s="12" t="s">
        <v>157</v>
      </c>
      <c r="C932" s="15">
        <v>12489</v>
      </c>
      <c r="D932" s="13">
        <v>44</v>
      </c>
      <c r="F932" s="12" t="s">
        <v>2264</v>
      </c>
      <c r="G932" s="12" t="s">
        <v>157</v>
      </c>
      <c r="H932" s="15">
        <v>10687</v>
      </c>
      <c r="I932" s="13">
        <v>50</v>
      </c>
    </row>
    <row r="933" spans="1:9">
      <c r="A933" s="12" t="s">
        <v>2265</v>
      </c>
      <c r="B933" s="12" t="s">
        <v>157</v>
      </c>
      <c r="C933" s="15">
        <v>16940</v>
      </c>
      <c r="D933" s="13">
        <v>44</v>
      </c>
      <c r="F933" s="12" t="s">
        <v>2266</v>
      </c>
      <c r="G933" s="12" t="s">
        <v>159</v>
      </c>
      <c r="H933" s="15">
        <v>1700000</v>
      </c>
      <c r="I933" s="13">
        <v>50</v>
      </c>
    </row>
    <row r="934" spans="1:9">
      <c r="A934" s="12" t="s">
        <v>2267</v>
      </c>
      <c r="B934" s="12" t="s">
        <v>157</v>
      </c>
      <c r="C934" s="15">
        <v>12113</v>
      </c>
      <c r="D934" s="13">
        <v>44</v>
      </c>
      <c r="F934" s="12" t="s">
        <v>2268</v>
      </c>
      <c r="G934" s="12" t="s">
        <v>157</v>
      </c>
      <c r="H934" s="15">
        <v>28235</v>
      </c>
      <c r="I934" s="13">
        <v>50</v>
      </c>
    </row>
    <row r="935" spans="1:9">
      <c r="A935" s="12" t="s">
        <v>2269</v>
      </c>
      <c r="B935" s="12" t="s">
        <v>157</v>
      </c>
      <c r="C935" s="15">
        <v>20194</v>
      </c>
      <c r="D935" s="13">
        <v>44</v>
      </c>
      <c r="F935" s="12" t="s">
        <v>2270</v>
      </c>
      <c r="G935" s="12" t="s">
        <v>157</v>
      </c>
      <c r="H935" s="15">
        <v>23493</v>
      </c>
      <c r="I935" s="13">
        <v>50</v>
      </c>
    </row>
    <row r="936" spans="1:9">
      <c r="A936" s="12" t="s">
        <v>2271</v>
      </c>
      <c r="B936" s="12" t="s">
        <v>157</v>
      </c>
      <c r="C936" s="15">
        <v>10009</v>
      </c>
      <c r="D936" s="13">
        <v>44</v>
      </c>
      <c r="F936" s="12" t="s">
        <v>2272</v>
      </c>
      <c r="G936" s="12" t="s">
        <v>159</v>
      </c>
      <c r="H936" s="15">
        <v>103200</v>
      </c>
      <c r="I936" s="13">
        <v>50</v>
      </c>
    </row>
    <row r="937" spans="1:9">
      <c r="A937" s="12" t="s">
        <v>2273</v>
      </c>
      <c r="B937" s="12" t="s">
        <v>157</v>
      </c>
      <c r="C937" s="15">
        <v>27004</v>
      </c>
      <c r="D937" s="13">
        <v>44</v>
      </c>
      <c r="F937" s="12" t="s">
        <v>2274</v>
      </c>
      <c r="G937" s="12" t="s">
        <v>159</v>
      </c>
      <c r="H937" s="15">
        <v>38900</v>
      </c>
      <c r="I937" s="13">
        <v>50</v>
      </c>
    </row>
    <row r="938" spans="1:9">
      <c r="A938" s="12" t="s">
        <v>2275</v>
      </c>
      <c r="B938" s="12" t="s">
        <v>157</v>
      </c>
      <c r="C938" s="15">
        <v>17838</v>
      </c>
      <c r="D938" s="13">
        <v>44</v>
      </c>
      <c r="F938" s="12" t="s">
        <v>875</v>
      </c>
      <c r="G938" s="12" t="s">
        <v>157</v>
      </c>
      <c r="H938" s="15">
        <v>24289</v>
      </c>
      <c r="I938" s="13">
        <v>50</v>
      </c>
    </row>
    <row r="939" spans="1:9">
      <c r="A939" s="12" t="s">
        <v>2276</v>
      </c>
      <c r="B939" s="12" t="s">
        <v>157</v>
      </c>
      <c r="C939" s="15">
        <v>13603</v>
      </c>
      <c r="D939" s="13">
        <v>44</v>
      </c>
      <c r="F939" s="12" t="s">
        <v>876</v>
      </c>
      <c r="G939" s="12" t="s">
        <v>157</v>
      </c>
      <c r="H939" s="15">
        <v>14341</v>
      </c>
      <c r="I939" s="13">
        <v>50</v>
      </c>
    </row>
    <row r="940" spans="1:9">
      <c r="A940" s="12" t="s">
        <v>2277</v>
      </c>
      <c r="B940" s="12" t="s">
        <v>157</v>
      </c>
      <c r="C940" s="15">
        <v>20638</v>
      </c>
      <c r="D940" s="13">
        <v>44</v>
      </c>
      <c r="F940" s="12" t="s">
        <v>2278</v>
      </c>
      <c r="G940" s="12" t="s">
        <v>159</v>
      </c>
      <c r="H940" s="15">
        <v>333100</v>
      </c>
      <c r="I940" s="13">
        <v>50</v>
      </c>
    </row>
    <row r="941" spans="1:9">
      <c r="A941" s="12" t="s">
        <v>2279</v>
      </c>
      <c r="B941" s="12" t="s">
        <v>157</v>
      </c>
      <c r="C941" s="15">
        <v>62706</v>
      </c>
      <c r="D941" s="13">
        <v>44</v>
      </c>
      <c r="F941" s="12" t="s">
        <v>2280</v>
      </c>
      <c r="G941" s="12" t="s">
        <v>157</v>
      </c>
      <c r="H941" s="15">
        <v>20018</v>
      </c>
      <c r="I941" s="13">
        <v>50</v>
      </c>
    </row>
    <row r="942" spans="1:9">
      <c r="A942" s="12" t="s">
        <v>2281</v>
      </c>
      <c r="B942" s="12" t="s">
        <v>157</v>
      </c>
      <c r="C942" s="15">
        <v>27150</v>
      </c>
      <c r="D942" s="13">
        <v>44</v>
      </c>
      <c r="F942" s="12" t="s">
        <v>878</v>
      </c>
      <c r="G942" s="12" t="s">
        <v>157</v>
      </c>
      <c r="H942" s="15">
        <v>11667</v>
      </c>
      <c r="I942" s="13">
        <v>50</v>
      </c>
    </row>
    <row r="943" spans="1:9">
      <c r="A943" s="12" t="s">
        <v>2282</v>
      </c>
      <c r="B943" s="12" t="s">
        <v>157</v>
      </c>
      <c r="C943" s="15">
        <v>20111</v>
      </c>
      <c r="D943" s="13">
        <v>44</v>
      </c>
      <c r="F943" s="12" t="s">
        <v>2283</v>
      </c>
      <c r="G943" s="12" t="s">
        <v>159</v>
      </c>
      <c r="H943" s="15">
        <v>520500</v>
      </c>
      <c r="I943" s="13">
        <v>50</v>
      </c>
    </row>
    <row r="944" spans="1:9">
      <c r="A944" s="12" t="s">
        <v>2284</v>
      </c>
      <c r="B944" s="12" t="s">
        <v>157</v>
      </c>
      <c r="C944" s="15">
        <v>16029</v>
      </c>
      <c r="D944" s="13">
        <v>44</v>
      </c>
      <c r="F944" s="12" t="s">
        <v>2285</v>
      </c>
      <c r="G944" s="12" t="s">
        <v>159</v>
      </c>
      <c r="H944" s="15">
        <v>13600</v>
      </c>
      <c r="I944" s="13">
        <v>50</v>
      </c>
    </row>
    <row r="945" spans="1:9">
      <c r="A945" s="12" t="s">
        <v>2286</v>
      </c>
      <c r="B945" s="12" t="s">
        <v>157</v>
      </c>
      <c r="C945" s="15">
        <v>22000</v>
      </c>
      <c r="D945" s="13">
        <v>44</v>
      </c>
      <c r="F945" s="12" t="s">
        <v>2287</v>
      </c>
      <c r="G945" s="12" t="s">
        <v>159</v>
      </c>
      <c r="H945" s="15">
        <v>16000</v>
      </c>
      <c r="I945" s="13">
        <v>50</v>
      </c>
    </row>
    <row r="946" spans="1:9">
      <c r="A946" s="12" t="s">
        <v>2288</v>
      </c>
      <c r="B946" s="12" t="s">
        <v>157</v>
      </c>
      <c r="C946" s="15">
        <v>11780</v>
      </c>
      <c r="D946" s="13">
        <v>44</v>
      </c>
      <c r="F946" s="12" t="s">
        <v>2289</v>
      </c>
      <c r="G946" s="12" t="s">
        <v>159</v>
      </c>
      <c r="H946" s="15">
        <v>56100</v>
      </c>
      <c r="I946" s="13">
        <v>50</v>
      </c>
    </row>
    <row r="947" spans="1:9">
      <c r="A947" s="12" t="s">
        <v>2290</v>
      </c>
      <c r="B947" s="12" t="s">
        <v>157</v>
      </c>
      <c r="C947" s="15">
        <v>13675</v>
      </c>
      <c r="D947" s="13">
        <v>44</v>
      </c>
      <c r="F947" s="12" t="s">
        <v>2291</v>
      </c>
      <c r="G947" s="12" t="s">
        <v>157</v>
      </c>
      <c r="H947" s="15">
        <v>10082</v>
      </c>
      <c r="I947" s="13">
        <v>50</v>
      </c>
    </row>
    <row r="948" spans="1:9">
      <c r="A948" s="12" t="s">
        <v>2292</v>
      </c>
      <c r="B948" s="12" t="s">
        <v>157</v>
      </c>
      <c r="C948" s="15">
        <v>16857</v>
      </c>
      <c r="D948" s="13">
        <v>44</v>
      </c>
      <c r="F948" s="12" t="s">
        <v>880</v>
      </c>
      <c r="G948" s="12" t="s">
        <v>157</v>
      </c>
      <c r="H948" s="15">
        <v>21404</v>
      </c>
      <c r="I948" s="13">
        <v>50</v>
      </c>
    </row>
    <row r="949" spans="1:9">
      <c r="A949" s="12" t="s">
        <v>2293</v>
      </c>
      <c r="B949" s="12" t="s">
        <v>157</v>
      </c>
      <c r="C949" s="15">
        <v>14444</v>
      </c>
      <c r="D949" s="13">
        <v>44</v>
      </c>
      <c r="F949" s="12" t="s">
        <v>2294</v>
      </c>
      <c r="G949" s="12" t="s">
        <v>159</v>
      </c>
      <c r="H949" s="15">
        <v>25300</v>
      </c>
      <c r="I949" s="13">
        <v>50</v>
      </c>
    </row>
    <row r="950" spans="1:9">
      <c r="A950" s="12" t="s">
        <v>2295</v>
      </c>
      <c r="B950" s="12" t="s">
        <v>157</v>
      </c>
      <c r="C950" s="15">
        <v>19757</v>
      </c>
      <c r="D950" s="13">
        <v>44</v>
      </c>
      <c r="F950" s="12" t="s">
        <v>882</v>
      </c>
      <c r="G950" s="12" t="s">
        <v>157</v>
      </c>
      <c r="H950" s="15">
        <v>14648</v>
      </c>
      <c r="I950" s="13">
        <v>50</v>
      </c>
    </row>
    <row r="951" spans="1:9">
      <c r="A951" s="12" t="s">
        <v>2296</v>
      </c>
      <c r="B951" s="12" t="s">
        <v>157</v>
      </c>
      <c r="C951" s="15">
        <v>15929</v>
      </c>
      <c r="D951" s="13">
        <v>44</v>
      </c>
      <c r="F951" s="12" t="s">
        <v>2297</v>
      </c>
      <c r="G951" s="12" t="s">
        <v>159</v>
      </c>
      <c r="H951" s="15">
        <v>43800</v>
      </c>
      <c r="I951" s="13">
        <v>50</v>
      </c>
    </row>
    <row r="952" spans="1:9">
      <c r="A952" s="12" t="s">
        <v>2298</v>
      </c>
      <c r="B952" s="12" t="s">
        <v>157</v>
      </c>
      <c r="C952" s="15">
        <v>12051</v>
      </c>
      <c r="D952" s="13">
        <v>44</v>
      </c>
      <c r="F952" s="12" t="s">
        <v>2299</v>
      </c>
      <c r="G952" s="12" t="s">
        <v>157</v>
      </c>
      <c r="H952" s="15">
        <v>12162</v>
      </c>
      <c r="I952" s="13">
        <v>50</v>
      </c>
    </row>
    <row r="953" spans="1:9">
      <c r="A953" s="12" t="s">
        <v>2300</v>
      </c>
      <c r="B953" s="12" t="s">
        <v>157</v>
      </c>
      <c r="C953" s="15">
        <v>10458</v>
      </c>
      <c r="D953" s="13">
        <v>44</v>
      </c>
      <c r="F953" s="12" t="s">
        <v>2301</v>
      </c>
      <c r="G953" s="12" t="s">
        <v>159</v>
      </c>
      <c r="H953" s="15">
        <v>11200</v>
      </c>
      <c r="I953" s="13">
        <v>50</v>
      </c>
    </row>
    <row r="954" spans="1:9">
      <c r="A954" s="12" t="s">
        <v>2302</v>
      </c>
      <c r="B954" s="12" t="s">
        <v>157</v>
      </c>
      <c r="C954" s="15">
        <v>15323</v>
      </c>
      <c r="D954" s="13">
        <v>44</v>
      </c>
      <c r="F954" s="12" t="s">
        <v>2303</v>
      </c>
      <c r="G954" s="12" t="s">
        <v>159</v>
      </c>
      <c r="H954" s="15">
        <v>10700</v>
      </c>
      <c r="I954" s="13">
        <v>50</v>
      </c>
    </row>
    <row r="955" spans="1:9">
      <c r="A955" s="12" t="s">
        <v>2304</v>
      </c>
      <c r="B955" s="12" t="s">
        <v>157</v>
      </c>
      <c r="C955" s="15">
        <v>10083</v>
      </c>
      <c r="D955" s="13">
        <v>44</v>
      </c>
      <c r="F955" s="12" t="s">
        <v>2305</v>
      </c>
      <c r="G955" s="12" t="s">
        <v>157</v>
      </c>
      <c r="H955" s="15">
        <v>20461</v>
      </c>
      <c r="I955" s="13">
        <v>50</v>
      </c>
    </row>
    <row r="956" spans="1:9">
      <c r="A956" s="12" t="s">
        <v>2306</v>
      </c>
      <c r="B956" s="12" t="s">
        <v>157</v>
      </c>
      <c r="C956" s="15">
        <v>29121</v>
      </c>
      <c r="D956" s="13">
        <v>44</v>
      </c>
      <c r="F956" s="12" t="s">
        <v>2307</v>
      </c>
      <c r="G956" s="12" t="s">
        <v>157</v>
      </c>
      <c r="H956" s="15">
        <v>13203</v>
      </c>
      <c r="I956" s="13">
        <v>50</v>
      </c>
    </row>
    <row r="957" spans="1:9">
      <c r="A957" s="12" t="s">
        <v>2308</v>
      </c>
      <c r="B957" s="12" t="s">
        <v>157</v>
      </c>
      <c r="C957" s="15">
        <v>33673</v>
      </c>
      <c r="D957" s="13">
        <v>44</v>
      </c>
      <c r="F957" s="12" t="s">
        <v>2309</v>
      </c>
      <c r="G957" s="12" t="s">
        <v>159</v>
      </c>
      <c r="H957" s="15">
        <v>53900</v>
      </c>
      <c r="I957" s="13">
        <v>50</v>
      </c>
    </row>
    <row r="958" spans="1:9">
      <c r="A958" s="12" t="s">
        <v>2310</v>
      </c>
      <c r="B958" s="12" t="s">
        <v>157</v>
      </c>
      <c r="C958" s="15">
        <v>19348</v>
      </c>
      <c r="D958" s="13">
        <v>44</v>
      </c>
      <c r="F958" s="12" t="s">
        <v>2311</v>
      </c>
      <c r="G958" s="12" t="s">
        <v>159</v>
      </c>
      <c r="H958" s="15">
        <v>88100</v>
      </c>
      <c r="I958" s="13">
        <v>50</v>
      </c>
    </row>
    <row r="959" spans="1:9">
      <c r="A959" s="12" t="s">
        <v>2312</v>
      </c>
      <c r="B959" s="12" t="s">
        <v>157</v>
      </c>
      <c r="C959" s="15">
        <v>25166</v>
      </c>
      <c r="D959" s="13">
        <v>44</v>
      </c>
      <c r="F959" s="12" t="s">
        <v>884</v>
      </c>
      <c r="G959" s="12" t="s">
        <v>157</v>
      </c>
      <c r="H959" s="15">
        <v>24494</v>
      </c>
      <c r="I959" s="13">
        <v>50</v>
      </c>
    </row>
    <row r="960" spans="1:9">
      <c r="A960" s="12" t="s">
        <v>2313</v>
      </c>
      <c r="B960" s="12" t="s">
        <v>157</v>
      </c>
      <c r="C960" s="15">
        <v>19143</v>
      </c>
      <c r="D960" s="13">
        <v>44</v>
      </c>
      <c r="F960" s="12" t="s">
        <v>2314</v>
      </c>
      <c r="G960" s="12" t="s">
        <v>159</v>
      </c>
      <c r="H960" s="15">
        <v>76400</v>
      </c>
      <c r="I960" s="13">
        <v>50</v>
      </c>
    </row>
    <row r="961" spans="1:9">
      <c r="A961" s="12" t="s">
        <v>2315</v>
      </c>
      <c r="B961" s="12" t="s">
        <v>157</v>
      </c>
      <c r="C961" s="15">
        <v>10262</v>
      </c>
      <c r="D961" s="13">
        <v>44</v>
      </c>
      <c r="F961" s="12" t="s">
        <v>2316</v>
      </c>
      <c r="G961" s="12" t="s">
        <v>159</v>
      </c>
      <c r="H961" s="15">
        <v>43500</v>
      </c>
      <c r="I961" s="13">
        <v>50</v>
      </c>
    </row>
    <row r="962" spans="1:9">
      <c r="A962" s="12" t="s">
        <v>2317</v>
      </c>
      <c r="B962" s="12" t="s">
        <v>157</v>
      </c>
      <c r="C962" s="15">
        <v>12334</v>
      </c>
      <c r="D962" s="13">
        <v>44</v>
      </c>
      <c r="F962" s="12" t="s">
        <v>2318</v>
      </c>
      <c r="G962" s="12" t="s">
        <v>159</v>
      </c>
      <c r="H962" s="15">
        <v>18200</v>
      </c>
      <c r="I962" s="13">
        <v>50</v>
      </c>
    </row>
    <row r="963" spans="1:9">
      <c r="A963" s="12" t="s">
        <v>2319</v>
      </c>
      <c r="B963" s="12" t="s">
        <v>157</v>
      </c>
      <c r="C963" s="15">
        <v>25101</v>
      </c>
      <c r="D963" s="13">
        <v>44</v>
      </c>
      <c r="F963" s="12" t="s">
        <v>2320</v>
      </c>
      <c r="G963" s="12" t="s">
        <v>159</v>
      </c>
      <c r="H963" s="15">
        <v>1100000</v>
      </c>
      <c r="I963" s="13">
        <v>50</v>
      </c>
    </row>
    <row r="964" spans="1:9">
      <c r="A964" s="12" t="s">
        <v>2321</v>
      </c>
      <c r="B964" s="12" t="s">
        <v>157</v>
      </c>
      <c r="C964" s="15">
        <v>10419</v>
      </c>
      <c r="D964" s="13">
        <v>44</v>
      </c>
      <c r="F964" s="12" t="s">
        <v>2322</v>
      </c>
      <c r="G964" s="12" t="s">
        <v>159</v>
      </c>
      <c r="H964" s="15">
        <v>17900</v>
      </c>
      <c r="I964" s="13">
        <v>50</v>
      </c>
    </row>
    <row r="965" spans="1:9">
      <c r="A965" s="12" t="s">
        <v>2323</v>
      </c>
      <c r="B965" s="12" t="s">
        <v>157</v>
      </c>
      <c r="C965" s="15">
        <v>12558</v>
      </c>
      <c r="D965" s="13">
        <v>44</v>
      </c>
      <c r="F965" s="12" t="s">
        <v>887</v>
      </c>
      <c r="G965" s="12" t="s">
        <v>157</v>
      </c>
      <c r="H965" s="15">
        <v>12282</v>
      </c>
      <c r="I965" s="13">
        <v>50</v>
      </c>
    </row>
    <row r="966" spans="1:9">
      <c r="A966" s="12" t="s">
        <v>2324</v>
      </c>
      <c r="B966" s="12" t="s">
        <v>157</v>
      </c>
      <c r="C966" s="15">
        <v>20219</v>
      </c>
      <c r="D966" s="13">
        <v>44</v>
      </c>
      <c r="F966" s="12" t="s">
        <v>2325</v>
      </c>
      <c r="G966" s="12" t="s">
        <v>159</v>
      </c>
      <c r="H966" s="15">
        <v>18500</v>
      </c>
      <c r="I966" s="13">
        <v>50</v>
      </c>
    </row>
    <row r="967" spans="1:9">
      <c r="A967" s="12" t="s">
        <v>2326</v>
      </c>
      <c r="B967" s="12" t="s">
        <v>157</v>
      </c>
      <c r="C967" s="15">
        <v>16009</v>
      </c>
      <c r="D967" s="13">
        <v>44</v>
      </c>
      <c r="F967" s="12" t="s">
        <v>2327</v>
      </c>
      <c r="G967" s="12" t="s">
        <v>157</v>
      </c>
      <c r="H967" s="15">
        <v>10492</v>
      </c>
      <c r="I967" s="13">
        <v>50</v>
      </c>
    </row>
    <row r="968" spans="1:9">
      <c r="A968" s="12" t="s">
        <v>2328</v>
      </c>
      <c r="B968" s="12" t="s">
        <v>157</v>
      </c>
      <c r="C968" s="15">
        <v>10050</v>
      </c>
      <c r="D968" s="13">
        <v>44</v>
      </c>
      <c r="F968" s="12" t="s">
        <v>2329</v>
      </c>
      <c r="G968" s="12" t="s">
        <v>159</v>
      </c>
      <c r="H968" s="15">
        <v>18100</v>
      </c>
      <c r="I968" s="13">
        <v>50</v>
      </c>
    </row>
    <row r="969" spans="1:9">
      <c r="A969" s="12" t="s">
        <v>2330</v>
      </c>
      <c r="B969" s="12" t="s">
        <v>157</v>
      </c>
      <c r="C969" s="15">
        <v>12010</v>
      </c>
      <c r="D969" s="13">
        <v>44</v>
      </c>
      <c r="F969" s="12" t="s">
        <v>890</v>
      </c>
      <c r="G969" s="12" t="s">
        <v>157</v>
      </c>
      <c r="H969" s="15">
        <v>10351</v>
      </c>
      <c r="I969" s="13">
        <v>50</v>
      </c>
    </row>
    <row r="970" spans="1:9">
      <c r="A970" s="12" t="s">
        <v>2331</v>
      </c>
      <c r="B970" s="12" t="s">
        <v>157</v>
      </c>
      <c r="C970" s="15">
        <v>12097</v>
      </c>
      <c r="D970" s="13">
        <v>44</v>
      </c>
      <c r="F970" s="12" t="s">
        <v>2332</v>
      </c>
      <c r="G970" s="12" t="s">
        <v>159</v>
      </c>
      <c r="H970" s="15">
        <v>449700</v>
      </c>
      <c r="I970" s="13">
        <v>50</v>
      </c>
    </row>
    <row r="971" spans="1:9">
      <c r="A971" s="12" t="s">
        <v>2333</v>
      </c>
      <c r="B971" s="12" t="s">
        <v>157</v>
      </c>
      <c r="C971" s="15">
        <v>11396</v>
      </c>
      <c r="D971" s="13">
        <v>44</v>
      </c>
      <c r="F971" s="12" t="s">
        <v>2334</v>
      </c>
      <c r="G971" s="12" t="s">
        <v>157</v>
      </c>
      <c r="H971" s="15">
        <v>12772</v>
      </c>
      <c r="I971" s="13">
        <v>50</v>
      </c>
    </row>
    <row r="972" spans="1:9">
      <c r="A972" s="12" t="s">
        <v>2335</v>
      </c>
      <c r="B972" s="12" t="s">
        <v>157</v>
      </c>
      <c r="C972" s="15">
        <v>18923</v>
      </c>
      <c r="D972" s="13">
        <v>44</v>
      </c>
      <c r="F972" s="12" t="s">
        <v>2336</v>
      </c>
      <c r="G972" s="12" t="s">
        <v>157</v>
      </c>
      <c r="H972" s="15">
        <v>13425</v>
      </c>
      <c r="I972" s="13">
        <v>50</v>
      </c>
    </row>
    <row r="973" spans="1:9">
      <c r="A973" s="12" t="s">
        <v>2337</v>
      </c>
      <c r="B973" s="12" t="s">
        <v>157</v>
      </c>
      <c r="C973" s="15">
        <v>11977</v>
      </c>
      <c r="D973" s="13">
        <v>44</v>
      </c>
      <c r="F973" s="12" t="s">
        <v>2338</v>
      </c>
      <c r="G973" s="12" t="s">
        <v>159</v>
      </c>
      <c r="H973" s="15">
        <v>237100</v>
      </c>
      <c r="I973" s="13">
        <v>50</v>
      </c>
    </row>
    <row r="974" spans="1:9">
      <c r="A974" s="12" t="s">
        <v>2339</v>
      </c>
      <c r="B974" s="12" t="s">
        <v>157</v>
      </c>
      <c r="C974" s="15">
        <v>13834</v>
      </c>
      <c r="D974" s="13">
        <v>44</v>
      </c>
      <c r="F974" s="12" t="s">
        <v>2340</v>
      </c>
      <c r="G974" s="12" t="s">
        <v>157</v>
      </c>
      <c r="H974" s="15">
        <v>17737</v>
      </c>
      <c r="I974" s="13">
        <v>50</v>
      </c>
    </row>
    <row r="975" spans="1:9">
      <c r="A975" s="12" t="s">
        <v>2341</v>
      </c>
      <c r="B975" s="12" t="s">
        <v>157</v>
      </c>
      <c r="C975" s="15">
        <v>10686</v>
      </c>
      <c r="D975" s="13">
        <v>44</v>
      </c>
      <c r="F975" s="12" t="s">
        <v>2342</v>
      </c>
      <c r="G975" s="12" t="s">
        <v>159</v>
      </c>
      <c r="H975" s="15">
        <v>45600</v>
      </c>
      <c r="I975" s="13">
        <v>50</v>
      </c>
    </row>
    <row r="976" spans="1:9">
      <c r="A976" s="12" t="s">
        <v>2343</v>
      </c>
      <c r="B976" s="12" t="s">
        <v>157</v>
      </c>
      <c r="C976" s="15">
        <v>99412</v>
      </c>
      <c r="D976" s="13">
        <v>44</v>
      </c>
      <c r="F976" s="12" t="s">
        <v>891</v>
      </c>
      <c r="G976" s="12" t="s">
        <v>157</v>
      </c>
      <c r="H976" s="15">
        <v>11406</v>
      </c>
      <c r="I976" s="13">
        <v>50</v>
      </c>
    </row>
    <row r="977" spans="1:9">
      <c r="A977" s="12" t="s">
        <v>2344</v>
      </c>
      <c r="B977" s="12" t="s">
        <v>157</v>
      </c>
      <c r="C977" s="15">
        <v>28179</v>
      </c>
      <c r="D977" s="13">
        <v>44</v>
      </c>
      <c r="F977" s="12" t="s">
        <v>2345</v>
      </c>
      <c r="G977" s="12" t="s">
        <v>159</v>
      </c>
      <c r="H977" s="15">
        <v>22000</v>
      </c>
      <c r="I977" s="13">
        <v>50</v>
      </c>
    </row>
    <row r="978" spans="1:9">
      <c r="A978" s="12" t="s">
        <v>2346</v>
      </c>
      <c r="B978" s="12" t="s">
        <v>157</v>
      </c>
      <c r="C978" s="15">
        <v>24549</v>
      </c>
      <c r="D978" s="13">
        <v>44</v>
      </c>
      <c r="F978" s="12" t="s">
        <v>893</v>
      </c>
      <c r="G978" s="12" t="s">
        <v>157</v>
      </c>
      <c r="H978" s="15">
        <v>10367</v>
      </c>
      <c r="I978" s="13">
        <v>50</v>
      </c>
    </row>
    <row r="979" spans="1:9">
      <c r="A979" s="12" t="s">
        <v>2347</v>
      </c>
      <c r="B979" s="12" t="s">
        <v>157</v>
      </c>
      <c r="C979" s="15">
        <v>20538</v>
      </c>
      <c r="D979" s="13">
        <v>44</v>
      </c>
      <c r="F979" s="12" t="s">
        <v>2348</v>
      </c>
      <c r="G979" s="12" t="s">
        <v>159</v>
      </c>
      <c r="H979" s="15">
        <v>40700</v>
      </c>
      <c r="I979" s="13">
        <v>50</v>
      </c>
    </row>
    <row r="980" spans="1:9">
      <c r="A980" s="12" t="s">
        <v>2349</v>
      </c>
      <c r="B980" s="12" t="s">
        <v>157</v>
      </c>
      <c r="C980" s="15">
        <v>12558</v>
      </c>
      <c r="D980" s="13">
        <v>44</v>
      </c>
      <c r="F980" s="12" t="s">
        <v>2350</v>
      </c>
      <c r="G980" s="12" t="s">
        <v>157</v>
      </c>
      <c r="H980" s="15">
        <v>10363</v>
      </c>
      <c r="I980" s="13">
        <v>50</v>
      </c>
    </row>
    <row r="981" spans="1:9">
      <c r="A981" s="12" t="s">
        <v>2351</v>
      </c>
      <c r="B981" s="12" t="s">
        <v>157</v>
      </c>
      <c r="C981" s="15">
        <v>29041</v>
      </c>
      <c r="D981" s="13">
        <v>44</v>
      </c>
      <c r="F981" s="12" t="s">
        <v>2352</v>
      </c>
      <c r="G981" s="12" t="s">
        <v>159</v>
      </c>
      <c r="H981" s="15">
        <v>102800</v>
      </c>
      <c r="I981" s="13">
        <v>50</v>
      </c>
    </row>
    <row r="982" spans="1:9">
      <c r="A982" s="12" t="s">
        <v>2353</v>
      </c>
      <c r="B982" s="12" t="s">
        <v>157</v>
      </c>
      <c r="C982" s="15">
        <v>11816</v>
      </c>
      <c r="D982" s="13">
        <v>44</v>
      </c>
      <c r="F982" s="12" t="s">
        <v>2354</v>
      </c>
      <c r="G982" s="12" t="s">
        <v>159</v>
      </c>
      <c r="H982" s="15">
        <v>65700</v>
      </c>
      <c r="I982" s="13">
        <v>50</v>
      </c>
    </row>
    <row r="983" spans="1:9">
      <c r="A983" s="12" t="s">
        <v>2355</v>
      </c>
      <c r="B983" s="12" t="s">
        <v>157</v>
      </c>
      <c r="C983" s="15">
        <v>29406</v>
      </c>
      <c r="D983" s="13">
        <v>44</v>
      </c>
      <c r="F983" s="12" t="s">
        <v>2356</v>
      </c>
      <c r="G983" s="12" t="s">
        <v>159</v>
      </c>
      <c r="H983" s="15">
        <v>134000</v>
      </c>
      <c r="I983" s="13">
        <v>50</v>
      </c>
    </row>
    <row r="984" spans="1:9">
      <c r="A984" s="12" t="s">
        <v>2357</v>
      </c>
      <c r="B984" s="12" t="s">
        <v>157</v>
      </c>
      <c r="C984" s="15">
        <v>11693</v>
      </c>
      <c r="D984" s="13">
        <v>44</v>
      </c>
      <c r="F984" s="12" t="s">
        <v>2358</v>
      </c>
      <c r="G984" s="12" t="s">
        <v>159</v>
      </c>
      <c r="H984" s="15">
        <v>12100</v>
      </c>
      <c r="I984" s="13">
        <v>50</v>
      </c>
    </row>
    <row r="985" spans="1:9">
      <c r="A985" s="12" t="s">
        <v>2359</v>
      </c>
      <c r="B985" s="12" t="s">
        <v>157</v>
      </c>
      <c r="C985" s="15">
        <v>67761</v>
      </c>
      <c r="D985" s="13">
        <v>44</v>
      </c>
      <c r="F985" s="12" t="s">
        <v>2360</v>
      </c>
      <c r="G985" s="12" t="s">
        <v>159</v>
      </c>
      <c r="H985" s="15">
        <v>1200000</v>
      </c>
      <c r="I985" s="13">
        <v>50</v>
      </c>
    </row>
    <row r="986" spans="1:9">
      <c r="A986" s="12" t="s">
        <v>2361</v>
      </c>
      <c r="B986" s="12" t="s">
        <v>157</v>
      </c>
      <c r="C986" s="15">
        <v>44957</v>
      </c>
      <c r="D986" s="13">
        <v>44</v>
      </c>
      <c r="F986" s="12" t="s">
        <v>896</v>
      </c>
      <c r="G986" s="12" t="s">
        <v>157</v>
      </c>
      <c r="H986" s="15">
        <v>32717</v>
      </c>
      <c r="I986" s="13">
        <v>50</v>
      </c>
    </row>
    <row r="987" spans="1:9">
      <c r="A987" s="12" t="s">
        <v>2362</v>
      </c>
      <c r="B987" s="12" t="s">
        <v>157</v>
      </c>
      <c r="C987" s="15">
        <v>12606</v>
      </c>
      <c r="D987" s="13">
        <v>44</v>
      </c>
      <c r="F987" s="12" t="s">
        <v>2363</v>
      </c>
      <c r="G987" s="12" t="s">
        <v>159</v>
      </c>
      <c r="H987" s="15">
        <v>59200</v>
      </c>
      <c r="I987" s="13">
        <v>50</v>
      </c>
    </row>
    <row r="988" spans="1:9">
      <c r="A988" s="12" t="s">
        <v>2364</v>
      </c>
      <c r="B988" s="12" t="s">
        <v>157</v>
      </c>
      <c r="C988" s="15">
        <v>21969</v>
      </c>
      <c r="D988" s="13">
        <v>44</v>
      </c>
      <c r="F988" s="12" t="s">
        <v>898</v>
      </c>
      <c r="G988" s="12" t="s">
        <v>157</v>
      </c>
      <c r="H988" s="15">
        <v>19370</v>
      </c>
      <c r="I988" s="13">
        <v>50</v>
      </c>
    </row>
    <row r="989" spans="1:9">
      <c r="A989" s="12" t="s">
        <v>2365</v>
      </c>
      <c r="B989" s="12" t="s">
        <v>157</v>
      </c>
      <c r="C989" s="15">
        <v>14711</v>
      </c>
      <c r="D989" s="13">
        <v>44</v>
      </c>
      <c r="F989" s="12" t="s">
        <v>900</v>
      </c>
      <c r="G989" s="12" t="s">
        <v>157</v>
      </c>
      <c r="H989" s="15">
        <v>11360</v>
      </c>
      <c r="I989" s="13">
        <v>50</v>
      </c>
    </row>
    <row r="990" spans="1:9">
      <c r="A990" s="12" t="s">
        <v>2366</v>
      </c>
      <c r="B990" s="12" t="s">
        <v>157</v>
      </c>
      <c r="C990" s="15">
        <v>11159</v>
      </c>
      <c r="D990" s="13">
        <v>44</v>
      </c>
      <c r="F990" s="12" t="s">
        <v>2367</v>
      </c>
      <c r="G990" s="12" t="s">
        <v>159</v>
      </c>
      <c r="H990" s="15">
        <v>18500</v>
      </c>
      <c r="I990" s="13">
        <v>50</v>
      </c>
    </row>
    <row r="991" spans="1:9">
      <c r="A991" s="12" t="s">
        <v>2368</v>
      </c>
      <c r="B991" s="12" t="s">
        <v>157</v>
      </c>
      <c r="C991" s="15">
        <v>11098</v>
      </c>
      <c r="D991" s="13">
        <v>44</v>
      </c>
      <c r="F991" s="12" t="s">
        <v>902</v>
      </c>
      <c r="G991" s="12" t="s">
        <v>157</v>
      </c>
      <c r="H991" s="15">
        <v>16301</v>
      </c>
      <c r="I991" s="13">
        <v>50</v>
      </c>
    </row>
    <row r="992" spans="1:9">
      <c r="A992" s="12" t="s">
        <v>2369</v>
      </c>
      <c r="B992" s="12" t="s">
        <v>157</v>
      </c>
      <c r="C992" s="15">
        <v>27676</v>
      </c>
      <c r="D992" s="13">
        <v>44</v>
      </c>
      <c r="F992" s="12" t="s">
        <v>2370</v>
      </c>
      <c r="G992" s="12" t="s">
        <v>159</v>
      </c>
      <c r="H992" s="15">
        <v>440100</v>
      </c>
      <c r="I992" s="13">
        <v>50</v>
      </c>
    </row>
    <row r="993" spans="1:9">
      <c r="A993" s="12" t="s">
        <v>2371</v>
      </c>
      <c r="B993" s="12" t="s">
        <v>157</v>
      </c>
      <c r="C993" s="15">
        <v>11739</v>
      </c>
      <c r="D993" s="13">
        <v>44</v>
      </c>
      <c r="F993" s="12" t="s">
        <v>2372</v>
      </c>
      <c r="G993" s="12" t="s">
        <v>157</v>
      </c>
      <c r="H993" s="15">
        <v>12185</v>
      </c>
      <c r="I993" s="13">
        <v>50</v>
      </c>
    </row>
    <row r="994" spans="1:9">
      <c r="A994" s="12" t="s">
        <v>2373</v>
      </c>
      <c r="B994" s="12" t="s">
        <v>157</v>
      </c>
      <c r="C994" s="15">
        <v>18177</v>
      </c>
      <c r="D994" s="13">
        <v>44</v>
      </c>
      <c r="F994" s="12" t="s">
        <v>2374</v>
      </c>
      <c r="G994" s="12" t="s">
        <v>159</v>
      </c>
      <c r="H994" s="15">
        <v>14500</v>
      </c>
      <c r="I994" s="13">
        <v>50</v>
      </c>
    </row>
    <row r="995" spans="1:9">
      <c r="A995" s="12" t="s">
        <v>2375</v>
      </c>
      <c r="B995" s="12" t="s">
        <v>157</v>
      </c>
      <c r="C995" s="15">
        <v>27403</v>
      </c>
      <c r="D995" s="13">
        <v>44</v>
      </c>
      <c r="F995" s="12" t="s">
        <v>2376</v>
      </c>
      <c r="G995" s="12" t="s">
        <v>157</v>
      </c>
      <c r="H995" s="15">
        <v>11082</v>
      </c>
      <c r="I995" s="13">
        <v>50</v>
      </c>
    </row>
    <row r="996" spans="1:9">
      <c r="A996" s="12" t="s">
        <v>2377</v>
      </c>
      <c r="B996" s="12" t="s">
        <v>157</v>
      </c>
      <c r="C996" s="15">
        <v>34043</v>
      </c>
      <c r="D996" s="13">
        <v>43</v>
      </c>
      <c r="F996" s="12" t="s">
        <v>2378</v>
      </c>
      <c r="G996" s="12" t="s">
        <v>157</v>
      </c>
      <c r="H996" s="15">
        <v>21906</v>
      </c>
      <c r="I996" s="13">
        <v>50</v>
      </c>
    </row>
    <row r="997" spans="1:9">
      <c r="A997" s="12" t="s">
        <v>2379</v>
      </c>
      <c r="B997" s="12" t="s">
        <v>157</v>
      </c>
      <c r="C997" s="15">
        <v>14193</v>
      </c>
      <c r="D997" s="13">
        <v>43</v>
      </c>
      <c r="F997" s="12" t="s">
        <v>2380</v>
      </c>
      <c r="G997" s="12" t="s">
        <v>157</v>
      </c>
      <c r="H997" s="15">
        <v>12210</v>
      </c>
      <c r="I997" s="13">
        <v>50</v>
      </c>
    </row>
    <row r="998" spans="1:9">
      <c r="A998" s="12" t="s">
        <v>204</v>
      </c>
      <c r="B998" s="12" t="s">
        <v>157</v>
      </c>
      <c r="C998" s="15">
        <v>879015</v>
      </c>
      <c r="D998" s="13">
        <v>43</v>
      </c>
      <c r="F998" s="12" t="s">
        <v>2381</v>
      </c>
      <c r="G998" s="12" t="s">
        <v>157</v>
      </c>
      <c r="H998" s="15">
        <v>21626</v>
      </c>
      <c r="I998" s="13">
        <v>50</v>
      </c>
    </row>
    <row r="999" spans="1:9">
      <c r="A999" s="12" t="s">
        <v>2382</v>
      </c>
      <c r="B999" s="12" t="s">
        <v>157</v>
      </c>
      <c r="C999" s="15">
        <v>32124</v>
      </c>
      <c r="D999" s="13">
        <v>43</v>
      </c>
      <c r="F999" s="12" t="s">
        <v>904</v>
      </c>
      <c r="G999" s="12" t="s">
        <v>157</v>
      </c>
      <c r="H999" s="15">
        <v>21942</v>
      </c>
      <c r="I999" s="13">
        <v>50</v>
      </c>
    </row>
    <row r="1000" spans="1:9">
      <c r="A1000" s="12" t="s">
        <v>2383</v>
      </c>
      <c r="B1000" s="12" t="s">
        <v>157</v>
      </c>
      <c r="C1000" s="15">
        <v>10579</v>
      </c>
      <c r="D1000" s="13">
        <v>43</v>
      </c>
      <c r="F1000" s="12" t="s">
        <v>906</v>
      </c>
      <c r="G1000" s="12" t="s">
        <v>157</v>
      </c>
      <c r="H1000" s="15">
        <v>32114</v>
      </c>
      <c r="I1000" s="13">
        <v>50</v>
      </c>
    </row>
    <row r="1001" spans="1:9">
      <c r="A1001" s="12" t="s">
        <v>2384</v>
      </c>
      <c r="B1001" s="12" t="s">
        <v>157</v>
      </c>
      <c r="C1001" s="15">
        <v>29749</v>
      </c>
      <c r="D1001" s="13">
        <v>43</v>
      </c>
      <c r="F1001" s="12" t="s">
        <v>2385</v>
      </c>
      <c r="G1001" s="12" t="s">
        <v>159</v>
      </c>
      <c r="H1001" s="15">
        <v>20100</v>
      </c>
      <c r="I1001" s="13">
        <v>50</v>
      </c>
    </row>
    <row r="1002" spans="1:9">
      <c r="A1002" s="12" t="s">
        <v>2386</v>
      </c>
      <c r="B1002" s="12" t="s">
        <v>157</v>
      </c>
      <c r="C1002" s="15">
        <v>20557</v>
      </c>
      <c r="D1002" s="13">
        <v>43</v>
      </c>
      <c r="F1002" s="12" t="s">
        <v>2387</v>
      </c>
      <c r="G1002" s="12" t="s">
        <v>159</v>
      </c>
      <c r="H1002" s="15">
        <v>919330</v>
      </c>
      <c r="I1002" s="13">
        <v>50</v>
      </c>
    </row>
    <row r="1003" spans="1:9">
      <c r="A1003" s="12" t="s">
        <v>2388</v>
      </c>
      <c r="B1003" s="12" t="s">
        <v>157</v>
      </c>
      <c r="C1003" s="15">
        <v>22174</v>
      </c>
      <c r="D1003" s="13">
        <v>43</v>
      </c>
      <c r="F1003" s="12" t="s">
        <v>2389</v>
      </c>
      <c r="G1003" s="12" t="s">
        <v>157</v>
      </c>
      <c r="H1003" s="15">
        <v>12878</v>
      </c>
      <c r="I1003" s="13">
        <v>50</v>
      </c>
    </row>
    <row r="1004" spans="1:9">
      <c r="A1004" s="12" t="s">
        <v>2390</v>
      </c>
      <c r="B1004" s="12" t="s">
        <v>157</v>
      </c>
      <c r="C1004" s="15">
        <v>57592</v>
      </c>
      <c r="D1004" s="13">
        <v>43</v>
      </c>
      <c r="F1004" s="12" t="s">
        <v>2391</v>
      </c>
      <c r="G1004" s="12" t="s">
        <v>157</v>
      </c>
      <c r="H1004" s="15">
        <v>25336</v>
      </c>
      <c r="I1004" s="13">
        <v>50</v>
      </c>
    </row>
    <row r="1005" spans="1:9">
      <c r="A1005" s="12" t="s">
        <v>2392</v>
      </c>
      <c r="B1005" s="12" t="s">
        <v>157</v>
      </c>
      <c r="C1005" s="15">
        <v>37032</v>
      </c>
      <c r="D1005" s="13">
        <v>43</v>
      </c>
      <c r="F1005" s="12" t="s">
        <v>2393</v>
      </c>
      <c r="G1005" s="12" t="s">
        <v>157</v>
      </c>
      <c r="H1005" s="15">
        <v>20648</v>
      </c>
      <c r="I1005" s="13">
        <v>50</v>
      </c>
    </row>
    <row r="1006" spans="1:9">
      <c r="A1006" s="12" t="s">
        <v>2394</v>
      </c>
      <c r="B1006" s="12" t="s">
        <v>157</v>
      </c>
      <c r="C1006" s="15">
        <v>17765</v>
      </c>
      <c r="D1006" s="13">
        <v>43</v>
      </c>
      <c r="F1006" s="12" t="s">
        <v>908</v>
      </c>
      <c r="G1006" s="12" t="s">
        <v>157</v>
      </c>
      <c r="H1006" s="15">
        <v>19971</v>
      </c>
      <c r="I1006" s="13">
        <v>50</v>
      </c>
    </row>
    <row r="1007" spans="1:9">
      <c r="A1007" s="12" t="s">
        <v>2395</v>
      </c>
      <c r="B1007" s="12" t="s">
        <v>157</v>
      </c>
      <c r="C1007" s="15">
        <v>43795</v>
      </c>
      <c r="D1007" s="13">
        <v>43</v>
      </c>
      <c r="F1007" s="12" t="s">
        <v>2396</v>
      </c>
      <c r="G1007" s="12" t="s">
        <v>159</v>
      </c>
      <c r="H1007" s="15">
        <v>65000</v>
      </c>
      <c r="I1007" s="13">
        <v>50</v>
      </c>
    </row>
    <row r="1008" spans="1:9">
      <c r="A1008" s="12" t="s">
        <v>2397</v>
      </c>
      <c r="B1008" s="12" t="s">
        <v>157</v>
      </c>
      <c r="C1008" s="15">
        <v>11709</v>
      </c>
      <c r="D1008" s="13">
        <v>43</v>
      </c>
      <c r="F1008" s="12" t="s">
        <v>911</v>
      </c>
      <c r="G1008" s="12" t="s">
        <v>157</v>
      </c>
      <c r="H1008" s="15">
        <v>11388</v>
      </c>
      <c r="I1008" s="13">
        <v>50</v>
      </c>
    </row>
    <row r="1009" spans="1:9">
      <c r="A1009" s="12" t="s">
        <v>2398</v>
      </c>
      <c r="B1009" s="12" t="s">
        <v>157</v>
      </c>
      <c r="C1009" s="15">
        <v>87504</v>
      </c>
      <c r="D1009" s="13">
        <v>43</v>
      </c>
      <c r="F1009" s="12" t="s">
        <v>2399</v>
      </c>
      <c r="G1009" s="12" t="s">
        <v>159</v>
      </c>
      <c r="H1009" s="15">
        <v>102700</v>
      </c>
      <c r="I1009" s="13">
        <v>50</v>
      </c>
    </row>
    <row r="1010" spans="1:9">
      <c r="A1010" s="12" t="s">
        <v>2400</v>
      </c>
      <c r="B1010" s="12" t="s">
        <v>157</v>
      </c>
      <c r="C1010" s="15">
        <v>58613</v>
      </c>
      <c r="D1010" s="13">
        <v>43</v>
      </c>
      <c r="F1010" s="12" t="s">
        <v>2401</v>
      </c>
      <c r="G1010" s="12" t="s">
        <v>159</v>
      </c>
      <c r="H1010" s="15">
        <v>22000</v>
      </c>
      <c r="I1010" s="13">
        <v>50</v>
      </c>
    </row>
    <row r="1011" spans="1:9">
      <c r="A1011" s="12" t="s">
        <v>470</v>
      </c>
      <c r="B1011" s="12" t="s">
        <v>157</v>
      </c>
      <c r="C1011" s="15">
        <v>12163586</v>
      </c>
      <c r="D1011" s="13">
        <v>43</v>
      </c>
      <c r="F1011" s="12" t="s">
        <v>2402</v>
      </c>
      <c r="G1011" s="12" t="s">
        <v>159</v>
      </c>
      <c r="H1011" s="15">
        <v>105200</v>
      </c>
      <c r="I1011" s="13">
        <v>50</v>
      </c>
    </row>
    <row r="1012" spans="1:9">
      <c r="A1012" s="12" t="s">
        <v>1417</v>
      </c>
      <c r="B1012" s="12" t="s">
        <v>157</v>
      </c>
      <c r="C1012" s="15">
        <v>118979</v>
      </c>
      <c r="D1012" s="13">
        <v>43</v>
      </c>
      <c r="F1012" s="12" t="s">
        <v>2403</v>
      </c>
      <c r="G1012" s="12" t="s">
        <v>159</v>
      </c>
      <c r="H1012" s="15">
        <v>14600</v>
      </c>
      <c r="I1012" s="13">
        <v>50</v>
      </c>
    </row>
    <row r="1013" spans="1:9">
      <c r="A1013" s="12" t="s">
        <v>1420</v>
      </c>
      <c r="B1013" s="12" t="s">
        <v>157</v>
      </c>
      <c r="C1013" s="15">
        <v>105340</v>
      </c>
      <c r="D1013" s="13">
        <v>43</v>
      </c>
      <c r="F1013" s="12" t="s">
        <v>2404</v>
      </c>
      <c r="G1013" s="12" t="s">
        <v>157</v>
      </c>
      <c r="H1013" s="15">
        <v>42593</v>
      </c>
      <c r="I1013" s="13">
        <v>50</v>
      </c>
    </row>
    <row r="1014" spans="1:9">
      <c r="A1014" s="12" t="s">
        <v>2405</v>
      </c>
      <c r="B1014" s="12" t="s">
        <v>157</v>
      </c>
      <c r="C1014" s="15">
        <v>33164</v>
      </c>
      <c r="D1014" s="13">
        <v>43</v>
      </c>
      <c r="F1014" s="12" t="s">
        <v>2406</v>
      </c>
      <c r="G1014" s="12" t="s">
        <v>157</v>
      </c>
      <c r="H1014" s="15">
        <v>14277</v>
      </c>
      <c r="I1014" s="13">
        <v>50</v>
      </c>
    </row>
    <row r="1015" spans="1:9">
      <c r="A1015" s="12" t="s">
        <v>2407</v>
      </c>
      <c r="B1015" s="12" t="s">
        <v>157</v>
      </c>
      <c r="C1015" s="15">
        <v>29462</v>
      </c>
      <c r="D1015" s="13">
        <v>43</v>
      </c>
      <c r="F1015" s="12" t="s">
        <v>2408</v>
      </c>
      <c r="G1015" s="12" t="s">
        <v>159</v>
      </c>
      <c r="H1015" s="15">
        <v>131700</v>
      </c>
      <c r="I1015" s="13">
        <v>50</v>
      </c>
    </row>
    <row r="1016" spans="1:9">
      <c r="A1016" s="12" t="s">
        <v>2409</v>
      </c>
      <c r="B1016" s="12" t="s">
        <v>157</v>
      </c>
      <c r="C1016" s="15">
        <v>15515</v>
      </c>
      <c r="D1016" s="13">
        <v>43</v>
      </c>
      <c r="F1016" s="12" t="s">
        <v>2410</v>
      </c>
      <c r="G1016" s="12" t="s">
        <v>159</v>
      </c>
      <c r="H1016" s="15">
        <v>936700</v>
      </c>
      <c r="I1016" s="13">
        <v>50</v>
      </c>
    </row>
    <row r="1017" spans="1:9">
      <c r="A1017" s="12" t="s">
        <v>2411</v>
      </c>
      <c r="B1017" s="12" t="s">
        <v>157</v>
      </c>
      <c r="C1017" s="15">
        <v>12138</v>
      </c>
      <c r="D1017" s="13">
        <v>43</v>
      </c>
      <c r="F1017" s="12" t="s">
        <v>2412</v>
      </c>
      <c r="G1017" s="12" t="s">
        <v>159</v>
      </c>
      <c r="H1017" s="15">
        <v>71000</v>
      </c>
      <c r="I1017" s="13">
        <v>50</v>
      </c>
    </row>
    <row r="1018" spans="1:9">
      <c r="A1018" s="12" t="s">
        <v>2413</v>
      </c>
      <c r="B1018" s="12" t="s">
        <v>157</v>
      </c>
      <c r="C1018" s="15">
        <v>54704</v>
      </c>
      <c r="D1018" s="13">
        <v>43</v>
      </c>
      <c r="F1018" s="12" t="s">
        <v>881</v>
      </c>
      <c r="G1018" s="12" t="s">
        <v>157</v>
      </c>
      <c r="H1018" s="15">
        <v>116979</v>
      </c>
      <c r="I1018" s="13">
        <v>50</v>
      </c>
    </row>
    <row r="1019" spans="1:9">
      <c r="A1019" s="12" t="s">
        <v>2414</v>
      </c>
      <c r="B1019" s="12" t="s">
        <v>157</v>
      </c>
      <c r="C1019" s="15">
        <v>19160</v>
      </c>
      <c r="D1019" s="13">
        <v>43</v>
      </c>
      <c r="F1019" s="12" t="s">
        <v>2415</v>
      </c>
      <c r="G1019" s="12" t="s">
        <v>157</v>
      </c>
      <c r="H1019" s="15">
        <v>41639</v>
      </c>
      <c r="I1019" s="13">
        <v>50</v>
      </c>
    </row>
    <row r="1020" spans="1:9">
      <c r="A1020" s="12" t="s">
        <v>2416</v>
      </c>
      <c r="B1020" s="12" t="s">
        <v>157</v>
      </c>
      <c r="C1020" s="15">
        <v>25379</v>
      </c>
      <c r="D1020" s="13">
        <v>43</v>
      </c>
      <c r="F1020" s="12" t="s">
        <v>2417</v>
      </c>
      <c r="G1020" s="12" t="s">
        <v>159</v>
      </c>
      <c r="H1020" s="15">
        <v>12600</v>
      </c>
      <c r="I1020" s="13">
        <v>50</v>
      </c>
    </row>
    <row r="1021" spans="1:9">
      <c r="A1021" s="12" t="s">
        <v>1425</v>
      </c>
      <c r="B1021" s="12" t="s">
        <v>157</v>
      </c>
      <c r="C1021" s="15">
        <v>100458</v>
      </c>
      <c r="D1021" s="13">
        <v>43</v>
      </c>
      <c r="F1021" s="12" t="s">
        <v>2418</v>
      </c>
      <c r="G1021" s="12" t="s">
        <v>157</v>
      </c>
      <c r="H1021" s="15">
        <v>15991</v>
      </c>
      <c r="I1021" s="13">
        <v>50</v>
      </c>
    </row>
    <row r="1022" spans="1:9">
      <c r="A1022" s="12" t="s">
        <v>1829</v>
      </c>
      <c r="B1022" s="12" t="s">
        <v>157</v>
      </c>
      <c r="C1022" s="15">
        <v>122358</v>
      </c>
      <c r="D1022" s="13">
        <v>43</v>
      </c>
      <c r="F1022" s="12" t="s">
        <v>914</v>
      </c>
      <c r="G1022" s="12" t="s">
        <v>157</v>
      </c>
      <c r="H1022" s="15">
        <v>15832</v>
      </c>
      <c r="I1022" s="13">
        <v>50</v>
      </c>
    </row>
    <row r="1023" spans="1:9">
      <c r="A1023" s="12" t="s">
        <v>2419</v>
      </c>
      <c r="B1023" s="12" t="s">
        <v>157</v>
      </c>
      <c r="C1023" s="15">
        <v>12443</v>
      </c>
      <c r="D1023" s="13">
        <v>43</v>
      </c>
      <c r="F1023" s="12" t="s">
        <v>2420</v>
      </c>
      <c r="G1023" s="12" t="s">
        <v>159</v>
      </c>
      <c r="H1023" s="15">
        <v>593500</v>
      </c>
      <c r="I1023" s="13">
        <v>50</v>
      </c>
    </row>
    <row r="1024" spans="1:9">
      <c r="A1024" s="12" t="s">
        <v>2421</v>
      </c>
      <c r="B1024" s="12" t="s">
        <v>157</v>
      </c>
      <c r="C1024" s="15">
        <v>87245</v>
      </c>
      <c r="D1024" s="13">
        <v>43</v>
      </c>
      <c r="F1024" s="12" t="s">
        <v>917</v>
      </c>
      <c r="G1024" s="12" t="s">
        <v>157</v>
      </c>
      <c r="H1024" s="15">
        <v>10006</v>
      </c>
      <c r="I1024" s="13">
        <v>50</v>
      </c>
    </row>
    <row r="1025" spans="1:9">
      <c r="A1025" s="12" t="s">
        <v>1832</v>
      </c>
      <c r="B1025" s="12" t="s">
        <v>157</v>
      </c>
      <c r="C1025" s="15">
        <v>119903</v>
      </c>
      <c r="D1025" s="13">
        <v>43</v>
      </c>
      <c r="F1025" s="12" t="s">
        <v>2422</v>
      </c>
      <c r="G1025" s="12" t="s">
        <v>159</v>
      </c>
      <c r="H1025" s="15">
        <v>150400</v>
      </c>
      <c r="I1025" s="13">
        <v>50</v>
      </c>
    </row>
    <row r="1026" spans="1:9">
      <c r="A1026" s="12" t="s">
        <v>1766</v>
      </c>
      <c r="B1026" s="12" t="s">
        <v>157</v>
      </c>
      <c r="C1026" s="15">
        <v>1270890</v>
      </c>
      <c r="D1026" s="13">
        <v>43</v>
      </c>
      <c r="F1026" s="12" t="s">
        <v>919</v>
      </c>
      <c r="G1026" s="12" t="s">
        <v>157</v>
      </c>
      <c r="H1026" s="15">
        <v>26045</v>
      </c>
      <c r="I1026" s="13">
        <v>50</v>
      </c>
    </row>
    <row r="1027" spans="1:9">
      <c r="A1027" s="12" t="s">
        <v>2423</v>
      </c>
      <c r="B1027" s="12" t="s">
        <v>157</v>
      </c>
      <c r="C1027" s="15">
        <v>32198</v>
      </c>
      <c r="D1027" s="13">
        <v>43</v>
      </c>
      <c r="F1027" s="12" t="s">
        <v>2424</v>
      </c>
      <c r="G1027" s="12" t="s">
        <v>159</v>
      </c>
      <c r="H1027" s="15">
        <v>11800</v>
      </c>
      <c r="I1027" s="13">
        <v>50</v>
      </c>
    </row>
    <row r="1028" spans="1:9">
      <c r="A1028" s="12" t="s">
        <v>2425</v>
      </c>
      <c r="B1028" s="12" t="s">
        <v>157</v>
      </c>
      <c r="C1028" s="15">
        <v>30310</v>
      </c>
      <c r="D1028" s="13">
        <v>43</v>
      </c>
      <c r="F1028" s="12" t="s">
        <v>2426</v>
      </c>
      <c r="G1028" s="12" t="s">
        <v>157</v>
      </c>
      <c r="H1028" s="15">
        <v>18930</v>
      </c>
      <c r="I1028" s="13">
        <v>50</v>
      </c>
    </row>
    <row r="1029" spans="1:9">
      <c r="A1029" s="12" t="s">
        <v>407</v>
      </c>
      <c r="B1029" s="12" t="s">
        <v>157</v>
      </c>
      <c r="C1029" s="15">
        <v>290065</v>
      </c>
      <c r="D1029" s="13">
        <v>42</v>
      </c>
      <c r="F1029" s="12" t="s">
        <v>921</v>
      </c>
      <c r="G1029" s="12" t="s">
        <v>157</v>
      </c>
      <c r="H1029" s="15">
        <v>18098</v>
      </c>
      <c r="I1029" s="13">
        <v>50</v>
      </c>
    </row>
    <row r="1030" spans="1:9">
      <c r="A1030" s="12" t="s">
        <v>2427</v>
      </c>
      <c r="B1030" s="12" t="s">
        <v>157</v>
      </c>
      <c r="C1030" s="15">
        <v>30463</v>
      </c>
      <c r="D1030" s="13">
        <v>42</v>
      </c>
      <c r="F1030" s="12" t="s">
        <v>2428</v>
      </c>
      <c r="G1030" s="12" t="s">
        <v>159</v>
      </c>
      <c r="H1030" s="15">
        <v>12634</v>
      </c>
      <c r="I1030" s="13">
        <v>50</v>
      </c>
    </row>
    <row r="1031" spans="1:9">
      <c r="A1031" s="12" t="s">
        <v>2429</v>
      </c>
      <c r="B1031" s="12" t="s">
        <v>157</v>
      </c>
      <c r="C1031" s="15">
        <v>11227</v>
      </c>
      <c r="D1031" s="13">
        <v>42</v>
      </c>
      <c r="F1031" s="12" t="s">
        <v>2430</v>
      </c>
      <c r="G1031" s="12" t="s">
        <v>159</v>
      </c>
      <c r="H1031" s="15">
        <v>15300</v>
      </c>
      <c r="I1031" s="13">
        <v>50</v>
      </c>
    </row>
    <row r="1032" spans="1:9">
      <c r="A1032" s="12" t="s">
        <v>2431</v>
      </c>
      <c r="B1032" s="12" t="s">
        <v>157</v>
      </c>
      <c r="C1032" s="15">
        <v>22498</v>
      </c>
      <c r="D1032" s="13">
        <v>42</v>
      </c>
      <c r="F1032" s="12" t="s">
        <v>923</v>
      </c>
      <c r="G1032" s="12" t="s">
        <v>157</v>
      </c>
      <c r="H1032" s="15">
        <v>18075</v>
      </c>
      <c r="I1032" s="13">
        <v>50</v>
      </c>
    </row>
    <row r="1033" spans="1:9">
      <c r="A1033" s="12" t="s">
        <v>2432</v>
      </c>
      <c r="B1033" s="12" t="s">
        <v>157</v>
      </c>
      <c r="C1033" s="15">
        <v>11345</v>
      </c>
      <c r="D1033" s="13">
        <v>42</v>
      </c>
      <c r="F1033" s="12" t="s">
        <v>925</v>
      </c>
      <c r="G1033" s="12" t="s">
        <v>157</v>
      </c>
      <c r="H1033" s="15">
        <v>12218</v>
      </c>
      <c r="I1033" s="13">
        <v>50</v>
      </c>
    </row>
    <row r="1034" spans="1:9">
      <c r="A1034" s="12" t="s">
        <v>2433</v>
      </c>
      <c r="B1034" s="12" t="s">
        <v>157</v>
      </c>
      <c r="C1034" s="15">
        <v>112397</v>
      </c>
      <c r="D1034" s="13">
        <v>42</v>
      </c>
      <c r="F1034" s="12" t="s">
        <v>2434</v>
      </c>
      <c r="G1034" s="12" t="s">
        <v>159</v>
      </c>
      <c r="H1034" s="15">
        <v>10500</v>
      </c>
      <c r="I1034" s="13">
        <v>50</v>
      </c>
    </row>
    <row r="1035" spans="1:9">
      <c r="A1035" s="12" t="s">
        <v>2435</v>
      </c>
      <c r="B1035" s="12" t="s">
        <v>157</v>
      </c>
      <c r="C1035" s="15">
        <v>21807</v>
      </c>
      <c r="D1035" s="13">
        <v>42</v>
      </c>
      <c r="F1035" s="12" t="s">
        <v>2436</v>
      </c>
      <c r="G1035" s="12" t="s">
        <v>157</v>
      </c>
      <c r="H1035" s="15">
        <v>13653</v>
      </c>
      <c r="I1035" s="13">
        <v>50</v>
      </c>
    </row>
    <row r="1036" spans="1:9">
      <c r="A1036" s="12" t="s">
        <v>2437</v>
      </c>
      <c r="B1036" s="12" t="s">
        <v>157</v>
      </c>
      <c r="C1036" s="15">
        <v>20287</v>
      </c>
      <c r="D1036" s="13">
        <v>42</v>
      </c>
      <c r="F1036" s="12" t="s">
        <v>2438</v>
      </c>
      <c r="G1036" s="12" t="s">
        <v>159</v>
      </c>
      <c r="H1036" s="15">
        <v>12500</v>
      </c>
      <c r="I1036" s="13">
        <v>50</v>
      </c>
    </row>
    <row r="1037" spans="1:9">
      <c r="A1037" s="12" t="s">
        <v>2439</v>
      </c>
      <c r="B1037" s="12" t="s">
        <v>157</v>
      </c>
      <c r="C1037" s="15">
        <v>15499</v>
      </c>
      <c r="D1037" s="13">
        <v>42</v>
      </c>
      <c r="F1037" s="12" t="s">
        <v>927</v>
      </c>
      <c r="G1037" s="12" t="s">
        <v>157</v>
      </c>
      <c r="H1037" s="15">
        <v>10051</v>
      </c>
      <c r="I1037" s="13">
        <v>50</v>
      </c>
    </row>
    <row r="1038" spans="1:9">
      <c r="A1038" s="12" t="s">
        <v>2440</v>
      </c>
      <c r="B1038" s="12" t="s">
        <v>157</v>
      </c>
      <c r="C1038" s="15">
        <v>11051</v>
      </c>
      <c r="D1038" s="13">
        <v>42</v>
      </c>
      <c r="F1038" s="12" t="s">
        <v>2441</v>
      </c>
      <c r="G1038" s="12" t="s">
        <v>157</v>
      </c>
      <c r="H1038" s="15">
        <v>11400</v>
      </c>
      <c r="I1038" s="13">
        <v>50</v>
      </c>
    </row>
    <row r="1039" spans="1:9">
      <c r="A1039" s="12" t="s">
        <v>2442</v>
      </c>
      <c r="B1039" s="12" t="s">
        <v>157</v>
      </c>
      <c r="C1039" s="15">
        <v>13049</v>
      </c>
      <c r="D1039" s="13">
        <v>42</v>
      </c>
      <c r="F1039" s="12" t="s">
        <v>2443</v>
      </c>
      <c r="G1039" s="12" t="s">
        <v>157</v>
      </c>
      <c r="H1039" s="15">
        <v>10827</v>
      </c>
      <c r="I1039" s="13">
        <v>50</v>
      </c>
    </row>
    <row r="1040" spans="1:9">
      <c r="A1040" s="12" t="s">
        <v>2444</v>
      </c>
      <c r="B1040" s="12" t="s">
        <v>157</v>
      </c>
      <c r="C1040" s="15">
        <v>54235</v>
      </c>
      <c r="D1040" s="13">
        <v>42</v>
      </c>
      <c r="F1040" s="12" t="s">
        <v>2445</v>
      </c>
      <c r="G1040" s="12" t="s">
        <v>157</v>
      </c>
      <c r="H1040" s="15">
        <v>13163</v>
      </c>
      <c r="I1040" s="13">
        <v>50</v>
      </c>
    </row>
    <row r="1041" spans="1:9">
      <c r="A1041" s="12" t="s">
        <v>2446</v>
      </c>
      <c r="B1041" s="12" t="s">
        <v>157</v>
      </c>
      <c r="C1041" s="15">
        <v>10425</v>
      </c>
      <c r="D1041" s="13">
        <v>42</v>
      </c>
      <c r="F1041" s="12" t="s">
        <v>929</v>
      </c>
      <c r="G1041" s="12" t="s">
        <v>157</v>
      </c>
      <c r="H1041" s="15">
        <v>16917</v>
      </c>
      <c r="I1041" s="13">
        <v>50</v>
      </c>
    </row>
    <row r="1042" spans="1:9">
      <c r="A1042" s="12" t="s">
        <v>1745</v>
      </c>
      <c r="B1042" s="12" t="s">
        <v>157</v>
      </c>
      <c r="C1042" s="15">
        <v>5511969</v>
      </c>
      <c r="D1042" s="13">
        <v>42</v>
      </c>
      <c r="F1042" s="12" t="s">
        <v>2447</v>
      </c>
      <c r="G1042" s="12" t="s">
        <v>159</v>
      </c>
      <c r="H1042" s="15">
        <v>3100000</v>
      </c>
      <c r="I1042" s="13">
        <v>50</v>
      </c>
    </row>
    <row r="1043" spans="1:9">
      <c r="A1043" s="12" t="s">
        <v>957</v>
      </c>
      <c r="B1043" s="12" t="s">
        <v>157</v>
      </c>
      <c r="C1043" s="15">
        <v>332216</v>
      </c>
      <c r="D1043" s="13">
        <v>42</v>
      </c>
      <c r="F1043" s="12" t="s">
        <v>2448</v>
      </c>
      <c r="G1043" s="12" t="s">
        <v>159</v>
      </c>
      <c r="H1043" s="15">
        <v>35000</v>
      </c>
      <c r="I1043" s="13">
        <v>50</v>
      </c>
    </row>
    <row r="1044" spans="1:9">
      <c r="A1044" s="12" t="s">
        <v>2449</v>
      </c>
      <c r="B1044" s="12" t="s">
        <v>157</v>
      </c>
      <c r="C1044" s="15">
        <v>12317</v>
      </c>
      <c r="D1044" s="13">
        <v>42</v>
      </c>
      <c r="F1044" s="12" t="s">
        <v>2450</v>
      </c>
      <c r="G1044" s="12" t="s">
        <v>157</v>
      </c>
      <c r="H1044" s="15">
        <v>11863</v>
      </c>
      <c r="I1044" s="13">
        <v>50</v>
      </c>
    </row>
    <row r="1045" spans="1:9">
      <c r="A1045" s="12" t="s">
        <v>1287</v>
      </c>
      <c r="B1045" s="12" t="s">
        <v>157</v>
      </c>
      <c r="C1045" s="15">
        <v>106920</v>
      </c>
      <c r="D1045" s="13">
        <v>42</v>
      </c>
      <c r="F1045" s="12" t="s">
        <v>2451</v>
      </c>
      <c r="G1045" s="12" t="s">
        <v>157</v>
      </c>
      <c r="H1045" s="15">
        <v>65331</v>
      </c>
      <c r="I1045" s="13">
        <v>50</v>
      </c>
    </row>
    <row r="1046" spans="1:9">
      <c r="A1046" s="12" t="s">
        <v>2452</v>
      </c>
      <c r="B1046" s="12" t="s">
        <v>157</v>
      </c>
      <c r="C1046" s="15">
        <v>20899</v>
      </c>
      <c r="D1046" s="13">
        <v>42</v>
      </c>
      <c r="F1046" s="12" t="s">
        <v>2453</v>
      </c>
      <c r="G1046" s="12" t="s">
        <v>159</v>
      </c>
      <c r="H1046" s="15">
        <v>13000</v>
      </c>
      <c r="I1046" s="13">
        <v>50</v>
      </c>
    </row>
    <row r="1047" spans="1:9">
      <c r="A1047" s="12" t="s">
        <v>202</v>
      </c>
      <c r="B1047" s="12" t="s">
        <v>157</v>
      </c>
      <c r="C1047" s="15">
        <v>36773</v>
      </c>
      <c r="D1047" s="13">
        <v>42</v>
      </c>
      <c r="F1047" s="12" t="s">
        <v>2454</v>
      </c>
      <c r="G1047" s="12" t="s">
        <v>157</v>
      </c>
      <c r="H1047" s="15">
        <v>27567</v>
      </c>
      <c r="I1047" s="13">
        <v>50</v>
      </c>
    </row>
    <row r="1048" spans="1:9">
      <c r="A1048" s="12" t="s">
        <v>2455</v>
      </c>
      <c r="B1048" s="12" t="s">
        <v>157</v>
      </c>
      <c r="C1048" s="15">
        <v>10910</v>
      </c>
      <c r="D1048" s="13">
        <v>42</v>
      </c>
      <c r="F1048" s="12" t="s">
        <v>2456</v>
      </c>
      <c r="G1048" s="12" t="s">
        <v>157</v>
      </c>
      <c r="H1048" s="15">
        <v>34528</v>
      </c>
      <c r="I1048" s="13">
        <v>50</v>
      </c>
    </row>
    <row r="1049" spans="1:9">
      <c r="A1049" s="12" t="s">
        <v>2457</v>
      </c>
      <c r="B1049" s="12" t="s">
        <v>157</v>
      </c>
      <c r="C1049" s="15">
        <v>35322</v>
      </c>
      <c r="D1049" s="13">
        <v>42</v>
      </c>
      <c r="F1049" s="12" t="s">
        <v>2458</v>
      </c>
      <c r="G1049" s="12" t="s">
        <v>157</v>
      </c>
      <c r="H1049" s="15">
        <v>12909</v>
      </c>
      <c r="I1049" s="13">
        <v>50</v>
      </c>
    </row>
    <row r="1050" spans="1:9">
      <c r="A1050" s="12" t="s">
        <v>412</v>
      </c>
      <c r="B1050" s="12" t="s">
        <v>157</v>
      </c>
      <c r="C1050" s="15">
        <v>139014</v>
      </c>
      <c r="D1050" s="13">
        <v>42</v>
      </c>
      <c r="F1050" s="12" t="s">
        <v>931</v>
      </c>
      <c r="G1050" s="12" t="s">
        <v>157</v>
      </c>
      <c r="H1050" s="15">
        <v>27137</v>
      </c>
      <c r="I1050" s="13">
        <v>50</v>
      </c>
    </row>
    <row r="1051" spans="1:9">
      <c r="A1051" s="12" t="s">
        <v>2459</v>
      </c>
      <c r="B1051" s="12" t="s">
        <v>157</v>
      </c>
      <c r="C1051" s="15">
        <v>12596</v>
      </c>
      <c r="D1051" s="13">
        <v>42</v>
      </c>
      <c r="F1051" s="12" t="s">
        <v>933</v>
      </c>
      <c r="G1051" s="12" t="s">
        <v>157</v>
      </c>
      <c r="H1051" s="15">
        <v>10583</v>
      </c>
      <c r="I1051" s="13">
        <v>50</v>
      </c>
    </row>
    <row r="1052" spans="1:9">
      <c r="A1052" s="12" t="s">
        <v>2460</v>
      </c>
      <c r="B1052" s="12" t="s">
        <v>157</v>
      </c>
      <c r="C1052" s="15">
        <v>18036</v>
      </c>
      <c r="D1052" s="13">
        <v>42</v>
      </c>
      <c r="F1052" s="12" t="s">
        <v>2461</v>
      </c>
      <c r="G1052" s="12" t="s">
        <v>157</v>
      </c>
      <c r="H1052" s="15">
        <v>20786</v>
      </c>
      <c r="I1052" s="13">
        <v>50</v>
      </c>
    </row>
    <row r="1053" spans="1:9">
      <c r="A1053" s="12" t="s">
        <v>2462</v>
      </c>
      <c r="B1053" s="12" t="s">
        <v>157</v>
      </c>
      <c r="C1053" s="15">
        <v>16733</v>
      </c>
      <c r="D1053" s="13">
        <v>42</v>
      </c>
      <c r="F1053" s="12" t="s">
        <v>935</v>
      </c>
      <c r="G1053" s="12" t="s">
        <v>157</v>
      </c>
      <c r="H1053" s="15">
        <v>12290</v>
      </c>
      <c r="I1053" s="13">
        <v>50</v>
      </c>
    </row>
    <row r="1054" spans="1:9">
      <c r="A1054" s="12" t="s">
        <v>2463</v>
      </c>
      <c r="B1054" s="12" t="s">
        <v>157</v>
      </c>
      <c r="C1054" s="15">
        <v>58629</v>
      </c>
      <c r="D1054" s="13">
        <v>42</v>
      </c>
      <c r="F1054" s="12" t="s">
        <v>2464</v>
      </c>
      <c r="G1054" s="12" t="s">
        <v>159</v>
      </c>
      <c r="H1054" s="15">
        <v>10700</v>
      </c>
      <c r="I1054" s="13">
        <v>50</v>
      </c>
    </row>
    <row r="1055" spans="1:9">
      <c r="A1055" s="12" t="s">
        <v>2465</v>
      </c>
      <c r="B1055" s="12" t="s">
        <v>157</v>
      </c>
      <c r="C1055" s="15">
        <v>14190</v>
      </c>
      <c r="D1055" s="13">
        <v>42</v>
      </c>
      <c r="F1055" s="12" t="s">
        <v>2466</v>
      </c>
      <c r="G1055" s="12" t="s">
        <v>157</v>
      </c>
      <c r="H1055" s="15">
        <v>17919</v>
      </c>
      <c r="I1055" s="13">
        <v>50</v>
      </c>
    </row>
    <row r="1056" spans="1:9">
      <c r="A1056" s="12" t="s">
        <v>1372</v>
      </c>
      <c r="B1056" s="12" t="s">
        <v>157</v>
      </c>
      <c r="C1056" s="15">
        <v>221708</v>
      </c>
      <c r="D1056" s="13">
        <v>42</v>
      </c>
      <c r="F1056" s="12" t="s">
        <v>2467</v>
      </c>
      <c r="G1056" s="12" t="s">
        <v>159</v>
      </c>
      <c r="H1056" s="15">
        <v>12200</v>
      </c>
      <c r="I1056" s="13">
        <v>50</v>
      </c>
    </row>
    <row r="1057" spans="1:9">
      <c r="A1057" s="12" t="s">
        <v>2468</v>
      </c>
      <c r="B1057" s="12" t="s">
        <v>157</v>
      </c>
      <c r="C1057" s="15">
        <v>21219</v>
      </c>
      <c r="D1057" s="13">
        <v>42</v>
      </c>
      <c r="F1057" s="12" t="s">
        <v>2469</v>
      </c>
      <c r="G1057" s="12" t="s">
        <v>159</v>
      </c>
      <c r="H1057" s="15">
        <v>11200</v>
      </c>
      <c r="I1057" s="13">
        <v>50</v>
      </c>
    </row>
    <row r="1058" spans="1:9">
      <c r="A1058" s="12" t="s">
        <v>2470</v>
      </c>
      <c r="B1058" s="12" t="s">
        <v>157</v>
      </c>
      <c r="C1058" s="15">
        <v>77146</v>
      </c>
      <c r="D1058" s="13">
        <v>42</v>
      </c>
      <c r="F1058" s="12" t="s">
        <v>2471</v>
      </c>
      <c r="G1058" s="12" t="s">
        <v>159</v>
      </c>
      <c r="H1058" s="15">
        <v>18000</v>
      </c>
      <c r="I1058" s="13">
        <v>50</v>
      </c>
    </row>
    <row r="1059" spans="1:9">
      <c r="A1059" s="12" t="s">
        <v>2472</v>
      </c>
      <c r="B1059" s="12" t="s">
        <v>157</v>
      </c>
      <c r="C1059" s="15">
        <v>32352</v>
      </c>
      <c r="D1059" s="13">
        <v>42</v>
      </c>
      <c r="F1059" s="12" t="s">
        <v>2473</v>
      </c>
      <c r="G1059" s="12" t="s">
        <v>159</v>
      </c>
      <c r="H1059" s="15">
        <v>121200</v>
      </c>
      <c r="I1059" s="13">
        <v>50</v>
      </c>
    </row>
    <row r="1060" spans="1:9">
      <c r="A1060" s="12" t="s">
        <v>1492</v>
      </c>
      <c r="B1060" s="12" t="s">
        <v>157</v>
      </c>
      <c r="C1060" s="15">
        <v>100034</v>
      </c>
      <c r="D1060" s="13">
        <v>42</v>
      </c>
      <c r="F1060" s="12" t="s">
        <v>2474</v>
      </c>
      <c r="G1060" s="12" t="s">
        <v>159</v>
      </c>
      <c r="H1060" s="15">
        <v>18200</v>
      </c>
      <c r="I1060" s="13">
        <v>50</v>
      </c>
    </row>
    <row r="1061" spans="1:9">
      <c r="A1061" s="12" t="s">
        <v>2475</v>
      </c>
      <c r="B1061" s="12" t="s">
        <v>157</v>
      </c>
      <c r="C1061" s="15">
        <v>52863</v>
      </c>
      <c r="D1061" s="13">
        <v>41</v>
      </c>
      <c r="F1061" s="12" t="s">
        <v>2476</v>
      </c>
      <c r="G1061" s="12" t="s">
        <v>159</v>
      </c>
      <c r="H1061" s="15">
        <v>37600</v>
      </c>
      <c r="I1061" s="13">
        <v>50</v>
      </c>
    </row>
    <row r="1062" spans="1:9">
      <c r="A1062" s="12" t="s">
        <v>2477</v>
      </c>
      <c r="B1062" s="12" t="s">
        <v>157</v>
      </c>
      <c r="C1062" s="15">
        <v>47636</v>
      </c>
      <c r="D1062" s="13">
        <v>41</v>
      </c>
      <c r="F1062" s="12" t="s">
        <v>2478</v>
      </c>
      <c r="G1062" s="12" t="s">
        <v>157</v>
      </c>
      <c r="H1062" s="15">
        <v>32518</v>
      </c>
      <c r="I1062" s="13">
        <v>50</v>
      </c>
    </row>
    <row r="1063" spans="1:9">
      <c r="A1063" s="12" t="s">
        <v>1500</v>
      </c>
      <c r="B1063" s="12" t="s">
        <v>157</v>
      </c>
      <c r="C1063" s="15">
        <v>102308</v>
      </c>
      <c r="D1063" s="13">
        <v>41</v>
      </c>
      <c r="F1063" s="12" t="s">
        <v>2479</v>
      </c>
      <c r="G1063" s="12" t="s">
        <v>157</v>
      </c>
      <c r="H1063" s="15">
        <v>20451</v>
      </c>
      <c r="I1063" s="13">
        <v>50</v>
      </c>
    </row>
    <row r="1064" spans="1:9">
      <c r="A1064" s="12" t="s">
        <v>2480</v>
      </c>
      <c r="B1064" s="12" t="s">
        <v>157</v>
      </c>
      <c r="C1064" s="15">
        <v>12601</v>
      </c>
      <c r="D1064" s="13">
        <v>41</v>
      </c>
      <c r="F1064" s="12" t="s">
        <v>938</v>
      </c>
      <c r="G1064" s="12" t="s">
        <v>157</v>
      </c>
      <c r="H1064" s="15">
        <v>13111</v>
      </c>
      <c r="I1064" s="13">
        <v>50</v>
      </c>
    </row>
    <row r="1065" spans="1:9">
      <c r="A1065" s="12" t="s">
        <v>2481</v>
      </c>
      <c r="B1065" s="12" t="s">
        <v>157</v>
      </c>
      <c r="C1065" s="15">
        <v>13887</v>
      </c>
      <c r="D1065" s="13">
        <v>41</v>
      </c>
      <c r="F1065" s="12" t="s">
        <v>2482</v>
      </c>
      <c r="G1065" s="12" t="s">
        <v>159</v>
      </c>
      <c r="H1065" s="15">
        <v>98100</v>
      </c>
      <c r="I1065" s="13">
        <v>50</v>
      </c>
    </row>
    <row r="1066" spans="1:9">
      <c r="A1066" s="12" t="s">
        <v>2483</v>
      </c>
      <c r="B1066" s="12" t="s">
        <v>157</v>
      </c>
      <c r="C1066" s="15">
        <v>20424</v>
      </c>
      <c r="D1066" s="13">
        <v>41</v>
      </c>
      <c r="F1066" s="12" t="s">
        <v>2484</v>
      </c>
      <c r="G1066" s="12" t="s">
        <v>159</v>
      </c>
      <c r="H1066" s="15">
        <v>858700</v>
      </c>
      <c r="I1066" s="13">
        <v>50</v>
      </c>
    </row>
    <row r="1067" spans="1:9">
      <c r="A1067" s="12" t="s">
        <v>2485</v>
      </c>
      <c r="B1067" s="12" t="s">
        <v>157</v>
      </c>
      <c r="C1067" s="15">
        <v>57994</v>
      </c>
      <c r="D1067" s="13">
        <v>41</v>
      </c>
      <c r="F1067" s="12" t="s">
        <v>2486</v>
      </c>
      <c r="G1067" s="12" t="s">
        <v>157</v>
      </c>
      <c r="H1067" s="15">
        <v>15719</v>
      </c>
      <c r="I1067" s="13">
        <v>50</v>
      </c>
    </row>
    <row r="1068" spans="1:9">
      <c r="A1068" s="12" t="s">
        <v>2487</v>
      </c>
      <c r="B1068" s="12" t="s">
        <v>157</v>
      </c>
      <c r="C1068" s="15">
        <v>32020</v>
      </c>
      <c r="D1068" s="13">
        <v>41</v>
      </c>
      <c r="F1068" s="12" t="s">
        <v>2488</v>
      </c>
      <c r="G1068" s="12" t="s">
        <v>157</v>
      </c>
      <c r="H1068" s="15">
        <v>21715</v>
      </c>
      <c r="I1068" s="13">
        <v>50</v>
      </c>
    </row>
    <row r="1069" spans="1:9">
      <c r="A1069" s="12" t="s">
        <v>2489</v>
      </c>
      <c r="B1069" s="12" t="s">
        <v>157</v>
      </c>
      <c r="C1069" s="15">
        <v>27826</v>
      </c>
      <c r="D1069" s="13">
        <v>41</v>
      </c>
      <c r="F1069" s="12" t="s">
        <v>2490</v>
      </c>
      <c r="G1069" s="12" t="s">
        <v>159</v>
      </c>
      <c r="H1069" s="15">
        <v>130800</v>
      </c>
      <c r="I1069" s="13">
        <v>50</v>
      </c>
    </row>
    <row r="1070" spans="1:9">
      <c r="A1070" s="12" t="s">
        <v>2491</v>
      </c>
      <c r="B1070" s="12" t="s">
        <v>157</v>
      </c>
      <c r="C1070" s="15">
        <v>12918</v>
      </c>
      <c r="D1070" s="13">
        <v>41</v>
      </c>
      <c r="F1070" s="12" t="s">
        <v>940</v>
      </c>
      <c r="G1070" s="12" t="s">
        <v>157</v>
      </c>
      <c r="H1070" s="15">
        <v>31327</v>
      </c>
      <c r="I1070" s="13">
        <v>50</v>
      </c>
    </row>
    <row r="1071" spans="1:9">
      <c r="A1071" s="12" t="s">
        <v>1531</v>
      </c>
      <c r="B1071" s="12" t="s">
        <v>157</v>
      </c>
      <c r="C1071" s="15">
        <v>101960</v>
      </c>
      <c r="D1071" s="13">
        <v>41</v>
      </c>
      <c r="F1071" s="12" t="s">
        <v>2492</v>
      </c>
      <c r="G1071" s="12" t="s">
        <v>159</v>
      </c>
      <c r="H1071" s="15">
        <v>56700</v>
      </c>
      <c r="I1071" s="13">
        <v>50</v>
      </c>
    </row>
    <row r="1072" spans="1:9">
      <c r="A1072" s="12" t="s">
        <v>2493</v>
      </c>
      <c r="B1072" s="12" t="s">
        <v>157</v>
      </c>
      <c r="C1072" s="15">
        <v>24912</v>
      </c>
      <c r="D1072" s="13">
        <v>41</v>
      </c>
      <c r="F1072" s="12" t="s">
        <v>2494</v>
      </c>
      <c r="G1072" s="12" t="s">
        <v>157</v>
      </c>
      <c r="H1072" s="15">
        <v>30791</v>
      </c>
      <c r="I1072" s="13">
        <v>50</v>
      </c>
    </row>
    <row r="1073" spans="1:9">
      <c r="A1073" s="12" t="s">
        <v>1095</v>
      </c>
      <c r="B1073" s="12" t="s">
        <v>157</v>
      </c>
      <c r="C1073" s="15">
        <v>1737829</v>
      </c>
      <c r="D1073" s="13">
        <v>41</v>
      </c>
      <c r="F1073" s="12" t="s">
        <v>2495</v>
      </c>
      <c r="G1073" s="12" t="s">
        <v>159</v>
      </c>
      <c r="H1073" s="15">
        <v>26100</v>
      </c>
      <c r="I1073" s="13">
        <v>50</v>
      </c>
    </row>
    <row r="1074" spans="1:9">
      <c r="A1074" s="12" t="s">
        <v>593</v>
      </c>
      <c r="B1074" s="12" t="s">
        <v>157</v>
      </c>
      <c r="C1074" s="15">
        <v>109311</v>
      </c>
      <c r="D1074" s="13">
        <v>41</v>
      </c>
      <c r="F1074" s="12" t="s">
        <v>2496</v>
      </c>
      <c r="G1074" s="12" t="s">
        <v>157</v>
      </c>
      <c r="H1074" s="15">
        <v>21766</v>
      </c>
      <c r="I1074" s="13">
        <v>50</v>
      </c>
    </row>
    <row r="1075" spans="1:9">
      <c r="A1075" s="12" t="s">
        <v>1375</v>
      </c>
      <c r="B1075" s="12" t="s">
        <v>157</v>
      </c>
      <c r="C1075" s="15">
        <v>182982</v>
      </c>
      <c r="D1075" s="13">
        <v>41</v>
      </c>
      <c r="F1075" s="12" t="s">
        <v>2497</v>
      </c>
      <c r="G1075" s="12" t="s">
        <v>159</v>
      </c>
      <c r="H1075" s="15">
        <v>56500</v>
      </c>
      <c r="I1075" s="13">
        <v>50</v>
      </c>
    </row>
    <row r="1076" spans="1:9">
      <c r="A1076" s="12" t="s">
        <v>2498</v>
      </c>
      <c r="B1076" s="12" t="s">
        <v>157</v>
      </c>
      <c r="C1076" s="15">
        <v>43999</v>
      </c>
      <c r="D1076" s="13">
        <v>41</v>
      </c>
      <c r="F1076" s="12" t="s">
        <v>2499</v>
      </c>
      <c r="G1076" s="12" t="s">
        <v>157</v>
      </c>
      <c r="H1076" s="15">
        <v>10365</v>
      </c>
      <c r="I1076" s="13">
        <v>50</v>
      </c>
    </row>
    <row r="1077" spans="1:9">
      <c r="A1077" s="12" t="s">
        <v>2500</v>
      </c>
      <c r="B1077" s="12" t="s">
        <v>157</v>
      </c>
      <c r="C1077" s="15">
        <v>37926</v>
      </c>
      <c r="D1077" s="13">
        <v>40</v>
      </c>
      <c r="F1077" s="12" t="s">
        <v>943</v>
      </c>
      <c r="G1077" s="12" t="s">
        <v>157</v>
      </c>
      <c r="H1077" s="15">
        <v>12623</v>
      </c>
      <c r="I1077" s="13">
        <v>50</v>
      </c>
    </row>
    <row r="1078" spans="1:9">
      <c r="A1078" s="12" t="s">
        <v>2501</v>
      </c>
      <c r="B1078" s="12" t="s">
        <v>157</v>
      </c>
      <c r="C1078" s="15">
        <v>51512</v>
      </c>
      <c r="D1078" s="13">
        <v>40</v>
      </c>
      <c r="F1078" s="12" t="s">
        <v>2502</v>
      </c>
      <c r="G1078" s="12" t="s">
        <v>157</v>
      </c>
      <c r="H1078" s="15">
        <v>19087</v>
      </c>
      <c r="I1078" s="13">
        <v>50</v>
      </c>
    </row>
    <row r="1079" spans="1:9">
      <c r="A1079" s="12" t="s">
        <v>2503</v>
      </c>
      <c r="B1079" s="12" t="s">
        <v>157</v>
      </c>
      <c r="C1079" s="15">
        <v>69341</v>
      </c>
      <c r="D1079" s="13">
        <v>40</v>
      </c>
      <c r="F1079" s="12" t="s">
        <v>2504</v>
      </c>
      <c r="G1079" s="12" t="s">
        <v>157</v>
      </c>
      <c r="H1079" s="15">
        <v>31516</v>
      </c>
      <c r="I1079" s="13">
        <v>50</v>
      </c>
    </row>
    <row r="1080" spans="1:9">
      <c r="A1080" s="12" t="s">
        <v>624</v>
      </c>
      <c r="B1080" s="12" t="s">
        <v>157</v>
      </c>
      <c r="C1080" s="15">
        <v>125925</v>
      </c>
      <c r="D1080" s="13">
        <v>40</v>
      </c>
      <c r="F1080" s="12" t="s">
        <v>2505</v>
      </c>
      <c r="G1080" s="12" t="s">
        <v>157</v>
      </c>
      <c r="H1080" s="15">
        <v>11944</v>
      </c>
      <c r="I1080" s="13">
        <v>50</v>
      </c>
    </row>
    <row r="1081" spans="1:9">
      <c r="A1081" s="12" t="s">
        <v>2506</v>
      </c>
      <c r="B1081" s="12" t="s">
        <v>157</v>
      </c>
      <c r="C1081" s="15">
        <v>47482</v>
      </c>
      <c r="D1081" s="13">
        <v>40</v>
      </c>
      <c r="F1081" s="12" t="s">
        <v>2507</v>
      </c>
      <c r="G1081" s="12" t="s">
        <v>159</v>
      </c>
      <c r="H1081" s="15">
        <v>496300</v>
      </c>
      <c r="I1081" s="13">
        <v>50</v>
      </c>
    </row>
    <row r="1082" spans="1:9">
      <c r="A1082" s="12" t="s">
        <v>2508</v>
      </c>
      <c r="B1082" s="12" t="s">
        <v>157</v>
      </c>
      <c r="C1082" s="15">
        <v>45147</v>
      </c>
      <c r="D1082" s="13">
        <v>40</v>
      </c>
      <c r="F1082" s="12" t="s">
        <v>2509</v>
      </c>
      <c r="G1082" s="12" t="s">
        <v>157</v>
      </c>
      <c r="H1082" s="15">
        <v>11031</v>
      </c>
      <c r="I1082" s="13">
        <v>50</v>
      </c>
    </row>
    <row r="1083" spans="1:9">
      <c r="A1083" s="12" t="s">
        <v>2510</v>
      </c>
      <c r="B1083" s="12" t="s">
        <v>157</v>
      </c>
      <c r="C1083" s="15">
        <v>47673</v>
      </c>
      <c r="D1083" s="13">
        <v>40</v>
      </c>
      <c r="F1083" s="12" t="s">
        <v>946</v>
      </c>
      <c r="G1083" s="12" t="s">
        <v>157</v>
      </c>
      <c r="H1083" s="15">
        <v>13851</v>
      </c>
      <c r="I1083" s="13">
        <v>50</v>
      </c>
    </row>
    <row r="1084" spans="1:9">
      <c r="A1084" s="12" t="s">
        <v>2511</v>
      </c>
      <c r="B1084" s="12" t="s">
        <v>157</v>
      </c>
      <c r="C1084" s="15">
        <v>33215</v>
      </c>
      <c r="D1084" s="13">
        <v>40</v>
      </c>
      <c r="F1084" s="12" t="s">
        <v>2512</v>
      </c>
      <c r="G1084" s="12" t="s">
        <v>157</v>
      </c>
      <c r="H1084" s="15">
        <v>13507</v>
      </c>
      <c r="I1084" s="13">
        <v>50</v>
      </c>
    </row>
    <row r="1085" spans="1:9">
      <c r="A1085" s="12" t="s">
        <v>1473</v>
      </c>
      <c r="B1085" s="12" t="s">
        <v>157</v>
      </c>
      <c r="C1085" s="15">
        <v>126673</v>
      </c>
      <c r="D1085" s="13">
        <v>40</v>
      </c>
      <c r="F1085" s="12" t="s">
        <v>948</v>
      </c>
      <c r="G1085" s="12" t="s">
        <v>157</v>
      </c>
      <c r="H1085" s="15">
        <v>11717</v>
      </c>
      <c r="I1085" s="13">
        <v>50</v>
      </c>
    </row>
    <row r="1086" spans="1:9">
      <c r="A1086" s="12" t="s">
        <v>2513</v>
      </c>
      <c r="B1086" s="12" t="s">
        <v>157</v>
      </c>
      <c r="C1086" s="15">
        <v>36497</v>
      </c>
      <c r="D1086" s="13">
        <v>40</v>
      </c>
      <c r="F1086" s="12" t="s">
        <v>2514</v>
      </c>
      <c r="G1086" s="12" t="s">
        <v>159</v>
      </c>
      <c r="H1086" s="15">
        <v>72800</v>
      </c>
      <c r="I1086" s="13">
        <v>50</v>
      </c>
    </row>
    <row r="1087" spans="1:9">
      <c r="A1087" s="12" t="s">
        <v>2515</v>
      </c>
      <c r="B1087" s="12" t="s">
        <v>157</v>
      </c>
      <c r="C1087" s="15">
        <v>53202</v>
      </c>
      <c r="D1087" s="13">
        <v>40</v>
      </c>
      <c r="F1087" s="12" t="s">
        <v>2516</v>
      </c>
      <c r="G1087" s="12" t="s">
        <v>157</v>
      </c>
      <c r="H1087" s="15">
        <v>12836</v>
      </c>
      <c r="I1087" s="13">
        <v>50</v>
      </c>
    </row>
    <row r="1088" spans="1:9">
      <c r="A1088" s="12" t="s">
        <v>1587</v>
      </c>
      <c r="B1088" s="12" t="s">
        <v>157</v>
      </c>
      <c r="C1088" s="15">
        <v>102498</v>
      </c>
      <c r="D1088" s="13">
        <v>40</v>
      </c>
      <c r="F1088" s="12" t="s">
        <v>950</v>
      </c>
      <c r="G1088" s="12" t="s">
        <v>157</v>
      </c>
      <c r="H1088" s="15">
        <v>37764</v>
      </c>
      <c r="I1088" s="13">
        <v>50</v>
      </c>
    </row>
    <row r="1089" spans="1:9">
      <c r="A1089" s="12" t="s">
        <v>1197</v>
      </c>
      <c r="B1089" s="12" t="s">
        <v>157</v>
      </c>
      <c r="C1089" s="15">
        <v>130414</v>
      </c>
      <c r="D1089" s="13">
        <v>40</v>
      </c>
      <c r="F1089" s="12" t="s">
        <v>952</v>
      </c>
      <c r="G1089" s="12" t="s">
        <v>157</v>
      </c>
      <c r="H1089" s="15">
        <v>24986</v>
      </c>
      <c r="I1089" s="13">
        <v>50</v>
      </c>
    </row>
    <row r="1090" spans="1:9">
      <c r="A1090" s="12" t="s">
        <v>2517</v>
      </c>
      <c r="B1090" s="12" t="s">
        <v>157</v>
      </c>
      <c r="C1090" s="15">
        <v>81654</v>
      </c>
      <c r="D1090" s="13">
        <v>39</v>
      </c>
      <c r="F1090" s="12" t="s">
        <v>2518</v>
      </c>
      <c r="G1090" s="12" t="s">
        <v>157</v>
      </c>
      <c r="H1090" s="15">
        <v>24163</v>
      </c>
      <c r="I1090" s="13">
        <v>50</v>
      </c>
    </row>
    <row r="1091" spans="1:9">
      <c r="A1091" s="12" t="s">
        <v>2519</v>
      </c>
      <c r="B1091" s="12" t="s">
        <v>157</v>
      </c>
      <c r="C1091" s="15">
        <v>56880</v>
      </c>
      <c r="D1091" s="13">
        <v>39</v>
      </c>
      <c r="F1091" s="12" t="s">
        <v>2520</v>
      </c>
      <c r="G1091" s="12" t="s">
        <v>159</v>
      </c>
      <c r="H1091" s="15">
        <v>35200</v>
      </c>
      <c r="I1091" s="13">
        <v>50</v>
      </c>
    </row>
    <row r="1092" spans="1:9">
      <c r="A1092" s="12" t="s">
        <v>2521</v>
      </c>
      <c r="B1092" s="12" t="s">
        <v>157</v>
      </c>
      <c r="C1092" s="15">
        <v>69111</v>
      </c>
      <c r="D1092" s="13">
        <v>39</v>
      </c>
      <c r="F1092" s="12" t="s">
        <v>2522</v>
      </c>
      <c r="G1092" s="12" t="s">
        <v>159</v>
      </c>
      <c r="H1092" s="15">
        <v>18300</v>
      </c>
      <c r="I1092" s="13">
        <v>50</v>
      </c>
    </row>
    <row r="1093" spans="1:9">
      <c r="A1093" s="12" t="s">
        <v>1508</v>
      </c>
      <c r="B1093" s="12" t="s">
        <v>157</v>
      </c>
      <c r="C1093" s="15">
        <v>153922</v>
      </c>
      <c r="D1093" s="13">
        <v>39</v>
      </c>
      <c r="F1093" s="12" t="s">
        <v>2523</v>
      </c>
      <c r="G1093" s="12" t="s">
        <v>159</v>
      </c>
      <c r="H1093" s="15">
        <v>23400</v>
      </c>
      <c r="I1093" s="13">
        <v>50</v>
      </c>
    </row>
    <row r="1094" spans="1:9">
      <c r="A1094" s="12" t="s">
        <v>1620</v>
      </c>
      <c r="B1094" s="12" t="s">
        <v>157</v>
      </c>
      <c r="C1094" s="15">
        <v>107820</v>
      </c>
      <c r="D1094" s="13">
        <v>39</v>
      </c>
      <c r="F1094" s="12" t="s">
        <v>2524</v>
      </c>
      <c r="G1094" s="12" t="s">
        <v>157</v>
      </c>
      <c r="H1094" s="15">
        <v>16603</v>
      </c>
      <c r="I1094" s="13">
        <v>50</v>
      </c>
    </row>
    <row r="1095" spans="1:9">
      <c r="A1095" s="12" t="s">
        <v>2525</v>
      </c>
      <c r="B1095" s="12" t="s">
        <v>157</v>
      </c>
      <c r="C1095" s="15">
        <v>49143</v>
      </c>
      <c r="D1095" s="13">
        <v>39</v>
      </c>
      <c r="F1095" s="12" t="s">
        <v>953</v>
      </c>
      <c r="G1095" s="12" t="s">
        <v>157</v>
      </c>
      <c r="H1095" s="15">
        <v>18538</v>
      </c>
      <c r="I1095" s="13">
        <v>50</v>
      </c>
    </row>
    <row r="1096" spans="1:9">
      <c r="A1096" s="12" t="s">
        <v>2526</v>
      </c>
      <c r="B1096" s="12" t="s">
        <v>157</v>
      </c>
      <c r="C1096" s="15">
        <v>95947</v>
      </c>
      <c r="D1096" s="13">
        <v>39</v>
      </c>
      <c r="F1096" s="12" t="s">
        <v>2527</v>
      </c>
      <c r="G1096" s="12" t="s">
        <v>159</v>
      </c>
      <c r="H1096" s="15">
        <v>24300</v>
      </c>
      <c r="I1096" s="13">
        <v>50</v>
      </c>
    </row>
    <row r="1097" spans="1:9">
      <c r="A1097" s="12" t="s">
        <v>2528</v>
      </c>
      <c r="B1097" s="12" t="s">
        <v>157</v>
      </c>
      <c r="C1097" s="15">
        <v>16946</v>
      </c>
      <c r="D1097" s="13">
        <v>39</v>
      </c>
      <c r="F1097" s="12" t="s">
        <v>2529</v>
      </c>
      <c r="G1097" s="12" t="s">
        <v>157</v>
      </c>
      <c r="H1097" s="15">
        <v>23717</v>
      </c>
      <c r="I1097" s="13">
        <v>50</v>
      </c>
    </row>
    <row r="1098" spans="1:9">
      <c r="A1098" s="12" t="s">
        <v>2530</v>
      </c>
      <c r="B1098" s="12" t="s">
        <v>157</v>
      </c>
      <c r="C1098" s="15">
        <v>76519</v>
      </c>
      <c r="D1098" s="13">
        <v>39</v>
      </c>
      <c r="F1098" s="12" t="s">
        <v>955</v>
      </c>
      <c r="G1098" s="12" t="s">
        <v>157</v>
      </c>
      <c r="H1098" s="15">
        <v>14259</v>
      </c>
      <c r="I1098" s="13">
        <v>50</v>
      </c>
    </row>
    <row r="1099" spans="1:9">
      <c r="A1099" s="12" t="s">
        <v>2531</v>
      </c>
      <c r="B1099" s="12" t="s">
        <v>157</v>
      </c>
      <c r="C1099" s="15">
        <v>21692</v>
      </c>
      <c r="D1099" s="13">
        <v>39</v>
      </c>
      <c r="F1099" s="12" t="s">
        <v>2532</v>
      </c>
      <c r="G1099" s="12" t="s">
        <v>157</v>
      </c>
      <c r="H1099" s="15">
        <v>10001</v>
      </c>
      <c r="I1099" s="13">
        <v>50</v>
      </c>
    </row>
    <row r="1100" spans="1:9">
      <c r="A1100" s="12" t="s">
        <v>2533</v>
      </c>
      <c r="B1100" s="12" t="s">
        <v>157</v>
      </c>
      <c r="C1100" s="15">
        <v>22743</v>
      </c>
      <c r="D1100" s="13">
        <v>39</v>
      </c>
      <c r="F1100" s="12" t="s">
        <v>2534</v>
      </c>
      <c r="G1100" s="12" t="s">
        <v>159</v>
      </c>
      <c r="H1100" s="15">
        <v>53800</v>
      </c>
      <c r="I1100" s="13">
        <v>50</v>
      </c>
    </row>
    <row r="1101" spans="1:9">
      <c r="A1101" s="12" t="s">
        <v>2535</v>
      </c>
      <c r="B1101" s="12" t="s">
        <v>157</v>
      </c>
      <c r="C1101" s="15">
        <v>12126</v>
      </c>
      <c r="D1101" s="13">
        <v>39</v>
      </c>
      <c r="F1101" s="12" t="s">
        <v>958</v>
      </c>
      <c r="G1101" s="12" t="s">
        <v>157</v>
      </c>
      <c r="H1101" s="15">
        <v>239426</v>
      </c>
      <c r="I1101" s="13">
        <v>50</v>
      </c>
    </row>
    <row r="1102" spans="1:9">
      <c r="A1102" s="12" t="s">
        <v>2536</v>
      </c>
      <c r="B1102" s="12" t="s">
        <v>157</v>
      </c>
      <c r="C1102" s="15">
        <v>10203</v>
      </c>
      <c r="D1102" s="13">
        <v>39</v>
      </c>
      <c r="F1102" s="12" t="s">
        <v>2537</v>
      </c>
      <c r="G1102" s="12" t="s">
        <v>159</v>
      </c>
      <c r="H1102" s="15">
        <v>40200</v>
      </c>
      <c r="I1102" s="13">
        <v>50</v>
      </c>
    </row>
    <row r="1103" spans="1:9">
      <c r="A1103" s="12" t="s">
        <v>1643</v>
      </c>
      <c r="B1103" s="12" t="s">
        <v>157</v>
      </c>
      <c r="C1103" s="15">
        <v>100283</v>
      </c>
      <c r="D1103" s="13">
        <v>39</v>
      </c>
      <c r="F1103" s="12" t="s">
        <v>2538</v>
      </c>
      <c r="G1103" s="12" t="s">
        <v>159</v>
      </c>
      <c r="H1103" s="15">
        <v>188900</v>
      </c>
      <c r="I1103" s="13">
        <v>50</v>
      </c>
    </row>
    <row r="1104" spans="1:9">
      <c r="A1104" s="12" t="s">
        <v>1541</v>
      </c>
      <c r="B1104" s="12" t="s">
        <v>157</v>
      </c>
      <c r="C1104" s="15">
        <v>131541</v>
      </c>
      <c r="D1104" s="13">
        <v>39</v>
      </c>
      <c r="F1104" s="12" t="s">
        <v>960</v>
      </c>
      <c r="G1104" s="12" t="s">
        <v>157</v>
      </c>
      <c r="H1104" s="15">
        <v>12603</v>
      </c>
      <c r="I1104" s="13">
        <v>50</v>
      </c>
    </row>
    <row r="1105" spans="1:9">
      <c r="A1105" s="12" t="s">
        <v>2539</v>
      </c>
      <c r="B1105" s="12" t="s">
        <v>157</v>
      </c>
      <c r="C1105" s="15">
        <v>24189</v>
      </c>
      <c r="D1105" s="13">
        <v>39</v>
      </c>
      <c r="F1105" s="12" t="s">
        <v>2540</v>
      </c>
      <c r="G1105" s="12" t="s">
        <v>159</v>
      </c>
      <c r="H1105" s="15">
        <v>83000</v>
      </c>
      <c r="I1105" s="13">
        <v>50</v>
      </c>
    </row>
    <row r="1106" spans="1:9">
      <c r="A1106" s="12" t="s">
        <v>1654</v>
      </c>
      <c r="B1106" s="12" t="s">
        <v>157</v>
      </c>
      <c r="C1106" s="15">
        <v>107204</v>
      </c>
      <c r="D1106" s="13">
        <v>39</v>
      </c>
      <c r="F1106" s="12" t="s">
        <v>2541</v>
      </c>
      <c r="G1106" s="12" t="s">
        <v>157</v>
      </c>
      <c r="H1106" s="15">
        <v>17973</v>
      </c>
      <c r="I1106" s="13">
        <v>50</v>
      </c>
    </row>
    <row r="1107" spans="1:9">
      <c r="A1107" s="12" t="s">
        <v>2542</v>
      </c>
      <c r="B1107" s="12" t="s">
        <v>157</v>
      </c>
      <c r="C1107" s="15">
        <v>10212</v>
      </c>
      <c r="D1107" s="13">
        <v>38</v>
      </c>
      <c r="F1107" s="12" t="s">
        <v>2543</v>
      </c>
      <c r="G1107" s="12" t="s">
        <v>159</v>
      </c>
      <c r="H1107" s="15">
        <v>11000</v>
      </c>
      <c r="I1107" s="13">
        <v>50</v>
      </c>
    </row>
    <row r="1108" spans="1:9">
      <c r="A1108" s="12" t="s">
        <v>2544</v>
      </c>
      <c r="B1108" s="12" t="s">
        <v>157</v>
      </c>
      <c r="C1108" s="15">
        <v>10513</v>
      </c>
      <c r="D1108" s="13">
        <v>38</v>
      </c>
      <c r="F1108" s="12" t="s">
        <v>2545</v>
      </c>
      <c r="G1108" s="12" t="s">
        <v>159</v>
      </c>
      <c r="H1108" s="15">
        <v>231400</v>
      </c>
      <c r="I1108" s="13">
        <v>50</v>
      </c>
    </row>
    <row r="1109" spans="1:9">
      <c r="A1109" s="12" t="s">
        <v>2546</v>
      </c>
      <c r="B1109" s="12" t="s">
        <v>157</v>
      </c>
      <c r="C1109" s="15">
        <v>63859</v>
      </c>
      <c r="D1109" s="13">
        <v>38</v>
      </c>
      <c r="F1109" s="12" t="s">
        <v>962</v>
      </c>
      <c r="G1109" s="12" t="s">
        <v>157</v>
      </c>
      <c r="H1109" s="15">
        <v>20178</v>
      </c>
      <c r="I1109" s="13">
        <v>50</v>
      </c>
    </row>
    <row r="1110" spans="1:9">
      <c r="A1110" s="12" t="s">
        <v>2547</v>
      </c>
      <c r="B1110" s="12" t="s">
        <v>157</v>
      </c>
      <c r="C1110" s="15">
        <v>15645</v>
      </c>
      <c r="D1110" s="13">
        <v>38</v>
      </c>
      <c r="F1110" s="12" t="s">
        <v>2548</v>
      </c>
      <c r="G1110" s="12" t="s">
        <v>157</v>
      </c>
      <c r="H1110" s="15">
        <v>16412</v>
      </c>
      <c r="I1110" s="13">
        <v>50</v>
      </c>
    </row>
    <row r="1111" spans="1:9">
      <c r="A1111" s="12" t="s">
        <v>1659</v>
      </c>
      <c r="B1111" s="12" t="s">
        <v>157</v>
      </c>
      <c r="C1111" s="15">
        <v>105143</v>
      </c>
      <c r="D1111" s="13">
        <v>38</v>
      </c>
      <c r="F1111" s="12" t="s">
        <v>2549</v>
      </c>
      <c r="G1111" s="12" t="s">
        <v>157</v>
      </c>
      <c r="H1111" s="15">
        <v>11195</v>
      </c>
      <c r="I1111" s="13">
        <v>50</v>
      </c>
    </row>
    <row r="1112" spans="1:9">
      <c r="A1112" s="12" t="s">
        <v>423</v>
      </c>
      <c r="B1112" s="12" t="s">
        <v>157</v>
      </c>
      <c r="C1112" s="15">
        <v>31400</v>
      </c>
      <c r="D1112" s="13">
        <v>38</v>
      </c>
      <c r="F1112" s="12" t="s">
        <v>2550</v>
      </c>
      <c r="G1112" s="12" t="s">
        <v>157</v>
      </c>
      <c r="H1112" s="15">
        <v>12164</v>
      </c>
      <c r="I1112" s="13">
        <v>50</v>
      </c>
    </row>
    <row r="1113" spans="1:9">
      <c r="A1113" s="12" t="s">
        <v>431</v>
      </c>
      <c r="B1113" s="12" t="s">
        <v>157</v>
      </c>
      <c r="C1113" s="15">
        <v>21379</v>
      </c>
      <c r="D1113" s="13">
        <v>38</v>
      </c>
      <c r="F1113" s="12" t="s">
        <v>2551</v>
      </c>
      <c r="G1113" s="12" t="s">
        <v>157</v>
      </c>
      <c r="H1113" s="15">
        <v>14977</v>
      </c>
      <c r="I1113" s="13">
        <v>50</v>
      </c>
    </row>
    <row r="1114" spans="1:9">
      <c r="A1114" s="12" t="s">
        <v>2552</v>
      </c>
      <c r="B1114" s="12" t="s">
        <v>157</v>
      </c>
      <c r="C1114" s="15">
        <v>20912</v>
      </c>
      <c r="D1114" s="13">
        <v>38</v>
      </c>
      <c r="F1114" s="12" t="s">
        <v>2553</v>
      </c>
      <c r="G1114" s="12" t="s">
        <v>159</v>
      </c>
      <c r="H1114" s="15">
        <v>14200</v>
      </c>
      <c r="I1114" s="13">
        <v>50</v>
      </c>
    </row>
    <row r="1115" spans="1:9">
      <c r="A1115" s="12" t="s">
        <v>457</v>
      </c>
      <c r="B1115" s="12" t="s">
        <v>157</v>
      </c>
      <c r="C1115" s="15">
        <v>21151</v>
      </c>
      <c r="D1115" s="13">
        <v>38</v>
      </c>
      <c r="F1115" s="12" t="s">
        <v>965</v>
      </c>
      <c r="G1115" s="12" t="s">
        <v>157</v>
      </c>
      <c r="H1115" s="15">
        <v>10421</v>
      </c>
      <c r="I1115" s="13">
        <v>50</v>
      </c>
    </row>
    <row r="1116" spans="1:9">
      <c r="A1116" s="12" t="s">
        <v>1677</v>
      </c>
      <c r="B1116" s="12" t="s">
        <v>157</v>
      </c>
      <c r="C1116" s="15">
        <v>105931</v>
      </c>
      <c r="D1116" s="13">
        <v>38</v>
      </c>
      <c r="F1116" s="12" t="s">
        <v>2554</v>
      </c>
      <c r="G1116" s="12" t="s">
        <v>157</v>
      </c>
      <c r="H1116" s="15">
        <v>20306</v>
      </c>
      <c r="I1116" s="13">
        <v>50</v>
      </c>
    </row>
    <row r="1117" spans="1:9">
      <c r="A1117" s="12" t="s">
        <v>2555</v>
      </c>
      <c r="B1117" s="12" t="s">
        <v>157</v>
      </c>
      <c r="C1117" s="15">
        <v>18855</v>
      </c>
      <c r="D1117" s="13">
        <v>38</v>
      </c>
      <c r="F1117" s="12" t="s">
        <v>2556</v>
      </c>
      <c r="G1117" s="12" t="s">
        <v>159</v>
      </c>
      <c r="H1117" s="15">
        <v>35500</v>
      </c>
      <c r="I1117" s="13">
        <v>50</v>
      </c>
    </row>
    <row r="1118" spans="1:9">
      <c r="A1118" s="12" t="s">
        <v>462</v>
      </c>
      <c r="B1118" s="12" t="s">
        <v>157</v>
      </c>
      <c r="C1118" s="15">
        <v>15662</v>
      </c>
      <c r="D1118" s="13">
        <v>38</v>
      </c>
      <c r="F1118" s="12" t="s">
        <v>2557</v>
      </c>
      <c r="G1118" s="12" t="s">
        <v>159</v>
      </c>
      <c r="H1118" s="15">
        <v>21300</v>
      </c>
      <c r="I1118" s="13">
        <v>50</v>
      </c>
    </row>
    <row r="1119" spans="1:9">
      <c r="A1119" s="12" t="s">
        <v>2558</v>
      </c>
      <c r="B1119" s="12" t="s">
        <v>157</v>
      </c>
      <c r="C1119" s="15">
        <v>14140</v>
      </c>
      <c r="D1119" s="13">
        <v>38</v>
      </c>
      <c r="F1119" s="12" t="s">
        <v>967</v>
      </c>
      <c r="G1119" s="12" t="s">
        <v>157</v>
      </c>
      <c r="H1119" s="15">
        <v>14213</v>
      </c>
      <c r="I1119" s="13">
        <v>50</v>
      </c>
    </row>
    <row r="1120" spans="1:9">
      <c r="A1120" s="12" t="s">
        <v>2559</v>
      </c>
      <c r="B1120" s="12" t="s">
        <v>157</v>
      </c>
      <c r="C1120" s="15">
        <v>51909</v>
      </c>
      <c r="D1120" s="13">
        <v>38</v>
      </c>
      <c r="F1120" s="12" t="s">
        <v>2560</v>
      </c>
      <c r="G1120" s="12" t="s">
        <v>157</v>
      </c>
      <c r="H1120" s="15">
        <v>16359</v>
      </c>
      <c r="I1120" s="13">
        <v>50</v>
      </c>
    </row>
    <row r="1121" spans="1:9">
      <c r="A1121" s="12" t="s">
        <v>2561</v>
      </c>
      <c r="B1121" s="12" t="s">
        <v>157</v>
      </c>
      <c r="C1121" s="15">
        <v>64684</v>
      </c>
      <c r="D1121" s="13">
        <v>38</v>
      </c>
      <c r="F1121" s="12" t="s">
        <v>970</v>
      </c>
      <c r="G1121" s="12" t="s">
        <v>157</v>
      </c>
      <c r="H1121" s="15">
        <v>10107</v>
      </c>
      <c r="I1121" s="13">
        <v>50</v>
      </c>
    </row>
    <row r="1122" spans="1:9">
      <c r="A1122" s="12" t="s">
        <v>2562</v>
      </c>
      <c r="B1122" s="12" t="s">
        <v>157</v>
      </c>
      <c r="C1122" s="15">
        <v>50427</v>
      </c>
      <c r="D1122" s="13">
        <v>38</v>
      </c>
      <c r="F1122" s="12" t="s">
        <v>2563</v>
      </c>
      <c r="G1122" s="12" t="s">
        <v>159</v>
      </c>
      <c r="H1122" s="15">
        <v>31000</v>
      </c>
      <c r="I1122" s="13">
        <v>50</v>
      </c>
    </row>
    <row r="1123" spans="1:9">
      <c r="A1123" s="12" t="s">
        <v>2564</v>
      </c>
      <c r="B1123" s="12" t="s">
        <v>157</v>
      </c>
      <c r="C1123" s="15">
        <v>11474</v>
      </c>
      <c r="D1123" s="13">
        <v>38</v>
      </c>
      <c r="F1123" s="12" t="s">
        <v>2565</v>
      </c>
      <c r="G1123" s="12" t="s">
        <v>157</v>
      </c>
      <c r="H1123" s="15">
        <v>12500</v>
      </c>
      <c r="I1123" s="13">
        <v>50</v>
      </c>
    </row>
    <row r="1124" spans="1:9">
      <c r="A1124" s="12" t="s">
        <v>487</v>
      </c>
      <c r="B1124" s="12" t="s">
        <v>157</v>
      </c>
      <c r="C1124" s="15">
        <v>17622</v>
      </c>
      <c r="D1124" s="13">
        <v>38</v>
      </c>
      <c r="F1124" s="12" t="s">
        <v>2566</v>
      </c>
      <c r="G1124" s="12" t="s">
        <v>157</v>
      </c>
      <c r="H1124" s="15">
        <v>10007</v>
      </c>
      <c r="I1124" s="13">
        <v>50</v>
      </c>
    </row>
    <row r="1125" spans="1:9">
      <c r="A1125" s="12" t="s">
        <v>2567</v>
      </c>
      <c r="B1125" s="12" t="s">
        <v>157</v>
      </c>
      <c r="C1125" s="15">
        <v>35947</v>
      </c>
      <c r="D1125" s="13">
        <v>38</v>
      </c>
      <c r="F1125" s="12" t="s">
        <v>2568</v>
      </c>
      <c r="G1125" s="12" t="s">
        <v>159</v>
      </c>
      <c r="H1125" s="15">
        <v>63500</v>
      </c>
      <c r="I1125" s="13">
        <v>50</v>
      </c>
    </row>
    <row r="1126" spans="1:9">
      <c r="A1126" s="12" t="s">
        <v>2569</v>
      </c>
      <c r="B1126" s="12" t="s">
        <v>157</v>
      </c>
      <c r="C1126" s="15">
        <v>19132</v>
      </c>
      <c r="D1126" s="13">
        <v>38</v>
      </c>
      <c r="F1126" s="12" t="s">
        <v>2570</v>
      </c>
      <c r="G1126" s="12" t="s">
        <v>159</v>
      </c>
      <c r="H1126" s="15">
        <v>1100000</v>
      </c>
      <c r="I1126" s="13">
        <v>50</v>
      </c>
    </row>
    <row r="1127" spans="1:9">
      <c r="A1127" s="12" t="s">
        <v>2571</v>
      </c>
      <c r="B1127" s="12" t="s">
        <v>157</v>
      </c>
      <c r="C1127" s="15">
        <v>13493</v>
      </c>
      <c r="D1127" s="13">
        <v>38</v>
      </c>
      <c r="F1127" s="12" t="s">
        <v>2572</v>
      </c>
      <c r="G1127" s="12" t="s">
        <v>157</v>
      </c>
      <c r="H1127" s="15">
        <v>16010</v>
      </c>
      <c r="I1127" s="13">
        <v>50</v>
      </c>
    </row>
    <row r="1128" spans="1:9">
      <c r="A1128" s="12" t="s">
        <v>2573</v>
      </c>
      <c r="B1128" s="12" t="s">
        <v>157</v>
      </c>
      <c r="C1128" s="15">
        <v>71099</v>
      </c>
      <c r="D1128" s="13">
        <v>38</v>
      </c>
      <c r="F1128" s="12" t="s">
        <v>2574</v>
      </c>
      <c r="G1128" s="12" t="s">
        <v>159</v>
      </c>
      <c r="H1128" s="15">
        <v>75900</v>
      </c>
      <c r="I1128" s="13">
        <v>50</v>
      </c>
    </row>
    <row r="1129" spans="1:9">
      <c r="A1129" s="12" t="s">
        <v>1714</v>
      </c>
      <c r="B1129" s="12" t="s">
        <v>157</v>
      </c>
      <c r="C1129" s="15">
        <v>152840</v>
      </c>
      <c r="D1129" s="13">
        <v>38</v>
      </c>
      <c r="F1129" s="12" t="s">
        <v>2575</v>
      </c>
      <c r="G1129" s="12" t="s">
        <v>159</v>
      </c>
      <c r="H1129" s="15">
        <v>21680</v>
      </c>
      <c r="I1129" s="13">
        <v>50</v>
      </c>
    </row>
    <row r="1130" spans="1:9">
      <c r="A1130" s="12" t="s">
        <v>2576</v>
      </c>
      <c r="B1130" s="12" t="s">
        <v>157</v>
      </c>
      <c r="C1130" s="15">
        <v>47652</v>
      </c>
      <c r="D1130" s="13">
        <v>38</v>
      </c>
      <c r="F1130" s="12" t="s">
        <v>2577</v>
      </c>
      <c r="G1130" s="12" t="s">
        <v>159</v>
      </c>
      <c r="H1130" s="15">
        <v>15500</v>
      </c>
      <c r="I1130" s="13">
        <v>50</v>
      </c>
    </row>
    <row r="1131" spans="1:9">
      <c r="A1131" s="12" t="s">
        <v>2578</v>
      </c>
      <c r="B1131" s="12" t="s">
        <v>157</v>
      </c>
      <c r="C1131" s="15">
        <v>67131</v>
      </c>
      <c r="D1131" s="13">
        <v>38</v>
      </c>
      <c r="F1131" s="12" t="s">
        <v>2579</v>
      </c>
      <c r="G1131" s="12" t="s">
        <v>157</v>
      </c>
      <c r="H1131" s="15">
        <v>19395</v>
      </c>
      <c r="I1131" s="13">
        <v>50</v>
      </c>
    </row>
    <row r="1132" spans="1:9">
      <c r="A1132" s="12" t="s">
        <v>2580</v>
      </c>
      <c r="B1132" s="12" t="s">
        <v>157</v>
      </c>
      <c r="C1132" s="15">
        <v>57260</v>
      </c>
      <c r="D1132" s="13">
        <v>38</v>
      </c>
      <c r="F1132" s="12" t="s">
        <v>2581</v>
      </c>
      <c r="G1132" s="12" t="s">
        <v>159</v>
      </c>
      <c r="H1132" s="15">
        <v>67400</v>
      </c>
      <c r="I1132" s="13">
        <v>50</v>
      </c>
    </row>
    <row r="1133" spans="1:9">
      <c r="A1133" s="12" t="s">
        <v>1723</v>
      </c>
      <c r="B1133" s="12" t="s">
        <v>157</v>
      </c>
      <c r="C1133" s="15">
        <v>184974</v>
      </c>
      <c r="D1133" s="13">
        <v>38</v>
      </c>
      <c r="F1133" s="12" t="s">
        <v>2582</v>
      </c>
      <c r="G1133" s="12" t="s">
        <v>159</v>
      </c>
      <c r="H1133" s="15">
        <v>14800</v>
      </c>
      <c r="I1133" s="13">
        <v>50</v>
      </c>
    </row>
    <row r="1134" spans="1:9">
      <c r="A1134" s="12" t="s">
        <v>2583</v>
      </c>
      <c r="B1134" s="12" t="s">
        <v>157</v>
      </c>
      <c r="C1134" s="15">
        <v>10294</v>
      </c>
      <c r="D1134" s="13">
        <v>38</v>
      </c>
      <c r="F1134" s="12" t="s">
        <v>2584</v>
      </c>
      <c r="G1134" s="12" t="s">
        <v>159</v>
      </c>
      <c r="H1134" s="15">
        <v>31400</v>
      </c>
      <c r="I1134" s="13">
        <v>50</v>
      </c>
    </row>
    <row r="1135" spans="1:9">
      <c r="A1135" s="12" t="s">
        <v>2585</v>
      </c>
      <c r="B1135" s="12" t="s">
        <v>157</v>
      </c>
      <c r="C1135" s="15">
        <v>13237</v>
      </c>
      <c r="D1135" s="13">
        <v>38</v>
      </c>
      <c r="F1135" s="12" t="s">
        <v>2586</v>
      </c>
      <c r="G1135" s="12" t="s">
        <v>159</v>
      </c>
      <c r="H1135" s="15">
        <v>122200</v>
      </c>
      <c r="I1135" s="13">
        <v>50</v>
      </c>
    </row>
    <row r="1136" spans="1:9">
      <c r="A1136" s="12" t="s">
        <v>2587</v>
      </c>
      <c r="B1136" s="12" t="s">
        <v>157</v>
      </c>
      <c r="C1136" s="15">
        <v>38031</v>
      </c>
      <c r="D1136" s="13">
        <v>38</v>
      </c>
      <c r="F1136" s="12" t="s">
        <v>2588</v>
      </c>
      <c r="G1136" s="12" t="s">
        <v>159</v>
      </c>
      <c r="H1136" s="15">
        <v>25500</v>
      </c>
      <c r="I1136" s="13">
        <v>50</v>
      </c>
    </row>
    <row r="1137" spans="1:9">
      <c r="A1137" s="12" t="s">
        <v>2589</v>
      </c>
      <c r="B1137" s="12" t="s">
        <v>157</v>
      </c>
      <c r="C1137" s="15">
        <v>38415</v>
      </c>
      <c r="D1137" s="13">
        <v>38</v>
      </c>
      <c r="F1137" s="12" t="s">
        <v>2590</v>
      </c>
      <c r="G1137" s="12" t="s">
        <v>159</v>
      </c>
      <c r="H1137" s="15">
        <v>10300</v>
      </c>
      <c r="I1137" s="13">
        <v>50</v>
      </c>
    </row>
    <row r="1138" spans="1:9">
      <c r="A1138" s="12" t="s">
        <v>590</v>
      </c>
      <c r="B1138" s="12" t="s">
        <v>157</v>
      </c>
      <c r="C1138" s="15">
        <v>25965</v>
      </c>
      <c r="D1138" s="13">
        <v>38</v>
      </c>
      <c r="F1138" s="12" t="s">
        <v>972</v>
      </c>
      <c r="G1138" s="12" t="s">
        <v>157</v>
      </c>
      <c r="H1138" s="15">
        <v>12001</v>
      </c>
      <c r="I1138" s="13">
        <v>50</v>
      </c>
    </row>
    <row r="1139" spans="1:9">
      <c r="A1139" s="12" t="s">
        <v>2591</v>
      </c>
      <c r="B1139" s="12" t="s">
        <v>157</v>
      </c>
      <c r="C1139" s="15">
        <v>10302</v>
      </c>
      <c r="D1139" s="13">
        <v>38</v>
      </c>
      <c r="F1139" s="12" t="s">
        <v>2592</v>
      </c>
      <c r="G1139" s="12" t="s">
        <v>159</v>
      </c>
      <c r="H1139" s="15">
        <v>107700</v>
      </c>
      <c r="I1139" s="13">
        <v>50</v>
      </c>
    </row>
    <row r="1140" spans="1:9">
      <c r="A1140" s="12" t="s">
        <v>1729</v>
      </c>
      <c r="B1140" s="12" t="s">
        <v>157</v>
      </c>
      <c r="C1140" s="15">
        <v>1842326</v>
      </c>
      <c r="D1140" s="13">
        <v>38</v>
      </c>
      <c r="F1140" s="12" t="s">
        <v>975</v>
      </c>
      <c r="G1140" s="12" t="s">
        <v>157</v>
      </c>
      <c r="H1140" s="15">
        <v>10023</v>
      </c>
      <c r="I1140" s="13">
        <v>50</v>
      </c>
    </row>
    <row r="1141" spans="1:9">
      <c r="A1141" s="12" t="s">
        <v>2593</v>
      </c>
      <c r="B1141" s="12" t="s">
        <v>157</v>
      </c>
      <c r="C1141" s="15">
        <v>55808</v>
      </c>
      <c r="D1141" s="13">
        <v>38</v>
      </c>
      <c r="F1141" s="12" t="s">
        <v>2594</v>
      </c>
      <c r="G1141" s="12" t="s">
        <v>159</v>
      </c>
      <c r="H1141" s="15">
        <v>13500</v>
      </c>
      <c r="I1141" s="13">
        <v>50</v>
      </c>
    </row>
    <row r="1142" spans="1:9">
      <c r="A1142" s="12" t="s">
        <v>1732</v>
      </c>
      <c r="B1142" s="12" t="s">
        <v>157</v>
      </c>
      <c r="C1142" s="15">
        <v>121896</v>
      </c>
      <c r="D1142" s="13">
        <v>38</v>
      </c>
      <c r="F1142" s="12" t="s">
        <v>979</v>
      </c>
      <c r="G1142" s="12" t="s">
        <v>157</v>
      </c>
      <c r="H1142" s="15">
        <v>31199</v>
      </c>
      <c r="I1142" s="13">
        <v>50</v>
      </c>
    </row>
    <row r="1143" spans="1:9">
      <c r="A1143" s="12" t="s">
        <v>2595</v>
      </c>
      <c r="B1143" s="12" t="s">
        <v>157</v>
      </c>
      <c r="C1143" s="15">
        <v>12429</v>
      </c>
      <c r="D1143" s="13">
        <v>38</v>
      </c>
      <c r="F1143" s="12" t="s">
        <v>2596</v>
      </c>
      <c r="G1143" s="12" t="s">
        <v>157</v>
      </c>
      <c r="H1143" s="15">
        <v>21121</v>
      </c>
      <c r="I1143" s="13">
        <v>50</v>
      </c>
    </row>
    <row r="1144" spans="1:9">
      <c r="A1144" s="12" t="s">
        <v>2597</v>
      </c>
      <c r="B1144" s="12" t="s">
        <v>157</v>
      </c>
      <c r="C1144" s="15">
        <v>26047</v>
      </c>
      <c r="D1144" s="13">
        <v>37</v>
      </c>
      <c r="F1144" s="12" t="s">
        <v>2598</v>
      </c>
      <c r="G1144" s="12" t="s">
        <v>159</v>
      </c>
      <c r="H1144" s="15">
        <v>123100</v>
      </c>
      <c r="I1144" s="13">
        <v>50</v>
      </c>
    </row>
    <row r="1145" spans="1:9">
      <c r="A1145" s="12" t="s">
        <v>2599</v>
      </c>
      <c r="B1145" s="12" t="s">
        <v>157</v>
      </c>
      <c r="C1145" s="15">
        <v>33686</v>
      </c>
      <c r="D1145" s="13">
        <v>37</v>
      </c>
      <c r="F1145" s="12" t="s">
        <v>2600</v>
      </c>
      <c r="G1145" s="12" t="s">
        <v>159</v>
      </c>
      <c r="H1145" s="15">
        <v>161100</v>
      </c>
      <c r="I1145" s="13">
        <v>50</v>
      </c>
    </row>
    <row r="1146" spans="1:9">
      <c r="A1146" s="12" t="s">
        <v>2601</v>
      </c>
      <c r="B1146" s="12" t="s">
        <v>157</v>
      </c>
      <c r="C1146" s="15">
        <v>63881</v>
      </c>
      <c r="D1146" s="13">
        <v>37</v>
      </c>
      <c r="F1146" s="12" t="s">
        <v>2602</v>
      </c>
      <c r="G1146" s="12" t="s">
        <v>159</v>
      </c>
      <c r="H1146" s="15">
        <v>23200</v>
      </c>
      <c r="I1146" s="13">
        <v>50</v>
      </c>
    </row>
    <row r="1147" spans="1:9">
      <c r="A1147" s="12" t="s">
        <v>2603</v>
      </c>
      <c r="B1147" s="12" t="s">
        <v>157</v>
      </c>
      <c r="C1147" s="15">
        <v>10408</v>
      </c>
      <c r="D1147" s="13">
        <v>37</v>
      </c>
      <c r="F1147" s="12" t="s">
        <v>2604</v>
      </c>
      <c r="G1147" s="12" t="s">
        <v>159</v>
      </c>
      <c r="H1147" s="15">
        <v>290600</v>
      </c>
      <c r="I1147" s="13">
        <v>50</v>
      </c>
    </row>
    <row r="1148" spans="1:9">
      <c r="A1148" s="12" t="s">
        <v>2605</v>
      </c>
      <c r="B1148" s="12" t="s">
        <v>157</v>
      </c>
      <c r="C1148" s="15">
        <v>10064</v>
      </c>
      <c r="D1148" s="13">
        <v>37</v>
      </c>
      <c r="F1148" s="12" t="s">
        <v>2606</v>
      </c>
      <c r="G1148" s="12" t="s">
        <v>159</v>
      </c>
      <c r="H1148" s="15">
        <v>131100</v>
      </c>
      <c r="I1148" s="13">
        <v>50</v>
      </c>
    </row>
    <row r="1149" spans="1:9">
      <c r="A1149" s="12" t="s">
        <v>2607</v>
      </c>
      <c r="B1149" s="12" t="s">
        <v>157</v>
      </c>
      <c r="C1149" s="15">
        <v>41005</v>
      </c>
      <c r="D1149" s="13">
        <v>37</v>
      </c>
      <c r="F1149" s="12" t="s">
        <v>2608</v>
      </c>
      <c r="G1149" s="12" t="s">
        <v>159</v>
      </c>
      <c r="H1149" s="15">
        <v>39100</v>
      </c>
      <c r="I1149" s="13">
        <v>50</v>
      </c>
    </row>
    <row r="1150" spans="1:9">
      <c r="A1150" s="12" t="s">
        <v>2609</v>
      </c>
      <c r="B1150" s="12" t="s">
        <v>157</v>
      </c>
      <c r="C1150" s="15">
        <v>61962</v>
      </c>
      <c r="D1150" s="13">
        <v>37</v>
      </c>
      <c r="F1150" s="12" t="s">
        <v>2610</v>
      </c>
      <c r="G1150" s="12" t="s">
        <v>159</v>
      </c>
      <c r="H1150" s="15">
        <v>507700</v>
      </c>
      <c r="I1150" s="13">
        <v>50</v>
      </c>
    </row>
    <row r="1151" spans="1:9">
      <c r="A1151" s="12" t="s">
        <v>2611</v>
      </c>
      <c r="B1151" s="12" t="s">
        <v>157</v>
      </c>
      <c r="C1151" s="15">
        <v>35952</v>
      </c>
      <c r="D1151" s="13">
        <v>37</v>
      </c>
      <c r="F1151" s="12" t="s">
        <v>2612</v>
      </c>
      <c r="G1151" s="12" t="s">
        <v>159</v>
      </c>
      <c r="H1151" s="15">
        <v>111200</v>
      </c>
      <c r="I1151" s="13">
        <v>50</v>
      </c>
    </row>
    <row r="1152" spans="1:9">
      <c r="A1152" s="12" t="s">
        <v>2613</v>
      </c>
      <c r="B1152" s="12" t="s">
        <v>157</v>
      </c>
      <c r="C1152" s="15">
        <v>47481</v>
      </c>
      <c r="D1152" s="13">
        <v>37</v>
      </c>
      <c r="F1152" s="12" t="s">
        <v>2614</v>
      </c>
      <c r="G1152" s="12" t="s">
        <v>159</v>
      </c>
      <c r="H1152" s="15">
        <v>4195063</v>
      </c>
      <c r="I1152" s="13">
        <v>50</v>
      </c>
    </row>
    <row r="1153" spans="1:9">
      <c r="A1153" s="12" t="s">
        <v>1742</v>
      </c>
      <c r="B1153" s="12" t="s">
        <v>157</v>
      </c>
      <c r="C1153" s="15">
        <v>104536</v>
      </c>
      <c r="D1153" s="13">
        <v>37</v>
      </c>
      <c r="F1153" s="12" t="s">
        <v>2615</v>
      </c>
      <c r="G1153" s="12" t="s">
        <v>159</v>
      </c>
      <c r="H1153" s="15">
        <v>10800</v>
      </c>
      <c r="I1153" s="13">
        <v>50</v>
      </c>
    </row>
    <row r="1154" spans="1:9">
      <c r="A1154" s="12" t="s">
        <v>1336</v>
      </c>
      <c r="B1154" s="12" t="s">
        <v>157</v>
      </c>
      <c r="C1154" s="15">
        <v>12292815</v>
      </c>
      <c r="D1154" s="13">
        <v>37</v>
      </c>
      <c r="F1154" s="12" t="s">
        <v>2616</v>
      </c>
      <c r="G1154" s="12" t="s">
        <v>159</v>
      </c>
      <c r="H1154" s="15">
        <v>72000</v>
      </c>
      <c r="I1154" s="13">
        <v>50</v>
      </c>
    </row>
    <row r="1155" spans="1:9">
      <c r="A1155" s="12" t="s">
        <v>1752</v>
      </c>
      <c r="B1155" s="12" t="s">
        <v>157</v>
      </c>
      <c r="C1155" s="15">
        <v>108832</v>
      </c>
      <c r="D1155" s="13">
        <v>37</v>
      </c>
      <c r="F1155" s="12" t="s">
        <v>2617</v>
      </c>
      <c r="G1155" s="12" t="s">
        <v>159</v>
      </c>
      <c r="H1155" s="15">
        <v>198700</v>
      </c>
      <c r="I1155" s="13">
        <v>50</v>
      </c>
    </row>
    <row r="1156" spans="1:9">
      <c r="A1156" s="12" t="s">
        <v>2618</v>
      </c>
      <c r="B1156" s="12" t="s">
        <v>157</v>
      </c>
      <c r="C1156" s="15">
        <v>52455</v>
      </c>
      <c r="D1156" s="13">
        <v>37</v>
      </c>
      <c r="F1156" s="12" t="s">
        <v>2619</v>
      </c>
      <c r="G1156" s="12" t="s">
        <v>159</v>
      </c>
      <c r="H1156" s="15">
        <v>82400</v>
      </c>
      <c r="I1156" s="13">
        <v>50</v>
      </c>
    </row>
    <row r="1157" spans="1:9">
      <c r="A1157" s="12" t="s">
        <v>2620</v>
      </c>
      <c r="B1157" s="12" t="s">
        <v>157</v>
      </c>
      <c r="C1157" s="15">
        <v>30579</v>
      </c>
      <c r="D1157" s="13">
        <v>37</v>
      </c>
      <c r="F1157" s="12" t="s">
        <v>2621</v>
      </c>
      <c r="G1157" s="12" t="s">
        <v>157</v>
      </c>
      <c r="H1157" s="15">
        <v>10151</v>
      </c>
      <c r="I1157" s="13">
        <v>50</v>
      </c>
    </row>
    <row r="1158" spans="1:9">
      <c r="A1158" s="12" t="s">
        <v>2622</v>
      </c>
      <c r="B1158" s="12" t="s">
        <v>157</v>
      </c>
      <c r="C1158" s="15">
        <v>16843</v>
      </c>
      <c r="D1158" s="13">
        <v>37</v>
      </c>
      <c r="F1158" s="12" t="s">
        <v>2623</v>
      </c>
      <c r="G1158" s="12" t="s">
        <v>159</v>
      </c>
      <c r="H1158" s="15">
        <v>138000</v>
      </c>
      <c r="I1158" s="13">
        <v>50</v>
      </c>
    </row>
    <row r="1159" spans="1:9">
      <c r="A1159" s="12" t="s">
        <v>1757</v>
      </c>
      <c r="B1159" s="12" t="s">
        <v>157</v>
      </c>
      <c r="C1159" s="15">
        <v>117390</v>
      </c>
      <c r="D1159" s="13">
        <v>37</v>
      </c>
      <c r="F1159" s="12" t="s">
        <v>2624</v>
      </c>
      <c r="G1159" s="12" t="s">
        <v>157</v>
      </c>
      <c r="H1159" s="15">
        <v>25122</v>
      </c>
      <c r="I1159" s="13">
        <v>50</v>
      </c>
    </row>
    <row r="1160" spans="1:9">
      <c r="A1160" s="12" t="s">
        <v>2625</v>
      </c>
      <c r="B1160" s="12" t="s">
        <v>157</v>
      </c>
      <c r="C1160" s="15">
        <v>79968</v>
      </c>
      <c r="D1160" s="13">
        <v>37</v>
      </c>
      <c r="F1160" s="12" t="s">
        <v>982</v>
      </c>
      <c r="G1160" s="12" t="s">
        <v>157</v>
      </c>
      <c r="H1160" s="15">
        <v>12792</v>
      </c>
      <c r="I1160" s="13">
        <v>50</v>
      </c>
    </row>
    <row r="1161" spans="1:9">
      <c r="A1161" s="12" t="s">
        <v>2626</v>
      </c>
      <c r="B1161" s="12" t="s">
        <v>157</v>
      </c>
      <c r="C1161" s="15">
        <v>11701</v>
      </c>
      <c r="D1161" s="13">
        <v>37</v>
      </c>
      <c r="F1161" s="12" t="s">
        <v>2627</v>
      </c>
      <c r="G1161" s="12" t="s">
        <v>159</v>
      </c>
      <c r="H1161" s="15">
        <v>13200</v>
      </c>
      <c r="I1161" s="13">
        <v>50</v>
      </c>
    </row>
    <row r="1162" spans="1:9">
      <c r="A1162" s="12" t="s">
        <v>2628</v>
      </c>
      <c r="B1162" s="12" t="s">
        <v>157</v>
      </c>
      <c r="C1162" s="15">
        <v>13451</v>
      </c>
      <c r="D1162" s="13">
        <v>37</v>
      </c>
      <c r="F1162" s="12" t="s">
        <v>2629</v>
      </c>
      <c r="G1162" s="12" t="s">
        <v>159</v>
      </c>
      <c r="H1162" s="15">
        <v>3000000</v>
      </c>
      <c r="I1162" s="13">
        <v>50</v>
      </c>
    </row>
    <row r="1163" spans="1:9">
      <c r="A1163" s="12" t="s">
        <v>2630</v>
      </c>
      <c r="B1163" s="12" t="s">
        <v>157</v>
      </c>
      <c r="C1163" s="15">
        <v>81674</v>
      </c>
      <c r="D1163" s="13">
        <v>37</v>
      </c>
      <c r="F1163" s="12" t="s">
        <v>2631</v>
      </c>
      <c r="G1163" s="12" t="s">
        <v>159</v>
      </c>
      <c r="H1163" s="15">
        <v>435400</v>
      </c>
      <c r="I1163" s="13">
        <v>50</v>
      </c>
    </row>
    <row r="1164" spans="1:9">
      <c r="A1164" s="12" t="s">
        <v>2632</v>
      </c>
      <c r="B1164" s="12" t="s">
        <v>157</v>
      </c>
      <c r="C1164" s="15">
        <v>16161</v>
      </c>
      <c r="D1164" s="13">
        <v>37</v>
      </c>
      <c r="F1164" s="12" t="s">
        <v>2633</v>
      </c>
      <c r="G1164" s="12" t="s">
        <v>157</v>
      </c>
      <c r="H1164" s="15">
        <v>22249</v>
      </c>
      <c r="I1164" s="13">
        <v>50</v>
      </c>
    </row>
    <row r="1165" spans="1:9">
      <c r="A1165" s="12" t="s">
        <v>2634</v>
      </c>
      <c r="B1165" s="12" t="s">
        <v>157</v>
      </c>
      <c r="C1165" s="15">
        <v>77809</v>
      </c>
      <c r="D1165" s="13">
        <v>37</v>
      </c>
      <c r="F1165" s="12" t="s">
        <v>2635</v>
      </c>
      <c r="G1165" s="12" t="s">
        <v>159</v>
      </c>
      <c r="H1165" s="15">
        <v>36493</v>
      </c>
      <c r="I1165" s="13">
        <v>50</v>
      </c>
    </row>
    <row r="1166" spans="1:9">
      <c r="A1166" s="12" t="s">
        <v>1769</v>
      </c>
      <c r="B1166" s="12" t="s">
        <v>157</v>
      </c>
      <c r="C1166" s="15">
        <v>102033</v>
      </c>
      <c r="D1166" s="13">
        <v>37</v>
      </c>
      <c r="F1166" s="12" t="s">
        <v>2636</v>
      </c>
      <c r="G1166" s="12" t="s">
        <v>157</v>
      </c>
      <c r="H1166" s="15">
        <v>33749</v>
      </c>
      <c r="I1166" s="13">
        <v>50</v>
      </c>
    </row>
    <row r="1167" spans="1:9">
      <c r="A1167" s="12" t="s">
        <v>2637</v>
      </c>
      <c r="B1167" s="12" t="s">
        <v>157</v>
      </c>
      <c r="C1167" s="15">
        <v>49003</v>
      </c>
      <c r="D1167" s="13">
        <v>36</v>
      </c>
      <c r="F1167" s="12" t="s">
        <v>2638</v>
      </c>
      <c r="G1167" s="12" t="s">
        <v>157</v>
      </c>
      <c r="H1167" s="15">
        <v>10043</v>
      </c>
      <c r="I1167" s="13">
        <v>50</v>
      </c>
    </row>
    <row r="1168" spans="1:9">
      <c r="A1168" s="12" t="s">
        <v>2639</v>
      </c>
      <c r="B1168" s="12" t="s">
        <v>157</v>
      </c>
      <c r="C1168" s="15">
        <v>47276</v>
      </c>
      <c r="D1168" s="13">
        <v>36</v>
      </c>
      <c r="F1168" s="12" t="s">
        <v>985</v>
      </c>
      <c r="G1168" s="12" t="s">
        <v>157</v>
      </c>
      <c r="H1168" s="15">
        <v>21366</v>
      </c>
      <c r="I1168" s="13">
        <v>50</v>
      </c>
    </row>
    <row r="1169" spans="1:9">
      <c r="A1169" s="12" t="s">
        <v>2640</v>
      </c>
      <c r="B1169" s="12" t="s">
        <v>157</v>
      </c>
      <c r="C1169" s="15">
        <v>43810</v>
      </c>
      <c r="D1169" s="13">
        <v>36</v>
      </c>
      <c r="F1169" s="12" t="s">
        <v>2641</v>
      </c>
      <c r="G1169" s="12" t="s">
        <v>159</v>
      </c>
      <c r="H1169" s="15">
        <v>359900</v>
      </c>
      <c r="I1169" s="13">
        <v>50</v>
      </c>
    </row>
    <row r="1170" spans="1:9">
      <c r="A1170" s="12" t="s">
        <v>452</v>
      </c>
      <c r="B1170" s="12" t="s">
        <v>157</v>
      </c>
      <c r="C1170" s="15">
        <v>679264838</v>
      </c>
      <c r="D1170" s="13">
        <v>36</v>
      </c>
      <c r="F1170" s="12" t="s">
        <v>2642</v>
      </c>
      <c r="G1170" s="12" t="s">
        <v>157</v>
      </c>
      <c r="H1170" s="15">
        <v>13602</v>
      </c>
      <c r="I1170" s="13">
        <v>50</v>
      </c>
    </row>
    <row r="1171" spans="1:9">
      <c r="A1171" s="12" t="s">
        <v>2643</v>
      </c>
      <c r="B1171" s="12" t="s">
        <v>157</v>
      </c>
      <c r="C1171" s="15">
        <v>44088</v>
      </c>
      <c r="D1171" s="13">
        <v>36</v>
      </c>
      <c r="F1171" s="12" t="s">
        <v>2644</v>
      </c>
      <c r="G1171" s="12" t="s">
        <v>157</v>
      </c>
      <c r="H1171" s="15">
        <v>14064</v>
      </c>
      <c r="I1171" s="13">
        <v>50</v>
      </c>
    </row>
    <row r="1172" spans="1:9">
      <c r="A1172" s="12" t="s">
        <v>1776</v>
      </c>
      <c r="B1172" s="12" t="s">
        <v>157</v>
      </c>
      <c r="C1172" s="15">
        <v>112800</v>
      </c>
      <c r="D1172" s="13">
        <v>36</v>
      </c>
      <c r="F1172" s="12" t="s">
        <v>2645</v>
      </c>
      <c r="G1172" s="12" t="s">
        <v>157</v>
      </c>
      <c r="H1172" s="15">
        <v>17019</v>
      </c>
      <c r="I1172" s="13">
        <v>50</v>
      </c>
    </row>
    <row r="1173" spans="1:9">
      <c r="A1173" s="12" t="s">
        <v>2646</v>
      </c>
      <c r="B1173" s="12" t="s">
        <v>157</v>
      </c>
      <c r="C1173" s="15">
        <v>36299</v>
      </c>
      <c r="D1173" s="13">
        <v>36</v>
      </c>
      <c r="F1173" s="12" t="s">
        <v>2647</v>
      </c>
      <c r="G1173" s="12" t="s">
        <v>157</v>
      </c>
      <c r="H1173" s="15">
        <v>12235</v>
      </c>
      <c r="I1173" s="13">
        <v>50</v>
      </c>
    </row>
    <row r="1174" spans="1:9">
      <c r="A1174" s="12" t="s">
        <v>2648</v>
      </c>
      <c r="B1174" s="12" t="s">
        <v>157</v>
      </c>
      <c r="C1174" s="15">
        <v>53803</v>
      </c>
      <c r="D1174" s="13">
        <v>36</v>
      </c>
      <c r="F1174" s="12" t="s">
        <v>988</v>
      </c>
      <c r="G1174" s="12" t="s">
        <v>157</v>
      </c>
      <c r="H1174" s="15">
        <v>30260</v>
      </c>
      <c r="I1174" s="13">
        <v>50</v>
      </c>
    </row>
    <row r="1175" spans="1:9">
      <c r="A1175" s="12" t="s">
        <v>888</v>
      </c>
      <c r="B1175" s="12" t="s">
        <v>157</v>
      </c>
      <c r="C1175" s="15">
        <v>382923</v>
      </c>
      <c r="D1175" s="13">
        <v>36</v>
      </c>
      <c r="F1175" s="12" t="s">
        <v>2649</v>
      </c>
      <c r="G1175" s="12" t="s">
        <v>157</v>
      </c>
      <c r="H1175" s="15">
        <v>31484</v>
      </c>
      <c r="I1175" s="13">
        <v>50</v>
      </c>
    </row>
    <row r="1176" spans="1:9">
      <c r="A1176" s="12" t="s">
        <v>2650</v>
      </c>
      <c r="B1176" s="12" t="s">
        <v>157</v>
      </c>
      <c r="C1176" s="15">
        <v>98899</v>
      </c>
      <c r="D1176" s="13">
        <v>36</v>
      </c>
      <c r="F1176" s="12" t="s">
        <v>2651</v>
      </c>
      <c r="G1176" s="12" t="s">
        <v>159</v>
      </c>
      <c r="H1176" s="15">
        <v>38700</v>
      </c>
      <c r="I1176" s="13">
        <v>50</v>
      </c>
    </row>
    <row r="1177" spans="1:9">
      <c r="A1177" s="12" t="s">
        <v>2652</v>
      </c>
      <c r="B1177" s="12" t="s">
        <v>157</v>
      </c>
      <c r="C1177" s="15">
        <v>48245</v>
      </c>
      <c r="D1177" s="13">
        <v>36</v>
      </c>
      <c r="F1177" s="12" t="s">
        <v>2653</v>
      </c>
      <c r="G1177" s="12" t="s">
        <v>159</v>
      </c>
      <c r="H1177" s="15">
        <v>16200</v>
      </c>
      <c r="I1177" s="13">
        <v>50</v>
      </c>
    </row>
    <row r="1178" spans="1:9">
      <c r="A1178" s="12" t="s">
        <v>2654</v>
      </c>
      <c r="B1178" s="12" t="s">
        <v>157</v>
      </c>
      <c r="C1178" s="15">
        <v>50437</v>
      </c>
      <c r="D1178" s="13">
        <v>36</v>
      </c>
      <c r="F1178" s="12" t="s">
        <v>2655</v>
      </c>
      <c r="G1178" s="12" t="s">
        <v>159</v>
      </c>
      <c r="H1178" s="15">
        <v>16900</v>
      </c>
      <c r="I1178" s="13">
        <v>50</v>
      </c>
    </row>
    <row r="1179" spans="1:9">
      <c r="A1179" s="12" t="s">
        <v>2656</v>
      </c>
      <c r="B1179" s="12" t="s">
        <v>157</v>
      </c>
      <c r="C1179" s="15">
        <v>75227</v>
      </c>
      <c r="D1179" s="13">
        <v>36</v>
      </c>
      <c r="F1179" s="12" t="s">
        <v>2657</v>
      </c>
      <c r="G1179" s="12" t="s">
        <v>157</v>
      </c>
      <c r="H1179" s="15">
        <v>23120</v>
      </c>
      <c r="I1179" s="13">
        <v>50</v>
      </c>
    </row>
    <row r="1180" spans="1:9">
      <c r="A1180" s="12" t="s">
        <v>2658</v>
      </c>
      <c r="B1180" s="12" t="s">
        <v>157</v>
      </c>
      <c r="C1180" s="15">
        <v>52304</v>
      </c>
      <c r="D1180" s="13">
        <v>36</v>
      </c>
      <c r="F1180" s="12" t="s">
        <v>2659</v>
      </c>
      <c r="G1180" s="12" t="s">
        <v>159</v>
      </c>
      <c r="H1180" s="15">
        <v>10900</v>
      </c>
      <c r="I1180" s="13">
        <v>50</v>
      </c>
    </row>
    <row r="1181" spans="1:9">
      <c r="A1181" s="12" t="s">
        <v>2660</v>
      </c>
      <c r="B1181" s="12" t="s">
        <v>157</v>
      </c>
      <c r="C1181" s="15">
        <v>47782</v>
      </c>
      <c r="D1181" s="13">
        <v>36</v>
      </c>
      <c r="F1181" s="12" t="s">
        <v>2661</v>
      </c>
      <c r="G1181" s="12" t="s">
        <v>157</v>
      </c>
      <c r="H1181" s="15">
        <v>17649</v>
      </c>
      <c r="I1181" s="13">
        <v>50</v>
      </c>
    </row>
    <row r="1182" spans="1:9">
      <c r="A1182" s="12" t="s">
        <v>2662</v>
      </c>
      <c r="B1182" s="12" t="s">
        <v>157</v>
      </c>
      <c r="C1182" s="15">
        <v>27901</v>
      </c>
      <c r="D1182" s="13">
        <v>36</v>
      </c>
      <c r="F1182" s="12" t="s">
        <v>2663</v>
      </c>
      <c r="G1182" s="12" t="s">
        <v>159</v>
      </c>
      <c r="H1182" s="15">
        <v>27100</v>
      </c>
      <c r="I1182" s="13">
        <v>50</v>
      </c>
    </row>
    <row r="1183" spans="1:9">
      <c r="A1183" s="12" t="s">
        <v>2664</v>
      </c>
      <c r="B1183" s="12" t="s">
        <v>157</v>
      </c>
      <c r="C1183" s="15">
        <v>42342</v>
      </c>
      <c r="D1183" s="13">
        <v>36</v>
      </c>
      <c r="F1183" s="12" t="s">
        <v>2665</v>
      </c>
      <c r="G1183" s="12" t="s">
        <v>159</v>
      </c>
      <c r="H1183" s="15">
        <v>393600</v>
      </c>
      <c r="I1183" s="13">
        <v>50</v>
      </c>
    </row>
    <row r="1184" spans="1:9">
      <c r="A1184" s="12" t="s">
        <v>2666</v>
      </c>
      <c r="B1184" s="12" t="s">
        <v>157</v>
      </c>
      <c r="C1184" s="15">
        <v>36998</v>
      </c>
      <c r="D1184" s="13">
        <v>36</v>
      </c>
      <c r="F1184" s="12" t="s">
        <v>2667</v>
      </c>
      <c r="G1184" s="12" t="s">
        <v>159</v>
      </c>
      <c r="H1184" s="15">
        <v>25500</v>
      </c>
      <c r="I1184" s="13">
        <v>50</v>
      </c>
    </row>
    <row r="1185" spans="1:9">
      <c r="A1185" s="12" t="s">
        <v>2668</v>
      </c>
      <c r="B1185" s="12" t="s">
        <v>157</v>
      </c>
      <c r="C1185" s="15">
        <v>51636</v>
      </c>
      <c r="D1185" s="13">
        <v>36</v>
      </c>
      <c r="F1185" s="12" t="s">
        <v>2669</v>
      </c>
      <c r="G1185" s="12" t="s">
        <v>157</v>
      </c>
      <c r="H1185" s="15">
        <v>27497</v>
      </c>
      <c r="I1185" s="13">
        <v>50</v>
      </c>
    </row>
    <row r="1186" spans="1:9">
      <c r="A1186" s="12" t="s">
        <v>2670</v>
      </c>
      <c r="B1186" s="12" t="s">
        <v>157</v>
      </c>
      <c r="C1186" s="15">
        <v>89267</v>
      </c>
      <c r="D1186" s="13">
        <v>36</v>
      </c>
      <c r="F1186" s="12" t="s">
        <v>2671</v>
      </c>
      <c r="G1186" s="12" t="s">
        <v>157</v>
      </c>
      <c r="H1186" s="15">
        <v>15423</v>
      </c>
      <c r="I1186" s="13">
        <v>50</v>
      </c>
    </row>
    <row r="1187" spans="1:9">
      <c r="A1187" s="12" t="s">
        <v>2672</v>
      </c>
      <c r="B1187" s="12" t="s">
        <v>157</v>
      </c>
      <c r="C1187" s="15">
        <v>83488</v>
      </c>
      <c r="D1187" s="13">
        <v>36</v>
      </c>
      <c r="F1187" s="12" t="s">
        <v>2673</v>
      </c>
      <c r="G1187" s="12" t="s">
        <v>157</v>
      </c>
      <c r="H1187" s="15">
        <v>12998</v>
      </c>
      <c r="I1187" s="13">
        <v>50</v>
      </c>
    </row>
    <row r="1188" spans="1:9">
      <c r="A1188" s="12" t="s">
        <v>2674</v>
      </c>
      <c r="B1188" s="12" t="s">
        <v>157</v>
      </c>
      <c r="C1188" s="15">
        <v>35806</v>
      </c>
      <c r="D1188" s="13">
        <v>35</v>
      </c>
      <c r="F1188" s="12" t="s">
        <v>2675</v>
      </c>
      <c r="G1188" s="12" t="s">
        <v>159</v>
      </c>
      <c r="H1188" s="15">
        <v>192300</v>
      </c>
      <c r="I1188" s="13">
        <v>50</v>
      </c>
    </row>
    <row r="1189" spans="1:9">
      <c r="A1189" s="12" t="s">
        <v>915</v>
      </c>
      <c r="B1189" s="12" t="s">
        <v>157</v>
      </c>
      <c r="C1189" s="15">
        <v>19119</v>
      </c>
      <c r="D1189" s="13">
        <v>35</v>
      </c>
      <c r="F1189" s="12" t="s">
        <v>2676</v>
      </c>
      <c r="G1189" s="12" t="s">
        <v>159</v>
      </c>
      <c r="H1189" s="15">
        <v>12000</v>
      </c>
      <c r="I1189" s="13">
        <v>50</v>
      </c>
    </row>
    <row r="1190" spans="1:9">
      <c r="A1190" s="12" t="s">
        <v>2677</v>
      </c>
      <c r="B1190" s="12" t="s">
        <v>157</v>
      </c>
      <c r="C1190" s="15">
        <v>49576</v>
      </c>
      <c r="D1190" s="13">
        <v>35</v>
      </c>
      <c r="F1190" s="12" t="s">
        <v>990</v>
      </c>
      <c r="G1190" s="12" t="s">
        <v>157</v>
      </c>
      <c r="H1190" s="15">
        <v>14225</v>
      </c>
      <c r="I1190" s="13">
        <v>50</v>
      </c>
    </row>
    <row r="1191" spans="1:9">
      <c r="A1191" s="12" t="s">
        <v>2678</v>
      </c>
      <c r="B1191" s="12" t="s">
        <v>157</v>
      </c>
      <c r="C1191" s="15">
        <v>59672</v>
      </c>
      <c r="D1191" s="13">
        <v>35</v>
      </c>
      <c r="F1191" s="12" t="s">
        <v>2679</v>
      </c>
      <c r="G1191" s="12" t="s">
        <v>159</v>
      </c>
      <c r="H1191" s="15">
        <v>191000</v>
      </c>
      <c r="I1191" s="13">
        <v>50</v>
      </c>
    </row>
    <row r="1192" spans="1:9">
      <c r="A1192" s="12" t="s">
        <v>2680</v>
      </c>
      <c r="B1192" s="12" t="s">
        <v>157</v>
      </c>
      <c r="C1192" s="15">
        <v>40290</v>
      </c>
      <c r="D1192" s="13">
        <v>35</v>
      </c>
      <c r="F1192" s="12" t="s">
        <v>2681</v>
      </c>
      <c r="G1192" s="12" t="s">
        <v>159</v>
      </c>
      <c r="H1192" s="15">
        <v>836100</v>
      </c>
      <c r="I1192" s="13">
        <v>50</v>
      </c>
    </row>
    <row r="1193" spans="1:9">
      <c r="A1193" s="12" t="s">
        <v>1784</v>
      </c>
      <c r="B1193" s="12" t="s">
        <v>157</v>
      </c>
      <c r="C1193" s="15">
        <v>200688</v>
      </c>
      <c r="D1193" s="13">
        <v>35</v>
      </c>
      <c r="F1193" s="12" t="s">
        <v>2682</v>
      </c>
      <c r="G1193" s="12" t="s">
        <v>159</v>
      </c>
      <c r="H1193" s="15">
        <v>55201</v>
      </c>
      <c r="I1193" s="13">
        <v>50</v>
      </c>
    </row>
    <row r="1194" spans="1:9">
      <c r="A1194" s="12" t="s">
        <v>2683</v>
      </c>
      <c r="B1194" s="12" t="s">
        <v>157</v>
      </c>
      <c r="C1194" s="15">
        <v>43865</v>
      </c>
      <c r="D1194" s="13">
        <v>35</v>
      </c>
      <c r="F1194" s="12" t="s">
        <v>993</v>
      </c>
      <c r="G1194" s="12" t="s">
        <v>157</v>
      </c>
      <c r="H1194" s="15">
        <v>15776</v>
      </c>
      <c r="I1194" s="13">
        <v>50</v>
      </c>
    </row>
    <row r="1195" spans="1:9">
      <c r="A1195" s="12" t="s">
        <v>2684</v>
      </c>
      <c r="B1195" s="12" t="s">
        <v>157</v>
      </c>
      <c r="C1195" s="15">
        <v>44798</v>
      </c>
      <c r="D1195" s="13">
        <v>35</v>
      </c>
      <c r="F1195" s="12" t="s">
        <v>2685</v>
      </c>
      <c r="G1195" s="12" t="s">
        <v>159</v>
      </c>
      <c r="H1195" s="15">
        <v>58900</v>
      </c>
      <c r="I1195" s="13">
        <v>50</v>
      </c>
    </row>
    <row r="1196" spans="1:9">
      <c r="A1196" s="12" t="s">
        <v>2686</v>
      </c>
      <c r="B1196" s="12" t="s">
        <v>157</v>
      </c>
      <c r="C1196" s="15">
        <v>49207</v>
      </c>
      <c r="D1196" s="13">
        <v>35</v>
      </c>
      <c r="F1196" s="12" t="s">
        <v>996</v>
      </c>
      <c r="G1196" s="12" t="s">
        <v>157</v>
      </c>
      <c r="H1196" s="15">
        <v>10134</v>
      </c>
      <c r="I1196" s="13">
        <v>50</v>
      </c>
    </row>
    <row r="1197" spans="1:9">
      <c r="A1197" s="12" t="s">
        <v>2687</v>
      </c>
      <c r="B1197" s="12" t="s">
        <v>157</v>
      </c>
      <c r="C1197" s="15">
        <v>52303</v>
      </c>
      <c r="D1197" s="13">
        <v>35</v>
      </c>
      <c r="F1197" s="12" t="s">
        <v>2688</v>
      </c>
      <c r="G1197" s="12" t="s">
        <v>159</v>
      </c>
      <c r="H1197" s="15">
        <v>19473</v>
      </c>
      <c r="I1197" s="13">
        <v>50</v>
      </c>
    </row>
    <row r="1198" spans="1:9">
      <c r="A1198" s="12" t="s">
        <v>2689</v>
      </c>
      <c r="B1198" s="12" t="s">
        <v>157</v>
      </c>
      <c r="C1198" s="15">
        <v>37588</v>
      </c>
      <c r="D1198" s="13">
        <v>35</v>
      </c>
      <c r="F1198" s="12" t="s">
        <v>2690</v>
      </c>
      <c r="G1198" s="12" t="s">
        <v>159</v>
      </c>
      <c r="H1198" s="15">
        <v>22600</v>
      </c>
      <c r="I1198" s="13">
        <v>50</v>
      </c>
    </row>
    <row r="1199" spans="1:9">
      <c r="A1199" s="12" t="s">
        <v>824</v>
      </c>
      <c r="B1199" s="12" t="s">
        <v>157</v>
      </c>
      <c r="C1199" s="15">
        <v>516185245</v>
      </c>
      <c r="D1199" s="13">
        <v>35</v>
      </c>
      <c r="F1199" s="12" t="s">
        <v>2691</v>
      </c>
      <c r="G1199" s="12" t="s">
        <v>157</v>
      </c>
      <c r="H1199" s="15">
        <v>30292</v>
      </c>
      <c r="I1199" s="13">
        <v>50</v>
      </c>
    </row>
    <row r="1200" spans="1:9">
      <c r="A1200" s="12" t="s">
        <v>1789</v>
      </c>
      <c r="B1200" s="12" t="s">
        <v>157</v>
      </c>
      <c r="C1200" s="15">
        <v>291117</v>
      </c>
      <c r="D1200" s="13">
        <v>35</v>
      </c>
      <c r="F1200" s="12" t="s">
        <v>2692</v>
      </c>
      <c r="G1200" s="12" t="s">
        <v>157</v>
      </c>
      <c r="H1200" s="15">
        <v>10316</v>
      </c>
      <c r="I1200" s="13">
        <v>50</v>
      </c>
    </row>
    <row r="1201" spans="1:9">
      <c r="A1201" s="12" t="s">
        <v>2693</v>
      </c>
      <c r="B1201" s="12" t="s">
        <v>157</v>
      </c>
      <c r="C1201" s="15">
        <v>68536</v>
      </c>
      <c r="D1201" s="13">
        <v>35</v>
      </c>
      <c r="F1201" s="12" t="s">
        <v>2694</v>
      </c>
      <c r="G1201" s="12" t="s">
        <v>159</v>
      </c>
      <c r="H1201" s="15">
        <v>32600</v>
      </c>
      <c r="I1201" s="13">
        <v>50</v>
      </c>
    </row>
    <row r="1202" spans="1:9">
      <c r="A1202" s="12" t="s">
        <v>2695</v>
      </c>
      <c r="B1202" s="12" t="s">
        <v>157</v>
      </c>
      <c r="C1202" s="15">
        <v>74427</v>
      </c>
      <c r="D1202" s="13">
        <v>35</v>
      </c>
      <c r="F1202" s="12" t="s">
        <v>2696</v>
      </c>
      <c r="G1202" s="12" t="s">
        <v>159</v>
      </c>
      <c r="H1202" s="15">
        <v>43400</v>
      </c>
      <c r="I1202" s="13">
        <v>50</v>
      </c>
    </row>
    <row r="1203" spans="1:9">
      <c r="A1203" s="12" t="s">
        <v>1794</v>
      </c>
      <c r="B1203" s="12" t="s">
        <v>157</v>
      </c>
      <c r="C1203" s="15">
        <v>120903</v>
      </c>
      <c r="D1203" s="13">
        <v>35</v>
      </c>
      <c r="F1203" s="12" t="s">
        <v>2697</v>
      </c>
      <c r="G1203" s="12" t="s">
        <v>159</v>
      </c>
      <c r="H1203" s="15">
        <v>116700</v>
      </c>
      <c r="I1203" s="13">
        <v>50</v>
      </c>
    </row>
    <row r="1204" spans="1:9">
      <c r="A1204" s="12" t="s">
        <v>2698</v>
      </c>
      <c r="B1204" s="12" t="s">
        <v>157</v>
      </c>
      <c r="C1204" s="15">
        <v>69666</v>
      </c>
      <c r="D1204" s="13">
        <v>35</v>
      </c>
      <c r="F1204" s="12" t="s">
        <v>999</v>
      </c>
      <c r="G1204" s="12" t="s">
        <v>157</v>
      </c>
      <c r="H1204" s="15">
        <v>13838</v>
      </c>
      <c r="I1204" s="13">
        <v>50</v>
      </c>
    </row>
    <row r="1205" spans="1:9">
      <c r="A1205" s="12" t="s">
        <v>2699</v>
      </c>
      <c r="B1205" s="12" t="s">
        <v>157</v>
      </c>
      <c r="C1205" s="15">
        <v>46898</v>
      </c>
      <c r="D1205" s="13">
        <v>35</v>
      </c>
      <c r="F1205" s="12" t="s">
        <v>2700</v>
      </c>
      <c r="G1205" s="12" t="s">
        <v>159</v>
      </c>
      <c r="H1205" s="15">
        <v>48000</v>
      </c>
      <c r="I1205" s="13">
        <v>50</v>
      </c>
    </row>
    <row r="1206" spans="1:9">
      <c r="A1206" s="12" t="s">
        <v>2701</v>
      </c>
      <c r="B1206" s="12" t="s">
        <v>157</v>
      </c>
      <c r="C1206" s="15">
        <v>34503</v>
      </c>
      <c r="D1206" s="13">
        <v>35</v>
      </c>
      <c r="F1206" s="12" t="s">
        <v>2702</v>
      </c>
      <c r="G1206" s="12" t="s">
        <v>159</v>
      </c>
      <c r="H1206" s="15">
        <v>17800</v>
      </c>
      <c r="I1206" s="13">
        <v>50</v>
      </c>
    </row>
    <row r="1207" spans="1:9">
      <c r="A1207" s="12" t="s">
        <v>2703</v>
      </c>
      <c r="B1207" s="12" t="s">
        <v>157</v>
      </c>
      <c r="C1207" s="15">
        <v>64217</v>
      </c>
      <c r="D1207" s="13">
        <v>35</v>
      </c>
      <c r="F1207" s="12" t="s">
        <v>2704</v>
      </c>
      <c r="G1207" s="12" t="s">
        <v>157</v>
      </c>
      <c r="H1207" s="15">
        <v>13116</v>
      </c>
      <c r="I1207" s="13">
        <v>50</v>
      </c>
    </row>
    <row r="1208" spans="1:9">
      <c r="A1208" s="12" t="s">
        <v>2705</v>
      </c>
      <c r="B1208" s="12" t="s">
        <v>157</v>
      </c>
      <c r="C1208" s="15">
        <v>36032</v>
      </c>
      <c r="D1208" s="13">
        <v>35</v>
      </c>
      <c r="F1208" s="12" t="s">
        <v>2706</v>
      </c>
      <c r="G1208" s="12" t="s">
        <v>159</v>
      </c>
      <c r="H1208" s="15">
        <v>196300</v>
      </c>
      <c r="I1208" s="13">
        <v>50</v>
      </c>
    </row>
    <row r="1209" spans="1:9">
      <c r="A1209" s="12" t="s">
        <v>2707</v>
      </c>
      <c r="B1209" s="12" t="s">
        <v>157</v>
      </c>
      <c r="C1209" s="15">
        <v>52465</v>
      </c>
      <c r="D1209" s="13">
        <v>35</v>
      </c>
      <c r="F1209" s="12" t="s">
        <v>2708</v>
      </c>
      <c r="G1209" s="12" t="s">
        <v>157</v>
      </c>
      <c r="H1209" s="15">
        <v>16977</v>
      </c>
      <c r="I1209" s="13">
        <v>50</v>
      </c>
    </row>
    <row r="1210" spans="1:9">
      <c r="A1210" s="12" t="s">
        <v>2709</v>
      </c>
      <c r="B1210" s="12" t="s">
        <v>157</v>
      </c>
      <c r="C1210" s="15">
        <v>75709</v>
      </c>
      <c r="D1210" s="13">
        <v>34</v>
      </c>
      <c r="F1210" s="12" t="s">
        <v>2710</v>
      </c>
      <c r="G1210" s="12" t="s">
        <v>159</v>
      </c>
      <c r="H1210" s="15">
        <v>10200</v>
      </c>
      <c r="I1210" s="13">
        <v>50</v>
      </c>
    </row>
    <row r="1211" spans="1:9">
      <c r="A1211" s="12" t="s">
        <v>1801</v>
      </c>
      <c r="B1211" s="12" t="s">
        <v>157</v>
      </c>
      <c r="C1211" s="15">
        <v>153444</v>
      </c>
      <c r="D1211" s="13">
        <v>34</v>
      </c>
      <c r="F1211" s="12" t="s">
        <v>2711</v>
      </c>
      <c r="G1211" s="12" t="s">
        <v>157</v>
      </c>
      <c r="H1211" s="15">
        <v>18403</v>
      </c>
      <c r="I1211" s="13">
        <v>50</v>
      </c>
    </row>
    <row r="1212" spans="1:9">
      <c r="A1212" s="12" t="s">
        <v>2712</v>
      </c>
      <c r="B1212" s="12" t="s">
        <v>157</v>
      </c>
      <c r="C1212" s="15">
        <v>46743</v>
      </c>
      <c r="D1212" s="13">
        <v>34</v>
      </c>
      <c r="F1212" s="12" t="s">
        <v>2713</v>
      </c>
      <c r="G1212" s="12" t="s">
        <v>159</v>
      </c>
      <c r="H1212" s="15">
        <v>35600</v>
      </c>
      <c r="I1212" s="13">
        <v>50</v>
      </c>
    </row>
    <row r="1213" spans="1:9">
      <c r="A1213" s="12" t="s">
        <v>1821</v>
      </c>
      <c r="B1213" s="12" t="s">
        <v>157</v>
      </c>
      <c r="C1213" s="15">
        <v>108222</v>
      </c>
      <c r="D1213" s="13">
        <v>34</v>
      </c>
      <c r="F1213" s="12" t="s">
        <v>2714</v>
      </c>
      <c r="G1213" s="12" t="s">
        <v>159</v>
      </c>
      <c r="H1213" s="15">
        <v>159200</v>
      </c>
      <c r="I1213" s="13">
        <v>50</v>
      </c>
    </row>
    <row r="1214" spans="1:9">
      <c r="A1214" s="12" t="s">
        <v>2715</v>
      </c>
      <c r="B1214" s="12" t="s">
        <v>157</v>
      </c>
      <c r="C1214" s="15">
        <v>34144</v>
      </c>
      <c r="D1214" s="13">
        <v>34</v>
      </c>
      <c r="F1214" s="12" t="s">
        <v>2716</v>
      </c>
      <c r="G1214" s="12" t="s">
        <v>159</v>
      </c>
      <c r="H1214" s="15">
        <v>10200</v>
      </c>
      <c r="I1214" s="13">
        <v>50</v>
      </c>
    </row>
    <row r="1215" spans="1:9">
      <c r="A1215" s="12" t="s">
        <v>2717</v>
      </c>
      <c r="B1215" s="12" t="s">
        <v>157</v>
      </c>
      <c r="C1215" s="15">
        <v>53101</v>
      </c>
      <c r="D1215" s="13">
        <v>34</v>
      </c>
      <c r="F1215" s="12" t="s">
        <v>2718</v>
      </c>
      <c r="G1215" s="12" t="s">
        <v>159</v>
      </c>
      <c r="H1215" s="15">
        <v>2300000</v>
      </c>
      <c r="I1215" s="13">
        <v>50</v>
      </c>
    </row>
    <row r="1216" spans="1:9">
      <c r="A1216" s="12" t="s">
        <v>2719</v>
      </c>
      <c r="B1216" s="12" t="s">
        <v>157</v>
      </c>
      <c r="C1216" s="15">
        <v>40648</v>
      </c>
      <c r="D1216" s="13">
        <v>34</v>
      </c>
      <c r="F1216" s="12" t="s">
        <v>2720</v>
      </c>
      <c r="G1216" s="12" t="s">
        <v>159</v>
      </c>
      <c r="H1216" s="15">
        <v>151800</v>
      </c>
      <c r="I1216" s="13">
        <v>50</v>
      </c>
    </row>
    <row r="1217" spans="1:9">
      <c r="A1217" s="12" t="s">
        <v>1525</v>
      </c>
      <c r="B1217" s="12" t="s">
        <v>157</v>
      </c>
      <c r="C1217" s="15">
        <v>140906</v>
      </c>
      <c r="D1217" s="13">
        <v>34</v>
      </c>
      <c r="F1217" s="12" t="s">
        <v>1002</v>
      </c>
      <c r="G1217" s="12" t="s">
        <v>157</v>
      </c>
      <c r="H1217" s="15">
        <v>11331</v>
      </c>
      <c r="I1217" s="13">
        <v>50</v>
      </c>
    </row>
    <row r="1218" spans="1:9">
      <c r="A1218" s="12" t="s">
        <v>2721</v>
      </c>
      <c r="B1218" s="12" t="s">
        <v>157</v>
      </c>
      <c r="C1218" s="15">
        <v>56863</v>
      </c>
      <c r="D1218" s="13">
        <v>34</v>
      </c>
      <c r="F1218" s="12" t="s">
        <v>2722</v>
      </c>
      <c r="G1218" s="12" t="s">
        <v>157</v>
      </c>
      <c r="H1218" s="15">
        <v>15240</v>
      </c>
      <c r="I1218" s="13">
        <v>50</v>
      </c>
    </row>
    <row r="1219" spans="1:9">
      <c r="A1219" s="12" t="s">
        <v>956</v>
      </c>
      <c r="B1219" s="12" t="s">
        <v>157</v>
      </c>
      <c r="C1219" s="15">
        <v>28997</v>
      </c>
      <c r="D1219" s="13">
        <v>34</v>
      </c>
      <c r="F1219" s="12" t="s">
        <v>1004</v>
      </c>
      <c r="G1219" s="12" t="s">
        <v>157</v>
      </c>
      <c r="H1219" s="15">
        <v>13466</v>
      </c>
      <c r="I1219" s="13">
        <v>50</v>
      </c>
    </row>
    <row r="1220" spans="1:9">
      <c r="A1220" s="12" t="s">
        <v>963</v>
      </c>
      <c r="B1220" s="12" t="s">
        <v>157</v>
      </c>
      <c r="C1220" s="15">
        <v>121604</v>
      </c>
      <c r="D1220" s="13">
        <v>34</v>
      </c>
      <c r="F1220" s="12" t="s">
        <v>2723</v>
      </c>
      <c r="G1220" s="12" t="s">
        <v>159</v>
      </c>
      <c r="H1220" s="15">
        <v>10800</v>
      </c>
      <c r="I1220" s="13">
        <v>50</v>
      </c>
    </row>
    <row r="1221" spans="1:9">
      <c r="A1221" s="12" t="s">
        <v>2724</v>
      </c>
      <c r="B1221" s="12" t="s">
        <v>157</v>
      </c>
      <c r="C1221" s="15">
        <v>49651</v>
      </c>
      <c r="D1221" s="13">
        <v>33</v>
      </c>
      <c r="F1221" s="12" t="s">
        <v>2725</v>
      </c>
      <c r="G1221" s="12" t="s">
        <v>157</v>
      </c>
      <c r="H1221" s="15">
        <v>11077</v>
      </c>
      <c r="I1221" s="13">
        <v>50</v>
      </c>
    </row>
    <row r="1222" spans="1:9">
      <c r="A1222" s="12" t="s">
        <v>1815</v>
      </c>
      <c r="B1222" s="12" t="s">
        <v>157</v>
      </c>
      <c r="C1222" s="15">
        <v>126871</v>
      </c>
      <c r="D1222" s="13">
        <v>33</v>
      </c>
      <c r="F1222" s="12" t="s">
        <v>2726</v>
      </c>
      <c r="G1222" s="12" t="s">
        <v>159</v>
      </c>
      <c r="H1222" s="15">
        <v>85700</v>
      </c>
      <c r="I1222" s="13">
        <v>50</v>
      </c>
    </row>
    <row r="1223" spans="1:9">
      <c r="A1223" s="12" t="s">
        <v>2727</v>
      </c>
      <c r="B1223" s="12" t="s">
        <v>157</v>
      </c>
      <c r="C1223" s="15">
        <v>86480</v>
      </c>
      <c r="D1223" s="13">
        <v>33</v>
      </c>
      <c r="F1223" s="12" t="s">
        <v>2728</v>
      </c>
      <c r="G1223" s="12" t="s">
        <v>159</v>
      </c>
      <c r="H1223" s="15">
        <v>13900</v>
      </c>
      <c r="I1223" s="13">
        <v>50</v>
      </c>
    </row>
    <row r="1224" spans="1:9">
      <c r="A1224" s="12" t="s">
        <v>2729</v>
      </c>
      <c r="B1224" s="12" t="s">
        <v>157</v>
      </c>
      <c r="C1224" s="15">
        <v>62476</v>
      </c>
      <c r="D1224" s="13">
        <v>33</v>
      </c>
      <c r="F1224" s="12" t="s">
        <v>2730</v>
      </c>
      <c r="G1224" s="12" t="s">
        <v>159</v>
      </c>
      <c r="H1224" s="15">
        <v>11000</v>
      </c>
      <c r="I1224" s="13">
        <v>50</v>
      </c>
    </row>
    <row r="1225" spans="1:9">
      <c r="A1225" s="12" t="s">
        <v>2731</v>
      </c>
      <c r="B1225" s="12" t="s">
        <v>157</v>
      </c>
      <c r="C1225" s="15">
        <v>69656</v>
      </c>
      <c r="D1225" s="13">
        <v>33</v>
      </c>
      <c r="F1225" s="12" t="s">
        <v>2732</v>
      </c>
      <c r="G1225" s="12" t="s">
        <v>159</v>
      </c>
      <c r="H1225" s="15">
        <v>12599</v>
      </c>
      <c r="I1225" s="13">
        <v>50</v>
      </c>
    </row>
    <row r="1226" spans="1:9">
      <c r="A1226" s="12" t="s">
        <v>973</v>
      </c>
      <c r="B1226" s="12" t="s">
        <v>157</v>
      </c>
      <c r="C1226" s="15">
        <v>32174</v>
      </c>
      <c r="D1226" s="13">
        <v>33</v>
      </c>
      <c r="F1226" s="12" t="s">
        <v>1007</v>
      </c>
      <c r="G1226" s="12" t="s">
        <v>157</v>
      </c>
      <c r="H1226" s="15">
        <v>28417</v>
      </c>
      <c r="I1226" s="13">
        <v>50</v>
      </c>
    </row>
    <row r="1227" spans="1:9">
      <c r="A1227" s="12" t="s">
        <v>1798</v>
      </c>
      <c r="B1227" s="12" t="s">
        <v>157</v>
      </c>
      <c r="C1227" s="15">
        <v>115511</v>
      </c>
      <c r="D1227" s="13">
        <v>32</v>
      </c>
      <c r="F1227" s="12" t="s">
        <v>2733</v>
      </c>
      <c r="G1227" s="12" t="s">
        <v>157</v>
      </c>
      <c r="H1227" s="15">
        <v>12967</v>
      </c>
      <c r="I1227" s="13">
        <v>50</v>
      </c>
    </row>
    <row r="1228" spans="1:9">
      <c r="A1228" s="12" t="s">
        <v>1786</v>
      </c>
      <c r="B1228" s="12" t="s">
        <v>157</v>
      </c>
      <c r="C1228" s="15">
        <v>102492</v>
      </c>
      <c r="D1228" s="13">
        <v>32</v>
      </c>
      <c r="F1228" s="12" t="s">
        <v>2734</v>
      </c>
      <c r="G1228" s="12" t="s">
        <v>157</v>
      </c>
      <c r="H1228" s="15">
        <v>17664</v>
      </c>
      <c r="I1228" s="13">
        <v>50</v>
      </c>
    </row>
    <row r="1229" spans="1:9">
      <c r="A1229" s="12" t="s">
        <v>2735</v>
      </c>
      <c r="B1229" s="12" t="s">
        <v>157</v>
      </c>
      <c r="C1229" s="15">
        <v>49781</v>
      </c>
      <c r="D1229" s="13">
        <v>32</v>
      </c>
      <c r="F1229" s="12" t="s">
        <v>2736</v>
      </c>
      <c r="G1229" s="12" t="s">
        <v>159</v>
      </c>
      <c r="H1229" s="15">
        <v>567900</v>
      </c>
      <c r="I1229" s="13">
        <v>50</v>
      </c>
    </row>
    <row r="1230" spans="1:9">
      <c r="A1230" s="12" t="s">
        <v>2737</v>
      </c>
      <c r="B1230" s="12" t="s">
        <v>157</v>
      </c>
      <c r="C1230" s="15">
        <v>75558</v>
      </c>
      <c r="D1230" s="13">
        <v>32</v>
      </c>
      <c r="F1230" s="12" t="s">
        <v>2738</v>
      </c>
      <c r="G1230" s="12" t="s">
        <v>157</v>
      </c>
      <c r="H1230" s="15">
        <v>27432</v>
      </c>
      <c r="I1230" s="13">
        <v>50</v>
      </c>
    </row>
    <row r="1231" spans="1:9">
      <c r="A1231" s="12" t="s">
        <v>1622</v>
      </c>
      <c r="B1231" s="12" t="s">
        <v>157</v>
      </c>
      <c r="C1231" s="15">
        <v>934301</v>
      </c>
      <c r="D1231" s="13">
        <v>32</v>
      </c>
      <c r="F1231" s="12" t="s">
        <v>2739</v>
      </c>
      <c r="G1231" s="12" t="s">
        <v>157</v>
      </c>
      <c r="H1231" s="15">
        <v>11860</v>
      </c>
      <c r="I1231" s="13">
        <v>50</v>
      </c>
    </row>
    <row r="1232" spans="1:9">
      <c r="A1232" s="12" t="s">
        <v>2740</v>
      </c>
      <c r="B1232" s="12" t="s">
        <v>157</v>
      </c>
      <c r="C1232" s="15">
        <v>79928</v>
      </c>
      <c r="D1232" s="13">
        <v>32</v>
      </c>
      <c r="F1232" s="12" t="s">
        <v>2741</v>
      </c>
      <c r="G1232" s="12" t="s">
        <v>159</v>
      </c>
      <c r="H1232" s="15">
        <v>316400</v>
      </c>
      <c r="I1232" s="13">
        <v>50</v>
      </c>
    </row>
    <row r="1233" spans="1:9">
      <c r="A1233" s="12" t="s">
        <v>909</v>
      </c>
      <c r="B1233" s="12" t="s">
        <v>157</v>
      </c>
      <c r="C1233" s="15">
        <v>118392</v>
      </c>
      <c r="D1233" s="13">
        <v>31</v>
      </c>
      <c r="F1233" s="12" t="s">
        <v>2742</v>
      </c>
      <c r="G1233" s="12" t="s">
        <v>159</v>
      </c>
      <c r="H1233" s="15">
        <v>95900</v>
      </c>
      <c r="I1233" s="13">
        <v>50</v>
      </c>
    </row>
    <row r="1234" spans="1:9">
      <c r="A1234" s="12" t="s">
        <v>2743</v>
      </c>
      <c r="B1234" s="12" t="s">
        <v>157</v>
      </c>
      <c r="C1234" s="15">
        <v>53345</v>
      </c>
      <c r="D1234" s="13">
        <v>31</v>
      </c>
      <c r="F1234" s="12" t="s">
        <v>2744</v>
      </c>
      <c r="G1234" s="12" t="s">
        <v>159</v>
      </c>
      <c r="H1234" s="15">
        <v>14000</v>
      </c>
      <c r="I1234" s="13">
        <v>50</v>
      </c>
    </row>
    <row r="1235" spans="1:9">
      <c r="A1235" s="12" t="s">
        <v>2745</v>
      </c>
      <c r="B1235" s="12" t="s">
        <v>157</v>
      </c>
      <c r="C1235" s="15">
        <v>93466</v>
      </c>
      <c r="D1235" s="13">
        <v>31</v>
      </c>
      <c r="F1235" s="12" t="s">
        <v>2746</v>
      </c>
      <c r="G1235" s="12" t="s">
        <v>159</v>
      </c>
      <c r="H1235" s="15">
        <v>13500</v>
      </c>
      <c r="I1235" s="13">
        <v>50</v>
      </c>
    </row>
    <row r="1236" spans="1:9">
      <c r="A1236" s="12" t="s">
        <v>2747</v>
      </c>
      <c r="B1236" s="12" t="s">
        <v>157</v>
      </c>
      <c r="C1236" s="15">
        <v>69588</v>
      </c>
      <c r="D1236" s="13">
        <v>31</v>
      </c>
      <c r="F1236" s="12" t="s">
        <v>2748</v>
      </c>
      <c r="G1236" s="12" t="s">
        <v>157</v>
      </c>
      <c r="H1236" s="15">
        <v>11860</v>
      </c>
      <c r="I1236" s="13">
        <v>50</v>
      </c>
    </row>
    <row r="1237" spans="1:9">
      <c r="A1237" s="12" t="s">
        <v>1825</v>
      </c>
      <c r="B1237" s="12" t="s">
        <v>157</v>
      </c>
      <c r="C1237" s="15">
        <v>105892</v>
      </c>
      <c r="D1237" s="13">
        <v>31</v>
      </c>
      <c r="F1237" s="12" t="s">
        <v>2749</v>
      </c>
      <c r="G1237" s="12" t="s">
        <v>159</v>
      </c>
      <c r="H1237" s="15">
        <v>13300</v>
      </c>
      <c r="I1237" s="13">
        <v>50</v>
      </c>
    </row>
    <row r="1238" spans="1:9">
      <c r="A1238" s="12" t="s">
        <v>2750</v>
      </c>
      <c r="B1238" s="12" t="s">
        <v>157</v>
      </c>
      <c r="C1238" s="15">
        <v>32390</v>
      </c>
      <c r="D1238" s="13">
        <v>31</v>
      </c>
      <c r="F1238" s="12" t="s">
        <v>1009</v>
      </c>
      <c r="G1238" s="12" t="s">
        <v>157</v>
      </c>
      <c r="H1238" s="15">
        <v>16560</v>
      </c>
      <c r="I1238" s="13">
        <v>50</v>
      </c>
    </row>
    <row r="1239" spans="1:9">
      <c r="A1239" s="12" t="s">
        <v>2751</v>
      </c>
      <c r="B1239" s="12" t="s">
        <v>157</v>
      </c>
      <c r="C1239" s="15">
        <v>82507</v>
      </c>
      <c r="D1239" s="13">
        <v>31</v>
      </c>
      <c r="F1239" s="12" t="s">
        <v>2752</v>
      </c>
      <c r="G1239" s="12" t="s">
        <v>159</v>
      </c>
      <c r="H1239" s="15">
        <v>32800</v>
      </c>
      <c r="I1239" s="13">
        <v>50</v>
      </c>
    </row>
    <row r="1240" spans="1:9">
      <c r="A1240" s="12" t="s">
        <v>2753</v>
      </c>
      <c r="B1240" s="12" t="s">
        <v>157</v>
      </c>
      <c r="C1240" s="15">
        <v>37684</v>
      </c>
      <c r="D1240" s="13">
        <v>30</v>
      </c>
      <c r="F1240" s="12" t="s">
        <v>2754</v>
      </c>
      <c r="G1240" s="12" t="s">
        <v>159</v>
      </c>
      <c r="H1240" s="15">
        <v>658400</v>
      </c>
      <c r="I1240" s="13">
        <v>50</v>
      </c>
    </row>
    <row r="1241" spans="1:9">
      <c r="A1241" s="12" t="s">
        <v>1839</v>
      </c>
      <c r="B1241" s="12" t="s">
        <v>157</v>
      </c>
      <c r="C1241" s="15">
        <v>112810</v>
      </c>
      <c r="D1241" s="13">
        <v>30</v>
      </c>
      <c r="F1241" s="12" t="s">
        <v>2755</v>
      </c>
      <c r="G1241" s="12" t="s">
        <v>159</v>
      </c>
      <c r="H1241" s="15">
        <v>28400</v>
      </c>
      <c r="I1241" s="13">
        <v>50</v>
      </c>
    </row>
    <row r="1242" spans="1:9">
      <c r="A1242" s="12" t="s">
        <v>2756</v>
      </c>
      <c r="B1242" s="12" t="s">
        <v>157</v>
      </c>
      <c r="C1242" s="15">
        <v>43485</v>
      </c>
      <c r="D1242" s="13">
        <v>30</v>
      </c>
      <c r="F1242" s="12" t="s">
        <v>2757</v>
      </c>
      <c r="G1242" s="12" t="s">
        <v>159</v>
      </c>
      <c r="H1242" s="15">
        <v>89326</v>
      </c>
      <c r="I1242" s="13">
        <v>50</v>
      </c>
    </row>
    <row r="1243" spans="1:9">
      <c r="A1243" s="12" t="s">
        <v>2758</v>
      </c>
      <c r="B1243" s="12" t="s">
        <v>157</v>
      </c>
      <c r="C1243" s="15">
        <v>85611</v>
      </c>
      <c r="D1243" s="13">
        <v>30</v>
      </c>
      <c r="F1243" s="12" t="s">
        <v>2759</v>
      </c>
      <c r="G1243" s="12" t="s">
        <v>159</v>
      </c>
      <c r="H1243" s="15">
        <v>462800</v>
      </c>
      <c r="I1243" s="13">
        <v>50</v>
      </c>
    </row>
    <row r="1244" spans="1:9">
      <c r="A1244" s="12" t="s">
        <v>2760</v>
      </c>
      <c r="B1244" s="12" t="s">
        <v>157</v>
      </c>
      <c r="C1244" s="15">
        <v>77374</v>
      </c>
      <c r="D1244" s="13">
        <v>29</v>
      </c>
      <c r="F1244" s="12" t="s">
        <v>2761</v>
      </c>
      <c r="G1244" s="12" t="s">
        <v>157</v>
      </c>
      <c r="H1244" s="15">
        <v>13989</v>
      </c>
      <c r="I1244" s="13">
        <v>50</v>
      </c>
    </row>
    <row r="1245" spans="1:9">
      <c r="A1245" s="12" t="s">
        <v>1823</v>
      </c>
      <c r="B1245" s="12" t="s">
        <v>157</v>
      </c>
      <c r="C1245" s="15">
        <v>525410</v>
      </c>
      <c r="D1245" s="13">
        <v>26</v>
      </c>
      <c r="F1245" s="12" t="s">
        <v>1012</v>
      </c>
      <c r="G1245" s="12" t="s">
        <v>157</v>
      </c>
      <c r="H1245" s="15">
        <v>17811</v>
      </c>
      <c r="I1245" s="13">
        <v>50</v>
      </c>
    </row>
    <row r="1246" spans="1:9">
      <c r="A1246" s="12" t="s">
        <v>1835</v>
      </c>
      <c r="B1246" s="12" t="s">
        <v>157</v>
      </c>
      <c r="C1246" s="15">
        <v>191383</v>
      </c>
      <c r="D1246" s="13">
        <v>26</v>
      </c>
      <c r="F1246" s="12" t="s">
        <v>2762</v>
      </c>
      <c r="G1246" s="12" t="s">
        <v>157</v>
      </c>
      <c r="H1246" s="15">
        <v>11800</v>
      </c>
      <c r="I1246" s="13">
        <v>50</v>
      </c>
    </row>
    <row r="1247" spans="1:9">
      <c r="A1247" s="12" t="s">
        <v>1826</v>
      </c>
      <c r="B1247" s="12" t="s">
        <v>157</v>
      </c>
      <c r="C1247" s="15">
        <v>219189</v>
      </c>
      <c r="D1247" s="13">
        <v>26</v>
      </c>
      <c r="F1247" s="12" t="s">
        <v>2763</v>
      </c>
      <c r="G1247" s="12" t="s">
        <v>157</v>
      </c>
      <c r="H1247" s="15">
        <v>33386</v>
      </c>
      <c r="I1247" s="13">
        <v>50</v>
      </c>
    </row>
    <row r="1248" spans="1:9">
      <c r="A1248" s="12" t="s">
        <v>1837</v>
      </c>
      <c r="B1248" s="12" t="s">
        <v>157</v>
      </c>
      <c r="C1248" s="15">
        <v>907809</v>
      </c>
      <c r="D1248" s="13">
        <v>25</v>
      </c>
      <c r="F1248" s="12" t="s">
        <v>1014</v>
      </c>
      <c r="G1248" s="12" t="s">
        <v>157</v>
      </c>
      <c r="H1248" s="15">
        <v>15077</v>
      </c>
      <c r="I1248" s="13">
        <v>50</v>
      </c>
    </row>
    <row r="1249" spans="6:9">
      <c r="F1249" s="12" t="s">
        <v>2764</v>
      </c>
      <c r="G1249" s="12" t="s">
        <v>159</v>
      </c>
      <c r="H1249" s="15">
        <v>10100</v>
      </c>
      <c r="I1249" s="13">
        <v>50</v>
      </c>
    </row>
    <row r="1250" spans="6:9">
      <c r="F1250" s="12" t="s">
        <v>2765</v>
      </c>
      <c r="G1250" s="12" t="s">
        <v>159</v>
      </c>
      <c r="H1250" s="15">
        <v>17400</v>
      </c>
      <c r="I1250" s="13">
        <v>50</v>
      </c>
    </row>
    <row r="1251" spans="6:9">
      <c r="F1251" s="12" t="s">
        <v>2766</v>
      </c>
      <c r="G1251" s="12" t="s">
        <v>159</v>
      </c>
      <c r="H1251" s="15">
        <v>20200</v>
      </c>
      <c r="I1251" s="13">
        <v>50</v>
      </c>
    </row>
    <row r="1252" spans="6:9">
      <c r="F1252" s="12" t="s">
        <v>2767</v>
      </c>
      <c r="G1252" s="12" t="s">
        <v>159</v>
      </c>
      <c r="H1252" s="15">
        <v>19800</v>
      </c>
      <c r="I1252" s="13">
        <v>50</v>
      </c>
    </row>
    <row r="1253" spans="6:9">
      <c r="F1253" s="12" t="s">
        <v>2768</v>
      </c>
      <c r="G1253" s="12" t="s">
        <v>159</v>
      </c>
      <c r="H1253" s="15">
        <v>91800</v>
      </c>
      <c r="I1253" s="13">
        <v>50</v>
      </c>
    </row>
    <row r="1254" spans="6:9">
      <c r="F1254" s="12" t="s">
        <v>2769</v>
      </c>
      <c r="G1254" s="12" t="s">
        <v>159</v>
      </c>
      <c r="H1254" s="15">
        <v>21500</v>
      </c>
      <c r="I1254" s="13">
        <v>50</v>
      </c>
    </row>
    <row r="1255" spans="6:9">
      <c r="F1255" s="12" t="s">
        <v>2770</v>
      </c>
      <c r="G1255" s="12" t="s">
        <v>159</v>
      </c>
      <c r="H1255" s="15">
        <v>1100000</v>
      </c>
      <c r="I1255" s="13">
        <v>50</v>
      </c>
    </row>
    <row r="1256" spans="6:9">
      <c r="F1256" s="12" t="s">
        <v>2771</v>
      </c>
      <c r="G1256" s="12" t="s">
        <v>159</v>
      </c>
      <c r="H1256" s="15">
        <v>26600</v>
      </c>
      <c r="I1256" s="13">
        <v>50</v>
      </c>
    </row>
    <row r="1257" spans="6:9">
      <c r="F1257" s="12" t="s">
        <v>2772</v>
      </c>
      <c r="G1257" s="12" t="s">
        <v>159</v>
      </c>
      <c r="H1257" s="15">
        <v>306100</v>
      </c>
      <c r="I1257" s="13">
        <v>50</v>
      </c>
    </row>
    <row r="1258" spans="6:9">
      <c r="F1258" s="12" t="s">
        <v>2773</v>
      </c>
      <c r="G1258" s="12" t="s">
        <v>159</v>
      </c>
      <c r="H1258" s="15">
        <v>13900</v>
      </c>
      <c r="I1258" s="13">
        <v>50</v>
      </c>
    </row>
    <row r="1259" spans="6:9">
      <c r="F1259" s="12" t="s">
        <v>2774</v>
      </c>
      <c r="G1259" s="12" t="s">
        <v>157</v>
      </c>
      <c r="H1259" s="15">
        <v>22951</v>
      </c>
      <c r="I1259" s="13">
        <v>50</v>
      </c>
    </row>
    <row r="1260" spans="6:9">
      <c r="F1260" s="12" t="s">
        <v>2775</v>
      </c>
      <c r="G1260" s="12" t="s">
        <v>159</v>
      </c>
      <c r="H1260" s="15">
        <v>28300</v>
      </c>
      <c r="I1260" s="13">
        <v>50</v>
      </c>
    </row>
    <row r="1261" spans="6:9">
      <c r="F1261" s="12" t="s">
        <v>2776</v>
      </c>
      <c r="G1261" s="12" t="s">
        <v>157</v>
      </c>
      <c r="H1261" s="15">
        <v>26175</v>
      </c>
      <c r="I1261" s="13">
        <v>50</v>
      </c>
    </row>
    <row r="1262" spans="6:9">
      <c r="F1262" s="12" t="s">
        <v>2777</v>
      </c>
      <c r="G1262" s="12" t="s">
        <v>159</v>
      </c>
      <c r="H1262" s="15">
        <v>60100</v>
      </c>
      <c r="I1262" s="13">
        <v>50</v>
      </c>
    </row>
    <row r="1263" spans="6:9">
      <c r="F1263" s="12" t="s">
        <v>2778</v>
      </c>
      <c r="G1263" s="12" t="s">
        <v>157</v>
      </c>
      <c r="H1263" s="15">
        <v>13507</v>
      </c>
      <c r="I1263" s="13">
        <v>50</v>
      </c>
    </row>
    <row r="1264" spans="6:9">
      <c r="F1264" s="12" t="s">
        <v>2779</v>
      </c>
      <c r="G1264" s="12" t="s">
        <v>159</v>
      </c>
      <c r="H1264" s="15">
        <v>2900000</v>
      </c>
      <c r="I1264" s="13">
        <v>50</v>
      </c>
    </row>
    <row r="1265" spans="6:9">
      <c r="F1265" s="12" t="s">
        <v>1017</v>
      </c>
      <c r="G1265" s="12" t="s">
        <v>157</v>
      </c>
      <c r="H1265" s="15">
        <v>16145</v>
      </c>
      <c r="I1265" s="13">
        <v>50</v>
      </c>
    </row>
    <row r="1266" spans="6:9">
      <c r="F1266" s="12" t="s">
        <v>2780</v>
      </c>
      <c r="G1266" s="12" t="s">
        <v>157</v>
      </c>
      <c r="H1266" s="15">
        <v>11239</v>
      </c>
      <c r="I1266" s="13">
        <v>50</v>
      </c>
    </row>
    <row r="1267" spans="6:9">
      <c r="F1267" s="12" t="s">
        <v>2781</v>
      </c>
      <c r="G1267" s="12" t="s">
        <v>157</v>
      </c>
      <c r="H1267" s="15">
        <v>21486</v>
      </c>
      <c r="I1267" s="13">
        <v>50</v>
      </c>
    </row>
    <row r="1268" spans="6:9">
      <c r="F1268" s="12" t="s">
        <v>2782</v>
      </c>
      <c r="G1268" s="12" t="s">
        <v>159</v>
      </c>
      <c r="H1268" s="15">
        <v>39000</v>
      </c>
      <c r="I1268" s="13">
        <v>50</v>
      </c>
    </row>
    <row r="1269" spans="6:9">
      <c r="F1269" s="12" t="s">
        <v>2783</v>
      </c>
      <c r="G1269" s="12" t="s">
        <v>159</v>
      </c>
      <c r="H1269" s="15">
        <v>104200</v>
      </c>
      <c r="I1269" s="13">
        <v>50</v>
      </c>
    </row>
    <row r="1270" spans="6:9">
      <c r="F1270" s="12" t="s">
        <v>2784</v>
      </c>
      <c r="G1270" s="12" t="s">
        <v>159</v>
      </c>
      <c r="H1270" s="15">
        <v>43600</v>
      </c>
      <c r="I1270" s="13">
        <v>50</v>
      </c>
    </row>
    <row r="1271" spans="6:9">
      <c r="F1271" s="12" t="s">
        <v>2785</v>
      </c>
      <c r="G1271" s="12" t="s">
        <v>159</v>
      </c>
      <c r="H1271" s="15">
        <v>15300</v>
      </c>
      <c r="I1271" s="13">
        <v>50</v>
      </c>
    </row>
    <row r="1272" spans="6:9">
      <c r="F1272" s="12" t="s">
        <v>2786</v>
      </c>
      <c r="G1272" s="12" t="s">
        <v>159</v>
      </c>
      <c r="H1272" s="15">
        <v>588900</v>
      </c>
      <c r="I1272" s="13">
        <v>50</v>
      </c>
    </row>
    <row r="1273" spans="6:9">
      <c r="F1273" s="12" t="s">
        <v>2787</v>
      </c>
      <c r="G1273" s="12" t="s">
        <v>159</v>
      </c>
      <c r="H1273" s="15">
        <v>576954</v>
      </c>
      <c r="I1273" s="13">
        <v>50</v>
      </c>
    </row>
    <row r="1274" spans="6:9">
      <c r="F1274" s="12" t="s">
        <v>1020</v>
      </c>
      <c r="G1274" s="12" t="s">
        <v>157</v>
      </c>
      <c r="H1274" s="15">
        <v>19703</v>
      </c>
      <c r="I1274" s="13">
        <v>50</v>
      </c>
    </row>
    <row r="1275" spans="6:9">
      <c r="F1275" s="12" t="s">
        <v>2788</v>
      </c>
      <c r="G1275" s="12" t="s">
        <v>159</v>
      </c>
      <c r="H1275" s="15">
        <v>11400</v>
      </c>
      <c r="I1275" s="13">
        <v>50</v>
      </c>
    </row>
    <row r="1276" spans="6:9">
      <c r="F1276" s="12" t="s">
        <v>1023</v>
      </c>
      <c r="G1276" s="12" t="s">
        <v>157</v>
      </c>
      <c r="H1276" s="15">
        <v>19641</v>
      </c>
      <c r="I1276" s="13">
        <v>50</v>
      </c>
    </row>
    <row r="1277" spans="6:9">
      <c r="F1277" s="12" t="s">
        <v>1026</v>
      </c>
      <c r="G1277" s="12" t="s">
        <v>157</v>
      </c>
      <c r="H1277" s="15">
        <v>14770</v>
      </c>
      <c r="I1277" s="13">
        <v>50</v>
      </c>
    </row>
    <row r="1278" spans="6:9">
      <c r="F1278" s="12" t="s">
        <v>1029</v>
      </c>
      <c r="G1278" s="12" t="s">
        <v>157</v>
      </c>
      <c r="H1278" s="15">
        <v>12578</v>
      </c>
      <c r="I1278" s="13">
        <v>50</v>
      </c>
    </row>
    <row r="1279" spans="6:9">
      <c r="F1279" s="12" t="s">
        <v>2789</v>
      </c>
      <c r="G1279" s="12" t="s">
        <v>157</v>
      </c>
      <c r="H1279" s="15">
        <v>13540</v>
      </c>
      <c r="I1279" s="13">
        <v>50</v>
      </c>
    </row>
    <row r="1280" spans="6:9">
      <c r="F1280" s="12" t="s">
        <v>2790</v>
      </c>
      <c r="G1280" s="12" t="s">
        <v>157</v>
      </c>
      <c r="H1280" s="15">
        <v>33540</v>
      </c>
      <c r="I1280" s="13">
        <v>50</v>
      </c>
    </row>
    <row r="1281" spans="6:9">
      <c r="F1281" s="12" t="s">
        <v>2791</v>
      </c>
      <c r="G1281" s="12" t="s">
        <v>159</v>
      </c>
      <c r="H1281" s="15">
        <v>17500</v>
      </c>
      <c r="I1281" s="13">
        <v>50</v>
      </c>
    </row>
    <row r="1282" spans="6:9">
      <c r="F1282" s="12" t="s">
        <v>2792</v>
      </c>
      <c r="G1282" s="12" t="s">
        <v>159</v>
      </c>
      <c r="H1282" s="15">
        <v>29200</v>
      </c>
      <c r="I1282" s="13">
        <v>50</v>
      </c>
    </row>
    <row r="1283" spans="6:9">
      <c r="F1283" s="12" t="s">
        <v>2793</v>
      </c>
      <c r="G1283" s="12" t="s">
        <v>157</v>
      </c>
      <c r="H1283" s="15">
        <v>27448</v>
      </c>
      <c r="I1283" s="13">
        <v>50</v>
      </c>
    </row>
    <row r="1284" spans="6:9">
      <c r="F1284" s="12" t="s">
        <v>1031</v>
      </c>
      <c r="G1284" s="12" t="s">
        <v>157</v>
      </c>
      <c r="H1284" s="15">
        <v>14310</v>
      </c>
      <c r="I1284" s="13">
        <v>50</v>
      </c>
    </row>
    <row r="1285" spans="6:9">
      <c r="F1285" s="12" t="s">
        <v>1034</v>
      </c>
      <c r="G1285" s="12" t="s">
        <v>157</v>
      </c>
      <c r="H1285" s="15">
        <v>29073</v>
      </c>
      <c r="I1285" s="13">
        <v>50</v>
      </c>
    </row>
    <row r="1286" spans="6:9">
      <c r="F1286" s="12" t="s">
        <v>2794</v>
      </c>
      <c r="G1286" s="12" t="s">
        <v>159</v>
      </c>
      <c r="H1286" s="15">
        <v>42300</v>
      </c>
      <c r="I1286" s="13">
        <v>50</v>
      </c>
    </row>
    <row r="1287" spans="6:9">
      <c r="F1287" s="12" t="s">
        <v>1037</v>
      </c>
      <c r="G1287" s="12" t="s">
        <v>157</v>
      </c>
      <c r="H1287" s="15">
        <v>19412</v>
      </c>
      <c r="I1287" s="13">
        <v>50</v>
      </c>
    </row>
    <row r="1288" spans="6:9">
      <c r="F1288" s="12" t="s">
        <v>2795</v>
      </c>
      <c r="G1288" s="12" t="s">
        <v>157</v>
      </c>
      <c r="H1288" s="15">
        <v>13320</v>
      </c>
      <c r="I1288" s="13">
        <v>50</v>
      </c>
    </row>
    <row r="1289" spans="6:9">
      <c r="F1289" s="12" t="s">
        <v>2796</v>
      </c>
      <c r="G1289" s="12" t="s">
        <v>159</v>
      </c>
      <c r="H1289" s="15">
        <v>11400</v>
      </c>
      <c r="I1289" s="13">
        <v>50</v>
      </c>
    </row>
    <row r="1290" spans="6:9">
      <c r="F1290" s="12" t="s">
        <v>1040</v>
      </c>
      <c r="G1290" s="12" t="s">
        <v>157</v>
      </c>
      <c r="H1290" s="15">
        <v>14943</v>
      </c>
      <c r="I1290" s="13">
        <v>50</v>
      </c>
    </row>
    <row r="1291" spans="6:9">
      <c r="F1291" s="12" t="s">
        <v>2797</v>
      </c>
      <c r="G1291" s="12" t="s">
        <v>159</v>
      </c>
      <c r="H1291" s="15">
        <v>24700</v>
      </c>
      <c r="I1291" s="13">
        <v>50</v>
      </c>
    </row>
    <row r="1292" spans="6:9">
      <c r="F1292" s="12" t="s">
        <v>2798</v>
      </c>
      <c r="G1292" s="12" t="s">
        <v>157</v>
      </c>
      <c r="H1292" s="15">
        <v>10582</v>
      </c>
      <c r="I1292" s="13">
        <v>50</v>
      </c>
    </row>
    <row r="1293" spans="6:9">
      <c r="F1293" s="12" t="s">
        <v>2799</v>
      </c>
      <c r="G1293" s="12" t="s">
        <v>159</v>
      </c>
      <c r="H1293" s="15">
        <v>11100</v>
      </c>
      <c r="I1293" s="13">
        <v>50</v>
      </c>
    </row>
    <row r="1294" spans="6:9">
      <c r="F1294" s="12" t="s">
        <v>2800</v>
      </c>
      <c r="G1294" s="12" t="s">
        <v>157</v>
      </c>
      <c r="H1294" s="15">
        <v>10744</v>
      </c>
      <c r="I1294" s="13">
        <v>50</v>
      </c>
    </row>
    <row r="1295" spans="6:9">
      <c r="F1295" s="12" t="s">
        <v>2801</v>
      </c>
      <c r="G1295" s="12" t="s">
        <v>159</v>
      </c>
      <c r="H1295" s="15">
        <v>11900</v>
      </c>
      <c r="I1295" s="13">
        <v>50</v>
      </c>
    </row>
    <row r="1296" spans="6:9">
      <c r="F1296" s="12" t="s">
        <v>2802</v>
      </c>
      <c r="G1296" s="12" t="s">
        <v>157</v>
      </c>
      <c r="H1296" s="15">
        <v>20468</v>
      </c>
      <c r="I1296" s="13">
        <v>50</v>
      </c>
    </row>
    <row r="1297" spans="6:9">
      <c r="F1297" s="12" t="s">
        <v>1044</v>
      </c>
      <c r="G1297" s="12" t="s">
        <v>157</v>
      </c>
      <c r="H1297" s="15">
        <v>24103</v>
      </c>
      <c r="I1297" s="13">
        <v>50</v>
      </c>
    </row>
    <row r="1298" spans="6:9">
      <c r="F1298" s="12" t="s">
        <v>2803</v>
      </c>
      <c r="G1298" s="12" t="s">
        <v>159</v>
      </c>
      <c r="H1298" s="15">
        <v>25300</v>
      </c>
      <c r="I1298" s="13">
        <v>50</v>
      </c>
    </row>
    <row r="1299" spans="6:9">
      <c r="F1299" s="12" t="s">
        <v>2804</v>
      </c>
      <c r="G1299" s="12" t="s">
        <v>157</v>
      </c>
      <c r="H1299" s="15">
        <v>11640</v>
      </c>
      <c r="I1299" s="13">
        <v>50</v>
      </c>
    </row>
    <row r="1300" spans="6:9">
      <c r="F1300" s="12" t="s">
        <v>2805</v>
      </c>
      <c r="G1300" s="12" t="s">
        <v>159</v>
      </c>
      <c r="H1300" s="15">
        <v>91385</v>
      </c>
      <c r="I1300" s="13">
        <v>50</v>
      </c>
    </row>
    <row r="1301" spans="6:9">
      <c r="F1301" s="12" t="s">
        <v>1047</v>
      </c>
      <c r="G1301" s="12" t="s">
        <v>157</v>
      </c>
      <c r="H1301" s="15">
        <v>20688</v>
      </c>
      <c r="I1301" s="13">
        <v>50</v>
      </c>
    </row>
    <row r="1302" spans="6:9">
      <c r="F1302" s="12" t="s">
        <v>1050</v>
      </c>
      <c r="G1302" s="12" t="s">
        <v>157</v>
      </c>
      <c r="H1302" s="15">
        <v>10158</v>
      </c>
      <c r="I1302" s="13">
        <v>50</v>
      </c>
    </row>
    <row r="1303" spans="6:9">
      <c r="F1303" s="12" t="s">
        <v>1053</v>
      </c>
      <c r="G1303" s="12" t="s">
        <v>157</v>
      </c>
      <c r="H1303" s="15">
        <v>14925</v>
      </c>
      <c r="I1303" s="13">
        <v>50</v>
      </c>
    </row>
    <row r="1304" spans="6:9">
      <c r="F1304" s="12" t="s">
        <v>2806</v>
      </c>
      <c r="G1304" s="12" t="s">
        <v>159</v>
      </c>
      <c r="H1304" s="15">
        <v>20300</v>
      </c>
      <c r="I1304" s="13">
        <v>50</v>
      </c>
    </row>
    <row r="1305" spans="6:9">
      <c r="F1305" s="12" t="s">
        <v>2807</v>
      </c>
      <c r="G1305" s="12" t="s">
        <v>159</v>
      </c>
      <c r="H1305" s="15">
        <v>138100</v>
      </c>
      <c r="I1305" s="13">
        <v>50</v>
      </c>
    </row>
    <row r="1306" spans="6:9">
      <c r="F1306" s="12" t="s">
        <v>2808</v>
      </c>
      <c r="G1306" s="12" t="s">
        <v>157</v>
      </c>
      <c r="H1306" s="15">
        <v>19645</v>
      </c>
      <c r="I1306" s="13">
        <v>50</v>
      </c>
    </row>
    <row r="1307" spans="6:9">
      <c r="F1307" s="12" t="s">
        <v>2809</v>
      </c>
      <c r="G1307" s="12" t="s">
        <v>157</v>
      </c>
      <c r="H1307" s="15">
        <v>10558</v>
      </c>
      <c r="I1307" s="13">
        <v>50</v>
      </c>
    </row>
    <row r="1308" spans="6:9">
      <c r="F1308" s="12" t="s">
        <v>2810</v>
      </c>
      <c r="G1308" s="12" t="s">
        <v>157</v>
      </c>
      <c r="H1308" s="15">
        <v>13031</v>
      </c>
      <c r="I1308" s="13">
        <v>50</v>
      </c>
    </row>
    <row r="1309" spans="6:9">
      <c r="F1309" s="12" t="s">
        <v>2811</v>
      </c>
      <c r="G1309" s="12" t="s">
        <v>157</v>
      </c>
      <c r="H1309" s="15">
        <v>12458</v>
      </c>
      <c r="I1309" s="13">
        <v>50</v>
      </c>
    </row>
    <row r="1310" spans="6:9">
      <c r="F1310" s="12" t="s">
        <v>2812</v>
      </c>
      <c r="G1310" s="12" t="s">
        <v>157</v>
      </c>
      <c r="H1310" s="15">
        <v>15719</v>
      </c>
      <c r="I1310" s="13">
        <v>50</v>
      </c>
    </row>
    <row r="1311" spans="6:9">
      <c r="F1311" s="12" t="s">
        <v>2813</v>
      </c>
      <c r="G1311" s="12" t="s">
        <v>157</v>
      </c>
      <c r="H1311" s="15">
        <v>16826</v>
      </c>
      <c r="I1311" s="13">
        <v>50</v>
      </c>
    </row>
    <row r="1312" spans="6:9">
      <c r="F1312" s="12" t="s">
        <v>2814</v>
      </c>
      <c r="G1312" s="12" t="s">
        <v>159</v>
      </c>
      <c r="H1312" s="15">
        <v>65600</v>
      </c>
      <c r="I1312" s="13">
        <v>50</v>
      </c>
    </row>
    <row r="1313" spans="6:9">
      <c r="F1313" s="12" t="s">
        <v>1056</v>
      </c>
      <c r="G1313" s="12" t="s">
        <v>157</v>
      </c>
      <c r="H1313" s="15">
        <v>31833</v>
      </c>
      <c r="I1313" s="13">
        <v>50</v>
      </c>
    </row>
    <row r="1314" spans="6:9">
      <c r="F1314" s="12" t="s">
        <v>2815</v>
      </c>
      <c r="G1314" s="12" t="s">
        <v>159</v>
      </c>
      <c r="H1314" s="15">
        <v>121900</v>
      </c>
      <c r="I1314" s="13">
        <v>50</v>
      </c>
    </row>
    <row r="1315" spans="6:9">
      <c r="F1315" s="12" t="s">
        <v>2816</v>
      </c>
      <c r="G1315" s="12" t="s">
        <v>157</v>
      </c>
      <c r="H1315" s="15">
        <v>19478</v>
      </c>
      <c r="I1315" s="13">
        <v>50</v>
      </c>
    </row>
    <row r="1316" spans="6:9">
      <c r="F1316" s="12" t="s">
        <v>2817</v>
      </c>
      <c r="G1316" s="12" t="s">
        <v>157</v>
      </c>
      <c r="H1316" s="15">
        <v>13300</v>
      </c>
      <c r="I1316" s="13">
        <v>50</v>
      </c>
    </row>
    <row r="1317" spans="6:9">
      <c r="F1317" s="12" t="s">
        <v>1059</v>
      </c>
      <c r="G1317" s="12" t="s">
        <v>157</v>
      </c>
      <c r="H1317" s="15">
        <v>18559</v>
      </c>
      <c r="I1317" s="13">
        <v>50</v>
      </c>
    </row>
    <row r="1318" spans="6:9">
      <c r="F1318" s="12" t="s">
        <v>1061</v>
      </c>
      <c r="G1318" s="12" t="s">
        <v>157</v>
      </c>
      <c r="H1318" s="15">
        <v>10663</v>
      </c>
      <c r="I1318" s="13">
        <v>50</v>
      </c>
    </row>
    <row r="1319" spans="6:9">
      <c r="F1319" s="12" t="s">
        <v>2818</v>
      </c>
      <c r="G1319" s="12" t="s">
        <v>159</v>
      </c>
      <c r="H1319" s="15">
        <v>61800</v>
      </c>
      <c r="I1319" s="13">
        <v>50</v>
      </c>
    </row>
    <row r="1320" spans="6:9">
      <c r="F1320" s="12" t="s">
        <v>2819</v>
      </c>
      <c r="G1320" s="12" t="s">
        <v>157</v>
      </c>
      <c r="H1320" s="15">
        <v>14958</v>
      </c>
      <c r="I1320" s="13">
        <v>50</v>
      </c>
    </row>
    <row r="1321" spans="6:9">
      <c r="F1321" s="12" t="s">
        <v>2820</v>
      </c>
      <c r="G1321" s="12" t="s">
        <v>157</v>
      </c>
      <c r="H1321" s="15">
        <v>24954</v>
      </c>
      <c r="I1321" s="13">
        <v>50</v>
      </c>
    </row>
    <row r="1322" spans="6:9">
      <c r="F1322" s="12" t="s">
        <v>2821</v>
      </c>
      <c r="G1322" s="12" t="s">
        <v>159</v>
      </c>
      <c r="H1322" s="15">
        <v>48300</v>
      </c>
      <c r="I1322" s="13">
        <v>50</v>
      </c>
    </row>
    <row r="1323" spans="6:9">
      <c r="F1323" s="12" t="s">
        <v>2822</v>
      </c>
      <c r="G1323" s="12" t="s">
        <v>159</v>
      </c>
      <c r="H1323" s="15">
        <v>29700</v>
      </c>
      <c r="I1323" s="13">
        <v>50</v>
      </c>
    </row>
    <row r="1324" spans="6:9">
      <c r="F1324" s="12" t="s">
        <v>1064</v>
      </c>
      <c r="G1324" s="12" t="s">
        <v>157</v>
      </c>
      <c r="H1324" s="15">
        <v>31086</v>
      </c>
      <c r="I1324" s="13">
        <v>50</v>
      </c>
    </row>
    <row r="1325" spans="6:9">
      <c r="F1325" s="12" t="s">
        <v>2823</v>
      </c>
      <c r="G1325" s="12" t="s">
        <v>159</v>
      </c>
      <c r="H1325" s="15">
        <v>101100</v>
      </c>
      <c r="I1325" s="13">
        <v>50</v>
      </c>
    </row>
    <row r="1326" spans="6:9">
      <c r="F1326" s="12" t="s">
        <v>1067</v>
      </c>
      <c r="G1326" s="12" t="s">
        <v>157</v>
      </c>
      <c r="H1326" s="15">
        <v>10406</v>
      </c>
      <c r="I1326" s="13">
        <v>50</v>
      </c>
    </row>
    <row r="1327" spans="6:9">
      <c r="F1327" s="12" t="s">
        <v>2824</v>
      </c>
      <c r="G1327" s="12" t="s">
        <v>159</v>
      </c>
      <c r="H1327" s="15">
        <v>142200</v>
      </c>
      <c r="I1327" s="13">
        <v>50</v>
      </c>
    </row>
    <row r="1328" spans="6:9">
      <c r="F1328" s="12" t="s">
        <v>2825</v>
      </c>
      <c r="G1328" s="12" t="s">
        <v>159</v>
      </c>
      <c r="H1328" s="15">
        <v>33000</v>
      </c>
      <c r="I1328" s="13">
        <v>50</v>
      </c>
    </row>
    <row r="1329" spans="6:9">
      <c r="F1329" s="12" t="s">
        <v>2826</v>
      </c>
      <c r="G1329" s="12" t="s">
        <v>159</v>
      </c>
      <c r="H1329" s="15">
        <v>43800</v>
      </c>
      <c r="I1329" s="13">
        <v>50</v>
      </c>
    </row>
    <row r="1330" spans="6:9">
      <c r="F1330" s="12" t="s">
        <v>2827</v>
      </c>
      <c r="G1330" s="12" t="s">
        <v>157</v>
      </c>
      <c r="H1330" s="15">
        <v>22656</v>
      </c>
      <c r="I1330" s="13">
        <v>50</v>
      </c>
    </row>
    <row r="1331" spans="6:9">
      <c r="F1331" s="12" t="s">
        <v>2828</v>
      </c>
      <c r="G1331" s="12" t="s">
        <v>159</v>
      </c>
      <c r="H1331" s="15">
        <v>2800000</v>
      </c>
      <c r="I1331" s="13">
        <v>50</v>
      </c>
    </row>
    <row r="1332" spans="6:9">
      <c r="F1332" s="12" t="s">
        <v>1070</v>
      </c>
      <c r="G1332" s="12" t="s">
        <v>157</v>
      </c>
      <c r="H1332" s="15">
        <v>12187</v>
      </c>
      <c r="I1332" s="13">
        <v>50</v>
      </c>
    </row>
    <row r="1333" spans="6:9">
      <c r="F1333" s="12" t="s">
        <v>2829</v>
      </c>
      <c r="G1333" s="12" t="s">
        <v>157</v>
      </c>
      <c r="H1333" s="15">
        <v>26087</v>
      </c>
      <c r="I1333" s="13">
        <v>50</v>
      </c>
    </row>
    <row r="1334" spans="6:9">
      <c r="F1334" s="12" t="s">
        <v>2830</v>
      </c>
      <c r="G1334" s="12" t="s">
        <v>159</v>
      </c>
      <c r="H1334" s="15">
        <v>268100</v>
      </c>
      <c r="I1334" s="13">
        <v>50</v>
      </c>
    </row>
    <row r="1335" spans="6:9">
      <c r="F1335" s="12" t="s">
        <v>2831</v>
      </c>
      <c r="G1335" s="12" t="s">
        <v>157</v>
      </c>
      <c r="H1335" s="15">
        <v>11039</v>
      </c>
      <c r="I1335" s="13">
        <v>50</v>
      </c>
    </row>
    <row r="1336" spans="6:9">
      <c r="F1336" s="12" t="s">
        <v>2832</v>
      </c>
      <c r="G1336" s="12" t="s">
        <v>159</v>
      </c>
      <c r="H1336" s="15">
        <v>12500</v>
      </c>
      <c r="I1336" s="13">
        <v>50</v>
      </c>
    </row>
    <row r="1337" spans="6:9">
      <c r="F1337" s="12" t="s">
        <v>1072</v>
      </c>
      <c r="G1337" s="12" t="s">
        <v>157</v>
      </c>
      <c r="H1337" s="15">
        <v>29436</v>
      </c>
      <c r="I1337" s="13">
        <v>50</v>
      </c>
    </row>
    <row r="1338" spans="6:9">
      <c r="F1338" s="12" t="s">
        <v>1075</v>
      </c>
      <c r="G1338" s="12" t="s">
        <v>157</v>
      </c>
      <c r="H1338" s="15">
        <v>11340</v>
      </c>
      <c r="I1338" s="13">
        <v>50</v>
      </c>
    </row>
    <row r="1339" spans="6:9">
      <c r="F1339" s="12" t="s">
        <v>2833</v>
      </c>
      <c r="G1339" s="12" t="s">
        <v>159</v>
      </c>
      <c r="H1339" s="15">
        <v>13800</v>
      </c>
      <c r="I1339" s="13">
        <v>50</v>
      </c>
    </row>
    <row r="1340" spans="6:9">
      <c r="F1340" s="12" t="s">
        <v>2834</v>
      </c>
      <c r="G1340" s="12" t="s">
        <v>159</v>
      </c>
      <c r="H1340" s="15">
        <v>88000</v>
      </c>
      <c r="I1340" s="13">
        <v>50</v>
      </c>
    </row>
    <row r="1341" spans="6:9">
      <c r="F1341" s="12" t="s">
        <v>1078</v>
      </c>
      <c r="G1341" s="12" t="s">
        <v>157</v>
      </c>
      <c r="H1341" s="15">
        <v>22845</v>
      </c>
      <c r="I1341" s="13">
        <v>50</v>
      </c>
    </row>
    <row r="1342" spans="6:9">
      <c r="F1342" s="12" t="s">
        <v>2835</v>
      </c>
      <c r="G1342" s="12" t="s">
        <v>159</v>
      </c>
      <c r="H1342" s="15">
        <v>49600</v>
      </c>
      <c r="I1342" s="13">
        <v>50</v>
      </c>
    </row>
    <row r="1343" spans="6:9">
      <c r="F1343" s="12" t="s">
        <v>2836</v>
      </c>
      <c r="G1343" s="12" t="s">
        <v>159</v>
      </c>
      <c r="H1343" s="15">
        <v>16500</v>
      </c>
      <c r="I1343" s="13">
        <v>50</v>
      </c>
    </row>
    <row r="1344" spans="6:9">
      <c r="F1344" s="12" t="s">
        <v>2837</v>
      </c>
      <c r="G1344" s="12" t="s">
        <v>159</v>
      </c>
      <c r="H1344" s="15">
        <v>58600</v>
      </c>
      <c r="I1344" s="13">
        <v>50</v>
      </c>
    </row>
    <row r="1345" spans="6:9">
      <c r="F1345" s="12" t="s">
        <v>2838</v>
      </c>
      <c r="G1345" s="12" t="s">
        <v>157</v>
      </c>
      <c r="H1345" s="15">
        <v>30951</v>
      </c>
      <c r="I1345" s="13">
        <v>50</v>
      </c>
    </row>
    <row r="1346" spans="6:9">
      <c r="F1346" s="12" t="s">
        <v>2839</v>
      </c>
      <c r="G1346" s="12" t="s">
        <v>159</v>
      </c>
      <c r="H1346" s="15">
        <v>27600</v>
      </c>
      <c r="I1346" s="13">
        <v>50</v>
      </c>
    </row>
    <row r="1347" spans="6:9">
      <c r="F1347" s="12" t="s">
        <v>1081</v>
      </c>
      <c r="G1347" s="12" t="s">
        <v>157</v>
      </c>
      <c r="H1347" s="15">
        <v>12909</v>
      </c>
      <c r="I1347" s="13">
        <v>50</v>
      </c>
    </row>
    <row r="1348" spans="6:9">
      <c r="F1348" s="12" t="s">
        <v>1084</v>
      </c>
      <c r="G1348" s="12" t="s">
        <v>157</v>
      </c>
      <c r="H1348" s="15">
        <v>31550</v>
      </c>
      <c r="I1348" s="13">
        <v>50</v>
      </c>
    </row>
    <row r="1349" spans="6:9">
      <c r="F1349" s="12" t="s">
        <v>2840</v>
      </c>
      <c r="G1349" s="12" t="s">
        <v>157</v>
      </c>
      <c r="H1349" s="15">
        <v>67392</v>
      </c>
      <c r="I1349" s="13">
        <v>50</v>
      </c>
    </row>
    <row r="1350" spans="6:9">
      <c r="F1350" s="12" t="s">
        <v>2841</v>
      </c>
      <c r="G1350" s="12" t="s">
        <v>157</v>
      </c>
      <c r="H1350" s="15">
        <v>15069</v>
      </c>
      <c r="I1350" s="13">
        <v>50</v>
      </c>
    </row>
    <row r="1351" spans="6:9">
      <c r="F1351" s="12" t="s">
        <v>2842</v>
      </c>
      <c r="G1351" s="12" t="s">
        <v>159</v>
      </c>
      <c r="H1351" s="15">
        <v>13800</v>
      </c>
      <c r="I1351" s="13">
        <v>50</v>
      </c>
    </row>
    <row r="1352" spans="6:9">
      <c r="F1352" s="12" t="s">
        <v>2843</v>
      </c>
      <c r="G1352" s="12" t="s">
        <v>157</v>
      </c>
      <c r="H1352" s="15">
        <v>51750</v>
      </c>
      <c r="I1352" s="13">
        <v>50</v>
      </c>
    </row>
    <row r="1353" spans="6:9">
      <c r="F1353" s="12" t="s">
        <v>2844</v>
      </c>
      <c r="G1353" s="12" t="s">
        <v>159</v>
      </c>
      <c r="H1353" s="15">
        <v>1060206</v>
      </c>
      <c r="I1353" s="13">
        <v>50</v>
      </c>
    </row>
    <row r="1354" spans="6:9">
      <c r="F1354" s="12" t="s">
        <v>2845</v>
      </c>
      <c r="G1354" s="12" t="s">
        <v>159</v>
      </c>
      <c r="H1354" s="15">
        <v>72100</v>
      </c>
      <c r="I1354" s="13">
        <v>50</v>
      </c>
    </row>
    <row r="1355" spans="6:9">
      <c r="F1355" s="12" t="s">
        <v>2846</v>
      </c>
      <c r="G1355" s="12" t="s">
        <v>159</v>
      </c>
      <c r="H1355" s="15">
        <v>73000</v>
      </c>
      <c r="I1355" s="13">
        <v>50</v>
      </c>
    </row>
    <row r="1356" spans="6:9">
      <c r="F1356" s="12" t="s">
        <v>2847</v>
      </c>
      <c r="G1356" s="12" t="s">
        <v>157</v>
      </c>
      <c r="H1356" s="15">
        <v>11367</v>
      </c>
      <c r="I1356" s="13">
        <v>50</v>
      </c>
    </row>
    <row r="1357" spans="6:9">
      <c r="F1357" s="12" t="s">
        <v>1087</v>
      </c>
      <c r="G1357" s="12" t="s">
        <v>157</v>
      </c>
      <c r="H1357" s="15">
        <v>12987</v>
      </c>
      <c r="I1357" s="13">
        <v>50</v>
      </c>
    </row>
    <row r="1358" spans="6:9">
      <c r="F1358" s="12" t="s">
        <v>2848</v>
      </c>
      <c r="G1358" s="12" t="s">
        <v>159</v>
      </c>
      <c r="H1358" s="15">
        <v>49200</v>
      </c>
      <c r="I1358" s="13">
        <v>50</v>
      </c>
    </row>
    <row r="1359" spans="6:9">
      <c r="F1359" s="12" t="s">
        <v>2849</v>
      </c>
      <c r="G1359" s="12" t="s">
        <v>157</v>
      </c>
      <c r="H1359" s="15">
        <v>24104</v>
      </c>
      <c r="I1359" s="13">
        <v>50</v>
      </c>
    </row>
    <row r="1360" spans="6:9">
      <c r="F1360" s="12" t="s">
        <v>2850</v>
      </c>
      <c r="G1360" s="12" t="s">
        <v>157</v>
      </c>
      <c r="H1360" s="15">
        <v>19809</v>
      </c>
      <c r="I1360" s="13">
        <v>50</v>
      </c>
    </row>
    <row r="1361" spans="6:9">
      <c r="F1361" s="12" t="s">
        <v>2851</v>
      </c>
      <c r="G1361" s="12" t="s">
        <v>157</v>
      </c>
      <c r="H1361" s="15">
        <v>16036</v>
      </c>
      <c r="I1361" s="13">
        <v>50</v>
      </c>
    </row>
    <row r="1362" spans="6:9">
      <c r="F1362" s="12" t="s">
        <v>2852</v>
      </c>
      <c r="G1362" s="12" t="s">
        <v>159</v>
      </c>
      <c r="H1362" s="15">
        <v>13700</v>
      </c>
      <c r="I1362" s="13">
        <v>50</v>
      </c>
    </row>
    <row r="1363" spans="6:9">
      <c r="F1363" s="12" t="s">
        <v>1090</v>
      </c>
      <c r="G1363" s="12" t="s">
        <v>157</v>
      </c>
      <c r="H1363" s="15">
        <v>22979</v>
      </c>
      <c r="I1363" s="13">
        <v>50</v>
      </c>
    </row>
    <row r="1364" spans="6:9">
      <c r="F1364" s="12" t="s">
        <v>2853</v>
      </c>
      <c r="G1364" s="12" t="s">
        <v>159</v>
      </c>
      <c r="H1364" s="15">
        <v>22500</v>
      </c>
      <c r="I1364" s="13">
        <v>50</v>
      </c>
    </row>
    <row r="1365" spans="6:9">
      <c r="F1365" s="12" t="s">
        <v>1093</v>
      </c>
      <c r="G1365" s="12" t="s">
        <v>157</v>
      </c>
      <c r="H1365" s="15">
        <v>10063</v>
      </c>
      <c r="I1365" s="13">
        <v>50</v>
      </c>
    </row>
    <row r="1366" spans="6:9">
      <c r="F1366" s="12" t="s">
        <v>1096</v>
      </c>
      <c r="G1366" s="12" t="s">
        <v>157</v>
      </c>
      <c r="H1366" s="15">
        <v>29796</v>
      </c>
      <c r="I1366" s="13">
        <v>50</v>
      </c>
    </row>
    <row r="1367" spans="6:9">
      <c r="F1367" s="12" t="s">
        <v>1099</v>
      </c>
      <c r="G1367" s="12" t="s">
        <v>157</v>
      </c>
      <c r="H1367" s="15">
        <v>11884</v>
      </c>
      <c r="I1367" s="13">
        <v>50</v>
      </c>
    </row>
    <row r="1368" spans="6:9">
      <c r="F1368" s="12" t="s">
        <v>2854</v>
      </c>
      <c r="G1368" s="12" t="s">
        <v>159</v>
      </c>
      <c r="H1368" s="15">
        <v>85700</v>
      </c>
      <c r="I1368" s="13">
        <v>50</v>
      </c>
    </row>
    <row r="1369" spans="6:9">
      <c r="F1369" s="12" t="s">
        <v>2855</v>
      </c>
      <c r="G1369" s="12" t="s">
        <v>159</v>
      </c>
      <c r="H1369" s="15">
        <v>76000</v>
      </c>
      <c r="I1369" s="13">
        <v>50</v>
      </c>
    </row>
    <row r="1370" spans="6:9">
      <c r="F1370" s="12" t="s">
        <v>2856</v>
      </c>
      <c r="G1370" s="12" t="s">
        <v>159</v>
      </c>
      <c r="H1370" s="15">
        <v>212400</v>
      </c>
      <c r="I1370" s="13">
        <v>50</v>
      </c>
    </row>
    <row r="1371" spans="6:9">
      <c r="F1371" s="12" t="s">
        <v>2857</v>
      </c>
      <c r="G1371" s="12" t="s">
        <v>159</v>
      </c>
      <c r="H1371" s="15">
        <v>37300</v>
      </c>
      <c r="I1371" s="13">
        <v>50</v>
      </c>
    </row>
    <row r="1372" spans="6:9">
      <c r="F1372" s="12" t="s">
        <v>2858</v>
      </c>
      <c r="G1372" s="12" t="s">
        <v>157</v>
      </c>
      <c r="H1372" s="15">
        <v>29787</v>
      </c>
      <c r="I1372" s="13">
        <v>50</v>
      </c>
    </row>
    <row r="1373" spans="6:9">
      <c r="F1373" s="12" t="s">
        <v>1102</v>
      </c>
      <c r="G1373" s="12" t="s">
        <v>157</v>
      </c>
      <c r="H1373" s="15">
        <v>16176</v>
      </c>
      <c r="I1373" s="13">
        <v>50</v>
      </c>
    </row>
    <row r="1374" spans="6:9">
      <c r="F1374" s="12" t="s">
        <v>2859</v>
      </c>
      <c r="G1374" s="12" t="s">
        <v>159</v>
      </c>
      <c r="H1374" s="15">
        <v>27200</v>
      </c>
      <c r="I1374" s="13">
        <v>50</v>
      </c>
    </row>
    <row r="1375" spans="6:9">
      <c r="F1375" s="12" t="s">
        <v>2860</v>
      </c>
      <c r="G1375" s="12" t="s">
        <v>159</v>
      </c>
      <c r="H1375" s="15">
        <v>4700000</v>
      </c>
      <c r="I1375" s="13">
        <v>50</v>
      </c>
    </row>
    <row r="1376" spans="6:9">
      <c r="F1376" s="12" t="s">
        <v>1105</v>
      </c>
      <c r="G1376" s="12" t="s">
        <v>157</v>
      </c>
      <c r="H1376" s="15">
        <v>12220</v>
      </c>
      <c r="I1376" s="13">
        <v>50</v>
      </c>
    </row>
    <row r="1377" spans="6:9">
      <c r="F1377" s="12" t="s">
        <v>2861</v>
      </c>
      <c r="G1377" s="12" t="s">
        <v>159</v>
      </c>
      <c r="H1377" s="15">
        <v>600513</v>
      </c>
      <c r="I1377" s="13">
        <v>50</v>
      </c>
    </row>
    <row r="1378" spans="6:9">
      <c r="F1378" s="12" t="s">
        <v>2862</v>
      </c>
      <c r="G1378" s="12" t="s">
        <v>157</v>
      </c>
      <c r="H1378" s="15">
        <v>25443</v>
      </c>
      <c r="I1378" s="13">
        <v>50</v>
      </c>
    </row>
    <row r="1379" spans="6:9">
      <c r="F1379" s="12" t="s">
        <v>2863</v>
      </c>
      <c r="G1379" s="12" t="s">
        <v>157</v>
      </c>
      <c r="H1379" s="15">
        <v>117131</v>
      </c>
      <c r="I1379" s="13">
        <v>50</v>
      </c>
    </row>
    <row r="1380" spans="6:9">
      <c r="F1380" s="12" t="s">
        <v>2864</v>
      </c>
      <c r="G1380" s="12" t="s">
        <v>159</v>
      </c>
      <c r="H1380" s="15">
        <v>692700</v>
      </c>
      <c r="I1380" s="13">
        <v>50</v>
      </c>
    </row>
    <row r="1381" spans="6:9">
      <c r="F1381" s="12" t="s">
        <v>1107</v>
      </c>
      <c r="G1381" s="12" t="s">
        <v>157</v>
      </c>
      <c r="H1381" s="15">
        <v>10757</v>
      </c>
      <c r="I1381" s="13">
        <v>50</v>
      </c>
    </row>
    <row r="1382" spans="6:9">
      <c r="F1382" s="12" t="s">
        <v>2865</v>
      </c>
      <c r="G1382" s="12" t="s">
        <v>157</v>
      </c>
      <c r="H1382" s="15">
        <v>13278</v>
      </c>
      <c r="I1382" s="13">
        <v>50</v>
      </c>
    </row>
    <row r="1383" spans="6:9">
      <c r="F1383" s="12" t="s">
        <v>1108</v>
      </c>
      <c r="G1383" s="12" t="s">
        <v>157</v>
      </c>
      <c r="H1383" s="15">
        <v>21705</v>
      </c>
      <c r="I1383" s="13">
        <v>50</v>
      </c>
    </row>
    <row r="1384" spans="6:9">
      <c r="F1384" s="12" t="s">
        <v>1111</v>
      </c>
      <c r="G1384" s="12" t="s">
        <v>157</v>
      </c>
      <c r="H1384" s="15">
        <v>10177</v>
      </c>
      <c r="I1384" s="13">
        <v>50</v>
      </c>
    </row>
    <row r="1385" spans="6:9">
      <c r="F1385" s="12" t="s">
        <v>2866</v>
      </c>
      <c r="G1385" s="12" t="s">
        <v>157</v>
      </c>
      <c r="H1385" s="15">
        <v>23278</v>
      </c>
      <c r="I1385" s="13">
        <v>50</v>
      </c>
    </row>
    <row r="1386" spans="6:9">
      <c r="F1386" s="12" t="s">
        <v>2867</v>
      </c>
      <c r="G1386" s="12" t="s">
        <v>159</v>
      </c>
      <c r="H1386" s="15">
        <v>57900</v>
      </c>
      <c r="I1386" s="13">
        <v>50</v>
      </c>
    </row>
    <row r="1387" spans="6:9">
      <c r="F1387" s="12" t="s">
        <v>2868</v>
      </c>
      <c r="G1387" s="12" t="s">
        <v>159</v>
      </c>
      <c r="H1387" s="15">
        <v>58300</v>
      </c>
      <c r="I1387" s="13">
        <v>50</v>
      </c>
    </row>
    <row r="1388" spans="6:9">
      <c r="F1388" s="12" t="s">
        <v>2869</v>
      </c>
      <c r="G1388" s="12" t="s">
        <v>159</v>
      </c>
      <c r="H1388" s="15">
        <v>12400</v>
      </c>
      <c r="I1388" s="13">
        <v>50</v>
      </c>
    </row>
    <row r="1389" spans="6:9">
      <c r="F1389" s="12" t="s">
        <v>2870</v>
      </c>
      <c r="G1389" s="12" t="s">
        <v>159</v>
      </c>
      <c r="H1389" s="15">
        <v>14600</v>
      </c>
      <c r="I1389" s="13">
        <v>50</v>
      </c>
    </row>
    <row r="1390" spans="6:9">
      <c r="F1390" s="12" t="s">
        <v>2871</v>
      </c>
      <c r="G1390" s="12" t="s">
        <v>159</v>
      </c>
      <c r="H1390" s="15">
        <v>1200000</v>
      </c>
      <c r="I1390" s="13">
        <v>50</v>
      </c>
    </row>
    <row r="1391" spans="6:9">
      <c r="F1391" s="12" t="s">
        <v>2872</v>
      </c>
      <c r="G1391" s="12" t="s">
        <v>157</v>
      </c>
      <c r="H1391" s="15">
        <v>3026573</v>
      </c>
      <c r="I1391" s="13">
        <v>50</v>
      </c>
    </row>
    <row r="1392" spans="6:9">
      <c r="F1392" s="12" t="s">
        <v>2873</v>
      </c>
      <c r="G1392" s="12" t="s">
        <v>157</v>
      </c>
      <c r="H1392" s="15">
        <v>120964</v>
      </c>
      <c r="I1392" s="13">
        <v>50</v>
      </c>
    </row>
    <row r="1393" spans="6:9">
      <c r="F1393" s="12" t="s">
        <v>2874</v>
      </c>
      <c r="G1393" s="12" t="s">
        <v>157</v>
      </c>
      <c r="H1393" s="15">
        <v>16579</v>
      </c>
      <c r="I1393" s="13">
        <v>50</v>
      </c>
    </row>
    <row r="1394" spans="6:9">
      <c r="F1394" s="12" t="s">
        <v>2875</v>
      </c>
      <c r="G1394" s="12" t="s">
        <v>157</v>
      </c>
      <c r="H1394" s="15">
        <v>10993</v>
      </c>
      <c r="I1394" s="13">
        <v>50</v>
      </c>
    </row>
    <row r="1395" spans="6:9">
      <c r="F1395" s="12" t="s">
        <v>2876</v>
      </c>
      <c r="G1395" s="12" t="s">
        <v>159</v>
      </c>
      <c r="H1395" s="15">
        <v>14000</v>
      </c>
      <c r="I1395" s="13">
        <v>50</v>
      </c>
    </row>
    <row r="1396" spans="6:9">
      <c r="F1396" s="12" t="s">
        <v>2877</v>
      </c>
      <c r="G1396" s="12" t="s">
        <v>159</v>
      </c>
      <c r="H1396" s="15">
        <v>12000</v>
      </c>
      <c r="I1396" s="13">
        <v>50</v>
      </c>
    </row>
    <row r="1397" spans="6:9">
      <c r="F1397" s="12" t="s">
        <v>2878</v>
      </c>
      <c r="G1397" s="12" t="s">
        <v>159</v>
      </c>
      <c r="H1397" s="15">
        <v>573300</v>
      </c>
      <c r="I1397" s="13">
        <v>50</v>
      </c>
    </row>
    <row r="1398" spans="6:9">
      <c r="F1398" s="12" t="s">
        <v>2879</v>
      </c>
      <c r="G1398" s="12" t="s">
        <v>159</v>
      </c>
      <c r="H1398" s="15">
        <v>62200</v>
      </c>
      <c r="I1398" s="13">
        <v>50</v>
      </c>
    </row>
    <row r="1399" spans="6:9">
      <c r="F1399" s="12" t="s">
        <v>2880</v>
      </c>
      <c r="G1399" s="12" t="s">
        <v>159</v>
      </c>
      <c r="H1399" s="15">
        <v>15400</v>
      </c>
      <c r="I1399" s="13">
        <v>50</v>
      </c>
    </row>
    <row r="1400" spans="6:9">
      <c r="F1400" s="12" t="s">
        <v>2881</v>
      </c>
      <c r="G1400" s="12" t="s">
        <v>159</v>
      </c>
      <c r="H1400" s="15">
        <v>414800</v>
      </c>
      <c r="I1400" s="13">
        <v>50</v>
      </c>
    </row>
    <row r="1401" spans="6:9">
      <c r="F1401" s="12" t="s">
        <v>2882</v>
      </c>
      <c r="G1401" s="12" t="s">
        <v>159</v>
      </c>
      <c r="H1401" s="15">
        <v>16700</v>
      </c>
      <c r="I1401" s="13">
        <v>50</v>
      </c>
    </row>
    <row r="1402" spans="6:9">
      <c r="F1402" s="12" t="s">
        <v>2883</v>
      </c>
      <c r="G1402" s="12" t="s">
        <v>159</v>
      </c>
      <c r="H1402" s="15">
        <v>10500</v>
      </c>
      <c r="I1402" s="13">
        <v>50</v>
      </c>
    </row>
    <row r="1403" spans="6:9">
      <c r="F1403" s="12" t="s">
        <v>2884</v>
      </c>
      <c r="G1403" s="12" t="s">
        <v>159</v>
      </c>
      <c r="H1403" s="15">
        <v>1400000</v>
      </c>
      <c r="I1403" s="13">
        <v>50</v>
      </c>
    </row>
    <row r="1404" spans="6:9">
      <c r="F1404" s="12" t="s">
        <v>2885</v>
      </c>
      <c r="G1404" s="12" t="s">
        <v>159</v>
      </c>
      <c r="H1404" s="15">
        <v>201747</v>
      </c>
      <c r="I1404" s="13">
        <v>50</v>
      </c>
    </row>
    <row r="1405" spans="6:9">
      <c r="F1405" s="12" t="s">
        <v>2886</v>
      </c>
      <c r="G1405" s="12" t="s">
        <v>157</v>
      </c>
      <c r="H1405" s="15">
        <v>11654</v>
      </c>
      <c r="I1405" s="13">
        <v>50</v>
      </c>
    </row>
    <row r="1406" spans="6:9">
      <c r="F1406" s="12" t="s">
        <v>2887</v>
      </c>
      <c r="G1406" s="12" t="s">
        <v>159</v>
      </c>
      <c r="H1406" s="15">
        <v>18700</v>
      </c>
      <c r="I1406" s="13">
        <v>50</v>
      </c>
    </row>
    <row r="1407" spans="6:9">
      <c r="F1407" s="12" t="s">
        <v>2888</v>
      </c>
      <c r="G1407" s="12" t="s">
        <v>159</v>
      </c>
      <c r="H1407" s="15">
        <v>11600</v>
      </c>
      <c r="I1407" s="13">
        <v>50</v>
      </c>
    </row>
    <row r="1408" spans="6:9">
      <c r="F1408" s="12" t="s">
        <v>2889</v>
      </c>
      <c r="G1408" s="12" t="s">
        <v>159</v>
      </c>
      <c r="H1408" s="15">
        <v>384300</v>
      </c>
      <c r="I1408" s="13">
        <v>50</v>
      </c>
    </row>
    <row r="1409" spans="6:9">
      <c r="F1409" s="12" t="s">
        <v>2890</v>
      </c>
      <c r="G1409" s="12" t="s">
        <v>159</v>
      </c>
      <c r="H1409" s="15">
        <v>4400000</v>
      </c>
      <c r="I1409" s="13">
        <v>50</v>
      </c>
    </row>
    <row r="1410" spans="6:9">
      <c r="F1410" s="12" t="s">
        <v>2891</v>
      </c>
      <c r="G1410" s="12" t="s">
        <v>159</v>
      </c>
      <c r="H1410" s="15">
        <v>33800</v>
      </c>
      <c r="I1410" s="13">
        <v>50</v>
      </c>
    </row>
    <row r="1411" spans="6:9">
      <c r="F1411" s="12" t="s">
        <v>2892</v>
      </c>
      <c r="G1411" s="12" t="s">
        <v>159</v>
      </c>
      <c r="H1411" s="15">
        <v>15300</v>
      </c>
      <c r="I1411" s="13">
        <v>50</v>
      </c>
    </row>
    <row r="1412" spans="6:9">
      <c r="F1412" s="12" t="s">
        <v>2893</v>
      </c>
      <c r="G1412" s="12" t="s">
        <v>159</v>
      </c>
      <c r="H1412" s="15">
        <v>2500000</v>
      </c>
      <c r="I1412" s="13">
        <v>50</v>
      </c>
    </row>
    <row r="1413" spans="6:9">
      <c r="F1413" s="12" t="s">
        <v>2894</v>
      </c>
      <c r="G1413" s="12" t="s">
        <v>159</v>
      </c>
      <c r="H1413" s="15">
        <v>25900</v>
      </c>
      <c r="I1413" s="13">
        <v>50</v>
      </c>
    </row>
    <row r="1414" spans="6:9">
      <c r="F1414" s="12" t="s">
        <v>1114</v>
      </c>
      <c r="G1414" s="12" t="s">
        <v>157</v>
      </c>
      <c r="H1414" s="15">
        <v>14508</v>
      </c>
      <c r="I1414" s="13">
        <v>50</v>
      </c>
    </row>
    <row r="1415" spans="6:9">
      <c r="F1415" s="12" t="s">
        <v>2895</v>
      </c>
      <c r="G1415" s="12" t="s">
        <v>159</v>
      </c>
      <c r="H1415" s="15">
        <v>277200</v>
      </c>
      <c r="I1415" s="13">
        <v>50</v>
      </c>
    </row>
    <row r="1416" spans="6:9">
      <c r="F1416" s="12" t="s">
        <v>491</v>
      </c>
      <c r="G1416" s="12" t="s">
        <v>157</v>
      </c>
      <c r="H1416" s="15">
        <v>433433</v>
      </c>
      <c r="I1416" s="13">
        <v>50</v>
      </c>
    </row>
    <row r="1417" spans="6:9">
      <c r="F1417" s="12" t="s">
        <v>2896</v>
      </c>
      <c r="G1417" s="12" t="s">
        <v>159</v>
      </c>
      <c r="H1417" s="15">
        <v>31100</v>
      </c>
      <c r="I1417" s="13">
        <v>50</v>
      </c>
    </row>
    <row r="1418" spans="6:9">
      <c r="F1418" s="12" t="s">
        <v>2897</v>
      </c>
      <c r="G1418" s="12" t="s">
        <v>159</v>
      </c>
      <c r="H1418" s="15">
        <v>122400</v>
      </c>
      <c r="I1418" s="13">
        <v>50</v>
      </c>
    </row>
    <row r="1419" spans="6:9">
      <c r="F1419" s="12" t="s">
        <v>1117</v>
      </c>
      <c r="G1419" s="12" t="s">
        <v>157</v>
      </c>
      <c r="H1419" s="15">
        <v>22710</v>
      </c>
      <c r="I1419" s="13">
        <v>50</v>
      </c>
    </row>
    <row r="1420" spans="6:9">
      <c r="F1420" s="12" t="s">
        <v>2898</v>
      </c>
      <c r="G1420" s="12" t="s">
        <v>159</v>
      </c>
      <c r="H1420" s="15">
        <v>157500</v>
      </c>
      <c r="I1420" s="13">
        <v>50</v>
      </c>
    </row>
    <row r="1421" spans="6:9">
      <c r="F1421" s="12" t="s">
        <v>2899</v>
      </c>
      <c r="G1421" s="12" t="s">
        <v>159</v>
      </c>
      <c r="H1421" s="15">
        <v>1800000</v>
      </c>
      <c r="I1421" s="13">
        <v>50</v>
      </c>
    </row>
    <row r="1422" spans="6:9">
      <c r="F1422" s="12" t="s">
        <v>2900</v>
      </c>
      <c r="G1422" s="12" t="s">
        <v>157</v>
      </c>
      <c r="H1422" s="15">
        <v>33132</v>
      </c>
      <c r="I1422" s="13">
        <v>50</v>
      </c>
    </row>
    <row r="1423" spans="6:9">
      <c r="F1423" s="12" t="s">
        <v>2901</v>
      </c>
      <c r="G1423" s="12" t="s">
        <v>159</v>
      </c>
      <c r="H1423" s="15">
        <v>47500</v>
      </c>
      <c r="I1423" s="13">
        <v>50</v>
      </c>
    </row>
    <row r="1424" spans="6:9">
      <c r="F1424" s="12" t="s">
        <v>2902</v>
      </c>
      <c r="G1424" s="12" t="s">
        <v>159</v>
      </c>
      <c r="H1424" s="15">
        <v>55100</v>
      </c>
      <c r="I1424" s="13">
        <v>50</v>
      </c>
    </row>
    <row r="1425" spans="6:9">
      <c r="F1425" s="12" t="s">
        <v>2903</v>
      </c>
      <c r="G1425" s="12" t="s">
        <v>159</v>
      </c>
      <c r="H1425" s="15">
        <v>380400</v>
      </c>
      <c r="I1425" s="13">
        <v>50</v>
      </c>
    </row>
    <row r="1426" spans="6:9">
      <c r="F1426" s="12" t="s">
        <v>2904</v>
      </c>
      <c r="G1426" s="12" t="s">
        <v>159</v>
      </c>
      <c r="H1426" s="15">
        <v>220300</v>
      </c>
      <c r="I1426" s="13">
        <v>50</v>
      </c>
    </row>
    <row r="1427" spans="6:9">
      <c r="F1427" s="12" t="s">
        <v>2905</v>
      </c>
      <c r="G1427" s="12" t="s">
        <v>157</v>
      </c>
      <c r="H1427" s="15">
        <v>14473</v>
      </c>
      <c r="I1427" s="13">
        <v>50</v>
      </c>
    </row>
    <row r="1428" spans="6:9">
      <c r="F1428" s="12" t="s">
        <v>2906</v>
      </c>
      <c r="G1428" s="12" t="s">
        <v>159</v>
      </c>
      <c r="H1428" s="15">
        <v>12400</v>
      </c>
      <c r="I1428" s="13">
        <v>50</v>
      </c>
    </row>
    <row r="1429" spans="6:9">
      <c r="F1429" s="12" t="s">
        <v>2907</v>
      </c>
      <c r="G1429" s="12" t="s">
        <v>157</v>
      </c>
      <c r="H1429" s="15">
        <v>27503</v>
      </c>
      <c r="I1429" s="13">
        <v>50</v>
      </c>
    </row>
    <row r="1430" spans="6:9">
      <c r="F1430" s="12" t="s">
        <v>2908</v>
      </c>
      <c r="G1430" s="12" t="s">
        <v>157</v>
      </c>
      <c r="H1430" s="15">
        <v>1468115</v>
      </c>
      <c r="I1430" s="13">
        <v>50</v>
      </c>
    </row>
    <row r="1431" spans="6:9">
      <c r="F1431" s="12" t="s">
        <v>2909</v>
      </c>
      <c r="G1431" s="12" t="s">
        <v>159</v>
      </c>
      <c r="H1431" s="15">
        <v>10400</v>
      </c>
      <c r="I1431" s="13">
        <v>50</v>
      </c>
    </row>
    <row r="1432" spans="6:9">
      <c r="F1432" s="12" t="s">
        <v>2910</v>
      </c>
      <c r="G1432" s="12" t="s">
        <v>159</v>
      </c>
      <c r="H1432" s="15">
        <v>437300</v>
      </c>
      <c r="I1432" s="13">
        <v>50</v>
      </c>
    </row>
    <row r="1433" spans="6:9">
      <c r="F1433" s="12" t="s">
        <v>2911</v>
      </c>
      <c r="G1433" s="12" t="s">
        <v>159</v>
      </c>
      <c r="H1433" s="15">
        <v>88400</v>
      </c>
      <c r="I1433" s="13">
        <v>50</v>
      </c>
    </row>
    <row r="1434" spans="6:9">
      <c r="F1434" s="12" t="s">
        <v>2912</v>
      </c>
      <c r="G1434" s="12" t="s">
        <v>159</v>
      </c>
      <c r="H1434" s="15">
        <v>112100</v>
      </c>
      <c r="I1434" s="13">
        <v>50</v>
      </c>
    </row>
    <row r="1435" spans="6:9">
      <c r="F1435" s="12" t="s">
        <v>2913</v>
      </c>
      <c r="G1435" s="12" t="s">
        <v>159</v>
      </c>
      <c r="H1435" s="15">
        <v>59300</v>
      </c>
      <c r="I1435" s="13">
        <v>50</v>
      </c>
    </row>
    <row r="1436" spans="6:9">
      <c r="F1436" s="12" t="s">
        <v>2914</v>
      </c>
      <c r="G1436" s="12" t="s">
        <v>159</v>
      </c>
      <c r="H1436" s="15">
        <v>13200</v>
      </c>
      <c r="I1436" s="13">
        <v>50</v>
      </c>
    </row>
    <row r="1437" spans="6:9">
      <c r="F1437" s="12" t="s">
        <v>2915</v>
      </c>
      <c r="G1437" s="12" t="s">
        <v>157</v>
      </c>
      <c r="H1437" s="15">
        <v>11940</v>
      </c>
      <c r="I1437" s="13">
        <v>50</v>
      </c>
    </row>
    <row r="1438" spans="6:9">
      <c r="F1438" s="12" t="s">
        <v>2916</v>
      </c>
      <c r="G1438" s="12" t="s">
        <v>159</v>
      </c>
      <c r="H1438" s="15">
        <v>190200</v>
      </c>
      <c r="I1438" s="13">
        <v>50</v>
      </c>
    </row>
    <row r="1439" spans="6:9">
      <c r="F1439" s="12" t="s">
        <v>2917</v>
      </c>
      <c r="G1439" s="12" t="s">
        <v>157</v>
      </c>
      <c r="H1439" s="15">
        <v>51951</v>
      </c>
      <c r="I1439" s="13">
        <v>50</v>
      </c>
    </row>
    <row r="1440" spans="6:9">
      <c r="F1440" s="12" t="s">
        <v>2918</v>
      </c>
      <c r="G1440" s="12" t="s">
        <v>159</v>
      </c>
      <c r="H1440" s="15">
        <v>561706</v>
      </c>
      <c r="I1440" s="13">
        <v>50</v>
      </c>
    </row>
    <row r="1441" spans="6:9">
      <c r="F1441" s="12" t="s">
        <v>1120</v>
      </c>
      <c r="G1441" s="12" t="s">
        <v>157</v>
      </c>
      <c r="H1441" s="15">
        <v>10369</v>
      </c>
      <c r="I1441" s="13">
        <v>50</v>
      </c>
    </row>
    <row r="1442" spans="6:9">
      <c r="F1442" s="12" t="s">
        <v>2919</v>
      </c>
      <c r="G1442" s="12" t="s">
        <v>159</v>
      </c>
      <c r="H1442" s="15">
        <v>412500</v>
      </c>
      <c r="I1442" s="13">
        <v>50</v>
      </c>
    </row>
    <row r="1443" spans="6:9">
      <c r="F1443" s="12" t="s">
        <v>2920</v>
      </c>
      <c r="G1443" s="12" t="s">
        <v>159</v>
      </c>
      <c r="H1443" s="15">
        <v>14400</v>
      </c>
      <c r="I1443" s="13">
        <v>50</v>
      </c>
    </row>
    <row r="1444" spans="6:9">
      <c r="F1444" s="12" t="s">
        <v>2921</v>
      </c>
      <c r="G1444" s="12" t="s">
        <v>157</v>
      </c>
      <c r="H1444" s="15">
        <v>21552</v>
      </c>
      <c r="I1444" s="13">
        <v>50</v>
      </c>
    </row>
    <row r="1445" spans="6:9">
      <c r="F1445" s="12" t="s">
        <v>2922</v>
      </c>
      <c r="G1445" s="12" t="s">
        <v>159</v>
      </c>
      <c r="H1445" s="15">
        <v>42400</v>
      </c>
      <c r="I1445" s="13">
        <v>50</v>
      </c>
    </row>
    <row r="1446" spans="6:9">
      <c r="F1446" s="12" t="s">
        <v>2923</v>
      </c>
      <c r="G1446" s="12" t="s">
        <v>157</v>
      </c>
      <c r="H1446" s="15">
        <v>14156</v>
      </c>
      <c r="I1446" s="13">
        <v>50</v>
      </c>
    </row>
    <row r="1447" spans="6:9">
      <c r="F1447" s="12" t="s">
        <v>2924</v>
      </c>
      <c r="G1447" s="12" t="s">
        <v>159</v>
      </c>
      <c r="H1447" s="15">
        <v>27300</v>
      </c>
      <c r="I1447" s="13">
        <v>50</v>
      </c>
    </row>
    <row r="1448" spans="6:9">
      <c r="F1448" s="12" t="s">
        <v>2925</v>
      </c>
      <c r="G1448" s="12" t="s">
        <v>159</v>
      </c>
      <c r="H1448" s="15">
        <v>27300</v>
      </c>
      <c r="I1448" s="13">
        <v>50</v>
      </c>
    </row>
    <row r="1449" spans="6:9">
      <c r="F1449" s="12" t="s">
        <v>2926</v>
      </c>
      <c r="G1449" s="12" t="s">
        <v>159</v>
      </c>
      <c r="H1449" s="15">
        <v>413100</v>
      </c>
      <c r="I1449" s="13">
        <v>50</v>
      </c>
    </row>
    <row r="1450" spans="6:9">
      <c r="F1450" s="12" t="s">
        <v>2927</v>
      </c>
      <c r="G1450" s="12" t="s">
        <v>157</v>
      </c>
      <c r="H1450" s="15">
        <v>32860</v>
      </c>
      <c r="I1450" s="13">
        <v>50</v>
      </c>
    </row>
    <row r="1451" spans="6:9">
      <c r="F1451" s="12" t="s">
        <v>2928</v>
      </c>
      <c r="G1451" s="12" t="s">
        <v>159</v>
      </c>
      <c r="H1451" s="15">
        <v>26600</v>
      </c>
      <c r="I1451" s="13">
        <v>50</v>
      </c>
    </row>
    <row r="1452" spans="6:9">
      <c r="F1452" s="12" t="s">
        <v>1122</v>
      </c>
      <c r="G1452" s="12" t="s">
        <v>157</v>
      </c>
      <c r="H1452" s="15">
        <v>22227</v>
      </c>
      <c r="I1452" s="13">
        <v>50</v>
      </c>
    </row>
    <row r="1453" spans="6:9">
      <c r="F1453" s="12" t="s">
        <v>2929</v>
      </c>
      <c r="G1453" s="12" t="s">
        <v>159</v>
      </c>
      <c r="H1453" s="15">
        <v>52700</v>
      </c>
      <c r="I1453" s="13">
        <v>50</v>
      </c>
    </row>
    <row r="1454" spans="6:9">
      <c r="F1454" s="12" t="s">
        <v>1125</v>
      </c>
      <c r="G1454" s="12" t="s">
        <v>157</v>
      </c>
      <c r="H1454" s="15">
        <v>14552</v>
      </c>
      <c r="I1454" s="13">
        <v>50</v>
      </c>
    </row>
    <row r="1455" spans="6:9">
      <c r="F1455" s="12" t="s">
        <v>2930</v>
      </c>
      <c r="G1455" s="12" t="s">
        <v>159</v>
      </c>
      <c r="H1455" s="15">
        <v>35100</v>
      </c>
      <c r="I1455" s="13">
        <v>50</v>
      </c>
    </row>
    <row r="1456" spans="6:9">
      <c r="F1456" s="12" t="s">
        <v>2931</v>
      </c>
      <c r="G1456" s="12" t="s">
        <v>159</v>
      </c>
      <c r="H1456" s="15">
        <v>655200</v>
      </c>
      <c r="I1456" s="13">
        <v>50</v>
      </c>
    </row>
    <row r="1457" spans="6:9">
      <c r="F1457" s="12" t="s">
        <v>2932</v>
      </c>
      <c r="G1457" s="12" t="s">
        <v>157</v>
      </c>
      <c r="H1457" s="15">
        <v>11255</v>
      </c>
      <c r="I1457" s="13">
        <v>50</v>
      </c>
    </row>
    <row r="1458" spans="6:9">
      <c r="F1458" s="12" t="s">
        <v>2933</v>
      </c>
      <c r="G1458" s="12" t="s">
        <v>159</v>
      </c>
      <c r="H1458" s="15">
        <v>26200</v>
      </c>
      <c r="I1458" s="13">
        <v>50</v>
      </c>
    </row>
    <row r="1459" spans="6:9">
      <c r="F1459" s="12" t="s">
        <v>1128</v>
      </c>
      <c r="G1459" s="12" t="s">
        <v>157</v>
      </c>
      <c r="H1459" s="15">
        <v>10763</v>
      </c>
      <c r="I1459" s="13">
        <v>50</v>
      </c>
    </row>
    <row r="1460" spans="6:9">
      <c r="F1460" s="12" t="s">
        <v>2934</v>
      </c>
      <c r="G1460" s="12" t="s">
        <v>157</v>
      </c>
      <c r="H1460" s="15">
        <v>25530</v>
      </c>
      <c r="I1460" s="13">
        <v>50</v>
      </c>
    </row>
    <row r="1461" spans="6:9">
      <c r="F1461" s="12" t="s">
        <v>2935</v>
      </c>
      <c r="G1461" s="12" t="s">
        <v>157</v>
      </c>
      <c r="H1461" s="15">
        <v>100843</v>
      </c>
      <c r="I1461" s="13">
        <v>50</v>
      </c>
    </row>
    <row r="1462" spans="6:9">
      <c r="F1462" s="12" t="s">
        <v>2936</v>
      </c>
      <c r="G1462" s="12" t="s">
        <v>159</v>
      </c>
      <c r="H1462" s="15">
        <v>17800</v>
      </c>
      <c r="I1462" s="13">
        <v>50</v>
      </c>
    </row>
    <row r="1463" spans="6:9">
      <c r="F1463" s="12" t="s">
        <v>2937</v>
      </c>
      <c r="G1463" s="12" t="s">
        <v>157</v>
      </c>
      <c r="H1463" s="15">
        <v>15810</v>
      </c>
      <c r="I1463" s="13">
        <v>50</v>
      </c>
    </row>
    <row r="1464" spans="6:9">
      <c r="F1464" s="12" t="s">
        <v>2938</v>
      </c>
      <c r="G1464" s="12" t="s">
        <v>159</v>
      </c>
      <c r="H1464" s="15">
        <v>10100</v>
      </c>
      <c r="I1464" s="13">
        <v>50</v>
      </c>
    </row>
    <row r="1465" spans="6:9">
      <c r="F1465" s="12" t="s">
        <v>2939</v>
      </c>
      <c r="G1465" s="12" t="s">
        <v>157</v>
      </c>
      <c r="H1465" s="15">
        <v>12574</v>
      </c>
      <c r="I1465" s="13">
        <v>50</v>
      </c>
    </row>
    <row r="1466" spans="6:9">
      <c r="F1466" s="12" t="s">
        <v>2940</v>
      </c>
      <c r="G1466" s="12" t="s">
        <v>159</v>
      </c>
      <c r="H1466" s="15">
        <v>32800</v>
      </c>
      <c r="I1466" s="13">
        <v>50</v>
      </c>
    </row>
    <row r="1467" spans="6:9">
      <c r="F1467" s="12" t="s">
        <v>2941</v>
      </c>
      <c r="G1467" s="12" t="s">
        <v>159</v>
      </c>
      <c r="H1467" s="15">
        <v>75500</v>
      </c>
      <c r="I1467" s="13">
        <v>50</v>
      </c>
    </row>
    <row r="1468" spans="6:9">
      <c r="F1468" s="12" t="s">
        <v>2942</v>
      </c>
      <c r="G1468" s="12" t="s">
        <v>157</v>
      </c>
      <c r="H1468" s="15">
        <v>32091</v>
      </c>
      <c r="I1468" s="13">
        <v>50</v>
      </c>
    </row>
    <row r="1469" spans="6:9">
      <c r="F1469" s="12" t="s">
        <v>2943</v>
      </c>
      <c r="G1469" s="12" t="s">
        <v>159</v>
      </c>
      <c r="H1469" s="15">
        <v>24600</v>
      </c>
      <c r="I1469" s="13">
        <v>50</v>
      </c>
    </row>
    <row r="1470" spans="6:9">
      <c r="F1470" s="12" t="s">
        <v>2944</v>
      </c>
      <c r="G1470" s="12" t="s">
        <v>159</v>
      </c>
      <c r="H1470" s="15">
        <v>32900</v>
      </c>
      <c r="I1470" s="13">
        <v>50</v>
      </c>
    </row>
    <row r="1471" spans="6:9">
      <c r="F1471" s="12" t="s">
        <v>1131</v>
      </c>
      <c r="G1471" s="12" t="s">
        <v>157</v>
      </c>
      <c r="H1471" s="15">
        <v>26567</v>
      </c>
      <c r="I1471" s="13">
        <v>50</v>
      </c>
    </row>
    <row r="1472" spans="6:9">
      <c r="F1472" s="12" t="s">
        <v>2945</v>
      </c>
      <c r="G1472" s="12" t="s">
        <v>159</v>
      </c>
      <c r="H1472" s="15">
        <v>1200000</v>
      </c>
      <c r="I1472" s="13">
        <v>50</v>
      </c>
    </row>
    <row r="1473" spans="6:9">
      <c r="F1473" s="12" t="s">
        <v>2946</v>
      </c>
      <c r="G1473" s="12" t="s">
        <v>159</v>
      </c>
      <c r="H1473" s="15">
        <v>15700</v>
      </c>
      <c r="I1473" s="13">
        <v>50</v>
      </c>
    </row>
    <row r="1474" spans="6:9">
      <c r="F1474" s="12" t="s">
        <v>2947</v>
      </c>
      <c r="G1474" s="12" t="s">
        <v>157</v>
      </c>
      <c r="H1474" s="15">
        <v>10105</v>
      </c>
      <c r="I1474" s="13">
        <v>50</v>
      </c>
    </row>
    <row r="1475" spans="6:9">
      <c r="F1475" s="12" t="s">
        <v>2948</v>
      </c>
      <c r="G1475" s="12" t="s">
        <v>159</v>
      </c>
      <c r="H1475" s="15">
        <v>254100</v>
      </c>
      <c r="I1475" s="13">
        <v>50</v>
      </c>
    </row>
    <row r="1476" spans="6:9">
      <c r="F1476" s="12" t="s">
        <v>2949</v>
      </c>
      <c r="G1476" s="12" t="s">
        <v>159</v>
      </c>
      <c r="H1476" s="15">
        <v>33100</v>
      </c>
      <c r="I1476" s="13">
        <v>50</v>
      </c>
    </row>
    <row r="1477" spans="6:9">
      <c r="F1477" s="12" t="s">
        <v>2950</v>
      </c>
      <c r="G1477" s="12" t="s">
        <v>159</v>
      </c>
      <c r="H1477" s="15">
        <v>91100</v>
      </c>
      <c r="I1477" s="13">
        <v>50</v>
      </c>
    </row>
    <row r="1478" spans="6:9">
      <c r="F1478" s="12" t="s">
        <v>2951</v>
      </c>
      <c r="G1478" s="12" t="s">
        <v>159</v>
      </c>
      <c r="H1478" s="15">
        <v>22100</v>
      </c>
      <c r="I1478" s="13">
        <v>50</v>
      </c>
    </row>
    <row r="1479" spans="6:9">
      <c r="F1479" s="12" t="s">
        <v>2952</v>
      </c>
      <c r="G1479" s="12" t="s">
        <v>159</v>
      </c>
      <c r="H1479" s="15">
        <v>10700</v>
      </c>
      <c r="I1479" s="13">
        <v>50</v>
      </c>
    </row>
    <row r="1480" spans="6:9">
      <c r="F1480" s="12" t="s">
        <v>1134</v>
      </c>
      <c r="G1480" s="12" t="s">
        <v>157</v>
      </c>
      <c r="H1480" s="15">
        <v>28959</v>
      </c>
      <c r="I1480" s="13">
        <v>50</v>
      </c>
    </row>
    <row r="1481" spans="6:9">
      <c r="F1481" s="12" t="s">
        <v>2953</v>
      </c>
      <c r="G1481" s="12" t="s">
        <v>159</v>
      </c>
      <c r="H1481" s="15">
        <v>37300</v>
      </c>
      <c r="I1481" s="13">
        <v>50</v>
      </c>
    </row>
    <row r="1482" spans="6:9">
      <c r="F1482" s="12" t="s">
        <v>2954</v>
      </c>
      <c r="G1482" s="12" t="s">
        <v>159</v>
      </c>
      <c r="H1482" s="15">
        <v>114400</v>
      </c>
      <c r="I1482" s="13">
        <v>50</v>
      </c>
    </row>
    <row r="1483" spans="6:9">
      <c r="F1483" s="12" t="s">
        <v>2955</v>
      </c>
      <c r="G1483" s="12" t="s">
        <v>159</v>
      </c>
      <c r="H1483" s="15">
        <v>283000</v>
      </c>
      <c r="I1483" s="13">
        <v>50</v>
      </c>
    </row>
    <row r="1484" spans="6:9">
      <c r="F1484" s="12" t="s">
        <v>2956</v>
      </c>
      <c r="G1484" s="12" t="s">
        <v>157</v>
      </c>
      <c r="H1484" s="15">
        <v>33158</v>
      </c>
      <c r="I1484" s="13">
        <v>50</v>
      </c>
    </row>
    <row r="1485" spans="6:9">
      <c r="F1485" s="12" t="s">
        <v>2957</v>
      </c>
      <c r="G1485" s="12" t="s">
        <v>159</v>
      </c>
      <c r="H1485" s="15">
        <v>124237</v>
      </c>
      <c r="I1485" s="13">
        <v>50</v>
      </c>
    </row>
    <row r="1486" spans="6:9">
      <c r="F1486" s="12" t="s">
        <v>2958</v>
      </c>
      <c r="G1486" s="12" t="s">
        <v>159</v>
      </c>
      <c r="H1486" s="15">
        <v>346500</v>
      </c>
      <c r="I1486" s="13">
        <v>50</v>
      </c>
    </row>
    <row r="1487" spans="6:9">
      <c r="F1487" s="12" t="s">
        <v>2959</v>
      </c>
      <c r="G1487" s="12" t="s">
        <v>159</v>
      </c>
      <c r="H1487" s="15">
        <v>102100</v>
      </c>
      <c r="I1487" s="13">
        <v>50</v>
      </c>
    </row>
    <row r="1488" spans="6:9">
      <c r="F1488" s="12" t="s">
        <v>2960</v>
      </c>
      <c r="G1488" s="12" t="s">
        <v>159</v>
      </c>
      <c r="H1488" s="15">
        <v>142800</v>
      </c>
      <c r="I1488" s="13">
        <v>50</v>
      </c>
    </row>
    <row r="1489" spans="6:9">
      <c r="F1489" s="12" t="s">
        <v>2961</v>
      </c>
      <c r="G1489" s="12" t="s">
        <v>159</v>
      </c>
      <c r="H1489" s="15">
        <v>27800</v>
      </c>
      <c r="I1489" s="13">
        <v>50</v>
      </c>
    </row>
    <row r="1490" spans="6:9">
      <c r="F1490" s="12" t="s">
        <v>2962</v>
      </c>
      <c r="G1490" s="12" t="s">
        <v>159</v>
      </c>
      <c r="H1490" s="15">
        <v>15700</v>
      </c>
      <c r="I1490" s="13">
        <v>50</v>
      </c>
    </row>
    <row r="1491" spans="6:9">
      <c r="F1491" s="12" t="s">
        <v>2963</v>
      </c>
      <c r="G1491" s="12" t="s">
        <v>159</v>
      </c>
      <c r="H1491" s="15">
        <v>120900</v>
      </c>
      <c r="I1491" s="13">
        <v>50</v>
      </c>
    </row>
    <row r="1492" spans="6:9">
      <c r="F1492" s="12" t="s">
        <v>2964</v>
      </c>
      <c r="G1492" s="12" t="s">
        <v>159</v>
      </c>
      <c r="H1492" s="15">
        <v>220400</v>
      </c>
      <c r="I1492" s="13">
        <v>50</v>
      </c>
    </row>
    <row r="1493" spans="6:9">
      <c r="F1493" s="12" t="s">
        <v>2965</v>
      </c>
      <c r="G1493" s="12" t="s">
        <v>159</v>
      </c>
      <c r="H1493" s="15">
        <v>454200</v>
      </c>
      <c r="I1493" s="13">
        <v>50</v>
      </c>
    </row>
    <row r="1494" spans="6:9">
      <c r="F1494" s="12" t="s">
        <v>2966</v>
      </c>
      <c r="G1494" s="12" t="s">
        <v>159</v>
      </c>
      <c r="H1494" s="15">
        <v>44700</v>
      </c>
      <c r="I1494" s="13">
        <v>50</v>
      </c>
    </row>
    <row r="1495" spans="6:9">
      <c r="F1495" s="12" t="s">
        <v>2967</v>
      </c>
      <c r="G1495" s="12" t="s">
        <v>159</v>
      </c>
      <c r="H1495" s="15">
        <v>16200</v>
      </c>
      <c r="I1495" s="13">
        <v>50</v>
      </c>
    </row>
    <row r="1496" spans="6:9">
      <c r="F1496" s="12" t="s">
        <v>2968</v>
      </c>
      <c r="G1496" s="12" t="s">
        <v>159</v>
      </c>
      <c r="H1496" s="15">
        <v>47100</v>
      </c>
      <c r="I1496" s="13">
        <v>50</v>
      </c>
    </row>
    <row r="1497" spans="6:9">
      <c r="F1497" s="12" t="s">
        <v>2969</v>
      </c>
      <c r="G1497" s="12" t="s">
        <v>159</v>
      </c>
      <c r="H1497" s="15">
        <v>347000</v>
      </c>
      <c r="I1497" s="13">
        <v>50</v>
      </c>
    </row>
    <row r="1498" spans="6:9">
      <c r="F1498" s="12" t="s">
        <v>2970</v>
      </c>
      <c r="G1498" s="12" t="s">
        <v>159</v>
      </c>
      <c r="H1498" s="15">
        <v>275400</v>
      </c>
      <c r="I1498" s="13">
        <v>50</v>
      </c>
    </row>
    <row r="1499" spans="6:9">
      <c r="F1499" s="12" t="s">
        <v>2971</v>
      </c>
      <c r="G1499" s="12" t="s">
        <v>159</v>
      </c>
      <c r="H1499" s="15">
        <v>50500</v>
      </c>
      <c r="I1499" s="13">
        <v>50</v>
      </c>
    </row>
    <row r="1500" spans="6:9">
      <c r="F1500" s="12" t="s">
        <v>2972</v>
      </c>
      <c r="G1500" s="12" t="s">
        <v>159</v>
      </c>
      <c r="H1500" s="15">
        <v>101500</v>
      </c>
      <c r="I1500" s="13">
        <v>50</v>
      </c>
    </row>
    <row r="1501" spans="6:9">
      <c r="F1501" s="12" t="s">
        <v>2973</v>
      </c>
      <c r="G1501" s="12" t="s">
        <v>159</v>
      </c>
      <c r="H1501" s="15">
        <v>11800</v>
      </c>
      <c r="I1501" s="13">
        <v>50</v>
      </c>
    </row>
    <row r="1502" spans="6:9">
      <c r="F1502" s="12" t="s">
        <v>2974</v>
      </c>
      <c r="G1502" s="12" t="s">
        <v>159</v>
      </c>
      <c r="H1502" s="15">
        <v>194900</v>
      </c>
      <c r="I1502" s="13">
        <v>50</v>
      </c>
    </row>
    <row r="1503" spans="6:9">
      <c r="F1503" s="12" t="s">
        <v>2975</v>
      </c>
      <c r="G1503" s="12" t="s">
        <v>157</v>
      </c>
      <c r="H1503" s="15">
        <v>18966</v>
      </c>
      <c r="I1503" s="13">
        <v>50</v>
      </c>
    </row>
    <row r="1504" spans="6:9">
      <c r="F1504" s="12" t="s">
        <v>2976</v>
      </c>
      <c r="G1504" s="12" t="s">
        <v>159</v>
      </c>
      <c r="H1504" s="15">
        <v>24300</v>
      </c>
      <c r="I1504" s="13">
        <v>50</v>
      </c>
    </row>
    <row r="1505" spans="6:9">
      <c r="F1505" s="12" t="s">
        <v>1136</v>
      </c>
      <c r="G1505" s="12" t="s">
        <v>157</v>
      </c>
      <c r="H1505" s="15">
        <v>10100</v>
      </c>
      <c r="I1505" s="13">
        <v>50</v>
      </c>
    </row>
    <row r="1506" spans="6:9">
      <c r="F1506" s="12" t="s">
        <v>2977</v>
      </c>
      <c r="G1506" s="12" t="s">
        <v>157</v>
      </c>
      <c r="H1506" s="15">
        <v>17492</v>
      </c>
      <c r="I1506" s="13">
        <v>50</v>
      </c>
    </row>
    <row r="1507" spans="6:9">
      <c r="F1507" s="12" t="s">
        <v>1139</v>
      </c>
      <c r="G1507" s="12" t="s">
        <v>157</v>
      </c>
      <c r="H1507" s="15">
        <v>10956</v>
      </c>
      <c r="I1507" s="13">
        <v>50</v>
      </c>
    </row>
    <row r="1508" spans="6:9">
      <c r="F1508" s="12" t="s">
        <v>2978</v>
      </c>
      <c r="G1508" s="12" t="s">
        <v>157</v>
      </c>
      <c r="H1508" s="15">
        <v>11182</v>
      </c>
      <c r="I1508" s="13">
        <v>50</v>
      </c>
    </row>
    <row r="1509" spans="6:9">
      <c r="F1509" s="12" t="s">
        <v>2979</v>
      </c>
      <c r="G1509" s="12" t="s">
        <v>157</v>
      </c>
      <c r="H1509" s="15">
        <v>15600</v>
      </c>
      <c r="I1509" s="13">
        <v>50</v>
      </c>
    </row>
    <row r="1510" spans="6:9">
      <c r="F1510" s="12" t="s">
        <v>2980</v>
      </c>
      <c r="G1510" s="12" t="s">
        <v>157</v>
      </c>
      <c r="H1510" s="15">
        <v>11698</v>
      </c>
      <c r="I1510" s="13">
        <v>50</v>
      </c>
    </row>
    <row r="1511" spans="6:9">
      <c r="F1511" s="12" t="s">
        <v>2981</v>
      </c>
      <c r="G1511" s="12" t="s">
        <v>159</v>
      </c>
      <c r="H1511" s="15">
        <v>11600</v>
      </c>
      <c r="I1511" s="13">
        <v>50</v>
      </c>
    </row>
    <row r="1512" spans="6:9">
      <c r="F1512" s="12" t="s">
        <v>2982</v>
      </c>
      <c r="G1512" s="12" t="s">
        <v>159</v>
      </c>
      <c r="H1512" s="15">
        <v>15400</v>
      </c>
      <c r="I1512" s="13">
        <v>50</v>
      </c>
    </row>
    <row r="1513" spans="6:9">
      <c r="F1513" s="12" t="s">
        <v>2983</v>
      </c>
      <c r="G1513" s="12" t="s">
        <v>159</v>
      </c>
      <c r="H1513" s="15">
        <v>2500000</v>
      </c>
      <c r="I1513" s="13">
        <v>50</v>
      </c>
    </row>
    <row r="1514" spans="6:9">
      <c r="F1514" s="12" t="s">
        <v>2984</v>
      </c>
      <c r="G1514" s="12" t="s">
        <v>159</v>
      </c>
      <c r="H1514" s="15">
        <v>613200</v>
      </c>
      <c r="I1514" s="13">
        <v>50</v>
      </c>
    </row>
    <row r="1515" spans="6:9">
      <c r="F1515" s="12" t="s">
        <v>2985</v>
      </c>
      <c r="G1515" s="12" t="s">
        <v>159</v>
      </c>
      <c r="H1515" s="15">
        <v>545600</v>
      </c>
      <c r="I1515" s="13">
        <v>50</v>
      </c>
    </row>
    <row r="1516" spans="6:9">
      <c r="F1516" s="12" t="s">
        <v>2986</v>
      </c>
      <c r="G1516" s="12" t="s">
        <v>159</v>
      </c>
      <c r="H1516" s="15">
        <v>372700</v>
      </c>
      <c r="I1516" s="13">
        <v>50</v>
      </c>
    </row>
    <row r="1517" spans="6:9">
      <c r="F1517" s="12" t="s">
        <v>1142</v>
      </c>
      <c r="G1517" s="12" t="s">
        <v>157</v>
      </c>
      <c r="H1517" s="15">
        <v>33146</v>
      </c>
      <c r="I1517" s="13">
        <v>50</v>
      </c>
    </row>
    <row r="1518" spans="6:9">
      <c r="F1518" s="12" t="s">
        <v>1144</v>
      </c>
      <c r="G1518" s="12" t="s">
        <v>157</v>
      </c>
      <c r="H1518" s="15">
        <v>1124014</v>
      </c>
      <c r="I1518" s="13">
        <v>50</v>
      </c>
    </row>
    <row r="1519" spans="6:9">
      <c r="F1519" s="12" t="s">
        <v>2987</v>
      </c>
      <c r="G1519" s="12" t="s">
        <v>159</v>
      </c>
      <c r="H1519" s="15">
        <v>34900</v>
      </c>
      <c r="I1519" s="13">
        <v>50</v>
      </c>
    </row>
    <row r="1520" spans="6:9">
      <c r="F1520" s="12" t="s">
        <v>2988</v>
      </c>
      <c r="G1520" s="12" t="s">
        <v>159</v>
      </c>
      <c r="H1520" s="15">
        <v>15100</v>
      </c>
      <c r="I1520" s="13">
        <v>50</v>
      </c>
    </row>
    <row r="1521" spans="6:9">
      <c r="F1521" s="12" t="s">
        <v>2989</v>
      </c>
      <c r="G1521" s="12" t="s">
        <v>159</v>
      </c>
      <c r="H1521" s="15">
        <v>68200</v>
      </c>
      <c r="I1521" s="13">
        <v>50</v>
      </c>
    </row>
    <row r="1522" spans="6:9">
      <c r="F1522" s="12" t="s">
        <v>2990</v>
      </c>
      <c r="G1522" s="12" t="s">
        <v>157</v>
      </c>
      <c r="H1522" s="15">
        <v>22856</v>
      </c>
      <c r="I1522" s="13">
        <v>50</v>
      </c>
    </row>
    <row r="1523" spans="6:9">
      <c r="F1523" s="12" t="s">
        <v>2991</v>
      </c>
      <c r="G1523" s="12" t="s">
        <v>159</v>
      </c>
      <c r="H1523" s="15">
        <v>35100</v>
      </c>
      <c r="I1523" s="13">
        <v>50</v>
      </c>
    </row>
    <row r="1524" spans="6:9">
      <c r="F1524" s="12" t="s">
        <v>2992</v>
      </c>
      <c r="G1524" s="12" t="s">
        <v>157</v>
      </c>
      <c r="H1524" s="15">
        <v>12783</v>
      </c>
      <c r="I1524" s="13">
        <v>50</v>
      </c>
    </row>
    <row r="1525" spans="6:9">
      <c r="F1525" s="12" t="s">
        <v>2993</v>
      </c>
      <c r="G1525" s="12" t="s">
        <v>157</v>
      </c>
      <c r="H1525" s="15">
        <v>14592</v>
      </c>
      <c r="I1525" s="13">
        <v>50</v>
      </c>
    </row>
    <row r="1526" spans="6:9">
      <c r="F1526" s="12" t="s">
        <v>2994</v>
      </c>
      <c r="G1526" s="12" t="s">
        <v>159</v>
      </c>
      <c r="H1526" s="15">
        <v>10700</v>
      </c>
      <c r="I1526" s="13">
        <v>50</v>
      </c>
    </row>
    <row r="1527" spans="6:9">
      <c r="F1527" s="12" t="s">
        <v>1147</v>
      </c>
      <c r="G1527" s="12" t="s">
        <v>157</v>
      </c>
      <c r="H1527" s="15">
        <v>11611</v>
      </c>
      <c r="I1527" s="13">
        <v>50</v>
      </c>
    </row>
    <row r="1528" spans="6:9">
      <c r="F1528" s="12" t="s">
        <v>2995</v>
      </c>
      <c r="G1528" s="12" t="s">
        <v>157</v>
      </c>
      <c r="H1528" s="15">
        <v>19527</v>
      </c>
      <c r="I1528" s="13">
        <v>50</v>
      </c>
    </row>
    <row r="1529" spans="6:9">
      <c r="F1529" s="12" t="s">
        <v>1150</v>
      </c>
      <c r="G1529" s="12" t="s">
        <v>157</v>
      </c>
      <c r="H1529" s="15">
        <v>11773</v>
      </c>
      <c r="I1529" s="13">
        <v>50</v>
      </c>
    </row>
    <row r="1530" spans="6:9">
      <c r="F1530" s="12" t="s">
        <v>2996</v>
      </c>
      <c r="G1530" s="12" t="s">
        <v>159</v>
      </c>
      <c r="H1530" s="15">
        <v>349100</v>
      </c>
      <c r="I1530" s="13">
        <v>50</v>
      </c>
    </row>
    <row r="1531" spans="6:9">
      <c r="F1531" s="12" t="s">
        <v>1152</v>
      </c>
      <c r="G1531" s="12" t="s">
        <v>157</v>
      </c>
      <c r="H1531" s="15">
        <v>11212</v>
      </c>
      <c r="I1531" s="13">
        <v>50</v>
      </c>
    </row>
    <row r="1532" spans="6:9">
      <c r="F1532" s="12" t="s">
        <v>2997</v>
      </c>
      <c r="G1532" s="12" t="s">
        <v>159</v>
      </c>
      <c r="H1532" s="15">
        <v>31200</v>
      </c>
      <c r="I1532" s="13">
        <v>50</v>
      </c>
    </row>
    <row r="1533" spans="6:9">
      <c r="F1533" s="12" t="s">
        <v>2998</v>
      </c>
      <c r="G1533" s="12" t="s">
        <v>159</v>
      </c>
      <c r="H1533" s="15">
        <v>34700</v>
      </c>
      <c r="I1533" s="13">
        <v>50</v>
      </c>
    </row>
    <row r="1534" spans="6:9">
      <c r="F1534" s="12" t="s">
        <v>2999</v>
      </c>
      <c r="G1534" s="12" t="s">
        <v>159</v>
      </c>
      <c r="H1534" s="15">
        <v>163200</v>
      </c>
      <c r="I1534" s="13">
        <v>50</v>
      </c>
    </row>
    <row r="1535" spans="6:9">
      <c r="F1535" s="12" t="s">
        <v>3000</v>
      </c>
      <c r="G1535" s="12" t="s">
        <v>159</v>
      </c>
      <c r="H1535" s="15">
        <v>26500</v>
      </c>
      <c r="I1535" s="13">
        <v>50</v>
      </c>
    </row>
    <row r="1536" spans="6:9">
      <c r="F1536" s="12" t="s">
        <v>3001</v>
      </c>
      <c r="G1536" s="12" t="s">
        <v>159</v>
      </c>
      <c r="H1536" s="15">
        <v>104800</v>
      </c>
      <c r="I1536" s="13">
        <v>50</v>
      </c>
    </row>
    <row r="1537" spans="6:9">
      <c r="F1537" s="12" t="s">
        <v>1155</v>
      </c>
      <c r="G1537" s="12" t="s">
        <v>157</v>
      </c>
      <c r="H1537" s="15">
        <v>10443</v>
      </c>
      <c r="I1537" s="13">
        <v>50</v>
      </c>
    </row>
    <row r="1538" spans="6:9">
      <c r="F1538" s="12" t="s">
        <v>3002</v>
      </c>
      <c r="G1538" s="12" t="s">
        <v>159</v>
      </c>
      <c r="H1538" s="15">
        <v>200100</v>
      </c>
      <c r="I1538" s="13">
        <v>50</v>
      </c>
    </row>
    <row r="1539" spans="6:9">
      <c r="F1539" s="12" t="s">
        <v>3003</v>
      </c>
      <c r="G1539" s="12" t="s">
        <v>159</v>
      </c>
      <c r="H1539" s="15">
        <v>47600</v>
      </c>
      <c r="I1539" s="13">
        <v>50</v>
      </c>
    </row>
    <row r="1540" spans="6:9">
      <c r="F1540" s="12" t="s">
        <v>3004</v>
      </c>
      <c r="G1540" s="12" t="s">
        <v>159</v>
      </c>
      <c r="H1540" s="15">
        <v>15300</v>
      </c>
      <c r="I1540" s="13">
        <v>50</v>
      </c>
    </row>
    <row r="1541" spans="6:9">
      <c r="F1541" s="12" t="s">
        <v>3005</v>
      </c>
      <c r="G1541" s="12" t="s">
        <v>159</v>
      </c>
      <c r="H1541" s="15">
        <v>70300</v>
      </c>
      <c r="I1541" s="13">
        <v>50</v>
      </c>
    </row>
    <row r="1542" spans="6:9">
      <c r="F1542" s="12" t="s">
        <v>3006</v>
      </c>
      <c r="G1542" s="12" t="s">
        <v>159</v>
      </c>
      <c r="H1542" s="15">
        <v>75100</v>
      </c>
      <c r="I1542" s="13">
        <v>50</v>
      </c>
    </row>
    <row r="1543" spans="6:9">
      <c r="F1543" s="12" t="s">
        <v>3007</v>
      </c>
      <c r="G1543" s="12" t="s">
        <v>159</v>
      </c>
      <c r="H1543" s="15">
        <v>11600</v>
      </c>
      <c r="I1543" s="13">
        <v>50</v>
      </c>
    </row>
    <row r="1544" spans="6:9">
      <c r="F1544" s="12" t="s">
        <v>3008</v>
      </c>
      <c r="G1544" s="12" t="s">
        <v>159</v>
      </c>
      <c r="H1544" s="15">
        <v>26000</v>
      </c>
      <c r="I1544" s="13">
        <v>50</v>
      </c>
    </row>
    <row r="1545" spans="6:9">
      <c r="F1545" s="12" t="s">
        <v>3009</v>
      </c>
      <c r="G1545" s="12" t="s">
        <v>159</v>
      </c>
      <c r="H1545" s="15">
        <v>193406</v>
      </c>
      <c r="I1545" s="13">
        <v>50</v>
      </c>
    </row>
    <row r="1546" spans="6:9">
      <c r="F1546" s="12" t="s">
        <v>1158</v>
      </c>
      <c r="G1546" s="12" t="s">
        <v>157</v>
      </c>
      <c r="H1546" s="15">
        <v>24050</v>
      </c>
      <c r="I1546" s="13">
        <v>50</v>
      </c>
    </row>
    <row r="1547" spans="6:9">
      <c r="F1547" s="12" t="s">
        <v>3010</v>
      </c>
      <c r="G1547" s="12" t="s">
        <v>159</v>
      </c>
      <c r="H1547" s="15">
        <v>10700</v>
      </c>
      <c r="I1547" s="13">
        <v>50</v>
      </c>
    </row>
    <row r="1548" spans="6:9">
      <c r="F1548" s="12" t="s">
        <v>3011</v>
      </c>
      <c r="G1548" s="12" t="s">
        <v>159</v>
      </c>
      <c r="H1548" s="15">
        <v>44500</v>
      </c>
      <c r="I1548" s="13">
        <v>50</v>
      </c>
    </row>
    <row r="1549" spans="6:9">
      <c r="F1549" s="12" t="s">
        <v>3012</v>
      </c>
      <c r="G1549" s="12" t="s">
        <v>159</v>
      </c>
      <c r="H1549" s="15">
        <v>70400</v>
      </c>
      <c r="I1549" s="13">
        <v>50</v>
      </c>
    </row>
    <row r="1550" spans="6:9">
      <c r="F1550" s="12" t="s">
        <v>3013</v>
      </c>
      <c r="G1550" s="12" t="s">
        <v>157</v>
      </c>
      <c r="H1550" s="15">
        <v>13264</v>
      </c>
      <c r="I1550" s="13">
        <v>50</v>
      </c>
    </row>
    <row r="1551" spans="6:9">
      <c r="F1551" s="12" t="s">
        <v>1161</v>
      </c>
      <c r="G1551" s="12" t="s">
        <v>157</v>
      </c>
      <c r="H1551" s="15">
        <v>15337</v>
      </c>
      <c r="I1551" s="13">
        <v>50</v>
      </c>
    </row>
    <row r="1552" spans="6:9">
      <c r="F1552" s="12" t="s">
        <v>1164</v>
      </c>
      <c r="G1552" s="12" t="s">
        <v>157</v>
      </c>
      <c r="H1552" s="15">
        <v>16195</v>
      </c>
      <c r="I1552" s="13">
        <v>50</v>
      </c>
    </row>
    <row r="1553" spans="6:9">
      <c r="F1553" s="12" t="s">
        <v>3014</v>
      </c>
      <c r="G1553" s="12" t="s">
        <v>159</v>
      </c>
      <c r="H1553" s="15">
        <v>11000</v>
      </c>
      <c r="I1553" s="13">
        <v>50</v>
      </c>
    </row>
    <row r="1554" spans="6:9">
      <c r="F1554" s="12" t="s">
        <v>3015</v>
      </c>
      <c r="G1554" s="12" t="s">
        <v>159</v>
      </c>
      <c r="H1554" s="15">
        <v>16500</v>
      </c>
      <c r="I1554" s="13">
        <v>50</v>
      </c>
    </row>
    <row r="1555" spans="6:9">
      <c r="F1555" s="12" t="s">
        <v>3016</v>
      </c>
      <c r="G1555" s="12" t="s">
        <v>159</v>
      </c>
      <c r="H1555" s="15">
        <v>27100</v>
      </c>
      <c r="I1555" s="13">
        <v>50</v>
      </c>
    </row>
    <row r="1556" spans="6:9">
      <c r="F1556" s="12" t="s">
        <v>3017</v>
      </c>
      <c r="G1556" s="12" t="s">
        <v>159</v>
      </c>
      <c r="H1556" s="15">
        <v>11500</v>
      </c>
      <c r="I1556" s="13">
        <v>50</v>
      </c>
    </row>
    <row r="1557" spans="6:9">
      <c r="F1557" s="12" t="s">
        <v>3018</v>
      </c>
      <c r="G1557" s="12" t="s">
        <v>159</v>
      </c>
      <c r="H1557" s="15">
        <v>77200</v>
      </c>
      <c r="I1557" s="13">
        <v>50</v>
      </c>
    </row>
    <row r="1558" spans="6:9">
      <c r="F1558" s="12" t="s">
        <v>3019</v>
      </c>
      <c r="G1558" s="12" t="s">
        <v>159</v>
      </c>
      <c r="H1558" s="15">
        <v>127900</v>
      </c>
      <c r="I1558" s="13">
        <v>50</v>
      </c>
    </row>
    <row r="1559" spans="6:9">
      <c r="F1559" s="12" t="s">
        <v>3020</v>
      </c>
      <c r="G1559" s="12" t="s">
        <v>159</v>
      </c>
      <c r="H1559" s="15">
        <v>24400</v>
      </c>
      <c r="I1559" s="13">
        <v>50</v>
      </c>
    </row>
    <row r="1560" spans="6:9">
      <c r="F1560" s="12" t="s">
        <v>3021</v>
      </c>
      <c r="G1560" s="12" t="s">
        <v>159</v>
      </c>
      <c r="H1560" s="15">
        <v>50500</v>
      </c>
      <c r="I1560" s="13">
        <v>50</v>
      </c>
    </row>
    <row r="1561" spans="6:9">
      <c r="F1561" s="12" t="s">
        <v>3022</v>
      </c>
      <c r="G1561" s="12" t="s">
        <v>159</v>
      </c>
      <c r="H1561" s="15">
        <v>15700</v>
      </c>
      <c r="I1561" s="13">
        <v>50</v>
      </c>
    </row>
    <row r="1562" spans="6:9">
      <c r="F1562" s="12" t="s">
        <v>3023</v>
      </c>
      <c r="G1562" s="12" t="s">
        <v>159</v>
      </c>
      <c r="H1562" s="15">
        <v>23100</v>
      </c>
      <c r="I1562" s="13">
        <v>50</v>
      </c>
    </row>
    <row r="1563" spans="6:9">
      <c r="F1563" s="12" t="s">
        <v>3024</v>
      </c>
      <c r="G1563" s="12" t="s">
        <v>157</v>
      </c>
      <c r="H1563" s="15">
        <v>19072</v>
      </c>
      <c r="I1563" s="13">
        <v>50</v>
      </c>
    </row>
    <row r="1564" spans="6:9">
      <c r="F1564" s="12" t="s">
        <v>3025</v>
      </c>
      <c r="G1564" s="12" t="s">
        <v>159</v>
      </c>
      <c r="H1564" s="15">
        <v>819600</v>
      </c>
      <c r="I1564" s="13">
        <v>50</v>
      </c>
    </row>
    <row r="1565" spans="6:9">
      <c r="F1565" s="12" t="s">
        <v>1167</v>
      </c>
      <c r="G1565" s="12" t="s">
        <v>157</v>
      </c>
      <c r="H1565" s="15">
        <v>10546</v>
      </c>
      <c r="I1565" s="13">
        <v>50</v>
      </c>
    </row>
    <row r="1566" spans="6:9">
      <c r="F1566" s="12" t="s">
        <v>3026</v>
      </c>
      <c r="G1566" s="12" t="s">
        <v>157</v>
      </c>
      <c r="H1566" s="15">
        <v>11729</v>
      </c>
      <c r="I1566" s="13">
        <v>50</v>
      </c>
    </row>
    <row r="1567" spans="6:9">
      <c r="F1567" s="12" t="s">
        <v>3027</v>
      </c>
      <c r="G1567" s="12" t="s">
        <v>159</v>
      </c>
      <c r="H1567" s="15">
        <v>138600</v>
      </c>
      <c r="I1567" s="13">
        <v>50</v>
      </c>
    </row>
    <row r="1568" spans="6:9">
      <c r="F1568" s="12" t="s">
        <v>3028</v>
      </c>
      <c r="G1568" s="12" t="s">
        <v>159</v>
      </c>
      <c r="H1568" s="15">
        <v>127900</v>
      </c>
      <c r="I1568" s="13">
        <v>50</v>
      </c>
    </row>
    <row r="1569" spans="6:9">
      <c r="F1569" s="12" t="s">
        <v>3029</v>
      </c>
      <c r="G1569" s="12" t="s">
        <v>159</v>
      </c>
      <c r="H1569" s="15">
        <v>28300</v>
      </c>
      <c r="I1569" s="13">
        <v>50</v>
      </c>
    </row>
    <row r="1570" spans="6:9">
      <c r="F1570" s="12" t="s">
        <v>3030</v>
      </c>
      <c r="G1570" s="12" t="s">
        <v>159</v>
      </c>
      <c r="H1570" s="15">
        <v>10200</v>
      </c>
      <c r="I1570" s="13">
        <v>50</v>
      </c>
    </row>
    <row r="1571" spans="6:9">
      <c r="F1571" s="12" t="s">
        <v>3031</v>
      </c>
      <c r="G1571" s="12" t="s">
        <v>159</v>
      </c>
      <c r="H1571" s="15">
        <v>14900</v>
      </c>
      <c r="I1571" s="13">
        <v>50</v>
      </c>
    </row>
    <row r="1572" spans="6:9">
      <c r="F1572" s="12" t="s">
        <v>1169</v>
      </c>
      <c r="G1572" s="12" t="s">
        <v>157</v>
      </c>
      <c r="H1572" s="15">
        <v>19913</v>
      </c>
      <c r="I1572" s="13">
        <v>50</v>
      </c>
    </row>
    <row r="1573" spans="6:9">
      <c r="F1573" s="12" t="s">
        <v>179</v>
      </c>
      <c r="G1573" s="12" t="s">
        <v>157</v>
      </c>
      <c r="H1573" s="15">
        <v>324971</v>
      </c>
      <c r="I1573" s="13">
        <v>50</v>
      </c>
    </row>
    <row r="1574" spans="6:9">
      <c r="F1574" s="12" t="s">
        <v>3032</v>
      </c>
      <c r="G1574" s="12" t="s">
        <v>157</v>
      </c>
      <c r="H1574" s="15">
        <v>13104</v>
      </c>
      <c r="I1574" s="13">
        <v>50</v>
      </c>
    </row>
    <row r="1575" spans="6:9">
      <c r="F1575" s="12" t="s">
        <v>3033</v>
      </c>
      <c r="G1575" s="12" t="s">
        <v>159</v>
      </c>
      <c r="H1575" s="15">
        <v>253500</v>
      </c>
      <c r="I1575" s="13">
        <v>50</v>
      </c>
    </row>
    <row r="1576" spans="6:9">
      <c r="F1576" s="12" t="s">
        <v>3034</v>
      </c>
      <c r="G1576" s="12" t="s">
        <v>157</v>
      </c>
      <c r="H1576" s="15">
        <v>10595</v>
      </c>
      <c r="I1576" s="13">
        <v>50</v>
      </c>
    </row>
    <row r="1577" spans="6:9">
      <c r="F1577" s="12" t="s">
        <v>3035</v>
      </c>
      <c r="G1577" s="12" t="s">
        <v>159</v>
      </c>
      <c r="H1577" s="15">
        <v>10100</v>
      </c>
      <c r="I1577" s="13">
        <v>50</v>
      </c>
    </row>
    <row r="1578" spans="6:9">
      <c r="F1578" s="12" t="s">
        <v>3036</v>
      </c>
      <c r="G1578" s="12" t="s">
        <v>159</v>
      </c>
      <c r="H1578" s="15">
        <v>96500</v>
      </c>
      <c r="I1578" s="13">
        <v>50</v>
      </c>
    </row>
    <row r="1579" spans="6:9">
      <c r="F1579" s="12" t="s">
        <v>3037</v>
      </c>
      <c r="G1579" s="12" t="s">
        <v>159</v>
      </c>
      <c r="H1579" s="15">
        <v>11300</v>
      </c>
      <c r="I1579" s="13">
        <v>50</v>
      </c>
    </row>
    <row r="1580" spans="6:9">
      <c r="F1580" s="12" t="s">
        <v>1171</v>
      </c>
      <c r="G1580" s="12" t="s">
        <v>157</v>
      </c>
      <c r="H1580" s="15">
        <v>11374</v>
      </c>
      <c r="I1580" s="13">
        <v>50</v>
      </c>
    </row>
    <row r="1581" spans="6:9">
      <c r="F1581" s="12" t="s">
        <v>3038</v>
      </c>
      <c r="G1581" s="12" t="s">
        <v>157</v>
      </c>
      <c r="H1581" s="15">
        <v>23310</v>
      </c>
      <c r="I1581" s="13">
        <v>50</v>
      </c>
    </row>
    <row r="1582" spans="6:9">
      <c r="F1582" s="12" t="s">
        <v>1173</v>
      </c>
      <c r="G1582" s="12" t="s">
        <v>157</v>
      </c>
      <c r="H1582" s="15">
        <v>10527</v>
      </c>
      <c r="I1582" s="13">
        <v>50</v>
      </c>
    </row>
    <row r="1583" spans="6:9">
      <c r="F1583" s="12" t="s">
        <v>3039</v>
      </c>
      <c r="G1583" s="12" t="s">
        <v>159</v>
      </c>
      <c r="H1583" s="15">
        <v>651300</v>
      </c>
      <c r="I1583" s="13">
        <v>50</v>
      </c>
    </row>
    <row r="1584" spans="6:9">
      <c r="F1584" s="12" t="s">
        <v>3040</v>
      </c>
      <c r="G1584" s="12" t="s">
        <v>157</v>
      </c>
      <c r="H1584" s="15">
        <v>11482</v>
      </c>
      <c r="I1584" s="13">
        <v>50</v>
      </c>
    </row>
    <row r="1585" spans="6:9">
      <c r="F1585" s="12" t="s">
        <v>3041</v>
      </c>
      <c r="G1585" s="12" t="s">
        <v>159</v>
      </c>
      <c r="H1585" s="15">
        <v>12600</v>
      </c>
      <c r="I1585" s="13">
        <v>50</v>
      </c>
    </row>
    <row r="1586" spans="6:9">
      <c r="F1586" s="12" t="s">
        <v>3042</v>
      </c>
      <c r="G1586" s="12" t="s">
        <v>159</v>
      </c>
      <c r="H1586" s="15">
        <v>423800</v>
      </c>
      <c r="I1586" s="13">
        <v>50</v>
      </c>
    </row>
    <row r="1587" spans="6:9">
      <c r="F1587" s="12" t="s">
        <v>3043</v>
      </c>
      <c r="G1587" s="12" t="s">
        <v>159</v>
      </c>
      <c r="H1587" s="15">
        <v>42300</v>
      </c>
      <c r="I1587" s="13">
        <v>50</v>
      </c>
    </row>
    <row r="1588" spans="6:9">
      <c r="F1588" s="12" t="s">
        <v>3044</v>
      </c>
      <c r="G1588" s="12" t="s">
        <v>159</v>
      </c>
      <c r="H1588" s="15">
        <v>35800</v>
      </c>
      <c r="I1588" s="13">
        <v>50</v>
      </c>
    </row>
    <row r="1589" spans="6:9">
      <c r="F1589" s="12" t="s">
        <v>3045</v>
      </c>
      <c r="G1589" s="12" t="s">
        <v>159</v>
      </c>
      <c r="H1589" s="15">
        <v>101517</v>
      </c>
      <c r="I1589" s="13">
        <v>50</v>
      </c>
    </row>
    <row r="1590" spans="6:9">
      <c r="F1590" s="12" t="s">
        <v>3046</v>
      </c>
      <c r="G1590" s="12" t="s">
        <v>159</v>
      </c>
      <c r="H1590" s="15">
        <v>24200</v>
      </c>
      <c r="I1590" s="13">
        <v>50</v>
      </c>
    </row>
    <row r="1591" spans="6:9">
      <c r="F1591" s="12" t="s">
        <v>3047</v>
      </c>
      <c r="G1591" s="12" t="s">
        <v>159</v>
      </c>
      <c r="H1591" s="15">
        <v>10500</v>
      </c>
      <c r="I1591" s="13">
        <v>50</v>
      </c>
    </row>
    <row r="1592" spans="6:9">
      <c r="F1592" s="12" t="s">
        <v>3048</v>
      </c>
      <c r="G1592" s="12" t="s">
        <v>159</v>
      </c>
      <c r="H1592" s="15">
        <v>13300</v>
      </c>
      <c r="I1592" s="13">
        <v>50</v>
      </c>
    </row>
    <row r="1593" spans="6:9">
      <c r="F1593" s="12" t="s">
        <v>3049</v>
      </c>
      <c r="G1593" s="12" t="s">
        <v>157</v>
      </c>
      <c r="H1593" s="15">
        <v>11193</v>
      </c>
      <c r="I1593" s="13">
        <v>50</v>
      </c>
    </row>
    <row r="1594" spans="6:9">
      <c r="F1594" s="12" t="s">
        <v>3050</v>
      </c>
      <c r="G1594" s="12" t="s">
        <v>157</v>
      </c>
      <c r="H1594" s="15">
        <v>50554</v>
      </c>
      <c r="I1594" s="13">
        <v>50</v>
      </c>
    </row>
    <row r="1595" spans="6:9">
      <c r="F1595" s="12" t="s">
        <v>1175</v>
      </c>
      <c r="G1595" s="12" t="s">
        <v>157</v>
      </c>
      <c r="H1595" s="15">
        <v>21013</v>
      </c>
      <c r="I1595" s="13">
        <v>50</v>
      </c>
    </row>
    <row r="1596" spans="6:9">
      <c r="F1596" s="12" t="s">
        <v>3051</v>
      </c>
      <c r="G1596" s="12" t="s">
        <v>159</v>
      </c>
      <c r="H1596" s="15">
        <v>65800</v>
      </c>
      <c r="I1596" s="13">
        <v>50</v>
      </c>
    </row>
    <row r="1597" spans="6:9">
      <c r="F1597" s="12" t="s">
        <v>3052</v>
      </c>
      <c r="G1597" s="12" t="s">
        <v>159</v>
      </c>
      <c r="H1597" s="15">
        <v>11800</v>
      </c>
      <c r="I1597" s="13">
        <v>50</v>
      </c>
    </row>
    <row r="1598" spans="6:9">
      <c r="F1598" s="12" t="s">
        <v>1178</v>
      </c>
      <c r="G1598" s="12" t="s">
        <v>157</v>
      </c>
      <c r="H1598" s="15">
        <v>20152</v>
      </c>
      <c r="I1598" s="13">
        <v>50</v>
      </c>
    </row>
    <row r="1599" spans="6:9">
      <c r="F1599" s="12" t="s">
        <v>3053</v>
      </c>
      <c r="G1599" s="12" t="s">
        <v>157</v>
      </c>
      <c r="H1599" s="15">
        <v>16272</v>
      </c>
      <c r="I1599" s="13">
        <v>50</v>
      </c>
    </row>
    <row r="1600" spans="6:9">
      <c r="F1600" s="12" t="s">
        <v>3054</v>
      </c>
      <c r="G1600" s="12" t="s">
        <v>157</v>
      </c>
      <c r="H1600" s="15">
        <v>12299</v>
      </c>
      <c r="I1600" s="13">
        <v>50</v>
      </c>
    </row>
    <row r="1601" spans="6:9">
      <c r="F1601" s="12" t="s">
        <v>3055</v>
      </c>
      <c r="G1601" s="12" t="s">
        <v>159</v>
      </c>
      <c r="H1601" s="15">
        <v>74200</v>
      </c>
      <c r="I1601" s="13">
        <v>50</v>
      </c>
    </row>
    <row r="1602" spans="6:9">
      <c r="F1602" s="12" t="s">
        <v>3056</v>
      </c>
      <c r="G1602" s="12" t="s">
        <v>159</v>
      </c>
      <c r="H1602" s="15">
        <v>10700</v>
      </c>
      <c r="I1602" s="13">
        <v>50</v>
      </c>
    </row>
    <row r="1603" spans="6:9">
      <c r="F1603" s="12" t="s">
        <v>3057</v>
      </c>
      <c r="G1603" s="12" t="s">
        <v>159</v>
      </c>
      <c r="H1603" s="15">
        <v>3600000</v>
      </c>
      <c r="I1603" s="13">
        <v>50</v>
      </c>
    </row>
    <row r="1604" spans="6:9">
      <c r="F1604" s="12" t="s">
        <v>3058</v>
      </c>
      <c r="G1604" s="12" t="s">
        <v>157</v>
      </c>
      <c r="H1604" s="15">
        <v>12868</v>
      </c>
      <c r="I1604" s="13">
        <v>50</v>
      </c>
    </row>
    <row r="1605" spans="6:9">
      <c r="F1605" s="12" t="s">
        <v>3059</v>
      </c>
      <c r="G1605" s="12" t="s">
        <v>159</v>
      </c>
      <c r="H1605" s="15">
        <v>13400</v>
      </c>
      <c r="I1605" s="13">
        <v>50</v>
      </c>
    </row>
    <row r="1606" spans="6:9">
      <c r="F1606" s="12" t="s">
        <v>1181</v>
      </c>
      <c r="G1606" s="12" t="s">
        <v>157</v>
      </c>
      <c r="H1606" s="15">
        <v>11618</v>
      </c>
      <c r="I1606" s="13">
        <v>50</v>
      </c>
    </row>
    <row r="1607" spans="6:9">
      <c r="F1607" s="12" t="s">
        <v>3060</v>
      </c>
      <c r="G1607" s="12" t="s">
        <v>157</v>
      </c>
      <c r="H1607" s="15">
        <v>31340</v>
      </c>
      <c r="I1607" s="13">
        <v>50</v>
      </c>
    </row>
    <row r="1608" spans="6:9">
      <c r="F1608" s="12" t="s">
        <v>3061</v>
      </c>
      <c r="G1608" s="12" t="s">
        <v>159</v>
      </c>
      <c r="H1608" s="15">
        <v>3400000</v>
      </c>
      <c r="I1608" s="13">
        <v>50</v>
      </c>
    </row>
    <row r="1609" spans="6:9">
      <c r="F1609" s="12" t="s">
        <v>3062</v>
      </c>
      <c r="G1609" s="12" t="s">
        <v>159</v>
      </c>
      <c r="H1609" s="15">
        <v>50700</v>
      </c>
      <c r="I1609" s="13">
        <v>50</v>
      </c>
    </row>
    <row r="1610" spans="6:9">
      <c r="F1610" s="12" t="s">
        <v>3063</v>
      </c>
      <c r="G1610" s="12" t="s">
        <v>159</v>
      </c>
      <c r="H1610" s="15">
        <v>70000</v>
      </c>
      <c r="I1610" s="13">
        <v>50</v>
      </c>
    </row>
    <row r="1611" spans="6:9">
      <c r="F1611" s="12" t="s">
        <v>1184</v>
      </c>
      <c r="G1611" s="12" t="s">
        <v>157</v>
      </c>
      <c r="H1611" s="15">
        <v>10228</v>
      </c>
      <c r="I1611" s="13">
        <v>50</v>
      </c>
    </row>
    <row r="1612" spans="6:9">
      <c r="F1612" s="12" t="s">
        <v>3064</v>
      </c>
      <c r="G1612" s="12" t="s">
        <v>159</v>
      </c>
      <c r="H1612" s="15">
        <v>10700</v>
      </c>
      <c r="I1612" s="13">
        <v>50</v>
      </c>
    </row>
    <row r="1613" spans="6:9">
      <c r="F1613" s="12" t="s">
        <v>3065</v>
      </c>
      <c r="G1613" s="12" t="s">
        <v>159</v>
      </c>
      <c r="H1613" s="15">
        <v>63600</v>
      </c>
      <c r="I1613" s="13">
        <v>50</v>
      </c>
    </row>
    <row r="1614" spans="6:9">
      <c r="F1614" s="12" t="s">
        <v>3066</v>
      </c>
      <c r="G1614" s="12" t="s">
        <v>157</v>
      </c>
      <c r="H1614" s="15">
        <v>114343</v>
      </c>
      <c r="I1614" s="13">
        <v>50</v>
      </c>
    </row>
    <row r="1615" spans="6:9">
      <c r="F1615" s="12" t="s">
        <v>3067</v>
      </c>
      <c r="G1615" s="12" t="s">
        <v>159</v>
      </c>
      <c r="H1615" s="15">
        <v>64500</v>
      </c>
      <c r="I1615" s="13">
        <v>50</v>
      </c>
    </row>
    <row r="1616" spans="6:9">
      <c r="F1616" s="12" t="s">
        <v>3068</v>
      </c>
      <c r="G1616" s="12" t="s">
        <v>159</v>
      </c>
      <c r="H1616" s="15">
        <v>213200</v>
      </c>
      <c r="I1616" s="13">
        <v>50</v>
      </c>
    </row>
    <row r="1617" spans="6:9">
      <c r="F1617" s="12" t="s">
        <v>3069</v>
      </c>
      <c r="G1617" s="12" t="s">
        <v>159</v>
      </c>
      <c r="H1617" s="15">
        <v>311400</v>
      </c>
      <c r="I1617" s="13">
        <v>50</v>
      </c>
    </row>
    <row r="1618" spans="6:9">
      <c r="F1618" s="12" t="s">
        <v>3070</v>
      </c>
      <c r="G1618" s="12" t="s">
        <v>159</v>
      </c>
      <c r="H1618" s="15">
        <v>62200</v>
      </c>
      <c r="I1618" s="13">
        <v>50</v>
      </c>
    </row>
    <row r="1619" spans="6:9">
      <c r="F1619" s="12" t="s">
        <v>1187</v>
      </c>
      <c r="G1619" s="12" t="s">
        <v>157</v>
      </c>
      <c r="H1619" s="15">
        <v>17255</v>
      </c>
      <c r="I1619" s="13">
        <v>50</v>
      </c>
    </row>
    <row r="1620" spans="6:9">
      <c r="F1620" s="12" t="s">
        <v>3071</v>
      </c>
      <c r="G1620" s="12" t="s">
        <v>157</v>
      </c>
      <c r="H1620" s="15">
        <v>10725</v>
      </c>
      <c r="I1620" s="13">
        <v>50</v>
      </c>
    </row>
    <row r="1621" spans="6:9">
      <c r="F1621" s="12" t="s">
        <v>3072</v>
      </c>
      <c r="G1621" s="12" t="s">
        <v>157</v>
      </c>
      <c r="H1621" s="15">
        <v>16691</v>
      </c>
      <c r="I1621" s="13">
        <v>50</v>
      </c>
    </row>
    <row r="1622" spans="6:9">
      <c r="F1622" s="12" t="s">
        <v>3073</v>
      </c>
      <c r="G1622" s="12" t="s">
        <v>157</v>
      </c>
      <c r="H1622" s="15">
        <v>56274</v>
      </c>
      <c r="I1622" s="13">
        <v>50</v>
      </c>
    </row>
    <row r="1623" spans="6:9">
      <c r="F1623" s="12" t="s">
        <v>3074</v>
      </c>
      <c r="G1623" s="12" t="s">
        <v>159</v>
      </c>
      <c r="H1623" s="15">
        <v>10400</v>
      </c>
      <c r="I1623" s="13">
        <v>50</v>
      </c>
    </row>
    <row r="1624" spans="6:9">
      <c r="F1624" s="12" t="s">
        <v>3075</v>
      </c>
      <c r="G1624" s="12" t="s">
        <v>159</v>
      </c>
      <c r="H1624" s="15">
        <v>25800</v>
      </c>
      <c r="I1624" s="13">
        <v>50</v>
      </c>
    </row>
    <row r="1625" spans="6:9">
      <c r="F1625" s="12" t="s">
        <v>3076</v>
      </c>
      <c r="G1625" s="12" t="s">
        <v>159</v>
      </c>
      <c r="H1625" s="15">
        <v>94800</v>
      </c>
      <c r="I1625" s="13">
        <v>50</v>
      </c>
    </row>
    <row r="1626" spans="6:9">
      <c r="F1626" s="12" t="s">
        <v>3077</v>
      </c>
      <c r="G1626" s="12" t="s">
        <v>159</v>
      </c>
      <c r="H1626" s="15">
        <v>55100</v>
      </c>
      <c r="I1626" s="13">
        <v>50</v>
      </c>
    </row>
    <row r="1627" spans="6:9">
      <c r="F1627" s="12" t="s">
        <v>1190</v>
      </c>
      <c r="G1627" s="12" t="s">
        <v>157</v>
      </c>
      <c r="H1627" s="15">
        <v>14097</v>
      </c>
      <c r="I1627" s="13">
        <v>50</v>
      </c>
    </row>
    <row r="1628" spans="6:9">
      <c r="F1628" s="12" t="s">
        <v>3078</v>
      </c>
      <c r="G1628" s="12" t="s">
        <v>157</v>
      </c>
      <c r="H1628" s="15">
        <v>11893</v>
      </c>
      <c r="I1628" s="13">
        <v>50</v>
      </c>
    </row>
    <row r="1629" spans="6:9">
      <c r="F1629" s="12" t="s">
        <v>3079</v>
      </c>
      <c r="G1629" s="12" t="s">
        <v>159</v>
      </c>
      <c r="H1629" s="15">
        <v>706024</v>
      </c>
      <c r="I1629" s="13">
        <v>50</v>
      </c>
    </row>
    <row r="1630" spans="6:9">
      <c r="F1630" s="12" t="s">
        <v>3080</v>
      </c>
      <c r="G1630" s="12" t="s">
        <v>159</v>
      </c>
      <c r="H1630" s="15">
        <v>56900</v>
      </c>
      <c r="I1630" s="13">
        <v>50</v>
      </c>
    </row>
    <row r="1631" spans="6:9">
      <c r="F1631" s="12" t="s">
        <v>3081</v>
      </c>
      <c r="G1631" s="12" t="s">
        <v>159</v>
      </c>
      <c r="H1631" s="15">
        <v>485200</v>
      </c>
      <c r="I1631" s="13">
        <v>50</v>
      </c>
    </row>
    <row r="1632" spans="6:9">
      <c r="F1632" s="12" t="s">
        <v>3082</v>
      </c>
      <c r="G1632" s="12" t="s">
        <v>159</v>
      </c>
      <c r="H1632" s="15">
        <v>1800000</v>
      </c>
      <c r="I1632" s="13">
        <v>50</v>
      </c>
    </row>
    <row r="1633" spans="6:9">
      <c r="F1633" s="12" t="s">
        <v>3083</v>
      </c>
      <c r="G1633" s="12" t="s">
        <v>159</v>
      </c>
      <c r="H1633" s="15">
        <v>315257</v>
      </c>
      <c r="I1633" s="13">
        <v>50</v>
      </c>
    </row>
    <row r="1634" spans="6:9">
      <c r="F1634" s="12" t="s">
        <v>3084</v>
      </c>
      <c r="G1634" s="12" t="s">
        <v>157</v>
      </c>
      <c r="H1634" s="15">
        <v>10651</v>
      </c>
      <c r="I1634" s="13">
        <v>50</v>
      </c>
    </row>
    <row r="1635" spans="6:9">
      <c r="F1635" s="12" t="s">
        <v>3085</v>
      </c>
      <c r="G1635" s="12" t="s">
        <v>157</v>
      </c>
      <c r="H1635" s="15">
        <v>21683</v>
      </c>
      <c r="I1635" s="13">
        <v>50</v>
      </c>
    </row>
    <row r="1636" spans="6:9">
      <c r="F1636" s="12" t="s">
        <v>3086</v>
      </c>
      <c r="G1636" s="12" t="s">
        <v>159</v>
      </c>
      <c r="H1636" s="15">
        <v>408900</v>
      </c>
      <c r="I1636" s="13">
        <v>50</v>
      </c>
    </row>
    <row r="1637" spans="6:9">
      <c r="F1637" s="12" t="s">
        <v>3087</v>
      </c>
      <c r="G1637" s="12" t="s">
        <v>157</v>
      </c>
      <c r="H1637" s="15">
        <v>11754</v>
      </c>
      <c r="I1637" s="13">
        <v>50</v>
      </c>
    </row>
    <row r="1638" spans="6:9">
      <c r="F1638" s="12" t="s">
        <v>3088</v>
      </c>
      <c r="G1638" s="12" t="s">
        <v>159</v>
      </c>
      <c r="H1638" s="15">
        <v>133700</v>
      </c>
      <c r="I1638" s="13">
        <v>50</v>
      </c>
    </row>
    <row r="1639" spans="6:9">
      <c r="F1639" s="12" t="s">
        <v>3089</v>
      </c>
      <c r="G1639" s="12" t="s">
        <v>159</v>
      </c>
      <c r="H1639" s="15">
        <v>29700</v>
      </c>
      <c r="I1639" s="13">
        <v>50</v>
      </c>
    </row>
    <row r="1640" spans="6:9">
      <c r="F1640" s="12" t="s">
        <v>3090</v>
      </c>
      <c r="G1640" s="12" t="s">
        <v>159</v>
      </c>
      <c r="H1640" s="15">
        <v>144100</v>
      </c>
      <c r="I1640" s="13">
        <v>50</v>
      </c>
    </row>
    <row r="1641" spans="6:9">
      <c r="F1641" s="12" t="s">
        <v>3091</v>
      </c>
      <c r="G1641" s="12" t="s">
        <v>157</v>
      </c>
      <c r="H1641" s="15">
        <v>13776</v>
      </c>
      <c r="I1641" s="13">
        <v>50</v>
      </c>
    </row>
    <row r="1642" spans="6:9">
      <c r="F1642" s="12" t="s">
        <v>3092</v>
      </c>
      <c r="G1642" s="12" t="s">
        <v>159</v>
      </c>
      <c r="H1642" s="15">
        <v>1700000</v>
      </c>
      <c r="I1642" s="13">
        <v>50</v>
      </c>
    </row>
    <row r="1643" spans="6:9">
      <c r="F1643" s="12" t="s">
        <v>3093</v>
      </c>
      <c r="G1643" s="12" t="s">
        <v>159</v>
      </c>
      <c r="H1643" s="15">
        <v>70100</v>
      </c>
      <c r="I1643" s="13">
        <v>50</v>
      </c>
    </row>
    <row r="1644" spans="6:9">
      <c r="F1644" s="12" t="s">
        <v>1192</v>
      </c>
      <c r="G1644" s="12" t="s">
        <v>157</v>
      </c>
      <c r="H1644" s="15">
        <v>13312</v>
      </c>
      <c r="I1644" s="13">
        <v>50</v>
      </c>
    </row>
    <row r="1645" spans="6:9">
      <c r="F1645" s="12" t="s">
        <v>1195</v>
      </c>
      <c r="G1645" s="12" t="s">
        <v>157</v>
      </c>
      <c r="H1645" s="15">
        <v>13570</v>
      </c>
      <c r="I1645" s="13">
        <v>50</v>
      </c>
    </row>
    <row r="1646" spans="6:9">
      <c r="F1646" s="12" t="s">
        <v>3094</v>
      </c>
      <c r="G1646" s="12" t="s">
        <v>157</v>
      </c>
      <c r="H1646" s="15">
        <v>11478</v>
      </c>
      <c r="I1646" s="13">
        <v>50</v>
      </c>
    </row>
    <row r="1647" spans="6:9">
      <c r="F1647" s="12" t="s">
        <v>3095</v>
      </c>
      <c r="G1647" s="12" t="s">
        <v>159</v>
      </c>
      <c r="H1647" s="15">
        <v>15400</v>
      </c>
      <c r="I1647" s="13">
        <v>50</v>
      </c>
    </row>
    <row r="1648" spans="6:9">
      <c r="F1648" s="12" t="s">
        <v>3096</v>
      </c>
      <c r="G1648" s="12" t="s">
        <v>159</v>
      </c>
      <c r="H1648" s="15">
        <v>799400</v>
      </c>
      <c r="I1648" s="13">
        <v>50</v>
      </c>
    </row>
    <row r="1649" spans="6:9">
      <c r="F1649" s="12" t="s">
        <v>3097</v>
      </c>
      <c r="G1649" s="12" t="s">
        <v>159</v>
      </c>
      <c r="H1649" s="15">
        <v>51700</v>
      </c>
      <c r="I1649" s="13">
        <v>50</v>
      </c>
    </row>
    <row r="1650" spans="6:9">
      <c r="F1650" s="12" t="s">
        <v>3098</v>
      </c>
      <c r="G1650" s="12" t="s">
        <v>159</v>
      </c>
      <c r="H1650" s="15">
        <v>29900</v>
      </c>
      <c r="I1650" s="13">
        <v>50</v>
      </c>
    </row>
    <row r="1651" spans="6:9">
      <c r="F1651" s="12" t="s">
        <v>3099</v>
      </c>
      <c r="G1651" s="12" t="s">
        <v>159</v>
      </c>
      <c r="H1651" s="15">
        <v>23000</v>
      </c>
      <c r="I1651" s="13">
        <v>50</v>
      </c>
    </row>
    <row r="1652" spans="6:9">
      <c r="F1652" s="12" t="s">
        <v>3100</v>
      </c>
      <c r="G1652" s="12" t="s">
        <v>157</v>
      </c>
      <c r="H1652" s="15">
        <v>15444</v>
      </c>
      <c r="I1652" s="13">
        <v>50</v>
      </c>
    </row>
    <row r="1653" spans="6:9">
      <c r="F1653" s="12" t="s">
        <v>3101</v>
      </c>
      <c r="G1653" s="12" t="s">
        <v>157</v>
      </c>
      <c r="H1653" s="15">
        <v>11018</v>
      </c>
      <c r="I1653" s="13">
        <v>50</v>
      </c>
    </row>
    <row r="1654" spans="6:9">
      <c r="F1654" s="12" t="s">
        <v>3102</v>
      </c>
      <c r="G1654" s="12" t="s">
        <v>159</v>
      </c>
      <c r="H1654" s="15">
        <v>10500</v>
      </c>
      <c r="I1654" s="13">
        <v>50</v>
      </c>
    </row>
    <row r="1655" spans="6:9">
      <c r="F1655" s="12" t="s">
        <v>3103</v>
      </c>
      <c r="G1655" s="12" t="s">
        <v>157</v>
      </c>
      <c r="H1655" s="15">
        <v>10671</v>
      </c>
      <c r="I1655" s="13">
        <v>50</v>
      </c>
    </row>
    <row r="1656" spans="6:9">
      <c r="F1656" s="12" t="s">
        <v>3104</v>
      </c>
      <c r="G1656" s="12" t="s">
        <v>157</v>
      </c>
      <c r="H1656" s="15">
        <v>345203</v>
      </c>
      <c r="I1656" s="13">
        <v>50</v>
      </c>
    </row>
    <row r="1657" spans="6:9">
      <c r="F1657" s="12" t="s">
        <v>1198</v>
      </c>
      <c r="G1657" s="12" t="s">
        <v>157</v>
      </c>
      <c r="H1657" s="15">
        <v>11127</v>
      </c>
      <c r="I1657" s="13">
        <v>50</v>
      </c>
    </row>
    <row r="1658" spans="6:9">
      <c r="F1658" s="12" t="s">
        <v>3105</v>
      </c>
      <c r="G1658" s="12" t="s">
        <v>159</v>
      </c>
      <c r="H1658" s="15">
        <v>13500</v>
      </c>
      <c r="I1658" s="13">
        <v>50</v>
      </c>
    </row>
    <row r="1659" spans="6:9">
      <c r="F1659" s="12" t="s">
        <v>3106</v>
      </c>
      <c r="G1659" s="12" t="s">
        <v>157</v>
      </c>
      <c r="H1659" s="15">
        <v>12969</v>
      </c>
      <c r="I1659" s="13">
        <v>50</v>
      </c>
    </row>
    <row r="1660" spans="6:9">
      <c r="F1660" s="12" t="s">
        <v>1201</v>
      </c>
      <c r="G1660" s="12" t="s">
        <v>157</v>
      </c>
      <c r="H1660" s="15">
        <v>13009</v>
      </c>
      <c r="I1660" s="13">
        <v>50</v>
      </c>
    </row>
    <row r="1661" spans="6:9">
      <c r="F1661" s="12" t="s">
        <v>3107</v>
      </c>
      <c r="G1661" s="12" t="s">
        <v>157</v>
      </c>
      <c r="H1661" s="15">
        <v>10249</v>
      </c>
      <c r="I1661" s="13">
        <v>50</v>
      </c>
    </row>
    <row r="1662" spans="6:9">
      <c r="F1662" s="12" t="s">
        <v>3108</v>
      </c>
      <c r="G1662" s="12" t="s">
        <v>157</v>
      </c>
      <c r="H1662" s="15">
        <v>12519</v>
      </c>
      <c r="I1662" s="13">
        <v>50</v>
      </c>
    </row>
    <row r="1663" spans="6:9">
      <c r="F1663" s="12" t="s">
        <v>3109</v>
      </c>
      <c r="G1663" s="12" t="s">
        <v>159</v>
      </c>
      <c r="H1663" s="15">
        <v>655700</v>
      </c>
      <c r="I1663" s="13">
        <v>50</v>
      </c>
    </row>
    <row r="1664" spans="6:9">
      <c r="F1664" s="12" t="s">
        <v>3110</v>
      </c>
      <c r="G1664" s="12" t="s">
        <v>157</v>
      </c>
      <c r="H1664" s="15">
        <v>28364</v>
      </c>
      <c r="I1664" s="13">
        <v>50</v>
      </c>
    </row>
    <row r="1665" spans="6:9">
      <c r="F1665" s="12" t="s">
        <v>3111</v>
      </c>
      <c r="G1665" s="12" t="s">
        <v>159</v>
      </c>
      <c r="H1665" s="15">
        <v>28000</v>
      </c>
      <c r="I1665" s="13">
        <v>50</v>
      </c>
    </row>
    <row r="1666" spans="6:9">
      <c r="F1666" s="12" t="s">
        <v>1204</v>
      </c>
      <c r="G1666" s="12" t="s">
        <v>157</v>
      </c>
      <c r="H1666" s="15">
        <v>19985</v>
      </c>
      <c r="I1666" s="13">
        <v>50</v>
      </c>
    </row>
    <row r="1667" spans="6:9">
      <c r="F1667" s="12" t="s">
        <v>3112</v>
      </c>
      <c r="G1667" s="12" t="s">
        <v>159</v>
      </c>
      <c r="H1667" s="15">
        <v>775500</v>
      </c>
      <c r="I1667" s="13">
        <v>50</v>
      </c>
    </row>
    <row r="1668" spans="6:9">
      <c r="F1668" s="12" t="s">
        <v>3113</v>
      </c>
      <c r="G1668" s="12" t="s">
        <v>159</v>
      </c>
      <c r="H1668" s="15">
        <v>19100</v>
      </c>
      <c r="I1668" s="13">
        <v>50</v>
      </c>
    </row>
    <row r="1669" spans="6:9">
      <c r="F1669" s="12" t="s">
        <v>3114</v>
      </c>
      <c r="G1669" s="12" t="s">
        <v>157</v>
      </c>
      <c r="H1669" s="15">
        <v>13009</v>
      </c>
      <c r="I1669" s="13">
        <v>50</v>
      </c>
    </row>
    <row r="1670" spans="6:9">
      <c r="F1670" s="12" t="s">
        <v>3115</v>
      </c>
      <c r="G1670" s="12" t="s">
        <v>159</v>
      </c>
      <c r="H1670" s="15">
        <v>521500</v>
      </c>
      <c r="I1670" s="13">
        <v>50</v>
      </c>
    </row>
    <row r="1671" spans="6:9">
      <c r="F1671" s="12" t="s">
        <v>1206</v>
      </c>
      <c r="G1671" s="12" t="s">
        <v>157</v>
      </c>
      <c r="H1671" s="15">
        <v>16282</v>
      </c>
      <c r="I1671" s="13">
        <v>50</v>
      </c>
    </row>
    <row r="1672" spans="6:9">
      <c r="F1672" s="12" t="s">
        <v>3116</v>
      </c>
      <c r="G1672" s="12" t="s">
        <v>157</v>
      </c>
      <c r="H1672" s="15">
        <v>18481</v>
      </c>
      <c r="I1672" s="13">
        <v>50</v>
      </c>
    </row>
    <row r="1673" spans="6:9">
      <c r="F1673" s="12" t="s">
        <v>3117</v>
      </c>
      <c r="G1673" s="12" t="s">
        <v>159</v>
      </c>
      <c r="H1673" s="15">
        <v>11000</v>
      </c>
      <c r="I1673" s="13">
        <v>50</v>
      </c>
    </row>
    <row r="1674" spans="6:9">
      <c r="F1674" s="12" t="s">
        <v>3118</v>
      </c>
      <c r="G1674" s="12" t="s">
        <v>157</v>
      </c>
      <c r="H1674" s="15">
        <v>19760</v>
      </c>
      <c r="I1674" s="13">
        <v>50</v>
      </c>
    </row>
    <row r="1675" spans="6:9">
      <c r="F1675" s="12" t="s">
        <v>1208</v>
      </c>
      <c r="G1675" s="12" t="s">
        <v>157</v>
      </c>
      <c r="H1675" s="15">
        <v>13954</v>
      </c>
      <c r="I1675" s="13">
        <v>50</v>
      </c>
    </row>
    <row r="1676" spans="6:9">
      <c r="F1676" s="12" t="s">
        <v>3119</v>
      </c>
      <c r="G1676" s="12" t="s">
        <v>159</v>
      </c>
      <c r="H1676" s="15">
        <v>88800</v>
      </c>
      <c r="I1676" s="13">
        <v>50</v>
      </c>
    </row>
    <row r="1677" spans="6:9">
      <c r="F1677" s="12" t="s">
        <v>3120</v>
      </c>
      <c r="G1677" s="12" t="s">
        <v>159</v>
      </c>
      <c r="H1677" s="15">
        <v>383100</v>
      </c>
      <c r="I1677" s="13">
        <v>50</v>
      </c>
    </row>
    <row r="1678" spans="6:9">
      <c r="F1678" s="12" t="s">
        <v>1211</v>
      </c>
      <c r="G1678" s="12" t="s">
        <v>157</v>
      </c>
      <c r="H1678" s="15">
        <v>29172</v>
      </c>
      <c r="I1678" s="13">
        <v>50</v>
      </c>
    </row>
    <row r="1679" spans="6:9">
      <c r="F1679" s="12" t="s">
        <v>3121</v>
      </c>
      <c r="G1679" s="12" t="s">
        <v>157</v>
      </c>
      <c r="H1679" s="15">
        <v>10560</v>
      </c>
      <c r="I1679" s="13">
        <v>50</v>
      </c>
    </row>
    <row r="1680" spans="6:9">
      <c r="F1680" s="12" t="s">
        <v>3122</v>
      </c>
      <c r="G1680" s="12" t="s">
        <v>159</v>
      </c>
      <c r="H1680" s="15">
        <v>48800</v>
      </c>
      <c r="I1680" s="13">
        <v>50</v>
      </c>
    </row>
    <row r="1681" spans="6:9">
      <c r="F1681" s="12" t="s">
        <v>3123</v>
      </c>
      <c r="G1681" s="12" t="s">
        <v>157</v>
      </c>
      <c r="H1681" s="15">
        <v>13557</v>
      </c>
      <c r="I1681" s="13">
        <v>50</v>
      </c>
    </row>
    <row r="1682" spans="6:9">
      <c r="F1682" s="12" t="s">
        <v>1214</v>
      </c>
      <c r="G1682" s="12" t="s">
        <v>157</v>
      </c>
      <c r="H1682" s="15">
        <v>10188</v>
      </c>
      <c r="I1682" s="13">
        <v>50</v>
      </c>
    </row>
    <row r="1683" spans="6:9">
      <c r="F1683" s="12" t="s">
        <v>3124</v>
      </c>
      <c r="G1683" s="12" t="s">
        <v>157</v>
      </c>
      <c r="H1683" s="15">
        <v>138872</v>
      </c>
      <c r="I1683" s="13">
        <v>50</v>
      </c>
    </row>
    <row r="1684" spans="6:9">
      <c r="F1684" s="12" t="s">
        <v>3125</v>
      </c>
      <c r="G1684" s="12" t="s">
        <v>159</v>
      </c>
      <c r="H1684" s="15">
        <v>23900</v>
      </c>
      <c r="I1684" s="13">
        <v>50</v>
      </c>
    </row>
    <row r="1685" spans="6:9">
      <c r="F1685" s="12" t="s">
        <v>3126</v>
      </c>
      <c r="G1685" s="12" t="s">
        <v>159</v>
      </c>
      <c r="H1685" s="15">
        <v>38200</v>
      </c>
      <c r="I1685" s="13">
        <v>50</v>
      </c>
    </row>
    <row r="1686" spans="6:9">
      <c r="F1686" s="12" t="s">
        <v>3127</v>
      </c>
      <c r="G1686" s="12" t="s">
        <v>157</v>
      </c>
      <c r="H1686" s="15">
        <v>18929</v>
      </c>
      <c r="I1686" s="13">
        <v>50</v>
      </c>
    </row>
    <row r="1687" spans="6:9">
      <c r="F1687" s="12" t="s">
        <v>1217</v>
      </c>
      <c r="G1687" s="12" t="s">
        <v>157</v>
      </c>
      <c r="H1687" s="15">
        <v>29130</v>
      </c>
      <c r="I1687" s="13">
        <v>50</v>
      </c>
    </row>
    <row r="1688" spans="6:9">
      <c r="F1688" s="12" t="s">
        <v>3128</v>
      </c>
      <c r="G1688" s="12" t="s">
        <v>159</v>
      </c>
      <c r="H1688" s="15">
        <v>13700</v>
      </c>
      <c r="I1688" s="13">
        <v>50</v>
      </c>
    </row>
    <row r="1689" spans="6:9">
      <c r="F1689" s="12" t="s">
        <v>1220</v>
      </c>
      <c r="G1689" s="12" t="s">
        <v>157</v>
      </c>
      <c r="H1689" s="15">
        <v>15990</v>
      </c>
      <c r="I1689" s="13">
        <v>50</v>
      </c>
    </row>
    <row r="1690" spans="6:9">
      <c r="F1690" s="12" t="s">
        <v>3129</v>
      </c>
      <c r="G1690" s="12" t="s">
        <v>159</v>
      </c>
      <c r="H1690" s="15">
        <v>24100</v>
      </c>
      <c r="I1690" s="13">
        <v>50</v>
      </c>
    </row>
    <row r="1691" spans="6:9">
      <c r="F1691" s="12" t="s">
        <v>3130</v>
      </c>
      <c r="G1691" s="12" t="s">
        <v>159</v>
      </c>
      <c r="H1691" s="15">
        <v>16100</v>
      </c>
      <c r="I1691" s="13">
        <v>50</v>
      </c>
    </row>
    <row r="1692" spans="6:9">
      <c r="F1692" s="12" t="s">
        <v>3131</v>
      </c>
      <c r="G1692" s="12" t="s">
        <v>159</v>
      </c>
      <c r="H1692" s="15">
        <v>26500</v>
      </c>
      <c r="I1692" s="13">
        <v>50</v>
      </c>
    </row>
    <row r="1693" spans="6:9">
      <c r="F1693" s="12" t="s">
        <v>3132</v>
      </c>
      <c r="G1693" s="12" t="s">
        <v>159</v>
      </c>
      <c r="H1693" s="15">
        <v>84700</v>
      </c>
      <c r="I1693" s="13">
        <v>50</v>
      </c>
    </row>
    <row r="1694" spans="6:9">
      <c r="F1694" s="12" t="s">
        <v>1222</v>
      </c>
      <c r="G1694" s="12" t="s">
        <v>157</v>
      </c>
      <c r="H1694" s="15">
        <v>12094</v>
      </c>
      <c r="I1694" s="13">
        <v>50</v>
      </c>
    </row>
    <row r="1695" spans="6:9">
      <c r="F1695" s="12" t="s">
        <v>1225</v>
      </c>
      <c r="G1695" s="12" t="s">
        <v>157</v>
      </c>
      <c r="H1695" s="15">
        <v>10553</v>
      </c>
      <c r="I1695" s="13">
        <v>50</v>
      </c>
    </row>
    <row r="1696" spans="6:9">
      <c r="F1696" s="12" t="s">
        <v>3133</v>
      </c>
      <c r="G1696" s="12" t="s">
        <v>157</v>
      </c>
      <c r="H1696" s="15">
        <v>12519</v>
      </c>
      <c r="I1696" s="13">
        <v>50</v>
      </c>
    </row>
    <row r="1697" spans="6:9">
      <c r="F1697" s="12" t="s">
        <v>3134</v>
      </c>
      <c r="G1697" s="12" t="s">
        <v>157</v>
      </c>
      <c r="H1697" s="15">
        <v>10036</v>
      </c>
      <c r="I1697" s="13">
        <v>50</v>
      </c>
    </row>
    <row r="1698" spans="6:9">
      <c r="F1698" s="12" t="s">
        <v>1228</v>
      </c>
      <c r="G1698" s="12" t="s">
        <v>157</v>
      </c>
      <c r="H1698" s="15">
        <v>10028</v>
      </c>
      <c r="I1698" s="13">
        <v>50</v>
      </c>
    </row>
    <row r="1699" spans="6:9">
      <c r="F1699" s="12" t="s">
        <v>3135</v>
      </c>
      <c r="G1699" s="12" t="s">
        <v>157</v>
      </c>
      <c r="H1699" s="15">
        <v>14941</v>
      </c>
      <c r="I1699" s="13">
        <v>50</v>
      </c>
    </row>
    <row r="1700" spans="6:9">
      <c r="F1700" s="12" t="s">
        <v>3136</v>
      </c>
      <c r="G1700" s="12" t="s">
        <v>159</v>
      </c>
      <c r="H1700" s="15">
        <v>47200</v>
      </c>
      <c r="I1700" s="13">
        <v>50</v>
      </c>
    </row>
    <row r="1701" spans="6:9">
      <c r="F1701" s="12" t="s">
        <v>3137</v>
      </c>
      <c r="G1701" s="12" t="s">
        <v>157</v>
      </c>
      <c r="H1701" s="15">
        <v>31012</v>
      </c>
      <c r="I1701" s="13">
        <v>50</v>
      </c>
    </row>
    <row r="1702" spans="6:9">
      <c r="F1702" s="12" t="s">
        <v>3138</v>
      </c>
      <c r="G1702" s="12" t="s">
        <v>159</v>
      </c>
      <c r="H1702" s="15">
        <v>11024</v>
      </c>
      <c r="I1702" s="13">
        <v>50</v>
      </c>
    </row>
    <row r="1703" spans="6:9">
      <c r="F1703" s="12" t="s">
        <v>3139</v>
      </c>
      <c r="G1703" s="12" t="s">
        <v>157</v>
      </c>
      <c r="H1703" s="15">
        <v>10127</v>
      </c>
      <c r="I1703" s="13">
        <v>50</v>
      </c>
    </row>
    <row r="1704" spans="6:9">
      <c r="F1704" s="12" t="s">
        <v>3140</v>
      </c>
      <c r="G1704" s="12" t="s">
        <v>159</v>
      </c>
      <c r="H1704" s="15">
        <v>12500</v>
      </c>
      <c r="I1704" s="13">
        <v>50</v>
      </c>
    </row>
    <row r="1705" spans="6:9">
      <c r="F1705" s="12" t="s">
        <v>3141</v>
      </c>
      <c r="G1705" s="12" t="s">
        <v>159</v>
      </c>
      <c r="H1705" s="15">
        <v>27100</v>
      </c>
      <c r="I1705" s="13">
        <v>50</v>
      </c>
    </row>
    <row r="1706" spans="6:9">
      <c r="F1706" s="12" t="s">
        <v>3142</v>
      </c>
      <c r="G1706" s="12" t="s">
        <v>157</v>
      </c>
      <c r="H1706" s="15">
        <v>15860</v>
      </c>
      <c r="I1706" s="13">
        <v>50</v>
      </c>
    </row>
    <row r="1707" spans="6:9">
      <c r="F1707" s="12" t="s">
        <v>3143</v>
      </c>
      <c r="G1707" s="12" t="s">
        <v>157</v>
      </c>
      <c r="H1707" s="15">
        <v>24598</v>
      </c>
      <c r="I1707" s="13">
        <v>50</v>
      </c>
    </row>
    <row r="1708" spans="6:9">
      <c r="F1708" s="12" t="s">
        <v>3144</v>
      </c>
      <c r="G1708" s="12" t="s">
        <v>157</v>
      </c>
      <c r="H1708" s="15">
        <v>18411</v>
      </c>
      <c r="I1708" s="13">
        <v>50</v>
      </c>
    </row>
    <row r="1709" spans="6:9">
      <c r="F1709" s="12" t="s">
        <v>3145</v>
      </c>
      <c r="G1709" s="12" t="s">
        <v>157</v>
      </c>
      <c r="H1709" s="15">
        <v>30626</v>
      </c>
      <c r="I1709" s="13">
        <v>50</v>
      </c>
    </row>
    <row r="1710" spans="6:9">
      <c r="F1710" s="12" t="s">
        <v>3146</v>
      </c>
      <c r="G1710" s="12" t="s">
        <v>159</v>
      </c>
      <c r="H1710" s="15">
        <v>10200</v>
      </c>
      <c r="I1710" s="13">
        <v>50</v>
      </c>
    </row>
    <row r="1711" spans="6:9">
      <c r="F1711" s="12" t="s">
        <v>3147</v>
      </c>
      <c r="G1711" s="12" t="s">
        <v>159</v>
      </c>
      <c r="H1711" s="15">
        <v>11500</v>
      </c>
      <c r="I1711" s="13">
        <v>50</v>
      </c>
    </row>
    <row r="1712" spans="6:9">
      <c r="F1712" s="12" t="s">
        <v>3148</v>
      </c>
      <c r="G1712" s="12" t="s">
        <v>159</v>
      </c>
      <c r="H1712" s="15">
        <v>33000</v>
      </c>
      <c r="I1712" s="13">
        <v>50</v>
      </c>
    </row>
    <row r="1713" spans="6:9">
      <c r="F1713" s="12" t="s">
        <v>1231</v>
      </c>
      <c r="G1713" s="12" t="s">
        <v>157</v>
      </c>
      <c r="H1713" s="15">
        <v>26003</v>
      </c>
      <c r="I1713" s="13">
        <v>50</v>
      </c>
    </row>
    <row r="1714" spans="6:9">
      <c r="F1714" s="12" t="s">
        <v>3149</v>
      </c>
      <c r="G1714" s="12" t="s">
        <v>157</v>
      </c>
      <c r="H1714" s="15">
        <v>17613</v>
      </c>
      <c r="I1714" s="13">
        <v>50</v>
      </c>
    </row>
    <row r="1715" spans="6:9">
      <c r="F1715" s="12" t="s">
        <v>1234</v>
      </c>
      <c r="G1715" s="12" t="s">
        <v>157</v>
      </c>
      <c r="H1715" s="15">
        <v>14273</v>
      </c>
      <c r="I1715" s="13">
        <v>50</v>
      </c>
    </row>
    <row r="1716" spans="6:9">
      <c r="F1716" s="12" t="s">
        <v>3150</v>
      </c>
      <c r="G1716" s="12" t="s">
        <v>157</v>
      </c>
      <c r="H1716" s="15">
        <v>25544</v>
      </c>
      <c r="I1716" s="13">
        <v>50</v>
      </c>
    </row>
    <row r="1717" spans="6:9">
      <c r="F1717" s="12" t="s">
        <v>3151</v>
      </c>
      <c r="G1717" s="12" t="s">
        <v>159</v>
      </c>
      <c r="H1717" s="15">
        <v>10500</v>
      </c>
      <c r="I1717" s="13">
        <v>50</v>
      </c>
    </row>
    <row r="1718" spans="6:9">
      <c r="F1718" s="12" t="s">
        <v>3152</v>
      </c>
      <c r="G1718" s="12" t="s">
        <v>157</v>
      </c>
      <c r="H1718" s="15">
        <v>15472</v>
      </c>
      <c r="I1718" s="13">
        <v>50</v>
      </c>
    </row>
    <row r="1719" spans="6:9">
      <c r="F1719" s="12" t="s">
        <v>3153</v>
      </c>
      <c r="G1719" s="12" t="s">
        <v>159</v>
      </c>
      <c r="H1719" s="15">
        <v>15300</v>
      </c>
      <c r="I1719" s="13">
        <v>50</v>
      </c>
    </row>
    <row r="1720" spans="6:9">
      <c r="F1720" s="12" t="s">
        <v>3154</v>
      </c>
      <c r="G1720" s="12" t="s">
        <v>159</v>
      </c>
      <c r="H1720" s="15">
        <v>205800</v>
      </c>
      <c r="I1720" s="13">
        <v>50</v>
      </c>
    </row>
    <row r="1721" spans="6:9">
      <c r="F1721" s="12" t="s">
        <v>3155</v>
      </c>
      <c r="G1721" s="12" t="s">
        <v>159</v>
      </c>
      <c r="H1721" s="15">
        <v>13100</v>
      </c>
      <c r="I1721" s="13">
        <v>50</v>
      </c>
    </row>
    <row r="1722" spans="6:9">
      <c r="F1722" s="12" t="s">
        <v>3156</v>
      </c>
      <c r="G1722" s="12" t="s">
        <v>157</v>
      </c>
      <c r="H1722" s="15">
        <v>10682</v>
      </c>
      <c r="I1722" s="13">
        <v>50</v>
      </c>
    </row>
    <row r="1723" spans="6:9">
      <c r="F1723" s="12" t="s">
        <v>3157</v>
      </c>
      <c r="G1723" s="12" t="s">
        <v>159</v>
      </c>
      <c r="H1723" s="15">
        <v>44900</v>
      </c>
      <c r="I1723" s="13">
        <v>50</v>
      </c>
    </row>
    <row r="1724" spans="6:9">
      <c r="F1724" s="12" t="s">
        <v>1237</v>
      </c>
      <c r="G1724" s="12" t="s">
        <v>157</v>
      </c>
      <c r="H1724" s="15">
        <v>23698</v>
      </c>
      <c r="I1724" s="13">
        <v>50</v>
      </c>
    </row>
    <row r="1725" spans="6:9">
      <c r="F1725" s="12" t="s">
        <v>1240</v>
      </c>
      <c r="G1725" s="12" t="s">
        <v>157</v>
      </c>
      <c r="H1725" s="15">
        <v>113354</v>
      </c>
      <c r="I1725" s="13">
        <v>50</v>
      </c>
    </row>
    <row r="1726" spans="6:9">
      <c r="F1726" s="12" t="s">
        <v>3158</v>
      </c>
      <c r="G1726" s="12" t="s">
        <v>159</v>
      </c>
      <c r="H1726" s="15">
        <v>102500</v>
      </c>
      <c r="I1726" s="13">
        <v>50</v>
      </c>
    </row>
    <row r="1727" spans="6:9">
      <c r="F1727" s="12" t="s">
        <v>3159</v>
      </c>
      <c r="G1727" s="12" t="s">
        <v>159</v>
      </c>
      <c r="H1727" s="15">
        <v>44400</v>
      </c>
      <c r="I1727" s="13">
        <v>50</v>
      </c>
    </row>
    <row r="1728" spans="6:9">
      <c r="F1728" s="12" t="s">
        <v>3160</v>
      </c>
      <c r="G1728" s="12" t="s">
        <v>159</v>
      </c>
      <c r="H1728" s="15">
        <v>101400</v>
      </c>
      <c r="I1728" s="13">
        <v>50</v>
      </c>
    </row>
    <row r="1729" spans="6:9">
      <c r="F1729" s="12" t="s">
        <v>3161</v>
      </c>
      <c r="G1729" s="12" t="s">
        <v>159</v>
      </c>
      <c r="H1729" s="15">
        <v>17000</v>
      </c>
      <c r="I1729" s="13">
        <v>50</v>
      </c>
    </row>
    <row r="1730" spans="6:9">
      <c r="F1730" s="12" t="s">
        <v>3162</v>
      </c>
      <c r="G1730" s="12" t="s">
        <v>157</v>
      </c>
      <c r="H1730" s="15">
        <v>18038</v>
      </c>
      <c r="I1730" s="13">
        <v>50</v>
      </c>
    </row>
    <row r="1731" spans="6:9">
      <c r="F1731" s="12" t="s">
        <v>3163</v>
      </c>
      <c r="G1731" s="12" t="s">
        <v>159</v>
      </c>
      <c r="H1731" s="15">
        <v>22100</v>
      </c>
      <c r="I1731" s="13">
        <v>50</v>
      </c>
    </row>
    <row r="1732" spans="6:9">
      <c r="F1732" s="12" t="s">
        <v>3164</v>
      </c>
      <c r="G1732" s="12" t="s">
        <v>159</v>
      </c>
      <c r="H1732" s="15">
        <v>347800</v>
      </c>
      <c r="I1732" s="13">
        <v>50</v>
      </c>
    </row>
    <row r="1733" spans="6:9">
      <c r="F1733" s="12" t="s">
        <v>3165</v>
      </c>
      <c r="G1733" s="12" t="s">
        <v>157</v>
      </c>
      <c r="H1733" s="15">
        <v>16791</v>
      </c>
      <c r="I1733" s="13">
        <v>50</v>
      </c>
    </row>
    <row r="1734" spans="6:9">
      <c r="F1734" s="12" t="s">
        <v>3166</v>
      </c>
      <c r="G1734" s="12" t="s">
        <v>159</v>
      </c>
      <c r="H1734" s="15">
        <v>30300</v>
      </c>
      <c r="I1734" s="13">
        <v>50</v>
      </c>
    </row>
    <row r="1735" spans="6:9">
      <c r="F1735" s="12" t="s">
        <v>3167</v>
      </c>
      <c r="G1735" s="12" t="s">
        <v>159</v>
      </c>
      <c r="H1735" s="15">
        <v>22000</v>
      </c>
      <c r="I1735" s="13">
        <v>50</v>
      </c>
    </row>
    <row r="1736" spans="6:9">
      <c r="F1736" s="12" t="s">
        <v>3168</v>
      </c>
      <c r="G1736" s="12" t="s">
        <v>157</v>
      </c>
      <c r="H1736" s="15">
        <v>10547</v>
      </c>
      <c r="I1736" s="13">
        <v>50</v>
      </c>
    </row>
    <row r="1737" spans="6:9">
      <c r="F1737" s="12" t="s">
        <v>1243</v>
      </c>
      <c r="G1737" s="12" t="s">
        <v>157</v>
      </c>
      <c r="H1737" s="15">
        <v>34208</v>
      </c>
      <c r="I1737" s="13">
        <v>50</v>
      </c>
    </row>
    <row r="1738" spans="6:9">
      <c r="F1738" s="12" t="s">
        <v>3169</v>
      </c>
      <c r="G1738" s="12" t="s">
        <v>159</v>
      </c>
      <c r="H1738" s="15">
        <v>32100</v>
      </c>
      <c r="I1738" s="13">
        <v>50</v>
      </c>
    </row>
    <row r="1739" spans="6:9">
      <c r="F1739" s="12" t="s">
        <v>3170</v>
      </c>
      <c r="G1739" s="12" t="s">
        <v>157</v>
      </c>
      <c r="H1739" s="15">
        <v>11111</v>
      </c>
      <c r="I1739" s="13">
        <v>50</v>
      </c>
    </row>
    <row r="1740" spans="6:9">
      <c r="F1740" s="12" t="s">
        <v>3171</v>
      </c>
      <c r="G1740" s="12" t="s">
        <v>157</v>
      </c>
      <c r="H1740" s="15">
        <v>21142</v>
      </c>
      <c r="I1740" s="13">
        <v>50</v>
      </c>
    </row>
    <row r="1741" spans="6:9">
      <c r="F1741" s="12" t="s">
        <v>1246</v>
      </c>
      <c r="G1741" s="12" t="s">
        <v>157</v>
      </c>
      <c r="H1741" s="15">
        <v>15395</v>
      </c>
      <c r="I1741" s="13">
        <v>50</v>
      </c>
    </row>
    <row r="1742" spans="6:9">
      <c r="F1742" s="12" t="s">
        <v>3172</v>
      </c>
      <c r="G1742" s="12" t="s">
        <v>157</v>
      </c>
      <c r="H1742" s="15">
        <v>23246</v>
      </c>
      <c r="I1742" s="13">
        <v>50</v>
      </c>
    </row>
    <row r="1743" spans="6:9">
      <c r="F1743" s="12" t="s">
        <v>3173</v>
      </c>
      <c r="G1743" s="12" t="s">
        <v>159</v>
      </c>
      <c r="H1743" s="15">
        <v>16400</v>
      </c>
      <c r="I1743" s="13">
        <v>50</v>
      </c>
    </row>
    <row r="1744" spans="6:9">
      <c r="F1744" s="12" t="s">
        <v>3174</v>
      </c>
      <c r="G1744" s="12" t="s">
        <v>159</v>
      </c>
      <c r="H1744" s="15">
        <v>12100</v>
      </c>
      <c r="I1744" s="13">
        <v>50</v>
      </c>
    </row>
    <row r="1745" spans="6:9">
      <c r="F1745" s="12" t="s">
        <v>3175</v>
      </c>
      <c r="G1745" s="12" t="s">
        <v>159</v>
      </c>
      <c r="H1745" s="15">
        <v>24100</v>
      </c>
      <c r="I1745" s="13">
        <v>50</v>
      </c>
    </row>
    <row r="1746" spans="6:9">
      <c r="F1746" s="12" t="s">
        <v>3176</v>
      </c>
      <c r="G1746" s="12" t="s">
        <v>157</v>
      </c>
      <c r="H1746" s="15">
        <v>27257</v>
      </c>
      <c r="I1746" s="13">
        <v>50</v>
      </c>
    </row>
    <row r="1747" spans="6:9">
      <c r="F1747" s="12" t="s">
        <v>3177</v>
      </c>
      <c r="G1747" s="12" t="s">
        <v>159</v>
      </c>
      <c r="H1747" s="15">
        <v>125800</v>
      </c>
      <c r="I1747" s="13">
        <v>50</v>
      </c>
    </row>
    <row r="1748" spans="6:9">
      <c r="F1748" s="12" t="s">
        <v>3178</v>
      </c>
      <c r="G1748" s="12" t="s">
        <v>159</v>
      </c>
      <c r="H1748" s="15">
        <v>40500</v>
      </c>
      <c r="I1748" s="13">
        <v>50</v>
      </c>
    </row>
    <row r="1749" spans="6:9">
      <c r="F1749" s="12" t="s">
        <v>3179</v>
      </c>
      <c r="G1749" s="12" t="s">
        <v>159</v>
      </c>
      <c r="H1749" s="15">
        <v>20200</v>
      </c>
      <c r="I1749" s="13">
        <v>50</v>
      </c>
    </row>
    <row r="1750" spans="6:9">
      <c r="F1750" s="12" t="s">
        <v>3180</v>
      </c>
      <c r="G1750" s="12" t="s">
        <v>159</v>
      </c>
      <c r="H1750" s="15">
        <v>10200</v>
      </c>
      <c r="I1750" s="13">
        <v>50</v>
      </c>
    </row>
    <row r="1751" spans="6:9">
      <c r="F1751" s="12" t="s">
        <v>1249</v>
      </c>
      <c r="G1751" s="12" t="s">
        <v>157</v>
      </c>
      <c r="H1751" s="15">
        <v>21037</v>
      </c>
      <c r="I1751" s="13">
        <v>50</v>
      </c>
    </row>
    <row r="1752" spans="6:9">
      <c r="F1752" s="12" t="s">
        <v>1252</v>
      </c>
      <c r="G1752" s="12" t="s">
        <v>157</v>
      </c>
      <c r="H1752" s="15">
        <v>14584</v>
      </c>
      <c r="I1752" s="13">
        <v>50</v>
      </c>
    </row>
    <row r="1753" spans="6:9">
      <c r="F1753" s="12" t="s">
        <v>3181</v>
      </c>
      <c r="G1753" s="12" t="s">
        <v>159</v>
      </c>
      <c r="H1753" s="15">
        <v>157900</v>
      </c>
      <c r="I1753" s="13">
        <v>50</v>
      </c>
    </row>
    <row r="1754" spans="6:9">
      <c r="F1754" s="12" t="s">
        <v>3182</v>
      </c>
      <c r="G1754" s="12" t="s">
        <v>157</v>
      </c>
      <c r="H1754" s="15">
        <v>35253</v>
      </c>
      <c r="I1754" s="13">
        <v>50</v>
      </c>
    </row>
    <row r="1755" spans="6:9">
      <c r="F1755" s="12" t="s">
        <v>3183</v>
      </c>
      <c r="G1755" s="12" t="s">
        <v>159</v>
      </c>
      <c r="H1755" s="15">
        <v>17100</v>
      </c>
      <c r="I1755" s="13">
        <v>50</v>
      </c>
    </row>
    <row r="1756" spans="6:9">
      <c r="F1756" s="12" t="s">
        <v>3184</v>
      </c>
      <c r="G1756" s="12" t="s">
        <v>159</v>
      </c>
      <c r="H1756" s="15">
        <v>11200</v>
      </c>
      <c r="I1756" s="13">
        <v>50</v>
      </c>
    </row>
    <row r="1757" spans="6:9">
      <c r="F1757" s="12" t="s">
        <v>3185</v>
      </c>
      <c r="G1757" s="12" t="s">
        <v>157</v>
      </c>
      <c r="H1757" s="15">
        <v>24348</v>
      </c>
      <c r="I1757" s="13">
        <v>50</v>
      </c>
    </row>
    <row r="1758" spans="6:9">
      <c r="F1758" s="12" t="s">
        <v>3186</v>
      </c>
      <c r="G1758" s="12" t="s">
        <v>157</v>
      </c>
      <c r="H1758" s="15">
        <v>11596</v>
      </c>
      <c r="I1758" s="13">
        <v>50</v>
      </c>
    </row>
    <row r="1759" spans="6:9">
      <c r="F1759" s="12" t="s">
        <v>3187</v>
      </c>
      <c r="G1759" s="12" t="s">
        <v>157</v>
      </c>
      <c r="H1759" s="15">
        <v>15731</v>
      </c>
      <c r="I1759" s="13">
        <v>50</v>
      </c>
    </row>
    <row r="1760" spans="6:9">
      <c r="F1760" s="12" t="s">
        <v>3188</v>
      </c>
      <c r="G1760" s="12" t="s">
        <v>159</v>
      </c>
      <c r="H1760" s="15">
        <v>39500</v>
      </c>
      <c r="I1760" s="13">
        <v>50</v>
      </c>
    </row>
    <row r="1761" spans="6:9">
      <c r="F1761" s="12" t="s">
        <v>1255</v>
      </c>
      <c r="G1761" s="12" t="s">
        <v>157</v>
      </c>
      <c r="H1761" s="15">
        <v>16757</v>
      </c>
      <c r="I1761" s="13">
        <v>50</v>
      </c>
    </row>
    <row r="1762" spans="6:9">
      <c r="F1762" s="12" t="s">
        <v>1258</v>
      </c>
      <c r="G1762" s="12" t="s">
        <v>157</v>
      </c>
      <c r="H1762" s="15">
        <v>15992</v>
      </c>
      <c r="I1762" s="13">
        <v>50</v>
      </c>
    </row>
    <row r="1763" spans="6:9">
      <c r="F1763" s="12" t="s">
        <v>3189</v>
      </c>
      <c r="G1763" s="12" t="s">
        <v>157</v>
      </c>
      <c r="H1763" s="15">
        <v>15492</v>
      </c>
      <c r="I1763" s="13">
        <v>50</v>
      </c>
    </row>
    <row r="1764" spans="6:9">
      <c r="F1764" s="12" t="s">
        <v>3190</v>
      </c>
      <c r="G1764" s="12" t="s">
        <v>159</v>
      </c>
      <c r="H1764" s="15">
        <v>1400000</v>
      </c>
      <c r="I1764" s="13">
        <v>50</v>
      </c>
    </row>
    <row r="1765" spans="6:9">
      <c r="F1765" s="12" t="s">
        <v>1261</v>
      </c>
      <c r="G1765" s="12" t="s">
        <v>157</v>
      </c>
      <c r="H1765" s="15">
        <v>11269</v>
      </c>
      <c r="I1765" s="13">
        <v>50</v>
      </c>
    </row>
    <row r="1766" spans="6:9">
      <c r="F1766" s="12" t="s">
        <v>3191</v>
      </c>
      <c r="G1766" s="12" t="s">
        <v>157</v>
      </c>
      <c r="H1766" s="15">
        <v>13664</v>
      </c>
      <c r="I1766" s="13">
        <v>50</v>
      </c>
    </row>
    <row r="1767" spans="6:9">
      <c r="F1767" s="12" t="s">
        <v>3192</v>
      </c>
      <c r="G1767" s="12" t="s">
        <v>159</v>
      </c>
      <c r="H1767" s="15">
        <v>6700000</v>
      </c>
      <c r="I1767" s="13">
        <v>50</v>
      </c>
    </row>
    <row r="1768" spans="6:9">
      <c r="F1768" s="12" t="s">
        <v>1264</v>
      </c>
      <c r="G1768" s="12" t="s">
        <v>157</v>
      </c>
      <c r="H1768" s="15">
        <v>30554</v>
      </c>
      <c r="I1768" s="13">
        <v>50</v>
      </c>
    </row>
    <row r="1769" spans="6:9">
      <c r="F1769" s="12" t="s">
        <v>3193</v>
      </c>
      <c r="G1769" s="12" t="s">
        <v>159</v>
      </c>
      <c r="H1769" s="15">
        <v>130000</v>
      </c>
      <c r="I1769" s="13">
        <v>50</v>
      </c>
    </row>
    <row r="1770" spans="6:9">
      <c r="F1770" s="12" t="s">
        <v>1267</v>
      </c>
      <c r="G1770" s="12" t="s">
        <v>157</v>
      </c>
      <c r="H1770" s="15">
        <v>31795</v>
      </c>
      <c r="I1770" s="13">
        <v>50</v>
      </c>
    </row>
    <row r="1771" spans="6:9">
      <c r="F1771" s="12" t="s">
        <v>3194</v>
      </c>
      <c r="G1771" s="12" t="s">
        <v>157</v>
      </c>
      <c r="H1771" s="15">
        <v>10381</v>
      </c>
      <c r="I1771" s="13">
        <v>50</v>
      </c>
    </row>
    <row r="1772" spans="6:9">
      <c r="F1772" s="12" t="s">
        <v>3195</v>
      </c>
      <c r="G1772" s="12" t="s">
        <v>159</v>
      </c>
      <c r="H1772" s="15">
        <v>10500</v>
      </c>
      <c r="I1772" s="13">
        <v>50</v>
      </c>
    </row>
    <row r="1773" spans="6:9">
      <c r="F1773" s="12" t="s">
        <v>1269</v>
      </c>
      <c r="G1773" s="12" t="s">
        <v>157</v>
      </c>
      <c r="H1773" s="15">
        <v>17690</v>
      </c>
      <c r="I1773" s="13">
        <v>50</v>
      </c>
    </row>
    <row r="1774" spans="6:9">
      <c r="F1774" s="12" t="s">
        <v>3196</v>
      </c>
      <c r="G1774" s="12" t="s">
        <v>159</v>
      </c>
      <c r="H1774" s="15">
        <v>185200</v>
      </c>
      <c r="I1774" s="13">
        <v>50</v>
      </c>
    </row>
    <row r="1775" spans="6:9">
      <c r="F1775" s="12" t="s">
        <v>3197</v>
      </c>
      <c r="G1775" s="12" t="s">
        <v>159</v>
      </c>
      <c r="H1775" s="15">
        <v>61400</v>
      </c>
      <c r="I1775" s="13">
        <v>50</v>
      </c>
    </row>
    <row r="1776" spans="6:9">
      <c r="F1776" s="12" t="s">
        <v>3198</v>
      </c>
      <c r="G1776" s="12" t="s">
        <v>157</v>
      </c>
      <c r="H1776" s="15">
        <v>28367</v>
      </c>
      <c r="I1776" s="13">
        <v>50</v>
      </c>
    </row>
    <row r="1777" spans="6:9">
      <c r="F1777" s="12" t="s">
        <v>3199</v>
      </c>
      <c r="G1777" s="12" t="s">
        <v>159</v>
      </c>
      <c r="H1777" s="15">
        <v>48900</v>
      </c>
      <c r="I1777" s="13">
        <v>50</v>
      </c>
    </row>
    <row r="1778" spans="6:9">
      <c r="F1778" s="12" t="s">
        <v>3200</v>
      </c>
      <c r="G1778" s="12" t="s">
        <v>159</v>
      </c>
      <c r="H1778" s="15">
        <v>32100</v>
      </c>
      <c r="I1778" s="13">
        <v>50</v>
      </c>
    </row>
    <row r="1779" spans="6:9">
      <c r="F1779" s="12" t="s">
        <v>1271</v>
      </c>
      <c r="G1779" s="12" t="s">
        <v>157</v>
      </c>
      <c r="H1779" s="15">
        <v>29871</v>
      </c>
      <c r="I1779" s="13">
        <v>50</v>
      </c>
    </row>
    <row r="1780" spans="6:9">
      <c r="F1780" s="12" t="s">
        <v>3201</v>
      </c>
      <c r="G1780" s="12" t="s">
        <v>157</v>
      </c>
      <c r="H1780" s="15">
        <v>13937</v>
      </c>
      <c r="I1780" s="13">
        <v>50</v>
      </c>
    </row>
    <row r="1781" spans="6:9">
      <c r="F1781" s="12" t="s">
        <v>1274</v>
      </c>
      <c r="G1781" s="12" t="s">
        <v>157</v>
      </c>
      <c r="H1781" s="15">
        <v>20058</v>
      </c>
      <c r="I1781" s="13">
        <v>50</v>
      </c>
    </row>
    <row r="1782" spans="6:9">
      <c r="F1782" s="12" t="s">
        <v>3202</v>
      </c>
      <c r="G1782" s="12" t="s">
        <v>159</v>
      </c>
      <c r="H1782" s="15">
        <v>79225</v>
      </c>
      <c r="I1782" s="13">
        <v>50</v>
      </c>
    </row>
    <row r="1783" spans="6:9">
      <c r="F1783" s="12" t="s">
        <v>3203</v>
      </c>
      <c r="G1783" s="12" t="s">
        <v>159</v>
      </c>
      <c r="H1783" s="15">
        <v>180700</v>
      </c>
      <c r="I1783" s="13">
        <v>50</v>
      </c>
    </row>
    <row r="1784" spans="6:9">
      <c r="F1784" s="12" t="s">
        <v>3204</v>
      </c>
      <c r="G1784" s="12" t="s">
        <v>159</v>
      </c>
      <c r="H1784" s="15">
        <v>10300</v>
      </c>
      <c r="I1784" s="13">
        <v>50</v>
      </c>
    </row>
    <row r="1785" spans="6:9">
      <c r="F1785" s="12" t="s">
        <v>3205</v>
      </c>
      <c r="G1785" s="12" t="s">
        <v>159</v>
      </c>
      <c r="H1785" s="15">
        <v>53100</v>
      </c>
      <c r="I1785" s="13">
        <v>50</v>
      </c>
    </row>
    <row r="1786" spans="6:9">
      <c r="F1786" s="12" t="s">
        <v>3206</v>
      </c>
      <c r="G1786" s="12" t="s">
        <v>159</v>
      </c>
      <c r="H1786" s="15">
        <v>459700</v>
      </c>
      <c r="I1786" s="13">
        <v>50</v>
      </c>
    </row>
    <row r="1787" spans="6:9">
      <c r="F1787" s="12" t="s">
        <v>3207</v>
      </c>
      <c r="G1787" s="12" t="s">
        <v>157</v>
      </c>
      <c r="H1787" s="15">
        <v>11255</v>
      </c>
      <c r="I1787" s="13">
        <v>50</v>
      </c>
    </row>
    <row r="1788" spans="6:9">
      <c r="F1788" s="12" t="s">
        <v>3208</v>
      </c>
      <c r="G1788" s="12" t="s">
        <v>157</v>
      </c>
      <c r="H1788" s="15">
        <v>10149</v>
      </c>
      <c r="I1788" s="13">
        <v>50</v>
      </c>
    </row>
    <row r="1789" spans="6:9">
      <c r="F1789" s="12" t="s">
        <v>3209</v>
      </c>
      <c r="G1789" s="12" t="s">
        <v>159</v>
      </c>
      <c r="H1789" s="15">
        <v>17600</v>
      </c>
      <c r="I1789" s="13">
        <v>50</v>
      </c>
    </row>
    <row r="1790" spans="6:9">
      <c r="F1790" s="12" t="s">
        <v>3210</v>
      </c>
      <c r="G1790" s="12" t="s">
        <v>159</v>
      </c>
      <c r="H1790" s="15">
        <v>52600</v>
      </c>
      <c r="I1790" s="13">
        <v>50</v>
      </c>
    </row>
    <row r="1791" spans="6:9">
      <c r="F1791" s="12" t="s">
        <v>3211</v>
      </c>
      <c r="G1791" s="12" t="s">
        <v>157</v>
      </c>
      <c r="H1791" s="15">
        <v>10446</v>
      </c>
      <c r="I1791" s="13">
        <v>50</v>
      </c>
    </row>
    <row r="1792" spans="6:9">
      <c r="F1792" s="12" t="s">
        <v>3212</v>
      </c>
      <c r="G1792" s="12" t="s">
        <v>157</v>
      </c>
      <c r="H1792" s="15">
        <v>12213</v>
      </c>
      <c r="I1792" s="13">
        <v>50</v>
      </c>
    </row>
    <row r="1793" spans="6:9">
      <c r="F1793" s="12" t="s">
        <v>3213</v>
      </c>
      <c r="G1793" s="12" t="s">
        <v>159</v>
      </c>
      <c r="H1793" s="15">
        <v>13600</v>
      </c>
      <c r="I1793" s="13">
        <v>50</v>
      </c>
    </row>
    <row r="1794" spans="6:9">
      <c r="F1794" s="12" t="s">
        <v>3214</v>
      </c>
      <c r="G1794" s="12" t="s">
        <v>159</v>
      </c>
      <c r="H1794" s="15">
        <v>32400</v>
      </c>
      <c r="I1794" s="13">
        <v>50</v>
      </c>
    </row>
    <row r="1795" spans="6:9">
      <c r="F1795" s="12" t="s">
        <v>3215</v>
      </c>
      <c r="G1795" s="12" t="s">
        <v>159</v>
      </c>
      <c r="H1795" s="15">
        <v>12800</v>
      </c>
      <c r="I1795" s="13">
        <v>50</v>
      </c>
    </row>
    <row r="1796" spans="6:9">
      <c r="F1796" s="12" t="s">
        <v>3216</v>
      </c>
      <c r="G1796" s="12" t="s">
        <v>159</v>
      </c>
      <c r="H1796" s="15">
        <v>10100</v>
      </c>
      <c r="I1796" s="13">
        <v>50</v>
      </c>
    </row>
    <row r="1797" spans="6:9">
      <c r="F1797" s="12" t="s">
        <v>3217</v>
      </c>
      <c r="G1797" s="12" t="s">
        <v>159</v>
      </c>
      <c r="H1797" s="15">
        <v>2900000</v>
      </c>
      <c r="I1797" s="13">
        <v>50</v>
      </c>
    </row>
    <row r="1798" spans="6:9">
      <c r="F1798" s="12" t="s">
        <v>3218</v>
      </c>
      <c r="G1798" s="12" t="s">
        <v>159</v>
      </c>
      <c r="H1798" s="15">
        <v>293000</v>
      </c>
      <c r="I1798" s="13">
        <v>50</v>
      </c>
    </row>
    <row r="1799" spans="6:9">
      <c r="F1799" s="12" t="s">
        <v>3219</v>
      </c>
      <c r="G1799" s="12" t="s">
        <v>157</v>
      </c>
      <c r="H1799" s="15">
        <v>28461</v>
      </c>
      <c r="I1799" s="13">
        <v>50</v>
      </c>
    </row>
    <row r="1800" spans="6:9">
      <c r="F1800" s="12" t="s">
        <v>3220</v>
      </c>
      <c r="G1800" s="12" t="s">
        <v>159</v>
      </c>
      <c r="H1800" s="15">
        <v>83000</v>
      </c>
      <c r="I1800" s="13">
        <v>50</v>
      </c>
    </row>
    <row r="1801" spans="6:9">
      <c r="F1801" s="12" t="s">
        <v>1277</v>
      </c>
      <c r="G1801" s="12" t="s">
        <v>157</v>
      </c>
      <c r="H1801" s="15">
        <v>10120</v>
      </c>
      <c r="I1801" s="13">
        <v>50</v>
      </c>
    </row>
    <row r="1802" spans="6:9">
      <c r="F1802" s="12" t="s">
        <v>1280</v>
      </c>
      <c r="G1802" s="12" t="s">
        <v>157</v>
      </c>
      <c r="H1802" s="15">
        <v>22235</v>
      </c>
      <c r="I1802" s="13">
        <v>50</v>
      </c>
    </row>
    <row r="1803" spans="6:9">
      <c r="F1803" s="12" t="s">
        <v>3221</v>
      </c>
      <c r="G1803" s="12" t="s">
        <v>159</v>
      </c>
      <c r="H1803" s="15">
        <v>68500</v>
      </c>
      <c r="I1803" s="13">
        <v>50</v>
      </c>
    </row>
    <row r="1804" spans="6:9">
      <c r="F1804" s="12" t="s">
        <v>3222</v>
      </c>
      <c r="G1804" s="12" t="s">
        <v>157</v>
      </c>
      <c r="H1804" s="15">
        <v>12264</v>
      </c>
      <c r="I1804" s="13">
        <v>50</v>
      </c>
    </row>
    <row r="1805" spans="6:9">
      <c r="F1805" s="12" t="s">
        <v>3223</v>
      </c>
      <c r="G1805" s="12" t="s">
        <v>159</v>
      </c>
      <c r="H1805" s="15">
        <v>50900</v>
      </c>
      <c r="I1805" s="13">
        <v>50</v>
      </c>
    </row>
    <row r="1806" spans="6:9">
      <c r="F1806" s="12" t="s">
        <v>3224</v>
      </c>
      <c r="G1806" s="12" t="s">
        <v>159</v>
      </c>
      <c r="H1806" s="15">
        <v>1100000</v>
      </c>
      <c r="I1806" s="13">
        <v>50</v>
      </c>
    </row>
    <row r="1807" spans="6:9">
      <c r="F1807" s="12" t="s">
        <v>1282</v>
      </c>
      <c r="G1807" s="12" t="s">
        <v>157</v>
      </c>
      <c r="H1807" s="15">
        <v>30363</v>
      </c>
      <c r="I1807" s="13">
        <v>50</v>
      </c>
    </row>
    <row r="1808" spans="6:9">
      <c r="F1808" s="12" t="s">
        <v>1285</v>
      </c>
      <c r="G1808" s="12" t="s">
        <v>157</v>
      </c>
      <c r="H1808" s="15">
        <v>31259</v>
      </c>
      <c r="I1808" s="13">
        <v>50</v>
      </c>
    </row>
    <row r="1809" spans="6:9">
      <c r="F1809" s="12" t="s">
        <v>3225</v>
      </c>
      <c r="G1809" s="12" t="s">
        <v>159</v>
      </c>
      <c r="H1809" s="15">
        <v>33200</v>
      </c>
      <c r="I1809" s="13">
        <v>50</v>
      </c>
    </row>
    <row r="1810" spans="6:9">
      <c r="F1810" s="12" t="s">
        <v>3226</v>
      </c>
      <c r="G1810" s="12" t="s">
        <v>159</v>
      </c>
      <c r="H1810" s="15">
        <v>13700</v>
      </c>
      <c r="I1810" s="13">
        <v>50</v>
      </c>
    </row>
    <row r="1811" spans="6:9">
      <c r="F1811" s="12" t="s">
        <v>3227</v>
      </c>
      <c r="G1811" s="12" t="s">
        <v>159</v>
      </c>
      <c r="H1811" s="15">
        <v>136400</v>
      </c>
      <c r="I1811" s="13">
        <v>50</v>
      </c>
    </row>
    <row r="1812" spans="6:9">
      <c r="F1812" s="12" t="s">
        <v>3228</v>
      </c>
      <c r="G1812" s="12" t="s">
        <v>159</v>
      </c>
      <c r="H1812" s="15">
        <v>139900</v>
      </c>
      <c r="I1812" s="13">
        <v>50</v>
      </c>
    </row>
    <row r="1813" spans="6:9">
      <c r="F1813" s="12" t="s">
        <v>3229</v>
      </c>
      <c r="G1813" s="12" t="s">
        <v>159</v>
      </c>
      <c r="H1813" s="15">
        <v>111300</v>
      </c>
      <c r="I1813" s="13">
        <v>50</v>
      </c>
    </row>
    <row r="1814" spans="6:9">
      <c r="F1814" s="12" t="s">
        <v>3230</v>
      </c>
      <c r="G1814" s="12" t="s">
        <v>159</v>
      </c>
      <c r="H1814" s="15">
        <v>35700</v>
      </c>
      <c r="I1814" s="13">
        <v>50</v>
      </c>
    </row>
    <row r="1815" spans="6:9">
      <c r="F1815" s="12" t="s">
        <v>3231</v>
      </c>
      <c r="G1815" s="12" t="s">
        <v>157</v>
      </c>
      <c r="H1815" s="15">
        <v>10342</v>
      </c>
      <c r="I1815" s="13">
        <v>50</v>
      </c>
    </row>
    <row r="1816" spans="6:9">
      <c r="F1816" s="12" t="s">
        <v>3232</v>
      </c>
      <c r="G1816" s="12" t="s">
        <v>157</v>
      </c>
      <c r="H1816" s="15">
        <v>21019</v>
      </c>
      <c r="I1816" s="13">
        <v>50</v>
      </c>
    </row>
    <row r="1817" spans="6:9">
      <c r="F1817" s="12" t="s">
        <v>3233</v>
      </c>
      <c r="G1817" s="12" t="s">
        <v>159</v>
      </c>
      <c r="H1817" s="15">
        <v>110200</v>
      </c>
      <c r="I1817" s="13">
        <v>50</v>
      </c>
    </row>
    <row r="1818" spans="6:9">
      <c r="F1818" s="12" t="s">
        <v>3234</v>
      </c>
      <c r="G1818" s="12" t="s">
        <v>157</v>
      </c>
      <c r="H1818" s="15">
        <v>20051</v>
      </c>
      <c r="I1818" s="13">
        <v>50</v>
      </c>
    </row>
    <row r="1819" spans="6:9">
      <c r="F1819" s="12" t="s">
        <v>3235</v>
      </c>
      <c r="G1819" s="12" t="s">
        <v>157</v>
      </c>
      <c r="H1819" s="15">
        <v>10959</v>
      </c>
      <c r="I1819" s="13">
        <v>50</v>
      </c>
    </row>
    <row r="1820" spans="6:9">
      <c r="F1820" s="12" t="s">
        <v>3236</v>
      </c>
      <c r="G1820" s="12" t="s">
        <v>159</v>
      </c>
      <c r="H1820" s="15">
        <v>16500</v>
      </c>
      <c r="I1820" s="13">
        <v>50</v>
      </c>
    </row>
    <row r="1821" spans="6:9">
      <c r="F1821" s="12" t="s">
        <v>3237</v>
      </c>
      <c r="G1821" s="12" t="s">
        <v>159</v>
      </c>
      <c r="H1821" s="15">
        <v>80500</v>
      </c>
      <c r="I1821" s="13">
        <v>50</v>
      </c>
    </row>
    <row r="1822" spans="6:9">
      <c r="F1822" s="12" t="s">
        <v>1288</v>
      </c>
      <c r="G1822" s="12" t="s">
        <v>157</v>
      </c>
      <c r="H1822" s="15">
        <v>34700</v>
      </c>
      <c r="I1822" s="13">
        <v>50</v>
      </c>
    </row>
    <row r="1823" spans="6:9">
      <c r="F1823" s="12" t="s">
        <v>3238</v>
      </c>
      <c r="G1823" s="12" t="s">
        <v>157</v>
      </c>
      <c r="H1823" s="15">
        <v>26915</v>
      </c>
      <c r="I1823" s="13">
        <v>50</v>
      </c>
    </row>
    <row r="1824" spans="6:9">
      <c r="F1824" s="12" t="s">
        <v>1290</v>
      </c>
      <c r="G1824" s="12" t="s">
        <v>157</v>
      </c>
      <c r="H1824" s="15">
        <v>10991</v>
      </c>
      <c r="I1824" s="13">
        <v>50</v>
      </c>
    </row>
    <row r="1825" spans="6:9">
      <c r="F1825" s="12" t="s">
        <v>3239</v>
      </c>
      <c r="G1825" s="12" t="s">
        <v>159</v>
      </c>
      <c r="H1825" s="15">
        <v>191100</v>
      </c>
      <c r="I1825" s="13">
        <v>50</v>
      </c>
    </row>
    <row r="1826" spans="6:9">
      <c r="F1826" s="12" t="s">
        <v>3240</v>
      </c>
      <c r="G1826" s="12" t="s">
        <v>159</v>
      </c>
      <c r="H1826" s="15">
        <v>10900</v>
      </c>
      <c r="I1826" s="13">
        <v>50</v>
      </c>
    </row>
    <row r="1827" spans="6:9">
      <c r="F1827" s="12" t="s">
        <v>3241</v>
      </c>
      <c r="G1827" s="12" t="s">
        <v>159</v>
      </c>
      <c r="H1827" s="15">
        <v>583400</v>
      </c>
      <c r="I1827" s="13">
        <v>50</v>
      </c>
    </row>
    <row r="1828" spans="6:9">
      <c r="F1828" s="12" t="s">
        <v>3242</v>
      </c>
      <c r="G1828" s="12" t="s">
        <v>157</v>
      </c>
      <c r="H1828" s="15">
        <v>34098</v>
      </c>
      <c r="I1828" s="13">
        <v>50</v>
      </c>
    </row>
    <row r="1829" spans="6:9">
      <c r="F1829" s="12" t="s">
        <v>3243</v>
      </c>
      <c r="G1829" s="12" t="s">
        <v>159</v>
      </c>
      <c r="H1829" s="15">
        <v>188000</v>
      </c>
      <c r="I1829" s="13">
        <v>50</v>
      </c>
    </row>
    <row r="1830" spans="6:9">
      <c r="F1830" s="12" t="s">
        <v>3244</v>
      </c>
      <c r="G1830" s="12" t="s">
        <v>159</v>
      </c>
      <c r="H1830" s="15">
        <v>11900</v>
      </c>
      <c r="I1830" s="13">
        <v>50</v>
      </c>
    </row>
    <row r="1831" spans="6:9">
      <c r="F1831" s="12" t="s">
        <v>3245</v>
      </c>
      <c r="G1831" s="12" t="s">
        <v>157</v>
      </c>
      <c r="H1831" s="15">
        <v>13495</v>
      </c>
      <c r="I1831" s="13">
        <v>50</v>
      </c>
    </row>
    <row r="1832" spans="6:9">
      <c r="F1832" s="12" t="s">
        <v>3246</v>
      </c>
      <c r="G1832" s="12" t="s">
        <v>157</v>
      </c>
      <c r="H1832" s="15">
        <v>21778</v>
      </c>
      <c r="I1832" s="13">
        <v>50</v>
      </c>
    </row>
    <row r="1833" spans="6:9">
      <c r="F1833" s="12" t="s">
        <v>3247</v>
      </c>
      <c r="G1833" s="12" t="s">
        <v>159</v>
      </c>
      <c r="H1833" s="15">
        <v>12800</v>
      </c>
      <c r="I1833" s="13">
        <v>50</v>
      </c>
    </row>
    <row r="1834" spans="6:9">
      <c r="F1834" s="12" t="s">
        <v>3248</v>
      </c>
      <c r="G1834" s="12" t="s">
        <v>157</v>
      </c>
      <c r="H1834" s="15">
        <v>17828</v>
      </c>
      <c r="I1834" s="13">
        <v>50</v>
      </c>
    </row>
    <row r="1835" spans="6:9">
      <c r="F1835" s="12" t="s">
        <v>1293</v>
      </c>
      <c r="G1835" s="12" t="s">
        <v>157</v>
      </c>
      <c r="H1835" s="15">
        <v>16741</v>
      </c>
      <c r="I1835" s="13">
        <v>50</v>
      </c>
    </row>
    <row r="1836" spans="6:9">
      <c r="F1836" s="12" t="s">
        <v>3249</v>
      </c>
      <c r="G1836" s="12" t="s">
        <v>159</v>
      </c>
      <c r="H1836" s="15">
        <v>344400</v>
      </c>
      <c r="I1836" s="13">
        <v>50</v>
      </c>
    </row>
    <row r="1837" spans="6:9">
      <c r="F1837" s="12" t="s">
        <v>3250</v>
      </c>
      <c r="G1837" s="12" t="s">
        <v>157</v>
      </c>
      <c r="H1837" s="15">
        <v>12781</v>
      </c>
      <c r="I1837" s="13">
        <v>50</v>
      </c>
    </row>
    <row r="1838" spans="6:9">
      <c r="F1838" s="12" t="s">
        <v>3251</v>
      </c>
      <c r="G1838" s="12" t="s">
        <v>159</v>
      </c>
      <c r="H1838" s="15">
        <v>80700</v>
      </c>
      <c r="I1838" s="13">
        <v>50</v>
      </c>
    </row>
    <row r="1839" spans="6:9">
      <c r="F1839" s="12" t="s">
        <v>3252</v>
      </c>
      <c r="G1839" s="12" t="s">
        <v>159</v>
      </c>
      <c r="H1839" s="15">
        <v>11700</v>
      </c>
      <c r="I1839" s="13">
        <v>50</v>
      </c>
    </row>
    <row r="1840" spans="6:9">
      <c r="F1840" s="12" t="s">
        <v>3253</v>
      </c>
      <c r="G1840" s="12" t="s">
        <v>159</v>
      </c>
      <c r="H1840" s="15">
        <v>10300</v>
      </c>
      <c r="I1840" s="13">
        <v>50</v>
      </c>
    </row>
    <row r="1841" spans="6:9">
      <c r="F1841" s="12" t="s">
        <v>3254</v>
      </c>
      <c r="G1841" s="12" t="s">
        <v>159</v>
      </c>
      <c r="H1841" s="15">
        <v>34100</v>
      </c>
      <c r="I1841" s="13">
        <v>50</v>
      </c>
    </row>
    <row r="1842" spans="6:9">
      <c r="F1842" s="12" t="s">
        <v>3255</v>
      </c>
      <c r="G1842" s="12" t="s">
        <v>159</v>
      </c>
      <c r="H1842" s="15">
        <v>79700</v>
      </c>
      <c r="I1842" s="13">
        <v>50</v>
      </c>
    </row>
    <row r="1843" spans="6:9">
      <c r="F1843" s="12" t="s">
        <v>3256</v>
      </c>
      <c r="G1843" s="12" t="s">
        <v>159</v>
      </c>
      <c r="H1843" s="15">
        <v>96000</v>
      </c>
      <c r="I1843" s="13">
        <v>50</v>
      </c>
    </row>
    <row r="1844" spans="6:9">
      <c r="F1844" s="12" t="s">
        <v>3257</v>
      </c>
      <c r="G1844" s="12" t="s">
        <v>157</v>
      </c>
      <c r="H1844" s="15">
        <v>10624</v>
      </c>
      <c r="I1844" s="13">
        <v>50</v>
      </c>
    </row>
    <row r="1845" spans="6:9">
      <c r="F1845" s="12" t="s">
        <v>3258</v>
      </c>
      <c r="G1845" s="12" t="s">
        <v>157</v>
      </c>
      <c r="H1845" s="15">
        <v>32331</v>
      </c>
      <c r="I1845" s="13">
        <v>50</v>
      </c>
    </row>
    <row r="1846" spans="6:9">
      <c r="F1846" s="12" t="s">
        <v>3259</v>
      </c>
      <c r="G1846" s="12" t="s">
        <v>157</v>
      </c>
      <c r="H1846" s="15">
        <v>31996</v>
      </c>
      <c r="I1846" s="13">
        <v>50</v>
      </c>
    </row>
    <row r="1847" spans="6:9">
      <c r="F1847" s="12" t="s">
        <v>1296</v>
      </c>
      <c r="G1847" s="12" t="s">
        <v>157</v>
      </c>
      <c r="H1847" s="15">
        <v>10996</v>
      </c>
      <c r="I1847" s="13">
        <v>50</v>
      </c>
    </row>
    <row r="1848" spans="6:9">
      <c r="F1848" s="12" t="s">
        <v>3260</v>
      </c>
      <c r="G1848" s="12" t="s">
        <v>157</v>
      </c>
      <c r="H1848" s="15">
        <v>17824</v>
      </c>
      <c r="I1848" s="13">
        <v>50</v>
      </c>
    </row>
    <row r="1849" spans="6:9">
      <c r="F1849" s="12" t="s">
        <v>1298</v>
      </c>
      <c r="G1849" s="12" t="s">
        <v>157</v>
      </c>
      <c r="H1849" s="15">
        <v>11670</v>
      </c>
      <c r="I1849" s="13">
        <v>50</v>
      </c>
    </row>
    <row r="1850" spans="6:9">
      <c r="F1850" s="12" t="s">
        <v>3261</v>
      </c>
      <c r="G1850" s="12" t="s">
        <v>157</v>
      </c>
      <c r="H1850" s="15">
        <v>11963</v>
      </c>
      <c r="I1850" s="13">
        <v>50</v>
      </c>
    </row>
    <row r="1851" spans="6:9">
      <c r="F1851" s="12" t="s">
        <v>1301</v>
      </c>
      <c r="G1851" s="12" t="s">
        <v>157</v>
      </c>
      <c r="H1851" s="15">
        <v>20681</v>
      </c>
      <c r="I1851" s="13">
        <v>50</v>
      </c>
    </row>
    <row r="1852" spans="6:9">
      <c r="F1852" s="12" t="s">
        <v>3262</v>
      </c>
      <c r="G1852" s="12" t="s">
        <v>159</v>
      </c>
      <c r="H1852" s="15">
        <v>11000</v>
      </c>
      <c r="I1852" s="13">
        <v>50</v>
      </c>
    </row>
    <row r="1853" spans="6:9">
      <c r="F1853" s="12" t="s">
        <v>1304</v>
      </c>
      <c r="G1853" s="12" t="s">
        <v>157</v>
      </c>
      <c r="H1853" s="15">
        <v>11924</v>
      </c>
      <c r="I1853" s="13">
        <v>50</v>
      </c>
    </row>
    <row r="1854" spans="6:9">
      <c r="F1854" s="12" t="s">
        <v>3263</v>
      </c>
      <c r="G1854" s="12" t="s">
        <v>157</v>
      </c>
      <c r="H1854" s="15">
        <v>10469</v>
      </c>
      <c r="I1854" s="13">
        <v>50</v>
      </c>
    </row>
    <row r="1855" spans="6:9">
      <c r="F1855" s="12" t="s">
        <v>3264</v>
      </c>
      <c r="G1855" s="12" t="s">
        <v>159</v>
      </c>
      <c r="H1855" s="15">
        <v>10800</v>
      </c>
      <c r="I1855" s="13">
        <v>50</v>
      </c>
    </row>
    <row r="1856" spans="6:9">
      <c r="F1856" s="12" t="s">
        <v>3265</v>
      </c>
      <c r="G1856" s="12" t="s">
        <v>159</v>
      </c>
      <c r="H1856" s="15">
        <v>10300</v>
      </c>
      <c r="I1856" s="13">
        <v>50</v>
      </c>
    </row>
    <row r="1857" spans="6:9">
      <c r="F1857" s="12" t="s">
        <v>3266</v>
      </c>
      <c r="G1857" s="12" t="s">
        <v>159</v>
      </c>
      <c r="H1857" s="15">
        <v>566600</v>
      </c>
      <c r="I1857" s="13">
        <v>50</v>
      </c>
    </row>
    <row r="1858" spans="6:9">
      <c r="F1858" s="12" t="s">
        <v>3267</v>
      </c>
      <c r="G1858" s="12" t="s">
        <v>157</v>
      </c>
      <c r="H1858" s="15">
        <v>27928</v>
      </c>
      <c r="I1858" s="13">
        <v>50</v>
      </c>
    </row>
    <row r="1859" spans="6:9">
      <c r="F1859" s="12" t="s">
        <v>3268</v>
      </c>
      <c r="G1859" s="12" t="s">
        <v>157</v>
      </c>
      <c r="H1859" s="15">
        <v>21361</v>
      </c>
      <c r="I1859" s="13">
        <v>50</v>
      </c>
    </row>
    <row r="1860" spans="6:9">
      <c r="F1860" s="12" t="s">
        <v>494</v>
      </c>
      <c r="G1860" s="12" t="s">
        <v>157</v>
      </c>
      <c r="H1860" s="15">
        <v>304680</v>
      </c>
      <c r="I1860" s="13">
        <v>50</v>
      </c>
    </row>
    <row r="1861" spans="6:9">
      <c r="F1861" s="12" t="s">
        <v>3269</v>
      </c>
      <c r="G1861" s="12" t="s">
        <v>159</v>
      </c>
      <c r="H1861" s="15">
        <v>64600</v>
      </c>
      <c r="I1861" s="13">
        <v>50</v>
      </c>
    </row>
    <row r="1862" spans="6:9">
      <c r="F1862" s="12" t="s">
        <v>1306</v>
      </c>
      <c r="G1862" s="12" t="s">
        <v>157</v>
      </c>
      <c r="H1862" s="15">
        <v>15911</v>
      </c>
      <c r="I1862" s="13">
        <v>50</v>
      </c>
    </row>
    <row r="1863" spans="6:9">
      <c r="F1863" s="12" t="s">
        <v>3270</v>
      </c>
      <c r="G1863" s="12" t="s">
        <v>159</v>
      </c>
      <c r="H1863" s="15">
        <v>511800</v>
      </c>
      <c r="I1863" s="13">
        <v>50</v>
      </c>
    </row>
    <row r="1864" spans="6:9">
      <c r="F1864" s="12" t="s">
        <v>3271</v>
      </c>
      <c r="G1864" s="12" t="s">
        <v>159</v>
      </c>
      <c r="H1864" s="15">
        <v>80800</v>
      </c>
      <c r="I1864" s="13">
        <v>50</v>
      </c>
    </row>
    <row r="1865" spans="6:9">
      <c r="F1865" s="12" t="s">
        <v>3272</v>
      </c>
      <c r="G1865" s="12" t="s">
        <v>159</v>
      </c>
      <c r="H1865" s="15">
        <v>1100000</v>
      </c>
      <c r="I1865" s="13">
        <v>50</v>
      </c>
    </row>
    <row r="1866" spans="6:9">
      <c r="F1866" s="12" t="s">
        <v>3273</v>
      </c>
      <c r="G1866" s="12" t="s">
        <v>159</v>
      </c>
      <c r="H1866" s="15">
        <v>10600</v>
      </c>
      <c r="I1866" s="13">
        <v>50</v>
      </c>
    </row>
    <row r="1867" spans="6:9">
      <c r="F1867" s="12" t="s">
        <v>3274</v>
      </c>
      <c r="G1867" s="12" t="s">
        <v>159</v>
      </c>
      <c r="H1867" s="15">
        <v>50000</v>
      </c>
      <c r="I1867" s="13">
        <v>50</v>
      </c>
    </row>
    <row r="1868" spans="6:9">
      <c r="F1868" s="12" t="s">
        <v>3275</v>
      </c>
      <c r="G1868" s="12" t="s">
        <v>159</v>
      </c>
      <c r="H1868" s="15">
        <v>11600</v>
      </c>
      <c r="I1868" s="13">
        <v>50</v>
      </c>
    </row>
    <row r="1869" spans="6:9">
      <c r="F1869" s="12" t="s">
        <v>3276</v>
      </c>
      <c r="G1869" s="12" t="s">
        <v>157</v>
      </c>
      <c r="H1869" s="15">
        <v>11789</v>
      </c>
      <c r="I1869" s="13">
        <v>50</v>
      </c>
    </row>
    <row r="1870" spans="6:9">
      <c r="F1870" s="12" t="s">
        <v>3277</v>
      </c>
      <c r="G1870" s="12" t="s">
        <v>159</v>
      </c>
      <c r="H1870" s="15">
        <v>63800</v>
      </c>
      <c r="I1870" s="13">
        <v>50</v>
      </c>
    </row>
    <row r="1871" spans="6:9">
      <c r="F1871" s="12" t="s">
        <v>1309</v>
      </c>
      <c r="G1871" s="12" t="s">
        <v>157</v>
      </c>
      <c r="H1871" s="15">
        <v>30179</v>
      </c>
      <c r="I1871" s="13">
        <v>50</v>
      </c>
    </row>
    <row r="1872" spans="6:9">
      <c r="F1872" s="12" t="s">
        <v>3278</v>
      </c>
      <c r="G1872" s="12" t="s">
        <v>159</v>
      </c>
      <c r="H1872" s="15">
        <v>46400</v>
      </c>
      <c r="I1872" s="13">
        <v>50</v>
      </c>
    </row>
    <row r="1873" spans="6:9">
      <c r="F1873" s="12" t="s">
        <v>3279</v>
      </c>
      <c r="G1873" s="12" t="s">
        <v>157</v>
      </c>
      <c r="H1873" s="15">
        <v>23986</v>
      </c>
      <c r="I1873" s="13">
        <v>50</v>
      </c>
    </row>
    <row r="1874" spans="6:9">
      <c r="F1874" s="12" t="s">
        <v>3280</v>
      </c>
      <c r="G1874" s="12" t="s">
        <v>159</v>
      </c>
      <c r="H1874" s="15">
        <v>1575418</v>
      </c>
      <c r="I1874" s="13">
        <v>50</v>
      </c>
    </row>
    <row r="1875" spans="6:9">
      <c r="F1875" s="12" t="s">
        <v>3281</v>
      </c>
      <c r="G1875" s="12" t="s">
        <v>159</v>
      </c>
      <c r="H1875" s="15">
        <v>196500</v>
      </c>
      <c r="I1875" s="13">
        <v>50</v>
      </c>
    </row>
    <row r="1876" spans="6:9">
      <c r="F1876" s="12" t="s">
        <v>3282</v>
      </c>
      <c r="G1876" s="12" t="s">
        <v>157</v>
      </c>
      <c r="H1876" s="15">
        <v>10613</v>
      </c>
      <c r="I1876" s="13">
        <v>50</v>
      </c>
    </row>
    <row r="1877" spans="6:9">
      <c r="F1877" s="12" t="s">
        <v>3283</v>
      </c>
      <c r="G1877" s="12" t="s">
        <v>159</v>
      </c>
      <c r="H1877" s="15">
        <v>13700</v>
      </c>
      <c r="I1877" s="13">
        <v>50</v>
      </c>
    </row>
    <row r="1878" spans="6:9">
      <c r="F1878" s="12" t="s">
        <v>1312</v>
      </c>
      <c r="G1878" s="12" t="s">
        <v>157</v>
      </c>
      <c r="H1878" s="15">
        <v>11441</v>
      </c>
      <c r="I1878" s="13">
        <v>50</v>
      </c>
    </row>
    <row r="1879" spans="6:9">
      <c r="F1879" s="12" t="s">
        <v>1315</v>
      </c>
      <c r="G1879" s="12" t="s">
        <v>157</v>
      </c>
      <c r="H1879" s="15">
        <v>13158</v>
      </c>
      <c r="I1879" s="13">
        <v>50</v>
      </c>
    </row>
    <row r="1880" spans="6:9">
      <c r="F1880" s="12" t="s">
        <v>1318</v>
      </c>
      <c r="G1880" s="12" t="s">
        <v>157</v>
      </c>
      <c r="H1880" s="15">
        <v>11782</v>
      </c>
      <c r="I1880" s="13">
        <v>50</v>
      </c>
    </row>
    <row r="1881" spans="6:9">
      <c r="F1881" s="12" t="s">
        <v>3284</v>
      </c>
      <c r="G1881" s="12" t="s">
        <v>159</v>
      </c>
      <c r="H1881" s="15">
        <v>10700</v>
      </c>
      <c r="I1881" s="13">
        <v>50</v>
      </c>
    </row>
    <row r="1882" spans="6:9">
      <c r="F1882" s="12" t="s">
        <v>1321</v>
      </c>
      <c r="G1882" s="12" t="s">
        <v>157</v>
      </c>
      <c r="H1882" s="15">
        <v>10045</v>
      </c>
      <c r="I1882" s="13">
        <v>50</v>
      </c>
    </row>
    <row r="1883" spans="6:9">
      <c r="F1883" s="12" t="s">
        <v>3285</v>
      </c>
      <c r="G1883" s="12" t="s">
        <v>159</v>
      </c>
      <c r="H1883" s="15">
        <v>53100</v>
      </c>
      <c r="I1883" s="13">
        <v>50</v>
      </c>
    </row>
    <row r="1884" spans="6:9">
      <c r="F1884" s="12" t="s">
        <v>1324</v>
      </c>
      <c r="G1884" s="12" t="s">
        <v>157</v>
      </c>
      <c r="H1884" s="15">
        <v>20560</v>
      </c>
      <c r="I1884" s="13">
        <v>50</v>
      </c>
    </row>
    <row r="1885" spans="6:9">
      <c r="F1885" s="12" t="s">
        <v>1326</v>
      </c>
      <c r="G1885" s="12" t="s">
        <v>157</v>
      </c>
      <c r="H1885" s="15">
        <v>12674</v>
      </c>
      <c r="I1885" s="13">
        <v>50</v>
      </c>
    </row>
    <row r="1886" spans="6:9">
      <c r="F1886" s="12" t="s">
        <v>1328</v>
      </c>
      <c r="G1886" s="12" t="s">
        <v>157</v>
      </c>
      <c r="H1886" s="15">
        <v>26259</v>
      </c>
      <c r="I1886" s="13">
        <v>50</v>
      </c>
    </row>
    <row r="1887" spans="6:9">
      <c r="F1887" s="12" t="s">
        <v>1331</v>
      </c>
      <c r="G1887" s="12" t="s">
        <v>157</v>
      </c>
      <c r="H1887" s="15">
        <v>17675</v>
      </c>
      <c r="I1887" s="13">
        <v>50</v>
      </c>
    </row>
    <row r="1888" spans="6:9">
      <c r="F1888" s="12" t="s">
        <v>1334</v>
      </c>
      <c r="G1888" s="12" t="s">
        <v>157</v>
      </c>
      <c r="H1888" s="15">
        <v>17500</v>
      </c>
      <c r="I1888" s="13">
        <v>50</v>
      </c>
    </row>
    <row r="1889" spans="6:9">
      <c r="F1889" s="12" t="s">
        <v>1337</v>
      </c>
      <c r="G1889" s="12" t="s">
        <v>157</v>
      </c>
      <c r="H1889" s="15">
        <v>10735</v>
      </c>
      <c r="I1889" s="13">
        <v>50</v>
      </c>
    </row>
    <row r="1890" spans="6:9">
      <c r="F1890" s="12" t="s">
        <v>3286</v>
      </c>
      <c r="G1890" s="12" t="s">
        <v>157</v>
      </c>
      <c r="H1890" s="15">
        <v>30234</v>
      </c>
      <c r="I1890" s="13">
        <v>50</v>
      </c>
    </row>
    <row r="1891" spans="6:9">
      <c r="F1891" s="12" t="s">
        <v>1340</v>
      </c>
      <c r="G1891" s="12" t="s">
        <v>157</v>
      </c>
      <c r="H1891" s="15">
        <v>15137</v>
      </c>
      <c r="I1891" s="13">
        <v>50</v>
      </c>
    </row>
    <row r="1892" spans="6:9">
      <c r="F1892" s="12" t="s">
        <v>1343</v>
      </c>
      <c r="G1892" s="12" t="s">
        <v>157</v>
      </c>
      <c r="H1892" s="15">
        <v>11385</v>
      </c>
      <c r="I1892" s="13">
        <v>50</v>
      </c>
    </row>
    <row r="1893" spans="6:9">
      <c r="F1893" s="12" t="s">
        <v>3287</v>
      </c>
      <c r="G1893" s="12" t="s">
        <v>159</v>
      </c>
      <c r="H1893" s="15">
        <v>20600</v>
      </c>
      <c r="I1893" s="13">
        <v>50</v>
      </c>
    </row>
    <row r="1894" spans="6:9">
      <c r="F1894" s="12" t="s">
        <v>3288</v>
      </c>
      <c r="G1894" s="12" t="s">
        <v>157</v>
      </c>
      <c r="H1894" s="15">
        <v>11918</v>
      </c>
      <c r="I1894" s="13">
        <v>50</v>
      </c>
    </row>
    <row r="1895" spans="6:9">
      <c r="F1895" s="12" t="s">
        <v>1346</v>
      </c>
      <c r="G1895" s="12" t="s">
        <v>157</v>
      </c>
      <c r="H1895" s="15">
        <v>12174</v>
      </c>
      <c r="I1895" s="13">
        <v>50</v>
      </c>
    </row>
    <row r="1896" spans="6:9">
      <c r="F1896" s="12" t="s">
        <v>3289</v>
      </c>
      <c r="G1896" s="12" t="s">
        <v>157</v>
      </c>
      <c r="H1896" s="15">
        <v>18197</v>
      </c>
      <c r="I1896" s="13">
        <v>50</v>
      </c>
    </row>
    <row r="1897" spans="6:9">
      <c r="F1897" s="12" t="s">
        <v>1348</v>
      </c>
      <c r="G1897" s="12" t="s">
        <v>157</v>
      </c>
      <c r="H1897" s="15">
        <v>14288</v>
      </c>
      <c r="I1897" s="13">
        <v>50</v>
      </c>
    </row>
    <row r="1898" spans="6:9">
      <c r="F1898" s="12" t="s">
        <v>1351</v>
      </c>
      <c r="G1898" s="12" t="s">
        <v>157</v>
      </c>
      <c r="H1898" s="15">
        <v>10977</v>
      </c>
      <c r="I1898" s="13">
        <v>50</v>
      </c>
    </row>
    <row r="1899" spans="6:9">
      <c r="F1899" s="12" t="s">
        <v>1354</v>
      </c>
      <c r="G1899" s="12" t="s">
        <v>157</v>
      </c>
      <c r="H1899" s="15">
        <v>25400</v>
      </c>
      <c r="I1899" s="13">
        <v>50</v>
      </c>
    </row>
    <row r="1900" spans="6:9">
      <c r="F1900" s="12" t="s">
        <v>3290</v>
      </c>
      <c r="G1900" s="12" t="s">
        <v>159</v>
      </c>
      <c r="H1900" s="15">
        <v>24300</v>
      </c>
      <c r="I1900" s="13">
        <v>50</v>
      </c>
    </row>
    <row r="1901" spans="6:9">
      <c r="F1901" s="12" t="s">
        <v>3291</v>
      </c>
      <c r="G1901" s="12" t="s">
        <v>157</v>
      </c>
      <c r="H1901" s="15">
        <v>34738</v>
      </c>
      <c r="I1901" s="13">
        <v>50</v>
      </c>
    </row>
    <row r="1902" spans="6:9">
      <c r="F1902" s="12" t="s">
        <v>1357</v>
      </c>
      <c r="G1902" s="12" t="s">
        <v>157</v>
      </c>
      <c r="H1902" s="15">
        <v>22126</v>
      </c>
      <c r="I1902" s="13">
        <v>50</v>
      </c>
    </row>
    <row r="1903" spans="6:9">
      <c r="F1903" s="12" t="s">
        <v>3292</v>
      </c>
      <c r="G1903" s="12" t="s">
        <v>157</v>
      </c>
      <c r="H1903" s="15">
        <v>10210</v>
      </c>
      <c r="I1903" s="13">
        <v>50</v>
      </c>
    </row>
    <row r="1904" spans="6:9">
      <c r="F1904" s="12" t="s">
        <v>3293</v>
      </c>
      <c r="G1904" s="12" t="s">
        <v>159</v>
      </c>
      <c r="H1904" s="15">
        <v>614000</v>
      </c>
      <c r="I1904" s="13">
        <v>50</v>
      </c>
    </row>
    <row r="1905" spans="6:9">
      <c r="F1905" s="12" t="s">
        <v>3294</v>
      </c>
      <c r="G1905" s="12" t="s">
        <v>159</v>
      </c>
      <c r="H1905" s="15">
        <v>1456624</v>
      </c>
      <c r="I1905" s="13">
        <v>50</v>
      </c>
    </row>
    <row r="1906" spans="6:9">
      <c r="F1906" s="12" t="s">
        <v>1360</v>
      </c>
      <c r="G1906" s="12" t="s">
        <v>157</v>
      </c>
      <c r="H1906" s="15">
        <v>22193</v>
      </c>
      <c r="I1906" s="13">
        <v>50</v>
      </c>
    </row>
    <row r="1907" spans="6:9">
      <c r="F1907" s="12" t="s">
        <v>3295</v>
      </c>
      <c r="G1907" s="12" t="s">
        <v>159</v>
      </c>
      <c r="H1907" s="15">
        <v>60147</v>
      </c>
      <c r="I1907" s="13">
        <v>50</v>
      </c>
    </row>
    <row r="1908" spans="6:9">
      <c r="F1908" s="12" t="s">
        <v>3296</v>
      </c>
      <c r="G1908" s="12" t="s">
        <v>157</v>
      </c>
      <c r="H1908" s="15">
        <v>11033</v>
      </c>
      <c r="I1908" s="13">
        <v>50</v>
      </c>
    </row>
    <row r="1909" spans="6:9">
      <c r="F1909" s="12" t="s">
        <v>3297</v>
      </c>
      <c r="G1909" s="12" t="s">
        <v>159</v>
      </c>
      <c r="H1909" s="15">
        <v>11300</v>
      </c>
      <c r="I1909" s="13">
        <v>50</v>
      </c>
    </row>
    <row r="1910" spans="6:9">
      <c r="F1910" s="12" t="s">
        <v>3298</v>
      </c>
      <c r="G1910" s="12" t="s">
        <v>159</v>
      </c>
      <c r="H1910" s="15">
        <v>42100</v>
      </c>
      <c r="I1910" s="13">
        <v>50</v>
      </c>
    </row>
    <row r="1911" spans="6:9">
      <c r="F1911" s="12" t="s">
        <v>903</v>
      </c>
      <c r="G1911" s="12" t="s">
        <v>157</v>
      </c>
      <c r="H1911" s="15">
        <v>570281</v>
      </c>
      <c r="I1911" s="13">
        <v>50</v>
      </c>
    </row>
    <row r="1912" spans="6:9">
      <c r="F1912" s="12" t="s">
        <v>3299</v>
      </c>
      <c r="G1912" s="12" t="s">
        <v>157</v>
      </c>
      <c r="H1912" s="15">
        <v>15478</v>
      </c>
      <c r="I1912" s="13">
        <v>50</v>
      </c>
    </row>
    <row r="1913" spans="6:9">
      <c r="F1913" s="12" t="s">
        <v>3300</v>
      </c>
      <c r="G1913" s="12" t="s">
        <v>159</v>
      </c>
      <c r="H1913" s="15">
        <v>10300</v>
      </c>
      <c r="I1913" s="13">
        <v>50</v>
      </c>
    </row>
    <row r="1914" spans="6:9">
      <c r="F1914" s="12" t="s">
        <v>3301</v>
      </c>
      <c r="G1914" s="12" t="s">
        <v>159</v>
      </c>
      <c r="H1914" s="15">
        <v>13700</v>
      </c>
      <c r="I1914" s="13">
        <v>50</v>
      </c>
    </row>
    <row r="1915" spans="6:9">
      <c r="F1915" s="12" t="s">
        <v>3302</v>
      </c>
      <c r="G1915" s="12" t="s">
        <v>157</v>
      </c>
      <c r="H1915" s="15">
        <v>30003</v>
      </c>
      <c r="I1915" s="13">
        <v>50</v>
      </c>
    </row>
    <row r="1916" spans="6:9">
      <c r="F1916" s="12" t="s">
        <v>1364</v>
      </c>
      <c r="G1916" s="12" t="s">
        <v>157</v>
      </c>
      <c r="H1916" s="15">
        <v>11766</v>
      </c>
      <c r="I1916" s="13">
        <v>50</v>
      </c>
    </row>
    <row r="1917" spans="6:9">
      <c r="F1917" s="12" t="s">
        <v>3303</v>
      </c>
      <c r="G1917" s="12" t="s">
        <v>159</v>
      </c>
      <c r="H1917" s="15">
        <v>13300</v>
      </c>
      <c r="I1917" s="13">
        <v>50</v>
      </c>
    </row>
    <row r="1918" spans="6:9">
      <c r="F1918" s="12" t="s">
        <v>3304</v>
      </c>
      <c r="G1918" s="12" t="s">
        <v>159</v>
      </c>
      <c r="H1918" s="15">
        <v>358400</v>
      </c>
      <c r="I1918" s="13">
        <v>50</v>
      </c>
    </row>
    <row r="1919" spans="6:9">
      <c r="F1919" s="12" t="s">
        <v>3305</v>
      </c>
      <c r="G1919" s="12" t="s">
        <v>159</v>
      </c>
      <c r="H1919" s="15">
        <v>480200</v>
      </c>
      <c r="I1919" s="13">
        <v>50</v>
      </c>
    </row>
    <row r="1920" spans="6:9">
      <c r="F1920" s="12" t="s">
        <v>3306</v>
      </c>
      <c r="G1920" s="12" t="s">
        <v>157</v>
      </c>
      <c r="H1920" s="15">
        <v>14672</v>
      </c>
      <c r="I1920" s="13">
        <v>50</v>
      </c>
    </row>
    <row r="1921" spans="6:9">
      <c r="F1921" s="12" t="s">
        <v>3307</v>
      </c>
      <c r="G1921" s="12" t="s">
        <v>159</v>
      </c>
      <c r="H1921" s="15">
        <v>12700</v>
      </c>
      <c r="I1921" s="13">
        <v>50</v>
      </c>
    </row>
    <row r="1922" spans="6:9">
      <c r="F1922" s="12" t="s">
        <v>1367</v>
      </c>
      <c r="G1922" s="12" t="s">
        <v>157</v>
      </c>
      <c r="H1922" s="15">
        <v>24442</v>
      </c>
      <c r="I1922" s="13">
        <v>50</v>
      </c>
    </row>
    <row r="1923" spans="6:9">
      <c r="F1923" s="12" t="s">
        <v>3308</v>
      </c>
      <c r="G1923" s="12" t="s">
        <v>159</v>
      </c>
      <c r="H1923" s="15">
        <v>53600</v>
      </c>
      <c r="I1923" s="13">
        <v>50</v>
      </c>
    </row>
    <row r="1924" spans="6:9">
      <c r="F1924" s="12" t="s">
        <v>3309</v>
      </c>
      <c r="G1924" s="12" t="s">
        <v>159</v>
      </c>
      <c r="H1924" s="15">
        <v>152600</v>
      </c>
      <c r="I1924" s="13">
        <v>50</v>
      </c>
    </row>
    <row r="1925" spans="6:9">
      <c r="F1925" s="12" t="s">
        <v>3310</v>
      </c>
      <c r="G1925" s="12" t="s">
        <v>159</v>
      </c>
      <c r="H1925" s="15">
        <v>28900</v>
      </c>
      <c r="I1925" s="13">
        <v>50</v>
      </c>
    </row>
    <row r="1926" spans="6:9">
      <c r="F1926" s="12" t="s">
        <v>3311</v>
      </c>
      <c r="G1926" s="12" t="s">
        <v>159</v>
      </c>
      <c r="H1926" s="15">
        <v>101100</v>
      </c>
      <c r="I1926" s="13">
        <v>50</v>
      </c>
    </row>
    <row r="1927" spans="6:9">
      <c r="F1927" s="12" t="s">
        <v>3312</v>
      </c>
      <c r="G1927" s="12" t="s">
        <v>157</v>
      </c>
      <c r="H1927" s="15">
        <v>74724</v>
      </c>
      <c r="I1927" s="13">
        <v>50</v>
      </c>
    </row>
    <row r="1928" spans="6:9">
      <c r="F1928" s="12" t="s">
        <v>3313</v>
      </c>
      <c r="G1928" s="12" t="s">
        <v>157</v>
      </c>
      <c r="H1928" s="15">
        <v>11095</v>
      </c>
      <c r="I1928" s="13">
        <v>50</v>
      </c>
    </row>
    <row r="1929" spans="6:9">
      <c r="F1929" s="12" t="s">
        <v>3314</v>
      </c>
      <c r="G1929" s="12" t="s">
        <v>157</v>
      </c>
      <c r="H1929" s="15">
        <v>19613</v>
      </c>
      <c r="I1929" s="13">
        <v>50</v>
      </c>
    </row>
    <row r="1930" spans="6:9">
      <c r="F1930" s="12" t="s">
        <v>3315</v>
      </c>
      <c r="G1930" s="12" t="s">
        <v>157</v>
      </c>
      <c r="H1930" s="15">
        <v>19955</v>
      </c>
      <c r="I1930" s="13">
        <v>50</v>
      </c>
    </row>
    <row r="1931" spans="6:9">
      <c r="F1931" s="12" t="s">
        <v>3316</v>
      </c>
      <c r="G1931" s="12" t="s">
        <v>157</v>
      </c>
      <c r="H1931" s="15">
        <v>11473</v>
      </c>
      <c r="I1931" s="13">
        <v>50</v>
      </c>
    </row>
    <row r="1932" spans="6:9">
      <c r="F1932" s="12" t="s">
        <v>3317</v>
      </c>
      <c r="G1932" s="12" t="s">
        <v>159</v>
      </c>
      <c r="H1932" s="15">
        <v>94100</v>
      </c>
      <c r="I1932" s="13">
        <v>50</v>
      </c>
    </row>
    <row r="1933" spans="6:9">
      <c r="F1933" s="12" t="s">
        <v>3318</v>
      </c>
      <c r="G1933" s="12" t="s">
        <v>159</v>
      </c>
      <c r="H1933" s="15">
        <v>31900</v>
      </c>
      <c r="I1933" s="13">
        <v>50</v>
      </c>
    </row>
    <row r="1934" spans="6:9">
      <c r="F1934" s="12" t="s">
        <v>3319</v>
      </c>
      <c r="G1934" s="12" t="s">
        <v>159</v>
      </c>
      <c r="H1934" s="15">
        <v>34600</v>
      </c>
      <c r="I1934" s="13">
        <v>50</v>
      </c>
    </row>
    <row r="1935" spans="6:9">
      <c r="F1935" s="12" t="s">
        <v>3320</v>
      </c>
      <c r="G1935" s="12" t="s">
        <v>159</v>
      </c>
      <c r="H1935" s="15">
        <v>26200</v>
      </c>
      <c r="I1935" s="13">
        <v>50</v>
      </c>
    </row>
    <row r="1936" spans="6:9">
      <c r="F1936" s="12" t="s">
        <v>3321</v>
      </c>
      <c r="G1936" s="12" t="s">
        <v>159</v>
      </c>
      <c r="H1936" s="15">
        <v>17600</v>
      </c>
      <c r="I1936" s="13">
        <v>50</v>
      </c>
    </row>
    <row r="1937" spans="6:9">
      <c r="F1937" s="12" t="s">
        <v>3322</v>
      </c>
      <c r="G1937" s="12" t="s">
        <v>159</v>
      </c>
      <c r="H1937" s="15">
        <v>261100</v>
      </c>
      <c r="I1937" s="13">
        <v>50</v>
      </c>
    </row>
    <row r="1938" spans="6:9">
      <c r="F1938" s="12" t="s">
        <v>3323</v>
      </c>
      <c r="G1938" s="12" t="s">
        <v>157</v>
      </c>
      <c r="H1938" s="15">
        <v>14494</v>
      </c>
      <c r="I1938" s="13">
        <v>50</v>
      </c>
    </row>
    <row r="1939" spans="6:9">
      <c r="F1939" s="12" t="s">
        <v>1373</v>
      </c>
      <c r="G1939" s="12" t="s">
        <v>157</v>
      </c>
      <c r="H1939" s="15">
        <v>11636</v>
      </c>
      <c r="I1939" s="13">
        <v>50</v>
      </c>
    </row>
    <row r="1940" spans="6:9">
      <c r="F1940" s="12" t="s">
        <v>1376</v>
      </c>
      <c r="G1940" s="12" t="s">
        <v>157</v>
      </c>
      <c r="H1940" s="15">
        <v>20698</v>
      </c>
      <c r="I1940" s="13">
        <v>50</v>
      </c>
    </row>
    <row r="1941" spans="6:9">
      <c r="F1941" s="12" t="s">
        <v>3324</v>
      </c>
      <c r="G1941" s="12" t="s">
        <v>159</v>
      </c>
      <c r="H1941" s="15">
        <v>17200</v>
      </c>
      <c r="I1941" s="13">
        <v>50</v>
      </c>
    </row>
    <row r="1942" spans="6:9">
      <c r="F1942" s="12" t="s">
        <v>3325</v>
      </c>
      <c r="G1942" s="12" t="s">
        <v>159</v>
      </c>
      <c r="H1942" s="15">
        <v>17700</v>
      </c>
      <c r="I1942" s="13">
        <v>50</v>
      </c>
    </row>
    <row r="1943" spans="6:9">
      <c r="F1943" s="12" t="s">
        <v>3326</v>
      </c>
      <c r="G1943" s="12" t="s">
        <v>159</v>
      </c>
      <c r="H1943" s="15">
        <v>1200000</v>
      </c>
      <c r="I1943" s="13">
        <v>50</v>
      </c>
    </row>
    <row r="1944" spans="6:9">
      <c r="F1944" s="12" t="s">
        <v>3327</v>
      </c>
      <c r="G1944" s="12" t="s">
        <v>159</v>
      </c>
      <c r="H1944" s="15">
        <v>170100</v>
      </c>
      <c r="I1944" s="13">
        <v>50</v>
      </c>
    </row>
    <row r="1945" spans="6:9">
      <c r="F1945" s="12" t="s">
        <v>1379</v>
      </c>
      <c r="G1945" s="12" t="s">
        <v>157</v>
      </c>
      <c r="H1945" s="15">
        <v>14990</v>
      </c>
      <c r="I1945" s="13">
        <v>50</v>
      </c>
    </row>
    <row r="1946" spans="6:9">
      <c r="F1946" s="12" t="s">
        <v>3328</v>
      </c>
      <c r="G1946" s="12" t="s">
        <v>159</v>
      </c>
      <c r="H1946" s="15">
        <v>212300</v>
      </c>
      <c r="I1946" s="13">
        <v>50</v>
      </c>
    </row>
    <row r="1947" spans="6:9">
      <c r="F1947" s="12" t="s">
        <v>3329</v>
      </c>
      <c r="G1947" s="12" t="s">
        <v>157</v>
      </c>
      <c r="H1947" s="15">
        <v>41555</v>
      </c>
      <c r="I1947" s="13">
        <v>50</v>
      </c>
    </row>
    <row r="1948" spans="6:9">
      <c r="F1948" s="12" t="s">
        <v>3330</v>
      </c>
      <c r="G1948" s="12" t="s">
        <v>159</v>
      </c>
      <c r="H1948" s="15">
        <v>61800</v>
      </c>
      <c r="I1948" s="13">
        <v>50</v>
      </c>
    </row>
    <row r="1949" spans="6:9">
      <c r="F1949" s="12" t="s">
        <v>1382</v>
      </c>
      <c r="G1949" s="12" t="s">
        <v>157</v>
      </c>
      <c r="H1949" s="15">
        <v>11687</v>
      </c>
      <c r="I1949" s="13">
        <v>50</v>
      </c>
    </row>
    <row r="1950" spans="6:9">
      <c r="F1950" s="12" t="s">
        <v>3331</v>
      </c>
      <c r="G1950" s="12" t="s">
        <v>159</v>
      </c>
      <c r="H1950" s="15">
        <v>12800</v>
      </c>
      <c r="I1950" s="13">
        <v>50</v>
      </c>
    </row>
    <row r="1951" spans="6:9">
      <c r="F1951" s="12" t="s">
        <v>3332</v>
      </c>
      <c r="G1951" s="12" t="s">
        <v>159</v>
      </c>
      <c r="H1951" s="15">
        <v>68200</v>
      </c>
      <c r="I1951" s="13">
        <v>50</v>
      </c>
    </row>
    <row r="1952" spans="6:9">
      <c r="F1952" s="12" t="s">
        <v>3333</v>
      </c>
      <c r="G1952" s="12" t="s">
        <v>159</v>
      </c>
      <c r="H1952" s="15">
        <v>17500</v>
      </c>
      <c r="I1952" s="13">
        <v>50</v>
      </c>
    </row>
    <row r="1953" spans="6:9">
      <c r="F1953" s="12" t="s">
        <v>1385</v>
      </c>
      <c r="G1953" s="12" t="s">
        <v>157</v>
      </c>
      <c r="H1953" s="15">
        <v>20655</v>
      </c>
      <c r="I1953" s="13">
        <v>50</v>
      </c>
    </row>
    <row r="1954" spans="6:9">
      <c r="F1954" s="12" t="s">
        <v>3334</v>
      </c>
      <c r="G1954" s="12" t="s">
        <v>157</v>
      </c>
      <c r="H1954" s="15">
        <v>48120</v>
      </c>
      <c r="I1954" s="13">
        <v>50</v>
      </c>
    </row>
    <row r="1955" spans="6:9">
      <c r="F1955" s="12" t="s">
        <v>3335</v>
      </c>
      <c r="G1955" s="12" t="s">
        <v>159</v>
      </c>
      <c r="H1955" s="15">
        <v>20800</v>
      </c>
      <c r="I1955" s="13">
        <v>50</v>
      </c>
    </row>
    <row r="1956" spans="6:9">
      <c r="F1956" s="12" t="s">
        <v>1388</v>
      </c>
      <c r="G1956" s="12" t="s">
        <v>157</v>
      </c>
      <c r="H1956" s="15">
        <v>32719</v>
      </c>
      <c r="I1956" s="13">
        <v>50</v>
      </c>
    </row>
    <row r="1957" spans="6:9">
      <c r="F1957" s="12" t="s">
        <v>3336</v>
      </c>
      <c r="G1957" s="12" t="s">
        <v>159</v>
      </c>
      <c r="H1957" s="15">
        <v>160800</v>
      </c>
      <c r="I1957" s="13">
        <v>50</v>
      </c>
    </row>
    <row r="1958" spans="6:9">
      <c r="F1958" s="12" t="s">
        <v>3337</v>
      </c>
      <c r="G1958" s="12" t="s">
        <v>159</v>
      </c>
      <c r="H1958" s="15">
        <v>65300</v>
      </c>
      <c r="I1958" s="13">
        <v>50</v>
      </c>
    </row>
    <row r="1959" spans="6:9">
      <c r="F1959" s="12" t="s">
        <v>3338</v>
      </c>
      <c r="G1959" s="12" t="s">
        <v>159</v>
      </c>
      <c r="H1959" s="15">
        <v>13900</v>
      </c>
      <c r="I1959" s="13">
        <v>50</v>
      </c>
    </row>
    <row r="1960" spans="6:9">
      <c r="F1960" s="12" t="s">
        <v>3339</v>
      </c>
      <c r="G1960" s="12" t="s">
        <v>159</v>
      </c>
      <c r="H1960" s="15">
        <v>37100</v>
      </c>
      <c r="I1960" s="13">
        <v>50</v>
      </c>
    </row>
    <row r="1961" spans="6:9">
      <c r="F1961" s="12" t="s">
        <v>3340</v>
      </c>
      <c r="G1961" s="12" t="s">
        <v>159</v>
      </c>
      <c r="H1961" s="15">
        <v>49100</v>
      </c>
      <c r="I1961" s="13">
        <v>50</v>
      </c>
    </row>
    <row r="1962" spans="6:9">
      <c r="F1962" s="12" t="s">
        <v>3341</v>
      </c>
      <c r="G1962" s="12" t="s">
        <v>159</v>
      </c>
      <c r="H1962" s="15">
        <v>1500000</v>
      </c>
      <c r="I1962" s="13">
        <v>50</v>
      </c>
    </row>
    <row r="1963" spans="6:9">
      <c r="F1963" s="12" t="s">
        <v>1391</v>
      </c>
      <c r="G1963" s="12" t="s">
        <v>157</v>
      </c>
      <c r="H1963" s="15">
        <v>29465</v>
      </c>
      <c r="I1963" s="13">
        <v>50</v>
      </c>
    </row>
    <row r="1964" spans="6:9">
      <c r="F1964" s="12" t="s">
        <v>3342</v>
      </c>
      <c r="G1964" s="12" t="s">
        <v>159</v>
      </c>
      <c r="H1964" s="15">
        <v>10300</v>
      </c>
      <c r="I1964" s="13">
        <v>50</v>
      </c>
    </row>
    <row r="1965" spans="6:9">
      <c r="F1965" s="12" t="s">
        <v>3343</v>
      </c>
      <c r="G1965" s="12" t="s">
        <v>159</v>
      </c>
      <c r="H1965" s="15">
        <v>20100</v>
      </c>
      <c r="I1965" s="13">
        <v>50</v>
      </c>
    </row>
    <row r="1966" spans="6:9">
      <c r="F1966" s="12" t="s">
        <v>3344</v>
      </c>
      <c r="G1966" s="12" t="s">
        <v>159</v>
      </c>
      <c r="H1966" s="15">
        <v>858700</v>
      </c>
      <c r="I1966" s="13">
        <v>50</v>
      </c>
    </row>
    <row r="1967" spans="6:9">
      <c r="F1967" s="12" t="s">
        <v>3345</v>
      </c>
      <c r="G1967" s="12" t="s">
        <v>157</v>
      </c>
      <c r="H1967" s="15">
        <v>12674</v>
      </c>
      <c r="I1967" s="13">
        <v>50</v>
      </c>
    </row>
    <row r="1968" spans="6:9">
      <c r="F1968" s="12" t="s">
        <v>3346</v>
      </c>
      <c r="G1968" s="12" t="s">
        <v>159</v>
      </c>
      <c r="H1968" s="15">
        <v>21700</v>
      </c>
      <c r="I1968" s="13">
        <v>50</v>
      </c>
    </row>
    <row r="1969" spans="6:9">
      <c r="F1969" s="12" t="s">
        <v>3347</v>
      </c>
      <c r="G1969" s="12" t="s">
        <v>159</v>
      </c>
      <c r="H1969" s="15">
        <v>10600</v>
      </c>
      <c r="I1969" s="13">
        <v>50</v>
      </c>
    </row>
    <row r="1970" spans="6:9">
      <c r="F1970" s="12" t="s">
        <v>3348</v>
      </c>
      <c r="G1970" s="12" t="s">
        <v>159</v>
      </c>
      <c r="H1970" s="15">
        <v>62800</v>
      </c>
      <c r="I1970" s="13">
        <v>50</v>
      </c>
    </row>
    <row r="1971" spans="6:9">
      <c r="F1971" s="12" t="s">
        <v>3349</v>
      </c>
      <c r="G1971" s="12" t="s">
        <v>157</v>
      </c>
      <c r="H1971" s="15">
        <v>28402</v>
      </c>
      <c r="I1971" s="13">
        <v>50</v>
      </c>
    </row>
    <row r="1972" spans="6:9">
      <c r="F1972" s="12" t="s">
        <v>3350</v>
      </c>
      <c r="G1972" s="12" t="s">
        <v>157</v>
      </c>
      <c r="H1972" s="15">
        <v>19154</v>
      </c>
      <c r="I1972" s="13">
        <v>50</v>
      </c>
    </row>
    <row r="1973" spans="6:9">
      <c r="F1973" s="12" t="s">
        <v>3351</v>
      </c>
      <c r="G1973" s="12" t="s">
        <v>159</v>
      </c>
      <c r="H1973" s="15">
        <v>30900</v>
      </c>
      <c r="I1973" s="13">
        <v>50</v>
      </c>
    </row>
    <row r="1974" spans="6:9">
      <c r="F1974" s="12" t="s">
        <v>3352</v>
      </c>
      <c r="G1974" s="12" t="s">
        <v>159</v>
      </c>
      <c r="H1974" s="15">
        <v>11100</v>
      </c>
      <c r="I1974" s="13">
        <v>50</v>
      </c>
    </row>
    <row r="1975" spans="6:9">
      <c r="F1975" s="12" t="s">
        <v>3353</v>
      </c>
      <c r="G1975" s="12" t="s">
        <v>159</v>
      </c>
      <c r="H1975" s="15">
        <v>99000</v>
      </c>
      <c r="I1975" s="13">
        <v>50</v>
      </c>
    </row>
    <row r="1976" spans="6:9">
      <c r="F1976" s="12" t="s">
        <v>3354</v>
      </c>
      <c r="G1976" s="12" t="s">
        <v>159</v>
      </c>
      <c r="H1976" s="15">
        <v>19000</v>
      </c>
      <c r="I1976" s="13">
        <v>50</v>
      </c>
    </row>
    <row r="1977" spans="6:9">
      <c r="F1977" s="12" t="s">
        <v>3355</v>
      </c>
      <c r="G1977" s="12" t="s">
        <v>159</v>
      </c>
      <c r="H1977" s="15">
        <v>10900</v>
      </c>
      <c r="I1977" s="13">
        <v>50</v>
      </c>
    </row>
    <row r="1978" spans="6:9">
      <c r="F1978" s="12" t="s">
        <v>3356</v>
      </c>
      <c r="G1978" s="12" t="s">
        <v>159</v>
      </c>
      <c r="H1978" s="15">
        <v>45000</v>
      </c>
      <c r="I1978" s="13">
        <v>50</v>
      </c>
    </row>
    <row r="1979" spans="6:9">
      <c r="F1979" s="12" t="s">
        <v>3357</v>
      </c>
      <c r="G1979" s="12" t="s">
        <v>159</v>
      </c>
      <c r="H1979" s="15">
        <v>100000</v>
      </c>
      <c r="I1979" s="13">
        <v>50</v>
      </c>
    </row>
    <row r="1980" spans="6:9">
      <c r="F1980" s="12" t="s">
        <v>3358</v>
      </c>
      <c r="G1980" s="12" t="s">
        <v>159</v>
      </c>
      <c r="H1980" s="15">
        <v>91100</v>
      </c>
      <c r="I1980" s="13">
        <v>50</v>
      </c>
    </row>
    <row r="1981" spans="6:9">
      <c r="F1981" s="12" t="s">
        <v>1394</v>
      </c>
      <c r="G1981" s="12" t="s">
        <v>157</v>
      </c>
      <c r="H1981" s="15">
        <v>17676</v>
      </c>
      <c r="I1981" s="13">
        <v>50</v>
      </c>
    </row>
    <row r="1982" spans="6:9">
      <c r="F1982" s="12" t="s">
        <v>3359</v>
      </c>
      <c r="G1982" s="12" t="s">
        <v>159</v>
      </c>
      <c r="H1982" s="15">
        <v>12900</v>
      </c>
      <c r="I1982" s="13">
        <v>50</v>
      </c>
    </row>
    <row r="1983" spans="6:9">
      <c r="F1983" s="12" t="s">
        <v>3360</v>
      </c>
      <c r="G1983" s="12" t="s">
        <v>159</v>
      </c>
      <c r="H1983" s="15">
        <v>51300</v>
      </c>
      <c r="I1983" s="13">
        <v>50</v>
      </c>
    </row>
    <row r="1984" spans="6:9">
      <c r="F1984" s="12" t="s">
        <v>3361</v>
      </c>
      <c r="G1984" s="12" t="s">
        <v>157</v>
      </c>
      <c r="H1984" s="15">
        <v>28307</v>
      </c>
      <c r="I1984" s="13">
        <v>50</v>
      </c>
    </row>
    <row r="1985" spans="6:9">
      <c r="F1985" s="12" t="s">
        <v>3362</v>
      </c>
      <c r="G1985" s="12" t="s">
        <v>159</v>
      </c>
      <c r="H1985" s="15">
        <v>565832</v>
      </c>
      <c r="I1985" s="13">
        <v>50</v>
      </c>
    </row>
    <row r="1986" spans="6:9">
      <c r="F1986" s="12" t="s">
        <v>3363</v>
      </c>
      <c r="G1986" s="12" t="s">
        <v>159</v>
      </c>
      <c r="H1986" s="15">
        <v>14200</v>
      </c>
      <c r="I1986" s="13">
        <v>50</v>
      </c>
    </row>
    <row r="1987" spans="6:9">
      <c r="F1987" s="12" t="s">
        <v>3364</v>
      </c>
      <c r="G1987" s="12" t="s">
        <v>159</v>
      </c>
      <c r="H1987" s="15">
        <v>17000</v>
      </c>
      <c r="I1987" s="13">
        <v>50</v>
      </c>
    </row>
    <row r="1988" spans="6:9">
      <c r="F1988" s="12" t="s">
        <v>3365</v>
      </c>
      <c r="G1988" s="12" t="s">
        <v>157</v>
      </c>
      <c r="H1988" s="15">
        <v>14204</v>
      </c>
      <c r="I1988" s="13">
        <v>50</v>
      </c>
    </row>
    <row r="1989" spans="6:9">
      <c r="F1989" s="12" t="s">
        <v>3366</v>
      </c>
      <c r="G1989" s="12" t="s">
        <v>157</v>
      </c>
      <c r="H1989" s="15">
        <v>17477</v>
      </c>
      <c r="I1989" s="13">
        <v>50</v>
      </c>
    </row>
    <row r="1990" spans="6:9">
      <c r="F1990" s="12" t="s">
        <v>3367</v>
      </c>
      <c r="G1990" s="12" t="s">
        <v>159</v>
      </c>
      <c r="H1990" s="15">
        <v>555700</v>
      </c>
      <c r="I1990" s="13">
        <v>50</v>
      </c>
    </row>
    <row r="1991" spans="6:9">
      <c r="F1991" s="12" t="s">
        <v>3368</v>
      </c>
      <c r="G1991" s="12" t="s">
        <v>159</v>
      </c>
      <c r="H1991" s="15">
        <v>11600</v>
      </c>
      <c r="I1991" s="13">
        <v>50</v>
      </c>
    </row>
    <row r="1992" spans="6:9">
      <c r="F1992" s="12" t="s">
        <v>1397</v>
      </c>
      <c r="G1992" s="12" t="s">
        <v>157</v>
      </c>
      <c r="H1992" s="15">
        <v>11461</v>
      </c>
      <c r="I1992" s="13">
        <v>50</v>
      </c>
    </row>
    <row r="1993" spans="6:9">
      <c r="F1993" s="12" t="s">
        <v>3369</v>
      </c>
      <c r="G1993" s="12" t="s">
        <v>157</v>
      </c>
      <c r="H1993" s="15">
        <v>18545</v>
      </c>
      <c r="I1993" s="13">
        <v>50</v>
      </c>
    </row>
    <row r="1994" spans="6:9">
      <c r="F1994" s="12" t="s">
        <v>3370</v>
      </c>
      <c r="G1994" s="12" t="s">
        <v>159</v>
      </c>
      <c r="H1994" s="15">
        <v>18900</v>
      </c>
      <c r="I1994" s="13">
        <v>50</v>
      </c>
    </row>
    <row r="1995" spans="6:9">
      <c r="F1995" s="12" t="s">
        <v>3371</v>
      </c>
      <c r="G1995" s="12" t="s">
        <v>159</v>
      </c>
      <c r="H1995" s="15">
        <v>35900</v>
      </c>
      <c r="I1995" s="13">
        <v>50</v>
      </c>
    </row>
    <row r="1996" spans="6:9">
      <c r="F1996" s="12" t="s">
        <v>1400</v>
      </c>
      <c r="G1996" s="12" t="s">
        <v>157</v>
      </c>
      <c r="H1996" s="15">
        <v>10884</v>
      </c>
      <c r="I1996" s="13">
        <v>50</v>
      </c>
    </row>
    <row r="1997" spans="6:9">
      <c r="F1997" s="12" t="s">
        <v>3372</v>
      </c>
      <c r="G1997" s="12" t="s">
        <v>159</v>
      </c>
      <c r="H1997" s="15">
        <v>509100</v>
      </c>
      <c r="I1997" s="13">
        <v>50</v>
      </c>
    </row>
    <row r="1998" spans="6:9">
      <c r="F1998" s="12" t="s">
        <v>1403</v>
      </c>
      <c r="G1998" s="12" t="s">
        <v>157</v>
      </c>
      <c r="H1998" s="15">
        <v>15286</v>
      </c>
      <c r="I1998" s="13">
        <v>50</v>
      </c>
    </row>
    <row r="1999" spans="6:9">
      <c r="F1999" s="12" t="s">
        <v>3373</v>
      </c>
      <c r="G1999" s="12" t="s">
        <v>157</v>
      </c>
      <c r="H1999" s="15">
        <v>21350</v>
      </c>
      <c r="I1999" s="13">
        <v>50</v>
      </c>
    </row>
    <row r="2000" spans="6:9">
      <c r="F2000" s="12" t="s">
        <v>3374</v>
      </c>
      <c r="G2000" s="12" t="s">
        <v>159</v>
      </c>
      <c r="H2000" s="15">
        <v>108300</v>
      </c>
      <c r="I2000" s="13">
        <v>50</v>
      </c>
    </row>
    <row r="2001" spans="6:9">
      <c r="F2001" s="12" t="s">
        <v>1406</v>
      </c>
      <c r="G2001" s="12" t="s">
        <v>157</v>
      </c>
      <c r="H2001" s="15">
        <v>19698</v>
      </c>
      <c r="I2001" s="13">
        <v>50</v>
      </c>
    </row>
    <row r="2002" spans="6:9">
      <c r="F2002" s="12" t="s">
        <v>3375</v>
      </c>
      <c r="G2002" s="12" t="s">
        <v>157</v>
      </c>
      <c r="H2002" s="15">
        <v>20020</v>
      </c>
      <c r="I2002" s="13">
        <v>50</v>
      </c>
    </row>
    <row r="2003" spans="6:9">
      <c r="F2003" s="12" t="s">
        <v>3376</v>
      </c>
      <c r="G2003" s="12" t="s">
        <v>159</v>
      </c>
      <c r="H2003" s="15">
        <v>10000</v>
      </c>
      <c r="I2003" s="13">
        <v>50</v>
      </c>
    </row>
    <row r="2004" spans="6:9">
      <c r="F2004" s="12" t="s">
        <v>3377</v>
      </c>
      <c r="G2004" s="12" t="s">
        <v>159</v>
      </c>
      <c r="H2004" s="15">
        <v>21400</v>
      </c>
      <c r="I2004" s="13">
        <v>50</v>
      </c>
    </row>
    <row r="2005" spans="6:9">
      <c r="F2005" s="12" t="s">
        <v>1409</v>
      </c>
      <c r="G2005" s="12" t="s">
        <v>157</v>
      </c>
      <c r="H2005" s="15">
        <v>19219</v>
      </c>
      <c r="I2005" s="13">
        <v>50</v>
      </c>
    </row>
    <row r="2006" spans="6:9">
      <c r="F2006" s="12" t="s">
        <v>3378</v>
      </c>
      <c r="G2006" s="12" t="s">
        <v>157</v>
      </c>
      <c r="H2006" s="15">
        <v>10108</v>
      </c>
      <c r="I2006" s="13">
        <v>50</v>
      </c>
    </row>
    <row r="2007" spans="6:9">
      <c r="F2007" s="12" t="s">
        <v>3379</v>
      </c>
      <c r="G2007" s="12" t="s">
        <v>159</v>
      </c>
      <c r="H2007" s="15">
        <v>10600</v>
      </c>
      <c r="I2007" s="13">
        <v>50</v>
      </c>
    </row>
    <row r="2008" spans="6:9">
      <c r="F2008" s="12" t="s">
        <v>3380</v>
      </c>
      <c r="G2008" s="12" t="s">
        <v>159</v>
      </c>
      <c r="H2008" s="15">
        <v>20400</v>
      </c>
      <c r="I2008" s="13">
        <v>50</v>
      </c>
    </row>
    <row r="2009" spans="6:9">
      <c r="F2009" s="12" t="s">
        <v>3381</v>
      </c>
      <c r="G2009" s="12" t="s">
        <v>159</v>
      </c>
      <c r="H2009" s="15">
        <v>161700</v>
      </c>
      <c r="I2009" s="13">
        <v>50</v>
      </c>
    </row>
    <row r="2010" spans="6:9">
      <c r="F2010" s="12" t="s">
        <v>3382</v>
      </c>
      <c r="G2010" s="12" t="s">
        <v>157</v>
      </c>
      <c r="H2010" s="15">
        <v>35092</v>
      </c>
      <c r="I2010" s="13">
        <v>50</v>
      </c>
    </row>
    <row r="2011" spans="6:9">
      <c r="F2011" s="12" t="s">
        <v>3383</v>
      </c>
      <c r="G2011" s="12" t="s">
        <v>157</v>
      </c>
      <c r="H2011" s="15">
        <v>19901</v>
      </c>
      <c r="I2011" s="13">
        <v>50</v>
      </c>
    </row>
    <row r="2012" spans="6:9">
      <c r="F2012" s="12" t="s">
        <v>3384</v>
      </c>
      <c r="G2012" s="12" t="s">
        <v>159</v>
      </c>
      <c r="H2012" s="15">
        <v>68700</v>
      </c>
      <c r="I2012" s="13">
        <v>50</v>
      </c>
    </row>
    <row r="2013" spans="6:9">
      <c r="F2013" s="12" t="s">
        <v>3385</v>
      </c>
      <c r="G2013" s="12" t="s">
        <v>159</v>
      </c>
      <c r="H2013" s="15">
        <v>81900</v>
      </c>
      <c r="I2013" s="13">
        <v>50</v>
      </c>
    </row>
    <row r="2014" spans="6:9">
      <c r="F2014" s="12" t="s">
        <v>3386</v>
      </c>
      <c r="G2014" s="12" t="s">
        <v>157</v>
      </c>
      <c r="H2014" s="15">
        <v>27256</v>
      </c>
      <c r="I2014" s="13">
        <v>50</v>
      </c>
    </row>
    <row r="2015" spans="6:9">
      <c r="F2015" s="12" t="s">
        <v>3387</v>
      </c>
      <c r="G2015" s="12" t="s">
        <v>159</v>
      </c>
      <c r="H2015" s="15">
        <v>13700</v>
      </c>
      <c r="I2015" s="13">
        <v>50</v>
      </c>
    </row>
    <row r="2016" spans="6:9">
      <c r="F2016" s="12" t="s">
        <v>3388</v>
      </c>
      <c r="G2016" s="12" t="s">
        <v>159</v>
      </c>
      <c r="H2016" s="15">
        <v>33200</v>
      </c>
      <c r="I2016" s="13">
        <v>50</v>
      </c>
    </row>
    <row r="2017" spans="6:9">
      <c r="F2017" s="12" t="s">
        <v>3389</v>
      </c>
      <c r="G2017" s="12" t="s">
        <v>159</v>
      </c>
      <c r="H2017" s="15">
        <v>207200</v>
      </c>
      <c r="I2017" s="13">
        <v>50</v>
      </c>
    </row>
    <row r="2018" spans="6:9">
      <c r="F2018" s="12" t="s">
        <v>1412</v>
      </c>
      <c r="G2018" s="12" t="s">
        <v>157</v>
      </c>
      <c r="H2018" s="15">
        <v>11876</v>
      </c>
      <c r="I2018" s="13">
        <v>50</v>
      </c>
    </row>
    <row r="2019" spans="6:9">
      <c r="F2019" s="12" t="s">
        <v>3390</v>
      </c>
      <c r="G2019" s="12" t="s">
        <v>159</v>
      </c>
      <c r="H2019" s="15">
        <v>12100</v>
      </c>
      <c r="I2019" s="13">
        <v>50</v>
      </c>
    </row>
    <row r="2020" spans="6:9">
      <c r="F2020" s="12" t="s">
        <v>3391</v>
      </c>
      <c r="G2020" s="12" t="s">
        <v>159</v>
      </c>
      <c r="H2020" s="15">
        <v>135300</v>
      </c>
      <c r="I2020" s="13">
        <v>50</v>
      </c>
    </row>
    <row r="2021" spans="6:9">
      <c r="F2021" s="12" t="s">
        <v>3392</v>
      </c>
      <c r="G2021" s="12" t="s">
        <v>159</v>
      </c>
      <c r="H2021" s="15">
        <v>197900</v>
      </c>
      <c r="I2021" s="13">
        <v>50</v>
      </c>
    </row>
    <row r="2022" spans="6:9">
      <c r="F2022" s="12" t="s">
        <v>3393</v>
      </c>
      <c r="G2022" s="12" t="s">
        <v>157</v>
      </c>
      <c r="H2022" s="15">
        <v>10815</v>
      </c>
      <c r="I2022" s="13">
        <v>50</v>
      </c>
    </row>
    <row r="2023" spans="6:9">
      <c r="F2023" s="12" t="s">
        <v>3394</v>
      </c>
      <c r="G2023" s="12" t="s">
        <v>159</v>
      </c>
      <c r="H2023" s="15">
        <v>10400</v>
      </c>
      <c r="I2023" s="13">
        <v>50</v>
      </c>
    </row>
    <row r="2024" spans="6:9">
      <c r="F2024" s="12" t="s">
        <v>3395</v>
      </c>
      <c r="G2024" s="12" t="s">
        <v>159</v>
      </c>
      <c r="H2024" s="15">
        <v>203900</v>
      </c>
      <c r="I2024" s="13">
        <v>50</v>
      </c>
    </row>
    <row r="2025" spans="6:9">
      <c r="F2025" s="12" t="s">
        <v>1415</v>
      </c>
      <c r="G2025" s="12" t="s">
        <v>157</v>
      </c>
      <c r="H2025" s="15">
        <v>15429</v>
      </c>
      <c r="I2025" s="13">
        <v>50</v>
      </c>
    </row>
    <row r="2026" spans="6:9">
      <c r="F2026" s="12" t="s">
        <v>3396</v>
      </c>
      <c r="G2026" s="12" t="s">
        <v>157</v>
      </c>
      <c r="H2026" s="15">
        <v>12745</v>
      </c>
      <c r="I2026" s="13">
        <v>50</v>
      </c>
    </row>
    <row r="2027" spans="6:9">
      <c r="F2027" s="12" t="s">
        <v>1418</v>
      </c>
      <c r="G2027" s="12" t="s">
        <v>157</v>
      </c>
      <c r="H2027" s="15">
        <v>29396</v>
      </c>
      <c r="I2027" s="13">
        <v>50</v>
      </c>
    </row>
    <row r="2028" spans="6:9">
      <c r="F2028" s="12" t="s">
        <v>3397</v>
      </c>
      <c r="G2028" s="12" t="s">
        <v>159</v>
      </c>
      <c r="H2028" s="15">
        <v>195000</v>
      </c>
      <c r="I2028" s="13">
        <v>50</v>
      </c>
    </row>
    <row r="2029" spans="6:9">
      <c r="F2029" s="12" t="s">
        <v>3398</v>
      </c>
      <c r="G2029" s="12" t="s">
        <v>159</v>
      </c>
      <c r="H2029" s="15">
        <v>313600</v>
      </c>
      <c r="I2029" s="13">
        <v>50</v>
      </c>
    </row>
    <row r="2030" spans="6:9">
      <c r="F2030" s="12" t="s">
        <v>3399</v>
      </c>
      <c r="G2030" s="12" t="s">
        <v>159</v>
      </c>
      <c r="H2030" s="15">
        <v>10500</v>
      </c>
      <c r="I2030" s="13">
        <v>50</v>
      </c>
    </row>
    <row r="2031" spans="6:9">
      <c r="F2031" s="12" t="s">
        <v>3400</v>
      </c>
      <c r="G2031" s="12" t="s">
        <v>157</v>
      </c>
      <c r="H2031" s="15">
        <v>10973</v>
      </c>
      <c r="I2031" s="13">
        <v>50</v>
      </c>
    </row>
    <row r="2032" spans="6:9">
      <c r="F2032" s="12" t="s">
        <v>1421</v>
      </c>
      <c r="G2032" s="12" t="s">
        <v>157</v>
      </c>
      <c r="H2032" s="15">
        <v>11664</v>
      </c>
      <c r="I2032" s="13">
        <v>50</v>
      </c>
    </row>
    <row r="2033" spans="6:9">
      <c r="F2033" s="12" t="s">
        <v>3401</v>
      </c>
      <c r="G2033" s="12" t="s">
        <v>157</v>
      </c>
      <c r="H2033" s="15">
        <v>30687</v>
      </c>
      <c r="I2033" s="13">
        <v>50</v>
      </c>
    </row>
    <row r="2034" spans="6:9">
      <c r="F2034" s="12" t="s">
        <v>1423</v>
      </c>
      <c r="G2034" s="12" t="s">
        <v>157</v>
      </c>
      <c r="H2034" s="15">
        <v>22777</v>
      </c>
      <c r="I2034" s="13">
        <v>50</v>
      </c>
    </row>
    <row r="2035" spans="6:9">
      <c r="F2035" s="12" t="s">
        <v>1426</v>
      </c>
      <c r="G2035" s="12" t="s">
        <v>157</v>
      </c>
      <c r="H2035" s="15">
        <v>19464</v>
      </c>
      <c r="I2035" s="13">
        <v>50</v>
      </c>
    </row>
    <row r="2036" spans="6:9">
      <c r="F2036" s="12" t="s">
        <v>3402</v>
      </c>
      <c r="G2036" s="12" t="s">
        <v>159</v>
      </c>
      <c r="H2036" s="15">
        <v>60700</v>
      </c>
      <c r="I2036" s="13">
        <v>50</v>
      </c>
    </row>
    <row r="2037" spans="6:9">
      <c r="F2037" s="12" t="s">
        <v>3403</v>
      </c>
      <c r="G2037" s="12" t="s">
        <v>159</v>
      </c>
      <c r="H2037" s="15">
        <v>131300</v>
      </c>
      <c r="I2037" s="13">
        <v>50</v>
      </c>
    </row>
    <row r="2038" spans="6:9">
      <c r="F2038" s="12" t="s">
        <v>3404</v>
      </c>
      <c r="G2038" s="12" t="s">
        <v>159</v>
      </c>
      <c r="H2038" s="15">
        <v>69900</v>
      </c>
      <c r="I2038" s="13">
        <v>50</v>
      </c>
    </row>
    <row r="2039" spans="6:9">
      <c r="F2039" s="12" t="s">
        <v>3405</v>
      </c>
      <c r="G2039" s="12" t="s">
        <v>157</v>
      </c>
      <c r="H2039" s="15">
        <v>31794</v>
      </c>
      <c r="I2039" s="13">
        <v>50</v>
      </c>
    </row>
    <row r="2040" spans="6:9">
      <c r="F2040" s="12" t="s">
        <v>3406</v>
      </c>
      <c r="G2040" s="12" t="s">
        <v>159</v>
      </c>
      <c r="H2040" s="15">
        <v>177000</v>
      </c>
      <c r="I2040" s="13">
        <v>50</v>
      </c>
    </row>
    <row r="2041" spans="6:9">
      <c r="F2041" s="12" t="s">
        <v>3407</v>
      </c>
      <c r="G2041" s="12" t="s">
        <v>159</v>
      </c>
      <c r="H2041" s="15">
        <v>23000</v>
      </c>
      <c r="I2041" s="13">
        <v>50</v>
      </c>
    </row>
    <row r="2042" spans="6:9">
      <c r="F2042" s="12" t="s">
        <v>3408</v>
      </c>
      <c r="G2042" s="12" t="s">
        <v>159</v>
      </c>
      <c r="H2042" s="15">
        <v>10800</v>
      </c>
      <c r="I2042" s="13">
        <v>50</v>
      </c>
    </row>
    <row r="2043" spans="6:9">
      <c r="F2043" s="12" t="s">
        <v>3409</v>
      </c>
      <c r="G2043" s="12" t="s">
        <v>159</v>
      </c>
      <c r="H2043" s="15">
        <v>42000</v>
      </c>
      <c r="I2043" s="13">
        <v>50</v>
      </c>
    </row>
    <row r="2044" spans="6:9">
      <c r="F2044" s="12" t="s">
        <v>3410</v>
      </c>
      <c r="G2044" s="12" t="s">
        <v>159</v>
      </c>
      <c r="H2044" s="15">
        <v>158600</v>
      </c>
      <c r="I2044" s="13">
        <v>50</v>
      </c>
    </row>
    <row r="2045" spans="6:9">
      <c r="F2045" s="12" t="s">
        <v>3411</v>
      </c>
      <c r="G2045" s="12" t="s">
        <v>157</v>
      </c>
      <c r="H2045" s="15">
        <v>319016</v>
      </c>
      <c r="I2045" s="13">
        <v>50</v>
      </c>
    </row>
    <row r="2046" spans="6:9">
      <c r="F2046" s="12" t="s">
        <v>1429</v>
      </c>
      <c r="G2046" s="12" t="s">
        <v>157</v>
      </c>
      <c r="H2046" s="15">
        <v>10759</v>
      </c>
      <c r="I2046" s="13">
        <v>50</v>
      </c>
    </row>
    <row r="2047" spans="6:9">
      <c r="F2047" s="12" t="s">
        <v>3412</v>
      </c>
      <c r="G2047" s="12" t="s">
        <v>159</v>
      </c>
      <c r="H2047" s="15">
        <v>35600</v>
      </c>
      <c r="I2047" s="13">
        <v>50</v>
      </c>
    </row>
    <row r="2048" spans="6:9">
      <c r="F2048" s="12" t="s">
        <v>3413</v>
      </c>
      <c r="G2048" s="12" t="s">
        <v>159</v>
      </c>
      <c r="H2048" s="15">
        <v>40200</v>
      </c>
      <c r="I2048" s="13">
        <v>50</v>
      </c>
    </row>
    <row r="2049" spans="6:9">
      <c r="F2049" s="12" t="s">
        <v>1431</v>
      </c>
      <c r="G2049" s="12" t="s">
        <v>157</v>
      </c>
      <c r="H2049" s="15">
        <v>34302</v>
      </c>
      <c r="I2049" s="13">
        <v>50</v>
      </c>
    </row>
    <row r="2050" spans="6:9">
      <c r="F2050" s="12" t="s">
        <v>3414</v>
      </c>
      <c r="G2050" s="12" t="s">
        <v>159</v>
      </c>
      <c r="H2050" s="15">
        <v>13500</v>
      </c>
      <c r="I2050" s="13">
        <v>50</v>
      </c>
    </row>
    <row r="2051" spans="6:9">
      <c r="F2051" s="12" t="s">
        <v>181</v>
      </c>
      <c r="G2051" s="12" t="s">
        <v>157</v>
      </c>
      <c r="H2051" s="15">
        <v>429570</v>
      </c>
      <c r="I2051" s="13">
        <v>50</v>
      </c>
    </row>
    <row r="2052" spans="6:9">
      <c r="F2052" s="12" t="s">
        <v>3415</v>
      </c>
      <c r="G2052" s="12" t="s">
        <v>159</v>
      </c>
      <c r="H2052" s="15">
        <v>908900</v>
      </c>
      <c r="I2052" s="13">
        <v>50</v>
      </c>
    </row>
    <row r="2053" spans="6:9">
      <c r="F2053" s="12" t="s">
        <v>3416</v>
      </c>
      <c r="G2053" s="12" t="s">
        <v>157</v>
      </c>
      <c r="H2053" s="15">
        <v>16409</v>
      </c>
      <c r="I2053" s="13">
        <v>50</v>
      </c>
    </row>
    <row r="2054" spans="6:9">
      <c r="F2054" s="12" t="s">
        <v>3417</v>
      </c>
      <c r="G2054" s="12" t="s">
        <v>159</v>
      </c>
      <c r="H2054" s="15">
        <v>92100</v>
      </c>
      <c r="I2054" s="13">
        <v>50</v>
      </c>
    </row>
    <row r="2055" spans="6:9">
      <c r="F2055" s="12" t="s">
        <v>3418</v>
      </c>
      <c r="G2055" s="12" t="s">
        <v>157</v>
      </c>
      <c r="H2055" s="15">
        <v>19272</v>
      </c>
      <c r="I2055" s="13">
        <v>50</v>
      </c>
    </row>
    <row r="2056" spans="6:9">
      <c r="F2056" s="12" t="s">
        <v>3419</v>
      </c>
      <c r="G2056" s="12" t="s">
        <v>157</v>
      </c>
      <c r="H2056" s="15">
        <v>11074</v>
      </c>
      <c r="I2056" s="13">
        <v>50</v>
      </c>
    </row>
    <row r="2057" spans="6:9">
      <c r="F2057" s="12" t="s">
        <v>3420</v>
      </c>
      <c r="G2057" s="12" t="s">
        <v>159</v>
      </c>
      <c r="H2057" s="15">
        <v>19340</v>
      </c>
      <c r="I2057" s="13">
        <v>50</v>
      </c>
    </row>
    <row r="2058" spans="6:9">
      <c r="F2058" s="12" t="s">
        <v>3421</v>
      </c>
      <c r="G2058" s="12" t="s">
        <v>159</v>
      </c>
      <c r="H2058" s="15">
        <v>10900</v>
      </c>
      <c r="I2058" s="13">
        <v>50</v>
      </c>
    </row>
    <row r="2059" spans="6:9">
      <c r="F2059" s="12" t="s">
        <v>3422</v>
      </c>
      <c r="G2059" s="12" t="s">
        <v>157</v>
      </c>
      <c r="H2059" s="15">
        <v>17199</v>
      </c>
      <c r="I2059" s="13">
        <v>50</v>
      </c>
    </row>
    <row r="2060" spans="6:9">
      <c r="F2060" s="12" t="s">
        <v>3423</v>
      </c>
      <c r="G2060" s="12" t="s">
        <v>159</v>
      </c>
      <c r="H2060" s="15">
        <v>18900</v>
      </c>
      <c r="I2060" s="13">
        <v>50</v>
      </c>
    </row>
    <row r="2061" spans="6:9">
      <c r="F2061" s="12" t="s">
        <v>3424</v>
      </c>
      <c r="G2061" s="12" t="s">
        <v>157</v>
      </c>
      <c r="H2061" s="15">
        <v>13698</v>
      </c>
      <c r="I2061" s="13">
        <v>50</v>
      </c>
    </row>
    <row r="2062" spans="6:9">
      <c r="F2062" s="12" t="s">
        <v>3425</v>
      </c>
      <c r="G2062" s="12" t="s">
        <v>157</v>
      </c>
      <c r="H2062" s="15">
        <v>23035</v>
      </c>
      <c r="I2062" s="13">
        <v>50</v>
      </c>
    </row>
    <row r="2063" spans="6:9">
      <c r="F2063" s="12" t="s">
        <v>3426</v>
      </c>
      <c r="G2063" s="12" t="s">
        <v>159</v>
      </c>
      <c r="H2063" s="15">
        <v>85100</v>
      </c>
      <c r="I2063" s="13">
        <v>50</v>
      </c>
    </row>
    <row r="2064" spans="6:9">
      <c r="F2064" s="12" t="s">
        <v>3427</v>
      </c>
      <c r="G2064" s="12" t="s">
        <v>159</v>
      </c>
      <c r="H2064" s="15">
        <v>21000</v>
      </c>
      <c r="I2064" s="13">
        <v>50</v>
      </c>
    </row>
    <row r="2065" spans="6:9">
      <c r="F2065" s="12" t="s">
        <v>3428</v>
      </c>
      <c r="G2065" s="12" t="s">
        <v>159</v>
      </c>
      <c r="H2065" s="15">
        <v>1200000</v>
      </c>
      <c r="I2065" s="13">
        <v>50</v>
      </c>
    </row>
    <row r="2066" spans="6:9">
      <c r="F2066" s="12" t="s">
        <v>3429</v>
      </c>
      <c r="G2066" s="12" t="s">
        <v>159</v>
      </c>
      <c r="H2066" s="15">
        <v>11600</v>
      </c>
      <c r="I2066" s="13">
        <v>50</v>
      </c>
    </row>
    <row r="2067" spans="6:9">
      <c r="F2067" s="12" t="s">
        <v>3430</v>
      </c>
      <c r="G2067" s="12" t="s">
        <v>159</v>
      </c>
      <c r="H2067" s="15">
        <v>65500</v>
      </c>
      <c r="I2067" s="13">
        <v>50</v>
      </c>
    </row>
    <row r="2068" spans="6:9">
      <c r="F2068" s="12" t="s">
        <v>3431</v>
      </c>
      <c r="G2068" s="12" t="s">
        <v>157</v>
      </c>
      <c r="H2068" s="15">
        <v>20717</v>
      </c>
      <c r="I2068" s="13">
        <v>50</v>
      </c>
    </row>
    <row r="2069" spans="6:9">
      <c r="F2069" s="12" t="s">
        <v>3432</v>
      </c>
      <c r="G2069" s="12" t="s">
        <v>159</v>
      </c>
      <c r="H2069" s="15">
        <v>18100</v>
      </c>
      <c r="I2069" s="13">
        <v>50</v>
      </c>
    </row>
    <row r="2070" spans="6:9">
      <c r="F2070" s="12" t="s">
        <v>3433</v>
      </c>
      <c r="G2070" s="12" t="s">
        <v>159</v>
      </c>
      <c r="H2070" s="15">
        <v>37200</v>
      </c>
      <c r="I2070" s="13">
        <v>50</v>
      </c>
    </row>
    <row r="2071" spans="6:9">
      <c r="F2071" s="12" t="s">
        <v>3434</v>
      </c>
      <c r="G2071" s="12" t="s">
        <v>159</v>
      </c>
      <c r="H2071" s="15">
        <v>70800</v>
      </c>
      <c r="I2071" s="13">
        <v>50</v>
      </c>
    </row>
    <row r="2072" spans="6:9">
      <c r="F2072" s="12" t="s">
        <v>3435</v>
      </c>
      <c r="G2072" s="12" t="s">
        <v>159</v>
      </c>
      <c r="H2072" s="15">
        <v>221800</v>
      </c>
      <c r="I2072" s="13">
        <v>50</v>
      </c>
    </row>
    <row r="2073" spans="6:9">
      <c r="F2073" s="12" t="s">
        <v>3436</v>
      </c>
      <c r="G2073" s="12" t="s">
        <v>157</v>
      </c>
      <c r="H2073" s="15">
        <v>11461</v>
      </c>
      <c r="I2073" s="13">
        <v>50</v>
      </c>
    </row>
    <row r="2074" spans="6:9">
      <c r="F2074" s="12" t="s">
        <v>3437</v>
      </c>
      <c r="G2074" s="12" t="s">
        <v>159</v>
      </c>
      <c r="H2074" s="15">
        <v>51500</v>
      </c>
      <c r="I2074" s="13">
        <v>50</v>
      </c>
    </row>
    <row r="2075" spans="6:9">
      <c r="F2075" s="12" t="s">
        <v>3438</v>
      </c>
      <c r="G2075" s="12" t="s">
        <v>159</v>
      </c>
      <c r="H2075" s="15">
        <v>206300</v>
      </c>
      <c r="I2075" s="13">
        <v>50</v>
      </c>
    </row>
    <row r="2076" spans="6:9">
      <c r="F2076" s="12" t="s">
        <v>3439</v>
      </c>
      <c r="G2076" s="12" t="s">
        <v>159</v>
      </c>
      <c r="H2076" s="15">
        <v>17700</v>
      </c>
      <c r="I2076" s="13">
        <v>50</v>
      </c>
    </row>
    <row r="2077" spans="6:9">
      <c r="F2077" s="12" t="s">
        <v>3440</v>
      </c>
      <c r="G2077" s="12" t="s">
        <v>159</v>
      </c>
      <c r="H2077" s="15">
        <v>42000</v>
      </c>
      <c r="I2077" s="13">
        <v>50</v>
      </c>
    </row>
    <row r="2078" spans="6:9">
      <c r="F2078" s="12" t="s">
        <v>3441</v>
      </c>
      <c r="G2078" s="12" t="s">
        <v>159</v>
      </c>
      <c r="H2078" s="15">
        <v>326900</v>
      </c>
      <c r="I2078" s="13">
        <v>50</v>
      </c>
    </row>
    <row r="2079" spans="6:9">
      <c r="F2079" s="12" t="s">
        <v>3442</v>
      </c>
      <c r="G2079" s="12" t="s">
        <v>159</v>
      </c>
      <c r="H2079" s="15">
        <v>182800</v>
      </c>
      <c r="I2079" s="13">
        <v>50</v>
      </c>
    </row>
    <row r="2080" spans="6:9">
      <c r="F2080" s="12" t="s">
        <v>1434</v>
      </c>
      <c r="G2080" s="12" t="s">
        <v>157</v>
      </c>
      <c r="H2080" s="15">
        <v>40287</v>
      </c>
      <c r="I2080" s="13">
        <v>50</v>
      </c>
    </row>
    <row r="2081" spans="6:9">
      <c r="F2081" s="12" t="s">
        <v>3443</v>
      </c>
      <c r="G2081" s="12" t="s">
        <v>159</v>
      </c>
      <c r="H2081" s="15">
        <v>144500</v>
      </c>
      <c r="I2081" s="13">
        <v>50</v>
      </c>
    </row>
    <row r="2082" spans="6:9">
      <c r="F2082" s="12" t="s">
        <v>164</v>
      </c>
      <c r="G2082" s="12" t="s">
        <v>157</v>
      </c>
      <c r="H2082" s="15">
        <v>91319</v>
      </c>
      <c r="I2082" s="13">
        <v>50</v>
      </c>
    </row>
    <row r="2083" spans="6:9">
      <c r="F2083" s="12" t="s">
        <v>3444</v>
      </c>
      <c r="G2083" s="12" t="s">
        <v>157</v>
      </c>
      <c r="H2083" s="15">
        <v>31872</v>
      </c>
      <c r="I2083" s="13">
        <v>50</v>
      </c>
    </row>
    <row r="2084" spans="6:9">
      <c r="F2084" s="12" t="s">
        <v>3445</v>
      </c>
      <c r="G2084" s="12" t="s">
        <v>159</v>
      </c>
      <c r="H2084" s="15">
        <v>56800</v>
      </c>
      <c r="I2084" s="13">
        <v>50</v>
      </c>
    </row>
    <row r="2085" spans="6:9">
      <c r="F2085" s="12" t="s">
        <v>3446</v>
      </c>
      <c r="G2085" s="12" t="s">
        <v>157</v>
      </c>
      <c r="H2085" s="15">
        <v>10969</v>
      </c>
      <c r="I2085" s="13">
        <v>50</v>
      </c>
    </row>
    <row r="2086" spans="6:9">
      <c r="F2086" s="12" t="s">
        <v>1437</v>
      </c>
      <c r="G2086" s="12" t="s">
        <v>157</v>
      </c>
      <c r="H2086" s="15">
        <v>11803</v>
      </c>
      <c r="I2086" s="13">
        <v>50</v>
      </c>
    </row>
    <row r="2087" spans="6:9">
      <c r="F2087" s="12" t="s">
        <v>3447</v>
      </c>
      <c r="G2087" s="12" t="s">
        <v>159</v>
      </c>
      <c r="H2087" s="15">
        <v>22100</v>
      </c>
      <c r="I2087" s="13">
        <v>50</v>
      </c>
    </row>
    <row r="2088" spans="6:9">
      <c r="F2088" s="12" t="s">
        <v>3448</v>
      </c>
      <c r="G2088" s="12" t="s">
        <v>159</v>
      </c>
      <c r="H2088" s="15">
        <v>33500</v>
      </c>
      <c r="I2088" s="13">
        <v>50</v>
      </c>
    </row>
    <row r="2089" spans="6:9">
      <c r="F2089" s="12" t="s">
        <v>1439</v>
      </c>
      <c r="G2089" s="12" t="s">
        <v>157</v>
      </c>
      <c r="H2089" s="15">
        <v>15003</v>
      </c>
      <c r="I2089" s="13">
        <v>50</v>
      </c>
    </row>
    <row r="2090" spans="6:9">
      <c r="F2090" s="12" t="s">
        <v>3449</v>
      </c>
      <c r="G2090" s="12" t="s">
        <v>159</v>
      </c>
      <c r="H2090" s="15">
        <v>10900</v>
      </c>
      <c r="I2090" s="13">
        <v>50</v>
      </c>
    </row>
    <row r="2091" spans="6:9">
      <c r="F2091" s="12" t="s">
        <v>1441</v>
      </c>
      <c r="G2091" s="12" t="s">
        <v>157</v>
      </c>
      <c r="H2091" s="15">
        <v>11040</v>
      </c>
      <c r="I2091" s="13">
        <v>50</v>
      </c>
    </row>
    <row r="2092" spans="6:9">
      <c r="F2092" s="12" t="s">
        <v>3450</v>
      </c>
      <c r="G2092" s="12" t="s">
        <v>159</v>
      </c>
      <c r="H2092" s="15">
        <v>14200</v>
      </c>
      <c r="I2092" s="13">
        <v>50</v>
      </c>
    </row>
    <row r="2093" spans="6:9">
      <c r="F2093" s="12" t="s">
        <v>1443</v>
      </c>
      <c r="G2093" s="12" t="s">
        <v>157</v>
      </c>
      <c r="H2093" s="15">
        <v>27842</v>
      </c>
      <c r="I2093" s="13">
        <v>50</v>
      </c>
    </row>
    <row r="2094" spans="6:9">
      <c r="F2094" s="12" t="s">
        <v>1446</v>
      </c>
      <c r="G2094" s="12" t="s">
        <v>157</v>
      </c>
      <c r="H2094" s="15">
        <v>11018</v>
      </c>
      <c r="I2094" s="13">
        <v>50</v>
      </c>
    </row>
    <row r="2095" spans="6:9">
      <c r="F2095" s="12" t="s">
        <v>3451</v>
      </c>
      <c r="G2095" s="12" t="s">
        <v>159</v>
      </c>
      <c r="H2095" s="15">
        <v>224800</v>
      </c>
      <c r="I2095" s="13">
        <v>50</v>
      </c>
    </row>
    <row r="2096" spans="6:9">
      <c r="F2096" s="12" t="s">
        <v>3452</v>
      </c>
      <c r="G2096" s="12" t="s">
        <v>159</v>
      </c>
      <c r="H2096" s="15">
        <v>64800</v>
      </c>
      <c r="I2096" s="13">
        <v>50</v>
      </c>
    </row>
    <row r="2097" spans="6:9">
      <c r="F2097" s="12" t="s">
        <v>3453</v>
      </c>
      <c r="G2097" s="12" t="s">
        <v>157</v>
      </c>
      <c r="H2097" s="15">
        <v>19423</v>
      </c>
      <c r="I2097" s="13">
        <v>50</v>
      </c>
    </row>
    <row r="2098" spans="6:9">
      <c r="F2098" s="12" t="s">
        <v>3454</v>
      </c>
      <c r="G2098" s="12" t="s">
        <v>159</v>
      </c>
      <c r="H2098" s="15">
        <v>76600</v>
      </c>
      <c r="I2098" s="13">
        <v>50</v>
      </c>
    </row>
    <row r="2099" spans="6:9">
      <c r="F2099" s="12" t="s">
        <v>3455</v>
      </c>
      <c r="G2099" s="12" t="s">
        <v>159</v>
      </c>
      <c r="H2099" s="15">
        <v>14600</v>
      </c>
      <c r="I2099" s="13">
        <v>50</v>
      </c>
    </row>
    <row r="2100" spans="6:9">
      <c r="F2100" s="12" t="s">
        <v>3456</v>
      </c>
      <c r="G2100" s="12" t="s">
        <v>159</v>
      </c>
      <c r="H2100" s="15">
        <v>17600</v>
      </c>
      <c r="I2100" s="13">
        <v>50</v>
      </c>
    </row>
    <row r="2101" spans="6:9">
      <c r="F2101" s="12" t="s">
        <v>1449</v>
      </c>
      <c r="G2101" s="12" t="s">
        <v>157</v>
      </c>
      <c r="H2101" s="15">
        <v>12683</v>
      </c>
      <c r="I2101" s="13">
        <v>50</v>
      </c>
    </row>
    <row r="2102" spans="6:9">
      <c r="F2102" s="12" t="s">
        <v>3457</v>
      </c>
      <c r="G2102" s="12" t="s">
        <v>159</v>
      </c>
      <c r="H2102" s="15">
        <v>15500</v>
      </c>
      <c r="I2102" s="13">
        <v>50</v>
      </c>
    </row>
    <row r="2103" spans="6:9">
      <c r="F2103" s="12" t="s">
        <v>3458</v>
      </c>
      <c r="G2103" s="12" t="s">
        <v>159</v>
      </c>
      <c r="H2103" s="15">
        <v>358600</v>
      </c>
      <c r="I2103" s="13">
        <v>50</v>
      </c>
    </row>
    <row r="2104" spans="6:9">
      <c r="F2104" s="12" t="s">
        <v>3459</v>
      </c>
      <c r="G2104" s="12" t="s">
        <v>159</v>
      </c>
      <c r="H2104" s="15">
        <v>337100</v>
      </c>
      <c r="I2104" s="13">
        <v>50</v>
      </c>
    </row>
    <row r="2105" spans="6:9">
      <c r="F2105" s="12" t="s">
        <v>1452</v>
      </c>
      <c r="G2105" s="12" t="s">
        <v>157</v>
      </c>
      <c r="H2105" s="15">
        <v>41145</v>
      </c>
      <c r="I2105" s="13">
        <v>50</v>
      </c>
    </row>
    <row r="2106" spans="6:9">
      <c r="F2106" s="12" t="s">
        <v>3460</v>
      </c>
      <c r="G2106" s="12" t="s">
        <v>157</v>
      </c>
      <c r="H2106" s="15">
        <v>10361</v>
      </c>
      <c r="I2106" s="13">
        <v>50</v>
      </c>
    </row>
    <row r="2107" spans="6:9">
      <c r="F2107" s="12" t="s">
        <v>1455</v>
      </c>
      <c r="G2107" s="12" t="s">
        <v>157</v>
      </c>
      <c r="H2107" s="15">
        <v>27576</v>
      </c>
      <c r="I2107" s="13">
        <v>50</v>
      </c>
    </row>
    <row r="2108" spans="6:9">
      <c r="F2108" s="12" t="s">
        <v>3461</v>
      </c>
      <c r="G2108" s="12" t="s">
        <v>157</v>
      </c>
      <c r="H2108" s="15">
        <v>11275</v>
      </c>
      <c r="I2108" s="13">
        <v>50</v>
      </c>
    </row>
    <row r="2109" spans="6:9">
      <c r="F2109" s="12" t="s">
        <v>3462</v>
      </c>
      <c r="G2109" s="12" t="s">
        <v>159</v>
      </c>
      <c r="H2109" s="15">
        <v>62100</v>
      </c>
      <c r="I2109" s="13">
        <v>50</v>
      </c>
    </row>
    <row r="2110" spans="6:9">
      <c r="F2110" s="12" t="s">
        <v>3463</v>
      </c>
      <c r="G2110" s="12" t="s">
        <v>159</v>
      </c>
      <c r="H2110" s="15">
        <v>16800</v>
      </c>
      <c r="I2110" s="13">
        <v>50</v>
      </c>
    </row>
    <row r="2111" spans="6:9">
      <c r="F2111" s="12" t="s">
        <v>3464</v>
      </c>
      <c r="G2111" s="12" t="s">
        <v>157</v>
      </c>
      <c r="H2111" s="15">
        <v>12944</v>
      </c>
      <c r="I2111" s="13">
        <v>50</v>
      </c>
    </row>
    <row r="2112" spans="6:9">
      <c r="F2112" s="12" t="s">
        <v>3465</v>
      </c>
      <c r="G2112" s="12" t="s">
        <v>157</v>
      </c>
      <c r="H2112" s="15">
        <v>44268</v>
      </c>
      <c r="I2112" s="13">
        <v>50</v>
      </c>
    </row>
    <row r="2113" spans="6:9">
      <c r="F2113" s="12" t="s">
        <v>3466</v>
      </c>
      <c r="G2113" s="12" t="s">
        <v>159</v>
      </c>
      <c r="H2113" s="15">
        <v>2083158</v>
      </c>
      <c r="I2113" s="13">
        <v>50</v>
      </c>
    </row>
    <row r="2114" spans="6:9">
      <c r="F2114" s="12" t="s">
        <v>3467</v>
      </c>
      <c r="G2114" s="12" t="s">
        <v>157</v>
      </c>
      <c r="H2114" s="15">
        <v>11678</v>
      </c>
      <c r="I2114" s="13">
        <v>50</v>
      </c>
    </row>
    <row r="2115" spans="6:9">
      <c r="F2115" s="12" t="s">
        <v>3468</v>
      </c>
      <c r="G2115" s="12" t="s">
        <v>157</v>
      </c>
      <c r="H2115" s="15">
        <v>13071</v>
      </c>
      <c r="I2115" s="13">
        <v>50</v>
      </c>
    </row>
    <row r="2116" spans="6:9">
      <c r="F2116" s="12" t="s">
        <v>3469</v>
      </c>
      <c r="G2116" s="12" t="s">
        <v>157</v>
      </c>
      <c r="H2116" s="15">
        <v>16099</v>
      </c>
      <c r="I2116" s="13">
        <v>50</v>
      </c>
    </row>
    <row r="2117" spans="6:9">
      <c r="F2117" s="12" t="s">
        <v>3470</v>
      </c>
      <c r="G2117" s="12" t="s">
        <v>159</v>
      </c>
      <c r="H2117" s="15">
        <v>12600</v>
      </c>
      <c r="I2117" s="13">
        <v>50</v>
      </c>
    </row>
    <row r="2118" spans="6:9">
      <c r="F2118" s="12" t="s">
        <v>3471</v>
      </c>
      <c r="G2118" s="12" t="s">
        <v>159</v>
      </c>
      <c r="H2118" s="15">
        <v>18200</v>
      </c>
      <c r="I2118" s="13">
        <v>50</v>
      </c>
    </row>
    <row r="2119" spans="6:9">
      <c r="F2119" s="12" t="s">
        <v>3472</v>
      </c>
      <c r="G2119" s="12" t="s">
        <v>159</v>
      </c>
      <c r="H2119" s="15">
        <v>19700</v>
      </c>
      <c r="I2119" s="13">
        <v>50</v>
      </c>
    </row>
    <row r="2120" spans="6:9">
      <c r="F2120" s="12" t="s">
        <v>3473</v>
      </c>
      <c r="G2120" s="12" t="s">
        <v>157</v>
      </c>
      <c r="H2120" s="15">
        <v>18354</v>
      </c>
      <c r="I2120" s="13">
        <v>50</v>
      </c>
    </row>
    <row r="2121" spans="6:9">
      <c r="F2121" s="12" t="s">
        <v>3474</v>
      </c>
      <c r="G2121" s="12" t="s">
        <v>159</v>
      </c>
      <c r="H2121" s="15">
        <v>12100</v>
      </c>
      <c r="I2121" s="13">
        <v>50</v>
      </c>
    </row>
    <row r="2122" spans="6:9">
      <c r="F2122" s="12" t="s">
        <v>3475</v>
      </c>
      <c r="G2122" s="12" t="s">
        <v>159</v>
      </c>
      <c r="H2122" s="15">
        <v>2300000</v>
      </c>
      <c r="I2122" s="13">
        <v>50</v>
      </c>
    </row>
    <row r="2123" spans="6:9">
      <c r="F2123" s="12" t="s">
        <v>3476</v>
      </c>
      <c r="G2123" s="12" t="s">
        <v>157</v>
      </c>
      <c r="H2123" s="15">
        <v>14684</v>
      </c>
      <c r="I2123" s="13">
        <v>50</v>
      </c>
    </row>
    <row r="2124" spans="6:9">
      <c r="F2124" s="12" t="s">
        <v>3477</v>
      </c>
      <c r="G2124" s="12" t="s">
        <v>157</v>
      </c>
      <c r="H2124" s="15">
        <v>12621</v>
      </c>
      <c r="I2124" s="13">
        <v>50</v>
      </c>
    </row>
    <row r="2125" spans="6:9">
      <c r="F2125" s="12" t="s">
        <v>3478</v>
      </c>
      <c r="G2125" s="12" t="s">
        <v>159</v>
      </c>
      <c r="H2125" s="15">
        <v>43900</v>
      </c>
      <c r="I2125" s="13">
        <v>50</v>
      </c>
    </row>
    <row r="2126" spans="6:9">
      <c r="F2126" s="12" t="s">
        <v>1458</v>
      </c>
      <c r="G2126" s="12" t="s">
        <v>157</v>
      </c>
      <c r="H2126" s="15">
        <v>20518</v>
      </c>
      <c r="I2126" s="13">
        <v>50</v>
      </c>
    </row>
    <row r="2127" spans="6:9">
      <c r="F2127" s="12" t="s">
        <v>3479</v>
      </c>
      <c r="G2127" s="12" t="s">
        <v>157</v>
      </c>
      <c r="H2127" s="15">
        <v>11386</v>
      </c>
      <c r="I2127" s="13">
        <v>50</v>
      </c>
    </row>
    <row r="2128" spans="6:9">
      <c r="F2128" s="12" t="s">
        <v>3480</v>
      </c>
      <c r="G2128" s="12" t="s">
        <v>157</v>
      </c>
      <c r="H2128" s="15">
        <v>24565</v>
      </c>
      <c r="I2128" s="13">
        <v>50</v>
      </c>
    </row>
    <row r="2129" spans="6:9">
      <c r="F2129" s="12" t="s">
        <v>3481</v>
      </c>
      <c r="G2129" s="12" t="s">
        <v>157</v>
      </c>
      <c r="H2129" s="15">
        <v>10643</v>
      </c>
      <c r="I2129" s="13">
        <v>50</v>
      </c>
    </row>
    <row r="2130" spans="6:9">
      <c r="F2130" s="12" t="s">
        <v>1461</v>
      </c>
      <c r="G2130" s="12" t="s">
        <v>157</v>
      </c>
      <c r="H2130" s="15">
        <v>19799</v>
      </c>
      <c r="I2130" s="13">
        <v>50</v>
      </c>
    </row>
    <row r="2131" spans="6:9">
      <c r="F2131" s="12" t="s">
        <v>1464</v>
      </c>
      <c r="G2131" s="12" t="s">
        <v>157</v>
      </c>
      <c r="H2131" s="15">
        <v>10630</v>
      </c>
      <c r="I2131" s="13">
        <v>50</v>
      </c>
    </row>
    <row r="2132" spans="6:9">
      <c r="F2132" s="12" t="s">
        <v>3482</v>
      </c>
      <c r="G2132" s="12" t="s">
        <v>159</v>
      </c>
      <c r="H2132" s="15">
        <v>132700</v>
      </c>
      <c r="I2132" s="13">
        <v>50</v>
      </c>
    </row>
    <row r="2133" spans="6:9">
      <c r="F2133" s="12" t="s">
        <v>3483</v>
      </c>
      <c r="G2133" s="12" t="s">
        <v>159</v>
      </c>
      <c r="H2133" s="15">
        <v>10300</v>
      </c>
      <c r="I2133" s="13">
        <v>50</v>
      </c>
    </row>
    <row r="2134" spans="6:9">
      <c r="F2134" s="12" t="s">
        <v>3484</v>
      </c>
      <c r="G2134" s="12" t="s">
        <v>157</v>
      </c>
      <c r="H2134" s="15">
        <v>10934</v>
      </c>
      <c r="I2134" s="13">
        <v>50</v>
      </c>
    </row>
    <row r="2135" spans="6:9">
      <c r="F2135" s="12" t="s">
        <v>3485</v>
      </c>
      <c r="G2135" s="12" t="s">
        <v>159</v>
      </c>
      <c r="H2135" s="15">
        <v>22500</v>
      </c>
      <c r="I2135" s="13">
        <v>50</v>
      </c>
    </row>
    <row r="2136" spans="6:9">
      <c r="F2136" s="12" t="s">
        <v>3486</v>
      </c>
      <c r="G2136" s="12" t="s">
        <v>159</v>
      </c>
      <c r="H2136" s="15">
        <v>2300000</v>
      </c>
      <c r="I2136" s="13">
        <v>50</v>
      </c>
    </row>
    <row r="2137" spans="6:9">
      <c r="F2137" s="12" t="s">
        <v>3487</v>
      </c>
      <c r="G2137" s="12" t="s">
        <v>159</v>
      </c>
      <c r="H2137" s="15">
        <v>1600000</v>
      </c>
      <c r="I2137" s="13">
        <v>50</v>
      </c>
    </row>
    <row r="2138" spans="6:9">
      <c r="F2138" s="12" t="s">
        <v>3488</v>
      </c>
      <c r="G2138" s="12" t="s">
        <v>159</v>
      </c>
      <c r="H2138" s="15">
        <v>33100</v>
      </c>
      <c r="I2138" s="13">
        <v>50</v>
      </c>
    </row>
    <row r="2139" spans="6:9">
      <c r="F2139" s="12" t="s">
        <v>3489</v>
      </c>
      <c r="G2139" s="12" t="s">
        <v>159</v>
      </c>
      <c r="H2139" s="15">
        <v>1300000</v>
      </c>
      <c r="I2139" s="13">
        <v>50</v>
      </c>
    </row>
    <row r="2140" spans="6:9">
      <c r="F2140" s="12" t="s">
        <v>3490</v>
      </c>
      <c r="G2140" s="12" t="s">
        <v>159</v>
      </c>
      <c r="H2140" s="15">
        <v>262600</v>
      </c>
      <c r="I2140" s="13">
        <v>50</v>
      </c>
    </row>
    <row r="2141" spans="6:9">
      <c r="F2141" s="12" t="s">
        <v>3491</v>
      </c>
      <c r="G2141" s="12" t="s">
        <v>159</v>
      </c>
      <c r="H2141" s="15">
        <v>21469</v>
      </c>
      <c r="I2141" s="13">
        <v>50</v>
      </c>
    </row>
    <row r="2142" spans="6:9">
      <c r="F2142" s="12" t="s">
        <v>3492</v>
      </c>
      <c r="G2142" s="12" t="s">
        <v>159</v>
      </c>
      <c r="H2142" s="15">
        <v>12800</v>
      </c>
      <c r="I2142" s="13">
        <v>50</v>
      </c>
    </row>
    <row r="2143" spans="6:9">
      <c r="F2143" s="12" t="s">
        <v>3493</v>
      </c>
      <c r="G2143" s="12" t="s">
        <v>157</v>
      </c>
      <c r="H2143" s="15">
        <v>11613</v>
      </c>
      <c r="I2143" s="13">
        <v>50</v>
      </c>
    </row>
    <row r="2144" spans="6:9">
      <c r="F2144" s="12" t="s">
        <v>3494</v>
      </c>
      <c r="G2144" s="12" t="s">
        <v>159</v>
      </c>
      <c r="H2144" s="15">
        <v>187600</v>
      </c>
      <c r="I2144" s="13">
        <v>50</v>
      </c>
    </row>
    <row r="2145" spans="6:9">
      <c r="F2145" s="12" t="s">
        <v>1467</v>
      </c>
      <c r="G2145" s="12" t="s">
        <v>157</v>
      </c>
      <c r="H2145" s="15">
        <v>10667</v>
      </c>
      <c r="I2145" s="13">
        <v>50</v>
      </c>
    </row>
    <row r="2146" spans="6:9">
      <c r="F2146" s="12" t="s">
        <v>3495</v>
      </c>
      <c r="G2146" s="12" t="s">
        <v>157</v>
      </c>
      <c r="H2146" s="15">
        <v>15292</v>
      </c>
      <c r="I2146" s="13">
        <v>50</v>
      </c>
    </row>
    <row r="2147" spans="6:9">
      <c r="F2147" s="12" t="s">
        <v>3496</v>
      </c>
      <c r="G2147" s="12" t="s">
        <v>159</v>
      </c>
      <c r="H2147" s="15">
        <v>10500</v>
      </c>
      <c r="I2147" s="13">
        <v>50</v>
      </c>
    </row>
    <row r="2148" spans="6:9">
      <c r="F2148" s="12" t="s">
        <v>3497</v>
      </c>
      <c r="G2148" s="12" t="s">
        <v>159</v>
      </c>
      <c r="H2148" s="15">
        <v>32200</v>
      </c>
      <c r="I2148" s="13">
        <v>50</v>
      </c>
    </row>
    <row r="2149" spans="6:9">
      <c r="F2149" s="12" t="s">
        <v>3498</v>
      </c>
      <c r="G2149" s="12" t="s">
        <v>159</v>
      </c>
      <c r="H2149" s="15">
        <v>22900</v>
      </c>
      <c r="I2149" s="13">
        <v>50</v>
      </c>
    </row>
    <row r="2150" spans="6:9">
      <c r="F2150" s="12" t="s">
        <v>3499</v>
      </c>
      <c r="G2150" s="12" t="s">
        <v>157</v>
      </c>
      <c r="H2150" s="15">
        <v>14160</v>
      </c>
      <c r="I2150" s="13">
        <v>50</v>
      </c>
    </row>
    <row r="2151" spans="6:9">
      <c r="F2151" s="12" t="s">
        <v>3500</v>
      </c>
      <c r="G2151" s="12" t="s">
        <v>157</v>
      </c>
      <c r="H2151" s="15">
        <v>10140</v>
      </c>
      <c r="I2151" s="13">
        <v>50</v>
      </c>
    </row>
    <row r="2152" spans="6:9">
      <c r="F2152" s="12" t="s">
        <v>3501</v>
      </c>
      <c r="G2152" s="12" t="s">
        <v>157</v>
      </c>
      <c r="H2152" s="15">
        <v>13409</v>
      </c>
      <c r="I2152" s="13">
        <v>50</v>
      </c>
    </row>
    <row r="2153" spans="6:9">
      <c r="F2153" s="12" t="s">
        <v>1469</v>
      </c>
      <c r="G2153" s="12" t="s">
        <v>157</v>
      </c>
      <c r="H2153" s="15">
        <v>20005</v>
      </c>
      <c r="I2153" s="13">
        <v>50</v>
      </c>
    </row>
    <row r="2154" spans="6:9">
      <c r="F2154" s="12" t="s">
        <v>3502</v>
      </c>
      <c r="G2154" s="12" t="s">
        <v>159</v>
      </c>
      <c r="H2154" s="15">
        <v>15800</v>
      </c>
      <c r="I2154" s="13">
        <v>50</v>
      </c>
    </row>
    <row r="2155" spans="6:9">
      <c r="F2155" s="12" t="s">
        <v>1471</v>
      </c>
      <c r="G2155" s="12" t="s">
        <v>157</v>
      </c>
      <c r="H2155" s="15">
        <v>28995</v>
      </c>
      <c r="I2155" s="13">
        <v>50</v>
      </c>
    </row>
    <row r="2156" spans="6:9">
      <c r="F2156" s="12" t="s">
        <v>3503</v>
      </c>
      <c r="G2156" s="12" t="s">
        <v>159</v>
      </c>
      <c r="H2156" s="15">
        <v>157200</v>
      </c>
      <c r="I2156" s="13">
        <v>50</v>
      </c>
    </row>
    <row r="2157" spans="6:9">
      <c r="F2157" s="12" t="s">
        <v>3504</v>
      </c>
      <c r="G2157" s="12" t="s">
        <v>159</v>
      </c>
      <c r="H2157" s="15">
        <v>22800</v>
      </c>
      <c r="I2157" s="13">
        <v>50</v>
      </c>
    </row>
    <row r="2158" spans="6:9">
      <c r="F2158" s="12" t="s">
        <v>3505</v>
      </c>
      <c r="G2158" s="12" t="s">
        <v>159</v>
      </c>
      <c r="H2158" s="15">
        <v>39900</v>
      </c>
      <c r="I2158" s="13">
        <v>50</v>
      </c>
    </row>
    <row r="2159" spans="6:9">
      <c r="F2159" s="12" t="s">
        <v>3506</v>
      </c>
      <c r="G2159" s="12" t="s">
        <v>157</v>
      </c>
      <c r="H2159" s="15">
        <v>10334</v>
      </c>
      <c r="I2159" s="13">
        <v>50</v>
      </c>
    </row>
    <row r="2160" spans="6:9">
      <c r="F2160" s="12" t="s">
        <v>1474</v>
      </c>
      <c r="G2160" s="12" t="s">
        <v>157</v>
      </c>
      <c r="H2160" s="15">
        <v>11068</v>
      </c>
      <c r="I2160" s="13">
        <v>50</v>
      </c>
    </row>
    <row r="2161" spans="6:9">
      <c r="F2161" s="12" t="s">
        <v>3507</v>
      </c>
      <c r="G2161" s="12" t="s">
        <v>157</v>
      </c>
      <c r="H2161" s="15">
        <v>16567</v>
      </c>
      <c r="I2161" s="13">
        <v>50</v>
      </c>
    </row>
    <row r="2162" spans="6:9">
      <c r="F2162" s="12" t="s">
        <v>3508</v>
      </c>
      <c r="G2162" s="12" t="s">
        <v>157</v>
      </c>
      <c r="H2162" s="15">
        <v>10504</v>
      </c>
      <c r="I2162" s="13">
        <v>50</v>
      </c>
    </row>
    <row r="2163" spans="6:9">
      <c r="F2163" s="12" t="s">
        <v>3509</v>
      </c>
      <c r="G2163" s="12" t="s">
        <v>159</v>
      </c>
      <c r="H2163" s="15">
        <v>36000</v>
      </c>
      <c r="I2163" s="13">
        <v>50</v>
      </c>
    </row>
    <row r="2164" spans="6:9">
      <c r="F2164" s="12" t="s">
        <v>1476</v>
      </c>
      <c r="G2164" s="12" t="s">
        <v>157</v>
      </c>
      <c r="H2164" s="15">
        <v>14524</v>
      </c>
      <c r="I2164" s="13">
        <v>50</v>
      </c>
    </row>
    <row r="2165" spans="6:9">
      <c r="F2165" s="12" t="s">
        <v>1479</v>
      </c>
      <c r="G2165" s="12" t="s">
        <v>157</v>
      </c>
      <c r="H2165" s="15">
        <v>29196</v>
      </c>
      <c r="I2165" s="13">
        <v>50</v>
      </c>
    </row>
    <row r="2166" spans="6:9">
      <c r="F2166" s="12" t="s">
        <v>3510</v>
      </c>
      <c r="G2166" s="12" t="s">
        <v>159</v>
      </c>
      <c r="H2166" s="15">
        <v>60800</v>
      </c>
      <c r="I2166" s="13">
        <v>50</v>
      </c>
    </row>
    <row r="2167" spans="6:9">
      <c r="F2167" s="12" t="s">
        <v>1482</v>
      </c>
      <c r="G2167" s="12" t="s">
        <v>157</v>
      </c>
      <c r="H2167" s="15">
        <v>25215</v>
      </c>
      <c r="I2167" s="13">
        <v>50</v>
      </c>
    </row>
    <row r="2168" spans="6:9">
      <c r="F2168" s="12" t="s">
        <v>3511</v>
      </c>
      <c r="G2168" s="12" t="s">
        <v>159</v>
      </c>
      <c r="H2168" s="15">
        <v>14900</v>
      </c>
      <c r="I2168" s="13">
        <v>50</v>
      </c>
    </row>
    <row r="2169" spans="6:9">
      <c r="F2169" s="12" t="s">
        <v>1485</v>
      </c>
      <c r="G2169" s="12" t="s">
        <v>157</v>
      </c>
      <c r="H2169" s="15">
        <v>26012</v>
      </c>
      <c r="I2169" s="13">
        <v>50</v>
      </c>
    </row>
    <row r="2170" spans="6:9">
      <c r="F2170" s="12" t="s">
        <v>1488</v>
      </c>
      <c r="G2170" s="12" t="s">
        <v>157</v>
      </c>
      <c r="H2170" s="15">
        <v>30957</v>
      </c>
      <c r="I2170" s="13">
        <v>50</v>
      </c>
    </row>
    <row r="2171" spans="6:9">
      <c r="F2171" s="12" t="s">
        <v>3512</v>
      </c>
      <c r="G2171" s="12" t="s">
        <v>159</v>
      </c>
      <c r="H2171" s="15">
        <v>73800</v>
      </c>
      <c r="I2171" s="13">
        <v>50</v>
      </c>
    </row>
    <row r="2172" spans="6:9">
      <c r="F2172" s="12" t="s">
        <v>1491</v>
      </c>
      <c r="G2172" s="12" t="s">
        <v>157</v>
      </c>
      <c r="H2172" s="15">
        <v>23179</v>
      </c>
      <c r="I2172" s="13">
        <v>50</v>
      </c>
    </row>
    <row r="2173" spans="6:9">
      <c r="F2173" s="12" t="s">
        <v>3513</v>
      </c>
      <c r="G2173" s="12" t="s">
        <v>159</v>
      </c>
      <c r="H2173" s="15">
        <v>50900</v>
      </c>
      <c r="I2173" s="13">
        <v>50</v>
      </c>
    </row>
    <row r="2174" spans="6:9">
      <c r="F2174" s="12" t="s">
        <v>3514</v>
      </c>
      <c r="G2174" s="12" t="s">
        <v>159</v>
      </c>
      <c r="H2174" s="15">
        <v>25000</v>
      </c>
      <c r="I2174" s="13">
        <v>50</v>
      </c>
    </row>
    <row r="2175" spans="6:9">
      <c r="F2175" s="12" t="s">
        <v>3515</v>
      </c>
      <c r="G2175" s="12" t="s">
        <v>157</v>
      </c>
      <c r="H2175" s="15">
        <v>21637</v>
      </c>
      <c r="I2175" s="13">
        <v>50</v>
      </c>
    </row>
    <row r="2176" spans="6:9">
      <c r="F2176" s="12" t="s">
        <v>3516</v>
      </c>
      <c r="G2176" s="12" t="s">
        <v>159</v>
      </c>
      <c r="H2176" s="15">
        <v>15500</v>
      </c>
      <c r="I2176" s="13">
        <v>50</v>
      </c>
    </row>
    <row r="2177" spans="6:9">
      <c r="F2177" s="12" t="s">
        <v>3517</v>
      </c>
      <c r="G2177" s="12" t="s">
        <v>157</v>
      </c>
      <c r="H2177" s="15">
        <v>17519</v>
      </c>
      <c r="I2177" s="13">
        <v>50</v>
      </c>
    </row>
    <row r="2178" spans="6:9">
      <c r="F2178" s="12" t="s">
        <v>3518</v>
      </c>
      <c r="G2178" s="12" t="s">
        <v>159</v>
      </c>
      <c r="H2178" s="15">
        <v>455500</v>
      </c>
      <c r="I2178" s="13">
        <v>50</v>
      </c>
    </row>
    <row r="2179" spans="6:9">
      <c r="F2179" s="12" t="s">
        <v>3519</v>
      </c>
      <c r="G2179" s="12" t="s">
        <v>157</v>
      </c>
      <c r="H2179" s="15">
        <v>12361</v>
      </c>
      <c r="I2179" s="13">
        <v>50</v>
      </c>
    </row>
    <row r="2180" spans="6:9">
      <c r="F2180" s="12" t="s">
        <v>3520</v>
      </c>
      <c r="G2180" s="12" t="s">
        <v>157</v>
      </c>
      <c r="H2180" s="15">
        <v>29508</v>
      </c>
      <c r="I2180" s="13">
        <v>50</v>
      </c>
    </row>
    <row r="2181" spans="6:9">
      <c r="F2181" s="12" t="s">
        <v>3521</v>
      </c>
      <c r="G2181" s="12" t="s">
        <v>157</v>
      </c>
      <c r="H2181" s="15">
        <v>34738</v>
      </c>
      <c r="I2181" s="13">
        <v>50</v>
      </c>
    </row>
    <row r="2182" spans="6:9">
      <c r="F2182" s="12" t="s">
        <v>3522</v>
      </c>
      <c r="G2182" s="12" t="s">
        <v>159</v>
      </c>
      <c r="H2182" s="15">
        <v>131000</v>
      </c>
      <c r="I2182" s="13">
        <v>50</v>
      </c>
    </row>
    <row r="2183" spans="6:9">
      <c r="F2183" s="12" t="s">
        <v>3523</v>
      </c>
      <c r="G2183" s="12" t="s">
        <v>159</v>
      </c>
      <c r="H2183" s="15">
        <v>149400</v>
      </c>
      <c r="I2183" s="13">
        <v>50</v>
      </c>
    </row>
    <row r="2184" spans="6:9">
      <c r="F2184" s="12" t="s">
        <v>3524</v>
      </c>
      <c r="G2184" s="12" t="s">
        <v>159</v>
      </c>
      <c r="H2184" s="15">
        <v>44200</v>
      </c>
      <c r="I2184" s="13">
        <v>50</v>
      </c>
    </row>
    <row r="2185" spans="6:9">
      <c r="F2185" s="12" t="s">
        <v>1493</v>
      </c>
      <c r="G2185" s="12" t="s">
        <v>157</v>
      </c>
      <c r="H2185" s="15">
        <v>28598</v>
      </c>
      <c r="I2185" s="13">
        <v>50</v>
      </c>
    </row>
    <row r="2186" spans="6:9">
      <c r="F2186" s="12" t="s">
        <v>3525</v>
      </c>
      <c r="G2186" s="12" t="s">
        <v>159</v>
      </c>
      <c r="H2186" s="15">
        <v>406700</v>
      </c>
      <c r="I2186" s="13">
        <v>50</v>
      </c>
    </row>
    <row r="2187" spans="6:9">
      <c r="F2187" s="12" t="s">
        <v>3526</v>
      </c>
      <c r="G2187" s="12" t="s">
        <v>157</v>
      </c>
      <c r="H2187" s="15">
        <v>10002</v>
      </c>
      <c r="I2187" s="13">
        <v>50</v>
      </c>
    </row>
    <row r="2188" spans="6:9">
      <c r="F2188" s="12" t="s">
        <v>1496</v>
      </c>
      <c r="G2188" s="12" t="s">
        <v>157</v>
      </c>
      <c r="H2188" s="15">
        <v>11350</v>
      </c>
      <c r="I2188" s="13">
        <v>50</v>
      </c>
    </row>
    <row r="2189" spans="6:9">
      <c r="F2189" s="12" t="s">
        <v>3527</v>
      </c>
      <c r="G2189" s="12" t="s">
        <v>159</v>
      </c>
      <c r="H2189" s="15">
        <v>12000</v>
      </c>
      <c r="I2189" s="13">
        <v>50</v>
      </c>
    </row>
    <row r="2190" spans="6:9">
      <c r="F2190" s="12" t="s">
        <v>3528</v>
      </c>
      <c r="G2190" s="12" t="s">
        <v>157</v>
      </c>
      <c r="H2190" s="15">
        <v>10007</v>
      </c>
      <c r="I2190" s="13">
        <v>50</v>
      </c>
    </row>
    <row r="2191" spans="6:9">
      <c r="F2191" s="12" t="s">
        <v>1498</v>
      </c>
      <c r="G2191" s="12" t="s">
        <v>157</v>
      </c>
      <c r="H2191" s="15">
        <v>12125</v>
      </c>
      <c r="I2191" s="13">
        <v>50</v>
      </c>
    </row>
    <row r="2192" spans="6:9">
      <c r="F2192" s="12" t="s">
        <v>3529</v>
      </c>
      <c r="G2192" s="12" t="s">
        <v>157</v>
      </c>
      <c r="H2192" s="15">
        <v>10645</v>
      </c>
      <c r="I2192" s="13">
        <v>50</v>
      </c>
    </row>
    <row r="2193" spans="6:9">
      <c r="F2193" s="12" t="s">
        <v>3530</v>
      </c>
      <c r="G2193" s="12" t="s">
        <v>159</v>
      </c>
      <c r="H2193" s="15">
        <v>12000</v>
      </c>
      <c r="I2193" s="13">
        <v>50</v>
      </c>
    </row>
    <row r="2194" spans="6:9">
      <c r="F2194" s="12" t="s">
        <v>3531</v>
      </c>
      <c r="G2194" s="12" t="s">
        <v>159</v>
      </c>
      <c r="H2194" s="15">
        <v>14400</v>
      </c>
      <c r="I2194" s="13">
        <v>50</v>
      </c>
    </row>
    <row r="2195" spans="6:9">
      <c r="F2195" s="12" t="s">
        <v>3532</v>
      </c>
      <c r="G2195" s="12" t="s">
        <v>159</v>
      </c>
      <c r="H2195" s="15">
        <v>214900</v>
      </c>
      <c r="I2195" s="13">
        <v>50</v>
      </c>
    </row>
    <row r="2196" spans="6:9">
      <c r="F2196" s="12" t="s">
        <v>1501</v>
      </c>
      <c r="G2196" s="12" t="s">
        <v>157</v>
      </c>
      <c r="H2196" s="15">
        <v>10962</v>
      </c>
      <c r="I2196" s="13">
        <v>50</v>
      </c>
    </row>
    <row r="2197" spans="6:9">
      <c r="F2197" s="12" t="s">
        <v>3533</v>
      </c>
      <c r="G2197" s="12" t="s">
        <v>159</v>
      </c>
      <c r="H2197" s="15">
        <v>342900</v>
      </c>
      <c r="I2197" s="13">
        <v>50</v>
      </c>
    </row>
    <row r="2198" spans="6:9">
      <c r="F2198" s="12" t="s">
        <v>3534</v>
      </c>
      <c r="G2198" s="12" t="s">
        <v>159</v>
      </c>
      <c r="H2198" s="15">
        <v>237000</v>
      </c>
      <c r="I2198" s="13">
        <v>50</v>
      </c>
    </row>
    <row r="2199" spans="6:9">
      <c r="F2199" s="12" t="s">
        <v>3535</v>
      </c>
      <c r="G2199" s="12" t="s">
        <v>159</v>
      </c>
      <c r="H2199" s="15">
        <v>32100</v>
      </c>
      <c r="I2199" s="13">
        <v>50</v>
      </c>
    </row>
    <row r="2200" spans="6:9">
      <c r="F2200" s="12" t="s">
        <v>1504</v>
      </c>
      <c r="G2200" s="12" t="s">
        <v>157</v>
      </c>
      <c r="H2200" s="15">
        <v>10990</v>
      </c>
      <c r="I2200" s="13">
        <v>50</v>
      </c>
    </row>
    <row r="2201" spans="6:9">
      <c r="F2201" s="12" t="s">
        <v>3536</v>
      </c>
      <c r="G2201" s="12" t="s">
        <v>159</v>
      </c>
      <c r="H2201" s="15">
        <v>257000</v>
      </c>
      <c r="I2201" s="13">
        <v>50</v>
      </c>
    </row>
    <row r="2202" spans="6:9">
      <c r="F2202" s="12" t="s">
        <v>3537</v>
      </c>
      <c r="G2202" s="12" t="s">
        <v>157</v>
      </c>
      <c r="H2202" s="15">
        <v>25510</v>
      </c>
      <c r="I2202" s="13">
        <v>50</v>
      </c>
    </row>
    <row r="2203" spans="6:9">
      <c r="F2203" s="12" t="s">
        <v>3538</v>
      </c>
      <c r="G2203" s="12" t="s">
        <v>159</v>
      </c>
      <c r="H2203" s="15">
        <v>51000</v>
      </c>
      <c r="I2203" s="13">
        <v>50</v>
      </c>
    </row>
    <row r="2204" spans="6:9">
      <c r="F2204" s="12" t="s">
        <v>1507</v>
      </c>
      <c r="G2204" s="12" t="s">
        <v>157</v>
      </c>
      <c r="H2204" s="15">
        <v>16455</v>
      </c>
      <c r="I2204" s="13">
        <v>50</v>
      </c>
    </row>
    <row r="2205" spans="6:9">
      <c r="F2205" s="12" t="s">
        <v>3539</v>
      </c>
      <c r="G2205" s="12" t="s">
        <v>159</v>
      </c>
      <c r="H2205" s="15">
        <v>18500</v>
      </c>
      <c r="I2205" s="13">
        <v>50</v>
      </c>
    </row>
    <row r="2206" spans="6:9">
      <c r="F2206" s="12" t="s">
        <v>3540</v>
      </c>
      <c r="G2206" s="12" t="s">
        <v>159</v>
      </c>
      <c r="H2206" s="15">
        <v>376200</v>
      </c>
      <c r="I2206" s="13">
        <v>50</v>
      </c>
    </row>
    <row r="2207" spans="6:9">
      <c r="F2207" s="12" t="s">
        <v>3541</v>
      </c>
      <c r="G2207" s="12" t="s">
        <v>157</v>
      </c>
      <c r="H2207" s="15">
        <v>17171</v>
      </c>
      <c r="I2207" s="13">
        <v>50</v>
      </c>
    </row>
    <row r="2208" spans="6:9">
      <c r="F2208" s="12" t="s">
        <v>3542</v>
      </c>
      <c r="G2208" s="12" t="s">
        <v>159</v>
      </c>
      <c r="H2208" s="15">
        <v>82800</v>
      </c>
      <c r="I2208" s="13">
        <v>50</v>
      </c>
    </row>
    <row r="2209" spans="6:9">
      <c r="F2209" s="12" t="s">
        <v>3543</v>
      </c>
      <c r="G2209" s="12" t="s">
        <v>157</v>
      </c>
      <c r="H2209" s="15">
        <v>23576</v>
      </c>
      <c r="I2209" s="13">
        <v>50</v>
      </c>
    </row>
    <row r="2210" spans="6:9">
      <c r="F2210" s="12" t="s">
        <v>3544</v>
      </c>
      <c r="G2210" s="12" t="s">
        <v>159</v>
      </c>
      <c r="H2210" s="15">
        <v>782000</v>
      </c>
      <c r="I2210" s="13">
        <v>50</v>
      </c>
    </row>
    <row r="2211" spans="6:9">
      <c r="F2211" s="12" t="s">
        <v>3545</v>
      </c>
      <c r="G2211" s="12" t="s">
        <v>159</v>
      </c>
      <c r="H2211" s="15">
        <v>13000</v>
      </c>
      <c r="I2211" s="13">
        <v>50</v>
      </c>
    </row>
    <row r="2212" spans="6:9">
      <c r="F2212" s="12" t="s">
        <v>1509</v>
      </c>
      <c r="G2212" s="12" t="s">
        <v>157</v>
      </c>
      <c r="H2212" s="15">
        <v>11441</v>
      </c>
      <c r="I2212" s="13">
        <v>50</v>
      </c>
    </row>
    <row r="2213" spans="6:9">
      <c r="F2213" s="12" t="s">
        <v>3546</v>
      </c>
      <c r="G2213" s="12" t="s">
        <v>159</v>
      </c>
      <c r="H2213" s="15">
        <v>447000</v>
      </c>
      <c r="I2213" s="13">
        <v>50</v>
      </c>
    </row>
    <row r="2214" spans="6:9">
      <c r="F2214" s="12" t="s">
        <v>3547</v>
      </c>
      <c r="G2214" s="12" t="s">
        <v>159</v>
      </c>
      <c r="H2214" s="15">
        <v>2100000</v>
      </c>
      <c r="I2214" s="13">
        <v>50</v>
      </c>
    </row>
    <row r="2215" spans="6:9">
      <c r="F2215" s="12" t="s">
        <v>3548</v>
      </c>
      <c r="G2215" s="12" t="s">
        <v>157</v>
      </c>
      <c r="H2215" s="15">
        <v>20558</v>
      </c>
      <c r="I2215" s="13">
        <v>50</v>
      </c>
    </row>
    <row r="2216" spans="6:9">
      <c r="F2216" s="12" t="s">
        <v>3549</v>
      </c>
      <c r="G2216" s="12" t="s">
        <v>159</v>
      </c>
      <c r="H2216" s="15">
        <v>23000</v>
      </c>
      <c r="I2216" s="13">
        <v>50</v>
      </c>
    </row>
    <row r="2217" spans="6:9">
      <c r="F2217" s="12" t="s">
        <v>3550</v>
      </c>
      <c r="G2217" s="12" t="s">
        <v>159</v>
      </c>
      <c r="H2217" s="15">
        <v>25300</v>
      </c>
      <c r="I2217" s="13">
        <v>50</v>
      </c>
    </row>
    <row r="2218" spans="6:9">
      <c r="F2218" s="12" t="s">
        <v>3551</v>
      </c>
      <c r="G2218" s="12" t="s">
        <v>159</v>
      </c>
      <c r="H2218" s="15">
        <v>17900</v>
      </c>
      <c r="I2218" s="13">
        <v>50</v>
      </c>
    </row>
    <row r="2219" spans="6:9">
      <c r="F2219" s="12" t="s">
        <v>3552</v>
      </c>
      <c r="G2219" s="12" t="s">
        <v>159</v>
      </c>
      <c r="H2219" s="15">
        <v>21400</v>
      </c>
      <c r="I2219" s="13">
        <v>50</v>
      </c>
    </row>
    <row r="2220" spans="6:9">
      <c r="F2220" s="12" t="s">
        <v>3553</v>
      </c>
      <c r="G2220" s="12" t="s">
        <v>159</v>
      </c>
      <c r="H2220" s="15">
        <v>176400</v>
      </c>
      <c r="I2220" s="13">
        <v>50</v>
      </c>
    </row>
    <row r="2221" spans="6:9">
      <c r="F2221" s="12" t="s">
        <v>3554</v>
      </c>
      <c r="G2221" s="12" t="s">
        <v>159</v>
      </c>
      <c r="H2221" s="15">
        <v>267200</v>
      </c>
      <c r="I2221" s="13">
        <v>50</v>
      </c>
    </row>
    <row r="2222" spans="6:9">
      <c r="F2222" s="12" t="s">
        <v>3555</v>
      </c>
      <c r="G2222" s="12" t="s">
        <v>159</v>
      </c>
      <c r="H2222" s="15">
        <v>12600</v>
      </c>
      <c r="I2222" s="13">
        <v>50</v>
      </c>
    </row>
    <row r="2223" spans="6:9">
      <c r="F2223" s="12" t="s">
        <v>3556</v>
      </c>
      <c r="G2223" s="12" t="s">
        <v>157</v>
      </c>
      <c r="H2223" s="15">
        <v>13774</v>
      </c>
      <c r="I2223" s="13">
        <v>50</v>
      </c>
    </row>
    <row r="2224" spans="6:9">
      <c r="F2224" s="12" t="s">
        <v>1512</v>
      </c>
      <c r="G2224" s="12" t="s">
        <v>157</v>
      </c>
      <c r="H2224" s="15">
        <v>13058</v>
      </c>
      <c r="I2224" s="13">
        <v>50</v>
      </c>
    </row>
    <row r="2225" spans="6:9">
      <c r="F2225" s="12" t="s">
        <v>3557</v>
      </c>
      <c r="G2225" s="12" t="s">
        <v>159</v>
      </c>
      <c r="H2225" s="15">
        <v>15300</v>
      </c>
      <c r="I2225" s="13">
        <v>50</v>
      </c>
    </row>
    <row r="2226" spans="6:9">
      <c r="F2226" s="12" t="s">
        <v>3558</v>
      </c>
      <c r="G2226" s="12" t="s">
        <v>157</v>
      </c>
      <c r="H2226" s="15">
        <v>21867</v>
      </c>
      <c r="I2226" s="13">
        <v>50</v>
      </c>
    </row>
    <row r="2227" spans="6:9">
      <c r="F2227" s="12" t="s">
        <v>3559</v>
      </c>
      <c r="G2227" s="12" t="s">
        <v>157</v>
      </c>
      <c r="H2227" s="15">
        <v>14412</v>
      </c>
      <c r="I2227" s="13">
        <v>50</v>
      </c>
    </row>
    <row r="2228" spans="6:9">
      <c r="F2228" s="12" t="s">
        <v>1513</v>
      </c>
      <c r="G2228" s="12" t="s">
        <v>157</v>
      </c>
      <c r="H2228" s="15">
        <v>21254</v>
      </c>
      <c r="I2228" s="13">
        <v>50</v>
      </c>
    </row>
    <row r="2229" spans="6:9">
      <c r="F2229" s="12" t="s">
        <v>3560</v>
      </c>
      <c r="G2229" s="12" t="s">
        <v>159</v>
      </c>
      <c r="H2229" s="15">
        <v>57200</v>
      </c>
      <c r="I2229" s="13">
        <v>50</v>
      </c>
    </row>
    <row r="2230" spans="6:9">
      <c r="F2230" s="12" t="s">
        <v>3561</v>
      </c>
      <c r="G2230" s="12" t="s">
        <v>159</v>
      </c>
      <c r="H2230" s="15">
        <v>32000</v>
      </c>
      <c r="I2230" s="13">
        <v>50</v>
      </c>
    </row>
    <row r="2231" spans="6:9">
      <c r="F2231" s="12" t="s">
        <v>3562</v>
      </c>
      <c r="G2231" s="12" t="s">
        <v>159</v>
      </c>
      <c r="H2231" s="15">
        <v>10600</v>
      </c>
      <c r="I2231" s="13">
        <v>50</v>
      </c>
    </row>
    <row r="2232" spans="6:9">
      <c r="F2232" s="12" t="s">
        <v>1515</v>
      </c>
      <c r="G2232" s="12" t="s">
        <v>157</v>
      </c>
      <c r="H2232" s="15">
        <v>11261</v>
      </c>
      <c r="I2232" s="13">
        <v>50</v>
      </c>
    </row>
    <row r="2233" spans="6:9">
      <c r="F2233" s="12" t="s">
        <v>3563</v>
      </c>
      <c r="G2233" s="12" t="s">
        <v>159</v>
      </c>
      <c r="H2233" s="15">
        <v>10200</v>
      </c>
      <c r="I2233" s="13">
        <v>50</v>
      </c>
    </row>
    <row r="2234" spans="6:9">
      <c r="F2234" s="12" t="s">
        <v>1518</v>
      </c>
      <c r="G2234" s="12" t="s">
        <v>157</v>
      </c>
      <c r="H2234" s="15">
        <v>17627</v>
      </c>
      <c r="I2234" s="13">
        <v>50</v>
      </c>
    </row>
    <row r="2235" spans="6:9">
      <c r="F2235" s="12" t="s">
        <v>3564</v>
      </c>
      <c r="G2235" s="12" t="s">
        <v>159</v>
      </c>
      <c r="H2235" s="15">
        <v>16800</v>
      </c>
      <c r="I2235" s="13">
        <v>50</v>
      </c>
    </row>
    <row r="2236" spans="6:9">
      <c r="F2236" s="12" t="s">
        <v>3565</v>
      </c>
      <c r="G2236" s="12" t="s">
        <v>159</v>
      </c>
      <c r="H2236" s="15">
        <v>369200</v>
      </c>
      <c r="I2236" s="13">
        <v>50</v>
      </c>
    </row>
    <row r="2237" spans="6:9">
      <c r="F2237" s="12" t="s">
        <v>3566</v>
      </c>
      <c r="G2237" s="12" t="s">
        <v>159</v>
      </c>
      <c r="H2237" s="15">
        <v>209600</v>
      </c>
      <c r="I2237" s="13">
        <v>50</v>
      </c>
    </row>
    <row r="2238" spans="6:9">
      <c r="F2238" s="12" t="s">
        <v>1521</v>
      </c>
      <c r="G2238" s="12" t="s">
        <v>157</v>
      </c>
      <c r="H2238" s="15">
        <v>10113</v>
      </c>
      <c r="I2238" s="13">
        <v>50</v>
      </c>
    </row>
    <row r="2239" spans="6:9">
      <c r="F2239" s="12" t="s">
        <v>3567</v>
      </c>
      <c r="G2239" s="12" t="s">
        <v>157</v>
      </c>
      <c r="H2239" s="15">
        <v>12079</v>
      </c>
      <c r="I2239" s="13">
        <v>50</v>
      </c>
    </row>
    <row r="2240" spans="6:9">
      <c r="F2240" s="12" t="s">
        <v>3568</v>
      </c>
      <c r="G2240" s="12" t="s">
        <v>159</v>
      </c>
      <c r="H2240" s="15">
        <v>33200</v>
      </c>
      <c r="I2240" s="13">
        <v>50</v>
      </c>
    </row>
    <row r="2241" spans="6:9">
      <c r="F2241" s="12" t="s">
        <v>3569</v>
      </c>
      <c r="G2241" s="12" t="s">
        <v>159</v>
      </c>
      <c r="H2241" s="15">
        <v>91500</v>
      </c>
      <c r="I2241" s="13">
        <v>50</v>
      </c>
    </row>
    <row r="2242" spans="6:9">
      <c r="F2242" s="12" t="s">
        <v>3570</v>
      </c>
      <c r="G2242" s="12" t="s">
        <v>157</v>
      </c>
      <c r="H2242" s="15">
        <v>27282</v>
      </c>
      <c r="I2242" s="13">
        <v>50</v>
      </c>
    </row>
    <row r="2243" spans="6:9">
      <c r="F2243" s="12" t="s">
        <v>3571</v>
      </c>
      <c r="G2243" s="12" t="s">
        <v>159</v>
      </c>
      <c r="H2243" s="15">
        <v>80200</v>
      </c>
      <c r="I2243" s="13">
        <v>50</v>
      </c>
    </row>
    <row r="2244" spans="6:9">
      <c r="F2244" s="12" t="s">
        <v>3572</v>
      </c>
      <c r="G2244" s="12" t="s">
        <v>159</v>
      </c>
      <c r="H2244" s="15">
        <v>15800</v>
      </c>
      <c r="I2244" s="13">
        <v>50</v>
      </c>
    </row>
    <row r="2245" spans="6:9">
      <c r="F2245" s="12" t="s">
        <v>3573</v>
      </c>
      <c r="G2245" s="12" t="s">
        <v>159</v>
      </c>
      <c r="H2245" s="15">
        <v>162700</v>
      </c>
      <c r="I2245" s="13">
        <v>50</v>
      </c>
    </row>
    <row r="2246" spans="6:9">
      <c r="F2246" s="12" t="s">
        <v>3574</v>
      </c>
      <c r="G2246" s="12" t="s">
        <v>157</v>
      </c>
      <c r="H2246" s="15">
        <v>22808</v>
      </c>
      <c r="I2246" s="13">
        <v>50</v>
      </c>
    </row>
    <row r="2247" spans="6:9">
      <c r="F2247" s="12" t="s">
        <v>3575</v>
      </c>
      <c r="G2247" s="12" t="s">
        <v>159</v>
      </c>
      <c r="H2247" s="15">
        <v>88500</v>
      </c>
      <c r="I2247" s="13">
        <v>50</v>
      </c>
    </row>
    <row r="2248" spans="6:9">
      <c r="F2248" s="12" t="s">
        <v>3576</v>
      </c>
      <c r="G2248" s="12" t="s">
        <v>157</v>
      </c>
      <c r="H2248" s="15">
        <v>11302</v>
      </c>
      <c r="I2248" s="13">
        <v>50</v>
      </c>
    </row>
    <row r="2249" spans="6:9">
      <c r="F2249" s="12" t="s">
        <v>3577</v>
      </c>
      <c r="G2249" s="12" t="s">
        <v>159</v>
      </c>
      <c r="H2249" s="15">
        <v>100600</v>
      </c>
      <c r="I2249" s="13">
        <v>50</v>
      </c>
    </row>
    <row r="2250" spans="6:9">
      <c r="F2250" s="12" t="s">
        <v>1523</v>
      </c>
      <c r="G2250" s="12" t="s">
        <v>157</v>
      </c>
      <c r="H2250" s="15">
        <v>28371</v>
      </c>
      <c r="I2250" s="13">
        <v>50</v>
      </c>
    </row>
    <row r="2251" spans="6:9">
      <c r="F2251" s="12" t="s">
        <v>1526</v>
      </c>
      <c r="G2251" s="12" t="s">
        <v>157</v>
      </c>
      <c r="H2251" s="15">
        <v>22459</v>
      </c>
      <c r="I2251" s="13">
        <v>50</v>
      </c>
    </row>
    <row r="2252" spans="6:9">
      <c r="F2252" s="12" t="s">
        <v>3578</v>
      </c>
      <c r="G2252" s="12" t="s">
        <v>159</v>
      </c>
      <c r="H2252" s="15">
        <v>91200</v>
      </c>
      <c r="I2252" s="13">
        <v>50</v>
      </c>
    </row>
    <row r="2253" spans="6:9">
      <c r="F2253" s="12" t="s">
        <v>3579</v>
      </c>
      <c r="G2253" s="12" t="s">
        <v>157</v>
      </c>
      <c r="H2253" s="15">
        <v>17180</v>
      </c>
      <c r="I2253" s="13">
        <v>50</v>
      </c>
    </row>
    <row r="2254" spans="6:9">
      <c r="F2254" s="12" t="s">
        <v>3580</v>
      </c>
      <c r="G2254" s="12" t="s">
        <v>159</v>
      </c>
      <c r="H2254" s="15">
        <v>149000</v>
      </c>
      <c r="I2254" s="13">
        <v>50</v>
      </c>
    </row>
    <row r="2255" spans="6:9">
      <c r="F2255" s="12" t="s">
        <v>3581</v>
      </c>
      <c r="G2255" s="12" t="s">
        <v>159</v>
      </c>
      <c r="H2255" s="15">
        <v>72400</v>
      </c>
      <c r="I2255" s="13">
        <v>50</v>
      </c>
    </row>
    <row r="2256" spans="6:9">
      <c r="F2256" s="12" t="s">
        <v>3582</v>
      </c>
      <c r="G2256" s="12" t="s">
        <v>159</v>
      </c>
      <c r="H2256" s="15">
        <v>11700</v>
      </c>
      <c r="I2256" s="13">
        <v>50</v>
      </c>
    </row>
    <row r="2257" spans="6:9">
      <c r="F2257" s="12" t="s">
        <v>3583</v>
      </c>
      <c r="G2257" s="12" t="s">
        <v>159</v>
      </c>
      <c r="H2257" s="15">
        <v>20900</v>
      </c>
      <c r="I2257" s="13">
        <v>50</v>
      </c>
    </row>
    <row r="2258" spans="6:9">
      <c r="F2258" s="12" t="s">
        <v>3584</v>
      </c>
      <c r="G2258" s="12" t="s">
        <v>157</v>
      </c>
      <c r="H2258" s="15">
        <v>11981</v>
      </c>
      <c r="I2258" s="13">
        <v>50</v>
      </c>
    </row>
    <row r="2259" spans="6:9">
      <c r="F2259" s="12" t="s">
        <v>1529</v>
      </c>
      <c r="G2259" s="12" t="s">
        <v>157</v>
      </c>
      <c r="H2259" s="15">
        <v>15375</v>
      </c>
      <c r="I2259" s="13">
        <v>50</v>
      </c>
    </row>
    <row r="2260" spans="6:9">
      <c r="F2260" s="12" t="s">
        <v>3585</v>
      </c>
      <c r="G2260" s="12" t="s">
        <v>159</v>
      </c>
      <c r="H2260" s="15">
        <v>57100</v>
      </c>
      <c r="I2260" s="13">
        <v>50</v>
      </c>
    </row>
    <row r="2261" spans="6:9">
      <c r="F2261" s="12" t="s">
        <v>3586</v>
      </c>
      <c r="G2261" s="12" t="s">
        <v>159</v>
      </c>
      <c r="H2261" s="15">
        <v>134100</v>
      </c>
      <c r="I2261" s="13">
        <v>50</v>
      </c>
    </row>
    <row r="2262" spans="6:9">
      <c r="F2262" s="12" t="s">
        <v>1532</v>
      </c>
      <c r="G2262" s="12" t="s">
        <v>157</v>
      </c>
      <c r="H2262" s="15">
        <v>21038</v>
      </c>
      <c r="I2262" s="13">
        <v>50</v>
      </c>
    </row>
    <row r="2263" spans="6:9">
      <c r="F2263" s="12" t="s">
        <v>3587</v>
      </c>
      <c r="G2263" s="12" t="s">
        <v>159</v>
      </c>
      <c r="H2263" s="15">
        <v>731800</v>
      </c>
      <c r="I2263" s="13">
        <v>50</v>
      </c>
    </row>
    <row r="2264" spans="6:9">
      <c r="F2264" s="12" t="s">
        <v>3588</v>
      </c>
      <c r="G2264" s="12" t="s">
        <v>159</v>
      </c>
      <c r="H2264" s="15">
        <v>11000</v>
      </c>
      <c r="I2264" s="13">
        <v>50</v>
      </c>
    </row>
    <row r="2265" spans="6:9">
      <c r="F2265" s="12" t="s">
        <v>3589</v>
      </c>
      <c r="G2265" s="12" t="s">
        <v>159</v>
      </c>
      <c r="H2265" s="15">
        <v>10664778</v>
      </c>
      <c r="I2265" s="13">
        <v>50</v>
      </c>
    </row>
    <row r="2266" spans="6:9">
      <c r="F2266" s="12" t="s">
        <v>3590</v>
      </c>
      <c r="G2266" s="12" t="s">
        <v>159</v>
      </c>
      <c r="H2266" s="15">
        <v>58900</v>
      </c>
      <c r="I2266" s="13">
        <v>50</v>
      </c>
    </row>
    <row r="2267" spans="6:9">
      <c r="F2267" s="12" t="s">
        <v>3591</v>
      </c>
      <c r="G2267" s="12" t="s">
        <v>159</v>
      </c>
      <c r="H2267" s="15">
        <v>67400</v>
      </c>
      <c r="I2267" s="13">
        <v>50</v>
      </c>
    </row>
    <row r="2268" spans="6:9">
      <c r="F2268" s="12" t="s">
        <v>3592</v>
      </c>
      <c r="G2268" s="12" t="s">
        <v>159</v>
      </c>
      <c r="H2268" s="15">
        <v>766900</v>
      </c>
      <c r="I2268" s="13">
        <v>50</v>
      </c>
    </row>
    <row r="2269" spans="6:9">
      <c r="F2269" s="12" t="s">
        <v>1534</v>
      </c>
      <c r="G2269" s="12" t="s">
        <v>157</v>
      </c>
      <c r="H2269" s="15">
        <v>13026</v>
      </c>
      <c r="I2269" s="13">
        <v>50</v>
      </c>
    </row>
    <row r="2270" spans="6:9">
      <c r="F2270" s="12" t="s">
        <v>3593</v>
      </c>
      <c r="G2270" s="12" t="s">
        <v>159</v>
      </c>
      <c r="H2270" s="15">
        <v>28400</v>
      </c>
      <c r="I2270" s="13">
        <v>50</v>
      </c>
    </row>
    <row r="2271" spans="6:9">
      <c r="F2271" s="12" t="s">
        <v>3594</v>
      </c>
      <c r="G2271" s="12" t="s">
        <v>159</v>
      </c>
      <c r="H2271" s="15">
        <v>22200</v>
      </c>
      <c r="I2271" s="13">
        <v>50</v>
      </c>
    </row>
    <row r="2272" spans="6:9">
      <c r="F2272" s="12" t="s">
        <v>3595</v>
      </c>
      <c r="G2272" s="12" t="s">
        <v>159</v>
      </c>
      <c r="H2272" s="15">
        <v>1100000</v>
      </c>
      <c r="I2272" s="13">
        <v>50</v>
      </c>
    </row>
    <row r="2273" spans="6:9">
      <c r="F2273" s="12" t="s">
        <v>3596</v>
      </c>
      <c r="G2273" s="12" t="s">
        <v>159</v>
      </c>
      <c r="H2273" s="15">
        <v>907900</v>
      </c>
      <c r="I2273" s="13">
        <v>50</v>
      </c>
    </row>
    <row r="2274" spans="6:9">
      <c r="F2274" s="12" t="s">
        <v>3597</v>
      </c>
      <c r="G2274" s="12" t="s">
        <v>159</v>
      </c>
      <c r="H2274" s="15">
        <v>61000</v>
      </c>
      <c r="I2274" s="13">
        <v>50</v>
      </c>
    </row>
    <row r="2275" spans="6:9">
      <c r="F2275" s="12" t="s">
        <v>3598</v>
      </c>
      <c r="G2275" s="12" t="s">
        <v>157</v>
      </c>
      <c r="H2275" s="15">
        <v>18226</v>
      </c>
      <c r="I2275" s="13">
        <v>50</v>
      </c>
    </row>
    <row r="2276" spans="6:9">
      <c r="F2276" s="12" t="s">
        <v>1536</v>
      </c>
      <c r="G2276" s="12" t="s">
        <v>157</v>
      </c>
      <c r="H2276" s="15">
        <v>11755</v>
      </c>
      <c r="I2276" s="13">
        <v>50</v>
      </c>
    </row>
    <row r="2277" spans="6:9">
      <c r="F2277" s="12" t="s">
        <v>3599</v>
      </c>
      <c r="G2277" s="12" t="s">
        <v>159</v>
      </c>
      <c r="H2277" s="15">
        <v>9100000</v>
      </c>
      <c r="I2277" s="13">
        <v>50</v>
      </c>
    </row>
    <row r="2278" spans="6:9">
      <c r="F2278" s="12" t="s">
        <v>3600</v>
      </c>
      <c r="G2278" s="12" t="s">
        <v>157</v>
      </c>
      <c r="H2278" s="15">
        <v>14244</v>
      </c>
      <c r="I2278" s="13">
        <v>50</v>
      </c>
    </row>
    <row r="2279" spans="6:9">
      <c r="F2279" s="12" t="s">
        <v>1539</v>
      </c>
      <c r="G2279" s="12" t="s">
        <v>157</v>
      </c>
      <c r="H2279" s="15">
        <v>14100</v>
      </c>
      <c r="I2279" s="13">
        <v>50</v>
      </c>
    </row>
    <row r="2280" spans="6:9">
      <c r="F2280" s="12" t="s">
        <v>3601</v>
      </c>
      <c r="G2280" s="12" t="s">
        <v>157</v>
      </c>
      <c r="H2280" s="15">
        <v>30026</v>
      </c>
      <c r="I2280" s="13">
        <v>50</v>
      </c>
    </row>
    <row r="2281" spans="6:9">
      <c r="F2281" s="12" t="s">
        <v>1545</v>
      </c>
      <c r="G2281" s="12" t="s">
        <v>157</v>
      </c>
      <c r="H2281" s="15">
        <v>24709</v>
      </c>
      <c r="I2281" s="13">
        <v>50</v>
      </c>
    </row>
    <row r="2282" spans="6:9">
      <c r="F2282" s="12" t="s">
        <v>3602</v>
      </c>
      <c r="G2282" s="12" t="s">
        <v>159</v>
      </c>
      <c r="H2282" s="15">
        <v>198100</v>
      </c>
      <c r="I2282" s="13">
        <v>50</v>
      </c>
    </row>
    <row r="2283" spans="6:9">
      <c r="F2283" s="12" t="s">
        <v>3603</v>
      </c>
      <c r="G2283" s="12" t="s">
        <v>159</v>
      </c>
      <c r="H2283" s="15">
        <v>36600</v>
      </c>
      <c r="I2283" s="13">
        <v>50</v>
      </c>
    </row>
    <row r="2284" spans="6:9">
      <c r="F2284" s="12" t="s">
        <v>3604</v>
      </c>
      <c r="G2284" s="12" t="s">
        <v>159</v>
      </c>
      <c r="H2284" s="15">
        <v>17700</v>
      </c>
      <c r="I2284" s="13">
        <v>50</v>
      </c>
    </row>
    <row r="2285" spans="6:9">
      <c r="F2285" s="12" t="s">
        <v>3605</v>
      </c>
      <c r="G2285" s="12" t="s">
        <v>159</v>
      </c>
      <c r="H2285" s="15">
        <v>10600</v>
      </c>
      <c r="I2285" s="13">
        <v>50</v>
      </c>
    </row>
    <row r="2286" spans="6:9">
      <c r="F2286" s="12" t="s">
        <v>3606</v>
      </c>
      <c r="G2286" s="12" t="s">
        <v>157</v>
      </c>
      <c r="H2286" s="15">
        <v>11490</v>
      </c>
      <c r="I2286" s="13">
        <v>50</v>
      </c>
    </row>
    <row r="2287" spans="6:9">
      <c r="F2287" s="12" t="s">
        <v>3607</v>
      </c>
      <c r="G2287" s="12" t="s">
        <v>159</v>
      </c>
      <c r="H2287" s="15">
        <v>381300</v>
      </c>
      <c r="I2287" s="13">
        <v>50</v>
      </c>
    </row>
    <row r="2288" spans="6:9">
      <c r="F2288" s="12" t="s">
        <v>3608</v>
      </c>
      <c r="G2288" s="12" t="s">
        <v>157</v>
      </c>
      <c r="H2288" s="15">
        <v>25633</v>
      </c>
      <c r="I2288" s="13">
        <v>50</v>
      </c>
    </row>
    <row r="2289" spans="6:9">
      <c r="F2289" s="12" t="s">
        <v>3609</v>
      </c>
      <c r="G2289" s="12" t="s">
        <v>157</v>
      </c>
      <c r="H2289" s="15">
        <v>22435</v>
      </c>
      <c r="I2289" s="13">
        <v>50</v>
      </c>
    </row>
    <row r="2290" spans="6:9">
      <c r="F2290" s="12" t="s">
        <v>3610</v>
      </c>
      <c r="G2290" s="12" t="s">
        <v>159</v>
      </c>
      <c r="H2290" s="15">
        <v>15600</v>
      </c>
      <c r="I2290" s="13">
        <v>50</v>
      </c>
    </row>
    <row r="2291" spans="6:9">
      <c r="F2291" s="12" t="s">
        <v>3611</v>
      </c>
      <c r="G2291" s="12" t="s">
        <v>159</v>
      </c>
      <c r="H2291" s="15">
        <v>10700</v>
      </c>
      <c r="I2291" s="13">
        <v>50</v>
      </c>
    </row>
    <row r="2292" spans="6:9">
      <c r="F2292" s="12" t="s">
        <v>3612</v>
      </c>
      <c r="G2292" s="12" t="s">
        <v>157</v>
      </c>
      <c r="H2292" s="15">
        <v>13401</v>
      </c>
      <c r="I2292" s="13">
        <v>50</v>
      </c>
    </row>
    <row r="2293" spans="6:9">
      <c r="F2293" s="12" t="s">
        <v>3613</v>
      </c>
      <c r="G2293" s="12" t="s">
        <v>159</v>
      </c>
      <c r="H2293" s="15">
        <v>10000</v>
      </c>
      <c r="I2293" s="13">
        <v>50</v>
      </c>
    </row>
    <row r="2294" spans="6:9">
      <c r="F2294" s="12" t="s">
        <v>3614</v>
      </c>
      <c r="G2294" s="12" t="s">
        <v>159</v>
      </c>
      <c r="H2294" s="15">
        <v>23600</v>
      </c>
      <c r="I2294" s="13">
        <v>50</v>
      </c>
    </row>
    <row r="2295" spans="6:9">
      <c r="F2295" s="12" t="s">
        <v>3615</v>
      </c>
      <c r="G2295" s="12" t="s">
        <v>159</v>
      </c>
      <c r="H2295" s="15">
        <v>48400</v>
      </c>
      <c r="I2295" s="13">
        <v>50</v>
      </c>
    </row>
    <row r="2296" spans="6:9">
      <c r="F2296" s="12" t="s">
        <v>3616</v>
      </c>
      <c r="G2296" s="12" t="s">
        <v>159</v>
      </c>
      <c r="H2296" s="15">
        <v>25600</v>
      </c>
      <c r="I2296" s="13">
        <v>50</v>
      </c>
    </row>
    <row r="2297" spans="6:9">
      <c r="F2297" s="12" t="s">
        <v>3617</v>
      </c>
      <c r="G2297" s="12" t="s">
        <v>159</v>
      </c>
      <c r="H2297" s="15">
        <v>112300</v>
      </c>
      <c r="I2297" s="13">
        <v>50</v>
      </c>
    </row>
    <row r="2298" spans="6:9">
      <c r="F2298" s="12" t="s">
        <v>3618</v>
      </c>
      <c r="G2298" s="12" t="s">
        <v>159</v>
      </c>
      <c r="H2298" s="15">
        <v>33000</v>
      </c>
      <c r="I2298" s="13">
        <v>50</v>
      </c>
    </row>
    <row r="2299" spans="6:9">
      <c r="F2299" s="12" t="s">
        <v>3619</v>
      </c>
      <c r="G2299" s="12" t="s">
        <v>159</v>
      </c>
      <c r="H2299" s="15">
        <v>257900</v>
      </c>
      <c r="I2299" s="13">
        <v>50</v>
      </c>
    </row>
    <row r="2300" spans="6:9">
      <c r="F2300" s="12" t="s">
        <v>3620</v>
      </c>
      <c r="G2300" s="12" t="s">
        <v>159</v>
      </c>
      <c r="H2300" s="15">
        <v>40800</v>
      </c>
      <c r="I2300" s="13">
        <v>50</v>
      </c>
    </row>
    <row r="2301" spans="6:9">
      <c r="F2301" s="12" t="s">
        <v>3621</v>
      </c>
      <c r="G2301" s="12" t="s">
        <v>159</v>
      </c>
      <c r="H2301" s="15">
        <v>15300</v>
      </c>
      <c r="I2301" s="13">
        <v>50</v>
      </c>
    </row>
    <row r="2302" spans="6:9">
      <c r="F2302" s="12" t="s">
        <v>3622</v>
      </c>
      <c r="G2302" s="12" t="s">
        <v>159</v>
      </c>
      <c r="H2302" s="15">
        <v>21700</v>
      </c>
      <c r="I2302" s="13">
        <v>50</v>
      </c>
    </row>
    <row r="2303" spans="6:9">
      <c r="F2303" s="12" t="s">
        <v>3623</v>
      </c>
      <c r="G2303" s="12" t="s">
        <v>159</v>
      </c>
      <c r="H2303" s="15">
        <v>113400</v>
      </c>
      <c r="I2303" s="13">
        <v>50</v>
      </c>
    </row>
    <row r="2304" spans="6:9">
      <c r="F2304" s="12" t="s">
        <v>3624</v>
      </c>
      <c r="G2304" s="12" t="s">
        <v>157</v>
      </c>
      <c r="H2304" s="15">
        <v>16441</v>
      </c>
      <c r="I2304" s="13">
        <v>50</v>
      </c>
    </row>
    <row r="2305" spans="6:9">
      <c r="F2305" s="12" t="s">
        <v>3625</v>
      </c>
      <c r="G2305" s="12" t="s">
        <v>157</v>
      </c>
      <c r="H2305" s="15">
        <v>10404</v>
      </c>
      <c r="I2305" s="13">
        <v>50</v>
      </c>
    </row>
    <row r="2306" spans="6:9">
      <c r="F2306" s="12" t="s">
        <v>3626</v>
      </c>
      <c r="G2306" s="12" t="s">
        <v>159</v>
      </c>
      <c r="H2306" s="15">
        <v>103200</v>
      </c>
      <c r="I2306" s="13">
        <v>50</v>
      </c>
    </row>
    <row r="2307" spans="6:9">
      <c r="F2307" s="12" t="s">
        <v>1547</v>
      </c>
      <c r="G2307" s="12" t="s">
        <v>157</v>
      </c>
      <c r="H2307" s="15">
        <v>11459</v>
      </c>
      <c r="I2307" s="13">
        <v>50</v>
      </c>
    </row>
    <row r="2308" spans="6:9">
      <c r="F2308" s="12" t="s">
        <v>3627</v>
      </c>
      <c r="G2308" s="12" t="s">
        <v>157</v>
      </c>
      <c r="H2308" s="15">
        <v>25825</v>
      </c>
      <c r="I2308" s="13">
        <v>50</v>
      </c>
    </row>
    <row r="2309" spans="6:9">
      <c r="F2309" s="12" t="s">
        <v>3628</v>
      </c>
      <c r="G2309" s="12" t="s">
        <v>159</v>
      </c>
      <c r="H2309" s="15">
        <v>60400</v>
      </c>
      <c r="I2309" s="13">
        <v>50</v>
      </c>
    </row>
    <row r="2310" spans="6:9">
      <c r="F2310" s="12" t="s">
        <v>3629</v>
      </c>
      <c r="G2310" s="12" t="s">
        <v>159</v>
      </c>
      <c r="H2310" s="15">
        <v>71200</v>
      </c>
      <c r="I2310" s="13">
        <v>50</v>
      </c>
    </row>
    <row r="2311" spans="6:9">
      <c r="F2311" s="12" t="s">
        <v>3630</v>
      </c>
      <c r="G2311" s="12" t="s">
        <v>159</v>
      </c>
      <c r="H2311" s="15">
        <v>37900</v>
      </c>
      <c r="I2311" s="13">
        <v>50</v>
      </c>
    </row>
    <row r="2312" spans="6:9">
      <c r="F2312" s="12" t="s">
        <v>3631</v>
      </c>
      <c r="G2312" s="12" t="s">
        <v>157</v>
      </c>
      <c r="H2312" s="15">
        <v>16584</v>
      </c>
      <c r="I2312" s="13">
        <v>50</v>
      </c>
    </row>
    <row r="2313" spans="6:9">
      <c r="F2313" s="12" t="s">
        <v>1553</v>
      </c>
      <c r="G2313" s="12" t="s">
        <v>157</v>
      </c>
      <c r="H2313" s="15">
        <v>17438</v>
      </c>
      <c r="I2313" s="13">
        <v>50</v>
      </c>
    </row>
    <row r="2314" spans="6:9">
      <c r="F2314" s="12" t="s">
        <v>3632</v>
      </c>
      <c r="G2314" s="12" t="s">
        <v>159</v>
      </c>
      <c r="H2314" s="15">
        <v>14300</v>
      </c>
      <c r="I2314" s="13">
        <v>50</v>
      </c>
    </row>
    <row r="2315" spans="6:9">
      <c r="F2315" s="12" t="s">
        <v>3633</v>
      </c>
      <c r="G2315" s="12" t="s">
        <v>157</v>
      </c>
      <c r="H2315" s="15">
        <v>15129</v>
      </c>
      <c r="I2315" s="13">
        <v>50</v>
      </c>
    </row>
    <row r="2316" spans="6:9">
      <c r="F2316" s="12" t="s">
        <v>3634</v>
      </c>
      <c r="G2316" s="12" t="s">
        <v>157</v>
      </c>
      <c r="H2316" s="15">
        <v>20206</v>
      </c>
      <c r="I2316" s="13">
        <v>50</v>
      </c>
    </row>
    <row r="2317" spans="6:9">
      <c r="F2317" s="12" t="s">
        <v>1556</v>
      </c>
      <c r="G2317" s="12" t="s">
        <v>157</v>
      </c>
      <c r="H2317" s="15">
        <v>26228</v>
      </c>
      <c r="I2317" s="13">
        <v>50</v>
      </c>
    </row>
    <row r="2318" spans="6:9">
      <c r="F2318" s="12" t="s">
        <v>3635</v>
      </c>
      <c r="G2318" s="12" t="s">
        <v>159</v>
      </c>
      <c r="H2318" s="15">
        <v>110800</v>
      </c>
      <c r="I2318" s="13">
        <v>50</v>
      </c>
    </row>
    <row r="2319" spans="6:9">
      <c r="F2319" s="12" t="s">
        <v>3636</v>
      </c>
      <c r="G2319" s="12" t="s">
        <v>157</v>
      </c>
      <c r="H2319" s="15">
        <v>32522</v>
      </c>
      <c r="I2319" s="13">
        <v>50</v>
      </c>
    </row>
    <row r="2320" spans="6:9">
      <c r="F2320" s="12" t="s">
        <v>3637</v>
      </c>
      <c r="G2320" s="12" t="s">
        <v>159</v>
      </c>
      <c r="H2320" s="15">
        <v>10500</v>
      </c>
      <c r="I2320" s="13">
        <v>50</v>
      </c>
    </row>
    <row r="2321" spans="6:9">
      <c r="F2321" s="12" t="s">
        <v>3638</v>
      </c>
      <c r="G2321" s="12" t="s">
        <v>157</v>
      </c>
      <c r="H2321" s="15">
        <v>12595</v>
      </c>
      <c r="I2321" s="13">
        <v>50</v>
      </c>
    </row>
    <row r="2322" spans="6:9">
      <c r="F2322" s="12" t="s">
        <v>3639</v>
      </c>
      <c r="G2322" s="12" t="s">
        <v>159</v>
      </c>
      <c r="H2322" s="15">
        <v>86500</v>
      </c>
      <c r="I2322" s="13">
        <v>50</v>
      </c>
    </row>
    <row r="2323" spans="6:9">
      <c r="F2323" s="12" t="s">
        <v>3640</v>
      </c>
      <c r="G2323" s="12" t="s">
        <v>159</v>
      </c>
      <c r="H2323" s="15">
        <v>23000</v>
      </c>
      <c r="I2323" s="13">
        <v>50</v>
      </c>
    </row>
    <row r="2324" spans="6:9">
      <c r="F2324" s="12" t="s">
        <v>3641</v>
      </c>
      <c r="G2324" s="12" t="s">
        <v>157</v>
      </c>
      <c r="H2324" s="15">
        <v>19101</v>
      </c>
      <c r="I2324" s="13">
        <v>50</v>
      </c>
    </row>
    <row r="2325" spans="6:9">
      <c r="F2325" s="12" t="s">
        <v>3642</v>
      </c>
      <c r="G2325" s="12" t="s">
        <v>159</v>
      </c>
      <c r="H2325" s="15">
        <v>10600</v>
      </c>
      <c r="I2325" s="13">
        <v>50</v>
      </c>
    </row>
    <row r="2326" spans="6:9">
      <c r="F2326" s="12" t="s">
        <v>3643</v>
      </c>
      <c r="G2326" s="12" t="s">
        <v>159</v>
      </c>
      <c r="H2326" s="15">
        <v>12800</v>
      </c>
      <c r="I2326" s="13">
        <v>50</v>
      </c>
    </row>
    <row r="2327" spans="6:9">
      <c r="F2327" s="12" t="s">
        <v>1559</v>
      </c>
      <c r="G2327" s="12" t="s">
        <v>157</v>
      </c>
      <c r="H2327" s="15">
        <v>10908</v>
      </c>
      <c r="I2327" s="13">
        <v>50</v>
      </c>
    </row>
    <row r="2328" spans="6:9">
      <c r="F2328" s="12" t="s">
        <v>1562</v>
      </c>
      <c r="G2328" s="12" t="s">
        <v>157</v>
      </c>
      <c r="H2328" s="15">
        <v>31536</v>
      </c>
      <c r="I2328" s="13">
        <v>50</v>
      </c>
    </row>
    <row r="2329" spans="6:9">
      <c r="F2329" s="12" t="s">
        <v>3644</v>
      </c>
      <c r="G2329" s="12" t="s">
        <v>157</v>
      </c>
      <c r="H2329" s="15">
        <v>34238</v>
      </c>
      <c r="I2329" s="13">
        <v>50</v>
      </c>
    </row>
    <row r="2330" spans="6:9">
      <c r="F2330" s="12" t="s">
        <v>3645</v>
      </c>
      <c r="G2330" s="12" t="s">
        <v>159</v>
      </c>
      <c r="H2330" s="15">
        <v>58500</v>
      </c>
      <c r="I2330" s="13">
        <v>50</v>
      </c>
    </row>
    <row r="2331" spans="6:9">
      <c r="F2331" s="12" t="s">
        <v>3646</v>
      </c>
      <c r="G2331" s="12" t="s">
        <v>157</v>
      </c>
      <c r="H2331" s="15">
        <v>20097</v>
      </c>
      <c r="I2331" s="13">
        <v>50</v>
      </c>
    </row>
    <row r="2332" spans="6:9">
      <c r="F2332" s="12" t="s">
        <v>3647</v>
      </c>
      <c r="G2332" s="12" t="s">
        <v>159</v>
      </c>
      <c r="H2332" s="15">
        <v>3757253</v>
      </c>
      <c r="I2332" s="13">
        <v>50</v>
      </c>
    </row>
    <row r="2333" spans="6:9">
      <c r="F2333" s="12" t="s">
        <v>3648</v>
      </c>
      <c r="G2333" s="12" t="s">
        <v>159</v>
      </c>
      <c r="H2333" s="15">
        <v>92300</v>
      </c>
      <c r="I2333" s="13">
        <v>50</v>
      </c>
    </row>
    <row r="2334" spans="6:9">
      <c r="F2334" s="12" t="s">
        <v>3649</v>
      </c>
      <c r="G2334" s="12" t="s">
        <v>159</v>
      </c>
      <c r="H2334" s="15">
        <v>16500</v>
      </c>
      <c r="I2334" s="13">
        <v>50</v>
      </c>
    </row>
    <row r="2335" spans="6:9">
      <c r="F2335" s="12" t="s">
        <v>3650</v>
      </c>
      <c r="G2335" s="12" t="s">
        <v>159</v>
      </c>
      <c r="H2335" s="15">
        <v>36800</v>
      </c>
      <c r="I2335" s="13">
        <v>50</v>
      </c>
    </row>
    <row r="2336" spans="6:9">
      <c r="F2336" s="12" t="s">
        <v>3651</v>
      </c>
      <c r="G2336" s="12" t="s">
        <v>159</v>
      </c>
      <c r="H2336" s="15">
        <v>13300</v>
      </c>
      <c r="I2336" s="13">
        <v>50</v>
      </c>
    </row>
    <row r="2337" spans="6:9">
      <c r="F2337" s="12" t="s">
        <v>3652</v>
      </c>
      <c r="G2337" s="12" t="s">
        <v>159</v>
      </c>
      <c r="H2337" s="15">
        <v>47000</v>
      </c>
      <c r="I2337" s="13">
        <v>50</v>
      </c>
    </row>
    <row r="2338" spans="6:9">
      <c r="F2338" s="12" t="s">
        <v>3653</v>
      </c>
      <c r="G2338" s="12" t="s">
        <v>157</v>
      </c>
      <c r="H2338" s="15">
        <v>12184</v>
      </c>
      <c r="I2338" s="13">
        <v>50</v>
      </c>
    </row>
    <row r="2339" spans="6:9">
      <c r="F2339" s="12" t="s">
        <v>3654</v>
      </c>
      <c r="G2339" s="12" t="s">
        <v>159</v>
      </c>
      <c r="H2339" s="15">
        <v>894500</v>
      </c>
      <c r="I2339" s="13">
        <v>50</v>
      </c>
    </row>
    <row r="2340" spans="6:9">
      <c r="F2340" s="12" t="s">
        <v>1565</v>
      </c>
      <c r="G2340" s="12" t="s">
        <v>157</v>
      </c>
      <c r="H2340" s="15">
        <v>22448</v>
      </c>
      <c r="I2340" s="13">
        <v>50</v>
      </c>
    </row>
    <row r="2341" spans="6:9">
      <c r="F2341" s="12" t="s">
        <v>3655</v>
      </c>
      <c r="G2341" s="12" t="s">
        <v>159</v>
      </c>
      <c r="H2341" s="15">
        <v>54800</v>
      </c>
      <c r="I2341" s="13">
        <v>50</v>
      </c>
    </row>
    <row r="2342" spans="6:9">
      <c r="F2342" s="12" t="s">
        <v>3656</v>
      </c>
      <c r="G2342" s="12" t="s">
        <v>159</v>
      </c>
      <c r="H2342" s="15">
        <v>10500</v>
      </c>
      <c r="I2342" s="13">
        <v>50</v>
      </c>
    </row>
    <row r="2343" spans="6:9">
      <c r="F2343" s="12" t="s">
        <v>3657</v>
      </c>
      <c r="G2343" s="12" t="s">
        <v>159</v>
      </c>
      <c r="H2343" s="15">
        <v>476700</v>
      </c>
      <c r="I2343" s="13">
        <v>50</v>
      </c>
    </row>
    <row r="2344" spans="6:9">
      <c r="F2344" s="12" t="s">
        <v>3658</v>
      </c>
      <c r="G2344" s="12" t="s">
        <v>159</v>
      </c>
      <c r="H2344" s="15">
        <v>24300</v>
      </c>
      <c r="I2344" s="13">
        <v>50</v>
      </c>
    </row>
    <row r="2345" spans="6:9">
      <c r="F2345" s="12" t="s">
        <v>3659</v>
      </c>
      <c r="G2345" s="12" t="s">
        <v>159</v>
      </c>
      <c r="H2345" s="15">
        <v>64000</v>
      </c>
      <c r="I2345" s="13">
        <v>50</v>
      </c>
    </row>
    <row r="2346" spans="6:9">
      <c r="F2346" s="12" t="s">
        <v>3660</v>
      </c>
      <c r="G2346" s="12" t="s">
        <v>157</v>
      </c>
      <c r="H2346" s="15">
        <v>15911</v>
      </c>
      <c r="I2346" s="13">
        <v>50</v>
      </c>
    </row>
    <row r="2347" spans="6:9">
      <c r="F2347" s="12" t="s">
        <v>1567</v>
      </c>
      <c r="G2347" s="12" t="s">
        <v>157</v>
      </c>
      <c r="H2347" s="15">
        <v>25289</v>
      </c>
      <c r="I2347" s="13">
        <v>50</v>
      </c>
    </row>
    <row r="2348" spans="6:9">
      <c r="F2348" s="12" t="s">
        <v>3661</v>
      </c>
      <c r="G2348" s="12" t="s">
        <v>159</v>
      </c>
      <c r="H2348" s="15">
        <v>10000</v>
      </c>
      <c r="I2348" s="13">
        <v>50</v>
      </c>
    </row>
    <row r="2349" spans="6:9">
      <c r="F2349" s="12" t="s">
        <v>3662</v>
      </c>
      <c r="G2349" s="12" t="s">
        <v>159</v>
      </c>
      <c r="H2349" s="15">
        <v>105900</v>
      </c>
      <c r="I2349" s="13">
        <v>50</v>
      </c>
    </row>
    <row r="2350" spans="6:9">
      <c r="F2350" s="12" t="s">
        <v>3663</v>
      </c>
      <c r="G2350" s="12" t="s">
        <v>159</v>
      </c>
      <c r="H2350" s="15">
        <v>3000000</v>
      </c>
      <c r="I2350" s="13">
        <v>50</v>
      </c>
    </row>
    <row r="2351" spans="6:9">
      <c r="F2351" s="12" t="s">
        <v>1569</v>
      </c>
      <c r="G2351" s="12" t="s">
        <v>157</v>
      </c>
      <c r="H2351" s="15">
        <v>18741</v>
      </c>
      <c r="I2351" s="13">
        <v>50</v>
      </c>
    </row>
    <row r="2352" spans="6:9">
      <c r="F2352" s="12" t="s">
        <v>3664</v>
      </c>
      <c r="G2352" s="12" t="s">
        <v>159</v>
      </c>
      <c r="H2352" s="15">
        <v>917400</v>
      </c>
      <c r="I2352" s="13">
        <v>50</v>
      </c>
    </row>
    <row r="2353" spans="6:9">
      <c r="F2353" s="12" t="s">
        <v>3665</v>
      </c>
      <c r="G2353" s="12" t="s">
        <v>159</v>
      </c>
      <c r="H2353" s="15">
        <v>128500</v>
      </c>
      <c r="I2353" s="13">
        <v>50</v>
      </c>
    </row>
    <row r="2354" spans="6:9">
      <c r="F2354" s="12" t="s">
        <v>3666</v>
      </c>
      <c r="G2354" s="12" t="s">
        <v>159</v>
      </c>
      <c r="H2354" s="15">
        <v>125200</v>
      </c>
      <c r="I2354" s="13">
        <v>50</v>
      </c>
    </row>
    <row r="2355" spans="6:9">
      <c r="F2355" s="12" t="s">
        <v>3667</v>
      </c>
      <c r="G2355" s="12" t="s">
        <v>159</v>
      </c>
      <c r="H2355" s="15">
        <v>144900</v>
      </c>
      <c r="I2355" s="13">
        <v>50</v>
      </c>
    </row>
    <row r="2356" spans="6:9">
      <c r="F2356" s="12" t="s">
        <v>3668</v>
      </c>
      <c r="G2356" s="12" t="s">
        <v>157</v>
      </c>
      <c r="H2356" s="15">
        <v>18551</v>
      </c>
      <c r="I2356" s="13">
        <v>50</v>
      </c>
    </row>
    <row r="2357" spans="6:9">
      <c r="F2357" s="12" t="s">
        <v>1572</v>
      </c>
      <c r="G2357" s="12" t="s">
        <v>157</v>
      </c>
      <c r="H2357" s="15">
        <v>18219</v>
      </c>
      <c r="I2357" s="13">
        <v>50</v>
      </c>
    </row>
    <row r="2358" spans="6:9">
      <c r="F2358" s="12" t="s">
        <v>1575</v>
      </c>
      <c r="G2358" s="12" t="s">
        <v>157</v>
      </c>
      <c r="H2358" s="15">
        <v>10884</v>
      </c>
      <c r="I2358" s="13">
        <v>50</v>
      </c>
    </row>
    <row r="2359" spans="6:9">
      <c r="F2359" s="12" t="s">
        <v>3669</v>
      </c>
      <c r="G2359" s="12" t="s">
        <v>159</v>
      </c>
      <c r="H2359" s="15">
        <v>314114</v>
      </c>
      <c r="I2359" s="13">
        <v>50</v>
      </c>
    </row>
    <row r="2360" spans="6:9">
      <c r="F2360" s="12" t="s">
        <v>3670</v>
      </c>
      <c r="G2360" s="12" t="s">
        <v>159</v>
      </c>
      <c r="H2360" s="15">
        <v>56000</v>
      </c>
      <c r="I2360" s="13">
        <v>50</v>
      </c>
    </row>
    <row r="2361" spans="6:9">
      <c r="F2361" s="12" t="s">
        <v>3671</v>
      </c>
      <c r="G2361" s="12" t="s">
        <v>159</v>
      </c>
      <c r="H2361" s="15">
        <v>12700</v>
      </c>
      <c r="I2361" s="13">
        <v>50</v>
      </c>
    </row>
    <row r="2362" spans="6:9">
      <c r="F2362" s="12" t="s">
        <v>3672</v>
      </c>
      <c r="G2362" s="12" t="s">
        <v>159</v>
      </c>
      <c r="H2362" s="15">
        <v>165500</v>
      </c>
      <c r="I2362" s="13">
        <v>50</v>
      </c>
    </row>
    <row r="2363" spans="6:9">
      <c r="F2363" s="12" t="s">
        <v>3673</v>
      </c>
      <c r="G2363" s="12" t="s">
        <v>157</v>
      </c>
      <c r="H2363" s="15">
        <v>16388</v>
      </c>
      <c r="I2363" s="13">
        <v>50</v>
      </c>
    </row>
    <row r="2364" spans="6:9">
      <c r="F2364" s="12" t="s">
        <v>3674</v>
      </c>
      <c r="G2364" s="12" t="s">
        <v>159</v>
      </c>
      <c r="H2364" s="15">
        <v>252500</v>
      </c>
      <c r="I2364" s="13">
        <v>50</v>
      </c>
    </row>
    <row r="2365" spans="6:9">
      <c r="F2365" s="12" t="s">
        <v>1578</v>
      </c>
      <c r="G2365" s="12" t="s">
        <v>157</v>
      </c>
      <c r="H2365" s="15">
        <v>15896</v>
      </c>
      <c r="I2365" s="13">
        <v>50</v>
      </c>
    </row>
    <row r="2366" spans="6:9">
      <c r="F2366" s="12" t="s">
        <v>3675</v>
      </c>
      <c r="G2366" s="12" t="s">
        <v>159</v>
      </c>
      <c r="H2366" s="15">
        <v>10200</v>
      </c>
      <c r="I2366" s="13">
        <v>50</v>
      </c>
    </row>
    <row r="2367" spans="6:9">
      <c r="F2367" s="12" t="s">
        <v>3676</v>
      </c>
      <c r="G2367" s="12" t="s">
        <v>157</v>
      </c>
      <c r="H2367" s="15">
        <v>11303</v>
      </c>
      <c r="I2367" s="13">
        <v>50</v>
      </c>
    </row>
    <row r="2368" spans="6:9">
      <c r="F2368" s="12" t="s">
        <v>3677</v>
      </c>
      <c r="G2368" s="12" t="s">
        <v>159</v>
      </c>
      <c r="H2368" s="15">
        <v>74100</v>
      </c>
      <c r="I2368" s="13">
        <v>50</v>
      </c>
    </row>
    <row r="2369" spans="6:9">
      <c r="F2369" s="12" t="s">
        <v>3678</v>
      </c>
      <c r="G2369" s="12" t="s">
        <v>159</v>
      </c>
      <c r="H2369" s="15">
        <v>44000</v>
      </c>
      <c r="I2369" s="13">
        <v>50</v>
      </c>
    </row>
    <row r="2370" spans="6:9">
      <c r="F2370" s="12" t="s">
        <v>1581</v>
      </c>
      <c r="G2370" s="12" t="s">
        <v>157</v>
      </c>
      <c r="H2370" s="15">
        <v>16666</v>
      </c>
      <c r="I2370" s="13">
        <v>50</v>
      </c>
    </row>
    <row r="2371" spans="6:9">
      <c r="F2371" s="12" t="s">
        <v>3679</v>
      </c>
      <c r="G2371" s="12" t="s">
        <v>159</v>
      </c>
      <c r="H2371" s="15">
        <v>61600</v>
      </c>
      <c r="I2371" s="13">
        <v>50</v>
      </c>
    </row>
    <row r="2372" spans="6:9">
      <c r="F2372" s="12" t="s">
        <v>3680</v>
      </c>
      <c r="G2372" s="12" t="s">
        <v>159</v>
      </c>
      <c r="H2372" s="15">
        <v>18700</v>
      </c>
      <c r="I2372" s="13">
        <v>50</v>
      </c>
    </row>
    <row r="2373" spans="6:9">
      <c r="F2373" s="12" t="s">
        <v>3681</v>
      </c>
      <c r="G2373" s="12" t="s">
        <v>159</v>
      </c>
      <c r="H2373" s="15">
        <v>10800</v>
      </c>
      <c r="I2373" s="13">
        <v>50</v>
      </c>
    </row>
    <row r="2374" spans="6:9">
      <c r="F2374" s="12" t="s">
        <v>3682</v>
      </c>
      <c r="G2374" s="12" t="s">
        <v>159</v>
      </c>
      <c r="H2374" s="15">
        <v>102600</v>
      </c>
      <c r="I2374" s="13">
        <v>50</v>
      </c>
    </row>
    <row r="2375" spans="6:9">
      <c r="F2375" s="12" t="s">
        <v>3683</v>
      </c>
      <c r="G2375" s="12" t="s">
        <v>159</v>
      </c>
      <c r="H2375" s="15">
        <v>10400</v>
      </c>
      <c r="I2375" s="13">
        <v>50</v>
      </c>
    </row>
    <row r="2376" spans="6:9">
      <c r="F2376" s="12" t="s">
        <v>1583</v>
      </c>
      <c r="G2376" s="12" t="s">
        <v>157</v>
      </c>
      <c r="H2376" s="15">
        <v>10029</v>
      </c>
      <c r="I2376" s="13">
        <v>50</v>
      </c>
    </row>
    <row r="2377" spans="6:9">
      <c r="F2377" s="12" t="s">
        <v>3684</v>
      </c>
      <c r="G2377" s="12" t="s">
        <v>159</v>
      </c>
      <c r="H2377" s="15">
        <v>22600</v>
      </c>
      <c r="I2377" s="13">
        <v>50</v>
      </c>
    </row>
    <row r="2378" spans="6:9">
      <c r="F2378" s="12" t="s">
        <v>1585</v>
      </c>
      <c r="G2378" s="12" t="s">
        <v>157</v>
      </c>
      <c r="H2378" s="15">
        <v>10246</v>
      </c>
      <c r="I2378" s="13">
        <v>50</v>
      </c>
    </row>
    <row r="2379" spans="6:9">
      <c r="F2379" s="12" t="s">
        <v>3685</v>
      </c>
      <c r="G2379" s="12" t="s">
        <v>157</v>
      </c>
      <c r="H2379" s="15">
        <v>10075</v>
      </c>
      <c r="I2379" s="13">
        <v>50</v>
      </c>
    </row>
    <row r="2380" spans="6:9">
      <c r="F2380" s="12" t="s">
        <v>3686</v>
      </c>
      <c r="G2380" s="12" t="s">
        <v>159</v>
      </c>
      <c r="H2380" s="15">
        <v>23700</v>
      </c>
      <c r="I2380" s="13">
        <v>50</v>
      </c>
    </row>
    <row r="2381" spans="6:9">
      <c r="F2381" s="12" t="s">
        <v>3687</v>
      </c>
      <c r="G2381" s="12" t="s">
        <v>159</v>
      </c>
      <c r="H2381" s="15">
        <v>228200</v>
      </c>
      <c r="I2381" s="13">
        <v>50</v>
      </c>
    </row>
    <row r="2382" spans="6:9">
      <c r="F2382" s="12" t="s">
        <v>3688</v>
      </c>
      <c r="G2382" s="12" t="s">
        <v>159</v>
      </c>
      <c r="H2382" s="15">
        <v>4700000</v>
      </c>
      <c r="I2382" s="13">
        <v>50</v>
      </c>
    </row>
    <row r="2383" spans="6:9">
      <c r="F2383" s="12" t="s">
        <v>3689</v>
      </c>
      <c r="G2383" s="12" t="s">
        <v>157</v>
      </c>
      <c r="H2383" s="15">
        <v>12534</v>
      </c>
      <c r="I2383" s="13">
        <v>50</v>
      </c>
    </row>
    <row r="2384" spans="6:9">
      <c r="F2384" s="12" t="s">
        <v>3690</v>
      </c>
      <c r="G2384" s="12" t="s">
        <v>159</v>
      </c>
      <c r="H2384" s="15">
        <v>52200</v>
      </c>
      <c r="I2384" s="13">
        <v>50</v>
      </c>
    </row>
    <row r="2385" spans="6:9">
      <c r="F2385" s="12" t="s">
        <v>3691</v>
      </c>
      <c r="G2385" s="12" t="s">
        <v>157</v>
      </c>
      <c r="H2385" s="15">
        <v>12979</v>
      </c>
      <c r="I2385" s="13">
        <v>50</v>
      </c>
    </row>
    <row r="2386" spans="6:9">
      <c r="F2386" s="12" t="s">
        <v>3692</v>
      </c>
      <c r="G2386" s="12" t="s">
        <v>159</v>
      </c>
      <c r="H2386" s="15">
        <v>35900</v>
      </c>
      <c r="I2386" s="13">
        <v>50</v>
      </c>
    </row>
    <row r="2387" spans="6:9">
      <c r="F2387" s="12" t="s">
        <v>3693</v>
      </c>
      <c r="G2387" s="12" t="s">
        <v>159</v>
      </c>
      <c r="H2387" s="15">
        <v>13000</v>
      </c>
      <c r="I2387" s="13">
        <v>50</v>
      </c>
    </row>
    <row r="2388" spans="6:9">
      <c r="F2388" s="12" t="s">
        <v>1588</v>
      </c>
      <c r="G2388" s="12" t="s">
        <v>157</v>
      </c>
      <c r="H2388" s="15">
        <v>21658</v>
      </c>
      <c r="I2388" s="13">
        <v>50</v>
      </c>
    </row>
    <row r="2389" spans="6:9">
      <c r="F2389" s="12" t="s">
        <v>3694</v>
      </c>
      <c r="G2389" s="12" t="s">
        <v>159</v>
      </c>
      <c r="H2389" s="15">
        <v>128300</v>
      </c>
      <c r="I2389" s="13">
        <v>50</v>
      </c>
    </row>
    <row r="2390" spans="6:9">
      <c r="F2390" s="12" t="s">
        <v>3695</v>
      </c>
      <c r="G2390" s="12" t="s">
        <v>159</v>
      </c>
      <c r="H2390" s="15">
        <v>10400</v>
      </c>
      <c r="I2390" s="13">
        <v>50</v>
      </c>
    </row>
    <row r="2391" spans="6:9">
      <c r="F2391" s="12" t="s">
        <v>3696</v>
      </c>
      <c r="G2391" s="12" t="s">
        <v>159</v>
      </c>
      <c r="H2391" s="15">
        <v>203700</v>
      </c>
      <c r="I2391" s="13">
        <v>50</v>
      </c>
    </row>
    <row r="2392" spans="6:9">
      <c r="F2392" s="12" t="s">
        <v>3697</v>
      </c>
      <c r="G2392" s="12" t="s">
        <v>159</v>
      </c>
      <c r="H2392" s="15">
        <v>1002121</v>
      </c>
      <c r="I2392" s="13">
        <v>50</v>
      </c>
    </row>
    <row r="2393" spans="6:9">
      <c r="F2393" s="12" t="s">
        <v>3698</v>
      </c>
      <c r="G2393" s="12" t="s">
        <v>159</v>
      </c>
      <c r="H2393" s="15">
        <v>111600</v>
      </c>
      <c r="I2393" s="13">
        <v>50</v>
      </c>
    </row>
    <row r="2394" spans="6:9">
      <c r="F2394" s="12" t="s">
        <v>3699</v>
      </c>
      <c r="G2394" s="12" t="s">
        <v>159</v>
      </c>
      <c r="H2394" s="15">
        <v>343835</v>
      </c>
      <c r="I2394" s="13">
        <v>50</v>
      </c>
    </row>
    <row r="2395" spans="6:9">
      <c r="F2395" s="12" t="s">
        <v>3700</v>
      </c>
      <c r="G2395" s="12" t="s">
        <v>159</v>
      </c>
      <c r="H2395" s="15">
        <v>112400</v>
      </c>
      <c r="I2395" s="13">
        <v>50</v>
      </c>
    </row>
    <row r="2396" spans="6:9">
      <c r="F2396" s="12" t="s">
        <v>3701</v>
      </c>
      <c r="G2396" s="12" t="s">
        <v>157</v>
      </c>
      <c r="H2396" s="15">
        <v>12109</v>
      </c>
      <c r="I2396" s="13">
        <v>50</v>
      </c>
    </row>
    <row r="2397" spans="6:9">
      <c r="F2397" s="12" t="s">
        <v>1590</v>
      </c>
      <c r="G2397" s="12" t="s">
        <v>157</v>
      </c>
      <c r="H2397" s="15">
        <v>26344</v>
      </c>
      <c r="I2397" s="13">
        <v>50</v>
      </c>
    </row>
    <row r="2398" spans="6:9">
      <c r="F2398" s="12" t="s">
        <v>3702</v>
      </c>
      <c r="G2398" s="12" t="s">
        <v>159</v>
      </c>
      <c r="H2398" s="15">
        <v>23200</v>
      </c>
      <c r="I2398" s="13">
        <v>50</v>
      </c>
    </row>
    <row r="2399" spans="6:9">
      <c r="F2399" s="12" t="s">
        <v>1593</v>
      </c>
      <c r="G2399" s="12" t="s">
        <v>157</v>
      </c>
      <c r="H2399" s="15">
        <v>32212</v>
      </c>
      <c r="I2399" s="13">
        <v>50</v>
      </c>
    </row>
    <row r="2400" spans="6:9">
      <c r="F2400" s="12" t="s">
        <v>1596</v>
      </c>
      <c r="G2400" s="12" t="s">
        <v>157</v>
      </c>
      <c r="H2400" s="15">
        <v>13147</v>
      </c>
      <c r="I2400" s="13">
        <v>50</v>
      </c>
    </row>
    <row r="2401" spans="6:9">
      <c r="F2401" s="12" t="s">
        <v>3703</v>
      </c>
      <c r="G2401" s="12" t="s">
        <v>159</v>
      </c>
      <c r="H2401" s="15">
        <v>20700</v>
      </c>
      <c r="I2401" s="13">
        <v>50</v>
      </c>
    </row>
    <row r="2402" spans="6:9">
      <c r="F2402" s="12" t="s">
        <v>3704</v>
      </c>
      <c r="G2402" s="12" t="s">
        <v>157</v>
      </c>
      <c r="H2402" s="15">
        <v>10281</v>
      </c>
      <c r="I2402" s="13">
        <v>50</v>
      </c>
    </row>
    <row r="2403" spans="6:9">
      <c r="F2403" s="12" t="s">
        <v>3705</v>
      </c>
      <c r="G2403" s="12" t="s">
        <v>159</v>
      </c>
      <c r="H2403" s="15">
        <v>23300</v>
      </c>
      <c r="I2403" s="13">
        <v>50</v>
      </c>
    </row>
    <row r="2404" spans="6:9">
      <c r="F2404" s="12" t="s">
        <v>3706</v>
      </c>
      <c r="G2404" s="12" t="s">
        <v>159</v>
      </c>
      <c r="H2404" s="15">
        <v>61200</v>
      </c>
      <c r="I2404" s="13">
        <v>50</v>
      </c>
    </row>
    <row r="2405" spans="6:9">
      <c r="F2405" s="12" t="s">
        <v>3707</v>
      </c>
      <c r="G2405" s="12" t="s">
        <v>157</v>
      </c>
      <c r="H2405" s="15">
        <v>23195</v>
      </c>
      <c r="I2405" s="13">
        <v>50</v>
      </c>
    </row>
    <row r="2406" spans="6:9">
      <c r="F2406" s="12" t="s">
        <v>3708</v>
      </c>
      <c r="G2406" s="12" t="s">
        <v>157</v>
      </c>
      <c r="H2406" s="15">
        <v>23547</v>
      </c>
      <c r="I2406" s="13">
        <v>50</v>
      </c>
    </row>
    <row r="2407" spans="6:9">
      <c r="F2407" s="12" t="s">
        <v>3709</v>
      </c>
      <c r="G2407" s="12" t="s">
        <v>159</v>
      </c>
      <c r="H2407" s="15">
        <v>35100</v>
      </c>
      <c r="I2407" s="13">
        <v>50</v>
      </c>
    </row>
    <row r="2408" spans="6:9">
      <c r="F2408" s="12" t="s">
        <v>3710</v>
      </c>
      <c r="G2408" s="12" t="s">
        <v>159</v>
      </c>
      <c r="H2408" s="15">
        <v>88300</v>
      </c>
      <c r="I2408" s="13">
        <v>50</v>
      </c>
    </row>
    <row r="2409" spans="6:9">
      <c r="F2409" s="12" t="s">
        <v>3711</v>
      </c>
      <c r="G2409" s="12" t="s">
        <v>159</v>
      </c>
      <c r="H2409" s="15">
        <v>88700</v>
      </c>
      <c r="I2409" s="13">
        <v>50</v>
      </c>
    </row>
    <row r="2410" spans="6:9">
      <c r="F2410" s="12" t="s">
        <v>3712</v>
      </c>
      <c r="G2410" s="12" t="s">
        <v>157</v>
      </c>
      <c r="H2410" s="15">
        <v>11914</v>
      </c>
      <c r="I2410" s="13">
        <v>50</v>
      </c>
    </row>
    <row r="2411" spans="6:9">
      <c r="F2411" s="12" t="s">
        <v>1598</v>
      </c>
      <c r="G2411" s="12" t="s">
        <v>157</v>
      </c>
      <c r="H2411" s="15">
        <v>34714</v>
      </c>
      <c r="I2411" s="13">
        <v>50</v>
      </c>
    </row>
    <row r="2412" spans="6:9">
      <c r="F2412" s="12" t="s">
        <v>1601</v>
      </c>
      <c r="G2412" s="12" t="s">
        <v>157</v>
      </c>
      <c r="H2412" s="15">
        <v>21998</v>
      </c>
      <c r="I2412" s="13">
        <v>50</v>
      </c>
    </row>
    <row r="2413" spans="6:9">
      <c r="F2413" s="12" t="s">
        <v>3713</v>
      </c>
      <c r="G2413" s="12" t="s">
        <v>159</v>
      </c>
      <c r="H2413" s="15">
        <v>19500</v>
      </c>
      <c r="I2413" s="13">
        <v>50</v>
      </c>
    </row>
    <row r="2414" spans="6:9">
      <c r="F2414" s="12" t="s">
        <v>3714</v>
      </c>
      <c r="G2414" s="12" t="s">
        <v>159</v>
      </c>
      <c r="H2414" s="15">
        <v>18800</v>
      </c>
      <c r="I2414" s="13">
        <v>50</v>
      </c>
    </row>
    <row r="2415" spans="6:9">
      <c r="F2415" s="12" t="s">
        <v>3715</v>
      </c>
      <c r="G2415" s="12" t="s">
        <v>159</v>
      </c>
      <c r="H2415" s="15">
        <v>407051</v>
      </c>
      <c r="I2415" s="13">
        <v>50</v>
      </c>
    </row>
    <row r="2416" spans="6:9">
      <c r="F2416" s="12" t="s">
        <v>3716</v>
      </c>
      <c r="G2416" s="12" t="s">
        <v>159</v>
      </c>
      <c r="H2416" s="15">
        <v>59100</v>
      </c>
      <c r="I2416" s="13">
        <v>50</v>
      </c>
    </row>
    <row r="2417" spans="6:9">
      <c r="F2417" s="12" t="s">
        <v>3717</v>
      </c>
      <c r="G2417" s="12" t="s">
        <v>159</v>
      </c>
      <c r="H2417" s="15">
        <v>29500</v>
      </c>
      <c r="I2417" s="13">
        <v>50</v>
      </c>
    </row>
    <row r="2418" spans="6:9">
      <c r="F2418" s="12" t="s">
        <v>3718</v>
      </c>
      <c r="G2418" s="12" t="s">
        <v>157</v>
      </c>
      <c r="H2418" s="15">
        <v>13020</v>
      </c>
      <c r="I2418" s="13">
        <v>50</v>
      </c>
    </row>
    <row r="2419" spans="6:9">
      <c r="F2419" s="12" t="s">
        <v>3719</v>
      </c>
      <c r="G2419" s="12" t="s">
        <v>159</v>
      </c>
      <c r="H2419" s="15">
        <v>243400</v>
      </c>
      <c r="I2419" s="13">
        <v>50</v>
      </c>
    </row>
    <row r="2420" spans="6:9">
      <c r="F2420" s="12" t="s">
        <v>183</v>
      </c>
      <c r="G2420" s="12" t="s">
        <v>157</v>
      </c>
      <c r="H2420" s="15">
        <v>299227</v>
      </c>
      <c r="I2420" s="13">
        <v>50</v>
      </c>
    </row>
    <row r="2421" spans="6:9">
      <c r="F2421" s="12" t="s">
        <v>3720</v>
      </c>
      <c r="G2421" s="12" t="s">
        <v>159</v>
      </c>
      <c r="H2421" s="15">
        <v>48100</v>
      </c>
      <c r="I2421" s="13">
        <v>50</v>
      </c>
    </row>
    <row r="2422" spans="6:9">
      <c r="F2422" s="12" t="s">
        <v>3721</v>
      </c>
      <c r="G2422" s="12" t="s">
        <v>157</v>
      </c>
      <c r="H2422" s="15">
        <v>12378</v>
      </c>
      <c r="I2422" s="13">
        <v>50</v>
      </c>
    </row>
    <row r="2423" spans="6:9">
      <c r="F2423" s="12" t="s">
        <v>194</v>
      </c>
      <c r="G2423" s="12" t="s">
        <v>157</v>
      </c>
      <c r="H2423" s="15">
        <v>1077231</v>
      </c>
      <c r="I2423" s="13">
        <v>50</v>
      </c>
    </row>
    <row r="2424" spans="6:9">
      <c r="F2424" s="12" t="s">
        <v>3722</v>
      </c>
      <c r="G2424" s="12" t="s">
        <v>159</v>
      </c>
      <c r="H2424" s="15">
        <v>354155</v>
      </c>
      <c r="I2424" s="13">
        <v>50</v>
      </c>
    </row>
    <row r="2425" spans="6:9">
      <c r="F2425" s="12" t="s">
        <v>3723</v>
      </c>
      <c r="G2425" s="12" t="s">
        <v>157</v>
      </c>
      <c r="H2425" s="15">
        <v>11229</v>
      </c>
      <c r="I2425" s="13">
        <v>50</v>
      </c>
    </row>
    <row r="2426" spans="6:9">
      <c r="F2426" s="12" t="s">
        <v>3724</v>
      </c>
      <c r="G2426" s="12" t="s">
        <v>157</v>
      </c>
      <c r="H2426" s="15">
        <v>10597</v>
      </c>
      <c r="I2426" s="13">
        <v>50</v>
      </c>
    </row>
    <row r="2427" spans="6:9">
      <c r="F2427" s="12" t="s">
        <v>3725</v>
      </c>
      <c r="G2427" s="12" t="s">
        <v>159</v>
      </c>
      <c r="H2427" s="15">
        <v>78800</v>
      </c>
      <c r="I2427" s="13">
        <v>50</v>
      </c>
    </row>
    <row r="2428" spans="6:9">
      <c r="F2428" s="12" t="s">
        <v>3726</v>
      </c>
      <c r="G2428" s="12" t="s">
        <v>157</v>
      </c>
      <c r="H2428" s="15">
        <v>10245</v>
      </c>
      <c r="I2428" s="13">
        <v>50</v>
      </c>
    </row>
    <row r="2429" spans="6:9">
      <c r="F2429" s="12" t="s">
        <v>3727</v>
      </c>
      <c r="G2429" s="12" t="s">
        <v>159</v>
      </c>
      <c r="H2429" s="15">
        <v>18600</v>
      </c>
      <c r="I2429" s="13">
        <v>50</v>
      </c>
    </row>
    <row r="2430" spans="6:9">
      <c r="F2430" s="12" t="s">
        <v>3728</v>
      </c>
      <c r="G2430" s="12" t="s">
        <v>159</v>
      </c>
      <c r="H2430" s="15">
        <v>53100</v>
      </c>
      <c r="I2430" s="13">
        <v>50</v>
      </c>
    </row>
    <row r="2431" spans="6:9">
      <c r="F2431" s="12" t="s">
        <v>3729</v>
      </c>
      <c r="G2431" s="12" t="s">
        <v>159</v>
      </c>
      <c r="H2431" s="15">
        <v>517400</v>
      </c>
      <c r="I2431" s="13">
        <v>50</v>
      </c>
    </row>
    <row r="2432" spans="6:9">
      <c r="F2432" s="12" t="s">
        <v>3730</v>
      </c>
      <c r="G2432" s="12" t="s">
        <v>159</v>
      </c>
      <c r="H2432" s="15">
        <v>439989</v>
      </c>
      <c r="I2432" s="13">
        <v>50</v>
      </c>
    </row>
    <row r="2433" spans="6:9">
      <c r="F2433" s="12" t="s">
        <v>3731</v>
      </c>
      <c r="G2433" s="12" t="s">
        <v>159</v>
      </c>
      <c r="H2433" s="15">
        <v>16900</v>
      </c>
      <c r="I2433" s="13">
        <v>50</v>
      </c>
    </row>
    <row r="2434" spans="6:9">
      <c r="F2434" s="12" t="s">
        <v>1604</v>
      </c>
      <c r="G2434" s="12" t="s">
        <v>157</v>
      </c>
      <c r="H2434" s="15">
        <v>27078</v>
      </c>
      <c r="I2434" s="13">
        <v>50</v>
      </c>
    </row>
    <row r="2435" spans="6:9">
      <c r="F2435" s="12" t="s">
        <v>3732</v>
      </c>
      <c r="G2435" s="12" t="s">
        <v>157</v>
      </c>
      <c r="H2435" s="15">
        <v>11462</v>
      </c>
      <c r="I2435" s="13">
        <v>50</v>
      </c>
    </row>
    <row r="2436" spans="6:9">
      <c r="F2436" s="12" t="s">
        <v>3733</v>
      </c>
      <c r="G2436" s="12" t="s">
        <v>157</v>
      </c>
      <c r="H2436" s="15">
        <v>110801</v>
      </c>
      <c r="I2436" s="13">
        <v>50</v>
      </c>
    </row>
    <row r="2437" spans="6:9">
      <c r="F2437" s="12" t="s">
        <v>3734</v>
      </c>
      <c r="G2437" s="12" t="s">
        <v>159</v>
      </c>
      <c r="H2437" s="15">
        <v>40700</v>
      </c>
      <c r="I2437" s="13">
        <v>50</v>
      </c>
    </row>
    <row r="2438" spans="6:9">
      <c r="F2438" s="12" t="s">
        <v>3735</v>
      </c>
      <c r="G2438" s="12" t="s">
        <v>159</v>
      </c>
      <c r="H2438" s="15">
        <v>13200</v>
      </c>
      <c r="I2438" s="13">
        <v>50</v>
      </c>
    </row>
    <row r="2439" spans="6:9">
      <c r="F2439" s="12" t="s">
        <v>3736</v>
      </c>
      <c r="G2439" s="12" t="s">
        <v>159</v>
      </c>
      <c r="H2439" s="15">
        <v>224900</v>
      </c>
      <c r="I2439" s="13">
        <v>50</v>
      </c>
    </row>
    <row r="2440" spans="6:9">
      <c r="F2440" s="12" t="s">
        <v>3737</v>
      </c>
      <c r="G2440" s="12" t="s">
        <v>157</v>
      </c>
      <c r="H2440" s="15">
        <v>22039</v>
      </c>
      <c r="I2440" s="13">
        <v>50</v>
      </c>
    </row>
    <row r="2441" spans="6:9">
      <c r="F2441" s="12" t="s">
        <v>3738</v>
      </c>
      <c r="G2441" s="12" t="s">
        <v>157</v>
      </c>
      <c r="H2441" s="15">
        <v>10859</v>
      </c>
      <c r="I2441" s="13">
        <v>50</v>
      </c>
    </row>
    <row r="2442" spans="6:9">
      <c r="F2442" s="12" t="s">
        <v>3739</v>
      </c>
      <c r="G2442" s="12" t="s">
        <v>157</v>
      </c>
      <c r="H2442" s="15">
        <v>33768</v>
      </c>
      <c r="I2442" s="13">
        <v>50</v>
      </c>
    </row>
    <row r="2443" spans="6:9">
      <c r="F2443" s="12" t="s">
        <v>3740</v>
      </c>
      <c r="G2443" s="12" t="s">
        <v>157</v>
      </c>
      <c r="H2443" s="15">
        <v>26554</v>
      </c>
      <c r="I2443" s="13">
        <v>50</v>
      </c>
    </row>
    <row r="2444" spans="6:9">
      <c r="F2444" s="12" t="s">
        <v>3741</v>
      </c>
      <c r="G2444" s="12" t="s">
        <v>159</v>
      </c>
      <c r="H2444" s="15">
        <v>75500</v>
      </c>
      <c r="I2444" s="13">
        <v>50</v>
      </c>
    </row>
    <row r="2445" spans="6:9">
      <c r="F2445" s="12" t="s">
        <v>1607</v>
      </c>
      <c r="G2445" s="12" t="s">
        <v>157</v>
      </c>
      <c r="H2445" s="15">
        <v>10761</v>
      </c>
      <c r="I2445" s="13">
        <v>50</v>
      </c>
    </row>
    <row r="2446" spans="6:9">
      <c r="F2446" s="12" t="s">
        <v>3742</v>
      </c>
      <c r="G2446" s="12" t="s">
        <v>157</v>
      </c>
      <c r="H2446" s="15">
        <v>12218</v>
      </c>
      <c r="I2446" s="13">
        <v>50</v>
      </c>
    </row>
    <row r="2447" spans="6:9">
      <c r="F2447" s="12" t="s">
        <v>3743</v>
      </c>
      <c r="G2447" s="12" t="s">
        <v>159</v>
      </c>
      <c r="H2447" s="15">
        <v>16800</v>
      </c>
      <c r="I2447" s="13">
        <v>50</v>
      </c>
    </row>
    <row r="2448" spans="6:9">
      <c r="F2448" s="12" t="s">
        <v>3744</v>
      </c>
      <c r="G2448" s="12" t="s">
        <v>159</v>
      </c>
      <c r="H2448" s="15">
        <v>5600000</v>
      </c>
      <c r="I2448" s="13">
        <v>50</v>
      </c>
    </row>
    <row r="2449" spans="6:9">
      <c r="F2449" s="12" t="s">
        <v>1610</v>
      </c>
      <c r="G2449" s="12" t="s">
        <v>157</v>
      </c>
      <c r="H2449" s="15">
        <v>10739</v>
      </c>
      <c r="I2449" s="13">
        <v>50</v>
      </c>
    </row>
    <row r="2450" spans="6:9">
      <c r="F2450" s="12" t="s">
        <v>3745</v>
      </c>
      <c r="G2450" s="12" t="s">
        <v>157</v>
      </c>
      <c r="H2450" s="15">
        <v>10227</v>
      </c>
      <c r="I2450" s="13">
        <v>50</v>
      </c>
    </row>
    <row r="2451" spans="6:9">
      <c r="F2451" s="12" t="s">
        <v>3746</v>
      </c>
      <c r="G2451" s="12" t="s">
        <v>159</v>
      </c>
      <c r="H2451" s="15">
        <v>142800</v>
      </c>
      <c r="I2451" s="13">
        <v>50</v>
      </c>
    </row>
    <row r="2452" spans="6:9">
      <c r="F2452" s="12" t="s">
        <v>3747</v>
      </c>
      <c r="G2452" s="12" t="s">
        <v>159</v>
      </c>
      <c r="H2452" s="15">
        <v>14300</v>
      </c>
      <c r="I2452" s="13">
        <v>50</v>
      </c>
    </row>
    <row r="2453" spans="6:9">
      <c r="F2453" s="12" t="s">
        <v>3748</v>
      </c>
      <c r="G2453" s="12" t="s">
        <v>159</v>
      </c>
      <c r="H2453" s="15">
        <v>45900</v>
      </c>
      <c r="I2453" s="13">
        <v>50</v>
      </c>
    </row>
    <row r="2454" spans="6:9">
      <c r="F2454" s="12" t="s">
        <v>3749</v>
      </c>
      <c r="G2454" s="12" t="s">
        <v>159</v>
      </c>
      <c r="H2454" s="15">
        <v>61200</v>
      </c>
      <c r="I2454" s="13">
        <v>50</v>
      </c>
    </row>
    <row r="2455" spans="6:9">
      <c r="F2455" s="12" t="s">
        <v>3750</v>
      </c>
      <c r="G2455" s="12" t="s">
        <v>159</v>
      </c>
      <c r="H2455" s="15">
        <v>121800</v>
      </c>
      <c r="I2455" s="13">
        <v>50</v>
      </c>
    </row>
    <row r="2456" spans="6:9">
      <c r="F2456" s="12" t="s">
        <v>3751</v>
      </c>
      <c r="G2456" s="12" t="s">
        <v>159</v>
      </c>
      <c r="H2456" s="15">
        <v>30600</v>
      </c>
      <c r="I2456" s="13">
        <v>50</v>
      </c>
    </row>
    <row r="2457" spans="6:9">
      <c r="F2457" s="12" t="s">
        <v>3752</v>
      </c>
      <c r="G2457" s="12" t="s">
        <v>159</v>
      </c>
      <c r="H2457" s="15">
        <v>70400</v>
      </c>
      <c r="I2457" s="13">
        <v>50</v>
      </c>
    </row>
    <row r="2458" spans="6:9">
      <c r="F2458" s="12" t="s">
        <v>3753</v>
      </c>
      <c r="G2458" s="12" t="s">
        <v>157</v>
      </c>
      <c r="H2458" s="15">
        <v>10424</v>
      </c>
      <c r="I2458" s="13">
        <v>50</v>
      </c>
    </row>
    <row r="2459" spans="6:9">
      <c r="F2459" s="12" t="s">
        <v>3754</v>
      </c>
      <c r="G2459" s="12" t="s">
        <v>157</v>
      </c>
      <c r="H2459" s="15">
        <v>20403</v>
      </c>
      <c r="I2459" s="13">
        <v>50</v>
      </c>
    </row>
    <row r="2460" spans="6:9">
      <c r="F2460" s="12" t="s">
        <v>3755</v>
      </c>
      <c r="G2460" s="12" t="s">
        <v>159</v>
      </c>
      <c r="H2460" s="15">
        <v>11200</v>
      </c>
      <c r="I2460" s="13">
        <v>50</v>
      </c>
    </row>
    <row r="2461" spans="6:9">
      <c r="F2461" s="12" t="s">
        <v>3756</v>
      </c>
      <c r="G2461" s="12" t="s">
        <v>157</v>
      </c>
      <c r="H2461" s="15">
        <v>18487</v>
      </c>
      <c r="I2461" s="13">
        <v>50</v>
      </c>
    </row>
    <row r="2462" spans="6:9">
      <c r="F2462" s="12" t="s">
        <v>1612</v>
      </c>
      <c r="G2462" s="12" t="s">
        <v>157</v>
      </c>
      <c r="H2462" s="15">
        <v>20835</v>
      </c>
      <c r="I2462" s="13">
        <v>50</v>
      </c>
    </row>
    <row r="2463" spans="6:9">
      <c r="F2463" s="12" t="s">
        <v>3757</v>
      </c>
      <c r="G2463" s="12" t="s">
        <v>159</v>
      </c>
      <c r="H2463" s="15">
        <v>91400</v>
      </c>
      <c r="I2463" s="13">
        <v>50</v>
      </c>
    </row>
    <row r="2464" spans="6:9">
      <c r="F2464" s="12" t="s">
        <v>3758</v>
      </c>
      <c r="G2464" s="12" t="s">
        <v>159</v>
      </c>
      <c r="H2464" s="15">
        <v>13200</v>
      </c>
      <c r="I2464" s="13">
        <v>50</v>
      </c>
    </row>
    <row r="2465" spans="6:9">
      <c r="F2465" s="12" t="s">
        <v>3759</v>
      </c>
      <c r="G2465" s="12" t="s">
        <v>157</v>
      </c>
      <c r="H2465" s="15">
        <v>10341</v>
      </c>
      <c r="I2465" s="13">
        <v>50</v>
      </c>
    </row>
    <row r="2466" spans="6:9">
      <c r="F2466" s="12" t="s">
        <v>3760</v>
      </c>
      <c r="G2466" s="12" t="s">
        <v>159</v>
      </c>
      <c r="H2466" s="15">
        <v>12200</v>
      </c>
      <c r="I2466" s="13">
        <v>50</v>
      </c>
    </row>
    <row r="2467" spans="6:9">
      <c r="F2467" s="12" t="s">
        <v>1615</v>
      </c>
      <c r="G2467" s="12" t="s">
        <v>157</v>
      </c>
      <c r="H2467" s="15">
        <v>42145</v>
      </c>
      <c r="I2467" s="13">
        <v>50</v>
      </c>
    </row>
    <row r="2468" spans="6:9">
      <c r="F2468" s="12" t="s">
        <v>3761</v>
      </c>
      <c r="G2468" s="12" t="s">
        <v>159</v>
      </c>
      <c r="H2468" s="15">
        <v>148200</v>
      </c>
      <c r="I2468" s="13">
        <v>50</v>
      </c>
    </row>
    <row r="2469" spans="6:9">
      <c r="F2469" s="12" t="s">
        <v>3762</v>
      </c>
      <c r="G2469" s="12" t="s">
        <v>157</v>
      </c>
      <c r="H2469" s="15">
        <v>11509</v>
      </c>
      <c r="I2469" s="13">
        <v>50</v>
      </c>
    </row>
    <row r="2470" spans="6:9">
      <c r="F2470" s="12" t="s">
        <v>3763</v>
      </c>
      <c r="G2470" s="12" t="s">
        <v>157</v>
      </c>
      <c r="H2470" s="15">
        <v>17488</v>
      </c>
      <c r="I2470" s="13">
        <v>50</v>
      </c>
    </row>
    <row r="2471" spans="6:9">
      <c r="F2471" s="12" t="s">
        <v>1618</v>
      </c>
      <c r="G2471" s="12" t="s">
        <v>157</v>
      </c>
      <c r="H2471" s="15">
        <v>14650</v>
      </c>
      <c r="I2471" s="13">
        <v>50</v>
      </c>
    </row>
    <row r="2472" spans="6:9">
      <c r="F2472" s="12" t="s">
        <v>1621</v>
      </c>
      <c r="G2472" s="12" t="s">
        <v>157</v>
      </c>
      <c r="H2472" s="15">
        <v>10851</v>
      </c>
      <c r="I2472" s="13">
        <v>50</v>
      </c>
    </row>
    <row r="2473" spans="6:9">
      <c r="F2473" s="12" t="s">
        <v>3764</v>
      </c>
      <c r="G2473" s="12" t="s">
        <v>157</v>
      </c>
      <c r="H2473" s="15">
        <v>12717</v>
      </c>
      <c r="I2473" s="13">
        <v>50</v>
      </c>
    </row>
    <row r="2474" spans="6:9">
      <c r="F2474" s="12" t="s">
        <v>3765</v>
      </c>
      <c r="G2474" s="12" t="s">
        <v>159</v>
      </c>
      <c r="H2474" s="15">
        <v>396100</v>
      </c>
      <c r="I2474" s="13">
        <v>50</v>
      </c>
    </row>
    <row r="2475" spans="6:9">
      <c r="F2475" s="12" t="s">
        <v>3766</v>
      </c>
      <c r="G2475" s="12" t="s">
        <v>159</v>
      </c>
      <c r="H2475" s="15">
        <v>29900</v>
      </c>
      <c r="I2475" s="13">
        <v>50</v>
      </c>
    </row>
    <row r="2476" spans="6:9">
      <c r="F2476" s="12" t="s">
        <v>3767</v>
      </c>
      <c r="G2476" s="12" t="s">
        <v>157</v>
      </c>
      <c r="H2476" s="15">
        <v>14327</v>
      </c>
      <c r="I2476" s="13">
        <v>50</v>
      </c>
    </row>
    <row r="2477" spans="6:9">
      <c r="F2477" s="12" t="s">
        <v>3768</v>
      </c>
      <c r="G2477" s="12" t="s">
        <v>159</v>
      </c>
      <c r="H2477" s="15">
        <v>10800</v>
      </c>
      <c r="I2477" s="13">
        <v>50</v>
      </c>
    </row>
    <row r="2478" spans="6:9">
      <c r="F2478" s="12" t="s">
        <v>3769</v>
      </c>
      <c r="G2478" s="12" t="s">
        <v>157</v>
      </c>
      <c r="H2478" s="15">
        <v>15915</v>
      </c>
      <c r="I2478" s="13">
        <v>50</v>
      </c>
    </row>
    <row r="2479" spans="6:9">
      <c r="F2479" s="12" t="s">
        <v>3770</v>
      </c>
      <c r="G2479" s="12" t="s">
        <v>159</v>
      </c>
      <c r="H2479" s="15">
        <v>29100</v>
      </c>
      <c r="I2479" s="13">
        <v>50</v>
      </c>
    </row>
    <row r="2480" spans="6:9">
      <c r="F2480" s="12" t="s">
        <v>3771</v>
      </c>
      <c r="G2480" s="12" t="s">
        <v>159</v>
      </c>
      <c r="H2480" s="15">
        <v>1800000</v>
      </c>
      <c r="I2480" s="13">
        <v>50</v>
      </c>
    </row>
    <row r="2481" spans="6:9">
      <c r="F2481" s="12" t="s">
        <v>3772</v>
      </c>
      <c r="G2481" s="12" t="s">
        <v>157</v>
      </c>
      <c r="H2481" s="15">
        <v>10371</v>
      </c>
      <c r="I2481" s="13">
        <v>50</v>
      </c>
    </row>
    <row r="2482" spans="6:9">
      <c r="F2482" s="12" t="s">
        <v>3773</v>
      </c>
      <c r="G2482" s="12" t="s">
        <v>157</v>
      </c>
      <c r="H2482" s="15">
        <v>11204</v>
      </c>
      <c r="I2482" s="13">
        <v>50</v>
      </c>
    </row>
    <row r="2483" spans="6:9">
      <c r="F2483" s="12" t="s">
        <v>3774</v>
      </c>
      <c r="G2483" s="12" t="s">
        <v>157</v>
      </c>
      <c r="H2483" s="15">
        <v>14491</v>
      </c>
      <c r="I2483" s="13">
        <v>50</v>
      </c>
    </row>
    <row r="2484" spans="6:9">
      <c r="F2484" s="12" t="s">
        <v>1623</v>
      </c>
      <c r="G2484" s="12" t="s">
        <v>157</v>
      </c>
      <c r="H2484" s="15">
        <v>11733</v>
      </c>
      <c r="I2484" s="13">
        <v>50</v>
      </c>
    </row>
    <row r="2485" spans="6:9">
      <c r="F2485" s="12" t="s">
        <v>3775</v>
      </c>
      <c r="G2485" s="12" t="s">
        <v>159</v>
      </c>
      <c r="H2485" s="15">
        <v>10300</v>
      </c>
      <c r="I2485" s="13">
        <v>50</v>
      </c>
    </row>
    <row r="2486" spans="6:9">
      <c r="F2486" s="12" t="s">
        <v>1626</v>
      </c>
      <c r="G2486" s="12" t="s">
        <v>157</v>
      </c>
      <c r="H2486" s="15">
        <v>14195</v>
      </c>
      <c r="I2486" s="13">
        <v>50</v>
      </c>
    </row>
    <row r="2487" spans="6:9">
      <c r="F2487" s="12" t="s">
        <v>3776</v>
      </c>
      <c r="G2487" s="12" t="s">
        <v>157</v>
      </c>
      <c r="H2487" s="15">
        <v>34356</v>
      </c>
      <c r="I2487" s="13">
        <v>50</v>
      </c>
    </row>
    <row r="2488" spans="6:9">
      <c r="F2488" s="12" t="s">
        <v>3777</v>
      </c>
      <c r="G2488" s="12" t="s">
        <v>159</v>
      </c>
      <c r="H2488" s="15">
        <v>14700</v>
      </c>
      <c r="I2488" s="13">
        <v>50</v>
      </c>
    </row>
    <row r="2489" spans="6:9">
      <c r="F2489" s="12" t="s">
        <v>3778</v>
      </c>
      <c r="G2489" s="12" t="s">
        <v>159</v>
      </c>
      <c r="H2489" s="15">
        <v>11800</v>
      </c>
      <c r="I2489" s="13">
        <v>50</v>
      </c>
    </row>
    <row r="2490" spans="6:9">
      <c r="F2490" s="12" t="s">
        <v>3779</v>
      </c>
      <c r="G2490" s="12" t="s">
        <v>159</v>
      </c>
      <c r="H2490" s="15">
        <v>36200</v>
      </c>
      <c r="I2490" s="13">
        <v>50</v>
      </c>
    </row>
    <row r="2491" spans="6:9">
      <c r="F2491" s="12" t="s">
        <v>3780</v>
      </c>
      <c r="G2491" s="12" t="s">
        <v>159</v>
      </c>
      <c r="H2491" s="15">
        <v>104400</v>
      </c>
      <c r="I2491" s="13">
        <v>50</v>
      </c>
    </row>
    <row r="2492" spans="6:9">
      <c r="F2492" s="12" t="s">
        <v>3781</v>
      </c>
      <c r="G2492" s="12" t="s">
        <v>157</v>
      </c>
      <c r="H2492" s="15">
        <v>14119</v>
      </c>
      <c r="I2492" s="13">
        <v>50</v>
      </c>
    </row>
    <row r="2493" spans="6:9">
      <c r="F2493" s="12" t="s">
        <v>3782</v>
      </c>
      <c r="G2493" s="12" t="s">
        <v>159</v>
      </c>
      <c r="H2493" s="15">
        <v>19900</v>
      </c>
      <c r="I2493" s="13">
        <v>50</v>
      </c>
    </row>
    <row r="2494" spans="6:9">
      <c r="F2494" s="12" t="s">
        <v>3783</v>
      </c>
      <c r="G2494" s="12" t="s">
        <v>159</v>
      </c>
      <c r="H2494" s="15">
        <v>25600</v>
      </c>
      <c r="I2494" s="13">
        <v>50</v>
      </c>
    </row>
    <row r="2495" spans="6:9">
      <c r="F2495" s="12" t="s">
        <v>1629</v>
      </c>
      <c r="G2495" s="12" t="s">
        <v>157</v>
      </c>
      <c r="H2495" s="15">
        <v>17352</v>
      </c>
      <c r="I2495" s="13">
        <v>50</v>
      </c>
    </row>
    <row r="2496" spans="6:9">
      <c r="F2496" s="12" t="s">
        <v>3784</v>
      </c>
      <c r="G2496" s="12" t="s">
        <v>157</v>
      </c>
      <c r="H2496" s="15">
        <v>10403</v>
      </c>
      <c r="I2496" s="13">
        <v>50</v>
      </c>
    </row>
    <row r="2497" spans="6:9">
      <c r="F2497" s="12" t="s">
        <v>1631</v>
      </c>
      <c r="G2497" s="12" t="s">
        <v>157</v>
      </c>
      <c r="H2497" s="15">
        <v>14173</v>
      </c>
      <c r="I2497" s="13">
        <v>50</v>
      </c>
    </row>
    <row r="2498" spans="6:9">
      <c r="F2498" s="12" t="s">
        <v>3785</v>
      </c>
      <c r="G2498" s="12" t="s">
        <v>159</v>
      </c>
      <c r="H2498" s="15">
        <v>10600</v>
      </c>
      <c r="I2498" s="13">
        <v>50</v>
      </c>
    </row>
    <row r="2499" spans="6:9">
      <c r="F2499" s="12" t="s">
        <v>3786</v>
      </c>
      <c r="G2499" s="12" t="s">
        <v>159</v>
      </c>
      <c r="H2499" s="15">
        <v>5200000</v>
      </c>
      <c r="I2499" s="13">
        <v>50</v>
      </c>
    </row>
    <row r="2500" spans="6:9">
      <c r="F2500" s="12" t="s">
        <v>186</v>
      </c>
      <c r="G2500" s="12" t="s">
        <v>157</v>
      </c>
      <c r="H2500" s="15">
        <v>121140</v>
      </c>
      <c r="I2500" s="13">
        <v>50</v>
      </c>
    </row>
    <row r="2501" spans="6:9">
      <c r="F2501" s="12" t="s">
        <v>3787</v>
      </c>
      <c r="G2501" s="12" t="s">
        <v>157</v>
      </c>
      <c r="H2501" s="15">
        <v>25504</v>
      </c>
      <c r="I2501" s="13">
        <v>50</v>
      </c>
    </row>
    <row r="2502" spans="6:9">
      <c r="F2502" s="12" t="s">
        <v>3788</v>
      </c>
      <c r="G2502" s="12" t="s">
        <v>159</v>
      </c>
      <c r="H2502" s="15">
        <v>19000</v>
      </c>
      <c r="I2502" s="13">
        <v>50</v>
      </c>
    </row>
    <row r="2503" spans="6:9">
      <c r="F2503" s="12" t="s">
        <v>3789</v>
      </c>
      <c r="G2503" s="12" t="s">
        <v>159</v>
      </c>
      <c r="H2503" s="15">
        <v>51900</v>
      </c>
      <c r="I2503" s="13">
        <v>50</v>
      </c>
    </row>
    <row r="2504" spans="6:9">
      <c r="F2504" s="12" t="s">
        <v>3790</v>
      </c>
      <c r="G2504" s="12" t="s">
        <v>157</v>
      </c>
      <c r="H2504" s="15">
        <v>34983</v>
      </c>
      <c r="I2504" s="13">
        <v>50</v>
      </c>
    </row>
    <row r="2505" spans="6:9">
      <c r="F2505" s="12" t="s">
        <v>1634</v>
      </c>
      <c r="G2505" s="12" t="s">
        <v>157</v>
      </c>
      <c r="H2505" s="15">
        <v>16358</v>
      </c>
      <c r="I2505" s="13">
        <v>50</v>
      </c>
    </row>
    <row r="2506" spans="6:9">
      <c r="F2506" s="12" t="s">
        <v>3791</v>
      </c>
      <c r="G2506" s="12" t="s">
        <v>157</v>
      </c>
      <c r="H2506" s="15">
        <v>22659</v>
      </c>
      <c r="I2506" s="13">
        <v>50</v>
      </c>
    </row>
    <row r="2507" spans="6:9">
      <c r="F2507" s="12" t="s">
        <v>3792</v>
      </c>
      <c r="G2507" s="12" t="s">
        <v>159</v>
      </c>
      <c r="H2507" s="15">
        <v>6300000</v>
      </c>
      <c r="I2507" s="13">
        <v>50</v>
      </c>
    </row>
    <row r="2508" spans="6:9">
      <c r="F2508" s="12" t="s">
        <v>3793</v>
      </c>
      <c r="G2508" s="12" t="s">
        <v>157</v>
      </c>
      <c r="H2508" s="15">
        <v>26786</v>
      </c>
      <c r="I2508" s="13">
        <v>50</v>
      </c>
    </row>
    <row r="2509" spans="6:9">
      <c r="F2509" s="12" t="s">
        <v>3794</v>
      </c>
      <c r="G2509" s="12" t="s">
        <v>159</v>
      </c>
      <c r="H2509" s="15">
        <v>269400</v>
      </c>
      <c r="I2509" s="13">
        <v>50</v>
      </c>
    </row>
    <row r="2510" spans="6:9">
      <c r="F2510" s="12" t="s">
        <v>3795</v>
      </c>
      <c r="G2510" s="12" t="s">
        <v>159</v>
      </c>
      <c r="H2510" s="15">
        <v>377000</v>
      </c>
      <c r="I2510" s="13">
        <v>50</v>
      </c>
    </row>
    <row r="2511" spans="6:9">
      <c r="F2511" s="12" t="s">
        <v>3796</v>
      </c>
      <c r="G2511" s="12" t="s">
        <v>157</v>
      </c>
      <c r="H2511" s="15">
        <v>20919</v>
      </c>
      <c r="I2511" s="13">
        <v>50</v>
      </c>
    </row>
    <row r="2512" spans="6:9">
      <c r="F2512" s="12" t="s">
        <v>3797</v>
      </c>
      <c r="G2512" s="12" t="s">
        <v>157</v>
      </c>
      <c r="H2512" s="15">
        <v>10337</v>
      </c>
      <c r="I2512" s="13">
        <v>50</v>
      </c>
    </row>
    <row r="2513" spans="6:9">
      <c r="F2513" s="12" t="s">
        <v>1636</v>
      </c>
      <c r="G2513" s="12" t="s">
        <v>157</v>
      </c>
      <c r="H2513" s="15">
        <v>15380</v>
      </c>
      <c r="I2513" s="13">
        <v>50</v>
      </c>
    </row>
    <row r="2514" spans="6:9">
      <c r="F2514" s="12" t="s">
        <v>3798</v>
      </c>
      <c r="G2514" s="12" t="s">
        <v>157</v>
      </c>
      <c r="H2514" s="15">
        <v>11151</v>
      </c>
      <c r="I2514" s="13">
        <v>50</v>
      </c>
    </row>
    <row r="2515" spans="6:9">
      <c r="F2515" s="12" t="s">
        <v>3799</v>
      </c>
      <c r="G2515" s="12" t="s">
        <v>157</v>
      </c>
      <c r="H2515" s="15">
        <v>18951</v>
      </c>
      <c r="I2515" s="13">
        <v>50</v>
      </c>
    </row>
    <row r="2516" spans="6:9">
      <c r="F2516" s="12" t="s">
        <v>1639</v>
      </c>
      <c r="G2516" s="12" t="s">
        <v>157</v>
      </c>
      <c r="H2516" s="15">
        <v>22044</v>
      </c>
      <c r="I2516" s="13">
        <v>50</v>
      </c>
    </row>
    <row r="2517" spans="6:9">
      <c r="F2517" s="12" t="s">
        <v>3800</v>
      </c>
      <c r="G2517" s="12" t="s">
        <v>159</v>
      </c>
      <c r="H2517" s="15">
        <v>60800</v>
      </c>
      <c r="I2517" s="13">
        <v>50</v>
      </c>
    </row>
    <row r="2518" spans="6:9">
      <c r="F2518" s="12" t="s">
        <v>3801</v>
      </c>
      <c r="G2518" s="12" t="s">
        <v>159</v>
      </c>
      <c r="H2518" s="15">
        <v>12000</v>
      </c>
      <c r="I2518" s="13">
        <v>50</v>
      </c>
    </row>
    <row r="2519" spans="6:9">
      <c r="F2519" s="12" t="s">
        <v>3802</v>
      </c>
      <c r="G2519" s="12" t="s">
        <v>157</v>
      </c>
      <c r="H2519" s="15">
        <v>21823</v>
      </c>
      <c r="I2519" s="13">
        <v>50</v>
      </c>
    </row>
    <row r="2520" spans="6:9">
      <c r="F2520" s="12" t="s">
        <v>3803</v>
      </c>
      <c r="G2520" s="12" t="s">
        <v>159</v>
      </c>
      <c r="H2520" s="15">
        <v>248694</v>
      </c>
      <c r="I2520" s="13">
        <v>50</v>
      </c>
    </row>
    <row r="2521" spans="6:9">
      <c r="F2521" s="12" t="s">
        <v>1641</v>
      </c>
      <c r="G2521" s="12" t="s">
        <v>157</v>
      </c>
      <c r="H2521" s="15">
        <v>16982</v>
      </c>
      <c r="I2521" s="13">
        <v>50</v>
      </c>
    </row>
    <row r="2522" spans="6:9">
      <c r="F2522" s="12" t="s">
        <v>3804</v>
      </c>
      <c r="G2522" s="12" t="s">
        <v>159</v>
      </c>
      <c r="H2522" s="15">
        <v>60800</v>
      </c>
      <c r="I2522" s="13">
        <v>50</v>
      </c>
    </row>
    <row r="2523" spans="6:9">
      <c r="F2523" s="12" t="s">
        <v>3805</v>
      </c>
      <c r="G2523" s="12" t="s">
        <v>159</v>
      </c>
      <c r="H2523" s="15">
        <v>14600</v>
      </c>
      <c r="I2523" s="13">
        <v>50</v>
      </c>
    </row>
    <row r="2524" spans="6:9">
      <c r="F2524" s="12" t="s">
        <v>3806</v>
      </c>
      <c r="G2524" s="12" t="s">
        <v>157</v>
      </c>
      <c r="H2524" s="15">
        <v>11827</v>
      </c>
      <c r="I2524" s="13">
        <v>50</v>
      </c>
    </row>
    <row r="2525" spans="6:9">
      <c r="F2525" s="12" t="s">
        <v>3807</v>
      </c>
      <c r="G2525" s="12" t="s">
        <v>157</v>
      </c>
      <c r="H2525" s="15">
        <v>19578</v>
      </c>
      <c r="I2525" s="13">
        <v>50</v>
      </c>
    </row>
    <row r="2526" spans="6:9">
      <c r="F2526" s="12" t="s">
        <v>3808</v>
      </c>
      <c r="G2526" s="12" t="s">
        <v>159</v>
      </c>
      <c r="H2526" s="15">
        <v>56600</v>
      </c>
      <c r="I2526" s="13">
        <v>50</v>
      </c>
    </row>
    <row r="2527" spans="6:9">
      <c r="F2527" s="12" t="s">
        <v>3809</v>
      </c>
      <c r="G2527" s="12" t="s">
        <v>159</v>
      </c>
      <c r="H2527" s="15">
        <v>983500</v>
      </c>
      <c r="I2527" s="13">
        <v>50</v>
      </c>
    </row>
    <row r="2528" spans="6:9">
      <c r="F2528" s="12" t="s">
        <v>3810</v>
      </c>
      <c r="G2528" s="12" t="s">
        <v>159</v>
      </c>
      <c r="H2528" s="15">
        <v>23600</v>
      </c>
      <c r="I2528" s="13">
        <v>50</v>
      </c>
    </row>
    <row r="2529" spans="6:9">
      <c r="F2529" s="12" t="s">
        <v>3811</v>
      </c>
      <c r="G2529" s="12" t="s">
        <v>157</v>
      </c>
      <c r="H2529" s="15">
        <v>12392</v>
      </c>
      <c r="I2529" s="13">
        <v>50</v>
      </c>
    </row>
    <row r="2530" spans="6:9">
      <c r="F2530" s="12" t="s">
        <v>3812</v>
      </c>
      <c r="G2530" s="12" t="s">
        <v>159</v>
      </c>
      <c r="H2530" s="15">
        <v>22400</v>
      </c>
      <c r="I2530" s="13">
        <v>50</v>
      </c>
    </row>
    <row r="2531" spans="6:9">
      <c r="F2531" s="12" t="s">
        <v>3813</v>
      </c>
      <c r="G2531" s="12" t="s">
        <v>159</v>
      </c>
      <c r="H2531" s="15">
        <v>30000</v>
      </c>
      <c r="I2531" s="13">
        <v>50</v>
      </c>
    </row>
    <row r="2532" spans="6:9">
      <c r="F2532" s="12" t="s">
        <v>1644</v>
      </c>
      <c r="G2532" s="12" t="s">
        <v>157</v>
      </c>
      <c r="H2532" s="15">
        <v>15505</v>
      </c>
      <c r="I2532" s="13">
        <v>50</v>
      </c>
    </row>
    <row r="2533" spans="6:9">
      <c r="F2533" s="12" t="s">
        <v>3814</v>
      </c>
      <c r="G2533" s="12" t="s">
        <v>157</v>
      </c>
      <c r="H2533" s="15">
        <v>31000</v>
      </c>
      <c r="I2533" s="13">
        <v>50</v>
      </c>
    </row>
    <row r="2534" spans="6:9">
      <c r="F2534" s="12" t="s">
        <v>3815</v>
      </c>
      <c r="G2534" s="12" t="s">
        <v>159</v>
      </c>
      <c r="H2534" s="15">
        <v>30500</v>
      </c>
      <c r="I2534" s="13">
        <v>50</v>
      </c>
    </row>
    <row r="2535" spans="6:9">
      <c r="F2535" s="12" t="s">
        <v>3816</v>
      </c>
      <c r="G2535" s="12" t="s">
        <v>157</v>
      </c>
      <c r="H2535" s="15">
        <v>14184</v>
      </c>
      <c r="I2535" s="13">
        <v>50</v>
      </c>
    </row>
    <row r="2536" spans="6:9">
      <c r="F2536" s="12" t="s">
        <v>3817</v>
      </c>
      <c r="G2536" s="12" t="s">
        <v>157</v>
      </c>
      <c r="H2536" s="15">
        <v>15837</v>
      </c>
      <c r="I2536" s="13">
        <v>50</v>
      </c>
    </row>
    <row r="2537" spans="6:9">
      <c r="F2537" s="12" t="s">
        <v>3818</v>
      </c>
      <c r="G2537" s="12" t="s">
        <v>159</v>
      </c>
      <c r="H2537" s="15">
        <v>861400</v>
      </c>
      <c r="I2537" s="13">
        <v>50</v>
      </c>
    </row>
    <row r="2538" spans="6:9">
      <c r="F2538" s="12" t="s">
        <v>3819</v>
      </c>
      <c r="G2538" s="12" t="s">
        <v>159</v>
      </c>
      <c r="H2538" s="15">
        <v>13000</v>
      </c>
      <c r="I2538" s="13">
        <v>50</v>
      </c>
    </row>
    <row r="2539" spans="6:9">
      <c r="F2539" s="12" t="s">
        <v>3820</v>
      </c>
      <c r="G2539" s="12" t="s">
        <v>157</v>
      </c>
      <c r="H2539" s="15">
        <v>10453</v>
      </c>
      <c r="I2539" s="13">
        <v>50</v>
      </c>
    </row>
    <row r="2540" spans="6:9">
      <c r="F2540" s="12" t="s">
        <v>3821</v>
      </c>
      <c r="G2540" s="12" t="s">
        <v>159</v>
      </c>
      <c r="H2540" s="15">
        <v>10300</v>
      </c>
      <c r="I2540" s="13">
        <v>50</v>
      </c>
    </row>
    <row r="2541" spans="6:9">
      <c r="F2541" s="12" t="s">
        <v>3822</v>
      </c>
      <c r="G2541" s="12" t="s">
        <v>159</v>
      </c>
      <c r="H2541" s="15">
        <v>4600000</v>
      </c>
      <c r="I2541" s="13">
        <v>50</v>
      </c>
    </row>
    <row r="2542" spans="6:9">
      <c r="F2542" s="12" t="s">
        <v>1646</v>
      </c>
      <c r="G2542" s="12" t="s">
        <v>157</v>
      </c>
      <c r="H2542" s="15">
        <v>18808</v>
      </c>
      <c r="I2542" s="13">
        <v>50</v>
      </c>
    </row>
    <row r="2543" spans="6:9">
      <c r="F2543" s="12" t="s">
        <v>3823</v>
      </c>
      <c r="G2543" s="12" t="s">
        <v>157</v>
      </c>
      <c r="H2543" s="15">
        <v>18971</v>
      </c>
      <c r="I2543" s="13">
        <v>50</v>
      </c>
    </row>
    <row r="2544" spans="6:9">
      <c r="F2544" s="12" t="s">
        <v>3824</v>
      </c>
      <c r="G2544" s="12" t="s">
        <v>159</v>
      </c>
      <c r="H2544" s="15">
        <v>183000</v>
      </c>
      <c r="I2544" s="13">
        <v>50</v>
      </c>
    </row>
    <row r="2545" spans="6:9">
      <c r="F2545" s="12" t="s">
        <v>3825</v>
      </c>
      <c r="G2545" s="12" t="s">
        <v>159</v>
      </c>
      <c r="H2545" s="15">
        <v>11600</v>
      </c>
      <c r="I2545" s="13">
        <v>50</v>
      </c>
    </row>
    <row r="2546" spans="6:9">
      <c r="F2546" s="12" t="s">
        <v>3826</v>
      </c>
      <c r="G2546" s="12" t="s">
        <v>159</v>
      </c>
      <c r="H2546" s="15">
        <v>22200</v>
      </c>
      <c r="I2546" s="13">
        <v>50</v>
      </c>
    </row>
    <row r="2547" spans="6:9">
      <c r="F2547" s="12" t="s">
        <v>1649</v>
      </c>
      <c r="G2547" s="12" t="s">
        <v>157</v>
      </c>
      <c r="H2547" s="15">
        <v>13232</v>
      </c>
      <c r="I2547" s="13">
        <v>50</v>
      </c>
    </row>
    <row r="2548" spans="6:9">
      <c r="F2548" s="12" t="s">
        <v>1652</v>
      </c>
      <c r="G2548" s="12" t="s">
        <v>157</v>
      </c>
      <c r="H2548" s="15">
        <v>18430</v>
      </c>
      <c r="I2548" s="13">
        <v>50</v>
      </c>
    </row>
    <row r="2549" spans="6:9">
      <c r="F2549" s="12" t="s">
        <v>3827</v>
      </c>
      <c r="G2549" s="12" t="s">
        <v>157</v>
      </c>
      <c r="H2549" s="15">
        <v>10050</v>
      </c>
      <c r="I2549" s="13">
        <v>50</v>
      </c>
    </row>
    <row r="2550" spans="6:9">
      <c r="F2550" s="12" t="s">
        <v>3828</v>
      </c>
      <c r="G2550" s="12" t="s">
        <v>159</v>
      </c>
      <c r="H2550" s="15">
        <v>51200</v>
      </c>
      <c r="I2550" s="13">
        <v>50</v>
      </c>
    </row>
    <row r="2551" spans="6:9">
      <c r="F2551" s="12" t="s">
        <v>3829</v>
      </c>
      <c r="G2551" s="12" t="s">
        <v>159</v>
      </c>
      <c r="H2551" s="15">
        <v>135000</v>
      </c>
      <c r="I2551" s="13">
        <v>50</v>
      </c>
    </row>
    <row r="2552" spans="6:9">
      <c r="F2552" s="12" t="s">
        <v>3830</v>
      </c>
      <c r="G2552" s="12" t="s">
        <v>159</v>
      </c>
      <c r="H2552" s="15">
        <v>17500</v>
      </c>
      <c r="I2552" s="13">
        <v>50</v>
      </c>
    </row>
    <row r="2553" spans="6:9">
      <c r="F2553" s="12" t="s">
        <v>1655</v>
      </c>
      <c r="G2553" s="12" t="s">
        <v>157</v>
      </c>
      <c r="H2553" s="15">
        <v>14078</v>
      </c>
      <c r="I2553" s="13">
        <v>50</v>
      </c>
    </row>
    <row r="2554" spans="6:9">
      <c r="F2554" s="12" t="s">
        <v>3831</v>
      </c>
      <c r="G2554" s="12" t="s">
        <v>159</v>
      </c>
      <c r="H2554" s="15">
        <v>295400</v>
      </c>
      <c r="I2554" s="13">
        <v>50</v>
      </c>
    </row>
    <row r="2555" spans="6:9">
      <c r="F2555" s="12" t="s">
        <v>3832</v>
      </c>
      <c r="G2555" s="12" t="s">
        <v>159</v>
      </c>
      <c r="H2555" s="15">
        <v>180100</v>
      </c>
      <c r="I2555" s="13">
        <v>50</v>
      </c>
    </row>
    <row r="2556" spans="6:9">
      <c r="F2556" s="12" t="s">
        <v>3833</v>
      </c>
      <c r="G2556" s="12" t="s">
        <v>159</v>
      </c>
      <c r="H2556" s="15">
        <v>256200</v>
      </c>
      <c r="I2556" s="13">
        <v>50</v>
      </c>
    </row>
    <row r="2557" spans="6:9">
      <c r="F2557" s="12" t="s">
        <v>3834</v>
      </c>
      <c r="G2557" s="12" t="s">
        <v>157</v>
      </c>
      <c r="H2557" s="15">
        <v>10863</v>
      </c>
      <c r="I2557" s="13">
        <v>50</v>
      </c>
    </row>
    <row r="2558" spans="6:9">
      <c r="F2558" s="12" t="s">
        <v>1657</v>
      </c>
      <c r="G2558" s="12" t="s">
        <v>157</v>
      </c>
      <c r="H2558" s="15">
        <v>20970</v>
      </c>
      <c r="I2558" s="13">
        <v>50</v>
      </c>
    </row>
    <row r="2559" spans="6:9">
      <c r="F2559" s="12" t="s">
        <v>1660</v>
      </c>
      <c r="G2559" s="12" t="s">
        <v>157</v>
      </c>
      <c r="H2559" s="15">
        <v>17056</v>
      </c>
      <c r="I2559" s="13">
        <v>50</v>
      </c>
    </row>
    <row r="2560" spans="6:9">
      <c r="F2560" s="12" t="s">
        <v>1663</v>
      </c>
      <c r="G2560" s="12" t="s">
        <v>157</v>
      </c>
      <c r="H2560" s="15">
        <v>10422</v>
      </c>
      <c r="I2560" s="13">
        <v>50</v>
      </c>
    </row>
    <row r="2561" spans="6:9">
      <c r="F2561" s="12" t="s">
        <v>3835</v>
      </c>
      <c r="G2561" s="12" t="s">
        <v>159</v>
      </c>
      <c r="H2561" s="15">
        <v>56800</v>
      </c>
      <c r="I2561" s="13">
        <v>50</v>
      </c>
    </row>
    <row r="2562" spans="6:9">
      <c r="F2562" s="12" t="s">
        <v>3836</v>
      </c>
      <c r="G2562" s="12" t="s">
        <v>157</v>
      </c>
      <c r="H2562" s="15">
        <v>15460</v>
      </c>
      <c r="I2562" s="13">
        <v>50</v>
      </c>
    </row>
    <row r="2563" spans="6:9">
      <c r="F2563" s="12" t="s">
        <v>3837</v>
      </c>
      <c r="G2563" s="12" t="s">
        <v>159</v>
      </c>
      <c r="H2563" s="15">
        <v>11200</v>
      </c>
      <c r="I2563" s="13">
        <v>50</v>
      </c>
    </row>
    <row r="2564" spans="6:9">
      <c r="F2564" s="12" t="s">
        <v>3838</v>
      </c>
      <c r="G2564" s="12" t="s">
        <v>159</v>
      </c>
      <c r="H2564" s="15">
        <v>12900</v>
      </c>
      <c r="I2564" s="13">
        <v>50</v>
      </c>
    </row>
    <row r="2565" spans="6:9">
      <c r="F2565" s="12" t="s">
        <v>1665</v>
      </c>
      <c r="G2565" s="12" t="s">
        <v>157</v>
      </c>
      <c r="H2565" s="15">
        <v>11323</v>
      </c>
      <c r="I2565" s="13">
        <v>50</v>
      </c>
    </row>
    <row r="2566" spans="6:9">
      <c r="F2566" s="12" t="s">
        <v>3839</v>
      </c>
      <c r="G2566" s="12" t="s">
        <v>159</v>
      </c>
      <c r="H2566" s="15">
        <v>17000</v>
      </c>
      <c r="I2566" s="13">
        <v>50</v>
      </c>
    </row>
    <row r="2567" spans="6:9">
      <c r="F2567" s="12" t="s">
        <v>1667</v>
      </c>
      <c r="G2567" s="12" t="s">
        <v>157</v>
      </c>
      <c r="H2567" s="15">
        <v>11740</v>
      </c>
      <c r="I2567" s="13">
        <v>50</v>
      </c>
    </row>
    <row r="2568" spans="6:9">
      <c r="F2568" s="12" t="s">
        <v>3840</v>
      </c>
      <c r="G2568" s="12" t="s">
        <v>157</v>
      </c>
      <c r="H2568" s="15">
        <v>13891</v>
      </c>
      <c r="I2568" s="13">
        <v>50</v>
      </c>
    </row>
    <row r="2569" spans="6:9">
      <c r="F2569" s="12" t="s">
        <v>1670</v>
      </c>
      <c r="G2569" s="12" t="s">
        <v>157</v>
      </c>
      <c r="H2569" s="15">
        <v>13895</v>
      </c>
      <c r="I2569" s="13">
        <v>50</v>
      </c>
    </row>
    <row r="2570" spans="6:9">
      <c r="F2570" s="12" t="s">
        <v>1672</v>
      </c>
      <c r="G2570" s="12" t="s">
        <v>157</v>
      </c>
      <c r="H2570" s="15">
        <v>30048</v>
      </c>
      <c r="I2570" s="13">
        <v>50</v>
      </c>
    </row>
    <row r="2571" spans="6:9">
      <c r="F2571" s="12" t="s">
        <v>3841</v>
      </c>
      <c r="G2571" s="12" t="s">
        <v>159</v>
      </c>
      <c r="H2571" s="15">
        <v>33400</v>
      </c>
      <c r="I2571" s="13">
        <v>50</v>
      </c>
    </row>
    <row r="2572" spans="6:9">
      <c r="F2572" s="12" t="s">
        <v>3842</v>
      </c>
      <c r="G2572" s="12" t="s">
        <v>159</v>
      </c>
      <c r="H2572" s="15">
        <v>4613667</v>
      </c>
      <c r="I2572" s="13">
        <v>50</v>
      </c>
    </row>
    <row r="2573" spans="6:9">
      <c r="F2573" s="12" t="s">
        <v>3843</v>
      </c>
      <c r="G2573" s="12" t="s">
        <v>159</v>
      </c>
      <c r="H2573" s="15">
        <v>29200</v>
      </c>
      <c r="I2573" s="13">
        <v>50</v>
      </c>
    </row>
    <row r="2574" spans="6:9">
      <c r="F2574" s="12" t="s">
        <v>3844</v>
      </c>
      <c r="G2574" s="12" t="s">
        <v>159</v>
      </c>
      <c r="H2574" s="15">
        <v>45500</v>
      </c>
      <c r="I2574" s="13">
        <v>50</v>
      </c>
    </row>
    <row r="2575" spans="6:9">
      <c r="F2575" s="12" t="s">
        <v>1675</v>
      </c>
      <c r="G2575" s="12" t="s">
        <v>157</v>
      </c>
      <c r="H2575" s="15">
        <v>22435</v>
      </c>
      <c r="I2575" s="13">
        <v>50</v>
      </c>
    </row>
    <row r="2576" spans="6:9">
      <c r="F2576" s="12" t="s">
        <v>1678</v>
      </c>
      <c r="G2576" s="12" t="s">
        <v>157</v>
      </c>
      <c r="H2576" s="15">
        <v>22946</v>
      </c>
      <c r="I2576" s="13">
        <v>50</v>
      </c>
    </row>
    <row r="2577" spans="6:9">
      <c r="F2577" s="12" t="s">
        <v>3845</v>
      </c>
      <c r="G2577" s="12" t="s">
        <v>159</v>
      </c>
      <c r="H2577" s="15">
        <v>158000</v>
      </c>
      <c r="I2577" s="13">
        <v>50</v>
      </c>
    </row>
    <row r="2578" spans="6:9">
      <c r="F2578" s="12" t="s">
        <v>3846</v>
      </c>
      <c r="G2578" s="12" t="s">
        <v>157</v>
      </c>
      <c r="H2578" s="15">
        <v>12136</v>
      </c>
      <c r="I2578" s="13">
        <v>50</v>
      </c>
    </row>
    <row r="2579" spans="6:9">
      <c r="F2579" s="12" t="s">
        <v>3847</v>
      </c>
      <c r="G2579" s="12" t="s">
        <v>159</v>
      </c>
      <c r="H2579" s="15">
        <v>15600</v>
      </c>
      <c r="I2579" s="13">
        <v>50</v>
      </c>
    </row>
    <row r="2580" spans="6:9">
      <c r="F2580" s="12" t="s">
        <v>3848</v>
      </c>
      <c r="G2580" s="12" t="s">
        <v>157</v>
      </c>
      <c r="H2580" s="15">
        <v>24642</v>
      </c>
      <c r="I2580" s="13">
        <v>50</v>
      </c>
    </row>
    <row r="2581" spans="6:9">
      <c r="F2581" s="12" t="s">
        <v>3849</v>
      </c>
      <c r="G2581" s="12" t="s">
        <v>157</v>
      </c>
      <c r="H2581" s="15">
        <v>13072</v>
      </c>
      <c r="I2581" s="13">
        <v>50</v>
      </c>
    </row>
    <row r="2582" spans="6:9">
      <c r="F2582" s="12" t="s">
        <v>3850</v>
      </c>
      <c r="G2582" s="12" t="s">
        <v>159</v>
      </c>
      <c r="H2582" s="15">
        <v>1100000</v>
      </c>
      <c r="I2582" s="13">
        <v>50</v>
      </c>
    </row>
    <row r="2583" spans="6:9">
      <c r="F2583" s="12" t="s">
        <v>3851</v>
      </c>
      <c r="G2583" s="12" t="s">
        <v>159</v>
      </c>
      <c r="H2583" s="15">
        <v>20300</v>
      </c>
      <c r="I2583" s="13">
        <v>50</v>
      </c>
    </row>
    <row r="2584" spans="6:9">
      <c r="F2584" s="12" t="s">
        <v>3852</v>
      </c>
      <c r="G2584" s="12" t="s">
        <v>159</v>
      </c>
      <c r="H2584" s="15">
        <v>136900</v>
      </c>
      <c r="I2584" s="13">
        <v>50</v>
      </c>
    </row>
    <row r="2585" spans="6:9">
      <c r="F2585" s="12" t="s">
        <v>3853</v>
      </c>
      <c r="G2585" s="12" t="s">
        <v>159</v>
      </c>
      <c r="H2585" s="15">
        <v>22900</v>
      </c>
      <c r="I2585" s="13">
        <v>50</v>
      </c>
    </row>
    <row r="2586" spans="6:9">
      <c r="F2586" s="12" t="s">
        <v>3854</v>
      </c>
      <c r="G2586" s="12" t="s">
        <v>159</v>
      </c>
      <c r="H2586" s="15">
        <v>67300</v>
      </c>
      <c r="I2586" s="13">
        <v>50</v>
      </c>
    </row>
    <row r="2587" spans="6:9">
      <c r="F2587" s="12" t="s">
        <v>3855</v>
      </c>
      <c r="G2587" s="12" t="s">
        <v>157</v>
      </c>
      <c r="H2587" s="15">
        <v>13733</v>
      </c>
      <c r="I2587" s="13">
        <v>50</v>
      </c>
    </row>
    <row r="2588" spans="6:9">
      <c r="F2588" s="12" t="s">
        <v>3856</v>
      </c>
      <c r="G2588" s="12" t="s">
        <v>159</v>
      </c>
      <c r="H2588" s="15">
        <v>215400</v>
      </c>
      <c r="I2588" s="13">
        <v>50</v>
      </c>
    </row>
    <row r="2589" spans="6:9">
      <c r="F2589" s="12" t="s">
        <v>1683</v>
      </c>
      <c r="G2589" s="12" t="s">
        <v>157</v>
      </c>
      <c r="H2589" s="15">
        <v>11713</v>
      </c>
      <c r="I2589" s="13">
        <v>50</v>
      </c>
    </row>
    <row r="2590" spans="6:9">
      <c r="F2590" s="12" t="s">
        <v>1686</v>
      </c>
      <c r="G2590" s="12" t="s">
        <v>157</v>
      </c>
      <c r="H2590" s="15">
        <v>12791</v>
      </c>
      <c r="I2590" s="13">
        <v>50</v>
      </c>
    </row>
    <row r="2591" spans="6:9">
      <c r="F2591" s="12" t="s">
        <v>3857</v>
      </c>
      <c r="G2591" s="12" t="s">
        <v>159</v>
      </c>
      <c r="H2591" s="15">
        <v>157171</v>
      </c>
      <c r="I2591" s="13">
        <v>50</v>
      </c>
    </row>
    <row r="2592" spans="6:9">
      <c r="F2592" s="12" t="s">
        <v>3858</v>
      </c>
      <c r="G2592" s="12" t="s">
        <v>157</v>
      </c>
      <c r="H2592" s="15">
        <v>11703</v>
      </c>
      <c r="I2592" s="13">
        <v>50</v>
      </c>
    </row>
    <row r="2593" spans="6:9">
      <c r="F2593" s="12" t="s">
        <v>3859</v>
      </c>
      <c r="G2593" s="12" t="s">
        <v>159</v>
      </c>
      <c r="H2593" s="15">
        <v>11100</v>
      </c>
      <c r="I2593" s="13">
        <v>50</v>
      </c>
    </row>
    <row r="2594" spans="6:9">
      <c r="F2594" s="12" t="s">
        <v>3860</v>
      </c>
      <c r="G2594" s="12" t="s">
        <v>159</v>
      </c>
      <c r="H2594" s="15">
        <v>226800</v>
      </c>
      <c r="I2594" s="13">
        <v>50</v>
      </c>
    </row>
    <row r="2595" spans="6:9">
      <c r="F2595" s="12" t="s">
        <v>3861</v>
      </c>
      <c r="G2595" s="12" t="s">
        <v>159</v>
      </c>
      <c r="H2595" s="15">
        <v>26700</v>
      </c>
      <c r="I2595" s="13">
        <v>50</v>
      </c>
    </row>
    <row r="2596" spans="6:9">
      <c r="F2596" s="12" t="s">
        <v>3862</v>
      </c>
      <c r="G2596" s="12" t="s">
        <v>157</v>
      </c>
      <c r="H2596" s="15">
        <v>18707</v>
      </c>
      <c r="I2596" s="13">
        <v>50</v>
      </c>
    </row>
    <row r="2597" spans="6:9">
      <c r="F2597" s="12" t="s">
        <v>3863</v>
      </c>
      <c r="G2597" s="12" t="s">
        <v>159</v>
      </c>
      <c r="H2597" s="15">
        <v>11200</v>
      </c>
      <c r="I2597" s="13">
        <v>50</v>
      </c>
    </row>
    <row r="2598" spans="6:9">
      <c r="F2598" s="12" t="s">
        <v>3864</v>
      </c>
      <c r="G2598" s="12" t="s">
        <v>159</v>
      </c>
      <c r="H2598" s="15">
        <v>86800</v>
      </c>
      <c r="I2598" s="13">
        <v>50</v>
      </c>
    </row>
    <row r="2599" spans="6:9">
      <c r="F2599" s="12" t="s">
        <v>3865</v>
      </c>
      <c r="G2599" s="12" t="s">
        <v>157</v>
      </c>
      <c r="H2599" s="15">
        <v>13860</v>
      </c>
      <c r="I2599" s="13">
        <v>50</v>
      </c>
    </row>
    <row r="2600" spans="6:9">
      <c r="F2600" s="12" t="s">
        <v>1688</v>
      </c>
      <c r="G2600" s="12" t="s">
        <v>157</v>
      </c>
      <c r="H2600" s="15">
        <v>15093</v>
      </c>
      <c r="I2600" s="13">
        <v>50</v>
      </c>
    </row>
    <row r="2601" spans="6:9">
      <c r="F2601" s="12" t="s">
        <v>1691</v>
      </c>
      <c r="G2601" s="12" t="s">
        <v>157</v>
      </c>
      <c r="H2601" s="15">
        <v>11318</v>
      </c>
      <c r="I2601" s="13">
        <v>50</v>
      </c>
    </row>
    <row r="2602" spans="6:9">
      <c r="F2602" s="12" t="s">
        <v>1694</v>
      </c>
      <c r="G2602" s="12" t="s">
        <v>157</v>
      </c>
      <c r="H2602" s="15">
        <v>32463</v>
      </c>
      <c r="I2602" s="13">
        <v>50</v>
      </c>
    </row>
    <row r="2603" spans="6:9">
      <c r="F2603" s="12" t="s">
        <v>1697</v>
      </c>
      <c r="G2603" s="12" t="s">
        <v>157</v>
      </c>
      <c r="H2603" s="15">
        <v>34608</v>
      </c>
      <c r="I2603" s="13">
        <v>50</v>
      </c>
    </row>
    <row r="2604" spans="6:9">
      <c r="F2604" s="12" t="s">
        <v>3866</v>
      </c>
      <c r="G2604" s="12" t="s">
        <v>157</v>
      </c>
      <c r="H2604" s="15">
        <v>11939</v>
      </c>
      <c r="I2604" s="13">
        <v>50</v>
      </c>
    </row>
    <row r="2605" spans="6:9">
      <c r="F2605" s="12" t="s">
        <v>3867</v>
      </c>
      <c r="G2605" s="12" t="s">
        <v>157</v>
      </c>
      <c r="H2605" s="15">
        <v>10309</v>
      </c>
      <c r="I2605" s="13">
        <v>50</v>
      </c>
    </row>
    <row r="2606" spans="6:9">
      <c r="F2606" s="12" t="s">
        <v>3868</v>
      </c>
      <c r="G2606" s="12" t="s">
        <v>157</v>
      </c>
      <c r="H2606" s="15">
        <v>17309</v>
      </c>
      <c r="I2606" s="13">
        <v>50</v>
      </c>
    </row>
    <row r="2607" spans="6:9">
      <c r="F2607" s="12" t="s">
        <v>3869</v>
      </c>
      <c r="G2607" s="12" t="s">
        <v>159</v>
      </c>
      <c r="H2607" s="15">
        <v>10300</v>
      </c>
      <c r="I2607" s="13">
        <v>50</v>
      </c>
    </row>
    <row r="2608" spans="6:9">
      <c r="F2608" s="12" t="s">
        <v>3870</v>
      </c>
      <c r="G2608" s="12" t="s">
        <v>157</v>
      </c>
      <c r="H2608" s="15">
        <v>12585</v>
      </c>
      <c r="I2608" s="13">
        <v>50</v>
      </c>
    </row>
    <row r="2609" spans="6:9">
      <c r="F2609" s="12" t="s">
        <v>3871</v>
      </c>
      <c r="G2609" s="12" t="s">
        <v>157</v>
      </c>
      <c r="H2609" s="15">
        <v>130457</v>
      </c>
      <c r="I2609" s="13">
        <v>50</v>
      </c>
    </row>
    <row r="2610" spans="6:9">
      <c r="F2610" s="12" t="s">
        <v>3872</v>
      </c>
      <c r="G2610" s="12" t="s">
        <v>157</v>
      </c>
      <c r="H2610" s="15">
        <v>16248</v>
      </c>
      <c r="I2610" s="13">
        <v>50</v>
      </c>
    </row>
    <row r="2611" spans="6:9">
      <c r="F2611" s="12" t="s">
        <v>3873</v>
      </c>
      <c r="G2611" s="12" t="s">
        <v>159</v>
      </c>
      <c r="H2611" s="15">
        <v>216100</v>
      </c>
      <c r="I2611" s="13">
        <v>50</v>
      </c>
    </row>
    <row r="2612" spans="6:9">
      <c r="F2612" s="12" t="s">
        <v>3874</v>
      </c>
      <c r="G2612" s="12" t="s">
        <v>157</v>
      </c>
      <c r="H2612" s="15">
        <v>12552</v>
      </c>
      <c r="I2612" s="13">
        <v>50</v>
      </c>
    </row>
    <row r="2613" spans="6:9">
      <c r="F2613" s="12" t="s">
        <v>3875</v>
      </c>
      <c r="G2613" s="12" t="s">
        <v>159</v>
      </c>
      <c r="H2613" s="15">
        <v>310100</v>
      </c>
      <c r="I2613" s="13">
        <v>50</v>
      </c>
    </row>
    <row r="2614" spans="6:9">
      <c r="F2614" s="12" t="s">
        <v>3876</v>
      </c>
      <c r="G2614" s="12" t="s">
        <v>157</v>
      </c>
      <c r="H2614" s="15">
        <v>20347</v>
      </c>
      <c r="I2614" s="13">
        <v>50</v>
      </c>
    </row>
    <row r="2615" spans="6:9">
      <c r="F2615" s="12" t="s">
        <v>3877</v>
      </c>
      <c r="G2615" s="12" t="s">
        <v>159</v>
      </c>
      <c r="H2615" s="15">
        <v>11600</v>
      </c>
      <c r="I2615" s="13">
        <v>50</v>
      </c>
    </row>
    <row r="2616" spans="6:9">
      <c r="F2616" s="12" t="s">
        <v>3878</v>
      </c>
      <c r="G2616" s="12" t="s">
        <v>159</v>
      </c>
      <c r="H2616" s="15">
        <v>232300</v>
      </c>
      <c r="I2616" s="13">
        <v>50</v>
      </c>
    </row>
    <row r="2617" spans="6:9">
      <c r="F2617" s="12" t="s">
        <v>3879</v>
      </c>
      <c r="G2617" s="12" t="s">
        <v>159</v>
      </c>
      <c r="H2617" s="15">
        <v>198700</v>
      </c>
      <c r="I2617" s="13">
        <v>50</v>
      </c>
    </row>
    <row r="2618" spans="6:9">
      <c r="F2618" s="12" t="s">
        <v>188</v>
      </c>
      <c r="G2618" s="12" t="s">
        <v>157</v>
      </c>
      <c r="H2618" s="15">
        <v>2011129</v>
      </c>
      <c r="I2618" s="13">
        <v>50</v>
      </c>
    </row>
    <row r="2619" spans="6:9">
      <c r="F2619" s="12" t="s">
        <v>3880</v>
      </c>
      <c r="G2619" s="12" t="s">
        <v>159</v>
      </c>
      <c r="H2619" s="15">
        <v>12000</v>
      </c>
      <c r="I2619" s="13">
        <v>50</v>
      </c>
    </row>
    <row r="2620" spans="6:9">
      <c r="F2620" s="12" t="s">
        <v>3881</v>
      </c>
      <c r="G2620" s="12" t="s">
        <v>159</v>
      </c>
      <c r="H2620" s="15">
        <v>21800</v>
      </c>
      <c r="I2620" s="13">
        <v>50</v>
      </c>
    </row>
    <row r="2621" spans="6:9">
      <c r="F2621" s="12" t="s">
        <v>3882</v>
      </c>
      <c r="G2621" s="12" t="s">
        <v>159</v>
      </c>
      <c r="H2621" s="15">
        <v>69300</v>
      </c>
      <c r="I2621" s="13">
        <v>50</v>
      </c>
    </row>
    <row r="2622" spans="6:9">
      <c r="F2622" s="12" t="s">
        <v>3883</v>
      </c>
      <c r="G2622" s="12" t="s">
        <v>159</v>
      </c>
      <c r="H2622" s="15">
        <v>54100</v>
      </c>
      <c r="I2622" s="13">
        <v>50</v>
      </c>
    </row>
    <row r="2623" spans="6:9">
      <c r="F2623" s="12" t="s">
        <v>3884</v>
      </c>
      <c r="G2623" s="12" t="s">
        <v>159</v>
      </c>
      <c r="H2623" s="15">
        <v>33400</v>
      </c>
      <c r="I2623" s="13">
        <v>50</v>
      </c>
    </row>
    <row r="2624" spans="6:9">
      <c r="F2624" s="12" t="s">
        <v>1700</v>
      </c>
      <c r="G2624" s="12" t="s">
        <v>157</v>
      </c>
      <c r="H2624" s="15">
        <v>10729</v>
      </c>
      <c r="I2624" s="13">
        <v>50</v>
      </c>
    </row>
    <row r="2625" spans="6:9">
      <c r="F2625" s="12" t="s">
        <v>1703</v>
      </c>
      <c r="G2625" s="12" t="s">
        <v>157</v>
      </c>
      <c r="H2625" s="15">
        <v>10207</v>
      </c>
      <c r="I2625" s="13">
        <v>50</v>
      </c>
    </row>
    <row r="2626" spans="6:9">
      <c r="F2626" s="12" t="s">
        <v>3885</v>
      </c>
      <c r="G2626" s="12" t="s">
        <v>157</v>
      </c>
      <c r="H2626" s="15">
        <v>20754</v>
      </c>
      <c r="I2626" s="13">
        <v>50</v>
      </c>
    </row>
    <row r="2627" spans="6:9">
      <c r="F2627" s="12" t="s">
        <v>3886</v>
      </c>
      <c r="G2627" s="12" t="s">
        <v>157</v>
      </c>
      <c r="H2627" s="15">
        <v>16139</v>
      </c>
      <c r="I2627" s="13">
        <v>50</v>
      </c>
    </row>
    <row r="2628" spans="6:9">
      <c r="F2628" s="12" t="s">
        <v>3887</v>
      </c>
      <c r="G2628" s="12" t="s">
        <v>159</v>
      </c>
      <c r="H2628" s="15">
        <v>43100</v>
      </c>
      <c r="I2628" s="13">
        <v>50</v>
      </c>
    </row>
    <row r="2629" spans="6:9">
      <c r="F2629" s="12" t="s">
        <v>191</v>
      </c>
      <c r="G2629" s="12" t="s">
        <v>157</v>
      </c>
      <c r="H2629" s="15">
        <v>82989</v>
      </c>
      <c r="I2629" s="13">
        <v>50</v>
      </c>
    </row>
    <row r="2630" spans="6:9">
      <c r="F2630" s="12" t="s">
        <v>1706</v>
      </c>
      <c r="G2630" s="12" t="s">
        <v>157</v>
      </c>
      <c r="H2630" s="15">
        <v>29811</v>
      </c>
      <c r="I2630" s="13">
        <v>50</v>
      </c>
    </row>
    <row r="2631" spans="6:9">
      <c r="F2631" s="12" t="s">
        <v>3888</v>
      </c>
      <c r="G2631" s="12" t="s">
        <v>159</v>
      </c>
      <c r="H2631" s="15">
        <v>10300</v>
      </c>
      <c r="I2631" s="13">
        <v>50</v>
      </c>
    </row>
    <row r="2632" spans="6:9">
      <c r="F2632" s="12" t="s">
        <v>3889</v>
      </c>
      <c r="G2632" s="12" t="s">
        <v>157</v>
      </c>
      <c r="H2632" s="15">
        <v>10703</v>
      </c>
      <c r="I2632" s="13">
        <v>50</v>
      </c>
    </row>
    <row r="2633" spans="6:9">
      <c r="F2633" s="12" t="s">
        <v>3890</v>
      </c>
      <c r="G2633" s="12" t="s">
        <v>159</v>
      </c>
      <c r="H2633" s="15">
        <v>11600</v>
      </c>
      <c r="I2633" s="13">
        <v>50</v>
      </c>
    </row>
    <row r="2634" spans="6:9">
      <c r="F2634" s="12" t="s">
        <v>3891</v>
      </c>
      <c r="G2634" s="12" t="s">
        <v>159</v>
      </c>
      <c r="H2634" s="15">
        <v>182400</v>
      </c>
      <c r="I2634" s="13">
        <v>50</v>
      </c>
    </row>
    <row r="2635" spans="6:9">
      <c r="F2635" s="12" t="s">
        <v>3892</v>
      </c>
      <c r="G2635" s="12" t="s">
        <v>157</v>
      </c>
      <c r="H2635" s="15">
        <v>16226</v>
      </c>
      <c r="I2635" s="13">
        <v>50</v>
      </c>
    </row>
    <row r="2636" spans="6:9">
      <c r="F2636" s="12" t="s">
        <v>1709</v>
      </c>
      <c r="G2636" s="12" t="s">
        <v>157</v>
      </c>
      <c r="H2636" s="15">
        <v>26779</v>
      </c>
      <c r="I2636" s="13">
        <v>50</v>
      </c>
    </row>
    <row r="2637" spans="6:9">
      <c r="F2637" s="12" t="s">
        <v>1712</v>
      </c>
      <c r="G2637" s="12" t="s">
        <v>157</v>
      </c>
      <c r="H2637" s="15">
        <v>10806</v>
      </c>
      <c r="I2637" s="13">
        <v>50</v>
      </c>
    </row>
    <row r="2638" spans="6:9">
      <c r="F2638" s="12" t="s">
        <v>3893</v>
      </c>
      <c r="G2638" s="12" t="s">
        <v>159</v>
      </c>
      <c r="H2638" s="15">
        <v>29300</v>
      </c>
      <c r="I2638" s="13">
        <v>50</v>
      </c>
    </row>
    <row r="2639" spans="6:9">
      <c r="F2639" s="12" t="s">
        <v>3894</v>
      </c>
      <c r="G2639" s="12" t="s">
        <v>159</v>
      </c>
      <c r="H2639" s="15">
        <v>15800</v>
      </c>
      <c r="I2639" s="13">
        <v>50</v>
      </c>
    </row>
    <row r="2640" spans="6:9">
      <c r="F2640" s="12" t="s">
        <v>3895</v>
      </c>
      <c r="G2640" s="12" t="s">
        <v>159</v>
      </c>
      <c r="H2640" s="15">
        <v>17200</v>
      </c>
      <c r="I2640" s="13">
        <v>50</v>
      </c>
    </row>
    <row r="2641" spans="6:9">
      <c r="F2641" s="12" t="s">
        <v>3896</v>
      </c>
      <c r="G2641" s="12" t="s">
        <v>159</v>
      </c>
      <c r="H2641" s="15">
        <v>47600</v>
      </c>
      <c r="I2641" s="13">
        <v>50</v>
      </c>
    </row>
    <row r="2642" spans="6:9">
      <c r="F2642" s="12" t="s">
        <v>3897</v>
      </c>
      <c r="G2642" s="12" t="s">
        <v>159</v>
      </c>
      <c r="H2642" s="15">
        <v>11000</v>
      </c>
      <c r="I2642" s="13">
        <v>50</v>
      </c>
    </row>
    <row r="2643" spans="6:9">
      <c r="F2643" s="12" t="s">
        <v>3898</v>
      </c>
      <c r="G2643" s="12" t="s">
        <v>159</v>
      </c>
      <c r="H2643" s="15">
        <v>132200</v>
      </c>
      <c r="I2643" s="13">
        <v>50</v>
      </c>
    </row>
    <row r="2644" spans="6:9">
      <c r="F2644" s="12" t="s">
        <v>3899</v>
      </c>
      <c r="G2644" s="12" t="s">
        <v>159</v>
      </c>
      <c r="H2644" s="15">
        <v>116243</v>
      </c>
      <c r="I2644" s="13">
        <v>50</v>
      </c>
    </row>
    <row r="2645" spans="6:9">
      <c r="F2645" s="12" t="s">
        <v>3900</v>
      </c>
      <c r="G2645" s="12" t="s">
        <v>159</v>
      </c>
      <c r="H2645" s="15">
        <v>200000</v>
      </c>
      <c r="I2645" s="13">
        <v>50</v>
      </c>
    </row>
    <row r="2646" spans="6:9">
      <c r="F2646" s="12" t="s">
        <v>3901</v>
      </c>
      <c r="G2646" s="12" t="s">
        <v>157</v>
      </c>
      <c r="H2646" s="15">
        <v>21018</v>
      </c>
      <c r="I2646" s="13">
        <v>50</v>
      </c>
    </row>
    <row r="2647" spans="6:9">
      <c r="F2647" s="12" t="s">
        <v>3902</v>
      </c>
      <c r="G2647" s="12" t="s">
        <v>159</v>
      </c>
      <c r="H2647" s="15">
        <v>89400</v>
      </c>
      <c r="I2647" s="13">
        <v>50</v>
      </c>
    </row>
    <row r="2648" spans="6:9">
      <c r="F2648" s="12" t="s">
        <v>3903</v>
      </c>
      <c r="G2648" s="12" t="s">
        <v>159</v>
      </c>
      <c r="H2648" s="15">
        <v>22300</v>
      </c>
      <c r="I2648" s="13">
        <v>50</v>
      </c>
    </row>
    <row r="2649" spans="6:9">
      <c r="F2649" s="12" t="s">
        <v>3904</v>
      </c>
      <c r="G2649" s="12" t="s">
        <v>157</v>
      </c>
      <c r="H2649" s="15">
        <v>12285</v>
      </c>
      <c r="I2649" s="13">
        <v>50</v>
      </c>
    </row>
    <row r="2650" spans="6:9">
      <c r="F2650" s="12" t="s">
        <v>3905</v>
      </c>
      <c r="G2650" s="12" t="s">
        <v>157</v>
      </c>
      <c r="H2650" s="15">
        <v>19436</v>
      </c>
      <c r="I2650" s="13">
        <v>50</v>
      </c>
    </row>
    <row r="2651" spans="6:9">
      <c r="F2651" s="12" t="s">
        <v>3906</v>
      </c>
      <c r="G2651" s="12" t="s">
        <v>159</v>
      </c>
      <c r="H2651" s="15">
        <v>371500</v>
      </c>
      <c r="I2651" s="13">
        <v>50</v>
      </c>
    </row>
    <row r="2652" spans="6:9">
      <c r="F2652" s="12" t="s">
        <v>3907</v>
      </c>
      <c r="G2652" s="12" t="s">
        <v>159</v>
      </c>
      <c r="H2652" s="15">
        <v>2000000</v>
      </c>
      <c r="I2652" s="13">
        <v>50</v>
      </c>
    </row>
    <row r="2653" spans="6:9">
      <c r="F2653" s="12" t="s">
        <v>3908</v>
      </c>
      <c r="G2653" s="12" t="s">
        <v>159</v>
      </c>
      <c r="H2653" s="15">
        <v>50700</v>
      </c>
      <c r="I2653" s="13">
        <v>50</v>
      </c>
    </row>
    <row r="2654" spans="6:9">
      <c r="F2654" s="12" t="s">
        <v>3909</v>
      </c>
      <c r="G2654" s="12" t="s">
        <v>159</v>
      </c>
      <c r="H2654" s="15">
        <v>65300</v>
      </c>
      <c r="I2654" s="13">
        <v>50</v>
      </c>
    </row>
    <row r="2655" spans="6:9">
      <c r="F2655" s="12" t="s">
        <v>3910</v>
      </c>
      <c r="G2655" s="12" t="s">
        <v>159</v>
      </c>
      <c r="H2655" s="15">
        <v>11500</v>
      </c>
      <c r="I2655" s="13">
        <v>50</v>
      </c>
    </row>
    <row r="2656" spans="6:9">
      <c r="F2656" s="12" t="s">
        <v>3911</v>
      </c>
      <c r="G2656" s="12" t="s">
        <v>157</v>
      </c>
      <c r="H2656" s="15">
        <v>23905</v>
      </c>
      <c r="I2656" s="13">
        <v>50</v>
      </c>
    </row>
    <row r="2657" spans="6:9">
      <c r="F2657" s="12" t="s">
        <v>3912</v>
      </c>
      <c r="G2657" s="12" t="s">
        <v>159</v>
      </c>
      <c r="H2657" s="15">
        <v>446100</v>
      </c>
      <c r="I2657" s="13">
        <v>50</v>
      </c>
    </row>
    <row r="2658" spans="6:9">
      <c r="F2658" s="12" t="s">
        <v>3913</v>
      </c>
      <c r="G2658" s="12" t="s">
        <v>157</v>
      </c>
      <c r="H2658" s="15">
        <v>17604</v>
      </c>
      <c r="I2658" s="13">
        <v>50</v>
      </c>
    </row>
    <row r="2659" spans="6:9">
      <c r="F2659" s="12" t="s">
        <v>3914</v>
      </c>
      <c r="G2659" s="12" t="s">
        <v>159</v>
      </c>
      <c r="H2659" s="15">
        <v>40800</v>
      </c>
      <c r="I2659" s="13">
        <v>50</v>
      </c>
    </row>
    <row r="2660" spans="6:9">
      <c r="F2660" s="12" t="s">
        <v>3915</v>
      </c>
      <c r="G2660" s="12" t="s">
        <v>159</v>
      </c>
      <c r="H2660" s="15">
        <v>34700</v>
      </c>
      <c r="I2660" s="13">
        <v>50</v>
      </c>
    </row>
    <row r="2661" spans="6:9">
      <c r="F2661" s="12" t="s">
        <v>1715</v>
      </c>
      <c r="G2661" s="12" t="s">
        <v>157</v>
      </c>
      <c r="H2661" s="15">
        <v>30072</v>
      </c>
      <c r="I2661" s="13">
        <v>50</v>
      </c>
    </row>
    <row r="2662" spans="6:9">
      <c r="F2662" s="12" t="s">
        <v>506</v>
      </c>
      <c r="G2662" s="12" t="s">
        <v>157</v>
      </c>
      <c r="H2662" s="15">
        <v>132014</v>
      </c>
      <c r="I2662" s="13">
        <v>49</v>
      </c>
    </row>
    <row r="2663" spans="6:9">
      <c r="F2663" s="12" t="s">
        <v>508</v>
      </c>
      <c r="G2663" s="12" t="s">
        <v>157</v>
      </c>
      <c r="H2663" s="15">
        <v>101693</v>
      </c>
      <c r="I2663" s="13">
        <v>49</v>
      </c>
    </row>
    <row r="2664" spans="6:9">
      <c r="F2664" s="12" t="s">
        <v>3916</v>
      </c>
      <c r="G2664" s="12" t="s">
        <v>157</v>
      </c>
      <c r="H2664" s="15">
        <v>53324</v>
      </c>
      <c r="I2664" s="13">
        <v>49</v>
      </c>
    </row>
    <row r="2665" spans="6:9">
      <c r="F2665" s="12" t="s">
        <v>511</v>
      </c>
      <c r="G2665" s="12" t="s">
        <v>157</v>
      </c>
      <c r="H2665" s="15">
        <v>267415</v>
      </c>
      <c r="I2665" s="13">
        <v>49</v>
      </c>
    </row>
    <row r="2666" spans="6:9">
      <c r="F2666" s="12" t="s">
        <v>1827</v>
      </c>
      <c r="G2666" s="12" t="s">
        <v>157</v>
      </c>
      <c r="H2666" s="15">
        <v>51284</v>
      </c>
      <c r="I2666" s="13">
        <v>49</v>
      </c>
    </row>
    <row r="2667" spans="6:9">
      <c r="F2667" s="12" t="s">
        <v>928</v>
      </c>
      <c r="G2667" s="12" t="s">
        <v>157</v>
      </c>
      <c r="H2667" s="15">
        <v>137899</v>
      </c>
      <c r="I2667" s="13">
        <v>49</v>
      </c>
    </row>
    <row r="2668" spans="6:9">
      <c r="F2668" s="12" t="s">
        <v>521</v>
      </c>
      <c r="G2668" s="12" t="s">
        <v>157</v>
      </c>
      <c r="H2668" s="15">
        <v>3050573</v>
      </c>
      <c r="I2668" s="13">
        <v>49</v>
      </c>
    </row>
    <row r="2669" spans="6:9">
      <c r="F2669" s="12" t="s">
        <v>1719</v>
      </c>
      <c r="G2669" s="12" t="s">
        <v>157</v>
      </c>
      <c r="H2669" s="15">
        <v>34656</v>
      </c>
      <c r="I2669" s="13">
        <v>49</v>
      </c>
    </row>
    <row r="2670" spans="6:9">
      <c r="F2670" s="12" t="s">
        <v>526</v>
      </c>
      <c r="G2670" s="12" t="s">
        <v>157</v>
      </c>
      <c r="H2670" s="15">
        <v>3599718</v>
      </c>
      <c r="I2670" s="13">
        <v>49</v>
      </c>
    </row>
    <row r="2671" spans="6:9">
      <c r="F2671" s="12" t="s">
        <v>528</v>
      </c>
      <c r="G2671" s="12" t="s">
        <v>159</v>
      </c>
      <c r="H2671" s="15">
        <v>1700000</v>
      </c>
      <c r="I2671" s="13">
        <v>49</v>
      </c>
    </row>
    <row r="2672" spans="6:9">
      <c r="F2672" s="12" t="s">
        <v>1402</v>
      </c>
      <c r="G2672" s="12" t="s">
        <v>157</v>
      </c>
      <c r="H2672" s="15">
        <v>875827</v>
      </c>
      <c r="I2672" s="13">
        <v>49</v>
      </c>
    </row>
    <row r="2673" spans="6:9">
      <c r="F2673" s="12" t="s">
        <v>531</v>
      </c>
      <c r="G2673" s="12" t="s">
        <v>157</v>
      </c>
      <c r="H2673" s="15">
        <v>409700</v>
      </c>
      <c r="I2673" s="13">
        <v>49</v>
      </c>
    </row>
    <row r="2674" spans="6:9">
      <c r="F2674" s="12" t="s">
        <v>951</v>
      </c>
      <c r="G2674" s="12" t="s">
        <v>157</v>
      </c>
      <c r="H2674" s="15">
        <v>107155</v>
      </c>
      <c r="I2674" s="13">
        <v>49</v>
      </c>
    </row>
    <row r="2675" spans="6:9">
      <c r="F2675" s="12" t="s">
        <v>2747</v>
      </c>
      <c r="G2675" s="12" t="s">
        <v>157</v>
      </c>
      <c r="H2675" s="15">
        <v>69588</v>
      </c>
      <c r="I2675" s="13">
        <v>49</v>
      </c>
    </row>
    <row r="2676" spans="6:9">
      <c r="F2676" s="12" t="s">
        <v>533</v>
      </c>
      <c r="G2676" s="12" t="s">
        <v>157</v>
      </c>
      <c r="H2676" s="15">
        <v>130272</v>
      </c>
      <c r="I2676" s="13">
        <v>49</v>
      </c>
    </row>
    <row r="2677" spans="6:9">
      <c r="F2677" s="12" t="s">
        <v>1750</v>
      </c>
      <c r="G2677" s="12" t="s">
        <v>159</v>
      </c>
      <c r="H2677" s="15">
        <v>341600</v>
      </c>
      <c r="I2677" s="13">
        <v>49</v>
      </c>
    </row>
    <row r="2678" spans="6:9">
      <c r="F2678" s="12" t="s">
        <v>971</v>
      </c>
      <c r="G2678" s="12" t="s">
        <v>157</v>
      </c>
      <c r="H2678" s="15">
        <v>980645</v>
      </c>
      <c r="I2678" s="13">
        <v>49</v>
      </c>
    </row>
    <row r="2679" spans="6:9">
      <c r="F2679" s="12" t="s">
        <v>1754</v>
      </c>
      <c r="G2679" s="12" t="s">
        <v>159</v>
      </c>
      <c r="H2679" s="15">
        <v>125900</v>
      </c>
      <c r="I2679" s="13">
        <v>49</v>
      </c>
    </row>
    <row r="2680" spans="6:9">
      <c r="F2680" s="12" t="s">
        <v>1177</v>
      </c>
      <c r="G2680" s="12" t="s">
        <v>157</v>
      </c>
      <c r="H2680" s="15">
        <v>116777</v>
      </c>
      <c r="I2680" s="13">
        <v>49</v>
      </c>
    </row>
    <row r="2681" spans="6:9">
      <c r="F2681" s="12" t="s">
        <v>1799</v>
      </c>
      <c r="G2681" s="12" t="s">
        <v>157</v>
      </c>
      <c r="H2681" s="15">
        <v>63295</v>
      </c>
      <c r="I2681" s="13">
        <v>49</v>
      </c>
    </row>
    <row r="2682" spans="6:9">
      <c r="F2682" s="12" t="s">
        <v>1033</v>
      </c>
      <c r="G2682" s="12" t="s">
        <v>157</v>
      </c>
      <c r="H2682" s="15">
        <v>172679</v>
      </c>
      <c r="I2682" s="13">
        <v>48</v>
      </c>
    </row>
    <row r="2683" spans="6:9">
      <c r="F2683" s="12" t="s">
        <v>1036</v>
      </c>
      <c r="G2683" s="12" t="s">
        <v>157</v>
      </c>
      <c r="H2683" s="15">
        <v>266557</v>
      </c>
      <c r="I2683" s="13">
        <v>48</v>
      </c>
    </row>
    <row r="2684" spans="6:9">
      <c r="F2684" s="12" t="s">
        <v>3917</v>
      </c>
      <c r="G2684" s="12" t="s">
        <v>159</v>
      </c>
      <c r="H2684" s="15">
        <v>4500000</v>
      </c>
      <c r="I2684" s="13">
        <v>48</v>
      </c>
    </row>
    <row r="2685" spans="6:9">
      <c r="F2685" s="12" t="s">
        <v>212</v>
      </c>
      <c r="G2685" s="12" t="s">
        <v>157</v>
      </c>
      <c r="H2685" s="15">
        <v>117740</v>
      </c>
      <c r="I2685" s="13">
        <v>48</v>
      </c>
    </row>
    <row r="2686" spans="6:9">
      <c r="F2686" s="12" t="s">
        <v>215</v>
      </c>
      <c r="G2686" s="12" t="s">
        <v>157</v>
      </c>
      <c r="H2686" s="15">
        <v>2961548</v>
      </c>
      <c r="I2686" s="13">
        <v>48</v>
      </c>
    </row>
    <row r="2687" spans="6:9">
      <c r="F2687" s="12" t="s">
        <v>3918</v>
      </c>
      <c r="G2687" s="12" t="s">
        <v>159</v>
      </c>
      <c r="H2687" s="15">
        <v>1800000</v>
      </c>
      <c r="I2687" s="13">
        <v>48</v>
      </c>
    </row>
    <row r="2688" spans="6:9">
      <c r="F2688" s="12" t="s">
        <v>3919</v>
      </c>
      <c r="G2688" s="12" t="s">
        <v>159</v>
      </c>
      <c r="H2688" s="15">
        <v>1500000</v>
      </c>
      <c r="I2688" s="13">
        <v>48</v>
      </c>
    </row>
    <row r="2689" spans="6:9">
      <c r="F2689" s="12" t="s">
        <v>1451</v>
      </c>
      <c r="G2689" s="12" t="s">
        <v>157</v>
      </c>
      <c r="H2689" s="15">
        <v>144478</v>
      </c>
      <c r="I2689" s="13">
        <v>48</v>
      </c>
    </row>
    <row r="2690" spans="6:9">
      <c r="F2690" s="12" t="s">
        <v>563</v>
      </c>
      <c r="G2690" s="12" t="s">
        <v>157</v>
      </c>
      <c r="H2690" s="15">
        <v>586677</v>
      </c>
      <c r="I2690" s="13">
        <v>48</v>
      </c>
    </row>
    <row r="2691" spans="6:9">
      <c r="F2691" s="12" t="s">
        <v>3920</v>
      </c>
      <c r="G2691" s="12" t="s">
        <v>159</v>
      </c>
      <c r="H2691" s="15">
        <v>968400</v>
      </c>
      <c r="I2691" s="13">
        <v>48</v>
      </c>
    </row>
    <row r="2692" spans="6:9">
      <c r="F2692" s="12" t="s">
        <v>1454</v>
      </c>
      <c r="G2692" s="12" t="s">
        <v>157</v>
      </c>
      <c r="H2692" s="15">
        <v>273852</v>
      </c>
      <c r="I2692" s="13">
        <v>48</v>
      </c>
    </row>
    <row r="2693" spans="6:9">
      <c r="F2693" s="12" t="s">
        <v>3921</v>
      </c>
      <c r="G2693" s="12" t="s">
        <v>159</v>
      </c>
      <c r="H2693" s="15">
        <v>11800000</v>
      </c>
      <c r="I2693" s="13">
        <v>48</v>
      </c>
    </row>
    <row r="2694" spans="6:9">
      <c r="F2694" s="12" t="s">
        <v>218</v>
      </c>
      <c r="G2694" s="12" t="s">
        <v>157</v>
      </c>
      <c r="H2694" s="15">
        <v>69423</v>
      </c>
      <c r="I2694" s="13">
        <v>48</v>
      </c>
    </row>
    <row r="2695" spans="6:9">
      <c r="F2695" s="12" t="s">
        <v>3922</v>
      </c>
      <c r="G2695" s="12" t="s">
        <v>159</v>
      </c>
      <c r="H2695" s="15">
        <v>1100000</v>
      </c>
      <c r="I2695" s="13">
        <v>48</v>
      </c>
    </row>
    <row r="2696" spans="6:9">
      <c r="F2696" s="12" t="s">
        <v>3923</v>
      </c>
      <c r="G2696" s="12" t="s">
        <v>159</v>
      </c>
      <c r="H2696" s="15">
        <v>1600000</v>
      </c>
      <c r="I2696" s="13">
        <v>48</v>
      </c>
    </row>
    <row r="2697" spans="6:9">
      <c r="F2697" s="12" t="s">
        <v>3924</v>
      </c>
      <c r="G2697" s="12" t="s">
        <v>159</v>
      </c>
      <c r="H2697" s="15">
        <v>2600000</v>
      </c>
      <c r="I2697" s="13">
        <v>48</v>
      </c>
    </row>
    <row r="2698" spans="6:9">
      <c r="F2698" s="12" t="s">
        <v>569</v>
      </c>
      <c r="G2698" s="12" t="s">
        <v>157</v>
      </c>
      <c r="H2698" s="15">
        <v>123528</v>
      </c>
      <c r="I2698" s="13">
        <v>48</v>
      </c>
    </row>
    <row r="2699" spans="6:9">
      <c r="F2699" s="12" t="s">
        <v>571</v>
      </c>
      <c r="G2699" s="12" t="s">
        <v>157</v>
      </c>
      <c r="H2699" s="15">
        <v>163961</v>
      </c>
      <c r="I2699" s="13">
        <v>48</v>
      </c>
    </row>
    <row r="2700" spans="6:9">
      <c r="F2700" s="12" t="s">
        <v>197</v>
      </c>
      <c r="G2700" s="12" t="s">
        <v>157</v>
      </c>
      <c r="H2700" s="15">
        <v>1801352</v>
      </c>
      <c r="I2700" s="13">
        <v>48</v>
      </c>
    </row>
    <row r="2701" spans="6:9">
      <c r="F2701" s="12" t="s">
        <v>3925</v>
      </c>
      <c r="G2701" s="12" t="s">
        <v>159</v>
      </c>
      <c r="H2701" s="15">
        <v>549300</v>
      </c>
      <c r="I2701" s="13">
        <v>48</v>
      </c>
    </row>
    <row r="2702" spans="6:9">
      <c r="F2702" s="12" t="s">
        <v>3926</v>
      </c>
      <c r="G2702" s="12" t="s">
        <v>159</v>
      </c>
      <c r="H2702" s="15">
        <v>2100000</v>
      </c>
      <c r="I2702" s="13">
        <v>48</v>
      </c>
    </row>
    <row r="2703" spans="6:9">
      <c r="F2703" s="12" t="s">
        <v>574</v>
      </c>
      <c r="G2703" s="12" t="s">
        <v>157</v>
      </c>
      <c r="H2703" s="15">
        <v>142670</v>
      </c>
      <c r="I2703" s="13">
        <v>48</v>
      </c>
    </row>
    <row r="2704" spans="6:9">
      <c r="F2704" s="12" t="s">
        <v>716</v>
      </c>
      <c r="G2704" s="12" t="s">
        <v>159</v>
      </c>
      <c r="H2704" s="15">
        <v>12700000</v>
      </c>
      <c r="I2704" s="13">
        <v>48</v>
      </c>
    </row>
    <row r="2705" spans="6:9">
      <c r="F2705" s="12" t="s">
        <v>279</v>
      </c>
      <c r="G2705" s="12" t="s">
        <v>157</v>
      </c>
      <c r="H2705" s="15">
        <v>37961844</v>
      </c>
      <c r="I2705" s="13">
        <v>48</v>
      </c>
    </row>
    <row r="2706" spans="6:9">
      <c r="F2706" s="12" t="s">
        <v>3927</v>
      </c>
      <c r="G2706" s="12" t="s">
        <v>159</v>
      </c>
      <c r="H2706" s="15">
        <v>2500000</v>
      </c>
      <c r="I2706" s="13">
        <v>48</v>
      </c>
    </row>
    <row r="2707" spans="6:9">
      <c r="F2707" s="12" t="s">
        <v>1470</v>
      </c>
      <c r="G2707" s="12" t="s">
        <v>157</v>
      </c>
      <c r="H2707" s="15">
        <v>276292</v>
      </c>
      <c r="I2707" s="13">
        <v>48</v>
      </c>
    </row>
    <row r="2708" spans="6:9">
      <c r="F2708" s="12" t="s">
        <v>3928</v>
      </c>
      <c r="G2708" s="12" t="s">
        <v>159</v>
      </c>
      <c r="H2708" s="15">
        <v>330700</v>
      </c>
      <c r="I2708" s="13">
        <v>48</v>
      </c>
    </row>
    <row r="2709" spans="6:9">
      <c r="F2709" s="12" t="s">
        <v>581</v>
      </c>
      <c r="G2709" s="12" t="s">
        <v>157</v>
      </c>
      <c r="H2709" s="15">
        <v>139486</v>
      </c>
      <c r="I2709" s="13">
        <v>48</v>
      </c>
    </row>
    <row r="2710" spans="6:9">
      <c r="F2710" s="12" t="s">
        <v>584</v>
      </c>
      <c r="G2710" s="12" t="s">
        <v>159</v>
      </c>
      <c r="H2710" s="15">
        <v>1000000</v>
      </c>
      <c r="I2710" s="13">
        <v>48</v>
      </c>
    </row>
    <row r="2711" spans="6:9">
      <c r="F2711" s="12" t="s">
        <v>3929</v>
      </c>
      <c r="G2711" s="12" t="s">
        <v>157</v>
      </c>
      <c r="H2711" s="15">
        <v>88568</v>
      </c>
      <c r="I2711" s="13">
        <v>48</v>
      </c>
    </row>
    <row r="2712" spans="6:9">
      <c r="F2712" s="12" t="s">
        <v>3930</v>
      </c>
      <c r="G2712" s="12" t="s">
        <v>159</v>
      </c>
      <c r="H2712" s="15">
        <v>3000000</v>
      </c>
      <c r="I2712" s="13">
        <v>48</v>
      </c>
    </row>
    <row r="2713" spans="6:9">
      <c r="F2713" s="12" t="s">
        <v>1089</v>
      </c>
      <c r="G2713" s="12" t="s">
        <v>157</v>
      </c>
      <c r="H2713" s="15">
        <v>150328</v>
      </c>
      <c r="I2713" s="13">
        <v>48</v>
      </c>
    </row>
    <row r="2714" spans="6:9">
      <c r="F2714" s="12" t="s">
        <v>540</v>
      </c>
      <c r="G2714" s="12" t="s">
        <v>159</v>
      </c>
      <c r="H2714" s="15">
        <v>13100000</v>
      </c>
      <c r="I2714" s="13">
        <v>48</v>
      </c>
    </row>
    <row r="2715" spans="6:9">
      <c r="F2715" s="12" t="s">
        <v>1766</v>
      </c>
      <c r="G2715" s="12" t="s">
        <v>157</v>
      </c>
      <c r="H2715" s="15">
        <v>1270890</v>
      </c>
      <c r="I2715" s="13">
        <v>48</v>
      </c>
    </row>
    <row r="2716" spans="6:9">
      <c r="F2716" s="12" t="s">
        <v>3931</v>
      </c>
      <c r="G2716" s="12" t="s">
        <v>157</v>
      </c>
      <c r="H2716" s="15">
        <v>66612</v>
      </c>
      <c r="I2716" s="13">
        <v>48</v>
      </c>
    </row>
    <row r="2717" spans="6:9">
      <c r="F2717" s="12" t="s">
        <v>604</v>
      </c>
      <c r="G2717" s="12" t="s">
        <v>157</v>
      </c>
      <c r="H2717" s="15">
        <v>113967</v>
      </c>
      <c r="I2717" s="13">
        <v>48</v>
      </c>
    </row>
    <row r="2718" spans="6:9">
      <c r="F2718" s="12" t="s">
        <v>3932</v>
      </c>
      <c r="G2718" s="12" t="s">
        <v>159</v>
      </c>
      <c r="H2718" s="15">
        <v>3700000</v>
      </c>
      <c r="I2718" s="13">
        <v>48</v>
      </c>
    </row>
    <row r="2719" spans="6:9">
      <c r="F2719" s="12" t="s">
        <v>1104</v>
      </c>
      <c r="G2719" s="12" t="s">
        <v>159</v>
      </c>
      <c r="H2719" s="15">
        <v>140000</v>
      </c>
      <c r="I2719" s="13">
        <v>47</v>
      </c>
    </row>
    <row r="2720" spans="6:9">
      <c r="F2720" s="12" t="s">
        <v>1859</v>
      </c>
      <c r="G2720" s="12" t="s">
        <v>157</v>
      </c>
      <c r="H2720" s="15">
        <v>31349</v>
      </c>
      <c r="I2720" s="13">
        <v>47</v>
      </c>
    </row>
    <row r="2721" spans="6:9">
      <c r="F2721" s="12" t="s">
        <v>3933</v>
      </c>
      <c r="G2721" s="12" t="s">
        <v>159</v>
      </c>
      <c r="H2721" s="15">
        <v>434660</v>
      </c>
      <c r="I2721" s="13">
        <v>47</v>
      </c>
    </row>
    <row r="2722" spans="6:9">
      <c r="F2722" s="12" t="s">
        <v>1871</v>
      </c>
      <c r="G2722" s="12" t="s">
        <v>157</v>
      </c>
      <c r="H2722" s="15">
        <v>20185</v>
      </c>
      <c r="I2722" s="13">
        <v>47</v>
      </c>
    </row>
    <row r="2723" spans="6:9">
      <c r="F2723" s="12" t="s">
        <v>1875</v>
      </c>
      <c r="G2723" s="12" t="s">
        <v>157</v>
      </c>
      <c r="H2723" s="15">
        <v>19609</v>
      </c>
      <c r="I2723" s="13">
        <v>47</v>
      </c>
    </row>
    <row r="2724" spans="6:9">
      <c r="F2724" s="12" t="s">
        <v>1879</v>
      </c>
      <c r="G2724" s="12" t="s">
        <v>157</v>
      </c>
      <c r="H2724" s="15">
        <v>10623</v>
      </c>
      <c r="I2724" s="13">
        <v>47</v>
      </c>
    </row>
    <row r="2725" spans="6:9">
      <c r="F2725" s="12" t="s">
        <v>607</v>
      </c>
      <c r="G2725" s="12" t="s">
        <v>157</v>
      </c>
      <c r="H2725" s="15">
        <v>270553</v>
      </c>
      <c r="I2725" s="13">
        <v>47</v>
      </c>
    </row>
    <row r="2726" spans="6:9">
      <c r="F2726" s="12" t="s">
        <v>1894</v>
      </c>
      <c r="G2726" s="12" t="s">
        <v>157</v>
      </c>
      <c r="H2726" s="15">
        <v>20209</v>
      </c>
      <c r="I2726" s="13">
        <v>47</v>
      </c>
    </row>
    <row r="2727" spans="6:9">
      <c r="F2727" s="12" t="s">
        <v>1896</v>
      </c>
      <c r="G2727" s="12" t="s">
        <v>157</v>
      </c>
      <c r="H2727" s="15">
        <v>61532</v>
      </c>
      <c r="I2727" s="13">
        <v>47</v>
      </c>
    </row>
    <row r="2728" spans="6:9">
      <c r="F2728" s="12" t="s">
        <v>609</v>
      </c>
      <c r="G2728" s="12" t="s">
        <v>157</v>
      </c>
      <c r="H2728" s="15">
        <v>338011</v>
      </c>
      <c r="I2728" s="13">
        <v>47</v>
      </c>
    </row>
    <row r="2729" spans="6:9">
      <c r="F2729" s="12" t="s">
        <v>611</v>
      </c>
      <c r="G2729" s="12" t="s">
        <v>157</v>
      </c>
      <c r="H2729" s="15">
        <v>127269</v>
      </c>
      <c r="I2729" s="13">
        <v>47</v>
      </c>
    </row>
    <row r="2730" spans="6:9">
      <c r="F2730" s="12" t="s">
        <v>1899</v>
      </c>
      <c r="G2730" s="12" t="s">
        <v>157</v>
      </c>
      <c r="H2730" s="15">
        <v>12824</v>
      </c>
      <c r="I2730" s="13">
        <v>47</v>
      </c>
    </row>
    <row r="2731" spans="6:9">
      <c r="F2731" s="12" t="s">
        <v>3934</v>
      </c>
      <c r="G2731" s="12" t="s">
        <v>159</v>
      </c>
      <c r="H2731" s="15">
        <v>14100</v>
      </c>
      <c r="I2731" s="13">
        <v>47</v>
      </c>
    </row>
    <row r="2732" spans="6:9">
      <c r="F2732" s="12" t="s">
        <v>1900</v>
      </c>
      <c r="G2732" s="12" t="s">
        <v>157</v>
      </c>
      <c r="H2732" s="15">
        <v>11198</v>
      </c>
      <c r="I2732" s="13">
        <v>47</v>
      </c>
    </row>
    <row r="2733" spans="6:9">
      <c r="F2733" s="12" t="s">
        <v>1908</v>
      </c>
      <c r="G2733" s="12" t="s">
        <v>157</v>
      </c>
      <c r="H2733" s="15">
        <v>81665</v>
      </c>
      <c r="I2733" s="13">
        <v>47</v>
      </c>
    </row>
    <row r="2734" spans="6:9">
      <c r="F2734" s="12" t="s">
        <v>615</v>
      </c>
      <c r="G2734" s="12" t="s">
        <v>157</v>
      </c>
      <c r="H2734" s="15">
        <v>103086</v>
      </c>
      <c r="I2734" s="13">
        <v>47</v>
      </c>
    </row>
    <row r="2735" spans="6:9">
      <c r="F2735" s="12" t="s">
        <v>1924</v>
      </c>
      <c r="G2735" s="12" t="s">
        <v>157</v>
      </c>
      <c r="H2735" s="15">
        <v>12714</v>
      </c>
      <c r="I2735" s="13">
        <v>47</v>
      </c>
    </row>
    <row r="2736" spans="6:9">
      <c r="F2736" s="12" t="s">
        <v>1116</v>
      </c>
      <c r="G2736" s="12" t="s">
        <v>157</v>
      </c>
      <c r="H2736" s="15">
        <v>212013</v>
      </c>
      <c r="I2736" s="13">
        <v>47</v>
      </c>
    </row>
    <row r="2737" spans="6:9">
      <c r="F2737" s="12" t="s">
        <v>617</v>
      </c>
      <c r="G2737" s="12" t="s">
        <v>157</v>
      </c>
      <c r="H2737" s="15">
        <v>125584</v>
      </c>
      <c r="I2737" s="13">
        <v>47</v>
      </c>
    </row>
    <row r="2738" spans="6:9">
      <c r="F2738" s="12" t="s">
        <v>1119</v>
      </c>
      <c r="G2738" s="12" t="s">
        <v>157</v>
      </c>
      <c r="H2738" s="15">
        <v>102148</v>
      </c>
      <c r="I2738" s="13">
        <v>47</v>
      </c>
    </row>
    <row r="2739" spans="6:9">
      <c r="F2739" s="12" t="s">
        <v>200</v>
      </c>
      <c r="G2739" s="12" t="s">
        <v>157</v>
      </c>
      <c r="H2739" s="15">
        <v>74519</v>
      </c>
      <c r="I2739" s="13">
        <v>47</v>
      </c>
    </row>
    <row r="2740" spans="6:9">
      <c r="F2740" s="12" t="s">
        <v>1942</v>
      </c>
      <c r="G2740" s="12" t="s">
        <v>157</v>
      </c>
      <c r="H2740" s="15">
        <v>21666</v>
      </c>
      <c r="I2740" s="13">
        <v>47</v>
      </c>
    </row>
    <row r="2741" spans="6:9">
      <c r="F2741" s="12" t="s">
        <v>619</v>
      </c>
      <c r="G2741" s="12" t="s">
        <v>157</v>
      </c>
      <c r="H2741" s="15">
        <v>284438</v>
      </c>
      <c r="I2741" s="13">
        <v>47</v>
      </c>
    </row>
    <row r="2742" spans="6:9">
      <c r="F2742" s="12" t="s">
        <v>622</v>
      </c>
      <c r="G2742" s="12" t="s">
        <v>157</v>
      </c>
      <c r="H2742" s="15">
        <v>1385758</v>
      </c>
      <c r="I2742" s="13">
        <v>47</v>
      </c>
    </row>
    <row r="2743" spans="6:9">
      <c r="F2743" s="12" t="s">
        <v>1956</v>
      </c>
      <c r="G2743" s="12" t="s">
        <v>157</v>
      </c>
      <c r="H2743" s="15">
        <v>12115</v>
      </c>
      <c r="I2743" s="13">
        <v>47</v>
      </c>
    </row>
    <row r="2744" spans="6:9">
      <c r="F2744" s="12" t="s">
        <v>3935</v>
      </c>
      <c r="G2744" s="12" t="s">
        <v>159</v>
      </c>
      <c r="H2744" s="15">
        <v>42100</v>
      </c>
      <c r="I2744" s="13">
        <v>47</v>
      </c>
    </row>
    <row r="2745" spans="6:9">
      <c r="F2745" s="12" t="s">
        <v>3936</v>
      </c>
      <c r="G2745" s="12" t="s">
        <v>157</v>
      </c>
      <c r="H2745" s="15">
        <v>99362</v>
      </c>
      <c r="I2745" s="13">
        <v>47</v>
      </c>
    </row>
    <row r="2746" spans="6:9">
      <c r="F2746" s="12" t="s">
        <v>1965</v>
      </c>
      <c r="G2746" s="12" t="s">
        <v>157</v>
      </c>
      <c r="H2746" s="15">
        <v>21036</v>
      </c>
      <c r="I2746" s="13">
        <v>47</v>
      </c>
    </row>
    <row r="2747" spans="6:9">
      <c r="F2747" s="12" t="s">
        <v>625</v>
      </c>
      <c r="G2747" s="12" t="s">
        <v>157</v>
      </c>
      <c r="H2747" s="15">
        <v>103099</v>
      </c>
      <c r="I2747" s="13">
        <v>47</v>
      </c>
    </row>
    <row r="2748" spans="6:9">
      <c r="F2748" s="12" t="s">
        <v>1969</v>
      </c>
      <c r="G2748" s="12" t="s">
        <v>157</v>
      </c>
      <c r="H2748" s="15">
        <v>11666</v>
      </c>
      <c r="I2748" s="13">
        <v>47</v>
      </c>
    </row>
    <row r="2749" spans="6:9">
      <c r="F2749" s="12" t="s">
        <v>1974</v>
      </c>
      <c r="G2749" s="12" t="s">
        <v>157</v>
      </c>
      <c r="H2749" s="15">
        <v>746448</v>
      </c>
      <c r="I2749" s="13">
        <v>47</v>
      </c>
    </row>
    <row r="2750" spans="6:9">
      <c r="F2750" s="12" t="s">
        <v>1976</v>
      </c>
      <c r="G2750" s="12" t="s">
        <v>157</v>
      </c>
      <c r="H2750" s="15">
        <v>10377</v>
      </c>
      <c r="I2750" s="13">
        <v>47</v>
      </c>
    </row>
    <row r="2751" spans="6:9">
      <c r="F2751" s="12" t="s">
        <v>3937</v>
      </c>
      <c r="G2751" s="12" t="s">
        <v>159</v>
      </c>
      <c r="H2751" s="15">
        <v>21200</v>
      </c>
      <c r="I2751" s="13">
        <v>47</v>
      </c>
    </row>
    <row r="2752" spans="6:9">
      <c r="F2752" s="12" t="s">
        <v>3938</v>
      </c>
      <c r="G2752" s="12" t="s">
        <v>159</v>
      </c>
      <c r="H2752" s="15">
        <v>28100</v>
      </c>
      <c r="I2752" s="13">
        <v>47</v>
      </c>
    </row>
    <row r="2753" spans="6:9">
      <c r="F2753" s="12" t="s">
        <v>627</v>
      </c>
      <c r="G2753" s="12" t="s">
        <v>157</v>
      </c>
      <c r="H2753" s="15">
        <v>131902</v>
      </c>
      <c r="I2753" s="13">
        <v>47</v>
      </c>
    </row>
    <row r="2754" spans="6:9">
      <c r="F2754" s="12" t="s">
        <v>1823</v>
      </c>
      <c r="G2754" s="12" t="s">
        <v>157</v>
      </c>
      <c r="H2754" s="15">
        <v>525410</v>
      </c>
      <c r="I2754" s="13">
        <v>47</v>
      </c>
    </row>
    <row r="2755" spans="6:9">
      <c r="F2755" s="12" t="s">
        <v>3939</v>
      </c>
      <c r="G2755" s="12" t="s">
        <v>157</v>
      </c>
      <c r="H2755" s="15">
        <v>41287</v>
      </c>
      <c r="I2755" s="13">
        <v>47</v>
      </c>
    </row>
    <row r="2756" spans="6:9">
      <c r="F2756" s="12" t="s">
        <v>1991</v>
      </c>
      <c r="G2756" s="12" t="s">
        <v>157</v>
      </c>
      <c r="H2756" s="15">
        <v>21643</v>
      </c>
      <c r="I2756" s="13">
        <v>47</v>
      </c>
    </row>
    <row r="2757" spans="6:9">
      <c r="F2757" s="12" t="s">
        <v>3940</v>
      </c>
      <c r="G2757" s="12" t="s">
        <v>157</v>
      </c>
      <c r="H2757" s="15">
        <v>87421</v>
      </c>
      <c r="I2757" s="13">
        <v>47</v>
      </c>
    </row>
    <row r="2758" spans="6:9">
      <c r="F2758" s="12" t="s">
        <v>1770</v>
      </c>
      <c r="G2758" s="12" t="s">
        <v>157</v>
      </c>
      <c r="H2758" s="15">
        <v>68387</v>
      </c>
      <c r="I2758" s="13">
        <v>47</v>
      </c>
    </row>
    <row r="2759" spans="6:9">
      <c r="F2759" s="12" t="s">
        <v>2008</v>
      </c>
      <c r="G2759" s="12" t="s">
        <v>157</v>
      </c>
      <c r="H2759" s="15">
        <v>24970</v>
      </c>
      <c r="I2759" s="13">
        <v>47</v>
      </c>
    </row>
    <row r="2760" spans="6:9">
      <c r="F2760" s="12" t="s">
        <v>1773</v>
      </c>
      <c r="G2760" s="12" t="s">
        <v>157</v>
      </c>
      <c r="H2760" s="15">
        <v>50524</v>
      </c>
      <c r="I2760" s="13">
        <v>47</v>
      </c>
    </row>
    <row r="2761" spans="6:9">
      <c r="F2761" s="12" t="s">
        <v>629</v>
      </c>
      <c r="G2761" s="12" t="s">
        <v>157</v>
      </c>
      <c r="H2761" s="15">
        <v>1175193</v>
      </c>
      <c r="I2761" s="13">
        <v>47</v>
      </c>
    </row>
    <row r="2762" spans="6:9">
      <c r="F2762" s="12" t="s">
        <v>2017</v>
      </c>
      <c r="G2762" s="12" t="s">
        <v>157</v>
      </c>
      <c r="H2762" s="15">
        <v>27064</v>
      </c>
      <c r="I2762" s="13">
        <v>47</v>
      </c>
    </row>
    <row r="2763" spans="6:9">
      <c r="F2763" s="12" t="s">
        <v>2021</v>
      </c>
      <c r="G2763" s="12" t="s">
        <v>157</v>
      </c>
      <c r="H2763" s="15">
        <v>11261</v>
      </c>
      <c r="I2763" s="13">
        <v>47</v>
      </c>
    </row>
    <row r="2764" spans="6:9">
      <c r="F2764" s="12" t="s">
        <v>3941</v>
      </c>
      <c r="G2764" s="12" t="s">
        <v>159</v>
      </c>
      <c r="H2764" s="15">
        <v>16500</v>
      </c>
      <c r="I2764" s="13">
        <v>47</v>
      </c>
    </row>
    <row r="2765" spans="6:9">
      <c r="F2765" s="12" t="s">
        <v>631</v>
      </c>
      <c r="G2765" s="12" t="s">
        <v>157</v>
      </c>
      <c r="H2765" s="15">
        <v>236465</v>
      </c>
      <c r="I2765" s="13">
        <v>47</v>
      </c>
    </row>
    <row r="2766" spans="6:9">
      <c r="F2766" s="12" t="s">
        <v>633</v>
      </c>
      <c r="G2766" s="12" t="s">
        <v>157</v>
      </c>
      <c r="H2766" s="15">
        <v>104773</v>
      </c>
      <c r="I2766" s="13">
        <v>47</v>
      </c>
    </row>
    <row r="2767" spans="6:9">
      <c r="F2767" s="12" t="s">
        <v>635</v>
      </c>
      <c r="G2767" s="12" t="s">
        <v>157</v>
      </c>
      <c r="H2767" s="15">
        <v>113772</v>
      </c>
      <c r="I2767" s="13">
        <v>47</v>
      </c>
    </row>
    <row r="2768" spans="6:9">
      <c r="F2768" s="12" t="s">
        <v>3942</v>
      </c>
      <c r="G2768" s="12" t="s">
        <v>159</v>
      </c>
      <c r="H2768" s="15">
        <v>38800</v>
      </c>
      <c r="I2768" s="13">
        <v>47</v>
      </c>
    </row>
    <row r="2769" spans="6:9">
      <c r="F2769" s="12" t="s">
        <v>2040</v>
      </c>
      <c r="G2769" s="12" t="s">
        <v>157</v>
      </c>
      <c r="H2769" s="15">
        <v>24147</v>
      </c>
      <c r="I2769" s="13">
        <v>47</v>
      </c>
    </row>
    <row r="2770" spans="6:9">
      <c r="F2770" s="12" t="s">
        <v>3943</v>
      </c>
      <c r="G2770" s="12" t="s">
        <v>159</v>
      </c>
      <c r="H2770" s="15">
        <v>68900</v>
      </c>
      <c r="I2770" s="13">
        <v>47</v>
      </c>
    </row>
    <row r="2771" spans="6:9">
      <c r="F2771" s="12" t="s">
        <v>2044</v>
      </c>
      <c r="G2771" s="12" t="s">
        <v>157</v>
      </c>
      <c r="H2771" s="15">
        <v>10673</v>
      </c>
      <c r="I2771" s="13">
        <v>47</v>
      </c>
    </row>
    <row r="2772" spans="6:9">
      <c r="F2772" s="12" t="s">
        <v>637</v>
      </c>
      <c r="G2772" s="12" t="s">
        <v>157</v>
      </c>
      <c r="H2772" s="15">
        <v>124133</v>
      </c>
      <c r="I2772" s="13">
        <v>47</v>
      </c>
    </row>
    <row r="2773" spans="6:9">
      <c r="F2773" s="12" t="s">
        <v>3944</v>
      </c>
      <c r="G2773" s="12" t="s">
        <v>159</v>
      </c>
      <c r="H2773" s="15">
        <v>68800</v>
      </c>
      <c r="I2773" s="13">
        <v>47</v>
      </c>
    </row>
    <row r="2774" spans="6:9">
      <c r="F2774" s="12" t="s">
        <v>3945</v>
      </c>
      <c r="G2774" s="12" t="s">
        <v>157</v>
      </c>
      <c r="H2774" s="15">
        <v>42852</v>
      </c>
      <c r="I2774" s="13">
        <v>47</v>
      </c>
    </row>
    <row r="2775" spans="6:9">
      <c r="F2775" s="12" t="s">
        <v>639</v>
      </c>
      <c r="G2775" s="12" t="s">
        <v>157</v>
      </c>
      <c r="H2775" s="15">
        <v>130988</v>
      </c>
      <c r="I2775" s="13">
        <v>47</v>
      </c>
    </row>
    <row r="2776" spans="6:9">
      <c r="F2776" s="12" t="s">
        <v>642</v>
      </c>
      <c r="G2776" s="12" t="s">
        <v>157</v>
      </c>
      <c r="H2776" s="15">
        <v>572620</v>
      </c>
      <c r="I2776" s="13">
        <v>47</v>
      </c>
    </row>
    <row r="2777" spans="6:9">
      <c r="F2777" s="12" t="s">
        <v>3946</v>
      </c>
      <c r="G2777" s="12" t="s">
        <v>157</v>
      </c>
      <c r="H2777" s="15">
        <v>58860</v>
      </c>
      <c r="I2777" s="13">
        <v>47</v>
      </c>
    </row>
    <row r="2778" spans="6:9">
      <c r="F2778" s="12" t="s">
        <v>644</v>
      </c>
      <c r="G2778" s="12" t="s">
        <v>157</v>
      </c>
      <c r="H2778" s="15">
        <v>159379</v>
      </c>
      <c r="I2778" s="13">
        <v>47</v>
      </c>
    </row>
    <row r="2779" spans="6:9">
      <c r="F2779" s="12" t="s">
        <v>647</v>
      </c>
      <c r="G2779" s="12" t="s">
        <v>157</v>
      </c>
      <c r="H2779" s="15">
        <v>2258700</v>
      </c>
      <c r="I2779" s="13">
        <v>47</v>
      </c>
    </row>
    <row r="2780" spans="6:9">
      <c r="F2780" s="12" t="s">
        <v>3947</v>
      </c>
      <c r="G2780" s="12" t="s">
        <v>159</v>
      </c>
      <c r="H2780" s="15">
        <v>303664</v>
      </c>
      <c r="I2780" s="13">
        <v>47</v>
      </c>
    </row>
    <row r="2781" spans="6:9">
      <c r="F2781" s="12" t="s">
        <v>2094</v>
      </c>
      <c r="G2781" s="12" t="s">
        <v>157</v>
      </c>
      <c r="H2781" s="15">
        <v>11241</v>
      </c>
      <c r="I2781" s="13">
        <v>47</v>
      </c>
    </row>
    <row r="2782" spans="6:9">
      <c r="F2782" s="12" t="s">
        <v>1149</v>
      </c>
      <c r="G2782" s="12" t="s">
        <v>157</v>
      </c>
      <c r="H2782" s="15">
        <v>685896635</v>
      </c>
      <c r="I2782" s="13">
        <v>47</v>
      </c>
    </row>
    <row r="2783" spans="6:9">
      <c r="F2783" s="12" t="s">
        <v>3948</v>
      </c>
      <c r="G2783" s="12" t="s">
        <v>159</v>
      </c>
      <c r="H2783" s="15">
        <v>57900</v>
      </c>
      <c r="I2783" s="13">
        <v>47</v>
      </c>
    </row>
    <row r="2784" spans="6:9">
      <c r="F2784" s="12" t="s">
        <v>651</v>
      </c>
      <c r="G2784" s="12" t="s">
        <v>157</v>
      </c>
      <c r="H2784" s="15">
        <v>359337</v>
      </c>
      <c r="I2784" s="13">
        <v>47</v>
      </c>
    </row>
    <row r="2785" spans="6:9">
      <c r="F2785" s="12" t="s">
        <v>653</v>
      </c>
      <c r="G2785" s="12" t="s">
        <v>157</v>
      </c>
      <c r="H2785" s="15">
        <v>101017</v>
      </c>
      <c r="I2785" s="13">
        <v>47</v>
      </c>
    </row>
    <row r="2786" spans="6:9">
      <c r="F2786" s="12" t="s">
        <v>3949</v>
      </c>
      <c r="G2786" s="12" t="s">
        <v>159</v>
      </c>
      <c r="H2786" s="15">
        <v>14500</v>
      </c>
      <c r="I2786" s="13">
        <v>47</v>
      </c>
    </row>
    <row r="2787" spans="6:9">
      <c r="F2787" s="12" t="s">
        <v>3950</v>
      </c>
      <c r="G2787" s="12" t="s">
        <v>157</v>
      </c>
      <c r="H2787" s="15">
        <v>47078</v>
      </c>
      <c r="I2787" s="13">
        <v>47</v>
      </c>
    </row>
    <row r="2788" spans="6:9">
      <c r="F2788" s="12" t="s">
        <v>2122</v>
      </c>
      <c r="G2788" s="12" t="s">
        <v>157</v>
      </c>
      <c r="H2788" s="15">
        <v>29001</v>
      </c>
      <c r="I2788" s="13">
        <v>47</v>
      </c>
    </row>
    <row r="2789" spans="6:9">
      <c r="F2789" s="12" t="s">
        <v>1157</v>
      </c>
      <c r="G2789" s="12" t="s">
        <v>157</v>
      </c>
      <c r="H2789" s="15">
        <v>112409</v>
      </c>
      <c r="I2789" s="13">
        <v>47</v>
      </c>
    </row>
    <row r="2790" spans="6:9">
      <c r="F2790" s="12" t="s">
        <v>2124</v>
      </c>
      <c r="G2790" s="12" t="s">
        <v>157</v>
      </c>
      <c r="H2790" s="15">
        <v>11730</v>
      </c>
      <c r="I2790" s="13">
        <v>47</v>
      </c>
    </row>
    <row r="2791" spans="6:9">
      <c r="F2791" s="12" t="s">
        <v>2136</v>
      </c>
      <c r="G2791" s="12" t="s">
        <v>157</v>
      </c>
      <c r="H2791" s="15">
        <v>24404</v>
      </c>
      <c r="I2791" s="13">
        <v>47</v>
      </c>
    </row>
    <row r="2792" spans="6:9">
      <c r="F2792" s="12" t="s">
        <v>2150</v>
      </c>
      <c r="G2792" s="12" t="s">
        <v>157</v>
      </c>
      <c r="H2792" s="15">
        <v>14386</v>
      </c>
      <c r="I2792" s="13">
        <v>47</v>
      </c>
    </row>
    <row r="2793" spans="6:9">
      <c r="F2793" s="12" t="s">
        <v>1163</v>
      </c>
      <c r="G2793" s="12" t="s">
        <v>157</v>
      </c>
      <c r="H2793" s="15">
        <v>302022</v>
      </c>
      <c r="I2793" s="13">
        <v>47</v>
      </c>
    </row>
    <row r="2794" spans="6:9">
      <c r="F2794" s="12" t="s">
        <v>3951</v>
      </c>
      <c r="G2794" s="12" t="s">
        <v>159</v>
      </c>
      <c r="H2794" s="15">
        <v>11300</v>
      </c>
      <c r="I2794" s="13">
        <v>47</v>
      </c>
    </row>
    <row r="2795" spans="6:9">
      <c r="F2795" s="12" t="s">
        <v>3952</v>
      </c>
      <c r="G2795" s="12" t="s">
        <v>157</v>
      </c>
      <c r="H2795" s="15">
        <v>69332</v>
      </c>
      <c r="I2795" s="13">
        <v>47</v>
      </c>
    </row>
    <row r="2796" spans="6:9">
      <c r="F2796" s="12" t="s">
        <v>656</v>
      </c>
      <c r="G2796" s="12" t="s">
        <v>157</v>
      </c>
      <c r="H2796" s="15">
        <v>143159</v>
      </c>
      <c r="I2796" s="13">
        <v>47</v>
      </c>
    </row>
    <row r="2797" spans="6:9">
      <c r="F2797" s="12" t="s">
        <v>2161</v>
      </c>
      <c r="G2797" s="12" t="s">
        <v>157</v>
      </c>
      <c r="H2797" s="15">
        <v>28763</v>
      </c>
      <c r="I2797" s="13">
        <v>47</v>
      </c>
    </row>
    <row r="2798" spans="6:9">
      <c r="F2798" s="12" t="s">
        <v>658</v>
      </c>
      <c r="G2798" s="12" t="s">
        <v>157</v>
      </c>
      <c r="H2798" s="15">
        <v>218899</v>
      </c>
      <c r="I2798" s="13">
        <v>47</v>
      </c>
    </row>
    <row r="2799" spans="6:9">
      <c r="F2799" s="12" t="s">
        <v>3953</v>
      </c>
      <c r="G2799" s="12" t="s">
        <v>157</v>
      </c>
      <c r="H2799" s="15">
        <v>89970</v>
      </c>
      <c r="I2799" s="13">
        <v>47</v>
      </c>
    </row>
    <row r="2800" spans="6:9">
      <c r="F2800" s="12" t="s">
        <v>3954</v>
      </c>
      <c r="G2800" s="12" t="s">
        <v>157</v>
      </c>
      <c r="H2800" s="15">
        <v>34715</v>
      </c>
      <c r="I2800" s="13">
        <v>47</v>
      </c>
    </row>
    <row r="2801" spans="6:9">
      <c r="F2801" s="12" t="s">
        <v>3955</v>
      </c>
      <c r="G2801" s="12" t="s">
        <v>157</v>
      </c>
      <c r="H2801" s="15">
        <v>78619</v>
      </c>
      <c r="I2801" s="13">
        <v>47</v>
      </c>
    </row>
    <row r="2802" spans="6:9">
      <c r="F2802" s="12" t="s">
        <v>661</v>
      </c>
      <c r="G2802" s="12" t="s">
        <v>157</v>
      </c>
      <c r="H2802" s="15">
        <v>115486</v>
      </c>
      <c r="I2802" s="13">
        <v>47</v>
      </c>
    </row>
    <row r="2803" spans="6:9">
      <c r="F2803" s="12" t="s">
        <v>3956</v>
      </c>
      <c r="G2803" s="12" t="s">
        <v>159</v>
      </c>
      <c r="H2803" s="15">
        <v>134700</v>
      </c>
      <c r="I2803" s="13">
        <v>47</v>
      </c>
    </row>
    <row r="2804" spans="6:9">
      <c r="F2804" s="12" t="s">
        <v>2176</v>
      </c>
      <c r="G2804" s="12" t="s">
        <v>157</v>
      </c>
      <c r="H2804" s="15">
        <v>29585</v>
      </c>
      <c r="I2804" s="13">
        <v>47</v>
      </c>
    </row>
    <row r="2805" spans="6:9">
      <c r="F2805" s="12" t="s">
        <v>3957</v>
      </c>
      <c r="G2805" s="12" t="s">
        <v>159</v>
      </c>
      <c r="H2805" s="15">
        <v>11000</v>
      </c>
      <c r="I2805" s="13">
        <v>47</v>
      </c>
    </row>
    <row r="2806" spans="6:9">
      <c r="F2806" s="12" t="s">
        <v>1787</v>
      </c>
      <c r="G2806" s="12" t="s">
        <v>157</v>
      </c>
      <c r="H2806" s="15">
        <v>48028</v>
      </c>
      <c r="I2806" s="13">
        <v>47</v>
      </c>
    </row>
    <row r="2807" spans="6:9">
      <c r="F2807" s="12" t="s">
        <v>663</v>
      </c>
      <c r="G2807" s="12" t="s">
        <v>157</v>
      </c>
      <c r="H2807" s="15">
        <v>117466</v>
      </c>
      <c r="I2807" s="13">
        <v>47</v>
      </c>
    </row>
    <row r="2808" spans="6:9">
      <c r="F2808" s="12" t="s">
        <v>665</v>
      </c>
      <c r="G2808" s="12" t="s">
        <v>157</v>
      </c>
      <c r="H2808" s="15">
        <v>1026392</v>
      </c>
      <c r="I2808" s="13">
        <v>47</v>
      </c>
    </row>
    <row r="2809" spans="6:9">
      <c r="F2809" s="12" t="s">
        <v>667</v>
      </c>
      <c r="G2809" s="12" t="s">
        <v>157</v>
      </c>
      <c r="H2809" s="15">
        <v>435113</v>
      </c>
      <c r="I2809" s="13">
        <v>47</v>
      </c>
    </row>
    <row r="2810" spans="6:9">
      <c r="F2810" s="12" t="s">
        <v>2187</v>
      </c>
      <c r="G2810" s="12" t="s">
        <v>157</v>
      </c>
      <c r="H2810" s="15">
        <v>18223</v>
      </c>
      <c r="I2810" s="13">
        <v>47</v>
      </c>
    </row>
    <row r="2811" spans="6:9">
      <c r="F2811" s="12" t="s">
        <v>2195</v>
      </c>
      <c r="G2811" s="12" t="s">
        <v>157</v>
      </c>
      <c r="H2811" s="15">
        <v>16594</v>
      </c>
      <c r="I2811" s="13">
        <v>47</v>
      </c>
    </row>
    <row r="2812" spans="6:9">
      <c r="F2812" s="12" t="s">
        <v>2199</v>
      </c>
      <c r="G2812" s="12" t="s">
        <v>157</v>
      </c>
      <c r="H2812" s="15">
        <v>29992</v>
      </c>
      <c r="I2812" s="13">
        <v>47</v>
      </c>
    </row>
    <row r="2813" spans="6:9">
      <c r="F2813" s="12" t="s">
        <v>669</v>
      </c>
      <c r="G2813" s="12" t="s">
        <v>157</v>
      </c>
      <c r="H2813" s="15">
        <v>175984</v>
      </c>
      <c r="I2813" s="13">
        <v>47</v>
      </c>
    </row>
    <row r="2814" spans="6:9">
      <c r="F2814" s="12" t="s">
        <v>2202</v>
      </c>
      <c r="G2814" s="12" t="s">
        <v>157</v>
      </c>
      <c r="H2814" s="15">
        <v>25002</v>
      </c>
      <c r="I2814" s="13">
        <v>47</v>
      </c>
    </row>
    <row r="2815" spans="6:9">
      <c r="F2815" s="12" t="s">
        <v>673</v>
      </c>
      <c r="G2815" s="12" t="s">
        <v>157</v>
      </c>
      <c r="H2815" s="15">
        <v>105503</v>
      </c>
      <c r="I2815" s="13">
        <v>47</v>
      </c>
    </row>
    <row r="2816" spans="6:9">
      <c r="F2816" s="12" t="s">
        <v>2219</v>
      </c>
      <c r="G2816" s="12" t="s">
        <v>157</v>
      </c>
      <c r="H2816" s="15">
        <v>23248</v>
      </c>
      <c r="I2816" s="13">
        <v>47</v>
      </c>
    </row>
    <row r="2817" spans="6:9">
      <c r="F2817" s="12" t="s">
        <v>675</v>
      </c>
      <c r="G2817" s="12" t="s">
        <v>157</v>
      </c>
      <c r="H2817" s="15">
        <v>122463</v>
      </c>
      <c r="I2817" s="13">
        <v>47</v>
      </c>
    </row>
    <row r="2818" spans="6:9">
      <c r="F2818" s="12" t="s">
        <v>3958</v>
      </c>
      <c r="G2818" s="12" t="s">
        <v>157</v>
      </c>
      <c r="H2818" s="15">
        <v>51153</v>
      </c>
      <c r="I2818" s="13">
        <v>47</v>
      </c>
    </row>
    <row r="2819" spans="6:9">
      <c r="F2819" s="12" t="s">
        <v>3959</v>
      </c>
      <c r="G2819" s="12" t="s">
        <v>159</v>
      </c>
      <c r="H2819" s="15">
        <v>16600</v>
      </c>
      <c r="I2819" s="13">
        <v>47</v>
      </c>
    </row>
    <row r="2820" spans="6:9">
      <c r="F2820" s="12" t="s">
        <v>3960</v>
      </c>
      <c r="G2820" s="12" t="s">
        <v>159</v>
      </c>
      <c r="H2820" s="15">
        <v>18000</v>
      </c>
      <c r="I2820" s="13">
        <v>47</v>
      </c>
    </row>
    <row r="2821" spans="6:9">
      <c r="F2821" s="12" t="s">
        <v>3961</v>
      </c>
      <c r="G2821" s="12" t="s">
        <v>157</v>
      </c>
      <c r="H2821" s="15">
        <v>88495</v>
      </c>
      <c r="I2821" s="13">
        <v>47</v>
      </c>
    </row>
    <row r="2822" spans="6:9">
      <c r="F2822" s="12" t="s">
        <v>2235</v>
      </c>
      <c r="G2822" s="12" t="s">
        <v>157</v>
      </c>
      <c r="H2822" s="15">
        <v>11436</v>
      </c>
      <c r="I2822" s="13">
        <v>47</v>
      </c>
    </row>
    <row r="2823" spans="6:9">
      <c r="F2823" s="12" t="s">
        <v>537</v>
      </c>
      <c r="G2823" s="12" t="s">
        <v>157</v>
      </c>
      <c r="H2823" s="15">
        <v>172280</v>
      </c>
      <c r="I2823" s="13">
        <v>47</v>
      </c>
    </row>
    <row r="2824" spans="6:9">
      <c r="F2824" s="12" t="s">
        <v>677</v>
      </c>
      <c r="G2824" s="12" t="s">
        <v>157</v>
      </c>
      <c r="H2824" s="15">
        <v>126153</v>
      </c>
      <c r="I2824" s="13">
        <v>47</v>
      </c>
    </row>
    <row r="2825" spans="6:9">
      <c r="F2825" s="12" t="s">
        <v>1001</v>
      </c>
      <c r="G2825" s="12" t="s">
        <v>157</v>
      </c>
      <c r="H2825" s="15">
        <v>256224</v>
      </c>
      <c r="I2825" s="13">
        <v>47</v>
      </c>
    </row>
    <row r="2826" spans="6:9">
      <c r="F2826" s="12" t="s">
        <v>2239</v>
      </c>
      <c r="G2826" s="12" t="s">
        <v>157</v>
      </c>
      <c r="H2826" s="15">
        <v>20780</v>
      </c>
      <c r="I2826" s="13">
        <v>47</v>
      </c>
    </row>
    <row r="2827" spans="6:9">
      <c r="F2827" s="12" t="s">
        <v>3962</v>
      </c>
      <c r="G2827" s="12" t="s">
        <v>159</v>
      </c>
      <c r="H2827" s="15">
        <v>12500</v>
      </c>
      <c r="I2827" s="13">
        <v>47</v>
      </c>
    </row>
    <row r="2828" spans="6:9">
      <c r="F2828" s="12" t="s">
        <v>679</v>
      </c>
      <c r="G2828" s="12" t="s">
        <v>157</v>
      </c>
      <c r="H2828" s="15">
        <v>199777</v>
      </c>
      <c r="I2828" s="13">
        <v>47</v>
      </c>
    </row>
    <row r="2829" spans="6:9">
      <c r="F2829" s="12" t="s">
        <v>3963</v>
      </c>
      <c r="G2829" s="12" t="s">
        <v>157</v>
      </c>
      <c r="H2829" s="15">
        <v>79483</v>
      </c>
      <c r="I2829" s="13">
        <v>47</v>
      </c>
    </row>
    <row r="2830" spans="6:9">
      <c r="F2830" s="12" t="s">
        <v>3964</v>
      </c>
      <c r="G2830" s="12" t="s">
        <v>157</v>
      </c>
      <c r="H2830" s="15">
        <v>62774</v>
      </c>
      <c r="I2830" s="13">
        <v>47</v>
      </c>
    </row>
    <row r="2831" spans="6:9">
      <c r="F2831" s="12" t="s">
        <v>681</v>
      </c>
      <c r="G2831" s="12" t="s">
        <v>159</v>
      </c>
      <c r="H2831" s="15">
        <v>202100</v>
      </c>
      <c r="I2831" s="13">
        <v>47</v>
      </c>
    </row>
    <row r="2832" spans="6:9">
      <c r="F2832" s="12" t="s">
        <v>1180</v>
      </c>
      <c r="G2832" s="12" t="s">
        <v>157</v>
      </c>
      <c r="H2832" s="15">
        <v>103135</v>
      </c>
      <c r="I2832" s="13">
        <v>47</v>
      </c>
    </row>
    <row r="2833" spans="6:9">
      <c r="F2833" s="12" t="s">
        <v>3965</v>
      </c>
      <c r="G2833" s="12" t="s">
        <v>159</v>
      </c>
      <c r="H2833" s="15">
        <v>7102838</v>
      </c>
      <c r="I2833" s="13">
        <v>47</v>
      </c>
    </row>
    <row r="2834" spans="6:9">
      <c r="F2834" s="12" t="s">
        <v>683</v>
      </c>
      <c r="G2834" s="12" t="s">
        <v>157</v>
      </c>
      <c r="H2834" s="15">
        <v>315016</v>
      </c>
      <c r="I2834" s="13">
        <v>47</v>
      </c>
    </row>
    <row r="2835" spans="6:9">
      <c r="F2835" s="12" t="s">
        <v>3966</v>
      </c>
      <c r="G2835" s="12" t="s">
        <v>159</v>
      </c>
      <c r="H2835" s="15">
        <v>120900</v>
      </c>
      <c r="I2835" s="13">
        <v>47</v>
      </c>
    </row>
    <row r="2836" spans="6:9">
      <c r="F2836" s="12" t="s">
        <v>685</v>
      </c>
      <c r="G2836" s="12" t="s">
        <v>157</v>
      </c>
      <c r="H2836" s="15">
        <v>1712568</v>
      </c>
      <c r="I2836" s="13">
        <v>47</v>
      </c>
    </row>
    <row r="2837" spans="6:9">
      <c r="F2837" s="12" t="s">
        <v>2293</v>
      </c>
      <c r="G2837" s="12" t="s">
        <v>157</v>
      </c>
      <c r="H2837" s="15">
        <v>14444</v>
      </c>
      <c r="I2837" s="13">
        <v>47</v>
      </c>
    </row>
    <row r="2838" spans="6:9">
      <c r="F2838" s="12" t="s">
        <v>1191</v>
      </c>
      <c r="G2838" s="12" t="s">
        <v>157</v>
      </c>
      <c r="H2838" s="15">
        <v>101492</v>
      </c>
      <c r="I2838" s="13">
        <v>47</v>
      </c>
    </row>
    <row r="2839" spans="6:9">
      <c r="F2839" s="12" t="s">
        <v>3967</v>
      </c>
      <c r="G2839" s="12" t="s">
        <v>159</v>
      </c>
      <c r="H2839" s="15">
        <v>65600</v>
      </c>
      <c r="I2839" s="13">
        <v>47</v>
      </c>
    </row>
    <row r="2840" spans="6:9">
      <c r="F2840" s="12" t="s">
        <v>3968</v>
      </c>
      <c r="G2840" s="12" t="s">
        <v>159</v>
      </c>
      <c r="H2840" s="15">
        <v>109300</v>
      </c>
      <c r="I2840" s="13">
        <v>47</v>
      </c>
    </row>
    <row r="2841" spans="6:9">
      <c r="F2841" s="12" t="s">
        <v>2326</v>
      </c>
      <c r="G2841" s="12" t="s">
        <v>157</v>
      </c>
      <c r="H2841" s="15">
        <v>16009</v>
      </c>
      <c r="I2841" s="13">
        <v>47</v>
      </c>
    </row>
    <row r="2842" spans="6:9">
      <c r="F2842" s="12" t="s">
        <v>688</v>
      </c>
      <c r="G2842" s="12" t="s">
        <v>157</v>
      </c>
      <c r="H2842" s="15">
        <v>159398</v>
      </c>
      <c r="I2842" s="13">
        <v>47</v>
      </c>
    </row>
    <row r="2843" spans="6:9">
      <c r="F2843" s="12" t="s">
        <v>690</v>
      </c>
      <c r="G2843" s="12" t="s">
        <v>157</v>
      </c>
      <c r="H2843" s="15">
        <v>112359</v>
      </c>
      <c r="I2843" s="13">
        <v>47</v>
      </c>
    </row>
    <row r="2844" spans="6:9">
      <c r="F2844" s="12" t="s">
        <v>1194</v>
      </c>
      <c r="G2844" s="12" t="s">
        <v>157</v>
      </c>
      <c r="H2844" s="15">
        <v>241296</v>
      </c>
      <c r="I2844" s="13">
        <v>47</v>
      </c>
    </row>
    <row r="2845" spans="6:9">
      <c r="F2845" s="12" t="s">
        <v>693</v>
      </c>
      <c r="G2845" s="12" t="s">
        <v>157</v>
      </c>
      <c r="H2845" s="15">
        <v>102398</v>
      </c>
      <c r="I2845" s="13">
        <v>47</v>
      </c>
    </row>
    <row r="2846" spans="6:9">
      <c r="F2846" s="12" t="s">
        <v>694</v>
      </c>
      <c r="G2846" s="12" t="s">
        <v>159</v>
      </c>
      <c r="H2846" s="15">
        <v>147100</v>
      </c>
      <c r="I2846" s="13">
        <v>47</v>
      </c>
    </row>
    <row r="2847" spans="6:9">
      <c r="F2847" s="12" t="s">
        <v>696</v>
      </c>
      <c r="G2847" s="12" t="s">
        <v>157</v>
      </c>
      <c r="H2847" s="15">
        <v>328971</v>
      </c>
      <c r="I2847" s="13">
        <v>47</v>
      </c>
    </row>
    <row r="2848" spans="6:9">
      <c r="F2848" s="12" t="s">
        <v>2353</v>
      </c>
      <c r="G2848" s="12" t="s">
        <v>157</v>
      </c>
      <c r="H2848" s="15">
        <v>11816</v>
      </c>
      <c r="I2848" s="13">
        <v>47</v>
      </c>
    </row>
    <row r="2849" spans="6:9">
      <c r="F2849" s="12" t="s">
        <v>3969</v>
      </c>
      <c r="G2849" s="12" t="s">
        <v>159</v>
      </c>
      <c r="H2849" s="15">
        <v>22900</v>
      </c>
      <c r="I2849" s="13">
        <v>47</v>
      </c>
    </row>
    <row r="2850" spans="6:9">
      <c r="F2850" s="12" t="s">
        <v>3970</v>
      </c>
      <c r="G2850" s="12" t="s">
        <v>157</v>
      </c>
      <c r="H2850" s="15">
        <v>67156</v>
      </c>
      <c r="I2850" s="13">
        <v>47</v>
      </c>
    </row>
    <row r="2851" spans="6:9">
      <c r="F2851" s="12" t="s">
        <v>2375</v>
      </c>
      <c r="G2851" s="12" t="s">
        <v>157</v>
      </c>
      <c r="H2851" s="15">
        <v>27403</v>
      </c>
      <c r="I2851" s="13">
        <v>47</v>
      </c>
    </row>
    <row r="2852" spans="6:9">
      <c r="F2852" s="12" t="s">
        <v>3971</v>
      </c>
      <c r="G2852" s="12" t="s">
        <v>157</v>
      </c>
      <c r="H2852" s="15">
        <v>67214</v>
      </c>
      <c r="I2852" s="13">
        <v>47</v>
      </c>
    </row>
    <row r="2853" spans="6:9">
      <c r="F2853" s="12" t="s">
        <v>1804</v>
      </c>
      <c r="G2853" s="12" t="s">
        <v>157</v>
      </c>
      <c r="H2853" s="15">
        <v>88636</v>
      </c>
      <c r="I2853" s="13">
        <v>46</v>
      </c>
    </row>
    <row r="2854" spans="6:9">
      <c r="F2854" s="12" t="s">
        <v>698</v>
      </c>
      <c r="G2854" s="12" t="s">
        <v>159</v>
      </c>
      <c r="H2854" s="15">
        <v>388300</v>
      </c>
      <c r="I2854" s="13">
        <v>46</v>
      </c>
    </row>
    <row r="2855" spans="6:9">
      <c r="F2855" s="12" t="s">
        <v>1203</v>
      </c>
      <c r="G2855" s="12" t="s">
        <v>157</v>
      </c>
      <c r="H2855" s="15">
        <v>119537</v>
      </c>
      <c r="I2855" s="13">
        <v>46</v>
      </c>
    </row>
    <row r="2856" spans="6:9">
      <c r="F2856" s="12" t="s">
        <v>1809</v>
      </c>
      <c r="G2856" s="12" t="s">
        <v>157</v>
      </c>
      <c r="H2856" s="15">
        <v>68600</v>
      </c>
      <c r="I2856" s="13">
        <v>46</v>
      </c>
    </row>
    <row r="2857" spans="6:9">
      <c r="F2857" s="12" t="s">
        <v>1207</v>
      </c>
      <c r="G2857" s="12" t="s">
        <v>157</v>
      </c>
      <c r="H2857" s="15">
        <v>146243</v>
      </c>
      <c r="I2857" s="13">
        <v>46</v>
      </c>
    </row>
    <row r="2858" spans="6:9">
      <c r="F2858" s="12" t="s">
        <v>781</v>
      </c>
      <c r="G2858" s="12" t="s">
        <v>157</v>
      </c>
      <c r="H2858" s="15">
        <v>11208273</v>
      </c>
      <c r="I2858" s="13">
        <v>46</v>
      </c>
    </row>
    <row r="2859" spans="6:9">
      <c r="F2859" s="12" t="s">
        <v>3972</v>
      </c>
      <c r="G2859" s="12" t="s">
        <v>157</v>
      </c>
      <c r="H2859" s="15">
        <v>51324</v>
      </c>
      <c r="I2859" s="13">
        <v>46</v>
      </c>
    </row>
    <row r="2860" spans="6:9">
      <c r="F2860" s="12" t="s">
        <v>700</v>
      </c>
      <c r="G2860" s="12" t="s">
        <v>157</v>
      </c>
      <c r="H2860" s="15">
        <v>661616</v>
      </c>
      <c r="I2860" s="13">
        <v>46</v>
      </c>
    </row>
    <row r="2861" spans="6:9">
      <c r="F2861" s="12" t="s">
        <v>3973</v>
      </c>
      <c r="G2861" s="12" t="s">
        <v>157</v>
      </c>
      <c r="H2861" s="15">
        <v>118587</v>
      </c>
      <c r="I2861" s="13">
        <v>46</v>
      </c>
    </row>
    <row r="2862" spans="6:9">
      <c r="F2862" s="12" t="s">
        <v>702</v>
      </c>
      <c r="G2862" s="12" t="s">
        <v>157</v>
      </c>
      <c r="H2862" s="15">
        <v>299790</v>
      </c>
      <c r="I2862" s="13">
        <v>46</v>
      </c>
    </row>
    <row r="2863" spans="6:9">
      <c r="F2863" s="12" t="s">
        <v>1813</v>
      </c>
      <c r="G2863" s="12" t="s">
        <v>157</v>
      </c>
      <c r="H2863" s="15">
        <v>247764</v>
      </c>
      <c r="I2863" s="13">
        <v>46</v>
      </c>
    </row>
    <row r="2864" spans="6:9">
      <c r="F2864" s="12" t="s">
        <v>3974</v>
      </c>
      <c r="G2864" s="12" t="s">
        <v>159</v>
      </c>
      <c r="H2864" s="15">
        <v>3700000</v>
      </c>
      <c r="I2864" s="13">
        <v>46</v>
      </c>
    </row>
    <row r="2865" spans="6:9">
      <c r="F2865" s="12" t="s">
        <v>3975</v>
      </c>
      <c r="G2865" s="12" t="s">
        <v>157</v>
      </c>
      <c r="H2865" s="15">
        <v>69991</v>
      </c>
      <c r="I2865" s="13">
        <v>46</v>
      </c>
    </row>
    <row r="2866" spans="6:9">
      <c r="F2866" s="12" t="s">
        <v>1216</v>
      </c>
      <c r="G2866" s="12" t="s">
        <v>157</v>
      </c>
      <c r="H2866" s="15">
        <v>678397</v>
      </c>
      <c r="I2866" s="13">
        <v>46</v>
      </c>
    </row>
    <row r="2867" spans="6:9">
      <c r="F2867" s="12" t="s">
        <v>707</v>
      </c>
      <c r="G2867" s="12" t="s">
        <v>157</v>
      </c>
      <c r="H2867" s="15">
        <v>103932</v>
      </c>
      <c r="I2867" s="13">
        <v>46</v>
      </c>
    </row>
    <row r="2868" spans="6:9">
      <c r="F2868" s="12" t="s">
        <v>709</v>
      </c>
      <c r="G2868" s="12" t="s">
        <v>157</v>
      </c>
      <c r="H2868" s="15">
        <v>105608</v>
      </c>
      <c r="I2868" s="13">
        <v>46</v>
      </c>
    </row>
    <row r="2869" spans="6:9">
      <c r="F2869" s="12" t="s">
        <v>711</v>
      </c>
      <c r="G2869" s="12" t="s">
        <v>157</v>
      </c>
      <c r="H2869" s="15">
        <v>1132784</v>
      </c>
      <c r="I2869" s="13">
        <v>46</v>
      </c>
    </row>
    <row r="2870" spans="6:9">
      <c r="F2870" s="12" t="s">
        <v>1745</v>
      </c>
      <c r="G2870" s="12" t="s">
        <v>157</v>
      </c>
      <c r="H2870" s="15">
        <v>5511969</v>
      </c>
      <c r="I2870" s="13">
        <v>46</v>
      </c>
    </row>
    <row r="2871" spans="6:9">
      <c r="F2871" s="12" t="s">
        <v>1561</v>
      </c>
      <c r="G2871" s="12" t="s">
        <v>157</v>
      </c>
      <c r="H2871" s="15">
        <v>110812</v>
      </c>
      <c r="I2871" s="13">
        <v>46</v>
      </c>
    </row>
    <row r="2872" spans="6:9">
      <c r="F2872" s="12" t="s">
        <v>714</v>
      </c>
      <c r="G2872" s="12" t="s">
        <v>157</v>
      </c>
      <c r="H2872" s="15">
        <v>170550</v>
      </c>
      <c r="I2872" s="13">
        <v>46</v>
      </c>
    </row>
    <row r="2873" spans="6:9">
      <c r="F2873" s="12" t="s">
        <v>718</v>
      </c>
      <c r="G2873" s="12" t="s">
        <v>157</v>
      </c>
      <c r="H2873" s="15">
        <v>109735</v>
      </c>
      <c r="I2873" s="13">
        <v>46</v>
      </c>
    </row>
    <row r="2874" spans="6:9">
      <c r="F2874" s="12" t="s">
        <v>746</v>
      </c>
      <c r="G2874" s="12" t="s">
        <v>157</v>
      </c>
      <c r="H2874" s="15">
        <v>150437</v>
      </c>
      <c r="I2874" s="13">
        <v>46</v>
      </c>
    </row>
    <row r="2875" spans="6:9">
      <c r="F2875" s="12" t="s">
        <v>974</v>
      </c>
      <c r="G2875" s="12" t="s">
        <v>157</v>
      </c>
      <c r="H2875" s="15">
        <v>109296</v>
      </c>
      <c r="I2875" s="13">
        <v>46</v>
      </c>
    </row>
    <row r="2876" spans="6:9">
      <c r="F2876" s="12" t="s">
        <v>720</v>
      </c>
      <c r="G2876" s="12" t="s">
        <v>157</v>
      </c>
      <c r="H2876" s="15">
        <v>127718</v>
      </c>
      <c r="I2876" s="13">
        <v>46</v>
      </c>
    </row>
    <row r="2877" spans="6:9">
      <c r="F2877" s="12" t="s">
        <v>3976</v>
      </c>
      <c r="G2877" s="12" t="s">
        <v>157</v>
      </c>
      <c r="H2877" s="15">
        <v>92831</v>
      </c>
      <c r="I2877" s="13">
        <v>46</v>
      </c>
    </row>
    <row r="2878" spans="6:9">
      <c r="F2878" s="12" t="s">
        <v>722</v>
      </c>
      <c r="G2878" s="12" t="s">
        <v>157</v>
      </c>
      <c r="H2878" s="15">
        <v>291053</v>
      </c>
      <c r="I2878" s="13">
        <v>46</v>
      </c>
    </row>
    <row r="2879" spans="6:9">
      <c r="F2879" s="12" t="s">
        <v>1577</v>
      </c>
      <c r="G2879" s="12" t="s">
        <v>157</v>
      </c>
      <c r="H2879" s="15">
        <v>100930</v>
      </c>
      <c r="I2879" s="13">
        <v>46</v>
      </c>
    </row>
    <row r="2880" spans="6:9">
      <c r="F2880" s="12" t="s">
        <v>724</v>
      </c>
      <c r="G2880" s="12" t="s">
        <v>157</v>
      </c>
      <c r="H2880" s="15">
        <v>437134</v>
      </c>
      <c r="I2880" s="13">
        <v>46</v>
      </c>
    </row>
    <row r="2881" spans="6:9">
      <c r="F2881" s="12" t="s">
        <v>1251</v>
      </c>
      <c r="G2881" s="12" t="s">
        <v>157</v>
      </c>
      <c r="H2881" s="15">
        <v>106287</v>
      </c>
      <c r="I2881" s="13">
        <v>46</v>
      </c>
    </row>
    <row r="2882" spans="6:9">
      <c r="F2882" s="12" t="s">
        <v>3977</v>
      </c>
      <c r="G2882" s="12" t="s">
        <v>157</v>
      </c>
      <c r="H2882" s="15">
        <v>62613</v>
      </c>
      <c r="I2882" s="13">
        <v>46</v>
      </c>
    </row>
    <row r="2883" spans="6:9">
      <c r="F2883" s="12" t="s">
        <v>1254</v>
      </c>
      <c r="G2883" s="12" t="s">
        <v>157</v>
      </c>
      <c r="H2883" s="15">
        <v>271497</v>
      </c>
      <c r="I2883" s="13">
        <v>46</v>
      </c>
    </row>
    <row r="2884" spans="6:9">
      <c r="F2884" s="12" t="s">
        <v>726</v>
      </c>
      <c r="G2884" s="12" t="s">
        <v>157</v>
      </c>
      <c r="H2884" s="15">
        <v>423290</v>
      </c>
      <c r="I2884" s="13">
        <v>46</v>
      </c>
    </row>
    <row r="2885" spans="6:9">
      <c r="F2885" s="12" t="s">
        <v>3978</v>
      </c>
      <c r="G2885" s="12" t="s">
        <v>159</v>
      </c>
      <c r="H2885" s="15">
        <v>526100</v>
      </c>
      <c r="I2885" s="13">
        <v>46</v>
      </c>
    </row>
    <row r="2886" spans="6:9">
      <c r="F2886" s="12" t="s">
        <v>728</v>
      </c>
      <c r="G2886" s="12" t="s">
        <v>157</v>
      </c>
      <c r="H2886" s="15">
        <v>288661</v>
      </c>
      <c r="I2886" s="13">
        <v>46</v>
      </c>
    </row>
    <row r="2887" spans="6:9">
      <c r="F2887" s="12" t="s">
        <v>3979</v>
      </c>
      <c r="G2887" s="12" t="s">
        <v>157</v>
      </c>
      <c r="H2887" s="15">
        <v>70501</v>
      </c>
      <c r="I2887" s="13">
        <v>46</v>
      </c>
    </row>
    <row r="2888" spans="6:9">
      <c r="F2888" s="12" t="s">
        <v>2335</v>
      </c>
      <c r="G2888" s="12" t="s">
        <v>157</v>
      </c>
      <c r="H2888" s="15">
        <v>18923</v>
      </c>
      <c r="I2888" s="13">
        <v>46</v>
      </c>
    </row>
    <row r="2889" spans="6:9">
      <c r="F2889" s="12" t="s">
        <v>209</v>
      </c>
      <c r="G2889" s="12" t="s">
        <v>157</v>
      </c>
      <c r="H2889" s="15">
        <v>116843</v>
      </c>
      <c r="I2889" s="13">
        <v>46</v>
      </c>
    </row>
    <row r="2890" spans="6:9">
      <c r="F2890" s="12" t="s">
        <v>731</v>
      </c>
      <c r="G2890" s="12" t="s">
        <v>159</v>
      </c>
      <c r="H2890" s="15">
        <v>259400</v>
      </c>
      <c r="I2890" s="13">
        <v>46</v>
      </c>
    </row>
    <row r="2891" spans="6:9">
      <c r="F2891" s="12" t="s">
        <v>3980</v>
      </c>
      <c r="G2891" s="12" t="s">
        <v>159</v>
      </c>
      <c r="H2891" s="15">
        <v>50400</v>
      </c>
      <c r="I2891" s="13">
        <v>45</v>
      </c>
    </row>
    <row r="2892" spans="6:9">
      <c r="F2892" s="12" t="s">
        <v>3981</v>
      </c>
      <c r="G2892" s="12" t="s">
        <v>157</v>
      </c>
      <c r="H2892" s="15">
        <v>40609</v>
      </c>
      <c r="I2892" s="13">
        <v>45</v>
      </c>
    </row>
    <row r="2893" spans="6:9">
      <c r="F2893" s="12" t="s">
        <v>3982</v>
      </c>
      <c r="G2893" s="12" t="s">
        <v>159</v>
      </c>
      <c r="H2893" s="15">
        <v>58200</v>
      </c>
      <c r="I2893" s="13">
        <v>45</v>
      </c>
    </row>
    <row r="2894" spans="6:9">
      <c r="F2894" s="12" t="s">
        <v>3983</v>
      </c>
      <c r="G2894" s="12" t="s">
        <v>157</v>
      </c>
      <c r="H2894" s="15">
        <v>20230</v>
      </c>
      <c r="I2894" s="13">
        <v>45</v>
      </c>
    </row>
    <row r="2895" spans="6:9">
      <c r="F2895" s="12" t="s">
        <v>1830</v>
      </c>
      <c r="G2895" s="12" t="s">
        <v>157</v>
      </c>
      <c r="H2895" s="15">
        <v>65861</v>
      </c>
      <c r="I2895" s="13">
        <v>45</v>
      </c>
    </row>
    <row r="2896" spans="6:9">
      <c r="F2896" s="12" t="s">
        <v>733</v>
      </c>
      <c r="G2896" s="12" t="s">
        <v>159</v>
      </c>
      <c r="H2896" s="15">
        <v>626100</v>
      </c>
      <c r="I2896" s="13">
        <v>45</v>
      </c>
    </row>
    <row r="2897" spans="6:9">
      <c r="F2897" s="12" t="s">
        <v>3984</v>
      </c>
      <c r="G2897" s="12" t="s">
        <v>159</v>
      </c>
      <c r="H2897" s="15">
        <v>84800</v>
      </c>
      <c r="I2897" s="13">
        <v>45</v>
      </c>
    </row>
    <row r="2898" spans="6:9">
      <c r="F2898" s="12" t="s">
        <v>735</v>
      </c>
      <c r="G2898" s="12" t="s">
        <v>159</v>
      </c>
      <c r="H2898" s="15">
        <v>113700</v>
      </c>
      <c r="I2898" s="13">
        <v>45</v>
      </c>
    </row>
    <row r="2899" spans="6:9">
      <c r="F2899" s="12" t="s">
        <v>1266</v>
      </c>
      <c r="G2899" s="12" t="s">
        <v>157</v>
      </c>
      <c r="H2899" s="15">
        <v>341411</v>
      </c>
      <c r="I2899" s="13">
        <v>45</v>
      </c>
    </row>
    <row r="2900" spans="6:9">
      <c r="F2900" s="12" t="s">
        <v>738</v>
      </c>
      <c r="G2900" s="12" t="s">
        <v>157</v>
      </c>
      <c r="H2900" s="15">
        <v>146770</v>
      </c>
      <c r="I2900" s="13">
        <v>45</v>
      </c>
    </row>
    <row r="2901" spans="6:9">
      <c r="F2901" s="12" t="s">
        <v>3985</v>
      </c>
      <c r="G2901" s="12" t="s">
        <v>159</v>
      </c>
      <c r="H2901" s="15">
        <v>52700</v>
      </c>
      <c r="I2901" s="13">
        <v>45</v>
      </c>
    </row>
    <row r="2902" spans="6:9">
      <c r="F2902" s="12" t="s">
        <v>1268</v>
      </c>
      <c r="G2902" s="12" t="s">
        <v>159</v>
      </c>
      <c r="H2902" s="15">
        <v>316100</v>
      </c>
      <c r="I2902" s="13">
        <v>45</v>
      </c>
    </row>
    <row r="2903" spans="6:9">
      <c r="F2903" s="12" t="s">
        <v>1138</v>
      </c>
      <c r="G2903" s="12" t="s">
        <v>157</v>
      </c>
      <c r="H2903" s="15">
        <v>156144</v>
      </c>
      <c r="I2903" s="13">
        <v>45</v>
      </c>
    </row>
    <row r="2904" spans="6:9">
      <c r="F2904" s="12" t="s">
        <v>1777</v>
      </c>
      <c r="G2904" s="12" t="s">
        <v>157</v>
      </c>
      <c r="H2904" s="15">
        <v>68736</v>
      </c>
      <c r="I2904" s="13">
        <v>45</v>
      </c>
    </row>
    <row r="2905" spans="6:9">
      <c r="F2905" s="12" t="s">
        <v>271</v>
      </c>
      <c r="G2905" s="12" t="s">
        <v>157</v>
      </c>
      <c r="H2905" s="15">
        <v>42486</v>
      </c>
      <c r="I2905" s="13">
        <v>45</v>
      </c>
    </row>
    <row r="2906" spans="6:9">
      <c r="F2906" s="12" t="s">
        <v>1840</v>
      </c>
      <c r="G2906" s="12" t="s">
        <v>157</v>
      </c>
      <c r="H2906" s="15">
        <v>43548</v>
      </c>
      <c r="I2906" s="13">
        <v>45</v>
      </c>
    </row>
    <row r="2907" spans="6:9">
      <c r="F2907" s="12" t="s">
        <v>1276</v>
      </c>
      <c r="G2907" s="12" t="s">
        <v>157</v>
      </c>
      <c r="H2907" s="15">
        <v>106722</v>
      </c>
      <c r="I2907" s="13">
        <v>45</v>
      </c>
    </row>
    <row r="2908" spans="6:9">
      <c r="F2908" s="12" t="s">
        <v>1279</v>
      </c>
      <c r="G2908" s="12" t="s">
        <v>159</v>
      </c>
      <c r="H2908" s="15">
        <v>876600</v>
      </c>
      <c r="I2908" s="13">
        <v>45</v>
      </c>
    </row>
    <row r="2909" spans="6:9">
      <c r="F2909" s="12" t="s">
        <v>740</v>
      </c>
      <c r="G2909" s="12" t="s">
        <v>159</v>
      </c>
      <c r="H2909" s="15">
        <v>839300</v>
      </c>
      <c r="I2909" s="13">
        <v>45</v>
      </c>
    </row>
    <row r="2910" spans="6:9">
      <c r="F2910" s="12" t="s">
        <v>1284</v>
      </c>
      <c r="G2910" s="12" t="s">
        <v>157</v>
      </c>
      <c r="H2910" s="15">
        <v>312384</v>
      </c>
      <c r="I2910" s="13">
        <v>45</v>
      </c>
    </row>
    <row r="2911" spans="6:9">
      <c r="F2911" s="12" t="s">
        <v>742</v>
      </c>
      <c r="G2911" s="12" t="s">
        <v>157</v>
      </c>
      <c r="H2911" s="15">
        <v>101706</v>
      </c>
      <c r="I2911" s="13">
        <v>45</v>
      </c>
    </row>
    <row r="2912" spans="6:9">
      <c r="F2912" s="12" t="s">
        <v>3986</v>
      </c>
      <c r="G2912" s="12" t="s">
        <v>159</v>
      </c>
      <c r="H2912" s="15">
        <v>91400</v>
      </c>
      <c r="I2912" s="13">
        <v>45</v>
      </c>
    </row>
    <row r="2913" spans="6:9">
      <c r="F2913" s="12" t="s">
        <v>2400</v>
      </c>
      <c r="G2913" s="12" t="s">
        <v>157</v>
      </c>
      <c r="H2913" s="15">
        <v>58613</v>
      </c>
      <c r="I2913" s="13">
        <v>45</v>
      </c>
    </row>
    <row r="2914" spans="6:9">
      <c r="F2914" s="12" t="s">
        <v>3987</v>
      </c>
      <c r="G2914" s="12" t="s">
        <v>159</v>
      </c>
      <c r="H2914" s="15">
        <v>88500</v>
      </c>
      <c r="I2914" s="13">
        <v>45</v>
      </c>
    </row>
    <row r="2915" spans="6:9">
      <c r="F2915" s="12" t="s">
        <v>1292</v>
      </c>
      <c r="G2915" s="12" t="s">
        <v>159</v>
      </c>
      <c r="H2915" s="15">
        <v>109300</v>
      </c>
      <c r="I2915" s="13">
        <v>45</v>
      </c>
    </row>
    <row r="2916" spans="6:9">
      <c r="F2916" s="12" t="s">
        <v>748</v>
      </c>
      <c r="G2916" s="12" t="s">
        <v>157</v>
      </c>
      <c r="H2916" s="15">
        <v>152826</v>
      </c>
      <c r="I2916" s="13">
        <v>45</v>
      </c>
    </row>
    <row r="2917" spans="6:9">
      <c r="F2917" s="12" t="s">
        <v>3988</v>
      </c>
      <c r="G2917" s="12" t="s">
        <v>157</v>
      </c>
      <c r="H2917" s="15">
        <v>73920</v>
      </c>
      <c r="I2917" s="13">
        <v>45</v>
      </c>
    </row>
    <row r="2918" spans="6:9">
      <c r="F2918" s="12" t="s">
        <v>754</v>
      </c>
      <c r="G2918" s="12" t="s">
        <v>157</v>
      </c>
      <c r="H2918" s="15">
        <v>3768396</v>
      </c>
      <c r="I2918" s="13">
        <v>45</v>
      </c>
    </row>
    <row r="2919" spans="6:9">
      <c r="F2919" s="12" t="s">
        <v>3989</v>
      </c>
      <c r="G2919" s="12" t="s">
        <v>157</v>
      </c>
      <c r="H2919" s="15">
        <v>97257</v>
      </c>
      <c r="I2919" s="13">
        <v>45</v>
      </c>
    </row>
    <row r="2920" spans="6:9">
      <c r="F2920" s="12" t="s">
        <v>756</v>
      </c>
      <c r="G2920" s="12" t="s">
        <v>159</v>
      </c>
      <c r="H2920" s="15">
        <v>105700</v>
      </c>
      <c r="I2920" s="13">
        <v>45</v>
      </c>
    </row>
    <row r="2921" spans="6:9">
      <c r="F2921" s="12" t="s">
        <v>1846</v>
      </c>
      <c r="G2921" s="12" t="s">
        <v>157</v>
      </c>
      <c r="H2921" s="15">
        <v>55947</v>
      </c>
      <c r="I2921" s="13">
        <v>45</v>
      </c>
    </row>
    <row r="2922" spans="6:9">
      <c r="F2922" s="12" t="s">
        <v>1297</v>
      </c>
      <c r="G2922" s="12" t="s">
        <v>157</v>
      </c>
      <c r="H2922" s="15">
        <v>225500</v>
      </c>
      <c r="I2922" s="13">
        <v>45</v>
      </c>
    </row>
    <row r="2923" spans="6:9">
      <c r="F2923" s="12" t="s">
        <v>760</v>
      </c>
      <c r="G2923" s="12" t="s">
        <v>159</v>
      </c>
      <c r="H2923" s="15">
        <v>125800</v>
      </c>
      <c r="I2923" s="13">
        <v>45</v>
      </c>
    </row>
    <row r="2924" spans="6:9">
      <c r="F2924" s="12" t="s">
        <v>1300</v>
      </c>
      <c r="G2924" s="12" t="s">
        <v>157</v>
      </c>
      <c r="H2924" s="15">
        <v>211019</v>
      </c>
      <c r="I2924" s="13">
        <v>45</v>
      </c>
    </row>
    <row r="2925" spans="6:9">
      <c r="F2925" s="12" t="s">
        <v>763</v>
      </c>
      <c r="G2925" s="12" t="s">
        <v>159</v>
      </c>
      <c r="H2925" s="15">
        <v>147900</v>
      </c>
      <c r="I2925" s="13">
        <v>45</v>
      </c>
    </row>
    <row r="2926" spans="6:9">
      <c r="F2926" s="12" t="s">
        <v>3990</v>
      </c>
      <c r="G2926" s="12" t="s">
        <v>159</v>
      </c>
      <c r="H2926" s="15">
        <v>55800</v>
      </c>
      <c r="I2926" s="13">
        <v>45</v>
      </c>
    </row>
    <row r="2927" spans="6:9">
      <c r="F2927" s="12" t="s">
        <v>1305</v>
      </c>
      <c r="G2927" s="12" t="s">
        <v>159</v>
      </c>
      <c r="H2927" s="15">
        <v>176100</v>
      </c>
      <c r="I2927" s="13">
        <v>45</v>
      </c>
    </row>
    <row r="2928" spans="6:9">
      <c r="F2928" s="12" t="s">
        <v>766</v>
      </c>
      <c r="G2928" s="12" t="s">
        <v>159</v>
      </c>
      <c r="H2928" s="15">
        <v>138900</v>
      </c>
      <c r="I2928" s="13">
        <v>45</v>
      </c>
    </row>
    <row r="2929" spans="6:9">
      <c r="F2929" s="12" t="s">
        <v>1311</v>
      </c>
      <c r="G2929" s="12" t="s">
        <v>157</v>
      </c>
      <c r="H2929" s="15">
        <v>267982</v>
      </c>
      <c r="I2929" s="13">
        <v>45</v>
      </c>
    </row>
    <row r="2930" spans="6:9">
      <c r="F2930" s="12" t="s">
        <v>3991</v>
      </c>
      <c r="G2930" s="12" t="s">
        <v>159</v>
      </c>
      <c r="H2930" s="15">
        <v>71700</v>
      </c>
      <c r="I2930" s="13">
        <v>45</v>
      </c>
    </row>
    <row r="2931" spans="6:9">
      <c r="F2931" s="12" t="s">
        <v>1314</v>
      </c>
      <c r="G2931" s="12" t="s">
        <v>157</v>
      </c>
      <c r="H2931" s="15">
        <v>208540</v>
      </c>
      <c r="I2931" s="13">
        <v>45</v>
      </c>
    </row>
    <row r="2932" spans="6:9">
      <c r="F2932" s="12" t="s">
        <v>3992</v>
      </c>
      <c r="G2932" s="12" t="s">
        <v>159</v>
      </c>
      <c r="H2932" s="15">
        <v>53400</v>
      </c>
      <c r="I2932" s="13">
        <v>45</v>
      </c>
    </row>
    <row r="2933" spans="6:9">
      <c r="F2933" s="12" t="s">
        <v>769</v>
      </c>
      <c r="G2933" s="12" t="s">
        <v>157</v>
      </c>
      <c r="H2933" s="15">
        <v>561102</v>
      </c>
      <c r="I2933" s="13">
        <v>45</v>
      </c>
    </row>
    <row r="2934" spans="6:9">
      <c r="F2934" s="12" t="s">
        <v>1852</v>
      </c>
      <c r="G2934" s="12" t="s">
        <v>157</v>
      </c>
      <c r="H2934" s="15">
        <v>97713</v>
      </c>
      <c r="I2934" s="13">
        <v>45</v>
      </c>
    </row>
    <row r="2935" spans="6:9">
      <c r="F2935" s="12" t="s">
        <v>3993</v>
      </c>
      <c r="G2935" s="12" t="s">
        <v>157</v>
      </c>
      <c r="H2935" s="15">
        <v>53880</v>
      </c>
      <c r="I2935" s="13">
        <v>45</v>
      </c>
    </row>
    <row r="2936" spans="6:9">
      <c r="F2936" s="12" t="s">
        <v>772</v>
      </c>
      <c r="G2936" s="12" t="s">
        <v>159</v>
      </c>
      <c r="H2936" s="15">
        <v>359800</v>
      </c>
      <c r="I2936" s="13">
        <v>45</v>
      </c>
    </row>
    <row r="2937" spans="6:9">
      <c r="F2937" s="12" t="s">
        <v>775</v>
      </c>
      <c r="G2937" s="12" t="s">
        <v>157</v>
      </c>
      <c r="H2937" s="15">
        <v>142483</v>
      </c>
      <c r="I2937" s="13">
        <v>45</v>
      </c>
    </row>
    <row r="2938" spans="6:9">
      <c r="F2938" s="12" t="s">
        <v>3994</v>
      </c>
      <c r="G2938" s="12" t="s">
        <v>157</v>
      </c>
      <c r="H2938" s="15">
        <v>13002</v>
      </c>
      <c r="I2938" s="13">
        <v>44</v>
      </c>
    </row>
    <row r="2939" spans="6:9">
      <c r="F2939" s="12" t="s">
        <v>1854</v>
      </c>
      <c r="G2939" s="12" t="s">
        <v>157</v>
      </c>
      <c r="H2939" s="15">
        <v>14768</v>
      </c>
      <c r="I2939" s="13">
        <v>44</v>
      </c>
    </row>
    <row r="2940" spans="6:9">
      <c r="F2940" s="12" t="s">
        <v>1856</v>
      </c>
      <c r="G2940" s="12" t="s">
        <v>157</v>
      </c>
      <c r="H2940" s="15">
        <v>10594</v>
      </c>
      <c r="I2940" s="13">
        <v>44</v>
      </c>
    </row>
    <row r="2941" spans="6:9">
      <c r="F2941" s="12" t="s">
        <v>1858</v>
      </c>
      <c r="G2941" s="12" t="s">
        <v>157</v>
      </c>
      <c r="H2941" s="15">
        <v>13640</v>
      </c>
      <c r="I2941" s="13">
        <v>44</v>
      </c>
    </row>
    <row r="2942" spans="6:9">
      <c r="F2942" s="12" t="s">
        <v>3995</v>
      </c>
      <c r="G2942" s="12" t="s">
        <v>159</v>
      </c>
      <c r="H2942" s="15">
        <v>11900</v>
      </c>
      <c r="I2942" s="13">
        <v>44</v>
      </c>
    </row>
    <row r="2943" spans="6:9">
      <c r="F2943" s="12" t="s">
        <v>3996</v>
      </c>
      <c r="G2943" s="12" t="s">
        <v>159</v>
      </c>
      <c r="H2943" s="15">
        <v>37200</v>
      </c>
      <c r="I2943" s="13">
        <v>44</v>
      </c>
    </row>
    <row r="2944" spans="6:9">
      <c r="F2944" s="12" t="s">
        <v>3997</v>
      </c>
      <c r="G2944" s="12" t="s">
        <v>159</v>
      </c>
      <c r="H2944" s="15">
        <v>91300</v>
      </c>
      <c r="I2944" s="13">
        <v>44</v>
      </c>
    </row>
    <row r="2945" spans="6:9">
      <c r="F2945" s="12" t="s">
        <v>3998</v>
      </c>
      <c r="G2945" s="12" t="s">
        <v>159</v>
      </c>
      <c r="H2945" s="15">
        <v>140000</v>
      </c>
      <c r="I2945" s="13">
        <v>44</v>
      </c>
    </row>
    <row r="2946" spans="6:9">
      <c r="F2946" s="12" t="s">
        <v>3999</v>
      </c>
      <c r="G2946" s="12" t="s">
        <v>159</v>
      </c>
      <c r="H2946" s="15">
        <v>711400</v>
      </c>
      <c r="I2946" s="13">
        <v>44</v>
      </c>
    </row>
    <row r="2947" spans="6:9">
      <c r="F2947" s="12" t="s">
        <v>1861</v>
      </c>
      <c r="G2947" s="12" t="s">
        <v>157</v>
      </c>
      <c r="H2947" s="15">
        <v>11585</v>
      </c>
      <c r="I2947" s="13">
        <v>44</v>
      </c>
    </row>
    <row r="2948" spans="6:9">
      <c r="F2948" s="12" t="s">
        <v>1863</v>
      </c>
      <c r="G2948" s="12" t="s">
        <v>157</v>
      </c>
      <c r="H2948" s="15">
        <v>20284</v>
      </c>
      <c r="I2948" s="13">
        <v>44</v>
      </c>
    </row>
    <row r="2949" spans="6:9">
      <c r="F2949" s="12" t="s">
        <v>1865</v>
      </c>
      <c r="G2949" s="12" t="s">
        <v>157</v>
      </c>
      <c r="H2949" s="15">
        <v>10900</v>
      </c>
      <c r="I2949" s="13">
        <v>44</v>
      </c>
    </row>
    <row r="2950" spans="6:9">
      <c r="F2950" s="12" t="s">
        <v>4000</v>
      </c>
      <c r="G2950" s="12" t="s">
        <v>159</v>
      </c>
      <c r="H2950" s="15">
        <v>84700</v>
      </c>
      <c r="I2950" s="13">
        <v>44</v>
      </c>
    </row>
    <row r="2951" spans="6:9">
      <c r="F2951" s="12" t="s">
        <v>1867</v>
      </c>
      <c r="G2951" s="12" t="s">
        <v>157</v>
      </c>
      <c r="H2951" s="15">
        <v>12046</v>
      </c>
      <c r="I2951" s="13">
        <v>44</v>
      </c>
    </row>
    <row r="2952" spans="6:9">
      <c r="F2952" s="12" t="s">
        <v>1869</v>
      </c>
      <c r="G2952" s="12" t="s">
        <v>157</v>
      </c>
      <c r="H2952" s="15">
        <v>10941</v>
      </c>
      <c r="I2952" s="13">
        <v>44</v>
      </c>
    </row>
    <row r="2953" spans="6:9">
      <c r="F2953" s="12" t="s">
        <v>777</v>
      </c>
      <c r="G2953" s="12" t="s">
        <v>157</v>
      </c>
      <c r="H2953" s="15">
        <v>100829</v>
      </c>
      <c r="I2953" s="13">
        <v>44</v>
      </c>
    </row>
    <row r="2954" spans="6:9">
      <c r="F2954" s="12" t="s">
        <v>4001</v>
      </c>
      <c r="G2954" s="12" t="s">
        <v>157</v>
      </c>
      <c r="H2954" s="15">
        <v>10548</v>
      </c>
      <c r="I2954" s="13">
        <v>44</v>
      </c>
    </row>
    <row r="2955" spans="6:9">
      <c r="F2955" s="12" t="s">
        <v>4002</v>
      </c>
      <c r="G2955" s="12" t="s">
        <v>159</v>
      </c>
      <c r="H2955" s="15">
        <v>86200</v>
      </c>
      <c r="I2955" s="13">
        <v>44</v>
      </c>
    </row>
    <row r="2956" spans="6:9">
      <c r="F2956" s="12" t="s">
        <v>1873</v>
      </c>
      <c r="G2956" s="12" t="s">
        <v>157</v>
      </c>
      <c r="H2956" s="15">
        <v>12055</v>
      </c>
      <c r="I2956" s="13">
        <v>44</v>
      </c>
    </row>
    <row r="2957" spans="6:9">
      <c r="F2957" s="12" t="s">
        <v>1877</v>
      </c>
      <c r="G2957" s="12" t="s">
        <v>157</v>
      </c>
      <c r="H2957" s="15">
        <v>19566</v>
      </c>
      <c r="I2957" s="13">
        <v>44</v>
      </c>
    </row>
    <row r="2958" spans="6:9">
      <c r="F2958" s="12" t="s">
        <v>4003</v>
      </c>
      <c r="G2958" s="12" t="s">
        <v>159</v>
      </c>
      <c r="H2958" s="15">
        <v>931700</v>
      </c>
      <c r="I2958" s="13">
        <v>44</v>
      </c>
    </row>
    <row r="2959" spans="6:9">
      <c r="F2959" s="12" t="s">
        <v>1881</v>
      </c>
      <c r="G2959" s="12" t="s">
        <v>157</v>
      </c>
      <c r="H2959" s="15">
        <v>27520</v>
      </c>
      <c r="I2959" s="13">
        <v>44</v>
      </c>
    </row>
    <row r="2960" spans="6:9">
      <c r="F2960" s="12" t="s">
        <v>4004</v>
      </c>
      <c r="G2960" s="12" t="s">
        <v>159</v>
      </c>
      <c r="H2960" s="15">
        <v>12800</v>
      </c>
      <c r="I2960" s="13">
        <v>44</v>
      </c>
    </row>
    <row r="2961" spans="6:9">
      <c r="F2961" s="12" t="s">
        <v>4005</v>
      </c>
      <c r="G2961" s="12" t="s">
        <v>159</v>
      </c>
      <c r="H2961" s="15">
        <v>37700</v>
      </c>
      <c r="I2961" s="13">
        <v>44</v>
      </c>
    </row>
    <row r="2962" spans="6:9">
      <c r="F2962" s="12" t="s">
        <v>1882</v>
      </c>
      <c r="G2962" s="12" t="s">
        <v>157</v>
      </c>
      <c r="H2962" s="15">
        <v>16977</v>
      </c>
      <c r="I2962" s="13">
        <v>44</v>
      </c>
    </row>
    <row r="2963" spans="6:9">
      <c r="F2963" s="12" t="s">
        <v>4006</v>
      </c>
      <c r="G2963" s="12" t="s">
        <v>159</v>
      </c>
      <c r="H2963" s="15">
        <v>35100</v>
      </c>
      <c r="I2963" s="13">
        <v>44</v>
      </c>
    </row>
    <row r="2964" spans="6:9">
      <c r="F2964" s="12" t="s">
        <v>4007</v>
      </c>
      <c r="G2964" s="12" t="s">
        <v>159</v>
      </c>
      <c r="H2964" s="15">
        <v>42400</v>
      </c>
      <c r="I2964" s="13">
        <v>44</v>
      </c>
    </row>
    <row r="2965" spans="6:9">
      <c r="F2965" s="12" t="s">
        <v>1884</v>
      </c>
      <c r="G2965" s="12" t="s">
        <v>157</v>
      </c>
      <c r="H2965" s="15">
        <v>14296</v>
      </c>
      <c r="I2965" s="13">
        <v>44</v>
      </c>
    </row>
    <row r="2966" spans="6:9">
      <c r="F2966" s="12" t="s">
        <v>1886</v>
      </c>
      <c r="G2966" s="12" t="s">
        <v>157</v>
      </c>
      <c r="H2966" s="15">
        <v>25065</v>
      </c>
      <c r="I2966" s="13">
        <v>44</v>
      </c>
    </row>
    <row r="2967" spans="6:9">
      <c r="F2967" s="12" t="s">
        <v>4008</v>
      </c>
      <c r="G2967" s="12" t="s">
        <v>159</v>
      </c>
      <c r="H2967" s="15">
        <v>30900</v>
      </c>
      <c r="I2967" s="13">
        <v>44</v>
      </c>
    </row>
    <row r="2968" spans="6:9">
      <c r="F2968" s="12" t="s">
        <v>156</v>
      </c>
      <c r="G2968" s="12" t="s">
        <v>157</v>
      </c>
      <c r="H2968" s="15">
        <v>165218</v>
      </c>
      <c r="I2968" s="13">
        <v>44</v>
      </c>
    </row>
    <row r="2969" spans="6:9">
      <c r="F2969" s="12" t="s">
        <v>4009</v>
      </c>
      <c r="G2969" s="12" t="s">
        <v>159</v>
      </c>
      <c r="H2969" s="15">
        <v>235100</v>
      </c>
      <c r="I2969" s="13">
        <v>44</v>
      </c>
    </row>
    <row r="2970" spans="6:9">
      <c r="F2970" s="12" t="s">
        <v>779</v>
      </c>
      <c r="G2970" s="12" t="s">
        <v>159</v>
      </c>
      <c r="H2970" s="15">
        <v>221300</v>
      </c>
      <c r="I2970" s="13">
        <v>44</v>
      </c>
    </row>
    <row r="2971" spans="6:9">
      <c r="F2971" s="12" t="s">
        <v>1888</v>
      </c>
      <c r="G2971" s="12" t="s">
        <v>157</v>
      </c>
      <c r="H2971" s="15">
        <v>33573</v>
      </c>
      <c r="I2971" s="13">
        <v>44</v>
      </c>
    </row>
    <row r="2972" spans="6:9">
      <c r="F2972" s="12" t="s">
        <v>1890</v>
      </c>
      <c r="G2972" s="12" t="s">
        <v>157</v>
      </c>
      <c r="H2972" s="15">
        <v>29231</v>
      </c>
      <c r="I2972" s="13">
        <v>44</v>
      </c>
    </row>
    <row r="2973" spans="6:9">
      <c r="F2973" s="12" t="s">
        <v>4010</v>
      </c>
      <c r="G2973" s="12" t="s">
        <v>159</v>
      </c>
      <c r="H2973" s="15">
        <v>1100000</v>
      </c>
      <c r="I2973" s="13">
        <v>44</v>
      </c>
    </row>
    <row r="2974" spans="6:9">
      <c r="F2974" s="12" t="s">
        <v>1892</v>
      </c>
      <c r="G2974" s="12" t="s">
        <v>157</v>
      </c>
      <c r="H2974" s="15">
        <v>19399</v>
      </c>
      <c r="I2974" s="13">
        <v>44</v>
      </c>
    </row>
    <row r="2975" spans="6:9">
      <c r="F2975" s="12" t="s">
        <v>4011</v>
      </c>
      <c r="G2975" s="12" t="s">
        <v>159</v>
      </c>
      <c r="H2975" s="15">
        <v>1100000</v>
      </c>
      <c r="I2975" s="13">
        <v>44</v>
      </c>
    </row>
    <row r="2976" spans="6:9">
      <c r="F2976" s="12" t="s">
        <v>1897</v>
      </c>
      <c r="G2976" s="12" t="s">
        <v>157</v>
      </c>
      <c r="H2976" s="15">
        <v>19471</v>
      </c>
      <c r="I2976" s="13">
        <v>44</v>
      </c>
    </row>
    <row r="2977" spans="6:9">
      <c r="F2977" s="12" t="s">
        <v>1902</v>
      </c>
      <c r="G2977" s="12" t="s">
        <v>157</v>
      </c>
      <c r="H2977" s="15">
        <v>10862</v>
      </c>
      <c r="I2977" s="13">
        <v>44</v>
      </c>
    </row>
    <row r="2978" spans="6:9">
      <c r="F2978" s="12" t="s">
        <v>1904</v>
      </c>
      <c r="G2978" s="12" t="s">
        <v>157</v>
      </c>
      <c r="H2978" s="15">
        <v>15491</v>
      </c>
      <c r="I2978" s="13">
        <v>44</v>
      </c>
    </row>
    <row r="2979" spans="6:9">
      <c r="F2979" s="12" t="s">
        <v>547</v>
      </c>
      <c r="G2979" s="12" t="s">
        <v>157</v>
      </c>
      <c r="H2979" s="15">
        <v>4874978</v>
      </c>
      <c r="I2979" s="13">
        <v>44</v>
      </c>
    </row>
    <row r="2980" spans="6:9">
      <c r="F2980" s="12" t="s">
        <v>1906</v>
      </c>
      <c r="G2980" s="12" t="s">
        <v>157</v>
      </c>
      <c r="H2980" s="15">
        <v>22629</v>
      </c>
      <c r="I2980" s="13">
        <v>44</v>
      </c>
    </row>
    <row r="2981" spans="6:9">
      <c r="F2981" s="12" t="s">
        <v>4012</v>
      </c>
      <c r="G2981" s="12" t="s">
        <v>157</v>
      </c>
      <c r="H2981" s="15">
        <v>26240</v>
      </c>
      <c r="I2981" s="13">
        <v>44</v>
      </c>
    </row>
    <row r="2982" spans="6:9">
      <c r="F2982" s="12" t="s">
        <v>1910</v>
      </c>
      <c r="G2982" s="12" t="s">
        <v>157</v>
      </c>
      <c r="H2982" s="15">
        <v>13842</v>
      </c>
      <c r="I2982" s="13">
        <v>44</v>
      </c>
    </row>
    <row r="2983" spans="6:9">
      <c r="F2983" s="12" t="s">
        <v>1912</v>
      </c>
      <c r="G2983" s="12" t="s">
        <v>157</v>
      </c>
      <c r="H2983" s="15">
        <v>11938</v>
      </c>
      <c r="I2983" s="13">
        <v>44</v>
      </c>
    </row>
    <row r="2984" spans="6:9">
      <c r="F2984" s="12" t="s">
        <v>1914</v>
      </c>
      <c r="G2984" s="12" t="s">
        <v>157</v>
      </c>
      <c r="H2984" s="15">
        <v>31699</v>
      </c>
      <c r="I2984" s="13">
        <v>44</v>
      </c>
    </row>
    <row r="2985" spans="6:9">
      <c r="F2985" s="12" t="s">
        <v>1916</v>
      </c>
      <c r="G2985" s="12" t="s">
        <v>157</v>
      </c>
      <c r="H2985" s="15">
        <v>10350</v>
      </c>
      <c r="I2985" s="13">
        <v>44</v>
      </c>
    </row>
    <row r="2986" spans="6:9">
      <c r="F2986" s="12" t="s">
        <v>1917</v>
      </c>
      <c r="G2986" s="12" t="s">
        <v>157</v>
      </c>
      <c r="H2986" s="15">
        <v>12281</v>
      </c>
      <c r="I2986" s="13">
        <v>44</v>
      </c>
    </row>
    <row r="2987" spans="6:9">
      <c r="F2987" s="12" t="s">
        <v>1919</v>
      </c>
      <c r="G2987" s="12" t="s">
        <v>157</v>
      </c>
      <c r="H2987" s="15">
        <v>12007</v>
      </c>
      <c r="I2987" s="13">
        <v>44</v>
      </c>
    </row>
    <row r="2988" spans="6:9">
      <c r="F2988" s="12" t="s">
        <v>1921</v>
      </c>
      <c r="G2988" s="12" t="s">
        <v>157</v>
      </c>
      <c r="H2988" s="15">
        <v>14532</v>
      </c>
      <c r="I2988" s="13">
        <v>44</v>
      </c>
    </row>
    <row r="2989" spans="6:9">
      <c r="F2989" s="12" t="s">
        <v>1922</v>
      </c>
      <c r="G2989" s="12" t="s">
        <v>157</v>
      </c>
      <c r="H2989" s="15">
        <v>16690</v>
      </c>
      <c r="I2989" s="13">
        <v>44</v>
      </c>
    </row>
    <row r="2990" spans="6:9">
      <c r="F2990" s="12" t="s">
        <v>1926</v>
      </c>
      <c r="G2990" s="12" t="s">
        <v>157</v>
      </c>
      <c r="H2990" s="15">
        <v>10441</v>
      </c>
      <c r="I2990" s="13">
        <v>44</v>
      </c>
    </row>
    <row r="2991" spans="6:9">
      <c r="F2991" s="12" t="s">
        <v>4013</v>
      </c>
      <c r="G2991" s="12" t="s">
        <v>157</v>
      </c>
      <c r="H2991" s="15">
        <v>29091</v>
      </c>
      <c r="I2991" s="13">
        <v>44</v>
      </c>
    </row>
    <row r="2992" spans="6:9">
      <c r="F2992" s="12" t="s">
        <v>4014</v>
      </c>
      <c r="G2992" s="12" t="s">
        <v>159</v>
      </c>
      <c r="H2992" s="15">
        <v>12100</v>
      </c>
      <c r="I2992" s="13">
        <v>44</v>
      </c>
    </row>
    <row r="2993" spans="6:9">
      <c r="F2993" s="12" t="s">
        <v>4015</v>
      </c>
      <c r="G2993" s="12" t="s">
        <v>159</v>
      </c>
      <c r="H2993" s="15">
        <v>54900</v>
      </c>
      <c r="I2993" s="13">
        <v>44</v>
      </c>
    </row>
    <row r="2994" spans="6:9">
      <c r="F2994" s="12" t="s">
        <v>4016</v>
      </c>
      <c r="G2994" s="12" t="s">
        <v>159</v>
      </c>
      <c r="H2994" s="15">
        <v>129200</v>
      </c>
      <c r="I2994" s="13">
        <v>44</v>
      </c>
    </row>
    <row r="2995" spans="6:9">
      <c r="F2995" s="12" t="s">
        <v>4017</v>
      </c>
      <c r="G2995" s="12" t="s">
        <v>159</v>
      </c>
      <c r="H2995" s="15">
        <v>26800</v>
      </c>
      <c r="I2995" s="13">
        <v>44</v>
      </c>
    </row>
    <row r="2996" spans="6:9">
      <c r="F2996" s="12" t="s">
        <v>4018</v>
      </c>
      <c r="G2996" s="12" t="s">
        <v>159</v>
      </c>
      <c r="H2996" s="15">
        <v>86200</v>
      </c>
      <c r="I2996" s="13">
        <v>44</v>
      </c>
    </row>
    <row r="2997" spans="6:9">
      <c r="F2997" s="12" t="s">
        <v>1929</v>
      </c>
      <c r="G2997" s="12" t="s">
        <v>157</v>
      </c>
      <c r="H2997" s="15">
        <v>11710</v>
      </c>
      <c r="I2997" s="13">
        <v>44</v>
      </c>
    </row>
    <row r="2998" spans="6:9">
      <c r="F2998" s="12" t="s">
        <v>1931</v>
      </c>
      <c r="G2998" s="12" t="s">
        <v>157</v>
      </c>
      <c r="H2998" s="15">
        <v>32279</v>
      </c>
      <c r="I2998" s="13">
        <v>44</v>
      </c>
    </row>
    <row r="2999" spans="6:9">
      <c r="F2999" s="12" t="s">
        <v>1932</v>
      </c>
      <c r="G2999" s="12" t="s">
        <v>157</v>
      </c>
      <c r="H2999" s="15">
        <v>24969</v>
      </c>
      <c r="I2999" s="13">
        <v>44</v>
      </c>
    </row>
    <row r="3000" spans="6:9">
      <c r="F3000" s="12" t="s">
        <v>1934</v>
      </c>
      <c r="G3000" s="12" t="s">
        <v>157</v>
      </c>
      <c r="H3000" s="15">
        <v>27655</v>
      </c>
      <c r="I3000" s="13">
        <v>44</v>
      </c>
    </row>
    <row r="3001" spans="6:9">
      <c r="F3001" s="12" t="s">
        <v>4019</v>
      </c>
      <c r="G3001" s="12" t="s">
        <v>157</v>
      </c>
      <c r="H3001" s="15">
        <v>33821</v>
      </c>
      <c r="I3001" s="13">
        <v>44</v>
      </c>
    </row>
    <row r="3002" spans="6:9">
      <c r="F3002" s="12" t="s">
        <v>1936</v>
      </c>
      <c r="G3002" s="12" t="s">
        <v>157</v>
      </c>
      <c r="H3002" s="15">
        <v>13969</v>
      </c>
      <c r="I3002" s="13">
        <v>44</v>
      </c>
    </row>
    <row r="3003" spans="6:9">
      <c r="F3003" s="12" t="s">
        <v>1938</v>
      </c>
      <c r="G3003" s="12" t="s">
        <v>157</v>
      </c>
      <c r="H3003" s="15">
        <v>13348</v>
      </c>
      <c r="I3003" s="13">
        <v>44</v>
      </c>
    </row>
    <row r="3004" spans="6:9">
      <c r="F3004" s="12" t="s">
        <v>1939</v>
      </c>
      <c r="G3004" s="12" t="s">
        <v>157</v>
      </c>
      <c r="H3004" s="15">
        <v>10049</v>
      </c>
      <c r="I3004" s="13">
        <v>44</v>
      </c>
    </row>
    <row r="3005" spans="6:9">
      <c r="F3005" s="12" t="s">
        <v>1941</v>
      </c>
      <c r="G3005" s="12" t="s">
        <v>157</v>
      </c>
      <c r="H3005" s="15">
        <v>32582</v>
      </c>
      <c r="I3005" s="13">
        <v>44</v>
      </c>
    </row>
    <row r="3006" spans="6:9">
      <c r="F3006" s="12" t="s">
        <v>784</v>
      </c>
      <c r="G3006" s="12" t="s">
        <v>157</v>
      </c>
      <c r="H3006" s="15">
        <v>751257</v>
      </c>
      <c r="I3006" s="13">
        <v>44</v>
      </c>
    </row>
    <row r="3007" spans="6:9">
      <c r="F3007" s="12" t="s">
        <v>4020</v>
      </c>
      <c r="G3007" s="12" t="s">
        <v>157</v>
      </c>
      <c r="H3007" s="15">
        <v>33967</v>
      </c>
      <c r="I3007" s="13">
        <v>44</v>
      </c>
    </row>
    <row r="3008" spans="6:9">
      <c r="F3008" s="12" t="s">
        <v>1944</v>
      </c>
      <c r="G3008" s="12" t="s">
        <v>157</v>
      </c>
      <c r="H3008" s="15">
        <v>13004</v>
      </c>
      <c r="I3008" s="13">
        <v>44</v>
      </c>
    </row>
    <row r="3009" spans="6:9">
      <c r="F3009" s="12" t="s">
        <v>1946</v>
      </c>
      <c r="G3009" s="12" t="s">
        <v>157</v>
      </c>
      <c r="H3009" s="15">
        <v>10434</v>
      </c>
      <c r="I3009" s="13">
        <v>44</v>
      </c>
    </row>
    <row r="3010" spans="6:9">
      <c r="F3010" s="12" t="s">
        <v>1948</v>
      </c>
      <c r="G3010" s="12" t="s">
        <v>157</v>
      </c>
      <c r="H3010" s="15">
        <v>25369</v>
      </c>
      <c r="I3010" s="13">
        <v>44</v>
      </c>
    </row>
    <row r="3011" spans="6:9">
      <c r="F3011" s="12" t="s">
        <v>4021</v>
      </c>
      <c r="G3011" s="12" t="s">
        <v>159</v>
      </c>
      <c r="H3011" s="15">
        <v>43500</v>
      </c>
      <c r="I3011" s="13">
        <v>44</v>
      </c>
    </row>
    <row r="3012" spans="6:9">
      <c r="F3012" s="12" t="s">
        <v>1950</v>
      </c>
      <c r="G3012" s="12" t="s">
        <v>157</v>
      </c>
      <c r="H3012" s="15">
        <v>16508</v>
      </c>
      <c r="I3012" s="13">
        <v>44</v>
      </c>
    </row>
    <row r="3013" spans="6:9">
      <c r="F3013" s="12" t="s">
        <v>4022</v>
      </c>
      <c r="G3013" s="12" t="s">
        <v>159</v>
      </c>
      <c r="H3013" s="15">
        <v>20100</v>
      </c>
      <c r="I3013" s="13">
        <v>44</v>
      </c>
    </row>
    <row r="3014" spans="6:9">
      <c r="F3014" s="12" t="s">
        <v>4023</v>
      </c>
      <c r="G3014" s="12" t="s">
        <v>159</v>
      </c>
      <c r="H3014" s="15">
        <v>3800000</v>
      </c>
      <c r="I3014" s="13">
        <v>44</v>
      </c>
    </row>
    <row r="3015" spans="6:9">
      <c r="F3015" s="12" t="s">
        <v>1952</v>
      </c>
      <c r="G3015" s="12" t="s">
        <v>157</v>
      </c>
      <c r="H3015" s="15">
        <v>10156</v>
      </c>
      <c r="I3015" s="13">
        <v>44</v>
      </c>
    </row>
    <row r="3016" spans="6:9">
      <c r="F3016" s="12" t="s">
        <v>4024</v>
      </c>
      <c r="G3016" s="12" t="s">
        <v>159</v>
      </c>
      <c r="H3016" s="15">
        <v>939800</v>
      </c>
      <c r="I3016" s="13">
        <v>44</v>
      </c>
    </row>
    <row r="3017" spans="6:9">
      <c r="F3017" s="12" t="s">
        <v>4025</v>
      </c>
      <c r="G3017" s="12" t="s">
        <v>159</v>
      </c>
      <c r="H3017" s="15">
        <v>80200</v>
      </c>
      <c r="I3017" s="13">
        <v>44</v>
      </c>
    </row>
    <row r="3018" spans="6:9">
      <c r="F3018" s="12" t="s">
        <v>1954</v>
      </c>
      <c r="G3018" s="12" t="s">
        <v>157</v>
      </c>
      <c r="H3018" s="15">
        <v>11450</v>
      </c>
      <c r="I3018" s="13">
        <v>44</v>
      </c>
    </row>
    <row r="3019" spans="6:9">
      <c r="F3019" s="12" t="s">
        <v>4026</v>
      </c>
      <c r="G3019" s="12" t="s">
        <v>159</v>
      </c>
      <c r="H3019" s="15">
        <v>1300000</v>
      </c>
      <c r="I3019" s="13">
        <v>44</v>
      </c>
    </row>
    <row r="3020" spans="6:9">
      <c r="F3020" s="12" t="s">
        <v>1958</v>
      </c>
      <c r="G3020" s="12" t="s">
        <v>157</v>
      </c>
      <c r="H3020" s="15">
        <v>10098</v>
      </c>
      <c r="I3020" s="13">
        <v>44</v>
      </c>
    </row>
    <row r="3021" spans="6:9">
      <c r="F3021" s="12" t="s">
        <v>4027</v>
      </c>
      <c r="G3021" s="12" t="s">
        <v>159</v>
      </c>
      <c r="H3021" s="15">
        <v>110200</v>
      </c>
      <c r="I3021" s="13">
        <v>44</v>
      </c>
    </row>
    <row r="3022" spans="6:9">
      <c r="F3022" s="12" t="s">
        <v>1325</v>
      </c>
      <c r="G3022" s="12" t="s">
        <v>157</v>
      </c>
      <c r="H3022" s="15">
        <v>239094</v>
      </c>
      <c r="I3022" s="13">
        <v>44</v>
      </c>
    </row>
    <row r="3023" spans="6:9">
      <c r="F3023" s="12" t="s">
        <v>1961</v>
      </c>
      <c r="G3023" s="12" t="s">
        <v>157</v>
      </c>
      <c r="H3023" s="15">
        <v>12291</v>
      </c>
      <c r="I3023" s="13">
        <v>44</v>
      </c>
    </row>
    <row r="3024" spans="6:9">
      <c r="F3024" s="12" t="s">
        <v>1963</v>
      </c>
      <c r="G3024" s="12" t="s">
        <v>157</v>
      </c>
      <c r="H3024" s="15">
        <v>34589</v>
      </c>
      <c r="I3024" s="13">
        <v>44</v>
      </c>
    </row>
    <row r="3025" spans="6:9">
      <c r="F3025" s="12" t="s">
        <v>1964</v>
      </c>
      <c r="G3025" s="12" t="s">
        <v>157</v>
      </c>
      <c r="H3025" s="15">
        <v>12992</v>
      </c>
      <c r="I3025" s="13">
        <v>44</v>
      </c>
    </row>
    <row r="3026" spans="6:9">
      <c r="F3026" s="12" t="s">
        <v>4028</v>
      </c>
      <c r="G3026" s="12" t="s">
        <v>159</v>
      </c>
      <c r="H3026" s="15">
        <v>2100000</v>
      </c>
      <c r="I3026" s="13">
        <v>44</v>
      </c>
    </row>
    <row r="3027" spans="6:9">
      <c r="F3027" s="12" t="s">
        <v>4029</v>
      </c>
      <c r="G3027" s="12" t="s">
        <v>157</v>
      </c>
      <c r="H3027" s="15">
        <v>10403</v>
      </c>
      <c r="I3027" s="13">
        <v>44</v>
      </c>
    </row>
    <row r="3028" spans="6:9">
      <c r="F3028" s="12" t="s">
        <v>4030</v>
      </c>
      <c r="G3028" s="12" t="s">
        <v>159</v>
      </c>
      <c r="H3028" s="15">
        <v>74600</v>
      </c>
      <c r="I3028" s="13">
        <v>44</v>
      </c>
    </row>
    <row r="3029" spans="6:9">
      <c r="F3029" s="12" t="s">
        <v>1967</v>
      </c>
      <c r="G3029" s="12" t="s">
        <v>157</v>
      </c>
      <c r="H3029" s="15">
        <v>11188</v>
      </c>
      <c r="I3029" s="13">
        <v>44</v>
      </c>
    </row>
    <row r="3030" spans="6:9">
      <c r="F3030" s="12" t="s">
        <v>787</v>
      </c>
      <c r="G3030" s="12" t="s">
        <v>157</v>
      </c>
      <c r="H3030" s="15">
        <v>177213</v>
      </c>
      <c r="I3030" s="13">
        <v>44</v>
      </c>
    </row>
    <row r="3031" spans="6:9">
      <c r="F3031" s="12" t="s">
        <v>1970</v>
      </c>
      <c r="G3031" s="12" t="s">
        <v>157</v>
      </c>
      <c r="H3031" s="15">
        <v>19019</v>
      </c>
      <c r="I3031" s="13">
        <v>44</v>
      </c>
    </row>
    <row r="3032" spans="6:9">
      <c r="F3032" s="12" t="s">
        <v>4031</v>
      </c>
      <c r="G3032" s="12" t="s">
        <v>159</v>
      </c>
      <c r="H3032" s="15">
        <v>267900</v>
      </c>
      <c r="I3032" s="13">
        <v>44</v>
      </c>
    </row>
    <row r="3033" spans="6:9">
      <c r="F3033" s="12" t="s">
        <v>1972</v>
      </c>
      <c r="G3033" s="12" t="s">
        <v>157</v>
      </c>
      <c r="H3033" s="15">
        <v>35244</v>
      </c>
      <c r="I3033" s="13">
        <v>44</v>
      </c>
    </row>
    <row r="3034" spans="6:9">
      <c r="F3034" s="12" t="s">
        <v>1978</v>
      </c>
      <c r="G3034" s="12" t="s">
        <v>157</v>
      </c>
      <c r="H3034" s="15">
        <v>14544</v>
      </c>
      <c r="I3034" s="13">
        <v>44</v>
      </c>
    </row>
    <row r="3035" spans="6:9">
      <c r="F3035" s="12" t="s">
        <v>4032</v>
      </c>
      <c r="G3035" s="12" t="s">
        <v>159</v>
      </c>
      <c r="H3035" s="15">
        <v>15100</v>
      </c>
      <c r="I3035" s="13">
        <v>44</v>
      </c>
    </row>
    <row r="3036" spans="6:9">
      <c r="F3036" s="12" t="s">
        <v>4033</v>
      </c>
      <c r="G3036" s="12" t="s">
        <v>159</v>
      </c>
      <c r="H3036" s="15">
        <v>5400000</v>
      </c>
      <c r="I3036" s="13">
        <v>44</v>
      </c>
    </row>
    <row r="3037" spans="6:9">
      <c r="F3037" s="12" t="s">
        <v>1979</v>
      </c>
      <c r="G3037" s="12" t="s">
        <v>157</v>
      </c>
      <c r="H3037" s="15">
        <v>15815</v>
      </c>
      <c r="I3037" s="13">
        <v>44</v>
      </c>
    </row>
    <row r="3038" spans="6:9">
      <c r="F3038" s="12" t="s">
        <v>1981</v>
      </c>
      <c r="G3038" s="12" t="s">
        <v>157</v>
      </c>
      <c r="H3038" s="15">
        <v>12312</v>
      </c>
      <c r="I3038" s="13">
        <v>44</v>
      </c>
    </row>
    <row r="3039" spans="6:9">
      <c r="F3039" s="12" t="s">
        <v>4034</v>
      </c>
      <c r="G3039" s="12" t="s">
        <v>157</v>
      </c>
      <c r="H3039" s="15">
        <v>18415</v>
      </c>
      <c r="I3039" s="13">
        <v>44</v>
      </c>
    </row>
    <row r="3040" spans="6:9">
      <c r="F3040" s="12" t="s">
        <v>1983</v>
      </c>
      <c r="G3040" s="12" t="s">
        <v>157</v>
      </c>
      <c r="H3040" s="15">
        <v>12062</v>
      </c>
      <c r="I3040" s="13">
        <v>44</v>
      </c>
    </row>
    <row r="3041" spans="6:9">
      <c r="F3041" s="12" t="s">
        <v>790</v>
      </c>
      <c r="G3041" s="12" t="s">
        <v>157</v>
      </c>
      <c r="H3041" s="15">
        <v>331089</v>
      </c>
      <c r="I3041" s="13">
        <v>44</v>
      </c>
    </row>
    <row r="3042" spans="6:9">
      <c r="F3042" s="12" t="s">
        <v>4035</v>
      </c>
      <c r="G3042" s="12" t="s">
        <v>159</v>
      </c>
      <c r="H3042" s="15">
        <v>273300</v>
      </c>
      <c r="I3042" s="13">
        <v>44</v>
      </c>
    </row>
    <row r="3043" spans="6:9">
      <c r="F3043" s="12" t="s">
        <v>2480</v>
      </c>
      <c r="G3043" s="12" t="s">
        <v>157</v>
      </c>
      <c r="H3043" s="15">
        <v>12601</v>
      </c>
      <c r="I3043" s="13">
        <v>44</v>
      </c>
    </row>
    <row r="3044" spans="6:9">
      <c r="F3044" s="12" t="s">
        <v>1985</v>
      </c>
      <c r="G3044" s="12" t="s">
        <v>157</v>
      </c>
      <c r="H3044" s="15">
        <v>24530</v>
      </c>
      <c r="I3044" s="13">
        <v>44</v>
      </c>
    </row>
    <row r="3045" spans="6:9">
      <c r="F3045" s="12" t="s">
        <v>4036</v>
      </c>
      <c r="G3045" s="12" t="s">
        <v>159</v>
      </c>
      <c r="H3045" s="15">
        <v>20800</v>
      </c>
      <c r="I3045" s="13">
        <v>44</v>
      </c>
    </row>
    <row r="3046" spans="6:9">
      <c r="F3046" s="12" t="s">
        <v>1987</v>
      </c>
      <c r="G3046" s="12" t="s">
        <v>157</v>
      </c>
      <c r="H3046" s="15">
        <v>16150</v>
      </c>
      <c r="I3046" s="13">
        <v>44</v>
      </c>
    </row>
    <row r="3047" spans="6:9">
      <c r="F3047" s="12" t="s">
        <v>4037</v>
      </c>
      <c r="G3047" s="12" t="s">
        <v>159</v>
      </c>
      <c r="H3047" s="15">
        <v>86900</v>
      </c>
      <c r="I3047" s="13">
        <v>44</v>
      </c>
    </row>
    <row r="3048" spans="6:9">
      <c r="F3048" s="12" t="s">
        <v>1989</v>
      </c>
      <c r="G3048" s="12" t="s">
        <v>157</v>
      </c>
      <c r="H3048" s="15">
        <v>25521</v>
      </c>
      <c r="I3048" s="13">
        <v>44</v>
      </c>
    </row>
    <row r="3049" spans="6:9">
      <c r="F3049" s="12" t="s">
        <v>4038</v>
      </c>
      <c r="G3049" s="12" t="s">
        <v>159</v>
      </c>
      <c r="H3049" s="15">
        <v>265500</v>
      </c>
      <c r="I3049" s="13">
        <v>44</v>
      </c>
    </row>
    <row r="3050" spans="6:9">
      <c r="F3050" s="12" t="s">
        <v>792</v>
      </c>
      <c r="G3050" s="12" t="s">
        <v>157</v>
      </c>
      <c r="H3050" s="15">
        <v>152506</v>
      </c>
      <c r="I3050" s="13">
        <v>44</v>
      </c>
    </row>
    <row r="3051" spans="6:9">
      <c r="F3051" s="12" t="s">
        <v>794</v>
      </c>
      <c r="G3051" s="12" t="s">
        <v>157</v>
      </c>
      <c r="H3051" s="15">
        <v>889184</v>
      </c>
      <c r="I3051" s="13">
        <v>44</v>
      </c>
    </row>
    <row r="3052" spans="6:9">
      <c r="F3052" s="12" t="s">
        <v>1993</v>
      </c>
      <c r="G3052" s="12" t="s">
        <v>157</v>
      </c>
      <c r="H3052" s="15">
        <v>12600</v>
      </c>
      <c r="I3052" s="13">
        <v>44</v>
      </c>
    </row>
    <row r="3053" spans="6:9">
      <c r="F3053" s="12" t="s">
        <v>1995</v>
      </c>
      <c r="G3053" s="12" t="s">
        <v>157</v>
      </c>
      <c r="H3053" s="15">
        <v>13350</v>
      </c>
      <c r="I3053" s="13">
        <v>44</v>
      </c>
    </row>
    <row r="3054" spans="6:9">
      <c r="F3054" s="12" t="s">
        <v>1997</v>
      </c>
      <c r="G3054" s="12" t="s">
        <v>157</v>
      </c>
      <c r="H3054" s="15">
        <v>20622</v>
      </c>
      <c r="I3054" s="13">
        <v>44</v>
      </c>
    </row>
    <row r="3055" spans="6:9">
      <c r="F3055" s="12" t="s">
        <v>1999</v>
      </c>
      <c r="G3055" s="12" t="s">
        <v>157</v>
      </c>
      <c r="H3055" s="15">
        <v>22121</v>
      </c>
      <c r="I3055" s="13">
        <v>44</v>
      </c>
    </row>
    <row r="3056" spans="6:9">
      <c r="F3056" s="12" t="s">
        <v>2001</v>
      </c>
      <c r="G3056" s="12" t="s">
        <v>157</v>
      </c>
      <c r="H3056" s="15">
        <v>17737</v>
      </c>
      <c r="I3056" s="13">
        <v>44</v>
      </c>
    </row>
    <row r="3057" spans="6:9">
      <c r="F3057" s="12" t="s">
        <v>2002</v>
      </c>
      <c r="G3057" s="12" t="s">
        <v>157</v>
      </c>
      <c r="H3057" s="15">
        <v>21155</v>
      </c>
      <c r="I3057" s="13">
        <v>44</v>
      </c>
    </row>
    <row r="3058" spans="6:9">
      <c r="F3058" s="12" t="s">
        <v>2004</v>
      </c>
      <c r="G3058" s="12" t="s">
        <v>157</v>
      </c>
      <c r="H3058" s="15">
        <v>15496</v>
      </c>
      <c r="I3058" s="13">
        <v>44</v>
      </c>
    </row>
    <row r="3059" spans="6:9">
      <c r="F3059" s="12" t="s">
        <v>2006</v>
      </c>
      <c r="G3059" s="12" t="s">
        <v>157</v>
      </c>
      <c r="H3059" s="15">
        <v>18851</v>
      </c>
      <c r="I3059" s="13">
        <v>44</v>
      </c>
    </row>
    <row r="3060" spans="6:9">
      <c r="F3060" s="12" t="s">
        <v>4039</v>
      </c>
      <c r="G3060" s="12" t="s">
        <v>157</v>
      </c>
      <c r="H3060" s="15">
        <v>32437</v>
      </c>
      <c r="I3060" s="13">
        <v>44</v>
      </c>
    </row>
    <row r="3061" spans="6:9">
      <c r="F3061" s="12" t="s">
        <v>4040</v>
      </c>
      <c r="G3061" s="12" t="s">
        <v>159</v>
      </c>
      <c r="H3061" s="15">
        <v>86900</v>
      </c>
      <c r="I3061" s="13">
        <v>44</v>
      </c>
    </row>
    <row r="3062" spans="6:9">
      <c r="F3062" s="12" t="s">
        <v>4041</v>
      </c>
      <c r="G3062" s="12" t="s">
        <v>159</v>
      </c>
      <c r="H3062" s="15">
        <v>2400000</v>
      </c>
      <c r="I3062" s="13">
        <v>44</v>
      </c>
    </row>
    <row r="3063" spans="6:9">
      <c r="F3063" s="12" t="s">
        <v>1219</v>
      </c>
      <c r="G3063" s="12" t="s">
        <v>157</v>
      </c>
      <c r="H3063" s="15">
        <v>112095</v>
      </c>
      <c r="I3063" s="13">
        <v>44</v>
      </c>
    </row>
    <row r="3064" spans="6:9">
      <c r="F3064" s="12" t="s">
        <v>2010</v>
      </c>
      <c r="G3064" s="12" t="s">
        <v>157</v>
      </c>
      <c r="H3064" s="15">
        <v>20942</v>
      </c>
      <c r="I3064" s="13">
        <v>44</v>
      </c>
    </row>
    <row r="3065" spans="6:9">
      <c r="F3065" s="12" t="s">
        <v>4042</v>
      </c>
      <c r="G3065" s="12" t="s">
        <v>159</v>
      </c>
      <c r="H3065" s="15">
        <v>49100</v>
      </c>
      <c r="I3065" s="13">
        <v>44</v>
      </c>
    </row>
    <row r="3066" spans="6:9">
      <c r="F3066" s="12" t="s">
        <v>4043</v>
      </c>
      <c r="G3066" s="12" t="s">
        <v>159</v>
      </c>
      <c r="H3066" s="15">
        <v>262300</v>
      </c>
      <c r="I3066" s="13">
        <v>44</v>
      </c>
    </row>
    <row r="3067" spans="6:9">
      <c r="F3067" s="12" t="s">
        <v>2012</v>
      </c>
      <c r="G3067" s="12" t="s">
        <v>157</v>
      </c>
      <c r="H3067" s="15">
        <v>78429</v>
      </c>
      <c r="I3067" s="13">
        <v>44</v>
      </c>
    </row>
    <row r="3068" spans="6:9">
      <c r="F3068" s="12" t="s">
        <v>4044</v>
      </c>
      <c r="G3068" s="12" t="s">
        <v>159</v>
      </c>
      <c r="H3068" s="15">
        <v>127000</v>
      </c>
      <c r="I3068" s="13">
        <v>44</v>
      </c>
    </row>
    <row r="3069" spans="6:9">
      <c r="F3069" s="12" t="s">
        <v>4045</v>
      </c>
      <c r="G3069" s="12" t="s">
        <v>159</v>
      </c>
      <c r="H3069" s="15">
        <v>144700</v>
      </c>
      <c r="I3069" s="13">
        <v>44</v>
      </c>
    </row>
    <row r="3070" spans="6:9">
      <c r="F3070" s="12" t="s">
        <v>4046</v>
      </c>
      <c r="G3070" s="12" t="s">
        <v>159</v>
      </c>
      <c r="H3070" s="15">
        <v>10200</v>
      </c>
      <c r="I3070" s="13">
        <v>44</v>
      </c>
    </row>
    <row r="3071" spans="6:9">
      <c r="F3071" s="12" t="s">
        <v>796</v>
      </c>
      <c r="G3071" s="12" t="s">
        <v>159</v>
      </c>
      <c r="H3071" s="15">
        <v>120700</v>
      </c>
      <c r="I3071" s="13">
        <v>44</v>
      </c>
    </row>
    <row r="3072" spans="6:9">
      <c r="F3072" s="12" t="s">
        <v>4047</v>
      </c>
      <c r="G3072" s="12" t="s">
        <v>159</v>
      </c>
      <c r="H3072" s="15">
        <v>360500</v>
      </c>
      <c r="I3072" s="13">
        <v>44</v>
      </c>
    </row>
    <row r="3073" spans="6:9">
      <c r="F3073" s="12" t="s">
        <v>2014</v>
      </c>
      <c r="G3073" s="12" t="s">
        <v>157</v>
      </c>
      <c r="H3073" s="15">
        <v>10198</v>
      </c>
      <c r="I3073" s="13">
        <v>44</v>
      </c>
    </row>
    <row r="3074" spans="6:9">
      <c r="F3074" s="12" t="s">
        <v>2015</v>
      </c>
      <c r="G3074" s="12" t="s">
        <v>157</v>
      </c>
      <c r="H3074" s="15">
        <v>11291</v>
      </c>
      <c r="I3074" s="13">
        <v>44</v>
      </c>
    </row>
    <row r="3075" spans="6:9">
      <c r="F3075" s="12" t="s">
        <v>2019</v>
      </c>
      <c r="G3075" s="12" t="s">
        <v>157</v>
      </c>
      <c r="H3075" s="15">
        <v>20310</v>
      </c>
      <c r="I3075" s="13">
        <v>44</v>
      </c>
    </row>
    <row r="3076" spans="6:9">
      <c r="F3076" s="12" t="s">
        <v>4048</v>
      </c>
      <c r="G3076" s="12" t="s">
        <v>159</v>
      </c>
      <c r="H3076" s="15">
        <v>1300000</v>
      </c>
      <c r="I3076" s="13">
        <v>44</v>
      </c>
    </row>
    <row r="3077" spans="6:9">
      <c r="F3077" s="12" t="s">
        <v>2023</v>
      </c>
      <c r="G3077" s="12" t="s">
        <v>157</v>
      </c>
      <c r="H3077" s="15">
        <v>15885</v>
      </c>
      <c r="I3077" s="13">
        <v>44</v>
      </c>
    </row>
    <row r="3078" spans="6:9">
      <c r="F3078" s="12" t="s">
        <v>2025</v>
      </c>
      <c r="G3078" s="12" t="s">
        <v>157</v>
      </c>
      <c r="H3078" s="15">
        <v>14154</v>
      </c>
      <c r="I3078" s="13">
        <v>44</v>
      </c>
    </row>
    <row r="3079" spans="6:9">
      <c r="F3079" s="12" t="s">
        <v>2026</v>
      </c>
      <c r="G3079" s="12" t="s">
        <v>157</v>
      </c>
      <c r="H3079" s="15">
        <v>11803</v>
      </c>
      <c r="I3079" s="13">
        <v>44</v>
      </c>
    </row>
    <row r="3080" spans="6:9">
      <c r="F3080" s="12" t="s">
        <v>2028</v>
      </c>
      <c r="G3080" s="12" t="s">
        <v>157</v>
      </c>
      <c r="H3080" s="15">
        <v>15371</v>
      </c>
      <c r="I3080" s="13">
        <v>44</v>
      </c>
    </row>
    <row r="3081" spans="6:9">
      <c r="F3081" s="12" t="s">
        <v>2030</v>
      </c>
      <c r="G3081" s="12" t="s">
        <v>157</v>
      </c>
      <c r="H3081" s="15">
        <v>14628</v>
      </c>
      <c r="I3081" s="13">
        <v>44</v>
      </c>
    </row>
    <row r="3082" spans="6:9">
      <c r="F3082" s="12" t="s">
        <v>2032</v>
      </c>
      <c r="G3082" s="12" t="s">
        <v>157</v>
      </c>
      <c r="H3082" s="15">
        <v>23782</v>
      </c>
      <c r="I3082" s="13">
        <v>44</v>
      </c>
    </row>
    <row r="3083" spans="6:9">
      <c r="F3083" s="12" t="s">
        <v>4049</v>
      </c>
      <c r="G3083" s="12" t="s">
        <v>157</v>
      </c>
      <c r="H3083" s="15">
        <v>35104</v>
      </c>
      <c r="I3083" s="13">
        <v>44</v>
      </c>
    </row>
    <row r="3084" spans="6:9">
      <c r="F3084" s="12" t="s">
        <v>1327</v>
      </c>
      <c r="G3084" s="12" t="s">
        <v>157</v>
      </c>
      <c r="H3084" s="15">
        <v>106287</v>
      </c>
      <c r="I3084" s="13">
        <v>44</v>
      </c>
    </row>
    <row r="3085" spans="6:9">
      <c r="F3085" s="12" t="s">
        <v>4050</v>
      </c>
      <c r="G3085" s="12" t="s">
        <v>159</v>
      </c>
      <c r="H3085" s="15">
        <v>129000</v>
      </c>
      <c r="I3085" s="13">
        <v>44</v>
      </c>
    </row>
    <row r="3086" spans="6:9">
      <c r="F3086" s="12" t="s">
        <v>4051</v>
      </c>
      <c r="G3086" s="12" t="s">
        <v>159</v>
      </c>
      <c r="H3086" s="15">
        <v>12900</v>
      </c>
      <c r="I3086" s="13">
        <v>44</v>
      </c>
    </row>
    <row r="3087" spans="6:9">
      <c r="F3087" s="12" t="s">
        <v>4052</v>
      </c>
      <c r="G3087" s="12" t="s">
        <v>159</v>
      </c>
      <c r="H3087" s="15">
        <v>176700</v>
      </c>
      <c r="I3087" s="13">
        <v>44</v>
      </c>
    </row>
    <row r="3088" spans="6:9">
      <c r="F3088" s="12" t="s">
        <v>2481</v>
      </c>
      <c r="G3088" s="12" t="s">
        <v>157</v>
      </c>
      <c r="H3088" s="15">
        <v>13887</v>
      </c>
      <c r="I3088" s="13">
        <v>44</v>
      </c>
    </row>
    <row r="3089" spans="6:9">
      <c r="F3089" s="12" t="s">
        <v>2036</v>
      </c>
      <c r="G3089" s="12" t="s">
        <v>157</v>
      </c>
      <c r="H3089" s="15">
        <v>27731</v>
      </c>
      <c r="I3089" s="13">
        <v>44</v>
      </c>
    </row>
    <row r="3090" spans="6:9">
      <c r="F3090" s="12" t="s">
        <v>4053</v>
      </c>
      <c r="G3090" s="12" t="s">
        <v>159</v>
      </c>
      <c r="H3090" s="15">
        <v>2500000</v>
      </c>
      <c r="I3090" s="13">
        <v>44</v>
      </c>
    </row>
    <row r="3091" spans="6:9">
      <c r="F3091" s="12" t="s">
        <v>2038</v>
      </c>
      <c r="G3091" s="12" t="s">
        <v>157</v>
      </c>
      <c r="H3091" s="15">
        <v>12923</v>
      </c>
      <c r="I3091" s="13">
        <v>44</v>
      </c>
    </row>
    <row r="3092" spans="6:9">
      <c r="F3092" s="12" t="s">
        <v>4054</v>
      </c>
      <c r="G3092" s="12" t="s">
        <v>157</v>
      </c>
      <c r="H3092" s="15">
        <v>29000</v>
      </c>
      <c r="I3092" s="13">
        <v>44</v>
      </c>
    </row>
    <row r="3093" spans="6:9">
      <c r="F3093" s="12" t="s">
        <v>4055</v>
      </c>
      <c r="G3093" s="12" t="s">
        <v>159</v>
      </c>
      <c r="H3093" s="15">
        <v>14900</v>
      </c>
      <c r="I3093" s="13">
        <v>44</v>
      </c>
    </row>
    <row r="3094" spans="6:9">
      <c r="F3094" s="12" t="s">
        <v>2041</v>
      </c>
      <c r="G3094" s="12" t="s">
        <v>157</v>
      </c>
      <c r="H3094" s="15">
        <v>20023</v>
      </c>
      <c r="I3094" s="13">
        <v>44</v>
      </c>
    </row>
    <row r="3095" spans="6:9">
      <c r="F3095" s="12" t="s">
        <v>1330</v>
      </c>
      <c r="G3095" s="12" t="s">
        <v>157</v>
      </c>
      <c r="H3095" s="15">
        <v>841376</v>
      </c>
      <c r="I3095" s="13">
        <v>44</v>
      </c>
    </row>
    <row r="3096" spans="6:9">
      <c r="F3096" s="12" t="s">
        <v>4056</v>
      </c>
      <c r="G3096" s="12" t="s">
        <v>159</v>
      </c>
      <c r="H3096" s="15">
        <v>10500</v>
      </c>
      <c r="I3096" s="13">
        <v>44</v>
      </c>
    </row>
    <row r="3097" spans="6:9">
      <c r="F3097" s="12" t="s">
        <v>4057</v>
      </c>
      <c r="G3097" s="12" t="s">
        <v>157</v>
      </c>
      <c r="H3097" s="15">
        <v>13964</v>
      </c>
      <c r="I3097" s="13">
        <v>44</v>
      </c>
    </row>
    <row r="3098" spans="6:9">
      <c r="F3098" s="12" t="s">
        <v>2046</v>
      </c>
      <c r="G3098" s="12" t="s">
        <v>157</v>
      </c>
      <c r="H3098" s="15">
        <v>18514</v>
      </c>
      <c r="I3098" s="13">
        <v>44</v>
      </c>
    </row>
    <row r="3099" spans="6:9">
      <c r="F3099" s="12" t="s">
        <v>4058</v>
      </c>
      <c r="G3099" s="12" t="s">
        <v>159</v>
      </c>
      <c r="H3099" s="15">
        <v>56100</v>
      </c>
      <c r="I3099" s="13">
        <v>44</v>
      </c>
    </row>
    <row r="3100" spans="6:9">
      <c r="F3100" s="12" t="s">
        <v>4059</v>
      </c>
      <c r="G3100" s="12" t="s">
        <v>159</v>
      </c>
      <c r="H3100" s="15">
        <v>580600</v>
      </c>
      <c r="I3100" s="13">
        <v>44</v>
      </c>
    </row>
    <row r="3101" spans="6:9">
      <c r="F3101" s="12" t="s">
        <v>4060</v>
      </c>
      <c r="G3101" s="12" t="s">
        <v>157</v>
      </c>
      <c r="H3101" s="15">
        <v>27635</v>
      </c>
      <c r="I3101" s="13">
        <v>44</v>
      </c>
    </row>
    <row r="3102" spans="6:9">
      <c r="F3102" s="12" t="s">
        <v>799</v>
      </c>
      <c r="G3102" s="12" t="s">
        <v>157</v>
      </c>
      <c r="H3102" s="15">
        <v>299497</v>
      </c>
      <c r="I3102" s="13">
        <v>44</v>
      </c>
    </row>
    <row r="3103" spans="6:9">
      <c r="F3103" s="12" t="s">
        <v>4061</v>
      </c>
      <c r="G3103" s="12" t="s">
        <v>159</v>
      </c>
      <c r="H3103" s="15">
        <v>799300</v>
      </c>
      <c r="I3103" s="13">
        <v>44</v>
      </c>
    </row>
    <row r="3104" spans="6:9">
      <c r="F3104" s="12" t="s">
        <v>4062</v>
      </c>
      <c r="G3104" s="12" t="s">
        <v>159</v>
      </c>
      <c r="H3104" s="15">
        <v>84900</v>
      </c>
      <c r="I3104" s="13">
        <v>44</v>
      </c>
    </row>
    <row r="3105" spans="6:9">
      <c r="F3105" s="12" t="s">
        <v>2048</v>
      </c>
      <c r="G3105" s="12" t="s">
        <v>157</v>
      </c>
      <c r="H3105" s="15">
        <v>14591</v>
      </c>
      <c r="I3105" s="13">
        <v>44</v>
      </c>
    </row>
    <row r="3106" spans="6:9">
      <c r="F3106" s="12" t="s">
        <v>2050</v>
      </c>
      <c r="G3106" s="12" t="s">
        <v>157</v>
      </c>
      <c r="H3106" s="15">
        <v>16122</v>
      </c>
      <c r="I3106" s="13">
        <v>44</v>
      </c>
    </row>
    <row r="3107" spans="6:9">
      <c r="F3107" s="12" t="s">
        <v>4063</v>
      </c>
      <c r="G3107" s="12" t="s">
        <v>159</v>
      </c>
      <c r="H3107" s="15">
        <v>11300</v>
      </c>
      <c r="I3107" s="13">
        <v>44</v>
      </c>
    </row>
    <row r="3108" spans="6:9">
      <c r="F3108" s="12" t="s">
        <v>801</v>
      </c>
      <c r="G3108" s="12" t="s">
        <v>157</v>
      </c>
      <c r="H3108" s="15">
        <v>104116</v>
      </c>
      <c r="I3108" s="13">
        <v>44</v>
      </c>
    </row>
    <row r="3109" spans="6:9">
      <c r="F3109" s="12" t="s">
        <v>4064</v>
      </c>
      <c r="G3109" s="12" t="s">
        <v>159</v>
      </c>
      <c r="H3109" s="15">
        <v>811900</v>
      </c>
      <c r="I3109" s="13">
        <v>44</v>
      </c>
    </row>
    <row r="3110" spans="6:9">
      <c r="F3110" s="12" t="s">
        <v>4065</v>
      </c>
      <c r="G3110" s="12" t="s">
        <v>159</v>
      </c>
      <c r="H3110" s="15">
        <v>31300</v>
      </c>
      <c r="I3110" s="13">
        <v>44</v>
      </c>
    </row>
    <row r="3111" spans="6:9">
      <c r="F3111" s="12" t="s">
        <v>2052</v>
      </c>
      <c r="G3111" s="12" t="s">
        <v>157</v>
      </c>
      <c r="H3111" s="15">
        <v>27683</v>
      </c>
      <c r="I3111" s="13">
        <v>44</v>
      </c>
    </row>
    <row r="3112" spans="6:9">
      <c r="F3112" s="12" t="s">
        <v>2054</v>
      </c>
      <c r="G3112" s="12" t="s">
        <v>157</v>
      </c>
      <c r="H3112" s="15">
        <v>10988</v>
      </c>
      <c r="I3112" s="13">
        <v>44</v>
      </c>
    </row>
    <row r="3113" spans="6:9">
      <c r="F3113" s="12" t="s">
        <v>4066</v>
      </c>
      <c r="G3113" s="12" t="s">
        <v>159</v>
      </c>
      <c r="H3113" s="15">
        <v>287500</v>
      </c>
      <c r="I3113" s="13">
        <v>44</v>
      </c>
    </row>
    <row r="3114" spans="6:9">
      <c r="F3114" s="12" t="s">
        <v>2055</v>
      </c>
      <c r="G3114" s="12" t="s">
        <v>157</v>
      </c>
      <c r="H3114" s="15">
        <v>26589</v>
      </c>
      <c r="I3114" s="13">
        <v>44</v>
      </c>
    </row>
    <row r="3115" spans="6:9">
      <c r="F3115" s="12" t="s">
        <v>1333</v>
      </c>
      <c r="G3115" s="12" t="s">
        <v>159</v>
      </c>
      <c r="H3115" s="15">
        <v>632200</v>
      </c>
      <c r="I3115" s="13">
        <v>44</v>
      </c>
    </row>
    <row r="3116" spans="6:9">
      <c r="F3116" s="12" t="s">
        <v>2057</v>
      </c>
      <c r="G3116" s="12" t="s">
        <v>157</v>
      </c>
      <c r="H3116" s="15">
        <v>17113</v>
      </c>
      <c r="I3116" s="13">
        <v>44</v>
      </c>
    </row>
    <row r="3117" spans="6:9">
      <c r="F3117" s="12" t="s">
        <v>2059</v>
      </c>
      <c r="G3117" s="12" t="s">
        <v>157</v>
      </c>
      <c r="H3117" s="15">
        <v>22040</v>
      </c>
      <c r="I3117" s="13">
        <v>44</v>
      </c>
    </row>
    <row r="3118" spans="6:9">
      <c r="F3118" s="12" t="s">
        <v>4067</v>
      </c>
      <c r="G3118" s="12" t="s">
        <v>157</v>
      </c>
      <c r="H3118" s="15">
        <v>25228</v>
      </c>
      <c r="I3118" s="13">
        <v>44</v>
      </c>
    </row>
    <row r="3119" spans="6:9">
      <c r="F3119" s="12" t="s">
        <v>4068</v>
      </c>
      <c r="G3119" s="12" t="s">
        <v>159</v>
      </c>
      <c r="H3119" s="15">
        <v>248500</v>
      </c>
      <c r="I3119" s="13">
        <v>44</v>
      </c>
    </row>
    <row r="3120" spans="6:9">
      <c r="F3120" s="12" t="s">
        <v>2060</v>
      </c>
      <c r="G3120" s="12" t="s">
        <v>157</v>
      </c>
      <c r="H3120" s="15">
        <v>11170</v>
      </c>
      <c r="I3120" s="13">
        <v>44</v>
      </c>
    </row>
    <row r="3121" spans="6:9">
      <c r="F3121" s="12" t="s">
        <v>2062</v>
      </c>
      <c r="G3121" s="12" t="s">
        <v>157</v>
      </c>
      <c r="H3121" s="15">
        <v>22229</v>
      </c>
      <c r="I3121" s="13">
        <v>44</v>
      </c>
    </row>
    <row r="3122" spans="6:9">
      <c r="F3122" s="12" t="s">
        <v>2064</v>
      </c>
      <c r="G3122" s="12" t="s">
        <v>157</v>
      </c>
      <c r="H3122" s="15">
        <v>11242</v>
      </c>
      <c r="I3122" s="13">
        <v>44</v>
      </c>
    </row>
    <row r="3123" spans="6:9">
      <c r="F3123" s="12" t="s">
        <v>2066</v>
      </c>
      <c r="G3123" s="12" t="s">
        <v>157</v>
      </c>
      <c r="H3123" s="15">
        <v>11122</v>
      </c>
      <c r="I3123" s="13">
        <v>44</v>
      </c>
    </row>
    <row r="3124" spans="6:9">
      <c r="F3124" s="12" t="s">
        <v>2068</v>
      </c>
      <c r="G3124" s="12" t="s">
        <v>157</v>
      </c>
      <c r="H3124" s="15">
        <v>11764</v>
      </c>
      <c r="I3124" s="13">
        <v>44</v>
      </c>
    </row>
    <row r="3125" spans="6:9">
      <c r="F3125" s="12" t="s">
        <v>804</v>
      </c>
      <c r="G3125" s="12" t="s">
        <v>159</v>
      </c>
      <c r="H3125" s="15">
        <v>102400</v>
      </c>
      <c r="I3125" s="13">
        <v>44</v>
      </c>
    </row>
    <row r="3126" spans="6:9">
      <c r="F3126" s="12" t="s">
        <v>2070</v>
      </c>
      <c r="G3126" s="12" t="s">
        <v>157</v>
      </c>
      <c r="H3126" s="15">
        <v>25099</v>
      </c>
      <c r="I3126" s="13">
        <v>44</v>
      </c>
    </row>
    <row r="3127" spans="6:9">
      <c r="F3127" s="12" t="s">
        <v>2072</v>
      </c>
      <c r="G3127" s="12" t="s">
        <v>157</v>
      </c>
      <c r="H3127" s="15">
        <v>17041</v>
      </c>
      <c r="I3127" s="13">
        <v>44</v>
      </c>
    </row>
    <row r="3128" spans="6:9">
      <c r="F3128" s="12" t="s">
        <v>4069</v>
      </c>
      <c r="G3128" s="12" t="s">
        <v>157</v>
      </c>
      <c r="H3128" s="15">
        <v>31291</v>
      </c>
      <c r="I3128" s="13">
        <v>44</v>
      </c>
    </row>
    <row r="3129" spans="6:9">
      <c r="F3129" s="12" t="s">
        <v>4070</v>
      </c>
      <c r="G3129" s="12" t="s">
        <v>159</v>
      </c>
      <c r="H3129" s="15">
        <v>40000</v>
      </c>
      <c r="I3129" s="13">
        <v>44</v>
      </c>
    </row>
    <row r="3130" spans="6:9">
      <c r="F3130" s="12" t="s">
        <v>4071</v>
      </c>
      <c r="G3130" s="12" t="s">
        <v>159</v>
      </c>
      <c r="H3130" s="15">
        <v>436900</v>
      </c>
      <c r="I3130" s="13">
        <v>44</v>
      </c>
    </row>
    <row r="3131" spans="6:9">
      <c r="F3131" s="12" t="s">
        <v>2074</v>
      </c>
      <c r="G3131" s="12" t="s">
        <v>157</v>
      </c>
      <c r="H3131" s="15">
        <v>11717</v>
      </c>
      <c r="I3131" s="13">
        <v>44</v>
      </c>
    </row>
    <row r="3132" spans="6:9">
      <c r="F3132" s="12" t="s">
        <v>2076</v>
      </c>
      <c r="G3132" s="12" t="s">
        <v>157</v>
      </c>
      <c r="H3132" s="15">
        <v>20993</v>
      </c>
      <c r="I3132" s="13">
        <v>44</v>
      </c>
    </row>
    <row r="3133" spans="6:9">
      <c r="F3133" s="12" t="s">
        <v>4072</v>
      </c>
      <c r="G3133" s="12" t="s">
        <v>159</v>
      </c>
      <c r="H3133" s="15">
        <v>1200000</v>
      </c>
      <c r="I3133" s="13">
        <v>44</v>
      </c>
    </row>
    <row r="3134" spans="6:9">
      <c r="F3134" s="12" t="s">
        <v>2078</v>
      </c>
      <c r="G3134" s="12" t="s">
        <v>157</v>
      </c>
      <c r="H3134" s="15">
        <v>23714</v>
      </c>
      <c r="I3134" s="13">
        <v>44</v>
      </c>
    </row>
    <row r="3135" spans="6:9">
      <c r="F3135" s="12" t="s">
        <v>2080</v>
      </c>
      <c r="G3135" s="12" t="s">
        <v>157</v>
      </c>
      <c r="H3135" s="15">
        <v>15023</v>
      </c>
      <c r="I3135" s="13">
        <v>44</v>
      </c>
    </row>
    <row r="3136" spans="6:9">
      <c r="F3136" s="12" t="s">
        <v>2082</v>
      </c>
      <c r="G3136" s="12" t="s">
        <v>157</v>
      </c>
      <c r="H3136" s="15">
        <v>14099</v>
      </c>
      <c r="I3136" s="13">
        <v>44</v>
      </c>
    </row>
    <row r="3137" spans="6:9">
      <c r="F3137" s="12" t="s">
        <v>2084</v>
      </c>
      <c r="G3137" s="12" t="s">
        <v>157</v>
      </c>
      <c r="H3137" s="15">
        <v>12485</v>
      </c>
      <c r="I3137" s="13">
        <v>44</v>
      </c>
    </row>
    <row r="3138" spans="6:9">
      <c r="F3138" s="12" t="s">
        <v>4073</v>
      </c>
      <c r="G3138" s="12" t="s">
        <v>157</v>
      </c>
      <c r="H3138" s="15">
        <v>11173</v>
      </c>
      <c r="I3138" s="13">
        <v>44</v>
      </c>
    </row>
    <row r="3139" spans="6:9">
      <c r="F3139" s="12" t="s">
        <v>2085</v>
      </c>
      <c r="G3139" s="12" t="s">
        <v>157</v>
      </c>
      <c r="H3139" s="15">
        <v>16030</v>
      </c>
      <c r="I3139" s="13">
        <v>44</v>
      </c>
    </row>
    <row r="3140" spans="6:9">
      <c r="F3140" s="12" t="s">
        <v>2087</v>
      </c>
      <c r="G3140" s="12" t="s">
        <v>157</v>
      </c>
      <c r="H3140" s="15">
        <v>18772</v>
      </c>
      <c r="I3140" s="13">
        <v>44</v>
      </c>
    </row>
    <row r="3141" spans="6:9">
      <c r="F3141" s="12" t="s">
        <v>4074</v>
      </c>
      <c r="G3141" s="12" t="s">
        <v>159</v>
      </c>
      <c r="H3141" s="15">
        <v>682700</v>
      </c>
      <c r="I3141" s="13">
        <v>44</v>
      </c>
    </row>
    <row r="3142" spans="6:9">
      <c r="F3142" s="12" t="s">
        <v>2089</v>
      </c>
      <c r="G3142" s="12" t="s">
        <v>157</v>
      </c>
      <c r="H3142" s="15">
        <v>12837</v>
      </c>
      <c r="I3142" s="13">
        <v>44</v>
      </c>
    </row>
    <row r="3143" spans="6:9">
      <c r="F3143" s="12" t="s">
        <v>806</v>
      </c>
      <c r="G3143" s="12" t="s">
        <v>157</v>
      </c>
      <c r="H3143" s="15">
        <v>125296</v>
      </c>
      <c r="I3143" s="13">
        <v>44</v>
      </c>
    </row>
    <row r="3144" spans="6:9">
      <c r="F3144" s="12" t="s">
        <v>2090</v>
      </c>
      <c r="G3144" s="12" t="s">
        <v>157</v>
      </c>
      <c r="H3144" s="15">
        <v>12160</v>
      </c>
      <c r="I3144" s="13">
        <v>44</v>
      </c>
    </row>
    <row r="3145" spans="6:9">
      <c r="F3145" s="12" t="s">
        <v>2092</v>
      </c>
      <c r="G3145" s="12" t="s">
        <v>157</v>
      </c>
      <c r="H3145" s="15">
        <v>12904</v>
      </c>
      <c r="I3145" s="13">
        <v>44</v>
      </c>
    </row>
    <row r="3146" spans="6:9">
      <c r="F3146" s="12" t="s">
        <v>4075</v>
      </c>
      <c r="G3146" s="12" t="s">
        <v>159</v>
      </c>
      <c r="H3146" s="15">
        <v>14900</v>
      </c>
      <c r="I3146" s="13">
        <v>44</v>
      </c>
    </row>
    <row r="3147" spans="6:9">
      <c r="F3147" s="12" t="s">
        <v>808</v>
      </c>
      <c r="G3147" s="12" t="s">
        <v>159</v>
      </c>
      <c r="H3147" s="15">
        <v>141900</v>
      </c>
      <c r="I3147" s="13">
        <v>44</v>
      </c>
    </row>
    <row r="3148" spans="6:9">
      <c r="F3148" s="12" t="s">
        <v>811</v>
      </c>
      <c r="G3148" s="12" t="s">
        <v>157</v>
      </c>
      <c r="H3148" s="15">
        <v>385025</v>
      </c>
      <c r="I3148" s="13">
        <v>44</v>
      </c>
    </row>
    <row r="3149" spans="6:9">
      <c r="F3149" s="12" t="s">
        <v>4076</v>
      </c>
      <c r="G3149" s="12" t="s">
        <v>157</v>
      </c>
      <c r="H3149" s="15">
        <v>28771</v>
      </c>
      <c r="I3149" s="13">
        <v>44</v>
      </c>
    </row>
    <row r="3150" spans="6:9">
      <c r="F3150" s="12" t="s">
        <v>4077</v>
      </c>
      <c r="G3150" s="12" t="s">
        <v>157</v>
      </c>
      <c r="H3150" s="15">
        <v>35091</v>
      </c>
      <c r="I3150" s="13">
        <v>44</v>
      </c>
    </row>
    <row r="3151" spans="6:9">
      <c r="F3151" s="12" t="s">
        <v>4078</v>
      </c>
      <c r="G3151" s="12" t="s">
        <v>159</v>
      </c>
      <c r="H3151" s="15">
        <v>785200</v>
      </c>
      <c r="I3151" s="13">
        <v>44</v>
      </c>
    </row>
    <row r="3152" spans="6:9">
      <c r="F3152" s="12" t="s">
        <v>2095</v>
      </c>
      <c r="G3152" s="12" t="s">
        <v>157</v>
      </c>
      <c r="H3152" s="15">
        <v>21306</v>
      </c>
      <c r="I3152" s="13">
        <v>44</v>
      </c>
    </row>
    <row r="3153" spans="6:9">
      <c r="F3153" s="12" t="s">
        <v>4079</v>
      </c>
      <c r="G3153" s="12" t="s">
        <v>159</v>
      </c>
      <c r="H3153" s="15">
        <v>2300000</v>
      </c>
      <c r="I3153" s="13">
        <v>44</v>
      </c>
    </row>
    <row r="3154" spans="6:9">
      <c r="F3154" s="12" t="s">
        <v>4080</v>
      </c>
      <c r="G3154" s="12" t="s">
        <v>157</v>
      </c>
      <c r="H3154" s="15">
        <v>27707</v>
      </c>
      <c r="I3154" s="13">
        <v>44</v>
      </c>
    </row>
    <row r="3155" spans="6:9">
      <c r="F3155" s="12" t="s">
        <v>814</v>
      </c>
      <c r="G3155" s="12" t="s">
        <v>157</v>
      </c>
      <c r="H3155" s="15">
        <v>239792</v>
      </c>
      <c r="I3155" s="13">
        <v>44</v>
      </c>
    </row>
    <row r="3156" spans="6:9">
      <c r="F3156" s="12" t="s">
        <v>4081</v>
      </c>
      <c r="G3156" s="12" t="s">
        <v>159</v>
      </c>
      <c r="H3156" s="15">
        <v>16500</v>
      </c>
      <c r="I3156" s="13">
        <v>44</v>
      </c>
    </row>
    <row r="3157" spans="6:9">
      <c r="F3157" s="12" t="s">
        <v>4082</v>
      </c>
      <c r="G3157" s="12" t="s">
        <v>157</v>
      </c>
      <c r="H3157" s="15">
        <v>14251</v>
      </c>
      <c r="I3157" s="13">
        <v>44</v>
      </c>
    </row>
    <row r="3158" spans="6:9">
      <c r="F3158" s="12" t="s">
        <v>816</v>
      </c>
      <c r="G3158" s="12" t="s">
        <v>157</v>
      </c>
      <c r="H3158" s="15">
        <v>157080</v>
      </c>
      <c r="I3158" s="13">
        <v>44</v>
      </c>
    </row>
    <row r="3159" spans="6:9">
      <c r="F3159" s="12" t="s">
        <v>2097</v>
      </c>
      <c r="G3159" s="12" t="s">
        <v>157</v>
      </c>
      <c r="H3159" s="15">
        <v>25432</v>
      </c>
      <c r="I3159" s="13">
        <v>44</v>
      </c>
    </row>
    <row r="3160" spans="6:9">
      <c r="F3160" s="12" t="s">
        <v>4083</v>
      </c>
      <c r="G3160" s="12" t="s">
        <v>159</v>
      </c>
      <c r="H3160" s="15">
        <v>10400</v>
      </c>
      <c r="I3160" s="13">
        <v>44</v>
      </c>
    </row>
    <row r="3161" spans="6:9">
      <c r="F3161" s="12" t="s">
        <v>4084</v>
      </c>
      <c r="G3161" s="12" t="s">
        <v>159</v>
      </c>
      <c r="H3161" s="15">
        <v>501900</v>
      </c>
      <c r="I3161" s="13">
        <v>44</v>
      </c>
    </row>
    <row r="3162" spans="6:9">
      <c r="F3162" s="12" t="s">
        <v>4085</v>
      </c>
      <c r="G3162" s="12" t="s">
        <v>159</v>
      </c>
      <c r="H3162" s="15">
        <v>371800</v>
      </c>
      <c r="I3162" s="13">
        <v>44</v>
      </c>
    </row>
    <row r="3163" spans="6:9">
      <c r="F3163" s="12" t="s">
        <v>4086</v>
      </c>
      <c r="G3163" s="12" t="s">
        <v>159</v>
      </c>
      <c r="H3163" s="15">
        <v>88800</v>
      </c>
      <c r="I3163" s="13">
        <v>44</v>
      </c>
    </row>
    <row r="3164" spans="6:9">
      <c r="F3164" s="12" t="s">
        <v>2099</v>
      </c>
      <c r="G3164" s="12" t="s">
        <v>157</v>
      </c>
      <c r="H3164" s="15">
        <v>27710</v>
      </c>
      <c r="I3164" s="13">
        <v>44</v>
      </c>
    </row>
    <row r="3165" spans="6:9">
      <c r="F3165" s="12" t="s">
        <v>2101</v>
      </c>
      <c r="G3165" s="12" t="s">
        <v>157</v>
      </c>
      <c r="H3165" s="15">
        <v>10918</v>
      </c>
      <c r="I3165" s="13">
        <v>44</v>
      </c>
    </row>
    <row r="3166" spans="6:9">
      <c r="F3166" s="12" t="s">
        <v>4087</v>
      </c>
      <c r="G3166" s="12" t="s">
        <v>159</v>
      </c>
      <c r="H3166" s="15">
        <v>94900</v>
      </c>
      <c r="I3166" s="13">
        <v>44</v>
      </c>
    </row>
    <row r="3167" spans="6:9">
      <c r="F3167" s="12" t="s">
        <v>4088</v>
      </c>
      <c r="G3167" s="12" t="s">
        <v>159</v>
      </c>
      <c r="H3167" s="15">
        <v>3200000</v>
      </c>
      <c r="I3167" s="13">
        <v>44</v>
      </c>
    </row>
    <row r="3168" spans="6:9">
      <c r="F3168" s="12" t="s">
        <v>4089</v>
      </c>
      <c r="G3168" s="12" t="s">
        <v>159</v>
      </c>
      <c r="H3168" s="15">
        <v>132400</v>
      </c>
      <c r="I3168" s="13">
        <v>44</v>
      </c>
    </row>
    <row r="3169" spans="6:9">
      <c r="F3169" s="12" t="s">
        <v>2103</v>
      </c>
      <c r="G3169" s="12" t="s">
        <v>157</v>
      </c>
      <c r="H3169" s="15">
        <v>17229</v>
      </c>
      <c r="I3169" s="13">
        <v>44</v>
      </c>
    </row>
    <row r="3170" spans="6:9">
      <c r="F3170" s="12" t="s">
        <v>4090</v>
      </c>
      <c r="G3170" s="12" t="s">
        <v>159</v>
      </c>
      <c r="H3170" s="15">
        <v>268200</v>
      </c>
      <c r="I3170" s="13">
        <v>44</v>
      </c>
    </row>
    <row r="3171" spans="6:9">
      <c r="F3171" s="12" t="s">
        <v>2105</v>
      </c>
      <c r="G3171" s="12" t="s">
        <v>157</v>
      </c>
      <c r="H3171" s="15">
        <v>11859</v>
      </c>
      <c r="I3171" s="13">
        <v>44</v>
      </c>
    </row>
    <row r="3172" spans="6:9">
      <c r="F3172" s="12" t="s">
        <v>4091</v>
      </c>
      <c r="G3172" s="12" t="s">
        <v>159</v>
      </c>
      <c r="H3172" s="15">
        <v>476400</v>
      </c>
      <c r="I3172" s="13">
        <v>44</v>
      </c>
    </row>
    <row r="3173" spans="6:9">
      <c r="F3173" s="12" t="s">
        <v>4092</v>
      </c>
      <c r="G3173" s="12" t="s">
        <v>159</v>
      </c>
      <c r="H3173" s="15">
        <v>29000</v>
      </c>
      <c r="I3173" s="13">
        <v>44</v>
      </c>
    </row>
    <row r="3174" spans="6:9">
      <c r="F3174" s="12" t="s">
        <v>4093</v>
      </c>
      <c r="G3174" s="12" t="s">
        <v>157</v>
      </c>
      <c r="H3174" s="15">
        <v>17271</v>
      </c>
      <c r="I3174" s="13">
        <v>44</v>
      </c>
    </row>
    <row r="3175" spans="6:9">
      <c r="F3175" s="12" t="s">
        <v>2107</v>
      </c>
      <c r="G3175" s="12" t="s">
        <v>157</v>
      </c>
      <c r="H3175" s="15">
        <v>13357</v>
      </c>
      <c r="I3175" s="13">
        <v>44</v>
      </c>
    </row>
    <row r="3176" spans="6:9">
      <c r="F3176" s="12" t="s">
        <v>4094</v>
      </c>
      <c r="G3176" s="12" t="s">
        <v>159</v>
      </c>
      <c r="H3176" s="15">
        <v>183600</v>
      </c>
      <c r="I3176" s="13">
        <v>44</v>
      </c>
    </row>
    <row r="3177" spans="6:9">
      <c r="F3177" s="12" t="s">
        <v>819</v>
      </c>
      <c r="G3177" s="12" t="s">
        <v>157</v>
      </c>
      <c r="H3177" s="15">
        <v>139678</v>
      </c>
      <c r="I3177" s="13">
        <v>44</v>
      </c>
    </row>
    <row r="3178" spans="6:9">
      <c r="F3178" s="12" t="s">
        <v>2109</v>
      </c>
      <c r="G3178" s="12" t="s">
        <v>157</v>
      </c>
      <c r="H3178" s="15">
        <v>17594</v>
      </c>
      <c r="I3178" s="13">
        <v>44</v>
      </c>
    </row>
    <row r="3179" spans="6:9">
      <c r="F3179" s="12" t="s">
        <v>2111</v>
      </c>
      <c r="G3179" s="12" t="s">
        <v>157</v>
      </c>
      <c r="H3179" s="15">
        <v>25717</v>
      </c>
      <c r="I3179" s="13">
        <v>44</v>
      </c>
    </row>
    <row r="3180" spans="6:9">
      <c r="F3180" s="12" t="s">
        <v>822</v>
      </c>
      <c r="G3180" s="12" t="s">
        <v>159</v>
      </c>
      <c r="H3180" s="15">
        <v>127600</v>
      </c>
      <c r="I3180" s="13">
        <v>44</v>
      </c>
    </row>
    <row r="3181" spans="6:9">
      <c r="F3181" s="12" t="s">
        <v>2113</v>
      </c>
      <c r="G3181" s="12" t="s">
        <v>157</v>
      </c>
      <c r="H3181" s="15">
        <v>25688</v>
      </c>
      <c r="I3181" s="13">
        <v>44</v>
      </c>
    </row>
    <row r="3182" spans="6:9">
      <c r="F3182" s="12" t="s">
        <v>2483</v>
      </c>
      <c r="G3182" s="12" t="s">
        <v>157</v>
      </c>
      <c r="H3182" s="15">
        <v>20424</v>
      </c>
      <c r="I3182" s="13">
        <v>44</v>
      </c>
    </row>
    <row r="3183" spans="6:9">
      <c r="F3183" s="12" t="s">
        <v>4095</v>
      </c>
      <c r="G3183" s="12" t="s">
        <v>159</v>
      </c>
      <c r="H3183" s="15">
        <v>116800</v>
      </c>
      <c r="I3183" s="13">
        <v>44</v>
      </c>
    </row>
    <row r="3184" spans="6:9">
      <c r="F3184" s="12" t="s">
        <v>1345</v>
      </c>
      <c r="G3184" s="12" t="s">
        <v>157</v>
      </c>
      <c r="H3184" s="15">
        <v>544484</v>
      </c>
      <c r="I3184" s="13">
        <v>44</v>
      </c>
    </row>
    <row r="3185" spans="6:9">
      <c r="F3185" s="12" t="s">
        <v>4096</v>
      </c>
      <c r="G3185" s="12" t="s">
        <v>159</v>
      </c>
      <c r="H3185" s="15">
        <v>15800</v>
      </c>
      <c r="I3185" s="13">
        <v>44</v>
      </c>
    </row>
    <row r="3186" spans="6:9">
      <c r="F3186" s="12" t="s">
        <v>4097</v>
      </c>
      <c r="G3186" s="12" t="s">
        <v>159</v>
      </c>
      <c r="H3186" s="15">
        <v>25400</v>
      </c>
      <c r="I3186" s="13">
        <v>44</v>
      </c>
    </row>
    <row r="3187" spans="6:9">
      <c r="F3187" s="12" t="s">
        <v>2116</v>
      </c>
      <c r="G3187" s="12" t="s">
        <v>157</v>
      </c>
      <c r="H3187" s="15">
        <v>20306</v>
      </c>
      <c r="I3187" s="13">
        <v>44</v>
      </c>
    </row>
    <row r="3188" spans="6:9">
      <c r="F3188" s="12" t="s">
        <v>4098</v>
      </c>
      <c r="G3188" s="12" t="s">
        <v>159</v>
      </c>
      <c r="H3188" s="15">
        <v>429100</v>
      </c>
      <c r="I3188" s="13">
        <v>44</v>
      </c>
    </row>
    <row r="3189" spans="6:9">
      <c r="F3189" s="12" t="s">
        <v>4099</v>
      </c>
      <c r="G3189" s="12" t="s">
        <v>159</v>
      </c>
      <c r="H3189" s="15">
        <v>8900000</v>
      </c>
      <c r="I3189" s="13">
        <v>44</v>
      </c>
    </row>
    <row r="3190" spans="6:9">
      <c r="F3190" s="12" t="s">
        <v>4100</v>
      </c>
      <c r="G3190" s="12" t="s">
        <v>159</v>
      </c>
      <c r="H3190" s="15">
        <v>31300</v>
      </c>
      <c r="I3190" s="13">
        <v>44</v>
      </c>
    </row>
    <row r="3191" spans="6:9">
      <c r="F3191" s="12" t="s">
        <v>4101</v>
      </c>
      <c r="G3191" s="12" t="s">
        <v>159</v>
      </c>
      <c r="H3191" s="15">
        <v>202600</v>
      </c>
      <c r="I3191" s="13">
        <v>44</v>
      </c>
    </row>
    <row r="3192" spans="6:9">
      <c r="F3192" s="12" t="s">
        <v>4102</v>
      </c>
      <c r="G3192" s="12" t="s">
        <v>159</v>
      </c>
      <c r="H3192" s="15">
        <v>74100</v>
      </c>
      <c r="I3192" s="13">
        <v>44</v>
      </c>
    </row>
    <row r="3193" spans="6:9">
      <c r="F3193" s="12" t="s">
        <v>2118</v>
      </c>
      <c r="G3193" s="12" t="s">
        <v>157</v>
      </c>
      <c r="H3193" s="15">
        <v>22476</v>
      </c>
      <c r="I3193" s="13">
        <v>44</v>
      </c>
    </row>
    <row r="3194" spans="6:9">
      <c r="F3194" s="12" t="s">
        <v>470</v>
      </c>
      <c r="G3194" s="12" t="s">
        <v>157</v>
      </c>
      <c r="H3194" s="15">
        <v>12163586</v>
      </c>
      <c r="I3194" s="13">
        <v>44</v>
      </c>
    </row>
    <row r="3195" spans="6:9">
      <c r="F3195" s="12" t="s">
        <v>2120</v>
      </c>
      <c r="G3195" s="12" t="s">
        <v>157</v>
      </c>
      <c r="H3195" s="15">
        <v>20714</v>
      </c>
      <c r="I3195" s="13">
        <v>44</v>
      </c>
    </row>
    <row r="3196" spans="6:9">
      <c r="F3196" s="12" t="s">
        <v>4103</v>
      </c>
      <c r="G3196" s="12" t="s">
        <v>159</v>
      </c>
      <c r="H3196" s="15">
        <v>1500000</v>
      </c>
      <c r="I3196" s="13">
        <v>44</v>
      </c>
    </row>
    <row r="3197" spans="6:9">
      <c r="F3197" s="12" t="s">
        <v>4104</v>
      </c>
      <c r="G3197" s="12" t="s">
        <v>159</v>
      </c>
      <c r="H3197" s="15">
        <v>1900000</v>
      </c>
      <c r="I3197" s="13">
        <v>44</v>
      </c>
    </row>
    <row r="3198" spans="6:9">
      <c r="F3198" s="12" t="s">
        <v>2125</v>
      </c>
      <c r="G3198" s="12" t="s">
        <v>157</v>
      </c>
      <c r="H3198" s="15">
        <v>11080</v>
      </c>
      <c r="I3198" s="13">
        <v>44</v>
      </c>
    </row>
    <row r="3199" spans="6:9">
      <c r="F3199" s="12" t="s">
        <v>2127</v>
      </c>
      <c r="G3199" s="12" t="s">
        <v>157</v>
      </c>
      <c r="H3199" s="15">
        <v>14159</v>
      </c>
      <c r="I3199" s="13">
        <v>44</v>
      </c>
    </row>
    <row r="3200" spans="6:9">
      <c r="F3200" s="12" t="s">
        <v>2129</v>
      </c>
      <c r="G3200" s="12" t="s">
        <v>157</v>
      </c>
      <c r="H3200" s="15">
        <v>28424</v>
      </c>
      <c r="I3200" s="13">
        <v>44</v>
      </c>
    </row>
    <row r="3201" spans="6:9">
      <c r="F3201" s="12" t="s">
        <v>2131</v>
      </c>
      <c r="G3201" s="12" t="s">
        <v>157</v>
      </c>
      <c r="H3201" s="15">
        <v>32500</v>
      </c>
      <c r="I3201" s="13">
        <v>44</v>
      </c>
    </row>
    <row r="3202" spans="6:9">
      <c r="F3202" s="12" t="s">
        <v>2132</v>
      </c>
      <c r="G3202" s="12" t="s">
        <v>157</v>
      </c>
      <c r="H3202" s="15">
        <v>21853</v>
      </c>
      <c r="I3202" s="13">
        <v>44</v>
      </c>
    </row>
    <row r="3203" spans="6:9">
      <c r="F3203" s="12" t="s">
        <v>2134</v>
      </c>
      <c r="G3203" s="12" t="s">
        <v>157</v>
      </c>
      <c r="H3203" s="15">
        <v>11625</v>
      </c>
      <c r="I3203" s="13">
        <v>44</v>
      </c>
    </row>
    <row r="3204" spans="6:9">
      <c r="F3204" s="12" t="s">
        <v>2138</v>
      </c>
      <c r="G3204" s="12" t="s">
        <v>157</v>
      </c>
      <c r="H3204" s="15">
        <v>21948</v>
      </c>
      <c r="I3204" s="13">
        <v>44</v>
      </c>
    </row>
    <row r="3205" spans="6:9">
      <c r="F3205" s="12" t="s">
        <v>2140</v>
      </c>
      <c r="G3205" s="12" t="s">
        <v>157</v>
      </c>
      <c r="H3205" s="15">
        <v>10038</v>
      </c>
      <c r="I3205" s="13">
        <v>44</v>
      </c>
    </row>
    <row r="3206" spans="6:9">
      <c r="F3206" s="12" t="s">
        <v>2142</v>
      </c>
      <c r="G3206" s="12" t="s">
        <v>157</v>
      </c>
      <c r="H3206" s="15">
        <v>27765</v>
      </c>
      <c r="I3206" s="13">
        <v>44</v>
      </c>
    </row>
    <row r="3207" spans="6:9">
      <c r="F3207" s="12" t="s">
        <v>4105</v>
      </c>
      <c r="G3207" s="12" t="s">
        <v>157</v>
      </c>
      <c r="H3207" s="15">
        <v>97566</v>
      </c>
      <c r="I3207" s="13">
        <v>44</v>
      </c>
    </row>
    <row r="3208" spans="6:9">
      <c r="F3208" s="12" t="s">
        <v>4106</v>
      </c>
      <c r="G3208" s="12" t="s">
        <v>159</v>
      </c>
      <c r="H3208" s="15">
        <v>18100</v>
      </c>
      <c r="I3208" s="13">
        <v>44</v>
      </c>
    </row>
    <row r="3209" spans="6:9">
      <c r="F3209" s="12" t="s">
        <v>4107</v>
      </c>
      <c r="G3209" s="12" t="s">
        <v>159</v>
      </c>
      <c r="H3209" s="15">
        <v>13800</v>
      </c>
      <c r="I3209" s="13">
        <v>44</v>
      </c>
    </row>
    <row r="3210" spans="6:9">
      <c r="F3210" s="12" t="s">
        <v>2144</v>
      </c>
      <c r="G3210" s="12" t="s">
        <v>157</v>
      </c>
      <c r="H3210" s="15">
        <v>12202</v>
      </c>
      <c r="I3210" s="13">
        <v>44</v>
      </c>
    </row>
    <row r="3211" spans="6:9">
      <c r="F3211" s="12" t="s">
        <v>2146</v>
      </c>
      <c r="G3211" s="12" t="s">
        <v>157</v>
      </c>
      <c r="H3211" s="15">
        <v>21653</v>
      </c>
      <c r="I3211" s="13">
        <v>44</v>
      </c>
    </row>
    <row r="3212" spans="6:9">
      <c r="F3212" s="12" t="s">
        <v>2148</v>
      </c>
      <c r="G3212" s="12" t="s">
        <v>157</v>
      </c>
      <c r="H3212" s="15">
        <v>16044</v>
      </c>
      <c r="I3212" s="13">
        <v>44</v>
      </c>
    </row>
    <row r="3213" spans="6:9">
      <c r="F3213" s="12" t="s">
        <v>2152</v>
      </c>
      <c r="G3213" s="12" t="s">
        <v>157</v>
      </c>
      <c r="H3213" s="15">
        <v>10282</v>
      </c>
      <c r="I3213" s="13">
        <v>44</v>
      </c>
    </row>
    <row r="3214" spans="6:9">
      <c r="F3214" s="12" t="s">
        <v>2154</v>
      </c>
      <c r="G3214" s="12" t="s">
        <v>157</v>
      </c>
      <c r="H3214" s="15">
        <v>11076</v>
      </c>
      <c r="I3214" s="13">
        <v>44</v>
      </c>
    </row>
    <row r="3215" spans="6:9">
      <c r="F3215" s="12" t="s">
        <v>2156</v>
      </c>
      <c r="G3215" s="12" t="s">
        <v>157</v>
      </c>
      <c r="H3215" s="15">
        <v>21706</v>
      </c>
      <c r="I3215" s="13">
        <v>44</v>
      </c>
    </row>
    <row r="3216" spans="6:9">
      <c r="F3216" s="12" t="s">
        <v>2158</v>
      </c>
      <c r="G3216" s="12" t="s">
        <v>157</v>
      </c>
      <c r="H3216" s="15">
        <v>15095</v>
      </c>
      <c r="I3216" s="13">
        <v>44</v>
      </c>
    </row>
    <row r="3217" spans="6:9">
      <c r="F3217" s="12" t="s">
        <v>4108</v>
      </c>
      <c r="G3217" s="12" t="s">
        <v>159</v>
      </c>
      <c r="H3217" s="15">
        <v>6700000</v>
      </c>
      <c r="I3217" s="13">
        <v>44</v>
      </c>
    </row>
    <row r="3218" spans="6:9">
      <c r="F3218" s="12" t="s">
        <v>4109</v>
      </c>
      <c r="G3218" s="12" t="s">
        <v>159</v>
      </c>
      <c r="H3218" s="15">
        <v>251800</v>
      </c>
      <c r="I3218" s="13">
        <v>44</v>
      </c>
    </row>
    <row r="3219" spans="6:9">
      <c r="F3219" s="12" t="s">
        <v>2160</v>
      </c>
      <c r="G3219" s="12" t="s">
        <v>157</v>
      </c>
      <c r="H3219" s="15">
        <v>10160</v>
      </c>
      <c r="I3219" s="13">
        <v>44</v>
      </c>
    </row>
    <row r="3220" spans="6:9">
      <c r="F3220" s="12" t="s">
        <v>2162</v>
      </c>
      <c r="G3220" s="12" t="s">
        <v>157</v>
      </c>
      <c r="H3220" s="15">
        <v>12638</v>
      </c>
      <c r="I3220" s="13">
        <v>44</v>
      </c>
    </row>
    <row r="3221" spans="6:9">
      <c r="F3221" s="12" t="s">
        <v>2164</v>
      </c>
      <c r="G3221" s="12" t="s">
        <v>157</v>
      </c>
      <c r="H3221" s="15">
        <v>12682</v>
      </c>
      <c r="I3221" s="13">
        <v>44</v>
      </c>
    </row>
    <row r="3222" spans="6:9">
      <c r="F3222" s="12" t="s">
        <v>2165</v>
      </c>
      <c r="G3222" s="12" t="s">
        <v>157</v>
      </c>
      <c r="H3222" s="15">
        <v>12198</v>
      </c>
      <c r="I3222" s="13">
        <v>44</v>
      </c>
    </row>
    <row r="3223" spans="6:9">
      <c r="F3223" s="12" t="s">
        <v>2167</v>
      </c>
      <c r="G3223" s="12" t="s">
        <v>157</v>
      </c>
      <c r="H3223" s="15">
        <v>12945</v>
      </c>
      <c r="I3223" s="13">
        <v>44</v>
      </c>
    </row>
    <row r="3224" spans="6:9">
      <c r="F3224" s="12" t="s">
        <v>4110</v>
      </c>
      <c r="G3224" s="12" t="s">
        <v>159</v>
      </c>
      <c r="H3224" s="15">
        <v>15800</v>
      </c>
      <c r="I3224" s="13">
        <v>44</v>
      </c>
    </row>
    <row r="3225" spans="6:9">
      <c r="F3225" s="12" t="s">
        <v>2169</v>
      </c>
      <c r="G3225" s="12" t="s">
        <v>157</v>
      </c>
      <c r="H3225" s="15">
        <v>12490</v>
      </c>
      <c r="I3225" s="13">
        <v>44</v>
      </c>
    </row>
    <row r="3226" spans="6:9">
      <c r="F3226" s="12" t="s">
        <v>4111</v>
      </c>
      <c r="G3226" s="12" t="s">
        <v>159</v>
      </c>
      <c r="H3226" s="15">
        <v>102700</v>
      </c>
      <c r="I3226" s="13">
        <v>44</v>
      </c>
    </row>
    <row r="3227" spans="6:9">
      <c r="F3227" s="12" t="s">
        <v>2171</v>
      </c>
      <c r="G3227" s="12" t="s">
        <v>157</v>
      </c>
      <c r="H3227" s="15">
        <v>16507</v>
      </c>
      <c r="I3227" s="13">
        <v>44</v>
      </c>
    </row>
    <row r="3228" spans="6:9">
      <c r="F3228" s="12" t="s">
        <v>2173</v>
      </c>
      <c r="G3228" s="12" t="s">
        <v>157</v>
      </c>
      <c r="H3228" s="15">
        <v>12199</v>
      </c>
      <c r="I3228" s="13">
        <v>44</v>
      </c>
    </row>
    <row r="3229" spans="6:9">
      <c r="F3229" s="12" t="s">
        <v>827</v>
      </c>
      <c r="G3229" s="12" t="s">
        <v>157</v>
      </c>
      <c r="H3229" s="15">
        <v>104924</v>
      </c>
      <c r="I3229" s="13">
        <v>44</v>
      </c>
    </row>
    <row r="3230" spans="6:9">
      <c r="F3230" s="12" t="s">
        <v>2174</v>
      </c>
      <c r="G3230" s="12" t="s">
        <v>157</v>
      </c>
      <c r="H3230" s="15">
        <v>23989</v>
      </c>
      <c r="I3230" s="13">
        <v>44</v>
      </c>
    </row>
    <row r="3231" spans="6:9">
      <c r="F3231" s="12" t="s">
        <v>1350</v>
      </c>
      <c r="G3231" s="12" t="s">
        <v>159</v>
      </c>
      <c r="H3231" s="15">
        <v>167800</v>
      </c>
      <c r="I3231" s="13">
        <v>44</v>
      </c>
    </row>
    <row r="3232" spans="6:9">
      <c r="F3232" s="12" t="s">
        <v>4112</v>
      </c>
      <c r="G3232" s="12" t="s">
        <v>159</v>
      </c>
      <c r="H3232" s="15">
        <v>27400</v>
      </c>
      <c r="I3232" s="13">
        <v>44</v>
      </c>
    </row>
    <row r="3233" spans="6:9">
      <c r="F3233" s="12" t="s">
        <v>4113</v>
      </c>
      <c r="G3233" s="12" t="s">
        <v>159</v>
      </c>
      <c r="H3233" s="15">
        <v>75800</v>
      </c>
      <c r="I3233" s="13">
        <v>44</v>
      </c>
    </row>
    <row r="3234" spans="6:9">
      <c r="F3234" s="12" t="s">
        <v>4114</v>
      </c>
      <c r="G3234" s="12" t="s">
        <v>159</v>
      </c>
      <c r="H3234" s="15">
        <v>10100</v>
      </c>
      <c r="I3234" s="13">
        <v>44</v>
      </c>
    </row>
    <row r="3235" spans="6:9">
      <c r="F3235" s="12" t="s">
        <v>4115</v>
      </c>
      <c r="G3235" s="12" t="s">
        <v>159</v>
      </c>
      <c r="H3235" s="15">
        <v>166700</v>
      </c>
      <c r="I3235" s="13">
        <v>44</v>
      </c>
    </row>
    <row r="3236" spans="6:9">
      <c r="F3236" s="12" t="s">
        <v>2178</v>
      </c>
      <c r="G3236" s="12" t="s">
        <v>157</v>
      </c>
      <c r="H3236" s="15">
        <v>13347</v>
      </c>
      <c r="I3236" s="13">
        <v>44</v>
      </c>
    </row>
    <row r="3237" spans="6:9">
      <c r="F3237" s="12" t="s">
        <v>2180</v>
      </c>
      <c r="G3237" s="12" t="s">
        <v>157</v>
      </c>
      <c r="H3237" s="15">
        <v>30110</v>
      </c>
      <c r="I3237" s="13">
        <v>44</v>
      </c>
    </row>
    <row r="3238" spans="6:9">
      <c r="F3238" s="12" t="s">
        <v>2182</v>
      </c>
      <c r="G3238" s="12" t="s">
        <v>157</v>
      </c>
      <c r="H3238" s="15">
        <v>23999</v>
      </c>
      <c r="I3238" s="13">
        <v>44</v>
      </c>
    </row>
    <row r="3239" spans="6:9">
      <c r="F3239" s="12" t="s">
        <v>2184</v>
      </c>
      <c r="G3239" s="12" t="s">
        <v>157</v>
      </c>
      <c r="H3239" s="15">
        <v>31994</v>
      </c>
      <c r="I3239" s="13">
        <v>44</v>
      </c>
    </row>
    <row r="3240" spans="6:9">
      <c r="F3240" s="12" t="s">
        <v>4116</v>
      </c>
      <c r="G3240" s="12" t="s">
        <v>159</v>
      </c>
      <c r="H3240" s="15">
        <v>19000</v>
      </c>
      <c r="I3240" s="13">
        <v>44</v>
      </c>
    </row>
    <row r="3241" spans="6:9">
      <c r="F3241" s="12" t="s">
        <v>2185</v>
      </c>
      <c r="G3241" s="12" t="s">
        <v>157</v>
      </c>
      <c r="H3241" s="15">
        <v>24927</v>
      </c>
      <c r="I3241" s="13">
        <v>44</v>
      </c>
    </row>
    <row r="3242" spans="6:9">
      <c r="F3242" s="12" t="s">
        <v>4117</v>
      </c>
      <c r="G3242" s="12" t="s">
        <v>159</v>
      </c>
      <c r="H3242" s="15">
        <v>10200</v>
      </c>
      <c r="I3242" s="13">
        <v>44</v>
      </c>
    </row>
    <row r="3243" spans="6:9">
      <c r="F3243" s="12" t="s">
        <v>4118</v>
      </c>
      <c r="G3243" s="12" t="s">
        <v>159</v>
      </c>
      <c r="H3243" s="15">
        <v>1400000</v>
      </c>
      <c r="I3243" s="13">
        <v>44</v>
      </c>
    </row>
    <row r="3244" spans="6:9">
      <c r="F3244" s="12" t="s">
        <v>4119</v>
      </c>
      <c r="G3244" s="12" t="s">
        <v>159</v>
      </c>
      <c r="H3244" s="15">
        <v>29900</v>
      </c>
      <c r="I3244" s="13">
        <v>44</v>
      </c>
    </row>
    <row r="3245" spans="6:9">
      <c r="F3245" s="12" t="s">
        <v>2189</v>
      </c>
      <c r="G3245" s="12" t="s">
        <v>157</v>
      </c>
      <c r="H3245" s="15">
        <v>30045</v>
      </c>
      <c r="I3245" s="13">
        <v>44</v>
      </c>
    </row>
    <row r="3246" spans="6:9">
      <c r="F3246" s="12" t="s">
        <v>2190</v>
      </c>
      <c r="G3246" s="12" t="s">
        <v>157</v>
      </c>
      <c r="H3246" s="15">
        <v>14851</v>
      </c>
      <c r="I3246" s="13">
        <v>44</v>
      </c>
    </row>
    <row r="3247" spans="6:9">
      <c r="F3247" s="12" t="s">
        <v>2192</v>
      </c>
      <c r="G3247" s="12" t="s">
        <v>157</v>
      </c>
      <c r="H3247" s="15">
        <v>20647</v>
      </c>
      <c r="I3247" s="13">
        <v>44</v>
      </c>
    </row>
    <row r="3248" spans="6:9">
      <c r="F3248" s="12" t="s">
        <v>2193</v>
      </c>
      <c r="G3248" s="12" t="s">
        <v>157</v>
      </c>
      <c r="H3248" s="15">
        <v>29303</v>
      </c>
      <c r="I3248" s="13">
        <v>44</v>
      </c>
    </row>
    <row r="3249" spans="6:9">
      <c r="F3249" s="12" t="s">
        <v>1353</v>
      </c>
      <c r="G3249" s="12" t="s">
        <v>157</v>
      </c>
      <c r="H3249" s="15">
        <v>129309</v>
      </c>
      <c r="I3249" s="13">
        <v>44</v>
      </c>
    </row>
    <row r="3250" spans="6:9">
      <c r="F3250" s="12" t="s">
        <v>4120</v>
      </c>
      <c r="G3250" s="12" t="s">
        <v>159</v>
      </c>
      <c r="H3250" s="15">
        <v>69500</v>
      </c>
      <c r="I3250" s="13">
        <v>44</v>
      </c>
    </row>
    <row r="3251" spans="6:9">
      <c r="F3251" s="12" t="s">
        <v>2196</v>
      </c>
      <c r="G3251" s="12" t="s">
        <v>157</v>
      </c>
      <c r="H3251" s="15">
        <v>31783</v>
      </c>
      <c r="I3251" s="13">
        <v>44</v>
      </c>
    </row>
    <row r="3252" spans="6:9">
      <c r="F3252" s="12" t="s">
        <v>4121</v>
      </c>
      <c r="G3252" s="12" t="s">
        <v>159</v>
      </c>
      <c r="H3252" s="15">
        <v>5100000</v>
      </c>
      <c r="I3252" s="13">
        <v>44</v>
      </c>
    </row>
    <row r="3253" spans="6:9">
      <c r="F3253" s="12" t="s">
        <v>2197</v>
      </c>
      <c r="G3253" s="12" t="s">
        <v>157</v>
      </c>
      <c r="H3253" s="15">
        <v>18718</v>
      </c>
      <c r="I3253" s="13">
        <v>44</v>
      </c>
    </row>
    <row r="3254" spans="6:9">
      <c r="F3254" s="12" t="s">
        <v>4122</v>
      </c>
      <c r="G3254" s="12" t="s">
        <v>159</v>
      </c>
      <c r="H3254" s="15">
        <v>1200000</v>
      </c>
      <c r="I3254" s="13">
        <v>44</v>
      </c>
    </row>
    <row r="3255" spans="6:9">
      <c r="F3255" s="12" t="s">
        <v>2200</v>
      </c>
      <c r="G3255" s="12" t="s">
        <v>157</v>
      </c>
      <c r="H3255" s="15">
        <v>26143</v>
      </c>
      <c r="I3255" s="13">
        <v>44</v>
      </c>
    </row>
    <row r="3256" spans="6:9">
      <c r="F3256" s="12" t="s">
        <v>2204</v>
      </c>
      <c r="G3256" s="12" t="s">
        <v>157</v>
      </c>
      <c r="H3256" s="15">
        <v>20154</v>
      </c>
      <c r="I3256" s="13">
        <v>44</v>
      </c>
    </row>
    <row r="3257" spans="6:9">
      <c r="F3257" s="12" t="s">
        <v>2206</v>
      </c>
      <c r="G3257" s="12" t="s">
        <v>157</v>
      </c>
      <c r="H3257" s="15">
        <v>23572</v>
      </c>
      <c r="I3257" s="13">
        <v>44</v>
      </c>
    </row>
    <row r="3258" spans="6:9">
      <c r="F3258" s="12" t="s">
        <v>4123</v>
      </c>
      <c r="G3258" s="12" t="s">
        <v>159</v>
      </c>
      <c r="H3258" s="15">
        <v>479100</v>
      </c>
      <c r="I3258" s="13">
        <v>44</v>
      </c>
    </row>
    <row r="3259" spans="6:9">
      <c r="F3259" s="12" t="s">
        <v>2208</v>
      </c>
      <c r="G3259" s="12" t="s">
        <v>157</v>
      </c>
      <c r="H3259" s="15">
        <v>13750</v>
      </c>
      <c r="I3259" s="13">
        <v>44</v>
      </c>
    </row>
    <row r="3260" spans="6:9">
      <c r="F3260" s="12" t="s">
        <v>4124</v>
      </c>
      <c r="G3260" s="12" t="s">
        <v>157</v>
      </c>
      <c r="H3260" s="15">
        <v>17789</v>
      </c>
      <c r="I3260" s="13">
        <v>44</v>
      </c>
    </row>
    <row r="3261" spans="6:9">
      <c r="F3261" s="12" t="s">
        <v>4125</v>
      </c>
      <c r="G3261" s="12" t="s">
        <v>159</v>
      </c>
      <c r="H3261" s="15">
        <v>32600</v>
      </c>
      <c r="I3261" s="13">
        <v>44</v>
      </c>
    </row>
    <row r="3262" spans="6:9">
      <c r="F3262" s="12" t="s">
        <v>2210</v>
      </c>
      <c r="G3262" s="12" t="s">
        <v>157</v>
      </c>
      <c r="H3262" s="15">
        <v>22479</v>
      </c>
      <c r="I3262" s="13">
        <v>44</v>
      </c>
    </row>
    <row r="3263" spans="6:9">
      <c r="F3263" s="12" t="s">
        <v>832</v>
      </c>
      <c r="G3263" s="12" t="s">
        <v>157</v>
      </c>
      <c r="H3263" s="15">
        <v>1183264</v>
      </c>
      <c r="I3263" s="13">
        <v>44</v>
      </c>
    </row>
    <row r="3264" spans="6:9">
      <c r="F3264" s="12" t="s">
        <v>2212</v>
      </c>
      <c r="G3264" s="12" t="s">
        <v>157</v>
      </c>
      <c r="H3264" s="15">
        <v>37943</v>
      </c>
      <c r="I3264" s="13">
        <v>44</v>
      </c>
    </row>
    <row r="3265" spans="6:9">
      <c r="F3265" s="12" t="s">
        <v>4126</v>
      </c>
      <c r="G3265" s="12" t="s">
        <v>159</v>
      </c>
      <c r="H3265" s="15">
        <v>49500</v>
      </c>
      <c r="I3265" s="13">
        <v>44</v>
      </c>
    </row>
    <row r="3266" spans="6:9">
      <c r="F3266" s="12" t="s">
        <v>4127</v>
      </c>
      <c r="G3266" s="12" t="s">
        <v>159</v>
      </c>
      <c r="H3266" s="15">
        <v>618700</v>
      </c>
      <c r="I3266" s="13">
        <v>44</v>
      </c>
    </row>
    <row r="3267" spans="6:9">
      <c r="F3267" s="12" t="s">
        <v>4128</v>
      </c>
      <c r="G3267" s="12" t="s">
        <v>159</v>
      </c>
      <c r="H3267" s="15">
        <v>17700</v>
      </c>
      <c r="I3267" s="13">
        <v>44</v>
      </c>
    </row>
    <row r="3268" spans="6:9">
      <c r="F3268" s="12" t="s">
        <v>4129</v>
      </c>
      <c r="G3268" s="12" t="s">
        <v>159</v>
      </c>
      <c r="H3268" s="15">
        <v>29200</v>
      </c>
      <c r="I3268" s="13">
        <v>44</v>
      </c>
    </row>
    <row r="3269" spans="6:9">
      <c r="F3269" s="12" t="s">
        <v>2213</v>
      </c>
      <c r="G3269" s="12" t="s">
        <v>157</v>
      </c>
      <c r="H3269" s="15">
        <v>14056</v>
      </c>
      <c r="I3269" s="13">
        <v>44</v>
      </c>
    </row>
    <row r="3270" spans="6:9">
      <c r="F3270" s="12" t="s">
        <v>4130</v>
      </c>
      <c r="G3270" s="12" t="s">
        <v>159</v>
      </c>
      <c r="H3270" s="15">
        <v>10800</v>
      </c>
      <c r="I3270" s="13">
        <v>44</v>
      </c>
    </row>
    <row r="3271" spans="6:9">
      <c r="F3271" s="12" t="s">
        <v>2487</v>
      </c>
      <c r="G3271" s="12" t="s">
        <v>157</v>
      </c>
      <c r="H3271" s="15">
        <v>32020</v>
      </c>
      <c r="I3271" s="13">
        <v>44</v>
      </c>
    </row>
    <row r="3272" spans="6:9">
      <c r="F3272" s="12" t="s">
        <v>2214</v>
      </c>
      <c r="G3272" s="12" t="s">
        <v>157</v>
      </c>
      <c r="H3272" s="15">
        <v>11165</v>
      </c>
      <c r="I3272" s="13">
        <v>44</v>
      </c>
    </row>
    <row r="3273" spans="6:9">
      <c r="F3273" s="12" t="s">
        <v>2216</v>
      </c>
      <c r="G3273" s="12" t="s">
        <v>157</v>
      </c>
      <c r="H3273" s="15">
        <v>23138</v>
      </c>
      <c r="I3273" s="13">
        <v>44</v>
      </c>
    </row>
    <row r="3274" spans="6:9">
      <c r="F3274" s="12" t="s">
        <v>4131</v>
      </c>
      <c r="G3274" s="12" t="s">
        <v>157</v>
      </c>
      <c r="H3274" s="15">
        <v>10134</v>
      </c>
      <c r="I3274" s="13">
        <v>44</v>
      </c>
    </row>
    <row r="3275" spans="6:9">
      <c r="F3275" s="12" t="s">
        <v>4132</v>
      </c>
      <c r="G3275" s="12" t="s">
        <v>159</v>
      </c>
      <c r="H3275" s="15">
        <v>10800</v>
      </c>
      <c r="I3275" s="13">
        <v>44</v>
      </c>
    </row>
    <row r="3276" spans="6:9">
      <c r="F3276" s="12" t="s">
        <v>2217</v>
      </c>
      <c r="G3276" s="12" t="s">
        <v>157</v>
      </c>
      <c r="H3276" s="15">
        <v>15962</v>
      </c>
      <c r="I3276" s="13">
        <v>44</v>
      </c>
    </row>
    <row r="3277" spans="6:9">
      <c r="F3277" s="12" t="s">
        <v>2221</v>
      </c>
      <c r="G3277" s="12" t="s">
        <v>157</v>
      </c>
      <c r="H3277" s="15">
        <v>22995</v>
      </c>
      <c r="I3277" s="13">
        <v>44</v>
      </c>
    </row>
    <row r="3278" spans="6:9">
      <c r="F3278" s="12" t="s">
        <v>2222</v>
      </c>
      <c r="G3278" s="12" t="s">
        <v>157</v>
      </c>
      <c r="H3278" s="15">
        <v>97210</v>
      </c>
      <c r="I3278" s="13">
        <v>44</v>
      </c>
    </row>
    <row r="3279" spans="6:9">
      <c r="F3279" s="12" t="s">
        <v>2224</v>
      </c>
      <c r="G3279" s="12" t="s">
        <v>157</v>
      </c>
      <c r="H3279" s="15">
        <v>12800</v>
      </c>
      <c r="I3279" s="13">
        <v>44</v>
      </c>
    </row>
    <row r="3280" spans="6:9">
      <c r="F3280" s="12" t="s">
        <v>2226</v>
      </c>
      <c r="G3280" s="12" t="s">
        <v>157</v>
      </c>
      <c r="H3280" s="15">
        <v>18343</v>
      </c>
      <c r="I3280" s="13">
        <v>44</v>
      </c>
    </row>
    <row r="3281" spans="6:9">
      <c r="F3281" s="12" t="s">
        <v>4133</v>
      </c>
      <c r="G3281" s="12" t="s">
        <v>157</v>
      </c>
      <c r="H3281" s="15">
        <v>27824</v>
      </c>
      <c r="I3281" s="13">
        <v>44</v>
      </c>
    </row>
    <row r="3282" spans="6:9">
      <c r="F3282" s="12" t="s">
        <v>4134</v>
      </c>
      <c r="G3282" s="12" t="s">
        <v>159</v>
      </c>
      <c r="H3282" s="15">
        <v>11400</v>
      </c>
      <c r="I3282" s="13">
        <v>44</v>
      </c>
    </row>
    <row r="3283" spans="6:9">
      <c r="F3283" s="12" t="s">
        <v>2227</v>
      </c>
      <c r="G3283" s="12" t="s">
        <v>157</v>
      </c>
      <c r="H3283" s="15">
        <v>30068</v>
      </c>
      <c r="I3283" s="13">
        <v>44</v>
      </c>
    </row>
    <row r="3284" spans="6:9">
      <c r="F3284" s="12" t="s">
        <v>2229</v>
      </c>
      <c r="G3284" s="12" t="s">
        <v>157</v>
      </c>
      <c r="H3284" s="15">
        <v>11778</v>
      </c>
      <c r="I3284" s="13">
        <v>44</v>
      </c>
    </row>
    <row r="3285" spans="6:9">
      <c r="F3285" s="12" t="s">
        <v>4135</v>
      </c>
      <c r="G3285" s="12" t="s">
        <v>159</v>
      </c>
      <c r="H3285" s="15">
        <v>385300</v>
      </c>
      <c r="I3285" s="13">
        <v>44</v>
      </c>
    </row>
    <row r="3286" spans="6:9">
      <c r="F3286" s="12" t="s">
        <v>1362</v>
      </c>
      <c r="G3286" s="12" t="s">
        <v>159</v>
      </c>
      <c r="H3286" s="15">
        <v>256200</v>
      </c>
      <c r="I3286" s="13">
        <v>44</v>
      </c>
    </row>
    <row r="3287" spans="6:9">
      <c r="F3287" s="12" t="s">
        <v>2231</v>
      </c>
      <c r="G3287" s="12" t="s">
        <v>157</v>
      </c>
      <c r="H3287" s="15">
        <v>18777</v>
      </c>
      <c r="I3287" s="13">
        <v>44</v>
      </c>
    </row>
    <row r="3288" spans="6:9">
      <c r="F3288" s="12" t="s">
        <v>2233</v>
      </c>
      <c r="G3288" s="12" t="s">
        <v>157</v>
      </c>
      <c r="H3288" s="15">
        <v>25333</v>
      </c>
      <c r="I3288" s="13">
        <v>44</v>
      </c>
    </row>
    <row r="3289" spans="6:9">
      <c r="F3289" s="12" t="s">
        <v>2489</v>
      </c>
      <c r="G3289" s="12" t="s">
        <v>157</v>
      </c>
      <c r="H3289" s="15">
        <v>27826</v>
      </c>
      <c r="I3289" s="13">
        <v>44</v>
      </c>
    </row>
    <row r="3290" spans="6:9">
      <c r="F3290" s="12" t="s">
        <v>2237</v>
      </c>
      <c r="G3290" s="12" t="s">
        <v>157</v>
      </c>
      <c r="H3290" s="15">
        <v>16540</v>
      </c>
      <c r="I3290" s="13">
        <v>44</v>
      </c>
    </row>
    <row r="3291" spans="6:9">
      <c r="F3291" s="12" t="s">
        <v>835</v>
      </c>
      <c r="G3291" s="12" t="s">
        <v>157</v>
      </c>
      <c r="H3291" s="15">
        <v>491814</v>
      </c>
      <c r="I3291" s="13">
        <v>44</v>
      </c>
    </row>
    <row r="3292" spans="6:9">
      <c r="F3292" s="12" t="s">
        <v>2238</v>
      </c>
      <c r="G3292" s="12" t="s">
        <v>157</v>
      </c>
      <c r="H3292" s="15">
        <v>24146</v>
      </c>
      <c r="I3292" s="13">
        <v>44</v>
      </c>
    </row>
    <row r="3293" spans="6:9">
      <c r="F3293" s="12" t="s">
        <v>2241</v>
      </c>
      <c r="G3293" s="12" t="s">
        <v>157</v>
      </c>
      <c r="H3293" s="15">
        <v>11217</v>
      </c>
      <c r="I3293" s="13">
        <v>44</v>
      </c>
    </row>
    <row r="3294" spans="6:9">
      <c r="F3294" s="12" t="s">
        <v>4136</v>
      </c>
      <c r="G3294" s="12" t="s">
        <v>159</v>
      </c>
      <c r="H3294" s="15">
        <v>116900</v>
      </c>
      <c r="I3294" s="13">
        <v>44</v>
      </c>
    </row>
    <row r="3295" spans="6:9">
      <c r="F3295" s="12" t="s">
        <v>2491</v>
      </c>
      <c r="G3295" s="12" t="s">
        <v>157</v>
      </c>
      <c r="H3295" s="15">
        <v>12918</v>
      </c>
      <c r="I3295" s="13">
        <v>44</v>
      </c>
    </row>
    <row r="3296" spans="6:9">
      <c r="F3296" s="12" t="s">
        <v>2243</v>
      </c>
      <c r="G3296" s="12" t="s">
        <v>157</v>
      </c>
      <c r="H3296" s="15">
        <v>20338</v>
      </c>
      <c r="I3296" s="13">
        <v>44</v>
      </c>
    </row>
    <row r="3297" spans="6:9">
      <c r="F3297" s="12" t="s">
        <v>2245</v>
      </c>
      <c r="G3297" s="12" t="s">
        <v>157</v>
      </c>
      <c r="H3297" s="15">
        <v>10882</v>
      </c>
      <c r="I3297" s="13">
        <v>44</v>
      </c>
    </row>
    <row r="3298" spans="6:9">
      <c r="F3298" s="12" t="s">
        <v>4137</v>
      </c>
      <c r="G3298" s="12" t="s">
        <v>159</v>
      </c>
      <c r="H3298" s="15">
        <v>16700</v>
      </c>
      <c r="I3298" s="13">
        <v>44</v>
      </c>
    </row>
    <row r="3299" spans="6:9">
      <c r="F3299" s="12" t="s">
        <v>4138</v>
      </c>
      <c r="G3299" s="12" t="s">
        <v>159</v>
      </c>
      <c r="H3299" s="15">
        <v>36300</v>
      </c>
      <c r="I3299" s="13">
        <v>44</v>
      </c>
    </row>
    <row r="3300" spans="6:9">
      <c r="F3300" s="12" t="s">
        <v>4139</v>
      </c>
      <c r="G3300" s="12" t="s">
        <v>159</v>
      </c>
      <c r="H3300" s="15">
        <v>129600</v>
      </c>
      <c r="I3300" s="13">
        <v>44</v>
      </c>
    </row>
    <row r="3301" spans="6:9">
      <c r="F3301" s="12" t="s">
        <v>2247</v>
      </c>
      <c r="G3301" s="12" t="s">
        <v>157</v>
      </c>
      <c r="H3301" s="15">
        <v>12734</v>
      </c>
      <c r="I3301" s="13">
        <v>44</v>
      </c>
    </row>
    <row r="3302" spans="6:9">
      <c r="F3302" s="12" t="s">
        <v>838</v>
      </c>
      <c r="G3302" s="12" t="s">
        <v>159</v>
      </c>
      <c r="H3302" s="15">
        <v>940200</v>
      </c>
      <c r="I3302" s="13">
        <v>44</v>
      </c>
    </row>
    <row r="3303" spans="6:9">
      <c r="F3303" s="12" t="s">
        <v>2249</v>
      </c>
      <c r="G3303" s="12" t="s">
        <v>157</v>
      </c>
      <c r="H3303" s="15">
        <v>10746</v>
      </c>
      <c r="I3303" s="13">
        <v>44</v>
      </c>
    </row>
    <row r="3304" spans="6:9">
      <c r="F3304" s="12" t="s">
        <v>2251</v>
      </c>
      <c r="G3304" s="12" t="s">
        <v>157</v>
      </c>
      <c r="H3304" s="15">
        <v>20549</v>
      </c>
      <c r="I3304" s="13">
        <v>44</v>
      </c>
    </row>
    <row r="3305" spans="6:9">
      <c r="F3305" s="12" t="s">
        <v>4140</v>
      </c>
      <c r="G3305" s="12" t="s">
        <v>157</v>
      </c>
      <c r="H3305" s="15">
        <v>12581</v>
      </c>
      <c r="I3305" s="13">
        <v>44</v>
      </c>
    </row>
    <row r="3306" spans="6:9">
      <c r="F3306" s="12" t="s">
        <v>4141</v>
      </c>
      <c r="G3306" s="12" t="s">
        <v>159</v>
      </c>
      <c r="H3306" s="15">
        <v>35200</v>
      </c>
      <c r="I3306" s="13">
        <v>44</v>
      </c>
    </row>
    <row r="3307" spans="6:9">
      <c r="F3307" s="12" t="s">
        <v>4142</v>
      </c>
      <c r="G3307" s="12" t="s">
        <v>159</v>
      </c>
      <c r="H3307" s="15">
        <v>729300</v>
      </c>
      <c r="I3307" s="13">
        <v>44</v>
      </c>
    </row>
    <row r="3308" spans="6:9">
      <c r="F3308" s="12" t="s">
        <v>4143</v>
      </c>
      <c r="G3308" s="12" t="s">
        <v>159</v>
      </c>
      <c r="H3308" s="15">
        <v>10700</v>
      </c>
      <c r="I3308" s="13">
        <v>44</v>
      </c>
    </row>
    <row r="3309" spans="6:9">
      <c r="F3309" s="12" t="s">
        <v>840</v>
      </c>
      <c r="G3309" s="12" t="s">
        <v>157</v>
      </c>
      <c r="H3309" s="15">
        <v>134494</v>
      </c>
      <c r="I3309" s="13">
        <v>44</v>
      </c>
    </row>
    <row r="3310" spans="6:9">
      <c r="F3310" s="12" t="s">
        <v>2253</v>
      </c>
      <c r="G3310" s="12" t="s">
        <v>157</v>
      </c>
      <c r="H3310" s="15">
        <v>23159</v>
      </c>
      <c r="I3310" s="13">
        <v>44</v>
      </c>
    </row>
    <row r="3311" spans="6:9">
      <c r="F3311" s="12" t="s">
        <v>2255</v>
      </c>
      <c r="G3311" s="12" t="s">
        <v>157</v>
      </c>
      <c r="H3311" s="15">
        <v>20229</v>
      </c>
      <c r="I3311" s="13">
        <v>44</v>
      </c>
    </row>
    <row r="3312" spans="6:9">
      <c r="F3312" s="12" t="s">
        <v>2256</v>
      </c>
      <c r="G3312" s="12" t="s">
        <v>157</v>
      </c>
      <c r="H3312" s="15">
        <v>12049</v>
      </c>
      <c r="I3312" s="13">
        <v>44</v>
      </c>
    </row>
    <row r="3313" spans="6:9">
      <c r="F3313" s="12" t="s">
        <v>2257</v>
      </c>
      <c r="G3313" s="12" t="s">
        <v>157</v>
      </c>
      <c r="H3313" s="15">
        <v>11967</v>
      </c>
      <c r="I3313" s="13">
        <v>44</v>
      </c>
    </row>
    <row r="3314" spans="6:9">
      <c r="F3314" s="12" t="s">
        <v>2259</v>
      </c>
      <c r="G3314" s="12" t="s">
        <v>157</v>
      </c>
      <c r="H3314" s="15">
        <v>18193</v>
      </c>
      <c r="I3314" s="13">
        <v>44</v>
      </c>
    </row>
    <row r="3315" spans="6:9">
      <c r="F3315" s="12" t="s">
        <v>4144</v>
      </c>
      <c r="G3315" s="12" t="s">
        <v>159</v>
      </c>
      <c r="H3315" s="15">
        <v>11000</v>
      </c>
      <c r="I3315" s="13">
        <v>44</v>
      </c>
    </row>
    <row r="3316" spans="6:9">
      <c r="F3316" s="12" t="s">
        <v>591</v>
      </c>
      <c r="G3316" s="12" t="s">
        <v>157</v>
      </c>
      <c r="H3316" s="15">
        <v>119230</v>
      </c>
      <c r="I3316" s="13">
        <v>44</v>
      </c>
    </row>
    <row r="3317" spans="6:9">
      <c r="F3317" s="12" t="s">
        <v>2261</v>
      </c>
      <c r="G3317" s="12" t="s">
        <v>157</v>
      </c>
      <c r="H3317" s="15">
        <v>11292</v>
      </c>
      <c r="I3317" s="13">
        <v>44</v>
      </c>
    </row>
    <row r="3318" spans="6:9">
      <c r="F3318" s="12" t="s">
        <v>2263</v>
      </c>
      <c r="G3318" s="12" t="s">
        <v>157</v>
      </c>
      <c r="H3318" s="15">
        <v>12489</v>
      </c>
      <c r="I3318" s="13">
        <v>44</v>
      </c>
    </row>
    <row r="3319" spans="6:9">
      <c r="F3319" s="12" t="s">
        <v>2265</v>
      </c>
      <c r="G3319" s="12" t="s">
        <v>157</v>
      </c>
      <c r="H3319" s="15">
        <v>16940</v>
      </c>
      <c r="I3319" s="13">
        <v>44</v>
      </c>
    </row>
    <row r="3320" spans="6:9">
      <c r="F3320" s="12" t="s">
        <v>2267</v>
      </c>
      <c r="G3320" s="12" t="s">
        <v>157</v>
      </c>
      <c r="H3320" s="15">
        <v>12113</v>
      </c>
      <c r="I3320" s="13">
        <v>44</v>
      </c>
    </row>
    <row r="3321" spans="6:9">
      <c r="F3321" s="12" t="s">
        <v>2269</v>
      </c>
      <c r="G3321" s="12" t="s">
        <v>157</v>
      </c>
      <c r="H3321" s="15">
        <v>20194</v>
      </c>
      <c r="I3321" s="13">
        <v>44</v>
      </c>
    </row>
    <row r="3322" spans="6:9">
      <c r="F3322" s="12" t="s">
        <v>2271</v>
      </c>
      <c r="G3322" s="12" t="s">
        <v>157</v>
      </c>
      <c r="H3322" s="15">
        <v>10009</v>
      </c>
      <c r="I3322" s="13">
        <v>44</v>
      </c>
    </row>
    <row r="3323" spans="6:9">
      <c r="F3323" s="12" t="s">
        <v>2273</v>
      </c>
      <c r="G3323" s="12" t="s">
        <v>157</v>
      </c>
      <c r="H3323" s="15">
        <v>27004</v>
      </c>
      <c r="I3323" s="13">
        <v>44</v>
      </c>
    </row>
    <row r="3324" spans="6:9">
      <c r="F3324" s="12" t="s">
        <v>2275</v>
      </c>
      <c r="G3324" s="12" t="s">
        <v>157</v>
      </c>
      <c r="H3324" s="15">
        <v>17838</v>
      </c>
      <c r="I3324" s="13">
        <v>44</v>
      </c>
    </row>
    <row r="3325" spans="6:9">
      <c r="F3325" s="12" t="s">
        <v>2276</v>
      </c>
      <c r="G3325" s="12" t="s">
        <v>157</v>
      </c>
      <c r="H3325" s="15">
        <v>13603</v>
      </c>
      <c r="I3325" s="13">
        <v>44</v>
      </c>
    </row>
    <row r="3326" spans="6:9">
      <c r="F3326" s="12" t="s">
        <v>4145</v>
      </c>
      <c r="G3326" s="12" t="s">
        <v>159</v>
      </c>
      <c r="H3326" s="15">
        <v>1400000</v>
      </c>
      <c r="I3326" s="13">
        <v>44</v>
      </c>
    </row>
    <row r="3327" spans="6:9">
      <c r="F3327" s="12" t="s">
        <v>4146</v>
      </c>
      <c r="G3327" s="12" t="s">
        <v>159</v>
      </c>
      <c r="H3327" s="15">
        <v>681600</v>
      </c>
      <c r="I3327" s="13">
        <v>44</v>
      </c>
    </row>
    <row r="3328" spans="6:9">
      <c r="F3328" s="12" t="s">
        <v>2277</v>
      </c>
      <c r="G3328" s="12" t="s">
        <v>157</v>
      </c>
      <c r="H3328" s="15">
        <v>20638</v>
      </c>
      <c r="I3328" s="13">
        <v>44</v>
      </c>
    </row>
    <row r="3329" spans="6:9">
      <c r="F3329" s="12" t="s">
        <v>2279</v>
      </c>
      <c r="G3329" s="12" t="s">
        <v>157</v>
      </c>
      <c r="H3329" s="15">
        <v>62706</v>
      </c>
      <c r="I3329" s="13">
        <v>44</v>
      </c>
    </row>
    <row r="3330" spans="6:9">
      <c r="F3330" s="12" t="s">
        <v>4147</v>
      </c>
      <c r="G3330" s="12" t="s">
        <v>159</v>
      </c>
      <c r="H3330" s="15">
        <v>688900</v>
      </c>
      <c r="I3330" s="13">
        <v>44</v>
      </c>
    </row>
    <row r="3331" spans="6:9">
      <c r="F3331" s="12" t="s">
        <v>2281</v>
      </c>
      <c r="G3331" s="12" t="s">
        <v>157</v>
      </c>
      <c r="H3331" s="15">
        <v>27150</v>
      </c>
      <c r="I3331" s="13">
        <v>44</v>
      </c>
    </row>
    <row r="3332" spans="6:9">
      <c r="F3332" s="12" t="s">
        <v>2282</v>
      </c>
      <c r="G3332" s="12" t="s">
        <v>157</v>
      </c>
      <c r="H3332" s="15">
        <v>20111</v>
      </c>
      <c r="I3332" s="13">
        <v>44</v>
      </c>
    </row>
    <row r="3333" spans="6:9">
      <c r="F3333" s="12" t="s">
        <v>2284</v>
      </c>
      <c r="G3333" s="12" t="s">
        <v>157</v>
      </c>
      <c r="H3333" s="15">
        <v>16029</v>
      </c>
      <c r="I3333" s="13">
        <v>44</v>
      </c>
    </row>
    <row r="3334" spans="6:9">
      <c r="F3334" s="12" t="s">
        <v>2286</v>
      </c>
      <c r="G3334" s="12" t="s">
        <v>157</v>
      </c>
      <c r="H3334" s="15">
        <v>22000</v>
      </c>
      <c r="I3334" s="13">
        <v>44</v>
      </c>
    </row>
    <row r="3335" spans="6:9">
      <c r="F3335" s="12" t="s">
        <v>4148</v>
      </c>
      <c r="G3335" s="12" t="s">
        <v>159</v>
      </c>
      <c r="H3335" s="15">
        <v>10300</v>
      </c>
      <c r="I3335" s="13">
        <v>44</v>
      </c>
    </row>
    <row r="3336" spans="6:9">
      <c r="F3336" s="12" t="s">
        <v>2288</v>
      </c>
      <c r="G3336" s="12" t="s">
        <v>157</v>
      </c>
      <c r="H3336" s="15">
        <v>11780</v>
      </c>
      <c r="I3336" s="13">
        <v>44</v>
      </c>
    </row>
    <row r="3337" spans="6:9">
      <c r="F3337" s="12" t="s">
        <v>2290</v>
      </c>
      <c r="G3337" s="12" t="s">
        <v>157</v>
      </c>
      <c r="H3337" s="15">
        <v>13675</v>
      </c>
      <c r="I3337" s="13">
        <v>44</v>
      </c>
    </row>
    <row r="3338" spans="6:9">
      <c r="F3338" s="12" t="s">
        <v>2292</v>
      </c>
      <c r="G3338" s="12" t="s">
        <v>157</v>
      </c>
      <c r="H3338" s="15">
        <v>16857</v>
      </c>
      <c r="I3338" s="13">
        <v>44</v>
      </c>
    </row>
    <row r="3339" spans="6:9">
      <c r="F3339" s="12" t="s">
        <v>848</v>
      </c>
      <c r="G3339" s="12" t="s">
        <v>157</v>
      </c>
      <c r="H3339" s="15">
        <v>166689</v>
      </c>
      <c r="I3339" s="13">
        <v>44</v>
      </c>
    </row>
    <row r="3340" spans="6:9">
      <c r="F3340" s="12" t="s">
        <v>4149</v>
      </c>
      <c r="G3340" s="12" t="s">
        <v>157</v>
      </c>
      <c r="H3340" s="15">
        <v>25201</v>
      </c>
      <c r="I3340" s="13">
        <v>44</v>
      </c>
    </row>
    <row r="3341" spans="6:9">
      <c r="F3341" s="12" t="s">
        <v>4150</v>
      </c>
      <c r="G3341" s="12" t="s">
        <v>159</v>
      </c>
      <c r="H3341" s="15">
        <v>43400</v>
      </c>
      <c r="I3341" s="13">
        <v>44</v>
      </c>
    </row>
    <row r="3342" spans="6:9">
      <c r="F3342" s="12" t="s">
        <v>4151</v>
      </c>
      <c r="G3342" s="12" t="s">
        <v>159</v>
      </c>
      <c r="H3342" s="15">
        <v>76600</v>
      </c>
      <c r="I3342" s="13">
        <v>44</v>
      </c>
    </row>
    <row r="3343" spans="6:9">
      <c r="F3343" s="12" t="s">
        <v>2295</v>
      </c>
      <c r="G3343" s="12" t="s">
        <v>157</v>
      </c>
      <c r="H3343" s="15">
        <v>19757</v>
      </c>
      <c r="I3343" s="13">
        <v>44</v>
      </c>
    </row>
    <row r="3344" spans="6:9">
      <c r="F3344" s="12" t="s">
        <v>2296</v>
      </c>
      <c r="G3344" s="12" t="s">
        <v>157</v>
      </c>
      <c r="H3344" s="15">
        <v>15929</v>
      </c>
      <c r="I3344" s="13">
        <v>44</v>
      </c>
    </row>
    <row r="3345" spans="6:9">
      <c r="F3345" s="12" t="s">
        <v>2298</v>
      </c>
      <c r="G3345" s="12" t="s">
        <v>157</v>
      </c>
      <c r="H3345" s="15">
        <v>12051</v>
      </c>
      <c r="I3345" s="13">
        <v>44</v>
      </c>
    </row>
    <row r="3346" spans="6:9">
      <c r="F3346" s="12" t="s">
        <v>2300</v>
      </c>
      <c r="G3346" s="12" t="s">
        <v>157</v>
      </c>
      <c r="H3346" s="15">
        <v>10458</v>
      </c>
      <c r="I3346" s="13">
        <v>44</v>
      </c>
    </row>
    <row r="3347" spans="6:9">
      <c r="F3347" s="12" t="s">
        <v>4152</v>
      </c>
      <c r="G3347" s="12" t="s">
        <v>159</v>
      </c>
      <c r="H3347" s="15">
        <v>46600</v>
      </c>
      <c r="I3347" s="13">
        <v>44</v>
      </c>
    </row>
    <row r="3348" spans="6:9">
      <c r="F3348" s="12" t="s">
        <v>851</v>
      </c>
      <c r="G3348" s="12" t="s">
        <v>159</v>
      </c>
      <c r="H3348" s="15">
        <v>107800</v>
      </c>
      <c r="I3348" s="13">
        <v>44</v>
      </c>
    </row>
    <row r="3349" spans="6:9">
      <c r="F3349" s="12" t="s">
        <v>2302</v>
      </c>
      <c r="G3349" s="12" t="s">
        <v>157</v>
      </c>
      <c r="H3349" s="15">
        <v>15323</v>
      </c>
      <c r="I3349" s="13">
        <v>44</v>
      </c>
    </row>
    <row r="3350" spans="6:9">
      <c r="F3350" s="12" t="s">
        <v>4153</v>
      </c>
      <c r="G3350" s="12" t="s">
        <v>159</v>
      </c>
      <c r="H3350" s="15">
        <v>70700</v>
      </c>
      <c r="I3350" s="13">
        <v>44</v>
      </c>
    </row>
    <row r="3351" spans="6:9">
      <c r="F3351" s="12" t="s">
        <v>4154</v>
      </c>
      <c r="G3351" s="12" t="s">
        <v>159</v>
      </c>
      <c r="H3351" s="15">
        <v>28600</v>
      </c>
      <c r="I3351" s="13">
        <v>44</v>
      </c>
    </row>
    <row r="3352" spans="6:9">
      <c r="F3352" s="12" t="s">
        <v>2304</v>
      </c>
      <c r="G3352" s="12" t="s">
        <v>157</v>
      </c>
      <c r="H3352" s="15">
        <v>10083</v>
      </c>
      <c r="I3352" s="13">
        <v>44</v>
      </c>
    </row>
    <row r="3353" spans="6:9">
      <c r="F3353" s="12" t="s">
        <v>4155</v>
      </c>
      <c r="G3353" s="12" t="s">
        <v>159</v>
      </c>
      <c r="H3353" s="15">
        <v>2100000</v>
      </c>
      <c r="I3353" s="13">
        <v>44</v>
      </c>
    </row>
    <row r="3354" spans="6:9">
      <c r="F3354" s="12" t="s">
        <v>2306</v>
      </c>
      <c r="G3354" s="12" t="s">
        <v>157</v>
      </c>
      <c r="H3354" s="15">
        <v>29121</v>
      </c>
      <c r="I3354" s="13">
        <v>44</v>
      </c>
    </row>
    <row r="3355" spans="6:9">
      <c r="F3355" s="12" t="s">
        <v>4156</v>
      </c>
      <c r="G3355" s="12" t="s">
        <v>157</v>
      </c>
      <c r="H3355" s="15">
        <v>10515</v>
      </c>
      <c r="I3355" s="13">
        <v>44</v>
      </c>
    </row>
    <row r="3356" spans="6:9">
      <c r="F3356" s="12" t="s">
        <v>2308</v>
      </c>
      <c r="G3356" s="12" t="s">
        <v>157</v>
      </c>
      <c r="H3356" s="15">
        <v>33673</v>
      </c>
      <c r="I3356" s="13">
        <v>44</v>
      </c>
    </row>
    <row r="3357" spans="6:9">
      <c r="F3357" s="12" t="s">
        <v>4157</v>
      </c>
      <c r="G3357" s="12" t="s">
        <v>159</v>
      </c>
      <c r="H3357" s="15">
        <v>11700</v>
      </c>
      <c r="I3357" s="13">
        <v>44</v>
      </c>
    </row>
    <row r="3358" spans="6:9">
      <c r="F3358" s="12" t="s">
        <v>2310</v>
      </c>
      <c r="G3358" s="12" t="s">
        <v>157</v>
      </c>
      <c r="H3358" s="15">
        <v>19348</v>
      </c>
      <c r="I3358" s="13">
        <v>44</v>
      </c>
    </row>
    <row r="3359" spans="6:9">
      <c r="F3359" s="12" t="s">
        <v>2312</v>
      </c>
      <c r="G3359" s="12" t="s">
        <v>157</v>
      </c>
      <c r="H3359" s="15">
        <v>25166</v>
      </c>
      <c r="I3359" s="13">
        <v>44</v>
      </c>
    </row>
    <row r="3360" spans="6:9">
      <c r="F3360" s="12" t="s">
        <v>2313</v>
      </c>
      <c r="G3360" s="12" t="s">
        <v>157</v>
      </c>
      <c r="H3360" s="15">
        <v>19143</v>
      </c>
      <c r="I3360" s="13">
        <v>44</v>
      </c>
    </row>
    <row r="3361" spans="6:9">
      <c r="F3361" s="12" t="s">
        <v>2493</v>
      </c>
      <c r="G3361" s="12" t="s">
        <v>157</v>
      </c>
      <c r="H3361" s="15">
        <v>24912</v>
      </c>
      <c r="I3361" s="13">
        <v>44</v>
      </c>
    </row>
    <row r="3362" spans="6:9">
      <c r="F3362" s="12" t="s">
        <v>2315</v>
      </c>
      <c r="G3362" s="12" t="s">
        <v>157</v>
      </c>
      <c r="H3362" s="15">
        <v>10262</v>
      </c>
      <c r="I3362" s="13">
        <v>44</v>
      </c>
    </row>
    <row r="3363" spans="6:9">
      <c r="F3363" s="12" t="s">
        <v>4158</v>
      </c>
      <c r="G3363" s="12" t="s">
        <v>159</v>
      </c>
      <c r="H3363" s="15">
        <v>20800</v>
      </c>
      <c r="I3363" s="13">
        <v>44</v>
      </c>
    </row>
    <row r="3364" spans="6:9">
      <c r="F3364" s="12" t="s">
        <v>2317</v>
      </c>
      <c r="G3364" s="12" t="s">
        <v>157</v>
      </c>
      <c r="H3364" s="15">
        <v>12334</v>
      </c>
      <c r="I3364" s="13">
        <v>44</v>
      </c>
    </row>
    <row r="3365" spans="6:9">
      <c r="F3365" s="12" t="s">
        <v>4159</v>
      </c>
      <c r="G3365" s="12" t="s">
        <v>159</v>
      </c>
      <c r="H3365" s="15">
        <v>44600</v>
      </c>
      <c r="I3365" s="13">
        <v>44</v>
      </c>
    </row>
    <row r="3366" spans="6:9">
      <c r="F3366" s="12" t="s">
        <v>2319</v>
      </c>
      <c r="G3366" s="12" t="s">
        <v>157</v>
      </c>
      <c r="H3366" s="15">
        <v>25101</v>
      </c>
      <c r="I3366" s="13">
        <v>44</v>
      </c>
    </row>
    <row r="3367" spans="6:9">
      <c r="F3367" s="12" t="s">
        <v>2321</v>
      </c>
      <c r="G3367" s="12" t="s">
        <v>157</v>
      </c>
      <c r="H3367" s="15">
        <v>10419</v>
      </c>
      <c r="I3367" s="13">
        <v>44</v>
      </c>
    </row>
    <row r="3368" spans="6:9">
      <c r="F3368" s="12" t="s">
        <v>4160</v>
      </c>
      <c r="G3368" s="12" t="s">
        <v>159</v>
      </c>
      <c r="H3368" s="15">
        <v>102600</v>
      </c>
      <c r="I3368" s="13">
        <v>44</v>
      </c>
    </row>
    <row r="3369" spans="6:9">
      <c r="F3369" s="12" t="s">
        <v>4161</v>
      </c>
      <c r="G3369" s="12" t="s">
        <v>159</v>
      </c>
      <c r="H3369" s="15">
        <v>10600</v>
      </c>
      <c r="I3369" s="13">
        <v>44</v>
      </c>
    </row>
    <row r="3370" spans="6:9">
      <c r="F3370" s="12" t="s">
        <v>4162</v>
      </c>
      <c r="G3370" s="12" t="s">
        <v>157</v>
      </c>
      <c r="H3370" s="15">
        <v>14606</v>
      </c>
      <c r="I3370" s="13">
        <v>44</v>
      </c>
    </row>
    <row r="3371" spans="6:9">
      <c r="F3371" s="12" t="s">
        <v>2323</v>
      </c>
      <c r="G3371" s="12" t="s">
        <v>157</v>
      </c>
      <c r="H3371" s="15">
        <v>12558</v>
      </c>
      <c r="I3371" s="13">
        <v>44</v>
      </c>
    </row>
    <row r="3372" spans="6:9">
      <c r="F3372" s="12" t="s">
        <v>4163</v>
      </c>
      <c r="G3372" s="12" t="s">
        <v>159</v>
      </c>
      <c r="H3372" s="15">
        <v>15800</v>
      </c>
      <c r="I3372" s="13">
        <v>44</v>
      </c>
    </row>
    <row r="3373" spans="6:9">
      <c r="F3373" s="12" t="s">
        <v>4164</v>
      </c>
      <c r="G3373" s="12" t="s">
        <v>159</v>
      </c>
      <c r="H3373" s="15">
        <v>202700</v>
      </c>
      <c r="I3373" s="13">
        <v>44</v>
      </c>
    </row>
    <row r="3374" spans="6:9">
      <c r="F3374" s="12" t="s">
        <v>2324</v>
      </c>
      <c r="G3374" s="12" t="s">
        <v>157</v>
      </c>
      <c r="H3374" s="15">
        <v>20219</v>
      </c>
      <c r="I3374" s="13">
        <v>44</v>
      </c>
    </row>
    <row r="3375" spans="6:9">
      <c r="F3375" s="12" t="s">
        <v>4165</v>
      </c>
      <c r="G3375" s="12" t="s">
        <v>159</v>
      </c>
      <c r="H3375" s="15">
        <v>10100</v>
      </c>
      <c r="I3375" s="13">
        <v>44</v>
      </c>
    </row>
    <row r="3376" spans="6:9">
      <c r="F3376" s="12" t="s">
        <v>4166</v>
      </c>
      <c r="G3376" s="12" t="s">
        <v>159</v>
      </c>
      <c r="H3376" s="15">
        <v>88800</v>
      </c>
      <c r="I3376" s="13">
        <v>44</v>
      </c>
    </row>
    <row r="3377" spans="6:9">
      <c r="F3377" s="12" t="s">
        <v>4167</v>
      </c>
      <c r="G3377" s="12" t="s">
        <v>157</v>
      </c>
      <c r="H3377" s="15">
        <v>17497</v>
      </c>
      <c r="I3377" s="13">
        <v>44</v>
      </c>
    </row>
    <row r="3378" spans="6:9">
      <c r="F3378" s="12" t="s">
        <v>2328</v>
      </c>
      <c r="G3378" s="12" t="s">
        <v>157</v>
      </c>
      <c r="H3378" s="15">
        <v>10050</v>
      </c>
      <c r="I3378" s="13">
        <v>44</v>
      </c>
    </row>
    <row r="3379" spans="6:9">
      <c r="F3379" s="12" t="s">
        <v>2330</v>
      </c>
      <c r="G3379" s="12" t="s">
        <v>157</v>
      </c>
      <c r="H3379" s="15">
        <v>12010</v>
      </c>
      <c r="I3379" s="13">
        <v>44</v>
      </c>
    </row>
    <row r="3380" spans="6:9">
      <c r="F3380" s="12" t="s">
        <v>2331</v>
      </c>
      <c r="G3380" s="12" t="s">
        <v>157</v>
      </c>
      <c r="H3380" s="15">
        <v>12097</v>
      </c>
      <c r="I3380" s="13">
        <v>44</v>
      </c>
    </row>
    <row r="3381" spans="6:9">
      <c r="F3381" s="12" t="s">
        <v>2333</v>
      </c>
      <c r="G3381" s="12" t="s">
        <v>157</v>
      </c>
      <c r="H3381" s="15">
        <v>11396</v>
      </c>
      <c r="I3381" s="13">
        <v>44</v>
      </c>
    </row>
    <row r="3382" spans="6:9">
      <c r="F3382" s="12" t="s">
        <v>4168</v>
      </c>
      <c r="G3382" s="12" t="s">
        <v>159</v>
      </c>
      <c r="H3382" s="15">
        <v>66900</v>
      </c>
      <c r="I3382" s="13">
        <v>44</v>
      </c>
    </row>
    <row r="3383" spans="6:9">
      <c r="F3383" s="12" t="s">
        <v>4169</v>
      </c>
      <c r="G3383" s="12" t="s">
        <v>159</v>
      </c>
      <c r="H3383" s="15">
        <v>13100</v>
      </c>
      <c r="I3383" s="13">
        <v>44</v>
      </c>
    </row>
    <row r="3384" spans="6:9">
      <c r="F3384" s="12" t="s">
        <v>4170</v>
      </c>
      <c r="G3384" s="12" t="s">
        <v>159</v>
      </c>
      <c r="H3384" s="15">
        <v>530800</v>
      </c>
      <c r="I3384" s="13">
        <v>44</v>
      </c>
    </row>
    <row r="3385" spans="6:9">
      <c r="F3385" s="12" t="s">
        <v>855</v>
      </c>
      <c r="G3385" s="12" t="s">
        <v>157</v>
      </c>
      <c r="H3385" s="15">
        <v>837587</v>
      </c>
      <c r="I3385" s="13">
        <v>44</v>
      </c>
    </row>
    <row r="3386" spans="6:9">
      <c r="F3386" s="12" t="s">
        <v>4171</v>
      </c>
      <c r="G3386" s="12" t="s">
        <v>157</v>
      </c>
      <c r="H3386" s="15">
        <v>66484</v>
      </c>
      <c r="I3386" s="13">
        <v>44</v>
      </c>
    </row>
    <row r="3387" spans="6:9">
      <c r="F3387" s="12" t="s">
        <v>4172</v>
      </c>
      <c r="G3387" s="12" t="s">
        <v>157</v>
      </c>
      <c r="H3387" s="15">
        <v>14530</v>
      </c>
      <c r="I3387" s="13">
        <v>44</v>
      </c>
    </row>
    <row r="3388" spans="6:9">
      <c r="F3388" s="12" t="s">
        <v>2337</v>
      </c>
      <c r="G3388" s="12" t="s">
        <v>157</v>
      </c>
      <c r="H3388" s="15">
        <v>11977</v>
      </c>
      <c r="I3388" s="13">
        <v>44</v>
      </c>
    </row>
    <row r="3389" spans="6:9">
      <c r="F3389" s="12" t="s">
        <v>4173</v>
      </c>
      <c r="G3389" s="12" t="s">
        <v>157</v>
      </c>
      <c r="H3389" s="15">
        <v>17560</v>
      </c>
      <c r="I3389" s="13">
        <v>44</v>
      </c>
    </row>
    <row r="3390" spans="6:9">
      <c r="F3390" s="12" t="s">
        <v>4174</v>
      </c>
      <c r="G3390" s="12" t="s">
        <v>159</v>
      </c>
      <c r="H3390" s="15">
        <v>80600</v>
      </c>
      <c r="I3390" s="13">
        <v>44</v>
      </c>
    </row>
    <row r="3391" spans="6:9">
      <c r="F3391" s="12" t="s">
        <v>2339</v>
      </c>
      <c r="G3391" s="12" t="s">
        <v>157</v>
      </c>
      <c r="H3391" s="15">
        <v>13834</v>
      </c>
      <c r="I3391" s="13">
        <v>44</v>
      </c>
    </row>
    <row r="3392" spans="6:9">
      <c r="F3392" s="12" t="s">
        <v>2341</v>
      </c>
      <c r="G3392" s="12" t="s">
        <v>157</v>
      </c>
      <c r="H3392" s="15">
        <v>10686</v>
      </c>
      <c r="I3392" s="13">
        <v>44</v>
      </c>
    </row>
    <row r="3393" spans="6:9">
      <c r="F3393" s="12" t="s">
        <v>2343</v>
      </c>
      <c r="G3393" s="12" t="s">
        <v>157</v>
      </c>
      <c r="H3393" s="15">
        <v>99412</v>
      </c>
      <c r="I3393" s="13">
        <v>44</v>
      </c>
    </row>
    <row r="3394" spans="6:9">
      <c r="F3394" s="12" t="s">
        <v>2344</v>
      </c>
      <c r="G3394" s="12" t="s">
        <v>157</v>
      </c>
      <c r="H3394" s="15">
        <v>28179</v>
      </c>
      <c r="I3394" s="13">
        <v>44</v>
      </c>
    </row>
    <row r="3395" spans="6:9">
      <c r="F3395" s="12" t="s">
        <v>4175</v>
      </c>
      <c r="G3395" s="12" t="s">
        <v>159</v>
      </c>
      <c r="H3395" s="15">
        <v>14900</v>
      </c>
      <c r="I3395" s="13">
        <v>44</v>
      </c>
    </row>
    <row r="3396" spans="6:9">
      <c r="F3396" s="12" t="s">
        <v>857</v>
      </c>
      <c r="G3396" s="12" t="s">
        <v>157</v>
      </c>
      <c r="H3396" s="15">
        <v>393654</v>
      </c>
      <c r="I3396" s="13">
        <v>44</v>
      </c>
    </row>
    <row r="3397" spans="6:9">
      <c r="F3397" s="12" t="s">
        <v>4176</v>
      </c>
      <c r="G3397" s="12" t="s">
        <v>159</v>
      </c>
      <c r="H3397" s="15">
        <v>14500</v>
      </c>
      <c r="I3397" s="13">
        <v>44</v>
      </c>
    </row>
    <row r="3398" spans="6:9">
      <c r="F3398" s="12" t="s">
        <v>2498</v>
      </c>
      <c r="G3398" s="12" t="s">
        <v>157</v>
      </c>
      <c r="H3398" s="15">
        <v>43999</v>
      </c>
      <c r="I3398" s="13">
        <v>44</v>
      </c>
    </row>
    <row r="3399" spans="6:9">
      <c r="F3399" s="12" t="s">
        <v>4177</v>
      </c>
      <c r="G3399" s="12" t="s">
        <v>159</v>
      </c>
      <c r="H3399" s="15">
        <v>5400000</v>
      </c>
      <c r="I3399" s="13">
        <v>44</v>
      </c>
    </row>
    <row r="3400" spans="6:9">
      <c r="F3400" s="12" t="s">
        <v>4178</v>
      </c>
      <c r="G3400" s="12" t="s">
        <v>159</v>
      </c>
      <c r="H3400" s="15">
        <v>81100</v>
      </c>
      <c r="I3400" s="13">
        <v>44</v>
      </c>
    </row>
    <row r="3401" spans="6:9">
      <c r="F3401" s="12" t="s">
        <v>4179</v>
      </c>
      <c r="G3401" s="12" t="s">
        <v>159</v>
      </c>
      <c r="H3401" s="15">
        <v>26200</v>
      </c>
      <c r="I3401" s="13">
        <v>44</v>
      </c>
    </row>
    <row r="3402" spans="6:9">
      <c r="F3402" s="12" t="s">
        <v>1378</v>
      </c>
      <c r="G3402" s="12" t="s">
        <v>159</v>
      </c>
      <c r="H3402" s="15">
        <v>2600000</v>
      </c>
      <c r="I3402" s="13">
        <v>44</v>
      </c>
    </row>
    <row r="3403" spans="6:9">
      <c r="F3403" s="12" t="s">
        <v>2346</v>
      </c>
      <c r="G3403" s="12" t="s">
        <v>157</v>
      </c>
      <c r="H3403" s="15">
        <v>24549</v>
      </c>
      <c r="I3403" s="13">
        <v>44</v>
      </c>
    </row>
    <row r="3404" spans="6:9">
      <c r="F3404" s="12" t="s">
        <v>2347</v>
      </c>
      <c r="G3404" s="12" t="s">
        <v>157</v>
      </c>
      <c r="H3404" s="15">
        <v>20538</v>
      </c>
      <c r="I3404" s="13">
        <v>44</v>
      </c>
    </row>
    <row r="3405" spans="6:9">
      <c r="F3405" s="12" t="s">
        <v>4180</v>
      </c>
      <c r="G3405" s="12" t="s">
        <v>159</v>
      </c>
      <c r="H3405" s="15">
        <v>24600</v>
      </c>
      <c r="I3405" s="13">
        <v>44</v>
      </c>
    </row>
    <row r="3406" spans="6:9">
      <c r="F3406" s="12" t="s">
        <v>2349</v>
      </c>
      <c r="G3406" s="12" t="s">
        <v>157</v>
      </c>
      <c r="H3406" s="15">
        <v>12558</v>
      </c>
      <c r="I3406" s="13">
        <v>44</v>
      </c>
    </row>
    <row r="3407" spans="6:9">
      <c r="F3407" s="12" t="s">
        <v>2351</v>
      </c>
      <c r="G3407" s="12" t="s">
        <v>157</v>
      </c>
      <c r="H3407" s="15">
        <v>29041</v>
      </c>
      <c r="I3407" s="13">
        <v>44</v>
      </c>
    </row>
    <row r="3408" spans="6:9">
      <c r="F3408" s="12" t="s">
        <v>2355</v>
      </c>
      <c r="G3408" s="12" t="s">
        <v>157</v>
      </c>
      <c r="H3408" s="15">
        <v>29406</v>
      </c>
      <c r="I3408" s="13">
        <v>44</v>
      </c>
    </row>
    <row r="3409" spans="6:9">
      <c r="F3409" s="12" t="s">
        <v>2357</v>
      </c>
      <c r="G3409" s="12" t="s">
        <v>157</v>
      </c>
      <c r="H3409" s="15">
        <v>11693</v>
      </c>
      <c r="I3409" s="13">
        <v>44</v>
      </c>
    </row>
    <row r="3410" spans="6:9">
      <c r="F3410" s="12" t="s">
        <v>4181</v>
      </c>
      <c r="G3410" s="12" t="s">
        <v>157</v>
      </c>
      <c r="H3410" s="15">
        <v>10165</v>
      </c>
      <c r="I3410" s="13">
        <v>44</v>
      </c>
    </row>
    <row r="3411" spans="6:9">
      <c r="F3411" s="12" t="s">
        <v>2361</v>
      </c>
      <c r="G3411" s="12" t="s">
        <v>157</v>
      </c>
      <c r="H3411" s="15">
        <v>44957</v>
      </c>
      <c r="I3411" s="13">
        <v>44</v>
      </c>
    </row>
    <row r="3412" spans="6:9">
      <c r="F3412" s="12" t="s">
        <v>2362</v>
      </c>
      <c r="G3412" s="12" t="s">
        <v>157</v>
      </c>
      <c r="H3412" s="15">
        <v>12606</v>
      </c>
      <c r="I3412" s="13">
        <v>44</v>
      </c>
    </row>
    <row r="3413" spans="6:9">
      <c r="F3413" s="12" t="s">
        <v>2364</v>
      </c>
      <c r="G3413" s="12" t="s">
        <v>157</v>
      </c>
      <c r="H3413" s="15">
        <v>21969</v>
      </c>
      <c r="I3413" s="13">
        <v>44</v>
      </c>
    </row>
    <row r="3414" spans="6:9">
      <c r="F3414" s="12" t="s">
        <v>2365</v>
      </c>
      <c r="G3414" s="12" t="s">
        <v>157</v>
      </c>
      <c r="H3414" s="15">
        <v>14711</v>
      </c>
      <c r="I3414" s="13">
        <v>44</v>
      </c>
    </row>
    <row r="3415" spans="6:9">
      <c r="F3415" s="12" t="s">
        <v>4182</v>
      </c>
      <c r="G3415" s="12" t="s">
        <v>159</v>
      </c>
      <c r="H3415" s="15">
        <v>12200</v>
      </c>
      <c r="I3415" s="13">
        <v>44</v>
      </c>
    </row>
    <row r="3416" spans="6:9">
      <c r="F3416" s="12" t="s">
        <v>2366</v>
      </c>
      <c r="G3416" s="12" t="s">
        <v>157</v>
      </c>
      <c r="H3416" s="15">
        <v>11159</v>
      </c>
      <c r="I3416" s="13">
        <v>44</v>
      </c>
    </row>
    <row r="3417" spans="6:9">
      <c r="F3417" s="12" t="s">
        <v>4183</v>
      </c>
      <c r="G3417" s="12" t="s">
        <v>159</v>
      </c>
      <c r="H3417" s="15">
        <v>10300</v>
      </c>
      <c r="I3417" s="13">
        <v>44</v>
      </c>
    </row>
    <row r="3418" spans="6:9">
      <c r="F3418" s="12" t="s">
        <v>2368</v>
      </c>
      <c r="G3418" s="12" t="s">
        <v>157</v>
      </c>
      <c r="H3418" s="15">
        <v>11098</v>
      </c>
      <c r="I3418" s="13">
        <v>44</v>
      </c>
    </row>
    <row r="3419" spans="6:9">
      <c r="F3419" s="12" t="s">
        <v>2369</v>
      </c>
      <c r="G3419" s="12" t="s">
        <v>157</v>
      </c>
      <c r="H3419" s="15">
        <v>27676</v>
      </c>
      <c r="I3419" s="13">
        <v>44</v>
      </c>
    </row>
    <row r="3420" spans="6:9">
      <c r="F3420" s="12" t="s">
        <v>2371</v>
      </c>
      <c r="G3420" s="12" t="s">
        <v>157</v>
      </c>
      <c r="H3420" s="15">
        <v>11739</v>
      </c>
      <c r="I3420" s="13">
        <v>44</v>
      </c>
    </row>
    <row r="3421" spans="6:9">
      <c r="F3421" s="12" t="s">
        <v>2373</v>
      </c>
      <c r="G3421" s="12" t="s">
        <v>157</v>
      </c>
      <c r="H3421" s="15">
        <v>18177</v>
      </c>
      <c r="I3421" s="13">
        <v>44</v>
      </c>
    </row>
    <row r="3422" spans="6:9">
      <c r="F3422" s="12" t="s">
        <v>4184</v>
      </c>
      <c r="G3422" s="12" t="s">
        <v>159</v>
      </c>
      <c r="H3422" s="15">
        <v>10300</v>
      </c>
      <c r="I3422" s="13">
        <v>44</v>
      </c>
    </row>
    <row r="3423" spans="6:9">
      <c r="F3423" s="12" t="s">
        <v>4185</v>
      </c>
      <c r="G3423" s="12" t="s">
        <v>159</v>
      </c>
      <c r="H3423" s="15">
        <v>10400</v>
      </c>
      <c r="I3423" s="13">
        <v>44</v>
      </c>
    </row>
    <row r="3424" spans="6:9">
      <c r="F3424" s="12" t="s">
        <v>4186</v>
      </c>
      <c r="G3424" s="12" t="s">
        <v>159</v>
      </c>
      <c r="H3424" s="15">
        <v>61300</v>
      </c>
      <c r="I3424" s="13">
        <v>44</v>
      </c>
    </row>
    <row r="3425" spans="6:9">
      <c r="F3425" s="12" t="s">
        <v>4187</v>
      </c>
      <c r="G3425" s="12" t="s">
        <v>159</v>
      </c>
      <c r="H3425" s="15">
        <v>53000</v>
      </c>
      <c r="I3425" s="13">
        <v>44</v>
      </c>
    </row>
    <row r="3426" spans="6:9">
      <c r="F3426" s="12" t="s">
        <v>4188</v>
      </c>
      <c r="G3426" s="12" t="s">
        <v>159</v>
      </c>
      <c r="H3426" s="15">
        <v>216200</v>
      </c>
      <c r="I3426" s="13">
        <v>44</v>
      </c>
    </row>
    <row r="3427" spans="6:9">
      <c r="F3427" s="12" t="s">
        <v>4189</v>
      </c>
      <c r="G3427" s="12" t="s">
        <v>157</v>
      </c>
      <c r="H3427" s="15">
        <v>54787</v>
      </c>
      <c r="I3427" s="13">
        <v>43</v>
      </c>
    </row>
    <row r="3428" spans="6:9">
      <c r="F3428" s="12" t="s">
        <v>1381</v>
      </c>
      <c r="G3428" s="12" t="s">
        <v>159</v>
      </c>
      <c r="H3428" s="15">
        <v>113600</v>
      </c>
      <c r="I3428" s="13">
        <v>43</v>
      </c>
    </row>
    <row r="3429" spans="6:9">
      <c r="F3429" s="12" t="s">
        <v>4190</v>
      </c>
      <c r="G3429" s="12" t="s">
        <v>159</v>
      </c>
      <c r="H3429" s="15">
        <v>22100</v>
      </c>
      <c r="I3429" s="13">
        <v>43</v>
      </c>
    </row>
    <row r="3430" spans="6:9">
      <c r="F3430" s="12" t="s">
        <v>4191</v>
      </c>
      <c r="G3430" s="12" t="s">
        <v>159</v>
      </c>
      <c r="H3430" s="15">
        <v>53500</v>
      </c>
      <c r="I3430" s="13">
        <v>43</v>
      </c>
    </row>
    <row r="3431" spans="6:9">
      <c r="F3431" s="12" t="s">
        <v>226</v>
      </c>
      <c r="G3431" s="12" t="s">
        <v>157</v>
      </c>
      <c r="H3431" s="15">
        <v>174816</v>
      </c>
      <c r="I3431" s="13">
        <v>43</v>
      </c>
    </row>
    <row r="3432" spans="6:9">
      <c r="F3432" s="12" t="s">
        <v>4192</v>
      </c>
      <c r="G3432" s="12" t="s">
        <v>159</v>
      </c>
      <c r="H3432" s="15">
        <v>15500</v>
      </c>
      <c r="I3432" s="13">
        <v>43</v>
      </c>
    </row>
    <row r="3433" spans="6:9">
      <c r="F3433" s="12" t="s">
        <v>2377</v>
      </c>
      <c r="G3433" s="12" t="s">
        <v>157</v>
      </c>
      <c r="H3433" s="15">
        <v>34043</v>
      </c>
      <c r="I3433" s="13">
        <v>43</v>
      </c>
    </row>
    <row r="3434" spans="6:9">
      <c r="F3434" s="12" t="s">
        <v>4193</v>
      </c>
      <c r="G3434" s="12" t="s">
        <v>159</v>
      </c>
      <c r="H3434" s="15">
        <v>14800</v>
      </c>
      <c r="I3434" s="13">
        <v>43</v>
      </c>
    </row>
    <row r="3435" spans="6:9">
      <c r="F3435" s="12" t="s">
        <v>2379</v>
      </c>
      <c r="G3435" s="12" t="s">
        <v>157</v>
      </c>
      <c r="H3435" s="15">
        <v>14193</v>
      </c>
      <c r="I3435" s="13">
        <v>43</v>
      </c>
    </row>
    <row r="3436" spans="6:9">
      <c r="F3436" s="12" t="s">
        <v>4194</v>
      </c>
      <c r="G3436" s="12" t="s">
        <v>159</v>
      </c>
      <c r="H3436" s="15">
        <v>15400</v>
      </c>
      <c r="I3436" s="13">
        <v>43</v>
      </c>
    </row>
    <row r="3437" spans="6:9">
      <c r="F3437" s="12" t="s">
        <v>4195</v>
      </c>
      <c r="G3437" s="12" t="s">
        <v>157</v>
      </c>
      <c r="H3437" s="15">
        <v>54418</v>
      </c>
      <c r="I3437" s="13">
        <v>43</v>
      </c>
    </row>
    <row r="3438" spans="6:9">
      <c r="F3438" s="12" t="s">
        <v>4196</v>
      </c>
      <c r="G3438" s="12" t="s">
        <v>159</v>
      </c>
      <c r="H3438" s="15">
        <v>20500</v>
      </c>
      <c r="I3438" s="13">
        <v>43</v>
      </c>
    </row>
    <row r="3439" spans="6:9">
      <c r="F3439" s="12" t="s">
        <v>861</v>
      </c>
      <c r="G3439" s="12" t="s">
        <v>157</v>
      </c>
      <c r="H3439" s="15">
        <v>226435</v>
      </c>
      <c r="I3439" s="13">
        <v>43</v>
      </c>
    </row>
    <row r="3440" spans="6:9">
      <c r="F3440" s="12" t="s">
        <v>863</v>
      </c>
      <c r="G3440" s="12" t="s">
        <v>159</v>
      </c>
      <c r="H3440" s="15">
        <v>210600</v>
      </c>
      <c r="I3440" s="13">
        <v>43</v>
      </c>
    </row>
    <row r="3441" spans="6:9">
      <c r="F3441" s="12" t="s">
        <v>865</v>
      </c>
      <c r="G3441" s="12" t="s">
        <v>157</v>
      </c>
      <c r="H3441" s="15">
        <v>272803</v>
      </c>
      <c r="I3441" s="13">
        <v>43</v>
      </c>
    </row>
    <row r="3442" spans="6:9">
      <c r="F3442" s="12" t="s">
        <v>4197</v>
      </c>
      <c r="G3442" s="12" t="s">
        <v>157</v>
      </c>
      <c r="H3442" s="15">
        <v>10876</v>
      </c>
      <c r="I3442" s="13">
        <v>43</v>
      </c>
    </row>
    <row r="3443" spans="6:9">
      <c r="F3443" s="12" t="s">
        <v>4198</v>
      </c>
      <c r="G3443" s="12" t="s">
        <v>157</v>
      </c>
      <c r="H3443" s="15">
        <v>10800</v>
      </c>
      <c r="I3443" s="13">
        <v>43</v>
      </c>
    </row>
    <row r="3444" spans="6:9">
      <c r="F3444" s="12" t="s">
        <v>1384</v>
      </c>
      <c r="G3444" s="12" t="s">
        <v>159</v>
      </c>
      <c r="H3444" s="15">
        <v>123000</v>
      </c>
      <c r="I3444" s="13">
        <v>43</v>
      </c>
    </row>
    <row r="3445" spans="6:9">
      <c r="F3445" s="12" t="s">
        <v>4199</v>
      </c>
      <c r="G3445" s="12" t="s">
        <v>159</v>
      </c>
      <c r="H3445" s="15">
        <v>25700</v>
      </c>
      <c r="I3445" s="13">
        <v>43</v>
      </c>
    </row>
    <row r="3446" spans="6:9">
      <c r="F3446" s="12" t="s">
        <v>4200</v>
      </c>
      <c r="G3446" s="12" t="s">
        <v>159</v>
      </c>
      <c r="H3446" s="15">
        <v>11700</v>
      </c>
      <c r="I3446" s="13">
        <v>43</v>
      </c>
    </row>
    <row r="3447" spans="6:9">
      <c r="F3447" s="12" t="s">
        <v>867</v>
      </c>
      <c r="G3447" s="12" t="s">
        <v>157</v>
      </c>
      <c r="H3447" s="15">
        <v>644524</v>
      </c>
      <c r="I3447" s="13">
        <v>43</v>
      </c>
    </row>
    <row r="3448" spans="6:9">
      <c r="F3448" s="12" t="s">
        <v>4201</v>
      </c>
      <c r="G3448" s="12" t="s">
        <v>157</v>
      </c>
      <c r="H3448" s="15">
        <v>14291</v>
      </c>
      <c r="I3448" s="13">
        <v>43</v>
      </c>
    </row>
    <row r="3449" spans="6:9">
      <c r="F3449" s="12" t="s">
        <v>4202</v>
      </c>
      <c r="G3449" s="12" t="s">
        <v>157</v>
      </c>
      <c r="H3449" s="15">
        <v>28695</v>
      </c>
      <c r="I3449" s="13">
        <v>43</v>
      </c>
    </row>
    <row r="3450" spans="6:9">
      <c r="F3450" s="12" t="s">
        <v>2382</v>
      </c>
      <c r="G3450" s="12" t="s">
        <v>157</v>
      </c>
      <c r="H3450" s="15">
        <v>32124</v>
      </c>
      <c r="I3450" s="13">
        <v>43</v>
      </c>
    </row>
    <row r="3451" spans="6:9">
      <c r="F3451" s="12" t="s">
        <v>4203</v>
      </c>
      <c r="G3451" s="12" t="s">
        <v>157</v>
      </c>
      <c r="H3451" s="15">
        <v>70762</v>
      </c>
      <c r="I3451" s="13">
        <v>43</v>
      </c>
    </row>
    <row r="3452" spans="6:9">
      <c r="F3452" s="12" t="s">
        <v>4204</v>
      </c>
      <c r="G3452" s="12" t="s">
        <v>157</v>
      </c>
      <c r="H3452" s="15">
        <v>96163</v>
      </c>
      <c r="I3452" s="13">
        <v>43</v>
      </c>
    </row>
    <row r="3453" spans="6:9">
      <c r="F3453" s="12" t="s">
        <v>4205</v>
      </c>
      <c r="G3453" s="12" t="s">
        <v>159</v>
      </c>
      <c r="H3453" s="15">
        <v>11200</v>
      </c>
      <c r="I3453" s="13">
        <v>43</v>
      </c>
    </row>
    <row r="3454" spans="6:9">
      <c r="F3454" s="12" t="s">
        <v>4206</v>
      </c>
      <c r="G3454" s="12" t="s">
        <v>159</v>
      </c>
      <c r="H3454" s="15">
        <v>16300</v>
      </c>
      <c r="I3454" s="13">
        <v>43</v>
      </c>
    </row>
    <row r="3455" spans="6:9">
      <c r="F3455" s="12" t="s">
        <v>4207</v>
      </c>
      <c r="G3455" s="12" t="s">
        <v>157</v>
      </c>
      <c r="H3455" s="15">
        <v>26329</v>
      </c>
      <c r="I3455" s="13">
        <v>43</v>
      </c>
    </row>
    <row r="3456" spans="6:9">
      <c r="F3456" s="12" t="s">
        <v>4208</v>
      </c>
      <c r="G3456" s="12" t="s">
        <v>159</v>
      </c>
      <c r="H3456" s="15">
        <v>13900</v>
      </c>
      <c r="I3456" s="13">
        <v>43</v>
      </c>
    </row>
    <row r="3457" spans="6:9">
      <c r="F3457" s="12" t="s">
        <v>4209</v>
      </c>
      <c r="G3457" s="12" t="s">
        <v>159</v>
      </c>
      <c r="H3457" s="15">
        <v>10200</v>
      </c>
      <c r="I3457" s="13">
        <v>43</v>
      </c>
    </row>
    <row r="3458" spans="6:9">
      <c r="F3458" s="12" t="s">
        <v>4210</v>
      </c>
      <c r="G3458" s="12" t="s">
        <v>157</v>
      </c>
      <c r="H3458" s="15">
        <v>24257</v>
      </c>
      <c r="I3458" s="13">
        <v>43</v>
      </c>
    </row>
    <row r="3459" spans="6:9">
      <c r="F3459" s="12" t="s">
        <v>4211</v>
      </c>
      <c r="G3459" s="12" t="s">
        <v>159</v>
      </c>
      <c r="H3459" s="15">
        <v>78700</v>
      </c>
      <c r="I3459" s="13">
        <v>43</v>
      </c>
    </row>
    <row r="3460" spans="6:9">
      <c r="F3460" s="12" t="s">
        <v>2383</v>
      </c>
      <c r="G3460" s="12" t="s">
        <v>157</v>
      </c>
      <c r="H3460" s="15">
        <v>10579</v>
      </c>
      <c r="I3460" s="13">
        <v>43</v>
      </c>
    </row>
    <row r="3461" spans="6:9">
      <c r="F3461" s="12" t="s">
        <v>4212</v>
      </c>
      <c r="G3461" s="12" t="s">
        <v>159</v>
      </c>
      <c r="H3461" s="15">
        <v>20300</v>
      </c>
      <c r="I3461" s="13">
        <v>43</v>
      </c>
    </row>
    <row r="3462" spans="6:9">
      <c r="F3462" s="12" t="s">
        <v>4213</v>
      </c>
      <c r="G3462" s="12" t="s">
        <v>157</v>
      </c>
      <c r="H3462" s="15">
        <v>21864</v>
      </c>
      <c r="I3462" s="13">
        <v>43</v>
      </c>
    </row>
    <row r="3463" spans="6:9">
      <c r="F3463" s="12" t="s">
        <v>2384</v>
      </c>
      <c r="G3463" s="12" t="s">
        <v>157</v>
      </c>
      <c r="H3463" s="15">
        <v>29749</v>
      </c>
      <c r="I3463" s="13">
        <v>43</v>
      </c>
    </row>
    <row r="3464" spans="6:9">
      <c r="F3464" s="12" t="s">
        <v>4214</v>
      </c>
      <c r="G3464" s="12" t="s">
        <v>159</v>
      </c>
      <c r="H3464" s="15">
        <v>47200</v>
      </c>
      <c r="I3464" s="13">
        <v>43</v>
      </c>
    </row>
    <row r="3465" spans="6:9">
      <c r="F3465" s="12" t="s">
        <v>1399</v>
      </c>
      <c r="G3465" s="12" t="s">
        <v>159</v>
      </c>
      <c r="H3465" s="15">
        <v>320500</v>
      </c>
      <c r="I3465" s="13">
        <v>43</v>
      </c>
    </row>
    <row r="3466" spans="6:9">
      <c r="F3466" s="12" t="s">
        <v>4215</v>
      </c>
      <c r="G3466" s="12" t="s">
        <v>159</v>
      </c>
      <c r="H3466" s="15">
        <v>38200</v>
      </c>
      <c r="I3466" s="13">
        <v>43</v>
      </c>
    </row>
    <row r="3467" spans="6:9">
      <c r="F3467" s="12" t="s">
        <v>870</v>
      </c>
      <c r="G3467" s="12" t="s">
        <v>159</v>
      </c>
      <c r="H3467" s="15">
        <v>106000</v>
      </c>
      <c r="I3467" s="13">
        <v>43</v>
      </c>
    </row>
    <row r="3468" spans="6:9">
      <c r="F3468" s="12" t="s">
        <v>2386</v>
      </c>
      <c r="G3468" s="12" t="s">
        <v>157</v>
      </c>
      <c r="H3468" s="15">
        <v>20557</v>
      </c>
      <c r="I3468" s="13">
        <v>43</v>
      </c>
    </row>
    <row r="3469" spans="6:9">
      <c r="F3469" s="12" t="s">
        <v>4216</v>
      </c>
      <c r="G3469" s="12" t="s">
        <v>159</v>
      </c>
      <c r="H3469" s="15">
        <v>47900</v>
      </c>
      <c r="I3469" s="13">
        <v>43</v>
      </c>
    </row>
    <row r="3470" spans="6:9">
      <c r="F3470" s="12" t="s">
        <v>872</v>
      </c>
      <c r="G3470" s="12" t="s">
        <v>159</v>
      </c>
      <c r="H3470" s="15">
        <v>331900</v>
      </c>
      <c r="I3470" s="13">
        <v>43</v>
      </c>
    </row>
    <row r="3471" spans="6:9">
      <c r="F3471" s="12" t="s">
        <v>4217</v>
      </c>
      <c r="G3471" s="12" t="s">
        <v>159</v>
      </c>
      <c r="H3471" s="15">
        <v>95800</v>
      </c>
      <c r="I3471" s="13">
        <v>43</v>
      </c>
    </row>
    <row r="3472" spans="6:9">
      <c r="F3472" s="12" t="s">
        <v>2388</v>
      </c>
      <c r="G3472" s="12" t="s">
        <v>157</v>
      </c>
      <c r="H3472" s="15">
        <v>22174</v>
      </c>
      <c r="I3472" s="13">
        <v>43</v>
      </c>
    </row>
    <row r="3473" spans="6:9">
      <c r="F3473" s="12" t="s">
        <v>4218</v>
      </c>
      <c r="G3473" s="12" t="s">
        <v>159</v>
      </c>
      <c r="H3473" s="15">
        <v>45400</v>
      </c>
      <c r="I3473" s="13">
        <v>43</v>
      </c>
    </row>
    <row r="3474" spans="6:9">
      <c r="F3474" s="12" t="s">
        <v>874</v>
      </c>
      <c r="G3474" s="12" t="s">
        <v>157</v>
      </c>
      <c r="H3474" s="15">
        <v>191664</v>
      </c>
      <c r="I3474" s="13">
        <v>43</v>
      </c>
    </row>
    <row r="3475" spans="6:9">
      <c r="F3475" s="12" t="s">
        <v>4219</v>
      </c>
      <c r="G3475" s="12" t="s">
        <v>157</v>
      </c>
      <c r="H3475" s="15">
        <v>12446</v>
      </c>
      <c r="I3475" s="13">
        <v>43</v>
      </c>
    </row>
    <row r="3476" spans="6:9">
      <c r="F3476" s="12" t="s">
        <v>2390</v>
      </c>
      <c r="G3476" s="12" t="s">
        <v>157</v>
      </c>
      <c r="H3476" s="15">
        <v>57592</v>
      </c>
      <c r="I3476" s="13">
        <v>43</v>
      </c>
    </row>
    <row r="3477" spans="6:9">
      <c r="F3477" s="12" t="s">
        <v>4220</v>
      </c>
      <c r="G3477" s="12" t="s">
        <v>157</v>
      </c>
      <c r="H3477" s="15">
        <v>19512</v>
      </c>
      <c r="I3477" s="13">
        <v>43</v>
      </c>
    </row>
    <row r="3478" spans="6:9">
      <c r="F3478" s="12" t="s">
        <v>877</v>
      </c>
      <c r="G3478" s="12" t="s">
        <v>159</v>
      </c>
      <c r="H3478" s="15">
        <v>107500</v>
      </c>
      <c r="I3478" s="13">
        <v>43</v>
      </c>
    </row>
    <row r="3479" spans="6:9">
      <c r="F3479" s="12" t="s">
        <v>879</v>
      </c>
      <c r="G3479" s="12" t="s">
        <v>159</v>
      </c>
      <c r="H3479" s="15">
        <v>150100</v>
      </c>
      <c r="I3479" s="13">
        <v>43</v>
      </c>
    </row>
    <row r="3480" spans="6:9">
      <c r="F3480" s="12" t="s">
        <v>883</v>
      </c>
      <c r="G3480" s="12" t="s">
        <v>159</v>
      </c>
      <c r="H3480" s="15">
        <v>401600</v>
      </c>
      <c r="I3480" s="13">
        <v>43</v>
      </c>
    </row>
    <row r="3481" spans="6:9">
      <c r="F3481" s="12" t="s">
        <v>4221</v>
      </c>
      <c r="G3481" s="12" t="s">
        <v>159</v>
      </c>
      <c r="H3481" s="15">
        <v>30100</v>
      </c>
      <c r="I3481" s="13">
        <v>43</v>
      </c>
    </row>
    <row r="3482" spans="6:9">
      <c r="F3482" s="12" t="s">
        <v>4222</v>
      </c>
      <c r="G3482" s="12" t="s">
        <v>159</v>
      </c>
      <c r="H3482" s="15">
        <v>53800</v>
      </c>
      <c r="I3482" s="13">
        <v>43</v>
      </c>
    </row>
    <row r="3483" spans="6:9">
      <c r="F3483" s="12" t="s">
        <v>1273</v>
      </c>
      <c r="G3483" s="12" t="s">
        <v>157</v>
      </c>
      <c r="H3483" s="15">
        <v>239826</v>
      </c>
      <c r="I3483" s="13">
        <v>43</v>
      </c>
    </row>
    <row r="3484" spans="6:9">
      <c r="F3484" s="12" t="s">
        <v>4223</v>
      </c>
      <c r="G3484" s="12" t="s">
        <v>159</v>
      </c>
      <c r="H3484" s="15">
        <v>20300</v>
      </c>
      <c r="I3484" s="13">
        <v>43</v>
      </c>
    </row>
    <row r="3485" spans="6:9">
      <c r="F3485" s="12" t="s">
        <v>4224</v>
      </c>
      <c r="G3485" s="12" t="s">
        <v>157</v>
      </c>
      <c r="H3485" s="15">
        <v>21930</v>
      </c>
      <c r="I3485" s="13">
        <v>43</v>
      </c>
    </row>
    <row r="3486" spans="6:9">
      <c r="F3486" s="12" t="s">
        <v>4225</v>
      </c>
      <c r="G3486" s="12" t="s">
        <v>157</v>
      </c>
      <c r="H3486" s="15">
        <v>18893</v>
      </c>
      <c r="I3486" s="13">
        <v>43</v>
      </c>
    </row>
    <row r="3487" spans="6:9">
      <c r="F3487" s="12" t="s">
        <v>4226</v>
      </c>
      <c r="G3487" s="12" t="s">
        <v>159</v>
      </c>
      <c r="H3487" s="15">
        <v>86200</v>
      </c>
      <c r="I3487" s="13">
        <v>43</v>
      </c>
    </row>
    <row r="3488" spans="6:9">
      <c r="F3488" s="12" t="s">
        <v>1405</v>
      </c>
      <c r="G3488" s="12" t="s">
        <v>159</v>
      </c>
      <c r="H3488" s="15">
        <v>248100</v>
      </c>
      <c r="I3488" s="13">
        <v>43</v>
      </c>
    </row>
    <row r="3489" spans="6:9">
      <c r="F3489" s="12" t="s">
        <v>4227</v>
      </c>
      <c r="G3489" s="12" t="s">
        <v>157</v>
      </c>
      <c r="H3489" s="15">
        <v>10190</v>
      </c>
      <c r="I3489" s="13">
        <v>43</v>
      </c>
    </row>
    <row r="3490" spans="6:9">
      <c r="F3490" s="12" t="s">
        <v>2392</v>
      </c>
      <c r="G3490" s="12" t="s">
        <v>157</v>
      </c>
      <c r="H3490" s="15">
        <v>37032</v>
      </c>
      <c r="I3490" s="13">
        <v>43</v>
      </c>
    </row>
    <row r="3491" spans="6:9">
      <c r="F3491" s="12" t="s">
        <v>2394</v>
      </c>
      <c r="G3491" s="12" t="s">
        <v>157</v>
      </c>
      <c r="H3491" s="15">
        <v>17765</v>
      </c>
      <c r="I3491" s="13">
        <v>43</v>
      </c>
    </row>
    <row r="3492" spans="6:9">
      <c r="F3492" s="12" t="s">
        <v>4228</v>
      </c>
      <c r="G3492" s="12" t="s">
        <v>157</v>
      </c>
      <c r="H3492" s="15">
        <v>16504</v>
      </c>
      <c r="I3492" s="13">
        <v>43</v>
      </c>
    </row>
    <row r="3493" spans="6:9">
      <c r="F3493" s="12" t="s">
        <v>2395</v>
      </c>
      <c r="G3493" s="12" t="s">
        <v>157</v>
      </c>
      <c r="H3493" s="15">
        <v>43795</v>
      </c>
      <c r="I3493" s="13">
        <v>43</v>
      </c>
    </row>
    <row r="3494" spans="6:9">
      <c r="F3494" s="12" t="s">
        <v>1408</v>
      </c>
      <c r="G3494" s="12" t="s">
        <v>159</v>
      </c>
      <c r="H3494" s="15">
        <v>295000</v>
      </c>
      <c r="I3494" s="13">
        <v>43</v>
      </c>
    </row>
    <row r="3495" spans="6:9">
      <c r="F3495" s="12" t="s">
        <v>1411</v>
      </c>
      <c r="G3495" s="12" t="s">
        <v>159</v>
      </c>
      <c r="H3495" s="15">
        <v>208500</v>
      </c>
      <c r="I3495" s="13">
        <v>43</v>
      </c>
    </row>
    <row r="3496" spans="6:9">
      <c r="F3496" s="12" t="s">
        <v>4229</v>
      </c>
      <c r="G3496" s="12" t="s">
        <v>159</v>
      </c>
      <c r="H3496" s="15">
        <v>10600</v>
      </c>
      <c r="I3496" s="13">
        <v>43</v>
      </c>
    </row>
    <row r="3497" spans="6:9">
      <c r="F3497" s="12" t="s">
        <v>4230</v>
      </c>
      <c r="G3497" s="12" t="s">
        <v>157</v>
      </c>
      <c r="H3497" s="15">
        <v>10737</v>
      </c>
      <c r="I3497" s="13">
        <v>43</v>
      </c>
    </row>
    <row r="3498" spans="6:9">
      <c r="F3498" s="12" t="s">
        <v>4231</v>
      </c>
      <c r="G3498" s="12" t="s">
        <v>159</v>
      </c>
      <c r="H3498" s="15">
        <v>75700</v>
      </c>
      <c r="I3498" s="13">
        <v>43</v>
      </c>
    </row>
    <row r="3499" spans="6:9">
      <c r="F3499" s="12" t="s">
        <v>886</v>
      </c>
      <c r="G3499" s="12" t="s">
        <v>157</v>
      </c>
      <c r="H3499" s="15">
        <v>178537</v>
      </c>
      <c r="I3499" s="13">
        <v>43</v>
      </c>
    </row>
    <row r="3500" spans="6:9">
      <c r="F3500" s="12" t="s">
        <v>889</v>
      </c>
      <c r="G3500" s="12" t="s">
        <v>159</v>
      </c>
      <c r="H3500" s="15">
        <v>241600</v>
      </c>
      <c r="I3500" s="13">
        <v>43</v>
      </c>
    </row>
    <row r="3501" spans="6:9">
      <c r="F3501" s="12" t="s">
        <v>4232</v>
      </c>
      <c r="G3501" s="12" t="s">
        <v>159</v>
      </c>
      <c r="H3501" s="15">
        <v>11700</v>
      </c>
      <c r="I3501" s="13">
        <v>43</v>
      </c>
    </row>
    <row r="3502" spans="6:9">
      <c r="F3502" s="12" t="s">
        <v>4233</v>
      </c>
      <c r="G3502" s="12" t="s">
        <v>157</v>
      </c>
      <c r="H3502" s="15">
        <v>11025</v>
      </c>
      <c r="I3502" s="13">
        <v>43</v>
      </c>
    </row>
    <row r="3503" spans="6:9">
      <c r="F3503" s="12" t="s">
        <v>649</v>
      </c>
      <c r="G3503" s="12" t="s">
        <v>157</v>
      </c>
      <c r="H3503" s="15">
        <v>14916540</v>
      </c>
      <c r="I3503" s="13">
        <v>43</v>
      </c>
    </row>
    <row r="3504" spans="6:9">
      <c r="F3504" s="12" t="s">
        <v>892</v>
      </c>
      <c r="G3504" s="12" t="s">
        <v>159</v>
      </c>
      <c r="H3504" s="15">
        <v>312400</v>
      </c>
      <c r="I3504" s="13">
        <v>43</v>
      </c>
    </row>
    <row r="3505" spans="6:9">
      <c r="F3505" s="12" t="s">
        <v>4234</v>
      </c>
      <c r="G3505" s="12" t="s">
        <v>157</v>
      </c>
      <c r="H3505" s="15">
        <v>76512</v>
      </c>
      <c r="I3505" s="13">
        <v>43</v>
      </c>
    </row>
    <row r="3506" spans="6:9">
      <c r="F3506" s="12" t="s">
        <v>2397</v>
      </c>
      <c r="G3506" s="12" t="s">
        <v>157</v>
      </c>
      <c r="H3506" s="15">
        <v>11709</v>
      </c>
      <c r="I3506" s="13">
        <v>43</v>
      </c>
    </row>
    <row r="3507" spans="6:9">
      <c r="F3507" s="12" t="s">
        <v>895</v>
      </c>
      <c r="G3507" s="12" t="s">
        <v>159</v>
      </c>
      <c r="H3507" s="15">
        <v>195400</v>
      </c>
      <c r="I3507" s="13">
        <v>43</v>
      </c>
    </row>
    <row r="3508" spans="6:9">
      <c r="F3508" s="12" t="s">
        <v>4235</v>
      </c>
      <c r="G3508" s="12" t="s">
        <v>159</v>
      </c>
      <c r="H3508" s="15">
        <v>19900</v>
      </c>
      <c r="I3508" s="13">
        <v>43</v>
      </c>
    </row>
    <row r="3509" spans="6:9">
      <c r="F3509" s="12" t="s">
        <v>4236</v>
      </c>
      <c r="G3509" s="12" t="s">
        <v>159</v>
      </c>
      <c r="H3509" s="15">
        <v>17700</v>
      </c>
      <c r="I3509" s="13">
        <v>43</v>
      </c>
    </row>
    <row r="3510" spans="6:9">
      <c r="F3510" s="12" t="s">
        <v>4237</v>
      </c>
      <c r="G3510" s="12" t="s">
        <v>159</v>
      </c>
      <c r="H3510" s="15">
        <v>39900</v>
      </c>
      <c r="I3510" s="13">
        <v>43</v>
      </c>
    </row>
    <row r="3511" spans="6:9">
      <c r="F3511" s="12" t="s">
        <v>4238</v>
      </c>
      <c r="G3511" s="12" t="s">
        <v>157</v>
      </c>
      <c r="H3511" s="15">
        <v>16056</v>
      </c>
      <c r="I3511" s="13">
        <v>43</v>
      </c>
    </row>
    <row r="3512" spans="6:9">
      <c r="F3512" s="12" t="s">
        <v>4239</v>
      </c>
      <c r="G3512" s="12" t="s">
        <v>159</v>
      </c>
      <c r="H3512" s="15">
        <v>12800</v>
      </c>
      <c r="I3512" s="13">
        <v>43</v>
      </c>
    </row>
    <row r="3513" spans="6:9">
      <c r="F3513" s="12" t="s">
        <v>4240</v>
      </c>
      <c r="G3513" s="12" t="s">
        <v>159</v>
      </c>
      <c r="H3513" s="15">
        <v>38100</v>
      </c>
      <c r="I3513" s="13">
        <v>43</v>
      </c>
    </row>
    <row r="3514" spans="6:9">
      <c r="F3514" s="12" t="s">
        <v>4241</v>
      </c>
      <c r="G3514" s="12" t="s">
        <v>157</v>
      </c>
      <c r="H3514" s="15">
        <v>11681</v>
      </c>
      <c r="I3514" s="13">
        <v>43</v>
      </c>
    </row>
    <row r="3515" spans="6:9">
      <c r="F3515" s="12" t="s">
        <v>4242</v>
      </c>
      <c r="G3515" s="12" t="s">
        <v>159</v>
      </c>
      <c r="H3515" s="15">
        <v>11600</v>
      </c>
      <c r="I3515" s="13">
        <v>43</v>
      </c>
    </row>
    <row r="3516" spans="6:9">
      <c r="F3516" s="12" t="s">
        <v>4243</v>
      </c>
      <c r="G3516" s="12" t="s">
        <v>157</v>
      </c>
      <c r="H3516" s="15">
        <v>20039</v>
      </c>
      <c r="I3516" s="13">
        <v>43</v>
      </c>
    </row>
    <row r="3517" spans="6:9">
      <c r="F3517" s="12" t="s">
        <v>1417</v>
      </c>
      <c r="G3517" s="12" t="s">
        <v>157</v>
      </c>
      <c r="H3517" s="15">
        <v>118979</v>
      </c>
      <c r="I3517" s="13">
        <v>43</v>
      </c>
    </row>
    <row r="3518" spans="6:9">
      <c r="F3518" s="12" t="s">
        <v>4244</v>
      </c>
      <c r="G3518" s="12" t="s">
        <v>157</v>
      </c>
      <c r="H3518" s="15">
        <v>16472</v>
      </c>
      <c r="I3518" s="13">
        <v>43</v>
      </c>
    </row>
    <row r="3519" spans="6:9">
      <c r="F3519" s="12" t="s">
        <v>4245</v>
      </c>
      <c r="G3519" s="12" t="s">
        <v>157</v>
      </c>
      <c r="H3519" s="15">
        <v>54224</v>
      </c>
      <c r="I3519" s="13">
        <v>43</v>
      </c>
    </row>
    <row r="3520" spans="6:9">
      <c r="F3520" s="12" t="s">
        <v>1420</v>
      </c>
      <c r="G3520" s="12" t="s">
        <v>157</v>
      </c>
      <c r="H3520" s="15">
        <v>105340</v>
      </c>
      <c r="I3520" s="13">
        <v>43</v>
      </c>
    </row>
    <row r="3521" spans="6:9">
      <c r="F3521" s="12" t="s">
        <v>2405</v>
      </c>
      <c r="G3521" s="12" t="s">
        <v>157</v>
      </c>
      <c r="H3521" s="15">
        <v>33164</v>
      </c>
      <c r="I3521" s="13">
        <v>43</v>
      </c>
    </row>
    <row r="3522" spans="6:9">
      <c r="F3522" s="12" t="s">
        <v>4246</v>
      </c>
      <c r="G3522" s="12" t="s">
        <v>159</v>
      </c>
      <c r="H3522" s="15">
        <v>41900</v>
      </c>
      <c r="I3522" s="13">
        <v>43</v>
      </c>
    </row>
    <row r="3523" spans="6:9">
      <c r="F3523" s="12" t="s">
        <v>4247</v>
      </c>
      <c r="G3523" s="12" t="s">
        <v>159</v>
      </c>
      <c r="H3523" s="15">
        <v>31700</v>
      </c>
      <c r="I3523" s="13">
        <v>43</v>
      </c>
    </row>
    <row r="3524" spans="6:9">
      <c r="F3524" s="12" t="s">
        <v>4248</v>
      </c>
      <c r="G3524" s="12" t="s">
        <v>159</v>
      </c>
      <c r="H3524" s="15">
        <v>31500</v>
      </c>
      <c r="I3524" s="13">
        <v>43</v>
      </c>
    </row>
    <row r="3525" spans="6:9">
      <c r="F3525" s="12" t="s">
        <v>4249</v>
      </c>
      <c r="G3525" s="12" t="s">
        <v>159</v>
      </c>
      <c r="H3525" s="15">
        <v>34100</v>
      </c>
      <c r="I3525" s="13">
        <v>43</v>
      </c>
    </row>
    <row r="3526" spans="6:9">
      <c r="F3526" s="12" t="s">
        <v>897</v>
      </c>
      <c r="G3526" s="12" t="s">
        <v>157</v>
      </c>
      <c r="H3526" s="15">
        <v>244860</v>
      </c>
      <c r="I3526" s="13">
        <v>43</v>
      </c>
    </row>
    <row r="3527" spans="6:9">
      <c r="F3527" s="12" t="s">
        <v>899</v>
      </c>
      <c r="G3527" s="12" t="s">
        <v>157</v>
      </c>
      <c r="H3527" s="15">
        <v>110311</v>
      </c>
      <c r="I3527" s="13">
        <v>43</v>
      </c>
    </row>
    <row r="3528" spans="6:9">
      <c r="F3528" s="12" t="s">
        <v>4250</v>
      </c>
      <c r="G3528" s="12" t="s">
        <v>157</v>
      </c>
      <c r="H3528" s="15">
        <v>21033</v>
      </c>
      <c r="I3528" s="13">
        <v>43</v>
      </c>
    </row>
    <row r="3529" spans="6:9">
      <c r="F3529" s="12" t="s">
        <v>4251</v>
      </c>
      <c r="G3529" s="12" t="s">
        <v>159</v>
      </c>
      <c r="H3529" s="15">
        <v>16700</v>
      </c>
      <c r="I3529" s="13">
        <v>43</v>
      </c>
    </row>
    <row r="3530" spans="6:9">
      <c r="F3530" s="12" t="s">
        <v>4252</v>
      </c>
      <c r="G3530" s="12" t="s">
        <v>159</v>
      </c>
      <c r="H3530" s="15">
        <v>48600</v>
      </c>
      <c r="I3530" s="13">
        <v>43</v>
      </c>
    </row>
    <row r="3531" spans="6:9">
      <c r="F3531" s="12" t="s">
        <v>4253</v>
      </c>
      <c r="G3531" s="12" t="s">
        <v>157</v>
      </c>
      <c r="H3531" s="15">
        <v>34325</v>
      </c>
      <c r="I3531" s="13">
        <v>43</v>
      </c>
    </row>
    <row r="3532" spans="6:9">
      <c r="F3532" s="12" t="s">
        <v>4254</v>
      </c>
      <c r="G3532" s="12" t="s">
        <v>157</v>
      </c>
      <c r="H3532" s="15">
        <v>24952</v>
      </c>
      <c r="I3532" s="13">
        <v>43</v>
      </c>
    </row>
    <row r="3533" spans="6:9">
      <c r="F3533" s="12" t="s">
        <v>4255</v>
      </c>
      <c r="G3533" s="12" t="s">
        <v>159</v>
      </c>
      <c r="H3533" s="15">
        <v>45900</v>
      </c>
      <c r="I3533" s="13">
        <v>43</v>
      </c>
    </row>
    <row r="3534" spans="6:9">
      <c r="F3534" s="12" t="s">
        <v>4256</v>
      </c>
      <c r="G3534" s="12" t="s">
        <v>159</v>
      </c>
      <c r="H3534" s="15">
        <v>10100</v>
      </c>
      <c r="I3534" s="13">
        <v>43</v>
      </c>
    </row>
    <row r="3535" spans="6:9">
      <c r="F3535" s="12" t="s">
        <v>1422</v>
      </c>
      <c r="G3535" s="12" t="s">
        <v>159</v>
      </c>
      <c r="H3535" s="15">
        <v>705400</v>
      </c>
      <c r="I3535" s="13">
        <v>43</v>
      </c>
    </row>
    <row r="3536" spans="6:9">
      <c r="F3536" s="12" t="s">
        <v>4257</v>
      </c>
      <c r="G3536" s="12" t="s">
        <v>159</v>
      </c>
      <c r="H3536" s="15">
        <v>10800</v>
      </c>
      <c r="I3536" s="13">
        <v>43</v>
      </c>
    </row>
    <row r="3537" spans="6:9">
      <c r="F3537" s="12" t="s">
        <v>4258</v>
      </c>
      <c r="G3537" s="12" t="s">
        <v>157</v>
      </c>
      <c r="H3537" s="15">
        <v>14995</v>
      </c>
      <c r="I3537" s="13">
        <v>43</v>
      </c>
    </row>
    <row r="3538" spans="6:9">
      <c r="F3538" s="12" t="s">
        <v>4259</v>
      </c>
      <c r="G3538" s="12" t="s">
        <v>157</v>
      </c>
      <c r="H3538" s="15">
        <v>10640</v>
      </c>
      <c r="I3538" s="13">
        <v>43</v>
      </c>
    </row>
    <row r="3539" spans="6:9">
      <c r="F3539" s="12" t="s">
        <v>1826</v>
      </c>
      <c r="G3539" s="12" t="s">
        <v>157</v>
      </c>
      <c r="H3539" s="15">
        <v>219189</v>
      </c>
      <c r="I3539" s="13">
        <v>43</v>
      </c>
    </row>
    <row r="3540" spans="6:9">
      <c r="F3540" s="12" t="s">
        <v>4260</v>
      </c>
      <c r="G3540" s="12" t="s">
        <v>157</v>
      </c>
      <c r="H3540" s="15">
        <v>34532</v>
      </c>
      <c r="I3540" s="13">
        <v>43</v>
      </c>
    </row>
    <row r="3541" spans="6:9">
      <c r="F3541" s="12" t="s">
        <v>4261</v>
      </c>
      <c r="G3541" s="12" t="s">
        <v>159</v>
      </c>
      <c r="H3541" s="15">
        <v>23100</v>
      </c>
      <c r="I3541" s="13">
        <v>43</v>
      </c>
    </row>
    <row r="3542" spans="6:9">
      <c r="F3542" s="12" t="s">
        <v>2407</v>
      </c>
      <c r="G3542" s="12" t="s">
        <v>157</v>
      </c>
      <c r="H3542" s="15">
        <v>29462</v>
      </c>
      <c r="I3542" s="13">
        <v>43</v>
      </c>
    </row>
    <row r="3543" spans="6:9">
      <c r="F3543" s="12" t="s">
        <v>2409</v>
      </c>
      <c r="G3543" s="12" t="s">
        <v>157</v>
      </c>
      <c r="H3543" s="15">
        <v>15515</v>
      </c>
      <c r="I3543" s="13">
        <v>43</v>
      </c>
    </row>
    <row r="3544" spans="6:9">
      <c r="F3544" s="12" t="s">
        <v>2411</v>
      </c>
      <c r="G3544" s="12" t="s">
        <v>157</v>
      </c>
      <c r="H3544" s="15">
        <v>12138</v>
      </c>
      <c r="I3544" s="13">
        <v>43</v>
      </c>
    </row>
    <row r="3545" spans="6:9">
      <c r="F3545" s="12" t="s">
        <v>905</v>
      </c>
      <c r="G3545" s="12" t="s">
        <v>159</v>
      </c>
      <c r="H3545" s="15">
        <v>241900</v>
      </c>
      <c r="I3545" s="13">
        <v>43</v>
      </c>
    </row>
    <row r="3546" spans="6:9">
      <c r="F3546" s="12" t="s">
        <v>2413</v>
      </c>
      <c r="G3546" s="12" t="s">
        <v>157</v>
      </c>
      <c r="H3546" s="15">
        <v>54704</v>
      </c>
      <c r="I3546" s="13">
        <v>43</v>
      </c>
    </row>
    <row r="3547" spans="6:9">
      <c r="F3547" s="12" t="s">
        <v>4262</v>
      </c>
      <c r="G3547" s="12" t="s">
        <v>159</v>
      </c>
      <c r="H3547" s="15">
        <v>20600</v>
      </c>
      <c r="I3547" s="13">
        <v>43</v>
      </c>
    </row>
    <row r="3548" spans="6:9">
      <c r="F3548" s="12" t="s">
        <v>2414</v>
      </c>
      <c r="G3548" s="12" t="s">
        <v>157</v>
      </c>
      <c r="H3548" s="15">
        <v>19160</v>
      </c>
      <c r="I3548" s="13">
        <v>43</v>
      </c>
    </row>
    <row r="3549" spans="6:9">
      <c r="F3549" s="12" t="s">
        <v>2416</v>
      </c>
      <c r="G3549" s="12" t="s">
        <v>157</v>
      </c>
      <c r="H3549" s="15">
        <v>25379</v>
      </c>
      <c r="I3549" s="13">
        <v>43</v>
      </c>
    </row>
    <row r="3550" spans="6:9">
      <c r="F3550" s="12" t="s">
        <v>4263</v>
      </c>
      <c r="G3550" s="12" t="s">
        <v>157</v>
      </c>
      <c r="H3550" s="15">
        <v>15370</v>
      </c>
      <c r="I3550" s="13">
        <v>43</v>
      </c>
    </row>
    <row r="3551" spans="6:9">
      <c r="F3551" s="12" t="s">
        <v>4264</v>
      </c>
      <c r="G3551" s="12" t="s">
        <v>159</v>
      </c>
      <c r="H3551" s="15">
        <v>14000</v>
      </c>
      <c r="I3551" s="13">
        <v>43</v>
      </c>
    </row>
    <row r="3552" spans="6:9">
      <c r="F3552" s="12" t="s">
        <v>4265</v>
      </c>
      <c r="G3552" s="12" t="s">
        <v>159</v>
      </c>
      <c r="H3552" s="15">
        <v>41900</v>
      </c>
      <c r="I3552" s="13">
        <v>43</v>
      </c>
    </row>
    <row r="3553" spans="6:9">
      <c r="F3553" s="12" t="s">
        <v>4266</v>
      </c>
      <c r="G3553" s="12" t="s">
        <v>159</v>
      </c>
      <c r="H3553" s="15">
        <v>10000</v>
      </c>
      <c r="I3553" s="13">
        <v>43</v>
      </c>
    </row>
    <row r="3554" spans="6:9">
      <c r="F3554" s="12" t="s">
        <v>4267</v>
      </c>
      <c r="G3554" s="12" t="s">
        <v>157</v>
      </c>
      <c r="H3554" s="15">
        <v>15131</v>
      </c>
      <c r="I3554" s="13">
        <v>43</v>
      </c>
    </row>
    <row r="3555" spans="6:9">
      <c r="F3555" s="12" t="s">
        <v>4268</v>
      </c>
      <c r="G3555" s="12" t="s">
        <v>157</v>
      </c>
      <c r="H3555" s="15">
        <v>12192</v>
      </c>
      <c r="I3555" s="13">
        <v>43</v>
      </c>
    </row>
    <row r="3556" spans="6:9">
      <c r="F3556" s="12" t="s">
        <v>4269</v>
      </c>
      <c r="G3556" s="12" t="s">
        <v>157</v>
      </c>
      <c r="H3556" s="15">
        <v>53801</v>
      </c>
      <c r="I3556" s="13">
        <v>43</v>
      </c>
    </row>
    <row r="3557" spans="6:9">
      <c r="F3557" s="12" t="s">
        <v>4270</v>
      </c>
      <c r="G3557" s="12" t="s">
        <v>159</v>
      </c>
      <c r="H3557" s="15">
        <v>62800</v>
      </c>
      <c r="I3557" s="13">
        <v>43</v>
      </c>
    </row>
    <row r="3558" spans="6:9">
      <c r="F3558" s="12" t="s">
        <v>1425</v>
      </c>
      <c r="G3558" s="12" t="s">
        <v>157</v>
      </c>
      <c r="H3558" s="15">
        <v>100458</v>
      </c>
      <c r="I3558" s="13">
        <v>43</v>
      </c>
    </row>
    <row r="3559" spans="6:9">
      <c r="F3559" s="12" t="s">
        <v>1818</v>
      </c>
      <c r="G3559" s="12" t="s">
        <v>157</v>
      </c>
      <c r="H3559" s="15">
        <v>208798</v>
      </c>
      <c r="I3559" s="13">
        <v>43</v>
      </c>
    </row>
    <row r="3560" spans="6:9">
      <c r="F3560" s="12" t="s">
        <v>4271</v>
      </c>
      <c r="G3560" s="12" t="s">
        <v>157</v>
      </c>
      <c r="H3560" s="15">
        <v>25110</v>
      </c>
      <c r="I3560" s="13">
        <v>43</v>
      </c>
    </row>
    <row r="3561" spans="6:9">
      <c r="F3561" s="12" t="s">
        <v>4272</v>
      </c>
      <c r="G3561" s="12" t="s">
        <v>157</v>
      </c>
      <c r="H3561" s="15">
        <v>91417</v>
      </c>
      <c r="I3561" s="13">
        <v>43</v>
      </c>
    </row>
    <row r="3562" spans="6:9">
      <c r="F3562" s="12" t="s">
        <v>4273</v>
      </c>
      <c r="G3562" s="12" t="s">
        <v>157</v>
      </c>
      <c r="H3562" s="15">
        <v>12924</v>
      </c>
      <c r="I3562" s="13">
        <v>43</v>
      </c>
    </row>
    <row r="3563" spans="6:9">
      <c r="F3563" s="12" t="s">
        <v>4274</v>
      </c>
      <c r="G3563" s="12" t="s">
        <v>159</v>
      </c>
      <c r="H3563" s="15">
        <v>15900</v>
      </c>
      <c r="I3563" s="13">
        <v>43</v>
      </c>
    </row>
    <row r="3564" spans="6:9">
      <c r="F3564" s="12" t="s">
        <v>4275</v>
      </c>
      <c r="G3564" s="12" t="s">
        <v>159</v>
      </c>
      <c r="H3564" s="15">
        <v>15600</v>
      </c>
      <c r="I3564" s="13">
        <v>43</v>
      </c>
    </row>
    <row r="3565" spans="6:9">
      <c r="F3565" s="12" t="s">
        <v>4276</v>
      </c>
      <c r="G3565" s="12" t="s">
        <v>159</v>
      </c>
      <c r="H3565" s="15">
        <v>10900</v>
      </c>
      <c r="I3565" s="13">
        <v>43</v>
      </c>
    </row>
    <row r="3566" spans="6:9">
      <c r="F3566" s="12" t="s">
        <v>4277</v>
      </c>
      <c r="G3566" s="12" t="s">
        <v>159</v>
      </c>
      <c r="H3566" s="15">
        <v>12300</v>
      </c>
      <c r="I3566" s="13">
        <v>43</v>
      </c>
    </row>
    <row r="3567" spans="6:9">
      <c r="F3567" s="12" t="s">
        <v>907</v>
      </c>
      <c r="G3567" s="12" t="s">
        <v>157</v>
      </c>
      <c r="H3567" s="15">
        <v>3495969</v>
      </c>
      <c r="I3567" s="13">
        <v>43</v>
      </c>
    </row>
    <row r="3568" spans="6:9">
      <c r="F3568" s="12" t="s">
        <v>4278</v>
      </c>
      <c r="G3568" s="12" t="s">
        <v>159</v>
      </c>
      <c r="H3568" s="15">
        <v>11400</v>
      </c>
      <c r="I3568" s="13">
        <v>43</v>
      </c>
    </row>
    <row r="3569" spans="6:9">
      <c r="F3569" s="12" t="s">
        <v>4279</v>
      </c>
      <c r="G3569" s="12" t="s">
        <v>157</v>
      </c>
      <c r="H3569" s="15">
        <v>77895</v>
      </c>
      <c r="I3569" s="13">
        <v>43</v>
      </c>
    </row>
    <row r="3570" spans="6:9">
      <c r="F3570" s="12" t="s">
        <v>910</v>
      </c>
      <c r="G3570" s="12" t="s">
        <v>157</v>
      </c>
      <c r="H3570" s="15">
        <v>102382</v>
      </c>
      <c r="I3570" s="13">
        <v>43</v>
      </c>
    </row>
    <row r="3571" spans="6:9">
      <c r="F3571" s="12" t="s">
        <v>912</v>
      </c>
      <c r="G3571" s="12" t="s">
        <v>159</v>
      </c>
      <c r="H3571" s="15">
        <v>160000</v>
      </c>
      <c r="I3571" s="13">
        <v>43</v>
      </c>
    </row>
    <row r="3572" spans="6:9">
      <c r="F3572" s="12" t="s">
        <v>2419</v>
      </c>
      <c r="G3572" s="12" t="s">
        <v>157</v>
      </c>
      <c r="H3572" s="15">
        <v>12443</v>
      </c>
      <c r="I3572" s="13">
        <v>43</v>
      </c>
    </row>
    <row r="3573" spans="6:9">
      <c r="F3573" s="12" t="s">
        <v>2421</v>
      </c>
      <c r="G3573" s="12" t="s">
        <v>157</v>
      </c>
      <c r="H3573" s="15">
        <v>87245</v>
      </c>
      <c r="I3573" s="13">
        <v>43</v>
      </c>
    </row>
    <row r="3574" spans="6:9">
      <c r="F3574" s="12" t="s">
        <v>4280</v>
      </c>
      <c r="G3574" s="12" t="s">
        <v>157</v>
      </c>
      <c r="H3574" s="15">
        <v>21917</v>
      </c>
      <c r="I3574" s="13">
        <v>43</v>
      </c>
    </row>
    <row r="3575" spans="6:9">
      <c r="F3575" s="12" t="s">
        <v>4281</v>
      </c>
      <c r="G3575" s="12" t="s">
        <v>159</v>
      </c>
      <c r="H3575" s="15">
        <v>10700</v>
      </c>
      <c r="I3575" s="13">
        <v>43</v>
      </c>
    </row>
    <row r="3576" spans="6:9">
      <c r="F3576" s="12" t="s">
        <v>4282</v>
      </c>
      <c r="G3576" s="12" t="s">
        <v>157</v>
      </c>
      <c r="H3576" s="15">
        <v>23402</v>
      </c>
      <c r="I3576" s="13">
        <v>43</v>
      </c>
    </row>
    <row r="3577" spans="6:9">
      <c r="F3577" s="12" t="s">
        <v>4283</v>
      </c>
      <c r="G3577" s="12" t="s">
        <v>159</v>
      </c>
      <c r="H3577" s="15">
        <v>19800</v>
      </c>
      <c r="I3577" s="13">
        <v>43</v>
      </c>
    </row>
    <row r="3578" spans="6:9">
      <c r="F3578" s="12" t="s">
        <v>4284</v>
      </c>
      <c r="G3578" s="12" t="s">
        <v>157</v>
      </c>
      <c r="H3578" s="15">
        <v>10634</v>
      </c>
      <c r="I3578" s="13">
        <v>43</v>
      </c>
    </row>
    <row r="3579" spans="6:9">
      <c r="F3579" s="12" t="s">
        <v>4285</v>
      </c>
      <c r="G3579" s="12" t="s">
        <v>159</v>
      </c>
      <c r="H3579" s="15">
        <v>60800</v>
      </c>
      <c r="I3579" s="13">
        <v>43</v>
      </c>
    </row>
    <row r="3580" spans="6:9">
      <c r="F3580" s="12" t="s">
        <v>1430</v>
      </c>
      <c r="G3580" s="12" t="s">
        <v>159</v>
      </c>
      <c r="H3580" s="15">
        <v>297300</v>
      </c>
      <c r="I3580" s="13">
        <v>43</v>
      </c>
    </row>
    <row r="3581" spans="6:9">
      <c r="F3581" s="12" t="s">
        <v>913</v>
      </c>
      <c r="G3581" s="12" t="s">
        <v>157</v>
      </c>
      <c r="H3581" s="15">
        <v>971904</v>
      </c>
      <c r="I3581" s="13">
        <v>43</v>
      </c>
    </row>
    <row r="3582" spans="6:9">
      <c r="F3582" s="12" t="s">
        <v>1433</v>
      </c>
      <c r="G3582" s="12" t="s">
        <v>159</v>
      </c>
      <c r="H3582" s="15">
        <v>197200</v>
      </c>
      <c r="I3582" s="13">
        <v>43</v>
      </c>
    </row>
    <row r="3583" spans="6:9">
      <c r="F3583" s="12" t="s">
        <v>4286</v>
      </c>
      <c r="G3583" s="12" t="s">
        <v>157</v>
      </c>
      <c r="H3583" s="15">
        <v>29235</v>
      </c>
      <c r="I3583" s="13">
        <v>43</v>
      </c>
    </row>
    <row r="3584" spans="6:9">
      <c r="F3584" s="12" t="s">
        <v>4287</v>
      </c>
      <c r="G3584" s="12" t="s">
        <v>159</v>
      </c>
      <c r="H3584" s="15">
        <v>16600</v>
      </c>
      <c r="I3584" s="13">
        <v>43</v>
      </c>
    </row>
    <row r="3585" spans="6:9">
      <c r="F3585" s="12" t="s">
        <v>2423</v>
      </c>
      <c r="G3585" s="12" t="s">
        <v>157</v>
      </c>
      <c r="H3585" s="15">
        <v>32198</v>
      </c>
      <c r="I3585" s="13">
        <v>43</v>
      </c>
    </row>
    <row r="3586" spans="6:9">
      <c r="F3586" s="12" t="s">
        <v>4288</v>
      </c>
      <c r="G3586" s="12" t="s">
        <v>157</v>
      </c>
      <c r="H3586" s="15">
        <v>14953</v>
      </c>
      <c r="I3586" s="13">
        <v>43</v>
      </c>
    </row>
    <row r="3587" spans="6:9">
      <c r="F3587" s="12" t="s">
        <v>916</v>
      </c>
      <c r="G3587" s="12" t="s">
        <v>159</v>
      </c>
      <c r="H3587" s="15">
        <v>303300</v>
      </c>
      <c r="I3587" s="13">
        <v>43</v>
      </c>
    </row>
    <row r="3588" spans="6:9">
      <c r="F3588" s="12" t="s">
        <v>4289</v>
      </c>
      <c r="G3588" s="12" t="s">
        <v>157</v>
      </c>
      <c r="H3588" s="15">
        <v>14257</v>
      </c>
      <c r="I3588" s="13">
        <v>43</v>
      </c>
    </row>
    <row r="3589" spans="6:9">
      <c r="F3589" s="12" t="s">
        <v>918</v>
      </c>
      <c r="G3589" s="12" t="s">
        <v>159</v>
      </c>
      <c r="H3589" s="15">
        <v>492400</v>
      </c>
      <c r="I3589" s="13">
        <v>43</v>
      </c>
    </row>
    <row r="3590" spans="6:9">
      <c r="F3590" s="12" t="s">
        <v>4290</v>
      </c>
      <c r="G3590" s="12" t="s">
        <v>159</v>
      </c>
      <c r="H3590" s="15">
        <v>17900</v>
      </c>
      <c r="I3590" s="13">
        <v>43</v>
      </c>
    </row>
    <row r="3591" spans="6:9">
      <c r="F3591" s="12" t="s">
        <v>4291</v>
      </c>
      <c r="G3591" s="12" t="s">
        <v>159</v>
      </c>
      <c r="H3591" s="15">
        <v>12400</v>
      </c>
      <c r="I3591" s="13">
        <v>43</v>
      </c>
    </row>
    <row r="3592" spans="6:9">
      <c r="F3592" s="12" t="s">
        <v>2425</v>
      </c>
      <c r="G3592" s="12" t="s">
        <v>157</v>
      </c>
      <c r="H3592" s="15">
        <v>30310</v>
      </c>
      <c r="I3592" s="13">
        <v>43</v>
      </c>
    </row>
    <row r="3593" spans="6:9">
      <c r="F3593" s="12" t="s">
        <v>4292</v>
      </c>
      <c r="G3593" s="12" t="s">
        <v>159</v>
      </c>
      <c r="H3593" s="15">
        <v>10200</v>
      </c>
      <c r="I3593" s="13">
        <v>43</v>
      </c>
    </row>
    <row r="3594" spans="6:9">
      <c r="F3594" s="12" t="s">
        <v>4293</v>
      </c>
      <c r="G3594" s="12" t="s">
        <v>157</v>
      </c>
      <c r="H3594" s="15">
        <v>25074</v>
      </c>
      <c r="I3594" s="13">
        <v>43</v>
      </c>
    </row>
    <row r="3595" spans="6:9">
      <c r="F3595" s="12" t="s">
        <v>4294</v>
      </c>
      <c r="G3595" s="12" t="s">
        <v>159</v>
      </c>
      <c r="H3595" s="15">
        <v>31000</v>
      </c>
      <c r="I3595" s="13">
        <v>42</v>
      </c>
    </row>
    <row r="3596" spans="6:9">
      <c r="F3596" s="12" t="s">
        <v>4295</v>
      </c>
      <c r="G3596" s="12" t="s">
        <v>157</v>
      </c>
      <c r="H3596" s="15">
        <v>22501</v>
      </c>
      <c r="I3596" s="13">
        <v>42</v>
      </c>
    </row>
    <row r="3597" spans="6:9">
      <c r="F3597" s="12" t="s">
        <v>920</v>
      </c>
      <c r="G3597" s="12" t="s">
        <v>157</v>
      </c>
      <c r="H3597" s="15">
        <v>1194675</v>
      </c>
      <c r="I3597" s="13">
        <v>42</v>
      </c>
    </row>
    <row r="3598" spans="6:9">
      <c r="F3598" s="12" t="s">
        <v>4296</v>
      </c>
      <c r="G3598" s="12" t="s">
        <v>159</v>
      </c>
      <c r="H3598" s="15">
        <v>83900</v>
      </c>
      <c r="I3598" s="13">
        <v>42</v>
      </c>
    </row>
    <row r="3599" spans="6:9">
      <c r="F3599" s="12" t="s">
        <v>1436</v>
      </c>
      <c r="G3599" s="12" t="s">
        <v>159</v>
      </c>
      <c r="H3599" s="15">
        <v>668700</v>
      </c>
      <c r="I3599" s="13">
        <v>42</v>
      </c>
    </row>
    <row r="3600" spans="6:9">
      <c r="F3600" s="12" t="s">
        <v>922</v>
      </c>
      <c r="G3600" s="12" t="s">
        <v>159</v>
      </c>
      <c r="H3600" s="15">
        <v>371800</v>
      </c>
      <c r="I3600" s="13">
        <v>42</v>
      </c>
    </row>
    <row r="3601" spans="6:9">
      <c r="F3601" s="12" t="s">
        <v>4297</v>
      </c>
      <c r="G3601" s="12" t="s">
        <v>159</v>
      </c>
      <c r="H3601" s="15">
        <v>25900</v>
      </c>
      <c r="I3601" s="13">
        <v>42</v>
      </c>
    </row>
    <row r="3602" spans="6:9">
      <c r="F3602" s="12" t="s">
        <v>4298</v>
      </c>
      <c r="G3602" s="12" t="s">
        <v>159</v>
      </c>
      <c r="H3602" s="15">
        <v>13700</v>
      </c>
      <c r="I3602" s="13">
        <v>42</v>
      </c>
    </row>
    <row r="3603" spans="6:9">
      <c r="F3603" s="12" t="s">
        <v>4299</v>
      </c>
      <c r="G3603" s="12" t="s">
        <v>159</v>
      </c>
      <c r="H3603" s="15">
        <v>23100</v>
      </c>
      <c r="I3603" s="13">
        <v>42</v>
      </c>
    </row>
    <row r="3604" spans="6:9">
      <c r="F3604" s="12" t="s">
        <v>253</v>
      </c>
      <c r="G3604" s="12" t="s">
        <v>157</v>
      </c>
      <c r="H3604" s="15">
        <v>107893</v>
      </c>
      <c r="I3604" s="13">
        <v>42</v>
      </c>
    </row>
    <row r="3605" spans="6:9">
      <c r="F3605" s="12" t="s">
        <v>4300</v>
      </c>
      <c r="G3605" s="12" t="s">
        <v>159</v>
      </c>
      <c r="H3605" s="15">
        <v>43400</v>
      </c>
      <c r="I3605" s="13">
        <v>42</v>
      </c>
    </row>
    <row r="3606" spans="6:9">
      <c r="F3606" s="12" t="s">
        <v>4301</v>
      </c>
      <c r="G3606" s="12" t="s">
        <v>159</v>
      </c>
      <c r="H3606" s="15">
        <v>10200</v>
      </c>
      <c r="I3606" s="13">
        <v>42</v>
      </c>
    </row>
    <row r="3607" spans="6:9">
      <c r="F3607" s="12" t="s">
        <v>2427</v>
      </c>
      <c r="G3607" s="12" t="s">
        <v>157</v>
      </c>
      <c r="H3607" s="15">
        <v>30463</v>
      </c>
      <c r="I3607" s="13">
        <v>42</v>
      </c>
    </row>
    <row r="3608" spans="6:9">
      <c r="F3608" s="12" t="s">
        <v>2429</v>
      </c>
      <c r="G3608" s="12" t="s">
        <v>157</v>
      </c>
      <c r="H3608" s="15">
        <v>11227</v>
      </c>
      <c r="I3608" s="13">
        <v>42</v>
      </c>
    </row>
    <row r="3609" spans="6:9">
      <c r="F3609" s="12" t="s">
        <v>2431</v>
      </c>
      <c r="G3609" s="12" t="s">
        <v>157</v>
      </c>
      <c r="H3609" s="15">
        <v>22498</v>
      </c>
      <c r="I3609" s="13">
        <v>42</v>
      </c>
    </row>
    <row r="3610" spans="6:9">
      <c r="F3610" s="12" t="s">
        <v>4302</v>
      </c>
      <c r="G3610" s="12" t="s">
        <v>159</v>
      </c>
      <c r="H3610" s="15">
        <v>20400</v>
      </c>
      <c r="I3610" s="13">
        <v>42</v>
      </c>
    </row>
    <row r="3611" spans="6:9">
      <c r="F3611" s="12" t="s">
        <v>4303</v>
      </c>
      <c r="G3611" s="12" t="s">
        <v>159</v>
      </c>
      <c r="H3611" s="15">
        <v>14700</v>
      </c>
      <c r="I3611" s="13">
        <v>42</v>
      </c>
    </row>
    <row r="3612" spans="6:9">
      <c r="F3612" s="12" t="s">
        <v>4304</v>
      </c>
      <c r="G3612" s="12" t="s">
        <v>159</v>
      </c>
      <c r="H3612" s="15">
        <v>24400</v>
      </c>
      <c r="I3612" s="13">
        <v>42</v>
      </c>
    </row>
    <row r="3613" spans="6:9">
      <c r="F3613" s="12" t="s">
        <v>924</v>
      </c>
      <c r="G3613" s="12" t="s">
        <v>159</v>
      </c>
      <c r="H3613" s="15">
        <v>229500</v>
      </c>
      <c r="I3613" s="13">
        <v>42</v>
      </c>
    </row>
    <row r="3614" spans="6:9">
      <c r="F3614" s="12" t="s">
        <v>4305</v>
      </c>
      <c r="G3614" s="12" t="s">
        <v>159</v>
      </c>
      <c r="H3614" s="15">
        <v>83600</v>
      </c>
      <c r="I3614" s="13">
        <v>42</v>
      </c>
    </row>
    <row r="3615" spans="6:9">
      <c r="F3615" s="12" t="s">
        <v>256</v>
      </c>
      <c r="G3615" s="12" t="s">
        <v>157</v>
      </c>
      <c r="H3615" s="15">
        <v>64009</v>
      </c>
      <c r="I3615" s="13">
        <v>42</v>
      </c>
    </row>
    <row r="3616" spans="6:9">
      <c r="F3616" s="12" t="s">
        <v>926</v>
      </c>
      <c r="G3616" s="12" t="s">
        <v>159</v>
      </c>
      <c r="H3616" s="15">
        <v>133200</v>
      </c>
      <c r="I3616" s="13">
        <v>42</v>
      </c>
    </row>
    <row r="3617" spans="6:9">
      <c r="F3617" s="12" t="s">
        <v>4306</v>
      </c>
      <c r="G3617" s="12" t="s">
        <v>157</v>
      </c>
      <c r="H3617" s="15">
        <v>20962</v>
      </c>
      <c r="I3617" s="13">
        <v>42</v>
      </c>
    </row>
    <row r="3618" spans="6:9">
      <c r="F3618" s="12" t="s">
        <v>1440</v>
      </c>
      <c r="G3618" s="12" t="s">
        <v>159</v>
      </c>
      <c r="H3618" s="15">
        <v>144800</v>
      </c>
      <c r="I3618" s="13">
        <v>42</v>
      </c>
    </row>
    <row r="3619" spans="6:9">
      <c r="F3619" s="12" t="s">
        <v>259</v>
      </c>
      <c r="G3619" s="12" t="s">
        <v>157</v>
      </c>
      <c r="H3619" s="15">
        <v>35595</v>
      </c>
      <c r="I3619" s="13">
        <v>42</v>
      </c>
    </row>
    <row r="3620" spans="6:9">
      <c r="F3620" s="12" t="s">
        <v>4307</v>
      </c>
      <c r="G3620" s="12" t="s">
        <v>159</v>
      </c>
      <c r="H3620" s="15">
        <v>43600</v>
      </c>
      <c r="I3620" s="13">
        <v>42</v>
      </c>
    </row>
    <row r="3621" spans="6:9">
      <c r="F3621" s="12" t="s">
        <v>930</v>
      </c>
      <c r="G3621" s="12" t="s">
        <v>157</v>
      </c>
      <c r="H3621" s="15">
        <v>132863</v>
      </c>
      <c r="I3621" s="13">
        <v>42</v>
      </c>
    </row>
    <row r="3622" spans="6:9">
      <c r="F3622" s="12" t="s">
        <v>932</v>
      </c>
      <c r="G3622" s="12" t="s">
        <v>157</v>
      </c>
      <c r="H3622" s="15">
        <v>845673</v>
      </c>
      <c r="I3622" s="13">
        <v>42</v>
      </c>
    </row>
    <row r="3623" spans="6:9">
      <c r="F3623" s="12" t="s">
        <v>1445</v>
      </c>
      <c r="G3623" s="12" t="s">
        <v>159</v>
      </c>
      <c r="H3623" s="15">
        <v>159900</v>
      </c>
      <c r="I3623" s="13">
        <v>42</v>
      </c>
    </row>
    <row r="3624" spans="6:9">
      <c r="F3624" s="12" t="s">
        <v>4308</v>
      </c>
      <c r="G3624" s="12" t="s">
        <v>157</v>
      </c>
      <c r="H3624" s="15">
        <v>72679</v>
      </c>
      <c r="I3624" s="13">
        <v>42</v>
      </c>
    </row>
    <row r="3625" spans="6:9">
      <c r="F3625" s="12" t="s">
        <v>4309</v>
      </c>
      <c r="G3625" s="12" t="s">
        <v>159</v>
      </c>
      <c r="H3625" s="15">
        <v>27700</v>
      </c>
      <c r="I3625" s="13">
        <v>42</v>
      </c>
    </row>
    <row r="3626" spans="6:9">
      <c r="F3626" s="12" t="s">
        <v>262</v>
      </c>
      <c r="G3626" s="12" t="s">
        <v>157</v>
      </c>
      <c r="H3626" s="15">
        <v>140891</v>
      </c>
      <c r="I3626" s="13">
        <v>42</v>
      </c>
    </row>
    <row r="3627" spans="6:9">
      <c r="F3627" s="12" t="s">
        <v>4310</v>
      </c>
      <c r="G3627" s="12" t="s">
        <v>159</v>
      </c>
      <c r="H3627" s="15">
        <v>51600</v>
      </c>
      <c r="I3627" s="13">
        <v>42</v>
      </c>
    </row>
    <row r="3628" spans="6:9">
      <c r="F3628" s="12" t="s">
        <v>4311</v>
      </c>
      <c r="G3628" s="12" t="s">
        <v>159</v>
      </c>
      <c r="H3628" s="15">
        <v>43400</v>
      </c>
      <c r="I3628" s="13">
        <v>42</v>
      </c>
    </row>
    <row r="3629" spans="6:9">
      <c r="F3629" s="12" t="s">
        <v>4312</v>
      </c>
      <c r="G3629" s="12" t="s">
        <v>157</v>
      </c>
      <c r="H3629" s="15">
        <v>29962</v>
      </c>
      <c r="I3629" s="13">
        <v>42</v>
      </c>
    </row>
    <row r="3630" spans="6:9">
      <c r="F3630" s="12" t="s">
        <v>4313</v>
      </c>
      <c r="G3630" s="12" t="s">
        <v>157</v>
      </c>
      <c r="H3630" s="15">
        <v>82794</v>
      </c>
      <c r="I3630" s="13">
        <v>42</v>
      </c>
    </row>
    <row r="3631" spans="6:9">
      <c r="F3631" s="12" t="s">
        <v>4314</v>
      </c>
      <c r="G3631" s="12" t="s">
        <v>157</v>
      </c>
      <c r="H3631" s="15">
        <v>28067</v>
      </c>
      <c r="I3631" s="13">
        <v>42</v>
      </c>
    </row>
    <row r="3632" spans="6:9">
      <c r="F3632" s="12" t="s">
        <v>265</v>
      </c>
      <c r="G3632" s="12" t="s">
        <v>157</v>
      </c>
      <c r="H3632" s="15">
        <v>57800</v>
      </c>
      <c r="I3632" s="13">
        <v>42</v>
      </c>
    </row>
    <row r="3633" spans="6:9">
      <c r="F3633" s="12" t="s">
        <v>4315</v>
      </c>
      <c r="G3633" s="12" t="s">
        <v>159</v>
      </c>
      <c r="H3633" s="15">
        <v>54600</v>
      </c>
      <c r="I3633" s="13">
        <v>42</v>
      </c>
    </row>
    <row r="3634" spans="6:9">
      <c r="F3634" s="12" t="s">
        <v>4316</v>
      </c>
      <c r="G3634" s="12" t="s">
        <v>157</v>
      </c>
      <c r="H3634" s="15">
        <v>90880</v>
      </c>
      <c r="I3634" s="13">
        <v>42</v>
      </c>
    </row>
    <row r="3635" spans="6:9">
      <c r="F3635" s="12" t="s">
        <v>4317</v>
      </c>
      <c r="G3635" s="12" t="s">
        <v>157</v>
      </c>
      <c r="H3635" s="15">
        <v>19664</v>
      </c>
      <c r="I3635" s="13">
        <v>42</v>
      </c>
    </row>
    <row r="3636" spans="6:9">
      <c r="F3636" s="12" t="s">
        <v>2432</v>
      </c>
      <c r="G3636" s="12" t="s">
        <v>157</v>
      </c>
      <c r="H3636" s="15">
        <v>11345</v>
      </c>
      <c r="I3636" s="13">
        <v>42</v>
      </c>
    </row>
    <row r="3637" spans="6:9">
      <c r="F3637" s="12" t="s">
        <v>934</v>
      </c>
      <c r="G3637" s="12" t="s">
        <v>157</v>
      </c>
      <c r="H3637" s="15">
        <v>289981</v>
      </c>
      <c r="I3637" s="13">
        <v>42</v>
      </c>
    </row>
    <row r="3638" spans="6:9">
      <c r="F3638" s="12" t="s">
        <v>4318</v>
      </c>
      <c r="G3638" s="12" t="s">
        <v>157</v>
      </c>
      <c r="H3638" s="15">
        <v>51037</v>
      </c>
      <c r="I3638" s="13">
        <v>42</v>
      </c>
    </row>
    <row r="3639" spans="6:9">
      <c r="F3639" s="12" t="s">
        <v>4319</v>
      </c>
      <c r="G3639" s="12" t="s">
        <v>157</v>
      </c>
      <c r="H3639" s="15">
        <v>10445</v>
      </c>
      <c r="I3639" s="13">
        <v>42</v>
      </c>
    </row>
    <row r="3640" spans="6:9">
      <c r="F3640" s="12" t="s">
        <v>2433</v>
      </c>
      <c r="G3640" s="12" t="s">
        <v>157</v>
      </c>
      <c r="H3640" s="15">
        <v>112397</v>
      </c>
      <c r="I3640" s="13">
        <v>42</v>
      </c>
    </row>
    <row r="3641" spans="6:9">
      <c r="F3641" s="12" t="s">
        <v>4320</v>
      </c>
      <c r="G3641" s="12" t="s">
        <v>159</v>
      </c>
      <c r="H3641" s="15">
        <v>32700</v>
      </c>
      <c r="I3641" s="13">
        <v>42</v>
      </c>
    </row>
    <row r="3642" spans="6:9">
      <c r="F3642" s="12" t="s">
        <v>2435</v>
      </c>
      <c r="G3642" s="12" t="s">
        <v>157</v>
      </c>
      <c r="H3642" s="15">
        <v>21807</v>
      </c>
      <c r="I3642" s="13">
        <v>42</v>
      </c>
    </row>
    <row r="3643" spans="6:9">
      <c r="F3643" s="12" t="s">
        <v>937</v>
      </c>
      <c r="G3643" s="12" t="s">
        <v>157</v>
      </c>
      <c r="H3643" s="15">
        <v>3236332</v>
      </c>
      <c r="I3643" s="13">
        <v>42</v>
      </c>
    </row>
    <row r="3644" spans="6:9">
      <c r="F3644" s="12" t="s">
        <v>4321</v>
      </c>
      <c r="G3644" s="12" t="s">
        <v>159</v>
      </c>
      <c r="H3644" s="15">
        <v>39500</v>
      </c>
      <c r="I3644" s="13">
        <v>42</v>
      </c>
    </row>
    <row r="3645" spans="6:9">
      <c r="F3645" s="12" t="s">
        <v>1775</v>
      </c>
      <c r="G3645" s="12" t="s">
        <v>157</v>
      </c>
      <c r="H3645" s="15">
        <v>103202</v>
      </c>
      <c r="I3645" s="13">
        <v>42</v>
      </c>
    </row>
    <row r="3646" spans="6:9">
      <c r="F3646" s="12" t="s">
        <v>4322</v>
      </c>
      <c r="G3646" s="12" t="s">
        <v>157</v>
      </c>
      <c r="H3646" s="15">
        <v>95671</v>
      </c>
      <c r="I3646" s="13">
        <v>42</v>
      </c>
    </row>
    <row r="3647" spans="6:9">
      <c r="F3647" s="12" t="s">
        <v>1448</v>
      </c>
      <c r="G3647" s="12" t="s">
        <v>159</v>
      </c>
      <c r="H3647" s="15">
        <v>417900</v>
      </c>
      <c r="I3647" s="13">
        <v>42</v>
      </c>
    </row>
    <row r="3648" spans="6:9">
      <c r="F3648" s="12" t="s">
        <v>939</v>
      </c>
      <c r="G3648" s="12" t="s">
        <v>159</v>
      </c>
      <c r="H3648" s="15">
        <v>1200000</v>
      </c>
      <c r="I3648" s="13">
        <v>42</v>
      </c>
    </row>
    <row r="3649" spans="6:9">
      <c r="F3649" s="12" t="s">
        <v>4323</v>
      </c>
      <c r="G3649" s="12" t="s">
        <v>159</v>
      </c>
      <c r="H3649" s="15">
        <v>32000</v>
      </c>
      <c r="I3649" s="13">
        <v>42</v>
      </c>
    </row>
    <row r="3650" spans="6:9">
      <c r="F3650" s="12" t="s">
        <v>2437</v>
      </c>
      <c r="G3650" s="12" t="s">
        <v>157</v>
      </c>
      <c r="H3650" s="15">
        <v>20287</v>
      </c>
      <c r="I3650" s="13">
        <v>42</v>
      </c>
    </row>
    <row r="3651" spans="6:9">
      <c r="F3651" s="12" t="s">
        <v>4324</v>
      </c>
      <c r="G3651" s="12" t="s">
        <v>159</v>
      </c>
      <c r="H3651" s="15">
        <v>81300</v>
      </c>
      <c r="I3651" s="13">
        <v>42</v>
      </c>
    </row>
    <row r="3652" spans="6:9">
      <c r="F3652" s="12" t="s">
        <v>4325</v>
      </c>
      <c r="G3652" s="12" t="s">
        <v>157</v>
      </c>
      <c r="H3652" s="15">
        <v>26249</v>
      </c>
      <c r="I3652" s="13">
        <v>42</v>
      </c>
    </row>
    <row r="3653" spans="6:9">
      <c r="F3653" s="12" t="s">
        <v>2439</v>
      </c>
      <c r="G3653" s="12" t="s">
        <v>157</v>
      </c>
      <c r="H3653" s="15">
        <v>15499</v>
      </c>
      <c r="I3653" s="13">
        <v>42</v>
      </c>
    </row>
    <row r="3654" spans="6:9">
      <c r="F3654" s="12" t="s">
        <v>4326</v>
      </c>
      <c r="G3654" s="12" t="s">
        <v>159</v>
      </c>
      <c r="H3654" s="15">
        <v>32800</v>
      </c>
      <c r="I3654" s="13">
        <v>42</v>
      </c>
    </row>
    <row r="3655" spans="6:9">
      <c r="F3655" s="12" t="s">
        <v>4327</v>
      </c>
      <c r="G3655" s="12" t="s">
        <v>159</v>
      </c>
      <c r="H3655" s="15">
        <v>11400</v>
      </c>
      <c r="I3655" s="13">
        <v>42</v>
      </c>
    </row>
    <row r="3656" spans="6:9">
      <c r="F3656" s="12" t="s">
        <v>4328</v>
      </c>
      <c r="G3656" s="12" t="s">
        <v>157</v>
      </c>
      <c r="H3656" s="15">
        <v>15164</v>
      </c>
      <c r="I3656" s="13">
        <v>42</v>
      </c>
    </row>
    <row r="3657" spans="6:9">
      <c r="F3657" s="12" t="s">
        <v>942</v>
      </c>
      <c r="G3657" s="12" t="s">
        <v>159</v>
      </c>
      <c r="H3657" s="15">
        <v>214600</v>
      </c>
      <c r="I3657" s="13">
        <v>42</v>
      </c>
    </row>
    <row r="3658" spans="6:9">
      <c r="F3658" s="12" t="s">
        <v>4329</v>
      </c>
      <c r="G3658" s="12" t="s">
        <v>157</v>
      </c>
      <c r="H3658" s="15">
        <v>21771</v>
      </c>
      <c r="I3658" s="13">
        <v>42</v>
      </c>
    </row>
    <row r="3659" spans="6:9">
      <c r="F3659" s="12" t="s">
        <v>4330</v>
      </c>
      <c r="G3659" s="12" t="s">
        <v>159</v>
      </c>
      <c r="H3659" s="15">
        <v>17900</v>
      </c>
      <c r="I3659" s="13">
        <v>42</v>
      </c>
    </row>
    <row r="3660" spans="6:9">
      <c r="F3660" s="12" t="s">
        <v>4331</v>
      </c>
      <c r="G3660" s="12" t="s">
        <v>159</v>
      </c>
      <c r="H3660" s="15">
        <v>61000</v>
      </c>
      <c r="I3660" s="13">
        <v>42</v>
      </c>
    </row>
    <row r="3661" spans="6:9">
      <c r="F3661" s="12" t="s">
        <v>945</v>
      </c>
      <c r="G3661" s="12" t="s">
        <v>159</v>
      </c>
      <c r="H3661" s="15">
        <v>138100</v>
      </c>
      <c r="I3661" s="13">
        <v>42</v>
      </c>
    </row>
    <row r="3662" spans="6:9">
      <c r="F3662" s="12" t="s">
        <v>4332</v>
      </c>
      <c r="G3662" s="12" t="s">
        <v>159</v>
      </c>
      <c r="H3662" s="15">
        <v>11500</v>
      </c>
      <c r="I3662" s="13">
        <v>42</v>
      </c>
    </row>
    <row r="3663" spans="6:9">
      <c r="F3663" s="12" t="s">
        <v>947</v>
      </c>
      <c r="G3663" s="12" t="s">
        <v>157</v>
      </c>
      <c r="H3663" s="15">
        <v>1810952</v>
      </c>
      <c r="I3663" s="13">
        <v>42</v>
      </c>
    </row>
    <row r="3664" spans="6:9">
      <c r="F3664" s="12" t="s">
        <v>949</v>
      </c>
      <c r="G3664" s="12" t="s">
        <v>157</v>
      </c>
      <c r="H3664" s="15">
        <v>258057</v>
      </c>
      <c r="I3664" s="13">
        <v>42</v>
      </c>
    </row>
    <row r="3665" spans="6:9">
      <c r="F3665" s="12" t="s">
        <v>4333</v>
      </c>
      <c r="G3665" s="12" t="s">
        <v>159</v>
      </c>
      <c r="H3665" s="15">
        <v>37800</v>
      </c>
      <c r="I3665" s="13">
        <v>42</v>
      </c>
    </row>
    <row r="3666" spans="6:9">
      <c r="F3666" s="12" t="s">
        <v>274</v>
      </c>
      <c r="G3666" s="12" t="s">
        <v>157</v>
      </c>
      <c r="H3666" s="15">
        <v>49994</v>
      </c>
      <c r="I3666" s="13">
        <v>42</v>
      </c>
    </row>
    <row r="3667" spans="6:9">
      <c r="F3667" s="12" t="s">
        <v>1460</v>
      </c>
      <c r="G3667" s="12" t="s">
        <v>159</v>
      </c>
      <c r="H3667" s="15">
        <v>250700</v>
      </c>
      <c r="I3667" s="13">
        <v>42</v>
      </c>
    </row>
    <row r="3668" spans="6:9">
      <c r="F3668" s="12" t="s">
        <v>4334</v>
      </c>
      <c r="G3668" s="12" t="s">
        <v>159</v>
      </c>
      <c r="H3668" s="15">
        <v>11300</v>
      </c>
      <c r="I3668" s="13">
        <v>42</v>
      </c>
    </row>
    <row r="3669" spans="6:9">
      <c r="F3669" s="12" t="s">
        <v>4335</v>
      </c>
      <c r="G3669" s="12" t="s">
        <v>159</v>
      </c>
      <c r="H3669" s="15">
        <v>20800</v>
      </c>
      <c r="I3669" s="13">
        <v>42</v>
      </c>
    </row>
    <row r="3670" spans="6:9">
      <c r="F3670" s="12" t="s">
        <v>4336</v>
      </c>
      <c r="G3670" s="12" t="s">
        <v>159</v>
      </c>
      <c r="H3670" s="15">
        <v>20400</v>
      </c>
      <c r="I3670" s="13">
        <v>42</v>
      </c>
    </row>
    <row r="3671" spans="6:9">
      <c r="F3671" s="12" t="s">
        <v>277</v>
      </c>
      <c r="G3671" s="12" t="s">
        <v>157</v>
      </c>
      <c r="H3671" s="15">
        <v>103627</v>
      </c>
      <c r="I3671" s="13">
        <v>42</v>
      </c>
    </row>
    <row r="3672" spans="6:9">
      <c r="F3672" s="12" t="s">
        <v>2440</v>
      </c>
      <c r="G3672" s="12" t="s">
        <v>157</v>
      </c>
      <c r="H3672" s="15">
        <v>11051</v>
      </c>
      <c r="I3672" s="13">
        <v>42</v>
      </c>
    </row>
    <row r="3673" spans="6:9">
      <c r="F3673" s="12" t="s">
        <v>2442</v>
      </c>
      <c r="G3673" s="12" t="s">
        <v>157</v>
      </c>
      <c r="H3673" s="15">
        <v>13049</v>
      </c>
      <c r="I3673" s="13">
        <v>42</v>
      </c>
    </row>
    <row r="3674" spans="6:9">
      <c r="F3674" s="12" t="s">
        <v>4337</v>
      </c>
      <c r="G3674" s="12" t="s">
        <v>159</v>
      </c>
      <c r="H3674" s="15">
        <v>13900</v>
      </c>
      <c r="I3674" s="13">
        <v>42</v>
      </c>
    </row>
    <row r="3675" spans="6:9">
      <c r="F3675" s="12" t="s">
        <v>4338</v>
      </c>
      <c r="G3675" s="12" t="s">
        <v>157</v>
      </c>
      <c r="H3675" s="15">
        <v>17853</v>
      </c>
      <c r="I3675" s="13">
        <v>42</v>
      </c>
    </row>
    <row r="3676" spans="6:9">
      <c r="F3676" s="12" t="s">
        <v>4339</v>
      </c>
      <c r="G3676" s="12" t="s">
        <v>159</v>
      </c>
      <c r="H3676" s="15">
        <v>49100</v>
      </c>
      <c r="I3676" s="13">
        <v>42</v>
      </c>
    </row>
    <row r="3677" spans="6:9">
      <c r="F3677" s="12" t="s">
        <v>2444</v>
      </c>
      <c r="G3677" s="12" t="s">
        <v>157</v>
      </c>
      <c r="H3677" s="15">
        <v>54235</v>
      </c>
      <c r="I3677" s="13">
        <v>42</v>
      </c>
    </row>
    <row r="3678" spans="6:9">
      <c r="F3678" s="12" t="s">
        <v>2446</v>
      </c>
      <c r="G3678" s="12" t="s">
        <v>157</v>
      </c>
      <c r="H3678" s="15">
        <v>10425</v>
      </c>
      <c r="I3678" s="13">
        <v>42</v>
      </c>
    </row>
    <row r="3679" spans="6:9">
      <c r="F3679" s="12" t="s">
        <v>4340</v>
      </c>
      <c r="G3679" s="12" t="s">
        <v>159</v>
      </c>
      <c r="H3679" s="15">
        <v>10300</v>
      </c>
      <c r="I3679" s="13">
        <v>42</v>
      </c>
    </row>
    <row r="3680" spans="6:9">
      <c r="F3680" s="12" t="s">
        <v>4341</v>
      </c>
      <c r="G3680" s="12" t="s">
        <v>159</v>
      </c>
      <c r="H3680" s="15">
        <v>11400</v>
      </c>
      <c r="I3680" s="13">
        <v>42</v>
      </c>
    </row>
    <row r="3681" spans="6:9">
      <c r="F3681" s="12" t="s">
        <v>4342</v>
      </c>
      <c r="G3681" s="12" t="s">
        <v>159</v>
      </c>
      <c r="H3681" s="15">
        <v>21400</v>
      </c>
      <c r="I3681" s="13">
        <v>42</v>
      </c>
    </row>
    <row r="3682" spans="6:9">
      <c r="F3682" s="12" t="s">
        <v>4343</v>
      </c>
      <c r="G3682" s="12" t="s">
        <v>159</v>
      </c>
      <c r="H3682" s="15">
        <v>15900</v>
      </c>
      <c r="I3682" s="13">
        <v>42</v>
      </c>
    </row>
    <row r="3683" spans="6:9">
      <c r="F3683" s="12" t="s">
        <v>4344</v>
      </c>
      <c r="G3683" s="12" t="s">
        <v>159</v>
      </c>
      <c r="H3683" s="15">
        <v>38400</v>
      </c>
      <c r="I3683" s="13">
        <v>42</v>
      </c>
    </row>
    <row r="3684" spans="6:9">
      <c r="F3684" s="12" t="s">
        <v>954</v>
      </c>
      <c r="G3684" s="12" t="s">
        <v>159</v>
      </c>
      <c r="H3684" s="15">
        <v>117400</v>
      </c>
      <c r="I3684" s="13">
        <v>42</v>
      </c>
    </row>
    <row r="3685" spans="6:9">
      <c r="F3685" s="12" t="s">
        <v>957</v>
      </c>
      <c r="G3685" s="12" t="s">
        <v>157</v>
      </c>
      <c r="H3685" s="15">
        <v>332216</v>
      </c>
      <c r="I3685" s="13">
        <v>42</v>
      </c>
    </row>
    <row r="3686" spans="6:9">
      <c r="F3686" s="12" t="s">
        <v>4345</v>
      </c>
      <c r="G3686" s="12" t="s">
        <v>159</v>
      </c>
      <c r="H3686" s="15">
        <v>70000</v>
      </c>
      <c r="I3686" s="13">
        <v>42</v>
      </c>
    </row>
    <row r="3687" spans="6:9">
      <c r="F3687" s="12" t="s">
        <v>959</v>
      </c>
      <c r="G3687" s="12" t="s">
        <v>157</v>
      </c>
      <c r="H3687" s="15">
        <v>154632</v>
      </c>
      <c r="I3687" s="13">
        <v>42</v>
      </c>
    </row>
    <row r="3688" spans="6:9">
      <c r="F3688" s="12" t="s">
        <v>4346</v>
      </c>
      <c r="G3688" s="12" t="s">
        <v>159</v>
      </c>
      <c r="H3688" s="15">
        <v>21700</v>
      </c>
      <c r="I3688" s="13">
        <v>42</v>
      </c>
    </row>
    <row r="3689" spans="6:9">
      <c r="F3689" s="12" t="s">
        <v>2449</v>
      </c>
      <c r="G3689" s="12" t="s">
        <v>157</v>
      </c>
      <c r="H3689" s="15">
        <v>12317</v>
      </c>
      <c r="I3689" s="13">
        <v>42</v>
      </c>
    </row>
    <row r="3690" spans="6:9">
      <c r="F3690" s="12" t="s">
        <v>4347</v>
      </c>
      <c r="G3690" s="12" t="s">
        <v>159</v>
      </c>
      <c r="H3690" s="15">
        <v>27400</v>
      </c>
      <c r="I3690" s="13">
        <v>42</v>
      </c>
    </row>
    <row r="3691" spans="6:9">
      <c r="F3691" s="12" t="s">
        <v>1287</v>
      </c>
      <c r="G3691" s="12" t="s">
        <v>157</v>
      </c>
      <c r="H3691" s="15">
        <v>106920</v>
      </c>
      <c r="I3691" s="13">
        <v>42</v>
      </c>
    </row>
    <row r="3692" spans="6:9">
      <c r="F3692" s="12" t="s">
        <v>4348</v>
      </c>
      <c r="G3692" s="12" t="s">
        <v>159</v>
      </c>
      <c r="H3692" s="15">
        <v>10100</v>
      </c>
      <c r="I3692" s="13">
        <v>42</v>
      </c>
    </row>
    <row r="3693" spans="6:9">
      <c r="F3693" s="12" t="s">
        <v>4349</v>
      </c>
      <c r="G3693" s="12" t="s">
        <v>159</v>
      </c>
      <c r="H3693" s="15">
        <v>14900</v>
      </c>
      <c r="I3693" s="13">
        <v>42</v>
      </c>
    </row>
    <row r="3694" spans="6:9">
      <c r="F3694" s="12" t="s">
        <v>961</v>
      </c>
      <c r="G3694" s="12" t="s">
        <v>157</v>
      </c>
      <c r="H3694" s="15">
        <v>287970</v>
      </c>
      <c r="I3694" s="13">
        <v>42</v>
      </c>
    </row>
    <row r="3695" spans="6:9">
      <c r="F3695" s="12" t="s">
        <v>280</v>
      </c>
      <c r="G3695" s="12" t="s">
        <v>157</v>
      </c>
      <c r="H3695" s="15">
        <v>83341</v>
      </c>
      <c r="I3695" s="13">
        <v>42</v>
      </c>
    </row>
    <row r="3696" spans="6:9">
      <c r="F3696" s="12" t="s">
        <v>4350</v>
      </c>
      <c r="G3696" s="12" t="s">
        <v>159</v>
      </c>
      <c r="H3696" s="15">
        <v>18500</v>
      </c>
      <c r="I3696" s="13">
        <v>42</v>
      </c>
    </row>
    <row r="3697" spans="6:9">
      <c r="F3697" s="12" t="s">
        <v>2452</v>
      </c>
      <c r="G3697" s="12" t="s">
        <v>157</v>
      </c>
      <c r="H3697" s="15">
        <v>20899</v>
      </c>
      <c r="I3697" s="13">
        <v>42</v>
      </c>
    </row>
    <row r="3698" spans="6:9">
      <c r="F3698" s="12" t="s">
        <v>964</v>
      </c>
      <c r="G3698" s="12" t="s">
        <v>157</v>
      </c>
      <c r="H3698" s="15">
        <v>336041</v>
      </c>
      <c r="I3698" s="13">
        <v>42</v>
      </c>
    </row>
    <row r="3699" spans="6:9">
      <c r="F3699" s="12" t="s">
        <v>4351</v>
      </c>
      <c r="G3699" s="12" t="s">
        <v>159</v>
      </c>
      <c r="H3699" s="15">
        <v>17900</v>
      </c>
      <c r="I3699" s="13">
        <v>42</v>
      </c>
    </row>
    <row r="3700" spans="6:9">
      <c r="F3700" s="12" t="s">
        <v>4352</v>
      </c>
      <c r="G3700" s="12" t="s">
        <v>159</v>
      </c>
      <c r="H3700" s="15">
        <v>32100</v>
      </c>
      <c r="I3700" s="13">
        <v>42</v>
      </c>
    </row>
    <row r="3701" spans="6:9">
      <c r="F3701" s="12" t="s">
        <v>966</v>
      </c>
      <c r="G3701" s="12" t="s">
        <v>157</v>
      </c>
      <c r="H3701" s="15">
        <v>3783998</v>
      </c>
      <c r="I3701" s="13">
        <v>42</v>
      </c>
    </row>
    <row r="3702" spans="6:9">
      <c r="F3702" s="12" t="s">
        <v>969</v>
      </c>
      <c r="G3702" s="12" t="s">
        <v>159</v>
      </c>
      <c r="H3702" s="15">
        <v>521200</v>
      </c>
      <c r="I3702" s="13">
        <v>42</v>
      </c>
    </row>
    <row r="3703" spans="6:9">
      <c r="F3703" s="12" t="s">
        <v>4353</v>
      </c>
      <c r="G3703" s="12" t="s">
        <v>159</v>
      </c>
      <c r="H3703" s="15">
        <v>14200</v>
      </c>
      <c r="I3703" s="13">
        <v>42</v>
      </c>
    </row>
    <row r="3704" spans="6:9">
      <c r="F3704" s="12" t="s">
        <v>1835</v>
      </c>
      <c r="G3704" s="12" t="s">
        <v>157</v>
      </c>
      <c r="H3704" s="15">
        <v>191383</v>
      </c>
      <c r="I3704" s="13">
        <v>42</v>
      </c>
    </row>
    <row r="3705" spans="6:9">
      <c r="F3705" s="12" t="s">
        <v>4354</v>
      </c>
      <c r="G3705" s="12" t="s">
        <v>159</v>
      </c>
      <c r="H3705" s="15">
        <v>10700</v>
      </c>
      <c r="I3705" s="13">
        <v>42</v>
      </c>
    </row>
    <row r="3706" spans="6:9">
      <c r="F3706" s="12" t="s">
        <v>4355</v>
      </c>
      <c r="G3706" s="12" t="s">
        <v>159</v>
      </c>
      <c r="H3706" s="15">
        <v>27400</v>
      </c>
      <c r="I3706" s="13">
        <v>42</v>
      </c>
    </row>
    <row r="3707" spans="6:9">
      <c r="F3707" s="12" t="s">
        <v>977</v>
      </c>
      <c r="G3707" s="12" t="s">
        <v>157</v>
      </c>
      <c r="H3707" s="15">
        <v>232987</v>
      </c>
      <c r="I3707" s="13">
        <v>42</v>
      </c>
    </row>
    <row r="3708" spans="6:9">
      <c r="F3708" s="12" t="s">
        <v>4356</v>
      </c>
      <c r="G3708" s="12" t="s">
        <v>159</v>
      </c>
      <c r="H3708" s="15">
        <v>15200</v>
      </c>
      <c r="I3708" s="13">
        <v>42</v>
      </c>
    </row>
    <row r="3709" spans="6:9">
      <c r="F3709" s="12" t="s">
        <v>4357</v>
      </c>
      <c r="G3709" s="12" t="s">
        <v>157</v>
      </c>
      <c r="H3709" s="15">
        <v>25003</v>
      </c>
      <c r="I3709" s="13">
        <v>42</v>
      </c>
    </row>
    <row r="3710" spans="6:9">
      <c r="F3710" s="12" t="s">
        <v>2455</v>
      </c>
      <c r="G3710" s="12" t="s">
        <v>157</v>
      </c>
      <c r="H3710" s="15">
        <v>10910</v>
      </c>
      <c r="I3710" s="13">
        <v>42</v>
      </c>
    </row>
    <row r="3711" spans="6:9">
      <c r="F3711" s="12" t="s">
        <v>4358</v>
      </c>
      <c r="G3711" s="12" t="s">
        <v>159</v>
      </c>
      <c r="H3711" s="15">
        <v>76800</v>
      </c>
      <c r="I3711" s="13">
        <v>42</v>
      </c>
    </row>
    <row r="3712" spans="6:9">
      <c r="F3712" s="12" t="s">
        <v>4359</v>
      </c>
      <c r="G3712" s="12" t="s">
        <v>157</v>
      </c>
      <c r="H3712" s="15">
        <v>50724</v>
      </c>
      <c r="I3712" s="13">
        <v>42</v>
      </c>
    </row>
    <row r="3713" spans="6:9">
      <c r="F3713" s="12" t="s">
        <v>981</v>
      </c>
      <c r="G3713" s="12" t="s">
        <v>157</v>
      </c>
      <c r="H3713" s="15">
        <v>205822</v>
      </c>
      <c r="I3713" s="13">
        <v>42</v>
      </c>
    </row>
    <row r="3714" spans="6:9">
      <c r="F3714" s="12" t="s">
        <v>984</v>
      </c>
      <c r="G3714" s="12" t="s">
        <v>157</v>
      </c>
      <c r="H3714" s="15">
        <v>1239375</v>
      </c>
      <c r="I3714" s="13">
        <v>42</v>
      </c>
    </row>
    <row r="3715" spans="6:9">
      <c r="F3715" s="12" t="s">
        <v>987</v>
      </c>
      <c r="G3715" s="12" t="s">
        <v>159</v>
      </c>
      <c r="H3715" s="15">
        <v>331000</v>
      </c>
      <c r="I3715" s="13">
        <v>42</v>
      </c>
    </row>
    <row r="3716" spans="6:9">
      <c r="F3716" s="12" t="s">
        <v>4360</v>
      </c>
      <c r="G3716" s="12" t="s">
        <v>159</v>
      </c>
      <c r="H3716" s="15">
        <v>11200</v>
      </c>
      <c r="I3716" s="13">
        <v>42</v>
      </c>
    </row>
    <row r="3717" spans="6:9">
      <c r="F3717" s="12" t="s">
        <v>4361</v>
      </c>
      <c r="G3717" s="12" t="s">
        <v>159</v>
      </c>
      <c r="H3717" s="15">
        <v>11600</v>
      </c>
      <c r="I3717" s="13">
        <v>42</v>
      </c>
    </row>
    <row r="3718" spans="6:9">
      <c r="F3718" s="12" t="s">
        <v>4362</v>
      </c>
      <c r="G3718" s="12" t="s">
        <v>157</v>
      </c>
      <c r="H3718" s="15">
        <v>17961</v>
      </c>
      <c r="I3718" s="13">
        <v>42</v>
      </c>
    </row>
    <row r="3719" spans="6:9">
      <c r="F3719" s="12" t="s">
        <v>4363</v>
      </c>
      <c r="G3719" s="12" t="s">
        <v>157</v>
      </c>
      <c r="H3719" s="15">
        <v>21673</v>
      </c>
      <c r="I3719" s="13">
        <v>42</v>
      </c>
    </row>
    <row r="3720" spans="6:9">
      <c r="F3720" s="12" t="s">
        <v>4364</v>
      </c>
      <c r="G3720" s="12" t="s">
        <v>157</v>
      </c>
      <c r="H3720" s="15">
        <v>57687</v>
      </c>
      <c r="I3720" s="13">
        <v>42</v>
      </c>
    </row>
    <row r="3721" spans="6:9">
      <c r="F3721" s="12" t="s">
        <v>285</v>
      </c>
      <c r="G3721" s="12" t="s">
        <v>157</v>
      </c>
      <c r="H3721" s="15">
        <v>48643</v>
      </c>
      <c r="I3721" s="13">
        <v>42</v>
      </c>
    </row>
    <row r="3722" spans="6:9">
      <c r="F3722" s="12" t="s">
        <v>4365</v>
      </c>
      <c r="G3722" s="12" t="s">
        <v>159</v>
      </c>
      <c r="H3722" s="15">
        <v>11100</v>
      </c>
      <c r="I3722" s="13">
        <v>42</v>
      </c>
    </row>
    <row r="3723" spans="6:9">
      <c r="F3723" s="12" t="s">
        <v>4366</v>
      </c>
      <c r="G3723" s="12" t="s">
        <v>159</v>
      </c>
      <c r="H3723" s="15">
        <v>56900</v>
      </c>
      <c r="I3723" s="13">
        <v>42</v>
      </c>
    </row>
    <row r="3724" spans="6:9">
      <c r="F3724" s="12" t="s">
        <v>288</v>
      </c>
      <c r="G3724" s="12" t="s">
        <v>157</v>
      </c>
      <c r="H3724" s="15">
        <v>50202</v>
      </c>
      <c r="I3724" s="13">
        <v>42</v>
      </c>
    </row>
    <row r="3725" spans="6:9">
      <c r="F3725" s="12" t="s">
        <v>992</v>
      </c>
      <c r="G3725" s="12" t="s">
        <v>159</v>
      </c>
      <c r="H3725" s="15">
        <v>130000</v>
      </c>
      <c r="I3725" s="13">
        <v>42</v>
      </c>
    </row>
    <row r="3726" spans="6:9">
      <c r="F3726" s="12" t="s">
        <v>2457</v>
      </c>
      <c r="G3726" s="12" t="s">
        <v>157</v>
      </c>
      <c r="H3726" s="15">
        <v>35322</v>
      </c>
      <c r="I3726" s="13">
        <v>42</v>
      </c>
    </row>
    <row r="3727" spans="6:9">
      <c r="F3727" s="12" t="s">
        <v>4367</v>
      </c>
      <c r="G3727" s="12" t="s">
        <v>159</v>
      </c>
      <c r="H3727" s="15">
        <v>24700</v>
      </c>
      <c r="I3727" s="13">
        <v>42</v>
      </c>
    </row>
    <row r="3728" spans="6:9">
      <c r="F3728" s="12" t="s">
        <v>206</v>
      </c>
      <c r="G3728" s="12" t="s">
        <v>157</v>
      </c>
      <c r="H3728" s="15">
        <v>74448</v>
      </c>
      <c r="I3728" s="13">
        <v>42</v>
      </c>
    </row>
    <row r="3729" spans="6:9">
      <c r="F3729" s="12" t="s">
        <v>4368</v>
      </c>
      <c r="G3729" s="12" t="s">
        <v>159</v>
      </c>
      <c r="H3729" s="15">
        <v>11900</v>
      </c>
      <c r="I3729" s="13">
        <v>42</v>
      </c>
    </row>
    <row r="3730" spans="6:9">
      <c r="F3730" s="12" t="s">
        <v>4369</v>
      </c>
      <c r="G3730" s="12" t="s">
        <v>159</v>
      </c>
      <c r="H3730" s="15">
        <v>79800</v>
      </c>
      <c r="I3730" s="13">
        <v>42</v>
      </c>
    </row>
    <row r="3731" spans="6:9">
      <c r="F3731" s="12" t="s">
        <v>4370</v>
      </c>
      <c r="G3731" s="12" t="s">
        <v>157</v>
      </c>
      <c r="H3731" s="15">
        <v>29198</v>
      </c>
      <c r="I3731" s="13">
        <v>42</v>
      </c>
    </row>
    <row r="3732" spans="6:9">
      <c r="F3732" s="12" t="s">
        <v>4371</v>
      </c>
      <c r="G3732" s="12" t="s">
        <v>159</v>
      </c>
      <c r="H3732" s="15">
        <v>11500</v>
      </c>
      <c r="I3732" s="13">
        <v>42</v>
      </c>
    </row>
    <row r="3733" spans="6:9">
      <c r="F3733" s="12" t="s">
        <v>4372</v>
      </c>
      <c r="G3733" s="12" t="s">
        <v>159</v>
      </c>
      <c r="H3733" s="15">
        <v>40100</v>
      </c>
      <c r="I3733" s="13">
        <v>42</v>
      </c>
    </row>
    <row r="3734" spans="6:9">
      <c r="F3734" s="12" t="s">
        <v>995</v>
      </c>
      <c r="G3734" s="12" t="s">
        <v>159</v>
      </c>
      <c r="H3734" s="15">
        <v>214900</v>
      </c>
      <c r="I3734" s="13">
        <v>42</v>
      </c>
    </row>
    <row r="3735" spans="6:9">
      <c r="F3735" s="12" t="s">
        <v>998</v>
      </c>
      <c r="G3735" s="12" t="s">
        <v>159</v>
      </c>
      <c r="H3735" s="15">
        <v>274700</v>
      </c>
      <c r="I3735" s="13">
        <v>42</v>
      </c>
    </row>
    <row r="3736" spans="6:9">
      <c r="F3736" s="12" t="s">
        <v>1473</v>
      </c>
      <c r="G3736" s="12" t="s">
        <v>157</v>
      </c>
      <c r="H3736" s="15">
        <v>126673</v>
      </c>
      <c r="I3736" s="13">
        <v>42</v>
      </c>
    </row>
    <row r="3737" spans="6:9">
      <c r="F3737" s="12" t="s">
        <v>2459</v>
      </c>
      <c r="G3737" s="12" t="s">
        <v>157</v>
      </c>
      <c r="H3737" s="15">
        <v>12596</v>
      </c>
      <c r="I3737" s="13">
        <v>42</v>
      </c>
    </row>
    <row r="3738" spans="6:9">
      <c r="F3738" s="12" t="s">
        <v>290</v>
      </c>
      <c r="G3738" s="12" t="s">
        <v>157</v>
      </c>
      <c r="H3738" s="15">
        <v>125880</v>
      </c>
      <c r="I3738" s="13">
        <v>42</v>
      </c>
    </row>
    <row r="3739" spans="6:9">
      <c r="F3739" s="12" t="s">
        <v>4373</v>
      </c>
      <c r="G3739" s="12" t="s">
        <v>159</v>
      </c>
      <c r="H3739" s="15">
        <v>22900</v>
      </c>
      <c r="I3739" s="13">
        <v>42</v>
      </c>
    </row>
    <row r="3740" spans="6:9">
      <c r="F3740" s="12" t="s">
        <v>4374</v>
      </c>
      <c r="G3740" s="12" t="s">
        <v>159</v>
      </c>
      <c r="H3740" s="15">
        <v>13100</v>
      </c>
      <c r="I3740" s="13">
        <v>42</v>
      </c>
    </row>
    <row r="3741" spans="6:9">
      <c r="F3741" s="12" t="s">
        <v>1003</v>
      </c>
      <c r="G3741" s="12" t="s">
        <v>159</v>
      </c>
      <c r="H3741" s="15">
        <v>319400</v>
      </c>
      <c r="I3741" s="13">
        <v>42</v>
      </c>
    </row>
    <row r="3742" spans="6:9">
      <c r="F3742" s="12" t="s">
        <v>2513</v>
      </c>
      <c r="G3742" s="12" t="s">
        <v>157</v>
      </c>
      <c r="H3742" s="15">
        <v>36497</v>
      </c>
      <c r="I3742" s="13">
        <v>42</v>
      </c>
    </row>
    <row r="3743" spans="6:9">
      <c r="F3743" s="12" t="s">
        <v>4375</v>
      </c>
      <c r="G3743" s="12" t="s">
        <v>159</v>
      </c>
      <c r="H3743" s="15">
        <v>10600</v>
      </c>
      <c r="I3743" s="13">
        <v>42</v>
      </c>
    </row>
    <row r="3744" spans="6:9">
      <c r="F3744" s="12" t="s">
        <v>1475</v>
      </c>
      <c r="G3744" s="12" t="s">
        <v>159</v>
      </c>
      <c r="H3744" s="15">
        <v>432800</v>
      </c>
      <c r="I3744" s="13">
        <v>42</v>
      </c>
    </row>
    <row r="3745" spans="6:9">
      <c r="F3745" s="12" t="s">
        <v>2460</v>
      </c>
      <c r="G3745" s="12" t="s">
        <v>157</v>
      </c>
      <c r="H3745" s="15">
        <v>18036</v>
      </c>
      <c r="I3745" s="13">
        <v>42</v>
      </c>
    </row>
    <row r="3746" spans="6:9">
      <c r="F3746" s="12" t="s">
        <v>1006</v>
      </c>
      <c r="G3746" s="12" t="s">
        <v>157</v>
      </c>
      <c r="H3746" s="15">
        <v>8408364</v>
      </c>
      <c r="I3746" s="13">
        <v>42</v>
      </c>
    </row>
    <row r="3747" spans="6:9">
      <c r="F3747" s="12" t="s">
        <v>4376</v>
      </c>
      <c r="G3747" s="12" t="s">
        <v>157</v>
      </c>
      <c r="H3747" s="15">
        <v>16538</v>
      </c>
      <c r="I3747" s="13">
        <v>42</v>
      </c>
    </row>
    <row r="3748" spans="6:9">
      <c r="F3748" s="12" t="s">
        <v>4377</v>
      </c>
      <c r="G3748" s="12" t="s">
        <v>159</v>
      </c>
      <c r="H3748" s="15">
        <v>12900</v>
      </c>
      <c r="I3748" s="13">
        <v>42</v>
      </c>
    </row>
    <row r="3749" spans="6:9">
      <c r="F3749" s="12" t="s">
        <v>4378</v>
      </c>
      <c r="G3749" s="12" t="s">
        <v>159</v>
      </c>
      <c r="H3749" s="15">
        <v>10600</v>
      </c>
      <c r="I3749" s="13">
        <v>42</v>
      </c>
    </row>
    <row r="3750" spans="6:9">
      <c r="F3750" s="12" t="s">
        <v>1478</v>
      </c>
      <c r="G3750" s="12" t="s">
        <v>159</v>
      </c>
      <c r="H3750" s="15">
        <v>675300</v>
      </c>
      <c r="I3750" s="13">
        <v>42</v>
      </c>
    </row>
    <row r="3751" spans="6:9">
      <c r="F3751" s="12" t="s">
        <v>1781</v>
      </c>
      <c r="G3751" s="12" t="s">
        <v>157</v>
      </c>
      <c r="H3751" s="15">
        <v>143150</v>
      </c>
      <c r="I3751" s="13">
        <v>42</v>
      </c>
    </row>
    <row r="3752" spans="6:9">
      <c r="F3752" s="12" t="s">
        <v>4379</v>
      </c>
      <c r="G3752" s="12" t="s">
        <v>159</v>
      </c>
      <c r="H3752" s="15">
        <v>11300</v>
      </c>
      <c r="I3752" s="13">
        <v>42</v>
      </c>
    </row>
    <row r="3753" spans="6:9">
      <c r="F3753" s="12" t="s">
        <v>4380</v>
      </c>
      <c r="G3753" s="12" t="s">
        <v>159</v>
      </c>
      <c r="H3753" s="15">
        <v>65700</v>
      </c>
      <c r="I3753" s="13">
        <v>42</v>
      </c>
    </row>
    <row r="3754" spans="6:9">
      <c r="F3754" s="12" t="s">
        <v>4381</v>
      </c>
      <c r="G3754" s="12" t="s">
        <v>159</v>
      </c>
      <c r="H3754" s="15">
        <v>24800</v>
      </c>
      <c r="I3754" s="13">
        <v>42</v>
      </c>
    </row>
    <row r="3755" spans="6:9">
      <c r="F3755" s="12" t="s">
        <v>4382</v>
      </c>
      <c r="G3755" s="12" t="s">
        <v>159</v>
      </c>
      <c r="H3755" s="15">
        <v>45100</v>
      </c>
      <c r="I3755" s="13">
        <v>42</v>
      </c>
    </row>
    <row r="3756" spans="6:9">
      <c r="F3756" s="12" t="s">
        <v>1481</v>
      </c>
      <c r="G3756" s="12" t="s">
        <v>159</v>
      </c>
      <c r="H3756" s="15">
        <v>158400</v>
      </c>
      <c r="I3756" s="13">
        <v>42</v>
      </c>
    </row>
    <row r="3757" spans="6:9">
      <c r="F3757" s="12" t="s">
        <v>4383</v>
      </c>
      <c r="G3757" s="12" t="s">
        <v>159</v>
      </c>
      <c r="H3757" s="15">
        <v>27900</v>
      </c>
      <c r="I3757" s="13">
        <v>42</v>
      </c>
    </row>
    <row r="3758" spans="6:9">
      <c r="F3758" s="12" t="s">
        <v>4384</v>
      </c>
      <c r="G3758" s="12" t="s">
        <v>157</v>
      </c>
      <c r="H3758" s="15">
        <v>27010</v>
      </c>
      <c r="I3758" s="13">
        <v>42</v>
      </c>
    </row>
    <row r="3759" spans="6:9">
      <c r="F3759" s="12" t="s">
        <v>4385</v>
      </c>
      <c r="G3759" s="12" t="s">
        <v>159</v>
      </c>
      <c r="H3759" s="15">
        <v>10600</v>
      </c>
      <c r="I3759" s="13">
        <v>42</v>
      </c>
    </row>
    <row r="3760" spans="6:9">
      <c r="F3760" s="12" t="s">
        <v>2462</v>
      </c>
      <c r="G3760" s="12" t="s">
        <v>157</v>
      </c>
      <c r="H3760" s="15">
        <v>16733</v>
      </c>
      <c r="I3760" s="13">
        <v>42</v>
      </c>
    </row>
    <row r="3761" spans="6:9">
      <c r="F3761" s="12" t="s">
        <v>4386</v>
      </c>
      <c r="G3761" s="12" t="s">
        <v>159</v>
      </c>
      <c r="H3761" s="15">
        <v>31200</v>
      </c>
      <c r="I3761" s="13">
        <v>42</v>
      </c>
    </row>
    <row r="3762" spans="6:9">
      <c r="F3762" s="12" t="s">
        <v>4387</v>
      </c>
      <c r="G3762" s="12" t="s">
        <v>157</v>
      </c>
      <c r="H3762" s="15">
        <v>47411</v>
      </c>
      <c r="I3762" s="13">
        <v>42</v>
      </c>
    </row>
    <row r="3763" spans="6:9">
      <c r="F3763" s="12" t="s">
        <v>2463</v>
      </c>
      <c r="G3763" s="12" t="s">
        <v>157</v>
      </c>
      <c r="H3763" s="15">
        <v>58629</v>
      </c>
      <c r="I3763" s="13">
        <v>42</v>
      </c>
    </row>
    <row r="3764" spans="6:9">
      <c r="F3764" s="12" t="s">
        <v>4388</v>
      </c>
      <c r="G3764" s="12" t="s">
        <v>157</v>
      </c>
      <c r="H3764" s="15">
        <v>67431</v>
      </c>
      <c r="I3764" s="13">
        <v>42</v>
      </c>
    </row>
    <row r="3765" spans="6:9">
      <c r="F3765" s="12" t="s">
        <v>4389</v>
      </c>
      <c r="G3765" s="12" t="s">
        <v>159</v>
      </c>
      <c r="H3765" s="15">
        <v>24200</v>
      </c>
      <c r="I3765" s="13">
        <v>42</v>
      </c>
    </row>
    <row r="3766" spans="6:9">
      <c r="F3766" s="12" t="s">
        <v>4390</v>
      </c>
      <c r="G3766" s="12" t="s">
        <v>157</v>
      </c>
      <c r="H3766" s="15">
        <v>22857</v>
      </c>
      <c r="I3766" s="13">
        <v>42</v>
      </c>
    </row>
    <row r="3767" spans="6:9">
      <c r="F3767" s="12" t="s">
        <v>1837</v>
      </c>
      <c r="G3767" s="12" t="s">
        <v>157</v>
      </c>
      <c r="H3767" s="15">
        <v>907809</v>
      </c>
      <c r="I3767" s="13">
        <v>42</v>
      </c>
    </row>
    <row r="3768" spans="6:9">
      <c r="F3768" s="12" t="s">
        <v>2465</v>
      </c>
      <c r="G3768" s="12" t="s">
        <v>157</v>
      </c>
      <c r="H3768" s="15">
        <v>14190</v>
      </c>
      <c r="I3768" s="13">
        <v>42</v>
      </c>
    </row>
    <row r="3769" spans="6:9">
      <c r="F3769" s="12" t="s">
        <v>1011</v>
      </c>
      <c r="G3769" s="12" t="s">
        <v>157</v>
      </c>
      <c r="H3769" s="15">
        <v>156226</v>
      </c>
      <c r="I3769" s="13">
        <v>42</v>
      </c>
    </row>
    <row r="3770" spans="6:9">
      <c r="F3770" s="12" t="s">
        <v>1484</v>
      </c>
      <c r="G3770" s="12" t="s">
        <v>159</v>
      </c>
      <c r="H3770" s="15">
        <v>167600</v>
      </c>
      <c r="I3770" s="13">
        <v>42</v>
      </c>
    </row>
    <row r="3771" spans="6:9">
      <c r="F3771" s="12" t="s">
        <v>4391</v>
      </c>
      <c r="G3771" s="12" t="s">
        <v>159</v>
      </c>
      <c r="H3771" s="15">
        <v>98900</v>
      </c>
      <c r="I3771" s="13">
        <v>42</v>
      </c>
    </row>
    <row r="3772" spans="6:9">
      <c r="F3772" s="12" t="s">
        <v>296</v>
      </c>
      <c r="G3772" s="12" t="s">
        <v>157</v>
      </c>
      <c r="H3772" s="15">
        <v>45326</v>
      </c>
      <c r="I3772" s="13">
        <v>42</v>
      </c>
    </row>
    <row r="3773" spans="6:9">
      <c r="F3773" s="12" t="s">
        <v>1013</v>
      </c>
      <c r="G3773" s="12" t="s">
        <v>159</v>
      </c>
      <c r="H3773" s="15">
        <v>108000</v>
      </c>
      <c r="I3773" s="13">
        <v>42</v>
      </c>
    </row>
    <row r="3774" spans="6:9">
      <c r="F3774" s="12" t="s">
        <v>4392</v>
      </c>
      <c r="G3774" s="12" t="s">
        <v>159</v>
      </c>
      <c r="H3774" s="15">
        <v>21100</v>
      </c>
      <c r="I3774" s="13">
        <v>42</v>
      </c>
    </row>
    <row r="3775" spans="6:9">
      <c r="F3775" s="12" t="s">
        <v>1487</v>
      </c>
      <c r="G3775" s="12" t="s">
        <v>159</v>
      </c>
      <c r="H3775" s="15">
        <v>111000</v>
      </c>
      <c r="I3775" s="13">
        <v>42</v>
      </c>
    </row>
    <row r="3776" spans="6:9">
      <c r="F3776" s="12" t="s">
        <v>4393</v>
      </c>
      <c r="G3776" s="12" t="s">
        <v>157</v>
      </c>
      <c r="H3776" s="15">
        <v>93538</v>
      </c>
      <c r="I3776" s="13">
        <v>42</v>
      </c>
    </row>
    <row r="3777" spans="6:9">
      <c r="F3777" s="12" t="s">
        <v>1372</v>
      </c>
      <c r="G3777" s="12" t="s">
        <v>157</v>
      </c>
      <c r="H3777" s="15">
        <v>221708</v>
      </c>
      <c r="I3777" s="13">
        <v>42</v>
      </c>
    </row>
    <row r="3778" spans="6:9">
      <c r="F3778" s="12" t="s">
        <v>4394</v>
      </c>
      <c r="G3778" s="12" t="s">
        <v>159</v>
      </c>
      <c r="H3778" s="15">
        <v>15500</v>
      </c>
      <c r="I3778" s="13">
        <v>42</v>
      </c>
    </row>
    <row r="3779" spans="6:9">
      <c r="F3779" s="12" t="s">
        <v>1490</v>
      </c>
      <c r="G3779" s="12" t="s">
        <v>159</v>
      </c>
      <c r="H3779" s="15">
        <v>128500</v>
      </c>
      <c r="I3779" s="13">
        <v>42</v>
      </c>
    </row>
    <row r="3780" spans="6:9">
      <c r="F3780" s="12" t="s">
        <v>4395</v>
      </c>
      <c r="G3780" s="12" t="s">
        <v>157</v>
      </c>
      <c r="H3780" s="15">
        <v>14755</v>
      </c>
      <c r="I3780" s="13">
        <v>42</v>
      </c>
    </row>
    <row r="3781" spans="6:9">
      <c r="F3781" s="12" t="s">
        <v>2468</v>
      </c>
      <c r="G3781" s="12" t="s">
        <v>157</v>
      </c>
      <c r="H3781" s="15">
        <v>21219</v>
      </c>
      <c r="I3781" s="13">
        <v>42</v>
      </c>
    </row>
    <row r="3782" spans="6:9">
      <c r="F3782" s="12" t="s">
        <v>1016</v>
      </c>
      <c r="G3782" s="12" t="s">
        <v>159</v>
      </c>
      <c r="H3782" s="15">
        <v>306200</v>
      </c>
      <c r="I3782" s="13">
        <v>42</v>
      </c>
    </row>
    <row r="3783" spans="6:9">
      <c r="F3783" s="12" t="s">
        <v>4396</v>
      </c>
      <c r="G3783" s="12" t="s">
        <v>159</v>
      </c>
      <c r="H3783" s="15">
        <v>11300</v>
      </c>
      <c r="I3783" s="13">
        <v>42</v>
      </c>
    </row>
    <row r="3784" spans="6:9">
      <c r="F3784" s="12" t="s">
        <v>1019</v>
      </c>
      <c r="G3784" s="12" t="s">
        <v>159</v>
      </c>
      <c r="H3784" s="15">
        <v>105200</v>
      </c>
      <c r="I3784" s="13">
        <v>42</v>
      </c>
    </row>
    <row r="3785" spans="6:9">
      <c r="F3785" s="12" t="s">
        <v>4397</v>
      </c>
      <c r="G3785" s="12" t="s">
        <v>159</v>
      </c>
      <c r="H3785" s="15">
        <v>94800</v>
      </c>
      <c r="I3785" s="13">
        <v>42</v>
      </c>
    </row>
    <row r="3786" spans="6:9">
      <c r="F3786" s="12" t="s">
        <v>1022</v>
      </c>
      <c r="G3786" s="12" t="s">
        <v>157</v>
      </c>
      <c r="H3786" s="15">
        <v>227371</v>
      </c>
      <c r="I3786" s="13">
        <v>42</v>
      </c>
    </row>
    <row r="3787" spans="6:9">
      <c r="F3787" s="12" t="s">
        <v>4398</v>
      </c>
      <c r="G3787" s="12" t="s">
        <v>159</v>
      </c>
      <c r="H3787" s="15">
        <v>43900</v>
      </c>
      <c r="I3787" s="13">
        <v>42</v>
      </c>
    </row>
    <row r="3788" spans="6:9">
      <c r="F3788" s="12" t="s">
        <v>2470</v>
      </c>
      <c r="G3788" s="12" t="s">
        <v>157</v>
      </c>
      <c r="H3788" s="15">
        <v>77146</v>
      </c>
      <c r="I3788" s="13">
        <v>42</v>
      </c>
    </row>
    <row r="3789" spans="6:9">
      <c r="F3789" s="12" t="s">
        <v>1025</v>
      </c>
      <c r="G3789" s="12" t="s">
        <v>157</v>
      </c>
      <c r="H3789" s="15">
        <v>201027</v>
      </c>
      <c r="I3789" s="13">
        <v>42</v>
      </c>
    </row>
    <row r="3790" spans="6:9">
      <c r="F3790" s="12" t="s">
        <v>2472</v>
      </c>
      <c r="G3790" s="12" t="s">
        <v>157</v>
      </c>
      <c r="H3790" s="15">
        <v>32352</v>
      </c>
      <c r="I3790" s="13">
        <v>42</v>
      </c>
    </row>
    <row r="3791" spans="6:9">
      <c r="F3791" s="12" t="s">
        <v>1028</v>
      </c>
      <c r="G3791" s="12" t="s">
        <v>159</v>
      </c>
      <c r="H3791" s="15">
        <v>171400</v>
      </c>
      <c r="I3791" s="13">
        <v>42</v>
      </c>
    </row>
    <row r="3792" spans="6:9">
      <c r="F3792" s="12" t="s">
        <v>4399</v>
      </c>
      <c r="G3792" s="12" t="s">
        <v>157</v>
      </c>
      <c r="H3792" s="15">
        <v>15077</v>
      </c>
      <c r="I3792" s="13">
        <v>42</v>
      </c>
    </row>
    <row r="3793" spans="6:9">
      <c r="F3793" s="12" t="s">
        <v>4400</v>
      </c>
      <c r="G3793" s="12" t="s">
        <v>159</v>
      </c>
      <c r="H3793" s="15">
        <v>18300</v>
      </c>
      <c r="I3793" s="13">
        <v>42</v>
      </c>
    </row>
    <row r="3794" spans="6:9">
      <c r="F3794" s="12" t="s">
        <v>1492</v>
      </c>
      <c r="G3794" s="12" t="s">
        <v>157</v>
      </c>
      <c r="H3794" s="15">
        <v>100034</v>
      </c>
      <c r="I3794" s="13">
        <v>42</v>
      </c>
    </row>
    <row r="3795" spans="6:9">
      <c r="F3795" s="12" t="s">
        <v>4401</v>
      </c>
      <c r="G3795" s="12" t="s">
        <v>159</v>
      </c>
      <c r="H3795" s="15">
        <v>36500</v>
      </c>
      <c r="I3795" s="13">
        <v>42</v>
      </c>
    </row>
    <row r="3796" spans="6:9">
      <c r="F3796" s="12" t="s">
        <v>4402</v>
      </c>
      <c r="G3796" s="12" t="s">
        <v>159</v>
      </c>
      <c r="H3796" s="15">
        <v>11800</v>
      </c>
      <c r="I3796" s="13">
        <v>41</v>
      </c>
    </row>
    <row r="3797" spans="6:9">
      <c r="F3797" s="12" t="s">
        <v>4403</v>
      </c>
      <c r="G3797" s="12" t="s">
        <v>159</v>
      </c>
      <c r="H3797" s="15">
        <v>19000</v>
      </c>
      <c r="I3797" s="13">
        <v>41</v>
      </c>
    </row>
    <row r="3798" spans="6:9">
      <c r="F3798" s="12" t="s">
        <v>4404</v>
      </c>
      <c r="G3798" s="12" t="s">
        <v>159</v>
      </c>
      <c r="H3798" s="15">
        <v>223600</v>
      </c>
      <c r="I3798" s="13">
        <v>41</v>
      </c>
    </row>
    <row r="3799" spans="6:9">
      <c r="F3799" s="12" t="s">
        <v>4405</v>
      </c>
      <c r="G3799" s="12" t="s">
        <v>159</v>
      </c>
      <c r="H3799" s="15">
        <v>24600</v>
      </c>
      <c r="I3799" s="13">
        <v>41</v>
      </c>
    </row>
    <row r="3800" spans="6:9">
      <c r="F3800" s="12" t="s">
        <v>4406</v>
      </c>
      <c r="G3800" s="12" t="s">
        <v>159</v>
      </c>
      <c r="H3800" s="15">
        <v>17300</v>
      </c>
      <c r="I3800" s="13">
        <v>41</v>
      </c>
    </row>
    <row r="3801" spans="6:9">
      <c r="F3801" s="12" t="s">
        <v>4407</v>
      </c>
      <c r="G3801" s="12" t="s">
        <v>159</v>
      </c>
      <c r="H3801" s="15">
        <v>113700</v>
      </c>
      <c r="I3801" s="13">
        <v>41</v>
      </c>
    </row>
    <row r="3802" spans="6:9">
      <c r="F3802" s="12" t="s">
        <v>1260</v>
      </c>
      <c r="G3802" s="12" t="s">
        <v>159</v>
      </c>
      <c r="H3802" s="15">
        <v>257000</v>
      </c>
      <c r="I3802" s="13">
        <v>41</v>
      </c>
    </row>
    <row r="3803" spans="6:9">
      <c r="F3803" s="12" t="s">
        <v>4408</v>
      </c>
      <c r="G3803" s="12" t="s">
        <v>159</v>
      </c>
      <c r="H3803" s="15">
        <v>15400</v>
      </c>
      <c r="I3803" s="13">
        <v>41</v>
      </c>
    </row>
    <row r="3804" spans="6:9">
      <c r="F3804" s="12" t="s">
        <v>2544</v>
      </c>
      <c r="G3804" s="12" t="s">
        <v>157</v>
      </c>
      <c r="H3804" s="15">
        <v>10513</v>
      </c>
      <c r="I3804" s="13">
        <v>41</v>
      </c>
    </row>
    <row r="3805" spans="6:9">
      <c r="F3805" s="12" t="s">
        <v>1772</v>
      </c>
      <c r="G3805" s="12" t="s">
        <v>157</v>
      </c>
      <c r="H3805" s="15">
        <v>2244644</v>
      </c>
      <c r="I3805" s="13">
        <v>41</v>
      </c>
    </row>
    <row r="3806" spans="6:9">
      <c r="F3806" s="12" t="s">
        <v>4409</v>
      </c>
      <c r="G3806" s="12" t="s">
        <v>159</v>
      </c>
      <c r="H3806" s="15">
        <v>52000</v>
      </c>
      <c r="I3806" s="13">
        <v>41</v>
      </c>
    </row>
    <row r="3807" spans="6:9">
      <c r="F3807" s="12" t="s">
        <v>1323</v>
      </c>
      <c r="G3807" s="12" t="s">
        <v>159</v>
      </c>
      <c r="H3807" s="15">
        <v>985900</v>
      </c>
      <c r="I3807" s="13">
        <v>41</v>
      </c>
    </row>
    <row r="3808" spans="6:9">
      <c r="F3808" s="12" t="s">
        <v>4410</v>
      </c>
      <c r="G3808" s="12" t="s">
        <v>157</v>
      </c>
      <c r="H3808" s="15">
        <v>96202</v>
      </c>
      <c r="I3808" s="13">
        <v>41</v>
      </c>
    </row>
    <row r="3809" spans="6:9">
      <c r="F3809" s="12" t="s">
        <v>4411</v>
      </c>
      <c r="G3809" s="12" t="s">
        <v>157</v>
      </c>
      <c r="H3809" s="15">
        <v>42912</v>
      </c>
      <c r="I3809" s="13">
        <v>41</v>
      </c>
    </row>
    <row r="3810" spans="6:9">
      <c r="F3810" s="12" t="s">
        <v>4412</v>
      </c>
      <c r="G3810" s="12" t="s">
        <v>157</v>
      </c>
      <c r="H3810" s="15">
        <v>42402</v>
      </c>
      <c r="I3810" s="13">
        <v>41</v>
      </c>
    </row>
    <row r="3811" spans="6:9">
      <c r="F3811" s="12" t="s">
        <v>2475</v>
      </c>
      <c r="G3811" s="12" t="s">
        <v>157</v>
      </c>
      <c r="H3811" s="15">
        <v>52863</v>
      </c>
      <c r="I3811" s="13">
        <v>41</v>
      </c>
    </row>
    <row r="3812" spans="6:9">
      <c r="F3812" s="12" t="s">
        <v>1039</v>
      </c>
      <c r="G3812" s="12" t="s">
        <v>157</v>
      </c>
      <c r="H3812" s="15">
        <v>396605</v>
      </c>
      <c r="I3812" s="13">
        <v>41</v>
      </c>
    </row>
    <row r="3813" spans="6:9">
      <c r="F3813" s="12" t="s">
        <v>2477</v>
      </c>
      <c r="G3813" s="12" t="s">
        <v>157</v>
      </c>
      <c r="H3813" s="15">
        <v>47636</v>
      </c>
      <c r="I3813" s="13">
        <v>41</v>
      </c>
    </row>
    <row r="3814" spans="6:9">
      <c r="F3814" s="12" t="s">
        <v>4413</v>
      </c>
      <c r="G3814" s="12" t="s">
        <v>159</v>
      </c>
      <c r="H3814" s="15">
        <v>92300</v>
      </c>
      <c r="I3814" s="13">
        <v>41</v>
      </c>
    </row>
    <row r="3815" spans="6:9">
      <c r="F3815" s="12" t="s">
        <v>4414</v>
      </c>
      <c r="G3815" s="12" t="s">
        <v>157</v>
      </c>
      <c r="H3815" s="15">
        <v>60244</v>
      </c>
      <c r="I3815" s="13">
        <v>41</v>
      </c>
    </row>
    <row r="3816" spans="6:9">
      <c r="F3816" s="12" t="s">
        <v>4415</v>
      </c>
      <c r="G3816" s="12" t="s">
        <v>159</v>
      </c>
      <c r="H3816" s="15">
        <v>10600</v>
      </c>
      <c r="I3816" s="13">
        <v>41</v>
      </c>
    </row>
    <row r="3817" spans="6:9">
      <c r="F3817" s="12" t="s">
        <v>4416</v>
      </c>
      <c r="G3817" s="12" t="s">
        <v>159</v>
      </c>
      <c r="H3817" s="15">
        <v>27600</v>
      </c>
      <c r="I3817" s="13">
        <v>41</v>
      </c>
    </row>
    <row r="3818" spans="6:9">
      <c r="F3818" s="12" t="s">
        <v>4417</v>
      </c>
      <c r="G3818" s="12" t="s">
        <v>159</v>
      </c>
      <c r="H3818" s="15">
        <v>93500</v>
      </c>
      <c r="I3818" s="13">
        <v>41</v>
      </c>
    </row>
    <row r="3819" spans="6:9">
      <c r="F3819" s="12" t="s">
        <v>4418</v>
      </c>
      <c r="G3819" s="12" t="s">
        <v>159</v>
      </c>
      <c r="H3819" s="15">
        <v>12300</v>
      </c>
      <c r="I3819" s="13">
        <v>41</v>
      </c>
    </row>
    <row r="3820" spans="6:9">
      <c r="F3820" s="12" t="s">
        <v>1043</v>
      </c>
      <c r="G3820" s="12" t="s">
        <v>157</v>
      </c>
      <c r="H3820" s="15">
        <v>1983877</v>
      </c>
      <c r="I3820" s="13">
        <v>41</v>
      </c>
    </row>
    <row r="3821" spans="6:9">
      <c r="F3821" s="12" t="s">
        <v>1500</v>
      </c>
      <c r="G3821" s="12" t="s">
        <v>157</v>
      </c>
      <c r="H3821" s="15">
        <v>102308</v>
      </c>
      <c r="I3821" s="13">
        <v>41</v>
      </c>
    </row>
    <row r="3822" spans="6:9">
      <c r="F3822" s="12" t="s">
        <v>4419</v>
      </c>
      <c r="G3822" s="12" t="s">
        <v>159</v>
      </c>
      <c r="H3822" s="15">
        <v>20400</v>
      </c>
      <c r="I3822" s="13">
        <v>41</v>
      </c>
    </row>
    <row r="3823" spans="6:9">
      <c r="F3823" s="12" t="s">
        <v>1046</v>
      </c>
      <c r="G3823" s="12" t="s">
        <v>157</v>
      </c>
      <c r="H3823" s="15">
        <v>327616</v>
      </c>
      <c r="I3823" s="13">
        <v>41</v>
      </c>
    </row>
    <row r="3824" spans="6:9">
      <c r="F3824" s="12" t="s">
        <v>4420</v>
      </c>
      <c r="G3824" s="12" t="s">
        <v>159</v>
      </c>
      <c r="H3824" s="15">
        <v>42300</v>
      </c>
      <c r="I3824" s="13">
        <v>41</v>
      </c>
    </row>
    <row r="3825" spans="6:9">
      <c r="F3825" s="12" t="s">
        <v>1049</v>
      </c>
      <c r="G3825" s="12" t="s">
        <v>157</v>
      </c>
      <c r="H3825" s="15">
        <v>272217</v>
      </c>
      <c r="I3825" s="13">
        <v>41</v>
      </c>
    </row>
    <row r="3826" spans="6:9">
      <c r="F3826" s="12" t="s">
        <v>4421</v>
      </c>
      <c r="G3826" s="12" t="s">
        <v>159</v>
      </c>
      <c r="H3826" s="15">
        <v>123200</v>
      </c>
      <c r="I3826" s="13">
        <v>41</v>
      </c>
    </row>
    <row r="3827" spans="6:9">
      <c r="F3827" s="12" t="s">
        <v>4422</v>
      </c>
      <c r="G3827" s="12" t="s">
        <v>159</v>
      </c>
      <c r="H3827" s="15">
        <v>87200</v>
      </c>
      <c r="I3827" s="13">
        <v>41</v>
      </c>
    </row>
    <row r="3828" spans="6:9">
      <c r="F3828" s="12" t="s">
        <v>4423</v>
      </c>
      <c r="G3828" s="12" t="s">
        <v>159</v>
      </c>
      <c r="H3828" s="15">
        <v>38900</v>
      </c>
      <c r="I3828" s="13">
        <v>41</v>
      </c>
    </row>
    <row r="3829" spans="6:9">
      <c r="F3829" s="12" t="s">
        <v>4424</v>
      </c>
      <c r="G3829" s="12" t="s">
        <v>159</v>
      </c>
      <c r="H3829" s="15">
        <v>17800</v>
      </c>
      <c r="I3829" s="13">
        <v>41</v>
      </c>
    </row>
    <row r="3830" spans="6:9">
      <c r="F3830" s="12" t="s">
        <v>1052</v>
      </c>
      <c r="G3830" s="12" t="s">
        <v>157</v>
      </c>
      <c r="H3830" s="15">
        <v>200615</v>
      </c>
      <c r="I3830" s="13">
        <v>41</v>
      </c>
    </row>
    <row r="3831" spans="6:9">
      <c r="F3831" s="12" t="s">
        <v>4425</v>
      </c>
      <c r="G3831" s="12" t="s">
        <v>159</v>
      </c>
      <c r="H3831" s="15">
        <v>25800</v>
      </c>
      <c r="I3831" s="13">
        <v>41</v>
      </c>
    </row>
    <row r="3832" spans="6:9">
      <c r="F3832" s="12" t="s">
        <v>4426</v>
      </c>
      <c r="G3832" s="12" t="s">
        <v>159</v>
      </c>
      <c r="H3832" s="15">
        <v>242700</v>
      </c>
      <c r="I3832" s="13">
        <v>41</v>
      </c>
    </row>
    <row r="3833" spans="6:9">
      <c r="F3833" s="12" t="s">
        <v>4427</v>
      </c>
      <c r="G3833" s="12" t="s">
        <v>159</v>
      </c>
      <c r="H3833" s="15">
        <v>12300</v>
      </c>
      <c r="I3833" s="13">
        <v>41</v>
      </c>
    </row>
    <row r="3834" spans="6:9">
      <c r="F3834" s="12" t="s">
        <v>4428</v>
      </c>
      <c r="G3834" s="12" t="s">
        <v>159</v>
      </c>
      <c r="H3834" s="15">
        <v>52200</v>
      </c>
      <c r="I3834" s="13">
        <v>41</v>
      </c>
    </row>
    <row r="3835" spans="6:9">
      <c r="F3835" s="12" t="s">
        <v>4429</v>
      </c>
      <c r="G3835" s="12" t="s">
        <v>159</v>
      </c>
      <c r="H3835" s="15">
        <v>13400</v>
      </c>
      <c r="I3835" s="13">
        <v>41</v>
      </c>
    </row>
    <row r="3836" spans="6:9">
      <c r="F3836" s="12" t="s">
        <v>4430</v>
      </c>
      <c r="G3836" s="12" t="s">
        <v>159</v>
      </c>
      <c r="H3836" s="15">
        <v>11400</v>
      </c>
      <c r="I3836" s="13">
        <v>41</v>
      </c>
    </row>
    <row r="3837" spans="6:9">
      <c r="F3837" s="12" t="s">
        <v>4431</v>
      </c>
      <c r="G3837" s="12" t="s">
        <v>159</v>
      </c>
      <c r="H3837" s="15">
        <v>207000</v>
      </c>
      <c r="I3837" s="13">
        <v>41</v>
      </c>
    </row>
    <row r="3838" spans="6:9">
      <c r="F3838" s="12" t="s">
        <v>4432</v>
      </c>
      <c r="G3838" s="12" t="s">
        <v>159</v>
      </c>
      <c r="H3838" s="15">
        <v>13300</v>
      </c>
      <c r="I3838" s="13">
        <v>41</v>
      </c>
    </row>
    <row r="3839" spans="6:9">
      <c r="F3839" s="12" t="s">
        <v>4433</v>
      </c>
      <c r="G3839" s="12" t="s">
        <v>159</v>
      </c>
      <c r="H3839" s="15">
        <v>11400</v>
      </c>
      <c r="I3839" s="13">
        <v>41</v>
      </c>
    </row>
    <row r="3840" spans="6:9">
      <c r="F3840" s="12" t="s">
        <v>4434</v>
      </c>
      <c r="G3840" s="12" t="s">
        <v>159</v>
      </c>
      <c r="H3840" s="15">
        <v>39600</v>
      </c>
      <c r="I3840" s="13">
        <v>41</v>
      </c>
    </row>
    <row r="3841" spans="6:9">
      <c r="F3841" s="12" t="s">
        <v>515</v>
      </c>
      <c r="G3841" s="12" t="s">
        <v>157</v>
      </c>
      <c r="H3841" s="15">
        <v>82015</v>
      </c>
      <c r="I3841" s="13">
        <v>41</v>
      </c>
    </row>
    <row r="3842" spans="6:9">
      <c r="F3842" s="12" t="s">
        <v>1779</v>
      </c>
      <c r="G3842" s="12" t="s">
        <v>157</v>
      </c>
      <c r="H3842" s="15">
        <v>14361</v>
      </c>
      <c r="I3842" s="13">
        <v>41</v>
      </c>
    </row>
    <row r="3843" spans="6:9">
      <c r="F3843" s="12" t="s">
        <v>1055</v>
      </c>
      <c r="G3843" s="12" t="s">
        <v>157</v>
      </c>
      <c r="H3843" s="15">
        <v>209905</v>
      </c>
      <c r="I3843" s="13">
        <v>41</v>
      </c>
    </row>
    <row r="3844" spans="6:9">
      <c r="F3844" s="12" t="s">
        <v>4435</v>
      </c>
      <c r="G3844" s="12" t="s">
        <v>159</v>
      </c>
      <c r="H3844" s="15">
        <v>12200</v>
      </c>
      <c r="I3844" s="13">
        <v>41</v>
      </c>
    </row>
    <row r="3845" spans="6:9">
      <c r="F3845" s="12" t="s">
        <v>1058</v>
      </c>
      <c r="G3845" s="12" t="s">
        <v>157</v>
      </c>
      <c r="H3845" s="15">
        <v>192311</v>
      </c>
      <c r="I3845" s="13">
        <v>41</v>
      </c>
    </row>
    <row r="3846" spans="6:9">
      <c r="F3846" s="12" t="s">
        <v>1060</v>
      </c>
      <c r="G3846" s="12" t="s">
        <v>157</v>
      </c>
      <c r="H3846" s="15">
        <v>2308270</v>
      </c>
      <c r="I3846" s="13">
        <v>41</v>
      </c>
    </row>
    <row r="3847" spans="6:9">
      <c r="F3847" s="12" t="s">
        <v>4436</v>
      </c>
      <c r="G3847" s="12" t="s">
        <v>159</v>
      </c>
      <c r="H3847" s="15">
        <v>23300</v>
      </c>
      <c r="I3847" s="13">
        <v>41</v>
      </c>
    </row>
    <row r="3848" spans="6:9">
      <c r="F3848" s="12" t="s">
        <v>4437</v>
      </c>
      <c r="G3848" s="12" t="s">
        <v>159</v>
      </c>
      <c r="H3848" s="15">
        <v>43600</v>
      </c>
      <c r="I3848" s="13">
        <v>41</v>
      </c>
    </row>
    <row r="3849" spans="6:9">
      <c r="F3849" s="12" t="s">
        <v>1066</v>
      </c>
      <c r="G3849" s="12" t="s">
        <v>157</v>
      </c>
      <c r="H3849" s="15">
        <v>836024</v>
      </c>
      <c r="I3849" s="13">
        <v>41</v>
      </c>
    </row>
    <row r="3850" spans="6:9">
      <c r="F3850" s="12" t="s">
        <v>4438</v>
      </c>
      <c r="G3850" s="12" t="s">
        <v>159</v>
      </c>
      <c r="H3850" s="15">
        <v>32400</v>
      </c>
      <c r="I3850" s="13">
        <v>41</v>
      </c>
    </row>
    <row r="3851" spans="6:9">
      <c r="F3851" s="12" t="s">
        <v>4439</v>
      </c>
      <c r="G3851" s="12" t="s">
        <v>159</v>
      </c>
      <c r="H3851" s="15">
        <v>16400</v>
      </c>
      <c r="I3851" s="13">
        <v>41</v>
      </c>
    </row>
    <row r="3852" spans="6:9">
      <c r="F3852" s="12" t="s">
        <v>4440</v>
      </c>
      <c r="G3852" s="12" t="s">
        <v>159</v>
      </c>
      <c r="H3852" s="15">
        <v>157700</v>
      </c>
      <c r="I3852" s="13">
        <v>41</v>
      </c>
    </row>
    <row r="3853" spans="6:9">
      <c r="F3853" s="12" t="s">
        <v>2531</v>
      </c>
      <c r="G3853" s="12" t="s">
        <v>157</v>
      </c>
      <c r="H3853" s="15">
        <v>21692</v>
      </c>
      <c r="I3853" s="13">
        <v>41</v>
      </c>
    </row>
    <row r="3854" spans="6:9">
      <c r="F3854" s="12" t="s">
        <v>824</v>
      </c>
      <c r="G3854" s="12" t="s">
        <v>157</v>
      </c>
      <c r="H3854" s="15">
        <v>516185245</v>
      </c>
      <c r="I3854" s="13">
        <v>41</v>
      </c>
    </row>
    <row r="3855" spans="6:9">
      <c r="F3855" s="12" t="s">
        <v>4441</v>
      </c>
      <c r="G3855" s="12" t="s">
        <v>159</v>
      </c>
      <c r="H3855" s="15">
        <v>10300</v>
      </c>
      <c r="I3855" s="13">
        <v>41</v>
      </c>
    </row>
    <row r="3856" spans="6:9">
      <c r="F3856" s="12" t="s">
        <v>2485</v>
      </c>
      <c r="G3856" s="12" t="s">
        <v>157</v>
      </c>
      <c r="H3856" s="15">
        <v>57994</v>
      </c>
      <c r="I3856" s="13">
        <v>41</v>
      </c>
    </row>
    <row r="3857" spans="6:9">
      <c r="F3857" s="12" t="s">
        <v>4442</v>
      </c>
      <c r="G3857" s="12" t="s">
        <v>159</v>
      </c>
      <c r="H3857" s="15">
        <v>25900</v>
      </c>
      <c r="I3857" s="13">
        <v>41</v>
      </c>
    </row>
    <row r="3858" spans="6:9">
      <c r="F3858" s="12" t="s">
        <v>4443</v>
      </c>
      <c r="G3858" s="12" t="s">
        <v>159</v>
      </c>
      <c r="H3858" s="15">
        <v>278200</v>
      </c>
      <c r="I3858" s="13">
        <v>41</v>
      </c>
    </row>
    <row r="3859" spans="6:9">
      <c r="F3859" s="12" t="s">
        <v>1069</v>
      </c>
      <c r="G3859" s="12" t="s">
        <v>157</v>
      </c>
      <c r="H3859" s="15">
        <v>123942</v>
      </c>
      <c r="I3859" s="13">
        <v>41</v>
      </c>
    </row>
    <row r="3860" spans="6:9">
      <c r="F3860" s="12" t="s">
        <v>4444</v>
      </c>
      <c r="G3860" s="12" t="s">
        <v>159</v>
      </c>
      <c r="H3860" s="15">
        <v>16800</v>
      </c>
      <c r="I3860" s="13">
        <v>41</v>
      </c>
    </row>
    <row r="3861" spans="6:9">
      <c r="F3861" s="12" t="s">
        <v>750</v>
      </c>
      <c r="G3861" s="12" t="s">
        <v>157</v>
      </c>
      <c r="H3861" s="15">
        <v>1210698</v>
      </c>
      <c r="I3861" s="13">
        <v>41</v>
      </c>
    </row>
    <row r="3862" spans="6:9">
      <c r="F3862" s="12" t="s">
        <v>1071</v>
      </c>
      <c r="G3862" s="12" t="s">
        <v>157</v>
      </c>
      <c r="H3862" s="15">
        <v>344256</v>
      </c>
      <c r="I3862" s="13">
        <v>41</v>
      </c>
    </row>
    <row r="3863" spans="6:9">
      <c r="F3863" s="12" t="s">
        <v>4445</v>
      </c>
      <c r="G3863" s="12" t="s">
        <v>159</v>
      </c>
      <c r="H3863" s="15">
        <v>23200</v>
      </c>
      <c r="I3863" s="13">
        <v>41</v>
      </c>
    </row>
    <row r="3864" spans="6:9">
      <c r="F3864" s="12" t="s">
        <v>4446</v>
      </c>
      <c r="G3864" s="12" t="s">
        <v>159</v>
      </c>
      <c r="H3864" s="15">
        <v>57100</v>
      </c>
      <c r="I3864" s="13">
        <v>41</v>
      </c>
    </row>
    <row r="3865" spans="6:9">
      <c r="F3865" s="12" t="s">
        <v>1791</v>
      </c>
      <c r="G3865" s="12" t="s">
        <v>157</v>
      </c>
      <c r="H3865" s="15">
        <v>259551</v>
      </c>
      <c r="I3865" s="13">
        <v>41</v>
      </c>
    </row>
    <row r="3866" spans="6:9">
      <c r="F3866" s="12" t="s">
        <v>752</v>
      </c>
      <c r="G3866" s="12" t="s">
        <v>157</v>
      </c>
      <c r="H3866" s="15">
        <v>106754</v>
      </c>
      <c r="I3866" s="13">
        <v>41</v>
      </c>
    </row>
    <row r="3867" spans="6:9">
      <c r="F3867" s="12" t="s">
        <v>4447</v>
      </c>
      <c r="G3867" s="12" t="s">
        <v>159</v>
      </c>
      <c r="H3867" s="15">
        <v>755900</v>
      </c>
      <c r="I3867" s="13">
        <v>41</v>
      </c>
    </row>
    <row r="3868" spans="6:9">
      <c r="F3868" s="12" t="s">
        <v>1074</v>
      </c>
      <c r="G3868" s="12" t="s">
        <v>157</v>
      </c>
      <c r="H3868" s="15">
        <v>615866</v>
      </c>
      <c r="I3868" s="13">
        <v>41</v>
      </c>
    </row>
    <row r="3869" spans="6:9">
      <c r="F3869" s="12" t="s">
        <v>1795</v>
      </c>
      <c r="G3869" s="12" t="s">
        <v>157</v>
      </c>
      <c r="H3869" s="15">
        <v>167976</v>
      </c>
      <c r="I3869" s="13">
        <v>41</v>
      </c>
    </row>
    <row r="3870" spans="6:9">
      <c r="F3870" s="12" t="s">
        <v>4448</v>
      </c>
      <c r="G3870" s="12" t="s">
        <v>159</v>
      </c>
      <c r="H3870" s="15">
        <v>30400</v>
      </c>
      <c r="I3870" s="13">
        <v>41</v>
      </c>
    </row>
    <row r="3871" spans="6:9">
      <c r="F3871" s="12" t="s">
        <v>1077</v>
      </c>
      <c r="G3871" s="12" t="s">
        <v>157</v>
      </c>
      <c r="H3871" s="15">
        <v>287963</v>
      </c>
      <c r="I3871" s="13">
        <v>41</v>
      </c>
    </row>
    <row r="3872" spans="6:9">
      <c r="F3872" s="12" t="s">
        <v>4449</v>
      </c>
      <c r="G3872" s="12" t="s">
        <v>159</v>
      </c>
      <c r="H3872" s="15">
        <v>54100</v>
      </c>
      <c r="I3872" s="13">
        <v>41</v>
      </c>
    </row>
    <row r="3873" spans="6:9">
      <c r="F3873" s="12" t="s">
        <v>4450</v>
      </c>
      <c r="G3873" s="12" t="s">
        <v>159</v>
      </c>
      <c r="H3873" s="15">
        <v>20600</v>
      </c>
      <c r="I3873" s="13">
        <v>41</v>
      </c>
    </row>
    <row r="3874" spans="6:9">
      <c r="F3874" s="12" t="s">
        <v>4451</v>
      </c>
      <c r="G3874" s="12" t="s">
        <v>159</v>
      </c>
      <c r="H3874" s="15">
        <v>42800</v>
      </c>
      <c r="I3874" s="13">
        <v>41</v>
      </c>
    </row>
    <row r="3875" spans="6:9">
      <c r="F3875" s="12" t="s">
        <v>1080</v>
      </c>
      <c r="G3875" s="12" t="s">
        <v>157</v>
      </c>
      <c r="H3875" s="15">
        <v>109555</v>
      </c>
      <c r="I3875" s="13">
        <v>41</v>
      </c>
    </row>
    <row r="3876" spans="6:9">
      <c r="F3876" s="12" t="s">
        <v>4452</v>
      </c>
      <c r="G3876" s="12" t="s">
        <v>159</v>
      </c>
      <c r="H3876" s="15">
        <v>10200</v>
      </c>
      <c r="I3876" s="13">
        <v>41</v>
      </c>
    </row>
    <row r="3877" spans="6:9">
      <c r="F3877" s="12" t="s">
        <v>1083</v>
      </c>
      <c r="G3877" s="12" t="s">
        <v>157</v>
      </c>
      <c r="H3877" s="15">
        <v>438045</v>
      </c>
      <c r="I3877" s="13">
        <v>41</v>
      </c>
    </row>
    <row r="3878" spans="6:9">
      <c r="F3878" s="12" t="s">
        <v>4453</v>
      </c>
      <c r="G3878" s="12" t="s">
        <v>159</v>
      </c>
      <c r="H3878" s="15">
        <v>10100</v>
      </c>
      <c r="I3878" s="13">
        <v>41</v>
      </c>
    </row>
    <row r="3879" spans="6:9">
      <c r="F3879" s="12" t="s">
        <v>1086</v>
      </c>
      <c r="G3879" s="12" t="s">
        <v>157</v>
      </c>
      <c r="H3879" s="15">
        <v>103144</v>
      </c>
      <c r="I3879" s="13">
        <v>41</v>
      </c>
    </row>
    <row r="3880" spans="6:9">
      <c r="F3880" s="12" t="s">
        <v>4454</v>
      </c>
      <c r="G3880" s="12" t="s">
        <v>159</v>
      </c>
      <c r="H3880" s="15">
        <v>26800</v>
      </c>
      <c r="I3880" s="13">
        <v>41</v>
      </c>
    </row>
    <row r="3881" spans="6:9">
      <c r="F3881" s="12" t="s">
        <v>4455</v>
      </c>
      <c r="G3881" s="12" t="s">
        <v>159</v>
      </c>
      <c r="H3881" s="15">
        <v>28100</v>
      </c>
      <c r="I3881" s="13">
        <v>41</v>
      </c>
    </row>
    <row r="3882" spans="6:9">
      <c r="F3882" s="12" t="s">
        <v>4456</v>
      </c>
      <c r="G3882" s="12" t="s">
        <v>159</v>
      </c>
      <c r="H3882" s="15">
        <v>21400</v>
      </c>
      <c r="I3882" s="13">
        <v>41</v>
      </c>
    </row>
    <row r="3883" spans="6:9">
      <c r="F3883" s="12" t="s">
        <v>4457</v>
      </c>
      <c r="G3883" s="12" t="s">
        <v>159</v>
      </c>
      <c r="H3883" s="15">
        <v>22000</v>
      </c>
      <c r="I3883" s="13">
        <v>41</v>
      </c>
    </row>
    <row r="3884" spans="6:9">
      <c r="F3884" s="12" t="s">
        <v>4458</v>
      </c>
      <c r="G3884" s="12" t="s">
        <v>159</v>
      </c>
      <c r="H3884" s="15">
        <v>40500</v>
      </c>
      <c r="I3884" s="13">
        <v>41</v>
      </c>
    </row>
    <row r="3885" spans="6:9">
      <c r="F3885" s="12" t="s">
        <v>4459</v>
      </c>
      <c r="G3885" s="12" t="s">
        <v>159</v>
      </c>
      <c r="H3885" s="15">
        <v>194100</v>
      </c>
      <c r="I3885" s="13">
        <v>41</v>
      </c>
    </row>
    <row r="3886" spans="6:9">
      <c r="F3886" s="12" t="s">
        <v>1092</v>
      </c>
      <c r="G3886" s="12" t="s">
        <v>157</v>
      </c>
      <c r="H3886" s="15">
        <v>149966</v>
      </c>
      <c r="I3886" s="13">
        <v>41</v>
      </c>
    </row>
    <row r="3887" spans="6:9">
      <c r="F3887" s="12" t="s">
        <v>4460</v>
      </c>
      <c r="G3887" s="12" t="s">
        <v>159</v>
      </c>
      <c r="H3887" s="15">
        <v>10300</v>
      </c>
      <c r="I3887" s="13">
        <v>41</v>
      </c>
    </row>
    <row r="3888" spans="6:9">
      <c r="F3888" s="12" t="s">
        <v>1308</v>
      </c>
      <c r="G3888" s="12" t="s">
        <v>159</v>
      </c>
      <c r="H3888" s="15">
        <v>770000</v>
      </c>
      <c r="I3888" s="13">
        <v>41</v>
      </c>
    </row>
    <row r="3889" spans="6:9">
      <c r="F3889" s="12" t="s">
        <v>4461</v>
      </c>
      <c r="G3889" s="12" t="s">
        <v>159</v>
      </c>
      <c r="H3889" s="15">
        <v>118700</v>
      </c>
      <c r="I3889" s="13">
        <v>41</v>
      </c>
    </row>
    <row r="3890" spans="6:9">
      <c r="F3890" s="12" t="s">
        <v>4462</v>
      </c>
      <c r="G3890" s="12" t="s">
        <v>159</v>
      </c>
      <c r="H3890" s="15">
        <v>20600</v>
      </c>
      <c r="I3890" s="13">
        <v>41</v>
      </c>
    </row>
    <row r="3891" spans="6:9">
      <c r="F3891" s="12" t="s">
        <v>4463</v>
      </c>
      <c r="G3891" s="12" t="s">
        <v>157</v>
      </c>
      <c r="H3891" s="15">
        <v>60938</v>
      </c>
      <c r="I3891" s="13">
        <v>41</v>
      </c>
    </row>
    <row r="3892" spans="6:9">
      <c r="F3892" s="12" t="s">
        <v>1531</v>
      </c>
      <c r="G3892" s="12" t="s">
        <v>157</v>
      </c>
      <c r="H3892" s="15">
        <v>101960</v>
      </c>
      <c r="I3892" s="13">
        <v>41</v>
      </c>
    </row>
    <row r="3893" spans="6:9">
      <c r="F3893" s="12" t="s">
        <v>4464</v>
      </c>
      <c r="G3893" s="12" t="s">
        <v>159</v>
      </c>
      <c r="H3893" s="15">
        <v>97600</v>
      </c>
      <c r="I3893" s="13">
        <v>41</v>
      </c>
    </row>
    <row r="3894" spans="6:9">
      <c r="F3894" s="12" t="s">
        <v>1095</v>
      </c>
      <c r="G3894" s="12" t="s">
        <v>157</v>
      </c>
      <c r="H3894" s="15">
        <v>1737829</v>
      </c>
      <c r="I3894" s="13">
        <v>41</v>
      </c>
    </row>
    <row r="3895" spans="6:9">
      <c r="F3895" s="12" t="s">
        <v>4465</v>
      </c>
      <c r="G3895" s="12" t="s">
        <v>159</v>
      </c>
      <c r="H3895" s="15">
        <v>33300</v>
      </c>
      <c r="I3895" s="13">
        <v>41</v>
      </c>
    </row>
    <row r="3896" spans="6:9">
      <c r="F3896" s="12" t="s">
        <v>1098</v>
      </c>
      <c r="G3896" s="12" t="s">
        <v>157</v>
      </c>
      <c r="H3896" s="15">
        <v>7358061</v>
      </c>
      <c r="I3896" s="13">
        <v>41</v>
      </c>
    </row>
    <row r="3897" spans="6:9">
      <c r="F3897" s="12" t="s">
        <v>4466</v>
      </c>
      <c r="G3897" s="12" t="s">
        <v>159</v>
      </c>
      <c r="H3897" s="15">
        <v>36400</v>
      </c>
      <c r="I3897" s="13">
        <v>41</v>
      </c>
    </row>
    <row r="3898" spans="6:9">
      <c r="F3898" s="12" t="s">
        <v>4467</v>
      </c>
      <c r="G3898" s="12" t="s">
        <v>159</v>
      </c>
      <c r="H3898" s="15">
        <v>25600</v>
      </c>
      <c r="I3898" s="13">
        <v>41</v>
      </c>
    </row>
    <row r="3899" spans="6:9">
      <c r="F3899" s="12" t="s">
        <v>1375</v>
      </c>
      <c r="G3899" s="12" t="s">
        <v>157</v>
      </c>
      <c r="H3899" s="15">
        <v>182982</v>
      </c>
      <c r="I3899" s="13">
        <v>41</v>
      </c>
    </row>
    <row r="3900" spans="6:9">
      <c r="F3900" s="12" t="s">
        <v>4468</v>
      </c>
      <c r="G3900" s="12" t="s">
        <v>159</v>
      </c>
      <c r="H3900" s="15">
        <v>11500</v>
      </c>
      <c r="I3900" s="13">
        <v>41</v>
      </c>
    </row>
    <row r="3901" spans="6:9">
      <c r="F3901" s="12" t="s">
        <v>1101</v>
      </c>
      <c r="G3901" s="12" t="s">
        <v>157</v>
      </c>
      <c r="H3901" s="15">
        <v>6133691</v>
      </c>
      <c r="I3901" s="13">
        <v>41</v>
      </c>
    </row>
    <row r="3902" spans="6:9">
      <c r="F3902" s="12" t="s">
        <v>4469</v>
      </c>
      <c r="G3902" s="12" t="s">
        <v>159</v>
      </c>
      <c r="H3902" s="15">
        <v>102100</v>
      </c>
      <c r="I3902" s="13">
        <v>41</v>
      </c>
    </row>
    <row r="3903" spans="6:9">
      <c r="F3903" s="12" t="s">
        <v>4470</v>
      </c>
      <c r="G3903" s="12" t="s">
        <v>159</v>
      </c>
      <c r="H3903" s="15">
        <v>10200</v>
      </c>
      <c r="I3903" s="13">
        <v>41</v>
      </c>
    </row>
    <row r="3904" spans="6:9">
      <c r="F3904" s="12" t="s">
        <v>4471</v>
      </c>
      <c r="G3904" s="12" t="s">
        <v>159</v>
      </c>
      <c r="H3904" s="15">
        <v>667800</v>
      </c>
      <c r="I3904" s="13">
        <v>41</v>
      </c>
    </row>
    <row r="3905" spans="6:9">
      <c r="F3905" s="12" t="s">
        <v>4472</v>
      </c>
      <c r="G3905" s="12" t="s">
        <v>157</v>
      </c>
      <c r="H3905" s="15">
        <v>42472</v>
      </c>
      <c r="I3905" s="13">
        <v>40</v>
      </c>
    </row>
    <row r="3906" spans="6:9">
      <c r="F3906" s="12" t="s">
        <v>1110</v>
      </c>
      <c r="G3906" s="12" t="s">
        <v>157</v>
      </c>
      <c r="H3906" s="15">
        <v>437793</v>
      </c>
      <c r="I3906" s="13">
        <v>40</v>
      </c>
    </row>
    <row r="3907" spans="6:9">
      <c r="F3907" s="12" t="s">
        <v>1113</v>
      </c>
      <c r="G3907" s="12" t="s">
        <v>157</v>
      </c>
      <c r="H3907" s="15">
        <v>547844</v>
      </c>
      <c r="I3907" s="13">
        <v>40</v>
      </c>
    </row>
    <row r="3908" spans="6:9">
      <c r="F3908" s="12" t="s">
        <v>2500</v>
      </c>
      <c r="G3908" s="12" t="s">
        <v>157</v>
      </c>
      <c r="H3908" s="15">
        <v>37926</v>
      </c>
      <c r="I3908" s="13">
        <v>40</v>
      </c>
    </row>
    <row r="3909" spans="6:9">
      <c r="F3909" s="12" t="s">
        <v>2552</v>
      </c>
      <c r="G3909" s="12" t="s">
        <v>157</v>
      </c>
      <c r="H3909" s="15">
        <v>20912</v>
      </c>
      <c r="I3909" s="13">
        <v>40</v>
      </c>
    </row>
    <row r="3910" spans="6:9">
      <c r="F3910" s="12" t="s">
        <v>1124</v>
      </c>
      <c r="G3910" s="12" t="s">
        <v>157</v>
      </c>
      <c r="H3910" s="15">
        <v>1878680</v>
      </c>
      <c r="I3910" s="13">
        <v>40</v>
      </c>
    </row>
    <row r="3911" spans="6:9">
      <c r="F3911" s="12" t="s">
        <v>1127</v>
      </c>
      <c r="G3911" s="12" t="s">
        <v>157</v>
      </c>
      <c r="H3911" s="15">
        <v>341661</v>
      </c>
      <c r="I3911" s="13">
        <v>40</v>
      </c>
    </row>
    <row r="3912" spans="6:9">
      <c r="F3912" s="12" t="s">
        <v>1130</v>
      </c>
      <c r="G3912" s="12" t="s">
        <v>157</v>
      </c>
      <c r="H3912" s="15">
        <v>232826</v>
      </c>
      <c r="I3912" s="13">
        <v>40</v>
      </c>
    </row>
    <row r="3913" spans="6:9">
      <c r="F3913" s="12" t="s">
        <v>4473</v>
      </c>
      <c r="G3913" s="12" t="s">
        <v>157</v>
      </c>
      <c r="H3913" s="15">
        <v>52861</v>
      </c>
      <c r="I3913" s="13">
        <v>40</v>
      </c>
    </row>
    <row r="3914" spans="6:9">
      <c r="F3914" s="12" t="s">
        <v>1133</v>
      </c>
      <c r="G3914" s="12" t="s">
        <v>157</v>
      </c>
      <c r="H3914" s="15">
        <v>186180</v>
      </c>
      <c r="I3914" s="13">
        <v>40</v>
      </c>
    </row>
    <row r="3915" spans="6:9">
      <c r="F3915" s="12" t="s">
        <v>4474</v>
      </c>
      <c r="G3915" s="12" t="s">
        <v>157</v>
      </c>
      <c r="H3915" s="15">
        <v>71755</v>
      </c>
      <c r="I3915" s="13">
        <v>40</v>
      </c>
    </row>
    <row r="3916" spans="6:9">
      <c r="F3916" s="12" t="s">
        <v>1739</v>
      </c>
      <c r="G3916" s="12" t="s">
        <v>159</v>
      </c>
      <c r="H3916" s="15">
        <v>115300</v>
      </c>
      <c r="I3916" s="13">
        <v>40</v>
      </c>
    </row>
    <row r="3917" spans="6:9">
      <c r="F3917" s="12" t="s">
        <v>2501</v>
      </c>
      <c r="G3917" s="12" t="s">
        <v>157</v>
      </c>
      <c r="H3917" s="15">
        <v>51512</v>
      </c>
      <c r="I3917" s="13">
        <v>40</v>
      </c>
    </row>
    <row r="3918" spans="6:9">
      <c r="F3918" s="12" t="s">
        <v>1135</v>
      </c>
      <c r="G3918" s="12" t="s">
        <v>157</v>
      </c>
      <c r="H3918" s="15">
        <v>298432</v>
      </c>
      <c r="I3918" s="13">
        <v>40</v>
      </c>
    </row>
    <row r="3919" spans="6:9">
      <c r="F3919" s="12" t="s">
        <v>2562</v>
      </c>
      <c r="G3919" s="12" t="s">
        <v>157</v>
      </c>
      <c r="H3919" s="15">
        <v>50427</v>
      </c>
      <c r="I3919" s="13">
        <v>40</v>
      </c>
    </row>
    <row r="3920" spans="6:9">
      <c r="F3920" s="12" t="s">
        <v>4475</v>
      </c>
      <c r="G3920" s="12" t="s">
        <v>157</v>
      </c>
      <c r="H3920" s="15">
        <v>89423</v>
      </c>
      <c r="I3920" s="13">
        <v>40</v>
      </c>
    </row>
    <row r="3921" spans="6:9">
      <c r="F3921" s="12" t="s">
        <v>1141</v>
      </c>
      <c r="G3921" s="12" t="s">
        <v>157</v>
      </c>
      <c r="H3921" s="15">
        <v>349108</v>
      </c>
      <c r="I3921" s="13">
        <v>40</v>
      </c>
    </row>
    <row r="3922" spans="6:9">
      <c r="F3922" s="12" t="s">
        <v>1143</v>
      </c>
      <c r="G3922" s="12" t="s">
        <v>157</v>
      </c>
      <c r="H3922" s="15">
        <v>182900</v>
      </c>
      <c r="I3922" s="13">
        <v>40</v>
      </c>
    </row>
    <row r="3923" spans="6:9">
      <c r="F3923" s="12" t="s">
        <v>1145</v>
      </c>
      <c r="G3923" s="12" t="s">
        <v>157</v>
      </c>
      <c r="H3923" s="15">
        <v>112733</v>
      </c>
      <c r="I3923" s="13">
        <v>40</v>
      </c>
    </row>
    <row r="3924" spans="6:9">
      <c r="F3924" s="12" t="s">
        <v>2503</v>
      </c>
      <c r="G3924" s="12" t="s">
        <v>157</v>
      </c>
      <c r="H3924" s="15">
        <v>69341</v>
      </c>
      <c r="I3924" s="13">
        <v>40</v>
      </c>
    </row>
    <row r="3925" spans="6:9">
      <c r="F3925" s="12" t="s">
        <v>1154</v>
      </c>
      <c r="G3925" s="12" t="s">
        <v>157</v>
      </c>
      <c r="H3925" s="15">
        <v>102537</v>
      </c>
      <c r="I3925" s="13">
        <v>40</v>
      </c>
    </row>
    <row r="3926" spans="6:9">
      <c r="F3926" s="12" t="s">
        <v>2506</v>
      </c>
      <c r="G3926" s="12" t="s">
        <v>157</v>
      </c>
      <c r="H3926" s="15">
        <v>47482</v>
      </c>
      <c r="I3926" s="13">
        <v>40</v>
      </c>
    </row>
    <row r="3927" spans="6:9">
      <c r="F3927" s="12" t="s">
        <v>2508</v>
      </c>
      <c r="G3927" s="12" t="s">
        <v>157</v>
      </c>
      <c r="H3927" s="15">
        <v>45147</v>
      </c>
      <c r="I3927" s="13">
        <v>40</v>
      </c>
    </row>
    <row r="3928" spans="6:9">
      <c r="F3928" s="12" t="s">
        <v>1160</v>
      </c>
      <c r="G3928" s="12" t="s">
        <v>157</v>
      </c>
      <c r="H3928" s="15">
        <v>1995254</v>
      </c>
      <c r="I3928" s="13">
        <v>40</v>
      </c>
    </row>
    <row r="3929" spans="6:9">
      <c r="F3929" s="12" t="s">
        <v>1166</v>
      </c>
      <c r="G3929" s="12" t="s">
        <v>157</v>
      </c>
      <c r="H3929" s="15">
        <v>204995</v>
      </c>
      <c r="I3929" s="13">
        <v>40</v>
      </c>
    </row>
    <row r="3930" spans="6:9">
      <c r="F3930" s="12" t="s">
        <v>4476</v>
      </c>
      <c r="G3930" s="12" t="s">
        <v>157</v>
      </c>
      <c r="H3930" s="15">
        <v>47114</v>
      </c>
      <c r="I3930" s="13">
        <v>40</v>
      </c>
    </row>
    <row r="3931" spans="6:9">
      <c r="F3931" s="12" t="s">
        <v>2510</v>
      </c>
      <c r="G3931" s="12" t="s">
        <v>157</v>
      </c>
      <c r="H3931" s="15">
        <v>47673</v>
      </c>
      <c r="I3931" s="13">
        <v>40</v>
      </c>
    </row>
    <row r="3932" spans="6:9">
      <c r="F3932" s="12" t="s">
        <v>1172</v>
      </c>
      <c r="G3932" s="12" t="s">
        <v>157</v>
      </c>
      <c r="H3932" s="15">
        <v>1129785</v>
      </c>
      <c r="I3932" s="13">
        <v>40</v>
      </c>
    </row>
    <row r="3933" spans="6:9">
      <c r="F3933" s="12" t="s">
        <v>2511</v>
      </c>
      <c r="G3933" s="12" t="s">
        <v>157</v>
      </c>
      <c r="H3933" s="15">
        <v>33215</v>
      </c>
      <c r="I3933" s="13">
        <v>40</v>
      </c>
    </row>
    <row r="3934" spans="6:9">
      <c r="F3934" s="12" t="s">
        <v>2578</v>
      </c>
      <c r="G3934" s="12" t="s">
        <v>157</v>
      </c>
      <c r="H3934" s="15">
        <v>67131</v>
      </c>
      <c r="I3934" s="13">
        <v>40</v>
      </c>
    </row>
    <row r="3935" spans="6:9">
      <c r="F3935" s="12" t="s">
        <v>1183</v>
      </c>
      <c r="G3935" s="12" t="s">
        <v>157</v>
      </c>
      <c r="H3935" s="15">
        <v>128122</v>
      </c>
      <c r="I3935" s="13">
        <v>40</v>
      </c>
    </row>
    <row r="3936" spans="6:9">
      <c r="F3936" s="12" t="s">
        <v>4477</v>
      </c>
      <c r="G3936" s="12" t="s">
        <v>157</v>
      </c>
      <c r="H3936" s="15">
        <v>53394</v>
      </c>
      <c r="I3936" s="13">
        <v>40</v>
      </c>
    </row>
    <row r="3937" spans="6:9">
      <c r="F3937" s="12" t="s">
        <v>2515</v>
      </c>
      <c r="G3937" s="12" t="s">
        <v>157</v>
      </c>
      <c r="H3937" s="15">
        <v>53202</v>
      </c>
      <c r="I3937" s="13">
        <v>40</v>
      </c>
    </row>
    <row r="3938" spans="6:9">
      <c r="F3938" s="12" t="s">
        <v>1186</v>
      </c>
      <c r="G3938" s="12" t="s">
        <v>157</v>
      </c>
      <c r="H3938" s="15">
        <v>254204</v>
      </c>
      <c r="I3938" s="13">
        <v>40</v>
      </c>
    </row>
    <row r="3939" spans="6:9">
      <c r="F3939" s="12" t="s">
        <v>1189</v>
      </c>
      <c r="G3939" s="12" t="s">
        <v>157</v>
      </c>
      <c r="H3939" s="15">
        <v>327388</v>
      </c>
      <c r="I3939" s="13">
        <v>40</v>
      </c>
    </row>
    <row r="3940" spans="6:9">
      <c r="F3940" s="12" t="s">
        <v>2589</v>
      </c>
      <c r="G3940" s="12" t="s">
        <v>157</v>
      </c>
      <c r="H3940" s="15">
        <v>38415</v>
      </c>
      <c r="I3940" s="13">
        <v>40</v>
      </c>
    </row>
    <row r="3941" spans="6:9">
      <c r="F3941" s="12" t="s">
        <v>1587</v>
      </c>
      <c r="G3941" s="12" t="s">
        <v>157</v>
      </c>
      <c r="H3941" s="15">
        <v>102498</v>
      </c>
      <c r="I3941" s="13">
        <v>40</v>
      </c>
    </row>
    <row r="3942" spans="6:9">
      <c r="F3942" s="12" t="s">
        <v>1808</v>
      </c>
      <c r="G3942" s="12" t="s">
        <v>157</v>
      </c>
      <c r="H3942" s="15">
        <v>216962</v>
      </c>
      <c r="I3942" s="13">
        <v>40</v>
      </c>
    </row>
    <row r="3943" spans="6:9">
      <c r="F3943" s="12" t="s">
        <v>4478</v>
      </c>
      <c r="G3943" s="12" t="s">
        <v>159</v>
      </c>
      <c r="H3943" s="15">
        <v>10100</v>
      </c>
      <c r="I3943" s="13">
        <v>40</v>
      </c>
    </row>
    <row r="3944" spans="6:9">
      <c r="F3944" s="12" t="s">
        <v>4479</v>
      </c>
      <c r="G3944" s="12" t="s">
        <v>159</v>
      </c>
      <c r="H3944" s="15">
        <v>10800</v>
      </c>
      <c r="I3944" s="13">
        <v>40</v>
      </c>
    </row>
    <row r="3945" spans="6:9">
      <c r="F3945" s="12" t="s">
        <v>1197</v>
      </c>
      <c r="G3945" s="12" t="s">
        <v>157</v>
      </c>
      <c r="H3945" s="15">
        <v>130414</v>
      </c>
      <c r="I3945" s="13">
        <v>40</v>
      </c>
    </row>
    <row r="3946" spans="6:9">
      <c r="F3946" s="12" t="s">
        <v>2517</v>
      </c>
      <c r="G3946" s="12" t="s">
        <v>157</v>
      </c>
      <c r="H3946" s="15">
        <v>81654</v>
      </c>
      <c r="I3946" s="13">
        <v>39</v>
      </c>
    </row>
    <row r="3947" spans="6:9">
      <c r="F3947" s="12" t="s">
        <v>1200</v>
      </c>
      <c r="G3947" s="12" t="s">
        <v>157</v>
      </c>
      <c r="H3947" s="15">
        <v>1377379</v>
      </c>
      <c r="I3947" s="13">
        <v>39</v>
      </c>
    </row>
    <row r="3948" spans="6:9">
      <c r="F3948" s="12" t="s">
        <v>2519</v>
      </c>
      <c r="G3948" s="12" t="s">
        <v>157</v>
      </c>
      <c r="H3948" s="15">
        <v>56880</v>
      </c>
      <c r="I3948" s="13">
        <v>39</v>
      </c>
    </row>
    <row r="3949" spans="6:9">
      <c r="F3949" s="12" t="s">
        <v>4480</v>
      </c>
      <c r="G3949" s="12" t="s">
        <v>159</v>
      </c>
      <c r="H3949" s="15">
        <v>32300</v>
      </c>
      <c r="I3949" s="13">
        <v>39</v>
      </c>
    </row>
    <row r="3950" spans="6:9">
      <c r="F3950" s="12" t="s">
        <v>2597</v>
      </c>
      <c r="G3950" s="12" t="s">
        <v>157</v>
      </c>
      <c r="H3950" s="15">
        <v>26047</v>
      </c>
      <c r="I3950" s="13">
        <v>39</v>
      </c>
    </row>
    <row r="3951" spans="6:9">
      <c r="F3951" s="12" t="s">
        <v>4481</v>
      </c>
      <c r="G3951" s="12" t="s">
        <v>157</v>
      </c>
      <c r="H3951" s="15">
        <v>41264</v>
      </c>
      <c r="I3951" s="13">
        <v>39</v>
      </c>
    </row>
    <row r="3952" spans="6:9">
      <c r="F3952" s="12" t="s">
        <v>1810</v>
      </c>
      <c r="G3952" s="12" t="s">
        <v>157</v>
      </c>
      <c r="H3952" s="15">
        <v>116072</v>
      </c>
      <c r="I3952" s="13">
        <v>39</v>
      </c>
    </row>
    <row r="3953" spans="6:9">
      <c r="F3953" s="12" t="s">
        <v>1210</v>
      </c>
      <c r="G3953" s="12" t="s">
        <v>157</v>
      </c>
      <c r="H3953" s="15">
        <v>1879833</v>
      </c>
      <c r="I3953" s="13">
        <v>39</v>
      </c>
    </row>
    <row r="3954" spans="6:9">
      <c r="F3954" s="12" t="s">
        <v>1213</v>
      </c>
      <c r="G3954" s="12" t="s">
        <v>157</v>
      </c>
      <c r="H3954" s="15">
        <v>100159</v>
      </c>
      <c r="I3954" s="13">
        <v>39</v>
      </c>
    </row>
    <row r="3955" spans="6:9">
      <c r="F3955" s="12" t="s">
        <v>4482</v>
      </c>
      <c r="G3955" s="12" t="s">
        <v>157</v>
      </c>
      <c r="H3955" s="15">
        <v>94739</v>
      </c>
      <c r="I3955" s="13">
        <v>39</v>
      </c>
    </row>
    <row r="3956" spans="6:9">
      <c r="F3956" s="12" t="s">
        <v>452</v>
      </c>
      <c r="G3956" s="12" t="s">
        <v>157</v>
      </c>
      <c r="H3956" s="15">
        <v>679264838</v>
      </c>
      <c r="I3956" s="13">
        <v>39</v>
      </c>
    </row>
    <row r="3957" spans="6:9">
      <c r="F3957" s="12" t="s">
        <v>4483</v>
      </c>
      <c r="G3957" s="12" t="s">
        <v>159</v>
      </c>
      <c r="H3957" s="15">
        <v>49700</v>
      </c>
      <c r="I3957" s="13">
        <v>39</v>
      </c>
    </row>
    <row r="3958" spans="6:9">
      <c r="F3958" s="12" t="s">
        <v>4484</v>
      </c>
      <c r="G3958" s="12" t="s">
        <v>159</v>
      </c>
      <c r="H3958" s="15">
        <v>50400</v>
      </c>
      <c r="I3958" s="13">
        <v>39</v>
      </c>
    </row>
    <row r="3959" spans="6:9">
      <c r="F3959" s="12" t="s">
        <v>4485</v>
      </c>
      <c r="G3959" s="12" t="s">
        <v>159</v>
      </c>
      <c r="H3959" s="15">
        <v>21700</v>
      </c>
      <c r="I3959" s="13">
        <v>39</v>
      </c>
    </row>
    <row r="3960" spans="6:9">
      <c r="F3960" s="12" t="s">
        <v>2521</v>
      </c>
      <c r="G3960" s="12" t="s">
        <v>157</v>
      </c>
      <c r="H3960" s="15">
        <v>69111</v>
      </c>
      <c r="I3960" s="13">
        <v>39</v>
      </c>
    </row>
    <row r="3961" spans="6:9">
      <c r="F3961" s="12" t="s">
        <v>4486</v>
      </c>
      <c r="G3961" s="12" t="s">
        <v>159</v>
      </c>
      <c r="H3961" s="15">
        <v>53700</v>
      </c>
      <c r="I3961" s="13">
        <v>39</v>
      </c>
    </row>
    <row r="3962" spans="6:9">
      <c r="F3962" s="12" t="s">
        <v>4487</v>
      </c>
      <c r="G3962" s="12" t="s">
        <v>157</v>
      </c>
      <c r="H3962" s="15">
        <v>51210</v>
      </c>
      <c r="I3962" s="13">
        <v>39</v>
      </c>
    </row>
    <row r="3963" spans="6:9">
      <c r="F3963" s="12" t="s">
        <v>1508</v>
      </c>
      <c r="G3963" s="12" t="s">
        <v>157</v>
      </c>
      <c r="H3963" s="15">
        <v>153922</v>
      </c>
      <c r="I3963" s="13">
        <v>39</v>
      </c>
    </row>
    <row r="3964" spans="6:9">
      <c r="F3964" s="12" t="s">
        <v>1742</v>
      </c>
      <c r="G3964" s="12" t="s">
        <v>157</v>
      </c>
      <c r="H3964" s="15">
        <v>104536</v>
      </c>
      <c r="I3964" s="13">
        <v>39</v>
      </c>
    </row>
    <row r="3965" spans="6:9">
      <c r="F3965" s="12" t="s">
        <v>1620</v>
      </c>
      <c r="G3965" s="12" t="s">
        <v>157</v>
      </c>
      <c r="H3965" s="15">
        <v>107820</v>
      </c>
      <c r="I3965" s="13">
        <v>39</v>
      </c>
    </row>
    <row r="3966" spans="6:9">
      <c r="F3966" s="12" t="s">
        <v>4488</v>
      </c>
      <c r="G3966" s="12" t="s">
        <v>157</v>
      </c>
      <c r="H3966" s="15">
        <v>67273</v>
      </c>
      <c r="I3966" s="13">
        <v>39</v>
      </c>
    </row>
    <row r="3967" spans="6:9">
      <c r="F3967" s="12" t="s">
        <v>2525</v>
      </c>
      <c r="G3967" s="12" t="s">
        <v>157</v>
      </c>
      <c r="H3967" s="15">
        <v>49143</v>
      </c>
      <c r="I3967" s="13">
        <v>39</v>
      </c>
    </row>
    <row r="3968" spans="6:9">
      <c r="F3968" s="12" t="s">
        <v>1224</v>
      </c>
      <c r="G3968" s="12" t="s">
        <v>157</v>
      </c>
      <c r="H3968" s="15">
        <v>976998</v>
      </c>
      <c r="I3968" s="13">
        <v>39</v>
      </c>
    </row>
    <row r="3969" spans="6:9">
      <c r="F3969" s="12" t="s">
        <v>1227</v>
      </c>
      <c r="G3969" s="12" t="s">
        <v>157</v>
      </c>
      <c r="H3969" s="15">
        <v>683308</v>
      </c>
      <c r="I3969" s="13">
        <v>39</v>
      </c>
    </row>
    <row r="3970" spans="6:9">
      <c r="F3970" s="12" t="s">
        <v>1230</v>
      </c>
      <c r="G3970" s="12" t="s">
        <v>157</v>
      </c>
      <c r="H3970" s="15">
        <v>927378</v>
      </c>
      <c r="I3970" s="13">
        <v>39</v>
      </c>
    </row>
    <row r="3971" spans="6:9">
      <c r="F3971" s="12" t="s">
        <v>1233</v>
      </c>
      <c r="G3971" s="12" t="s">
        <v>157</v>
      </c>
      <c r="H3971" s="15">
        <v>134879</v>
      </c>
      <c r="I3971" s="13">
        <v>39</v>
      </c>
    </row>
    <row r="3972" spans="6:9">
      <c r="F3972" s="12" t="s">
        <v>2526</v>
      </c>
      <c r="G3972" s="12" t="s">
        <v>157</v>
      </c>
      <c r="H3972" s="15">
        <v>95947</v>
      </c>
      <c r="I3972" s="13">
        <v>39</v>
      </c>
    </row>
    <row r="3973" spans="6:9">
      <c r="F3973" s="12" t="s">
        <v>4489</v>
      </c>
      <c r="G3973" s="12" t="s">
        <v>157</v>
      </c>
      <c r="H3973" s="15">
        <v>50931</v>
      </c>
      <c r="I3973" s="13">
        <v>39</v>
      </c>
    </row>
    <row r="3974" spans="6:9">
      <c r="F3974" s="12" t="s">
        <v>4490</v>
      </c>
      <c r="G3974" s="12" t="s">
        <v>157</v>
      </c>
      <c r="H3974" s="15">
        <v>85168</v>
      </c>
      <c r="I3974" s="13">
        <v>39</v>
      </c>
    </row>
    <row r="3975" spans="6:9">
      <c r="F3975" s="12" t="s">
        <v>1236</v>
      </c>
      <c r="G3975" s="12" t="s">
        <v>157</v>
      </c>
      <c r="H3975" s="15">
        <v>567527</v>
      </c>
      <c r="I3975" s="13">
        <v>39</v>
      </c>
    </row>
    <row r="3976" spans="6:9">
      <c r="F3976" s="12" t="s">
        <v>1239</v>
      </c>
      <c r="G3976" s="12" t="s">
        <v>157</v>
      </c>
      <c r="H3976" s="15">
        <v>1878057</v>
      </c>
      <c r="I3976" s="13">
        <v>39</v>
      </c>
    </row>
    <row r="3977" spans="6:9">
      <c r="F3977" s="12" t="s">
        <v>1242</v>
      </c>
      <c r="G3977" s="12" t="s">
        <v>157</v>
      </c>
      <c r="H3977" s="15">
        <v>327524</v>
      </c>
      <c r="I3977" s="13">
        <v>39</v>
      </c>
    </row>
    <row r="3978" spans="6:9">
      <c r="F3978" s="12" t="s">
        <v>2528</v>
      </c>
      <c r="G3978" s="12" t="s">
        <v>157</v>
      </c>
      <c r="H3978" s="15">
        <v>16946</v>
      </c>
      <c r="I3978" s="13">
        <v>39</v>
      </c>
    </row>
    <row r="3979" spans="6:9">
      <c r="F3979" s="12" t="s">
        <v>4491</v>
      </c>
      <c r="G3979" s="12" t="s">
        <v>157</v>
      </c>
      <c r="H3979" s="15">
        <v>48252</v>
      </c>
      <c r="I3979" s="13">
        <v>39</v>
      </c>
    </row>
    <row r="3980" spans="6:9">
      <c r="F3980" s="12" t="s">
        <v>1245</v>
      </c>
      <c r="G3980" s="12" t="s">
        <v>157</v>
      </c>
      <c r="H3980" s="15">
        <v>178279</v>
      </c>
      <c r="I3980" s="13">
        <v>39</v>
      </c>
    </row>
    <row r="3981" spans="6:9">
      <c r="F3981" s="12" t="s">
        <v>1248</v>
      </c>
      <c r="G3981" s="12" t="s">
        <v>157</v>
      </c>
      <c r="H3981" s="15">
        <v>286029</v>
      </c>
      <c r="I3981" s="13">
        <v>39</v>
      </c>
    </row>
    <row r="3982" spans="6:9">
      <c r="F3982" s="12" t="s">
        <v>2530</v>
      </c>
      <c r="G3982" s="12" t="s">
        <v>157</v>
      </c>
      <c r="H3982" s="15">
        <v>76519</v>
      </c>
      <c r="I3982" s="13">
        <v>39</v>
      </c>
    </row>
    <row r="3983" spans="6:9">
      <c r="F3983" s="12" t="s">
        <v>4492</v>
      </c>
      <c r="G3983" s="12" t="s">
        <v>157</v>
      </c>
      <c r="H3983" s="15">
        <v>70458</v>
      </c>
      <c r="I3983" s="13">
        <v>39</v>
      </c>
    </row>
    <row r="3984" spans="6:9">
      <c r="F3984" s="12" t="s">
        <v>1812</v>
      </c>
      <c r="G3984" s="12" t="s">
        <v>157</v>
      </c>
      <c r="H3984" s="15">
        <v>697233</v>
      </c>
      <c r="I3984" s="13">
        <v>39</v>
      </c>
    </row>
    <row r="3985" spans="6:9">
      <c r="F3985" s="12" t="s">
        <v>2652</v>
      </c>
      <c r="G3985" s="12" t="s">
        <v>157</v>
      </c>
      <c r="H3985" s="15">
        <v>48245</v>
      </c>
      <c r="I3985" s="13">
        <v>39</v>
      </c>
    </row>
    <row r="3986" spans="6:9">
      <c r="F3986" s="12" t="s">
        <v>4493</v>
      </c>
      <c r="G3986" s="12" t="s">
        <v>157</v>
      </c>
      <c r="H3986" s="15">
        <v>73710</v>
      </c>
      <c r="I3986" s="13">
        <v>39</v>
      </c>
    </row>
    <row r="3987" spans="6:9">
      <c r="F3987" s="12" t="s">
        <v>2695</v>
      </c>
      <c r="G3987" s="12" t="s">
        <v>157</v>
      </c>
      <c r="H3987" s="15">
        <v>74427</v>
      </c>
      <c r="I3987" s="13">
        <v>39</v>
      </c>
    </row>
    <row r="3988" spans="6:9">
      <c r="F3988" s="12" t="s">
        <v>4494</v>
      </c>
      <c r="G3988" s="12" t="s">
        <v>157</v>
      </c>
      <c r="H3988" s="15">
        <v>68338</v>
      </c>
      <c r="I3988" s="13">
        <v>39</v>
      </c>
    </row>
    <row r="3989" spans="6:9">
      <c r="F3989" s="12" t="s">
        <v>4495</v>
      </c>
      <c r="G3989" s="12" t="s">
        <v>159</v>
      </c>
      <c r="H3989" s="15">
        <v>44400</v>
      </c>
      <c r="I3989" s="13">
        <v>39</v>
      </c>
    </row>
    <row r="3990" spans="6:9">
      <c r="F3990" s="12" t="s">
        <v>4496</v>
      </c>
      <c r="G3990" s="12" t="s">
        <v>157</v>
      </c>
      <c r="H3990" s="15">
        <v>48719</v>
      </c>
      <c r="I3990" s="13">
        <v>39</v>
      </c>
    </row>
    <row r="3991" spans="6:9">
      <c r="F3991" s="12" t="s">
        <v>901</v>
      </c>
      <c r="G3991" s="12" t="s">
        <v>157</v>
      </c>
      <c r="H3991" s="15">
        <v>106023</v>
      </c>
      <c r="I3991" s="13">
        <v>39</v>
      </c>
    </row>
    <row r="3992" spans="6:9">
      <c r="F3992" s="12" t="s">
        <v>2533</v>
      </c>
      <c r="G3992" s="12" t="s">
        <v>157</v>
      </c>
      <c r="H3992" s="15">
        <v>22743</v>
      </c>
      <c r="I3992" s="13">
        <v>39</v>
      </c>
    </row>
    <row r="3993" spans="6:9">
      <c r="F3993" s="12" t="s">
        <v>1760</v>
      </c>
      <c r="G3993" s="12" t="s">
        <v>159</v>
      </c>
      <c r="H3993" s="15">
        <v>108900</v>
      </c>
      <c r="I3993" s="13">
        <v>39</v>
      </c>
    </row>
    <row r="3994" spans="6:9">
      <c r="F3994" s="12" t="s">
        <v>4497</v>
      </c>
      <c r="G3994" s="12" t="s">
        <v>157</v>
      </c>
      <c r="H3994" s="15">
        <v>99390</v>
      </c>
      <c r="I3994" s="13">
        <v>39</v>
      </c>
    </row>
    <row r="3995" spans="6:9">
      <c r="F3995" s="12" t="s">
        <v>2535</v>
      </c>
      <c r="G3995" s="12" t="s">
        <v>157</v>
      </c>
      <c r="H3995" s="15">
        <v>12126</v>
      </c>
      <c r="I3995" s="13">
        <v>39</v>
      </c>
    </row>
    <row r="3996" spans="6:9">
      <c r="F3996" s="12" t="s">
        <v>2536</v>
      </c>
      <c r="G3996" s="12" t="s">
        <v>157</v>
      </c>
      <c r="H3996" s="15">
        <v>10203</v>
      </c>
      <c r="I3996" s="13">
        <v>39</v>
      </c>
    </row>
    <row r="3997" spans="6:9">
      <c r="F3997" s="12" t="s">
        <v>2664</v>
      </c>
      <c r="G3997" s="12" t="s">
        <v>157</v>
      </c>
      <c r="H3997" s="15">
        <v>42342</v>
      </c>
      <c r="I3997" s="13">
        <v>39</v>
      </c>
    </row>
    <row r="3998" spans="6:9">
      <c r="F3998" s="12" t="s">
        <v>4498</v>
      </c>
      <c r="G3998" s="12" t="s">
        <v>159</v>
      </c>
      <c r="H3998" s="15">
        <v>16100</v>
      </c>
      <c r="I3998" s="13">
        <v>39</v>
      </c>
    </row>
    <row r="3999" spans="6:9">
      <c r="F3999" s="12" t="s">
        <v>1643</v>
      </c>
      <c r="G3999" s="12" t="s">
        <v>157</v>
      </c>
      <c r="H3999" s="15">
        <v>100283</v>
      </c>
      <c r="I3999" s="13">
        <v>39</v>
      </c>
    </row>
    <row r="4000" spans="6:9">
      <c r="F4000" s="12" t="s">
        <v>2628</v>
      </c>
      <c r="G4000" s="12" t="s">
        <v>157</v>
      </c>
      <c r="H4000" s="15">
        <v>13451</v>
      </c>
      <c r="I4000" s="13">
        <v>39</v>
      </c>
    </row>
    <row r="4001" spans="6:9">
      <c r="F4001" s="12" t="s">
        <v>4499</v>
      </c>
      <c r="G4001" s="12" t="s">
        <v>157</v>
      </c>
      <c r="H4001" s="15">
        <v>52602</v>
      </c>
      <c r="I4001" s="13">
        <v>39</v>
      </c>
    </row>
    <row r="4002" spans="6:9">
      <c r="F4002" s="12" t="s">
        <v>4500</v>
      </c>
      <c r="G4002" s="12" t="s">
        <v>157</v>
      </c>
      <c r="H4002" s="15">
        <v>50381</v>
      </c>
      <c r="I4002" s="13">
        <v>39</v>
      </c>
    </row>
    <row r="4003" spans="6:9">
      <c r="F4003" s="12" t="s">
        <v>4501</v>
      </c>
      <c r="G4003" s="12" t="s">
        <v>157</v>
      </c>
      <c r="H4003" s="15">
        <v>52434</v>
      </c>
      <c r="I4003" s="13">
        <v>39</v>
      </c>
    </row>
    <row r="4004" spans="6:9">
      <c r="F4004" s="12" t="s">
        <v>1765</v>
      </c>
      <c r="G4004" s="12" t="s">
        <v>159</v>
      </c>
      <c r="H4004" s="15">
        <v>340000</v>
      </c>
      <c r="I4004" s="13">
        <v>39</v>
      </c>
    </row>
    <row r="4005" spans="6:9">
      <c r="F4005" s="12" t="s">
        <v>4502</v>
      </c>
      <c r="G4005" s="12" t="s">
        <v>159</v>
      </c>
      <c r="H4005" s="15">
        <v>17600</v>
      </c>
      <c r="I4005" s="13">
        <v>39</v>
      </c>
    </row>
    <row r="4006" spans="6:9">
      <c r="F4006" s="12" t="s">
        <v>4503</v>
      </c>
      <c r="G4006" s="12" t="s">
        <v>157</v>
      </c>
      <c r="H4006" s="15">
        <v>77742</v>
      </c>
      <c r="I4006" s="13">
        <v>39</v>
      </c>
    </row>
    <row r="4007" spans="6:9">
      <c r="F4007" s="12" t="s">
        <v>1541</v>
      </c>
      <c r="G4007" s="12" t="s">
        <v>157</v>
      </c>
      <c r="H4007" s="15">
        <v>131541</v>
      </c>
      <c r="I4007" s="13">
        <v>39</v>
      </c>
    </row>
    <row r="4008" spans="6:9">
      <c r="F4008" s="12" t="s">
        <v>1257</v>
      </c>
      <c r="G4008" s="12" t="s">
        <v>157</v>
      </c>
      <c r="H4008" s="15">
        <v>1776337</v>
      </c>
      <c r="I4008" s="13">
        <v>39</v>
      </c>
    </row>
    <row r="4009" spans="6:9">
      <c r="F4009" s="12" t="s">
        <v>2539</v>
      </c>
      <c r="G4009" s="12" t="s">
        <v>157</v>
      </c>
      <c r="H4009" s="15">
        <v>24189</v>
      </c>
      <c r="I4009" s="13">
        <v>39</v>
      </c>
    </row>
    <row r="4010" spans="6:9">
      <c r="F4010" s="12" t="s">
        <v>1654</v>
      </c>
      <c r="G4010" s="12" t="s">
        <v>157</v>
      </c>
      <c r="H4010" s="15">
        <v>107204</v>
      </c>
      <c r="I4010" s="13">
        <v>39</v>
      </c>
    </row>
    <row r="4011" spans="6:9">
      <c r="F4011" s="12" t="s">
        <v>1544</v>
      </c>
      <c r="G4011" s="12" t="s">
        <v>159</v>
      </c>
      <c r="H4011" s="15">
        <v>1200000</v>
      </c>
      <c r="I4011" s="13">
        <v>38</v>
      </c>
    </row>
    <row r="4012" spans="6:9">
      <c r="F4012" s="12" t="s">
        <v>4504</v>
      </c>
      <c r="G4012" s="12" t="s">
        <v>159</v>
      </c>
      <c r="H4012" s="15">
        <v>12700</v>
      </c>
      <c r="I4012" s="13">
        <v>38</v>
      </c>
    </row>
    <row r="4013" spans="6:9">
      <c r="F4013" s="12" t="s">
        <v>299</v>
      </c>
      <c r="G4013" s="12" t="s">
        <v>157</v>
      </c>
      <c r="H4013" s="15">
        <v>12193</v>
      </c>
      <c r="I4013" s="13">
        <v>38</v>
      </c>
    </row>
    <row r="4014" spans="6:9">
      <c r="F4014" s="12" t="s">
        <v>4505</v>
      </c>
      <c r="G4014" s="12" t="s">
        <v>159</v>
      </c>
      <c r="H4014" s="15">
        <v>48700</v>
      </c>
      <c r="I4014" s="13">
        <v>38</v>
      </c>
    </row>
    <row r="4015" spans="6:9">
      <c r="F4015" s="12" t="s">
        <v>4506</v>
      </c>
      <c r="G4015" s="12" t="s">
        <v>159</v>
      </c>
      <c r="H4015" s="15">
        <v>26300</v>
      </c>
      <c r="I4015" s="13">
        <v>38</v>
      </c>
    </row>
    <row r="4016" spans="6:9">
      <c r="F4016" s="12" t="s">
        <v>4507</v>
      </c>
      <c r="G4016" s="12" t="s">
        <v>159</v>
      </c>
      <c r="H4016" s="15">
        <v>118444</v>
      </c>
      <c r="I4016" s="13">
        <v>38</v>
      </c>
    </row>
    <row r="4017" spans="6:9">
      <c r="F4017" s="12" t="s">
        <v>4508</v>
      </c>
      <c r="G4017" s="12" t="s">
        <v>159</v>
      </c>
      <c r="H4017" s="15">
        <v>145000</v>
      </c>
      <c r="I4017" s="13">
        <v>38</v>
      </c>
    </row>
    <row r="4018" spans="6:9">
      <c r="F4018" s="12" t="s">
        <v>4509</v>
      </c>
      <c r="G4018" s="12" t="s">
        <v>159</v>
      </c>
      <c r="H4018" s="15">
        <v>49600</v>
      </c>
      <c r="I4018" s="13">
        <v>38</v>
      </c>
    </row>
    <row r="4019" spans="6:9">
      <c r="F4019" s="12" t="s">
        <v>4510</v>
      </c>
      <c r="G4019" s="12" t="s">
        <v>159</v>
      </c>
      <c r="H4019" s="15">
        <v>28100</v>
      </c>
      <c r="I4019" s="13">
        <v>38</v>
      </c>
    </row>
    <row r="4020" spans="6:9">
      <c r="F4020" s="12" t="s">
        <v>4511</v>
      </c>
      <c r="G4020" s="12" t="s">
        <v>159</v>
      </c>
      <c r="H4020" s="15">
        <v>34000</v>
      </c>
      <c r="I4020" s="13">
        <v>38</v>
      </c>
    </row>
    <row r="4021" spans="6:9">
      <c r="F4021" s="12" t="s">
        <v>4512</v>
      </c>
      <c r="G4021" s="12" t="s">
        <v>159</v>
      </c>
      <c r="H4021" s="15">
        <v>89700</v>
      </c>
      <c r="I4021" s="13">
        <v>38</v>
      </c>
    </row>
    <row r="4022" spans="6:9">
      <c r="F4022" s="12" t="s">
        <v>4513</v>
      </c>
      <c r="G4022" s="12" t="s">
        <v>159</v>
      </c>
      <c r="H4022" s="15">
        <v>14400</v>
      </c>
      <c r="I4022" s="13">
        <v>38</v>
      </c>
    </row>
    <row r="4023" spans="6:9">
      <c r="F4023" s="12" t="s">
        <v>4514</v>
      </c>
      <c r="G4023" s="12" t="s">
        <v>159</v>
      </c>
      <c r="H4023" s="15">
        <v>42200</v>
      </c>
      <c r="I4023" s="13">
        <v>38</v>
      </c>
    </row>
    <row r="4024" spans="6:9">
      <c r="F4024" s="12" t="s">
        <v>4515</v>
      </c>
      <c r="G4024" s="12" t="s">
        <v>159</v>
      </c>
      <c r="H4024" s="15">
        <v>35800</v>
      </c>
      <c r="I4024" s="13">
        <v>38</v>
      </c>
    </row>
    <row r="4025" spans="6:9">
      <c r="F4025" s="12" t="s">
        <v>4516</v>
      </c>
      <c r="G4025" s="12" t="s">
        <v>159</v>
      </c>
      <c r="H4025" s="15">
        <v>31300</v>
      </c>
      <c r="I4025" s="13">
        <v>38</v>
      </c>
    </row>
    <row r="4026" spans="6:9">
      <c r="F4026" s="12" t="s">
        <v>4517</v>
      </c>
      <c r="G4026" s="12" t="s">
        <v>159</v>
      </c>
      <c r="H4026" s="15">
        <v>448500</v>
      </c>
      <c r="I4026" s="13">
        <v>38</v>
      </c>
    </row>
    <row r="4027" spans="6:9">
      <c r="F4027" s="12" t="s">
        <v>4518</v>
      </c>
      <c r="G4027" s="12" t="s">
        <v>159</v>
      </c>
      <c r="H4027" s="15">
        <v>15100</v>
      </c>
      <c r="I4027" s="13">
        <v>38</v>
      </c>
    </row>
    <row r="4028" spans="6:9">
      <c r="F4028" s="12" t="s">
        <v>4519</v>
      </c>
      <c r="G4028" s="12" t="s">
        <v>159</v>
      </c>
      <c r="H4028" s="15">
        <v>26400</v>
      </c>
      <c r="I4028" s="13">
        <v>38</v>
      </c>
    </row>
    <row r="4029" spans="6:9">
      <c r="F4029" s="12" t="s">
        <v>4520</v>
      </c>
      <c r="G4029" s="12" t="s">
        <v>159</v>
      </c>
      <c r="H4029" s="15">
        <v>1700000</v>
      </c>
      <c r="I4029" s="13">
        <v>38</v>
      </c>
    </row>
    <row r="4030" spans="6:9">
      <c r="F4030" s="12" t="s">
        <v>4521</v>
      </c>
      <c r="G4030" s="12" t="s">
        <v>159</v>
      </c>
      <c r="H4030" s="15">
        <v>183077</v>
      </c>
      <c r="I4030" s="13">
        <v>38</v>
      </c>
    </row>
    <row r="4031" spans="6:9">
      <c r="F4031" s="12" t="s">
        <v>4522</v>
      </c>
      <c r="G4031" s="12" t="s">
        <v>159</v>
      </c>
      <c r="H4031" s="15">
        <v>425300</v>
      </c>
      <c r="I4031" s="13">
        <v>38</v>
      </c>
    </row>
    <row r="4032" spans="6:9">
      <c r="F4032" s="12" t="s">
        <v>4523</v>
      </c>
      <c r="G4032" s="12" t="s">
        <v>159</v>
      </c>
      <c r="H4032" s="15">
        <v>24300</v>
      </c>
      <c r="I4032" s="13">
        <v>38</v>
      </c>
    </row>
    <row r="4033" spans="6:9">
      <c r="F4033" s="12" t="s">
        <v>4524</v>
      </c>
      <c r="G4033" s="12" t="s">
        <v>159</v>
      </c>
      <c r="H4033" s="15">
        <v>60900</v>
      </c>
      <c r="I4033" s="13">
        <v>38</v>
      </c>
    </row>
    <row r="4034" spans="6:9">
      <c r="F4034" s="12" t="s">
        <v>4525</v>
      </c>
      <c r="G4034" s="12" t="s">
        <v>159</v>
      </c>
      <c r="H4034" s="15">
        <v>40100</v>
      </c>
      <c r="I4034" s="13">
        <v>38</v>
      </c>
    </row>
    <row r="4035" spans="6:9">
      <c r="F4035" s="12" t="s">
        <v>4526</v>
      </c>
      <c r="G4035" s="12" t="s">
        <v>159</v>
      </c>
      <c r="H4035" s="15">
        <v>10500</v>
      </c>
      <c r="I4035" s="13">
        <v>38</v>
      </c>
    </row>
    <row r="4036" spans="6:9">
      <c r="F4036" s="12" t="s">
        <v>4527</v>
      </c>
      <c r="G4036" s="12" t="s">
        <v>159</v>
      </c>
      <c r="H4036" s="15">
        <v>51800</v>
      </c>
      <c r="I4036" s="13">
        <v>38</v>
      </c>
    </row>
    <row r="4037" spans="6:9">
      <c r="F4037" s="12" t="s">
        <v>4528</v>
      </c>
      <c r="G4037" s="12" t="s">
        <v>157</v>
      </c>
      <c r="H4037" s="15">
        <v>67663</v>
      </c>
      <c r="I4037" s="13">
        <v>38</v>
      </c>
    </row>
    <row r="4038" spans="6:9">
      <c r="F4038" s="12" t="s">
        <v>4529</v>
      </c>
      <c r="G4038" s="12" t="s">
        <v>159</v>
      </c>
      <c r="H4038" s="15">
        <v>820500</v>
      </c>
      <c r="I4038" s="13">
        <v>38</v>
      </c>
    </row>
    <row r="4039" spans="6:9">
      <c r="F4039" s="12" t="s">
        <v>4530</v>
      </c>
      <c r="G4039" s="12" t="s">
        <v>159</v>
      </c>
      <c r="H4039" s="15">
        <v>154592</v>
      </c>
      <c r="I4039" s="13">
        <v>38</v>
      </c>
    </row>
    <row r="4040" spans="6:9">
      <c r="F4040" s="12" t="s">
        <v>2542</v>
      </c>
      <c r="G4040" s="12" t="s">
        <v>157</v>
      </c>
      <c r="H4040" s="15">
        <v>10212</v>
      </c>
      <c r="I4040" s="13">
        <v>38</v>
      </c>
    </row>
    <row r="4041" spans="6:9">
      <c r="F4041" s="12" t="s">
        <v>4531</v>
      </c>
      <c r="G4041" s="12" t="s">
        <v>159</v>
      </c>
      <c r="H4041" s="15">
        <v>77000</v>
      </c>
      <c r="I4041" s="13">
        <v>38</v>
      </c>
    </row>
    <row r="4042" spans="6:9">
      <c r="F4042" s="12" t="s">
        <v>4532</v>
      </c>
      <c r="G4042" s="12" t="s">
        <v>159</v>
      </c>
      <c r="H4042" s="15">
        <v>260200</v>
      </c>
      <c r="I4042" s="13">
        <v>38</v>
      </c>
    </row>
    <row r="4043" spans="6:9">
      <c r="F4043" s="12" t="s">
        <v>4533</v>
      </c>
      <c r="G4043" s="12" t="s">
        <v>159</v>
      </c>
      <c r="H4043" s="15">
        <v>22000</v>
      </c>
      <c r="I4043" s="13">
        <v>38</v>
      </c>
    </row>
    <row r="4044" spans="6:9">
      <c r="F4044" s="12" t="s">
        <v>4534</v>
      </c>
      <c r="G4044" s="12" t="s">
        <v>159</v>
      </c>
      <c r="H4044" s="15">
        <v>28800</v>
      </c>
      <c r="I4044" s="13">
        <v>38</v>
      </c>
    </row>
    <row r="4045" spans="6:9">
      <c r="F4045" s="12" t="s">
        <v>4535</v>
      </c>
      <c r="G4045" s="12" t="s">
        <v>159</v>
      </c>
      <c r="H4045" s="15">
        <v>11600</v>
      </c>
      <c r="I4045" s="13">
        <v>38</v>
      </c>
    </row>
    <row r="4046" spans="6:9">
      <c r="F4046" s="12" t="s">
        <v>4536</v>
      </c>
      <c r="G4046" s="12" t="s">
        <v>159</v>
      </c>
      <c r="H4046" s="15">
        <v>18500</v>
      </c>
      <c r="I4046" s="13">
        <v>38</v>
      </c>
    </row>
    <row r="4047" spans="6:9">
      <c r="F4047" s="12" t="s">
        <v>4537</v>
      </c>
      <c r="G4047" s="12" t="s">
        <v>159</v>
      </c>
      <c r="H4047" s="15">
        <v>116900</v>
      </c>
      <c r="I4047" s="13">
        <v>38</v>
      </c>
    </row>
    <row r="4048" spans="6:9">
      <c r="F4048" s="12" t="s">
        <v>4538</v>
      </c>
      <c r="G4048" s="12" t="s">
        <v>159</v>
      </c>
      <c r="H4048" s="15">
        <v>39300</v>
      </c>
      <c r="I4048" s="13">
        <v>38</v>
      </c>
    </row>
    <row r="4049" spans="6:9">
      <c r="F4049" s="12" t="s">
        <v>4539</v>
      </c>
      <c r="G4049" s="12" t="s">
        <v>159</v>
      </c>
      <c r="H4049" s="15">
        <v>1400000</v>
      </c>
      <c r="I4049" s="13">
        <v>38</v>
      </c>
    </row>
    <row r="4050" spans="6:9">
      <c r="F4050" s="12" t="s">
        <v>4540</v>
      </c>
      <c r="G4050" s="12" t="s">
        <v>159</v>
      </c>
      <c r="H4050" s="15">
        <v>249700</v>
      </c>
      <c r="I4050" s="13">
        <v>38</v>
      </c>
    </row>
    <row r="4051" spans="6:9">
      <c r="F4051" s="12" t="s">
        <v>302</v>
      </c>
      <c r="G4051" s="12" t="s">
        <v>157</v>
      </c>
      <c r="H4051" s="15">
        <v>16494</v>
      </c>
      <c r="I4051" s="13">
        <v>38</v>
      </c>
    </row>
    <row r="4052" spans="6:9">
      <c r="F4052" s="12" t="s">
        <v>4541</v>
      </c>
      <c r="G4052" s="12" t="s">
        <v>159</v>
      </c>
      <c r="H4052" s="15">
        <v>36500</v>
      </c>
      <c r="I4052" s="13">
        <v>38</v>
      </c>
    </row>
    <row r="4053" spans="6:9">
      <c r="F4053" s="12" t="s">
        <v>305</v>
      </c>
      <c r="G4053" s="12" t="s">
        <v>157</v>
      </c>
      <c r="H4053" s="15">
        <v>12443</v>
      </c>
      <c r="I4053" s="13">
        <v>38</v>
      </c>
    </row>
    <row r="4054" spans="6:9">
      <c r="F4054" s="12" t="s">
        <v>4542</v>
      </c>
      <c r="G4054" s="12" t="s">
        <v>159</v>
      </c>
      <c r="H4054" s="15">
        <v>57500</v>
      </c>
      <c r="I4054" s="13">
        <v>38</v>
      </c>
    </row>
    <row r="4055" spans="6:9">
      <c r="F4055" s="12" t="s">
        <v>4543</v>
      </c>
      <c r="G4055" s="12" t="s">
        <v>159</v>
      </c>
      <c r="H4055" s="15">
        <v>18400</v>
      </c>
      <c r="I4055" s="13">
        <v>38</v>
      </c>
    </row>
    <row r="4056" spans="6:9">
      <c r="F4056" s="12" t="s">
        <v>4544</v>
      </c>
      <c r="G4056" s="12" t="s">
        <v>159</v>
      </c>
      <c r="H4056" s="15">
        <v>51000</v>
      </c>
      <c r="I4056" s="13">
        <v>38</v>
      </c>
    </row>
    <row r="4057" spans="6:9">
      <c r="F4057" s="12" t="s">
        <v>4545</v>
      </c>
      <c r="G4057" s="12" t="s">
        <v>159</v>
      </c>
      <c r="H4057" s="15">
        <v>43800</v>
      </c>
      <c r="I4057" s="13">
        <v>38</v>
      </c>
    </row>
    <row r="4058" spans="6:9">
      <c r="F4058" s="12" t="s">
        <v>4546</v>
      </c>
      <c r="G4058" s="12" t="s">
        <v>159</v>
      </c>
      <c r="H4058" s="15">
        <v>14700</v>
      </c>
      <c r="I4058" s="13">
        <v>38</v>
      </c>
    </row>
    <row r="4059" spans="6:9">
      <c r="F4059" s="12" t="s">
        <v>4547</v>
      </c>
      <c r="G4059" s="12" t="s">
        <v>159</v>
      </c>
      <c r="H4059" s="15">
        <v>52400</v>
      </c>
      <c r="I4059" s="13">
        <v>38</v>
      </c>
    </row>
    <row r="4060" spans="6:9">
      <c r="F4060" s="12" t="s">
        <v>4548</v>
      </c>
      <c r="G4060" s="12" t="s">
        <v>159</v>
      </c>
      <c r="H4060" s="15">
        <v>59900</v>
      </c>
      <c r="I4060" s="13">
        <v>38</v>
      </c>
    </row>
    <row r="4061" spans="6:9">
      <c r="F4061" s="12" t="s">
        <v>4549</v>
      </c>
      <c r="G4061" s="12" t="s">
        <v>159</v>
      </c>
      <c r="H4061" s="15">
        <v>118400</v>
      </c>
      <c r="I4061" s="13">
        <v>38</v>
      </c>
    </row>
    <row r="4062" spans="6:9">
      <c r="F4062" s="12" t="s">
        <v>4550</v>
      </c>
      <c r="G4062" s="12" t="s">
        <v>159</v>
      </c>
      <c r="H4062" s="15">
        <v>289000</v>
      </c>
      <c r="I4062" s="13">
        <v>38</v>
      </c>
    </row>
    <row r="4063" spans="6:9">
      <c r="F4063" s="12" t="s">
        <v>4551</v>
      </c>
      <c r="G4063" s="12" t="s">
        <v>159</v>
      </c>
      <c r="H4063" s="15">
        <v>33800</v>
      </c>
      <c r="I4063" s="13">
        <v>38</v>
      </c>
    </row>
    <row r="4064" spans="6:9">
      <c r="F4064" s="12" t="s">
        <v>4552</v>
      </c>
      <c r="G4064" s="12" t="s">
        <v>159</v>
      </c>
      <c r="H4064" s="15">
        <v>151700</v>
      </c>
      <c r="I4064" s="13">
        <v>38</v>
      </c>
    </row>
    <row r="4065" spans="6:9">
      <c r="F4065" s="12" t="s">
        <v>4553</v>
      </c>
      <c r="G4065" s="12" t="s">
        <v>159</v>
      </c>
      <c r="H4065" s="15">
        <v>239500</v>
      </c>
      <c r="I4065" s="13">
        <v>38</v>
      </c>
    </row>
    <row r="4066" spans="6:9">
      <c r="F4066" s="12" t="s">
        <v>2546</v>
      </c>
      <c r="G4066" s="12" t="s">
        <v>157</v>
      </c>
      <c r="H4066" s="15">
        <v>63859</v>
      </c>
      <c r="I4066" s="13">
        <v>38</v>
      </c>
    </row>
    <row r="4067" spans="6:9">
      <c r="F4067" s="12" t="s">
        <v>2547</v>
      </c>
      <c r="G4067" s="12" t="s">
        <v>157</v>
      </c>
      <c r="H4067" s="15">
        <v>15645</v>
      </c>
      <c r="I4067" s="13">
        <v>38</v>
      </c>
    </row>
    <row r="4068" spans="6:9">
      <c r="F4068" s="12" t="s">
        <v>308</v>
      </c>
      <c r="G4068" s="12" t="s">
        <v>157</v>
      </c>
      <c r="H4068" s="15">
        <v>24809</v>
      </c>
      <c r="I4068" s="13">
        <v>38</v>
      </c>
    </row>
    <row r="4069" spans="6:9">
      <c r="F4069" s="12" t="s">
        <v>4554</v>
      </c>
      <c r="G4069" s="12" t="s">
        <v>159</v>
      </c>
      <c r="H4069" s="15">
        <v>130400</v>
      </c>
      <c r="I4069" s="13">
        <v>38</v>
      </c>
    </row>
    <row r="4070" spans="6:9">
      <c r="F4070" s="12" t="s">
        <v>1263</v>
      </c>
      <c r="G4070" s="12" t="s">
        <v>157</v>
      </c>
      <c r="H4070" s="15">
        <v>221080</v>
      </c>
      <c r="I4070" s="13">
        <v>38</v>
      </c>
    </row>
    <row r="4071" spans="6:9">
      <c r="F4071" s="12" t="s">
        <v>4555</v>
      </c>
      <c r="G4071" s="12" t="s">
        <v>159</v>
      </c>
      <c r="H4071" s="15">
        <v>21500</v>
      </c>
      <c r="I4071" s="13">
        <v>38</v>
      </c>
    </row>
    <row r="4072" spans="6:9">
      <c r="F4072" s="12" t="s">
        <v>4556</v>
      </c>
      <c r="G4072" s="12" t="s">
        <v>159</v>
      </c>
      <c r="H4072" s="15">
        <v>110000</v>
      </c>
      <c r="I4072" s="13">
        <v>38</v>
      </c>
    </row>
    <row r="4073" spans="6:9">
      <c r="F4073" s="12" t="s">
        <v>1659</v>
      </c>
      <c r="G4073" s="12" t="s">
        <v>157</v>
      </c>
      <c r="H4073" s="15">
        <v>105143</v>
      </c>
      <c r="I4073" s="13">
        <v>38</v>
      </c>
    </row>
    <row r="4074" spans="6:9">
      <c r="F4074" s="12" t="s">
        <v>311</v>
      </c>
      <c r="G4074" s="12" t="s">
        <v>157</v>
      </c>
      <c r="H4074" s="15">
        <v>12499</v>
      </c>
      <c r="I4074" s="13">
        <v>38</v>
      </c>
    </row>
    <row r="4075" spans="6:9">
      <c r="F4075" s="12" t="s">
        <v>314</v>
      </c>
      <c r="G4075" s="12" t="s">
        <v>157</v>
      </c>
      <c r="H4075" s="15">
        <v>11593</v>
      </c>
      <c r="I4075" s="13">
        <v>38</v>
      </c>
    </row>
    <row r="4076" spans="6:9">
      <c r="F4076" s="12" t="s">
        <v>4557</v>
      </c>
      <c r="G4076" s="12" t="s">
        <v>159</v>
      </c>
      <c r="H4076" s="15">
        <v>27800</v>
      </c>
      <c r="I4076" s="13">
        <v>38</v>
      </c>
    </row>
    <row r="4077" spans="6:9">
      <c r="F4077" s="12" t="s">
        <v>4558</v>
      </c>
      <c r="G4077" s="12" t="s">
        <v>159</v>
      </c>
      <c r="H4077" s="15">
        <v>156300</v>
      </c>
      <c r="I4077" s="13">
        <v>38</v>
      </c>
    </row>
    <row r="4078" spans="6:9">
      <c r="F4078" s="12" t="s">
        <v>4559</v>
      </c>
      <c r="G4078" s="12" t="s">
        <v>159</v>
      </c>
      <c r="H4078" s="15">
        <v>33100</v>
      </c>
      <c r="I4078" s="13">
        <v>38</v>
      </c>
    </row>
    <row r="4079" spans="6:9">
      <c r="F4079" s="12" t="s">
        <v>4560</v>
      </c>
      <c r="G4079" s="12" t="s">
        <v>159</v>
      </c>
      <c r="H4079" s="15">
        <v>873700</v>
      </c>
      <c r="I4079" s="13">
        <v>38</v>
      </c>
    </row>
    <row r="4080" spans="6:9">
      <c r="F4080" s="12" t="s">
        <v>317</v>
      </c>
      <c r="G4080" s="12" t="s">
        <v>157</v>
      </c>
      <c r="H4080" s="15">
        <v>30477</v>
      </c>
      <c r="I4080" s="13">
        <v>38</v>
      </c>
    </row>
    <row r="4081" spans="6:9">
      <c r="F4081" s="12" t="s">
        <v>4561</v>
      </c>
      <c r="G4081" s="12" t="s">
        <v>159</v>
      </c>
      <c r="H4081" s="15">
        <v>522300</v>
      </c>
      <c r="I4081" s="13">
        <v>38</v>
      </c>
    </row>
    <row r="4082" spans="6:9">
      <c r="F4082" s="12" t="s">
        <v>4562</v>
      </c>
      <c r="G4082" s="12" t="s">
        <v>159</v>
      </c>
      <c r="H4082" s="15">
        <v>162900</v>
      </c>
      <c r="I4082" s="13">
        <v>38</v>
      </c>
    </row>
    <row r="4083" spans="6:9">
      <c r="F4083" s="12" t="s">
        <v>4563</v>
      </c>
      <c r="G4083" s="12" t="s">
        <v>159</v>
      </c>
      <c r="H4083" s="15">
        <v>285900</v>
      </c>
      <c r="I4083" s="13">
        <v>38</v>
      </c>
    </row>
    <row r="4084" spans="6:9">
      <c r="F4084" s="12" t="s">
        <v>4564</v>
      </c>
      <c r="G4084" s="12" t="s">
        <v>159</v>
      </c>
      <c r="H4084" s="15">
        <v>27400</v>
      </c>
      <c r="I4084" s="13">
        <v>38</v>
      </c>
    </row>
    <row r="4085" spans="6:9">
      <c r="F4085" s="12" t="s">
        <v>320</v>
      </c>
      <c r="G4085" s="12" t="s">
        <v>157</v>
      </c>
      <c r="H4085" s="15">
        <v>12537</v>
      </c>
      <c r="I4085" s="13">
        <v>38</v>
      </c>
    </row>
    <row r="4086" spans="6:9">
      <c r="F4086" s="12" t="s">
        <v>4565</v>
      </c>
      <c r="G4086" s="12" t="s">
        <v>159</v>
      </c>
      <c r="H4086" s="15">
        <v>1100000</v>
      </c>
      <c r="I4086" s="13">
        <v>38</v>
      </c>
    </row>
    <row r="4087" spans="6:9">
      <c r="F4087" s="12" t="s">
        <v>323</v>
      </c>
      <c r="G4087" s="12" t="s">
        <v>157</v>
      </c>
      <c r="H4087" s="15">
        <v>12327</v>
      </c>
      <c r="I4087" s="13">
        <v>38</v>
      </c>
    </row>
    <row r="4088" spans="6:9">
      <c r="F4088" s="12" t="s">
        <v>4566</v>
      </c>
      <c r="G4088" s="12" t="s">
        <v>159</v>
      </c>
      <c r="H4088" s="15">
        <v>425100</v>
      </c>
      <c r="I4088" s="13">
        <v>38</v>
      </c>
    </row>
    <row r="4089" spans="6:9">
      <c r="F4089" s="12" t="s">
        <v>4567</v>
      </c>
      <c r="G4089" s="12" t="s">
        <v>159</v>
      </c>
      <c r="H4089" s="15">
        <v>183000</v>
      </c>
      <c r="I4089" s="13">
        <v>38</v>
      </c>
    </row>
    <row r="4090" spans="6:9">
      <c r="F4090" s="12" t="s">
        <v>4568</v>
      </c>
      <c r="G4090" s="12" t="s">
        <v>159</v>
      </c>
      <c r="H4090" s="15">
        <v>90600</v>
      </c>
      <c r="I4090" s="13">
        <v>38</v>
      </c>
    </row>
    <row r="4091" spans="6:9">
      <c r="F4091" s="12" t="s">
        <v>4569</v>
      </c>
      <c r="G4091" s="12" t="s">
        <v>159</v>
      </c>
      <c r="H4091" s="15">
        <v>55300</v>
      </c>
      <c r="I4091" s="13">
        <v>38</v>
      </c>
    </row>
    <row r="4092" spans="6:9">
      <c r="F4092" s="12" t="s">
        <v>4570</v>
      </c>
      <c r="G4092" s="12" t="s">
        <v>159</v>
      </c>
      <c r="H4092" s="15">
        <v>61400</v>
      </c>
      <c r="I4092" s="13">
        <v>38</v>
      </c>
    </row>
    <row r="4093" spans="6:9">
      <c r="F4093" s="12" t="s">
        <v>4571</v>
      </c>
      <c r="G4093" s="12" t="s">
        <v>159</v>
      </c>
      <c r="H4093" s="15">
        <v>157200</v>
      </c>
      <c r="I4093" s="13">
        <v>38</v>
      </c>
    </row>
    <row r="4094" spans="6:9">
      <c r="F4094" s="12" t="s">
        <v>4572</v>
      </c>
      <c r="G4094" s="12" t="s">
        <v>159</v>
      </c>
      <c r="H4094" s="15">
        <v>60700</v>
      </c>
      <c r="I4094" s="13">
        <v>38</v>
      </c>
    </row>
    <row r="4095" spans="6:9">
      <c r="F4095" s="12" t="s">
        <v>4573</v>
      </c>
      <c r="G4095" s="12" t="s">
        <v>159</v>
      </c>
      <c r="H4095" s="15">
        <v>115000</v>
      </c>
      <c r="I4095" s="13">
        <v>38</v>
      </c>
    </row>
    <row r="4096" spans="6:9">
      <c r="F4096" s="12" t="s">
        <v>4574</v>
      </c>
      <c r="G4096" s="12" t="s">
        <v>159</v>
      </c>
      <c r="H4096" s="15">
        <v>23300</v>
      </c>
      <c r="I4096" s="13">
        <v>38</v>
      </c>
    </row>
    <row r="4097" spans="6:9">
      <c r="F4097" s="12" t="s">
        <v>4575</v>
      </c>
      <c r="G4097" s="12" t="s">
        <v>159</v>
      </c>
      <c r="H4097" s="15">
        <v>82100</v>
      </c>
      <c r="I4097" s="13">
        <v>38</v>
      </c>
    </row>
    <row r="4098" spans="6:9">
      <c r="F4098" s="12" t="s">
        <v>4576</v>
      </c>
      <c r="G4098" s="12" t="s">
        <v>159</v>
      </c>
      <c r="H4098" s="15">
        <v>440600</v>
      </c>
      <c r="I4098" s="13">
        <v>38</v>
      </c>
    </row>
    <row r="4099" spans="6:9">
      <c r="F4099" s="12" t="s">
        <v>4577</v>
      </c>
      <c r="G4099" s="12" t="s">
        <v>159</v>
      </c>
      <c r="H4099" s="15">
        <v>12900</v>
      </c>
      <c r="I4099" s="13">
        <v>38</v>
      </c>
    </row>
    <row r="4100" spans="6:9">
      <c r="F4100" s="12" t="s">
        <v>4578</v>
      </c>
      <c r="G4100" s="12" t="s">
        <v>159</v>
      </c>
      <c r="H4100" s="15">
        <v>20600</v>
      </c>
      <c r="I4100" s="13">
        <v>38</v>
      </c>
    </row>
    <row r="4101" spans="6:9">
      <c r="F4101" s="12" t="s">
        <v>4579</v>
      </c>
      <c r="G4101" s="12" t="s">
        <v>159</v>
      </c>
      <c r="H4101" s="15">
        <v>294500</v>
      </c>
      <c r="I4101" s="13">
        <v>38</v>
      </c>
    </row>
    <row r="4102" spans="6:9">
      <c r="F4102" s="12" t="s">
        <v>4580</v>
      </c>
      <c r="G4102" s="12" t="s">
        <v>159</v>
      </c>
      <c r="H4102" s="15">
        <v>158600</v>
      </c>
      <c r="I4102" s="13">
        <v>38</v>
      </c>
    </row>
    <row r="4103" spans="6:9">
      <c r="F4103" s="12" t="s">
        <v>4581</v>
      </c>
      <c r="G4103" s="12" t="s">
        <v>159</v>
      </c>
      <c r="H4103" s="15">
        <v>105100</v>
      </c>
      <c r="I4103" s="13">
        <v>38</v>
      </c>
    </row>
    <row r="4104" spans="6:9">
      <c r="F4104" s="12" t="s">
        <v>4582</v>
      </c>
      <c r="G4104" s="12" t="s">
        <v>159</v>
      </c>
      <c r="H4104" s="15">
        <v>104300</v>
      </c>
      <c r="I4104" s="13">
        <v>38</v>
      </c>
    </row>
    <row r="4105" spans="6:9">
      <c r="F4105" s="12" t="s">
        <v>4583</v>
      </c>
      <c r="G4105" s="12" t="s">
        <v>159</v>
      </c>
      <c r="H4105" s="15">
        <v>19100</v>
      </c>
      <c r="I4105" s="13">
        <v>38</v>
      </c>
    </row>
    <row r="4106" spans="6:9">
      <c r="F4106" s="12" t="s">
        <v>4584</v>
      </c>
      <c r="G4106" s="12" t="s">
        <v>159</v>
      </c>
      <c r="H4106" s="15">
        <v>109300</v>
      </c>
      <c r="I4106" s="13">
        <v>38</v>
      </c>
    </row>
    <row r="4107" spans="6:9">
      <c r="F4107" s="12" t="s">
        <v>4585</v>
      </c>
      <c r="G4107" s="12" t="s">
        <v>159</v>
      </c>
      <c r="H4107" s="15">
        <v>122000</v>
      </c>
      <c r="I4107" s="13">
        <v>38</v>
      </c>
    </row>
    <row r="4108" spans="6:9">
      <c r="F4108" s="12" t="s">
        <v>4586</v>
      </c>
      <c r="G4108" s="12" t="s">
        <v>159</v>
      </c>
      <c r="H4108" s="15">
        <v>57100</v>
      </c>
      <c r="I4108" s="13">
        <v>38</v>
      </c>
    </row>
    <row r="4109" spans="6:9">
      <c r="F4109" s="12" t="s">
        <v>4587</v>
      </c>
      <c r="G4109" s="12" t="s">
        <v>159</v>
      </c>
      <c r="H4109" s="15">
        <v>23500</v>
      </c>
      <c r="I4109" s="13">
        <v>38</v>
      </c>
    </row>
    <row r="4110" spans="6:9">
      <c r="F4110" s="12" t="s">
        <v>4588</v>
      </c>
      <c r="G4110" s="12" t="s">
        <v>159</v>
      </c>
      <c r="H4110" s="15">
        <v>15300</v>
      </c>
      <c r="I4110" s="13">
        <v>38</v>
      </c>
    </row>
    <row r="4111" spans="6:9">
      <c r="F4111" s="12" t="s">
        <v>326</v>
      </c>
      <c r="G4111" s="12" t="s">
        <v>157</v>
      </c>
      <c r="H4111" s="15">
        <v>18038</v>
      </c>
      <c r="I4111" s="13">
        <v>38</v>
      </c>
    </row>
    <row r="4112" spans="6:9">
      <c r="F4112" s="12" t="s">
        <v>4589</v>
      </c>
      <c r="G4112" s="12" t="s">
        <v>159</v>
      </c>
      <c r="H4112" s="15">
        <v>282000</v>
      </c>
      <c r="I4112" s="13">
        <v>38</v>
      </c>
    </row>
    <row r="4113" spans="6:9">
      <c r="F4113" s="12" t="s">
        <v>4590</v>
      </c>
      <c r="G4113" s="12" t="s">
        <v>159</v>
      </c>
      <c r="H4113" s="15">
        <v>54400</v>
      </c>
      <c r="I4113" s="13">
        <v>38</v>
      </c>
    </row>
    <row r="4114" spans="6:9">
      <c r="F4114" s="12" t="s">
        <v>4591</v>
      </c>
      <c r="G4114" s="12" t="s">
        <v>159</v>
      </c>
      <c r="H4114" s="15">
        <v>99100</v>
      </c>
      <c r="I4114" s="13">
        <v>38</v>
      </c>
    </row>
    <row r="4115" spans="6:9">
      <c r="F4115" s="12" t="s">
        <v>4592</v>
      </c>
      <c r="G4115" s="12" t="s">
        <v>159</v>
      </c>
      <c r="H4115" s="15">
        <v>33700</v>
      </c>
      <c r="I4115" s="13">
        <v>38</v>
      </c>
    </row>
    <row r="4116" spans="6:9">
      <c r="F4116" s="12" t="s">
        <v>4593</v>
      </c>
      <c r="G4116" s="12" t="s">
        <v>159</v>
      </c>
      <c r="H4116" s="15">
        <v>50100</v>
      </c>
      <c r="I4116" s="13">
        <v>38</v>
      </c>
    </row>
    <row r="4117" spans="6:9">
      <c r="F4117" s="12" t="s">
        <v>4594</v>
      </c>
      <c r="G4117" s="12" t="s">
        <v>159</v>
      </c>
      <c r="H4117" s="15">
        <v>53400</v>
      </c>
      <c r="I4117" s="13">
        <v>38</v>
      </c>
    </row>
    <row r="4118" spans="6:9">
      <c r="F4118" s="12" t="s">
        <v>4595</v>
      </c>
      <c r="G4118" s="12" t="s">
        <v>159</v>
      </c>
      <c r="H4118" s="15">
        <v>22800</v>
      </c>
      <c r="I4118" s="13">
        <v>38</v>
      </c>
    </row>
    <row r="4119" spans="6:9">
      <c r="F4119" s="12" t="s">
        <v>4596</v>
      </c>
      <c r="G4119" s="12" t="s">
        <v>159</v>
      </c>
      <c r="H4119" s="15">
        <v>1900000</v>
      </c>
      <c r="I4119" s="13">
        <v>38</v>
      </c>
    </row>
    <row r="4120" spans="6:9">
      <c r="F4120" s="12" t="s">
        <v>4597</v>
      </c>
      <c r="G4120" s="12" t="s">
        <v>159</v>
      </c>
      <c r="H4120" s="15">
        <v>192300</v>
      </c>
      <c r="I4120" s="13">
        <v>38</v>
      </c>
    </row>
    <row r="4121" spans="6:9">
      <c r="F4121" s="12" t="s">
        <v>4598</v>
      </c>
      <c r="G4121" s="12" t="s">
        <v>159</v>
      </c>
      <c r="H4121" s="15">
        <v>34000</v>
      </c>
      <c r="I4121" s="13">
        <v>38</v>
      </c>
    </row>
    <row r="4122" spans="6:9">
      <c r="F4122" s="12" t="s">
        <v>4599</v>
      </c>
      <c r="G4122" s="12" t="s">
        <v>159</v>
      </c>
      <c r="H4122" s="15">
        <v>320300</v>
      </c>
      <c r="I4122" s="13">
        <v>38</v>
      </c>
    </row>
    <row r="4123" spans="6:9">
      <c r="F4123" s="12" t="s">
        <v>4600</v>
      </c>
      <c r="G4123" s="12" t="s">
        <v>159</v>
      </c>
      <c r="H4123" s="15">
        <v>12700</v>
      </c>
      <c r="I4123" s="13">
        <v>38</v>
      </c>
    </row>
    <row r="4124" spans="6:9">
      <c r="F4124" s="12" t="s">
        <v>4601</v>
      </c>
      <c r="G4124" s="12" t="s">
        <v>159</v>
      </c>
      <c r="H4124" s="15">
        <v>107300</v>
      </c>
      <c r="I4124" s="13">
        <v>38</v>
      </c>
    </row>
    <row r="4125" spans="6:9">
      <c r="F4125" s="12" t="s">
        <v>4602</v>
      </c>
      <c r="G4125" s="12" t="s">
        <v>159</v>
      </c>
      <c r="H4125" s="15">
        <v>19300</v>
      </c>
      <c r="I4125" s="13">
        <v>38</v>
      </c>
    </row>
    <row r="4126" spans="6:9">
      <c r="F4126" s="12" t="s">
        <v>4603</v>
      </c>
      <c r="G4126" s="12" t="s">
        <v>159</v>
      </c>
      <c r="H4126" s="15">
        <v>484300</v>
      </c>
      <c r="I4126" s="13">
        <v>38</v>
      </c>
    </row>
    <row r="4127" spans="6:9">
      <c r="F4127" s="12" t="s">
        <v>4604</v>
      </c>
      <c r="G4127" s="12" t="s">
        <v>159</v>
      </c>
      <c r="H4127" s="15">
        <v>30300</v>
      </c>
      <c r="I4127" s="13">
        <v>38</v>
      </c>
    </row>
    <row r="4128" spans="6:9">
      <c r="F4128" s="12" t="s">
        <v>4605</v>
      </c>
      <c r="G4128" s="12" t="s">
        <v>159</v>
      </c>
      <c r="H4128" s="15">
        <v>17200</v>
      </c>
      <c r="I4128" s="13">
        <v>38</v>
      </c>
    </row>
    <row r="4129" spans="6:9">
      <c r="F4129" s="12" t="s">
        <v>4606</v>
      </c>
      <c r="G4129" s="12" t="s">
        <v>159</v>
      </c>
      <c r="H4129" s="15">
        <v>11000</v>
      </c>
      <c r="I4129" s="13">
        <v>38</v>
      </c>
    </row>
    <row r="4130" spans="6:9">
      <c r="F4130" s="12" t="s">
        <v>4607</v>
      </c>
      <c r="G4130" s="12" t="s">
        <v>159</v>
      </c>
      <c r="H4130" s="15">
        <v>18100</v>
      </c>
      <c r="I4130" s="13">
        <v>38</v>
      </c>
    </row>
    <row r="4131" spans="6:9">
      <c r="F4131" s="12" t="s">
        <v>4608</v>
      </c>
      <c r="G4131" s="12" t="s">
        <v>159</v>
      </c>
      <c r="H4131" s="15">
        <v>613300</v>
      </c>
      <c r="I4131" s="13">
        <v>38</v>
      </c>
    </row>
    <row r="4132" spans="6:9">
      <c r="F4132" s="12" t="s">
        <v>4609</v>
      </c>
      <c r="G4132" s="12" t="s">
        <v>159</v>
      </c>
      <c r="H4132" s="15">
        <v>162800</v>
      </c>
      <c r="I4132" s="13">
        <v>38</v>
      </c>
    </row>
    <row r="4133" spans="6:9">
      <c r="F4133" s="12" t="s">
        <v>4610</v>
      </c>
      <c r="G4133" s="12" t="s">
        <v>159</v>
      </c>
      <c r="H4133" s="15">
        <v>18800</v>
      </c>
      <c r="I4133" s="13">
        <v>38</v>
      </c>
    </row>
    <row r="4134" spans="6:9">
      <c r="F4134" s="12" t="s">
        <v>4611</v>
      </c>
      <c r="G4134" s="12" t="s">
        <v>159</v>
      </c>
      <c r="H4134" s="15">
        <v>19800</v>
      </c>
      <c r="I4134" s="13">
        <v>38</v>
      </c>
    </row>
    <row r="4135" spans="6:9">
      <c r="F4135" s="12" t="s">
        <v>328</v>
      </c>
      <c r="G4135" s="12" t="s">
        <v>157</v>
      </c>
      <c r="H4135" s="15">
        <v>16032</v>
      </c>
      <c r="I4135" s="13">
        <v>38</v>
      </c>
    </row>
    <row r="4136" spans="6:9">
      <c r="F4136" s="12" t="s">
        <v>4612</v>
      </c>
      <c r="G4136" s="12" t="s">
        <v>159</v>
      </c>
      <c r="H4136" s="15">
        <v>38400</v>
      </c>
      <c r="I4136" s="13">
        <v>38</v>
      </c>
    </row>
    <row r="4137" spans="6:9">
      <c r="F4137" s="12" t="s">
        <v>4613</v>
      </c>
      <c r="G4137" s="12" t="s">
        <v>159</v>
      </c>
      <c r="H4137" s="15">
        <v>461500</v>
      </c>
      <c r="I4137" s="13">
        <v>38</v>
      </c>
    </row>
    <row r="4138" spans="6:9">
      <c r="F4138" s="12" t="s">
        <v>4614</v>
      </c>
      <c r="G4138" s="12" t="s">
        <v>159</v>
      </c>
      <c r="H4138" s="15">
        <v>116500</v>
      </c>
      <c r="I4138" s="13">
        <v>38</v>
      </c>
    </row>
    <row r="4139" spans="6:9">
      <c r="F4139" s="12" t="s">
        <v>4615</v>
      </c>
      <c r="G4139" s="12" t="s">
        <v>159</v>
      </c>
      <c r="H4139" s="15">
        <v>413500</v>
      </c>
      <c r="I4139" s="13">
        <v>38</v>
      </c>
    </row>
    <row r="4140" spans="6:9">
      <c r="F4140" s="12" t="s">
        <v>331</v>
      </c>
      <c r="G4140" s="12" t="s">
        <v>157</v>
      </c>
      <c r="H4140" s="15">
        <v>13716</v>
      </c>
      <c r="I4140" s="13">
        <v>38</v>
      </c>
    </row>
    <row r="4141" spans="6:9">
      <c r="F4141" s="12" t="s">
        <v>4616</v>
      </c>
      <c r="G4141" s="12" t="s">
        <v>159</v>
      </c>
      <c r="H4141" s="15">
        <v>60000</v>
      </c>
      <c r="I4141" s="13">
        <v>38</v>
      </c>
    </row>
    <row r="4142" spans="6:9">
      <c r="F4142" s="12" t="s">
        <v>4617</v>
      </c>
      <c r="G4142" s="12" t="s">
        <v>159</v>
      </c>
      <c r="H4142" s="15">
        <v>250600</v>
      </c>
      <c r="I4142" s="13">
        <v>38</v>
      </c>
    </row>
    <row r="4143" spans="6:9">
      <c r="F4143" s="12" t="s">
        <v>4618</v>
      </c>
      <c r="G4143" s="12" t="s">
        <v>159</v>
      </c>
      <c r="H4143" s="15">
        <v>869800</v>
      </c>
      <c r="I4143" s="13">
        <v>38</v>
      </c>
    </row>
    <row r="4144" spans="6:9">
      <c r="F4144" s="12" t="s">
        <v>4619</v>
      </c>
      <c r="G4144" s="12" t="s">
        <v>159</v>
      </c>
      <c r="H4144" s="15">
        <v>31700</v>
      </c>
      <c r="I4144" s="13">
        <v>38</v>
      </c>
    </row>
    <row r="4145" spans="6:9">
      <c r="F4145" s="12" t="s">
        <v>4620</v>
      </c>
      <c r="G4145" s="12" t="s">
        <v>159</v>
      </c>
      <c r="H4145" s="15">
        <v>112000</v>
      </c>
      <c r="I4145" s="13">
        <v>38</v>
      </c>
    </row>
    <row r="4146" spans="6:9">
      <c r="F4146" s="12" t="s">
        <v>4621</v>
      </c>
      <c r="G4146" s="12" t="s">
        <v>159</v>
      </c>
      <c r="H4146" s="15">
        <v>254200</v>
      </c>
      <c r="I4146" s="13">
        <v>38</v>
      </c>
    </row>
    <row r="4147" spans="6:9">
      <c r="F4147" s="12" t="s">
        <v>4622</v>
      </c>
      <c r="G4147" s="12" t="s">
        <v>157</v>
      </c>
      <c r="H4147" s="15">
        <v>49807</v>
      </c>
      <c r="I4147" s="13">
        <v>38</v>
      </c>
    </row>
    <row r="4148" spans="6:9">
      <c r="F4148" s="12" t="s">
        <v>1671</v>
      </c>
      <c r="G4148" s="12" t="s">
        <v>159</v>
      </c>
      <c r="H4148" s="15">
        <v>149100</v>
      </c>
      <c r="I4148" s="13">
        <v>38</v>
      </c>
    </row>
    <row r="4149" spans="6:9">
      <c r="F4149" s="12" t="s">
        <v>4623</v>
      </c>
      <c r="G4149" s="12" t="s">
        <v>159</v>
      </c>
      <c r="H4149" s="15">
        <v>181800</v>
      </c>
      <c r="I4149" s="13">
        <v>38</v>
      </c>
    </row>
    <row r="4150" spans="6:9">
      <c r="F4150" s="12" t="s">
        <v>2677</v>
      </c>
      <c r="G4150" s="12" t="s">
        <v>157</v>
      </c>
      <c r="H4150" s="15">
        <v>49576</v>
      </c>
      <c r="I4150" s="13">
        <v>38</v>
      </c>
    </row>
    <row r="4151" spans="6:9">
      <c r="F4151" s="12" t="s">
        <v>4624</v>
      </c>
      <c r="G4151" s="12" t="s">
        <v>159</v>
      </c>
      <c r="H4151" s="15">
        <v>42000</v>
      </c>
      <c r="I4151" s="13">
        <v>38</v>
      </c>
    </row>
    <row r="4152" spans="6:9">
      <c r="F4152" s="12" t="s">
        <v>4625</v>
      </c>
      <c r="G4152" s="12" t="s">
        <v>159</v>
      </c>
      <c r="H4152" s="15">
        <v>677200</v>
      </c>
      <c r="I4152" s="13">
        <v>38</v>
      </c>
    </row>
    <row r="4153" spans="6:9">
      <c r="F4153" s="12" t="s">
        <v>4626</v>
      </c>
      <c r="G4153" s="12" t="s">
        <v>159</v>
      </c>
      <c r="H4153" s="15">
        <v>231500</v>
      </c>
      <c r="I4153" s="13">
        <v>38</v>
      </c>
    </row>
    <row r="4154" spans="6:9">
      <c r="F4154" s="12" t="s">
        <v>4627</v>
      </c>
      <c r="G4154" s="12" t="s">
        <v>159</v>
      </c>
      <c r="H4154" s="15">
        <v>60800</v>
      </c>
      <c r="I4154" s="13">
        <v>38</v>
      </c>
    </row>
    <row r="4155" spans="6:9">
      <c r="F4155" s="12" t="s">
        <v>4628</v>
      </c>
      <c r="G4155" s="12" t="s">
        <v>159</v>
      </c>
      <c r="H4155" s="15">
        <v>74600</v>
      </c>
      <c r="I4155" s="13">
        <v>38</v>
      </c>
    </row>
    <row r="4156" spans="6:9">
      <c r="F4156" s="12" t="s">
        <v>4629</v>
      </c>
      <c r="G4156" s="12" t="s">
        <v>159</v>
      </c>
      <c r="H4156" s="15">
        <v>140300</v>
      </c>
      <c r="I4156" s="13">
        <v>38</v>
      </c>
    </row>
    <row r="4157" spans="6:9">
      <c r="F4157" s="12" t="s">
        <v>4630</v>
      </c>
      <c r="G4157" s="12" t="s">
        <v>159</v>
      </c>
      <c r="H4157" s="15">
        <v>89700</v>
      </c>
      <c r="I4157" s="13">
        <v>38</v>
      </c>
    </row>
    <row r="4158" spans="6:9">
      <c r="F4158" s="12" t="s">
        <v>4631</v>
      </c>
      <c r="G4158" s="12" t="s">
        <v>159</v>
      </c>
      <c r="H4158" s="15">
        <v>738700</v>
      </c>
      <c r="I4158" s="13">
        <v>38</v>
      </c>
    </row>
    <row r="4159" spans="6:9">
      <c r="F4159" s="12" t="s">
        <v>334</v>
      </c>
      <c r="G4159" s="12" t="s">
        <v>157</v>
      </c>
      <c r="H4159" s="15">
        <v>12379</v>
      </c>
      <c r="I4159" s="13">
        <v>38</v>
      </c>
    </row>
    <row r="4160" spans="6:9">
      <c r="F4160" s="12" t="s">
        <v>4632</v>
      </c>
      <c r="G4160" s="12" t="s">
        <v>159</v>
      </c>
      <c r="H4160" s="15">
        <v>54303</v>
      </c>
      <c r="I4160" s="13">
        <v>38</v>
      </c>
    </row>
    <row r="4161" spans="6:9">
      <c r="F4161" s="12" t="s">
        <v>4633</v>
      </c>
      <c r="G4161" s="12" t="s">
        <v>159</v>
      </c>
      <c r="H4161" s="15">
        <v>43700</v>
      </c>
      <c r="I4161" s="13">
        <v>38</v>
      </c>
    </row>
    <row r="4162" spans="6:9">
      <c r="F4162" s="12" t="s">
        <v>4634</v>
      </c>
      <c r="G4162" s="12" t="s">
        <v>159</v>
      </c>
      <c r="H4162" s="15">
        <v>34400</v>
      </c>
      <c r="I4162" s="13">
        <v>38</v>
      </c>
    </row>
    <row r="4163" spans="6:9">
      <c r="F4163" s="12" t="s">
        <v>4635</v>
      </c>
      <c r="G4163" s="12" t="s">
        <v>159</v>
      </c>
      <c r="H4163" s="15">
        <v>25600</v>
      </c>
      <c r="I4163" s="13">
        <v>38</v>
      </c>
    </row>
    <row r="4164" spans="6:9">
      <c r="F4164" s="12" t="s">
        <v>4636</v>
      </c>
      <c r="G4164" s="12" t="s">
        <v>159</v>
      </c>
      <c r="H4164" s="15">
        <v>103100</v>
      </c>
      <c r="I4164" s="13">
        <v>38</v>
      </c>
    </row>
    <row r="4165" spans="6:9">
      <c r="F4165" s="12" t="s">
        <v>4637</v>
      </c>
      <c r="G4165" s="12" t="s">
        <v>159</v>
      </c>
      <c r="H4165" s="15">
        <v>84600</v>
      </c>
      <c r="I4165" s="13">
        <v>38</v>
      </c>
    </row>
    <row r="4166" spans="6:9">
      <c r="F4166" s="12" t="s">
        <v>4638</v>
      </c>
      <c r="G4166" s="12" t="s">
        <v>159</v>
      </c>
      <c r="H4166" s="15">
        <v>80700</v>
      </c>
      <c r="I4166" s="13">
        <v>38</v>
      </c>
    </row>
    <row r="4167" spans="6:9">
      <c r="F4167" s="12" t="s">
        <v>4639</v>
      </c>
      <c r="G4167" s="12" t="s">
        <v>159</v>
      </c>
      <c r="H4167" s="15">
        <v>374400</v>
      </c>
      <c r="I4167" s="13">
        <v>38</v>
      </c>
    </row>
    <row r="4168" spans="6:9">
      <c r="F4168" s="12" t="s">
        <v>4640</v>
      </c>
      <c r="G4168" s="12" t="s">
        <v>159</v>
      </c>
      <c r="H4168" s="15">
        <v>219600</v>
      </c>
      <c r="I4168" s="13">
        <v>38</v>
      </c>
    </row>
    <row r="4169" spans="6:9">
      <c r="F4169" s="12" t="s">
        <v>4641</v>
      </c>
      <c r="G4169" s="12" t="s">
        <v>159</v>
      </c>
      <c r="H4169" s="15">
        <v>44500</v>
      </c>
      <c r="I4169" s="13">
        <v>38</v>
      </c>
    </row>
    <row r="4170" spans="6:9">
      <c r="F4170" s="12" t="s">
        <v>4642</v>
      </c>
      <c r="G4170" s="12" t="s">
        <v>159</v>
      </c>
      <c r="H4170" s="15">
        <v>211500</v>
      </c>
      <c r="I4170" s="13">
        <v>38</v>
      </c>
    </row>
    <row r="4171" spans="6:9">
      <c r="F4171" s="12" t="s">
        <v>4643</v>
      </c>
      <c r="G4171" s="12" t="s">
        <v>159</v>
      </c>
      <c r="H4171" s="15">
        <v>33700</v>
      </c>
      <c r="I4171" s="13">
        <v>38</v>
      </c>
    </row>
    <row r="4172" spans="6:9">
      <c r="F4172" s="12" t="s">
        <v>4644</v>
      </c>
      <c r="G4172" s="12" t="s">
        <v>159</v>
      </c>
      <c r="H4172" s="15">
        <v>18600</v>
      </c>
      <c r="I4172" s="13">
        <v>38</v>
      </c>
    </row>
    <row r="4173" spans="6:9">
      <c r="F4173" s="12" t="s">
        <v>4645</v>
      </c>
      <c r="G4173" s="12" t="s">
        <v>159</v>
      </c>
      <c r="H4173" s="15">
        <v>47200</v>
      </c>
      <c r="I4173" s="13">
        <v>38</v>
      </c>
    </row>
    <row r="4174" spans="6:9">
      <c r="F4174" s="12" t="s">
        <v>4646</v>
      </c>
      <c r="G4174" s="12" t="s">
        <v>159</v>
      </c>
      <c r="H4174" s="15">
        <v>26400</v>
      </c>
      <c r="I4174" s="13">
        <v>38</v>
      </c>
    </row>
    <row r="4175" spans="6:9">
      <c r="F4175" s="12" t="s">
        <v>4647</v>
      </c>
      <c r="G4175" s="12" t="s">
        <v>159</v>
      </c>
      <c r="H4175" s="15">
        <v>1800000</v>
      </c>
      <c r="I4175" s="13">
        <v>38</v>
      </c>
    </row>
    <row r="4176" spans="6:9">
      <c r="F4176" s="12" t="s">
        <v>4648</v>
      </c>
      <c r="G4176" s="12" t="s">
        <v>159</v>
      </c>
      <c r="H4176" s="15">
        <v>25700</v>
      </c>
      <c r="I4176" s="13">
        <v>38</v>
      </c>
    </row>
    <row r="4177" spans="6:9">
      <c r="F4177" s="12" t="s">
        <v>4649</v>
      </c>
      <c r="G4177" s="12" t="s">
        <v>159</v>
      </c>
      <c r="H4177" s="15">
        <v>157000</v>
      </c>
      <c r="I4177" s="13">
        <v>38</v>
      </c>
    </row>
    <row r="4178" spans="6:9">
      <c r="F4178" s="12" t="s">
        <v>4650</v>
      </c>
      <c r="G4178" s="12" t="s">
        <v>159</v>
      </c>
      <c r="H4178" s="15">
        <v>130900</v>
      </c>
      <c r="I4178" s="13">
        <v>38</v>
      </c>
    </row>
    <row r="4179" spans="6:9">
      <c r="F4179" s="12" t="s">
        <v>1677</v>
      </c>
      <c r="G4179" s="12" t="s">
        <v>157</v>
      </c>
      <c r="H4179" s="15">
        <v>105931</v>
      </c>
      <c r="I4179" s="13">
        <v>38</v>
      </c>
    </row>
    <row r="4180" spans="6:9">
      <c r="F4180" s="12" t="s">
        <v>337</v>
      </c>
      <c r="G4180" s="12" t="s">
        <v>157</v>
      </c>
      <c r="H4180" s="15">
        <v>17047</v>
      </c>
      <c r="I4180" s="13">
        <v>38</v>
      </c>
    </row>
    <row r="4181" spans="6:9">
      <c r="F4181" s="12" t="s">
        <v>4651</v>
      </c>
      <c r="G4181" s="12" t="s">
        <v>159</v>
      </c>
      <c r="H4181" s="15">
        <v>81500</v>
      </c>
      <c r="I4181" s="13">
        <v>38</v>
      </c>
    </row>
    <row r="4182" spans="6:9">
      <c r="F4182" s="12" t="s">
        <v>4652</v>
      </c>
      <c r="G4182" s="12" t="s">
        <v>159</v>
      </c>
      <c r="H4182" s="15">
        <v>481500</v>
      </c>
      <c r="I4182" s="13">
        <v>38</v>
      </c>
    </row>
    <row r="4183" spans="6:9">
      <c r="F4183" s="12" t="s">
        <v>4653</v>
      </c>
      <c r="G4183" s="12" t="s">
        <v>159</v>
      </c>
      <c r="H4183" s="15">
        <v>58900</v>
      </c>
      <c r="I4183" s="13">
        <v>38</v>
      </c>
    </row>
    <row r="4184" spans="6:9">
      <c r="F4184" s="12" t="s">
        <v>4654</v>
      </c>
      <c r="G4184" s="12" t="s">
        <v>159</v>
      </c>
      <c r="H4184" s="15">
        <v>58300</v>
      </c>
      <c r="I4184" s="13">
        <v>38</v>
      </c>
    </row>
    <row r="4185" spans="6:9">
      <c r="F4185" s="12" t="s">
        <v>4655</v>
      </c>
      <c r="G4185" s="12" t="s">
        <v>159</v>
      </c>
      <c r="H4185" s="15">
        <v>178200</v>
      </c>
      <c r="I4185" s="13">
        <v>38</v>
      </c>
    </row>
    <row r="4186" spans="6:9">
      <c r="F4186" s="12" t="s">
        <v>4656</v>
      </c>
      <c r="G4186" s="12" t="s">
        <v>159</v>
      </c>
      <c r="H4186" s="15">
        <v>937400</v>
      </c>
      <c r="I4186" s="13">
        <v>38</v>
      </c>
    </row>
    <row r="4187" spans="6:9">
      <c r="F4187" s="12" t="s">
        <v>4657</v>
      </c>
      <c r="G4187" s="12" t="s">
        <v>159</v>
      </c>
      <c r="H4187" s="15">
        <v>262400</v>
      </c>
      <c r="I4187" s="13">
        <v>38</v>
      </c>
    </row>
    <row r="4188" spans="6:9">
      <c r="F4188" s="12" t="s">
        <v>2555</v>
      </c>
      <c r="G4188" s="12" t="s">
        <v>157</v>
      </c>
      <c r="H4188" s="15">
        <v>18855</v>
      </c>
      <c r="I4188" s="13">
        <v>38</v>
      </c>
    </row>
    <row r="4189" spans="6:9">
      <c r="F4189" s="12" t="s">
        <v>4658</v>
      </c>
      <c r="G4189" s="12" t="s">
        <v>159</v>
      </c>
      <c r="H4189" s="15">
        <v>139900</v>
      </c>
      <c r="I4189" s="13">
        <v>38</v>
      </c>
    </row>
    <row r="4190" spans="6:9">
      <c r="F4190" s="12" t="s">
        <v>340</v>
      </c>
      <c r="G4190" s="12" t="s">
        <v>157</v>
      </c>
      <c r="H4190" s="15">
        <v>10711</v>
      </c>
      <c r="I4190" s="13">
        <v>38</v>
      </c>
    </row>
    <row r="4191" spans="6:9">
      <c r="F4191" s="12" t="s">
        <v>343</v>
      </c>
      <c r="G4191" s="12" t="s">
        <v>157</v>
      </c>
      <c r="H4191" s="15">
        <v>13969</v>
      </c>
      <c r="I4191" s="13">
        <v>38</v>
      </c>
    </row>
    <row r="4192" spans="6:9">
      <c r="F4192" s="12" t="s">
        <v>4659</v>
      </c>
      <c r="G4192" s="12" t="s">
        <v>159</v>
      </c>
      <c r="H4192" s="15">
        <v>98800</v>
      </c>
      <c r="I4192" s="13">
        <v>38</v>
      </c>
    </row>
    <row r="4193" spans="6:9">
      <c r="F4193" s="12" t="s">
        <v>4660</v>
      </c>
      <c r="G4193" s="12" t="s">
        <v>159</v>
      </c>
      <c r="H4193" s="15">
        <v>378100</v>
      </c>
      <c r="I4193" s="13">
        <v>38</v>
      </c>
    </row>
    <row r="4194" spans="6:9">
      <c r="F4194" s="12" t="s">
        <v>346</v>
      </c>
      <c r="G4194" s="12" t="s">
        <v>157</v>
      </c>
      <c r="H4194" s="15">
        <v>23298</v>
      </c>
      <c r="I4194" s="13">
        <v>38</v>
      </c>
    </row>
    <row r="4195" spans="6:9">
      <c r="F4195" s="12" t="s">
        <v>4661</v>
      </c>
      <c r="G4195" s="12" t="s">
        <v>159</v>
      </c>
      <c r="H4195" s="15">
        <v>129600</v>
      </c>
      <c r="I4195" s="13">
        <v>38</v>
      </c>
    </row>
    <row r="4196" spans="6:9">
      <c r="F4196" s="12" t="s">
        <v>349</v>
      </c>
      <c r="G4196" s="12" t="s">
        <v>157</v>
      </c>
      <c r="H4196" s="15">
        <v>18147</v>
      </c>
      <c r="I4196" s="13">
        <v>38</v>
      </c>
    </row>
    <row r="4197" spans="6:9">
      <c r="F4197" s="12" t="s">
        <v>4662</v>
      </c>
      <c r="G4197" s="12" t="s">
        <v>159</v>
      </c>
      <c r="H4197" s="15">
        <v>21400</v>
      </c>
      <c r="I4197" s="13">
        <v>38</v>
      </c>
    </row>
    <row r="4198" spans="6:9">
      <c r="F4198" s="12" t="s">
        <v>2558</v>
      </c>
      <c r="G4198" s="12" t="s">
        <v>157</v>
      </c>
      <c r="H4198" s="15">
        <v>14140</v>
      </c>
      <c r="I4198" s="13">
        <v>38</v>
      </c>
    </row>
    <row r="4199" spans="6:9">
      <c r="F4199" s="12" t="s">
        <v>4663</v>
      </c>
      <c r="G4199" s="12" t="s">
        <v>159</v>
      </c>
      <c r="H4199" s="15">
        <v>48300</v>
      </c>
      <c r="I4199" s="13">
        <v>38</v>
      </c>
    </row>
    <row r="4200" spans="6:9">
      <c r="F4200" s="12" t="s">
        <v>4664</v>
      </c>
      <c r="G4200" s="12" t="s">
        <v>159</v>
      </c>
      <c r="H4200" s="15">
        <v>201800</v>
      </c>
      <c r="I4200" s="13">
        <v>38</v>
      </c>
    </row>
    <row r="4201" spans="6:9">
      <c r="F4201" s="12" t="s">
        <v>4665</v>
      </c>
      <c r="G4201" s="12" t="s">
        <v>159</v>
      </c>
      <c r="H4201" s="15">
        <v>93200</v>
      </c>
      <c r="I4201" s="13">
        <v>38</v>
      </c>
    </row>
    <row r="4202" spans="6:9">
      <c r="F4202" s="12" t="s">
        <v>4666</v>
      </c>
      <c r="G4202" s="12" t="s">
        <v>159</v>
      </c>
      <c r="H4202" s="15">
        <v>958200</v>
      </c>
      <c r="I4202" s="13">
        <v>38</v>
      </c>
    </row>
    <row r="4203" spans="6:9">
      <c r="F4203" s="12" t="s">
        <v>4667</v>
      </c>
      <c r="G4203" s="12" t="s">
        <v>159</v>
      </c>
      <c r="H4203" s="15">
        <v>415300</v>
      </c>
      <c r="I4203" s="13">
        <v>38</v>
      </c>
    </row>
    <row r="4204" spans="6:9">
      <c r="F4204" s="12" t="s">
        <v>4668</v>
      </c>
      <c r="G4204" s="12" t="s">
        <v>159</v>
      </c>
      <c r="H4204" s="15">
        <v>154700</v>
      </c>
      <c r="I4204" s="13">
        <v>38</v>
      </c>
    </row>
    <row r="4205" spans="6:9">
      <c r="F4205" s="12" t="s">
        <v>4669</v>
      </c>
      <c r="G4205" s="12" t="s">
        <v>159</v>
      </c>
      <c r="H4205" s="15">
        <v>116500</v>
      </c>
      <c r="I4205" s="13">
        <v>38</v>
      </c>
    </row>
    <row r="4206" spans="6:9">
      <c r="F4206" s="12" t="s">
        <v>4670</v>
      </c>
      <c r="G4206" s="12" t="s">
        <v>159</v>
      </c>
      <c r="H4206" s="15">
        <v>35200</v>
      </c>
      <c r="I4206" s="13">
        <v>38</v>
      </c>
    </row>
    <row r="4207" spans="6:9">
      <c r="F4207" s="12" t="s">
        <v>4671</v>
      </c>
      <c r="G4207" s="12" t="s">
        <v>159</v>
      </c>
      <c r="H4207" s="15">
        <v>131500</v>
      </c>
      <c r="I4207" s="13">
        <v>38</v>
      </c>
    </row>
    <row r="4208" spans="6:9">
      <c r="F4208" s="12" t="s">
        <v>4672</v>
      </c>
      <c r="G4208" s="12" t="s">
        <v>159</v>
      </c>
      <c r="H4208" s="15">
        <v>12000</v>
      </c>
      <c r="I4208" s="13">
        <v>38</v>
      </c>
    </row>
    <row r="4209" spans="6:9">
      <c r="F4209" s="12" t="s">
        <v>4673</v>
      </c>
      <c r="G4209" s="12" t="s">
        <v>159</v>
      </c>
      <c r="H4209" s="15">
        <v>47300</v>
      </c>
      <c r="I4209" s="13">
        <v>38</v>
      </c>
    </row>
    <row r="4210" spans="6:9">
      <c r="F4210" s="12" t="s">
        <v>351</v>
      </c>
      <c r="G4210" s="12" t="s">
        <v>157</v>
      </c>
      <c r="H4210" s="15">
        <v>10785</v>
      </c>
      <c r="I4210" s="13">
        <v>38</v>
      </c>
    </row>
    <row r="4211" spans="6:9">
      <c r="F4211" s="12" t="s">
        <v>2559</v>
      </c>
      <c r="G4211" s="12" t="s">
        <v>157</v>
      </c>
      <c r="H4211" s="15">
        <v>51909</v>
      </c>
      <c r="I4211" s="13">
        <v>38</v>
      </c>
    </row>
    <row r="4212" spans="6:9">
      <c r="F4212" s="12" t="s">
        <v>4674</v>
      </c>
      <c r="G4212" s="12" t="s">
        <v>159</v>
      </c>
      <c r="H4212" s="15">
        <v>47100</v>
      </c>
      <c r="I4212" s="13">
        <v>38</v>
      </c>
    </row>
    <row r="4213" spans="6:9">
      <c r="F4213" s="12" t="s">
        <v>2561</v>
      </c>
      <c r="G4213" s="12" t="s">
        <v>157</v>
      </c>
      <c r="H4213" s="15">
        <v>64684</v>
      </c>
      <c r="I4213" s="13">
        <v>38</v>
      </c>
    </row>
    <row r="4214" spans="6:9">
      <c r="F4214" s="12" t="s">
        <v>4675</v>
      </c>
      <c r="G4214" s="12" t="s">
        <v>159</v>
      </c>
      <c r="H4214" s="15">
        <v>165500</v>
      </c>
      <c r="I4214" s="13">
        <v>38</v>
      </c>
    </row>
    <row r="4215" spans="6:9">
      <c r="F4215" s="12" t="s">
        <v>354</v>
      </c>
      <c r="G4215" s="12" t="s">
        <v>157</v>
      </c>
      <c r="H4215" s="15">
        <v>24336</v>
      </c>
      <c r="I4215" s="13">
        <v>38</v>
      </c>
    </row>
    <row r="4216" spans="6:9">
      <c r="F4216" s="12" t="s">
        <v>4676</v>
      </c>
      <c r="G4216" s="12" t="s">
        <v>159</v>
      </c>
      <c r="H4216" s="15">
        <v>185100</v>
      </c>
      <c r="I4216" s="13">
        <v>38</v>
      </c>
    </row>
    <row r="4217" spans="6:9">
      <c r="F4217" s="12" t="s">
        <v>4677</v>
      </c>
      <c r="G4217" s="12" t="s">
        <v>159</v>
      </c>
      <c r="H4217" s="15">
        <v>37000</v>
      </c>
      <c r="I4217" s="13">
        <v>38</v>
      </c>
    </row>
    <row r="4218" spans="6:9">
      <c r="F4218" s="12" t="s">
        <v>4678</v>
      </c>
      <c r="G4218" s="12" t="s">
        <v>159</v>
      </c>
      <c r="H4218" s="15">
        <v>183400</v>
      </c>
      <c r="I4218" s="13">
        <v>38</v>
      </c>
    </row>
    <row r="4219" spans="6:9">
      <c r="F4219" s="12" t="s">
        <v>4679</v>
      </c>
      <c r="G4219" s="12" t="s">
        <v>159</v>
      </c>
      <c r="H4219" s="15">
        <v>250800</v>
      </c>
      <c r="I4219" s="13">
        <v>38</v>
      </c>
    </row>
    <row r="4220" spans="6:9">
      <c r="F4220" s="12" t="s">
        <v>4680</v>
      </c>
      <c r="G4220" s="12" t="s">
        <v>159</v>
      </c>
      <c r="H4220" s="15">
        <v>55300</v>
      </c>
      <c r="I4220" s="13">
        <v>38</v>
      </c>
    </row>
    <row r="4221" spans="6:9">
      <c r="F4221" s="12" t="s">
        <v>4681</v>
      </c>
      <c r="G4221" s="12" t="s">
        <v>159</v>
      </c>
      <c r="H4221" s="15">
        <v>15300</v>
      </c>
      <c r="I4221" s="13">
        <v>38</v>
      </c>
    </row>
    <row r="4222" spans="6:9">
      <c r="F4222" s="12" t="s">
        <v>357</v>
      </c>
      <c r="G4222" s="12" t="s">
        <v>157</v>
      </c>
      <c r="H4222" s="15">
        <v>10089</v>
      </c>
      <c r="I4222" s="13">
        <v>38</v>
      </c>
    </row>
    <row r="4223" spans="6:9">
      <c r="F4223" s="12" t="s">
        <v>4682</v>
      </c>
      <c r="G4223" s="12" t="s">
        <v>159</v>
      </c>
      <c r="H4223" s="15">
        <v>53900</v>
      </c>
      <c r="I4223" s="13">
        <v>38</v>
      </c>
    </row>
    <row r="4224" spans="6:9">
      <c r="F4224" s="12" t="s">
        <v>4683</v>
      </c>
      <c r="G4224" s="12" t="s">
        <v>159</v>
      </c>
      <c r="H4224" s="15">
        <v>17400</v>
      </c>
      <c r="I4224" s="13">
        <v>38</v>
      </c>
    </row>
    <row r="4225" spans="6:9">
      <c r="F4225" s="12" t="s">
        <v>4684</v>
      </c>
      <c r="G4225" s="12" t="s">
        <v>159</v>
      </c>
      <c r="H4225" s="15">
        <v>15500</v>
      </c>
      <c r="I4225" s="13">
        <v>38</v>
      </c>
    </row>
    <row r="4226" spans="6:9">
      <c r="F4226" s="12" t="s">
        <v>4685</v>
      </c>
      <c r="G4226" s="12" t="s">
        <v>159</v>
      </c>
      <c r="H4226" s="15">
        <v>314300</v>
      </c>
      <c r="I4226" s="13">
        <v>38</v>
      </c>
    </row>
    <row r="4227" spans="6:9">
      <c r="F4227" s="12" t="s">
        <v>4686</v>
      </c>
      <c r="G4227" s="12" t="s">
        <v>159</v>
      </c>
      <c r="H4227" s="15">
        <v>35900</v>
      </c>
      <c r="I4227" s="13">
        <v>38</v>
      </c>
    </row>
    <row r="4228" spans="6:9">
      <c r="F4228" s="12" t="s">
        <v>4687</v>
      </c>
      <c r="G4228" s="12" t="s">
        <v>159</v>
      </c>
      <c r="H4228" s="15">
        <v>59100</v>
      </c>
      <c r="I4228" s="13">
        <v>38</v>
      </c>
    </row>
    <row r="4229" spans="6:9">
      <c r="F4229" s="12" t="s">
        <v>4688</v>
      </c>
      <c r="G4229" s="12" t="s">
        <v>159</v>
      </c>
      <c r="H4229" s="15">
        <v>472300</v>
      </c>
      <c r="I4229" s="13">
        <v>38</v>
      </c>
    </row>
    <row r="4230" spans="6:9">
      <c r="F4230" s="12" t="s">
        <v>4689</v>
      </c>
      <c r="G4230" s="12" t="s">
        <v>159</v>
      </c>
      <c r="H4230" s="15">
        <v>40000</v>
      </c>
      <c r="I4230" s="13">
        <v>38</v>
      </c>
    </row>
    <row r="4231" spans="6:9">
      <c r="F4231" s="12" t="s">
        <v>4690</v>
      </c>
      <c r="G4231" s="12" t="s">
        <v>159</v>
      </c>
      <c r="H4231" s="15">
        <v>31100</v>
      </c>
      <c r="I4231" s="13">
        <v>38</v>
      </c>
    </row>
    <row r="4232" spans="6:9">
      <c r="F4232" s="12" t="s">
        <v>4691</v>
      </c>
      <c r="G4232" s="12" t="s">
        <v>159</v>
      </c>
      <c r="H4232" s="15">
        <v>80000</v>
      </c>
      <c r="I4232" s="13">
        <v>38</v>
      </c>
    </row>
    <row r="4233" spans="6:9">
      <c r="F4233" s="12" t="s">
        <v>361</v>
      </c>
      <c r="G4233" s="12" t="s">
        <v>157</v>
      </c>
      <c r="H4233" s="15">
        <v>21665</v>
      </c>
      <c r="I4233" s="13">
        <v>38</v>
      </c>
    </row>
    <row r="4234" spans="6:9">
      <c r="F4234" s="12" t="s">
        <v>4692</v>
      </c>
      <c r="G4234" s="12" t="s">
        <v>159</v>
      </c>
      <c r="H4234" s="15">
        <v>15100</v>
      </c>
      <c r="I4234" s="13">
        <v>38</v>
      </c>
    </row>
    <row r="4235" spans="6:9">
      <c r="F4235" s="12" t="s">
        <v>4693</v>
      </c>
      <c r="G4235" s="12" t="s">
        <v>159</v>
      </c>
      <c r="H4235" s="15">
        <v>81200</v>
      </c>
      <c r="I4235" s="13">
        <v>38</v>
      </c>
    </row>
    <row r="4236" spans="6:9">
      <c r="F4236" s="12" t="s">
        <v>4694</v>
      </c>
      <c r="G4236" s="12" t="s">
        <v>159</v>
      </c>
      <c r="H4236" s="15">
        <v>20200</v>
      </c>
      <c r="I4236" s="13">
        <v>38</v>
      </c>
    </row>
    <row r="4237" spans="6:9">
      <c r="F4237" s="12" t="s">
        <v>4695</v>
      </c>
      <c r="G4237" s="12" t="s">
        <v>159</v>
      </c>
      <c r="H4237" s="15">
        <v>38700</v>
      </c>
      <c r="I4237" s="13">
        <v>38</v>
      </c>
    </row>
    <row r="4238" spans="6:9">
      <c r="F4238" s="12" t="s">
        <v>4696</v>
      </c>
      <c r="G4238" s="12" t="s">
        <v>159</v>
      </c>
      <c r="H4238" s="15">
        <v>107600</v>
      </c>
      <c r="I4238" s="13">
        <v>38</v>
      </c>
    </row>
    <row r="4239" spans="6:9">
      <c r="F4239" s="12" t="s">
        <v>4697</v>
      </c>
      <c r="G4239" s="12" t="s">
        <v>159</v>
      </c>
      <c r="H4239" s="15">
        <v>133600</v>
      </c>
      <c r="I4239" s="13">
        <v>38</v>
      </c>
    </row>
    <row r="4240" spans="6:9">
      <c r="F4240" s="12" t="s">
        <v>1776</v>
      </c>
      <c r="G4240" s="12" t="s">
        <v>157</v>
      </c>
      <c r="H4240" s="15">
        <v>112800</v>
      </c>
      <c r="I4240" s="13">
        <v>38</v>
      </c>
    </row>
    <row r="4241" spans="6:9">
      <c r="F4241" s="12" t="s">
        <v>4698</v>
      </c>
      <c r="G4241" s="12" t="s">
        <v>159</v>
      </c>
      <c r="H4241" s="15">
        <v>168600</v>
      </c>
      <c r="I4241" s="13">
        <v>38</v>
      </c>
    </row>
    <row r="4242" spans="6:9">
      <c r="F4242" s="12" t="s">
        <v>4699</v>
      </c>
      <c r="G4242" s="12" t="s">
        <v>159</v>
      </c>
      <c r="H4242" s="15">
        <v>44400</v>
      </c>
      <c r="I4242" s="13">
        <v>38</v>
      </c>
    </row>
    <row r="4243" spans="6:9">
      <c r="F4243" s="12" t="s">
        <v>4700</v>
      </c>
      <c r="G4243" s="12" t="s">
        <v>159</v>
      </c>
      <c r="H4243" s="15">
        <v>116300</v>
      </c>
      <c r="I4243" s="13">
        <v>38</v>
      </c>
    </row>
    <row r="4244" spans="6:9">
      <c r="F4244" s="12" t="s">
        <v>4701</v>
      </c>
      <c r="G4244" s="12" t="s">
        <v>159</v>
      </c>
      <c r="H4244" s="15">
        <v>407000</v>
      </c>
      <c r="I4244" s="13">
        <v>38</v>
      </c>
    </row>
    <row r="4245" spans="6:9">
      <c r="F4245" s="12" t="s">
        <v>4702</v>
      </c>
      <c r="G4245" s="12" t="s">
        <v>159</v>
      </c>
      <c r="H4245" s="15">
        <v>1100000</v>
      </c>
      <c r="I4245" s="13">
        <v>38</v>
      </c>
    </row>
    <row r="4246" spans="6:9">
      <c r="F4246" s="12" t="s">
        <v>364</v>
      </c>
      <c r="G4246" s="12" t="s">
        <v>157</v>
      </c>
      <c r="H4246" s="15">
        <v>27603</v>
      </c>
      <c r="I4246" s="13">
        <v>38</v>
      </c>
    </row>
    <row r="4247" spans="6:9">
      <c r="F4247" s="12" t="s">
        <v>4703</v>
      </c>
      <c r="G4247" s="12" t="s">
        <v>159</v>
      </c>
      <c r="H4247" s="15">
        <v>27100</v>
      </c>
      <c r="I4247" s="13">
        <v>38</v>
      </c>
    </row>
    <row r="4248" spans="6:9">
      <c r="F4248" s="12" t="s">
        <v>4704</v>
      </c>
      <c r="G4248" s="12" t="s">
        <v>159</v>
      </c>
      <c r="H4248" s="15">
        <v>106300</v>
      </c>
      <c r="I4248" s="13">
        <v>38</v>
      </c>
    </row>
    <row r="4249" spans="6:9">
      <c r="F4249" s="12" t="s">
        <v>4705</v>
      </c>
      <c r="G4249" s="12" t="s">
        <v>159</v>
      </c>
      <c r="H4249" s="15">
        <v>251600</v>
      </c>
      <c r="I4249" s="13">
        <v>38</v>
      </c>
    </row>
    <row r="4250" spans="6:9">
      <c r="F4250" s="12" t="s">
        <v>4706</v>
      </c>
      <c r="G4250" s="12" t="s">
        <v>159</v>
      </c>
      <c r="H4250" s="15">
        <v>115200</v>
      </c>
      <c r="I4250" s="13">
        <v>38</v>
      </c>
    </row>
    <row r="4251" spans="6:9">
      <c r="F4251" s="12" t="s">
        <v>4707</v>
      </c>
      <c r="G4251" s="12" t="s">
        <v>159</v>
      </c>
      <c r="H4251" s="15">
        <v>89100</v>
      </c>
      <c r="I4251" s="13">
        <v>38</v>
      </c>
    </row>
    <row r="4252" spans="6:9">
      <c r="F4252" s="12" t="s">
        <v>4708</v>
      </c>
      <c r="G4252" s="12" t="s">
        <v>159</v>
      </c>
      <c r="H4252" s="15">
        <v>24100</v>
      </c>
      <c r="I4252" s="13">
        <v>38</v>
      </c>
    </row>
    <row r="4253" spans="6:9">
      <c r="F4253" s="12" t="s">
        <v>2564</v>
      </c>
      <c r="G4253" s="12" t="s">
        <v>157</v>
      </c>
      <c r="H4253" s="15">
        <v>11474</v>
      </c>
      <c r="I4253" s="13">
        <v>38</v>
      </c>
    </row>
    <row r="4254" spans="6:9">
      <c r="F4254" s="12" t="s">
        <v>4709</v>
      </c>
      <c r="G4254" s="12" t="s">
        <v>159</v>
      </c>
      <c r="H4254" s="15">
        <v>1100000</v>
      </c>
      <c r="I4254" s="13">
        <v>38</v>
      </c>
    </row>
    <row r="4255" spans="6:9">
      <c r="F4255" s="12" t="s">
        <v>4710</v>
      </c>
      <c r="G4255" s="12" t="s">
        <v>159</v>
      </c>
      <c r="H4255" s="15">
        <v>154700</v>
      </c>
      <c r="I4255" s="13">
        <v>38</v>
      </c>
    </row>
    <row r="4256" spans="6:9">
      <c r="F4256" s="12" t="s">
        <v>367</v>
      </c>
      <c r="G4256" s="12" t="s">
        <v>157</v>
      </c>
      <c r="H4256" s="15">
        <v>12317</v>
      </c>
      <c r="I4256" s="13">
        <v>38</v>
      </c>
    </row>
    <row r="4257" spans="6:9">
      <c r="F4257" s="12" t="s">
        <v>4711</v>
      </c>
      <c r="G4257" s="12" t="s">
        <v>159</v>
      </c>
      <c r="H4257" s="15">
        <v>99200</v>
      </c>
      <c r="I4257" s="13">
        <v>38</v>
      </c>
    </row>
    <row r="4258" spans="6:9">
      <c r="F4258" s="12" t="s">
        <v>4712</v>
      </c>
      <c r="G4258" s="12" t="s">
        <v>159</v>
      </c>
      <c r="H4258" s="15">
        <v>25300</v>
      </c>
      <c r="I4258" s="13">
        <v>38</v>
      </c>
    </row>
    <row r="4259" spans="6:9">
      <c r="F4259" s="12" t="s">
        <v>4713</v>
      </c>
      <c r="G4259" s="12" t="s">
        <v>159</v>
      </c>
      <c r="H4259" s="15">
        <v>12800</v>
      </c>
      <c r="I4259" s="13">
        <v>38</v>
      </c>
    </row>
    <row r="4260" spans="6:9">
      <c r="F4260" s="12" t="s">
        <v>4714</v>
      </c>
      <c r="G4260" s="12" t="s">
        <v>159</v>
      </c>
      <c r="H4260" s="15">
        <v>42200</v>
      </c>
      <c r="I4260" s="13">
        <v>38</v>
      </c>
    </row>
    <row r="4261" spans="6:9">
      <c r="F4261" s="12" t="s">
        <v>2646</v>
      </c>
      <c r="G4261" s="12" t="s">
        <v>157</v>
      </c>
      <c r="H4261" s="15">
        <v>36299</v>
      </c>
      <c r="I4261" s="13">
        <v>38</v>
      </c>
    </row>
    <row r="4262" spans="6:9">
      <c r="F4262" s="12" t="s">
        <v>4715</v>
      </c>
      <c r="G4262" s="12" t="s">
        <v>159</v>
      </c>
      <c r="H4262" s="15">
        <v>39300</v>
      </c>
      <c r="I4262" s="13">
        <v>38</v>
      </c>
    </row>
    <row r="4263" spans="6:9">
      <c r="F4263" s="12" t="s">
        <v>4716</v>
      </c>
      <c r="G4263" s="12" t="s">
        <v>159</v>
      </c>
      <c r="H4263" s="15">
        <v>143800</v>
      </c>
      <c r="I4263" s="13">
        <v>38</v>
      </c>
    </row>
    <row r="4264" spans="6:9">
      <c r="F4264" s="12" t="s">
        <v>370</v>
      </c>
      <c r="G4264" s="12" t="s">
        <v>157</v>
      </c>
      <c r="H4264" s="15">
        <v>33415</v>
      </c>
      <c r="I4264" s="13">
        <v>38</v>
      </c>
    </row>
    <row r="4265" spans="6:9">
      <c r="F4265" s="12" t="s">
        <v>4717</v>
      </c>
      <c r="G4265" s="12" t="s">
        <v>159</v>
      </c>
      <c r="H4265" s="15">
        <v>30400</v>
      </c>
      <c r="I4265" s="13">
        <v>38</v>
      </c>
    </row>
    <row r="4266" spans="6:9">
      <c r="F4266" s="12" t="s">
        <v>4718</v>
      </c>
      <c r="G4266" s="12" t="s">
        <v>159</v>
      </c>
      <c r="H4266" s="15">
        <v>12500</v>
      </c>
      <c r="I4266" s="13">
        <v>38</v>
      </c>
    </row>
    <row r="4267" spans="6:9">
      <c r="F4267" s="12" t="s">
        <v>4719</v>
      </c>
      <c r="G4267" s="12" t="s">
        <v>159</v>
      </c>
      <c r="H4267" s="15">
        <v>41300</v>
      </c>
      <c r="I4267" s="13">
        <v>38</v>
      </c>
    </row>
    <row r="4268" spans="6:9">
      <c r="F4268" s="12" t="s">
        <v>4720</v>
      </c>
      <c r="G4268" s="12" t="s">
        <v>159</v>
      </c>
      <c r="H4268" s="15">
        <v>1400000</v>
      </c>
      <c r="I4268" s="13">
        <v>38</v>
      </c>
    </row>
    <row r="4269" spans="6:9">
      <c r="F4269" s="12" t="s">
        <v>4721</v>
      </c>
      <c r="G4269" s="12" t="s">
        <v>159</v>
      </c>
      <c r="H4269" s="15">
        <v>42300</v>
      </c>
      <c r="I4269" s="13">
        <v>38</v>
      </c>
    </row>
    <row r="4270" spans="6:9">
      <c r="F4270" s="12" t="s">
        <v>4722</v>
      </c>
      <c r="G4270" s="12" t="s">
        <v>159</v>
      </c>
      <c r="H4270" s="15">
        <v>247800</v>
      </c>
      <c r="I4270" s="13">
        <v>38</v>
      </c>
    </row>
    <row r="4271" spans="6:9">
      <c r="F4271" s="12" t="s">
        <v>4723</v>
      </c>
      <c r="G4271" s="12" t="s">
        <v>159</v>
      </c>
      <c r="H4271" s="15">
        <v>162800</v>
      </c>
      <c r="I4271" s="13">
        <v>38</v>
      </c>
    </row>
    <row r="4272" spans="6:9">
      <c r="F4272" s="12" t="s">
        <v>4724</v>
      </c>
      <c r="G4272" s="12" t="s">
        <v>159</v>
      </c>
      <c r="H4272" s="15">
        <v>21300</v>
      </c>
      <c r="I4272" s="13">
        <v>38</v>
      </c>
    </row>
    <row r="4273" spans="6:9">
      <c r="F4273" s="12" t="s">
        <v>4725</v>
      </c>
      <c r="G4273" s="12" t="s">
        <v>159</v>
      </c>
      <c r="H4273" s="15">
        <v>80300</v>
      </c>
      <c r="I4273" s="13">
        <v>38</v>
      </c>
    </row>
    <row r="4274" spans="6:9">
      <c r="F4274" s="12" t="s">
        <v>379</v>
      </c>
      <c r="G4274" s="12" t="s">
        <v>157</v>
      </c>
      <c r="H4274" s="15">
        <v>20017</v>
      </c>
      <c r="I4274" s="13">
        <v>38</v>
      </c>
    </row>
    <row r="4275" spans="6:9">
      <c r="F4275" s="12" t="s">
        <v>4726</v>
      </c>
      <c r="G4275" s="12" t="s">
        <v>159</v>
      </c>
      <c r="H4275" s="15">
        <v>63400</v>
      </c>
      <c r="I4275" s="13">
        <v>38</v>
      </c>
    </row>
    <row r="4276" spans="6:9">
      <c r="F4276" s="12" t="s">
        <v>4727</v>
      </c>
      <c r="G4276" s="12" t="s">
        <v>159</v>
      </c>
      <c r="H4276" s="15">
        <v>38300</v>
      </c>
      <c r="I4276" s="13">
        <v>38</v>
      </c>
    </row>
    <row r="4277" spans="6:9">
      <c r="F4277" s="12" t="s">
        <v>4728</v>
      </c>
      <c r="G4277" s="12" t="s">
        <v>159</v>
      </c>
      <c r="H4277" s="15">
        <v>174000</v>
      </c>
      <c r="I4277" s="13">
        <v>38</v>
      </c>
    </row>
    <row r="4278" spans="6:9">
      <c r="F4278" s="12" t="s">
        <v>4729</v>
      </c>
      <c r="G4278" s="12" t="s">
        <v>159</v>
      </c>
      <c r="H4278" s="15">
        <v>19700</v>
      </c>
      <c r="I4278" s="13">
        <v>38</v>
      </c>
    </row>
    <row r="4279" spans="6:9">
      <c r="F4279" s="12" t="s">
        <v>4730</v>
      </c>
      <c r="G4279" s="12" t="s">
        <v>159</v>
      </c>
      <c r="H4279" s="15">
        <v>14500</v>
      </c>
      <c r="I4279" s="13">
        <v>38</v>
      </c>
    </row>
    <row r="4280" spans="6:9">
      <c r="F4280" s="12" t="s">
        <v>4731</v>
      </c>
      <c r="G4280" s="12" t="s">
        <v>159</v>
      </c>
      <c r="H4280" s="15">
        <v>11000</v>
      </c>
      <c r="I4280" s="13">
        <v>38</v>
      </c>
    </row>
    <row r="4281" spans="6:9">
      <c r="F4281" s="12" t="s">
        <v>4732</v>
      </c>
      <c r="G4281" s="12" t="s">
        <v>159</v>
      </c>
      <c r="H4281" s="15">
        <v>324300</v>
      </c>
      <c r="I4281" s="13">
        <v>38</v>
      </c>
    </row>
    <row r="4282" spans="6:9">
      <c r="F4282" s="12" t="s">
        <v>4733</v>
      </c>
      <c r="G4282" s="12" t="s">
        <v>159</v>
      </c>
      <c r="H4282" s="15">
        <v>27100</v>
      </c>
      <c r="I4282" s="13">
        <v>38</v>
      </c>
    </row>
    <row r="4283" spans="6:9">
      <c r="F4283" s="12" t="s">
        <v>4734</v>
      </c>
      <c r="G4283" s="12" t="s">
        <v>159</v>
      </c>
      <c r="H4283" s="15">
        <v>125700</v>
      </c>
      <c r="I4283" s="13">
        <v>38</v>
      </c>
    </row>
    <row r="4284" spans="6:9">
      <c r="F4284" s="12" t="s">
        <v>4735</v>
      </c>
      <c r="G4284" s="12" t="s">
        <v>159</v>
      </c>
      <c r="H4284" s="15">
        <v>54300</v>
      </c>
      <c r="I4284" s="13">
        <v>38</v>
      </c>
    </row>
    <row r="4285" spans="6:9">
      <c r="F4285" s="12" t="s">
        <v>4736</v>
      </c>
      <c r="G4285" s="12" t="s">
        <v>159</v>
      </c>
      <c r="H4285" s="15">
        <v>627200</v>
      </c>
      <c r="I4285" s="13">
        <v>38</v>
      </c>
    </row>
    <row r="4286" spans="6:9">
      <c r="F4286" s="12" t="s">
        <v>4737</v>
      </c>
      <c r="G4286" s="12" t="s">
        <v>159</v>
      </c>
      <c r="H4286" s="15">
        <v>119900</v>
      </c>
      <c r="I4286" s="13">
        <v>38</v>
      </c>
    </row>
    <row r="4287" spans="6:9">
      <c r="F4287" s="12" t="s">
        <v>4738</v>
      </c>
      <c r="G4287" s="12" t="s">
        <v>159</v>
      </c>
      <c r="H4287" s="15">
        <v>70200</v>
      </c>
      <c r="I4287" s="13">
        <v>38</v>
      </c>
    </row>
    <row r="4288" spans="6:9">
      <c r="F4288" s="12" t="s">
        <v>4739</v>
      </c>
      <c r="G4288" s="12" t="s">
        <v>159</v>
      </c>
      <c r="H4288" s="15">
        <v>118400</v>
      </c>
      <c r="I4288" s="13">
        <v>38</v>
      </c>
    </row>
    <row r="4289" spans="6:9">
      <c r="F4289" s="12" t="s">
        <v>4740</v>
      </c>
      <c r="G4289" s="12" t="s">
        <v>159</v>
      </c>
      <c r="H4289" s="15">
        <v>99700</v>
      </c>
      <c r="I4289" s="13">
        <v>38</v>
      </c>
    </row>
    <row r="4290" spans="6:9">
      <c r="F4290" s="12" t="s">
        <v>4741</v>
      </c>
      <c r="G4290" s="12" t="s">
        <v>159</v>
      </c>
      <c r="H4290" s="15">
        <v>119400</v>
      </c>
      <c r="I4290" s="13">
        <v>38</v>
      </c>
    </row>
    <row r="4291" spans="6:9">
      <c r="F4291" s="12" t="s">
        <v>4742</v>
      </c>
      <c r="G4291" s="12" t="s">
        <v>159</v>
      </c>
      <c r="H4291" s="15">
        <v>20300</v>
      </c>
      <c r="I4291" s="13">
        <v>38</v>
      </c>
    </row>
    <row r="4292" spans="6:9">
      <c r="F4292" s="12" t="s">
        <v>382</v>
      </c>
      <c r="G4292" s="12" t="s">
        <v>157</v>
      </c>
      <c r="H4292" s="15">
        <v>19849</v>
      </c>
      <c r="I4292" s="13">
        <v>38</v>
      </c>
    </row>
    <row r="4293" spans="6:9">
      <c r="F4293" s="12" t="s">
        <v>385</v>
      </c>
      <c r="G4293" s="12" t="s">
        <v>157</v>
      </c>
      <c r="H4293" s="15">
        <v>14636</v>
      </c>
      <c r="I4293" s="13">
        <v>38</v>
      </c>
    </row>
    <row r="4294" spans="6:9">
      <c r="F4294" s="12" t="s">
        <v>4743</v>
      </c>
      <c r="G4294" s="12" t="s">
        <v>159</v>
      </c>
      <c r="H4294" s="15">
        <v>408400</v>
      </c>
      <c r="I4294" s="13">
        <v>38</v>
      </c>
    </row>
    <row r="4295" spans="6:9">
      <c r="F4295" s="12" t="s">
        <v>4744</v>
      </c>
      <c r="G4295" s="12" t="s">
        <v>159</v>
      </c>
      <c r="H4295" s="15">
        <v>13200</v>
      </c>
      <c r="I4295" s="13">
        <v>38</v>
      </c>
    </row>
    <row r="4296" spans="6:9">
      <c r="F4296" s="12" t="s">
        <v>4745</v>
      </c>
      <c r="G4296" s="12" t="s">
        <v>159</v>
      </c>
      <c r="H4296" s="15">
        <v>120800</v>
      </c>
      <c r="I4296" s="13">
        <v>38</v>
      </c>
    </row>
    <row r="4297" spans="6:9">
      <c r="F4297" s="12" t="s">
        <v>4746</v>
      </c>
      <c r="G4297" s="12" t="s">
        <v>159</v>
      </c>
      <c r="H4297" s="15">
        <v>170100</v>
      </c>
      <c r="I4297" s="13">
        <v>38</v>
      </c>
    </row>
    <row r="4298" spans="6:9">
      <c r="F4298" s="12" t="s">
        <v>4747</v>
      </c>
      <c r="G4298" s="12" t="s">
        <v>159</v>
      </c>
      <c r="H4298" s="15">
        <v>32200</v>
      </c>
      <c r="I4298" s="13">
        <v>38</v>
      </c>
    </row>
    <row r="4299" spans="6:9">
      <c r="F4299" s="12" t="s">
        <v>4748</v>
      </c>
      <c r="G4299" s="12" t="s">
        <v>159</v>
      </c>
      <c r="H4299" s="15">
        <v>137400</v>
      </c>
      <c r="I4299" s="13">
        <v>38</v>
      </c>
    </row>
    <row r="4300" spans="6:9">
      <c r="F4300" s="12" t="s">
        <v>4749</v>
      </c>
      <c r="G4300" s="12" t="s">
        <v>159</v>
      </c>
      <c r="H4300" s="15">
        <v>37300</v>
      </c>
      <c r="I4300" s="13">
        <v>38</v>
      </c>
    </row>
    <row r="4301" spans="6:9">
      <c r="F4301" s="12" t="s">
        <v>4750</v>
      </c>
      <c r="G4301" s="12" t="s">
        <v>159</v>
      </c>
      <c r="H4301" s="15">
        <v>66600</v>
      </c>
      <c r="I4301" s="13">
        <v>38</v>
      </c>
    </row>
    <row r="4302" spans="6:9">
      <c r="F4302" s="12" t="s">
        <v>388</v>
      </c>
      <c r="G4302" s="12" t="s">
        <v>157</v>
      </c>
      <c r="H4302" s="15">
        <v>16933</v>
      </c>
      <c r="I4302" s="13">
        <v>38</v>
      </c>
    </row>
    <row r="4303" spans="6:9">
      <c r="F4303" s="12" t="s">
        <v>4751</v>
      </c>
      <c r="G4303" s="12" t="s">
        <v>157</v>
      </c>
      <c r="H4303" s="15">
        <v>72221</v>
      </c>
      <c r="I4303" s="13">
        <v>38</v>
      </c>
    </row>
    <row r="4304" spans="6:9">
      <c r="F4304" s="12" t="s">
        <v>391</v>
      </c>
      <c r="G4304" s="12" t="s">
        <v>157</v>
      </c>
      <c r="H4304" s="15">
        <v>11078</v>
      </c>
      <c r="I4304" s="13">
        <v>38</v>
      </c>
    </row>
    <row r="4305" spans="6:9">
      <c r="F4305" s="12" t="s">
        <v>4752</v>
      </c>
      <c r="G4305" s="12" t="s">
        <v>159</v>
      </c>
      <c r="H4305" s="15">
        <v>123700</v>
      </c>
      <c r="I4305" s="13">
        <v>38</v>
      </c>
    </row>
    <row r="4306" spans="6:9">
      <c r="F4306" s="12" t="s">
        <v>4753</v>
      </c>
      <c r="G4306" s="12" t="s">
        <v>159</v>
      </c>
      <c r="H4306" s="15">
        <v>16300</v>
      </c>
      <c r="I4306" s="13">
        <v>38</v>
      </c>
    </row>
    <row r="4307" spans="6:9">
      <c r="F4307" s="12" t="s">
        <v>4754</v>
      </c>
      <c r="G4307" s="12" t="s">
        <v>159</v>
      </c>
      <c r="H4307" s="15">
        <v>108700</v>
      </c>
      <c r="I4307" s="13">
        <v>38</v>
      </c>
    </row>
    <row r="4308" spans="6:9">
      <c r="F4308" s="12" t="s">
        <v>4755</v>
      </c>
      <c r="G4308" s="12" t="s">
        <v>159</v>
      </c>
      <c r="H4308" s="15">
        <v>26100</v>
      </c>
      <c r="I4308" s="13">
        <v>38</v>
      </c>
    </row>
    <row r="4309" spans="6:9">
      <c r="F4309" s="12" t="s">
        <v>4756</v>
      </c>
      <c r="G4309" s="12" t="s">
        <v>159</v>
      </c>
      <c r="H4309" s="15">
        <v>34400</v>
      </c>
      <c r="I4309" s="13">
        <v>38</v>
      </c>
    </row>
    <row r="4310" spans="6:9">
      <c r="F4310" s="12" t="s">
        <v>4757</v>
      </c>
      <c r="G4310" s="12" t="s">
        <v>159</v>
      </c>
      <c r="H4310" s="15">
        <v>14000</v>
      </c>
      <c r="I4310" s="13">
        <v>38</v>
      </c>
    </row>
    <row r="4311" spans="6:9">
      <c r="F4311" s="12" t="s">
        <v>4758</v>
      </c>
      <c r="G4311" s="12" t="s">
        <v>159</v>
      </c>
      <c r="H4311" s="15">
        <v>64200</v>
      </c>
      <c r="I4311" s="13">
        <v>38</v>
      </c>
    </row>
    <row r="4312" spans="6:9">
      <c r="F4312" s="12" t="s">
        <v>4759</v>
      </c>
      <c r="G4312" s="12" t="s">
        <v>159</v>
      </c>
      <c r="H4312" s="15">
        <v>10400</v>
      </c>
      <c r="I4312" s="13">
        <v>38</v>
      </c>
    </row>
    <row r="4313" spans="6:9">
      <c r="F4313" s="12" t="s">
        <v>4760</v>
      </c>
      <c r="G4313" s="12" t="s">
        <v>159</v>
      </c>
      <c r="H4313" s="15">
        <v>3700000</v>
      </c>
      <c r="I4313" s="13">
        <v>38</v>
      </c>
    </row>
    <row r="4314" spans="6:9">
      <c r="F4314" s="12" t="s">
        <v>394</v>
      </c>
      <c r="G4314" s="12" t="s">
        <v>157</v>
      </c>
      <c r="H4314" s="15">
        <v>10380</v>
      </c>
      <c r="I4314" s="13">
        <v>38</v>
      </c>
    </row>
    <row r="4315" spans="6:9">
      <c r="F4315" s="12" t="s">
        <v>4761</v>
      </c>
      <c r="G4315" s="12" t="s">
        <v>159</v>
      </c>
      <c r="H4315" s="15">
        <v>18600</v>
      </c>
      <c r="I4315" s="13">
        <v>38</v>
      </c>
    </row>
    <row r="4316" spans="6:9">
      <c r="F4316" s="12" t="s">
        <v>4762</v>
      </c>
      <c r="G4316" s="12" t="s">
        <v>159</v>
      </c>
      <c r="H4316" s="15">
        <v>20400</v>
      </c>
      <c r="I4316" s="13">
        <v>38</v>
      </c>
    </row>
    <row r="4317" spans="6:9">
      <c r="F4317" s="12" t="s">
        <v>4763</v>
      </c>
      <c r="G4317" s="12" t="s">
        <v>159</v>
      </c>
      <c r="H4317" s="15">
        <v>243000</v>
      </c>
      <c r="I4317" s="13">
        <v>38</v>
      </c>
    </row>
    <row r="4318" spans="6:9">
      <c r="F4318" s="12" t="s">
        <v>4764</v>
      </c>
      <c r="G4318" s="12" t="s">
        <v>159</v>
      </c>
      <c r="H4318" s="15">
        <v>10600</v>
      </c>
      <c r="I4318" s="13">
        <v>38</v>
      </c>
    </row>
    <row r="4319" spans="6:9">
      <c r="F4319" s="12" t="s">
        <v>4765</v>
      </c>
      <c r="G4319" s="12" t="s">
        <v>159</v>
      </c>
      <c r="H4319" s="15">
        <v>200000</v>
      </c>
      <c r="I4319" s="13">
        <v>38</v>
      </c>
    </row>
    <row r="4320" spans="6:9">
      <c r="F4320" s="12" t="s">
        <v>2567</v>
      </c>
      <c r="G4320" s="12" t="s">
        <v>157</v>
      </c>
      <c r="H4320" s="15">
        <v>35947</v>
      </c>
      <c r="I4320" s="13">
        <v>38</v>
      </c>
    </row>
    <row r="4321" spans="6:9">
      <c r="F4321" s="12" t="s">
        <v>4766</v>
      </c>
      <c r="G4321" s="12" t="s">
        <v>159</v>
      </c>
      <c r="H4321" s="15">
        <v>27400</v>
      </c>
      <c r="I4321" s="13">
        <v>38</v>
      </c>
    </row>
    <row r="4322" spans="6:9">
      <c r="F4322" s="12" t="s">
        <v>4767</v>
      </c>
      <c r="G4322" s="12" t="s">
        <v>159</v>
      </c>
      <c r="H4322" s="15">
        <v>342000</v>
      </c>
      <c r="I4322" s="13">
        <v>38</v>
      </c>
    </row>
    <row r="4323" spans="6:9">
      <c r="F4323" s="12" t="s">
        <v>4768</v>
      </c>
      <c r="G4323" s="12" t="s">
        <v>159</v>
      </c>
      <c r="H4323" s="15">
        <v>63100</v>
      </c>
      <c r="I4323" s="13">
        <v>38</v>
      </c>
    </row>
    <row r="4324" spans="6:9">
      <c r="F4324" s="12" t="s">
        <v>397</v>
      </c>
      <c r="G4324" s="12" t="s">
        <v>157</v>
      </c>
      <c r="H4324" s="15">
        <v>17488</v>
      </c>
      <c r="I4324" s="13">
        <v>38</v>
      </c>
    </row>
    <row r="4325" spans="6:9">
      <c r="F4325" s="12" t="s">
        <v>4769</v>
      </c>
      <c r="G4325" s="12" t="s">
        <v>159</v>
      </c>
      <c r="H4325" s="15">
        <v>20100</v>
      </c>
      <c r="I4325" s="13">
        <v>38</v>
      </c>
    </row>
    <row r="4326" spans="6:9">
      <c r="F4326" s="12" t="s">
        <v>4770</v>
      </c>
      <c r="G4326" s="12" t="s">
        <v>159</v>
      </c>
      <c r="H4326" s="15">
        <v>203800</v>
      </c>
      <c r="I4326" s="13">
        <v>38</v>
      </c>
    </row>
    <row r="4327" spans="6:9">
      <c r="F4327" s="12" t="s">
        <v>4771</v>
      </c>
      <c r="G4327" s="12" t="s">
        <v>159</v>
      </c>
      <c r="H4327" s="15">
        <v>4600000</v>
      </c>
      <c r="I4327" s="13">
        <v>38</v>
      </c>
    </row>
    <row r="4328" spans="6:9">
      <c r="F4328" s="12" t="s">
        <v>2569</v>
      </c>
      <c r="G4328" s="12" t="s">
        <v>157</v>
      </c>
      <c r="H4328" s="15">
        <v>19132</v>
      </c>
      <c r="I4328" s="13">
        <v>38</v>
      </c>
    </row>
    <row r="4329" spans="6:9">
      <c r="F4329" s="12" t="s">
        <v>4772</v>
      </c>
      <c r="G4329" s="12" t="s">
        <v>159</v>
      </c>
      <c r="H4329" s="15">
        <v>48100</v>
      </c>
      <c r="I4329" s="13">
        <v>38</v>
      </c>
    </row>
    <row r="4330" spans="6:9">
      <c r="F4330" s="12" t="s">
        <v>4773</v>
      </c>
      <c r="G4330" s="12" t="s">
        <v>159</v>
      </c>
      <c r="H4330" s="15">
        <v>18900</v>
      </c>
      <c r="I4330" s="13">
        <v>38</v>
      </c>
    </row>
    <row r="4331" spans="6:9">
      <c r="F4331" s="12" t="s">
        <v>4774</v>
      </c>
      <c r="G4331" s="12" t="s">
        <v>159</v>
      </c>
      <c r="H4331" s="15">
        <v>46900</v>
      </c>
      <c r="I4331" s="13">
        <v>38</v>
      </c>
    </row>
    <row r="4332" spans="6:9">
      <c r="F4332" s="12" t="s">
        <v>4775</v>
      </c>
      <c r="G4332" s="12" t="s">
        <v>159</v>
      </c>
      <c r="H4332" s="15">
        <v>119400</v>
      </c>
      <c r="I4332" s="13">
        <v>38</v>
      </c>
    </row>
    <row r="4333" spans="6:9">
      <c r="F4333" s="12" t="s">
        <v>4776</v>
      </c>
      <c r="G4333" s="12" t="s">
        <v>159</v>
      </c>
      <c r="H4333" s="15">
        <v>44400</v>
      </c>
      <c r="I4333" s="13">
        <v>38</v>
      </c>
    </row>
    <row r="4334" spans="6:9">
      <c r="F4334" s="12" t="s">
        <v>4777</v>
      </c>
      <c r="G4334" s="12" t="s">
        <v>159</v>
      </c>
      <c r="H4334" s="15">
        <v>13800</v>
      </c>
      <c r="I4334" s="13">
        <v>38</v>
      </c>
    </row>
    <row r="4335" spans="6:9">
      <c r="F4335" s="12" t="s">
        <v>400</v>
      </c>
      <c r="G4335" s="12" t="s">
        <v>157</v>
      </c>
      <c r="H4335" s="15">
        <v>33514</v>
      </c>
      <c r="I4335" s="13">
        <v>38</v>
      </c>
    </row>
    <row r="4336" spans="6:9">
      <c r="F4336" s="12" t="s">
        <v>4778</v>
      </c>
      <c r="G4336" s="12" t="s">
        <v>159</v>
      </c>
      <c r="H4336" s="15">
        <v>91900</v>
      </c>
      <c r="I4336" s="13">
        <v>38</v>
      </c>
    </row>
    <row r="4337" spans="6:9">
      <c r="F4337" s="12" t="s">
        <v>4779</v>
      </c>
      <c r="G4337" s="12" t="s">
        <v>159</v>
      </c>
      <c r="H4337" s="15">
        <v>1600000</v>
      </c>
      <c r="I4337" s="13">
        <v>38</v>
      </c>
    </row>
    <row r="4338" spans="6:9">
      <c r="F4338" s="12" t="s">
        <v>4780</v>
      </c>
      <c r="G4338" s="12" t="s">
        <v>159</v>
      </c>
      <c r="H4338" s="15">
        <v>141300</v>
      </c>
      <c r="I4338" s="13">
        <v>38</v>
      </c>
    </row>
    <row r="4339" spans="6:9">
      <c r="F4339" s="12" t="s">
        <v>402</v>
      </c>
      <c r="G4339" s="12" t="s">
        <v>157</v>
      </c>
      <c r="H4339" s="15">
        <v>15251</v>
      </c>
      <c r="I4339" s="13">
        <v>38</v>
      </c>
    </row>
    <row r="4340" spans="6:9">
      <c r="F4340" s="12" t="s">
        <v>404</v>
      </c>
      <c r="G4340" s="12" t="s">
        <v>157</v>
      </c>
      <c r="H4340" s="15">
        <v>11842</v>
      </c>
      <c r="I4340" s="13">
        <v>38</v>
      </c>
    </row>
    <row r="4341" spans="6:9">
      <c r="F4341" s="12" t="s">
        <v>4781</v>
      </c>
      <c r="G4341" s="12" t="s">
        <v>159</v>
      </c>
      <c r="H4341" s="15">
        <v>54400</v>
      </c>
      <c r="I4341" s="13">
        <v>38</v>
      </c>
    </row>
    <row r="4342" spans="6:9">
      <c r="F4342" s="12" t="s">
        <v>4782</v>
      </c>
      <c r="G4342" s="12" t="s">
        <v>159</v>
      </c>
      <c r="H4342" s="15">
        <v>1300000</v>
      </c>
      <c r="I4342" s="13">
        <v>38</v>
      </c>
    </row>
    <row r="4343" spans="6:9">
      <c r="F4343" s="12" t="s">
        <v>406</v>
      </c>
      <c r="G4343" s="12" t="s">
        <v>157</v>
      </c>
      <c r="H4343" s="15">
        <v>22375</v>
      </c>
      <c r="I4343" s="13">
        <v>38</v>
      </c>
    </row>
    <row r="4344" spans="6:9">
      <c r="F4344" s="12" t="s">
        <v>4783</v>
      </c>
      <c r="G4344" s="12" t="s">
        <v>159</v>
      </c>
      <c r="H4344" s="15">
        <v>942100</v>
      </c>
      <c r="I4344" s="13">
        <v>38</v>
      </c>
    </row>
    <row r="4345" spans="6:9">
      <c r="F4345" s="12" t="s">
        <v>4784</v>
      </c>
      <c r="G4345" s="12" t="s">
        <v>159</v>
      </c>
      <c r="H4345" s="15">
        <v>156000</v>
      </c>
      <c r="I4345" s="13">
        <v>38</v>
      </c>
    </row>
    <row r="4346" spans="6:9">
      <c r="F4346" s="12" t="s">
        <v>4785</v>
      </c>
      <c r="G4346" s="12" t="s">
        <v>159</v>
      </c>
      <c r="H4346" s="15">
        <v>62700</v>
      </c>
      <c r="I4346" s="13">
        <v>38</v>
      </c>
    </row>
    <row r="4347" spans="6:9">
      <c r="F4347" s="12" t="s">
        <v>1063</v>
      </c>
      <c r="G4347" s="12" t="s">
        <v>159</v>
      </c>
      <c r="H4347" s="15">
        <v>13200000</v>
      </c>
      <c r="I4347" s="13">
        <v>38</v>
      </c>
    </row>
    <row r="4348" spans="6:9">
      <c r="F4348" s="12" t="s">
        <v>4786</v>
      </c>
      <c r="G4348" s="12" t="s">
        <v>159</v>
      </c>
      <c r="H4348" s="15">
        <v>478500</v>
      </c>
      <c r="I4348" s="13">
        <v>38</v>
      </c>
    </row>
    <row r="4349" spans="6:9">
      <c r="F4349" s="12" t="s">
        <v>4787</v>
      </c>
      <c r="G4349" s="12" t="s">
        <v>159</v>
      </c>
      <c r="H4349" s="15">
        <v>55900</v>
      </c>
      <c r="I4349" s="13">
        <v>38</v>
      </c>
    </row>
    <row r="4350" spans="6:9">
      <c r="F4350" s="12" t="s">
        <v>4788</v>
      </c>
      <c r="G4350" s="12" t="s">
        <v>159</v>
      </c>
      <c r="H4350" s="15">
        <v>23500</v>
      </c>
      <c r="I4350" s="13">
        <v>38</v>
      </c>
    </row>
    <row r="4351" spans="6:9">
      <c r="F4351" s="12" t="s">
        <v>4789</v>
      </c>
      <c r="G4351" s="12" t="s">
        <v>159</v>
      </c>
      <c r="H4351" s="15">
        <v>156500</v>
      </c>
      <c r="I4351" s="13">
        <v>38</v>
      </c>
    </row>
    <row r="4352" spans="6:9">
      <c r="F4352" s="12" t="s">
        <v>4790</v>
      </c>
      <c r="G4352" s="12" t="s">
        <v>159</v>
      </c>
      <c r="H4352" s="15">
        <v>230600</v>
      </c>
      <c r="I4352" s="13">
        <v>38</v>
      </c>
    </row>
    <row r="4353" spans="6:9">
      <c r="F4353" s="12" t="s">
        <v>4791</v>
      </c>
      <c r="G4353" s="12" t="s">
        <v>159</v>
      </c>
      <c r="H4353" s="15">
        <v>36500</v>
      </c>
      <c r="I4353" s="13">
        <v>38</v>
      </c>
    </row>
    <row r="4354" spans="6:9">
      <c r="F4354" s="12" t="s">
        <v>4792</v>
      </c>
      <c r="G4354" s="12" t="s">
        <v>159</v>
      </c>
      <c r="H4354" s="15">
        <v>22700</v>
      </c>
      <c r="I4354" s="13">
        <v>38</v>
      </c>
    </row>
    <row r="4355" spans="6:9">
      <c r="F4355" s="12" t="s">
        <v>4793</v>
      </c>
      <c r="G4355" s="12" t="s">
        <v>159</v>
      </c>
      <c r="H4355" s="15">
        <v>36900</v>
      </c>
      <c r="I4355" s="13">
        <v>38</v>
      </c>
    </row>
    <row r="4356" spans="6:9">
      <c r="F4356" s="12" t="s">
        <v>4794</v>
      </c>
      <c r="G4356" s="12" t="s">
        <v>159</v>
      </c>
      <c r="H4356" s="15">
        <v>117900</v>
      </c>
      <c r="I4356" s="13">
        <v>38</v>
      </c>
    </row>
    <row r="4357" spans="6:9">
      <c r="F4357" s="12" t="s">
        <v>4795</v>
      </c>
      <c r="G4357" s="12" t="s">
        <v>159</v>
      </c>
      <c r="H4357" s="15">
        <v>54100</v>
      </c>
      <c r="I4357" s="13">
        <v>38</v>
      </c>
    </row>
    <row r="4358" spans="6:9">
      <c r="F4358" s="12" t="s">
        <v>4796</v>
      </c>
      <c r="G4358" s="12" t="s">
        <v>159</v>
      </c>
      <c r="H4358" s="15">
        <v>214700</v>
      </c>
      <c r="I4358" s="13">
        <v>38</v>
      </c>
    </row>
    <row r="4359" spans="6:9">
      <c r="F4359" s="12" t="s">
        <v>4797</v>
      </c>
      <c r="G4359" s="12" t="s">
        <v>159</v>
      </c>
      <c r="H4359" s="15">
        <v>13700</v>
      </c>
      <c r="I4359" s="13">
        <v>38</v>
      </c>
    </row>
    <row r="4360" spans="6:9">
      <c r="F4360" s="12" t="s">
        <v>4798</v>
      </c>
      <c r="G4360" s="12" t="s">
        <v>159</v>
      </c>
      <c r="H4360" s="15">
        <v>73400</v>
      </c>
      <c r="I4360" s="13">
        <v>38</v>
      </c>
    </row>
    <row r="4361" spans="6:9">
      <c r="F4361" s="12" t="s">
        <v>4799</v>
      </c>
      <c r="G4361" s="12" t="s">
        <v>159</v>
      </c>
      <c r="H4361" s="15">
        <v>234200</v>
      </c>
      <c r="I4361" s="13">
        <v>38</v>
      </c>
    </row>
    <row r="4362" spans="6:9">
      <c r="F4362" s="12" t="s">
        <v>4800</v>
      </c>
      <c r="G4362" s="12" t="s">
        <v>159</v>
      </c>
      <c r="H4362" s="15">
        <v>18500</v>
      </c>
      <c r="I4362" s="13">
        <v>38</v>
      </c>
    </row>
    <row r="4363" spans="6:9">
      <c r="F4363" s="12" t="s">
        <v>2571</v>
      </c>
      <c r="G4363" s="12" t="s">
        <v>157</v>
      </c>
      <c r="H4363" s="15">
        <v>13493</v>
      </c>
      <c r="I4363" s="13">
        <v>38</v>
      </c>
    </row>
    <row r="4364" spans="6:9">
      <c r="F4364" s="12" t="s">
        <v>4801</v>
      </c>
      <c r="G4364" s="12" t="s">
        <v>159</v>
      </c>
      <c r="H4364" s="15">
        <v>15100</v>
      </c>
      <c r="I4364" s="13">
        <v>38</v>
      </c>
    </row>
    <row r="4365" spans="6:9">
      <c r="F4365" s="12" t="s">
        <v>410</v>
      </c>
      <c r="G4365" s="12" t="s">
        <v>157</v>
      </c>
      <c r="H4365" s="15">
        <v>30803</v>
      </c>
      <c r="I4365" s="13">
        <v>38</v>
      </c>
    </row>
    <row r="4366" spans="6:9">
      <c r="F4366" s="12" t="s">
        <v>411</v>
      </c>
      <c r="G4366" s="12" t="s">
        <v>157</v>
      </c>
      <c r="H4366" s="15">
        <v>33218</v>
      </c>
      <c r="I4366" s="13">
        <v>38</v>
      </c>
    </row>
    <row r="4367" spans="6:9">
      <c r="F4367" s="12" t="s">
        <v>4802</v>
      </c>
      <c r="G4367" s="12" t="s">
        <v>159</v>
      </c>
      <c r="H4367" s="15">
        <v>14100</v>
      </c>
      <c r="I4367" s="13">
        <v>38</v>
      </c>
    </row>
    <row r="4368" spans="6:9">
      <c r="F4368" s="12" t="s">
        <v>413</v>
      </c>
      <c r="G4368" s="12" t="s">
        <v>157</v>
      </c>
      <c r="H4368" s="15">
        <v>16714</v>
      </c>
      <c r="I4368" s="13">
        <v>38</v>
      </c>
    </row>
    <row r="4369" spans="6:9">
      <c r="F4369" s="12" t="s">
        <v>4803</v>
      </c>
      <c r="G4369" s="12" t="s">
        <v>159</v>
      </c>
      <c r="H4369" s="15">
        <v>2800000</v>
      </c>
      <c r="I4369" s="13">
        <v>38</v>
      </c>
    </row>
    <row r="4370" spans="6:9">
      <c r="F4370" s="12" t="s">
        <v>1289</v>
      </c>
      <c r="G4370" s="12" t="s">
        <v>157</v>
      </c>
      <c r="H4370" s="15">
        <v>276007</v>
      </c>
      <c r="I4370" s="13">
        <v>38</v>
      </c>
    </row>
    <row r="4371" spans="6:9">
      <c r="F4371" s="12" t="s">
        <v>4804</v>
      </c>
      <c r="G4371" s="12" t="s">
        <v>159</v>
      </c>
      <c r="H4371" s="15">
        <v>64400</v>
      </c>
      <c r="I4371" s="13">
        <v>38</v>
      </c>
    </row>
    <row r="4372" spans="6:9">
      <c r="F4372" s="12" t="s">
        <v>4805</v>
      </c>
      <c r="G4372" s="12" t="s">
        <v>159</v>
      </c>
      <c r="H4372" s="15">
        <v>213100</v>
      </c>
      <c r="I4372" s="13">
        <v>38</v>
      </c>
    </row>
    <row r="4373" spans="6:9">
      <c r="F4373" s="12" t="s">
        <v>4806</v>
      </c>
      <c r="G4373" s="12" t="s">
        <v>159</v>
      </c>
      <c r="H4373" s="15">
        <v>71200</v>
      </c>
      <c r="I4373" s="13">
        <v>38</v>
      </c>
    </row>
    <row r="4374" spans="6:9">
      <c r="F4374" s="12" t="s">
        <v>414</v>
      </c>
      <c r="G4374" s="12" t="s">
        <v>157</v>
      </c>
      <c r="H4374" s="15">
        <v>17130</v>
      </c>
      <c r="I4374" s="13">
        <v>38</v>
      </c>
    </row>
    <row r="4375" spans="6:9">
      <c r="F4375" s="12" t="s">
        <v>4807</v>
      </c>
      <c r="G4375" s="12" t="s">
        <v>159</v>
      </c>
      <c r="H4375" s="15">
        <v>20500</v>
      </c>
      <c r="I4375" s="13">
        <v>38</v>
      </c>
    </row>
    <row r="4376" spans="6:9">
      <c r="F4376" s="12" t="s">
        <v>4808</v>
      </c>
      <c r="G4376" s="12" t="s">
        <v>159</v>
      </c>
      <c r="H4376" s="15">
        <v>57700</v>
      </c>
      <c r="I4376" s="13">
        <v>38</v>
      </c>
    </row>
    <row r="4377" spans="6:9">
      <c r="F4377" s="12" t="s">
        <v>4809</v>
      </c>
      <c r="G4377" s="12" t="s">
        <v>159</v>
      </c>
      <c r="H4377" s="15">
        <v>132500</v>
      </c>
      <c r="I4377" s="13">
        <v>38</v>
      </c>
    </row>
    <row r="4378" spans="6:9">
      <c r="F4378" s="12" t="s">
        <v>415</v>
      </c>
      <c r="G4378" s="12" t="s">
        <v>157</v>
      </c>
      <c r="H4378" s="15">
        <v>21319</v>
      </c>
      <c r="I4378" s="13">
        <v>38</v>
      </c>
    </row>
    <row r="4379" spans="6:9">
      <c r="F4379" s="12" t="s">
        <v>4810</v>
      </c>
      <c r="G4379" s="12" t="s">
        <v>159</v>
      </c>
      <c r="H4379" s="15">
        <v>48400</v>
      </c>
      <c r="I4379" s="13">
        <v>38</v>
      </c>
    </row>
    <row r="4380" spans="6:9">
      <c r="F4380" s="12" t="s">
        <v>4811</v>
      </c>
      <c r="G4380" s="12" t="s">
        <v>159</v>
      </c>
      <c r="H4380" s="15">
        <v>10900</v>
      </c>
      <c r="I4380" s="13">
        <v>38</v>
      </c>
    </row>
    <row r="4381" spans="6:9">
      <c r="F4381" s="12" t="s">
        <v>4812</v>
      </c>
      <c r="G4381" s="12" t="s">
        <v>159</v>
      </c>
      <c r="H4381" s="15">
        <v>3400000</v>
      </c>
      <c r="I4381" s="13">
        <v>38</v>
      </c>
    </row>
    <row r="4382" spans="6:9">
      <c r="F4382" s="12" t="s">
        <v>4813</v>
      </c>
      <c r="G4382" s="12" t="s">
        <v>159</v>
      </c>
      <c r="H4382" s="15">
        <v>197079</v>
      </c>
      <c r="I4382" s="13">
        <v>38</v>
      </c>
    </row>
    <row r="4383" spans="6:9">
      <c r="F4383" s="12" t="s">
        <v>4814</v>
      </c>
      <c r="G4383" s="12" t="s">
        <v>159</v>
      </c>
      <c r="H4383" s="15">
        <v>176000</v>
      </c>
      <c r="I4383" s="13">
        <v>38</v>
      </c>
    </row>
    <row r="4384" spans="6:9">
      <c r="F4384" s="12" t="s">
        <v>4815</v>
      </c>
      <c r="G4384" s="12" t="s">
        <v>159</v>
      </c>
      <c r="H4384" s="15">
        <v>15300</v>
      </c>
      <c r="I4384" s="13">
        <v>38</v>
      </c>
    </row>
    <row r="4385" spans="6:9">
      <c r="F4385" s="12" t="s">
        <v>417</v>
      </c>
      <c r="G4385" s="12" t="s">
        <v>157</v>
      </c>
      <c r="H4385" s="15">
        <v>32093</v>
      </c>
      <c r="I4385" s="13">
        <v>38</v>
      </c>
    </row>
    <row r="4386" spans="6:9">
      <c r="F4386" s="12" t="s">
        <v>4816</v>
      </c>
      <c r="G4386" s="12" t="s">
        <v>159</v>
      </c>
      <c r="H4386" s="15">
        <v>141100</v>
      </c>
      <c r="I4386" s="13">
        <v>38</v>
      </c>
    </row>
    <row r="4387" spans="6:9">
      <c r="F4387" s="12" t="s">
        <v>4817</v>
      </c>
      <c r="G4387" s="12" t="s">
        <v>159</v>
      </c>
      <c r="H4387" s="15">
        <v>72800</v>
      </c>
      <c r="I4387" s="13">
        <v>38</v>
      </c>
    </row>
    <row r="4388" spans="6:9">
      <c r="F4388" s="12" t="s">
        <v>419</v>
      </c>
      <c r="G4388" s="12" t="s">
        <v>157</v>
      </c>
      <c r="H4388" s="15">
        <v>55538</v>
      </c>
      <c r="I4388" s="13">
        <v>38</v>
      </c>
    </row>
    <row r="4389" spans="6:9">
      <c r="F4389" s="12" t="s">
        <v>4818</v>
      </c>
      <c r="G4389" s="12" t="s">
        <v>159</v>
      </c>
      <c r="H4389" s="15">
        <v>174100</v>
      </c>
      <c r="I4389" s="13">
        <v>38</v>
      </c>
    </row>
    <row r="4390" spans="6:9">
      <c r="F4390" s="12" t="s">
        <v>4819</v>
      </c>
      <c r="G4390" s="12" t="s">
        <v>159</v>
      </c>
      <c r="H4390" s="15">
        <v>98800</v>
      </c>
      <c r="I4390" s="13">
        <v>38</v>
      </c>
    </row>
    <row r="4391" spans="6:9">
      <c r="F4391" s="12" t="s">
        <v>4820</v>
      </c>
      <c r="G4391" s="12" t="s">
        <v>159</v>
      </c>
      <c r="H4391" s="15">
        <v>34100</v>
      </c>
      <c r="I4391" s="13">
        <v>38</v>
      </c>
    </row>
    <row r="4392" spans="6:9">
      <c r="F4392" s="12" t="s">
        <v>4821</v>
      </c>
      <c r="G4392" s="12" t="s">
        <v>159</v>
      </c>
      <c r="H4392" s="15">
        <v>27300</v>
      </c>
      <c r="I4392" s="13">
        <v>38</v>
      </c>
    </row>
    <row r="4393" spans="6:9">
      <c r="F4393" s="12" t="s">
        <v>4822</v>
      </c>
      <c r="G4393" s="12" t="s">
        <v>159</v>
      </c>
      <c r="H4393" s="15">
        <v>102500</v>
      </c>
      <c r="I4393" s="13">
        <v>38</v>
      </c>
    </row>
    <row r="4394" spans="6:9">
      <c r="F4394" s="12" t="s">
        <v>4823</v>
      </c>
      <c r="G4394" s="12" t="s">
        <v>159</v>
      </c>
      <c r="H4394" s="15">
        <v>56500</v>
      </c>
      <c r="I4394" s="13">
        <v>38</v>
      </c>
    </row>
    <row r="4395" spans="6:9">
      <c r="F4395" s="12" t="s">
        <v>4824</v>
      </c>
      <c r="G4395" s="12" t="s">
        <v>159</v>
      </c>
      <c r="H4395" s="15">
        <v>57500</v>
      </c>
      <c r="I4395" s="13">
        <v>38</v>
      </c>
    </row>
    <row r="4396" spans="6:9">
      <c r="F4396" s="12" t="s">
        <v>4825</v>
      </c>
      <c r="G4396" s="12" t="s">
        <v>159</v>
      </c>
      <c r="H4396" s="15">
        <v>167800</v>
      </c>
      <c r="I4396" s="13">
        <v>38</v>
      </c>
    </row>
    <row r="4397" spans="6:9">
      <c r="F4397" s="12" t="s">
        <v>4826</v>
      </c>
      <c r="G4397" s="12" t="s">
        <v>159</v>
      </c>
      <c r="H4397" s="15">
        <v>25300</v>
      </c>
      <c r="I4397" s="13">
        <v>38</v>
      </c>
    </row>
    <row r="4398" spans="6:9">
      <c r="F4398" s="12" t="s">
        <v>4827</v>
      </c>
      <c r="G4398" s="12" t="s">
        <v>159</v>
      </c>
      <c r="H4398" s="15">
        <v>126900</v>
      </c>
      <c r="I4398" s="13">
        <v>38</v>
      </c>
    </row>
    <row r="4399" spans="6:9">
      <c r="F4399" s="12" t="s">
        <v>4828</v>
      </c>
      <c r="G4399" s="12" t="s">
        <v>159</v>
      </c>
      <c r="H4399" s="15">
        <v>16900</v>
      </c>
      <c r="I4399" s="13">
        <v>38</v>
      </c>
    </row>
    <row r="4400" spans="6:9">
      <c r="F4400" s="12" t="s">
        <v>4829</v>
      </c>
      <c r="G4400" s="12" t="s">
        <v>159</v>
      </c>
      <c r="H4400" s="15">
        <v>15700</v>
      </c>
      <c r="I4400" s="13">
        <v>38</v>
      </c>
    </row>
    <row r="4401" spans="6:9">
      <c r="F4401" s="12" t="s">
        <v>4830</v>
      </c>
      <c r="G4401" s="12" t="s">
        <v>159</v>
      </c>
      <c r="H4401" s="15">
        <v>683900</v>
      </c>
      <c r="I4401" s="13">
        <v>38</v>
      </c>
    </row>
    <row r="4402" spans="6:9">
      <c r="F4402" s="12" t="s">
        <v>4831</v>
      </c>
      <c r="G4402" s="12" t="s">
        <v>159</v>
      </c>
      <c r="H4402" s="15">
        <v>23200</v>
      </c>
      <c r="I4402" s="13">
        <v>38</v>
      </c>
    </row>
    <row r="4403" spans="6:9">
      <c r="F4403" s="12" t="s">
        <v>4832</v>
      </c>
      <c r="G4403" s="12" t="s">
        <v>159</v>
      </c>
      <c r="H4403" s="15">
        <v>31000</v>
      </c>
      <c r="I4403" s="13">
        <v>38</v>
      </c>
    </row>
    <row r="4404" spans="6:9">
      <c r="F4404" s="12" t="s">
        <v>422</v>
      </c>
      <c r="G4404" s="12" t="s">
        <v>157</v>
      </c>
      <c r="H4404" s="15">
        <v>15586</v>
      </c>
      <c r="I4404" s="13">
        <v>38</v>
      </c>
    </row>
    <row r="4405" spans="6:9">
      <c r="F4405" s="12" t="s">
        <v>2573</v>
      </c>
      <c r="G4405" s="12" t="s">
        <v>157</v>
      </c>
      <c r="H4405" s="15">
        <v>71099</v>
      </c>
      <c r="I4405" s="13">
        <v>38</v>
      </c>
    </row>
    <row r="4406" spans="6:9">
      <c r="F4406" s="12" t="s">
        <v>4833</v>
      </c>
      <c r="G4406" s="12" t="s">
        <v>159</v>
      </c>
      <c r="H4406" s="15">
        <v>103200</v>
      </c>
      <c r="I4406" s="13">
        <v>38</v>
      </c>
    </row>
    <row r="4407" spans="6:9">
      <c r="F4407" s="12" t="s">
        <v>4834</v>
      </c>
      <c r="G4407" s="12" t="s">
        <v>159</v>
      </c>
      <c r="H4407" s="15">
        <v>290000</v>
      </c>
      <c r="I4407" s="13">
        <v>38</v>
      </c>
    </row>
    <row r="4408" spans="6:9">
      <c r="F4408" s="12" t="s">
        <v>4835</v>
      </c>
      <c r="G4408" s="12" t="s">
        <v>159</v>
      </c>
      <c r="H4408" s="15">
        <v>58200</v>
      </c>
      <c r="I4408" s="13">
        <v>38</v>
      </c>
    </row>
    <row r="4409" spans="6:9">
      <c r="F4409" s="12" t="s">
        <v>4836</v>
      </c>
      <c r="G4409" s="12" t="s">
        <v>159</v>
      </c>
      <c r="H4409" s="15">
        <v>654300</v>
      </c>
      <c r="I4409" s="13">
        <v>38</v>
      </c>
    </row>
    <row r="4410" spans="6:9">
      <c r="F4410" s="12" t="s">
        <v>4837</v>
      </c>
      <c r="G4410" s="12" t="s">
        <v>159</v>
      </c>
      <c r="H4410" s="15">
        <v>127800</v>
      </c>
      <c r="I4410" s="13">
        <v>38</v>
      </c>
    </row>
    <row r="4411" spans="6:9">
      <c r="F4411" s="12" t="s">
        <v>425</v>
      </c>
      <c r="G4411" s="12" t="s">
        <v>157</v>
      </c>
      <c r="H4411" s="15">
        <v>17076</v>
      </c>
      <c r="I4411" s="13">
        <v>38</v>
      </c>
    </row>
    <row r="4412" spans="6:9">
      <c r="F4412" s="12" t="s">
        <v>4838</v>
      </c>
      <c r="G4412" s="12" t="s">
        <v>157</v>
      </c>
      <c r="H4412" s="15">
        <v>54451</v>
      </c>
      <c r="I4412" s="13">
        <v>38</v>
      </c>
    </row>
    <row r="4413" spans="6:9">
      <c r="F4413" s="12" t="s">
        <v>427</v>
      </c>
      <c r="G4413" s="12" t="s">
        <v>157</v>
      </c>
      <c r="H4413" s="15">
        <v>20606</v>
      </c>
      <c r="I4413" s="13">
        <v>38</v>
      </c>
    </row>
    <row r="4414" spans="6:9">
      <c r="F4414" s="12" t="s">
        <v>430</v>
      </c>
      <c r="G4414" s="12" t="s">
        <v>157</v>
      </c>
      <c r="H4414" s="15">
        <v>30166</v>
      </c>
      <c r="I4414" s="13">
        <v>38</v>
      </c>
    </row>
    <row r="4415" spans="6:9">
      <c r="F4415" s="12" t="s">
        <v>4839</v>
      </c>
      <c r="G4415" s="12" t="s">
        <v>159</v>
      </c>
      <c r="H4415" s="15">
        <v>25900</v>
      </c>
      <c r="I4415" s="13">
        <v>38</v>
      </c>
    </row>
    <row r="4416" spans="6:9">
      <c r="F4416" s="12" t="s">
        <v>4840</v>
      </c>
      <c r="G4416" s="12" t="s">
        <v>159</v>
      </c>
      <c r="H4416" s="15">
        <v>21300</v>
      </c>
      <c r="I4416" s="13">
        <v>38</v>
      </c>
    </row>
    <row r="4417" spans="6:9">
      <c r="F4417" s="12" t="s">
        <v>4841</v>
      </c>
      <c r="G4417" s="12" t="s">
        <v>159</v>
      </c>
      <c r="H4417" s="15">
        <v>10600</v>
      </c>
      <c r="I4417" s="13">
        <v>38</v>
      </c>
    </row>
    <row r="4418" spans="6:9">
      <c r="F4418" s="12" t="s">
        <v>4842</v>
      </c>
      <c r="G4418" s="12" t="s">
        <v>159</v>
      </c>
      <c r="H4418" s="15">
        <v>33600</v>
      </c>
      <c r="I4418" s="13">
        <v>38</v>
      </c>
    </row>
    <row r="4419" spans="6:9">
      <c r="F4419" s="12" t="s">
        <v>4843</v>
      </c>
      <c r="G4419" s="12" t="s">
        <v>159</v>
      </c>
      <c r="H4419" s="15">
        <v>430800</v>
      </c>
      <c r="I4419" s="13">
        <v>38</v>
      </c>
    </row>
    <row r="4420" spans="6:9">
      <c r="F4420" s="12" t="s">
        <v>4844</v>
      </c>
      <c r="G4420" s="12" t="s">
        <v>159</v>
      </c>
      <c r="H4420" s="15">
        <v>501300</v>
      </c>
      <c r="I4420" s="13">
        <v>38</v>
      </c>
    </row>
    <row r="4421" spans="6:9">
      <c r="F4421" s="12" t="s">
        <v>433</v>
      </c>
      <c r="G4421" s="12" t="s">
        <v>157</v>
      </c>
      <c r="H4421" s="15">
        <v>11955</v>
      </c>
      <c r="I4421" s="13">
        <v>38</v>
      </c>
    </row>
    <row r="4422" spans="6:9">
      <c r="F4422" s="12" t="s">
        <v>4845</v>
      </c>
      <c r="G4422" s="12" t="s">
        <v>159</v>
      </c>
      <c r="H4422" s="15">
        <v>70000</v>
      </c>
      <c r="I4422" s="13">
        <v>38</v>
      </c>
    </row>
    <row r="4423" spans="6:9">
      <c r="F4423" s="12" t="s">
        <v>4846</v>
      </c>
      <c r="G4423" s="12" t="s">
        <v>159</v>
      </c>
      <c r="H4423" s="15">
        <v>137800</v>
      </c>
      <c r="I4423" s="13">
        <v>38</v>
      </c>
    </row>
    <row r="4424" spans="6:9">
      <c r="F4424" s="12" t="s">
        <v>4847</v>
      </c>
      <c r="G4424" s="12" t="s">
        <v>159</v>
      </c>
      <c r="H4424" s="15">
        <v>117400</v>
      </c>
      <c r="I4424" s="13">
        <v>38</v>
      </c>
    </row>
    <row r="4425" spans="6:9">
      <c r="F4425" s="12" t="s">
        <v>4848</v>
      </c>
      <c r="G4425" s="12" t="s">
        <v>159</v>
      </c>
      <c r="H4425" s="15">
        <v>26900</v>
      </c>
      <c r="I4425" s="13">
        <v>38</v>
      </c>
    </row>
    <row r="4426" spans="6:9">
      <c r="F4426" s="12" t="s">
        <v>4849</v>
      </c>
      <c r="G4426" s="12" t="s">
        <v>159</v>
      </c>
      <c r="H4426" s="15">
        <v>50700</v>
      </c>
      <c r="I4426" s="13">
        <v>38</v>
      </c>
    </row>
    <row r="4427" spans="6:9">
      <c r="F4427" s="12" t="s">
        <v>1714</v>
      </c>
      <c r="G4427" s="12" t="s">
        <v>157</v>
      </c>
      <c r="H4427" s="15">
        <v>152840</v>
      </c>
      <c r="I4427" s="13">
        <v>38</v>
      </c>
    </row>
    <row r="4428" spans="6:9">
      <c r="F4428" s="12" t="s">
        <v>4850</v>
      </c>
      <c r="G4428" s="12" t="s">
        <v>159</v>
      </c>
      <c r="H4428" s="15">
        <v>72500</v>
      </c>
      <c r="I4428" s="13">
        <v>38</v>
      </c>
    </row>
    <row r="4429" spans="6:9">
      <c r="F4429" s="12" t="s">
        <v>4851</v>
      </c>
      <c r="G4429" s="12" t="s">
        <v>159</v>
      </c>
      <c r="H4429" s="15">
        <v>142500</v>
      </c>
      <c r="I4429" s="13">
        <v>38</v>
      </c>
    </row>
    <row r="4430" spans="6:9">
      <c r="F4430" s="12" t="s">
        <v>4852</v>
      </c>
      <c r="G4430" s="12" t="s">
        <v>159</v>
      </c>
      <c r="H4430" s="15">
        <v>56900</v>
      </c>
      <c r="I4430" s="13">
        <v>38</v>
      </c>
    </row>
    <row r="4431" spans="6:9">
      <c r="F4431" s="12" t="s">
        <v>4853</v>
      </c>
      <c r="G4431" s="12" t="s">
        <v>159</v>
      </c>
      <c r="H4431" s="15">
        <v>398200</v>
      </c>
      <c r="I4431" s="13">
        <v>38</v>
      </c>
    </row>
    <row r="4432" spans="6:9">
      <c r="F4432" s="12" t="s">
        <v>4854</v>
      </c>
      <c r="G4432" s="12" t="s">
        <v>159</v>
      </c>
      <c r="H4432" s="15">
        <v>76600</v>
      </c>
      <c r="I4432" s="13">
        <v>38</v>
      </c>
    </row>
    <row r="4433" spans="6:9">
      <c r="F4433" s="12" t="s">
        <v>4855</v>
      </c>
      <c r="G4433" s="12" t="s">
        <v>159</v>
      </c>
      <c r="H4433" s="15">
        <v>29500</v>
      </c>
      <c r="I4433" s="13">
        <v>38</v>
      </c>
    </row>
    <row r="4434" spans="6:9">
      <c r="F4434" s="12" t="s">
        <v>4856</v>
      </c>
      <c r="G4434" s="12" t="s">
        <v>159</v>
      </c>
      <c r="H4434" s="15">
        <v>84300</v>
      </c>
      <c r="I4434" s="13">
        <v>38</v>
      </c>
    </row>
    <row r="4435" spans="6:9">
      <c r="F4435" s="12" t="s">
        <v>4857</v>
      </c>
      <c r="G4435" s="12" t="s">
        <v>159</v>
      </c>
      <c r="H4435" s="15">
        <v>544700</v>
      </c>
      <c r="I4435" s="13">
        <v>38</v>
      </c>
    </row>
    <row r="4436" spans="6:9">
      <c r="F4436" s="12" t="s">
        <v>4858</v>
      </c>
      <c r="G4436" s="12" t="s">
        <v>159</v>
      </c>
      <c r="H4436" s="15">
        <v>15600</v>
      </c>
      <c r="I4436" s="13">
        <v>38</v>
      </c>
    </row>
    <row r="4437" spans="6:9">
      <c r="F4437" s="12" t="s">
        <v>4859</v>
      </c>
      <c r="G4437" s="12" t="s">
        <v>159</v>
      </c>
      <c r="H4437" s="15">
        <v>17900</v>
      </c>
      <c r="I4437" s="13">
        <v>38</v>
      </c>
    </row>
    <row r="4438" spans="6:9">
      <c r="F4438" s="12" t="s">
        <v>4860</v>
      </c>
      <c r="G4438" s="12" t="s">
        <v>159</v>
      </c>
      <c r="H4438" s="15">
        <v>105100</v>
      </c>
      <c r="I4438" s="13">
        <v>38</v>
      </c>
    </row>
    <row r="4439" spans="6:9">
      <c r="F4439" s="12" t="s">
        <v>4861</v>
      </c>
      <c r="G4439" s="12" t="s">
        <v>159</v>
      </c>
      <c r="H4439" s="15">
        <v>35100</v>
      </c>
      <c r="I4439" s="13">
        <v>38</v>
      </c>
    </row>
    <row r="4440" spans="6:9">
      <c r="F4440" s="12" t="s">
        <v>4862</v>
      </c>
      <c r="G4440" s="12" t="s">
        <v>159</v>
      </c>
      <c r="H4440" s="15">
        <v>12100</v>
      </c>
      <c r="I4440" s="13">
        <v>38</v>
      </c>
    </row>
    <row r="4441" spans="6:9">
      <c r="F4441" s="12" t="s">
        <v>4863</v>
      </c>
      <c r="G4441" s="12" t="s">
        <v>159</v>
      </c>
      <c r="H4441" s="15">
        <v>16900</v>
      </c>
      <c r="I4441" s="13">
        <v>38</v>
      </c>
    </row>
    <row r="4442" spans="6:9">
      <c r="F4442" s="12" t="s">
        <v>4864</v>
      </c>
      <c r="G4442" s="12" t="s">
        <v>159</v>
      </c>
      <c r="H4442" s="15">
        <v>115700</v>
      </c>
      <c r="I4442" s="13">
        <v>38</v>
      </c>
    </row>
    <row r="4443" spans="6:9">
      <c r="F4443" s="12" t="s">
        <v>4865</v>
      </c>
      <c r="G4443" s="12" t="s">
        <v>159</v>
      </c>
      <c r="H4443" s="15">
        <v>201100</v>
      </c>
      <c r="I4443" s="13">
        <v>38</v>
      </c>
    </row>
    <row r="4444" spans="6:9">
      <c r="F4444" s="12" t="s">
        <v>436</v>
      </c>
      <c r="G4444" s="12" t="s">
        <v>157</v>
      </c>
      <c r="H4444" s="15">
        <v>21589</v>
      </c>
      <c r="I4444" s="13">
        <v>38</v>
      </c>
    </row>
    <row r="4445" spans="6:9">
      <c r="F4445" s="12" t="s">
        <v>4866</v>
      </c>
      <c r="G4445" s="12" t="s">
        <v>159</v>
      </c>
      <c r="H4445" s="15">
        <v>16800</v>
      </c>
      <c r="I4445" s="13">
        <v>38</v>
      </c>
    </row>
    <row r="4446" spans="6:9">
      <c r="F4446" s="12" t="s">
        <v>4867</v>
      </c>
      <c r="G4446" s="12" t="s">
        <v>159</v>
      </c>
      <c r="H4446" s="15">
        <v>118300</v>
      </c>
      <c r="I4446" s="13">
        <v>38</v>
      </c>
    </row>
    <row r="4447" spans="6:9">
      <c r="F4447" s="12" t="s">
        <v>439</v>
      </c>
      <c r="G4447" s="12" t="s">
        <v>157</v>
      </c>
      <c r="H4447" s="15">
        <v>23288</v>
      </c>
      <c r="I4447" s="13">
        <v>38</v>
      </c>
    </row>
    <row r="4448" spans="6:9">
      <c r="F4448" s="12" t="s">
        <v>4868</v>
      </c>
      <c r="G4448" s="12" t="s">
        <v>159</v>
      </c>
      <c r="H4448" s="15">
        <v>56800</v>
      </c>
      <c r="I4448" s="13">
        <v>38</v>
      </c>
    </row>
    <row r="4449" spans="6:9">
      <c r="F4449" s="12" t="s">
        <v>2654</v>
      </c>
      <c r="G4449" s="12" t="s">
        <v>157</v>
      </c>
      <c r="H4449" s="15">
        <v>50437</v>
      </c>
      <c r="I4449" s="13">
        <v>38</v>
      </c>
    </row>
    <row r="4450" spans="6:9">
      <c r="F4450" s="12" t="s">
        <v>4869</v>
      </c>
      <c r="G4450" s="12" t="s">
        <v>159</v>
      </c>
      <c r="H4450" s="15">
        <v>235500</v>
      </c>
      <c r="I4450" s="13">
        <v>38</v>
      </c>
    </row>
    <row r="4451" spans="6:9">
      <c r="F4451" s="12" t="s">
        <v>4870</v>
      </c>
      <c r="G4451" s="12" t="s">
        <v>159</v>
      </c>
      <c r="H4451" s="15">
        <v>150100</v>
      </c>
      <c r="I4451" s="13">
        <v>38</v>
      </c>
    </row>
    <row r="4452" spans="6:9">
      <c r="F4452" s="12" t="s">
        <v>4871</v>
      </c>
      <c r="G4452" s="12" t="s">
        <v>159</v>
      </c>
      <c r="H4452" s="15">
        <v>222100</v>
      </c>
      <c r="I4452" s="13">
        <v>38</v>
      </c>
    </row>
    <row r="4453" spans="6:9">
      <c r="F4453" s="12" t="s">
        <v>4872</v>
      </c>
      <c r="G4453" s="12" t="s">
        <v>159</v>
      </c>
      <c r="H4453" s="15">
        <v>993200</v>
      </c>
      <c r="I4453" s="13">
        <v>38</v>
      </c>
    </row>
    <row r="4454" spans="6:9">
      <c r="F4454" s="12" t="s">
        <v>4873</v>
      </c>
      <c r="G4454" s="12" t="s">
        <v>159</v>
      </c>
      <c r="H4454" s="15">
        <v>108000</v>
      </c>
      <c r="I4454" s="13">
        <v>38</v>
      </c>
    </row>
    <row r="4455" spans="6:9">
      <c r="F4455" s="12" t="s">
        <v>4874</v>
      </c>
      <c r="G4455" s="12" t="s">
        <v>159</v>
      </c>
      <c r="H4455" s="15">
        <v>119700</v>
      </c>
      <c r="I4455" s="13">
        <v>38</v>
      </c>
    </row>
    <row r="4456" spans="6:9">
      <c r="F4456" s="12" t="s">
        <v>4875</v>
      </c>
      <c r="G4456" s="12" t="s">
        <v>159</v>
      </c>
      <c r="H4456" s="15">
        <v>71100</v>
      </c>
      <c r="I4456" s="13">
        <v>38</v>
      </c>
    </row>
    <row r="4457" spans="6:9">
      <c r="F4457" s="12" t="s">
        <v>2699</v>
      </c>
      <c r="G4457" s="12" t="s">
        <v>157</v>
      </c>
      <c r="H4457" s="15">
        <v>46898</v>
      </c>
      <c r="I4457" s="13">
        <v>38</v>
      </c>
    </row>
    <row r="4458" spans="6:9">
      <c r="F4458" s="12" t="s">
        <v>4876</v>
      </c>
      <c r="G4458" s="12" t="s">
        <v>159</v>
      </c>
      <c r="H4458" s="15">
        <v>29400</v>
      </c>
      <c r="I4458" s="13">
        <v>38</v>
      </c>
    </row>
    <row r="4459" spans="6:9">
      <c r="F4459" s="12" t="s">
        <v>442</v>
      </c>
      <c r="G4459" s="12" t="s">
        <v>157</v>
      </c>
      <c r="H4459" s="15">
        <v>22925</v>
      </c>
      <c r="I4459" s="13">
        <v>38</v>
      </c>
    </row>
    <row r="4460" spans="6:9">
      <c r="F4460" s="12" t="s">
        <v>4877</v>
      </c>
      <c r="G4460" s="12" t="s">
        <v>159</v>
      </c>
      <c r="H4460" s="15">
        <v>11200</v>
      </c>
      <c r="I4460" s="13">
        <v>38</v>
      </c>
    </row>
    <row r="4461" spans="6:9">
      <c r="F4461" s="12" t="s">
        <v>4878</v>
      </c>
      <c r="G4461" s="12" t="s">
        <v>159</v>
      </c>
      <c r="H4461" s="15">
        <v>187500</v>
      </c>
      <c r="I4461" s="13">
        <v>38</v>
      </c>
    </row>
    <row r="4462" spans="6:9">
      <c r="F4462" s="12" t="s">
        <v>4879</v>
      </c>
      <c r="G4462" s="12" t="s">
        <v>159</v>
      </c>
      <c r="H4462" s="15">
        <v>30300</v>
      </c>
      <c r="I4462" s="13">
        <v>38</v>
      </c>
    </row>
    <row r="4463" spans="6:9">
      <c r="F4463" s="12" t="s">
        <v>4880</v>
      </c>
      <c r="G4463" s="12" t="s">
        <v>159</v>
      </c>
      <c r="H4463" s="15">
        <v>16800</v>
      </c>
      <c r="I4463" s="13">
        <v>38</v>
      </c>
    </row>
    <row r="4464" spans="6:9">
      <c r="F4464" s="12" t="s">
        <v>4881</v>
      </c>
      <c r="G4464" s="12" t="s">
        <v>159</v>
      </c>
      <c r="H4464" s="15">
        <v>14100</v>
      </c>
      <c r="I4464" s="13">
        <v>38</v>
      </c>
    </row>
    <row r="4465" spans="6:9">
      <c r="F4465" s="12" t="s">
        <v>4882</v>
      </c>
      <c r="G4465" s="12" t="s">
        <v>159</v>
      </c>
      <c r="H4465" s="15">
        <v>26900</v>
      </c>
      <c r="I4465" s="13">
        <v>38</v>
      </c>
    </row>
    <row r="4466" spans="6:9">
      <c r="F4466" s="12" t="s">
        <v>4883</v>
      </c>
      <c r="G4466" s="12" t="s">
        <v>159</v>
      </c>
      <c r="H4466" s="15">
        <v>64400</v>
      </c>
      <c r="I4466" s="13">
        <v>38</v>
      </c>
    </row>
    <row r="4467" spans="6:9">
      <c r="F4467" s="12" t="s">
        <v>2576</v>
      </c>
      <c r="G4467" s="12" t="s">
        <v>157</v>
      </c>
      <c r="H4467" s="15">
        <v>47652</v>
      </c>
      <c r="I4467" s="13">
        <v>38</v>
      </c>
    </row>
    <row r="4468" spans="6:9">
      <c r="F4468" s="12" t="s">
        <v>4884</v>
      </c>
      <c r="G4468" s="12" t="s">
        <v>159</v>
      </c>
      <c r="H4468" s="15">
        <v>59300</v>
      </c>
      <c r="I4468" s="13">
        <v>38</v>
      </c>
    </row>
    <row r="4469" spans="6:9">
      <c r="F4469" s="12" t="s">
        <v>4885</v>
      </c>
      <c r="G4469" s="12" t="s">
        <v>159</v>
      </c>
      <c r="H4469" s="15">
        <v>44300</v>
      </c>
      <c r="I4469" s="13">
        <v>38</v>
      </c>
    </row>
    <row r="4470" spans="6:9">
      <c r="F4470" s="12" t="s">
        <v>4886</v>
      </c>
      <c r="G4470" s="12" t="s">
        <v>159</v>
      </c>
      <c r="H4470" s="15">
        <v>1600000</v>
      </c>
      <c r="I4470" s="13">
        <v>38</v>
      </c>
    </row>
    <row r="4471" spans="6:9">
      <c r="F4471" s="12" t="s">
        <v>4887</v>
      </c>
      <c r="G4471" s="12" t="s">
        <v>159</v>
      </c>
      <c r="H4471" s="15">
        <v>41800</v>
      </c>
      <c r="I4471" s="13">
        <v>38</v>
      </c>
    </row>
    <row r="4472" spans="6:9">
      <c r="F4472" s="12" t="s">
        <v>4888</v>
      </c>
      <c r="G4472" s="12" t="s">
        <v>159</v>
      </c>
      <c r="H4472" s="15">
        <v>59500</v>
      </c>
      <c r="I4472" s="13">
        <v>38</v>
      </c>
    </row>
    <row r="4473" spans="6:9">
      <c r="F4473" s="12" t="s">
        <v>4889</v>
      </c>
      <c r="G4473" s="12" t="s">
        <v>159</v>
      </c>
      <c r="H4473" s="15">
        <v>79800</v>
      </c>
      <c r="I4473" s="13">
        <v>38</v>
      </c>
    </row>
    <row r="4474" spans="6:9">
      <c r="F4474" s="12" t="s">
        <v>4890</v>
      </c>
      <c r="G4474" s="12" t="s">
        <v>159</v>
      </c>
      <c r="H4474" s="15">
        <v>102000</v>
      </c>
      <c r="I4474" s="13">
        <v>38</v>
      </c>
    </row>
    <row r="4475" spans="6:9">
      <c r="F4475" s="12" t="s">
        <v>4891</v>
      </c>
      <c r="G4475" s="12" t="s">
        <v>159</v>
      </c>
      <c r="H4475" s="15">
        <v>25000</v>
      </c>
      <c r="I4475" s="13">
        <v>38</v>
      </c>
    </row>
    <row r="4476" spans="6:9">
      <c r="F4476" s="12" t="s">
        <v>4892</v>
      </c>
      <c r="G4476" s="12" t="s">
        <v>159</v>
      </c>
      <c r="H4476" s="15">
        <v>132700</v>
      </c>
      <c r="I4476" s="13">
        <v>38</v>
      </c>
    </row>
    <row r="4477" spans="6:9">
      <c r="F4477" s="12" t="s">
        <v>4893</v>
      </c>
      <c r="G4477" s="12" t="s">
        <v>159</v>
      </c>
      <c r="H4477" s="15">
        <v>77600</v>
      </c>
      <c r="I4477" s="13">
        <v>38</v>
      </c>
    </row>
    <row r="4478" spans="6:9">
      <c r="F4478" s="12" t="s">
        <v>4894</v>
      </c>
      <c r="G4478" s="12" t="s">
        <v>159</v>
      </c>
      <c r="H4478" s="15">
        <v>21700</v>
      </c>
      <c r="I4478" s="13">
        <v>38</v>
      </c>
    </row>
    <row r="4479" spans="6:9">
      <c r="F4479" s="12" t="s">
        <v>4895</v>
      </c>
      <c r="G4479" s="12" t="s">
        <v>159</v>
      </c>
      <c r="H4479" s="15">
        <v>332900</v>
      </c>
      <c r="I4479" s="13">
        <v>38</v>
      </c>
    </row>
    <row r="4480" spans="6:9">
      <c r="F4480" s="12" t="s">
        <v>4896</v>
      </c>
      <c r="G4480" s="12" t="s">
        <v>159</v>
      </c>
      <c r="H4480" s="15">
        <v>84300</v>
      </c>
      <c r="I4480" s="13">
        <v>38</v>
      </c>
    </row>
    <row r="4481" spans="6:9">
      <c r="F4481" s="12" t="s">
        <v>4897</v>
      </c>
      <c r="G4481" s="12" t="s">
        <v>159</v>
      </c>
      <c r="H4481" s="15">
        <v>44000</v>
      </c>
      <c r="I4481" s="13">
        <v>38</v>
      </c>
    </row>
    <row r="4482" spans="6:9">
      <c r="F4482" s="12" t="s">
        <v>4898</v>
      </c>
      <c r="G4482" s="12" t="s">
        <v>159</v>
      </c>
      <c r="H4482" s="15">
        <v>11500</v>
      </c>
      <c r="I4482" s="13">
        <v>38</v>
      </c>
    </row>
    <row r="4483" spans="6:9">
      <c r="F4483" s="12" t="s">
        <v>4899</v>
      </c>
      <c r="G4483" s="12" t="s">
        <v>159</v>
      </c>
      <c r="H4483" s="15">
        <v>20500</v>
      </c>
      <c r="I4483" s="13">
        <v>38</v>
      </c>
    </row>
    <row r="4484" spans="6:9">
      <c r="F4484" s="12" t="s">
        <v>4900</v>
      </c>
      <c r="G4484" s="12" t="s">
        <v>159</v>
      </c>
      <c r="H4484" s="15">
        <v>11200</v>
      </c>
      <c r="I4484" s="13">
        <v>38</v>
      </c>
    </row>
    <row r="4485" spans="6:9">
      <c r="F4485" s="12" t="s">
        <v>4901</v>
      </c>
      <c r="G4485" s="12" t="s">
        <v>159</v>
      </c>
      <c r="H4485" s="15">
        <v>10300</v>
      </c>
      <c r="I4485" s="13">
        <v>38</v>
      </c>
    </row>
    <row r="4486" spans="6:9">
      <c r="F4486" s="12" t="s">
        <v>4902</v>
      </c>
      <c r="G4486" s="12" t="s">
        <v>159</v>
      </c>
      <c r="H4486" s="15">
        <v>22300</v>
      </c>
      <c r="I4486" s="13">
        <v>38</v>
      </c>
    </row>
    <row r="4487" spans="6:9">
      <c r="F4487" s="12" t="s">
        <v>1295</v>
      </c>
      <c r="G4487" s="12" t="s">
        <v>157</v>
      </c>
      <c r="H4487" s="15">
        <v>208046</v>
      </c>
      <c r="I4487" s="13">
        <v>38</v>
      </c>
    </row>
    <row r="4488" spans="6:9">
      <c r="F4488" s="12" t="s">
        <v>444</v>
      </c>
      <c r="G4488" s="12" t="s">
        <v>157</v>
      </c>
      <c r="H4488" s="15">
        <v>27496</v>
      </c>
      <c r="I4488" s="13">
        <v>38</v>
      </c>
    </row>
    <row r="4489" spans="6:9">
      <c r="F4489" s="12" t="s">
        <v>4903</v>
      </c>
      <c r="G4489" s="12" t="s">
        <v>159</v>
      </c>
      <c r="H4489" s="15">
        <v>61300</v>
      </c>
      <c r="I4489" s="13">
        <v>38</v>
      </c>
    </row>
    <row r="4490" spans="6:9">
      <c r="F4490" s="12" t="s">
        <v>447</v>
      </c>
      <c r="G4490" s="12" t="s">
        <v>157</v>
      </c>
      <c r="H4490" s="15">
        <v>42590</v>
      </c>
      <c r="I4490" s="13">
        <v>38</v>
      </c>
    </row>
    <row r="4491" spans="6:9">
      <c r="F4491" s="12" t="s">
        <v>4904</v>
      </c>
      <c r="G4491" s="12" t="s">
        <v>159</v>
      </c>
      <c r="H4491" s="15">
        <v>80600</v>
      </c>
      <c r="I4491" s="13">
        <v>38</v>
      </c>
    </row>
    <row r="4492" spans="6:9">
      <c r="F4492" s="12" t="s">
        <v>4905</v>
      </c>
      <c r="G4492" s="12" t="s">
        <v>159</v>
      </c>
      <c r="H4492" s="15">
        <v>10500</v>
      </c>
      <c r="I4492" s="13">
        <v>38</v>
      </c>
    </row>
    <row r="4493" spans="6:9">
      <c r="F4493" s="12" t="s">
        <v>4906</v>
      </c>
      <c r="G4493" s="12" t="s">
        <v>159</v>
      </c>
      <c r="H4493" s="15">
        <v>316800</v>
      </c>
      <c r="I4493" s="13">
        <v>38</v>
      </c>
    </row>
    <row r="4494" spans="6:9">
      <c r="F4494" s="12" t="s">
        <v>4907</v>
      </c>
      <c r="G4494" s="12" t="s">
        <v>159</v>
      </c>
      <c r="H4494" s="15">
        <v>35300</v>
      </c>
      <c r="I4494" s="13">
        <v>38</v>
      </c>
    </row>
    <row r="4495" spans="6:9">
      <c r="F4495" s="12" t="s">
        <v>450</v>
      </c>
      <c r="G4495" s="12" t="s">
        <v>157</v>
      </c>
      <c r="H4495" s="15">
        <v>11028</v>
      </c>
      <c r="I4495" s="13">
        <v>38</v>
      </c>
    </row>
    <row r="4496" spans="6:9">
      <c r="F4496" s="12" t="s">
        <v>4908</v>
      </c>
      <c r="G4496" s="12" t="s">
        <v>159</v>
      </c>
      <c r="H4496" s="15">
        <v>56800</v>
      </c>
      <c r="I4496" s="13">
        <v>38</v>
      </c>
    </row>
    <row r="4497" spans="6:9">
      <c r="F4497" s="12" t="s">
        <v>4909</v>
      </c>
      <c r="G4497" s="12" t="s">
        <v>159</v>
      </c>
      <c r="H4497" s="15">
        <v>26700</v>
      </c>
      <c r="I4497" s="13">
        <v>38</v>
      </c>
    </row>
    <row r="4498" spans="6:9">
      <c r="F4498" s="12" t="s">
        <v>4910</v>
      </c>
      <c r="G4498" s="12" t="s">
        <v>159</v>
      </c>
      <c r="H4498" s="15">
        <v>76400</v>
      </c>
      <c r="I4498" s="13">
        <v>38</v>
      </c>
    </row>
    <row r="4499" spans="6:9">
      <c r="F4499" s="12" t="s">
        <v>4911</v>
      </c>
      <c r="G4499" s="12" t="s">
        <v>159</v>
      </c>
      <c r="H4499" s="15">
        <v>148000</v>
      </c>
      <c r="I4499" s="13">
        <v>38</v>
      </c>
    </row>
    <row r="4500" spans="6:9">
      <c r="F4500" s="12" t="s">
        <v>4912</v>
      </c>
      <c r="G4500" s="12" t="s">
        <v>159</v>
      </c>
      <c r="H4500" s="15">
        <v>21800</v>
      </c>
      <c r="I4500" s="13">
        <v>38</v>
      </c>
    </row>
    <row r="4501" spans="6:9">
      <c r="F4501" s="12" t="s">
        <v>453</v>
      </c>
      <c r="G4501" s="12" t="s">
        <v>157</v>
      </c>
      <c r="H4501" s="15">
        <v>11247</v>
      </c>
      <c r="I4501" s="13">
        <v>38</v>
      </c>
    </row>
    <row r="4502" spans="6:9">
      <c r="F4502" s="12" t="s">
        <v>4913</v>
      </c>
      <c r="G4502" s="12" t="s">
        <v>159</v>
      </c>
      <c r="H4502" s="15">
        <v>334200</v>
      </c>
      <c r="I4502" s="13">
        <v>38</v>
      </c>
    </row>
    <row r="4503" spans="6:9">
      <c r="F4503" s="12" t="s">
        <v>4914</v>
      </c>
      <c r="G4503" s="12" t="s">
        <v>159</v>
      </c>
      <c r="H4503" s="15">
        <v>34200</v>
      </c>
      <c r="I4503" s="13">
        <v>38</v>
      </c>
    </row>
    <row r="4504" spans="6:9">
      <c r="F4504" s="12" t="s">
        <v>4915</v>
      </c>
      <c r="G4504" s="12" t="s">
        <v>159</v>
      </c>
      <c r="H4504" s="15">
        <v>39500</v>
      </c>
      <c r="I4504" s="13">
        <v>38</v>
      </c>
    </row>
    <row r="4505" spans="6:9">
      <c r="F4505" s="12" t="s">
        <v>4916</v>
      </c>
      <c r="G4505" s="12" t="s">
        <v>159</v>
      </c>
      <c r="H4505" s="15">
        <v>215300</v>
      </c>
      <c r="I4505" s="13">
        <v>38</v>
      </c>
    </row>
    <row r="4506" spans="6:9">
      <c r="F4506" s="12" t="s">
        <v>4917</v>
      </c>
      <c r="G4506" s="12" t="s">
        <v>159</v>
      </c>
      <c r="H4506" s="15">
        <v>244200</v>
      </c>
      <c r="I4506" s="13">
        <v>38</v>
      </c>
    </row>
    <row r="4507" spans="6:9">
      <c r="F4507" s="12" t="s">
        <v>456</v>
      </c>
      <c r="G4507" s="12" t="s">
        <v>157</v>
      </c>
      <c r="H4507" s="15">
        <v>21368</v>
      </c>
      <c r="I4507" s="13">
        <v>38</v>
      </c>
    </row>
    <row r="4508" spans="6:9">
      <c r="F4508" s="12" t="s">
        <v>4918</v>
      </c>
      <c r="G4508" s="12" t="s">
        <v>159</v>
      </c>
      <c r="H4508" s="15">
        <v>54400</v>
      </c>
      <c r="I4508" s="13">
        <v>38</v>
      </c>
    </row>
    <row r="4509" spans="6:9">
      <c r="F4509" s="12" t="s">
        <v>458</v>
      </c>
      <c r="G4509" s="12" t="s">
        <v>157</v>
      </c>
      <c r="H4509" s="15">
        <v>14513</v>
      </c>
      <c r="I4509" s="13">
        <v>38</v>
      </c>
    </row>
    <row r="4510" spans="6:9">
      <c r="F4510" s="12" t="s">
        <v>4919</v>
      </c>
      <c r="G4510" s="12" t="s">
        <v>159</v>
      </c>
      <c r="H4510" s="15">
        <v>97600</v>
      </c>
      <c r="I4510" s="13">
        <v>38</v>
      </c>
    </row>
    <row r="4511" spans="6:9">
      <c r="F4511" s="12" t="s">
        <v>4920</v>
      </c>
      <c r="G4511" s="12" t="s">
        <v>159</v>
      </c>
      <c r="H4511" s="15">
        <v>12800</v>
      </c>
      <c r="I4511" s="13">
        <v>38</v>
      </c>
    </row>
    <row r="4512" spans="6:9">
      <c r="F4512" s="12" t="s">
        <v>4921</v>
      </c>
      <c r="G4512" s="12" t="s">
        <v>159</v>
      </c>
      <c r="H4512" s="15">
        <v>39600</v>
      </c>
      <c r="I4512" s="13">
        <v>38</v>
      </c>
    </row>
    <row r="4513" spans="6:9">
      <c r="F4513" s="12" t="s">
        <v>461</v>
      </c>
      <c r="G4513" s="12" t="s">
        <v>157</v>
      </c>
      <c r="H4513" s="15">
        <v>10936</v>
      </c>
      <c r="I4513" s="13">
        <v>38</v>
      </c>
    </row>
    <row r="4514" spans="6:9">
      <c r="F4514" s="12" t="s">
        <v>4922</v>
      </c>
      <c r="G4514" s="12" t="s">
        <v>159</v>
      </c>
      <c r="H4514" s="15">
        <v>377200</v>
      </c>
      <c r="I4514" s="13">
        <v>38</v>
      </c>
    </row>
    <row r="4515" spans="6:9">
      <c r="F4515" s="12" t="s">
        <v>4923</v>
      </c>
      <c r="G4515" s="12" t="s">
        <v>159</v>
      </c>
      <c r="H4515" s="15">
        <v>689300</v>
      </c>
      <c r="I4515" s="13">
        <v>38</v>
      </c>
    </row>
    <row r="4516" spans="6:9">
      <c r="F4516" s="12" t="s">
        <v>4924</v>
      </c>
      <c r="G4516" s="12" t="s">
        <v>159</v>
      </c>
      <c r="H4516" s="15">
        <v>25100</v>
      </c>
      <c r="I4516" s="13">
        <v>38</v>
      </c>
    </row>
    <row r="4517" spans="6:9">
      <c r="F4517" s="12" t="s">
        <v>4925</v>
      </c>
      <c r="G4517" s="12" t="s">
        <v>159</v>
      </c>
      <c r="H4517" s="15">
        <v>23100</v>
      </c>
      <c r="I4517" s="13">
        <v>38</v>
      </c>
    </row>
    <row r="4518" spans="6:9">
      <c r="F4518" s="12" t="s">
        <v>4926</v>
      </c>
      <c r="G4518" s="12" t="s">
        <v>159</v>
      </c>
      <c r="H4518" s="15">
        <v>76200</v>
      </c>
      <c r="I4518" s="13">
        <v>38</v>
      </c>
    </row>
    <row r="4519" spans="6:9">
      <c r="F4519" s="12" t="s">
        <v>4927</v>
      </c>
      <c r="G4519" s="12" t="s">
        <v>159</v>
      </c>
      <c r="H4519" s="15">
        <v>440000</v>
      </c>
      <c r="I4519" s="13">
        <v>38</v>
      </c>
    </row>
    <row r="4520" spans="6:9">
      <c r="F4520" s="12" t="s">
        <v>4928</v>
      </c>
      <c r="G4520" s="12" t="s">
        <v>159</v>
      </c>
      <c r="H4520" s="15">
        <v>22700</v>
      </c>
      <c r="I4520" s="13">
        <v>38</v>
      </c>
    </row>
    <row r="4521" spans="6:9">
      <c r="F4521" s="12" t="s">
        <v>4929</v>
      </c>
      <c r="G4521" s="12" t="s">
        <v>159</v>
      </c>
      <c r="H4521" s="15">
        <v>21300</v>
      </c>
      <c r="I4521" s="13">
        <v>38</v>
      </c>
    </row>
    <row r="4522" spans="6:9">
      <c r="F4522" s="12" t="s">
        <v>4930</v>
      </c>
      <c r="G4522" s="12" t="s">
        <v>159</v>
      </c>
      <c r="H4522" s="15">
        <v>62400</v>
      </c>
      <c r="I4522" s="13">
        <v>38</v>
      </c>
    </row>
    <row r="4523" spans="6:9">
      <c r="F4523" s="12" t="s">
        <v>4931</v>
      </c>
      <c r="G4523" s="12" t="s">
        <v>159</v>
      </c>
      <c r="H4523" s="15">
        <v>95600</v>
      </c>
      <c r="I4523" s="13">
        <v>38</v>
      </c>
    </row>
    <row r="4524" spans="6:9">
      <c r="F4524" s="12" t="s">
        <v>4932</v>
      </c>
      <c r="G4524" s="12" t="s">
        <v>159</v>
      </c>
      <c r="H4524" s="15">
        <v>55200</v>
      </c>
      <c r="I4524" s="13">
        <v>38</v>
      </c>
    </row>
    <row r="4525" spans="6:9">
      <c r="F4525" s="12" t="s">
        <v>4933</v>
      </c>
      <c r="G4525" s="12" t="s">
        <v>159</v>
      </c>
      <c r="H4525" s="15">
        <v>4600000</v>
      </c>
      <c r="I4525" s="13">
        <v>38</v>
      </c>
    </row>
    <row r="4526" spans="6:9">
      <c r="F4526" s="12" t="s">
        <v>4934</v>
      </c>
      <c r="G4526" s="12" t="s">
        <v>159</v>
      </c>
      <c r="H4526" s="15">
        <v>1200000</v>
      </c>
      <c r="I4526" s="13">
        <v>38</v>
      </c>
    </row>
    <row r="4527" spans="6:9">
      <c r="F4527" s="12" t="s">
        <v>4935</v>
      </c>
      <c r="G4527" s="12" t="s">
        <v>159</v>
      </c>
      <c r="H4527" s="15">
        <v>64700</v>
      </c>
      <c r="I4527" s="13">
        <v>38</v>
      </c>
    </row>
    <row r="4528" spans="6:9">
      <c r="F4528" s="12" t="s">
        <v>4936</v>
      </c>
      <c r="G4528" s="12" t="s">
        <v>159</v>
      </c>
      <c r="H4528" s="15">
        <v>89500</v>
      </c>
      <c r="I4528" s="13">
        <v>38</v>
      </c>
    </row>
    <row r="4529" spans="6:9">
      <c r="F4529" s="12" t="s">
        <v>4937</v>
      </c>
      <c r="G4529" s="12" t="s">
        <v>159</v>
      </c>
      <c r="H4529" s="15">
        <v>181600</v>
      </c>
      <c r="I4529" s="13">
        <v>38</v>
      </c>
    </row>
    <row r="4530" spans="6:9">
      <c r="F4530" s="12" t="s">
        <v>4938</v>
      </c>
      <c r="G4530" s="12" t="s">
        <v>159</v>
      </c>
      <c r="H4530" s="15">
        <v>30700</v>
      </c>
      <c r="I4530" s="13">
        <v>38</v>
      </c>
    </row>
    <row r="4531" spans="6:9">
      <c r="F4531" s="12" t="s">
        <v>4939</v>
      </c>
      <c r="G4531" s="12" t="s">
        <v>159</v>
      </c>
      <c r="H4531" s="15">
        <v>725300</v>
      </c>
      <c r="I4531" s="13">
        <v>38</v>
      </c>
    </row>
    <row r="4532" spans="6:9">
      <c r="F4532" s="12" t="s">
        <v>2580</v>
      </c>
      <c r="G4532" s="12" t="s">
        <v>157</v>
      </c>
      <c r="H4532" s="15">
        <v>57260</v>
      </c>
      <c r="I4532" s="13">
        <v>38</v>
      </c>
    </row>
    <row r="4533" spans="6:9">
      <c r="F4533" s="12" t="s">
        <v>4940</v>
      </c>
      <c r="G4533" s="12" t="s">
        <v>159</v>
      </c>
      <c r="H4533" s="15">
        <v>57100</v>
      </c>
      <c r="I4533" s="13">
        <v>38</v>
      </c>
    </row>
    <row r="4534" spans="6:9">
      <c r="F4534" s="12" t="s">
        <v>4941</v>
      </c>
      <c r="G4534" s="12" t="s">
        <v>159</v>
      </c>
      <c r="H4534" s="15">
        <v>61600</v>
      </c>
      <c r="I4534" s="13">
        <v>38</v>
      </c>
    </row>
    <row r="4535" spans="6:9">
      <c r="F4535" s="12" t="s">
        <v>4942</v>
      </c>
      <c r="G4535" s="12" t="s">
        <v>157</v>
      </c>
      <c r="H4535" s="15">
        <v>87058</v>
      </c>
      <c r="I4535" s="13">
        <v>38</v>
      </c>
    </row>
    <row r="4536" spans="6:9">
      <c r="F4536" s="12" t="s">
        <v>4943</v>
      </c>
      <c r="G4536" s="12" t="s">
        <v>159</v>
      </c>
      <c r="H4536" s="15">
        <v>1900000</v>
      </c>
      <c r="I4536" s="13">
        <v>38</v>
      </c>
    </row>
    <row r="4537" spans="6:9">
      <c r="F4537" s="12" t="s">
        <v>4944</v>
      </c>
      <c r="G4537" s="12" t="s">
        <v>159</v>
      </c>
      <c r="H4537" s="15">
        <v>210200</v>
      </c>
      <c r="I4537" s="13">
        <v>38</v>
      </c>
    </row>
    <row r="4538" spans="6:9">
      <c r="F4538" s="12" t="s">
        <v>4945</v>
      </c>
      <c r="G4538" s="12" t="s">
        <v>159</v>
      </c>
      <c r="H4538" s="15">
        <v>93200</v>
      </c>
      <c r="I4538" s="13">
        <v>38</v>
      </c>
    </row>
    <row r="4539" spans="6:9">
      <c r="F4539" s="12" t="s">
        <v>4946</v>
      </c>
      <c r="G4539" s="12" t="s">
        <v>159</v>
      </c>
      <c r="H4539" s="15">
        <v>44500</v>
      </c>
      <c r="I4539" s="13">
        <v>38</v>
      </c>
    </row>
    <row r="4540" spans="6:9">
      <c r="F4540" s="12" t="s">
        <v>463</v>
      </c>
      <c r="G4540" s="12" t="s">
        <v>157</v>
      </c>
      <c r="H4540" s="15">
        <v>12704</v>
      </c>
      <c r="I4540" s="13">
        <v>38</v>
      </c>
    </row>
    <row r="4541" spans="6:9">
      <c r="F4541" s="12" t="s">
        <v>4947</v>
      </c>
      <c r="G4541" s="12" t="s">
        <v>159</v>
      </c>
      <c r="H4541" s="15">
        <v>57400</v>
      </c>
      <c r="I4541" s="13">
        <v>38</v>
      </c>
    </row>
    <row r="4542" spans="6:9">
      <c r="F4542" s="12" t="s">
        <v>4948</v>
      </c>
      <c r="G4542" s="12" t="s">
        <v>159</v>
      </c>
      <c r="H4542" s="15">
        <v>37400</v>
      </c>
      <c r="I4542" s="13">
        <v>38</v>
      </c>
    </row>
    <row r="4543" spans="6:9">
      <c r="F4543" s="12" t="s">
        <v>4949</v>
      </c>
      <c r="G4543" s="12" t="s">
        <v>159</v>
      </c>
      <c r="H4543" s="15">
        <v>12100</v>
      </c>
      <c r="I4543" s="13">
        <v>38</v>
      </c>
    </row>
    <row r="4544" spans="6:9">
      <c r="F4544" s="12" t="s">
        <v>4950</v>
      </c>
      <c r="G4544" s="12" t="s">
        <v>159</v>
      </c>
      <c r="H4544" s="15">
        <v>2500000</v>
      </c>
      <c r="I4544" s="13">
        <v>38</v>
      </c>
    </row>
    <row r="4545" spans="6:9">
      <c r="F4545" s="12" t="s">
        <v>1303</v>
      </c>
      <c r="G4545" s="12" t="s">
        <v>157</v>
      </c>
      <c r="H4545" s="15">
        <v>122155</v>
      </c>
      <c r="I4545" s="13">
        <v>38</v>
      </c>
    </row>
    <row r="4546" spans="6:9">
      <c r="F4546" s="12" t="s">
        <v>4951</v>
      </c>
      <c r="G4546" s="12" t="s">
        <v>159</v>
      </c>
      <c r="H4546" s="15">
        <v>77400</v>
      </c>
      <c r="I4546" s="13">
        <v>38</v>
      </c>
    </row>
    <row r="4547" spans="6:9">
      <c r="F4547" s="12" t="s">
        <v>1723</v>
      </c>
      <c r="G4547" s="12" t="s">
        <v>157</v>
      </c>
      <c r="H4547" s="15">
        <v>184974</v>
      </c>
      <c r="I4547" s="13">
        <v>38</v>
      </c>
    </row>
    <row r="4548" spans="6:9">
      <c r="F4548" s="12" t="s">
        <v>4952</v>
      </c>
      <c r="G4548" s="12" t="s">
        <v>159</v>
      </c>
      <c r="H4548" s="15">
        <v>103200</v>
      </c>
      <c r="I4548" s="13">
        <v>38</v>
      </c>
    </row>
    <row r="4549" spans="6:9">
      <c r="F4549" s="12" t="s">
        <v>4953</v>
      </c>
      <c r="G4549" s="12" t="s">
        <v>159</v>
      </c>
      <c r="H4549" s="15">
        <v>230200</v>
      </c>
      <c r="I4549" s="13">
        <v>38</v>
      </c>
    </row>
    <row r="4550" spans="6:9">
      <c r="F4550" s="12" t="s">
        <v>2583</v>
      </c>
      <c r="G4550" s="12" t="s">
        <v>157</v>
      </c>
      <c r="H4550" s="15">
        <v>10294</v>
      </c>
      <c r="I4550" s="13">
        <v>38</v>
      </c>
    </row>
    <row r="4551" spans="6:9">
      <c r="F4551" s="12" t="s">
        <v>4954</v>
      </c>
      <c r="G4551" s="12" t="s">
        <v>159</v>
      </c>
      <c r="H4551" s="15">
        <v>14500</v>
      </c>
      <c r="I4551" s="13">
        <v>38</v>
      </c>
    </row>
    <row r="4552" spans="6:9">
      <c r="F4552" s="12" t="s">
        <v>4955</v>
      </c>
      <c r="G4552" s="12" t="s">
        <v>159</v>
      </c>
      <c r="H4552" s="15">
        <v>277600</v>
      </c>
      <c r="I4552" s="13">
        <v>38</v>
      </c>
    </row>
    <row r="4553" spans="6:9">
      <c r="F4553" s="12" t="s">
        <v>4956</v>
      </c>
      <c r="G4553" s="12" t="s">
        <v>159</v>
      </c>
      <c r="H4553" s="15">
        <v>168000</v>
      </c>
      <c r="I4553" s="13">
        <v>38</v>
      </c>
    </row>
    <row r="4554" spans="6:9">
      <c r="F4554" s="12" t="s">
        <v>4957</v>
      </c>
      <c r="G4554" s="12" t="s">
        <v>159</v>
      </c>
      <c r="H4554" s="15">
        <v>181500</v>
      </c>
      <c r="I4554" s="13">
        <v>38</v>
      </c>
    </row>
    <row r="4555" spans="6:9">
      <c r="F4555" s="12" t="s">
        <v>4958</v>
      </c>
      <c r="G4555" s="12" t="s">
        <v>159</v>
      </c>
      <c r="H4555" s="15">
        <v>27800</v>
      </c>
      <c r="I4555" s="13">
        <v>38</v>
      </c>
    </row>
    <row r="4556" spans="6:9">
      <c r="F4556" s="12" t="s">
        <v>4959</v>
      </c>
      <c r="G4556" s="12" t="s">
        <v>159</v>
      </c>
      <c r="H4556" s="15">
        <v>23400</v>
      </c>
      <c r="I4556" s="13">
        <v>38</v>
      </c>
    </row>
    <row r="4557" spans="6:9">
      <c r="F4557" s="12" t="s">
        <v>4960</v>
      </c>
      <c r="G4557" s="12" t="s">
        <v>159</v>
      </c>
      <c r="H4557" s="15">
        <v>14500</v>
      </c>
      <c r="I4557" s="13">
        <v>38</v>
      </c>
    </row>
    <row r="4558" spans="6:9">
      <c r="F4558" s="12" t="s">
        <v>4961</v>
      </c>
      <c r="G4558" s="12" t="s">
        <v>159</v>
      </c>
      <c r="H4558" s="15">
        <v>47600</v>
      </c>
      <c r="I4558" s="13">
        <v>38</v>
      </c>
    </row>
    <row r="4559" spans="6:9">
      <c r="F4559" s="12" t="s">
        <v>465</v>
      </c>
      <c r="G4559" s="12" t="s">
        <v>157</v>
      </c>
      <c r="H4559" s="15">
        <v>10727</v>
      </c>
      <c r="I4559" s="13">
        <v>38</v>
      </c>
    </row>
    <row r="4560" spans="6:9">
      <c r="F4560" s="12" t="s">
        <v>4962</v>
      </c>
      <c r="G4560" s="12" t="s">
        <v>159</v>
      </c>
      <c r="H4560" s="15">
        <v>21300</v>
      </c>
      <c r="I4560" s="13">
        <v>38</v>
      </c>
    </row>
    <row r="4561" spans="6:9">
      <c r="F4561" s="12" t="s">
        <v>4963</v>
      </c>
      <c r="G4561" s="12" t="s">
        <v>159</v>
      </c>
      <c r="H4561" s="15">
        <v>66400</v>
      </c>
      <c r="I4561" s="13">
        <v>38</v>
      </c>
    </row>
    <row r="4562" spans="6:9">
      <c r="F4562" s="12" t="s">
        <v>4964</v>
      </c>
      <c r="G4562" s="12" t="s">
        <v>159</v>
      </c>
      <c r="H4562" s="15">
        <v>48700</v>
      </c>
      <c r="I4562" s="13">
        <v>38</v>
      </c>
    </row>
    <row r="4563" spans="6:9">
      <c r="F4563" s="12" t="s">
        <v>2721</v>
      </c>
      <c r="G4563" s="12" t="s">
        <v>157</v>
      </c>
      <c r="H4563" s="15">
        <v>56863</v>
      </c>
      <c r="I4563" s="13">
        <v>38</v>
      </c>
    </row>
    <row r="4564" spans="6:9">
      <c r="F4564" s="12" t="s">
        <v>4965</v>
      </c>
      <c r="G4564" s="12" t="s">
        <v>159</v>
      </c>
      <c r="H4564" s="15">
        <v>936300</v>
      </c>
      <c r="I4564" s="13">
        <v>38</v>
      </c>
    </row>
    <row r="4565" spans="6:9">
      <c r="F4565" s="12" t="s">
        <v>4966</v>
      </c>
      <c r="G4565" s="12" t="s">
        <v>159</v>
      </c>
      <c r="H4565" s="15">
        <v>12700</v>
      </c>
      <c r="I4565" s="13">
        <v>38</v>
      </c>
    </row>
    <row r="4566" spans="6:9">
      <c r="F4566" s="12" t="s">
        <v>4967</v>
      </c>
      <c r="G4566" s="12" t="s">
        <v>159</v>
      </c>
      <c r="H4566" s="15">
        <v>69100</v>
      </c>
      <c r="I4566" s="13">
        <v>38</v>
      </c>
    </row>
    <row r="4567" spans="6:9">
      <c r="F4567" s="12" t="s">
        <v>4968</v>
      </c>
      <c r="G4567" s="12" t="s">
        <v>159</v>
      </c>
      <c r="H4567" s="15">
        <v>304500</v>
      </c>
      <c r="I4567" s="13">
        <v>38</v>
      </c>
    </row>
    <row r="4568" spans="6:9">
      <c r="F4568" s="12" t="s">
        <v>468</v>
      </c>
      <c r="G4568" s="12" t="s">
        <v>157</v>
      </c>
      <c r="H4568" s="15">
        <v>17289</v>
      </c>
      <c r="I4568" s="13">
        <v>38</v>
      </c>
    </row>
    <row r="4569" spans="6:9">
      <c r="F4569" s="12" t="s">
        <v>471</v>
      </c>
      <c r="G4569" s="12" t="s">
        <v>157</v>
      </c>
      <c r="H4569" s="15">
        <v>24896</v>
      </c>
      <c r="I4569" s="13">
        <v>38</v>
      </c>
    </row>
    <row r="4570" spans="6:9">
      <c r="F4570" s="12" t="s">
        <v>4969</v>
      </c>
      <c r="G4570" s="12" t="s">
        <v>159</v>
      </c>
      <c r="H4570" s="15">
        <v>2400000</v>
      </c>
      <c r="I4570" s="13">
        <v>38</v>
      </c>
    </row>
    <row r="4571" spans="6:9">
      <c r="F4571" s="12" t="s">
        <v>474</v>
      </c>
      <c r="G4571" s="12" t="s">
        <v>157</v>
      </c>
      <c r="H4571" s="15">
        <v>15693</v>
      </c>
      <c r="I4571" s="13">
        <v>38</v>
      </c>
    </row>
    <row r="4572" spans="6:9">
      <c r="F4572" s="12" t="s">
        <v>4970</v>
      </c>
      <c r="G4572" s="12" t="s">
        <v>159</v>
      </c>
      <c r="H4572" s="15">
        <v>33000</v>
      </c>
      <c r="I4572" s="13">
        <v>38</v>
      </c>
    </row>
    <row r="4573" spans="6:9">
      <c r="F4573" s="12" t="s">
        <v>4971</v>
      </c>
      <c r="G4573" s="12" t="s">
        <v>159</v>
      </c>
      <c r="H4573" s="15">
        <v>123355</v>
      </c>
      <c r="I4573" s="13">
        <v>38</v>
      </c>
    </row>
    <row r="4574" spans="6:9">
      <c r="F4574" s="12" t="s">
        <v>4972</v>
      </c>
      <c r="G4574" s="12" t="s">
        <v>159</v>
      </c>
      <c r="H4574" s="15">
        <v>22100</v>
      </c>
      <c r="I4574" s="13">
        <v>38</v>
      </c>
    </row>
    <row r="4575" spans="6:9">
      <c r="F4575" s="12" t="s">
        <v>4973</v>
      </c>
      <c r="G4575" s="12" t="s">
        <v>159</v>
      </c>
      <c r="H4575" s="15">
        <v>88800</v>
      </c>
      <c r="I4575" s="13">
        <v>38</v>
      </c>
    </row>
    <row r="4576" spans="6:9">
      <c r="F4576" s="12" t="s">
        <v>4974</v>
      </c>
      <c r="G4576" s="12" t="s">
        <v>159</v>
      </c>
      <c r="H4576" s="15">
        <v>477800</v>
      </c>
      <c r="I4576" s="13">
        <v>38</v>
      </c>
    </row>
    <row r="4577" spans="6:9">
      <c r="F4577" s="12" t="s">
        <v>4975</v>
      </c>
      <c r="G4577" s="12" t="s">
        <v>159</v>
      </c>
      <c r="H4577" s="15">
        <v>222200</v>
      </c>
      <c r="I4577" s="13">
        <v>38</v>
      </c>
    </row>
    <row r="4578" spans="6:9">
      <c r="F4578" s="12" t="s">
        <v>4976</v>
      </c>
      <c r="G4578" s="12" t="s">
        <v>159</v>
      </c>
      <c r="H4578" s="15">
        <v>20400</v>
      </c>
      <c r="I4578" s="13">
        <v>38</v>
      </c>
    </row>
    <row r="4579" spans="6:9">
      <c r="F4579" s="12" t="s">
        <v>4977</v>
      </c>
      <c r="G4579" s="12" t="s">
        <v>159</v>
      </c>
      <c r="H4579" s="15">
        <v>92100</v>
      </c>
      <c r="I4579" s="13">
        <v>38</v>
      </c>
    </row>
    <row r="4580" spans="6:9">
      <c r="F4580" s="12" t="s">
        <v>4978</v>
      </c>
      <c r="G4580" s="12" t="s">
        <v>159</v>
      </c>
      <c r="H4580" s="15">
        <v>29100</v>
      </c>
      <c r="I4580" s="13">
        <v>38</v>
      </c>
    </row>
    <row r="4581" spans="6:9">
      <c r="F4581" s="12" t="s">
        <v>4979</v>
      </c>
      <c r="G4581" s="12" t="s">
        <v>159</v>
      </c>
      <c r="H4581" s="15">
        <v>135000</v>
      </c>
      <c r="I4581" s="13">
        <v>38</v>
      </c>
    </row>
    <row r="4582" spans="6:9">
      <c r="F4582" s="12" t="s">
        <v>4980</v>
      </c>
      <c r="G4582" s="12" t="s">
        <v>159</v>
      </c>
      <c r="H4582" s="15">
        <v>10300</v>
      </c>
      <c r="I4582" s="13">
        <v>38</v>
      </c>
    </row>
    <row r="4583" spans="6:9">
      <c r="F4583" s="12" t="s">
        <v>4981</v>
      </c>
      <c r="G4583" s="12" t="s">
        <v>159</v>
      </c>
      <c r="H4583" s="15">
        <v>13000</v>
      </c>
      <c r="I4583" s="13">
        <v>38</v>
      </c>
    </row>
    <row r="4584" spans="6:9">
      <c r="F4584" s="12" t="s">
        <v>4982</v>
      </c>
      <c r="G4584" s="12" t="s">
        <v>159</v>
      </c>
      <c r="H4584" s="15">
        <v>47900</v>
      </c>
      <c r="I4584" s="13">
        <v>38</v>
      </c>
    </row>
    <row r="4585" spans="6:9">
      <c r="F4585" s="12" t="s">
        <v>4983</v>
      </c>
      <c r="G4585" s="12" t="s">
        <v>159</v>
      </c>
      <c r="H4585" s="15">
        <v>313500</v>
      </c>
      <c r="I4585" s="13">
        <v>38</v>
      </c>
    </row>
    <row r="4586" spans="6:9">
      <c r="F4586" s="12" t="s">
        <v>4984</v>
      </c>
      <c r="G4586" s="12" t="s">
        <v>159</v>
      </c>
      <c r="H4586" s="15">
        <v>11100</v>
      </c>
      <c r="I4586" s="13">
        <v>38</v>
      </c>
    </row>
    <row r="4587" spans="6:9">
      <c r="F4587" s="12" t="s">
        <v>4985</v>
      </c>
      <c r="G4587" s="12" t="s">
        <v>159</v>
      </c>
      <c r="H4587" s="15">
        <v>364700</v>
      </c>
      <c r="I4587" s="13">
        <v>38</v>
      </c>
    </row>
    <row r="4588" spans="6:9">
      <c r="F4588" s="12" t="s">
        <v>4986</v>
      </c>
      <c r="G4588" s="12" t="s">
        <v>159</v>
      </c>
      <c r="H4588" s="15">
        <v>24000</v>
      </c>
      <c r="I4588" s="13">
        <v>38</v>
      </c>
    </row>
    <row r="4589" spans="6:9">
      <c r="F4589" s="12" t="s">
        <v>4987</v>
      </c>
      <c r="G4589" s="12" t="s">
        <v>159</v>
      </c>
      <c r="H4589" s="15">
        <v>270000</v>
      </c>
      <c r="I4589" s="13">
        <v>38</v>
      </c>
    </row>
    <row r="4590" spans="6:9">
      <c r="F4590" s="12" t="s">
        <v>4988</v>
      </c>
      <c r="G4590" s="12" t="s">
        <v>159</v>
      </c>
      <c r="H4590" s="15">
        <v>155500</v>
      </c>
      <c r="I4590" s="13">
        <v>38</v>
      </c>
    </row>
    <row r="4591" spans="6:9">
      <c r="F4591" s="12" t="s">
        <v>477</v>
      </c>
      <c r="G4591" s="12" t="s">
        <v>157</v>
      </c>
      <c r="H4591" s="15">
        <v>21912</v>
      </c>
      <c r="I4591" s="13">
        <v>38</v>
      </c>
    </row>
    <row r="4592" spans="6:9">
      <c r="F4592" s="12" t="s">
        <v>4989</v>
      </c>
      <c r="G4592" s="12" t="s">
        <v>159</v>
      </c>
      <c r="H4592" s="15">
        <v>31300</v>
      </c>
      <c r="I4592" s="13">
        <v>38</v>
      </c>
    </row>
    <row r="4593" spans="6:9">
      <c r="F4593" s="12" t="s">
        <v>4990</v>
      </c>
      <c r="G4593" s="12" t="s">
        <v>159</v>
      </c>
      <c r="H4593" s="15">
        <v>11900</v>
      </c>
      <c r="I4593" s="13">
        <v>38</v>
      </c>
    </row>
    <row r="4594" spans="6:9">
      <c r="F4594" s="12" t="s">
        <v>4991</v>
      </c>
      <c r="G4594" s="12" t="s">
        <v>159</v>
      </c>
      <c r="H4594" s="15">
        <v>482600</v>
      </c>
      <c r="I4594" s="13">
        <v>38</v>
      </c>
    </row>
    <row r="4595" spans="6:9">
      <c r="F4595" s="12" t="s">
        <v>4992</v>
      </c>
      <c r="G4595" s="12" t="s">
        <v>159</v>
      </c>
      <c r="H4595" s="15">
        <v>241800</v>
      </c>
      <c r="I4595" s="13">
        <v>38</v>
      </c>
    </row>
    <row r="4596" spans="6:9">
      <c r="F4596" s="12" t="s">
        <v>4993</v>
      </c>
      <c r="G4596" s="12" t="s">
        <v>159</v>
      </c>
      <c r="H4596" s="15">
        <v>37100</v>
      </c>
      <c r="I4596" s="13">
        <v>38</v>
      </c>
    </row>
    <row r="4597" spans="6:9">
      <c r="F4597" s="12" t="s">
        <v>4994</v>
      </c>
      <c r="G4597" s="12" t="s">
        <v>159</v>
      </c>
      <c r="H4597" s="15">
        <v>13600</v>
      </c>
      <c r="I4597" s="13">
        <v>38</v>
      </c>
    </row>
    <row r="4598" spans="6:9">
      <c r="F4598" s="12" t="s">
        <v>479</v>
      </c>
      <c r="G4598" s="12" t="s">
        <v>157</v>
      </c>
      <c r="H4598" s="15">
        <v>10411</v>
      </c>
      <c r="I4598" s="13">
        <v>38</v>
      </c>
    </row>
    <row r="4599" spans="6:9">
      <c r="F4599" s="12" t="s">
        <v>4995</v>
      </c>
      <c r="G4599" s="12" t="s">
        <v>159</v>
      </c>
      <c r="H4599" s="15">
        <v>31700</v>
      </c>
      <c r="I4599" s="13">
        <v>38</v>
      </c>
    </row>
    <row r="4600" spans="6:9">
      <c r="F4600" s="12" t="s">
        <v>4996</v>
      </c>
      <c r="G4600" s="12" t="s">
        <v>159</v>
      </c>
      <c r="H4600" s="15">
        <v>230700</v>
      </c>
      <c r="I4600" s="13">
        <v>38</v>
      </c>
    </row>
    <row r="4601" spans="6:9">
      <c r="F4601" s="12" t="s">
        <v>4997</v>
      </c>
      <c r="G4601" s="12" t="s">
        <v>159</v>
      </c>
      <c r="H4601" s="15">
        <v>255900</v>
      </c>
      <c r="I4601" s="13">
        <v>38</v>
      </c>
    </row>
    <row r="4602" spans="6:9">
      <c r="F4602" s="12" t="s">
        <v>4998</v>
      </c>
      <c r="G4602" s="12" t="s">
        <v>159</v>
      </c>
      <c r="H4602" s="15">
        <v>46800</v>
      </c>
      <c r="I4602" s="13">
        <v>38</v>
      </c>
    </row>
    <row r="4603" spans="6:9">
      <c r="F4603" s="12" t="s">
        <v>4999</v>
      </c>
      <c r="G4603" s="12" t="s">
        <v>159</v>
      </c>
      <c r="H4603" s="15">
        <v>53600</v>
      </c>
      <c r="I4603" s="13">
        <v>38</v>
      </c>
    </row>
    <row r="4604" spans="6:9">
      <c r="F4604" s="12" t="s">
        <v>5000</v>
      </c>
      <c r="G4604" s="12" t="s">
        <v>159</v>
      </c>
      <c r="H4604" s="15">
        <v>65500</v>
      </c>
      <c r="I4604" s="13">
        <v>38</v>
      </c>
    </row>
    <row r="4605" spans="6:9">
      <c r="F4605" s="12" t="s">
        <v>482</v>
      </c>
      <c r="G4605" s="12" t="s">
        <v>157</v>
      </c>
      <c r="H4605" s="15">
        <v>11988</v>
      </c>
      <c r="I4605" s="13">
        <v>38</v>
      </c>
    </row>
    <row r="4606" spans="6:9">
      <c r="F4606" s="12" t="s">
        <v>5001</v>
      </c>
      <c r="G4606" s="12" t="s">
        <v>159</v>
      </c>
      <c r="H4606" s="15">
        <v>12000</v>
      </c>
      <c r="I4606" s="13">
        <v>38</v>
      </c>
    </row>
    <row r="4607" spans="6:9">
      <c r="F4607" s="12" t="s">
        <v>5002</v>
      </c>
      <c r="G4607" s="12" t="s">
        <v>159</v>
      </c>
      <c r="H4607" s="15">
        <v>425400</v>
      </c>
      <c r="I4607" s="13">
        <v>38</v>
      </c>
    </row>
    <row r="4608" spans="6:9">
      <c r="F4608" s="12" t="s">
        <v>5003</v>
      </c>
      <c r="G4608" s="12" t="s">
        <v>159</v>
      </c>
      <c r="H4608" s="15">
        <v>499400</v>
      </c>
      <c r="I4608" s="13">
        <v>38</v>
      </c>
    </row>
    <row r="4609" spans="6:9">
      <c r="F4609" s="12" t="s">
        <v>5004</v>
      </c>
      <c r="G4609" s="12" t="s">
        <v>159</v>
      </c>
      <c r="H4609" s="15">
        <v>21400</v>
      </c>
      <c r="I4609" s="13">
        <v>38</v>
      </c>
    </row>
    <row r="4610" spans="6:9">
      <c r="F4610" s="12" t="s">
        <v>2585</v>
      </c>
      <c r="G4610" s="12" t="s">
        <v>157</v>
      </c>
      <c r="H4610" s="15">
        <v>13237</v>
      </c>
      <c r="I4610" s="13">
        <v>38</v>
      </c>
    </row>
    <row r="4611" spans="6:9">
      <c r="F4611" s="12" t="s">
        <v>5005</v>
      </c>
      <c r="G4611" s="12" t="s">
        <v>159</v>
      </c>
      <c r="H4611" s="15">
        <v>17200</v>
      </c>
      <c r="I4611" s="13">
        <v>38</v>
      </c>
    </row>
    <row r="4612" spans="6:9">
      <c r="F4612" s="12" t="s">
        <v>5006</v>
      </c>
      <c r="G4612" s="12" t="s">
        <v>159</v>
      </c>
      <c r="H4612" s="15">
        <v>85400</v>
      </c>
      <c r="I4612" s="13">
        <v>38</v>
      </c>
    </row>
    <row r="4613" spans="6:9">
      <c r="F4613" s="12" t="s">
        <v>2587</v>
      </c>
      <c r="G4613" s="12" t="s">
        <v>157</v>
      </c>
      <c r="H4613" s="15">
        <v>38031</v>
      </c>
      <c r="I4613" s="13">
        <v>38</v>
      </c>
    </row>
    <row r="4614" spans="6:9">
      <c r="F4614" s="12" t="s">
        <v>5007</v>
      </c>
      <c r="G4614" s="12" t="s">
        <v>159</v>
      </c>
      <c r="H4614" s="15">
        <v>13400</v>
      </c>
      <c r="I4614" s="13">
        <v>38</v>
      </c>
    </row>
    <row r="4615" spans="6:9">
      <c r="F4615" s="12" t="s">
        <v>5008</v>
      </c>
      <c r="G4615" s="12" t="s">
        <v>159</v>
      </c>
      <c r="H4615" s="15">
        <v>756600</v>
      </c>
      <c r="I4615" s="13">
        <v>38</v>
      </c>
    </row>
    <row r="4616" spans="6:9">
      <c r="F4616" s="12" t="s">
        <v>5009</v>
      </c>
      <c r="G4616" s="12" t="s">
        <v>159</v>
      </c>
      <c r="H4616" s="15">
        <v>16700</v>
      </c>
      <c r="I4616" s="13">
        <v>38</v>
      </c>
    </row>
    <row r="4617" spans="6:9">
      <c r="F4617" s="12" t="s">
        <v>5010</v>
      </c>
      <c r="G4617" s="12" t="s">
        <v>159</v>
      </c>
      <c r="H4617" s="15">
        <v>30100</v>
      </c>
      <c r="I4617" s="13">
        <v>38</v>
      </c>
    </row>
    <row r="4618" spans="6:9">
      <c r="F4618" s="12" t="s">
        <v>5011</v>
      </c>
      <c r="G4618" s="12" t="s">
        <v>159</v>
      </c>
      <c r="H4618" s="15">
        <v>151200</v>
      </c>
      <c r="I4618" s="13">
        <v>38</v>
      </c>
    </row>
    <row r="4619" spans="6:9">
      <c r="F4619" s="12" t="s">
        <v>5012</v>
      </c>
      <c r="G4619" s="12" t="s">
        <v>159</v>
      </c>
      <c r="H4619" s="15">
        <v>40200</v>
      </c>
      <c r="I4619" s="13">
        <v>38</v>
      </c>
    </row>
    <row r="4620" spans="6:9">
      <c r="F4620" s="12" t="s">
        <v>5013</v>
      </c>
      <c r="G4620" s="12" t="s">
        <v>159</v>
      </c>
      <c r="H4620" s="15">
        <v>21100</v>
      </c>
      <c r="I4620" s="13">
        <v>38</v>
      </c>
    </row>
    <row r="4621" spans="6:9">
      <c r="F4621" s="12" t="s">
        <v>5014</v>
      </c>
      <c r="G4621" s="12" t="s">
        <v>159</v>
      </c>
      <c r="H4621" s="15">
        <v>153200</v>
      </c>
      <c r="I4621" s="13">
        <v>38</v>
      </c>
    </row>
    <row r="4622" spans="6:9">
      <c r="F4622" s="12" t="s">
        <v>484</v>
      </c>
      <c r="G4622" s="12" t="s">
        <v>157</v>
      </c>
      <c r="H4622" s="15">
        <v>10180</v>
      </c>
      <c r="I4622" s="13">
        <v>38</v>
      </c>
    </row>
    <row r="4623" spans="6:9">
      <c r="F4623" s="12" t="s">
        <v>486</v>
      </c>
      <c r="G4623" s="12" t="s">
        <v>157</v>
      </c>
      <c r="H4623" s="15">
        <v>21840</v>
      </c>
      <c r="I4623" s="13">
        <v>38</v>
      </c>
    </row>
    <row r="4624" spans="6:9">
      <c r="F4624" s="12" t="s">
        <v>489</v>
      </c>
      <c r="G4624" s="12" t="s">
        <v>157</v>
      </c>
      <c r="H4624" s="15">
        <v>10461</v>
      </c>
      <c r="I4624" s="13">
        <v>38</v>
      </c>
    </row>
    <row r="4625" spans="6:9">
      <c r="F4625" s="12" t="s">
        <v>5015</v>
      </c>
      <c r="G4625" s="12" t="s">
        <v>159</v>
      </c>
      <c r="H4625" s="15">
        <v>243900</v>
      </c>
      <c r="I4625" s="13">
        <v>38</v>
      </c>
    </row>
    <row r="4626" spans="6:9">
      <c r="F4626" s="12" t="s">
        <v>5016</v>
      </c>
      <c r="G4626" s="12" t="s">
        <v>159</v>
      </c>
      <c r="H4626" s="15">
        <v>90500</v>
      </c>
      <c r="I4626" s="13">
        <v>38</v>
      </c>
    </row>
    <row r="4627" spans="6:9">
      <c r="F4627" s="12" t="s">
        <v>5017</v>
      </c>
      <c r="G4627" s="12" t="s">
        <v>159</v>
      </c>
      <c r="H4627" s="15">
        <v>49700</v>
      </c>
      <c r="I4627" s="13">
        <v>38</v>
      </c>
    </row>
    <row r="4628" spans="6:9">
      <c r="F4628" s="12" t="s">
        <v>5018</v>
      </c>
      <c r="G4628" s="12" t="s">
        <v>159</v>
      </c>
      <c r="H4628" s="15">
        <v>205700</v>
      </c>
      <c r="I4628" s="13">
        <v>38</v>
      </c>
    </row>
    <row r="4629" spans="6:9">
      <c r="F4629" s="12" t="s">
        <v>5019</v>
      </c>
      <c r="G4629" s="12" t="s">
        <v>159</v>
      </c>
      <c r="H4629" s="15">
        <v>33600</v>
      </c>
      <c r="I4629" s="13">
        <v>38</v>
      </c>
    </row>
    <row r="4630" spans="6:9">
      <c r="F4630" s="12" t="s">
        <v>5020</v>
      </c>
      <c r="G4630" s="12" t="s">
        <v>159</v>
      </c>
      <c r="H4630" s="15">
        <v>39500</v>
      </c>
      <c r="I4630" s="13">
        <v>38</v>
      </c>
    </row>
    <row r="4631" spans="6:9">
      <c r="F4631" s="12" t="s">
        <v>5021</v>
      </c>
      <c r="G4631" s="12" t="s">
        <v>159</v>
      </c>
      <c r="H4631" s="15">
        <v>825000</v>
      </c>
      <c r="I4631" s="13">
        <v>38</v>
      </c>
    </row>
    <row r="4632" spans="6:9">
      <c r="F4632" s="12" t="s">
        <v>5022</v>
      </c>
      <c r="G4632" s="12" t="s">
        <v>159</v>
      </c>
      <c r="H4632" s="15">
        <v>16000</v>
      </c>
      <c r="I4632" s="13">
        <v>38</v>
      </c>
    </row>
    <row r="4633" spans="6:9">
      <c r="F4633" s="12" t="s">
        <v>5023</v>
      </c>
      <c r="G4633" s="12" t="s">
        <v>159</v>
      </c>
      <c r="H4633" s="15">
        <v>65000</v>
      </c>
      <c r="I4633" s="13">
        <v>38</v>
      </c>
    </row>
    <row r="4634" spans="6:9">
      <c r="F4634" s="12" t="s">
        <v>5024</v>
      </c>
      <c r="G4634" s="12" t="s">
        <v>159</v>
      </c>
      <c r="H4634" s="15">
        <v>225500</v>
      </c>
      <c r="I4634" s="13">
        <v>38</v>
      </c>
    </row>
    <row r="4635" spans="6:9">
      <c r="F4635" s="12" t="s">
        <v>5025</v>
      </c>
      <c r="G4635" s="12" t="s">
        <v>159</v>
      </c>
      <c r="H4635" s="15">
        <v>975500</v>
      </c>
      <c r="I4635" s="13">
        <v>38</v>
      </c>
    </row>
    <row r="4636" spans="6:9">
      <c r="F4636" s="12" t="s">
        <v>5026</v>
      </c>
      <c r="G4636" s="12" t="s">
        <v>159</v>
      </c>
      <c r="H4636" s="15">
        <v>16200</v>
      </c>
      <c r="I4636" s="13">
        <v>38</v>
      </c>
    </row>
    <row r="4637" spans="6:9">
      <c r="F4637" s="12" t="s">
        <v>5027</v>
      </c>
      <c r="G4637" s="12" t="s">
        <v>159</v>
      </c>
      <c r="H4637" s="15">
        <v>15200</v>
      </c>
      <c r="I4637" s="13">
        <v>38</v>
      </c>
    </row>
    <row r="4638" spans="6:9">
      <c r="F4638" s="12" t="s">
        <v>5028</v>
      </c>
      <c r="G4638" s="12" t="s">
        <v>159</v>
      </c>
      <c r="H4638" s="15">
        <v>90400</v>
      </c>
      <c r="I4638" s="13">
        <v>38</v>
      </c>
    </row>
    <row r="4639" spans="6:9">
      <c r="F4639" s="12" t="s">
        <v>5029</v>
      </c>
      <c r="G4639" s="12" t="s">
        <v>157</v>
      </c>
      <c r="H4639" s="15">
        <v>55844</v>
      </c>
      <c r="I4639" s="13">
        <v>38</v>
      </c>
    </row>
    <row r="4640" spans="6:9">
      <c r="F4640" s="12" t="s">
        <v>5030</v>
      </c>
      <c r="G4640" s="12" t="s">
        <v>159</v>
      </c>
      <c r="H4640" s="15">
        <v>118200</v>
      </c>
      <c r="I4640" s="13">
        <v>38</v>
      </c>
    </row>
    <row r="4641" spans="6:9">
      <c r="F4641" s="12" t="s">
        <v>2591</v>
      </c>
      <c r="G4641" s="12" t="s">
        <v>157</v>
      </c>
      <c r="H4641" s="15">
        <v>10302</v>
      </c>
      <c r="I4641" s="13">
        <v>38</v>
      </c>
    </row>
    <row r="4642" spans="6:9">
      <c r="F4642" s="12" t="s">
        <v>5031</v>
      </c>
      <c r="G4642" s="12" t="s">
        <v>159</v>
      </c>
      <c r="H4642" s="15">
        <v>281100</v>
      </c>
      <c r="I4642" s="13">
        <v>38</v>
      </c>
    </row>
    <row r="4643" spans="6:9">
      <c r="F4643" s="12" t="s">
        <v>5032</v>
      </c>
      <c r="G4643" s="12" t="s">
        <v>159</v>
      </c>
      <c r="H4643" s="15">
        <v>26000</v>
      </c>
      <c r="I4643" s="13">
        <v>38</v>
      </c>
    </row>
    <row r="4644" spans="6:9">
      <c r="F4644" s="12" t="s">
        <v>1729</v>
      </c>
      <c r="G4644" s="12" t="s">
        <v>157</v>
      </c>
      <c r="H4644" s="15">
        <v>1842326</v>
      </c>
      <c r="I4644" s="13">
        <v>38</v>
      </c>
    </row>
    <row r="4645" spans="6:9">
      <c r="F4645" s="12" t="s">
        <v>5033</v>
      </c>
      <c r="G4645" s="12" t="s">
        <v>159</v>
      </c>
      <c r="H4645" s="15">
        <v>93000</v>
      </c>
      <c r="I4645" s="13">
        <v>38</v>
      </c>
    </row>
    <row r="4646" spans="6:9">
      <c r="F4646" s="12" t="s">
        <v>5034</v>
      </c>
      <c r="G4646" s="12" t="s">
        <v>159</v>
      </c>
      <c r="H4646" s="15">
        <v>131700</v>
      </c>
      <c r="I4646" s="13">
        <v>38</v>
      </c>
    </row>
    <row r="4647" spans="6:9">
      <c r="F4647" s="12" t="s">
        <v>5035</v>
      </c>
      <c r="G4647" s="12" t="s">
        <v>159</v>
      </c>
      <c r="H4647" s="15">
        <v>67800</v>
      </c>
      <c r="I4647" s="13">
        <v>38</v>
      </c>
    </row>
    <row r="4648" spans="6:9">
      <c r="F4648" s="12" t="s">
        <v>5036</v>
      </c>
      <c r="G4648" s="12" t="s">
        <v>159</v>
      </c>
      <c r="H4648" s="15">
        <v>20500</v>
      </c>
      <c r="I4648" s="13">
        <v>38</v>
      </c>
    </row>
    <row r="4649" spans="6:9">
      <c r="F4649" s="12" t="s">
        <v>5037</v>
      </c>
      <c r="G4649" s="12" t="s">
        <v>159</v>
      </c>
      <c r="H4649" s="15">
        <v>320800</v>
      </c>
      <c r="I4649" s="13">
        <v>38</v>
      </c>
    </row>
    <row r="4650" spans="6:9">
      <c r="F4650" s="12" t="s">
        <v>492</v>
      </c>
      <c r="G4650" s="12" t="s">
        <v>157</v>
      </c>
      <c r="H4650" s="15">
        <v>11754</v>
      </c>
      <c r="I4650" s="13">
        <v>38</v>
      </c>
    </row>
    <row r="4651" spans="6:9">
      <c r="F4651" s="12" t="s">
        <v>5038</v>
      </c>
      <c r="G4651" s="12" t="s">
        <v>159</v>
      </c>
      <c r="H4651" s="15">
        <v>87600</v>
      </c>
      <c r="I4651" s="13">
        <v>38</v>
      </c>
    </row>
    <row r="4652" spans="6:9">
      <c r="F4652" s="12" t="s">
        <v>5039</v>
      </c>
      <c r="G4652" s="12" t="s">
        <v>159</v>
      </c>
      <c r="H4652" s="15">
        <v>156900</v>
      </c>
      <c r="I4652" s="13">
        <v>38</v>
      </c>
    </row>
    <row r="4653" spans="6:9">
      <c r="F4653" s="12" t="s">
        <v>5040</v>
      </c>
      <c r="G4653" s="12" t="s">
        <v>159</v>
      </c>
      <c r="H4653" s="15">
        <v>10100</v>
      </c>
      <c r="I4653" s="13">
        <v>38</v>
      </c>
    </row>
    <row r="4654" spans="6:9">
      <c r="F4654" s="12" t="s">
        <v>2593</v>
      </c>
      <c r="G4654" s="12" t="s">
        <v>157</v>
      </c>
      <c r="H4654" s="15">
        <v>55808</v>
      </c>
      <c r="I4654" s="13">
        <v>38</v>
      </c>
    </row>
    <row r="4655" spans="6:9">
      <c r="F4655" s="12" t="s">
        <v>5041</v>
      </c>
      <c r="G4655" s="12" t="s">
        <v>159</v>
      </c>
      <c r="H4655" s="15">
        <v>25700</v>
      </c>
      <c r="I4655" s="13">
        <v>38</v>
      </c>
    </row>
    <row r="4656" spans="6:9">
      <c r="F4656" s="12" t="s">
        <v>5042</v>
      </c>
      <c r="G4656" s="12" t="s">
        <v>159</v>
      </c>
      <c r="H4656" s="15">
        <v>25400</v>
      </c>
      <c r="I4656" s="13">
        <v>38</v>
      </c>
    </row>
    <row r="4657" spans="6:9">
      <c r="F4657" s="12" t="s">
        <v>1317</v>
      </c>
      <c r="G4657" s="12" t="s">
        <v>157</v>
      </c>
      <c r="H4657" s="15">
        <v>104408</v>
      </c>
      <c r="I4657" s="13">
        <v>38</v>
      </c>
    </row>
    <row r="4658" spans="6:9">
      <c r="F4658" s="12" t="s">
        <v>5043</v>
      </c>
      <c r="G4658" s="12" t="s">
        <v>159</v>
      </c>
      <c r="H4658" s="15">
        <v>486300</v>
      </c>
      <c r="I4658" s="13">
        <v>38</v>
      </c>
    </row>
    <row r="4659" spans="6:9">
      <c r="F4659" s="12" t="s">
        <v>5044</v>
      </c>
      <c r="G4659" s="12" t="s">
        <v>159</v>
      </c>
      <c r="H4659" s="15">
        <v>331700</v>
      </c>
      <c r="I4659" s="13">
        <v>38</v>
      </c>
    </row>
    <row r="4660" spans="6:9">
      <c r="F4660" s="12" t="s">
        <v>5045</v>
      </c>
      <c r="G4660" s="12" t="s">
        <v>159</v>
      </c>
      <c r="H4660" s="15">
        <v>10000</v>
      </c>
      <c r="I4660" s="13">
        <v>38</v>
      </c>
    </row>
    <row r="4661" spans="6:9">
      <c r="F4661" s="12" t="s">
        <v>5046</v>
      </c>
      <c r="G4661" s="12" t="s">
        <v>159</v>
      </c>
      <c r="H4661" s="15">
        <v>51300</v>
      </c>
      <c r="I4661" s="13">
        <v>38</v>
      </c>
    </row>
    <row r="4662" spans="6:9">
      <c r="F4662" s="12" t="s">
        <v>5047</v>
      </c>
      <c r="G4662" s="12" t="s">
        <v>159</v>
      </c>
      <c r="H4662" s="15">
        <v>88500</v>
      </c>
      <c r="I4662" s="13">
        <v>38</v>
      </c>
    </row>
    <row r="4663" spans="6:9">
      <c r="F4663" s="12" t="s">
        <v>5048</v>
      </c>
      <c r="G4663" s="12" t="s">
        <v>159</v>
      </c>
      <c r="H4663" s="15">
        <v>15200</v>
      </c>
      <c r="I4663" s="13">
        <v>38</v>
      </c>
    </row>
    <row r="4664" spans="6:9">
      <c r="F4664" s="12" t="s">
        <v>5049</v>
      </c>
      <c r="G4664" s="12" t="s">
        <v>159</v>
      </c>
      <c r="H4664" s="15">
        <v>22400</v>
      </c>
      <c r="I4664" s="13">
        <v>38</v>
      </c>
    </row>
    <row r="4665" spans="6:9">
      <c r="F4665" s="12" t="s">
        <v>5050</v>
      </c>
      <c r="G4665" s="12" t="s">
        <v>159</v>
      </c>
      <c r="H4665" s="15">
        <v>10700</v>
      </c>
      <c r="I4665" s="13">
        <v>38</v>
      </c>
    </row>
    <row r="4666" spans="6:9">
      <c r="F4666" s="12" t="s">
        <v>495</v>
      </c>
      <c r="G4666" s="12" t="s">
        <v>157</v>
      </c>
      <c r="H4666" s="15">
        <v>16937</v>
      </c>
      <c r="I4666" s="13">
        <v>38</v>
      </c>
    </row>
    <row r="4667" spans="6:9">
      <c r="F4667" s="12" t="s">
        <v>498</v>
      </c>
      <c r="G4667" s="12" t="s">
        <v>157</v>
      </c>
      <c r="H4667" s="15">
        <v>10383</v>
      </c>
      <c r="I4667" s="13">
        <v>38</v>
      </c>
    </row>
    <row r="4668" spans="6:9">
      <c r="F4668" s="12" t="s">
        <v>5051</v>
      </c>
      <c r="G4668" s="12" t="s">
        <v>159</v>
      </c>
      <c r="H4668" s="15">
        <v>102100</v>
      </c>
      <c r="I4668" s="13">
        <v>38</v>
      </c>
    </row>
    <row r="4669" spans="6:9">
      <c r="F4669" s="12" t="s">
        <v>5052</v>
      </c>
      <c r="G4669" s="12" t="s">
        <v>159</v>
      </c>
      <c r="H4669" s="15">
        <v>45700</v>
      </c>
      <c r="I4669" s="13">
        <v>38</v>
      </c>
    </row>
    <row r="4670" spans="6:9">
      <c r="F4670" s="12" t="s">
        <v>5053</v>
      </c>
      <c r="G4670" s="12" t="s">
        <v>159</v>
      </c>
      <c r="H4670" s="15">
        <v>87400</v>
      </c>
      <c r="I4670" s="13">
        <v>38</v>
      </c>
    </row>
    <row r="4671" spans="6:9">
      <c r="F4671" s="12" t="s">
        <v>5054</v>
      </c>
      <c r="G4671" s="12" t="s">
        <v>159</v>
      </c>
      <c r="H4671" s="15">
        <v>15600</v>
      </c>
      <c r="I4671" s="13">
        <v>38</v>
      </c>
    </row>
    <row r="4672" spans="6:9">
      <c r="F4672" s="12" t="s">
        <v>5055</v>
      </c>
      <c r="G4672" s="12" t="s">
        <v>159</v>
      </c>
      <c r="H4672" s="15">
        <v>14800</v>
      </c>
      <c r="I4672" s="13">
        <v>38</v>
      </c>
    </row>
    <row r="4673" spans="6:9">
      <c r="F4673" s="12" t="s">
        <v>5056</v>
      </c>
      <c r="G4673" s="12" t="s">
        <v>159</v>
      </c>
      <c r="H4673" s="15">
        <v>153900</v>
      </c>
      <c r="I4673" s="13">
        <v>38</v>
      </c>
    </row>
    <row r="4674" spans="6:9">
      <c r="F4674" s="12" t="s">
        <v>501</v>
      </c>
      <c r="G4674" s="12" t="s">
        <v>157</v>
      </c>
      <c r="H4674" s="15">
        <v>10745</v>
      </c>
      <c r="I4674" s="13">
        <v>38</v>
      </c>
    </row>
    <row r="4675" spans="6:9">
      <c r="F4675" s="12" t="s">
        <v>5057</v>
      </c>
      <c r="G4675" s="12" t="s">
        <v>159</v>
      </c>
      <c r="H4675" s="15">
        <v>130100</v>
      </c>
      <c r="I4675" s="13">
        <v>38</v>
      </c>
    </row>
    <row r="4676" spans="6:9">
      <c r="F4676" s="12" t="s">
        <v>5058</v>
      </c>
      <c r="G4676" s="12" t="s">
        <v>159</v>
      </c>
      <c r="H4676" s="15">
        <v>106600</v>
      </c>
      <c r="I4676" s="13">
        <v>38</v>
      </c>
    </row>
    <row r="4677" spans="6:9">
      <c r="F4677" s="12" t="s">
        <v>5059</v>
      </c>
      <c r="G4677" s="12" t="s">
        <v>159</v>
      </c>
      <c r="H4677" s="15">
        <v>1000000</v>
      </c>
      <c r="I4677" s="13">
        <v>38</v>
      </c>
    </row>
    <row r="4678" spans="6:9">
      <c r="F4678" s="12" t="s">
        <v>5060</v>
      </c>
      <c r="G4678" s="12" t="s">
        <v>159</v>
      </c>
      <c r="H4678" s="15">
        <v>85300</v>
      </c>
      <c r="I4678" s="13">
        <v>38</v>
      </c>
    </row>
    <row r="4679" spans="6:9">
      <c r="F4679" s="12" t="s">
        <v>5061</v>
      </c>
      <c r="G4679" s="12" t="s">
        <v>159</v>
      </c>
      <c r="H4679" s="15">
        <v>2500000</v>
      </c>
      <c r="I4679" s="13">
        <v>38</v>
      </c>
    </row>
    <row r="4680" spans="6:9">
      <c r="F4680" s="12" t="s">
        <v>504</v>
      </c>
      <c r="G4680" s="12" t="s">
        <v>157</v>
      </c>
      <c r="H4680" s="15">
        <v>28272</v>
      </c>
      <c r="I4680" s="13">
        <v>38</v>
      </c>
    </row>
    <row r="4681" spans="6:9">
      <c r="F4681" s="12" t="s">
        <v>507</v>
      </c>
      <c r="G4681" s="12" t="s">
        <v>157</v>
      </c>
      <c r="H4681" s="15">
        <v>14429</v>
      </c>
      <c r="I4681" s="13">
        <v>38</v>
      </c>
    </row>
    <row r="4682" spans="6:9">
      <c r="F4682" s="12" t="s">
        <v>1732</v>
      </c>
      <c r="G4682" s="12" t="s">
        <v>157</v>
      </c>
      <c r="H4682" s="15">
        <v>121896</v>
      </c>
      <c r="I4682" s="13">
        <v>38</v>
      </c>
    </row>
    <row r="4683" spans="6:9">
      <c r="F4683" s="12" t="s">
        <v>5062</v>
      </c>
      <c r="G4683" s="12" t="s">
        <v>159</v>
      </c>
      <c r="H4683" s="15">
        <v>55500</v>
      </c>
      <c r="I4683" s="13">
        <v>38</v>
      </c>
    </row>
    <row r="4684" spans="6:9">
      <c r="F4684" s="12" t="s">
        <v>5063</v>
      </c>
      <c r="G4684" s="12" t="s">
        <v>159</v>
      </c>
      <c r="H4684" s="15">
        <v>1700000</v>
      </c>
      <c r="I4684" s="13">
        <v>38</v>
      </c>
    </row>
    <row r="4685" spans="6:9">
      <c r="F4685" s="12" t="s">
        <v>5064</v>
      </c>
      <c r="G4685" s="12" t="s">
        <v>159</v>
      </c>
      <c r="H4685" s="15">
        <v>25100</v>
      </c>
      <c r="I4685" s="13">
        <v>38</v>
      </c>
    </row>
    <row r="4686" spans="6:9">
      <c r="F4686" s="12" t="s">
        <v>2595</v>
      </c>
      <c r="G4686" s="12" t="s">
        <v>157</v>
      </c>
      <c r="H4686" s="15">
        <v>12429</v>
      </c>
      <c r="I4686" s="13">
        <v>38</v>
      </c>
    </row>
    <row r="4687" spans="6:9">
      <c r="F4687" s="12" t="s">
        <v>5065</v>
      </c>
      <c r="G4687" s="12" t="s">
        <v>159</v>
      </c>
      <c r="H4687" s="15">
        <v>79500</v>
      </c>
      <c r="I4687" s="13">
        <v>38</v>
      </c>
    </row>
    <row r="4688" spans="6:9">
      <c r="F4688" s="12" t="s">
        <v>5066</v>
      </c>
      <c r="G4688" s="12" t="s">
        <v>159</v>
      </c>
      <c r="H4688" s="15">
        <v>288700</v>
      </c>
      <c r="I4688" s="13">
        <v>38</v>
      </c>
    </row>
    <row r="4689" spans="6:9">
      <c r="F4689" s="12" t="s">
        <v>5067</v>
      </c>
      <c r="G4689" s="12" t="s">
        <v>159</v>
      </c>
      <c r="H4689" s="15">
        <v>19800</v>
      </c>
      <c r="I4689" s="13">
        <v>38</v>
      </c>
    </row>
    <row r="4690" spans="6:9">
      <c r="F4690" s="12" t="s">
        <v>5068</v>
      </c>
      <c r="G4690" s="12" t="s">
        <v>159</v>
      </c>
      <c r="H4690" s="15">
        <v>20400</v>
      </c>
      <c r="I4690" s="13">
        <v>38</v>
      </c>
    </row>
    <row r="4691" spans="6:9">
      <c r="F4691" s="12" t="s">
        <v>5069</v>
      </c>
      <c r="G4691" s="12" t="s">
        <v>159</v>
      </c>
      <c r="H4691" s="15">
        <v>26200</v>
      </c>
      <c r="I4691" s="13">
        <v>38</v>
      </c>
    </row>
    <row r="4692" spans="6:9">
      <c r="F4692" s="12" t="s">
        <v>5070</v>
      </c>
      <c r="G4692" s="12" t="s">
        <v>159</v>
      </c>
      <c r="H4692" s="15">
        <v>1100000</v>
      </c>
      <c r="I4692" s="13">
        <v>38</v>
      </c>
    </row>
    <row r="4693" spans="6:9">
      <c r="F4693" s="12" t="s">
        <v>5071</v>
      </c>
      <c r="G4693" s="12" t="s">
        <v>159</v>
      </c>
      <c r="H4693" s="15">
        <v>130100</v>
      </c>
      <c r="I4693" s="13">
        <v>38</v>
      </c>
    </row>
    <row r="4694" spans="6:9">
      <c r="F4694" s="12" t="s">
        <v>5072</v>
      </c>
      <c r="G4694" s="12" t="s">
        <v>159</v>
      </c>
      <c r="H4694" s="15">
        <v>13700</v>
      </c>
      <c r="I4694" s="13">
        <v>38</v>
      </c>
    </row>
    <row r="4695" spans="6:9">
      <c r="F4695" s="12" t="s">
        <v>5073</v>
      </c>
      <c r="G4695" s="12" t="s">
        <v>159</v>
      </c>
      <c r="H4695" s="15">
        <v>213200</v>
      </c>
      <c r="I4695" s="13">
        <v>38</v>
      </c>
    </row>
    <row r="4696" spans="6:9">
      <c r="F4696" s="12" t="s">
        <v>5074</v>
      </c>
      <c r="G4696" s="12" t="s">
        <v>159</v>
      </c>
      <c r="H4696" s="15">
        <v>156500</v>
      </c>
      <c r="I4696" s="13">
        <v>38</v>
      </c>
    </row>
    <row r="4697" spans="6:9">
      <c r="F4697" s="12" t="s">
        <v>5075</v>
      </c>
      <c r="G4697" s="12" t="s">
        <v>159</v>
      </c>
      <c r="H4697" s="15">
        <v>281300</v>
      </c>
      <c r="I4697" s="13">
        <v>38</v>
      </c>
    </row>
    <row r="4698" spans="6:9">
      <c r="F4698" s="12" t="s">
        <v>5076</v>
      </c>
      <c r="G4698" s="12" t="s">
        <v>159</v>
      </c>
      <c r="H4698" s="15">
        <v>13600</v>
      </c>
      <c r="I4698" s="13">
        <v>38</v>
      </c>
    </row>
    <row r="4699" spans="6:9">
      <c r="F4699" s="12" t="s">
        <v>509</v>
      </c>
      <c r="G4699" s="12" t="s">
        <v>157</v>
      </c>
      <c r="H4699" s="15">
        <v>12923</v>
      </c>
      <c r="I4699" s="13">
        <v>38</v>
      </c>
    </row>
    <row r="4700" spans="6:9">
      <c r="F4700" s="12" t="s">
        <v>5077</v>
      </c>
      <c r="G4700" s="12" t="s">
        <v>159</v>
      </c>
      <c r="H4700" s="15">
        <v>3500000</v>
      </c>
      <c r="I4700" s="13">
        <v>38</v>
      </c>
    </row>
    <row r="4701" spans="6:9">
      <c r="F4701" s="12" t="s">
        <v>5078</v>
      </c>
      <c r="G4701" s="12" t="s">
        <v>159</v>
      </c>
      <c r="H4701" s="15">
        <v>73500</v>
      </c>
      <c r="I4701" s="13">
        <v>38</v>
      </c>
    </row>
    <row r="4702" spans="6:9">
      <c r="F4702" s="12" t="s">
        <v>5079</v>
      </c>
      <c r="G4702" s="12" t="s">
        <v>159</v>
      </c>
      <c r="H4702" s="15">
        <v>110300</v>
      </c>
      <c r="I4702" s="13">
        <v>38</v>
      </c>
    </row>
    <row r="4703" spans="6:9">
      <c r="F4703" s="12" t="s">
        <v>5080</v>
      </c>
      <c r="G4703" s="12" t="s">
        <v>159</v>
      </c>
      <c r="H4703" s="15">
        <v>1300000</v>
      </c>
      <c r="I4703" s="13">
        <v>38</v>
      </c>
    </row>
    <row r="4704" spans="6:9">
      <c r="F4704" s="12" t="s">
        <v>5081</v>
      </c>
      <c r="G4704" s="12" t="s">
        <v>159</v>
      </c>
      <c r="H4704" s="15">
        <v>4500000</v>
      </c>
      <c r="I4704" s="13">
        <v>38</v>
      </c>
    </row>
    <row r="4705" spans="6:9">
      <c r="F4705" s="12" t="s">
        <v>5082</v>
      </c>
      <c r="G4705" s="12" t="s">
        <v>159</v>
      </c>
      <c r="H4705" s="15">
        <v>28700</v>
      </c>
      <c r="I4705" s="13">
        <v>38</v>
      </c>
    </row>
    <row r="4706" spans="6:9">
      <c r="F4706" s="12" t="s">
        <v>5083</v>
      </c>
      <c r="G4706" s="12" t="s">
        <v>159</v>
      </c>
      <c r="H4706" s="15">
        <v>18800</v>
      </c>
      <c r="I4706" s="13">
        <v>38</v>
      </c>
    </row>
    <row r="4707" spans="6:9">
      <c r="F4707" s="12" t="s">
        <v>5084</v>
      </c>
      <c r="G4707" s="12" t="s">
        <v>159</v>
      </c>
      <c r="H4707" s="15">
        <v>305400</v>
      </c>
      <c r="I4707" s="13">
        <v>38</v>
      </c>
    </row>
    <row r="4708" spans="6:9">
      <c r="F4708" s="12" t="s">
        <v>5085</v>
      </c>
      <c r="G4708" s="12" t="s">
        <v>159</v>
      </c>
      <c r="H4708" s="15">
        <v>77000</v>
      </c>
      <c r="I4708" s="13">
        <v>37</v>
      </c>
    </row>
    <row r="4709" spans="6:9">
      <c r="F4709" s="12" t="s">
        <v>5086</v>
      </c>
      <c r="G4709" s="12" t="s">
        <v>157</v>
      </c>
      <c r="H4709" s="15">
        <v>76866</v>
      </c>
      <c r="I4709" s="13">
        <v>37</v>
      </c>
    </row>
    <row r="4710" spans="6:9">
      <c r="F4710" s="12" t="s">
        <v>2599</v>
      </c>
      <c r="G4710" s="12" t="s">
        <v>157</v>
      </c>
      <c r="H4710" s="15">
        <v>33686</v>
      </c>
      <c r="I4710" s="13">
        <v>37</v>
      </c>
    </row>
    <row r="4711" spans="6:9">
      <c r="F4711" s="12" t="s">
        <v>5087</v>
      </c>
      <c r="G4711" s="12" t="s">
        <v>157</v>
      </c>
      <c r="H4711" s="15">
        <v>45074</v>
      </c>
      <c r="I4711" s="13">
        <v>37</v>
      </c>
    </row>
    <row r="4712" spans="6:9">
      <c r="F4712" s="12" t="s">
        <v>2601</v>
      </c>
      <c r="G4712" s="12" t="s">
        <v>157</v>
      </c>
      <c r="H4712" s="15">
        <v>63881</v>
      </c>
      <c r="I4712" s="13">
        <v>37</v>
      </c>
    </row>
    <row r="4713" spans="6:9">
      <c r="F4713" s="12" t="s">
        <v>2603</v>
      </c>
      <c r="G4713" s="12" t="s">
        <v>157</v>
      </c>
      <c r="H4713" s="15">
        <v>10408</v>
      </c>
      <c r="I4713" s="13">
        <v>37</v>
      </c>
    </row>
    <row r="4714" spans="6:9">
      <c r="F4714" s="12" t="s">
        <v>5088</v>
      </c>
      <c r="G4714" s="12" t="s">
        <v>157</v>
      </c>
      <c r="H4714" s="15">
        <v>79549</v>
      </c>
      <c r="I4714" s="13">
        <v>37</v>
      </c>
    </row>
    <row r="4715" spans="6:9">
      <c r="F4715" s="12" t="s">
        <v>5089</v>
      </c>
      <c r="G4715" s="12" t="s">
        <v>157</v>
      </c>
      <c r="H4715" s="15">
        <v>75163</v>
      </c>
      <c r="I4715" s="13">
        <v>37</v>
      </c>
    </row>
    <row r="4716" spans="6:9">
      <c r="F4716" s="12" t="s">
        <v>2605</v>
      </c>
      <c r="G4716" s="12" t="s">
        <v>157</v>
      </c>
      <c r="H4716" s="15">
        <v>10064</v>
      </c>
      <c r="I4716" s="13">
        <v>37</v>
      </c>
    </row>
    <row r="4717" spans="6:9">
      <c r="F4717" s="12" t="s">
        <v>2607</v>
      </c>
      <c r="G4717" s="12" t="s">
        <v>157</v>
      </c>
      <c r="H4717" s="15">
        <v>41005</v>
      </c>
      <c r="I4717" s="13">
        <v>37</v>
      </c>
    </row>
    <row r="4718" spans="6:9">
      <c r="F4718" s="12" t="s">
        <v>2609</v>
      </c>
      <c r="G4718" s="12" t="s">
        <v>157</v>
      </c>
      <c r="H4718" s="15">
        <v>61962</v>
      </c>
      <c r="I4718" s="13">
        <v>37</v>
      </c>
    </row>
    <row r="4719" spans="6:9">
      <c r="F4719" s="12" t="s">
        <v>2611</v>
      </c>
      <c r="G4719" s="12" t="s">
        <v>157</v>
      </c>
      <c r="H4719" s="15">
        <v>35952</v>
      </c>
      <c r="I4719" s="13">
        <v>37</v>
      </c>
    </row>
    <row r="4720" spans="6:9">
      <c r="F4720" s="12" t="s">
        <v>2613</v>
      </c>
      <c r="G4720" s="12" t="s">
        <v>157</v>
      </c>
      <c r="H4720" s="15">
        <v>47481</v>
      </c>
      <c r="I4720" s="13">
        <v>37</v>
      </c>
    </row>
    <row r="4721" spans="6:9">
      <c r="F4721" s="12" t="s">
        <v>359</v>
      </c>
      <c r="G4721" s="12" t="s">
        <v>157</v>
      </c>
      <c r="H4721" s="15">
        <v>47138</v>
      </c>
      <c r="I4721" s="13">
        <v>37</v>
      </c>
    </row>
    <row r="4722" spans="6:9">
      <c r="F4722" s="12" t="s">
        <v>567</v>
      </c>
      <c r="G4722" s="12" t="s">
        <v>157</v>
      </c>
      <c r="H4722" s="15">
        <v>55152</v>
      </c>
      <c r="I4722" s="13">
        <v>37</v>
      </c>
    </row>
    <row r="4723" spans="6:9">
      <c r="F4723" s="12" t="s">
        <v>1339</v>
      </c>
      <c r="G4723" s="12" t="s">
        <v>157</v>
      </c>
      <c r="H4723" s="15">
        <v>140211</v>
      </c>
      <c r="I4723" s="13">
        <v>37</v>
      </c>
    </row>
    <row r="4724" spans="6:9">
      <c r="F4724" s="12" t="s">
        <v>1564</v>
      </c>
      <c r="G4724" s="12" t="s">
        <v>159</v>
      </c>
      <c r="H4724" s="15">
        <v>283300</v>
      </c>
      <c r="I4724" s="13">
        <v>37</v>
      </c>
    </row>
    <row r="4725" spans="6:9">
      <c r="F4725" s="12" t="s">
        <v>1342</v>
      </c>
      <c r="G4725" s="12" t="s">
        <v>157</v>
      </c>
      <c r="H4725" s="15">
        <v>3954716</v>
      </c>
      <c r="I4725" s="13">
        <v>37</v>
      </c>
    </row>
    <row r="4726" spans="6:9">
      <c r="F4726" s="12" t="s">
        <v>1752</v>
      </c>
      <c r="G4726" s="12" t="s">
        <v>157</v>
      </c>
      <c r="H4726" s="15">
        <v>108832</v>
      </c>
      <c r="I4726" s="13">
        <v>37</v>
      </c>
    </row>
    <row r="4727" spans="6:9">
      <c r="F4727" s="12" t="s">
        <v>5090</v>
      </c>
      <c r="G4727" s="12" t="s">
        <v>159</v>
      </c>
      <c r="H4727" s="15">
        <v>43300</v>
      </c>
      <c r="I4727" s="13">
        <v>37</v>
      </c>
    </row>
    <row r="4728" spans="6:9">
      <c r="F4728" s="12" t="s">
        <v>2618</v>
      </c>
      <c r="G4728" s="12" t="s">
        <v>157</v>
      </c>
      <c r="H4728" s="15">
        <v>52455</v>
      </c>
      <c r="I4728" s="13">
        <v>37</v>
      </c>
    </row>
    <row r="4729" spans="6:9">
      <c r="F4729" s="12" t="s">
        <v>2620</v>
      </c>
      <c r="G4729" s="12" t="s">
        <v>157</v>
      </c>
      <c r="H4729" s="15">
        <v>30579</v>
      </c>
      <c r="I4729" s="13">
        <v>37</v>
      </c>
    </row>
    <row r="4730" spans="6:9">
      <c r="F4730" s="12" t="s">
        <v>5091</v>
      </c>
      <c r="G4730" s="12" t="s">
        <v>157</v>
      </c>
      <c r="H4730" s="15">
        <v>51435</v>
      </c>
      <c r="I4730" s="13">
        <v>37</v>
      </c>
    </row>
    <row r="4731" spans="6:9">
      <c r="F4731" s="12" t="s">
        <v>2622</v>
      </c>
      <c r="G4731" s="12" t="s">
        <v>157</v>
      </c>
      <c r="H4731" s="15">
        <v>16843</v>
      </c>
      <c r="I4731" s="13">
        <v>37</v>
      </c>
    </row>
    <row r="4732" spans="6:9">
      <c r="F4732" s="12" t="s">
        <v>1757</v>
      </c>
      <c r="G4732" s="12" t="s">
        <v>157</v>
      </c>
      <c r="H4732" s="15">
        <v>117390</v>
      </c>
      <c r="I4732" s="13">
        <v>37</v>
      </c>
    </row>
    <row r="4733" spans="6:9">
      <c r="F4733" s="12" t="s">
        <v>1356</v>
      </c>
      <c r="G4733" s="12" t="s">
        <v>157</v>
      </c>
      <c r="H4733" s="15">
        <v>146280</v>
      </c>
      <c r="I4733" s="13">
        <v>37</v>
      </c>
    </row>
    <row r="4734" spans="6:9">
      <c r="F4734" s="12" t="s">
        <v>1359</v>
      </c>
      <c r="G4734" s="12" t="s">
        <v>157</v>
      </c>
      <c r="H4734" s="15">
        <v>171905</v>
      </c>
      <c r="I4734" s="13">
        <v>37</v>
      </c>
    </row>
    <row r="4735" spans="6:9">
      <c r="F4735" s="12" t="s">
        <v>2625</v>
      </c>
      <c r="G4735" s="12" t="s">
        <v>157</v>
      </c>
      <c r="H4735" s="15">
        <v>79968</v>
      </c>
      <c r="I4735" s="13">
        <v>37</v>
      </c>
    </row>
    <row r="4736" spans="6:9">
      <c r="F4736" s="12" t="s">
        <v>5092</v>
      </c>
      <c r="G4736" s="12" t="s">
        <v>157</v>
      </c>
      <c r="H4736" s="15">
        <v>50881</v>
      </c>
      <c r="I4736" s="13">
        <v>37</v>
      </c>
    </row>
    <row r="4737" spans="6:9">
      <c r="F4737" s="12" t="s">
        <v>2626</v>
      </c>
      <c r="G4737" s="12" t="s">
        <v>157</v>
      </c>
      <c r="H4737" s="15">
        <v>11701</v>
      </c>
      <c r="I4737" s="13">
        <v>37</v>
      </c>
    </row>
    <row r="4738" spans="6:9">
      <c r="F4738" s="12" t="s">
        <v>2705</v>
      </c>
      <c r="G4738" s="12" t="s">
        <v>157</v>
      </c>
      <c r="H4738" s="15">
        <v>36032</v>
      </c>
      <c r="I4738" s="13">
        <v>37</v>
      </c>
    </row>
    <row r="4739" spans="6:9">
      <c r="F4739" s="12" t="s">
        <v>2630</v>
      </c>
      <c r="G4739" s="12" t="s">
        <v>157</v>
      </c>
      <c r="H4739" s="15">
        <v>81674</v>
      </c>
      <c r="I4739" s="13">
        <v>37</v>
      </c>
    </row>
    <row r="4740" spans="6:9">
      <c r="F4740" s="12" t="s">
        <v>1363</v>
      </c>
      <c r="G4740" s="12" t="s">
        <v>157</v>
      </c>
      <c r="H4740" s="15">
        <v>123546</v>
      </c>
      <c r="I4740" s="13">
        <v>37</v>
      </c>
    </row>
    <row r="4741" spans="6:9">
      <c r="F4741" s="12" t="s">
        <v>1366</v>
      </c>
      <c r="G4741" s="12" t="s">
        <v>157</v>
      </c>
      <c r="H4741" s="15">
        <v>103674</v>
      </c>
      <c r="I4741" s="13">
        <v>37</v>
      </c>
    </row>
    <row r="4742" spans="6:9">
      <c r="F4742" s="12" t="s">
        <v>2632</v>
      </c>
      <c r="G4742" s="12" t="s">
        <v>157</v>
      </c>
      <c r="H4742" s="15">
        <v>16161</v>
      </c>
      <c r="I4742" s="13">
        <v>37</v>
      </c>
    </row>
    <row r="4743" spans="6:9">
      <c r="F4743" s="12" t="s">
        <v>2634</v>
      </c>
      <c r="G4743" s="12" t="s">
        <v>157</v>
      </c>
      <c r="H4743" s="15">
        <v>77809</v>
      </c>
      <c r="I4743" s="13">
        <v>37</v>
      </c>
    </row>
    <row r="4744" spans="6:9">
      <c r="F4744" s="12" t="s">
        <v>5093</v>
      </c>
      <c r="G4744" s="12" t="s">
        <v>157</v>
      </c>
      <c r="H4744" s="15">
        <v>36792</v>
      </c>
      <c r="I4744" s="13">
        <v>37</v>
      </c>
    </row>
    <row r="4745" spans="6:9">
      <c r="F4745" s="12" t="s">
        <v>5094</v>
      </c>
      <c r="G4745" s="12" t="s">
        <v>159</v>
      </c>
      <c r="H4745" s="15">
        <v>89700</v>
      </c>
      <c r="I4745" s="13">
        <v>37</v>
      </c>
    </row>
    <row r="4746" spans="6:9">
      <c r="F4746" s="12" t="s">
        <v>1769</v>
      </c>
      <c r="G4746" s="12" t="s">
        <v>157</v>
      </c>
      <c r="H4746" s="15">
        <v>102033</v>
      </c>
      <c r="I4746" s="13">
        <v>37</v>
      </c>
    </row>
    <row r="4747" spans="6:9">
      <c r="F4747" s="12" t="s">
        <v>5095</v>
      </c>
      <c r="G4747" s="12" t="s">
        <v>159</v>
      </c>
      <c r="H4747" s="15">
        <v>10000</v>
      </c>
      <c r="I4747" s="13">
        <v>36</v>
      </c>
    </row>
    <row r="4748" spans="6:9">
      <c r="F4748" s="12" t="s">
        <v>2637</v>
      </c>
      <c r="G4748" s="12" t="s">
        <v>157</v>
      </c>
      <c r="H4748" s="15">
        <v>49003</v>
      </c>
      <c r="I4748" s="13">
        <v>36</v>
      </c>
    </row>
    <row r="4749" spans="6:9">
      <c r="F4749" s="12" t="s">
        <v>5096</v>
      </c>
      <c r="G4749" s="12" t="s">
        <v>159</v>
      </c>
      <c r="H4749" s="15">
        <v>669200</v>
      </c>
      <c r="I4749" s="13">
        <v>36</v>
      </c>
    </row>
    <row r="4750" spans="6:9">
      <c r="F4750" s="12" t="s">
        <v>5097</v>
      </c>
      <c r="G4750" s="12" t="s">
        <v>159</v>
      </c>
      <c r="H4750" s="15">
        <v>80200</v>
      </c>
      <c r="I4750" s="13">
        <v>36</v>
      </c>
    </row>
    <row r="4751" spans="6:9">
      <c r="F4751" s="12" t="s">
        <v>2639</v>
      </c>
      <c r="G4751" s="12" t="s">
        <v>157</v>
      </c>
      <c r="H4751" s="15">
        <v>47276</v>
      </c>
      <c r="I4751" s="13">
        <v>36</v>
      </c>
    </row>
    <row r="4752" spans="6:9">
      <c r="F4752" s="12" t="s">
        <v>5098</v>
      </c>
      <c r="G4752" s="12" t="s">
        <v>159</v>
      </c>
      <c r="H4752" s="15">
        <v>28200</v>
      </c>
      <c r="I4752" s="13">
        <v>36</v>
      </c>
    </row>
    <row r="4753" spans="6:9">
      <c r="F4753" s="12" t="s">
        <v>5099</v>
      </c>
      <c r="G4753" s="12" t="s">
        <v>159</v>
      </c>
      <c r="H4753" s="15">
        <v>62800</v>
      </c>
      <c r="I4753" s="13">
        <v>36</v>
      </c>
    </row>
    <row r="4754" spans="6:9">
      <c r="F4754" s="12" t="s">
        <v>2640</v>
      </c>
      <c r="G4754" s="12" t="s">
        <v>157</v>
      </c>
      <c r="H4754" s="15">
        <v>43810</v>
      </c>
      <c r="I4754" s="13">
        <v>36</v>
      </c>
    </row>
    <row r="4755" spans="6:9">
      <c r="F4755" s="12" t="s">
        <v>596</v>
      </c>
      <c r="G4755" s="12" t="s">
        <v>157</v>
      </c>
      <c r="H4755" s="15">
        <v>20480</v>
      </c>
      <c r="I4755" s="13">
        <v>36</v>
      </c>
    </row>
    <row r="4756" spans="6:9">
      <c r="F4756" s="12" t="s">
        <v>598</v>
      </c>
      <c r="G4756" s="12" t="s">
        <v>157</v>
      </c>
      <c r="H4756" s="15">
        <v>18018065</v>
      </c>
      <c r="I4756" s="13">
        <v>36</v>
      </c>
    </row>
    <row r="4757" spans="6:9">
      <c r="F4757" s="12" t="s">
        <v>1552</v>
      </c>
      <c r="G4757" s="12" t="s">
        <v>159</v>
      </c>
      <c r="H4757" s="15">
        <v>110100</v>
      </c>
      <c r="I4757" s="13">
        <v>36</v>
      </c>
    </row>
    <row r="4758" spans="6:9">
      <c r="F4758" s="12" t="s">
        <v>1387</v>
      </c>
      <c r="G4758" s="12" t="s">
        <v>157</v>
      </c>
      <c r="H4758" s="15">
        <v>187339</v>
      </c>
      <c r="I4758" s="13">
        <v>36</v>
      </c>
    </row>
    <row r="4759" spans="6:9">
      <c r="F4759" s="12" t="s">
        <v>1390</v>
      </c>
      <c r="G4759" s="12" t="s">
        <v>157</v>
      </c>
      <c r="H4759" s="15">
        <v>107091</v>
      </c>
      <c r="I4759" s="13">
        <v>36</v>
      </c>
    </row>
    <row r="4760" spans="6:9">
      <c r="F4760" s="12" t="s">
        <v>1801</v>
      </c>
      <c r="G4760" s="12" t="s">
        <v>157</v>
      </c>
      <c r="H4760" s="15">
        <v>153444</v>
      </c>
      <c r="I4760" s="13">
        <v>36</v>
      </c>
    </row>
    <row r="4761" spans="6:9">
      <c r="F4761" s="12" t="s">
        <v>1393</v>
      </c>
      <c r="G4761" s="12" t="s">
        <v>157</v>
      </c>
      <c r="H4761" s="15">
        <v>128765</v>
      </c>
      <c r="I4761" s="13">
        <v>36</v>
      </c>
    </row>
    <row r="4762" spans="6:9">
      <c r="F4762" s="12" t="s">
        <v>1396</v>
      </c>
      <c r="G4762" s="12" t="s">
        <v>157</v>
      </c>
      <c r="H4762" s="15">
        <v>100180</v>
      </c>
      <c r="I4762" s="13">
        <v>36</v>
      </c>
    </row>
    <row r="4763" spans="6:9">
      <c r="F4763" s="12" t="s">
        <v>5100</v>
      </c>
      <c r="G4763" s="12" t="s">
        <v>159</v>
      </c>
      <c r="H4763" s="15">
        <v>132600</v>
      </c>
      <c r="I4763" s="13">
        <v>36</v>
      </c>
    </row>
    <row r="4764" spans="6:9">
      <c r="F4764" s="12" t="s">
        <v>2643</v>
      </c>
      <c r="G4764" s="12" t="s">
        <v>157</v>
      </c>
      <c r="H4764" s="15">
        <v>44088</v>
      </c>
      <c r="I4764" s="13">
        <v>36</v>
      </c>
    </row>
    <row r="4765" spans="6:9">
      <c r="F4765" s="12" t="s">
        <v>1503</v>
      </c>
      <c r="G4765" s="12" t="s">
        <v>159</v>
      </c>
      <c r="H4765" s="15">
        <v>237300</v>
      </c>
      <c r="I4765" s="13">
        <v>36</v>
      </c>
    </row>
    <row r="4766" spans="6:9">
      <c r="F4766" s="12" t="s">
        <v>5101</v>
      </c>
      <c r="G4766" s="12" t="s">
        <v>159</v>
      </c>
      <c r="H4766" s="15">
        <v>88200</v>
      </c>
      <c r="I4766" s="13">
        <v>36</v>
      </c>
    </row>
    <row r="4767" spans="6:9">
      <c r="F4767" s="12" t="s">
        <v>5102</v>
      </c>
      <c r="G4767" s="12" t="s">
        <v>157</v>
      </c>
      <c r="H4767" s="15">
        <v>171241</v>
      </c>
      <c r="I4767" s="13">
        <v>36</v>
      </c>
    </row>
    <row r="4768" spans="6:9">
      <c r="F4768" s="12" t="s">
        <v>5103</v>
      </c>
      <c r="G4768" s="12" t="s">
        <v>159</v>
      </c>
      <c r="H4768" s="15">
        <v>276700</v>
      </c>
      <c r="I4768" s="13">
        <v>36</v>
      </c>
    </row>
    <row r="4769" spans="6:9">
      <c r="F4769" s="12" t="s">
        <v>5104</v>
      </c>
      <c r="G4769" s="12" t="s">
        <v>157</v>
      </c>
      <c r="H4769" s="15">
        <v>55952</v>
      </c>
      <c r="I4769" s="13">
        <v>36</v>
      </c>
    </row>
    <row r="4770" spans="6:9">
      <c r="F4770" s="12" t="s">
        <v>5105</v>
      </c>
      <c r="G4770" s="12" t="s">
        <v>157</v>
      </c>
      <c r="H4770" s="15">
        <v>96492</v>
      </c>
      <c r="I4770" s="13">
        <v>36</v>
      </c>
    </row>
    <row r="4771" spans="6:9">
      <c r="F4771" s="12" t="s">
        <v>5106</v>
      </c>
      <c r="G4771" s="12" t="s">
        <v>159</v>
      </c>
      <c r="H4771" s="15">
        <v>52100</v>
      </c>
      <c r="I4771" s="13">
        <v>36</v>
      </c>
    </row>
    <row r="4772" spans="6:9">
      <c r="F4772" s="12" t="s">
        <v>5107</v>
      </c>
      <c r="G4772" s="12" t="s">
        <v>157</v>
      </c>
      <c r="H4772" s="15">
        <v>67859</v>
      </c>
      <c r="I4772" s="13">
        <v>36</v>
      </c>
    </row>
    <row r="4773" spans="6:9">
      <c r="F4773" s="12" t="s">
        <v>5108</v>
      </c>
      <c r="G4773" s="12" t="s">
        <v>159</v>
      </c>
      <c r="H4773" s="15">
        <v>204900</v>
      </c>
      <c r="I4773" s="13">
        <v>36</v>
      </c>
    </row>
    <row r="4774" spans="6:9">
      <c r="F4774" s="12" t="s">
        <v>5109</v>
      </c>
      <c r="G4774" s="12" t="s">
        <v>157</v>
      </c>
      <c r="H4774" s="15">
        <v>61901</v>
      </c>
      <c r="I4774" s="13">
        <v>36</v>
      </c>
    </row>
    <row r="4775" spans="6:9">
      <c r="F4775" s="12" t="s">
        <v>5110</v>
      </c>
      <c r="G4775" s="12" t="s">
        <v>159</v>
      </c>
      <c r="H4775" s="15">
        <v>135400</v>
      </c>
      <c r="I4775" s="13">
        <v>36</v>
      </c>
    </row>
    <row r="4776" spans="6:9">
      <c r="F4776" s="12" t="s">
        <v>5111</v>
      </c>
      <c r="G4776" s="12" t="s">
        <v>159</v>
      </c>
      <c r="H4776" s="15">
        <v>291000</v>
      </c>
      <c r="I4776" s="13">
        <v>36</v>
      </c>
    </row>
    <row r="4777" spans="6:9">
      <c r="F4777" s="12" t="s">
        <v>5112</v>
      </c>
      <c r="G4777" s="12" t="s">
        <v>157</v>
      </c>
      <c r="H4777" s="15">
        <v>85949</v>
      </c>
      <c r="I4777" s="13">
        <v>36</v>
      </c>
    </row>
    <row r="4778" spans="6:9">
      <c r="F4778" s="12" t="s">
        <v>5113</v>
      </c>
      <c r="G4778" s="12" t="s">
        <v>159</v>
      </c>
      <c r="H4778" s="15">
        <v>23500</v>
      </c>
      <c r="I4778" s="13">
        <v>36</v>
      </c>
    </row>
    <row r="4779" spans="6:9">
      <c r="F4779" s="12" t="s">
        <v>1281</v>
      </c>
      <c r="G4779" s="12" t="s">
        <v>159</v>
      </c>
      <c r="H4779" s="15">
        <v>199200</v>
      </c>
      <c r="I4779" s="13">
        <v>36</v>
      </c>
    </row>
    <row r="4780" spans="6:9">
      <c r="F4780" s="12" t="s">
        <v>5114</v>
      </c>
      <c r="G4780" s="12" t="s">
        <v>159</v>
      </c>
      <c r="H4780" s="15">
        <v>63900</v>
      </c>
      <c r="I4780" s="13">
        <v>36</v>
      </c>
    </row>
    <row r="4781" spans="6:9">
      <c r="F4781" s="12" t="s">
        <v>2648</v>
      </c>
      <c r="G4781" s="12" t="s">
        <v>157</v>
      </c>
      <c r="H4781" s="15">
        <v>53803</v>
      </c>
      <c r="I4781" s="13">
        <v>36</v>
      </c>
    </row>
    <row r="4782" spans="6:9">
      <c r="F4782" s="12" t="s">
        <v>5115</v>
      </c>
      <c r="G4782" s="12" t="s">
        <v>157</v>
      </c>
      <c r="H4782" s="15">
        <v>45647</v>
      </c>
      <c r="I4782" s="13">
        <v>36</v>
      </c>
    </row>
    <row r="4783" spans="6:9">
      <c r="F4783" s="12" t="s">
        <v>602</v>
      </c>
      <c r="G4783" s="12" t="s">
        <v>157</v>
      </c>
      <c r="H4783" s="15">
        <v>11068</v>
      </c>
      <c r="I4783" s="13">
        <v>36</v>
      </c>
    </row>
    <row r="4784" spans="6:9">
      <c r="F4784" s="12" t="s">
        <v>603</v>
      </c>
      <c r="G4784" s="12" t="s">
        <v>157</v>
      </c>
      <c r="H4784" s="15">
        <v>22862</v>
      </c>
      <c r="I4784" s="13">
        <v>36</v>
      </c>
    </row>
    <row r="4785" spans="6:9">
      <c r="F4785" s="12" t="s">
        <v>5116</v>
      </c>
      <c r="G4785" s="12" t="s">
        <v>159</v>
      </c>
      <c r="H4785" s="15">
        <v>21000</v>
      </c>
      <c r="I4785" s="13">
        <v>36</v>
      </c>
    </row>
    <row r="4786" spans="6:9">
      <c r="F4786" s="12" t="s">
        <v>1414</v>
      </c>
      <c r="G4786" s="12" t="s">
        <v>157</v>
      </c>
      <c r="H4786" s="15">
        <v>282886</v>
      </c>
      <c r="I4786" s="13">
        <v>36</v>
      </c>
    </row>
    <row r="4787" spans="6:9">
      <c r="F4787" s="12" t="s">
        <v>572</v>
      </c>
      <c r="G4787" s="12" t="s">
        <v>157</v>
      </c>
      <c r="H4787" s="15">
        <v>78853</v>
      </c>
      <c r="I4787" s="13">
        <v>36</v>
      </c>
    </row>
    <row r="4788" spans="6:9">
      <c r="F4788" s="12" t="s">
        <v>5117</v>
      </c>
      <c r="G4788" s="12" t="s">
        <v>157</v>
      </c>
      <c r="H4788" s="15">
        <v>78421</v>
      </c>
      <c r="I4788" s="13">
        <v>36</v>
      </c>
    </row>
    <row r="4789" spans="6:9">
      <c r="F4789" s="12" t="s">
        <v>5118</v>
      </c>
      <c r="G4789" s="12" t="s">
        <v>157</v>
      </c>
      <c r="H4789" s="15">
        <v>72016</v>
      </c>
      <c r="I4789" s="13">
        <v>36</v>
      </c>
    </row>
    <row r="4790" spans="6:9">
      <c r="F4790" s="12" t="s">
        <v>5119</v>
      </c>
      <c r="G4790" s="12" t="s">
        <v>157</v>
      </c>
      <c r="H4790" s="15">
        <v>96588</v>
      </c>
      <c r="I4790" s="13">
        <v>36</v>
      </c>
    </row>
    <row r="4791" spans="6:9">
      <c r="F4791" s="12" t="s">
        <v>5120</v>
      </c>
      <c r="G4791" s="12" t="s">
        <v>159</v>
      </c>
      <c r="H4791" s="15">
        <v>12700</v>
      </c>
      <c r="I4791" s="13">
        <v>36</v>
      </c>
    </row>
    <row r="4792" spans="6:9">
      <c r="F4792" s="12" t="s">
        <v>575</v>
      </c>
      <c r="G4792" s="12" t="s">
        <v>157</v>
      </c>
      <c r="H4792" s="15">
        <v>47304</v>
      </c>
      <c r="I4792" s="13">
        <v>36</v>
      </c>
    </row>
    <row r="4793" spans="6:9">
      <c r="F4793" s="12" t="s">
        <v>5121</v>
      </c>
      <c r="G4793" s="12" t="s">
        <v>157</v>
      </c>
      <c r="H4793" s="15">
        <v>34593</v>
      </c>
      <c r="I4793" s="13">
        <v>36</v>
      </c>
    </row>
    <row r="4794" spans="6:9">
      <c r="F4794" s="12" t="s">
        <v>5122</v>
      </c>
      <c r="G4794" s="12" t="s">
        <v>159</v>
      </c>
      <c r="H4794" s="15">
        <v>450400</v>
      </c>
      <c r="I4794" s="13">
        <v>36</v>
      </c>
    </row>
    <row r="4795" spans="6:9">
      <c r="F4795" s="12" t="s">
        <v>2650</v>
      </c>
      <c r="G4795" s="12" t="s">
        <v>157</v>
      </c>
      <c r="H4795" s="15">
        <v>98899</v>
      </c>
      <c r="I4795" s="13">
        <v>36</v>
      </c>
    </row>
    <row r="4796" spans="6:9">
      <c r="F4796" s="12" t="s">
        <v>579</v>
      </c>
      <c r="G4796" s="12" t="s">
        <v>157</v>
      </c>
      <c r="H4796" s="15">
        <v>39942</v>
      </c>
      <c r="I4796" s="13">
        <v>36</v>
      </c>
    </row>
    <row r="4797" spans="6:9">
      <c r="F4797" s="12" t="s">
        <v>582</v>
      </c>
      <c r="G4797" s="12" t="s">
        <v>157</v>
      </c>
      <c r="H4797" s="15">
        <v>162215</v>
      </c>
      <c r="I4797" s="13">
        <v>36</v>
      </c>
    </row>
    <row r="4798" spans="6:9">
      <c r="F4798" s="12" t="s">
        <v>608</v>
      </c>
      <c r="G4798" s="12" t="s">
        <v>157</v>
      </c>
      <c r="H4798" s="15">
        <v>11948</v>
      </c>
      <c r="I4798" s="13">
        <v>36</v>
      </c>
    </row>
    <row r="4799" spans="6:9">
      <c r="F4799" s="12" t="s">
        <v>2656</v>
      </c>
      <c r="G4799" s="12" t="s">
        <v>157</v>
      </c>
      <c r="H4799" s="15">
        <v>75227</v>
      </c>
      <c r="I4799" s="13">
        <v>36</v>
      </c>
    </row>
    <row r="4800" spans="6:9">
      <c r="F4800" s="12" t="s">
        <v>5123</v>
      </c>
      <c r="G4800" s="12" t="s">
        <v>159</v>
      </c>
      <c r="H4800" s="15">
        <v>174100</v>
      </c>
      <c r="I4800" s="13">
        <v>36</v>
      </c>
    </row>
    <row r="4801" spans="6:9">
      <c r="F4801" s="12" t="s">
        <v>5124</v>
      </c>
      <c r="G4801" s="12" t="s">
        <v>159</v>
      </c>
      <c r="H4801" s="15">
        <v>28400</v>
      </c>
      <c r="I4801" s="13">
        <v>36</v>
      </c>
    </row>
    <row r="4802" spans="6:9">
      <c r="F4802" s="12" t="s">
        <v>2658</v>
      </c>
      <c r="G4802" s="12" t="s">
        <v>157</v>
      </c>
      <c r="H4802" s="15">
        <v>52304</v>
      </c>
      <c r="I4802" s="13">
        <v>36</v>
      </c>
    </row>
    <row r="4803" spans="6:9">
      <c r="F4803" s="12" t="s">
        <v>1522</v>
      </c>
      <c r="G4803" s="12" t="s">
        <v>157</v>
      </c>
      <c r="H4803" s="15">
        <v>21800065</v>
      </c>
      <c r="I4803" s="13">
        <v>36</v>
      </c>
    </row>
    <row r="4804" spans="6:9">
      <c r="F4804" s="12" t="s">
        <v>5125</v>
      </c>
      <c r="G4804" s="12" t="s">
        <v>159</v>
      </c>
      <c r="H4804" s="15">
        <v>27800</v>
      </c>
      <c r="I4804" s="13">
        <v>36</v>
      </c>
    </row>
    <row r="4805" spans="6:9">
      <c r="F4805" s="12" t="s">
        <v>614</v>
      </c>
      <c r="G4805" s="12" t="s">
        <v>157</v>
      </c>
      <c r="H4805" s="15">
        <v>269064</v>
      </c>
      <c r="I4805" s="13">
        <v>36</v>
      </c>
    </row>
    <row r="4806" spans="6:9">
      <c r="F4806" s="12" t="s">
        <v>2660</v>
      </c>
      <c r="G4806" s="12" t="s">
        <v>157</v>
      </c>
      <c r="H4806" s="15">
        <v>47782</v>
      </c>
      <c r="I4806" s="13">
        <v>36</v>
      </c>
    </row>
    <row r="4807" spans="6:9">
      <c r="F4807" s="12" t="s">
        <v>2662</v>
      </c>
      <c r="G4807" s="12" t="s">
        <v>157</v>
      </c>
      <c r="H4807" s="15">
        <v>27901</v>
      </c>
      <c r="I4807" s="13">
        <v>36</v>
      </c>
    </row>
    <row r="4808" spans="6:9">
      <c r="F4808" s="12" t="s">
        <v>5126</v>
      </c>
      <c r="G4808" s="12" t="s">
        <v>159</v>
      </c>
      <c r="H4808" s="15">
        <v>52200</v>
      </c>
      <c r="I4808" s="13">
        <v>36</v>
      </c>
    </row>
    <row r="4809" spans="6:9">
      <c r="F4809" s="12" t="s">
        <v>5127</v>
      </c>
      <c r="G4809" s="12" t="s">
        <v>157</v>
      </c>
      <c r="H4809" s="15">
        <v>49170</v>
      </c>
      <c r="I4809" s="13">
        <v>36</v>
      </c>
    </row>
    <row r="4810" spans="6:9">
      <c r="F4810" s="12" t="s">
        <v>618</v>
      </c>
      <c r="G4810" s="12" t="s">
        <v>157</v>
      </c>
      <c r="H4810" s="15">
        <v>23624</v>
      </c>
      <c r="I4810" s="13">
        <v>36</v>
      </c>
    </row>
    <row r="4811" spans="6:9">
      <c r="F4811" s="12" t="s">
        <v>2666</v>
      </c>
      <c r="G4811" s="12" t="s">
        <v>157</v>
      </c>
      <c r="H4811" s="15">
        <v>36998</v>
      </c>
      <c r="I4811" s="13">
        <v>36</v>
      </c>
    </row>
    <row r="4812" spans="6:9">
      <c r="F4812" s="12" t="s">
        <v>2668</v>
      </c>
      <c r="G4812" s="12" t="s">
        <v>157</v>
      </c>
      <c r="H4812" s="15">
        <v>51636</v>
      </c>
      <c r="I4812" s="13">
        <v>36</v>
      </c>
    </row>
    <row r="4813" spans="6:9">
      <c r="F4813" s="12" t="s">
        <v>594</v>
      </c>
      <c r="G4813" s="12" t="s">
        <v>157</v>
      </c>
      <c r="H4813" s="15">
        <v>158500</v>
      </c>
      <c r="I4813" s="13">
        <v>36</v>
      </c>
    </row>
    <row r="4814" spans="6:9">
      <c r="F4814" s="12" t="s">
        <v>1428</v>
      </c>
      <c r="G4814" s="12" t="s">
        <v>157</v>
      </c>
      <c r="H4814" s="15">
        <v>106535</v>
      </c>
      <c r="I4814" s="13">
        <v>36</v>
      </c>
    </row>
    <row r="4815" spans="6:9">
      <c r="F4815" s="12" t="s">
        <v>5128</v>
      </c>
      <c r="G4815" s="12" t="s">
        <v>159</v>
      </c>
      <c r="H4815" s="15">
        <v>13200</v>
      </c>
      <c r="I4815" s="13">
        <v>36</v>
      </c>
    </row>
    <row r="4816" spans="6:9">
      <c r="F4816" s="12" t="s">
        <v>623</v>
      </c>
      <c r="G4816" s="12" t="s">
        <v>157</v>
      </c>
      <c r="H4816" s="15">
        <v>12694</v>
      </c>
      <c r="I4816" s="13">
        <v>36</v>
      </c>
    </row>
    <row r="4817" spans="6:9">
      <c r="F4817" s="12" t="s">
        <v>2670</v>
      </c>
      <c r="G4817" s="12" t="s">
        <v>157</v>
      </c>
      <c r="H4817" s="15">
        <v>89267</v>
      </c>
      <c r="I4817" s="13">
        <v>36</v>
      </c>
    </row>
    <row r="4818" spans="6:9">
      <c r="F4818" s="12" t="s">
        <v>5129</v>
      </c>
      <c r="G4818" s="12" t="s">
        <v>159</v>
      </c>
      <c r="H4818" s="15">
        <v>18600</v>
      </c>
      <c r="I4818" s="13">
        <v>36</v>
      </c>
    </row>
    <row r="4819" spans="6:9">
      <c r="F4819" s="12" t="s">
        <v>2672</v>
      </c>
      <c r="G4819" s="12" t="s">
        <v>157</v>
      </c>
      <c r="H4819" s="15">
        <v>83488</v>
      </c>
      <c r="I4819" s="13">
        <v>36</v>
      </c>
    </row>
    <row r="4820" spans="6:9">
      <c r="F4820" s="12" t="s">
        <v>2731</v>
      </c>
      <c r="G4820" s="12" t="s">
        <v>157</v>
      </c>
      <c r="H4820" s="15">
        <v>69656</v>
      </c>
      <c r="I4820" s="13">
        <v>36</v>
      </c>
    </row>
    <row r="4821" spans="6:9">
      <c r="F4821" s="12" t="s">
        <v>2674</v>
      </c>
      <c r="G4821" s="12" t="s">
        <v>157</v>
      </c>
      <c r="H4821" s="15">
        <v>35806</v>
      </c>
      <c r="I4821" s="13">
        <v>35</v>
      </c>
    </row>
    <row r="4822" spans="6:9">
      <c r="F4822" s="12" t="s">
        <v>5130</v>
      </c>
      <c r="G4822" s="12" t="s">
        <v>159</v>
      </c>
      <c r="H4822" s="15">
        <v>11200</v>
      </c>
      <c r="I4822" s="13">
        <v>35</v>
      </c>
    </row>
    <row r="4823" spans="6:9">
      <c r="F4823" s="12" t="s">
        <v>1320</v>
      </c>
      <c r="G4823" s="12" t="s">
        <v>159</v>
      </c>
      <c r="H4823" s="15">
        <v>174200</v>
      </c>
      <c r="I4823" s="13">
        <v>35</v>
      </c>
    </row>
    <row r="4824" spans="6:9">
      <c r="F4824" s="12" t="s">
        <v>1438</v>
      </c>
      <c r="G4824" s="12" t="s">
        <v>157</v>
      </c>
      <c r="H4824" s="15">
        <v>129124</v>
      </c>
      <c r="I4824" s="13">
        <v>35</v>
      </c>
    </row>
    <row r="4825" spans="6:9">
      <c r="F4825" s="12" t="s">
        <v>5131</v>
      </c>
      <c r="G4825" s="12" t="s">
        <v>159</v>
      </c>
      <c r="H4825" s="15">
        <v>33600</v>
      </c>
      <c r="I4825" s="13">
        <v>35</v>
      </c>
    </row>
    <row r="4826" spans="6:9">
      <c r="F4826" s="12" t="s">
        <v>5132</v>
      </c>
      <c r="G4826" s="12" t="s">
        <v>157</v>
      </c>
      <c r="H4826" s="15">
        <v>71498</v>
      </c>
      <c r="I4826" s="13">
        <v>35</v>
      </c>
    </row>
    <row r="4827" spans="6:9">
      <c r="F4827" s="12" t="s">
        <v>1442</v>
      </c>
      <c r="G4827" s="12" t="s">
        <v>157</v>
      </c>
      <c r="H4827" s="15">
        <v>114412</v>
      </c>
      <c r="I4827" s="13">
        <v>35</v>
      </c>
    </row>
    <row r="4828" spans="6:9">
      <c r="F4828" s="12" t="s">
        <v>1549</v>
      </c>
      <c r="G4828" s="12" t="s">
        <v>159</v>
      </c>
      <c r="H4828" s="15">
        <v>558800</v>
      </c>
      <c r="I4828" s="13">
        <v>35</v>
      </c>
    </row>
    <row r="4829" spans="6:9">
      <c r="F4829" s="12" t="s">
        <v>5133</v>
      </c>
      <c r="G4829" s="12" t="s">
        <v>157</v>
      </c>
      <c r="H4829" s="15">
        <v>67240</v>
      </c>
      <c r="I4829" s="13">
        <v>35</v>
      </c>
    </row>
    <row r="4830" spans="6:9">
      <c r="F4830" s="12" t="s">
        <v>5134</v>
      </c>
      <c r="G4830" s="12" t="s">
        <v>159</v>
      </c>
      <c r="H4830" s="15">
        <v>36600</v>
      </c>
      <c r="I4830" s="13">
        <v>35</v>
      </c>
    </row>
    <row r="4831" spans="6:9">
      <c r="F4831" s="12" t="s">
        <v>2678</v>
      </c>
      <c r="G4831" s="12" t="s">
        <v>157</v>
      </c>
      <c r="H4831" s="15">
        <v>59672</v>
      </c>
      <c r="I4831" s="13">
        <v>35</v>
      </c>
    </row>
    <row r="4832" spans="6:9">
      <c r="F4832" s="12" t="s">
        <v>2680</v>
      </c>
      <c r="G4832" s="12" t="s">
        <v>157</v>
      </c>
      <c r="H4832" s="15">
        <v>40290</v>
      </c>
      <c r="I4832" s="13">
        <v>35</v>
      </c>
    </row>
    <row r="4833" spans="6:9">
      <c r="F4833" s="12" t="s">
        <v>5135</v>
      </c>
      <c r="G4833" s="12" t="s">
        <v>157</v>
      </c>
      <c r="H4833" s="15">
        <v>91571</v>
      </c>
      <c r="I4833" s="13">
        <v>35</v>
      </c>
    </row>
    <row r="4834" spans="6:9">
      <c r="F4834" s="12" t="s">
        <v>634</v>
      </c>
      <c r="G4834" s="12" t="s">
        <v>157</v>
      </c>
      <c r="H4834" s="15">
        <v>16157</v>
      </c>
      <c r="I4834" s="13">
        <v>35</v>
      </c>
    </row>
    <row r="4835" spans="6:9">
      <c r="F4835" s="12" t="s">
        <v>1685</v>
      </c>
      <c r="G4835" s="12" t="s">
        <v>157</v>
      </c>
      <c r="H4835" s="15">
        <v>921004</v>
      </c>
      <c r="I4835" s="13">
        <v>35</v>
      </c>
    </row>
    <row r="4836" spans="6:9">
      <c r="F4836" s="12" t="s">
        <v>1784</v>
      </c>
      <c r="G4836" s="12" t="s">
        <v>157</v>
      </c>
      <c r="H4836" s="15">
        <v>200688</v>
      </c>
      <c r="I4836" s="13">
        <v>35</v>
      </c>
    </row>
    <row r="4837" spans="6:9">
      <c r="F4837" s="12" t="s">
        <v>5136</v>
      </c>
      <c r="G4837" s="12" t="s">
        <v>159</v>
      </c>
      <c r="H4837" s="15">
        <v>69000</v>
      </c>
      <c r="I4837" s="13">
        <v>35</v>
      </c>
    </row>
    <row r="4838" spans="6:9">
      <c r="F4838" s="12" t="s">
        <v>2683</v>
      </c>
      <c r="G4838" s="12" t="s">
        <v>157</v>
      </c>
      <c r="H4838" s="15">
        <v>43865</v>
      </c>
      <c r="I4838" s="13">
        <v>35</v>
      </c>
    </row>
    <row r="4839" spans="6:9">
      <c r="F4839" s="12" t="s">
        <v>2684</v>
      </c>
      <c r="G4839" s="12" t="s">
        <v>157</v>
      </c>
      <c r="H4839" s="15">
        <v>44798</v>
      </c>
      <c r="I4839" s="13">
        <v>35</v>
      </c>
    </row>
    <row r="4840" spans="6:9">
      <c r="F4840" s="12" t="s">
        <v>2686</v>
      </c>
      <c r="G4840" s="12" t="s">
        <v>157</v>
      </c>
      <c r="H4840" s="15">
        <v>49207</v>
      </c>
      <c r="I4840" s="13">
        <v>35</v>
      </c>
    </row>
    <row r="4841" spans="6:9">
      <c r="F4841" s="12" t="s">
        <v>1457</v>
      </c>
      <c r="G4841" s="12" t="s">
        <v>157</v>
      </c>
      <c r="H4841" s="15">
        <v>154596</v>
      </c>
      <c r="I4841" s="13">
        <v>35</v>
      </c>
    </row>
    <row r="4842" spans="6:9">
      <c r="F4842" s="12" t="s">
        <v>5137</v>
      </c>
      <c r="G4842" s="12" t="s">
        <v>159</v>
      </c>
      <c r="H4842" s="15">
        <v>26100</v>
      </c>
      <c r="I4842" s="13">
        <v>35</v>
      </c>
    </row>
    <row r="4843" spans="6:9">
      <c r="F4843" s="12" t="s">
        <v>1803</v>
      </c>
      <c r="G4843" s="12" t="s">
        <v>157</v>
      </c>
      <c r="H4843" s="15">
        <v>9199821</v>
      </c>
      <c r="I4843" s="13">
        <v>35</v>
      </c>
    </row>
    <row r="4844" spans="6:9">
      <c r="F4844" s="12" t="s">
        <v>5138</v>
      </c>
      <c r="G4844" s="12" t="s">
        <v>157</v>
      </c>
      <c r="H4844" s="15">
        <v>89246</v>
      </c>
      <c r="I4844" s="13">
        <v>35</v>
      </c>
    </row>
    <row r="4845" spans="6:9">
      <c r="F4845" s="12" t="s">
        <v>5139</v>
      </c>
      <c r="G4845" s="12" t="s">
        <v>159</v>
      </c>
      <c r="H4845" s="15">
        <v>10700</v>
      </c>
      <c r="I4845" s="13">
        <v>35</v>
      </c>
    </row>
    <row r="4846" spans="6:9">
      <c r="F4846" s="12" t="s">
        <v>643</v>
      </c>
      <c r="G4846" s="12" t="s">
        <v>157</v>
      </c>
      <c r="H4846" s="15">
        <v>24054</v>
      </c>
      <c r="I4846" s="13">
        <v>35</v>
      </c>
    </row>
    <row r="4847" spans="6:9">
      <c r="F4847" s="12" t="s">
        <v>5140</v>
      </c>
      <c r="G4847" s="12" t="s">
        <v>157</v>
      </c>
      <c r="H4847" s="15">
        <v>62629</v>
      </c>
      <c r="I4847" s="13">
        <v>35</v>
      </c>
    </row>
    <row r="4848" spans="6:9">
      <c r="F4848" s="12" t="s">
        <v>1463</v>
      </c>
      <c r="G4848" s="12" t="s">
        <v>157</v>
      </c>
      <c r="H4848" s="15">
        <v>101319</v>
      </c>
      <c r="I4848" s="13">
        <v>35</v>
      </c>
    </row>
    <row r="4849" spans="6:9">
      <c r="F4849" s="12" t="s">
        <v>1466</v>
      </c>
      <c r="G4849" s="12" t="s">
        <v>157</v>
      </c>
      <c r="H4849" s="15">
        <v>194674</v>
      </c>
      <c r="I4849" s="13">
        <v>35</v>
      </c>
    </row>
    <row r="4850" spans="6:9">
      <c r="F4850" s="12" t="s">
        <v>1336</v>
      </c>
      <c r="G4850" s="12" t="s">
        <v>157</v>
      </c>
      <c r="H4850" s="15">
        <v>12292815</v>
      </c>
      <c r="I4850" s="13">
        <v>35</v>
      </c>
    </row>
    <row r="4851" spans="6:9">
      <c r="F4851" s="12" t="s">
        <v>5141</v>
      </c>
      <c r="G4851" s="12" t="s">
        <v>159</v>
      </c>
      <c r="H4851" s="15">
        <v>34800</v>
      </c>
      <c r="I4851" s="13">
        <v>35</v>
      </c>
    </row>
    <row r="4852" spans="6:9">
      <c r="F4852" s="12" t="s">
        <v>5142</v>
      </c>
      <c r="G4852" s="12" t="s">
        <v>157</v>
      </c>
      <c r="H4852" s="15">
        <v>51763</v>
      </c>
      <c r="I4852" s="13">
        <v>35</v>
      </c>
    </row>
    <row r="4853" spans="6:9">
      <c r="F4853" s="12" t="s">
        <v>5143</v>
      </c>
      <c r="G4853" s="12" t="s">
        <v>159</v>
      </c>
      <c r="H4853" s="15">
        <v>38400</v>
      </c>
      <c r="I4853" s="13">
        <v>35</v>
      </c>
    </row>
    <row r="4854" spans="6:9">
      <c r="F4854" s="12" t="s">
        <v>645</v>
      </c>
      <c r="G4854" s="12" t="s">
        <v>157</v>
      </c>
      <c r="H4854" s="15">
        <v>22518</v>
      </c>
      <c r="I4854" s="13">
        <v>35</v>
      </c>
    </row>
    <row r="4855" spans="6:9">
      <c r="F4855" s="12" t="s">
        <v>5144</v>
      </c>
      <c r="G4855" s="12" t="s">
        <v>159</v>
      </c>
      <c r="H4855" s="15">
        <v>12100</v>
      </c>
      <c r="I4855" s="13">
        <v>35</v>
      </c>
    </row>
    <row r="4856" spans="6:9">
      <c r="F4856" s="12" t="s">
        <v>2687</v>
      </c>
      <c r="G4856" s="12" t="s">
        <v>157</v>
      </c>
      <c r="H4856" s="15">
        <v>52303</v>
      </c>
      <c r="I4856" s="13">
        <v>35</v>
      </c>
    </row>
    <row r="4857" spans="6:9">
      <c r="F4857" s="12" t="s">
        <v>2689</v>
      </c>
      <c r="G4857" s="12" t="s">
        <v>157</v>
      </c>
      <c r="H4857" s="15">
        <v>37588</v>
      </c>
      <c r="I4857" s="13">
        <v>35</v>
      </c>
    </row>
    <row r="4858" spans="6:9">
      <c r="F4858" s="12" t="s">
        <v>5145</v>
      </c>
      <c r="G4858" s="12" t="s">
        <v>159</v>
      </c>
      <c r="H4858" s="15">
        <v>15600</v>
      </c>
      <c r="I4858" s="13">
        <v>35</v>
      </c>
    </row>
    <row r="4859" spans="6:9">
      <c r="F4859" s="12" t="s">
        <v>605</v>
      </c>
      <c r="G4859" s="12" t="s">
        <v>157</v>
      </c>
      <c r="H4859" s="15">
        <v>82105</v>
      </c>
      <c r="I4859" s="13">
        <v>35</v>
      </c>
    </row>
    <row r="4860" spans="6:9">
      <c r="F4860" s="12" t="s">
        <v>1571</v>
      </c>
      <c r="G4860" s="12" t="s">
        <v>159</v>
      </c>
      <c r="H4860" s="15">
        <v>253400</v>
      </c>
      <c r="I4860" s="13">
        <v>35</v>
      </c>
    </row>
    <row r="4861" spans="6:9">
      <c r="F4861" s="12" t="s">
        <v>1468</v>
      </c>
      <c r="G4861" s="12" t="s">
        <v>157</v>
      </c>
      <c r="H4861" s="15">
        <v>104405</v>
      </c>
      <c r="I4861" s="13">
        <v>35</v>
      </c>
    </row>
    <row r="4862" spans="6:9">
      <c r="F4862" s="12" t="s">
        <v>1789</v>
      </c>
      <c r="G4862" s="12" t="s">
        <v>157</v>
      </c>
      <c r="H4862" s="15">
        <v>291117</v>
      </c>
      <c r="I4862" s="13">
        <v>35</v>
      </c>
    </row>
    <row r="4863" spans="6:9">
      <c r="F4863" s="12" t="s">
        <v>2693</v>
      </c>
      <c r="G4863" s="12" t="s">
        <v>157</v>
      </c>
      <c r="H4863" s="15">
        <v>68536</v>
      </c>
      <c r="I4863" s="13">
        <v>35</v>
      </c>
    </row>
    <row r="4864" spans="6:9">
      <c r="F4864" s="12" t="s">
        <v>1794</v>
      </c>
      <c r="G4864" s="12" t="s">
        <v>157</v>
      </c>
      <c r="H4864" s="15">
        <v>120903</v>
      </c>
      <c r="I4864" s="13">
        <v>35</v>
      </c>
    </row>
    <row r="4865" spans="6:9">
      <c r="F4865" s="12" t="s">
        <v>2698</v>
      </c>
      <c r="G4865" s="12" t="s">
        <v>157</v>
      </c>
      <c r="H4865" s="15">
        <v>69666</v>
      </c>
      <c r="I4865" s="13">
        <v>35</v>
      </c>
    </row>
    <row r="4866" spans="6:9">
      <c r="F4866" s="12" t="s">
        <v>1735</v>
      </c>
      <c r="G4866" s="12" t="s">
        <v>157</v>
      </c>
      <c r="H4866" s="15">
        <v>93474</v>
      </c>
      <c r="I4866" s="13">
        <v>35</v>
      </c>
    </row>
    <row r="4867" spans="6:9">
      <c r="F4867" s="12" t="s">
        <v>5146</v>
      </c>
      <c r="G4867" s="12" t="s">
        <v>159</v>
      </c>
      <c r="H4867" s="15">
        <v>20500</v>
      </c>
      <c r="I4867" s="13">
        <v>35</v>
      </c>
    </row>
    <row r="4868" spans="6:9">
      <c r="F4868" s="12" t="s">
        <v>2701</v>
      </c>
      <c r="G4868" s="12" t="s">
        <v>157</v>
      </c>
      <c r="H4868" s="15">
        <v>34503</v>
      </c>
      <c r="I4868" s="13">
        <v>35</v>
      </c>
    </row>
    <row r="4869" spans="6:9">
      <c r="F4869" s="12" t="s">
        <v>5147</v>
      </c>
      <c r="G4869" s="12" t="s">
        <v>159</v>
      </c>
      <c r="H4869" s="15">
        <v>10100</v>
      </c>
      <c r="I4869" s="13">
        <v>35</v>
      </c>
    </row>
    <row r="4870" spans="6:9">
      <c r="F4870" s="12" t="s">
        <v>5148</v>
      </c>
      <c r="G4870" s="12" t="s">
        <v>159</v>
      </c>
      <c r="H4870" s="15">
        <v>30600</v>
      </c>
      <c r="I4870" s="13">
        <v>35</v>
      </c>
    </row>
    <row r="4871" spans="6:9">
      <c r="F4871" s="12" t="s">
        <v>613</v>
      </c>
      <c r="G4871" s="12" t="s">
        <v>157</v>
      </c>
      <c r="H4871" s="15">
        <v>420042</v>
      </c>
      <c r="I4871" s="13">
        <v>35</v>
      </c>
    </row>
    <row r="4872" spans="6:9">
      <c r="F4872" s="12" t="s">
        <v>1815</v>
      </c>
      <c r="G4872" s="12" t="s">
        <v>157</v>
      </c>
      <c r="H4872" s="15">
        <v>126871</v>
      </c>
      <c r="I4872" s="13">
        <v>35</v>
      </c>
    </row>
    <row r="4873" spans="6:9">
      <c r="F4873" s="12" t="s">
        <v>5149</v>
      </c>
      <c r="G4873" s="12" t="s">
        <v>159</v>
      </c>
      <c r="H4873" s="15">
        <v>24600</v>
      </c>
      <c r="I4873" s="13">
        <v>35</v>
      </c>
    </row>
    <row r="4874" spans="6:9">
      <c r="F4874" s="12" t="s">
        <v>5150</v>
      </c>
      <c r="G4874" s="12" t="s">
        <v>157</v>
      </c>
      <c r="H4874" s="15">
        <v>81419</v>
      </c>
      <c r="I4874" s="13">
        <v>35</v>
      </c>
    </row>
    <row r="4875" spans="6:9">
      <c r="F4875" s="12" t="s">
        <v>2703</v>
      </c>
      <c r="G4875" s="12" t="s">
        <v>157</v>
      </c>
      <c r="H4875" s="15">
        <v>64217</v>
      </c>
      <c r="I4875" s="13">
        <v>35</v>
      </c>
    </row>
    <row r="4876" spans="6:9">
      <c r="F4876" s="12" t="s">
        <v>5151</v>
      </c>
      <c r="G4876" s="12" t="s">
        <v>159</v>
      </c>
      <c r="H4876" s="15">
        <v>11500</v>
      </c>
      <c r="I4876" s="13">
        <v>35</v>
      </c>
    </row>
    <row r="4877" spans="6:9">
      <c r="F4877" s="12" t="s">
        <v>5152</v>
      </c>
      <c r="G4877" s="12" t="s">
        <v>159</v>
      </c>
      <c r="H4877" s="15">
        <v>18100</v>
      </c>
      <c r="I4877" s="13">
        <v>35</v>
      </c>
    </row>
    <row r="4878" spans="6:9">
      <c r="F4878" s="12" t="s">
        <v>1595</v>
      </c>
      <c r="G4878" s="12" t="s">
        <v>159</v>
      </c>
      <c r="H4878" s="15">
        <v>103700</v>
      </c>
      <c r="I4878" s="13">
        <v>35</v>
      </c>
    </row>
    <row r="4879" spans="6:9">
      <c r="F4879" s="12" t="s">
        <v>5153</v>
      </c>
      <c r="G4879" s="12" t="s">
        <v>157</v>
      </c>
      <c r="H4879" s="15">
        <v>49134</v>
      </c>
      <c r="I4879" s="13">
        <v>35</v>
      </c>
    </row>
    <row r="4880" spans="6:9">
      <c r="F4880" s="12" t="s">
        <v>2707</v>
      </c>
      <c r="G4880" s="12" t="s">
        <v>157</v>
      </c>
      <c r="H4880" s="15">
        <v>52465</v>
      </c>
      <c r="I4880" s="13">
        <v>35</v>
      </c>
    </row>
    <row r="4881" spans="6:9">
      <c r="F4881" s="12" t="s">
        <v>5154</v>
      </c>
      <c r="G4881" s="12" t="s">
        <v>159</v>
      </c>
      <c r="H4881" s="15">
        <v>56700</v>
      </c>
      <c r="I4881" s="13">
        <v>35</v>
      </c>
    </row>
    <row r="4882" spans="6:9">
      <c r="F4882" s="12" t="s">
        <v>5155</v>
      </c>
      <c r="G4882" s="12" t="s">
        <v>157</v>
      </c>
      <c r="H4882" s="15">
        <v>47379</v>
      </c>
      <c r="I4882" s="13">
        <v>34</v>
      </c>
    </row>
    <row r="4883" spans="6:9">
      <c r="F4883" s="12" t="s">
        <v>1656</v>
      </c>
      <c r="G4883" s="12" t="s">
        <v>159</v>
      </c>
      <c r="H4883" s="15">
        <v>613500</v>
      </c>
      <c r="I4883" s="13">
        <v>34</v>
      </c>
    </row>
    <row r="4884" spans="6:9">
      <c r="F4884" s="12" t="s">
        <v>5156</v>
      </c>
      <c r="G4884" s="12" t="s">
        <v>159</v>
      </c>
      <c r="H4884" s="15">
        <v>33100</v>
      </c>
      <c r="I4884" s="13">
        <v>34</v>
      </c>
    </row>
    <row r="4885" spans="6:9">
      <c r="F4885" s="12" t="s">
        <v>5157</v>
      </c>
      <c r="G4885" s="12" t="s">
        <v>157</v>
      </c>
      <c r="H4885" s="15">
        <v>50898</v>
      </c>
      <c r="I4885" s="13">
        <v>34</v>
      </c>
    </row>
    <row r="4886" spans="6:9">
      <c r="F4886" s="12" t="s">
        <v>1495</v>
      </c>
      <c r="G4886" s="12" t="s">
        <v>157</v>
      </c>
      <c r="H4886" s="15">
        <v>317931</v>
      </c>
      <c r="I4886" s="13">
        <v>34</v>
      </c>
    </row>
    <row r="4887" spans="6:9">
      <c r="F4887" s="12" t="s">
        <v>5158</v>
      </c>
      <c r="G4887" s="12" t="s">
        <v>159</v>
      </c>
      <c r="H4887" s="15">
        <v>27500</v>
      </c>
      <c r="I4887" s="13">
        <v>34</v>
      </c>
    </row>
    <row r="4888" spans="6:9">
      <c r="F4888" s="12" t="s">
        <v>1497</v>
      </c>
      <c r="G4888" s="12" t="s">
        <v>157</v>
      </c>
      <c r="H4888" s="15">
        <v>116789</v>
      </c>
      <c r="I4888" s="13">
        <v>34</v>
      </c>
    </row>
    <row r="4889" spans="6:9">
      <c r="F4889" s="12" t="s">
        <v>630</v>
      </c>
      <c r="G4889" s="12" t="s">
        <v>157</v>
      </c>
      <c r="H4889" s="15">
        <v>23551</v>
      </c>
      <c r="I4889" s="13">
        <v>34</v>
      </c>
    </row>
    <row r="4890" spans="6:9">
      <c r="F4890" s="12" t="s">
        <v>2712</v>
      </c>
      <c r="G4890" s="12" t="s">
        <v>157</v>
      </c>
      <c r="H4890" s="15">
        <v>46743</v>
      </c>
      <c r="I4890" s="13">
        <v>34</v>
      </c>
    </row>
    <row r="4891" spans="6:9">
      <c r="F4891" s="12" t="s">
        <v>5159</v>
      </c>
      <c r="G4891" s="12" t="s">
        <v>159</v>
      </c>
      <c r="H4891" s="15">
        <v>88300</v>
      </c>
      <c r="I4891" s="13">
        <v>34</v>
      </c>
    </row>
    <row r="4892" spans="6:9">
      <c r="F4892" s="12" t="s">
        <v>1506</v>
      </c>
      <c r="G4892" s="12" t="s">
        <v>157</v>
      </c>
      <c r="H4892" s="15">
        <v>194054</v>
      </c>
      <c r="I4892" s="13">
        <v>34</v>
      </c>
    </row>
    <row r="4893" spans="6:9">
      <c r="F4893" s="12" t="s">
        <v>1821</v>
      </c>
      <c r="G4893" s="12" t="s">
        <v>157</v>
      </c>
      <c r="H4893" s="15">
        <v>108222</v>
      </c>
      <c r="I4893" s="13">
        <v>34</v>
      </c>
    </row>
    <row r="4894" spans="6:9">
      <c r="F4894" s="12" t="s">
        <v>5160</v>
      </c>
      <c r="G4894" s="12" t="s">
        <v>159</v>
      </c>
      <c r="H4894" s="15">
        <v>16100</v>
      </c>
      <c r="I4894" s="13">
        <v>34</v>
      </c>
    </row>
    <row r="4895" spans="6:9">
      <c r="F4895" s="12" t="s">
        <v>5161</v>
      </c>
      <c r="G4895" s="12" t="s">
        <v>159</v>
      </c>
      <c r="H4895" s="15">
        <v>24900</v>
      </c>
      <c r="I4895" s="13">
        <v>34</v>
      </c>
    </row>
    <row r="4896" spans="6:9">
      <c r="F4896" s="12" t="s">
        <v>5162</v>
      </c>
      <c r="G4896" s="12" t="s">
        <v>157</v>
      </c>
      <c r="H4896" s="15">
        <v>47418</v>
      </c>
      <c r="I4896" s="13">
        <v>34</v>
      </c>
    </row>
    <row r="4897" spans="6:9">
      <c r="F4897" s="12" t="s">
        <v>1042</v>
      </c>
      <c r="G4897" s="12" t="s">
        <v>157</v>
      </c>
      <c r="H4897" s="15">
        <v>30400</v>
      </c>
      <c r="I4897" s="13">
        <v>34</v>
      </c>
    </row>
    <row r="4898" spans="6:9">
      <c r="F4898" s="12" t="s">
        <v>1511</v>
      </c>
      <c r="G4898" s="12" t="s">
        <v>157</v>
      </c>
      <c r="H4898" s="15">
        <v>117030</v>
      </c>
      <c r="I4898" s="13">
        <v>34</v>
      </c>
    </row>
    <row r="4899" spans="6:9">
      <c r="F4899" s="12" t="s">
        <v>5163</v>
      </c>
      <c r="G4899" s="12" t="s">
        <v>157</v>
      </c>
      <c r="H4899" s="15">
        <v>83917</v>
      </c>
      <c r="I4899" s="13">
        <v>34</v>
      </c>
    </row>
    <row r="4900" spans="6:9">
      <c r="F4900" s="12" t="s">
        <v>1628</v>
      </c>
      <c r="G4900" s="12" t="s">
        <v>159</v>
      </c>
      <c r="H4900" s="15">
        <v>1300000</v>
      </c>
      <c r="I4900" s="13">
        <v>34</v>
      </c>
    </row>
    <row r="4901" spans="6:9">
      <c r="F4901" s="12" t="s">
        <v>1825</v>
      </c>
      <c r="G4901" s="12" t="s">
        <v>157</v>
      </c>
      <c r="H4901" s="15">
        <v>105892</v>
      </c>
      <c r="I4901" s="13">
        <v>34</v>
      </c>
    </row>
    <row r="4902" spans="6:9">
      <c r="F4902" s="12" t="s">
        <v>5164</v>
      </c>
      <c r="G4902" s="12" t="s">
        <v>159</v>
      </c>
      <c r="H4902" s="15">
        <v>66200</v>
      </c>
      <c r="I4902" s="13">
        <v>34</v>
      </c>
    </row>
    <row r="4903" spans="6:9">
      <c r="F4903" s="12" t="s">
        <v>650</v>
      </c>
      <c r="G4903" s="12" t="s">
        <v>157</v>
      </c>
      <c r="H4903" s="15">
        <v>25658</v>
      </c>
      <c r="I4903" s="13">
        <v>34</v>
      </c>
    </row>
    <row r="4904" spans="6:9">
      <c r="F4904" s="12" t="s">
        <v>5165</v>
      </c>
      <c r="G4904" s="12" t="s">
        <v>157</v>
      </c>
      <c r="H4904" s="15">
        <v>38604</v>
      </c>
      <c r="I4904" s="13">
        <v>34</v>
      </c>
    </row>
    <row r="4905" spans="6:9">
      <c r="F4905" s="12" t="s">
        <v>652</v>
      </c>
      <c r="G4905" s="12" t="s">
        <v>157</v>
      </c>
      <c r="H4905" s="15">
        <v>10661</v>
      </c>
      <c r="I4905" s="13">
        <v>34</v>
      </c>
    </row>
    <row r="4906" spans="6:9">
      <c r="F4906" s="12" t="s">
        <v>654</v>
      </c>
      <c r="G4906" s="12" t="s">
        <v>157</v>
      </c>
      <c r="H4906" s="15">
        <v>205371</v>
      </c>
      <c r="I4906" s="13">
        <v>34</v>
      </c>
    </row>
    <row r="4907" spans="6:9">
      <c r="F4907" s="12" t="s">
        <v>1517</v>
      </c>
      <c r="G4907" s="12" t="s">
        <v>157</v>
      </c>
      <c r="H4907" s="15">
        <v>143830</v>
      </c>
      <c r="I4907" s="13">
        <v>34</v>
      </c>
    </row>
    <row r="4908" spans="6:9">
      <c r="F4908" s="12" t="s">
        <v>1520</v>
      </c>
      <c r="G4908" s="12" t="s">
        <v>157</v>
      </c>
      <c r="H4908" s="15">
        <v>158353</v>
      </c>
      <c r="I4908" s="13">
        <v>34</v>
      </c>
    </row>
    <row r="4909" spans="6:9">
      <c r="F4909" s="12" t="s">
        <v>5166</v>
      </c>
      <c r="G4909" s="12" t="s">
        <v>157</v>
      </c>
      <c r="H4909" s="15">
        <v>36115</v>
      </c>
      <c r="I4909" s="13">
        <v>34</v>
      </c>
    </row>
    <row r="4910" spans="6:9">
      <c r="F4910" s="12" t="s">
        <v>1638</v>
      </c>
      <c r="G4910" s="12" t="s">
        <v>159</v>
      </c>
      <c r="H4910" s="15">
        <v>144600</v>
      </c>
      <c r="I4910" s="13">
        <v>34</v>
      </c>
    </row>
    <row r="4911" spans="6:9">
      <c r="F4911" s="12" t="s">
        <v>662</v>
      </c>
      <c r="G4911" s="12" t="s">
        <v>157</v>
      </c>
      <c r="H4911" s="15">
        <v>113909</v>
      </c>
      <c r="I4911" s="13">
        <v>34</v>
      </c>
    </row>
    <row r="4912" spans="6:9">
      <c r="F4912" s="12" t="s">
        <v>2717</v>
      </c>
      <c r="G4912" s="12" t="s">
        <v>157</v>
      </c>
      <c r="H4912" s="15">
        <v>53101</v>
      </c>
      <c r="I4912" s="13">
        <v>34</v>
      </c>
    </row>
    <row r="4913" spans="6:9">
      <c r="F4913" s="12" t="s">
        <v>5167</v>
      </c>
      <c r="G4913" s="12" t="s">
        <v>157</v>
      </c>
      <c r="H4913" s="15">
        <v>55898</v>
      </c>
      <c r="I4913" s="13">
        <v>34</v>
      </c>
    </row>
    <row r="4914" spans="6:9">
      <c r="F4914" s="12" t="s">
        <v>1758</v>
      </c>
      <c r="G4914" s="12" t="s">
        <v>157</v>
      </c>
      <c r="H4914" s="15">
        <v>40203</v>
      </c>
      <c r="I4914" s="13">
        <v>34</v>
      </c>
    </row>
    <row r="4915" spans="6:9">
      <c r="F4915" s="12" t="s">
        <v>2719</v>
      </c>
      <c r="G4915" s="12" t="s">
        <v>157</v>
      </c>
      <c r="H4915" s="15">
        <v>40648</v>
      </c>
      <c r="I4915" s="13">
        <v>34</v>
      </c>
    </row>
    <row r="4916" spans="6:9">
      <c r="F4916" s="12" t="s">
        <v>1525</v>
      </c>
      <c r="G4916" s="12" t="s">
        <v>157</v>
      </c>
      <c r="H4916" s="15">
        <v>140906</v>
      </c>
      <c r="I4916" s="13">
        <v>34</v>
      </c>
    </row>
    <row r="4917" spans="6:9">
      <c r="F4917" s="12" t="s">
        <v>1528</v>
      </c>
      <c r="G4917" s="12" t="s">
        <v>157</v>
      </c>
      <c r="H4917" s="15">
        <v>356088</v>
      </c>
      <c r="I4917" s="13">
        <v>34</v>
      </c>
    </row>
    <row r="4918" spans="6:9">
      <c r="F4918" s="12" t="s">
        <v>1542</v>
      </c>
      <c r="G4918" s="12" t="s">
        <v>157</v>
      </c>
      <c r="H4918" s="15">
        <v>16812</v>
      </c>
      <c r="I4918" s="13">
        <v>34</v>
      </c>
    </row>
    <row r="4919" spans="6:9">
      <c r="F4919" s="12" t="s">
        <v>5168</v>
      </c>
      <c r="G4919" s="12" t="s">
        <v>159</v>
      </c>
      <c r="H4919" s="15">
        <v>13300</v>
      </c>
      <c r="I4919" s="13">
        <v>34</v>
      </c>
    </row>
    <row r="4920" spans="6:9">
      <c r="F4920" s="12" t="s">
        <v>670</v>
      </c>
      <c r="G4920" s="12" t="s">
        <v>157</v>
      </c>
      <c r="H4920" s="15">
        <v>14730</v>
      </c>
      <c r="I4920" s="13">
        <v>34</v>
      </c>
    </row>
    <row r="4921" spans="6:9">
      <c r="F4921" s="12" t="s">
        <v>5169</v>
      </c>
      <c r="G4921" s="12" t="s">
        <v>157</v>
      </c>
      <c r="H4921" s="15">
        <v>55383</v>
      </c>
      <c r="I4921" s="13">
        <v>34</v>
      </c>
    </row>
    <row r="4922" spans="6:9">
      <c r="F4922" s="12" t="s">
        <v>1369</v>
      </c>
      <c r="G4922" s="12" t="s">
        <v>159</v>
      </c>
      <c r="H4922" s="15">
        <v>279800</v>
      </c>
      <c r="I4922" s="13">
        <v>34</v>
      </c>
    </row>
    <row r="4923" spans="6:9">
      <c r="F4923" s="12" t="s">
        <v>5170</v>
      </c>
      <c r="G4923" s="12" t="s">
        <v>157</v>
      </c>
      <c r="H4923" s="15">
        <v>38011</v>
      </c>
      <c r="I4923" s="13">
        <v>34</v>
      </c>
    </row>
    <row r="4924" spans="6:9">
      <c r="F4924" s="12" t="s">
        <v>1538</v>
      </c>
      <c r="G4924" s="12" t="s">
        <v>157</v>
      </c>
      <c r="H4924" s="15">
        <v>541741</v>
      </c>
      <c r="I4924" s="13">
        <v>34</v>
      </c>
    </row>
    <row r="4925" spans="6:9">
      <c r="F4925" s="12" t="s">
        <v>5171</v>
      </c>
      <c r="G4925" s="12" t="s">
        <v>159</v>
      </c>
      <c r="H4925" s="15">
        <v>39100</v>
      </c>
      <c r="I4925" s="13">
        <v>34</v>
      </c>
    </row>
    <row r="4926" spans="6:9">
      <c r="F4926" s="12" t="s">
        <v>5172</v>
      </c>
      <c r="G4926" s="12" t="s">
        <v>157</v>
      </c>
      <c r="H4926" s="15">
        <v>67244</v>
      </c>
      <c r="I4926" s="13">
        <v>34</v>
      </c>
    </row>
    <row r="4927" spans="6:9">
      <c r="F4927" s="12" t="s">
        <v>5173</v>
      </c>
      <c r="G4927" s="12" t="s">
        <v>157</v>
      </c>
      <c r="H4927" s="15">
        <v>40279</v>
      </c>
      <c r="I4927" s="13">
        <v>33</v>
      </c>
    </row>
    <row r="4928" spans="6:9">
      <c r="F4928" s="12" t="s">
        <v>5174</v>
      </c>
      <c r="G4928" s="12" t="s">
        <v>157</v>
      </c>
      <c r="H4928" s="15">
        <v>34862</v>
      </c>
      <c r="I4928" s="13">
        <v>33</v>
      </c>
    </row>
    <row r="4929" spans="6:9">
      <c r="F4929" s="12" t="s">
        <v>5175</v>
      </c>
      <c r="G4929" s="12" t="s">
        <v>159</v>
      </c>
      <c r="H4929" s="15">
        <v>63800</v>
      </c>
      <c r="I4929" s="13">
        <v>33</v>
      </c>
    </row>
    <row r="4930" spans="6:9">
      <c r="F4930" s="12" t="s">
        <v>5176</v>
      </c>
      <c r="G4930" s="12" t="s">
        <v>159</v>
      </c>
      <c r="H4930" s="15">
        <v>79700</v>
      </c>
      <c r="I4930" s="13">
        <v>33</v>
      </c>
    </row>
    <row r="4931" spans="6:9">
      <c r="F4931" s="12" t="s">
        <v>5177</v>
      </c>
      <c r="G4931" s="12" t="s">
        <v>159</v>
      </c>
      <c r="H4931" s="15">
        <v>54100</v>
      </c>
      <c r="I4931" s="13">
        <v>33</v>
      </c>
    </row>
    <row r="4932" spans="6:9">
      <c r="F4932" s="12" t="s">
        <v>1546</v>
      </c>
      <c r="G4932" s="12" t="s">
        <v>157</v>
      </c>
      <c r="H4932" s="15">
        <v>192986</v>
      </c>
      <c r="I4932" s="13">
        <v>33</v>
      </c>
    </row>
    <row r="4933" spans="6:9">
      <c r="F4933" s="12" t="s">
        <v>5178</v>
      </c>
      <c r="G4933" s="12" t="s">
        <v>159</v>
      </c>
      <c r="H4933" s="15">
        <v>18100</v>
      </c>
      <c r="I4933" s="13">
        <v>33</v>
      </c>
    </row>
    <row r="4934" spans="6:9">
      <c r="F4934" s="12" t="s">
        <v>5179</v>
      </c>
      <c r="G4934" s="12" t="s">
        <v>159</v>
      </c>
      <c r="H4934" s="15">
        <v>77600</v>
      </c>
      <c r="I4934" s="13">
        <v>33</v>
      </c>
    </row>
    <row r="4935" spans="6:9">
      <c r="F4935" s="12" t="s">
        <v>825</v>
      </c>
      <c r="G4935" s="12" t="s">
        <v>157</v>
      </c>
      <c r="H4935" s="15">
        <v>45067</v>
      </c>
      <c r="I4935" s="13">
        <v>33</v>
      </c>
    </row>
    <row r="4936" spans="6:9">
      <c r="F4936" s="12" t="s">
        <v>5180</v>
      </c>
      <c r="G4936" s="12" t="s">
        <v>157</v>
      </c>
      <c r="H4936" s="15">
        <v>53631</v>
      </c>
      <c r="I4936" s="13">
        <v>33</v>
      </c>
    </row>
    <row r="4937" spans="6:9">
      <c r="F4937" s="12" t="s">
        <v>5181</v>
      </c>
      <c r="G4937" s="12" t="s">
        <v>159</v>
      </c>
      <c r="H4937" s="15">
        <v>16600</v>
      </c>
      <c r="I4937" s="13">
        <v>33</v>
      </c>
    </row>
    <row r="4938" spans="6:9">
      <c r="F4938" s="12" t="s">
        <v>854</v>
      </c>
      <c r="G4938" s="12" t="s">
        <v>157</v>
      </c>
      <c r="H4938" s="15">
        <v>19832</v>
      </c>
      <c r="I4938" s="13">
        <v>33</v>
      </c>
    </row>
    <row r="4939" spans="6:9">
      <c r="F4939" s="12" t="s">
        <v>5182</v>
      </c>
      <c r="G4939" s="12" t="s">
        <v>159</v>
      </c>
      <c r="H4939" s="15">
        <v>31800</v>
      </c>
      <c r="I4939" s="13">
        <v>33</v>
      </c>
    </row>
    <row r="4940" spans="6:9">
      <c r="F4940" s="12" t="s">
        <v>5183</v>
      </c>
      <c r="G4940" s="12" t="s">
        <v>159</v>
      </c>
      <c r="H4940" s="15">
        <v>62000</v>
      </c>
      <c r="I4940" s="13">
        <v>33</v>
      </c>
    </row>
    <row r="4941" spans="6:9">
      <c r="F4941" s="12" t="s">
        <v>5184</v>
      </c>
      <c r="G4941" s="12" t="s">
        <v>159</v>
      </c>
      <c r="H4941" s="15">
        <v>21300</v>
      </c>
      <c r="I4941" s="13">
        <v>33</v>
      </c>
    </row>
    <row r="4942" spans="6:9">
      <c r="F4942" s="12" t="s">
        <v>5185</v>
      </c>
      <c r="G4942" s="12" t="s">
        <v>157</v>
      </c>
      <c r="H4942" s="15">
        <v>48314</v>
      </c>
      <c r="I4942" s="13">
        <v>33</v>
      </c>
    </row>
    <row r="4943" spans="6:9">
      <c r="F4943" s="12" t="s">
        <v>1555</v>
      </c>
      <c r="G4943" s="12" t="s">
        <v>157</v>
      </c>
      <c r="H4943" s="15">
        <v>145130</v>
      </c>
      <c r="I4943" s="13">
        <v>33</v>
      </c>
    </row>
    <row r="4944" spans="6:9">
      <c r="F4944" s="12" t="s">
        <v>5186</v>
      </c>
      <c r="G4944" s="12" t="s">
        <v>159</v>
      </c>
      <c r="H4944" s="15">
        <v>27200</v>
      </c>
      <c r="I4944" s="13">
        <v>33</v>
      </c>
    </row>
    <row r="4945" spans="6:9">
      <c r="F4945" s="12" t="s">
        <v>5187</v>
      </c>
      <c r="G4945" s="12" t="s">
        <v>159</v>
      </c>
      <c r="H4945" s="15">
        <v>19700</v>
      </c>
      <c r="I4945" s="13">
        <v>33</v>
      </c>
    </row>
    <row r="4946" spans="6:9">
      <c r="F4946" s="12" t="s">
        <v>978</v>
      </c>
      <c r="G4946" s="12" t="s">
        <v>157</v>
      </c>
      <c r="H4946" s="15">
        <v>11551</v>
      </c>
      <c r="I4946" s="13">
        <v>33</v>
      </c>
    </row>
    <row r="4947" spans="6:9">
      <c r="F4947" s="12" t="s">
        <v>2724</v>
      </c>
      <c r="G4947" s="12" t="s">
        <v>157</v>
      </c>
      <c r="H4947" s="15">
        <v>49651</v>
      </c>
      <c r="I4947" s="13">
        <v>33</v>
      </c>
    </row>
    <row r="4948" spans="6:9">
      <c r="F4948" s="12" t="s">
        <v>1693</v>
      </c>
      <c r="G4948" s="12" t="s">
        <v>159</v>
      </c>
      <c r="H4948" s="15">
        <v>178000</v>
      </c>
      <c r="I4948" s="13">
        <v>33</v>
      </c>
    </row>
    <row r="4949" spans="6:9">
      <c r="F4949" s="12" t="s">
        <v>1558</v>
      </c>
      <c r="G4949" s="12" t="s">
        <v>157</v>
      </c>
      <c r="H4949" s="15">
        <v>123936</v>
      </c>
      <c r="I4949" s="13">
        <v>33</v>
      </c>
    </row>
    <row r="4950" spans="6:9">
      <c r="F4950" s="12" t="s">
        <v>5188</v>
      </c>
      <c r="G4950" s="12" t="s">
        <v>157</v>
      </c>
      <c r="H4950" s="15">
        <v>94655</v>
      </c>
      <c r="I4950" s="13">
        <v>33</v>
      </c>
    </row>
    <row r="4951" spans="6:9">
      <c r="F4951" s="12" t="s">
        <v>5189</v>
      </c>
      <c r="G4951" s="12" t="s">
        <v>159</v>
      </c>
      <c r="H4951" s="15">
        <v>55600</v>
      </c>
      <c r="I4951" s="13">
        <v>33</v>
      </c>
    </row>
    <row r="4952" spans="6:9">
      <c r="F4952" s="12" t="s">
        <v>5190</v>
      </c>
      <c r="G4952" s="12" t="s">
        <v>157</v>
      </c>
      <c r="H4952" s="15">
        <v>55734</v>
      </c>
      <c r="I4952" s="13">
        <v>33</v>
      </c>
    </row>
    <row r="4953" spans="6:9">
      <c r="F4953" s="12" t="s">
        <v>5191</v>
      </c>
      <c r="G4953" s="12" t="s">
        <v>157</v>
      </c>
      <c r="H4953" s="15">
        <v>56512</v>
      </c>
      <c r="I4953" s="13">
        <v>33</v>
      </c>
    </row>
    <row r="4954" spans="6:9">
      <c r="F4954" s="12" t="s">
        <v>1574</v>
      </c>
      <c r="G4954" s="12" t="s">
        <v>157</v>
      </c>
      <c r="H4954" s="15">
        <v>159585</v>
      </c>
      <c r="I4954" s="13">
        <v>33</v>
      </c>
    </row>
    <row r="4955" spans="6:9">
      <c r="F4955" s="12" t="s">
        <v>5192</v>
      </c>
      <c r="G4955" s="12" t="s">
        <v>159</v>
      </c>
      <c r="H4955" s="15">
        <v>25100</v>
      </c>
      <c r="I4955" s="13">
        <v>33</v>
      </c>
    </row>
    <row r="4956" spans="6:9">
      <c r="F4956" s="12" t="s">
        <v>5193</v>
      </c>
      <c r="G4956" s="12" t="s">
        <v>159</v>
      </c>
      <c r="H4956" s="15">
        <v>12400</v>
      </c>
      <c r="I4956" s="13">
        <v>33</v>
      </c>
    </row>
    <row r="4957" spans="6:9">
      <c r="F4957" s="12" t="s">
        <v>1711</v>
      </c>
      <c r="G4957" s="12" t="s">
        <v>159</v>
      </c>
      <c r="H4957" s="15">
        <v>173400</v>
      </c>
      <c r="I4957" s="13">
        <v>33</v>
      </c>
    </row>
    <row r="4958" spans="6:9">
      <c r="F4958" s="12" t="s">
        <v>5194</v>
      </c>
      <c r="G4958" s="12" t="s">
        <v>159</v>
      </c>
      <c r="H4958" s="15">
        <v>51300</v>
      </c>
      <c r="I4958" s="13">
        <v>33</v>
      </c>
    </row>
    <row r="4959" spans="6:9">
      <c r="F4959" s="12" t="s">
        <v>5195</v>
      </c>
      <c r="G4959" s="12" t="s">
        <v>159</v>
      </c>
      <c r="H4959" s="15">
        <v>24900</v>
      </c>
      <c r="I4959" s="13">
        <v>33</v>
      </c>
    </row>
    <row r="4960" spans="6:9">
      <c r="F4960" s="12" t="s">
        <v>5196</v>
      </c>
      <c r="G4960" s="12" t="s">
        <v>157</v>
      </c>
      <c r="H4960" s="15">
        <v>35337</v>
      </c>
      <c r="I4960" s="13">
        <v>33</v>
      </c>
    </row>
    <row r="4961" spans="6:9">
      <c r="F4961" s="12" t="s">
        <v>5197</v>
      </c>
      <c r="G4961" s="12" t="s">
        <v>159</v>
      </c>
      <c r="H4961" s="15">
        <v>60300</v>
      </c>
      <c r="I4961" s="13">
        <v>33</v>
      </c>
    </row>
    <row r="4962" spans="6:9">
      <c r="F4962" s="12" t="s">
        <v>5198</v>
      </c>
      <c r="G4962" s="12" t="s">
        <v>157</v>
      </c>
      <c r="H4962" s="15">
        <v>33579</v>
      </c>
      <c r="I4962" s="13">
        <v>33</v>
      </c>
    </row>
    <row r="4963" spans="6:9">
      <c r="F4963" s="12" t="s">
        <v>5199</v>
      </c>
      <c r="G4963" s="12" t="s">
        <v>159</v>
      </c>
      <c r="H4963" s="15">
        <v>40600</v>
      </c>
      <c r="I4963" s="13">
        <v>33</v>
      </c>
    </row>
    <row r="4964" spans="6:9">
      <c r="F4964" s="12" t="s">
        <v>5200</v>
      </c>
      <c r="G4964" s="12" t="s">
        <v>157</v>
      </c>
      <c r="H4964" s="15">
        <v>68662</v>
      </c>
      <c r="I4964" s="13">
        <v>33</v>
      </c>
    </row>
    <row r="4965" spans="6:9">
      <c r="F4965" s="12" t="s">
        <v>1580</v>
      </c>
      <c r="G4965" s="12" t="s">
        <v>157</v>
      </c>
      <c r="H4965" s="15">
        <v>197399</v>
      </c>
      <c r="I4965" s="13">
        <v>33</v>
      </c>
    </row>
    <row r="4966" spans="6:9">
      <c r="F4966" s="12" t="s">
        <v>1370</v>
      </c>
      <c r="G4966" s="12" t="s">
        <v>157</v>
      </c>
      <c r="H4966" s="15">
        <v>11556</v>
      </c>
      <c r="I4966" s="13">
        <v>33</v>
      </c>
    </row>
    <row r="4967" spans="6:9">
      <c r="F4967" s="12" t="s">
        <v>1761</v>
      </c>
      <c r="G4967" s="12" t="s">
        <v>159</v>
      </c>
      <c r="H4967" s="15">
        <v>209200</v>
      </c>
      <c r="I4967" s="13">
        <v>33</v>
      </c>
    </row>
    <row r="4968" spans="6:9">
      <c r="F4968" s="12" t="s">
        <v>1792</v>
      </c>
      <c r="G4968" s="12" t="s">
        <v>157</v>
      </c>
      <c r="H4968" s="15">
        <v>50427</v>
      </c>
      <c r="I4968" s="13">
        <v>33</v>
      </c>
    </row>
    <row r="4969" spans="6:9">
      <c r="F4969" s="12" t="s">
        <v>5201</v>
      </c>
      <c r="G4969" s="12" t="s">
        <v>159</v>
      </c>
      <c r="H4969" s="15">
        <v>59300</v>
      </c>
      <c r="I4969" s="13">
        <v>33</v>
      </c>
    </row>
    <row r="4970" spans="6:9">
      <c r="F4970" s="12" t="s">
        <v>5202</v>
      </c>
      <c r="G4970" s="12" t="s">
        <v>159</v>
      </c>
      <c r="H4970" s="15">
        <v>20500</v>
      </c>
      <c r="I4970" s="13">
        <v>33</v>
      </c>
    </row>
    <row r="4971" spans="6:9">
      <c r="F4971" s="12" t="s">
        <v>5203</v>
      </c>
      <c r="G4971" s="12" t="s">
        <v>157</v>
      </c>
      <c r="H4971" s="15">
        <v>61011</v>
      </c>
      <c r="I4971" s="13">
        <v>33</v>
      </c>
    </row>
    <row r="4972" spans="6:9">
      <c r="F4972" s="12" t="s">
        <v>5204</v>
      </c>
      <c r="G4972" s="12" t="s">
        <v>159</v>
      </c>
      <c r="H4972" s="15">
        <v>34200</v>
      </c>
      <c r="I4972" s="13">
        <v>33</v>
      </c>
    </row>
    <row r="4973" spans="6:9">
      <c r="F4973" s="12" t="s">
        <v>1737</v>
      </c>
      <c r="G4973" s="12" t="s">
        <v>157</v>
      </c>
      <c r="H4973" s="15">
        <v>31388</v>
      </c>
      <c r="I4973" s="13">
        <v>33</v>
      </c>
    </row>
    <row r="4974" spans="6:9">
      <c r="F4974" s="12" t="s">
        <v>2727</v>
      </c>
      <c r="G4974" s="12" t="s">
        <v>157</v>
      </c>
      <c r="H4974" s="15">
        <v>86480</v>
      </c>
      <c r="I4974" s="13">
        <v>33</v>
      </c>
    </row>
    <row r="4975" spans="6:9">
      <c r="F4975" s="12" t="s">
        <v>2729</v>
      </c>
      <c r="G4975" s="12" t="s">
        <v>157</v>
      </c>
      <c r="H4975" s="15">
        <v>62476</v>
      </c>
      <c r="I4975" s="13">
        <v>33</v>
      </c>
    </row>
    <row r="4976" spans="6:9">
      <c r="F4976" s="12" t="s">
        <v>1589</v>
      </c>
      <c r="G4976" s="12" t="s">
        <v>157</v>
      </c>
      <c r="H4976" s="15">
        <v>264379</v>
      </c>
      <c r="I4976" s="13">
        <v>33</v>
      </c>
    </row>
    <row r="4977" spans="6:9">
      <c r="F4977" s="12" t="s">
        <v>1592</v>
      </c>
      <c r="G4977" s="12" t="s">
        <v>157</v>
      </c>
      <c r="H4977" s="15">
        <v>121272</v>
      </c>
      <c r="I4977" s="13">
        <v>33</v>
      </c>
    </row>
    <row r="4978" spans="6:9">
      <c r="F4978" s="12" t="s">
        <v>5205</v>
      </c>
      <c r="G4978" s="12" t="s">
        <v>159</v>
      </c>
      <c r="H4978" s="15">
        <v>21400</v>
      </c>
      <c r="I4978" s="13">
        <v>33</v>
      </c>
    </row>
    <row r="4979" spans="6:9">
      <c r="F4979" s="12" t="s">
        <v>5206</v>
      </c>
      <c r="G4979" s="12" t="s">
        <v>159</v>
      </c>
      <c r="H4979" s="15">
        <v>17800</v>
      </c>
      <c r="I4979" s="13">
        <v>33</v>
      </c>
    </row>
    <row r="4980" spans="6:9">
      <c r="F4980" s="12" t="s">
        <v>5207</v>
      </c>
      <c r="G4980" s="12" t="s">
        <v>159</v>
      </c>
      <c r="H4980" s="15">
        <v>16700</v>
      </c>
      <c r="I4980" s="13">
        <v>33</v>
      </c>
    </row>
    <row r="4981" spans="6:9">
      <c r="F4981" s="12" t="s">
        <v>1600</v>
      </c>
      <c r="G4981" s="12" t="s">
        <v>157</v>
      </c>
      <c r="H4981" s="15">
        <v>204433</v>
      </c>
      <c r="I4981" s="13">
        <v>33</v>
      </c>
    </row>
    <row r="4982" spans="6:9">
      <c r="F4982" s="12" t="s">
        <v>1603</v>
      </c>
      <c r="G4982" s="12" t="s">
        <v>157</v>
      </c>
      <c r="H4982" s="15">
        <v>100675</v>
      </c>
      <c r="I4982" s="13">
        <v>33</v>
      </c>
    </row>
    <row r="4983" spans="6:9">
      <c r="F4983" s="12" t="s">
        <v>1606</v>
      </c>
      <c r="G4983" s="12" t="s">
        <v>157</v>
      </c>
      <c r="H4983" s="15">
        <v>704942</v>
      </c>
      <c r="I4983" s="13">
        <v>33</v>
      </c>
    </row>
    <row r="4984" spans="6:9">
      <c r="F4984" s="12" t="s">
        <v>5208</v>
      </c>
      <c r="G4984" s="12" t="s">
        <v>157</v>
      </c>
      <c r="H4984" s="15">
        <v>86485</v>
      </c>
      <c r="I4984" s="13">
        <v>33</v>
      </c>
    </row>
    <row r="4985" spans="6:9">
      <c r="F4985" s="12" t="s">
        <v>1680</v>
      </c>
      <c r="G4985" s="12" t="s">
        <v>157</v>
      </c>
      <c r="H4985" s="15">
        <v>11587</v>
      </c>
      <c r="I4985" s="13">
        <v>33</v>
      </c>
    </row>
    <row r="4986" spans="6:9">
      <c r="F4986" s="12" t="s">
        <v>5209</v>
      </c>
      <c r="G4986" s="12" t="s">
        <v>159</v>
      </c>
      <c r="H4986" s="15">
        <v>16900</v>
      </c>
      <c r="I4986" s="13">
        <v>33</v>
      </c>
    </row>
    <row r="4987" spans="6:9">
      <c r="F4987" s="12" t="s">
        <v>1736</v>
      </c>
      <c r="G4987" s="12" t="s">
        <v>159</v>
      </c>
      <c r="H4987" s="15">
        <v>177900</v>
      </c>
      <c r="I4987" s="13">
        <v>33</v>
      </c>
    </row>
    <row r="4988" spans="6:9">
      <c r="F4988" s="12" t="s">
        <v>5210</v>
      </c>
      <c r="G4988" s="12" t="s">
        <v>159</v>
      </c>
      <c r="H4988" s="15">
        <v>49900</v>
      </c>
      <c r="I4988" s="13">
        <v>32</v>
      </c>
    </row>
    <row r="4989" spans="6:9">
      <c r="F4989" s="12" t="s">
        <v>5211</v>
      </c>
      <c r="G4989" s="12" t="s">
        <v>157</v>
      </c>
      <c r="H4989" s="15">
        <v>51856</v>
      </c>
      <c r="I4989" s="13">
        <v>32</v>
      </c>
    </row>
    <row r="4990" spans="6:9">
      <c r="F4990" s="12" t="s">
        <v>1609</v>
      </c>
      <c r="G4990" s="12" t="s">
        <v>157</v>
      </c>
      <c r="H4990" s="15">
        <v>107102</v>
      </c>
      <c r="I4990" s="13">
        <v>32</v>
      </c>
    </row>
    <row r="4991" spans="6:9">
      <c r="F4991" s="12" t="s">
        <v>5212</v>
      </c>
      <c r="G4991" s="12" t="s">
        <v>159</v>
      </c>
      <c r="H4991" s="15">
        <v>34800</v>
      </c>
      <c r="I4991" s="13">
        <v>32</v>
      </c>
    </row>
    <row r="4992" spans="6:9">
      <c r="F4992" s="12" t="s">
        <v>1611</v>
      </c>
      <c r="G4992" s="12" t="s">
        <v>157</v>
      </c>
      <c r="H4992" s="15">
        <v>188292</v>
      </c>
      <c r="I4992" s="13">
        <v>32</v>
      </c>
    </row>
    <row r="4993" spans="6:9">
      <c r="F4993" s="12" t="s">
        <v>5213</v>
      </c>
      <c r="G4993" s="12" t="s">
        <v>157</v>
      </c>
      <c r="H4993" s="15">
        <v>62981</v>
      </c>
      <c r="I4993" s="13">
        <v>32</v>
      </c>
    </row>
    <row r="4994" spans="6:9">
      <c r="F4994" s="12" t="s">
        <v>1614</v>
      </c>
      <c r="G4994" s="12" t="s">
        <v>157</v>
      </c>
      <c r="H4994" s="15">
        <v>110261</v>
      </c>
      <c r="I4994" s="13">
        <v>32</v>
      </c>
    </row>
    <row r="4995" spans="6:9">
      <c r="F4995" s="12" t="s">
        <v>1798</v>
      </c>
      <c r="G4995" s="12" t="s">
        <v>157</v>
      </c>
      <c r="H4995" s="15">
        <v>115511</v>
      </c>
      <c r="I4995" s="13">
        <v>32</v>
      </c>
    </row>
    <row r="4996" spans="6:9">
      <c r="F4996" s="12" t="s">
        <v>1816</v>
      </c>
      <c r="G4996" s="12" t="s">
        <v>157</v>
      </c>
      <c r="H4996" s="15">
        <v>14018</v>
      </c>
      <c r="I4996" s="13">
        <v>32</v>
      </c>
    </row>
    <row r="4997" spans="6:9">
      <c r="F4997" s="12" t="s">
        <v>5214</v>
      </c>
      <c r="G4997" s="12" t="s">
        <v>157</v>
      </c>
      <c r="H4997" s="15">
        <v>69546</v>
      </c>
      <c r="I4997" s="13">
        <v>32</v>
      </c>
    </row>
    <row r="4998" spans="6:9">
      <c r="F4998" s="12" t="s">
        <v>161</v>
      </c>
      <c r="G4998" s="12" t="s">
        <v>157</v>
      </c>
      <c r="H4998" s="15">
        <v>80404</v>
      </c>
      <c r="I4998" s="13">
        <v>32</v>
      </c>
    </row>
    <row r="4999" spans="6:9">
      <c r="F4999" s="12" t="s">
        <v>5215</v>
      </c>
      <c r="G4999" s="12" t="s">
        <v>159</v>
      </c>
      <c r="H4999" s="15">
        <v>18500</v>
      </c>
      <c r="I4999" s="13">
        <v>32</v>
      </c>
    </row>
    <row r="5000" spans="6:9">
      <c r="F5000" s="12" t="s">
        <v>1617</v>
      </c>
      <c r="G5000" s="12" t="s">
        <v>157</v>
      </c>
      <c r="H5000" s="15">
        <v>163563</v>
      </c>
      <c r="I5000" s="13">
        <v>32</v>
      </c>
    </row>
    <row r="5001" spans="6:9">
      <c r="F5001" s="12" t="s">
        <v>5216</v>
      </c>
      <c r="G5001" s="12" t="s">
        <v>157</v>
      </c>
      <c r="H5001" s="15">
        <v>97658</v>
      </c>
      <c r="I5001" s="13">
        <v>32</v>
      </c>
    </row>
    <row r="5002" spans="6:9">
      <c r="F5002" s="12" t="s">
        <v>1839</v>
      </c>
      <c r="G5002" s="12" t="s">
        <v>157</v>
      </c>
      <c r="H5002" s="15">
        <v>112810</v>
      </c>
      <c r="I5002" s="13">
        <v>32</v>
      </c>
    </row>
    <row r="5003" spans="6:9">
      <c r="F5003" s="12" t="s">
        <v>5217</v>
      </c>
      <c r="G5003" s="12" t="s">
        <v>159</v>
      </c>
      <c r="H5003" s="15">
        <v>60500</v>
      </c>
      <c r="I5003" s="13">
        <v>32</v>
      </c>
    </row>
    <row r="5004" spans="6:9">
      <c r="F5004" s="12" t="s">
        <v>1722</v>
      </c>
      <c r="G5004" s="12" t="s">
        <v>157</v>
      </c>
      <c r="H5004" s="15">
        <v>15219</v>
      </c>
      <c r="I5004" s="13">
        <v>32</v>
      </c>
    </row>
    <row r="5005" spans="6:9">
      <c r="F5005" s="12" t="s">
        <v>1786</v>
      </c>
      <c r="G5005" s="12" t="s">
        <v>157</v>
      </c>
      <c r="H5005" s="15">
        <v>102492</v>
      </c>
      <c r="I5005" s="13">
        <v>32</v>
      </c>
    </row>
    <row r="5006" spans="6:9">
      <c r="F5006" s="12" t="s">
        <v>1726</v>
      </c>
      <c r="G5006" s="12" t="s">
        <v>157</v>
      </c>
      <c r="H5006" s="15">
        <v>18257</v>
      </c>
      <c r="I5006" s="13">
        <v>32</v>
      </c>
    </row>
    <row r="5007" spans="6:9">
      <c r="F5007" s="12" t="s">
        <v>2735</v>
      </c>
      <c r="G5007" s="12" t="s">
        <v>157</v>
      </c>
      <c r="H5007" s="15">
        <v>49781</v>
      </c>
      <c r="I5007" s="13">
        <v>32</v>
      </c>
    </row>
    <row r="5008" spans="6:9">
      <c r="F5008" s="12" t="s">
        <v>5218</v>
      </c>
      <c r="G5008" s="12" t="s">
        <v>157</v>
      </c>
      <c r="H5008" s="15">
        <v>48447</v>
      </c>
      <c r="I5008" s="13">
        <v>32</v>
      </c>
    </row>
    <row r="5009" spans="6:9">
      <c r="F5009" s="12" t="s">
        <v>2737</v>
      </c>
      <c r="G5009" s="12" t="s">
        <v>157</v>
      </c>
      <c r="H5009" s="15">
        <v>75558</v>
      </c>
      <c r="I5009" s="13">
        <v>32</v>
      </c>
    </row>
    <row r="5010" spans="6:9">
      <c r="F5010" s="12" t="s">
        <v>1622</v>
      </c>
      <c r="G5010" s="12" t="s">
        <v>157</v>
      </c>
      <c r="H5010" s="15">
        <v>934301</v>
      </c>
      <c r="I5010" s="13">
        <v>32</v>
      </c>
    </row>
    <row r="5011" spans="6:9">
      <c r="F5011" s="12" t="s">
        <v>5219</v>
      </c>
      <c r="G5011" s="12" t="s">
        <v>159</v>
      </c>
      <c r="H5011" s="15">
        <v>24200</v>
      </c>
      <c r="I5011" s="13">
        <v>32</v>
      </c>
    </row>
    <row r="5012" spans="6:9">
      <c r="F5012" s="12" t="s">
        <v>5220</v>
      </c>
      <c r="G5012" s="12" t="s">
        <v>159</v>
      </c>
      <c r="H5012" s="15">
        <v>50700</v>
      </c>
      <c r="I5012" s="13">
        <v>32</v>
      </c>
    </row>
    <row r="5013" spans="6:9">
      <c r="F5013" s="12" t="s">
        <v>5221</v>
      </c>
      <c r="G5013" s="12" t="s">
        <v>159</v>
      </c>
      <c r="H5013" s="15">
        <v>65100</v>
      </c>
      <c r="I5013" s="13">
        <v>32</v>
      </c>
    </row>
    <row r="5014" spans="6:9">
      <c r="F5014" s="12" t="s">
        <v>1625</v>
      </c>
      <c r="G5014" s="12" t="s">
        <v>157</v>
      </c>
      <c r="H5014" s="15">
        <v>191044</v>
      </c>
      <c r="I5014" s="13">
        <v>32</v>
      </c>
    </row>
    <row r="5015" spans="6:9">
      <c r="F5015" s="12" t="s">
        <v>1630</v>
      </c>
      <c r="G5015" s="12" t="s">
        <v>157</v>
      </c>
      <c r="H5015" s="15">
        <v>103861</v>
      </c>
      <c r="I5015" s="13">
        <v>32</v>
      </c>
    </row>
    <row r="5016" spans="6:9">
      <c r="F5016" s="12" t="s">
        <v>5222</v>
      </c>
      <c r="G5016" s="12" t="s">
        <v>157</v>
      </c>
      <c r="H5016" s="15">
        <v>37064</v>
      </c>
      <c r="I5016" s="13">
        <v>32</v>
      </c>
    </row>
    <row r="5017" spans="6:9">
      <c r="F5017" s="12" t="s">
        <v>5223</v>
      </c>
      <c r="G5017" s="12" t="s">
        <v>159</v>
      </c>
      <c r="H5017" s="15">
        <v>58100</v>
      </c>
      <c r="I5017" s="13">
        <v>32</v>
      </c>
    </row>
    <row r="5018" spans="6:9">
      <c r="F5018" s="12" t="s">
        <v>5224</v>
      </c>
      <c r="G5018" s="12" t="s">
        <v>157</v>
      </c>
      <c r="H5018" s="15">
        <v>41645</v>
      </c>
      <c r="I5018" s="13">
        <v>32</v>
      </c>
    </row>
    <row r="5019" spans="6:9">
      <c r="F5019" s="12" t="s">
        <v>5225</v>
      </c>
      <c r="G5019" s="12" t="s">
        <v>159</v>
      </c>
      <c r="H5019" s="15">
        <v>20300</v>
      </c>
      <c r="I5019" s="13">
        <v>32</v>
      </c>
    </row>
    <row r="5020" spans="6:9">
      <c r="F5020" s="12" t="s">
        <v>1730</v>
      </c>
      <c r="G5020" s="12" t="s">
        <v>157</v>
      </c>
      <c r="H5020" s="15">
        <v>12439</v>
      </c>
      <c r="I5020" s="13">
        <v>32</v>
      </c>
    </row>
    <row r="5021" spans="6:9">
      <c r="F5021" s="12" t="s">
        <v>1633</v>
      </c>
      <c r="G5021" s="12" t="s">
        <v>157</v>
      </c>
      <c r="H5021" s="15">
        <v>155628</v>
      </c>
      <c r="I5021" s="13">
        <v>32</v>
      </c>
    </row>
    <row r="5022" spans="6:9">
      <c r="F5022" s="12" t="s">
        <v>2756</v>
      </c>
      <c r="G5022" s="12" t="s">
        <v>157</v>
      </c>
      <c r="H5022" s="15">
        <v>43485</v>
      </c>
      <c r="I5022" s="13">
        <v>32</v>
      </c>
    </row>
    <row r="5023" spans="6:9">
      <c r="F5023" s="12" t="s">
        <v>5226</v>
      </c>
      <c r="G5023" s="12" t="s">
        <v>157</v>
      </c>
      <c r="H5023" s="15">
        <v>91328</v>
      </c>
      <c r="I5023" s="13">
        <v>32</v>
      </c>
    </row>
    <row r="5024" spans="6:9">
      <c r="F5024" s="12" t="s">
        <v>5227</v>
      </c>
      <c r="G5024" s="12" t="s">
        <v>159</v>
      </c>
      <c r="H5024" s="15">
        <v>75200</v>
      </c>
      <c r="I5024" s="13">
        <v>32</v>
      </c>
    </row>
    <row r="5025" spans="6:9">
      <c r="F5025" s="12" t="s">
        <v>5228</v>
      </c>
      <c r="G5025" s="12" t="s">
        <v>157</v>
      </c>
      <c r="H5025" s="15">
        <v>67186</v>
      </c>
      <c r="I5025" s="13">
        <v>32</v>
      </c>
    </row>
    <row r="5026" spans="6:9">
      <c r="F5026" s="12" t="s">
        <v>5229</v>
      </c>
      <c r="G5026" s="12" t="s">
        <v>159</v>
      </c>
      <c r="H5026" s="15">
        <v>50100</v>
      </c>
      <c r="I5026" s="13">
        <v>32</v>
      </c>
    </row>
    <row r="5027" spans="6:9">
      <c r="F5027" s="12" t="s">
        <v>5230</v>
      </c>
      <c r="G5027" s="12" t="s">
        <v>159</v>
      </c>
      <c r="H5027" s="15">
        <v>52600</v>
      </c>
      <c r="I5027" s="13">
        <v>32</v>
      </c>
    </row>
    <row r="5028" spans="6:9">
      <c r="F5028" s="12" t="s">
        <v>5231</v>
      </c>
      <c r="G5028" s="12" t="s">
        <v>159</v>
      </c>
      <c r="H5028" s="15">
        <v>11300</v>
      </c>
      <c r="I5028" s="13">
        <v>32</v>
      </c>
    </row>
    <row r="5029" spans="6:9">
      <c r="F5029" s="12" t="s">
        <v>5232</v>
      </c>
      <c r="G5029" s="12" t="s">
        <v>159</v>
      </c>
      <c r="H5029" s="15">
        <v>42400</v>
      </c>
      <c r="I5029" s="13">
        <v>32</v>
      </c>
    </row>
    <row r="5030" spans="6:9">
      <c r="F5030" s="12" t="s">
        <v>1648</v>
      </c>
      <c r="G5030" s="12" t="s">
        <v>157</v>
      </c>
      <c r="H5030" s="15">
        <v>142167</v>
      </c>
      <c r="I5030" s="13">
        <v>32</v>
      </c>
    </row>
    <row r="5031" spans="6:9">
      <c r="F5031" s="12" t="s">
        <v>5233</v>
      </c>
      <c r="G5031" s="12" t="s">
        <v>159</v>
      </c>
      <c r="H5031" s="15">
        <v>26200</v>
      </c>
      <c r="I5031" s="13">
        <v>32</v>
      </c>
    </row>
    <row r="5032" spans="6:9">
      <c r="F5032" s="12" t="s">
        <v>2740</v>
      </c>
      <c r="G5032" s="12" t="s">
        <v>157</v>
      </c>
      <c r="H5032" s="15">
        <v>79928</v>
      </c>
      <c r="I5032" s="13">
        <v>32</v>
      </c>
    </row>
    <row r="5033" spans="6:9">
      <c r="F5033" s="12" t="s">
        <v>5234</v>
      </c>
      <c r="G5033" s="12" t="s">
        <v>159</v>
      </c>
      <c r="H5033" s="15">
        <v>24600</v>
      </c>
      <c r="I5033" s="13">
        <v>32</v>
      </c>
    </row>
    <row r="5034" spans="6:9">
      <c r="F5034" s="12" t="s">
        <v>5235</v>
      </c>
      <c r="G5034" s="12" t="s">
        <v>159</v>
      </c>
      <c r="H5034" s="15">
        <v>85300</v>
      </c>
      <c r="I5034" s="13">
        <v>32</v>
      </c>
    </row>
    <row r="5035" spans="6:9">
      <c r="F5035" s="12" t="s">
        <v>1651</v>
      </c>
      <c r="G5035" s="12" t="s">
        <v>157</v>
      </c>
      <c r="H5035" s="15">
        <v>136150</v>
      </c>
      <c r="I5035" s="13">
        <v>32</v>
      </c>
    </row>
    <row r="5036" spans="6:9">
      <c r="F5036" s="12" t="s">
        <v>5236</v>
      </c>
      <c r="G5036" s="12" t="s">
        <v>157</v>
      </c>
      <c r="H5036" s="15">
        <v>81497</v>
      </c>
      <c r="I5036" s="13">
        <v>32</v>
      </c>
    </row>
    <row r="5037" spans="6:9">
      <c r="F5037" s="12" t="s">
        <v>5237</v>
      </c>
      <c r="G5037" s="12" t="s">
        <v>159</v>
      </c>
      <c r="H5037" s="15">
        <v>22400</v>
      </c>
      <c r="I5037" s="13">
        <v>32</v>
      </c>
    </row>
    <row r="5038" spans="6:9">
      <c r="F5038" s="12" t="s">
        <v>5238</v>
      </c>
      <c r="G5038" s="12" t="s">
        <v>157</v>
      </c>
      <c r="H5038" s="15">
        <v>45879</v>
      </c>
      <c r="I5038" s="13">
        <v>32</v>
      </c>
    </row>
    <row r="5039" spans="6:9">
      <c r="F5039" s="12" t="s">
        <v>2760</v>
      </c>
      <c r="G5039" s="12" t="s">
        <v>157</v>
      </c>
      <c r="H5039" s="15">
        <v>77374</v>
      </c>
      <c r="I5039" s="13">
        <v>31</v>
      </c>
    </row>
    <row r="5040" spans="6:9">
      <c r="F5040" s="12" t="s">
        <v>5239</v>
      </c>
      <c r="G5040" s="12" t="s">
        <v>157</v>
      </c>
      <c r="H5040" s="15">
        <v>68368</v>
      </c>
      <c r="I5040" s="13">
        <v>31</v>
      </c>
    </row>
    <row r="5041" spans="6:9">
      <c r="F5041" s="12" t="s">
        <v>5240</v>
      </c>
      <c r="G5041" s="12" t="s">
        <v>157</v>
      </c>
      <c r="H5041" s="15">
        <v>93994</v>
      </c>
      <c r="I5041" s="13">
        <v>31</v>
      </c>
    </row>
    <row r="5042" spans="6:9">
      <c r="F5042" s="12" t="s">
        <v>5241</v>
      </c>
      <c r="G5042" s="12" t="s">
        <v>157</v>
      </c>
      <c r="H5042" s="15">
        <v>96891</v>
      </c>
      <c r="I5042" s="13">
        <v>31</v>
      </c>
    </row>
    <row r="5043" spans="6:9">
      <c r="F5043" s="12" t="s">
        <v>2709</v>
      </c>
      <c r="G5043" s="12" t="s">
        <v>157</v>
      </c>
      <c r="H5043" s="15">
        <v>75709</v>
      </c>
      <c r="I5043" s="13">
        <v>31</v>
      </c>
    </row>
    <row r="5044" spans="6:9">
      <c r="F5044" s="12" t="s">
        <v>1662</v>
      </c>
      <c r="G5044" s="12" t="s">
        <v>157</v>
      </c>
      <c r="H5044" s="15">
        <v>206887</v>
      </c>
      <c r="I5044" s="13">
        <v>31</v>
      </c>
    </row>
    <row r="5045" spans="6:9">
      <c r="F5045" s="12" t="s">
        <v>1748</v>
      </c>
      <c r="G5045" s="12" t="s">
        <v>157</v>
      </c>
      <c r="H5045" s="15">
        <v>44146</v>
      </c>
      <c r="I5045" s="13">
        <v>31</v>
      </c>
    </row>
    <row r="5046" spans="6:9">
      <c r="F5046" s="12" t="s">
        <v>1666</v>
      </c>
      <c r="G5046" s="12" t="s">
        <v>157</v>
      </c>
      <c r="H5046" s="15">
        <v>285213</v>
      </c>
      <c r="I5046" s="13">
        <v>31</v>
      </c>
    </row>
    <row r="5047" spans="6:9">
      <c r="F5047" s="12" t="s">
        <v>5242</v>
      </c>
      <c r="G5047" s="12" t="s">
        <v>157</v>
      </c>
      <c r="H5047" s="15">
        <v>47457</v>
      </c>
      <c r="I5047" s="13">
        <v>31</v>
      </c>
    </row>
    <row r="5048" spans="6:9">
      <c r="F5048" s="12" t="s">
        <v>5243</v>
      </c>
      <c r="G5048" s="12" t="s">
        <v>157</v>
      </c>
      <c r="H5048" s="15">
        <v>48218</v>
      </c>
      <c r="I5048" s="13">
        <v>31</v>
      </c>
    </row>
    <row r="5049" spans="6:9">
      <c r="F5049" s="12" t="s">
        <v>5244</v>
      </c>
      <c r="G5049" s="12" t="s">
        <v>157</v>
      </c>
      <c r="H5049" s="15">
        <v>40190</v>
      </c>
      <c r="I5049" s="13">
        <v>31</v>
      </c>
    </row>
    <row r="5050" spans="6:9">
      <c r="F5050" s="12" t="s">
        <v>1669</v>
      </c>
      <c r="G5050" s="12" t="s">
        <v>157</v>
      </c>
      <c r="H5050" s="15">
        <v>104393</v>
      </c>
      <c r="I5050" s="13">
        <v>31</v>
      </c>
    </row>
    <row r="5051" spans="6:9">
      <c r="F5051" s="12" t="s">
        <v>5245</v>
      </c>
      <c r="G5051" s="12" t="s">
        <v>157</v>
      </c>
      <c r="H5051" s="15">
        <v>91822</v>
      </c>
      <c r="I5051" s="13">
        <v>31</v>
      </c>
    </row>
    <row r="5052" spans="6:9">
      <c r="F5052" s="12" t="s">
        <v>1767</v>
      </c>
      <c r="G5052" s="12" t="s">
        <v>157</v>
      </c>
      <c r="H5052" s="15">
        <v>204747</v>
      </c>
      <c r="I5052" s="13">
        <v>31</v>
      </c>
    </row>
    <row r="5053" spans="6:9">
      <c r="F5053" s="12" t="s">
        <v>1674</v>
      </c>
      <c r="G5053" s="12" t="s">
        <v>157</v>
      </c>
      <c r="H5053" s="15">
        <v>119838</v>
      </c>
      <c r="I5053" s="13">
        <v>31</v>
      </c>
    </row>
    <row r="5054" spans="6:9">
      <c r="F5054" s="12" t="s">
        <v>1679</v>
      </c>
      <c r="G5054" s="12" t="s">
        <v>157</v>
      </c>
      <c r="H5054" s="15">
        <v>125452</v>
      </c>
      <c r="I5054" s="13">
        <v>31</v>
      </c>
    </row>
    <row r="5055" spans="6:9">
      <c r="F5055" s="12" t="s">
        <v>1682</v>
      </c>
      <c r="G5055" s="12" t="s">
        <v>157</v>
      </c>
      <c r="H5055" s="15">
        <v>161152</v>
      </c>
      <c r="I5055" s="13">
        <v>31</v>
      </c>
    </row>
    <row r="5056" spans="6:9">
      <c r="F5056" s="12" t="s">
        <v>2743</v>
      </c>
      <c r="G5056" s="12" t="s">
        <v>157</v>
      </c>
      <c r="H5056" s="15">
        <v>53345</v>
      </c>
      <c r="I5056" s="13">
        <v>31</v>
      </c>
    </row>
    <row r="5057" spans="6:9">
      <c r="F5057" s="12" t="s">
        <v>5246</v>
      </c>
      <c r="G5057" s="12" t="s">
        <v>157</v>
      </c>
      <c r="H5057" s="15">
        <v>63439</v>
      </c>
      <c r="I5057" s="13">
        <v>31</v>
      </c>
    </row>
    <row r="5058" spans="6:9">
      <c r="F5058" s="12" t="s">
        <v>1687</v>
      </c>
      <c r="G5058" s="12" t="s">
        <v>157</v>
      </c>
      <c r="H5058" s="15">
        <v>221064</v>
      </c>
      <c r="I5058" s="13">
        <v>31</v>
      </c>
    </row>
    <row r="5059" spans="6:9">
      <c r="F5059" s="12" t="s">
        <v>5247</v>
      </c>
      <c r="G5059" s="12" t="s">
        <v>157</v>
      </c>
      <c r="H5059" s="15">
        <v>51642</v>
      </c>
      <c r="I5059" s="13">
        <v>31</v>
      </c>
    </row>
    <row r="5060" spans="6:9">
      <c r="F5060" s="12" t="s">
        <v>5248</v>
      </c>
      <c r="G5060" s="12" t="s">
        <v>157</v>
      </c>
      <c r="H5060" s="15">
        <v>38528</v>
      </c>
      <c r="I5060" s="13">
        <v>31</v>
      </c>
    </row>
    <row r="5061" spans="6:9">
      <c r="F5061" s="12" t="s">
        <v>2745</v>
      </c>
      <c r="G5061" s="12" t="s">
        <v>157</v>
      </c>
      <c r="H5061" s="15">
        <v>93466</v>
      </c>
      <c r="I5061" s="13">
        <v>31</v>
      </c>
    </row>
    <row r="5062" spans="6:9">
      <c r="F5062" s="12" t="s">
        <v>5249</v>
      </c>
      <c r="G5062" s="12" t="s">
        <v>157</v>
      </c>
      <c r="H5062" s="15">
        <v>60932</v>
      </c>
      <c r="I5062" s="13">
        <v>31</v>
      </c>
    </row>
    <row r="5063" spans="6:9">
      <c r="F5063" s="12" t="s">
        <v>5250</v>
      </c>
      <c r="G5063" s="12" t="s">
        <v>157</v>
      </c>
      <c r="H5063" s="15">
        <v>95900</v>
      </c>
      <c r="I5063" s="13">
        <v>31</v>
      </c>
    </row>
    <row r="5064" spans="6:9">
      <c r="F5064" s="12" t="s">
        <v>5251</v>
      </c>
      <c r="G5064" s="12" t="s">
        <v>157</v>
      </c>
      <c r="H5064" s="15">
        <v>38171</v>
      </c>
      <c r="I5064" s="13">
        <v>31</v>
      </c>
    </row>
    <row r="5065" spans="6:9">
      <c r="F5065" s="12" t="s">
        <v>1690</v>
      </c>
      <c r="G5065" s="12" t="s">
        <v>157</v>
      </c>
      <c r="H5065" s="15">
        <v>1458035</v>
      </c>
      <c r="I5065" s="13">
        <v>31</v>
      </c>
    </row>
    <row r="5066" spans="6:9">
      <c r="F5066" s="12" t="s">
        <v>1696</v>
      </c>
      <c r="G5066" s="12" t="s">
        <v>157</v>
      </c>
      <c r="H5066" s="15">
        <v>150200</v>
      </c>
      <c r="I5066" s="13">
        <v>31</v>
      </c>
    </row>
    <row r="5067" spans="6:9">
      <c r="F5067" s="12" t="s">
        <v>1699</v>
      </c>
      <c r="G5067" s="12" t="s">
        <v>157</v>
      </c>
      <c r="H5067" s="15">
        <v>751499</v>
      </c>
      <c r="I5067" s="13">
        <v>31</v>
      </c>
    </row>
    <row r="5068" spans="6:9">
      <c r="F5068" s="12" t="s">
        <v>1702</v>
      </c>
      <c r="G5068" s="12" t="s">
        <v>157</v>
      </c>
      <c r="H5068" s="15">
        <v>493059</v>
      </c>
      <c r="I5068" s="13">
        <v>31</v>
      </c>
    </row>
    <row r="5069" spans="6:9">
      <c r="F5069" s="12" t="s">
        <v>5252</v>
      </c>
      <c r="G5069" s="12" t="s">
        <v>157</v>
      </c>
      <c r="H5069" s="15">
        <v>35181</v>
      </c>
      <c r="I5069" s="13">
        <v>31</v>
      </c>
    </row>
    <row r="5070" spans="6:9">
      <c r="F5070" s="12" t="s">
        <v>5253</v>
      </c>
      <c r="G5070" s="12" t="s">
        <v>157</v>
      </c>
      <c r="H5070" s="15">
        <v>92877</v>
      </c>
      <c r="I5070" s="13">
        <v>31</v>
      </c>
    </row>
    <row r="5071" spans="6:9">
      <c r="F5071" s="12" t="s">
        <v>1705</v>
      </c>
      <c r="G5071" s="12" t="s">
        <v>157</v>
      </c>
      <c r="H5071" s="15">
        <v>213217</v>
      </c>
      <c r="I5071" s="13">
        <v>31</v>
      </c>
    </row>
    <row r="5072" spans="6:9">
      <c r="F5072" s="12" t="s">
        <v>5254</v>
      </c>
      <c r="G5072" s="12" t="s">
        <v>157</v>
      </c>
      <c r="H5072" s="15">
        <v>58587</v>
      </c>
      <c r="I5072" s="13">
        <v>31</v>
      </c>
    </row>
    <row r="5073" spans="6:9">
      <c r="F5073" s="12" t="s">
        <v>1806</v>
      </c>
      <c r="G5073" s="12" t="s">
        <v>157</v>
      </c>
      <c r="H5073" s="15">
        <v>313217</v>
      </c>
      <c r="I5073" s="13">
        <v>31</v>
      </c>
    </row>
    <row r="5074" spans="6:9">
      <c r="F5074" s="12" t="s">
        <v>5255</v>
      </c>
      <c r="G5074" s="12" t="s">
        <v>157</v>
      </c>
      <c r="H5074" s="15">
        <v>75801</v>
      </c>
      <c r="I5074" s="13">
        <v>31</v>
      </c>
    </row>
    <row r="5075" spans="6:9">
      <c r="F5075" s="12" t="s">
        <v>1708</v>
      </c>
      <c r="G5075" s="12" t="s">
        <v>157</v>
      </c>
      <c r="H5075" s="15">
        <v>338321</v>
      </c>
      <c r="I5075" s="13">
        <v>31</v>
      </c>
    </row>
    <row r="5076" spans="6:9">
      <c r="F5076" s="12" t="s">
        <v>5256</v>
      </c>
      <c r="G5076" s="12" t="s">
        <v>157</v>
      </c>
      <c r="H5076" s="15">
        <v>49202</v>
      </c>
      <c r="I5076" s="13">
        <v>31</v>
      </c>
    </row>
    <row r="5077" spans="6:9">
      <c r="F5077" s="12" t="s">
        <v>2750</v>
      </c>
      <c r="G5077" s="12" t="s">
        <v>157</v>
      </c>
      <c r="H5077" s="15">
        <v>32390</v>
      </c>
      <c r="I5077" s="13">
        <v>31</v>
      </c>
    </row>
    <row r="5078" spans="6:9">
      <c r="F5078" s="12" t="s">
        <v>5257</v>
      </c>
      <c r="G5078" s="12" t="s">
        <v>157</v>
      </c>
      <c r="H5078" s="15">
        <v>40052</v>
      </c>
      <c r="I5078" s="13">
        <v>31</v>
      </c>
    </row>
    <row r="5079" spans="6:9">
      <c r="F5079" s="12" t="s">
        <v>1716</v>
      </c>
      <c r="G5079" s="12" t="s">
        <v>157</v>
      </c>
      <c r="H5079" s="15">
        <v>103787</v>
      </c>
      <c r="I5079" s="13">
        <v>31</v>
      </c>
    </row>
    <row r="5080" spans="6:9">
      <c r="F5080" s="12" t="s">
        <v>5258</v>
      </c>
      <c r="G5080" s="12" t="s">
        <v>157</v>
      </c>
      <c r="H5080" s="15">
        <v>45749</v>
      </c>
      <c r="I5080" s="13">
        <v>31</v>
      </c>
    </row>
    <row r="5081" spans="6:9">
      <c r="F5081" s="12" t="s">
        <v>1755</v>
      </c>
      <c r="G5081" s="12" t="s">
        <v>157</v>
      </c>
      <c r="H5081" s="15">
        <v>155989</v>
      </c>
      <c r="I5081" s="13">
        <v>31</v>
      </c>
    </row>
    <row r="5082" spans="6:9">
      <c r="F5082" s="12" t="s">
        <v>2751</v>
      </c>
      <c r="G5082" s="12" t="s">
        <v>157</v>
      </c>
      <c r="H5082" s="15">
        <v>82507</v>
      </c>
      <c r="I5082" s="13">
        <v>31</v>
      </c>
    </row>
    <row r="5083" spans="6:9">
      <c r="F5083" s="12" t="s">
        <v>5259</v>
      </c>
      <c r="G5083" s="12" t="s">
        <v>157</v>
      </c>
      <c r="H5083" s="15">
        <v>78376</v>
      </c>
      <c r="I5083" s="13">
        <v>31</v>
      </c>
    </row>
    <row r="5084" spans="6:9">
      <c r="F5084" s="12" t="s">
        <v>1718</v>
      </c>
      <c r="G5084" s="12" t="s">
        <v>157</v>
      </c>
      <c r="H5084" s="15">
        <v>117870</v>
      </c>
      <c r="I5084" s="13">
        <v>31</v>
      </c>
    </row>
    <row r="5085" spans="6:9">
      <c r="F5085" s="12" t="s">
        <v>1721</v>
      </c>
      <c r="G5085" s="12" t="s">
        <v>157</v>
      </c>
      <c r="H5085" s="15">
        <v>151177</v>
      </c>
      <c r="I5085" s="13">
        <v>31</v>
      </c>
    </row>
    <row r="5086" spans="6:9">
      <c r="F5086" s="12" t="s">
        <v>543</v>
      </c>
      <c r="G5086" s="12" t="s">
        <v>157</v>
      </c>
      <c r="H5086" s="15">
        <v>33650</v>
      </c>
      <c r="I5086" s="13">
        <v>31</v>
      </c>
    </row>
    <row r="5087" spans="6:9">
      <c r="F5087" s="12" t="s">
        <v>1725</v>
      </c>
      <c r="G5087" s="12" t="s">
        <v>157</v>
      </c>
      <c r="H5087" s="15">
        <v>227585</v>
      </c>
      <c r="I5087" s="13">
        <v>31</v>
      </c>
    </row>
    <row r="5088" spans="6:9">
      <c r="F5088" s="12" t="s">
        <v>5260</v>
      </c>
      <c r="G5088" s="12" t="s">
        <v>157</v>
      </c>
      <c r="H5088" s="15">
        <v>50835</v>
      </c>
      <c r="I5088" s="13">
        <v>31</v>
      </c>
    </row>
    <row r="5089" spans="6:9">
      <c r="F5089" s="12" t="s">
        <v>5261</v>
      </c>
      <c r="G5089" s="12" t="s">
        <v>157</v>
      </c>
      <c r="H5089" s="15">
        <v>89392</v>
      </c>
      <c r="I5089" s="13">
        <v>31</v>
      </c>
    </row>
    <row r="5090" spans="6:9">
      <c r="F5090" s="12" t="s">
        <v>1728</v>
      </c>
      <c r="G5090" s="12" t="s">
        <v>157</v>
      </c>
      <c r="H5090" s="15">
        <v>242808</v>
      </c>
      <c r="I5090" s="13">
        <v>31</v>
      </c>
    </row>
    <row r="5091" spans="6:9">
      <c r="F5091" s="12" t="s">
        <v>1734</v>
      </c>
      <c r="G5091" s="12" t="s">
        <v>157</v>
      </c>
      <c r="H5091" s="15">
        <v>279648</v>
      </c>
      <c r="I5091" s="13">
        <v>31</v>
      </c>
    </row>
    <row r="5092" spans="6:9">
      <c r="F5092" s="12" t="s">
        <v>5262</v>
      </c>
      <c r="G5092" s="12" t="s">
        <v>157</v>
      </c>
      <c r="H5092" s="15">
        <v>50226</v>
      </c>
      <c r="I5092" s="13">
        <v>31</v>
      </c>
    </row>
    <row r="5093" spans="6:9">
      <c r="F5093" s="12" t="s">
        <v>5263</v>
      </c>
      <c r="G5093" s="12" t="s">
        <v>157</v>
      </c>
      <c r="H5093" s="15">
        <v>34079</v>
      </c>
      <c r="I5093" s="13">
        <v>30</v>
      </c>
    </row>
    <row r="5094" spans="6:9">
      <c r="F5094" s="12" t="s">
        <v>2753</v>
      </c>
      <c r="G5094" s="12" t="s">
        <v>157</v>
      </c>
      <c r="H5094" s="15">
        <v>37684</v>
      </c>
      <c r="I5094" s="13">
        <v>30</v>
      </c>
    </row>
    <row r="5095" spans="6:9">
      <c r="F5095" s="12" t="s">
        <v>1762</v>
      </c>
      <c r="G5095" s="12" t="s">
        <v>157</v>
      </c>
      <c r="H5095" s="15">
        <v>88568</v>
      </c>
      <c r="I5095" s="13">
        <v>30</v>
      </c>
    </row>
    <row r="5096" spans="6:9">
      <c r="F5096" s="12" t="s">
        <v>2715</v>
      </c>
      <c r="G5096" s="12" t="s">
        <v>157</v>
      </c>
      <c r="H5096" s="15">
        <v>34144</v>
      </c>
      <c r="I5096" s="13">
        <v>30</v>
      </c>
    </row>
    <row r="5097" spans="6:9">
      <c r="F5097" s="12" t="s">
        <v>2035</v>
      </c>
      <c r="G5097" s="12" t="s">
        <v>157</v>
      </c>
      <c r="H5097" s="15">
        <v>11560</v>
      </c>
      <c r="I5097" s="13">
        <v>30</v>
      </c>
    </row>
    <row r="5098" spans="6:9">
      <c r="F5098" s="12" t="s">
        <v>1744</v>
      </c>
      <c r="G5098" s="12" t="s">
        <v>157</v>
      </c>
      <c r="H5098" s="15">
        <v>162058</v>
      </c>
      <c r="I5098" s="13">
        <v>30</v>
      </c>
    </row>
    <row r="5099" spans="6:9">
      <c r="F5099" s="12" t="s">
        <v>1747</v>
      </c>
      <c r="G5099" s="12" t="s">
        <v>157</v>
      </c>
      <c r="H5099" s="15">
        <v>640007</v>
      </c>
      <c r="I5099" s="13">
        <v>30</v>
      </c>
    </row>
    <row r="5100" spans="6:9">
      <c r="F5100" s="12" t="s">
        <v>5264</v>
      </c>
      <c r="G5100" s="12" t="s">
        <v>157</v>
      </c>
      <c r="H5100" s="15">
        <v>90182</v>
      </c>
      <c r="I5100" s="13">
        <v>30</v>
      </c>
    </row>
    <row r="5101" spans="6:9">
      <c r="F5101" s="12" t="s">
        <v>5265</v>
      </c>
      <c r="G5101" s="12" t="s">
        <v>157</v>
      </c>
      <c r="H5101" s="15">
        <v>36857</v>
      </c>
      <c r="I5101" s="13">
        <v>30</v>
      </c>
    </row>
    <row r="5102" spans="6:9">
      <c r="F5102" s="12" t="s">
        <v>2758</v>
      </c>
      <c r="G5102" s="12" t="s">
        <v>157</v>
      </c>
      <c r="H5102" s="15">
        <v>85611</v>
      </c>
      <c r="I5102" s="13">
        <v>30</v>
      </c>
    </row>
    <row r="5103" spans="6:9">
      <c r="F5103" s="12" t="s">
        <v>5266</v>
      </c>
      <c r="G5103" s="12" t="s">
        <v>157</v>
      </c>
      <c r="H5103" s="15">
        <v>63289</v>
      </c>
      <c r="I5103" s="13">
        <v>30</v>
      </c>
    </row>
    <row r="5104" spans="6:9">
      <c r="F5104" s="12" t="s">
        <v>5267</v>
      </c>
      <c r="G5104" s="12" t="s">
        <v>157</v>
      </c>
      <c r="H5104" s="15">
        <v>20387</v>
      </c>
      <c r="I5104" s="13">
        <v>30</v>
      </c>
    </row>
    <row r="5105" spans="6:9">
      <c r="F5105" s="12" t="s">
        <v>5268</v>
      </c>
      <c r="G5105" s="12" t="s">
        <v>157</v>
      </c>
      <c r="H5105" s="15">
        <v>58308</v>
      </c>
      <c r="I5105" s="13">
        <v>30</v>
      </c>
    </row>
    <row r="5106" spans="6:9">
      <c r="F5106" s="12" t="s">
        <v>5269</v>
      </c>
      <c r="G5106" s="12" t="s">
        <v>157</v>
      </c>
      <c r="H5106" s="15">
        <v>36560</v>
      </c>
      <c r="I5106" s="13">
        <v>30</v>
      </c>
    </row>
    <row r="5107" spans="6:9">
      <c r="F5107" s="12" t="s">
        <v>1550</v>
      </c>
      <c r="G5107" s="12" t="s">
        <v>157</v>
      </c>
      <c r="H5107" s="15">
        <v>32535</v>
      </c>
      <c r="I5107" s="13">
        <v>30</v>
      </c>
    </row>
    <row r="5108" spans="6:9">
      <c r="F5108" s="12" t="s">
        <v>1763</v>
      </c>
      <c r="G5108" s="12" t="s">
        <v>157</v>
      </c>
      <c r="H5108" s="15">
        <v>177048</v>
      </c>
      <c r="I5108" s="13">
        <v>30</v>
      </c>
    </row>
    <row r="5109" spans="6:9">
      <c r="F5109" s="12" t="s">
        <v>5270</v>
      </c>
      <c r="G5109" s="12" t="s">
        <v>157</v>
      </c>
      <c r="H5109" s="15">
        <v>48973</v>
      </c>
      <c r="I5109" s="13">
        <v>30</v>
      </c>
    </row>
    <row r="5110" spans="6:9">
      <c r="F5110" s="12" t="s">
        <v>1740</v>
      </c>
      <c r="G5110" s="12" t="s">
        <v>157</v>
      </c>
      <c r="H5110" s="15">
        <v>37564</v>
      </c>
      <c r="I5110" s="13">
        <v>30</v>
      </c>
    </row>
    <row r="5111" spans="6:9">
      <c r="F5111" s="12" t="s">
        <v>1833</v>
      </c>
      <c r="G5111" s="12" t="s">
        <v>157</v>
      </c>
      <c r="H5111" s="15">
        <v>48240</v>
      </c>
      <c r="I5111" s="13">
        <v>28</v>
      </c>
    </row>
    <row r="5112" spans="6:9">
      <c r="F5112" s="12" t="s">
        <v>221</v>
      </c>
      <c r="G5112" s="12" t="s">
        <v>157</v>
      </c>
      <c r="H5112" s="15">
        <v>5042266</v>
      </c>
      <c r="I5112" s="13">
        <v>28</v>
      </c>
    </row>
    <row r="5113" spans="6:9">
      <c r="F5113" s="12" t="s">
        <v>2359</v>
      </c>
      <c r="G5113" s="12" t="s">
        <v>157</v>
      </c>
      <c r="H5113" s="15">
        <v>67761</v>
      </c>
      <c r="I5113" s="13">
        <v>28</v>
      </c>
    </row>
    <row r="5114" spans="6:9">
      <c r="F5114" s="12" t="s">
        <v>1829</v>
      </c>
      <c r="G5114" s="12" t="s">
        <v>157</v>
      </c>
      <c r="H5114" s="15">
        <v>122358</v>
      </c>
      <c r="I5114" s="13">
        <v>27</v>
      </c>
    </row>
    <row r="5115" spans="6:9">
      <c r="F5115" s="12" t="s">
        <v>1832</v>
      </c>
      <c r="G5115" s="12" t="s">
        <v>157</v>
      </c>
      <c r="H5115" s="15">
        <v>119903</v>
      </c>
      <c r="I5115" s="13">
        <v>27</v>
      </c>
    </row>
    <row r="5116" spans="6:9">
      <c r="F5116" s="12" t="s">
        <v>2398</v>
      </c>
      <c r="G5116" s="12" t="s">
        <v>157</v>
      </c>
      <c r="H5116" s="15">
        <v>87504</v>
      </c>
      <c r="I5116" s="13">
        <v>26</v>
      </c>
    </row>
    <row r="5117" spans="6:9">
      <c r="F5117" s="12" t="s">
        <v>512</v>
      </c>
      <c r="G5117" s="12" t="s">
        <v>157</v>
      </c>
      <c r="H5117" s="15">
        <v>79658</v>
      </c>
      <c r="I5117" s="13">
        <v>24</v>
      </c>
    </row>
    <row r="5118" spans="6:9">
      <c r="F5118" s="12" t="s">
        <v>5271</v>
      </c>
      <c r="G5118" s="12" t="s">
        <v>157</v>
      </c>
      <c r="H5118" s="15">
        <v>25804</v>
      </c>
      <c r="I5118" s="13">
        <v>22</v>
      </c>
    </row>
    <row r="5119" spans="6:9">
      <c r="F5119" s="12" t="s">
        <v>1842</v>
      </c>
      <c r="G5119" s="12" t="s">
        <v>157</v>
      </c>
      <c r="H5119" s="15">
        <v>336823</v>
      </c>
      <c r="I5119" s="13">
        <v>20</v>
      </c>
    </row>
    <row r="5120" spans="6:9">
      <c r="F5120" s="12" t="s">
        <v>5272</v>
      </c>
      <c r="G5120" s="12" t="s">
        <v>157</v>
      </c>
      <c r="H5120" s="15">
        <v>57505</v>
      </c>
      <c r="I5120" s="13">
        <v>18</v>
      </c>
    </row>
  </sheetData>
  <mergeCells count="5">
    <mergeCell ref="A1:O1"/>
    <mergeCell ref="A2:O2"/>
    <mergeCell ref="A4:D4"/>
    <mergeCell ref="F4:I4"/>
    <mergeCell ref="K4:N4"/>
  </mergeCell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20"/>
  <sheetViews>
    <sheetView workbookViewId="0">
      <pane ySplit="5" topLeftCell="A6" activePane="bottomLeft" state="frozen"/>
      <selection/>
      <selection pane="bottomLeft" activeCell="A1" sqref="A1:O1"/>
    </sheetView>
  </sheetViews>
  <sheetFormatPr defaultColWidth="9" defaultRowHeight="14.4"/>
  <cols>
    <col min="1" max="1" width="24" customWidth="1"/>
    <col min="2" max="2" width="11" customWidth="1"/>
    <col min="3" max="3" width="15" customWidth="1"/>
    <col min="4" max="4" width="17" customWidth="1"/>
    <col min="5" max="5" width="3" customWidth="1"/>
    <col min="6" max="6" width="24" customWidth="1"/>
    <col min="7" max="7" width="11" customWidth="1"/>
    <col min="8" max="8" width="15" customWidth="1"/>
    <col min="9" max="9" width="17" customWidth="1"/>
    <col min="10" max="10" width="3" customWidth="1"/>
    <col min="11" max="11" width="24" customWidth="1"/>
    <col min="12" max="12" width="11" customWidth="1"/>
    <col min="13" max="13" width="15" customWidth="1"/>
    <col min="14" max="14" width="17" customWidth="1"/>
    <col min="15" max="15" width="3" customWidth="1"/>
  </cols>
  <sheetData>
    <row r="1" ht="24" customHeight="1" spans="1:15">
      <c r="A1" s="3" t="s">
        <v>5273</v>
      </c>
      <c r="B1" s="3"/>
      <c r="C1" s="3"/>
      <c r="D1" s="3"/>
      <c r="E1" s="3"/>
      <c r="F1" s="3"/>
      <c r="G1" s="3"/>
      <c r="H1" s="3"/>
      <c r="I1" s="3"/>
      <c r="J1" s="3"/>
      <c r="K1" s="3"/>
      <c r="L1" s="3"/>
      <c r="M1" s="3"/>
      <c r="N1" s="3"/>
      <c r="O1" s="3"/>
    </row>
    <row r="2" ht="30" customHeight="1" spans="1:15">
      <c r="A2" s="4" t="s">
        <v>5274</v>
      </c>
      <c r="B2" s="4"/>
      <c r="C2" s="4"/>
      <c r="D2" s="4"/>
      <c r="E2" s="4"/>
      <c r="F2" s="4"/>
      <c r="G2" s="4"/>
      <c r="H2" s="4"/>
      <c r="I2" s="4"/>
      <c r="J2" s="4"/>
      <c r="K2" s="4"/>
      <c r="L2" s="4"/>
      <c r="M2" s="4"/>
      <c r="N2" s="4"/>
      <c r="O2" s="4"/>
    </row>
    <row r="4" spans="1:15">
      <c r="A4" s="27" t="s">
        <v>5275</v>
      </c>
      <c r="B4" s="27"/>
      <c r="C4" s="27"/>
      <c r="D4" s="28">
        <f>MAX(Absolute_Scores!$D$6:$D$1248)</f>
        <v>80</v>
      </c>
      <c r="F4" s="27" t="s">
        <v>5276</v>
      </c>
      <c r="G4" s="27"/>
      <c r="H4" s="27"/>
      <c r="I4" s="28">
        <f>MAX(Absolute_Scores!$I$6:$I$5120)</f>
        <v>80</v>
      </c>
      <c r="K4" s="27" t="s">
        <v>5277</v>
      </c>
      <c r="L4" s="27"/>
      <c r="M4" s="27"/>
      <c r="N4" s="28">
        <f>MAX(Absolute_Scores!$N$6:$N$692)</f>
        <v>67</v>
      </c>
    </row>
    <row r="5" ht="26" customHeight="1" spans="1:15">
      <c r="A5" s="5" t="s">
        <v>155</v>
      </c>
      <c r="B5" s="5" t="s">
        <v>114</v>
      </c>
      <c r="C5" s="5" t="s">
        <v>10</v>
      </c>
      <c r="D5" s="5" t="s">
        <v>12</v>
      </c>
      <c r="F5" s="5" t="s">
        <v>155</v>
      </c>
      <c r="G5" s="5" t="s">
        <v>114</v>
      </c>
      <c r="H5" s="5" t="s">
        <v>10</v>
      </c>
      <c r="I5" s="5" t="s">
        <v>12</v>
      </c>
      <c r="K5" s="5" t="s">
        <v>155</v>
      </c>
      <c r="L5" s="5" t="s">
        <v>114</v>
      </c>
      <c r="M5" s="5" t="s">
        <v>10</v>
      </c>
      <c r="N5" s="5" t="s">
        <v>12</v>
      </c>
    </row>
    <row r="6" spans="1:15">
      <c r="A6" s="12" t="str">
        <f>Absolute_Scores!A6</f>
        <v>@almamestika</v>
      </c>
      <c r="B6" s="12" t="str">
        <f>Absolute_Scores!B6</f>
        <v>Instagram</v>
      </c>
      <c r="C6" s="29">
        <f>Absolute_Scores!D6</f>
        <v>80</v>
      </c>
      <c r="D6" s="30">
        <f t="shared" ref="D6:D69" si="0">ROUND(C6/$D$4*100,2)</f>
        <v>100</v>
      </c>
      <c r="F6" s="12" t="str">
        <f>Absolute_Scores!F6</f>
        <v>@nanakoot</v>
      </c>
      <c r="G6" s="12" t="str">
        <f>Absolute_Scores!G6</f>
        <v>TikTok</v>
      </c>
      <c r="H6" s="29">
        <f>Absolute_Scores!I6</f>
        <v>80</v>
      </c>
      <c r="I6" s="30">
        <f t="shared" ref="I6:I69" si="1">ROUND(H6/$I$4*100,2)</f>
        <v>100</v>
      </c>
      <c r="K6" s="12" t="str">
        <f>Absolute_Scores!K6</f>
        <v>@alyaaputri</v>
      </c>
      <c r="L6" s="12" t="str">
        <f>Absolute_Scores!L6</f>
        <v>Instagram</v>
      </c>
      <c r="M6" s="29">
        <f>Absolute_Scores!N6</f>
        <v>67</v>
      </c>
      <c r="N6" s="30">
        <f t="shared" ref="N6:N69" si="2">ROUND(M6/$N$4*100,2)</f>
        <v>100</v>
      </c>
    </row>
    <row r="7" spans="1:15">
      <c r="A7" s="12" t="str">
        <f>Absolute_Scores!A7</f>
        <v>@desylasterina</v>
      </c>
      <c r="B7" s="12" t="str">
        <f>Absolute_Scores!B7</f>
        <v>Instagram</v>
      </c>
      <c r="C7" s="29">
        <f>Absolute_Scores!D7</f>
        <v>72</v>
      </c>
      <c r="D7" s="30">
        <f t="shared" si="0"/>
        <v>90</v>
      </c>
      <c r="F7" s="12" t="str">
        <f>Absolute_Scores!F7</f>
        <v>@inul.d</v>
      </c>
      <c r="G7" s="12" t="str">
        <f>Absolute_Scores!G7</f>
        <v>Instagram</v>
      </c>
      <c r="H7" s="29">
        <f>Absolute_Scores!I7</f>
        <v>69</v>
      </c>
      <c r="I7" s="30">
        <f t="shared" si="1"/>
        <v>86.25</v>
      </c>
      <c r="K7" s="12" t="str">
        <f>Absolute_Scores!K7</f>
        <v>@hipatrickreal</v>
      </c>
      <c r="L7" s="12" t="str">
        <f>Absolute_Scores!L7</f>
        <v>Instagram</v>
      </c>
      <c r="M7" s="29">
        <f>Absolute_Scores!N7</f>
        <v>67</v>
      </c>
      <c r="N7" s="30">
        <f t="shared" si="2"/>
        <v>100</v>
      </c>
    </row>
    <row r="8" spans="1:15">
      <c r="A8" s="12" t="str">
        <f>Absolute_Scores!A8</f>
        <v>@regina_nugroho</v>
      </c>
      <c r="B8" s="12" t="str">
        <f>Absolute_Scores!B8</f>
        <v>Instagram</v>
      </c>
      <c r="C8" s="29">
        <f>Absolute_Scores!D8</f>
        <v>69</v>
      </c>
      <c r="D8" s="30">
        <f t="shared" si="0"/>
        <v>86.25</v>
      </c>
      <c r="F8" s="12" t="str">
        <f>Absolute_Scores!F8</f>
        <v>@cheekykiddo</v>
      </c>
      <c r="G8" s="12" t="str">
        <f>Absolute_Scores!G8</f>
        <v>TikTok</v>
      </c>
      <c r="H8" s="29">
        <f>Absolute_Scores!I8</f>
        <v>68</v>
      </c>
      <c r="I8" s="30">
        <f t="shared" si="1"/>
        <v>85</v>
      </c>
      <c r="K8" s="12" t="str">
        <f>Absolute_Scores!K8</f>
        <v>@nfahdan</v>
      </c>
      <c r="L8" s="12" t="str">
        <f>Absolute_Scores!L8</f>
        <v>Instagram</v>
      </c>
      <c r="M8" s="29">
        <f>Absolute_Scores!N8</f>
        <v>67</v>
      </c>
      <c r="N8" s="30">
        <f t="shared" si="2"/>
        <v>100</v>
      </c>
    </row>
    <row r="9" spans="1:15">
      <c r="A9" s="12" t="str">
        <f>Absolute_Scores!A9</f>
        <v>@__ditamal</v>
      </c>
      <c r="B9" s="12" t="str">
        <f>Absolute_Scores!B9</f>
        <v>Instagram</v>
      </c>
      <c r="C9" s="29">
        <f>Absolute_Scores!D9</f>
        <v>67</v>
      </c>
      <c r="D9" s="30">
        <f t="shared" si="0"/>
        <v>83.75</v>
      </c>
      <c r="F9" s="12" t="str">
        <f>Absolute_Scores!F9</f>
        <v>@dairyqueen</v>
      </c>
      <c r="G9" s="12" t="str">
        <f>Absolute_Scores!G9</f>
        <v>TikTok</v>
      </c>
      <c r="H9" s="29">
        <f>Absolute_Scores!I9</f>
        <v>68</v>
      </c>
      <c r="I9" s="30">
        <f t="shared" si="1"/>
        <v>85</v>
      </c>
      <c r="K9" s="12" t="str">
        <f>Absolute_Scores!K9</f>
        <v>@suryainsomnia</v>
      </c>
      <c r="L9" s="12" t="str">
        <f>Absolute_Scores!L9</f>
        <v>Instagram</v>
      </c>
      <c r="M9" s="29">
        <f>Absolute_Scores!N9</f>
        <v>62</v>
      </c>
      <c r="N9" s="30">
        <f t="shared" si="2"/>
        <v>92.54</v>
      </c>
    </row>
    <row r="10" spans="1:15">
      <c r="A10" s="12" t="str">
        <f>Absolute_Scores!A10</f>
        <v>@angelaaudreyyy</v>
      </c>
      <c r="B10" s="12" t="str">
        <f>Absolute_Scores!B10</f>
        <v>Instagram</v>
      </c>
      <c r="C10" s="29">
        <f>Absolute_Scores!D10</f>
        <v>67</v>
      </c>
      <c r="D10" s="30">
        <f t="shared" si="0"/>
        <v>83.75</v>
      </c>
      <c r="F10" s="12" t="str">
        <f>Absolute_Scores!F10</f>
        <v>@dimsthemeatguy</v>
      </c>
      <c r="G10" s="12" t="str">
        <f>Absolute_Scores!G10</f>
        <v>TikTok</v>
      </c>
      <c r="H10" s="29">
        <f>Absolute_Scores!I10</f>
        <v>68</v>
      </c>
      <c r="I10" s="30">
        <f t="shared" si="1"/>
        <v>85</v>
      </c>
      <c r="K10" s="12" t="str">
        <f>Absolute_Scores!K10</f>
        <v>@indahnadapuspita</v>
      </c>
      <c r="L10" s="12" t="str">
        <f>Absolute_Scores!L10</f>
        <v>Instagram</v>
      </c>
      <c r="M10" s="29">
        <f>Absolute_Scores!N10</f>
        <v>61</v>
      </c>
      <c r="N10" s="30">
        <f t="shared" si="2"/>
        <v>91.04</v>
      </c>
    </row>
    <row r="11" spans="1:15">
      <c r="A11" s="12" t="str">
        <f>Absolute_Scores!A11</f>
        <v>@carlenedoraa</v>
      </c>
      <c r="B11" s="12" t="str">
        <f>Absolute_Scores!B11</f>
        <v>Instagram</v>
      </c>
      <c r="C11" s="29">
        <f>Absolute_Scores!D11</f>
        <v>67</v>
      </c>
      <c r="D11" s="30">
        <f t="shared" si="0"/>
        <v>83.75</v>
      </c>
      <c r="F11" s="12" t="str">
        <f>Absolute_Scores!F11</f>
        <v>@mursid241</v>
      </c>
      <c r="G11" s="12" t="str">
        <f>Absolute_Scores!G11</f>
        <v>TikTok</v>
      </c>
      <c r="H11" s="29">
        <f>Absolute_Scores!I11</f>
        <v>68</v>
      </c>
      <c r="I11" s="30">
        <f t="shared" si="1"/>
        <v>85</v>
      </c>
      <c r="K11" s="12" t="str">
        <f>Absolute_Scores!K11</f>
        <v>@anggikabolsterli</v>
      </c>
      <c r="L11" s="12" t="str">
        <f>Absolute_Scores!L11</f>
        <v>Instagram</v>
      </c>
      <c r="M11" s="29">
        <f>Absolute_Scores!N11</f>
        <v>59</v>
      </c>
      <c r="N11" s="30">
        <f t="shared" si="2"/>
        <v>88.06</v>
      </c>
    </row>
    <row r="12" spans="1:15">
      <c r="A12" s="12" t="str">
        <f>Absolute_Scores!A12</f>
        <v>@cindercella</v>
      </c>
      <c r="B12" s="12" t="str">
        <f>Absolute_Scores!B12</f>
        <v>Instagram</v>
      </c>
      <c r="C12" s="29">
        <f>Absolute_Scores!D12</f>
        <v>67</v>
      </c>
      <c r="D12" s="30">
        <f t="shared" si="0"/>
        <v>83.75</v>
      </c>
      <c r="F12" s="12" t="str">
        <f>Absolute_Scores!F12</f>
        <v>@ainiraaul</v>
      </c>
      <c r="G12" s="12" t="str">
        <f>Absolute_Scores!G12</f>
        <v>Instagram</v>
      </c>
      <c r="H12" s="29">
        <f>Absolute_Scores!I12</f>
        <v>67</v>
      </c>
      <c r="I12" s="30">
        <f t="shared" si="1"/>
        <v>83.75</v>
      </c>
      <c r="K12" s="12" t="str">
        <f>Absolute_Scores!K12</f>
        <v>@bobbykertanegara</v>
      </c>
      <c r="L12" s="12" t="str">
        <f>Absolute_Scores!L12</f>
        <v>Instagram</v>
      </c>
      <c r="M12" s="29">
        <f>Absolute_Scores!N12</f>
        <v>59</v>
      </c>
      <c r="N12" s="30">
        <f t="shared" si="2"/>
        <v>88.06</v>
      </c>
    </row>
    <row r="13" spans="1:15">
      <c r="A13" s="12" t="str">
        <f>Absolute_Scores!A13</f>
        <v>@lindakayhz</v>
      </c>
      <c r="B13" s="12" t="str">
        <f>Absolute_Scores!B13</f>
        <v>Instagram</v>
      </c>
      <c r="C13" s="29">
        <f>Absolute_Scores!D13</f>
        <v>67</v>
      </c>
      <c r="D13" s="30">
        <f t="shared" si="0"/>
        <v>83.75</v>
      </c>
      <c r="F13" s="12" t="str">
        <f>Absolute_Scores!F13</f>
        <v>@alyaaputri</v>
      </c>
      <c r="G13" s="12" t="str">
        <f>Absolute_Scores!G13</f>
        <v>Instagram</v>
      </c>
      <c r="H13" s="29">
        <f>Absolute_Scores!I13</f>
        <v>67</v>
      </c>
      <c r="I13" s="30">
        <f t="shared" si="1"/>
        <v>83.75</v>
      </c>
      <c r="K13" s="12" t="str">
        <f>Absolute_Scores!K13</f>
        <v>@kayleemiracle</v>
      </c>
      <c r="L13" s="12" t="str">
        <f>Absolute_Scores!L13</f>
        <v>Instagram</v>
      </c>
      <c r="M13" s="29">
        <f>Absolute_Scores!N13</f>
        <v>59</v>
      </c>
      <c r="N13" s="30">
        <f t="shared" si="2"/>
        <v>88.06</v>
      </c>
    </row>
    <row r="14" spans="1:15">
      <c r="A14" s="12" t="str">
        <f>Absolute_Scores!A14</f>
        <v>@raniaayamin</v>
      </c>
      <c r="B14" s="12" t="str">
        <f>Absolute_Scores!B14</f>
        <v>Instagram</v>
      </c>
      <c r="C14" s="29">
        <f>Absolute_Scores!D14</f>
        <v>67</v>
      </c>
      <c r="D14" s="30">
        <f t="shared" si="0"/>
        <v>83.75</v>
      </c>
      <c r="F14" s="12" t="str">
        <f>Absolute_Scores!F14</f>
        <v>@hipatrickreal</v>
      </c>
      <c r="G14" s="12" t="str">
        <f>Absolute_Scores!G14</f>
        <v>Instagram</v>
      </c>
      <c r="H14" s="29">
        <f>Absolute_Scores!I14</f>
        <v>67</v>
      </c>
      <c r="I14" s="30">
        <f t="shared" si="1"/>
        <v>83.75</v>
      </c>
      <c r="K14" s="12" t="str">
        <f>Absolute_Scores!K14</f>
        <v>@laura_theux</v>
      </c>
      <c r="L14" s="12" t="str">
        <f>Absolute_Scores!L14</f>
        <v>Instagram</v>
      </c>
      <c r="M14" s="29">
        <f>Absolute_Scores!N14</f>
        <v>59</v>
      </c>
      <c r="N14" s="30">
        <f t="shared" si="2"/>
        <v>88.06</v>
      </c>
    </row>
    <row r="15" spans="1:15">
      <c r="A15" s="12" t="str">
        <f>Absolute_Scores!A15</f>
        <v>@theliztagram</v>
      </c>
      <c r="B15" s="12" t="str">
        <f>Absolute_Scores!B15</f>
        <v>Instagram</v>
      </c>
      <c r="C15" s="29">
        <f>Absolute_Scores!D15</f>
        <v>67</v>
      </c>
      <c r="D15" s="30">
        <f t="shared" si="0"/>
        <v>83.75</v>
      </c>
      <c r="F15" s="12" t="str">
        <f>Absolute_Scores!F15</f>
        <v>@kokikutv</v>
      </c>
      <c r="G15" s="12" t="str">
        <f>Absolute_Scores!G15</f>
        <v>Instagram</v>
      </c>
      <c r="H15" s="29">
        <f>Absolute_Scores!I15</f>
        <v>67</v>
      </c>
      <c r="I15" s="30">
        <f t="shared" si="1"/>
        <v>83.75</v>
      </c>
      <c r="K15" s="12" t="str">
        <f>Absolute_Scores!K15</f>
        <v>@ia_nita_lohiya</v>
      </c>
      <c r="L15" s="12" t="str">
        <f>Absolute_Scores!L15</f>
        <v>Instagram</v>
      </c>
      <c r="M15" s="29">
        <f>Absolute_Scores!N15</f>
        <v>56</v>
      </c>
      <c r="N15" s="30">
        <f t="shared" si="2"/>
        <v>83.58</v>
      </c>
    </row>
    <row r="16" spans="1:15">
      <c r="A16" s="12" t="str">
        <f>Absolute_Scores!A16</f>
        <v>@vaniafebrianne</v>
      </c>
      <c r="B16" s="12" t="str">
        <f>Absolute_Scores!B16</f>
        <v>Instagram</v>
      </c>
      <c r="C16" s="29">
        <f>Absolute_Scores!D16</f>
        <v>67</v>
      </c>
      <c r="D16" s="30">
        <f t="shared" si="0"/>
        <v>83.75</v>
      </c>
      <c r="F16" s="12" t="str">
        <f>Absolute_Scores!F16</f>
        <v>@nfahdan</v>
      </c>
      <c r="G16" s="12" t="str">
        <f>Absolute_Scores!G16</f>
        <v>Instagram</v>
      </c>
      <c r="H16" s="29">
        <f>Absolute_Scores!I16</f>
        <v>67</v>
      </c>
      <c r="I16" s="30">
        <f t="shared" si="1"/>
        <v>83.75</v>
      </c>
      <c r="K16" s="12" t="str">
        <f>Absolute_Scores!K16</f>
        <v>@karmalogy</v>
      </c>
      <c r="L16" s="12" t="str">
        <f>Absolute_Scores!L16</f>
        <v>TikTok</v>
      </c>
      <c r="M16" s="29">
        <f>Absolute_Scores!N16</f>
        <v>56</v>
      </c>
      <c r="N16" s="30">
        <f t="shared" si="2"/>
        <v>83.58</v>
      </c>
    </row>
    <row r="17" spans="1:14">
      <c r="A17" s="12" t="str">
        <f>Absolute_Scores!A17</f>
        <v>@yorikooangln_</v>
      </c>
      <c r="B17" s="12" t="str">
        <f>Absolute_Scores!B17</f>
        <v>Instagram</v>
      </c>
      <c r="C17" s="29">
        <f>Absolute_Scores!D17</f>
        <v>67</v>
      </c>
      <c r="D17" s="30">
        <f t="shared" si="0"/>
        <v>83.75</v>
      </c>
      <c r="F17" s="12" t="str">
        <f>Absolute_Scores!F17</f>
        <v>@aira_mishel_aurellia</v>
      </c>
      <c r="G17" s="12" t="str">
        <f>Absolute_Scores!G17</f>
        <v>Instagram</v>
      </c>
      <c r="H17" s="29">
        <f>Absolute_Scores!I17</f>
        <v>64</v>
      </c>
      <c r="I17" s="30">
        <f t="shared" si="1"/>
        <v>80</v>
      </c>
      <c r="K17" s="12" t="str">
        <f>Absolute_Scores!K17</f>
        <v>@__ehan</v>
      </c>
      <c r="L17" s="12" t="str">
        <f>Absolute_Scores!L17</f>
        <v>TikTok</v>
      </c>
      <c r="M17" s="29">
        <f>Absolute_Scores!N17</f>
        <v>55</v>
      </c>
      <c r="N17" s="30">
        <f t="shared" si="2"/>
        <v>82.09</v>
      </c>
    </row>
    <row r="18" spans="1:14">
      <c r="A18" s="12" t="str">
        <f>Absolute_Scores!A18</f>
        <v>@yudhistirawr</v>
      </c>
      <c r="B18" s="12" t="str">
        <f>Absolute_Scores!B18</f>
        <v>Instagram</v>
      </c>
      <c r="C18" s="29">
        <f>Absolute_Scores!D18</f>
        <v>67</v>
      </c>
      <c r="D18" s="30">
        <f t="shared" si="0"/>
        <v>83.75</v>
      </c>
      <c r="F18" s="12" t="str">
        <f>Absolute_Scores!F18</f>
        <v>@dimasramadhan</v>
      </c>
      <c r="G18" s="12" t="str">
        <f>Absolute_Scores!G18</f>
        <v>Instagram</v>
      </c>
      <c r="H18" s="29">
        <f>Absolute_Scores!I18</f>
        <v>64</v>
      </c>
      <c r="I18" s="30">
        <f t="shared" si="1"/>
        <v>80</v>
      </c>
      <c r="K18" s="12" t="str">
        <f>Absolute_Scores!K18</f>
        <v>@abellyc</v>
      </c>
      <c r="L18" s="12" t="str">
        <f>Absolute_Scores!L18</f>
        <v>Instagram</v>
      </c>
      <c r="M18" s="29">
        <f>Absolute_Scores!N18</f>
        <v>55</v>
      </c>
      <c r="N18" s="30">
        <f t="shared" si="2"/>
        <v>82.09</v>
      </c>
    </row>
    <row r="19" spans="1:14">
      <c r="A19" s="12" t="str">
        <f>Absolute_Scores!A19</f>
        <v>@therealasilamaisa</v>
      </c>
      <c r="B19" s="12" t="str">
        <f>Absolute_Scores!B19</f>
        <v>Instagram</v>
      </c>
      <c r="C19" s="29">
        <f>Absolute_Scores!D19</f>
        <v>66</v>
      </c>
      <c r="D19" s="30">
        <f t="shared" si="0"/>
        <v>82.5</v>
      </c>
      <c r="F19" s="12" t="str">
        <f>Absolute_Scores!F19</f>
        <v>@lilisbadriyahh</v>
      </c>
      <c r="G19" s="12" t="str">
        <f>Absolute_Scores!G19</f>
        <v>Instagram</v>
      </c>
      <c r="H19" s="29">
        <f>Absolute_Scores!I19</f>
        <v>64</v>
      </c>
      <c r="I19" s="30">
        <f t="shared" si="1"/>
        <v>80</v>
      </c>
      <c r="K19" s="12" t="str">
        <f>Absolute_Scores!K19</f>
        <v>@adenalfurqon</v>
      </c>
      <c r="L19" s="12" t="str">
        <f>Absolute_Scores!L19</f>
        <v>Instagram</v>
      </c>
      <c r="M19" s="29">
        <f>Absolute_Scores!N19</f>
        <v>55</v>
      </c>
      <c r="N19" s="30">
        <f t="shared" si="2"/>
        <v>82.09</v>
      </c>
    </row>
    <row r="20" spans="1:14">
      <c r="A20" s="12" t="str">
        <f>Absolute_Scores!A20</f>
        <v>@jerhemynemo</v>
      </c>
      <c r="B20" s="12" t="str">
        <f>Absolute_Scores!B20</f>
        <v>Instagram</v>
      </c>
      <c r="C20" s="29">
        <f>Absolute_Scores!D20</f>
        <v>65</v>
      </c>
      <c r="D20" s="30">
        <f t="shared" si="0"/>
        <v>81.25</v>
      </c>
      <c r="F20" s="12" t="str">
        <f>Absolute_Scores!F20</f>
        <v>@yusufhendratnoo</v>
      </c>
      <c r="G20" s="12" t="str">
        <f>Absolute_Scores!G20</f>
        <v>Instagram</v>
      </c>
      <c r="H20" s="29">
        <f>Absolute_Scores!I20</f>
        <v>64</v>
      </c>
      <c r="I20" s="30">
        <f t="shared" si="1"/>
        <v>80</v>
      </c>
      <c r="K20" s="12" t="str">
        <f>Absolute_Scores!K20</f>
        <v>@aialbar</v>
      </c>
      <c r="L20" s="12" t="str">
        <f>Absolute_Scores!L20</f>
        <v>Instagram</v>
      </c>
      <c r="M20" s="29">
        <f>Absolute_Scores!N20</f>
        <v>55</v>
      </c>
      <c r="N20" s="30">
        <f t="shared" si="2"/>
        <v>82.09</v>
      </c>
    </row>
    <row r="21" spans="1:14">
      <c r="A21" s="12" t="str">
        <f>Absolute_Scores!A21</f>
        <v>@ataliabunga</v>
      </c>
      <c r="B21" s="12" t="str">
        <f>Absolute_Scores!B21</f>
        <v>Instagram</v>
      </c>
      <c r="C21" s="29">
        <f>Absolute_Scores!D21</f>
        <v>64</v>
      </c>
      <c r="D21" s="30">
        <f t="shared" si="0"/>
        <v>80</v>
      </c>
      <c r="F21" s="12" t="str">
        <f>Absolute_Scores!F21</f>
        <v>@ia_nita_lohiya</v>
      </c>
      <c r="G21" s="12" t="str">
        <f>Absolute_Scores!G21</f>
        <v>Instagram</v>
      </c>
      <c r="H21" s="29">
        <f>Absolute_Scores!I21</f>
        <v>63</v>
      </c>
      <c r="I21" s="30">
        <f t="shared" si="1"/>
        <v>78.75</v>
      </c>
      <c r="K21" s="12" t="str">
        <f>Absolute_Scores!K21</f>
        <v>@alexandraasherly</v>
      </c>
      <c r="L21" s="12" t="str">
        <f>Absolute_Scores!L21</f>
        <v>Instagram</v>
      </c>
      <c r="M21" s="29">
        <f>Absolute_Scores!N21</f>
        <v>55</v>
      </c>
      <c r="N21" s="30">
        <f t="shared" si="2"/>
        <v>82.09</v>
      </c>
    </row>
    <row r="22" spans="1:14">
      <c r="A22" s="12" t="str">
        <f>Absolute_Scores!A22</f>
        <v>@dimasramadhan</v>
      </c>
      <c r="B22" s="12" t="str">
        <f>Absolute_Scores!B22</f>
        <v>Instagram</v>
      </c>
      <c r="C22" s="29">
        <f>Absolute_Scores!D22</f>
        <v>64</v>
      </c>
      <c r="D22" s="30">
        <f t="shared" si="0"/>
        <v>80</v>
      </c>
      <c r="F22" s="12" t="str">
        <f>Absolute_Scores!F22</f>
        <v>@makanber2</v>
      </c>
      <c r="G22" s="12" t="str">
        <f>Absolute_Scores!G22</f>
        <v>Instagram</v>
      </c>
      <c r="H22" s="29">
        <f>Absolute_Scores!I22</f>
        <v>63</v>
      </c>
      <c r="I22" s="30">
        <f t="shared" si="1"/>
        <v>78.75</v>
      </c>
      <c r="K22" s="12" t="str">
        <f>Absolute_Scores!K22</f>
        <v>@alyssadaguise</v>
      </c>
      <c r="L22" s="12" t="str">
        <f>Absolute_Scores!L22</f>
        <v>Instagram</v>
      </c>
      <c r="M22" s="29">
        <f>Absolute_Scores!N22</f>
        <v>55</v>
      </c>
      <c r="N22" s="30">
        <f t="shared" si="2"/>
        <v>82.09</v>
      </c>
    </row>
    <row r="23" spans="1:14">
      <c r="A23" s="12" t="str">
        <f>Absolute_Scores!A23</f>
        <v>@ia_nita_lohiya</v>
      </c>
      <c r="B23" s="12" t="str">
        <f>Absolute_Scores!B23</f>
        <v>Instagram</v>
      </c>
      <c r="C23" s="29">
        <f>Absolute_Scores!D23</f>
        <v>63</v>
      </c>
      <c r="D23" s="30">
        <f t="shared" si="0"/>
        <v>78.75</v>
      </c>
      <c r="F23" s="12" t="str">
        <f>Absolute_Scores!F23</f>
        <v>@baksorusukjoss</v>
      </c>
      <c r="G23" s="12" t="str">
        <f>Absolute_Scores!G23</f>
        <v>Instagram</v>
      </c>
      <c r="H23" s="29">
        <f>Absolute_Scores!I23</f>
        <v>62</v>
      </c>
      <c r="I23" s="30">
        <f t="shared" si="1"/>
        <v>77.5</v>
      </c>
      <c r="K23" s="12" t="str">
        <f>Absolute_Scores!K23</f>
        <v>@andikahonda18</v>
      </c>
      <c r="L23" s="12" t="str">
        <f>Absolute_Scores!L23</f>
        <v>Instagram</v>
      </c>
      <c r="M23" s="29">
        <f>Absolute_Scores!N23</f>
        <v>55</v>
      </c>
      <c r="N23" s="30">
        <f t="shared" si="2"/>
        <v>82.09</v>
      </c>
    </row>
    <row r="24" spans="1:14">
      <c r="A24" s="12" t="str">
        <f>Absolute_Scores!A24</f>
        <v>@nisaput_hudia</v>
      </c>
      <c r="B24" s="12" t="str">
        <f>Absolute_Scores!B24</f>
        <v>Instagram</v>
      </c>
      <c r="C24" s="29">
        <f>Absolute_Scores!D24</f>
        <v>63</v>
      </c>
      <c r="D24" s="30">
        <f t="shared" si="0"/>
        <v>78.75</v>
      </c>
      <c r="F24" s="12" t="str">
        <f>Absolute_Scores!F24</f>
        <v>@dellyclarissa</v>
      </c>
      <c r="G24" s="12" t="str">
        <f>Absolute_Scores!G24</f>
        <v>Instagram</v>
      </c>
      <c r="H24" s="29">
        <f>Absolute_Scores!I24</f>
        <v>62</v>
      </c>
      <c r="I24" s="30">
        <f t="shared" si="1"/>
        <v>77.5</v>
      </c>
      <c r="K24" s="12" t="str">
        <f>Absolute_Scores!K24</f>
        <v>@andrew.white._</v>
      </c>
      <c r="L24" s="12" t="str">
        <f>Absolute_Scores!L24</f>
        <v>Instagram</v>
      </c>
      <c r="M24" s="29">
        <f>Absolute_Scores!N24</f>
        <v>55</v>
      </c>
      <c r="N24" s="30">
        <f t="shared" si="2"/>
        <v>82.09</v>
      </c>
    </row>
    <row r="25" spans="1:14">
      <c r="A25" s="12" t="str">
        <f>Absolute_Scores!A25</f>
        <v>@vfeliciwa</v>
      </c>
      <c r="B25" s="12" t="str">
        <f>Absolute_Scores!B25</f>
        <v>Instagram</v>
      </c>
      <c r="C25" s="29">
        <f>Absolute_Scores!D25</f>
        <v>63</v>
      </c>
      <c r="D25" s="30">
        <f t="shared" si="0"/>
        <v>78.75</v>
      </c>
      <c r="F25" s="12" t="str">
        <f>Absolute_Scores!F25</f>
        <v>@destira_inka</v>
      </c>
      <c r="G25" s="12" t="str">
        <f>Absolute_Scores!G25</f>
        <v>Instagram</v>
      </c>
      <c r="H25" s="29">
        <f>Absolute_Scores!I25</f>
        <v>62</v>
      </c>
      <c r="I25" s="30">
        <f t="shared" si="1"/>
        <v>77.5</v>
      </c>
      <c r="K25" s="12" t="str">
        <f>Absolute_Scores!K25</f>
        <v>@aninditahidayat</v>
      </c>
      <c r="L25" s="12" t="str">
        <f>Absolute_Scores!L25</f>
        <v>Instagram</v>
      </c>
      <c r="M25" s="29">
        <f>Absolute_Scores!N25</f>
        <v>55</v>
      </c>
      <c r="N25" s="30">
        <f t="shared" si="2"/>
        <v>82.09</v>
      </c>
    </row>
    <row r="26" spans="1:14">
      <c r="A26" s="12" t="str">
        <f>Absolute_Scores!A26</f>
        <v>@babyylisa_</v>
      </c>
      <c r="B26" s="12" t="str">
        <f>Absolute_Scores!B26</f>
        <v>Instagram</v>
      </c>
      <c r="C26" s="29">
        <f>Absolute_Scores!D26</f>
        <v>62</v>
      </c>
      <c r="D26" s="30">
        <f t="shared" si="0"/>
        <v>77.5</v>
      </c>
      <c r="F26" s="12" t="str">
        <f>Absolute_Scores!F26</f>
        <v>@pojoksatu.id</v>
      </c>
      <c r="G26" s="12" t="str">
        <f>Absolute_Scores!G26</f>
        <v>TikTok</v>
      </c>
      <c r="H26" s="29">
        <f>Absolute_Scores!I26</f>
        <v>62</v>
      </c>
      <c r="I26" s="30">
        <f t="shared" si="1"/>
        <v>77.5</v>
      </c>
      <c r="K26" s="12" t="str">
        <f>Absolute_Scores!K26</f>
        <v>@basiaputri</v>
      </c>
      <c r="L26" s="12" t="str">
        <f>Absolute_Scores!L26</f>
        <v>Instagram</v>
      </c>
      <c r="M26" s="29">
        <f>Absolute_Scores!N26</f>
        <v>55</v>
      </c>
      <c r="N26" s="30">
        <f t="shared" si="2"/>
        <v>82.09</v>
      </c>
    </row>
    <row r="27" spans="1:14">
      <c r="A27" s="12" t="str">
        <f>Absolute_Scores!A27</f>
        <v>@cakecaine</v>
      </c>
      <c r="B27" s="12" t="str">
        <f>Absolute_Scores!B27</f>
        <v>Instagram</v>
      </c>
      <c r="C27" s="29">
        <f>Absolute_Scores!D27</f>
        <v>62</v>
      </c>
      <c r="D27" s="30">
        <f t="shared" si="0"/>
        <v>77.5</v>
      </c>
      <c r="F27" s="12" t="str">
        <f>Absolute_Scores!F27</f>
        <v>@suryainsomnia</v>
      </c>
      <c r="G27" s="12" t="str">
        <f>Absolute_Scores!G27</f>
        <v>Instagram</v>
      </c>
      <c r="H27" s="29">
        <f>Absolute_Scores!I27</f>
        <v>62</v>
      </c>
      <c r="I27" s="30">
        <f t="shared" si="1"/>
        <v>77.5</v>
      </c>
      <c r="K27" s="12" t="str">
        <f>Absolute_Scores!K27</f>
        <v>@bobonsantoso</v>
      </c>
      <c r="L27" s="12" t="str">
        <f>Absolute_Scores!L27</f>
        <v>Instagram</v>
      </c>
      <c r="M27" s="29">
        <f>Absolute_Scores!N27</f>
        <v>55</v>
      </c>
      <c r="N27" s="30">
        <f t="shared" si="2"/>
        <v>82.09</v>
      </c>
    </row>
    <row r="28" spans="1:14">
      <c r="A28" s="12" t="str">
        <f>Absolute_Scores!A28</f>
        <v>@dellyclarissa</v>
      </c>
      <c r="B28" s="12" t="str">
        <f>Absolute_Scores!B28</f>
        <v>Instagram</v>
      </c>
      <c r="C28" s="29">
        <f>Absolute_Scores!D28</f>
        <v>62</v>
      </c>
      <c r="D28" s="30">
        <f t="shared" si="0"/>
        <v>77.5</v>
      </c>
      <c r="F28" s="12" t="str">
        <f>Absolute_Scores!F28</f>
        <v>@indahnadapuspita</v>
      </c>
      <c r="G28" s="12" t="str">
        <f>Absolute_Scores!G28</f>
        <v>Instagram</v>
      </c>
      <c r="H28" s="29">
        <f>Absolute_Scores!I28</f>
        <v>61</v>
      </c>
      <c r="I28" s="30">
        <f t="shared" si="1"/>
        <v>76.25</v>
      </c>
      <c r="K28" s="12" t="str">
        <f>Absolute_Scores!K28</f>
        <v>@bumantarateam</v>
      </c>
      <c r="L28" s="12" t="str">
        <f>Absolute_Scores!L28</f>
        <v>Instagram</v>
      </c>
      <c r="M28" s="29">
        <f>Absolute_Scores!N28</f>
        <v>55</v>
      </c>
      <c r="N28" s="30">
        <f t="shared" si="2"/>
        <v>82.09</v>
      </c>
    </row>
    <row r="29" spans="1:14">
      <c r="A29" s="12" t="str">
        <f>Absolute_Scores!A29</f>
        <v>@faniaelizaa</v>
      </c>
      <c r="B29" s="12" t="str">
        <f>Absolute_Scores!B29</f>
        <v>Instagram</v>
      </c>
      <c r="C29" s="29">
        <f>Absolute_Scores!D29</f>
        <v>62</v>
      </c>
      <c r="D29" s="30">
        <f t="shared" si="0"/>
        <v>77.5</v>
      </c>
      <c r="F29" s="12" t="str">
        <f>Absolute_Scores!F29</f>
        <v>@mursyidzon</v>
      </c>
      <c r="G29" s="12" t="str">
        <f>Absolute_Scores!G29</f>
        <v>Instagram</v>
      </c>
      <c r="H29" s="29">
        <f>Absolute_Scores!I29</f>
        <v>61</v>
      </c>
      <c r="I29" s="30">
        <f t="shared" si="1"/>
        <v>76.25</v>
      </c>
      <c r="K29" s="12" t="str">
        <f>Absolute_Scores!K29</f>
        <v>@chachathaib</v>
      </c>
      <c r="L29" s="12" t="str">
        <f>Absolute_Scores!L29</f>
        <v>Instagram</v>
      </c>
      <c r="M29" s="29">
        <f>Absolute_Scores!N29</f>
        <v>55</v>
      </c>
      <c r="N29" s="30">
        <f t="shared" si="2"/>
        <v>82.09</v>
      </c>
    </row>
    <row r="30" spans="1:14">
      <c r="A30" s="12" t="str">
        <f>Absolute_Scores!A30</f>
        <v>@tasyakamila</v>
      </c>
      <c r="B30" s="12" t="str">
        <f>Absolute_Scores!B30</f>
        <v>Instagram</v>
      </c>
      <c r="C30" s="29">
        <f>Absolute_Scores!D30</f>
        <v>61</v>
      </c>
      <c r="D30" s="30">
        <f t="shared" si="0"/>
        <v>76.25</v>
      </c>
      <c r="F30" s="12" t="str">
        <f>Absolute_Scores!F30</f>
        <v>@a.ci.pa</v>
      </c>
      <c r="G30" s="12" t="str">
        <f>Absolute_Scores!G30</f>
        <v>Instagram</v>
      </c>
      <c r="H30" s="29">
        <f>Absolute_Scores!I30</f>
        <v>60</v>
      </c>
      <c r="I30" s="30">
        <f t="shared" si="1"/>
        <v>75</v>
      </c>
      <c r="K30" s="12" t="str">
        <f>Absolute_Scores!K30</f>
        <v>@clahayes</v>
      </c>
      <c r="L30" s="12" t="str">
        <f>Absolute_Scores!L30</f>
        <v>Instagram</v>
      </c>
      <c r="M30" s="29">
        <f>Absolute_Scores!N30</f>
        <v>55</v>
      </c>
      <c r="N30" s="30">
        <f t="shared" si="2"/>
        <v>82.09</v>
      </c>
    </row>
    <row r="31" spans="1:14">
      <c r="A31" s="12" t="str">
        <f>Absolute_Scores!A31</f>
        <v>@a.ci.pa</v>
      </c>
      <c r="B31" s="12" t="str">
        <f>Absolute_Scores!B31</f>
        <v>Instagram</v>
      </c>
      <c r="C31" s="29">
        <f>Absolute_Scores!D31</f>
        <v>60</v>
      </c>
      <c r="D31" s="30">
        <f t="shared" si="0"/>
        <v>75</v>
      </c>
      <c r="F31" s="12" t="str">
        <f>Absolute_Scores!F31</f>
        <v>@agnes_jennifer</v>
      </c>
      <c r="G31" s="12" t="str">
        <f>Absolute_Scores!G31</f>
        <v>TikTok</v>
      </c>
      <c r="H31" s="29">
        <f>Absolute_Scores!I31</f>
        <v>60</v>
      </c>
      <c r="I31" s="30">
        <f t="shared" si="1"/>
        <v>75</v>
      </c>
      <c r="K31" s="12" t="str">
        <f>Absolute_Scores!K31</f>
        <v>@deasaufika</v>
      </c>
      <c r="L31" s="12" t="str">
        <f>Absolute_Scores!L31</f>
        <v>Instagram</v>
      </c>
      <c r="M31" s="29">
        <f>Absolute_Scores!N31</f>
        <v>55</v>
      </c>
      <c r="N31" s="30">
        <f t="shared" si="2"/>
        <v>82.09</v>
      </c>
    </row>
    <row r="32" spans="1:14">
      <c r="A32" s="12" t="str">
        <f>Absolute_Scores!A32</f>
        <v>@adrianarmanasco</v>
      </c>
      <c r="B32" s="12" t="str">
        <f>Absolute_Scores!B32</f>
        <v>Instagram</v>
      </c>
      <c r="C32" s="29">
        <f>Absolute_Scores!D32</f>
        <v>60</v>
      </c>
      <c r="D32" s="30">
        <f t="shared" si="0"/>
        <v>75</v>
      </c>
      <c r="F32" s="12" t="str">
        <f>Absolute_Scores!F32</f>
        <v>@ahquote</v>
      </c>
      <c r="G32" s="12" t="str">
        <f>Absolute_Scores!G32</f>
        <v>Instagram</v>
      </c>
      <c r="H32" s="29">
        <f>Absolute_Scores!I32</f>
        <v>60</v>
      </c>
      <c r="I32" s="30">
        <f t="shared" si="1"/>
        <v>75</v>
      </c>
      <c r="K32" s="12" t="str">
        <f>Absolute_Scores!K32</f>
        <v>@degensiotter</v>
      </c>
      <c r="L32" s="12" t="str">
        <f>Absolute_Scores!L32</f>
        <v>Instagram</v>
      </c>
      <c r="M32" s="29">
        <f>Absolute_Scores!N32</f>
        <v>55</v>
      </c>
      <c r="N32" s="30">
        <f t="shared" si="2"/>
        <v>82.09</v>
      </c>
    </row>
    <row r="33" spans="1:14">
      <c r="A33" s="12" t="str">
        <f>Absolute_Scores!A33</f>
        <v>@ahquote</v>
      </c>
      <c r="B33" s="12" t="str">
        <f>Absolute_Scores!B33</f>
        <v>Instagram</v>
      </c>
      <c r="C33" s="29">
        <f>Absolute_Scores!D33</f>
        <v>60</v>
      </c>
      <c r="D33" s="30">
        <f t="shared" si="0"/>
        <v>75</v>
      </c>
      <c r="F33" s="12" t="str">
        <f>Absolute_Scores!F33</f>
        <v>@aldogiustino21</v>
      </c>
      <c r="G33" s="12" t="str">
        <f>Absolute_Scores!G33</f>
        <v>TikTok</v>
      </c>
      <c r="H33" s="29">
        <f>Absolute_Scores!I33</f>
        <v>60</v>
      </c>
      <c r="I33" s="30">
        <f t="shared" si="1"/>
        <v>75</v>
      </c>
      <c r="K33" s="12" t="str">
        <f>Absolute_Scores!K33</f>
        <v>@dillaljaidi</v>
      </c>
      <c r="L33" s="12" t="str">
        <f>Absolute_Scores!L33</f>
        <v>Instagram</v>
      </c>
      <c r="M33" s="29">
        <f>Absolute_Scores!N33</f>
        <v>55</v>
      </c>
      <c r="N33" s="30">
        <f t="shared" si="2"/>
        <v>82.09</v>
      </c>
    </row>
    <row r="34" spans="1:14">
      <c r="A34" s="12" t="str">
        <f>Absolute_Scores!A34</f>
        <v>@avy_vhie</v>
      </c>
      <c r="B34" s="12" t="str">
        <f>Absolute_Scores!B34</f>
        <v>Instagram</v>
      </c>
      <c r="C34" s="29">
        <f>Absolute_Scores!D34</f>
        <v>60</v>
      </c>
      <c r="D34" s="30">
        <f t="shared" si="0"/>
        <v>75</v>
      </c>
      <c r="F34" s="12" t="str">
        <f>Absolute_Scores!F34</f>
        <v>@alfyfatmasaga</v>
      </c>
      <c r="G34" s="12" t="str">
        <f>Absolute_Scores!G34</f>
        <v>TikTok</v>
      </c>
      <c r="H34" s="29">
        <f>Absolute_Scores!I34</f>
        <v>60</v>
      </c>
      <c r="I34" s="30">
        <f t="shared" si="1"/>
        <v>75</v>
      </c>
      <c r="K34" s="12" t="str">
        <f>Absolute_Scores!K34</f>
        <v>@dwiatikanova</v>
      </c>
      <c r="L34" s="12" t="str">
        <f>Absolute_Scores!L34</f>
        <v>Instagram</v>
      </c>
      <c r="M34" s="29">
        <f>Absolute_Scores!N34</f>
        <v>55</v>
      </c>
      <c r="N34" s="30">
        <f t="shared" si="2"/>
        <v>82.09</v>
      </c>
    </row>
    <row r="35" spans="1:14">
      <c r="A35" s="12" t="str">
        <f>Absolute_Scores!A35</f>
        <v>@faniaputriutami</v>
      </c>
      <c r="B35" s="12" t="str">
        <f>Absolute_Scores!B35</f>
        <v>Instagram</v>
      </c>
      <c r="C35" s="29">
        <f>Absolute_Scores!D35</f>
        <v>60</v>
      </c>
      <c r="D35" s="30">
        <f t="shared" si="0"/>
        <v>75</v>
      </c>
      <c r="F35" s="12" t="str">
        <f>Absolute_Scores!F35</f>
        <v>@andreaslukita_</v>
      </c>
      <c r="G35" s="12" t="str">
        <f>Absolute_Scores!G35</f>
        <v>TikTok</v>
      </c>
      <c r="H35" s="29">
        <f>Absolute_Scores!I35</f>
        <v>60</v>
      </c>
      <c r="I35" s="30">
        <f t="shared" si="1"/>
        <v>75</v>
      </c>
      <c r="K35" s="12" t="str">
        <f>Absolute_Scores!K35</f>
        <v>@elvira.tjan</v>
      </c>
      <c r="L35" s="12" t="str">
        <f>Absolute_Scores!L35</f>
        <v>Instagram</v>
      </c>
      <c r="M35" s="29">
        <f>Absolute_Scores!N35</f>
        <v>55</v>
      </c>
      <c r="N35" s="30">
        <f t="shared" si="2"/>
        <v>82.09</v>
      </c>
    </row>
    <row r="36" spans="1:14">
      <c r="A36" s="12" t="str">
        <f>Absolute_Scores!A36</f>
        <v>@kangferrymaryadi</v>
      </c>
      <c r="B36" s="12" t="str">
        <f>Absolute_Scores!B36</f>
        <v>Instagram</v>
      </c>
      <c r="C36" s="29">
        <f>Absolute_Scores!D36</f>
        <v>60</v>
      </c>
      <c r="D36" s="30">
        <f t="shared" si="0"/>
        <v>75</v>
      </c>
      <c r="F36" s="12" t="str">
        <f>Absolute_Scores!F36</f>
        <v>@anisabasyir</v>
      </c>
      <c r="G36" s="12" t="str">
        <f>Absolute_Scores!G36</f>
        <v>TikTok</v>
      </c>
      <c r="H36" s="29">
        <f>Absolute_Scores!I36</f>
        <v>60</v>
      </c>
      <c r="I36" s="30">
        <f t="shared" si="1"/>
        <v>75</v>
      </c>
      <c r="K36" s="12" t="str">
        <f>Absolute_Scores!K36</f>
        <v>@farhanfirms</v>
      </c>
      <c r="L36" s="12" t="str">
        <f>Absolute_Scores!L36</f>
        <v>Instagram</v>
      </c>
      <c r="M36" s="29">
        <f>Absolute_Scores!N36</f>
        <v>55</v>
      </c>
      <c r="N36" s="30">
        <f t="shared" si="2"/>
        <v>82.09</v>
      </c>
    </row>
    <row r="37" spans="1:14">
      <c r="A37" s="12" t="str">
        <f>Absolute_Scores!A37</f>
        <v>@lilisbadriyahh</v>
      </c>
      <c r="B37" s="12" t="str">
        <f>Absolute_Scores!B37</f>
        <v>Instagram</v>
      </c>
      <c r="C37" s="29">
        <f>Absolute_Scores!D37</f>
        <v>60</v>
      </c>
      <c r="D37" s="30">
        <f t="shared" si="0"/>
        <v>75</v>
      </c>
      <c r="F37" s="12" t="str">
        <f>Absolute_Scores!F37</f>
        <v>@annabellesjy</v>
      </c>
      <c r="G37" s="12" t="str">
        <f>Absolute_Scores!G37</f>
        <v>TikTok</v>
      </c>
      <c r="H37" s="29">
        <f>Absolute_Scores!I37</f>
        <v>60</v>
      </c>
      <c r="I37" s="30">
        <f t="shared" si="1"/>
        <v>75</v>
      </c>
      <c r="K37" s="12" t="str">
        <f>Absolute_Scores!K37</f>
        <v>@fifi.sasta</v>
      </c>
      <c r="L37" s="12" t="str">
        <f>Absolute_Scores!L37</f>
        <v>Instagram</v>
      </c>
      <c r="M37" s="29">
        <f>Absolute_Scores!N37</f>
        <v>55</v>
      </c>
      <c r="N37" s="30">
        <f t="shared" si="2"/>
        <v>82.09</v>
      </c>
    </row>
    <row r="38" spans="1:14">
      <c r="A38" s="12" t="str">
        <f>Absolute_Scores!A38</f>
        <v>@nopeknovian</v>
      </c>
      <c r="B38" s="12" t="str">
        <f>Absolute_Scores!B38</f>
        <v>Instagram</v>
      </c>
      <c r="C38" s="29">
        <f>Absolute_Scores!D38</f>
        <v>60</v>
      </c>
      <c r="D38" s="30">
        <f t="shared" si="0"/>
        <v>75</v>
      </c>
      <c r="F38" s="12" t="str">
        <f>Absolute_Scores!F38</f>
        <v>@arafahrianti02</v>
      </c>
      <c r="G38" s="12" t="str">
        <f>Absolute_Scores!G38</f>
        <v>TikTok</v>
      </c>
      <c r="H38" s="29">
        <f>Absolute_Scores!I38</f>
        <v>60</v>
      </c>
      <c r="I38" s="30">
        <f t="shared" si="1"/>
        <v>75</v>
      </c>
      <c r="K38" s="12" t="str">
        <f>Absolute_Scores!K38</f>
        <v>@folkative</v>
      </c>
      <c r="L38" s="12" t="str">
        <f>Absolute_Scores!L38</f>
        <v>Instagram</v>
      </c>
      <c r="M38" s="29">
        <f>Absolute_Scores!N38</f>
        <v>55</v>
      </c>
      <c r="N38" s="30">
        <f t="shared" si="2"/>
        <v>82.09</v>
      </c>
    </row>
    <row r="39" spans="1:14">
      <c r="A39" s="12" t="str">
        <f>Absolute_Scores!A39</f>
        <v>@panjisuryono7</v>
      </c>
      <c r="B39" s="12" t="str">
        <f>Absolute_Scores!B39</f>
        <v>Instagram</v>
      </c>
      <c r="C39" s="29">
        <f>Absolute_Scores!D39</f>
        <v>60</v>
      </c>
      <c r="D39" s="30">
        <f t="shared" si="0"/>
        <v>75</v>
      </c>
      <c r="F39" s="12" t="str">
        <f>Absolute_Scores!F39</f>
        <v>@avy_vhie</v>
      </c>
      <c r="G39" s="12" t="str">
        <f>Absolute_Scores!G39</f>
        <v>Instagram</v>
      </c>
      <c r="H39" s="29">
        <f>Absolute_Scores!I39</f>
        <v>60</v>
      </c>
      <c r="I39" s="30">
        <f t="shared" si="1"/>
        <v>75</v>
      </c>
      <c r="K39" s="12" t="str">
        <f>Absolute_Scores!K39</f>
        <v>@gamcul</v>
      </c>
      <c r="L39" s="12" t="str">
        <f>Absolute_Scores!L39</f>
        <v>Instagram</v>
      </c>
      <c r="M39" s="29">
        <f>Absolute_Scores!N39</f>
        <v>55</v>
      </c>
      <c r="N39" s="30">
        <f t="shared" si="2"/>
        <v>82.09</v>
      </c>
    </row>
    <row r="40" spans="1:14">
      <c r="A40" s="12" t="str">
        <f>Absolute_Scores!A40</f>
        <v>@papiabeabeabe</v>
      </c>
      <c r="B40" s="12" t="str">
        <f>Absolute_Scores!B40</f>
        <v>Instagram</v>
      </c>
      <c r="C40" s="29">
        <f>Absolute_Scores!D40</f>
        <v>60</v>
      </c>
      <c r="D40" s="30">
        <f t="shared" si="0"/>
        <v>75</v>
      </c>
      <c r="F40" s="12" t="str">
        <f>Absolute_Scores!F40</f>
        <v>@ayi_stari</v>
      </c>
      <c r="G40" s="12" t="str">
        <f>Absolute_Scores!G40</f>
        <v>TikTok</v>
      </c>
      <c r="H40" s="29">
        <f>Absolute_Scores!I40</f>
        <v>60</v>
      </c>
      <c r="I40" s="30">
        <f t="shared" si="1"/>
        <v>75</v>
      </c>
      <c r="K40" s="12" t="str">
        <f>Absolute_Scores!K40</f>
        <v>@halokrw</v>
      </c>
      <c r="L40" s="12" t="str">
        <f>Absolute_Scores!L40</f>
        <v>Instagram</v>
      </c>
      <c r="M40" s="29">
        <f>Absolute_Scores!N40</f>
        <v>55</v>
      </c>
      <c r="N40" s="30">
        <f t="shared" si="2"/>
        <v>82.09</v>
      </c>
    </row>
    <row r="41" spans="1:14">
      <c r="A41" s="12" t="str">
        <f>Absolute_Scores!A41</f>
        <v>@winnylieyantii</v>
      </c>
      <c r="B41" s="12" t="str">
        <f>Absolute_Scores!B41</f>
        <v>Instagram</v>
      </c>
      <c r="C41" s="29">
        <f>Absolute_Scores!D41</f>
        <v>60</v>
      </c>
      <c r="D41" s="30">
        <f t="shared" si="0"/>
        <v>75</v>
      </c>
      <c r="F41" s="12" t="str">
        <f>Absolute_Scores!F41</f>
        <v>@aymanalts</v>
      </c>
      <c r="G41" s="12" t="str">
        <f>Absolute_Scores!G41</f>
        <v>TikTok</v>
      </c>
      <c r="H41" s="29">
        <f>Absolute_Scores!I41</f>
        <v>60</v>
      </c>
      <c r="I41" s="30">
        <f t="shared" si="1"/>
        <v>75</v>
      </c>
      <c r="K41" s="12" t="str">
        <f>Absolute_Scores!K41</f>
        <v>@hifdzikhoir</v>
      </c>
      <c r="L41" s="12" t="str">
        <f>Absolute_Scores!L41</f>
        <v>Instagram</v>
      </c>
      <c r="M41" s="29">
        <f>Absolute_Scores!N41</f>
        <v>55</v>
      </c>
      <c r="N41" s="30">
        <f t="shared" si="2"/>
        <v>82.09</v>
      </c>
    </row>
    <row r="42" spans="1:14">
      <c r="A42" s="12" t="str">
        <f>Absolute_Scores!A42</f>
        <v>@alecyavebyy</v>
      </c>
      <c r="B42" s="12" t="str">
        <f>Absolute_Scores!B42</f>
        <v>Instagram</v>
      </c>
      <c r="C42" s="29">
        <f>Absolute_Scores!D42</f>
        <v>59</v>
      </c>
      <c r="D42" s="30">
        <f t="shared" si="0"/>
        <v>73.75</v>
      </c>
      <c r="F42" s="12" t="str">
        <f>Absolute_Scores!F42</f>
        <v>@ayuwisya666</v>
      </c>
      <c r="G42" s="12" t="str">
        <f>Absolute_Scores!G42</f>
        <v>TikTok</v>
      </c>
      <c r="H42" s="29">
        <f>Absolute_Scores!I42</f>
        <v>60</v>
      </c>
      <c r="I42" s="30">
        <f t="shared" si="1"/>
        <v>75</v>
      </c>
      <c r="K42" s="12" t="str">
        <f>Absolute_Scores!K42</f>
        <v>@ibrhmrsyd</v>
      </c>
      <c r="L42" s="12" t="str">
        <f>Absolute_Scores!L42</f>
        <v>Instagram</v>
      </c>
      <c r="M42" s="29">
        <f>Absolute_Scores!N42</f>
        <v>55</v>
      </c>
      <c r="N42" s="30">
        <f t="shared" si="2"/>
        <v>82.09</v>
      </c>
    </row>
    <row r="43" spans="1:14">
      <c r="A43" s="12" t="str">
        <f>Absolute_Scores!A43</f>
        <v>@anggiriana</v>
      </c>
      <c r="B43" s="12" t="str">
        <f>Absolute_Scores!B43</f>
        <v>Instagram</v>
      </c>
      <c r="C43" s="29">
        <f>Absolute_Scores!D43</f>
        <v>59</v>
      </c>
      <c r="D43" s="30">
        <f t="shared" si="0"/>
        <v>73.75</v>
      </c>
      <c r="F43" s="12" t="str">
        <f>Absolute_Scores!F43</f>
        <v>@aziarizzza</v>
      </c>
      <c r="G43" s="12" t="str">
        <f>Absolute_Scores!G43</f>
        <v>TikTok</v>
      </c>
      <c r="H43" s="29">
        <f>Absolute_Scores!I43</f>
        <v>60</v>
      </c>
      <c r="I43" s="30">
        <f t="shared" si="1"/>
        <v>75</v>
      </c>
      <c r="K43" s="12" t="str">
        <f>Absolute_Scores!K43</f>
        <v>@infojkt24</v>
      </c>
      <c r="L43" s="12" t="str">
        <f>Absolute_Scores!L43</f>
        <v>Instagram</v>
      </c>
      <c r="M43" s="29">
        <f>Absolute_Scores!N43</f>
        <v>55</v>
      </c>
      <c r="N43" s="30">
        <f t="shared" si="2"/>
        <v>82.09</v>
      </c>
    </row>
    <row r="44" spans="1:14">
      <c r="A44" s="12" t="str">
        <f>Absolute_Scores!A44</f>
        <v>@arianirosidi</v>
      </c>
      <c r="B44" s="12" t="str">
        <f>Absolute_Scores!B44</f>
        <v>Instagram</v>
      </c>
      <c r="C44" s="29">
        <f>Absolute_Scores!D44</f>
        <v>59</v>
      </c>
      <c r="D44" s="30">
        <f t="shared" si="0"/>
        <v>73.75</v>
      </c>
      <c r="F44" s="12" t="str">
        <f>Absolute_Scores!F44</f>
        <v>@bailafauri</v>
      </c>
      <c r="G44" s="12" t="str">
        <f>Absolute_Scores!G44</f>
        <v>TikTok</v>
      </c>
      <c r="H44" s="29">
        <f>Absolute_Scores!I44</f>
        <v>60</v>
      </c>
      <c r="I44" s="30">
        <f t="shared" si="1"/>
        <v>75</v>
      </c>
      <c r="K44" s="12" t="str">
        <f>Absolute_Scores!K44</f>
        <v>@istri.koko</v>
      </c>
      <c r="L44" s="12" t="str">
        <f>Absolute_Scores!L44</f>
        <v>Instagram</v>
      </c>
      <c r="M44" s="29">
        <f>Absolute_Scores!N44</f>
        <v>55</v>
      </c>
      <c r="N44" s="30">
        <f t="shared" si="2"/>
        <v>82.09</v>
      </c>
    </row>
    <row r="45" spans="1:14">
      <c r="A45" s="12" t="str">
        <f>Absolute_Scores!A45</f>
        <v>@ayulstrni</v>
      </c>
      <c r="B45" s="12" t="str">
        <f>Absolute_Scores!B45</f>
        <v>Instagram</v>
      </c>
      <c r="C45" s="29">
        <f>Absolute_Scores!D45</f>
        <v>59</v>
      </c>
      <c r="D45" s="30">
        <f t="shared" si="0"/>
        <v>73.75</v>
      </c>
      <c r="F45" s="12" t="str">
        <f>Absolute_Scores!F45</f>
        <v>@bekasi.terkini</v>
      </c>
      <c r="G45" s="12" t="str">
        <f>Absolute_Scores!G45</f>
        <v>Instagram</v>
      </c>
      <c r="H45" s="29">
        <f>Absolute_Scores!I45</f>
        <v>60</v>
      </c>
      <c r="I45" s="30">
        <f t="shared" si="1"/>
        <v>75</v>
      </c>
      <c r="K45" s="12" t="str">
        <f>Absolute_Scores!K45</f>
        <v>@julianjacs</v>
      </c>
      <c r="L45" s="12" t="str">
        <f>Absolute_Scores!L45</f>
        <v>Instagram</v>
      </c>
      <c r="M45" s="29">
        <f>Absolute_Scores!N45</f>
        <v>55</v>
      </c>
      <c r="N45" s="30">
        <f t="shared" si="2"/>
        <v>82.09</v>
      </c>
    </row>
    <row r="46" spans="1:14">
      <c r="A46" s="12" t="str">
        <f>Absolute_Scores!A46</f>
        <v>@bebyydils</v>
      </c>
      <c r="B46" s="12" t="str">
        <f>Absolute_Scores!B46</f>
        <v>Instagram</v>
      </c>
      <c r="C46" s="29">
        <f>Absolute_Scores!D46</f>
        <v>59</v>
      </c>
      <c r="D46" s="30">
        <f t="shared" si="0"/>
        <v>73.75</v>
      </c>
      <c r="F46" s="12" t="str">
        <f>Absolute_Scores!F46</f>
        <v>@celinenobleza</v>
      </c>
      <c r="G46" s="12" t="str">
        <f>Absolute_Scores!G46</f>
        <v>TikTok</v>
      </c>
      <c r="H46" s="29">
        <f>Absolute_Scores!I46</f>
        <v>60</v>
      </c>
      <c r="I46" s="30">
        <f t="shared" si="1"/>
        <v>75</v>
      </c>
      <c r="K46" s="12" t="str">
        <f>Absolute_Scores!K46</f>
        <v>@keisavourie</v>
      </c>
      <c r="L46" s="12" t="str">
        <f>Absolute_Scores!L46</f>
        <v>Instagram</v>
      </c>
      <c r="M46" s="29">
        <f>Absolute_Scores!N46</f>
        <v>55</v>
      </c>
      <c r="N46" s="30">
        <f t="shared" si="2"/>
        <v>82.09</v>
      </c>
    </row>
    <row r="47" spans="1:14">
      <c r="A47" s="12" t="str">
        <f>Absolute_Scores!A47</f>
        <v>@christianistella</v>
      </c>
      <c r="B47" s="12" t="str">
        <f>Absolute_Scores!B47</f>
        <v>Instagram</v>
      </c>
      <c r="C47" s="29">
        <f>Absolute_Scores!D47</f>
        <v>59</v>
      </c>
      <c r="D47" s="30">
        <f t="shared" si="0"/>
        <v>73.75</v>
      </c>
      <c r="F47" s="12" t="str">
        <f>Absolute_Scores!F47</f>
        <v>@cimitcu</v>
      </c>
      <c r="G47" s="12" t="str">
        <f>Absolute_Scores!G47</f>
        <v>TikTok</v>
      </c>
      <c r="H47" s="29">
        <f>Absolute_Scores!I47</f>
        <v>60</v>
      </c>
      <c r="I47" s="30">
        <f t="shared" si="1"/>
        <v>75</v>
      </c>
      <c r="K47" s="12" t="str">
        <f>Absolute_Scores!K47</f>
        <v>@larissachou</v>
      </c>
      <c r="L47" s="12" t="str">
        <f>Absolute_Scores!L47</f>
        <v>Instagram</v>
      </c>
      <c r="M47" s="29">
        <f>Absolute_Scores!N47</f>
        <v>55</v>
      </c>
      <c r="N47" s="30">
        <f t="shared" si="2"/>
        <v>82.09</v>
      </c>
    </row>
    <row r="48" spans="1:14">
      <c r="A48" s="12" t="str">
        <f>Absolute_Scores!A48</f>
        <v>@emilianald</v>
      </c>
      <c r="B48" s="12" t="str">
        <f>Absolute_Scores!B48</f>
        <v>Instagram</v>
      </c>
      <c r="C48" s="29">
        <f>Absolute_Scores!D48</f>
        <v>59</v>
      </c>
      <c r="D48" s="30">
        <f t="shared" si="0"/>
        <v>73.75</v>
      </c>
      <c r="F48" s="12" t="str">
        <f>Absolute_Scores!F48</f>
        <v>@clarestatok</v>
      </c>
      <c r="G48" s="12" t="str">
        <f>Absolute_Scores!G48</f>
        <v>TikTok</v>
      </c>
      <c r="H48" s="29">
        <f>Absolute_Scores!I48</f>
        <v>60</v>
      </c>
      <c r="I48" s="30">
        <f t="shared" si="1"/>
        <v>75</v>
      </c>
      <c r="K48" s="12" t="str">
        <f>Absolute_Scores!K48</f>
        <v>@laurasiburiann</v>
      </c>
      <c r="L48" s="12" t="str">
        <f>Absolute_Scores!L48</f>
        <v>Instagram</v>
      </c>
      <c r="M48" s="29">
        <f>Absolute_Scores!N48</f>
        <v>55</v>
      </c>
      <c r="N48" s="30">
        <f t="shared" si="2"/>
        <v>82.09</v>
      </c>
    </row>
    <row r="49" spans="1:14">
      <c r="A49" s="12" t="str">
        <f>Absolute_Scores!A49</f>
        <v>@febbyfadilaa</v>
      </c>
      <c r="B49" s="12" t="str">
        <f>Absolute_Scores!B49</f>
        <v>Instagram</v>
      </c>
      <c r="C49" s="29">
        <f>Absolute_Scores!D49</f>
        <v>59</v>
      </c>
      <c r="D49" s="30">
        <f t="shared" si="0"/>
        <v>73.75</v>
      </c>
      <c r="F49" s="12" t="str">
        <f>Absolute_Scores!F49</f>
        <v>@dillaprb</v>
      </c>
      <c r="G49" s="12" t="str">
        <f>Absolute_Scores!G49</f>
        <v>TikTok</v>
      </c>
      <c r="H49" s="29">
        <f>Absolute_Scores!I49</f>
        <v>60</v>
      </c>
      <c r="I49" s="30">
        <f t="shared" si="1"/>
        <v>75</v>
      </c>
      <c r="K49" s="12" t="str">
        <f>Absolute_Scores!K49</f>
        <v>@luluelhasbu</v>
      </c>
      <c r="L49" s="12" t="str">
        <f>Absolute_Scores!L49</f>
        <v>Instagram</v>
      </c>
      <c r="M49" s="29">
        <f>Absolute_Scores!N49</f>
        <v>55</v>
      </c>
      <c r="N49" s="30">
        <f t="shared" si="2"/>
        <v>82.09</v>
      </c>
    </row>
    <row r="50" spans="1:14">
      <c r="A50" s="12" t="str">
        <f>Absolute_Scores!A50</f>
        <v>@fidyahaliza_</v>
      </c>
      <c r="B50" s="12" t="str">
        <f>Absolute_Scores!B50</f>
        <v>Instagram</v>
      </c>
      <c r="C50" s="29">
        <f>Absolute_Scores!D50</f>
        <v>59</v>
      </c>
      <c r="D50" s="30">
        <f t="shared" si="0"/>
        <v>73.75</v>
      </c>
      <c r="F50" s="12" t="str">
        <f>Absolute_Scores!F50</f>
        <v>@drrichardlee</v>
      </c>
      <c r="G50" s="12" t="str">
        <f>Absolute_Scores!G50</f>
        <v>TikTok</v>
      </c>
      <c r="H50" s="29">
        <f>Absolute_Scores!I50</f>
        <v>60</v>
      </c>
      <c r="I50" s="30">
        <f t="shared" si="1"/>
        <v>75</v>
      </c>
      <c r="K50" s="12" t="str">
        <f>Absolute_Scores!K50</f>
        <v>@lunamaya</v>
      </c>
      <c r="L50" s="12" t="str">
        <f>Absolute_Scores!L50</f>
        <v>Instagram</v>
      </c>
      <c r="M50" s="29">
        <f>Absolute_Scores!N50</f>
        <v>55</v>
      </c>
      <c r="N50" s="30">
        <f t="shared" si="2"/>
        <v>82.09</v>
      </c>
    </row>
    <row r="51" spans="1:14">
      <c r="A51" s="12" t="str">
        <f>Absolute_Scores!A51</f>
        <v>@kanazhra</v>
      </c>
      <c r="B51" s="12" t="str">
        <f>Absolute_Scores!B51</f>
        <v>Instagram</v>
      </c>
      <c r="C51" s="29">
        <f>Absolute_Scores!D51</f>
        <v>59</v>
      </c>
      <c r="D51" s="30">
        <f t="shared" si="0"/>
        <v>73.75</v>
      </c>
      <c r="F51" s="12" t="str">
        <f>Absolute_Scores!F51</f>
        <v>@ejpeace.ent</v>
      </c>
      <c r="G51" s="12" t="str">
        <f>Absolute_Scores!G51</f>
        <v>TikTok</v>
      </c>
      <c r="H51" s="29">
        <f>Absolute_Scores!I51</f>
        <v>60</v>
      </c>
      <c r="I51" s="30">
        <f t="shared" si="1"/>
        <v>75</v>
      </c>
      <c r="K51" s="12" t="str">
        <f>Absolute_Scores!K51</f>
        <v>@marcoivanos12</v>
      </c>
      <c r="L51" s="12" t="str">
        <f>Absolute_Scores!L51</f>
        <v>Instagram</v>
      </c>
      <c r="M51" s="29">
        <f>Absolute_Scores!N51</f>
        <v>55</v>
      </c>
      <c r="N51" s="30">
        <f t="shared" si="2"/>
        <v>82.09</v>
      </c>
    </row>
    <row r="52" spans="1:14">
      <c r="A52" s="12" t="str">
        <f>Absolute_Scores!A52</f>
        <v>@lunamaya</v>
      </c>
      <c r="B52" s="12" t="str">
        <f>Absolute_Scores!B52</f>
        <v>Instagram</v>
      </c>
      <c r="C52" s="29">
        <f>Absolute_Scores!D52</f>
        <v>59</v>
      </c>
      <c r="D52" s="30">
        <f t="shared" si="0"/>
        <v>73.75</v>
      </c>
      <c r="F52" s="12" t="str">
        <f>Absolute_Scores!F52</f>
        <v>@eunicetjoaa</v>
      </c>
      <c r="G52" s="12" t="str">
        <f>Absolute_Scores!G52</f>
        <v>TikTok</v>
      </c>
      <c r="H52" s="29">
        <f>Absolute_Scores!I52</f>
        <v>60</v>
      </c>
      <c r="I52" s="30">
        <f t="shared" si="1"/>
        <v>75</v>
      </c>
      <c r="K52" s="12" t="str">
        <f>Absolute_Scores!K52</f>
        <v>@mass.arkan</v>
      </c>
      <c r="L52" s="12" t="str">
        <f>Absolute_Scores!L52</f>
        <v>Instagram</v>
      </c>
      <c r="M52" s="29">
        <f>Absolute_Scores!N52</f>
        <v>55</v>
      </c>
      <c r="N52" s="30">
        <f t="shared" si="2"/>
        <v>82.09</v>
      </c>
    </row>
    <row r="53" spans="1:14">
      <c r="A53" s="12" t="str">
        <f>Absolute_Scores!A53</f>
        <v>@najlahsy</v>
      </c>
      <c r="B53" s="12" t="str">
        <f>Absolute_Scores!B53</f>
        <v>Instagram</v>
      </c>
      <c r="C53" s="29">
        <f>Absolute_Scores!D53</f>
        <v>59</v>
      </c>
      <c r="D53" s="30">
        <f t="shared" si="0"/>
        <v>73.75</v>
      </c>
      <c r="F53" s="12" t="str">
        <f>Absolute_Scores!F53</f>
        <v>@faizsadad</v>
      </c>
      <c r="G53" s="12" t="str">
        <f>Absolute_Scores!G53</f>
        <v>TikTok</v>
      </c>
      <c r="H53" s="29">
        <f>Absolute_Scores!I53</f>
        <v>60</v>
      </c>
      <c r="I53" s="30">
        <f t="shared" si="1"/>
        <v>75</v>
      </c>
      <c r="K53" s="12" t="str">
        <f>Absolute_Scores!K53</f>
        <v>@meliana_d3w</v>
      </c>
      <c r="L53" s="12" t="str">
        <f>Absolute_Scores!L53</f>
        <v>Instagram</v>
      </c>
      <c r="M53" s="29">
        <f>Absolute_Scores!N53</f>
        <v>55</v>
      </c>
      <c r="N53" s="30">
        <f t="shared" si="2"/>
        <v>82.09</v>
      </c>
    </row>
    <row r="54" spans="1:14">
      <c r="A54" s="12" t="str">
        <f>Absolute_Scores!A54</f>
        <v>@nandafmarcelina</v>
      </c>
      <c r="B54" s="12" t="str">
        <f>Absolute_Scores!B54</f>
        <v>Instagram</v>
      </c>
      <c r="C54" s="29">
        <f>Absolute_Scores!D54</f>
        <v>59</v>
      </c>
      <c r="D54" s="30">
        <f t="shared" si="0"/>
        <v>73.75</v>
      </c>
      <c r="F54" s="12" t="str">
        <f>Absolute_Scores!F54</f>
        <v>@faniaputriutami</v>
      </c>
      <c r="G54" s="12" t="str">
        <f>Absolute_Scores!G54</f>
        <v>Instagram</v>
      </c>
      <c r="H54" s="29">
        <f>Absolute_Scores!I54</f>
        <v>60</v>
      </c>
      <c r="I54" s="30">
        <f t="shared" si="1"/>
        <v>75</v>
      </c>
      <c r="K54" s="12" t="str">
        <f>Absolute_Scores!K54</f>
        <v>@merdioctav</v>
      </c>
      <c r="L54" s="12" t="str">
        <f>Absolute_Scores!L54</f>
        <v>Instagram</v>
      </c>
      <c r="M54" s="29">
        <f>Absolute_Scores!N54</f>
        <v>55</v>
      </c>
      <c r="N54" s="30">
        <f t="shared" si="2"/>
        <v>82.09</v>
      </c>
    </row>
    <row r="55" spans="1:14">
      <c r="A55" s="12" t="str">
        <f>Absolute_Scores!A55</f>
        <v>@properbeauty.id</v>
      </c>
      <c r="B55" s="12" t="str">
        <f>Absolute_Scores!B55</f>
        <v>Instagram</v>
      </c>
      <c r="C55" s="29">
        <f>Absolute_Scores!D55</f>
        <v>59</v>
      </c>
      <c r="D55" s="30">
        <f t="shared" si="0"/>
        <v>73.75</v>
      </c>
      <c r="F55" s="12" t="str">
        <f>Absolute_Scores!F55</f>
        <v>@farhanbashel</v>
      </c>
      <c r="G55" s="12" t="str">
        <f>Absolute_Scores!G55</f>
        <v>TikTok</v>
      </c>
      <c r="H55" s="29">
        <f>Absolute_Scores!I55</f>
        <v>60</v>
      </c>
      <c r="I55" s="30">
        <f t="shared" si="1"/>
        <v>75</v>
      </c>
      <c r="K55" s="12" t="str">
        <f>Absolute_Scores!K55</f>
        <v>@michelleloraaa</v>
      </c>
      <c r="L55" s="12" t="str">
        <f>Absolute_Scores!L55</f>
        <v>Instagram</v>
      </c>
      <c r="M55" s="29">
        <f>Absolute_Scores!N55</f>
        <v>55</v>
      </c>
      <c r="N55" s="30">
        <f t="shared" si="2"/>
        <v>82.09</v>
      </c>
    </row>
    <row r="56" spans="1:14">
      <c r="A56" s="12" t="str">
        <f>Absolute_Scores!A56</f>
        <v>@sarah_novika</v>
      </c>
      <c r="B56" s="12" t="str">
        <f>Absolute_Scores!B56</f>
        <v>Instagram</v>
      </c>
      <c r="C56" s="29">
        <f>Absolute_Scores!D56</f>
        <v>59</v>
      </c>
      <c r="D56" s="30">
        <f t="shared" si="0"/>
        <v>73.75</v>
      </c>
      <c r="F56" s="12" t="str">
        <f>Absolute_Scores!F56</f>
        <v>@felicia.tjiasaka</v>
      </c>
      <c r="G56" s="12" t="str">
        <f>Absolute_Scores!G56</f>
        <v>TikTok</v>
      </c>
      <c r="H56" s="29">
        <f>Absolute_Scores!I56</f>
        <v>60</v>
      </c>
      <c r="I56" s="30">
        <f t="shared" si="1"/>
        <v>75</v>
      </c>
      <c r="K56" s="12" t="str">
        <f>Absolute_Scores!K56</f>
        <v>@mputrasetia</v>
      </c>
      <c r="L56" s="12" t="str">
        <f>Absolute_Scores!L56</f>
        <v>Instagram</v>
      </c>
      <c r="M56" s="29">
        <f>Absolute_Scores!N56</f>
        <v>55</v>
      </c>
      <c r="N56" s="30">
        <f t="shared" si="2"/>
        <v>82.09</v>
      </c>
    </row>
    <row r="57" spans="1:14">
      <c r="A57" s="12" t="str">
        <f>Absolute_Scores!A57</f>
        <v>@slvdew</v>
      </c>
      <c r="B57" s="12" t="str">
        <f>Absolute_Scores!B57</f>
        <v>Instagram</v>
      </c>
      <c r="C57" s="29">
        <f>Absolute_Scores!D57</f>
        <v>59</v>
      </c>
      <c r="D57" s="30">
        <f t="shared" si="0"/>
        <v>73.75</v>
      </c>
      <c r="F57" s="12" t="str">
        <f>Absolute_Scores!F57</f>
        <v>@gabriellaekaputrii</v>
      </c>
      <c r="G57" s="12" t="str">
        <f>Absolute_Scores!G57</f>
        <v>TikTok</v>
      </c>
      <c r="H57" s="29">
        <f>Absolute_Scores!I57</f>
        <v>60</v>
      </c>
      <c r="I57" s="30">
        <f t="shared" si="1"/>
        <v>75</v>
      </c>
      <c r="K57" s="12" t="str">
        <f>Absolute_Scores!K57</f>
        <v>@muhammadrfl</v>
      </c>
      <c r="L57" s="12" t="str">
        <f>Absolute_Scores!L57</f>
        <v>Instagram</v>
      </c>
      <c r="M57" s="29">
        <f>Absolute_Scores!N57</f>
        <v>55</v>
      </c>
      <c r="N57" s="30">
        <f t="shared" si="2"/>
        <v>82.09</v>
      </c>
    </row>
    <row r="58" spans="1:14">
      <c r="A58" s="12" t="str">
        <f>Absolute_Scores!A58</f>
        <v>@_nelfaanndt</v>
      </c>
      <c r="B58" s="12" t="str">
        <f>Absolute_Scores!B58</f>
        <v>Instagram</v>
      </c>
      <c r="C58" s="29">
        <f>Absolute_Scores!D58</f>
        <v>58</v>
      </c>
      <c r="D58" s="30">
        <f t="shared" si="0"/>
        <v>72.5</v>
      </c>
      <c r="F58" s="12" t="str">
        <f>Absolute_Scores!F58</f>
        <v>@geyghea</v>
      </c>
      <c r="G58" s="12" t="str">
        <f>Absolute_Scores!G58</f>
        <v>TikTok</v>
      </c>
      <c r="H58" s="29">
        <f>Absolute_Scores!I58</f>
        <v>60</v>
      </c>
      <c r="I58" s="30">
        <f t="shared" si="1"/>
        <v>75</v>
      </c>
      <c r="K58" s="12" t="str">
        <f>Absolute_Scores!K58</f>
        <v>@mymnca</v>
      </c>
      <c r="L58" s="12" t="str">
        <f>Absolute_Scores!L58</f>
        <v>Instagram</v>
      </c>
      <c r="M58" s="29">
        <f>Absolute_Scores!N58</f>
        <v>55</v>
      </c>
      <c r="N58" s="30">
        <f t="shared" si="2"/>
        <v>82.09</v>
      </c>
    </row>
    <row r="59" spans="1:14">
      <c r="A59" s="12" t="str">
        <f>Absolute_Scores!A59</f>
        <v>@alianuyudha</v>
      </c>
      <c r="B59" s="12" t="str">
        <f>Absolute_Scores!B59</f>
        <v>Instagram</v>
      </c>
      <c r="C59" s="29">
        <f>Absolute_Scores!D59</f>
        <v>58</v>
      </c>
      <c r="D59" s="30">
        <f t="shared" si="0"/>
        <v>72.5</v>
      </c>
      <c r="F59" s="12" t="str">
        <f>Absolute_Scores!F59</f>
        <v>@haloakuclay</v>
      </c>
      <c r="G59" s="12" t="str">
        <f>Absolute_Scores!G59</f>
        <v>TikTok</v>
      </c>
      <c r="H59" s="29">
        <f>Absolute_Scores!I59</f>
        <v>60</v>
      </c>
      <c r="I59" s="30">
        <f t="shared" si="1"/>
        <v>75</v>
      </c>
      <c r="K59" s="12" t="str">
        <f>Absolute_Scores!K59</f>
        <v>@nabilagardena</v>
      </c>
      <c r="L59" s="12" t="str">
        <f>Absolute_Scores!L59</f>
        <v>Instagram</v>
      </c>
      <c r="M59" s="29">
        <f>Absolute_Scores!N59</f>
        <v>55</v>
      </c>
      <c r="N59" s="30">
        <f t="shared" si="2"/>
        <v>82.09</v>
      </c>
    </row>
    <row r="60" spans="1:14">
      <c r="A60" s="12" t="str">
        <f>Absolute_Scores!A60</f>
        <v>@alitakata</v>
      </c>
      <c r="B60" s="12" t="str">
        <f>Absolute_Scores!B60</f>
        <v>Instagram</v>
      </c>
      <c r="C60" s="29">
        <f>Absolute_Scores!D60</f>
        <v>58</v>
      </c>
      <c r="D60" s="30">
        <f t="shared" si="0"/>
        <v>72.5</v>
      </c>
      <c r="F60" s="12" t="str">
        <f>Absolute_Scores!F60</f>
        <v>@hendydion</v>
      </c>
      <c r="G60" s="12" t="str">
        <f>Absolute_Scores!G60</f>
        <v>TikTok</v>
      </c>
      <c r="H60" s="29">
        <f>Absolute_Scores!I60</f>
        <v>60</v>
      </c>
      <c r="I60" s="30">
        <f t="shared" si="1"/>
        <v>75</v>
      </c>
      <c r="K60" s="12" t="str">
        <f>Absolute_Scores!K60</f>
        <v>@namiramonda</v>
      </c>
      <c r="L60" s="12" t="str">
        <f>Absolute_Scores!L60</f>
        <v>Instagram</v>
      </c>
      <c r="M60" s="29">
        <f>Absolute_Scores!N60</f>
        <v>55</v>
      </c>
      <c r="N60" s="30">
        <f t="shared" si="2"/>
        <v>82.09</v>
      </c>
    </row>
    <row r="61" spans="1:14">
      <c r="A61" s="12" t="str">
        <f>Absolute_Scores!A61</f>
        <v>@angelwbw</v>
      </c>
      <c r="B61" s="12" t="str">
        <f>Absolute_Scores!B61</f>
        <v>Instagram</v>
      </c>
      <c r="C61" s="29">
        <f>Absolute_Scores!D61</f>
        <v>58</v>
      </c>
      <c r="D61" s="30">
        <f t="shared" si="0"/>
        <v>72.5</v>
      </c>
      <c r="F61" s="12" t="str">
        <f>Absolute_Scores!F61</f>
        <v>@imeyhou</v>
      </c>
      <c r="G61" s="12" t="str">
        <f>Absolute_Scores!G61</f>
        <v>TikTok</v>
      </c>
      <c r="H61" s="29">
        <f>Absolute_Scores!I61</f>
        <v>60</v>
      </c>
      <c r="I61" s="30">
        <f t="shared" si="1"/>
        <v>75</v>
      </c>
      <c r="K61" s="12" t="str">
        <f>Absolute_Scores!K61</f>
        <v>@nikma.rahmaa</v>
      </c>
      <c r="L61" s="12" t="str">
        <f>Absolute_Scores!L61</f>
        <v>Instagram</v>
      </c>
      <c r="M61" s="29">
        <f>Absolute_Scores!N61</f>
        <v>55</v>
      </c>
      <c r="N61" s="30">
        <f t="shared" si="2"/>
        <v>82.09</v>
      </c>
    </row>
    <row r="62" spans="1:14">
      <c r="A62" s="12" t="str">
        <f>Absolute_Scores!A62</f>
        <v>@anisaipmawati</v>
      </c>
      <c r="B62" s="12" t="str">
        <f>Absolute_Scores!B62</f>
        <v>Instagram</v>
      </c>
      <c r="C62" s="29">
        <f>Absolute_Scores!D62</f>
        <v>58</v>
      </c>
      <c r="D62" s="30">
        <f t="shared" si="0"/>
        <v>72.5</v>
      </c>
      <c r="F62" s="12" t="str">
        <f>Absolute_Scores!F62</f>
        <v>@infodepok24</v>
      </c>
      <c r="G62" s="12" t="str">
        <f>Absolute_Scores!G62</f>
        <v>Instagram</v>
      </c>
      <c r="H62" s="29">
        <f>Absolute_Scores!I62</f>
        <v>60</v>
      </c>
      <c r="I62" s="30">
        <f t="shared" si="1"/>
        <v>75</v>
      </c>
      <c r="K62" s="12" t="str">
        <f>Absolute_Scores!K62</f>
        <v>@nisafathoni</v>
      </c>
      <c r="L62" s="12" t="str">
        <f>Absolute_Scores!L62</f>
        <v>Instagram</v>
      </c>
      <c r="M62" s="29">
        <f>Absolute_Scores!N62</f>
        <v>55</v>
      </c>
      <c r="N62" s="30">
        <f t="shared" si="2"/>
        <v>82.09</v>
      </c>
    </row>
    <row r="63" spans="1:14">
      <c r="A63" s="12" t="str">
        <f>Absolute_Scores!A63</f>
        <v>@anna_liusitan</v>
      </c>
      <c r="B63" s="12" t="str">
        <f>Absolute_Scores!B63</f>
        <v>Instagram</v>
      </c>
      <c r="C63" s="29">
        <f>Absolute_Scores!D63</f>
        <v>58</v>
      </c>
      <c r="D63" s="30">
        <f t="shared" si="0"/>
        <v>72.5</v>
      </c>
      <c r="F63" s="12" t="str">
        <f>Absolute_Scores!F63</f>
        <v>@itsyourchel</v>
      </c>
      <c r="G63" s="12" t="str">
        <f>Absolute_Scores!G63</f>
        <v>TikTok</v>
      </c>
      <c r="H63" s="29">
        <f>Absolute_Scores!I63</f>
        <v>60</v>
      </c>
      <c r="I63" s="30">
        <f t="shared" si="1"/>
        <v>75</v>
      </c>
      <c r="K63" s="12" t="str">
        <f>Absolute_Scores!K63</f>
        <v>@nonawilly16</v>
      </c>
      <c r="L63" s="12" t="str">
        <f>Absolute_Scores!L63</f>
        <v>Instagram</v>
      </c>
      <c r="M63" s="29">
        <f>Absolute_Scores!N63</f>
        <v>55</v>
      </c>
      <c r="N63" s="30">
        <f t="shared" si="2"/>
        <v>82.09</v>
      </c>
    </row>
    <row r="64" spans="1:14">
      <c r="A64" s="12" t="str">
        <f>Absolute_Scores!A64</f>
        <v>@ansurr1</v>
      </c>
      <c r="B64" s="12" t="str">
        <f>Absolute_Scores!B64</f>
        <v>Instagram</v>
      </c>
      <c r="C64" s="29">
        <f>Absolute_Scores!D64</f>
        <v>58</v>
      </c>
      <c r="D64" s="30">
        <f t="shared" si="0"/>
        <v>72.5</v>
      </c>
      <c r="F64" s="12" t="str">
        <f>Absolute_Scores!F64</f>
        <v>@janes_cs</v>
      </c>
      <c r="G64" s="12" t="str">
        <f>Absolute_Scores!G64</f>
        <v>TikTok</v>
      </c>
      <c r="H64" s="29">
        <f>Absolute_Scores!I64</f>
        <v>60</v>
      </c>
      <c r="I64" s="30">
        <f t="shared" si="1"/>
        <v>75</v>
      </c>
      <c r="K64" s="12" t="str">
        <f>Absolute_Scores!K64</f>
        <v>@queenzangell</v>
      </c>
      <c r="L64" s="12" t="str">
        <f>Absolute_Scores!L64</f>
        <v>Instagram</v>
      </c>
      <c r="M64" s="29">
        <f>Absolute_Scores!N64</f>
        <v>55</v>
      </c>
      <c r="N64" s="30">
        <f t="shared" si="2"/>
        <v>82.09</v>
      </c>
    </row>
    <row r="65" spans="1:14">
      <c r="A65" s="12" t="str">
        <f>Absolute_Scores!A65</f>
        <v>@arie.auliaa</v>
      </c>
      <c r="B65" s="12" t="str">
        <f>Absolute_Scores!B65</f>
        <v>Instagram</v>
      </c>
      <c r="C65" s="29">
        <f>Absolute_Scores!D65</f>
        <v>58</v>
      </c>
      <c r="D65" s="30">
        <f t="shared" si="0"/>
        <v>72.5</v>
      </c>
      <c r="F65" s="12" t="str">
        <f>Absolute_Scores!F65</f>
        <v>@jennifer.coppen</v>
      </c>
      <c r="G65" s="12" t="str">
        <f>Absolute_Scores!G65</f>
        <v>TikTok</v>
      </c>
      <c r="H65" s="29">
        <f>Absolute_Scores!I65</f>
        <v>60</v>
      </c>
      <c r="I65" s="30">
        <f t="shared" si="1"/>
        <v>75</v>
      </c>
      <c r="K65" s="12" t="str">
        <f>Absolute_Scores!K65</f>
        <v>@raffinagita1717</v>
      </c>
      <c r="L65" s="12" t="str">
        <f>Absolute_Scores!L65</f>
        <v>Instagram</v>
      </c>
      <c r="M65" s="29">
        <f>Absolute_Scores!N65</f>
        <v>55</v>
      </c>
      <c r="N65" s="30">
        <f t="shared" si="2"/>
        <v>82.09</v>
      </c>
    </row>
    <row r="66" spans="1:14">
      <c r="A66" s="12" t="str">
        <f>Absolute_Scores!A66</f>
        <v>@arinlubis</v>
      </c>
      <c r="B66" s="12" t="str">
        <f>Absolute_Scores!B66</f>
        <v>Instagram</v>
      </c>
      <c r="C66" s="29">
        <f>Absolute_Scores!D66</f>
        <v>58</v>
      </c>
      <c r="D66" s="30">
        <f t="shared" si="0"/>
        <v>72.5</v>
      </c>
      <c r="F66" s="12" t="str">
        <f>Absolute_Scores!F66</f>
        <v>@jenniferbachdim</v>
      </c>
      <c r="G66" s="12" t="str">
        <f>Absolute_Scores!G66</f>
        <v>TikTok</v>
      </c>
      <c r="H66" s="29">
        <f>Absolute_Scores!I66</f>
        <v>60</v>
      </c>
      <c r="I66" s="30">
        <f t="shared" si="1"/>
        <v>75</v>
      </c>
      <c r="K66" s="12" t="str">
        <f>Absolute_Scores!K66</f>
        <v>@refalhady</v>
      </c>
      <c r="L66" s="12" t="str">
        <f>Absolute_Scores!L66</f>
        <v>Instagram</v>
      </c>
      <c r="M66" s="29">
        <f>Absolute_Scores!N66</f>
        <v>55</v>
      </c>
      <c r="N66" s="30">
        <f t="shared" si="2"/>
        <v>82.09</v>
      </c>
    </row>
    <row r="67" spans="1:14">
      <c r="A67" s="12" t="str">
        <f>Absolute_Scores!A67</f>
        <v>@beautyandacne</v>
      </c>
      <c r="B67" s="12" t="str">
        <f>Absolute_Scores!B67</f>
        <v>Instagram</v>
      </c>
      <c r="C67" s="29">
        <f>Absolute_Scores!D67</f>
        <v>58</v>
      </c>
      <c r="D67" s="30">
        <f t="shared" si="0"/>
        <v>72.5</v>
      </c>
      <c r="F67" s="12" t="str">
        <f>Absolute_Scores!F67</f>
        <v>@kangferrymaryadi</v>
      </c>
      <c r="G67" s="12" t="str">
        <f>Absolute_Scores!G67</f>
        <v>Instagram</v>
      </c>
      <c r="H67" s="29">
        <f>Absolute_Scores!I67</f>
        <v>60</v>
      </c>
      <c r="I67" s="30">
        <f t="shared" si="1"/>
        <v>75</v>
      </c>
      <c r="K67" s="12" t="str">
        <f>Absolute_Scores!K67</f>
        <v>@rinaldi_ni</v>
      </c>
      <c r="L67" s="12" t="str">
        <f>Absolute_Scores!L67</f>
        <v>Instagram</v>
      </c>
      <c r="M67" s="29">
        <f>Absolute_Scores!N67</f>
        <v>55</v>
      </c>
      <c r="N67" s="30">
        <f t="shared" si="2"/>
        <v>82.09</v>
      </c>
    </row>
    <row r="68" spans="1:14">
      <c r="A68" s="12" t="str">
        <f>Absolute_Scores!A68</f>
        <v>@byviolina</v>
      </c>
      <c r="B68" s="12" t="str">
        <f>Absolute_Scores!B68</f>
        <v>Instagram</v>
      </c>
      <c r="C68" s="29">
        <f>Absolute_Scores!D68</f>
        <v>58</v>
      </c>
      <c r="D68" s="30">
        <f t="shared" si="0"/>
        <v>72.5</v>
      </c>
      <c r="F68" s="12" t="str">
        <f>Absolute_Scores!F68</f>
        <v>@kezializina</v>
      </c>
      <c r="G68" s="12" t="str">
        <f>Absolute_Scores!G68</f>
        <v>TikTok</v>
      </c>
      <c r="H68" s="29">
        <f>Absolute_Scores!I68</f>
        <v>60</v>
      </c>
      <c r="I68" s="30">
        <f t="shared" si="1"/>
        <v>75</v>
      </c>
      <c r="K68" s="12" t="str">
        <f>Absolute_Scores!K68</f>
        <v>@riyukabunga</v>
      </c>
      <c r="L68" s="12" t="str">
        <f>Absolute_Scores!L68</f>
        <v>TikTok</v>
      </c>
      <c r="M68" s="29">
        <f>Absolute_Scores!N68</f>
        <v>55</v>
      </c>
      <c r="N68" s="30">
        <f t="shared" si="2"/>
        <v>82.09</v>
      </c>
    </row>
    <row r="69" spans="1:14">
      <c r="A69" s="12" t="str">
        <f>Absolute_Scores!A69</f>
        <v>@camilarasy</v>
      </c>
      <c r="B69" s="12" t="str">
        <f>Absolute_Scores!B69</f>
        <v>Instagram</v>
      </c>
      <c r="C69" s="29">
        <f>Absolute_Scores!D69</f>
        <v>58</v>
      </c>
      <c r="D69" s="30">
        <f t="shared" si="0"/>
        <v>72.5</v>
      </c>
      <c r="F69" s="12" t="str">
        <f>Absolute_Scores!F69</f>
        <v>@leyladerina</v>
      </c>
      <c r="G69" s="12" t="str">
        <f>Absolute_Scores!G69</f>
        <v>TikTok</v>
      </c>
      <c r="H69" s="29">
        <f>Absolute_Scores!I69</f>
        <v>60</v>
      </c>
      <c r="I69" s="30">
        <f t="shared" si="1"/>
        <v>75</v>
      </c>
      <c r="K69" s="12" t="str">
        <f>Absolute_Scores!K69</f>
        <v>@rucenuenda</v>
      </c>
      <c r="L69" s="12" t="str">
        <f>Absolute_Scores!L69</f>
        <v>Instagram</v>
      </c>
      <c r="M69" s="29">
        <f>Absolute_Scores!N69</f>
        <v>55</v>
      </c>
      <c r="N69" s="30">
        <f t="shared" si="2"/>
        <v>82.09</v>
      </c>
    </row>
    <row r="70" spans="1:14">
      <c r="A70" s="12" t="str">
        <f>Absolute_Scores!A70</f>
        <v>@chofyx</v>
      </c>
      <c r="B70" s="12" t="str">
        <f>Absolute_Scores!B70</f>
        <v>Instagram</v>
      </c>
      <c r="C70" s="29">
        <f>Absolute_Scores!D70</f>
        <v>58</v>
      </c>
      <c r="D70" s="30">
        <f t="shared" ref="D70:D133" si="3">ROUND(C70/$D$4*100,2)</f>
        <v>72.5</v>
      </c>
      <c r="F70" s="12" t="str">
        <f>Absolute_Scores!F70</f>
        <v>@lystianovilda</v>
      </c>
      <c r="G70" s="12" t="str">
        <f>Absolute_Scores!G70</f>
        <v>TikTok</v>
      </c>
      <c r="H70" s="29">
        <f>Absolute_Scores!I70</f>
        <v>60</v>
      </c>
      <c r="I70" s="30">
        <f t="shared" ref="I70:I133" si="4">ROUND(H70/$I$4*100,2)</f>
        <v>75</v>
      </c>
      <c r="K70" s="12" t="str">
        <f>Absolute_Scores!K70</f>
        <v>@rx_mnd</v>
      </c>
      <c r="L70" s="12" t="str">
        <f>Absolute_Scores!L70</f>
        <v>Instagram</v>
      </c>
      <c r="M70" s="29">
        <f>Absolute_Scores!N70</f>
        <v>55</v>
      </c>
      <c r="N70" s="30">
        <f t="shared" ref="N70:N133" si="5">ROUND(M70/$N$4*100,2)</f>
        <v>82.09</v>
      </c>
    </row>
    <row r="71" spans="1:14">
      <c r="A71" s="12" t="str">
        <f>Absolute_Scores!A71</f>
        <v>@ddini.rahmaaa</v>
      </c>
      <c r="B71" s="12" t="str">
        <f>Absolute_Scores!B71</f>
        <v>Instagram</v>
      </c>
      <c r="C71" s="29">
        <f>Absolute_Scores!D71</f>
        <v>58</v>
      </c>
      <c r="D71" s="30">
        <f t="shared" si="3"/>
        <v>72.5</v>
      </c>
      <c r="F71" s="12" t="str">
        <f>Absolute_Scores!F71</f>
        <v>@maharajasp8</v>
      </c>
      <c r="G71" s="12" t="str">
        <f>Absolute_Scores!G71</f>
        <v>TikTok</v>
      </c>
      <c r="H71" s="29">
        <f>Absolute_Scores!I71</f>
        <v>60</v>
      </c>
      <c r="I71" s="30">
        <f t="shared" si="4"/>
        <v>75</v>
      </c>
      <c r="K71" s="12" t="str">
        <f>Absolute_Scores!K71</f>
        <v>@ryangoutama</v>
      </c>
      <c r="L71" s="12" t="str">
        <f>Absolute_Scores!L71</f>
        <v>Instagram</v>
      </c>
      <c r="M71" s="29">
        <f>Absolute_Scores!N71</f>
        <v>55</v>
      </c>
      <c r="N71" s="30">
        <f t="shared" si="5"/>
        <v>82.09</v>
      </c>
    </row>
    <row r="72" spans="1:14">
      <c r="A72" s="12" t="str">
        <f>Absolute_Scores!A72</f>
        <v>@dewimeisyamld</v>
      </c>
      <c r="B72" s="12" t="str">
        <f>Absolute_Scores!B72</f>
        <v>Instagram</v>
      </c>
      <c r="C72" s="29">
        <f>Absolute_Scores!D72</f>
        <v>58</v>
      </c>
      <c r="D72" s="30">
        <f t="shared" si="3"/>
        <v>72.5</v>
      </c>
      <c r="F72" s="12" t="str">
        <f>Absolute_Scores!F72</f>
        <v>@maspaijooo</v>
      </c>
      <c r="G72" s="12" t="str">
        <f>Absolute_Scores!G72</f>
        <v>TikTok</v>
      </c>
      <c r="H72" s="29">
        <f>Absolute_Scores!I72</f>
        <v>60</v>
      </c>
      <c r="I72" s="30">
        <f t="shared" si="4"/>
        <v>75</v>
      </c>
      <c r="K72" s="12" t="str">
        <f>Absolute_Scores!K72</f>
        <v>@sabrinasosiawan</v>
      </c>
      <c r="L72" s="12" t="str">
        <f>Absolute_Scores!L72</f>
        <v>Instagram</v>
      </c>
      <c r="M72" s="29">
        <f>Absolute_Scores!N72</f>
        <v>55</v>
      </c>
      <c r="N72" s="30">
        <f t="shared" si="5"/>
        <v>82.09</v>
      </c>
    </row>
    <row r="73" spans="1:14">
      <c r="A73" s="12" t="str">
        <f>Absolute_Scores!A73</f>
        <v>@dewmalaa</v>
      </c>
      <c r="B73" s="12" t="str">
        <f>Absolute_Scores!B73</f>
        <v>Instagram</v>
      </c>
      <c r="C73" s="29">
        <f>Absolute_Scores!D73</f>
        <v>58</v>
      </c>
      <c r="D73" s="30">
        <f t="shared" si="3"/>
        <v>72.5</v>
      </c>
      <c r="F73" s="12" t="str">
        <f>Absolute_Scores!F73</f>
        <v>@mmivia</v>
      </c>
      <c r="G73" s="12" t="str">
        <f>Absolute_Scores!G73</f>
        <v>TikTok</v>
      </c>
      <c r="H73" s="29">
        <f>Absolute_Scores!I73</f>
        <v>60</v>
      </c>
      <c r="I73" s="30">
        <f t="shared" si="4"/>
        <v>75</v>
      </c>
      <c r="K73" s="12" t="str">
        <f>Absolute_Scores!K73</f>
        <v>@sakilagustina</v>
      </c>
      <c r="L73" s="12" t="str">
        <f>Absolute_Scores!L73</f>
        <v>Instagram</v>
      </c>
      <c r="M73" s="29">
        <f>Absolute_Scores!N73</f>
        <v>55</v>
      </c>
      <c r="N73" s="30">
        <f t="shared" si="5"/>
        <v>82.09</v>
      </c>
    </row>
    <row r="74" spans="1:14">
      <c r="A74" s="12" t="str">
        <f>Absolute_Scores!A74</f>
        <v>@dheaudrey</v>
      </c>
      <c r="B74" s="12" t="str">
        <f>Absolute_Scores!B74</f>
        <v>Instagram</v>
      </c>
      <c r="C74" s="29">
        <f>Absolute_Scores!D74</f>
        <v>58</v>
      </c>
      <c r="D74" s="30">
        <f t="shared" si="3"/>
        <v>72.5</v>
      </c>
      <c r="F74" s="12" t="str">
        <f>Absolute_Scores!F74</f>
        <v>@mumukdaneno</v>
      </c>
      <c r="G74" s="12" t="str">
        <f>Absolute_Scores!G74</f>
        <v>TikTok</v>
      </c>
      <c r="H74" s="29">
        <f>Absolute_Scores!I74</f>
        <v>60</v>
      </c>
      <c r="I74" s="30">
        <f t="shared" si="4"/>
        <v>75</v>
      </c>
      <c r="K74" s="12" t="str">
        <f>Absolute_Scores!K74</f>
        <v>@sashfir</v>
      </c>
      <c r="L74" s="12" t="str">
        <f>Absolute_Scores!L74</f>
        <v>Instagram</v>
      </c>
      <c r="M74" s="29">
        <f>Absolute_Scores!N74</f>
        <v>55</v>
      </c>
      <c r="N74" s="30">
        <f t="shared" si="5"/>
        <v>82.09</v>
      </c>
    </row>
    <row r="75" spans="1:14">
      <c r="A75" s="12" t="str">
        <f>Absolute_Scores!A75</f>
        <v>@diah.rosmawati7</v>
      </c>
      <c r="B75" s="12" t="str">
        <f>Absolute_Scores!B75</f>
        <v>Instagram</v>
      </c>
      <c r="C75" s="29">
        <f>Absolute_Scores!D75</f>
        <v>58</v>
      </c>
      <c r="D75" s="30">
        <f t="shared" si="3"/>
        <v>72.5</v>
      </c>
      <c r="F75" s="12" t="str">
        <f>Absolute_Scores!F75</f>
        <v>@nopeknovian</v>
      </c>
      <c r="G75" s="12" t="str">
        <f>Absolute_Scores!G75</f>
        <v>Instagram</v>
      </c>
      <c r="H75" s="29">
        <f>Absolute_Scores!I75</f>
        <v>60</v>
      </c>
      <c r="I75" s="30">
        <f t="shared" si="4"/>
        <v>75</v>
      </c>
      <c r="K75" s="12" t="str">
        <f>Absolute_Scores!K75</f>
        <v>@shielyv</v>
      </c>
      <c r="L75" s="12" t="str">
        <f>Absolute_Scores!L75</f>
        <v>Instagram</v>
      </c>
      <c r="M75" s="29">
        <f>Absolute_Scores!N75</f>
        <v>55</v>
      </c>
      <c r="N75" s="30">
        <f t="shared" si="5"/>
        <v>82.09</v>
      </c>
    </row>
    <row r="76" spans="1:14">
      <c r="A76" s="12" t="str">
        <f>Absolute_Scores!A76</f>
        <v>@diniarvita17</v>
      </c>
      <c r="B76" s="12" t="str">
        <f>Absolute_Scores!B76</f>
        <v>Instagram</v>
      </c>
      <c r="C76" s="29">
        <f>Absolute_Scores!D76</f>
        <v>58</v>
      </c>
      <c r="D76" s="30">
        <f t="shared" si="3"/>
        <v>72.5</v>
      </c>
      <c r="F76" s="12" t="str">
        <f>Absolute_Scores!F76</f>
        <v>@pandawaragroup</v>
      </c>
      <c r="G76" s="12" t="str">
        <f>Absolute_Scores!G76</f>
        <v>TikTok</v>
      </c>
      <c r="H76" s="29">
        <f>Absolute_Scores!I76</f>
        <v>60</v>
      </c>
      <c r="I76" s="30">
        <f t="shared" si="4"/>
        <v>75</v>
      </c>
      <c r="K76" s="12" t="str">
        <f>Absolute_Scores!K76</f>
        <v>@skupingg</v>
      </c>
      <c r="L76" s="12" t="str">
        <f>Absolute_Scores!L76</f>
        <v>Instagram</v>
      </c>
      <c r="M76" s="29">
        <f>Absolute_Scores!N76</f>
        <v>55</v>
      </c>
      <c r="N76" s="30">
        <f t="shared" si="5"/>
        <v>82.09</v>
      </c>
    </row>
    <row r="77" spans="1:14">
      <c r="A77" s="12" t="str">
        <f>Absolute_Scores!A77</f>
        <v>@divaalatas</v>
      </c>
      <c r="B77" s="12" t="str">
        <f>Absolute_Scores!B77</f>
        <v>Instagram</v>
      </c>
      <c r="C77" s="29">
        <f>Absolute_Scores!D77</f>
        <v>58</v>
      </c>
      <c r="D77" s="30">
        <f t="shared" si="3"/>
        <v>72.5</v>
      </c>
      <c r="F77" s="12" t="str">
        <f>Absolute_Scores!F77</f>
        <v>@panggilakubambang</v>
      </c>
      <c r="G77" s="12" t="str">
        <f>Absolute_Scores!G77</f>
        <v>TikTok</v>
      </c>
      <c r="H77" s="29">
        <f>Absolute_Scores!I77</f>
        <v>60</v>
      </c>
      <c r="I77" s="30">
        <f t="shared" si="4"/>
        <v>75</v>
      </c>
      <c r="K77" s="12" t="str">
        <f>Absolute_Scores!K77</f>
        <v>@solehsolihun</v>
      </c>
      <c r="L77" s="12" t="str">
        <f>Absolute_Scores!L77</f>
        <v>Instagram</v>
      </c>
      <c r="M77" s="29">
        <f>Absolute_Scores!N77</f>
        <v>55</v>
      </c>
      <c r="N77" s="30">
        <f t="shared" si="5"/>
        <v>82.09</v>
      </c>
    </row>
    <row r="78" spans="1:14">
      <c r="A78" s="12" t="str">
        <f>Absolute_Scores!A78</f>
        <v>@dwii.s97</v>
      </c>
      <c r="B78" s="12" t="str">
        <f>Absolute_Scores!B78</f>
        <v>Instagram</v>
      </c>
      <c r="C78" s="29">
        <f>Absolute_Scores!D78</f>
        <v>58</v>
      </c>
      <c r="D78" s="30">
        <f t="shared" si="3"/>
        <v>72.5</v>
      </c>
      <c r="F78" s="12" t="str">
        <f>Absolute_Scores!F78</f>
        <v>@panjisuryono7</v>
      </c>
      <c r="G78" s="12" t="str">
        <f>Absolute_Scores!G78</f>
        <v>Instagram</v>
      </c>
      <c r="H78" s="29">
        <f>Absolute_Scores!I78</f>
        <v>60</v>
      </c>
      <c r="I78" s="30">
        <f t="shared" si="4"/>
        <v>75</v>
      </c>
      <c r="K78" s="12" t="str">
        <f>Absolute_Scores!K78</f>
        <v>@stephanie.hertanto</v>
      </c>
      <c r="L78" s="12" t="str">
        <f>Absolute_Scores!L78</f>
        <v>Instagram</v>
      </c>
      <c r="M78" s="29">
        <f>Absolute_Scores!N78</f>
        <v>55</v>
      </c>
      <c r="N78" s="30">
        <f t="shared" si="5"/>
        <v>82.09</v>
      </c>
    </row>
    <row r="79" spans="1:14">
      <c r="A79" s="12" t="str">
        <f>Absolute_Scores!A79</f>
        <v>@ellypurple</v>
      </c>
      <c r="B79" s="12" t="str">
        <f>Absolute_Scores!B79</f>
        <v>Instagram</v>
      </c>
      <c r="C79" s="29">
        <f>Absolute_Scores!D79</f>
        <v>58</v>
      </c>
      <c r="D79" s="30">
        <f t="shared" si="3"/>
        <v>72.5</v>
      </c>
      <c r="F79" s="12" t="str">
        <f>Absolute_Scores!F79</f>
        <v>@papiabeabeabe</v>
      </c>
      <c r="G79" s="12" t="str">
        <f>Absolute_Scores!G79</f>
        <v>Instagram</v>
      </c>
      <c r="H79" s="29">
        <f>Absolute_Scores!I79</f>
        <v>60</v>
      </c>
      <c r="I79" s="30">
        <f t="shared" si="4"/>
        <v>75</v>
      </c>
      <c r="K79" s="12" t="str">
        <f>Absolute_Scores!K79</f>
        <v>@sunnydahye</v>
      </c>
      <c r="L79" s="12" t="str">
        <f>Absolute_Scores!L79</f>
        <v>Instagram</v>
      </c>
      <c r="M79" s="29">
        <f>Absolute_Scores!N79</f>
        <v>55</v>
      </c>
      <c r="N79" s="30">
        <f t="shared" si="5"/>
        <v>82.09</v>
      </c>
    </row>
    <row r="80" spans="1:14">
      <c r="A80" s="12" t="str">
        <f>Absolute_Scores!A80</f>
        <v>@erieharun</v>
      </c>
      <c r="B80" s="12" t="str">
        <f>Absolute_Scores!B80</f>
        <v>Instagram</v>
      </c>
      <c r="C80" s="29">
        <f>Absolute_Scores!D80</f>
        <v>58</v>
      </c>
      <c r="D80" s="30">
        <f t="shared" si="3"/>
        <v>72.5</v>
      </c>
      <c r="F80" s="12" t="str">
        <f>Absolute_Scores!F80</f>
        <v>@queerkunoichi</v>
      </c>
      <c r="G80" s="12" t="str">
        <f>Absolute_Scores!G80</f>
        <v>TikTok</v>
      </c>
      <c r="H80" s="29">
        <f>Absolute_Scores!I80</f>
        <v>60</v>
      </c>
      <c r="I80" s="30">
        <f t="shared" si="4"/>
        <v>75</v>
      </c>
      <c r="K80" s="12" t="str">
        <f>Absolute_Scores!K80</f>
        <v>@syafira_hdd</v>
      </c>
      <c r="L80" s="12" t="str">
        <f>Absolute_Scores!L80</f>
        <v>Instagram</v>
      </c>
      <c r="M80" s="29">
        <f>Absolute_Scores!N80</f>
        <v>55</v>
      </c>
      <c r="N80" s="30">
        <f t="shared" si="5"/>
        <v>82.09</v>
      </c>
    </row>
    <row r="81" spans="1:14">
      <c r="A81" s="12" t="str">
        <f>Absolute_Scores!A81</f>
        <v>@farisaaisss</v>
      </c>
      <c r="B81" s="12" t="str">
        <f>Absolute_Scores!B81</f>
        <v>Instagram</v>
      </c>
      <c r="C81" s="29">
        <f>Absolute_Scores!D81</f>
        <v>58</v>
      </c>
      <c r="D81" s="30">
        <f t="shared" si="3"/>
        <v>72.5</v>
      </c>
      <c r="F81" s="12" t="str">
        <f>Absolute_Scores!F81</f>
        <v>@raymondchins</v>
      </c>
      <c r="G81" s="12" t="str">
        <f>Absolute_Scores!G81</f>
        <v>TikTok</v>
      </c>
      <c r="H81" s="29">
        <f>Absolute_Scores!I81</f>
        <v>60</v>
      </c>
      <c r="I81" s="30">
        <f t="shared" si="4"/>
        <v>75</v>
      </c>
      <c r="K81" s="12" t="str">
        <f>Absolute_Scores!K81</f>
        <v>@talitamaghfira</v>
      </c>
      <c r="L81" s="12" t="str">
        <f>Absolute_Scores!L81</f>
        <v>Instagram</v>
      </c>
      <c r="M81" s="29">
        <f>Absolute_Scores!N81</f>
        <v>55</v>
      </c>
      <c r="N81" s="30">
        <f t="shared" si="5"/>
        <v>82.09</v>
      </c>
    </row>
    <row r="82" spans="1:14">
      <c r="A82" s="12" t="str">
        <f>Absolute_Scores!A82</f>
        <v>@feliciaongkarina</v>
      </c>
      <c r="B82" s="12" t="str">
        <f>Absolute_Scores!B82</f>
        <v>Instagram</v>
      </c>
      <c r="C82" s="29">
        <f>Absolute_Scores!D82</f>
        <v>58</v>
      </c>
      <c r="D82" s="30">
        <f t="shared" si="3"/>
        <v>72.5</v>
      </c>
      <c r="F82" s="12" t="str">
        <f>Absolute_Scores!F82</f>
        <v>@risyadandson</v>
      </c>
      <c r="G82" s="12" t="str">
        <f>Absolute_Scores!G82</f>
        <v>TikTok</v>
      </c>
      <c r="H82" s="29">
        <f>Absolute_Scores!I82</f>
        <v>60</v>
      </c>
      <c r="I82" s="30">
        <f t="shared" si="4"/>
        <v>75</v>
      </c>
      <c r="K82" s="12" t="str">
        <f>Absolute_Scores!K82</f>
        <v>@valeriedewiofficial</v>
      </c>
      <c r="L82" s="12" t="str">
        <f>Absolute_Scores!L82</f>
        <v>Instagram</v>
      </c>
      <c r="M82" s="29">
        <f>Absolute_Scores!N82</f>
        <v>55</v>
      </c>
      <c r="N82" s="30">
        <f t="shared" si="5"/>
        <v>82.09</v>
      </c>
    </row>
    <row r="83" spans="1:14">
      <c r="A83" s="12" t="str">
        <f>Absolute_Scores!A83</f>
        <v>@firdianovita</v>
      </c>
      <c r="B83" s="12" t="str">
        <f>Absolute_Scores!B83</f>
        <v>Instagram</v>
      </c>
      <c r="C83" s="29">
        <f>Absolute_Scores!D83</f>
        <v>58</v>
      </c>
      <c r="D83" s="30">
        <f t="shared" si="3"/>
        <v>72.5</v>
      </c>
      <c r="F83" s="12" t="str">
        <f>Absolute_Scores!F83</f>
        <v>@sahilmulachela</v>
      </c>
      <c r="G83" s="12" t="str">
        <f>Absolute_Scores!G83</f>
        <v>TikTok</v>
      </c>
      <c r="H83" s="29">
        <f>Absolute_Scores!I83</f>
        <v>60</v>
      </c>
      <c r="I83" s="30">
        <f t="shared" si="4"/>
        <v>75</v>
      </c>
      <c r="K83" s="12" t="str">
        <f>Absolute_Scores!K83</f>
        <v>@vinthadevina</v>
      </c>
      <c r="L83" s="12" t="str">
        <f>Absolute_Scores!L83</f>
        <v>Instagram</v>
      </c>
      <c r="M83" s="29">
        <f>Absolute_Scores!N83</f>
        <v>55</v>
      </c>
      <c r="N83" s="30">
        <f t="shared" si="5"/>
        <v>82.09</v>
      </c>
    </row>
    <row r="84" spans="1:14">
      <c r="A84" s="12" t="str">
        <f>Absolute_Scores!A84</f>
        <v>@fradila_anggita</v>
      </c>
      <c r="B84" s="12" t="str">
        <f>Absolute_Scores!B84</f>
        <v>Instagram</v>
      </c>
      <c r="C84" s="29">
        <f>Absolute_Scores!D84</f>
        <v>58</v>
      </c>
      <c r="D84" s="30">
        <f t="shared" si="3"/>
        <v>72.5</v>
      </c>
      <c r="F84" s="12" t="str">
        <f>Absolute_Scores!F84</f>
        <v>@shella_fernanda29</v>
      </c>
      <c r="G84" s="12" t="str">
        <f>Absolute_Scores!G84</f>
        <v>TikTok</v>
      </c>
      <c r="H84" s="29">
        <f>Absolute_Scores!I84</f>
        <v>60</v>
      </c>
      <c r="I84" s="30">
        <f t="shared" si="4"/>
        <v>75</v>
      </c>
      <c r="K84" s="12" t="str">
        <f>Absolute_Scores!K84</f>
        <v>@xiaoyuebiie</v>
      </c>
      <c r="L84" s="12" t="str">
        <f>Absolute_Scores!L84</f>
        <v>Instagram</v>
      </c>
      <c r="M84" s="29">
        <f>Absolute_Scores!N84</f>
        <v>55</v>
      </c>
      <c r="N84" s="30">
        <f t="shared" si="5"/>
        <v>82.09</v>
      </c>
    </row>
    <row r="85" spans="1:14">
      <c r="A85" s="12" t="str">
        <f>Absolute_Scores!A85</f>
        <v>@gabriellaekaputri</v>
      </c>
      <c r="B85" s="12" t="str">
        <f>Absolute_Scores!B85</f>
        <v>Instagram</v>
      </c>
      <c r="C85" s="29">
        <f>Absolute_Scores!D85</f>
        <v>58</v>
      </c>
      <c r="D85" s="30">
        <f t="shared" si="3"/>
        <v>72.5</v>
      </c>
      <c r="F85" s="12" t="str">
        <f>Absolute_Scores!F85</f>
        <v>@skupakping</v>
      </c>
      <c r="G85" s="12" t="str">
        <f>Absolute_Scores!G85</f>
        <v>TikTok</v>
      </c>
      <c r="H85" s="29">
        <f>Absolute_Scores!I85</f>
        <v>60</v>
      </c>
      <c r="I85" s="30">
        <f t="shared" si="4"/>
        <v>75</v>
      </c>
      <c r="K85" s="12" t="str">
        <f>Absolute_Scores!K85</f>
        <v>@yassinbintang</v>
      </c>
      <c r="L85" s="12" t="str">
        <f>Absolute_Scores!L85</f>
        <v>Instagram</v>
      </c>
      <c r="M85" s="29">
        <f>Absolute_Scores!N85</f>
        <v>55</v>
      </c>
      <c r="N85" s="30">
        <f t="shared" si="5"/>
        <v>82.09</v>
      </c>
    </row>
    <row r="86" spans="1:14">
      <c r="A86" s="12" t="str">
        <f>Absolute_Scores!A86</f>
        <v>@gadissyfha</v>
      </c>
      <c r="B86" s="12" t="str">
        <f>Absolute_Scores!B86</f>
        <v>Instagram</v>
      </c>
      <c r="C86" s="29">
        <f>Absolute_Scores!D86</f>
        <v>58</v>
      </c>
      <c r="D86" s="30">
        <f t="shared" si="3"/>
        <v>72.5</v>
      </c>
      <c r="F86" s="12" t="str">
        <f>Absolute_Scores!F86</f>
        <v>@soimah_pancawati</v>
      </c>
      <c r="G86" s="12" t="str">
        <f>Absolute_Scores!G86</f>
        <v>TikTok</v>
      </c>
      <c r="H86" s="29">
        <f>Absolute_Scores!I86</f>
        <v>60</v>
      </c>
      <c r="I86" s="30">
        <f t="shared" si="4"/>
        <v>75</v>
      </c>
      <c r="K86" s="12" t="str">
        <f>Absolute_Scores!K86</f>
        <v>@aqsaaswar</v>
      </c>
      <c r="L86" s="12" t="str">
        <f>Absolute_Scores!L86</f>
        <v>Instagram</v>
      </c>
      <c r="M86" s="29">
        <f>Absolute_Scores!N86</f>
        <v>54</v>
      </c>
      <c r="N86" s="30">
        <f t="shared" si="5"/>
        <v>80.6</v>
      </c>
    </row>
    <row r="87" spans="1:14">
      <c r="A87" s="12" t="str">
        <f>Absolute_Scores!A87</f>
        <v>@hanjizah</v>
      </c>
      <c r="B87" s="12" t="str">
        <f>Absolute_Scores!B87</f>
        <v>Instagram</v>
      </c>
      <c r="C87" s="29">
        <f>Absolute_Scores!D87</f>
        <v>58</v>
      </c>
      <c r="D87" s="30">
        <f t="shared" si="3"/>
        <v>72.5</v>
      </c>
      <c r="F87" s="12" t="str">
        <f>Absolute_Scores!F87</f>
        <v>@sport77official</v>
      </c>
      <c r="G87" s="12" t="str">
        <f>Absolute_Scores!G87</f>
        <v>TikTok</v>
      </c>
      <c r="H87" s="29">
        <f>Absolute_Scores!I87</f>
        <v>60</v>
      </c>
      <c r="I87" s="30">
        <f t="shared" si="4"/>
        <v>75</v>
      </c>
      <c r="K87" s="12" t="str">
        <f>Absolute_Scores!K87</f>
        <v>@cindifanisa</v>
      </c>
      <c r="L87" s="12" t="str">
        <f>Absolute_Scores!L87</f>
        <v>Instagram</v>
      </c>
      <c r="M87" s="29">
        <f>Absolute_Scores!N87</f>
        <v>54</v>
      </c>
      <c r="N87" s="30">
        <f t="shared" si="5"/>
        <v>80.6</v>
      </c>
    </row>
    <row r="88" spans="1:14">
      <c r="A88" s="12" t="str">
        <f>Absolute_Scores!A88</f>
        <v>@hanna.mardiyah</v>
      </c>
      <c r="B88" s="12" t="str">
        <f>Absolute_Scores!B88</f>
        <v>Instagram</v>
      </c>
      <c r="C88" s="29">
        <f>Absolute_Scores!D88</f>
        <v>58</v>
      </c>
      <c r="D88" s="30">
        <f t="shared" si="3"/>
        <v>72.5</v>
      </c>
      <c r="F88" s="12" t="str">
        <f>Absolute_Scores!F88</f>
        <v>@sunnydahye_</v>
      </c>
      <c r="G88" s="12" t="str">
        <f>Absolute_Scores!G88</f>
        <v>TikTok</v>
      </c>
      <c r="H88" s="29">
        <f>Absolute_Scores!I88</f>
        <v>60</v>
      </c>
      <c r="I88" s="30">
        <f t="shared" si="4"/>
        <v>75</v>
      </c>
      <c r="K88" s="12" t="str">
        <f>Absolute_Scores!K88</f>
        <v>@dilanjaniyar</v>
      </c>
      <c r="L88" s="12" t="str">
        <f>Absolute_Scores!L88</f>
        <v>Instagram</v>
      </c>
      <c r="M88" s="29">
        <f>Absolute_Scores!N88</f>
        <v>54</v>
      </c>
      <c r="N88" s="30">
        <f t="shared" si="5"/>
        <v>80.6</v>
      </c>
    </row>
    <row r="89" spans="1:14">
      <c r="A89" s="12" t="str">
        <f>Absolute_Scores!A89</f>
        <v>@hentiyashinta</v>
      </c>
      <c r="B89" s="12" t="str">
        <f>Absolute_Scores!B89</f>
        <v>Instagram</v>
      </c>
      <c r="C89" s="29">
        <f>Absolute_Scores!D89</f>
        <v>58</v>
      </c>
      <c r="D89" s="30">
        <f t="shared" si="3"/>
        <v>72.5</v>
      </c>
      <c r="F89" s="12" t="str">
        <f>Absolute_Scores!F89</f>
        <v>@syahnazsadiqah</v>
      </c>
      <c r="G89" s="12" t="str">
        <f>Absolute_Scores!G89</f>
        <v>TikTok</v>
      </c>
      <c r="H89" s="29">
        <f>Absolute_Scores!I89</f>
        <v>60</v>
      </c>
      <c r="I89" s="30">
        <f t="shared" si="4"/>
        <v>75</v>
      </c>
      <c r="K89" s="12" t="str">
        <f>Absolute_Scores!K89</f>
        <v>@elikaboen</v>
      </c>
      <c r="L89" s="12" t="str">
        <f>Absolute_Scores!L89</f>
        <v>Instagram</v>
      </c>
      <c r="M89" s="29">
        <f>Absolute_Scores!N89</f>
        <v>54</v>
      </c>
      <c r="N89" s="30">
        <f t="shared" si="5"/>
        <v>80.6</v>
      </c>
    </row>
    <row r="90" spans="1:14">
      <c r="A90" s="12" t="str">
        <f>Absolute_Scores!A90</f>
        <v>@hestiadityas</v>
      </c>
      <c r="B90" s="12" t="str">
        <f>Absolute_Scores!B90</f>
        <v>Instagram</v>
      </c>
      <c r="C90" s="29">
        <f>Absolute_Scores!D90</f>
        <v>58</v>
      </c>
      <c r="D90" s="30">
        <f t="shared" si="3"/>
        <v>72.5</v>
      </c>
      <c r="F90" s="12" t="str">
        <f>Absolute_Scores!F90</f>
        <v>@tiarach18</v>
      </c>
      <c r="G90" s="12" t="str">
        <f>Absolute_Scores!G90</f>
        <v>TikTok</v>
      </c>
      <c r="H90" s="29">
        <f>Absolute_Scores!I90</f>
        <v>60</v>
      </c>
      <c r="I90" s="30">
        <f t="shared" si="4"/>
        <v>75</v>
      </c>
      <c r="K90" s="12" t="str">
        <f>Absolute_Scores!K90</f>
        <v>@miraagile</v>
      </c>
      <c r="L90" s="12" t="str">
        <f>Absolute_Scores!L90</f>
        <v>Instagram</v>
      </c>
      <c r="M90" s="29">
        <f>Absolute_Scores!N90</f>
        <v>54</v>
      </c>
      <c r="N90" s="30">
        <f t="shared" si="5"/>
        <v>80.6</v>
      </c>
    </row>
    <row r="91" spans="1:14">
      <c r="A91" s="12" t="str">
        <f>Absolute_Scores!A91</f>
        <v>@iffydentity</v>
      </c>
      <c r="B91" s="12" t="str">
        <f>Absolute_Scores!B91</f>
        <v>Instagram</v>
      </c>
      <c r="C91" s="29">
        <f>Absolute_Scores!D91</f>
        <v>58</v>
      </c>
      <c r="D91" s="30">
        <f t="shared" si="3"/>
        <v>72.5</v>
      </c>
      <c r="F91" s="12" t="str">
        <f>Absolute_Scores!F91</f>
        <v>@twitter</v>
      </c>
      <c r="G91" s="12" t="str">
        <f>Absolute_Scores!G91</f>
        <v>TikTok</v>
      </c>
      <c r="H91" s="29">
        <f>Absolute_Scores!I91</f>
        <v>60</v>
      </c>
      <c r="I91" s="30">
        <f t="shared" si="4"/>
        <v>75</v>
      </c>
      <c r="K91" s="12" t="str">
        <f>Absolute_Scores!K91</f>
        <v>@nazlaalifa</v>
      </c>
      <c r="L91" s="12" t="str">
        <f>Absolute_Scores!L91</f>
        <v>Instagram</v>
      </c>
      <c r="M91" s="29">
        <f>Absolute_Scores!N91</f>
        <v>54</v>
      </c>
      <c r="N91" s="30">
        <f t="shared" si="5"/>
        <v>80.6</v>
      </c>
    </row>
    <row r="92" spans="1:14">
      <c r="A92" s="12" t="str">
        <f>Absolute_Scores!A92</f>
        <v>@ira_sugianty</v>
      </c>
      <c r="B92" s="12" t="str">
        <f>Absolute_Scores!B92</f>
        <v>Instagram</v>
      </c>
      <c r="C92" s="29">
        <f>Absolute_Scores!D92</f>
        <v>58</v>
      </c>
      <c r="D92" s="30">
        <f t="shared" si="3"/>
        <v>72.5</v>
      </c>
      <c r="F92" s="12" t="str">
        <f>Absolute_Scores!F92</f>
        <v>@willyanggawinata</v>
      </c>
      <c r="G92" s="12" t="str">
        <f>Absolute_Scores!G92</f>
        <v>TikTok</v>
      </c>
      <c r="H92" s="29">
        <f>Absolute_Scores!I92</f>
        <v>60</v>
      </c>
      <c r="I92" s="30">
        <f t="shared" si="4"/>
        <v>75</v>
      </c>
      <c r="K92" s="12" t="str">
        <f>Absolute_Scores!K92</f>
        <v>@ryujiutomo</v>
      </c>
      <c r="L92" s="12" t="str">
        <f>Absolute_Scores!L92</f>
        <v>Instagram</v>
      </c>
      <c r="M92" s="29">
        <f>Absolute_Scores!N92</f>
        <v>54</v>
      </c>
      <c r="N92" s="30">
        <f t="shared" si="5"/>
        <v>80.6</v>
      </c>
    </row>
    <row r="93" spans="1:14">
      <c r="A93" s="12" t="str">
        <f>Absolute_Scores!A93</f>
        <v>@iva_asih</v>
      </c>
      <c r="B93" s="12" t="str">
        <f>Absolute_Scores!B93</f>
        <v>Instagram</v>
      </c>
      <c r="C93" s="29">
        <f>Absolute_Scores!D93</f>
        <v>58</v>
      </c>
      <c r="D93" s="30">
        <f t="shared" si="3"/>
        <v>72.5</v>
      </c>
      <c r="F93" s="12" t="str">
        <f>Absolute_Scores!F93</f>
        <v>@winnylieyantii</v>
      </c>
      <c r="G93" s="12" t="str">
        <f>Absolute_Scores!G93</f>
        <v>Instagram</v>
      </c>
      <c r="H93" s="29">
        <f>Absolute_Scores!I93</f>
        <v>60</v>
      </c>
      <c r="I93" s="30">
        <f t="shared" si="4"/>
        <v>75</v>
      </c>
      <c r="K93" s="12" t="str">
        <f>Absolute_Scores!K93</f>
        <v>@shela_lala96</v>
      </c>
      <c r="L93" s="12" t="str">
        <f>Absolute_Scores!L93</f>
        <v>Instagram</v>
      </c>
      <c r="M93" s="29">
        <f>Absolute_Scores!N93</f>
        <v>54</v>
      </c>
      <c r="N93" s="30">
        <f t="shared" si="5"/>
        <v>80.6</v>
      </c>
    </row>
    <row r="94" spans="1:14">
      <c r="A94" s="12" t="str">
        <f>Absolute_Scores!A94</f>
        <v>@jennielevina</v>
      </c>
      <c r="B94" s="12" t="str">
        <f>Absolute_Scores!B94</f>
        <v>Instagram</v>
      </c>
      <c r="C94" s="29">
        <f>Absolute_Scores!D94</f>
        <v>58</v>
      </c>
      <c r="D94" s="30">
        <f t="shared" si="3"/>
        <v>72.5</v>
      </c>
      <c r="F94" s="12" t="str">
        <f>Absolute_Scores!F94</f>
        <v>@wulanestriyani</v>
      </c>
      <c r="G94" s="12" t="str">
        <f>Absolute_Scores!G94</f>
        <v>TikTok</v>
      </c>
      <c r="H94" s="29">
        <f>Absolute_Scores!I94</f>
        <v>60</v>
      </c>
      <c r="I94" s="30">
        <f t="shared" si="4"/>
        <v>75</v>
      </c>
      <c r="K94" s="12" t="str">
        <f>Absolute_Scores!K94</f>
        <v>@a.ci.pa</v>
      </c>
      <c r="L94" s="12" t="str">
        <f>Absolute_Scores!L94</f>
        <v>Instagram</v>
      </c>
      <c r="M94" s="29">
        <f>Absolute_Scores!N94</f>
        <v>53</v>
      </c>
      <c r="N94" s="30">
        <f t="shared" si="5"/>
        <v>79.1</v>
      </c>
    </row>
    <row r="95" spans="1:14">
      <c r="A95" s="12" t="str">
        <f>Absolute_Scores!A95</f>
        <v>@jeonkii28</v>
      </c>
      <c r="B95" s="12" t="str">
        <f>Absolute_Scores!B95</f>
        <v>Instagram</v>
      </c>
      <c r="C95" s="29">
        <f>Absolute_Scores!D95</f>
        <v>58</v>
      </c>
      <c r="D95" s="30">
        <f t="shared" si="3"/>
        <v>72.5</v>
      </c>
      <c r="F95" s="12" t="str">
        <f>Absolute_Scores!F95</f>
        <v>@yourrkayesss</v>
      </c>
      <c r="G95" s="12" t="str">
        <f>Absolute_Scores!G95</f>
        <v>TikTok</v>
      </c>
      <c r="H95" s="29">
        <f>Absolute_Scores!I95</f>
        <v>60</v>
      </c>
      <c r="I95" s="30">
        <f t="shared" si="4"/>
        <v>75</v>
      </c>
      <c r="K95" s="12" t="str">
        <f>Absolute_Scores!K95</f>
        <v>@ahquote</v>
      </c>
      <c r="L95" s="12" t="str">
        <f>Absolute_Scores!L95</f>
        <v>Instagram</v>
      </c>
      <c r="M95" s="29">
        <f>Absolute_Scores!N95</f>
        <v>53</v>
      </c>
      <c r="N95" s="30">
        <f t="shared" si="5"/>
        <v>79.1</v>
      </c>
    </row>
    <row r="96" spans="1:14">
      <c r="A96" s="12" t="str">
        <f>Absolute_Scores!A96</f>
        <v>@jessicaliviaa</v>
      </c>
      <c r="B96" s="12" t="str">
        <f>Absolute_Scores!B96</f>
        <v>Instagram</v>
      </c>
      <c r="C96" s="29">
        <f>Absolute_Scores!D96</f>
        <v>58</v>
      </c>
      <c r="D96" s="30">
        <f t="shared" si="3"/>
        <v>72.5</v>
      </c>
      <c r="F96" s="12" t="str">
        <f>Absolute_Scores!F96</f>
        <v>@agnes_widiautama</v>
      </c>
      <c r="G96" s="12" t="str">
        <f>Absolute_Scores!G96</f>
        <v>Instagram</v>
      </c>
      <c r="H96" s="29">
        <f>Absolute_Scores!I96</f>
        <v>59</v>
      </c>
      <c r="I96" s="30">
        <f t="shared" si="4"/>
        <v>73.75</v>
      </c>
      <c r="K96" s="12" t="str">
        <f>Absolute_Scores!K96</f>
        <v>@ameliazega</v>
      </c>
      <c r="L96" s="12" t="str">
        <f>Absolute_Scores!L96</f>
        <v>Instagram</v>
      </c>
      <c r="M96" s="29">
        <f>Absolute_Scores!N96</f>
        <v>53</v>
      </c>
      <c r="N96" s="30">
        <f t="shared" si="5"/>
        <v>79.1</v>
      </c>
    </row>
    <row r="97" spans="1:14">
      <c r="A97" s="12" t="str">
        <f>Absolute_Scores!A97</f>
        <v>@jessicawongso_</v>
      </c>
      <c r="B97" s="12" t="str">
        <f>Absolute_Scores!B97</f>
        <v>Instagram</v>
      </c>
      <c r="C97" s="29">
        <f>Absolute_Scores!D97</f>
        <v>58</v>
      </c>
      <c r="D97" s="30">
        <f t="shared" si="3"/>
        <v>72.5</v>
      </c>
      <c r="F97" s="12" t="str">
        <f>Absolute_Scores!F97</f>
        <v>@christianistella</v>
      </c>
      <c r="G97" s="12" t="str">
        <f>Absolute_Scores!G97</f>
        <v>Instagram</v>
      </c>
      <c r="H97" s="29">
        <f>Absolute_Scores!I97</f>
        <v>59</v>
      </c>
      <c r="I97" s="30">
        <f t="shared" si="4"/>
        <v>73.75</v>
      </c>
      <c r="K97" s="12" t="str">
        <f>Absolute_Scores!K97</f>
        <v>@avy_vhie</v>
      </c>
      <c r="L97" s="12" t="str">
        <f>Absolute_Scores!L97</f>
        <v>Instagram</v>
      </c>
      <c r="M97" s="29">
        <f>Absolute_Scores!N97</f>
        <v>53</v>
      </c>
      <c r="N97" s="30">
        <f t="shared" si="5"/>
        <v>79.1</v>
      </c>
    </row>
    <row r="98" spans="1:14">
      <c r="A98" s="12" t="str">
        <f>Absolute_Scores!A98</f>
        <v>@kiararindani</v>
      </c>
      <c r="B98" s="12" t="str">
        <f>Absolute_Scores!B98</f>
        <v>Instagram</v>
      </c>
      <c r="C98" s="29">
        <f>Absolute_Scores!D98</f>
        <v>58</v>
      </c>
      <c r="D98" s="30">
        <f t="shared" si="3"/>
        <v>72.5</v>
      </c>
      <c r="F98" s="12" t="str">
        <f>Absolute_Scores!F98</f>
        <v>@nikma.rahmaa</v>
      </c>
      <c r="G98" s="12" t="str">
        <f>Absolute_Scores!G98</f>
        <v>Instagram</v>
      </c>
      <c r="H98" s="29">
        <f>Absolute_Scores!I98</f>
        <v>59</v>
      </c>
      <c r="I98" s="30">
        <f t="shared" si="4"/>
        <v>73.75</v>
      </c>
      <c r="K98" s="12" t="str">
        <f>Absolute_Scores!K98</f>
        <v>@faniaputriutami</v>
      </c>
      <c r="L98" s="12" t="str">
        <f>Absolute_Scores!L98</f>
        <v>Instagram</v>
      </c>
      <c r="M98" s="29">
        <f>Absolute_Scores!N98</f>
        <v>53</v>
      </c>
      <c r="N98" s="30">
        <f t="shared" si="5"/>
        <v>79.1</v>
      </c>
    </row>
    <row r="99" spans="1:14">
      <c r="A99" s="12" t="str">
        <f>Absolute_Scores!A99</f>
        <v>@kim.official____</v>
      </c>
      <c r="B99" s="12" t="str">
        <f>Absolute_Scores!B99</f>
        <v>Instagram</v>
      </c>
      <c r="C99" s="29">
        <f>Absolute_Scores!D99</f>
        <v>58</v>
      </c>
      <c r="D99" s="30">
        <f t="shared" si="3"/>
        <v>72.5</v>
      </c>
      <c r="F99" s="12" t="str">
        <f>Absolute_Scores!F99</f>
        <v>@nyamwithinopp</v>
      </c>
      <c r="G99" s="12" t="str">
        <f>Absolute_Scores!G99</f>
        <v>Instagram</v>
      </c>
      <c r="H99" s="29">
        <f>Absolute_Scores!I99</f>
        <v>59</v>
      </c>
      <c r="I99" s="30">
        <f t="shared" si="4"/>
        <v>73.75</v>
      </c>
      <c r="K99" s="12" t="str">
        <f>Absolute_Scores!K99</f>
        <v>@kangferrymaryadi</v>
      </c>
      <c r="L99" s="12" t="str">
        <f>Absolute_Scores!L99</f>
        <v>Instagram</v>
      </c>
      <c r="M99" s="29">
        <f>Absolute_Scores!N99</f>
        <v>53</v>
      </c>
      <c r="N99" s="30">
        <f t="shared" si="5"/>
        <v>79.1</v>
      </c>
    </row>
    <row r="100" spans="1:14">
      <c r="A100" s="12" t="str">
        <f>Absolute_Scores!A100</f>
        <v>@kiyokochii_</v>
      </c>
      <c r="B100" s="12" t="str">
        <f>Absolute_Scores!B100</f>
        <v>Instagram</v>
      </c>
      <c r="C100" s="29">
        <f>Absolute_Scores!D100</f>
        <v>58</v>
      </c>
      <c r="D100" s="30">
        <f t="shared" si="3"/>
        <v>72.5</v>
      </c>
      <c r="F100" s="12" t="str">
        <f>Absolute_Scores!F100</f>
        <v>@raffinagita1717</v>
      </c>
      <c r="G100" s="12" t="str">
        <f>Absolute_Scores!G100</f>
        <v>Instagram</v>
      </c>
      <c r="H100" s="29">
        <f>Absolute_Scores!I100</f>
        <v>59</v>
      </c>
      <c r="I100" s="30">
        <f t="shared" si="4"/>
        <v>73.75</v>
      </c>
      <c r="K100" s="12" t="str">
        <f>Absolute_Scores!K100</f>
        <v>@lilisbadriyahh</v>
      </c>
      <c r="L100" s="12" t="str">
        <f>Absolute_Scores!L100</f>
        <v>Instagram</v>
      </c>
      <c r="M100" s="29">
        <f>Absolute_Scores!N100</f>
        <v>53</v>
      </c>
      <c r="N100" s="30">
        <f t="shared" si="5"/>
        <v>79.1</v>
      </c>
    </row>
    <row r="101" spans="1:14">
      <c r="A101" s="12" t="str">
        <f>Absolute_Scores!A101</f>
        <v>@larosesl</v>
      </c>
      <c r="B101" s="12" t="str">
        <f>Absolute_Scores!B101</f>
        <v>Instagram</v>
      </c>
      <c r="C101" s="29">
        <f>Absolute_Scores!D101</f>
        <v>58</v>
      </c>
      <c r="D101" s="30">
        <f t="shared" si="3"/>
        <v>72.5</v>
      </c>
      <c r="F101" s="12" t="str">
        <f>Absolute_Scores!F101</f>
        <v>@sarah_novika</v>
      </c>
      <c r="G101" s="12" t="str">
        <f>Absolute_Scores!G101</f>
        <v>Instagram</v>
      </c>
      <c r="H101" s="29">
        <f>Absolute_Scores!I101</f>
        <v>59</v>
      </c>
      <c r="I101" s="30">
        <f t="shared" si="4"/>
        <v>73.75</v>
      </c>
      <c r="K101" s="12" t="str">
        <f>Absolute_Scores!K101</f>
        <v>@nopeknovian</v>
      </c>
      <c r="L101" s="12" t="str">
        <f>Absolute_Scores!L101</f>
        <v>Instagram</v>
      </c>
      <c r="M101" s="29">
        <f>Absolute_Scores!N101</f>
        <v>53</v>
      </c>
      <c r="N101" s="30">
        <f t="shared" si="5"/>
        <v>79.1</v>
      </c>
    </row>
    <row r="102" spans="1:14">
      <c r="A102" s="12" t="str">
        <f>Absolute_Scores!A102</f>
        <v>@leyareen</v>
      </c>
      <c r="B102" s="12" t="str">
        <f>Absolute_Scores!B102</f>
        <v>Instagram</v>
      </c>
      <c r="C102" s="29">
        <f>Absolute_Scores!D102</f>
        <v>58</v>
      </c>
      <c r="D102" s="30">
        <f t="shared" si="3"/>
        <v>72.5</v>
      </c>
      <c r="F102" s="12" t="str">
        <f>Absolute_Scores!F102</f>
        <v>@akugakgendutloh</v>
      </c>
      <c r="G102" s="12" t="str">
        <f>Absolute_Scores!G102</f>
        <v>TikTok</v>
      </c>
      <c r="H102" s="29">
        <f>Absolute_Scores!I102</f>
        <v>58</v>
      </c>
      <c r="I102" s="30">
        <f t="shared" si="4"/>
        <v>72.5</v>
      </c>
      <c r="K102" s="12" t="str">
        <f>Absolute_Scores!K102</f>
        <v>@panjisuryono7</v>
      </c>
      <c r="L102" s="12" t="str">
        <f>Absolute_Scores!L102</f>
        <v>Instagram</v>
      </c>
      <c r="M102" s="29">
        <f>Absolute_Scores!N102</f>
        <v>53</v>
      </c>
      <c r="N102" s="30">
        <f t="shared" si="5"/>
        <v>79.1</v>
      </c>
    </row>
    <row r="103" spans="1:14">
      <c r="A103" s="12" t="str">
        <f>Absolute_Scores!A103</f>
        <v>@listiadwisetyanti</v>
      </c>
      <c r="B103" s="12" t="str">
        <f>Absolute_Scores!B103</f>
        <v>Instagram</v>
      </c>
      <c r="C103" s="29">
        <f>Absolute_Scores!D103</f>
        <v>58</v>
      </c>
      <c r="D103" s="30">
        <f t="shared" si="3"/>
        <v>72.5</v>
      </c>
      <c r="F103" s="12" t="str">
        <f>Absolute_Scores!F103</f>
        <v>@aleadella</v>
      </c>
      <c r="G103" s="12" t="str">
        <f>Absolute_Scores!G103</f>
        <v>TikTok</v>
      </c>
      <c r="H103" s="29">
        <f>Absolute_Scores!I103</f>
        <v>58</v>
      </c>
      <c r="I103" s="30">
        <f t="shared" si="4"/>
        <v>72.5</v>
      </c>
      <c r="K103" s="12" t="str">
        <f>Absolute_Scores!K103</f>
        <v>@papiabeabeabe</v>
      </c>
      <c r="L103" s="12" t="str">
        <f>Absolute_Scores!L103</f>
        <v>Instagram</v>
      </c>
      <c r="M103" s="29">
        <f>Absolute_Scores!N103</f>
        <v>53</v>
      </c>
      <c r="N103" s="30">
        <f t="shared" si="5"/>
        <v>79.1</v>
      </c>
    </row>
    <row r="104" spans="1:14">
      <c r="A104" s="12" t="str">
        <f>Absolute_Scores!A104</f>
        <v>@lstxndn_</v>
      </c>
      <c r="B104" s="12" t="str">
        <f>Absolute_Scores!B104</f>
        <v>Instagram</v>
      </c>
      <c r="C104" s="29">
        <f>Absolute_Scores!D104</f>
        <v>58</v>
      </c>
      <c r="D104" s="30">
        <f t="shared" si="3"/>
        <v>72.5</v>
      </c>
      <c r="F104" s="12" t="str">
        <f>Absolute_Scores!F104</f>
        <v>@anaayu16</v>
      </c>
      <c r="G104" s="12" t="str">
        <f>Absolute_Scores!G104</f>
        <v>TikTok</v>
      </c>
      <c r="H104" s="29">
        <f>Absolute_Scores!I104</f>
        <v>58</v>
      </c>
      <c r="I104" s="30">
        <f t="shared" si="4"/>
        <v>72.5</v>
      </c>
      <c r="K104" s="12" t="str">
        <f>Absolute_Scores!K104</f>
        <v>@vansa.be</v>
      </c>
      <c r="L104" s="12" t="str">
        <f>Absolute_Scores!L104</f>
        <v>TikTok</v>
      </c>
      <c r="M104" s="29">
        <f>Absolute_Scores!N104</f>
        <v>53</v>
      </c>
      <c r="N104" s="30">
        <f t="shared" si="5"/>
        <v>79.1</v>
      </c>
    </row>
    <row r="105" spans="1:14">
      <c r="A105" s="12" t="str">
        <f>Absolute_Scores!A105</f>
        <v>@maudypermata</v>
      </c>
      <c r="B105" s="12" t="str">
        <f>Absolute_Scores!B105</f>
        <v>Instagram</v>
      </c>
      <c r="C105" s="29">
        <f>Absolute_Scores!D105</f>
        <v>58</v>
      </c>
      <c r="D105" s="30">
        <f t="shared" si="3"/>
        <v>72.5</v>
      </c>
      <c r="F105" s="12" t="str">
        <f>Absolute_Scores!F105</f>
        <v>@auliapsptadewii</v>
      </c>
      <c r="G105" s="12" t="str">
        <f>Absolute_Scores!G105</f>
        <v>Instagram</v>
      </c>
      <c r="H105" s="29">
        <f>Absolute_Scores!I105</f>
        <v>58</v>
      </c>
      <c r="I105" s="30">
        <f t="shared" si="4"/>
        <v>72.5</v>
      </c>
      <c r="K105" s="12" t="str">
        <f>Absolute_Scores!K105</f>
        <v>@adindafala</v>
      </c>
      <c r="L105" s="12" t="str">
        <f>Absolute_Scores!L105</f>
        <v>Instagram</v>
      </c>
      <c r="M105" s="29">
        <f>Absolute_Scores!N105</f>
        <v>52</v>
      </c>
      <c r="N105" s="30">
        <f t="shared" si="5"/>
        <v>77.61</v>
      </c>
    </row>
    <row r="106" spans="1:14">
      <c r="A106" s="12" t="str">
        <f>Absolute_Scores!A106</f>
        <v>@meishellybarbieee</v>
      </c>
      <c r="B106" s="12" t="str">
        <f>Absolute_Scores!B106</f>
        <v>Instagram</v>
      </c>
      <c r="C106" s="29">
        <f>Absolute_Scores!D106</f>
        <v>58</v>
      </c>
      <c r="D106" s="30">
        <f t="shared" si="3"/>
        <v>72.5</v>
      </c>
      <c r="F106" s="12" t="str">
        <f>Absolute_Scores!F106</f>
        <v>@ayu_widyanitha</v>
      </c>
      <c r="G106" s="12" t="str">
        <f>Absolute_Scores!G106</f>
        <v>TikTok</v>
      </c>
      <c r="H106" s="29">
        <f>Absolute_Scores!I106</f>
        <v>58</v>
      </c>
      <c r="I106" s="30">
        <f t="shared" si="4"/>
        <v>72.5</v>
      </c>
      <c r="K106" s="12" t="str">
        <f>Absolute_Scores!K106</f>
        <v>@christianistella</v>
      </c>
      <c r="L106" s="12" t="str">
        <f>Absolute_Scores!L106</f>
        <v>Instagram</v>
      </c>
      <c r="M106" s="29">
        <f>Absolute_Scores!N106</f>
        <v>52</v>
      </c>
      <c r="N106" s="30">
        <f t="shared" si="5"/>
        <v>77.61</v>
      </c>
    </row>
    <row r="107" spans="1:14">
      <c r="A107" s="12" t="str">
        <f>Absolute_Scores!A107</f>
        <v>@melfianaputri</v>
      </c>
      <c r="B107" s="12" t="str">
        <f>Absolute_Scores!B107</f>
        <v>Instagram</v>
      </c>
      <c r="C107" s="29">
        <f>Absolute_Scores!D107</f>
        <v>58</v>
      </c>
      <c r="D107" s="30">
        <f t="shared" si="3"/>
        <v>72.5</v>
      </c>
      <c r="F107" s="12" t="str">
        <f>Absolute_Scores!F107</f>
        <v>@ayub_1993</v>
      </c>
      <c r="G107" s="12" t="str">
        <f>Absolute_Scores!G107</f>
        <v>TikTok</v>
      </c>
      <c r="H107" s="29">
        <f>Absolute_Scores!I107</f>
        <v>58</v>
      </c>
      <c r="I107" s="30">
        <f t="shared" si="4"/>
        <v>72.5</v>
      </c>
      <c r="K107" s="12" t="str">
        <f>Absolute_Scores!K107</f>
        <v>@cindylevinaa</v>
      </c>
      <c r="L107" s="12" t="str">
        <f>Absolute_Scores!L107</f>
        <v>Instagram</v>
      </c>
      <c r="M107" s="29">
        <f>Absolute_Scores!N107</f>
        <v>52</v>
      </c>
      <c r="N107" s="30">
        <f t="shared" si="5"/>
        <v>77.61</v>
      </c>
    </row>
    <row r="108" spans="1:14">
      <c r="A108" s="12" t="str">
        <f>Absolute_Scores!A108</f>
        <v>@merifyu</v>
      </c>
      <c r="B108" s="12" t="str">
        <f>Absolute_Scores!B108</f>
        <v>Instagram</v>
      </c>
      <c r="C108" s="29">
        <f>Absolute_Scores!D108</f>
        <v>58</v>
      </c>
      <c r="D108" s="30">
        <f t="shared" si="3"/>
        <v>72.5</v>
      </c>
      <c r="F108" s="12" t="str">
        <f>Absolute_Scores!F108</f>
        <v>@baksojwr</v>
      </c>
      <c r="G108" s="12" t="str">
        <f>Absolute_Scores!G108</f>
        <v>Instagram</v>
      </c>
      <c r="H108" s="29">
        <f>Absolute_Scores!I108</f>
        <v>58</v>
      </c>
      <c r="I108" s="30">
        <f t="shared" si="4"/>
        <v>72.5</v>
      </c>
      <c r="K108" s="12" t="str">
        <f>Absolute_Scores!K108</f>
        <v>@gelangelicca</v>
      </c>
      <c r="L108" s="12" t="str">
        <f>Absolute_Scores!L108</f>
        <v>Instagram</v>
      </c>
      <c r="M108" s="29">
        <f>Absolute_Scores!N108</f>
        <v>52</v>
      </c>
      <c r="N108" s="30">
        <f t="shared" si="5"/>
        <v>77.61</v>
      </c>
    </row>
    <row r="109" spans="1:14">
      <c r="A109" s="12" t="str">
        <f>Absolute_Scores!A109</f>
        <v>@michikochan_88</v>
      </c>
      <c r="B109" s="12" t="str">
        <f>Absolute_Scores!B109</f>
        <v>Instagram</v>
      </c>
      <c r="C109" s="29">
        <f>Absolute_Scores!D109</f>
        <v>58</v>
      </c>
      <c r="D109" s="30">
        <f t="shared" si="3"/>
        <v>72.5</v>
      </c>
      <c r="F109" s="12" t="str">
        <f>Absolute_Scores!F109</f>
        <v>@baksojwrofficial</v>
      </c>
      <c r="G109" s="12" t="str">
        <f>Absolute_Scores!G109</f>
        <v>TikTok</v>
      </c>
      <c r="H109" s="29">
        <f>Absolute_Scores!I109</f>
        <v>58</v>
      </c>
      <c r="I109" s="30">
        <f t="shared" si="4"/>
        <v>72.5</v>
      </c>
      <c r="K109" s="12" t="str">
        <f>Absolute_Scores!K109</f>
        <v>@liana_tan</v>
      </c>
      <c r="L109" s="12" t="str">
        <f>Absolute_Scores!L109</f>
        <v>Instagram</v>
      </c>
      <c r="M109" s="29">
        <f>Absolute_Scores!N109</f>
        <v>52</v>
      </c>
      <c r="N109" s="30">
        <f t="shared" si="5"/>
        <v>77.61</v>
      </c>
    </row>
    <row r="110" spans="1:14">
      <c r="A110" s="12" t="str">
        <f>Absolute_Scores!A110</f>
        <v>@nadya.sari</v>
      </c>
      <c r="B110" s="12" t="str">
        <f>Absolute_Scores!B110</f>
        <v>Instagram</v>
      </c>
      <c r="C110" s="29">
        <f>Absolute_Scores!D110</f>
        <v>58</v>
      </c>
      <c r="D110" s="30">
        <f t="shared" si="3"/>
        <v>72.5</v>
      </c>
      <c r="F110" s="12" t="str">
        <f>Absolute_Scores!F110</f>
        <v>@bali.spot</v>
      </c>
      <c r="G110" s="12" t="str">
        <f>Absolute_Scores!G110</f>
        <v>TikTok</v>
      </c>
      <c r="H110" s="29">
        <f>Absolute_Scores!I110</f>
        <v>58</v>
      </c>
      <c r="I110" s="30">
        <f t="shared" si="4"/>
        <v>72.5</v>
      </c>
      <c r="K110" s="12" t="str">
        <f>Absolute_Scores!K110</f>
        <v>@mr.filipuss</v>
      </c>
      <c r="L110" s="12" t="str">
        <f>Absolute_Scores!L110</f>
        <v>Instagram</v>
      </c>
      <c r="M110" s="29">
        <f>Absolute_Scores!N110</f>
        <v>52</v>
      </c>
      <c r="N110" s="30">
        <f t="shared" si="5"/>
        <v>77.61</v>
      </c>
    </row>
    <row r="111" spans="1:14">
      <c r="A111" s="12" t="str">
        <f>Absolute_Scores!A111</f>
        <v>@nadysha.alana</v>
      </c>
      <c r="B111" s="12" t="str">
        <f>Absolute_Scores!B111</f>
        <v>Instagram</v>
      </c>
      <c r="C111" s="29">
        <f>Absolute_Scores!D111</f>
        <v>58</v>
      </c>
      <c r="D111" s="30">
        <f t="shared" si="3"/>
        <v>72.5</v>
      </c>
      <c r="F111" s="12" t="str">
        <f>Absolute_Scores!F111</f>
        <v>@bbbbmo</v>
      </c>
      <c r="G111" s="12" t="str">
        <f>Absolute_Scores!G111</f>
        <v>TikTok</v>
      </c>
      <c r="H111" s="29">
        <f>Absolute_Scores!I111</f>
        <v>58</v>
      </c>
      <c r="I111" s="30">
        <f t="shared" si="4"/>
        <v>72.5</v>
      </c>
      <c r="K111" s="12" t="str">
        <f>Absolute_Scores!K111</f>
        <v>@viankacalista</v>
      </c>
      <c r="L111" s="12" t="str">
        <f>Absolute_Scores!L111</f>
        <v>Instagram</v>
      </c>
      <c r="M111" s="29">
        <f>Absolute_Scores!N111</f>
        <v>52</v>
      </c>
      <c r="N111" s="30">
        <f t="shared" si="5"/>
        <v>77.61</v>
      </c>
    </row>
    <row r="112" spans="1:14">
      <c r="A112" s="12" t="str">
        <f>Absolute_Scores!A112</f>
        <v>@neko_oneesan</v>
      </c>
      <c r="B112" s="12" t="str">
        <f>Absolute_Scores!B112</f>
        <v>Instagram</v>
      </c>
      <c r="C112" s="29">
        <f>Absolute_Scores!D112</f>
        <v>58</v>
      </c>
      <c r="D112" s="30">
        <f t="shared" si="3"/>
        <v>72.5</v>
      </c>
      <c r="F112" s="12" t="str">
        <f>Absolute_Scores!F112</f>
        <v>@bellyculinaryid</v>
      </c>
      <c r="G112" s="12" t="str">
        <f>Absolute_Scores!G112</f>
        <v>TikTok</v>
      </c>
      <c r="H112" s="29">
        <f>Absolute_Scores!I112</f>
        <v>58</v>
      </c>
      <c r="I112" s="30">
        <f t="shared" si="4"/>
        <v>72.5</v>
      </c>
      <c r="K112" s="12" t="str">
        <f>Absolute_Scores!K112</f>
        <v>@aira_mishel_aurellia</v>
      </c>
      <c r="L112" s="12" t="str">
        <f>Absolute_Scores!L112</f>
        <v>Instagram</v>
      </c>
      <c r="M112" s="29">
        <f>Absolute_Scores!N112</f>
        <v>51</v>
      </c>
      <c r="N112" s="30">
        <f t="shared" si="5"/>
        <v>76.12</v>
      </c>
    </row>
    <row r="113" spans="1:14">
      <c r="A113" s="12" t="str">
        <f>Absolute_Scores!A113</f>
        <v>@onestyanes</v>
      </c>
      <c r="B113" s="12" t="str">
        <f>Absolute_Scores!B113</f>
        <v>Instagram</v>
      </c>
      <c r="C113" s="29">
        <f>Absolute_Scores!D113</f>
        <v>58</v>
      </c>
      <c r="D113" s="30">
        <f t="shared" si="3"/>
        <v>72.5</v>
      </c>
      <c r="F113" s="12" t="str">
        <f>Absolute_Scores!F113</f>
        <v>@besokkemanaril</v>
      </c>
      <c r="G113" s="12" t="str">
        <f>Absolute_Scores!G113</f>
        <v>TikTok</v>
      </c>
      <c r="H113" s="29">
        <f>Absolute_Scores!I113</f>
        <v>58</v>
      </c>
      <c r="I113" s="30">
        <f t="shared" si="4"/>
        <v>72.5</v>
      </c>
      <c r="K113" s="12" t="str">
        <f>Absolute_Scores!K113</f>
        <v>@almirantifira</v>
      </c>
      <c r="L113" s="12" t="str">
        <f>Absolute_Scores!L113</f>
        <v>Instagram</v>
      </c>
      <c r="M113" s="29">
        <f>Absolute_Scores!N113</f>
        <v>51</v>
      </c>
      <c r="N113" s="30">
        <f t="shared" si="5"/>
        <v>76.12</v>
      </c>
    </row>
    <row r="114" spans="1:14">
      <c r="A114" s="12" t="str">
        <f>Absolute_Scores!A114</f>
        <v>@paci20_</v>
      </c>
      <c r="B114" s="12" t="str">
        <f>Absolute_Scores!B114</f>
        <v>Instagram</v>
      </c>
      <c r="C114" s="29">
        <f>Absolute_Scores!D114</f>
        <v>58</v>
      </c>
      <c r="D114" s="30">
        <f t="shared" si="3"/>
        <v>72.5</v>
      </c>
      <c r="F114" s="12" t="str">
        <f>Absolute_Scores!F114</f>
        <v>@bilameal</v>
      </c>
      <c r="G114" s="12" t="str">
        <f>Absolute_Scores!G114</f>
        <v>TikTok</v>
      </c>
      <c r="H114" s="29">
        <f>Absolute_Scores!I114</f>
        <v>58</v>
      </c>
      <c r="I114" s="30">
        <f t="shared" si="4"/>
        <v>72.5</v>
      </c>
      <c r="K114" s="12" t="str">
        <f>Absolute_Scores!K114</f>
        <v>@bangsaonline</v>
      </c>
      <c r="L114" s="12" t="str">
        <f>Absolute_Scores!L114</f>
        <v>TikTok</v>
      </c>
      <c r="M114" s="29">
        <f>Absolute_Scores!N114</f>
        <v>51</v>
      </c>
      <c r="N114" s="30">
        <f t="shared" si="5"/>
        <v>76.12</v>
      </c>
    </row>
    <row r="115" spans="1:14">
      <c r="A115" s="12" t="str">
        <f>Absolute_Scores!A115</f>
        <v>@penipitriani</v>
      </c>
      <c r="B115" s="12" t="str">
        <f>Absolute_Scores!B115</f>
        <v>Instagram</v>
      </c>
      <c r="C115" s="29">
        <f>Absolute_Scores!D115</f>
        <v>58</v>
      </c>
      <c r="D115" s="30">
        <f t="shared" si="3"/>
        <v>72.5</v>
      </c>
      <c r="F115" s="12" t="str">
        <f>Absolute_Scores!F115</f>
        <v>@christatita</v>
      </c>
      <c r="G115" s="12" t="str">
        <f>Absolute_Scores!G115</f>
        <v>TikTok</v>
      </c>
      <c r="H115" s="29">
        <f>Absolute_Scores!I115</f>
        <v>58</v>
      </c>
      <c r="I115" s="30">
        <f t="shared" si="4"/>
        <v>72.5</v>
      </c>
      <c r="K115" s="12" t="str">
        <f>Absolute_Scores!K115</f>
        <v>@cristiano</v>
      </c>
      <c r="L115" s="12" t="str">
        <f>Absolute_Scores!L115</f>
        <v>Instagram</v>
      </c>
      <c r="M115" s="29">
        <f>Absolute_Scores!N115</f>
        <v>51</v>
      </c>
      <c r="N115" s="30">
        <f t="shared" si="5"/>
        <v>76.12</v>
      </c>
    </row>
    <row r="116" spans="1:14">
      <c r="A116" s="12" t="str">
        <f>Absolute_Scores!A116</f>
        <v>@pitipitss</v>
      </c>
      <c r="B116" s="12" t="str">
        <f>Absolute_Scores!B116</f>
        <v>Instagram</v>
      </c>
      <c r="C116" s="29">
        <f>Absolute_Scores!D116</f>
        <v>58</v>
      </c>
      <c r="D116" s="30">
        <f t="shared" si="3"/>
        <v>72.5</v>
      </c>
      <c r="F116" s="12" t="str">
        <f>Absolute_Scores!F116</f>
        <v>@creativejr</v>
      </c>
      <c r="G116" s="12" t="str">
        <f>Absolute_Scores!G116</f>
        <v>TikTok</v>
      </c>
      <c r="H116" s="29">
        <f>Absolute_Scores!I116</f>
        <v>58</v>
      </c>
      <c r="I116" s="30">
        <f t="shared" si="4"/>
        <v>72.5</v>
      </c>
      <c r="K116" s="12" t="str">
        <f>Absolute_Scores!K116</f>
        <v>@debisagita</v>
      </c>
      <c r="L116" s="12" t="str">
        <f>Absolute_Scores!L116</f>
        <v>Instagram</v>
      </c>
      <c r="M116" s="29">
        <f>Absolute_Scores!N116</f>
        <v>51</v>
      </c>
      <c r="N116" s="30">
        <f t="shared" si="5"/>
        <v>76.12</v>
      </c>
    </row>
    <row r="117" spans="1:14">
      <c r="A117" s="12" t="str">
        <f>Absolute_Scores!A117</f>
        <v>@princessrhie</v>
      </c>
      <c r="B117" s="12" t="str">
        <f>Absolute_Scores!B117</f>
        <v>Instagram</v>
      </c>
      <c r="C117" s="29">
        <f>Absolute_Scores!D117</f>
        <v>58</v>
      </c>
      <c r="D117" s="30">
        <f t="shared" si="3"/>
        <v>72.5</v>
      </c>
      <c r="F117" s="12" t="str">
        <f>Absolute_Scores!F117</f>
        <v>@dairyqueenid</v>
      </c>
      <c r="G117" s="12" t="str">
        <f>Absolute_Scores!G117</f>
        <v>Instagram</v>
      </c>
      <c r="H117" s="29">
        <f>Absolute_Scores!I117</f>
        <v>58</v>
      </c>
      <c r="I117" s="30">
        <f t="shared" si="4"/>
        <v>72.5</v>
      </c>
      <c r="K117" s="12" t="str">
        <f>Absolute_Scores!K117</f>
        <v>@dimasramadhan</v>
      </c>
      <c r="L117" s="12" t="str">
        <f>Absolute_Scores!L117</f>
        <v>Instagram</v>
      </c>
      <c r="M117" s="29">
        <f>Absolute_Scores!N117</f>
        <v>51</v>
      </c>
      <c r="N117" s="30">
        <f t="shared" si="5"/>
        <v>76.12</v>
      </c>
    </row>
    <row r="118" spans="1:14">
      <c r="A118" s="12" t="str">
        <f>Absolute_Scores!A118</f>
        <v>@prodica_saricaa</v>
      </c>
      <c r="B118" s="12" t="str">
        <f>Absolute_Scores!B118</f>
        <v>Instagram</v>
      </c>
      <c r="C118" s="29">
        <f>Absolute_Scores!D118</f>
        <v>58</v>
      </c>
      <c r="D118" s="30">
        <f t="shared" si="3"/>
        <v>72.5</v>
      </c>
      <c r="F118" s="12" t="str">
        <f>Absolute_Scores!F118</f>
        <v>@deliciousbalii</v>
      </c>
      <c r="G118" s="12" t="str">
        <f>Absolute_Scores!G118</f>
        <v>TikTok</v>
      </c>
      <c r="H118" s="29">
        <f>Absolute_Scores!I118</f>
        <v>58</v>
      </c>
      <c r="I118" s="30">
        <f t="shared" si="4"/>
        <v>72.5</v>
      </c>
      <c r="K118" s="12" t="str">
        <f>Absolute_Scores!K118</f>
        <v>@fadiljaidi</v>
      </c>
      <c r="L118" s="12" t="str">
        <f>Absolute_Scores!L118</f>
        <v>Instagram</v>
      </c>
      <c r="M118" s="29">
        <f>Absolute_Scores!N118</f>
        <v>51</v>
      </c>
      <c r="N118" s="30">
        <f t="shared" si="5"/>
        <v>76.12</v>
      </c>
    </row>
    <row r="119" spans="1:14">
      <c r="A119" s="12" t="str">
        <f>Absolute_Scores!A119</f>
        <v>@putripratiwi.f</v>
      </c>
      <c r="B119" s="12" t="str">
        <f>Absolute_Scores!B119</f>
        <v>Instagram</v>
      </c>
      <c r="C119" s="29">
        <f>Absolute_Scores!D119</f>
        <v>58</v>
      </c>
      <c r="D119" s="30">
        <f t="shared" si="3"/>
        <v>72.5</v>
      </c>
      <c r="F119" s="12" t="str">
        <f>Absolute_Scores!F119</f>
        <v>@dhifa.mci11</v>
      </c>
      <c r="G119" s="12" t="str">
        <f>Absolute_Scores!G119</f>
        <v>Instagram</v>
      </c>
      <c r="H119" s="29">
        <f>Absolute_Scores!I119</f>
        <v>58</v>
      </c>
      <c r="I119" s="30">
        <f t="shared" si="4"/>
        <v>72.5</v>
      </c>
      <c r="K119" s="12" t="str">
        <f>Absolute_Scores!K119</f>
        <v>@fradila_anggita</v>
      </c>
      <c r="L119" s="12" t="str">
        <f>Absolute_Scores!L119</f>
        <v>Instagram</v>
      </c>
      <c r="M119" s="29">
        <f>Absolute_Scores!N119</f>
        <v>51</v>
      </c>
      <c r="N119" s="30">
        <f t="shared" si="5"/>
        <v>76.12</v>
      </c>
    </row>
    <row r="120" spans="1:14">
      <c r="A120" s="12" t="str">
        <f>Absolute_Scores!A120</f>
        <v>@riii_nz</v>
      </c>
      <c r="B120" s="12" t="str">
        <f>Absolute_Scores!B120</f>
        <v>Instagram</v>
      </c>
      <c r="C120" s="29">
        <f>Absolute_Scores!D120</f>
        <v>58</v>
      </c>
      <c r="D120" s="30">
        <f t="shared" si="3"/>
        <v>72.5</v>
      </c>
      <c r="F120" s="12" t="str">
        <f>Absolute_Scores!F120</f>
        <v>@diaryalfiiiii</v>
      </c>
      <c r="G120" s="12" t="str">
        <f>Absolute_Scores!G120</f>
        <v>TikTok</v>
      </c>
      <c r="H120" s="29">
        <f>Absolute_Scores!I120</f>
        <v>58</v>
      </c>
      <c r="I120" s="30">
        <f t="shared" si="4"/>
        <v>72.5</v>
      </c>
      <c r="K120" s="12" t="str">
        <f>Absolute_Scores!K120</f>
        <v>@gabriellaekaputri</v>
      </c>
      <c r="L120" s="12" t="str">
        <f>Absolute_Scores!L120</f>
        <v>Instagram</v>
      </c>
      <c r="M120" s="29">
        <f>Absolute_Scores!N120</f>
        <v>51</v>
      </c>
      <c r="N120" s="30">
        <f t="shared" si="5"/>
        <v>76.12</v>
      </c>
    </row>
    <row r="121" spans="1:14">
      <c r="A121" s="12" t="str">
        <f>Absolute_Scores!A121</f>
        <v>@salshaam</v>
      </c>
      <c r="B121" s="12" t="str">
        <f>Absolute_Scores!B121</f>
        <v>Instagram</v>
      </c>
      <c r="C121" s="29">
        <f>Absolute_Scores!D121</f>
        <v>58</v>
      </c>
      <c r="D121" s="30">
        <f t="shared" si="3"/>
        <v>72.5</v>
      </c>
      <c r="F121" s="12" t="str">
        <f>Absolute_Scores!F121</f>
        <v>@diexplorein</v>
      </c>
      <c r="G121" s="12" t="str">
        <f>Absolute_Scores!G121</f>
        <v>TikTok</v>
      </c>
      <c r="H121" s="29">
        <f>Absolute_Scores!I121</f>
        <v>58</v>
      </c>
      <c r="I121" s="30">
        <f t="shared" si="4"/>
        <v>72.5</v>
      </c>
      <c r="K121" s="12" t="str">
        <f>Absolute_Scores!K121</f>
        <v>@ibnuwardani</v>
      </c>
      <c r="L121" s="12" t="str">
        <f>Absolute_Scores!L121</f>
        <v>TikTok</v>
      </c>
      <c r="M121" s="29">
        <f>Absolute_Scores!N121</f>
        <v>51</v>
      </c>
      <c r="N121" s="30">
        <f t="shared" si="5"/>
        <v>76.12</v>
      </c>
    </row>
    <row r="122" spans="1:14">
      <c r="A122" s="12" t="str">
        <f>Absolute_Scores!A122</f>
        <v>@shafanrq</v>
      </c>
      <c r="B122" s="12" t="str">
        <f>Absolute_Scores!B122</f>
        <v>Instagram</v>
      </c>
      <c r="C122" s="29">
        <f>Absolute_Scores!D122</f>
        <v>58</v>
      </c>
      <c r="D122" s="30">
        <f t="shared" si="3"/>
        <v>72.5</v>
      </c>
      <c r="F122" s="12" t="str">
        <f>Absolute_Scores!F122</f>
        <v>@dimin105</v>
      </c>
      <c r="G122" s="12" t="str">
        <f>Absolute_Scores!G122</f>
        <v>TikTok</v>
      </c>
      <c r="H122" s="29">
        <f>Absolute_Scores!I122</f>
        <v>58</v>
      </c>
      <c r="I122" s="30">
        <f t="shared" si="4"/>
        <v>72.5</v>
      </c>
      <c r="K122" s="12" t="str">
        <f>Absolute_Scores!K122</f>
        <v>@lambe_turah</v>
      </c>
      <c r="L122" s="12" t="str">
        <f>Absolute_Scores!L122</f>
        <v>Instagram</v>
      </c>
      <c r="M122" s="29">
        <f>Absolute_Scores!N122</f>
        <v>51</v>
      </c>
      <c r="N122" s="30">
        <f t="shared" si="5"/>
        <v>76.12</v>
      </c>
    </row>
    <row r="123" spans="1:14">
      <c r="A123" s="12" t="str">
        <f>Absolute_Scores!A123</f>
        <v>@shandyzahrass</v>
      </c>
      <c r="B123" s="12" t="str">
        <f>Absolute_Scores!B123</f>
        <v>Instagram</v>
      </c>
      <c r="C123" s="29">
        <f>Absolute_Scores!D123</f>
        <v>58</v>
      </c>
      <c r="D123" s="30">
        <f t="shared" si="3"/>
        <v>72.5</v>
      </c>
      <c r="F123" s="12" t="str">
        <f>Absolute_Scores!F123</f>
        <v>@ditanganu</v>
      </c>
      <c r="G123" s="12" t="str">
        <f>Absolute_Scores!G123</f>
        <v>TikTok</v>
      </c>
      <c r="H123" s="29">
        <f>Absolute_Scores!I123</f>
        <v>58</v>
      </c>
      <c r="I123" s="30">
        <f t="shared" si="4"/>
        <v>72.5</v>
      </c>
      <c r="K123" s="12" t="str">
        <f>Absolute_Scores!K123</f>
        <v>@titantyra</v>
      </c>
      <c r="L123" s="12" t="str">
        <f>Absolute_Scores!L123</f>
        <v>Instagram</v>
      </c>
      <c r="M123" s="29">
        <f>Absolute_Scores!N123</f>
        <v>51</v>
      </c>
      <c r="N123" s="30">
        <f t="shared" si="5"/>
        <v>76.12</v>
      </c>
    </row>
    <row r="124" spans="1:14">
      <c r="A124" s="12" t="str">
        <f>Absolute_Scores!A124</f>
        <v>@shannahssn</v>
      </c>
      <c r="B124" s="12" t="str">
        <f>Absolute_Scores!B124</f>
        <v>Instagram</v>
      </c>
      <c r="C124" s="29">
        <f>Absolute_Scores!D124</f>
        <v>58</v>
      </c>
      <c r="D124" s="30">
        <f t="shared" si="3"/>
        <v>72.5</v>
      </c>
      <c r="F124" s="12" t="str">
        <f>Absolute_Scores!F124</f>
        <v>@eldenxnisyaa</v>
      </c>
      <c r="G124" s="12" t="str">
        <f>Absolute_Scores!G124</f>
        <v>TikTok</v>
      </c>
      <c r="H124" s="29">
        <f>Absolute_Scores!I124</f>
        <v>58</v>
      </c>
      <c r="I124" s="30">
        <f t="shared" si="4"/>
        <v>72.5</v>
      </c>
      <c r="K124" s="12" t="str">
        <f>Absolute_Scores!K124</f>
        <v>@ussfeeds</v>
      </c>
      <c r="L124" s="12" t="str">
        <f>Absolute_Scores!L124</f>
        <v>Instagram</v>
      </c>
      <c r="M124" s="29">
        <f>Absolute_Scores!N124</f>
        <v>51</v>
      </c>
      <c r="N124" s="30">
        <f t="shared" si="5"/>
        <v>76.12</v>
      </c>
    </row>
    <row r="125" spans="1:14">
      <c r="A125" s="12" t="str">
        <f>Absolute_Scores!A125</f>
        <v>@silvinw</v>
      </c>
      <c r="B125" s="12" t="str">
        <f>Absolute_Scores!B125</f>
        <v>Instagram</v>
      </c>
      <c r="C125" s="29">
        <f>Absolute_Scores!D125</f>
        <v>58</v>
      </c>
      <c r="D125" s="30">
        <f t="shared" si="3"/>
        <v>72.5</v>
      </c>
      <c r="F125" s="12" t="str">
        <f>Absolute_Scores!F125</f>
        <v>@evelynpricilia</v>
      </c>
      <c r="G125" s="12" t="str">
        <f>Absolute_Scores!G125</f>
        <v>TikTok</v>
      </c>
      <c r="H125" s="29">
        <f>Absolute_Scores!I125</f>
        <v>58</v>
      </c>
      <c r="I125" s="30">
        <f t="shared" si="4"/>
        <v>72.5</v>
      </c>
      <c r="K125" s="12" t="str">
        <f>Absolute_Scores!K125</f>
        <v>@yusufhendratnoo</v>
      </c>
      <c r="L125" s="12" t="str">
        <f>Absolute_Scores!L125</f>
        <v>Instagram</v>
      </c>
      <c r="M125" s="29">
        <f>Absolute_Scores!N125</f>
        <v>51</v>
      </c>
      <c r="N125" s="30">
        <f t="shared" si="5"/>
        <v>76.12</v>
      </c>
    </row>
    <row r="126" spans="1:14">
      <c r="A126" s="12" t="str">
        <f>Absolute_Scores!A126</f>
        <v>@sofieaorcasitas</v>
      </c>
      <c r="B126" s="12" t="str">
        <f>Absolute_Scores!B126</f>
        <v>Instagram</v>
      </c>
      <c r="C126" s="29">
        <f>Absolute_Scores!D126</f>
        <v>58</v>
      </c>
      <c r="D126" s="30">
        <f t="shared" si="3"/>
        <v>72.5</v>
      </c>
      <c r="F126" s="12" t="str">
        <f>Absolute_Scores!F126</f>
        <v>@fakhriroon</v>
      </c>
      <c r="G126" s="12" t="str">
        <f>Absolute_Scores!G126</f>
        <v>TikTok</v>
      </c>
      <c r="H126" s="29">
        <f>Absolute_Scores!I126</f>
        <v>58</v>
      </c>
      <c r="I126" s="30">
        <f t="shared" si="4"/>
        <v>72.5</v>
      </c>
      <c r="K126" s="12" t="str">
        <f>Absolute_Scores!K126</f>
        <v>@arifahsari</v>
      </c>
      <c r="L126" s="12" t="str">
        <f>Absolute_Scores!L126</f>
        <v>Instagram</v>
      </c>
      <c r="M126" s="29">
        <f>Absolute_Scores!N126</f>
        <v>50</v>
      </c>
      <c r="N126" s="30">
        <f t="shared" si="5"/>
        <v>74.63</v>
      </c>
    </row>
    <row r="127" spans="1:14">
      <c r="A127" s="12" t="str">
        <f>Absolute_Scores!A127</f>
        <v>@stftmh__</v>
      </c>
      <c r="B127" s="12" t="str">
        <f>Absolute_Scores!B127</f>
        <v>Instagram</v>
      </c>
      <c r="C127" s="29">
        <f>Absolute_Scores!D127</f>
        <v>58</v>
      </c>
      <c r="D127" s="30">
        <f t="shared" si="3"/>
        <v>72.5</v>
      </c>
      <c r="F127" s="12" t="str">
        <f>Absolute_Scores!F127</f>
        <v>@fradila_anggita</v>
      </c>
      <c r="G127" s="12" t="str">
        <f>Absolute_Scores!G127</f>
        <v>Instagram</v>
      </c>
      <c r="H127" s="29">
        <f>Absolute_Scores!I127</f>
        <v>58</v>
      </c>
      <c r="I127" s="30">
        <f t="shared" si="4"/>
        <v>72.5</v>
      </c>
      <c r="K127" s="12" t="str">
        <f>Absolute_Scores!K127</f>
        <v>@beritainspira_</v>
      </c>
      <c r="L127" s="12" t="str">
        <f>Absolute_Scores!L127</f>
        <v>TikTok</v>
      </c>
      <c r="M127" s="29">
        <f>Absolute_Scores!N127</f>
        <v>50</v>
      </c>
      <c r="N127" s="30">
        <f t="shared" si="5"/>
        <v>74.63</v>
      </c>
    </row>
    <row r="128" spans="1:14">
      <c r="A128" s="12" t="str">
        <f>Absolute_Scores!A128</f>
        <v>@tamariscl</v>
      </c>
      <c r="B128" s="12" t="str">
        <f>Absolute_Scores!B128</f>
        <v>Instagram</v>
      </c>
      <c r="C128" s="29">
        <f>Absolute_Scores!D128</f>
        <v>58</v>
      </c>
      <c r="D128" s="30">
        <f t="shared" si="3"/>
        <v>72.5</v>
      </c>
      <c r="F128" s="12" t="str">
        <f>Absolute_Scores!F128</f>
        <v>@gabriellaekaputri</v>
      </c>
      <c r="G128" s="12" t="str">
        <f>Absolute_Scores!G128</f>
        <v>Instagram</v>
      </c>
      <c r="H128" s="29">
        <f>Absolute_Scores!I128</f>
        <v>58</v>
      </c>
      <c r="I128" s="30">
        <f t="shared" si="4"/>
        <v>72.5</v>
      </c>
      <c r="K128" s="12" t="str">
        <f>Absolute_Scores!K128</f>
        <v>@cretivox</v>
      </c>
      <c r="L128" s="12" t="str">
        <f>Absolute_Scores!L128</f>
        <v>Instagram</v>
      </c>
      <c r="M128" s="29">
        <f>Absolute_Scores!N128</f>
        <v>50</v>
      </c>
      <c r="N128" s="30">
        <f t="shared" si="5"/>
        <v>74.63</v>
      </c>
    </row>
    <row r="129" spans="1:14">
      <c r="A129" s="12" t="str">
        <f>Absolute_Scores!A129</f>
        <v>@taniadrwis</v>
      </c>
      <c r="B129" s="12" t="str">
        <f>Absolute_Scores!B129</f>
        <v>Instagram</v>
      </c>
      <c r="C129" s="29">
        <f>Absolute_Scores!D129</f>
        <v>58</v>
      </c>
      <c r="D129" s="30">
        <f t="shared" si="3"/>
        <v>72.5</v>
      </c>
      <c r="F129" s="12" t="str">
        <f>Absolute_Scores!F129</f>
        <v>@halonisyaa</v>
      </c>
      <c r="G129" s="12" t="str">
        <f>Absolute_Scores!G129</f>
        <v>Instagram</v>
      </c>
      <c r="H129" s="29">
        <f>Absolute_Scores!I129</f>
        <v>58</v>
      </c>
      <c r="I129" s="30">
        <f t="shared" si="4"/>
        <v>72.5</v>
      </c>
      <c r="K129" s="12" t="str">
        <f>Absolute_Scores!K129</f>
        <v>@iben_ma</v>
      </c>
      <c r="L129" s="12" t="str">
        <f>Absolute_Scores!L129</f>
        <v>TikTok</v>
      </c>
      <c r="M129" s="29">
        <f>Absolute_Scores!N129</f>
        <v>50</v>
      </c>
      <c r="N129" s="30">
        <f t="shared" si="5"/>
        <v>74.63</v>
      </c>
    </row>
    <row r="130" spans="1:14">
      <c r="A130" s="12" t="str">
        <f>Absolute_Scores!A130</f>
        <v>@taraanzh</v>
      </c>
      <c r="B130" s="12" t="str">
        <f>Absolute_Scores!B130</f>
        <v>Instagram</v>
      </c>
      <c r="C130" s="29">
        <f>Absolute_Scores!D130</f>
        <v>58</v>
      </c>
      <c r="D130" s="30">
        <f t="shared" si="3"/>
        <v>72.5</v>
      </c>
      <c r="F130" s="12" t="str">
        <f>Absolute_Scores!F130</f>
        <v>@hesfinatia</v>
      </c>
      <c r="G130" s="12" t="str">
        <f>Absolute_Scores!G130</f>
        <v>TikTok</v>
      </c>
      <c r="H130" s="29">
        <f>Absolute_Scores!I130</f>
        <v>58</v>
      </c>
      <c r="I130" s="30">
        <f t="shared" si="4"/>
        <v>72.5</v>
      </c>
      <c r="K130" s="12" t="str">
        <f>Absolute_Scores!K130</f>
        <v>@jeremiahlakhwani</v>
      </c>
      <c r="L130" s="12" t="str">
        <f>Absolute_Scores!L130</f>
        <v>Instagram</v>
      </c>
      <c r="M130" s="29">
        <f>Absolute_Scores!N130</f>
        <v>50</v>
      </c>
      <c r="N130" s="30">
        <f t="shared" si="5"/>
        <v>74.63</v>
      </c>
    </row>
    <row r="131" spans="1:14">
      <c r="A131" s="12" t="str">
        <f>Absolute_Scores!A131</f>
        <v>@valenciatacco</v>
      </c>
      <c r="B131" s="12" t="str">
        <f>Absolute_Scores!B131</f>
        <v>Instagram</v>
      </c>
      <c r="C131" s="29">
        <f>Absolute_Scores!D131</f>
        <v>58</v>
      </c>
      <c r="D131" s="30">
        <f t="shared" si="3"/>
        <v>72.5</v>
      </c>
      <c r="F131" s="12" t="str">
        <f>Absolute_Scores!F131</f>
        <v>@iqbalzain2002</v>
      </c>
      <c r="G131" s="12" t="str">
        <f>Absolute_Scores!G131</f>
        <v>TikTok</v>
      </c>
      <c r="H131" s="29">
        <f>Absolute_Scores!I131</f>
        <v>58</v>
      </c>
      <c r="I131" s="30">
        <f t="shared" si="4"/>
        <v>72.5</v>
      </c>
      <c r="K131" s="12" t="str">
        <f>Absolute_Scores!K131</f>
        <v>@noiscasonya</v>
      </c>
      <c r="L131" s="12" t="str">
        <f>Absolute_Scores!L131</f>
        <v>Instagram</v>
      </c>
      <c r="M131" s="29">
        <f>Absolute_Scores!N131</f>
        <v>50</v>
      </c>
      <c r="N131" s="30">
        <f t="shared" si="5"/>
        <v>74.63</v>
      </c>
    </row>
    <row r="132" spans="1:14">
      <c r="A132" s="12" t="str">
        <f>Absolute_Scores!A132</f>
        <v>@vitrinadhiroh</v>
      </c>
      <c r="B132" s="12" t="str">
        <f>Absolute_Scores!B132</f>
        <v>Instagram</v>
      </c>
      <c r="C132" s="29">
        <f>Absolute_Scores!D132</f>
        <v>58</v>
      </c>
      <c r="D132" s="30">
        <f t="shared" si="3"/>
        <v>72.5</v>
      </c>
      <c r="F132" s="12" t="str">
        <f>Absolute_Scores!F132</f>
        <v>@itsorcaputris</v>
      </c>
      <c r="G132" s="12" t="str">
        <f>Absolute_Scores!G132</f>
        <v>TikTok</v>
      </c>
      <c r="H132" s="29">
        <f>Absolute_Scores!I132</f>
        <v>58</v>
      </c>
      <c r="I132" s="30">
        <f t="shared" si="4"/>
        <v>72.5</v>
      </c>
      <c r="K132" s="12" t="str">
        <f>Absolute_Scores!K132</f>
        <v>@realityclub</v>
      </c>
      <c r="L132" s="12" t="str">
        <f>Absolute_Scores!L132</f>
        <v>Instagram</v>
      </c>
      <c r="M132" s="29">
        <f>Absolute_Scores!N132</f>
        <v>50</v>
      </c>
      <c r="N132" s="30">
        <f t="shared" si="5"/>
        <v>74.63</v>
      </c>
    </row>
    <row r="133" spans="1:14">
      <c r="A133" s="12" t="str">
        <f>Absolute_Scores!A133</f>
        <v>@vivimayapariskaa</v>
      </c>
      <c r="B133" s="12" t="str">
        <f>Absolute_Scores!B133</f>
        <v>Instagram</v>
      </c>
      <c r="C133" s="29">
        <f>Absolute_Scores!D133</f>
        <v>58</v>
      </c>
      <c r="D133" s="30">
        <f t="shared" si="3"/>
        <v>72.5</v>
      </c>
      <c r="F133" s="12" t="str">
        <f>Absolute_Scores!F133</f>
        <v>@jalanbarengdarla</v>
      </c>
      <c r="G133" s="12" t="str">
        <f>Absolute_Scores!G133</f>
        <v>TikTok</v>
      </c>
      <c r="H133" s="29">
        <f>Absolute_Scores!I133</f>
        <v>58</v>
      </c>
      <c r="I133" s="30">
        <f t="shared" si="4"/>
        <v>72.5</v>
      </c>
      <c r="K133" s="12" t="str">
        <f>Absolute_Scores!K133</f>
        <v>@vanessaegas</v>
      </c>
      <c r="L133" s="12" t="str">
        <f>Absolute_Scores!L133</f>
        <v>Instagram</v>
      </c>
      <c r="M133" s="29">
        <f>Absolute_Scores!N133</f>
        <v>50</v>
      </c>
      <c r="N133" s="30">
        <f t="shared" si="5"/>
        <v>74.63</v>
      </c>
    </row>
    <row r="134" spans="1:14">
      <c r="A134" s="12" t="str">
        <f>Absolute_Scores!A134</f>
        <v>@wenny_2929</v>
      </c>
      <c r="B134" s="12" t="str">
        <f>Absolute_Scores!B134</f>
        <v>Instagram</v>
      </c>
      <c r="C134" s="29">
        <f>Absolute_Scores!D134</f>
        <v>58</v>
      </c>
      <c r="D134" s="30">
        <f t="shared" ref="D134:D197" si="6">ROUND(C134/$D$4*100,2)</f>
        <v>72.5</v>
      </c>
      <c r="F134" s="12" t="str">
        <f>Absolute_Scores!F134</f>
        <v>@jesselynmci8</v>
      </c>
      <c r="G134" s="12" t="str">
        <f>Absolute_Scores!G134</f>
        <v>TikTok</v>
      </c>
      <c r="H134" s="29">
        <f>Absolute_Scores!I134</f>
        <v>58</v>
      </c>
      <c r="I134" s="30">
        <f t="shared" ref="I134:I197" si="7">ROUND(H134/$I$4*100,2)</f>
        <v>72.5</v>
      </c>
      <c r="K134" s="12" t="str">
        <f>Absolute_Scores!K134</f>
        <v>@zhie_pu3</v>
      </c>
      <c r="L134" s="12" t="str">
        <f>Absolute_Scores!L134</f>
        <v>Instagram</v>
      </c>
      <c r="M134" s="29">
        <f>Absolute_Scores!N134</f>
        <v>50</v>
      </c>
      <c r="N134" s="30">
        <f t="shared" ref="N134:N197" si="8">ROUND(M134/$N$4*100,2)</f>
        <v>74.63</v>
      </c>
    </row>
    <row r="135" spans="1:14">
      <c r="A135" s="12" t="str">
        <f>Absolute_Scores!A135</f>
        <v>@wilna9297</v>
      </c>
      <c r="B135" s="12" t="str">
        <f>Absolute_Scores!B135</f>
        <v>Instagram</v>
      </c>
      <c r="C135" s="29">
        <f>Absolute_Scores!D135</f>
        <v>58</v>
      </c>
      <c r="D135" s="30">
        <f t="shared" si="6"/>
        <v>72.5</v>
      </c>
      <c r="F135" s="12" t="str">
        <f>Absolute_Scores!F135</f>
        <v>@jessicarachelia</v>
      </c>
      <c r="G135" s="12" t="str">
        <f>Absolute_Scores!G135</f>
        <v>TikTok</v>
      </c>
      <c r="H135" s="29">
        <f>Absolute_Scores!I135</f>
        <v>58</v>
      </c>
      <c r="I135" s="30">
        <f t="shared" si="7"/>
        <v>72.5</v>
      </c>
      <c r="K135" s="12" t="str">
        <f>Absolute_Scores!K135</f>
        <v>@_kfatmawatii</v>
      </c>
      <c r="L135" s="12" t="str">
        <f>Absolute_Scores!L135</f>
        <v>Instagram</v>
      </c>
      <c r="M135" s="29">
        <f>Absolute_Scores!N135</f>
        <v>49</v>
      </c>
      <c r="N135" s="30">
        <f t="shared" si="8"/>
        <v>73.13</v>
      </c>
    </row>
    <row r="136" spans="1:14">
      <c r="A136" s="12" t="str">
        <f>Absolute_Scores!A136</f>
        <v>@winanesbitt</v>
      </c>
      <c r="B136" s="12" t="str">
        <f>Absolute_Scores!B136</f>
        <v>Instagram</v>
      </c>
      <c r="C136" s="29">
        <f>Absolute_Scores!D136</f>
        <v>58</v>
      </c>
      <c r="D136" s="30">
        <f t="shared" si="6"/>
        <v>72.5</v>
      </c>
      <c r="F136" s="12" t="str">
        <f>Absolute_Scores!F136</f>
        <v>@jessicawongso_</v>
      </c>
      <c r="G136" s="12" t="str">
        <f>Absolute_Scores!G136</f>
        <v>Instagram</v>
      </c>
      <c r="H136" s="29">
        <f>Absolute_Scores!I136</f>
        <v>58</v>
      </c>
      <c r="I136" s="30">
        <f t="shared" si="7"/>
        <v>72.5</v>
      </c>
      <c r="K136" s="12" t="str">
        <f>Absolute_Scores!K136</f>
        <v>@almirakys</v>
      </c>
      <c r="L136" s="12" t="str">
        <f>Absolute_Scores!L136</f>
        <v>Instagram</v>
      </c>
      <c r="M136" s="29">
        <f>Absolute_Scores!N136</f>
        <v>49</v>
      </c>
      <c r="N136" s="30">
        <f t="shared" si="8"/>
        <v>73.13</v>
      </c>
    </row>
    <row r="137" spans="1:14">
      <c r="A137" s="12" t="str">
        <f>Absolute_Scores!A137</f>
        <v>@zadnyaa</v>
      </c>
      <c r="B137" s="12" t="str">
        <f>Absolute_Scores!B137</f>
        <v>Instagram</v>
      </c>
      <c r="C137" s="29">
        <f>Absolute_Scores!D137</f>
        <v>58</v>
      </c>
      <c r="D137" s="30">
        <f t="shared" si="6"/>
        <v>72.5</v>
      </c>
      <c r="F137" s="12" t="str">
        <f>Absolute_Scores!F137</f>
        <v>@jktfoodmap</v>
      </c>
      <c r="G137" s="12" t="str">
        <f>Absolute_Scores!G137</f>
        <v>TikTok</v>
      </c>
      <c r="H137" s="29">
        <f>Absolute_Scores!I137</f>
        <v>58</v>
      </c>
      <c r="I137" s="30">
        <f t="shared" si="7"/>
        <v>72.5</v>
      </c>
      <c r="K137" s="12" t="str">
        <f>Absolute_Scores!K137</f>
        <v>@amelridhawati</v>
      </c>
      <c r="L137" s="12" t="str">
        <f>Absolute_Scores!L137</f>
        <v>Instagram</v>
      </c>
      <c r="M137" s="29">
        <f>Absolute_Scores!N137</f>
        <v>49</v>
      </c>
      <c r="N137" s="30">
        <f t="shared" si="8"/>
        <v>73.13</v>
      </c>
    </row>
    <row r="138" spans="1:14">
      <c r="A138" s="12" t="str">
        <f>Absolute_Scores!A138</f>
        <v>@fahirair</v>
      </c>
      <c r="B138" s="12" t="str">
        <f>Absolute_Scores!B138</f>
        <v>Instagram</v>
      </c>
      <c r="C138" s="29">
        <f>Absolute_Scores!D138</f>
        <v>57</v>
      </c>
      <c r="D138" s="30">
        <f t="shared" si="6"/>
        <v>71.25</v>
      </c>
      <c r="F138" s="12" t="str">
        <f>Absolute_Scores!F138</f>
        <v>@jordhialdyan_</v>
      </c>
      <c r="G138" s="12" t="str">
        <f>Absolute_Scores!G138</f>
        <v>TikTok</v>
      </c>
      <c r="H138" s="29">
        <f>Absolute_Scores!I138</f>
        <v>58</v>
      </c>
      <c r="I138" s="30">
        <f t="shared" si="7"/>
        <v>72.5</v>
      </c>
      <c r="K138" s="12" t="str">
        <f>Absolute_Scores!K138</f>
        <v>@anggisdevakii</v>
      </c>
      <c r="L138" s="12" t="str">
        <f>Absolute_Scores!L138</f>
        <v>Instagram</v>
      </c>
      <c r="M138" s="29">
        <f>Absolute_Scores!N138</f>
        <v>49</v>
      </c>
      <c r="N138" s="30">
        <f t="shared" si="8"/>
        <v>73.13</v>
      </c>
    </row>
    <row r="139" spans="1:14">
      <c r="A139" s="12" t="str">
        <f>Absolute_Scores!A139</f>
        <v>@hildaa.maulida</v>
      </c>
      <c r="B139" s="12" t="str">
        <f>Absolute_Scores!B139</f>
        <v>Instagram</v>
      </c>
      <c r="C139" s="29">
        <f>Absolute_Scores!D139</f>
        <v>57</v>
      </c>
      <c r="D139" s="30">
        <f t="shared" si="6"/>
        <v>71.25</v>
      </c>
      <c r="F139" s="12" t="str">
        <f>Absolute_Scores!F139</f>
        <v>@kezia_stephanie</v>
      </c>
      <c r="G139" s="12" t="str">
        <f>Absolute_Scores!G139</f>
        <v>Instagram</v>
      </c>
      <c r="H139" s="29">
        <f>Absolute_Scores!I139</f>
        <v>58</v>
      </c>
      <c r="I139" s="30">
        <f t="shared" si="7"/>
        <v>72.5</v>
      </c>
      <c r="K139" s="12" t="str">
        <f>Absolute_Scores!K139</f>
        <v>@awrelalifiaa</v>
      </c>
      <c r="L139" s="12" t="str">
        <f>Absolute_Scores!L139</f>
        <v>Instagram</v>
      </c>
      <c r="M139" s="29">
        <f>Absolute_Scores!N139</f>
        <v>49</v>
      </c>
      <c r="N139" s="30">
        <f t="shared" si="8"/>
        <v>73.13</v>
      </c>
    </row>
    <row r="140" spans="1:14">
      <c r="A140" s="12" t="str">
        <f>Absolute_Scores!A140</f>
        <v>@realityclub</v>
      </c>
      <c r="B140" s="12" t="str">
        <f>Absolute_Scores!B140</f>
        <v>Instagram</v>
      </c>
      <c r="C140" s="29">
        <f>Absolute_Scores!D140</f>
        <v>57</v>
      </c>
      <c r="D140" s="30">
        <f t="shared" si="6"/>
        <v>71.25</v>
      </c>
      <c r="F140" s="12" t="str">
        <f>Absolute_Scores!F140</f>
        <v>@krisstouv</v>
      </c>
      <c r="G140" s="12" t="str">
        <f>Absolute_Scores!G140</f>
        <v>TikTok</v>
      </c>
      <c r="H140" s="29">
        <f>Absolute_Scores!I140</f>
        <v>58</v>
      </c>
      <c r="I140" s="30">
        <f t="shared" si="7"/>
        <v>72.5</v>
      </c>
      <c r="K140" s="12" t="str">
        <f>Absolute_Scores!K140</f>
        <v>@bernadettegainara</v>
      </c>
      <c r="L140" s="12" t="str">
        <f>Absolute_Scores!L140</f>
        <v>Instagram</v>
      </c>
      <c r="M140" s="29">
        <f>Absolute_Scores!N140</f>
        <v>49</v>
      </c>
      <c r="N140" s="30">
        <f t="shared" si="8"/>
        <v>73.13</v>
      </c>
    </row>
    <row r="141" spans="1:14">
      <c r="A141" s="12" t="str">
        <f>Absolute_Scores!A141</f>
        <v>@vanessaegas</v>
      </c>
      <c r="B141" s="12" t="str">
        <f>Absolute_Scores!B141</f>
        <v>Instagram</v>
      </c>
      <c r="C141" s="29">
        <f>Absolute_Scores!D141</f>
        <v>57</v>
      </c>
      <c r="D141" s="30">
        <f t="shared" si="6"/>
        <v>71.25</v>
      </c>
      <c r="F141" s="12" t="str">
        <f>Absolute_Scores!F141</f>
        <v>@kuliner_bekasi_hits</v>
      </c>
      <c r="G141" s="12" t="str">
        <f>Absolute_Scores!G141</f>
        <v>TikTok</v>
      </c>
      <c r="H141" s="29">
        <f>Absolute_Scores!I141</f>
        <v>58</v>
      </c>
      <c r="I141" s="30">
        <f t="shared" si="7"/>
        <v>72.5</v>
      </c>
      <c r="K141" s="12" t="str">
        <f>Absolute_Scores!K141</f>
        <v>@chicco.jerikho</v>
      </c>
      <c r="L141" s="12" t="str">
        <f>Absolute_Scores!L141</f>
        <v>Instagram</v>
      </c>
      <c r="M141" s="29">
        <f>Absolute_Scores!N141</f>
        <v>49</v>
      </c>
      <c r="N141" s="30">
        <f t="shared" si="8"/>
        <v>73.13</v>
      </c>
    </row>
    <row r="142" spans="1:14">
      <c r="A142" s="12" t="str">
        <f>Absolute_Scores!A142</f>
        <v>@zhie_pu3</v>
      </c>
      <c r="B142" s="12" t="str">
        <f>Absolute_Scores!B142</f>
        <v>Instagram</v>
      </c>
      <c r="C142" s="29">
        <f>Absolute_Scores!D142</f>
        <v>57</v>
      </c>
      <c r="D142" s="30">
        <f t="shared" si="6"/>
        <v>71.25</v>
      </c>
      <c r="F142" s="12" t="str">
        <f>Absolute_Scores!F142</f>
        <v>@kuliner1.menit</v>
      </c>
      <c r="G142" s="12" t="str">
        <f>Absolute_Scores!G142</f>
        <v>TikTok</v>
      </c>
      <c r="H142" s="29">
        <f>Absolute_Scores!I142</f>
        <v>58</v>
      </c>
      <c r="I142" s="30">
        <f t="shared" si="7"/>
        <v>72.5</v>
      </c>
      <c r="K142" s="12" t="str">
        <f>Absolute_Scores!K142</f>
        <v>@dellyclarissa</v>
      </c>
      <c r="L142" s="12" t="str">
        <f>Absolute_Scores!L142</f>
        <v>Instagram</v>
      </c>
      <c r="M142" s="29">
        <f>Absolute_Scores!N142</f>
        <v>49</v>
      </c>
      <c r="N142" s="30">
        <f t="shared" si="8"/>
        <v>73.13</v>
      </c>
    </row>
    <row r="143" spans="1:14">
      <c r="A143" s="12" t="str">
        <f>Absolute_Scores!A143</f>
        <v>@anggisdevakii</v>
      </c>
      <c r="B143" s="12" t="str">
        <f>Absolute_Scores!B143</f>
        <v>Instagram</v>
      </c>
      <c r="C143" s="29">
        <f>Absolute_Scores!D143</f>
        <v>56</v>
      </c>
      <c r="D143" s="30">
        <f t="shared" si="6"/>
        <v>70</v>
      </c>
      <c r="F143" s="12" t="str">
        <f>Absolute_Scores!F143</f>
        <v>@kulinerbali</v>
      </c>
      <c r="G143" s="12" t="str">
        <f>Absolute_Scores!G143</f>
        <v>TikTok</v>
      </c>
      <c r="H143" s="29">
        <f>Absolute_Scores!I143</f>
        <v>58</v>
      </c>
      <c r="I143" s="30">
        <f t="shared" si="7"/>
        <v>72.5</v>
      </c>
      <c r="K143" s="12" t="str">
        <f>Absolute_Scores!K143</f>
        <v>@desnov1812</v>
      </c>
      <c r="L143" s="12" t="str">
        <f>Absolute_Scores!L143</f>
        <v>Instagram</v>
      </c>
      <c r="M143" s="29">
        <f>Absolute_Scores!N143</f>
        <v>49</v>
      </c>
      <c r="N143" s="30">
        <f t="shared" si="8"/>
        <v>73.13</v>
      </c>
    </row>
    <row r="144" spans="1:14">
      <c r="A144" s="12" t="str">
        <f>Absolute_Scores!A144</f>
        <v>@awrelalifiaa</v>
      </c>
      <c r="B144" s="12" t="str">
        <f>Absolute_Scores!B144</f>
        <v>Instagram</v>
      </c>
      <c r="C144" s="29">
        <f>Absolute_Scores!D144</f>
        <v>56</v>
      </c>
      <c r="D144" s="30">
        <f t="shared" si="6"/>
        <v>70</v>
      </c>
      <c r="F144" s="12" t="str">
        <f>Absolute_Scores!F144</f>
        <v>@kulinernyaber2</v>
      </c>
      <c r="G144" s="12" t="str">
        <f>Absolute_Scores!G144</f>
        <v>TikTok</v>
      </c>
      <c r="H144" s="29">
        <f>Absolute_Scores!I144</f>
        <v>58</v>
      </c>
      <c r="I144" s="30">
        <f t="shared" si="7"/>
        <v>72.5</v>
      </c>
      <c r="K144" s="12" t="str">
        <f>Absolute_Scores!K144</f>
        <v>@desta80s</v>
      </c>
      <c r="L144" s="12" t="str">
        <f>Absolute_Scores!L144</f>
        <v>Instagram</v>
      </c>
      <c r="M144" s="29">
        <f>Absolute_Scores!N144</f>
        <v>49</v>
      </c>
      <c r="N144" s="30">
        <f t="shared" si="8"/>
        <v>73.13</v>
      </c>
    </row>
    <row r="145" spans="1:14">
      <c r="A145" s="12" t="str">
        <f>Absolute_Scores!A145</f>
        <v>@bernadettegainara</v>
      </c>
      <c r="B145" s="12" t="str">
        <f>Absolute_Scores!B145</f>
        <v>Instagram</v>
      </c>
      <c r="C145" s="29">
        <f>Absolute_Scores!D145</f>
        <v>56</v>
      </c>
      <c r="D145" s="30">
        <f t="shared" si="6"/>
        <v>70</v>
      </c>
      <c r="F145" s="12" t="str">
        <f>Absolute_Scores!F145</f>
        <v>@loli_adelardo</v>
      </c>
      <c r="G145" s="12" t="str">
        <f>Absolute_Scores!G145</f>
        <v>TikTok</v>
      </c>
      <c r="H145" s="29">
        <f>Absolute_Scores!I145</f>
        <v>58</v>
      </c>
      <c r="I145" s="30">
        <f t="shared" si="7"/>
        <v>72.5</v>
      </c>
      <c r="K145" s="12" t="str">
        <f>Absolute_Scores!K145</f>
        <v>@dikingo69</v>
      </c>
      <c r="L145" s="12" t="str">
        <f>Absolute_Scores!L145</f>
        <v>TikTok</v>
      </c>
      <c r="M145" s="29">
        <f>Absolute_Scores!N145</f>
        <v>49</v>
      </c>
      <c r="N145" s="30">
        <f t="shared" si="8"/>
        <v>73.13</v>
      </c>
    </row>
    <row r="146" spans="1:14">
      <c r="A146" s="12" t="str">
        <f>Absolute_Scores!A146</f>
        <v>@anggraenivaniap</v>
      </c>
      <c r="B146" s="12" t="str">
        <f>Absolute_Scores!B146</f>
        <v>Instagram</v>
      </c>
      <c r="C146" s="29">
        <f>Absolute_Scores!D146</f>
        <v>55</v>
      </c>
      <c r="D146" s="30">
        <f t="shared" si="6"/>
        <v>68.75</v>
      </c>
      <c r="F146" s="12" t="str">
        <f>Absolute_Scores!F146</f>
        <v>@megastyn</v>
      </c>
      <c r="G146" s="12" t="str">
        <f>Absolute_Scores!G146</f>
        <v>TikTok</v>
      </c>
      <c r="H146" s="29">
        <f>Absolute_Scores!I146</f>
        <v>58</v>
      </c>
      <c r="I146" s="30">
        <f t="shared" si="7"/>
        <v>72.5</v>
      </c>
      <c r="K146" s="12" t="str">
        <f>Absolute_Scores!K146</f>
        <v>@faithcns_</v>
      </c>
      <c r="L146" s="12" t="str">
        <f>Absolute_Scores!L146</f>
        <v>Instagram</v>
      </c>
      <c r="M146" s="29">
        <f>Absolute_Scores!N146</f>
        <v>49</v>
      </c>
      <c r="N146" s="30">
        <f t="shared" si="8"/>
        <v>73.13</v>
      </c>
    </row>
    <row r="147" spans="1:14">
      <c r="A147" s="12" t="str">
        <f>Absolute_Scores!A147</f>
        <v>@arifahsari</v>
      </c>
      <c r="B147" s="12" t="str">
        <f>Absolute_Scores!B147</f>
        <v>Instagram</v>
      </c>
      <c r="C147" s="29">
        <f>Absolute_Scores!D147</f>
        <v>55</v>
      </c>
      <c r="D147" s="30">
        <f t="shared" si="6"/>
        <v>68.75</v>
      </c>
      <c r="F147" s="12" t="str">
        <f>Absolute_Scores!F147</f>
        <v>@muaramine</v>
      </c>
      <c r="G147" s="12" t="str">
        <f>Absolute_Scores!G147</f>
        <v>TikTok</v>
      </c>
      <c r="H147" s="29">
        <f>Absolute_Scores!I147</f>
        <v>58</v>
      </c>
      <c r="I147" s="30">
        <f t="shared" si="7"/>
        <v>72.5</v>
      </c>
      <c r="K147" s="12" t="str">
        <f>Absolute_Scores!K147</f>
        <v>@hildachriss</v>
      </c>
      <c r="L147" s="12" t="str">
        <f>Absolute_Scores!L147</f>
        <v>Instagram</v>
      </c>
      <c r="M147" s="29">
        <f>Absolute_Scores!N147</f>
        <v>49</v>
      </c>
      <c r="N147" s="30">
        <f t="shared" si="8"/>
        <v>73.13</v>
      </c>
    </row>
    <row r="148" spans="1:14">
      <c r="A148" s="12" t="str">
        <f>Absolute_Scores!A148</f>
        <v>@bumantarateam</v>
      </c>
      <c r="B148" s="12" t="str">
        <f>Absolute_Scores!B148</f>
        <v>Instagram</v>
      </c>
      <c r="C148" s="29">
        <f>Absolute_Scores!D148</f>
        <v>55</v>
      </c>
      <c r="D148" s="30">
        <f t="shared" si="6"/>
        <v>68.75</v>
      </c>
      <c r="F148" s="12" t="str">
        <f>Absolute_Scores!F148</f>
        <v>@ngunyahpedia</v>
      </c>
      <c r="G148" s="12" t="str">
        <f>Absolute_Scores!G148</f>
        <v>TikTok</v>
      </c>
      <c r="H148" s="29">
        <f>Absolute_Scores!I148</f>
        <v>58</v>
      </c>
      <c r="I148" s="30">
        <f t="shared" si="7"/>
        <v>72.5</v>
      </c>
      <c r="K148" s="12" t="str">
        <f>Absolute_Scores!K148</f>
        <v>@nithaaa28</v>
      </c>
      <c r="L148" s="12" t="str">
        <f>Absolute_Scores!L148</f>
        <v>Instagram</v>
      </c>
      <c r="M148" s="29">
        <f>Absolute_Scores!N148</f>
        <v>49</v>
      </c>
      <c r="N148" s="30">
        <f t="shared" si="8"/>
        <v>73.13</v>
      </c>
    </row>
    <row r="149" spans="1:14">
      <c r="A149" s="12" t="str">
        <f>Absolute_Scores!A149</f>
        <v>@cretivox</v>
      </c>
      <c r="B149" s="12" t="str">
        <f>Absolute_Scores!B149</f>
        <v>Instagram</v>
      </c>
      <c r="C149" s="29">
        <f>Absolute_Scores!D149</f>
        <v>55</v>
      </c>
      <c r="D149" s="30">
        <f t="shared" si="6"/>
        <v>68.75</v>
      </c>
      <c r="F149" s="12" t="str">
        <f>Absolute_Scores!F149</f>
        <v>@njajantoksby</v>
      </c>
      <c r="G149" s="12" t="str">
        <f>Absolute_Scores!G149</f>
        <v>TikTok</v>
      </c>
      <c r="H149" s="29">
        <f>Absolute_Scores!I149</f>
        <v>58</v>
      </c>
      <c r="I149" s="30">
        <f t="shared" si="7"/>
        <v>72.5</v>
      </c>
      <c r="K149" s="12" t="str">
        <f>Absolute_Scores!K149</f>
        <v>@putriemje</v>
      </c>
      <c r="L149" s="12" t="str">
        <f>Absolute_Scores!L149</f>
        <v>Instagram</v>
      </c>
      <c r="M149" s="29">
        <f>Absolute_Scores!N149</f>
        <v>49</v>
      </c>
      <c r="N149" s="30">
        <f t="shared" si="8"/>
        <v>73.13</v>
      </c>
    </row>
    <row r="150" spans="1:14">
      <c r="A150" s="12" t="str">
        <f>Absolute_Scores!A150</f>
        <v>@maverick.jonathan</v>
      </c>
      <c r="B150" s="12" t="str">
        <f>Absolute_Scores!B150</f>
        <v>Instagram</v>
      </c>
      <c r="C150" s="29">
        <f>Absolute_Scores!D150</f>
        <v>55</v>
      </c>
      <c r="D150" s="30">
        <f t="shared" si="6"/>
        <v>68.75</v>
      </c>
      <c r="F150" s="12" t="str">
        <f>Absolute_Scores!F150</f>
        <v>@nongkrongintrovert</v>
      </c>
      <c r="G150" s="12" t="str">
        <f>Absolute_Scores!G150</f>
        <v>TikTok</v>
      </c>
      <c r="H150" s="29">
        <f>Absolute_Scores!I150</f>
        <v>58</v>
      </c>
      <c r="I150" s="30">
        <f t="shared" si="7"/>
        <v>72.5</v>
      </c>
      <c r="K150" s="12" t="str">
        <f>Absolute_Scores!K150</f>
        <v>@sptrakori_</v>
      </c>
      <c r="L150" s="12" t="str">
        <f>Absolute_Scores!L150</f>
        <v>TikTok</v>
      </c>
      <c r="M150" s="29">
        <f>Absolute_Scores!N150</f>
        <v>49</v>
      </c>
      <c r="N150" s="30">
        <f t="shared" si="8"/>
        <v>73.13</v>
      </c>
    </row>
    <row r="151" spans="1:14">
      <c r="A151" s="12" t="str">
        <f>Absolute_Scores!A151</f>
        <v>@rtfelish</v>
      </c>
      <c r="B151" s="12" t="str">
        <f>Absolute_Scores!B151</f>
        <v>Instagram</v>
      </c>
      <c r="C151" s="29">
        <f>Absolute_Scores!D151</f>
        <v>55</v>
      </c>
      <c r="D151" s="30">
        <f t="shared" si="6"/>
        <v>68.75</v>
      </c>
      <c r="F151" s="12" t="str">
        <f>Absolute_Scores!F151</f>
        <v>@nyamwithinop</v>
      </c>
      <c r="G151" s="12" t="str">
        <f>Absolute_Scores!G151</f>
        <v>TikTok</v>
      </c>
      <c r="H151" s="29">
        <f>Absolute_Scores!I151</f>
        <v>58</v>
      </c>
      <c r="I151" s="30">
        <f t="shared" si="7"/>
        <v>72.5</v>
      </c>
      <c r="K151" s="12" t="str">
        <f>Absolute_Scores!K151</f>
        <v>@__ditamal</v>
      </c>
      <c r="L151" s="12" t="str">
        <f>Absolute_Scores!L151</f>
        <v>Instagram</v>
      </c>
      <c r="M151" s="29">
        <f>Absolute_Scores!N151</f>
        <v>48</v>
      </c>
      <c r="N151" s="30">
        <f t="shared" si="8"/>
        <v>71.64</v>
      </c>
    </row>
    <row r="152" spans="1:14">
      <c r="A152" s="12" t="str">
        <f>Absolute_Scores!A152</f>
        <v>@saura.thania</v>
      </c>
      <c r="B152" s="12" t="str">
        <f>Absolute_Scores!B152</f>
        <v>Instagram</v>
      </c>
      <c r="C152" s="29">
        <f>Absolute_Scores!D152</f>
        <v>55</v>
      </c>
      <c r="D152" s="30">
        <f t="shared" si="6"/>
        <v>68.75</v>
      </c>
      <c r="F152" s="12" t="str">
        <f>Absolute_Scores!F152</f>
        <v>@olivia.tommy</v>
      </c>
      <c r="G152" s="12" t="str">
        <f>Absolute_Scores!G152</f>
        <v>TikTok</v>
      </c>
      <c r="H152" s="29">
        <f>Absolute_Scores!I152</f>
        <v>58</v>
      </c>
      <c r="I152" s="30">
        <f t="shared" si="7"/>
        <v>72.5</v>
      </c>
      <c r="K152" s="12" t="str">
        <f>Absolute_Scores!K152</f>
        <v>@ainiraaul</v>
      </c>
      <c r="L152" s="12" t="str">
        <f>Absolute_Scores!L152</f>
        <v>Instagram</v>
      </c>
      <c r="M152" s="29">
        <f>Absolute_Scores!N152</f>
        <v>48</v>
      </c>
      <c r="N152" s="30">
        <f t="shared" si="8"/>
        <v>71.64</v>
      </c>
    </row>
    <row r="153" spans="1:14">
      <c r="A153" s="12" t="str">
        <f>Absolute_Scores!A153</f>
        <v>@weni_sf</v>
      </c>
      <c r="B153" s="12" t="str">
        <f>Absolute_Scores!B153</f>
        <v>Instagram</v>
      </c>
      <c r="C153" s="29">
        <f>Absolute_Scores!D153</f>
        <v>55</v>
      </c>
      <c r="D153" s="30">
        <f t="shared" si="6"/>
        <v>68.75</v>
      </c>
      <c r="F153" s="12" t="str">
        <f>Absolute_Scores!F153</f>
        <v>@olivialeryana</v>
      </c>
      <c r="G153" s="12" t="str">
        <f>Absolute_Scores!G153</f>
        <v>TikTok</v>
      </c>
      <c r="H153" s="29">
        <f>Absolute_Scores!I153</f>
        <v>58</v>
      </c>
      <c r="I153" s="30">
        <f t="shared" si="7"/>
        <v>72.5</v>
      </c>
      <c r="K153" s="12" t="str">
        <f>Absolute_Scores!K153</f>
        <v>@andreastaulany</v>
      </c>
      <c r="L153" s="12" t="str">
        <f>Absolute_Scores!L153</f>
        <v>Instagram</v>
      </c>
      <c r="M153" s="29">
        <f>Absolute_Scores!N153</f>
        <v>48</v>
      </c>
      <c r="N153" s="30">
        <f t="shared" si="8"/>
        <v>71.64</v>
      </c>
    </row>
    <row r="154" spans="1:14">
      <c r="A154" s="12" t="str">
        <f>Absolute_Scores!A154</f>
        <v>@ana_alviandro</v>
      </c>
      <c r="B154" s="12" t="str">
        <f>Absolute_Scores!B154</f>
        <v>Instagram</v>
      </c>
      <c r="C154" s="29">
        <f>Absolute_Scores!D154</f>
        <v>54</v>
      </c>
      <c r="D154" s="30">
        <f t="shared" si="6"/>
        <v>67.5</v>
      </c>
      <c r="F154" s="12" t="str">
        <f>Absolute_Scores!F154</f>
        <v>@oppa_kuliner</v>
      </c>
      <c r="G154" s="12" t="str">
        <f>Absolute_Scores!G154</f>
        <v>TikTok</v>
      </c>
      <c r="H154" s="29">
        <f>Absolute_Scores!I154</f>
        <v>58</v>
      </c>
      <c r="I154" s="30">
        <f t="shared" si="7"/>
        <v>72.5</v>
      </c>
      <c r="K154" s="12" t="str">
        <f>Absolute_Scores!K154</f>
        <v>@angelaaudreyyy</v>
      </c>
      <c r="L154" s="12" t="str">
        <f>Absolute_Scores!L154</f>
        <v>Instagram</v>
      </c>
      <c r="M154" s="29">
        <f>Absolute_Scores!N154</f>
        <v>48</v>
      </c>
      <c r="N154" s="30">
        <f t="shared" si="8"/>
        <v>71.64</v>
      </c>
    </row>
    <row r="155" spans="1:14">
      <c r="A155" s="12" t="str">
        <f>Absolute_Scores!A155</f>
        <v>@andreayudias</v>
      </c>
      <c r="B155" s="12" t="str">
        <f>Absolute_Scores!B155</f>
        <v>Instagram</v>
      </c>
      <c r="C155" s="29">
        <f>Absolute_Scores!D155</f>
        <v>54</v>
      </c>
      <c r="D155" s="30">
        <f t="shared" si="6"/>
        <v>67.5</v>
      </c>
      <c r="F155" s="12" t="str">
        <f>Absolute_Scores!F155</f>
        <v>@opsioktm</v>
      </c>
      <c r="G155" s="12" t="str">
        <f>Absolute_Scores!G155</f>
        <v>TikTok</v>
      </c>
      <c r="H155" s="29">
        <f>Absolute_Scores!I155</f>
        <v>58</v>
      </c>
      <c r="I155" s="30">
        <f t="shared" si="7"/>
        <v>72.5</v>
      </c>
      <c r="K155" s="12" t="str">
        <f>Absolute_Scores!K155</f>
        <v>@anggraenivaniap</v>
      </c>
      <c r="L155" s="12" t="str">
        <f>Absolute_Scores!L155</f>
        <v>Instagram</v>
      </c>
      <c r="M155" s="29">
        <f>Absolute_Scores!N155</f>
        <v>48</v>
      </c>
      <c r="N155" s="30">
        <f t="shared" si="8"/>
        <v>71.64</v>
      </c>
    </row>
    <row r="156" spans="1:14">
      <c r="A156" s="12" t="str">
        <f>Absolute_Scores!A156</f>
        <v>@bellatjahyadii</v>
      </c>
      <c r="B156" s="12" t="str">
        <f>Absolute_Scores!B156</f>
        <v>Instagram</v>
      </c>
      <c r="C156" s="29">
        <f>Absolute_Scores!D156</f>
        <v>54</v>
      </c>
      <c r="D156" s="30">
        <f t="shared" si="6"/>
        <v>67.5</v>
      </c>
      <c r="F156" s="12" t="str">
        <f>Absolute_Scores!F156</f>
        <v>@otwrosel</v>
      </c>
      <c r="G156" s="12" t="str">
        <f>Absolute_Scores!G156</f>
        <v>TikTok</v>
      </c>
      <c r="H156" s="29">
        <f>Absolute_Scores!I156</f>
        <v>58</v>
      </c>
      <c r="I156" s="30">
        <f t="shared" si="7"/>
        <v>72.5</v>
      </c>
      <c r="K156" s="12" t="str">
        <f>Absolute_Scores!K156</f>
        <v>@arkhanfikri</v>
      </c>
      <c r="L156" s="12" t="str">
        <f>Absolute_Scores!L156</f>
        <v>Instagram</v>
      </c>
      <c r="M156" s="29">
        <f>Absolute_Scores!N156</f>
        <v>48</v>
      </c>
      <c r="N156" s="30">
        <f t="shared" si="8"/>
        <v>71.64</v>
      </c>
    </row>
    <row r="157" spans="1:14">
      <c r="A157" s="12" t="str">
        <f>Absolute_Scores!A157</f>
        <v>@desnov1812</v>
      </c>
      <c r="B157" s="12" t="str">
        <f>Absolute_Scores!B157</f>
        <v>Instagram</v>
      </c>
      <c r="C157" s="29">
        <f>Absolute_Scores!D157</f>
        <v>54</v>
      </c>
      <c r="D157" s="30">
        <f t="shared" si="6"/>
        <v>67.5</v>
      </c>
      <c r="F157" s="12" t="str">
        <f>Absolute_Scores!F157</f>
        <v>@pikurii</v>
      </c>
      <c r="G157" s="12" t="str">
        <f>Absolute_Scores!G157</f>
        <v>TikTok</v>
      </c>
      <c r="H157" s="29">
        <f>Absolute_Scores!I157</f>
        <v>58</v>
      </c>
      <c r="I157" s="30">
        <f t="shared" si="7"/>
        <v>72.5</v>
      </c>
      <c r="K157" s="12" t="str">
        <f>Absolute_Scores!K157</f>
        <v>@babyylisa_</v>
      </c>
      <c r="L157" s="12" t="str">
        <f>Absolute_Scores!L157</f>
        <v>Instagram</v>
      </c>
      <c r="M157" s="29">
        <f>Absolute_Scores!N157</f>
        <v>48</v>
      </c>
      <c r="N157" s="30">
        <f t="shared" si="8"/>
        <v>71.64</v>
      </c>
    </row>
    <row r="158" spans="1:14">
      <c r="A158" s="12" t="str">
        <f>Absolute_Scores!A158</f>
        <v>@nexcarlos</v>
      </c>
      <c r="B158" s="12" t="str">
        <f>Absolute_Scores!B158</f>
        <v>Instagram</v>
      </c>
      <c r="C158" s="29">
        <f>Absolute_Scores!D158</f>
        <v>54</v>
      </c>
      <c r="D158" s="30">
        <f t="shared" si="6"/>
        <v>67.5</v>
      </c>
      <c r="F158" s="12" t="str">
        <f>Absolute_Scores!F158</f>
        <v>@pipihouston</v>
      </c>
      <c r="G158" s="12" t="str">
        <f>Absolute_Scores!G158</f>
        <v>TikTok</v>
      </c>
      <c r="H158" s="29">
        <f>Absolute_Scores!I158</f>
        <v>58</v>
      </c>
      <c r="I158" s="30">
        <f t="shared" si="7"/>
        <v>72.5</v>
      </c>
      <c r="K158" s="12" t="str">
        <f>Absolute_Scores!K158</f>
        <v>@bjawato</v>
      </c>
      <c r="L158" s="12" t="str">
        <f>Absolute_Scores!L158</f>
        <v>Instagram</v>
      </c>
      <c r="M158" s="29">
        <f>Absolute_Scores!N158</f>
        <v>48</v>
      </c>
      <c r="N158" s="30">
        <f t="shared" si="8"/>
        <v>71.64</v>
      </c>
    </row>
    <row r="159" spans="1:14">
      <c r="A159" s="12" t="str">
        <f>Absolute_Scores!A159</f>
        <v>@alenzivio</v>
      </c>
      <c r="B159" s="12" t="str">
        <f>Absolute_Scores!B159</f>
        <v>Instagram</v>
      </c>
      <c r="C159" s="29">
        <f>Absolute_Scores!D159</f>
        <v>53</v>
      </c>
      <c r="D159" s="30">
        <f t="shared" si="6"/>
        <v>66.25</v>
      </c>
      <c r="F159" s="12" t="str">
        <f>Absolute_Scores!F159</f>
        <v>@ratnarevata</v>
      </c>
      <c r="G159" s="12" t="str">
        <f>Absolute_Scores!G159</f>
        <v>TikTok</v>
      </c>
      <c r="H159" s="29">
        <f>Absolute_Scores!I159</f>
        <v>58</v>
      </c>
      <c r="I159" s="30">
        <f t="shared" si="7"/>
        <v>72.5</v>
      </c>
      <c r="K159" s="12" t="str">
        <f>Absolute_Scores!K159</f>
        <v>@cakecaine</v>
      </c>
      <c r="L159" s="12" t="str">
        <f>Absolute_Scores!L159</f>
        <v>Instagram</v>
      </c>
      <c r="M159" s="29">
        <f>Absolute_Scores!N159</f>
        <v>48</v>
      </c>
      <c r="N159" s="30">
        <f t="shared" si="8"/>
        <v>71.64</v>
      </c>
    </row>
    <row r="160" spans="1:14">
      <c r="A160" s="12" t="str">
        <f>Absolute_Scores!A160</f>
        <v>@arkhanfikri</v>
      </c>
      <c r="B160" s="12" t="str">
        <f>Absolute_Scores!B160</f>
        <v>Instagram</v>
      </c>
      <c r="C160" s="29">
        <f>Absolute_Scores!D160</f>
        <v>53</v>
      </c>
      <c r="D160" s="30">
        <f t="shared" si="6"/>
        <v>66.25</v>
      </c>
      <c r="F160" s="12" t="str">
        <f>Absolute_Scores!F160</f>
        <v>@reviewmajo</v>
      </c>
      <c r="G160" s="12" t="str">
        <f>Absolute_Scores!G160</f>
        <v>TikTok</v>
      </c>
      <c r="H160" s="29">
        <f>Absolute_Scores!I160</f>
        <v>58</v>
      </c>
      <c r="I160" s="30">
        <f t="shared" si="7"/>
        <v>72.5</v>
      </c>
      <c r="K160" s="12" t="str">
        <f>Absolute_Scores!K160</f>
        <v>@cindercella</v>
      </c>
      <c r="L160" s="12" t="str">
        <f>Absolute_Scores!L160</f>
        <v>Instagram</v>
      </c>
      <c r="M160" s="29">
        <f>Absolute_Scores!N160</f>
        <v>48</v>
      </c>
      <c r="N160" s="30">
        <f t="shared" si="8"/>
        <v>71.64</v>
      </c>
    </row>
    <row r="161" spans="1:14">
      <c r="A161" s="12" t="str">
        <f>Absolute_Scores!A161</f>
        <v>@bjawato</v>
      </c>
      <c r="B161" s="12" t="str">
        <f>Absolute_Scores!B161</f>
        <v>Instagram</v>
      </c>
      <c r="C161" s="29">
        <f>Absolute_Scores!D161</f>
        <v>53</v>
      </c>
      <c r="D161" s="30">
        <f t="shared" si="6"/>
        <v>66.25</v>
      </c>
      <c r="F161" s="12" t="str">
        <f>Absolute_Scores!F161</f>
        <v>@reyhan.hilman</v>
      </c>
      <c r="G161" s="12" t="str">
        <f>Absolute_Scores!G161</f>
        <v>TikTok</v>
      </c>
      <c r="H161" s="29">
        <f>Absolute_Scores!I161</f>
        <v>58</v>
      </c>
      <c r="I161" s="30">
        <f t="shared" si="7"/>
        <v>72.5</v>
      </c>
      <c r="K161" s="12" t="str">
        <f>Absolute_Scores!K161</f>
        <v>@donnaharunofficial</v>
      </c>
      <c r="L161" s="12" t="str">
        <f>Absolute_Scores!L161</f>
        <v>Instagram</v>
      </c>
      <c r="M161" s="29">
        <f>Absolute_Scores!N161</f>
        <v>48</v>
      </c>
      <c r="N161" s="30">
        <f t="shared" si="8"/>
        <v>71.64</v>
      </c>
    </row>
    <row r="162" spans="1:14">
      <c r="A162" s="12" t="str">
        <f>Absolute_Scores!A162</f>
        <v>@divvaaura</v>
      </c>
      <c r="B162" s="12" t="str">
        <f>Absolute_Scores!B162</f>
        <v>Instagram</v>
      </c>
      <c r="C162" s="29">
        <f>Absolute_Scores!D162</f>
        <v>53</v>
      </c>
      <c r="D162" s="30">
        <f t="shared" si="6"/>
        <v>66.25</v>
      </c>
      <c r="F162" s="12" t="str">
        <f>Absolute_Scores!F162</f>
        <v>@rhynaass</v>
      </c>
      <c r="G162" s="12" t="str">
        <f>Absolute_Scores!G162</f>
        <v>TikTok</v>
      </c>
      <c r="H162" s="29">
        <f>Absolute_Scores!I162</f>
        <v>58</v>
      </c>
      <c r="I162" s="30">
        <f t="shared" si="7"/>
        <v>72.5</v>
      </c>
      <c r="K162" s="12" t="str">
        <f>Absolute_Scores!K162</f>
        <v>@gelaelized</v>
      </c>
      <c r="L162" s="12" t="str">
        <f>Absolute_Scores!L162</f>
        <v>Instagram</v>
      </c>
      <c r="M162" s="29">
        <f>Absolute_Scores!N162</f>
        <v>48</v>
      </c>
      <c r="N162" s="30">
        <f t="shared" si="8"/>
        <v>71.64</v>
      </c>
    </row>
    <row r="163" spans="1:14">
      <c r="A163" s="12" t="str">
        <f>Absolute_Scores!A163</f>
        <v>@geamaria</v>
      </c>
      <c r="B163" s="12" t="str">
        <f>Absolute_Scores!B163</f>
        <v>Instagram</v>
      </c>
      <c r="C163" s="29">
        <f>Absolute_Scores!D163</f>
        <v>53</v>
      </c>
      <c r="D163" s="30">
        <f t="shared" si="6"/>
        <v>66.25</v>
      </c>
      <c r="F163" s="12" t="str">
        <f>Absolute_Scores!F163</f>
        <v>@richardstvn</v>
      </c>
      <c r="G163" s="12" t="str">
        <f>Absolute_Scores!G163</f>
        <v>TikTok</v>
      </c>
      <c r="H163" s="29">
        <f>Absolute_Scores!I163</f>
        <v>58</v>
      </c>
      <c r="I163" s="30">
        <f t="shared" si="7"/>
        <v>72.5</v>
      </c>
      <c r="K163" s="12" t="str">
        <f>Absolute_Scores!K163</f>
        <v>@hy.hani</v>
      </c>
      <c r="L163" s="12" t="str">
        <f>Absolute_Scores!L163</f>
        <v>Instagram</v>
      </c>
      <c r="M163" s="29">
        <f>Absolute_Scores!N163</f>
        <v>48</v>
      </c>
      <c r="N163" s="30">
        <f t="shared" si="8"/>
        <v>71.64</v>
      </c>
    </row>
    <row r="164" spans="1:14">
      <c r="A164" s="12" t="str">
        <f>Absolute_Scores!A164</f>
        <v>@gelaelized</v>
      </c>
      <c r="B164" s="12" t="str">
        <f>Absolute_Scores!B164</f>
        <v>Instagram</v>
      </c>
      <c r="C164" s="29">
        <f>Absolute_Scores!D164</f>
        <v>53</v>
      </c>
      <c r="D164" s="30">
        <f t="shared" si="6"/>
        <v>66.25</v>
      </c>
      <c r="F164" s="12" t="str">
        <f>Absolute_Scores!F164</f>
        <v>@rndysz</v>
      </c>
      <c r="G164" s="12" t="str">
        <f>Absolute_Scores!G164</f>
        <v>TikTok</v>
      </c>
      <c r="H164" s="29">
        <f>Absolute_Scores!I164</f>
        <v>58</v>
      </c>
      <c r="I164" s="30">
        <f t="shared" si="7"/>
        <v>72.5</v>
      </c>
      <c r="K164" s="12" t="str">
        <f>Absolute_Scores!K164</f>
        <v>@jakartaselatan24jam</v>
      </c>
      <c r="L164" s="12" t="str">
        <f>Absolute_Scores!L164</f>
        <v>Instagram</v>
      </c>
      <c r="M164" s="29">
        <f>Absolute_Scores!N164</f>
        <v>48</v>
      </c>
      <c r="N164" s="30">
        <f t="shared" si="8"/>
        <v>71.64</v>
      </c>
    </row>
    <row r="165" spans="1:14">
      <c r="A165" s="12" t="str">
        <f>Absolute_Scores!A165</f>
        <v>@karindennisha</v>
      </c>
      <c r="B165" s="12" t="str">
        <f>Absolute_Scores!B165</f>
        <v>Instagram</v>
      </c>
      <c r="C165" s="29">
        <f>Absolute_Scores!D165</f>
        <v>53</v>
      </c>
      <c r="D165" s="30">
        <f t="shared" si="6"/>
        <v>66.25</v>
      </c>
      <c r="F165" s="12" t="str">
        <f>Absolute_Scores!F165</f>
        <v>@salshabilazzahraa</v>
      </c>
      <c r="G165" s="12" t="str">
        <f>Absolute_Scores!G165</f>
        <v>TikTok</v>
      </c>
      <c r="H165" s="29">
        <f>Absolute_Scores!I165</f>
        <v>58</v>
      </c>
      <c r="I165" s="30">
        <f t="shared" si="7"/>
        <v>72.5</v>
      </c>
      <c r="K165" s="12" t="str">
        <f>Absolute_Scores!K165</f>
        <v>@kentri_ag</v>
      </c>
      <c r="L165" s="12" t="str">
        <f>Absolute_Scores!L165</f>
        <v>Instagram</v>
      </c>
      <c r="M165" s="29">
        <f>Absolute_Scores!N165</f>
        <v>48</v>
      </c>
      <c r="N165" s="30">
        <f t="shared" si="8"/>
        <v>71.64</v>
      </c>
    </row>
    <row r="166" spans="1:14">
      <c r="A166" s="12" t="str">
        <f>Absolute_Scores!A166</f>
        <v>@kylakameron</v>
      </c>
      <c r="B166" s="12" t="str">
        <f>Absolute_Scores!B166</f>
        <v>Instagram</v>
      </c>
      <c r="C166" s="29">
        <f>Absolute_Scores!D166</f>
        <v>53</v>
      </c>
      <c r="D166" s="30">
        <f t="shared" si="6"/>
        <v>66.25</v>
      </c>
      <c r="F166" s="12" t="str">
        <f>Absolute_Scores!F166</f>
        <v>@sheilakmal</v>
      </c>
      <c r="G166" s="12" t="str">
        <f>Absolute_Scores!G166</f>
        <v>TikTok</v>
      </c>
      <c r="H166" s="29">
        <f>Absolute_Scores!I166</f>
        <v>58</v>
      </c>
      <c r="I166" s="30">
        <f t="shared" si="7"/>
        <v>72.5</v>
      </c>
      <c r="K166" s="12" t="str">
        <f>Absolute_Scores!K166</f>
        <v>@kokikutv</v>
      </c>
      <c r="L166" s="12" t="str">
        <f>Absolute_Scores!L166</f>
        <v>Instagram</v>
      </c>
      <c r="M166" s="29">
        <f>Absolute_Scores!N166</f>
        <v>48</v>
      </c>
      <c r="N166" s="30">
        <f t="shared" si="8"/>
        <v>71.64</v>
      </c>
    </row>
    <row r="167" spans="1:14">
      <c r="A167" s="12" t="str">
        <f>Absolute_Scores!A167</f>
        <v>@limintangdilino</v>
      </c>
      <c r="B167" s="12" t="str">
        <f>Absolute_Scores!B167</f>
        <v>Instagram</v>
      </c>
      <c r="C167" s="29">
        <f>Absolute_Scores!D167</f>
        <v>53</v>
      </c>
      <c r="D167" s="30">
        <f t="shared" si="6"/>
        <v>66.25</v>
      </c>
      <c r="F167" s="12" t="str">
        <f>Absolute_Scores!F167</f>
        <v>@sherenaffff</v>
      </c>
      <c r="G167" s="12" t="str">
        <f>Absolute_Scores!G167</f>
        <v>TikTok</v>
      </c>
      <c r="H167" s="29">
        <f>Absolute_Scores!I167</f>
        <v>58</v>
      </c>
      <c r="I167" s="30">
        <f t="shared" si="7"/>
        <v>72.5</v>
      </c>
      <c r="K167" s="12" t="str">
        <f>Absolute_Scores!K167</f>
        <v>@lindakayhz</v>
      </c>
      <c r="L167" s="12" t="str">
        <f>Absolute_Scores!L167</f>
        <v>Instagram</v>
      </c>
      <c r="M167" s="29">
        <f>Absolute_Scores!N167</f>
        <v>48</v>
      </c>
      <c r="N167" s="30">
        <f t="shared" si="8"/>
        <v>71.64</v>
      </c>
    </row>
    <row r="168" spans="1:14">
      <c r="A168" s="12" t="str">
        <f>Absolute_Scores!A168</f>
        <v>@meearaaaa</v>
      </c>
      <c r="B168" s="12" t="str">
        <f>Absolute_Scores!B168</f>
        <v>Instagram</v>
      </c>
      <c r="C168" s="29">
        <f>Absolute_Scores!D168</f>
        <v>53</v>
      </c>
      <c r="D168" s="30">
        <f t="shared" si="6"/>
        <v>66.25</v>
      </c>
      <c r="F168" s="12" t="str">
        <f>Absolute_Scores!F168</f>
        <v>@sijajanjalan</v>
      </c>
      <c r="G168" s="12" t="str">
        <f>Absolute_Scores!G168</f>
        <v>TikTok</v>
      </c>
      <c r="H168" s="29">
        <f>Absolute_Scores!I168</f>
        <v>58</v>
      </c>
      <c r="I168" s="30">
        <f t="shared" si="7"/>
        <v>72.5</v>
      </c>
      <c r="K168" s="12" t="str">
        <f>Absolute_Scores!K168</f>
        <v>@oktasoekarno</v>
      </c>
      <c r="L168" s="12" t="str">
        <f>Absolute_Scores!L168</f>
        <v>Instagram</v>
      </c>
      <c r="M168" s="29">
        <f>Absolute_Scores!N168</f>
        <v>48</v>
      </c>
      <c r="N168" s="30">
        <f t="shared" si="8"/>
        <v>71.64</v>
      </c>
    </row>
    <row r="169" spans="1:14">
      <c r="A169" s="12" t="str">
        <f>Absolute_Scores!A169</f>
        <v>@meisyasallwa</v>
      </c>
      <c r="B169" s="12" t="str">
        <f>Absolute_Scores!B169</f>
        <v>Instagram</v>
      </c>
      <c r="C169" s="29">
        <f>Absolute_Scores!D169</f>
        <v>53</v>
      </c>
      <c r="D169" s="30">
        <f t="shared" si="6"/>
        <v>66.25</v>
      </c>
      <c r="F169" s="12" t="str">
        <f>Absolute_Scores!F169</f>
        <v>@sisiltaneal</v>
      </c>
      <c r="G169" s="12" t="str">
        <f>Absolute_Scores!G169</f>
        <v>TikTok</v>
      </c>
      <c r="H169" s="29">
        <f>Absolute_Scores!I169</f>
        <v>58</v>
      </c>
      <c r="I169" s="30">
        <f t="shared" si="7"/>
        <v>72.5</v>
      </c>
      <c r="K169" s="12" t="str">
        <f>Absolute_Scores!K169</f>
        <v>@olivia.liem</v>
      </c>
      <c r="L169" s="12" t="str">
        <f>Absolute_Scores!L169</f>
        <v>TikTok</v>
      </c>
      <c r="M169" s="29">
        <f>Absolute_Scores!N169</f>
        <v>48</v>
      </c>
      <c r="N169" s="30">
        <f t="shared" si="8"/>
        <v>71.64</v>
      </c>
    </row>
    <row r="170" spans="1:14">
      <c r="A170" s="12" t="str">
        <f>Absolute_Scores!A170</f>
        <v>@nithaaa28</v>
      </c>
      <c r="B170" s="12" t="str">
        <f>Absolute_Scores!B170</f>
        <v>Instagram</v>
      </c>
      <c r="C170" s="29">
        <f>Absolute_Scores!D170</f>
        <v>53</v>
      </c>
      <c r="D170" s="30">
        <f t="shared" si="6"/>
        <v>66.25</v>
      </c>
      <c r="F170" s="12" t="str">
        <f>Absolute_Scores!F170</f>
        <v>@syarifsindy</v>
      </c>
      <c r="G170" s="12" t="str">
        <f>Absolute_Scores!G170</f>
        <v>TikTok</v>
      </c>
      <c r="H170" s="29">
        <f>Absolute_Scores!I170</f>
        <v>58</v>
      </c>
      <c r="I170" s="30">
        <f t="shared" si="7"/>
        <v>72.5</v>
      </c>
      <c r="K170" s="12" t="str">
        <f>Absolute_Scores!K170</f>
        <v>@pevpearce</v>
      </c>
      <c r="L170" s="12" t="str">
        <f>Absolute_Scores!L170</f>
        <v>Instagram</v>
      </c>
      <c r="M170" s="29">
        <f>Absolute_Scores!N170</f>
        <v>48</v>
      </c>
      <c r="N170" s="30">
        <f t="shared" si="8"/>
        <v>71.64</v>
      </c>
    </row>
    <row r="171" spans="1:14">
      <c r="A171" s="12" t="str">
        <f>Absolute_Scores!A171</f>
        <v>@okkyalparessi</v>
      </c>
      <c r="B171" s="12" t="str">
        <f>Absolute_Scores!B171</f>
        <v>Instagram</v>
      </c>
      <c r="C171" s="29">
        <f>Absolute_Scores!D171</f>
        <v>53</v>
      </c>
      <c r="D171" s="30">
        <f t="shared" si="6"/>
        <v>66.25</v>
      </c>
      <c r="F171" s="12" t="str">
        <f>Absolute_Scores!F171</f>
        <v>@tanameracoffeeindonesia</v>
      </c>
      <c r="G171" s="12" t="str">
        <f>Absolute_Scores!G171</f>
        <v>TikTok</v>
      </c>
      <c r="H171" s="29">
        <f>Absolute_Scores!I171</f>
        <v>58</v>
      </c>
      <c r="I171" s="30">
        <f t="shared" si="7"/>
        <v>72.5</v>
      </c>
      <c r="K171" s="12" t="str">
        <f>Absolute_Scores!K171</f>
        <v>@raniaayamin</v>
      </c>
      <c r="L171" s="12" t="str">
        <f>Absolute_Scores!L171</f>
        <v>Instagram</v>
      </c>
      <c r="M171" s="29">
        <f>Absolute_Scores!N171</f>
        <v>48</v>
      </c>
      <c r="N171" s="30">
        <f t="shared" si="8"/>
        <v>71.64</v>
      </c>
    </row>
    <row r="172" spans="1:14">
      <c r="A172" s="12" t="str">
        <f>Absolute_Scores!A172</f>
        <v>@riofhm_</v>
      </c>
      <c r="B172" s="12" t="str">
        <f>Absolute_Scores!B172</f>
        <v>Instagram</v>
      </c>
      <c r="C172" s="29">
        <f>Absolute_Scores!D172</f>
        <v>53</v>
      </c>
      <c r="D172" s="30">
        <f t="shared" si="6"/>
        <v>66.25</v>
      </c>
      <c r="F172" s="12" t="str">
        <f>Absolute_Scores!F172</f>
        <v>@thebalispot</v>
      </c>
      <c r="G172" s="12" t="str">
        <f>Absolute_Scores!G172</f>
        <v>Instagram</v>
      </c>
      <c r="H172" s="29">
        <f>Absolute_Scores!I172</f>
        <v>58</v>
      </c>
      <c r="I172" s="30">
        <f t="shared" si="7"/>
        <v>72.5</v>
      </c>
      <c r="K172" s="12" t="str">
        <f>Absolute_Scores!K172</f>
        <v>@rin_hermana</v>
      </c>
      <c r="L172" s="12" t="str">
        <f>Absolute_Scores!L172</f>
        <v>Instagram</v>
      </c>
      <c r="M172" s="29">
        <f>Absolute_Scores!N172</f>
        <v>48</v>
      </c>
      <c r="N172" s="30">
        <f t="shared" si="8"/>
        <v>71.64</v>
      </c>
    </row>
    <row r="173" spans="1:14">
      <c r="A173" s="12" t="str">
        <f>Absolute_Scores!A173</f>
        <v>@sabreenadressler</v>
      </c>
      <c r="B173" s="12" t="str">
        <f>Absolute_Scores!B173</f>
        <v>Instagram</v>
      </c>
      <c r="C173" s="29">
        <f>Absolute_Scores!D173</f>
        <v>53</v>
      </c>
      <c r="D173" s="30">
        <f t="shared" si="6"/>
        <v>66.25</v>
      </c>
      <c r="F173" s="12" t="str">
        <f>Absolute_Scores!F173</f>
        <v>@traveat_id</v>
      </c>
      <c r="G173" s="12" t="str">
        <f>Absolute_Scores!G173</f>
        <v>Instagram</v>
      </c>
      <c r="H173" s="29">
        <f>Absolute_Scores!I173</f>
        <v>58</v>
      </c>
      <c r="I173" s="30">
        <f t="shared" si="7"/>
        <v>72.5</v>
      </c>
      <c r="K173" s="12" t="str">
        <f>Absolute_Scores!K173</f>
        <v>@riofhm_</v>
      </c>
      <c r="L173" s="12" t="str">
        <f>Absolute_Scores!L173</f>
        <v>Instagram</v>
      </c>
      <c r="M173" s="29">
        <f>Absolute_Scores!N173</f>
        <v>48</v>
      </c>
      <c r="N173" s="30">
        <f t="shared" si="8"/>
        <v>71.64</v>
      </c>
    </row>
    <row r="174" spans="1:14">
      <c r="A174" s="12" t="str">
        <f>Absolute_Scores!A174</f>
        <v>@sysyaaaaaaa_</v>
      </c>
      <c r="B174" s="12" t="str">
        <f>Absolute_Scores!B174</f>
        <v>Instagram</v>
      </c>
      <c r="C174" s="29">
        <f>Absolute_Scores!D174</f>
        <v>53</v>
      </c>
      <c r="D174" s="30">
        <f t="shared" si="6"/>
        <v>66.25</v>
      </c>
      <c r="F174" s="12" t="str">
        <f>Absolute_Scores!F174</f>
        <v>@viacipi_</v>
      </c>
      <c r="G174" s="12" t="str">
        <f>Absolute_Scores!G174</f>
        <v>TikTok</v>
      </c>
      <c r="H174" s="29">
        <f>Absolute_Scores!I174</f>
        <v>58</v>
      </c>
      <c r="I174" s="30">
        <f t="shared" si="7"/>
        <v>72.5</v>
      </c>
      <c r="K174" s="12" t="str">
        <f>Absolute_Scores!K174</f>
        <v>@sabreenadressler</v>
      </c>
      <c r="L174" s="12" t="str">
        <f>Absolute_Scores!L174</f>
        <v>Instagram</v>
      </c>
      <c r="M174" s="29">
        <f>Absolute_Scores!N174</f>
        <v>48</v>
      </c>
      <c r="N174" s="30">
        <f t="shared" si="8"/>
        <v>71.64</v>
      </c>
    </row>
    <row r="175" spans="1:14">
      <c r="A175" s="12" t="str">
        <f>Absolute_Scores!A175</f>
        <v>@azahhra</v>
      </c>
      <c r="B175" s="12" t="str">
        <f>Absolute_Scores!B175</f>
        <v>Instagram</v>
      </c>
      <c r="C175" s="29">
        <f>Absolute_Scores!D175</f>
        <v>52</v>
      </c>
      <c r="D175" s="30">
        <f t="shared" si="6"/>
        <v>65</v>
      </c>
      <c r="F175" s="12" t="str">
        <f>Absolute_Scores!F175</f>
        <v>@zaachiraf</v>
      </c>
      <c r="G175" s="12" t="str">
        <f>Absolute_Scores!G175</f>
        <v>TikTok</v>
      </c>
      <c r="H175" s="29">
        <f>Absolute_Scores!I175</f>
        <v>58</v>
      </c>
      <c r="I175" s="30">
        <f t="shared" si="7"/>
        <v>72.5</v>
      </c>
      <c r="K175" s="12" t="str">
        <f>Absolute_Scores!K175</f>
        <v>@sarah_novika</v>
      </c>
      <c r="L175" s="12" t="str">
        <f>Absolute_Scores!L175</f>
        <v>Instagram</v>
      </c>
      <c r="M175" s="29">
        <f>Absolute_Scores!N175</f>
        <v>48</v>
      </c>
      <c r="N175" s="30">
        <f t="shared" si="8"/>
        <v>71.64</v>
      </c>
    </row>
    <row r="176" spans="1:14">
      <c r="A176" s="12" t="str">
        <f>Absolute_Scores!A176</f>
        <v>@bbrightvc</v>
      </c>
      <c r="B176" s="12" t="str">
        <f>Absolute_Scores!B176</f>
        <v>Instagram</v>
      </c>
      <c r="C176" s="29">
        <f>Absolute_Scores!D176</f>
        <v>52</v>
      </c>
      <c r="D176" s="30">
        <f t="shared" si="6"/>
        <v>65</v>
      </c>
      <c r="F176" s="12" t="str">
        <f>Absolute_Scores!F176</f>
        <v>@arifahsari</v>
      </c>
      <c r="G176" s="12" t="str">
        <f>Absolute_Scores!G176</f>
        <v>Instagram</v>
      </c>
      <c r="H176" s="29">
        <f>Absolute_Scores!I176</f>
        <v>57</v>
      </c>
      <c r="I176" s="30">
        <f t="shared" si="7"/>
        <v>71.25</v>
      </c>
      <c r="K176" s="12" t="str">
        <f>Absolute_Scores!K176</f>
        <v>@theliztagram</v>
      </c>
      <c r="L176" s="12" t="str">
        <f>Absolute_Scores!L176</f>
        <v>Instagram</v>
      </c>
      <c r="M176" s="29">
        <f>Absolute_Scores!N176</f>
        <v>48</v>
      </c>
      <c r="N176" s="30">
        <f t="shared" si="8"/>
        <v>71.64</v>
      </c>
    </row>
    <row r="177" spans="1:14">
      <c r="A177" s="12" t="str">
        <f>Absolute_Scores!A177</f>
        <v>@dibawahpohon_</v>
      </c>
      <c r="B177" s="12" t="str">
        <f>Absolute_Scores!B177</f>
        <v>Instagram</v>
      </c>
      <c r="C177" s="29">
        <f>Absolute_Scores!D177</f>
        <v>52</v>
      </c>
      <c r="D177" s="30">
        <f t="shared" si="6"/>
        <v>65</v>
      </c>
      <c r="F177" s="12" t="str">
        <f>Absolute_Scores!F177</f>
        <v>@bellatjahyadii</v>
      </c>
      <c r="G177" s="12" t="str">
        <f>Absolute_Scores!G177</f>
        <v>Instagram</v>
      </c>
      <c r="H177" s="29">
        <f>Absolute_Scores!I177</f>
        <v>57</v>
      </c>
      <c r="I177" s="30">
        <f t="shared" si="7"/>
        <v>71.25</v>
      </c>
      <c r="K177" s="12" t="str">
        <f>Absolute_Scores!K177</f>
        <v>@vaniafebrianne</v>
      </c>
      <c r="L177" s="12" t="str">
        <f>Absolute_Scores!L177</f>
        <v>Instagram</v>
      </c>
      <c r="M177" s="29">
        <f>Absolute_Scores!N177</f>
        <v>48</v>
      </c>
      <c r="N177" s="30">
        <f t="shared" si="8"/>
        <v>71.64</v>
      </c>
    </row>
    <row r="178" spans="1:14">
      <c r="A178" s="12" t="str">
        <f>Absolute_Scores!A178</f>
        <v>@fitriaqatrunnada</v>
      </c>
      <c r="B178" s="12" t="str">
        <f>Absolute_Scores!B178</f>
        <v>Instagram</v>
      </c>
      <c r="C178" s="29">
        <f>Absolute_Scores!D178</f>
        <v>52</v>
      </c>
      <c r="D178" s="30">
        <f t="shared" si="6"/>
        <v>65</v>
      </c>
      <c r="F178" s="12" t="str">
        <f>Absolute_Scores!F178</f>
        <v>@bukanwulanwu</v>
      </c>
      <c r="G178" s="12" t="str">
        <f>Absolute_Scores!G178</f>
        <v>TikTok</v>
      </c>
      <c r="H178" s="29">
        <f>Absolute_Scores!I178</f>
        <v>57</v>
      </c>
      <c r="I178" s="30">
        <f t="shared" si="7"/>
        <v>71.25</v>
      </c>
      <c r="K178" s="12" t="str">
        <f>Absolute_Scores!K178</f>
        <v>@weni_sf</v>
      </c>
      <c r="L178" s="12" t="str">
        <f>Absolute_Scores!L178</f>
        <v>Instagram</v>
      </c>
      <c r="M178" s="29">
        <f>Absolute_Scores!N178</f>
        <v>48</v>
      </c>
      <c r="N178" s="30">
        <f t="shared" si="8"/>
        <v>71.64</v>
      </c>
    </row>
    <row r="179" spans="1:14">
      <c r="A179" s="12" t="str">
        <f>Absolute_Scores!A179</f>
        <v>@ilasalsabilla</v>
      </c>
      <c r="B179" s="12" t="str">
        <f>Absolute_Scores!B179</f>
        <v>Instagram</v>
      </c>
      <c r="C179" s="29">
        <f>Absolute_Scores!D179</f>
        <v>52</v>
      </c>
      <c r="D179" s="30">
        <f t="shared" si="6"/>
        <v>65</v>
      </c>
      <c r="F179" s="12" t="str">
        <f>Absolute_Scores!F179</f>
        <v>@fifi.sasta</v>
      </c>
      <c r="G179" s="12" t="str">
        <f>Absolute_Scores!G179</f>
        <v>Instagram</v>
      </c>
      <c r="H179" s="29">
        <f>Absolute_Scores!I179</f>
        <v>57</v>
      </c>
      <c r="I179" s="30">
        <f t="shared" si="7"/>
        <v>71.25</v>
      </c>
      <c r="K179" s="12" t="str">
        <f>Absolute_Scores!K179</f>
        <v>@yorikooangln_</v>
      </c>
      <c r="L179" s="12" t="str">
        <f>Absolute_Scores!L179</f>
        <v>Instagram</v>
      </c>
      <c r="M179" s="29">
        <f>Absolute_Scores!N179</f>
        <v>48</v>
      </c>
      <c r="N179" s="30">
        <f t="shared" si="8"/>
        <v>71.64</v>
      </c>
    </row>
    <row r="180" spans="1:14">
      <c r="A180" s="12" t="str">
        <f>Absolute_Scores!A180</f>
        <v>@jackable__</v>
      </c>
      <c r="B180" s="12" t="str">
        <f>Absolute_Scores!B180</f>
        <v>Instagram</v>
      </c>
      <c r="C180" s="29">
        <f>Absolute_Scores!D180</f>
        <v>52</v>
      </c>
      <c r="D180" s="30">
        <f t="shared" si="6"/>
        <v>65</v>
      </c>
      <c r="F180" s="12" t="str">
        <f>Absolute_Scores!F180</f>
        <v>@realityclub</v>
      </c>
      <c r="G180" s="12" t="str">
        <f>Absolute_Scores!G180</f>
        <v>Instagram</v>
      </c>
      <c r="H180" s="29">
        <f>Absolute_Scores!I180</f>
        <v>57</v>
      </c>
      <c r="I180" s="30">
        <f t="shared" si="7"/>
        <v>71.25</v>
      </c>
      <c r="K180" s="12" t="str">
        <f>Absolute_Scores!K180</f>
        <v>@yunie.saputra</v>
      </c>
      <c r="L180" s="12" t="str">
        <f>Absolute_Scores!L180</f>
        <v>Instagram</v>
      </c>
      <c r="M180" s="29">
        <f>Absolute_Scores!N180</f>
        <v>48</v>
      </c>
      <c r="N180" s="30">
        <f t="shared" si="8"/>
        <v>71.64</v>
      </c>
    </row>
    <row r="181" spans="1:14">
      <c r="A181" s="12" t="str">
        <f>Absolute_Scores!A181</f>
        <v>@learellaa</v>
      </c>
      <c r="B181" s="12" t="str">
        <f>Absolute_Scores!B181</f>
        <v>Instagram</v>
      </c>
      <c r="C181" s="29">
        <f>Absolute_Scores!D181</f>
        <v>52</v>
      </c>
      <c r="D181" s="30">
        <f t="shared" si="6"/>
        <v>65</v>
      </c>
      <c r="F181" s="12" t="str">
        <f>Absolute_Scores!F181</f>
        <v>@rrghufrona</v>
      </c>
      <c r="G181" s="12" t="str">
        <f>Absolute_Scores!G181</f>
        <v>Instagram</v>
      </c>
      <c r="H181" s="29">
        <f>Absolute_Scores!I181</f>
        <v>57</v>
      </c>
      <c r="I181" s="30">
        <f t="shared" si="7"/>
        <v>71.25</v>
      </c>
      <c r="K181" s="12" t="str">
        <f>Absolute_Scores!K181</f>
        <v>@akhairunnisa</v>
      </c>
      <c r="L181" s="12" t="str">
        <f>Absolute_Scores!L181</f>
        <v>Instagram</v>
      </c>
      <c r="M181" s="29">
        <f>Absolute_Scores!N181</f>
        <v>47</v>
      </c>
      <c r="N181" s="30">
        <f t="shared" si="8"/>
        <v>70.15</v>
      </c>
    </row>
    <row r="182" spans="1:14">
      <c r="A182" s="12" t="str">
        <f>Absolute_Scores!A182</f>
        <v>@mhmmdlatifsaputra_</v>
      </c>
      <c r="B182" s="12" t="str">
        <f>Absolute_Scores!B182</f>
        <v>Instagram</v>
      </c>
      <c r="C182" s="29">
        <f>Absolute_Scores!D182</f>
        <v>52</v>
      </c>
      <c r="D182" s="30">
        <f t="shared" si="6"/>
        <v>65</v>
      </c>
      <c r="F182" s="12" t="str">
        <f>Absolute_Scores!F182</f>
        <v>@vanessaegas</v>
      </c>
      <c r="G182" s="12" t="str">
        <f>Absolute_Scores!G182</f>
        <v>Instagram</v>
      </c>
      <c r="H182" s="29">
        <f>Absolute_Scores!I182</f>
        <v>57</v>
      </c>
      <c r="I182" s="30">
        <f t="shared" si="7"/>
        <v>71.25</v>
      </c>
      <c r="K182" s="12" t="str">
        <f>Absolute_Scores!K182</f>
        <v>@amerossaaaaa</v>
      </c>
      <c r="L182" s="12" t="str">
        <f>Absolute_Scores!L182</f>
        <v>Instagram</v>
      </c>
      <c r="M182" s="29">
        <f>Absolute_Scores!N182</f>
        <v>47</v>
      </c>
      <c r="N182" s="30">
        <f t="shared" si="8"/>
        <v>70.15</v>
      </c>
    </row>
    <row r="183" spans="1:14">
      <c r="A183" s="12" t="str">
        <f>Absolute_Scores!A183</f>
        <v>@nova_nayla</v>
      </c>
      <c r="B183" s="12" t="str">
        <f>Absolute_Scores!B183</f>
        <v>Instagram</v>
      </c>
      <c r="C183" s="29">
        <f>Absolute_Scores!D183</f>
        <v>52</v>
      </c>
      <c r="D183" s="30">
        <f t="shared" si="6"/>
        <v>65</v>
      </c>
      <c r="F183" s="12" t="str">
        <f>Absolute_Scores!F183</f>
        <v>@weni_sf</v>
      </c>
      <c r="G183" s="12" t="str">
        <f>Absolute_Scores!G183</f>
        <v>Instagram</v>
      </c>
      <c r="H183" s="29">
        <f>Absolute_Scores!I183</f>
        <v>57</v>
      </c>
      <c r="I183" s="30">
        <f t="shared" si="7"/>
        <v>71.25</v>
      </c>
      <c r="K183" s="12" t="str">
        <f>Absolute_Scores!K183</f>
        <v>@amy_raharjo</v>
      </c>
      <c r="L183" s="12" t="str">
        <f>Absolute_Scores!L183</f>
        <v>Instagram</v>
      </c>
      <c r="M183" s="29">
        <f>Absolute_Scores!N183</f>
        <v>47</v>
      </c>
      <c r="N183" s="30">
        <f t="shared" si="8"/>
        <v>70.15</v>
      </c>
    </row>
    <row r="184" spans="1:14">
      <c r="A184" s="12" t="str">
        <f>Absolute_Scores!A184</f>
        <v>@ocihasanah</v>
      </c>
      <c r="B184" s="12" t="str">
        <f>Absolute_Scores!B184</f>
        <v>Instagram</v>
      </c>
      <c r="C184" s="29">
        <f>Absolute_Scores!D184</f>
        <v>52</v>
      </c>
      <c r="D184" s="30">
        <f t="shared" si="6"/>
        <v>65</v>
      </c>
      <c r="F184" s="12" t="str">
        <f>Absolute_Scores!F184</f>
        <v>@zhie_pu3</v>
      </c>
      <c r="G184" s="12" t="str">
        <f>Absolute_Scores!G184</f>
        <v>Instagram</v>
      </c>
      <c r="H184" s="29">
        <f>Absolute_Scores!I184</f>
        <v>57</v>
      </c>
      <c r="I184" s="30">
        <f t="shared" si="7"/>
        <v>71.25</v>
      </c>
      <c r="K184" s="12" t="str">
        <f>Absolute_Scores!K184</f>
        <v>@ana_alviandro</v>
      </c>
      <c r="L184" s="12" t="str">
        <f>Absolute_Scores!L184</f>
        <v>Instagram</v>
      </c>
      <c r="M184" s="29">
        <f>Absolute_Scores!N184</f>
        <v>47</v>
      </c>
      <c r="N184" s="30">
        <f t="shared" si="8"/>
        <v>70.15</v>
      </c>
    </row>
    <row r="185" spans="1:14">
      <c r="A185" s="12" t="str">
        <f>Absolute_Scores!A185</f>
        <v>@queenviolia</v>
      </c>
      <c r="B185" s="12" t="str">
        <f>Absolute_Scores!B185</f>
        <v>Instagram</v>
      </c>
      <c r="C185" s="29">
        <f>Absolute_Scores!D185</f>
        <v>52</v>
      </c>
      <c r="D185" s="30">
        <f t="shared" si="6"/>
        <v>65</v>
      </c>
      <c r="F185" s="12" t="str">
        <f>Absolute_Scores!F185</f>
        <v>@anggisdevakii</v>
      </c>
      <c r="G185" s="12" t="str">
        <f>Absolute_Scores!G185</f>
        <v>Instagram</v>
      </c>
      <c r="H185" s="29">
        <f>Absolute_Scores!I185</f>
        <v>56</v>
      </c>
      <c r="I185" s="30">
        <f t="shared" si="7"/>
        <v>70</v>
      </c>
      <c r="K185" s="12" t="str">
        <f>Absolute_Scores!K185</f>
        <v>@andreayudias</v>
      </c>
      <c r="L185" s="12" t="str">
        <f>Absolute_Scores!L185</f>
        <v>Instagram</v>
      </c>
      <c r="M185" s="29">
        <f>Absolute_Scores!N185</f>
        <v>47</v>
      </c>
      <c r="N185" s="30">
        <f t="shared" si="8"/>
        <v>70.15</v>
      </c>
    </row>
    <row r="186" spans="1:14">
      <c r="A186" s="12" t="str">
        <f>Absolute_Scores!A186</f>
        <v>@rennireree</v>
      </c>
      <c r="B186" s="12" t="str">
        <f>Absolute_Scores!B186</f>
        <v>Instagram</v>
      </c>
      <c r="C186" s="29">
        <f>Absolute_Scores!D186</f>
        <v>52</v>
      </c>
      <c r="D186" s="30">
        <f t="shared" si="6"/>
        <v>65</v>
      </c>
      <c r="F186" s="12" t="str">
        <f>Absolute_Scores!F186</f>
        <v>@awrelalifiaa</v>
      </c>
      <c r="G186" s="12" t="str">
        <f>Absolute_Scores!G186</f>
        <v>Instagram</v>
      </c>
      <c r="H186" s="29">
        <f>Absolute_Scores!I186</f>
        <v>56</v>
      </c>
      <c r="I186" s="30">
        <f t="shared" si="7"/>
        <v>70</v>
      </c>
      <c r="K186" s="12" t="str">
        <f>Absolute_Scores!K186</f>
        <v>@anggunhrmsr</v>
      </c>
      <c r="L186" s="12" t="str">
        <f>Absolute_Scores!L186</f>
        <v>Instagram</v>
      </c>
      <c r="M186" s="29">
        <f>Absolute_Scores!N186</f>
        <v>47</v>
      </c>
      <c r="N186" s="30">
        <f t="shared" si="8"/>
        <v>70.15</v>
      </c>
    </row>
    <row r="187" spans="1:14">
      <c r="A187" s="12" t="str">
        <f>Absolute_Scores!A187</f>
        <v>@safirakaunang</v>
      </c>
      <c r="B187" s="12" t="str">
        <f>Absolute_Scores!B187</f>
        <v>Instagram</v>
      </c>
      <c r="C187" s="29">
        <f>Absolute_Scores!D187</f>
        <v>52</v>
      </c>
      <c r="D187" s="30">
        <f t="shared" si="6"/>
        <v>65</v>
      </c>
      <c r="F187" s="12" t="str">
        <f>Absolute_Scores!F187</f>
        <v>@bernadettegainara</v>
      </c>
      <c r="G187" s="12" t="str">
        <f>Absolute_Scores!G187</f>
        <v>Instagram</v>
      </c>
      <c r="H187" s="29">
        <f>Absolute_Scores!I187</f>
        <v>56</v>
      </c>
      <c r="I187" s="30">
        <f t="shared" si="7"/>
        <v>70</v>
      </c>
      <c r="K187" s="12" t="str">
        <f>Absolute_Scores!K187</f>
        <v>@asriutari8</v>
      </c>
      <c r="L187" s="12" t="str">
        <f>Absolute_Scores!L187</f>
        <v>Instagram</v>
      </c>
      <c r="M187" s="29">
        <f>Absolute_Scores!N187</f>
        <v>47</v>
      </c>
      <c r="N187" s="30">
        <f t="shared" si="8"/>
        <v>70.15</v>
      </c>
    </row>
    <row r="188" spans="1:14">
      <c r="A188" s="12" t="str">
        <f>Absolute_Scores!A188</f>
        <v>@serafinalvs</v>
      </c>
      <c r="B188" s="12" t="str">
        <f>Absolute_Scores!B188</f>
        <v>Instagram</v>
      </c>
      <c r="C188" s="29">
        <f>Absolute_Scores!D188</f>
        <v>52</v>
      </c>
      <c r="D188" s="30">
        <f t="shared" si="6"/>
        <v>65</v>
      </c>
      <c r="F188" s="12" t="str">
        <f>Absolute_Scores!F188</f>
        <v>@iben_ma</v>
      </c>
      <c r="G188" s="12" t="str">
        <f>Absolute_Scores!G188</f>
        <v>TikTok</v>
      </c>
      <c r="H188" s="29">
        <f>Absolute_Scores!I188</f>
        <v>56</v>
      </c>
      <c r="I188" s="30">
        <f t="shared" si="7"/>
        <v>70</v>
      </c>
      <c r="K188" s="12" t="str">
        <f>Absolute_Scores!K188</f>
        <v>@ayu.kartikaa</v>
      </c>
      <c r="L188" s="12" t="str">
        <f>Absolute_Scores!L188</f>
        <v>Instagram</v>
      </c>
      <c r="M188" s="29">
        <f>Absolute_Scores!N188</f>
        <v>47</v>
      </c>
      <c r="N188" s="30">
        <f t="shared" si="8"/>
        <v>70.15</v>
      </c>
    </row>
    <row r="189" spans="1:14">
      <c r="A189" s="12" t="str">
        <f>Absolute_Scores!A189</f>
        <v>@tehikaa</v>
      </c>
      <c r="B189" s="12" t="str">
        <f>Absolute_Scores!B189</f>
        <v>Instagram</v>
      </c>
      <c r="C189" s="29">
        <f>Absolute_Scores!D189</f>
        <v>52</v>
      </c>
      <c r="D189" s="30">
        <f t="shared" si="6"/>
        <v>65</v>
      </c>
      <c r="F189" s="12" t="str">
        <f>Absolute_Scores!F189</f>
        <v>@ibnuwardani</v>
      </c>
      <c r="G189" s="12" t="str">
        <f>Absolute_Scores!G189</f>
        <v>TikTok</v>
      </c>
      <c r="H189" s="29">
        <f>Absolute_Scores!I189</f>
        <v>56</v>
      </c>
      <c r="I189" s="30">
        <f t="shared" si="7"/>
        <v>70</v>
      </c>
      <c r="K189" s="12" t="str">
        <f>Absolute_Scores!K189</f>
        <v>@bellatjahyadii</v>
      </c>
      <c r="L189" s="12" t="str">
        <f>Absolute_Scores!L189</f>
        <v>Instagram</v>
      </c>
      <c r="M189" s="29">
        <f>Absolute_Scores!N189</f>
        <v>47</v>
      </c>
      <c r="N189" s="30">
        <f t="shared" si="8"/>
        <v>70.15</v>
      </c>
    </row>
    <row r="190" spans="1:14">
      <c r="A190" s="12" t="str">
        <f>Absolute_Scores!A190</f>
        <v>@virginiaobed</v>
      </c>
      <c r="B190" s="12" t="str">
        <f>Absolute_Scores!B190</f>
        <v>Instagram</v>
      </c>
      <c r="C190" s="29">
        <f>Absolute_Scores!D190</f>
        <v>52</v>
      </c>
      <c r="D190" s="30">
        <f t="shared" si="6"/>
        <v>65</v>
      </c>
      <c r="F190" s="12" t="str">
        <f>Absolute_Scores!F190</f>
        <v>@karmalogy</v>
      </c>
      <c r="G190" s="12" t="str">
        <f>Absolute_Scores!G190</f>
        <v>TikTok</v>
      </c>
      <c r="H190" s="29">
        <f>Absolute_Scores!I190</f>
        <v>56</v>
      </c>
      <c r="I190" s="30">
        <f t="shared" si="7"/>
        <v>70</v>
      </c>
      <c r="K190" s="12" t="str">
        <f>Absolute_Scores!K190</f>
        <v>@bepe20</v>
      </c>
      <c r="L190" s="12" t="str">
        <f>Absolute_Scores!L190</f>
        <v>Instagram</v>
      </c>
      <c r="M190" s="29">
        <f>Absolute_Scores!N190</f>
        <v>47</v>
      </c>
      <c r="N190" s="30">
        <f t="shared" si="8"/>
        <v>70.15</v>
      </c>
    </row>
    <row r="191" spans="1:14">
      <c r="A191" s="12" t="str">
        <f>Absolute_Scores!A191</f>
        <v>@vlrieval</v>
      </c>
      <c r="B191" s="12" t="str">
        <f>Absolute_Scores!B191</f>
        <v>Instagram</v>
      </c>
      <c r="C191" s="29">
        <f>Absolute_Scores!D191</f>
        <v>52</v>
      </c>
      <c r="D191" s="30">
        <f t="shared" si="6"/>
        <v>65</v>
      </c>
      <c r="F191" s="12" t="str">
        <f>Absolute_Scores!F191</f>
        <v>@kokojackson7</v>
      </c>
      <c r="G191" s="12" t="str">
        <f>Absolute_Scores!G191</f>
        <v>Instagram</v>
      </c>
      <c r="H191" s="29">
        <f>Absolute_Scores!I191</f>
        <v>56</v>
      </c>
      <c r="I191" s="30">
        <f t="shared" si="7"/>
        <v>70</v>
      </c>
      <c r="K191" s="12" t="str">
        <f>Absolute_Scores!K191</f>
        <v>@cidhiya</v>
      </c>
      <c r="L191" s="12" t="str">
        <f>Absolute_Scores!L191</f>
        <v>Instagram</v>
      </c>
      <c r="M191" s="29">
        <f>Absolute_Scores!N191</f>
        <v>47</v>
      </c>
      <c r="N191" s="30">
        <f t="shared" si="8"/>
        <v>70.15</v>
      </c>
    </row>
    <row r="192" spans="1:14">
      <c r="A192" s="12" t="str">
        <f>Absolute_Scores!A192</f>
        <v>@arinprastya</v>
      </c>
      <c r="B192" s="12" t="str">
        <f>Absolute_Scores!B192</f>
        <v>Instagram</v>
      </c>
      <c r="C192" s="29">
        <f>Absolute_Scores!D192</f>
        <v>51</v>
      </c>
      <c r="D192" s="30">
        <f t="shared" si="6"/>
        <v>63.75</v>
      </c>
      <c r="F192" s="12" t="str">
        <f>Absolute_Scores!F192</f>
        <v>@ocihasanah</v>
      </c>
      <c r="G192" s="12" t="str">
        <f>Absolute_Scores!G192</f>
        <v>Instagram</v>
      </c>
      <c r="H192" s="29">
        <f>Absolute_Scores!I192</f>
        <v>56</v>
      </c>
      <c r="I192" s="30">
        <f t="shared" si="7"/>
        <v>70</v>
      </c>
      <c r="K192" s="12" t="str">
        <f>Absolute_Scores!K192</f>
        <v>@deborahani</v>
      </c>
      <c r="L192" s="12" t="str">
        <f>Absolute_Scores!L192</f>
        <v>Instagram</v>
      </c>
      <c r="M192" s="29">
        <f>Absolute_Scores!N192</f>
        <v>47</v>
      </c>
      <c r="N192" s="30">
        <f t="shared" si="8"/>
        <v>70.15</v>
      </c>
    </row>
    <row r="193" spans="1:14">
      <c r="A193" s="12" t="str">
        <f>Absolute_Scores!A193</f>
        <v>@brigittairene22</v>
      </c>
      <c r="B193" s="12" t="str">
        <f>Absolute_Scores!B193</f>
        <v>Instagram</v>
      </c>
      <c r="C193" s="29">
        <f>Absolute_Scores!D193</f>
        <v>51</v>
      </c>
      <c r="D193" s="30">
        <f t="shared" si="6"/>
        <v>63.75</v>
      </c>
      <c r="F193" s="12" t="str">
        <f>Absolute_Scores!F193</f>
        <v>@__ehan</v>
      </c>
      <c r="G193" s="12" t="str">
        <f>Absolute_Scores!G193</f>
        <v>TikTok</v>
      </c>
      <c r="H193" s="29">
        <f>Absolute_Scores!I193</f>
        <v>55</v>
      </c>
      <c r="I193" s="30">
        <f t="shared" si="7"/>
        <v>68.75</v>
      </c>
      <c r="K193" s="12" t="str">
        <f>Absolute_Scores!K193</f>
        <v>@doktermedok</v>
      </c>
      <c r="L193" s="12" t="str">
        <f>Absolute_Scores!L193</f>
        <v>Instagram</v>
      </c>
      <c r="M193" s="29">
        <f>Absolute_Scores!N193</f>
        <v>47</v>
      </c>
      <c r="N193" s="30">
        <f t="shared" si="8"/>
        <v>70.15</v>
      </c>
    </row>
    <row r="194" spans="1:14">
      <c r="A194" s="12" t="str">
        <f>Absolute_Scores!A194</f>
        <v>@cindymeisiany</v>
      </c>
      <c r="B194" s="12" t="str">
        <f>Absolute_Scores!B194</f>
        <v>Instagram</v>
      </c>
      <c r="C194" s="29">
        <f>Absolute_Scores!D194</f>
        <v>51</v>
      </c>
      <c r="D194" s="30">
        <f t="shared" si="6"/>
        <v>63.75</v>
      </c>
      <c r="F194" s="12" t="str">
        <f>Absolute_Scores!F194</f>
        <v>@abellyc</v>
      </c>
      <c r="G194" s="12" t="str">
        <f>Absolute_Scores!G194</f>
        <v>Instagram</v>
      </c>
      <c r="H194" s="29">
        <f>Absolute_Scores!I194</f>
        <v>55</v>
      </c>
      <c r="I194" s="30">
        <f t="shared" si="7"/>
        <v>68.75</v>
      </c>
      <c r="K194" s="12" t="str">
        <f>Absolute_Scores!K194</f>
        <v>@enyablanco</v>
      </c>
      <c r="L194" s="12" t="str">
        <f>Absolute_Scores!L194</f>
        <v>Instagram</v>
      </c>
      <c r="M194" s="29">
        <f>Absolute_Scores!N194</f>
        <v>47</v>
      </c>
      <c r="N194" s="30">
        <f t="shared" si="8"/>
        <v>70.15</v>
      </c>
    </row>
    <row r="195" spans="1:14">
      <c r="A195" s="12" t="str">
        <f>Absolute_Scores!A195</f>
        <v>@daenkrukka</v>
      </c>
      <c r="B195" s="12" t="str">
        <f>Absolute_Scores!B195</f>
        <v>Instagram</v>
      </c>
      <c r="C195" s="29">
        <f>Absolute_Scores!D195</f>
        <v>51</v>
      </c>
      <c r="D195" s="30">
        <f t="shared" si="6"/>
        <v>63.75</v>
      </c>
      <c r="F195" s="12" t="str">
        <f>Absolute_Scores!F195</f>
        <v>@adenalfurqon</v>
      </c>
      <c r="G195" s="12" t="str">
        <f>Absolute_Scores!G195</f>
        <v>Instagram</v>
      </c>
      <c r="H195" s="29">
        <f>Absolute_Scores!I195</f>
        <v>55</v>
      </c>
      <c r="I195" s="30">
        <f t="shared" si="7"/>
        <v>68.75</v>
      </c>
      <c r="K195" s="12" t="str">
        <f>Absolute_Scores!K195</f>
        <v>@eunike_tn</v>
      </c>
      <c r="L195" s="12" t="str">
        <f>Absolute_Scores!L195</f>
        <v>Instagram</v>
      </c>
      <c r="M195" s="29">
        <f>Absolute_Scores!N195</f>
        <v>47</v>
      </c>
      <c r="N195" s="30">
        <f t="shared" si="8"/>
        <v>70.15</v>
      </c>
    </row>
    <row r="196" spans="1:14">
      <c r="A196" s="12" t="str">
        <f>Absolute_Scores!A196</f>
        <v>@delaakr_</v>
      </c>
      <c r="B196" s="12" t="str">
        <f>Absolute_Scores!B196</f>
        <v>Instagram</v>
      </c>
      <c r="C196" s="29">
        <f>Absolute_Scores!D196</f>
        <v>51</v>
      </c>
      <c r="D196" s="30">
        <f t="shared" si="6"/>
        <v>63.75</v>
      </c>
      <c r="F196" s="12" t="str">
        <f>Absolute_Scores!F196</f>
        <v>@aialbar</v>
      </c>
      <c r="G196" s="12" t="str">
        <f>Absolute_Scores!G196</f>
        <v>Instagram</v>
      </c>
      <c r="H196" s="29">
        <f>Absolute_Scores!I196</f>
        <v>55</v>
      </c>
      <c r="I196" s="30">
        <f t="shared" si="7"/>
        <v>68.75</v>
      </c>
      <c r="K196" s="12" t="str">
        <f>Absolute_Scores!K196</f>
        <v>@farasyafara</v>
      </c>
      <c r="L196" s="12" t="str">
        <f>Absolute_Scores!L196</f>
        <v>Instagram</v>
      </c>
      <c r="M196" s="29">
        <f>Absolute_Scores!N196</f>
        <v>47</v>
      </c>
      <c r="N196" s="30">
        <f t="shared" si="8"/>
        <v>70.15</v>
      </c>
    </row>
    <row r="197" spans="1:14">
      <c r="A197" s="12" t="str">
        <f>Absolute_Scores!A197</f>
        <v>@dwisuci_ardi</v>
      </c>
      <c r="B197" s="12" t="str">
        <f>Absolute_Scores!B197</f>
        <v>Instagram</v>
      </c>
      <c r="C197" s="29">
        <f>Absolute_Scores!D197</f>
        <v>51</v>
      </c>
      <c r="D197" s="30">
        <f t="shared" si="6"/>
        <v>63.75</v>
      </c>
      <c r="F197" s="12" t="str">
        <f>Absolute_Scores!F197</f>
        <v>@alenzivio</v>
      </c>
      <c r="G197" s="12" t="str">
        <f>Absolute_Scores!G197</f>
        <v>Instagram</v>
      </c>
      <c r="H197" s="29">
        <f>Absolute_Scores!I197</f>
        <v>55</v>
      </c>
      <c r="I197" s="30">
        <f t="shared" si="7"/>
        <v>68.75</v>
      </c>
      <c r="K197" s="12" t="str">
        <f>Absolute_Scores!K197</f>
        <v>@firna.alisha</v>
      </c>
      <c r="L197" s="12" t="str">
        <f>Absolute_Scores!L197</f>
        <v>Instagram</v>
      </c>
      <c r="M197" s="29">
        <f>Absolute_Scores!N197</f>
        <v>47</v>
      </c>
      <c r="N197" s="30">
        <f t="shared" si="8"/>
        <v>70.15</v>
      </c>
    </row>
    <row r="198" spans="1:14">
      <c r="A198" s="12" t="str">
        <f>Absolute_Scores!A198</f>
        <v>@dwiuuzzukk19</v>
      </c>
      <c r="B198" s="12" t="str">
        <f>Absolute_Scores!B198</f>
        <v>Instagram</v>
      </c>
      <c r="C198" s="29">
        <f>Absolute_Scores!D198</f>
        <v>51</v>
      </c>
      <c r="D198" s="30">
        <f t="shared" ref="D198:D261" si="9">ROUND(C198/$D$4*100,2)</f>
        <v>63.75</v>
      </c>
      <c r="F198" s="12" t="str">
        <f>Absolute_Scores!F198</f>
        <v>@alexandraasherly</v>
      </c>
      <c r="G198" s="12" t="str">
        <f>Absolute_Scores!G198</f>
        <v>Instagram</v>
      </c>
      <c r="H198" s="29">
        <f>Absolute_Scores!I198</f>
        <v>55</v>
      </c>
      <c r="I198" s="30">
        <f t="shared" ref="I198:I261" si="10">ROUND(H198/$I$4*100,2)</f>
        <v>68.75</v>
      </c>
      <c r="K198" s="12" t="str">
        <f>Absolute_Scores!K198</f>
        <v>@hendyvijaya</v>
      </c>
      <c r="L198" s="12" t="str">
        <f>Absolute_Scores!L198</f>
        <v>Instagram</v>
      </c>
      <c r="M198" s="29">
        <f>Absolute_Scores!N198</f>
        <v>47</v>
      </c>
      <c r="N198" s="30">
        <f t="shared" ref="N198:N261" si="11">ROUND(M198/$N$4*100,2)</f>
        <v>70.15</v>
      </c>
    </row>
    <row r="199" spans="1:14">
      <c r="A199" s="12" t="str">
        <f>Absolute_Scores!A199</f>
        <v>@evi_mamadzaky</v>
      </c>
      <c r="B199" s="12" t="str">
        <f>Absolute_Scores!B199</f>
        <v>Instagram</v>
      </c>
      <c r="C199" s="29">
        <f>Absolute_Scores!D199</f>
        <v>51</v>
      </c>
      <c r="D199" s="30">
        <f t="shared" si="9"/>
        <v>63.75</v>
      </c>
      <c r="F199" s="12" t="str">
        <f>Absolute_Scores!F199</f>
        <v>@alyssadaguise</v>
      </c>
      <c r="G199" s="12" t="str">
        <f>Absolute_Scores!G199</f>
        <v>Instagram</v>
      </c>
      <c r="H199" s="29">
        <f>Absolute_Scores!I199</f>
        <v>55</v>
      </c>
      <c r="I199" s="30">
        <f t="shared" si="10"/>
        <v>68.75</v>
      </c>
      <c r="K199" s="12" t="str">
        <f>Absolute_Scores!K199</f>
        <v>@hesfinatia</v>
      </c>
      <c r="L199" s="12" t="str">
        <f>Absolute_Scores!L199</f>
        <v>TikTok</v>
      </c>
      <c r="M199" s="29">
        <f>Absolute_Scores!N199</f>
        <v>47</v>
      </c>
      <c r="N199" s="30">
        <f t="shared" si="11"/>
        <v>70.15</v>
      </c>
    </row>
    <row r="200" spans="1:14">
      <c r="A200" s="12" t="str">
        <f>Absolute_Scores!A200</f>
        <v>@fideliachristina_</v>
      </c>
      <c r="B200" s="12" t="str">
        <f>Absolute_Scores!B200</f>
        <v>Instagram</v>
      </c>
      <c r="C200" s="29">
        <f>Absolute_Scores!D200</f>
        <v>51</v>
      </c>
      <c r="D200" s="30">
        <f t="shared" si="9"/>
        <v>63.75</v>
      </c>
      <c r="F200" s="12" t="str">
        <f>Absolute_Scores!F200</f>
        <v>@andikahonda18</v>
      </c>
      <c r="G200" s="12" t="str">
        <f>Absolute_Scores!G200</f>
        <v>Instagram</v>
      </c>
      <c r="H200" s="29">
        <f>Absolute_Scores!I200</f>
        <v>55</v>
      </c>
      <c r="I200" s="30">
        <f t="shared" si="10"/>
        <v>68.75</v>
      </c>
      <c r="K200" s="12" t="str">
        <f>Absolute_Scores!K200</f>
        <v>@heyciaa</v>
      </c>
      <c r="L200" s="12" t="str">
        <f>Absolute_Scores!L200</f>
        <v>Instagram</v>
      </c>
      <c r="M200" s="29">
        <f>Absolute_Scores!N200</f>
        <v>47</v>
      </c>
      <c r="N200" s="30">
        <f t="shared" si="11"/>
        <v>70.15</v>
      </c>
    </row>
    <row r="201" spans="1:14">
      <c r="A201" s="12" t="str">
        <f>Absolute_Scores!A201</f>
        <v>@haiucel</v>
      </c>
      <c r="B201" s="12" t="str">
        <f>Absolute_Scores!B201</f>
        <v>Instagram</v>
      </c>
      <c r="C201" s="29">
        <f>Absolute_Scores!D201</f>
        <v>51</v>
      </c>
      <c r="D201" s="30">
        <f t="shared" si="9"/>
        <v>63.75</v>
      </c>
      <c r="F201" s="12" t="str">
        <f>Absolute_Scores!F201</f>
        <v>@andrew.white._</v>
      </c>
      <c r="G201" s="12" t="str">
        <f>Absolute_Scores!G201</f>
        <v>Instagram</v>
      </c>
      <c r="H201" s="29">
        <f>Absolute_Scores!I201</f>
        <v>55</v>
      </c>
      <c r="I201" s="30">
        <f t="shared" si="10"/>
        <v>68.75</v>
      </c>
      <c r="K201" s="12" t="str">
        <f>Absolute_Scores!K201</f>
        <v>@ibas404</v>
      </c>
      <c r="L201" s="12" t="str">
        <f>Absolute_Scores!L201</f>
        <v>Instagram</v>
      </c>
      <c r="M201" s="29">
        <f>Absolute_Scores!N201</f>
        <v>47</v>
      </c>
      <c r="N201" s="30">
        <f t="shared" si="11"/>
        <v>70.15</v>
      </c>
    </row>
    <row r="202" spans="1:14">
      <c r="A202" s="12" t="str">
        <f>Absolute_Scores!A202</f>
        <v>@jocelynleora_</v>
      </c>
      <c r="B202" s="12" t="str">
        <f>Absolute_Scores!B202</f>
        <v>Instagram</v>
      </c>
      <c r="C202" s="29">
        <f>Absolute_Scores!D202</f>
        <v>51</v>
      </c>
      <c r="D202" s="30">
        <f t="shared" si="9"/>
        <v>63.75</v>
      </c>
      <c r="F202" s="12" t="str">
        <f>Absolute_Scores!F202</f>
        <v>@andyyanata</v>
      </c>
      <c r="G202" s="12" t="str">
        <f>Absolute_Scores!G202</f>
        <v>Instagram</v>
      </c>
      <c r="H202" s="29">
        <f>Absolute_Scores!I202</f>
        <v>55</v>
      </c>
      <c r="I202" s="30">
        <f t="shared" si="10"/>
        <v>68.75</v>
      </c>
      <c r="K202" s="12" t="str">
        <f>Absolute_Scores!K202</f>
        <v>@indrowarkop_asli</v>
      </c>
      <c r="L202" s="12" t="str">
        <f>Absolute_Scores!L202</f>
        <v>Instagram</v>
      </c>
      <c r="M202" s="29">
        <f>Absolute_Scores!N202</f>
        <v>47</v>
      </c>
      <c r="N202" s="30">
        <f t="shared" si="11"/>
        <v>70.15</v>
      </c>
    </row>
    <row r="203" spans="1:14">
      <c r="A203" s="12" t="str">
        <f>Absolute_Scores!A203</f>
        <v>@jujudaisme</v>
      </c>
      <c r="B203" s="12" t="str">
        <f>Absolute_Scores!B203</f>
        <v>Instagram</v>
      </c>
      <c r="C203" s="29">
        <f>Absolute_Scores!D203</f>
        <v>51</v>
      </c>
      <c r="D203" s="30">
        <f t="shared" si="9"/>
        <v>63.75</v>
      </c>
      <c r="F203" s="12" t="str">
        <f>Absolute_Scores!F203</f>
        <v>@anggikabolsterli</v>
      </c>
      <c r="G203" s="12" t="str">
        <f>Absolute_Scores!G203</f>
        <v>Instagram</v>
      </c>
      <c r="H203" s="29">
        <f>Absolute_Scores!I203</f>
        <v>55</v>
      </c>
      <c r="I203" s="30">
        <f t="shared" si="10"/>
        <v>68.75</v>
      </c>
      <c r="K203" s="12" t="str">
        <f>Absolute_Scores!K203</f>
        <v>@irwansyah_15</v>
      </c>
      <c r="L203" s="12" t="str">
        <f>Absolute_Scores!L203</f>
        <v>Instagram</v>
      </c>
      <c r="M203" s="29">
        <f>Absolute_Scores!N203</f>
        <v>47</v>
      </c>
      <c r="N203" s="30">
        <f t="shared" si="11"/>
        <v>70.15</v>
      </c>
    </row>
    <row r="204" spans="1:14">
      <c r="A204" s="12" t="str">
        <f>Absolute_Scores!A204</f>
        <v>@levianaivel</v>
      </c>
      <c r="B204" s="12" t="str">
        <f>Absolute_Scores!B204</f>
        <v>Instagram</v>
      </c>
      <c r="C204" s="29">
        <f>Absolute_Scores!D204</f>
        <v>51</v>
      </c>
      <c r="D204" s="30">
        <f t="shared" si="9"/>
        <v>63.75</v>
      </c>
      <c r="F204" s="12" t="str">
        <f>Absolute_Scores!F204</f>
        <v>@anggraenivaniap</v>
      </c>
      <c r="G204" s="12" t="str">
        <f>Absolute_Scores!G204</f>
        <v>Instagram</v>
      </c>
      <c r="H204" s="29">
        <f>Absolute_Scores!I204</f>
        <v>55</v>
      </c>
      <c r="I204" s="30">
        <f t="shared" si="10"/>
        <v>68.75</v>
      </c>
      <c r="K204" s="12" t="str">
        <f>Absolute_Scores!K204</f>
        <v>@jonathan_abe</v>
      </c>
      <c r="L204" s="12" t="str">
        <f>Absolute_Scores!L204</f>
        <v>Instagram</v>
      </c>
      <c r="M204" s="29">
        <f>Absolute_Scores!N204</f>
        <v>47</v>
      </c>
      <c r="N204" s="30">
        <f t="shared" si="11"/>
        <v>70.15</v>
      </c>
    </row>
    <row r="205" spans="1:14">
      <c r="A205" s="12" t="str">
        <f>Absolute_Scores!A205</f>
        <v>@miaanf</v>
      </c>
      <c r="B205" s="12" t="str">
        <f>Absolute_Scores!B205</f>
        <v>Instagram</v>
      </c>
      <c r="C205" s="29">
        <f>Absolute_Scores!D205</f>
        <v>51</v>
      </c>
      <c r="D205" s="30">
        <f t="shared" si="9"/>
        <v>63.75</v>
      </c>
      <c r="F205" s="12" t="str">
        <f>Absolute_Scores!F205</f>
        <v>@aninditahidayat</v>
      </c>
      <c r="G205" s="12" t="str">
        <f>Absolute_Scores!G205</f>
        <v>Instagram</v>
      </c>
      <c r="H205" s="29">
        <f>Absolute_Scores!I205</f>
        <v>55</v>
      </c>
      <c r="I205" s="30">
        <f t="shared" si="10"/>
        <v>68.75</v>
      </c>
      <c r="K205" s="12" t="str">
        <f>Absolute_Scores!K205</f>
        <v>@kaekariany</v>
      </c>
      <c r="L205" s="12" t="str">
        <f>Absolute_Scores!L205</f>
        <v>Instagram</v>
      </c>
      <c r="M205" s="29">
        <f>Absolute_Scores!N205</f>
        <v>47</v>
      </c>
      <c r="N205" s="30">
        <f t="shared" si="11"/>
        <v>70.15</v>
      </c>
    </row>
    <row r="206" spans="1:14">
      <c r="A206" s="12" t="str">
        <f>Absolute_Scores!A206</f>
        <v>@mineralbotanica</v>
      </c>
      <c r="B206" s="12" t="str">
        <f>Absolute_Scores!B206</f>
        <v>Instagram</v>
      </c>
      <c r="C206" s="29">
        <f>Absolute_Scores!D206</f>
        <v>51</v>
      </c>
      <c r="D206" s="30">
        <f t="shared" si="9"/>
        <v>63.75</v>
      </c>
      <c r="F206" s="12" t="str">
        <f>Absolute_Scores!F206</f>
        <v>@aqilladiary</v>
      </c>
      <c r="G206" s="12" t="str">
        <f>Absolute_Scores!G206</f>
        <v>Instagram</v>
      </c>
      <c r="H206" s="29">
        <f>Absolute_Scores!I206</f>
        <v>55</v>
      </c>
      <c r="I206" s="30">
        <f t="shared" si="10"/>
        <v>68.75</v>
      </c>
      <c r="K206" s="12" t="str">
        <f>Absolute_Scores!K206</f>
        <v>@mahirakanis</v>
      </c>
      <c r="L206" s="12" t="str">
        <f>Absolute_Scores!L206</f>
        <v>Instagram</v>
      </c>
      <c r="M206" s="29">
        <f>Absolute_Scores!N206</f>
        <v>47</v>
      </c>
      <c r="N206" s="30">
        <f t="shared" si="11"/>
        <v>70.15</v>
      </c>
    </row>
    <row r="207" spans="1:14">
      <c r="A207" s="12" t="str">
        <f>Absolute_Scores!A207</f>
        <v>@mommylony</v>
      </c>
      <c r="B207" s="12" t="str">
        <f>Absolute_Scores!B207</f>
        <v>Instagram</v>
      </c>
      <c r="C207" s="29">
        <f>Absolute_Scores!D207</f>
        <v>51</v>
      </c>
      <c r="D207" s="30">
        <f t="shared" si="9"/>
        <v>63.75</v>
      </c>
      <c r="F207" s="12" t="str">
        <f>Absolute_Scores!F207</f>
        <v>@arkhanfikri</v>
      </c>
      <c r="G207" s="12" t="str">
        <f>Absolute_Scores!G207</f>
        <v>Instagram</v>
      </c>
      <c r="H207" s="29">
        <f>Absolute_Scores!I207</f>
        <v>55</v>
      </c>
      <c r="I207" s="30">
        <f t="shared" si="10"/>
        <v>68.75</v>
      </c>
      <c r="K207" s="12" t="str">
        <f>Absolute_Scores!K207</f>
        <v>@marianesia</v>
      </c>
      <c r="L207" s="12" t="str">
        <f>Absolute_Scores!L207</f>
        <v>Instagram</v>
      </c>
      <c r="M207" s="29">
        <f>Absolute_Scores!N207</f>
        <v>47</v>
      </c>
      <c r="N207" s="30">
        <f t="shared" si="11"/>
        <v>70.15</v>
      </c>
    </row>
    <row r="208" spans="1:14">
      <c r="A208" s="12" t="str">
        <f>Absolute_Scores!A208</f>
        <v>@nadhieraa</v>
      </c>
      <c r="B208" s="12" t="str">
        <f>Absolute_Scores!B208</f>
        <v>Instagram</v>
      </c>
      <c r="C208" s="29">
        <f>Absolute_Scores!D208</f>
        <v>51</v>
      </c>
      <c r="D208" s="30">
        <f t="shared" si="9"/>
        <v>63.75</v>
      </c>
      <c r="F208" s="12" t="str">
        <f>Absolute_Scores!F208</f>
        <v>@asabelliaa</v>
      </c>
      <c r="G208" s="12" t="str">
        <f>Absolute_Scores!G208</f>
        <v>Instagram</v>
      </c>
      <c r="H208" s="29">
        <f>Absolute_Scores!I208</f>
        <v>55</v>
      </c>
      <c r="I208" s="30">
        <f t="shared" si="10"/>
        <v>68.75</v>
      </c>
      <c r="K208" s="12" t="str">
        <f>Absolute_Scores!K208</f>
        <v>@metaiskandar</v>
      </c>
      <c r="L208" s="12" t="str">
        <f>Absolute_Scores!L208</f>
        <v>Instagram</v>
      </c>
      <c r="M208" s="29">
        <f>Absolute_Scores!N208</f>
        <v>47</v>
      </c>
      <c r="N208" s="30">
        <f t="shared" si="11"/>
        <v>70.15</v>
      </c>
    </row>
    <row r="209" spans="1:14">
      <c r="A209" s="12" t="str">
        <f>Absolute_Scores!A209</f>
        <v>@oliviareginas18</v>
      </c>
      <c r="B209" s="12" t="str">
        <f>Absolute_Scores!B209</f>
        <v>Instagram</v>
      </c>
      <c r="C209" s="29">
        <f>Absolute_Scores!D209</f>
        <v>51</v>
      </c>
      <c r="D209" s="30">
        <f t="shared" si="9"/>
        <v>63.75</v>
      </c>
      <c r="F209" s="12" t="str">
        <f>Absolute_Scores!F209</f>
        <v>@basiaputri</v>
      </c>
      <c r="G209" s="12" t="str">
        <f>Absolute_Scores!G209</f>
        <v>Instagram</v>
      </c>
      <c r="H209" s="29">
        <f>Absolute_Scores!I209</f>
        <v>55</v>
      </c>
      <c r="I209" s="30">
        <f t="shared" si="10"/>
        <v>68.75</v>
      </c>
      <c r="K209" s="12" t="str">
        <f>Absolute_Scores!K209</f>
        <v>@mutiarasanova</v>
      </c>
      <c r="L209" s="12" t="str">
        <f>Absolute_Scores!L209</f>
        <v>Instagram</v>
      </c>
      <c r="M209" s="29">
        <f>Absolute_Scores!N209</f>
        <v>47</v>
      </c>
      <c r="N209" s="30">
        <f t="shared" si="11"/>
        <v>70.15</v>
      </c>
    </row>
    <row r="210" spans="1:14">
      <c r="A210" s="12" t="str">
        <f>Absolute_Scores!A210</f>
        <v>@queenpink2818</v>
      </c>
      <c r="B210" s="12" t="str">
        <f>Absolute_Scores!B210</f>
        <v>Instagram</v>
      </c>
      <c r="C210" s="29">
        <f>Absolute_Scores!D210</f>
        <v>51</v>
      </c>
      <c r="D210" s="30">
        <f t="shared" si="9"/>
        <v>63.75</v>
      </c>
      <c r="F210" s="12" t="str">
        <f>Absolute_Scores!F210</f>
        <v>@bjawato</v>
      </c>
      <c r="G210" s="12" t="str">
        <f>Absolute_Scores!G210</f>
        <v>Instagram</v>
      </c>
      <c r="H210" s="29">
        <f>Absolute_Scores!I210</f>
        <v>55</v>
      </c>
      <c r="I210" s="30">
        <f t="shared" si="10"/>
        <v>68.75</v>
      </c>
      <c r="K210" s="12" t="str">
        <f>Absolute_Scores!K210</f>
        <v>@mutiatreza</v>
      </c>
      <c r="L210" s="12" t="str">
        <f>Absolute_Scores!L210</f>
        <v>Instagram</v>
      </c>
      <c r="M210" s="29">
        <f>Absolute_Scores!N210</f>
        <v>47</v>
      </c>
      <c r="N210" s="30">
        <f t="shared" si="11"/>
        <v>70.15</v>
      </c>
    </row>
    <row r="211" spans="1:14">
      <c r="A211" s="12" t="str">
        <f>Absolute_Scores!A211</f>
        <v>@revialdooo</v>
      </c>
      <c r="B211" s="12" t="str">
        <f>Absolute_Scores!B211</f>
        <v>Instagram</v>
      </c>
      <c r="C211" s="29">
        <f>Absolute_Scores!D211</f>
        <v>51</v>
      </c>
      <c r="D211" s="30">
        <f t="shared" si="9"/>
        <v>63.75</v>
      </c>
      <c r="F211" s="12" t="str">
        <f>Absolute_Scores!F211</f>
        <v>@bobonsantoso</v>
      </c>
      <c r="G211" s="12" t="str">
        <f>Absolute_Scores!G211</f>
        <v>Instagram</v>
      </c>
      <c r="H211" s="29">
        <f>Absolute_Scores!I211</f>
        <v>55</v>
      </c>
      <c r="I211" s="30">
        <f t="shared" si="10"/>
        <v>68.75</v>
      </c>
      <c r="K211" s="12" t="str">
        <f>Absolute_Scores!K211</f>
        <v>@nabibil.a</v>
      </c>
      <c r="L211" s="12" t="str">
        <f>Absolute_Scores!L211</f>
        <v>Instagram</v>
      </c>
      <c r="M211" s="29">
        <f>Absolute_Scores!N211</f>
        <v>47</v>
      </c>
      <c r="N211" s="30">
        <f t="shared" si="11"/>
        <v>70.15</v>
      </c>
    </row>
    <row r="212" spans="1:14">
      <c r="A212" s="12" t="str">
        <f>Absolute_Scores!A212</f>
        <v>@riaprnmasr</v>
      </c>
      <c r="B212" s="12" t="str">
        <f>Absolute_Scores!B212</f>
        <v>Instagram</v>
      </c>
      <c r="C212" s="29">
        <f>Absolute_Scores!D212</f>
        <v>51</v>
      </c>
      <c r="D212" s="30">
        <f t="shared" si="9"/>
        <v>63.75</v>
      </c>
      <c r="F212" s="12" t="str">
        <f>Absolute_Scores!F212</f>
        <v>@bumantarateam</v>
      </c>
      <c r="G212" s="12" t="str">
        <f>Absolute_Scores!G212</f>
        <v>Instagram</v>
      </c>
      <c r="H212" s="29">
        <f>Absolute_Scores!I212</f>
        <v>55</v>
      </c>
      <c r="I212" s="30">
        <f t="shared" si="10"/>
        <v>68.75</v>
      </c>
      <c r="K212" s="12" t="str">
        <f>Absolute_Scores!K212</f>
        <v>@neexchy</v>
      </c>
      <c r="L212" s="12" t="str">
        <f>Absolute_Scores!L212</f>
        <v>Instagram</v>
      </c>
      <c r="M212" s="29">
        <f>Absolute_Scores!N212</f>
        <v>47</v>
      </c>
      <c r="N212" s="30">
        <f t="shared" si="11"/>
        <v>70.15</v>
      </c>
    </row>
    <row r="213" spans="1:14">
      <c r="A213" s="12" t="str">
        <f>Absolute_Scores!A213</f>
        <v>@skinonscreen</v>
      </c>
      <c r="B213" s="12" t="str">
        <f>Absolute_Scores!B213</f>
        <v>Instagram</v>
      </c>
      <c r="C213" s="29">
        <f>Absolute_Scores!D213</f>
        <v>51</v>
      </c>
      <c r="D213" s="30">
        <f t="shared" si="9"/>
        <v>63.75</v>
      </c>
      <c r="F213" s="12" t="str">
        <f>Absolute_Scores!F213</f>
        <v>@cchasagala</v>
      </c>
      <c r="G213" s="12" t="str">
        <f>Absolute_Scores!G213</f>
        <v>Instagram</v>
      </c>
      <c r="H213" s="29">
        <f>Absolute_Scores!I213</f>
        <v>55</v>
      </c>
      <c r="I213" s="30">
        <f t="shared" si="10"/>
        <v>68.75</v>
      </c>
      <c r="K213" s="12" t="str">
        <f>Absolute_Scores!K213</f>
        <v>@nexcarlos</v>
      </c>
      <c r="L213" s="12" t="str">
        <f>Absolute_Scores!L213</f>
        <v>Instagram</v>
      </c>
      <c r="M213" s="29">
        <f>Absolute_Scores!N213</f>
        <v>47</v>
      </c>
      <c r="N213" s="30">
        <f t="shared" si="11"/>
        <v>70.15</v>
      </c>
    </row>
    <row r="214" spans="1:14">
      <c r="A214" s="12" t="str">
        <f>Absolute_Scores!A214</f>
        <v>@sopiyamn</v>
      </c>
      <c r="B214" s="12" t="str">
        <f>Absolute_Scores!B214</f>
        <v>Instagram</v>
      </c>
      <c r="C214" s="29">
        <f>Absolute_Scores!D214</f>
        <v>51</v>
      </c>
      <c r="D214" s="30">
        <f t="shared" si="9"/>
        <v>63.75</v>
      </c>
      <c r="F214" s="12" t="str">
        <f>Absolute_Scores!F214</f>
        <v>@chachathaib</v>
      </c>
      <c r="G214" s="12" t="str">
        <f>Absolute_Scores!G214</f>
        <v>Instagram</v>
      </c>
      <c r="H214" s="29">
        <f>Absolute_Scores!I214</f>
        <v>55</v>
      </c>
      <c r="I214" s="30">
        <f t="shared" si="10"/>
        <v>68.75</v>
      </c>
      <c r="K214" s="12" t="str">
        <f>Absolute_Scores!K214</f>
        <v>@ns.hafidz</v>
      </c>
      <c r="L214" s="12" t="str">
        <f>Absolute_Scores!L214</f>
        <v>Instagram</v>
      </c>
      <c r="M214" s="29">
        <f>Absolute_Scores!N214</f>
        <v>47</v>
      </c>
      <c r="N214" s="30">
        <f t="shared" si="11"/>
        <v>70.15</v>
      </c>
    </row>
    <row r="215" spans="1:14">
      <c r="A215" s="12" t="str">
        <f>Absolute_Scores!A215</f>
        <v>@syakirdaulay</v>
      </c>
      <c r="B215" s="12" t="str">
        <f>Absolute_Scores!B215</f>
        <v>Instagram</v>
      </c>
      <c r="C215" s="29">
        <f>Absolute_Scores!D215</f>
        <v>51</v>
      </c>
      <c r="D215" s="30">
        <f t="shared" si="9"/>
        <v>63.75</v>
      </c>
      <c r="F215" s="12" t="str">
        <f>Absolute_Scores!F215</f>
        <v>@clahayes</v>
      </c>
      <c r="G215" s="12" t="str">
        <f>Absolute_Scores!G215</f>
        <v>Instagram</v>
      </c>
      <c r="H215" s="29">
        <f>Absolute_Scores!I215</f>
        <v>55</v>
      </c>
      <c r="I215" s="30">
        <f t="shared" si="10"/>
        <v>68.75</v>
      </c>
      <c r="K215" s="12" t="str">
        <f>Absolute_Scores!K215</f>
        <v>@oceanaskygumilar</v>
      </c>
      <c r="L215" s="12" t="str">
        <f>Absolute_Scores!L215</f>
        <v>Instagram</v>
      </c>
      <c r="M215" s="29">
        <f>Absolute_Scores!N215</f>
        <v>47</v>
      </c>
      <c r="N215" s="30">
        <f t="shared" si="11"/>
        <v>70.15</v>
      </c>
    </row>
    <row r="216" spans="1:14">
      <c r="A216" s="12" t="str">
        <f>Absolute_Scores!A216</f>
        <v>@_jessicaayu</v>
      </c>
      <c r="B216" s="12" t="str">
        <f>Absolute_Scores!B216</f>
        <v>Instagram</v>
      </c>
      <c r="C216" s="29">
        <f>Absolute_Scores!D216</f>
        <v>50</v>
      </c>
      <c r="D216" s="30">
        <f t="shared" si="9"/>
        <v>62.5</v>
      </c>
      <c r="F216" s="12" t="str">
        <f>Absolute_Scores!F216</f>
        <v>@cretivox</v>
      </c>
      <c r="G216" s="12" t="str">
        <f>Absolute_Scores!G216</f>
        <v>Instagram</v>
      </c>
      <c r="H216" s="29">
        <f>Absolute_Scores!I216</f>
        <v>55</v>
      </c>
      <c r="I216" s="30">
        <f t="shared" si="10"/>
        <v>68.75</v>
      </c>
      <c r="K216" s="12" t="str">
        <f>Absolute_Scores!K216</f>
        <v>@putrikurniads_</v>
      </c>
      <c r="L216" s="12" t="str">
        <f>Absolute_Scores!L216</f>
        <v>Instagram</v>
      </c>
      <c r="M216" s="29">
        <f>Absolute_Scores!N216</f>
        <v>47</v>
      </c>
      <c r="N216" s="30">
        <f t="shared" si="11"/>
        <v>70.15</v>
      </c>
    </row>
    <row r="217" spans="1:14">
      <c r="A217" s="12" t="str">
        <f>Absolute_Scores!A217</f>
        <v>@_risaeka</v>
      </c>
      <c r="B217" s="12" t="str">
        <f>Absolute_Scores!B217</f>
        <v>Instagram</v>
      </c>
      <c r="C217" s="29">
        <f>Absolute_Scores!D217</f>
        <v>50</v>
      </c>
      <c r="D217" s="30">
        <f t="shared" si="9"/>
        <v>62.5</v>
      </c>
      <c r="F217" s="12" t="str">
        <f>Absolute_Scores!F217</f>
        <v>@deasaufika</v>
      </c>
      <c r="G217" s="12" t="str">
        <f>Absolute_Scores!G217</f>
        <v>Instagram</v>
      </c>
      <c r="H217" s="29">
        <f>Absolute_Scores!I217</f>
        <v>55</v>
      </c>
      <c r="I217" s="30">
        <f t="shared" si="10"/>
        <v>68.75</v>
      </c>
      <c r="K217" s="12" t="str">
        <f>Absolute_Scores!K217</f>
        <v>@reinhard.h.s</v>
      </c>
      <c r="L217" s="12" t="str">
        <f>Absolute_Scores!L217</f>
        <v>Instagram</v>
      </c>
      <c r="M217" s="29">
        <f>Absolute_Scores!N217</f>
        <v>47</v>
      </c>
      <c r="N217" s="30">
        <f t="shared" si="11"/>
        <v>70.15</v>
      </c>
    </row>
    <row r="218" spans="1:14">
      <c r="A218" s="12" t="str">
        <f>Absolute_Scores!A218</f>
        <v>@14sella</v>
      </c>
      <c r="B218" s="12" t="str">
        <f>Absolute_Scores!B218</f>
        <v>Instagram</v>
      </c>
      <c r="C218" s="29">
        <f>Absolute_Scores!D218</f>
        <v>50</v>
      </c>
      <c r="D218" s="30">
        <f t="shared" si="9"/>
        <v>62.5</v>
      </c>
      <c r="F218" s="12" t="str">
        <f>Absolute_Scores!F218</f>
        <v>@degensiotter</v>
      </c>
      <c r="G218" s="12" t="str">
        <f>Absolute_Scores!G218</f>
        <v>Instagram</v>
      </c>
      <c r="H218" s="29">
        <f>Absolute_Scores!I218</f>
        <v>55</v>
      </c>
      <c r="I218" s="30">
        <f t="shared" si="10"/>
        <v>68.75</v>
      </c>
      <c r="K218" s="12" t="str">
        <f>Absolute_Scores!K218</f>
        <v>@resti.ika</v>
      </c>
      <c r="L218" s="12" t="str">
        <f>Absolute_Scores!L218</f>
        <v>TikTok</v>
      </c>
      <c r="M218" s="29">
        <f>Absolute_Scores!N218</f>
        <v>47</v>
      </c>
      <c r="N218" s="30">
        <f t="shared" si="11"/>
        <v>70.15</v>
      </c>
    </row>
    <row r="219" spans="1:14">
      <c r="A219" s="12" t="str">
        <f>Absolute_Scores!A219</f>
        <v>@abang_azum</v>
      </c>
      <c r="B219" s="12" t="str">
        <f>Absolute_Scores!B219</f>
        <v>Instagram</v>
      </c>
      <c r="C219" s="29">
        <f>Absolute_Scores!D219</f>
        <v>50</v>
      </c>
      <c r="D219" s="30">
        <f t="shared" si="9"/>
        <v>62.5</v>
      </c>
      <c r="F219" s="12" t="str">
        <f>Absolute_Scores!F219</f>
        <v>@dillaljaidi</v>
      </c>
      <c r="G219" s="12" t="str">
        <f>Absolute_Scores!G219</f>
        <v>Instagram</v>
      </c>
      <c r="H219" s="29">
        <f>Absolute_Scores!I219</f>
        <v>55</v>
      </c>
      <c r="I219" s="30">
        <f t="shared" si="10"/>
        <v>68.75</v>
      </c>
      <c r="K219" s="12" t="str">
        <f>Absolute_Scores!K219</f>
        <v>@ririeprams</v>
      </c>
      <c r="L219" s="12" t="str">
        <f>Absolute_Scores!L219</f>
        <v>Instagram</v>
      </c>
      <c r="M219" s="29">
        <f>Absolute_Scores!N219</f>
        <v>47</v>
      </c>
      <c r="N219" s="30">
        <f t="shared" si="11"/>
        <v>70.15</v>
      </c>
    </row>
    <row r="220" spans="1:14">
      <c r="A220" s="12" t="str">
        <f>Absolute_Scores!A220</f>
        <v>@abidinirosemary</v>
      </c>
      <c r="B220" s="12" t="str">
        <f>Absolute_Scores!B220</f>
        <v>Instagram</v>
      </c>
      <c r="C220" s="29">
        <f>Absolute_Scores!D220</f>
        <v>50</v>
      </c>
      <c r="D220" s="30">
        <f t="shared" si="9"/>
        <v>62.5</v>
      </c>
      <c r="F220" s="12" t="str">
        <f>Absolute_Scores!F220</f>
        <v>@dwiatikanova</v>
      </c>
      <c r="G220" s="12" t="str">
        <f>Absolute_Scores!G220</f>
        <v>Instagram</v>
      </c>
      <c r="H220" s="29">
        <f>Absolute_Scores!I220</f>
        <v>55</v>
      </c>
      <c r="I220" s="30">
        <f t="shared" si="10"/>
        <v>68.75</v>
      </c>
      <c r="K220" s="12" t="str">
        <f>Absolute_Scores!K220</f>
        <v>@sabrinachairunnisa_</v>
      </c>
      <c r="L220" s="12" t="str">
        <f>Absolute_Scores!L220</f>
        <v>Instagram</v>
      </c>
      <c r="M220" s="29">
        <f>Absolute_Scores!N220</f>
        <v>47</v>
      </c>
      <c r="N220" s="30">
        <f t="shared" si="11"/>
        <v>70.15</v>
      </c>
    </row>
    <row r="221" spans="1:14">
      <c r="A221" s="12" t="str">
        <f>Absolute_Scores!A221</f>
        <v>@adeauliyar</v>
      </c>
      <c r="B221" s="12" t="str">
        <f>Absolute_Scores!B221</f>
        <v>Instagram</v>
      </c>
      <c r="C221" s="29">
        <f>Absolute_Scores!D221</f>
        <v>50</v>
      </c>
      <c r="D221" s="30">
        <f t="shared" si="9"/>
        <v>62.5</v>
      </c>
      <c r="F221" s="12" t="str">
        <f>Absolute_Scores!F221</f>
        <v>@elvira.tjan</v>
      </c>
      <c r="G221" s="12" t="str">
        <f>Absolute_Scores!G221</f>
        <v>Instagram</v>
      </c>
      <c r="H221" s="29">
        <f>Absolute_Scores!I221</f>
        <v>55</v>
      </c>
      <c r="I221" s="30">
        <f t="shared" si="10"/>
        <v>68.75</v>
      </c>
      <c r="K221" s="12" t="str">
        <f>Absolute_Scores!K221</f>
        <v>@therealasilamaisa</v>
      </c>
      <c r="L221" s="12" t="str">
        <f>Absolute_Scores!L221</f>
        <v>Instagram</v>
      </c>
      <c r="M221" s="29">
        <f>Absolute_Scores!N221</f>
        <v>47</v>
      </c>
      <c r="N221" s="30">
        <f t="shared" si="11"/>
        <v>70.15</v>
      </c>
    </row>
    <row r="222" spans="1:14">
      <c r="A222" s="12" t="str">
        <f>Absolute_Scores!A222</f>
        <v>@adjengpdc</v>
      </c>
      <c r="B222" s="12" t="str">
        <f>Absolute_Scores!B222</f>
        <v>Instagram</v>
      </c>
      <c r="C222" s="29">
        <f>Absolute_Scores!D222</f>
        <v>50</v>
      </c>
      <c r="D222" s="30">
        <f t="shared" si="9"/>
        <v>62.5</v>
      </c>
      <c r="F222" s="12" t="str">
        <f>Absolute_Scores!F222</f>
        <v>@farhanfirms</v>
      </c>
      <c r="G222" s="12" t="str">
        <f>Absolute_Scores!G222</f>
        <v>Instagram</v>
      </c>
      <c r="H222" s="29">
        <f>Absolute_Scores!I222</f>
        <v>55</v>
      </c>
      <c r="I222" s="30">
        <f t="shared" si="10"/>
        <v>68.75</v>
      </c>
      <c r="K222" s="12" t="str">
        <f>Absolute_Scores!K222</f>
        <v>@tiaramw_</v>
      </c>
      <c r="L222" s="12" t="str">
        <f>Absolute_Scores!L222</f>
        <v>Instagram</v>
      </c>
      <c r="M222" s="29">
        <f>Absolute_Scores!N222</f>
        <v>47</v>
      </c>
      <c r="N222" s="30">
        <f t="shared" si="11"/>
        <v>70.15</v>
      </c>
    </row>
    <row r="223" spans="1:14">
      <c r="A223" s="12" t="str">
        <f>Absolute_Scores!A223</f>
        <v>@adriankhalif</v>
      </c>
      <c r="B223" s="12" t="str">
        <f>Absolute_Scores!B223</f>
        <v>Instagram</v>
      </c>
      <c r="C223" s="29">
        <f>Absolute_Scores!D223</f>
        <v>50</v>
      </c>
      <c r="D223" s="30">
        <f t="shared" si="9"/>
        <v>62.5</v>
      </c>
      <c r="F223" s="12" t="str">
        <f>Absolute_Scores!F223</f>
        <v>@folkative</v>
      </c>
      <c r="G223" s="12" t="str">
        <f>Absolute_Scores!G223</f>
        <v>Instagram</v>
      </c>
      <c r="H223" s="29">
        <f>Absolute_Scores!I223</f>
        <v>55</v>
      </c>
      <c r="I223" s="30">
        <f t="shared" si="10"/>
        <v>68.75</v>
      </c>
      <c r="K223" s="12" t="str">
        <f>Absolute_Scores!K223</f>
        <v>@ulyaslsss__</v>
      </c>
      <c r="L223" s="12" t="str">
        <f>Absolute_Scores!L223</f>
        <v>Instagram</v>
      </c>
      <c r="M223" s="29">
        <f>Absolute_Scores!N223</f>
        <v>47</v>
      </c>
      <c r="N223" s="30">
        <f t="shared" si="11"/>
        <v>70.15</v>
      </c>
    </row>
    <row r="224" spans="1:14">
      <c r="A224" s="12" t="str">
        <f>Absolute_Scores!A224</f>
        <v>@affioktaf</v>
      </c>
      <c r="B224" s="12" t="str">
        <f>Absolute_Scores!B224</f>
        <v>Instagram</v>
      </c>
      <c r="C224" s="29">
        <f>Absolute_Scores!D224</f>
        <v>50</v>
      </c>
      <c r="D224" s="30">
        <f t="shared" si="9"/>
        <v>62.5</v>
      </c>
      <c r="F224" s="12" t="str">
        <f>Absolute_Scores!F224</f>
        <v>@gabriellaglady</v>
      </c>
      <c r="G224" s="12" t="str">
        <f>Absolute_Scores!G224</f>
        <v>Instagram</v>
      </c>
      <c r="H224" s="29">
        <f>Absolute_Scores!I224</f>
        <v>55</v>
      </c>
      <c r="I224" s="30">
        <f t="shared" si="10"/>
        <v>68.75</v>
      </c>
      <c r="K224" s="12" t="str">
        <f>Absolute_Scores!K224</f>
        <v>@vallent.auliya</v>
      </c>
      <c r="L224" s="12" t="str">
        <f>Absolute_Scores!L224</f>
        <v>Instagram</v>
      </c>
      <c r="M224" s="29">
        <f>Absolute_Scores!N224</f>
        <v>47</v>
      </c>
      <c r="N224" s="30">
        <f t="shared" si="11"/>
        <v>70.15</v>
      </c>
    </row>
    <row r="225" spans="1:14">
      <c r="A225" s="12" t="str">
        <f>Absolute_Scores!A225</f>
        <v>@ainiraaul</v>
      </c>
      <c r="B225" s="12" t="str">
        <f>Absolute_Scores!B225</f>
        <v>Instagram</v>
      </c>
      <c r="C225" s="29">
        <f>Absolute_Scores!D225</f>
        <v>50</v>
      </c>
      <c r="D225" s="30">
        <f t="shared" si="9"/>
        <v>62.5</v>
      </c>
      <c r="F225" s="12" t="str">
        <f>Absolute_Scores!F225</f>
        <v>@gamcul</v>
      </c>
      <c r="G225" s="12" t="str">
        <f>Absolute_Scores!G225</f>
        <v>Instagram</v>
      </c>
      <c r="H225" s="29">
        <f>Absolute_Scores!I225</f>
        <v>55</v>
      </c>
      <c r="I225" s="30">
        <f t="shared" si="10"/>
        <v>68.75</v>
      </c>
      <c r="K225" s="12" t="str">
        <f>Absolute_Scores!K225</f>
        <v>@viaazulviani</v>
      </c>
      <c r="L225" s="12" t="str">
        <f>Absolute_Scores!L225</f>
        <v>TikTok</v>
      </c>
      <c r="M225" s="29">
        <f>Absolute_Scores!N225</f>
        <v>47</v>
      </c>
      <c r="N225" s="30">
        <f t="shared" si="11"/>
        <v>70.15</v>
      </c>
    </row>
    <row r="226" spans="1:14">
      <c r="A226" s="12" t="str">
        <f>Absolute_Scores!A226</f>
        <v>@ainunsway</v>
      </c>
      <c r="B226" s="12" t="str">
        <f>Absolute_Scores!B226</f>
        <v>Instagram</v>
      </c>
      <c r="C226" s="29">
        <f>Absolute_Scores!D226</f>
        <v>50</v>
      </c>
      <c r="D226" s="30">
        <f t="shared" si="9"/>
        <v>62.5</v>
      </c>
      <c r="F226" s="12" t="str">
        <f>Absolute_Scores!F226</f>
        <v>@gelaelized</v>
      </c>
      <c r="G226" s="12" t="str">
        <f>Absolute_Scores!G226</f>
        <v>Instagram</v>
      </c>
      <c r="H226" s="29">
        <f>Absolute_Scores!I226</f>
        <v>55</v>
      </c>
      <c r="I226" s="30">
        <f t="shared" si="10"/>
        <v>68.75</v>
      </c>
      <c r="K226" s="12" t="str">
        <f>Absolute_Scores!K226</f>
        <v>@wargatangsel</v>
      </c>
      <c r="L226" s="12" t="str">
        <f>Absolute_Scores!L226</f>
        <v>Instagram</v>
      </c>
      <c r="M226" s="29">
        <f>Absolute_Scores!N226</f>
        <v>47</v>
      </c>
      <c r="N226" s="30">
        <f t="shared" si="11"/>
        <v>70.15</v>
      </c>
    </row>
    <row r="227" spans="1:14">
      <c r="A227" s="12" t="str">
        <f>Absolute_Scores!A227</f>
        <v>@ajengsekartiwi</v>
      </c>
      <c r="B227" s="12" t="str">
        <f>Absolute_Scores!B227</f>
        <v>Instagram</v>
      </c>
      <c r="C227" s="29">
        <f>Absolute_Scores!D227</f>
        <v>50</v>
      </c>
      <c r="D227" s="30">
        <f t="shared" si="9"/>
        <v>62.5</v>
      </c>
      <c r="F227" s="12" t="str">
        <f>Absolute_Scores!F227</f>
        <v>@halokrw</v>
      </c>
      <c r="G227" s="12" t="str">
        <f>Absolute_Scores!G227</f>
        <v>Instagram</v>
      </c>
      <c r="H227" s="29">
        <f>Absolute_Scores!I227</f>
        <v>55</v>
      </c>
      <c r="I227" s="30">
        <f t="shared" si="10"/>
        <v>68.75</v>
      </c>
      <c r="K227" s="12" t="str">
        <f>Absolute_Scores!K227</f>
        <v>@akubetsaa</v>
      </c>
      <c r="L227" s="12" t="str">
        <f>Absolute_Scores!L227</f>
        <v>TikTok</v>
      </c>
      <c r="M227" s="29">
        <f>Absolute_Scores!N227</f>
        <v>46</v>
      </c>
      <c r="N227" s="30">
        <f t="shared" si="11"/>
        <v>68.66</v>
      </c>
    </row>
    <row r="228" spans="1:14">
      <c r="A228" s="12" t="str">
        <f>Absolute_Scores!A228</f>
        <v>@al.wahab_</v>
      </c>
      <c r="B228" s="12" t="str">
        <f>Absolute_Scores!B228</f>
        <v>Instagram</v>
      </c>
      <c r="C228" s="29">
        <f>Absolute_Scores!D228</f>
        <v>50</v>
      </c>
      <c r="D228" s="30">
        <f t="shared" si="9"/>
        <v>62.5</v>
      </c>
      <c r="F228" s="12" t="str">
        <f>Absolute_Scores!F228</f>
        <v>@hifdzikhoir</v>
      </c>
      <c r="G228" s="12" t="str">
        <f>Absolute_Scores!G228</f>
        <v>Instagram</v>
      </c>
      <c r="H228" s="29">
        <f>Absolute_Scores!I228</f>
        <v>55</v>
      </c>
      <c r="I228" s="30">
        <f t="shared" si="10"/>
        <v>68.75</v>
      </c>
      <c r="K228" s="12" t="str">
        <f>Absolute_Scores!K228</f>
        <v>@arya_artamansa</v>
      </c>
      <c r="L228" s="12" t="str">
        <f>Absolute_Scores!L228</f>
        <v>Instagram</v>
      </c>
      <c r="M228" s="29">
        <f>Absolute_Scores!N228</f>
        <v>46</v>
      </c>
      <c r="N228" s="30">
        <f t="shared" si="11"/>
        <v>68.66</v>
      </c>
    </row>
    <row r="229" spans="1:14">
      <c r="A229" s="12" t="str">
        <f>Absolute_Scores!A229</f>
        <v>@aliciaaurora_</v>
      </c>
      <c r="B229" s="12" t="str">
        <f>Absolute_Scores!B229</f>
        <v>Instagram</v>
      </c>
      <c r="C229" s="29">
        <f>Absolute_Scores!D229</f>
        <v>50</v>
      </c>
      <c r="D229" s="30">
        <f t="shared" si="9"/>
        <v>62.5</v>
      </c>
      <c r="F229" s="12" t="str">
        <f>Absolute_Scores!F229</f>
        <v>@ibrhmrsyd</v>
      </c>
      <c r="G229" s="12" t="str">
        <f>Absolute_Scores!G229</f>
        <v>Instagram</v>
      </c>
      <c r="H229" s="29">
        <f>Absolute_Scores!I229</f>
        <v>55</v>
      </c>
      <c r="I229" s="30">
        <f t="shared" si="10"/>
        <v>68.75</v>
      </c>
      <c r="K229" s="12" t="str">
        <f>Absolute_Scores!K229</f>
        <v>@atriesangel</v>
      </c>
      <c r="L229" s="12" t="str">
        <f>Absolute_Scores!L229</f>
        <v>Instagram</v>
      </c>
      <c r="M229" s="29">
        <f>Absolute_Scores!N229</f>
        <v>46</v>
      </c>
      <c r="N229" s="30">
        <f t="shared" si="11"/>
        <v>68.66</v>
      </c>
    </row>
    <row r="230" spans="1:14">
      <c r="A230" s="12" t="str">
        <f>Absolute_Scores!A230</f>
        <v>@alisanabilah96</v>
      </c>
      <c r="B230" s="12" t="str">
        <f>Absolute_Scores!B230</f>
        <v>Instagram</v>
      </c>
      <c r="C230" s="29">
        <f>Absolute_Scores!D230</f>
        <v>50</v>
      </c>
      <c r="D230" s="30">
        <f t="shared" si="9"/>
        <v>62.5</v>
      </c>
      <c r="F230" s="12" t="str">
        <f>Absolute_Scores!F230</f>
        <v>@ichaswavira</v>
      </c>
      <c r="G230" s="12" t="str">
        <f>Absolute_Scores!G230</f>
        <v>Instagram</v>
      </c>
      <c r="H230" s="29">
        <f>Absolute_Scores!I230</f>
        <v>55</v>
      </c>
      <c r="I230" s="30">
        <f t="shared" si="10"/>
        <v>68.75</v>
      </c>
      <c r="K230" s="12" t="str">
        <f>Absolute_Scores!K230</f>
        <v>@divvaaura</v>
      </c>
      <c r="L230" s="12" t="str">
        <f>Absolute_Scores!L230</f>
        <v>Instagram</v>
      </c>
      <c r="M230" s="29">
        <f>Absolute_Scores!N230</f>
        <v>46</v>
      </c>
      <c r="N230" s="30">
        <f t="shared" si="11"/>
        <v>68.66</v>
      </c>
    </row>
    <row r="231" spans="1:14">
      <c r="A231" s="12" t="str">
        <f>Absolute_Scores!A231</f>
        <v>@allegra19_</v>
      </c>
      <c r="B231" s="12" t="str">
        <f>Absolute_Scores!B231</f>
        <v>Instagram</v>
      </c>
      <c r="C231" s="29">
        <f>Absolute_Scores!D231</f>
        <v>50</v>
      </c>
      <c r="D231" s="30">
        <f t="shared" si="9"/>
        <v>62.5</v>
      </c>
      <c r="F231" s="12" t="str">
        <f>Absolute_Scores!F231</f>
        <v>@iim_fahima</v>
      </c>
      <c r="G231" s="12" t="str">
        <f>Absolute_Scores!G231</f>
        <v>Instagram</v>
      </c>
      <c r="H231" s="29">
        <f>Absolute_Scores!I231</f>
        <v>55</v>
      </c>
      <c r="I231" s="30">
        <f t="shared" si="10"/>
        <v>68.75</v>
      </c>
      <c r="K231" s="12" t="str">
        <f>Absolute_Scores!K231</f>
        <v>@fbyramadhana</v>
      </c>
      <c r="L231" s="12" t="str">
        <f>Absolute_Scores!L231</f>
        <v>Instagram</v>
      </c>
      <c r="M231" s="29">
        <f>Absolute_Scores!N231</f>
        <v>46</v>
      </c>
      <c r="N231" s="30">
        <f t="shared" si="11"/>
        <v>68.66</v>
      </c>
    </row>
    <row r="232" spans="1:14">
      <c r="A232" s="12" t="str">
        <f>Absolute_Scores!A232</f>
        <v>@almaquintha</v>
      </c>
      <c r="B232" s="12" t="str">
        <f>Absolute_Scores!B232</f>
        <v>Instagram</v>
      </c>
      <c r="C232" s="29">
        <f>Absolute_Scores!D232</f>
        <v>50</v>
      </c>
      <c r="D232" s="30">
        <f t="shared" si="9"/>
        <v>62.5</v>
      </c>
      <c r="F232" s="12" t="str">
        <f>Absolute_Scores!F232</f>
        <v>@infojkt24</v>
      </c>
      <c r="G232" s="12" t="str">
        <f>Absolute_Scores!G232</f>
        <v>Instagram</v>
      </c>
      <c r="H232" s="29">
        <f>Absolute_Scores!I232</f>
        <v>55</v>
      </c>
      <c r="I232" s="30">
        <f t="shared" si="10"/>
        <v>68.75</v>
      </c>
      <c r="K232" s="12" t="str">
        <f>Absolute_Scores!K232</f>
        <v>@febiesmeralda</v>
      </c>
      <c r="L232" s="12" t="str">
        <f>Absolute_Scores!L232</f>
        <v>Instagram</v>
      </c>
      <c r="M232" s="29">
        <f>Absolute_Scores!N232</f>
        <v>46</v>
      </c>
      <c r="N232" s="30">
        <f t="shared" si="11"/>
        <v>68.66</v>
      </c>
    </row>
    <row r="233" spans="1:14">
      <c r="A233" s="12" t="str">
        <f>Absolute_Scores!A233</f>
        <v>@alviansyahnr</v>
      </c>
      <c r="B233" s="12" t="str">
        <f>Absolute_Scores!B233</f>
        <v>Instagram</v>
      </c>
      <c r="C233" s="29">
        <f>Absolute_Scores!D233</f>
        <v>50</v>
      </c>
      <c r="D233" s="30">
        <f t="shared" si="9"/>
        <v>62.5</v>
      </c>
      <c r="F233" s="12" t="str">
        <f>Absolute_Scores!F233</f>
        <v>@istri.koko</v>
      </c>
      <c r="G233" s="12" t="str">
        <f>Absolute_Scores!G233</f>
        <v>Instagram</v>
      </c>
      <c r="H233" s="29">
        <f>Absolute_Scores!I233</f>
        <v>55</v>
      </c>
      <c r="I233" s="30">
        <f t="shared" si="10"/>
        <v>68.75</v>
      </c>
      <c r="K233" s="12" t="str">
        <f>Absolute_Scores!K233</f>
        <v>@helminursifah</v>
      </c>
      <c r="L233" s="12" t="str">
        <f>Absolute_Scores!L233</f>
        <v>Instagram</v>
      </c>
      <c r="M233" s="29">
        <f>Absolute_Scores!N233</f>
        <v>46</v>
      </c>
      <c r="N233" s="30">
        <f t="shared" si="11"/>
        <v>68.66</v>
      </c>
    </row>
    <row r="234" spans="1:14">
      <c r="A234" s="12" t="str">
        <f>Absolute_Scores!A234</f>
        <v>@amahmaulana12</v>
      </c>
      <c r="B234" s="12" t="str">
        <f>Absolute_Scores!B234</f>
        <v>Instagram</v>
      </c>
      <c r="C234" s="29">
        <f>Absolute_Scores!D234</f>
        <v>50</v>
      </c>
      <c r="D234" s="30">
        <f t="shared" si="9"/>
        <v>62.5</v>
      </c>
      <c r="F234" s="12" t="str">
        <f>Absolute_Scores!F234</f>
        <v>@julianjacs</v>
      </c>
      <c r="G234" s="12" t="str">
        <f>Absolute_Scores!G234</f>
        <v>Instagram</v>
      </c>
      <c r="H234" s="29">
        <f>Absolute_Scores!I234</f>
        <v>55</v>
      </c>
      <c r="I234" s="30">
        <f t="shared" si="10"/>
        <v>68.75</v>
      </c>
      <c r="K234" s="12" t="str">
        <f>Absolute_Scores!K234</f>
        <v>@jerhemynemo</v>
      </c>
      <c r="L234" s="12" t="str">
        <f>Absolute_Scores!L234</f>
        <v>Instagram</v>
      </c>
      <c r="M234" s="29">
        <f>Absolute_Scores!N234</f>
        <v>46</v>
      </c>
      <c r="N234" s="30">
        <f t="shared" si="11"/>
        <v>68.66</v>
      </c>
    </row>
    <row r="235" spans="1:14">
      <c r="A235" s="12" t="str">
        <f>Absolute_Scores!A235</f>
        <v>@amalia_dety</v>
      </c>
      <c r="B235" s="12" t="str">
        <f>Absolute_Scores!B235</f>
        <v>Instagram</v>
      </c>
      <c r="C235" s="29">
        <f>Absolute_Scores!D235</f>
        <v>50</v>
      </c>
      <c r="D235" s="30">
        <f t="shared" si="9"/>
        <v>62.5</v>
      </c>
      <c r="F235" s="12" t="str">
        <f>Absolute_Scores!F235</f>
        <v>@kayleemiracle</v>
      </c>
      <c r="G235" s="12" t="str">
        <f>Absolute_Scores!G235</f>
        <v>Instagram</v>
      </c>
      <c r="H235" s="29">
        <f>Absolute_Scores!I235</f>
        <v>55</v>
      </c>
      <c r="I235" s="30">
        <f t="shared" si="10"/>
        <v>68.75</v>
      </c>
      <c r="K235" s="12" t="str">
        <f>Absolute_Scores!K235</f>
        <v>@kanayamia_lowery</v>
      </c>
      <c r="L235" s="12" t="str">
        <f>Absolute_Scores!L235</f>
        <v>Instagram</v>
      </c>
      <c r="M235" s="29">
        <f>Absolute_Scores!N235</f>
        <v>46</v>
      </c>
      <c r="N235" s="30">
        <f t="shared" si="11"/>
        <v>68.66</v>
      </c>
    </row>
    <row r="236" spans="1:14">
      <c r="A236" s="12" t="str">
        <f>Absolute_Scores!A236</f>
        <v>@ameliawww08</v>
      </c>
      <c r="B236" s="12" t="str">
        <f>Absolute_Scores!B236</f>
        <v>Instagram</v>
      </c>
      <c r="C236" s="29">
        <f>Absolute_Scores!D236</f>
        <v>50</v>
      </c>
      <c r="D236" s="30">
        <f t="shared" si="9"/>
        <v>62.5</v>
      </c>
      <c r="F236" s="12" t="str">
        <f>Absolute_Scores!F236</f>
        <v>@keisavourie</v>
      </c>
      <c r="G236" s="12" t="str">
        <f>Absolute_Scores!G236</f>
        <v>Instagram</v>
      </c>
      <c r="H236" s="29">
        <f>Absolute_Scores!I236</f>
        <v>55</v>
      </c>
      <c r="I236" s="30">
        <f t="shared" si="10"/>
        <v>68.75</v>
      </c>
      <c r="K236" s="12" t="str">
        <f>Absolute_Scores!K236</f>
        <v>@lalitahutami</v>
      </c>
      <c r="L236" s="12" t="str">
        <f>Absolute_Scores!L236</f>
        <v>TikTok</v>
      </c>
      <c r="M236" s="29">
        <f>Absolute_Scores!N236</f>
        <v>46</v>
      </c>
      <c r="N236" s="30">
        <f t="shared" si="11"/>
        <v>68.66</v>
      </c>
    </row>
    <row r="237" spans="1:14">
      <c r="A237" s="12" t="str">
        <f>Absolute_Scores!A237</f>
        <v>@angellyaguillera</v>
      </c>
      <c r="B237" s="12" t="str">
        <f>Absolute_Scores!B237</f>
        <v>Instagram</v>
      </c>
      <c r="C237" s="29">
        <f>Absolute_Scores!D237</f>
        <v>50</v>
      </c>
      <c r="D237" s="30">
        <f t="shared" si="9"/>
        <v>62.5</v>
      </c>
      <c r="F237" s="12" t="str">
        <f>Absolute_Scores!F237</f>
        <v>@larissachou</v>
      </c>
      <c r="G237" s="12" t="str">
        <f>Absolute_Scores!G237</f>
        <v>Instagram</v>
      </c>
      <c r="H237" s="29">
        <f>Absolute_Scores!I237</f>
        <v>55</v>
      </c>
      <c r="I237" s="30">
        <f t="shared" si="10"/>
        <v>68.75</v>
      </c>
      <c r="K237" s="12" t="str">
        <f>Absolute_Scores!K237</f>
        <v>@laurentiasheila</v>
      </c>
      <c r="L237" s="12" t="str">
        <f>Absolute_Scores!L237</f>
        <v>Instagram</v>
      </c>
      <c r="M237" s="29">
        <f>Absolute_Scores!N237</f>
        <v>46</v>
      </c>
      <c r="N237" s="30">
        <f t="shared" si="11"/>
        <v>68.66</v>
      </c>
    </row>
    <row r="238" spans="1:14">
      <c r="A238" s="12" t="str">
        <f>Absolute_Scores!A238</f>
        <v>@angga.phn</v>
      </c>
      <c r="B238" s="12" t="str">
        <f>Absolute_Scores!B238</f>
        <v>Instagram</v>
      </c>
      <c r="C238" s="29">
        <f>Absolute_Scores!D238</f>
        <v>50</v>
      </c>
      <c r="D238" s="30">
        <f t="shared" si="9"/>
        <v>62.5</v>
      </c>
      <c r="F238" s="12" t="str">
        <f>Absolute_Scores!F238</f>
        <v>@laura_theux</v>
      </c>
      <c r="G238" s="12" t="str">
        <f>Absolute_Scores!G238</f>
        <v>Instagram</v>
      </c>
      <c r="H238" s="29">
        <f>Absolute_Scores!I238</f>
        <v>55</v>
      </c>
      <c r="I238" s="30">
        <f t="shared" si="10"/>
        <v>68.75</v>
      </c>
      <c r="K238" s="12" t="str">
        <f>Absolute_Scores!K238</f>
        <v>@melisasoetjipto</v>
      </c>
      <c r="L238" s="12" t="str">
        <f>Absolute_Scores!L238</f>
        <v>Instagram</v>
      </c>
      <c r="M238" s="29">
        <f>Absolute_Scores!N238</f>
        <v>46</v>
      </c>
      <c r="N238" s="30">
        <f t="shared" si="11"/>
        <v>68.66</v>
      </c>
    </row>
    <row r="239" spans="1:14">
      <c r="A239" s="12" t="str">
        <f>Absolute_Scores!A239</f>
        <v>@anggar_ina</v>
      </c>
      <c r="B239" s="12" t="str">
        <f>Absolute_Scores!B239</f>
        <v>Instagram</v>
      </c>
      <c r="C239" s="29">
        <f>Absolute_Scores!D239</f>
        <v>50</v>
      </c>
      <c r="D239" s="30">
        <f t="shared" si="9"/>
        <v>62.5</v>
      </c>
      <c r="F239" s="12" t="str">
        <f>Absolute_Scores!F239</f>
        <v>@laurasiburiann</v>
      </c>
      <c r="G239" s="12" t="str">
        <f>Absolute_Scores!G239</f>
        <v>Instagram</v>
      </c>
      <c r="H239" s="29">
        <f>Absolute_Scores!I239</f>
        <v>55</v>
      </c>
      <c r="I239" s="30">
        <f t="shared" si="10"/>
        <v>68.75</v>
      </c>
      <c r="K239" s="12" t="str">
        <f>Absolute_Scores!K239</f>
        <v>@niputuchandra</v>
      </c>
      <c r="L239" s="12" t="str">
        <f>Absolute_Scores!L239</f>
        <v>Instagram</v>
      </c>
      <c r="M239" s="29">
        <f>Absolute_Scores!N239</f>
        <v>46</v>
      </c>
      <c r="N239" s="30">
        <f t="shared" si="11"/>
        <v>68.66</v>
      </c>
    </row>
    <row r="240" spans="1:14">
      <c r="A240" s="12" t="str">
        <f>Absolute_Scores!A240</f>
        <v>@anggie_yoelyiantie</v>
      </c>
      <c r="B240" s="12" t="str">
        <f>Absolute_Scores!B240</f>
        <v>Instagram</v>
      </c>
      <c r="C240" s="29">
        <f>Absolute_Scores!D240</f>
        <v>50</v>
      </c>
      <c r="D240" s="30">
        <f t="shared" si="9"/>
        <v>62.5</v>
      </c>
      <c r="F240" s="12" t="str">
        <f>Absolute_Scores!F240</f>
        <v>@limintangdilino</v>
      </c>
      <c r="G240" s="12" t="str">
        <f>Absolute_Scores!G240</f>
        <v>Instagram</v>
      </c>
      <c r="H240" s="29">
        <f>Absolute_Scores!I240</f>
        <v>55</v>
      </c>
      <c r="I240" s="30">
        <f t="shared" si="10"/>
        <v>68.75</v>
      </c>
      <c r="K240" s="12" t="str">
        <f>Absolute_Scores!K240</f>
        <v>@olevelove</v>
      </c>
      <c r="L240" s="12" t="str">
        <f>Absolute_Scores!L240</f>
        <v>Instagram</v>
      </c>
      <c r="M240" s="29">
        <f>Absolute_Scores!N240</f>
        <v>46</v>
      </c>
      <c r="N240" s="30">
        <f t="shared" si="11"/>
        <v>68.66</v>
      </c>
    </row>
    <row r="241" spans="1:14">
      <c r="A241" s="12" t="str">
        <f>Absolute_Scores!A241</f>
        <v>@anisa_albasir</v>
      </c>
      <c r="B241" s="12" t="str">
        <f>Absolute_Scores!B241</f>
        <v>Instagram</v>
      </c>
      <c r="C241" s="29">
        <f>Absolute_Scores!D241</f>
        <v>50</v>
      </c>
      <c r="D241" s="30">
        <f t="shared" si="9"/>
        <v>62.5</v>
      </c>
      <c r="F241" s="12" t="str">
        <f>Absolute_Scores!F241</f>
        <v>@luluelhasbu</v>
      </c>
      <c r="G241" s="12" t="str">
        <f>Absolute_Scores!G241</f>
        <v>Instagram</v>
      </c>
      <c r="H241" s="29">
        <f>Absolute_Scores!I241</f>
        <v>55</v>
      </c>
      <c r="I241" s="30">
        <f t="shared" si="10"/>
        <v>68.75</v>
      </c>
      <c r="K241" s="12" t="str">
        <f>Absolute_Scores!K241</f>
        <v>@svmmerloco</v>
      </c>
      <c r="L241" s="12" t="str">
        <f>Absolute_Scores!L241</f>
        <v>Instagram</v>
      </c>
      <c r="M241" s="29">
        <f>Absolute_Scores!N241</f>
        <v>46</v>
      </c>
      <c r="N241" s="30">
        <f t="shared" si="11"/>
        <v>68.66</v>
      </c>
    </row>
    <row r="242" spans="1:14">
      <c r="A242" s="12" t="str">
        <f>Absolute_Scores!A242</f>
        <v>@anisa.maulidaa</v>
      </c>
      <c r="B242" s="12" t="str">
        <f>Absolute_Scores!B242</f>
        <v>Instagram</v>
      </c>
      <c r="C242" s="29">
        <f>Absolute_Scores!D242</f>
        <v>50</v>
      </c>
      <c r="D242" s="30">
        <f t="shared" si="9"/>
        <v>62.5</v>
      </c>
      <c r="F242" s="12" t="str">
        <f>Absolute_Scores!F242</f>
        <v>@marcoivanos12</v>
      </c>
      <c r="G242" s="12" t="str">
        <f>Absolute_Scores!G242</f>
        <v>Instagram</v>
      </c>
      <c r="H242" s="29">
        <f>Absolute_Scores!I242</f>
        <v>55</v>
      </c>
      <c r="I242" s="30">
        <f t="shared" si="10"/>
        <v>68.75</v>
      </c>
      <c r="K242" s="12" t="str">
        <f>Absolute_Scores!K242</f>
        <v>@tenggowicaksono</v>
      </c>
      <c r="L242" s="12" t="str">
        <f>Absolute_Scores!L242</f>
        <v>Instagram</v>
      </c>
      <c r="M242" s="29">
        <f>Absolute_Scores!N242</f>
        <v>46</v>
      </c>
      <c r="N242" s="30">
        <f t="shared" si="11"/>
        <v>68.66</v>
      </c>
    </row>
    <row r="243" spans="1:14">
      <c r="A243" s="12" t="str">
        <f>Absolute_Scores!A243</f>
        <v>@anisaaulia28</v>
      </c>
      <c r="B243" s="12" t="str">
        <f>Absolute_Scores!B243</f>
        <v>Instagram</v>
      </c>
      <c r="C243" s="29">
        <f>Absolute_Scores!D243</f>
        <v>50</v>
      </c>
      <c r="D243" s="30">
        <f t="shared" si="9"/>
        <v>62.5</v>
      </c>
      <c r="F243" s="12" t="str">
        <f>Absolute_Scores!F243</f>
        <v>@marlisathen</v>
      </c>
      <c r="G243" s="12" t="str">
        <f>Absolute_Scores!G243</f>
        <v>Instagram</v>
      </c>
      <c r="H243" s="29">
        <f>Absolute_Scores!I243</f>
        <v>55</v>
      </c>
      <c r="I243" s="30">
        <f t="shared" si="10"/>
        <v>68.75</v>
      </c>
      <c r="K243" s="12" t="str">
        <f>Absolute_Scores!K243</f>
        <v>@violetaekanjani</v>
      </c>
      <c r="L243" s="12" t="str">
        <f>Absolute_Scores!L243</f>
        <v>TikTok</v>
      </c>
      <c r="M243" s="29">
        <f>Absolute_Scores!N243</f>
        <v>46</v>
      </c>
      <c r="N243" s="30">
        <f t="shared" si="11"/>
        <v>68.66</v>
      </c>
    </row>
    <row r="244" spans="1:14">
      <c r="A244" s="12" t="str">
        <f>Absolute_Scores!A244</f>
        <v>@anitakrlinaa</v>
      </c>
      <c r="B244" s="12" t="str">
        <f>Absolute_Scores!B244</f>
        <v>Instagram</v>
      </c>
      <c r="C244" s="29">
        <f>Absolute_Scores!D244</f>
        <v>50</v>
      </c>
      <c r="D244" s="30">
        <f t="shared" si="9"/>
        <v>62.5</v>
      </c>
      <c r="F244" s="12" t="str">
        <f>Absolute_Scores!F244</f>
        <v>@mass.arkan</v>
      </c>
      <c r="G244" s="12" t="str">
        <f>Absolute_Scores!G244</f>
        <v>Instagram</v>
      </c>
      <c r="H244" s="29">
        <f>Absolute_Scores!I244</f>
        <v>55</v>
      </c>
      <c r="I244" s="30">
        <f t="shared" si="10"/>
        <v>68.75</v>
      </c>
      <c r="K244" s="12" t="str">
        <f>Absolute_Scores!K244</f>
        <v>@bagassianipar_</v>
      </c>
      <c r="L244" s="12" t="str">
        <f>Absolute_Scores!L244</f>
        <v>TikTok</v>
      </c>
      <c r="M244" s="29">
        <f>Absolute_Scores!N244</f>
        <v>45</v>
      </c>
      <c r="N244" s="30">
        <f t="shared" si="11"/>
        <v>67.16</v>
      </c>
    </row>
    <row r="245" spans="1:14">
      <c r="A245" s="12" t="str">
        <f>Absolute_Scores!A245</f>
        <v>@anjanne87</v>
      </c>
      <c r="B245" s="12" t="str">
        <f>Absolute_Scores!B245</f>
        <v>Instagram</v>
      </c>
      <c r="C245" s="29">
        <f>Absolute_Scores!D245</f>
        <v>50</v>
      </c>
      <c r="D245" s="30">
        <f t="shared" si="9"/>
        <v>62.5</v>
      </c>
      <c r="F245" s="12" t="str">
        <f>Absolute_Scores!F245</f>
        <v>@maverick.jonathan</v>
      </c>
      <c r="G245" s="12" t="str">
        <f>Absolute_Scores!G245</f>
        <v>Instagram</v>
      </c>
      <c r="H245" s="29">
        <f>Absolute_Scores!I245</f>
        <v>55</v>
      </c>
      <c r="I245" s="30">
        <f t="shared" si="10"/>
        <v>68.75</v>
      </c>
      <c r="K245" s="12" t="str">
        <f>Absolute_Scores!K245</f>
        <v>@bintanbukanbintang</v>
      </c>
      <c r="L245" s="12" t="str">
        <f>Absolute_Scores!L245</f>
        <v>TikTok</v>
      </c>
      <c r="M245" s="29">
        <f>Absolute_Scores!N245</f>
        <v>45</v>
      </c>
      <c r="N245" s="30">
        <f t="shared" si="11"/>
        <v>67.16</v>
      </c>
    </row>
    <row r="246" spans="1:14">
      <c r="A246" s="12" t="str">
        <f>Absolute_Scores!A246</f>
        <v>@annebakara</v>
      </c>
      <c r="B246" s="12" t="str">
        <f>Absolute_Scores!B246</f>
        <v>Instagram</v>
      </c>
      <c r="C246" s="29">
        <f>Absolute_Scores!D246</f>
        <v>50</v>
      </c>
      <c r="D246" s="30">
        <f t="shared" si="9"/>
        <v>62.5</v>
      </c>
      <c r="F246" s="12" t="str">
        <f>Absolute_Scores!F246</f>
        <v>@melatigunawan</v>
      </c>
      <c r="G246" s="12" t="str">
        <f>Absolute_Scores!G246</f>
        <v>Instagram</v>
      </c>
      <c r="H246" s="29">
        <f>Absolute_Scores!I246</f>
        <v>55</v>
      </c>
      <c r="I246" s="30">
        <f t="shared" si="10"/>
        <v>68.75</v>
      </c>
      <c r="K246" s="12" t="str">
        <f>Absolute_Scores!K246</f>
        <v>@damarindraa_</v>
      </c>
      <c r="L246" s="12" t="str">
        <f>Absolute_Scores!L246</f>
        <v>Instagram</v>
      </c>
      <c r="M246" s="29">
        <f>Absolute_Scores!N246</f>
        <v>45</v>
      </c>
      <c r="N246" s="30">
        <f t="shared" si="11"/>
        <v>67.16</v>
      </c>
    </row>
    <row r="247" spans="1:14">
      <c r="A247" s="12" t="str">
        <f>Absolute_Scores!A247</f>
        <v>@annesbelia</v>
      </c>
      <c r="B247" s="12" t="str">
        <f>Absolute_Scores!B247</f>
        <v>Instagram</v>
      </c>
      <c r="C247" s="29">
        <f>Absolute_Scores!D247</f>
        <v>50</v>
      </c>
      <c r="D247" s="30">
        <f t="shared" si="9"/>
        <v>62.5</v>
      </c>
      <c r="F247" s="12" t="str">
        <f>Absolute_Scores!F247</f>
        <v>@meliana_d3w</v>
      </c>
      <c r="G247" s="12" t="str">
        <f>Absolute_Scores!G247</f>
        <v>Instagram</v>
      </c>
      <c r="H247" s="29">
        <f>Absolute_Scores!I247</f>
        <v>55</v>
      </c>
      <c r="I247" s="30">
        <f t="shared" si="10"/>
        <v>68.75</v>
      </c>
      <c r="K247" s="12" t="str">
        <f>Absolute_Scores!K247</f>
        <v>@gulajawaofficial</v>
      </c>
      <c r="L247" s="12" t="str">
        <f>Absolute_Scores!L247</f>
        <v>TikTok</v>
      </c>
      <c r="M247" s="29">
        <f>Absolute_Scores!N247</f>
        <v>45</v>
      </c>
      <c r="N247" s="30">
        <f t="shared" si="11"/>
        <v>67.16</v>
      </c>
    </row>
    <row r="248" spans="1:14">
      <c r="A248" s="12" t="str">
        <f>Absolute_Scores!A248</f>
        <v>@annisaicha354</v>
      </c>
      <c r="B248" s="12" t="str">
        <f>Absolute_Scores!B248</f>
        <v>Instagram</v>
      </c>
      <c r="C248" s="29">
        <f>Absolute_Scores!D248</f>
        <v>50</v>
      </c>
      <c r="D248" s="30">
        <f t="shared" si="9"/>
        <v>62.5</v>
      </c>
      <c r="F248" s="12" t="str">
        <f>Absolute_Scores!F248</f>
        <v>@merdioctav</v>
      </c>
      <c r="G248" s="12" t="str">
        <f>Absolute_Scores!G248</f>
        <v>Instagram</v>
      </c>
      <c r="H248" s="29">
        <f>Absolute_Scores!I248</f>
        <v>55</v>
      </c>
      <c r="I248" s="30">
        <f t="shared" si="10"/>
        <v>68.75</v>
      </c>
      <c r="K248" s="12" t="str">
        <f>Absolute_Scores!K248</f>
        <v>@imeyliem?hl=en</v>
      </c>
      <c r="L248" s="12" t="str">
        <f>Absolute_Scores!L248</f>
        <v>Instagram</v>
      </c>
      <c r="M248" s="29">
        <f>Absolute_Scores!N248</f>
        <v>45</v>
      </c>
      <c r="N248" s="30">
        <f t="shared" si="11"/>
        <v>67.16</v>
      </c>
    </row>
    <row r="249" spans="1:14">
      <c r="A249" s="12" t="str">
        <f>Absolute_Scores!A249</f>
        <v>@apriliabellaa</v>
      </c>
      <c r="B249" s="12" t="str">
        <f>Absolute_Scores!B249</f>
        <v>Instagram</v>
      </c>
      <c r="C249" s="29">
        <f>Absolute_Scores!D249</f>
        <v>50</v>
      </c>
      <c r="D249" s="30">
        <f t="shared" si="9"/>
        <v>62.5</v>
      </c>
      <c r="F249" s="12" t="str">
        <f>Absolute_Scores!F249</f>
        <v>@michelleloraaa</v>
      </c>
      <c r="G249" s="12" t="str">
        <f>Absolute_Scores!G249</f>
        <v>Instagram</v>
      </c>
      <c r="H249" s="29">
        <f>Absolute_Scores!I249</f>
        <v>55</v>
      </c>
      <c r="I249" s="30">
        <f t="shared" si="10"/>
        <v>68.75</v>
      </c>
      <c r="K249" s="12" t="str">
        <f>Absolute_Scores!K249</f>
        <v>@laurasiburian</v>
      </c>
      <c r="L249" s="12" t="str">
        <f>Absolute_Scores!L249</f>
        <v>TikTok</v>
      </c>
      <c r="M249" s="29">
        <f>Absolute_Scores!N249</f>
        <v>45</v>
      </c>
      <c r="N249" s="30">
        <f t="shared" si="11"/>
        <v>67.16</v>
      </c>
    </row>
    <row r="250" spans="1:14">
      <c r="A250" s="12" t="str">
        <f>Absolute_Scores!A250</f>
        <v>@arifianthi</v>
      </c>
      <c r="B250" s="12" t="str">
        <f>Absolute_Scores!B250</f>
        <v>Instagram</v>
      </c>
      <c r="C250" s="29">
        <f>Absolute_Scores!D250</f>
        <v>50</v>
      </c>
      <c r="D250" s="30">
        <f t="shared" si="9"/>
        <v>62.5</v>
      </c>
      <c r="F250" s="12" t="str">
        <f>Absolute_Scores!F250</f>
        <v>@mputrasetia</v>
      </c>
      <c r="G250" s="12" t="str">
        <f>Absolute_Scores!G250</f>
        <v>Instagram</v>
      </c>
      <c r="H250" s="29">
        <f>Absolute_Scores!I250</f>
        <v>55</v>
      </c>
      <c r="I250" s="30">
        <f t="shared" si="10"/>
        <v>68.75</v>
      </c>
      <c r="K250" s="12" t="str">
        <f>Absolute_Scores!K250</f>
        <v>@lenny.juwita</v>
      </c>
      <c r="L250" s="12" t="str">
        <f>Absolute_Scores!L250</f>
        <v>Instagram</v>
      </c>
      <c r="M250" s="29">
        <f>Absolute_Scores!N250</f>
        <v>45</v>
      </c>
      <c r="N250" s="30">
        <f t="shared" si="11"/>
        <v>67.16</v>
      </c>
    </row>
    <row r="251" spans="1:14">
      <c r="A251" s="12" t="str">
        <f>Absolute_Scores!A251</f>
        <v>@arlylaksita</v>
      </c>
      <c r="B251" s="12" t="str">
        <f>Absolute_Scores!B251</f>
        <v>Instagram</v>
      </c>
      <c r="C251" s="29">
        <f>Absolute_Scores!D251</f>
        <v>50</v>
      </c>
      <c r="D251" s="30">
        <f t="shared" si="9"/>
        <v>62.5</v>
      </c>
      <c r="F251" s="12" t="str">
        <f>Absolute_Scores!F251</f>
        <v>@muhammadrfl</v>
      </c>
      <c r="G251" s="12" t="str">
        <f>Absolute_Scores!G251</f>
        <v>Instagram</v>
      </c>
      <c r="H251" s="29">
        <f>Absolute_Scores!I251</f>
        <v>55</v>
      </c>
      <c r="I251" s="30">
        <f t="shared" si="10"/>
        <v>68.75</v>
      </c>
      <c r="K251" s="12" t="str">
        <f>Absolute_Scores!K251</f>
        <v>@lugnutz_aj</v>
      </c>
      <c r="L251" s="12" t="str">
        <f>Absolute_Scores!L251</f>
        <v>Instagram</v>
      </c>
      <c r="M251" s="29">
        <f>Absolute_Scores!N251</f>
        <v>45</v>
      </c>
      <c r="N251" s="30">
        <f t="shared" si="11"/>
        <v>67.16</v>
      </c>
    </row>
    <row r="252" spans="1:14">
      <c r="A252" s="12" t="str">
        <f>Absolute_Scores!A252</f>
        <v>@arsakhakenzie</v>
      </c>
      <c r="B252" s="12" t="str">
        <f>Absolute_Scores!B252</f>
        <v>Instagram</v>
      </c>
      <c r="C252" s="29">
        <f>Absolute_Scores!D252</f>
        <v>50</v>
      </c>
      <c r="D252" s="30">
        <f t="shared" si="9"/>
        <v>62.5</v>
      </c>
      <c r="F252" s="12" t="str">
        <f>Absolute_Scores!F252</f>
        <v>@mymnca</v>
      </c>
      <c r="G252" s="12" t="str">
        <f>Absolute_Scores!G252</f>
        <v>Instagram</v>
      </c>
      <c r="H252" s="29">
        <f>Absolute_Scores!I252</f>
        <v>55</v>
      </c>
      <c r="I252" s="30">
        <f t="shared" si="10"/>
        <v>68.75</v>
      </c>
      <c r="K252" s="12" t="str">
        <f>Absolute_Scores!K252</f>
        <v>@marcelldarwin</v>
      </c>
      <c r="L252" s="12" t="str">
        <f>Absolute_Scores!L252</f>
        <v>Instagram</v>
      </c>
      <c r="M252" s="29">
        <f>Absolute_Scores!N252</f>
        <v>45</v>
      </c>
      <c r="N252" s="30">
        <f t="shared" si="11"/>
        <v>67.16</v>
      </c>
    </row>
    <row r="253" spans="1:14">
      <c r="A253" s="12" t="str">
        <f>Absolute_Scores!A253</f>
        <v>@artiwibeastly</v>
      </c>
      <c r="B253" s="12" t="str">
        <f>Absolute_Scores!B253</f>
        <v>Instagram</v>
      </c>
      <c r="C253" s="29">
        <f>Absolute_Scores!D253</f>
        <v>50</v>
      </c>
      <c r="D253" s="30">
        <f t="shared" si="9"/>
        <v>62.5</v>
      </c>
      <c r="F253" s="12" t="str">
        <f>Absolute_Scores!F253</f>
        <v>@nabilagardena</v>
      </c>
      <c r="G253" s="12" t="str">
        <f>Absolute_Scores!G253</f>
        <v>Instagram</v>
      </c>
      <c r="H253" s="29">
        <f>Absolute_Scores!I253</f>
        <v>55</v>
      </c>
      <c r="I253" s="30">
        <f t="shared" si="10"/>
        <v>68.75</v>
      </c>
      <c r="K253" s="12" t="str">
        <f>Absolute_Scores!K253</f>
        <v>@mitadwiputri</v>
      </c>
      <c r="L253" s="12" t="str">
        <f>Absolute_Scores!L253</f>
        <v>Instagram</v>
      </c>
      <c r="M253" s="29">
        <f>Absolute_Scores!N253</f>
        <v>45</v>
      </c>
      <c r="N253" s="30">
        <f t="shared" si="11"/>
        <v>67.16</v>
      </c>
    </row>
    <row r="254" spans="1:14">
      <c r="A254" s="12" t="str">
        <f>Absolute_Scores!A254</f>
        <v>@astuti.deny</v>
      </c>
      <c r="B254" s="12" t="str">
        <f>Absolute_Scores!B254</f>
        <v>Instagram</v>
      </c>
      <c r="C254" s="29">
        <f>Absolute_Scores!D254</f>
        <v>50</v>
      </c>
      <c r="D254" s="30">
        <f t="shared" si="9"/>
        <v>62.5</v>
      </c>
      <c r="F254" s="12" t="str">
        <f>Absolute_Scores!F254</f>
        <v>@namiramonda</v>
      </c>
      <c r="G254" s="12" t="str">
        <f>Absolute_Scores!G254</f>
        <v>Instagram</v>
      </c>
      <c r="H254" s="29">
        <f>Absolute_Scores!I254</f>
        <v>55</v>
      </c>
      <c r="I254" s="30">
        <f t="shared" si="10"/>
        <v>68.75</v>
      </c>
      <c r="K254" s="12" t="str">
        <f>Absolute_Scores!K254</f>
        <v>@nanamirdad_</v>
      </c>
      <c r="L254" s="12" t="str">
        <f>Absolute_Scores!L254</f>
        <v>Instagram</v>
      </c>
      <c r="M254" s="29">
        <f>Absolute_Scores!N254</f>
        <v>45</v>
      </c>
      <c r="N254" s="30">
        <f t="shared" si="11"/>
        <v>67.16</v>
      </c>
    </row>
    <row r="255" spans="1:14">
      <c r="A255" s="12" t="str">
        <f>Absolute_Scores!A255</f>
        <v>@atin_nuratikah</v>
      </c>
      <c r="B255" s="12" t="str">
        <f>Absolute_Scores!B255</f>
        <v>Instagram</v>
      </c>
      <c r="C255" s="29">
        <f>Absolute_Scores!D255</f>
        <v>50</v>
      </c>
      <c r="D255" s="30">
        <f t="shared" si="9"/>
        <v>62.5</v>
      </c>
      <c r="F255" s="12" t="str">
        <f>Absolute_Scores!F255</f>
        <v>@nisafathoni</v>
      </c>
      <c r="G255" s="12" t="str">
        <f>Absolute_Scores!G255</f>
        <v>Instagram</v>
      </c>
      <c r="H255" s="29">
        <f>Absolute_Scores!I255</f>
        <v>55</v>
      </c>
      <c r="I255" s="30">
        <f t="shared" si="10"/>
        <v>68.75</v>
      </c>
      <c r="K255" s="12" t="str">
        <f>Absolute_Scores!K255</f>
        <v>@nora_wuu</v>
      </c>
      <c r="L255" s="12" t="str">
        <f>Absolute_Scores!L255</f>
        <v>TikTok</v>
      </c>
      <c r="M255" s="29">
        <f>Absolute_Scores!N255</f>
        <v>45</v>
      </c>
      <c r="N255" s="30">
        <f t="shared" si="11"/>
        <v>67.16</v>
      </c>
    </row>
    <row r="256" spans="1:14">
      <c r="A256" s="12" t="str">
        <f>Absolute_Scores!A256</f>
        <v>@atk_caa</v>
      </c>
      <c r="B256" s="12" t="str">
        <f>Absolute_Scores!B256</f>
        <v>Instagram</v>
      </c>
      <c r="C256" s="29">
        <f>Absolute_Scores!D256</f>
        <v>50</v>
      </c>
      <c r="D256" s="30">
        <f t="shared" si="9"/>
        <v>62.5</v>
      </c>
      <c r="F256" s="12" t="str">
        <f>Absolute_Scores!F256</f>
        <v>@nonawilly16</v>
      </c>
      <c r="G256" s="12" t="str">
        <f>Absolute_Scores!G256</f>
        <v>Instagram</v>
      </c>
      <c r="H256" s="29">
        <f>Absolute_Scores!I256</f>
        <v>55</v>
      </c>
      <c r="I256" s="30">
        <f t="shared" si="10"/>
        <v>68.75</v>
      </c>
      <c r="K256" s="12" t="str">
        <f>Absolute_Scores!K256</f>
        <v>@nova_nayla</v>
      </c>
      <c r="L256" s="12" t="str">
        <f>Absolute_Scores!L256</f>
        <v>Instagram</v>
      </c>
      <c r="M256" s="29">
        <f>Absolute_Scores!N256</f>
        <v>45</v>
      </c>
      <c r="N256" s="30">
        <f t="shared" si="11"/>
        <v>67.16</v>
      </c>
    </row>
    <row r="257" spans="1:14">
      <c r="A257" s="12" t="str">
        <f>Absolute_Scores!A257</f>
        <v>@atsaqafi</v>
      </c>
      <c r="B257" s="12" t="str">
        <f>Absolute_Scores!B257</f>
        <v>Instagram</v>
      </c>
      <c r="C257" s="29">
        <f>Absolute_Scores!D257</f>
        <v>50</v>
      </c>
      <c r="D257" s="30">
        <f t="shared" si="9"/>
        <v>62.5</v>
      </c>
      <c r="F257" s="12" t="str">
        <f>Absolute_Scores!F257</f>
        <v>@okkyalparessi</v>
      </c>
      <c r="G257" s="12" t="str">
        <f>Absolute_Scores!G257</f>
        <v>Instagram</v>
      </c>
      <c r="H257" s="29">
        <f>Absolute_Scores!I257</f>
        <v>55</v>
      </c>
      <c r="I257" s="30">
        <f t="shared" si="10"/>
        <v>68.75</v>
      </c>
      <c r="K257" s="12" t="str">
        <f>Absolute_Scores!K257</f>
        <v>@ocihasanah</v>
      </c>
      <c r="L257" s="12" t="str">
        <f>Absolute_Scores!L257</f>
        <v>Instagram</v>
      </c>
      <c r="M257" s="29">
        <f>Absolute_Scores!N257</f>
        <v>45</v>
      </c>
      <c r="N257" s="30">
        <f t="shared" si="11"/>
        <v>67.16</v>
      </c>
    </row>
    <row r="258" spans="1:14">
      <c r="A258" s="12" t="str">
        <f>Absolute_Scores!A258</f>
        <v>@aukk____</v>
      </c>
      <c r="B258" s="12" t="str">
        <f>Absolute_Scores!B258</f>
        <v>Instagram</v>
      </c>
      <c r="C258" s="29">
        <f>Absolute_Scores!D258</f>
        <v>50</v>
      </c>
      <c r="D258" s="30">
        <f t="shared" si="9"/>
        <v>62.5</v>
      </c>
      <c r="F258" s="12" t="str">
        <f>Absolute_Scores!F258</f>
        <v>@queenzangell</v>
      </c>
      <c r="G258" s="12" t="str">
        <f>Absolute_Scores!G258</f>
        <v>Instagram</v>
      </c>
      <c r="H258" s="29">
        <f>Absolute_Scores!I258</f>
        <v>55</v>
      </c>
      <c r="I258" s="30">
        <f t="shared" si="10"/>
        <v>68.75</v>
      </c>
      <c r="K258" s="12" t="str">
        <f>Absolute_Scores!K258</f>
        <v>@penaattt</v>
      </c>
      <c r="L258" s="12" t="str">
        <f>Absolute_Scores!L258</f>
        <v>TikTok</v>
      </c>
      <c r="M258" s="29">
        <f>Absolute_Scores!N258</f>
        <v>45</v>
      </c>
      <c r="N258" s="30">
        <f t="shared" si="11"/>
        <v>67.16</v>
      </c>
    </row>
    <row r="259" spans="1:14">
      <c r="A259" s="12" t="str">
        <f>Absolute_Scores!A259</f>
        <v>@auliaamj</v>
      </c>
      <c r="B259" s="12" t="str">
        <f>Absolute_Scores!B259</f>
        <v>Instagram</v>
      </c>
      <c r="C259" s="29">
        <f>Absolute_Scores!D259</f>
        <v>50</v>
      </c>
      <c r="D259" s="30">
        <f t="shared" si="9"/>
        <v>62.5</v>
      </c>
      <c r="F259" s="12" t="str">
        <f>Absolute_Scores!F259</f>
        <v>@refalhady</v>
      </c>
      <c r="G259" s="12" t="str">
        <f>Absolute_Scores!G259</f>
        <v>Instagram</v>
      </c>
      <c r="H259" s="29">
        <f>Absolute_Scores!I259</f>
        <v>55</v>
      </c>
      <c r="I259" s="30">
        <f t="shared" si="10"/>
        <v>68.75</v>
      </c>
      <c r="K259" s="12" t="str">
        <f>Absolute_Scores!K259</f>
        <v>@pojoksatu.id</v>
      </c>
      <c r="L259" s="12" t="str">
        <f>Absolute_Scores!L259</f>
        <v>TikTok</v>
      </c>
      <c r="M259" s="29">
        <f>Absolute_Scores!N259</f>
        <v>45</v>
      </c>
      <c r="N259" s="30">
        <f t="shared" si="11"/>
        <v>67.16</v>
      </c>
    </row>
    <row r="260" spans="1:14">
      <c r="A260" s="12" t="str">
        <f>Absolute_Scores!A260</f>
        <v>@aya_mdf</v>
      </c>
      <c r="B260" s="12" t="str">
        <f>Absolute_Scores!B260</f>
        <v>Instagram</v>
      </c>
      <c r="C260" s="29">
        <f>Absolute_Scores!D260</f>
        <v>50</v>
      </c>
      <c r="D260" s="30">
        <f t="shared" si="9"/>
        <v>62.5</v>
      </c>
      <c r="F260" s="12" t="str">
        <f>Absolute_Scores!F260</f>
        <v>@rinaldi_ni</v>
      </c>
      <c r="G260" s="12" t="str">
        <f>Absolute_Scores!G260</f>
        <v>Instagram</v>
      </c>
      <c r="H260" s="29">
        <f>Absolute_Scores!I260</f>
        <v>55</v>
      </c>
      <c r="I260" s="30">
        <f t="shared" si="10"/>
        <v>68.75</v>
      </c>
      <c r="K260" s="12" t="str">
        <f>Absolute_Scores!K260</f>
        <v>@qanitafachirah</v>
      </c>
      <c r="L260" s="12" t="str">
        <f>Absolute_Scores!L260</f>
        <v>TikTok</v>
      </c>
      <c r="M260" s="29">
        <f>Absolute_Scores!N260</f>
        <v>45</v>
      </c>
      <c r="N260" s="30">
        <f t="shared" si="11"/>
        <v>67.16</v>
      </c>
    </row>
    <row r="261" spans="1:14">
      <c r="A261" s="12" t="str">
        <f>Absolute_Scores!A261</f>
        <v>@ayu.ulfa.dewi</v>
      </c>
      <c r="B261" s="12" t="str">
        <f>Absolute_Scores!B261</f>
        <v>Instagram</v>
      </c>
      <c r="C261" s="29">
        <f>Absolute_Scores!D261</f>
        <v>50</v>
      </c>
      <c r="D261" s="30">
        <f t="shared" si="9"/>
        <v>62.5</v>
      </c>
      <c r="F261" s="12" t="str">
        <f>Absolute_Scores!F261</f>
        <v>@riofhm_</v>
      </c>
      <c r="G261" s="12" t="str">
        <f>Absolute_Scores!G261</f>
        <v>Instagram</v>
      </c>
      <c r="H261" s="29">
        <f>Absolute_Scores!I261</f>
        <v>55</v>
      </c>
      <c r="I261" s="30">
        <f t="shared" si="10"/>
        <v>68.75</v>
      </c>
      <c r="K261" s="12" t="str">
        <f>Absolute_Scores!K261</f>
        <v>@safirakaunang</v>
      </c>
      <c r="L261" s="12" t="str">
        <f>Absolute_Scores!L261</f>
        <v>Instagram</v>
      </c>
      <c r="M261" s="29">
        <f>Absolute_Scores!N261</f>
        <v>45</v>
      </c>
      <c r="N261" s="30">
        <f t="shared" si="11"/>
        <v>67.16</v>
      </c>
    </row>
    <row r="262" spans="1:14">
      <c r="A262" s="12" t="str">
        <f>Absolute_Scores!A262</f>
        <v>@ayuktami_official</v>
      </c>
      <c r="B262" s="12" t="str">
        <f>Absolute_Scores!B262</f>
        <v>Instagram</v>
      </c>
      <c r="C262" s="29">
        <f>Absolute_Scores!D262</f>
        <v>50</v>
      </c>
      <c r="D262" s="30">
        <f t="shared" ref="D262:D325" si="12">ROUND(C262/$D$4*100,2)</f>
        <v>62.5</v>
      </c>
      <c r="F262" s="12" t="str">
        <f>Absolute_Scores!F262</f>
        <v>@riyukabunga</v>
      </c>
      <c r="G262" s="12" t="str">
        <f>Absolute_Scores!G262</f>
        <v>TikTok</v>
      </c>
      <c r="H262" s="29">
        <f>Absolute_Scores!I262</f>
        <v>55</v>
      </c>
      <c r="I262" s="30">
        <f t="shared" ref="I262:I325" si="13">ROUND(H262/$I$4*100,2)</f>
        <v>68.75</v>
      </c>
      <c r="K262" s="12" t="str">
        <f>Absolute_Scores!K262</f>
        <v>@shaniaaaf</v>
      </c>
      <c r="L262" s="12" t="str">
        <f>Absolute_Scores!L262</f>
        <v>TikTok</v>
      </c>
      <c r="M262" s="29">
        <f>Absolute_Scores!N262</f>
        <v>45</v>
      </c>
      <c r="N262" s="30">
        <f t="shared" ref="N262:N325" si="14">ROUND(M262/$N$4*100,2)</f>
        <v>67.16</v>
      </c>
    </row>
    <row r="263" spans="1:14">
      <c r="A263" s="12" t="str">
        <f>Absolute_Scores!A263</f>
        <v>@ayundashendy_</v>
      </c>
      <c r="B263" s="12" t="str">
        <f>Absolute_Scores!B263</f>
        <v>Instagram</v>
      </c>
      <c r="C263" s="29">
        <f>Absolute_Scores!D263</f>
        <v>50</v>
      </c>
      <c r="D263" s="30">
        <f t="shared" si="12"/>
        <v>62.5</v>
      </c>
      <c r="F263" s="12" t="str">
        <f>Absolute_Scores!F263</f>
        <v>@rtfelish</v>
      </c>
      <c r="G263" s="12" t="str">
        <f>Absolute_Scores!G263</f>
        <v>Instagram</v>
      </c>
      <c r="H263" s="29">
        <f>Absolute_Scores!I263</f>
        <v>55</v>
      </c>
      <c r="I263" s="30">
        <f t="shared" si="13"/>
        <v>68.75</v>
      </c>
      <c r="K263" s="12" t="str">
        <f>Absolute_Scores!K263</f>
        <v>@tehikaa</v>
      </c>
      <c r="L263" s="12" t="str">
        <f>Absolute_Scores!L263</f>
        <v>Instagram</v>
      </c>
      <c r="M263" s="29">
        <f>Absolute_Scores!N263</f>
        <v>45</v>
      </c>
      <c r="N263" s="30">
        <f t="shared" si="14"/>
        <v>67.16</v>
      </c>
    </row>
    <row r="264" spans="1:14">
      <c r="A264" s="12" t="str">
        <f>Absolute_Scores!A264</f>
        <v>@ayyu7588</v>
      </c>
      <c r="B264" s="12" t="str">
        <f>Absolute_Scores!B264</f>
        <v>Instagram</v>
      </c>
      <c r="C264" s="29">
        <f>Absolute_Scores!D264</f>
        <v>50</v>
      </c>
      <c r="D264" s="30">
        <f t="shared" si="12"/>
        <v>62.5</v>
      </c>
      <c r="F264" s="12" t="str">
        <f>Absolute_Scores!F264</f>
        <v>@rucenuenda</v>
      </c>
      <c r="G264" s="12" t="str">
        <f>Absolute_Scores!G264</f>
        <v>Instagram</v>
      </c>
      <c r="H264" s="29">
        <f>Absolute_Scores!I264</f>
        <v>55</v>
      </c>
      <c r="I264" s="30">
        <f t="shared" si="13"/>
        <v>68.75</v>
      </c>
      <c r="K264" s="12" t="str">
        <f>Absolute_Scores!K264</f>
        <v>@timotiusmul</v>
      </c>
      <c r="L264" s="12" t="str">
        <f>Absolute_Scores!L264</f>
        <v>Instagram</v>
      </c>
      <c r="M264" s="29">
        <f>Absolute_Scores!N264</f>
        <v>45</v>
      </c>
      <c r="N264" s="30">
        <f t="shared" si="14"/>
        <v>67.16</v>
      </c>
    </row>
    <row r="265" spans="1:14">
      <c r="A265" s="12" t="str">
        <f>Absolute_Scores!A265</f>
        <v>@azkaalfi</v>
      </c>
      <c r="B265" s="12" t="str">
        <f>Absolute_Scores!B265</f>
        <v>Instagram</v>
      </c>
      <c r="C265" s="29">
        <f>Absolute_Scores!D265</f>
        <v>50</v>
      </c>
      <c r="D265" s="30">
        <f t="shared" si="12"/>
        <v>62.5</v>
      </c>
      <c r="F265" s="12" t="str">
        <f>Absolute_Scores!F265</f>
        <v>@rx_mnd</v>
      </c>
      <c r="G265" s="12" t="str">
        <f>Absolute_Scores!G265</f>
        <v>Instagram</v>
      </c>
      <c r="H265" s="29">
        <f>Absolute_Scores!I265</f>
        <v>55</v>
      </c>
      <c r="I265" s="30">
        <f t="shared" si="13"/>
        <v>68.75</v>
      </c>
      <c r="K265" s="12" t="str">
        <f>Absolute_Scores!K265</f>
        <v>@virginiaobed</v>
      </c>
      <c r="L265" s="12" t="str">
        <f>Absolute_Scores!L265</f>
        <v>Instagram</v>
      </c>
      <c r="M265" s="29">
        <f>Absolute_Scores!N265</f>
        <v>45</v>
      </c>
      <c r="N265" s="30">
        <f t="shared" si="14"/>
        <v>67.16</v>
      </c>
    </row>
    <row r="266" spans="1:14">
      <c r="A266" s="12" t="str">
        <f>Absolute_Scores!A266</f>
        <v>@azkasachiorafif</v>
      </c>
      <c r="B266" s="12" t="str">
        <f>Absolute_Scores!B266</f>
        <v>Instagram</v>
      </c>
      <c r="C266" s="29">
        <f>Absolute_Scores!D266</f>
        <v>50</v>
      </c>
      <c r="D266" s="30">
        <f t="shared" si="12"/>
        <v>62.5</v>
      </c>
      <c r="F266" s="12" t="str">
        <f>Absolute_Scores!F266</f>
        <v>@ryangoutama</v>
      </c>
      <c r="G266" s="12" t="str">
        <f>Absolute_Scores!G266</f>
        <v>Instagram</v>
      </c>
      <c r="H266" s="29">
        <f>Absolute_Scores!I266</f>
        <v>55</v>
      </c>
      <c r="I266" s="30">
        <f t="shared" si="13"/>
        <v>68.75</v>
      </c>
      <c r="K266" s="12" t="str">
        <f>Absolute_Scores!K266</f>
        <v>@yolenta.joanna</v>
      </c>
      <c r="L266" s="12" t="str">
        <f>Absolute_Scores!L266</f>
        <v>TikTok</v>
      </c>
      <c r="M266" s="29">
        <f>Absolute_Scores!N266</f>
        <v>45</v>
      </c>
      <c r="N266" s="30">
        <f t="shared" si="14"/>
        <v>67.16</v>
      </c>
    </row>
    <row r="267" spans="1:14">
      <c r="A267" s="12" t="str">
        <f>Absolute_Scores!A267</f>
        <v>@azzahra_3015</v>
      </c>
      <c r="B267" s="12" t="str">
        <f>Absolute_Scores!B267</f>
        <v>Instagram</v>
      </c>
      <c r="C267" s="29">
        <f>Absolute_Scores!D267</f>
        <v>50</v>
      </c>
      <c r="D267" s="30">
        <f t="shared" si="12"/>
        <v>62.5</v>
      </c>
      <c r="F267" s="12" t="str">
        <f>Absolute_Scores!F267</f>
        <v>@saalhaerid</v>
      </c>
      <c r="G267" s="12" t="str">
        <f>Absolute_Scores!G267</f>
        <v>TikTok</v>
      </c>
      <c r="H267" s="29">
        <f>Absolute_Scores!I267</f>
        <v>55</v>
      </c>
      <c r="I267" s="30">
        <f t="shared" si="13"/>
        <v>68.75</v>
      </c>
      <c r="K267" s="12" t="str">
        <f>Absolute_Scores!K267</f>
        <v>@zahra_puspita</v>
      </c>
      <c r="L267" s="12" t="str">
        <f>Absolute_Scores!L267</f>
        <v>Instagram</v>
      </c>
      <c r="M267" s="29">
        <f>Absolute_Scores!N267</f>
        <v>45</v>
      </c>
      <c r="N267" s="30">
        <f t="shared" si="14"/>
        <v>67.16</v>
      </c>
    </row>
    <row r="268" spans="1:14">
      <c r="A268" s="12" t="str">
        <f>Absolute_Scores!A268</f>
        <v>@badiah_basyaib</v>
      </c>
      <c r="B268" s="12" t="str">
        <f>Absolute_Scores!B268</f>
        <v>Instagram</v>
      </c>
      <c r="C268" s="29">
        <f>Absolute_Scores!D268</f>
        <v>50</v>
      </c>
      <c r="D268" s="30">
        <f t="shared" si="12"/>
        <v>62.5</v>
      </c>
      <c r="F268" s="12" t="str">
        <f>Absolute_Scores!F268</f>
        <v>@sabreenadressler</v>
      </c>
      <c r="G268" s="12" t="str">
        <f>Absolute_Scores!G268</f>
        <v>Instagram</v>
      </c>
      <c r="H268" s="29">
        <f>Absolute_Scores!I268</f>
        <v>55</v>
      </c>
      <c r="I268" s="30">
        <f t="shared" si="13"/>
        <v>68.75</v>
      </c>
      <c r="K268" s="12" t="str">
        <f>Absolute_Scores!K268</f>
        <v>@adindavld</v>
      </c>
      <c r="L268" s="12" t="str">
        <f>Absolute_Scores!L268</f>
        <v>Instagram</v>
      </c>
      <c r="M268" s="29">
        <f>Absolute_Scores!N268</f>
        <v>44</v>
      </c>
      <c r="N268" s="30">
        <f t="shared" si="14"/>
        <v>65.67</v>
      </c>
    </row>
    <row r="269" spans="1:14">
      <c r="A269" s="12" t="str">
        <f>Absolute_Scores!A269</f>
        <v>@bayuilhambintang19</v>
      </c>
      <c r="B269" s="12" t="str">
        <f>Absolute_Scores!B269</f>
        <v>Instagram</v>
      </c>
      <c r="C269" s="29">
        <f>Absolute_Scores!D269</f>
        <v>50</v>
      </c>
      <c r="D269" s="30">
        <f t="shared" si="12"/>
        <v>62.5</v>
      </c>
      <c r="F269" s="12" t="str">
        <f>Absolute_Scores!F269</f>
        <v>@sabrinasosiawan</v>
      </c>
      <c r="G269" s="12" t="str">
        <f>Absolute_Scores!G269</f>
        <v>Instagram</v>
      </c>
      <c r="H269" s="29">
        <f>Absolute_Scores!I269</f>
        <v>55</v>
      </c>
      <c r="I269" s="30">
        <f t="shared" si="13"/>
        <v>68.75</v>
      </c>
      <c r="K269" s="12" t="str">
        <f>Absolute_Scores!K269</f>
        <v>@alwinsast</v>
      </c>
      <c r="L269" s="12" t="str">
        <f>Absolute_Scores!L269</f>
        <v>TikTok</v>
      </c>
      <c r="M269" s="29">
        <f>Absolute_Scores!N269</f>
        <v>44</v>
      </c>
      <c r="N269" s="30">
        <f t="shared" si="14"/>
        <v>65.67</v>
      </c>
    </row>
    <row r="270" spans="1:14">
      <c r="A270" s="12" t="str">
        <f>Absolute_Scores!A270</f>
        <v>@bee.febyy</v>
      </c>
      <c r="B270" s="12" t="str">
        <f>Absolute_Scores!B270</f>
        <v>Instagram</v>
      </c>
      <c r="C270" s="29">
        <f>Absolute_Scores!D270</f>
        <v>50</v>
      </c>
      <c r="D270" s="30">
        <f t="shared" si="12"/>
        <v>62.5</v>
      </c>
      <c r="F270" s="12" t="str">
        <f>Absolute_Scores!F270</f>
        <v>@sakilagustina</v>
      </c>
      <c r="G270" s="12" t="str">
        <f>Absolute_Scores!G270</f>
        <v>Instagram</v>
      </c>
      <c r="H270" s="29">
        <f>Absolute_Scores!I270</f>
        <v>55</v>
      </c>
      <c r="I270" s="30">
        <f t="shared" si="13"/>
        <v>68.75</v>
      </c>
      <c r="K270" s="12" t="str">
        <f>Absolute_Scores!K270</f>
        <v>@anyageraldine</v>
      </c>
      <c r="L270" s="12" t="str">
        <f>Absolute_Scores!L270</f>
        <v>Instagram</v>
      </c>
      <c r="M270" s="29">
        <f>Absolute_Scores!N270</f>
        <v>44</v>
      </c>
      <c r="N270" s="30">
        <f t="shared" si="14"/>
        <v>65.67</v>
      </c>
    </row>
    <row r="271" spans="1:14">
      <c r="A271" s="12" t="str">
        <f>Absolute_Scores!A271</f>
        <v>@brillydiary</v>
      </c>
      <c r="B271" s="12" t="str">
        <f>Absolute_Scores!B271</f>
        <v>Instagram</v>
      </c>
      <c r="C271" s="29">
        <f>Absolute_Scores!D271</f>
        <v>50</v>
      </c>
      <c r="D271" s="30">
        <f t="shared" si="12"/>
        <v>62.5</v>
      </c>
      <c r="F271" s="12" t="str">
        <f>Absolute_Scores!F271</f>
        <v>@sashfir</v>
      </c>
      <c r="G271" s="12" t="str">
        <f>Absolute_Scores!G271</f>
        <v>Instagram</v>
      </c>
      <c r="H271" s="29">
        <f>Absolute_Scores!I271</f>
        <v>55</v>
      </c>
      <c r="I271" s="30">
        <f t="shared" si="13"/>
        <v>68.75</v>
      </c>
      <c r="K271" s="12" t="str">
        <f>Absolute_Scores!K271</f>
        <v>@arinprastya</v>
      </c>
      <c r="L271" s="12" t="str">
        <f>Absolute_Scores!L271</f>
        <v>Instagram</v>
      </c>
      <c r="M271" s="29">
        <f>Absolute_Scores!N271</f>
        <v>44</v>
      </c>
      <c r="N271" s="30">
        <f t="shared" si="14"/>
        <v>65.67</v>
      </c>
    </row>
    <row r="272" spans="1:14">
      <c r="A272" s="12" t="str">
        <f>Absolute_Scores!A272</f>
        <v>@bulanfortuna</v>
      </c>
      <c r="B272" s="12" t="str">
        <f>Absolute_Scores!B272</f>
        <v>Instagram</v>
      </c>
      <c r="C272" s="29">
        <f>Absolute_Scores!D272</f>
        <v>50</v>
      </c>
      <c r="D272" s="30">
        <f t="shared" si="12"/>
        <v>62.5</v>
      </c>
      <c r="F272" s="12" t="str">
        <f>Absolute_Scores!F272</f>
        <v>@shielyv</v>
      </c>
      <c r="G272" s="12" t="str">
        <f>Absolute_Scores!G272</f>
        <v>Instagram</v>
      </c>
      <c r="H272" s="29">
        <f>Absolute_Scores!I272</f>
        <v>55</v>
      </c>
      <c r="I272" s="30">
        <f t="shared" si="13"/>
        <v>68.75</v>
      </c>
      <c r="K272" s="12" t="str">
        <f>Absolute_Scores!K272</f>
        <v>@aymanalatas</v>
      </c>
      <c r="L272" s="12" t="str">
        <f>Absolute_Scores!L272</f>
        <v>Instagram</v>
      </c>
      <c r="M272" s="29">
        <f>Absolute_Scores!N272</f>
        <v>44</v>
      </c>
      <c r="N272" s="30">
        <f t="shared" si="14"/>
        <v>65.67</v>
      </c>
    </row>
    <row r="273" spans="1:14">
      <c r="A273" s="12" t="str">
        <f>Absolute_Scores!A273</f>
        <v>@bunahrhiaaa14</v>
      </c>
      <c r="B273" s="12" t="str">
        <f>Absolute_Scores!B273</f>
        <v>Instagram</v>
      </c>
      <c r="C273" s="29">
        <f>Absolute_Scores!D273</f>
        <v>50</v>
      </c>
      <c r="D273" s="30">
        <f t="shared" si="12"/>
        <v>62.5</v>
      </c>
      <c r="F273" s="12" t="str">
        <f>Absolute_Scores!F273</f>
        <v>@skupingg</v>
      </c>
      <c r="G273" s="12" t="str">
        <f>Absolute_Scores!G273</f>
        <v>Instagram</v>
      </c>
      <c r="H273" s="29">
        <f>Absolute_Scores!I273</f>
        <v>55</v>
      </c>
      <c r="I273" s="30">
        <f t="shared" si="13"/>
        <v>68.75</v>
      </c>
      <c r="K273" s="12" t="str">
        <f>Absolute_Scores!K273</f>
        <v>@brigittairene22</v>
      </c>
      <c r="L273" s="12" t="str">
        <f>Absolute_Scores!L273</f>
        <v>Instagram</v>
      </c>
      <c r="M273" s="29">
        <f>Absolute_Scores!N273</f>
        <v>44</v>
      </c>
      <c r="N273" s="30">
        <f t="shared" si="14"/>
        <v>65.67</v>
      </c>
    </row>
    <row r="274" spans="1:14">
      <c r="A274" s="12" t="str">
        <f>Absolute_Scores!A274</f>
        <v>@cacahya17</v>
      </c>
      <c r="B274" s="12" t="str">
        <f>Absolute_Scores!B274</f>
        <v>Instagram</v>
      </c>
      <c r="C274" s="29">
        <f>Absolute_Scores!D274</f>
        <v>50</v>
      </c>
      <c r="D274" s="30">
        <f t="shared" si="12"/>
        <v>62.5</v>
      </c>
      <c r="F274" s="12" t="str">
        <f>Absolute_Scores!F274</f>
        <v>@solehsolihun</v>
      </c>
      <c r="G274" s="12" t="str">
        <f>Absolute_Scores!G274</f>
        <v>Instagram</v>
      </c>
      <c r="H274" s="29">
        <f>Absolute_Scores!I274</f>
        <v>55</v>
      </c>
      <c r="I274" s="30">
        <f t="shared" si="13"/>
        <v>68.75</v>
      </c>
      <c r="K274" s="12" t="str">
        <f>Absolute_Scores!K274</f>
        <v>@cindyjessiica</v>
      </c>
      <c r="L274" s="12" t="str">
        <f>Absolute_Scores!L274</f>
        <v>Instagram</v>
      </c>
      <c r="M274" s="29">
        <f>Absolute_Scores!N274</f>
        <v>44</v>
      </c>
      <c r="N274" s="30">
        <f t="shared" si="14"/>
        <v>65.67</v>
      </c>
    </row>
    <row r="275" spans="1:14">
      <c r="A275" s="12" t="str">
        <f>Absolute_Scores!A275</f>
        <v>@cahyaningtyas.nagara</v>
      </c>
      <c r="B275" s="12" t="str">
        <f>Absolute_Scores!B275</f>
        <v>Instagram</v>
      </c>
      <c r="C275" s="29">
        <f>Absolute_Scores!D275</f>
        <v>50</v>
      </c>
      <c r="D275" s="30">
        <f t="shared" si="12"/>
        <v>62.5</v>
      </c>
      <c r="F275" s="12" t="str">
        <f>Absolute_Scores!F275</f>
        <v>@stephanie.hertanto</v>
      </c>
      <c r="G275" s="12" t="str">
        <f>Absolute_Scores!G275</f>
        <v>Instagram</v>
      </c>
      <c r="H275" s="29">
        <f>Absolute_Scores!I275</f>
        <v>55</v>
      </c>
      <c r="I275" s="30">
        <f t="shared" si="13"/>
        <v>68.75</v>
      </c>
      <c r="K275" s="12" t="str">
        <f>Absolute_Scores!K275</f>
        <v>@daenkrukka</v>
      </c>
      <c r="L275" s="12" t="str">
        <f>Absolute_Scores!L275</f>
        <v>Instagram</v>
      </c>
      <c r="M275" s="29">
        <f>Absolute_Scores!N275</f>
        <v>44</v>
      </c>
      <c r="N275" s="30">
        <f t="shared" si="14"/>
        <v>65.67</v>
      </c>
    </row>
    <row r="276" spans="1:14">
      <c r="A276" s="12" t="str">
        <f>Absolute_Scores!A276</f>
        <v>@cantikaamanda16</v>
      </c>
      <c r="B276" s="12" t="str">
        <f>Absolute_Scores!B276</f>
        <v>Instagram</v>
      </c>
      <c r="C276" s="29">
        <f>Absolute_Scores!D276</f>
        <v>50</v>
      </c>
      <c r="D276" s="30">
        <f t="shared" si="12"/>
        <v>62.5</v>
      </c>
      <c r="F276" s="12" t="str">
        <f>Absolute_Scores!F276</f>
        <v>@sunnydahye</v>
      </c>
      <c r="G276" s="12" t="str">
        <f>Absolute_Scores!G276</f>
        <v>Instagram</v>
      </c>
      <c r="H276" s="29">
        <f>Absolute_Scores!I276</f>
        <v>55</v>
      </c>
      <c r="I276" s="30">
        <f t="shared" si="13"/>
        <v>68.75</v>
      </c>
      <c r="K276" s="12" t="str">
        <f>Absolute_Scores!K276</f>
        <v>@davidwijaya23</v>
      </c>
      <c r="L276" s="12" t="str">
        <f>Absolute_Scores!L276</f>
        <v>Instagram</v>
      </c>
      <c r="M276" s="29">
        <f>Absolute_Scores!N276</f>
        <v>44</v>
      </c>
      <c r="N276" s="30">
        <f t="shared" si="14"/>
        <v>65.67</v>
      </c>
    </row>
    <row r="277" spans="1:14">
      <c r="A277" s="12" t="str">
        <f>Absolute_Scores!A277</f>
        <v>@ceceh15</v>
      </c>
      <c r="B277" s="12" t="str">
        <f>Absolute_Scores!B277</f>
        <v>Instagram</v>
      </c>
      <c r="C277" s="29">
        <f>Absolute_Scores!D277</f>
        <v>50</v>
      </c>
      <c r="D277" s="30">
        <f t="shared" si="12"/>
        <v>62.5</v>
      </c>
      <c r="F277" s="12" t="str">
        <f>Absolute_Scores!F277</f>
        <v>@syafira_hdd</v>
      </c>
      <c r="G277" s="12" t="str">
        <f>Absolute_Scores!G277</f>
        <v>Instagram</v>
      </c>
      <c r="H277" s="29">
        <f>Absolute_Scores!I277</f>
        <v>55</v>
      </c>
      <c r="I277" s="30">
        <f t="shared" si="13"/>
        <v>68.75</v>
      </c>
      <c r="K277" s="12" t="str">
        <f>Absolute_Scores!K277</f>
        <v>@devinakonatra</v>
      </c>
      <c r="L277" s="12" t="str">
        <f>Absolute_Scores!L277</f>
        <v>Instagram</v>
      </c>
      <c r="M277" s="29">
        <f>Absolute_Scores!N277</f>
        <v>44</v>
      </c>
      <c r="N277" s="30">
        <f t="shared" si="14"/>
        <v>65.67</v>
      </c>
    </row>
    <row r="278" spans="1:14">
      <c r="A278" s="12" t="str">
        <f>Absolute_Scores!A278</f>
        <v>@chandrameimei</v>
      </c>
      <c r="B278" s="12" t="str">
        <f>Absolute_Scores!B278</f>
        <v>Instagram</v>
      </c>
      <c r="C278" s="29">
        <f>Absolute_Scores!D278</f>
        <v>50</v>
      </c>
      <c r="D278" s="30">
        <f t="shared" si="12"/>
        <v>62.5</v>
      </c>
      <c r="F278" s="12" t="str">
        <f>Absolute_Scores!F278</f>
        <v>@talitamaghfira</v>
      </c>
      <c r="G278" s="12" t="str">
        <f>Absolute_Scores!G278</f>
        <v>Instagram</v>
      </c>
      <c r="H278" s="29">
        <f>Absolute_Scores!I278</f>
        <v>55</v>
      </c>
      <c r="I278" s="30">
        <f t="shared" si="13"/>
        <v>68.75</v>
      </c>
      <c r="K278" s="12" t="str">
        <f>Absolute_Scores!K278</f>
        <v>@devinaureel</v>
      </c>
      <c r="L278" s="12" t="str">
        <f>Absolute_Scores!L278</f>
        <v>Instagram</v>
      </c>
      <c r="M278" s="29">
        <f>Absolute_Scores!N278</f>
        <v>44</v>
      </c>
      <c r="N278" s="30">
        <f t="shared" si="14"/>
        <v>65.67</v>
      </c>
    </row>
    <row r="279" spans="1:14">
      <c r="A279" s="12" t="str">
        <f>Absolute_Scores!A279</f>
        <v>@chantikkhaniadha</v>
      </c>
      <c r="B279" s="12" t="str">
        <f>Absolute_Scores!B279</f>
        <v>Instagram</v>
      </c>
      <c r="C279" s="29">
        <f>Absolute_Scores!D279</f>
        <v>50</v>
      </c>
      <c r="D279" s="30">
        <f t="shared" si="12"/>
        <v>62.5</v>
      </c>
      <c r="F279" s="12" t="str">
        <f>Absolute_Scores!F279</f>
        <v>@valeriedewiofficial</v>
      </c>
      <c r="G279" s="12" t="str">
        <f>Absolute_Scores!G279</f>
        <v>Instagram</v>
      </c>
      <c r="H279" s="29">
        <f>Absolute_Scores!I279</f>
        <v>55</v>
      </c>
      <c r="I279" s="30">
        <f t="shared" si="13"/>
        <v>68.75</v>
      </c>
      <c r="K279" s="12" t="str">
        <f>Absolute_Scores!K279</f>
        <v>@dramaid06_</v>
      </c>
      <c r="L279" s="12" t="str">
        <f>Absolute_Scores!L279</f>
        <v>TikTok</v>
      </c>
      <c r="M279" s="29">
        <f>Absolute_Scores!N279</f>
        <v>44</v>
      </c>
      <c r="N279" s="30">
        <f t="shared" si="14"/>
        <v>65.67</v>
      </c>
    </row>
    <row r="280" spans="1:14">
      <c r="A280" s="12" t="str">
        <f>Absolute_Scores!A280</f>
        <v>@checeh.eka</v>
      </c>
      <c r="B280" s="12" t="str">
        <f>Absolute_Scores!B280</f>
        <v>Instagram</v>
      </c>
      <c r="C280" s="29">
        <f>Absolute_Scores!D280</f>
        <v>50</v>
      </c>
      <c r="D280" s="30">
        <f t="shared" si="12"/>
        <v>62.5</v>
      </c>
      <c r="F280" s="12" t="str">
        <f>Absolute_Scores!F280</f>
        <v>@vinthadevina</v>
      </c>
      <c r="G280" s="12" t="str">
        <f>Absolute_Scores!G280</f>
        <v>Instagram</v>
      </c>
      <c r="H280" s="29">
        <f>Absolute_Scores!I280</f>
        <v>55</v>
      </c>
      <c r="I280" s="30">
        <f t="shared" si="13"/>
        <v>68.75</v>
      </c>
      <c r="K280" s="12" t="str">
        <f>Absolute_Scores!K280</f>
        <v>@evi_mamadzaky</v>
      </c>
      <c r="L280" s="12" t="str">
        <f>Absolute_Scores!L280</f>
        <v>Instagram</v>
      </c>
      <c r="M280" s="29">
        <f>Absolute_Scores!N280</f>
        <v>44</v>
      </c>
      <c r="N280" s="30">
        <f t="shared" si="14"/>
        <v>65.67</v>
      </c>
    </row>
    <row r="281" spans="1:14">
      <c r="A281" s="12" t="str">
        <f>Absolute_Scores!A281</f>
        <v>@chicaharyati</v>
      </c>
      <c r="B281" s="12" t="str">
        <f>Absolute_Scores!B281</f>
        <v>Instagram</v>
      </c>
      <c r="C281" s="29">
        <f>Absolute_Scores!D281</f>
        <v>50</v>
      </c>
      <c r="D281" s="30">
        <f t="shared" si="12"/>
        <v>62.5</v>
      </c>
      <c r="F281" s="12" t="str">
        <f>Absolute_Scores!F281</f>
        <v>@xiaoyuebiie</v>
      </c>
      <c r="G281" s="12" t="str">
        <f>Absolute_Scores!G281</f>
        <v>Instagram</v>
      </c>
      <c r="H281" s="29">
        <f>Absolute_Scores!I281</f>
        <v>55</v>
      </c>
      <c r="I281" s="30">
        <f t="shared" si="13"/>
        <v>68.75</v>
      </c>
      <c r="K281" s="12" t="str">
        <f>Absolute_Scores!K281</f>
        <v>@ghandy_spw</v>
      </c>
      <c r="L281" s="12" t="str">
        <f>Absolute_Scores!L281</f>
        <v>Instagram</v>
      </c>
      <c r="M281" s="29">
        <f>Absolute_Scores!N281</f>
        <v>44</v>
      </c>
      <c r="N281" s="30">
        <f t="shared" si="14"/>
        <v>65.67</v>
      </c>
    </row>
    <row r="282" spans="1:14">
      <c r="A282" s="12" t="str">
        <f>Absolute_Scores!A282</f>
        <v>@ci_lan89</v>
      </c>
      <c r="B282" s="12" t="str">
        <f>Absolute_Scores!B282</f>
        <v>Instagram</v>
      </c>
      <c r="C282" s="29">
        <f>Absolute_Scores!D282</f>
        <v>50</v>
      </c>
      <c r="D282" s="30">
        <f t="shared" si="12"/>
        <v>62.5</v>
      </c>
      <c r="F282" s="12" t="str">
        <f>Absolute_Scores!F282</f>
        <v>@yassinbintang</v>
      </c>
      <c r="G282" s="12" t="str">
        <f>Absolute_Scores!G282</f>
        <v>Instagram</v>
      </c>
      <c r="H282" s="29">
        <f>Absolute_Scores!I282</f>
        <v>55</v>
      </c>
      <c r="I282" s="30">
        <f t="shared" si="13"/>
        <v>68.75</v>
      </c>
      <c r="K282" s="12" t="str">
        <f>Absolute_Scores!K282</f>
        <v>@good.diel</v>
      </c>
      <c r="L282" s="12" t="str">
        <f>Absolute_Scores!L282</f>
        <v>Instagram</v>
      </c>
      <c r="M282" s="29">
        <f>Absolute_Scores!N282</f>
        <v>44</v>
      </c>
      <c r="N282" s="30">
        <f t="shared" si="14"/>
        <v>65.67</v>
      </c>
    </row>
    <row r="283" spans="1:14">
      <c r="A283" s="12" t="str">
        <f>Absolute_Scores!A283</f>
        <v>@cindykhooo</v>
      </c>
      <c r="B283" s="12" t="str">
        <f>Absolute_Scores!B283</f>
        <v>Instagram</v>
      </c>
      <c r="C283" s="29">
        <f>Absolute_Scores!D283</f>
        <v>50</v>
      </c>
      <c r="D283" s="30">
        <f t="shared" si="12"/>
        <v>62.5</v>
      </c>
      <c r="F283" s="12" t="str">
        <f>Absolute_Scores!F283</f>
        <v>@yunika.fedianti</v>
      </c>
      <c r="G283" s="12" t="str">
        <f>Absolute_Scores!G283</f>
        <v>Instagram</v>
      </c>
      <c r="H283" s="29">
        <f>Absolute_Scores!I283</f>
        <v>55</v>
      </c>
      <c r="I283" s="30">
        <f t="shared" si="13"/>
        <v>68.75</v>
      </c>
      <c r="K283" s="12" t="str">
        <f>Absolute_Scores!K283</f>
        <v>@heyitsvianka</v>
      </c>
      <c r="L283" s="12" t="str">
        <f>Absolute_Scores!L283</f>
        <v>TikTok</v>
      </c>
      <c r="M283" s="29">
        <f>Absolute_Scores!N283</f>
        <v>44</v>
      </c>
      <c r="N283" s="30">
        <f t="shared" si="14"/>
        <v>65.67</v>
      </c>
    </row>
    <row r="284" spans="1:14">
      <c r="A284" s="12" t="str">
        <f>Absolute_Scores!A284</f>
        <v>@ciptaningtyasdw_</v>
      </c>
      <c r="B284" s="12" t="str">
        <f>Absolute_Scores!B284</f>
        <v>Instagram</v>
      </c>
      <c r="C284" s="29">
        <f>Absolute_Scores!D284</f>
        <v>50</v>
      </c>
      <c r="D284" s="30">
        <f t="shared" si="12"/>
        <v>62.5</v>
      </c>
      <c r="F284" s="12" t="str">
        <f>Absolute_Scores!F284</f>
        <v>@ana_alviandro</v>
      </c>
      <c r="G284" s="12" t="str">
        <f>Absolute_Scores!G284</f>
        <v>Instagram</v>
      </c>
      <c r="H284" s="29">
        <f>Absolute_Scores!I284</f>
        <v>54</v>
      </c>
      <c r="I284" s="30">
        <f t="shared" si="13"/>
        <v>67.5</v>
      </c>
      <c r="K284" s="12" t="str">
        <f>Absolute_Scores!K284</f>
        <v>@indah_impiyanii</v>
      </c>
      <c r="L284" s="12" t="str">
        <f>Absolute_Scores!L284</f>
        <v>Instagram</v>
      </c>
      <c r="M284" s="29">
        <f>Absolute_Scores!N284</f>
        <v>44</v>
      </c>
      <c r="N284" s="30">
        <f t="shared" si="14"/>
        <v>65.67</v>
      </c>
    </row>
    <row r="285" spans="1:14">
      <c r="A285" s="12" t="str">
        <f>Absolute_Scores!A285</f>
        <v>@claaaara.______</v>
      </c>
      <c r="B285" s="12" t="str">
        <f>Absolute_Scores!B285</f>
        <v>Instagram</v>
      </c>
      <c r="C285" s="29">
        <f>Absolute_Scores!D285</f>
        <v>50</v>
      </c>
      <c r="D285" s="30">
        <f t="shared" si="12"/>
        <v>62.5</v>
      </c>
      <c r="F285" s="12" t="str">
        <f>Absolute_Scores!F285</f>
        <v>@andreayudias</v>
      </c>
      <c r="G285" s="12" t="str">
        <f>Absolute_Scores!G285</f>
        <v>Instagram</v>
      </c>
      <c r="H285" s="29">
        <f>Absolute_Scores!I285</f>
        <v>54</v>
      </c>
      <c r="I285" s="30">
        <f t="shared" si="13"/>
        <v>67.5</v>
      </c>
      <c r="K285" s="12" t="str">
        <f>Absolute_Scores!K285</f>
        <v>@inezzsabrina</v>
      </c>
      <c r="L285" s="12" t="str">
        <f>Absolute_Scores!L285</f>
        <v>TikTok</v>
      </c>
      <c r="M285" s="29">
        <f>Absolute_Scores!N285</f>
        <v>44</v>
      </c>
      <c r="N285" s="30">
        <f t="shared" si="14"/>
        <v>65.67</v>
      </c>
    </row>
    <row r="286" spans="1:14">
      <c r="A286" s="12" t="str">
        <f>Absolute_Scores!A286</f>
        <v>@clararimaaa</v>
      </c>
      <c r="B286" s="12" t="str">
        <f>Absolute_Scores!B286</f>
        <v>Instagram</v>
      </c>
      <c r="C286" s="29">
        <f>Absolute_Scores!D286</f>
        <v>50</v>
      </c>
      <c r="D286" s="30">
        <f t="shared" si="12"/>
        <v>62.5</v>
      </c>
      <c r="F286" s="12" t="str">
        <f>Absolute_Scores!F286</f>
        <v>@angggiiie</v>
      </c>
      <c r="G286" s="12" t="str">
        <f>Absolute_Scores!G286</f>
        <v>TikTok</v>
      </c>
      <c r="H286" s="29">
        <f>Absolute_Scores!I286</f>
        <v>54</v>
      </c>
      <c r="I286" s="30">
        <f t="shared" si="13"/>
        <v>67.5</v>
      </c>
      <c r="K286" s="12" t="str">
        <f>Absolute_Scores!K286</f>
        <v>@infobogor</v>
      </c>
      <c r="L286" s="12" t="str">
        <f>Absolute_Scores!L286</f>
        <v>Instagram</v>
      </c>
      <c r="M286" s="29">
        <f>Absolute_Scores!N286</f>
        <v>44</v>
      </c>
      <c r="N286" s="30">
        <f t="shared" si="14"/>
        <v>65.67</v>
      </c>
    </row>
    <row r="287" spans="1:14">
      <c r="A287" s="12" t="str">
        <f>Absolute_Scores!A287</f>
        <v>@connysantosoo</v>
      </c>
      <c r="B287" s="12" t="str">
        <f>Absolute_Scores!B287</f>
        <v>Instagram</v>
      </c>
      <c r="C287" s="29">
        <f>Absolute_Scores!D287</f>
        <v>50</v>
      </c>
      <c r="D287" s="30">
        <f t="shared" si="12"/>
        <v>62.5</v>
      </c>
      <c r="F287" s="12" t="str">
        <f>Absolute_Scores!F287</f>
        <v>@ankatama</v>
      </c>
      <c r="G287" s="12" t="str">
        <f>Absolute_Scores!G287</f>
        <v>Instagram</v>
      </c>
      <c r="H287" s="29">
        <f>Absolute_Scores!I287</f>
        <v>54</v>
      </c>
      <c r="I287" s="30">
        <f t="shared" si="13"/>
        <v>67.5</v>
      </c>
      <c r="K287" s="12" t="str">
        <f>Absolute_Scores!K287</f>
        <v>@its_ziandsty</v>
      </c>
      <c r="L287" s="12" t="str">
        <f>Absolute_Scores!L287</f>
        <v>Instagram</v>
      </c>
      <c r="M287" s="29">
        <f>Absolute_Scores!N287</f>
        <v>44</v>
      </c>
      <c r="N287" s="30">
        <f t="shared" si="14"/>
        <v>65.67</v>
      </c>
    </row>
    <row r="288" spans="1:14">
      <c r="A288" s="12" t="str">
        <f>Absolute_Scores!A288</f>
        <v>@cpls_21</v>
      </c>
      <c r="B288" s="12" t="str">
        <f>Absolute_Scores!B288</f>
        <v>Instagram</v>
      </c>
      <c r="C288" s="29">
        <f>Absolute_Scores!D288</f>
        <v>50</v>
      </c>
      <c r="D288" s="30">
        <f t="shared" si="12"/>
        <v>62.5</v>
      </c>
      <c r="F288" s="12" t="str">
        <f>Absolute_Scores!F288</f>
        <v>@aqsaaswar</v>
      </c>
      <c r="G288" s="12" t="str">
        <f>Absolute_Scores!G288</f>
        <v>Instagram</v>
      </c>
      <c r="H288" s="29">
        <f>Absolute_Scores!I288</f>
        <v>54</v>
      </c>
      <c r="I288" s="30">
        <f t="shared" si="13"/>
        <v>67.5</v>
      </c>
      <c r="K288" s="12" t="str">
        <f>Absolute_Scores!K288</f>
        <v>@jalur5</v>
      </c>
      <c r="L288" s="12" t="str">
        <f>Absolute_Scores!L288</f>
        <v>Instagram</v>
      </c>
      <c r="M288" s="29">
        <f>Absolute_Scores!N288</f>
        <v>44</v>
      </c>
      <c r="N288" s="30">
        <f t="shared" si="14"/>
        <v>65.67</v>
      </c>
    </row>
    <row r="289" spans="1:14">
      <c r="A289" s="12" t="str">
        <f>Absolute_Scores!A289</f>
        <v>@d.heyyo</v>
      </c>
      <c r="B289" s="12" t="str">
        <f>Absolute_Scores!B289</f>
        <v>Instagram</v>
      </c>
      <c r="C289" s="29">
        <f>Absolute_Scores!D289</f>
        <v>50</v>
      </c>
      <c r="D289" s="30">
        <f t="shared" si="12"/>
        <v>62.5</v>
      </c>
      <c r="F289" s="12" t="str">
        <f>Absolute_Scores!F289</f>
        <v>@baldtwins</v>
      </c>
      <c r="G289" s="12" t="str">
        <f>Absolute_Scores!G289</f>
        <v>TikTok</v>
      </c>
      <c r="H289" s="29">
        <f>Absolute_Scores!I289</f>
        <v>54</v>
      </c>
      <c r="I289" s="30">
        <f t="shared" si="13"/>
        <v>67.5</v>
      </c>
      <c r="K289" s="12" t="str">
        <f>Absolute_Scores!K289</f>
        <v>@kekekania</v>
      </c>
      <c r="L289" s="12" t="str">
        <f>Absolute_Scores!L289</f>
        <v>Instagram</v>
      </c>
      <c r="M289" s="29">
        <f>Absolute_Scores!N289</f>
        <v>44</v>
      </c>
      <c r="N289" s="30">
        <f t="shared" si="14"/>
        <v>65.67</v>
      </c>
    </row>
    <row r="290" spans="1:14">
      <c r="A290" s="12" t="str">
        <f>Absolute_Scores!A290</f>
        <v>@damarpanuluh_k</v>
      </c>
      <c r="B290" s="12" t="str">
        <f>Absolute_Scores!B290</f>
        <v>Instagram</v>
      </c>
      <c r="C290" s="29">
        <f>Absolute_Scores!D290</f>
        <v>50</v>
      </c>
      <c r="D290" s="30">
        <f t="shared" si="12"/>
        <v>62.5</v>
      </c>
      <c r="F290" s="12" t="str">
        <f>Absolute_Scores!F290</f>
        <v>@bambangmosaja_</v>
      </c>
      <c r="G290" s="12" t="str">
        <f>Absolute_Scores!G290</f>
        <v>TikTok</v>
      </c>
      <c r="H290" s="29">
        <f>Absolute_Scores!I290</f>
        <v>54</v>
      </c>
      <c r="I290" s="30">
        <f t="shared" si="13"/>
        <v>67.5</v>
      </c>
      <c r="K290" s="12" t="str">
        <f>Absolute_Scores!K290</f>
        <v>@keprionline.co.id</v>
      </c>
      <c r="L290" s="12" t="str">
        <f>Absolute_Scores!L290</f>
        <v>TikTok</v>
      </c>
      <c r="M290" s="29">
        <f>Absolute_Scores!N290</f>
        <v>44</v>
      </c>
      <c r="N290" s="30">
        <f t="shared" si="14"/>
        <v>65.67</v>
      </c>
    </row>
    <row r="291" spans="1:14">
      <c r="A291" s="12" t="str">
        <f>Absolute_Scores!A291</f>
        <v>@dapur_hany</v>
      </c>
      <c r="B291" s="12" t="str">
        <f>Absolute_Scores!B291</f>
        <v>Instagram</v>
      </c>
      <c r="C291" s="29">
        <f>Absolute_Scores!D291</f>
        <v>50</v>
      </c>
      <c r="D291" s="30">
        <f t="shared" si="12"/>
        <v>62.5</v>
      </c>
      <c r="F291" s="12" t="str">
        <f>Absolute_Scores!F291</f>
        <v>@cindifanisa</v>
      </c>
      <c r="G291" s="12" t="str">
        <f>Absolute_Scores!G291</f>
        <v>Instagram</v>
      </c>
      <c r="H291" s="29">
        <f>Absolute_Scores!I291</f>
        <v>54</v>
      </c>
      <c r="I291" s="30">
        <f t="shared" si="13"/>
        <v>67.5</v>
      </c>
      <c r="K291" s="12" t="str">
        <f>Absolute_Scores!K291</f>
        <v>@leomessi</v>
      </c>
      <c r="L291" s="12" t="str">
        <f>Absolute_Scores!L291</f>
        <v>Instagram</v>
      </c>
      <c r="M291" s="29">
        <f>Absolute_Scores!N291</f>
        <v>44</v>
      </c>
      <c r="N291" s="30">
        <f t="shared" si="14"/>
        <v>65.67</v>
      </c>
    </row>
    <row r="292" spans="1:14">
      <c r="A292" s="12" t="str">
        <f>Absolute_Scores!A292</f>
        <v>@dar.q</v>
      </c>
      <c r="B292" s="12" t="str">
        <f>Absolute_Scores!B292</f>
        <v>Instagram</v>
      </c>
      <c r="C292" s="29">
        <f>Absolute_Scores!D292</f>
        <v>50</v>
      </c>
      <c r="D292" s="30">
        <f t="shared" si="12"/>
        <v>62.5</v>
      </c>
      <c r="F292" s="12" t="str">
        <f>Absolute_Scores!F292</f>
        <v>@davinakaramoy</v>
      </c>
      <c r="G292" s="12" t="str">
        <f>Absolute_Scores!G292</f>
        <v>TikTok</v>
      </c>
      <c r="H292" s="29">
        <f>Absolute_Scores!I292</f>
        <v>54</v>
      </c>
      <c r="I292" s="30">
        <f t="shared" si="13"/>
        <v>67.5</v>
      </c>
      <c r="K292" s="12" t="str">
        <f>Absolute_Scores!K292</f>
        <v>@megautami3147</v>
      </c>
      <c r="L292" s="12" t="str">
        <f>Absolute_Scores!L292</f>
        <v>Instagram</v>
      </c>
      <c r="M292" s="29">
        <f>Absolute_Scores!N292</f>
        <v>44</v>
      </c>
      <c r="N292" s="30">
        <f t="shared" si="14"/>
        <v>65.67</v>
      </c>
    </row>
    <row r="293" spans="1:14">
      <c r="A293" s="12" t="str">
        <f>Absolute_Scores!A293</f>
        <v>@defgarnis</v>
      </c>
      <c r="B293" s="12" t="str">
        <f>Absolute_Scores!B293</f>
        <v>Instagram</v>
      </c>
      <c r="C293" s="29">
        <f>Absolute_Scores!D293</f>
        <v>50</v>
      </c>
      <c r="D293" s="30">
        <f t="shared" si="12"/>
        <v>62.5</v>
      </c>
      <c r="F293" s="12" t="str">
        <f>Absolute_Scores!F293</f>
        <v>@dennysumargoreal</v>
      </c>
      <c r="G293" s="12" t="str">
        <f>Absolute_Scores!G293</f>
        <v>TikTok</v>
      </c>
      <c r="H293" s="29">
        <f>Absolute_Scores!I293</f>
        <v>54</v>
      </c>
      <c r="I293" s="30">
        <f t="shared" si="13"/>
        <v>67.5</v>
      </c>
      <c r="K293" s="12" t="str">
        <f>Absolute_Scores!K293</f>
        <v>@mommylony</v>
      </c>
      <c r="L293" s="12" t="str">
        <f>Absolute_Scores!L293</f>
        <v>Instagram</v>
      </c>
      <c r="M293" s="29">
        <f>Absolute_Scores!N293</f>
        <v>44</v>
      </c>
      <c r="N293" s="30">
        <f t="shared" si="14"/>
        <v>65.67</v>
      </c>
    </row>
    <row r="294" spans="1:14">
      <c r="A294" s="12" t="str">
        <f>Absolute_Scores!A294</f>
        <v>@dela_yo</v>
      </c>
      <c r="B294" s="12" t="str">
        <f>Absolute_Scores!B294</f>
        <v>Instagram</v>
      </c>
      <c r="C294" s="29">
        <f>Absolute_Scores!D294</f>
        <v>50</v>
      </c>
      <c r="D294" s="30">
        <f t="shared" si="12"/>
        <v>62.5</v>
      </c>
      <c r="F294" s="12" t="str">
        <f>Absolute_Scores!F294</f>
        <v>@desnov1812</v>
      </c>
      <c r="G294" s="12" t="str">
        <f>Absolute_Scores!G294</f>
        <v>Instagram</v>
      </c>
      <c r="H294" s="29">
        <f>Absolute_Scores!I294</f>
        <v>54</v>
      </c>
      <c r="I294" s="30">
        <f t="shared" si="13"/>
        <v>67.5</v>
      </c>
      <c r="K294" s="12" t="str">
        <f>Absolute_Scores!K294</f>
        <v>@nadhieraa</v>
      </c>
      <c r="L294" s="12" t="str">
        <f>Absolute_Scores!L294</f>
        <v>Instagram</v>
      </c>
      <c r="M294" s="29">
        <f>Absolute_Scores!N294</f>
        <v>44</v>
      </c>
      <c r="N294" s="30">
        <f t="shared" si="14"/>
        <v>65.67</v>
      </c>
    </row>
    <row r="295" spans="1:14">
      <c r="A295" s="12" t="str">
        <f>Absolute_Scores!A295</f>
        <v>@desinta_rw</v>
      </c>
      <c r="B295" s="12" t="str">
        <f>Absolute_Scores!B295</f>
        <v>Instagram</v>
      </c>
      <c r="C295" s="29">
        <f>Absolute_Scores!D295</f>
        <v>50</v>
      </c>
      <c r="D295" s="30">
        <f t="shared" si="12"/>
        <v>62.5</v>
      </c>
      <c r="F295" s="12" t="str">
        <f>Absolute_Scores!F295</f>
        <v>@dilanjaniyar</v>
      </c>
      <c r="G295" s="12" t="str">
        <f>Absolute_Scores!G295</f>
        <v>Instagram</v>
      </c>
      <c r="H295" s="29">
        <f>Absolute_Scores!I295</f>
        <v>54</v>
      </c>
      <c r="I295" s="30">
        <f t="shared" si="13"/>
        <v>67.5</v>
      </c>
      <c r="K295" s="12" t="str">
        <f>Absolute_Scores!K295</f>
        <v>@nisacookie</v>
      </c>
      <c r="L295" s="12" t="str">
        <f>Absolute_Scores!L295</f>
        <v>Instagram</v>
      </c>
      <c r="M295" s="29">
        <f>Absolute_Scores!N295</f>
        <v>44</v>
      </c>
      <c r="N295" s="30">
        <f t="shared" si="14"/>
        <v>65.67</v>
      </c>
    </row>
    <row r="296" spans="1:14">
      <c r="A296" s="12" t="str">
        <f>Absolute_Scores!A296</f>
        <v>@desipertiwii</v>
      </c>
      <c r="B296" s="12" t="str">
        <f>Absolute_Scores!B296</f>
        <v>Instagram</v>
      </c>
      <c r="C296" s="29">
        <f>Absolute_Scores!D296</f>
        <v>50</v>
      </c>
      <c r="D296" s="30">
        <f t="shared" si="12"/>
        <v>62.5</v>
      </c>
      <c r="F296" s="12" t="str">
        <f>Absolute_Scores!F296</f>
        <v>@dr.mariojohan</v>
      </c>
      <c r="G296" s="12" t="str">
        <f>Absolute_Scores!G296</f>
        <v>TikTok</v>
      </c>
      <c r="H296" s="29">
        <f>Absolute_Scores!I296</f>
        <v>54</v>
      </c>
      <c r="I296" s="30">
        <f t="shared" si="13"/>
        <v>67.5</v>
      </c>
      <c r="K296" s="12" t="str">
        <f>Absolute_Scores!K296</f>
        <v>@putriandanii</v>
      </c>
      <c r="L296" s="12" t="str">
        <f>Absolute_Scores!L296</f>
        <v>Instagram</v>
      </c>
      <c r="M296" s="29">
        <f>Absolute_Scores!N296</f>
        <v>44</v>
      </c>
      <c r="N296" s="30">
        <f t="shared" si="14"/>
        <v>65.67</v>
      </c>
    </row>
    <row r="297" spans="1:14">
      <c r="A297" s="12" t="str">
        <f>Absolute_Scores!A297</f>
        <v>@desliyaninatalia</v>
      </c>
      <c r="B297" s="12" t="str">
        <f>Absolute_Scores!B297</f>
        <v>Instagram</v>
      </c>
      <c r="C297" s="29">
        <f>Absolute_Scores!D297</f>
        <v>50</v>
      </c>
      <c r="D297" s="30">
        <f t="shared" si="12"/>
        <v>62.5</v>
      </c>
      <c r="F297" s="12" t="str">
        <f>Absolute_Scores!F297</f>
        <v>@efritaasmr</v>
      </c>
      <c r="G297" s="12" t="str">
        <f>Absolute_Scores!G297</f>
        <v>TikTok</v>
      </c>
      <c r="H297" s="29">
        <f>Absolute_Scores!I297</f>
        <v>54</v>
      </c>
      <c r="I297" s="30">
        <f t="shared" si="13"/>
        <v>67.5</v>
      </c>
      <c r="K297" s="12" t="str">
        <f>Absolute_Scores!K297</f>
        <v>@rapunzelbila1</v>
      </c>
      <c r="L297" s="12" t="str">
        <f>Absolute_Scores!L297</f>
        <v>TikTok</v>
      </c>
      <c r="M297" s="29">
        <f>Absolute_Scores!N297</f>
        <v>44</v>
      </c>
      <c r="N297" s="30">
        <f t="shared" si="14"/>
        <v>65.67</v>
      </c>
    </row>
    <row r="298" spans="1:14">
      <c r="A298" s="12" t="str">
        <f>Absolute_Scores!A298</f>
        <v>@dessyandrianipratiwi</v>
      </c>
      <c r="B298" s="12" t="str">
        <f>Absolute_Scores!B298</f>
        <v>Instagram</v>
      </c>
      <c r="C298" s="29">
        <f>Absolute_Scores!D298</f>
        <v>50</v>
      </c>
      <c r="D298" s="30">
        <f t="shared" si="12"/>
        <v>62.5</v>
      </c>
      <c r="F298" s="12" t="str">
        <f>Absolute_Scores!F298</f>
        <v>@elikaboen</v>
      </c>
      <c r="G298" s="12" t="str">
        <f>Absolute_Scores!G298</f>
        <v>Instagram</v>
      </c>
      <c r="H298" s="29">
        <f>Absolute_Scores!I298</f>
        <v>54</v>
      </c>
      <c r="I298" s="30">
        <f t="shared" si="13"/>
        <v>67.5</v>
      </c>
      <c r="K298" s="12" t="str">
        <f>Absolute_Scores!K298</f>
        <v>@rerreputri</v>
      </c>
      <c r="L298" s="12" t="str">
        <f>Absolute_Scores!L298</f>
        <v>Instagram</v>
      </c>
      <c r="M298" s="29">
        <f>Absolute_Scores!N298</f>
        <v>44</v>
      </c>
      <c r="N298" s="30">
        <f t="shared" si="14"/>
        <v>65.67</v>
      </c>
    </row>
    <row r="299" spans="1:14">
      <c r="A299" s="12" t="str">
        <f>Absolute_Scores!A299</f>
        <v>@desy_oktaviasari</v>
      </c>
      <c r="B299" s="12" t="str">
        <f>Absolute_Scores!B299</f>
        <v>Instagram</v>
      </c>
      <c r="C299" s="29">
        <f>Absolute_Scores!D299</f>
        <v>50</v>
      </c>
      <c r="D299" s="30">
        <f t="shared" si="12"/>
        <v>62.5</v>
      </c>
      <c r="F299" s="12" t="str">
        <f>Absolute_Scores!F299</f>
        <v>@kei.savourie</v>
      </c>
      <c r="G299" s="12" t="str">
        <f>Absolute_Scores!G299</f>
        <v>TikTok</v>
      </c>
      <c r="H299" s="29">
        <f>Absolute_Scores!I299</f>
        <v>54</v>
      </c>
      <c r="I299" s="30">
        <f t="shared" si="13"/>
        <v>67.5</v>
      </c>
      <c r="K299" s="12" t="str">
        <f>Absolute_Scores!K299</f>
        <v>@revialdooo</v>
      </c>
      <c r="L299" s="12" t="str">
        <f>Absolute_Scores!L299</f>
        <v>Instagram</v>
      </c>
      <c r="M299" s="29">
        <f>Absolute_Scores!N299</f>
        <v>44</v>
      </c>
      <c r="N299" s="30">
        <f t="shared" si="14"/>
        <v>65.67</v>
      </c>
    </row>
    <row r="300" spans="1:14">
      <c r="A300" s="12" t="str">
        <f>Absolute_Scores!A300</f>
        <v>@devikustinaw</v>
      </c>
      <c r="B300" s="12" t="str">
        <f>Absolute_Scores!B300</f>
        <v>Instagram</v>
      </c>
      <c r="C300" s="29">
        <f>Absolute_Scores!D300</f>
        <v>50</v>
      </c>
      <c r="D300" s="30">
        <f t="shared" si="12"/>
        <v>62.5</v>
      </c>
      <c r="F300" s="12" t="str">
        <f>Absolute_Scores!F300</f>
        <v>@megandomanii</v>
      </c>
      <c r="G300" s="12" t="str">
        <f>Absolute_Scores!G300</f>
        <v>TikTok</v>
      </c>
      <c r="H300" s="29">
        <f>Absolute_Scores!I300</f>
        <v>54</v>
      </c>
      <c r="I300" s="30">
        <f t="shared" si="13"/>
        <v>67.5</v>
      </c>
      <c r="K300" s="12" t="str">
        <f>Absolute_Scores!K300</f>
        <v>@riaprnmasr</v>
      </c>
      <c r="L300" s="12" t="str">
        <f>Absolute_Scores!L300</f>
        <v>Instagram</v>
      </c>
      <c r="M300" s="29">
        <f>Absolute_Scores!N300</f>
        <v>44</v>
      </c>
      <c r="N300" s="30">
        <f t="shared" si="14"/>
        <v>65.67</v>
      </c>
    </row>
    <row r="301" spans="1:14">
      <c r="A301" s="12" t="str">
        <f>Absolute_Scores!A301</f>
        <v>@devirafika22</v>
      </c>
      <c r="B301" s="12" t="str">
        <f>Absolute_Scores!B301</f>
        <v>Instagram</v>
      </c>
      <c r="C301" s="29">
        <f>Absolute_Scores!D301</f>
        <v>50</v>
      </c>
      <c r="D301" s="30">
        <f t="shared" si="12"/>
        <v>62.5</v>
      </c>
      <c r="F301" s="12" t="str">
        <f>Absolute_Scores!F301</f>
        <v>@milaalawiyah</v>
      </c>
      <c r="G301" s="12" t="str">
        <f>Absolute_Scores!G301</f>
        <v>TikTok</v>
      </c>
      <c r="H301" s="29">
        <f>Absolute_Scores!I301</f>
        <v>54</v>
      </c>
      <c r="I301" s="30">
        <f t="shared" si="13"/>
        <v>67.5</v>
      </c>
      <c r="K301" s="12" t="str">
        <f>Absolute_Scores!K301</f>
        <v>@saalhaerid</v>
      </c>
      <c r="L301" s="12" t="str">
        <f>Absolute_Scores!L301</f>
        <v>TikTok</v>
      </c>
      <c r="M301" s="29">
        <f>Absolute_Scores!N301</f>
        <v>44</v>
      </c>
      <c r="N301" s="30">
        <f t="shared" si="14"/>
        <v>65.67</v>
      </c>
    </row>
    <row r="302" spans="1:14">
      <c r="A302" s="12" t="str">
        <f>Absolute_Scores!A302</f>
        <v>@devirininta</v>
      </c>
      <c r="B302" s="12" t="str">
        <f>Absolute_Scores!B302</f>
        <v>Instagram</v>
      </c>
      <c r="C302" s="29">
        <f>Absolute_Scores!D302</f>
        <v>50</v>
      </c>
      <c r="D302" s="30">
        <f t="shared" si="12"/>
        <v>62.5</v>
      </c>
      <c r="F302" s="12" t="str">
        <f>Absolute_Scores!F302</f>
        <v>@miraagile</v>
      </c>
      <c r="G302" s="12" t="str">
        <f>Absolute_Scores!G302</f>
        <v>Instagram</v>
      </c>
      <c r="H302" s="29">
        <f>Absolute_Scores!I302</f>
        <v>54</v>
      </c>
      <c r="I302" s="30">
        <f t="shared" si="13"/>
        <v>67.5</v>
      </c>
      <c r="K302" s="12" t="str">
        <f>Absolute_Scores!K302</f>
        <v>@sararobert</v>
      </c>
      <c r="L302" s="12" t="str">
        <f>Absolute_Scores!L302</f>
        <v>Instagram</v>
      </c>
      <c r="M302" s="29">
        <f>Absolute_Scores!N302</f>
        <v>44</v>
      </c>
      <c r="N302" s="30">
        <f t="shared" si="14"/>
        <v>65.67</v>
      </c>
    </row>
    <row r="303" spans="1:14">
      <c r="A303" s="12" t="str">
        <f>Absolute_Scores!A303</f>
        <v>@dewicahyaprawita</v>
      </c>
      <c r="B303" s="12" t="str">
        <f>Absolute_Scores!B303</f>
        <v>Instagram</v>
      </c>
      <c r="C303" s="29">
        <f>Absolute_Scores!D303</f>
        <v>50</v>
      </c>
      <c r="D303" s="30">
        <f t="shared" si="12"/>
        <v>62.5</v>
      </c>
      <c r="F303" s="12" t="str">
        <f>Absolute_Scores!F303</f>
        <v>@nabilasyabanaa</v>
      </c>
      <c r="G303" s="12" t="str">
        <f>Absolute_Scores!G303</f>
        <v>TikTok</v>
      </c>
      <c r="H303" s="29">
        <f>Absolute_Scores!I303</f>
        <v>54</v>
      </c>
      <c r="I303" s="30">
        <f t="shared" si="13"/>
        <v>67.5</v>
      </c>
      <c r="K303" s="12" t="str">
        <f>Absolute_Scores!K303</f>
        <v>@shannondorothea1</v>
      </c>
      <c r="L303" s="12" t="str">
        <f>Absolute_Scores!L303</f>
        <v>TikTok</v>
      </c>
      <c r="M303" s="29">
        <f>Absolute_Scores!N303</f>
        <v>44</v>
      </c>
      <c r="N303" s="30">
        <f t="shared" si="14"/>
        <v>65.67</v>
      </c>
    </row>
    <row r="304" spans="1:14">
      <c r="A304" s="12" t="str">
        <f>Absolute_Scores!A304</f>
        <v>@dewiikrisma22</v>
      </c>
      <c r="B304" s="12" t="str">
        <f>Absolute_Scores!B304</f>
        <v>Instagram</v>
      </c>
      <c r="C304" s="29">
        <f>Absolute_Scores!D304</f>
        <v>50</v>
      </c>
      <c r="D304" s="30">
        <f t="shared" si="12"/>
        <v>62.5</v>
      </c>
      <c r="F304" s="12" t="str">
        <f>Absolute_Scores!F304</f>
        <v>@nazlaalifa</v>
      </c>
      <c r="G304" s="12" t="str">
        <f>Absolute_Scores!G304</f>
        <v>Instagram</v>
      </c>
      <c r="H304" s="29">
        <f>Absolute_Scores!I304</f>
        <v>54</v>
      </c>
      <c r="I304" s="30">
        <f t="shared" si="13"/>
        <v>67.5</v>
      </c>
      <c r="K304" s="12" t="str">
        <f>Absolute_Scores!K304</f>
        <v>@sopiyamn</v>
      </c>
      <c r="L304" s="12" t="str">
        <f>Absolute_Scores!L304</f>
        <v>Instagram</v>
      </c>
      <c r="M304" s="29">
        <f>Absolute_Scores!N304</f>
        <v>44</v>
      </c>
      <c r="N304" s="30">
        <f t="shared" si="14"/>
        <v>65.67</v>
      </c>
    </row>
    <row r="305" spans="1:14">
      <c r="A305" s="12" t="str">
        <f>Absolute_Scores!A305</f>
        <v>@dewiseptya09</v>
      </c>
      <c r="B305" s="12" t="str">
        <f>Absolute_Scores!B305</f>
        <v>Instagram</v>
      </c>
      <c r="C305" s="29">
        <f>Absolute_Scores!D305</f>
        <v>50</v>
      </c>
      <c r="D305" s="30">
        <f t="shared" si="12"/>
        <v>62.5</v>
      </c>
      <c r="F305" s="12" t="str">
        <f>Absolute_Scores!F305</f>
        <v>@nexcarlos</v>
      </c>
      <c r="G305" s="12" t="str">
        <f>Absolute_Scores!G305</f>
        <v>Instagram</v>
      </c>
      <c r="H305" s="29">
        <f>Absolute_Scores!I305</f>
        <v>54</v>
      </c>
      <c r="I305" s="30">
        <f t="shared" si="13"/>
        <v>67.5</v>
      </c>
      <c r="K305" s="12" t="str">
        <f>Absolute_Scores!K305</f>
        <v>@syakirdaulay</v>
      </c>
      <c r="L305" s="12" t="str">
        <f>Absolute_Scores!L305</f>
        <v>Instagram</v>
      </c>
      <c r="M305" s="29">
        <f>Absolute_Scores!N305</f>
        <v>44</v>
      </c>
      <c r="N305" s="30">
        <f t="shared" si="14"/>
        <v>65.67</v>
      </c>
    </row>
    <row r="306" spans="1:14">
      <c r="A306" s="12" t="str">
        <f>Absolute_Scores!A306</f>
        <v>@dheauwinaa</v>
      </c>
      <c r="B306" s="12" t="str">
        <f>Absolute_Scores!B306</f>
        <v>Instagram</v>
      </c>
      <c r="C306" s="29">
        <f>Absolute_Scores!D306</f>
        <v>50</v>
      </c>
      <c r="D306" s="30">
        <f t="shared" si="12"/>
        <v>62.5</v>
      </c>
      <c r="F306" s="12" t="str">
        <f>Absolute_Scores!F306</f>
        <v>@ryujiutomo</v>
      </c>
      <c r="G306" s="12" t="str">
        <f>Absolute_Scores!G306</f>
        <v>Instagram</v>
      </c>
      <c r="H306" s="29">
        <f>Absolute_Scores!I306</f>
        <v>54</v>
      </c>
      <c r="I306" s="30">
        <f t="shared" si="13"/>
        <v>67.5</v>
      </c>
      <c r="K306" s="12" t="str">
        <f>Absolute_Scores!K306</f>
        <v>@tynadwijayanti</v>
      </c>
      <c r="L306" s="12" t="str">
        <f>Absolute_Scores!L306</f>
        <v>Instagram</v>
      </c>
      <c r="M306" s="29">
        <f>Absolute_Scores!N306</f>
        <v>44</v>
      </c>
      <c r="N306" s="30">
        <f t="shared" si="14"/>
        <v>65.67</v>
      </c>
    </row>
    <row r="307" spans="1:14">
      <c r="A307" s="12" t="str">
        <f>Absolute_Scores!A307</f>
        <v>@dhilgha</v>
      </c>
      <c r="B307" s="12" t="str">
        <f>Absolute_Scores!B307</f>
        <v>Instagram</v>
      </c>
      <c r="C307" s="29">
        <f>Absolute_Scores!D307</f>
        <v>50</v>
      </c>
      <c r="D307" s="30">
        <f t="shared" si="12"/>
        <v>62.5</v>
      </c>
      <c r="F307" s="12" t="str">
        <f>Absolute_Scores!F307</f>
        <v>@shela_lala96</v>
      </c>
      <c r="G307" s="12" t="str">
        <f>Absolute_Scores!G307</f>
        <v>Instagram</v>
      </c>
      <c r="H307" s="29">
        <f>Absolute_Scores!I307</f>
        <v>54</v>
      </c>
      <c r="I307" s="30">
        <f t="shared" si="13"/>
        <v>67.5</v>
      </c>
      <c r="K307" s="12" t="str">
        <f>Absolute_Scores!K307</f>
        <v>@verenaindha</v>
      </c>
      <c r="L307" s="12" t="str">
        <f>Absolute_Scores!L307</f>
        <v>Instagram</v>
      </c>
      <c r="M307" s="29">
        <f>Absolute_Scores!N307</f>
        <v>44</v>
      </c>
      <c r="N307" s="30">
        <f t="shared" si="14"/>
        <v>65.67</v>
      </c>
    </row>
    <row r="308" spans="1:14">
      <c r="A308" s="12" t="str">
        <f>Absolute_Scores!A308</f>
        <v>@dhinafd</v>
      </c>
      <c r="B308" s="12" t="str">
        <f>Absolute_Scores!B308</f>
        <v>Instagram</v>
      </c>
      <c r="C308" s="29">
        <f>Absolute_Scores!D308</f>
        <v>50</v>
      </c>
      <c r="D308" s="30">
        <f t="shared" si="12"/>
        <v>62.5</v>
      </c>
      <c r="F308" s="12" t="str">
        <f>Absolute_Scores!F308</f>
        <v>@tiranissya</v>
      </c>
      <c r="G308" s="12" t="str">
        <f>Absolute_Scores!G308</f>
        <v>TikTok</v>
      </c>
      <c r="H308" s="29">
        <f>Absolute_Scores!I308</f>
        <v>54</v>
      </c>
      <c r="I308" s="30">
        <f t="shared" si="13"/>
        <v>67.5</v>
      </c>
      <c r="K308" s="12" t="str">
        <f>Absolute_Scores!K308</f>
        <v>@vfeliciwa</v>
      </c>
      <c r="L308" s="12" t="str">
        <f>Absolute_Scores!L308</f>
        <v>Instagram</v>
      </c>
      <c r="M308" s="29">
        <f>Absolute_Scores!N308</f>
        <v>44</v>
      </c>
      <c r="N308" s="30">
        <f t="shared" si="14"/>
        <v>65.67</v>
      </c>
    </row>
    <row r="309" spans="1:14">
      <c r="A309" s="12" t="str">
        <f>Absolute_Scores!A309</f>
        <v>@dhita.deasy</v>
      </c>
      <c r="B309" s="12" t="str">
        <f>Absolute_Scores!B309</f>
        <v>Instagram</v>
      </c>
      <c r="C309" s="29">
        <f>Absolute_Scores!D309</f>
        <v>50</v>
      </c>
      <c r="D309" s="30">
        <f t="shared" si="12"/>
        <v>62.5</v>
      </c>
      <c r="F309" s="12" t="str">
        <f>Absolute_Scores!F309</f>
        <v>@ameliazega</v>
      </c>
      <c r="G309" s="12" t="str">
        <f>Absolute_Scores!G309</f>
        <v>Instagram</v>
      </c>
      <c r="H309" s="29">
        <f>Absolute_Scores!I309</f>
        <v>53</v>
      </c>
      <c r="I309" s="30">
        <f t="shared" si="13"/>
        <v>66.25</v>
      </c>
      <c r="K309" s="12" t="str">
        <f>Absolute_Scores!K309</f>
        <v>@annesaritaa</v>
      </c>
      <c r="L309" s="12" t="str">
        <f>Absolute_Scores!L309</f>
        <v>Instagram</v>
      </c>
      <c r="M309" s="29">
        <f>Absolute_Scores!N309</f>
        <v>43</v>
      </c>
      <c r="N309" s="30">
        <f t="shared" si="14"/>
        <v>64.18</v>
      </c>
    </row>
    <row r="310" spans="1:14">
      <c r="A310" s="12" t="str">
        <f>Absolute_Scores!A310</f>
        <v>@diahhardii</v>
      </c>
      <c r="B310" s="12" t="str">
        <f>Absolute_Scores!B310</f>
        <v>Instagram</v>
      </c>
      <c r="C310" s="29">
        <f>Absolute_Scores!D310</f>
        <v>50</v>
      </c>
      <c r="D310" s="30">
        <f t="shared" si="12"/>
        <v>62.5</v>
      </c>
      <c r="F310" s="12" t="str">
        <f>Absolute_Scores!F310</f>
        <v>@bobbykertanegara</v>
      </c>
      <c r="G310" s="12" t="str">
        <f>Absolute_Scores!G310</f>
        <v>Instagram</v>
      </c>
      <c r="H310" s="29">
        <f>Absolute_Scores!I310</f>
        <v>53</v>
      </c>
      <c r="I310" s="30">
        <f t="shared" si="13"/>
        <v>66.25</v>
      </c>
      <c r="K310" s="12" t="str">
        <f>Absolute_Scores!K310</f>
        <v>@ardilasv17</v>
      </c>
      <c r="L310" s="12" t="str">
        <f>Absolute_Scores!L310</f>
        <v>TikTok</v>
      </c>
      <c r="M310" s="29">
        <f>Absolute_Scores!N310</f>
        <v>43</v>
      </c>
      <c r="N310" s="30">
        <f t="shared" si="14"/>
        <v>64.18</v>
      </c>
    </row>
    <row r="311" spans="1:14">
      <c r="A311" s="12" t="str">
        <f>Absolute_Scores!A311</f>
        <v>@dianasrrhmwt</v>
      </c>
      <c r="B311" s="12" t="str">
        <f>Absolute_Scores!B311</f>
        <v>Instagram</v>
      </c>
      <c r="C311" s="29">
        <f>Absolute_Scores!D311</f>
        <v>50</v>
      </c>
      <c r="D311" s="30">
        <f t="shared" si="12"/>
        <v>62.5</v>
      </c>
      <c r="F311" s="12" t="str">
        <f>Absolute_Scores!F311</f>
        <v>@divvaaura</v>
      </c>
      <c r="G311" s="12" t="str">
        <f>Absolute_Scores!G311</f>
        <v>Instagram</v>
      </c>
      <c r="H311" s="29">
        <f>Absolute_Scores!I311</f>
        <v>53</v>
      </c>
      <c r="I311" s="30">
        <f t="shared" si="13"/>
        <v>66.25</v>
      </c>
      <c r="K311" s="12" t="str">
        <f>Absolute_Scores!K311</f>
        <v>@arif_alfiansyah</v>
      </c>
      <c r="L311" s="12" t="str">
        <f>Absolute_Scores!L311</f>
        <v>Instagram</v>
      </c>
      <c r="M311" s="29">
        <f>Absolute_Scores!N311</f>
        <v>43</v>
      </c>
      <c r="N311" s="30">
        <f t="shared" si="14"/>
        <v>64.18</v>
      </c>
    </row>
    <row r="312" spans="1:14">
      <c r="A312" s="12" t="str">
        <f>Absolute_Scores!A312</f>
        <v>@dianwijaya8936</v>
      </c>
      <c r="B312" s="12" t="str">
        <f>Absolute_Scores!B312</f>
        <v>Instagram</v>
      </c>
      <c r="C312" s="29">
        <f>Absolute_Scores!D312</f>
        <v>50</v>
      </c>
      <c r="D312" s="30">
        <f t="shared" si="12"/>
        <v>62.5</v>
      </c>
      <c r="F312" s="12" t="str">
        <f>Absolute_Scores!F312</f>
        <v>@nithaaa28</v>
      </c>
      <c r="G312" s="12" t="str">
        <f>Absolute_Scores!G312</f>
        <v>Instagram</v>
      </c>
      <c r="H312" s="29">
        <f>Absolute_Scores!I312</f>
        <v>53</v>
      </c>
      <c r="I312" s="30">
        <f t="shared" si="13"/>
        <v>66.25</v>
      </c>
      <c r="K312" s="12" t="str">
        <f>Absolute_Scores!K312</f>
        <v>@balikpapanku</v>
      </c>
      <c r="L312" s="12" t="str">
        <f>Absolute_Scores!L312</f>
        <v>Instagram</v>
      </c>
      <c r="M312" s="29">
        <f>Absolute_Scores!N312</f>
        <v>43</v>
      </c>
      <c r="N312" s="30">
        <f t="shared" si="14"/>
        <v>64.18</v>
      </c>
    </row>
    <row r="313" spans="1:14">
      <c r="A313" s="12" t="str">
        <f>Absolute_Scores!A313</f>
        <v>@dianyosihw</v>
      </c>
      <c r="B313" s="12" t="str">
        <f>Absolute_Scores!B313</f>
        <v>Instagram</v>
      </c>
      <c r="C313" s="29">
        <f>Absolute_Scores!D313</f>
        <v>50</v>
      </c>
      <c r="D313" s="30">
        <f t="shared" si="12"/>
        <v>62.5</v>
      </c>
      <c r="F313" s="12" t="str">
        <f>Absolute_Scores!F313</f>
        <v>@ns_rdt</v>
      </c>
      <c r="G313" s="12" t="str">
        <f>Absolute_Scores!G313</f>
        <v>Instagram</v>
      </c>
      <c r="H313" s="29">
        <f>Absolute_Scores!I313</f>
        <v>53</v>
      </c>
      <c r="I313" s="30">
        <f t="shared" si="13"/>
        <v>66.25</v>
      </c>
      <c r="K313" s="12" t="str">
        <f>Absolute_Scores!K313</f>
        <v>@cunplawer</v>
      </c>
      <c r="L313" s="12" t="str">
        <f>Absolute_Scores!L313</f>
        <v>TikTok</v>
      </c>
      <c r="M313" s="29">
        <f>Absolute_Scores!N313</f>
        <v>43</v>
      </c>
      <c r="N313" s="30">
        <f t="shared" si="14"/>
        <v>64.18</v>
      </c>
    </row>
    <row r="314" spans="1:14">
      <c r="A314" s="12" t="str">
        <f>Absolute_Scores!A314</f>
        <v>@dieta_nirmala</v>
      </c>
      <c r="B314" s="12" t="str">
        <f>Absolute_Scores!B314</f>
        <v>Instagram</v>
      </c>
      <c r="C314" s="29">
        <f>Absolute_Scores!D314</f>
        <v>50</v>
      </c>
      <c r="D314" s="30">
        <f t="shared" si="12"/>
        <v>62.5</v>
      </c>
      <c r="F314" s="12" t="str">
        <f>Absolute_Scores!F314</f>
        <v>@pevpearce</v>
      </c>
      <c r="G314" s="12" t="str">
        <f>Absolute_Scores!G314</f>
        <v>Instagram</v>
      </c>
      <c r="H314" s="29">
        <f>Absolute_Scores!I314</f>
        <v>53</v>
      </c>
      <c r="I314" s="30">
        <f t="shared" si="13"/>
        <v>66.25</v>
      </c>
      <c r="K314" s="12" t="str">
        <f>Absolute_Scores!K314</f>
        <v>@dapurbekal</v>
      </c>
      <c r="L314" s="12" t="str">
        <f>Absolute_Scores!L314</f>
        <v>TikTok</v>
      </c>
      <c r="M314" s="29">
        <f>Absolute_Scores!N314</f>
        <v>43</v>
      </c>
      <c r="N314" s="30">
        <f t="shared" si="14"/>
        <v>64.18</v>
      </c>
    </row>
    <row r="315" spans="1:14">
      <c r="A315" s="12" t="str">
        <f>Absolute_Scores!A315</f>
        <v>@diiannaseptianii_</v>
      </c>
      <c r="B315" s="12" t="str">
        <f>Absolute_Scores!B315</f>
        <v>Instagram</v>
      </c>
      <c r="C315" s="29">
        <f>Absolute_Scores!D315</f>
        <v>50</v>
      </c>
      <c r="D315" s="30">
        <f t="shared" si="12"/>
        <v>62.5</v>
      </c>
      <c r="F315" s="12" t="str">
        <f>Absolute_Scores!F315</f>
        <v>@vansa.be</v>
      </c>
      <c r="G315" s="12" t="str">
        <f>Absolute_Scores!G315</f>
        <v>TikTok</v>
      </c>
      <c r="H315" s="29">
        <f>Absolute_Scores!I315</f>
        <v>53</v>
      </c>
      <c r="I315" s="30">
        <f t="shared" si="13"/>
        <v>66.25</v>
      </c>
      <c r="K315" s="12" t="str">
        <f>Absolute_Scores!K315</f>
        <v>@diasftri21</v>
      </c>
      <c r="L315" s="12" t="str">
        <f>Absolute_Scores!L315</f>
        <v>Instagram</v>
      </c>
      <c r="M315" s="29">
        <f>Absolute_Scores!N315</f>
        <v>43</v>
      </c>
      <c r="N315" s="30">
        <f t="shared" si="14"/>
        <v>64.18</v>
      </c>
    </row>
    <row r="316" spans="1:14">
      <c r="A316" s="12" t="str">
        <f>Absolute_Scores!A316</f>
        <v>@dinfiaa</v>
      </c>
      <c r="B316" s="12" t="str">
        <f>Absolute_Scores!B316</f>
        <v>Instagram</v>
      </c>
      <c r="C316" s="29">
        <f>Absolute_Scores!D316</f>
        <v>50</v>
      </c>
      <c r="D316" s="30">
        <f t="shared" si="12"/>
        <v>62.5</v>
      </c>
      <c r="F316" s="12" t="str">
        <f>Absolute_Scores!F316</f>
        <v>@adindafala</v>
      </c>
      <c r="G316" s="12" t="str">
        <f>Absolute_Scores!G316</f>
        <v>Instagram</v>
      </c>
      <c r="H316" s="29">
        <f>Absolute_Scores!I316</f>
        <v>52</v>
      </c>
      <c r="I316" s="30">
        <f t="shared" si="13"/>
        <v>65</v>
      </c>
      <c r="K316" s="12" t="str">
        <f>Absolute_Scores!K316</f>
        <v>@ditanganu</v>
      </c>
      <c r="L316" s="12" t="str">
        <f>Absolute_Scores!L316</f>
        <v>TikTok</v>
      </c>
      <c r="M316" s="29">
        <f>Absolute_Scores!N316</f>
        <v>43</v>
      </c>
      <c r="N316" s="30">
        <f t="shared" si="14"/>
        <v>64.18</v>
      </c>
    </row>
    <row r="317" spans="1:14">
      <c r="A317" s="12" t="str">
        <f>Absolute_Scores!A317</f>
        <v>@diniindahc</v>
      </c>
      <c r="B317" s="12" t="str">
        <f>Absolute_Scores!B317</f>
        <v>Instagram</v>
      </c>
      <c r="C317" s="29">
        <f>Absolute_Scores!D317</f>
        <v>50</v>
      </c>
      <c r="D317" s="30">
        <f t="shared" si="12"/>
        <v>62.5</v>
      </c>
      <c r="F317" s="12" t="str">
        <f>Absolute_Scores!F317</f>
        <v>@cindylevinaa</v>
      </c>
      <c r="G317" s="12" t="str">
        <f>Absolute_Scores!G317</f>
        <v>Instagram</v>
      </c>
      <c r="H317" s="29">
        <f>Absolute_Scores!I317</f>
        <v>52</v>
      </c>
      <c r="I317" s="30">
        <f t="shared" si="13"/>
        <v>65</v>
      </c>
      <c r="K317" s="12" t="str">
        <f>Absolute_Scores!K317</f>
        <v>@dzhea_zee</v>
      </c>
      <c r="L317" s="12" t="str">
        <f>Absolute_Scores!L317</f>
        <v>TikTok</v>
      </c>
      <c r="M317" s="29">
        <f>Absolute_Scores!N317</f>
        <v>43</v>
      </c>
      <c r="N317" s="30">
        <f t="shared" si="14"/>
        <v>64.18</v>
      </c>
    </row>
    <row r="318" spans="1:14">
      <c r="A318" s="12" t="str">
        <f>Absolute_Scores!A318</f>
        <v>@dinnirz</v>
      </c>
      <c r="B318" s="12" t="str">
        <f>Absolute_Scores!B318</f>
        <v>Instagram</v>
      </c>
      <c r="C318" s="29">
        <f>Absolute_Scores!D318</f>
        <v>50</v>
      </c>
      <c r="D318" s="30">
        <f t="shared" si="12"/>
        <v>62.5</v>
      </c>
      <c r="F318" s="12" t="str">
        <f>Absolute_Scores!F318</f>
        <v>@dibawahpohon_</v>
      </c>
      <c r="G318" s="12" t="str">
        <f>Absolute_Scores!G318</f>
        <v>Instagram</v>
      </c>
      <c r="H318" s="29">
        <f>Absolute_Scores!I318</f>
        <v>52</v>
      </c>
      <c r="I318" s="30">
        <f t="shared" si="13"/>
        <v>65</v>
      </c>
      <c r="K318" s="12" t="str">
        <f>Absolute_Scores!K318</f>
        <v>@emmachatarina</v>
      </c>
      <c r="L318" s="12" t="str">
        <f>Absolute_Scores!L318</f>
        <v>TikTok</v>
      </c>
      <c r="M318" s="29">
        <f>Absolute_Scores!N318</f>
        <v>43</v>
      </c>
      <c r="N318" s="30">
        <f t="shared" si="14"/>
        <v>64.18</v>
      </c>
    </row>
    <row r="319" spans="1:14">
      <c r="A319" s="12" t="str">
        <f>Absolute_Scores!A319</f>
        <v>@ditapamelia</v>
      </c>
      <c r="B319" s="12" t="str">
        <f>Absolute_Scores!B319</f>
        <v>Instagram</v>
      </c>
      <c r="C319" s="29">
        <f>Absolute_Scores!D319</f>
        <v>50</v>
      </c>
      <c r="D319" s="30">
        <f t="shared" si="12"/>
        <v>62.5</v>
      </c>
      <c r="F319" s="12" t="str">
        <f>Absolute_Scores!F319</f>
        <v>@fitriaqatrunnada</v>
      </c>
      <c r="G319" s="12" t="str">
        <f>Absolute_Scores!G319</f>
        <v>Instagram</v>
      </c>
      <c r="H319" s="29">
        <f>Absolute_Scores!I319</f>
        <v>52</v>
      </c>
      <c r="I319" s="30">
        <f t="shared" si="13"/>
        <v>65</v>
      </c>
      <c r="K319" s="12" t="str">
        <f>Absolute_Scores!K319</f>
        <v>@emrahma</v>
      </c>
      <c r="L319" s="12" t="str">
        <f>Absolute_Scores!L319</f>
        <v>Instagram</v>
      </c>
      <c r="M319" s="29">
        <f>Absolute_Scores!N319</f>
        <v>43</v>
      </c>
      <c r="N319" s="30">
        <f t="shared" si="14"/>
        <v>64.18</v>
      </c>
    </row>
    <row r="320" spans="1:14">
      <c r="A320" s="12" t="str">
        <f>Absolute_Scores!A320</f>
        <v>@dittaanyanie</v>
      </c>
      <c r="B320" s="12" t="str">
        <f>Absolute_Scores!B320</f>
        <v>Instagram</v>
      </c>
      <c r="C320" s="29">
        <f>Absolute_Scores!D320</f>
        <v>50</v>
      </c>
      <c r="D320" s="30">
        <f t="shared" si="12"/>
        <v>62.5</v>
      </c>
      <c r="F320" s="12" t="str">
        <f>Absolute_Scores!F320</f>
        <v>@gelangelicca</v>
      </c>
      <c r="G320" s="12" t="str">
        <f>Absolute_Scores!G320</f>
        <v>Instagram</v>
      </c>
      <c r="H320" s="29">
        <f>Absolute_Scores!I320</f>
        <v>52</v>
      </c>
      <c r="I320" s="30">
        <f t="shared" si="13"/>
        <v>65</v>
      </c>
      <c r="K320" s="12" t="str">
        <f>Absolute_Scores!K320</f>
        <v>@erinagustinaa</v>
      </c>
      <c r="L320" s="12" t="str">
        <f>Absolute_Scores!L320</f>
        <v>TikTok</v>
      </c>
      <c r="M320" s="29">
        <f>Absolute_Scores!N320</f>
        <v>43</v>
      </c>
      <c r="N320" s="30">
        <f t="shared" si="14"/>
        <v>64.18</v>
      </c>
    </row>
    <row r="321" spans="1:14">
      <c r="A321" s="12" t="str">
        <f>Absolute_Scores!A321</f>
        <v>@dokyeong04</v>
      </c>
      <c r="B321" s="12" t="str">
        <f>Absolute_Scores!B321</f>
        <v>Instagram</v>
      </c>
      <c r="C321" s="29">
        <f>Absolute_Scores!D321</f>
        <v>50</v>
      </c>
      <c r="D321" s="30">
        <f t="shared" si="12"/>
        <v>62.5</v>
      </c>
      <c r="F321" s="12" t="str">
        <f>Absolute_Scores!F321</f>
        <v>@govinzulhelmi</v>
      </c>
      <c r="G321" s="12" t="str">
        <f>Absolute_Scores!G321</f>
        <v>Instagram</v>
      </c>
      <c r="H321" s="29">
        <f>Absolute_Scores!I321</f>
        <v>52</v>
      </c>
      <c r="I321" s="30">
        <f t="shared" si="13"/>
        <v>65</v>
      </c>
      <c r="K321" s="12" t="str">
        <f>Absolute_Scores!K321</f>
        <v>@info_pondokgede</v>
      </c>
      <c r="L321" s="12" t="str">
        <f>Absolute_Scores!L321</f>
        <v>Instagram</v>
      </c>
      <c r="M321" s="29">
        <f>Absolute_Scores!N321</f>
        <v>43</v>
      </c>
      <c r="N321" s="30">
        <f t="shared" si="14"/>
        <v>64.18</v>
      </c>
    </row>
    <row r="322" spans="1:14">
      <c r="A322" s="12" t="str">
        <f>Absolute_Scores!A322</f>
        <v>@drh.rahmahf08</v>
      </c>
      <c r="B322" s="12" t="str">
        <f>Absolute_Scores!B322</f>
        <v>Instagram</v>
      </c>
      <c r="C322" s="29">
        <f>Absolute_Scores!D322</f>
        <v>50</v>
      </c>
      <c r="D322" s="30">
        <f t="shared" si="12"/>
        <v>62.5</v>
      </c>
      <c r="F322" s="12" t="str">
        <f>Absolute_Scores!F322</f>
        <v>@laperstory</v>
      </c>
      <c r="G322" s="12" t="str">
        <f>Absolute_Scores!G322</f>
        <v>Instagram</v>
      </c>
      <c r="H322" s="29">
        <f>Absolute_Scores!I322</f>
        <v>52</v>
      </c>
      <c r="I322" s="30">
        <f t="shared" si="13"/>
        <v>65</v>
      </c>
      <c r="K322" s="12" t="str">
        <f>Absolute_Scores!K322</f>
        <v>@iniimona</v>
      </c>
      <c r="L322" s="12" t="str">
        <f>Absolute_Scores!L322</f>
        <v>TikTok</v>
      </c>
      <c r="M322" s="29">
        <f>Absolute_Scores!N322</f>
        <v>43</v>
      </c>
      <c r="N322" s="30">
        <f t="shared" si="14"/>
        <v>64.18</v>
      </c>
    </row>
    <row r="323" spans="1:14">
      <c r="A323" s="12" t="str">
        <f>Absolute_Scores!A323</f>
        <v>@dutakejora</v>
      </c>
      <c r="B323" s="12" t="str">
        <f>Absolute_Scores!B323</f>
        <v>Instagram</v>
      </c>
      <c r="C323" s="29">
        <f>Absolute_Scores!D323</f>
        <v>50</v>
      </c>
      <c r="D323" s="30">
        <f t="shared" si="12"/>
        <v>62.5</v>
      </c>
      <c r="F323" s="12" t="str">
        <f>Absolute_Scores!F323</f>
        <v>@laurasiburian</v>
      </c>
      <c r="G323" s="12" t="str">
        <f>Absolute_Scores!G323</f>
        <v>TikTok</v>
      </c>
      <c r="H323" s="29">
        <f>Absolute_Scores!I323</f>
        <v>52</v>
      </c>
      <c r="I323" s="30">
        <f t="shared" si="13"/>
        <v>65</v>
      </c>
      <c r="K323" s="12" t="str">
        <f>Absolute_Scores!K323</f>
        <v>@inul.d</v>
      </c>
      <c r="L323" s="12" t="str">
        <f>Absolute_Scores!L323</f>
        <v>Instagram</v>
      </c>
      <c r="M323" s="29">
        <f>Absolute_Scores!N323</f>
        <v>43</v>
      </c>
      <c r="N323" s="30">
        <f t="shared" si="14"/>
        <v>64.18</v>
      </c>
    </row>
    <row r="324" spans="1:14">
      <c r="A324" s="12" t="str">
        <f>Absolute_Scores!A324</f>
        <v>@dwipriatiningsih</v>
      </c>
      <c r="B324" s="12" t="str">
        <f>Absolute_Scores!B324</f>
        <v>Instagram</v>
      </c>
      <c r="C324" s="29">
        <f>Absolute_Scores!D324</f>
        <v>50</v>
      </c>
      <c r="D324" s="30">
        <f t="shared" si="12"/>
        <v>62.5</v>
      </c>
      <c r="F324" s="12" t="str">
        <f>Absolute_Scores!F324</f>
        <v>@liana_tan</v>
      </c>
      <c r="G324" s="12" t="str">
        <f>Absolute_Scores!G324</f>
        <v>Instagram</v>
      </c>
      <c r="H324" s="29">
        <f>Absolute_Scores!I324</f>
        <v>52</v>
      </c>
      <c r="I324" s="30">
        <f t="shared" si="13"/>
        <v>65</v>
      </c>
      <c r="K324" s="12" t="str">
        <f>Absolute_Scores!K324</f>
        <v>@itsagnesdwiw</v>
      </c>
      <c r="L324" s="12" t="str">
        <f>Absolute_Scores!L324</f>
        <v>TikTok</v>
      </c>
      <c r="M324" s="29">
        <f>Absolute_Scores!N324</f>
        <v>43</v>
      </c>
      <c r="N324" s="30">
        <f t="shared" si="14"/>
        <v>64.18</v>
      </c>
    </row>
    <row r="325" spans="1:14">
      <c r="A325" s="12" t="str">
        <f>Absolute_Scores!A325</f>
        <v>@dwiyantiprasetyo</v>
      </c>
      <c r="B325" s="12" t="str">
        <f>Absolute_Scores!B325</f>
        <v>Instagram</v>
      </c>
      <c r="C325" s="29">
        <f>Absolute_Scores!D325</f>
        <v>50</v>
      </c>
      <c r="D325" s="30">
        <f t="shared" si="12"/>
        <v>62.5</v>
      </c>
      <c r="F325" s="12" t="str">
        <f>Absolute_Scores!F325</f>
        <v>@madelarasati</v>
      </c>
      <c r="G325" s="12" t="str">
        <f>Absolute_Scores!G325</f>
        <v>TikTok</v>
      </c>
      <c r="H325" s="29">
        <f>Absolute_Scores!I325</f>
        <v>52</v>
      </c>
      <c r="I325" s="30">
        <f t="shared" si="13"/>
        <v>65</v>
      </c>
      <c r="K325" s="12" t="str">
        <f>Absolute_Scores!K325</f>
        <v>@joannadv</v>
      </c>
      <c r="L325" s="12" t="str">
        <f>Absolute_Scores!L325</f>
        <v>TikTok</v>
      </c>
      <c r="M325" s="29">
        <f>Absolute_Scores!N325</f>
        <v>43</v>
      </c>
      <c r="N325" s="30">
        <f t="shared" si="14"/>
        <v>64.18</v>
      </c>
    </row>
    <row r="326" spans="1:14">
      <c r="A326" s="12" t="str">
        <f>Absolute_Scores!A326</f>
        <v>@echiiiiii</v>
      </c>
      <c r="B326" s="12" t="str">
        <f>Absolute_Scores!B326</f>
        <v>Instagram</v>
      </c>
      <c r="C326" s="29">
        <f>Absolute_Scores!D326</f>
        <v>50</v>
      </c>
      <c r="D326" s="30">
        <f t="shared" ref="D326:D389" si="15">ROUND(C326/$D$4*100,2)</f>
        <v>62.5</v>
      </c>
      <c r="F326" s="12" t="str">
        <f>Absolute_Scores!F326</f>
        <v>@mr.filipuss</v>
      </c>
      <c r="G326" s="12" t="str">
        <f>Absolute_Scores!G326</f>
        <v>Instagram</v>
      </c>
      <c r="H326" s="29">
        <f>Absolute_Scores!I326</f>
        <v>52</v>
      </c>
      <c r="I326" s="30">
        <f t="shared" ref="I326:I389" si="16">ROUND(H326/$I$4*100,2)</f>
        <v>65</v>
      </c>
      <c r="K326" s="12" t="str">
        <f>Absolute_Scores!K326</f>
        <v>@nabilaaprikarnin</v>
      </c>
      <c r="L326" s="12" t="str">
        <f>Absolute_Scores!L326</f>
        <v>Instagram</v>
      </c>
      <c r="M326" s="29">
        <f>Absolute_Scores!N326</f>
        <v>43</v>
      </c>
      <c r="N326" s="30">
        <f t="shared" ref="N326:N389" si="17">ROUND(M326/$N$4*100,2)</f>
        <v>64.18</v>
      </c>
    </row>
    <row r="327" spans="1:14">
      <c r="A327" s="12" t="str">
        <f>Absolute_Scores!A327</f>
        <v>@eeppiioo</v>
      </c>
      <c r="B327" s="12" t="str">
        <f>Absolute_Scores!B327</f>
        <v>Instagram</v>
      </c>
      <c r="C327" s="29">
        <f>Absolute_Scores!D327</f>
        <v>50</v>
      </c>
      <c r="D327" s="30">
        <f t="shared" si="15"/>
        <v>62.5</v>
      </c>
      <c r="F327" s="12" t="str">
        <f>Absolute_Scores!F327</f>
        <v>@nova_nayla</v>
      </c>
      <c r="G327" s="12" t="str">
        <f>Absolute_Scores!G327</f>
        <v>Instagram</v>
      </c>
      <c r="H327" s="29">
        <f>Absolute_Scores!I327</f>
        <v>52</v>
      </c>
      <c r="I327" s="30">
        <f t="shared" si="16"/>
        <v>65</v>
      </c>
      <c r="K327" s="12" t="str">
        <f>Absolute_Scores!K327</f>
        <v>@nancyagita</v>
      </c>
      <c r="L327" s="12" t="str">
        <f>Absolute_Scores!L327</f>
        <v>Instagram</v>
      </c>
      <c r="M327" s="29">
        <f>Absolute_Scores!N327</f>
        <v>43</v>
      </c>
      <c r="N327" s="30">
        <f t="shared" si="17"/>
        <v>64.18</v>
      </c>
    </row>
    <row r="328" spans="1:14">
      <c r="A328" s="12" t="str">
        <f>Absolute_Scores!A328</f>
        <v>@ega.panda</v>
      </c>
      <c r="B328" s="12" t="str">
        <f>Absolute_Scores!B328</f>
        <v>Instagram</v>
      </c>
      <c r="C328" s="29">
        <f>Absolute_Scores!D328</f>
        <v>50</v>
      </c>
      <c r="D328" s="30">
        <f t="shared" si="15"/>
        <v>62.5</v>
      </c>
      <c r="F328" s="12" t="str">
        <f>Absolute_Scores!F328</f>
        <v>@safirakaunang</v>
      </c>
      <c r="G328" s="12" t="str">
        <f>Absolute_Scores!G328</f>
        <v>Instagram</v>
      </c>
      <c r="H328" s="29">
        <f>Absolute_Scores!I328</f>
        <v>52</v>
      </c>
      <c r="I328" s="30">
        <f t="shared" si="16"/>
        <v>65</v>
      </c>
      <c r="K328" s="12" t="str">
        <f>Absolute_Scores!K328</f>
        <v>@nathaniec</v>
      </c>
      <c r="L328" s="12" t="str">
        <f>Absolute_Scores!L328</f>
        <v>Instagram</v>
      </c>
      <c r="M328" s="29">
        <f>Absolute_Scores!N328</f>
        <v>43</v>
      </c>
      <c r="N328" s="30">
        <f t="shared" si="17"/>
        <v>64.18</v>
      </c>
    </row>
    <row r="329" spans="1:14">
      <c r="A329" s="12" t="str">
        <f>Absolute_Scores!A329</f>
        <v>@eireenjuslimm</v>
      </c>
      <c r="B329" s="12" t="str">
        <f>Absolute_Scores!B329</f>
        <v>Instagram</v>
      </c>
      <c r="C329" s="29">
        <f>Absolute_Scores!D329</f>
        <v>50</v>
      </c>
      <c r="D329" s="30">
        <f t="shared" si="15"/>
        <v>62.5</v>
      </c>
      <c r="F329" s="12" t="str">
        <f>Absolute_Scores!F329</f>
        <v>@tehikaa</v>
      </c>
      <c r="G329" s="12" t="str">
        <f>Absolute_Scores!G329</f>
        <v>Instagram</v>
      </c>
      <c r="H329" s="29">
        <f>Absolute_Scores!I329</f>
        <v>52</v>
      </c>
      <c r="I329" s="30">
        <f t="shared" si="16"/>
        <v>65</v>
      </c>
      <c r="K329" s="12" t="str">
        <f>Absolute_Scores!K329</f>
        <v>@oktosiagian</v>
      </c>
      <c r="L329" s="12" t="str">
        <f>Absolute_Scores!L329</f>
        <v>Instagram</v>
      </c>
      <c r="M329" s="29">
        <f>Absolute_Scores!N329</f>
        <v>43</v>
      </c>
      <c r="N329" s="30">
        <f t="shared" si="17"/>
        <v>64.18</v>
      </c>
    </row>
    <row r="330" spans="1:14">
      <c r="A330" s="12" t="str">
        <f>Absolute_Scores!A330</f>
        <v>@elfinayunisari</v>
      </c>
      <c r="B330" s="12" t="str">
        <f>Absolute_Scores!B330</f>
        <v>Instagram</v>
      </c>
      <c r="C330" s="29">
        <f>Absolute_Scores!D330</f>
        <v>50</v>
      </c>
      <c r="D330" s="30">
        <f t="shared" si="15"/>
        <v>62.5</v>
      </c>
      <c r="F330" s="12" t="str">
        <f>Absolute_Scores!F330</f>
        <v>@viankacalista</v>
      </c>
      <c r="G330" s="12" t="str">
        <f>Absolute_Scores!G330</f>
        <v>Instagram</v>
      </c>
      <c r="H330" s="29">
        <f>Absolute_Scores!I330</f>
        <v>52</v>
      </c>
      <c r="I330" s="30">
        <f t="shared" si="16"/>
        <v>65</v>
      </c>
      <c r="K330" s="12" t="str">
        <f>Absolute_Scores!K330</f>
        <v>@ranireaction</v>
      </c>
      <c r="L330" s="12" t="str">
        <f>Absolute_Scores!L330</f>
        <v>TikTok</v>
      </c>
      <c r="M330" s="29">
        <f>Absolute_Scores!N330</f>
        <v>43</v>
      </c>
      <c r="N330" s="30">
        <f t="shared" si="17"/>
        <v>64.18</v>
      </c>
    </row>
    <row r="331" spans="1:14">
      <c r="A331" s="12" t="str">
        <f>Absolute_Scores!A331</f>
        <v>@elissuciati.else</v>
      </c>
      <c r="B331" s="12" t="str">
        <f>Absolute_Scores!B331</f>
        <v>Instagram</v>
      </c>
      <c r="C331" s="29">
        <f>Absolute_Scores!D331</f>
        <v>50</v>
      </c>
      <c r="D331" s="30">
        <f t="shared" si="15"/>
        <v>62.5</v>
      </c>
      <c r="F331" s="12" t="str">
        <f>Absolute_Scores!F331</f>
        <v>@virginiaobed</v>
      </c>
      <c r="G331" s="12" t="str">
        <f>Absolute_Scores!G331</f>
        <v>Instagram</v>
      </c>
      <c r="H331" s="29">
        <f>Absolute_Scores!I331</f>
        <v>52</v>
      </c>
      <c r="I331" s="30">
        <f t="shared" si="16"/>
        <v>65</v>
      </c>
      <c r="K331" s="12" t="str">
        <f>Absolute_Scores!K331</f>
        <v>@sophia_latjuba88</v>
      </c>
      <c r="L331" s="12" t="str">
        <f>Absolute_Scores!L331</f>
        <v>Instagram</v>
      </c>
      <c r="M331" s="29">
        <f>Absolute_Scores!N331</f>
        <v>43</v>
      </c>
      <c r="N331" s="30">
        <f t="shared" si="17"/>
        <v>64.18</v>
      </c>
    </row>
    <row r="332" spans="1:14">
      <c r="A332" s="12" t="str">
        <f>Absolute_Scores!A332</f>
        <v>@elmaro.eml</v>
      </c>
      <c r="B332" s="12" t="str">
        <f>Absolute_Scores!B332</f>
        <v>Instagram</v>
      </c>
      <c r="C332" s="29">
        <f>Absolute_Scores!D332</f>
        <v>50</v>
      </c>
      <c r="D332" s="30">
        <f t="shared" si="15"/>
        <v>62.5</v>
      </c>
      <c r="F332" s="12" t="str">
        <f>Absolute_Scores!F332</f>
        <v>@aiiyouvidh</v>
      </c>
      <c r="G332" s="12" t="str">
        <f>Absolute_Scores!G332</f>
        <v>Instagram</v>
      </c>
      <c r="H332" s="29">
        <f>Absolute_Scores!I332</f>
        <v>51</v>
      </c>
      <c r="I332" s="30">
        <f t="shared" si="16"/>
        <v>63.75</v>
      </c>
      <c r="K332" s="12" t="str">
        <f>Absolute_Scores!K332</f>
        <v>@stkhadijah99_</v>
      </c>
      <c r="L332" s="12" t="str">
        <f>Absolute_Scores!L332</f>
        <v>Instagram</v>
      </c>
      <c r="M332" s="29">
        <f>Absolute_Scores!N332</f>
        <v>43</v>
      </c>
      <c r="N332" s="30">
        <f t="shared" si="17"/>
        <v>64.18</v>
      </c>
    </row>
    <row r="333" spans="1:14">
      <c r="A333" s="12" t="str">
        <f>Absolute_Scores!A333</f>
        <v>@elvia_rara</v>
      </c>
      <c r="B333" s="12" t="str">
        <f>Absolute_Scores!B333</f>
        <v>Instagram</v>
      </c>
      <c r="C333" s="29">
        <f>Absolute_Scores!D333</f>
        <v>50</v>
      </c>
      <c r="D333" s="30">
        <f t="shared" si="15"/>
        <v>62.5</v>
      </c>
      <c r="F333" s="12" t="str">
        <f>Absolute_Scores!F333</f>
        <v>@almirantifira</v>
      </c>
      <c r="G333" s="12" t="str">
        <f>Absolute_Scores!G333</f>
        <v>Instagram</v>
      </c>
      <c r="H333" s="29">
        <f>Absolute_Scores!I333</f>
        <v>51</v>
      </c>
      <c r="I333" s="30">
        <f t="shared" si="16"/>
        <v>63.75</v>
      </c>
      <c r="K333" s="12" t="str">
        <f>Absolute_Scores!K333</f>
        <v>@strawberrymint17</v>
      </c>
      <c r="L333" s="12" t="str">
        <f>Absolute_Scores!L333</f>
        <v>TikTok</v>
      </c>
      <c r="M333" s="29">
        <f>Absolute_Scores!N333</f>
        <v>43</v>
      </c>
      <c r="N333" s="30">
        <f t="shared" si="17"/>
        <v>64.18</v>
      </c>
    </row>
    <row r="334" spans="1:14">
      <c r="A334" s="12" t="str">
        <f>Absolute_Scores!A334</f>
        <v>@emrahma</v>
      </c>
      <c r="B334" s="12" t="str">
        <f>Absolute_Scores!B334</f>
        <v>Instagram</v>
      </c>
      <c r="C334" s="29">
        <f>Absolute_Scores!D334</f>
        <v>50</v>
      </c>
      <c r="D334" s="30">
        <f t="shared" si="15"/>
        <v>62.5</v>
      </c>
      <c r="F334" s="12" t="str">
        <f>Absolute_Scores!F334</f>
        <v>@arinprastya</v>
      </c>
      <c r="G334" s="12" t="str">
        <f>Absolute_Scores!G334</f>
        <v>Instagram</v>
      </c>
      <c r="H334" s="29">
        <f>Absolute_Scores!I334</f>
        <v>51</v>
      </c>
      <c r="I334" s="30">
        <f t="shared" si="16"/>
        <v>63.75</v>
      </c>
      <c r="K334" s="12" t="str">
        <f>Absolute_Scores!K334</f>
        <v>@ty_nanda91</v>
      </c>
      <c r="L334" s="12" t="str">
        <f>Absolute_Scores!L334</f>
        <v>Instagram</v>
      </c>
      <c r="M334" s="29">
        <f>Absolute_Scores!N334</f>
        <v>43</v>
      </c>
      <c r="N334" s="30">
        <f t="shared" si="17"/>
        <v>64.18</v>
      </c>
    </row>
    <row r="335" spans="1:14">
      <c r="A335" s="12" t="str">
        <f>Absolute_Scores!A335</f>
        <v>@enikeveronika</v>
      </c>
      <c r="B335" s="12" t="str">
        <f>Absolute_Scores!B335</f>
        <v>Instagram</v>
      </c>
      <c r="C335" s="29">
        <f>Absolute_Scores!D335</f>
        <v>50</v>
      </c>
      <c r="D335" s="30">
        <f t="shared" si="15"/>
        <v>62.5</v>
      </c>
      <c r="F335" s="12" t="str">
        <f>Absolute_Scores!F335</f>
        <v>@baksorusuksamanhudi</v>
      </c>
      <c r="G335" s="12" t="str">
        <f>Absolute_Scores!G335</f>
        <v>Instagram</v>
      </c>
      <c r="H335" s="29">
        <f>Absolute_Scores!I335</f>
        <v>51</v>
      </c>
      <c r="I335" s="30">
        <f t="shared" si="16"/>
        <v>63.75</v>
      </c>
      <c r="K335" s="12" t="str">
        <f>Absolute_Scores!K335</f>
        <v>@widya_luvy</v>
      </c>
      <c r="L335" s="12" t="str">
        <f>Absolute_Scores!L335</f>
        <v>TikTok</v>
      </c>
      <c r="M335" s="29">
        <f>Absolute_Scores!N335</f>
        <v>43</v>
      </c>
      <c r="N335" s="30">
        <f t="shared" si="17"/>
        <v>64.18</v>
      </c>
    </row>
    <row r="336" spans="1:14">
      <c r="A336" s="12" t="str">
        <f>Absolute_Scores!A336</f>
        <v>@erac_01</v>
      </c>
      <c r="B336" s="12" t="str">
        <f>Absolute_Scores!B336</f>
        <v>Instagram</v>
      </c>
      <c r="C336" s="29">
        <f>Absolute_Scores!D336</f>
        <v>50</v>
      </c>
      <c r="D336" s="30">
        <f t="shared" si="15"/>
        <v>62.5</v>
      </c>
      <c r="F336" s="12" t="str">
        <f>Absolute_Scores!F336</f>
        <v>@bangsaonline</v>
      </c>
      <c r="G336" s="12" t="str">
        <f>Absolute_Scores!G336</f>
        <v>TikTok</v>
      </c>
      <c r="H336" s="29">
        <f>Absolute_Scores!I336</f>
        <v>51</v>
      </c>
      <c r="I336" s="30">
        <f t="shared" si="16"/>
        <v>63.75</v>
      </c>
      <c r="K336" s="12" t="str">
        <f>Absolute_Scores!K336</f>
        <v>@xfy0z_</v>
      </c>
      <c r="L336" s="12" t="str">
        <f>Absolute_Scores!L336</f>
        <v>TikTok</v>
      </c>
      <c r="M336" s="29">
        <f>Absolute_Scores!N336</f>
        <v>43</v>
      </c>
      <c r="N336" s="30">
        <f t="shared" si="17"/>
        <v>64.18</v>
      </c>
    </row>
    <row r="337" spans="1:14">
      <c r="A337" s="12" t="str">
        <f>Absolute_Scores!A337</f>
        <v>@erialukmanasr</v>
      </c>
      <c r="B337" s="12" t="str">
        <f>Absolute_Scores!B337</f>
        <v>Instagram</v>
      </c>
      <c r="C337" s="29">
        <f>Absolute_Scores!D337</f>
        <v>50</v>
      </c>
      <c r="D337" s="30">
        <f t="shared" si="15"/>
        <v>62.5</v>
      </c>
      <c r="F337" s="12" t="str">
        <f>Absolute_Scores!F337</f>
        <v>@brigittairene22</v>
      </c>
      <c r="G337" s="12" t="str">
        <f>Absolute_Scores!G337</f>
        <v>Instagram</v>
      </c>
      <c r="H337" s="29">
        <f>Absolute_Scores!I337</f>
        <v>51</v>
      </c>
      <c r="I337" s="30">
        <f t="shared" si="16"/>
        <v>63.75</v>
      </c>
      <c r="K337" s="12" t="str">
        <f>Absolute_Scores!K337</f>
        <v>@aamandazahra</v>
      </c>
      <c r="L337" s="12" t="str">
        <f>Absolute_Scores!L337</f>
        <v>Instagram</v>
      </c>
      <c r="M337" s="29">
        <f>Absolute_Scores!N337</f>
        <v>42</v>
      </c>
      <c r="N337" s="30">
        <f t="shared" si="17"/>
        <v>62.69</v>
      </c>
    </row>
    <row r="338" spans="1:14">
      <c r="A338" s="12" t="str">
        <f>Absolute_Scores!A338</f>
        <v>@erlanggabayuuu</v>
      </c>
      <c r="B338" s="12" t="str">
        <f>Absolute_Scores!B338</f>
        <v>Instagram</v>
      </c>
      <c r="C338" s="29">
        <f>Absolute_Scores!D338</f>
        <v>50</v>
      </c>
      <c r="D338" s="30">
        <f t="shared" si="15"/>
        <v>62.5</v>
      </c>
      <c r="F338" s="12" t="str">
        <f>Absolute_Scores!F338</f>
        <v>@daenkrukka</v>
      </c>
      <c r="G338" s="12" t="str">
        <f>Absolute_Scores!G338</f>
        <v>Instagram</v>
      </c>
      <c r="H338" s="29">
        <f>Absolute_Scores!I338</f>
        <v>51</v>
      </c>
      <c r="I338" s="30">
        <f t="shared" si="16"/>
        <v>63.75</v>
      </c>
      <c r="K338" s="12" t="str">
        <f>Absolute_Scores!K338</f>
        <v>@adell.exe</v>
      </c>
      <c r="L338" s="12" t="str">
        <f>Absolute_Scores!L338</f>
        <v>TikTok</v>
      </c>
      <c r="M338" s="29">
        <f>Absolute_Scores!N338</f>
        <v>42</v>
      </c>
      <c r="N338" s="30">
        <f t="shared" si="17"/>
        <v>62.69</v>
      </c>
    </row>
    <row r="339" spans="1:14">
      <c r="A339" s="12" t="str">
        <f>Absolute_Scores!A339</f>
        <v>@erlitakhoirilisa</v>
      </c>
      <c r="B339" s="12" t="str">
        <f>Absolute_Scores!B339</f>
        <v>Instagram</v>
      </c>
      <c r="C339" s="29">
        <f>Absolute_Scores!D339</f>
        <v>50</v>
      </c>
      <c r="D339" s="30">
        <f t="shared" si="15"/>
        <v>62.5</v>
      </c>
      <c r="F339" s="12" t="str">
        <f>Absolute_Scores!F339</f>
        <v>@debisagita</v>
      </c>
      <c r="G339" s="12" t="str">
        <f>Absolute_Scores!G339</f>
        <v>Instagram</v>
      </c>
      <c r="H339" s="29">
        <f>Absolute_Scores!I339</f>
        <v>51</v>
      </c>
      <c r="I339" s="30">
        <f t="shared" si="16"/>
        <v>63.75</v>
      </c>
      <c r="K339" s="12" t="str">
        <f>Absolute_Scores!K339</f>
        <v>@angelineafandi</v>
      </c>
      <c r="L339" s="12" t="str">
        <f>Absolute_Scores!L339</f>
        <v>TikTok</v>
      </c>
      <c r="M339" s="29">
        <f>Absolute_Scores!N339</f>
        <v>42</v>
      </c>
      <c r="N339" s="30">
        <f t="shared" si="17"/>
        <v>62.69</v>
      </c>
    </row>
    <row r="340" spans="1:14">
      <c r="A340" s="12" t="str">
        <f>Absolute_Scores!A340</f>
        <v>@ernamu31</v>
      </c>
      <c r="B340" s="12" t="str">
        <f>Absolute_Scores!B340</f>
        <v>Instagram</v>
      </c>
      <c r="C340" s="29">
        <f>Absolute_Scores!D340</f>
        <v>50</v>
      </c>
      <c r="D340" s="30">
        <f t="shared" si="15"/>
        <v>62.5</v>
      </c>
      <c r="F340" s="12" t="str">
        <f>Absolute_Scores!F340</f>
        <v>@dwisuci_ardi</v>
      </c>
      <c r="G340" s="12" t="str">
        <f>Absolute_Scores!G340</f>
        <v>Instagram</v>
      </c>
      <c r="H340" s="29">
        <f>Absolute_Scores!I340</f>
        <v>51</v>
      </c>
      <c r="I340" s="30">
        <f t="shared" si="16"/>
        <v>63.75</v>
      </c>
      <c r="K340" s="12" t="str">
        <f>Absolute_Scores!K340</f>
        <v>@anisasetiawan_</v>
      </c>
      <c r="L340" s="12" t="str">
        <f>Absolute_Scores!L340</f>
        <v>TikTok</v>
      </c>
      <c r="M340" s="29">
        <f>Absolute_Scores!N340</f>
        <v>42</v>
      </c>
      <c r="N340" s="30">
        <f t="shared" si="17"/>
        <v>62.69</v>
      </c>
    </row>
    <row r="341" spans="1:14">
      <c r="A341" s="12" t="str">
        <f>Absolute_Scores!A341</f>
        <v>@erni_tristiani</v>
      </c>
      <c r="B341" s="12" t="str">
        <f>Absolute_Scores!B341</f>
        <v>Instagram</v>
      </c>
      <c r="C341" s="29">
        <f>Absolute_Scores!D341</f>
        <v>50</v>
      </c>
      <c r="D341" s="30">
        <f t="shared" si="15"/>
        <v>62.5</v>
      </c>
      <c r="F341" s="12" t="str">
        <f>Absolute_Scores!F341</f>
        <v>@dwiuuzzukk19</v>
      </c>
      <c r="G341" s="12" t="str">
        <f>Absolute_Scores!G341</f>
        <v>Instagram</v>
      </c>
      <c r="H341" s="29">
        <f>Absolute_Scores!I341</f>
        <v>51</v>
      </c>
      <c r="I341" s="30">
        <f t="shared" si="16"/>
        <v>63.75</v>
      </c>
      <c r="K341" s="12" t="str">
        <f>Absolute_Scores!K341</f>
        <v>@arbanirezas</v>
      </c>
      <c r="L341" s="12" t="str">
        <f>Absolute_Scores!L341</f>
        <v>Instagram</v>
      </c>
      <c r="M341" s="29">
        <f>Absolute_Scores!N341</f>
        <v>42</v>
      </c>
      <c r="N341" s="30">
        <f t="shared" si="17"/>
        <v>62.69</v>
      </c>
    </row>
    <row r="342" spans="1:14">
      <c r="A342" s="12" t="str">
        <f>Absolute_Scores!A342</f>
        <v>@eskaaw_</v>
      </c>
      <c r="B342" s="12" t="str">
        <f>Absolute_Scores!B342</f>
        <v>Instagram</v>
      </c>
      <c r="C342" s="29">
        <f>Absolute_Scores!D342</f>
        <v>50</v>
      </c>
      <c r="D342" s="30">
        <f t="shared" si="15"/>
        <v>62.5</v>
      </c>
      <c r="F342" s="12" t="str">
        <f>Absolute_Scores!F342</f>
        <v>@evi_mamadzaky</v>
      </c>
      <c r="G342" s="12" t="str">
        <f>Absolute_Scores!G342</f>
        <v>Instagram</v>
      </c>
      <c r="H342" s="29">
        <f>Absolute_Scores!I342</f>
        <v>51</v>
      </c>
      <c r="I342" s="30">
        <f t="shared" si="16"/>
        <v>63.75</v>
      </c>
      <c r="K342" s="12" t="str">
        <f>Absolute_Scores!K342</f>
        <v>@asakecil</v>
      </c>
      <c r="L342" s="12" t="str">
        <f>Absolute_Scores!L342</f>
        <v>Instagram</v>
      </c>
      <c r="M342" s="29">
        <f>Absolute_Scores!N342</f>
        <v>42</v>
      </c>
      <c r="N342" s="30">
        <f t="shared" si="17"/>
        <v>62.69</v>
      </c>
    </row>
    <row r="343" spans="1:14">
      <c r="A343" s="12" t="str">
        <f>Absolute_Scores!A343</f>
        <v>@evarozalinaa</v>
      </c>
      <c r="B343" s="12" t="str">
        <f>Absolute_Scores!B343</f>
        <v>Instagram</v>
      </c>
      <c r="C343" s="29">
        <f>Absolute_Scores!D343</f>
        <v>50</v>
      </c>
      <c r="D343" s="30">
        <f t="shared" si="15"/>
        <v>62.5</v>
      </c>
      <c r="F343" s="12" t="str">
        <f>Absolute_Scores!F343</f>
        <v>@fadiljaidi</v>
      </c>
      <c r="G343" s="12" t="str">
        <f>Absolute_Scores!G343</f>
        <v>Instagram</v>
      </c>
      <c r="H343" s="29">
        <f>Absolute_Scores!I343</f>
        <v>51</v>
      </c>
      <c r="I343" s="30">
        <f t="shared" si="16"/>
        <v>63.75</v>
      </c>
      <c r="K343" s="12" t="str">
        <f>Absolute_Scores!K343</f>
        <v>@astaririri</v>
      </c>
      <c r="L343" s="12" t="str">
        <f>Absolute_Scores!L343</f>
        <v>Instagram</v>
      </c>
      <c r="M343" s="29">
        <f>Absolute_Scores!N343</f>
        <v>42</v>
      </c>
      <c r="N343" s="30">
        <f t="shared" si="17"/>
        <v>62.69</v>
      </c>
    </row>
    <row r="344" spans="1:14">
      <c r="A344" s="12" t="str">
        <f>Absolute_Scores!A344</f>
        <v>@evisarah</v>
      </c>
      <c r="B344" s="12" t="str">
        <f>Absolute_Scores!B344</f>
        <v>Instagram</v>
      </c>
      <c r="C344" s="29">
        <f>Absolute_Scores!D344</f>
        <v>50</v>
      </c>
      <c r="D344" s="30">
        <f t="shared" si="15"/>
        <v>62.5</v>
      </c>
      <c r="F344" s="12" t="str">
        <f>Absolute_Scores!F344</f>
        <v>@fideliachristina_</v>
      </c>
      <c r="G344" s="12" t="str">
        <f>Absolute_Scores!G344</f>
        <v>Instagram</v>
      </c>
      <c r="H344" s="29">
        <f>Absolute_Scores!I344</f>
        <v>51</v>
      </c>
      <c r="I344" s="30">
        <f t="shared" si="16"/>
        <v>63.75</v>
      </c>
      <c r="K344" s="12" t="str">
        <f>Absolute_Scores!K344</f>
        <v>@charisaafaith</v>
      </c>
      <c r="L344" s="12" t="str">
        <f>Absolute_Scores!L344</f>
        <v>Instagram</v>
      </c>
      <c r="M344" s="29">
        <f>Absolute_Scores!N344</f>
        <v>42</v>
      </c>
      <c r="N344" s="30">
        <f t="shared" si="17"/>
        <v>62.69</v>
      </c>
    </row>
    <row r="345" spans="1:14">
      <c r="A345" s="12" t="str">
        <f>Absolute_Scores!A345</f>
        <v>@explore.fajar</v>
      </c>
      <c r="B345" s="12" t="str">
        <f>Absolute_Scores!B345</f>
        <v>Instagram</v>
      </c>
      <c r="C345" s="29">
        <f>Absolute_Scores!D345</f>
        <v>50</v>
      </c>
      <c r="D345" s="30">
        <f t="shared" si="15"/>
        <v>62.5</v>
      </c>
      <c r="F345" s="12" t="str">
        <f>Absolute_Scores!F345</f>
        <v>@heybybs</v>
      </c>
      <c r="G345" s="12" t="str">
        <f>Absolute_Scores!G345</f>
        <v>TikTok</v>
      </c>
      <c r="H345" s="29">
        <f>Absolute_Scores!I345</f>
        <v>51</v>
      </c>
      <c r="I345" s="30">
        <f t="shared" si="16"/>
        <v>63.75</v>
      </c>
      <c r="K345" s="12" t="str">
        <f>Absolute_Scores!K345</f>
        <v>@dahliachr</v>
      </c>
      <c r="L345" s="12" t="str">
        <f>Absolute_Scores!L345</f>
        <v>Instagram</v>
      </c>
      <c r="M345" s="29">
        <f>Absolute_Scores!N345</f>
        <v>42</v>
      </c>
      <c r="N345" s="30">
        <f t="shared" si="17"/>
        <v>62.69</v>
      </c>
    </row>
    <row r="346" spans="1:14">
      <c r="A346" s="12" t="str">
        <f>Absolute_Scores!A346</f>
        <v>@fajarrusalem</v>
      </c>
      <c r="B346" s="12" t="str">
        <f>Absolute_Scores!B346</f>
        <v>Instagram</v>
      </c>
      <c r="C346" s="29">
        <f>Absolute_Scores!D346</f>
        <v>50</v>
      </c>
      <c r="D346" s="30">
        <f t="shared" si="15"/>
        <v>62.5</v>
      </c>
      <c r="F346" s="12" t="str">
        <f>Absolute_Scores!F346</f>
        <v>@jujudaisme</v>
      </c>
      <c r="G346" s="12" t="str">
        <f>Absolute_Scores!G346</f>
        <v>Instagram</v>
      </c>
      <c r="H346" s="29">
        <f>Absolute_Scores!I346</f>
        <v>51</v>
      </c>
      <c r="I346" s="30">
        <f t="shared" si="16"/>
        <v>63.75</v>
      </c>
      <c r="K346" s="12" t="str">
        <f>Absolute_Scores!K346</f>
        <v>@deviliviaa</v>
      </c>
      <c r="L346" s="12" t="str">
        <f>Absolute_Scores!L346</f>
        <v>TikTok</v>
      </c>
      <c r="M346" s="29">
        <f>Absolute_Scores!N346</f>
        <v>42</v>
      </c>
      <c r="N346" s="30">
        <f t="shared" si="17"/>
        <v>62.69</v>
      </c>
    </row>
    <row r="347" spans="1:14">
      <c r="A347" s="12" t="str">
        <f>Absolute_Scores!A347</f>
        <v>@faqih_hanna</v>
      </c>
      <c r="B347" s="12" t="str">
        <f>Absolute_Scores!B347</f>
        <v>Instagram</v>
      </c>
      <c r="C347" s="29">
        <f>Absolute_Scores!D347</f>
        <v>50</v>
      </c>
      <c r="D347" s="30">
        <f t="shared" si="15"/>
        <v>62.5</v>
      </c>
      <c r="F347" s="12" t="str">
        <f>Absolute_Scores!F347</f>
        <v>@mayanksarrii</v>
      </c>
      <c r="G347" s="12" t="str">
        <f>Absolute_Scores!G347</f>
        <v>Instagram</v>
      </c>
      <c r="H347" s="29">
        <f>Absolute_Scores!I347</f>
        <v>51</v>
      </c>
      <c r="I347" s="30">
        <f t="shared" si="16"/>
        <v>63.75</v>
      </c>
      <c r="K347" s="12" t="str">
        <f>Absolute_Scores!K347</f>
        <v>@dziyanabilaaa</v>
      </c>
      <c r="L347" s="12" t="str">
        <f>Absolute_Scores!L347</f>
        <v>TikTok</v>
      </c>
      <c r="M347" s="29">
        <f>Absolute_Scores!N347</f>
        <v>42</v>
      </c>
      <c r="N347" s="30">
        <f t="shared" si="17"/>
        <v>62.69</v>
      </c>
    </row>
    <row r="348" spans="1:14">
      <c r="A348" s="12" t="str">
        <f>Absolute_Scores!A348</f>
        <v>@farsiscaa</v>
      </c>
      <c r="B348" s="12" t="str">
        <f>Absolute_Scores!B348</f>
        <v>Instagram</v>
      </c>
      <c r="C348" s="29">
        <f>Absolute_Scores!D348</f>
        <v>50</v>
      </c>
      <c r="D348" s="30">
        <f t="shared" si="15"/>
        <v>62.5</v>
      </c>
      <c r="F348" s="12" t="str">
        <f>Absolute_Scores!F348</f>
        <v>@melysaha_</v>
      </c>
      <c r="G348" s="12" t="str">
        <f>Absolute_Scores!G348</f>
        <v>Instagram</v>
      </c>
      <c r="H348" s="29">
        <f>Absolute_Scores!I348</f>
        <v>51</v>
      </c>
      <c r="I348" s="30">
        <f t="shared" si="16"/>
        <v>63.75</v>
      </c>
      <c r="K348" s="12" t="str">
        <f>Absolute_Scores!K348</f>
        <v>@evevlynn09</v>
      </c>
      <c r="L348" s="12" t="str">
        <f>Absolute_Scores!L348</f>
        <v>TikTok</v>
      </c>
      <c r="M348" s="29">
        <f>Absolute_Scores!N348</f>
        <v>42</v>
      </c>
      <c r="N348" s="30">
        <f t="shared" si="17"/>
        <v>62.69</v>
      </c>
    </row>
    <row r="349" spans="1:14">
      <c r="A349" s="12" t="str">
        <f>Absolute_Scores!A349</f>
        <v>@febbych_</v>
      </c>
      <c r="B349" s="12" t="str">
        <f>Absolute_Scores!B349</f>
        <v>Instagram</v>
      </c>
      <c r="C349" s="29">
        <f>Absolute_Scores!D349</f>
        <v>50</v>
      </c>
      <c r="D349" s="30">
        <f t="shared" si="15"/>
        <v>62.5</v>
      </c>
      <c r="F349" s="12" t="str">
        <f>Absolute_Scores!F349</f>
        <v>@mommylony</v>
      </c>
      <c r="G349" s="12" t="str">
        <f>Absolute_Scores!G349</f>
        <v>Instagram</v>
      </c>
      <c r="H349" s="29">
        <f>Absolute_Scores!I349</f>
        <v>51</v>
      </c>
      <c r="I349" s="30">
        <f t="shared" si="16"/>
        <v>63.75</v>
      </c>
      <c r="K349" s="12" t="str">
        <f>Absolute_Scores!K349</f>
        <v>@fannyghassani</v>
      </c>
      <c r="L349" s="12" t="str">
        <f>Absolute_Scores!L349</f>
        <v>Instagram</v>
      </c>
      <c r="M349" s="29">
        <f>Absolute_Scores!N349</f>
        <v>42</v>
      </c>
      <c r="N349" s="30">
        <f t="shared" si="17"/>
        <v>62.69</v>
      </c>
    </row>
    <row r="350" spans="1:14">
      <c r="A350" s="12" t="str">
        <f>Absolute_Scores!A350</f>
        <v>@febrianagnes</v>
      </c>
      <c r="B350" s="12" t="str">
        <f>Absolute_Scores!B350</f>
        <v>Instagram</v>
      </c>
      <c r="C350" s="29">
        <f>Absolute_Scores!D350</f>
        <v>50</v>
      </c>
      <c r="D350" s="30">
        <f t="shared" si="15"/>
        <v>62.5</v>
      </c>
      <c r="F350" s="12" t="str">
        <f>Absolute_Scores!F350</f>
        <v>@nadhieraa</v>
      </c>
      <c r="G350" s="12" t="str">
        <f>Absolute_Scores!G350</f>
        <v>Instagram</v>
      </c>
      <c r="H350" s="29">
        <f>Absolute_Scores!I350</f>
        <v>51</v>
      </c>
      <c r="I350" s="30">
        <f t="shared" si="16"/>
        <v>63.75</v>
      </c>
      <c r="K350" s="12" t="str">
        <f>Absolute_Scores!K350</f>
        <v>@faqih.dh</v>
      </c>
      <c r="L350" s="12" t="str">
        <f>Absolute_Scores!L350</f>
        <v>Instagram</v>
      </c>
      <c r="M350" s="29">
        <f>Absolute_Scores!N350</f>
        <v>42</v>
      </c>
      <c r="N350" s="30">
        <f t="shared" si="17"/>
        <v>62.69</v>
      </c>
    </row>
    <row r="351" spans="1:14">
      <c r="A351" s="12" t="str">
        <f>Absolute_Scores!A351</f>
        <v>@febryyantibayni_oria</v>
      </c>
      <c r="B351" s="12" t="str">
        <f>Absolute_Scores!B351</f>
        <v>Instagram</v>
      </c>
      <c r="C351" s="29">
        <f>Absolute_Scores!D351</f>
        <v>50</v>
      </c>
      <c r="D351" s="30">
        <f t="shared" si="15"/>
        <v>62.5</v>
      </c>
      <c r="F351" s="12" t="str">
        <f>Absolute_Scores!F351</f>
        <v>@queenpink2818</v>
      </c>
      <c r="G351" s="12" t="str">
        <f>Absolute_Scores!G351</f>
        <v>Instagram</v>
      </c>
      <c r="H351" s="29">
        <f>Absolute_Scores!I351</f>
        <v>51</v>
      </c>
      <c r="I351" s="30">
        <f t="shared" si="16"/>
        <v>63.75</v>
      </c>
      <c r="K351" s="12" t="str">
        <f>Absolute_Scores!K351</f>
        <v>@farislovitasari</v>
      </c>
      <c r="L351" s="12" t="str">
        <f>Absolute_Scores!L351</f>
        <v>Instagram</v>
      </c>
      <c r="M351" s="29">
        <f>Absolute_Scores!N351</f>
        <v>42</v>
      </c>
      <c r="N351" s="30">
        <f t="shared" si="17"/>
        <v>62.69</v>
      </c>
    </row>
    <row r="352" spans="1:14">
      <c r="A352" s="12" t="str">
        <f>Absolute_Scores!A352</f>
        <v>@febylasmia_ma</v>
      </c>
      <c r="B352" s="12" t="str">
        <f>Absolute_Scores!B352</f>
        <v>Instagram</v>
      </c>
      <c r="C352" s="29">
        <f>Absolute_Scores!D352</f>
        <v>50</v>
      </c>
      <c r="D352" s="30">
        <f t="shared" si="15"/>
        <v>62.5</v>
      </c>
      <c r="F352" s="12" t="str">
        <f>Absolute_Scores!F352</f>
        <v>@revialdooo</v>
      </c>
      <c r="G352" s="12" t="str">
        <f>Absolute_Scores!G352</f>
        <v>Instagram</v>
      </c>
      <c r="H352" s="29">
        <f>Absolute_Scores!I352</f>
        <v>51</v>
      </c>
      <c r="I352" s="30">
        <f t="shared" si="16"/>
        <v>63.75</v>
      </c>
      <c r="K352" s="12" t="str">
        <f>Absolute_Scores!K352</f>
        <v>@gabriellaglady</v>
      </c>
      <c r="L352" s="12" t="str">
        <f>Absolute_Scores!L352</f>
        <v>Instagram</v>
      </c>
      <c r="M352" s="29">
        <f>Absolute_Scores!N352</f>
        <v>42</v>
      </c>
      <c r="N352" s="30">
        <f t="shared" si="17"/>
        <v>62.69</v>
      </c>
    </row>
    <row r="353" spans="1:14">
      <c r="A353" s="12" t="str">
        <f>Absolute_Scores!A353</f>
        <v>@fenyrosdiana</v>
      </c>
      <c r="B353" s="12" t="str">
        <f>Absolute_Scores!B353</f>
        <v>Instagram</v>
      </c>
      <c r="C353" s="29">
        <f>Absolute_Scores!D353</f>
        <v>50</v>
      </c>
      <c r="D353" s="30">
        <f t="shared" si="15"/>
        <v>62.5</v>
      </c>
      <c r="F353" s="12" t="str">
        <f>Absolute_Scores!F353</f>
        <v>@riaprnmasr</v>
      </c>
      <c r="G353" s="12" t="str">
        <f>Absolute_Scores!G353</f>
        <v>Instagram</v>
      </c>
      <c r="H353" s="29">
        <f>Absolute_Scores!I353</f>
        <v>51</v>
      </c>
      <c r="I353" s="30">
        <f t="shared" si="16"/>
        <v>63.75</v>
      </c>
      <c r="K353" s="12" t="str">
        <f>Absolute_Scores!K353</f>
        <v>@inungw12</v>
      </c>
      <c r="L353" s="12" t="str">
        <f>Absolute_Scores!L353</f>
        <v>TikTok</v>
      </c>
      <c r="M353" s="29">
        <f>Absolute_Scores!N353</f>
        <v>42</v>
      </c>
      <c r="N353" s="30">
        <f t="shared" si="17"/>
        <v>62.69</v>
      </c>
    </row>
    <row r="354" spans="1:14">
      <c r="A354" s="12" t="str">
        <f>Absolute_Scores!A354</f>
        <v>@fernando_wijaya_</v>
      </c>
      <c r="B354" s="12" t="str">
        <f>Absolute_Scores!B354</f>
        <v>Instagram</v>
      </c>
      <c r="C354" s="29">
        <f>Absolute_Scores!D354</f>
        <v>50</v>
      </c>
      <c r="D354" s="30">
        <f t="shared" si="15"/>
        <v>62.5</v>
      </c>
      <c r="F354" s="12" t="str">
        <f>Absolute_Scores!F354</f>
        <v>@sharoncb_</v>
      </c>
      <c r="G354" s="12" t="str">
        <f>Absolute_Scores!G354</f>
        <v>Instagram</v>
      </c>
      <c r="H354" s="29">
        <f>Absolute_Scores!I354</f>
        <v>51</v>
      </c>
      <c r="I354" s="30">
        <f t="shared" si="16"/>
        <v>63.75</v>
      </c>
      <c r="K354" s="12" t="str">
        <f>Absolute_Scores!K354</f>
        <v>@iwanbanaranblog</v>
      </c>
      <c r="L354" s="12" t="str">
        <f>Absolute_Scores!L354</f>
        <v>Instagram</v>
      </c>
      <c r="M354" s="29">
        <f>Absolute_Scores!N354</f>
        <v>42</v>
      </c>
      <c r="N354" s="30">
        <f t="shared" si="17"/>
        <v>62.69</v>
      </c>
    </row>
    <row r="355" spans="1:14">
      <c r="A355" s="12" t="str">
        <f>Absolute_Scores!A355</f>
        <v>@fiavidri05</v>
      </c>
      <c r="B355" s="12" t="str">
        <f>Absolute_Scores!B355</f>
        <v>Instagram</v>
      </c>
      <c r="C355" s="29">
        <f>Absolute_Scores!D355</f>
        <v>50</v>
      </c>
      <c r="D355" s="30">
        <f t="shared" si="15"/>
        <v>62.5</v>
      </c>
      <c r="F355" s="12" t="str">
        <f>Absolute_Scores!F355</f>
        <v>@sopiyamn</v>
      </c>
      <c r="G355" s="12" t="str">
        <f>Absolute_Scores!G355</f>
        <v>Instagram</v>
      </c>
      <c r="H355" s="29">
        <f>Absolute_Scores!I355</f>
        <v>51</v>
      </c>
      <c r="I355" s="30">
        <f t="shared" si="16"/>
        <v>63.75</v>
      </c>
      <c r="K355" s="12" t="str">
        <f>Absolute_Scores!K355</f>
        <v>@jakartabarat24jam</v>
      </c>
      <c r="L355" s="12" t="str">
        <f>Absolute_Scores!L355</f>
        <v>Instagram</v>
      </c>
      <c r="M355" s="29">
        <f>Absolute_Scores!N355</f>
        <v>42</v>
      </c>
      <c r="N355" s="30">
        <f t="shared" si="17"/>
        <v>62.69</v>
      </c>
    </row>
    <row r="356" spans="1:14">
      <c r="A356" s="12" t="str">
        <f>Absolute_Scores!A356</f>
        <v>@fiezhanis</v>
      </c>
      <c r="B356" s="12" t="str">
        <f>Absolute_Scores!B356</f>
        <v>Instagram</v>
      </c>
      <c r="C356" s="29">
        <f>Absolute_Scores!D356</f>
        <v>50</v>
      </c>
      <c r="D356" s="30">
        <f t="shared" si="15"/>
        <v>62.5</v>
      </c>
      <c r="F356" s="12" t="str">
        <f>Absolute_Scores!F356</f>
        <v>@syakirdaulay</v>
      </c>
      <c r="G356" s="12" t="str">
        <f>Absolute_Scores!G356</f>
        <v>Instagram</v>
      </c>
      <c r="H356" s="29">
        <f>Absolute_Scores!I356</f>
        <v>51</v>
      </c>
      <c r="I356" s="30">
        <f t="shared" si="16"/>
        <v>63.75</v>
      </c>
      <c r="K356" s="12" t="str">
        <f>Absolute_Scores!K356</f>
        <v>@juniarayutl</v>
      </c>
      <c r="L356" s="12" t="str">
        <f>Absolute_Scores!L356</f>
        <v>Instagram</v>
      </c>
      <c r="M356" s="29">
        <f>Absolute_Scores!N356</f>
        <v>42</v>
      </c>
      <c r="N356" s="30">
        <f t="shared" si="17"/>
        <v>62.69</v>
      </c>
    </row>
    <row r="357" spans="1:14">
      <c r="A357" s="12" t="str">
        <f>Absolute_Scores!A357</f>
        <v>@fina_nst21</v>
      </c>
      <c r="B357" s="12" t="str">
        <f>Absolute_Scores!B357</f>
        <v>Instagram</v>
      </c>
      <c r="C357" s="29">
        <f>Absolute_Scores!D357</f>
        <v>50</v>
      </c>
      <c r="D357" s="30">
        <f t="shared" si="15"/>
        <v>62.5</v>
      </c>
      <c r="F357" s="12" t="str">
        <f>Absolute_Scores!F357</f>
        <v>@tanameracoffee</v>
      </c>
      <c r="G357" s="12" t="str">
        <f>Absolute_Scores!G357</f>
        <v>Instagram</v>
      </c>
      <c r="H357" s="29">
        <f>Absolute_Scores!I357</f>
        <v>51</v>
      </c>
      <c r="I357" s="30">
        <f t="shared" si="16"/>
        <v>63.75</v>
      </c>
      <c r="K357" s="12" t="str">
        <f>Absolute_Scores!K357</f>
        <v>@karinadila8921</v>
      </c>
      <c r="L357" s="12" t="str">
        <f>Absolute_Scores!L357</f>
        <v>Instagram</v>
      </c>
      <c r="M357" s="29">
        <f>Absolute_Scores!N357</f>
        <v>42</v>
      </c>
      <c r="N357" s="30">
        <f t="shared" si="17"/>
        <v>62.69</v>
      </c>
    </row>
    <row r="358" spans="1:14">
      <c r="A358" s="12" t="str">
        <f>Absolute_Scores!A358</f>
        <v>@fiocelesta</v>
      </c>
      <c r="B358" s="12" t="str">
        <f>Absolute_Scores!B358</f>
        <v>Instagram</v>
      </c>
      <c r="C358" s="29">
        <f>Absolute_Scores!D358</f>
        <v>50</v>
      </c>
      <c r="D358" s="30">
        <f t="shared" si="15"/>
        <v>62.5</v>
      </c>
      <c r="F358" s="12" t="str">
        <f>Absolute_Scores!F358</f>
        <v>@titantyra</v>
      </c>
      <c r="G358" s="12" t="str">
        <f>Absolute_Scores!G358</f>
        <v>Instagram</v>
      </c>
      <c r="H358" s="29">
        <f>Absolute_Scores!I358</f>
        <v>51</v>
      </c>
      <c r="I358" s="30">
        <f t="shared" si="16"/>
        <v>63.75</v>
      </c>
      <c r="K358" s="12" t="str">
        <f>Absolute_Scores!K358</f>
        <v>@kikysaputrii</v>
      </c>
      <c r="L358" s="12" t="str">
        <f>Absolute_Scores!L358</f>
        <v>Instagram</v>
      </c>
      <c r="M358" s="29">
        <f>Absolute_Scores!N358</f>
        <v>42</v>
      </c>
      <c r="N358" s="30">
        <f t="shared" si="17"/>
        <v>62.69</v>
      </c>
    </row>
    <row r="359" spans="1:14">
      <c r="A359" s="12" t="str">
        <f>Absolute_Scores!A359</f>
        <v>@fitraama</v>
      </c>
      <c r="B359" s="12" t="str">
        <f>Absolute_Scores!B359</f>
        <v>Instagram</v>
      </c>
      <c r="C359" s="29">
        <f>Absolute_Scores!D359</f>
        <v>50</v>
      </c>
      <c r="D359" s="30">
        <f t="shared" si="15"/>
        <v>62.5</v>
      </c>
      <c r="F359" s="12" t="str">
        <f>Absolute_Scores!F359</f>
        <v>@tristatristar</v>
      </c>
      <c r="G359" s="12" t="str">
        <f>Absolute_Scores!G359</f>
        <v>Instagram</v>
      </c>
      <c r="H359" s="29">
        <f>Absolute_Scores!I359</f>
        <v>51</v>
      </c>
      <c r="I359" s="30">
        <f t="shared" si="16"/>
        <v>63.75</v>
      </c>
      <c r="K359" s="12" t="str">
        <f>Absolute_Scores!K359</f>
        <v>@kiyoe.shima</v>
      </c>
      <c r="L359" s="12" t="str">
        <f>Absolute_Scores!L359</f>
        <v>TikTok</v>
      </c>
      <c r="M359" s="29">
        <f>Absolute_Scores!N359</f>
        <v>42</v>
      </c>
      <c r="N359" s="30">
        <f t="shared" si="17"/>
        <v>62.69</v>
      </c>
    </row>
    <row r="360" spans="1:14">
      <c r="A360" s="12" t="str">
        <f>Absolute_Scores!A360</f>
        <v>@fitriah_93</v>
      </c>
      <c r="B360" s="12" t="str">
        <f>Absolute_Scores!B360</f>
        <v>Instagram</v>
      </c>
      <c r="C360" s="29">
        <f>Absolute_Scores!D360</f>
        <v>50</v>
      </c>
      <c r="D360" s="30">
        <f t="shared" si="15"/>
        <v>62.5</v>
      </c>
      <c r="F360" s="12" t="str">
        <f>Absolute_Scores!F360</f>
        <v>@ussfeeds</v>
      </c>
      <c r="G360" s="12" t="str">
        <f>Absolute_Scores!G360</f>
        <v>Instagram</v>
      </c>
      <c r="H360" s="29">
        <f>Absolute_Scores!I360</f>
        <v>51</v>
      </c>
      <c r="I360" s="30">
        <f t="shared" si="16"/>
        <v>63.75</v>
      </c>
      <c r="K360" s="12" t="str">
        <f>Absolute_Scores!K360</f>
        <v>@kristianita_dian</v>
      </c>
      <c r="L360" s="12" t="str">
        <f>Absolute_Scores!L360</f>
        <v>Instagram</v>
      </c>
      <c r="M360" s="29">
        <f>Absolute_Scores!N360</f>
        <v>42</v>
      </c>
      <c r="N360" s="30">
        <f t="shared" si="17"/>
        <v>62.69</v>
      </c>
    </row>
    <row r="361" spans="1:14">
      <c r="A361" s="12" t="str">
        <f>Absolute_Scores!A361</f>
        <v>@fritaargaf</v>
      </c>
      <c r="B361" s="12" t="str">
        <f>Absolute_Scores!B361</f>
        <v>Instagram</v>
      </c>
      <c r="C361" s="29">
        <f>Absolute_Scores!D361</f>
        <v>50</v>
      </c>
      <c r="D361" s="30">
        <f t="shared" si="15"/>
        <v>62.5</v>
      </c>
      <c r="F361" s="12" t="str">
        <f>Absolute_Scores!F361</f>
        <v>@zeezaharaputri</v>
      </c>
      <c r="G361" s="12" t="str">
        <f>Absolute_Scores!G361</f>
        <v>Instagram</v>
      </c>
      <c r="H361" s="29">
        <f>Absolute_Scores!I361</f>
        <v>51</v>
      </c>
      <c r="I361" s="30">
        <f t="shared" si="16"/>
        <v>63.75</v>
      </c>
      <c r="K361" s="12" t="str">
        <f>Absolute_Scores!K361</f>
        <v>@leoafandi_</v>
      </c>
      <c r="L361" s="12" t="str">
        <f>Absolute_Scores!L361</f>
        <v>Instagram</v>
      </c>
      <c r="M361" s="29">
        <f>Absolute_Scores!N361</f>
        <v>42</v>
      </c>
      <c r="N361" s="30">
        <f t="shared" si="17"/>
        <v>62.69</v>
      </c>
    </row>
    <row r="362" spans="1:14">
      <c r="A362" s="12" t="str">
        <f>Absolute_Scores!A362</f>
        <v>@ftriy</v>
      </c>
      <c r="B362" s="12" t="str">
        <f>Absolute_Scores!B362</f>
        <v>Instagram</v>
      </c>
      <c r="C362" s="29">
        <f>Absolute_Scores!D362</f>
        <v>50</v>
      </c>
      <c r="D362" s="30">
        <f t="shared" si="15"/>
        <v>62.5</v>
      </c>
      <c r="F362" s="12" t="str">
        <f>Absolute_Scores!F362</f>
        <v>@____xsan</v>
      </c>
      <c r="G362" s="12" t="str">
        <f>Absolute_Scores!G362</f>
        <v>TikTok</v>
      </c>
      <c r="H362" s="29">
        <f>Absolute_Scores!I362</f>
        <v>50</v>
      </c>
      <c r="I362" s="30">
        <f t="shared" si="16"/>
        <v>62.5</v>
      </c>
      <c r="K362" s="12" t="str">
        <f>Absolute_Scores!K362</f>
        <v>@margenie_mg</v>
      </c>
      <c r="L362" s="12" t="str">
        <f>Absolute_Scores!L362</f>
        <v>Instagram</v>
      </c>
      <c r="M362" s="29">
        <f>Absolute_Scores!N362</f>
        <v>42</v>
      </c>
      <c r="N362" s="30">
        <f t="shared" si="17"/>
        <v>62.69</v>
      </c>
    </row>
    <row r="363" spans="1:14">
      <c r="A363" s="12" t="str">
        <f>Absolute_Scores!A363</f>
        <v>@fujiiraaaa</v>
      </c>
      <c r="B363" s="12" t="str">
        <f>Absolute_Scores!B363</f>
        <v>Instagram</v>
      </c>
      <c r="C363" s="29">
        <f>Absolute_Scores!D363</f>
        <v>50</v>
      </c>
      <c r="D363" s="30">
        <f t="shared" si="15"/>
        <v>62.5</v>
      </c>
      <c r="F363" s="12" t="str">
        <f>Absolute_Scores!F363</f>
        <v>@__ditamal</v>
      </c>
      <c r="G363" s="12" t="str">
        <f>Absolute_Scores!G363</f>
        <v>Instagram</v>
      </c>
      <c r="H363" s="29">
        <f>Absolute_Scores!I363</f>
        <v>50</v>
      </c>
      <c r="I363" s="30">
        <f t="shared" si="16"/>
        <v>62.5</v>
      </c>
      <c r="K363" s="12" t="str">
        <f>Absolute_Scores!K363</f>
        <v>@melysaha_</v>
      </c>
      <c r="L363" s="12" t="str">
        <f>Absolute_Scores!L363</f>
        <v>Instagram</v>
      </c>
      <c r="M363" s="29">
        <f>Absolute_Scores!N363</f>
        <v>42</v>
      </c>
      <c r="N363" s="30">
        <f t="shared" si="17"/>
        <v>62.69</v>
      </c>
    </row>
    <row r="364" spans="1:14">
      <c r="A364" s="12" t="str">
        <f>Absolute_Scores!A364</f>
        <v>@g.millenia</v>
      </c>
      <c r="B364" s="12" t="str">
        <f>Absolute_Scores!B364</f>
        <v>Instagram</v>
      </c>
      <c r="C364" s="29">
        <f>Absolute_Scores!D364</f>
        <v>50</v>
      </c>
      <c r="D364" s="30">
        <f t="shared" si="15"/>
        <v>62.5</v>
      </c>
      <c r="F364" s="12" t="str">
        <f>Absolute_Scores!F364</f>
        <v>@__your.bby</v>
      </c>
      <c r="G364" s="12" t="str">
        <f>Absolute_Scores!G364</f>
        <v>TikTok</v>
      </c>
      <c r="H364" s="29">
        <f>Absolute_Scores!I364</f>
        <v>50</v>
      </c>
      <c r="I364" s="30">
        <f t="shared" si="16"/>
        <v>62.5</v>
      </c>
      <c r="K364" s="12" t="str">
        <f>Absolute_Scores!K364</f>
        <v>@momdhifa.mia</v>
      </c>
      <c r="L364" s="12" t="str">
        <f>Absolute_Scores!L364</f>
        <v>Instagram</v>
      </c>
      <c r="M364" s="29">
        <f>Absolute_Scores!N364</f>
        <v>42</v>
      </c>
      <c r="N364" s="30">
        <f t="shared" si="17"/>
        <v>62.69</v>
      </c>
    </row>
    <row r="365" spans="1:14">
      <c r="A365" s="12" t="str">
        <f>Absolute_Scores!A365</f>
        <v>@gianfyi</v>
      </c>
      <c r="B365" s="12" t="str">
        <f>Absolute_Scores!B365</f>
        <v>Instagram</v>
      </c>
      <c r="C365" s="29">
        <f>Absolute_Scores!D365</f>
        <v>50</v>
      </c>
      <c r="D365" s="30">
        <f t="shared" si="15"/>
        <v>62.5</v>
      </c>
      <c r="F365" s="12" t="str">
        <f>Absolute_Scores!F365</f>
        <v>@_avdaa</v>
      </c>
      <c r="G365" s="12" t="str">
        <f>Absolute_Scores!G365</f>
        <v>TikTok</v>
      </c>
      <c r="H365" s="29">
        <f>Absolute_Scores!I365</f>
        <v>50</v>
      </c>
      <c r="I365" s="30">
        <f t="shared" si="16"/>
        <v>62.5</v>
      </c>
      <c r="K365" s="12" t="str">
        <f>Absolute_Scores!K365</f>
        <v>@motomobitv</v>
      </c>
      <c r="L365" s="12" t="str">
        <f>Absolute_Scores!L365</f>
        <v>Instagram</v>
      </c>
      <c r="M365" s="29">
        <f>Absolute_Scores!N365</f>
        <v>42</v>
      </c>
      <c r="N365" s="30">
        <f t="shared" si="17"/>
        <v>62.69</v>
      </c>
    </row>
    <row r="366" spans="1:14">
      <c r="A366" s="12" t="str">
        <f>Absolute_Scores!A366</f>
        <v>@gisyacha</v>
      </c>
      <c r="B366" s="12" t="str">
        <f>Absolute_Scores!B366</f>
        <v>Instagram</v>
      </c>
      <c r="C366" s="29">
        <f>Absolute_Scores!D366</f>
        <v>50</v>
      </c>
      <c r="D366" s="30">
        <f t="shared" si="15"/>
        <v>62.5</v>
      </c>
      <c r="F366" s="12" t="str">
        <f>Absolute_Scores!F366</f>
        <v>@_bangbrewok</v>
      </c>
      <c r="G366" s="12" t="str">
        <f>Absolute_Scores!G366</f>
        <v>TikTok</v>
      </c>
      <c r="H366" s="29">
        <f>Absolute_Scores!I366</f>
        <v>50</v>
      </c>
      <c r="I366" s="30">
        <f t="shared" si="16"/>
        <v>62.5</v>
      </c>
      <c r="K366" s="12" t="str">
        <f>Absolute_Scores!K366</f>
        <v>@mudaberumahtangga</v>
      </c>
      <c r="L366" s="12" t="str">
        <f>Absolute_Scores!L366</f>
        <v>TikTok</v>
      </c>
      <c r="M366" s="29">
        <f>Absolute_Scores!N366</f>
        <v>42</v>
      </c>
      <c r="N366" s="30">
        <f t="shared" si="17"/>
        <v>62.69</v>
      </c>
    </row>
    <row r="367" spans="1:14">
      <c r="A367" s="12" t="str">
        <f>Absolute_Scores!A367</f>
        <v>@gongzhuofficial</v>
      </c>
      <c r="B367" s="12" t="str">
        <f>Absolute_Scores!B367</f>
        <v>Instagram</v>
      </c>
      <c r="C367" s="29">
        <f>Absolute_Scores!D367</f>
        <v>50</v>
      </c>
      <c r="D367" s="30">
        <f t="shared" si="15"/>
        <v>62.5</v>
      </c>
      <c r="F367" s="12" t="str">
        <f>Absolute_Scores!F367</f>
        <v>@_ciya_0</v>
      </c>
      <c r="G367" s="12" t="str">
        <f>Absolute_Scores!G367</f>
        <v>Instagram</v>
      </c>
      <c r="H367" s="29">
        <f>Absolute_Scores!I367</f>
        <v>50</v>
      </c>
      <c r="I367" s="30">
        <f t="shared" si="16"/>
        <v>62.5</v>
      </c>
      <c r="K367" s="12" t="str">
        <f>Absolute_Scores!K367</f>
        <v>@mursyidzon</v>
      </c>
      <c r="L367" s="12" t="str">
        <f>Absolute_Scores!L367</f>
        <v>Instagram</v>
      </c>
      <c r="M367" s="29">
        <f>Absolute_Scores!N367</f>
        <v>42</v>
      </c>
      <c r="N367" s="30">
        <f t="shared" si="17"/>
        <v>62.69</v>
      </c>
    </row>
    <row r="368" spans="1:14">
      <c r="A368" s="12" t="str">
        <f>Absolute_Scores!A368</f>
        <v>@h_fitria30</v>
      </c>
      <c r="B368" s="12" t="str">
        <f>Absolute_Scores!B368</f>
        <v>Instagram</v>
      </c>
      <c r="C368" s="29">
        <f>Absolute_Scores!D368</f>
        <v>50</v>
      </c>
      <c r="D368" s="30">
        <f t="shared" si="15"/>
        <v>62.5</v>
      </c>
      <c r="F368" s="12" t="str">
        <f>Absolute_Scores!F368</f>
        <v>@_cynthiacfp</v>
      </c>
      <c r="G368" s="12" t="str">
        <f>Absolute_Scores!G368</f>
        <v>TikTok</v>
      </c>
      <c r="H368" s="29">
        <f>Absolute_Scores!I368</f>
        <v>50</v>
      </c>
      <c r="I368" s="30">
        <f t="shared" si="16"/>
        <v>62.5</v>
      </c>
      <c r="K368" s="12" t="str">
        <f>Absolute_Scores!K368</f>
        <v>@naylarazisky</v>
      </c>
      <c r="L368" s="12" t="str">
        <f>Absolute_Scores!L368</f>
        <v>TikTok</v>
      </c>
      <c r="M368" s="29">
        <f>Absolute_Scores!N368</f>
        <v>42</v>
      </c>
      <c r="N368" s="30">
        <f t="shared" si="17"/>
        <v>62.69</v>
      </c>
    </row>
    <row r="369" spans="1:14">
      <c r="A369" s="12" t="str">
        <f>Absolute_Scores!A369</f>
        <v>@haiiyullya</v>
      </c>
      <c r="B369" s="12" t="str">
        <f>Absolute_Scores!B369</f>
        <v>Instagram</v>
      </c>
      <c r="C369" s="29">
        <f>Absolute_Scores!D369</f>
        <v>50</v>
      </c>
      <c r="D369" s="30">
        <f t="shared" si="15"/>
        <v>62.5</v>
      </c>
      <c r="F369" s="12" t="str">
        <f>Absolute_Scores!F369</f>
        <v>@_davinaputri10</v>
      </c>
      <c r="G369" s="12" t="str">
        <f>Absolute_Scores!G369</f>
        <v>TikTok</v>
      </c>
      <c r="H369" s="29">
        <f>Absolute_Scores!I369</f>
        <v>50</v>
      </c>
      <c r="I369" s="30">
        <f t="shared" si="16"/>
        <v>62.5</v>
      </c>
      <c r="K369" s="12" t="str">
        <f>Absolute_Scores!K369</f>
        <v>@piekisses2</v>
      </c>
      <c r="L369" s="12" t="str">
        <f>Absolute_Scores!L369</f>
        <v>TikTok</v>
      </c>
      <c r="M369" s="29">
        <f>Absolute_Scores!N369</f>
        <v>42</v>
      </c>
      <c r="N369" s="30">
        <f t="shared" si="17"/>
        <v>62.69</v>
      </c>
    </row>
    <row r="370" spans="1:14">
      <c r="A370" s="12" t="str">
        <f>Absolute_Scores!A370</f>
        <v>@hallowulandari</v>
      </c>
      <c r="B370" s="12" t="str">
        <f>Absolute_Scores!B370</f>
        <v>Instagram</v>
      </c>
      <c r="C370" s="29">
        <f>Absolute_Scores!D370</f>
        <v>50</v>
      </c>
      <c r="D370" s="30">
        <f t="shared" si="15"/>
        <v>62.5</v>
      </c>
      <c r="F370" s="12" t="str">
        <f>Absolute_Scores!F370</f>
        <v>@_deamonica</v>
      </c>
      <c r="G370" s="12" t="str">
        <f>Absolute_Scores!G370</f>
        <v>Instagram</v>
      </c>
      <c r="H370" s="29">
        <f>Absolute_Scores!I370</f>
        <v>50</v>
      </c>
      <c r="I370" s="30">
        <f t="shared" si="16"/>
        <v>62.5</v>
      </c>
      <c r="K370" s="12" t="str">
        <f>Absolute_Scores!K370</f>
        <v>@pipirasabakpao</v>
      </c>
      <c r="L370" s="12" t="str">
        <f>Absolute_Scores!L370</f>
        <v>TikTok</v>
      </c>
      <c r="M370" s="29">
        <f>Absolute_Scores!N370</f>
        <v>42</v>
      </c>
      <c r="N370" s="30">
        <f t="shared" si="17"/>
        <v>62.69</v>
      </c>
    </row>
    <row r="371" spans="1:14">
      <c r="A371" s="12" t="str">
        <f>Absolute_Scores!A371</f>
        <v>@hannaevilia</v>
      </c>
      <c r="B371" s="12" t="str">
        <f>Absolute_Scores!B371</f>
        <v>Instagram</v>
      </c>
      <c r="C371" s="29">
        <f>Absolute_Scores!D371</f>
        <v>50</v>
      </c>
      <c r="D371" s="30">
        <f t="shared" si="15"/>
        <v>62.5</v>
      </c>
      <c r="F371" s="12" t="str">
        <f>Absolute_Scores!F371</f>
        <v>@_ekawulandarii</v>
      </c>
      <c r="G371" s="12" t="str">
        <f>Absolute_Scores!G371</f>
        <v>Instagram</v>
      </c>
      <c r="H371" s="29">
        <f>Absolute_Scores!I371</f>
        <v>50</v>
      </c>
      <c r="I371" s="30">
        <f t="shared" si="16"/>
        <v>62.5</v>
      </c>
      <c r="K371" s="12" t="str">
        <f>Absolute_Scores!K371</f>
        <v>@pwgofficial</v>
      </c>
      <c r="L371" s="12" t="str">
        <f>Absolute_Scores!L371</f>
        <v>Instagram</v>
      </c>
      <c r="M371" s="29">
        <f>Absolute_Scores!N371</f>
        <v>42</v>
      </c>
      <c r="N371" s="30">
        <f t="shared" si="17"/>
        <v>62.69</v>
      </c>
    </row>
    <row r="372" spans="1:14">
      <c r="A372" s="12" t="str">
        <f>Absolute_Scores!A372</f>
        <v>@heiina_</v>
      </c>
      <c r="B372" s="12" t="str">
        <f>Absolute_Scores!B372</f>
        <v>Instagram</v>
      </c>
      <c r="C372" s="29">
        <f>Absolute_Scores!D372</f>
        <v>50</v>
      </c>
      <c r="D372" s="30">
        <f t="shared" si="15"/>
        <v>62.5</v>
      </c>
      <c r="F372" s="12" t="str">
        <f>Absolute_Scores!F372</f>
        <v>@_jessicaayu</v>
      </c>
      <c r="G372" s="12" t="str">
        <f>Absolute_Scores!G372</f>
        <v>Instagram</v>
      </c>
      <c r="H372" s="29">
        <f>Absolute_Scores!I372</f>
        <v>50</v>
      </c>
      <c r="I372" s="30">
        <f t="shared" si="16"/>
        <v>62.5</v>
      </c>
      <c r="K372" s="12" t="str">
        <f>Absolute_Scores!K372</f>
        <v>@racuncouple</v>
      </c>
      <c r="L372" s="12" t="str">
        <f>Absolute_Scores!L372</f>
        <v>TikTok</v>
      </c>
      <c r="M372" s="29">
        <f>Absolute_Scores!N372</f>
        <v>42</v>
      </c>
      <c r="N372" s="30">
        <f t="shared" si="17"/>
        <v>62.69</v>
      </c>
    </row>
    <row r="373" spans="1:14">
      <c r="A373" s="12" t="str">
        <f>Absolute_Scores!A373</f>
        <v>@helenind</v>
      </c>
      <c r="B373" s="12" t="str">
        <f>Absolute_Scores!B373</f>
        <v>Instagram</v>
      </c>
      <c r="C373" s="29">
        <f>Absolute_Scores!D373</f>
        <v>50</v>
      </c>
      <c r="D373" s="30">
        <f t="shared" si="15"/>
        <v>62.5</v>
      </c>
      <c r="F373" s="12" t="str">
        <f>Absolute_Scores!F373</f>
        <v>@_little.ail</v>
      </c>
      <c r="G373" s="12" t="str">
        <f>Absolute_Scores!G373</f>
        <v>Instagram</v>
      </c>
      <c r="H373" s="29">
        <f>Absolute_Scores!I373</f>
        <v>50</v>
      </c>
      <c r="I373" s="30">
        <f t="shared" si="16"/>
        <v>62.5</v>
      </c>
      <c r="K373" s="12" t="str">
        <f>Absolute_Scores!K373</f>
        <v>@rayanurfitrird</v>
      </c>
      <c r="L373" s="12" t="str">
        <f>Absolute_Scores!L373</f>
        <v>Instagram</v>
      </c>
      <c r="M373" s="29">
        <f>Absolute_Scores!N373</f>
        <v>42</v>
      </c>
      <c r="N373" s="30">
        <f t="shared" si="17"/>
        <v>62.69</v>
      </c>
    </row>
    <row r="374" spans="1:14">
      <c r="A374" s="12" t="str">
        <f>Absolute_Scores!A374</f>
        <v>@heni_nino</v>
      </c>
      <c r="B374" s="12" t="str">
        <f>Absolute_Scores!B374</f>
        <v>Instagram</v>
      </c>
      <c r="C374" s="29">
        <f>Absolute_Scores!D374</f>
        <v>50</v>
      </c>
      <c r="D374" s="30">
        <f t="shared" si="15"/>
        <v>62.5</v>
      </c>
      <c r="F374" s="12" t="str">
        <f>Absolute_Scores!F374</f>
        <v>@_niilaams</v>
      </c>
      <c r="G374" s="12" t="str">
        <f>Absolute_Scores!G374</f>
        <v>TikTok</v>
      </c>
      <c r="H374" s="29">
        <f>Absolute_Scores!I374</f>
        <v>50</v>
      </c>
      <c r="I374" s="30">
        <f t="shared" si="16"/>
        <v>62.5</v>
      </c>
      <c r="K374" s="12" t="str">
        <f>Absolute_Scores!K374</f>
        <v>@rtfelish</v>
      </c>
      <c r="L374" s="12" t="str">
        <f>Absolute_Scores!L374</f>
        <v>Instagram</v>
      </c>
      <c r="M374" s="29">
        <f>Absolute_Scores!N374</f>
        <v>42</v>
      </c>
      <c r="N374" s="30">
        <f t="shared" si="17"/>
        <v>62.69</v>
      </c>
    </row>
    <row r="375" spans="1:14">
      <c r="A375" s="12" t="str">
        <f>Absolute_Scores!A375</f>
        <v>@heyy.itsamee</v>
      </c>
      <c r="B375" s="12" t="str">
        <f>Absolute_Scores!B375</f>
        <v>Instagram</v>
      </c>
      <c r="C375" s="29">
        <f>Absolute_Scores!D375</f>
        <v>50</v>
      </c>
      <c r="D375" s="30">
        <f t="shared" si="15"/>
        <v>62.5</v>
      </c>
      <c r="F375" s="12" t="str">
        <f>Absolute_Scores!F375</f>
        <v>@_nunooh</v>
      </c>
      <c r="G375" s="12" t="str">
        <f>Absolute_Scores!G375</f>
        <v>TikTok</v>
      </c>
      <c r="H375" s="29">
        <f>Absolute_Scores!I375</f>
        <v>50</v>
      </c>
      <c r="I375" s="30">
        <f t="shared" si="16"/>
        <v>62.5</v>
      </c>
      <c r="K375" s="12" t="str">
        <f>Absolute_Scores!K375</f>
        <v>@siveve</v>
      </c>
      <c r="L375" s="12" t="str">
        <f>Absolute_Scores!L375</f>
        <v>Instagram</v>
      </c>
      <c r="M375" s="29">
        <f>Absolute_Scores!N375</f>
        <v>42</v>
      </c>
      <c r="N375" s="30">
        <f t="shared" si="17"/>
        <v>62.69</v>
      </c>
    </row>
    <row r="376" spans="1:14">
      <c r="A376" s="12" t="str">
        <f>Absolute_Scores!A376</f>
        <v>@hmangela02</v>
      </c>
      <c r="B376" s="12" t="str">
        <f>Absolute_Scores!B376</f>
        <v>Instagram</v>
      </c>
      <c r="C376" s="29">
        <f>Absolute_Scores!D376</f>
        <v>50</v>
      </c>
      <c r="D376" s="30">
        <f t="shared" si="15"/>
        <v>62.5</v>
      </c>
      <c r="F376" s="12" t="str">
        <f>Absolute_Scores!F376</f>
        <v>@_risaeka</v>
      </c>
      <c r="G376" s="12" t="str">
        <f>Absolute_Scores!G376</f>
        <v>Instagram</v>
      </c>
      <c r="H376" s="29">
        <f>Absolute_Scores!I376</f>
        <v>50</v>
      </c>
      <c r="I376" s="30">
        <f t="shared" si="16"/>
        <v>62.5</v>
      </c>
      <c r="K376" s="12" t="str">
        <f>Absolute_Scores!K376</f>
        <v>@sriayun12</v>
      </c>
      <c r="L376" s="12" t="str">
        <f>Absolute_Scores!L376</f>
        <v>TikTok</v>
      </c>
      <c r="M376" s="29">
        <f>Absolute_Scores!N376</f>
        <v>42</v>
      </c>
      <c r="N376" s="30">
        <f t="shared" si="17"/>
        <v>62.69</v>
      </c>
    </row>
    <row r="377" spans="1:14">
      <c r="A377" s="12" t="str">
        <f>Absolute_Scores!A377</f>
        <v>@hufianafl</v>
      </c>
      <c r="B377" s="12" t="str">
        <f>Absolute_Scores!B377</f>
        <v>Instagram</v>
      </c>
      <c r="C377" s="29">
        <f>Absolute_Scores!D377</f>
        <v>50</v>
      </c>
      <c r="D377" s="30">
        <f t="shared" si="15"/>
        <v>62.5</v>
      </c>
      <c r="F377" s="12" t="str">
        <f>Absolute_Scores!F377</f>
        <v>@_rzkgii</v>
      </c>
      <c r="G377" s="12" t="str">
        <f>Absolute_Scores!G377</f>
        <v>TikTok</v>
      </c>
      <c r="H377" s="29">
        <f>Absolute_Scores!I377</f>
        <v>50</v>
      </c>
      <c r="I377" s="30">
        <f t="shared" si="16"/>
        <v>62.5</v>
      </c>
      <c r="K377" s="12" t="str">
        <f>Absolute_Scores!K377</f>
        <v>@utrichfarzah</v>
      </c>
      <c r="L377" s="12" t="str">
        <f>Absolute_Scores!L377</f>
        <v>TikTok</v>
      </c>
      <c r="M377" s="29">
        <f>Absolute_Scores!N377</f>
        <v>42</v>
      </c>
      <c r="N377" s="30">
        <f t="shared" si="17"/>
        <v>62.69</v>
      </c>
    </row>
    <row r="378" spans="1:14">
      <c r="A378" s="12" t="str">
        <f>Absolute_Scores!A378</f>
        <v>@ibuk.vanno</v>
      </c>
      <c r="B378" s="12" t="str">
        <f>Absolute_Scores!B378</f>
        <v>Instagram</v>
      </c>
      <c r="C378" s="29">
        <f>Absolute_Scores!D378</f>
        <v>50</v>
      </c>
      <c r="D378" s="30">
        <f t="shared" si="15"/>
        <v>62.5</v>
      </c>
      <c r="F378" s="12" t="str">
        <f>Absolute_Scores!F378</f>
        <v>@_shaz</v>
      </c>
      <c r="G378" s="12" t="str">
        <f>Absolute_Scores!G378</f>
        <v>TikTok</v>
      </c>
      <c r="H378" s="29">
        <f>Absolute_Scores!I378</f>
        <v>50</v>
      </c>
      <c r="I378" s="30">
        <f t="shared" si="16"/>
        <v>62.5</v>
      </c>
      <c r="K378" s="12" t="str">
        <f>Absolute_Scores!K378</f>
        <v>@vanessaechaa26</v>
      </c>
      <c r="L378" s="12" t="str">
        <f>Absolute_Scores!L378</f>
        <v>TikTok</v>
      </c>
      <c r="M378" s="29">
        <f>Absolute_Scores!N378</f>
        <v>42</v>
      </c>
      <c r="N378" s="30">
        <f t="shared" si="17"/>
        <v>62.69</v>
      </c>
    </row>
    <row r="379" spans="1:14">
      <c r="A379" s="12" t="str">
        <f>Absolute_Scores!A379</f>
        <v>@idaakwariah</v>
      </c>
      <c r="B379" s="12" t="str">
        <f>Absolute_Scores!B379</f>
        <v>Instagram</v>
      </c>
      <c r="C379" s="29">
        <f>Absolute_Scores!D379</f>
        <v>50</v>
      </c>
      <c r="D379" s="30">
        <f t="shared" si="15"/>
        <v>62.5</v>
      </c>
      <c r="F379" s="12" t="str">
        <f>Absolute_Scores!F379</f>
        <v>@_sherlymg</v>
      </c>
      <c r="G379" s="12" t="str">
        <f>Absolute_Scores!G379</f>
        <v>TikTok</v>
      </c>
      <c r="H379" s="29">
        <f>Absolute_Scores!I379</f>
        <v>50</v>
      </c>
      <c r="I379" s="30">
        <f t="shared" si="16"/>
        <v>62.5</v>
      </c>
      <c r="K379" s="12" t="str">
        <f>Absolute_Scores!K379</f>
        <v>@wellisnaa</v>
      </c>
      <c r="L379" s="12" t="str">
        <f>Absolute_Scores!L379</f>
        <v>Instagram</v>
      </c>
      <c r="M379" s="29">
        <f>Absolute_Scores!N379</f>
        <v>42</v>
      </c>
      <c r="N379" s="30">
        <f t="shared" si="17"/>
        <v>62.69</v>
      </c>
    </row>
    <row r="380" spans="1:14">
      <c r="A380" s="12" t="str">
        <f>Absolute_Scores!A380</f>
        <v>@idawsafitri</v>
      </c>
      <c r="B380" s="12" t="str">
        <f>Absolute_Scores!B380</f>
        <v>Instagram</v>
      </c>
      <c r="C380" s="29">
        <f>Absolute_Scores!D380</f>
        <v>50</v>
      </c>
      <c r="D380" s="30">
        <f t="shared" si="15"/>
        <v>62.5</v>
      </c>
      <c r="F380" s="12" t="str">
        <f>Absolute_Scores!F380</f>
        <v>@_suriayu</v>
      </c>
      <c r="G380" s="12" t="str">
        <f>Absolute_Scores!G380</f>
        <v>TikTok</v>
      </c>
      <c r="H380" s="29">
        <f>Absolute_Scores!I380</f>
        <v>50</v>
      </c>
      <c r="I380" s="30">
        <f t="shared" si="16"/>
        <v>62.5</v>
      </c>
      <c r="K380" s="12" t="str">
        <f>Absolute_Scores!K380</f>
        <v>@wulanwu</v>
      </c>
      <c r="L380" s="12" t="str">
        <f>Absolute_Scores!L380</f>
        <v>Instagram</v>
      </c>
      <c r="M380" s="29">
        <f>Absolute_Scores!N380</f>
        <v>42</v>
      </c>
      <c r="N380" s="30">
        <f t="shared" si="17"/>
        <v>62.69</v>
      </c>
    </row>
    <row r="381" spans="1:14">
      <c r="A381" s="12" t="str">
        <f>Absolute_Scores!A381</f>
        <v>@ifahalifah</v>
      </c>
      <c r="B381" s="12" t="str">
        <f>Absolute_Scores!B381</f>
        <v>Instagram</v>
      </c>
      <c r="C381" s="29">
        <f>Absolute_Scores!D381</f>
        <v>50</v>
      </c>
      <c r="D381" s="30">
        <f t="shared" si="15"/>
        <v>62.5</v>
      </c>
      <c r="F381" s="12" t="str">
        <f>Absolute_Scores!F381</f>
        <v>@_syifaalfii</v>
      </c>
      <c r="G381" s="12" t="str">
        <f>Absolute_Scores!G381</f>
        <v>TikTok</v>
      </c>
      <c r="H381" s="29">
        <f>Absolute_Scores!I381</f>
        <v>50</v>
      </c>
      <c r="I381" s="30">
        <f t="shared" si="16"/>
        <v>62.5</v>
      </c>
      <c r="K381" s="12" t="str">
        <f>Absolute_Scores!K381</f>
        <v>@zahrenaa</v>
      </c>
      <c r="L381" s="12" t="str">
        <f>Absolute_Scores!L381</f>
        <v>TikTok</v>
      </c>
      <c r="M381" s="29">
        <f>Absolute_Scores!N381</f>
        <v>42</v>
      </c>
      <c r="N381" s="30">
        <f t="shared" si="17"/>
        <v>62.69</v>
      </c>
    </row>
    <row r="382" spans="1:14">
      <c r="A382" s="12" t="str">
        <f>Absolute_Scores!A382</f>
        <v>@ifmaa_</v>
      </c>
      <c r="B382" s="12" t="str">
        <f>Absolute_Scores!B382</f>
        <v>Instagram</v>
      </c>
      <c r="C382" s="29">
        <f>Absolute_Scores!D382</f>
        <v>50</v>
      </c>
      <c r="D382" s="30">
        <f t="shared" si="15"/>
        <v>62.5</v>
      </c>
      <c r="F382" s="12" t="str">
        <f>Absolute_Scores!F382</f>
        <v>@_vaniawijaya</v>
      </c>
      <c r="G382" s="12" t="str">
        <f>Absolute_Scores!G382</f>
        <v>TikTok</v>
      </c>
      <c r="H382" s="29">
        <f>Absolute_Scores!I382</f>
        <v>50</v>
      </c>
      <c r="I382" s="30">
        <f t="shared" si="16"/>
        <v>62.5</v>
      </c>
      <c r="K382" s="12" t="str">
        <f>Absolute_Scores!K382</f>
        <v>@adrianarmanasco</v>
      </c>
      <c r="L382" s="12" t="str">
        <f>Absolute_Scores!L382</f>
        <v>Instagram</v>
      </c>
      <c r="M382" s="29">
        <f>Absolute_Scores!N382</f>
        <v>41</v>
      </c>
      <c r="N382" s="30">
        <f t="shared" si="17"/>
        <v>61.19</v>
      </c>
    </row>
    <row r="383" spans="1:14">
      <c r="A383" s="12" t="str">
        <f>Absolute_Scores!A383</f>
        <v>@iid_msaidah</v>
      </c>
      <c r="B383" s="12" t="str">
        <f>Absolute_Scores!B383</f>
        <v>Instagram</v>
      </c>
      <c r="C383" s="29">
        <f>Absolute_Scores!D383</f>
        <v>50</v>
      </c>
      <c r="D383" s="30">
        <f t="shared" si="15"/>
        <v>62.5</v>
      </c>
      <c r="F383" s="12" t="str">
        <f>Absolute_Scores!F383</f>
        <v>@_wdyazh09</v>
      </c>
      <c r="G383" s="12" t="str">
        <f>Absolute_Scores!G383</f>
        <v>Instagram</v>
      </c>
      <c r="H383" s="29">
        <f>Absolute_Scores!I383</f>
        <v>50</v>
      </c>
      <c r="I383" s="30">
        <f t="shared" si="16"/>
        <v>62.5</v>
      </c>
      <c r="K383" s="12" t="str">
        <f>Absolute_Scores!K383</f>
        <v>@anifa.tamara</v>
      </c>
      <c r="L383" s="12" t="str">
        <f>Absolute_Scores!L383</f>
        <v>Instagram</v>
      </c>
      <c r="M383" s="29">
        <f>Absolute_Scores!N383</f>
        <v>41</v>
      </c>
      <c r="N383" s="30">
        <f t="shared" si="17"/>
        <v>61.19</v>
      </c>
    </row>
    <row r="384" spans="1:14">
      <c r="A384" s="12" t="str">
        <f>Absolute_Scores!A384</f>
        <v>@iindindriani</v>
      </c>
      <c r="B384" s="12" t="str">
        <f>Absolute_Scores!B384</f>
        <v>Instagram</v>
      </c>
      <c r="C384" s="29">
        <f>Absolute_Scores!D384</f>
        <v>50</v>
      </c>
      <c r="D384" s="30">
        <f t="shared" si="15"/>
        <v>62.5</v>
      </c>
      <c r="F384" s="12" t="str">
        <f>Absolute_Scores!F384</f>
        <v>@.ayambakar20</v>
      </c>
      <c r="G384" s="12" t="str">
        <f>Absolute_Scores!G384</f>
        <v>TikTok</v>
      </c>
      <c r="H384" s="29">
        <f>Absolute_Scores!I384</f>
        <v>50</v>
      </c>
      <c r="I384" s="30">
        <f t="shared" si="16"/>
        <v>62.5</v>
      </c>
      <c r="K384" s="12" t="str">
        <f>Absolute_Scores!K384</f>
        <v>@anthonysudarsono</v>
      </c>
      <c r="L384" s="12" t="str">
        <f>Absolute_Scores!L384</f>
        <v>Instagram</v>
      </c>
      <c r="M384" s="29">
        <f>Absolute_Scores!N384</f>
        <v>41</v>
      </c>
      <c r="N384" s="30">
        <f t="shared" si="17"/>
        <v>61.19</v>
      </c>
    </row>
    <row r="385" spans="1:14">
      <c r="A385" s="12" t="str">
        <f>Absolute_Scores!A385</f>
        <v>@ika.chan6</v>
      </c>
      <c r="B385" s="12" t="str">
        <f>Absolute_Scores!B385</f>
        <v>Instagram</v>
      </c>
      <c r="C385" s="29">
        <f>Absolute_Scores!D385</f>
        <v>50</v>
      </c>
      <c r="D385" s="30">
        <f t="shared" si="15"/>
        <v>62.5</v>
      </c>
      <c r="F385" s="12" t="str">
        <f>Absolute_Scores!F385</f>
        <v>@.karyn444</v>
      </c>
      <c r="G385" s="12" t="str">
        <f>Absolute_Scores!G385</f>
        <v>TikTok</v>
      </c>
      <c r="H385" s="29">
        <f>Absolute_Scores!I385</f>
        <v>50</v>
      </c>
      <c r="I385" s="30">
        <f t="shared" si="16"/>
        <v>62.5</v>
      </c>
      <c r="K385" s="12" t="str">
        <f>Absolute_Scores!K385</f>
        <v>@artiyanangeliza_</v>
      </c>
      <c r="L385" s="12" t="str">
        <f>Absolute_Scores!L385</f>
        <v>Instagram</v>
      </c>
      <c r="M385" s="29">
        <f>Absolute_Scores!N385</f>
        <v>41</v>
      </c>
      <c r="N385" s="30">
        <f t="shared" si="17"/>
        <v>61.19</v>
      </c>
    </row>
    <row r="386" spans="1:14">
      <c r="A386" s="12" t="str">
        <f>Absolute_Scores!A386</f>
        <v>@ikafnursani</v>
      </c>
      <c r="B386" s="12" t="str">
        <f>Absolute_Scores!B386</f>
        <v>Instagram</v>
      </c>
      <c r="C386" s="29">
        <f>Absolute_Scores!D386</f>
        <v>50</v>
      </c>
      <c r="D386" s="30">
        <f t="shared" si="15"/>
        <v>62.5</v>
      </c>
      <c r="F386" s="12" t="str">
        <f>Absolute_Scores!F386</f>
        <v>@.nidaawafa</v>
      </c>
      <c r="G386" s="12" t="str">
        <f>Absolute_Scores!G386</f>
        <v>TikTok</v>
      </c>
      <c r="H386" s="29">
        <f>Absolute_Scores!I386</f>
        <v>50</v>
      </c>
      <c r="I386" s="30">
        <f t="shared" si="16"/>
        <v>62.5</v>
      </c>
      <c r="K386" s="12" t="str">
        <f>Absolute_Scores!K386</f>
        <v>@baksorusukjoss</v>
      </c>
      <c r="L386" s="12" t="str">
        <f>Absolute_Scores!L386</f>
        <v>Instagram</v>
      </c>
      <c r="M386" s="29">
        <f>Absolute_Scores!N386</f>
        <v>41</v>
      </c>
      <c r="N386" s="30">
        <f t="shared" si="17"/>
        <v>61.19</v>
      </c>
    </row>
    <row r="387" spans="1:14">
      <c r="A387" s="12" t="str">
        <f>Absolute_Scores!A387</f>
        <v>@ilmaizlhq_</v>
      </c>
      <c r="B387" s="12" t="str">
        <f>Absolute_Scores!B387</f>
        <v>Instagram</v>
      </c>
      <c r="C387" s="29">
        <f>Absolute_Scores!D387</f>
        <v>50</v>
      </c>
      <c r="D387" s="30">
        <f t="shared" si="15"/>
        <v>62.5</v>
      </c>
      <c r="F387" s="12" t="str">
        <f>Absolute_Scores!F387</f>
        <v>@14sella</v>
      </c>
      <c r="G387" s="12" t="str">
        <f>Absolute_Scores!G387</f>
        <v>Instagram</v>
      </c>
      <c r="H387" s="29">
        <f>Absolute_Scores!I387</f>
        <v>50</v>
      </c>
      <c r="I387" s="30">
        <f t="shared" si="16"/>
        <v>62.5</v>
      </c>
      <c r="K387" s="12" t="str">
        <f>Absolute_Scores!K387</f>
        <v>@carissa_puteri</v>
      </c>
      <c r="L387" s="12" t="str">
        <f>Absolute_Scores!L387</f>
        <v>Instagram</v>
      </c>
      <c r="M387" s="29">
        <f>Absolute_Scores!N387</f>
        <v>41</v>
      </c>
      <c r="N387" s="30">
        <f t="shared" si="17"/>
        <v>61.19</v>
      </c>
    </row>
    <row r="388" spans="1:14">
      <c r="A388" s="12" t="str">
        <f>Absolute_Scores!A388</f>
        <v>@imaa19</v>
      </c>
      <c r="B388" s="12" t="str">
        <f>Absolute_Scores!B388</f>
        <v>Instagram</v>
      </c>
      <c r="C388" s="29">
        <f>Absolute_Scores!D388</f>
        <v>50</v>
      </c>
      <c r="D388" s="30">
        <f t="shared" si="15"/>
        <v>62.5</v>
      </c>
      <c r="F388" s="12" t="str">
        <f>Absolute_Scores!F388</f>
        <v>@666jjjn__</v>
      </c>
      <c r="G388" s="12" t="str">
        <f>Absolute_Scores!G388</f>
        <v>TikTok</v>
      </c>
      <c r="H388" s="29">
        <f>Absolute_Scores!I388</f>
        <v>50</v>
      </c>
      <c r="I388" s="30">
        <f t="shared" si="16"/>
        <v>62.5</v>
      </c>
      <c r="K388" s="12" t="str">
        <f>Absolute_Scores!K388</f>
        <v>@cynthiaganesha</v>
      </c>
      <c r="L388" s="12" t="str">
        <f>Absolute_Scores!L388</f>
        <v>Instagram</v>
      </c>
      <c r="M388" s="29">
        <f>Absolute_Scores!N388</f>
        <v>41</v>
      </c>
      <c r="N388" s="30">
        <f t="shared" si="17"/>
        <v>61.19</v>
      </c>
    </row>
    <row r="389" spans="1:14">
      <c r="A389" s="12" t="str">
        <f>Absolute_Scores!A389</f>
        <v>@indaaindodd</v>
      </c>
      <c r="B389" s="12" t="str">
        <f>Absolute_Scores!B389</f>
        <v>Instagram</v>
      </c>
      <c r="C389" s="29">
        <f>Absolute_Scores!D389</f>
        <v>50</v>
      </c>
      <c r="D389" s="30">
        <f t="shared" si="15"/>
        <v>62.5</v>
      </c>
      <c r="F389" s="12" t="str">
        <f>Absolute_Scores!F389</f>
        <v>@6tea6ix</v>
      </c>
      <c r="G389" s="12" t="str">
        <f>Absolute_Scores!G389</f>
        <v>TikTok</v>
      </c>
      <c r="H389" s="29">
        <f>Absolute_Scores!I389</f>
        <v>50</v>
      </c>
      <c r="I389" s="30">
        <f t="shared" si="16"/>
        <v>62.5</v>
      </c>
      <c r="K389" s="12" t="str">
        <f>Absolute_Scores!K389</f>
        <v>@dinzzur</v>
      </c>
      <c r="L389" s="12" t="str">
        <f>Absolute_Scores!L389</f>
        <v>Instagram</v>
      </c>
      <c r="M389" s="29">
        <f>Absolute_Scores!N389</f>
        <v>41</v>
      </c>
      <c r="N389" s="30">
        <f t="shared" si="17"/>
        <v>61.19</v>
      </c>
    </row>
    <row r="390" spans="1:14">
      <c r="A390" s="12" t="str">
        <f>Absolute_Scores!A390</f>
        <v>@indah.viryasvastika</v>
      </c>
      <c r="B390" s="12" t="str">
        <f>Absolute_Scores!B390</f>
        <v>Instagram</v>
      </c>
      <c r="C390" s="29">
        <f>Absolute_Scores!D390</f>
        <v>50</v>
      </c>
      <c r="D390" s="30">
        <f t="shared" ref="D390:D453" si="18">ROUND(C390/$D$4*100,2)</f>
        <v>62.5</v>
      </c>
      <c r="F390" s="12" t="str">
        <f>Absolute_Scores!F390</f>
        <v>@7649121</v>
      </c>
      <c r="G390" s="12" t="str">
        <f>Absolute_Scores!G390</f>
        <v>TikTok</v>
      </c>
      <c r="H390" s="29">
        <f>Absolute_Scores!I390</f>
        <v>50</v>
      </c>
      <c r="I390" s="30">
        <f t="shared" ref="I390:I453" si="19">ROUND(H390/$I$4*100,2)</f>
        <v>62.5</v>
      </c>
      <c r="K390" s="12" t="str">
        <f>Absolute_Scores!K390</f>
        <v>@elysacandra</v>
      </c>
      <c r="L390" s="12" t="str">
        <f>Absolute_Scores!L390</f>
        <v>Instagram</v>
      </c>
      <c r="M390" s="29">
        <f>Absolute_Scores!N390</f>
        <v>41</v>
      </c>
      <c r="N390" s="30">
        <f t="shared" ref="N390:N453" si="20">ROUND(M390/$N$4*100,2)</f>
        <v>61.19</v>
      </c>
    </row>
    <row r="391" spans="1:14">
      <c r="A391" s="12" t="str">
        <f>Absolute_Scores!A391</f>
        <v>@indahabby</v>
      </c>
      <c r="B391" s="12" t="str">
        <f>Absolute_Scores!B391</f>
        <v>Instagram</v>
      </c>
      <c r="C391" s="29">
        <f>Absolute_Scores!D391</f>
        <v>50</v>
      </c>
      <c r="D391" s="30">
        <f t="shared" si="18"/>
        <v>62.5</v>
      </c>
      <c r="F391" s="12" t="str">
        <f>Absolute_Scores!F391</f>
        <v>@aaprilea</v>
      </c>
      <c r="G391" s="12" t="str">
        <f>Absolute_Scores!G391</f>
        <v>TikTok</v>
      </c>
      <c r="H391" s="29">
        <f>Absolute_Scores!I391</f>
        <v>50</v>
      </c>
      <c r="I391" s="30">
        <f t="shared" si="19"/>
        <v>62.5</v>
      </c>
      <c r="K391" s="12" t="str">
        <f>Absolute_Scores!K391</f>
        <v>@indahayuamanda</v>
      </c>
      <c r="L391" s="12" t="str">
        <f>Absolute_Scores!L391</f>
        <v>Instagram</v>
      </c>
      <c r="M391" s="29">
        <f>Absolute_Scores!N391</f>
        <v>41</v>
      </c>
      <c r="N391" s="30">
        <f t="shared" si="20"/>
        <v>61.19</v>
      </c>
    </row>
    <row r="392" spans="1:14">
      <c r="A392" s="12" t="str">
        <f>Absolute_Scores!A392</f>
        <v>@indiranand</v>
      </c>
      <c r="B392" s="12" t="str">
        <f>Absolute_Scores!B392</f>
        <v>Instagram</v>
      </c>
      <c r="C392" s="29">
        <f>Absolute_Scores!D392</f>
        <v>50</v>
      </c>
      <c r="D392" s="30">
        <f t="shared" si="18"/>
        <v>62.5</v>
      </c>
      <c r="F392" s="12" t="str">
        <f>Absolute_Scores!F392</f>
        <v>@abadibersamaadelweis</v>
      </c>
      <c r="G392" s="12" t="str">
        <f>Absolute_Scores!G392</f>
        <v>TikTok</v>
      </c>
      <c r="H392" s="29">
        <f>Absolute_Scores!I392</f>
        <v>50</v>
      </c>
      <c r="I392" s="30">
        <f t="shared" si="19"/>
        <v>62.5</v>
      </c>
      <c r="K392" s="12" t="str">
        <f>Absolute_Scores!K392</f>
        <v>@itsvivie91</v>
      </c>
      <c r="L392" s="12" t="str">
        <f>Absolute_Scores!L392</f>
        <v>Instagram</v>
      </c>
      <c r="M392" s="29">
        <f>Absolute_Scores!N392</f>
        <v>41</v>
      </c>
      <c r="N392" s="30">
        <f t="shared" si="20"/>
        <v>61.19</v>
      </c>
    </row>
    <row r="393" spans="1:14">
      <c r="A393" s="12" t="str">
        <f>Absolute_Scores!A393</f>
        <v>@indriwidiartii</v>
      </c>
      <c r="B393" s="12" t="str">
        <f>Absolute_Scores!B393</f>
        <v>Instagram</v>
      </c>
      <c r="C393" s="29">
        <f>Absolute_Scores!D393</f>
        <v>50</v>
      </c>
      <c r="D393" s="30">
        <f t="shared" si="18"/>
        <v>62.5</v>
      </c>
      <c r="F393" s="12" t="str">
        <f>Absolute_Scores!F393</f>
        <v>@abang_azum</v>
      </c>
      <c r="G393" s="12" t="str">
        <f>Absolute_Scores!G393</f>
        <v>Instagram</v>
      </c>
      <c r="H393" s="29">
        <f>Absolute_Scores!I393</f>
        <v>50</v>
      </c>
      <c r="I393" s="30">
        <f t="shared" si="19"/>
        <v>62.5</v>
      </c>
      <c r="K393" s="12" t="str">
        <f>Absolute_Scores!K393</f>
        <v>@jakarta.terkini</v>
      </c>
      <c r="L393" s="12" t="str">
        <f>Absolute_Scores!L393</f>
        <v>Instagram</v>
      </c>
      <c r="M393" s="29">
        <f>Absolute_Scores!N393</f>
        <v>41</v>
      </c>
      <c r="N393" s="30">
        <f t="shared" si="20"/>
        <v>61.19</v>
      </c>
    </row>
    <row r="394" spans="1:14">
      <c r="A394" s="12" t="str">
        <f>Absolute_Scores!A394</f>
        <v>@ineesbrna</v>
      </c>
      <c r="B394" s="12" t="str">
        <f>Absolute_Scores!B394</f>
        <v>Instagram</v>
      </c>
      <c r="C394" s="29">
        <f>Absolute_Scores!D394</f>
        <v>50</v>
      </c>
      <c r="D394" s="30">
        <f t="shared" si="18"/>
        <v>62.5</v>
      </c>
      <c r="F394" s="12" t="str">
        <f>Absolute_Scores!F394</f>
        <v>@abdngoimc</v>
      </c>
      <c r="G394" s="12" t="str">
        <f>Absolute_Scores!G394</f>
        <v>TikTok</v>
      </c>
      <c r="H394" s="29">
        <f>Absolute_Scores!I394</f>
        <v>50</v>
      </c>
      <c r="I394" s="30">
        <f t="shared" si="19"/>
        <v>62.5</v>
      </c>
      <c r="K394" s="12" t="str">
        <f>Absolute_Scores!K394</f>
        <v>@jharnabhagwani</v>
      </c>
      <c r="L394" s="12" t="str">
        <f>Absolute_Scores!L394</f>
        <v>TikTok</v>
      </c>
      <c r="M394" s="29">
        <f>Absolute_Scores!N394</f>
        <v>41</v>
      </c>
      <c r="N394" s="30">
        <f t="shared" si="20"/>
        <v>61.19</v>
      </c>
    </row>
    <row r="395" spans="1:14">
      <c r="A395" s="12" t="str">
        <f>Absolute_Scores!A395</f>
        <v>@iniakunitaa__</v>
      </c>
      <c r="B395" s="12" t="str">
        <f>Absolute_Scores!B395</f>
        <v>Instagram</v>
      </c>
      <c r="C395" s="29">
        <f>Absolute_Scores!D395</f>
        <v>50</v>
      </c>
      <c r="D395" s="30">
        <f t="shared" si="18"/>
        <v>62.5</v>
      </c>
      <c r="F395" s="12" t="str">
        <f>Absolute_Scores!F395</f>
        <v>@abel_cantika</v>
      </c>
      <c r="G395" s="12" t="str">
        <f>Absolute_Scores!G395</f>
        <v>TikTok</v>
      </c>
      <c r="H395" s="29">
        <f>Absolute_Scores!I395</f>
        <v>50</v>
      </c>
      <c r="I395" s="30">
        <f t="shared" si="19"/>
        <v>62.5</v>
      </c>
      <c r="K395" s="12" t="str">
        <f>Absolute_Scores!K395</f>
        <v>@joviadhiguna</v>
      </c>
      <c r="L395" s="12" t="str">
        <f>Absolute_Scores!L395</f>
        <v>Instagram</v>
      </c>
      <c r="M395" s="29">
        <f>Absolute_Scores!N395</f>
        <v>41</v>
      </c>
      <c r="N395" s="30">
        <f t="shared" si="20"/>
        <v>61.19</v>
      </c>
    </row>
    <row r="396" spans="1:14">
      <c r="A396" s="12" t="str">
        <f>Absolute_Scores!A396</f>
        <v>@inikarinagita</v>
      </c>
      <c r="B396" s="12" t="str">
        <f>Absolute_Scores!B396</f>
        <v>Instagram</v>
      </c>
      <c r="C396" s="29">
        <f>Absolute_Scores!D396</f>
        <v>50</v>
      </c>
      <c r="D396" s="30">
        <f t="shared" si="18"/>
        <v>62.5</v>
      </c>
      <c r="F396" s="12" t="str">
        <f>Absolute_Scores!F396</f>
        <v>@abeltrld</v>
      </c>
      <c r="G396" s="12" t="str">
        <f>Absolute_Scores!G396</f>
        <v>TikTok</v>
      </c>
      <c r="H396" s="29">
        <f>Absolute_Scores!I396</f>
        <v>50</v>
      </c>
      <c r="I396" s="30">
        <f t="shared" si="19"/>
        <v>62.5</v>
      </c>
      <c r="K396" s="12" t="str">
        <f>Absolute_Scores!K396</f>
        <v>@lifia_laeticia</v>
      </c>
      <c r="L396" s="12" t="str">
        <f>Absolute_Scores!L396</f>
        <v>Instagram</v>
      </c>
      <c r="M396" s="29">
        <f>Absolute_Scores!N396</f>
        <v>41</v>
      </c>
      <c r="N396" s="30">
        <f t="shared" si="20"/>
        <v>61.19</v>
      </c>
    </row>
    <row r="397" spans="1:14">
      <c r="A397" s="12" t="str">
        <f>Absolute_Scores!A397</f>
        <v>@inkallee03</v>
      </c>
      <c r="B397" s="12" t="str">
        <f>Absolute_Scores!B397</f>
        <v>Instagram</v>
      </c>
      <c r="C397" s="29">
        <f>Absolute_Scores!D397</f>
        <v>50</v>
      </c>
      <c r="D397" s="30">
        <f t="shared" si="18"/>
        <v>62.5</v>
      </c>
      <c r="F397" s="12" t="str">
        <f>Absolute_Scores!F397</f>
        <v>@abidinirosemary</v>
      </c>
      <c r="G397" s="12" t="str">
        <f>Absolute_Scores!G397</f>
        <v>Instagram</v>
      </c>
      <c r="H397" s="29">
        <f>Absolute_Scores!I397</f>
        <v>50</v>
      </c>
      <c r="I397" s="30">
        <f t="shared" si="19"/>
        <v>62.5</v>
      </c>
      <c r="K397" s="12" t="str">
        <f>Absolute_Scores!K397</f>
        <v>@mariakarinaa</v>
      </c>
      <c r="L397" s="12" t="str">
        <f>Absolute_Scores!L397</f>
        <v>Instagram</v>
      </c>
      <c r="M397" s="29">
        <f>Absolute_Scores!N397</f>
        <v>41</v>
      </c>
      <c r="N397" s="30">
        <f t="shared" si="20"/>
        <v>61.19</v>
      </c>
    </row>
    <row r="398" spans="1:14">
      <c r="A398" s="12" t="str">
        <f>Absolute_Scores!A398</f>
        <v>@innacahyani1308</v>
      </c>
      <c r="B398" s="12" t="str">
        <f>Absolute_Scores!B398</f>
        <v>Instagram</v>
      </c>
      <c r="C398" s="29">
        <f>Absolute_Scores!D398</f>
        <v>50</v>
      </c>
      <c r="D398" s="30">
        <f t="shared" si="18"/>
        <v>62.5</v>
      </c>
      <c r="F398" s="12" t="str">
        <f>Absolute_Scores!F398</f>
        <v>@abiejie</v>
      </c>
      <c r="G398" s="12" t="str">
        <f>Absolute_Scores!G398</f>
        <v>Instagram</v>
      </c>
      <c r="H398" s="29">
        <f>Absolute_Scores!I398</f>
        <v>50</v>
      </c>
      <c r="I398" s="30">
        <f t="shared" si="19"/>
        <v>62.5</v>
      </c>
      <c r="K398" s="12" t="str">
        <f>Absolute_Scores!K398</f>
        <v>@nadialaydrus</v>
      </c>
      <c r="L398" s="12" t="str">
        <f>Absolute_Scores!L398</f>
        <v>Instagram</v>
      </c>
      <c r="M398" s="29">
        <f>Absolute_Scores!N398</f>
        <v>41</v>
      </c>
      <c r="N398" s="30">
        <f t="shared" si="20"/>
        <v>61.19</v>
      </c>
    </row>
    <row r="399" spans="1:14">
      <c r="A399" s="12" t="str">
        <f>Absolute_Scores!A399</f>
        <v>@inne_salim</v>
      </c>
      <c r="B399" s="12" t="str">
        <f>Absolute_Scores!B399</f>
        <v>Instagram</v>
      </c>
      <c r="C399" s="29">
        <f>Absolute_Scores!D399</f>
        <v>50</v>
      </c>
      <c r="D399" s="30">
        <f t="shared" si="18"/>
        <v>62.5</v>
      </c>
      <c r="F399" s="12" t="str">
        <f>Absolute_Scores!F399</f>
        <v>@abigailaurellia</v>
      </c>
      <c r="G399" s="12" t="str">
        <f>Absolute_Scores!G399</f>
        <v>TikTok</v>
      </c>
      <c r="H399" s="29">
        <f>Absolute_Scores!I399</f>
        <v>50</v>
      </c>
      <c r="I399" s="30">
        <f t="shared" si="19"/>
        <v>62.5</v>
      </c>
      <c r="K399" s="12" t="str">
        <f>Absolute_Scores!K399</f>
        <v>@nesyanabila</v>
      </c>
      <c r="L399" s="12" t="str">
        <f>Absolute_Scores!L399</f>
        <v>Instagram</v>
      </c>
      <c r="M399" s="29">
        <f>Absolute_Scores!N399</f>
        <v>41</v>
      </c>
      <c r="N399" s="30">
        <f t="shared" si="20"/>
        <v>61.19</v>
      </c>
    </row>
    <row r="400" spans="1:14">
      <c r="A400" s="12" t="str">
        <f>Absolute_Scores!A400</f>
        <v>@intaniamay16</v>
      </c>
      <c r="B400" s="12" t="str">
        <f>Absolute_Scores!B400</f>
        <v>Instagram</v>
      </c>
      <c r="C400" s="29">
        <f>Absolute_Scores!D400</f>
        <v>50</v>
      </c>
      <c r="D400" s="30">
        <f t="shared" si="18"/>
        <v>62.5</v>
      </c>
      <c r="F400" s="12" t="str">
        <f>Absolute_Scores!F400</f>
        <v>@abigusmas</v>
      </c>
      <c r="G400" s="12" t="str">
        <f>Absolute_Scores!G400</f>
        <v>TikTok</v>
      </c>
      <c r="H400" s="29">
        <f>Absolute_Scores!I400</f>
        <v>50</v>
      </c>
      <c r="I400" s="30">
        <f t="shared" si="19"/>
        <v>62.5</v>
      </c>
      <c r="K400" s="12" t="str">
        <f>Absolute_Scores!K400</f>
        <v>@pipithuang</v>
      </c>
      <c r="L400" s="12" t="str">
        <f>Absolute_Scores!L400</f>
        <v>Instagram</v>
      </c>
      <c r="M400" s="29">
        <f>Absolute_Scores!N400</f>
        <v>41</v>
      </c>
      <c r="N400" s="30">
        <f t="shared" si="20"/>
        <v>61.19</v>
      </c>
    </row>
    <row r="401" spans="1:14">
      <c r="A401" s="12" t="str">
        <f>Absolute_Scores!A401</f>
        <v>@iqbalghiffari</v>
      </c>
      <c r="B401" s="12" t="str">
        <f>Absolute_Scores!B401</f>
        <v>Instagram</v>
      </c>
      <c r="C401" s="29">
        <f>Absolute_Scores!D401</f>
        <v>50</v>
      </c>
      <c r="D401" s="30">
        <f t="shared" si="18"/>
        <v>62.5</v>
      </c>
      <c r="F401" s="12" t="str">
        <f>Absolute_Scores!F401</f>
        <v>@abinyaayin</v>
      </c>
      <c r="G401" s="12" t="str">
        <f>Absolute_Scores!G401</f>
        <v>TikTok</v>
      </c>
      <c r="H401" s="29">
        <f>Absolute_Scores!I401</f>
        <v>50</v>
      </c>
      <c r="I401" s="30">
        <f t="shared" si="19"/>
        <v>62.5</v>
      </c>
      <c r="K401" s="12" t="str">
        <f>Absolute_Scores!K401</f>
        <v>@prisciliatanbayong</v>
      </c>
      <c r="L401" s="12" t="str">
        <f>Absolute_Scores!L401</f>
        <v>Instagram</v>
      </c>
      <c r="M401" s="29">
        <f>Absolute_Scores!N401</f>
        <v>41</v>
      </c>
      <c r="N401" s="30">
        <f t="shared" si="20"/>
        <v>61.19</v>
      </c>
    </row>
    <row r="402" spans="1:14">
      <c r="A402" s="12" t="str">
        <f>Absolute_Scores!A402</f>
        <v>@irawati0309</v>
      </c>
      <c r="B402" s="12" t="str">
        <f>Absolute_Scores!B402</f>
        <v>Instagram</v>
      </c>
      <c r="C402" s="29">
        <f>Absolute_Scores!D402</f>
        <v>50</v>
      </c>
      <c r="D402" s="30">
        <f t="shared" si="18"/>
        <v>62.5</v>
      </c>
      <c r="F402" s="12" t="str">
        <f>Absolute_Scores!F402</f>
        <v>@abramwenas</v>
      </c>
      <c r="G402" s="12" t="str">
        <f>Absolute_Scores!G402</f>
        <v>TikTok</v>
      </c>
      <c r="H402" s="29">
        <f>Absolute_Scores!I402</f>
        <v>50</v>
      </c>
      <c r="I402" s="30">
        <f t="shared" si="19"/>
        <v>62.5</v>
      </c>
      <c r="K402" s="12" t="str">
        <f>Absolute_Scores!K402</f>
        <v>@raatihsyafriza</v>
      </c>
      <c r="L402" s="12" t="str">
        <f>Absolute_Scores!L402</f>
        <v>Instagram</v>
      </c>
      <c r="M402" s="29">
        <f>Absolute_Scores!N402</f>
        <v>41</v>
      </c>
      <c r="N402" s="30">
        <f t="shared" si="20"/>
        <v>61.19</v>
      </c>
    </row>
    <row r="403" spans="1:14">
      <c r="A403" s="12" t="str">
        <f>Absolute_Scores!A403</f>
        <v>@isnaenikkh</v>
      </c>
      <c r="B403" s="12" t="str">
        <f>Absolute_Scores!B403</f>
        <v>Instagram</v>
      </c>
      <c r="C403" s="29">
        <f>Absolute_Scores!D403</f>
        <v>50</v>
      </c>
      <c r="D403" s="30">
        <f t="shared" si="18"/>
        <v>62.5</v>
      </c>
      <c r="F403" s="12" t="str">
        <f>Absolute_Scores!F403</f>
        <v>@accio.olshop</v>
      </c>
      <c r="G403" s="12" t="str">
        <f>Absolute_Scores!G403</f>
        <v>TikTok</v>
      </c>
      <c r="H403" s="29">
        <f>Absolute_Scores!I403</f>
        <v>50</v>
      </c>
      <c r="I403" s="30">
        <f t="shared" si="19"/>
        <v>62.5</v>
      </c>
      <c r="K403" s="12" t="str">
        <f>Absolute_Scores!K403</f>
        <v>@reginaseptinamainof</v>
      </c>
      <c r="L403" s="12" t="str">
        <f>Absolute_Scores!L403</f>
        <v>Instagram</v>
      </c>
      <c r="M403" s="29">
        <f>Absolute_Scores!N403</f>
        <v>41</v>
      </c>
      <c r="N403" s="30">
        <f t="shared" si="20"/>
        <v>61.19</v>
      </c>
    </row>
    <row r="404" spans="1:14">
      <c r="A404" s="12" t="str">
        <f>Absolute_Scores!A404</f>
        <v>@itamargareta_</v>
      </c>
      <c r="B404" s="12" t="str">
        <f>Absolute_Scores!B404</f>
        <v>Instagram</v>
      </c>
      <c r="C404" s="29">
        <f>Absolute_Scores!D404</f>
        <v>50</v>
      </c>
      <c r="D404" s="30">
        <f t="shared" si="18"/>
        <v>62.5</v>
      </c>
      <c r="F404" s="12" t="str">
        <f>Absolute_Scores!F404</f>
        <v>@acessz</v>
      </c>
      <c r="G404" s="12" t="str">
        <f>Absolute_Scores!G404</f>
        <v>TikTok</v>
      </c>
      <c r="H404" s="29">
        <f>Absolute_Scores!I404</f>
        <v>50</v>
      </c>
      <c r="I404" s="30">
        <f t="shared" si="19"/>
        <v>62.5</v>
      </c>
      <c r="K404" s="12" t="str">
        <f>Absolute_Scores!K404</f>
        <v>@rotuaaa</v>
      </c>
      <c r="L404" s="12" t="str">
        <f>Absolute_Scores!L404</f>
        <v>Instagram</v>
      </c>
      <c r="M404" s="29">
        <f>Absolute_Scores!N404</f>
        <v>41</v>
      </c>
      <c r="N404" s="30">
        <f t="shared" si="20"/>
        <v>61.19</v>
      </c>
    </row>
    <row r="405" spans="1:14">
      <c r="A405" s="12" t="str">
        <f>Absolute_Scores!A405</f>
        <v>@its.fadil_</v>
      </c>
      <c r="B405" s="12" t="str">
        <f>Absolute_Scores!B405</f>
        <v>Instagram</v>
      </c>
      <c r="C405" s="29">
        <f>Absolute_Scores!D405</f>
        <v>50</v>
      </c>
      <c r="D405" s="30">
        <f t="shared" si="18"/>
        <v>62.5</v>
      </c>
      <c r="F405" s="12" t="str">
        <f>Absolute_Scores!F405</f>
        <v>@acharamel_</v>
      </c>
      <c r="G405" s="12" t="str">
        <f>Absolute_Scores!G405</f>
        <v>TikTok</v>
      </c>
      <c r="H405" s="29">
        <f>Absolute_Scores!I405</f>
        <v>50</v>
      </c>
      <c r="I405" s="30">
        <f t="shared" si="19"/>
        <v>62.5</v>
      </c>
      <c r="K405" s="12" t="str">
        <f>Absolute_Scores!K405</f>
        <v>@sonia_wibisono</v>
      </c>
      <c r="L405" s="12" t="str">
        <f>Absolute_Scores!L405</f>
        <v>Instagram</v>
      </c>
      <c r="M405" s="29">
        <f>Absolute_Scores!N405</f>
        <v>41</v>
      </c>
      <c r="N405" s="30">
        <f t="shared" si="20"/>
        <v>61.19</v>
      </c>
    </row>
    <row r="406" spans="1:14">
      <c r="A406" s="12" t="str">
        <f>Absolute_Scores!A406</f>
        <v>@itsagnesdwi</v>
      </c>
      <c r="B406" s="12" t="str">
        <f>Absolute_Scores!B406</f>
        <v>Instagram</v>
      </c>
      <c r="C406" s="29">
        <f>Absolute_Scores!D406</f>
        <v>50</v>
      </c>
      <c r="D406" s="30">
        <f t="shared" si="18"/>
        <v>62.5</v>
      </c>
      <c r="F406" s="12" t="str">
        <f>Absolute_Scores!F406</f>
        <v>@acimlaz</v>
      </c>
      <c r="G406" s="12" t="str">
        <f>Absolute_Scores!G406</f>
        <v>TikTok</v>
      </c>
      <c r="H406" s="29">
        <f>Absolute_Scores!I406</f>
        <v>50</v>
      </c>
      <c r="I406" s="30">
        <f t="shared" si="19"/>
        <v>62.5</v>
      </c>
      <c r="K406" s="12" t="str">
        <f>Absolute_Scores!K406</f>
        <v>@tasyafarasya</v>
      </c>
      <c r="L406" s="12" t="str">
        <f>Absolute_Scores!L406</f>
        <v>Instagram</v>
      </c>
      <c r="M406" s="29">
        <f>Absolute_Scores!N406</f>
        <v>41</v>
      </c>
      <c r="N406" s="30">
        <f t="shared" si="20"/>
        <v>61.19</v>
      </c>
    </row>
    <row r="407" spans="1:14">
      <c r="A407" s="12" t="str">
        <f>Absolute_Scores!A407</f>
        <v>@itsaiiuayu27</v>
      </c>
      <c r="B407" s="12" t="str">
        <f>Absolute_Scores!B407</f>
        <v>Instagram</v>
      </c>
      <c r="C407" s="29">
        <f>Absolute_Scores!D407</f>
        <v>50</v>
      </c>
      <c r="D407" s="30">
        <f t="shared" si="18"/>
        <v>62.5</v>
      </c>
      <c r="F407" s="12" t="str">
        <f>Absolute_Scores!F407</f>
        <v>@acinggu</v>
      </c>
      <c r="G407" s="12" t="str">
        <f>Absolute_Scores!G407</f>
        <v>TikTok</v>
      </c>
      <c r="H407" s="29">
        <f>Absolute_Scores!I407</f>
        <v>50</v>
      </c>
      <c r="I407" s="30">
        <f t="shared" si="19"/>
        <v>62.5</v>
      </c>
      <c r="K407" s="12" t="str">
        <f>Absolute_Scores!K407</f>
        <v>@wulanguritno</v>
      </c>
      <c r="L407" s="12" t="str">
        <f>Absolute_Scores!L407</f>
        <v>Instagram</v>
      </c>
      <c r="M407" s="29">
        <f>Absolute_Scores!N407</f>
        <v>41</v>
      </c>
      <c r="N407" s="30">
        <f t="shared" si="20"/>
        <v>61.19</v>
      </c>
    </row>
    <row r="408" spans="1:14">
      <c r="A408" s="12" t="str">
        <f>Absolute_Scores!A408</f>
        <v>@itsvennyy</v>
      </c>
      <c r="B408" s="12" t="str">
        <f>Absolute_Scores!B408</f>
        <v>Instagram</v>
      </c>
      <c r="C408" s="29">
        <f>Absolute_Scores!D408</f>
        <v>50</v>
      </c>
      <c r="D408" s="30">
        <f t="shared" si="18"/>
        <v>62.5</v>
      </c>
      <c r="F408" s="12" t="str">
        <f>Absolute_Scores!F408</f>
        <v>@adabinacindina</v>
      </c>
      <c r="G408" s="12" t="str">
        <f>Absolute_Scores!G408</f>
        <v>Instagram</v>
      </c>
      <c r="H408" s="29">
        <f>Absolute_Scores!I408</f>
        <v>50</v>
      </c>
      <c r="I408" s="30">
        <f t="shared" si="19"/>
        <v>62.5</v>
      </c>
      <c r="K408" s="12" t="str">
        <f>Absolute_Scores!K408</f>
        <v>@_icedgreentea8</v>
      </c>
      <c r="L408" s="12" t="str">
        <f>Absolute_Scores!L408</f>
        <v>TikTok</v>
      </c>
      <c r="M408" s="29">
        <f>Absolute_Scores!N408</f>
        <v>40</v>
      </c>
      <c r="N408" s="30">
        <f t="shared" si="20"/>
        <v>59.7</v>
      </c>
    </row>
    <row r="409" spans="1:14">
      <c r="A409" s="12" t="str">
        <f>Absolute_Scores!A409</f>
        <v>@iya.nevin</v>
      </c>
      <c r="B409" s="12" t="str">
        <f>Absolute_Scores!B409</f>
        <v>Instagram</v>
      </c>
      <c r="C409" s="29">
        <f>Absolute_Scores!D409</f>
        <v>50</v>
      </c>
      <c r="D409" s="30">
        <f t="shared" si="18"/>
        <v>62.5</v>
      </c>
      <c r="F409" s="12" t="str">
        <f>Absolute_Scores!F409</f>
        <v>@adamfaiiq</v>
      </c>
      <c r="G409" s="12" t="str">
        <f>Absolute_Scores!G409</f>
        <v>TikTok</v>
      </c>
      <c r="H409" s="29">
        <f>Absolute_Scores!I409</f>
        <v>50</v>
      </c>
      <c r="I409" s="30">
        <f t="shared" si="19"/>
        <v>62.5</v>
      </c>
      <c r="K409" s="12" t="str">
        <f>Absolute_Scores!K409</f>
        <v>@agnes_widiautama</v>
      </c>
      <c r="L409" s="12" t="str">
        <f>Absolute_Scores!L409</f>
        <v>Instagram</v>
      </c>
      <c r="M409" s="29">
        <f>Absolute_Scores!N409</f>
        <v>40</v>
      </c>
      <c r="N409" s="30">
        <f t="shared" si="20"/>
        <v>59.7</v>
      </c>
    </row>
    <row r="410" spans="1:14">
      <c r="A410" s="12" t="str">
        <f>Absolute_Scores!A410</f>
        <v>@iyyan_alf</v>
      </c>
      <c r="B410" s="12" t="str">
        <f>Absolute_Scores!B410</f>
        <v>Instagram</v>
      </c>
      <c r="C410" s="29">
        <f>Absolute_Scores!D410</f>
        <v>50</v>
      </c>
      <c r="D410" s="30">
        <f t="shared" si="18"/>
        <v>62.5</v>
      </c>
      <c r="F410" s="12" t="str">
        <f>Absolute_Scores!F410</f>
        <v>@adeauliyar</v>
      </c>
      <c r="G410" s="12" t="str">
        <f>Absolute_Scores!G410</f>
        <v>Instagram</v>
      </c>
      <c r="H410" s="29">
        <f>Absolute_Scores!I410</f>
        <v>50</v>
      </c>
      <c r="I410" s="30">
        <f t="shared" si="19"/>
        <v>62.5</v>
      </c>
      <c r="K410" s="12" t="str">
        <f>Absolute_Scores!K410</f>
        <v>@alecyavebyy</v>
      </c>
      <c r="L410" s="12" t="str">
        <f>Absolute_Scores!L410</f>
        <v>Instagram</v>
      </c>
      <c r="M410" s="29">
        <f>Absolute_Scores!N410</f>
        <v>40</v>
      </c>
      <c r="N410" s="30">
        <f t="shared" si="20"/>
        <v>59.7</v>
      </c>
    </row>
    <row r="411" spans="1:14">
      <c r="A411" s="12" t="str">
        <f>Absolute_Scores!A411</f>
        <v>@izza_ilmi_alyusufi</v>
      </c>
      <c r="B411" s="12" t="str">
        <f>Absolute_Scores!B411</f>
        <v>Instagram</v>
      </c>
      <c r="C411" s="29">
        <f>Absolute_Scores!D411</f>
        <v>50</v>
      </c>
      <c r="D411" s="30">
        <f t="shared" si="18"/>
        <v>62.5</v>
      </c>
      <c r="F411" s="12" t="str">
        <f>Absolute_Scores!F411</f>
        <v>@adel_nurra</v>
      </c>
      <c r="G411" s="12" t="str">
        <f>Absolute_Scores!G411</f>
        <v>Instagram</v>
      </c>
      <c r="H411" s="29">
        <f>Absolute_Scores!I411</f>
        <v>50</v>
      </c>
      <c r="I411" s="30">
        <f t="shared" si="19"/>
        <v>62.5</v>
      </c>
      <c r="K411" s="12" t="str">
        <f>Absolute_Scores!K411</f>
        <v>@amelia_angelineee</v>
      </c>
      <c r="L411" s="12" t="str">
        <f>Absolute_Scores!L411</f>
        <v>Instagram</v>
      </c>
      <c r="M411" s="29">
        <f>Absolute_Scores!N411</f>
        <v>40</v>
      </c>
      <c r="N411" s="30">
        <f t="shared" si="20"/>
        <v>59.7</v>
      </c>
    </row>
    <row r="412" spans="1:14">
      <c r="A412" s="12" t="str">
        <f>Absolute_Scores!A412</f>
        <v>@izza.lubna</v>
      </c>
      <c r="B412" s="12" t="str">
        <f>Absolute_Scores!B412</f>
        <v>Instagram</v>
      </c>
      <c r="C412" s="29">
        <f>Absolute_Scores!D412</f>
        <v>50</v>
      </c>
      <c r="D412" s="30">
        <f t="shared" si="18"/>
        <v>62.5</v>
      </c>
      <c r="F412" s="12" t="str">
        <f>Absolute_Scores!F412</f>
        <v>@adelina.darminto</v>
      </c>
      <c r="G412" s="12" t="str">
        <f>Absolute_Scores!G412</f>
        <v>Instagram</v>
      </c>
      <c r="H412" s="29">
        <f>Absolute_Scores!I412</f>
        <v>50</v>
      </c>
      <c r="I412" s="30">
        <f t="shared" si="19"/>
        <v>62.5</v>
      </c>
      <c r="K412" s="12" t="str">
        <f>Absolute_Scores!K412</f>
        <v>@anazsiantar</v>
      </c>
      <c r="L412" s="12" t="str">
        <f>Absolute_Scores!L412</f>
        <v>Instagram</v>
      </c>
      <c r="M412" s="29">
        <f>Absolute_Scores!N412</f>
        <v>40</v>
      </c>
      <c r="N412" s="30">
        <f t="shared" si="20"/>
        <v>59.7</v>
      </c>
    </row>
    <row r="413" spans="1:14">
      <c r="A413" s="12" t="str">
        <f>Absolute_Scores!A413</f>
        <v>@jennmalita</v>
      </c>
      <c r="B413" s="12" t="str">
        <f>Absolute_Scores!B413</f>
        <v>Instagram</v>
      </c>
      <c r="C413" s="29">
        <f>Absolute_Scores!D413</f>
        <v>50</v>
      </c>
      <c r="D413" s="30">
        <f t="shared" si="18"/>
        <v>62.5</v>
      </c>
      <c r="F413" s="12" t="str">
        <f>Absolute_Scores!F413</f>
        <v>@adeljkt48</v>
      </c>
      <c r="G413" s="12" t="str">
        <f>Absolute_Scores!G413</f>
        <v>TikTok</v>
      </c>
      <c r="H413" s="29">
        <f>Absolute_Scores!I413</f>
        <v>50</v>
      </c>
      <c r="I413" s="30">
        <f t="shared" si="19"/>
        <v>62.5</v>
      </c>
      <c r="K413" s="12" t="str">
        <f>Absolute_Scores!K413</f>
        <v>@arahardiant</v>
      </c>
      <c r="L413" s="12" t="str">
        <f>Absolute_Scores!L413</f>
        <v>Instagram</v>
      </c>
      <c r="M413" s="29">
        <f>Absolute_Scores!N413</f>
        <v>40</v>
      </c>
      <c r="N413" s="30">
        <f t="shared" si="20"/>
        <v>59.7</v>
      </c>
    </row>
    <row r="414" spans="1:14">
      <c r="A414" s="12" t="str">
        <f>Absolute_Scores!A414</f>
        <v>@jerny.sidabutar</v>
      </c>
      <c r="B414" s="12" t="str">
        <f>Absolute_Scores!B414</f>
        <v>Instagram</v>
      </c>
      <c r="C414" s="29">
        <f>Absolute_Scores!D414</f>
        <v>50</v>
      </c>
      <c r="D414" s="30">
        <f t="shared" si="18"/>
        <v>62.5</v>
      </c>
      <c r="F414" s="12" t="str">
        <f>Absolute_Scores!F414</f>
        <v>@adhetora</v>
      </c>
      <c r="G414" s="12" t="str">
        <f>Absolute_Scores!G414</f>
        <v>TikTok</v>
      </c>
      <c r="H414" s="29">
        <f>Absolute_Scores!I414</f>
        <v>50</v>
      </c>
      <c r="I414" s="30">
        <f t="shared" si="19"/>
        <v>62.5</v>
      </c>
      <c r="K414" s="12" t="str">
        <f>Absolute_Scores!K414</f>
        <v>@asriwahyunirais</v>
      </c>
      <c r="L414" s="12" t="str">
        <f>Absolute_Scores!L414</f>
        <v>Instagram</v>
      </c>
      <c r="M414" s="29">
        <f>Absolute_Scores!N414</f>
        <v>40</v>
      </c>
      <c r="N414" s="30">
        <f t="shared" si="20"/>
        <v>59.7</v>
      </c>
    </row>
    <row r="415" spans="1:14">
      <c r="A415" s="12" t="str">
        <f>Absolute_Scores!A415</f>
        <v>@juliyani_06</v>
      </c>
      <c r="B415" s="12" t="str">
        <f>Absolute_Scores!B415</f>
        <v>Instagram</v>
      </c>
      <c r="C415" s="29">
        <f>Absolute_Scores!D415</f>
        <v>50</v>
      </c>
      <c r="D415" s="30">
        <f t="shared" si="18"/>
        <v>62.5</v>
      </c>
      <c r="F415" s="12" t="str">
        <f>Absolute_Scores!F415</f>
        <v>@adianpricil</v>
      </c>
      <c r="G415" s="12" t="str">
        <f>Absolute_Scores!G415</f>
        <v>TikTok</v>
      </c>
      <c r="H415" s="29">
        <f>Absolute_Scores!I415</f>
        <v>50</v>
      </c>
      <c r="I415" s="30">
        <f t="shared" si="19"/>
        <v>62.5</v>
      </c>
      <c r="K415" s="12" t="str">
        <f>Absolute_Scores!K415</f>
        <v>@ayulstrni</v>
      </c>
      <c r="L415" s="12" t="str">
        <f>Absolute_Scores!L415</f>
        <v>Instagram</v>
      </c>
      <c r="M415" s="29">
        <f>Absolute_Scores!N415</f>
        <v>40</v>
      </c>
      <c r="N415" s="30">
        <f t="shared" si="20"/>
        <v>59.7</v>
      </c>
    </row>
    <row r="416" spans="1:14">
      <c r="A416" s="12" t="str">
        <f>Absolute_Scores!A416</f>
        <v>@kakaminda</v>
      </c>
      <c r="B416" s="12" t="str">
        <f>Absolute_Scores!B416</f>
        <v>Instagram</v>
      </c>
      <c r="C416" s="29">
        <f>Absolute_Scores!D416</f>
        <v>50</v>
      </c>
      <c r="D416" s="30">
        <f t="shared" si="18"/>
        <v>62.5</v>
      </c>
      <c r="F416" s="12" t="str">
        <f>Absolute_Scores!F416</f>
        <v>@adibdwitamma</v>
      </c>
      <c r="G416" s="12" t="str">
        <f>Absolute_Scores!G416</f>
        <v>TikTok</v>
      </c>
      <c r="H416" s="29">
        <f>Absolute_Scores!I416</f>
        <v>50</v>
      </c>
      <c r="I416" s="30">
        <f t="shared" si="19"/>
        <v>62.5</v>
      </c>
      <c r="K416" s="12" t="str">
        <f>Absolute_Scores!K416</f>
        <v>@bapak2id</v>
      </c>
      <c r="L416" s="12" t="str">
        <f>Absolute_Scores!L416</f>
        <v>Instagram</v>
      </c>
      <c r="M416" s="29">
        <f>Absolute_Scores!N416</f>
        <v>40</v>
      </c>
      <c r="N416" s="30">
        <f t="shared" si="20"/>
        <v>59.7</v>
      </c>
    </row>
    <row r="417" spans="1:14">
      <c r="A417" s="12" t="str">
        <f>Absolute_Scores!A417</f>
        <v>@kamilaanisa_</v>
      </c>
      <c r="B417" s="12" t="str">
        <f>Absolute_Scores!B417</f>
        <v>Instagram</v>
      </c>
      <c r="C417" s="29">
        <f>Absolute_Scores!D417</f>
        <v>50</v>
      </c>
      <c r="D417" s="30">
        <f t="shared" si="18"/>
        <v>62.5</v>
      </c>
      <c r="F417" s="12" t="str">
        <f>Absolute_Scores!F417</f>
        <v>@adiellaberliani</v>
      </c>
      <c r="G417" s="12" t="str">
        <f>Absolute_Scores!G417</f>
        <v>TikTok</v>
      </c>
      <c r="H417" s="29">
        <f>Absolute_Scores!I417</f>
        <v>50</v>
      </c>
      <c r="I417" s="30">
        <f t="shared" si="19"/>
        <v>62.5</v>
      </c>
      <c r="K417" s="12" t="str">
        <f>Absolute_Scores!K417</f>
        <v>@berliansalim</v>
      </c>
      <c r="L417" s="12" t="str">
        <f>Absolute_Scores!L417</f>
        <v>Instagram</v>
      </c>
      <c r="M417" s="29">
        <f>Absolute_Scores!N417</f>
        <v>40</v>
      </c>
      <c r="N417" s="30">
        <f t="shared" si="20"/>
        <v>59.7</v>
      </c>
    </row>
    <row r="418" spans="1:14">
      <c r="A418" s="12" t="str">
        <f>Absolute_Scores!A418</f>
        <v>@kareenaptr</v>
      </c>
      <c r="B418" s="12" t="str">
        <f>Absolute_Scores!B418</f>
        <v>Instagram</v>
      </c>
      <c r="C418" s="29">
        <f>Absolute_Scores!D418</f>
        <v>50</v>
      </c>
      <c r="D418" s="30">
        <f t="shared" si="18"/>
        <v>62.5</v>
      </c>
      <c r="F418" s="12" t="str">
        <f>Absolute_Scores!F418</f>
        <v>@adifarvn</v>
      </c>
      <c r="G418" s="12" t="str">
        <f>Absolute_Scores!G418</f>
        <v>TikTok</v>
      </c>
      <c r="H418" s="29">
        <f>Absolute_Scores!I418</f>
        <v>50</v>
      </c>
      <c r="I418" s="30">
        <f t="shared" si="19"/>
        <v>62.5</v>
      </c>
      <c r="K418" s="12" t="str">
        <f>Absolute_Scores!K418</f>
        <v>@bogor_update</v>
      </c>
      <c r="L418" s="12" t="str">
        <f>Absolute_Scores!L418</f>
        <v>Instagram</v>
      </c>
      <c r="M418" s="29">
        <f>Absolute_Scores!N418</f>
        <v>40</v>
      </c>
      <c r="N418" s="30">
        <f t="shared" si="20"/>
        <v>59.7</v>
      </c>
    </row>
    <row r="419" spans="1:14">
      <c r="A419" s="12" t="str">
        <f>Absolute_Scores!A419</f>
        <v>@kayraacans</v>
      </c>
      <c r="B419" s="12" t="str">
        <f>Absolute_Scores!B419</f>
        <v>Instagram</v>
      </c>
      <c r="C419" s="29">
        <f>Absolute_Scores!D419</f>
        <v>50</v>
      </c>
      <c r="D419" s="30">
        <f t="shared" si="18"/>
        <v>62.5</v>
      </c>
      <c r="F419" s="12" t="str">
        <f>Absolute_Scores!F419</f>
        <v>@adimback01</v>
      </c>
      <c r="G419" s="12" t="str">
        <f>Absolute_Scores!G419</f>
        <v>Instagram</v>
      </c>
      <c r="H419" s="29">
        <f>Absolute_Scores!I419</f>
        <v>50</v>
      </c>
      <c r="I419" s="30">
        <f t="shared" si="19"/>
        <v>62.5</v>
      </c>
      <c r="K419" s="12" t="str">
        <f>Absolute_Scores!K419</f>
        <v>@cindycendana</v>
      </c>
      <c r="L419" s="12" t="str">
        <f>Absolute_Scores!L419</f>
        <v>Instagram</v>
      </c>
      <c r="M419" s="29">
        <f>Absolute_Scores!N419</f>
        <v>40</v>
      </c>
      <c r="N419" s="30">
        <f t="shared" si="20"/>
        <v>59.7</v>
      </c>
    </row>
    <row r="420" spans="1:14">
      <c r="A420" s="12" t="str">
        <f>Absolute_Scores!A420</f>
        <v>@kellykhey</v>
      </c>
      <c r="B420" s="12" t="str">
        <f>Absolute_Scores!B420</f>
        <v>Instagram</v>
      </c>
      <c r="C420" s="29">
        <f>Absolute_Scores!D420</f>
        <v>50</v>
      </c>
      <c r="D420" s="30">
        <f t="shared" si="18"/>
        <v>62.5</v>
      </c>
      <c r="F420" s="12" t="str">
        <f>Absolute_Scores!F420</f>
        <v>@adjengpdc</v>
      </c>
      <c r="G420" s="12" t="str">
        <f>Absolute_Scores!G420</f>
        <v>Instagram</v>
      </c>
      <c r="H420" s="29">
        <f>Absolute_Scores!I420</f>
        <v>50</v>
      </c>
      <c r="I420" s="30">
        <f t="shared" si="19"/>
        <v>62.5</v>
      </c>
      <c r="K420" s="12" t="str">
        <f>Absolute_Scores!K420</f>
        <v>@dr_danar</v>
      </c>
      <c r="L420" s="12" t="str">
        <f>Absolute_Scores!L420</f>
        <v>Instagram</v>
      </c>
      <c r="M420" s="29">
        <f>Absolute_Scores!N420</f>
        <v>40</v>
      </c>
      <c r="N420" s="30">
        <f t="shared" si="20"/>
        <v>59.7</v>
      </c>
    </row>
    <row r="421" spans="1:14">
      <c r="A421" s="12" t="str">
        <f>Absolute_Scores!A421</f>
        <v>@kharistauvi</v>
      </c>
      <c r="B421" s="12" t="str">
        <f>Absolute_Scores!B421</f>
        <v>Instagram</v>
      </c>
      <c r="C421" s="29">
        <f>Absolute_Scores!D421</f>
        <v>50</v>
      </c>
      <c r="D421" s="30">
        <f t="shared" si="18"/>
        <v>62.5</v>
      </c>
      <c r="F421" s="12" t="str">
        <f>Absolute_Scores!F421</f>
        <v>@adlysagara</v>
      </c>
      <c r="G421" s="12" t="str">
        <f>Absolute_Scores!G421</f>
        <v>TikTok</v>
      </c>
      <c r="H421" s="29">
        <f>Absolute_Scores!I421</f>
        <v>50</v>
      </c>
      <c r="I421" s="30">
        <f t="shared" si="19"/>
        <v>62.5</v>
      </c>
      <c r="K421" s="12" t="str">
        <f>Absolute_Scores!K421</f>
        <v>@dwiaay</v>
      </c>
      <c r="L421" s="12" t="str">
        <f>Absolute_Scores!L421</f>
        <v>Instagram</v>
      </c>
      <c r="M421" s="29">
        <f>Absolute_Scores!N421</f>
        <v>40</v>
      </c>
      <c r="N421" s="30">
        <f t="shared" si="20"/>
        <v>59.7</v>
      </c>
    </row>
    <row r="422" spans="1:14">
      <c r="A422" s="12" t="str">
        <f>Absolute_Scores!A422</f>
        <v>@khilyaa10</v>
      </c>
      <c r="B422" s="12" t="str">
        <f>Absolute_Scores!B422</f>
        <v>Instagram</v>
      </c>
      <c r="C422" s="29">
        <f>Absolute_Scores!D422</f>
        <v>50</v>
      </c>
      <c r="D422" s="30">
        <f t="shared" si="18"/>
        <v>62.5</v>
      </c>
      <c r="F422" s="12" t="str">
        <f>Absolute_Scores!F422</f>
        <v>@adrianjabonga6</v>
      </c>
      <c r="G422" s="12" t="str">
        <f>Absolute_Scores!G422</f>
        <v>TikTok</v>
      </c>
      <c r="H422" s="29">
        <f>Absolute_Scores!I422</f>
        <v>50</v>
      </c>
      <c r="I422" s="30">
        <f t="shared" si="19"/>
        <v>62.5</v>
      </c>
      <c r="K422" s="12" t="str">
        <f>Absolute_Scores!K422</f>
        <v>@fatyabiya</v>
      </c>
      <c r="L422" s="12" t="str">
        <f>Absolute_Scores!L422</f>
        <v>Instagram</v>
      </c>
      <c r="M422" s="29">
        <f>Absolute_Scores!N422</f>
        <v>40</v>
      </c>
      <c r="N422" s="30">
        <f t="shared" si="20"/>
        <v>59.7</v>
      </c>
    </row>
    <row r="423" spans="1:14">
      <c r="A423" s="12" t="str">
        <f>Absolute_Scores!A423</f>
        <v>@klarissa_kl</v>
      </c>
      <c r="B423" s="12" t="str">
        <f>Absolute_Scores!B423</f>
        <v>Instagram</v>
      </c>
      <c r="C423" s="29">
        <f>Absolute_Scores!D423</f>
        <v>50</v>
      </c>
      <c r="D423" s="30">
        <f t="shared" si="18"/>
        <v>62.5</v>
      </c>
      <c r="F423" s="12" t="str">
        <f>Absolute_Scores!F423</f>
        <v>@adriankhalif</v>
      </c>
      <c r="G423" s="12" t="str">
        <f>Absolute_Scores!G423</f>
        <v>Instagram</v>
      </c>
      <c r="H423" s="29">
        <f>Absolute_Scores!I423</f>
        <v>50</v>
      </c>
      <c r="I423" s="30">
        <f t="shared" si="19"/>
        <v>62.5</v>
      </c>
      <c r="K423" s="12" t="str">
        <f>Absolute_Scores!K423</f>
        <v>@fazrikecap_</v>
      </c>
      <c r="L423" s="12" t="str">
        <f>Absolute_Scores!L423</f>
        <v>Instagram</v>
      </c>
      <c r="M423" s="29">
        <f>Absolute_Scores!N423</f>
        <v>40</v>
      </c>
      <c r="N423" s="30">
        <f t="shared" si="20"/>
        <v>59.7</v>
      </c>
    </row>
    <row r="424" spans="1:14">
      <c r="A424" s="12" t="str">
        <f>Absolute_Scores!A424</f>
        <v>@kocak.petcaah</v>
      </c>
      <c r="B424" s="12" t="str">
        <f>Absolute_Scores!B424</f>
        <v>Instagram</v>
      </c>
      <c r="C424" s="29">
        <f>Absolute_Scores!D424</f>
        <v>50</v>
      </c>
      <c r="D424" s="30">
        <f t="shared" si="18"/>
        <v>62.5</v>
      </c>
      <c r="F424" s="12" t="str">
        <f>Absolute_Scores!F424</f>
        <v>@affioktaf</v>
      </c>
      <c r="G424" s="12" t="str">
        <f>Absolute_Scores!G424</f>
        <v>Instagram</v>
      </c>
      <c r="H424" s="29">
        <f>Absolute_Scores!I424</f>
        <v>50</v>
      </c>
      <c r="I424" s="30">
        <f t="shared" si="19"/>
        <v>62.5</v>
      </c>
      <c r="K424" s="12" t="str">
        <f>Absolute_Scores!K424</f>
        <v>@febibuder</v>
      </c>
      <c r="L424" s="12" t="str">
        <f>Absolute_Scores!L424</f>
        <v>Instagram</v>
      </c>
      <c r="M424" s="29">
        <f>Absolute_Scores!N424</f>
        <v>40</v>
      </c>
      <c r="N424" s="30">
        <f t="shared" si="20"/>
        <v>59.7</v>
      </c>
    </row>
    <row r="425" spans="1:14">
      <c r="A425" s="12" t="str">
        <f>Absolute_Scores!A425</f>
        <v>@kokikutv</v>
      </c>
      <c r="B425" s="12" t="str">
        <f>Absolute_Scores!B425</f>
        <v>Instagram</v>
      </c>
      <c r="C425" s="29">
        <f>Absolute_Scores!D425</f>
        <v>50</v>
      </c>
      <c r="D425" s="30">
        <f t="shared" si="18"/>
        <v>62.5</v>
      </c>
      <c r="F425" s="12" t="str">
        <f>Absolute_Scores!F425</f>
        <v>@afira.sya</v>
      </c>
      <c r="G425" s="12" t="str">
        <f>Absolute_Scores!G425</f>
        <v>TikTok</v>
      </c>
      <c r="H425" s="29">
        <f>Absolute_Scores!I425</f>
        <v>50</v>
      </c>
      <c r="I425" s="30">
        <f t="shared" si="19"/>
        <v>62.5</v>
      </c>
      <c r="K425" s="12" t="str">
        <f>Absolute_Scores!K425</f>
        <v>@fidyahaliza_</v>
      </c>
      <c r="L425" s="12" t="str">
        <f>Absolute_Scores!L425</f>
        <v>Instagram</v>
      </c>
      <c r="M425" s="29">
        <f>Absolute_Scores!N425</f>
        <v>40</v>
      </c>
      <c r="N425" s="30">
        <f t="shared" si="20"/>
        <v>59.7</v>
      </c>
    </row>
    <row r="426" spans="1:14">
      <c r="A426" s="12" t="str">
        <f>Absolute_Scores!A426</f>
        <v>@kusumapuu</v>
      </c>
      <c r="B426" s="12" t="str">
        <f>Absolute_Scores!B426</f>
        <v>Instagram</v>
      </c>
      <c r="C426" s="29">
        <f>Absolute_Scores!D426</f>
        <v>50</v>
      </c>
      <c r="D426" s="30">
        <f t="shared" si="18"/>
        <v>62.5</v>
      </c>
      <c r="F426" s="12" t="str">
        <f>Absolute_Scores!F426</f>
        <v>@afiyafiya19</v>
      </c>
      <c r="G426" s="12" t="str">
        <f>Absolute_Scores!G426</f>
        <v>Instagram</v>
      </c>
      <c r="H426" s="29">
        <f>Absolute_Scores!I426</f>
        <v>50</v>
      </c>
      <c r="I426" s="30">
        <f t="shared" si="19"/>
        <v>62.5</v>
      </c>
      <c r="K426" s="12" t="str">
        <f>Absolute_Scores!K426</f>
        <v>@instagram</v>
      </c>
      <c r="L426" s="12" t="str">
        <f>Absolute_Scores!L426</f>
        <v>Instagram</v>
      </c>
      <c r="M426" s="29">
        <f>Absolute_Scores!N426</f>
        <v>40</v>
      </c>
      <c r="N426" s="30">
        <f t="shared" si="20"/>
        <v>59.7</v>
      </c>
    </row>
    <row r="427" spans="1:14">
      <c r="A427" s="12" t="str">
        <f>Absolute_Scores!A427</f>
        <v>@kyim.kusnadireja</v>
      </c>
      <c r="B427" s="12" t="str">
        <f>Absolute_Scores!B427</f>
        <v>Instagram</v>
      </c>
      <c r="C427" s="29">
        <f>Absolute_Scores!D427</f>
        <v>50</v>
      </c>
      <c r="D427" s="30">
        <f t="shared" si="18"/>
        <v>62.5</v>
      </c>
      <c r="F427" s="12" t="str">
        <f>Absolute_Scores!F427</f>
        <v>@afridaluthfiyah</v>
      </c>
      <c r="G427" s="12" t="str">
        <f>Absolute_Scores!G427</f>
        <v>Instagram</v>
      </c>
      <c r="H427" s="29">
        <f>Absolute_Scores!I427</f>
        <v>50</v>
      </c>
      <c r="I427" s="30">
        <f t="shared" si="19"/>
        <v>62.5</v>
      </c>
      <c r="K427" s="12" t="str">
        <f>Absolute_Scores!K427</f>
        <v>@kezia_stephanie</v>
      </c>
      <c r="L427" s="12" t="str">
        <f>Absolute_Scores!L427</f>
        <v>Instagram</v>
      </c>
      <c r="M427" s="29">
        <f>Absolute_Scores!N427</f>
        <v>40</v>
      </c>
      <c r="N427" s="30">
        <f t="shared" si="20"/>
        <v>59.7</v>
      </c>
    </row>
    <row r="428" spans="1:14">
      <c r="A428" s="12" t="str">
        <f>Absolute_Scores!A428</f>
        <v>@l_lela99</v>
      </c>
      <c r="B428" s="12" t="str">
        <f>Absolute_Scores!B428</f>
        <v>Instagram</v>
      </c>
      <c r="C428" s="29">
        <f>Absolute_Scores!D428</f>
        <v>50</v>
      </c>
      <c r="D428" s="30">
        <f t="shared" si="18"/>
        <v>62.5</v>
      </c>
      <c r="F428" s="12" t="str">
        <f>Absolute_Scores!F428</f>
        <v>@afrinaltist</v>
      </c>
      <c r="G428" s="12" t="str">
        <f>Absolute_Scores!G428</f>
        <v>TikTok</v>
      </c>
      <c r="H428" s="29">
        <f>Absolute_Scores!I428</f>
        <v>50</v>
      </c>
      <c r="I428" s="30">
        <f t="shared" si="19"/>
        <v>62.5</v>
      </c>
      <c r="K428" s="12" t="str">
        <f>Absolute_Scores!K428</f>
        <v>@kianara.nay</v>
      </c>
      <c r="L428" s="12" t="str">
        <f>Absolute_Scores!L428</f>
        <v>Instagram</v>
      </c>
      <c r="M428" s="29">
        <f>Absolute_Scores!N428</f>
        <v>40</v>
      </c>
      <c r="N428" s="30">
        <f t="shared" si="20"/>
        <v>59.7</v>
      </c>
    </row>
    <row r="429" spans="1:14">
      <c r="A429" s="12" t="str">
        <f>Absolute_Scores!A429</f>
        <v>@laili_amalina</v>
      </c>
      <c r="B429" s="12" t="str">
        <f>Absolute_Scores!B429</f>
        <v>Instagram</v>
      </c>
      <c r="C429" s="29">
        <f>Absolute_Scores!D429</f>
        <v>50</v>
      </c>
      <c r="D429" s="30">
        <f t="shared" si="18"/>
        <v>62.5</v>
      </c>
      <c r="F429" s="12" t="str">
        <f>Absolute_Scores!F429</f>
        <v>@agneswidiautama</v>
      </c>
      <c r="G429" s="12" t="str">
        <f>Absolute_Scores!G429</f>
        <v>TikTok</v>
      </c>
      <c r="H429" s="29">
        <f>Absolute_Scores!I429</f>
        <v>50</v>
      </c>
      <c r="I429" s="30">
        <f t="shared" si="19"/>
        <v>62.5</v>
      </c>
      <c r="K429" s="12" t="str">
        <f>Absolute_Scores!K429</f>
        <v>@lee.bella999</v>
      </c>
      <c r="L429" s="12" t="str">
        <f>Absolute_Scores!L429</f>
        <v>Instagram</v>
      </c>
      <c r="M429" s="29">
        <f>Absolute_Scores!N429</f>
        <v>40</v>
      </c>
      <c r="N429" s="30">
        <f t="shared" si="20"/>
        <v>59.7</v>
      </c>
    </row>
    <row r="430" spans="1:14">
      <c r="A430" s="12" t="str">
        <f>Absolute_Scores!A430</f>
        <v>@leandrashye</v>
      </c>
      <c r="B430" s="12" t="str">
        <f>Absolute_Scores!B430</f>
        <v>Instagram</v>
      </c>
      <c r="C430" s="29">
        <f>Absolute_Scores!D430</f>
        <v>50</v>
      </c>
      <c r="D430" s="30">
        <f t="shared" si="18"/>
        <v>62.5</v>
      </c>
      <c r="F430" s="12" t="str">
        <f>Absolute_Scores!F430</f>
        <v>@agnezteee</v>
      </c>
      <c r="G430" s="12" t="str">
        <f>Absolute_Scores!G430</f>
        <v>TikTok</v>
      </c>
      <c r="H430" s="29">
        <f>Absolute_Scores!I430</f>
        <v>50</v>
      </c>
      <c r="I430" s="30">
        <f t="shared" si="19"/>
        <v>62.5</v>
      </c>
      <c r="K430" s="12" t="str">
        <f>Absolute_Scores!K430</f>
        <v>@litahutami</v>
      </c>
      <c r="L430" s="12" t="str">
        <f>Absolute_Scores!L430</f>
        <v>Instagram</v>
      </c>
      <c r="M430" s="29">
        <f>Absolute_Scores!N430</f>
        <v>40</v>
      </c>
      <c r="N430" s="30">
        <f t="shared" si="20"/>
        <v>59.7</v>
      </c>
    </row>
    <row r="431" spans="1:14">
      <c r="A431" s="12" t="str">
        <f>Absolute_Scores!A431</f>
        <v>@lelynsf</v>
      </c>
      <c r="B431" s="12" t="str">
        <f>Absolute_Scores!B431</f>
        <v>Instagram</v>
      </c>
      <c r="C431" s="29">
        <f>Absolute_Scores!D431</f>
        <v>50</v>
      </c>
      <c r="D431" s="30">
        <f t="shared" si="18"/>
        <v>62.5</v>
      </c>
      <c r="F431" s="12" t="str">
        <f>Absolute_Scores!F431</f>
        <v>@agunggg03__</v>
      </c>
      <c r="G431" s="12" t="str">
        <f>Absolute_Scores!G431</f>
        <v>Instagram</v>
      </c>
      <c r="H431" s="29">
        <f>Absolute_Scores!I431</f>
        <v>50</v>
      </c>
      <c r="I431" s="30">
        <f t="shared" si="19"/>
        <v>62.5</v>
      </c>
      <c r="K431" s="12" t="str">
        <f>Absolute_Scores!K431</f>
        <v>@maggiekholine</v>
      </c>
      <c r="L431" s="12" t="str">
        <f>Absolute_Scores!L431</f>
        <v>Instagram</v>
      </c>
      <c r="M431" s="29">
        <f>Absolute_Scores!N431</f>
        <v>40</v>
      </c>
      <c r="N431" s="30">
        <f t="shared" si="20"/>
        <v>59.7</v>
      </c>
    </row>
    <row r="432" spans="1:14">
      <c r="A432" s="12" t="str">
        <f>Absolute_Scores!A432</f>
        <v>@lenafachan</v>
      </c>
      <c r="B432" s="12" t="str">
        <f>Absolute_Scores!B432</f>
        <v>Instagram</v>
      </c>
      <c r="C432" s="29">
        <f>Absolute_Scores!D432</f>
        <v>50</v>
      </c>
      <c r="D432" s="30">
        <f t="shared" si="18"/>
        <v>62.5</v>
      </c>
      <c r="F432" s="12" t="str">
        <f>Absolute_Scores!F432</f>
        <v>@agungmerryzky</v>
      </c>
      <c r="G432" s="12" t="str">
        <f>Absolute_Scores!G432</f>
        <v>TikTok</v>
      </c>
      <c r="H432" s="29">
        <f>Absolute_Scores!I432</f>
        <v>50</v>
      </c>
      <c r="I432" s="30">
        <f t="shared" si="19"/>
        <v>62.5</v>
      </c>
      <c r="K432" s="12" t="str">
        <f>Absolute_Scores!K432</f>
        <v>@meilianacen</v>
      </c>
      <c r="L432" s="12" t="str">
        <f>Absolute_Scores!L432</f>
        <v>Instagram</v>
      </c>
      <c r="M432" s="29">
        <f>Absolute_Scores!N432</f>
        <v>40</v>
      </c>
      <c r="N432" s="30">
        <f t="shared" si="20"/>
        <v>59.7</v>
      </c>
    </row>
    <row r="433" spans="1:14">
      <c r="A433" s="12" t="str">
        <f>Absolute_Scores!A433</f>
        <v>@lidiawildhasonata</v>
      </c>
      <c r="B433" s="12" t="str">
        <f>Absolute_Scores!B433</f>
        <v>Instagram</v>
      </c>
      <c r="C433" s="29">
        <f>Absolute_Scores!D433</f>
        <v>50</v>
      </c>
      <c r="D433" s="30">
        <f t="shared" si="18"/>
        <v>62.5</v>
      </c>
      <c r="F433" s="12" t="str">
        <f>Absolute_Scores!F433</f>
        <v>@agustin_silvi</v>
      </c>
      <c r="G433" s="12" t="str">
        <f>Absolute_Scores!G433</f>
        <v>Instagram</v>
      </c>
      <c r="H433" s="29">
        <f>Absolute_Scores!I433</f>
        <v>50</v>
      </c>
      <c r="I433" s="30">
        <f t="shared" si="19"/>
        <v>62.5</v>
      </c>
      <c r="K433" s="12" t="str">
        <f>Absolute_Scores!K433</f>
        <v>@ns_rdt</v>
      </c>
      <c r="L433" s="12" t="str">
        <f>Absolute_Scores!L433</f>
        <v>Instagram</v>
      </c>
      <c r="M433" s="29">
        <f>Absolute_Scores!N433</f>
        <v>40</v>
      </c>
      <c r="N433" s="30">
        <f t="shared" si="20"/>
        <v>59.7</v>
      </c>
    </row>
    <row r="434" spans="1:14">
      <c r="A434" s="12" t="str">
        <f>Absolute_Scores!A434</f>
        <v>@linarahma17</v>
      </c>
      <c r="B434" s="12" t="str">
        <f>Absolute_Scores!B434</f>
        <v>Instagram</v>
      </c>
      <c r="C434" s="29">
        <f>Absolute_Scores!D434</f>
        <v>50</v>
      </c>
      <c r="D434" s="30">
        <f t="shared" si="18"/>
        <v>62.5</v>
      </c>
      <c r="F434" s="12" t="str">
        <f>Absolute_Scores!F434</f>
        <v>@ah.yayaa</v>
      </c>
      <c r="G434" s="12" t="str">
        <f>Absolute_Scores!G434</f>
        <v>Instagram</v>
      </c>
      <c r="H434" s="29">
        <f>Absolute_Scores!I434</f>
        <v>50</v>
      </c>
      <c r="I434" s="30">
        <f t="shared" si="19"/>
        <v>62.5</v>
      </c>
      <c r="K434" s="12" t="str">
        <f>Absolute_Scores!K434</f>
        <v>@nyamwithinopp</v>
      </c>
      <c r="L434" s="12" t="str">
        <f>Absolute_Scores!L434</f>
        <v>Instagram</v>
      </c>
      <c r="M434" s="29">
        <f>Absolute_Scores!N434</f>
        <v>40</v>
      </c>
      <c r="N434" s="30">
        <f t="shared" si="20"/>
        <v>59.7</v>
      </c>
    </row>
    <row r="435" spans="1:14">
      <c r="A435" s="12" t="str">
        <f>Absolute_Scores!A435</f>
        <v>@liputpiutzpiut</v>
      </c>
      <c r="B435" s="12" t="str">
        <f>Absolute_Scores!B435</f>
        <v>Instagram</v>
      </c>
      <c r="C435" s="29">
        <f>Absolute_Scores!D435</f>
        <v>50</v>
      </c>
      <c r="D435" s="30">
        <f t="shared" si="18"/>
        <v>62.5</v>
      </c>
      <c r="F435" s="12" t="str">
        <f>Absolute_Scores!F435</f>
        <v>@ainunsway</v>
      </c>
      <c r="G435" s="12" t="str">
        <f>Absolute_Scores!G435</f>
        <v>Instagram</v>
      </c>
      <c r="H435" s="29">
        <f>Absolute_Scores!I435</f>
        <v>50</v>
      </c>
      <c r="I435" s="30">
        <f t="shared" si="19"/>
        <v>62.5</v>
      </c>
      <c r="K435" s="12" t="str">
        <f>Absolute_Scores!K435</f>
        <v>@okkapratama</v>
      </c>
      <c r="L435" s="12" t="str">
        <f>Absolute_Scores!L435</f>
        <v>Instagram</v>
      </c>
      <c r="M435" s="29">
        <f>Absolute_Scores!N435</f>
        <v>40</v>
      </c>
      <c r="N435" s="30">
        <f t="shared" si="20"/>
        <v>59.7</v>
      </c>
    </row>
    <row r="436" spans="1:14">
      <c r="A436" s="12" t="str">
        <f>Absolute_Scores!A436</f>
        <v>@lisaandini25</v>
      </c>
      <c r="B436" s="12" t="str">
        <f>Absolute_Scores!B436</f>
        <v>Instagram</v>
      </c>
      <c r="C436" s="29">
        <f>Absolute_Scores!D436</f>
        <v>50</v>
      </c>
      <c r="D436" s="30">
        <f t="shared" si="18"/>
        <v>62.5</v>
      </c>
      <c r="F436" s="12" t="str">
        <f>Absolute_Scores!F436</f>
        <v>@ainybariqq</v>
      </c>
      <c r="G436" s="12" t="str">
        <f>Absolute_Scores!G436</f>
        <v>Instagram</v>
      </c>
      <c r="H436" s="29">
        <f>Absolute_Scores!I436</f>
        <v>50</v>
      </c>
      <c r="I436" s="30">
        <f t="shared" si="19"/>
        <v>62.5</v>
      </c>
      <c r="K436" s="12" t="str">
        <f>Absolute_Scores!K436</f>
        <v>@properbeauty.id</v>
      </c>
      <c r="L436" s="12" t="str">
        <f>Absolute_Scores!L436</f>
        <v>Instagram</v>
      </c>
      <c r="M436" s="29">
        <f>Absolute_Scores!N436</f>
        <v>40</v>
      </c>
      <c r="N436" s="30">
        <f t="shared" si="20"/>
        <v>59.7</v>
      </c>
    </row>
    <row r="437" spans="1:14">
      <c r="A437" s="12" t="str">
        <f>Absolute_Scores!A437</f>
        <v>@lucky_wlf</v>
      </c>
      <c r="B437" s="12" t="str">
        <f>Absolute_Scores!B437</f>
        <v>Instagram</v>
      </c>
      <c r="C437" s="29">
        <f>Absolute_Scores!D437</f>
        <v>50</v>
      </c>
      <c r="D437" s="30">
        <f t="shared" si="18"/>
        <v>62.5</v>
      </c>
      <c r="F437" s="12" t="str">
        <f>Absolute_Scores!F437</f>
        <v>@aisyahhaa_</v>
      </c>
      <c r="G437" s="12" t="str">
        <f>Absolute_Scores!G437</f>
        <v>TikTok</v>
      </c>
      <c r="H437" s="29">
        <f>Absolute_Scores!I437</f>
        <v>50</v>
      </c>
      <c r="I437" s="30">
        <f t="shared" si="19"/>
        <v>62.5</v>
      </c>
      <c r="K437" s="12" t="str">
        <f>Absolute_Scores!K437</f>
        <v>@rhasiebatara</v>
      </c>
      <c r="L437" s="12" t="str">
        <f>Absolute_Scores!L437</f>
        <v>Instagram</v>
      </c>
      <c r="M437" s="29">
        <f>Absolute_Scores!N437</f>
        <v>40</v>
      </c>
      <c r="N437" s="30">
        <f t="shared" si="20"/>
        <v>59.7</v>
      </c>
    </row>
    <row r="438" spans="1:14">
      <c r="A438" s="12" t="str">
        <f>Absolute_Scores!A438</f>
        <v>@lulurinjanim12</v>
      </c>
      <c r="B438" s="12" t="str">
        <f>Absolute_Scores!B438</f>
        <v>Instagram</v>
      </c>
      <c r="C438" s="29">
        <f>Absolute_Scores!D438</f>
        <v>50</v>
      </c>
      <c r="D438" s="30">
        <f t="shared" si="18"/>
        <v>62.5</v>
      </c>
      <c r="F438" s="12" t="str">
        <f>Absolute_Scores!F438</f>
        <v>@aisykaspol</v>
      </c>
      <c r="G438" s="12" t="str">
        <f>Absolute_Scores!G438</f>
        <v>TikTok</v>
      </c>
      <c r="H438" s="29">
        <f>Absolute_Scores!I438</f>
        <v>50</v>
      </c>
      <c r="I438" s="30">
        <f t="shared" si="19"/>
        <v>62.5</v>
      </c>
      <c r="K438" s="12" t="str">
        <f>Absolute_Scores!K438</f>
        <v>@ria.ria14</v>
      </c>
      <c r="L438" s="12" t="str">
        <f>Absolute_Scores!L438</f>
        <v>Instagram</v>
      </c>
      <c r="M438" s="29">
        <f>Absolute_Scores!N438</f>
        <v>40</v>
      </c>
      <c r="N438" s="30">
        <f t="shared" si="20"/>
        <v>59.7</v>
      </c>
    </row>
    <row r="439" spans="1:14">
      <c r="A439" s="12" t="str">
        <f>Absolute_Scores!A439</f>
        <v>@ma_donnnaaa_</v>
      </c>
      <c r="B439" s="12" t="str">
        <f>Absolute_Scores!B439</f>
        <v>Instagram</v>
      </c>
      <c r="C439" s="29">
        <f>Absolute_Scores!D439</f>
        <v>50</v>
      </c>
      <c r="D439" s="30">
        <f t="shared" si="18"/>
        <v>62.5</v>
      </c>
      <c r="F439" s="12" t="str">
        <f>Absolute_Scores!F439</f>
        <v>@ajenggee16</v>
      </c>
      <c r="G439" s="12" t="str">
        <f>Absolute_Scores!G439</f>
        <v>Instagram</v>
      </c>
      <c r="H439" s="29">
        <f>Absolute_Scores!I439</f>
        <v>50</v>
      </c>
      <c r="I439" s="30">
        <f t="shared" si="19"/>
        <v>62.5</v>
      </c>
      <c r="K439" s="12" t="str">
        <f>Absolute_Scores!K439</f>
        <v>@riezhaaulia</v>
      </c>
      <c r="L439" s="12" t="str">
        <f>Absolute_Scores!L439</f>
        <v>Instagram</v>
      </c>
      <c r="M439" s="29">
        <f>Absolute_Scores!N439</f>
        <v>40</v>
      </c>
      <c r="N439" s="30">
        <f t="shared" si="20"/>
        <v>59.7</v>
      </c>
    </row>
    <row r="440" spans="1:14">
      <c r="A440" s="12" t="str">
        <f>Absolute_Scores!A440</f>
        <v>@mainikki95</v>
      </c>
      <c r="B440" s="12" t="str">
        <f>Absolute_Scores!B440</f>
        <v>Instagram</v>
      </c>
      <c r="C440" s="29">
        <f>Absolute_Scores!D440</f>
        <v>50</v>
      </c>
      <c r="D440" s="30">
        <f t="shared" si="18"/>
        <v>62.5</v>
      </c>
      <c r="F440" s="12" t="str">
        <f>Absolute_Scores!F440</f>
        <v>@ajenglestari18</v>
      </c>
      <c r="G440" s="12" t="str">
        <f>Absolute_Scores!G440</f>
        <v>TikTok</v>
      </c>
      <c r="H440" s="29">
        <f>Absolute_Scores!I440</f>
        <v>50</v>
      </c>
      <c r="I440" s="30">
        <f t="shared" si="19"/>
        <v>62.5</v>
      </c>
      <c r="K440" s="12" t="str">
        <f>Absolute_Scores!K440</f>
        <v>@shannondorothea</v>
      </c>
      <c r="L440" s="12" t="str">
        <f>Absolute_Scores!L440</f>
        <v>Instagram</v>
      </c>
      <c r="M440" s="29">
        <f>Absolute_Scores!N440</f>
        <v>40</v>
      </c>
      <c r="N440" s="30">
        <f t="shared" si="20"/>
        <v>59.7</v>
      </c>
    </row>
    <row r="441" spans="1:14">
      <c r="A441" s="12" t="str">
        <f>Absolute_Scores!A441</f>
        <v>@mamahnavp_channel</v>
      </c>
      <c r="B441" s="12" t="str">
        <f>Absolute_Scores!B441</f>
        <v>Instagram</v>
      </c>
      <c r="C441" s="29">
        <f>Absolute_Scores!D441</f>
        <v>50</v>
      </c>
      <c r="D441" s="30">
        <f t="shared" si="18"/>
        <v>62.5</v>
      </c>
      <c r="F441" s="12" t="str">
        <f>Absolute_Scores!F441</f>
        <v>@ajengptrn</v>
      </c>
      <c r="G441" s="12" t="str">
        <f>Absolute_Scores!G441</f>
        <v>Instagram</v>
      </c>
      <c r="H441" s="29">
        <f>Absolute_Scores!I441</f>
        <v>50</v>
      </c>
      <c r="I441" s="30">
        <f t="shared" si="19"/>
        <v>62.5</v>
      </c>
      <c r="K441" s="12" t="str">
        <f>Absolute_Scores!K441</f>
        <v>@sing.adisastro</v>
      </c>
      <c r="L441" s="12" t="str">
        <f>Absolute_Scores!L441</f>
        <v>Instagram</v>
      </c>
      <c r="M441" s="29">
        <f>Absolute_Scores!N441</f>
        <v>40</v>
      </c>
      <c r="N441" s="30">
        <f t="shared" si="20"/>
        <v>59.7</v>
      </c>
    </row>
    <row r="442" spans="1:14">
      <c r="A442" s="12" t="str">
        <f>Absolute_Scores!A442</f>
        <v>@mankook_</v>
      </c>
      <c r="B442" s="12" t="str">
        <f>Absolute_Scores!B442</f>
        <v>Instagram</v>
      </c>
      <c r="C442" s="29">
        <f>Absolute_Scores!D442</f>
        <v>50</v>
      </c>
      <c r="D442" s="30">
        <f t="shared" si="18"/>
        <v>62.5</v>
      </c>
      <c r="F442" s="12" t="str">
        <f>Absolute_Scores!F442</f>
        <v>@ajengsekartiwi</v>
      </c>
      <c r="G442" s="12" t="str">
        <f>Absolute_Scores!G442</f>
        <v>Instagram</v>
      </c>
      <c r="H442" s="29">
        <f>Absolute_Scores!I442</f>
        <v>50</v>
      </c>
      <c r="I442" s="30">
        <f t="shared" si="19"/>
        <v>62.5</v>
      </c>
      <c r="K442" s="12" t="str">
        <f>Absolute_Scores!K442</f>
        <v>@siskasaragih</v>
      </c>
      <c r="L442" s="12" t="str">
        <f>Absolute_Scores!L442</f>
        <v>Instagram</v>
      </c>
      <c r="M442" s="29">
        <f>Absolute_Scores!N442</f>
        <v>40</v>
      </c>
      <c r="N442" s="30">
        <f t="shared" si="20"/>
        <v>59.7</v>
      </c>
    </row>
    <row r="443" spans="1:14">
      <c r="A443" s="12" t="str">
        <f>Absolute_Scores!A443</f>
        <v>@marsyarmitha</v>
      </c>
      <c r="B443" s="12" t="str">
        <f>Absolute_Scores!B443</f>
        <v>Instagram</v>
      </c>
      <c r="C443" s="29">
        <f>Absolute_Scores!D443</f>
        <v>50</v>
      </c>
      <c r="D443" s="30">
        <f t="shared" si="18"/>
        <v>62.5</v>
      </c>
      <c r="F443" s="12" t="str">
        <f>Absolute_Scores!F443</f>
        <v>@aksel.lolly</v>
      </c>
      <c r="G443" s="12" t="str">
        <f>Absolute_Scores!G443</f>
        <v>TikTok</v>
      </c>
      <c r="H443" s="29">
        <f>Absolute_Scores!I443</f>
        <v>50</v>
      </c>
      <c r="I443" s="30">
        <f t="shared" si="19"/>
        <v>62.5</v>
      </c>
      <c r="K443" s="12" t="str">
        <f>Absolute_Scores!K443</f>
        <v>@valeriastahlk</v>
      </c>
      <c r="L443" s="12" t="str">
        <f>Absolute_Scores!L443</f>
        <v>Instagram</v>
      </c>
      <c r="M443" s="29">
        <f>Absolute_Scores!N443</f>
        <v>40</v>
      </c>
      <c r="N443" s="30">
        <f t="shared" si="20"/>
        <v>59.7</v>
      </c>
    </row>
    <row r="444" spans="1:14">
      <c r="A444" s="12" t="str">
        <f>Absolute_Scores!A444</f>
        <v>@martika_tirta</v>
      </c>
      <c r="B444" s="12" t="str">
        <f>Absolute_Scores!B444</f>
        <v>Instagram</v>
      </c>
      <c r="C444" s="29">
        <f>Absolute_Scores!D444</f>
        <v>50</v>
      </c>
      <c r="D444" s="30">
        <f t="shared" si="18"/>
        <v>62.5</v>
      </c>
      <c r="F444" s="12" t="str">
        <f>Absolute_Scores!F444</f>
        <v>@akubeingrandom</v>
      </c>
      <c r="G444" s="12" t="str">
        <f>Absolute_Scores!G444</f>
        <v>TikTok</v>
      </c>
      <c r="H444" s="29">
        <f>Absolute_Scores!I444</f>
        <v>50</v>
      </c>
      <c r="I444" s="30">
        <f t="shared" si="19"/>
        <v>62.5</v>
      </c>
      <c r="K444" s="12" t="str">
        <f>Absolute_Scores!K444</f>
        <v>@wetgloss</v>
      </c>
      <c r="L444" s="12" t="str">
        <f>Absolute_Scores!L444</f>
        <v>Instagram</v>
      </c>
      <c r="M444" s="29">
        <f>Absolute_Scores!N444</f>
        <v>40</v>
      </c>
      <c r="N444" s="30">
        <f t="shared" si="20"/>
        <v>59.7</v>
      </c>
    </row>
    <row r="445" spans="1:14">
      <c r="A445" s="12" t="str">
        <f>Absolute_Scores!A445</f>
        <v>@mawarsiska20</v>
      </c>
      <c r="B445" s="12" t="str">
        <f>Absolute_Scores!B445</f>
        <v>Instagram</v>
      </c>
      <c r="C445" s="29">
        <f>Absolute_Scores!D445</f>
        <v>50</v>
      </c>
      <c r="D445" s="30">
        <f t="shared" si="18"/>
        <v>62.5</v>
      </c>
      <c r="F445" s="12" t="str">
        <f>Absolute_Scores!F445</f>
        <v>@akundefazz</v>
      </c>
      <c r="G445" s="12" t="str">
        <f>Absolute_Scores!G445</f>
        <v>Instagram</v>
      </c>
      <c r="H445" s="29">
        <f>Absolute_Scores!I445</f>
        <v>50</v>
      </c>
      <c r="I445" s="30">
        <f t="shared" si="19"/>
        <v>62.5</v>
      </c>
      <c r="K445" s="12" t="str">
        <f>Absolute_Scores!K445</f>
        <v>@abouttng</v>
      </c>
      <c r="L445" s="12" t="str">
        <f>Absolute_Scores!L445</f>
        <v>Instagram</v>
      </c>
      <c r="M445" s="29">
        <f>Absolute_Scores!N445</f>
        <v>39</v>
      </c>
      <c r="N445" s="30">
        <f t="shared" si="20"/>
        <v>58.21</v>
      </c>
    </row>
    <row r="446" spans="1:14">
      <c r="A446" s="12" t="str">
        <f>Absolute_Scores!A446</f>
        <v>@mayadestira</v>
      </c>
      <c r="B446" s="12" t="str">
        <f>Absolute_Scores!B446</f>
        <v>Instagram</v>
      </c>
      <c r="C446" s="29">
        <f>Absolute_Scores!D446</f>
        <v>50</v>
      </c>
      <c r="D446" s="30">
        <f t="shared" si="18"/>
        <v>62.5</v>
      </c>
      <c r="F446" s="12" t="str">
        <f>Absolute_Scores!F446</f>
        <v>@akuumii17</v>
      </c>
      <c r="G446" s="12" t="str">
        <f>Absolute_Scores!G446</f>
        <v>TikTok</v>
      </c>
      <c r="H446" s="29">
        <f>Absolute_Scores!I446</f>
        <v>50</v>
      </c>
      <c r="I446" s="30">
        <f t="shared" si="19"/>
        <v>62.5</v>
      </c>
      <c r="K446" s="12" t="str">
        <f>Absolute_Scores!K446</f>
        <v>@alexeffendhy</v>
      </c>
      <c r="L446" s="12" t="str">
        <f>Absolute_Scores!L446</f>
        <v>Instagram</v>
      </c>
      <c r="M446" s="29">
        <f>Absolute_Scores!N446</f>
        <v>39</v>
      </c>
      <c r="N446" s="30">
        <f t="shared" si="20"/>
        <v>58.21</v>
      </c>
    </row>
    <row r="447" spans="1:14">
      <c r="A447" s="12" t="str">
        <f>Absolute_Scores!A447</f>
        <v>@mayrisaputri</v>
      </c>
      <c r="B447" s="12" t="str">
        <f>Absolute_Scores!B447</f>
        <v>Instagram</v>
      </c>
      <c r="C447" s="29">
        <f>Absolute_Scores!D447</f>
        <v>50</v>
      </c>
      <c r="D447" s="30">
        <f t="shared" si="18"/>
        <v>62.5</v>
      </c>
      <c r="F447" s="12" t="str">
        <f>Absolute_Scores!F447</f>
        <v>@al_hanaroo</v>
      </c>
      <c r="G447" s="12" t="str">
        <f>Absolute_Scores!G447</f>
        <v>TikTok</v>
      </c>
      <c r="H447" s="29">
        <f>Absolute_Scores!I447</f>
        <v>50</v>
      </c>
      <c r="I447" s="30">
        <f t="shared" si="19"/>
        <v>62.5</v>
      </c>
      <c r="K447" s="12" t="str">
        <f>Absolute_Scores!K447</f>
        <v>@almamestika</v>
      </c>
      <c r="L447" s="12" t="str">
        <f>Absolute_Scores!L447</f>
        <v>Instagram</v>
      </c>
      <c r="M447" s="29">
        <f>Absolute_Scores!N447</f>
        <v>39</v>
      </c>
      <c r="N447" s="30">
        <f t="shared" si="20"/>
        <v>58.21</v>
      </c>
    </row>
    <row r="448" spans="1:14">
      <c r="A448" s="12" t="str">
        <f>Absolute_Scores!A448</f>
        <v>@megaputripamungkas</v>
      </c>
      <c r="B448" s="12" t="str">
        <f>Absolute_Scores!B448</f>
        <v>Instagram</v>
      </c>
      <c r="C448" s="29">
        <f>Absolute_Scores!D448</f>
        <v>50</v>
      </c>
      <c r="D448" s="30">
        <f t="shared" si="18"/>
        <v>62.5</v>
      </c>
      <c r="F448" s="12" t="str">
        <f>Absolute_Scores!F448</f>
        <v>@al.wahab_</v>
      </c>
      <c r="G448" s="12" t="str">
        <f>Absolute_Scores!G448</f>
        <v>Instagram</v>
      </c>
      <c r="H448" s="29">
        <f>Absolute_Scores!I448</f>
        <v>50</v>
      </c>
      <c r="I448" s="30">
        <f t="shared" si="19"/>
        <v>62.5</v>
      </c>
      <c r="K448" s="12" t="str">
        <f>Absolute_Scores!K448</f>
        <v>@anniska_suwasdy</v>
      </c>
      <c r="L448" s="12" t="str">
        <f>Absolute_Scores!L448</f>
        <v>Instagram</v>
      </c>
      <c r="M448" s="29">
        <f>Absolute_Scores!N448</f>
        <v>39</v>
      </c>
      <c r="N448" s="30">
        <f t="shared" si="20"/>
        <v>58.21</v>
      </c>
    </row>
    <row r="449" spans="1:14">
      <c r="A449" s="12" t="str">
        <f>Absolute_Scores!A449</f>
        <v>@meikefatimah</v>
      </c>
      <c r="B449" s="12" t="str">
        <f>Absolute_Scores!B449</f>
        <v>Instagram</v>
      </c>
      <c r="C449" s="29">
        <f>Absolute_Scores!D449</f>
        <v>50</v>
      </c>
      <c r="D449" s="30">
        <f t="shared" si="18"/>
        <v>62.5</v>
      </c>
      <c r="F449" s="12" t="str">
        <f>Absolute_Scores!F449</f>
        <v>@alamjayya</v>
      </c>
      <c r="G449" s="12" t="str">
        <f>Absolute_Scores!G449</f>
        <v>TikTok</v>
      </c>
      <c r="H449" s="29">
        <f>Absolute_Scores!I449</f>
        <v>50</v>
      </c>
      <c r="I449" s="30">
        <f t="shared" si="19"/>
        <v>62.5</v>
      </c>
      <c r="K449" s="12" t="str">
        <f>Absolute_Scores!K449</f>
        <v>@bodyfitbybagus</v>
      </c>
      <c r="L449" s="12" t="str">
        <f>Absolute_Scores!L449</f>
        <v>Instagram</v>
      </c>
      <c r="M449" s="29">
        <f>Absolute_Scores!N449</f>
        <v>39</v>
      </c>
      <c r="N449" s="30">
        <f t="shared" si="20"/>
        <v>58.21</v>
      </c>
    </row>
    <row r="450" spans="1:14">
      <c r="A450" s="12" t="str">
        <f>Absolute_Scores!A450</f>
        <v>@melaaprilia74_</v>
      </c>
      <c r="B450" s="12" t="str">
        <f>Absolute_Scores!B450</f>
        <v>Instagram</v>
      </c>
      <c r="C450" s="29">
        <f>Absolute_Scores!D450</f>
        <v>50</v>
      </c>
      <c r="D450" s="30">
        <f t="shared" si="18"/>
        <v>62.5</v>
      </c>
      <c r="F450" s="12" t="str">
        <f>Absolute_Scores!F450</f>
        <v>@alannaumsntk</v>
      </c>
      <c r="G450" s="12" t="str">
        <f>Absolute_Scores!G450</f>
        <v>TikTok</v>
      </c>
      <c r="H450" s="29">
        <f>Absolute_Scores!I450</f>
        <v>50</v>
      </c>
      <c r="I450" s="30">
        <f t="shared" si="19"/>
        <v>62.5</v>
      </c>
      <c r="K450" s="12" t="str">
        <f>Absolute_Scores!K450</f>
        <v>@calistaangelina</v>
      </c>
      <c r="L450" s="12" t="str">
        <f>Absolute_Scores!L450</f>
        <v>Instagram</v>
      </c>
      <c r="M450" s="29">
        <f>Absolute_Scores!N450</f>
        <v>39</v>
      </c>
      <c r="N450" s="30">
        <f t="shared" si="20"/>
        <v>58.21</v>
      </c>
    </row>
    <row r="451" spans="1:14">
      <c r="A451" s="12" t="str">
        <f>Absolute_Scores!A451</f>
        <v>@melindazharich</v>
      </c>
      <c r="B451" s="12" t="str">
        <f>Absolute_Scores!B451</f>
        <v>Instagram</v>
      </c>
      <c r="C451" s="29">
        <f>Absolute_Scores!D451</f>
        <v>50</v>
      </c>
      <c r="D451" s="30">
        <f t="shared" si="18"/>
        <v>62.5</v>
      </c>
      <c r="F451" s="12" t="str">
        <f>Absolute_Scores!F451</f>
        <v>@albiansyahreal</v>
      </c>
      <c r="G451" s="12" t="str">
        <f>Absolute_Scores!G451</f>
        <v>Instagram</v>
      </c>
      <c r="H451" s="29">
        <f>Absolute_Scores!I451</f>
        <v>50</v>
      </c>
      <c r="I451" s="30">
        <f t="shared" si="19"/>
        <v>62.5</v>
      </c>
      <c r="K451" s="12" t="str">
        <f>Absolute_Scores!K451</f>
        <v>@dellaaseptt</v>
      </c>
      <c r="L451" s="12" t="str">
        <f>Absolute_Scores!L451</f>
        <v>Instagram</v>
      </c>
      <c r="M451" s="29">
        <f>Absolute_Scores!N451</f>
        <v>39</v>
      </c>
      <c r="N451" s="30">
        <f t="shared" si="20"/>
        <v>58.21</v>
      </c>
    </row>
    <row r="452" spans="1:14">
      <c r="A452" s="12" t="str">
        <f>Absolute_Scores!A452</f>
        <v>@melvinmaylani</v>
      </c>
      <c r="B452" s="12" t="str">
        <f>Absolute_Scores!B452</f>
        <v>Instagram</v>
      </c>
      <c r="C452" s="29">
        <f>Absolute_Scores!D452</f>
        <v>50</v>
      </c>
      <c r="D452" s="30">
        <f t="shared" si="18"/>
        <v>62.5</v>
      </c>
      <c r="F452" s="12" t="str">
        <f>Absolute_Scores!F452</f>
        <v>@albuchori_0891</v>
      </c>
      <c r="G452" s="12" t="str">
        <f>Absolute_Scores!G452</f>
        <v>TikTok</v>
      </c>
      <c r="H452" s="29">
        <f>Absolute_Scores!I452</f>
        <v>50</v>
      </c>
      <c r="I452" s="30">
        <f t="shared" si="19"/>
        <v>62.5</v>
      </c>
      <c r="K452" s="12" t="str">
        <f>Absolute_Scores!K452</f>
        <v>@dinastyan</v>
      </c>
      <c r="L452" s="12" t="str">
        <f>Absolute_Scores!L452</f>
        <v>Instagram</v>
      </c>
      <c r="M452" s="29">
        <f>Absolute_Scores!N452</f>
        <v>39</v>
      </c>
      <c r="N452" s="30">
        <f t="shared" si="20"/>
        <v>58.21</v>
      </c>
    </row>
    <row r="453" spans="1:14">
      <c r="A453" s="12" t="str">
        <f>Absolute_Scores!A453</f>
        <v>@melz.oei</v>
      </c>
      <c r="B453" s="12" t="str">
        <f>Absolute_Scores!B453</f>
        <v>Instagram</v>
      </c>
      <c r="C453" s="29">
        <f>Absolute_Scores!D453</f>
        <v>50</v>
      </c>
      <c r="D453" s="30">
        <f t="shared" si="18"/>
        <v>62.5</v>
      </c>
      <c r="F453" s="12" t="str">
        <f>Absolute_Scores!F453</f>
        <v>@aldasuwardi</v>
      </c>
      <c r="G453" s="12" t="str">
        <f>Absolute_Scores!G453</f>
        <v>TikTok</v>
      </c>
      <c r="H453" s="29">
        <f>Absolute_Scores!I453</f>
        <v>50</v>
      </c>
      <c r="I453" s="30">
        <f t="shared" si="19"/>
        <v>62.5</v>
      </c>
      <c r="K453" s="12" t="str">
        <f>Absolute_Scores!K453</f>
        <v>@govinzulhelmi</v>
      </c>
      <c r="L453" s="12" t="str">
        <f>Absolute_Scores!L453</f>
        <v>Instagram</v>
      </c>
      <c r="M453" s="29">
        <f>Absolute_Scores!N453</f>
        <v>39</v>
      </c>
      <c r="N453" s="30">
        <f t="shared" si="20"/>
        <v>58.21</v>
      </c>
    </row>
    <row r="454" spans="1:14">
      <c r="A454" s="12" t="str">
        <f>Absolute_Scores!A454</f>
        <v>@meyrinaaputrii</v>
      </c>
      <c r="B454" s="12" t="str">
        <f>Absolute_Scores!B454</f>
        <v>Instagram</v>
      </c>
      <c r="C454" s="29">
        <f>Absolute_Scores!D454</f>
        <v>50</v>
      </c>
      <c r="D454" s="30">
        <f t="shared" ref="D454:D517" si="21">ROUND(C454/$D$4*100,2)</f>
        <v>62.5</v>
      </c>
      <c r="F454" s="12" t="str">
        <f>Absolute_Scores!F454</f>
        <v>@aldenametta1</v>
      </c>
      <c r="G454" s="12" t="str">
        <f>Absolute_Scores!G454</f>
        <v>TikTok</v>
      </c>
      <c r="H454" s="29">
        <f>Absolute_Scores!I454</f>
        <v>50</v>
      </c>
      <c r="I454" s="30">
        <f t="shared" ref="I454:I517" si="22">ROUND(H454/$I$4*100,2)</f>
        <v>62.5</v>
      </c>
      <c r="K454" s="12" t="str">
        <f>Absolute_Scores!K454</f>
        <v>@infobekasi</v>
      </c>
      <c r="L454" s="12" t="str">
        <f>Absolute_Scores!L454</f>
        <v>Instagram</v>
      </c>
      <c r="M454" s="29">
        <f>Absolute_Scores!N454</f>
        <v>39</v>
      </c>
      <c r="N454" s="30">
        <f t="shared" ref="N454:N517" si="23">ROUND(M454/$N$4*100,2)</f>
        <v>58.21</v>
      </c>
    </row>
    <row r="455" spans="1:14">
      <c r="A455" s="12" t="str">
        <f>Absolute_Scores!A455</f>
        <v>@meysetiawati</v>
      </c>
      <c r="B455" s="12" t="str">
        <f>Absolute_Scores!B455</f>
        <v>Instagram</v>
      </c>
      <c r="C455" s="29">
        <f>Absolute_Scores!D455</f>
        <v>50</v>
      </c>
      <c r="D455" s="30">
        <f t="shared" si="21"/>
        <v>62.5</v>
      </c>
      <c r="F455" s="12" t="str">
        <f>Absolute_Scores!F455</f>
        <v>@aldianmr</v>
      </c>
      <c r="G455" s="12" t="str">
        <f>Absolute_Scores!G455</f>
        <v>TikTok</v>
      </c>
      <c r="H455" s="29">
        <f>Absolute_Scores!I455</f>
        <v>50</v>
      </c>
      <c r="I455" s="30">
        <f t="shared" si="22"/>
        <v>62.5</v>
      </c>
      <c r="K455" s="12" t="str">
        <f>Absolute_Scores!K455</f>
        <v>@infobekasi.coo</v>
      </c>
      <c r="L455" s="12" t="str">
        <f>Absolute_Scores!L455</f>
        <v>Instagram</v>
      </c>
      <c r="M455" s="29">
        <f>Absolute_Scores!N455</f>
        <v>39</v>
      </c>
      <c r="N455" s="30">
        <f t="shared" si="23"/>
        <v>58.21</v>
      </c>
    </row>
    <row r="456" spans="1:14">
      <c r="A456" s="12" t="str">
        <f>Absolute_Scores!A456</f>
        <v>@mia___far</v>
      </c>
      <c r="B456" s="12" t="str">
        <f>Absolute_Scores!B456</f>
        <v>Instagram</v>
      </c>
      <c r="C456" s="29">
        <f>Absolute_Scores!D456</f>
        <v>50</v>
      </c>
      <c r="D456" s="30">
        <f t="shared" si="21"/>
        <v>62.5</v>
      </c>
      <c r="F456" s="12" t="str">
        <f>Absolute_Scores!F456</f>
        <v>@aldoavega</v>
      </c>
      <c r="G456" s="12" t="str">
        <f>Absolute_Scores!G456</f>
        <v>TikTok</v>
      </c>
      <c r="H456" s="29">
        <f>Absolute_Scores!I456</f>
        <v>50</v>
      </c>
      <c r="I456" s="30">
        <f t="shared" si="22"/>
        <v>62.5</v>
      </c>
      <c r="K456" s="12" t="str">
        <f>Absolute_Scores!K456</f>
        <v>@infodepok_id</v>
      </c>
      <c r="L456" s="12" t="str">
        <f>Absolute_Scores!L456</f>
        <v>Instagram</v>
      </c>
      <c r="M456" s="29">
        <f>Absolute_Scores!N456</f>
        <v>39</v>
      </c>
      <c r="N456" s="30">
        <f t="shared" si="23"/>
        <v>58.21</v>
      </c>
    </row>
    <row r="457" spans="1:14">
      <c r="A457" s="12" t="str">
        <f>Absolute_Scores!A457</f>
        <v>@milkaiueo</v>
      </c>
      <c r="B457" s="12" t="str">
        <f>Absolute_Scores!B457</f>
        <v>Instagram</v>
      </c>
      <c r="C457" s="29">
        <f>Absolute_Scores!D457</f>
        <v>50</v>
      </c>
      <c r="D457" s="30">
        <f t="shared" si="21"/>
        <v>62.5</v>
      </c>
      <c r="F457" s="12" t="str">
        <f>Absolute_Scores!F457</f>
        <v>@aldojusman</v>
      </c>
      <c r="G457" s="12" t="str">
        <f>Absolute_Scores!G457</f>
        <v>Instagram</v>
      </c>
      <c r="H457" s="29">
        <f>Absolute_Scores!I457</f>
        <v>50</v>
      </c>
      <c r="I457" s="30">
        <f t="shared" si="22"/>
        <v>62.5</v>
      </c>
      <c r="K457" s="12" t="str">
        <f>Absolute_Scores!K457</f>
        <v>@irenaldriana</v>
      </c>
      <c r="L457" s="12" t="str">
        <f>Absolute_Scores!L457</f>
        <v>Instagram</v>
      </c>
      <c r="M457" s="29">
        <f>Absolute_Scores!N457</f>
        <v>39</v>
      </c>
      <c r="N457" s="30">
        <f t="shared" si="23"/>
        <v>58.21</v>
      </c>
    </row>
    <row r="458" spans="1:14">
      <c r="A458" s="12" t="str">
        <f>Absolute_Scores!A458</f>
        <v>@mimigendismimigendis</v>
      </c>
      <c r="B458" s="12" t="str">
        <f>Absolute_Scores!B458</f>
        <v>Instagram</v>
      </c>
      <c r="C458" s="29">
        <f>Absolute_Scores!D458</f>
        <v>50</v>
      </c>
      <c r="D458" s="30">
        <f t="shared" si="21"/>
        <v>62.5</v>
      </c>
      <c r="F458" s="12" t="str">
        <f>Absolute_Scores!F458</f>
        <v>@aldosutarnaa</v>
      </c>
      <c r="G458" s="12" t="str">
        <f>Absolute_Scores!G458</f>
        <v>Instagram</v>
      </c>
      <c r="H458" s="29">
        <f>Absolute_Scores!I458</f>
        <v>50</v>
      </c>
      <c r="I458" s="30">
        <f t="shared" si="22"/>
        <v>62.5</v>
      </c>
      <c r="K458" s="12" t="str">
        <f>Absolute_Scores!K458</f>
        <v>@jaysforeal</v>
      </c>
      <c r="L458" s="12" t="str">
        <f>Absolute_Scores!L458</f>
        <v>Instagram</v>
      </c>
      <c r="M458" s="29">
        <f>Absolute_Scores!N458</f>
        <v>39</v>
      </c>
      <c r="N458" s="30">
        <f t="shared" si="23"/>
        <v>58.21</v>
      </c>
    </row>
    <row r="459" spans="1:14">
      <c r="A459" s="12" t="str">
        <f>Absolute_Scores!A459</f>
        <v>@mirzahidayat_</v>
      </c>
      <c r="B459" s="12" t="str">
        <f>Absolute_Scores!B459</f>
        <v>Instagram</v>
      </c>
      <c r="C459" s="29">
        <f>Absolute_Scores!D459</f>
        <v>50</v>
      </c>
      <c r="D459" s="30">
        <f t="shared" si="21"/>
        <v>62.5</v>
      </c>
      <c r="F459" s="12" t="str">
        <f>Absolute_Scores!F459</f>
        <v>@alecyavebyyy</v>
      </c>
      <c r="G459" s="12" t="str">
        <f>Absolute_Scores!G459</f>
        <v>TikTok</v>
      </c>
      <c r="H459" s="29">
        <f>Absolute_Scores!I459</f>
        <v>50</v>
      </c>
      <c r="I459" s="30">
        <f t="shared" si="22"/>
        <v>62.5</v>
      </c>
      <c r="K459" s="12" t="str">
        <f>Absolute_Scores!K459</f>
        <v>@jktgo</v>
      </c>
      <c r="L459" s="12" t="str">
        <f>Absolute_Scores!L459</f>
        <v>Instagram</v>
      </c>
      <c r="M459" s="29">
        <f>Absolute_Scores!N459</f>
        <v>39</v>
      </c>
      <c r="N459" s="30">
        <f t="shared" si="23"/>
        <v>58.21</v>
      </c>
    </row>
    <row r="460" spans="1:14">
      <c r="A460" s="12" t="str">
        <f>Absolute_Scores!A460</f>
        <v>@missdjie</v>
      </c>
      <c r="B460" s="12" t="str">
        <f>Absolute_Scores!B460</f>
        <v>Instagram</v>
      </c>
      <c r="C460" s="29">
        <f>Absolute_Scores!D460</f>
        <v>50</v>
      </c>
      <c r="D460" s="30">
        <f t="shared" si="21"/>
        <v>62.5</v>
      </c>
      <c r="F460" s="12" t="str">
        <f>Absolute_Scores!F460</f>
        <v>@alethaabew</v>
      </c>
      <c r="G460" s="12" t="str">
        <f>Absolute_Scores!G460</f>
        <v>TikTok</v>
      </c>
      <c r="H460" s="29">
        <f>Absolute_Scores!I460</f>
        <v>50</v>
      </c>
      <c r="I460" s="30">
        <f t="shared" si="22"/>
        <v>62.5</v>
      </c>
      <c r="K460" s="12" t="str">
        <f>Absolute_Scores!K460</f>
        <v>@kabarcibubur24jam</v>
      </c>
      <c r="L460" s="12" t="str">
        <f>Absolute_Scores!L460</f>
        <v>Instagram</v>
      </c>
      <c r="M460" s="29">
        <f>Absolute_Scores!N460</f>
        <v>39</v>
      </c>
      <c r="N460" s="30">
        <f t="shared" si="23"/>
        <v>58.21</v>
      </c>
    </row>
    <row r="461" spans="1:14">
      <c r="A461" s="12" t="str">
        <f>Absolute_Scores!A461</f>
        <v>@moms_twinsaraswati</v>
      </c>
      <c r="B461" s="12" t="str">
        <f>Absolute_Scores!B461</f>
        <v>Instagram</v>
      </c>
      <c r="C461" s="29">
        <f>Absolute_Scores!D461</f>
        <v>50</v>
      </c>
      <c r="D461" s="30">
        <f t="shared" si="21"/>
        <v>62.5</v>
      </c>
      <c r="F461" s="12" t="str">
        <f>Absolute_Scores!F461</f>
        <v>@aletheeeea</v>
      </c>
      <c r="G461" s="12" t="str">
        <f>Absolute_Scores!G461</f>
        <v>TikTok</v>
      </c>
      <c r="H461" s="29">
        <f>Absolute_Scores!I461</f>
        <v>50</v>
      </c>
      <c r="I461" s="30">
        <f t="shared" si="22"/>
        <v>62.5</v>
      </c>
      <c r="K461" s="12" t="str">
        <f>Absolute_Scores!K461</f>
        <v>@kemalmochtar</v>
      </c>
      <c r="L461" s="12" t="str">
        <f>Absolute_Scores!L461</f>
        <v>Instagram</v>
      </c>
      <c r="M461" s="29">
        <f>Absolute_Scores!N461</f>
        <v>39</v>
      </c>
      <c r="N461" s="30">
        <f t="shared" si="23"/>
        <v>58.21</v>
      </c>
    </row>
    <row r="462" spans="1:14">
      <c r="A462" s="12" t="str">
        <f>Absolute_Scores!A462</f>
        <v>@monicapurdiani1710</v>
      </c>
      <c r="B462" s="12" t="str">
        <f>Absolute_Scores!B462</f>
        <v>Instagram</v>
      </c>
      <c r="C462" s="29">
        <f>Absolute_Scores!D462</f>
        <v>50</v>
      </c>
      <c r="D462" s="30">
        <f t="shared" si="21"/>
        <v>62.5</v>
      </c>
      <c r="F462" s="12" t="str">
        <f>Absolute_Scores!F462</f>
        <v>@alfanarsyad</v>
      </c>
      <c r="G462" s="12" t="str">
        <f>Absolute_Scores!G462</f>
        <v>Instagram</v>
      </c>
      <c r="H462" s="29">
        <f>Absolute_Scores!I462</f>
        <v>50</v>
      </c>
      <c r="I462" s="30">
        <f t="shared" si="22"/>
        <v>62.5</v>
      </c>
      <c r="K462" s="12" t="str">
        <f>Absolute_Scores!K462</f>
        <v>@kethagustine</v>
      </c>
      <c r="L462" s="12" t="str">
        <f>Absolute_Scores!L462</f>
        <v>Instagram</v>
      </c>
      <c r="M462" s="29">
        <f>Absolute_Scores!N462</f>
        <v>39</v>
      </c>
      <c r="N462" s="30">
        <f t="shared" si="23"/>
        <v>58.21</v>
      </c>
    </row>
    <row r="463" spans="1:14">
      <c r="A463" s="12" t="str">
        <f>Absolute_Scores!A463</f>
        <v>@mrs.hanarismay</v>
      </c>
      <c r="B463" s="12" t="str">
        <f>Absolute_Scores!B463</f>
        <v>Instagram</v>
      </c>
      <c r="C463" s="29">
        <f>Absolute_Scores!D463</f>
        <v>50</v>
      </c>
      <c r="D463" s="30">
        <f t="shared" si="21"/>
        <v>62.5</v>
      </c>
      <c r="F463" s="12" t="str">
        <f>Absolute_Scores!F463</f>
        <v>@alfani.sidharta</v>
      </c>
      <c r="G463" s="12" t="str">
        <f>Absolute_Scores!G463</f>
        <v>Instagram</v>
      </c>
      <c r="H463" s="29">
        <f>Absolute_Scores!I463</f>
        <v>50</v>
      </c>
      <c r="I463" s="30">
        <f t="shared" si="22"/>
        <v>62.5</v>
      </c>
      <c r="K463" s="12" t="str">
        <f>Absolute_Scores!K463</f>
        <v>@putrighafar</v>
      </c>
      <c r="L463" s="12" t="str">
        <f>Absolute_Scores!L463</f>
        <v>Instagram</v>
      </c>
      <c r="M463" s="29">
        <f>Absolute_Scores!N463</f>
        <v>39</v>
      </c>
      <c r="N463" s="30">
        <f t="shared" si="23"/>
        <v>58.21</v>
      </c>
    </row>
    <row r="464" spans="1:14">
      <c r="A464" s="12" t="str">
        <f>Absolute_Scores!A464</f>
        <v>@mrs.senopati</v>
      </c>
      <c r="B464" s="12" t="str">
        <f>Absolute_Scores!B464</f>
        <v>Instagram</v>
      </c>
      <c r="C464" s="29">
        <f>Absolute_Scores!D464</f>
        <v>50</v>
      </c>
      <c r="D464" s="30">
        <f t="shared" si="21"/>
        <v>62.5</v>
      </c>
      <c r="F464" s="12" t="str">
        <f>Absolute_Scores!F464</f>
        <v>@alfarizi_sahrul</v>
      </c>
      <c r="G464" s="12" t="str">
        <f>Absolute_Scores!G464</f>
        <v>Instagram</v>
      </c>
      <c r="H464" s="29">
        <f>Absolute_Scores!I464</f>
        <v>50</v>
      </c>
      <c r="I464" s="30">
        <f t="shared" si="22"/>
        <v>62.5</v>
      </c>
      <c r="K464" s="12" t="str">
        <f>Absolute_Scores!K464</f>
        <v>@sindyfungg</v>
      </c>
      <c r="L464" s="12" t="str">
        <f>Absolute_Scores!L464</f>
        <v>Instagram</v>
      </c>
      <c r="M464" s="29">
        <f>Absolute_Scores!N464</f>
        <v>39</v>
      </c>
      <c r="N464" s="30">
        <f t="shared" si="23"/>
        <v>58.21</v>
      </c>
    </row>
    <row r="465" spans="1:14">
      <c r="A465" s="12" t="str">
        <f>Absolute_Scores!A465</f>
        <v>@muliafitri55</v>
      </c>
      <c r="B465" s="12" t="str">
        <f>Absolute_Scores!B465</f>
        <v>Instagram</v>
      </c>
      <c r="C465" s="29">
        <f>Absolute_Scores!D465</f>
        <v>50</v>
      </c>
      <c r="D465" s="30">
        <f t="shared" si="21"/>
        <v>62.5</v>
      </c>
      <c r="F465" s="12" t="str">
        <f>Absolute_Scores!F465</f>
        <v>@alfi1712</v>
      </c>
      <c r="G465" s="12" t="str">
        <f>Absolute_Scores!G465</f>
        <v>TikTok</v>
      </c>
      <c r="H465" s="29">
        <f>Absolute_Scores!I465</f>
        <v>50</v>
      </c>
      <c r="I465" s="30">
        <f t="shared" si="22"/>
        <v>62.5</v>
      </c>
      <c r="K465" s="12" t="str">
        <f>Absolute_Scores!K465</f>
        <v>@yaswildblood</v>
      </c>
      <c r="L465" s="12" t="str">
        <f>Absolute_Scores!L465</f>
        <v>Instagram</v>
      </c>
      <c r="M465" s="29">
        <f>Absolute_Scores!N465</f>
        <v>39</v>
      </c>
      <c r="N465" s="30">
        <f t="shared" si="23"/>
        <v>58.21</v>
      </c>
    </row>
    <row r="466" spans="1:14">
      <c r="A466" s="12" t="str">
        <f>Absolute_Scores!A466</f>
        <v>@murni_fatih</v>
      </c>
      <c r="B466" s="12" t="str">
        <f>Absolute_Scores!B466</f>
        <v>Instagram</v>
      </c>
      <c r="C466" s="29">
        <f>Absolute_Scores!D466</f>
        <v>50</v>
      </c>
      <c r="D466" s="30">
        <f t="shared" si="21"/>
        <v>62.5</v>
      </c>
      <c r="F466" s="12" t="str">
        <f>Absolute_Scores!F466</f>
        <v>@alfikhair_</v>
      </c>
      <c r="G466" s="12" t="str">
        <f>Absolute_Scores!G466</f>
        <v>TikTok</v>
      </c>
      <c r="H466" s="29">
        <f>Absolute_Scores!I466</f>
        <v>50</v>
      </c>
      <c r="I466" s="30">
        <f t="shared" si="22"/>
        <v>62.5</v>
      </c>
      <c r="K466" s="12" t="str">
        <f>Absolute_Scores!K466</f>
        <v>@aletaanovianda</v>
      </c>
      <c r="L466" s="12" t="str">
        <f>Absolute_Scores!L466</f>
        <v>TikTok</v>
      </c>
      <c r="M466" s="29">
        <f>Absolute_Scores!N466</f>
        <v>38</v>
      </c>
      <c r="N466" s="30">
        <f t="shared" si="23"/>
        <v>56.72</v>
      </c>
    </row>
    <row r="467" spans="1:14">
      <c r="A467" s="12" t="str">
        <f>Absolute_Scores!A467</f>
        <v>@muthiashz</v>
      </c>
      <c r="B467" s="12" t="str">
        <f>Absolute_Scores!B467</f>
        <v>Instagram</v>
      </c>
      <c r="C467" s="29">
        <f>Absolute_Scores!D467</f>
        <v>50</v>
      </c>
      <c r="D467" s="30">
        <f t="shared" si="21"/>
        <v>62.5</v>
      </c>
      <c r="F467" s="12" t="str">
        <f>Absolute_Scores!F467</f>
        <v>@alfiromi</v>
      </c>
      <c r="G467" s="12" t="str">
        <f>Absolute_Scores!G467</f>
        <v>Instagram</v>
      </c>
      <c r="H467" s="29">
        <f>Absolute_Scores!I467</f>
        <v>50</v>
      </c>
      <c r="I467" s="30">
        <f t="shared" si="22"/>
        <v>62.5</v>
      </c>
      <c r="K467" s="12" t="str">
        <f>Absolute_Scores!K467</f>
        <v>@anggunmiad</v>
      </c>
      <c r="L467" s="12" t="str">
        <f>Absolute_Scores!L467</f>
        <v>Instagram</v>
      </c>
      <c r="M467" s="29">
        <f>Absolute_Scores!N467</f>
        <v>38</v>
      </c>
      <c r="N467" s="30">
        <f t="shared" si="23"/>
        <v>56.72</v>
      </c>
    </row>
    <row r="468" spans="1:14">
      <c r="A468" s="12" t="str">
        <f>Absolute_Scores!A468</f>
        <v>@mynameucii</v>
      </c>
      <c r="B468" s="12" t="str">
        <f>Absolute_Scores!B468</f>
        <v>Instagram</v>
      </c>
      <c r="C468" s="29">
        <f>Absolute_Scores!D468</f>
        <v>50</v>
      </c>
      <c r="D468" s="30">
        <f t="shared" si="21"/>
        <v>62.5</v>
      </c>
      <c r="F468" s="12" t="str">
        <f>Absolute_Scores!F468</f>
        <v>@aliansyaht</v>
      </c>
      <c r="G468" s="12" t="str">
        <f>Absolute_Scores!G468</f>
        <v>TikTok</v>
      </c>
      <c r="H468" s="29">
        <f>Absolute_Scores!I468</f>
        <v>50</v>
      </c>
      <c r="I468" s="30">
        <f t="shared" si="22"/>
        <v>62.5</v>
      </c>
      <c r="K468" s="12" t="str">
        <f>Absolute_Scores!K468</f>
        <v>@captainbarbershopid</v>
      </c>
      <c r="L468" s="12" t="str">
        <f>Absolute_Scores!L468</f>
        <v>Instagram</v>
      </c>
      <c r="M468" s="29">
        <f>Absolute_Scores!N468</f>
        <v>38</v>
      </c>
      <c r="N468" s="30">
        <f t="shared" si="23"/>
        <v>56.72</v>
      </c>
    </row>
    <row r="469" spans="1:14">
      <c r="A469" s="12" t="str">
        <f>Absolute_Scores!A469</f>
        <v>@mytatika</v>
      </c>
      <c r="B469" s="12" t="str">
        <f>Absolute_Scores!B469</f>
        <v>Instagram</v>
      </c>
      <c r="C469" s="29">
        <f>Absolute_Scores!D469</f>
        <v>50</v>
      </c>
      <c r="D469" s="30">
        <f t="shared" si="21"/>
        <v>62.5</v>
      </c>
      <c r="F469" s="12" t="str">
        <f>Absolute_Scores!F469</f>
        <v>@aliciaaurora_</v>
      </c>
      <c r="G469" s="12" t="str">
        <f>Absolute_Scores!G469</f>
        <v>Instagram</v>
      </c>
      <c r="H469" s="29">
        <f>Absolute_Scores!I469</f>
        <v>50</v>
      </c>
      <c r="I469" s="30">
        <f t="shared" si="22"/>
        <v>62.5</v>
      </c>
      <c r="K469" s="12" t="str">
        <f>Absolute_Scores!K469</f>
        <v>@dimasbudiu</v>
      </c>
      <c r="L469" s="12" t="str">
        <f>Absolute_Scores!L469</f>
        <v>TikTok</v>
      </c>
      <c r="M469" s="29">
        <f>Absolute_Scores!N469</f>
        <v>38</v>
      </c>
      <c r="N469" s="30">
        <f t="shared" si="23"/>
        <v>56.72</v>
      </c>
    </row>
    <row r="470" spans="1:14">
      <c r="A470" s="12" t="str">
        <f>Absolute_Scores!A470</f>
        <v>@nabilahlthfyh</v>
      </c>
      <c r="B470" s="12" t="str">
        <f>Absolute_Scores!B470</f>
        <v>Instagram</v>
      </c>
      <c r="C470" s="29">
        <f>Absolute_Scores!D470</f>
        <v>50</v>
      </c>
      <c r="D470" s="30">
        <f t="shared" si="21"/>
        <v>62.5</v>
      </c>
      <c r="F470" s="12" t="str">
        <f>Absolute_Scores!F470</f>
        <v>@aliciadell18</v>
      </c>
      <c r="G470" s="12" t="str">
        <f>Absolute_Scores!G470</f>
        <v>Instagram</v>
      </c>
      <c r="H470" s="29">
        <f>Absolute_Scores!I470</f>
        <v>50</v>
      </c>
      <c r="I470" s="30">
        <f t="shared" si="22"/>
        <v>62.5</v>
      </c>
      <c r="K470" s="12" t="str">
        <f>Absolute_Scores!K470</f>
        <v>@dwisuci_ardi</v>
      </c>
      <c r="L470" s="12" t="str">
        <f>Absolute_Scores!L470</f>
        <v>Instagram</v>
      </c>
      <c r="M470" s="29">
        <f>Absolute_Scores!N470</f>
        <v>38</v>
      </c>
      <c r="N470" s="30">
        <f t="shared" si="23"/>
        <v>56.72</v>
      </c>
    </row>
    <row r="471" spans="1:14">
      <c r="A471" s="12" t="str">
        <f>Absolute_Scores!A471</f>
        <v>@nadhif.almira</v>
      </c>
      <c r="B471" s="12" t="str">
        <f>Absolute_Scores!B471</f>
        <v>Instagram</v>
      </c>
      <c r="C471" s="29">
        <f>Absolute_Scores!D471</f>
        <v>50</v>
      </c>
      <c r="D471" s="30">
        <f t="shared" si="21"/>
        <v>62.5</v>
      </c>
      <c r="F471" s="12" t="str">
        <f>Absolute_Scores!F471</f>
        <v>@alifiaaudita99</v>
      </c>
      <c r="G471" s="12" t="str">
        <f>Absolute_Scores!G471</f>
        <v>Instagram</v>
      </c>
      <c r="H471" s="29">
        <f>Absolute_Scores!I471</f>
        <v>50</v>
      </c>
      <c r="I471" s="30">
        <f t="shared" si="22"/>
        <v>62.5</v>
      </c>
      <c r="K471" s="12" t="str">
        <f>Absolute_Scores!K471</f>
        <v>@fauziaahanum</v>
      </c>
      <c r="L471" s="12" t="str">
        <f>Absolute_Scores!L471</f>
        <v>Instagram</v>
      </c>
      <c r="M471" s="29">
        <f>Absolute_Scores!N471</f>
        <v>38</v>
      </c>
      <c r="N471" s="30">
        <f t="shared" si="23"/>
        <v>56.72</v>
      </c>
    </row>
    <row r="472" spans="1:14">
      <c r="A472" s="12" t="str">
        <f>Absolute_Scores!A472</f>
        <v>@nadindaayyu12_</v>
      </c>
      <c r="B472" s="12" t="str">
        <f>Absolute_Scores!B472</f>
        <v>Instagram</v>
      </c>
      <c r="C472" s="29">
        <f>Absolute_Scores!D472</f>
        <v>50</v>
      </c>
      <c r="D472" s="30">
        <f t="shared" si="21"/>
        <v>62.5</v>
      </c>
      <c r="F472" s="12" t="str">
        <f>Absolute_Scores!F472</f>
        <v>@alikhawahyu</v>
      </c>
      <c r="G472" s="12" t="str">
        <f>Absolute_Scores!G472</f>
        <v>TikTok</v>
      </c>
      <c r="H472" s="29">
        <f>Absolute_Scores!I472</f>
        <v>50</v>
      </c>
      <c r="I472" s="30">
        <f t="shared" si="22"/>
        <v>62.5</v>
      </c>
      <c r="K472" s="12" t="str">
        <f>Absolute_Scores!K472</f>
        <v>@fenny_fennyyy</v>
      </c>
      <c r="L472" s="12" t="str">
        <f>Absolute_Scores!L472</f>
        <v>Instagram</v>
      </c>
      <c r="M472" s="29">
        <f>Absolute_Scores!N472</f>
        <v>38</v>
      </c>
      <c r="N472" s="30">
        <f t="shared" si="23"/>
        <v>56.72</v>
      </c>
    </row>
    <row r="473" spans="1:14">
      <c r="A473" s="12" t="str">
        <f>Absolute_Scores!A473</f>
        <v>@namyrasyahdan</v>
      </c>
      <c r="B473" s="12" t="str">
        <f>Absolute_Scores!B473</f>
        <v>Instagram</v>
      </c>
      <c r="C473" s="29">
        <f>Absolute_Scores!D473</f>
        <v>50</v>
      </c>
      <c r="D473" s="30">
        <f t="shared" si="21"/>
        <v>62.5</v>
      </c>
      <c r="F473" s="12" t="str">
        <f>Absolute_Scores!F473</f>
        <v>@alipwahid</v>
      </c>
      <c r="G473" s="12" t="str">
        <f>Absolute_Scores!G473</f>
        <v>TikTok</v>
      </c>
      <c r="H473" s="29">
        <f>Absolute_Scores!I473</f>
        <v>50</v>
      </c>
      <c r="I473" s="30">
        <f t="shared" si="22"/>
        <v>62.5</v>
      </c>
      <c r="K473" s="12" t="str">
        <f>Absolute_Scores!K473</f>
        <v>@galagea_</v>
      </c>
      <c r="L473" s="12" t="str">
        <f>Absolute_Scores!L473</f>
        <v>TikTok</v>
      </c>
      <c r="M473" s="29">
        <f>Absolute_Scores!N473</f>
        <v>38</v>
      </c>
      <c r="N473" s="30">
        <f t="shared" si="23"/>
        <v>56.72</v>
      </c>
    </row>
    <row r="474" spans="1:14">
      <c r="A474" s="12" t="str">
        <f>Absolute_Scores!A474</f>
        <v>@nana_dwiyuliana</v>
      </c>
      <c r="B474" s="12" t="str">
        <f>Absolute_Scores!B474</f>
        <v>Instagram</v>
      </c>
      <c r="C474" s="29">
        <f>Absolute_Scores!D474</f>
        <v>50</v>
      </c>
      <c r="D474" s="30">
        <f t="shared" si="21"/>
        <v>62.5</v>
      </c>
      <c r="F474" s="12" t="str">
        <f>Absolute_Scores!F474</f>
        <v>@alisanabilah96</v>
      </c>
      <c r="G474" s="12" t="str">
        <f>Absolute_Scores!G474</f>
        <v>Instagram</v>
      </c>
      <c r="H474" s="29">
        <f>Absolute_Scores!I474</f>
        <v>50</v>
      </c>
      <c r="I474" s="30">
        <f t="shared" si="22"/>
        <v>62.5</v>
      </c>
      <c r="K474" s="12" t="str">
        <f>Absolute_Scores!K474</f>
        <v>@guaryan__</v>
      </c>
      <c r="L474" s="12" t="str">
        <f>Absolute_Scores!L474</f>
        <v>TikTok</v>
      </c>
      <c r="M474" s="29">
        <f>Absolute_Scores!N474</f>
        <v>38</v>
      </c>
      <c r="N474" s="30">
        <f t="shared" si="23"/>
        <v>56.72</v>
      </c>
    </row>
    <row r="475" spans="1:14">
      <c r="A475" s="12" t="str">
        <f>Absolute_Scores!A475</f>
        <v>@naqiyyahsyam</v>
      </c>
      <c r="B475" s="12" t="str">
        <f>Absolute_Scores!B475</f>
        <v>Instagram</v>
      </c>
      <c r="C475" s="29">
        <f>Absolute_Scores!D475</f>
        <v>50</v>
      </c>
      <c r="D475" s="30">
        <f t="shared" si="21"/>
        <v>62.5</v>
      </c>
      <c r="F475" s="12" t="str">
        <f>Absolute_Scores!F475</f>
        <v>@aliyasw</v>
      </c>
      <c r="G475" s="12" t="str">
        <f>Absolute_Scores!G475</f>
        <v>Instagram</v>
      </c>
      <c r="H475" s="29">
        <f>Absolute_Scores!I475</f>
        <v>50</v>
      </c>
      <c r="I475" s="30">
        <f t="shared" si="22"/>
        <v>62.5</v>
      </c>
      <c r="K475" s="12" t="str">
        <f>Absolute_Scores!K475</f>
        <v>@hairnerdsstudio</v>
      </c>
      <c r="L475" s="12" t="str">
        <f>Absolute_Scores!L475</f>
        <v>Instagram</v>
      </c>
      <c r="M475" s="29">
        <f>Absolute_Scores!N475</f>
        <v>38</v>
      </c>
      <c r="N475" s="30">
        <f t="shared" si="23"/>
        <v>56.72</v>
      </c>
    </row>
    <row r="476" spans="1:14">
      <c r="A476" s="12" t="str">
        <f>Absolute_Scores!A476</f>
        <v>@nashani</v>
      </c>
      <c r="B476" s="12" t="str">
        <f>Absolute_Scores!B476</f>
        <v>Instagram</v>
      </c>
      <c r="C476" s="29">
        <f>Absolute_Scores!D476</f>
        <v>50</v>
      </c>
      <c r="D476" s="30">
        <f t="shared" si="21"/>
        <v>62.5</v>
      </c>
      <c r="F476" s="12" t="str">
        <f>Absolute_Scores!F476</f>
        <v>@alkhanmarcedo</v>
      </c>
      <c r="G476" s="12" t="str">
        <f>Absolute_Scores!G476</f>
        <v>TikTok</v>
      </c>
      <c r="H476" s="29">
        <f>Absolute_Scores!I476</f>
        <v>50</v>
      </c>
      <c r="I476" s="30">
        <f t="shared" si="22"/>
        <v>62.5</v>
      </c>
      <c r="K476" s="12" t="str">
        <f>Absolute_Scores!K476</f>
        <v>@jihanyusnita</v>
      </c>
      <c r="L476" s="12" t="str">
        <f>Absolute_Scores!L476</f>
        <v>Instagram</v>
      </c>
      <c r="M476" s="29">
        <f>Absolute_Scores!N476</f>
        <v>38</v>
      </c>
      <c r="N476" s="30">
        <f t="shared" si="23"/>
        <v>56.72</v>
      </c>
    </row>
    <row r="477" spans="1:14">
      <c r="A477" s="12" t="str">
        <f>Absolute_Scores!A477</f>
        <v>@neandrosabian</v>
      </c>
      <c r="B477" s="12" t="str">
        <f>Absolute_Scores!B477</f>
        <v>Instagram</v>
      </c>
      <c r="C477" s="29">
        <f>Absolute_Scores!D477</f>
        <v>50</v>
      </c>
      <c r="D477" s="30">
        <f t="shared" si="21"/>
        <v>62.5</v>
      </c>
      <c r="F477" s="12" t="str">
        <f>Absolute_Scores!F477</f>
        <v>@allegra19_</v>
      </c>
      <c r="G477" s="12" t="str">
        <f>Absolute_Scores!G477</f>
        <v>Instagram</v>
      </c>
      <c r="H477" s="29">
        <f>Absolute_Scores!I477</f>
        <v>50</v>
      </c>
      <c r="I477" s="30">
        <f t="shared" si="22"/>
        <v>62.5</v>
      </c>
      <c r="K477" s="12" t="str">
        <f>Absolute_Scores!K477</f>
        <v>@kyranayda</v>
      </c>
      <c r="L477" s="12" t="str">
        <f>Absolute_Scores!L477</f>
        <v>Instagram</v>
      </c>
      <c r="M477" s="29">
        <f>Absolute_Scores!N477</f>
        <v>38</v>
      </c>
      <c r="N477" s="30">
        <f t="shared" si="23"/>
        <v>56.72</v>
      </c>
    </row>
    <row r="478" spans="1:14">
      <c r="A478" s="12" t="str">
        <f>Absolute_Scores!A478</f>
        <v>@nengdesinengdesi</v>
      </c>
      <c r="B478" s="12" t="str">
        <f>Absolute_Scores!B478</f>
        <v>Instagram</v>
      </c>
      <c r="C478" s="29">
        <f>Absolute_Scores!D478</f>
        <v>50</v>
      </c>
      <c r="D478" s="30">
        <f t="shared" si="21"/>
        <v>62.5</v>
      </c>
      <c r="F478" s="12" t="str">
        <f>Absolute_Scores!F478</f>
        <v>@allisyaaffa</v>
      </c>
      <c r="G478" s="12" t="str">
        <f>Absolute_Scores!G478</f>
        <v>TikTok</v>
      </c>
      <c r="H478" s="29">
        <f>Absolute_Scores!I478</f>
        <v>50</v>
      </c>
      <c r="I478" s="30">
        <f t="shared" si="22"/>
        <v>62.5</v>
      </c>
      <c r="K478" s="12" t="str">
        <f>Absolute_Scores!K478</f>
        <v>@lidyarismi</v>
      </c>
      <c r="L478" s="12" t="str">
        <f>Absolute_Scores!L478</f>
        <v>TikTok</v>
      </c>
      <c r="M478" s="29">
        <f>Absolute_Scores!N478</f>
        <v>38</v>
      </c>
      <c r="N478" s="30">
        <f t="shared" si="23"/>
        <v>56.72</v>
      </c>
    </row>
    <row r="479" spans="1:14">
      <c r="A479" s="12" t="str">
        <f>Absolute_Scores!A479</f>
        <v>@niisa_anggaraii</v>
      </c>
      <c r="B479" s="12" t="str">
        <f>Absolute_Scores!B479</f>
        <v>Instagram</v>
      </c>
      <c r="C479" s="29">
        <f>Absolute_Scores!D479</f>
        <v>50</v>
      </c>
      <c r="D479" s="30">
        <f t="shared" si="21"/>
        <v>62.5</v>
      </c>
      <c r="F479" s="12" t="str">
        <f>Absolute_Scores!F479</f>
        <v>@allugra</v>
      </c>
      <c r="G479" s="12" t="str">
        <f>Absolute_Scores!G479</f>
        <v>TikTok</v>
      </c>
      <c r="H479" s="29">
        <f>Absolute_Scores!I479</f>
        <v>50</v>
      </c>
      <c r="I479" s="30">
        <f t="shared" si="22"/>
        <v>62.5</v>
      </c>
      <c r="K479" s="12" t="str">
        <f>Absolute_Scores!K479</f>
        <v>@oliviatanned</v>
      </c>
      <c r="L479" s="12" t="str">
        <f>Absolute_Scores!L479</f>
        <v>Instagram</v>
      </c>
      <c r="M479" s="29">
        <f>Absolute_Scores!N479</f>
        <v>38</v>
      </c>
      <c r="N479" s="30">
        <f t="shared" si="23"/>
        <v>56.72</v>
      </c>
    </row>
    <row r="480" spans="1:14">
      <c r="A480" s="12" t="str">
        <f>Absolute_Scores!A480</f>
        <v>@nisacaldis</v>
      </c>
      <c r="B480" s="12" t="str">
        <f>Absolute_Scores!B480</f>
        <v>Instagram</v>
      </c>
      <c r="C480" s="29">
        <f>Absolute_Scores!D480</f>
        <v>50</v>
      </c>
      <c r="D480" s="30">
        <f t="shared" si="21"/>
        <v>62.5</v>
      </c>
      <c r="F480" s="12" t="str">
        <f>Absolute_Scores!F480</f>
        <v>@almaquintha</v>
      </c>
      <c r="G480" s="12" t="str">
        <f>Absolute_Scores!G480</f>
        <v>Instagram</v>
      </c>
      <c r="H480" s="29">
        <f>Absolute_Scores!I480</f>
        <v>50</v>
      </c>
      <c r="I480" s="30">
        <f t="shared" si="22"/>
        <v>62.5</v>
      </c>
      <c r="K480" s="12" t="str">
        <f>Absolute_Scores!K480</f>
        <v>@onyahero</v>
      </c>
      <c r="L480" s="12" t="str">
        <f>Absolute_Scores!L480</f>
        <v>Instagram</v>
      </c>
      <c r="M480" s="29">
        <f>Absolute_Scores!N480</f>
        <v>38</v>
      </c>
      <c r="N480" s="30">
        <f t="shared" si="23"/>
        <v>56.72</v>
      </c>
    </row>
    <row r="481" spans="1:14">
      <c r="A481" s="12" t="str">
        <f>Absolute_Scores!A481</f>
        <v>@niss_ya11</v>
      </c>
      <c r="B481" s="12" t="str">
        <f>Absolute_Scores!B481</f>
        <v>Instagram</v>
      </c>
      <c r="C481" s="29">
        <f>Absolute_Scores!D481</f>
        <v>50</v>
      </c>
      <c r="D481" s="30">
        <f t="shared" si="21"/>
        <v>62.5</v>
      </c>
      <c r="F481" s="12" t="str">
        <f>Absolute_Scores!F481</f>
        <v>@almayunita06</v>
      </c>
      <c r="G481" s="12" t="str">
        <f>Absolute_Scores!G481</f>
        <v>TikTok</v>
      </c>
      <c r="H481" s="29">
        <f>Absolute_Scores!I481</f>
        <v>50</v>
      </c>
      <c r="I481" s="30">
        <f t="shared" si="22"/>
        <v>62.5</v>
      </c>
      <c r="K481" s="12" t="str">
        <f>Absolute_Scores!K481</f>
        <v>@putrypurwantika</v>
      </c>
      <c r="L481" s="12" t="str">
        <f>Absolute_Scores!L481</f>
        <v>Instagram</v>
      </c>
      <c r="M481" s="29">
        <f>Absolute_Scores!N481</f>
        <v>38</v>
      </c>
      <c r="N481" s="30">
        <f t="shared" si="23"/>
        <v>56.72</v>
      </c>
    </row>
    <row r="482" spans="1:14">
      <c r="A482" s="12" t="str">
        <f>Absolute_Scores!A482</f>
        <v>@nissataqiyyah</v>
      </c>
      <c r="B482" s="12" t="str">
        <f>Absolute_Scores!B482</f>
        <v>Instagram</v>
      </c>
      <c r="C482" s="29">
        <f>Absolute_Scores!D482</f>
        <v>50</v>
      </c>
      <c r="D482" s="30">
        <f t="shared" si="21"/>
        <v>62.5</v>
      </c>
      <c r="F482" s="12" t="str">
        <f>Absolute_Scores!F482</f>
        <v>@aloeeveeraaaaa</v>
      </c>
      <c r="G482" s="12" t="str">
        <f>Absolute_Scores!G482</f>
        <v>TikTok</v>
      </c>
      <c r="H482" s="29">
        <f>Absolute_Scores!I482</f>
        <v>50</v>
      </c>
      <c r="I482" s="30">
        <f t="shared" si="22"/>
        <v>62.5</v>
      </c>
      <c r="K482" s="12" t="str">
        <f>Absolute_Scores!K482</f>
        <v>@rizky.rakhmasari</v>
      </c>
      <c r="L482" s="12" t="str">
        <f>Absolute_Scores!L482</f>
        <v>Instagram</v>
      </c>
      <c r="M482" s="29">
        <f>Absolute_Scores!N482</f>
        <v>38</v>
      </c>
      <c r="N482" s="30">
        <f t="shared" si="23"/>
        <v>56.72</v>
      </c>
    </row>
    <row r="483" spans="1:14">
      <c r="A483" s="12" t="str">
        <f>Absolute_Scores!A483</f>
        <v>@nitaaja73</v>
      </c>
      <c r="B483" s="12" t="str">
        <f>Absolute_Scores!B483</f>
        <v>Instagram</v>
      </c>
      <c r="C483" s="29">
        <f>Absolute_Scores!D483</f>
        <v>50</v>
      </c>
      <c r="D483" s="30">
        <f t="shared" si="21"/>
        <v>62.5</v>
      </c>
      <c r="F483" s="12" t="str">
        <f>Absolute_Scores!F483</f>
        <v>@alviansyahnr</v>
      </c>
      <c r="G483" s="12" t="str">
        <f>Absolute_Scores!G483</f>
        <v>Instagram</v>
      </c>
      <c r="H483" s="29">
        <f>Absolute_Scores!I483</f>
        <v>50</v>
      </c>
      <c r="I483" s="30">
        <f t="shared" si="22"/>
        <v>62.5</v>
      </c>
      <c r="K483" s="12" t="str">
        <f>Absolute_Scores!K483</f>
        <v>@salsabyyllaa</v>
      </c>
      <c r="L483" s="12" t="str">
        <f>Absolute_Scores!L483</f>
        <v>TikTok</v>
      </c>
      <c r="M483" s="29">
        <f>Absolute_Scores!N483</f>
        <v>38</v>
      </c>
      <c r="N483" s="30">
        <f t="shared" si="23"/>
        <v>56.72</v>
      </c>
    </row>
    <row r="484" spans="1:14">
      <c r="A484" s="12" t="str">
        <f>Absolute_Scores!A484</f>
        <v>@noon_skinner</v>
      </c>
      <c r="B484" s="12" t="str">
        <f>Absolute_Scores!B484</f>
        <v>Instagram</v>
      </c>
      <c r="C484" s="29">
        <f>Absolute_Scores!D484</f>
        <v>50</v>
      </c>
      <c r="D484" s="30">
        <f t="shared" si="21"/>
        <v>62.5</v>
      </c>
      <c r="F484" s="12" t="str">
        <f>Absolute_Scores!F484</f>
        <v>@alvinsyahvin</v>
      </c>
      <c r="G484" s="12" t="str">
        <f>Absolute_Scores!G484</f>
        <v>TikTok</v>
      </c>
      <c r="H484" s="29">
        <f>Absolute_Scores!I484</f>
        <v>50</v>
      </c>
      <c r="I484" s="30">
        <f t="shared" si="22"/>
        <v>62.5</v>
      </c>
      <c r="K484" s="12" t="str">
        <f>Absolute_Scores!K484</f>
        <v>@salyangkamu</v>
      </c>
      <c r="L484" s="12" t="str">
        <f>Absolute_Scores!L484</f>
        <v>TikTok</v>
      </c>
      <c r="M484" s="29">
        <f>Absolute_Scores!N484</f>
        <v>38</v>
      </c>
      <c r="N484" s="30">
        <f t="shared" si="23"/>
        <v>56.72</v>
      </c>
    </row>
    <row r="485" spans="1:14">
      <c r="A485" s="12" t="str">
        <f>Absolute_Scores!A485</f>
        <v>@nqaulia</v>
      </c>
      <c r="B485" s="12" t="str">
        <f>Absolute_Scores!B485</f>
        <v>Instagram</v>
      </c>
      <c r="C485" s="29">
        <f>Absolute_Scores!D485</f>
        <v>50</v>
      </c>
      <c r="D485" s="30">
        <f t="shared" si="21"/>
        <v>62.5</v>
      </c>
      <c r="F485" s="12" t="str">
        <f>Absolute_Scores!F485</f>
        <v>@alvirazhrn</v>
      </c>
      <c r="G485" s="12" t="str">
        <f>Absolute_Scores!G485</f>
        <v>TikTok</v>
      </c>
      <c r="H485" s="29">
        <f>Absolute_Scores!I485</f>
        <v>50</v>
      </c>
      <c r="I485" s="30">
        <f t="shared" si="22"/>
        <v>62.5</v>
      </c>
      <c r="K485" s="12" t="str">
        <f>Absolute_Scores!K485</f>
        <v>@susijournal1509</v>
      </c>
      <c r="L485" s="12" t="str">
        <f>Absolute_Scores!L485</f>
        <v>Instagram</v>
      </c>
      <c r="M485" s="29">
        <f>Absolute_Scores!N485</f>
        <v>38</v>
      </c>
      <c r="N485" s="30">
        <f t="shared" si="23"/>
        <v>56.72</v>
      </c>
    </row>
    <row r="486" spans="1:14">
      <c r="A486" s="12" t="str">
        <f>Absolute_Scores!A486</f>
        <v>@nungky_viida</v>
      </c>
      <c r="B486" s="12" t="str">
        <f>Absolute_Scores!B486</f>
        <v>Instagram</v>
      </c>
      <c r="C486" s="29">
        <f>Absolute_Scores!D486</f>
        <v>50</v>
      </c>
      <c r="D486" s="30">
        <f t="shared" si="21"/>
        <v>62.5</v>
      </c>
      <c r="F486" s="12" t="str">
        <f>Absolute_Scores!F486</f>
        <v>@alyabroziouz</v>
      </c>
      <c r="G486" s="12" t="str">
        <f>Absolute_Scores!G486</f>
        <v>TikTok</v>
      </c>
      <c r="H486" s="29">
        <f>Absolute_Scores!I486</f>
        <v>50</v>
      </c>
      <c r="I486" s="30">
        <f t="shared" si="22"/>
        <v>62.5</v>
      </c>
      <c r="K486" s="12" t="str">
        <f>Absolute_Scores!K486</f>
        <v>@theopasaribu_</v>
      </c>
      <c r="L486" s="12" t="str">
        <f>Absolute_Scores!L486</f>
        <v>Instagram</v>
      </c>
      <c r="M486" s="29">
        <f>Absolute_Scores!N486</f>
        <v>38</v>
      </c>
      <c r="N486" s="30">
        <f t="shared" si="23"/>
        <v>56.72</v>
      </c>
    </row>
    <row r="487" spans="1:14">
      <c r="A487" s="12" t="str">
        <f>Absolute_Scores!A487</f>
        <v>@nunu.hasanahnur</v>
      </c>
      <c r="B487" s="12" t="str">
        <f>Absolute_Scores!B487</f>
        <v>Instagram</v>
      </c>
      <c r="C487" s="29">
        <f>Absolute_Scores!D487</f>
        <v>50</v>
      </c>
      <c r="D487" s="30">
        <f t="shared" si="21"/>
        <v>62.5</v>
      </c>
      <c r="F487" s="12" t="str">
        <f>Absolute_Scores!F487</f>
        <v>@alyakbar__</v>
      </c>
      <c r="G487" s="12" t="str">
        <f>Absolute_Scores!G487</f>
        <v>TikTok</v>
      </c>
      <c r="H487" s="29">
        <f>Absolute_Scores!I487</f>
        <v>50</v>
      </c>
      <c r="I487" s="30">
        <f t="shared" si="22"/>
        <v>62.5</v>
      </c>
      <c r="K487" s="12" t="str">
        <f>Absolute_Scores!K487</f>
        <v>@verafirdyana</v>
      </c>
      <c r="L487" s="12" t="str">
        <f>Absolute_Scores!L487</f>
        <v>Instagram</v>
      </c>
      <c r="M487" s="29">
        <f>Absolute_Scores!N487</f>
        <v>38</v>
      </c>
      <c r="N487" s="30">
        <f t="shared" si="23"/>
        <v>56.72</v>
      </c>
    </row>
    <row r="488" spans="1:14">
      <c r="A488" s="12" t="str">
        <f>Absolute_Scores!A488</f>
        <v>@nunungnrhyti_</v>
      </c>
      <c r="B488" s="12" t="str">
        <f>Absolute_Scores!B488</f>
        <v>Instagram</v>
      </c>
      <c r="C488" s="29">
        <f>Absolute_Scores!D488</f>
        <v>50</v>
      </c>
      <c r="D488" s="30">
        <f t="shared" si="21"/>
        <v>62.5</v>
      </c>
      <c r="F488" s="12" t="str">
        <f>Absolute_Scores!F488</f>
        <v>@alyttlebit</v>
      </c>
      <c r="G488" s="12" t="str">
        <f>Absolute_Scores!G488</f>
        <v>TikTok</v>
      </c>
      <c r="H488" s="29">
        <f>Absolute_Scores!I488</f>
        <v>50</v>
      </c>
      <c r="I488" s="30">
        <f t="shared" si="22"/>
        <v>62.5</v>
      </c>
      <c r="K488" s="12" t="str">
        <f>Absolute_Scores!K488</f>
        <v>@ajiyana_as</v>
      </c>
      <c r="L488" s="12" t="str">
        <f>Absolute_Scores!L488</f>
        <v>TikTok</v>
      </c>
      <c r="M488" s="29">
        <f>Absolute_Scores!N488</f>
        <v>37</v>
      </c>
      <c r="N488" s="30">
        <f t="shared" si="23"/>
        <v>55.22</v>
      </c>
    </row>
    <row r="489" spans="1:14">
      <c r="A489" s="12" t="str">
        <f>Absolute_Scores!A489</f>
        <v>@nuraeni_moms_kl</v>
      </c>
      <c r="B489" s="12" t="str">
        <f>Absolute_Scores!B489</f>
        <v>Instagram</v>
      </c>
      <c r="C489" s="29">
        <f>Absolute_Scores!D489</f>
        <v>50</v>
      </c>
      <c r="D489" s="30">
        <f t="shared" si="21"/>
        <v>62.5</v>
      </c>
      <c r="F489" s="12" t="str">
        <f>Absolute_Scores!F489</f>
        <v>@amadeaseptiaa</v>
      </c>
      <c r="G489" s="12" t="str">
        <f>Absolute_Scores!G489</f>
        <v>TikTok</v>
      </c>
      <c r="H489" s="29">
        <f>Absolute_Scores!I489</f>
        <v>50</v>
      </c>
      <c r="I489" s="30">
        <f t="shared" si="22"/>
        <v>62.5</v>
      </c>
      <c r="K489" s="12" t="str">
        <f>Absolute_Scores!K489</f>
        <v>@angelinawj</v>
      </c>
      <c r="L489" s="12" t="str">
        <f>Absolute_Scores!L489</f>
        <v>TikTok</v>
      </c>
      <c r="M489" s="29">
        <f>Absolute_Scores!N489</f>
        <v>37</v>
      </c>
      <c r="N489" s="30">
        <f t="shared" si="23"/>
        <v>55.22</v>
      </c>
    </row>
    <row r="490" spans="1:14">
      <c r="A490" s="12" t="str">
        <f>Absolute_Scores!A490</f>
        <v>@nurassyafa_</v>
      </c>
      <c r="B490" s="12" t="str">
        <f>Absolute_Scores!B490</f>
        <v>Instagram</v>
      </c>
      <c r="C490" s="29">
        <f>Absolute_Scores!D490</f>
        <v>50</v>
      </c>
      <c r="D490" s="30">
        <f t="shared" si="21"/>
        <v>62.5</v>
      </c>
      <c r="F490" s="12" t="str">
        <f>Absolute_Scores!F490</f>
        <v>@amahmaulana12</v>
      </c>
      <c r="G490" s="12" t="str">
        <f>Absolute_Scores!G490</f>
        <v>Instagram</v>
      </c>
      <c r="H490" s="29">
        <f>Absolute_Scores!I490</f>
        <v>50</v>
      </c>
      <c r="I490" s="30">
        <f t="shared" si="22"/>
        <v>62.5</v>
      </c>
      <c r="K490" s="12" t="str">
        <f>Absolute_Scores!K490</f>
        <v>@caesarlaineanggi2</v>
      </c>
      <c r="L490" s="12" t="str">
        <f>Absolute_Scores!L490</f>
        <v>Instagram</v>
      </c>
      <c r="M490" s="29">
        <f>Absolute_Scores!N490</f>
        <v>37</v>
      </c>
      <c r="N490" s="30">
        <f t="shared" si="23"/>
        <v>55.22</v>
      </c>
    </row>
    <row r="491" spans="1:14">
      <c r="A491" s="12" t="str">
        <f>Absolute_Scores!A491</f>
        <v>@nurfadillahh_3</v>
      </c>
      <c r="B491" s="12" t="str">
        <f>Absolute_Scores!B491</f>
        <v>Instagram</v>
      </c>
      <c r="C491" s="29">
        <f>Absolute_Scores!D491</f>
        <v>50</v>
      </c>
      <c r="D491" s="30">
        <f t="shared" si="21"/>
        <v>62.5</v>
      </c>
      <c r="F491" s="12" t="str">
        <f>Absolute_Scores!F491</f>
        <v>@amalia_dety</v>
      </c>
      <c r="G491" s="12" t="str">
        <f>Absolute_Scores!G491</f>
        <v>Instagram</v>
      </c>
      <c r="H491" s="29">
        <f>Absolute_Scores!I491</f>
        <v>50</v>
      </c>
      <c r="I491" s="30">
        <f t="shared" si="22"/>
        <v>62.5</v>
      </c>
      <c r="K491" s="12" t="str">
        <f>Absolute_Scores!K491</f>
        <v>@eshahidayat</v>
      </c>
      <c r="L491" s="12" t="str">
        <f>Absolute_Scores!L491</f>
        <v>Instagram</v>
      </c>
      <c r="M491" s="29">
        <f>Absolute_Scores!N491</f>
        <v>37</v>
      </c>
      <c r="N491" s="30">
        <f t="shared" si="23"/>
        <v>55.22</v>
      </c>
    </row>
    <row r="492" spans="1:14">
      <c r="A492" s="12" t="str">
        <f>Absolute_Scores!A492</f>
        <v>@nurilfarida_</v>
      </c>
      <c r="B492" s="12" t="str">
        <f>Absolute_Scores!B492</f>
        <v>Instagram</v>
      </c>
      <c r="C492" s="29">
        <f>Absolute_Scores!D492</f>
        <v>50</v>
      </c>
      <c r="D492" s="30">
        <f t="shared" si="21"/>
        <v>62.5</v>
      </c>
      <c r="F492" s="12" t="str">
        <f>Absolute_Scores!F492</f>
        <v>@amaliamrdtnn</v>
      </c>
      <c r="G492" s="12" t="str">
        <f>Absolute_Scores!G492</f>
        <v>TikTok</v>
      </c>
      <c r="H492" s="29">
        <f>Absolute_Scores!I492</f>
        <v>50</v>
      </c>
      <c r="I492" s="30">
        <f t="shared" si="22"/>
        <v>62.5</v>
      </c>
      <c r="K492" s="12" t="str">
        <f>Absolute_Scores!K492</f>
        <v>@femaledailynetwork</v>
      </c>
      <c r="L492" s="12" t="str">
        <f>Absolute_Scores!L492</f>
        <v>Instagram</v>
      </c>
      <c r="M492" s="29">
        <f>Absolute_Scores!N492</f>
        <v>37</v>
      </c>
      <c r="N492" s="30">
        <f t="shared" si="23"/>
        <v>55.22</v>
      </c>
    </row>
    <row r="493" spans="1:14">
      <c r="A493" s="12" t="str">
        <f>Absolute_Scores!A493</f>
        <v>@nurirrahmah_nst</v>
      </c>
      <c r="B493" s="12" t="str">
        <f>Absolute_Scores!B493</f>
        <v>Instagram</v>
      </c>
      <c r="C493" s="29">
        <f>Absolute_Scores!D493</f>
        <v>50</v>
      </c>
      <c r="D493" s="30">
        <f t="shared" si="21"/>
        <v>62.5</v>
      </c>
      <c r="F493" s="12" t="str">
        <f>Absolute_Scores!F493</f>
        <v>@amaliarizqi962</v>
      </c>
      <c r="G493" s="12" t="str">
        <f>Absolute_Scores!G493</f>
        <v>Instagram</v>
      </c>
      <c r="H493" s="29">
        <f>Absolute_Scores!I493</f>
        <v>50</v>
      </c>
      <c r="I493" s="30">
        <f t="shared" si="22"/>
        <v>62.5</v>
      </c>
      <c r="K493" s="12" t="str">
        <f>Absolute_Scores!K493</f>
        <v>@habibul251</v>
      </c>
      <c r="L493" s="12" t="str">
        <f>Absolute_Scores!L493</f>
        <v>TikTok</v>
      </c>
      <c r="M493" s="29">
        <f>Absolute_Scores!N493</f>
        <v>37</v>
      </c>
      <c r="N493" s="30">
        <f t="shared" si="23"/>
        <v>55.22</v>
      </c>
    </row>
    <row r="494" spans="1:14">
      <c r="A494" s="12" t="str">
        <f>Absolute_Scores!A494</f>
        <v>@nurjanah_adiba17</v>
      </c>
      <c r="B494" s="12" t="str">
        <f>Absolute_Scores!B494</f>
        <v>Instagram</v>
      </c>
      <c r="C494" s="29">
        <f>Absolute_Scores!D494</f>
        <v>50</v>
      </c>
      <c r="D494" s="30">
        <f t="shared" si="21"/>
        <v>62.5</v>
      </c>
      <c r="F494" s="12" t="str">
        <f>Absolute_Scores!F494</f>
        <v>@amanalfarisii</v>
      </c>
      <c r="G494" s="12" t="str">
        <f>Absolute_Scores!G494</f>
        <v>TikTok</v>
      </c>
      <c r="H494" s="29">
        <f>Absolute_Scores!I494</f>
        <v>50</v>
      </c>
      <c r="I494" s="30">
        <f t="shared" si="22"/>
        <v>62.5</v>
      </c>
      <c r="K494" s="12" t="str">
        <f>Absolute_Scores!K494</f>
        <v>@isyanasarasvati</v>
      </c>
      <c r="L494" s="12" t="str">
        <f>Absolute_Scores!L494</f>
        <v>Instagram</v>
      </c>
      <c r="M494" s="29">
        <f>Absolute_Scores!N494</f>
        <v>37</v>
      </c>
      <c r="N494" s="30">
        <f t="shared" si="23"/>
        <v>55.22</v>
      </c>
    </row>
    <row r="495" spans="1:14">
      <c r="A495" s="12" t="str">
        <f>Absolute_Scores!A495</f>
        <v>@nurkomala_s14</v>
      </c>
      <c r="B495" s="12" t="str">
        <f>Absolute_Scores!B495</f>
        <v>Instagram</v>
      </c>
      <c r="C495" s="29">
        <f>Absolute_Scores!D495</f>
        <v>50</v>
      </c>
      <c r="D495" s="30">
        <f t="shared" si="21"/>
        <v>62.5</v>
      </c>
      <c r="F495" s="12" t="str">
        <f>Absolute_Scores!F495</f>
        <v>@amanaturr</v>
      </c>
      <c r="G495" s="12" t="str">
        <f>Absolute_Scores!G495</f>
        <v>TikTok</v>
      </c>
      <c r="H495" s="29">
        <f>Absolute_Scores!I495</f>
        <v>50</v>
      </c>
      <c r="I495" s="30">
        <f t="shared" si="22"/>
        <v>62.5</v>
      </c>
      <c r="K495" s="12" t="str">
        <f>Absolute_Scores!K495</f>
        <v>@jeffchristianchen</v>
      </c>
      <c r="L495" s="12" t="str">
        <f>Absolute_Scores!L495</f>
        <v>Instagram</v>
      </c>
      <c r="M495" s="29">
        <f>Absolute_Scores!N495</f>
        <v>37</v>
      </c>
      <c r="N495" s="30">
        <f t="shared" si="23"/>
        <v>55.22</v>
      </c>
    </row>
    <row r="496" spans="1:14">
      <c r="A496" s="12" t="str">
        <f>Absolute_Scores!A496</f>
        <v>@nurul_ikra</v>
      </c>
      <c r="B496" s="12" t="str">
        <f>Absolute_Scores!B496</f>
        <v>Instagram</v>
      </c>
      <c r="C496" s="29">
        <f>Absolute_Scores!D496</f>
        <v>50</v>
      </c>
      <c r="D496" s="30">
        <f t="shared" si="21"/>
        <v>62.5</v>
      </c>
      <c r="F496" s="12" t="str">
        <f>Absolute_Scores!F496</f>
        <v>@amanda_putrii12</v>
      </c>
      <c r="G496" s="12" t="str">
        <f>Absolute_Scores!G496</f>
        <v>TikTok</v>
      </c>
      <c r="H496" s="29">
        <f>Absolute_Scores!I496</f>
        <v>50</v>
      </c>
      <c r="I496" s="30">
        <f t="shared" si="22"/>
        <v>62.5</v>
      </c>
      <c r="K496" s="12" t="str">
        <f>Absolute_Scores!K496</f>
        <v>@jktinfo</v>
      </c>
      <c r="L496" s="12" t="str">
        <f>Absolute_Scores!L496</f>
        <v>Instagram</v>
      </c>
      <c r="M496" s="29">
        <f>Absolute_Scores!N496</f>
        <v>37</v>
      </c>
      <c r="N496" s="30">
        <f t="shared" si="23"/>
        <v>55.22</v>
      </c>
    </row>
    <row r="497" spans="1:14">
      <c r="A497" s="12" t="str">
        <f>Absolute_Scores!A497</f>
        <v>@nurul.adila__</v>
      </c>
      <c r="B497" s="12" t="str">
        <f>Absolute_Scores!B497</f>
        <v>Instagram</v>
      </c>
      <c r="C497" s="29">
        <f>Absolute_Scores!D497</f>
        <v>50</v>
      </c>
      <c r="D497" s="30">
        <f t="shared" si="21"/>
        <v>62.5</v>
      </c>
      <c r="F497" s="12" t="str">
        <f>Absolute_Scores!F497</f>
        <v>@amandaskiy</v>
      </c>
      <c r="G497" s="12" t="str">
        <f>Absolute_Scores!G497</f>
        <v>TikTok</v>
      </c>
      <c r="H497" s="29">
        <f>Absolute_Scores!I497</f>
        <v>50</v>
      </c>
      <c r="I497" s="30">
        <f t="shared" si="22"/>
        <v>62.5</v>
      </c>
      <c r="K497" s="12" t="str">
        <f>Absolute_Scores!K497</f>
        <v>@key.rzky</v>
      </c>
      <c r="L497" s="12" t="str">
        <f>Absolute_Scores!L497</f>
        <v>Instagram</v>
      </c>
      <c r="M497" s="29">
        <f>Absolute_Scores!N497</f>
        <v>37</v>
      </c>
      <c r="N497" s="30">
        <f t="shared" si="23"/>
        <v>55.22</v>
      </c>
    </row>
    <row r="498" spans="1:14">
      <c r="A498" s="12" t="str">
        <f>Absolute_Scores!A498</f>
        <v>@nurulhikmahn_</v>
      </c>
      <c r="B498" s="12" t="str">
        <f>Absolute_Scores!B498</f>
        <v>Instagram</v>
      </c>
      <c r="C498" s="29">
        <f>Absolute_Scores!D498</f>
        <v>50</v>
      </c>
      <c r="D498" s="30">
        <f t="shared" si="21"/>
        <v>62.5</v>
      </c>
      <c r="F498" s="12" t="str">
        <f>Absolute_Scores!F498</f>
        <v>@amandastatic_</v>
      </c>
      <c r="G498" s="12" t="str">
        <f>Absolute_Scores!G498</f>
        <v>TikTok</v>
      </c>
      <c r="H498" s="29">
        <f>Absolute_Scores!I498</f>
        <v>50</v>
      </c>
      <c r="I498" s="30">
        <f t="shared" si="22"/>
        <v>62.5</v>
      </c>
      <c r="K498" s="12" t="str">
        <f>Absolute_Scores!K498</f>
        <v>@kokojackson7</v>
      </c>
      <c r="L498" s="12" t="str">
        <f>Absolute_Scores!L498</f>
        <v>Instagram</v>
      </c>
      <c r="M498" s="29">
        <f>Absolute_Scores!N498</f>
        <v>37</v>
      </c>
      <c r="N498" s="30">
        <f t="shared" si="23"/>
        <v>55.22</v>
      </c>
    </row>
    <row r="499" spans="1:14">
      <c r="A499" s="12" t="str">
        <f>Absolute_Scores!A499</f>
        <v>@nurulsafitri3982</v>
      </c>
      <c r="B499" s="12" t="str">
        <f>Absolute_Scores!B499</f>
        <v>Instagram</v>
      </c>
      <c r="C499" s="29">
        <f>Absolute_Scores!D499</f>
        <v>50</v>
      </c>
      <c r="D499" s="30">
        <f t="shared" si="21"/>
        <v>62.5</v>
      </c>
      <c r="F499" s="12" t="str">
        <f>Absolute_Scores!F499</f>
        <v>@amandatorquise</v>
      </c>
      <c r="G499" s="12" t="str">
        <f>Absolute_Scores!G499</f>
        <v>Instagram</v>
      </c>
      <c r="H499" s="29">
        <f>Absolute_Scores!I499</f>
        <v>50</v>
      </c>
      <c r="I499" s="30">
        <f t="shared" si="22"/>
        <v>62.5</v>
      </c>
      <c r="K499" s="12" t="str">
        <f>Absolute_Scores!K499</f>
        <v>@melisadwlndrr</v>
      </c>
      <c r="L499" s="12" t="str">
        <f>Absolute_Scores!L499</f>
        <v>TikTok</v>
      </c>
      <c r="M499" s="29">
        <f>Absolute_Scores!N499</f>
        <v>37</v>
      </c>
      <c r="N499" s="30">
        <f t="shared" si="23"/>
        <v>55.22</v>
      </c>
    </row>
    <row r="500" spans="1:14">
      <c r="A500" s="12" t="str">
        <f>Absolute_Scores!A500</f>
        <v>@nurulumayahs_</v>
      </c>
      <c r="B500" s="12" t="str">
        <f>Absolute_Scores!B500</f>
        <v>Instagram</v>
      </c>
      <c r="C500" s="29">
        <f>Absolute_Scores!D500</f>
        <v>50</v>
      </c>
      <c r="D500" s="30">
        <f t="shared" si="21"/>
        <v>62.5</v>
      </c>
      <c r="F500" s="12" t="str">
        <f>Absolute_Scores!F500</f>
        <v>@amaracintia16</v>
      </c>
      <c r="G500" s="12" t="str">
        <f>Absolute_Scores!G500</f>
        <v>Instagram</v>
      </c>
      <c r="H500" s="29">
        <f>Absolute_Scores!I500</f>
        <v>50</v>
      </c>
      <c r="I500" s="30">
        <f t="shared" si="22"/>
        <v>62.5</v>
      </c>
      <c r="K500" s="12" t="str">
        <f>Absolute_Scores!K500</f>
        <v>@nadirandr_</v>
      </c>
      <c r="L500" s="12" t="str">
        <f>Absolute_Scores!L500</f>
        <v>Instagram</v>
      </c>
      <c r="M500" s="29">
        <f>Absolute_Scores!N500</f>
        <v>37</v>
      </c>
      <c r="N500" s="30">
        <f t="shared" si="23"/>
        <v>55.22</v>
      </c>
    </row>
    <row r="501" spans="1:14">
      <c r="A501" s="12" t="str">
        <f>Absolute_Scores!A501</f>
        <v>@nuryani.tri_dn</v>
      </c>
      <c r="B501" s="12" t="str">
        <f>Absolute_Scores!B501</f>
        <v>Instagram</v>
      </c>
      <c r="C501" s="29">
        <f>Absolute_Scores!D501</f>
        <v>50</v>
      </c>
      <c r="D501" s="30">
        <f t="shared" si="21"/>
        <v>62.5</v>
      </c>
      <c r="F501" s="12" t="str">
        <f>Absolute_Scores!F501</f>
        <v>@ambarayd_</v>
      </c>
      <c r="G501" s="12" t="str">
        <f>Absolute_Scores!G501</f>
        <v>Instagram</v>
      </c>
      <c r="H501" s="29">
        <f>Absolute_Scores!I501</f>
        <v>50</v>
      </c>
      <c r="I501" s="30">
        <f t="shared" si="22"/>
        <v>62.5</v>
      </c>
      <c r="K501" s="12" t="str">
        <f>Absolute_Scores!K501</f>
        <v>@nonik_fay</v>
      </c>
      <c r="L501" s="12" t="str">
        <f>Absolute_Scores!L501</f>
        <v>Instagram</v>
      </c>
      <c r="M501" s="29">
        <f>Absolute_Scores!N501</f>
        <v>37</v>
      </c>
      <c r="N501" s="30">
        <f t="shared" si="23"/>
        <v>55.22</v>
      </c>
    </row>
    <row r="502" spans="1:14">
      <c r="A502" s="12" t="str">
        <f>Absolute_Scores!A502</f>
        <v>@nyk_mlg</v>
      </c>
      <c r="B502" s="12" t="str">
        <f>Absolute_Scores!B502</f>
        <v>Instagram</v>
      </c>
      <c r="C502" s="29">
        <f>Absolute_Scores!D502</f>
        <v>50</v>
      </c>
      <c r="D502" s="30">
        <f t="shared" si="21"/>
        <v>62.5</v>
      </c>
      <c r="F502" s="12" t="str">
        <f>Absolute_Scores!F502</f>
        <v>@amelia.almasyhad</v>
      </c>
      <c r="G502" s="12" t="str">
        <f>Absolute_Scores!G502</f>
        <v>TikTok</v>
      </c>
      <c r="H502" s="29">
        <f>Absolute_Scores!I502</f>
        <v>50</v>
      </c>
      <c r="I502" s="30">
        <f t="shared" si="22"/>
        <v>62.5</v>
      </c>
      <c r="K502" s="12" t="str">
        <f>Absolute_Scores!K502</f>
        <v>@norawuu</v>
      </c>
      <c r="L502" s="12" t="str">
        <f>Absolute_Scores!L502</f>
        <v>Instagram</v>
      </c>
      <c r="M502" s="29">
        <f>Absolute_Scores!N502</f>
        <v>37</v>
      </c>
      <c r="N502" s="30">
        <f t="shared" si="23"/>
        <v>55.22</v>
      </c>
    </row>
    <row r="503" spans="1:14">
      <c r="A503" s="12" t="str">
        <f>Absolute_Scores!A503</f>
        <v>@octafinda</v>
      </c>
      <c r="B503" s="12" t="str">
        <f>Absolute_Scores!B503</f>
        <v>Instagram</v>
      </c>
      <c r="C503" s="29">
        <f>Absolute_Scores!D503</f>
        <v>50</v>
      </c>
      <c r="D503" s="30">
        <f t="shared" si="21"/>
        <v>62.5</v>
      </c>
      <c r="F503" s="12" t="str">
        <f>Absolute_Scores!F503</f>
        <v>@ameliaasshh</v>
      </c>
      <c r="G503" s="12" t="str">
        <f>Absolute_Scores!G503</f>
        <v>TikTok</v>
      </c>
      <c r="H503" s="29">
        <f>Absolute_Scores!I503</f>
        <v>50</v>
      </c>
      <c r="I503" s="30">
        <f t="shared" si="22"/>
        <v>62.5</v>
      </c>
      <c r="K503" s="12" t="str">
        <f>Absolute_Scores!K503</f>
        <v>@pinkkyganz</v>
      </c>
      <c r="L503" s="12" t="str">
        <f>Absolute_Scores!L503</f>
        <v>TikTok</v>
      </c>
      <c r="M503" s="29">
        <f>Absolute_Scores!N503</f>
        <v>37</v>
      </c>
      <c r="N503" s="30">
        <f t="shared" si="23"/>
        <v>55.22</v>
      </c>
    </row>
    <row r="504" spans="1:14">
      <c r="A504" s="12" t="str">
        <f>Absolute_Scores!A504</f>
        <v>@oktosiagian</v>
      </c>
      <c r="B504" s="12" t="str">
        <f>Absolute_Scores!B504</f>
        <v>Instagram</v>
      </c>
      <c r="C504" s="29">
        <f>Absolute_Scores!D504</f>
        <v>50</v>
      </c>
      <c r="D504" s="30">
        <f t="shared" si="21"/>
        <v>62.5</v>
      </c>
      <c r="F504" s="12" t="str">
        <f>Absolute_Scores!F504</f>
        <v>@ameliawww08</v>
      </c>
      <c r="G504" s="12" t="str">
        <f>Absolute_Scores!G504</f>
        <v>Instagram</v>
      </c>
      <c r="H504" s="29">
        <f>Absolute_Scores!I504</f>
        <v>50</v>
      </c>
      <c r="I504" s="30">
        <f t="shared" si="22"/>
        <v>62.5</v>
      </c>
      <c r="K504" s="12" t="str">
        <f>Absolute_Scores!K504</f>
        <v>@shintya_audrey</v>
      </c>
      <c r="L504" s="12" t="str">
        <f>Absolute_Scores!L504</f>
        <v>Instagram</v>
      </c>
      <c r="M504" s="29">
        <f>Absolute_Scores!N504</f>
        <v>37</v>
      </c>
      <c r="N504" s="30">
        <f t="shared" si="23"/>
        <v>55.22</v>
      </c>
    </row>
    <row r="505" spans="1:14">
      <c r="A505" s="12" t="str">
        <f>Absolute_Scores!A505</f>
        <v>@olliveeikaaa</v>
      </c>
      <c r="B505" s="12" t="str">
        <f>Absolute_Scores!B505</f>
        <v>Instagram</v>
      </c>
      <c r="C505" s="29">
        <f>Absolute_Scores!D505</f>
        <v>50</v>
      </c>
      <c r="D505" s="30">
        <f t="shared" si="21"/>
        <v>62.5</v>
      </c>
      <c r="F505" s="12" t="str">
        <f>Absolute_Scores!F505</f>
        <v>@amelisar_</v>
      </c>
      <c r="G505" s="12" t="str">
        <f>Absolute_Scores!G505</f>
        <v>TikTok</v>
      </c>
      <c r="H505" s="29">
        <f>Absolute_Scores!I505</f>
        <v>50</v>
      </c>
      <c r="I505" s="30">
        <f t="shared" si="22"/>
        <v>62.5</v>
      </c>
      <c r="K505" s="12" t="str">
        <f>Absolute_Scores!K505</f>
        <v>@sintiaardianti</v>
      </c>
      <c r="L505" s="12" t="str">
        <f>Absolute_Scores!L505</f>
        <v>Instagram</v>
      </c>
      <c r="M505" s="29">
        <f>Absolute_Scores!N505</f>
        <v>37</v>
      </c>
      <c r="N505" s="30">
        <f t="shared" si="23"/>
        <v>55.22</v>
      </c>
    </row>
    <row r="506" spans="1:14">
      <c r="A506" s="12" t="str">
        <f>Absolute_Scores!A506</f>
        <v>@oppieaulia</v>
      </c>
      <c r="B506" s="12" t="str">
        <f>Absolute_Scores!B506</f>
        <v>Instagram</v>
      </c>
      <c r="C506" s="29">
        <f>Absolute_Scores!D506</f>
        <v>50</v>
      </c>
      <c r="D506" s="30">
        <f t="shared" si="21"/>
        <v>62.5</v>
      </c>
      <c r="F506" s="12" t="str">
        <f>Absolute_Scores!F506</f>
        <v>@amerowssa</v>
      </c>
      <c r="G506" s="12" t="str">
        <f>Absolute_Scores!G506</f>
        <v>TikTok</v>
      </c>
      <c r="H506" s="29">
        <f>Absolute_Scores!I506</f>
        <v>50</v>
      </c>
      <c r="I506" s="30">
        <f t="shared" si="22"/>
        <v>62.5</v>
      </c>
      <c r="K506" s="12" t="str">
        <f>Absolute_Scores!K506</f>
        <v>@teukudinoo</v>
      </c>
      <c r="L506" s="12" t="str">
        <f>Absolute_Scores!L506</f>
        <v>TikTok</v>
      </c>
      <c r="M506" s="29">
        <f>Absolute_Scores!N506</f>
        <v>37</v>
      </c>
      <c r="N506" s="30">
        <f t="shared" si="23"/>
        <v>55.22</v>
      </c>
    </row>
    <row r="507" spans="1:14">
      <c r="A507" s="12" t="str">
        <f>Absolute_Scores!A507</f>
        <v>@pagns</v>
      </c>
      <c r="B507" s="12" t="str">
        <f>Absolute_Scores!B507</f>
        <v>Instagram</v>
      </c>
      <c r="C507" s="29">
        <f>Absolute_Scores!D507</f>
        <v>50</v>
      </c>
      <c r="D507" s="30">
        <f t="shared" si="21"/>
        <v>62.5</v>
      </c>
      <c r="F507" s="12" t="str">
        <f>Absolute_Scores!F507</f>
        <v>@amertadian</v>
      </c>
      <c r="G507" s="12" t="str">
        <f>Absolute_Scores!G507</f>
        <v>TikTok</v>
      </c>
      <c r="H507" s="29">
        <f>Absolute_Scores!I507</f>
        <v>50</v>
      </c>
      <c r="I507" s="30">
        <f t="shared" si="22"/>
        <v>62.5</v>
      </c>
      <c r="K507" s="12" t="str">
        <f>Absolute_Scores!K507</f>
        <v>@theadamsband</v>
      </c>
      <c r="L507" s="12" t="str">
        <f>Absolute_Scores!L507</f>
        <v>Instagram</v>
      </c>
      <c r="M507" s="29">
        <f>Absolute_Scores!N507</f>
        <v>37</v>
      </c>
      <c r="N507" s="30">
        <f t="shared" si="23"/>
        <v>55.22</v>
      </c>
    </row>
    <row r="508" spans="1:14">
      <c r="A508" s="12" t="str">
        <f>Absolute_Scores!A508</f>
        <v>@parlybengkulu18</v>
      </c>
      <c r="B508" s="12" t="str">
        <f>Absolute_Scores!B508</f>
        <v>Instagram</v>
      </c>
      <c r="C508" s="29">
        <f>Absolute_Scores!D508</f>
        <v>50</v>
      </c>
      <c r="D508" s="30">
        <f t="shared" si="21"/>
        <v>62.5</v>
      </c>
      <c r="F508" s="12" t="str">
        <f>Absolute_Scores!F508</f>
        <v>@aminyandawi</v>
      </c>
      <c r="G508" s="12" t="str">
        <f>Absolute_Scores!G508</f>
        <v>TikTok</v>
      </c>
      <c r="H508" s="29">
        <f>Absolute_Scores!I508</f>
        <v>50</v>
      </c>
      <c r="I508" s="30">
        <f t="shared" si="22"/>
        <v>62.5</v>
      </c>
      <c r="K508" s="12" t="str">
        <f>Absolute_Scores!K508</f>
        <v>@vennyalawiyah</v>
      </c>
      <c r="L508" s="12" t="str">
        <f>Absolute_Scores!L508</f>
        <v>Instagram</v>
      </c>
      <c r="M508" s="29">
        <f>Absolute_Scores!N508</f>
        <v>37</v>
      </c>
      <c r="N508" s="30">
        <f t="shared" si="23"/>
        <v>55.22</v>
      </c>
    </row>
    <row r="509" spans="1:14">
      <c r="A509" s="12" t="str">
        <f>Absolute_Scores!A509</f>
        <v>@patrice_dmq2206</v>
      </c>
      <c r="B509" s="12" t="str">
        <f>Absolute_Scores!B509</f>
        <v>Instagram</v>
      </c>
      <c r="C509" s="29">
        <f>Absolute_Scores!D509</f>
        <v>50</v>
      </c>
      <c r="D509" s="30">
        <f t="shared" si="21"/>
        <v>62.5</v>
      </c>
      <c r="F509" s="12" t="str">
        <f>Absolute_Scores!F509</f>
        <v>@amitamonica</v>
      </c>
      <c r="G509" s="12" t="str">
        <f>Absolute_Scores!G509</f>
        <v>Instagram</v>
      </c>
      <c r="H509" s="29">
        <f>Absolute_Scores!I509</f>
        <v>50</v>
      </c>
      <c r="I509" s="30">
        <f t="shared" si="22"/>
        <v>62.5</v>
      </c>
      <c r="K509" s="12" t="str">
        <f>Absolute_Scores!K509</f>
        <v>@virgadana</v>
      </c>
      <c r="L509" s="12" t="str">
        <f>Absolute_Scores!L509</f>
        <v>TikTok</v>
      </c>
      <c r="M509" s="29">
        <f>Absolute_Scores!N509</f>
        <v>37</v>
      </c>
      <c r="N509" s="30">
        <f t="shared" si="23"/>
        <v>55.22</v>
      </c>
    </row>
    <row r="510" spans="1:14">
      <c r="A510" s="12" t="str">
        <f>Absolute_Scores!A510</f>
        <v>@pawon_nia</v>
      </c>
      <c r="B510" s="12" t="str">
        <f>Absolute_Scores!B510</f>
        <v>Instagram</v>
      </c>
      <c r="C510" s="29">
        <f>Absolute_Scores!D510</f>
        <v>50</v>
      </c>
      <c r="D510" s="30">
        <f t="shared" si="21"/>
        <v>62.5</v>
      </c>
      <c r="F510" s="12" t="str">
        <f>Absolute_Scores!F510</f>
        <v>@ammi_lina87</v>
      </c>
      <c r="G510" s="12" t="str">
        <f>Absolute_Scores!G510</f>
        <v>Instagram</v>
      </c>
      <c r="H510" s="29">
        <f>Absolute_Scores!I510</f>
        <v>50</v>
      </c>
      <c r="I510" s="30">
        <f t="shared" si="22"/>
        <v>62.5</v>
      </c>
      <c r="K510" s="12" t="str">
        <f>Absolute_Scores!K510</f>
        <v>@_putritidurr_</v>
      </c>
      <c r="L510" s="12" t="str">
        <f>Absolute_Scores!L510</f>
        <v>TikTok</v>
      </c>
      <c r="M510" s="29">
        <f>Absolute_Scores!N510</f>
        <v>36</v>
      </c>
      <c r="N510" s="30">
        <f t="shared" si="23"/>
        <v>53.73</v>
      </c>
    </row>
    <row r="511" spans="1:14">
      <c r="A511" s="12" t="str">
        <f>Absolute_Scores!A511</f>
        <v>@pemerela</v>
      </c>
      <c r="B511" s="12" t="str">
        <f>Absolute_Scores!B511</f>
        <v>Instagram</v>
      </c>
      <c r="C511" s="29">
        <f>Absolute_Scores!D511</f>
        <v>50</v>
      </c>
      <c r="D511" s="30">
        <f t="shared" si="21"/>
        <v>62.5</v>
      </c>
      <c r="F511" s="12" t="str">
        <f>Absolute_Scores!F511</f>
        <v>@anadiaaisyah</v>
      </c>
      <c r="G511" s="12" t="str">
        <f>Absolute_Scores!G511</f>
        <v>Instagram</v>
      </c>
      <c r="H511" s="29">
        <f>Absolute_Scores!I511</f>
        <v>50</v>
      </c>
      <c r="I511" s="30">
        <f t="shared" si="22"/>
        <v>62.5</v>
      </c>
      <c r="K511" s="12" t="str">
        <f>Absolute_Scores!K511</f>
        <v>@asyahidan</v>
      </c>
      <c r="L511" s="12" t="str">
        <f>Absolute_Scores!L511</f>
        <v>TikTok</v>
      </c>
      <c r="M511" s="29">
        <f>Absolute_Scores!N511</f>
        <v>36</v>
      </c>
      <c r="N511" s="30">
        <f t="shared" si="23"/>
        <v>53.73</v>
      </c>
    </row>
    <row r="512" spans="1:14">
      <c r="A512" s="12" t="str">
        <f>Absolute_Scores!A512</f>
        <v>@petywulandari</v>
      </c>
      <c r="B512" s="12" t="str">
        <f>Absolute_Scores!B512</f>
        <v>Instagram</v>
      </c>
      <c r="C512" s="29">
        <f>Absolute_Scores!D512</f>
        <v>50</v>
      </c>
      <c r="D512" s="30">
        <f t="shared" si="21"/>
        <v>62.5</v>
      </c>
      <c r="F512" s="12" t="str">
        <f>Absolute_Scores!F512</f>
        <v>@anakmamiii96</v>
      </c>
      <c r="G512" s="12" t="str">
        <f>Absolute_Scores!G512</f>
        <v>TikTok</v>
      </c>
      <c r="H512" s="29">
        <f>Absolute_Scores!I512</f>
        <v>50</v>
      </c>
      <c r="I512" s="30">
        <f t="shared" si="22"/>
        <v>62.5</v>
      </c>
      <c r="K512" s="12" t="str">
        <f>Absolute_Scores!K512</f>
        <v>@ceritapelari</v>
      </c>
      <c r="L512" s="12" t="str">
        <f>Absolute_Scores!L512</f>
        <v>Instagram</v>
      </c>
      <c r="M512" s="29">
        <f>Absolute_Scores!N512</f>
        <v>36</v>
      </c>
      <c r="N512" s="30">
        <f t="shared" si="23"/>
        <v>53.73</v>
      </c>
    </row>
    <row r="513" spans="1:14">
      <c r="A513" s="12" t="str">
        <f>Absolute_Scores!A513</f>
        <v>@pi.pi.te</v>
      </c>
      <c r="B513" s="12" t="str">
        <f>Absolute_Scores!B513</f>
        <v>Instagram</v>
      </c>
      <c r="C513" s="29">
        <f>Absolute_Scores!D513</f>
        <v>50</v>
      </c>
      <c r="D513" s="30">
        <f t="shared" si="21"/>
        <v>62.5</v>
      </c>
      <c r="F513" s="12" t="str">
        <f>Absolute_Scores!F513</f>
        <v>@anakmotorbaru</v>
      </c>
      <c r="G513" s="12" t="str">
        <f>Absolute_Scores!G513</f>
        <v>TikTok</v>
      </c>
      <c r="H513" s="29">
        <f>Absolute_Scores!I513</f>
        <v>50</v>
      </c>
      <c r="I513" s="30">
        <f t="shared" si="22"/>
        <v>62.5</v>
      </c>
      <c r="K513" s="12" t="str">
        <f>Absolute_Scores!K513</f>
        <v>@cinpawpaw</v>
      </c>
      <c r="L513" s="12" t="str">
        <f>Absolute_Scores!L513</f>
        <v>Instagram</v>
      </c>
      <c r="M513" s="29">
        <f>Absolute_Scores!N513</f>
        <v>36</v>
      </c>
      <c r="N513" s="30">
        <f t="shared" si="23"/>
        <v>53.73</v>
      </c>
    </row>
    <row r="514" spans="1:14">
      <c r="A514" s="12" t="str">
        <f>Absolute_Scores!A514</f>
        <v>@pratiwi.ftry</v>
      </c>
      <c r="B514" s="12" t="str">
        <f>Absolute_Scores!B514</f>
        <v>Instagram</v>
      </c>
      <c r="C514" s="29">
        <f>Absolute_Scores!D514</f>
        <v>50</v>
      </c>
      <c r="D514" s="30">
        <f t="shared" si="21"/>
        <v>62.5</v>
      </c>
      <c r="F514" s="12" t="str">
        <f>Absolute_Scores!F514</f>
        <v>@anaknyaibukelis</v>
      </c>
      <c r="G514" s="12" t="str">
        <f>Absolute_Scores!G514</f>
        <v>TikTok</v>
      </c>
      <c r="H514" s="29">
        <f>Absolute_Scores!I514</f>
        <v>50</v>
      </c>
      <c r="I514" s="30">
        <f t="shared" si="22"/>
        <v>62.5</v>
      </c>
      <c r="K514" s="12" t="str">
        <f>Absolute_Scores!K514</f>
        <v>@cliffton_zhang</v>
      </c>
      <c r="L514" s="12" t="str">
        <f>Absolute_Scores!L514</f>
        <v>Instagram</v>
      </c>
      <c r="M514" s="29">
        <f>Absolute_Scores!N514</f>
        <v>36</v>
      </c>
      <c r="N514" s="30">
        <f t="shared" si="23"/>
        <v>53.73</v>
      </c>
    </row>
    <row r="515" spans="1:14">
      <c r="A515" s="12" t="str">
        <f>Absolute_Scores!A515</f>
        <v>@pu.put6683</v>
      </c>
      <c r="B515" s="12" t="str">
        <f>Absolute_Scores!B515</f>
        <v>Instagram</v>
      </c>
      <c r="C515" s="29">
        <f>Absolute_Scores!D515</f>
        <v>50</v>
      </c>
      <c r="D515" s="30">
        <f t="shared" si="21"/>
        <v>62.5</v>
      </c>
      <c r="F515" s="12" t="str">
        <f>Absolute_Scores!F515</f>
        <v>@anastasiamanik1</v>
      </c>
      <c r="G515" s="12" t="str">
        <f>Absolute_Scores!G515</f>
        <v>Instagram</v>
      </c>
      <c r="H515" s="29">
        <f>Absolute_Scores!I515</f>
        <v>50</v>
      </c>
      <c r="I515" s="30">
        <f t="shared" si="22"/>
        <v>62.5</v>
      </c>
      <c r="K515" s="12" t="str">
        <f>Absolute_Scores!K515</f>
        <v>@cndytang</v>
      </c>
      <c r="L515" s="12" t="str">
        <f>Absolute_Scores!L515</f>
        <v>Instagram</v>
      </c>
      <c r="M515" s="29">
        <f>Absolute_Scores!N515</f>
        <v>36</v>
      </c>
      <c r="N515" s="30">
        <f t="shared" si="23"/>
        <v>53.73</v>
      </c>
    </row>
    <row r="516" spans="1:14">
      <c r="A516" s="12" t="str">
        <f>Absolute_Scores!A516</f>
        <v>@putherikhan2805</v>
      </c>
      <c r="B516" s="12" t="str">
        <f>Absolute_Scores!B516</f>
        <v>Instagram</v>
      </c>
      <c r="C516" s="29">
        <f>Absolute_Scores!D516</f>
        <v>50</v>
      </c>
      <c r="D516" s="30">
        <f t="shared" si="21"/>
        <v>62.5</v>
      </c>
      <c r="F516" s="12" t="str">
        <f>Absolute_Scores!F516</f>
        <v>@anastasyaard_</v>
      </c>
      <c r="G516" s="12" t="str">
        <f>Absolute_Scores!G516</f>
        <v>Instagram</v>
      </c>
      <c r="H516" s="29">
        <f>Absolute_Scores!I516</f>
        <v>50</v>
      </c>
      <c r="I516" s="30">
        <f t="shared" si="22"/>
        <v>62.5</v>
      </c>
      <c r="K516" s="12" t="str">
        <f>Absolute_Scores!K516</f>
        <v>@cokardina</v>
      </c>
      <c r="L516" s="12" t="str">
        <f>Absolute_Scores!L516</f>
        <v>TikTok</v>
      </c>
      <c r="M516" s="29">
        <f>Absolute_Scores!N516</f>
        <v>36</v>
      </c>
      <c r="N516" s="30">
        <f t="shared" si="23"/>
        <v>53.73</v>
      </c>
    </row>
    <row r="517" spans="1:14">
      <c r="A517" s="12" t="str">
        <f>Absolute_Scores!A517</f>
        <v>@putriandezta</v>
      </c>
      <c r="B517" s="12" t="str">
        <f>Absolute_Scores!B517</f>
        <v>Instagram</v>
      </c>
      <c r="C517" s="29">
        <f>Absolute_Scores!D517</f>
        <v>50</v>
      </c>
      <c r="D517" s="30">
        <f t="shared" si="21"/>
        <v>62.5</v>
      </c>
      <c r="F517" s="12" t="str">
        <f>Absolute_Scores!F517</f>
        <v>@anatacaa</v>
      </c>
      <c r="G517" s="12" t="str">
        <f>Absolute_Scores!G517</f>
        <v>TikTok</v>
      </c>
      <c r="H517" s="29">
        <f>Absolute_Scores!I517</f>
        <v>50</v>
      </c>
      <c r="I517" s="30">
        <f t="shared" si="22"/>
        <v>62.5</v>
      </c>
      <c r="K517" s="12" t="str">
        <f>Absolute_Scores!K517</f>
        <v>@dionharyadi</v>
      </c>
      <c r="L517" s="12" t="str">
        <f>Absolute_Scores!L517</f>
        <v>Instagram</v>
      </c>
      <c r="M517" s="29">
        <f>Absolute_Scores!N517</f>
        <v>36</v>
      </c>
      <c r="N517" s="30">
        <f t="shared" si="23"/>
        <v>53.73</v>
      </c>
    </row>
    <row r="518" spans="1:14">
      <c r="A518" s="12" t="str">
        <f>Absolute_Scores!A518</f>
        <v>@putrii.apnd</v>
      </c>
      <c r="B518" s="12" t="str">
        <f>Absolute_Scores!B518</f>
        <v>Instagram</v>
      </c>
      <c r="C518" s="29">
        <f>Absolute_Scores!D518</f>
        <v>50</v>
      </c>
      <c r="D518" s="30">
        <f t="shared" ref="D518:D581" si="24">ROUND(C518/$D$4*100,2)</f>
        <v>62.5</v>
      </c>
      <c r="F518" s="12" t="str">
        <f>Absolute_Scores!F518</f>
        <v>@anboow</v>
      </c>
      <c r="G518" s="12" t="str">
        <f>Absolute_Scores!G518</f>
        <v>TikTok</v>
      </c>
      <c r="H518" s="29">
        <f>Absolute_Scores!I518</f>
        <v>50</v>
      </c>
      <c r="I518" s="30">
        <f t="shared" ref="I518:I581" si="25">ROUND(H518/$I$4*100,2)</f>
        <v>62.5</v>
      </c>
      <c r="K518" s="12" t="str">
        <f>Absolute_Scores!K518</f>
        <v>@fikrifreestyle</v>
      </c>
      <c r="L518" s="12" t="str">
        <f>Absolute_Scores!L518</f>
        <v>TikTok</v>
      </c>
      <c r="M518" s="29">
        <f>Absolute_Scores!N518</f>
        <v>36</v>
      </c>
      <c r="N518" s="30">
        <f t="shared" ref="N518:N581" si="26">ROUND(M518/$N$4*100,2)</f>
        <v>53.73</v>
      </c>
    </row>
    <row r="519" spans="1:14">
      <c r="A519" s="12" t="str">
        <f>Absolute_Scores!A519</f>
        <v>@putrinurlaila96</v>
      </c>
      <c r="B519" s="12" t="str">
        <f>Absolute_Scores!B519</f>
        <v>Instagram</v>
      </c>
      <c r="C519" s="29">
        <f>Absolute_Scores!D519</f>
        <v>50</v>
      </c>
      <c r="D519" s="30">
        <f t="shared" si="24"/>
        <v>62.5</v>
      </c>
      <c r="F519" s="12" t="str">
        <f>Absolute_Scores!F519</f>
        <v>@andhikaerdy</v>
      </c>
      <c r="G519" s="12" t="str">
        <f>Absolute_Scores!G519</f>
        <v>TikTok</v>
      </c>
      <c r="H519" s="29">
        <f>Absolute_Scores!I519</f>
        <v>50</v>
      </c>
      <c r="I519" s="30">
        <f t="shared" si="25"/>
        <v>62.5</v>
      </c>
      <c r="K519" s="12" t="str">
        <f>Absolute_Scores!K519</f>
        <v>@galangbedon</v>
      </c>
      <c r="L519" s="12" t="str">
        <f>Absolute_Scores!L519</f>
        <v>TikTok</v>
      </c>
      <c r="M519" s="29">
        <f>Absolute_Scores!N519</f>
        <v>36</v>
      </c>
      <c r="N519" s="30">
        <f t="shared" si="26"/>
        <v>53.73</v>
      </c>
    </row>
    <row r="520" spans="1:14">
      <c r="A520" s="12" t="str">
        <f>Absolute_Scores!A520</f>
        <v>@putskichu</v>
      </c>
      <c r="B520" s="12" t="str">
        <f>Absolute_Scores!B520</f>
        <v>Instagram</v>
      </c>
      <c r="C520" s="29">
        <f>Absolute_Scores!D520</f>
        <v>50</v>
      </c>
      <c r="D520" s="30">
        <f t="shared" si="24"/>
        <v>62.5</v>
      </c>
      <c r="F520" s="12" t="str">
        <f>Absolute_Scores!F520</f>
        <v>@andiniatmaja</v>
      </c>
      <c r="G520" s="12" t="str">
        <f>Absolute_Scores!G520</f>
        <v>TikTok</v>
      </c>
      <c r="H520" s="29">
        <f>Absolute_Scores!I520</f>
        <v>50</v>
      </c>
      <c r="I520" s="30">
        <f t="shared" si="25"/>
        <v>62.5</v>
      </c>
      <c r="K520" s="12" t="str">
        <f>Absolute_Scores!K520</f>
        <v>@ghinarestini</v>
      </c>
      <c r="L520" s="12" t="str">
        <f>Absolute_Scores!L520</f>
        <v>TikTok</v>
      </c>
      <c r="M520" s="29">
        <f>Absolute_Scores!N520</f>
        <v>36</v>
      </c>
      <c r="N520" s="30">
        <f t="shared" si="26"/>
        <v>53.73</v>
      </c>
    </row>
    <row r="521" spans="1:14">
      <c r="A521" s="12" t="str">
        <f>Absolute_Scores!A521</f>
        <v>@rachelfransiska7</v>
      </c>
      <c r="B521" s="12" t="str">
        <f>Absolute_Scores!B521</f>
        <v>Instagram</v>
      </c>
      <c r="C521" s="29">
        <f>Absolute_Scores!D521</f>
        <v>50</v>
      </c>
      <c r="D521" s="30">
        <f t="shared" si="24"/>
        <v>62.5</v>
      </c>
      <c r="F521" s="12" t="str">
        <f>Absolute_Scores!F521</f>
        <v>@andreaparamesti</v>
      </c>
      <c r="G521" s="12" t="str">
        <f>Absolute_Scores!G521</f>
        <v>Instagram</v>
      </c>
      <c r="H521" s="29">
        <f>Absolute_Scores!I521</f>
        <v>50</v>
      </c>
      <c r="I521" s="30">
        <f t="shared" si="25"/>
        <v>62.5</v>
      </c>
      <c r="K521" s="12" t="str">
        <f>Absolute_Scores!K521</f>
        <v>@kabarbintaro</v>
      </c>
      <c r="L521" s="12" t="str">
        <f>Absolute_Scores!L521</f>
        <v>Instagram</v>
      </c>
      <c r="M521" s="29">
        <f>Absolute_Scores!N521</f>
        <v>36</v>
      </c>
      <c r="N521" s="30">
        <f t="shared" si="26"/>
        <v>53.73</v>
      </c>
    </row>
    <row r="522" spans="1:14">
      <c r="A522" s="12" t="str">
        <f>Absolute_Scores!A522</f>
        <v>@radofamily0504</v>
      </c>
      <c r="B522" s="12" t="str">
        <f>Absolute_Scores!B522</f>
        <v>Instagram</v>
      </c>
      <c r="C522" s="29">
        <f>Absolute_Scores!D522</f>
        <v>50</v>
      </c>
      <c r="D522" s="30">
        <f t="shared" si="24"/>
        <v>62.5</v>
      </c>
      <c r="F522" s="12" t="str">
        <f>Absolute_Scores!F522</f>
        <v>@andrynd</v>
      </c>
      <c r="G522" s="12" t="str">
        <f>Absolute_Scores!G522</f>
        <v>Instagram</v>
      </c>
      <c r="H522" s="29">
        <f>Absolute_Scores!I522</f>
        <v>50</v>
      </c>
      <c r="I522" s="30">
        <f t="shared" si="25"/>
        <v>62.5</v>
      </c>
      <c r="K522" s="12" t="str">
        <f>Absolute_Scores!K522</f>
        <v>@marfanu26</v>
      </c>
      <c r="L522" s="12" t="str">
        <f>Absolute_Scores!L522</f>
        <v>Instagram</v>
      </c>
      <c r="M522" s="29">
        <f>Absolute_Scores!N522</f>
        <v>36</v>
      </c>
      <c r="N522" s="30">
        <f t="shared" si="26"/>
        <v>53.73</v>
      </c>
    </row>
    <row r="523" spans="1:14">
      <c r="A523" s="12" t="str">
        <f>Absolute_Scores!A523</f>
        <v>@rafida_erwin</v>
      </c>
      <c r="B523" s="12" t="str">
        <f>Absolute_Scores!B523</f>
        <v>Instagram</v>
      </c>
      <c r="C523" s="29">
        <f>Absolute_Scores!D523</f>
        <v>50</v>
      </c>
      <c r="D523" s="30">
        <f t="shared" si="24"/>
        <v>62.5</v>
      </c>
      <c r="F523" s="12" t="str">
        <f>Absolute_Scores!F523</f>
        <v>@angela.purnamasari</v>
      </c>
      <c r="G523" s="12" t="str">
        <f>Absolute_Scores!G523</f>
        <v>Instagram</v>
      </c>
      <c r="H523" s="29">
        <f>Absolute_Scores!I523</f>
        <v>50</v>
      </c>
      <c r="I523" s="30">
        <f t="shared" si="25"/>
        <v>62.5</v>
      </c>
      <c r="K523" s="12" t="str">
        <f>Absolute_Scores!K523</f>
        <v>@maya_permatasari76</v>
      </c>
      <c r="L523" s="12" t="str">
        <f>Absolute_Scores!L523</f>
        <v>Instagram</v>
      </c>
      <c r="M523" s="29">
        <f>Absolute_Scores!N523</f>
        <v>36</v>
      </c>
      <c r="N523" s="30">
        <f t="shared" si="26"/>
        <v>53.73</v>
      </c>
    </row>
    <row r="524" spans="1:14">
      <c r="A524" s="12" t="str">
        <f>Absolute_Scores!A524</f>
        <v>@rahman_nur77</v>
      </c>
      <c r="B524" s="12" t="str">
        <f>Absolute_Scores!B524</f>
        <v>Instagram</v>
      </c>
      <c r="C524" s="29">
        <f>Absolute_Scores!D524</f>
        <v>50</v>
      </c>
      <c r="D524" s="30">
        <f t="shared" si="24"/>
        <v>62.5</v>
      </c>
      <c r="F524" s="12" t="str">
        <f>Absolute_Scores!F524</f>
        <v>@angelaaudreyyy</v>
      </c>
      <c r="G524" s="12" t="str">
        <f>Absolute_Scores!G524</f>
        <v>Instagram</v>
      </c>
      <c r="H524" s="29">
        <f>Absolute_Scores!I524</f>
        <v>50</v>
      </c>
      <c r="I524" s="30">
        <f t="shared" si="25"/>
        <v>62.5</v>
      </c>
      <c r="K524" s="12" t="str">
        <f>Absolute_Scores!K524</f>
        <v>@pipirmnov_</v>
      </c>
      <c r="L524" s="12" t="str">
        <f>Absolute_Scores!L524</f>
        <v>TikTok</v>
      </c>
      <c r="M524" s="29">
        <f>Absolute_Scores!N524</f>
        <v>36</v>
      </c>
      <c r="N524" s="30">
        <f t="shared" si="26"/>
        <v>53.73</v>
      </c>
    </row>
    <row r="525" spans="1:14">
      <c r="A525" s="12" t="str">
        <f>Absolute_Scores!A525</f>
        <v>@rahmaniakwb</v>
      </c>
      <c r="B525" s="12" t="str">
        <f>Absolute_Scores!B525</f>
        <v>Instagram</v>
      </c>
      <c r="C525" s="29">
        <f>Absolute_Scores!D525</f>
        <v>50</v>
      </c>
      <c r="D525" s="30">
        <f t="shared" si="24"/>
        <v>62.5</v>
      </c>
      <c r="F525" s="12" t="str">
        <f>Absolute_Scores!F525</f>
        <v>@angellisandidoang</v>
      </c>
      <c r="G525" s="12" t="str">
        <f>Absolute_Scores!G525</f>
        <v>TikTok</v>
      </c>
      <c r="H525" s="29">
        <f>Absolute_Scores!I525</f>
        <v>50</v>
      </c>
      <c r="I525" s="30">
        <f t="shared" si="25"/>
        <v>62.5</v>
      </c>
      <c r="K525" s="12" t="str">
        <f>Absolute_Scores!K525</f>
        <v>@sarahh.zu</v>
      </c>
      <c r="L525" s="12" t="str">
        <f>Absolute_Scores!L525</f>
        <v>Instagram</v>
      </c>
      <c r="M525" s="29">
        <f>Absolute_Scores!N525</f>
        <v>36</v>
      </c>
      <c r="N525" s="30">
        <f t="shared" si="26"/>
        <v>53.73</v>
      </c>
    </row>
    <row r="526" spans="1:14">
      <c r="A526" s="12" t="str">
        <f>Absolute_Scores!A526</f>
        <v>@rahmasulis__</v>
      </c>
      <c r="B526" s="12" t="str">
        <f>Absolute_Scores!B526</f>
        <v>Instagram</v>
      </c>
      <c r="C526" s="29">
        <f>Absolute_Scores!D526</f>
        <v>50</v>
      </c>
      <c r="D526" s="30">
        <f t="shared" si="24"/>
        <v>62.5</v>
      </c>
      <c r="F526" s="12" t="str">
        <f>Absolute_Scores!F526</f>
        <v>@angelluwensk.y</v>
      </c>
      <c r="G526" s="12" t="str">
        <f>Absolute_Scores!G526</f>
        <v>Instagram</v>
      </c>
      <c r="H526" s="29">
        <f>Absolute_Scores!I526</f>
        <v>50</v>
      </c>
      <c r="I526" s="30">
        <f t="shared" si="25"/>
        <v>62.5</v>
      </c>
      <c r="K526" s="12" t="str">
        <f>Absolute_Scores!K526</f>
        <v>@tiera.rm</v>
      </c>
      <c r="L526" s="12" t="str">
        <f>Absolute_Scores!L526</f>
        <v>Instagram</v>
      </c>
      <c r="M526" s="29">
        <f>Absolute_Scores!N526</f>
        <v>36</v>
      </c>
      <c r="N526" s="30">
        <f t="shared" si="26"/>
        <v>53.73</v>
      </c>
    </row>
    <row r="527" spans="1:14">
      <c r="A527" s="12" t="str">
        <f>Absolute_Scores!A527</f>
        <v>@ramadyah_ninik</v>
      </c>
      <c r="B527" s="12" t="str">
        <f>Absolute_Scores!B527</f>
        <v>Instagram</v>
      </c>
      <c r="C527" s="29">
        <f>Absolute_Scores!D527</f>
        <v>50</v>
      </c>
      <c r="D527" s="30">
        <f t="shared" si="24"/>
        <v>62.5</v>
      </c>
      <c r="F527" s="12" t="str">
        <f>Absolute_Scores!F527</f>
        <v>@angellyaguillera</v>
      </c>
      <c r="G527" s="12" t="str">
        <f>Absolute_Scores!G527</f>
        <v>Instagram</v>
      </c>
      <c r="H527" s="29">
        <f>Absolute_Scores!I527</f>
        <v>50</v>
      </c>
      <c r="I527" s="30">
        <f t="shared" si="25"/>
        <v>62.5</v>
      </c>
      <c r="K527" s="12" t="str">
        <f>Absolute_Scores!K527</f>
        <v>@tikarahayusarii</v>
      </c>
      <c r="L527" s="12" t="str">
        <f>Absolute_Scores!L527</f>
        <v>TikTok</v>
      </c>
      <c r="M527" s="29">
        <f>Absolute_Scores!N527</f>
        <v>36</v>
      </c>
      <c r="N527" s="30">
        <f t="shared" si="26"/>
        <v>53.73</v>
      </c>
    </row>
    <row r="528" spans="1:14">
      <c r="A528" s="12" t="str">
        <f>Absolute_Scores!A528</f>
        <v>@rani_rifayati</v>
      </c>
      <c r="B528" s="12" t="str">
        <f>Absolute_Scores!B528</f>
        <v>Instagram</v>
      </c>
      <c r="C528" s="29">
        <f>Absolute_Scores!D528</f>
        <v>50</v>
      </c>
      <c r="D528" s="30">
        <f t="shared" si="24"/>
        <v>62.5</v>
      </c>
      <c r="F528" s="12" t="str">
        <f>Absolute_Scores!F528</f>
        <v>@angelwjy__</v>
      </c>
      <c r="G528" s="12" t="str">
        <f>Absolute_Scores!G528</f>
        <v>TikTok</v>
      </c>
      <c r="H528" s="29">
        <f>Absolute_Scores!I528</f>
        <v>50</v>
      </c>
      <c r="I528" s="30">
        <f t="shared" si="25"/>
        <v>62.5</v>
      </c>
      <c r="K528" s="12" t="str">
        <f>Absolute_Scores!K528</f>
        <v>@ubaneste</v>
      </c>
      <c r="L528" s="12" t="str">
        <f>Absolute_Scores!L528</f>
        <v>TikTok</v>
      </c>
      <c r="M528" s="29">
        <f>Absolute_Scores!N528</f>
        <v>36</v>
      </c>
      <c r="N528" s="30">
        <f t="shared" si="26"/>
        <v>53.73</v>
      </c>
    </row>
    <row r="529" spans="1:14">
      <c r="A529" s="12" t="str">
        <f>Absolute_Scores!A529</f>
        <v>@regiinaaptr</v>
      </c>
      <c r="B529" s="12" t="str">
        <f>Absolute_Scores!B529</f>
        <v>Instagram</v>
      </c>
      <c r="C529" s="29">
        <f>Absolute_Scores!D529</f>
        <v>50</v>
      </c>
      <c r="D529" s="30">
        <f t="shared" si="24"/>
        <v>62.5</v>
      </c>
      <c r="F529" s="12" t="str">
        <f>Absolute_Scores!F529</f>
        <v>@angelynne_and</v>
      </c>
      <c r="G529" s="12" t="str">
        <f>Absolute_Scores!G529</f>
        <v>TikTok</v>
      </c>
      <c r="H529" s="29">
        <f>Absolute_Scores!I529</f>
        <v>50</v>
      </c>
      <c r="I529" s="30">
        <f t="shared" si="25"/>
        <v>62.5</v>
      </c>
      <c r="K529" s="12" t="str">
        <f>Absolute_Scores!K529</f>
        <v>@adeliaazzahra97</v>
      </c>
      <c r="L529" s="12" t="str">
        <f>Absolute_Scores!L529</f>
        <v>TikTok</v>
      </c>
      <c r="M529" s="29">
        <f>Absolute_Scores!N529</f>
        <v>35</v>
      </c>
      <c r="N529" s="30">
        <f t="shared" si="26"/>
        <v>52.24</v>
      </c>
    </row>
    <row r="530" spans="1:14">
      <c r="A530" s="12" t="str">
        <f>Absolute_Scores!A530</f>
        <v>@reginagitta</v>
      </c>
      <c r="B530" s="12" t="str">
        <f>Absolute_Scores!B530</f>
        <v>Instagram</v>
      </c>
      <c r="C530" s="29">
        <f>Absolute_Scores!D530</f>
        <v>50</v>
      </c>
      <c r="D530" s="30">
        <f t="shared" si="24"/>
        <v>62.5</v>
      </c>
      <c r="F530" s="12" t="str">
        <f>Absolute_Scores!F530</f>
        <v>@angga.phn</v>
      </c>
      <c r="G530" s="12" t="str">
        <f>Absolute_Scores!G530</f>
        <v>Instagram</v>
      </c>
      <c r="H530" s="29">
        <f>Absolute_Scores!I530</f>
        <v>50</v>
      </c>
      <c r="I530" s="30">
        <f t="shared" si="25"/>
        <v>62.5</v>
      </c>
      <c r="K530" s="12" t="str">
        <f>Absolute_Scores!K530</f>
        <v>@alfifanni</v>
      </c>
      <c r="L530" s="12" t="str">
        <f>Absolute_Scores!L530</f>
        <v>Instagram</v>
      </c>
      <c r="M530" s="29">
        <f>Absolute_Scores!N530</f>
        <v>35</v>
      </c>
      <c r="N530" s="30">
        <f t="shared" si="26"/>
        <v>52.24</v>
      </c>
    </row>
    <row r="531" spans="1:14">
      <c r="A531" s="12" t="str">
        <f>Absolute_Scores!A531</f>
        <v>@reivira.arindhi</v>
      </c>
      <c r="B531" s="12" t="str">
        <f>Absolute_Scores!B531</f>
        <v>Instagram</v>
      </c>
      <c r="C531" s="29">
        <f>Absolute_Scores!D531</f>
        <v>50</v>
      </c>
      <c r="D531" s="30">
        <f t="shared" si="24"/>
        <v>62.5</v>
      </c>
      <c r="F531" s="12" t="str">
        <f>Absolute_Scores!F531</f>
        <v>@anggar_ina</v>
      </c>
      <c r="G531" s="12" t="str">
        <f>Absolute_Scores!G531</f>
        <v>Instagram</v>
      </c>
      <c r="H531" s="29">
        <f>Absolute_Scores!I531</f>
        <v>50</v>
      </c>
      <c r="I531" s="30">
        <f t="shared" si="25"/>
        <v>62.5</v>
      </c>
      <c r="K531" s="12" t="str">
        <f>Absolute_Scores!K531</f>
        <v>@ardiansyahgoli_</v>
      </c>
      <c r="L531" s="12" t="str">
        <f>Absolute_Scores!L531</f>
        <v>TikTok</v>
      </c>
      <c r="M531" s="29">
        <f>Absolute_Scores!N531</f>
        <v>35</v>
      </c>
      <c r="N531" s="30">
        <f t="shared" si="26"/>
        <v>52.24</v>
      </c>
    </row>
    <row r="532" spans="1:14">
      <c r="A532" s="12" t="str">
        <f>Absolute_Scores!A532</f>
        <v>@reni_fi3ani</v>
      </c>
      <c r="B532" s="12" t="str">
        <f>Absolute_Scores!B532</f>
        <v>Instagram</v>
      </c>
      <c r="C532" s="29">
        <f>Absolute_Scores!D532</f>
        <v>50</v>
      </c>
      <c r="D532" s="30">
        <f t="shared" si="24"/>
        <v>62.5</v>
      </c>
      <c r="F532" s="12" t="str">
        <f>Absolute_Scores!F532</f>
        <v>@anggie_yoelyiantie</v>
      </c>
      <c r="G532" s="12" t="str">
        <f>Absolute_Scores!G532</f>
        <v>Instagram</v>
      </c>
      <c r="H532" s="29">
        <f>Absolute_Scores!I532</f>
        <v>50</v>
      </c>
      <c r="I532" s="30">
        <f t="shared" si="25"/>
        <v>62.5</v>
      </c>
      <c r="K532" s="12" t="str">
        <f>Absolute_Scores!K532</f>
        <v>@ashleykantjana</v>
      </c>
      <c r="L532" s="12" t="str">
        <f>Absolute_Scores!L532</f>
        <v>Instagram</v>
      </c>
      <c r="M532" s="29">
        <f>Absolute_Scores!N532</f>
        <v>35</v>
      </c>
      <c r="N532" s="30">
        <f t="shared" si="26"/>
        <v>52.24</v>
      </c>
    </row>
    <row r="533" spans="1:14">
      <c r="A533" s="12" t="str">
        <f>Absolute_Scores!A533</f>
        <v>@renymdh</v>
      </c>
      <c r="B533" s="12" t="str">
        <f>Absolute_Scores!B533</f>
        <v>Instagram</v>
      </c>
      <c r="C533" s="29">
        <f>Absolute_Scores!D533</f>
        <v>50</v>
      </c>
      <c r="D533" s="30">
        <f t="shared" si="24"/>
        <v>62.5</v>
      </c>
      <c r="F533" s="12" t="str">
        <f>Absolute_Scores!F533</f>
        <v>@anggifatchur</v>
      </c>
      <c r="G533" s="12" t="str">
        <f>Absolute_Scores!G533</f>
        <v>Instagram</v>
      </c>
      <c r="H533" s="29">
        <f>Absolute_Scores!I533</f>
        <v>50</v>
      </c>
      <c r="I533" s="30">
        <f t="shared" si="25"/>
        <v>62.5</v>
      </c>
      <c r="K533" s="12" t="str">
        <f>Absolute_Scores!K533</f>
        <v>@atharalikhwan</v>
      </c>
      <c r="L533" s="12" t="str">
        <f>Absolute_Scores!L533</f>
        <v>TikTok</v>
      </c>
      <c r="M533" s="29">
        <f>Absolute_Scores!N533</f>
        <v>35</v>
      </c>
      <c r="N533" s="30">
        <f t="shared" si="26"/>
        <v>52.24</v>
      </c>
    </row>
    <row r="534" spans="1:14">
      <c r="A534" s="12" t="str">
        <f>Absolute_Scores!A534</f>
        <v>@rere_nusaputera</v>
      </c>
      <c r="B534" s="12" t="str">
        <f>Absolute_Scores!B534</f>
        <v>Instagram</v>
      </c>
      <c r="C534" s="29">
        <f>Absolute_Scores!D534</f>
        <v>50</v>
      </c>
      <c r="D534" s="30">
        <f t="shared" si="24"/>
        <v>62.5</v>
      </c>
      <c r="F534" s="12" t="str">
        <f>Absolute_Scores!F534</f>
        <v>@anggii_prdttaa25</v>
      </c>
      <c r="G534" s="12" t="str">
        <f>Absolute_Scores!G534</f>
        <v>Instagram</v>
      </c>
      <c r="H534" s="29">
        <f>Absolute_Scores!I534</f>
        <v>50</v>
      </c>
      <c r="I534" s="30">
        <f t="shared" si="25"/>
        <v>62.5</v>
      </c>
      <c r="K534" s="12" t="str">
        <f>Absolute_Scores!K534</f>
        <v>@destaaaww</v>
      </c>
      <c r="L534" s="12" t="str">
        <f>Absolute_Scores!L534</f>
        <v>TikTok</v>
      </c>
      <c r="M534" s="29">
        <f>Absolute_Scores!N534</f>
        <v>35</v>
      </c>
      <c r="N534" s="30">
        <f t="shared" si="26"/>
        <v>52.24</v>
      </c>
    </row>
    <row r="535" spans="1:14">
      <c r="A535" s="12" t="str">
        <f>Absolute_Scores!A535</f>
        <v>@retnowindaryani</v>
      </c>
      <c r="B535" s="12" t="str">
        <f>Absolute_Scores!B535</f>
        <v>Instagram</v>
      </c>
      <c r="C535" s="29">
        <f>Absolute_Scores!D535</f>
        <v>50</v>
      </c>
      <c r="D535" s="30">
        <f t="shared" si="24"/>
        <v>62.5</v>
      </c>
      <c r="F535" s="12" t="str">
        <f>Absolute_Scores!F535</f>
        <v>@anggraini_lilik</v>
      </c>
      <c r="G535" s="12" t="str">
        <f>Absolute_Scores!G535</f>
        <v>Instagram</v>
      </c>
      <c r="H535" s="29">
        <f>Absolute_Scores!I535</f>
        <v>50</v>
      </c>
      <c r="I535" s="30">
        <f t="shared" si="25"/>
        <v>62.5</v>
      </c>
      <c r="K535" s="12" t="str">
        <f>Absolute_Scores!K535</f>
        <v>@djasminesoraya</v>
      </c>
      <c r="L535" s="12" t="str">
        <f>Absolute_Scores!L535</f>
        <v>Instagram</v>
      </c>
      <c r="M535" s="29">
        <f>Absolute_Scores!N535</f>
        <v>35</v>
      </c>
      <c r="N535" s="30">
        <f t="shared" si="26"/>
        <v>52.24</v>
      </c>
    </row>
    <row r="536" spans="1:14">
      <c r="A536" s="12" t="str">
        <f>Absolute_Scores!A536</f>
        <v>@reyfifitri</v>
      </c>
      <c r="B536" s="12" t="str">
        <f>Absolute_Scores!B536</f>
        <v>Instagram</v>
      </c>
      <c r="C536" s="29">
        <f>Absolute_Scores!D536</f>
        <v>50</v>
      </c>
      <c r="D536" s="30">
        <f t="shared" si="24"/>
        <v>62.5</v>
      </c>
      <c r="F536" s="12" t="str">
        <f>Absolute_Scores!F536</f>
        <v>@angie.marella</v>
      </c>
      <c r="G536" s="12" t="str">
        <f>Absolute_Scores!G536</f>
        <v>TikTok</v>
      </c>
      <c r="H536" s="29">
        <f>Absolute_Scores!I536</f>
        <v>50</v>
      </c>
      <c r="I536" s="30">
        <f t="shared" si="25"/>
        <v>62.5</v>
      </c>
      <c r="K536" s="12" t="str">
        <f>Absolute_Scores!K536</f>
        <v>@ellenterrence</v>
      </c>
      <c r="L536" s="12" t="str">
        <f>Absolute_Scores!L536</f>
        <v>Instagram</v>
      </c>
      <c r="M536" s="29">
        <f>Absolute_Scores!N536</f>
        <v>35</v>
      </c>
      <c r="N536" s="30">
        <f t="shared" si="26"/>
        <v>52.24</v>
      </c>
    </row>
    <row r="537" spans="1:14">
      <c r="A537" s="12" t="str">
        <f>Absolute_Scores!A537</f>
        <v>@rezaamitap</v>
      </c>
      <c r="B537" s="12" t="str">
        <f>Absolute_Scores!B537</f>
        <v>Instagram</v>
      </c>
      <c r="C537" s="29">
        <f>Absolute_Scores!D537</f>
        <v>50</v>
      </c>
      <c r="D537" s="30">
        <f t="shared" si="24"/>
        <v>62.5</v>
      </c>
      <c r="F537" s="12" t="str">
        <f>Absolute_Scores!F537</f>
        <v>@anidyanti_</v>
      </c>
      <c r="G537" s="12" t="str">
        <f>Absolute_Scores!G537</f>
        <v>TikTok</v>
      </c>
      <c r="H537" s="29">
        <f>Absolute_Scores!I537</f>
        <v>50</v>
      </c>
      <c r="I537" s="30">
        <f t="shared" si="25"/>
        <v>62.5</v>
      </c>
      <c r="K537" s="12" t="str">
        <f>Absolute_Scores!K537</f>
        <v>@fanny_angelique</v>
      </c>
      <c r="L537" s="12" t="str">
        <f>Absolute_Scores!L537</f>
        <v>Instagram</v>
      </c>
      <c r="M537" s="29">
        <f>Absolute_Scores!N537</f>
        <v>35</v>
      </c>
      <c r="N537" s="30">
        <f t="shared" si="26"/>
        <v>52.24</v>
      </c>
    </row>
    <row r="538" spans="1:14">
      <c r="A538" s="12" t="str">
        <f>Absolute_Scores!A538</f>
        <v>@riiska.khaa</v>
      </c>
      <c r="B538" s="12" t="str">
        <f>Absolute_Scores!B538</f>
        <v>Instagram</v>
      </c>
      <c r="C538" s="29">
        <f>Absolute_Scores!D538</f>
        <v>50</v>
      </c>
      <c r="D538" s="30">
        <f t="shared" si="24"/>
        <v>62.5</v>
      </c>
      <c r="F538" s="12" t="str">
        <f>Absolute_Scores!F538</f>
        <v>@anidyanti__</v>
      </c>
      <c r="G538" s="12" t="str">
        <f>Absolute_Scores!G538</f>
        <v>TikTok</v>
      </c>
      <c r="H538" s="29">
        <f>Absolute_Scores!I538</f>
        <v>50</v>
      </c>
      <c r="I538" s="30">
        <f t="shared" si="25"/>
        <v>62.5</v>
      </c>
      <c r="K538" s="12" t="str">
        <f>Absolute_Scores!K538</f>
        <v>@febignwn</v>
      </c>
      <c r="L538" s="12" t="str">
        <f>Absolute_Scores!L538</f>
        <v>TikTok</v>
      </c>
      <c r="M538" s="29">
        <f>Absolute_Scores!N538</f>
        <v>35</v>
      </c>
      <c r="N538" s="30">
        <f t="shared" si="26"/>
        <v>52.24</v>
      </c>
    </row>
    <row r="539" spans="1:14">
      <c r="A539" s="12" t="str">
        <f>Absolute_Scores!A539</f>
        <v>@rikachimoy</v>
      </c>
      <c r="B539" s="12" t="str">
        <f>Absolute_Scores!B539</f>
        <v>Instagram</v>
      </c>
      <c r="C539" s="29">
        <f>Absolute_Scores!D539</f>
        <v>50</v>
      </c>
      <c r="D539" s="30">
        <f t="shared" si="24"/>
        <v>62.5</v>
      </c>
      <c r="F539" s="12" t="str">
        <f>Absolute_Scores!F539</f>
        <v>@aniinkunnin</v>
      </c>
      <c r="G539" s="12" t="str">
        <f>Absolute_Scores!G539</f>
        <v>Instagram</v>
      </c>
      <c r="H539" s="29">
        <f>Absolute_Scores!I539</f>
        <v>50</v>
      </c>
      <c r="I539" s="30">
        <f t="shared" si="25"/>
        <v>62.5</v>
      </c>
      <c r="K539" s="12" t="str">
        <f>Absolute_Scores!K539</f>
        <v>@inihenny</v>
      </c>
      <c r="L539" s="12" t="str">
        <f>Absolute_Scores!L539</f>
        <v>Instagram</v>
      </c>
      <c r="M539" s="29">
        <f>Absolute_Scores!N539</f>
        <v>35</v>
      </c>
      <c r="N539" s="30">
        <f t="shared" si="26"/>
        <v>52.24</v>
      </c>
    </row>
    <row r="540" spans="1:14">
      <c r="A540" s="12" t="str">
        <f>Absolute_Scores!A540</f>
        <v>@rikaistiqomah05</v>
      </c>
      <c r="B540" s="12" t="str">
        <f>Absolute_Scores!B540</f>
        <v>Instagram</v>
      </c>
      <c r="C540" s="29">
        <f>Absolute_Scores!D540</f>
        <v>50</v>
      </c>
      <c r="D540" s="30">
        <f t="shared" si="24"/>
        <v>62.5</v>
      </c>
      <c r="F540" s="12" t="str">
        <f>Absolute_Scores!F540</f>
        <v>@anindietazhra</v>
      </c>
      <c r="G540" s="12" t="str">
        <f>Absolute_Scores!G540</f>
        <v>TikTok</v>
      </c>
      <c r="H540" s="29">
        <f>Absolute_Scores!I540</f>
        <v>50</v>
      </c>
      <c r="I540" s="30">
        <f t="shared" si="25"/>
        <v>62.5</v>
      </c>
      <c r="K540" s="12" t="str">
        <f>Absolute_Scores!K540</f>
        <v>@intansukmautami</v>
      </c>
      <c r="L540" s="12" t="str">
        <f>Absolute_Scores!L540</f>
        <v>Instagram</v>
      </c>
      <c r="M540" s="29">
        <f>Absolute_Scores!N540</f>
        <v>35</v>
      </c>
      <c r="N540" s="30">
        <f t="shared" si="26"/>
        <v>52.24</v>
      </c>
    </row>
    <row r="541" spans="1:14">
      <c r="A541" s="12" t="str">
        <f>Absolute_Scores!A541</f>
        <v>@riskiiiku_</v>
      </c>
      <c r="B541" s="12" t="str">
        <f>Absolute_Scores!B541</f>
        <v>Instagram</v>
      </c>
      <c r="C541" s="29">
        <f>Absolute_Scores!D541</f>
        <v>50</v>
      </c>
      <c r="D541" s="30">
        <f t="shared" si="24"/>
        <v>62.5</v>
      </c>
      <c r="F541" s="12" t="str">
        <f>Absolute_Scores!F541</f>
        <v>@anisa_albasir</v>
      </c>
      <c r="G541" s="12" t="str">
        <f>Absolute_Scores!G541</f>
        <v>Instagram</v>
      </c>
      <c r="H541" s="29">
        <f>Absolute_Scores!I541</f>
        <v>50</v>
      </c>
      <c r="I541" s="30">
        <f t="shared" si="25"/>
        <v>62.5</v>
      </c>
      <c r="K541" s="12" t="str">
        <f>Absolute_Scores!K541</f>
        <v>@mariasteffigunadi</v>
      </c>
      <c r="L541" s="12" t="str">
        <f>Absolute_Scores!L541</f>
        <v>Instagram</v>
      </c>
      <c r="M541" s="29">
        <f>Absolute_Scores!N541</f>
        <v>35</v>
      </c>
      <c r="N541" s="30">
        <f t="shared" si="26"/>
        <v>52.24</v>
      </c>
    </row>
    <row r="542" spans="1:14">
      <c r="A542" s="12" t="str">
        <f>Absolute_Scores!A542</f>
        <v>@rittaahandayanii</v>
      </c>
      <c r="B542" s="12" t="str">
        <f>Absolute_Scores!B542</f>
        <v>Instagram</v>
      </c>
      <c r="C542" s="29">
        <f>Absolute_Scores!D542</f>
        <v>50</v>
      </c>
      <c r="D542" s="30">
        <f t="shared" si="24"/>
        <v>62.5</v>
      </c>
      <c r="F542" s="12" t="str">
        <f>Absolute_Scores!F542</f>
        <v>@anisa.maulidaa</v>
      </c>
      <c r="G542" s="12" t="str">
        <f>Absolute_Scores!G542</f>
        <v>Instagram</v>
      </c>
      <c r="H542" s="29">
        <f>Absolute_Scores!I542</f>
        <v>50</v>
      </c>
      <c r="I542" s="30">
        <f t="shared" si="25"/>
        <v>62.5</v>
      </c>
      <c r="K542" s="12" t="str">
        <f>Absolute_Scores!K542</f>
        <v>@marzcheese</v>
      </c>
      <c r="L542" s="12" t="str">
        <f>Absolute_Scores!L542</f>
        <v>Instagram</v>
      </c>
      <c r="M542" s="29">
        <f>Absolute_Scores!N542</f>
        <v>35</v>
      </c>
      <c r="N542" s="30">
        <f t="shared" si="26"/>
        <v>52.24</v>
      </c>
    </row>
    <row r="543" spans="1:14">
      <c r="A543" s="12" t="str">
        <f>Absolute_Scores!A543</f>
        <v>@rivie_baverly</v>
      </c>
      <c r="B543" s="12" t="str">
        <f>Absolute_Scores!B543</f>
        <v>Instagram</v>
      </c>
      <c r="C543" s="29">
        <f>Absolute_Scores!D543</f>
        <v>50</v>
      </c>
      <c r="D543" s="30">
        <f t="shared" si="24"/>
        <v>62.5</v>
      </c>
      <c r="F543" s="12" t="str">
        <f>Absolute_Scores!F543</f>
        <v>@anisaaryant</v>
      </c>
      <c r="G543" s="12" t="str">
        <f>Absolute_Scores!G543</f>
        <v>Instagram</v>
      </c>
      <c r="H543" s="29">
        <f>Absolute_Scores!I543</f>
        <v>50</v>
      </c>
      <c r="I543" s="30">
        <f t="shared" si="25"/>
        <v>62.5</v>
      </c>
      <c r="K543" s="12" t="str">
        <f>Absolute_Scores!K543</f>
        <v>@powerslidebrand</v>
      </c>
      <c r="L543" s="12" t="str">
        <f>Absolute_Scores!L543</f>
        <v>Instagram</v>
      </c>
      <c r="M543" s="29">
        <f>Absolute_Scores!N543</f>
        <v>35</v>
      </c>
      <c r="N543" s="30">
        <f t="shared" si="26"/>
        <v>52.24</v>
      </c>
    </row>
    <row r="544" spans="1:14">
      <c r="A544" s="12" t="str">
        <f>Absolute_Scores!A544</f>
        <v>@rizhaa</v>
      </c>
      <c r="B544" s="12" t="str">
        <f>Absolute_Scores!B544</f>
        <v>Instagram</v>
      </c>
      <c r="C544" s="29">
        <f>Absolute_Scores!D544</f>
        <v>50</v>
      </c>
      <c r="D544" s="30">
        <f t="shared" si="24"/>
        <v>62.5</v>
      </c>
      <c r="F544" s="12" t="str">
        <f>Absolute_Scores!F544</f>
        <v>@anisaaulia28</v>
      </c>
      <c r="G544" s="12" t="str">
        <f>Absolute_Scores!G544</f>
        <v>Instagram</v>
      </c>
      <c r="H544" s="29">
        <f>Absolute_Scores!I544</f>
        <v>50</v>
      </c>
      <c r="I544" s="30">
        <f t="shared" si="25"/>
        <v>62.5</v>
      </c>
      <c r="K544" s="12" t="str">
        <f>Absolute_Scores!K544</f>
        <v>@randikanurmauli</v>
      </c>
      <c r="L544" s="12" t="str">
        <f>Absolute_Scores!L544</f>
        <v>TikTok</v>
      </c>
      <c r="M544" s="29">
        <f>Absolute_Scores!N544</f>
        <v>35</v>
      </c>
      <c r="N544" s="30">
        <f t="shared" si="26"/>
        <v>52.24</v>
      </c>
    </row>
    <row r="545" spans="1:14">
      <c r="A545" s="12" t="str">
        <f>Absolute_Scores!A545</f>
        <v>@rizkinadyaputri</v>
      </c>
      <c r="B545" s="12" t="str">
        <f>Absolute_Scores!B545</f>
        <v>Instagram</v>
      </c>
      <c r="C545" s="29">
        <f>Absolute_Scores!D545</f>
        <v>50</v>
      </c>
      <c r="D545" s="30">
        <f t="shared" si="24"/>
        <v>62.5</v>
      </c>
      <c r="F545" s="12" t="str">
        <f>Absolute_Scores!F545</f>
        <v>@anisahijriani</v>
      </c>
      <c r="G545" s="12" t="str">
        <f>Absolute_Scores!G545</f>
        <v>TikTok</v>
      </c>
      <c r="H545" s="29">
        <f>Absolute_Scores!I545</f>
        <v>50</v>
      </c>
      <c r="I545" s="30">
        <f t="shared" si="25"/>
        <v>62.5</v>
      </c>
      <c r="K545" s="12" t="str">
        <f>Absolute_Scores!K545</f>
        <v>@riltrian</v>
      </c>
      <c r="L545" s="12" t="str">
        <f>Absolute_Scores!L545</f>
        <v>TikTok</v>
      </c>
      <c r="M545" s="29">
        <f>Absolute_Scores!N545</f>
        <v>35</v>
      </c>
      <c r="N545" s="30">
        <f t="shared" si="26"/>
        <v>52.24</v>
      </c>
    </row>
    <row r="546" spans="1:14">
      <c r="A546" s="12" t="str">
        <f>Absolute_Scores!A546</f>
        <v>@rizkyamelia019</v>
      </c>
      <c r="B546" s="12" t="str">
        <f>Absolute_Scores!B546</f>
        <v>Instagram</v>
      </c>
      <c r="C546" s="29">
        <f>Absolute_Scores!D546</f>
        <v>50</v>
      </c>
      <c r="D546" s="30">
        <f t="shared" si="24"/>
        <v>62.5</v>
      </c>
      <c r="F546" s="12" t="str">
        <f>Absolute_Scores!F546</f>
        <v>@anisatswn</v>
      </c>
      <c r="G546" s="12" t="str">
        <f>Absolute_Scores!G546</f>
        <v>Instagram</v>
      </c>
      <c r="H546" s="29">
        <f>Absolute_Scores!I546</f>
        <v>50</v>
      </c>
      <c r="I546" s="30">
        <f t="shared" si="25"/>
        <v>62.5</v>
      </c>
      <c r="K546" s="12" t="str">
        <f>Absolute_Scores!K546</f>
        <v>@rosita_mehrunisa1212</v>
      </c>
      <c r="L546" s="12" t="str">
        <f>Absolute_Scores!L546</f>
        <v>TikTok</v>
      </c>
      <c r="M546" s="29">
        <f>Absolute_Scores!N546</f>
        <v>35</v>
      </c>
      <c r="N546" s="30">
        <f t="shared" si="26"/>
        <v>52.24</v>
      </c>
    </row>
    <row r="547" spans="1:14">
      <c r="A547" s="12" t="str">
        <f>Absolute_Scores!A547</f>
        <v>@rizma.vhee_</v>
      </c>
      <c r="B547" s="12" t="str">
        <f>Absolute_Scores!B547</f>
        <v>Instagram</v>
      </c>
      <c r="C547" s="29">
        <f>Absolute_Scores!D547</f>
        <v>50</v>
      </c>
      <c r="D547" s="30">
        <f t="shared" si="24"/>
        <v>62.5</v>
      </c>
      <c r="F547" s="12" t="str">
        <f>Absolute_Scores!F547</f>
        <v>@anisawesome_</v>
      </c>
      <c r="G547" s="12" t="str">
        <f>Absolute_Scores!G547</f>
        <v>Instagram</v>
      </c>
      <c r="H547" s="29">
        <f>Absolute_Scores!I547</f>
        <v>50</v>
      </c>
      <c r="I547" s="30">
        <f t="shared" si="25"/>
        <v>62.5</v>
      </c>
      <c r="K547" s="12" t="str">
        <f>Absolute_Scores!K547</f>
        <v>@skevinooc</v>
      </c>
      <c r="L547" s="12" t="str">
        <f>Absolute_Scores!L547</f>
        <v>TikTok</v>
      </c>
      <c r="M547" s="29">
        <f>Absolute_Scores!N547</f>
        <v>35</v>
      </c>
      <c r="N547" s="30">
        <f t="shared" si="26"/>
        <v>52.24</v>
      </c>
    </row>
    <row r="548" spans="1:14">
      <c r="A548" s="12" t="str">
        <f>Absolute_Scores!A548</f>
        <v>@rjesyakira</v>
      </c>
      <c r="B548" s="12" t="str">
        <f>Absolute_Scores!B548</f>
        <v>Instagram</v>
      </c>
      <c r="C548" s="29">
        <f>Absolute_Scores!D548</f>
        <v>50</v>
      </c>
      <c r="D548" s="30">
        <f t="shared" si="24"/>
        <v>62.5</v>
      </c>
      <c r="F548" s="12" t="str">
        <f>Absolute_Scores!F548</f>
        <v>@anisyaaasiddik</v>
      </c>
      <c r="G548" s="12" t="str">
        <f>Absolute_Scores!G548</f>
        <v>TikTok</v>
      </c>
      <c r="H548" s="29">
        <f>Absolute_Scores!I548</f>
        <v>50</v>
      </c>
      <c r="I548" s="30">
        <f t="shared" si="25"/>
        <v>62.5</v>
      </c>
      <c r="K548" s="12" t="str">
        <f>Absolute_Scores!K548</f>
        <v>@suwantoasennn</v>
      </c>
      <c r="L548" s="12" t="str">
        <f>Absolute_Scores!L548</f>
        <v>TikTok</v>
      </c>
      <c r="M548" s="29">
        <f>Absolute_Scores!N548</f>
        <v>35</v>
      </c>
      <c r="N548" s="30">
        <f t="shared" si="26"/>
        <v>52.24</v>
      </c>
    </row>
    <row r="549" spans="1:14">
      <c r="A549" s="12" t="str">
        <f>Absolute_Scores!A549</f>
        <v>@rkhaa_marline</v>
      </c>
      <c r="B549" s="12" t="str">
        <f>Absolute_Scores!B549</f>
        <v>Instagram</v>
      </c>
      <c r="C549" s="29">
        <f>Absolute_Scores!D549</f>
        <v>50</v>
      </c>
      <c r="D549" s="30">
        <f t="shared" si="24"/>
        <v>62.5</v>
      </c>
      <c r="F549" s="12" t="str">
        <f>Absolute_Scores!F549</f>
        <v>@anitacindhy</v>
      </c>
      <c r="G549" s="12" t="str">
        <f>Absolute_Scores!G549</f>
        <v>TikTok</v>
      </c>
      <c r="H549" s="29">
        <f>Absolute_Scores!I549</f>
        <v>50</v>
      </c>
      <c r="I549" s="30">
        <f t="shared" si="25"/>
        <v>62.5</v>
      </c>
      <c r="K549" s="12" t="str">
        <f>Absolute_Scores!K549</f>
        <v>@tommy.utomoo</v>
      </c>
      <c r="L549" s="12" t="str">
        <f>Absolute_Scores!L549</f>
        <v>TikTok</v>
      </c>
      <c r="M549" s="29">
        <f>Absolute_Scores!N549</f>
        <v>35</v>
      </c>
      <c r="N549" s="30">
        <f t="shared" si="26"/>
        <v>52.24</v>
      </c>
    </row>
    <row r="550" spans="1:14">
      <c r="A550" s="12" t="str">
        <f>Absolute_Scores!A550</f>
        <v>@roedyeina</v>
      </c>
      <c r="B550" s="12" t="str">
        <f>Absolute_Scores!B550</f>
        <v>Instagram</v>
      </c>
      <c r="C550" s="29">
        <f>Absolute_Scores!D550</f>
        <v>50</v>
      </c>
      <c r="D550" s="30">
        <f t="shared" si="24"/>
        <v>62.5</v>
      </c>
      <c r="F550" s="12" t="str">
        <f>Absolute_Scores!F550</f>
        <v>@anitakrlinaa</v>
      </c>
      <c r="G550" s="12" t="str">
        <f>Absolute_Scores!G550</f>
        <v>Instagram</v>
      </c>
      <c r="H550" s="29">
        <f>Absolute_Scores!I550</f>
        <v>50</v>
      </c>
      <c r="I550" s="30">
        <f t="shared" si="25"/>
        <v>62.5</v>
      </c>
      <c r="K550" s="12" t="str">
        <f>Absolute_Scores!K550</f>
        <v>@zoaai</v>
      </c>
      <c r="L550" s="12" t="str">
        <f>Absolute_Scores!L550</f>
        <v>Instagram</v>
      </c>
      <c r="M550" s="29">
        <f>Absolute_Scores!N550</f>
        <v>35</v>
      </c>
      <c r="N550" s="30">
        <f t="shared" si="26"/>
        <v>52.24</v>
      </c>
    </row>
    <row r="551" spans="1:14">
      <c r="A551" s="12" t="str">
        <f>Absolute_Scores!A551</f>
        <v>@rraxxq</v>
      </c>
      <c r="B551" s="12" t="str">
        <f>Absolute_Scores!B551</f>
        <v>Instagram</v>
      </c>
      <c r="C551" s="29">
        <f>Absolute_Scores!D551</f>
        <v>50</v>
      </c>
      <c r="D551" s="30">
        <f t="shared" si="24"/>
        <v>62.5</v>
      </c>
      <c r="F551" s="12" t="str">
        <f>Absolute_Scores!F551</f>
        <v>@anjaneeeyy</v>
      </c>
      <c r="G551" s="12" t="str">
        <f>Absolute_Scores!G551</f>
        <v>TikTok</v>
      </c>
      <c r="H551" s="29">
        <f>Absolute_Scores!I551</f>
        <v>50</v>
      </c>
      <c r="I551" s="30">
        <f t="shared" si="25"/>
        <v>62.5</v>
      </c>
      <c r="K551" s="12" t="str">
        <f>Absolute_Scores!K551</f>
        <v>@arfanafiif</v>
      </c>
      <c r="L551" s="12" t="str">
        <f>Absolute_Scores!L551</f>
        <v>Instagram</v>
      </c>
      <c r="M551" s="29">
        <f>Absolute_Scores!N551</f>
        <v>34</v>
      </c>
      <c r="N551" s="30">
        <f t="shared" si="26"/>
        <v>50.75</v>
      </c>
    </row>
    <row r="552" spans="1:14">
      <c r="A552" s="12" t="str">
        <f>Absolute_Scores!A552</f>
        <v>@rumahbeevi</v>
      </c>
      <c r="B552" s="12" t="str">
        <f>Absolute_Scores!B552</f>
        <v>Instagram</v>
      </c>
      <c r="C552" s="29">
        <f>Absolute_Scores!D552</f>
        <v>50</v>
      </c>
      <c r="D552" s="30">
        <f t="shared" si="24"/>
        <v>62.5</v>
      </c>
      <c r="F552" s="12" t="str">
        <f>Absolute_Scores!F552</f>
        <v>@anjanne87</v>
      </c>
      <c r="G552" s="12" t="str">
        <f>Absolute_Scores!G552</f>
        <v>Instagram</v>
      </c>
      <c r="H552" s="29">
        <f>Absolute_Scores!I552</f>
        <v>50</v>
      </c>
      <c r="I552" s="30">
        <f t="shared" si="25"/>
        <v>62.5</v>
      </c>
      <c r="K552" s="12" t="str">
        <f>Absolute_Scores!K552</f>
        <v>@babylea_genevieve</v>
      </c>
      <c r="L552" s="12" t="str">
        <f>Absolute_Scores!L552</f>
        <v>Instagram</v>
      </c>
      <c r="M552" s="29">
        <f>Absolute_Scores!N552</f>
        <v>34</v>
      </c>
      <c r="N552" s="30">
        <f t="shared" si="26"/>
        <v>50.75</v>
      </c>
    </row>
    <row r="553" spans="1:14">
      <c r="A553" s="12" t="str">
        <f>Absolute_Scores!A553</f>
        <v>@ruro_kim</v>
      </c>
      <c r="B553" s="12" t="str">
        <f>Absolute_Scores!B553</f>
        <v>Instagram</v>
      </c>
      <c r="C553" s="29">
        <f>Absolute_Scores!D553</f>
        <v>50</v>
      </c>
      <c r="D553" s="30">
        <f t="shared" si="24"/>
        <v>62.5</v>
      </c>
      <c r="F553" s="12" t="str">
        <f>Absolute_Scores!F553</f>
        <v>@ankeardine</v>
      </c>
      <c r="G553" s="12" t="str">
        <f>Absolute_Scores!G553</f>
        <v>Instagram</v>
      </c>
      <c r="H553" s="29">
        <f>Absolute_Scores!I553</f>
        <v>50</v>
      </c>
      <c r="I553" s="30">
        <f t="shared" si="25"/>
        <v>62.5</v>
      </c>
      <c r="K553" s="12" t="str">
        <f>Absolute_Scores!K553</f>
        <v>@cessy_dr</v>
      </c>
      <c r="L553" s="12" t="str">
        <f>Absolute_Scores!L553</f>
        <v>Instagram</v>
      </c>
      <c r="M553" s="29">
        <f>Absolute_Scores!N553</f>
        <v>34</v>
      </c>
      <c r="N553" s="30">
        <f t="shared" si="26"/>
        <v>50.75</v>
      </c>
    </row>
    <row r="554" spans="1:14">
      <c r="A554" s="12" t="str">
        <f>Absolute_Scores!A554</f>
        <v>@ryanadewis</v>
      </c>
      <c r="B554" s="12" t="str">
        <f>Absolute_Scores!B554</f>
        <v>Instagram</v>
      </c>
      <c r="C554" s="29">
        <f>Absolute_Scores!D554</f>
        <v>50</v>
      </c>
      <c r="D554" s="30">
        <f t="shared" si="24"/>
        <v>62.5</v>
      </c>
      <c r="F554" s="12" t="str">
        <f>Absolute_Scores!F554</f>
        <v>@annaannisaa</v>
      </c>
      <c r="G554" s="12" t="str">
        <f>Absolute_Scores!G554</f>
        <v>Instagram</v>
      </c>
      <c r="H554" s="29">
        <f>Absolute_Scores!I554</f>
        <v>50</v>
      </c>
      <c r="I554" s="30">
        <f t="shared" si="25"/>
        <v>62.5</v>
      </c>
      <c r="K554" s="12" t="str">
        <f>Absolute_Scores!K554</f>
        <v>@deenish_20</v>
      </c>
      <c r="L554" s="12" t="str">
        <f>Absolute_Scores!L554</f>
        <v>TikTok</v>
      </c>
      <c r="M554" s="29">
        <f>Absolute_Scores!N554</f>
        <v>34</v>
      </c>
      <c r="N554" s="30">
        <f t="shared" si="26"/>
        <v>50.75</v>
      </c>
    </row>
    <row r="555" spans="1:14">
      <c r="A555" s="12" t="str">
        <f>Absolute_Scores!A555</f>
        <v>@ryanury</v>
      </c>
      <c r="B555" s="12" t="str">
        <f>Absolute_Scores!B555</f>
        <v>Instagram</v>
      </c>
      <c r="C555" s="29">
        <f>Absolute_Scores!D555</f>
        <v>50</v>
      </c>
      <c r="D555" s="30">
        <f t="shared" si="24"/>
        <v>62.5</v>
      </c>
      <c r="F555" s="12" t="str">
        <f>Absolute_Scores!F555</f>
        <v>@annapulupulu</v>
      </c>
      <c r="G555" s="12" t="str">
        <f>Absolute_Scores!G555</f>
        <v>TikTok</v>
      </c>
      <c r="H555" s="29">
        <f>Absolute_Scores!I555</f>
        <v>50</v>
      </c>
      <c r="I555" s="30">
        <f t="shared" si="25"/>
        <v>62.5</v>
      </c>
      <c r="K555" s="12" t="str">
        <f>Absolute_Scores!K555</f>
        <v>@dhian_setyarini</v>
      </c>
      <c r="L555" s="12" t="str">
        <f>Absolute_Scores!L555</f>
        <v>Instagram</v>
      </c>
      <c r="M555" s="29">
        <f>Absolute_Scores!N555</f>
        <v>34</v>
      </c>
      <c r="N555" s="30">
        <f t="shared" si="26"/>
        <v>50.75</v>
      </c>
    </row>
    <row r="556" spans="1:14">
      <c r="A556" s="12" t="str">
        <f>Absolute_Scores!A556</f>
        <v>@saaelisaasaaa</v>
      </c>
      <c r="B556" s="12" t="str">
        <f>Absolute_Scores!B556</f>
        <v>Instagram</v>
      </c>
      <c r="C556" s="29">
        <f>Absolute_Scores!D556</f>
        <v>50</v>
      </c>
      <c r="D556" s="30">
        <f t="shared" si="24"/>
        <v>62.5</v>
      </c>
      <c r="F556" s="12" t="str">
        <f>Absolute_Scores!F556</f>
        <v>@annebakara</v>
      </c>
      <c r="G556" s="12" t="str">
        <f>Absolute_Scores!G556</f>
        <v>Instagram</v>
      </c>
      <c r="H556" s="29">
        <f>Absolute_Scores!I556</f>
        <v>50</v>
      </c>
      <c r="I556" s="30">
        <f t="shared" si="25"/>
        <v>62.5</v>
      </c>
      <c r="K556" s="12" t="str">
        <f>Absolute_Scores!K556</f>
        <v>@febryantieby</v>
      </c>
      <c r="L556" s="12" t="str">
        <f>Absolute_Scores!L556</f>
        <v>Instagram</v>
      </c>
      <c r="M556" s="29">
        <f>Absolute_Scores!N556</f>
        <v>34</v>
      </c>
      <c r="N556" s="30">
        <f t="shared" si="26"/>
        <v>50.75</v>
      </c>
    </row>
    <row r="557" spans="1:14">
      <c r="A557" s="12" t="str">
        <f>Absolute_Scores!A557</f>
        <v>@sairetthahutagalung</v>
      </c>
      <c r="B557" s="12" t="str">
        <f>Absolute_Scores!B557</f>
        <v>Instagram</v>
      </c>
      <c r="C557" s="29">
        <f>Absolute_Scores!D557</f>
        <v>50</v>
      </c>
      <c r="D557" s="30">
        <f t="shared" si="24"/>
        <v>62.5</v>
      </c>
      <c r="F557" s="12" t="str">
        <f>Absolute_Scores!F557</f>
        <v>@annesarita93</v>
      </c>
      <c r="G557" s="12" t="str">
        <f>Absolute_Scores!G557</f>
        <v>TikTok</v>
      </c>
      <c r="H557" s="29">
        <f>Absolute_Scores!I557</f>
        <v>50</v>
      </c>
      <c r="I557" s="30">
        <f t="shared" si="25"/>
        <v>62.5</v>
      </c>
      <c r="K557" s="12" t="str">
        <f>Absolute_Scores!K557</f>
        <v>@indahmegaa</v>
      </c>
      <c r="L557" s="12" t="str">
        <f>Absolute_Scores!L557</f>
        <v>Instagram</v>
      </c>
      <c r="M557" s="29">
        <f>Absolute_Scores!N557</f>
        <v>34</v>
      </c>
      <c r="N557" s="30">
        <f t="shared" si="26"/>
        <v>50.75</v>
      </c>
    </row>
    <row r="558" spans="1:14">
      <c r="A558" s="12" t="str">
        <f>Absolute_Scores!A558</f>
        <v>@salyoroselin</v>
      </c>
      <c r="B558" s="12" t="str">
        <f>Absolute_Scores!B558</f>
        <v>Instagram</v>
      </c>
      <c r="C558" s="29">
        <f>Absolute_Scores!D558</f>
        <v>50</v>
      </c>
      <c r="D558" s="30">
        <f t="shared" si="24"/>
        <v>62.5</v>
      </c>
      <c r="F558" s="12" t="str">
        <f>Absolute_Scores!F558</f>
        <v>@annesbelia</v>
      </c>
      <c r="G558" s="12" t="str">
        <f>Absolute_Scores!G558</f>
        <v>Instagram</v>
      </c>
      <c r="H558" s="29">
        <f>Absolute_Scores!I558</f>
        <v>50</v>
      </c>
      <c r="I558" s="30">
        <f t="shared" si="25"/>
        <v>62.5</v>
      </c>
      <c r="K558" s="12" t="str">
        <f>Absolute_Scores!K558</f>
        <v>@mayanksarrii</v>
      </c>
      <c r="L558" s="12" t="str">
        <f>Absolute_Scores!L558</f>
        <v>Instagram</v>
      </c>
      <c r="M558" s="29">
        <f>Absolute_Scores!N558</f>
        <v>34</v>
      </c>
      <c r="N558" s="30">
        <f t="shared" si="26"/>
        <v>50.75</v>
      </c>
    </row>
    <row r="559" spans="1:14">
      <c r="A559" s="12" t="str">
        <f>Absolute_Scores!A559</f>
        <v>@sandrachane</v>
      </c>
      <c r="B559" s="12" t="str">
        <f>Absolute_Scores!B559</f>
        <v>Instagram</v>
      </c>
      <c r="C559" s="29">
        <f>Absolute_Scores!D559</f>
        <v>50</v>
      </c>
      <c r="D559" s="30">
        <f t="shared" si="24"/>
        <v>62.5</v>
      </c>
      <c r="F559" s="12" t="str">
        <f>Absolute_Scores!F559</f>
        <v>@anneseptiaa</v>
      </c>
      <c r="G559" s="12" t="str">
        <f>Absolute_Scores!G559</f>
        <v>TikTok</v>
      </c>
      <c r="H559" s="29">
        <f>Absolute_Scores!I559</f>
        <v>50</v>
      </c>
      <c r="I559" s="30">
        <f t="shared" si="25"/>
        <v>62.5</v>
      </c>
      <c r="K559" s="12" t="str">
        <f>Absolute_Scores!K559</f>
        <v>@meisyasallwa</v>
      </c>
      <c r="L559" s="12" t="str">
        <f>Absolute_Scores!L559</f>
        <v>Instagram</v>
      </c>
      <c r="M559" s="29">
        <f>Absolute_Scores!N559</f>
        <v>34</v>
      </c>
      <c r="N559" s="30">
        <f t="shared" si="26"/>
        <v>50.75</v>
      </c>
    </row>
    <row r="560" spans="1:14">
      <c r="A560" s="12" t="str">
        <f>Absolute_Scores!A560</f>
        <v>@santiuwey</v>
      </c>
      <c r="B560" s="12" t="str">
        <f>Absolute_Scores!B560</f>
        <v>Instagram</v>
      </c>
      <c r="C560" s="29">
        <f>Absolute_Scores!D560</f>
        <v>50</v>
      </c>
      <c r="D560" s="30">
        <f t="shared" si="24"/>
        <v>62.5</v>
      </c>
      <c r="F560" s="12" t="str">
        <f>Absolute_Scores!F560</f>
        <v>@annetteyules</v>
      </c>
      <c r="G560" s="12" t="str">
        <f>Absolute_Scores!G560</f>
        <v>TikTok</v>
      </c>
      <c r="H560" s="29">
        <f>Absolute_Scores!I560</f>
        <v>50</v>
      </c>
      <c r="I560" s="30">
        <f t="shared" si="25"/>
        <v>62.5</v>
      </c>
      <c r="K560" s="12" t="str">
        <f>Absolute_Scores!K560</f>
        <v>@muhammadfahrul_</v>
      </c>
      <c r="L560" s="12" t="str">
        <f>Absolute_Scores!L560</f>
        <v>Instagram</v>
      </c>
      <c r="M560" s="29">
        <f>Absolute_Scores!N560</f>
        <v>34</v>
      </c>
      <c r="N560" s="30">
        <f t="shared" si="26"/>
        <v>50.75</v>
      </c>
    </row>
    <row r="561" spans="1:14">
      <c r="A561" s="12" t="str">
        <f>Absolute_Scores!A561</f>
        <v>@sapipoooy</v>
      </c>
      <c r="B561" s="12" t="str">
        <f>Absolute_Scores!B561</f>
        <v>Instagram</v>
      </c>
      <c r="C561" s="29">
        <f>Absolute_Scores!D561</f>
        <v>50</v>
      </c>
      <c r="D561" s="30">
        <f t="shared" si="24"/>
        <v>62.5</v>
      </c>
      <c r="F561" s="12" t="str">
        <f>Absolute_Scores!F561</f>
        <v>@annisahavni</v>
      </c>
      <c r="G561" s="12" t="str">
        <f>Absolute_Scores!G561</f>
        <v>TikTok</v>
      </c>
      <c r="H561" s="29">
        <f>Absolute_Scores!I561</f>
        <v>50</v>
      </c>
      <c r="I561" s="30">
        <f t="shared" si="25"/>
        <v>62.5</v>
      </c>
      <c r="K561" s="12" t="str">
        <f>Absolute_Scores!K561</f>
        <v>@naftaliangel_miracle</v>
      </c>
      <c r="L561" s="12" t="str">
        <f>Absolute_Scores!L561</f>
        <v>Instagram</v>
      </c>
      <c r="M561" s="29">
        <f>Absolute_Scores!N561</f>
        <v>34</v>
      </c>
      <c r="N561" s="30">
        <f t="shared" si="26"/>
        <v>50.75</v>
      </c>
    </row>
    <row r="562" spans="1:14">
      <c r="A562" s="12" t="str">
        <f>Absolute_Scores!A562</f>
        <v>@sarahzahrahhh</v>
      </c>
      <c r="B562" s="12" t="str">
        <f>Absolute_Scores!B562</f>
        <v>Instagram</v>
      </c>
      <c r="C562" s="29">
        <f>Absolute_Scores!D562</f>
        <v>50</v>
      </c>
      <c r="D562" s="30">
        <f t="shared" si="24"/>
        <v>62.5</v>
      </c>
      <c r="F562" s="12" t="str">
        <f>Absolute_Scores!F562</f>
        <v>@annisaicha354</v>
      </c>
      <c r="G562" s="12" t="str">
        <f>Absolute_Scores!G562</f>
        <v>Instagram</v>
      </c>
      <c r="H562" s="29">
        <f>Absolute_Scores!I562</f>
        <v>50</v>
      </c>
      <c r="I562" s="30">
        <f t="shared" si="25"/>
        <v>62.5</v>
      </c>
      <c r="K562" s="12" t="str">
        <f>Absolute_Scores!K562</f>
        <v>@raditya_dika</v>
      </c>
      <c r="L562" s="12" t="str">
        <f>Absolute_Scores!L562</f>
        <v>Instagram</v>
      </c>
      <c r="M562" s="29">
        <f>Absolute_Scores!N562</f>
        <v>34</v>
      </c>
      <c r="N562" s="30">
        <f t="shared" si="26"/>
        <v>50.75</v>
      </c>
    </row>
    <row r="563" spans="1:14">
      <c r="A563" s="12" t="str">
        <f>Absolute_Scores!A563</f>
        <v>@selepy_agustin</v>
      </c>
      <c r="B563" s="12" t="str">
        <f>Absolute_Scores!B563</f>
        <v>Instagram</v>
      </c>
      <c r="C563" s="29">
        <f>Absolute_Scores!D563</f>
        <v>50</v>
      </c>
      <c r="D563" s="30">
        <f t="shared" si="24"/>
        <v>62.5</v>
      </c>
      <c r="F563" s="12" t="str">
        <f>Absolute_Scores!F563</f>
        <v>@annisakhoirinaa</v>
      </c>
      <c r="G563" s="12" t="str">
        <f>Absolute_Scores!G563</f>
        <v>TikTok</v>
      </c>
      <c r="H563" s="29">
        <f>Absolute_Scores!I563</f>
        <v>50</v>
      </c>
      <c r="I563" s="30">
        <f t="shared" si="25"/>
        <v>62.5</v>
      </c>
      <c r="K563" s="12" t="str">
        <f>Absolute_Scores!K563</f>
        <v>@revdy</v>
      </c>
      <c r="L563" s="12" t="str">
        <f>Absolute_Scores!L563</f>
        <v>Instagram</v>
      </c>
      <c r="M563" s="29">
        <f>Absolute_Scores!N563</f>
        <v>34</v>
      </c>
      <c r="N563" s="30">
        <f t="shared" si="26"/>
        <v>50.75</v>
      </c>
    </row>
    <row r="564" spans="1:14">
      <c r="A564" s="12" t="str">
        <f>Absolute_Scores!A564</f>
        <v>@selieffendy</v>
      </c>
      <c r="B564" s="12" t="str">
        <f>Absolute_Scores!B564</f>
        <v>Instagram</v>
      </c>
      <c r="C564" s="29">
        <f>Absolute_Scores!D564</f>
        <v>50</v>
      </c>
      <c r="D564" s="30">
        <f t="shared" si="24"/>
        <v>62.5</v>
      </c>
      <c r="F564" s="12" t="str">
        <f>Absolute_Scores!F564</f>
        <v>@annisanisnoy_</v>
      </c>
      <c r="G564" s="12" t="str">
        <f>Absolute_Scores!G564</f>
        <v>Instagram</v>
      </c>
      <c r="H564" s="29">
        <f>Absolute_Scores!I564</f>
        <v>50</v>
      </c>
      <c r="I564" s="30">
        <f t="shared" si="25"/>
        <v>62.5</v>
      </c>
      <c r="K564" s="12" t="str">
        <f>Absolute_Scores!K564</f>
        <v>@rizkaamelya_</v>
      </c>
      <c r="L564" s="12" t="str">
        <f>Absolute_Scores!L564</f>
        <v>Instagram</v>
      </c>
      <c r="M564" s="29">
        <f>Absolute_Scores!N564</f>
        <v>34</v>
      </c>
      <c r="N564" s="30">
        <f t="shared" si="26"/>
        <v>50.75</v>
      </c>
    </row>
    <row r="565" spans="1:14">
      <c r="A565" s="12" t="str">
        <f>Absolute_Scores!A565</f>
        <v>@septiyanah93</v>
      </c>
      <c r="B565" s="12" t="str">
        <f>Absolute_Scores!B565</f>
        <v>Instagram</v>
      </c>
      <c r="C565" s="29">
        <f>Absolute_Scores!D565</f>
        <v>50</v>
      </c>
      <c r="D565" s="30">
        <f t="shared" si="24"/>
        <v>62.5</v>
      </c>
      <c r="F565" s="12" t="str">
        <f>Absolute_Scores!F565</f>
        <v>@annisapuspitaz</v>
      </c>
      <c r="G565" s="12" t="str">
        <f>Absolute_Scores!G565</f>
        <v>TikTok</v>
      </c>
      <c r="H565" s="29">
        <f>Absolute_Scores!I565</f>
        <v>50</v>
      </c>
      <c r="I565" s="30">
        <f t="shared" si="25"/>
        <v>62.5</v>
      </c>
      <c r="K565" s="12" t="str">
        <f>Absolute_Scores!K565</f>
        <v>@sitimasth_</v>
      </c>
      <c r="L565" s="12" t="str">
        <f>Absolute_Scores!L565</f>
        <v>Instagram</v>
      </c>
      <c r="M565" s="29">
        <f>Absolute_Scores!N565</f>
        <v>34</v>
      </c>
      <c r="N565" s="30">
        <f t="shared" si="26"/>
        <v>50.75</v>
      </c>
    </row>
    <row r="566" spans="1:14">
      <c r="A566" s="12" t="str">
        <f>Absolute_Scores!A566</f>
        <v>@sfnnauliaa_</v>
      </c>
      <c r="B566" s="12" t="str">
        <f>Absolute_Scores!B566</f>
        <v>Instagram</v>
      </c>
      <c r="C566" s="29">
        <f>Absolute_Scores!D566</f>
        <v>50</v>
      </c>
      <c r="D566" s="30">
        <f t="shared" si="24"/>
        <v>62.5</v>
      </c>
      <c r="F566" s="12" t="str">
        <f>Absolute_Scores!F566</f>
        <v>@anothersalsu</v>
      </c>
      <c r="G566" s="12" t="str">
        <f>Absolute_Scores!G566</f>
        <v>TikTok</v>
      </c>
      <c r="H566" s="29">
        <f>Absolute_Scores!I566</f>
        <v>50</v>
      </c>
      <c r="I566" s="30">
        <f t="shared" si="25"/>
        <v>62.5</v>
      </c>
      <c r="K566" s="12" t="str">
        <f>Absolute_Scores!K566</f>
        <v>@sysyaaaaaaa_</v>
      </c>
      <c r="L566" s="12" t="str">
        <f>Absolute_Scores!L566</f>
        <v>Instagram</v>
      </c>
      <c r="M566" s="29">
        <f>Absolute_Scores!N566</f>
        <v>34</v>
      </c>
      <c r="N566" s="30">
        <f t="shared" si="26"/>
        <v>50.75</v>
      </c>
    </row>
    <row r="567" spans="1:14">
      <c r="A567" s="12" t="str">
        <f>Absolute_Scores!A567</f>
        <v>@shahnaz204</v>
      </c>
      <c r="B567" s="12" t="str">
        <f>Absolute_Scores!B567</f>
        <v>Instagram</v>
      </c>
      <c r="C567" s="29">
        <f>Absolute_Scores!D567</f>
        <v>50</v>
      </c>
      <c r="D567" s="30">
        <f t="shared" si="24"/>
        <v>62.5</v>
      </c>
      <c r="F567" s="12" t="str">
        <f>Absolute_Scores!F567</f>
        <v>@anyen_huang</v>
      </c>
      <c r="G567" s="12" t="str">
        <f>Absolute_Scores!G567</f>
        <v>Instagram</v>
      </c>
      <c r="H567" s="29">
        <f>Absolute_Scores!I567</f>
        <v>50</v>
      </c>
      <c r="I567" s="30">
        <f t="shared" si="25"/>
        <v>62.5</v>
      </c>
      <c r="K567" s="12" t="str">
        <f>Absolute_Scores!K567</f>
        <v>@tristatristar</v>
      </c>
      <c r="L567" s="12" t="str">
        <f>Absolute_Scores!L567</f>
        <v>Instagram</v>
      </c>
      <c r="M567" s="29">
        <f>Absolute_Scores!N567</f>
        <v>34</v>
      </c>
      <c r="N567" s="30">
        <f t="shared" si="26"/>
        <v>50.75</v>
      </c>
    </row>
    <row r="568" spans="1:14">
      <c r="A568" s="12" t="str">
        <f>Absolute_Scores!A568</f>
        <v>@shasazhania</v>
      </c>
      <c r="B568" s="12" t="str">
        <f>Absolute_Scores!B568</f>
        <v>Instagram</v>
      </c>
      <c r="C568" s="29">
        <f>Absolute_Scores!D568</f>
        <v>50</v>
      </c>
      <c r="D568" s="30">
        <f t="shared" si="24"/>
        <v>62.5</v>
      </c>
      <c r="F568" s="12" t="str">
        <f>Absolute_Scores!F568</f>
        <v>@aoelija</v>
      </c>
      <c r="G568" s="12" t="str">
        <f>Absolute_Scores!G568</f>
        <v>TikTok</v>
      </c>
      <c r="H568" s="29">
        <f>Absolute_Scores!I568</f>
        <v>50</v>
      </c>
      <c r="I568" s="30">
        <f t="shared" si="25"/>
        <v>62.5</v>
      </c>
      <c r="K568" s="12" t="str">
        <f>Absolute_Scores!K568</f>
        <v>@vae_tobing97</v>
      </c>
      <c r="L568" s="12" t="str">
        <f>Absolute_Scores!L568</f>
        <v>Instagram</v>
      </c>
      <c r="M568" s="29">
        <f>Absolute_Scores!N568</f>
        <v>34</v>
      </c>
      <c r="N568" s="30">
        <f t="shared" si="26"/>
        <v>50.75</v>
      </c>
    </row>
    <row r="569" spans="1:14">
      <c r="A569" s="12" t="str">
        <f>Absolute_Scores!A569</f>
        <v>@sheilaayata</v>
      </c>
      <c r="B569" s="12" t="str">
        <f>Absolute_Scores!B569</f>
        <v>Instagram</v>
      </c>
      <c r="C569" s="29">
        <f>Absolute_Scores!D569</f>
        <v>50</v>
      </c>
      <c r="D569" s="30">
        <f t="shared" si="24"/>
        <v>62.5</v>
      </c>
      <c r="F569" s="12" t="str">
        <f>Absolute_Scores!F569</f>
        <v>@aphrodite.glow</v>
      </c>
      <c r="G569" s="12" t="str">
        <f>Absolute_Scores!G569</f>
        <v>TikTok</v>
      </c>
      <c r="H569" s="29">
        <f>Absolute_Scores!I569</f>
        <v>50</v>
      </c>
      <c r="I569" s="30">
        <f t="shared" si="25"/>
        <v>62.5</v>
      </c>
      <c r="K569" s="12" t="str">
        <f>Absolute_Scores!K569</f>
        <v>@wilona_asheera92</v>
      </c>
      <c r="L569" s="12" t="str">
        <f>Absolute_Scores!L569</f>
        <v>Instagram</v>
      </c>
      <c r="M569" s="29">
        <f>Absolute_Scores!N569</f>
        <v>34</v>
      </c>
      <c r="N569" s="30">
        <f t="shared" si="26"/>
        <v>50.75</v>
      </c>
    </row>
    <row r="570" spans="1:14">
      <c r="A570" s="12" t="str">
        <f>Absolute_Scores!A570</f>
        <v>@shendaputri</v>
      </c>
      <c r="B570" s="12" t="str">
        <f>Absolute_Scores!B570</f>
        <v>Instagram</v>
      </c>
      <c r="C570" s="29">
        <f>Absolute_Scores!D570</f>
        <v>50</v>
      </c>
      <c r="D570" s="30">
        <f t="shared" si="24"/>
        <v>62.5</v>
      </c>
      <c r="F570" s="12" t="str">
        <f>Absolute_Scores!F570</f>
        <v>@aprilia_fitri2604</v>
      </c>
      <c r="G570" s="12" t="str">
        <f>Absolute_Scores!G570</f>
        <v>Instagram</v>
      </c>
      <c r="H570" s="29">
        <f>Absolute_Scores!I570</f>
        <v>50</v>
      </c>
      <c r="I570" s="30">
        <f t="shared" si="25"/>
        <v>62.5</v>
      </c>
      <c r="K570" s="12" t="str">
        <f>Absolute_Scores!K570</f>
        <v>@_jamesadam_</v>
      </c>
      <c r="L570" s="12" t="str">
        <f>Absolute_Scores!L570</f>
        <v>TikTok</v>
      </c>
      <c r="M570" s="29">
        <f>Absolute_Scores!N570</f>
        <v>33</v>
      </c>
      <c r="N570" s="30">
        <f t="shared" si="26"/>
        <v>49.25</v>
      </c>
    </row>
    <row r="571" spans="1:14">
      <c r="A571" s="12" t="str">
        <f>Absolute_Scores!A571</f>
        <v>@sheput_</v>
      </c>
      <c r="B571" s="12" t="str">
        <f>Absolute_Scores!B571</f>
        <v>Instagram</v>
      </c>
      <c r="C571" s="29">
        <f>Absolute_Scores!D571</f>
        <v>50</v>
      </c>
      <c r="D571" s="30">
        <f t="shared" si="24"/>
        <v>62.5</v>
      </c>
      <c r="F571" s="12" t="str">
        <f>Absolute_Scores!F571</f>
        <v>@apriliabellaa</v>
      </c>
      <c r="G571" s="12" t="str">
        <f>Absolute_Scores!G571</f>
        <v>Instagram</v>
      </c>
      <c r="H571" s="29">
        <f>Absolute_Scores!I571</f>
        <v>50</v>
      </c>
      <c r="I571" s="30">
        <f t="shared" si="25"/>
        <v>62.5</v>
      </c>
      <c r="K571" s="12" t="str">
        <f>Absolute_Scores!K571</f>
        <v>@asti_geboy</v>
      </c>
      <c r="L571" s="12" t="str">
        <f>Absolute_Scores!L571</f>
        <v>Instagram</v>
      </c>
      <c r="M571" s="29">
        <f>Absolute_Scores!N571</f>
        <v>33</v>
      </c>
      <c r="N571" s="30">
        <f t="shared" si="26"/>
        <v>49.25</v>
      </c>
    </row>
    <row r="572" spans="1:14">
      <c r="A572" s="12" t="str">
        <f>Absolute_Scores!A572</f>
        <v>@sindyafrillia_</v>
      </c>
      <c r="B572" s="12" t="str">
        <f>Absolute_Scores!B572</f>
        <v>Instagram</v>
      </c>
      <c r="C572" s="29">
        <f>Absolute_Scores!D572</f>
        <v>50</v>
      </c>
      <c r="D572" s="30">
        <f t="shared" si="24"/>
        <v>62.5</v>
      </c>
      <c r="F572" s="12" t="str">
        <f>Absolute_Scores!F572</f>
        <v>@apriliafitri75</v>
      </c>
      <c r="G572" s="12" t="str">
        <f>Absolute_Scores!G572</f>
        <v>TikTok</v>
      </c>
      <c r="H572" s="29">
        <f>Absolute_Scores!I572</f>
        <v>50</v>
      </c>
      <c r="I572" s="30">
        <f t="shared" si="25"/>
        <v>62.5</v>
      </c>
      <c r="K572" s="12" t="str">
        <f>Absolute_Scores!K572</f>
        <v>@attiusandrw</v>
      </c>
      <c r="L572" s="12" t="str">
        <f>Absolute_Scores!L572</f>
        <v>TikTok</v>
      </c>
      <c r="M572" s="29">
        <f>Absolute_Scores!N572</f>
        <v>33</v>
      </c>
      <c r="N572" s="30">
        <f t="shared" si="26"/>
        <v>49.25</v>
      </c>
    </row>
    <row r="573" spans="1:14">
      <c r="A573" s="12" t="str">
        <f>Absolute_Scores!A573</f>
        <v>@sisila.z</v>
      </c>
      <c r="B573" s="12" t="str">
        <f>Absolute_Scores!B573</f>
        <v>Instagram</v>
      </c>
      <c r="C573" s="29">
        <f>Absolute_Scores!D573</f>
        <v>50</v>
      </c>
      <c r="D573" s="30">
        <f t="shared" si="24"/>
        <v>62.5</v>
      </c>
      <c r="F573" s="12" t="str">
        <f>Absolute_Scores!F573</f>
        <v>@aprilistyadara</v>
      </c>
      <c r="G573" s="12" t="str">
        <f>Absolute_Scores!G573</f>
        <v>Instagram</v>
      </c>
      <c r="H573" s="29">
        <f>Absolute_Scores!I573</f>
        <v>50</v>
      </c>
      <c r="I573" s="30">
        <f t="shared" si="25"/>
        <v>62.5</v>
      </c>
      <c r="K573" s="12" t="str">
        <f>Absolute_Scores!K573</f>
        <v>@ceciliafrntk</v>
      </c>
      <c r="L573" s="12" t="str">
        <f>Absolute_Scores!L573</f>
        <v>TikTok</v>
      </c>
      <c r="M573" s="29">
        <f>Absolute_Scores!N573</f>
        <v>33</v>
      </c>
      <c r="N573" s="30">
        <f t="shared" si="26"/>
        <v>49.25</v>
      </c>
    </row>
    <row r="574" spans="1:14">
      <c r="A574" s="12" t="str">
        <f>Absolute_Scores!A574</f>
        <v>@siskaswrd</v>
      </c>
      <c r="B574" s="12" t="str">
        <f>Absolute_Scores!B574</f>
        <v>Instagram</v>
      </c>
      <c r="C574" s="29">
        <f>Absolute_Scores!D574</f>
        <v>50</v>
      </c>
      <c r="D574" s="30">
        <f t="shared" si="24"/>
        <v>62.5</v>
      </c>
      <c r="F574" s="12" t="str">
        <f>Absolute_Scores!F574</f>
        <v>@aprillyzasalmaa</v>
      </c>
      <c r="G574" s="12" t="str">
        <f>Absolute_Scores!G574</f>
        <v>Instagram</v>
      </c>
      <c r="H574" s="29">
        <f>Absolute_Scores!I574</f>
        <v>50</v>
      </c>
      <c r="I574" s="30">
        <f t="shared" si="25"/>
        <v>62.5</v>
      </c>
      <c r="K574" s="12" t="str">
        <f>Absolute_Scores!K574</f>
        <v>@fangs_kezia</v>
      </c>
      <c r="L574" s="12" t="str">
        <f>Absolute_Scores!L574</f>
        <v>Instagram</v>
      </c>
      <c r="M574" s="29">
        <f>Absolute_Scores!N574</f>
        <v>33</v>
      </c>
      <c r="N574" s="30">
        <f t="shared" si="26"/>
        <v>49.25</v>
      </c>
    </row>
    <row r="575" spans="1:14">
      <c r="A575" s="12" t="str">
        <f>Absolute_Scores!A575</f>
        <v>@sitiyayanf</v>
      </c>
      <c r="B575" s="12" t="str">
        <f>Absolute_Scores!B575</f>
        <v>Instagram</v>
      </c>
      <c r="C575" s="29">
        <f>Absolute_Scores!D575</f>
        <v>50</v>
      </c>
      <c r="D575" s="30">
        <f t="shared" si="24"/>
        <v>62.5</v>
      </c>
      <c r="F575" s="12" t="str">
        <f>Absolute_Scores!F575</f>
        <v>@apt.sintaaprilianas</v>
      </c>
      <c r="G575" s="12" t="str">
        <f>Absolute_Scores!G575</f>
        <v>TikTok</v>
      </c>
      <c r="H575" s="29">
        <f>Absolute_Scores!I575</f>
        <v>50</v>
      </c>
      <c r="I575" s="30">
        <f t="shared" si="25"/>
        <v>62.5</v>
      </c>
      <c r="K575" s="12" t="str">
        <f>Absolute_Scores!K575</f>
        <v>@infokabupatenbogor</v>
      </c>
      <c r="L575" s="12" t="str">
        <f>Absolute_Scores!L575</f>
        <v>Instagram</v>
      </c>
      <c r="M575" s="29">
        <f>Absolute_Scores!N575</f>
        <v>33</v>
      </c>
      <c r="N575" s="30">
        <f t="shared" si="26"/>
        <v>49.25</v>
      </c>
    </row>
    <row r="576" spans="1:14">
      <c r="A576" s="12" t="str">
        <f>Absolute_Scores!A576</f>
        <v>@sobatpukat</v>
      </c>
      <c r="B576" s="12" t="str">
        <f>Absolute_Scores!B576</f>
        <v>Instagram</v>
      </c>
      <c r="C576" s="29">
        <f>Absolute_Scores!D576</f>
        <v>50</v>
      </c>
      <c r="D576" s="30">
        <f t="shared" si="24"/>
        <v>62.5</v>
      </c>
      <c r="F576" s="12" t="str">
        <f>Absolute_Scores!F576</f>
        <v>@aqeela.neirasha</v>
      </c>
      <c r="G576" s="12" t="str">
        <f>Absolute_Scores!G576</f>
        <v>TikTok</v>
      </c>
      <c r="H576" s="29">
        <f>Absolute_Scores!I576</f>
        <v>50</v>
      </c>
      <c r="I576" s="30">
        <f t="shared" si="25"/>
        <v>62.5</v>
      </c>
      <c r="K576" s="12" t="str">
        <f>Absolute_Scores!K576</f>
        <v>@ismatuilan</v>
      </c>
      <c r="L576" s="12" t="str">
        <f>Absolute_Scores!L576</f>
        <v>Instagram</v>
      </c>
      <c r="M576" s="29">
        <f>Absolute_Scores!N576</f>
        <v>33</v>
      </c>
      <c r="N576" s="30">
        <f t="shared" si="26"/>
        <v>49.25</v>
      </c>
    </row>
    <row r="577" spans="1:14">
      <c r="A577" s="12" t="str">
        <f>Absolute_Scores!A577</f>
        <v>@soekaraja_</v>
      </c>
      <c r="B577" s="12" t="str">
        <f>Absolute_Scores!B577</f>
        <v>Instagram</v>
      </c>
      <c r="C577" s="29">
        <f>Absolute_Scores!D577</f>
        <v>50</v>
      </c>
      <c r="D577" s="30">
        <f t="shared" si="24"/>
        <v>62.5</v>
      </c>
      <c r="F577" s="12" t="str">
        <f>Absolute_Scores!F577</f>
        <v>@aqeelaaz_</v>
      </c>
      <c r="G577" s="12" t="str">
        <f>Absolute_Scores!G577</f>
        <v>TikTok</v>
      </c>
      <c r="H577" s="29">
        <f>Absolute_Scores!I577</f>
        <v>50</v>
      </c>
      <c r="I577" s="30">
        <f t="shared" si="25"/>
        <v>62.5</v>
      </c>
      <c r="K577" s="12" t="str">
        <f>Absolute_Scores!K577</f>
        <v>@jennangelina_</v>
      </c>
      <c r="L577" s="12" t="str">
        <f>Absolute_Scores!L577</f>
        <v>TikTok</v>
      </c>
      <c r="M577" s="29">
        <f>Absolute_Scores!N577</f>
        <v>33</v>
      </c>
      <c r="N577" s="30">
        <f t="shared" si="26"/>
        <v>49.25</v>
      </c>
    </row>
    <row r="578" spans="1:14">
      <c r="A578" s="12" t="str">
        <f>Absolute_Scores!A578</f>
        <v>@sselynaa</v>
      </c>
      <c r="B578" s="12" t="str">
        <f>Absolute_Scores!B578</f>
        <v>Instagram</v>
      </c>
      <c r="C578" s="29">
        <f>Absolute_Scores!D578</f>
        <v>50</v>
      </c>
      <c r="D578" s="30">
        <f t="shared" si="24"/>
        <v>62.5</v>
      </c>
      <c r="F578" s="12" t="str">
        <f>Absolute_Scores!F578</f>
        <v>@araarafia</v>
      </c>
      <c r="G578" s="12" t="str">
        <f>Absolute_Scores!G578</f>
        <v>TikTok</v>
      </c>
      <c r="H578" s="29">
        <f>Absolute_Scores!I578</f>
        <v>50</v>
      </c>
      <c r="I578" s="30">
        <f t="shared" si="25"/>
        <v>62.5</v>
      </c>
      <c r="K578" s="12" t="str">
        <f>Absolute_Scores!K578</f>
        <v>@laperstory</v>
      </c>
      <c r="L578" s="12" t="str">
        <f>Absolute_Scores!L578</f>
        <v>Instagram</v>
      </c>
      <c r="M578" s="29">
        <f>Absolute_Scores!N578</f>
        <v>33</v>
      </c>
      <c r="N578" s="30">
        <f t="shared" si="26"/>
        <v>49.25</v>
      </c>
    </row>
    <row r="579" spans="1:14">
      <c r="A579" s="12" t="str">
        <f>Absolute_Scores!A579</f>
        <v>@stellaprita</v>
      </c>
      <c r="B579" s="12" t="str">
        <f>Absolute_Scores!B579</f>
        <v>Instagram</v>
      </c>
      <c r="C579" s="29">
        <f>Absolute_Scores!D579</f>
        <v>50</v>
      </c>
      <c r="D579" s="30">
        <f t="shared" si="24"/>
        <v>62.5</v>
      </c>
      <c r="F579" s="12" t="str">
        <f>Absolute_Scores!F579</f>
        <v>@arabpakez</v>
      </c>
      <c r="G579" s="12" t="str">
        <f>Absolute_Scores!G579</f>
        <v>TikTok</v>
      </c>
      <c r="H579" s="29">
        <f>Absolute_Scores!I579</f>
        <v>50</v>
      </c>
      <c r="I579" s="30">
        <f t="shared" si="25"/>
        <v>62.5</v>
      </c>
      <c r="K579" s="12" t="str">
        <f>Absolute_Scores!K579</f>
        <v>@madelarasati</v>
      </c>
      <c r="L579" s="12" t="str">
        <f>Absolute_Scores!L579</f>
        <v>TikTok</v>
      </c>
      <c r="M579" s="29">
        <f>Absolute_Scores!N579</f>
        <v>33</v>
      </c>
      <c r="N579" s="30">
        <f t="shared" si="26"/>
        <v>49.25</v>
      </c>
    </row>
    <row r="580" spans="1:14">
      <c r="A580" s="12" t="str">
        <f>Absolute_Scores!A580</f>
        <v>@stepjeje</v>
      </c>
      <c r="B580" s="12" t="str">
        <f>Absolute_Scores!B580</f>
        <v>Instagram</v>
      </c>
      <c r="C580" s="29">
        <f>Absolute_Scores!D580</f>
        <v>50</v>
      </c>
      <c r="D580" s="30">
        <f t="shared" si="24"/>
        <v>62.5</v>
      </c>
      <c r="F580" s="12" t="str">
        <f>Absolute_Scores!F580</f>
        <v>@archieyevia</v>
      </c>
      <c r="G580" s="12" t="str">
        <f>Absolute_Scores!G580</f>
        <v>TikTok</v>
      </c>
      <c r="H580" s="29">
        <f>Absolute_Scores!I580</f>
        <v>50</v>
      </c>
      <c r="I580" s="30">
        <f t="shared" si="25"/>
        <v>62.5</v>
      </c>
      <c r="K580" s="12" t="str">
        <f>Absolute_Scores!K580</f>
        <v>@mahdarayy</v>
      </c>
      <c r="L580" s="12" t="str">
        <f>Absolute_Scores!L580</f>
        <v>TikTok</v>
      </c>
      <c r="M580" s="29">
        <f>Absolute_Scores!N580</f>
        <v>33</v>
      </c>
      <c r="N580" s="30">
        <f t="shared" si="26"/>
        <v>49.25</v>
      </c>
    </row>
    <row r="581" spans="1:14">
      <c r="A581" s="12" t="str">
        <f>Absolute_Scores!A581</f>
        <v>@sucii1202</v>
      </c>
      <c r="B581" s="12" t="str">
        <f>Absolute_Scores!B581</f>
        <v>Instagram</v>
      </c>
      <c r="C581" s="29">
        <f>Absolute_Scores!D581</f>
        <v>50</v>
      </c>
      <c r="D581" s="30">
        <f t="shared" si="24"/>
        <v>62.5</v>
      </c>
      <c r="F581" s="12" t="str">
        <f>Absolute_Scores!F581</f>
        <v>@ardan_achsya</v>
      </c>
      <c r="G581" s="12" t="str">
        <f>Absolute_Scores!G581</f>
        <v>TikTok</v>
      </c>
      <c r="H581" s="29">
        <f>Absolute_Scores!I581</f>
        <v>50</v>
      </c>
      <c r="I581" s="30">
        <f t="shared" si="25"/>
        <v>62.5</v>
      </c>
      <c r="K581" s="12" t="str">
        <f>Absolute_Scores!K581</f>
        <v>@melina_lyn</v>
      </c>
      <c r="L581" s="12" t="str">
        <f>Absolute_Scores!L581</f>
        <v>Instagram</v>
      </c>
      <c r="M581" s="29">
        <f>Absolute_Scores!N581</f>
        <v>33</v>
      </c>
      <c r="N581" s="30">
        <f t="shared" si="26"/>
        <v>49.25</v>
      </c>
    </row>
    <row r="582" spans="1:14">
      <c r="A582" s="12" t="str">
        <f>Absolute_Scores!A582</f>
        <v>@suciirestiipertiwii</v>
      </c>
      <c r="B582" s="12" t="str">
        <f>Absolute_Scores!B582</f>
        <v>Instagram</v>
      </c>
      <c r="C582" s="29">
        <f>Absolute_Scores!D582</f>
        <v>50</v>
      </c>
      <c r="D582" s="30">
        <f t="shared" ref="D582:D645" si="27">ROUND(C582/$D$4*100,2)</f>
        <v>62.5</v>
      </c>
      <c r="F582" s="12" t="str">
        <f>Absolute_Scores!F582</f>
        <v>@ardellnab</v>
      </c>
      <c r="G582" s="12" t="str">
        <f>Absolute_Scores!G582</f>
        <v>Instagram</v>
      </c>
      <c r="H582" s="29">
        <f>Absolute_Scores!I582</f>
        <v>50</v>
      </c>
      <c r="I582" s="30">
        <f t="shared" ref="I582:I645" si="28">ROUND(H582/$I$4*100,2)</f>
        <v>62.5</v>
      </c>
      <c r="K582" s="12" t="str">
        <f>Absolute_Scores!K582</f>
        <v>@okywulandarii</v>
      </c>
      <c r="L582" s="12" t="str">
        <f>Absolute_Scores!L582</f>
        <v>Instagram</v>
      </c>
      <c r="M582" s="29">
        <f>Absolute_Scores!N582</f>
        <v>33</v>
      </c>
      <c r="N582" s="30">
        <f t="shared" ref="N582:N645" si="29">ROUND(M582/$N$4*100,2)</f>
        <v>49.25</v>
      </c>
    </row>
    <row r="583" spans="1:14">
      <c r="A583" s="12" t="str">
        <f>Absolute_Scores!A583</f>
        <v>@suniiiy_</v>
      </c>
      <c r="B583" s="12" t="str">
        <f>Absolute_Scores!B583</f>
        <v>Instagram</v>
      </c>
      <c r="C583" s="29">
        <f>Absolute_Scores!D583</f>
        <v>50</v>
      </c>
      <c r="D583" s="30">
        <f t="shared" si="27"/>
        <v>62.5</v>
      </c>
      <c r="F583" s="12" t="str">
        <f>Absolute_Scores!F583</f>
        <v>@ardfoodie</v>
      </c>
      <c r="G583" s="12" t="str">
        <f>Absolute_Scores!G583</f>
        <v>TikTok</v>
      </c>
      <c r="H583" s="29">
        <f>Absolute_Scores!I583</f>
        <v>50</v>
      </c>
      <c r="I583" s="30">
        <f t="shared" si="28"/>
        <v>62.5</v>
      </c>
      <c r="K583" s="12" t="str">
        <f>Absolute_Scores!K583</f>
        <v>@ovieekaoru</v>
      </c>
      <c r="L583" s="12" t="str">
        <f>Absolute_Scores!L583</f>
        <v>Instagram</v>
      </c>
      <c r="M583" s="29">
        <f>Absolute_Scores!N583</f>
        <v>33</v>
      </c>
      <c r="N583" s="30">
        <f t="shared" si="29"/>
        <v>49.25</v>
      </c>
    </row>
    <row r="584" spans="1:14">
      <c r="A584" s="12" t="str">
        <f>Absolute_Scores!A584</f>
        <v>@susisinta</v>
      </c>
      <c r="B584" s="12" t="str">
        <f>Absolute_Scores!B584</f>
        <v>Instagram</v>
      </c>
      <c r="C584" s="29">
        <f>Absolute_Scores!D584</f>
        <v>50</v>
      </c>
      <c r="D584" s="30">
        <f t="shared" si="27"/>
        <v>62.5</v>
      </c>
      <c r="F584" s="12" t="str">
        <f>Absolute_Scores!F584</f>
        <v>@ardikatamps</v>
      </c>
      <c r="G584" s="12" t="str">
        <f>Absolute_Scores!G584</f>
        <v>TikTok</v>
      </c>
      <c r="H584" s="29">
        <f>Absolute_Scores!I584</f>
        <v>50</v>
      </c>
      <c r="I584" s="30">
        <f t="shared" si="28"/>
        <v>62.5</v>
      </c>
      <c r="K584" s="12" t="str">
        <f>Absolute_Scores!K584</f>
        <v>@queenviolia</v>
      </c>
      <c r="L584" s="12" t="str">
        <f>Absolute_Scores!L584</f>
        <v>Instagram</v>
      </c>
      <c r="M584" s="29">
        <f>Absolute_Scores!N584</f>
        <v>33</v>
      </c>
      <c r="N584" s="30">
        <f t="shared" si="29"/>
        <v>49.25</v>
      </c>
    </row>
    <row r="585" spans="1:14">
      <c r="A585" s="12" t="str">
        <f>Absolute_Scores!A585</f>
        <v>@syakhyahzanullutfian</v>
      </c>
      <c r="B585" s="12" t="str">
        <f>Absolute_Scores!B585</f>
        <v>Instagram</v>
      </c>
      <c r="C585" s="29">
        <f>Absolute_Scores!D585</f>
        <v>50</v>
      </c>
      <c r="D585" s="30">
        <f t="shared" si="27"/>
        <v>62.5</v>
      </c>
      <c r="F585" s="12" t="str">
        <f>Absolute_Scores!F585</f>
        <v>@ardipocen</v>
      </c>
      <c r="G585" s="12" t="str">
        <f>Absolute_Scores!G585</f>
        <v>TikTok</v>
      </c>
      <c r="H585" s="29">
        <f>Absolute_Scores!I585</f>
        <v>50</v>
      </c>
      <c r="I585" s="30">
        <f t="shared" si="28"/>
        <v>62.5</v>
      </c>
      <c r="K585" s="12" t="str">
        <f>Absolute_Scores!K585</f>
        <v>@rennireree</v>
      </c>
      <c r="L585" s="12" t="str">
        <f>Absolute_Scores!L585</f>
        <v>Instagram</v>
      </c>
      <c r="M585" s="29">
        <f>Absolute_Scores!N585</f>
        <v>33</v>
      </c>
      <c r="N585" s="30">
        <f t="shared" si="29"/>
        <v>49.25</v>
      </c>
    </row>
    <row r="586" spans="1:14">
      <c r="A586" s="12" t="str">
        <f>Absolute_Scores!A586</f>
        <v>@syamilahhouse</v>
      </c>
      <c r="B586" s="12" t="str">
        <f>Absolute_Scores!B586</f>
        <v>Instagram</v>
      </c>
      <c r="C586" s="29">
        <f>Absolute_Scores!D586</f>
        <v>50</v>
      </c>
      <c r="D586" s="30">
        <f t="shared" si="27"/>
        <v>62.5</v>
      </c>
      <c r="F586" s="12" t="str">
        <f>Absolute_Scores!F586</f>
        <v>@arena.fakta</v>
      </c>
      <c r="G586" s="12" t="str">
        <f>Absolute_Scores!G586</f>
        <v>TikTok</v>
      </c>
      <c r="H586" s="29">
        <f>Absolute_Scores!I586</f>
        <v>50</v>
      </c>
      <c r="I586" s="30">
        <f t="shared" si="28"/>
        <v>62.5</v>
      </c>
      <c r="K586" s="12" t="str">
        <f>Absolute_Scores!K586</f>
        <v>@szcaalghofur</v>
      </c>
      <c r="L586" s="12" t="str">
        <f>Absolute_Scores!L586</f>
        <v>Instagram</v>
      </c>
      <c r="M586" s="29">
        <f>Absolute_Scores!N586</f>
        <v>33</v>
      </c>
      <c r="N586" s="30">
        <f t="shared" si="29"/>
        <v>49.25</v>
      </c>
    </row>
    <row r="587" spans="1:14">
      <c r="A587" s="12" t="str">
        <f>Absolute_Scores!A587</f>
        <v>@sytami15</v>
      </c>
      <c r="B587" s="12" t="str">
        <f>Absolute_Scores!B587</f>
        <v>Instagram</v>
      </c>
      <c r="C587" s="29">
        <f>Absolute_Scores!D587</f>
        <v>50</v>
      </c>
      <c r="D587" s="30">
        <f t="shared" si="27"/>
        <v>62.5</v>
      </c>
      <c r="F587" s="12" t="str">
        <f>Absolute_Scores!F587</f>
        <v>@arifianthi</v>
      </c>
      <c r="G587" s="12" t="str">
        <f>Absolute_Scores!G587</f>
        <v>Instagram</v>
      </c>
      <c r="H587" s="29">
        <f>Absolute_Scores!I587</f>
        <v>50</v>
      </c>
      <c r="I587" s="30">
        <f t="shared" si="28"/>
        <v>62.5</v>
      </c>
      <c r="K587" s="12" t="str">
        <f>Absolute_Scores!K587</f>
        <v>@tangsel.info</v>
      </c>
      <c r="L587" s="12" t="str">
        <f>Absolute_Scores!L587</f>
        <v>Instagram</v>
      </c>
      <c r="M587" s="29">
        <f>Absolute_Scores!N587</f>
        <v>33</v>
      </c>
      <c r="N587" s="30">
        <f t="shared" si="29"/>
        <v>49.25</v>
      </c>
    </row>
    <row r="588" spans="1:14">
      <c r="A588" s="12" t="str">
        <f>Absolute_Scores!A588</f>
        <v>@taslinah</v>
      </c>
      <c r="B588" s="12" t="str">
        <f>Absolute_Scores!B588</f>
        <v>Instagram</v>
      </c>
      <c r="C588" s="29">
        <f>Absolute_Scores!D588</f>
        <v>50</v>
      </c>
      <c r="D588" s="30">
        <f t="shared" si="27"/>
        <v>62.5</v>
      </c>
      <c r="F588" s="12" t="str">
        <f>Absolute_Scores!F588</f>
        <v>@arin_an28</v>
      </c>
      <c r="G588" s="12" t="str">
        <f>Absolute_Scores!G588</f>
        <v>Instagram</v>
      </c>
      <c r="H588" s="29">
        <f>Absolute_Scores!I588</f>
        <v>50</v>
      </c>
      <c r="I588" s="30">
        <f t="shared" si="28"/>
        <v>62.5</v>
      </c>
      <c r="K588" s="12" t="str">
        <f>Absolute_Scores!K588</f>
        <v>@tata_early</v>
      </c>
      <c r="L588" s="12" t="str">
        <f>Absolute_Scores!L588</f>
        <v>Instagram</v>
      </c>
      <c r="M588" s="29">
        <f>Absolute_Scores!N588</f>
        <v>33</v>
      </c>
      <c r="N588" s="30">
        <f t="shared" si="29"/>
        <v>49.25</v>
      </c>
    </row>
    <row r="589" spans="1:14">
      <c r="A589" s="12" t="str">
        <f>Absolute_Scores!A589</f>
        <v>@tasya.caa</v>
      </c>
      <c r="B589" s="12" t="str">
        <f>Absolute_Scores!B589</f>
        <v>Instagram</v>
      </c>
      <c r="C589" s="29">
        <f>Absolute_Scores!D589</f>
        <v>50</v>
      </c>
      <c r="D589" s="30">
        <f t="shared" si="27"/>
        <v>62.5</v>
      </c>
      <c r="F589" s="12" t="str">
        <f>Absolute_Scores!F589</f>
        <v>@arin2408_ar</v>
      </c>
      <c r="G589" s="12" t="str">
        <f>Absolute_Scores!G589</f>
        <v>Instagram</v>
      </c>
      <c r="H589" s="29">
        <f>Absolute_Scores!I589</f>
        <v>50</v>
      </c>
      <c r="I589" s="30">
        <f t="shared" si="28"/>
        <v>62.5</v>
      </c>
      <c r="K589" s="12" t="str">
        <f>Absolute_Scores!K589</f>
        <v>@theaven1802</v>
      </c>
      <c r="L589" s="12" t="str">
        <f>Absolute_Scores!L589</f>
        <v>TikTok</v>
      </c>
      <c r="M589" s="29">
        <f>Absolute_Scores!N589</f>
        <v>33</v>
      </c>
      <c r="N589" s="30">
        <f t="shared" si="29"/>
        <v>49.25</v>
      </c>
    </row>
    <row r="590" spans="1:14">
      <c r="A590" s="12" t="str">
        <f>Absolute_Scores!A590</f>
        <v>@tasyaaneke</v>
      </c>
      <c r="B590" s="12" t="str">
        <f>Absolute_Scores!B590</f>
        <v>Instagram</v>
      </c>
      <c r="C590" s="29">
        <f>Absolute_Scores!D590</f>
        <v>50</v>
      </c>
      <c r="D590" s="30">
        <f t="shared" si="27"/>
        <v>62.5</v>
      </c>
      <c r="F590" s="12" t="str">
        <f>Absolute_Scores!F590</f>
        <v>@arindapuy</v>
      </c>
      <c r="G590" s="12" t="str">
        <f>Absolute_Scores!G590</f>
        <v>TikTok</v>
      </c>
      <c r="H590" s="29">
        <f>Absolute_Scores!I590</f>
        <v>50</v>
      </c>
      <c r="I590" s="30">
        <f t="shared" si="28"/>
        <v>62.5</v>
      </c>
      <c r="K590" s="12" t="str">
        <f>Absolute_Scores!K590</f>
        <v>@traveat_id</v>
      </c>
      <c r="L590" s="12" t="str">
        <f>Absolute_Scores!L590</f>
        <v>Instagram</v>
      </c>
      <c r="M590" s="29">
        <f>Absolute_Scores!N590</f>
        <v>33</v>
      </c>
      <c r="N590" s="30">
        <f t="shared" si="29"/>
        <v>49.25</v>
      </c>
    </row>
    <row r="591" spans="1:14">
      <c r="A591" s="12" t="str">
        <f>Absolute_Scores!A591</f>
        <v>@tebyharun</v>
      </c>
      <c r="B591" s="12" t="str">
        <f>Absolute_Scores!B591</f>
        <v>Instagram</v>
      </c>
      <c r="C591" s="29">
        <f>Absolute_Scores!D591</f>
        <v>50</v>
      </c>
      <c r="D591" s="30">
        <f t="shared" si="27"/>
        <v>62.5</v>
      </c>
      <c r="F591" s="12" t="str">
        <f>Absolute_Scores!F591</f>
        <v>@arindyoktar</v>
      </c>
      <c r="G591" s="12" t="str">
        <f>Absolute_Scores!G591</f>
        <v>TikTok</v>
      </c>
      <c r="H591" s="29">
        <f>Absolute_Scores!I591</f>
        <v>50</v>
      </c>
      <c r="I591" s="30">
        <f t="shared" si="28"/>
        <v>62.5</v>
      </c>
      <c r="K591" s="12" t="str">
        <f>Absolute_Scores!K591</f>
        <v>@vanessachrst</v>
      </c>
      <c r="L591" s="12" t="str">
        <f>Absolute_Scores!L591</f>
        <v>Instagram</v>
      </c>
      <c r="M591" s="29">
        <f>Absolute_Scores!N591</f>
        <v>33</v>
      </c>
      <c r="N591" s="30">
        <f t="shared" si="29"/>
        <v>49.25</v>
      </c>
    </row>
    <row r="592" spans="1:14">
      <c r="A592" s="12" t="str">
        <f>Absolute_Scores!A592</f>
        <v>@teh_dinil</v>
      </c>
      <c r="B592" s="12" t="str">
        <f>Absolute_Scores!B592</f>
        <v>Instagram</v>
      </c>
      <c r="C592" s="29">
        <f>Absolute_Scores!D592</f>
        <v>50</v>
      </c>
      <c r="D592" s="30">
        <f t="shared" si="27"/>
        <v>62.5</v>
      </c>
      <c r="F592" s="12" t="str">
        <f>Absolute_Scores!F592</f>
        <v>@arinfaala18</v>
      </c>
      <c r="G592" s="12" t="str">
        <f>Absolute_Scores!G592</f>
        <v>Instagram</v>
      </c>
      <c r="H592" s="29">
        <f>Absolute_Scores!I592</f>
        <v>50</v>
      </c>
      <c r="I592" s="30">
        <f t="shared" si="28"/>
        <v>62.5</v>
      </c>
      <c r="K592" s="12" t="str">
        <f>Absolute_Scores!K592</f>
        <v>@vera_ratasya</v>
      </c>
      <c r="L592" s="12" t="str">
        <f>Absolute_Scores!L592</f>
        <v>Instagram</v>
      </c>
      <c r="M592" s="29">
        <f>Absolute_Scores!N592</f>
        <v>33</v>
      </c>
      <c r="N592" s="30">
        <f t="shared" si="29"/>
        <v>49.25</v>
      </c>
    </row>
    <row r="593" spans="1:14">
      <c r="A593" s="12" t="str">
        <f>Absolute_Scores!A593</f>
        <v>@tica_pramesty</v>
      </c>
      <c r="B593" s="12" t="str">
        <f>Absolute_Scores!B593</f>
        <v>Instagram</v>
      </c>
      <c r="C593" s="29">
        <f>Absolute_Scores!D593</f>
        <v>50</v>
      </c>
      <c r="D593" s="30">
        <f t="shared" si="27"/>
        <v>62.5</v>
      </c>
      <c r="F593" s="12" t="str">
        <f>Absolute_Scores!F593</f>
        <v>@ariwidyasari6</v>
      </c>
      <c r="G593" s="12" t="str">
        <f>Absolute_Scores!G593</f>
        <v>TikTok</v>
      </c>
      <c r="H593" s="29">
        <f>Absolute_Scores!I593</f>
        <v>50</v>
      </c>
      <c r="I593" s="30">
        <f t="shared" si="28"/>
        <v>62.5</v>
      </c>
      <c r="K593" s="12" t="str">
        <f>Absolute_Scores!K593</f>
        <v>@volix.media</v>
      </c>
      <c r="L593" s="12" t="str">
        <f>Absolute_Scores!L593</f>
        <v>Instagram</v>
      </c>
      <c r="M593" s="29">
        <f>Absolute_Scores!N593</f>
        <v>33</v>
      </c>
      <c r="N593" s="30">
        <f t="shared" si="29"/>
        <v>49.25</v>
      </c>
    </row>
    <row r="594" spans="1:14">
      <c r="A594" s="12" t="str">
        <f>Absolute_Scores!A594</f>
        <v>@tri_asics</v>
      </c>
      <c r="B594" s="12" t="str">
        <f>Absolute_Scores!B594</f>
        <v>Instagram</v>
      </c>
      <c r="C594" s="29">
        <f>Absolute_Scores!D594</f>
        <v>50</v>
      </c>
      <c r="D594" s="30">
        <f t="shared" si="27"/>
        <v>62.5</v>
      </c>
      <c r="F594" s="12" t="str">
        <f>Absolute_Scores!F594</f>
        <v>@arkamlee</v>
      </c>
      <c r="G594" s="12" t="str">
        <f>Absolute_Scores!G594</f>
        <v>TikTok</v>
      </c>
      <c r="H594" s="29">
        <f>Absolute_Scores!I594</f>
        <v>50</v>
      </c>
      <c r="I594" s="30">
        <f t="shared" si="28"/>
        <v>62.5</v>
      </c>
      <c r="K594" s="12" t="str">
        <f>Absolute_Scores!K594</f>
        <v>@anatakirana</v>
      </c>
      <c r="L594" s="12" t="str">
        <f>Absolute_Scores!L594</f>
        <v>Instagram</v>
      </c>
      <c r="M594" s="29">
        <f>Absolute_Scores!N594</f>
        <v>32</v>
      </c>
      <c r="N594" s="30">
        <f t="shared" si="29"/>
        <v>47.76</v>
      </c>
    </row>
    <row r="595" spans="1:14">
      <c r="A595" s="12" t="str">
        <f>Absolute_Scores!A595</f>
        <v>@triayulaksana</v>
      </c>
      <c r="B595" s="12" t="str">
        <f>Absolute_Scores!B595</f>
        <v>Instagram</v>
      </c>
      <c r="C595" s="29">
        <f>Absolute_Scores!D595</f>
        <v>50</v>
      </c>
      <c r="D595" s="30">
        <f t="shared" si="27"/>
        <v>62.5</v>
      </c>
      <c r="F595" s="12" t="str">
        <f>Absolute_Scores!F595</f>
        <v>@arlylaksita</v>
      </c>
      <c r="G595" s="12" t="str">
        <f>Absolute_Scores!G595</f>
        <v>Instagram</v>
      </c>
      <c r="H595" s="29">
        <f>Absolute_Scores!I595</f>
        <v>50</v>
      </c>
      <c r="I595" s="30">
        <f t="shared" si="28"/>
        <v>62.5</v>
      </c>
      <c r="K595" s="12" t="str">
        <f>Absolute_Scores!K595</f>
        <v>@arashimalya</v>
      </c>
      <c r="L595" s="12" t="str">
        <f>Absolute_Scores!L595</f>
        <v>Instagram</v>
      </c>
      <c r="M595" s="29">
        <f>Absolute_Scores!N595</f>
        <v>32</v>
      </c>
      <c r="N595" s="30">
        <f t="shared" si="29"/>
        <v>47.76</v>
      </c>
    </row>
    <row r="596" spans="1:14">
      <c r="A596" s="12" t="str">
        <f>Absolute_Scores!A596</f>
        <v>@tyaslidyarusdiantoro</v>
      </c>
      <c r="B596" s="12" t="str">
        <f>Absolute_Scores!B596</f>
        <v>Instagram</v>
      </c>
      <c r="C596" s="29">
        <f>Absolute_Scores!D596</f>
        <v>50</v>
      </c>
      <c r="D596" s="30">
        <f t="shared" si="27"/>
        <v>62.5</v>
      </c>
      <c r="F596" s="12" t="str">
        <f>Absolute_Scores!F596</f>
        <v>@armalinaa</v>
      </c>
      <c r="G596" s="12" t="str">
        <f>Absolute_Scores!G596</f>
        <v>Instagram</v>
      </c>
      <c r="H596" s="29">
        <f>Absolute_Scores!I596</f>
        <v>50</v>
      </c>
      <c r="I596" s="30">
        <f t="shared" si="28"/>
        <v>62.5</v>
      </c>
      <c r="K596" s="12" t="str">
        <f>Absolute_Scores!K596</f>
        <v>@bellprist</v>
      </c>
      <c r="L596" s="12" t="str">
        <f>Absolute_Scores!L596</f>
        <v>Instagram</v>
      </c>
      <c r="M596" s="29">
        <f>Absolute_Scores!N596</f>
        <v>32</v>
      </c>
      <c r="N596" s="30">
        <f t="shared" si="29"/>
        <v>47.76</v>
      </c>
    </row>
    <row r="597" spans="1:14">
      <c r="A597" s="12" t="str">
        <f>Absolute_Scores!A597</f>
        <v>@uchyea</v>
      </c>
      <c r="B597" s="12" t="str">
        <f>Absolute_Scores!B597</f>
        <v>Instagram</v>
      </c>
      <c r="C597" s="29">
        <f>Absolute_Scores!D597</f>
        <v>50</v>
      </c>
      <c r="D597" s="30">
        <f t="shared" si="27"/>
        <v>62.5</v>
      </c>
      <c r="F597" s="12" t="str">
        <f>Absolute_Scores!F597</f>
        <v>@arnettaauriella</v>
      </c>
      <c r="G597" s="12" t="str">
        <f>Absolute_Scores!G597</f>
        <v>TikTok</v>
      </c>
      <c r="H597" s="29">
        <f>Absolute_Scores!I597</f>
        <v>50</v>
      </c>
      <c r="I597" s="30">
        <f t="shared" si="28"/>
        <v>62.5</v>
      </c>
      <c r="K597" s="12" t="str">
        <f>Absolute_Scores!K597</f>
        <v>@edeline.vk</v>
      </c>
      <c r="L597" s="12" t="str">
        <f>Absolute_Scores!L597</f>
        <v>Instagram</v>
      </c>
      <c r="M597" s="29">
        <f>Absolute_Scores!N597</f>
        <v>32</v>
      </c>
      <c r="N597" s="30">
        <f t="shared" si="29"/>
        <v>47.76</v>
      </c>
    </row>
    <row r="598" spans="1:14">
      <c r="A598" s="12" t="str">
        <f>Absolute_Scores!A598</f>
        <v>@ulfahoktavianiii</v>
      </c>
      <c r="B598" s="12" t="str">
        <f>Absolute_Scores!B598</f>
        <v>Instagram</v>
      </c>
      <c r="C598" s="29">
        <f>Absolute_Scores!D598</f>
        <v>50</v>
      </c>
      <c r="D598" s="30">
        <f t="shared" si="27"/>
        <v>62.5</v>
      </c>
      <c r="F598" s="12" t="str">
        <f>Absolute_Scores!F598</f>
        <v>@arrianar</v>
      </c>
      <c r="G598" s="12" t="str">
        <f>Absolute_Scores!G598</f>
        <v>Instagram</v>
      </c>
      <c r="H598" s="29">
        <f>Absolute_Scores!I598</f>
        <v>50</v>
      </c>
      <c r="I598" s="30">
        <f t="shared" si="28"/>
        <v>62.5</v>
      </c>
      <c r="K598" s="12" t="str">
        <f>Absolute_Scores!K598</f>
        <v>@harveyanthonius</v>
      </c>
      <c r="L598" s="12" t="str">
        <f>Absolute_Scores!L598</f>
        <v>Instagram</v>
      </c>
      <c r="M598" s="29">
        <f>Absolute_Scores!N598</f>
        <v>32</v>
      </c>
      <c r="N598" s="30">
        <f t="shared" si="29"/>
        <v>47.76</v>
      </c>
    </row>
    <row r="599" spans="1:14">
      <c r="A599" s="12" t="str">
        <f>Absolute_Scores!A599</f>
        <v>@ulfahzahrotinnisa</v>
      </c>
      <c r="B599" s="12" t="str">
        <f>Absolute_Scores!B599</f>
        <v>Instagram</v>
      </c>
      <c r="C599" s="29">
        <f>Absolute_Scores!D599</f>
        <v>50</v>
      </c>
      <c r="D599" s="30">
        <f t="shared" si="27"/>
        <v>62.5</v>
      </c>
      <c r="F599" s="12" t="str">
        <f>Absolute_Scores!F599</f>
        <v>@arsakhakenzie</v>
      </c>
      <c r="G599" s="12" t="str">
        <f>Absolute_Scores!G599</f>
        <v>Instagram</v>
      </c>
      <c r="H599" s="29">
        <f>Absolute_Scores!I599</f>
        <v>50</v>
      </c>
      <c r="I599" s="30">
        <f t="shared" si="28"/>
        <v>62.5</v>
      </c>
      <c r="K599" s="12" t="str">
        <f>Absolute_Scores!K599</f>
        <v>@hijrahfest</v>
      </c>
      <c r="L599" s="12" t="str">
        <f>Absolute_Scores!L599</f>
        <v>Instagram</v>
      </c>
      <c r="M599" s="29">
        <f>Absolute_Scores!N599</f>
        <v>32</v>
      </c>
      <c r="N599" s="30">
        <f t="shared" si="29"/>
        <v>47.76</v>
      </c>
    </row>
    <row r="600" spans="1:14">
      <c r="A600" s="12" t="str">
        <f>Absolute_Scores!A600</f>
        <v>@unayumna</v>
      </c>
      <c r="B600" s="12" t="str">
        <f>Absolute_Scores!B600</f>
        <v>Instagram</v>
      </c>
      <c r="C600" s="29">
        <f>Absolute_Scores!D600</f>
        <v>50</v>
      </c>
      <c r="D600" s="30">
        <f t="shared" si="27"/>
        <v>62.5</v>
      </c>
      <c r="F600" s="12" t="str">
        <f>Absolute_Scores!F600</f>
        <v>@arstaaats</v>
      </c>
      <c r="G600" s="12" t="str">
        <f>Absolute_Scores!G600</f>
        <v>TikTok</v>
      </c>
      <c r="H600" s="29">
        <f>Absolute_Scores!I600</f>
        <v>50</v>
      </c>
      <c r="I600" s="30">
        <f t="shared" si="28"/>
        <v>62.5</v>
      </c>
      <c r="K600" s="12" t="str">
        <f>Absolute_Scores!K600</f>
        <v>@irma_miranti</v>
      </c>
      <c r="L600" s="12" t="str">
        <f>Absolute_Scores!L600</f>
        <v>Instagram</v>
      </c>
      <c r="M600" s="29">
        <f>Absolute_Scores!N600</f>
        <v>32</v>
      </c>
      <c r="N600" s="30">
        <f t="shared" si="29"/>
        <v>47.76</v>
      </c>
    </row>
    <row r="601" spans="1:14">
      <c r="A601" s="12" t="str">
        <f>Absolute_Scores!A601</f>
        <v>@unclemayk</v>
      </c>
      <c r="B601" s="12" t="str">
        <f>Absolute_Scores!B601</f>
        <v>Instagram</v>
      </c>
      <c r="C601" s="29">
        <f>Absolute_Scores!D601</f>
        <v>50</v>
      </c>
      <c r="D601" s="30">
        <f t="shared" si="27"/>
        <v>62.5</v>
      </c>
      <c r="F601" s="12" t="str">
        <f>Absolute_Scores!F601</f>
        <v>@arthaadaa</v>
      </c>
      <c r="G601" s="12" t="str">
        <f>Absolute_Scores!G601</f>
        <v>TikTok</v>
      </c>
      <c r="H601" s="29">
        <f>Absolute_Scores!I601</f>
        <v>50</v>
      </c>
      <c r="I601" s="30">
        <f t="shared" si="28"/>
        <v>62.5</v>
      </c>
      <c r="K601" s="12" t="str">
        <f>Absolute_Scores!K601</f>
        <v>@itsjesselin</v>
      </c>
      <c r="L601" s="12" t="str">
        <f>Absolute_Scores!L601</f>
        <v>TikTok</v>
      </c>
      <c r="M601" s="29">
        <f>Absolute_Scores!N601</f>
        <v>32</v>
      </c>
      <c r="N601" s="30">
        <f t="shared" si="29"/>
        <v>47.76</v>
      </c>
    </row>
    <row r="602" spans="1:14">
      <c r="A602" s="12" t="str">
        <f>Absolute_Scores!A602</f>
        <v>@vaiqelizza</v>
      </c>
      <c r="B602" s="12" t="str">
        <f>Absolute_Scores!B602</f>
        <v>Instagram</v>
      </c>
      <c r="C602" s="29">
        <f>Absolute_Scores!D602</f>
        <v>50</v>
      </c>
      <c r="D602" s="30">
        <f t="shared" si="27"/>
        <v>62.5</v>
      </c>
      <c r="F602" s="12" t="str">
        <f>Absolute_Scores!F602</f>
        <v>@artiwibeastly</v>
      </c>
      <c r="G602" s="12" t="str">
        <f>Absolute_Scores!G602</f>
        <v>Instagram</v>
      </c>
      <c r="H602" s="29">
        <f>Absolute_Scores!I602</f>
        <v>50</v>
      </c>
      <c r="I602" s="30">
        <f t="shared" si="28"/>
        <v>62.5</v>
      </c>
      <c r="K602" s="12" t="str">
        <f>Absolute_Scores!K602</f>
        <v>@jesicalin_</v>
      </c>
      <c r="L602" s="12" t="str">
        <f>Absolute_Scores!L602</f>
        <v>Instagram</v>
      </c>
      <c r="M602" s="29">
        <f>Absolute_Scores!N602</f>
        <v>32</v>
      </c>
      <c r="N602" s="30">
        <f t="shared" si="29"/>
        <v>47.76</v>
      </c>
    </row>
    <row r="603" spans="1:14">
      <c r="A603" s="12" t="str">
        <f>Absolute_Scores!A603</f>
        <v>@valent_cynthia</v>
      </c>
      <c r="B603" s="12" t="str">
        <f>Absolute_Scores!B603</f>
        <v>Instagram</v>
      </c>
      <c r="C603" s="29">
        <f>Absolute_Scores!D603</f>
        <v>50</v>
      </c>
      <c r="D603" s="30">
        <f t="shared" si="27"/>
        <v>62.5</v>
      </c>
      <c r="F603" s="12" t="str">
        <f>Absolute_Scores!F603</f>
        <v>@arynnuna_</v>
      </c>
      <c r="G603" s="12" t="str">
        <f>Absolute_Scores!G603</f>
        <v>Instagram</v>
      </c>
      <c r="H603" s="29">
        <f>Absolute_Scores!I603</f>
        <v>50</v>
      </c>
      <c r="I603" s="30">
        <f t="shared" si="28"/>
        <v>62.5</v>
      </c>
      <c r="K603" s="12" t="str">
        <f>Absolute_Scores!K603</f>
        <v>@litanurlitaf</v>
      </c>
      <c r="L603" s="12" t="str">
        <f>Absolute_Scores!L603</f>
        <v>Instagram</v>
      </c>
      <c r="M603" s="29">
        <f>Absolute_Scores!N603</f>
        <v>32</v>
      </c>
      <c r="N603" s="30">
        <f t="shared" si="29"/>
        <v>47.76</v>
      </c>
    </row>
    <row r="604" spans="1:14">
      <c r="A604" s="12" t="str">
        <f>Absolute_Scores!A604</f>
        <v>@vannynrs</v>
      </c>
      <c r="B604" s="12" t="str">
        <f>Absolute_Scores!B604</f>
        <v>Instagram</v>
      </c>
      <c r="C604" s="29">
        <f>Absolute_Scores!D604</f>
        <v>50</v>
      </c>
      <c r="D604" s="30">
        <f t="shared" si="27"/>
        <v>62.5</v>
      </c>
      <c r="F604" s="12" t="str">
        <f>Absolute_Scores!F604</f>
        <v>@asa.hsnh</v>
      </c>
      <c r="G604" s="12" t="str">
        <f>Absolute_Scores!G604</f>
        <v>Instagram</v>
      </c>
      <c r="H604" s="29">
        <f>Absolute_Scores!I604</f>
        <v>50</v>
      </c>
      <c r="I604" s="30">
        <f t="shared" si="28"/>
        <v>62.5</v>
      </c>
      <c r="K604" s="12" t="str">
        <f>Absolute_Scores!K604</f>
        <v>@mineralbotanica</v>
      </c>
      <c r="L604" s="12" t="str">
        <f>Absolute_Scores!L604</f>
        <v>Instagram</v>
      </c>
      <c r="M604" s="29">
        <f>Absolute_Scores!N604</f>
        <v>32</v>
      </c>
      <c r="N604" s="30">
        <f t="shared" si="29"/>
        <v>47.76</v>
      </c>
    </row>
    <row r="605" spans="1:14">
      <c r="A605" s="12" t="str">
        <f>Absolute_Scores!A605</f>
        <v>@veraa_h_p</v>
      </c>
      <c r="B605" s="12" t="str">
        <f>Absolute_Scores!B605</f>
        <v>Instagram</v>
      </c>
      <c r="C605" s="29">
        <f>Absolute_Scores!D605</f>
        <v>50</v>
      </c>
      <c r="D605" s="30">
        <f t="shared" si="27"/>
        <v>62.5</v>
      </c>
      <c r="F605" s="12" t="str">
        <f>Absolute_Scores!F605</f>
        <v>@asam.manis.kehidupan</v>
      </c>
      <c r="G605" s="12" t="str">
        <f>Absolute_Scores!G605</f>
        <v>Instagram</v>
      </c>
      <c r="H605" s="29">
        <f>Absolute_Scores!I605</f>
        <v>50</v>
      </c>
      <c r="I605" s="30">
        <f t="shared" si="28"/>
        <v>62.5</v>
      </c>
      <c r="K605" s="12" t="str">
        <f>Absolute_Scores!K605</f>
        <v>@oceljoycelyn</v>
      </c>
      <c r="L605" s="12" t="str">
        <f>Absolute_Scores!L605</f>
        <v>TikTok</v>
      </c>
      <c r="M605" s="29">
        <f>Absolute_Scores!N605</f>
        <v>32</v>
      </c>
      <c r="N605" s="30">
        <f t="shared" si="29"/>
        <v>47.76</v>
      </c>
    </row>
    <row r="606" spans="1:14">
      <c r="A606" s="12" t="str">
        <f>Absolute_Scores!A606</f>
        <v>@verenvalenciaa</v>
      </c>
      <c r="B606" s="12" t="str">
        <f>Absolute_Scores!B606</f>
        <v>Instagram</v>
      </c>
      <c r="C606" s="29">
        <f>Absolute_Scores!D606</f>
        <v>50</v>
      </c>
      <c r="D606" s="30">
        <f t="shared" si="27"/>
        <v>62.5</v>
      </c>
      <c r="F606" s="12" t="str">
        <f>Absolute_Scores!F606</f>
        <v>@asetianingtyas</v>
      </c>
      <c r="G606" s="12" t="str">
        <f>Absolute_Scores!G606</f>
        <v>Instagram</v>
      </c>
      <c r="H606" s="29">
        <f>Absolute_Scores!I606</f>
        <v>50</v>
      </c>
      <c r="I606" s="30">
        <f t="shared" si="28"/>
        <v>62.5</v>
      </c>
      <c r="K606" s="12" t="str">
        <f>Absolute_Scores!K606</f>
        <v>@oliviareginas18</v>
      </c>
      <c r="L606" s="12" t="str">
        <f>Absolute_Scores!L606</f>
        <v>Instagram</v>
      </c>
      <c r="M606" s="29">
        <f>Absolute_Scores!N606</f>
        <v>32</v>
      </c>
      <c r="N606" s="30">
        <f t="shared" si="29"/>
        <v>47.76</v>
      </c>
    </row>
    <row r="607" spans="1:14">
      <c r="A607" s="12" t="str">
        <f>Absolute_Scores!A607</f>
        <v>@veronicaavrill21</v>
      </c>
      <c r="B607" s="12" t="str">
        <f>Absolute_Scores!B607</f>
        <v>Instagram</v>
      </c>
      <c r="C607" s="29">
        <f>Absolute_Scores!D607</f>
        <v>50</v>
      </c>
      <c r="D607" s="30">
        <f t="shared" si="27"/>
        <v>62.5</v>
      </c>
      <c r="F607" s="12" t="str">
        <f>Absolute_Scores!F607</f>
        <v>@ashaaye</v>
      </c>
      <c r="G607" s="12" t="str">
        <f>Absolute_Scores!G607</f>
        <v>TikTok</v>
      </c>
      <c r="H607" s="29">
        <f>Absolute_Scores!I607</f>
        <v>50</v>
      </c>
      <c r="I607" s="30">
        <f t="shared" si="28"/>
        <v>62.5</v>
      </c>
      <c r="K607" s="12" t="str">
        <f>Absolute_Scores!K607</f>
        <v>@ritarichie_</v>
      </c>
      <c r="L607" s="12" t="str">
        <f>Absolute_Scores!L607</f>
        <v>Instagram</v>
      </c>
      <c r="M607" s="29">
        <f>Absolute_Scores!N607</f>
        <v>32</v>
      </c>
      <c r="N607" s="30">
        <f t="shared" si="29"/>
        <v>47.76</v>
      </c>
    </row>
    <row r="608" spans="1:14">
      <c r="A608" s="12" t="str">
        <f>Absolute_Scores!A608</f>
        <v>@victdewi</v>
      </c>
      <c r="B608" s="12" t="str">
        <f>Absolute_Scores!B608</f>
        <v>Instagram</v>
      </c>
      <c r="C608" s="29">
        <f>Absolute_Scores!D608</f>
        <v>50</v>
      </c>
      <c r="D608" s="30">
        <f t="shared" si="27"/>
        <v>62.5</v>
      </c>
      <c r="F608" s="12" t="str">
        <f>Absolute_Scores!F608</f>
        <v>@ashafiranatasya</v>
      </c>
      <c r="G608" s="12" t="str">
        <f>Absolute_Scores!G608</f>
        <v>TikTok</v>
      </c>
      <c r="H608" s="29">
        <f>Absolute_Scores!I608</f>
        <v>50</v>
      </c>
      <c r="I608" s="30">
        <f t="shared" si="28"/>
        <v>62.5</v>
      </c>
      <c r="K608" s="12" t="str">
        <f>Absolute_Scores!K608</f>
        <v>@tanameracoffee</v>
      </c>
      <c r="L608" s="12" t="str">
        <f>Absolute_Scores!L608</f>
        <v>Instagram</v>
      </c>
      <c r="M608" s="29">
        <f>Absolute_Scores!N608</f>
        <v>32</v>
      </c>
      <c r="N608" s="30">
        <f t="shared" si="29"/>
        <v>47.76</v>
      </c>
    </row>
    <row r="609" spans="1:14">
      <c r="A609" s="12" t="str">
        <f>Absolute_Scores!A609</f>
        <v>@vindynaisya</v>
      </c>
      <c r="B609" s="12" t="str">
        <f>Absolute_Scores!B609</f>
        <v>Instagram</v>
      </c>
      <c r="C609" s="29">
        <f>Absolute_Scores!D609</f>
        <v>50</v>
      </c>
      <c r="D609" s="30">
        <f t="shared" si="27"/>
        <v>62.5</v>
      </c>
      <c r="F609" s="12" t="str">
        <f>Absolute_Scores!F609</f>
        <v>@asni.w.arsyad</v>
      </c>
      <c r="G609" s="12" t="str">
        <f>Absolute_Scores!G609</f>
        <v>Instagram</v>
      </c>
      <c r="H609" s="29">
        <f>Absolute_Scores!I609</f>
        <v>50</v>
      </c>
      <c r="I609" s="30">
        <f t="shared" si="28"/>
        <v>62.5</v>
      </c>
      <c r="K609" s="12" t="str">
        <f>Absolute_Scores!K609</f>
        <v>@taniaatnt</v>
      </c>
      <c r="L609" s="12" t="str">
        <f>Absolute_Scores!L609</f>
        <v>Instagram</v>
      </c>
      <c r="M609" s="29">
        <f>Absolute_Scores!N609</f>
        <v>32</v>
      </c>
      <c r="N609" s="30">
        <f t="shared" si="29"/>
        <v>47.76</v>
      </c>
    </row>
    <row r="610" spans="1:14">
      <c r="A610" s="12" t="str">
        <f>Absolute_Scores!A610</f>
        <v>@vionawinargo</v>
      </c>
      <c r="B610" s="12" t="str">
        <f>Absolute_Scores!B610</f>
        <v>Instagram</v>
      </c>
      <c r="C610" s="29">
        <f>Absolute_Scores!D610</f>
        <v>50</v>
      </c>
      <c r="D610" s="30">
        <f t="shared" si="27"/>
        <v>62.5</v>
      </c>
      <c r="F610" s="12" t="str">
        <f>Absolute_Scores!F610</f>
        <v>@asrnto_2</v>
      </c>
      <c r="G610" s="12" t="str">
        <f>Absolute_Scores!G610</f>
        <v>TikTok</v>
      </c>
      <c r="H610" s="29">
        <f>Absolute_Scores!I610</f>
        <v>50</v>
      </c>
      <c r="I610" s="30">
        <f t="shared" si="28"/>
        <v>62.5</v>
      </c>
      <c r="K610" s="12" t="str">
        <f>Absolute_Scores!K610</f>
        <v>@veveyen_</v>
      </c>
      <c r="L610" s="12" t="str">
        <f>Absolute_Scores!L610</f>
        <v>Instagram</v>
      </c>
      <c r="M610" s="29">
        <f>Absolute_Scores!N610</f>
        <v>32</v>
      </c>
      <c r="N610" s="30">
        <f t="shared" si="29"/>
        <v>47.76</v>
      </c>
    </row>
    <row r="611" spans="1:14">
      <c r="A611" s="12" t="str">
        <f>Absolute_Scores!A611</f>
        <v>@viozulistia</v>
      </c>
      <c r="B611" s="12" t="str">
        <f>Absolute_Scores!B611</f>
        <v>Instagram</v>
      </c>
      <c r="C611" s="29">
        <f>Absolute_Scores!D611</f>
        <v>50</v>
      </c>
      <c r="D611" s="30">
        <f t="shared" si="27"/>
        <v>62.5</v>
      </c>
      <c r="F611" s="12" t="str">
        <f>Absolute_Scores!F611</f>
        <v>@assyifaa26_</v>
      </c>
      <c r="G611" s="12" t="str">
        <f>Absolute_Scores!G611</f>
        <v>Instagram</v>
      </c>
      <c r="H611" s="29">
        <f>Absolute_Scores!I611</f>
        <v>50</v>
      </c>
      <c r="I611" s="30">
        <f t="shared" si="28"/>
        <v>62.5</v>
      </c>
      <c r="K611" s="12" t="str">
        <f>Absolute_Scores!K611</f>
        <v>@zalfanadhira</v>
      </c>
      <c r="L611" s="12" t="str">
        <f>Absolute_Scores!L611</f>
        <v>Instagram</v>
      </c>
      <c r="M611" s="29">
        <f>Absolute_Scores!N611</f>
        <v>32</v>
      </c>
      <c r="N611" s="30">
        <f t="shared" si="29"/>
        <v>47.76</v>
      </c>
    </row>
    <row r="612" spans="1:14">
      <c r="A612" s="12" t="str">
        <f>Absolute_Scores!A612</f>
        <v>@vyen92</v>
      </c>
      <c r="B612" s="12" t="str">
        <f>Absolute_Scores!B612</f>
        <v>Instagram</v>
      </c>
      <c r="C612" s="29">
        <f>Absolute_Scores!D612</f>
        <v>50</v>
      </c>
      <c r="D612" s="30">
        <f t="shared" si="27"/>
        <v>62.5</v>
      </c>
      <c r="F612" s="12" t="str">
        <f>Absolute_Scores!F612</f>
        <v>@astuti.deny</v>
      </c>
      <c r="G612" s="12" t="str">
        <f>Absolute_Scores!G612</f>
        <v>Instagram</v>
      </c>
      <c r="H612" s="29">
        <f>Absolute_Scores!I612</f>
        <v>50</v>
      </c>
      <c r="I612" s="30">
        <f t="shared" si="28"/>
        <v>62.5</v>
      </c>
      <c r="K612" s="12" t="str">
        <f>Absolute_Scores!K612</f>
        <v>@adistyrnii_</v>
      </c>
      <c r="L612" s="12" t="str">
        <f>Absolute_Scores!L612</f>
        <v>TikTok</v>
      </c>
      <c r="M612" s="29">
        <f>Absolute_Scores!N612</f>
        <v>31</v>
      </c>
      <c r="N612" s="30">
        <f t="shared" si="29"/>
        <v>46.27</v>
      </c>
    </row>
    <row r="613" spans="1:14">
      <c r="A613" s="12" t="str">
        <f>Absolute_Scores!A613</f>
        <v>@wardah_yns</v>
      </c>
      <c r="B613" s="12" t="str">
        <f>Absolute_Scores!B613</f>
        <v>Instagram</v>
      </c>
      <c r="C613" s="29">
        <f>Absolute_Scores!D613</f>
        <v>50</v>
      </c>
      <c r="D613" s="30">
        <f t="shared" si="27"/>
        <v>62.5</v>
      </c>
      <c r="F613" s="12" t="str">
        <f>Absolute_Scores!F613</f>
        <v>@asyeraamajesti</v>
      </c>
      <c r="G613" s="12" t="str">
        <f>Absolute_Scores!G613</f>
        <v>TikTok</v>
      </c>
      <c r="H613" s="29">
        <f>Absolute_Scores!I613</f>
        <v>50</v>
      </c>
      <c r="I613" s="30">
        <f t="shared" si="28"/>
        <v>62.5</v>
      </c>
      <c r="K613" s="12" t="str">
        <f>Absolute_Scores!K613</f>
        <v>@anisahijr</v>
      </c>
      <c r="L613" s="12" t="str">
        <f>Absolute_Scores!L613</f>
        <v>Instagram</v>
      </c>
      <c r="M613" s="29">
        <f>Absolute_Scores!N613</f>
        <v>31</v>
      </c>
      <c r="N613" s="30">
        <f t="shared" si="29"/>
        <v>46.27</v>
      </c>
    </row>
    <row r="614" spans="1:14">
      <c r="A614" s="12" t="str">
        <f>Absolute_Scores!A614</f>
        <v>@wardahasyarqiyah_</v>
      </c>
      <c r="B614" s="12" t="str">
        <f>Absolute_Scores!B614</f>
        <v>Instagram</v>
      </c>
      <c r="C614" s="29">
        <f>Absolute_Scores!D614</f>
        <v>50</v>
      </c>
      <c r="D614" s="30">
        <f t="shared" si="27"/>
        <v>62.5</v>
      </c>
      <c r="F614" s="12" t="str">
        <f>Absolute_Scores!F614</f>
        <v>@asyla_r</v>
      </c>
      <c r="G614" s="12" t="str">
        <f>Absolute_Scores!G614</f>
        <v>TikTok</v>
      </c>
      <c r="H614" s="29">
        <f>Absolute_Scores!I614</f>
        <v>50</v>
      </c>
      <c r="I614" s="30">
        <f t="shared" si="28"/>
        <v>62.5</v>
      </c>
      <c r="K614" s="12" t="str">
        <f>Absolute_Scores!K614</f>
        <v>@bang__ashim</v>
      </c>
      <c r="L614" s="12" t="str">
        <f>Absolute_Scores!L614</f>
        <v>Instagram</v>
      </c>
      <c r="M614" s="29">
        <f>Absolute_Scores!N614</f>
        <v>31</v>
      </c>
      <c r="N614" s="30">
        <f t="shared" si="29"/>
        <v>46.27</v>
      </c>
    </row>
    <row r="615" spans="1:14">
      <c r="A615" s="12" t="str">
        <f>Absolute_Scores!A615</f>
        <v>@wddy.s</v>
      </c>
      <c r="B615" s="12" t="str">
        <f>Absolute_Scores!B615</f>
        <v>Instagram</v>
      </c>
      <c r="C615" s="29">
        <f>Absolute_Scores!D615</f>
        <v>50</v>
      </c>
      <c r="D615" s="30">
        <f t="shared" si="27"/>
        <v>62.5</v>
      </c>
      <c r="F615" s="12" t="str">
        <f>Absolute_Scores!F615</f>
        <v>@atin_nuratikah</v>
      </c>
      <c r="G615" s="12" t="str">
        <f>Absolute_Scores!G615</f>
        <v>Instagram</v>
      </c>
      <c r="H615" s="29">
        <f>Absolute_Scores!I615</f>
        <v>50</v>
      </c>
      <c r="I615" s="30">
        <f t="shared" si="28"/>
        <v>62.5</v>
      </c>
      <c r="K615" s="12" t="str">
        <f>Absolute_Scores!K615</f>
        <v>@bizzlexo</v>
      </c>
      <c r="L615" s="12" t="str">
        <f>Absolute_Scores!L615</f>
        <v>TikTok</v>
      </c>
      <c r="M615" s="29">
        <f>Absolute_Scores!N615</f>
        <v>31</v>
      </c>
      <c r="N615" s="30">
        <f t="shared" si="29"/>
        <v>46.27</v>
      </c>
    </row>
    <row r="616" spans="1:14">
      <c r="A616" s="12" t="str">
        <f>Absolute_Scores!A616</f>
        <v>@whinainti</v>
      </c>
      <c r="B616" s="12" t="str">
        <f>Absolute_Scores!B616</f>
        <v>Instagram</v>
      </c>
      <c r="C616" s="29">
        <f>Absolute_Scores!D616</f>
        <v>50</v>
      </c>
      <c r="D616" s="30">
        <f t="shared" si="27"/>
        <v>62.5</v>
      </c>
      <c r="F616" s="12" t="str">
        <f>Absolute_Scores!F616</f>
        <v>@atk_caa</v>
      </c>
      <c r="G616" s="12" t="str">
        <f>Absolute_Scores!G616</f>
        <v>Instagram</v>
      </c>
      <c r="H616" s="29">
        <f>Absolute_Scores!I616</f>
        <v>50</v>
      </c>
      <c r="I616" s="30">
        <f t="shared" si="28"/>
        <v>62.5</v>
      </c>
      <c r="K616" s="12" t="str">
        <f>Absolute_Scores!K616</f>
        <v>@bogor.terkini</v>
      </c>
      <c r="L616" s="12" t="str">
        <f>Absolute_Scores!L616</f>
        <v>Instagram</v>
      </c>
      <c r="M616" s="29">
        <f>Absolute_Scores!N616</f>
        <v>31</v>
      </c>
      <c r="N616" s="30">
        <f t="shared" si="29"/>
        <v>46.27</v>
      </c>
    </row>
    <row r="617" spans="1:14">
      <c r="A617" s="12" t="str">
        <f>Absolute_Scores!A617</f>
        <v>@widdamahesh03</v>
      </c>
      <c r="B617" s="12" t="str">
        <f>Absolute_Scores!B617</f>
        <v>Instagram</v>
      </c>
      <c r="C617" s="29">
        <f>Absolute_Scores!D617</f>
        <v>50</v>
      </c>
      <c r="D617" s="30">
        <f t="shared" si="27"/>
        <v>62.5</v>
      </c>
      <c r="F617" s="12" t="str">
        <f>Absolute_Scores!F617</f>
        <v>@atmosfour</v>
      </c>
      <c r="G617" s="12" t="str">
        <f>Absolute_Scores!G617</f>
        <v>TikTok</v>
      </c>
      <c r="H617" s="29">
        <f>Absolute_Scores!I617</f>
        <v>50</v>
      </c>
      <c r="I617" s="30">
        <f t="shared" si="28"/>
        <v>62.5</v>
      </c>
      <c r="K617" s="12" t="str">
        <f>Absolute_Scores!K617</f>
        <v>@carolinataliia</v>
      </c>
      <c r="L617" s="12" t="str">
        <f>Absolute_Scores!L617</f>
        <v>Instagram</v>
      </c>
      <c r="M617" s="29">
        <f>Absolute_Scores!N617</f>
        <v>31</v>
      </c>
      <c r="N617" s="30">
        <f t="shared" si="29"/>
        <v>46.27</v>
      </c>
    </row>
    <row r="618" spans="1:14">
      <c r="A618" s="12" t="str">
        <f>Absolute_Scores!A618</f>
        <v>@wiji95</v>
      </c>
      <c r="B618" s="12" t="str">
        <f>Absolute_Scores!B618</f>
        <v>Instagram</v>
      </c>
      <c r="C618" s="29">
        <f>Absolute_Scores!D618</f>
        <v>50</v>
      </c>
      <c r="D618" s="30">
        <f t="shared" si="27"/>
        <v>62.5</v>
      </c>
      <c r="F618" s="12" t="str">
        <f>Absolute_Scores!F618</f>
        <v>@atsaqafi</v>
      </c>
      <c r="G618" s="12" t="str">
        <f>Absolute_Scores!G618</f>
        <v>Instagram</v>
      </c>
      <c r="H618" s="29">
        <f>Absolute_Scores!I618</f>
        <v>50</v>
      </c>
      <c r="I618" s="30">
        <f t="shared" si="28"/>
        <v>62.5</v>
      </c>
      <c r="K618" s="12" t="str">
        <f>Absolute_Scores!K618</f>
        <v>@ceninin</v>
      </c>
      <c r="L618" s="12" t="str">
        <f>Absolute_Scores!L618</f>
        <v>TikTok</v>
      </c>
      <c r="M618" s="29">
        <f>Absolute_Scores!N618</f>
        <v>31</v>
      </c>
      <c r="N618" s="30">
        <f t="shared" si="29"/>
        <v>46.27</v>
      </c>
    </row>
    <row r="619" spans="1:14">
      <c r="A619" s="12" t="str">
        <f>Absolute_Scores!A619</f>
        <v>@wijjer_</v>
      </c>
      <c r="B619" s="12" t="str">
        <f>Absolute_Scores!B619</f>
        <v>Instagram</v>
      </c>
      <c r="C619" s="29">
        <f>Absolute_Scores!D619</f>
        <v>50</v>
      </c>
      <c r="D619" s="30">
        <f t="shared" si="27"/>
        <v>62.5</v>
      </c>
      <c r="F619" s="12" t="str">
        <f>Absolute_Scores!F619</f>
        <v>@audifzn</v>
      </c>
      <c r="G619" s="12" t="str">
        <f>Absolute_Scores!G619</f>
        <v>Instagram</v>
      </c>
      <c r="H619" s="29">
        <f>Absolute_Scores!I619</f>
        <v>50</v>
      </c>
      <c r="I619" s="30">
        <f t="shared" si="28"/>
        <v>62.5</v>
      </c>
      <c r="K619" s="12" t="str">
        <f>Absolute_Scores!K619</f>
        <v>@clarice.emerald</v>
      </c>
      <c r="L619" s="12" t="str">
        <f>Absolute_Scores!L619</f>
        <v>Instagram</v>
      </c>
      <c r="M619" s="29">
        <f>Absolute_Scores!N619</f>
        <v>31</v>
      </c>
      <c r="N619" s="30">
        <f t="shared" si="29"/>
        <v>46.27</v>
      </c>
    </row>
    <row r="620" spans="1:14">
      <c r="A620" s="12" t="str">
        <f>Absolute_Scores!A620</f>
        <v>@windi_budiharti</v>
      </c>
      <c r="B620" s="12" t="str">
        <f>Absolute_Scores!B620</f>
        <v>Instagram</v>
      </c>
      <c r="C620" s="29">
        <f>Absolute_Scores!D620</f>
        <v>50</v>
      </c>
      <c r="D620" s="30">
        <f t="shared" si="27"/>
        <v>62.5</v>
      </c>
      <c r="F620" s="12" t="str">
        <f>Absolute_Scores!F620</f>
        <v>@augstne95</v>
      </c>
      <c r="G620" s="12" t="str">
        <f>Absolute_Scores!G620</f>
        <v>Instagram</v>
      </c>
      <c r="H620" s="29">
        <f>Absolute_Scores!I620</f>
        <v>50</v>
      </c>
      <c r="I620" s="30">
        <f t="shared" si="28"/>
        <v>62.5</v>
      </c>
      <c r="K620" s="12" t="str">
        <f>Absolute_Scores!K620</f>
        <v>@dayangprtiwi</v>
      </c>
      <c r="L620" s="12" t="str">
        <f>Absolute_Scores!L620</f>
        <v>Instagram</v>
      </c>
      <c r="M620" s="29">
        <f>Absolute_Scores!N620</f>
        <v>31</v>
      </c>
      <c r="N620" s="30">
        <f t="shared" si="29"/>
        <v>46.27</v>
      </c>
    </row>
    <row r="621" spans="1:14">
      <c r="A621" s="12" t="str">
        <f>Absolute_Scores!A621</f>
        <v>@windyrismaa</v>
      </c>
      <c r="B621" s="12" t="str">
        <f>Absolute_Scores!B621</f>
        <v>Instagram</v>
      </c>
      <c r="C621" s="29">
        <f>Absolute_Scores!D621</f>
        <v>50</v>
      </c>
      <c r="D621" s="30">
        <f t="shared" si="27"/>
        <v>62.5</v>
      </c>
      <c r="F621" s="12" t="str">
        <f>Absolute_Scores!F621</f>
        <v>@aukk____</v>
      </c>
      <c r="G621" s="12" t="str">
        <f>Absolute_Scores!G621</f>
        <v>Instagram</v>
      </c>
      <c r="H621" s="29">
        <f>Absolute_Scores!I621</f>
        <v>50</v>
      </c>
      <c r="I621" s="30">
        <f t="shared" si="28"/>
        <v>62.5</v>
      </c>
      <c r="K621" s="12" t="str">
        <f>Absolute_Scores!K621</f>
        <v>@dee_vanz</v>
      </c>
      <c r="L621" s="12" t="str">
        <f>Absolute_Scores!L621</f>
        <v>Instagram</v>
      </c>
      <c r="M621" s="29">
        <f>Absolute_Scores!N621</f>
        <v>31</v>
      </c>
      <c r="N621" s="30">
        <f t="shared" si="29"/>
        <v>46.27</v>
      </c>
    </row>
    <row r="622" spans="1:14">
      <c r="A622" s="12" t="str">
        <f>Absolute_Scores!A622</f>
        <v>@withnisalia</v>
      </c>
      <c r="B622" s="12" t="str">
        <f>Absolute_Scores!B622</f>
        <v>Instagram</v>
      </c>
      <c r="C622" s="29">
        <f>Absolute_Scores!D622</f>
        <v>50</v>
      </c>
      <c r="D622" s="30">
        <f t="shared" si="27"/>
        <v>62.5</v>
      </c>
      <c r="F622" s="12" t="str">
        <f>Absolute_Scores!F622</f>
        <v>@aulia.nrz</v>
      </c>
      <c r="G622" s="12" t="str">
        <f>Absolute_Scores!G622</f>
        <v>TikTok</v>
      </c>
      <c r="H622" s="29">
        <f>Absolute_Scores!I622</f>
        <v>50</v>
      </c>
      <c r="I622" s="30">
        <f t="shared" si="28"/>
        <v>62.5</v>
      </c>
      <c r="K622" s="12" t="str">
        <f>Absolute_Scores!K622</f>
        <v>@delmiraprabu</v>
      </c>
      <c r="L622" s="12" t="str">
        <f>Absolute_Scores!L622</f>
        <v>Instagram</v>
      </c>
      <c r="M622" s="29">
        <f>Absolute_Scores!N622</f>
        <v>31</v>
      </c>
      <c r="N622" s="30">
        <f t="shared" si="29"/>
        <v>46.27</v>
      </c>
    </row>
    <row r="623" spans="1:14">
      <c r="A623" s="12" t="str">
        <f>Absolute_Scores!A623</f>
        <v>@yandigsa</v>
      </c>
      <c r="B623" s="12" t="str">
        <f>Absolute_Scores!B623</f>
        <v>Instagram</v>
      </c>
      <c r="C623" s="29">
        <f>Absolute_Scores!D623</f>
        <v>50</v>
      </c>
      <c r="D623" s="30">
        <f t="shared" si="27"/>
        <v>62.5</v>
      </c>
      <c r="F623" s="12" t="str">
        <f>Absolute_Scores!F623</f>
        <v>@auliaaaku_</v>
      </c>
      <c r="G623" s="12" t="str">
        <f>Absolute_Scores!G623</f>
        <v>Instagram</v>
      </c>
      <c r="H623" s="29">
        <f>Absolute_Scores!I623</f>
        <v>50</v>
      </c>
      <c r="I623" s="30">
        <f t="shared" si="28"/>
        <v>62.5</v>
      </c>
      <c r="K623" s="12" t="str">
        <f>Absolute_Scores!K623</f>
        <v>@depok24jam</v>
      </c>
      <c r="L623" s="12" t="str">
        <f>Absolute_Scores!L623</f>
        <v>Instagram</v>
      </c>
      <c r="M623" s="29">
        <f>Absolute_Scores!N623</f>
        <v>31</v>
      </c>
      <c r="N623" s="30">
        <f t="shared" si="29"/>
        <v>46.27</v>
      </c>
    </row>
    <row r="624" spans="1:14">
      <c r="A624" s="12" t="str">
        <f>Absolute_Scores!A624</f>
        <v>@yaninaayu</v>
      </c>
      <c r="B624" s="12" t="str">
        <f>Absolute_Scores!B624</f>
        <v>Instagram</v>
      </c>
      <c r="C624" s="29">
        <f>Absolute_Scores!D624</f>
        <v>50</v>
      </c>
      <c r="D624" s="30">
        <f t="shared" si="27"/>
        <v>62.5</v>
      </c>
      <c r="F624" s="12" t="str">
        <f>Absolute_Scores!F624</f>
        <v>@auliaamj</v>
      </c>
      <c r="G624" s="12" t="str">
        <f>Absolute_Scores!G624</f>
        <v>Instagram</v>
      </c>
      <c r="H624" s="29">
        <f>Absolute_Scores!I624</f>
        <v>50</v>
      </c>
      <c r="I624" s="30">
        <f t="shared" si="28"/>
        <v>62.5</v>
      </c>
      <c r="K624" s="12" t="str">
        <f>Absolute_Scores!K624</f>
        <v>@elysia_tania</v>
      </c>
      <c r="L624" s="12" t="str">
        <f>Absolute_Scores!L624</f>
        <v>Instagram</v>
      </c>
      <c r="M624" s="29">
        <f>Absolute_Scores!N624</f>
        <v>31</v>
      </c>
      <c r="N624" s="30">
        <f t="shared" si="29"/>
        <v>46.27</v>
      </c>
    </row>
    <row r="625" spans="1:14">
      <c r="A625" s="12" t="str">
        <f>Absolute_Scores!A625</f>
        <v>@yeni_setiyawati</v>
      </c>
      <c r="B625" s="12" t="str">
        <f>Absolute_Scores!B625</f>
        <v>Instagram</v>
      </c>
      <c r="C625" s="29">
        <f>Absolute_Scores!D625</f>
        <v>50</v>
      </c>
      <c r="D625" s="30">
        <f t="shared" si="27"/>
        <v>62.5</v>
      </c>
      <c r="F625" s="12" t="str">
        <f>Absolute_Scores!F625</f>
        <v>@auliamj</v>
      </c>
      <c r="G625" s="12" t="str">
        <f>Absolute_Scores!G625</f>
        <v>TikTok</v>
      </c>
      <c r="H625" s="29">
        <f>Absolute_Scores!I625</f>
        <v>50</v>
      </c>
      <c r="I625" s="30">
        <f t="shared" si="28"/>
        <v>62.5</v>
      </c>
      <c r="K625" s="12" t="str">
        <f>Absolute_Scores!K625</f>
        <v>@ibupedia_id</v>
      </c>
      <c r="L625" s="12" t="str">
        <f>Absolute_Scores!L625</f>
        <v>Instagram</v>
      </c>
      <c r="M625" s="29">
        <f>Absolute_Scores!N625</f>
        <v>31</v>
      </c>
      <c r="N625" s="30">
        <f t="shared" si="29"/>
        <v>46.27</v>
      </c>
    </row>
    <row r="626" spans="1:14">
      <c r="A626" s="12" t="str">
        <f>Absolute_Scores!A626</f>
        <v>@yenifarida93</v>
      </c>
      <c r="B626" s="12" t="str">
        <f>Absolute_Scores!B626</f>
        <v>Instagram</v>
      </c>
      <c r="C626" s="29">
        <f>Absolute_Scores!D626</f>
        <v>50</v>
      </c>
      <c r="D626" s="30">
        <f t="shared" si="27"/>
        <v>62.5</v>
      </c>
      <c r="F626" s="12" t="str">
        <f>Absolute_Scores!F626</f>
        <v>@aulianuzl</v>
      </c>
      <c r="G626" s="12" t="str">
        <f>Absolute_Scores!G626</f>
        <v>TikTok</v>
      </c>
      <c r="H626" s="29">
        <f>Absolute_Scores!I626</f>
        <v>50</v>
      </c>
      <c r="I626" s="30">
        <f t="shared" si="28"/>
        <v>62.5</v>
      </c>
      <c r="K626" s="12" t="str">
        <f>Absolute_Scores!K626</f>
        <v>@ig.syipaanr</v>
      </c>
      <c r="L626" s="12" t="str">
        <f>Absolute_Scores!L626</f>
        <v>TikTok</v>
      </c>
      <c r="M626" s="29">
        <f>Absolute_Scores!N626</f>
        <v>31</v>
      </c>
      <c r="N626" s="30">
        <f t="shared" si="29"/>
        <v>46.27</v>
      </c>
    </row>
    <row r="627" spans="1:14">
      <c r="A627" s="12" t="str">
        <f>Absolute_Scores!A627</f>
        <v>@yenirahma44</v>
      </c>
      <c r="B627" s="12" t="str">
        <f>Absolute_Scores!B627</f>
        <v>Instagram</v>
      </c>
      <c r="C627" s="29">
        <f>Absolute_Scores!D627</f>
        <v>50</v>
      </c>
      <c r="D627" s="30">
        <f t="shared" si="27"/>
        <v>62.5</v>
      </c>
      <c r="F627" s="12" t="str">
        <f>Absolute_Scores!F627</f>
        <v>@auraa.ths</v>
      </c>
      <c r="G627" s="12" t="str">
        <f>Absolute_Scores!G627</f>
        <v>Instagram</v>
      </c>
      <c r="H627" s="29">
        <f>Absolute_Scores!I627</f>
        <v>50</v>
      </c>
      <c r="I627" s="30">
        <f t="shared" si="28"/>
        <v>62.5</v>
      </c>
      <c r="K627" s="12" t="str">
        <f>Absolute_Scores!K627</f>
        <v>@info.jakartabarat</v>
      </c>
      <c r="L627" s="12" t="str">
        <f>Absolute_Scores!L627</f>
        <v>Instagram</v>
      </c>
      <c r="M627" s="29">
        <f>Absolute_Scores!N627</f>
        <v>31</v>
      </c>
      <c r="N627" s="30">
        <f t="shared" si="29"/>
        <v>46.27</v>
      </c>
    </row>
    <row r="628" spans="1:14">
      <c r="A628" s="12" t="str">
        <f>Absolute_Scores!A628</f>
        <v>@yennigow</v>
      </c>
      <c r="B628" s="12" t="str">
        <f>Absolute_Scores!B628</f>
        <v>Instagram</v>
      </c>
      <c r="C628" s="29">
        <f>Absolute_Scores!D628</f>
        <v>50</v>
      </c>
      <c r="D628" s="30">
        <f t="shared" si="27"/>
        <v>62.5</v>
      </c>
      <c r="F628" s="12" t="str">
        <f>Absolute_Scores!F628</f>
        <v>@austeniche</v>
      </c>
      <c r="G628" s="12" t="str">
        <f>Absolute_Scores!G628</f>
        <v>TikTok</v>
      </c>
      <c r="H628" s="29">
        <f>Absolute_Scores!I628</f>
        <v>50</v>
      </c>
      <c r="I628" s="30">
        <f t="shared" si="28"/>
        <v>62.5</v>
      </c>
      <c r="K628" s="12" t="str">
        <f>Absolute_Scores!K628</f>
        <v>@infotangerang.id</v>
      </c>
      <c r="L628" s="12" t="str">
        <f>Absolute_Scores!L628</f>
        <v>Instagram</v>
      </c>
      <c r="M628" s="29">
        <f>Absolute_Scores!N628</f>
        <v>31</v>
      </c>
      <c r="N628" s="30">
        <f t="shared" si="29"/>
        <v>46.27</v>
      </c>
    </row>
    <row r="629" spans="1:14">
      <c r="A629" s="12" t="str">
        <f>Absolute_Scores!A629</f>
        <v>@ysmnlbs</v>
      </c>
      <c r="B629" s="12" t="str">
        <f>Absolute_Scores!B629</f>
        <v>Instagram</v>
      </c>
      <c r="C629" s="29">
        <f>Absolute_Scores!D629</f>
        <v>50</v>
      </c>
      <c r="D629" s="30">
        <f t="shared" si="27"/>
        <v>62.5</v>
      </c>
      <c r="F629" s="12" t="str">
        <f>Absolute_Scores!F629</f>
        <v>@austinkohandfamily</v>
      </c>
      <c r="G629" s="12" t="str">
        <f>Absolute_Scores!G629</f>
        <v>TikTok</v>
      </c>
      <c r="H629" s="29">
        <f>Absolute_Scores!I629</f>
        <v>50</v>
      </c>
      <c r="I629" s="30">
        <f t="shared" si="28"/>
        <v>62.5</v>
      </c>
      <c r="K629" s="12" t="str">
        <f>Absolute_Scores!K629</f>
        <v>@jakartasiana</v>
      </c>
      <c r="L629" s="12" t="str">
        <f>Absolute_Scores!L629</f>
        <v>Instagram</v>
      </c>
      <c r="M629" s="29">
        <f>Absolute_Scores!N629</f>
        <v>31</v>
      </c>
      <c r="N629" s="30">
        <f t="shared" si="29"/>
        <v>46.27</v>
      </c>
    </row>
    <row r="630" spans="1:14">
      <c r="A630" s="12" t="str">
        <f>Absolute_Scores!A630</f>
        <v>@yuanita_aaa</v>
      </c>
      <c r="B630" s="12" t="str">
        <f>Absolute_Scores!B630</f>
        <v>Instagram</v>
      </c>
      <c r="C630" s="29">
        <f>Absolute_Scores!D630</f>
        <v>50</v>
      </c>
      <c r="D630" s="30">
        <f t="shared" si="27"/>
        <v>62.5</v>
      </c>
      <c r="F630" s="12" t="str">
        <f>Absolute_Scores!F630</f>
        <v>@averylss</v>
      </c>
      <c r="G630" s="12" t="str">
        <f>Absolute_Scores!G630</f>
        <v>TikTok</v>
      </c>
      <c r="H630" s="29">
        <f>Absolute_Scores!I630</f>
        <v>50</v>
      </c>
      <c r="I630" s="30">
        <f t="shared" si="28"/>
        <v>62.5</v>
      </c>
      <c r="K630" s="12" t="str">
        <f>Absolute_Scores!K630</f>
        <v>@justrismaa</v>
      </c>
      <c r="L630" s="12" t="str">
        <f>Absolute_Scores!L630</f>
        <v>Instagram</v>
      </c>
      <c r="M630" s="29">
        <f>Absolute_Scores!N630</f>
        <v>31</v>
      </c>
      <c r="N630" s="30">
        <f t="shared" si="29"/>
        <v>46.27</v>
      </c>
    </row>
    <row r="631" spans="1:14">
      <c r="A631" s="12" t="str">
        <f>Absolute_Scores!A631</f>
        <v>@yulianarnengtyas</v>
      </c>
      <c r="B631" s="12" t="str">
        <f>Absolute_Scores!B631</f>
        <v>Instagram</v>
      </c>
      <c r="C631" s="29">
        <f>Absolute_Scores!D631</f>
        <v>50</v>
      </c>
      <c r="D631" s="30">
        <f t="shared" si="27"/>
        <v>62.5</v>
      </c>
      <c r="F631" s="12" t="str">
        <f>Absolute_Scores!F631</f>
        <v>@awaleeyaa</v>
      </c>
      <c r="G631" s="12" t="str">
        <f>Absolute_Scores!G631</f>
        <v>TikTok</v>
      </c>
      <c r="H631" s="29">
        <f>Absolute_Scores!I631</f>
        <v>50</v>
      </c>
      <c r="I631" s="30">
        <f t="shared" si="28"/>
        <v>62.5</v>
      </c>
      <c r="K631" s="12" t="str">
        <f>Absolute_Scores!K631</f>
        <v>@lita.chan</v>
      </c>
      <c r="L631" s="12" t="str">
        <f>Absolute_Scores!L631</f>
        <v>Instagram</v>
      </c>
      <c r="M631" s="29">
        <f>Absolute_Scores!N631</f>
        <v>31</v>
      </c>
      <c r="N631" s="30">
        <f t="shared" si="29"/>
        <v>46.27</v>
      </c>
    </row>
    <row r="632" spans="1:14">
      <c r="A632" s="12" t="str">
        <f>Absolute_Scores!A632</f>
        <v>@yuniiapr</v>
      </c>
      <c r="B632" s="12" t="str">
        <f>Absolute_Scores!B632</f>
        <v>Instagram</v>
      </c>
      <c r="C632" s="29">
        <f>Absolute_Scores!D632</f>
        <v>50</v>
      </c>
      <c r="D632" s="30">
        <f t="shared" si="27"/>
        <v>62.5</v>
      </c>
      <c r="F632" s="12" t="str">
        <f>Absolute_Scores!F632</f>
        <v>@awl.ya</v>
      </c>
      <c r="G632" s="12" t="str">
        <f>Absolute_Scores!G632</f>
        <v>TikTok</v>
      </c>
      <c r="H632" s="29">
        <f>Absolute_Scores!I632</f>
        <v>50</v>
      </c>
      <c r="I632" s="30">
        <f t="shared" si="28"/>
        <v>62.5</v>
      </c>
      <c r="K632" s="12" t="str">
        <f>Absolute_Scores!K632</f>
        <v>@mfchaca</v>
      </c>
      <c r="L632" s="12" t="str">
        <f>Absolute_Scores!L632</f>
        <v>TikTok</v>
      </c>
      <c r="M632" s="29">
        <f>Absolute_Scores!N632</f>
        <v>31</v>
      </c>
      <c r="N632" s="30">
        <f t="shared" si="29"/>
        <v>46.27</v>
      </c>
    </row>
    <row r="633" spans="1:14">
      <c r="A633" s="12" t="str">
        <f>Absolute_Scores!A633</f>
        <v>@yunitanitaps</v>
      </c>
      <c r="B633" s="12" t="str">
        <f>Absolute_Scores!B633</f>
        <v>Instagram</v>
      </c>
      <c r="C633" s="29">
        <f>Absolute_Scores!D633</f>
        <v>50</v>
      </c>
      <c r="D633" s="30">
        <f t="shared" si="27"/>
        <v>62.5</v>
      </c>
      <c r="F633" s="12" t="str">
        <f>Absolute_Scores!F633</f>
        <v>@axplicit</v>
      </c>
      <c r="G633" s="12" t="str">
        <f>Absolute_Scores!G633</f>
        <v>TikTok</v>
      </c>
      <c r="H633" s="29">
        <f>Absolute_Scores!I633</f>
        <v>50</v>
      </c>
      <c r="I633" s="30">
        <f t="shared" si="28"/>
        <v>62.5</v>
      </c>
      <c r="K633" s="12" t="str">
        <f>Absolute_Scores!K633</f>
        <v>@moms_cia</v>
      </c>
      <c r="L633" s="12" t="str">
        <f>Absolute_Scores!L633</f>
        <v>Instagram</v>
      </c>
      <c r="M633" s="29">
        <f>Absolute_Scores!N633</f>
        <v>31</v>
      </c>
      <c r="N633" s="30">
        <f t="shared" si="29"/>
        <v>46.27</v>
      </c>
    </row>
    <row r="634" spans="1:14">
      <c r="A634" s="12" t="str">
        <f>Absolute_Scores!A634</f>
        <v>@zulherman_fm</v>
      </c>
      <c r="B634" s="12" t="str">
        <f>Absolute_Scores!B634</f>
        <v>Instagram</v>
      </c>
      <c r="C634" s="29">
        <f>Absolute_Scores!D634</f>
        <v>50</v>
      </c>
      <c r="D634" s="30">
        <f t="shared" si="27"/>
        <v>62.5</v>
      </c>
      <c r="F634" s="12" t="str">
        <f>Absolute_Scores!F634</f>
        <v>@aya_mdf</v>
      </c>
      <c r="G634" s="12" t="str">
        <f>Absolute_Scores!G634</f>
        <v>Instagram</v>
      </c>
      <c r="H634" s="29">
        <f>Absolute_Scores!I634</f>
        <v>50</v>
      </c>
      <c r="I634" s="30">
        <f t="shared" si="28"/>
        <v>62.5</v>
      </c>
      <c r="K634" s="12" t="str">
        <f>Absolute_Scores!K634</f>
        <v>@phonayzanethaa</v>
      </c>
      <c r="L634" s="12" t="str">
        <f>Absolute_Scores!L634</f>
        <v>Instagram</v>
      </c>
      <c r="M634" s="29">
        <f>Absolute_Scores!N634</f>
        <v>31</v>
      </c>
      <c r="N634" s="30">
        <f t="shared" si="29"/>
        <v>46.27</v>
      </c>
    </row>
    <row r="635" spans="1:14">
      <c r="A635" s="12" t="str">
        <f>Absolute_Scores!A635</f>
        <v>@arbanirezas</v>
      </c>
      <c r="B635" s="12" t="str">
        <f>Absolute_Scores!B635</f>
        <v>Instagram</v>
      </c>
      <c r="C635" s="29">
        <f>Absolute_Scores!D635</f>
        <v>49</v>
      </c>
      <c r="D635" s="30">
        <f t="shared" si="27"/>
        <v>61.25</v>
      </c>
      <c r="F635" s="12" t="str">
        <f>Absolute_Scores!F635</f>
        <v>@ayachoiriyah</v>
      </c>
      <c r="G635" s="12" t="str">
        <f>Absolute_Scores!G635</f>
        <v>TikTok</v>
      </c>
      <c r="H635" s="29">
        <f>Absolute_Scores!I635</f>
        <v>50</v>
      </c>
      <c r="I635" s="30">
        <f t="shared" si="28"/>
        <v>62.5</v>
      </c>
      <c r="K635" s="12" t="str">
        <f>Absolute_Scores!K635</f>
        <v>@ranyoomi</v>
      </c>
      <c r="L635" s="12" t="str">
        <f>Absolute_Scores!L635</f>
        <v>Instagram</v>
      </c>
      <c r="M635" s="29">
        <f>Absolute_Scores!N635</f>
        <v>31</v>
      </c>
      <c r="N635" s="30">
        <f t="shared" si="29"/>
        <v>46.27</v>
      </c>
    </row>
    <row r="636" spans="1:14">
      <c r="A636" s="12" t="str">
        <f>Absolute_Scores!A636</f>
        <v>@dennyalfary</v>
      </c>
      <c r="B636" s="12" t="str">
        <f>Absolute_Scores!B636</f>
        <v>Instagram</v>
      </c>
      <c r="C636" s="29">
        <f>Absolute_Scores!D636</f>
        <v>49</v>
      </c>
      <c r="D636" s="30">
        <f t="shared" si="27"/>
        <v>61.25</v>
      </c>
      <c r="F636" s="12" t="str">
        <f>Absolute_Scores!F636</f>
        <v>@ayamnyapahaatas</v>
      </c>
      <c r="G636" s="12" t="str">
        <f>Absolute_Scores!G636</f>
        <v>TikTok</v>
      </c>
      <c r="H636" s="29">
        <f>Absolute_Scores!I636</f>
        <v>50</v>
      </c>
      <c r="I636" s="30">
        <f t="shared" si="28"/>
        <v>62.5</v>
      </c>
      <c r="K636" s="12" t="str">
        <f>Absolute_Scores!K636</f>
        <v>@risasabilla_</v>
      </c>
      <c r="L636" s="12" t="str">
        <f>Absolute_Scores!L636</f>
        <v>Instagram</v>
      </c>
      <c r="M636" s="29">
        <f>Absolute_Scores!N636</f>
        <v>31</v>
      </c>
      <c r="N636" s="30">
        <f t="shared" si="29"/>
        <v>46.27</v>
      </c>
    </row>
    <row r="637" spans="1:14">
      <c r="A637" s="12" t="str">
        <f>Absolute_Scores!A637</f>
        <v>@ewihyy</v>
      </c>
      <c r="B637" s="12" t="str">
        <f>Absolute_Scores!B637</f>
        <v>Instagram</v>
      </c>
      <c r="C637" s="29">
        <f>Absolute_Scores!D637</f>
        <v>49</v>
      </c>
      <c r="D637" s="30">
        <f t="shared" si="27"/>
        <v>61.25</v>
      </c>
      <c r="F637" s="12" t="str">
        <f>Absolute_Scores!F637</f>
        <v>@ayu.ulfa.dewi</v>
      </c>
      <c r="G637" s="12" t="str">
        <f>Absolute_Scores!G637</f>
        <v>Instagram</v>
      </c>
      <c r="H637" s="29">
        <f>Absolute_Scores!I637</f>
        <v>50</v>
      </c>
      <c r="I637" s="30">
        <f t="shared" si="28"/>
        <v>62.5</v>
      </c>
      <c r="K637" s="12" t="str">
        <f>Absolute_Scores!K637</f>
        <v>@rollerblade</v>
      </c>
      <c r="L637" s="12" t="str">
        <f>Absolute_Scores!L637</f>
        <v>Instagram</v>
      </c>
      <c r="M637" s="29">
        <f>Absolute_Scores!N637</f>
        <v>31</v>
      </c>
      <c r="N637" s="30">
        <f t="shared" si="29"/>
        <v>46.27</v>
      </c>
    </row>
    <row r="638" spans="1:14">
      <c r="A638" s="12" t="str">
        <f>Absolute_Scores!A638</f>
        <v>@farislovitasari</v>
      </c>
      <c r="B638" s="12" t="str">
        <f>Absolute_Scores!B638</f>
        <v>Instagram</v>
      </c>
      <c r="C638" s="29">
        <f>Absolute_Scores!D638</f>
        <v>49</v>
      </c>
      <c r="D638" s="30">
        <f t="shared" si="27"/>
        <v>61.25</v>
      </c>
      <c r="F638" s="12" t="str">
        <f>Absolute_Scores!F638</f>
        <v>@ayudiie</v>
      </c>
      <c r="G638" s="12" t="str">
        <f>Absolute_Scores!G638</f>
        <v>TikTok</v>
      </c>
      <c r="H638" s="29">
        <f>Absolute_Scores!I638</f>
        <v>50</v>
      </c>
      <c r="I638" s="30">
        <f t="shared" si="28"/>
        <v>62.5</v>
      </c>
      <c r="K638" s="12" t="str">
        <f>Absolute_Scores!K638</f>
        <v>@shellayang</v>
      </c>
      <c r="L638" s="12" t="str">
        <f>Absolute_Scores!L638</f>
        <v>Instagram</v>
      </c>
      <c r="M638" s="29">
        <f>Absolute_Scores!N638</f>
        <v>31</v>
      </c>
      <c r="N638" s="30">
        <f t="shared" si="29"/>
        <v>46.27</v>
      </c>
    </row>
    <row r="639" spans="1:14">
      <c r="A639" s="12" t="str">
        <f>Absolute_Scores!A639</f>
        <v>@feliciatyrenz</v>
      </c>
      <c r="B639" s="12" t="str">
        <f>Absolute_Scores!B639</f>
        <v>Instagram</v>
      </c>
      <c r="C639" s="29">
        <f>Absolute_Scores!D639</f>
        <v>49</v>
      </c>
      <c r="D639" s="30">
        <f t="shared" si="27"/>
        <v>61.25</v>
      </c>
      <c r="F639" s="12" t="str">
        <f>Absolute_Scores!F639</f>
        <v>@ayukppip</v>
      </c>
      <c r="G639" s="12" t="str">
        <f>Absolute_Scores!G639</f>
        <v>TikTok</v>
      </c>
      <c r="H639" s="29">
        <f>Absolute_Scores!I639</f>
        <v>50</v>
      </c>
      <c r="I639" s="30">
        <f t="shared" si="28"/>
        <v>62.5</v>
      </c>
      <c r="K639" s="12" t="str">
        <f>Absolute_Scores!K639</f>
        <v>@tangerang.terkini</v>
      </c>
      <c r="L639" s="12" t="str">
        <f>Absolute_Scores!L639</f>
        <v>Instagram</v>
      </c>
      <c r="M639" s="29">
        <f>Absolute_Scores!N639</f>
        <v>31</v>
      </c>
      <c r="N639" s="30">
        <f t="shared" si="29"/>
        <v>46.27</v>
      </c>
    </row>
    <row r="640" spans="1:14">
      <c r="A640" s="12" t="str">
        <f>Absolute_Scores!A640</f>
        <v>@kristianita_dian</v>
      </c>
      <c r="B640" s="12" t="str">
        <f>Absolute_Scores!B640</f>
        <v>Instagram</v>
      </c>
      <c r="C640" s="29">
        <f>Absolute_Scores!D640</f>
        <v>49</v>
      </c>
      <c r="D640" s="30">
        <f t="shared" si="27"/>
        <v>61.25</v>
      </c>
      <c r="F640" s="12" t="str">
        <f>Absolute_Scores!F640</f>
        <v>@ayuktami_official</v>
      </c>
      <c r="G640" s="12" t="str">
        <f>Absolute_Scores!G640</f>
        <v>Instagram</v>
      </c>
      <c r="H640" s="29">
        <f>Absolute_Scores!I640</f>
        <v>50</v>
      </c>
      <c r="I640" s="30">
        <f t="shared" si="28"/>
        <v>62.5</v>
      </c>
      <c r="K640" s="12" t="str">
        <f>Absolute_Scores!K640</f>
        <v>@undercover.id</v>
      </c>
      <c r="L640" s="12" t="str">
        <f>Absolute_Scores!L640</f>
        <v>Instagram</v>
      </c>
      <c r="M640" s="29">
        <f>Absolute_Scores!N640</f>
        <v>31</v>
      </c>
      <c r="N640" s="30">
        <f t="shared" si="29"/>
        <v>46.27</v>
      </c>
    </row>
    <row r="641" spans="1:14">
      <c r="A641" s="12" t="str">
        <f>Absolute_Scores!A641</f>
        <v>@lahisyaghaysani</v>
      </c>
      <c r="B641" s="12" t="str">
        <f>Absolute_Scores!B641</f>
        <v>Instagram</v>
      </c>
      <c r="C641" s="29">
        <f>Absolute_Scores!D641</f>
        <v>49</v>
      </c>
      <c r="D641" s="30">
        <f t="shared" si="27"/>
        <v>61.25</v>
      </c>
      <c r="F641" s="12" t="str">
        <f>Absolute_Scores!F641</f>
        <v>@ayumikuu</v>
      </c>
      <c r="G641" s="12" t="str">
        <f>Absolute_Scores!G641</f>
        <v>Instagram</v>
      </c>
      <c r="H641" s="29">
        <f>Absolute_Scores!I641</f>
        <v>50</v>
      </c>
      <c r="I641" s="30">
        <f t="shared" si="28"/>
        <v>62.5</v>
      </c>
      <c r="K641" s="12" t="str">
        <f>Absolute_Scores!K641</f>
        <v>@wivina_fauzya</v>
      </c>
      <c r="L641" s="12" t="str">
        <f>Absolute_Scores!L641</f>
        <v>Instagram</v>
      </c>
      <c r="M641" s="29">
        <f>Absolute_Scores!N641</f>
        <v>31</v>
      </c>
      <c r="N641" s="30">
        <f t="shared" si="29"/>
        <v>46.27</v>
      </c>
    </row>
    <row r="642" spans="1:14">
      <c r="A642" s="12" t="str">
        <f>Absolute_Scores!A642</f>
        <v>@melysaha_</v>
      </c>
      <c r="B642" s="12" t="str">
        <f>Absolute_Scores!B642</f>
        <v>Instagram</v>
      </c>
      <c r="C642" s="29">
        <f>Absolute_Scores!D642</f>
        <v>49</v>
      </c>
      <c r="D642" s="30">
        <f t="shared" si="27"/>
        <v>61.25</v>
      </c>
      <c r="F642" s="12" t="str">
        <f>Absolute_Scores!F642</f>
        <v>@ayundash_</v>
      </c>
      <c r="G642" s="12" t="str">
        <f>Absolute_Scores!G642</f>
        <v>TikTok</v>
      </c>
      <c r="H642" s="29">
        <f>Absolute_Scores!I642</f>
        <v>50</v>
      </c>
      <c r="I642" s="30">
        <f t="shared" si="28"/>
        <v>62.5</v>
      </c>
      <c r="K642" s="12" t="str">
        <f>Absolute_Scores!K642</f>
        <v>@wr.gusnari</v>
      </c>
      <c r="L642" s="12" t="str">
        <f>Absolute_Scores!L642</f>
        <v>Instagram</v>
      </c>
      <c r="M642" s="29">
        <f>Absolute_Scores!N642</f>
        <v>31</v>
      </c>
      <c r="N642" s="30">
        <f t="shared" si="29"/>
        <v>46.27</v>
      </c>
    </row>
    <row r="643" spans="1:14">
      <c r="A643" s="12" t="str">
        <f>Absolute_Scores!A643</f>
        <v>@nadiyarawil</v>
      </c>
      <c r="B643" s="12" t="str">
        <f>Absolute_Scores!B643</f>
        <v>Instagram</v>
      </c>
      <c r="C643" s="29">
        <f>Absolute_Scores!D643</f>
        <v>49</v>
      </c>
      <c r="D643" s="30">
        <f t="shared" si="27"/>
        <v>61.25</v>
      </c>
      <c r="F643" s="12" t="str">
        <f>Absolute_Scores!F643</f>
        <v>@ayundashendy_</v>
      </c>
      <c r="G643" s="12" t="str">
        <f>Absolute_Scores!G643</f>
        <v>Instagram</v>
      </c>
      <c r="H643" s="29">
        <f>Absolute_Scores!I643</f>
        <v>50</v>
      </c>
      <c r="I643" s="30">
        <f t="shared" si="28"/>
        <v>62.5</v>
      </c>
      <c r="K643" s="12" t="str">
        <f>Absolute_Scores!K643</f>
        <v>@zalfanadhiraa</v>
      </c>
      <c r="L643" s="12" t="str">
        <f>Absolute_Scores!L643</f>
        <v>TikTok</v>
      </c>
      <c r="M643" s="29">
        <f>Absolute_Scores!N643</f>
        <v>31</v>
      </c>
      <c r="N643" s="30">
        <f t="shared" si="29"/>
        <v>46.27</v>
      </c>
    </row>
    <row r="644" spans="1:14">
      <c r="A644" s="12" t="str">
        <f>Absolute_Scores!A644</f>
        <v>@silvia_ratu</v>
      </c>
      <c r="B644" s="12" t="str">
        <f>Absolute_Scores!B644</f>
        <v>Instagram</v>
      </c>
      <c r="C644" s="29">
        <f>Absolute_Scores!D644</f>
        <v>49</v>
      </c>
      <c r="D644" s="30">
        <f t="shared" si="27"/>
        <v>61.25</v>
      </c>
      <c r="F644" s="12" t="str">
        <f>Absolute_Scores!F644</f>
        <v>@ayuni_reftalina</v>
      </c>
      <c r="G644" s="12" t="str">
        <f>Absolute_Scores!G644</f>
        <v>TikTok</v>
      </c>
      <c r="H644" s="29">
        <f>Absolute_Scores!I644</f>
        <v>50</v>
      </c>
      <c r="I644" s="30">
        <f t="shared" si="28"/>
        <v>62.5</v>
      </c>
      <c r="K644" s="12" t="str">
        <f>Absolute_Scores!K644</f>
        <v>@deeana_05</v>
      </c>
      <c r="L644" s="12" t="str">
        <f>Absolute_Scores!L644</f>
        <v>TikTok</v>
      </c>
      <c r="M644" s="29">
        <f>Absolute_Scores!N644</f>
        <v>30</v>
      </c>
      <c r="N644" s="30">
        <f t="shared" si="29"/>
        <v>44.78</v>
      </c>
    </row>
    <row r="645" spans="1:14">
      <c r="A645" s="12" t="str">
        <f>Absolute_Scores!A645</f>
        <v>@yuristissia</v>
      </c>
      <c r="B645" s="12" t="str">
        <f>Absolute_Scores!B645</f>
        <v>Instagram</v>
      </c>
      <c r="C645" s="29">
        <f>Absolute_Scores!D645</f>
        <v>49</v>
      </c>
      <c r="D645" s="30">
        <f t="shared" si="27"/>
        <v>61.25</v>
      </c>
      <c r="F645" s="12" t="str">
        <f>Absolute_Scores!F645</f>
        <v>@ayunoor.a</v>
      </c>
      <c r="G645" s="12" t="str">
        <f>Absolute_Scores!G645</f>
        <v>Instagram</v>
      </c>
      <c r="H645" s="29">
        <f>Absolute_Scores!I645</f>
        <v>50</v>
      </c>
      <c r="I645" s="30">
        <f t="shared" si="28"/>
        <v>62.5</v>
      </c>
      <c r="K645" s="12" t="str">
        <f>Absolute_Scores!K645</f>
        <v>@gracious_my</v>
      </c>
      <c r="L645" s="12" t="str">
        <f>Absolute_Scores!L645</f>
        <v>Instagram</v>
      </c>
      <c r="M645" s="29">
        <f>Absolute_Scores!N645</f>
        <v>30</v>
      </c>
      <c r="N645" s="30">
        <f t="shared" si="29"/>
        <v>44.78</v>
      </c>
    </row>
    <row r="646" spans="1:14">
      <c r="A646" s="12" t="str">
        <f>Absolute_Scores!A646</f>
        <v>@anifa.tamara</v>
      </c>
      <c r="B646" s="12" t="str">
        <f>Absolute_Scores!B646</f>
        <v>Instagram</v>
      </c>
      <c r="C646" s="29">
        <f>Absolute_Scores!D646</f>
        <v>48</v>
      </c>
      <c r="D646" s="30">
        <f t="shared" ref="D646:D709" si="30">ROUND(C646/$D$4*100,2)</f>
        <v>60</v>
      </c>
      <c r="F646" s="12" t="str">
        <f>Absolute_Scores!F646</f>
        <v>@ayuvidh</v>
      </c>
      <c r="G646" s="12" t="str">
        <f>Absolute_Scores!G646</f>
        <v>TikTok</v>
      </c>
      <c r="H646" s="29">
        <f>Absolute_Scores!I646</f>
        <v>50</v>
      </c>
      <c r="I646" s="30">
        <f t="shared" ref="I646:I709" si="31">ROUND(H646/$I$4*100,2)</f>
        <v>62.5</v>
      </c>
      <c r="K646" s="12" t="str">
        <f>Absolute_Scores!K646</f>
        <v>@ikkaprashee</v>
      </c>
      <c r="L646" s="12" t="str">
        <f>Absolute_Scores!L646</f>
        <v>Instagram</v>
      </c>
      <c r="M646" s="29">
        <f>Absolute_Scores!N646</f>
        <v>30</v>
      </c>
      <c r="N646" s="30">
        <f t="shared" ref="N646:N692" si="32">ROUND(M646/$N$4*100,2)</f>
        <v>44.78</v>
      </c>
    </row>
    <row r="647" spans="1:14">
      <c r="A647" s="12" t="str">
        <f>Absolute_Scores!A647</f>
        <v>@anthonysudarsono</v>
      </c>
      <c r="B647" s="12" t="str">
        <f>Absolute_Scores!B647</f>
        <v>Instagram</v>
      </c>
      <c r="C647" s="29">
        <f>Absolute_Scores!D647</f>
        <v>48</v>
      </c>
      <c r="D647" s="30">
        <f t="shared" si="30"/>
        <v>60</v>
      </c>
      <c r="F647" s="12" t="str">
        <f>Absolute_Scores!F647</f>
        <v>@ayyu7588</v>
      </c>
      <c r="G647" s="12" t="str">
        <f>Absolute_Scores!G647</f>
        <v>Instagram</v>
      </c>
      <c r="H647" s="29">
        <f>Absolute_Scores!I647</f>
        <v>50</v>
      </c>
      <c r="I647" s="30">
        <f t="shared" si="31"/>
        <v>62.5</v>
      </c>
      <c r="K647" s="12" t="str">
        <f>Absolute_Scores!K647</f>
        <v>@indozone.id</v>
      </c>
      <c r="L647" s="12" t="str">
        <f>Absolute_Scores!L647</f>
        <v>Instagram</v>
      </c>
      <c r="M647" s="29">
        <f>Absolute_Scores!N647</f>
        <v>30</v>
      </c>
      <c r="N647" s="30">
        <f t="shared" si="32"/>
        <v>44.78</v>
      </c>
    </row>
    <row r="648" spans="1:14">
      <c r="A648" s="12" t="str">
        <f>Absolute_Scores!A648</f>
        <v>@arfanafiif</v>
      </c>
      <c r="B648" s="12" t="str">
        <f>Absolute_Scores!B648</f>
        <v>Instagram</v>
      </c>
      <c r="C648" s="29">
        <f>Absolute_Scores!D648</f>
        <v>48</v>
      </c>
      <c r="D648" s="30">
        <f t="shared" si="30"/>
        <v>60</v>
      </c>
      <c r="F648" s="12" t="str">
        <f>Absolute_Scores!F648</f>
        <v>@azahhrr</v>
      </c>
      <c r="G648" s="12" t="str">
        <f>Absolute_Scores!G648</f>
        <v>TikTok</v>
      </c>
      <c r="H648" s="29">
        <f>Absolute_Scores!I648</f>
        <v>50</v>
      </c>
      <c r="I648" s="30">
        <f t="shared" si="31"/>
        <v>62.5</v>
      </c>
      <c r="K648" s="12" t="str">
        <f>Absolute_Scores!K648</f>
        <v>@jabodetabek.terkini</v>
      </c>
      <c r="L648" s="12" t="str">
        <f>Absolute_Scores!L648</f>
        <v>Instagram</v>
      </c>
      <c r="M648" s="29">
        <f>Absolute_Scores!N648</f>
        <v>30</v>
      </c>
      <c r="N648" s="30">
        <f t="shared" si="32"/>
        <v>44.78</v>
      </c>
    </row>
    <row r="649" spans="1:14">
      <c r="A649" s="12" t="str">
        <f>Absolute_Scores!A649</f>
        <v>@bilasuryanto</v>
      </c>
      <c r="B649" s="12" t="str">
        <f>Absolute_Scores!B649</f>
        <v>Instagram</v>
      </c>
      <c r="C649" s="29">
        <f>Absolute_Scores!D649</f>
        <v>48</v>
      </c>
      <c r="D649" s="30">
        <f t="shared" si="30"/>
        <v>60</v>
      </c>
      <c r="F649" s="12" t="str">
        <f>Absolute_Scores!F649</f>
        <v>@azahrahf</v>
      </c>
      <c r="G649" s="12" t="str">
        <f>Absolute_Scores!G649</f>
        <v>TikTok</v>
      </c>
      <c r="H649" s="29">
        <f>Absolute_Scores!I649</f>
        <v>50</v>
      </c>
      <c r="I649" s="30">
        <f t="shared" si="31"/>
        <v>62.5</v>
      </c>
      <c r="K649" s="12" t="str">
        <f>Absolute_Scores!K649</f>
        <v>@jenongtiktok</v>
      </c>
      <c r="L649" s="12" t="str">
        <f>Absolute_Scores!L649</f>
        <v>TikTok</v>
      </c>
      <c r="M649" s="29">
        <f>Absolute_Scores!N649</f>
        <v>30</v>
      </c>
      <c r="N649" s="30">
        <f t="shared" si="32"/>
        <v>44.78</v>
      </c>
    </row>
    <row r="650" spans="1:14">
      <c r="A650" s="12" t="str">
        <f>Absolute_Scores!A650</f>
        <v>@ellenterrence</v>
      </c>
      <c r="B650" s="12" t="str">
        <f>Absolute_Scores!B650</f>
        <v>Instagram</v>
      </c>
      <c r="C650" s="29">
        <f>Absolute_Scores!D650</f>
        <v>48</v>
      </c>
      <c r="D650" s="30">
        <f t="shared" si="30"/>
        <v>60</v>
      </c>
      <c r="F650" s="12" t="str">
        <f>Absolute_Scores!F650</f>
        <v>@azaleapute</v>
      </c>
      <c r="G650" s="12" t="str">
        <f>Absolute_Scores!G650</f>
        <v>Instagram</v>
      </c>
      <c r="H650" s="29">
        <f>Absolute_Scores!I650</f>
        <v>50</v>
      </c>
      <c r="I650" s="30">
        <f t="shared" si="31"/>
        <v>62.5</v>
      </c>
      <c r="K650" s="12" t="str">
        <f>Absolute_Scores!K650</f>
        <v>@kinesgamers</v>
      </c>
      <c r="L650" s="12" t="str">
        <f>Absolute_Scores!L650</f>
        <v>Instagram</v>
      </c>
      <c r="M650" s="29">
        <f>Absolute_Scores!N650</f>
        <v>30</v>
      </c>
      <c r="N650" s="30">
        <f t="shared" si="32"/>
        <v>44.78</v>
      </c>
    </row>
    <row r="651" spans="1:14">
      <c r="A651" s="12" t="str">
        <f>Absolute_Scores!A651</f>
        <v>@pevpearce</v>
      </c>
      <c r="B651" s="12" t="str">
        <f>Absolute_Scores!B651</f>
        <v>Instagram</v>
      </c>
      <c r="C651" s="29">
        <f>Absolute_Scores!D651</f>
        <v>48</v>
      </c>
      <c r="D651" s="30">
        <f t="shared" si="30"/>
        <v>60</v>
      </c>
      <c r="F651" s="12" t="str">
        <f>Absolute_Scores!F651</f>
        <v>@azaliyaay</v>
      </c>
      <c r="G651" s="12" t="str">
        <f>Absolute_Scores!G651</f>
        <v>TikTok</v>
      </c>
      <c r="H651" s="29">
        <f>Absolute_Scores!I651</f>
        <v>50</v>
      </c>
      <c r="I651" s="30">
        <f t="shared" si="31"/>
        <v>62.5</v>
      </c>
      <c r="K651" s="12" t="str">
        <f>Absolute_Scores!K651</f>
        <v>@nadi_ngopi</v>
      </c>
      <c r="L651" s="12" t="str">
        <f>Absolute_Scores!L651</f>
        <v>TikTok</v>
      </c>
      <c r="M651" s="29">
        <f>Absolute_Scores!N651</f>
        <v>30</v>
      </c>
      <c r="N651" s="30">
        <f t="shared" si="32"/>
        <v>44.78</v>
      </c>
    </row>
    <row r="652" spans="1:14">
      <c r="A652" s="12" t="str">
        <f>Absolute_Scores!A652</f>
        <v>@putryjeje</v>
      </c>
      <c r="B652" s="12" t="str">
        <f>Absolute_Scores!B652</f>
        <v>Instagram</v>
      </c>
      <c r="C652" s="29">
        <f>Absolute_Scores!D652</f>
        <v>48</v>
      </c>
      <c r="D652" s="30">
        <f t="shared" si="30"/>
        <v>60</v>
      </c>
      <c r="F652" s="12" t="str">
        <f>Absolute_Scores!F652</f>
        <v>@aziz_syaputra</v>
      </c>
      <c r="G652" s="12" t="str">
        <f>Absolute_Scores!G652</f>
        <v>TikTok</v>
      </c>
      <c r="H652" s="29">
        <f>Absolute_Scores!I652</f>
        <v>50</v>
      </c>
      <c r="I652" s="30">
        <f t="shared" si="31"/>
        <v>62.5</v>
      </c>
      <c r="K652" s="12" t="str">
        <f>Absolute_Scores!K652</f>
        <v>@naura_nca</v>
      </c>
      <c r="L652" s="12" t="str">
        <f>Absolute_Scores!L652</f>
        <v>Instagram</v>
      </c>
      <c r="M652" s="29">
        <f>Absolute_Scores!N652</f>
        <v>30</v>
      </c>
      <c r="N652" s="30">
        <f t="shared" si="32"/>
        <v>44.78</v>
      </c>
    </row>
    <row r="653" spans="1:14">
      <c r="A653" s="12" t="str">
        <f>Absolute_Scores!A653</f>
        <v>@raniashafira</v>
      </c>
      <c r="B653" s="12" t="str">
        <f>Absolute_Scores!B653</f>
        <v>Instagram</v>
      </c>
      <c r="C653" s="29">
        <f>Absolute_Scores!D653</f>
        <v>48</v>
      </c>
      <c r="D653" s="30">
        <f t="shared" si="30"/>
        <v>60</v>
      </c>
      <c r="F653" s="12" t="str">
        <f>Absolute_Scores!F653</f>
        <v>@azizahsalshaa</v>
      </c>
      <c r="G653" s="12" t="str">
        <f>Absolute_Scores!G653</f>
        <v>TikTok</v>
      </c>
      <c r="H653" s="29">
        <f>Absolute_Scores!I653</f>
        <v>50</v>
      </c>
      <c r="I653" s="30">
        <f t="shared" si="31"/>
        <v>62.5</v>
      </c>
      <c r="K653" s="12" t="str">
        <f>Absolute_Scores!K653</f>
        <v>@onya210</v>
      </c>
      <c r="L653" s="12" t="str">
        <f>Absolute_Scores!L653</f>
        <v>TikTok</v>
      </c>
      <c r="M653" s="29">
        <f>Absolute_Scores!N653</f>
        <v>30</v>
      </c>
      <c r="N653" s="30">
        <f t="shared" si="32"/>
        <v>44.78</v>
      </c>
    </row>
    <row r="654" spans="1:14">
      <c r="A654" s="12" t="str">
        <f>Absolute_Scores!A654</f>
        <v>@reginaseptinamainof</v>
      </c>
      <c r="B654" s="12" t="str">
        <f>Absolute_Scores!B654</f>
        <v>Instagram</v>
      </c>
      <c r="C654" s="29">
        <f>Absolute_Scores!D654</f>
        <v>48</v>
      </c>
      <c r="D654" s="30">
        <f t="shared" si="30"/>
        <v>60</v>
      </c>
      <c r="F654" s="12" t="str">
        <f>Absolute_Scores!F654</f>
        <v>@azkaalfi</v>
      </c>
      <c r="G654" s="12" t="str">
        <f>Absolute_Scores!G654</f>
        <v>Instagram</v>
      </c>
      <c r="H654" s="29">
        <f>Absolute_Scores!I654</f>
        <v>50</v>
      </c>
      <c r="I654" s="30">
        <f t="shared" si="31"/>
        <v>62.5</v>
      </c>
      <c r="K654" s="12" t="str">
        <f>Absolute_Scores!K654</f>
        <v>@rachmamalia</v>
      </c>
      <c r="L654" s="12" t="str">
        <f>Absolute_Scores!L654</f>
        <v>TikTok</v>
      </c>
      <c r="M654" s="29">
        <f>Absolute_Scores!N654</f>
        <v>30</v>
      </c>
      <c r="N654" s="30">
        <f t="shared" si="32"/>
        <v>44.78</v>
      </c>
    </row>
    <row r="655" spans="1:14">
      <c r="A655" s="12" t="str">
        <f>Absolute_Scores!A655</f>
        <v>@anisaframita</v>
      </c>
      <c r="B655" s="12" t="str">
        <f>Absolute_Scores!B655</f>
        <v>Instagram</v>
      </c>
      <c r="C655" s="29">
        <f>Absolute_Scores!D655</f>
        <v>47</v>
      </c>
      <c r="D655" s="30">
        <f t="shared" si="30"/>
        <v>58.75</v>
      </c>
      <c r="F655" s="12" t="str">
        <f>Absolute_Scores!F655</f>
        <v>@azkasachiorafif</v>
      </c>
      <c r="G655" s="12" t="str">
        <f>Absolute_Scores!G655</f>
        <v>Instagram</v>
      </c>
      <c r="H655" s="29">
        <f>Absolute_Scores!I655</f>
        <v>50</v>
      </c>
      <c r="I655" s="30">
        <f t="shared" si="31"/>
        <v>62.5</v>
      </c>
      <c r="K655" s="12" t="str">
        <f>Absolute_Scores!K655</f>
        <v>@store.kdi</v>
      </c>
      <c r="L655" s="12" t="str">
        <f>Absolute_Scores!L655</f>
        <v>Instagram</v>
      </c>
      <c r="M655" s="29">
        <f>Absolute_Scores!N655</f>
        <v>30</v>
      </c>
      <c r="N655" s="30">
        <f t="shared" si="32"/>
        <v>44.78</v>
      </c>
    </row>
    <row r="656" spans="1:14">
      <c r="A656" s="12" t="str">
        <f>Absolute_Scores!A656</f>
        <v>@arahardiant</v>
      </c>
      <c r="B656" s="12" t="str">
        <f>Absolute_Scores!B656</f>
        <v>Instagram</v>
      </c>
      <c r="C656" s="29">
        <f>Absolute_Scores!D656</f>
        <v>47</v>
      </c>
      <c r="D656" s="30">
        <f t="shared" si="30"/>
        <v>58.75</v>
      </c>
      <c r="F656" s="12" t="str">
        <f>Absolute_Scores!F656</f>
        <v>@azmannis</v>
      </c>
      <c r="G656" s="12" t="str">
        <f>Absolute_Scores!G656</f>
        <v>TikTok</v>
      </c>
      <c r="H656" s="29">
        <f>Absolute_Scores!I656</f>
        <v>50</v>
      </c>
      <c r="I656" s="30">
        <f t="shared" si="31"/>
        <v>62.5</v>
      </c>
      <c r="K656" s="12" t="str">
        <f>Absolute_Scores!K656</f>
        <v>@tasyadinikafajar3</v>
      </c>
      <c r="L656" s="12" t="str">
        <f>Absolute_Scores!L656</f>
        <v>TikTok</v>
      </c>
      <c r="M656" s="29">
        <f>Absolute_Scores!N656</f>
        <v>30</v>
      </c>
      <c r="N656" s="30">
        <f t="shared" si="32"/>
        <v>44.78</v>
      </c>
    </row>
    <row r="657" spans="1:14">
      <c r="A657" s="12" t="str">
        <f>Absolute_Scores!A657</f>
        <v>@asriwahyunirais</v>
      </c>
      <c r="B657" s="12" t="str">
        <f>Absolute_Scores!B657</f>
        <v>Instagram</v>
      </c>
      <c r="C657" s="29">
        <f>Absolute_Scores!D657</f>
        <v>47</v>
      </c>
      <c r="D657" s="30">
        <f t="shared" si="30"/>
        <v>58.75</v>
      </c>
      <c r="F657" s="12" t="str">
        <f>Absolute_Scores!F657</f>
        <v>@azzahra_3015</v>
      </c>
      <c r="G657" s="12" t="str">
        <f>Absolute_Scores!G657</f>
        <v>Instagram</v>
      </c>
      <c r="H657" s="29">
        <f>Absolute_Scores!I657</f>
        <v>50</v>
      </c>
      <c r="I657" s="30">
        <f t="shared" si="31"/>
        <v>62.5</v>
      </c>
      <c r="K657" s="12" t="str">
        <f>Absolute_Scores!K657</f>
        <v>@temanbumil</v>
      </c>
      <c r="L657" s="12" t="str">
        <f>Absolute_Scores!L657</f>
        <v>Instagram</v>
      </c>
      <c r="M657" s="29">
        <f>Absolute_Scores!N657</f>
        <v>30</v>
      </c>
      <c r="N657" s="30">
        <f t="shared" si="32"/>
        <v>44.78</v>
      </c>
    </row>
    <row r="658" spans="1:14">
      <c r="A658" s="12" t="str">
        <f>Absolute_Scores!A658</f>
        <v>@cittaf</v>
      </c>
      <c r="B658" s="12" t="str">
        <f>Absolute_Scores!B658</f>
        <v>Instagram</v>
      </c>
      <c r="C658" s="29">
        <f>Absolute_Scores!D658</f>
        <v>47</v>
      </c>
      <c r="D658" s="30">
        <f t="shared" si="30"/>
        <v>58.75</v>
      </c>
      <c r="F658" s="12" t="str">
        <f>Absolute_Scores!F658</f>
        <v>@azzahra.09_</v>
      </c>
      <c r="G658" s="12" t="str">
        <f>Absolute_Scores!G658</f>
        <v>TikTok</v>
      </c>
      <c r="H658" s="29">
        <f>Absolute_Scores!I658</f>
        <v>50</v>
      </c>
      <c r="I658" s="30">
        <f t="shared" si="31"/>
        <v>62.5</v>
      </c>
      <c r="K658" s="12" t="str">
        <f>Absolute_Scores!K658</f>
        <v>@wendyodixius</v>
      </c>
      <c r="L658" s="12" t="str">
        <f>Absolute_Scores!L658</f>
        <v>Instagram</v>
      </c>
      <c r="M658" s="29">
        <f>Absolute_Scores!N658</f>
        <v>30</v>
      </c>
      <c r="N658" s="30">
        <f t="shared" si="32"/>
        <v>44.78</v>
      </c>
    </row>
    <row r="659" spans="1:14">
      <c r="A659" s="12" t="str">
        <f>Absolute_Scores!A659</f>
        <v>@dewi.jalal</v>
      </c>
      <c r="B659" s="12" t="str">
        <f>Absolute_Scores!B659</f>
        <v>Instagram</v>
      </c>
      <c r="C659" s="29">
        <f>Absolute_Scores!D659</f>
        <v>47</v>
      </c>
      <c r="D659" s="30">
        <f t="shared" si="30"/>
        <v>58.75</v>
      </c>
      <c r="F659" s="12" t="str">
        <f>Absolute_Scores!F659</f>
        <v>@babygfw</v>
      </c>
      <c r="G659" s="12" t="str">
        <f>Absolute_Scores!G659</f>
        <v>Instagram</v>
      </c>
      <c r="H659" s="29">
        <f>Absolute_Scores!I659</f>
        <v>50</v>
      </c>
      <c r="I659" s="30">
        <f t="shared" si="31"/>
        <v>62.5</v>
      </c>
      <c r="K659" s="12" t="str">
        <f>Absolute_Scores!K659</f>
        <v>@andreadianbimo</v>
      </c>
      <c r="L659" s="12" t="str">
        <f>Absolute_Scores!L659</f>
        <v>Instagram</v>
      </c>
      <c r="M659" s="29">
        <f>Absolute_Scores!N659</f>
        <v>29</v>
      </c>
      <c r="N659" s="30">
        <f t="shared" si="32"/>
        <v>43.28</v>
      </c>
    </row>
    <row r="660" spans="1:14">
      <c r="A660" s="12" t="str">
        <f>Absolute_Scores!A660</f>
        <v>@dinshabina</v>
      </c>
      <c r="B660" s="12" t="str">
        <f>Absolute_Scores!B660</f>
        <v>Instagram</v>
      </c>
      <c r="C660" s="29">
        <f>Absolute_Scores!D660</f>
        <v>47</v>
      </c>
      <c r="D660" s="30">
        <f t="shared" si="30"/>
        <v>58.75</v>
      </c>
      <c r="F660" s="12" t="str">
        <f>Absolute_Scores!F660</f>
        <v>@babyzoezie</v>
      </c>
      <c r="G660" s="12" t="str">
        <f>Absolute_Scores!G660</f>
        <v>TikTok</v>
      </c>
      <c r="H660" s="29">
        <f>Absolute_Scores!I660</f>
        <v>50</v>
      </c>
      <c r="I660" s="30">
        <f t="shared" si="31"/>
        <v>62.5</v>
      </c>
      <c r="K660" s="12" t="str">
        <f>Absolute_Scores!K660</f>
        <v>@david_rizal</v>
      </c>
      <c r="L660" s="12" t="str">
        <f>Absolute_Scores!L660</f>
        <v>Instagram</v>
      </c>
      <c r="M660" s="29">
        <f>Absolute_Scores!N660</f>
        <v>29</v>
      </c>
      <c r="N660" s="30">
        <f t="shared" si="32"/>
        <v>43.28</v>
      </c>
    </row>
    <row r="661" spans="1:14">
      <c r="A661" s="12" t="str">
        <f>Absolute_Scores!A661</f>
        <v>@doktermedok</v>
      </c>
      <c r="B661" s="12" t="str">
        <f>Absolute_Scores!B661</f>
        <v>Instagram</v>
      </c>
      <c r="C661" s="29">
        <f>Absolute_Scores!D661</f>
        <v>47</v>
      </c>
      <c r="D661" s="30">
        <f t="shared" si="30"/>
        <v>58.75</v>
      </c>
      <c r="F661" s="12" t="str">
        <f>Absolute_Scores!F661</f>
        <v>@badiah_basyaib</v>
      </c>
      <c r="G661" s="12" t="str">
        <f>Absolute_Scores!G661</f>
        <v>Instagram</v>
      </c>
      <c r="H661" s="29">
        <f>Absolute_Scores!I661</f>
        <v>50</v>
      </c>
      <c r="I661" s="30">
        <f t="shared" si="31"/>
        <v>62.5</v>
      </c>
      <c r="K661" s="12" t="str">
        <f>Absolute_Scores!K661</f>
        <v>@eyuliarita</v>
      </c>
      <c r="L661" s="12" t="str">
        <f>Absolute_Scores!L661</f>
        <v>Instagram</v>
      </c>
      <c r="M661" s="29">
        <f>Absolute_Scores!N661</f>
        <v>29</v>
      </c>
      <c r="N661" s="30">
        <f t="shared" si="32"/>
        <v>43.28</v>
      </c>
    </row>
    <row r="662" spans="1:14">
      <c r="A662" s="12" t="str">
        <f>Absolute_Scores!A662</f>
        <v>@ekasriwahyni</v>
      </c>
      <c r="B662" s="12" t="str">
        <f>Absolute_Scores!B662</f>
        <v>Instagram</v>
      </c>
      <c r="C662" s="29">
        <f>Absolute_Scores!D662</f>
        <v>47</v>
      </c>
      <c r="D662" s="30">
        <f t="shared" si="30"/>
        <v>58.75</v>
      </c>
      <c r="F662" s="12" t="str">
        <f>Absolute_Scores!F662</f>
        <v>@badlanbamon</v>
      </c>
      <c r="G662" s="12" t="str">
        <f>Absolute_Scores!G662</f>
        <v>TikTok</v>
      </c>
      <c r="H662" s="29">
        <f>Absolute_Scores!I662</f>
        <v>50</v>
      </c>
      <c r="I662" s="30">
        <f t="shared" si="31"/>
        <v>62.5</v>
      </c>
      <c r="K662" s="12" t="str">
        <f>Absolute_Scores!K662</f>
        <v>@putryjeje</v>
      </c>
      <c r="L662" s="12" t="str">
        <f>Absolute_Scores!L662</f>
        <v>Instagram</v>
      </c>
      <c r="M662" s="29">
        <f>Absolute_Scores!N662</f>
        <v>29</v>
      </c>
      <c r="N662" s="30">
        <f t="shared" si="32"/>
        <v>43.28</v>
      </c>
    </row>
    <row r="663" spans="1:14">
      <c r="A663" s="12" t="str">
        <f>Absolute_Scores!A663</f>
        <v>@ibra.berkisah</v>
      </c>
      <c r="B663" s="12" t="str">
        <f>Absolute_Scores!B663</f>
        <v>Instagram</v>
      </c>
      <c r="C663" s="29">
        <f>Absolute_Scores!D663</f>
        <v>47</v>
      </c>
      <c r="D663" s="30">
        <f t="shared" si="30"/>
        <v>58.75</v>
      </c>
      <c r="F663" s="12" t="str">
        <f>Absolute_Scores!F663</f>
        <v>@baihakidisini</v>
      </c>
      <c r="G663" s="12" t="str">
        <f>Absolute_Scores!G663</f>
        <v>TikTok</v>
      </c>
      <c r="H663" s="29">
        <f>Absolute_Scores!I663</f>
        <v>50</v>
      </c>
      <c r="I663" s="30">
        <f t="shared" si="31"/>
        <v>62.5</v>
      </c>
      <c r="K663" s="12" t="str">
        <f>Absolute_Scores!K663</f>
        <v>@rinda_farhan</v>
      </c>
      <c r="L663" s="12" t="str">
        <f>Absolute_Scores!L663</f>
        <v>Instagram</v>
      </c>
      <c r="M663" s="29">
        <f>Absolute_Scores!N663</f>
        <v>29</v>
      </c>
      <c r="N663" s="30">
        <f t="shared" si="32"/>
        <v>43.28</v>
      </c>
    </row>
    <row r="664" spans="1:14">
      <c r="A664" s="12" t="str">
        <f>Absolute_Scores!A664</f>
        <v>@instagram</v>
      </c>
      <c r="B664" s="12" t="str">
        <f>Absolute_Scores!B664</f>
        <v>Instagram</v>
      </c>
      <c r="C664" s="29">
        <f>Absolute_Scores!D664</f>
        <v>47</v>
      </c>
      <c r="D664" s="30">
        <f t="shared" si="30"/>
        <v>58.75</v>
      </c>
      <c r="F664" s="12" t="str">
        <f>Absolute_Scores!F664</f>
        <v>@balitravelfolder</v>
      </c>
      <c r="G664" s="12" t="str">
        <f>Absolute_Scores!G664</f>
        <v>TikTok</v>
      </c>
      <c r="H664" s="29">
        <f>Absolute_Scores!I664</f>
        <v>50</v>
      </c>
      <c r="I664" s="30">
        <f t="shared" si="31"/>
        <v>62.5</v>
      </c>
      <c r="K664" s="12" t="str">
        <f>Absolute_Scores!K664</f>
        <v>@cittaf</v>
      </c>
      <c r="L664" s="12" t="str">
        <f>Absolute_Scores!L664</f>
        <v>Instagram</v>
      </c>
      <c r="M664" s="29">
        <f>Absolute_Scores!N664</f>
        <v>28</v>
      </c>
      <c r="N664" s="30">
        <f t="shared" si="32"/>
        <v>41.79</v>
      </c>
    </row>
    <row r="665" spans="1:14">
      <c r="A665" s="12" t="str">
        <f>Absolute_Scores!A665</f>
        <v>@lee.bella999</v>
      </c>
      <c r="B665" s="12" t="str">
        <f>Absolute_Scores!B665</f>
        <v>Instagram</v>
      </c>
      <c r="C665" s="29">
        <f>Absolute_Scores!D665</f>
        <v>47</v>
      </c>
      <c r="D665" s="30">
        <f t="shared" si="30"/>
        <v>58.75</v>
      </c>
      <c r="F665" s="12" t="str">
        <f>Absolute_Scores!F665</f>
        <v>@bangadiho</v>
      </c>
      <c r="G665" s="12" t="str">
        <f>Absolute_Scores!G665</f>
        <v>Instagram</v>
      </c>
      <c r="H665" s="29">
        <f>Absolute_Scores!I665</f>
        <v>50</v>
      </c>
      <c r="I665" s="30">
        <f t="shared" si="31"/>
        <v>62.5</v>
      </c>
      <c r="K665" s="12" t="str">
        <f>Absolute_Scores!K665</f>
        <v>@dianps2509</v>
      </c>
      <c r="L665" s="12" t="str">
        <f>Absolute_Scores!L665</f>
        <v>Instagram</v>
      </c>
      <c r="M665" s="29">
        <f>Absolute_Scores!N665</f>
        <v>28</v>
      </c>
      <c r="N665" s="30">
        <f t="shared" si="32"/>
        <v>41.79</v>
      </c>
    </row>
    <row r="666" spans="1:14">
      <c r="A666" s="12" t="str">
        <f>Absolute_Scores!A666</f>
        <v>@maggiekholine</v>
      </c>
      <c r="B666" s="12" t="str">
        <f>Absolute_Scores!B666</f>
        <v>Instagram</v>
      </c>
      <c r="C666" s="29">
        <f>Absolute_Scores!D666</f>
        <v>47</v>
      </c>
      <c r="D666" s="30">
        <f t="shared" si="30"/>
        <v>58.75</v>
      </c>
      <c r="F666" s="12" t="str">
        <f>Absolute_Scores!F666</f>
        <v>@bangbaud_</v>
      </c>
      <c r="G666" s="12" t="str">
        <f>Absolute_Scores!G666</f>
        <v>TikTok</v>
      </c>
      <c r="H666" s="29">
        <f>Absolute_Scores!I666</f>
        <v>50</v>
      </c>
      <c r="I666" s="30">
        <f t="shared" si="31"/>
        <v>62.5</v>
      </c>
      <c r="K666" s="12" t="str">
        <f>Absolute_Scores!K666</f>
        <v>@febestari</v>
      </c>
      <c r="L666" s="12" t="str">
        <f>Absolute_Scores!L666</f>
        <v>Instagram</v>
      </c>
      <c r="M666" s="29">
        <f>Absolute_Scores!N666</f>
        <v>28</v>
      </c>
      <c r="N666" s="30">
        <f t="shared" si="32"/>
        <v>41.79</v>
      </c>
    </row>
    <row r="667" spans="1:14">
      <c r="A667" s="12" t="str">
        <f>Absolute_Scores!A667</f>
        <v>@mitareny</v>
      </c>
      <c r="B667" s="12" t="str">
        <f>Absolute_Scores!B667</f>
        <v>Instagram</v>
      </c>
      <c r="C667" s="29">
        <f>Absolute_Scores!D667</f>
        <v>47</v>
      </c>
      <c r="D667" s="30">
        <f t="shared" si="30"/>
        <v>58.75</v>
      </c>
      <c r="F667" s="12" t="str">
        <f>Absolute_Scores!F667</f>
        <v>@bangkikis</v>
      </c>
      <c r="G667" s="12" t="str">
        <f>Absolute_Scores!G667</f>
        <v>TikTok</v>
      </c>
      <c r="H667" s="29">
        <f>Absolute_Scores!I667</f>
        <v>50</v>
      </c>
      <c r="I667" s="30">
        <f t="shared" si="31"/>
        <v>62.5</v>
      </c>
      <c r="K667" s="12" t="str">
        <f>Absolute_Scores!K667</f>
        <v>@media.virals</v>
      </c>
      <c r="L667" s="12" t="str">
        <f>Absolute_Scores!L667</f>
        <v>Instagram</v>
      </c>
      <c r="M667" s="29">
        <f>Absolute_Scores!N667</f>
        <v>28</v>
      </c>
      <c r="N667" s="30">
        <f t="shared" si="32"/>
        <v>41.79</v>
      </c>
    </row>
    <row r="668" spans="1:14">
      <c r="A668" s="12" t="str">
        <f>Absolute_Scores!A668</f>
        <v>@pwgofficial</v>
      </c>
      <c r="B668" s="12" t="str">
        <f>Absolute_Scores!B668</f>
        <v>Instagram</v>
      </c>
      <c r="C668" s="29">
        <f>Absolute_Scores!D668</f>
        <v>47</v>
      </c>
      <c r="D668" s="30">
        <f t="shared" si="30"/>
        <v>58.75</v>
      </c>
      <c r="F668" s="12" t="str">
        <f>Absolute_Scores!F668</f>
        <v>@barokmk</v>
      </c>
      <c r="G668" s="12" t="str">
        <f>Absolute_Scores!G668</f>
        <v>TikTok</v>
      </c>
      <c r="H668" s="29">
        <f>Absolute_Scores!I668</f>
        <v>50</v>
      </c>
      <c r="I668" s="30">
        <f t="shared" si="31"/>
        <v>62.5</v>
      </c>
      <c r="K668" s="12" t="str">
        <f>Absolute_Scores!K668</f>
        <v>@melisa.josiah</v>
      </c>
      <c r="L668" s="12" t="str">
        <f>Absolute_Scores!L668</f>
        <v>Instagram</v>
      </c>
      <c r="M668" s="29">
        <f>Absolute_Scores!N668</f>
        <v>28</v>
      </c>
      <c r="N668" s="30">
        <f t="shared" si="32"/>
        <v>41.79</v>
      </c>
    </row>
    <row r="669" spans="1:14">
      <c r="A669" s="12" t="str">
        <f>Absolute_Scores!A669</f>
        <v>@raniazzhr</v>
      </c>
      <c r="B669" s="12" t="str">
        <f>Absolute_Scores!B669</f>
        <v>Instagram</v>
      </c>
      <c r="C669" s="29">
        <f>Absolute_Scores!D669</f>
        <v>47</v>
      </c>
      <c r="D669" s="30">
        <f t="shared" si="30"/>
        <v>58.75</v>
      </c>
      <c r="F669" s="12" t="str">
        <f>Absolute_Scores!F669</f>
        <v>@baru_punya_mobil</v>
      </c>
      <c r="G669" s="12" t="str">
        <f>Absolute_Scores!G669</f>
        <v>TikTok</v>
      </c>
      <c r="H669" s="29">
        <f>Absolute_Scores!I669</f>
        <v>50</v>
      </c>
      <c r="I669" s="30">
        <f t="shared" si="31"/>
        <v>62.5</v>
      </c>
      <c r="K669" s="12" t="str">
        <f>Absolute_Scores!K669</f>
        <v>@monethmona</v>
      </c>
      <c r="L669" s="12" t="str">
        <f>Absolute_Scores!L669</f>
        <v>Instagram</v>
      </c>
      <c r="M669" s="29">
        <f>Absolute_Scores!N669</f>
        <v>28</v>
      </c>
      <c r="N669" s="30">
        <f t="shared" si="32"/>
        <v>41.79</v>
      </c>
    </row>
    <row r="670" spans="1:14">
      <c r="A670" s="12" t="str">
        <f>Absolute_Scores!A670</f>
        <v>@rhasiebatara</v>
      </c>
      <c r="B670" s="12" t="str">
        <f>Absolute_Scores!B670</f>
        <v>Instagram</v>
      </c>
      <c r="C670" s="29">
        <f>Absolute_Scores!D670</f>
        <v>47</v>
      </c>
      <c r="D670" s="30">
        <f t="shared" si="30"/>
        <v>58.75</v>
      </c>
      <c r="F670" s="12" t="str">
        <f>Absolute_Scores!F670</f>
        <v>@bayuilhambintang19</v>
      </c>
      <c r="G670" s="12" t="str">
        <f>Absolute_Scores!G670</f>
        <v>Instagram</v>
      </c>
      <c r="H670" s="29">
        <f>Absolute_Scores!I670</f>
        <v>50</v>
      </c>
      <c r="I670" s="30">
        <f t="shared" si="31"/>
        <v>62.5</v>
      </c>
      <c r="K670" s="12" t="str">
        <f>Absolute_Scores!K670</f>
        <v>@nadianinette</v>
      </c>
      <c r="L670" s="12" t="str">
        <f>Absolute_Scores!L670</f>
        <v>Instagram</v>
      </c>
      <c r="M670" s="29">
        <f>Absolute_Scores!N670</f>
        <v>28</v>
      </c>
      <c r="N670" s="30">
        <f t="shared" si="32"/>
        <v>41.79</v>
      </c>
    </row>
    <row r="671" spans="1:14">
      <c r="A671" s="12" t="str">
        <f>Absolute_Scores!A671</f>
        <v>@ria.ria14</v>
      </c>
      <c r="B671" s="12" t="str">
        <f>Absolute_Scores!B671</f>
        <v>Instagram</v>
      </c>
      <c r="C671" s="29">
        <f>Absolute_Scores!D671</f>
        <v>47</v>
      </c>
      <c r="D671" s="30">
        <f t="shared" si="30"/>
        <v>58.75</v>
      </c>
      <c r="F671" s="12" t="str">
        <f>Absolute_Scores!F671</f>
        <v>@bayusimerah</v>
      </c>
      <c r="G671" s="12" t="str">
        <f>Absolute_Scores!G671</f>
        <v>TikTok</v>
      </c>
      <c r="H671" s="29">
        <f>Absolute_Scores!I671</f>
        <v>50</v>
      </c>
      <c r="I671" s="30">
        <f t="shared" si="31"/>
        <v>62.5</v>
      </c>
      <c r="K671" s="12" t="str">
        <f>Absolute_Scores!K671</f>
        <v>@nanakoot</v>
      </c>
      <c r="L671" s="12" t="str">
        <f>Absolute_Scores!L671</f>
        <v>TikTok</v>
      </c>
      <c r="M671" s="29">
        <f>Absolute_Scores!N671</f>
        <v>28</v>
      </c>
      <c r="N671" s="30">
        <f t="shared" si="32"/>
        <v>41.79</v>
      </c>
    </row>
    <row r="672" spans="1:14">
      <c r="A672" s="12" t="str">
        <f>Absolute_Scores!A672</f>
        <v>@siskasaragih</v>
      </c>
      <c r="B672" s="12" t="str">
        <f>Absolute_Scores!B672</f>
        <v>Instagram</v>
      </c>
      <c r="C672" s="29">
        <f>Absolute_Scores!D672</f>
        <v>47</v>
      </c>
      <c r="D672" s="30">
        <f t="shared" si="30"/>
        <v>58.75</v>
      </c>
      <c r="F672" s="12" t="str">
        <f>Absolute_Scores!F672</f>
        <v>@bbyjiangell_</v>
      </c>
      <c r="G672" s="12" t="str">
        <f>Absolute_Scores!G672</f>
        <v>TikTok</v>
      </c>
      <c r="H672" s="29">
        <f>Absolute_Scores!I672</f>
        <v>50</v>
      </c>
      <c r="I672" s="30">
        <f t="shared" si="31"/>
        <v>62.5</v>
      </c>
      <c r="K672" s="12" t="str">
        <f>Absolute_Scores!K672</f>
        <v>@calistacherrie</v>
      </c>
      <c r="L672" s="12" t="str">
        <f>Absolute_Scores!L672</f>
        <v>Instagram</v>
      </c>
      <c r="M672" s="29">
        <f>Absolute_Scores!N672</f>
        <v>27</v>
      </c>
      <c r="N672" s="30">
        <f t="shared" si="32"/>
        <v>40.3</v>
      </c>
    </row>
    <row r="673" spans="1:14">
      <c r="A673" s="12" t="str">
        <f>Absolute_Scores!A673</f>
        <v>@syaharanieptr</v>
      </c>
      <c r="B673" s="12" t="str">
        <f>Absolute_Scores!B673</f>
        <v>Instagram</v>
      </c>
      <c r="C673" s="29">
        <f>Absolute_Scores!D673</f>
        <v>47</v>
      </c>
      <c r="D673" s="30">
        <f t="shared" si="30"/>
        <v>58.75</v>
      </c>
      <c r="F673" s="12" t="str">
        <f>Absolute_Scores!F673</f>
        <v>@bbyndaa27</v>
      </c>
      <c r="G673" s="12" t="str">
        <f>Absolute_Scores!G673</f>
        <v>TikTok</v>
      </c>
      <c r="H673" s="29">
        <f>Absolute_Scores!I673</f>
        <v>50</v>
      </c>
      <c r="I673" s="30">
        <f t="shared" si="31"/>
        <v>62.5</v>
      </c>
      <c r="K673" s="12" t="str">
        <f>Absolute_Scores!K673</f>
        <v>@claudia.yycin</v>
      </c>
      <c r="L673" s="12" t="str">
        <f>Absolute_Scores!L673</f>
        <v>Instagram</v>
      </c>
      <c r="M673" s="29">
        <f>Absolute_Scores!N673</f>
        <v>27</v>
      </c>
      <c r="N673" s="30">
        <f t="shared" si="32"/>
        <v>40.3</v>
      </c>
    </row>
    <row r="674" spans="1:14">
      <c r="A674" s="12" t="str">
        <f>Absolute_Scores!A674</f>
        <v>@valeriastahlk</v>
      </c>
      <c r="B674" s="12" t="str">
        <f>Absolute_Scores!B674</f>
        <v>Instagram</v>
      </c>
      <c r="C674" s="29">
        <f>Absolute_Scores!D674</f>
        <v>47</v>
      </c>
      <c r="D674" s="30">
        <f t="shared" si="30"/>
        <v>58.75</v>
      </c>
      <c r="F674" s="12" t="str">
        <f>Absolute_Scores!F674</f>
        <v>@be__ce</v>
      </c>
      <c r="G674" s="12" t="str">
        <f>Absolute_Scores!G674</f>
        <v>TikTok</v>
      </c>
      <c r="H674" s="29">
        <f>Absolute_Scores!I674</f>
        <v>50</v>
      </c>
      <c r="I674" s="30">
        <f t="shared" si="31"/>
        <v>62.5</v>
      </c>
      <c r="K674" s="12" t="str">
        <f>Absolute_Scores!K674</f>
        <v>@febbyrastanty</v>
      </c>
      <c r="L674" s="12" t="str">
        <f>Absolute_Scores!L674</f>
        <v>Instagram</v>
      </c>
      <c r="M674" s="29">
        <f>Absolute_Scores!N674</f>
        <v>27</v>
      </c>
      <c r="N674" s="30">
        <f t="shared" si="32"/>
        <v>40.3</v>
      </c>
    </row>
    <row r="675" spans="1:14">
      <c r="A675" s="12" t="str">
        <f>Absolute_Scores!A675</f>
        <v>@adit_insomnia</v>
      </c>
      <c r="B675" s="12" t="str">
        <f>Absolute_Scores!B675</f>
        <v>Instagram</v>
      </c>
      <c r="C675" s="29">
        <f>Absolute_Scores!D675</f>
        <v>46</v>
      </c>
      <c r="D675" s="30">
        <f t="shared" si="30"/>
        <v>57.5</v>
      </c>
      <c r="F675" s="12" t="str">
        <f>Absolute_Scores!F675</f>
        <v>@bebyenyen</v>
      </c>
      <c r="G675" s="12" t="str">
        <f>Absolute_Scores!G675</f>
        <v>Instagram</v>
      </c>
      <c r="H675" s="29">
        <f>Absolute_Scores!I675</f>
        <v>50</v>
      </c>
      <c r="I675" s="30">
        <f t="shared" si="31"/>
        <v>62.5</v>
      </c>
      <c r="K675" s="12" t="str">
        <f>Absolute_Scores!K675</f>
        <v>@kiaraleswara</v>
      </c>
      <c r="L675" s="12" t="str">
        <f>Absolute_Scores!L675</f>
        <v>Instagram</v>
      </c>
      <c r="M675" s="29">
        <f>Absolute_Scores!N675</f>
        <v>27</v>
      </c>
      <c r="N675" s="30">
        <f t="shared" si="32"/>
        <v>40.3</v>
      </c>
    </row>
    <row r="676" spans="1:14">
      <c r="A676" s="12" t="str">
        <f>Absolute_Scores!A676</f>
        <v>@alexeffendhy</v>
      </c>
      <c r="B676" s="12" t="str">
        <f>Absolute_Scores!B676</f>
        <v>Instagram</v>
      </c>
      <c r="C676" s="29">
        <f>Absolute_Scores!D676</f>
        <v>46</v>
      </c>
      <c r="D676" s="30">
        <f t="shared" si="30"/>
        <v>57.5</v>
      </c>
      <c r="F676" s="12" t="str">
        <f>Absolute_Scores!F676</f>
        <v>@bebyocha99</v>
      </c>
      <c r="G676" s="12" t="str">
        <f>Absolute_Scores!G676</f>
        <v>TikTok</v>
      </c>
      <c r="H676" s="29">
        <f>Absolute_Scores!I676</f>
        <v>50</v>
      </c>
      <c r="I676" s="30">
        <f t="shared" si="31"/>
        <v>62.5</v>
      </c>
      <c r="K676" s="12" t="str">
        <f>Absolute_Scores!K676</f>
        <v>@tarnandoete</v>
      </c>
      <c r="L676" s="12" t="str">
        <f>Absolute_Scores!L676</f>
        <v>Instagram</v>
      </c>
      <c r="M676" s="29">
        <f>Absolute_Scores!N676</f>
        <v>27</v>
      </c>
      <c r="N676" s="30">
        <f t="shared" si="32"/>
        <v>40.3</v>
      </c>
    </row>
    <row r="677" spans="1:14">
      <c r="A677" s="12" t="str">
        <f>Absolute_Scores!A677</f>
        <v>@andinih.erlangga</v>
      </c>
      <c r="B677" s="12" t="str">
        <f>Absolute_Scores!B677</f>
        <v>Instagram</v>
      </c>
      <c r="C677" s="29">
        <f>Absolute_Scores!D677</f>
        <v>46</v>
      </c>
      <c r="D677" s="30">
        <f t="shared" si="30"/>
        <v>57.5</v>
      </c>
      <c r="F677" s="12" t="str">
        <f>Absolute_Scores!F677</f>
        <v>@bee.febyy</v>
      </c>
      <c r="G677" s="12" t="str">
        <f>Absolute_Scores!G677</f>
        <v>Instagram</v>
      </c>
      <c r="H677" s="29">
        <f>Absolute_Scores!I677</f>
        <v>50</v>
      </c>
      <c r="I677" s="30">
        <f t="shared" si="31"/>
        <v>62.5</v>
      </c>
      <c r="K677" s="12" t="str">
        <f>Absolute_Scores!K677</f>
        <v>@biila___</v>
      </c>
      <c r="L677" s="12" t="str">
        <f>Absolute_Scores!L677</f>
        <v>Instagram</v>
      </c>
      <c r="M677" s="29">
        <f>Absolute_Scores!N677</f>
        <v>26</v>
      </c>
      <c r="N677" s="30">
        <f t="shared" si="32"/>
        <v>38.81</v>
      </c>
    </row>
    <row r="678" spans="1:14">
      <c r="A678" s="12" t="str">
        <f>Absolute_Scores!A678</f>
        <v>@anniska_suwasdy</v>
      </c>
      <c r="B678" s="12" t="str">
        <f>Absolute_Scores!B678</f>
        <v>Instagram</v>
      </c>
      <c r="C678" s="29">
        <f>Absolute_Scores!D678</f>
        <v>46</v>
      </c>
      <c r="D678" s="30">
        <f t="shared" si="30"/>
        <v>57.5</v>
      </c>
      <c r="F678" s="12" t="str">
        <f>Absolute_Scores!F678</f>
        <v>@beebiancaa</v>
      </c>
      <c r="G678" s="12" t="str">
        <f>Absolute_Scores!G678</f>
        <v>TikTok</v>
      </c>
      <c r="H678" s="29">
        <f>Absolute_Scores!I678</f>
        <v>50</v>
      </c>
      <c r="I678" s="30">
        <f t="shared" si="31"/>
        <v>62.5</v>
      </c>
      <c r="K678" s="12" t="str">
        <f>Absolute_Scores!K678</f>
        <v>@martinaahuang</v>
      </c>
      <c r="L678" s="12" t="str">
        <f>Absolute_Scores!L678</f>
        <v>Instagram</v>
      </c>
      <c r="M678" s="29">
        <f>Absolute_Scores!N678</f>
        <v>26</v>
      </c>
      <c r="N678" s="30">
        <f t="shared" si="32"/>
        <v>38.81</v>
      </c>
    </row>
    <row r="679" spans="1:14">
      <c r="A679" s="12" t="str">
        <f>Absolute_Scores!A679</f>
        <v>@bondol.jpg</v>
      </c>
      <c r="B679" s="12" t="str">
        <f>Absolute_Scores!B679</f>
        <v>Instagram</v>
      </c>
      <c r="C679" s="29">
        <f>Absolute_Scores!D679</f>
        <v>46</v>
      </c>
      <c r="D679" s="30">
        <f t="shared" si="30"/>
        <v>57.5</v>
      </c>
      <c r="F679" s="12" t="str">
        <f>Absolute_Scores!F679</f>
        <v>@belayaaaaa_</v>
      </c>
      <c r="G679" s="12" t="str">
        <f>Absolute_Scores!G679</f>
        <v>TikTok</v>
      </c>
      <c r="H679" s="29">
        <f>Absolute_Scores!I679</f>
        <v>50</v>
      </c>
      <c r="I679" s="30">
        <f t="shared" si="31"/>
        <v>62.5</v>
      </c>
      <c r="K679" s="12" t="str">
        <f>Absolute_Scores!K679</f>
        <v>@ratnatita</v>
      </c>
      <c r="L679" s="12" t="str">
        <f>Absolute_Scores!L679</f>
        <v>Instagram</v>
      </c>
      <c r="M679" s="29">
        <f>Absolute_Scores!N679</f>
        <v>26</v>
      </c>
      <c r="N679" s="30">
        <f t="shared" si="32"/>
        <v>38.81</v>
      </c>
    </row>
    <row r="680" spans="1:14">
      <c r="A680" s="12" t="str">
        <f>Absolute_Scores!A680</f>
        <v>@callin_lim</v>
      </c>
      <c r="B680" s="12" t="str">
        <f>Absolute_Scores!B680</f>
        <v>Instagram</v>
      </c>
      <c r="C680" s="29">
        <f>Absolute_Scores!D680</f>
        <v>46</v>
      </c>
      <c r="D680" s="30">
        <f t="shared" si="30"/>
        <v>57.5</v>
      </c>
      <c r="F680" s="12" t="str">
        <f>Absolute_Scores!F680</f>
        <v>@bellamarthasari18</v>
      </c>
      <c r="G680" s="12" t="str">
        <f>Absolute_Scores!G680</f>
        <v>TikTok</v>
      </c>
      <c r="H680" s="29">
        <f>Absolute_Scores!I680</f>
        <v>50</v>
      </c>
      <c r="I680" s="30">
        <f t="shared" si="31"/>
        <v>62.5</v>
      </c>
      <c r="K680" s="12" t="str">
        <f>Absolute_Scores!K680</f>
        <v>@sasyashena</v>
      </c>
      <c r="L680" s="12" t="str">
        <f>Absolute_Scores!L680</f>
        <v>Instagram</v>
      </c>
      <c r="M680" s="29">
        <f>Absolute_Scores!N680</f>
        <v>26</v>
      </c>
      <c r="N680" s="30">
        <f t="shared" si="32"/>
        <v>38.81</v>
      </c>
    </row>
    <row r="681" spans="1:14">
      <c r="A681" s="12" t="str">
        <f>Absolute_Scores!A681</f>
        <v>@dellaaseptt</v>
      </c>
      <c r="B681" s="12" t="str">
        <f>Absolute_Scores!B681</f>
        <v>Instagram</v>
      </c>
      <c r="C681" s="29">
        <f>Absolute_Scores!D681</f>
        <v>46</v>
      </c>
      <c r="D681" s="30">
        <f t="shared" si="30"/>
        <v>57.5</v>
      </c>
      <c r="F681" s="12" t="str">
        <f>Absolute_Scores!F681</f>
        <v>@belzelvel</v>
      </c>
      <c r="G681" s="12" t="str">
        <f>Absolute_Scores!G681</f>
        <v>TikTok</v>
      </c>
      <c r="H681" s="29">
        <f>Absolute_Scores!I681</f>
        <v>50</v>
      </c>
      <c r="I681" s="30">
        <f t="shared" si="31"/>
        <v>62.5</v>
      </c>
      <c r="K681" s="12" t="str">
        <f>Absolute_Scores!K681</f>
        <v>@tasyakamila</v>
      </c>
      <c r="L681" s="12" t="str">
        <f>Absolute_Scores!L681</f>
        <v>Instagram</v>
      </c>
      <c r="M681" s="29">
        <f>Absolute_Scores!N681</f>
        <v>26</v>
      </c>
      <c r="N681" s="30">
        <f t="shared" si="32"/>
        <v>38.81</v>
      </c>
    </row>
    <row r="682" spans="1:14">
      <c r="A682" s="12" t="str">
        <f>Absolute_Scores!A682</f>
        <v>@lenny.juwita</v>
      </c>
      <c r="B682" s="12" t="str">
        <f>Absolute_Scores!B682</f>
        <v>Instagram</v>
      </c>
      <c r="C682" s="29">
        <f>Absolute_Scores!D682</f>
        <v>46</v>
      </c>
      <c r="D682" s="30">
        <f t="shared" si="30"/>
        <v>57.5</v>
      </c>
      <c r="F682" s="12" t="str">
        <f>Absolute_Scores!F682</f>
        <v>@ben.onix</v>
      </c>
      <c r="G682" s="12" t="str">
        <f>Absolute_Scores!G682</f>
        <v>Instagram</v>
      </c>
      <c r="H682" s="29">
        <f>Absolute_Scores!I682</f>
        <v>50</v>
      </c>
      <c r="I682" s="30">
        <f t="shared" si="31"/>
        <v>62.5</v>
      </c>
      <c r="K682" s="12" t="str">
        <f>Absolute_Scores!K682</f>
        <v>@dwitakdewii</v>
      </c>
      <c r="L682" s="12" t="str">
        <f>Absolute_Scores!L682</f>
        <v>Instagram</v>
      </c>
      <c r="M682" s="29">
        <f>Absolute_Scores!N682</f>
        <v>25</v>
      </c>
      <c r="N682" s="30">
        <f t="shared" si="32"/>
        <v>37.31</v>
      </c>
    </row>
    <row r="683" spans="1:14">
      <c r="A683" s="12" t="str">
        <f>Absolute_Scores!A683</f>
        <v>@okywulandarii</v>
      </c>
      <c r="B683" s="12" t="str">
        <f>Absolute_Scores!B683</f>
        <v>Instagram</v>
      </c>
      <c r="C683" s="29">
        <f>Absolute_Scores!D683</f>
        <v>46</v>
      </c>
      <c r="D683" s="30">
        <f t="shared" si="30"/>
        <v>57.5</v>
      </c>
      <c r="F683" s="12" t="str">
        <f>Absolute_Scores!F683</f>
        <v>@bepeeekk</v>
      </c>
      <c r="G683" s="12" t="str">
        <f>Absolute_Scores!G683</f>
        <v>TikTok</v>
      </c>
      <c r="H683" s="29">
        <f>Absolute_Scores!I683</f>
        <v>50</v>
      </c>
      <c r="I683" s="30">
        <f t="shared" si="31"/>
        <v>62.5</v>
      </c>
      <c r="K683" s="12" t="str">
        <f>Absolute_Scores!K683</f>
        <v>@deliciousbali</v>
      </c>
      <c r="L683" s="12" t="str">
        <f>Absolute_Scores!L683</f>
        <v>Instagram</v>
      </c>
      <c r="M683" s="29">
        <f>Absolute_Scores!N683</f>
        <v>24</v>
      </c>
      <c r="N683" s="30">
        <f t="shared" si="32"/>
        <v>35.82</v>
      </c>
    </row>
    <row r="684" spans="1:14">
      <c r="A684" s="12" t="str">
        <f>Absolute_Scores!A684</f>
        <v>@putrighafar</v>
      </c>
      <c r="B684" s="12" t="str">
        <f>Absolute_Scores!B684</f>
        <v>Instagram</v>
      </c>
      <c r="C684" s="29">
        <f>Absolute_Scores!D684</f>
        <v>46</v>
      </c>
      <c r="D684" s="30">
        <f t="shared" si="30"/>
        <v>57.5</v>
      </c>
      <c r="F684" s="12" t="str">
        <f>Absolute_Scores!F684</f>
        <v>@beritaindonesia____</v>
      </c>
      <c r="G684" s="12" t="str">
        <f>Absolute_Scores!G684</f>
        <v>TikTok</v>
      </c>
      <c r="H684" s="29">
        <f>Absolute_Scores!I684</f>
        <v>50</v>
      </c>
      <c r="I684" s="30">
        <f t="shared" si="31"/>
        <v>62.5</v>
      </c>
      <c r="K684" s="12" t="str">
        <f>Absolute_Scores!K684</f>
        <v>@justvita28</v>
      </c>
      <c r="L684" s="12" t="str">
        <f>Absolute_Scores!L684</f>
        <v>Instagram</v>
      </c>
      <c r="M684" s="29">
        <f>Absolute_Scores!N684</f>
        <v>24</v>
      </c>
      <c r="N684" s="30">
        <f t="shared" si="32"/>
        <v>35.82</v>
      </c>
    </row>
    <row r="685" spans="1:14">
      <c r="A685" s="12" t="str">
        <f>Absolute_Scores!A685</f>
        <v>@sindyfungg</v>
      </c>
      <c r="B685" s="12" t="str">
        <f>Absolute_Scores!B685</f>
        <v>Instagram</v>
      </c>
      <c r="C685" s="29">
        <f>Absolute_Scores!D685</f>
        <v>46</v>
      </c>
      <c r="D685" s="30">
        <f t="shared" si="30"/>
        <v>57.5</v>
      </c>
      <c r="F685" s="12" t="str">
        <f>Absolute_Scores!F685</f>
        <v>@beritainspira_</v>
      </c>
      <c r="G685" s="12" t="str">
        <f>Absolute_Scores!G685</f>
        <v>TikTok</v>
      </c>
      <c r="H685" s="29">
        <f>Absolute_Scores!I685</f>
        <v>50</v>
      </c>
      <c r="I685" s="30">
        <f t="shared" si="31"/>
        <v>62.5</v>
      </c>
      <c r="K685" s="12" t="str">
        <f>Absolute_Scores!K685</f>
        <v>@puputmitha_</v>
      </c>
      <c r="L685" s="12" t="str">
        <f>Absolute_Scores!L685</f>
        <v>Instagram</v>
      </c>
      <c r="M685" s="29">
        <f>Absolute_Scores!N685</f>
        <v>24</v>
      </c>
      <c r="N685" s="30">
        <f t="shared" si="32"/>
        <v>35.82</v>
      </c>
    </row>
    <row r="686" spans="1:14">
      <c r="A686" s="12" t="str">
        <f>Absolute_Scores!A686</f>
        <v>@amyasriv</v>
      </c>
      <c r="B686" s="12" t="str">
        <f>Absolute_Scores!B686</f>
        <v>Instagram</v>
      </c>
      <c r="C686" s="29">
        <f>Absolute_Scores!D686</f>
        <v>45</v>
      </c>
      <c r="D686" s="30">
        <f t="shared" si="30"/>
        <v>56.25</v>
      </c>
      <c r="F686" s="12" t="str">
        <f>Absolute_Scores!F686</f>
        <v>@bestiebelin</v>
      </c>
      <c r="G686" s="12" t="str">
        <f>Absolute_Scores!G686</f>
        <v>TikTok</v>
      </c>
      <c r="H686" s="29">
        <f>Absolute_Scores!I686</f>
        <v>50</v>
      </c>
      <c r="I686" s="30">
        <f t="shared" si="31"/>
        <v>62.5</v>
      </c>
      <c r="K686" s="12" t="str">
        <f>Absolute_Scores!K686</f>
        <v>@scepynun</v>
      </c>
      <c r="L686" s="12" t="str">
        <f>Absolute_Scores!L686</f>
        <v>Instagram</v>
      </c>
      <c r="M686" s="29">
        <f>Absolute_Scores!N686</f>
        <v>24</v>
      </c>
      <c r="N686" s="30">
        <f t="shared" si="32"/>
        <v>35.82</v>
      </c>
    </row>
    <row r="687" spans="1:14">
      <c r="A687" s="12" t="str">
        <f>Absolute_Scores!A687</f>
        <v>@azizahannah</v>
      </c>
      <c r="B687" s="12" t="str">
        <f>Absolute_Scores!B687</f>
        <v>Instagram</v>
      </c>
      <c r="C687" s="29">
        <f>Absolute_Scores!D687</f>
        <v>45</v>
      </c>
      <c r="D687" s="30">
        <f t="shared" si="30"/>
        <v>56.25</v>
      </c>
      <c r="F687" s="12" t="str">
        <f>Absolute_Scores!F687</f>
        <v>@bforbilee</v>
      </c>
      <c r="G687" s="12" t="str">
        <f>Absolute_Scores!G687</f>
        <v>TikTok</v>
      </c>
      <c r="H687" s="29">
        <f>Absolute_Scores!I687</f>
        <v>50</v>
      </c>
      <c r="I687" s="30">
        <f t="shared" si="31"/>
        <v>62.5</v>
      </c>
      <c r="K687" s="12" t="str">
        <f>Absolute_Scores!K687</f>
        <v>@tellaaa09</v>
      </c>
      <c r="L687" s="12" t="str">
        <f>Absolute_Scores!L687</f>
        <v>Instagram</v>
      </c>
      <c r="M687" s="29">
        <f>Absolute_Scores!N687</f>
        <v>24</v>
      </c>
      <c r="N687" s="30">
        <f t="shared" si="32"/>
        <v>35.82</v>
      </c>
    </row>
    <row r="688" spans="1:14">
      <c r="A688" s="12" t="str">
        <f>Absolute_Scores!A688</f>
        <v>@bebyneyra</v>
      </c>
      <c r="B688" s="12" t="str">
        <f>Absolute_Scores!B688</f>
        <v>Instagram</v>
      </c>
      <c r="C688" s="29">
        <f>Absolute_Scores!D688</f>
        <v>45</v>
      </c>
      <c r="D688" s="30">
        <f t="shared" si="30"/>
        <v>56.25</v>
      </c>
      <c r="F688" s="12" t="str">
        <f>Absolute_Scores!F688</f>
        <v>@bgsjava</v>
      </c>
      <c r="G688" s="12" t="str">
        <f>Absolute_Scores!G688</f>
        <v>TikTok</v>
      </c>
      <c r="H688" s="29">
        <f>Absolute_Scores!I688</f>
        <v>50</v>
      </c>
      <c r="I688" s="30">
        <f t="shared" si="31"/>
        <v>62.5</v>
      </c>
      <c r="K688" s="12" t="str">
        <f>Absolute_Scores!K688</f>
        <v>@kumpulanresepmasak</v>
      </c>
      <c r="L688" s="12" t="str">
        <f>Absolute_Scores!L688</f>
        <v>Instagram</v>
      </c>
      <c r="M688" s="29">
        <f>Absolute_Scores!N688</f>
        <v>23</v>
      </c>
      <c r="N688" s="30">
        <f t="shared" si="32"/>
        <v>34.33</v>
      </c>
    </row>
    <row r="689" spans="1:14">
      <c r="A689" s="12" t="str">
        <f>Absolute_Scores!A689</f>
        <v>@captainbarbershopid</v>
      </c>
      <c r="B689" s="12" t="str">
        <f>Absolute_Scores!B689</f>
        <v>Instagram</v>
      </c>
      <c r="C689" s="29">
        <f>Absolute_Scores!D689</f>
        <v>45</v>
      </c>
      <c r="D689" s="30">
        <f t="shared" si="30"/>
        <v>56.25</v>
      </c>
      <c r="F689" s="12" t="str">
        <f>Absolute_Scores!F689</f>
        <v>@bianca_maura_filia</v>
      </c>
      <c r="G689" s="12" t="str">
        <f>Absolute_Scores!G689</f>
        <v>Instagram</v>
      </c>
      <c r="H689" s="29">
        <f>Absolute_Scores!I689</f>
        <v>50</v>
      </c>
      <c r="I689" s="30">
        <f t="shared" si="31"/>
        <v>62.5</v>
      </c>
      <c r="K689" s="12" t="str">
        <f>Absolute_Scores!K689</f>
        <v>@siresepbunda</v>
      </c>
      <c r="L689" s="12" t="str">
        <f>Absolute_Scores!L689</f>
        <v>Instagram</v>
      </c>
      <c r="M689" s="29">
        <f>Absolute_Scores!N689</f>
        <v>23</v>
      </c>
      <c r="N689" s="30">
        <f t="shared" si="32"/>
        <v>34.33</v>
      </c>
    </row>
    <row r="690" spans="1:14">
      <c r="A690" s="12" t="str">
        <f>Absolute_Scores!A690</f>
        <v>@dwiaay</v>
      </c>
      <c r="B690" s="12" t="str">
        <f>Absolute_Scores!B690</f>
        <v>Instagram</v>
      </c>
      <c r="C690" s="29">
        <f>Absolute_Scores!D690</f>
        <v>45</v>
      </c>
      <c r="D690" s="30">
        <f t="shared" si="30"/>
        <v>56.25</v>
      </c>
      <c r="F690" s="12" t="str">
        <f>Absolute_Scores!F690</f>
        <v>@bibulbib</v>
      </c>
      <c r="G690" s="12" t="str">
        <f>Absolute_Scores!G690</f>
        <v>TikTok</v>
      </c>
      <c r="H690" s="29">
        <f>Absolute_Scores!I690</f>
        <v>50</v>
      </c>
      <c r="I690" s="30">
        <f t="shared" si="31"/>
        <v>62.5</v>
      </c>
      <c r="K690" s="12" t="str">
        <f>Absolute_Scores!K690</f>
        <v>@erlina.ayu</v>
      </c>
      <c r="L690" s="12" t="str">
        <f>Absolute_Scores!L690</f>
        <v>Instagram</v>
      </c>
      <c r="M690" s="29">
        <f>Absolute_Scores!N690</f>
        <v>20</v>
      </c>
      <c r="N690" s="30">
        <f t="shared" si="32"/>
        <v>29.85</v>
      </c>
    </row>
    <row r="691" spans="1:14">
      <c r="A691" s="12" t="str">
        <f>Absolute_Scores!A691</f>
        <v>@faaarm.z</v>
      </c>
      <c r="B691" s="12" t="str">
        <f>Absolute_Scores!B691</f>
        <v>Instagram</v>
      </c>
      <c r="C691" s="29">
        <f>Absolute_Scores!D691</f>
        <v>45</v>
      </c>
      <c r="D691" s="30">
        <f t="shared" si="30"/>
        <v>56.25</v>
      </c>
      <c r="F691" s="12" t="str">
        <f>Absolute_Scores!F691</f>
        <v>@bidandewigurniingjambi</v>
      </c>
      <c r="G691" s="12" t="str">
        <f>Absolute_Scores!G691</f>
        <v>TikTok</v>
      </c>
      <c r="H691" s="29">
        <f>Absolute_Scores!I691</f>
        <v>50</v>
      </c>
      <c r="I691" s="30">
        <f t="shared" si="31"/>
        <v>62.5</v>
      </c>
      <c r="K691" s="12" t="str">
        <f>Absolute_Scores!K691</f>
        <v>@khadziyah_</v>
      </c>
      <c r="L691" s="12" t="str">
        <f>Absolute_Scores!L691</f>
        <v>Instagram</v>
      </c>
      <c r="M691" s="29">
        <f>Absolute_Scores!N691</f>
        <v>20</v>
      </c>
      <c r="N691" s="30">
        <f t="shared" si="32"/>
        <v>29.85</v>
      </c>
    </row>
    <row r="692" spans="1:14">
      <c r="A692" s="12" t="str">
        <f>Absolute_Scores!A692</f>
        <v>@fenny_fennyyy</v>
      </c>
      <c r="B692" s="12" t="str">
        <f>Absolute_Scores!B692</f>
        <v>Instagram</v>
      </c>
      <c r="C692" s="29">
        <f>Absolute_Scores!D692</f>
        <v>45</v>
      </c>
      <c r="D692" s="30">
        <f t="shared" si="30"/>
        <v>56.25</v>
      </c>
      <c r="F692" s="12" t="str">
        <f>Absolute_Scores!F692</f>
        <v>@bidarakirana</v>
      </c>
      <c r="G692" s="12" t="str">
        <f>Absolute_Scores!G692</f>
        <v>TikTok</v>
      </c>
      <c r="H692" s="29">
        <f>Absolute_Scores!I692</f>
        <v>50</v>
      </c>
      <c r="I692" s="30">
        <f t="shared" si="31"/>
        <v>62.5</v>
      </c>
      <c r="K692" s="12" t="str">
        <f>Absolute_Scores!K692</f>
        <v>@rrghufrona</v>
      </c>
      <c r="L692" s="12" t="str">
        <f>Absolute_Scores!L692</f>
        <v>Instagram</v>
      </c>
      <c r="M692" s="29">
        <f>Absolute_Scores!N692</f>
        <v>18</v>
      </c>
      <c r="N692" s="30">
        <f t="shared" si="32"/>
        <v>26.87</v>
      </c>
    </row>
    <row r="693" spans="1:14">
      <c r="A693" s="12" t="str">
        <f>Absolute_Scores!A693</f>
        <v>@hairnerdsstudio</v>
      </c>
      <c r="B693" s="12" t="str">
        <f>Absolute_Scores!B693</f>
        <v>Instagram</v>
      </c>
      <c r="C693" s="29">
        <f>Absolute_Scores!D693</f>
        <v>45</v>
      </c>
      <c r="D693" s="30">
        <f t="shared" si="30"/>
        <v>56.25</v>
      </c>
      <c r="F693" s="12" t="str">
        <f>Absolute_Scores!F693</f>
        <v>@biiittaa</v>
      </c>
      <c r="G693" s="12" t="str">
        <f>Absolute_Scores!G693</f>
        <v>TikTok</v>
      </c>
      <c r="H693" s="29">
        <f>Absolute_Scores!I693</f>
        <v>50</v>
      </c>
      <c r="I693" s="30">
        <f t="shared" si="31"/>
        <v>62.5</v>
      </c>
    </row>
    <row r="694" spans="1:14">
      <c r="A694" s="12" t="str">
        <f>Absolute_Scores!A694</f>
        <v>@mursyidzon</v>
      </c>
      <c r="B694" s="12" t="str">
        <f>Absolute_Scores!B694</f>
        <v>Instagram</v>
      </c>
      <c r="C694" s="29">
        <f>Absolute_Scores!D694</f>
        <v>45</v>
      </c>
      <c r="D694" s="30">
        <f t="shared" si="30"/>
        <v>56.25</v>
      </c>
      <c r="F694" s="12" t="str">
        <f>Absolute_Scores!F694</f>
        <v>@bil.lasyabilla</v>
      </c>
      <c r="G694" s="12" t="str">
        <f>Absolute_Scores!G694</f>
        <v>Instagram</v>
      </c>
      <c r="H694" s="29">
        <f>Absolute_Scores!I694</f>
        <v>50</v>
      </c>
      <c r="I694" s="30">
        <f t="shared" si="31"/>
        <v>62.5</v>
      </c>
    </row>
    <row r="695" spans="1:14">
      <c r="A695" s="12" t="str">
        <f>Absolute_Scores!A695</f>
        <v>@nsf_82</v>
      </c>
      <c r="B695" s="12" t="str">
        <f>Absolute_Scores!B695</f>
        <v>Instagram</v>
      </c>
      <c r="C695" s="29">
        <f>Absolute_Scores!D695</f>
        <v>45</v>
      </c>
      <c r="D695" s="30">
        <f t="shared" si="30"/>
        <v>56.25</v>
      </c>
      <c r="F695" s="12" t="str">
        <f>Absolute_Scores!F695</f>
        <v>@bilalfadh</v>
      </c>
      <c r="G695" s="12" t="str">
        <f>Absolute_Scores!G695</f>
        <v>TikTok</v>
      </c>
      <c r="H695" s="29">
        <f>Absolute_Scores!I695</f>
        <v>50</v>
      </c>
      <c r="I695" s="30">
        <f t="shared" si="31"/>
        <v>62.5</v>
      </c>
    </row>
    <row r="696" spans="1:14">
      <c r="A696" s="12" t="str">
        <f>Absolute_Scores!A696</f>
        <v>@onyahero</v>
      </c>
      <c r="B696" s="12" t="str">
        <f>Absolute_Scores!B696</f>
        <v>Instagram</v>
      </c>
      <c r="C696" s="29">
        <f>Absolute_Scores!D696</f>
        <v>45</v>
      </c>
      <c r="D696" s="30">
        <f t="shared" si="30"/>
        <v>56.25</v>
      </c>
      <c r="F696" s="12" t="str">
        <f>Absolute_Scores!F696</f>
        <v>@bilbawazier</v>
      </c>
      <c r="G696" s="12" t="str">
        <f>Absolute_Scores!G696</f>
        <v>TikTok</v>
      </c>
      <c r="H696" s="29">
        <f>Absolute_Scores!I696</f>
        <v>50</v>
      </c>
      <c r="I696" s="30">
        <f t="shared" si="31"/>
        <v>62.5</v>
      </c>
    </row>
    <row r="697" spans="1:14">
      <c r="A697" s="12" t="str">
        <f>Absolute_Scores!A697</f>
        <v>@putrypurwantika</v>
      </c>
      <c r="B697" s="12" t="str">
        <f>Absolute_Scores!B697</f>
        <v>Instagram</v>
      </c>
      <c r="C697" s="29">
        <f>Absolute_Scores!D697</f>
        <v>45</v>
      </c>
      <c r="D697" s="30">
        <f t="shared" si="30"/>
        <v>56.25</v>
      </c>
      <c r="F697" s="12" t="str">
        <f>Absolute_Scores!F697</f>
        <v>@billaazz</v>
      </c>
      <c r="G697" s="12" t="str">
        <f>Absolute_Scores!G697</f>
        <v>TikTok</v>
      </c>
      <c r="H697" s="29">
        <f>Absolute_Scores!I697</f>
        <v>50</v>
      </c>
      <c r="I697" s="30">
        <f t="shared" si="31"/>
        <v>62.5</v>
      </c>
    </row>
    <row r="698" spans="1:14">
      <c r="A698" s="12" t="str">
        <f>Absolute_Scores!A698</f>
        <v>@susijournal1509</v>
      </c>
      <c r="B698" s="12" t="str">
        <f>Absolute_Scores!B698</f>
        <v>Instagram</v>
      </c>
      <c r="C698" s="29">
        <f>Absolute_Scores!D698</f>
        <v>45</v>
      </c>
      <c r="D698" s="30">
        <f t="shared" si="30"/>
        <v>56.25</v>
      </c>
      <c r="F698" s="12" t="str">
        <f>Absolute_Scores!F698</f>
        <v>@binar_tika</v>
      </c>
      <c r="G698" s="12" t="str">
        <f>Absolute_Scores!G698</f>
        <v>TikTok</v>
      </c>
      <c r="H698" s="29">
        <f>Absolute_Scores!I698</f>
        <v>50</v>
      </c>
      <c r="I698" s="30">
        <f t="shared" si="31"/>
        <v>62.5</v>
      </c>
    </row>
    <row r="699" spans="1:14">
      <c r="A699" s="12" t="str">
        <f>Absolute_Scores!A699</f>
        <v>@theopasaribu_</v>
      </c>
      <c r="B699" s="12" t="str">
        <f>Absolute_Scores!B699</f>
        <v>Instagram</v>
      </c>
      <c r="C699" s="29">
        <f>Absolute_Scores!D699</f>
        <v>45</v>
      </c>
      <c r="D699" s="30">
        <f t="shared" si="30"/>
        <v>56.25</v>
      </c>
      <c r="F699" s="12" t="str">
        <f>Absolute_Scores!F699</f>
        <v>@bintangmaretta</v>
      </c>
      <c r="G699" s="12" t="str">
        <f>Absolute_Scores!G699</f>
        <v>Instagram</v>
      </c>
      <c r="H699" s="29">
        <f>Absolute_Scores!I699</f>
        <v>50</v>
      </c>
      <c r="I699" s="30">
        <f t="shared" si="31"/>
        <v>62.5</v>
      </c>
    </row>
    <row r="700" spans="1:14">
      <c r="A700" s="12" t="str">
        <f>Absolute_Scores!A700</f>
        <v>@uchiruhendi</v>
      </c>
      <c r="B700" s="12" t="str">
        <f>Absolute_Scores!B700</f>
        <v>Instagram</v>
      </c>
      <c r="C700" s="29">
        <f>Absolute_Scores!D700</f>
        <v>45</v>
      </c>
      <c r="D700" s="30">
        <f t="shared" si="30"/>
        <v>56.25</v>
      </c>
      <c r="F700" s="12" t="str">
        <f>Absolute_Scores!F700</f>
        <v>@bitcj4lyf</v>
      </c>
      <c r="G700" s="12" t="str">
        <f>Absolute_Scores!G700</f>
        <v>TikTok</v>
      </c>
      <c r="H700" s="29">
        <f>Absolute_Scores!I700</f>
        <v>50</v>
      </c>
      <c r="I700" s="30">
        <f t="shared" si="31"/>
        <v>62.5</v>
      </c>
    </row>
    <row r="701" spans="1:14">
      <c r="A701" s="12" t="str">
        <f>Absolute_Scores!A701</f>
        <v>@_ameliatriani</v>
      </c>
      <c r="B701" s="12" t="str">
        <f>Absolute_Scores!B701</f>
        <v>Instagram</v>
      </c>
      <c r="C701" s="29">
        <f>Absolute_Scores!D701</f>
        <v>44</v>
      </c>
      <c r="D701" s="30">
        <f t="shared" si="30"/>
        <v>55</v>
      </c>
      <c r="F701" s="12" t="str">
        <f>Absolute_Scores!F701</f>
        <v>@bitpply</v>
      </c>
      <c r="G701" s="12" t="str">
        <f>Absolute_Scores!G701</f>
        <v>TikTok</v>
      </c>
      <c r="H701" s="29">
        <f>Absolute_Scores!I701</f>
        <v>50</v>
      </c>
      <c r="I701" s="30">
        <f t="shared" si="31"/>
        <v>62.5</v>
      </c>
    </row>
    <row r="702" spans="1:14">
      <c r="A702" s="12" t="str">
        <f>Absolute_Scores!A702</f>
        <v>@_ifa.sl</v>
      </c>
      <c r="B702" s="12" t="str">
        <f>Absolute_Scores!B702</f>
        <v>Instagram</v>
      </c>
      <c r="C702" s="29">
        <f>Absolute_Scores!D702</f>
        <v>44</v>
      </c>
      <c r="D702" s="30">
        <f t="shared" si="30"/>
        <v>55</v>
      </c>
      <c r="F702" s="12" t="str">
        <f>Absolute_Scores!F702</f>
        <v>@bixxy.chan</v>
      </c>
      <c r="G702" s="12" t="str">
        <f>Absolute_Scores!G702</f>
        <v>Instagram</v>
      </c>
      <c r="H702" s="29">
        <f>Absolute_Scores!I702</f>
        <v>50</v>
      </c>
      <c r="I702" s="30">
        <f t="shared" si="31"/>
        <v>62.5</v>
      </c>
    </row>
    <row r="703" spans="1:14">
      <c r="A703" s="12" t="str">
        <f>Absolute_Scores!A703</f>
        <v>@20.atim</v>
      </c>
      <c r="B703" s="12" t="str">
        <f>Absolute_Scores!B703</f>
        <v>Instagram</v>
      </c>
      <c r="C703" s="29">
        <f>Absolute_Scores!D703</f>
        <v>44</v>
      </c>
      <c r="D703" s="30">
        <f t="shared" si="30"/>
        <v>55</v>
      </c>
      <c r="F703" s="12" t="str">
        <f>Absolute_Scores!F703</f>
        <v>@bizzlexo</v>
      </c>
      <c r="G703" s="12" t="str">
        <f>Absolute_Scores!G703</f>
        <v>TikTok</v>
      </c>
      <c r="H703" s="29">
        <f>Absolute_Scores!I703</f>
        <v>50</v>
      </c>
      <c r="I703" s="30">
        <f t="shared" si="31"/>
        <v>62.5</v>
      </c>
    </row>
    <row r="704" spans="1:14">
      <c r="A704" s="12" t="str">
        <f>Absolute_Scores!A704</f>
        <v>@a.nasrahma</v>
      </c>
      <c r="B704" s="12" t="str">
        <f>Absolute_Scores!B704</f>
        <v>Instagram</v>
      </c>
      <c r="C704" s="29">
        <f>Absolute_Scores!D704</f>
        <v>44</v>
      </c>
      <c r="D704" s="30">
        <f t="shared" si="30"/>
        <v>55</v>
      </c>
      <c r="F704" s="12" t="str">
        <f>Absolute_Scores!F704</f>
        <v>@bloginnara</v>
      </c>
      <c r="G704" s="12" t="str">
        <f>Absolute_Scores!G704</f>
        <v>TikTok</v>
      </c>
      <c r="H704" s="29">
        <f>Absolute_Scores!I704</f>
        <v>50</v>
      </c>
      <c r="I704" s="30">
        <f t="shared" si="31"/>
        <v>62.5</v>
      </c>
    </row>
    <row r="705" spans="1:9">
      <c r="A705" s="12" t="str">
        <f>Absolute_Scores!A705</f>
        <v>@addindaputri</v>
      </c>
      <c r="B705" s="12" t="str">
        <f>Absolute_Scores!B705</f>
        <v>Instagram</v>
      </c>
      <c r="C705" s="29">
        <f>Absolute_Scores!D705</f>
        <v>44</v>
      </c>
      <c r="D705" s="30">
        <f t="shared" si="30"/>
        <v>55</v>
      </c>
      <c r="F705" s="12" t="str">
        <f>Absolute_Scores!F705</f>
        <v>@boahancuk</v>
      </c>
      <c r="G705" s="12" t="str">
        <f>Absolute_Scores!G705</f>
        <v>TikTok</v>
      </c>
      <c r="H705" s="29">
        <f>Absolute_Scores!I705</f>
        <v>50</v>
      </c>
      <c r="I705" s="30">
        <f t="shared" si="31"/>
        <v>62.5</v>
      </c>
    </row>
    <row r="706" spans="1:9">
      <c r="A706" s="12" t="str">
        <f>Absolute_Scores!A706</f>
        <v>@adeaclaudiagunawan</v>
      </c>
      <c r="B706" s="12" t="str">
        <f>Absolute_Scores!B706</f>
        <v>Instagram</v>
      </c>
      <c r="C706" s="29">
        <f>Absolute_Scores!D706</f>
        <v>44</v>
      </c>
      <c r="D706" s="30">
        <f t="shared" si="30"/>
        <v>55</v>
      </c>
      <c r="F706" s="12" t="str">
        <f>Absolute_Scores!F706</f>
        <v>@bobahidup</v>
      </c>
      <c r="G706" s="12" t="str">
        <f>Absolute_Scores!G706</f>
        <v>TikTok</v>
      </c>
      <c r="H706" s="29">
        <f>Absolute_Scores!I706</f>
        <v>50</v>
      </c>
      <c r="I706" s="30">
        <f t="shared" si="31"/>
        <v>62.5</v>
      </c>
    </row>
    <row r="707" spans="1:9">
      <c r="A707" s="12" t="str">
        <f>Absolute_Scores!A707</f>
        <v>@adelastfriend</v>
      </c>
      <c r="B707" s="12" t="str">
        <f>Absolute_Scores!B707</f>
        <v>Instagram</v>
      </c>
      <c r="C707" s="29">
        <f>Absolute_Scores!D707</f>
        <v>44</v>
      </c>
      <c r="D707" s="30">
        <f t="shared" si="30"/>
        <v>55</v>
      </c>
      <c r="F707" s="12" t="str">
        <f>Absolute_Scores!F707</f>
        <v>@bobbysaputraaaa</v>
      </c>
      <c r="G707" s="12" t="str">
        <f>Absolute_Scores!G707</f>
        <v>TikTok</v>
      </c>
      <c r="H707" s="29">
        <f>Absolute_Scores!I707</f>
        <v>50</v>
      </c>
      <c r="I707" s="30">
        <f t="shared" si="31"/>
        <v>62.5</v>
      </c>
    </row>
    <row r="708" spans="1:9">
      <c r="A708" s="12" t="str">
        <f>Absolute_Scores!A708</f>
        <v>@adhis_lilstar</v>
      </c>
      <c r="B708" s="12" t="str">
        <f>Absolute_Scores!B708</f>
        <v>Instagram</v>
      </c>
      <c r="C708" s="29">
        <f>Absolute_Scores!D708</f>
        <v>44</v>
      </c>
      <c r="D708" s="30">
        <f t="shared" si="30"/>
        <v>55</v>
      </c>
      <c r="F708" s="12" t="str">
        <f>Absolute_Scores!F708</f>
        <v>@bobysuardii</v>
      </c>
      <c r="G708" s="12" t="str">
        <f>Absolute_Scores!G708</f>
        <v>Instagram</v>
      </c>
      <c r="H708" s="29">
        <f>Absolute_Scores!I708</f>
        <v>50</v>
      </c>
      <c r="I708" s="30">
        <f t="shared" si="31"/>
        <v>62.5</v>
      </c>
    </row>
    <row r="709" spans="1:9">
      <c r="A709" s="12" t="str">
        <f>Absolute_Scores!A709</f>
        <v>@adindadwa</v>
      </c>
      <c r="B709" s="12" t="str">
        <f>Absolute_Scores!B709</f>
        <v>Instagram</v>
      </c>
      <c r="C709" s="29">
        <f>Absolute_Scores!D709</f>
        <v>44</v>
      </c>
      <c r="D709" s="30">
        <f t="shared" si="30"/>
        <v>55</v>
      </c>
      <c r="F709" s="12" t="str">
        <f>Absolute_Scores!F709</f>
        <v>@bonbineu</v>
      </c>
      <c r="G709" s="12" t="str">
        <f>Absolute_Scores!G709</f>
        <v>TikTok</v>
      </c>
      <c r="H709" s="29">
        <f>Absolute_Scores!I709</f>
        <v>50</v>
      </c>
      <c r="I709" s="30">
        <f t="shared" si="31"/>
        <v>62.5</v>
      </c>
    </row>
    <row r="710" spans="1:9">
      <c r="A710" s="12" t="str">
        <f>Absolute_Scores!A710</f>
        <v>@agrilisaafinta</v>
      </c>
      <c r="B710" s="12" t="str">
        <f>Absolute_Scores!B710</f>
        <v>Instagram</v>
      </c>
      <c r="C710" s="29">
        <f>Absolute_Scores!D710</f>
        <v>44</v>
      </c>
      <c r="D710" s="30">
        <f t="shared" ref="D710:D773" si="33">ROUND(C710/$D$4*100,2)</f>
        <v>55</v>
      </c>
      <c r="F710" s="12" t="str">
        <f>Absolute_Scores!F710</f>
        <v>@borukukuss</v>
      </c>
      <c r="G710" s="12" t="str">
        <f>Absolute_Scores!G710</f>
        <v>TikTok</v>
      </c>
      <c r="H710" s="29">
        <f>Absolute_Scores!I710</f>
        <v>50</v>
      </c>
      <c r="I710" s="30">
        <f t="shared" ref="I710:I773" si="34">ROUND(H710/$I$4*100,2)</f>
        <v>62.5</v>
      </c>
    </row>
    <row r="711" spans="1:9">
      <c r="A711" s="12" t="str">
        <f>Absolute_Scores!A711</f>
        <v>@ai.aisia</v>
      </c>
      <c r="B711" s="12" t="str">
        <f>Absolute_Scores!B711</f>
        <v>Instagram</v>
      </c>
      <c r="C711" s="29">
        <f>Absolute_Scores!D711</f>
        <v>44</v>
      </c>
      <c r="D711" s="30">
        <f t="shared" si="33"/>
        <v>55</v>
      </c>
      <c r="F711" s="12" t="str">
        <f>Absolute_Scores!F711</f>
        <v>@bosenajadirumah</v>
      </c>
      <c r="G711" s="12" t="str">
        <f>Absolute_Scores!G711</f>
        <v>TikTok</v>
      </c>
      <c r="H711" s="29">
        <f>Absolute_Scores!I711</f>
        <v>50</v>
      </c>
      <c r="I711" s="30">
        <f t="shared" si="34"/>
        <v>62.5</v>
      </c>
    </row>
    <row r="712" spans="1:9">
      <c r="A712" s="12" t="str">
        <f>Absolute_Scores!A712</f>
        <v>@ain_chaariro</v>
      </c>
      <c r="B712" s="12" t="str">
        <f>Absolute_Scores!B712</f>
        <v>Instagram</v>
      </c>
      <c r="C712" s="29">
        <f>Absolute_Scores!D712</f>
        <v>44</v>
      </c>
      <c r="D712" s="30">
        <f t="shared" si="33"/>
        <v>55</v>
      </c>
      <c r="F712" s="12" t="str">
        <f>Absolute_Scores!F712</f>
        <v>@botakteras</v>
      </c>
      <c r="G712" s="12" t="str">
        <f>Absolute_Scores!G712</f>
        <v>TikTok</v>
      </c>
      <c r="H712" s="29">
        <f>Absolute_Scores!I712</f>
        <v>50</v>
      </c>
      <c r="I712" s="30">
        <f t="shared" si="34"/>
        <v>62.5</v>
      </c>
    </row>
    <row r="713" spans="1:9">
      <c r="A713" s="12" t="str">
        <f>Absolute_Scores!A713</f>
        <v>@aishinda25_</v>
      </c>
      <c r="B713" s="12" t="str">
        <f>Absolute_Scores!B713</f>
        <v>Instagram</v>
      </c>
      <c r="C713" s="29">
        <f>Absolute_Scores!D713</f>
        <v>44</v>
      </c>
      <c r="D713" s="30">
        <f t="shared" si="33"/>
        <v>55</v>
      </c>
      <c r="F713" s="12" t="str">
        <f>Absolute_Scores!F713</f>
        <v>@brendashahnaz</v>
      </c>
      <c r="G713" s="12" t="str">
        <f>Absolute_Scores!G713</f>
        <v>TikTok</v>
      </c>
      <c r="H713" s="29">
        <f>Absolute_Scores!I713</f>
        <v>50</v>
      </c>
      <c r="I713" s="30">
        <f t="shared" si="34"/>
        <v>62.5</v>
      </c>
    </row>
    <row r="714" spans="1:9">
      <c r="A714" s="12" t="str">
        <f>Absolute_Scores!A714</f>
        <v>@ajenglarasaty8039</v>
      </c>
      <c r="B714" s="12" t="str">
        <f>Absolute_Scores!B714</f>
        <v>Instagram</v>
      </c>
      <c r="C714" s="29">
        <f>Absolute_Scores!D714</f>
        <v>44</v>
      </c>
      <c r="D714" s="30">
        <f t="shared" si="33"/>
        <v>55</v>
      </c>
      <c r="F714" s="12" t="str">
        <f>Absolute_Scores!F714</f>
        <v>@breobreyen</v>
      </c>
      <c r="G714" s="12" t="str">
        <f>Absolute_Scores!G714</f>
        <v>TikTok</v>
      </c>
      <c r="H714" s="29">
        <f>Absolute_Scores!I714</f>
        <v>50</v>
      </c>
      <c r="I714" s="30">
        <f t="shared" si="34"/>
        <v>62.5</v>
      </c>
    </row>
    <row r="715" spans="1:9">
      <c r="A715" s="12" t="str">
        <f>Absolute_Scores!A715</f>
        <v>@ajengshinshin</v>
      </c>
      <c r="B715" s="12" t="str">
        <f>Absolute_Scores!B715</f>
        <v>Instagram</v>
      </c>
      <c r="C715" s="29">
        <f>Absolute_Scores!D715</f>
        <v>44</v>
      </c>
      <c r="D715" s="30">
        <f t="shared" si="33"/>
        <v>55</v>
      </c>
      <c r="F715" s="12" t="str">
        <f>Absolute_Scores!F715</f>
        <v>@brillydiary</v>
      </c>
      <c r="G715" s="12" t="str">
        <f>Absolute_Scores!G715</f>
        <v>Instagram</v>
      </c>
      <c r="H715" s="29">
        <f>Absolute_Scores!I715</f>
        <v>50</v>
      </c>
      <c r="I715" s="30">
        <f t="shared" si="34"/>
        <v>62.5</v>
      </c>
    </row>
    <row r="716" spans="1:9">
      <c r="A716" s="12" t="str">
        <f>Absolute_Scores!A716</f>
        <v>@akuumii_94</v>
      </c>
      <c r="B716" s="12" t="str">
        <f>Absolute_Scores!B716</f>
        <v>Instagram</v>
      </c>
      <c r="C716" s="29">
        <f>Absolute_Scores!D716</f>
        <v>44</v>
      </c>
      <c r="D716" s="30">
        <f t="shared" si="33"/>
        <v>55</v>
      </c>
      <c r="F716" s="12" t="str">
        <f>Absolute_Scores!F716</f>
        <v>@brrybluee</v>
      </c>
      <c r="G716" s="12" t="str">
        <f>Absolute_Scores!G716</f>
        <v>Instagram</v>
      </c>
      <c r="H716" s="29">
        <f>Absolute_Scores!I716</f>
        <v>50</v>
      </c>
      <c r="I716" s="30">
        <f t="shared" si="34"/>
        <v>62.5</v>
      </c>
    </row>
    <row r="717" spans="1:9">
      <c r="A717" s="12" t="str">
        <f>Absolute_Scores!A717</f>
        <v>@alfianalfarisqy</v>
      </c>
      <c r="B717" s="12" t="str">
        <f>Absolute_Scores!B717</f>
        <v>Instagram</v>
      </c>
      <c r="C717" s="29">
        <f>Absolute_Scores!D717</f>
        <v>44</v>
      </c>
      <c r="D717" s="30">
        <f t="shared" si="33"/>
        <v>55</v>
      </c>
      <c r="F717" s="12" t="str">
        <f>Absolute_Scores!F717</f>
        <v>@brutalkidz</v>
      </c>
      <c r="G717" s="12" t="str">
        <f>Absolute_Scores!G717</f>
        <v>TikTok</v>
      </c>
      <c r="H717" s="29">
        <f>Absolute_Scores!I717</f>
        <v>50</v>
      </c>
      <c r="I717" s="30">
        <f t="shared" si="34"/>
        <v>62.5</v>
      </c>
    </row>
    <row r="718" spans="1:9">
      <c r="A718" s="12" t="str">
        <f>Absolute_Scores!A718</f>
        <v>@alicesanie</v>
      </c>
      <c r="B718" s="12" t="str">
        <f>Absolute_Scores!B718</f>
        <v>Instagram</v>
      </c>
      <c r="C718" s="29">
        <f>Absolute_Scores!D718</f>
        <v>44</v>
      </c>
      <c r="D718" s="30">
        <f t="shared" si="33"/>
        <v>55</v>
      </c>
      <c r="F718" s="12" t="str">
        <f>Absolute_Scores!F718</f>
        <v>@bschristy</v>
      </c>
      <c r="G718" s="12" t="str">
        <f>Absolute_Scores!G718</f>
        <v>TikTok</v>
      </c>
      <c r="H718" s="29">
        <f>Absolute_Scores!I718</f>
        <v>50</v>
      </c>
      <c r="I718" s="30">
        <f t="shared" si="34"/>
        <v>62.5</v>
      </c>
    </row>
    <row r="719" spans="1:9">
      <c r="A719" s="12" t="str">
        <f>Absolute_Scores!A719</f>
        <v>@alxndra.britney</v>
      </c>
      <c r="B719" s="12" t="str">
        <f>Absolute_Scores!B719</f>
        <v>Instagram</v>
      </c>
      <c r="C719" s="29">
        <f>Absolute_Scores!D719</f>
        <v>44</v>
      </c>
      <c r="D719" s="30">
        <f t="shared" si="33"/>
        <v>55</v>
      </c>
      <c r="F719" s="12" t="str">
        <f>Absolute_Scores!F719</f>
        <v>@bukanalicia</v>
      </c>
      <c r="G719" s="12" t="str">
        <f>Absolute_Scores!G719</f>
        <v>TikTok</v>
      </c>
      <c r="H719" s="29">
        <f>Absolute_Scores!I719</f>
        <v>50</v>
      </c>
      <c r="I719" s="30">
        <f t="shared" si="34"/>
        <v>62.5</v>
      </c>
    </row>
    <row r="720" spans="1:9">
      <c r="A720" s="12" t="str">
        <f>Absolute_Scores!A720</f>
        <v>@amaliafebriyana</v>
      </c>
      <c r="B720" s="12" t="str">
        <f>Absolute_Scores!B720</f>
        <v>Instagram</v>
      </c>
      <c r="C720" s="29">
        <f>Absolute_Scores!D720</f>
        <v>44</v>
      </c>
      <c r="D720" s="30">
        <f t="shared" si="33"/>
        <v>55</v>
      </c>
      <c r="F720" s="12" t="str">
        <f>Absolute_Scores!F720</f>
        <v>@bukancecil</v>
      </c>
      <c r="G720" s="12" t="str">
        <f>Absolute_Scores!G720</f>
        <v>TikTok</v>
      </c>
      <c r="H720" s="29">
        <f>Absolute_Scores!I720</f>
        <v>50</v>
      </c>
      <c r="I720" s="30">
        <f t="shared" si="34"/>
        <v>62.5</v>
      </c>
    </row>
    <row r="721" spans="1:9">
      <c r="A721" s="12" t="str">
        <f>Absolute_Scores!A721</f>
        <v>@amandania922</v>
      </c>
      <c r="B721" s="12" t="str">
        <f>Absolute_Scores!B721</f>
        <v>Instagram</v>
      </c>
      <c r="C721" s="29">
        <f>Absolute_Scores!D721</f>
        <v>44</v>
      </c>
      <c r="D721" s="30">
        <f t="shared" si="33"/>
        <v>55</v>
      </c>
      <c r="F721" s="12" t="str">
        <f>Absolute_Scores!F721</f>
        <v>@bukanmemels</v>
      </c>
      <c r="G721" s="12" t="str">
        <f>Absolute_Scores!G721</f>
        <v>TikTok</v>
      </c>
      <c r="H721" s="29">
        <f>Absolute_Scores!I721</f>
        <v>50</v>
      </c>
      <c r="I721" s="30">
        <f t="shared" si="34"/>
        <v>62.5</v>
      </c>
    </row>
    <row r="722" spans="1:9">
      <c r="A722" s="12" t="str">
        <f>Absolute_Scores!A722</f>
        <v>@ambrrni</v>
      </c>
      <c r="B722" s="12" t="str">
        <f>Absolute_Scores!B722</f>
        <v>Instagram</v>
      </c>
      <c r="C722" s="29">
        <f>Absolute_Scores!D722</f>
        <v>44</v>
      </c>
      <c r="D722" s="30">
        <f t="shared" si="33"/>
        <v>55</v>
      </c>
      <c r="F722" s="12" t="str">
        <f>Absolute_Scores!F722</f>
        <v>@bukanodef</v>
      </c>
      <c r="G722" s="12" t="str">
        <f>Absolute_Scores!G722</f>
        <v>TikTok</v>
      </c>
      <c r="H722" s="29">
        <f>Absolute_Scores!I722</f>
        <v>50</v>
      </c>
      <c r="I722" s="30">
        <f t="shared" si="34"/>
        <v>62.5</v>
      </c>
    </row>
    <row r="723" spans="1:9">
      <c r="A723" s="12" t="str">
        <f>Absolute_Scores!A723</f>
        <v>@amelindah.is</v>
      </c>
      <c r="B723" s="12" t="str">
        <f>Absolute_Scores!B723</f>
        <v>Instagram</v>
      </c>
      <c r="C723" s="29">
        <f>Absolute_Scores!D723</f>
        <v>44</v>
      </c>
      <c r="D723" s="30">
        <f t="shared" si="33"/>
        <v>55</v>
      </c>
      <c r="F723" s="12" t="str">
        <f>Absolute_Scores!F723</f>
        <v>@bulanfortuna</v>
      </c>
      <c r="G723" s="12" t="str">
        <f>Absolute_Scores!G723</f>
        <v>Instagram</v>
      </c>
      <c r="H723" s="29">
        <f>Absolute_Scores!I723</f>
        <v>50</v>
      </c>
      <c r="I723" s="30">
        <f t="shared" si="34"/>
        <v>62.5</v>
      </c>
    </row>
    <row r="724" spans="1:9">
      <c r="A724" s="12" t="str">
        <f>Absolute_Scores!A724</f>
        <v>@amy.gendhis</v>
      </c>
      <c r="B724" s="12" t="str">
        <f>Absolute_Scores!B724</f>
        <v>Instagram</v>
      </c>
      <c r="C724" s="29">
        <f>Absolute_Scores!D724</f>
        <v>44</v>
      </c>
      <c r="D724" s="30">
        <f t="shared" si="33"/>
        <v>55</v>
      </c>
      <c r="F724" s="12" t="str">
        <f>Absolute_Scores!F724</f>
        <v>@bulebuaran</v>
      </c>
      <c r="G724" s="12" t="str">
        <f>Absolute_Scores!G724</f>
        <v>TikTok</v>
      </c>
      <c r="H724" s="29">
        <f>Absolute_Scores!I724</f>
        <v>50</v>
      </c>
      <c r="I724" s="30">
        <f t="shared" si="34"/>
        <v>62.5</v>
      </c>
    </row>
    <row r="725" spans="1:9">
      <c r="A725" s="12" t="str">
        <f>Absolute_Scores!A725</f>
        <v>@anaagustinp</v>
      </c>
      <c r="B725" s="12" t="str">
        <f>Absolute_Scores!B725</f>
        <v>Instagram</v>
      </c>
      <c r="C725" s="29">
        <f>Absolute_Scores!D725</f>
        <v>44</v>
      </c>
      <c r="D725" s="30">
        <f t="shared" si="33"/>
        <v>55</v>
      </c>
      <c r="F725" s="12" t="str">
        <f>Absolute_Scores!F725</f>
        <v>@bunahrhiaaa14</v>
      </c>
      <c r="G725" s="12" t="str">
        <f>Absolute_Scores!G725</f>
        <v>Instagram</v>
      </c>
      <c r="H725" s="29">
        <f>Absolute_Scores!I725</f>
        <v>50</v>
      </c>
      <c r="I725" s="30">
        <f t="shared" si="34"/>
        <v>62.5</v>
      </c>
    </row>
    <row r="726" spans="1:9">
      <c r="A726" s="12" t="str">
        <f>Absolute_Scores!A726</f>
        <v>@anasparhasian</v>
      </c>
      <c r="B726" s="12" t="str">
        <f>Absolute_Scores!B726</f>
        <v>Instagram</v>
      </c>
      <c r="C726" s="29">
        <f>Absolute_Scores!D726</f>
        <v>44</v>
      </c>
      <c r="D726" s="30">
        <f t="shared" si="33"/>
        <v>55</v>
      </c>
      <c r="F726" s="12" t="str">
        <f>Absolute_Scores!F726</f>
        <v>@bundaarsya_</v>
      </c>
      <c r="G726" s="12" t="str">
        <f>Absolute_Scores!G726</f>
        <v>TikTok</v>
      </c>
      <c r="H726" s="29">
        <f>Absolute_Scores!I726</f>
        <v>50</v>
      </c>
      <c r="I726" s="30">
        <f t="shared" si="34"/>
        <v>62.5</v>
      </c>
    </row>
    <row r="727" spans="1:9">
      <c r="A727" s="12" t="str">
        <f>Absolute_Scores!A727</f>
        <v>@andinamerrysagita</v>
      </c>
      <c r="B727" s="12" t="str">
        <f>Absolute_Scores!B727</f>
        <v>Instagram</v>
      </c>
      <c r="C727" s="29">
        <f>Absolute_Scores!D727</f>
        <v>44</v>
      </c>
      <c r="D727" s="30">
        <f t="shared" si="33"/>
        <v>55</v>
      </c>
      <c r="F727" s="12" t="str">
        <f>Absolute_Scores!F727</f>
        <v>@bundakuwe</v>
      </c>
      <c r="G727" s="12" t="str">
        <f>Absolute_Scores!G727</f>
        <v>TikTok</v>
      </c>
      <c r="H727" s="29">
        <f>Absolute_Scores!I727</f>
        <v>50</v>
      </c>
      <c r="I727" s="30">
        <f t="shared" si="34"/>
        <v>62.5</v>
      </c>
    </row>
    <row r="728" spans="1:9">
      <c r="A728" s="12" t="str">
        <f>Absolute_Scores!A728</f>
        <v>@andindseptina</v>
      </c>
      <c r="B728" s="12" t="str">
        <f>Absolute_Scores!B728</f>
        <v>Instagram</v>
      </c>
      <c r="C728" s="29">
        <f>Absolute_Scores!D728</f>
        <v>44</v>
      </c>
      <c r="D728" s="30">
        <f t="shared" si="33"/>
        <v>55</v>
      </c>
      <c r="F728" s="12" t="str">
        <f>Absolute_Scores!F728</f>
        <v>@bunga_ardina</v>
      </c>
      <c r="G728" s="12" t="str">
        <f>Absolute_Scores!G728</f>
        <v>TikTok</v>
      </c>
      <c r="H728" s="29">
        <f>Absolute_Scores!I728</f>
        <v>50</v>
      </c>
      <c r="I728" s="30">
        <f t="shared" si="34"/>
        <v>62.5</v>
      </c>
    </row>
    <row r="729" spans="1:9">
      <c r="A729" s="12" t="str">
        <f>Absolute_Scores!A729</f>
        <v>@andrianilm</v>
      </c>
      <c r="B729" s="12" t="str">
        <f>Absolute_Scores!B729</f>
        <v>Instagram</v>
      </c>
      <c r="C729" s="29">
        <f>Absolute_Scores!D729</f>
        <v>44</v>
      </c>
      <c r="D729" s="30">
        <f t="shared" si="33"/>
        <v>55</v>
      </c>
      <c r="F729" s="12" t="str">
        <f>Absolute_Scores!F729</f>
        <v>@bungaaayu</v>
      </c>
      <c r="G729" s="12" t="str">
        <f>Absolute_Scores!G729</f>
        <v>TikTok</v>
      </c>
      <c r="H729" s="29">
        <f>Absolute_Scores!I729</f>
        <v>50</v>
      </c>
      <c r="I729" s="30">
        <f t="shared" si="34"/>
        <v>62.5</v>
      </c>
    </row>
    <row r="730" spans="1:9">
      <c r="A730" s="12" t="str">
        <f>Absolute_Scores!A730</f>
        <v>@angelicamarietta</v>
      </c>
      <c r="B730" s="12" t="str">
        <f>Absolute_Scores!B730</f>
        <v>Instagram</v>
      </c>
      <c r="C730" s="29">
        <f>Absolute_Scores!D730</f>
        <v>44</v>
      </c>
      <c r="D730" s="30">
        <f t="shared" si="33"/>
        <v>55</v>
      </c>
      <c r="F730" s="12" t="str">
        <f>Absolute_Scores!F730</f>
        <v>@bungaadnda2</v>
      </c>
      <c r="G730" s="12" t="str">
        <f>Absolute_Scores!G730</f>
        <v>TikTok</v>
      </c>
      <c r="H730" s="29">
        <f>Absolute_Scores!I730</f>
        <v>50</v>
      </c>
      <c r="I730" s="30">
        <f t="shared" si="34"/>
        <v>62.5</v>
      </c>
    </row>
    <row r="731" spans="1:9">
      <c r="A731" s="12" t="str">
        <f>Absolute_Scores!A731</f>
        <v>@anggie_ira</v>
      </c>
      <c r="B731" s="12" t="str">
        <f>Absolute_Scores!B731</f>
        <v>Instagram</v>
      </c>
      <c r="C731" s="29">
        <f>Absolute_Scores!D731</f>
        <v>44</v>
      </c>
      <c r="D731" s="30">
        <f t="shared" si="33"/>
        <v>55</v>
      </c>
      <c r="F731" s="12" t="str">
        <f>Absolute_Scores!F731</f>
        <v>@burr.11</v>
      </c>
      <c r="G731" s="12" t="str">
        <f>Absolute_Scores!G731</f>
        <v>TikTok</v>
      </c>
      <c r="H731" s="29">
        <f>Absolute_Scores!I731</f>
        <v>50</v>
      </c>
      <c r="I731" s="30">
        <f t="shared" si="34"/>
        <v>62.5</v>
      </c>
    </row>
    <row r="732" spans="1:9">
      <c r="A732" s="12" t="str">
        <f>Absolute_Scores!A732</f>
        <v>@anggrayunita</v>
      </c>
      <c r="B732" s="12" t="str">
        <f>Absolute_Scores!B732</f>
        <v>Instagram</v>
      </c>
      <c r="C732" s="29">
        <f>Absolute_Scores!D732</f>
        <v>44</v>
      </c>
      <c r="D732" s="30">
        <f t="shared" si="33"/>
        <v>55</v>
      </c>
      <c r="F732" s="12" t="str">
        <f>Absolute_Scores!F732</f>
        <v>@bylodlia</v>
      </c>
      <c r="G732" s="12" t="str">
        <f>Absolute_Scores!G732</f>
        <v>Instagram</v>
      </c>
      <c r="H732" s="29">
        <f>Absolute_Scores!I732</f>
        <v>50</v>
      </c>
      <c r="I732" s="30">
        <f t="shared" si="34"/>
        <v>62.5</v>
      </c>
    </row>
    <row r="733" spans="1:9">
      <c r="A733" s="12" t="str">
        <f>Absolute_Scores!A733</f>
        <v>@anggun_sanisa_ms</v>
      </c>
      <c r="B733" s="12" t="str">
        <f>Absolute_Scores!B733</f>
        <v>Instagram</v>
      </c>
      <c r="C733" s="29">
        <f>Absolute_Scores!D733</f>
        <v>44</v>
      </c>
      <c r="D733" s="30">
        <f t="shared" si="33"/>
        <v>55</v>
      </c>
      <c r="F733" s="12" t="str">
        <f>Absolute_Scores!F733</f>
        <v>@cacaaantiksss_</v>
      </c>
      <c r="G733" s="12" t="str">
        <f>Absolute_Scores!G733</f>
        <v>TikTok</v>
      </c>
      <c r="H733" s="29">
        <f>Absolute_Scores!I733</f>
        <v>50</v>
      </c>
      <c r="I733" s="30">
        <f t="shared" si="34"/>
        <v>62.5</v>
      </c>
    </row>
    <row r="734" spans="1:9">
      <c r="A734" s="12" t="str">
        <f>Absolute_Scores!A734</f>
        <v>@anikwulan95</v>
      </c>
      <c r="B734" s="12" t="str">
        <f>Absolute_Scores!B734</f>
        <v>Instagram</v>
      </c>
      <c r="C734" s="29">
        <f>Absolute_Scores!D734</f>
        <v>44</v>
      </c>
      <c r="D734" s="30">
        <f t="shared" si="33"/>
        <v>55</v>
      </c>
      <c r="F734" s="12" t="str">
        <f>Absolute_Scores!F734</f>
        <v>@cacahya17</v>
      </c>
      <c r="G734" s="12" t="str">
        <f>Absolute_Scores!G734</f>
        <v>Instagram</v>
      </c>
      <c r="H734" s="29">
        <f>Absolute_Scores!I734</f>
        <v>50</v>
      </c>
      <c r="I734" s="30">
        <f t="shared" si="34"/>
        <v>62.5</v>
      </c>
    </row>
    <row r="735" spans="1:9">
      <c r="A735" s="12" t="str">
        <f>Absolute_Scores!A735</f>
        <v>@anisthesiahuda</v>
      </c>
      <c r="B735" s="12" t="str">
        <f>Absolute_Scores!B735</f>
        <v>Instagram</v>
      </c>
      <c r="C735" s="29">
        <f>Absolute_Scores!D735</f>
        <v>44</v>
      </c>
      <c r="D735" s="30">
        <f t="shared" si="33"/>
        <v>55</v>
      </c>
      <c r="F735" s="12" t="str">
        <f>Absolute_Scores!F735</f>
        <v>@caesadhanisa</v>
      </c>
      <c r="G735" s="12" t="str">
        <f>Absolute_Scores!G735</f>
        <v>TikTok</v>
      </c>
      <c r="H735" s="29">
        <f>Absolute_Scores!I735</f>
        <v>50</v>
      </c>
      <c r="I735" s="30">
        <f t="shared" si="34"/>
        <v>62.5</v>
      </c>
    </row>
    <row r="736" spans="1:9">
      <c r="A736" s="12" t="str">
        <f>Absolute_Scores!A736</f>
        <v>@anitadwi.handayani</v>
      </c>
      <c r="B736" s="12" t="str">
        <f>Absolute_Scores!B736</f>
        <v>Instagram</v>
      </c>
      <c r="C736" s="29">
        <f>Absolute_Scores!D736</f>
        <v>44</v>
      </c>
      <c r="D736" s="30">
        <f t="shared" si="33"/>
        <v>55</v>
      </c>
      <c r="F736" s="12" t="str">
        <f>Absolute_Scores!F736</f>
        <v>@cahayahikmaa</v>
      </c>
      <c r="G736" s="12" t="str">
        <f>Absolute_Scores!G736</f>
        <v>Instagram</v>
      </c>
      <c r="H736" s="29">
        <f>Absolute_Scores!I736</f>
        <v>50</v>
      </c>
      <c r="I736" s="30">
        <f t="shared" si="34"/>
        <v>62.5</v>
      </c>
    </row>
    <row r="737" spans="1:9">
      <c r="A737" s="12" t="str">
        <f>Absolute_Scores!A737</f>
        <v>@anna.wulandari</v>
      </c>
      <c r="B737" s="12" t="str">
        <f>Absolute_Scores!B737</f>
        <v>Instagram</v>
      </c>
      <c r="C737" s="29">
        <f>Absolute_Scores!D737</f>
        <v>44</v>
      </c>
      <c r="D737" s="30">
        <f t="shared" si="33"/>
        <v>55</v>
      </c>
      <c r="F737" s="12" t="str">
        <f>Absolute_Scores!F737</f>
        <v>@cahyaningtyas.nagara</v>
      </c>
      <c r="G737" s="12" t="str">
        <f>Absolute_Scores!G737</f>
        <v>Instagram</v>
      </c>
      <c r="H737" s="29">
        <f>Absolute_Scores!I737</f>
        <v>50</v>
      </c>
      <c r="I737" s="30">
        <f t="shared" si="34"/>
        <v>62.5</v>
      </c>
    </row>
    <row r="738" spans="1:9">
      <c r="A738" s="12" t="str">
        <f>Absolute_Scores!A738</f>
        <v>@annaanggunf</v>
      </c>
      <c r="B738" s="12" t="str">
        <f>Absolute_Scores!B738</f>
        <v>Instagram</v>
      </c>
      <c r="C738" s="29">
        <f>Absolute_Scores!D738</f>
        <v>44</v>
      </c>
      <c r="D738" s="30">
        <f t="shared" si="33"/>
        <v>55</v>
      </c>
      <c r="F738" s="12" t="str">
        <f>Absolute_Scores!F738</f>
        <v>@callmealh</v>
      </c>
      <c r="G738" s="12" t="str">
        <f>Absolute_Scores!G738</f>
        <v>Instagram</v>
      </c>
      <c r="H738" s="29">
        <f>Absolute_Scores!I738</f>
        <v>50</v>
      </c>
      <c r="I738" s="30">
        <f t="shared" si="34"/>
        <v>62.5</v>
      </c>
    </row>
    <row r="739" spans="1:9">
      <c r="A739" s="12" t="str">
        <f>Absolute_Scores!A739</f>
        <v>@annanakesya</v>
      </c>
      <c r="B739" s="12" t="str">
        <f>Absolute_Scores!B739</f>
        <v>Instagram</v>
      </c>
      <c r="C739" s="29">
        <f>Absolute_Scores!D739</f>
        <v>44</v>
      </c>
      <c r="D739" s="30">
        <f t="shared" si="33"/>
        <v>55</v>
      </c>
      <c r="F739" s="12" t="str">
        <f>Absolute_Scores!F739</f>
        <v>@campervangirl01</v>
      </c>
      <c r="G739" s="12" t="str">
        <f>Absolute_Scores!G739</f>
        <v>TikTok</v>
      </c>
      <c r="H739" s="29">
        <f>Absolute_Scores!I739</f>
        <v>50</v>
      </c>
      <c r="I739" s="30">
        <f t="shared" si="34"/>
        <v>62.5</v>
      </c>
    </row>
    <row r="740" spans="1:9">
      <c r="A740" s="12" t="str">
        <f>Absolute_Scores!A740</f>
        <v>@annisarisnasari</v>
      </c>
      <c r="B740" s="12" t="str">
        <f>Absolute_Scores!B740</f>
        <v>Instagram</v>
      </c>
      <c r="C740" s="29">
        <f>Absolute_Scores!D740</f>
        <v>44</v>
      </c>
      <c r="D740" s="30">
        <f t="shared" si="33"/>
        <v>55</v>
      </c>
      <c r="F740" s="12" t="str">
        <f>Absolute_Scores!F740</f>
        <v>@canduncan</v>
      </c>
      <c r="G740" s="12" t="str">
        <f>Absolute_Scores!G740</f>
        <v>TikTok</v>
      </c>
      <c r="H740" s="29">
        <f>Absolute_Scores!I740</f>
        <v>50</v>
      </c>
      <c r="I740" s="30">
        <f t="shared" si="34"/>
        <v>62.5</v>
      </c>
    </row>
    <row r="741" spans="1:9">
      <c r="A741" s="12" t="str">
        <f>Absolute_Scores!A741</f>
        <v>@anyageraldine</v>
      </c>
      <c r="B741" s="12" t="str">
        <f>Absolute_Scores!B741</f>
        <v>Instagram</v>
      </c>
      <c r="C741" s="29">
        <f>Absolute_Scores!D741</f>
        <v>44</v>
      </c>
      <c r="D741" s="30">
        <f t="shared" si="33"/>
        <v>55</v>
      </c>
      <c r="F741" s="12" t="str">
        <f>Absolute_Scores!F741</f>
        <v>@candyelina_</v>
      </c>
      <c r="G741" s="12" t="str">
        <f>Absolute_Scores!G741</f>
        <v>Instagram</v>
      </c>
      <c r="H741" s="29">
        <f>Absolute_Scores!I741</f>
        <v>50</v>
      </c>
      <c r="I741" s="30">
        <f t="shared" si="34"/>
        <v>62.5</v>
      </c>
    </row>
    <row r="742" spans="1:9">
      <c r="A742" s="12" t="str">
        <f>Absolute_Scores!A742</f>
        <v>@ariyanipe</v>
      </c>
      <c r="B742" s="12" t="str">
        <f>Absolute_Scores!B742</f>
        <v>Instagram</v>
      </c>
      <c r="C742" s="29">
        <f>Absolute_Scores!D742</f>
        <v>44</v>
      </c>
      <c r="D742" s="30">
        <f t="shared" si="33"/>
        <v>55</v>
      </c>
      <c r="F742" s="12" t="str">
        <f>Absolute_Scores!F742</f>
        <v>@cantikaaacn</v>
      </c>
      <c r="G742" s="12" t="str">
        <f>Absolute_Scores!G742</f>
        <v>Instagram</v>
      </c>
      <c r="H742" s="29">
        <f>Absolute_Scores!I742</f>
        <v>50</v>
      </c>
      <c r="I742" s="30">
        <f t="shared" si="34"/>
        <v>62.5</v>
      </c>
    </row>
    <row r="743" spans="1:9">
      <c r="A743" s="12" t="str">
        <f>Absolute_Scores!A743</f>
        <v>@arofah_24</v>
      </c>
      <c r="B743" s="12" t="str">
        <f>Absolute_Scores!B743</f>
        <v>Instagram</v>
      </c>
      <c r="C743" s="29">
        <f>Absolute_Scores!D743</f>
        <v>44</v>
      </c>
      <c r="D743" s="30">
        <f t="shared" si="33"/>
        <v>55</v>
      </c>
      <c r="F743" s="12" t="str">
        <f>Absolute_Scores!F743</f>
        <v>@cantikaamanda16</v>
      </c>
      <c r="G743" s="12" t="str">
        <f>Absolute_Scores!G743</f>
        <v>Instagram</v>
      </c>
      <c r="H743" s="29">
        <f>Absolute_Scores!I743</f>
        <v>50</v>
      </c>
      <c r="I743" s="30">
        <f t="shared" si="34"/>
        <v>62.5</v>
      </c>
    </row>
    <row r="744" spans="1:9">
      <c r="A744" s="12" t="str">
        <f>Absolute_Scores!A744</f>
        <v>@arum.triw</v>
      </c>
      <c r="B744" s="12" t="str">
        <f>Absolute_Scores!B744</f>
        <v>Instagram</v>
      </c>
      <c r="C744" s="29">
        <f>Absolute_Scores!D744</f>
        <v>44</v>
      </c>
      <c r="D744" s="30">
        <f t="shared" si="33"/>
        <v>55</v>
      </c>
      <c r="F744" s="12" t="str">
        <f>Absolute_Scores!F744</f>
        <v>@cantykaf</v>
      </c>
      <c r="G744" s="12" t="str">
        <f>Absolute_Scores!G744</f>
        <v>TikTok</v>
      </c>
      <c r="H744" s="29">
        <f>Absolute_Scores!I744</f>
        <v>50</v>
      </c>
      <c r="I744" s="30">
        <f t="shared" si="34"/>
        <v>62.5</v>
      </c>
    </row>
    <row r="745" spans="1:9">
      <c r="A745" s="12" t="str">
        <f>Absolute_Scores!A745</f>
        <v>@arumi_andhara</v>
      </c>
      <c r="B745" s="12" t="str">
        <f>Absolute_Scores!B745</f>
        <v>Instagram</v>
      </c>
      <c r="C745" s="29">
        <f>Absolute_Scores!D745</f>
        <v>44</v>
      </c>
      <c r="D745" s="30">
        <f t="shared" si="33"/>
        <v>55</v>
      </c>
      <c r="F745" s="12" t="str">
        <f>Absolute_Scores!F745</f>
        <v>@caramellina07</v>
      </c>
      <c r="G745" s="12" t="str">
        <f>Absolute_Scores!G745</f>
        <v>Instagram</v>
      </c>
      <c r="H745" s="29">
        <f>Absolute_Scores!I745</f>
        <v>50</v>
      </c>
      <c r="I745" s="30">
        <f t="shared" si="34"/>
        <v>62.5</v>
      </c>
    </row>
    <row r="746" spans="1:9">
      <c r="A746" s="12" t="str">
        <f>Absolute_Scores!A746</f>
        <v>@atikahhermani</v>
      </c>
      <c r="B746" s="12" t="str">
        <f>Absolute_Scores!B746</f>
        <v>Instagram</v>
      </c>
      <c r="C746" s="29">
        <f>Absolute_Scores!D746</f>
        <v>44</v>
      </c>
      <c r="D746" s="30">
        <f t="shared" si="33"/>
        <v>55</v>
      </c>
      <c r="F746" s="12" t="str">
        <f>Absolute_Scores!F746</f>
        <v>@carizqa</v>
      </c>
      <c r="G746" s="12" t="str">
        <f>Absolute_Scores!G746</f>
        <v>Instagram</v>
      </c>
      <c r="H746" s="29">
        <f>Absolute_Scores!I746</f>
        <v>50</v>
      </c>
      <c r="I746" s="30">
        <f t="shared" si="34"/>
        <v>62.5</v>
      </c>
    </row>
    <row r="747" spans="1:9">
      <c r="A747" s="12" t="str">
        <f>Absolute_Scores!A747</f>
        <v>@auliaarosyid</v>
      </c>
      <c r="B747" s="12" t="str">
        <f>Absolute_Scores!B747</f>
        <v>Instagram</v>
      </c>
      <c r="C747" s="29">
        <f>Absolute_Scores!D747</f>
        <v>44</v>
      </c>
      <c r="D747" s="30">
        <f t="shared" si="33"/>
        <v>55</v>
      </c>
      <c r="F747" s="12" t="str">
        <f>Absolute_Scores!F747</f>
        <v>@carlenedoraa</v>
      </c>
      <c r="G747" s="12" t="str">
        <f>Absolute_Scores!G747</f>
        <v>Instagram</v>
      </c>
      <c r="H747" s="29">
        <f>Absolute_Scores!I747</f>
        <v>50</v>
      </c>
      <c r="I747" s="30">
        <f t="shared" si="34"/>
        <v>62.5</v>
      </c>
    </row>
    <row r="748" spans="1:9">
      <c r="A748" s="12" t="str">
        <f>Absolute_Scores!A748</f>
        <v>@auliaaseptiani</v>
      </c>
      <c r="B748" s="12" t="str">
        <f>Absolute_Scores!B748</f>
        <v>Instagram</v>
      </c>
      <c r="C748" s="29">
        <f>Absolute_Scores!D748</f>
        <v>44</v>
      </c>
      <c r="D748" s="30">
        <f t="shared" si="33"/>
        <v>55</v>
      </c>
      <c r="F748" s="12" t="str">
        <f>Absolute_Scores!F748</f>
        <v>@catleaoktaviana</v>
      </c>
      <c r="G748" s="12" t="str">
        <f>Absolute_Scores!G748</f>
        <v>TikTok</v>
      </c>
      <c r="H748" s="29">
        <f>Absolute_Scores!I748</f>
        <v>50</v>
      </c>
      <c r="I748" s="30">
        <f t="shared" si="34"/>
        <v>62.5</v>
      </c>
    </row>
    <row r="749" spans="1:9">
      <c r="A749" s="12" t="str">
        <f>Absolute_Scores!A749</f>
        <v>@awulaans</v>
      </c>
      <c r="B749" s="12" t="str">
        <f>Absolute_Scores!B749</f>
        <v>Instagram</v>
      </c>
      <c r="C749" s="29">
        <f>Absolute_Scores!D749</f>
        <v>44</v>
      </c>
      <c r="D749" s="30">
        <f t="shared" si="33"/>
        <v>55</v>
      </c>
      <c r="F749" s="12" t="str">
        <f>Absolute_Scores!F749</f>
        <v>@ceceh15</v>
      </c>
      <c r="G749" s="12" t="str">
        <f>Absolute_Scores!G749</f>
        <v>Instagram</v>
      </c>
      <c r="H749" s="29">
        <f>Absolute_Scores!I749</f>
        <v>50</v>
      </c>
      <c r="I749" s="30">
        <f t="shared" si="34"/>
        <v>62.5</v>
      </c>
    </row>
    <row r="750" spans="1:9">
      <c r="A750" s="12" t="str">
        <f>Absolute_Scores!A750</f>
        <v>@ayu_bahari03</v>
      </c>
      <c r="B750" s="12" t="str">
        <f>Absolute_Scores!B750</f>
        <v>Instagram</v>
      </c>
      <c r="C750" s="29">
        <f>Absolute_Scores!D750</f>
        <v>44</v>
      </c>
      <c r="D750" s="30">
        <f t="shared" si="33"/>
        <v>55</v>
      </c>
      <c r="F750" s="12" t="str">
        <f>Absolute_Scores!F750</f>
        <v>@ceceyolanda26</v>
      </c>
      <c r="G750" s="12" t="str">
        <f>Absolute_Scores!G750</f>
        <v>TikTok</v>
      </c>
      <c r="H750" s="29">
        <f>Absolute_Scores!I750</f>
        <v>50</v>
      </c>
      <c r="I750" s="30">
        <f t="shared" si="34"/>
        <v>62.5</v>
      </c>
    </row>
    <row r="751" spans="1:9">
      <c r="A751" s="12" t="str">
        <f>Absolute_Scores!A751</f>
        <v>@ayuku1234</v>
      </c>
      <c r="B751" s="12" t="str">
        <f>Absolute_Scores!B751</f>
        <v>Instagram</v>
      </c>
      <c r="C751" s="29">
        <f>Absolute_Scores!D751</f>
        <v>44</v>
      </c>
      <c r="D751" s="30">
        <f t="shared" si="33"/>
        <v>55</v>
      </c>
      <c r="F751" s="12" t="str">
        <f>Absolute_Scores!F751</f>
        <v>@ceer.iaa</v>
      </c>
      <c r="G751" s="12" t="str">
        <f>Absolute_Scores!G751</f>
        <v>TikTok</v>
      </c>
      <c r="H751" s="29">
        <f>Absolute_Scores!I751</f>
        <v>50</v>
      </c>
      <c r="I751" s="30">
        <f t="shared" si="34"/>
        <v>62.5</v>
      </c>
    </row>
    <row r="752" spans="1:9">
      <c r="A752" s="12" t="str">
        <f>Absolute_Scores!A752</f>
        <v>@ayutrianah.d</v>
      </c>
      <c r="B752" s="12" t="str">
        <f>Absolute_Scores!B752</f>
        <v>Instagram</v>
      </c>
      <c r="C752" s="29">
        <f>Absolute_Scores!D752</f>
        <v>44</v>
      </c>
      <c r="D752" s="30">
        <f t="shared" si="33"/>
        <v>55</v>
      </c>
      <c r="F752" s="12" t="str">
        <f>Absolute_Scores!F752</f>
        <v>@cellajt</v>
      </c>
      <c r="G752" s="12" t="str">
        <f>Absolute_Scores!G752</f>
        <v>Instagram</v>
      </c>
      <c r="H752" s="29">
        <f>Absolute_Scores!I752</f>
        <v>50</v>
      </c>
      <c r="I752" s="30">
        <f t="shared" si="34"/>
        <v>62.5</v>
      </c>
    </row>
    <row r="753" spans="1:9">
      <c r="A753" s="12" t="str">
        <f>Absolute_Scores!A753</f>
        <v>@azxrne</v>
      </c>
      <c r="B753" s="12" t="str">
        <f>Absolute_Scores!B753</f>
        <v>Instagram</v>
      </c>
      <c r="C753" s="29">
        <f>Absolute_Scores!D753</f>
        <v>44</v>
      </c>
      <c r="D753" s="30">
        <f t="shared" si="33"/>
        <v>55</v>
      </c>
      <c r="F753" s="12" t="str">
        <f>Absolute_Scores!F753</f>
        <v>@cels_73</v>
      </c>
      <c r="G753" s="12" t="str">
        <f>Absolute_Scores!G753</f>
        <v>TikTok</v>
      </c>
      <c r="H753" s="29">
        <f>Absolute_Scores!I753</f>
        <v>50</v>
      </c>
      <c r="I753" s="30">
        <f t="shared" si="34"/>
        <v>62.5</v>
      </c>
    </row>
    <row r="754" spans="1:9">
      <c r="A754" s="12" t="str">
        <f>Absolute_Scores!A754</f>
        <v>@bahaghiya</v>
      </c>
      <c r="B754" s="12" t="str">
        <f>Absolute_Scores!B754</f>
        <v>Instagram</v>
      </c>
      <c r="C754" s="29">
        <f>Absolute_Scores!D754</f>
        <v>44</v>
      </c>
      <c r="D754" s="30">
        <f t="shared" si="33"/>
        <v>55</v>
      </c>
      <c r="F754" s="12" t="str">
        <f>Absolute_Scores!F754</f>
        <v>@celviin__</v>
      </c>
      <c r="G754" s="12" t="str">
        <f>Absolute_Scores!G754</f>
        <v>TikTok</v>
      </c>
      <c r="H754" s="29">
        <f>Absolute_Scores!I754</f>
        <v>50</v>
      </c>
      <c r="I754" s="30">
        <f t="shared" si="34"/>
        <v>62.5</v>
      </c>
    </row>
    <row r="755" spans="1:9">
      <c r="A755" s="12" t="str">
        <f>Absolute_Scores!A755</f>
        <v>@bd_yanis</v>
      </c>
      <c r="B755" s="12" t="str">
        <f>Absolute_Scores!B755</f>
        <v>Instagram</v>
      </c>
      <c r="C755" s="29">
        <f>Absolute_Scores!D755</f>
        <v>44</v>
      </c>
      <c r="D755" s="30">
        <f t="shared" si="33"/>
        <v>55</v>
      </c>
      <c r="F755" s="12" t="str">
        <f>Absolute_Scores!F755</f>
        <v>@ceritanyaangel</v>
      </c>
      <c r="G755" s="12" t="str">
        <f>Absolute_Scores!G755</f>
        <v>Instagram</v>
      </c>
      <c r="H755" s="29">
        <f>Absolute_Scores!I755</f>
        <v>50</v>
      </c>
      <c r="I755" s="30">
        <f t="shared" si="34"/>
        <v>62.5</v>
      </c>
    </row>
    <row r="756" spans="1:9">
      <c r="A756" s="12" t="str">
        <f>Absolute_Scores!A756</f>
        <v>@bunda_erhan_rafisqy</v>
      </c>
      <c r="B756" s="12" t="str">
        <f>Absolute_Scores!B756</f>
        <v>Instagram</v>
      </c>
      <c r="C756" s="29">
        <f>Absolute_Scores!D756</f>
        <v>44</v>
      </c>
      <c r="D756" s="30">
        <f t="shared" si="33"/>
        <v>55</v>
      </c>
      <c r="F756" s="12" t="str">
        <f>Absolute_Scores!F756</f>
        <v>@cete.r</v>
      </c>
      <c r="G756" s="12" t="str">
        <f>Absolute_Scores!G756</f>
        <v>TikTok</v>
      </c>
      <c r="H756" s="29">
        <f>Absolute_Scores!I756</f>
        <v>50</v>
      </c>
      <c r="I756" s="30">
        <f t="shared" si="34"/>
        <v>62.5</v>
      </c>
    </row>
    <row r="757" spans="1:9">
      <c r="A757" s="12" t="str">
        <f>Absolute_Scores!A757</f>
        <v>@bunda_oftwo</v>
      </c>
      <c r="B757" s="12" t="str">
        <f>Absolute_Scores!B757</f>
        <v>Instagram</v>
      </c>
      <c r="C757" s="29">
        <f>Absolute_Scores!D757</f>
        <v>44</v>
      </c>
      <c r="D757" s="30">
        <f t="shared" si="33"/>
        <v>55</v>
      </c>
      <c r="F757" s="12" t="str">
        <f>Absolute_Scores!F757</f>
        <v>@chacuuuu</v>
      </c>
      <c r="G757" s="12" t="str">
        <f>Absolute_Scores!G757</f>
        <v>TikTok</v>
      </c>
      <c r="H757" s="29">
        <f>Absolute_Scores!I757</f>
        <v>50</v>
      </c>
      <c r="I757" s="30">
        <f t="shared" si="34"/>
        <v>62.5</v>
      </c>
    </row>
    <row r="758" spans="1:9">
      <c r="A758" s="12" t="str">
        <f>Absolute_Scores!A758</f>
        <v>@bundaqueensha26</v>
      </c>
      <c r="B758" s="12" t="str">
        <f>Absolute_Scores!B758</f>
        <v>Instagram</v>
      </c>
      <c r="C758" s="29">
        <f>Absolute_Scores!D758</f>
        <v>44</v>
      </c>
      <c r="D758" s="30">
        <f t="shared" si="33"/>
        <v>55</v>
      </c>
      <c r="F758" s="12" t="str">
        <f>Absolute_Scores!F758</f>
        <v>@chairina_bawazir</v>
      </c>
      <c r="G758" s="12" t="str">
        <f>Absolute_Scores!G758</f>
        <v>Instagram</v>
      </c>
      <c r="H758" s="29">
        <f>Absolute_Scores!I758</f>
        <v>50</v>
      </c>
      <c r="I758" s="30">
        <f t="shared" si="34"/>
        <v>62.5</v>
      </c>
    </row>
    <row r="759" spans="1:9">
      <c r="A759" s="12" t="str">
        <f>Absolute_Scores!A759</f>
        <v>@caesarlaineanggi2</v>
      </c>
      <c r="B759" s="12" t="str">
        <f>Absolute_Scores!B759</f>
        <v>Instagram</v>
      </c>
      <c r="C759" s="29">
        <f>Absolute_Scores!D759</f>
        <v>44</v>
      </c>
      <c r="D759" s="30">
        <f t="shared" si="33"/>
        <v>55</v>
      </c>
      <c r="F759" s="12" t="str">
        <f>Absolute_Scores!F759</f>
        <v>@chala...sw</v>
      </c>
      <c r="G759" s="12" t="str">
        <f>Absolute_Scores!G759</f>
        <v>TikTok</v>
      </c>
      <c r="H759" s="29">
        <f>Absolute_Scores!I759</f>
        <v>50</v>
      </c>
      <c r="I759" s="30">
        <f t="shared" si="34"/>
        <v>62.5</v>
      </c>
    </row>
    <row r="760" spans="1:9">
      <c r="A760" s="12" t="str">
        <f>Absolute_Scores!A760</f>
        <v>@callmeastri</v>
      </c>
      <c r="B760" s="12" t="str">
        <f>Absolute_Scores!B760</f>
        <v>Instagram</v>
      </c>
      <c r="C760" s="29">
        <f>Absolute_Scores!D760</f>
        <v>44</v>
      </c>
      <c r="D760" s="30">
        <f t="shared" si="33"/>
        <v>55</v>
      </c>
      <c r="F760" s="12" t="str">
        <f>Absolute_Scores!F760</f>
        <v>@chaltenciptadi</v>
      </c>
      <c r="G760" s="12" t="str">
        <f>Absolute_Scores!G760</f>
        <v>TikTok</v>
      </c>
      <c r="H760" s="29">
        <f>Absolute_Scores!I760</f>
        <v>50</v>
      </c>
      <c r="I760" s="30">
        <f t="shared" si="34"/>
        <v>62.5</v>
      </c>
    </row>
    <row r="761" spans="1:9">
      <c r="A761" s="12" t="str">
        <f>Absolute_Scores!A761</f>
        <v>@cchooxx</v>
      </c>
      <c r="B761" s="12" t="str">
        <f>Absolute_Scores!B761</f>
        <v>Instagram</v>
      </c>
      <c r="C761" s="29">
        <f>Absolute_Scores!D761</f>
        <v>44</v>
      </c>
      <c r="D761" s="30">
        <f t="shared" si="33"/>
        <v>55</v>
      </c>
      <c r="F761" s="12" t="str">
        <f>Absolute_Scores!F761</f>
        <v>@chandrameimei</v>
      </c>
      <c r="G761" s="12" t="str">
        <f>Absolute_Scores!G761</f>
        <v>Instagram</v>
      </c>
      <c r="H761" s="29">
        <f>Absolute_Scores!I761</f>
        <v>50</v>
      </c>
      <c r="I761" s="30">
        <f t="shared" si="34"/>
        <v>62.5</v>
      </c>
    </row>
    <row r="762" spans="1:9">
      <c r="A762" s="12" t="str">
        <f>Absolute_Scores!A762</f>
        <v>@chaerunnisa_imr</v>
      </c>
      <c r="B762" s="12" t="str">
        <f>Absolute_Scores!B762</f>
        <v>Instagram</v>
      </c>
      <c r="C762" s="29">
        <f>Absolute_Scores!D762</f>
        <v>44</v>
      </c>
      <c r="D762" s="30">
        <f t="shared" si="33"/>
        <v>55</v>
      </c>
      <c r="F762" s="12" t="str">
        <f>Absolute_Scores!F762</f>
        <v>@chantikkhaniadha</v>
      </c>
      <c r="G762" s="12" t="str">
        <f>Absolute_Scores!G762</f>
        <v>Instagram</v>
      </c>
      <c r="H762" s="29">
        <f>Absolute_Scores!I762</f>
        <v>50</v>
      </c>
      <c r="I762" s="30">
        <f t="shared" si="34"/>
        <v>62.5</v>
      </c>
    </row>
    <row r="763" spans="1:9">
      <c r="A763" s="12" t="str">
        <f>Absolute_Scores!A763</f>
        <v>@chytraanggraeni</v>
      </c>
      <c r="B763" s="12" t="str">
        <f>Absolute_Scores!B763</f>
        <v>Instagram</v>
      </c>
      <c r="C763" s="29">
        <f>Absolute_Scores!D763</f>
        <v>44</v>
      </c>
      <c r="D763" s="30">
        <f t="shared" si="33"/>
        <v>55</v>
      </c>
      <c r="F763" s="12" t="str">
        <f>Absolute_Scores!F763</f>
        <v>@chanzliap</v>
      </c>
      <c r="G763" s="12" t="str">
        <f>Absolute_Scores!G763</f>
        <v>Instagram</v>
      </c>
      <c r="H763" s="29">
        <f>Absolute_Scores!I763</f>
        <v>50</v>
      </c>
      <c r="I763" s="30">
        <f t="shared" si="34"/>
        <v>62.5</v>
      </c>
    </row>
    <row r="764" spans="1:9">
      <c r="A764" s="12" t="str">
        <f>Absolute_Scores!A764</f>
        <v>@cicinviaa_</v>
      </c>
      <c r="B764" s="12" t="str">
        <f>Absolute_Scores!B764</f>
        <v>Instagram</v>
      </c>
      <c r="C764" s="29">
        <f>Absolute_Scores!D764</f>
        <v>44</v>
      </c>
      <c r="D764" s="30">
        <f t="shared" si="33"/>
        <v>55</v>
      </c>
      <c r="F764" s="12" t="str">
        <f>Absolute_Scores!F764</f>
        <v>@chaoticri0t</v>
      </c>
      <c r="G764" s="12" t="str">
        <f>Absolute_Scores!G764</f>
        <v>TikTok</v>
      </c>
      <c r="H764" s="29">
        <f>Absolute_Scores!I764</f>
        <v>50</v>
      </c>
      <c r="I764" s="30">
        <f t="shared" si="34"/>
        <v>62.5</v>
      </c>
    </row>
    <row r="765" spans="1:9">
      <c r="A765" s="12" t="str">
        <f>Absolute_Scores!A765</f>
        <v>@cindy_nanlohy</v>
      </c>
      <c r="B765" s="12" t="str">
        <f>Absolute_Scores!B765</f>
        <v>Instagram</v>
      </c>
      <c r="C765" s="29">
        <f>Absolute_Scores!D765</f>
        <v>44</v>
      </c>
      <c r="D765" s="30">
        <f t="shared" si="33"/>
        <v>55</v>
      </c>
      <c r="F765" s="12" t="str">
        <f>Absolute_Scores!F765</f>
        <v>@checeh.eka</v>
      </c>
      <c r="G765" s="12" t="str">
        <f>Absolute_Scores!G765</f>
        <v>Instagram</v>
      </c>
      <c r="H765" s="29">
        <f>Absolute_Scores!I765</f>
        <v>50</v>
      </c>
      <c r="I765" s="30">
        <f t="shared" si="34"/>
        <v>62.5</v>
      </c>
    </row>
    <row r="766" spans="1:9">
      <c r="A766" s="12" t="str">
        <f>Absolute_Scores!A766</f>
        <v>@cio.uhay</v>
      </c>
      <c r="B766" s="12" t="str">
        <f>Absolute_Scores!B766</f>
        <v>Instagram</v>
      </c>
      <c r="C766" s="29">
        <f>Absolute_Scores!D766</f>
        <v>44</v>
      </c>
      <c r="D766" s="30">
        <f t="shared" si="33"/>
        <v>55</v>
      </c>
      <c r="F766" s="12" t="str">
        <f>Absolute_Scores!F766</f>
        <v>@chels_kris</v>
      </c>
      <c r="G766" s="12" t="str">
        <f>Absolute_Scores!G766</f>
        <v>Instagram</v>
      </c>
      <c r="H766" s="29">
        <f>Absolute_Scores!I766</f>
        <v>50</v>
      </c>
      <c r="I766" s="30">
        <f t="shared" si="34"/>
        <v>62.5</v>
      </c>
    </row>
    <row r="767" spans="1:9">
      <c r="A767" s="12" t="str">
        <f>Absolute_Scores!A767</f>
        <v>@clarinapriliap</v>
      </c>
      <c r="B767" s="12" t="str">
        <f>Absolute_Scores!B767</f>
        <v>Instagram</v>
      </c>
      <c r="C767" s="29">
        <f>Absolute_Scores!D767</f>
        <v>44</v>
      </c>
      <c r="D767" s="30">
        <f t="shared" si="33"/>
        <v>55</v>
      </c>
      <c r="F767" s="12" t="str">
        <f>Absolute_Scores!F767</f>
        <v>@chelsheaflo</v>
      </c>
      <c r="G767" s="12" t="str">
        <f>Absolute_Scores!G767</f>
        <v>Instagram</v>
      </c>
      <c r="H767" s="29">
        <f>Absolute_Scores!I767</f>
        <v>50</v>
      </c>
      <c r="I767" s="30">
        <f t="shared" si="34"/>
        <v>62.5</v>
      </c>
    </row>
    <row r="768" spans="1:9">
      <c r="A768" s="12" t="str">
        <f>Absolute_Scores!A768</f>
        <v>@clay.cliff.hartono</v>
      </c>
      <c r="B768" s="12" t="str">
        <f>Absolute_Scores!B768</f>
        <v>Instagram</v>
      </c>
      <c r="C768" s="29">
        <f>Absolute_Scores!D768</f>
        <v>44</v>
      </c>
      <c r="D768" s="30">
        <f t="shared" si="33"/>
        <v>55</v>
      </c>
      <c r="F768" s="12" t="str">
        <f>Absolute_Scores!F768</f>
        <v>@chenyamelia_</v>
      </c>
      <c r="G768" s="12" t="str">
        <f>Absolute_Scores!G768</f>
        <v>TikTok</v>
      </c>
      <c r="H768" s="29">
        <f>Absolute_Scores!I768</f>
        <v>50</v>
      </c>
      <c r="I768" s="30">
        <f t="shared" si="34"/>
        <v>62.5</v>
      </c>
    </row>
    <row r="769" spans="1:9">
      <c r="A769" s="12" t="str">
        <f>Absolute_Scores!A769</f>
        <v>@cnycp_</v>
      </c>
      <c r="B769" s="12" t="str">
        <f>Absolute_Scores!B769</f>
        <v>Instagram</v>
      </c>
      <c r="C769" s="29">
        <f>Absolute_Scores!D769</f>
        <v>44</v>
      </c>
      <c r="D769" s="30">
        <f t="shared" si="33"/>
        <v>55</v>
      </c>
      <c r="F769" s="12" t="str">
        <f>Absolute_Scores!F769</f>
        <v>@cheverlakelsey10</v>
      </c>
      <c r="G769" s="12" t="str">
        <f>Absolute_Scores!G769</f>
        <v>TikTok</v>
      </c>
      <c r="H769" s="29">
        <f>Absolute_Scores!I769</f>
        <v>50</v>
      </c>
      <c r="I769" s="30">
        <f t="shared" si="34"/>
        <v>62.5</v>
      </c>
    </row>
    <row r="770" spans="1:9">
      <c r="A770" s="12" t="str">
        <f>Absolute_Scores!A770</f>
        <v>@crismafh</v>
      </c>
      <c r="B770" s="12" t="str">
        <f>Absolute_Scores!B770</f>
        <v>Instagram</v>
      </c>
      <c r="C770" s="29">
        <f>Absolute_Scores!D770</f>
        <v>44</v>
      </c>
      <c r="D770" s="30">
        <f t="shared" si="33"/>
        <v>55</v>
      </c>
      <c r="F770" s="12" t="str">
        <f>Absolute_Scores!F770</f>
        <v>@chicaharyati</v>
      </c>
      <c r="G770" s="12" t="str">
        <f>Absolute_Scores!G770</f>
        <v>Instagram</v>
      </c>
      <c r="H770" s="29">
        <f>Absolute_Scores!I770</f>
        <v>50</v>
      </c>
      <c r="I770" s="30">
        <f t="shared" si="34"/>
        <v>62.5</v>
      </c>
    </row>
    <row r="771" spans="1:9">
      <c r="A771" s="12" t="str">
        <f>Absolute_Scores!A771</f>
        <v>@dameriagullo</v>
      </c>
      <c r="B771" s="12" t="str">
        <f>Absolute_Scores!B771</f>
        <v>Instagram</v>
      </c>
      <c r="C771" s="29">
        <f>Absolute_Scores!D771</f>
        <v>44</v>
      </c>
      <c r="D771" s="30">
        <f t="shared" si="33"/>
        <v>55</v>
      </c>
      <c r="F771" s="12" t="str">
        <f>Absolute_Scores!F771</f>
        <v>@chielvyy</v>
      </c>
      <c r="G771" s="12" t="str">
        <f>Absolute_Scores!G771</f>
        <v>TikTok</v>
      </c>
      <c r="H771" s="29">
        <f>Absolute_Scores!I771</f>
        <v>50</v>
      </c>
      <c r="I771" s="30">
        <f t="shared" si="34"/>
        <v>62.5</v>
      </c>
    </row>
    <row r="772" spans="1:9">
      <c r="A772" s="12" t="str">
        <f>Absolute_Scores!A772</f>
        <v>@danialyaa_</v>
      </c>
      <c r="B772" s="12" t="str">
        <f>Absolute_Scores!B772</f>
        <v>Instagram</v>
      </c>
      <c r="C772" s="29">
        <f>Absolute_Scores!D772</f>
        <v>44</v>
      </c>
      <c r="D772" s="30">
        <f t="shared" si="33"/>
        <v>55</v>
      </c>
      <c r="F772" s="12" t="str">
        <f>Absolute_Scores!F772</f>
        <v>@chienadya</v>
      </c>
      <c r="G772" s="12" t="str">
        <f>Absolute_Scores!G772</f>
        <v>TikTok</v>
      </c>
      <c r="H772" s="29">
        <f>Absolute_Scores!I772</f>
        <v>50</v>
      </c>
      <c r="I772" s="30">
        <f t="shared" si="34"/>
        <v>62.5</v>
      </c>
    </row>
    <row r="773" spans="1:9">
      <c r="A773" s="12" t="str">
        <f>Absolute_Scores!A773</f>
        <v>@datikk</v>
      </c>
      <c r="B773" s="12" t="str">
        <f>Absolute_Scores!B773</f>
        <v>Instagram</v>
      </c>
      <c r="C773" s="29">
        <f>Absolute_Scores!D773</f>
        <v>44</v>
      </c>
      <c r="D773" s="30">
        <f t="shared" si="33"/>
        <v>55</v>
      </c>
      <c r="F773" s="12" t="str">
        <f>Absolute_Scores!F773</f>
        <v>@chika_rossa</v>
      </c>
      <c r="G773" s="12" t="str">
        <f>Absolute_Scores!G773</f>
        <v>Instagram</v>
      </c>
      <c r="H773" s="29">
        <f>Absolute_Scores!I773</f>
        <v>50</v>
      </c>
      <c r="I773" s="30">
        <f t="shared" si="34"/>
        <v>62.5</v>
      </c>
    </row>
    <row r="774" spans="1:9">
      <c r="A774" s="12" t="str">
        <f>Absolute_Scores!A774</f>
        <v>@deavalenta</v>
      </c>
      <c r="B774" s="12" t="str">
        <f>Absolute_Scores!B774</f>
        <v>Instagram</v>
      </c>
      <c r="C774" s="29">
        <f>Absolute_Scores!D774</f>
        <v>44</v>
      </c>
      <c r="D774" s="30">
        <f t="shared" ref="D774:D837" si="35">ROUND(C774/$D$4*100,2)</f>
        <v>55</v>
      </c>
      <c r="F774" s="12" t="str">
        <f>Absolute_Scores!F774</f>
        <v>@chikajssca</v>
      </c>
      <c r="G774" s="12" t="str">
        <f>Absolute_Scores!G774</f>
        <v>TikTok</v>
      </c>
      <c r="H774" s="29">
        <f>Absolute_Scores!I774</f>
        <v>50</v>
      </c>
      <c r="I774" s="30">
        <f t="shared" ref="I774:I837" si="36">ROUND(H774/$I$4*100,2)</f>
        <v>62.5</v>
      </c>
    </row>
    <row r="775" spans="1:9">
      <c r="A775" s="12" t="str">
        <f>Absolute_Scores!A775</f>
        <v>@deeassyy</v>
      </c>
      <c r="B775" s="12" t="str">
        <f>Absolute_Scores!B775</f>
        <v>Instagram</v>
      </c>
      <c r="C775" s="29">
        <f>Absolute_Scores!D775</f>
        <v>44</v>
      </c>
      <c r="D775" s="30">
        <f t="shared" si="35"/>
        <v>55</v>
      </c>
      <c r="F775" s="12" t="str">
        <f>Absolute_Scores!F775</f>
        <v>@chillaaa03</v>
      </c>
      <c r="G775" s="12" t="str">
        <f>Absolute_Scores!G775</f>
        <v>TikTok</v>
      </c>
      <c r="H775" s="29">
        <f>Absolute_Scores!I775</f>
        <v>50</v>
      </c>
      <c r="I775" s="30">
        <f t="shared" si="36"/>
        <v>62.5</v>
      </c>
    </row>
    <row r="776" spans="1:9">
      <c r="A776" s="12" t="str">
        <f>Absolute_Scores!A776</f>
        <v>@delladelnr</v>
      </c>
      <c r="B776" s="12" t="str">
        <f>Absolute_Scores!B776</f>
        <v>Instagram</v>
      </c>
      <c r="C776" s="29">
        <f>Absolute_Scores!D776</f>
        <v>44</v>
      </c>
      <c r="D776" s="30">
        <f t="shared" si="35"/>
        <v>55</v>
      </c>
      <c r="F776" s="12" t="str">
        <f>Absolute_Scores!F776</f>
        <v>@chintiaerwin</v>
      </c>
      <c r="G776" s="12" t="str">
        <f>Absolute_Scores!G776</f>
        <v>Instagram</v>
      </c>
      <c r="H776" s="29">
        <f>Absolute_Scores!I776</f>
        <v>50</v>
      </c>
      <c r="I776" s="30">
        <f t="shared" si="36"/>
        <v>62.5</v>
      </c>
    </row>
    <row r="777" spans="1:9">
      <c r="A777" s="12" t="str">
        <f>Absolute_Scores!A777</f>
        <v>@dessiapriliya</v>
      </c>
      <c r="B777" s="12" t="str">
        <f>Absolute_Scores!B777</f>
        <v>Instagram</v>
      </c>
      <c r="C777" s="29">
        <f>Absolute_Scores!D777</f>
        <v>44</v>
      </c>
      <c r="D777" s="30">
        <f t="shared" si="35"/>
        <v>55</v>
      </c>
      <c r="F777" s="12" t="str">
        <f>Absolute_Scores!F777</f>
        <v>@chintya.cn</v>
      </c>
      <c r="G777" s="12" t="str">
        <f>Absolute_Scores!G777</f>
        <v>Instagram</v>
      </c>
      <c r="H777" s="29">
        <f>Absolute_Scores!I777</f>
        <v>50</v>
      </c>
      <c r="I777" s="30">
        <f t="shared" si="36"/>
        <v>62.5</v>
      </c>
    </row>
    <row r="778" spans="1:9">
      <c r="A778" s="12" t="str">
        <f>Absolute_Scores!A778</f>
        <v>@dewantidini</v>
      </c>
      <c r="B778" s="12" t="str">
        <f>Absolute_Scores!B778</f>
        <v>Instagram</v>
      </c>
      <c r="C778" s="29">
        <f>Absolute_Scores!D778</f>
        <v>44</v>
      </c>
      <c r="D778" s="30">
        <f t="shared" si="35"/>
        <v>55</v>
      </c>
      <c r="F778" s="12" t="str">
        <f>Absolute_Scores!F778</f>
        <v>@christanedison</v>
      </c>
      <c r="G778" s="12" t="str">
        <f>Absolute_Scores!G778</f>
        <v>TikTok</v>
      </c>
      <c r="H778" s="29">
        <f>Absolute_Scores!I778</f>
        <v>50</v>
      </c>
      <c r="I778" s="30">
        <f t="shared" si="36"/>
        <v>62.5</v>
      </c>
    </row>
    <row r="779" spans="1:9">
      <c r="A779" s="12" t="str">
        <f>Absolute_Scores!A779</f>
        <v>@dewi.utamisari</v>
      </c>
      <c r="B779" s="12" t="str">
        <f>Absolute_Scores!B779</f>
        <v>Instagram</v>
      </c>
      <c r="C779" s="29">
        <f>Absolute_Scores!D779</f>
        <v>44</v>
      </c>
      <c r="D779" s="30">
        <f t="shared" si="35"/>
        <v>55</v>
      </c>
      <c r="F779" s="12" t="str">
        <f>Absolute_Scores!F779</f>
        <v>@christea.finds</v>
      </c>
      <c r="G779" s="12" t="str">
        <f>Absolute_Scores!G779</f>
        <v>TikTok</v>
      </c>
      <c r="H779" s="29">
        <f>Absolute_Scores!I779</f>
        <v>50</v>
      </c>
      <c r="I779" s="30">
        <f t="shared" si="36"/>
        <v>62.5</v>
      </c>
    </row>
    <row r="780" spans="1:9">
      <c r="A780" s="12" t="str">
        <f>Absolute_Scores!A780</f>
        <v>@dewi13247484</v>
      </c>
      <c r="B780" s="12" t="str">
        <f>Absolute_Scores!B780</f>
        <v>Instagram</v>
      </c>
      <c r="C780" s="29">
        <f>Absolute_Scores!D780</f>
        <v>44</v>
      </c>
      <c r="D780" s="30">
        <f t="shared" si="35"/>
        <v>55</v>
      </c>
      <c r="F780" s="12" t="str">
        <f>Absolute_Scores!F780</f>
        <v>@christianvns</v>
      </c>
      <c r="G780" s="12" t="str">
        <f>Absolute_Scores!G780</f>
        <v>TikTok</v>
      </c>
      <c r="H780" s="29">
        <f>Absolute_Scores!I780</f>
        <v>50</v>
      </c>
      <c r="I780" s="30">
        <f t="shared" si="36"/>
        <v>62.5</v>
      </c>
    </row>
    <row r="781" spans="1:9">
      <c r="A781" s="12" t="str">
        <f>Absolute_Scores!A781</f>
        <v>@dheeaana</v>
      </c>
      <c r="B781" s="12" t="str">
        <f>Absolute_Scores!B781</f>
        <v>Instagram</v>
      </c>
      <c r="C781" s="29">
        <f>Absolute_Scores!D781</f>
        <v>44</v>
      </c>
      <c r="D781" s="30">
        <f t="shared" si="35"/>
        <v>55</v>
      </c>
      <c r="F781" s="12" t="str">
        <f>Absolute_Scores!F781</f>
        <v>@christinebe.sidabalok</v>
      </c>
      <c r="G781" s="12" t="str">
        <f>Absolute_Scores!G781</f>
        <v>Instagram</v>
      </c>
      <c r="H781" s="29">
        <f>Absolute_Scores!I781</f>
        <v>50</v>
      </c>
      <c r="I781" s="30">
        <f t="shared" si="36"/>
        <v>62.5</v>
      </c>
    </row>
    <row r="782" spans="1:9">
      <c r="A782" s="12" t="str">
        <f>Absolute_Scores!A782</f>
        <v>@dhiajengskhodijah</v>
      </c>
      <c r="B782" s="12" t="str">
        <f>Absolute_Scores!B782</f>
        <v>Instagram</v>
      </c>
      <c r="C782" s="29">
        <f>Absolute_Scores!D782</f>
        <v>44</v>
      </c>
      <c r="D782" s="30">
        <f t="shared" si="35"/>
        <v>55</v>
      </c>
      <c r="F782" s="12" t="str">
        <f>Absolute_Scores!F782</f>
        <v>@ci_lan89</v>
      </c>
      <c r="G782" s="12" t="str">
        <f>Absolute_Scores!G782</f>
        <v>Instagram</v>
      </c>
      <c r="H782" s="29">
        <f>Absolute_Scores!I782</f>
        <v>50</v>
      </c>
      <c r="I782" s="30">
        <f t="shared" si="36"/>
        <v>62.5</v>
      </c>
    </row>
    <row r="783" spans="1:9">
      <c r="A783" s="12" t="str">
        <f>Absolute_Scores!A783</f>
        <v>@dhitaoktaputri</v>
      </c>
      <c r="B783" s="12" t="str">
        <f>Absolute_Scores!B783</f>
        <v>Instagram</v>
      </c>
      <c r="C783" s="29">
        <f>Absolute_Scores!D783</f>
        <v>44</v>
      </c>
      <c r="D783" s="30">
        <f t="shared" si="35"/>
        <v>55</v>
      </c>
      <c r="F783" s="12" t="str">
        <f>Absolute_Scores!F783</f>
        <v>@cilcecilll</v>
      </c>
      <c r="G783" s="12" t="str">
        <f>Absolute_Scores!G783</f>
        <v>TikTok</v>
      </c>
      <c r="H783" s="29">
        <f>Absolute_Scores!I783</f>
        <v>50</v>
      </c>
      <c r="I783" s="30">
        <f t="shared" si="36"/>
        <v>62.5</v>
      </c>
    </row>
    <row r="784" spans="1:9">
      <c r="A784" s="12" t="str">
        <f>Absolute_Scores!A784</f>
        <v>@dhyanilyas</v>
      </c>
      <c r="B784" s="12" t="str">
        <f>Absolute_Scores!B784</f>
        <v>Instagram</v>
      </c>
      <c r="C784" s="29">
        <f>Absolute_Scores!D784</f>
        <v>44</v>
      </c>
      <c r="D784" s="30">
        <f t="shared" si="35"/>
        <v>55</v>
      </c>
      <c r="F784" s="12" t="str">
        <f>Absolute_Scores!F784</f>
        <v>@cilitami_</v>
      </c>
      <c r="G784" s="12" t="str">
        <f>Absolute_Scores!G784</f>
        <v>Instagram</v>
      </c>
      <c r="H784" s="29">
        <f>Absolute_Scores!I784</f>
        <v>50</v>
      </c>
      <c r="I784" s="30">
        <f t="shared" si="36"/>
        <v>62.5</v>
      </c>
    </row>
    <row r="785" spans="1:9">
      <c r="A785" s="12" t="str">
        <f>Absolute_Scores!A785</f>
        <v>@dianaikha</v>
      </c>
      <c r="B785" s="12" t="str">
        <f>Absolute_Scores!B785</f>
        <v>Instagram</v>
      </c>
      <c r="C785" s="29">
        <f>Absolute_Scores!D785</f>
        <v>44</v>
      </c>
      <c r="D785" s="30">
        <f t="shared" si="35"/>
        <v>55</v>
      </c>
      <c r="F785" s="12" t="str">
        <f>Absolute_Scores!F785</f>
        <v>@cillavioletta</v>
      </c>
      <c r="G785" s="12" t="str">
        <f>Absolute_Scores!G785</f>
        <v>TikTok</v>
      </c>
      <c r="H785" s="29">
        <f>Absolute_Scores!I785</f>
        <v>50</v>
      </c>
      <c r="I785" s="30">
        <f t="shared" si="36"/>
        <v>62.5</v>
      </c>
    </row>
    <row r="786" spans="1:9">
      <c r="A786" s="12" t="str">
        <f>Absolute_Scores!A786</f>
        <v>@dinacheira</v>
      </c>
      <c r="B786" s="12" t="str">
        <f>Absolute_Scores!B786</f>
        <v>Instagram</v>
      </c>
      <c r="C786" s="29">
        <f>Absolute_Scores!D786</f>
        <v>44</v>
      </c>
      <c r="D786" s="30">
        <f t="shared" si="35"/>
        <v>55</v>
      </c>
      <c r="F786" s="12" t="str">
        <f>Absolute_Scores!F786</f>
        <v>@cindercella</v>
      </c>
      <c r="G786" s="12" t="str">
        <f>Absolute_Scores!G786</f>
        <v>Instagram</v>
      </c>
      <c r="H786" s="29">
        <f>Absolute_Scores!I786</f>
        <v>50</v>
      </c>
      <c r="I786" s="30">
        <f t="shared" si="36"/>
        <v>62.5</v>
      </c>
    </row>
    <row r="787" spans="1:9">
      <c r="A787" s="12" t="str">
        <f>Absolute_Scores!A787</f>
        <v>@dinastyan</v>
      </c>
      <c r="B787" s="12" t="str">
        <f>Absolute_Scores!B787</f>
        <v>Instagram</v>
      </c>
      <c r="C787" s="29">
        <f>Absolute_Scores!D787</f>
        <v>44</v>
      </c>
      <c r="D787" s="30">
        <f t="shared" si="35"/>
        <v>55</v>
      </c>
      <c r="F787" s="12" t="str">
        <f>Absolute_Scores!F787</f>
        <v>@cindy_widy</v>
      </c>
      <c r="G787" s="12" t="str">
        <f>Absolute_Scores!G787</f>
        <v>Instagram</v>
      </c>
      <c r="H787" s="29">
        <f>Absolute_Scores!I787</f>
        <v>50</v>
      </c>
      <c r="I787" s="30">
        <f t="shared" si="36"/>
        <v>62.5</v>
      </c>
    </row>
    <row r="788" spans="1:9">
      <c r="A788" s="12" t="str">
        <f>Absolute_Scores!A788</f>
        <v>@dindaaaws</v>
      </c>
      <c r="B788" s="12" t="str">
        <f>Absolute_Scores!B788</f>
        <v>Instagram</v>
      </c>
      <c r="C788" s="29">
        <f>Absolute_Scores!D788</f>
        <v>44</v>
      </c>
      <c r="D788" s="30">
        <f t="shared" si="35"/>
        <v>55</v>
      </c>
      <c r="F788" s="12" t="str">
        <f>Absolute_Scores!F788</f>
        <v>@cindyalfiann</v>
      </c>
      <c r="G788" s="12" t="str">
        <f>Absolute_Scores!G788</f>
        <v>TikTok</v>
      </c>
      <c r="H788" s="29">
        <f>Absolute_Scores!I788</f>
        <v>50</v>
      </c>
      <c r="I788" s="30">
        <f t="shared" si="36"/>
        <v>62.5</v>
      </c>
    </row>
    <row r="789" spans="1:9">
      <c r="A789" s="12" t="str">
        <f>Absolute_Scores!A789</f>
        <v>@dita.bundarda</v>
      </c>
      <c r="B789" s="12" t="str">
        <f>Absolute_Scores!B789</f>
        <v>Instagram</v>
      </c>
      <c r="C789" s="29">
        <f>Absolute_Scores!D789</f>
        <v>44</v>
      </c>
      <c r="D789" s="30">
        <f t="shared" si="35"/>
        <v>55</v>
      </c>
      <c r="F789" s="12" t="str">
        <f>Absolute_Scores!F789</f>
        <v>@cindyangelpurba</v>
      </c>
      <c r="G789" s="12" t="str">
        <f>Absolute_Scores!G789</f>
        <v>Instagram</v>
      </c>
      <c r="H789" s="29">
        <f>Absolute_Scores!I789</f>
        <v>50</v>
      </c>
      <c r="I789" s="30">
        <f t="shared" si="36"/>
        <v>62.5</v>
      </c>
    </row>
    <row r="790" spans="1:9">
      <c r="A790" s="12" t="str">
        <f>Absolute_Scores!A790</f>
        <v>@dw.rista</v>
      </c>
      <c r="B790" s="12" t="str">
        <f>Absolute_Scores!B790</f>
        <v>Instagram</v>
      </c>
      <c r="C790" s="29">
        <f>Absolute_Scores!D790</f>
        <v>44</v>
      </c>
      <c r="D790" s="30">
        <f t="shared" si="35"/>
        <v>55</v>
      </c>
      <c r="F790" s="12" t="str">
        <f>Absolute_Scores!F790</f>
        <v>@cindykhooo</v>
      </c>
      <c r="G790" s="12" t="str">
        <f>Absolute_Scores!G790</f>
        <v>Instagram</v>
      </c>
      <c r="H790" s="29">
        <f>Absolute_Scores!I790</f>
        <v>50</v>
      </c>
      <c r="I790" s="30">
        <f t="shared" si="36"/>
        <v>62.5</v>
      </c>
    </row>
    <row r="791" spans="1:9">
      <c r="A791" s="12" t="str">
        <f>Absolute_Scores!A791</f>
        <v>@dwikantariii</v>
      </c>
      <c r="B791" s="12" t="str">
        <f>Absolute_Scores!B791</f>
        <v>Instagram</v>
      </c>
      <c r="C791" s="29">
        <f>Absolute_Scores!D791</f>
        <v>44</v>
      </c>
      <c r="D791" s="30">
        <f t="shared" si="35"/>
        <v>55</v>
      </c>
      <c r="F791" s="12" t="str">
        <f>Absolute_Scores!F791</f>
        <v>@cindylorenza_00</v>
      </c>
      <c r="G791" s="12" t="str">
        <f>Absolute_Scores!G791</f>
        <v>Instagram</v>
      </c>
      <c r="H791" s="29">
        <f>Absolute_Scores!I791</f>
        <v>50</v>
      </c>
      <c r="I791" s="30">
        <f t="shared" si="36"/>
        <v>62.5</v>
      </c>
    </row>
    <row r="792" spans="1:9">
      <c r="A792" s="12" t="str">
        <f>Absolute_Scores!A792</f>
        <v>@dwisar17</v>
      </c>
      <c r="B792" s="12" t="str">
        <f>Absolute_Scores!B792</f>
        <v>Instagram</v>
      </c>
      <c r="C792" s="29">
        <f>Absolute_Scores!D792</f>
        <v>44</v>
      </c>
      <c r="D792" s="30">
        <f t="shared" si="35"/>
        <v>55</v>
      </c>
      <c r="F792" s="12" t="str">
        <f>Absolute_Scores!F792</f>
        <v>@cindyorchidia</v>
      </c>
      <c r="G792" s="12" t="str">
        <f>Absolute_Scores!G792</f>
        <v>TikTok</v>
      </c>
      <c r="H792" s="29">
        <f>Absolute_Scores!I792</f>
        <v>50</v>
      </c>
      <c r="I792" s="30">
        <f t="shared" si="36"/>
        <v>62.5</v>
      </c>
    </row>
    <row r="793" spans="1:9">
      <c r="A793" s="12" t="str">
        <f>Absolute_Scores!A793</f>
        <v>@ealindafithry</v>
      </c>
      <c r="B793" s="12" t="str">
        <f>Absolute_Scores!B793</f>
        <v>Instagram</v>
      </c>
      <c r="C793" s="29">
        <f>Absolute_Scores!D793</f>
        <v>44</v>
      </c>
      <c r="D793" s="30">
        <f t="shared" si="35"/>
        <v>55</v>
      </c>
      <c r="F793" s="12" t="str">
        <f>Absolute_Scores!F793</f>
        <v>@cino_medhok</v>
      </c>
      <c r="G793" s="12" t="str">
        <f>Absolute_Scores!G793</f>
        <v>TikTok</v>
      </c>
      <c r="H793" s="29">
        <f>Absolute_Scores!I793</f>
        <v>50</v>
      </c>
      <c r="I793" s="30">
        <f t="shared" si="36"/>
        <v>62.5</v>
      </c>
    </row>
    <row r="794" spans="1:9">
      <c r="A794" s="12" t="str">
        <f>Absolute_Scores!A794</f>
        <v>@ekshanti_oktavia</v>
      </c>
      <c r="B794" s="12" t="str">
        <f>Absolute_Scores!B794</f>
        <v>Instagram</v>
      </c>
      <c r="C794" s="29">
        <f>Absolute_Scores!D794</f>
        <v>44</v>
      </c>
      <c r="D794" s="30">
        <f t="shared" si="35"/>
        <v>55</v>
      </c>
      <c r="F794" s="12" t="str">
        <f>Absolute_Scores!F794</f>
        <v>@cintacindys</v>
      </c>
      <c r="G794" s="12" t="str">
        <f>Absolute_Scores!G794</f>
        <v>Instagram</v>
      </c>
      <c r="H794" s="29">
        <f>Absolute_Scores!I794</f>
        <v>50</v>
      </c>
      <c r="I794" s="30">
        <f t="shared" si="36"/>
        <v>62.5</v>
      </c>
    </row>
    <row r="795" spans="1:9">
      <c r="A795" s="12" t="str">
        <f>Absolute_Scores!A795</f>
        <v>@elkajuwita</v>
      </c>
      <c r="B795" s="12" t="str">
        <f>Absolute_Scores!B795</f>
        <v>Instagram</v>
      </c>
      <c r="C795" s="29">
        <f>Absolute_Scores!D795</f>
        <v>44</v>
      </c>
      <c r="D795" s="30">
        <f t="shared" si="35"/>
        <v>55</v>
      </c>
      <c r="F795" s="12" t="str">
        <f>Absolute_Scores!F795</f>
        <v>@cintiatan</v>
      </c>
      <c r="G795" s="12" t="str">
        <f>Absolute_Scores!G795</f>
        <v>TikTok</v>
      </c>
      <c r="H795" s="29">
        <f>Absolute_Scores!I795</f>
        <v>50</v>
      </c>
      <c r="I795" s="30">
        <f t="shared" si="36"/>
        <v>62.5</v>
      </c>
    </row>
    <row r="796" spans="1:9">
      <c r="A796" s="12" t="str">
        <f>Absolute_Scores!A796</f>
        <v>@elya_tami</v>
      </c>
      <c r="B796" s="12" t="str">
        <f>Absolute_Scores!B796</f>
        <v>Instagram</v>
      </c>
      <c r="C796" s="29">
        <f>Absolute_Scores!D796</f>
        <v>44</v>
      </c>
      <c r="D796" s="30">
        <f t="shared" si="35"/>
        <v>55</v>
      </c>
      <c r="F796" s="12" t="str">
        <f>Absolute_Scores!F796</f>
        <v>@ciptaningtyasdw_</v>
      </c>
      <c r="G796" s="12" t="str">
        <f>Absolute_Scores!G796</f>
        <v>Instagram</v>
      </c>
      <c r="H796" s="29">
        <f>Absolute_Scores!I796</f>
        <v>50</v>
      </c>
      <c r="I796" s="30">
        <f t="shared" si="36"/>
        <v>62.5</v>
      </c>
    </row>
    <row r="797" spans="1:9">
      <c r="A797" s="12" t="str">
        <f>Absolute_Scores!A797</f>
        <v>@emakkahiyang</v>
      </c>
      <c r="B797" s="12" t="str">
        <f>Absolute_Scores!B797</f>
        <v>Instagram</v>
      </c>
      <c r="C797" s="29">
        <f>Absolute_Scores!D797</f>
        <v>44</v>
      </c>
      <c r="D797" s="30">
        <f t="shared" si="35"/>
        <v>55</v>
      </c>
      <c r="F797" s="12" t="str">
        <f>Absolute_Scores!F797</f>
        <v>@ciputrakunz</v>
      </c>
      <c r="G797" s="12" t="str">
        <f>Absolute_Scores!G797</f>
        <v>TikTok</v>
      </c>
      <c r="H797" s="29">
        <f>Absolute_Scores!I797</f>
        <v>50</v>
      </c>
      <c r="I797" s="30">
        <f t="shared" si="36"/>
        <v>62.5</v>
      </c>
    </row>
    <row r="798" spans="1:9">
      <c r="A798" s="12" t="str">
        <f>Absolute_Scores!A798</f>
        <v>@eniwinarti</v>
      </c>
      <c r="B798" s="12" t="str">
        <f>Absolute_Scores!B798</f>
        <v>Instagram</v>
      </c>
      <c r="C798" s="29">
        <f>Absolute_Scores!D798</f>
        <v>44</v>
      </c>
      <c r="D798" s="30">
        <f t="shared" si="35"/>
        <v>55</v>
      </c>
      <c r="F798" s="12" t="str">
        <f>Absolute_Scores!F798</f>
        <v>@cissss23</v>
      </c>
      <c r="G798" s="12" t="str">
        <f>Absolute_Scores!G798</f>
        <v>TikTok</v>
      </c>
      <c r="H798" s="29">
        <f>Absolute_Scores!I798</f>
        <v>50</v>
      </c>
      <c r="I798" s="30">
        <f t="shared" si="36"/>
        <v>62.5</v>
      </c>
    </row>
    <row r="799" spans="1:9">
      <c r="A799" s="12" t="str">
        <f>Absolute_Scores!A799</f>
        <v>@epifania_veve</v>
      </c>
      <c r="B799" s="12" t="str">
        <f>Absolute_Scores!B799</f>
        <v>Instagram</v>
      </c>
      <c r="C799" s="29">
        <f>Absolute_Scores!D799</f>
        <v>44</v>
      </c>
      <c r="D799" s="30">
        <f t="shared" si="35"/>
        <v>55</v>
      </c>
      <c r="F799" s="12" t="str">
        <f>Absolute_Scores!F799</f>
        <v>@citrasulis19</v>
      </c>
      <c r="G799" s="12" t="str">
        <f>Absolute_Scores!G799</f>
        <v>TikTok</v>
      </c>
      <c r="H799" s="29">
        <f>Absolute_Scores!I799</f>
        <v>50</v>
      </c>
      <c r="I799" s="30">
        <f t="shared" si="36"/>
        <v>62.5</v>
      </c>
    </row>
    <row r="800" spans="1:9">
      <c r="A800" s="12" t="str">
        <f>Absolute_Scores!A800</f>
        <v>@erika_sammy</v>
      </c>
      <c r="B800" s="12" t="str">
        <f>Absolute_Scores!B800</f>
        <v>Instagram</v>
      </c>
      <c r="C800" s="29">
        <f>Absolute_Scores!D800</f>
        <v>44</v>
      </c>
      <c r="D800" s="30">
        <f t="shared" si="35"/>
        <v>55</v>
      </c>
      <c r="F800" s="12" t="str">
        <f>Absolute_Scores!F800</f>
        <v>@citrazaraa</v>
      </c>
      <c r="G800" s="12" t="str">
        <f>Absolute_Scores!G800</f>
        <v>TikTok</v>
      </c>
      <c r="H800" s="29">
        <f>Absolute_Scores!I800</f>
        <v>50</v>
      </c>
      <c r="I800" s="30">
        <f t="shared" si="36"/>
        <v>62.5</v>
      </c>
    </row>
    <row r="801" spans="1:9">
      <c r="A801" s="12" t="str">
        <f>Absolute_Scores!A801</f>
        <v>@eshahidayat</v>
      </c>
      <c r="B801" s="12" t="str">
        <f>Absolute_Scores!B801</f>
        <v>Instagram</v>
      </c>
      <c r="C801" s="29">
        <f>Absolute_Scores!D801</f>
        <v>44</v>
      </c>
      <c r="D801" s="30">
        <f t="shared" si="35"/>
        <v>55</v>
      </c>
      <c r="F801" s="12" t="str">
        <f>Absolute_Scores!F801</f>
        <v>@cl_anthonia</v>
      </c>
      <c r="G801" s="12" t="str">
        <f>Absolute_Scores!G801</f>
        <v>TikTok</v>
      </c>
      <c r="H801" s="29">
        <f>Absolute_Scores!I801</f>
        <v>50</v>
      </c>
      <c r="I801" s="30">
        <f t="shared" si="36"/>
        <v>62.5</v>
      </c>
    </row>
    <row r="802" spans="1:9">
      <c r="A802" s="12" t="str">
        <f>Absolute_Scores!A802</f>
        <v>@faizhaaa</v>
      </c>
      <c r="B802" s="12" t="str">
        <f>Absolute_Scores!B802</f>
        <v>Instagram</v>
      </c>
      <c r="C802" s="29">
        <f>Absolute_Scores!D802</f>
        <v>44</v>
      </c>
      <c r="D802" s="30">
        <f t="shared" si="35"/>
        <v>55</v>
      </c>
      <c r="F802" s="12" t="str">
        <f>Absolute_Scores!F802</f>
        <v>@claaaara.______</v>
      </c>
      <c r="G802" s="12" t="str">
        <f>Absolute_Scores!G802</f>
        <v>Instagram</v>
      </c>
      <c r="H802" s="29">
        <f>Absolute_Scores!I802</f>
        <v>50</v>
      </c>
      <c r="I802" s="30">
        <f t="shared" si="36"/>
        <v>62.5</v>
      </c>
    </row>
    <row r="803" spans="1:9">
      <c r="A803" s="12" t="str">
        <f>Absolute_Scores!A803</f>
        <v>@fanghela_30729</v>
      </c>
      <c r="B803" s="12" t="str">
        <f>Absolute_Scores!B803</f>
        <v>Instagram</v>
      </c>
      <c r="C803" s="29">
        <f>Absolute_Scores!D803</f>
        <v>44</v>
      </c>
      <c r="D803" s="30">
        <f t="shared" si="35"/>
        <v>55</v>
      </c>
      <c r="F803" s="12" t="str">
        <f>Absolute_Scores!F803</f>
        <v>@clara.krisstiane</v>
      </c>
      <c r="G803" s="12" t="str">
        <f>Absolute_Scores!G803</f>
        <v>TikTok</v>
      </c>
      <c r="H803" s="29">
        <f>Absolute_Scores!I803</f>
        <v>50</v>
      </c>
      <c r="I803" s="30">
        <f t="shared" si="36"/>
        <v>62.5</v>
      </c>
    </row>
    <row r="804" spans="1:9">
      <c r="A804" s="12" t="str">
        <f>Absolute_Scores!A804</f>
        <v>@farisahsabrinaa</v>
      </c>
      <c r="B804" s="12" t="str">
        <f>Absolute_Scores!B804</f>
        <v>Instagram</v>
      </c>
      <c r="C804" s="29">
        <f>Absolute_Scores!D804</f>
        <v>44</v>
      </c>
      <c r="D804" s="30">
        <f t="shared" si="35"/>
        <v>55</v>
      </c>
      <c r="F804" s="12" t="str">
        <f>Absolute_Scores!F804</f>
        <v>@claraagustinn</v>
      </c>
      <c r="G804" s="12" t="str">
        <f>Absolute_Scores!G804</f>
        <v>Instagram</v>
      </c>
      <c r="H804" s="29">
        <f>Absolute_Scores!I804</f>
        <v>50</v>
      </c>
      <c r="I804" s="30">
        <f t="shared" si="36"/>
        <v>62.5</v>
      </c>
    </row>
    <row r="805" spans="1:9">
      <c r="A805" s="12" t="str">
        <f>Absolute_Scores!A805</f>
        <v>@fdlatri</v>
      </c>
      <c r="B805" s="12" t="str">
        <f>Absolute_Scores!B805</f>
        <v>Instagram</v>
      </c>
      <c r="C805" s="29">
        <f>Absolute_Scores!D805</f>
        <v>44</v>
      </c>
      <c r="D805" s="30">
        <f t="shared" si="35"/>
        <v>55</v>
      </c>
      <c r="F805" s="12" t="str">
        <f>Absolute_Scores!F805</f>
        <v>@clararimaaa</v>
      </c>
      <c r="G805" s="12" t="str">
        <f>Absolute_Scores!G805</f>
        <v>Instagram</v>
      </c>
      <c r="H805" s="29">
        <f>Absolute_Scores!I805</f>
        <v>50</v>
      </c>
      <c r="I805" s="30">
        <f t="shared" si="36"/>
        <v>62.5</v>
      </c>
    </row>
    <row r="806" spans="1:9">
      <c r="A806" s="12" t="str">
        <f>Absolute_Scores!A806</f>
        <v>@febikartikadewi</v>
      </c>
      <c r="B806" s="12" t="str">
        <f>Absolute_Scores!B806</f>
        <v>Instagram</v>
      </c>
      <c r="C806" s="29">
        <f>Absolute_Scores!D806</f>
        <v>44</v>
      </c>
      <c r="D806" s="30">
        <f t="shared" si="35"/>
        <v>55</v>
      </c>
      <c r="F806" s="12" t="str">
        <f>Absolute_Scores!F806</f>
        <v>@clariceecutie</v>
      </c>
      <c r="G806" s="12" t="str">
        <f>Absolute_Scores!G806</f>
        <v>TikTok</v>
      </c>
      <c r="H806" s="29">
        <f>Absolute_Scores!I806</f>
        <v>50</v>
      </c>
      <c r="I806" s="30">
        <f t="shared" si="36"/>
        <v>62.5</v>
      </c>
    </row>
    <row r="807" spans="1:9">
      <c r="A807" s="12" t="str">
        <f>Absolute_Scores!A807</f>
        <v>@femaledailynetwork</v>
      </c>
      <c r="B807" s="12" t="str">
        <f>Absolute_Scores!B807</f>
        <v>Instagram</v>
      </c>
      <c r="C807" s="29">
        <f>Absolute_Scores!D807</f>
        <v>44</v>
      </c>
      <c r="D807" s="30">
        <f t="shared" si="35"/>
        <v>55</v>
      </c>
      <c r="F807" s="12" t="str">
        <f>Absolute_Scores!F807</f>
        <v>@clarissacmty</v>
      </c>
      <c r="G807" s="12" t="str">
        <f>Absolute_Scores!G807</f>
        <v>TikTok</v>
      </c>
      <c r="H807" s="29">
        <f>Absolute_Scores!I807</f>
        <v>50</v>
      </c>
      <c r="I807" s="30">
        <f t="shared" si="36"/>
        <v>62.5</v>
      </c>
    </row>
    <row r="808" spans="1:9">
      <c r="A808" s="12" t="str">
        <f>Absolute_Scores!A808</f>
        <v>@fhaaifanm</v>
      </c>
      <c r="B808" s="12" t="str">
        <f>Absolute_Scores!B808</f>
        <v>Instagram</v>
      </c>
      <c r="C808" s="29">
        <f>Absolute_Scores!D808</f>
        <v>44</v>
      </c>
      <c r="D808" s="30">
        <f t="shared" si="35"/>
        <v>55</v>
      </c>
      <c r="F808" s="12" t="str">
        <f>Absolute_Scores!F808</f>
        <v>@claudyadona</v>
      </c>
      <c r="G808" s="12" t="str">
        <f>Absolute_Scores!G808</f>
        <v>TikTok</v>
      </c>
      <c r="H808" s="29">
        <f>Absolute_Scores!I808</f>
        <v>50</v>
      </c>
      <c r="I808" s="30">
        <f t="shared" si="36"/>
        <v>62.5</v>
      </c>
    </row>
    <row r="809" spans="1:9">
      <c r="A809" s="12" t="str">
        <f>Absolute_Scores!A809</f>
        <v>@firdadafiraseptialoka</v>
      </c>
      <c r="B809" s="12" t="str">
        <f>Absolute_Scores!B809</f>
        <v>Instagram</v>
      </c>
      <c r="C809" s="29">
        <f>Absolute_Scores!D809</f>
        <v>44</v>
      </c>
      <c r="D809" s="30">
        <f t="shared" si="35"/>
        <v>55</v>
      </c>
      <c r="F809" s="12" t="str">
        <f>Absolute_Scores!F809</f>
        <v>@claycliffhartono</v>
      </c>
      <c r="G809" s="12" t="str">
        <f>Absolute_Scores!G809</f>
        <v>TikTok</v>
      </c>
      <c r="H809" s="29">
        <f>Absolute_Scores!I809</f>
        <v>50</v>
      </c>
      <c r="I809" s="30">
        <f t="shared" si="36"/>
        <v>62.5</v>
      </c>
    </row>
    <row r="810" spans="1:9">
      <c r="A810" s="12" t="str">
        <f>Absolute_Scores!A810</f>
        <v>@gitapd151</v>
      </c>
      <c r="B810" s="12" t="str">
        <f>Absolute_Scores!B810</f>
        <v>Instagram</v>
      </c>
      <c r="C810" s="29">
        <f>Absolute_Scores!D810</f>
        <v>44</v>
      </c>
      <c r="D810" s="30">
        <f t="shared" si="35"/>
        <v>55</v>
      </c>
      <c r="F810" s="12" t="str">
        <f>Absolute_Scores!F810</f>
        <v>@clownofbali</v>
      </c>
      <c r="G810" s="12" t="str">
        <f>Absolute_Scores!G810</f>
        <v>TikTok</v>
      </c>
      <c r="H810" s="29">
        <f>Absolute_Scores!I810</f>
        <v>50</v>
      </c>
      <c r="I810" s="30">
        <f t="shared" si="36"/>
        <v>62.5</v>
      </c>
    </row>
    <row r="811" spans="1:9">
      <c r="A811" s="12" t="str">
        <f>Absolute_Scores!A811</f>
        <v>@glamalia</v>
      </c>
      <c r="B811" s="12" t="str">
        <f>Absolute_Scores!B811</f>
        <v>Instagram</v>
      </c>
      <c r="C811" s="29">
        <f>Absolute_Scores!D811</f>
        <v>44</v>
      </c>
      <c r="D811" s="30">
        <f t="shared" si="35"/>
        <v>55</v>
      </c>
      <c r="F811" s="12" t="str">
        <f>Absolute_Scores!F811</f>
        <v>@coach.rh</v>
      </c>
      <c r="G811" s="12" t="str">
        <f>Absolute_Scores!G811</f>
        <v>TikTok</v>
      </c>
      <c r="H811" s="29">
        <f>Absolute_Scores!I811</f>
        <v>50</v>
      </c>
      <c r="I811" s="30">
        <f t="shared" si="36"/>
        <v>62.5</v>
      </c>
    </row>
    <row r="812" spans="1:9">
      <c r="A812" s="12" t="str">
        <f>Absolute_Scores!A812</f>
        <v>@great.ej</v>
      </c>
      <c r="B812" s="12" t="str">
        <f>Absolute_Scores!B812</f>
        <v>Instagram</v>
      </c>
      <c r="C812" s="29">
        <f>Absolute_Scores!D812</f>
        <v>44</v>
      </c>
      <c r="D812" s="30">
        <f t="shared" si="35"/>
        <v>55</v>
      </c>
      <c r="F812" s="12" t="str">
        <f>Absolute_Scores!F812</f>
        <v>@cokcinta</v>
      </c>
      <c r="G812" s="12" t="str">
        <f>Absolute_Scores!G812</f>
        <v>TikTok</v>
      </c>
      <c r="H812" s="29">
        <f>Absolute_Scores!I812</f>
        <v>50</v>
      </c>
      <c r="I812" s="30">
        <f t="shared" si="36"/>
        <v>62.5</v>
      </c>
    </row>
    <row r="813" spans="1:9">
      <c r="A813" s="12" t="str">
        <f>Absolute_Scores!A813</f>
        <v>@griya_nurussyifa</v>
      </c>
      <c r="B813" s="12" t="str">
        <f>Absolute_Scores!B813</f>
        <v>Instagram</v>
      </c>
      <c r="C813" s="29">
        <f>Absolute_Scores!D813</f>
        <v>44</v>
      </c>
      <c r="D813" s="30">
        <f t="shared" si="35"/>
        <v>55</v>
      </c>
      <c r="F813" s="12" t="str">
        <f>Absolute_Scores!F813</f>
        <v>@connysantosoo</v>
      </c>
      <c r="G813" s="12" t="str">
        <f>Absolute_Scores!G813</f>
        <v>Instagram</v>
      </c>
      <c r="H813" s="29">
        <f>Absolute_Scores!I813</f>
        <v>50</v>
      </c>
      <c r="I813" s="30">
        <f t="shared" si="36"/>
        <v>62.5</v>
      </c>
    </row>
    <row r="814" spans="1:9">
      <c r="A814" s="12" t="str">
        <f>Absolute_Scores!A814</f>
        <v>@gustianatriyani</v>
      </c>
      <c r="B814" s="12" t="str">
        <f>Absolute_Scores!B814</f>
        <v>Instagram</v>
      </c>
      <c r="C814" s="29">
        <f>Absolute_Scores!D814</f>
        <v>44</v>
      </c>
      <c r="D814" s="30">
        <f t="shared" si="35"/>
        <v>55</v>
      </c>
      <c r="F814" s="12" t="str">
        <f>Absolute_Scores!F814</f>
        <v>@corneleaparamithaa</v>
      </c>
      <c r="G814" s="12" t="str">
        <f>Absolute_Scores!G814</f>
        <v>Instagram</v>
      </c>
      <c r="H814" s="29">
        <f>Absolute_Scores!I814</f>
        <v>50</v>
      </c>
      <c r="I814" s="30">
        <f t="shared" si="36"/>
        <v>62.5</v>
      </c>
    </row>
    <row r="815" spans="1:9">
      <c r="A815" s="12" t="str">
        <f>Absolute_Scores!A815</f>
        <v>@handasulistiyo</v>
      </c>
      <c r="B815" s="12" t="str">
        <f>Absolute_Scores!B815</f>
        <v>Instagram</v>
      </c>
      <c r="C815" s="29">
        <f>Absolute_Scores!D815</f>
        <v>44</v>
      </c>
      <c r="D815" s="30">
        <f t="shared" si="35"/>
        <v>55</v>
      </c>
      <c r="F815" s="12" t="str">
        <f>Absolute_Scores!F815</f>
        <v>@corneliosantoso</v>
      </c>
      <c r="G815" s="12" t="str">
        <f>Absolute_Scores!G815</f>
        <v>TikTok</v>
      </c>
      <c r="H815" s="29">
        <f>Absolute_Scores!I815</f>
        <v>50</v>
      </c>
      <c r="I815" s="30">
        <f t="shared" si="36"/>
        <v>62.5</v>
      </c>
    </row>
    <row r="816" spans="1:9">
      <c r="A816" s="12" t="str">
        <f>Absolute_Scores!A816</f>
        <v>@handaynsrii</v>
      </c>
      <c r="B816" s="12" t="str">
        <f>Absolute_Scores!B816</f>
        <v>Instagram</v>
      </c>
      <c r="C816" s="29">
        <f>Absolute_Scores!D816</f>
        <v>44</v>
      </c>
      <c r="D816" s="30">
        <f t="shared" si="35"/>
        <v>55</v>
      </c>
      <c r="F816" s="12" t="str">
        <f>Absolute_Scores!F816</f>
        <v>@cpls_21</v>
      </c>
      <c r="G816" s="12" t="str">
        <f>Absolute_Scores!G816</f>
        <v>Instagram</v>
      </c>
      <c r="H816" s="29">
        <f>Absolute_Scores!I816</f>
        <v>50</v>
      </c>
      <c r="I816" s="30">
        <f t="shared" si="36"/>
        <v>62.5</v>
      </c>
    </row>
    <row r="817" spans="1:9">
      <c r="A817" s="12" t="str">
        <f>Absolute_Scores!A817</f>
        <v>@hefi_paristin</v>
      </c>
      <c r="B817" s="12" t="str">
        <f>Absolute_Scores!B817</f>
        <v>Instagram</v>
      </c>
      <c r="C817" s="29">
        <f>Absolute_Scores!D817</f>
        <v>44</v>
      </c>
      <c r="D817" s="30">
        <f t="shared" si="35"/>
        <v>55</v>
      </c>
      <c r="F817" s="12" t="str">
        <f>Absolute_Scores!F817</f>
        <v>@cranbernies</v>
      </c>
      <c r="G817" s="12" t="str">
        <f>Absolute_Scores!G817</f>
        <v>TikTok</v>
      </c>
      <c r="H817" s="29">
        <f>Absolute_Scores!I817</f>
        <v>50</v>
      </c>
      <c r="I817" s="30">
        <f t="shared" si="36"/>
        <v>62.5</v>
      </c>
    </row>
    <row r="818" spans="1:9">
      <c r="A818" s="12" t="str">
        <f>Absolute_Scores!A818</f>
        <v>@hellondiy</v>
      </c>
      <c r="B818" s="12" t="str">
        <f>Absolute_Scores!B818</f>
        <v>Instagram</v>
      </c>
      <c r="C818" s="29">
        <f>Absolute_Scores!D818</f>
        <v>44</v>
      </c>
      <c r="D818" s="30">
        <f t="shared" si="35"/>
        <v>55</v>
      </c>
      <c r="F818" s="12" t="str">
        <f>Absolute_Scores!F818</f>
        <v>@crescentiads</v>
      </c>
      <c r="G818" s="12" t="str">
        <f>Absolute_Scores!G818</f>
        <v>TikTok</v>
      </c>
      <c r="H818" s="29">
        <f>Absolute_Scores!I818</f>
        <v>50</v>
      </c>
      <c r="I818" s="30">
        <f t="shared" si="36"/>
        <v>62.5</v>
      </c>
    </row>
    <row r="819" spans="1:9">
      <c r="A819" s="12" t="str">
        <f>Absolute_Scores!A819</f>
        <v>@herlinanr</v>
      </c>
      <c r="B819" s="12" t="str">
        <f>Absolute_Scores!B819</f>
        <v>Instagram</v>
      </c>
      <c r="C819" s="29">
        <f>Absolute_Scores!D819</f>
        <v>44</v>
      </c>
      <c r="D819" s="30">
        <f t="shared" si="35"/>
        <v>55</v>
      </c>
      <c r="F819" s="12" t="str">
        <f>Absolute_Scores!F819</f>
        <v>@cukiinn_</v>
      </c>
      <c r="G819" s="12" t="str">
        <f>Absolute_Scores!G819</f>
        <v>TikTok</v>
      </c>
      <c r="H819" s="29">
        <f>Absolute_Scores!I819</f>
        <v>50</v>
      </c>
      <c r="I819" s="30">
        <f t="shared" si="36"/>
        <v>62.5</v>
      </c>
    </row>
    <row r="820" spans="1:9">
      <c r="A820" s="12" t="str">
        <f>Absolute_Scores!A820</f>
        <v>@hestyalvionitaoctavera</v>
      </c>
      <c r="B820" s="12" t="str">
        <f>Absolute_Scores!B820</f>
        <v>Instagram</v>
      </c>
      <c r="C820" s="29">
        <f>Absolute_Scores!D820</f>
        <v>44</v>
      </c>
      <c r="D820" s="30">
        <f t="shared" si="35"/>
        <v>55</v>
      </c>
      <c r="F820" s="12" t="str">
        <f>Absolute_Scores!F820</f>
        <v>@cunnul111</v>
      </c>
      <c r="G820" s="12" t="str">
        <f>Absolute_Scores!G820</f>
        <v>TikTok</v>
      </c>
      <c r="H820" s="29">
        <f>Absolute_Scores!I820</f>
        <v>50</v>
      </c>
      <c r="I820" s="30">
        <f t="shared" si="36"/>
        <v>62.5</v>
      </c>
    </row>
    <row r="821" spans="1:9">
      <c r="A821" s="12" t="str">
        <f>Absolute_Scores!A821</f>
        <v>@hetty_ke</v>
      </c>
      <c r="B821" s="12" t="str">
        <f>Absolute_Scores!B821</f>
        <v>Instagram</v>
      </c>
      <c r="C821" s="29">
        <f>Absolute_Scores!D821</f>
        <v>44</v>
      </c>
      <c r="D821" s="30">
        <f t="shared" si="35"/>
        <v>55</v>
      </c>
      <c r="F821" s="12" t="str">
        <f>Absolute_Scores!F821</f>
        <v>@cupcake_dai</v>
      </c>
      <c r="G821" s="12" t="str">
        <f>Absolute_Scores!G821</f>
        <v>TikTok</v>
      </c>
      <c r="H821" s="29">
        <f>Absolute_Scores!I821</f>
        <v>50</v>
      </c>
      <c r="I821" s="30">
        <f t="shared" si="36"/>
        <v>62.5</v>
      </c>
    </row>
    <row r="822" spans="1:9">
      <c r="A822" s="12" t="str">
        <f>Absolute_Scores!A822</f>
        <v>@hikmahcamelia</v>
      </c>
      <c r="B822" s="12" t="str">
        <f>Absolute_Scores!B822</f>
        <v>Instagram</v>
      </c>
      <c r="C822" s="29">
        <f>Absolute_Scores!D822</f>
        <v>44</v>
      </c>
      <c r="D822" s="30">
        <f t="shared" si="35"/>
        <v>55</v>
      </c>
      <c r="F822" s="12" t="str">
        <f>Absolute_Scores!F822</f>
        <v>@cutdibiaa</v>
      </c>
      <c r="G822" s="12" t="str">
        <f>Absolute_Scores!G822</f>
        <v>TikTok</v>
      </c>
      <c r="H822" s="29">
        <f>Absolute_Scores!I822</f>
        <v>50</v>
      </c>
      <c r="I822" s="30">
        <f t="shared" si="36"/>
        <v>62.5</v>
      </c>
    </row>
    <row r="823" spans="1:9">
      <c r="A823" s="12" t="str">
        <f>Absolute_Scores!A823</f>
        <v>@hilmial12</v>
      </c>
      <c r="B823" s="12" t="str">
        <f>Absolute_Scores!B823</f>
        <v>Instagram</v>
      </c>
      <c r="C823" s="29">
        <f>Absolute_Scores!D823</f>
        <v>44</v>
      </c>
      <c r="D823" s="30">
        <f t="shared" si="35"/>
        <v>55</v>
      </c>
      <c r="F823" s="12" t="str">
        <f>Absolute_Scores!F823</f>
        <v>@cutfebrina</v>
      </c>
      <c r="G823" s="12" t="str">
        <f>Absolute_Scores!G823</f>
        <v>TikTok</v>
      </c>
      <c r="H823" s="29">
        <f>Absolute_Scores!I823</f>
        <v>50</v>
      </c>
      <c r="I823" s="30">
        <f t="shared" si="36"/>
        <v>62.5</v>
      </c>
    </row>
    <row r="824" spans="1:9">
      <c r="A824" s="12" t="str">
        <f>Absolute_Scores!A824</f>
        <v>@hyedetty99</v>
      </c>
      <c r="B824" s="12" t="str">
        <f>Absolute_Scores!B824</f>
        <v>Instagram</v>
      </c>
      <c r="C824" s="29">
        <f>Absolute_Scores!D824</f>
        <v>44</v>
      </c>
      <c r="D824" s="30">
        <f t="shared" si="35"/>
        <v>55</v>
      </c>
      <c r="F824" s="12" t="str">
        <f>Absolute_Scores!F824</f>
        <v>@cutnaaa</v>
      </c>
      <c r="G824" s="12" t="str">
        <f>Absolute_Scores!G824</f>
        <v>Instagram</v>
      </c>
      <c r="H824" s="29">
        <f>Absolute_Scores!I824</f>
        <v>50</v>
      </c>
      <c r="I824" s="30">
        <f t="shared" si="36"/>
        <v>62.5</v>
      </c>
    </row>
    <row r="825" spans="1:9">
      <c r="A825" s="12" t="str">
        <f>Absolute_Scores!A825</f>
        <v>@i.am_belz</v>
      </c>
      <c r="B825" s="12" t="str">
        <f>Absolute_Scores!B825</f>
        <v>Instagram</v>
      </c>
      <c r="C825" s="29">
        <f>Absolute_Scores!D825</f>
        <v>44</v>
      </c>
      <c r="D825" s="30">
        <f t="shared" si="35"/>
        <v>55</v>
      </c>
      <c r="F825" s="12" t="str">
        <f>Absolute_Scores!F825</f>
        <v>@cutsalsahency</v>
      </c>
      <c r="G825" s="12" t="str">
        <f>Absolute_Scores!G825</f>
        <v>Instagram</v>
      </c>
      <c r="H825" s="29">
        <f>Absolute_Scores!I825</f>
        <v>50</v>
      </c>
      <c r="I825" s="30">
        <f t="shared" si="36"/>
        <v>62.5</v>
      </c>
    </row>
    <row r="826" spans="1:9">
      <c r="A826" s="12" t="str">
        <f>Absolute_Scores!A826</f>
        <v>@ic.hie</v>
      </c>
      <c r="B826" s="12" t="str">
        <f>Absolute_Scores!B826</f>
        <v>Instagram</v>
      </c>
      <c r="C826" s="29">
        <f>Absolute_Scores!D826</f>
        <v>44</v>
      </c>
      <c r="D826" s="30">
        <f t="shared" si="35"/>
        <v>55</v>
      </c>
      <c r="F826" s="12" t="str">
        <f>Absolute_Scores!F826</f>
        <v>@cyntiayoga</v>
      </c>
      <c r="G826" s="12" t="str">
        <f>Absolute_Scores!G826</f>
        <v>Instagram</v>
      </c>
      <c r="H826" s="29">
        <f>Absolute_Scores!I826</f>
        <v>50</v>
      </c>
      <c r="I826" s="30">
        <f t="shared" si="36"/>
        <v>62.5</v>
      </c>
    </row>
    <row r="827" spans="1:9">
      <c r="A827" s="12" t="str">
        <f>Absolute_Scores!A827</f>
        <v>@ida_apriliana</v>
      </c>
      <c r="B827" s="12" t="str">
        <f>Absolute_Scores!B827</f>
        <v>Instagram</v>
      </c>
      <c r="C827" s="29">
        <f>Absolute_Scores!D827</f>
        <v>44</v>
      </c>
      <c r="D827" s="30">
        <f t="shared" si="35"/>
        <v>55</v>
      </c>
      <c r="F827" s="12" t="str">
        <f>Absolute_Scores!F827</f>
        <v>@d_mutia_putri</v>
      </c>
      <c r="G827" s="12" t="str">
        <f>Absolute_Scores!G827</f>
        <v>TikTok</v>
      </c>
      <c r="H827" s="29">
        <f>Absolute_Scores!I827</f>
        <v>50</v>
      </c>
      <c r="I827" s="30">
        <f t="shared" si="36"/>
        <v>62.5</v>
      </c>
    </row>
    <row r="828" spans="1:9">
      <c r="A828" s="12" t="str">
        <f>Absolute_Scores!A828</f>
        <v>@idaefrida99</v>
      </c>
      <c r="B828" s="12" t="str">
        <f>Absolute_Scores!B828</f>
        <v>Instagram</v>
      </c>
      <c r="C828" s="29">
        <f>Absolute_Scores!D828</f>
        <v>44</v>
      </c>
      <c r="D828" s="30">
        <f t="shared" si="35"/>
        <v>55</v>
      </c>
      <c r="F828" s="12" t="str">
        <f>Absolute_Scores!F828</f>
        <v>@d.cidoriii</v>
      </c>
      <c r="G828" s="12" t="str">
        <f>Absolute_Scores!G828</f>
        <v>TikTok</v>
      </c>
      <c r="H828" s="29">
        <f>Absolute_Scores!I828</f>
        <v>50</v>
      </c>
      <c r="I828" s="30">
        <f t="shared" si="36"/>
        <v>62.5</v>
      </c>
    </row>
    <row r="829" spans="1:9">
      <c r="A829" s="12" t="str">
        <f>Absolute_Scores!A829</f>
        <v>@ika.ratna.12</v>
      </c>
      <c r="B829" s="12" t="str">
        <f>Absolute_Scores!B829</f>
        <v>Instagram</v>
      </c>
      <c r="C829" s="29">
        <f>Absolute_Scores!D829</f>
        <v>44</v>
      </c>
      <c r="D829" s="30">
        <f t="shared" si="35"/>
        <v>55</v>
      </c>
      <c r="F829" s="12" t="str">
        <f>Absolute_Scores!F829</f>
        <v>@d.heyyo</v>
      </c>
      <c r="G829" s="12" t="str">
        <f>Absolute_Scores!G829</f>
        <v>Instagram</v>
      </c>
      <c r="H829" s="29">
        <f>Absolute_Scores!I829</f>
        <v>50</v>
      </c>
      <c r="I829" s="30">
        <f t="shared" si="36"/>
        <v>62.5</v>
      </c>
    </row>
    <row r="830" spans="1:9">
      <c r="A830" s="12" t="str">
        <f>Absolute_Scores!A830</f>
        <v>@ikenj09</v>
      </c>
      <c r="B830" s="12" t="str">
        <f>Absolute_Scores!B830</f>
        <v>Instagram</v>
      </c>
      <c r="C830" s="29">
        <f>Absolute_Scores!D830</f>
        <v>44</v>
      </c>
      <c r="D830" s="30">
        <f t="shared" si="35"/>
        <v>55</v>
      </c>
      <c r="F830" s="12" t="str">
        <f>Absolute_Scores!F830</f>
        <v>@daffarizqiyana</v>
      </c>
      <c r="G830" s="12" t="str">
        <f>Absolute_Scores!G830</f>
        <v>TikTok</v>
      </c>
      <c r="H830" s="29">
        <f>Absolute_Scores!I830</f>
        <v>50</v>
      </c>
      <c r="I830" s="30">
        <f t="shared" si="36"/>
        <v>62.5</v>
      </c>
    </row>
    <row r="831" spans="1:9">
      <c r="A831" s="12" t="str">
        <f>Absolute_Scores!A831</f>
        <v>@illuminareyou</v>
      </c>
      <c r="B831" s="12" t="str">
        <f>Absolute_Scores!B831</f>
        <v>Instagram</v>
      </c>
      <c r="C831" s="29">
        <f>Absolute_Scores!D831</f>
        <v>44</v>
      </c>
      <c r="D831" s="30">
        <f t="shared" si="35"/>
        <v>55</v>
      </c>
      <c r="F831" s="12" t="str">
        <f>Absolute_Scores!F831</f>
        <v>@dainlite</v>
      </c>
      <c r="G831" s="12" t="str">
        <f>Absolute_Scores!G831</f>
        <v>TikTok</v>
      </c>
      <c r="H831" s="29">
        <f>Absolute_Scores!I831</f>
        <v>50</v>
      </c>
      <c r="I831" s="30">
        <f t="shared" si="36"/>
        <v>62.5</v>
      </c>
    </row>
    <row r="832" spans="1:9">
      <c r="A832" s="12" t="str">
        <f>Absolute_Scores!A832</f>
        <v>@im.rikaaa</v>
      </c>
      <c r="B832" s="12" t="str">
        <f>Absolute_Scores!B832</f>
        <v>Instagram</v>
      </c>
      <c r="C832" s="29">
        <f>Absolute_Scores!D832</f>
        <v>44</v>
      </c>
      <c r="D832" s="30">
        <f t="shared" si="35"/>
        <v>55</v>
      </c>
      <c r="F832" s="12" t="str">
        <f>Absolute_Scores!F832</f>
        <v>@damarpanuluh_k</v>
      </c>
      <c r="G832" s="12" t="str">
        <f>Absolute_Scores!G832</f>
        <v>Instagram</v>
      </c>
      <c r="H832" s="29">
        <f>Absolute_Scores!I832</f>
        <v>50</v>
      </c>
      <c r="I832" s="30">
        <f t="shared" si="36"/>
        <v>62.5</v>
      </c>
    </row>
    <row r="833" spans="1:9">
      <c r="A833" s="12" t="str">
        <f>Absolute_Scores!A833</f>
        <v>@indira_az</v>
      </c>
      <c r="B833" s="12" t="str">
        <f>Absolute_Scores!B833</f>
        <v>Instagram</v>
      </c>
      <c r="C833" s="29">
        <f>Absolute_Scores!D833</f>
        <v>44</v>
      </c>
      <c r="D833" s="30">
        <f t="shared" si="35"/>
        <v>55</v>
      </c>
      <c r="F833" s="12" t="str">
        <f>Absolute_Scores!F833</f>
        <v>@dandeeey</v>
      </c>
      <c r="G833" s="12" t="str">
        <f>Absolute_Scores!G833</f>
        <v>TikTok</v>
      </c>
      <c r="H833" s="29">
        <f>Absolute_Scores!I833</f>
        <v>50</v>
      </c>
      <c r="I833" s="30">
        <f t="shared" si="36"/>
        <v>62.5</v>
      </c>
    </row>
    <row r="834" spans="1:9">
      <c r="A834" s="12" t="str">
        <f>Absolute_Scores!A834</f>
        <v>@indrimardiana__</v>
      </c>
      <c r="B834" s="12" t="str">
        <f>Absolute_Scores!B834</f>
        <v>Instagram</v>
      </c>
      <c r="C834" s="29">
        <f>Absolute_Scores!D834</f>
        <v>44</v>
      </c>
      <c r="D834" s="30">
        <f t="shared" si="35"/>
        <v>55</v>
      </c>
      <c r="F834" s="12" t="str">
        <f>Absolute_Scores!F834</f>
        <v>@danielmanihuruk</v>
      </c>
      <c r="G834" s="12" t="str">
        <f>Absolute_Scores!G834</f>
        <v>TikTok</v>
      </c>
      <c r="H834" s="29">
        <f>Absolute_Scores!I834</f>
        <v>50</v>
      </c>
      <c r="I834" s="30">
        <f t="shared" si="36"/>
        <v>62.5</v>
      </c>
    </row>
    <row r="835" spans="1:9">
      <c r="A835" s="12" t="str">
        <f>Absolute_Scores!A835</f>
        <v>@inne93</v>
      </c>
      <c r="B835" s="12" t="str">
        <f>Absolute_Scores!B835</f>
        <v>Instagram</v>
      </c>
      <c r="C835" s="29">
        <f>Absolute_Scores!D835</f>
        <v>44</v>
      </c>
      <c r="D835" s="30">
        <f t="shared" si="35"/>
        <v>55</v>
      </c>
      <c r="F835" s="12" t="str">
        <f>Absolute_Scores!F835</f>
        <v>@dapur_hany</v>
      </c>
      <c r="G835" s="12" t="str">
        <f>Absolute_Scores!G835</f>
        <v>Instagram</v>
      </c>
      <c r="H835" s="29">
        <f>Absolute_Scores!I835</f>
        <v>50</v>
      </c>
      <c r="I835" s="30">
        <f t="shared" si="36"/>
        <v>62.5</v>
      </c>
    </row>
    <row r="836" spans="1:9">
      <c r="A836" s="12" t="str">
        <f>Absolute_Scores!A836</f>
        <v>@ira.sryni</v>
      </c>
      <c r="B836" s="12" t="str">
        <f>Absolute_Scores!B836</f>
        <v>Instagram</v>
      </c>
      <c r="C836" s="29">
        <f>Absolute_Scores!D836</f>
        <v>44</v>
      </c>
      <c r="D836" s="30">
        <f t="shared" si="35"/>
        <v>55</v>
      </c>
      <c r="F836" s="12" t="str">
        <f>Absolute_Scores!F836</f>
        <v>@dapurmamahalfa</v>
      </c>
      <c r="G836" s="12" t="str">
        <f>Absolute_Scores!G836</f>
        <v>TikTok</v>
      </c>
      <c r="H836" s="29">
        <f>Absolute_Scores!I836</f>
        <v>50</v>
      </c>
      <c r="I836" s="30">
        <f t="shared" si="36"/>
        <v>62.5</v>
      </c>
    </row>
    <row r="837" spans="1:9">
      <c r="A837" s="12" t="str">
        <f>Absolute_Scores!A837</f>
        <v>@jannah.silvia</v>
      </c>
      <c r="B837" s="12" t="str">
        <f>Absolute_Scores!B837</f>
        <v>Instagram</v>
      </c>
      <c r="C837" s="29">
        <f>Absolute_Scores!D837</f>
        <v>44</v>
      </c>
      <c r="D837" s="30">
        <f t="shared" si="35"/>
        <v>55</v>
      </c>
      <c r="F837" s="12" t="str">
        <f>Absolute_Scores!F837</f>
        <v>@daraanindhita</v>
      </c>
      <c r="G837" s="12" t="str">
        <f>Absolute_Scores!G837</f>
        <v>Instagram</v>
      </c>
      <c r="H837" s="29">
        <f>Absolute_Scores!I837</f>
        <v>50</v>
      </c>
      <c r="I837" s="30">
        <f t="shared" si="36"/>
        <v>62.5</v>
      </c>
    </row>
    <row r="838" spans="1:9">
      <c r="A838" s="12" t="str">
        <f>Absolute_Scores!A838</f>
        <v>@joannaanastasia</v>
      </c>
      <c r="B838" s="12" t="str">
        <f>Absolute_Scores!B838</f>
        <v>Instagram</v>
      </c>
      <c r="C838" s="29">
        <f>Absolute_Scores!D838</f>
        <v>44</v>
      </c>
      <c r="D838" s="30">
        <f t="shared" ref="D838:D901" si="37">ROUND(C838/$D$4*100,2)</f>
        <v>55</v>
      </c>
      <c r="F838" s="12" t="str">
        <f>Absolute_Scores!F838</f>
        <v>@daraasekar</v>
      </c>
      <c r="G838" s="12" t="str">
        <f>Absolute_Scores!G838</f>
        <v>TikTok</v>
      </c>
      <c r="H838" s="29">
        <f>Absolute_Scores!I838</f>
        <v>50</v>
      </c>
      <c r="I838" s="30">
        <f t="shared" ref="I838:I901" si="38">ROUND(H838/$I$4*100,2)</f>
        <v>62.5</v>
      </c>
    </row>
    <row r="839" spans="1:9">
      <c r="A839" s="12" t="str">
        <f>Absolute_Scores!A839</f>
        <v>@joe_azizah</v>
      </c>
      <c r="B839" s="12" t="str">
        <f>Absolute_Scores!B839</f>
        <v>Instagram</v>
      </c>
      <c r="C839" s="29">
        <f>Absolute_Scores!D839</f>
        <v>44</v>
      </c>
      <c r="D839" s="30">
        <f t="shared" si="37"/>
        <v>55</v>
      </c>
      <c r="F839" s="12" t="str">
        <f>Absolute_Scores!F839</f>
        <v>@davidlie15</v>
      </c>
      <c r="G839" s="12" t="str">
        <f>Absolute_Scores!G839</f>
        <v>TikTok</v>
      </c>
      <c r="H839" s="29">
        <f>Absolute_Scores!I839</f>
        <v>50</v>
      </c>
      <c r="I839" s="30">
        <f t="shared" si="38"/>
        <v>62.5</v>
      </c>
    </row>
    <row r="840" spans="1:9">
      <c r="A840" s="12" t="str">
        <f>Absolute_Scores!A840</f>
        <v>@juheriah_nurahman</v>
      </c>
      <c r="B840" s="12" t="str">
        <f>Absolute_Scores!B840</f>
        <v>Instagram</v>
      </c>
      <c r="C840" s="29">
        <f>Absolute_Scores!D840</f>
        <v>44</v>
      </c>
      <c r="D840" s="30">
        <f t="shared" si="37"/>
        <v>55</v>
      </c>
      <c r="F840" s="12" t="str">
        <f>Absolute_Scores!F840</f>
        <v>@davu_elazar</v>
      </c>
      <c r="G840" s="12" t="str">
        <f>Absolute_Scores!G840</f>
        <v>TikTok</v>
      </c>
      <c r="H840" s="29">
        <f>Absolute_Scores!I840</f>
        <v>50</v>
      </c>
      <c r="I840" s="30">
        <f t="shared" si="38"/>
        <v>62.5</v>
      </c>
    </row>
    <row r="841" spans="1:9">
      <c r="A841" s="12" t="str">
        <f>Absolute_Scores!A841</f>
        <v>@junibella06</v>
      </c>
      <c r="B841" s="12" t="str">
        <f>Absolute_Scores!B841</f>
        <v>Instagram</v>
      </c>
      <c r="C841" s="29">
        <f>Absolute_Scores!D841</f>
        <v>44</v>
      </c>
      <c r="D841" s="30">
        <f t="shared" si="37"/>
        <v>55</v>
      </c>
      <c r="F841" s="12" t="str">
        <f>Absolute_Scores!F841</f>
        <v>@dayy.ayya</v>
      </c>
      <c r="G841" s="12" t="str">
        <f>Absolute_Scores!G841</f>
        <v>TikTok</v>
      </c>
      <c r="H841" s="29">
        <f>Absolute_Scores!I841</f>
        <v>50</v>
      </c>
      <c r="I841" s="30">
        <f t="shared" si="38"/>
        <v>62.5</v>
      </c>
    </row>
    <row r="842" spans="1:9">
      <c r="A842" s="12" t="str">
        <f>Absolute_Scores!A842</f>
        <v>@karimaassegaf</v>
      </c>
      <c r="B842" s="12" t="str">
        <f>Absolute_Scores!B842</f>
        <v>Instagram</v>
      </c>
      <c r="C842" s="29">
        <f>Absolute_Scores!D842</f>
        <v>44</v>
      </c>
      <c r="D842" s="30">
        <f t="shared" si="37"/>
        <v>55</v>
      </c>
      <c r="F842" s="12" t="str">
        <f>Absolute_Scores!F842</f>
        <v>@dccamel</v>
      </c>
      <c r="G842" s="12" t="str">
        <f>Absolute_Scores!G842</f>
        <v>TikTok</v>
      </c>
      <c r="H842" s="29">
        <f>Absolute_Scores!I842</f>
        <v>50</v>
      </c>
      <c r="I842" s="30">
        <f t="shared" si="38"/>
        <v>62.5</v>
      </c>
    </row>
    <row r="843" spans="1:9">
      <c r="A843" s="12" t="str">
        <f>Absolute_Scores!A843</f>
        <v>@kennyharlen</v>
      </c>
      <c r="B843" s="12" t="str">
        <f>Absolute_Scores!B843</f>
        <v>Instagram</v>
      </c>
      <c r="C843" s="29">
        <f>Absolute_Scores!D843</f>
        <v>44</v>
      </c>
      <c r="D843" s="30">
        <f t="shared" si="37"/>
        <v>55</v>
      </c>
      <c r="F843" s="12" t="str">
        <f>Absolute_Scores!F843</f>
        <v>@ddiddiv</v>
      </c>
      <c r="G843" s="12" t="str">
        <f>Absolute_Scores!G843</f>
        <v>TikTok</v>
      </c>
      <c r="H843" s="29">
        <f>Absolute_Scores!I843</f>
        <v>50</v>
      </c>
      <c r="I843" s="30">
        <f t="shared" si="38"/>
        <v>62.5</v>
      </c>
    </row>
    <row r="844" spans="1:9">
      <c r="A844" s="12" t="str">
        <f>Absolute_Scores!A844</f>
        <v>@kenzkai__</v>
      </c>
      <c r="B844" s="12" t="str">
        <f>Absolute_Scores!B844</f>
        <v>Instagram</v>
      </c>
      <c r="C844" s="29">
        <f>Absolute_Scores!D844</f>
        <v>44</v>
      </c>
      <c r="D844" s="30">
        <f t="shared" si="37"/>
        <v>55</v>
      </c>
      <c r="F844" s="12" t="str">
        <f>Absolute_Scores!F844</f>
        <v>@ddimpleee</v>
      </c>
      <c r="G844" s="12" t="str">
        <f>Absolute_Scores!G844</f>
        <v>TikTok</v>
      </c>
      <c r="H844" s="29">
        <f>Absolute_Scores!I844</f>
        <v>50</v>
      </c>
      <c r="I844" s="30">
        <f t="shared" si="38"/>
        <v>62.5</v>
      </c>
    </row>
    <row r="845" spans="1:9">
      <c r="A845" s="12" t="str">
        <f>Absolute_Scores!A845</f>
        <v>@kethijuliana1</v>
      </c>
      <c r="B845" s="12" t="str">
        <f>Absolute_Scores!B845</f>
        <v>Instagram</v>
      </c>
      <c r="C845" s="29">
        <f>Absolute_Scores!D845</f>
        <v>44</v>
      </c>
      <c r="D845" s="30">
        <f t="shared" si="37"/>
        <v>55</v>
      </c>
      <c r="F845" s="12" t="str">
        <f>Absolute_Scores!F845</f>
        <v>@deamanipa</v>
      </c>
      <c r="G845" s="12" t="str">
        <f>Absolute_Scores!G845</f>
        <v>Instagram</v>
      </c>
      <c r="H845" s="29">
        <f>Absolute_Scores!I845</f>
        <v>50</v>
      </c>
      <c r="I845" s="30">
        <f t="shared" si="38"/>
        <v>62.5</v>
      </c>
    </row>
    <row r="846" spans="1:9">
      <c r="A846" s="12" t="str">
        <f>Absolute_Scores!A846</f>
        <v>@key.rzky</v>
      </c>
      <c r="B846" s="12" t="str">
        <f>Absolute_Scores!B846</f>
        <v>Instagram</v>
      </c>
      <c r="C846" s="29">
        <f>Absolute_Scores!D846</f>
        <v>44</v>
      </c>
      <c r="D846" s="30">
        <f t="shared" si="37"/>
        <v>55</v>
      </c>
      <c r="F846" s="12" t="str">
        <f>Absolute_Scores!F846</f>
        <v>@deandramarissi</v>
      </c>
      <c r="G846" s="12" t="str">
        <f>Absolute_Scores!G846</f>
        <v>TikTok</v>
      </c>
      <c r="H846" s="29">
        <f>Absolute_Scores!I846</f>
        <v>50</v>
      </c>
      <c r="I846" s="30">
        <f t="shared" si="38"/>
        <v>62.5</v>
      </c>
    </row>
    <row r="847" spans="1:9">
      <c r="A847" s="12" t="str">
        <f>Absolute_Scores!A847</f>
        <v>@kimmiraa_</v>
      </c>
      <c r="B847" s="12" t="str">
        <f>Absolute_Scores!B847</f>
        <v>Instagram</v>
      </c>
      <c r="C847" s="29">
        <f>Absolute_Scores!D847</f>
        <v>44</v>
      </c>
      <c r="D847" s="30">
        <f t="shared" si="37"/>
        <v>55</v>
      </c>
      <c r="F847" s="12" t="str">
        <f>Absolute_Scores!F847</f>
        <v>@deandriani_</v>
      </c>
      <c r="G847" s="12" t="str">
        <f>Absolute_Scores!G847</f>
        <v>Instagram</v>
      </c>
      <c r="H847" s="29">
        <f>Absolute_Scores!I847</f>
        <v>50</v>
      </c>
      <c r="I847" s="30">
        <f t="shared" si="38"/>
        <v>62.5</v>
      </c>
    </row>
    <row r="848" spans="1:9">
      <c r="A848" s="12" t="str">
        <f>Absolute_Scores!A848</f>
        <v>@laidaalubis</v>
      </c>
      <c r="B848" s="12" t="str">
        <f>Absolute_Scores!B848</f>
        <v>Instagram</v>
      </c>
      <c r="C848" s="29">
        <f>Absolute_Scores!D848</f>
        <v>44</v>
      </c>
      <c r="D848" s="30">
        <f t="shared" si="37"/>
        <v>55</v>
      </c>
      <c r="F848" s="12" t="str">
        <f>Absolute_Scores!F848</f>
        <v>@debyibnuy</v>
      </c>
      <c r="G848" s="12" t="str">
        <f>Absolute_Scores!G848</f>
        <v>TikTok</v>
      </c>
      <c r="H848" s="29">
        <f>Absolute_Scores!I848</f>
        <v>50</v>
      </c>
      <c r="I848" s="30">
        <f t="shared" si="38"/>
        <v>62.5</v>
      </c>
    </row>
    <row r="849" spans="1:9">
      <c r="A849" s="12" t="str">
        <f>Absolute_Scores!A849</f>
        <v>@laurajunisa27</v>
      </c>
      <c r="B849" s="12" t="str">
        <f>Absolute_Scores!B849</f>
        <v>Instagram</v>
      </c>
      <c r="C849" s="29">
        <f>Absolute_Scores!D849</f>
        <v>44</v>
      </c>
      <c r="D849" s="30">
        <f t="shared" si="37"/>
        <v>55</v>
      </c>
      <c r="F849" s="12" t="str">
        <f>Absolute_Scores!F849</f>
        <v>@dedeivori</v>
      </c>
      <c r="G849" s="12" t="str">
        <f>Absolute_Scores!G849</f>
        <v>Instagram</v>
      </c>
      <c r="H849" s="29">
        <f>Absolute_Scores!I849</f>
        <v>50</v>
      </c>
      <c r="I849" s="30">
        <f t="shared" si="38"/>
        <v>62.5</v>
      </c>
    </row>
    <row r="850" spans="1:9">
      <c r="A850" s="12" t="str">
        <f>Absolute_Scores!A850</f>
        <v>@leavlo</v>
      </c>
      <c r="B850" s="12" t="str">
        <f>Absolute_Scores!B850</f>
        <v>Instagram</v>
      </c>
      <c r="C850" s="29">
        <f>Absolute_Scores!D850</f>
        <v>44</v>
      </c>
      <c r="D850" s="30">
        <f t="shared" si="37"/>
        <v>55</v>
      </c>
      <c r="F850" s="12" t="str">
        <f>Absolute_Scores!F850</f>
        <v>@dedesiro815</v>
      </c>
      <c r="G850" s="12" t="str">
        <f>Absolute_Scores!G850</f>
        <v>TikTok</v>
      </c>
      <c r="H850" s="29">
        <f>Absolute_Scores!I850</f>
        <v>50</v>
      </c>
      <c r="I850" s="30">
        <f t="shared" si="38"/>
        <v>62.5</v>
      </c>
    </row>
    <row r="851" spans="1:9">
      <c r="A851" s="12" t="str">
        <f>Absolute_Scores!A851</f>
        <v>@lelyramdhani.skincare</v>
      </c>
      <c r="B851" s="12" t="str">
        <f>Absolute_Scores!B851</f>
        <v>Instagram</v>
      </c>
      <c r="C851" s="29">
        <f>Absolute_Scores!D851</f>
        <v>44</v>
      </c>
      <c r="D851" s="30">
        <f t="shared" si="37"/>
        <v>55</v>
      </c>
      <c r="F851" s="12" t="str">
        <f>Absolute_Scores!F851</f>
        <v>@defgarnis</v>
      </c>
      <c r="G851" s="12" t="str">
        <f>Absolute_Scores!G851</f>
        <v>Instagram</v>
      </c>
      <c r="H851" s="29">
        <f>Absolute_Scores!I851</f>
        <v>50</v>
      </c>
      <c r="I851" s="30">
        <f t="shared" si="38"/>
        <v>62.5</v>
      </c>
    </row>
    <row r="852" spans="1:9">
      <c r="A852" s="12" t="str">
        <f>Absolute_Scores!A852</f>
        <v>@lia_hrlina</v>
      </c>
      <c r="B852" s="12" t="str">
        <f>Absolute_Scores!B852</f>
        <v>Instagram</v>
      </c>
      <c r="C852" s="29">
        <f>Absolute_Scores!D852</f>
        <v>44</v>
      </c>
      <c r="D852" s="30">
        <f t="shared" si="37"/>
        <v>55</v>
      </c>
      <c r="F852" s="12" t="str">
        <f>Absolute_Scores!F852</f>
        <v>@deganduls</v>
      </c>
      <c r="G852" s="12" t="str">
        <f>Absolute_Scores!G852</f>
        <v>TikTok</v>
      </c>
      <c r="H852" s="29">
        <f>Absolute_Scores!I852</f>
        <v>50</v>
      </c>
      <c r="I852" s="30">
        <f t="shared" si="38"/>
        <v>62.5</v>
      </c>
    </row>
    <row r="853" spans="1:9">
      <c r="A853" s="12" t="str">
        <f>Absolute_Scores!A853</f>
        <v>@lianaabbey</v>
      </c>
      <c r="B853" s="12" t="str">
        <f>Absolute_Scores!B853</f>
        <v>Instagram</v>
      </c>
      <c r="C853" s="29">
        <f>Absolute_Scores!D853</f>
        <v>44</v>
      </c>
      <c r="D853" s="30">
        <f t="shared" si="37"/>
        <v>55</v>
      </c>
      <c r="F853" s="12" t="str">
        <f>Absolute_Scores!F853</f>
        <v>@deilanofficial</v>
      </c>
      <c r="G853" s="12" t="str">
        <f>Absolute_Scores!G853</f>
        <v>TikTok</v>
      </c>
      <c r="H853" s="29">
        <f>Absolute_Scores!I853</f>
        <v>50</v>
      </c>
      <c r="I853" s="30">
        <f t="shared" si="38"/>
        <v>62.5</v>
      </c>
    </row>
    <row r="854" spans="1:9">
      <c r="A854" s="12" t="str">
        <f>Absolute_Scores!A854</f>
        <v>@lidyasalsabillaaa</v>
      </c>
      <c r="B854" s="12" t="str">
        <f>Absolute_Scores!B854</f>
        <v>Instagram</v>
      </c>
      <c r="C854" s="29">
        <f>Absolute_Scores!D854</f>
        <v>44</v>
      </c>
      <c r="D854" s="30">
        <f t="shared" si="37"/>
        <v>55</v>
      </c>
      <c r="F854" s="12" t="str">
        <f>Absolute_Scores!F854</f>
        <v>@deira.28</v>
      </c>
      <c r="G854" s="12" t="str">
        <f>Absolute_Scores!G854</f>
        <v>Instagram</v>
      </c>
      <c r="H854" s="29">
        <f>Absolute_Scores!I854</f>
        <v>50</v>
      </c>
      <c r="I854" s="30">
        <f t="shared" si="38"/>
        <v>62.5</v>
      </c>
    </row>
    <row r="855" spans="1:9">
      <c r="A855" s="12" t="str">
        <f>Absolute_Scores!A855</f>
        <v>@lilyhaniilfani</v>
      </c>
      <c r="B855" s="12" t="str">
        <f>Absolute_Scores!B855</f>
        <v>Instagram</v>
      </c>
      <c r="C855" s="29">
        <f>Absolute_Scores!D855</f>
        <v>44</v>
      </c>
      <c r="D855" s="30">
        <f t="shared" si="37"/>
        <v>55</v>
      </c>
      <c r="F855" s="12" t="str">
        <f>Absolute_Scores!F855</f>
        <v>@dela_yo</v>
      </c>
      <c r="G855" s="12" t="str">
        <f>Absolute_Scores!G855</f>
        <v>Instagram</v>
      </c>
      <c r="H855" s="29">
        <f>Absolute_Scores!I855</f>
        <v>50</v>
      </c>
      <c r="I855" s="30">
        <f t="shared" si="38"/>
        <v>62.5</v>
      </c>
    </row>
    <row r="856" spans="1:9">
      <c r="A856" s="12" t="str">
        <f>Absolute_Scores!A856</f>
        <v>@linda.haqushe</v>
      </c>
      <c r="B856" s="12" t="str">
        <f>Absolute_Scores!B856</f>
        <v>Instagram</v>
      </c>
      <c r="C856" s="29">
        <f>Absolute_Scores!D856</f>
        <v>44</v>
      </c>
      <c r="D856" s="30">
        <f t="shared" si="37"/>
        <v>55</v>
      </c>
      <c r="F856" s="12" t="str">
        <f>Absolute_Scores!F856</f>
        <v>@dellamariagracia</v>
      </c>
      <c r="G856" s="12" t="str">
        <f>Absolute_Scores!G856</f>
        <v>TikTok</v>
      </c>
      <c r="H856" s="29">
        <f>Absolute_Scores!I856</f>
        <v>50</v>
      </c>
      <c r="I856" s="30">
        <f t="shared" si="38"/>
        <v>62.5</v>
      </c>
    </row>
    <row r="857" spans="1:9">
      <c r="A857" s="12" t="str">
        <f>Absolute_Scores!A857</f>
        <v>@lintanggarini</v>
      </c>
      <c r="B857" s="12" t="str">
        <f>Absolute_Scores!B857</f>
        <v>Instagram</v>
      </c>
      <c r="C857" s="29">
        <f>Absolute_Scores!D857</f>
        <v>44</v>
      </c>
      <c r="D857" s="30">
        <f t="shared" si="37"/>
        <v>55</v>
      </c>
      <c r="F857" s="12" t="str">
        <f>Absolute_Scores!F857</f>
        <v>@dellamonika19</v>
      </c>
      <c r="G857" s="12" t="str">
        <f>Absolute_Scores!G857</f>
        <v>TikTok</v>
      </c>
      <c r="H857" s="29">
        <f>Absolute_Scores!I857</f>
        <v>50</v>
      </c>
      <c r="I857" s="30">
        <f t="shared" si="38"/>
        <v>62.5</v>
      </c>
    </row>
    <row r="858" spans="1:9">
      <c r="A858" s="12" t="str">
        <f>Absolute_Scores!A858</f>
        <v>@lisaristya88</v>
      </c>
      <c r="B858" s="12" t="str">
        <f>Absolute_Scores!B858</f>
        <v>Instagram</v>
      </c>
      <c r="C858" s="29">
        <f>Absolute_Scores!D858</f>
        <v>44</v>
      </c>
      <c r="D858" s="30">
        <f t="shared" si="37"/>
        <v>55</v>
      </c>
      <c r="F858" s="12" t="str">
        <f>Absolute_Scores!F858</f>
        <v>@deltanrmdny</v>
      </c>
      <c r="G858" s="12" t="str">
        <f>Absolute_Scores!G858</f>
        <v>TikTok</v>
      </c>
      <c r="H858" s="29">
        <f>Absolute_Scores!I858</f>
        <v>50</v>
      </c>
      <c r="I858" s="30">
        <f t="shared" si="38"/>
        <v>62.5</v>
      </c>
    </row>
    <row r="859" spans="1:9">
      <c r="A859" s="12" t="str">
        <f>Absolute_Scores!A859</f>
        <v>@listiantir28</v>
      </c>
      <c r="B859" s="12" t="str">
        <f>Absolute_Scores!B859</f>
        <v>Instagram</v>
      </c>
      <c r="C859" s="29">
        <f>Absolute_Scores!D859</f>
        <v>44</v>
      </c>
      <c r="D859" s="30">
        <f t="shared" si="37"/>
        <v>55</v>
      </c>
      <c r="F859" s="12" t="str">
        <f>Absolute_Scores!F859</f>
        <v>@dena.18</v>
      </c>
      <c r="G859" s="12" t="str">
        <f>Absolute_Scores!G859</f>
        <v>TikTok</v>
      </c>
      <c r="H859" s="29">
        <f>Absolute_Scores!I859</f>
        <v>50</v>
      </c>
      <c r="I859" s="30">
        <f t="shared" si="38"/>
        <v>62.5</v>
      </c>
    </row>
    <row r="860" spans="1:9">
      <c r="A860" s="12" t="str">
        <f>Absolute_Scores!A860</f>
        <v>@listyanadafys</v>
      </c>
      <c r="B860" s="12" t="str">
        <f>Absolute_Scores!B860</f>
        <v>Instagram</v>
      </c>
      <c r="C860" s="29">
        <f>Absolute_Scores!D860</f>
        <v>44</v>
      </c>
      <c r="D860" s="30">
        <f t="shared" si="37"/>
        <v>55</v>
      </c>
      <c r="F860" s="12" t="str">
        <f>Absolute_Scores!F860</f>
        <v>@denaaul</v>
      </c>
      <c r="G860" s="12" t="str">
        <f>Absolute_Scores!G860</f>
        <v>TikTok</v>
      </c>
      <c r="H860" s="29">
        <f>Absolute_Scores!I860</f>
        <v>50</v>
      </c>
      <c r="I860" s="30">
        <f t="shared" si="38"/>
        <v>62.5</v>
      </c>
    </row>
    <row r="861" spans="1:9">
      <c r="A861" s="12" t="str">
        <f>Absolute_Scores!A861</f>
        <v>@lita.meliana.sihotang</v>
      </c>
      <c r="B861" s="12" t="str">
        <f>Absolute_Scores!B861</f>
        <v>Instagram</v>
      </c>
      <c r="C861" s="29">
        <f>Absolute_Scores!D861</f>
        <v>44</v>
      </c>
      <c r="D861" s="30">
        <f t="shared" si="37"/>
        <v>55</v>
      </c>
      <c r="F861" s="12" t="str">
        <f>Absolute_Scores!F861</f>
        <v>@dennielyoesmita</v>
      </c>
      <c r="G861" s="12" t="str">
        <f>Absolute_Scores!G861</f>
        <v>Instagram</v>
      </c>
      <c r="H861" s="29">
        <f>Absolute_Scores!I861</f>
        <v>50</v>
      </c>
      <c r="I861" s="30">
        <f t="shared" si="38"/>
        <v>62.5</v>
      </c>
    </row>
    <row r="862" spans="1:9">
      <c r="A862" s="12" t="str">
        <f>Absolute_Scores!A862</f>
        <v>@louwysapristiati</v>
      </c>
      <c r="B862" s="12" t="str">
        <f>Absolute_Scores!B862</f>
        <v>Instagram</v>
      </c>
      <c r="C862" s="29">
        <f>Absolute_Scores!D862</f>
        <v>44</v>
      </c>
      <c r="D862" s="30">
        <f t="shared" si="37"/>
        <v>55</v>
      </c>
      <c r="F862" s="12" t="str">
        <f>Absolute_Scores!F862</f>
        <v>@dennyskenjiro</v>
      </c>
      <c r="G862" s="12" t="str">
        <f>Absolute_Scores!G862</f>
        <v>TikTok</v>
      </c>
      <c r="H862" s="29">
        <f>Absolute_Scores!I862</f>
        <v>50</v>
      </c>
      <c r="I862" s="30">
        <f t="shared" si="38"/>
        <v>62.5</v>
      </c>
    </row>
    <row r="863" spans="1:9">
      <c r="A863" s="12" t="str">
        <f>Absolute_Scores!A863</f>
        <v>@luki_female</v>
      </c>
      <c r="B863" s="12" t="str">
        <f>Absolute_Scores!B863</f>
        <v>Instagram</v>
      </c>
      <c r="C863" s="29">
        <f>Absolute_Scores!D863</f>
        <v>44</v>
      </c>
      <c r="D863" s="30">
        <f t="shared" si="37"/>
        <v>55</v>
      </c>
      <c r="F863" s="12" t="str">
        <f>Absolute_Scores!F863</f>
        <v>@depok.update</v>
      </c>
      <c r="G863" s="12" t="str">
        <f>Absolute_Scores!G863</f>
        <v>Instagram</v>
      </c>
      <c r="H863" s="29">
        <f>Absolute_Scores!I863</f>
        <v>50</v>
      </c>
      <c r="I863" s="30">
        <f t="shared" si="38"/>
        <v>62.5</v>
      </c>
    </row>
    <row r="864" spans="1:9">
      <c r="A864" s="12" t="str">
        <f>Absolute_Scores!A864</f>
        <v>@lulukimroatus</v>
      </c>
      <c r="B864" s="12" t="str">
        <f>Absolute_Scores!B864</f>
        <v>Instagram</v>
      </c>
      <c r="C864" s="29">
        <f>Absolute_Scores!D864</f>
        <v>44</v>
      </c>
      <c r="D864" s="30">
        <f t="shared" si="37"/>
        <v>55</v>
      </c>
      <c r="F864" s="12" t="str">
        <f>Absolute_Scores!F864</f>
        <v>@deprianthony</v>
      </c>
      <c r="G864" s="12" t="str">
        <f>Absolute_Scores!G864</f>
        <v>TikTok</v>
      </c>
      <c r="H864" s="29">
        <f>Absolute_Scores!I864</f>
        <v>50</v>
      </c>
      <c r="I864" s="30">
        <f t="shared" si="38"/>
        <v>62.5</v>
      </c>
    </row>
    <row r="865" spans="1:9">
      <c r="A865" s="12" t="str">
        <f>Absolute_Scores!A865</f>
        <v>@lulurahmalinaa_</v>
      </c>
      <c r="B865" s="12" t="str">
        <f>Absolute_Scores!B865</f>
        <v>Instagram</v>
      </c>
      <c r="C865" s="29">
        <f>Absolute_Scores!D865</f>
        <v>44</v>
      </c>
      <c r="D865" s="30">
        <f t="shared" si="37"/>
        <v>55</v>
      </c>
      <c r="F865" s="12" t="str">
        <f>Absolute_Scores!F865</f>
        <v>@deri_ardi</v>
      </c>
      <c r="G865" s="12" t="str">
        <f>Absolute_Scores!G865</f>
        <v>Instagram</v>
      </c>
      <c r="H865" s="29">
        <f>Absolute_Scores!I865</f>
        <v>50</v>
      </c>
      <c r="I865" s="30">
        <f t="shared" si="38"/>
        <v>62.5</v>
      </c>
    </row>
    <row r="866" spans="1:9">
      <c r="A866" s="12" t="str">
        <f>Absolute_Scores!A866</f>
        <v>@makjannahaeyo</v>
      </c>
      <c r="B866" s="12" t="str">
        <f>Absolute_Scores!B866</f>
        <v>Instagram</v>
      </c>
      <c r="C866" s="29">
        <f>Absolute_Scores!D866</f>
        <v>44</v>
      </c>
      <c r="D866" s="30">
        <f t="shared" si="37"/>
        <v>55</v>
      </c>
      <c r="F866" s="12" t="str">
        <f>Absolute_Scores!F866</f>
        <v>@derrafuadi</v>
      </c>
      <c r="G866" s="12" t="str">
        <f>Absolute_Scores!G866</f>
        <v>Instagram</v>
      </c>
      <c r="H866" s="29">
        <f>Absolute_Scores!I866</f>
        <v>50</v>
      </c>
      <c r="I866" s="30">
        <f t="shared" si="38"/>
        <v>62.5</v>
      </c>
    </row>
    <row r="867" spans="1:9">
      <c r="A867" s="12" t="str">
        <f>Absolute_Scores!A867</f>
        <v>@mamaknya.zayn</v>
      </c>
      <c r="B867" s="12" t="str">
        <f>Absolute_Scores!B867</f>
        <v>Instagram</v>
      </c>
      <c r="C867" s="29">
        <f>Absolute_Scores!D867</f>
        <v>44</v>
      </c>
      <c r="D867" s="30">
        <f t="shared" si="37"/>
        <v>55</v>
      </c>
      <c r="F867" s="12" t="str">
        <f>Absolute_Scores!F867</f>
        <v>@deshafiira</v>
      </c>
      <c r="G867" s="12" t="str">
        <f>Absolute_Scores!G867</f>
        <v>TikTok</v>
      </c>
      <c r="H867" s="29">
        <f>Absolute_Scores!I867</f>
        <v>50</v>
      </c>
      <c r="I867" s="30">
        <f t="shared" si="38"/>
        <v>62.5</v>
      </c>
    </row>
    <row r="868" spans="1:9">
      <c r="A868" s="12" t="str">
        <f>Absolute_Scores!A868</f>
        <v>@mamanatira</v>
      </c>
      <c r="B868" s="12" t="str">
        <f>Absolute_Scores!B868</f>
        <v>Instagram</v>
      </c>
      <c r="C868" s="29">
        <f>Absolute_Scores!D868</f>
        <v>44</v>
      </c>
      <c r="D868" s="30">
        <f t="shared" si="37"/>
        <v>55</v>
      </c>
      <c r="F868" s="12" t="str">
        <f>Absolute_Scores!F868</f>
        <v>@desidwiyustiani_</v>
      </c>
      <c r="G868" s="12" t="str">
        <f>Absolute_Scores!G868</f>
        <v>TikTok</v>
      </c>
      <c r="H868" s="29">
        <f>Absolute_Scores!I868</f>
        <v>50</v>
      </c>
      <c r="I868" s="30">
        <f t="shared" si="38"/>
        <v>62.5</v>
      </c>
    </row>
    <row r="869" spans="1:9">
      <c r="A869" s="12" t="str">
        <f>Absolute_Scores!A869</f>
        <v>@mandafuady</v>
      </c>
      <c r="B869" s="12" t="str">
        <f>Absolute_Scores!B869</f>
        <v>Instagram</v>
      </c>
      <c r="C869" s="29">
        <f>Absolute_Scores!D869</f>
        <v>44</v>
      </c>
      <c r="D869" s="30">
        <f t="shared" si="37"/>
        <v>55</v>
      </c>
      <c r="F869" s="12" t="str">
        <f>Absolute_Scores!F869</f>
        <v>@desiekasulistyowati</v>
      </c>
      <c r="G869" s="12" t="str">
        <f>Absolute_Scores!G869</f>
        <v>Instagram</v>
      </c>
      <c r="H869" s="29">
        <f>Absolute_Scores!I869</f>
        <v>50</v>
      </c>
      <c r="I869" s="30">
        <f t="shared" si="38"/>
        <v>62.5</v>
      </c>
    </row>
    <row r="870" spans="1:9">
      <c r="A870" s="12" t="str">
        <f>Absolute_Scores!A870</f>
        <v>@margarethbms</v>
      </c>
      <c r="B870" s="12" t="str">
        <f>Absolute_Scores!B870</f>
        <v>Instagram</v>
      </c>
      <c r="C870" s="29">
        <f>Absolute_Scores!D870</f>
        <v>44</v>
      </c>
      <c r="D870" s="30">
        <f t="shared" si="37"/>
        <v>55</v>
      </c>
      <c r="F870" s="12" t="str">
        <f>Absolute_Scores!F870</f>
        <v>@desinta_rw</v>
      </c>
      <c r="G870" s="12" t="str">
        <f>Absolute_Scores!G870</f>
        <v>Instagram</v>
      </c>
      <c r="H870" s="29">
        <f>Absolute_Scores!I870</f>
        <v>50</v>
      </c>
      <c r="I870" s="30">
        <f t="shared" si="38"/>
        <v>62.5</v>
      </c>
    </row>
    <row r="871" spans="1:9">
      <c r="A871" s="12" t="str">
        <f>Absolute_Scores!A871</f>
        <v>@marhezaayu</v>
      </c>
      <c r="B871" s="12" t="str">
        <f>Absolute_Scores!B871</f>
        <v>Instagram</v>
      </c>
      <c r="C871" s="29">
        <f>Absolute_Scores!D871</f>
        <v>44</v>
      </c>
      <c r="D871" s="30">
        <f t="shared" si="37"/>
        <v>55</v>
      </c>
      <c r="F871" s="12" t="str">
        <f>Absolute_Scores!F871</f>
        <v>@desipertiwii</v>
      </c>
      <c r="G871" s="12" t="str">
        <f>Absolute_Scores!G871</f>
        <v>Instagram</v>
      </c>
      <c r="H871" s="29">
        <f>Absolute_Scores!I871</f>
        <v>50</v>
      </c>
      <c r="I871" s="30">
        <f t="shared" si="38"/>
        <v>62.5</v>
      </c>
    </row>
    <row r="872" spans="1:9">
      <c r="A872" s="12" t="str">
        <f>Absolute_Scores!A872</f>
        <v>@marlinajourney</v>
      </c>
      <c r="B872" s="12" t="str">
        <f>Absolute_Scores!B872</f>
        <v>Instagram</v>
      </c>
      <c r="C872" s="29">
        <f>Absolute_Scores!D872</f>
        <v>44</v>
      </c>
      <c r="D872" s="30">
        <f t="shared" si="37"/>
        <v>55</v>
      </c>
      <c r="F872" s="12" t="str">
        <f>Absolute_Scores!F872</f>
        <v>@desisyaptri</v>
      </c>
      <c r="G872" s="12" t="str">
        <f>Absolute_Scores!G872</f>
        <v>TikTok</v>
      </c>
      <c r="H872" s="29">
        <f>Absolute_Scores!I872</f>
        <v>50</v>
      </c>
      <c r="I872" s="30">
        <f t="shared" si="38"/>
        <v>62.5</v>
      </c>
    </row>
    <row r="873" spans="1:9">
      <c r="A873" s="12" t="str">
        <f>Absolute_Scores!A873</f>
        <v>@marslilia.kelas</v>
      </c>
      <c r="B873" s="12" t="str">
        <f>Absolute_Scores!B873</f>
        <v>Instagram</v>
      </c>
      <c r="C873" s="29">
        <f>Absolute_Scores!D873</f>
        <v>44</v>
      </c>
      <c r="D873" s="30">
        <f t="shared" si="37"/>
        <v>55</v>
      </c>
      <c r="F873" s="12" t="str">
        <f>Absolute_Scores!F873</f>
        <v>@desliyaninatalia</v>
      </c>
      <c r="G873" s="12" t="str">
        <f>Absolute_Scores!G873</f>
        <v>Instagram</v>
      </c>
      <c r="H873" s="29">
        <f>Absolute_Scores!I873</f>
        <v>50</v>
      </c>
      <c r="I873" s="30">
        <f t="shared" si="38"/>
        <v>62.5</v>
      </c>
    </row>
    <row r="874" spans="1:9">
      <c r="A874" s="12" t="str">
        <f>Absolute_Scores!A874</f>
        <v>@mas.dikaaa</v>
      </c>
      <c r="B874" s="12" t="str">
        <f>Absolute_Scores!B874</f>
        <v>Instagram</v>
      </c>
      <c r="C874" s="29">
        <f>Absolute_Scores!D874</f>
        <v>44</v>
      </c>
      <c r="D874" s="30">
        <f t="shared" si="37"/>
        <v>55</v>
      </c>
      <c r="F874" s="12" t="str">
        <f>Absolute_Scores!F874</f>
        <v>@desmiatideudeu</v>
      </c>
      <c r="G874" s="12" t="str">
        <f>Absolute_Scores!G874</f>
        <v>TikTok</v>
      </c>
      <c r="H874" s="29">
        <f>Absolute_Scores!I874</f>
        <v>50</v>
      </c>
      <c r="I874" s="30">
        <f t="shared" si="38"/>
        <v>62.5</v>
      </c>
    </row>
    <row r="875" spans="1:9">
      <c r="A875" s="12" t="str">
        <f>Absolute_Scores!A875</f>
        <v>@mastikaws</v>
      </c>
      <c r="B875" s="12" t="str">
        <f>Absolute_Scores!B875</f>
        <v>Instagram</v>
      </c>
      <c r="C875" s="29">
        <f>Absolute_Scores!D875</f>
        <v>44</v>
      </c>
      <c r="D875" s="30">
        <f t="shared" si="37"/>
        <v>55</v>
      </c>
      <c r="F875" s="12" t="str">
        <f>Absolute_Scores!F875</f>
        <v>@desmonda.devi</v>
      </c>
      <c r="G875" s="12" t="str">
        <f>Absolute_Scores!G875</f>
        <v>TikTok</v>
      </c>
      <c r="H875" s="29">
        <f>Absolute_Scores!I875</f>
        <v>50</v>
      </c>
      <c r="I875" s="30">
        <f t="shared" si="38"/>
        <v>62.5</v>
      </c>
    </row>
    <row r="876" spans="1:9">
      <c r="A876" s="12" t="str">
        <f>Absolute_Scores!A876</f>
        <v>@mbak.julia</v>
      </c>
      <c r="B876" s="12" t="str">
        <f>Absolute_Scores!B876</f>
        <v>Instagram</v>
      </c>
      <c r="C876" s="29">
        <f>Absolute_Scores!D876</f>
        <v>44</v>
      </c>
      <c r="D876" s="30">
        <f t="shared" si="37"/>
        <v>55</v>
      </c>
      <c r="F876" s="12" t="str">
        <f>Absolute_Scores!F876</f>
        <v>@desraawr</v>
      </c>
      <c r="G876" s="12" t="str">
        <f>Absolute_Scores!G876</f>
        <v>TikTok</v>
      </c>
      <c r="H876" s="29">
        <f>Absolute_Scores!I876</f>
        <v>50</v>
      </c>
      <c r="I876" s="30">
        <f t="shared" si="38"/>
        <v>62.5</v>
      </c>
    </row>
    <row r="877" spans="1:9">
      <c r="A877" s="12" t="str">
        <f>Absolute_Scores!A877</f>
        <v>@mdtobing__</v>
      </c>
      <c r="B877" s="12" t="str">
        <f>Absolute_Scores!B877</f>
        <v>Instagram</v>
      </c>
      <c r="C877" s="29">
        <f>Absolute_Scores!D877</f>
        <v>44</v>
      </c>
      <c r="D877" s="30">
        <f t="shared" si="37"/>
        <v>55</v>
      </c>
      <c r="F877" s="12" t="str">
        <f>Absolute_Scores!F877</f>
        <v>@dessiinatalia</v>
      </c>
      <c r="G877" s="12" t="str">
        <f>Absolute_Scores!G877</f>
        <v>TikTok</v>
      </c>
      <c r="H877" s="29">
        <f>Absolute_Scores!I877</f>
        <v>50</v>
      </c>
      <c r="I877" s="30">
        <f t="shared" si="38"/>
        <v>62.5</v>
      </c>
    </row>
    <row r="878" spans="1:9">
      <c r="A878" s="12" t="str">
        <f>Absolute_Scores!A878</f>
        <v>@megaawd</v>
      </c>
      <c r="B878" s="12" t="str">
        <f>Absolute_Scores!B878</f>
        <v>Instagram</v>
      </c>
      <c r="C878" s="29">
        <f>Absolute_Scores!D878</f>
        <v>44</v>
      </c>
      <c r="D878" s="30">
        <f t="shared" si="37"/>
        <v>55</v>
      </c>
      <c r="F878" s="12" t="str">
        <f>Absolute_Scores!F878</f>
        <v>@dessyandrianipratiwi</v>
      </c>
      <c r="G878" s="12" t="str">
        <f>Absolute_Scores!G878</f>
        <v>Instagram</v>
      </c>
      <c r="H878" s="29">
        <f>Absolute_Scores!I878</f>
        <v>50</v>
      </c>
      <c r="I878" s="30">
        <f t="shared" si="38"/>
        <v>62.5</v>
      </c>
    </row>
    <row r="879" spans="1:9">
      <c r="A879" s="12" t="str">
        <f>Absolute_Scores!A879</f>
        <v>@meighayudyh</v>
      </c>
      <c r="B879" s="12" t="str">
        <f>Absolute_Scores!B879</f>
        <v>Instagram</v>
      </c>
      <c r="C879" s="29">
        <f>Absolute_Scores!D879</f>
        <v>44</v>
      </c>
      <c r="D879" s="30">
        <f t="shared" si="37"/>
        <v>55</v>
      </c>
      <c r="F879" s="12" t="str">
        <f>Absolute_Scores!F879</f>
        <v>@dessydyl</v>
      </c>
      <c r="G879" s="12" t="str">
        <f>Absolute_Scores!G879</f>
        <v>TikTok</v>
      </c>
      <c r="H879" s="29">
        <f>Absolute_Scores!I879</f>
        <v>50</v>
      </c>
      <c r="I879" s="30">
        <f t="shared" si="38"/>
        <v>62.5</v>
      </c>
    </row>
    <row r="880" spans="1:9">
      <c r="A880" s="12" t="str">
        <f>Absolute_Scores!A880</f>
        <v>@michavier_instag</v>
      </c>
      <c r="B880" s="12" t="str">
        <f>Absolute_Scores!B880</f>
        <v>Instagram</v>
      </c>
      <c r="C880" s="29">
        <f>Absolute_Scores!D880</f>
        <v>44</v>
      </c>
      <c r="D880" s="30">
        <f t="shared" si="37"/>
        <v>55</v>
      </c>
      <c r="F880" s="12" t="str">
        <f>Absolute_Scores!F880</f>
        <v>@dessykarinalestari</v>
      </c>
      <c r="G880" s="12" t="str">
        <f>Absolute_Scores!G880</f>
        <v>TikTok</v>
      </c>
      <c r="H880" s="29">
        <f>Absolute_Scores!I880</f>
        <v>50</v>
      </c>
      <c r="I880" s="30">
        <f t="shared" si="38"/>
        <v>62.5</v>
      </c>
    </row>
    <row r="881" spans="1:9">
      <c r="A881" s="12" t="str">
        <f>Absolute_Scores!A881</f>
        <v>@momysisiel</v>
      </c>
      <c r="B881" s="12" t="str">
        <f>Absolute_Scores!B881</f>
        <v>Instagram</v>
      </c>
      <c r="C881" s="29">
        <f>Absolute_Scores!D881</f>
        <v>44</v>
      </c>
      <c r="D881" s="30">
        <f t="shared" si="37"/>
        <v>55</v>
      </c>
      <c r="F881" s="12" t="str">
        <f>Absolute_Scores!F881</f>
        <v>@dessytsr_</v>
      </c>
      <c r="G881" s="12" t="str">
        <f>Absolute_Scores!G881</f>
        <v>Instagram</v>
      </c>
      <c r="H881" s="29">
        <f>Absolute_Scores!I881</f>
        <v>50</v>
      </c>
      <c r="I881" s="30">
        <f t="shared" si="38"/>
        <v>62.5</v>
      </c>
    </row>
    <row r="882" spans="1:9">
      <c r="A882" s="12" t="str">
        <f>Absolute_Scores!A882</f>
        <v>@mrs.italyono</v>
      </c>
      <c r="B882" s="12" t="str">
        <f>Absolute_Scores!B882</f>
        <v>Instagram</v>
      </c>
      <c r="C882" s="29">
        <f>Absolute_Scores!D882</f>
        <v>44</v>
      </c>
      <c r="D882" s="30">
        <f t="shared" si="37"/>
        <v>55</v>
      </c>
      <c r="F882" s="12" t="str">
        <f>Absolute_Scores!F882</f>
        <v>@destianti5</v>
      </c>
      <c r="G882" s="12" t="str">
        <f>Absolute_Scores!G882</f>
        <v>TikTok</v>
      </c>
      <c r="H882" s="29">
        <f>Absolute_Scores!I882</f>
        <v>50</v>
      </c>
      <c r="I882" s="30">
        <f t="shared" si="38"/>
        <v>62.5</v>
      </c>
    </row>
    <row r="883" spans="1:9">
      <c r="A883" s="12" t="str">
        <f>Absolute_Scores!A883</f>
        <v>@mrsniaaaa___</v>
      </c>
      <c r="B883" s="12" t="str">
        <f>Absolute_Scores!B883</f>
        <v>Instagram</v>
      </c>
      <c r="C883" s="29">
        <f>Absolute_Scores!D883</f>
        <v>44</v>
      </c>
      <c r="D883" s="30">
        <f t="shared" si="37"/>
        <v>55</v>
      </c>
      <c r="F883" s="12" t="str">
        <f>Absolute_Scores!F883</f>
        <v>@destyamiq</v>
      </c>
      <c r="G883" s="12" t="str">
        <f>Absolute_Scores!G883</f>
        <v>Instagram</v>
      </c>
      <c r="H883" s="29">
        <f>Absolute_Scores!I883</f>
        <v>50</v>
      </c>
      <c r="I883" s="30">
        <f t="shared" si="38"/>
        <v>62.5</v>
      </c>
    </row>
    <row r="884" spans="1:9">
      <c r="A884" s="12" t="str">
        <f>Absolute_Scores!A884</f>
        <v>@mrsvitasyifa</v>
      </c>
      <c r="B884" s="12" t="str">
        <f>Absolute_Scores!B884</f>
        <v>Instagram</v>
      </c>
      <c r="C884" s="29">
        <f>Absolute_Scores!D884</f>
        <v>44</v>
      </c>
      <c r="D884" s="30">
        <f t="shared" si="37"/>
        <v>55</v>
      </c>
      <c r="F884" s="12" t="str">
        <f>Absolute_Scores!F884</f>
        <v>@desy_oktaviasari</v>
      </c>
      <c r="G884" s="12" t="str">
        <f>Absolute_Scores!G884</f>
        <v>Instagram</v>
      </c>
      <c r="H884" s="29">
        <f>Absolute_Scores!I884</f>
        <v>50</v>
      </c>
      <c r="I884" s="30">
        <f t="shared" si="38"/>
        <v>62.5</v>
      </c>
    </row>
    <row r="885" spans="1:9">
      <c r="A885" s="12" t="str">
        <f>Absolute_Scores!A885</f>
        <v>@mukti.agt</v>
      </c>
      <c r="B885" s="12" t="str">
        <f>Absolute_Scores!B885</f>
        <v>Instagram</v>
      </c>
      <c r="C885" s="29">
        <f>Absolute_Scores!D885</f>
        <v>44</v>
      </c>
      <c r="D885" s="30">
        <f t="shared" si="37"/>
        <v>55</v>
      </c>
      <c r="F885" s="12" t="str">
        <f>Absolute_Scores!F885</f>
        <v>@desyaris.ayzara</v>
      </c>
      <c r="G885" s="12" t="str">
        <f>Absolute_Scores!G885</f>
        <v>Instagram</v>
      </c>
      <c r="H885" s="29">
        <f>Absolute_Scores!I885</f>
        <v>50</v>
      </c>
      <c r="I885" s="30">
        <f t="shared" si="38"/>
        <v>62.5</v>
      </c>
    </row>
    <row r="886" spans="1:9">
      <c r="A886" s="12" t="str">
        <f>Absolute_Scores!A886</f>
        <v>@nabilaaprln</v>
      </c>
      <c r="B886" s="12" t="str">
        <f>Absolute_Scores!B886</f>
        <v>Instagram</v>
      </c>
      <c r="C886" s="29">
        <f>Absolute_Scores!D886</f>
        <v>44</v>
      </c>
      <c r="D886" s="30">
        <f t="shared" si="37"/>
        <v>55</v>
      </c>
      <c r="F886" s="12" t="str">
        <f>Absolute_Scores!F886</f>
        <v>@detalinalviza_</v>
      </c>
      <c r="G886" s="12" t="str">
        <f>Absolute_Scores!G886</f>
        <v>Instagram</v>
      </c>
      <c r="H886" s="29">
        <f>Absolute_Scores!I886</f>
        <v>50</v>
      </c>
      <c r="I886" s="30">
        <f t="shared" si="38"/>
        <v>62.5</v>
      </c>
    </row>
    <row r="887" spans="1:9">
      <c r="A887" s="12" t="str">
        <f>Absolute_Scores!A887</f>
        <v>@naddy234</v>
      </c>
      <c r="B887" s="12" t="str">
        <f>Absolute_Scores!B887</f>
        <v>Instagram</v>
      </c>
      <c r="C887" s="29">
        <f>Absolute_Scores!D887</f>
        <v>44</v>
      </c>
      <c r="D887" s="30">
        <f t="shared" si="37"/>
        <v>55</v>
      </c>
      <c r="F887" s="12" t="str">
        <f>Absolute_Scores!F887</f>
        <v>@devikustinaw</v>
      </c>
      <c r="G887" s="12" t="str">
        <f>Absolute_Scores!G887</f>
        <v>Instagram</v>
      </c>
      <c r="H887" s="29">
        <f>Absolute_Scores!I887</f>
        <v>50</v>
      </c>
      <c r="I887" s="30">
        <f t="shared" si="38"/>
        <v>62.5</v>
      </c>
    </row>
    <row r="888" spans="1:9">
      <c r="A888" s="12" t="str">
        <f>Absolute_Scores!A888</f>
        <v>@nadiaerlinia20</v>
      </c>
      <c r="B888" s="12" t="str">
        <f>Absolute_Scores!B888</f>
        <v>Instagram</v>
      </c>
      <c r="C888" s="29">
        <f>Absolute_Scores!D888</f>
        <v>44</v>
      </c>
      <c r="D888" s="30">
        <f t="shared" si="37"/>
        <v>55</v>
      </c>
      <c r="F888" s="12" t="str">
        <f>Absolute_Scores!F888</f>
        <v>@devinasusantoo</v>
      </c>
      <c r="G888" s="12" t="str">
        <f>Absolute_Scores!G888</f>
        <v>Instagram</v>
      </c>
      <c r="H888" s="29">
        <f>Absolute_Scores!I888</f>
        <v>50</v>
      </c>
      <c r="I888" s="30">
        <f t="shared" si="38"/>
        <v>62.5</v>
      </c>
    </row>
    <row r="889" spans="1:9">
      <c r="A889" s="12" t="str">
        <f>Absolute_Scores!A889</f>
        <v>@nadianst16</v>
      </c>
      <c r="B889" s="12" t="str">
        <f>Absolute_Scores!B889</f>
        <v>Instagram</v>
      </c>
      <c r="C889" s="29">
        <f>Absolute_Scores!D889</f>
        <v>44</v>
      </c>
      <c r="D889" s="30">
        <f t="shared" si="37"/>
        <v>55</v>
      </c>
      <c r="F889" s="12" t="str">
        <f>Absolute_Scores!F889</f>
        <v>@devirafika22</v>
      </c>
      <c r="G889" s="12" t="str">
        <f>Absolute_Scores!G889</f>
        <v>Instagram</v>
      </c>
      <c r="H889" s="29">
        <f>Absolute_Scores!I889</f>
        <v>50</v>
      </c>
      <c r="I889" s="30">
        <f t="shared" si="38"/>
        <v>62.5</v>
      </c>
    </row>
    <row r="890" spans="1:9">
      <c r="A890" s="12" t="str">
        <f>Absolute_Scores!A890</f>
        <v>@nadinamizah.id</v>
      </c>
      <c r="B890" s="12" t="str">
        <f>Absolute_Scores!B890</f>
        <v>Instagram</v>
      </c>
      <c r="C890" s="29">
        <f>Absolute_Scores!D890</f>
        <v>44</v>
      </c>
      <c r="D890" s="30">
        <f t="shared" si="37"/>
        <v>55</v>
      </c>
      <c r="F890" s="12" t="str">
        <f>Absolute_Scores!F890</f>
        <v>@devirininta</v>
      </c>
      <c r="G890" s="12" t="str">
        <f>Absolute_Scores!G890</f>
        <v>Instagram</v>
      </c>
      <c r="H890" s="29">
        <f>Absolute_Scores!I890</f>
        <v>50</v>
      </c>
      <c r="I890" s="30">
        <f t="shared" si="38"/>
        <v>62.5</v>
      </c>
    </row>
    <row r="891" spans="1:9">
      <c r="A891" s="12" t="str">
        <f>Absolute_Scores!A891</f>
        <v>@nadirandr_</v>
      </c>
      <c r="B891" s="12" t="str">
        <f>Absolute_Scores!B891</f>
        <v>Instagram</v>
      </c>
      <c r="C891" s="29">
        <f>Absolute_Scores!D891</f>
        <v>44</v>
      </c>
      <c r="D891" s="30">
        <f t="shared" si="37"/>
        <v>55</v>
      </c>
      <c r="F891" s="12" t="str">
        <f>Absolute_Scores!F891</f>
        <v>@dewi_defor</v>
      </c>
      <c r="G891" s="12" t="str">
        <f>Absolute_Scores!G891</f>
        <v>TikTok</v>
      </c>
      <c r="H891" s="29">
        <f>Absolute_Scores!I891</f>
        <v>50</v>
      </c>
      <c r="I891" s="30">
        <f t="shared" si="38"/>
        <v>62.5</v>
      </c>
    </row>
    <row r="892" spans="1:9">
      <c r="A892" s="12" t="str">
        <f>Absolute_Scores!A892</f>
        <v>@nanidiansofiana</v>
      </c>
      <c r="B892" s="12" t="str">
        <f>Absolute_Scores!B892</f>
        <v>Instagram</v>
      </c>
      <c r="C892" s="29">
        <f>Absolute_Scores!D892</f>
        <v>44</v>
      </c>
      <c r="D892" s="30">
        <f t="shared" si="37"/>
        <v>55</v>
      </c>
      <c r="F892" s="12" t="str">
        <f>Absolute_Scores!F892</f>
        <v>@dewicahyaprawita</v>
      </c>
      <c r="G892" s="12" t="str">
        <f>Absolute_Scores!G892</f>
        <v>Instagram</v>
      </c>
      <c r="H892" s="29">
        <f>Absolute_Scores!I892</f>
        <v>50</v>
      </c>
      <c r="I892" s="30">
        <f t="shared" si="38"/>
        <v>62.5</v>
      </c>
    </row>
    <row r="893" spans="1:9">
      <c r="A893" s="12" t="str">
        <f>Absolute_Scores!A893</f>
        <v>@nara_elfreda</v>
      </c>
      <c r="B893" s="12" t="str">
        <f>Absolute_Scores!B893</f>
        <v>Instagram</v>
      </c>
      <c r="C893" s="29">
        <f>Absolute_Scores!D893</f>
        <v>44</v>
      </c>
      <c r="D893" s="30">
        <f t="shared" si="37"/>
        <v>55</v>
      </c>
      <c r="F893" s="12" t="str">
        <f>Absolute_Scores!F893</f>
        <v>@dewiikrisma22</v>
      </c>
      <c r="G893" s="12" t="str">
        <f>Absolute_Scores!G893</f>
        <v>Instagram</v>
      </c>
      <c r="H893" s="29">
        <f>Absolute_Scores!I893</f>
        <v>50</v>
      </c>
      <c r="I893" s="30">
        <f t="shared" si="38"/>
        <v>62.5</v>
      </c>
    </row>
    <row r="894" spans="1:9">
      <c r="A894" s="12" t="str">
        <f>Absolute_Scores!A894</f>
        <v>@naura_anandaputri</v>
      </c>
      <c r="B894" s="12" t="str">
        <f>Absolute_Scores!B894</f>
        <v>Instagram</v>
      </c>
      <c r="C894" s="29">
        <f>Absolute_Scores!D894</f>
        <v>44</v>
      </c>
      <c r="D894" s="30">
        <f t="shared" si="37"/>
        <v>55</v>
      </c>
      <c r="F894" s="12" t="str">
        <f>Absolute_Scores!F894</f>
        <v>@dewiirmayanti30</v>
      </c>
      <c r="G894" s="12" t="str">
        <f>Absolute_Scores!G894</f>
        <v>TikTok</v>
      </c>
      <c r="H894" s="29">
        <f>Absolute_Scores!I894</f>
        <v>50</v>
      </c>
      <c r="I894" s="30">
        <f t="shared" si="38"/>
        <v>62.5</v>
      </c>
    </row>
    <row r="895" spans="1:9">
      <c r="A895" s="12" t="str">
        <f>Absolute_Scores!A895</f>
        <v>@nazla_hani</v>
      </c>
      <c r="B895" s="12" t="str">
        <f>Absolute_Scores!B895</f>
        <v>Instagram</v>
      </c>
      <c r="C895" s="29">
        <f>Absolute_Scores!D895</f>
        <v>44</v>
      </c>
      <c r="D895" s="30">
        <f t="shared" si="37"/>
        <v>55</v>
      </c>
      <c r="F895" s="12" t="str">
        <f>Absolute_Scores!F895</f>
        <v>@dewiseptya09</v>
      </c>
      <c r="G895" s="12" t="str">
        <f>Absolute_Scores!G895</f>
        <v>Instagram</v>
      </c>
      <c r="H895" s="29">
        <f>Absolute_Scores!I895</f>
        <v>50</v>
      </c>
      <c r="I895" s="30">
        <f t="shared" si="38"/>
        <v>62.5</v>
      </c>
    </row>
    <row r="896" spans="1:9">
      <c r="A896" s="12" t="str">
        <f>Absolute_Scores!A896</f>
        <v>@neenengtv</v>
      </c>
      <c r="B896" s="12" t="str">
        <f>Absolute_Scores!B896</f>
        <v>Instagram</v>
      </c>
      <c r="C896" s="29">
        <f>Absolute_Scores!D896</f>
        <v>44</v>
      </c>
      <c r="D896" s="30">
        <f t="shared" si="37"/>
        <v>55</v>
      </c>
      <c r="F896" s="12" t="str">
        <f>Absolute_Scores!F896</f>
        <v>@dfriza_</v>
      </c>
      <c r="G896" s="12" t="str">
        <f>Absolute_Scores!G896</f>
        <v>Instagram</v>
      </c>
      <c r="H896" s="29">
        <f>Absolute_Scores!I896</f>
        <v>50</v>
      </c>
      <c r="I896" s="30">
        <f t="shared" si="38"/>
        <v>62.5</v>
      </c>
    </row>
    <row r="897" spans="1:9">
      <c r="A897" s="12" t="str">
        <f>Absolute_Scores!A897</f>
        <v>@nengsepty_</v>
      </c>
      <c r="B897" s="12" t="str">
        <f>Absolute_Scores!B897</f>
        <v>Instagram</v>
      </c>
      <c r="C897" s="29">
        <f>Absolute_Scores!D897</f>
        <v>44</v>
      </c>
      <c r="D897" s="30">
        <f t="shared" si="37"/>
        <v>55</v>
      </c>
      <c r="F897" s="12" t="str">
        <f>Absolute_Scores!F897</f>
        <v>@dhannicha</v>
      </c>
      <c r="G897" s="12" t="str">
        <f>Absolute_Scores!G897</f>
        <v>TikTok</v>
      </c>
      <c r="H897" s="29">
        <f>Absolute_Scores!I897</f>
        <v>50</v>
      </c>
      <c r="I897" s="30">
        <f t="shared" si="38"/>
        <v>62.5</v>
      </c>
    </row>
    <row r="898" spans="1:9">
      <c r="A898" s="12" t="str">
        <f>Absolute_Scores!A898</f>
        <v>@ni.kadekrai</v>
      </c>
      <c r="B898" s="12" t="str">
        <f>Absolute_Scores!B898</f>
        <v>Instagram</v>
      </c>
      <c r="C898" s="29">
        <f>Absolute_Scores!D898</f>
        <v>44</v>
      </c>
      <c r="D898" s="30">
        <f t="shared" si="37"/>
        <v>55</v>
      </c>
      <c r="F898" s="12" t="str">
        <f>Absolute_Scores!F898</f>
        <v>@dheadelavega</v>
      </c>
      <c r="G898" s="12" t="str">
        <f>Absolute_Scores!G898</f>
        <v>TikTok</v>
      </c>
      <c r="H898" s="29">
        <f>Absolute_Scores!I898</f>
        <v>50</v>
      </c>
      <c r="I898" s="30">
        <f t="shared" si="38"/>
        <v>62.5</v>
      </c>
    </row>
    <row r="899" spans="1:9">
      <c r="A899" s="12" t="str">
        <f>Absolute_Scores!A899</f>
        <v>@nickittaiskandar</v>
      </c>
      <c r="B899" s="12" t="str">
        <f>Absolute_Scores!B899</f>
        <v>Instagram</v>
      </c>
      <c r="C899" s="29">
        <f>Absolute_Scores!D899</f>
        <v>44</v>
      </c>
      <c r="D899" s="30">
        <f t="shared" si="37"/>
        <v>55</v>
      </c>
      <c r="F899" s="12" t="str">
        <f>Absolute_Scores!F899</f>
        <v>@dheafeb</v>
      </c>
      <c r="G899" s="12" t="str">
        <f>Absolute_Scores!G899</f>
        <v>Instagram</v>
      </c>
      <c r="H899" s="29">
        <f>Absolute_Scores!I899</f>
        <v>50</v>
      </c>
      <c r="I899" s="30">
        <f t="shared" si="38"/>
        <v>62.5</v>
      </c>
    </row>
    <row r="900" spans="1:9">
      <c r="A900" s="12" t="str">
        <f>Absolute_Scores!A900</f>
        <v>@nina.alfa</v>
      </c>
      <c r="B900" s="12" t="str">
        <f>Absolute_Scores!B900</f>
        <v>Instagram</v>
      </c>
      <c r="C900" s="29">
        <f>Absolute_Scores!D900</f>
        <v>44</v>
      </c>
      <c r="D900" s="30">
        <f t="shared" si="37"/>
        <v>55</v>
      </c>
      <c r="F900" s="12" t="str">
        <f>Absolute_Scores!F900</f>
        <v>@dheofauzi</v>
      </c>
      <c r="G900" s="12" t="str">
        <f>Absolute_Scores!G900</f>
        <v>TikTok</v>
      </c>
      <c r="H900" s="29">
        <f>Absolute_Scores!I900</f>
        <v>50</v>
      </c>
      <c r="I900" s="30">
        <f t="shared" si="38"/>
        <v>62.5</v>
      </c>
    </row>
    <row r="901" spans="1:9">
      <c r="A901" s="12" t="str">
        <f>Absolute_Scores!A901</f>
        <v>@ninna_linggasari</v>
      </c>
      <c r="B901" s="12" t="str">
        <f>Absolute_Scores!B901</f>
        <v>Instagram</v>
      </c>
      <c r="C901" s="29">
        <f>Absolute_Scores!D901</f>
        <v>44</v>
      </c>
      <c r="D901" s="30">
        <f t="shared" si="37"/>
        <v>55</v>
      </c>
      <c r="F901" s="12" t="str">
        <f>Absolute_Scores!F901</f>
        <v>@dheryamonicc</v>
      </c>
      <c r="G901" s="12" t="str">
        <f>Absolute_Scores!G901</f>
        <v>TikTok</v>
      </c>
      <c r="H901" s="29">
        <f>Absolute_Scores!I901</f>
        <v>50</v>
      </c>
      <c r="I901" s="30">
        <f t="shared" si="38"/>
        <v>62.5</v>
      </c>
    </row>
    <row r="902" spans="1:9">
      <c r="A902" s="12" t="str">
        <f>Absolute_Scores!A902</f>
        <v>@nisanichan31</v>
      </c>
      <c r="B902" s="12" t="str">
        <f>Absolute_Scores!B902</f>
        <v>Instagram</v>
      </c>
      <c r="C902" s="29">
        <f>Absolute_Scores!D902</f>
        <v>44</v>
      </c>
      <c r="D902" s="30">
        <f t="shared" ref="D902:D965" si="39">ROUND(C902/$D$4*100,2)</f>
        <v>55</v>
      </c>
      <c r="F902" s="12" t="str">
        <f>Absolute_Scores!F902</f>
        <v>@dhilgha</v>
      </c>
      <c r="G902" s="12" t="str">
        <f>Absolute_Scores!G902</f>
        <v>Instagram</v>
      </c>
      <c r="H902" s="29">
        <f>Absolute_Scores!I902</f>
        <v>50</v>
      </c>
      <c r="I902" s="30">
        <f t="shared" ref="I902:I965" si="40">ROUND(H902/$I$4*100,2)</f>
        <v>62.5</v>
      </c>
    </row>
    <row r="903" spans="1:9">
      <c r="A903" s="12" t="str">
        <f>Absolute_Scores!A903</f>
        <v>@novanan</v>
      </c>
      <c r="B903" s="12" t="str">
        <f>Absolute_Scores!B903</f>
        <v>Instagram</v>
      </c>
      <c r="C903" s="29">
        <f>Absolute_Scores!D903</f>
        <v>44</v>
      </c>
      <c r="D903" s="30">
        <f t="shared" si="39"/>
        <v>55</v>
      </c>
      <c r="F903" s="12" t="str">
        <f>Absolute_Scores!F903</f>
        <v>@dhinafd</v>
      </c>
      <c r="G903" s="12" t="str">
        <f>Absolute_Scores!G903</f>
        <v>Instagram</v>
      </c>
      <c r="H903" s="29">
        <f>Absolute_Scores!I903</f>
        <v>50</v>
      </c>
      <c r="I903" s="30">
        <f t="shared" si="40"/>
        <v>62.5</v>
      </c>
    </row>
    <row r="904" spans="1:9">
      <c r="A904" s="12" t="str">
        <f>Absolute_Scores!A904</f>
        <v>@nurfadhilahlaia18</v>
      </c>
      <c r="B904" s="12" t="str">
        <f>Absolute_Scores!B904</f>
        <v>Instagram</v>
      </c>
      <c r="C904" s="29">
        <f>Absolute_Scores!D904</f>
        <v>44</v>
      </c>
      <c r="D904" s="30">
        <f t="shared" si="39"/>
        <v>55</v>
      </c>
      <c r="F904" s="12" t="str">
        <f>Absolute_Scores!F904</f>
        <v>@dhiomahesaa_07</v>
      </c>
      <c r="G904" s="12" t="str">
        <f>Absolute_Scores!G904</f>
        <v>Instagram</v>
      </c>
      <c r="H904" s="29">
        <f>Absolute_Scores!I904</f>
        <v>50</v>
      </c>
      <c r="I904" s="30">
        <f t="shared" si="40"/>
        <v>62.5</v>
      </c>
    </row>
    <row r="905" spans="1:9">
      <c r="A905" s="12" t="str">
        <f>Absolute_Scores!A905</f>
        <v>@nuri_nurpurwaningsih</v>
      </c>
      <c r="B905" s="12" t="str">
        <f>Absolute_Scores!B905</f>
        <v>Instagram</v>
      </c>
      <c r="C905" s="29">
        <f>Absolute_Scores!D905</f>
        <v>44</v>
      </c>
      <c r="D905" s="30">
        <f t="shared" si="39"/>
        <v>55</v>
      </c>
      <c r="F905" s="12" t="str">
        <f>Absolute_Scores!F905</f>
        <v>@dhita.deasy</v>
      </c>
      <c r="G905" s="12" t="str">
        <f>Absolute_Scores!G905</f>
        <v>Instagram</v>
      </c>
      <c r="H905" s="29">
        <f>Absolute_Scores!I905</f>
        <v>50</v>
      </c>
      <c r="I905" s="30">
        <f t="shared" si="40"/>
        <v>62.5</v>
      </c>
    </row>
    <row r="906" spans="1:9">
      <c r="A906" s="12" t="str">
        <f>Absolute_Scores!A906</f>
        <v>@nurulwidiyanti18</v>
      </c>
      <c r="B906" s="12" t="str">
        <f>Absolute_Scores!B906</f>
        <v>Instagram</v>
      </c>
      <c r="C906" s="29">
        <f>Absolute_Scores!D906</f>
        <v>44</v>
      </c>
      <c r="D906" s="30">
        <f t="shared" si="39"/>
        <v>55</v>
      </c>
      <c r="F906" s="12" t="str">
        <f>Absolute_Scores!F906</f>
        <v>@dhonet</v>
      </c>
      <c r="G906" s="12" t="str">
        <f>Absolute_Scores!G906</f>
        <v>TikTok</v>
      </c>
      <c r="H906" s="29">
        <f>Absolute_Scores!I906</f>
        <v>50</v>
      </c>
      <c r="I906" s="30">
        <f t="shared" si="40"/>
        <v>62.5</v>
      </c>
    </row>
    <row r="907" spans="1:9">
      <c r="A907" s="12" t="str">
        <f>Absolute_Scores!A907</f>
        <v>@nyuzhella_mahasetia</v>
      </c>
      <c r="B907" s="12" t="str">
        <f>Absolute_Scores!B907</f>
        <v>Instagram</v>
      </c>
      <c r="C907" s="29">
        <f>Absolute_Scores!D907</f>
        <v>44</v>
      </c>
      <c r="D907" s="30">
        <f t="shared" si="39"/>
        <v>55</v>
      </c>
      <c r="F907" s="12" t="str">
        <f>Absolute_Scores!F907</f>
        <v>@diahayuaryn_</v>
      </c>
      <c r="G907" s="12" t="str">
        <f>Absolute_Scores!G907</f>
        <v>Instagram</v>
      </c>
      <c r="H907" s="29">
        <f>Absolute_Scores!I907</f>
        <v>50</v>
      </c>
      <c r="I907" s="30">
        <f t="shared" si="40"/>
        <v>62.5</v>
      </c>
    </row>
    <row r="908" spans="1:9">
      <c r="A908" s="12" t="str">
        <f>Absolute_Scores!A908</f>
        <v>@oei_lanlan</v>
      </c>
      <c r="B908" s="12" t="str">
        <f>Absolute_Scores!B908</f>
        <v>Instagram</v>
      </c>
      <c r="C908" s="29">
        <f>Absolute_Scores!D908</f>
        <v>44</v>
      </c>
      <c r="D908" s="30">
        <f t="shared" si="39"/>
        <v>55</v>
      </c>
      <c r="F908" s="12" t="str">
        <f>Absolute_Scores!F908</f>
        <v>@diahhardii</v>
      </c>
      <c r="G908" s="12" t="str">
        <f>Absolute_Scores!G908</f>
        <v>Instagram</v>
      </c>
      <c r="H908" s="29">
        <f>Absolute_Scores!I908</f>
        <v>50</v>
      </c>
      <c r="I908" s="30">
        <f t="shared" si="40"/>
        <v>62.5</v>
      </c>
    </row>
    <row r="909" spans="1:9">
      <c r="A909" s="12" t="str">
        <f>Absolute_Scores!A909</f>
        <v>@official.barbienouva</v>
      </c>
      <c r="B909" s="12" t="str">
        <f>Absolute_Scores!B909</f>
        <v>Instagram</v>
      </c>
      <c r="C909" s="29">
        <f>Absolute_Scores!D909</f>
        <v>44</v>
      </c>
      <c r="D909" s="30">
        <f t="shared" si="39"/>
        <v>55</v>
      </c>
      <c r="F909" s="12" t="str">
        <f>Absolute_Scores!F909</f>
        <v>@diahrosanti82</v>
      </c>
      <c r="G909" s="12" t="str">
        <f>Absolute_Scores!G909</f>
        <v>TikTok</v>
      </c>
      <c r="H909" s="29">
        <f>Absolute_Scores!I909</f>
        <v>50</v>
      </c>
      <c r="I909" s="30">
        <f t="shared" si="40"/>
        <v>62.5</v>
      </c>
    </row>
    <row r="910" spans="1:9">
      <c r="A910" s="12" t="str">
        <f>Absolute_Scores!A910</f>
        <v>@olyvia_kerin</v>
      </c>
      <c r="B910" s="12" t="str">
        <f>Absolute_Scores!B910</f>
        <v>Instagram</v>
      </c>
      <c r="C910" s="29">
        <f>Absolute_Scores!D910</f>
        <v>44</v>
      </c>
      <c r="D910" s="30">
        <f t="shared" si="39"/>
        <v>55</v>
      </c>
      <c r="F910" s="12" t="str">
        <f>Absolute_Scores!F910</f>
        <v>@diana_vianiii</v>
      </c>
      <c r="G910" s="12" t="str">
        <f>Absolute_Scores!G910</f>
        <v>Instagram</v>
      </c>
      <c r="H910" s="29">
        <f>Absolute_Scores!I910</f>
        <v>50</v>
      </c>
      <c r="I910" s="30">
        <f t="shared" si="40"/>
        <v>62.5</v>
      </c>
    </row>
    <row r="911" spans="1:9">
      <c r="A911" s="12" t="str">
        <f>Absolute_Scores!A911</f>
        <v>@on.ly.hom</v>
      </c>
      <c r="B911" s="12" t="str">
        <f>Absolute_Scores!B911</f>
        <v>Instagram</v>
      </c>
      <c r="C911" s="29">
        <f>Absolute_Scores!D911</f>
        <v>44</v>
      </c>
      <c r="D911" s="30">
        <f t="shared" si="39"/>
        <v>55</v>
      </c>
      <c r="F911" s="12" t="str">
        <f>Absolute_Scores!F911</f>
        <v>@dianasrrhmwt</v>
      </c>
      <c r="G911" s="12" t="str">
        <f>Absolute_Scores!G911</f>
        <v>Instagram</v>
      </c>
      <c r="H911" s="29">
        <f>Absolute_Scores!I911</f>
        <v>50</v>
      </c>
      <c r="I911" s="30">
        <f t="shared" si="40"/>
        <v>62.5</v>
      </c>
    </row>
    <row r="912" spans="1:9">
      <c r="A912" s="12" t="str">
        <f>Absolute_Scores!A912</f>
        <v>@panggilvanyaja</v>
      </c>
      <c r="B912" s="12" t="str">
        <f>Absolute_Scores!B912</f>
        <v>Instagram</v>
      </c>
      <c r="C912" s="29">
        <f>Absolute_Scores!D912</f>
        <v>44</v>
      </c>
      <c r="D912" s="30">
        <f t="shared" si="39"/>
        <v>55</v>
      </c>
      <c r="F912" s="12" t="str">
        <f>Absolute_Scores!F912</f>
        <v>@diancagrcl</v>
      </c>
      <c r="G912" s="12" t="str">
        <f>Absolute_Scores!G912</f>
        <v>TikTok</v>
      </c>
      <c r="H912" s="29">
        <f>Absolute_Scores!I912</f>
        <v>50</v>
      </c>
      <c r="I912" s="30">
        <f t="shared" si="40"/>
        <v>62.5</v>
      </c>
    </row>
    <row r="913" spans="1:9">
      <c r="A913" s="12" t="str">
        <f>Absolute_Scores!A913</f>
        <v>@pebrianti_ines</v>
      </c>
      <c r="B913" s="12" t="str">
        <f>Absolute_Scores!B913</f>
        <v>Instagram</v>
      </c>
      <c r="C913" s="29">
        <f>Absolute_Scores!D913</f>
        <v>44</v>
      </c>
      <c r="D913" s="30">
        <f t="shared" si="39"/>
        <v>55</v>
      </c>
      <c r="F913" s="12" t="str">
        <f>Absolute_Scores!F913</f>
        <v>@diandragautama</v>
      </c>
      <c r="G913" s="12" t="str">
        <f>Absolute_Scores!G913</f>
        <v>Instagram</v>
      </c>
      <c r="H913" s="29">
        <f>Absolute_Scores!I913</f>
        <v>50</v>
      </c>
      <c r="I913" s="30">
        <f t="shared" si="40"/>
        <v>62.5</v>
      </c>
    </row>
    <row r="914" spans="1:9">
      <c r="A914" s="12" t="str">
        <f>Absolute_Scores!A914</f>
        <v>@pinx_fransiska</v>
      </c>
      <c r="B914" s="12" t="str">
        <f>Absolute_Scores!B914</f>
        <v>Instagram</v>
      </c>
      <c r="C914" s="29">
        <f>Absolute_Scores!D914</f>
        <v>44</v>
      </c>
      <c r="D914" s="30">
        <f t="shared" si="39"/>
        <v>55</v>
      </c>
      <c r="F914" s="12" t="str">
        <f>Absolute_Scores!F914</f>
        <v>@dianlatri2</v>
      </c>
      <c r="G914" s="12" t="str">
        <f>Absolute_Scores!G914</f>
        <v>TikTok</v>
      </c>
      <c r="H914" s="29">
        <f>Absolute_Scores!I914</f>
        <v>50</v>
      </c>
      <c r="I914" s="30">
        <f t="shared" si="40"/>
        <v>62.5</v>
      </c>
    </row>
    <row r="915" spans="1:9">
      <c r="A915" s="12" t="str">
        <f>Absolute_Scores!A915</f>
        <v>@prill_cn</v>
      </c>
      <c r="B915" s="12" t="str">
        <f>Absolute_Scores!B915</f>
        <v>Instagram</v>
      </c>
      <c r="C915" s="29">
        <f>Absolute_Scores!D915</f>
        <v>44</v>
      </c>
      <c r="D915" s="30">
        <f t="shared" si="39"/>
        <v>55</v>
      </c>
      <c r="F915" s="12" t="str">
        <f>Absolute_Scores!F915</f>
        <v>@dianmendadakpurnamaaa</v>
      </c>
      <c r="G915" s="12" t="str">
        <f>Absolute_Scores!G915</f>
        <v>TikTok</v>
      </c>
      <c r="H915" s="29">
        <f>Absolute_Scores!I915</f>
        <v>50</v>
      </c>
      <c r="I915" s="30">
        <f t="shared" si="40"/>
        <v>62.5</v>
      </c>
    </row>
    <row r="916" spans="1:9">
      <c r="A916" s="12" t="str">
        <f>Absolute_Scores!A916</f>
        <v>@puputlestari</v>
      </c>
      <c r="B916" s="12" t="str">
        <f>Absolute_Scores!B916</f>
        <v>Instagram</v>
      </c>
      <c r="C916" s="29">
        <f>Absolute_Scores!D916</f>
        <v>44</v>
      </c>
      <c r="D916" s="30">
        <f t="shared" si="39"/>
        <v>55</v>
      </c>
      <c r="F916" s="12" t="str">
        <f>Absolute_Scores!F916</f>
        <v>@diantielma</v>
      </c>
      <c r="G916" s="12" t="str">
        <f>Absolute_Scores!G916</f>
        <v>Instagram</v>
      </c>
      <c r="H916" s="29">
        <f>Absolute_Scores!I916</f>
        <v>50</v>
      </c>
      <c r="I916" s="30">
        <f t="shared" si="40"/>
        <v>62.5</v>
      </c>
    </row>
    <row r="917" spans="1:9">
      <c r="A917" s="12" t="str">
        <f>Absolute_Scores!A917</f>
        <v>@putranugra</v>
      </c>
      <c r="B917" s="12" t="str">
        <f>Absolute_Scores!B917</f>
        <v>Instagram</v>
      </c>
      <c r="C917" s="29">
        <f>Absolute_Scores!D917</f>
        <v>44</v>
      </c>
      <c r="D917" s="30">
        <f t="shared" si="39"/>
        <v>55</v>
      </c>
      <c r="F917" s="12" t="str">
        <f>Absolute_Scores!F917</f>
        <v>@dianwijaya8936</v>
      </c>
      <c r="G917" s="12" t="str">
        <f>Absolute_Scores!G917</f>
        <v>Instagram</v>
      </c>
      <c r="H917" s="29">
        <f>Absolute_Scores!I917</f>
        <v>50</v>
      </c>
      <c r="I917" s="30">
        <f t="shared" si="40"/>
        <v>62.5</v>
      </c>
    </row>
    <row r="918" spans="1:9">
      <c r="A918" s="12" t="str">
        <f>Absolute_Scores!A918</f>
        <v>@putrinasher</v>
      </c>
      <c r="B918" s="12" t="str">
        <f>Absolute_Scores!B918</f>
        <v>Instagram</v>
      </c>
      <c r="C918" s="29">
        <f>Absolute_Scores!D918</f>
        <v>44</v>
      </c>
      <c r="D918" s="30">
        <f t="shared" si="39"/>
        <v>55</v>
      </c>
      <c r="F918" s="12" t="str">
        <f>Absolute_Scores!F918</f>
        <v>@dianyosihw</v>
      </c>
      <c r="G918" s="12" t="str">
        <f>Absolute_Scores!G918</f>
        <v>Instagram</v>
      </c>
      <c r="H918" s="29">
        <f>Absolute_Scores!I918</f>
        <v>50</v>
      </c>
      <c r="I918" s="30">
        <f t="shared" si="40"/>
        <v>62.5</v>
      </c>
    </row>
    <row r="919" spans="1:9">
      <c r="A919" s="12" t="str">
        <f>Absolute_Scores!A919</f>
        <v>@qianzikayla</v>
      </c>
      <c r="B919" s="12" t="str">
        <f>Absolute_Scores!B919</f>
        <v>Instagram</v>
      </c>
      <c r="C919" s="29">
        <f>Absolute_Scores!D919</f>
        <v>44</v>
      </c>
      <c r="D919" s="30">
        <f t="shared" si="39"/>
        <v>55</v>
      </c>
      <c r="F919" s="12" t="str">
        <f>Absolute_Scores!F919</f>
        <v>@diaryanakmakan</v>
      </c>
      <c r="G919" s="12" t="str">
        <f>Absolute_Scores!G919</f>
        <v>TikTok</v>
      </c>
      <c r="H919" s="29">
        <f>Absolute_Scores!I919</f>
        <v>50</v>
      </c>
      <c r="I919" s="30">
        <f t="shared" si="40"/>
        <v>62.5</v>
      </c>
    </row>
    <row r="920" spans="1:9">
      <c r="A920" s="12" t="str">
        <f>Absolute_Scores!A920</f>
        <v>@ra_araaaa02</v>
      </c>
      <c r="B920" s="12" t="str">
        <f>Absolute_Scores!B920</f>
        <v>Instagram</v>
      </c>
      <c r="C920" s="29">
        <f>Absolute_Scores!D920</f>
        <v>44</v>
      </c>
      <c r="D920" s="30">
        <f t="shared" si="39"/>
        <v>55</v>
      </c>
      <c r="F920" s="12" t="str">
        <f>Absolute_Scores!F920</f>
        <v>@diaryofworkinmommy</v>
      </c>
      <c r="G920" s="12" t="str">
        <f>Absolute_Scores!G920</f>
        <v>TikTok</v>
      </c>
      <c r="H920" s="29">
        <f>Absolute_Scores!I920</f>
        <v>50</v>
      </c>
      <c r="I920" s="30">
        <f t="shared" si="40"/>
        <v>62.5</v>
      </c>
    </row>
    <row r="921" spans="1:9">
      <c r="A921" s="12" t="str">
        <f>Absolute_Scores!A921</f>
        <v>@rahayualfarizky</v>
      </c>
      <c r="B921" s="12" t="str">
        <f>Absolute_Scores!B921</f>
        <v>Instagram</v>
      </c>
      <c r="C921" s="29">
        <f>Absolute_Scores!D921</f>
        <v>44</v>
      </c>
      <c r="D921" s="30">
        <f t="shared" si="39"/>
        <v>55</v>
      </c>
      <c r="F921" s="12" t="str">
        <f>Absolute_Scores!F921</f>
        <v>@diasayl</v>
      </c>
      <c r="G921" s="12" t="str">
        <f>Absolute_Scores!G921</f>
        <v>Instagram</v>
      </c>
      <c r="H921" s="29">
        <f>Absolute_Scores!I921</f>
        <v>50</v>
      </c>
      <c r="I921" s="30">
        <f t="shared" si="40"/>
        <v>62.5</v>
      </c>
    </row>
    <row r="922" spans="1:9">
      <c r="A922" s="12" t="str">
        <f>Absolute_Scores!A922</f>
        <v>@rahma_anthie</v>
      </c>
      <c r="B922" s="12" t="str">
        <f>Absolute_Scores!B922</f>
        <v>Instagram</v>
      </c>
      <c r="C922" s="29">
        <f>Absolute_Scores!D922</f>
        <v>44</v>
      </c>
      <c r="D922" s="30">
        <f t="shared" si="39"/>
        <v>55</v>
      </c>
      <c r="F922" s="12" t="str">
        <f>Absolute_Scores!F922</f>
        <v>@dibdiby</v>
      </c>
      <c r="G922" s="12" t="str">
        <f>Absolute_Scores!G922</f>
        <v>TikTok</v>
      </c>
      <c r="H922" s="29">
        <f>Absolute_Scores!I922</f>
        <v>50</v>
      </c>
      <c r="I922" s="30">
        <f t="shared" si="40"/>
        <v>62.5</v>
      </c>
    </row>
    <row r="923" spans="1:9">
      <c r="A923" s="12" t="str">
        <f>Absolute_Scores!A923</f>
        <v>@raninurcha</v>
      </c>
      <c r="B923" s="12" t="str">
        <f>Absolute_Scores!B923</f>
        <v>Instagram</v>
      </c>
      <c r="C923" s="29">
        <f>Absolute_Scores!D923</f>
        <v>44</v>
      </c>
      <c r="D923" s="30">
        <f t="shared" si="39"/>
        <v>55</v>
      </c>
      <c r="F923" s="12" t="str">
        <f>Absolute_Scores!F923</f>
        <v>@diboool</v>
      </c>
      <c r="G923" s="12" t="str">
        <f>Absolute_Scores!G923</f>
        <v>TikTok</v>
      </c>
      <c r="H923" s="29">
        <f>Absolute_Scores!I923</f>
        <v>50</v>
      </c>
      <c r="I923" s="30">
        <f t="shared" si="40"/>
        <v>62.5</v>
      </c>
    </row>
    <row r="924" spans="1:9">
      <c r="A924" s="12" t="str">
        <f>Absolute_Scores!A924</f>
        <v>@rarakayyisaa</v>
      </c>
      <c r="B924" s="12" t="str">
        <f>Absolute_Scores!B924</f>
        <v>Instagram</v>
      </c>
      <c r="C924" s="29">
        <f>Absolute_Scores!D924</f>
        <v>44</v>
      </c>
      <c r="D924" s="30">
        <f t="shared" si="39"/>
        <v>55</v>
      </c>
      <c r="F924" s="12" t="str">
        <f>Absolute_Scores!F924</f>
        <v>@dici.marcis</v>
      </c>
      <c r="G924" s="12" t="str">
        <f>Absolute_Scores!G924</f>
        <v>TikTok</v>
      </c>
      <c r="H924" s="29">
        <f>Absolute_Scores!I924</f>
        <v>50</v>
      </c>
      <c r="I924" s="30">
        <f t="shared" si="40"/>
        <v>62.5</v>
      </c>
    </row>
    <row r="925" spans="1:9">
      <c r="A925" s="12" t="str">
        <f>Absolute_Scores!A925</f>
        <v>@ratna_069</v>
      </c>
      <c r="B925" s="12" t="str">
        <f>Absolute_Scores!B925</f>
        <v>Instagram</v>
      </c>
      <c r="C925" s="29">
        <f>Absolute_Scores!D925</f>
        <v>44</v>
      </c>
      <c r="D925" s="30">
        <f t="shared" si="39"/>
        <v>55</v>
      </c>
      <c r="F925" s="12" t="str">
        <f>Absolute_Scores!F925</f>
        <v>@didinfelani_</v>
      </c>
      <c r="G925" s="12" t="str">
        <f>Absolute_Scores!G925</f>
        <v>TikTok</v>
      </c>
      <c r="H925" s="29">
        <f>Absolute_Scores!I925</f>
        <v>50</v>
      </c>
      <c r="I925" s="30">
        <f t="shared" si="40"/>
        <v>62.5</v>
      </c>
    </row>
    <row r="926" spans="1:9">
      <c r="A926" s="12" t="str">
        <f>Absolute_Scores!A926</f>
        <v>@retnodyahp</v>
      </c>
      <c r="B926" s="12" t="str">
        <f>Absolute_Scores!B926</f>
        <v>Instagram</v>
      </c>
      <c r="C926" s="29">
        <f>Absolute_Scores!D926</f>
        <v>44</v>
      </c>
      <c r="D926" s="30">
        <f t="shared" si="39"/>
        <v>55</v>
      </c>
      <c r="F926" s="12" t="str">
        <f>Absolute_Scores!F926</f>
        <v>@diesty_arwid</v>
      </c>
      <c r="G926" s="12" t="str">
        <f>Absolute_Scores!G926</f>
        <v>Instagram</v>
      </c>
      <c r="H926" s="29">
        <f>Absolute_Scores!I926</f>
        <v>50</v>
      </c>
      <c r="I926" s="30">
        <f t="shared" si="40"/>
        <v>62.5</v>
      </c>
    </row>
    <row r="927" spans="1:9">
      <c r="A927" s="12" t="str">
        <f>Absolute_Scores!A927</f>
        <v>@rezaanggalin_dwiputri</v>
      </c>
      <c r="B927" s="12" t="str">
        <f>Absolute_Scores!B927</f>
        <v>Instagram</v>
      </c>
      <c r="C927" s="29">
        <f>Absolute_Scores!D927</f>
        <v>44</v>
      </c>
      <c r="D927" s="30">
        <f t="shared" si="39"/>
        <v>55</v>
      </c>
      <c r="F927" s="12" t="str">
        <f>Absolute_Scores!F927</f>
        <v>@dieta_nirmala</v>
      </c>
      <c r="G927" s="12" t="str">
        <f>Absolute_Scores!G927</f>
        <v>Instagram</v>
      </c>
      <c r="H927" s="29">
        <f>Absolute_Scores!I927</f>
        <v>50</v>
      </c>
      <c r="I927" s="30">
        <f t="shared" si="40"/>
        <v>62.5</v>
      </c>
    </row>
    <row r="928" spans="1:9">
      <c r="A928" s="12" t="str">
        <f>Absolute_Scores!A928</f>
        <v>@rhyzkaangel</v>
      </c>
      <c r="B928" s="12" t="str">
        <f>Absolute_Scores!B928</f>
        <v>Instagram</v>
      </c>
      <c r="C928" s="29">
        <f>Absolute_Scores!D928</f>
        <v>44</v>
      </c>
      <c r="D928" s="30">
        <f t="shared" si="39"/>
        <v>55</v>
      </c>
      <c r="F928" s="12" t="str">
        <f>Absolute_Scores!F928</f>
        <v>@diiannaseptianii_</v>
      </c>
      <c r="G928" s="12" t="str">
        <f>Absolute_Scores!G928</f>
        <v>Instagram</v>
      </c>
      <c r="H928" s="29">
        <f>Absolute_Scores!I928</f>
        <v>50</v>
      </c>
      <c r="I928" s="30">
        <f t="shared" si="40"/>
        <v>62.5</v>
      </c>
    </row>
    <row r="929" spans="1:9">
      <c r="A929" s="12" t="str">
        <f>Absolute_Scores!A929</f>
        <v>@riaernaaa</v>
      </c>
      <c r="B929" s="12" t="str">
        <f>Absolute_Scores!B929</f>
        <v>Instagram</v>
      </c>
      <c r="C929" s="29">
        <f>Absolute_Scores!D929</f>
        <v>44</v>
      </c>
      <c r="D929" s="30">
        <f t="shared" si="39"/>
        <v>55</v>
      </c>
      <c r="F929" s="12" t="str">
        <f>Absolute_Scores!F929</f>
        <v>@diica_00</v>
      </c>
      <c r="G929" s="12" t="str">
        <f>Absolute_Scores!G929</f>
        <v>TikTok</v>
      </c>
      <c r="H929" s="29">
        <f>Absolute_Scores!I929</f>
        <v>50</v>
      </c>
      <c r="I929" s="30">
        <f t="shared" si="40"/>
        <v>62.5</v>
      </c>
    </row>
    <row r="930" spans="1:9">
      <c r="A930" s="12" t="str">
        <f>Absolute_Scores!A930</f>
        <v>@riana_nananna</v>
      </c>
      <c r="B930" s="12" t="str">
        <f>Absolute_Scores!B930</f>
        <v>Instagram</v>
      </c>
      <c r="C930" s="29">
        <f>Absolute_Scores!D930</f>
        <v>44</v>
      </c>
      <c r="D930" s="30">
        <f t="shared" si="39"/>
        <v>55</v>
      </c>
      <c r="F930" s="12" t="str">
        <f>Absolute_Scores!F930</f>
        <v>@dilahomedecorlover</v>
      </c>
      <c r="G930" s="12" t="str">
        <f>Absolute_Scores!G930</f>
        <v>TikTok</v>
      </c>
      <c r="H930" s="29">
        <f>Absolute_Scores!I930</f>
        <v>50</v>
      </c>
      <c r="I930" s="30">
        <f t="shared" si="40"/>
        <v>62.5</v>
      </c>
    </row>
    <row r="931" spans="1:9">
      <c r="A931" s="12" t="str">
        <f>Absolute_Scores!A931</f>
        <v>@rina_meyrina</v>
      </c>
      <c r="B931" s="12" t="str">
        <f>Absolute_Scores!B931</f>
        <v>Instagram</v>
      </c>
      <c r="C931" s="29">
        <f>Absolute_Scores!D931</f>
        <v>44</v>
      </c>
      <c r="D931" s="30">
        <f t="shared" si="39"/>
        <v>55</v>
      </c>
      <c r="F931" s="12" t="str">
        <f>Absolute_Scores!F931</f>
        <v>@dilatur</v>
      </c>
      <c r="G931" s="12" t="str">
        <f>Absolute_Scores!G931</f>
        <v>TikTok</v>
      </c>
      <c r="H931" s="29">
        <f>Absolute_Scores!I931</f>
        <v>50</v>
      </c>
      <c r="I931" s="30">
        <f t="shared" si="40"/>
        <v>62.5</v>
      </c>
    </row>
    <row r="932" spans="1:9">
      <c r="A932" s="12" t="str">
        <f>Absolute_Scores!A932</f>
        <v>@rinarhmd</v>
      </c>
      <c r="B932" s="12" t="str">
        <f>Absolute_Scores!B932</f>
        <v>Instagram</v>
      </c>
      <c r="C932" s="29">
        <f>Absolute_Scores!D932</f>
        <v>44</v>
      </c>
      <c r="D932" s="30">
        <f t="shared" si="39"/>
        <v>55</v>
      </c>
      <c r="F932" s="12" t="str">
        <f>Absolute_Scores!F932</f>
        <v>@dimasirfans_</v>
      </c>
      <c r="G932" s="12" t="str">
        <f>Absolute_Scores!G932</f>
        <v>Instagram</v>
      </c>
      <c r="H932" s="29">
        <f>Absolute_Scores!I932</f>
        <v>50</v>
      </c>
      <c r="I932" s="30">
        <f t="shared" si="40"/>
        <v>62.5</v>
      </c>
    </row>
    <row r="933" spans="1:9">
      <c r="A933" s="12" t="str">
        <f>Absolute_Scores!A933</f>
        <v>@rindybestya</v>
      </c>
      <c r="B933" s="12" t="str">
        <f>Absolute_Scores!B933</f>
        <v>Instagram</v>
      </c>
      <c r="C933" s="29">
        <f>Absolute_Scores!D933</f>
        <v>44</v>
      </c>
      <c r="D933" s="30">
        <f t="shared" si="39"/>
        <v>55</v>
      </c>
      <c r="F933" s="12" t="str">
        <f>Absolute_Scores!F933</f>
        <v>@dimasyudhystira</v>
      </c>
      <c r="G933" s="12" t="str">
        <f>Absolute_Scores!G933</f>
        <v>TikTok</v>
      </c>
      <c r="H933" s="29">
        <f>Absolute_Scores!I933</f>
        <v>50</v>
      </c>
      <c r="I933" s="30">
        <f t="shared" si="40"/>
        <v>62.5</v>
      </c>
    </row>
    <row r="934" spans="1:9">
      <c r="A934" s="12" t="str">
        <f>Absolute_Scores!A934</f>
        <v>@ririzanugraeny</v>
      </c>
      <c r="B934" s="12" t="str">
        <f>Absolute_Scores!B934</f>
        <v>Instagram</v>
      </c>
      <c r="C934" s="29">
        <f>Absolute_Scores!D934</f>
        <v>44</v>
      </c>
      <c r="D934" s="30">
        <f t="shared" si="39"/>
        <v>55</v>
      </c>
      <c r="F934" s="12" t="str">
        <f>Absolute_Scores!F934</f>
        <v>@dinaagr14</v>
      </c>
      <c r="G934" s="12" t="str">
        <f>Absolute_Scores!G934</f>
        <v>Instagram</v>
      </c>
      <c r="H934" s="29">
        <f>Absolute_Scores!I934</f>
        <v>50</v>
      </c>
      <c r="I934" s="30">
        <f t="shared" si="40"/>
        <v>62.5</v>
      </c>
    </row>
    <row r="935" spans="1:9">
      <c r="A935" s="12" t="str">
        <f>Absolute_Scores!A935</f>
        <v>@ritaardiani</v>
      </c>
      <c r="B935" s="12" t="str">
        <f>Absolute_Scores!B935</f>
        <v>Instagram</v>
      </c>
      <c r="C935" s="29">
        <f>Absolute_Scores!D935</f>
        <v>44</v>
      </c>
      <c r="D935" s="30">
        <f t="shared" si="39"/>
        <v>55</v>
      </c>
      <c r="F935" s="12" t="str">
        <f>Absolute_Scores!F935</f>
        <v>@dindaanggriani</v>
      </c>
      <c r="G935" s="12" t="str">
        <f>Absolute_Scores!G935</f>
        <v>Instagram</v>
      </c>
      <c r="H935" s="29">
        <f>Absolute_Scores!I935</f>
        <v>50</v>
      </c>
      <c r="I935" s="30">
        <f t="shared" si="40"/>
        <v>62.5</v>
      </c>
    </row>
    <row r="936" spans="1:9">
      <c r="A936" s="12" t="str">
        <f>Absolute_Scores!A936</f>
        <v>@riya_dloh</v>
      </c>
      <c r="B936" s="12" t="str">
        <f>Absolute_Scores!B936</f>
        <v>Instagram</v>
      </c>
      <c r="C936" s="29">
        <f>Absolute_Scores!D936</f>
        <v>44</v>
      </c>
      <c r="D936" s="30">
        <f t="shared" si="39"/>
        <v>55</v>
      </c>
      <c r="F936" s="12" t="str">
        <f>Absolute_Scores!F936</f>
        <v>@dindayasminn</v>
      </c>
      <c r="G936" s="12" t="str">
        <f>Absolute_Scores!G936</f>
        <v>TikTok</v>
      </c>
      <c r="H936" s="29">
        <f>Absolute_Scores!I936</f>
        <v>50</v>
      </c>
      <c r="I936" s="30">
        <f t="shared" si="40"/>
        <v>62.5</v>
      </c>
    </row>
    <row r="937" spans="1:9">
      <c r="A937" s="12" t="str">
        <f>Absolute_Scores!A937</f>
        <v>@rizki.putriutami</v>
      </c>
      <c r="B937" s="12" t="str">
        <f>Absolute_Scores!B937</f>
        <v>Instagram</v>
      </c>
      <c r="C937" s="29">
        <f>Absolute_Scores!D937</f>
        <v>44</v>
      </c>
      <c r="D937" s="30">
        <f t="shared" si="39"/>
        <v>55</v>
      </c>
      <c r="F937" s="12" t="str">
        <f>Absolute_Scores!F937</f>
        <v>@dinefp</v>
      </c>
      <c r="G937" s="12" t="str">
        <f>Absolute_Scores!G937</f>
        <v>TikTok</v>
      </c>
      <c r="H937" s="29">
        <f>Absolute_Scores!I937</f>
        <v>50</v>
      </c>
      <c r="I937" s="30">
        <f t="shared" si="40"/>
        <v>62.5</v>
      </c>
    </row>
    <row r="938" spans="1:9">
      <c r="A938" s="12" t="str">
        <f>Absolute_Scores!A938</f>
        <v>@roro_dyy</v>
      </c>
      <c r="B938" s="12" t="str">
        <f>Absolute_Scores!B938</f>
        <v>Instagram</v>
      </c>
      <c r="C938" s="29">
        <f>Absolute_Scores!D938</f>
        <v>44</v>
      </c>
      <c r="D938" s="30">
        <f t="shared" si="39"/>
        <v>55</v>
      </c>
      <c r="F938" s="12" t="str">
        <f>Absolute_Scores!F938</f>
        <v>@dinfiaa</v>
      </c>
      <c r="G938" s="12" t="str">
        <f>Absolute_Scores!G938</f>
        <v>Instagram</v>
      </c>
      <c r="H938" s="29">
        <f>Absolute_Scores!I938</f>
        <v>50</v>
      </c>
      <c r="I938" s="30">
        <f t="shared" si="40"/>
        <v>62.5</v>
      </c>
    </row>
    <row r="939" spans="1:9">
      <c r="A939" s="12" t="str">
        <f>Absolute_Scores!A939</f>
        <v>@rosa_icn</v>
      </c>
      <c r="B939" s="12" t="str">
        <f>Absolute_Scores!B939</f>
        <v>Instagram</v>
      </c>
      <c r="C939" s="29">
        <f>Absolute_Scores!D939</f>
        <v>44</v>
      </c>
      <c r="D939" s="30">
        <f t="shared" si="39"/>
        <v>55</v>
      </c>
      <c r="F939" s="12" t="str">
        <f>Absolute_Scores!F939</f>
        <v>@diniindahc</v>
      </c>
      <c r="G939" s="12" t="str">
        <f>Absolute_Scores!G939</f>
        <v>Instagram</v>
      </c>
      <c r="H939" s="29">
        <f>Absolute_Scores!I939</f>
        <v>50</v>
      </c>
      <c r="I939" s="30">
        <f t="shared" si="40"/>
        <v>62.5</v>
      </c>
    </row>
    <row r="940" spans="1:9">
      <c r="A940" s="12" t="str">
        <f>Absolute_Scores!A940</f>
        <v>@rumah_haura</v>
      </c>
      <c r="B940" s="12" t="str">
        <f>Absolute_Scores!B940</f>
        <v>Instagram</v>
      </c>
      <c r="C940" s="29">
        <f>Absolute_Scores!D940</f>
        <v>44</v>
      </c>
      <c r="D940" s="30">
        <f t="shared" si="39"/>
        <v>55</v>
      </c>
      <c r="F940" s="12" t="str">
        <f>Absolute_Scores!F940</f>
        <v>@dinikusumaaa</v>
      </c>
      <c r="G940" s="12" t="str">
        <f>Absolute_Scores!G940</f>
        <v>TikTok</v>
      </c>
      <c r="H940" s="29">
        <f>Absolute_Scores!I940</f>
        <v>50</v>
      </c>
      <c r="I940" s="30">
        <f t="shared" si="40"/>
        <v>62.5</v>
      </c>
    </row>
    <row r="941" spans="1:9">
      <c r="A941" s="12" t="str">
        <f>Absolute_Scores!A941</f>
        <v>@rvstika</v>
      </c>
      <c r="B941" s="12" t="str">
        <f>Absolute_Scores!B941</f>
        <v>Instagram</v>
      </c>
      <c r="C941" s="29">
        <f>Absolute_Scores!D941</f>
        <v>44</v>
      </c>
      <c r="D941" s="30">
        <f t="shared" si="39"/>
        <v>55</v>
      </c>
      <c r="F941" s="12" t="str">
        <f>Absolute_Scores!F941</f>
        <v>@dinnassssss</v>
      </c>
      <c r="G941" s="12" t="str">
        <f>Absolute_Scores!G941</f>
        <v>Instagram</v>
      </c>
      <c r="H941" s="29">
        <f>Absolute_Scores!I941</f>
        <v>50</v>
      </c>
      <c r="I941" s="30">
        <f t="shared" si="40"/>
        <v>62.5</v>
      </c>
    </row>
    <row r="942" spans="1:9">
      <c r="A942" s="12" t="str">
        <f>Absolute_Scores!A942</f>
        <v>@saacoddd2</v>
      </c>
      <c r="B942" s="12" t="str">
        <f>Absolute_Scores!B942</f>
        <v>Instagram</v>
      </c>
      <c r="C942" s="29">
        <f>Absolute_Scores!D942</f>
        <v>44</v>
      </c>
      <c r="D942" s="30">
        <f t="shared" si="39"/>
        <v>55</v>
      </c>
      <c r="F942" s="12" t="str">
        <f>Absolute_Scores!F942</f>
        <v>@dinnirz</v>
      </c>
      <c r="G942" s="12" t="str">
        <f>Absolute_Scores!G942</f>
        <v>Instagram</v>
      </c>
      <c r="H942" s="29">
        <f>Absolute_Scores!I942</f>
        <v>50</v>
      </c>
      <c r="I942" s="30">
        <f t="shared" si="40"/>
        <v>62.5</v>
      </c>
    </row>
    <row r="943" spans="1:9">
      <c r="A943" s="12" t="str">
        <f>Absolute_Scores!A943</f>
        <v>@safitri_adhiyaksha</v>
      </c>
      <c r="B943" s="12" t="str">
        <f>Absolute_Scores!B943</f>
        <v>Instagram</v>
      </c>
      <c r="C943" s="29">
        <f>Absolute_Scores!D943</f>
        <v>44</v>
      </c>
      <c r="D943" s="30">
        <f t="shared" si="39"/>
        <v>55</v>
      </c>
      <c r="F943" s="12" t="str">
        <f>Absolute_Scores!F943</f>
        <v>@dinouris</v>
      </c>
      <c r="G943" s="12" t="str">
        <f>Absolute_Scores!G943</f>
        <v>TikTok</v>
      </c>
      <c r="H943" s="29">
        <f>Absolute_Scores!I943</f>
        <v>50</v>
      </c>
      <c r="I943" s="30">
        <f t="shared" si="40"/>
        <v>62.5</v>
      </c>
    </row>
    <row r="944" spans="1:9">
      <c r="A944" s="12" t="str">
        <f>Absolute_Scores!A944</f>
        <v>@sajidah28</v>
      </c>
      <c r="B944" s="12" t="str">
        <f>Absolute_Scores!B944</f>
        <v>Instagram</v>
      </c>
      <c r="C944" s="29">
        <f>Absolute_Scores!D944</f>
        <v>44</v>
      </c>
      <c r="D944" s="30">
        <f t="shared" si="39"/>
        <v>55</v>
      </c>
      <c r="F944" s="12" t="str">
        <f>Absolute_Scores!F944</f>
        <v>@dio.rahman</v>
      </c>
      <c r="G944" s="12" t="str">
        <f>Absolute_Scores!G944</f>
        <v>TikTok</v>
      </c>
      <c r="H944" s="29">
        <f>Absolute_Scores!I944</f>
        <v>50</v>
      </c>
      <c r="I944" s="30">
        <f t="shared" si="40"/>
        <v>62.5</v>
      </c>
    </row>
    <row r="945" spans="1:9">
      <c r="A945" s="12" t="str">
        <f>Absolute_Scores!A945</f>
        <v>@salmaaa312</v>
      </c>
      <c r="B945" s="12" t="str">
        <f>Absolute_Scores!B945</f>
        <v>Instagram</v>
      </c>
      <c r="C945" s="29">
        <f>Absolute_Scores!D945</f>
        <v>44</v>
      </c>
      <c r="D945" s="30">
        <f t="shared" si="39"/>
        <v>55</v>
      </c>
      <c r="F945" s="12" t="str">
        <f>Absolute_Scores!F945</f>
        <v>@dippae_</v>
      </c>
      <c r="G945" s="12" t="str">
        <f>Absolute_Scores!G945</f>
        <v>TikTok</v>
      </c>
      <c r="H945" s="29">
        <f>Absolute_Scores!I945</f>
        <v>50</v>
      </c>
      <c r="I945" s="30">
        <f t="shared" si="40"/>
        <v>62.5</v>
      </c>
    </row>
    <row r="946" spans="1:9">
      <c r="A946" s="12" t="str">
        <f>Absolute_Scores!A946</f>
        <v>@salsavina</v>
      </c>
      <c r="B946" s="12" t="str">
        <f>Absolute_Scores!B946</f>
        <v>Instagram</v>
      </c>
      <c r="C946" s="29">
        <f>Absolute_Scores!D946</f>
        <v>44</v>
      </c>
      <c r="D946" s="30">
        <f t="shared" si="39"/>
        <v>55</v>
      </c>
      <c r="F946" s="12" t="str">
        <f>Absolute_Scores!F946</f>
        <v>@dita.dipi</v>
      </c>
      <c r="G946" s="12" t="str">
        <f>Absolute_Scores!G946</f>
        <v>TikTok</v>
      </c>
      <c r="H946" s="29">
        <f>Absolute_Scores!I946</f>
        <v>50</v>
      </c>
      <c r="I946" s="30">
        <f t="shared" si="40"/>
        <v>62.5</v>
      </c>
    </row>
    <row r="947" spans="1:9">
      <c r="A947" s="12" t="str">
        <f>Absolute_Scores!A947</f>
        <v>@samrotul09</v>
      </c>
      <c r="B947" s="12" t="str">
        <f>Absolute_Scores!B947</f>
        <v>Instagram</v>
      </c>
      <c r="C947" s="29">
        <f>Absolute_Scores!D947</f>
        <v>44</v>
      </c>
      <c r="D947" s="30">
        <f t="shared" si="39"/>
        <v>55</v>
      </c>
      <c r="F947" s="12" t="str">
        <f>Absolute_Scores!F947</f>
        <v>@ditaarta_khan</v>
      </c>
      <c r="G947" s="12" t="str">
        <f>Absolute_Scores!G947</f>
        <v>Instagram</v>
      </c>
      <c r="H947" s="29">
        <f>Absolute_Scores!I947</f>
        <v>50</v>
      </c>
      <c r="I947" s="30">
        <f t="shared" si="40"/>
        <v>62.5</v>
      </c>
    </row>
    <row r="948" spans="1:9">
      <c r="A948" s="12" t="str">
        <f>Absolute_Scores!A948</f>
        <v>@sannysandra</v>
      </c>
      <c r="B948" s="12" t="str">
        <f>Absolute_Scores!B948</f>
        <v>Instagram</v>
      </c>
      <c r="C948" s="29">
        <f>Absolute_Scores!D948</f>
        <v>44</v>
      </c>
      <c r="D948" s="30">
        <f t="shared" si="39"/>
        <v>55</v>
      </c>
      <c r="F948" s="12" t="str">
        <f>Absolute_Scores!F948</f>
        <v>@ditapamelia</v>
      </c>
      <c r="G948" s="12" t="str">
        <f>Absolute_Scores!G948</f>
        <v>Instagram</v>
      </c>
      <c r="H948" s="29">
        <f>Absolute_Scores!I948</f>
        <v>50</v>
      </c>
      <c r="I948" s="30">
        <f t="shared" si="40"/>
        <v>62.5</v>
      </c>
    </row>
    <row r="949" spans="1:9">
      <c r="A949" s="12" t="str">
        <f>Absolute_Scores!A949</f>
        <v>@selinoviani</v>
      </c>
      <c r="B949" s="12" t="str">
        <f>Absolute_Scores!B949</f>
        <v>Instagram</v>
      </c>
      <c r="C949" s="29">
        <f>Absolute_Scores!D949</f>
        <v>44</v>
      </c>
      <c r="D949" s="30">
        <f t="shared" si="39"/>
        <v>55</v>
      </c>
      <c r="F949" s="12" t="str">
        <f>Absolute_Scores!F949</f>
        <v>@ditasaphira</v>
      </c>
      <c r="G949" s="12" t="str">
        <f>Absolute_Scores!G949</f>
        <v>TikTok</v>
      </c>
      <c r="H949" s="29">
        <f>Absolute_Scores!I949</f>
        <v>50</v>
      </c>
      <c r="I949" s="30">
        <f t="shared" si="40"/>
        <v>62.5</v>
      </c>
    </row>
    <row r="950" spans="1:9">
      <c r="A950" s="12" t="str">
        <f>Absolute_Scores!A950</f>
        <v>@septyandari12</v>
      </c>
      <c r="B950" s="12" t="str">
        <f>Absolute_Scores!B950</f>
        <v>Instagram</v>
      </c>
      <c r="C950" s="29">
        <f>Absolute_Scores!D950</f>
        <v>44</v>
      </c>
      <c r="D950" s="30">
        <f t="shared" si="39"/>
        <v>55</v>
      </c>
      <c r="F950" s="12" t="str">
        <f>Absolute_Scores!F950</f>
        <v>@dittaanyanie</v>
      </c>
      <c r="G950" s="12" t="str">
        <f>Absolute_Scores!G950</f>
        <v>Instagram</v>
      </c>
      <c r="H950" s="29">
        <f>Absolute_Scores!I950</f>
        <v>50</v>
      </c>
      <c r="I950" s="30">
        <f t="shared" si="40"/>
        <v>62.5</v>
      </c>
    </row>
    <row r="951" spans="1:9">
      <c r="A951" s="12" t="str">
        <f>Absolute_Scores!A951</f>
        <v>@seraphina.tania</v>
      </c>
      <c r="B951" s="12" t="str">
        <f>Absolute_Scores!B951</f>
        <v>Instagram</v>
      </c>
      <c r="C951" s="29">
        <f>Absolute_Scores!D951</f>
        <v>44</v>
      </c>
      <c r="D951" s="30">
        <f t="shared" si="39"/>
        <v>55</v>
      </c>
      <c r="F951" s="12" t="str">
        <f>Absolute_Scores!F951</f>
        <v>@divarum_</v>
      </c>
      <c r="G951" s="12" t="str">
        <f>Absolute_Scores!G951</f>
        <v>TikTok</v>
      </c>
      <c r="H951" s="29">
        <f>Absolute_Scores!I951</f>
        <v>50</v>
      </c>
      <c r="I951" s="30">
        <f t="shared" si="40"/>
        <v>62.5</v>
      </c>
    </row>
    <row r="952" spans="1:9">
      <c r="A952" s="12" t="str">
        <f>Absolute_Scores!A952</f>
        <v>@setyadewy</v>
      </c>
      <c r="B952" s="12" t="str">
        <f>Absolute_Scores!B952</f>
        <v>Instagram</v>
      </c>
      <c r="C952" s="29">
        <f>Absolute_Scores!D952</f>
        <v>44</v>
      </c>
      <c r="D952" s="30">
        <f t="shared" si="39"/>
        <v>55</v>
      </c>
      <c r="F952" s="12" t="str">
        <f>Absolute_Scores!F952</f>
        <v>@diviasofie?igshid=6hg1qrocg6no</v>
      </c>
      <c r="G952" s="12" t="str">
        <f>Absolute_Scores!G952</f>
        <v>Instagram</v>
      </c>
      <c r="H952" s="29">
        <f>Absolute_Scores!I952</f>
        <v>50</v>
      </c>
      <c r="I952" s="30">
        <f t="shared" si="40"/>
        <v>62.5</v>
      </c>
    </row>
    <row r="953" spans="1:9">
      <c r="A953" s="12" t="str">
        <f>Absolute_Scores!A953</f>
        <v>@sewsant</v>
      </c>
      <c r="B953" s="12" t="str">
        <f>Absolute_Scores!B953</f>
        <v>Instagram</v>
      </c>
      <c r="C953" s="29">
        <f>Absolute_Scores!D953</f>
        <v>44</v>
      </c>
      <c r="D953" s="30">
        <f t="shared" si="39"/>
        <v>55</v>
      </c>
      <c r="F953" s="12" t="str">
        <f>Absolute_Scores!F953</f>
        <v>@divrdiansyh</v>
      </c>
      <c r="G953" s="12" t="str">
        <f>Absolute_Scores!G953</f>
        <v>TikTok</v>
      </c>
      <c r="H953" s="29">
        <f>Absolute_Scores!I953</f>
        <v>50</v>
      </c>
      <c r="I953" s="30">
        <f t="shared" si="40"/>
        <v>62.5</v>
      </c>
    </row>
    <row r="954" spans="1:9">
      <c r="A954" s="12" t="str">
        <f>Absolute_Scores!A954</f>
        <v>@shanty.hdiyani</v>
      </c>
      <c r="B954" s="12" t="str">
        <f>Absolute_Scores!B954</f>
        <v>Instagram</v>
      </c>
      <c r="C954" s="29">
        <f>Absolute_Scores!D954</f>
        <v>44</v>
      </c>
      <c r="D954" s="30">
        <f t="shared" si="39"/>
        <v>55</v>
      </c>
      <c r="F954" s="12" t="str">
        <f>Absolute_Scores!F954</f>
        <v>@divykeduaa</v>
      </c>
      <c r="G954" s="12" t="str">
        <f>Absolute_Scores!G954</f>
        <v>TikTok</v>
      </c>
      <c r="H954" s="29">
        <f>Absolute_Scores!I954</f>
        <v>50</v>
      </c>
      <c r="I954" s="30">
        <f t="shared" si="40"/>
        <v>62.5</v>
      </c>
    </row>
    <row r="955" spans="1:9">
      <c r="A955" s="12" t="str">
        <f>Absolute_Scores!A955</f>
        <v>@shintarosrosi</v>
      </c>
      <c r="B955" s="12" t="str">
        <f>Absolute_Scores!B955</f>
        <v>Instagram</v>
      </c>
      <c r="C955" s="29">
        <f>Absolute_Scores!D955</f>
        <v>44</v>
      </c>
      <c r="D955" s="30">
        <f t="shared" si="39"/>
        <v>55</v>
      </c>
      <c r="F955" s="12" t="str">
        <f>Absolute_Scores!F955</f>
        <v>@djevi_ida</v>
      </c>
      <c r="G955" s="12" t="str">
        <f>Absolute_Scores!G955</f>
        <v>Instagram</v>
      </c>
      <c r="H955" s="29">
        <f>Absolute_Scores!I955</f>
        <v>50</v>
      </c>
      <c r="I955" s="30">
        <f t="shared" si="40"/>
        <v>62.5</v>
      </c>
    </row>
    <row r="956" spans="1:9">
      <c r="A956" s="12" t="str">
        <f>Absolute_Scores!A956</f>
        <v>@silmmi</v>
      </c>
      <c r="B956" s="12" t="str">
        <f>Absolute_Scores!B956</f>
        <v>Instagram</v>
      </c>
      <c r="C956" s="29">
        <f>Absolute_Scores!D956</f>
        <v>44</v>
      </c>
      <c r="D956" s="30">
        <f t="shared" si="39"/>
        <v>55</v>
      </c>
      <c r="F956" s="12" t="str">
        <f>Absolute_Scores!F956</f>
        <v>@djodivaleery</v>
      </c>
      <c r="G956" s="12" t="str">
        <f>Absolute_Scores!G956</f>
        <v>Instagram</v>
      </c>
      <c r="H956" s="29">
        <f>Absolute_Scores!I956</f>
        <v>50</v>
      </c>
      <c r="I956" s="30">
        <f t="shared" si="40"/>
        <v>62.5</v>
      </c>
    </row>
    <row r="957" spans="1:9">
      <c r="A957" s="12" t="str">
        <f>Absolute_Scores!A957</f>
        <v>@sintaputrinadila</v>
      </c>
      <c r="B957" s="12" t="str">
        <f>Absolute_Scores!B957</f>
        <v>Instagram</v>
      </c>
      <c r="C957" s="29">
        <f>Absolute_Scores!D957</f>
        <v>44</v>
      </c>
      <c r="D957" s="30">
        <f t="shared" si="39"/>
        <v>55</v>
      </c>
      <c r="F957" s="12" t="str">
        <f>Absolute_Scores!F957</f>
        <v>@dndea</v>
      </c>
      <c r="G957" s="12" t="str">
        <f>Absolute_Scores!G957</f>
        <v>TikTok</v>
      </c>
      <c r="H957" s="29">
        <f>Absolute_Scores!I957</f>
        <v>50</v>
      </c>
      <c r="I957" s="30">
        <f t="shared" si="40"/>
        <v>62.5</v>
      </c>
    </row>
    <row r="958" spans="1:9">
      <c r="A958" s="12" t="str">
        <f>Absolute_Scores!A958</f>
        <v>@siskaasiska</v>
      </c>
      <c r="B958" s="12" t="str">
        <f>Absolute_Scores!B958</f>
        <v>Instagram</v>
      </c>
      <c r="C958" s="29">
        <f>Absolute_Scores!D958</f>
        <v>44</v>
      </c>
      <c r="D958" s="30">
        <f t="shared" si="39"/>
        <v>55</v>
      </c>
      <c r="F958" s="12" t="str">
        <f>Absolute_Scores!F958</f>
        <v>@dokterikadevisppd</v>
      </c>
      <c r="G958" s="12" t="str">
        <f>Absolute_Scores!G958</f>
        <v>TikTok</v>
      </c>
      <c r="H958" s="29">
        <f>Absolute_Scores!I958</f>
        <v>50</v>
      </c>
      <c r="I958" s="30">
        <f t="shared" si="40"/>
        <v>62.5</v>
      </c>
    </row>
    <row r="959" spans="1:9">
      <c r="A959" s="12" t="str">
        <f>Absolute_Scores!A959</f>
        <v>@sisterabigail_</v>
      </c>
      <c r="B959" s="12" t="str">
        <f>Absolute_Scores!B959</f>
        <v>Instagram</v>
      </c>
      <c r="C959" s="29">
        <f>Absolute_Scores!D959</f>
        <v>44</v>
      </c>
      <c r="D959" s="30">
        <f t="shared" si="39"/>
        <v>55</v>
      </c>
      <c r="F959" s="12" t="str">
        <f>Absolute_Scores!F959</f>
        <v>@dokyeong04</v>
      </c>
      <c r="G959" s="12" t="str">
        <f>Absolute_Scores!G959</f>
        <v>Instagram</v>
      </c>
      <c r="H959" s="29">
        <f>Absolute_Scores!I959</f>
        <v>50</v>
      </c>
      <c r="I959" s="30">
        <f t="shared" si="40"/>
        <v>62.5</v>
      </c>
    </row>
    <row r="960" spans="1:9">
      <c r="A960" s="12" t="str">
        <f>Absolute_Scores!A960</f>
        <v>@sitisarahadiyastuti</v>
      </c>
      <c r="B960" s="12" t="str">
        <f>Absolute_Scores!B960</f>
        <v>Instagram</v>
      </c>
      <c r="C960" s="29">
        <f>Absolute_Scores!D960</f>
        <v>44</v>
      </c>
      <c r="D960" s="30">
        <f t="shared" si="39"/>
        <v>55</v>
      </c>
      <c r="F960" s="12" t="str">
        <f>Absolute_Scores!F960</f>
        <v>@dominiquesierruh</v>
      </c>
      <c r="G960" s="12" t="str">
        <f>Absolute_Scores!G960</f>
        <v>TikTok</v>
      </c>
      <c r="H960" s="29">
        <f>Absolute_Scores!I960</f>
        <v>50</v>
      </c>
      <c r="I960" s="30">
        <f t="shared" si="40"/>
        <v>62.5</v>
      </c>
    </row>
    <row r="961" spans="1:9">
      <c r="A961" s="12" t="str">
        <f>Absolute_Scores!A961</f>
        <v>@snurkholifah04</v>
      </c>
      <c r="B961" s="12" t="str">
        <f>Absolute_Scores!B961</f>
        <v>Instagram</v>
      </c>
      <c r="C961" s="29">
        <f>Absolute_Scores!D961</f>
        <v>44</v>
      </c>
      <c r="D961" s="30">
        <f t="shared" si="39"/>
        <v>55</v>
      </c>
      <c r="F961" s="12" t="str">
        <f>Absolute_Scores!F961</f>
        <v>@dontlikeacaffee</v>
      </c>
      <c r="G961" s="12" t="str">
        <f>Absolute_Scores!G961</f>
        <v>TikTok</v>
      </c>
      <c r="H961" s="29">
        <f>Absolute_Scores!I961</f>
        <v>50</v>
      </c>
      <c r="I961" s="30">
        <f t="shared" si="40"/>
        <v>62.5</v>
      </c>
    </row>
    <row r="962" spans="1:9">
      <c r="A962" s="12" t="str">
        <f>Absolute_Scores!A962</f>
        <v>@sofie_sopik</v>
      </c>
      <c r="B962" s="12" t="str">
        <f>Absolute_Scores!B962</f>
        <v>Instagram</v>
      </c>
      <c r="C962" s="29">
        <f>Absolute_Scores!D962</f>
        <v>44</v>
      </c>
      <c r="D962" s="30">
        <f t="shared" si="39"/>
        <v>55</v>
      </c>
      <c r="F962" s="12" t="str">
        <f>Absolute_Scores!F962</f>
        <v>@dopjla</v>
      </c>
      <c r="G962" s="12" t="str">
        <f>Absolute_Scores!G962</f>
        <v>TikTok</v>
      </c>
      <c r="H962" s="29">
        <f>Absolute_Scores!I962</f>
        <v>50</v>
      </c>
      <c r="I962" s="30">
        <f t="shared" si="40"/>
        <v>62.5</v>
      </c>
    </row>
    <row r="963" spans="1:9">
      <c r="A963" s="12" t="str">
        <f>Absolute_Scores!A963</f>
        <v>@ssheilloooooo</v>
      </c>
      <c r="B963" s="12" t="str">
        <f>Absolute_Scores!B963</f>
        <v>Instagram</v>
      </c>
      <c r="C963" s="29">
        <f>Absolute_Scores!D963</f>
        <v>44</v>
      </c>
      <c r="D963" s="30">
        <f t="shared" si="39"/>
        <v>55</v>
      </c>
      <c r="F963" s="12" t="str">
        <f>Absolute_Scores!F963</f>
        <v>@dr.feliciasiswanto</v>
      </c>
      <c r="G963" s="12" t="str">
        <f>Absolute_Scores!G963</f>
        <v>TikTok</v>
      </c>
      <c r="H963" s="29">
        <f>Absolute_Scores!I963</f>
        <v>50</v>
      </c>
      <c r="I963" s="30">
        <f t="shared" si="40"/>
        <v>62.5</v>
      </c>
    </row>
    <row r="964" spans="1:9">
      <c r="A964" s="12" t="str">
        <f>Absolute_Scores!A964</f>
        <v>@sucimelia198</v>
      </c>
      <c r="B964" s="12" t="str">
        <f>Absolute_Scores!B964</f>
        <v>Instagram</v>
      </c>
      <c r="C964" s="29">
        <f>Absolute_Scores!D964</f>
        <v>44</v>
      </c>
      <c r="D964" s="30">
        <f t="shared" si="39"/>
        <v>55</v>
      </c>
      <c r="F964" s="12" t="str">
        <f>Absolute_Scores!F964</f>
        <v>@drgfira</v>
      </c>
      <c r="G964" s="12" t="str">
        <f>Absolute_Scores!G964</f>
        <v>TikTok</v>
      </c>
      <c r="H964" s="29">
        <f>Absolute_Scores!I964</f>
        <v>50</v>
      </c>
      <c r="I964" s="30">
        <f t="shared" si="40"/>
        <v>62.5</v>
      </c>
    </row>
    <row r="965" spans="1:9">
      <c r="A965" s="12" t="str">
        <f>Absolute_Scores!A965</f>
        <v>@tarialrasyid</v>
      </c>
      <c r="B965" s="12" t="str">
        <f>Absolute_Scores!B965</f>
        <v>Instagram</v>
      </c>
      <c r="C965" s="29">
        <f>Absolute_Scores!D965</f>
        <v>44</v>
      </c>
      <c r="D965" s="30">
        <f t="shared" si="39"/>
        <v>55</v>
      </c>
      <c r="F965" s="12" t="str">
        <f>Absolute_Scores!F965</f>
        <v>@drh.rahmahf08</v>
      </c>
      <c r="G965" s="12" t="str">
        <f>Absolute_Scores!G965</f>
        <v>Instagram</v>
      </c>
      <c r="H965" s="29">
        <f>Absolute_Scores!I965</f>
        <v>50</v>
      </c>
      <c r="I965" s="30">
        <f t="shared" si="40"/>
        <v>62.5</v>
      </c>
    </row>
    <row r="966" spans="1:9">
      <c r="A966" s="12" t="str">
        <f>Absolute_Scores!A966</f>
        <v>@teoakustikgitar</v>
      </c>
      <c r="B966" s="12" t="str">
        <f>Absolute_Scores!B966</f>
        <v>Instagram</v>
      </c>
      <c r="C966" s="29">
        <f>Absolute_Scores!D966</f>
        <v>44</v>
      </c>
      <c r="D966" s="30">
        <f t="shared" ref="D966:D1029" si="41">ROUND(C966/$D$4*100,2)</f>
        <v>55</v>
      </c>
      <c r="F966" s="12" t="str">
        <f>Absolute_Scores!F966</f>
        <v>@drillian_basketball</v>
      </c>
      <c r="G966" s="12" t="str">
        <f>Absolute_Scores!G966</f>
        <v>TikTok</v>
      </c>
      <c r="H966" s="29">
        <f>Absolute_Scores!I966</f>
        <v>50</v>
      </c>
      <c r="I966" s="30">
        <f t="shared" ref="I966:I1029" si="42">ROUND(H966/$I$4*100,2)</f>
        <v>62.5</v>
      </c>
    </row>
    <row r="967" spans="1:9">
      <c r="A967" s="12" t="str">
        <f>Absolute_Scores!A967</f>
        <v>@thyalatifah</v>
      </c>
      <c r="B967" s="12" t="str">
        <f>Absolute_Scores!B967</f>
        <v>Instagram</v>
      </c>
      <c r="C967" s="29">
        <f>Absolute_Scores!D967</f>
        <v>44</v>
      </c>
      <c r="D967" s="30">
        <f t="shared" si="41"/>
        <v>55</v>
      </c>
      <c r="F967" s="12" t="str">
        <f>Absolute_Scores!F967</f>
        <v>@dudukpalingdepan</v>
      </c>
      <c r="G967" s="12" t="str">
        <f>Absolute_Scores!G967</f>
        <v>Instagram</v>
      </c>
      <c r="H967" s="29">
        <f>Absolute_Scores!I967</f>
        <v>50</v>
      </c>
      <c r="I967" s="30">
        <f t="shared" si="42"/>
        <v>62.5</v>
      </c>
    </row>
    <row r="968" spans="1:9">
      <c r="A968" s="12" t="str">
        <f>Absolute_Scores!A968</f>
        <v>@trheey_airaa23</v>
      </c>
      <c r="B968" s="12" t="str">
        <f>Absolute_Scores!B968</f>
        <v>Instagram</v>
      </c>
      <c r="C968" s="29">
        <f>Absolute_Scores!D968</f>
        <v>44</v>
      </c>
      <c r="D968" s="30">
        <f t="shared" si="41"/>
        <v>55</v>
      </c>
      <c r="F968" s="12" t="str">
        <f>Absolute_Scores!F968</f>
        <v>@dunia.siuna</v>
      </c>
      <c r="G968" s="12" t="str">
        <f>Absolute_Scores!G968</f>
        <v>TikTok</v>
      </c>
      <c r="H968" s="29">
        <f>Absolute_Scores!I968</f>
        <v>50</v>
      </c>
      <c r="I968" s="30">
        <f t="shared" si="42"/>
        <v>62.5</v>
      </c>
    </row>
    <row r="969" spans="1:9">
      <c r="A969" s="12" t="str">
        <f>Absolute_Scores!A969</f>
        <v>@triansyahbani</v>
      </c>
      <c r="B969" s="12" t="str">
        <f>Absolute_Scores!B969</f>
        <v>Instagram</v>
      </c>
      <c r="C969" s="29">
        <f>Absolute_Scores!D969</f>
        <v>44</v>
      </c>
      <c r="D969" s="30">
        <f t="shared" si="41"/>
        <v>55</v>
      </c>
      <c r="F969" s="12" t="str">
        <f>Absolute_Scores!F969</f>
        <v>@dutakejora</v>
      </c>
      <c r="G969" s="12" t="str">
        <f>Absolute_Scores!G969</f>
        <v>Instagram</v>
      </c>
      <c r="H969" s="29">
        <f>Absolute_Scores!I969</f>
        <v>50</v>
      </c>
      <c r="I969" s="30">
        <f t="shared" si="42"/>
        <v>62.5</v>
      </c>
    </row>
    <row r="970" spans="1:9">
      <c r="A970" s="12" t="str">
        <f>Absolute_Scores!A970</f>
        <v>@triiutarie</v>
      </c>
      <c r="B970" s="12" t="str">
        <f>Absolute_Scores!B970</f>
        <v>Instagram</v>
      </c>
      <c r="C970" s="29">
        <f>Absolute_Scores!D970</f>
        <v>44</v>
      </c>
      <c r="D970" s="30">
        <f t="shared" si="41"/>
        <v>55</v>
      </c>
      <c r="F970" s="12" t="str">
        <f>Absolute_Scores!F970</f>
        <v>@dvitasss</v>
      </c>
      <c r="G970" s="12" t="str">
        <f>Absolute_Scores!G970</f>
        <v>TikTok</v>
      </c>
      <c r="H970" s="29">
        <f>Absolute_Scores!I970</f>
        <v>50</v>
      </c>
      <c r="I970" s="30">
        <f t="shared" si="42"/>
        <v>62.5</v>
      </c>
    </row>
    <row r="971" spans="1:9">
      <c r="A971" s="12" t="str">
        <f>Absolute_Scores!A971</f>
        <v>@triwahyuningtias</v>
      </c>
      <c r="B971" s="12" t="str">
        <f>Absolute_Scores!B971</f>
        <v>Instagram</v>
      </c>
      <c r="C971" s="29">
        <f>Absolute_Scores!D971</f>
        <v>44</v>
      </c>
      <c r="D971" s="30">
        <f t="shared" si="41"/>
        <v>55</v>
      </c>
      <c r="F971" s="12" t="str">
        <f>Absolute_Scores!F971</f>
        <v>@dvnanatalia</v>
      </c>
      <c r="G971" s="12" t="str">
        <f>Absolute_Scores!G971</f>
        <v>Instagram</v>
      </c>
      <c r="H971" s="29">
        <f>Absolute_Scores!I971</f>
        <v>50</v>
      </c>
      <c r="I971" s="30">
        <f t="shared" si="42"/>
        <v>62.5</v>
      </c>
    </row>
    <row r="972" spans="1:9">
      <c r="A972" s="12" t="str">
        <f>Absolute_Scores!A972</f>
        <v>@umi_arayya</v>
      </c>
      <c r="B972" s="12" t="str">
        <f>Absolute_Scores!B972</f>
        <v>Instagram</v>
      </c>
      <c r="C972" s="29">
        <f>Absolute_Scores!D972</f>
        <v>44</v>
      </c>
      <c r="D972" s="30">
        <f t="shared" si="41"/>
        <v>55</v>
      </c>
      <c r="F972" s="12" t="str">
        <f>Absolute_Scores!F972</f>
        <v>@dwi.efriyanaa</v>
      </c>
      <c r="G972" s="12" t="str">
        <f>Absolute_Scores!G972</f>
        <v>Instagram</v>
      </c>
      <c r="H972" s="29">
        <f>Absolute_Scores!I972</f>
        <v>50</v>
      </c>
      <c r="I972" s="30">
        <f t="shared" si="42"/>
        <v>62.5</v>
      </c>
    </row>
    <row r="973" spans="1:9">
      <c r="A973" s="12" t="str">
        <f>Absolute_Scores!A973</f>
        <v>@ummu_fatihfaiha</v>
      </c>
      <c r="B973" s="12" t="str">
        <f>Absolute_Scores!B973</f>
        <v>Instagram</v>
      </c>
      <c r="C973" s="29">
        <f>Absolute_Scores!D973</f>
        <v>44</v>
      </c>
      <c r="D973" s="30">
        <f t="shared" si="41"/>
        <v>55</v>
      </c>
      <c r="F973" s="12" t="str">
        <f>Absolute_Scores!F973</f>
        <v>@dwialhikmawati</v>
      </c>
      <c r="G973" s="12" t="str">
        <f>Absolute_Scores!G973</f>
        <v>TikTok</v>
      </c>
      <c r="H973" s="29">
        <f>Absolute_Scores!I973</f>
        <v>50</v>
      </c>
      <c r="I973" s="30">
        <f t="shared" si="42"/>
        <v>62.5</v>
      </c>
    </row>
    <row r="974" spans="1:9">
      <c r="A974" s="12" t="str">
        <f>Absolute_Scores!A974</f>
        <v>@uswahachma</v>
      </c>
      <c r="B974" s="12" t="str">
        <f>Absolute_Scores!B974</f>
        <v>Instagram</v>
      </c>
      <c r="C974" s="29">
        <f>Absolute_Scores!D974</f>
        <v>44</v>
      </c>
      <c r="D974" s="30">
        <f t="shared" si="41"/>
        <v>55</v>
      </c>
      <c r="F974" s="12" t="str">
        <f>Absolute_Scores!F974</f>
        <v>@dwielsytha_</v>
      </c>
      <c r="G974" s="12" t="str">
        <f>Absolute_Scores!G974</f>
        <v>Instagram</v>
      </c>
      <c r="H974" s="29">
        <f>Absolute_Scores!I974</f>
        <v>50</v>
      </c>
      <c r="I974" s="30">
        <f t="shared" si="42"/>
        <v>62.5</v>
      </c>
    </row>
    <row r="975" spans="1:9">
      <c r="A975" s="12" t="str">
        <f>Absolute_Scores!A975</f>
        <v>@utbahatsatsah</v>
      </c>
      <c r="B975" s="12" t="str">
        <f>Absolute_Scores!B975</f>
        <v>Instagram</v>
      </c>
      <c r="C975" s="29">
        <f>Absolute_Scores!D975</f>
        <v>44</v>
      </c>
      <c r="D975" s="30">
        <f t="shared" si="41"/>
        <v>55</v>
      </c>
      <c r="F975" s="12" t="str">
        <f>Absolute_Scores!F975</f>
        <v>@dwikpermana</v>
      </c>
      <c r="G975" s="12" t="str">
        <f>Absolute_Scores!G975</f>
        <v>TikTok</v>
      </c>
      <c r="H975" s="29">
        <f>Absolute_Scores!I975</f>
        <v>50</v>
      </c>
      <c r="I975" s="30">
        <f t="shared" si="42"/>
        <v>62.5</v>
      </c>
    </row>
    <row r="976" spans="1:9">
      <c r="A976" s="12" t="str">
        <f>Absolute_Scores!A976</f>
        <v>@valencecilia_</v>
      </c>
      <c r="B976" s="12" t="str">
        <f>Absolute_Scores!B976</f>
        <v>Instagram</v>
      </c>
      <c r="C976" s="29">
        <f>Absolute_Scores!D976</f>
        <v>44</v>
      </c>
      <c r="D976" s="30">
        <f t="shared" si="41"/>
        <v>55</v>
      </c>
      <c r="F976" s="12" t="str">
        <f>Absolute_Scores!F976</f>
        <v>@dwipriatiningsih</v>
      </c>
      <c r="G976" s="12" t="str">
        <f>Absolute_Scores!G976</f>
        <v>Instagram</v>
      </c>
      <c r="H976" s="29">
        <f>Absolute_Scores!I976</f>
        <v>50</v>
      </c>
      <c r="I976" s="30">
        <f t="shared" si="42"/>
        <v>62.5</v>
      </c>
    </row>
    <row r="977" spans="1:9">
      <c r="A977" s="12" t="str">
        <f>Absolute_Scores!A977</f>
        <v>@vanaatiara</v>
      </c>
      <c r="B977" s="12" t="str">
        <f>Absolute_Scores!B977</f>
        <v>Instagram</v>
      </c>
      <c r="C977" s="29">
        <f>Absolute_Scores!D977</f>
        <v>44</v>
      </c>
      <c r="D977" s="30">
        <f t="shared" si="41"/>
        <v>55</v>
      </c>
      <c r="F977" s="12" t="str">
        <f>Absolute_Scores!F977</f>
        <v>@dwipujirahayu300</v>
      </c>
      <c r="G977" s="12" t="str">
        <f>Absolute_Scores!G977</f>
        <v>TikTok</v>
      </c>
      <c r="H977" s="29">
        <f>Absolute_Scores!I977</f>
        <v>50</v>
      </c>
      <c r="I977" s="30">
        <f t="shared" si="42"/>
        <v>62.5</v>
      </c>
    </row>
    <row r="978" spans="1:9">
      <c r="A978" s="12" t="str">
        <f>Absolute_Scores!A978</f>
        <v>@wafanurhilma</v>
      </c>
      <c r="B978" s="12" t="str">
        <f>Absolute_Scores!B978</f>
        <v>Instagram</v>
      </c>
      <c r="C978" s="29">
        <f>Absolute_Scores!D978</f>
        <v>44</v>
      </c>
      <c r="D978" s="30">
        <f t="shared" si="41"/>
        <v>55</v>
      </c>
      <c r="F978" s="12" t="str">
        <f>Absolute_Scores!F978</f>
        <v>@dwiyantiprasetyo</v>
      </c>
      <c r="G978" s="12" t="str">
        <f>Absolute_Scores!G978</f>
        <v>Instagram</v>
      </c>
      <c r="H978" s="29">
        <f>Absolute_Scores!I978</f>
        <v>50</v>
      </c>
      <c r="I978" s="30">
        <f t="shared" si="42"/>
        <v>62.5</v>
      </c>
    </row>
    <row r="979" spans="1:9">
      <c r="A979" s="12" t="str">
        <f>Absolute_Scores!A979</f>
        <v>@wahyu.permatasari</v>
      </c>
      <c r="B979" s="12" t="str">
        <f>Absolute_Scores!B979</f>
        <v>Instagram</v>
      </c>
      <c r="C979" s="29">
        <f>Absolute_Scores!D979</f>
        <v>44</v>
      </c>
      <c r="D979" s="30">
        <f t="shared" si="41"/>
        <v>55</v>
      </c>
      <c r="F979" s="12" t="str">
        <f>Absolute_Scores!F979</f>
        <v>@dxzdaa</v>
      </c>
      <c r="G979" s="12" t="str">
        <f>Absolute_Scores!G979</f>
        <v>TikTok</v>
      </c>
      <c r="H979" s="29">
        <f>Absolute_Scores!I979</f>
        <v>50</v>
      </c>
      <c r="I979" s="30">
        <f t="shared" si="42"/>
        <v>62.5</v>
      </c>
    </row>
    <row r="980" spans="1:9">
      <c r="A980" s="12" t="str">
        <f>Absolute_Scores!A980</f>
        <v>@widyacita1</v>
      </c>
      <c r="B980" s="12" t="str">
        <f>Absolute_Scores!B980</f>
        <v>Instagram</v>
      </c>
      <c r="C980" s="29">
        <f>Absolute_Scores!D980</f>
        <v>44</v>
      </c>
      <c r="D980" s="30">
        <f t="shared" si="41"/>
        <v>55</v>
      </c>
      <c r="F980" s="12" t="str">
        <f>Absolute_Scores!F980</f>
        <v>@dya_andya</v>
      </c>
      <c r="G980" s="12" t="str">
        <f>Absolute_Scores!G980</f>
        <v>Instagram</v>
      </c>
      <c r="H980" s="29">
        <f>Absolute_Scores!I980</f>
        <v>50</v>
      </c>
      <c r="I980" s="30">
        <f t="shared" si="42"/>
        <v>62.5</v>
      </c>
    </row>
    <row r="981" spans="1:9">
      <c r="A981" s="12" t="str">
        <f>Absolute_Scores!A981</f>
        <v>@winariarl</v>
      </c>
      <c r="B981" s="12" t="str">
        <f>Absolute_Scores!B981</f>
        <v>Instagram</v>
      </c>
      <c r="C981" s="29">
        <f>Absolute_Scores!D981</f>
        <v>44</v>
      </c>
      <c r="D981" s="30">
        <f t="shared" si="41"/>
        <v>55</v>
      </c>
      <c r="F981" s="12" t="str">
        <f>Absolute_Scores!F981</f>
        <v>@dygheaddyghead</v>
      </c>
      <c r="G981" s="12" t="str">
        <f>Absolute_Scores!G981</f>
        <v>TikTok</v>
      </c>
      <c r="H981" s="29">
        <f>Absolute_Scores!I981</f>
        <v>50</v>
      </c>
      <c r="I981" s="30">
        <f t="shared" si="42"/>
        <v>62.5</v>
      </c>
    </row>
    <row r="982" spans="1:9">
      <c r="A982" s="12" t="str">
        <f>Absolute_Scores!A982</f>
        <v>@windaekaryn</v>
      </c>
      <c r="B982" s="12" t="str">
        <f>Absolute_Scores!B982</f>
        <v>Instagram</v>
      </c>
      <c r="C982" s="29">
        <f>Absolute_Scores!D982</f>
        <v>44</v>
      </c>
      <c r="D982" s="30">
        <f t="shared" si="41"/>
        <v>55</v>
      </c>
      <c r="F982" s="12" t="str">
        <f>Absolute_Scores!F982</f>
        <v>@eatingforlyfe</v>
      </c>
      <c r="G982" s="12" t="str">
        <f>Absolute_Scores!G982</f>
        <v>TikTok</v>
      </c>
      <c r="H982" s="29">
        <f>Absolute_Scores!I982</f>
        <v>50</v>
      </c>
      <c r="I982" s="30">
        <f t="shared" si="42"/>
        <v>62.5</v>
      </c>
    </row>
    <row r="983" spans="1:9">
      <c r="A983" s="12" t="str">
        <f>Absolute_Scores!A983</f>
        <v>@windahhyn</v>
      </c>
      <c r="B983" s="12" t="str">
        <f>Absolute_Scores!B983</f>
        <v>Instagram</v>
      </c>
      <c r="C983" s="29">
        <f>Absolute_Scores!D983</f>
        <v>44</v>
      </c>
      <c r="D983" s="30">
        <f t="shared" si="41"/>
        <v>55</v>
      </c>
      <c r="F983" s="12" t="str">
        <f>Absolute_Scores!F983</f>
        <v>@eaudesarah</v>
      </c>
      <c r="G983" s="12" t="str">
        <f>Absolute_Scores!G983</f>
        <v>TikTok</v>
      </c>
      <c r="H983" s="29">
        <f>Absolute_Scores!I983</f>
        <v>50</v>
      </c>
      <c r="I983" s="30">
        <f t="shared" si="42"/>
        <v>62.5</v>
      </c>
    </row>
    <row r="984" spans="1:9">
      <c r="A984" s="12" t="str">
        <f>Absolute_Scores!A984</f>
        <v>@windyputria</v>
      </c>
      <c r="B984" s="12" t="str">
        <f>Absolute_Scores!B984</f>
        <v>Instagram</v>
      </c>
      <c r="C984" s="29">
        <f>Absolute_Scores!D984</f>
        <v>44</v>
      </c>
      <c r="D984" s="30">
        <f t="shared" si="41"/>
        <v>55</v>
      </c>
      <c r="F984" s="12" t="str">
        <f>Absolute_Scores!F984</f>
        <v>@echaarina19</v>
      </c>
      <c r="G984" s="12" t="str">
        <f>Absolute_Scores!G984</f>
        <v>TikTok</v>
      </c>
      <c r="H984" s="29">
        <f>Absolute_Scores!I984</f>
        <v>50</v>
      </c>
      <c r="I984" s="30">
        <f t="shared" si="42"/>
        <v>62.5</v>
      </c>
    </row>
    <row r="985" spans="1:9">
      <c r="A985" s="12" t="str">
        <f>Absolute_Scores!A985</f>
        <v>@withzaza</v>
      </c>
      <c r="B985" s="12" t="str">
        <f>Absolute_Scores!B985</f>
        <v>Instagram</v>
      </c>
      <c r="C985" s="29">
        <f>Absolute_Scores!D985</f>
        <v>44</v>
      </c>
      <c r="D985" s="30">
        <f t="shared" si="41"/>
        <v>55</v>
      </c>
      <c r="F985" s="12" t="str">
        <f>Absolute_Scores!F985</f>
        <v>@echalaksmi</v>
      </c>
      <c r="G985" s="12" t="str">
        <f>Absolute_Scores!G985</f>
        <v>TikTok</v>
      </c>
      <c r="H985" s="29">
        <f>Absolute_Scores!I985</f>
        <v>50</v>
      </c>
      <c r="I985" s="30">
        <f t="shared" si="42"/>
        <v>62.5</v>
      </c>
    </row>
    <row r="986" spans="1:9">
      <c r="A986" s="12" t="str">
        <f>Absolute_Scores!A986</f>
        <v>@wulan.amsar</v>
      </c>
      <c r="B986" s="12" t="str">
        <f>Absolute_Scores!B986</f>
        <v>Instagram</v>
      </c>
      <c r="C986" s="29">
        <f>Absolute_Scores!D986</f>
        <v>44</v>
      </c>
      <c r="D986" s="30">
        <f t="shared" si="41"/>
        <v>55</v>
      </c>
      <c r="F986" s="12" t="str">
        <f>Absolute_Scores!F986</f>
        <v>@echiiiiii</v>
      </c>
      <c r="G986" s="12" t="str">
        <f>Absolute_Scores!G986</f>
        <v>Instagram</v>
      </c>
      <c r="H986" s="29">
        <f>Absolute_Scores!I986</f>
        <v>50</v>
      </c>
      <c r="I986" s="30">
        <f t="shared" si="42"/>
        <v>62.5</v>
      </c>
    </row>
    <row r="987" spans="1:9">
      <c r="A987" s="12" t="str">
        <f>Absolute_Scores!A987</f>
        <v>@wulandaritarigan</v>
      </c>
      <c r="B987" s="12" t="str">
        <f>Absolute_Scores!B987</f>
        <v>Instagram</v>
      </c>
      <c r="C987" s="29">
        <f>Absolute_Scores!D987</f>
        <v>44</v>
      </c>
      <c r="D987" s="30">
        <f t="shared" si="41"/>
        <v>55</v>
      </c>
      <c r="F987" s="12" t="str">
        <f>Absolute_Scores!F987</f>
        <v>@edelynemia</v>
      </c>
      <c r="G987" s="12" t="str">
        <f>Absolute_Scores!G987</f>
        <v>TikTok</v>
      </c>
      <c r="H987" s="29">
        <f>Absolute_Scores!I987</f>
        <v>50</v>
      </c>
      <c r="I987" s="30">
        <f t="shared" si="42"/>
        <v>62.5</v>
      </c>
    </row>
    <row r="988" spans="1:9">
      <c r="A988" s="12" t="str">
        <f>Absolute_Scores!A988</f>
        <v>@wulandyas</v>
      </c>
      <c r="B988" s="12" t="str">
        <f>Absolute_Scores!B988</f>
        <v>Instagram</v>
      </c>
      <c r="C988" s="29">
        <f>Absolute_Scores!D988</f>
        <v>44</v>
      </c>
      <c r="D988" s="30">
        <f t="shared" si="41"/>
        <v>55</v>
      </c>
      <c r="F988" s="12" t="str">
        <f>Absolute_Scores!F988</f>
        <v>@eeppiioo</v>
      </c>
      <c r="G988" s="12" t="str">
        <f>Absolute_Scores!G988</f>
        <v>Instagram</v>
      </c>
      <c r="H988" s="29">
        <f>Absolute_Scores!I988</f>
        <v>50</v>
      </c>
      <c r="I988" s="30">
        <f t="shared" si="42"/>
        <v>62.5</v>
      </c>
    </row>
    <row r="989" spans="1:9">
      <c r="A989" s="12" t="str">
        <f>Absolute_Scores!A989</f>
        <v>@wydiaprillia</v>
      </c>
      <c r="B989" s="12" t="str">
        <f>Absolute_Scores!B989</f>
        <v>Instagram</v>
      </c>
      <c r="C989" s="29">
        <f>Absolute_Scores!D989</f>
        <v>44</v>
      </c>
      <c r="D989" s="30">
        <f t="shared" si="41"/>
        <v>55</v>
      </c>
      <c r="F989" s="12" t="str">
        <f>Absolute_Scores!F989</f>
        <v>@ega.panda</v>
      </c>
      <c r="G989" s="12" t="str">
        <f>Absolute_Scores!G989</f>
        <v>Instagram</v>
      </c>
      <c r="H989" s="29">
        <f>Absolute_Scores!I989</f>
        <v>50</v>
      </c>
      <c r="I989" s="30">
        <f t="shared" si="42"/>
        <v>62.5</v>
      </c>
    </row>
    <row r="990" spans="1:9">
      <c r="A990" s="12" t="str">
        <f>Absolute_Scores!A990</f>
        <v>@yasyfi_la</v>
      </c>
      <c r="B990" s="12" t="str">
        <f>Absolute_Scores!B990</f>
        <v>Instagram</v>
      </c>
      <c r="C990" s="29">
        <f>Absolute_Scores!D990</f>
        <v>44</v>
      </c>
      <c r="D990" s="30">
        <f t="shared" si="41"/>
        <v>55</v>
      </c>
      <c r="F990" s="12" t="str">
        <f>Absolute_Scores!F990</f>
        <v>@ei.eily</v>
      </c>
      <c r="G990" s="12" t="str">
        <f>Absolute_Scores!G990</f>
        <v>TikTok</v>
      </c>
      <c r="H990" s="29">
        <f>Absolute_Scores!I990</f>
        <v>50</v>
      </c>
      <c r="I990" s="30">
        <f t="shared" si="42"/>
        <v>62.5</v>
      </c>
    </row>
    <row r="991" spans="1:9">
      <c r="A991" s="12" t="str">
        <f>Absolute_Scores!A991</f>
        <v>@yfahrurizal</v>
      </c>
      <c r="B991" s="12" t="str">
        <f>Absolute_Scores!B991</f>
        <v>Instagram</v>
      </c>
      <c r="C991" s="29">
        <f>Absolute_Scores!D991</f>
        <v>44</v>
      </c>
      <c r="D991" s="30">
        <f t="shared" si="41"/>
        <v>55</v>
      </c>
      <c r="F991" s="12" t="str">
        <f>Absolute_Scores!F991</f>
        <v>@eireenjuslimm</v>
      </c>
      <c r="G991" s="12" t="str">
        <f>Absolute_Scores!G991</f>
        <v>Instagram</v>
      </c>
      <c r="H991" s="29">
        <f>Absolute_Scores!I991</f>
        <v>50</v>
      </c>
      <c r="I991" s="30">
        <f t="shared" si="42"/>
        <v>62.5</v>
      </c>
    </row>
    <row r="992" spans="1:9">
      <c r="A992" s="12" t="str">
        <f>Absolute_Scores!A992</f>
        <v>@yoanprastywi</v>
      </c>
      <c r="B992" s="12" t="str">
        <f>Absolute_Scores!B992</f>
        <v>Instagram</v>
      </c>
      <c r="C992" s="29">
        <f>Absolute_Scores!D992</f>
        <v>44</v>
      </c>
      <c r="D992" s="30">
        <f t="shared" si="41"/>
        <v>55</v>
      </c>
      <c r="F992" s="12" t="str">
        <f>Absolute_Scores!F992</f>
        <v>@eka0.9</v>
      </c>
      <c r="G992" s="12" t="str">
        <f>Absolute_Scores!G992</f>
        <v>TikTok</v>
      </c>
      <c r="H992" s="29">
        <f>Absolute_Scores!I992</f>
        <v>50</v>
      </c>
      <c r="I992" s="30">
        <f t="shared" si="42"/>
        <v>62.5</v>
      </c>
    </row>
    <row r="993" spans="1:9">
      <c r="A993" s="12" t="str">
        <f>Absolute_Scores!A993</f>
        <v>@yulianitiara</v>
      </c>
      <c r="B993" s="12" t="str">
        <f>Absolute_Scores!B993</f>
        <v>Instagram</v>
      </c>
      <c r="C993" s="29">
        <f>Absolute_Scores!D993</f>
        <v>44</v>
      </c>
      <c r="D993" s="30">
        <f t="shared" si="41"/>
        <v>55</v>
      </c>
      <c r="F993" s="12" t="str">
        <f>Absolute_Scores!F993</f>
        <v>@ekaafy</v>
      </c>
      <c r="G993" s="12" t="str">
        <f>Absolute_Scores!G993</f>
        <v>Instagram</v>
      </c>
      <c r="H993" s="29">
        <f>Absolute_Scores!I993</f>
        <v>50</v>
      </c>
      <c r="I993" s="30">
        <f t="shared" si="42"/>
        <v>62.5</v>
      </c>
    </row>
    <row r="994" spans="1:9">
      <c r="A994" s="12" t="str">
        <f>Absolute_Scores!A994</f>
        <v>@yulistia.utami</v>
      </c>
      <c r="B994" s="12" t="str">
        <f>Absolute_Scores!B994</f>
        <v>Instagram</v>
      </c>
      <c r="C994" s="29">
        <f>Absolute_Scores!D994</f>
        <v>44</v>
      </c>
      <c r="D994" s="30">
        <f t="shared" si="41"/>
        <v>55</v>
      </c>
      <c r="F994" s="12" t="str">
        <f>Absolute_Scores!F994</f>
        <v>@ekaduwih</v>
      </c>
      <c r="G994" s="12" t="str">
        <f>Absolute_Scores!G994</f>
        <v>TikTok</v>
      </c>
      <c r="H994" s="29">
        <f>Absolute_Scores!I994</f>
        <v>50</v>
      </c>
      <c r="I994" s="30">
        <f t="shared" si="42"/>
        <v>62.5</v>
      </c>
    </row>
    <row r="995" spans="1:9">
      <c r="A995" s="12" t="str">
        <f>Absolute_Scores!A995</f>
        <v>@zahranisaaprilia</v>
      </c>
      <c r="B995" s="12" t="str">
        <f>Absolute_Scores!B995</f>
        <v>Instagram</v>
      </c>
      <c r="C995" s="29">
        <f>Absolute_Scores!D995</f>
        <v>44</v>
      </c>
      <c r="D995" s="30">
        <f t="shared" si="41"/>
        <v>55</v>
      </c>
      <c r="F995" s="12" t="str">
        <f>Absolute_Scores!F995</f>
        <v>@ekaramadhani92</v>
      </c>
      <c r="G995" s="12" t="str">
        <f>Absolute_Scores!G995</f>
        <v>Instagram</v>
      </c>
      <c r="H995" s="29">
        <f>Absolute_Scores!I995</f>
        <v>50</v>
      </c>
      <c r="I995" s="30">
        <f t="shared" si="42"/>
        <v>62.5</v>
      </c>
    </row>
    <row r="996" spans="1:9">
      <c r="A996" s="12" t="str">
        <f>Absolute_Scores!A996</f>
        <v>@alinda_kholisoh</v>
      </c>
      <c r="B996" s="12" t="str">
        <f>Absolute_Scores!B996</f>
        <v>Instagram</v>
      </c>
      <c r="C996" s="29">
        <f>Absolute_Scores!D996</f>
        <v>43</v>
      </c>
      <c r="D996" s="30">
        <f t="shared" si="41"/>
        <v>53.75</v>
      </c>
      <c r="F996" s="12" t="str">
        <f>Absolute_Scores!F996</f>
        <v>@ekasukmariyanti</v>
      </c>
      <c r="G996" s="12" t="str">
        <f>Absolute_Scores!G996</f>
        <v>Instagram</v>
      </c>
      <c r="H996" s="29">
        <f>Absolute_Scores!I996</f>
        <v>50</v>
      </c>
      <c r="I996" s="30">
        <f t="shared" si="42"/>
        <v>62.5</v>
      </c>
    </row>
    <row r="997" spans="1:9">
      <c r="A997" s="12" t="str">
        <f>Absolute_Scores!A997</f>
        <v>@ambarao</v>
      </c>
      <c r="B997" s="12" t="str">
        <f>Absolute_Scores!B997</f>
        <v>Instagram</v>
      </c>
      <c r="C997" s="29">
        <f>Absolute_Scores!D997</f>
        <v>43</v>
      </c>
      <c r="D997" s="30">
        <f t="shared" si="41"/>
        <v>53.75</v>
      </c>
      <c r="F997" s="12" t="str">
        <f>Absolute_Scores!F997</f>
        <v>@ekayounitha</v>
      </c>
      <c r="G997" s="12" t="str">
        <f>Absolute_Scores!G997</f>
        <v>Instagram</v>
      </c>
      <c r="H997" s="29">
        <f>Absolute_Scores!I997</f>
        <v>50</v>
      </c>
      <c r="I997" s="30">
        <f t="shared" si="42"/>
        <v>62.5</v>
      </c>
    </row>
    <row r="998" spans="1:9">
      <c r="A998" s="12" t="str">
        <f>Absolute_Scores!A998</f>
        <v>@baksorusukjoss</v>
      </c>
      <c r="B998" s="12" t="str">
        <f>Absolute_Scores!B998</f>
        <v>Instagram</v>
      </c>
      <c r="C998" s="29">
        <f>Absolute_Scores!D998</f>
        <v>43</v>
      </c>
      <c r="D998" s="30">
        <f t="shared" si="41"/>
        <v>53.75</v>
      </c>
      <c r="F998" s="12" t="str">
        <f>Absolute_Scores!F998</f>
        <v>@elenabintang</v>
      </c>
      <c r="G998" s="12" t="str">
        <f>Absolute_Scores!G998</f>
        <v>Instagram</v>
      </c>
      <c r="H998" s="29">
        <f>Absolute_Scores!I998</f>
        <v>50</v>
      </c>
      <c r="I998" s="30">
        <f t="shared" si="42"/>
        <v>62.5</v>
      </c>
    </row>
    <row r="999" spans="1:9">
      <c r="A999" s="12" t="str">
        <f>Absolute_Scores!A999</f>
        <v>@bellaclaudya</v>
      </c>
      <c r="B999" s="12" t="str">
        <f>Absolute_Scores!B999</f>
        <v>Instagram</v>
      </c>
      <c r="C999" s="29">
        <f>Absolute_Scores!D999</f>
        <v>43</v>
      </c>
      <c r="D999" s="30">
        <f t="shared" si="41"/>
        <v>53.75</v>
      </c>
      <c r="F999" s="12" t="str">
        <f>Absolute_Scores!F999</f>
        <v>@elfinayunisari</v>
      </c>
      <c r="G999" s="12" t="str">
        <f>Absolute_Scores!G999</f>
        <v>Instagram</v>
      </c>
      <c r="H999" s="29">
        <f>Absolute_Scores!I999</f>
        <v>50</v>
      </c>
      <c r="I999" s="30">
        <f t="shared" si="42"/>
        <v>62.5</v>
      </c>
    </row>
    <row r="1000" spans="1:9">
      <c r="A1000" s="12" t="str">
        <f>Absolute_Scores!A1000</f>
        <v>@cindylaurenziaa12</v>
      </c>
      <c r="B1000" s="12" t="str">
        <f>Absolute_Scores!B1000</f>
        <v>Instagram</v>
      </c>
      <c r="C1000" s="29">
        <f>Absolute_Scores!D1000</f>
        <v>43</v>
      </c>
      <c r="D1000" s="30">
        <f t="shared" si="41"/>
        <v>53.75</v>
      </c>
      <c r="F1000" s="12" t="str">
        <f>Absolute_Scores!F1000</f>
        <v>@elissuciati.else</v>
      </c>
      <c r="G1000" s="12" t="str">
        <f>Absolute_Scores!G1000</f>
        <v>Instagram</v>
      </c>
      <c r="H1000" s="29">
        <f>Absolute_Scores!I1000</f>
        <v>50</v>
      </c>
      <c r="I1000" s="30">
        <f t="shared" si="42"/>
        <v>62.5</v>
      </c>
    </row>
    <row r="1001" spans="1:9">
      <c r="A1001" s="12" t="str">
        <f>Absolute_Scores!A1001</f>
        <v>@claraviaadn</v>
      </c>
      <c r="B1001" s="12" t="str">
        <f>Absolute_Scores!B1001</f>
        <v>Instagram</v>
      </c>
      <c r="C1001" s="29">
        <f>Absolute_Scores!D1001</f>
        <v>43</v>
      </c>
      <c r="D1001" s="30">
        <f t="shared" si="41"/>
        <v>53.75</v>
      </c>
      <c r="F1001" s="12" t="str">
        <f>Absolute_Scores!F1001</f>
        <v>@elizstp</v>
      </c>
      <c r="G1001" s="12" t="str">
        <f>Absolute_Scores!G1001</f>
        <v>TikTok</v>
      </c>
      <c r="H1001" s="29">
        <f>Absolute_Scores!I1001</f>
        <v>50</v>
      </c>
      <c r="I1001" s="30">
        <f t="shared" si="42"/>
        <v>62.5</v>
      </c>
    </row>
    <row r="1002" spans="1:9">
      <c r="A1002" s="12" t="str">
        <f>Absolute_Scores!A1002</f>
        <v>@daniarelvaria</v>
      </c>
      <c r="B1002" s="12" t="str">
        <f>Absolute_Scores!B1002</f>
        <v>Instagram</v>
      </c>
      <c r="C1002" s="29">
        <f>Absolute_Scores!D1002</f>
        <v>43</v>
      </c>
      <c r="D1002" s="30">
        <f t="shared" si="41"/>
        <v>53.75</v>
      </c>
      <c r="F1002" s="12" t="str">
        <f>Absolute_Scores!F1002</f>
        <v>@elki.sumanto</v>
      </c>
      <c r="G1002" s="12" t="str">
        <f>Absolute_Scores!G1002</f>
        <v>TikTok</v>
      </c>
      <c r="H1002" s="29">
        <f>Absolute_Scores!I1002</f>
        <v>50</v>
      </c>
      <c r="I1002" s="30">
        <f t="shared" si="42"/>
        <v>62.5</v>
      </c>
    </row>
    <row r="1003" spans="1:9">
      <c r="A1003" s="12" t="str">
        <f>Absolute_Scores!A1003</f>
        <v>@dessydecyl</v>
      </c>
      <c r="B1003" s="12" t="str">
        <f>Absolute_Scores!B1003</f>
        <v>Instagram</v>
      </c>
      <c r="C1003" s="29">
        <f>Absolute_Scores!D1003</f>
        <v>43</v>
      </c>
      <c r="D1003" s="30">
        <f t="shared" si="41"/>
        <v>53.75</v>
      </c>
      <c r="F1003" s="12" t="str">
        <f>Absolute_Scores!F1003</f>
        <v>@ella_azis</v>
      </c>
      <c r="G1003" s="12" t="str">
        <f>Absolute_Scores!G1003</f>
        <v>Instagram</v>
      </c>
      <c r="H1003" s="29">
        <f>Absolute_Scores!I1003</f>
        <v>50</v>
      </c>
      <c r="I1003" s="30">
        <f t="shared" si="42"/>
        <v>62.5</v>
      </c>
    </row>
    <row r="1004" spans="1:9">
      <c r="A1004" s="12" t="str">
        <f>Absolute_Scores!A1004</f>
        <v>@divaarnda.97_</v>
      </c>
      <c r="B1004" s="12" t="str">
        <f>Absolute_Scores!B1004</f>
        <v>Instagram</v>
      </c>
      <c r="C1004" s="29">
        <f>Absolute_Scores!D1004</f>
        <v>43</v>
      </c>
      <c r="D1004" s="30">
        <f t="shared" si="41"/>
        <v>53.75</v>
      </c>
      <c r="F1004" s="12" t="str">
        <f>Absolute_Scores!F1004</f>
        <v>@ellagoeltom</v>
      </c>
      <c r="G1004" s="12" t="str">
        <f>Absolute_Scores!G1004</f>
        <v>Instagram</v>
      </c>
      <c r="H1004" s="29">
        <f>Absolute_Scores!I1004</f>
        <v>50</v>
      </c>
      <c r="I1004" s="30">
        <f t="shared" si="42"/>
        <v>62.5</v>
      </c>
    </row>
    <row r="1005" spans="1:9">
      <c r="A1005" s="12" t="str">
        <f>Absolute_Scores!A1005</f>
        <v>@fitaagustin</v>
      </c>
      <c r="B1005" s="12" t="str">
        <f>Absolute_Scores!B1005</f>
        <v>Instagram</v>
      </c>
      <c r="C1005" s="29">
        <f>Absolute_Scores!D1005</f>
        <v>43</v>
      </c>
      <c r="D1005" s="30">
        <f t="shared" si="41"/>
        <v>53.75</v>
      </c>
      <c r="F1005" s="12" t="str">
        <f>Absolute_Scores!F1005</f>
        <v>@ellynurul</v>
      </c>
      <c r="G1005" s="12" t="str">
        <f>Absolute_Scores!G1005</f>
        <v>Instagram</v>
      </c>
      <c r="H1005" s="29">
        <f>Absolute_Scores!I1005</f>
        <v>50</v>
      </c>
      <c r="I1005" s="30">
        <f t="shared" si="42"/>
        <v>62.5</v>
      </c>
    </row>
    <row r="1006" spans="1:9">
      <c r="A1006" s="12" t="str">
        <f>Absolute_Scores!A1006</f>
        <v>@frisellavindyy</v>
      </c>
      <c r="B1006" s="12" t="str">
        <f>Absolute_Scores!B1006</f>
        <v>Instagram</v>
      </c>
      <c r="C1006" s="29">
        <f>Absolute_Scores!D1006</f>
        <v>43</v>
      </c>
      <c r="D1006" s="30">
        <f t="shared" si="41"/>
        <v>53.75</v>
      </c>
      <c r="F1006" s="12" t="str">
        <f>Absolute_Scores!F1006</f>
        <v>@elmaro.eml</v>
      </c>
      <c r="G1006" s="12" t="str">
        <f>Absolute_Scores!G1006</f>
        <v>Instagram</v>
      </c>
      <c r="H1006" s="29">
        <f>Absolute_Scores!I1006</f>
        <v>50</v>
      </c>
      <c r="I1006" s="30">
        <f t="shared" si="42"/>
        <v>62.5</v>
      </c>
    </row>
    <row r="1007" spans="1:9">
      <c r="A1007" s="12" t="str">
        <f>Absolute_Scores!A1007</f>
        <v>@g.giselaaa</v>
      </c>
      <c r="B1007" s="12" t="str">
        <f>Absolute_Scores!B1007</f>
        <v>Instagram</v>
      </c>
      <c r="C1007" s="29">
        <f>Absolute_Scores!D1007</f>
        <v>43</v>
      </c>
      <c r="D1007" s="30">
        <f t="shared" si="41"/>
        <v>53.75</v>
      </c>
      <c r="F1007" s="12" t="str">
        <f>Absolute_Scores!F1007</f>
        <v>@elnafta</v>
      </c>
      <c r="G1007" s="12" t="str">
        <f>Absolute_Scores!G1007</f>
        <v>TikTok</v>
      </c>
      <c r="H1007" s="29">
        <f>Absolute_Scores!I1007</f>
        <v>50</v>
      </c>
      <c r="I1007" s="30">
        <f t="shared" si="42"/>
        <v>62.5</v>
      </c>
    </row>
    <row r="1008" spans="1:9">
      <c r="A1008" s="12" t="str">
        <f>Absolute_Scores!A1008</f>
        <v>@jeolsi</v>
      </c>
      <c r="B1008" s="12" t="str">
        <f>Absolute_Scores!B1008</f>
        <v>Instagram</v>
      </c>
      <c r="C1008" s="29">
        <f>Absolute_Scores!D1008</f>
        <v>43</v>
      </c>
      <c r="D1008" s="30">
        <f t="shared" si="41"/>
        <v>53.75</v>
      </c>
      <c r="F1008" s="12" t="str">
        <f>Absolute_Scores!F1008</f>
        <v>@elvia_rara</v>
      </c>
      <c r="G1008" s="12" t="str">
        <f>Absolute_Scores!G1008</f>
        <v>Instagram</v>
      </c>
      <c r="H1008" s="29">
        <f>Absolute_Scores!I1008</f>
        <v>50</v>
      </c>
      <c r="I1008" s="30">
        <f t="shared" si="42"/>
        <v>62.5</v>
      </c>
    </row>
    <row r="1009" spans="1:9">
      <c r="A1009" s="12" t="str">
        <f>Absolute_Scores!A1009</f>
        <v>@jihaannp_</v>
      </c>
      <c r="B1009" s="12" t="str">
        <f>Absolute_Scores!B1009</f>
        <v>Instagram</v>
      </c>
      <c r="C1009" s="29">
        <f>Absolute_Scores!D1009</f>
        <v>43</v>
      </c>
      <c r="D1009" s="30">
        <f t="shared" si="41"/>
        <v>53.75</v>
      </c>
      <c r="F1009" s="12" t="str">
        <f>Absolute_Scores!F1009</f>
        <v>@elvieprawiro</v>
      </c>
      <c r="G1009" s="12" t="str">
        <f>Absolute_Scores!G1009</f>
        <v>TikTok</v>
      </c>
      <c r="H1009" s="29">
        <f>Absolute_Scores!I1009</f>
        <v>50</v>
      </c>
      <c r="I1009" s="30">
        <f t="shared" si="42"/>
        <v>62.5</v>
      </c>
    </row>
    <row r="1010" spans="1:9">
      <c r="A1010" s="12" t="str">
        <f>Absolute_Scores!A1010</f>
        <v>@juliusjason_</v>
      </c>
      <c r="B1010" s="12" t="str">
        <f>Absolute_Scores!B1010</f>
        <v>Instagram</v>
      </c>
      <c r="C1010" s="29">
        <f>Absolute_Scores!D1010</f>
        <v>43</v>
      </c>
      <c r="D1010" s="30">
        <f t="shared" si="41"/>
        <v>53.75</v>
      </c>
      <c r="F1010" s="12" t="str">
        <f>Absolute_Scores!F1010</f>
        <v>@elvin.gaa</v>
      </c>
      <c r="G1010" s="12" t="str">
        <f>Absolute_Scores!G1010</f>
        <v>TikTok</v>
      </c>
      <c r="H1010" s="29">
        <f>Absolute_Scores!I1010</f>
        <v>50</v>
      </c>
      <c r="I1010" s="30">
        <f t="shared" si="42"/>
        <v>62.5</v>
      </c>
    </row>
    <row r="1011" spans="1:9">
      <c r="A1011" s="12" t="str">
        <f>Absolute_Scores!A1011</f>
        <v>@lambe_turah</v>
      </c>
      <c r="B1011" s="12" t="str">
        <f>Absolute_Scores!B1011</f>
        <v>Instagram</v>
      </c>
      <c r="C1011" s="29">
        <f>Absolute_Scores!D1011</f>
        <v>43</v>
      </c>
      <c r="D1011" s="30">
        <f t="shared" si="41"/>
        <v>53.75</v>
      </c>
      <c r="F1011" s="12" t="str">
        <f>Absolute_Scores!F1011</f>
        <v>@elvinsalasa</v>
      </c>
      <c r="G1011" s="12" t="str">
        <f>Absolute_Scores!G1011</f>
        <v>TikTok</v>
      </c>
      <c r="H1011" s="29">
        <f>Absolute_Scores!I1011</f>
        <v>50</v>
      </c>
      <c r="I1011" s="30">
        <f t="shared" si="42"/>
        <v>62.5</v>
      </c>
    </row>
    <row r="1012" spans="1:9">
      <c r="A1012" s="12" t="str">
        <f>Absolute_Scores!A1012</f>
        <v>@marfanu26</v>
      </c>
      <c r="B1012" s="12" t="str">
        <f>Absolute_Scores!B1012</f>
        <v>Instagram</v>
      </c>
      <c r="C1012" s="29">
        <f>Absolute_Scores!D1012</f>
        <v>43</v>
      </c>
      <c r="D1012" s="30">
        <f t="shared" si="41"/>
        <v>53.75</v>
      </c>
      <c r="F1012" s="12" t="str">
        <f>Absolute_Scores!F1012</f>
        <v>@elzaraproject</v>
      </c>
      <c r="G1012" s="12" t="str">
        <f>Absolute_Scores!G1012</f>
        <v>TikTok</v>
      </c>
      <c r="H1012" s="29">
        <f>Absolute_Scores!I1012</f>
        <v>50</v>
      </c>
      <c r="I1012" s="30">
        <f t="shared" si="42"/>
        <v>62.5</v>
      </c>
    </row>
    <row r="1013" spans="1:9">
      <c r="A1013" s="12" t="str">
        <f>Absolute_Scores!A1013</f>
        <v>@maya_permatasari76</v>
      </c>
      <c r="B1013" s="12" t="str">
        <f>Absolute_Scores!B1013</f>
        <v>Instagram</v>
      </c>
      <c r="C1013" s="29">
        <f>Absolute_Scores!D1013</f>
        <v>43</v>
      </c>
      <c r="D1013" s="30">
        <f t="shared" si="41"/>
        <v>53.75</v>
      </c>
      <c r="F1013" s="12" t="str">
        <f>Absolute_Scores!F1013</f>
        <v>@ema.ervita</v>
      </c>
      <c r="G1013" s="12" t="str">
        <f>Absolute_Scores!G1013</f>
        <v>Instagram</v>
      </c>
      <c r="H1013" s="29">
        <f>Absolute_Scores!I1013</f>
        <v>50</v>
      </c>
      <c r="I1013" s="30">
        <f t="shared" si="42"/>
        <v>62.5</v>
      </c>
    </row>
    <row r="1014" spans="1:9">
      <c r="A1014" s="12" t="str">
        <f>Absolute_Scores!A1014</f>
        <v>@mel_josh_claire</v>
      </c>
      <c r="B1014" s="12" t="str">
        <f>Absolute_Scores!B1014</f>
        <v>Instagram</v>
      </c>
      <c r="C1014" s="29">
        <f>Absolute_Scores!D1014</f>
        <v>43</v>
      </c>
      <c r="D1014" s="30">
        <f t="shared" si="41"/>
        <v>53.75</v>
      </c>
      <c r="F1014" s="12" t="str">
        <f>Absolute_Scores!F1014</f>
        <v>@emaandii</v>
      </c>
      <c r="G1014" s="12" t="str">
        <f>Absolute_Scores!G1014</f>
        <v>Instagram</v>
      </c>
      <c r="H1014" s="29">
        <f>Absolute_Scores!I1014</f>
        <v>50</v>
      </c>
      <c r="I1014" s="30">
        <f t="shared" si="42"/>
        <v>62.5</v>
      </c>
    </row>
    <row r="1015" spans="1:9">
      <c r="A1015" s="12" t="str">
        <f>Absolute_Scores!A1015</f>
        <v>@putripujiastti</v>
      </c>
      <c r="B1015" s="12" t="str">
        <f>Absolute_Scores!B1015</f>
        <v>Instagram</v>
      </c>
      <c r="C1015" s="29">
        <f>Absolute_Scores!D1015</f>
        <v>43</v>
      </c>
      <c r="D1015" s="30">
        <f t="shared" si="41"/>
        <v>53.75</v>
      </c>
      <c r="F1015" s="12" t="str">
        <f>Absolute_Scores!F1015</f>
        <v>@emaksatuanak09</v>
      </c>
      <c r="G1015" s="12" t="str">
        <f>Absolute_Scores!G1015</f>
        <v>TikTok</v>
      </c>
      <c r="H1015" s="29">
        <f>Absolute_Scores!I1015</f>
        <v>50</v>
      </c>
      <c r="I1015" s="30">
        <f t="shared" si="42"/>
        <v>62.5</v>
      </c>
    </row>
    <row r="1016" spans="1:9">
      <c r="A1016" s="12" t="str">
        <f>Absolute_Scores!A1016</f>
        <v>@putrisarah17</v>
      </c>
      <c r="B1016" s="12" t="str">
        <f>Absolute_Scores!B1016</f>
        <v>Instagram</v>
      </c>
      <c r="C1016" s="29">
        <f>Absolute_Scores!D1016</f>
        <v>43</v>
      </c>
      <c r="D1016" s="30">
        <f t="shared" si="41"/>
        <v>53.75</v>
      </c>
      <c r="F1016" s="12" t="str">
        <f>Absolute_Scores!F1016</f>
        <v>@emilutfi</v>
      </c>
      <c r="G1016" s="12" t="str">
        <f>Absolute_Scores!G1016</f>
        <v>TikTok</v>
      </c>
      <c r="H1016" s="29">
        <f>Absolute_Scores!I1016</f>
        <v>50</v>
      </c>
      <c r="I1016" s="30">
        <f t="shared" si="42"/>
        <v>62.5</v>
      </c>
    </row>
    <row r="1017" spans="1:9">
      <c r="A1017" s="12" t="str">
        <f>Absolute_Scores!A1017</f>
        <v>@queenaya22</v>
      </c>
      <c r="B1017" s="12" t="str">
        <f>Absolute_Scores!B1017</f>
        <v>Instagram</v>
      </c>
      <c r="C1017" s="29">
        <f>Absolute_Scores!D1017</f>
        <v>43</v>
      </c>
      <c r="D1017" s="30">
        <f t="shared" si="41"/>
        <v>53.75</v>
      </c>
      <c r="F1017" s="12" t="str">
        <f>Absolute_Scores!F1017</f>
        <v>@emilykwik</v>
      </c>
      <c r="G1017" s="12" t="str">
        <f>Absolute_Scores!G1017</f>
        <v>TikTok</v>
      </c>
      <c r="H1017" s="29">
        <f>Absolute_Scores!I1017</f>
        <v>50</v>
      </c>
      <c r="I1017" s="30">
        <f t="shared" si="42"/>
        <v>62.5</v>
      </c>
    </row>
    <row r="1018" spans="1:9">
      <c r="A1018" s="12" t="str">
        <f>Absolute_Scores!A1018</f>
        <v>@ratnaadewihariadi</v>
      </c>
      <c r="B1018" s="12" t="str">
        <f>Absolute_Scores!B1018</f>
        <v>Instagram</v>
      </c>
      <c r="C1018" s="29">
        <f>Absolute_Scores!D1018</f>
        <v>43</v>
      </c>
      <c r="D1018" s="30">
        <f t="shared" si="41"/>
        <v>53.75</v>
      </c>
      <c r="F1018" s="12" t="str">
        <f>Absolute_Scores!F1018</f>
        <v>@emrahma</v>
      </c>
      <c r="G1018" s="12" t="str">
        <f>Absolute_Scores!G1018</f>
        <v>Instagram</v>
      </c>
      <c r="H1018" s="29">
        <f>Absolute_Scores!I1018</f>
        <v>50</v>
      </c>
      <c r="I1018" s="30">
        <f t="shared" si="42"/>
        <v>62.5</v>
      </c>
    </row>
    <row r="1019" spans="1:9">
      <c r="A1019" s="12" t="str">
        <f>Absolute_Scores!A1019</f>
        <v>@refinatrianii</v>
      </c>
      <c r="B1019" s="12" t="str">
        <f>Absolute_Scores!B1019</f>
        <v>Instagram</v>
      </c>
      <c r="C1019" s="29">
        <f>Absolute_Scores!D1019</f>
        <v>43</v>
      </c>
      <c r="D1019" s="30">
        <f t="shared" si="41"/>
        <v>53.75</v>
      </c>
      <c r="F1019" s="12" t="str">
        <f>Absolute_Scores!F1019</f>
        <v>@emyli_lin</v>
      </c>
      <c r="G1019" s="12" t="str">
        <f>Absolute_Scores!G1019</f>
        <v>Instagram</v>
      </c>
      <c r="H1019" s="29">
        <f>Absolute_Scores!I1019</f>
        <v>50</v>
      </c>
      <c r="I1019" s="30">
        <f t="shared" si="42"/>
        <v>62.5</v>
      </c>
    </row>
    <row r="1020" spans="1:9">
      <c r="A1020" s="12" t="str">
        <f>Absolute_Scores!A1020</f>
        <v>@renal1995</v>
      </c>
      <c r="B1020" s="12" t="str">
        <f>Absolute_Scores!B1020</f>
        <v>Instagram</v>
      </c>
      <c r="C1020" s="29">
        <f>Absolute_Scores!D1020</f>
        <v>43</v>
      </c>
      <c r="D1020" s="30">
        <f t="shared" si="41"/>
        <v>53.75</v>
      </c>
      <c r="F1020" s="12" t="str">
        <f>Absolute_Scores!F1020</f>
        <v>@endah_wulandhari</v>
      </c>
      <c r="G1020" s="12" t="str">
        <f>Absolute_Scores!G1020</f>
        <v>TikTok</v>
      </c>
      <c r="H1020" s="29">
        <f>Absolute_Scores!I1020</f>
        <v>50</v>
      </c>
      <c r="I1020" s="30">
        <f t="shared" si="42"/>
        <v>62.5</v>
      </c>
    </row>
    <row r="1021" spans="1:9">
      <c r="A1021" s="12" t="str">
        <f>Absolute_Scores!A1021</f>
        <v>@sarahh.zu</v>
      </c>
      <c r="B1021" s="12" t="str">
        <f>Absolute_Scores!B1021</f>
        <v>Instagram</v>
      </c>
      <c r="C1021" s="29">
        <f>Absolute_Scores!D1021</f>
        <v>43</v>
      </c>
      <c r="D1021" s="30">
        <f t="shared" si="41"/>
        <v>53.75</v>
      </c>
      <c r="F1021" s="12" t="str">
        <f>Absolute_Scores!F1021</f>
        <v>@endahdwisetyawan</v>
      </c>
      <c r="G1021" s="12" t="str">
        <f>Absolute_Scores!G1021</f>
        <v>Instagram</v>
      </c>
      <c r="H1021" s="29">
        <f>Absolute_Scores!I1021</f>
        <v>50</v>
      </c>
      <c r="I1021" s="30">
        <f t="shared" si="42"/>
        <v>62.5</v>
      </c>
    </row>
    <row r="1022" spans="1:9">
      <c r="A1022" s="12" t="str">
        <f>Absolute_Scores!A1022</f>
        <v>@scepynun</v>
      </c>
      <c r="B1022" s="12" t="str">
        <f>Absolute_Scores!B1022</f>
        <v>Instagram</v>
      </c>
      <c r="C1022" s="29">
        <f>Absolute_Scores!D1022</f>
        <v>43</v>
      </c>
      <c r="D1022" s="30">
        <f t="shared" si="41"/>
        <v>53.75</v>
      </c>
      <c r="F1022" s="12" t="str">
        <f>Absolute_Scores!F1022</f>
        <v>@enikeveronika</v>
      </c>
      <c r="G1022" s="12" t="str">
        <f>Absolute_Scores!G1022</f>
        <v>Instagram</v>
      </c>
      <c r="H1022" s="29">
        <f>Absolute_Scores!I1022</f>
        <v>50</v>
      </c>
      <c r="I1022" s="30">
        <f t="shared" si="42"/>
        <v>62.5</v>
      </c>
    </row>
    <row r="1023" spans="1:9">
      <c r="A1023" s="12" t="str">
        <f>Absolute_Scores!A1023</f>
        <v>@suciwhn</v>
      </c>
      <c r="B1023" s="12" t="str">
        <f>Absolute_Scores!B1023</f>
        <v>Instagram</v>
      </c>
      <c r="C1023" s="29">
        <f>Absolute_Scores!D1023</f>
        <v>43</v>
      </c>
      <c r="D1023" s="30">
        <f t="shared" si="41"/>
        <v>53.75</v>
      </c>
      <c r="F1023" s="12" t="str">
        <f>Absolute_Scores!F1023</f>
        <v>@enjelinong</v>
      </c>
      <c r="G1023" s="12" t="str">
        <f>Absolute_Scores!G1023</f>
        <v>TikTok</v>
      </c>
      <c r="H1023" s="29">
        <f>Absolute_Scores!I1023</f>
        <v>50</v>
      </c>
      <c r="I1023" s="30">
        <f t="shared" si="42"/>
        <v>62.5</v>
      </c>
    </row>
    <row r="1024" spans="1:9">
      <c r="A1024" s="12" t="str">
        <f>Absolute_Scores!A1024</f>
        <v>@sukmabayusetiawan</v>
      </c>
      <c r="B1024" s="12" t="str">
        <f>Absolute_Scores!B1024</f>
        <v>Instagram</v>
      </c>
      <c r="C1024" s="29">
        <f>Absolute_Scores!D1024</f>
        <v>43</v>
      </c>
      <c r="D1024" s="30">
        <f t="shared" si="41"/>
        <v>53.75</v>
      </c>
      <c r="F1024" s="12" t="str">
        <f>Absolute_Scores!F1024</f>
        <v>@erac_01</v>
      </c>
      <c r="G1024" s="12" t="str">
        <f>Absolute_Scores!G1024</f>
        <v>Instagram</v>
      </c>
      <c r="H1024" s="29">
        <f>Absolute_Scores!I1024</f>
        <v>50</v>
      </c>
      <c r="I1024" s="30">
        <f t="shared" si="42"/>
        <v>62.5</v>
      </c>
    </row>
    <row r="1025" spans="1:9">
      <c r="A1025" s="12" t="str">
        <f>Absolute_Scores!A1025</f>
        <v>@tellaaa09</v>
      </c>
      <c r="B1025" s="12" t="str">
        <f>Absolute_Scores!B1025</f>
        <v>Instagram</v>
      </c>
      <c r="C1025" s="29">
        <f>Absolute_Scores!D1025</f>
        <v>43</v>
      </c>
      <c r="D1025" s="30">
        <f t="shared" si="41"/>
        <v>53.75</v>
      </c>
      <c r="F1025" s="12" t="str">
        <f>Absolute_Scores!F1025</f>
        <v>@erialsr.makeupart</v>
      </c>
      <c r="G1025" s="12" t="str">
        <f>Absolute_Scores!G1025</f>
        <v>TikTok</v>
      </c>
      <c r="H1025" s="29">
        <f>Absolute_Scores!I1025</f>
        <v>50</v>
      </c>
      <c r="I1025" s="30">
        <f t="shared" si="42"/>
        <v>62.5</v>
      </c>
    </row>
    <row r="1026" spans="1:9">
      <c r="A1026" s="12" t="str">
        <f>Absolute_Scores!A1026</f>
        <v>@temanbumil</v>
      </c>
      <c r="B1026" s="12" t="str">
        <f>Absolute_Scores!B1026</f>
        <v>Instagram</v>
      </c>
      <c r="C1026" s="29">
        <f>Absolute_Scores!D1026</f>
        <v>43</v>
      </c>
      <c r="D1026" s="30">
        <f t="shared" si="41"/>
        <v>53.75</v>
      </c>
      <c r="F1026" s="12" t="str">
        <f>Absolute_Scores!F1026</f>
        <v>@erialukmanasr</v>
      </c>
      <c r="G1026" s="12" t="str">
        <f>Absolute_Scores!G1026</f>
        <v>Instagram</v>
      </c>
      <c r="H1026" s="29">
        <f>Absolute_Scores!I1026</f>
        <v>50</v>
      </c>
      <c r="I1026" s="30">
        <f t="shared" si="42"/>
        <v>62.5</v>
      </c>
    </row>
    <row r="1027" spans="1:9">
      <c r="A1027" s="12" t="str">
        <f>Absolute_Scores!A1027</f>
        <v>@vinauliaa_</v>
      </c>
      <c r="B1027" s="12" t="str">
        <f>Absolute_Scores!B1027</f>
        <v>Instagram</v>
      </c>
      <c r="C1027" s="29">
        <f>Absolute_Scores!D1027</f>
        <v>43</v>
      </c>
      <c r="D1027" s="30">
        <f t="shared" si="41"/>
        <v>53.75</v>
      </c>
      <c r="F1027" s="12" t="str">
        <f>Absolute_Scores!F1027</f>
        <v>@erin_carllo</v>
      </c>
      <c r="G1027" s="12" t="str">
        <f>Absolute_Scores!G1027</f>
        <v>TikTok</v>
      </c>
      <c r="H1027" s="29">
        <f>Absolute_Scores!I1027</f>
        <v>50</v>
      </c>
      <c r="I1027" s="30">
        <f t="shared" si="42"/>
        <v>62.5</v>
      </c>
    </row>
    <row r="1028" spans="1:9">
      <c r="A1028" s="12" t="str">
        <f>Absolute_Scores!A1028</f>
        <v>@yenydap</v>
      </c>
      <c r="B1028" s="12" t="str">
        <f>Absolute_Scores!B1028</f>
        <v>Instagram</v>
      </c>
      <c r="C1028" s="29">
        <f>Absolute_Scores!D1028</f>
        <v>43</v>
      </c>
      <c r="D1028" s="30">
        <f t="shared" si="41"/>
        <v>53.75</v>
      </c>
      <c r="F1028" s="12" t="str">
        <f>Absolute_Scores!F1028</f>
        <v>@erin.carllo</v>
      </c>
      <c r="G1028" s="12" t="str">
        <f>Absolute_Scores!G1028</f>
        <v>Instagram</v>
      </c>
      <c r="H1028" s="29">
        <f>Absolute_Scores!I1028</f>
        <v>50</v>
      </c>
      <c r="I1028" s="30">
        <f t="shared" si="42"/>
        <v>62.5</v>
      </c>
    </row>
    <row r="1029" spans="1:9">
      <c r="A1029" s="12" t="str">
        <f>Absolute_Scores!A1029</f>
        <v>@agnes_widiautama</v>
      </c>
      <c r="B1029" s="12" t="str">
        <f>Absolute_Scores!B1029</f>
        <v>Instagram</v>
      </c>
      <c r="C1029" s="29">
        <f>Absolute_Scores!D1029</f>
        <v>42</v>
      </c>
      <c r="D1029" s="30">
        <f t="shared" si="41"/>
        <v>52.5</v>
      </c>
      <c r="F1029" s="12" t="str">
        <f>Absolute_Scores!F1029</f>
        <v>@erlanggabayuuu</v>
      </c>
      <c r="G1029" s="12" t="str">
        <f>Absolute_Scores!G1029</f>
        <v>Instagram</v>
      </c>
      <c r="H1029" s="29">
        <f>Absolute_Scores!I1029</f>
        <v>50</v>
      </c>
      <c r="I1029" s="30">
        <f t="shared" si="42"/>
        <v>62.5</v>
      </c>
    </row>
    <row r="1030" spans="1:9">
      <c r="A1030" s="12" t="str">
        <f>Absolute_Scores!A1030</f>
        <v>@alfinpanduu</v>
      </c>
      <c r="B1030" s="12" t="str">
        <f>Absolute_Scores!B1030</f>
        <v>Instagram</v>
      </c>
      <c r="C1030" s="29">
        <f>Absolute_Scores!D1030</f>
        <v>42</v>
      </c>
      <c r="D1030" s="30">
        <f t="shared" ref="D1030:D1093" si="43">ROUND(C1030/$D$4*100,2)</f>
        <v>52.5</v>
      </c>
      <c r="F1030" s="12" t="str">
        <f>Absolute_Scores!F1030</f>
        <v>@erlanggaxzs</v>
      </c>
      <c r="G1030" s="12" t="str">
        <f>Absolute_Scores!G1030</f>
        <v>TikTok</v>
      </c>
      <c r="H1030" s="29">
        <f>Absolute_Scores!I1030</f>
        <v>50</v>
      </c>
      <c r="I1030" s="30">
        <f t="shared" ref="I1030:I1093" si="44">ROUND(H1030/$I$4*100,2)</f>
        <v>62.5</v>
      </c>
    </row>
    <row r="1031" spans="1:9">
      <c r="A1031" s="12" t="str">
        <f>Absolute_Scores!A1031</f>
        <v>@amandatrst</v>
      </c>
      <c r="B1031" s="12" t="str">
        <f>Absolute_Scores!B1031</f>
        <v>Instagram</v>
      </c>
      <c r="C1031" s="29">
        <f>Absolute_Scores!D1031</f>
        <v>42</v>
      </c>
      <c r="D1031" s="30">
        <f t="shared" si="43"/>
        <v>52.5</v>
      </c>
      <c r="F1031" s="12" t="str">
        <f>Absolute_Scores!F1031</f>
        <v>@erlina.novitasar</v>
      </c>
      <c r="G1031" s="12" t="str">
        <f>Absolute_Scores!G1031</f>
        <v>TikTok</v>
      </c>
      <c r="H1031" s="29">
        <f>Absolute_Scores!I1031</f>
        <v>50</v>
      </c>
      <c r="I1031" s="30">
        <f t="shared" si="44"/>
        <v>62.5</v>
      </c>
    </row>
    <row r="1032" spans="1:9">
      <c r="A1032" s="12" t="str">
        <f>Absolute_Scores!A1032</f>
        <v>@amelsal_</v>
      </c>
      <c r="B1032" s="12" t="str">
        <f>Absolute_Scores!B1032</f>
        <v>Instagram</v>
      </c>
      <c r="C1032" s="29">
        <f>Absolute_Scores!D1032</f>
        <v>42</v>
      </c>
      <c r="D1032" s="30">
        <f t="shared" si="43"/>
        <v>52.5</v>
      </c>
      <c r="F1032" s="12" t="str">
        <f>Absolute_Scores!F1032</f>
        <v>@erlitakhoirilisa</v>
      </c>
      <c r="G1032" s="12" t="str">
        <f>Absolute_Scores!G1032</f>
        <v>Instagram</v>
      </c>
      <c r="H1032" s="29">
        <f>Absolute_Scores!I1032</f>
        <v>50</v>
      </c>
      <c r="I1032" s="30">
        <f t="shared" si="44"/>
        <v>62.5</v>
      </c>
    </row>
    <row r="1033" spans="1:9">
      <c r="A1033" s="12" t="str">
        <f>Absolute_Scores!A1033</f>
        <v>@ceyogrl</v>
      </c>
      <c r="B1033" s="12" t="str">
        <f>Absolute_Scores!B1033</f>
        <v>Instagram</v>
      </c>
      <c r="C1033" s="29">
        <f>Absolute_Scores!D1033</f>
        <v>42</v>
      </c>
      <c r="D1033" s="30">
        <f t="shared" si="43"/>
        <v>52.5</v>
      </c>
      <c r="F1033" s="12" t="str">
        <f>Absolute_Scores!F1033</f>
        <v>@ernamu31</v>
      </c>
      <c r="G1033" s="12" t="str">
        <f>Absolute_Scores!G1033</f>
        <v>Instagram</v>
      </c>
      <c r="H1033" s="29">
        <f>Absolute_Scores!I1033</f>
        <v>50</v>
      </c>
      <c r="I1033" s="30">
        <f t="shared" si="44"/>
        <v>62.5</v>
      </c>
    </row>
    <row r="1034" spans="1:9">
      <c r="A1034" s="12" t="str">
        <f>Absolute_Scores!A1034</f>
        <v>@claritafeifeiky</v>
      </c>
      <c r="B1034" s="12" t="str">
        <f>Absolute_Scores!B1034</f>
        <v>Instagram</v>
      </c>
      <c r="C1034" s="29">
        <f>Absolute_Scores!D1034</f>
        <v>42</v>
      </c>
      <c r="D1034" s="30">
        <f t="shared" si="43"/>
        <v>52.5</v>
      </c>
      <c r="F1034" s="12" t="str">
        <f>Absolute_Scores!F1034</f>
        <v>@ernanapitupulu_</v>
      </c>
      <c r="G1034" s="12" t="str">
        <f>Absolute_Scores!G1034</f>
        <v>TikTok</v>
      </c>
      <c r="H1034" s="29">
        <f>Absolute_Scores!I1034</f>
        <v>50</v>
      </c>
      <c r="I1034" s="30">
        <f t="shared" si="44"/>
        <v>62.5</v>
      </c>
    </row>
    <row r="1035" spans="1:9">
      <c r="A1035" s="12" t="str">
        <f>Absolute_Scores!A1035</f>
        <v>@cynthiasrswt</v>
      </c>
      <c r="B1035" s="12" t="str">
        <f>Absolute_Scores!B1035</f>
        <v>Instagram</v>
      </c>
      <c r="C1035" s="29">
        <f>Absolute_Scores!D1035</f>
        <v>42</v>
      </c>
      <c r="D1035" s="30">
        <f t="shared" si="43"/>
        <v>52.5</v>
      </c>
      <c r="F1035" s="12" t="str">
        <f>Absolute_Scores!F1035</f>
        <v>@ernandaa__</v>
      </c>
      <c r="G1035" s="12" t="str">
        <f>Absolute_Scores!G1035</f>
        <v>Instagram</v>
      </c>
      <c r="H1035" s="29">
        <f>Absolute_Scores!I1035</f>
        <v>50</v>
      </c>
      <c r="I1035" s="30">
        <f t="shared" si="44"/>
        <v>62.5</v>
      </c>
    </row>
    <row r="1036" spans="1:9">
      <c r="A1036" s="12" t="str">
        <f>Absolute_Scores!A1036</f>
        <v>@devitul99</v>
      </c>
      <c r="B1036" s="12" t="str">
        <f>Absolute_Scores!B1036</f>
        <v>Instagram</v>
      </c>
      <c r="C1036" s="29">
        <f>Absolute_Scores!D1036</f>
        <v>42</v>
      </c>
      <c r="D1036" s="30">
        <f t="shared" si="43"/>
        <v>52.5</v>
      </c>
      <c r="F1036" s="12" t="str">
        <f>Absolute_Scores!F1036</f>
        <v>@ernawiguna</v>
      </c>
      <c r="G1036" s="12" t="str">
        <f>Absolute_Scores!G1036</f>
        <v>TikTok</v>
      </c>
      <c r="H1036" s="29">
        <f>Absolute_Scores!I1036</f>
        <v>50</v>
      </c>
      <c r="I1036" s="30">
        <f t="shared" si="44"/>
        <v>62.5</v>
      </c>
    </row>
    <row r="1037" spans="1:9">
      <c r="A1037" s="12" t="str">
        <f>Absolute_Scores!A1037</f>
        <v>@dilanadilaa_</v>
      </c>
      <c r="B1037" s="12" t="str">
        <f>Absolute_Scores!B1037</f>
        <v>Instagram</v>
      </c>
      <c r="C1037" s="29">
        <f>Absolute_Scores!D1037</f>
        <v>42</v>
      </c>
      <c r="D1037" s="30">
        <f t="shared" si="43"/>
        <v>52.5</v>
      </c>
      <c r="F1037" s="12" t="str">
        <f>Absolute_Scores!F1037</f>
        <v>@erni_tristiani</v>
      </c>
      <c r="G1037" s="12" t="str">
        <f>Absolute_Scores!G1037</f>
        <v>Instagram</v>
      </c>
      <c r="H1037" s="29">
        <f>Absolute_Scores!I1037</f>
        <v>50</v>
      </c>
      <c r="I1037" s="30">
        <f t="shared" si="44"/>
        <v>62.5</v>
      </c>
    </row>
    <row r="1038" spans="1:9">
      <c r="A1038" s="12" t="str">
        <f>Absolute_Scores!A1038</f>
        <v>@ftmknnt</v>
      </c>
      <c r="B1038" s="12" t="str">
        <f>Absolute_Scores!B1038</f>
        <v>Instagram</v>
      </c>
      <c r="C1038" s="29">
        <f>Absolute_Scores!D1038</f>
        <v>42</v>
      </c>
      <c r="D1038" s="30">
        <f t="shared" si="43"/>
        <v>52.5</v>
      </c>
      <c r="F1038" s="12" t="str">
        <f>Absolute_Scores!F1038</f>
        <v>@ernps_</v>
      </c>
      <c r="G1038" s="12" t="str">
        <f>Absolute_Scores!G1038</f>
        <v>Instagram</v>
      </c>
      <c r="H1038" s="29">
        <f>Absolute_Scores!I1038</f>
        <v>50</v>
      </c>
      <c r="I1038" s="30">
        <f t="shared" si="44"/>
        <v>62.5</v>
      </c>
    </row>
    <row r="1039" spans="1:9">
      <c r="A1039" s="12" t="str">
        <f>Absolute_Scores!A1039</f>
        <v>@gabriellaben_</v>
      </c>
      <c r="B1039" s="12" t="str">
        <f>Absolute_Scores!B1039</f>
        <v>Instagram</v>
      </c>
      <c r="C1039" s="29">
        <f>Absolute_Scores!D1039</f>
        <v>42</v>
      </c>
      <c r="D1039" s="30">
        <f t="shared" si="43"/>
        <v>52.5</v>
      </c>
      <c r="F1039" s="12" t="str">
        <f>Absolute_Scores!F1039</f>
        <v>@ernypuspa</v>
      </c>
      <c r="G1039" s="12" t="str">
        <f>Absolute_Scores!G1039</f>
        <v>Instagram</v>
      </c>
      <c r="H1039" s="29">
        <f>Absolute_Scores!I1039</f>
        <v>50</v>
      </c>
      <c r="I1039" s="30">
        <f t="shared" si="44"/>
        <v>62.5</v>
      </c>
    </row>
    <row r="1040" spans="1:9">
      <c r="A1040" s="12" t="str">
        <f>Absolute_Scores!A1040</f>
        <v>@haikaladlin_</v>
      </c>
      <c r="B1040" s="12" t="str">
        <f>Absolute_Scores!B1040</f>
        <v>Instagram</v>
      </c>
      <c r="C1040" s="29">
        <f>Absolute_Scores!D1040</f>
        <v>42</v>
      </c>
      <c r="D1040" s="30">
        <f t="shared" si="43"/>
        <v>52.5</v>
      </c>
      <c r="F1040" s="12" t="str">
        <f>Absolute_Scores!F1040</f>
        <v>@erwanti_wahyu</v>
      </c>
      <c r="G1040" s="12" t="str">
        <f>Absolute_Scores!G1040</f>
        <v>Instagram</v>
      </c>
      <c r="H1040" s="29">
        <f>Absolute_Scores!I1040</f>
        <v>50</v>
      </c>
      <c r="I1040" s="30">
        <f t="shared" si="44"/>
        <v>62.5</v>
      </c>
    </row>
    <row r="1041" spans="1:9">
      <c r="A1041" s="12" t="str">
        <f>Absolute_Scores!A1041</f>
        <v>@herlinasalsabila16</v>
      </c>
      <c r="B1041" s="12" t="str">
        <f>Absolute_Scores!B1041</f>
        <v>Instagram</v>
      </c>
      <c r="C1041" s="29">
        <f>Absolute_Scores!D1041</f>
        <v>42</v>
      </c>
      <c r="D1041" s="30">
        <f t="shared" si="43"/>
        <v>52.5</v>
      </c>
      <c r="F1041" s="12" t="str">
        <f>Absolute_Scores!F1041</f>
        <v>@eskaaw_</v>
      </c>
      <c r="G1041" s="12" t="str">
        <f>Absolute_Scores!G1041</f>
        <v>Instagram</v>
      </c>
      <c r="H1041" s="29">
        <f>Absolute_Scores!I1041</f>
        <v>50</v>
      </c>
      <c r="I1041" s="30">
        <f t="shared" si="44"/>
        <v>62.5</v>
      </c>
    </row>
    <row r="1042" spans="1:9">
      <c r="A1042" s="12" t="str">
        <f>Absolute_Scores!A1042</f>
        <v>@indozone.id</v>
      </c>
      <c r="B1042" s="12" t="str">
        <f>Absolute_Scores!B1042</f>
        <v>Instagram</v>
      </c>
      <c r="C1042" s="29">
        <f>Absolute_Scores!D1042</f>
        <v>42</v>
      </c>
      <c r="D1042" s="30">
        <f t="shared" si="43"/>
        <v>52.5</v>
      </c>
      <c r="F1042" s="12" t="str">
        <f>Absolute_Scores!F1042</f>
        <v>@esterlitaalexander</v>
      </c>
      <c r="G1042" s="12" t="str">
        <f>Absolute_Scores!G1042</f>
        <v>TikTok</v>
      </c>
      <c r="H1042" s="29">
        <f>Absolute_Scores!I1042</f>
        <v>50</v>
      </c>
      <c r="I1042" s="30">
        <f t="shared" si="44"/>
        <v>62.5</v>
      </c>
    </row>
    <row r="1043" spans="1:9">
      <c r="A1043" s="12" t="str">
        <f>Absolute_Scores!A1043</f>
        <v>@iwanbanaranblog</v>
      </c>
      <c r="B1043" s="12" t="str">
        <f>Absolute_Scores!B1043</f>
        <v>Instagram</v>
      </c>
      <c r="C1043" s="29">
        <f>Absolute_Scores!D1043</f>
        <v>42</v>
      </c>
      <c r="D1043" s="30">
        <f t="shared" si="43"/>
        <v>52.5</v>
      </c>
      <c r="F1043" s="12" t="str">
        <f>Absolute_Scores!F1043</f>
        <v>@esyasparkles</v>
      </c>
      <c r="G1043" s="12" t="str">
        <f>Absolute_Scores!G1043</f>
        <v>TikTok</v>
      </c>
      <c r="H1043" s="29">
        <f>Absolute_Scores!I1043</f>
        <v>50</v>
      </c>
      <c r="I1043" s="30">
        <f t="shared" si="44"/>
        <v>62.5</v>
      </c>
    </row>
    <row r="1044" spans="1:9">
      <c r="A1044" s="12" t="str">
        <f>Absolute_Scores!A1044</f>
        <v>@jf.seeyah</v>
      </c>
      <c r="B1044" s="12" t="str">
        <f>Absolute_Scores!B1044</f>
        <v>Instagram</v>
      </c>
      <c r="C1044" s="29">
        <f>Absolute_Scores!D1044</f>
        <v>42</v>
      </c>
      <c r="D1044" s="30">
        <f t="shared" si="43"/>
        <v>52.5</v>
      </c>
      <c r="F1044" s="12" t="str">
        <f>Absolute_Scores!F1044</f>
        <v>@euginiavalen220</v>
      </c>
      <c r="G1044" s="12" t="str">
        <f>Absolute_Scores!G1044</f>
        <v>Instagram</v>
      </c>
      <c r="H1044" s="29">
        <f>Absolute_Scores!I1044</f>
        <v>50</v>
      </c>
      <c r="I1044" s="30">
        <f t="shared" si="44"/>
        <v>62.5</v>
      </c>
    </row>
    <row r="1045" spans="1:9">
      <c r="A1045" s="12" t="str">
        <f>Absolute_Scores!A1045</f>
        <v>@jihanyusnita</v>
      </c>
      <c r="B1045" s="12" t="str">
        <f>Absolute_Scores!B1045</f>
        <v>Instagram</v>
      </c>
      <c r="C1045" s="29">
        <f>Absolute_Scores!D1045</f>
        <v>42</v>
      </c>
      <c r="D1045" s="30">
        <f t="shared" si="43"/>
        <v>52.5</v>
      </c>
      <c r="F1045" s="12" t="str">
        <f>Absolute_Scores!F1045</f>
        <v>@euisramadhani12</v>
      </c>
      <c r="G1045" s="12" t="str">
        <f>Absolute_Scores!G1045</f>
        <v>Instagram</v>
      </c>
      <c r="H1045" s="29">
        <f>Absolute_Scores!I1045</f>
        <v>50</v>
      </c>
      <c r="I1045" s="30">
        <f t="shared" si="44"/>
        <v>62.5</v>
      </c>
    </row>
    <row r="1046" spans="1:9">
      <c r="A1046" s="12" t="str">
        <f>Absolute_Scores!A1046</f>
        <v>@karada_id</v>
      </c>
      <c r="B1046" s="12" t="str">
        <f>Absolute_Scores!B1046</f>
        <v>Instagram</v>
      </c>
      <c r="C1046" s="29">
        <f>Absolute_Scores!D1046</f>
        <v>42</v>
      </c>
      <c r="D1046" s="30">
        <f t="shared" si="43"/>
        <v>52.5</v>
      </c>
      <c r="F1046" s="12" t="str">
        <f>Absolute_Scores!F1046</f>
        <v>@euisssspr</v>
      </c>
      <c r="G1046" s="12" t="str">
        <f>Absolute_Scores!G1046</f>
        <v>TikTok</v>
      </c>
      <c r="H1046" s="29">
        <f>Absolute_Scores!I1046</f>
        <v>50</v>
      </c>
      <c r="I1046" s="30">
        <f t="shared" si="44"/>
        <v>62.5</v>
      </c>
    </row>
    <row r="1047" spans="1:9">
      <c r="A1047" s="12" t="str">
        <f>Absolute_Scores!A1047</f>
        <v>@makanber2</v>
      </c>
      <c r="B1047" s="12" t="str">
        <f>Absolute_Scores!B1047</f>
        <v>Instagram</v>
      </c>
      <c r="C1047" s="29">
        <f>Absolute_Scores!D1047</f>
        <v>42</v>
      </c>
      <c r="D1047" s="30">
        <f t="shared" si="43"/>
        <v>52.5</v>
      </c>
      <c r="F1047" s="12" t="str">
        <f>Absolute_Scores!F1047</f>
        <v>@eunchaheunchah</v>
      </c>
      <c r="G1047" s="12" t="str">
        <f>Absolute_Scores!G1047</f>
        <v>Instagram</v>
      </c>
      <c r="H1047" s="29">
        <f>Absolute_Scores!I1047</f>
        <v>50</v>
      </c>
      <c r="I1047" s="30">
        <f t="shared" si="44"/>
        <v>62.5</v>
      </c>
    </row>
    <row r="1048" spans="1:9">
      <c r="A1048" s="12" t="str">
        <f>Absolute_Scores!A1048</f>
        <v>@mirza.mgfr</v>
      </c>
      <c r="B1048" s="12" t="str">
        <f>Absolute_Scores!B1048</f>
        <v>Instagram</v>
      </c>
      <c r="C1048" s="29">
        <f>Absolute_Scores!D1048</f>
        <v>42</v>
      </c>
      <c r="D1048" s="30">
        <f t="shared" si="43"/>
        <v>52.5</v>
      </c>
      <c r="F1048" s="12" t="str">
        <f>Absolute_Scores!F1048</f>
        <v>@euzhanmarsa</v>
      </c>
      <c r="G1048" s="12" t="str">
        <f>Absolute_Scores!G1048</f>
        <v>Instagram</v>
      </c>
      <c r="H1048" s="29">
        <f>Absolute_Scores!I1048</f>
        <v>50</v>
      </c>
      <c r="I1048" s="30">
        <f t="shared" si="44"/>
        <v>62.5</v>
      </c>
    </row>
    <row r="1049" spans="1:9">
      <c r="A1049" s="12" t="str">
        <f>Absolute_Scores!A1049</f>
        <v>@nhyllaqym</v>
      </c>
      <c r="B1049" s="12" t="str">
        <f>Absolute_Scores!B1049</f>
        <v>Instagram</v>
      </c>
      <c r="C1049" s="29">
        <f>Absolute_Scores!D1049</f>
        <v>42</v>
      </c>
      <c r="D1049" s="30">
        <f t="shared" si="43"/>
        <v>52.5</v>
      </c>
      <c r="F1049" s="12" t="str">
        <f>Absolute_Scores!F1049</f>
        <v>@evalita.tasya</v>
      </c>
      <c r="G1049" s="12" t="str">
        <f>Absolute_Scores!G1049</f>
        <v>Instagram</v>
      </c>
      <c r="H1049" s="29">
        <f>Absolute_Scores!I1049</f>
        <v>50</v>
      </c>
      <c r="I1049" s="30">
        <f t="shared" si="44"/>
        <v>62.5</v>
      </c>
    </row>
    <row r="1050" spans="1:9">
      <c r="A1050" s="12" t="str">
        <f>Absolute_Scores!A1050</f>
        <v>@nyamwithinopp</v>
      </c>
      <c r="B1050" s="12" t="str">
        <f>Absolute_Scores!B1050</f>
        <v>Instagram</v>
      </c>
      <c r="C1050" s="29">
        <f>Absolute_Scores!D1050</f>
        <v>42</v>
      </c>
      <c r="D1050" s="30">
        <f t="shared" si="43"/>
        <v>52.5</v>
      </c>
      <c r="F1050" s="12" t="str">
        <f>Absolute_Scores!F1050</f>
        <v>@evarozalinaa</v>
      </c>
      <c r="G1050" s="12" t="str">
        <f>Absolute_Scores!G1050</f>
        <v>Instagram</v>
      </c>
      <c r="H1050" s="29">
        <f>Absolute_Scores!I1050</f>
        <v>50</v>
      </c>
      <c r="I1050" s="30">
        <f t="shared" si="44"/>
        <v>62.5</v>
      </c>
    </row>
    <row r="1051" spans="1:9">
      <c r="A1051" s="12" t="str">
        <f>Absolute_Scores!A1051</f>
        <v>@prisciliabella</v>
      </c>
      <c r="B1051" s="12" t="str">
        <f>Absolute_Scores!B1051</f>
        <v>Instagram</v>
      </c>
      <c r="C1051" s="29">
        <f>Absolute_Scores!D1051</f>
        <v>42</v>
      </c>
      <c r="D1051" s="30">
        <f t="shared" si="43"/>
        <v>52.5</v>
      </c>
      <c r="F1051" s="12" t="str">
        <f>Absolute_Scores!F1051</f>
        <v>@evisarah</v>
      </c>
      <c r="G1051" s="12" t="str">
        <f>Absolute_Scores!G1051</f>
        <v>Instagram</v>
      </c>
      <c r="H1051" s="29">
        <f>Absolute_Scores!I1051</f>
        <v>50</v>
      </c>
      <c r="I1051" s="30">
        <f t="shared" si="44"/>
        <v>62.5</v>
      </c>
    </row>
    <row r="1052" spans="1:9">
      <c r="A1052" s="12" t="str">
        <f>Absolute_Scores!A1052</f>
        <v>@raniaahstr</v>
      </c>
      <c r="B1052" s="12" t="str">
        <f>Absolute_Scores!B1052</f>
        <v>Instagram</v>
      </c>
      <c r="C1052" s="29">
        <f>Absolute_Scores!D1052</f>
        <v>42</v>
      </c>
      <c r="D1052" s="30">
        <f t="shared" si="43"/>
        <v>52.5</v>
      </c>
      <c r="F1052" s="12" t="str">
        <f>Absolute_Scores!F1052</f>
        <v>@exellnn_</v>
      </c>
      <c r="G1052" s="12" t="str">
        <f>Absolute_Scores!G1052</f>
        <v>Instagram</v>
      </c>
      <c r="H1052" s="29">
        <f>Absolute_Scores!I1052</f>
        <v>50</v>
      </c>
      <c r="I1052" s="30">
        <f t="shared" si="44"/>
        <v>62.5</v>
      </c>
    </row>
    <row r="1053" spans="1:9">
      <c r="A1053" s="12" t="str">
        <f>Absolute_Scores!A1053</f>
        <v>@salwakhalishaa</v>
      </c>
      <c r="B1053" s="12" t="str">
        <f>Absolute_Scores!B1053</f>
        <v>Instagram</v>
      </c>
      <c r="C1053" s="29">
        <f>Absolute_Scores!D1053</f>
        <v>42</v>
      </c>
      <c r="D1053" s="30">
        <f t="shared" si="43"/>
        <v>52.5</v>
      </c>
      <c r="F1053" s="12" t="str">
        <f>Absolute_Scores!F1053</f>
        <v>@explore.fajar</v>
      </c>
      <c r="G1053" s="12" t="str">
        <f>Absolute_Scores!G1053</f>
        <v>Instagram</v>
      </c>
      <c r="H1053" s="29">
        <f>Absolute_Scores!I1053</f>
        <v>50</v>
      </c>
      <c r="I1053" s="30">
        <f t="shared" si="44"/>
        <v>62.5</v>
      </c>
    </row>
    <row r="1054" spans="1:9">
      <c r="A1054" s="12" t="str">
        <f>Absolute_Scores!A1054</f>
        <v>@sfyt_nisa</v>
      </c>
      <c r="B1054" s="12" t="str">
        <f>Absolute_Scores!B1054</f>
        <v>Instagram</v>
      </c>
      <c r="C1054" s="29">
        <f>Absolute_Scores!D1054</f>
        <v>42</v>
      </c>
      <c r="D1054" s="30">
        <f t="shared" si="43"/>
        <v>52.5</v>
      </c>
      <c r="F1054" s="12" t="str">
        <f>Absolute_Scores!F1054</f>
        <v>@explorewithbella</v>
      </c>
      <c r="G1054" s="12" t="str">
        <f>Absolute_Scores!G1054</f>
        <v>TikTok</v>
      </c>
      <c r="H1054" s="29">
        <f>Absolute_Scores!I1054</f>
        <v>50</v>
      </c>
      <c r="I1054" s="30">
        <f t="shared" si="44"/>
        <v>62.5</v>
      </c>
    </row>
    <row r="1055" spans="1:9">
      <c r="A1055" s="12" t="str">
        <f>Absolute_Scores!A1055</f>
        <v>@siti.f4tim4h</v>
      </c>
      <c r="B1055" s="12" t="str">
        <f>Absolute_Scores!B1055</f>
        <v>Instagram</v>
      </c>
      <c r="C1055" s="29">
        <f>Absolute_Scores!D1055</f>
        <v>42</v>
      </c>
      <c r="D1055" s="30">
        <f t="shared" si="43"/>
        <v>52.5</v>
      </c>
      <c r="F1055" s="12" t="str">
        <f>Absolute_Scores!F1055</f>
        <v>@eygrasinuhaji</v>
      </c>
      <c r="G1055" s="12" t="str">
        <f>Absolute_Scores!G1055</f>
        <v>Instagram</v>
      </c>
      <c r="H1055" s="29">
        <f>Absolute_Scores!I1055</f>
        <v>50</v>
      </c>
      <c r="I1055" s="30">
        <f t="shared" si="44"/>
        <v>62.5</v>
      </c>
    </row>
    <row r="1056" spans="1:9">
      <c r="A1056" s="12" t="str">
        <f>Absolute_Scores!A1056</f>
        <v>@theadamsband</v>
      </c>
      <c r="B1056" s="12" t="str">
        <f>Absolute_Scores!B1056</f>
        <v>Instagram</v>
      </c>
      <c r="C1056" s="29">
        <f>Absolute_Scores!D1056</f>
        <v>42</v>
      </c>
      <c r="D1056" s="30">
        <f t="shared" si="43"/>
        <v>52.5</v>
      </c>
      <c r="F1056" s="12" t="str">
        <f>Absolute_Scores!F1056</f>
        <v>@eyyowzizah</v>
      </c>
      <c r="G1056" s="12" t="str">
        <f>Absolute_Scores!G1056</f>
        <v>TikTok</v>
      </c>
      <c r="H1056" s="29">
        <f>Absolute_Scores!I1056</f>
        <v>50</v>
      </c>
      <c r="I1056" s="30">
        <f t="shared" si="44"/>
        <v>62.5</v>
      </c>
    </row>
    <row r="1057" spans="1:9">
      <c r="A1057" s="12" t="str">
        <f>Absolute_Scores!A1057</f>
        <v>@ummi_khaira_</v>
      </c>
      <c r="B1057" s="12" t="str">
        <f>Absolute_Scores!B1057</f>
        <v>Instagram</v>
      </c>
      <c r="C1057" s="29">
        <f>Absolute_Scores!D1057</f>
        <v>42</v>
      </c>
      <c r="D1057" s="30">
        <f t="shared" si="43"/>
        <v>52.5</v>
      </c>
      <c r="F1057" s="12" t="str">
        <f>Absolute_Scores!F1057</f>
        <v>@ezaanbiyatisna374</v>
      </c>
      <c r="G1057" s="12" t="str">
        <f>Absolute_Scores!G1057</f>
        <v>TikTok</v>
      </c>
      <c r="H1057" s="29">
        <f>Absolute_Scores!I1057</f>
        <v>50</v>
      </c>
      <c r="I1057" s="30">
        <f t="shared" si="44"/>
        <v>62.5</v>
      </c>
    </row>
    <row r="1058" spans="1:9">
      <c r="A1058" s="12" t="str">
        <f>Absolute_Scores!A1058</f>
        <v>@wnywinn</v>
      </c>
      <c r="B1058" s="12" t="str">
        <f>Absolute_Scores!B1058</f>
        <v>Instagram</v>
      </c>
      <c r="C1058" s="29">
        <f>Absolute_Scores!D1058</f>
        <v>42</v>
      </c>
      <c r="D1058" s="30">
        <f t="shared" si="43"/>
        <v>52.5</v>
      </c>
      <c r="F1058" s="12" t="str">
        <f>Absolute_Scores!F1058</f>
        <v>@faduyyy</v>
      </c>
      <c r="G1058" s="12" t="str">
        <f>Absolute_Scores!G1058</f>
        <v>TikTok</v>
      </c>
      <c r="H1058" s="29">
        <f>Absolute_Scores!I1058</f>
        <v>50</v>
      </c>
      <c r="I1058" s="30">
        <f t="shared" si="44"/>
        <v>62.5</v>
      </c>
    </row>
    <row r="1059" spans="1:9">
      <c r="A1059" s="12" t="str">
        <f>Absolute_Scores!A1059</f>
        <v>@yusufff04_</v>
      </c>
      <c r="B1059" s="12" t="str">
        <f>Absolute_Scores!B1059</f>
        <v>Instagram</v>
      </c>
      <c r="C1059" s="29">
        <f>Absolute_Scores!D1059</f>
        <v>42</v>
      </c>
      <c r="D1059" s="30">
        <f t="shared" si="43"/>
        <v>52.5</v>
      </c>
      <c r="F1059" s="12" t="str">
        <f>Absolute_Scores!F1059</f>
        <v>@fahadhaydra</v>
      </c>
      <c r="G1059" s="12" t="str">
        <f>Absolute_Scores!G1059</f>
        <v>TikTok</v>
      </c>
      <c r="H1059" s="29">
        <f>Absolute_Scores!I1059</f>
        <v>50</v>
      </c>
      <c r="I1059" s="30">
        <f t="shared" si="44"/>
        <v>62.5</v>
      </c>
    </row>
    <row r="1060" spans="1:9">
      <c r="A1060" s="12" t="str">
        <f>Absolute_Scores!A1060</f>
        <v>@zoaai</v>
      </c>
      <c r="B1060" s="12" t="str">
        <f>Absolute_Scores!B1060</f>
        <v>Instagram</v>
      </c>
      <c r="C1060" s="29">
        <f>Absolute_Scores!D1060</f>
        <v>42</v>
      </c>
      <c r="D1060" s="30">
        <f t="shared" si="43"/>
        <v>52.5</v>
      </c>
      <c r="F1060" s="12" t="str">
        <f>Absolute_Scores!F1060</f>
        <v>@fahmiryz</v>
      </c>
      <c r="G1060" s="12" t="str">
        <f>Absolute_Scores!G1060</f>
        <v>TikTok</v>
      </c>
      <c r="H1060" s="29">
        <f>Absolute_Scores!I1060</f>
        <v>50</v>
      </c>
      <c r="I1060" s="30">
        <f t="shared" si="44"/>
        <v>62.5</v>
      </c>
    </row>
    <row r="1061" spans="1:9">
      <c r="A1061" s="12" t="str">
        <f>Absolute_Scores!A1061</f>
        <v>@arraliaruf</v>
      </c>
      <c r="B1061" s="12" t="str">
        <f>Absolute_Scores!B1061</f>
        <v>Instagram</v>
      </c>
      <c r="C1061" s="29">
        <f>Absolute_Scores!D1061</f>
        <v>41</v>
      </c>
      <c r="D1061" s="30">
        <f t="shared" si="43"/>
        <v>51.25</v>
      </c>
      <c r="F1061" s="12" t="str">
        <f>Absolute_Scores!F1061</f>
        <v>@fahri.061</v>
      </c>
      <c r="G1061" s="12" t="str">
        <f>Absolute_Scores!G1061</f>
        <v>TikTok</v>
      </c>
      <c r="H1061" s="29">
        <f>Absolute_Scores!I1061</f>
        <v>50</v>
      </c>
      <c r="I1061" s="30">
        <f t="shared" si="44"/>
        <v>62.5</v>
      </c>
    </row>
    <row r="1062" spans="1:9">
      <c r="A1062" s="12" t="str">
        <f>Absolute_Scores!A1062</f>
        <v>@atikah_nurmala</v>
      </c>
      <c r="B1062" s="12" t="str">
        <f>Absolute_Scores!B1062</f>
        <v>Instagram</v>
      </c>
      <c r="C1062" s="29">
        <f>Absolute_Scores!D1062</f>
        <v>41</v>
      </c>
      <c r="D1062" s="30">
        <f t="shared" si="43"/>
        <v>51.25</v>
      </c>
      <c r="F1062" s="12" t="str">
        <f>Absolute_Scores!F1062</f>
        <v>@fairouz_perdana</v>
      </c>
      <c r="G1062" s="12" t="str">
        <f>Absolute_Scores!G1062</f>
        <v>Instagram</v>
      </c>
      <c r="H1062" s="29">
        <f>Absolute_Scores!I1062</f>
        <v>50</v>
      </c>
      <c r="I1062" s="30">
        <f t="shared" si="44"/>
        <v>62.5</v>
      </c>
    </row>
    <row r="1063" spans="1:9">
      <c r="A1063" s="12" t="str">
        <f>Absolute_Scores!A1063</f>
        <v>@cessy_dr</v>
      </c>
      <c r="B1063" s="12" t="str">
        <f>Absolute_Scores!B1063</f>
        <v>Instagram</v>
      </c>
      <c r="C1063" s="29">
        <f>Absolute_Scores!D1063</f>
        <v>41</v>
      </c>
      <c r="D1063" s="30">
        <f t="shared" si="43"/>
        <v>51.25</v>
      </c>
      <c r="F1063" s="12" t="str">
        <f>Absolute_Scores!F1063</f>
        <v>@fajarmahez</v>
      </c>
      <c r="G1063" s="12" t="str">
        <f>Absolute_Scores!G1063</f>
        <v>Instagram</v>
      </c>
      <c r="H1063" s="29">
        <f>Absolute_Scores!I1063</f>
        <v>50</v>
      </c>
      <c r="I1063" s="30">
        <f t="shared" si="44"/>
        <v>62.5</v>
      </c>
    </row>
    <row r="1064" spans="1:9">
      <c r="A1064" s="12" t="str">
        <f>Absolute_Scores!A1064</f>
        <v>@deaputrik</v>
      </c>
      <c r="B1064" s="12" t="str">
        <f>Absolute_Scores!B1064</f>
        <v>Instagram</v>
      </c>
      <c r="C1064" s="29">
        <f>Absolute_Scores!D1064</f>
        <v>41</v>
      </c>
      <c r="D1064" s="30">
        <f t="shared" si="43"/>
        <v>51.25</v>
      </c>
      <c r="F1064" s="12" t="str">
        <f>Absolute_Scores!F1064</f>
        <v>@fajarrusalem</v>
      </c>
      <c r="G1064" s="12" t="str">
        <f>Absolute_Scores!G1064</f>
        <v>Instagram</v>
      </c>
      <c r="H1064" s="29">
        <f>Absolute_Scores!I1064</f>
        <v>50</v>
      </c>
      <c r="I1064" s="30">
        <f t="shared" si="44"/>
        <v>62.5</v>
      </c>
    </row>
    <row r="1065" spans="1:9">
      <c r="A1065" s="12" t="str">
        <f>Absolute_Scores!A1065</f>
        <v>@fanahworld</v>
      </c>
      <c r="B1065" s="12" t="str">
        <f>Absolute_Scores!B1065</f>
        <v>Instagram</v>
      </c>
      <c r="C1065" s="29">
        <f>Absolute_Scores!D1065</f>
        <v>41</v>
      </c>
      <c r="D1065" s="30">
        <f t="shared" si="43"/>
        <v>51.25</v>
      </c>
      <c r="F1065" s="12" t="str">
        <f>Absolute_Scores!F1065</f>
        <v>@fakhrimu</v>
      </c>
      <c r="G1065" s="12" t="str">
        <f>Absolute_Scores!G1065</f>
        <v>TikTok</v>
      </c>
      <c r="H1065" s="29">
        <f>Absolute_Scores!I1065</f>
        <v>50</v>
      </c>
      <c r="I1065" s="30">
        <f t="shared" si="44"/>
        <v>62.5</v>
      </c>
    </row>
    <row r="1066" spans="1:9">
      <c r="A1066" s="12" t="str">
        <f>Absolute_Scores!A1066</f>
        <v>@kevinmooses</v>
      </c>
      <c r="B1066" s="12" t="str">
        <f>Absolute_Scores!B1066</f>
        <v>Instagram</v>
      </c>
      <c r="C1066" s="29">
        <f>Absolute_Scores!D1066</f>
        <v>41</v>
      </c>
      <c r="D1066" s="30">
        <f t="shared" si="43"/>
        <v>51.25</v>
      </c>
      <c r="F1066" s="12" t="str">
        <f>Absolute_Scores!F1066</f>
        <v>@falyaaqiela</v>
      </c>
      <c r="G1066" s="12" t="str">
        <f>Absolute_Scores!G1066</f>
        <v>TikTok</v>
      </c>
      <c r="H1066" s="29">
        <f>Absolute_Scores!I1066</f>
        <v>50</v>
      </c>
      <c r="I1066" s="30">
        <f t="shared" si="44"/>
        <v>62.5</v>
      </c>
    </row>
    <row r="1067" spans="1:9">
      <c r="A1067" s="12" t="str">
        <f>Absolute_Scores!A1067</f>
        <v>@letta_himeka29</v>
      </c>
      <c r="B1067" s="12" t="str">
        <f>Absolute_Scores!B1067</f>
        <v>Instagram</v>
      </c>
      <c r="C1067" s="29">
        <f>Absolute_Scores!D1067</f>
        <v>41</v>
      </c>
      <c r="D1067" s="30">
        <f t="shared" si="43"/>
        <v>51.25</v>
      </c>
      <c r="F1067" s="12" t="str">
        <f>Absolute_Scores!F1067</f>
        <v>@fanggg66_</v>
      </c>
      <c r="G1067" s="12" t="str">
        <f>Absolute_Scores!G1067</f>
        <v>Instagram</v>
      </c>
      <c r="H1067" s="29">
        <f>Absolute_Scores!I1067</f>
        <v>50</v>
      </c>
      <c r="I1067" s="30">
        <f t="shared" si="44"/>
        <v>62.5</v>
      </c>
    </row>
    <row r="1068" spans="1:9">
      <c r="A1068" s="12" t="str">
        <f>Absolute_Scores!A1068</f>
        <v>@nukesaputraa</v>
      </c>
      <c r="B1068" s="12" t="str">
        <f>Absolute_Scores!B1068</f>
        <v>Instagram</v>
      </c>
      <c r="C1068" s="29">
        <f>Absolute_Scores!D1068</f>
        <v>41</v>
      </c>
      <c r="D1068" s="30">
        <f t="shared" si="43"/>
        <v>51.25</v>
      </c>
      <c r="F1068" s="12" t="str">
        <f>Absolute_Scores!F1068</f>
        <v>@faniekalistiyana</v>
      </c>
      <c r="G1068" s="12" t="str">
        <f>Absolute_Scores!G1068</f>
        <v>Instagram</v>
      </c>
      <c r="H1068" s="29">
        <f>Absolute_Scores!I1068</f>
        <v>50</v>
      </c>
      <c r="I1068" s="30">
        <f t="shared" si="44"/>
        <v>62.5</v>
      </c>
    </row>
    <row r="1069" spans="1:9">
      <c r="A1069" s="12" t="str">
        <f>Absolute_Scores!A1069</f>
        <v>@priscillaakarens</v>
      </c>
      <c r="B1069" s="12" t="str">
        <f>Absolute_Scores!B1069</f>
        <v>Instagram</v>
      </c>
      <c r="C1069" s="29">
        <f>Absolute_Scores!D1069</f>
        <v>41</v>
      </c>
      <c r="D1069" s="30">
        <f t="shared" si="43"/>
        <v>51.25</v>
      </c>
      <c r="F1069" s="12" t="str">
        <f>Absolute_Scores!F1069</f>
        <v>@fannydwimm</v>
      </c>
      <c r="G1069" s="12" t="str">
        <f>Absolute_Scores!G1069</f>
        <v>TikTok</v>
      </c>
      <c r="H1069" s="29">
        <f>Absolute_Scores!I1069</f>
        <v>50</v>
      </c>
      <c r="I1069" s="30">
        <f t="shared" si="44"/>
        <v>62.5</v>
      </c>
    </row>
    <row r="1070" spans="1:9">
      <c r="A1070" s="12" t="str">
        <f>Absolute_Scores!A1070</f>
        <v>@ragil_respati</v>
      </c>
      <c r="B1070" s="12" t="str">
        <f>Absolute_Scores!B1070</f>
        <v>Instagram</v>
      </c>
      <c r="C1070" s="29">
        <f>Absolute_Scores!D1070</f>
        <v>41</v>
      </c>
      <c r="D1070" s="30">
        <f t="shared" si="43"/>
        <v>51.25</v>
      </c>
      <c r="F1070" s="12" t="str">
        <f>Absolute_Scores!F1070</f>
        <v>@faqih_hanna</v>
      </c>
      <c r="G1070" s="12" t="str">
        <f>Absolute_Scores!G1070</f>
        <v>Instagram</v>
      </c>
      <c r="H1070" s="29">
        <f>Absolute_Scores!I1070</f>
        <v>50</v>
      </c>
      <c r="I1070" s="30">
        <f t="shared" si="44"/>
        <v>62.5</v>
      </c>
    </row>
    <row r="1071" spans="1:9">
      <c r="A1071" s="12" t="str">
        <f>Absolute_Scores!A1071</f>
        <v>@sitimasth_</v>
      </c>
      <c r="B1071" s="12" t="str">
        <f>Absolute_Scores!B1071</f>
        <v>Instagram</v>
      </c>
      <c r="C1071" s="29">
        <f>Absolute_Scores!D1071</f>
        <v>41</v>
      </c>
      <c r="D1071" s="30">
        <f t="shared" si="43"/>
        <v>51.25</v>
      </c>
      <c r="F1071" s="12" t="str">
        <f>Absolute_Scores!F1071</f>
        <v>@fara_syafara2</v>
      </c>
      <c r="G1071" s="12" t="str">
        <f>Absolute_Scores!G1071</f>
        <v>TikTok</v>
      </c>
      <c r="H1071" s="29">
        <f>Absolute_Scores!I1071</f>
        <v>50</v>
      </c>
      <c r="I1071" s="30">
        <f t="shared" si="44"/>
        <v>62.5</v>
      </c>
    </row>
    <row r="1072" spans="1:9">
      <c r="A1072" s="12" t="str">
        <f>Absolute_Scores!A1072</f>
        <v>@skidsans</v>
      </c>
      <c r="B1072" s="12" t="str">
        <f>Absolute_Scores!B1072</f>
        <v>Instagram</v>
      </c>
      <c r="C1072" s="29">
        <f>Absolute_Scores!D1072</f>
        <v>41</v>
      </c>
      <c r="D1072" s="30">
        <f t="shared" si="43"/>
        <v>51.25</v>
      </c>
      <c r="F1072" s="12" t="str">
        <f>Absolute_Scores!F1072</f>
        <v>@faradinaauliya</v>
      </c>
      <c r="G1072" s="12" t="str">
        <f>Absolute_Scores!G1072</f>
        <v>Instagram</v>
      </c>
      <c r="H1072" s="29">
        <f>Absolute_Scores!I1072</f>
        <v>50</v>
      </c>
      <c r="I1072" s="30">
        <f t="shared" si="44"/>
        <v>62.5</v>
      </c>
    </row>
    <row r="1073" spans="1:9">
      <c r="A1073" s="12" t="str">
        <f>Absolute_Scores!A1073</f>
        <v>@sonia_wibisono</v>
      </c>
      <c r="B1073" s="12" t="str">
        <f>Absolute_Scores!B1073</f>
        <v>Instagram</v>
      </c>
      <c r="C1073" s="29">
        <f>Absolute_Scores!D1073</f>
        <v>41</v>
      </c>
      <c r="D1073" s="30">
        <f t="shared" si="43"/>
        <v>51.25</v>
      </c>
      <c r="F1073" s="12" t="str">
        <f>Absolute_Scores!F1073</f>
        <v>@farahalula</v>
      </c>
      <c r="G1073" s="12" t="str">
        <f>Absolute_Scores!G1073</f>
        <v>TikTok</v>
      </c>
      <c r="H1073" s="29">
        <f>Absolute_Scores!I1073</f>
        <v>50</v>
      </c>
      <c r="I1073" s="30">
        <f t="shared" si="44"/>
        <v>62.5</v>
      </c>
    </row>
    <row r="1074" spans="1:9">
      <c r="A1074" s="12" t="str">
        <f>Absolute_Scores!A1074</f>
        <v>@traveat_id</v>
      </c>
      <c r="B1074" s="12" t="str">
        <f>Absolute_Scores!B1074</f>
        <v>Instagram</v>
      </c>
      <c r="C1074" s="29">
        <f>Absolute_Scores!D1074</f>
        <v>41</v>
      </c>
      <c r="D1074" s="30">
        <f t="shared" si="43"/>
        <v>51.25</v>
      </c>
      <c r="F1074" s="12" t="str">
        <f>Absolute_Scores!F1074</f>
        <v>@farelibnu__</v>
      </c>
      <c r="G1074" s="12" t="str">
        <f>Absolute_Scores!G1074</f>
        <v>Instagram</v>
      </c>
      <c r="H1074" s="29">
        <f>Absolute_Scores!I1074</f>
        <v>50</v>
      </c>
      <c r="I1074" s="30">
        <f t="shared" si="44"/>
        <v>62.5</v>
      </c>
    </row>
    <row r="1075" spans="1:9">
      <c r="A1075" s="12" t="str">
        <f>Absolute_Scores!A1075</f>
        <v>@vennyalawiyah</v>
      </c>
      <c r="B1075" s="12" t="str">
        <f>Absolute_Scores!B1075</f>
        <v>Instagram</v>
      </c>
      <c r="C1075" s="29">
        <f>Absolute_Scores!D1075</f>
        <v>41</v>
      </c>
      <c r="D1075" s="30">
        <f t="shared" si="43"/>
        <v>51.25</v>
      </c>
      <c r="F1075" s="12" t="str">
        <f>Absolute_Scores!F1075</f>
        <v>@farhanadili</v>
      </c>
      <c r="G1075" s="12" t="str">
        <f>Absolute_Scores!G1075</f>
        <v>TikTok</v>
      </c>
      <c r="H1075" s="29">
        <f>Absolute_Scores!I1075</f>
        <v>50</v>
      </c>
      <c r="I1075" s="30">
        <f t="shared" si="44"/>
        <v>62.5</v>
      </c>
    </row>
    <row r="1076" spans="1:9">
      <c r="A1076" s="12" t="str">
        <f>Absolute_Scores!A1076</f>
        <v>@vie_evie</v>
      </c>
      <c r="B1076" s="12" t="str">
        <f>Absolute_Scores!B1076</f>
        <v>Instagram</v>
      </c>
      <c r="C1076" s="29">
        <f>Absolute_Scores!D1076</f>
        <v>41</v>
      </c>
      <c r="D1076" s="30">
        <f t="shared" si="43"/>
        <v>51.25</v>
      </c>
      <c r="F1076" s="12" t="str">
        <f>Absolute_Scores!F1076</f>
        <v>@farrenbenedictus_</v>
      </c>
      <c r="G1076" s="12" t="str">
        <f>Absolute_Scores!G1076</f>
        <v>Instagram</v>
      </c>
      <c r="H1076" s="29">
        <f>Absolute_Scores!I1076</f>
        <v>50</v>
      </c>
      <c r="I1076" s="30">
        <f t="shared" si="44"/>
        <v>62.5</v>
      </c>
    </row>
    <row r="1077" spans="1:9">
      <c r="A1077" s="12" t="str">
        <f>Absolute_Scores!A1077</f>
        <v>@andira_83</v>
      </c>
      <c r="B1077" s="12" t="str">
        <f>Absolute_Scores!B1077</f>
        <v>Instagram</v>
      </c>
      <c r="C1077" s="29">
        <f>Absolute_Scores!D1077</f>
        <v>40</v>
      </c>
      <c r="D1077" s="30">
        <f t="shared" si="43"/>
        <v>50</v>
      </c>
      <c r="F1077" s="12" t="str">
        <f>Absolute_Scores!F1077</f>
        <v>@farsiscaa</v>
      </c>
      <c r="G1077" s="12" t="str">
        <f>Absolute_Scores!G1077</f>
        <v>Instagram</v>
      </c>
      <c r="H1077" s="29">
        <f>Absolute_Scores!I1077</f>
        <v>50</v>
      </c>
      <c r="I1077" s="30">
        <f t="shared" si="44"/>
        <v>62.5</v>
      </c>
    </row>
    <row r="1078" spans="1:9">
      <c r="A1078" s="12" t="str">
        <f>Absolute_Scores!A1078</f>
        <v>@desidwiyustiani</v>
      </c>
      <c r="B1078" s="12" t="str">
        <f>Absolute_Scores!B1078</f>
        <v>Instagram</v>
      </c>
      <c r="C1078" s="29">
        <f>Absolute_Scores!D1078</f>
        <v>40</v>
      </c>
      <c r="D1078" s="30">
        <f t="shared" si="43"/>
        <v>50</v>
      </c>
      <c r="F1078" s="12" t="str">
        <f>Absolute_Scores!F1078</f>
        <v>@fathiafauzan</v>
      </c>
      <c r="G1078" s="12" t="str">
        <f>Absolute_Scores!G1078</f>
        <v>Instagram</v>
      </c>
      <c r="H1078" s="29">
        <f>Absolute_Scores!I1078</f>
        <v>50</v>
      </c>
      <c r="I1078" s="30">
        <f t="shared" si="44"/>
        <v>62.5</v>
      </c>
    </row>
    <row r="1079" spans="1:9">
      <c r="A1079" s="12" t="str">
        <f>Absolute_Scores!A1079</f>
        <v>@felizchang</v>
      </c>
      <c r="B1079" s="12" t="str">
        <f>Absolute_Scores!B1079</f>
        <v>Instagram</v>
      </c>
      <c r="C1079" s="29">
        <f>Absolute_Scores!D1079</f>
        <v>40</v>
      </c>
      <c r="D1079" s="30">
        <f t="shared" si="43"/>
        <v>50</v>
      </c>
      <c r="F1079" s="12" t="str">
        <f>Absolute_Scores!F1079</f>
        <v>@fathinhafidzah24</v>
      </c>
      <c r="G1079" s="12" t="str">
        <f>Absolute_Scores!G1079</f>
        <v>Instagram</v>
      </c>
      <c r="H1079" s="29">
        <f>Absolute_Scores!I1079</f>
        <v>50</v>
      </c>
      <c r="I1079" s="30">
        <f t="shared" si="44"/>
        <v>62.5</v>
      </c>
    </row>
    <row r="1080" spans="1:9">
      <c r="A1080" s="12" t="str">
        <f>Absolute_Scores!A1080</f>
        <v>@kokojackson7</v>
      </c>
      <c r="B1080" s="12" t="str">
        <f>Absolute_Scores!B1080</f>
        <v>Instagram</v>
      </c>
      <c r="C1080" s="29">
        <f>Absolute_Scores!D1080</f>
        <v>40</v>
      </c>
      <c r="D1080" s="30">
        <f t="shared" si="43"/>
        <v>50</v>
      </c>
      <c r="F1080" s="12" t="str">
        <f>Absolute_Scores!F1080</f>
        <v>@fathria_satriani</v>
      </c>
      <c r="G1080" s="12" t="str">
        <f>Absolute_Scores!G1080</f>
        <v>Instagram</v>
      </c>
      <c r="H1080" s="29">
        <f>Absolute_Scores!I1080</f>
        <v>50</v>
      </c>
      <c r="I1080" s="30">
        <f t="shared" si="44"/>
        <v>62.5</v>
      </c>
    </row>
    <row r="1081" spans="1:9">
      <c r="A1081" s="12" t="str">
        <f>Absolute_Scores!A1081</f>
        <v>@kristiani_chen</v>
      </c>
      <c r="B1081" s="12" t="str">
        <f>Absolute_Scores!B1081</f>
        <v>Instagram</v>
      </c>
      <c r="C1081" s="29">
        <f>Absolute_Scores!D1081</f>
        <v>40</v>
      </c>
      <c r="D1081" s="30">
        <f t="shared" si="43"/>
        <v>50</v>
      </c>
      <c r="F1081" s="12" t="str">
        <f>Absolute_Scores!F1081</f>
        <v>@fauzannoorqolbi</v>
      </c>
      <c r="G1081" s="12" t="str">
        <f>Absolute_Scores!G1081</f>
        <v>TikTok</v>
      </c>
      <c r="H1081" s="29">
        <f>Absolute_Scores!I1081</f>
        <v>50</v>
      </c>
      <c r="I1081" s="30">
        <f t="shared" si="44"/>
        <v>62.5</v>
      </c>
    </row>
    <row r="1082" spans="1:9">
      <c r="A1082" s="12" t="str">
        <f>Absolute_Scores!A1082</f>
        <v>@linda.fr4ns</v>
      </c>
      <c r="B1082" s="12" t="str">
        <f>Absolute_Scores!B1082</f>
        <v>Instagram</v>
      </c>
      <c r="C1082" s="29">
        <f>Absolute_Scores!D1082</f>
        <v>40</v>
      </c>
      <c r="D1082" s="30">
        <f t="shared" si="43"/>
        <v>50</v>
      </c>
      <c r="F1082" s="12" t="str">
        <f>Absolute_Scores!F1082</f>
        <v>@fauziah.rachmawati</v>
      </c>
      <c r="G1082" s="12" t="str">
        <f>Absolute_Scores!G1082</f>
        <v>Instagram</v>
      </c>
      <c r="H1082" s="29">
        <f>Absolute_Scores!I1082</f>
        <v>50</v>
      </c>
      <c r="I1082" s="30">
        <f t="shared" si="44"/>
        <v>62.5</v>
      </c>
    </row>
    <row r="1083" spans="1:9">
      <c r="A1083" s="12" t="str">
        <f>Absolute_Scores!A1083</f>
        <v>@niffvirgiasari</v>
      </c>
      <c r="B1083" s="12" t="str">
        <f>Absolute_Scores!B1083</f>
        <v>Instagram</v>
      </c>
      <c r="C1083" s="29">
        <f>Absolute_Scores!D1083</f>
        <v>40</v>
      </c>
      <c r="D1083" s="30">
        <f t="shared" si="43"/>
        <v>50</v>
      </c>
      <c r="F1083" s="12" t="str">
        <f>Absolute_Scores!F1083</f>
        <v>@febbych_</v>
      </c>
      <c r="G1083" s="12" t="str">
        <f>Absolute_Scores!G1083</f>
        <v>Instagram</v>
      </c>
      <c r="H1083" s="29">
        <f>Absolute_Scores!I1083</f>
        <v>50</v>
      </c>
      <c r="I1083" s="30">
        <f t="shared" si="44"/>
        <v>62.5</v>
      </c>
    </row>
    <row r="1084" spans="1:9">
      <c r="A1084" s="12" t="str">
        <f>Absolute_Scores!A1084</f>
        <v>@osin__osin</v>
      </c>
      <c r="B1084" s="12" t="str">
        <f>Absolute_Scores!B1084</f>
        <v>Instagram</v>
      </c>
      <c r="C1084" s="29">
        <f>Absolute_Scores!D1084</f>
        <v>40</v>
      </c>
      <c r="D1084" s="30">
        <f t="shared" si="43"/>
        <v>50</v>
      </c>
      <c r="F1084" s="12" t="str">
        <f>Absolute_Scores!F1084</f>
        <v>@febrianaelita</v>
      </c>
      <c r="G1084" s="12" t="str">
        <f>Absolute_Scores!G1084</f>
        <v>Instagram</v>
      </c>
      <c r="H1084" s="29">
        <f>Absolute_Scores!I1084</f>
        <v>50</v>
      </c>
      <c r="I1084" s="30">
        <f t="shared" si="44"/>
        <v>62.5</v>
      </c>
    </row>
    <row r="1085" spans="1:9">
      <c r="A1085" s="12" t="str">
        <f>Absolute_Scores!A1085</f>
        <v>@powerslidebrand</v>
      </c>
      <c r="B1085" s="12" t="str">
        <f>Absolute_Scores!B1085</f>
        <v>Instagram</v>
      </c>
      <c r="C1085" s="29">
        <f>Absolute_Scores!D1085</f>
        <v>40</v>
      </c>
      <c r="D1085" s="30">
        <f t="shared" si="43"/>
        <v>50</v>
      </c>
      <c r="F1085" s="12" t="str">
        <f>Absolute_Scores!F1085</f>
        <v>@febrianagnes</v>
      </c>
      <c r="G1085" s="12" t="str">
        <f>Absolute_Scores!G1085</f>
        <v>Instagram</v>
      </c>
      <c r="H1085" s="29">
        <f>Absolute_Scores!I1085</f>
        <v>50</v>
      </c>
      <c r="I1085" s="30">
        <f t="shared" si="44"/>
        <v>62.5</v>
      </c>
    </row>
    <row r="1086" spans="1:9">
      <c r="A1086" s="12" t="str">
        <f>Absolute_Scores!A1086</f>
        <v>@rafimnaf</v>
      </c>
      <c r="B1086" s="12" t="str">
        <f>Absolute_Scores!B1086</f>
        <v>Instagram</v>
      </c>
      <c r="C1086" s="29">
        <f>Absolute_Scores!D1086</f>
        <v>40</v>
      </c>
      <c r="D1086" s="30">
        <f t="shared" si="43"/>
        <v>50</v>
      </c>
      <c r="F1086" s="12" t="str">
        <f>Absolute_Scores!F1086</f>
        <v>@febrinuzi</v>
      </c>
      <c r="G1086" s="12" t="str">
        <f>Absolute_Scores!G1086</f>
        <v>TikTok</v>
      </c>
      <c r="H1086" s="29">
        <f>Absolute_Scores!I1086</f>
        <v>50</v>
      </c>
      <c r="I1086" s="30">
        <f t="shared" si="44"/>
        <v>62.5</v>
      </c>
    </row>
    <row r="1087" spans="1:9">
      <c r="A1087" s="12" t="str">
        <f>Absolute_Scores!A1087</f>
        <v>@septianaragil</v>
      </c>
      <c r="B1087" s="12" t="str">
        <f>Absolute_Scores!B1087</f>
        <v>Instagram</v>
      </c>
      <c r="C1087" s="29">
        <f>Absolute_Scores!D1087</f>
        <v>40</v>
      </c>
      <c r="D1087" s="30">
        <f t="shared" si="43"/>
        <v>50</v>
      </c>
      <c r="F1087" s="12" t="str">
        <f>Absolute_Scores!F1087</f>
        <v>@febryolaindra</v>
      </c>
      <c r="G1087" s="12" t="str">
        <f>Absolute_Scores!G1087</f>
        <v>Instagram</v>
      </c>
      <c r="H1087" s="29">
        <f>Absolute_Scores!I1087</f>
        <v>50</v>
      </c>
      <c r="I1087" s="30">
        <f t="shared" si="44"/>
        <v>62.5</v>
      </c>
    </row>
    <row r="1088" spans="1:9">
      <c r="A1088" s="12" t="str">
        <f>Absolute_Scores!A1088</f>
        <v>@szcaalghofur</v>
      </c>
      <c r="B1088" s="12" t="str">
        <f>Absolute_Scores!B1088</f>
        <v>Instagram</v>
      </c>
      <c r="C1088" s="29">
        <f>Absolute_Scores!D1088</f>
        <v>40</v>
      </c>
      <c r="D1088" s="30">
        <f t="shared" si="43"/>
        <v>50</v>
      </c>
      <c r="F1088" s="12" t="str">
        <f>Absolute_Scores!F1088</f>
        <v>@febryyantibayni_oria</v>
      </c>
      <c r="G1088" s="12" t="str">
        <f>Absolute_Scores!G1088</f>
        <v>Instagram</v>
      </c>
      <c r="H1088" s="29">
        <f>Absolute_Scores!I1088</f>
        <v>50</v>
      </c>
      <c r="I1088" s="30">
        <f t="shared" si="44"/>
        <v>62.5</v>
      </c>
    </row>
    <row r="1089" spans="1:9">
      <c r="A1089" s="12" t="str">
        <f>Absolute_Scores!A1089</f>
        <v>@wetgloss</v>
      </c>
      <c r="B1089" s="12" t="str">
        <f>Absolute_Scores!B1089</f>
        <v>Instagram</v>
      </c>
      <c r="C1089" s="29">
        <f>Absolute_Scores!D1089</f>
        <v>40</v>
      </c>
      <c r="D1089" s="30">
        <f t="shared" si="43"/>
        <v>50</v>
      </c>
      <c r="F1089" s="12" t="str">
        <f>Absolute_Scores!F1089</f>
        <v>@febylasmia_ma</v>
      </c>
      <c r="G1089" s="12" t="str">
        <f>Absolute_Scores!G1089</f>
        <v>Instagram</v>
      </c>
      <c r="H1089" s="29">
        <f>Absolute_Scores!I1089</f>
        <v>50</v>
      </c>
      <c r="I1089" s="30">
        <f t="shared" si="44"/>
        <v>62.5</v>
      </c>
    </row>
    <row r="1090" spans="1:9">
      <c r="A1090" s="12" t="str">
        <f>Absolute_Scores!A1090</f>
        <v>@aant_otomotif</v>
      </c>
      <c r="B1090" s="12" t="str">
        <f>Absolute_Scores!B1090</f>
        <v>Instagram</v>
      </c>
      <c r="C1090" s="29">
        <f>Absolute_Scores!D1090</f>
        <v>39</v>
      </c>
      <c r="D1090" s="30">
        <f t="shared" si="43"/>
        <v>48.75</v>
      </c>
      <c r="F1090" s="12" t="str">
        <f>Absolute_Scores!F1090</f>
        <v>@fedrina.ads</v>
      </c>
      <c r="G1090" s="12" t="str">
        <f>Absolute_Scores!G1090</f>
        <v>Instagram</v>
      </c>
      <c r="H1090" s="29">
        <f>Absolute_Scores!I1090</f>
        <v>50</v>
      </c>
      <c r="I1090" s="30">
        <f t="shared" si="44"/>
        <v>62.5</v>
      </c>
    </row>
    <row r="1091" spans="1:9">
      <c r="A1091" s="12" t="str">
        <f>Absolute_Scores!A1091</f>
        <v>@albelajar</v>
      </c>
      <c r="B1091" s="12" t="str">
        <f>Absolute_Scores!B1091</f>
        <v>Instagram</v>
      </c>
      <c r="C1091" s="29">
        <f>Absolute_Scores!D1091</f>
        <v>39</v>
      </c>
      <c r="D1091" s="30">
        <f t="shared" si="43"/>
        <v>48.75</v>
      </c>
      <c r="F1091" s="12" t="str">
        <f>Absolute_Scores!F1091</f>
        <v>@feelingaquarius</v>
      </c>
      <c r="G1091" s="12" t="str">
        <f>Absolute_Scores!G1091</f>
        <v>TikTok</v>
      </c>
      <c r="H1091" s="29">
        <f>Absolute_Scores!I1091</f>
        <v>50</v>
      </c>
      <c r="I1091" s="30">
        <f t="shared" si="44"/>
        <v>62.5</v>
      </c>
    </row>
    <row r="1092" spans="1:9">
      <c r="A1092" s="12" t="str">
        <f>Absolute_Scores!A1092</f>
        <v>@dwist89</v>
      </c>
      <c r="B1092" s="12" t="str">
        <f>Absolute_Scores!B1092</f>
        <v>Instagram</v>
      </c>
      <c r="C1092" s="29">
        <f>Absolute_Scores!D1092</f>
        <v>39</v>
      </c>
      <c r="D1092" s="30">
        <f t="shared" si="43"/>
        <v>48.75</v>
      </c>
      <c r="F1092" s="12" t="str">
        <f>Absolute_Scores!F1092</f>
        <v>@feliaphang</v>
      </c>
      <c r="G1092" s="12" t="str">
        <f>Absolute_Scores!G1092</f>
        <v>TikTok</v>
      </c>
      <c r="H1092" s="29">
        <f>Absolute_Scores!I1092</f>
        <v>50</v>
      </c>
      <c r="I1092" s="30">
        <f t="shared" si="44"/>
        <v>62.5</v>
      </c>
    </row>
    <row r="1093" spans="1:9">
      <c r="A1093" s="12" t="str">
        <f>Absolute_Scores!A1093</f>
        <v>@febryantieby</v>
      </c>
      <c r="B1093" s="12" t="str">
        <f>Absolute_Scores!B1093</f>
        <v>Instagram</v>
      </c>
      <c r="C1093" s="29">
        <f>Absolute_Scores!D1093</f>
        <v>39</v>
      </c>
      <c r="D1093" s="30">
        <f t="shared" si="43"/>
        <v>48.75</v>
      </c>
      <c r="F1093" s="12" t="str">
        <f>Absolute_Scores!F1093</f>
        <v>@felixlilacboy</v>
      </c>
      <c r="G1093" s="12" t="str">
        <f>Absolute_Scores!G1093</f>
        <v>TikTok</v>
      </c>
      <c r="H1093" s="29">
        <f>Absolute_Scores!I1093</f>
        <v>50</v>
      </c>
      <c r="I1093" s="30">
        <f t="shared" si="44"/>
        <v>62.5</v>
      </c>
    </row>
    <row r="1094" spans="1:9">
      <c r="A1094" s="12" t="str">
        <f>Absolute_Scores!A1094</f>
        <v>@harveyanthonius</v>
      </c>
      <c r="B1094" s="12" t="str">
        <f>Absolute_Scores!B1094</f>
        <v>Instagram</v>
      </c>
      <c r="C1094" s="29">
        <f>Absolute_Scores!D1094</f>
        <v>39</v>
      </c>
      <c r="D1094" s="30">
        <f t="shared" ref="D1094:D1157" si="45">ROUND(C1094/$D$4*100,2)</f>
        <v>48.75</v>
      </c>
      <c r="F1094" s="12" t="str">
        <f>Absolute_Scores!F1094</f>
        <v>@fenygabriella</v>
      </c>
      <c r="G1094" s="12" t="str">
        <f>Absolute_Scores!G1094</f>
        <v>Instagram</v>
      </c>
      <c r="H1094" s="29">
        <f>Absolute_Scores!I1094</f>
        <v>50</v>
      </c>
      <c r="I1094" s="30">
        <f t="shared" ref="I1094:I1157" si="46">ROUND(H1094/$I$4*100,2)</f>
        <v>62.5</v>
      </c>
    </row>
    <row r="1095" spans="1:9">
      <c r="A1095" s="12" t="str">
        <f>Absolute_Scores!A1095</f>
        <v>@iffah_latifah88</v>
      </c>
      <c r="B1095" s="12" t="str">
        <f>Absolute_Scores!B1095</f>
        <v>Instagram</v>
      </c>
      <c r="C1095" s="29">
        <f>Absolute_Scores!D1095</f>
        <v>39</v>
      </c>
      <c r="D1095" s="30">
        <f t="shared" si="45"/>
        <v>48.75</v>
      </c>
      <c r="F1095" s="12" t="str">
        <f>Absolute_Scores!F1095</f>
        <v>@fenyrosdiana</v>
      </c>
      <c r="G1095" s="12" t="str">
        <f>Absolute_Scores!G1095</f>
        <v>Instagram</v>
      </c>
      <c r="H1095" s="29">
        <f>Absolute_Scores!I1095</f>
        <v>50</v>
      </c>
      <c r="I1095" s="30">
        <f t="shared" si="46"/>
        <v>62.5</v>
      </c>
    </row>
    <row r="1096" spans="1:9">
      <c r="A1096" s="12" t="str">
        <f>Absolute_Scores!A1096</f>
        <v>@irenelintong</v>
      </c>
      <c r="B1096" s="12" t="str">
        <f>Absolute_Scores!B1096</f>
        <v>Instagram</v>
      </c>
      <c r="C1096" s="29">
        <f>Absolute_Scores!D1096</f>
        <v>39</v>
      </c>
      <c r="D1096" s="30">
        <f t="shared" si="45"/>
        <v>48.75</v>
      </c>
      <c r="F1096" s="12" t="str">
        <f>Absolute_Scores!F1096</f>
        <v>@ferenciaannabele</v>
      </c>
      <c r="G1096" s="12" t="str">
        <f>Absolute_Scores!G1096</f>
        <v>TikTok</v>
      </c>
      <c r="H1096" s="29">
        <f>Absolute_Scores!I1096</f>
        <v>50</v>
      </c>
      <c r="I1096" s="30">
        <f t="shared" si="46"/>
        <v>62.5</v>
      </c>
    </row>
    <row r="1097" spans="1:9">
      <c r="A1097" s="12" t="str">
        <f>Absolute_Scores!A1097</f>
        <v>@karinnmarzuki</v>
      </c>
      <c r="B1097" s="12" t="str">
        <f>Absolute_Scores!B1097</f>
        <v>Instagram</v>
      </c>
      <c r="C1097" s="29">
        <f>Absolute_Scores!D1097</f>
        <v>39</v>
      </c>
      <c r="D1097" s="30">
        <f t="shared" si="45"/>
        <v>48.75</v>
      </c>
      <c r="F1097" s="12" t="str">
        <f>Absolute_Scores!F1097</f>
        <v>@ferendikaa</v>
      </c>
      <c r="G1097" s="12" t="str">
        <f>Absolute_Scores!G1097</f>
        <v>Instagram</v>
      </c>
      <c r="H1097" s="29">
        <f>Absolute_Scores!I1097</f>
        <v>50</v>
      </c>
      <c r="I1097" s="30">
        <f t="shared" si="46"/>
        <v>62.5</v>
      </c>
    </row>
    <row r="1098" spans="1:9">
      <c r="A1098" s="12" t="str">
        <f>Absolute_Scores!A1098</f>
        <v>@lalogstina</v>
      </c>
      <c r="B1098" s="12" t="str">
        <f>Absolute_Scores!B1098</f>
        <v>Instagram</v>
      </c>
      <c r="C1098" s="29">
        <f>Absolute_Scores!D1098</f>
        <v>39</v>
      </c>
      <c r="D1098" s="30">
        <f t="shared" si="45"/>
        <v>48.75</v>
      </c>
      <c r="F1098" s="12" t="str">
        <f>Absolute_Scores!F1098</f>
        <v>@fernando_wijaya_</v>
      </c>
      <c r="G1098" s="12" t="str">
        <f>Absolute_Scores!G1098</f>
        <v>Instagram</v>
      </c>
      <c r="H1098" s="29">
        <f>Absolute_Scores!I1098</f>
        <v>50</v>
      </c>
      <c r="I1098" s="30">
        <f t="shared" si="46"/>
        <v>62.5</v>
      </c>
    </row>
    <row r="1099" spans="1:9">
      <c r="A1099" s="12" t="str">
        <f>Absolute_Scores!A1099</f>
        <v>@larashere__</v>
      </c>
      <c r="B1099" s="12" t="str">
        <f>Absolute_Scores!B1099</f>
        <v>Instagram</v>
      </c>
      <c r="C1099" s="29">
        <f>Absolute_Scores!D1099</f>
        <v>39</v>
      </c>
      <c r="D1099" s="30">
        <f t="shared" si="45"/>
        <v>48.75</v>
      </c>
      <c r="F1099" s="12" t="str">
        <f>Absolute_Scores!F1099</f>
        <v>@ferrennabilapn</v>
      </c>
      <c r="G1099" s="12" t="str">
        <f>Absolute_Scores!G1099</f>
        <v>Instagram</v>
      </c>
      <c r="H1099" s="29">
        <f>Absolute_Scores!I1099</f>
        <v>50</v>
      </c>
      <c r="I1099" s="30">
        <f t="shared" si="46"/>
        <v>62.5</v>
      </c>
    </row>
    <row r="1100" spans="1:9">
      <c r="A1100" s="12" t="str">
        <f>Absolute_Scores!A1100</f>
        <v>@nilaavenila</v>
      </c>
      <c r="B1100" s="12" t="str">
        <f>Absolute_Scores!B1100</f>
        <v>Instagram</v>
      </c>
      <c r="C1100" s="29">
        <f>Absolute_Scores!D1100</f>
        <v>39</v>
      </c>
      <c r="D1100" s="30">
        <f t="shared" si="45"/>
        <v>48.75</v>
      </c>
      <c r="F1100" s="12" t="str">
        <f>Absolute_Scores!F1100</f>
        <v>@ferrihc</v>
      </c>
      <c r="G1100" s="12" t="str">
        <f>Absolute_Scores!G1100</f>
        <v>TikTok</v>
      </c>
      <c r="H1100" s="29">
        <f>Absolute_Scores!I1100</f>
        <v>50</v>
      </c>
      <c r="I1100" s="30">
        <f t="shared" si="46"/>
        <v>62.5</v>
      </c>
    </row>
    <row r="1101" spans="1:9">
      <c r="A1101" s="12" t="str">
        <f>Absolute_Scores!A1101</f>
        <v>@riasasr</v>
      </c>
      <c r="B1101" s="12" t="str">
        <f>Absolute_Scores!B1101</f>
        <v>Instagram</v>
      </c>
      <c r="C1101" s="29">
        <f>Absolute_Scores!D1101</f>
        <v>39</v>
      </c>
      <c r="D1101" s="30">
        <f t="shared" si="45"/>
        <v>48.75</v>
      </c>
      <c r="F1101" s="12" t="str">
        <f>Absolute_Scores!F1101</f>
        <v>@fiavidri05</v>
      </c>
      <c r="G1101" s="12" t="str">
        <f>Absolute_Scores!G1101</f>
        <v>Instagram</v>
      </c>
      <c r="H1101" s="29">
        <f>Absolute_Scores!I1101</f>
        <v>50</v>
      </c>
      <c r="I1101" s="30">
        <f t="shared" si="46"/>
        <v>62.5</v>
      </c>
    </row>
    <row r="1102" spans="1:9">
      <c r="A1102" s="12" t="str">
        <f>Absolute_Scores!A1102</f>
        <v>@richaicha16</v>
      </c>
      <c r="B1102" s="12" t="str">
        <f>Absolute_Scores!B1102</f>
        <v>Instagram</v>
      </c>
      <c r="C1102" s="29">
        <f>Absolute_Scores!D1102</f>
        <v>39</v>
      </c>
      <c r="D1102" s="30">
        <f t="shared" si="45"/>
        <v>48.75</v>
      </c>
      <c r="F1102" s="12" t="str">
        <f>Absolute_Scores!F1102</f>
        <v>@fieekazoo</v>
      </c>
      <c r="G1102" s="12" t="str">
        <f>Absolute_Scores!G1102</f>
        <v>TikTok</v>
      </c>
      <c r="H1102" s="29">
        <f>Absolute_Scores!I1102</f>
        <v>50</v>
      </c>
      <c r="I1102" s="30">
        <f t="shared" si="46"/>
        <v>62.5</v>
      </c>
    </row>
    <row r="1103" spans="1:9">
      <c r="A1103" s="12" t="str">
        <f>Absolute_Scores!A1103</f>
        <v>@ritarichie_</v>
      </c>
      <c r="B1103" s="12" t="str">
        <f>Absolute_Scores!B1103</f>
        <v>Instagram</v>
      </c>
      <c r="C1103" s="29">
        <f>Absolute_Scores!D1103</f>
        <v>39</v>
      </c>
      <c r="D1103" s="30">
        <f t="shared" si="45"/>
        <v>48.75</v>
      </c>
      <c r="F1103" s="12" t="str">
        <f>Absolute_Scores!F1103</f>
        <v>@fierlia15</v>
      </c>
      <c r="G1103" s="12" t="str">
        <f>Absolute_Scores!G1103</f>
        <v>TikTok</v>
      </c>
      <c r="H1103" s="29">
        <f>Absolute_Scores!I1103</f>
        <v>50</v>
      </c>
      <c r="I1103" s="30">
        <f t="shared" si="46"/>
        <v>62.5</v>
      </c>
    </row>
    <row r="1104" spans="1:9">
      <c r="A1104" s="12" t="str">
        <f>Absolute_Scores!A1104</f>
        <v>@wilona_asheera92</v>
      </c>
      <c r="B1104" s="12" t="str">
        <f>Absolute_Scores!B1104</f>
        <v>Instagram</v>
      </c>
      <c r="C1104" s="29">
        <f>Absolute_Scores!D1104</f>
        <v>39</v>
      </c>
      <c r="D1104" s="30">
        <f t="shared" si="45"/>
        <v>48.75</v>
      </c>
      <c r="F1104" s="12" t="str">
        <f>Absolute_Scores!F1104</f>
        <v>@fiezhanis</v>
      </c>
      <c r="G1104" s="12" t="str">
        <f>Absolute_Scores!G1104</f>
        <v>Instagram</v>
      </c>
      <c r="H1104" s="29">
        <f>Absolute_Scores!I1104</f>
        <v>50</v>
      </c>
      <c r="I1104" s="30">
        <f t="shared" si="46"/>
        <v>62.5</v>
      </c>
    </row>
    <row r="1105" spans="1:9">
      <c r="A1105" s="12" t="str">
        <f>Absolute_Scores!A1105</f>
        <v>@yolakadeshi27</v>
      </c>
      <c r="B1105" s="12" t="str">
        <f>Absolute_Scores!B1105</f>
        <v>Instagram</v>
      </c>
      <c r="C1105" s="29">
        <f>Absolute_Scores!D1105</f>
        <v>39</v>
      </c>
      <c r="D1105" s="30">
        <f t="shared" si="45"/>
        <v>48.75</v>
      </c>
      <c r="F1105" s="12" t="str">
        <f>Absolute_Scores!F1105</f>
        <v>@fika_afriyanti</v>
      </c>
      <c r="G1105" s="12" t="str">
        <f>Absolute_Scores!G1105</f>
        <v>TikTok</v>
      </c>
      <c r="H1105" s="29">
        <f>Absolute_Scores!I1105</f>
        <v>50</v>
      </c>
      <c r="I1105" s="30">
        <f t="shared" si="46"/>
        <v>62.5</v>
      </c>
    </row>
    <row r="1106" spans="1:9">
      <c r="A1106" s="12" t="str">
        <f>Absolute_Scores!A1106</f>
        <v>@zalfanadhira</v>
      </c>
      <c r="B1106" s="12" t="str">
        <f>Absolute_Scores!B1106</f>
        <v>Instagram</v>
      </c>
      <c r="C1106" s="29">
        <f>Absolute_Scores!D1106</f>
        <v>39</v>
      </c>
      <c r="D1106" s="30">
        <f t="shared" si="45"/>
        <v>48.75</v>
      </c>
      <c r="F1106" s="12" t="str">
        <f>Absolute_Scores!F1106</f>
        <v>@fikamoo</v>
      </c>
      <c r="G1106" s="12" t="str">
        <f>Absolute_Scores!G1106</f>
        <v>Instagram</v>
      </c>
      <c r="H1106" s="29">
        <f>Absolute_Scores!I1106</f>
        <v>50</v>
      </c>
      <c r="I1106" s="30">
        <f t="shared" si="46"/>
        <v>62.5</v>
      </c>
    </row>
    <row r="1107" spans="1:9">
      <c r="A1107" s="12" t="str">
        <f>Absolute_Scores!A1107</f>
        <v>@ai_aprianti</v>
      </c>
      <c r="B1107" s="12" t="str">
        <f>Absolute_Scores!B1107</f>
        <v>Instagram</v>
      </c>
      <c r="C1107" s="29">
        <f>Absolute_Scores!D1107</f>
        <v>38</v>
      </c>
      <c r="D1107" s="30">
        <f t="shared" si="45"/>
        <v>47.5</v>
      </c>
      <c r="F1107" s="12" t="str">
        <f>Absolute_Scores!F1107</f>
        <v>@fikramfahrurazi</v>
      </c>
      <c r="G1107" s="12" t="str">
        <f>Absolute_Scores!G1107</f>
        <v>TikTok</v>
      </c>
      <c r="H1107" s="29">
        <f>Absolute_Scores!I1107</f>
        <v>50</v>
      </c>
      <c r="I1107" s="30">
        <f t="shared" si="46"/>
        <v>62.5</v>
      </c>
    </row>
    <row r="1108" spans="1:9">
      <c r="A1108" s="12" t="str">
        <f>Absolute_Scores!A1108</f>
        <v>@ambarrachi</v>
      </c>
      <c r="B1108" s="12" t="str">
        <f>Absolute_Scores!B1108</f>
        <v>Instagram</v>
      </c>
      <c r="C1108" s="29">
        <f>Absolute_Scores!D1108</f>
        <v>38</v>
      </c>
      <c r="D1108" s="30">
        <f t="shared" si="45"/>
        <v>47.5</v>
      </c>
      <c r="F1108" s="12" t="str">
        <f>Absolute_Scores!F1108</f>
        <v>@filipusadc</v>
      </c>
      <c r="G1108" s="12" t="str">
        <f>Absolute_Scores!G1108</f>
        <v>TikTok</v>
      </c>
      <c r="H1108" s="29">
        <f>Absolute_Scores!I1108</f>
        <v>50</v>
      </c>
      <c r="I1108" s="30">
        <f t="shared" si="46"/>
        <v>62.5</v>
      </c>
    </row>
    <row r="1109" spans="1:9">
      <c r="A1109" s="12" t="str">
        <f>Absolute_Scores!A1109</f>
        <v>@angelinasetiadii</v>
      </c>
      <c r="B1109" s="12" t="str">
        <f>Absolute_Scores!B1109</f>
        <v>Instagram</v>
      </c>
      <c r="C1109" s="29">
        <f>Absolute_Scores!D1109</f>
        <v>38</v>
      </c>
      <c r="D1109" s="30">
        <f t="shared" si="45"/>
        <v>47.5</v>
      </c>
      <c r="F1109" s="12" t="str">
        <f>Absolute_Scores!F1109</f>
        <v>@fina_nst21</v>
      </c>
      <c r="G1109" s="12" t="str">
        <f>Absolute_Scores!G1109</f>
        <v>Instagram</v>
      </c>
      <c r="H1109" s="29">
        <f>Absolute_Scores!I1109</f>
        <v>50</v>
      </c>
      <c r="I1109" s="30">
        <f t="shared" si="46"/>
        <v>62.5</v>
      </c>
    </row>
    <row r="1110" spans="1:9">
      <c r="A1110" s="12" t="str">
        <f>Absolute_Scores!A1110</f>
        <v>@angelitaiskandar</v>
      </c>
      <c r="B1110" s="12" t="str">
        <f>Absolute_Scores!B1110</f>
        <v>Instagram</v>
      </c>
      <c r="C1110" s="29">
        <f>Absolute_Scores!D1110</f>
        <v>38</v>
      </c>
      <c r="D1110" s="30">
        <f t="shared" si="45"/>
        <v>47.5</v>
      </c>
      <c r="F1110" s="12" t="str">
        <f>Absolute_Scores!F1110</f>
        <v>@finaa_tsaniya</v>
      </c>
      <c r="G1110" s="12" t="str">
        <f>Absolute_Scores!G1110</f>
        <v>Instagram</v>
      </c>
      <c r="H1110" s="29">
        <f>Absolute_Scores!I1110</f>
        <v>50</v>
      </c>
      <c r="I1110" s="30">
        <f t="shared" si="46"/>
        <v>62.5</v>
      </c>
    </row>
    <row r="1111" spans="1:9">
      <c r="A1111" s="12" t="str">
        <f>Absolute_Scores!A1111</f>
        <v>@anisahijr</v>
      </c>
      <c r="B1111" s="12" t="str">
        <f>Absolute_Scores!B1111</f>
        <v>Instagram</v>
      </c>
      <c r="C1111" s="29">
        <f>Absolute_Scores!D1111</f>
        <v>38</v>
      </c>
      <c r="D1111" s="30">
        <f t="shared" si="45"/>
        <v>47.5</v>
      </c>
      <c r="F1111" s="12" t="str">
        <f>Absolute_Scores!F1111</f>
        <v>@finaadiny</v>
      </c>
      <c r="G1111" s="12" t="str">
        <f>Absolute_Scores!G1111</f>
        <v>Instagram</v>
      </c>
      <c r="H1111" s="29">
        <f>Absolute_Scores!I1111</f>
        <v>50</v>
      </c>
      <c r="I1111" s="30">
        <f t="shared" si="46"/>
        <v>62.5</v>
      </c>
    </row>
    <row r="1112" spans="1:9">
      <c r="A1112" s="12" t="str">
        <f>Absolute_Scores!A1112</f>
        <v>@auliapsptadewii</v>
      </c>
      <c r="B1112" s="12" t="str">
        <f>Absolute_Scores!B1112</f>
        <v>Instagram</v>
      </c>
      <c r="C1112" s="29">
        <f>Absolute_Scores!D1112</f>
        <v>38</v>
      </c>
      <c r="D1112" s="30">
        <f t="shared" si="45"/>
        <v>47.5</v>
      </c>
      <c r="F1112" s="12" t="str">
        <f>Absolute_Scores!F1112</f>
        <v>@finadiana93</v>
      </c>
      <c r="G1112" s="12" t="str">
        <f>Absolute_Scores!G1112</f>
        <v>Instagram</v>
      </c>
      <c r="H1112" s="29">
        <f>Absolute_Scores!I1112</f>
        <v>50</v>
      </c>
      <c r="I1112" s="30">
        <f t="shared" si="46"/>
        <v>62.5</v>
      </c>
    </row>
    <row r="1113" spans="1:9">
      <c r="A1113" s="12" t="str">
        <f>Absolute_Scores!A1113</f>
        <v>@baksojwr</v>
      </c>
      <c r="B1113" s="12" t="str">
        <f>Absolute_Scores!B1113</f>
        <v>Instagram</v>
      </c>
      <c r="C1113" s="29">
        <f>Absolute_Scores!D1113</f>
        <v>38</v>
      </c>
      <c r="D1113" s="30">
        <f t="shared" si="45"/>
        <v>47.5</v>
      </c>
      <c r="F1113" s="12" t="str">
        <f>Absolute_Scores!F1113</f>
        <v>@fineelhaq</v>
      </c>
      <c r="G1113" s="12" t="str">
        <f>Absolute_Scores!G1113</f>
        <v>Instagram</v>
      </c>
      <c r="H1113" s="29">
        <f>Absolute_Scores!I1113</f>
        <v>50</v>
      </c>
      <c r="I1113" s="30">
        <f t="shared" si="46"/>
        <v>62.5</v>
      </c>
    </row>
    <row r="1114" spans="1:9">
      <c r="A1114" s="12" t="str">
        <f>Absolute_Scores!A1114</f>
        <v>@balqissabhika</v>
      </c>
      <c r="B1114" s="12" t="str">
        <f>Absolute_Scores!B1114</f>
        <v>Instagram</v>
      </c>
      <c r="C1114" s="29">
        <f>Absolute_Scores!D1114</f>
        <v>38</v>
      </c>
      <c r="D1114" s="30">
        <f t="shared" si="45"/>
        <v>47.5</v>
      </c>
      <c r="F1114" s="12" t="str">
        <f>Absolute_Scores!F1114</f>
        <v>@fio.stacey</v>
      </c>
      <c r="G1114" s="12" t="str">
        <f>Absolute_Scores!G1114</f>
        <v>TikTok</v>
      </c>
      <c r="H1114" s="29">
        <f>Absolute_Scores!I1114</f>
        <v>50</v>
      </c>
      <c r="I1114" s="30">
        <f t="shared" si="46"/>
        <v>62.5</v>
      </c>
    </row>
    <row r="1115" spans="1:9">
      <c r="A1115" s="12" t="str">
        <f>Absolute_Scores!A1115</f>
        <v>@dairyqueenid</v>
      </c>
      <c r="B1115" s="12" t="str">
        <f>Absolute_Scores!B1115</f>
        <v>Instagram</v>
      </c>
      <c r="C1115" s="29">
        <f>Absolute_Scores!D1115</f>
        <v>38</v>
      </c>
      <c r="D1115" s="30">
        <f t="shared" si="45"/>
        <v>47.5</v>
      </c>
      <c r="F1115" s="12" t="str">
        <f>Absolute_Scores!F1115</f>
        <v>@fiocelesta</v>
      </c>
      <c r="G1115" s="12" t="str">
        <f>Absolute_Scores!G1115</f>
        <v>Instagram</v>
      </c>
      <c r="H1115" s="29">
        <f>Absolute_Scores!I1115</f>
        <v>50</v>
      </c>
      <c r="I1115" s="30">
        <f t="shared" si="46"/>
        <v>62.5</v>
      </c>
    </row>
    <row r="1116" spans="1:9">
      <c r="A1116" s="12" t="str">
        <f>Absolute_Scores!A1116</f>
        <v>@dayangprtiwi</v>
      </c>
      <c r="B1116" s="12" t="str">
        <f>Absolute_Scores!B1116</f>
        <v>Instagram</v>
      </c>
      <c r="C1116" s="29">
        <f>Absolute_Scores!D1116</f>
        <v>38</v>
      </c>
      <c r="D1116" s="30">
        <f t="shared" si="45"/>
        <v>47.5</v>
      </c>
      <c r="F1116" s="12" t="str">
        <f>Absolute_Scores!F1116</f>
        <v>@fiona.melly</v>
      </c>
      <c r="G1116" s="12" t="str">
        <f>Absolute_Scores!G1116</f>
        <v>Instagram</v>
      </c>
      <c r="H1116" s="29">
        <f>Absolute_Scores!I1116</f>
        <v>50</v>
      </c>
      <c r="I1116" s="30">
        <f t="shared" si="46"/>
        <v>62.5</v>
      </c>
    </row>
    <row r="1117" spans="1:9">
      <c r="A1117" s="12" t="str">
        <f>Absolute_Scores!A1117</f>
        <v>@dethaniam_</v>
      </c>
      <c r="B1117" s="12" t="str">
        <f>Absolute_Scores!B1117</f>
        <v>Instagram</v>
      </c>
      <c r="C1117" s="29">
        <f>Absolute_Scores!D1117</f>
        <v>38</v>
      </c>
      <c r="D1117" s="30">
        <f t="shared" si="45"/>
        <v>47.5</v>
      </c>
      <c r="F1117" s="12" t="str">
        <f>Absolute_Scores!F1117</f>
        <v>@firasyodhas</v>
      </c>
      <c r="G1117" s="12" t="str">
        <f>Absolute_Scores!G1117</f>
        <v>TikTok</v>
      </c>
      <c r="H1117" s="29">
        <f>Absolute_Scores!I1117</f>
        <v>50</v>
      </c>
      <c r="I1117" s="30">
        <f t="shared" si="46"/>
        <v>62.5</v>
      </c>
    </row>
    <row r="1118" spans="1:9">
      <c r="A1118" s="12" t="str">
        <f>Absolute_Scores!A1118</f>
        <v>@dhifa.mci11</v>
      </c>
      <c r="B1118" s="12" t="str">
        <f>Absolute_Scores!B1118</f>
        <v>Instagram</v>
      </c>
      <c r="C1118" s="29">
        <f>Absolute_Scores!D1118</f>
        <v>38</v>
      </c>
      <c r="D1118" s="30">
        <f t="shared" si="45"/>
        <v>47.5</v>
      </c>
      <c r="F1118" s="12" t="str">
        <f>Absolute_Scores!F1118</f>
        <v>@firdasaff</v>
      </c>
      <c r="G1118" s="12" t="str">
        <f>Absolute_Scores!G1118</f>
        <v>TikTok</v>
      </c>
      <c r="H1118" s="29">
        <f>Absolute_Scores!I1118</f>
        <v>50</v>
      </c>
      <c r="I1118" s="30">
        <f t="shared" si="46"/>
        <v>62.5</v>
      </c>
    </row>
    <row r="1119" spans="1:9">
      <c r="A1119" s="12" t="str">
        <f>Absolute_Scores!A1119</f>
        <v>@diandrachmi</v>
      </c>
      <c r="B1119" s="12" t="str">
        <f>Absolute_Scores!B1119</f>
        <v>Instagram</v>
      </c>
      <c r="C1119" s="29">
        <f>Absolute_Scores!D1119</f>
        <v>38</v>
      </c>
      <c r="D1119" s="30">
        <f t="shared" si="45"/>
        <v>47.5</v>
      </c>
      <c r="F1119" s="12" t="str">
        <f>Absolute_Scores!F1119</f>
        <v>@fitraama</v>
      </c>
      <c r="G1119" s="12" t="str">
        <f>Absolute_Scores!G1119</f>
        <v>Instagram</v>
      </c>
      <c r="H1119" s="29">
        <f>Absolute_Scores!I1119</f>
        <v>50</v>
      </c>
      <c r="I1119" s="30">
        <f t="shared" si="46"/>
        <v>62.5</v>
      </c>
    </row>
    <row r="1120" spans="1:9">
      <c r="A1120" s="12" t="str">
        <f>Absolute_Scores!A1120</f>
        <v>@diniastriani14</v>
      </c>
      <c r="B1120" s="12" t="str">
        <f>Absolute_Scores!B1120</f>
        <v>Instagram</v>
      </c>
      <c r="C1120" s="29">
        <f>Absolute_Scores!D1120</f>
        <v>38</v>
      </c>
      <c r="D1120" s="30">
        <f t="shared" si="45"/>
        <v>47.5</v>
      </c>
      <c r="F1120" s="12" t="str">
        <f>Absolute_Scores!F1120</f>
        <v>@fitrahsakinahh</v>
      </c>
      <c r="G1120" s="12" t="str">
        <f>Absolute_Scores!G1120</f>
        <v>Instagram</v>
      </c>
      <c r="H1120" s="29">
        <f>Absolute_Scores!I1120</f>
        <v>50</v>
      </c>
      <c r="I1120" s="30">
        <f t="shared" si="46"/>
        <v>62.5</v>
      </c>
    </row>
    <row r="1121" spans="1:9">
      <c r="A1121" s="12" t="str">
        <f>Absolute_Scores!A1121</f>
        <v>@dinna_mystyle</v>
      </c>
      <c r="B1121" s="12" t="str">
        <f>Absolute_Scores!B1121</f>
        <v>Instagram</v>
      </c>
      <c r="C1121" s="29">
        <f>Absolute_Scores!D1121</f>
        <v>38</v>
      </c>
      <c r="D1121" s="30">
        <f t="shared" si="45"/>
        <v>47.5</v>
      </c>
      <c r="F1121" s="12" t="str">
        <f>Absolute_Scores!F1121</f>
        <v>@fitriah_93</v>
      </c>
      <c r="G1121" s="12" t="str">
        <f>Absolute_Scores!G1121</f>
        <v>Instagram</v>
      </c>
      <c r="H1121" s="29">
        <f>Absolute_Scores!I1121</f>
        <v>50</v>
      </c>
      <c r="I1121" s="30">
        <f t="shared" si="46"/>
        <v>62.5</v>
      </c>
    </row>
    <row r="1122" spans="1:9">
      <c r="A1122" s="12" t="str">
        <f>Absolute_Scores!A1122</f>
        <v>@el.natia</v>
      </c>
      <c r="B1122" s="12" t="str">
        <f>Absolute_Scores!B1122</f>
        <v>Instagram</v>
      </c>
      <c r="C1122" s="29">
        <f>Absolute_Scores!D1122</f>
        <v>38</v>
      </c>
      <c r="D1122" s="30">
        <f t="shared" si="45"/>
        <v>47.5</v>
      </c>
      <c r="F1122" s="12" t="str">
        <f>Absolute_Scores!F1122</f>
        <v>@fitrianahisnainy</v>
      </c>
      <c r="G1122" s="12" t="str">
        <f>Absolute_Scores!G1122</f>
        <v>TikTok</v>
      </c>
      <c r="H1122" s="29">
        <f>Absolute_Scores!I1122</f>
        <v>50</v>
      </c>
      <c r="I1122" s="30">
        <f t="shared" si="46"/>
        <v>62.5</v>
      </c>
    </row>
    <row r="1123" spans="1:9">
      <c r="A1123" s="12" t="str">
        <f>Absolute_Scores!A1123</f>
        <v>@fdlhalkaf</v>
      </c>
      <c r="B1123" s="12" t="str">
        <f>Absolute_Scores!B1123</f>
        <v>Instagram</v>
      </c>
      <c r="C1123" s="29">
        <f>Absolute_Scores!D1123</f>
        <v>38</v>
      </c>
      <c r="D1123" s="30">
        <f t="shared" si="45"/>
        <v>47.5</v>
      </c>
      <c r="F1123" s="12" t="str">
        <f>Absolute_Scores!F1123</f>
        <v>@fitrianirachmawati</v>
      </c>
      <c r="G1123" s="12" t="str">
        <f>Absolute_Scores!G1123</f>
        <v>Instagram</v>
      </c>
      <c r="H1123" s="29">
        <f>Absolute_Scores!I1123</f>
        <v>50</v>
      </c>
      <c r="I1123" s="30">
        <f t="shared" si="46"/>
        <v>62.5</v>
      </c>
    </row>
    <row r="1124" spans="1:9">
      <c r="A1124" s="12" t="str">
        <f>Absolute_Scores!A1124</f>
        <v>@halonisyaa</v>
      </c>
      <c r="B1124" s="12" t="str">
        <f>Absolute_Scores!B1124</f>
        <v>Instagram</v>
      </c>
      <c r="C1124" s="29">
        <f>Absolute_Scores!D1124</f>
        <v>38</v>
      </c>
      <c r="D1124" s="30">
        <f t="shared" si="45"/>
        <v>47.5</v>
      </c>
      <c r="F1124" s="12" t="str">
        <f>Absolute_Scores!F1124</f>
        <v>@fitriyendesi</v>
      </c>
      <c r="G1124" s="12" t="str">
        <f>Absolute_Scores!G1124</f>
        <v>Instagram</v>
      </c>
      <c r="H1124" s="29">
        <f>Absolute_Scores!I1124</f>
        <v>50</v>
      </c>
      <c r="I1124" s="30">
        <f t="shared" si="46"/>
        <v>62.5</v>
      </c>
    </row>
    <row r="1125" spans="1:9">
      <c r="A1125" s="12" t="str">
        <f>Absolute_Scores!A1125</f>
        <v>@ina_anilre</v>
      </c>
      <c r="B1125" s="12" t="str">
        <f>Absolute_Scores!B1125</f>
        <v>Instagram</v>
      </c>
      <c r="C1125" s="29">
        <f>Absolute_Scores!D1125</f>
        <v>38</v>
      </c>
      <c r="D1125" s="30">
        <f t="shared" si="45"/>
        <v>47.5</v>
      </c>
      <c r="F1125" s="12" t="str">
        <f>Absolute_Scores!F1125</f>
        <v>@flame.drip</v>
      </c>
      <c r="G1125" s="12" t="str">
        <f>Absolute_Scores!G1125</f>
        <v>TikTok</v>
      </c>
      <c r="H1125" s="29">
        <f>Absolute_Scores!I1125</f>
        <v>50</v>
      </c>
      <c r="I1125" s="30">
        <f t="shared" si="46"/>
        <v>62.5</v>
      </c>
    </row>
    <row r="1126" spans="1:9">
      <c r="A1126" s="12" t="str">
        <f>Absolute_Scores!A1126</f>
        <v>@irmasinagah</v>
      </c>
      <c r="B1126" s="12" t="str">
        <f>Absolute_Scores!B1126</f>
        <v>Instagram</v>
      </c>
      <c r="C1126" s="29">
        <f>Absolute_Scores!D1126</f>
        <v>38</v>
      </c>
      <c r="D1126" s="30">
        <f t="shared" si="45"/>
        <v>47.5</v>
      </c>
      <c r="F1126" s="12" t="str">
        <f>Absolute_Scores!F1126</f>
        <v>@floerlilie</v>
      </c>
      <c r="G1126" s="12" t="str">
        <f>Absolute_Scores!G1126</f>
        <v>TikTok</v>
      </c>
      <c r="H1126" s="29">
        <f>Absolute_Scores!I1126</f>
        <v>50</v>
      </c>
      <c r="I1126" s="30">
        <f t="shared" si="46"/>
        <v>62.5</v>
      </c>
    </row>
    <row r="1127" spans="1:9">
      <c r="A1127" s="12" t="str">
        <f>Absolute_Scores!A1127</f>
        <v>@khansagabril</v>
      </c>
      <c r="B1127" s="12" t="str">
        <f>Absolute_Scores!B1127</f>
        <v>Instagram</v>
      </c>
      <c r="C1127" s="29">
        <f>Absolute_Scores!D1127</f>
        <v>38</v>
      </c>
      <c r="D1127" s="30">
        <f t="shared" si="45"/>
        <v>47.5</v>
      </c>
      <c r="F1127" s="12" t="str">
        <f>Absolute_Scores!F1127</f>
        <v>@fn_handayani</v>
      </c>
      <c r="G1127" s="12" t="str">
        <f>Absolute_Scores!G1127</f>
        <v>Instagram</v>
      </c>
      <c r="H1127" s="29">
        <f>Absolute_Scores!I1127</f>
        <v>50</v>
      </c>
      <c r="I1127" s="30">
        <f t="shared" si="46"/>
        <v>62.5</v>
      </c>
    </row>
    <row r="1128" spans="1:9">
      <c r="A1128" s="12" t="str">
        <f>Absolute_Scores!A1128</f>
        <v>@maurashafa</v>
      </c>
      <c r="B1128" s="12" t="str">
        <f>Absolute_Scores!B1128</f>
        <v>Instagram</v>
      </c>
      <c r="C1128" s="29">
        <f>Absolute_Scores!D1128</f>
        <v>38</v>
      </c>
      <c r="D1128" s="30">
        <f t="shared" si="45"/>
        <v>47.5</v>
      </c>
      <c r="F1128" s="12" t="str">
        <f>Absolute_Scores!F1128</f>
        <v>@fngrlacc_</v>
      </c>
      <c r="G1128" s="12" t="str">
        <f>Absolute_Scores!G1128</f>
        <v>TikTok</v>
      </c>
      <c r="H1128" s="29">
        <f>Absolute_Scores!I1128</f>
        <v>50</v>
      </c>
      <c r="I1128" s="30">
        <f t="shared" si="46"/>
        <v>62.5</v>
      </c>
    </row>
    <row r="1129" spans="1:9">
      <c r="A1129" s="12" t="str">
        <f>Absolute_Scores!A1129</f>
        <v>@moms_cia</v>
      </c>
      <c r="B1129" s="12" t="str">
        <f>Absolute_Scores!B1129</f>
        <v>Instagram</v>
      </c>
      <c r="C1129" s="29">
        <f>Absolute_Scores!D1129</f>
        <v>38</v>
      </c>
      <c r="D1129" s="30">
        <f t="shared" si="45"/>
        <v>47.5</v>
      </c>
      <c r="F1129" s="12" t="str">
        <f>Absolute_Scores!F1129</f>
        <v>@fooddoctor.id</v>
      </c>
      <c r="G1129" s="12" t="str">
        <f>Absolute_Scores!G1129</f>
        <v>TikTok</v>
      </c>
      <c r="H1129" s="29">
        <f>Absolute_Scores!I1129</f>
        <v>50</v>
      </c>
      <c r="I1129" s="30">
        <f t="shared" si="46"/>
        <v>62.5</v>
      </c>
    </row>
    <row r="1130" spans="1:9">
      <c r="A1130" s="12" t="str">
        <f>Absolute_Scores!A1130</f>
        <v>@nisskha</v>
      </c>
      <c r="B1130" s="12" t="str">
        <f>Absolute_Scores!B1130</f>
        <v>Instagram</v>
      </c>
      <c r="C1130" s="29">
        <f>Absolute_Scores!D1130</f>
        <v>38</v>
      </c>
      <c r="D1130" s="30">
        <f t="shared" si="45"/>
        <v>47.5</v>
      </c>
      <c r="F1130" s="12" t="str">
        <f>Absolute_Scores!F1130</f>
        <v>@foodjournal_bdg</v>
      </c>
      <c r="G1130" s="12" t="str">
        <f>Absolute_Scores!G1130</f>
        <v>TikTok</v>
      </c>
      <c r="H1130" s="29">
        <f>Absolute_Scores!I1130</f>
        <v>50</v>
      </c>
      <c r="I1130" s="30">
        <f t="shared" si="46"/>
        <v>62.5</v>
      </c>
    </row>
    <row r="1131" spans="1:9">
      <c r="A1131" s="12" t="str">
        <f>Absolute_Scores!A1131</f>
        <v>@raishazeamutiba</v>
      </c>
      <c r="B1131" s="12" t="str">
        <f>Absolute_Scores!B1131</f>
        <v>Instagram</v>
      </c>
      <c r="C1131" s="29">
        <f>Absolute_Scores!D1131</f>
        <v>38</v>
      </c>
      <c r="D1131" s="30">
        <f t="shared" si="45"/>
        <v>47.5</v>
      </c>
      <c r="F1131" s="12" t="str">
        <f>Absolute_Scores!F1131</f>
        <v>@fransiscaaa94</v>
      </c>
      <c r="G1131" s="12" t="str">
        <f>Absolute_Scores!G1131</f>
        <v>Instagram</v>
      </c>
      <c r="H1131" s="29">
        <f>Absolute_Scores!I1131</f>
        <v>50</v>
      </c>
      <c r="I1131" s="30">
        <f t="shared" si="46"/>
        <v>62.5</v>
      </c>
    </row>
    <row r="1132" spans="1:9">
      <c r="A1132" s="12" t="str">
        <f>Absolute_Scores!A1132</f>
        <v>@renandaand</v>
      </c>
      <c r="B1132" s="12" t="str">
        <f>Absolute_Scores!B1132</f>
        <v>Instagram</v>
      </c>
      <c r="C1132" s="29">
        <f>Absolute_Scores!D1132</f>
        <v>38</v>
      </c>
      <c r="D1132" s="30">
        <f t="shared" si="45"/>
        <v>47.5</v>
      </c>
      <c r="F1132" s="12" t="str">
        <f>Absolute_Scores!F1132</f>
        <v>@fransiscamakdalena</v>
      </c>
      <c r="G1132" s="12" t="str">
        <f>Absolute_Scores!G1132</f>
        <v>TikTok</v>
      </c>
      <c r="H1132" s="29">
        <f>Absolute_Scores!I1132</f>
        <v>50</v>
      </c>
      <c r="I1132" s="30">
        <f t="shared" si="46"/>
        <v>62.5</v>
      </c>
    </row>
    <row r="1133" spans="1:9">
      <c r="A1133" s="12" t="str">
        <f>Absolute_Scores!A1133</f>
        <v>@rollerblade</v>
      </c>
      <c r="B1133" s="12" t="str">
        <f>Absolute_Scores!B1133</f>
        <v>Instagram</v>
      </c>
      <c r="C1133" s="29">
        <f>Absolute_Scores!D1133</f>
        <v>38</v>
      </c>
      <c r="D1133" s="30">
        <f t="shared" si="45"/>
        <v>47.5</v>
      </c>
      <c r="F1133" s="12" t="str">
        <f>Absolute_Scores!F1133</f>
        <v>@fransiska.timothy</v>
      </c>
      <c r="G1133" s="12" t="str">
        <f>Absolute_Scores!G1133</f>
        <v>TikTok</v>
      </c>
      <c r="H1133" s="29">
        <f>Absolute_Scores!I1133</f>
        <v>50</v>
      </c>
      <c r="I1133" s="30">
        <f t="shared" si="46"/>
        <v>62.5</v>
      </c>
    </row>
    <row r="1134" spans="1:9">
      <c r="A1134" s="12" t="str">
        <f>Absolute_Scores!A1134</f>
        <v>@rskayuni</v>
      </c>
      <c r="B1134" s="12" t="str">
        <f>Absolute_Scores!B1134</f>
        <v>Instagram</v>
      </c>
      <c r="C1134" s="29">
        <f>Absolute_Scores!D1134</f>
        <v>38</v>
      </c>
      <c r="D1134" s="30">
        <f t="shared" si="45"/>
        <v>47.5</v>
      </c>
      <c r="F1134" s="12" t="str">
        <f>Absolute_Scores!F1134</f>
        <v>@frdrck___</v>
      </c>
      <c r="G1134" s="12" t="str">
        <f>Absolute_Scores!G1134</f>
        <v>TikTok</v>
      </c>
      <c r="H1134" s="29">
        <f>Absolute_Scores!I1134</f>
        <v>50</v>
      </c>
      <c r="I1134" s="30">
        <f t="shared" si="46"/>
        <v>62.5</v>
      </c>
    </row>
    <row r="1135" spans="1:9">
      <c r="A1135" s="12" t="str">
        <f>Absolute_Scores!A1135</f>
        <v>@suspitha_</v>
      </c>
      <c r="B1135" s="12" t="str">
        <f>Absolute_Scores!B1135</f>
        <v>Instagram</v>
      </c>
      <c r="C1135" s="29">
        <f>Absolute_Scores!D1135</f>
        <v>38</v>
      </c>
      <c r="D1135" s="30">
        <f t="shared" si="45"/>
        <v>47.5</v>
      </c>
      <c r="F1135" s="12" t="str">
        <f>Absolute_Scores!F1135</f>
        <v>@frederickyangg</v>
      </c>
      <c r="G1135" s="12" t="str">
        <f>Absolute_Scores!G1135</f>
        <v>TikTok</v>
      </c>
      <c r="H1135" s="29">
        <f>Absolute_Scores!I1135</f>
        <v>50</v>
      </c>
      <c r="I1135" s="30">
        <f t="shared" si="46"/>
        <v>62.5</v>
      </c>
    </row>
    <row r="1136" spans="1:9">
      <c r="A1136" s="12" t="str">
        <f>Absolute_Scores!A1136</f>
        <v>@syanaz.tifanabila25</v>
      </c>
      <c r="B1136" s="12" t="str">
        <f>Absolute_Scores!B1136</f>
        <v>Instagram</v>
      </c>
      <c r="C1136" s="29">
        <f>Absolute_Scores!D1136</f>
        <v>38</v>
      </c>
      <c r="D1136" s="30">
        <f t="shared" si="45"/>
        <v>47.5</v>
      </c>
      <c r="F1136" s="12" t="str">
        <f>Absolute_Scores!F1136</f>
        <v>@frencha_toast</v>
      </c>
      <c r="G1136" s="12" t="str">
        <f>Absolute_Scores!G1136</f>
        <v>TikTok</v>
      </c>
      <c r="H1136" s="29">
        <f>Absolute_Scores!I1136</f>
        <v>50</v>
      </c>
      <c r="I1136" s="30">
        <f t="shared" si="46"/>
        <v>62.5</v>
      </c>
    </row>
    <row r="1137" spans="1:9">
      <c r="A1137" s="12" t="str">
        <f>Absolute_Scores!A1137</f>
        <v>@syarif.yosee</v>
      </c>
      <c r="B1137" s="12" t="str">
        <f>Absolute_Scores!B1137</f>
        <v>Instagram</v>
      </c>
      <c r="C1137" s="29">
        <f>Absolute_Scores!D1137</f>
        <v>38</v>
      </c>
      <c r="D1137" s="30">
        <f t="shared" si="45"/>
        <v>47.5</v>
      </c>
      <c r="F1137" s="12" t="str">
        <f>Absolute_Scores!F1137</f>
        <v>@frishhhy</v>
      </c>
      <c r="G1137" s="12" t="str">
        <f>Absolute_Scores!G1137</f>
        <v>TikTok</v>
      </c>
      <c r="H1137" s="29">
        <f>Absolute_Scores!I1137</f>
        <v>50</v>
      </c>
      <c r="I1137" s="30">
        <f t="shared" si="46"/>
        <v>62.5</v>
      </c>
    </row>
    <row r="1138" spans="1:9">
      <c r="A1138" s="12" t="str">
        <f>Absolute_Scores!A1138</f>
        <v>@thebalispot</v>
      </c>
      <c r="B1138" s="12" t="str">
        <f>Absolute_Scores!B1138</f>
        <v>Instagram</v>
      </c>
      <c r="C1138" s="29">
        <f>Absolute_Scores!D1138</f>
        <v>38</v>
      </c>
      <c r="D1138" s="30">
        <f t="shared" si="45"/>
        <v>47.5</v>
      </c>
      <c r="F1138" s="12" t="str">
        <f>Absolute_Scores!F1138</f>
        <v>@fritaargaf</v>
      </c>
      <c r="G1138" s="12" t="str">
        <f>Absolute_Scores!G1138</f>
        <v>Instagram</v>
      </c>
      <c r="H1138" s="29">
        <f>Absolute_Scores!I1138</f>
        <v>50</v>
      </c>
      <c r="I1138" s="30">
        <f t="shared" si="46"/>
        <v>62.5</v>
      </c>
    </row>
    <row r="1139" spans="1:9">
      <c r="A1139" s="12" t="str">
        <f>Absolute_Scores!A1139</f>
        <v>@tyasayuswndr</v>
      </c>
      <c r="B1139" s="12" t="str">
        <f>Absolute_Scores!B1139</f>
        <v>Instagram</v>
      </c>
      <c r="C1139" s="29">
        <f>Absolute_Scores!D1139</f>
        <v>38</v>
      </c>
      <c r="D1139" s="30">
        <f t="shared" si="45"/>
        <v>47.5</v>
      </c>
      <c r="F1139" s="12" t="str">
        <f>Absolute_Scores!F1139</f>
        <v>@frsmutiaraaa</v>
      </c>
      <c r="G1139" s="12" t="str">
        <f>Absolute_Scores!G1139</f>
        <v>TikTok</v>
      </c>
      <c r="H1139" s="29">
        <f>Absolute_Scores!I1139</f>
        <v>50</v>
      </c>
      <c r="I1139" s="30">
        <f t="shared" si="46"/>
        <v>62.5</v>
      </c>
    </row>
    <row r="1140" spans="1:9">
      <c r="A1140" s="12" t="str">
        <f>Absolute_Scores!A1140</f>
        <v>@undercover.id</v>
      </c>
      <c r="B1140" s="12" t="str">
        <f>Absolute_Scores!B1140</f>
        <v>Instagram</v>
      </c>
      <c r="C1140" s="29">
        <f>Absolute_Scores!D1140</f>
        <v>38</v>
      </c>
      <c r="D1140" s="30">
        <f t="shared" si="45"/>
        <v>47.5</v>
      </c>
      <c r="F1140" s="12" t="str">
        <f>Absolute_Scores!F1140</f>
        <v>@ftriy</v>
      </c>
      <c r="G1140" s="12" t="str">
        <f>Absolute_Scores!G1140</f>
        <v>Instagram</v>
      </c>
      <c r="H1140" s="29">
        <f>Absolute_Scores!I1140</f>
        <v>50</v>
      </c>
      <c r="I1140" s="30">
        <f t="shared" si="46"/>
        <v>62.5</v>
      </c>
    </row>
    <row r="1141" spans="1:9">
      <c r="A1141" s="12" t="str">
        <f>Absolute_Scores!A1141</f>
        <v>@veiloveita</v>
      </c>
      <c r="B1141" s="12" t="str">
        <f>Absolute_Scores!B1141</f>
        <v>Instagram</v>
      </c>
      <c r="C1141" s="29">
        <f>Absolute_Scores!D1141</f>
        <v>38</v>
      </c>
      <c r="D1141" s="30">
        <f t="shared" si="45"/>
        <v>47.5</v>
      </c>
      <c r="F1141" s="12" t="str">
        <f>Absolute_Scores!F1141</f>
        <v>@fumie.aya</v>
      </c>
      <c r="G1141" s="12" t="str">
        <f>Absolute_Scores!G1141</f>
        <v>TikTok</v>
      </c>
      <c r="H1141" s="29">
        <f>Absolute_Scores!I1141</f>
        <v>50</v>
      </c>
      <c r="I1141" s="30">
        <f t="shared" si="46"/>
        <v>62.5</v>
      </c>
    </row>
    <row r="1142" spans="1:9">
      <c r="A1142" s="12" t="str">
        <f>Absolute_Scores!A1142</f>
        <v>@wivina_fauzya</v>
      </c>
      <c r="B1142" s="12" t="str">
        <f>Absolute_Scores!B1142</f>
        <v>Instagram</v>
      </c>
      <c r="C1142" s="29">
        <f>Absolute_Scores!D1142</f>
        <v>38</v>
      </c>
      <c r="D1142" s="30">
        <f t="shared" si="45"/>
        <v>47.5</v>
      </c>
      <c r="F1142" s="12" t="str">
        <f>Absolute_Scores!F1142</f>
        <v>@g.millenia</v>
      </c>
      <c r="G1142" s="12" t="str">
        <f>Absolute_Scores!G1142</f>
        <v>Instagram</v>
      </c>
      <c r="H1142" s="29">
        <f>Absolute_Scores!I1142</f>
        <v>50</v>
      </c>
      <c r="I1142" s="30">
        <f t="shared" si="46"/>
        <v>62.5</v>
      </c>
    </row>
    <row r="1143" spans="1:9">
      <c r="A1143" s="12" t="str">
        <f>Absolute_Scores!A1143</f>
        <v>@wulan6juli</v>
      </c>
      <c r="B1143" s="12" t="str">
        <f>Absolute_Scores!B1143</f>
        <v>Instagram</v>
      </c>
      <c r="C1143" s="29">
        <f>Absolute_Scores!D1143</f>
        <v>38</v>
      </c>
      <c r="D1143" s="30">
        <f t="shared" si="45"/>
        <v>47.5</v>
      </c>
      <c r="F1143" s="12" t="str">
        <f>Absolute_Scores!F1143</f>
        <v>@gabi_ga_biel</v>
      </c>
      <c r="G1143" s="12" t="str">
        <f>Absolute_Scores!G1143</f>
        <v>Instagram</v>
      </c>
      <c r="H1143" s="29">
        <f>Absolute_Scores!I1143</f>
        <v>50</v>
      </c>
      <c r="I1143" s="30">
        <f t="shared" si="46"/>
        <v>62.5</v>
      </c>
    </row>
    <row r="1144" spans="1:9">
      <c r="A1144" s="12" t="str">
        <f>Absolute_Scores!A1144</f>
        <v>@annisahidayarahmahica</v>
      </c>
      <c r="B1144" s="12" t="str">
        <f>Absolute_Scores!B1144</f>
        <v>Instagram</v>
      </c>
      <c r="C1144" s="29">
        <f>Absolute_Scores!D1144</f>
        <v>37</v>
      </c>
      <c r="D1144" s="30">
        <f t="shared" si="45"/>
        <v>46.25</v>
      </c>
      <c r="F1144" s="12" t="str">
        <f>Absolute_Scores!F1144</f>
        <v>@gabriellamileniaa</v>
      </c>
      <c r="G1144" s="12" t="str">
        <f>Absolute_Scores!G1144</f>
        <v>TikTok</v>
      </c>
      <c r="H1144" s="29">
        <f>Absolute_Scores!I1144</f>
        <v>50</v>
      </c>
      <c r="I1144" s="30">
        <f t="shared" si="46"/>
        <v>62.5</v>
      </c>
    </row>
    <row r="1145" spans="1:9">
      <c r="A1145" s="12" t="str">
        <f>Absolute_Scores!A1145</f>
        <v>@asya.ep</v>
      </c>
      <c r="B1145" s="12" t="str">
        <f>Absolute_Scores!B1145</f>
        <v>Instagram</v>
      </c>
      <c r="C1145" s="29">
        <f>Absolute_Scores!D1145</f>
        <v>37</v>
      </c>
      <c r="D1145" s="30">
        <f t="shared" si="45"/>
        <v>46.25</v>
      </c>
      <c r="F1145" s="12" t="str">
        <f>Absolute_Scores!F1145</f>
        <v>@gabybsaputraa</v>
      </c>
      <c r="G1145" s="12" t="str">
        <f>Absolute_Scores!G1145</f>
        <v>TikTok</v>
      </c>
      <c r="H1145" s="29">
        <f>Absolute_Scores!I1145</f>
        <v>50</v>
      </c>
      <c r="I1145" s="30">
        <f t="shared" si="46"/>
        <v>62.5</v>
      </c>
    </row>
    <row r="1146" spans="1:9">
      <c r="A1146" s="12" t="str">
        <f>Absolute_Scores!A1146</f>
        <v>@ayu_ast</v>
      </c>
      <c r="B1146" s="12" t="str">
        <f>Absolute_Scores!B1146</f>
        <v>Instagram</v>
      </c>
      <c r="C1146" s="29">
        <f>Absolute_Scores!D1146</f>
        <v>37</v>
      </c>
      <c r="D1146" s="30">
        <f t="shared" si="45"/>
        <v>46.25</v>
      </c>
      <c r="F1146" s="12" t="str">
        <f>Absolute_Scores!F1146</f>
        <v>@gadisaries97</v>
      </c>
      <c r="G1146" s="12" t="str">
        <f>Absolute_Scores!G1146</f>
        <v>TikTok</v>
      </c>
      <c r="H1146" s="29">
        <f>Absolute_Scores!I1146</f>
        <v>50</v>
      </c>
      <c r="I1146" s="30">
        <f t="shared" si="46"/>
        <v>62.5</v>
      </c>
    </row>
    <row r="1147" spans="1:9">
      <c r="A1147" s="12" t="str">
        <f>Absolute_Scores!A1147</f>
        <v>@azizahazwar23</v>
      </c>
      <c r="B1147" s="12" t="str">
        <f>Absolute_Scores!B1147</f>
        <v>Instagram</v>
      </c>
      <c r="C1147" s="29">
        <f>Absolute_Scores!D1147</f>
        <v>37</v>
      </c>
      <c r="D1147" s="30">
        <f t="shared" si="45"/>
        <v>46.25</v>
      </c>
      <c r="F1147" s="12" t="str">
        <f>Absolute_Scores!F1147</f>
        <v>@gaklucuaku</v>
      </c>
      <c r="G1147" s="12" t="str">
        <f>Absolute_Scores!G1147</f>
        <v>TikTok</v>
      </c>
      <c r="H1147" s="29">
        <f>Absolute_Scores!I1147</f>
        <v>50</v>
      </c>
      <c r="I1147" s="30">
        <f t="shared" si="46"/>
        <v>62.5</v>
      </c>
    </row>
    <row r="1148" spans="1:9">
      <c r="A1148" s="12" t="str">
        <f>Absolute_Scores!A1148</f>
        <v>@claudya.dona</v>
      </c>
      <c r="B1148" s="12" t="str">
        <f>Absolute_Scores!B1148</f>
        <v>Instagram</v>
      </c>
      <c r="C1148" s="29">
        <f>Absolute_Scores!D1148</f>
        <v>37</v>
      </c>
      <c r="D1148" s="30">
        <f t="shared" si="45"/>
        <v>46.25</v>
      </c>
      <c r="F1148" s="12" t="str">
        <f>Absolute_Scores!F1148</f>
        <v>@galuhe_</v>
      </c>
      <c r="G1148" s="12" t="str">
        <f>Absolute_Scores!G1148</f>
        <v>TikTok</v>
      </c>
      <c r="H1148" s="29">
        <f>Absolute_Scores!I1148</f>
        <v>50</v>
      </c>
      <c r="I1148" s="30">
        <f t="shared" si="46"/>
        <v>62.5</v>
      </c>
    </row>
    <row r="1149" spans="1:9">
      <c r="A1149" s="12" t="str">
        <f>Absolute_Scores!A1149</f>
        <v>@desdesshe</v>
      </c>
      <c r="B1149" s="12" t="str">
        <f>Absolute_Scores!B1149</f>
        <v>Instagram</v>
      </c>
      <c r="C1149" s="29">
        <f>Absolute_Scores!D1149</f>
        <v>37</v>
      </c>
      <c r="D1149" s="30">
        <f t="shared" si="45"/>
        <v>46.25</v>
      </c>
      <c r="F1149" s="12" t="str">
        <f>Absolute_Scores!F1149</f>
        <v>@gamautidur</v>
      </c>
      <c r="G1149" s="12" t="str">
        <f>Absolute_Scores!G1149</f>
        <v>TikTok</v>
      </c>
      <c r="H1149" s="29">
        <f>Absolute_Scores!I1149</f>
        <v>50</v>
      </c>
      <c r="I1149" s="30">
        <f t="shared" si="46"/>
        <v>62.5</v>
      </c>
    </row>
    <row r="1150" spans="1:9">
      <c r="A1150" s="12" t="str">
        <f>Absolute_Scores!A1150</f>
        <v>@deviavril</v>
      </c>
      <c r="B1150" s="12" t="str">
        <f>Absolute_Scores!B1150</f>
        <v>Instagram</v>
      </c>
      <c r="C1150" s="29">
        <f>Absolute_Scores!D1150</f>
        <v>37</v>
      </c>
      <c r="D1150" s="30">
        <f t="shared" si="45"/>
        <v>46.25</v>
      </c>
      <c r="F1150" s="12" t="str">
        <f>Absolute_Scores!F1150</f>
        <v>@garrilla666</v>
      </c>
      <c r="G1150" s="12" t="str">
        <f>Absolute_Scores!G1150</f>
        <v>TikTok</v>
      </c>
      <c r="H1150" s="29">
        <f>Absolute_Scores!I1150</f>
        <v>50</v>
      </c>
      <c r="I1150" s="30">
        <f t="shared" si="46"/>
        <v>62.5</v>
      </c>
    </row>
    <row r="1151" spans="1:9">
      <c r="A1151" s="12" t="str">
        <f>Absolute_Scores!A1151</f>
        <v>@dhaniutary</v>
      </c>
      <c r="B1151" s="12" t="str">
        <f>Absolute_Scores!B1151</f>
        <v>Instagram</v>
      </c>
      <c r="C1151" s="29">
        <f>Absolute_Scores!D1151</f>
        <v>37</v>
      </c>
      <c r="D1151" s="30">
        <f t="shared" si="45"/>
        <v>46.25</v>
      </c>
      <c r="F1151" s="12" t="str">
        <f>Absolute_Scores!F1151</f>
        <v>@geges___</v>
      </c>
      <c r="G1151" s="12" t="str">
        <f>Absolute_Scores!G1151</f>
        <v>TikTok</v>
      </c>
      <c r="H1151" s="29">
        <f>Absolute_Scores!I1151</f>
        <v>50</v>
      </c>
      <c r="I1151" s="30">
        <f t="shared" si="46"/>
        <v>62.5</v>
      </c>
    </row>
    <row r="1152" spans="1:9">
      <c r="A1152" s="12" t="str">
        <f>Absolute_Scores!A1152</f>
        <v>@dhiangela88</v>
      </c>
      <c r="B1152" s="12" t="str">
        <f>Absolute_Scores!B1152</f>
        <v>Instagram</v>
      </c>
      <c r="C1152" s="29">
        <f>Absolute_Scores!D1152</f>
        <v>37</v>
      </c>
      <c r="D1152" s="30">
        <f t="shared" si="45"/>
        <v>46.25</v>
      </c>
      <c r="F1152" s="12" t="str">
        <f>Absolute_Scores!F1152</f>
        <v>@gelialinda</v>
      </c>
      <c r="G1152" s="12" t="str">
        <f>Absolute_Scores!G1152</f>
        <v>TikTok</v>
      </c>
      <c r="H1152" s="29">
        <f>Absolute_Scores!I1152</f>
        <v>50</v>
      </c>
      <c r="I1152" s="30">
        <f t="shared" si="46"/>
        <v>62.5</v>
      </c>
    </row>
    <row r="1153" spans="1:9">
      <c r="A1153" s="12" t="str">
        <f>Absolute_Scores!A1153</f>
        <v>@gracious_my</v>
      </c>
      <c r="B1153" s="12" t="str">
        <f>Absolute_Scores!B1153</f>
        <v>Instagram</v>
      </c>
      <c r="C1153" s="29">
        <f>Absolute_Scores!D1153</f>
        <v>37</v>
      </c>
      <c r="D1153" s="30">
        <f t="shared" si="45"/>
        <v>46.25</v>
      </c>
      <c r="F1153" s="12" t="str">
        <f>Absolute_Scores!F1153</f>
        <v>@genta_buanarr</v>
      </c>
      <c r="G1153" s="12" t="str">
        <f>Absolute_Scores!G1153</f>
        <v>TikTok</v>
      </c>
      <c r="H1153" s="29">
        <f>Absolute_Scores!I1153</f>
        <v>50</v>
      </c>
      <c r="I1153" s="30">
        <f t="shared" si="46"/>
        <v>62.5</v>
      </c>
    </row>
    <row r="1154" spans="1:9">
      <c r="A1154" s="12" t="str">
        <f>Absolute_Scores!A1154</f>
        <v>@isyanasarasvati</v>
      </c>
      <c r="B1154" s="12" t="str">
        <f>Absolute_Scores!B1154</f>
        <v>Instagram</v>
      </c>
      <c r="C1154" s="29">
        <f>Absolute_Scores!D1154</f>
        <v>37</v>
      </c>
      <c r="D1154" s="30">
        <f t="shared" si="45"/>
        <v>46.25</v>
      </c>
      <c r="F1154" s="12" t="str">
        <f>Absolute_Scores!F1154</f>
        <v>@gestanorio</v>
      </c>
      <c r="G1154" s="12" t="str">
        <f>Absolute_Scores!G1154</f>
        <v>TikTok</v>
      </c>
      <c r="H1154" s="29">
        <f>Absolute_Scores!I1154</f>
        <v>50</v>
      </c>
      <c r="I1154" s="30">
        <f t="shared" si="46"/>
        <v>62.5</v>
      </c>
    </row>
    <row r="1155" spans="1:9">
      <c r="A1155" s="12" t="str">
        <f>Absolute_Scores!A1155</f>
        <v>@kinesgamers</v>
      </c>
      <c r="B1155" s="12" t="str">
        <f>Absolute_Scores!B1155</f>
        <v>Instagram</v>
      </c>
      <c r="C1155" s="29">
        <f>Absolute_Scores!D1155</f>
        <v>37</v>
      </c>
      <c r="D1155" s="30">
        <f t="shared" si="45"/>
        <v>46.25</v>
      </c>
      <c r="F1155" s="12" t="str">
        <f>Absolute_Scores!F1155</f>
        <v>@geuneve</v>
      </c>
      <c r="G1155" s="12" t="str">
        <f>Absolute_Scores!G1155</f>
        <v>TikTok</v>
      </c>
      <c r="H1155" s="29">
        <f>Absolute_Scores!I1155</f>
        <v>50</v>
      </c>
      <c r="I1155" s="30">
        <f t="shared" si="46"/>
        <v>62.5</v>
      </c>
    </row>
    <row r="1156" spans="1:9">
      <c r="A1156" s="12" t="str">
        <f>Absolute_Scores!A1156</f>
        <v>@leninurjanah</v>
      </c>
      <c r="B1156" s="12" t="str">
        <f>Absolute_Scores!B1156</f>
        <v>Instagram</v>
      </c>
      <c r="C1156" s="29">
        <f>Absolute_Scores!D1156</f>
        <v>37</v>
      </c>
      <c r="D1156" s="30">
        <f t="shared" si="45"/>
        <v>46.25</v>
      </c>
      <c r="F1156" s="12" t="str">
        <f>Absolute_Scores!F1156</f>
        <v>@geyongclub</v>
      </c>
      <c r="G1156" s="12" t="str">
        <f>Absolute_Scores!G1156</f>
        <v>TikTok</v>
      </c>
      <c r="H1156" s="29">
        <f>Absolute_Scores!I1156</f>
        <v>50</v>
      </c>
      <c r="I1156" s="30">
        <f t="shared" si="46"/>
        <v>62.5</v>
      </c>
    </row>
    <row r="1157" spans="1:9">
      <c r="A1157" s="12" t="str">
        <f>Absolute_Scores!A1157</f>
        <v>@lisadianaoktavia</v>
      </c>
      <c r="B1157" s="12" t="str">
        <f>Absolute_Scores!B1157</f>
        <v>Instagram</v>
      </c>
      <c r="C1157" s="29">
        <f>Absolute_Scores!D1157</f>
        <v>37</v>
      </c>
      <c r="D1157" s="30">
        <f t="shared" si="45"/>
        <v>46.25</v>
      </c>
      <c r="F1157" s="12" t="str">
        <f>Absolute_Scores!F1157</f>
        <v>@ghaida_hakiki</v>
      </c>
      <c r="G1157" s="12" t="str">
        <f>Absolute_Scores!G1157</f>
        <v>Instagram</v>
      </c>
      <c r="H1157" s="29">
        <f>Absolute_Scores!I1157</f>
        <v>50</v>
      </c>
      <c r="I1157" s="30">
        <f t="shared" si="46"/>
        <v>62.5</v>
      </c>
    </row>
    <row r="1158" spans="1:9">
      <c r="A1158" s="12" t="str">
        <f>Absolute_Scores!A1158</f>
        <v>@nandafitriyaa</v>
      </c>
      <c r="B1158" s="12" t="str">
        <f>Absolute_Scores!B1158</f>
        <v>Instagram</v>
      </c>
      <c r="C1158" s="29">
        <f>Absolute_Scores!D1158</f>
        <v>37</v>
      </c>
      <c r="D1158" s="30">
        <f t="shared" ref="D1158:D1221" si="47">ROUND(C1158/$D$4*100,2)</f>
        <v>46.25</v>
      </c>
      <c r="F1158" s="12" t="str">
        <f>Absolute_Scores!F1158</f>
        <v>@ghaniaa18</v>
      </c>
      <c r="G1158" s="12" t="str">
        <f>Absolute_Scores!G1158</f>
        <v>TikTok</v>
      </c>
      <c r="H1158" s="29">
        <f>Absolute_Scores!I1158</f>
        <v>50</v>
      </c>
      <c r="I1158" s="30">
        <f t="shared" ref="I1158:I1221" si="48">ROUND(H1158/$I$4*100,2)</f>
        <v>62.5</v>
      </c>
    </row>
    <row r="1159" spans="1:9">
      <c r="A1159" s="12" t="str">
        <f>Absolute_Scores!A1159</f>
        <v>@naura_nca</v>
      </c>
      <c r="B1159" s="12" t="str">
        <f>Absolute_Scores!B1159</f>
        <v>Instagram</v>
      </c>
      <c r="C1159" s="29">
        <f>Absolute_Scores!D1159</f>
        <v>37</v>
      </c>
      <c r="D1159" s="30">
        <f t="shared" si="47"/>
        <v>46.25</v>
      </c>
      <c r="F1159" s="12" t="str">
        <f>Absolute_Scores!F1159</f>
        <v>@ghatfaan__</v>
      </c>
      <c r="G1159" s="12" t="str">
        <f>Absolute_Scores!G1159</f>
        <v>Instagram</v>
      </c>
      <c r="H1159" s="29">
        <f>Absolute_Scores!I1159</f>
        <v>50</v>
      </c>
      <c r="I1159" s="30">
        <f t="shared" si="48"/>
        <v>62.5</v>
      </c>
    </row>
    <row r="1160" spans="1:9">
      <c r="A1160" s="12" t="str">
        <f>Absolute_Scores!A1160</f>
        <v>@nurlaila90934</v>
      </c>
      <c r="B1160" s="12" t="str">
        <f>Absolute_Scores!B1160</f>
        <v>Instagram</v>
      </c>
      <c r="C1160" s="29">
        <f>Absolute_Scores!D1160</f>
        <v>37</v>
      </c>
      <c r="D1160" s="30">
        <f t="shared" si="47"/>
        <v>46.25</v>
      </c>
      <c r="F1160" s="12" t="str">
        <f>Absolute_Scores!F1160</f>
        <v>@gianfyi</v>
      </c>
      <c r="G1160" s="12" t="str">
        <f>Absolute_Scores!G1160</f>
        <v>Instagram</v>
      </c>
      <c r="H1160" s="29">
        <f>Absolute_Scores!I1160</f>
        <v>50</v>
      </c>
      <c r="I1160" s="30">
        <f t="shared" si="48"/>
        <v>62.5</v>
      </c>
    </row>
    <row r="1161" spans="1:9">
      <c r="A1161" s="12" t="str">
        <f>Absolute_Scores!A1161</f>
        <v>@oy_hai</v>
      </c>
      <c r="B1161" s="12" t="str">
        <f>Absolute_Scores!B1161</f>
        <v>Instagram</v>
      </c>
      <c r="C1161" s="29">
        <f>Absolute_Scores!D1161</f>
        <v>37</v>
      </c>
      <c r="D1161" s="30">
        <f t="shared" si="47"/>
        <v>46.25</v>
      </c>
      <c r="F1161" s="12" t="str">
        <f>Absolute_Scores!F1161</f>
        <v>@gigidprams</v>
      </c>
      <c r="G1161" s="12" t="str">
        <f>Absolute_Scores!G1161</f>
        <v>TikTok</v>
      </c>
      <c r="H1161" s="29">
        <f>Absolute_Scores!I1161</f>
        <v>50</v>
      </c>
      <c r="I1161" s="30">
        <f t="shared" si="48"/>
        <v>62.5</v>
      </c>
    </row>
    <row r="1162" spans="1:9">
      <c r="A1162" s="12" t="str">
        <f>Absolute_Scores!A1162</f>
        <v>@rivaldimy</v>
      </c>
      <c r="B1162" s="12" t="str">
        <f>Absolute_Scores!B1162</f>
        <v>Instagram</v>
      </c>
      <c r="C1162" s="29">
        <f>Absolute_Scores!D1162</f>
        <v>37</v>
      </c>
      <c r="D1162" s="30">
        <f t="shared" si="47"/>
        <v>46.25</v>
      </c>
      <c r="F1162" s="12" t="str">
        <f>Absolute_Scores!F1162</f>
        <v>@gilangsamiadji</v>
      </c>
      <c r="G1162" s="12" t="str">
        <f>Absolute_Scores!G1162</f>
        <v>TikTok</v>
      </c>
      <c r="H1162" s="29">
        <f>Absolute_Scores!I1162</f>
        <v>50</v>
      </c>
      <c r="I1162" s="30">
        <f t="shared" si="48"/>
        <v>62.5</v>
      </c>
    </row>
    <row r="1163" spans="1:9">
      <c r="A1163" s="12" t="str">
        <f>Absolute_Scores!A1163</f>
        <v>@seiradlphhh_</v>
      </c>
      <c r="B1163" s="12" t="str">
        <f>Absolute_Scores!B1163</f>
        <v>Instagram</v>
      </c>
      <c r="C1163" s="29">
        <f>Absolute_Scores!D1163</f>
        <v>37</v>
      </c>
      <c r="D1163" s="30">
        <f t="shared" si="47"/>
        <v>46.25</v>
      </c>
      <c r="F1163" s="12" t="str">
        <f>Absolute_Scores!F1163</f>
        <v>@gilannngr</v>
      </c>
      <c r="G1163" s="12" t="str">
        <f>Absolute_Scores!G1163</f>
        <v>TikTok</v>
      </c>
      <c r="H1163" s="29">
        <f>Absolute_Scores!I1163</f>
        <v>50</v>
      </c>
      <c r="I1163" s="30">
        <f t="shared" si="48"/>
        <v>62.5</v>
      </c>
    </row>
    <row r="1164" spans="1:9">
      <c r="A1164" s="12" t="str">
        <f>Absolute_Scores!A1164</f>
        <v>@sitifaradhilaranita</v>
      </c>
      <c r="B1164" s="12" t="str">
        <f>Absolute_Scores!B1164</f>
        <v>Instagram</v>
      </c>
      <c r="C1164" s="29">
        <f>Absolute_Scores!D1164</f>
        <v>37</v>
      </c>
      <c r="D1164" s="30">
        <f t="shared" si="47"/>
        <v>46.25</v>
      </c>
      <c r="F1164" s="12" t="str">
        <f>Absolute_Scores!F1164</f>
        <v>@ginaagriani95</v>
      </c>
      <c r="G1164" s="12" t="str">
        <f>Absolute_Scores!G1164</f>
        <v>Instagram</v>
      </c>
      <c r="H1164" s="29">
        <f>Absolute_Scores!I1164</f>
        <v>50</v>
      </c>
      <c r="I1164" s="30">
        <f t="shared" si="48"/>
        <v>62.5</v>
      </c>
    </row>
    <row r="1165" spans="1:9">
      <c r="A1165" s="12" t="str">
        <f>Absolute_Scores!A1165</f>
        <v>@sitiialifahh</v>
      </c>
      <c r="B1165" s="12" t="str">
        <f>Absolute_Scores!B1165</f>
        <v>Instagram</v>
      </c>
      <c r="C1165" s="29">
        <f>Absolute_Scores!D1165</f>
        <v>37</v>
      </c>
      <c r="D1165" s="30">
        <f t="shared" si="47"/>
        <v>46.25</v>
      </c>
      <c r="F1165" s="12" t="str">
        <f>Absolute_Scores!F1165</f>
        <v>@ginawidiav</v>
      </c>
      <c r="G1165" s="12" t="str">
        <f>Absolute_Scores!G1165</f>
        <v>TikTok</v>
      </c>
      <c r="H1165" s="29">
        <f>Absolute_Scores!I1165</f>
        <v>50</v>
      </c>
      <c r="I1165" s="30">
        <f t="shared" si="48"/>
        <v>62.5</v>
      </c>
    </row>
    <row r="1166" spans="1:9">
      <c r="A1166" s="12" t="str">
        <f>Absolute_Scores!A1166</f>
        <v>@wendyodixius</v>
      </c>
      <c r="B1166" s="12" t="str">
        <f>Absolute_Scores!B1166</f>
        <v>Instagram</v>
      </c>
      <c r="C1166" s="29">
        <f>Absolute_Scores!D1166</f>
        <v>37</v>
      </c>
      <c r="D1166" s="30">
        <f t="shared" si="47"/>
        <v>46.25</v>
      </c>
      <c r="F1166" s="12" t="str">
        <f>Absolute_Scores!F1166</f>
        <v>@giselarns</v>
      </c>
      <c r="G1166" s="12" t="str">
        <f>Absolute_Scores!G1166</f>
        <v>Instagram</v>
      </c>
      <c r="H1166" s="29">
        <f>Absolute_Scores!I1166</f>
        <v>50</v>
      </c>
      <c r="I1166" s="30">
        <f t="shared" si="48"/>
        <v>62.5</v>
      </c>
    </row>
    <row r="1167" spans="1:9">
      <c r="A1167" s="12" t="str">
        <f>Absolute_Scores!A1167</f>
        <v>@agnesvisia.re</v>
      </c>
      <c r="B1167" s="12" t="str">
        <f>Absolute_Scores!B1167</f>
        <v>Instagram</v>
      </c>
      <c r="C1167" s="29">
        <f>Absolute_Scores!D1167</f>
        <v>36</v>
      </c>
      <c r="D1167" s="30">
        <f t="shared" si="47"/>
        <v>45</v>
      </c>
      <c r="F1167" s="12" t="str">
        <f>Absolute_Scores!F1167</f>
        <v>@gispanitaj</v>
      </c>
      <c r="G1167" s="12" t="str">
        <f>Absolute_Scores!G1167</f>
        <v>Instagram</v>
      </c>
      <c r="H1167" s="29">
        <f>Absolute_Scores!I1167</f>
        <v>50</v>
      </c>
      <c r="I1167" s="30">
        <f t="shared" si="48"/>
        <v>62.5</v>
      </c>
    </row>
    <row r="1168" spans="1:9">
      <c r="A1168" s="12" t="str">
        <f>Absolute_Scores!A1168</f>
        <v>@ararachma</v>
      </c>
      <c r="B1168" s="12" t="str">
        <f>Absolute_Scores!B1168</f>
        <v>Instagram</v>
      </c>
      <c r="C1168" s="29">
        <f>Absolute_Scores!D1168</f>
        <v>36</v>
      </c>
      <c r="D1168" s="30">
        <f t="shared" si="47"/>
        <v>45</v>
      </c>
      <c r="F1168" s="12" t="str">
        <f>Absolute_Scores!F1168</f>
        <v>@gisyacha</v>
      </c>
      <c r="G1168" s="12" t="str">
        <f>Absolute_Scores!G1168</f>
        <v>Instagram</v>
      </c>
      <c r="H1168" s="29">
        <f>Absolute_Scores!I1168</f>
        <v>50</v>
      </c>
      <c r="I1168" s="30">
        <f t="shared" si="48"/>
        <v>62.5</v>
      </c>
    </row>
    <row r="1169" spans="1:9">
      <c r="A1169" s="12" t="str">
        <f>Absolute_Scores!A1169</f>
        <v>@ayurha13</v>
      </c>
      <c r="B1169" s="12" t="str">
        <f>Absolute_Scores!B1169</f>
        <v>Instagram</v>
      </c>
      <c r="C1169" s="29">
        <f>Absolute_Scores!D1169</f>
        <v>36</v>
      </c>
      <c r="D1169" s="30">
        <f t="shared" si="47"/>
        <v>45</v>
      </c>
      <c r="F1169" s="12" t="str">
        <f>Absolute_Scores!F1169</f>
        <v>@gita_vbpr</v>
      </c>
      <c r="G1169" s="12" t="str">
        <f>Absolute_Scores!G1169</f>
        <v>TikTok</v>
      </c>
      <c r="H1169" s="29">
        <f>Absolute_Scores!I1169</f>
        <v>50</v>
      </c>
      <c r="I1169" s="30">
        <f t="shared" si="48"/>
        <v>62.5</v>
      </c>
    </row>
    <row r="1170" spans="1:9">
      <c r="A1170" s="12" t="str">
        <f>Absolute_Scores!A1170</f>
        <v>@cristiano</v>
      </c>
      <c r="B1170" s="12" t="str">
        <f>Absolute_Scores!B1170</f>
        <v>Instagram</v>
      </c>
      <c r="C1170" s="29">
        <f>Absolute_Scores!D1170</f>
        <v>36</v>
      </c>
      <c r="D1170" s="30">
        <f t="shared" si="47"/>
        <v>45</v>
      </c>
      <c r="F1170" s="12" t="str">
        <f>Absolute_Scores!F1170</f>
        <v>@gitahermanda</v>
      </c>
      <c r="G1170" s="12" t="str">
        <f>Absolute_Scores!G1170</f>
        <v>Instagram</v>
      </c>
      <c r="H1170" s="29">
        <f>Absolute_Scores!I1170</f>
        <v>50</v>
      </c>
      <c r="I1170" s="30">
        <f t="shared" si="48"/>
        <v>62.5</v>
      </c>
    </row>
    <row r="1171" spans="1:9">
      <c r="A1171" s="12" t="str">
        <f>Absolute_Scores!A1171</f>
        <v>@debiyuliaa</v>
      </c>
      <c r="B1171" s="12" t="str">
        <f>Absolute_Scores!B1171</f>
        <v>Instagram</v>
      </c>
      <c r="C1171" s="29">
        <f>Absolute_Scores!D1171</f>
        <v>36</v>
      </c>
      <c r="D1171" s="30">
        <f t="shared" si="47"/>
        <v>45</v>
      </c>
      <c r="F1171" s="12" t="str">
        <f>Absolute_Scores!F1171</f>
        <v>@gitaprtwi</v>
      </c>
      <c r="G1171" s="12" t="str">
        <f>Absolute_Scores!G1171</f>
        <v>Instagram</v>
      </c>
      <c r="H1171" s="29">
        <f>Absolute_Scores!I1171</f>
        <v>50</v>
      </c>
      <c r="I1171" s="30">
        <f t="shared" si="48"/>
        <v>62.5</v>
      </c>
    </row>
    <row r="1172" spans="1:9">
      <c r="A1172" s="12" t="str">
        <f>Absolute_Scores!A1172</f>
        <v>@eyuliarita</v>
      </c>
      <c r="B1172" s="12" t="str">
        <f>Absolute_Scores!B1172</f>
        <v>Instagram</v>
      </c>
      <c r="C1172" s="29">
        <f>Absolute_Scores!D1172</f>
        <v>36</v>
      </c>
      <c r="D1172" s="30">
        <f t="shared" si="47"/>
        <v>45</v>
      </c>
      <c r="F1172" s="12" t="str">
        <f>Absolute_Scores!F1172</f>
        <v>@glennaxel</v>
      </c>
      <c r="G1172" s="12" t="str">
        <f>Absolute_Scores!G1172</f>
        <v>Instagram</v>
      </c>
      <c r="H1172" s="29">
        <f>Absolute_Scores!I1172</f>
        <v>50</v>
      </c>
      <c r="I1172" s="30">
        <f t="shared" si="48"/>
        <v>62.5</v>
      </c>
    </row>
    <row r="1173" spans="1:9">
      <c r="A1173" s="12" t="str">
        <f>Absolute_Scores!A1173</f>
        <v>@fiahmasfiah</v>
      </c>
      <c r="B1173" s="12" t="str">
        <f>Absolute_Scores!B1173</f>
        <v>Instagram</v>
      </c>
      <c r="C1173" s="29">
        <f>Absolute_Scores!D1173</f>
        <v>36</v>
      </c>
      <c r="D1173" s="30">
        <f t="shared" si="47"/>
        <v>45</v>
      </c>
      <c r="F1173" s="12" t="str">
        <f>Absolute_Scores!F1173</f>
        <v>@glenoni</v>
      </c>
      <c r="G1173" s="12" t="str">
        <f>Absolute_Scores!G1173</f>
        <v>Instagram</v>
      </c>
      <c r="H1173" s="29">
        <f>Absolute_Scores!I1173</f>
        <v>50</v>
      </c>
      <c r="I1173" s="30">
        <f t="shared" si="48"/>
        <v>62.5</v>
      </c>
    </row>
    <row r="1174" spans="1:9">
      <c r="A1174" s="12" t="str">
        <f>Absolute_Scores!A1174</f>
        <v>@happywithjess</v>
      </c>
      <c r="B1174" s="12" t="str">
        <f>Absolute_Scores!B1174</f>
        <v>Instagram</v>
      </c>
      <c r="C1174" s="29">
        <f>Absolute_Scores!D1174</f>
        <v>36</v>
      </c>
      <c r="D1174" s="30">
        <f t="shared" si="47"/>
        <v>45</v>
      </c>
      <c r="F1174" s="12" t="str">
        <f>Absolute_Scores!F1174</f>
        <v>@gongzhuofficial</v>
      </c>
      <c r="G1174" s="12" t="str">
        <f>Absolute_Scores!G1174</f>
        <v>Instagram</v>
      </c>
      <c r="H1174" s="29">
        <f>Absolute_Scores!I1174</f>
        <v>50</v>
      </c>
      <c r="I1174" s="30">
        <f t="shared" si="48"/>
        <v>62.5</v>
      </c>
    </row>
    <row r="1175" spans="1:9">
      <c r="A1175" s="12" t="str">
        <f>Absolute_Scores!A1175</f>
        <v>@laperstory</v>
      </c>
      <c r="B1175" s="12" t="str">
        <f>Absolute_Scores!B1175</f>
        <v>Instagram</v>
      </c>
      <c r="C1175" s="29">
        <f>Absolute_Scores!D1175</f>
        <v>36</v>
      </c>
      <c r="D1175" s="30">
        <f t="shared" si="47"/>
        <v>45</v>
      </c>
      <c r="F1175" s="12" t="str">
        <f>Absolute_Scores!F1175</f>
        <v>@gracefeliciaaa</v>
      </c>
      <c r="G1175" s="12" t="str">
        <f>Absolute_Scores!G1175</f>
        <v>Instagram</v>
      </c>
      <c r="H1175" s="29">
        <f>Absolute_Scores!I1175</f>
        <v>50</v>
      </c>
      <c r="I1175" s="30">
        <f t="shared" si="48"/>
        <v>62.5</v>
      </c>
    </row>
    <row r="1176" spans="1:9">
      <c r="A1176" s="12" t="str">
        <f>Absolute_Scores!A1176</f>
        <v>@maudiriski</v>
      </c>
      <c r="B1176" s="12" t="str">
        <f>Absolute_Scores!B1176</f>
        <v>Instagram</v>
      </c>
      <c r="C1176" s="29">
        <f>Absolute_Scores!D1176</f>
        <v>36</v>
      </c>
      <c r="D1176" s="30">
        <f t="shared" si="47"/>
        <v>45</v>
      </c>
      <c r="F1176" s="12" t="str">
        <f>Absolute_Scores!F1176</f>
        <v>@graciacarolinee</v>
      </c>
      <c r="G1176" s="12" t="str">
        <f>Absolute_Scores!G1176</f>
        <v>TikTok</v>
      </c>
      <c r="H1176" s="29">
        <f>Absolute_Scores!I1176</f>
        <v>50</v>
      </c>
      <c r="I1176" s="30">
        <f t="shared" si="48"/>
        <v>62.5</v>
      </c>
    </row>
    <row r="1177" spans="1:9">
      <c r="A1177" s="12" t="str">
        <f>Absolute_Scores!A1177</f>
        <v>@merindasr</v>
      </c>
      <c r="B1177" s="12" t="str">
        <f>Absolute_Scores!B1177</f>
        <v>Instagram</v>
      </c>
      <c r="C1177" s="29">
        <f>Absolute_Scores!D1177</f>
        <v>36</v>
      </c>
      <c r="D1177" s="30">
        <f t="shared" si="47"/>
        <v>45</v>
      </c>
      <c r="F1177" s="12" t="str">
        <f>Absolute_Scores!F1177</f>
        <v>@gracieme_</v>
      </c>
      <c r="G1177" s="12" t="str">
        <f>Absolute_Scores!G1177</f>
        <v>TikTok</v>
      </c>
      <c r="H1177" s="29">
        <f>Absolute_Scores!I1177</f>
        <v>50</v>
      </c>
      <c r="I1177" s="30">
        <f t="shared" si="48"/>
        <v>62.5</v>
      </c>
    </row>
    <row r="1178" spans="1:9">
      <c r="A1178" s="12" t="str">
        <f>Absolute_Scores!A1178</f>
        <v>@najwa_maulida23</v>
      </c>
      <c r="B1178" s="12" t="str">
        <f>Absolute_Scores!B1178</f>
        <v>Instagram</v>
      </c>
      <c r="C1178" s="29">
        <f>Absolute_Scores!D1178</f>
        <v>36</v>
      </c>
      <c r="D1178" s="30">
        <f t="shared" si="47"/>
        <v>45</v>
      </c>
      <c r="F1178" s="12" t="str">
        <f>Absolute_Scores!F1178</f>
        <v>@greatcatastrophe</v>
      </c>
      <c r="G1178" s="12" t="str">
        <f>Absolute_Scores!G1178</f>
        <v>TikTok</v>
      </c>
      <c r="H1178" s="29">
        <f>Absolute_Scores!I1178</f>
        <v>50</v>
      </c>
      <c r="I1178" s="30">
        <f t="shared" si="48"/>
        <v>62.5</v>
      </c>
    </row>
    <row r="1179" spans="1:9">
      <c r="A1179" s="12" t="str">
        <f>Absolute_Scores!A1179</f>
        <v>@nanalutfiana</v>
      </c>
      <c r="B1179" s="12" t="str">
        <f>Absolute_Scores!B1179</f>
        <v>Instagram</v>
      </c>
      <c r="C1179" s="29">
        <f>Absolute_Scores!D1179</f>
        <v>36</v>
      </c>
      <c r="D1179" s="30">
        <f t="shared" si="47"/>
        <v>45</v>
      </c>
      <c r="F1179" s="12" t="str">
        <f>Absolute_Scores!F1179</f>
        <v>@grecia.yessefie</v>
      </c>
      <c r="G1179" s="12" t="str">
        <f>Absolute_Scores!G1179</f>
        <v>Instagram</v>
      </c>
      <c r="H1179" s="29">
        <f>Absolute_Scores!I1179</f>
        <v>50</v>
      </c>
      <c r="I1179" s="30">
        <f t="shared" si="48"/>
        <v>62.5</v>
      </c>
    </row>
    <row r="1180" spans="1:9">
      <c r="A1180" s="12" t="str">
        <f>Absolute_Scores!A1180</f>
        <v>@puutriaa</v>
      </c>
      <c r="B1180" s="12" t="str">
        <f>Absolute_Scores!B1180</f>
        <v>Instagram</v>
      </c>
      <c r="C1180" s="29">
        <f>Absolute_Scores!D1180</f>
        <v>36</v>
      </c>
      <c r="D1180" s="30">
        <f t="shared" si="47"/>
        <v>45</v>
      </c>
      <c r="F1180" s="12" t="str">
        <f>Absolute_Scores!F1180</f>
        <v>@greygoosze</v>
      </c>
      <c r="G1180" s="12" t="str">
        <f>Absolute_Scores!G1180</f>
        <v>TikTok</v>
      </c>
      <c r="H1180" s="29">
        <f>Absolute_Scores!I1180</f>
        <v>50</v>
      </c>
      <c r="I1180" s="30">
        <f t="shared" si="48"/>
        <v>62.5</v>
      </c>
    </row>
    <row r="1181" spans="1:9">
      <c r="A1181" s="12" t="str">
        <f>Absolute_Scores!A1181</f>
        <v>@rezaputriamelia</v>
      </c>
      <c r="B1181" s="12" t="str">
        <f>Absolute_Scores!B1181</f>
        <v>Instagram</v>
      </c>
      <c r="C1181" s="29">
        <f>Absolute_Scores!D1181</f>
        <v>36</v>
      </c>
      <c r="D1181" s="30">
        <f t="shared" si="47"/>
        <v>45</v>
      </c>
      <c r="F1181" s="12" t="str">
        <f>Absolute_Scores!F1181</f>
        <v>@gridddeliaa_</v>
      </c>
      <c r="G1181" s="12" t="str">
        <f>Absolute_Scores!G1181</f>
        <v>Instagram</v>
      </c>
      <c r="H1181" s="29">
        <f>Absolute_Scores!I1181</f>
        <v>50</v>
      </c>
      <c r="I1181" s="30">
        <f t="shared" si="48"/>
        <v>62.5</v>
      </c>
    </row>
    <row r="1182" spans="1:9">
      <c r="A1182" s="12" t="str">
        <f>Absolute_Scores!A1182</f>
        <v>@rheatjhai</v>
      </c>
      <c r="B1182" s="12" t="str">
        <f>Absolute_Scores!B1182</f>
        <v>Instagram</v>
      </c>
      <c r="C1182" s="29">
        <f>Absolute_Scores!D1182</f>
        <v>36</v>
      </c>
      <c r="D1182" s="30">
        <f t="shared" si="47"/>
        <v>45</v>
      </c>
      <c r="F1182" s="12" t="str">
        <f>Absolute_Scores!F1182</f>
        <v>@grizzzlly3</v>
      </c>
      <c r="G1182" s="12" t="str">
        <f>Absolute_Scores!G1182</f>
        <v>TikTok</v>
      </c>
      <c r="H1182" s="29">
        <f>Absolute_Scores!I1182</f>
        <v>50</v>
      </c>
      <c r="I1182" s="30">
        <f t="shared" si="48"/>
        <v>62.5</v>
      </c>
    </row>
    <row r="1183" spans="1:9">
      <c r="A1183" s="12" t="str">
        <f>Absolute_Scores!A1183</f>
        <v>@rika.fransiska92</v>
      </c>
      <c r="B1183" s="12" t="str">
        <f>Absolute_Scores!B1183</f>
        <v>Instagram</v>
      </c>
      <c r="C1183" s="29">
        <f>Absolute_Scores!D1183</f>
        <v>36</v>
      </c>
      <c r="D1183" s="30">
        <f t="shared" si="47"/>
        <v>45</v>
      </c>
      <c r="F1183" s="12" t="str">
        <f>Absolute_Scores!F1183</f>
        <v>@guessyoullhavetofindout</v>
      </c>
      <c r="G1183" s="12" t="str">
        <f>Absolute_Scores!G1183</f>
        <v>TikTok</v>
      </c>
      <c r="H1183" s="29">
        <f>Absolute_Scores!I1183</f>
        <v>50</v>
      </c>
      <c r="I1183" s="30">
        <f t="shared" si="48"/>
        <v>62.5</v>
      </c>
    </row>
    <row r="1184" spans="1:9">
      <c r="A1184" s="12" t="str">
        <f>Absolute_Scores!A1184</f>
        <v>@serayaworld</v>
      </c>
      <c r="B1184" s="12" t="str">
        <f>Absolute_Scores!B1184</f>
        <v>Instagram</v>
      </c>
      <c r="C1184" s="29">
        <f>Absolute_Scores!D1184</f>
        <v>36</v>
      </c>
      <c r="D1184" s="30">
        <f t="shared" si="47"/>
        <v>45</v>
      </c>
      <c r="F1184" s="12" t="str">
        <f>Absolute_Scores!F1184</f>
        <v>@gunawannww</v>
      </c>
      <c r="G1184" s="12" t="str">
        <f>Absolute_Scores!G1184</f>
        <v>TikTok</v>
      </c>
      <c r="H1184" s="29">
        <f>Absolute_Scores!I1184</f>
        <v>50</v>
      </c>
      <c r="I1184" s="30">
        <f t="shared" si="48"/>
        <v>62.5</v>
      </c>
    </row>
    <row r="1185" spans="1:9">
      <c r="A1185" s="12" t="str">
        <f>Absolute_Scores!A1185</f>
        <v>@stephaprilia</v>
      </c>
      <c r="B1185" s="12" t="str">
        <f>Absolute_Scores!B1185</f>
        <v>Instagram</v>
      </c>
      <c r="C1185" s="29">
        <f>Absolute_Scores!D1185</f>
        <v>36</v>
      </c>
      <c r="D1185" s="30">
        <f t="shared" si="47"/>
        <v>45</v>
      </c>
      <c r="F1185" s="12" t="str">
        <f>Absolute_Scores!F1185</f>
        <v>@gung_indii</v>
      </c>
      <c r="G1185" s="12" t="str">
        <f>Absolute_Scores!G1185</f>
        <v>Instagram</v>
      </c>
      <c r="H1185" s="29">
        <f>Absolute_Scores!I1185</f>
        <v>50</v>
      </c>
      <c r="I1185" s="30">
        <f t="shared" si="48"/>
        <v>62.5</v>
      </c>
    </row>
    <row r="1186" spans="1:9">
      <c r="A1186" s="12" t="str">
        <f>Absolute_Scores!A1186</f>
        <v>@widyajiwo</v>
      </c>
      <c r="B1186" s="12" t="str">
        <f>Absolute_Scores!B1186</f>
        <v>Instagram</v>
      </c>
      <c r="C1186" s="29">
        <f>Absolute_Scores!D1186</f>
        <v>36</v>
      </c>
      <c r="D1186" s="30">
        <f t="shared" si="47"/>
        <v>45</v>
      </c>
      <c r="F1186" s="12" t="str">
        <f>Absolute_Scores!F1186</f>
        <v>@gungmaspemayun</v>
      </c>
      <c r="G1186" s="12" t="str">
        <f>Absolute_Scores!G1186</f>
        <v>Instagram</v>
      </c>
      <c r="H1186" s="29">
        <f>Absolute_Scores!I1186</f>
        <v>50</v>
      </c>
      <c r="I1186" s="30">
        <f t="shared" si="48"/>
        <v>62.5</v>
      </c>
    </row>
    <row r="1187" spans="1:9">
      <c r="A1187" s="12" t="str">
        <f>Absolute_Scores!A1187</f>
        <v>@witadwi52</v>
      </c>
      <c r="B1187" s="12" t="str">
        <f>Absolute_Scores!B1187</f>
        <v>Instagram</v>
      </c>
      <c r="C1187" s="29">
        <f>Absolute_Scores!D1187</f>
        <v>36</v>
      </c>
      <c r="D1187" s="30">
        <f t="shared" si="47"/>
        <v>45</v>
      </c>
      <c r="F1187" s="12" t="str">
        <f>Absolute_Scores!F1187</f>
        <v>@guntur.d.feri</v>
      </c>
      <c r="G1187" s="12" t="str">
        <f>Absolute_Scores!G1187</f>
        <v>Instagram</v>
      </c>
      <c r="H1187" s="29">
        <f>Absolute_Scores!I1187</f>
        <v>50</v>
      </c>
      <c r="I1187" s="30">
        <f t="shared" si="48"/>
        <v>62.5</v>
      </c>
    </row>
    <row r="1188" spans="1:9">
      <c r="A1188" s="12" t="str">
        <f>Absolute_Scores!A1188</f>
        <v>@_rahayuncii</v>
      </c>
      <c r="B1188" s="12" t="str">
        <f>Absolute_Scores!B1188</f>
        <v>Instagram</v>
      </c>
      <c r="C1188" s="29">
        <f>Absolute_Scores!D1188</f>
        <v>35</v>
      </c>
      <c r="D1188" s="30">
        <f t="shared" si="47"/>
        <v>43.75</v>
      </c>
      <c r="F1188" s="12" t="str">
        <f>Absolute_Scores!F1188</f>
        <v>@gurumasalalu</v>
      </c>
      <c r="G1188" s="12" t="str">
        <f>Absolute_Scores!G1188</f>
        <v>TikTok</v>
      </c>
      <c r="H1188" s="29">
        <f>Absolute_Scores!I1188</f>
        <v>50</v>
      </c>
      <c r="I1188" s="30">
        <f t="shared" si="48"/>
        <v>62.5</v>
      </c>
    </row>
    <row r="1189" spans="1:9">
      <c r="A1189" s="12" t="str">
        <f>Absolute_Scores!A1189</f>
        <v>@baksorusuksamanhudi</v>
      </c>
      <c r="B1189" s="12" t="str">
        <f>Absolute_Scores!B1189</f>
        <v>Instagram</v>
      </c>
      <c r="C1189" s="29">
        <f>Absolute_Scores!D1189</f>
        <v>35</v>
      </c>
      <c r="D1189" s="30">
        <f t="shared" si="47"/>
        <v>43.75</v>
      </c>
      <c r="F1189" s="12" t="str">
        <f>Absolute_Scores!F1189</f>
        <v>@gurumudakamu</v>
      </c>
      <c r="G1189" s="12" t="str">
        <f>Absolute_Scores!G1189</f>
        <v>TikTok</v>
      </c>
      <c r="H1189" s="29">
        <f>Absolute_Scores!I1189</f>
        <v>50</v>
      </c>
      <c r="I1189" s="30">
        <f t="shared" si="48"/>
        <v>62.5</v>
      </c>
    </row>
    <row r="1190" spans="1:9">
      <c r="A1190" s="12" t="str">
        <f>Absolute_Scores!A1190</f>
        <v>@chainhere</v>
      </c>
      <c r="B1190" s="12" t="str">
        <f>Absolute_Scores!B1190</f>
        <v>Instagram</v>
      </c>
      <c r="C1190" s="29">
        <f>Absolute_Scores!D1190</f>
        <v>35</v>
      </c>
      <c r="D1190" s="30">
        <f t="shared" si="47"/>
        <v>43.75</v>
      </c>
      <c r="F1190" s="12" t="str">
        <f>Absolute_Scores!F1190</f>
        <v>@h_fitria30</v>
      </c>
      <c r="G1190" s="12" t="str">
        <f>Absolute_Scores!G1190</f>
        <v>Instagram</v>
      </c>
      <c r="H1190" s="29">
        <f>Absolute_Scores!I1190</f>
        <v>50</v>
      </c>
      <c r="I1190" s="30">
        <f t="shared" si="48"/>
        <v>62.5</v>
      </c>
    </row>
    <row r="1191" spans="1:9">
      <c r="A1191" s="12" t="str">
        <f>Absolute_Scores!A1191</f>
        <v>@cindyagilo</v>
      </c>
      <c r="B1191" s="12" t="str">
        <f>Absolute_Scores!B1191</f>
        <v>Instagram</v>
      </c>
      <c r="C1191" s="29">
        <f>Absolute_Scores!D1191</f>
        <v>35</v>
      </c>
      <c r="D1191" s="30">
        <f t="shared" si="47"/>
        <v>43.75</v>
      </c>
      <c r="F1191" s="12" t="str">
        <f>Absolute_Scores!F1191</f>
        <v>@habibahrisa</v>
      </c>
      <c r="G1191" s="12" t="str">
        <f>Absolute_Scores!G1191</f>
        <v>TikTok</v>
      </c>
      <c r="H1191" s="29">
        <f>Absolute_Scores!I1191</f>
        <v>50</v>
      </c>
      <c r="I1191" s="30">
        <f t="shared" si="48"/>
        <v>62.5</v>
      </c>
    </row>
    <row r="1192" spans="1:9">
      <c r="A1192" s="12" t="str">
        <f>Absolute_Scores!A1192</f>
        <v>@ctraniarta</v>
      </c>
      <c r="B1192" s="12" t="str">
        <f>Absolute_Scores!B1192</f>
        <v>Instagram</v>
      </c>
      <c r="C1192" s="29">
        <f>Absolute_Scores!D1192</f>
        <v>35</v>
      </c>
      <c r="D1192" s="30">
        <f t="shared" si="47"/>
        <v>43.75</v>
      </c>
      <c r="F1192" s="12" t="str">
        <f>Absolute_Scores!F1192</f>
        <v>@habibiedanayitanpanun</v>
      </c>
      <c r="G1192" s="12" t="str">
        <f>Absolute_Scores!G1192</f>
        <v>TikTok</v>
      </c>
      <c r="H1192" s="29">
        <f>Absolute_Scores!I1192</f>
        <v>50</v>
      </c>
      <c r="I1192" s="30">
        <f t="shared" si="48"/>
        <v>62.5</v>
      </c>
    </row>
    <row r="1193" spans="1:9">
      <c r="A1193" s="12" t="str">
        <f>Absolute_Scores!A1193</f>
        <v>@dianps2509</v>
      </c>
      <c r="B1193" s="12" t="str">
        <f>Absolute_Scores!B1193</f>
        <v>Instagram</v>
      </c>
      <c r="C1193" s="29">
        <f>Absolute_Scores!D1193</f>
        <v>35</v>
      </c>
      <c r="D1193" s="30">
        <f t="shared" si="47"/>
        <v>43.75</v>
      </c>
      <c r="F1193" s="12" t="str">
        <f>Absolute_Scores!F1193</f>
        <v>@hahahen_</v>
      </c>
      <c r="G1193" s="12" t="str">
        <f>Absolute_Scores!G1193</f>
        <v>TikTok</v>
      </c>
      <c r="H1193" s="29">
        <f>Absolute_Scores!I1193</f>
        <v>50</v>
      </c>
      <c r="I1193" s="30">
        <f t="shared" si="48"/>
        <v>62.5</v>
      </c>
    </row>
    <row r="1194" spans="1:9">
      <c r="A1194" s="12" t="str">
        <f>Absolute_Scores!A1194</f>
        <v>@dje_putri92</v>
      </c>
      <c r="B1194" s="12" t="str">
        <f>Absolute_Scores!B1194</f>
        <v>Instagram</v>
      </c>
      <c r="C1194" s="29">
        <f>Absolute_Scores!D1194</f>
        <v>35</v>
      </c>
      <c r="D1194" s="30">
        <f t="shared" si="47"/>
        <v>43.75</v>
      </c>
      <c r="F1194" s="12" t="str">
        <f>Absolute_Scores!F1194</f>
        <v>@haiiyullya</v>
      </c>
      <c r="G1194" s="12" t="str">
        <f>Absolute_Scores!G1194</f>
        <v>Instagram</v>
      </c>
      <c r="H1194" s="29">
        <f>Absolute_Scores!I1194</f>
        <v>50</v>
      </c>
      <c r="I1194" s="30">
        <f t="shared" si="48"/>
        <v>62.5</v>
      </c>
    </row>
    <row r="1195" spans="1:9">
      <c r="A1195" s="12" t="str">
        <f>Absolute_Scores!A1195</f>
        <v>@dwpuspitaaa</v>
      </c>
      <c r="B1195" s="12" t="str">
        <f>Absolute_Scores!B1195</f>
        <v>Instagram</v>
      </c>
      <c r="C1195" s="29">
        <f>Absolute_Scores!D1195</f>
        <v>35</v>
      </c>
      <c r="D1195" s="30">
        <f t="shared" si="47"/>
        <v>43.75</v>
      </c>
      <c r="F1195" s="12" t="str">
        <f>Absolute_Scores!F1195</f>
        <v>@haledomo</v>
      </c>
      <c r="G1195" s="12" t="str">
        <f>Absolute_Scores!G1195</f>
        <v>TikTok</v>
      </c>
      <c r="H1195" s="29">
        <f>Absolute_Scores!I1195</f>
        <v>50</v>
      </c>
      <c r="I1195" s="30">
        <f t="shared" si="48"/>
        <v>62.5</v>
      </c>
    </row>
    <row r="1196" spans="1:9">
      <c r="A1196" s="12" t="str">
        <f>Absolute_Scores!A1196</f>
        <v>@dyandy02</v>
      </c>
      <c r="B1196" s="12" t="str">
        <f>Absolute_Scores!B1196</f>
        <v>Instagram</v>
      </c>
      <c r="C1196" s="29">
        <f>Absolute_Scores!D1196</f>
        <v>35</v>
      </c>
      <c r="D1196" s="30">
        <f t="shared" si="47"/>
        <v>43.75</v>
      </c>
      <c r="F1196" s="12" t="str">
        <f>Absolute_Scores!F1196</f>
        <v>@hallowulandari</v>
      </c>
      <c r="G1196" s="12" t="str">
        <f>Absolute_Scores!G1196</f>
        <v>Instagram</v>
      </c>
      <c r="H1196" s="29">
        <f>Absolute_Scores!I1196</f>
        <v>50</v>
      </c>
      <c r="I1196" s="30">
        <f t="shared" si="48"/>
        <v>62.5</v>
      </c>
    </row>
    <row r="1197" spans="1:9">
      <c r="A1197" s="12" t="str">
        <f>Absolute_Scores!A1197</f>
        <v>@joyuthon</v>
      </c>
      <c r="B1197" s="12" t="str">
        <f>Absolute_Scores!B1197</f>
        <v>Instagram</v>
      </c>
      <c r="C1197" s="29">
        <f>Absolute_Scores!D1197</f>
        <v>35</v>
      </c>
      <c r="D1197" s="30">
        <f t="shared" si="47"/>
        <v>43.75</v>
      </c>
      <c r="F1197" s="12" t="str">
        <f>Absolute_Scores!F1197</f>
        <v>@halotugek</v>
      </c>
      <c r="G1197" s="12" t="str">
        <f>Absolute_Scores!G1197</f>
        <v>TikTok</v>
      </c>
      <c r="H1197" s="29">
        <f>Absolute_Scores!I1197</f>
        <v>50</v>
      </c>
      <c r="I1197" s="30">
        <f t="shared" si="48"/>
        <v>62.5</v>
      </c>
    </row>
    <row r="1198" spans="1:9">
      <c r="A1198" s="12" t="str">
        <f>Absolute_Scores!A1198</f>
        <v>@lailysadiah19_</v>
      </c>
      <c r="B1198" s="12" t="str">
        <f>Absolute_Scores!B1198</f>
        <v>Instagram</v>
      </c>
      <c r="C1198" s="29">
        <f>Absolute_Scores!D1198</f>
        <v>35</v>
      </c>
      <c r="D1198" s="30">
        <f t="shared" si="47"/>
        <v>43.75</v>
      </c>
      <c r="F1198" s="12" t="str">
        <f>Absolute_Scores!F1198</f>
        <v>@hamzahnstt</v>
      </c>
      <c r="G1198" s="12" t="str">
        <f>Absolute_Scores!G1198</f>
        <v>TikTok</v>
      </c>
      <c r="H1198" s="29">
        <f>Absolute_Scores!I1198</f>
        <v>50</v>
      </c>
      <c r="I1198" s="30">
        <f t="shared" si="48"/>
        <v>62.5</v>
      </c>
    </row>
    <row r="1199" spans="1:9">
      <c r="A1199" s="12" t="str">
        <f>Absolute_Scores!A1199</f>
        <v>@leomessi</v>
      </c>
      <c r="B1199" s="12" t="str">
        <f>Absolute_Scores!B1199</f>
        <v>Instagram</v>
      </c>
      <c r="C1199" s="29">
        <f>Absolute_Scores!D1199</f>
        <v>35</v>
      </c>
      <c r="D1199" s="30">
        <f t="shared" si="47"/>
        <v>43.75</v>
      </c>
      <c r="F1199" s="12" t="str">
        <f>Absolute_Scores!F1199</f>
        <v>@hanaalaydrus</v>
      </c>
      <c r="G1199" s="12" t="str">
        <f>Absolute_Scores!G1199</f>
        <v>Instagram</v>
      </c>
      <c r="H1199" s="29">
        <f>Absolute_Scores!I1199</f>
        <v>50</v>
      </c>
      <c r="I1199" s="30">
        <f t="shared" si="48"/>
        <v>62.5</v>
      </c>
    </row>
    <row r="1200" spans="1:9">
      <c r="A1200" s="12" t="str">
        <f>Absolute_Scores!A1200</f>
        <v>@media.virals</v>
      </c>
      <c r="B1200" s="12" t="str">
        <f>Absolute_Scores!B1200</f>
        <v>Instagram</v>
      </c>
      <c r="C1200" s="29">
        <f>Absolute_Scores!D1200</f>
        <v>35</v>
      </c>
      <c r="D1200" s="30">
        <f t="shared" si="47"/>
        <v>43.75</v>
      </c>
      <c r="F1200" s="12" t="str">
        <f>Absolute_Scores!F1200</f>
        <v>@haniffnh</v>
      </c>
      <c r="G1200" s="12" t="str">
        <f>Absolute_Scores!G1200</f>
        <v>Instagram</v>
      </c>
      <c r="H1200" s="29">
        <f>Absolute_Scores!I1200</f>
        <v>50</v>
      </c>
      <c r="I1200" s="30">
        <f t="shared" si="48"/>
        <v>62.5</v>
      </c>
    </row>
    <row r="1201" spans="1:9">
      <c r="A1201" s="12" t="str">
        <f>Absolute_Scores!A1201</f>
        <v>@meirinchan29</v>
      </c>
      <c r="B1201" s="12" t="str">
        <f>Absolute_Scores!B1201</f>
        <v>Instagram</v>
      </c>
      <c r="C1201" s="29">
        <f>Absolute_Scores!D1201</f>
        <v>35</v>
      </c>
      <c r="D1201" s="30">
        <f t="shared" si="47"/>
        <v>43.75</v>
      </c>
      <c r="F1201" s="12" t="str">
        <f>Absolute_Scores!F1201</f>
        <v>@hanifthalib28</v>
      </c>
      <c r="G1201" s="12" t="str">
        <f>Absolute_Scores!G1201</f>
        <v>TikTok</v>
      </c>
      <c r="H1201" s="29">
        <f>Absolute_Scores!I1201</f>
        <v>50</v>
      </c>
      <c r="I1201" s="30">
        <f t="shared" si="48"/>
        <v>62.5</v>
      </c>
    </row>
    <row r="1202" spans="1:9">
      <c r="A1202" s="12" t="str">
        <f>Absolute_Scores!A1202</f>
        <v>@mmekuliner</v>
      </c>
      <c r="B1202" s="12" t="str">
        <f>Absolute_Scores!B1202</f>
        <v>Instagram</v>
      </c>
      <c r="C1202" s="29">
        <f>Absolute_Scores!D1202</f>
        <v>35</v>
      </c>
      <c r="D1202" s="30">
        <f t="shared" si="47"/>
        <v>43.75</v>
      </c>
      <c r="F1202" s="12" t="str">
        <f>Absolute_Scores!F1202</f>
        <v>@hanin.arifah</v>
      </c>
      <c r="G1202" s="12" t="str">
        <f>Absolute_Scores!G1202</f>
        <v>TikTok</v>
      </c>
      <c r="H1202" s="29">
        <f>Absolute_Scores!I1202</f>
        <v>50</v>
      </c>
      <c r="I1202" s="30">
        <f t="shared" si="48"/>
        <v>62.5</v>
      </c>
    </row>
    <row r="1203" spans="1:9">
      <c r="A1203" s="12" t="str">
        <f>Absolute_Scores!A1203</f>
        <v>@monethmona</v>
      </c>
      <c r="B1203" s="12" t="str">
        <f>Absolute_Scores!B1203</f>
        <v>Instagram</v>
      </c>
      <c r="C1203" s="29">
        <f>Absolute_Scores!D1203</f>
        <v>35</v>
      </c>
      <c r="D1203" s="30">
        <f t="shared" si="47"/>
        <v>43.75</v>
      </c>
      <c r="F1203" s="12" t="str">
        <f>Absolute_Scores!F1203</f>
        <v>@hanisasarah18</v>
      </c>
      <c r="G1203" s="12" t="str">
        <f>Absolute_Scores!G1203</f>
        <v>TikTok</v>
      </c>
      <c r="H1203" s="29">
        <f>Absolute_Scores!I1203</f>
        <v>50</v>
      </c>
      <c r="I1203" s="30">
        <f t="shared" si="48"/>
        <v>62.5</v>
      </c>
    </row>
    <row r="1204" spans="1:9">
      <c r="A1204" s="12" t="str">
        <f>Absolute_Scores!A1204</f>
        <v>@muse_dianbudiati</v>
      </c>
      <c r="B1204" s="12" t="str">
        <f>Absolute_Scores!B1204</f>
        <v>Instagram</v>
      </c>
      <c r="C1204" s="29">
        <f>Absolute_Scores!D1204</f>
        <v>35</v>
      </c>
      <c r="D1204" s="30">
        <f t="shared" si="47"/>
        <v>43.75</v>
      </c>
      <c r="F1204" s="12" t="str">
        <f>Absolute_Scores!F1204</f>
        <v>@hannaevilia</v>
      </c>
      <c r="G1204" s="12" t="str">
        <f>Absolute_Scores!G1204</f>
        <v>Instagram</v>
      </c>
      <c r="H1204" s="29">
        <f>Absolute_Scores!I1204</f>
        <v>50</v>
      </c>
      <c r="I1204" s="30">
        <f t="shared" si="48"/>
        <v>62.5</v>
      </c>
    </row>
    <row r="1205" spans="1:9">
      <c r="A1205" s="12" t="str">
        <f>Absolute_Scores!A1205</f>
        <v>@ndahput07</v>
      </c>
      <c r="B1205" s="12" t="str">
        <f>Absolute_Scores!B1205</f>
        <v>Instagram</v>
      </c>
      <c r="C1205" s="29">
        <f>Absolute_Scores!D1205</f>
        <v>35</v>
      </c>
      <c r="D1205" s="30">
        <f t="shared" si="47"/>
        <v>43.75</v>
      </c>
      <c r="F1205" s="12" t="str">
        <f>Absolute_Scores!F1205</f>
        <v>@hapvymeal</v>
      </c>
      <c r="G1205" s="12" t="str">
        <f>Absolute_Scores!G1205</f>
        <v>TikTok</v>
      </c>
      <c r="H1205" s="29">
        <f>Absolute_Scores!I1205</f>
        <v>50</v>
      </c>
      <c r="I1205" s="30">
        <f t="shared" si="48"/>
        <v>62.5</v>
      </c>
    </row>
    <row r="1206" spans="1:9">
      <c r="A1206" s="12" t="str">
        <f>Absolute_Scores!A1206</f>
        <v>@nurhidayahdena</v>
      </c>
      <c r="B1206" s="12" t="str">
        <f>Absolute_Scores!B1206</f>
        <v>Instagram</v>
      </c>
      <c r="C1206" s="29">
        <f>Absolute_Scores!D1206</f>
        <v>35</v>
      </c>
      <c r="D1206" s="30">
        <f t="shared" si="47"/>
        <v>43.75</v>
      </c>
      <c r="F1206" s="12" t="str">
        <f>Absolute_Scores!F1206</f>
        <v>@hasnafizaa</v>
      </c>
      <c r="G1206" s="12" t="str">
        <f>Absolute_Scores!G1206</f>
        <v>TikTok</v>
      </c>
      <c r="H1206" s="29">
        <f>Absolute_Scores!I1206</f>
        <v>50</v>
      </c>
      <c r="I1206" s="30">
        <f t="shared" si="48"/>
        <v>62.5</v>
      </c>
    </row>
    <row r="1207" spans="1:9">
      <c r="A1207" s="12" t="str">
        <f>Absolute_Scores!A1207</f>
        <v>@rivani_rahmadani</v>
      </c>
      <c r="B1207" s="12" t="str">
        <f>Absolute_Scores!B1207</f>
        <v>Instagram</v>
      </c>
      <c r="C1207" s="29">
        <f>Absolute_Scores!D1207</f>
        <v>35</v>
      </c>
      <c r="D1207" s="30">
        <f t="shared" si="47"/>
        <v>43.75</v>
      </c>
      <c r="F1207" s="12" t="str">
        <f>Absolute_Scores!F1207</f>
        <v>@hasnielo23</v>
      </c>
      <c r="G1207" s="12" t="str">
        <f>Absolute_Scores!G1207</f>
        <v>Instagram</v>
      </c>
      <c r="H1207" s="29">
        <f>Absolute_Scores!I1207</f>
        <v>50</v>
      </c>
      <c r="I1207" s="30">
        <f t="shared" si="48"/>
        <v>62.5</v>
      </c>
    </row>
    <row r="1208" spans="1:9">
      <c r="A1208" s="12" t="str">
        <f>Absolute_Scores!A1208</f>
        <v>@sdaninuri</v>
      </c>
      <c r="B1208" s="12" t="str">
        <f>Absolute_Scores!B1208</f>
        <v>Instagram</v>
      </c>
      <c r="C1208" s="29">
        <f>Absolute_Scores!D1208</f>
        <v>35</v>
      </c>
      <c r="D1208" s="30">
        <f t="shared" si="47"/>
        <v>43.75</v>
      </c>
      <c r="F1208" s="12" t="str">
        <f>Absolute_Scores!F1208</f>
        <v>@hatethepipel</v>
      </c>
      <c r="G1208" s="12" t="str">
        <f>Absolute_Scores!G1208</f>
        <v>TikTok</v>
      </c>
      <c r="H1208" s="29">
        <f>Absolute_Scores!I1208</f>
        <v>50</v>
      </c>
      <c r="I1208" s="30">
        <f t="shared" si="48"/>
        <v>62.5</v>
      </c>
    </row>
    <row r="1209" spans="1:9">
      <c r="A1209" s="12" t="str">
        <f>Absolute_Scores!A1209</f>
        <v>@viranisa_riska</v>
      </c>
      <c r="B1209" s="12" t="str">
        <f>Absolute_Scores!B1209</f>
        <v>Instagram</v>
      </c>
      <c r="C1209" s="29">
        <f>Absolute_Scores!D1209</f>
        <v>35</v>
      </c>
      <c r="D1209" s="30">
        <f t="shared" si="47"/>
        <v>43.75</v>
      </c>
      <c r="F1209" s="12" t="str">
        <f>Absolute_Scores!F1209</f>
        <v>@hay_thy</v>
      </c>
      <c r="G1209" s="12" t="str">
        <f>Absolute_Scores!G1209</f>
        <v>Instagram</v>
      </c>
      <c r="H1209" s="29">
        <f>Absolute_Scores!I1209</f>
        <v>50</v>
      </c>
      <c r="I1209" s="30">
        <f t="shared" si="48"/>
        <v>62.5</v>
      </c>
    </row>
    <row r="1210" spans="1:9">
      <c r="A1210" s="12" t="str">
        <f>Absolute_Scores!A1210</f>
        <v>@ay_akm</v>
      </c>
      <c r="B1210" s="12" t="str">
        <f>Absolute_Scores!B1210</f>
        <v>Instagram</v>
      </c>
      <c r="C1210" s="29">
        <f>Absolute_Scores!D1210</f>
        <v>34</v>
      </c>
      <c r="D1210" s="30">
        <f t="shared" si="47"/>
        <v>42.5</v>
      </c>
      <c r="F1210" s="12" t="str">
        <f>Absolute_Scores!F1210</f>
        <v>@hay.sha30</v>
      </c>
      <c r="G1210" s="12" t="str">
        <f>Absolute_Scores!G1210</f>
        <v>TikTok</v>
      </c>
      <c r="H1210" s="29">
        <f>Absolute_Scores!I1210</f>
        <v>50</v>
      </c>
      <c r="I1210" s="30">
        <f t="shared" si="48"/>
        <v>62.5</v>
      </c>
    </row>
    <row r="1211" spans="1:9">
      <c r="A1211" s="12" t="str">
        <f>Absolute_Scores!A1211</f>
        <v>@claudia.yycin</v>
      </c>
      <c r="B1211" s="12" t="str">
        <f>Absolute_Scores!B1211</f>
        <v>Instagram</v>
      </c>
      <c r="C1211" s="29">
        <f>Absolute_Scores!D1211</f>
        <v>34</v>
      </c>
      <c r="D1211" s="30">
        <f t="shared" si="47"/>
        <v>42.5</v>
      </c>
      <c r="F1211" s="12" t="str">
        <f>Absolute_Scores!F1211</f>
        <v>@hayillor</v>
      </c>
      <c r="G1211" s="12" t="str">
        <f>Absolute_Scores!G1211</f>
        <v>Instagram</v>
      </c>
      <c r="H1211" s="29">
        <f>Absolute_Scores!I1211</f>
        <v>50</v>
      </c>
      <c r="I1211" s="30">
        <f t="shared" si="48"/>
        <v>62.5</v>
      </c>
    </row>
    <row r="1212" spans="1:9">
      <c r="A1212" s="12" t="str">
        <f>Absolute_Scores!A1212</f>
        <v>@cmietamagotchi</v>
      </c>
      <c r="B1212" s="12" t="str">
        <f>Absolute_Scores!B1212</f>
        <v>Instagram</v>
      </c>
      <c r="C1212" s="29">
        <f>Absolute_Scores!D1212</f>
        <v>34</v>
      </c>
      <c r="D1212" s="30">
        <f t="shared" si="47"/>
        <v>42.5</v>
      </c>
      <c r="F1212" s="12" t="str">
        <f>Absolute_Scores!F1212</f>
        <v>@haymoothia</v>
      </c>
      <c r="G1212" s="12" t="str">
        <f>Absolute_Scores!G1212</f>
        <v>TikTok</v>
      </c>
      <c r="H1212" s="29">
        <f>Absolute_Scores!I1212</f>
        <v>50</v>
      </c>
      <c r="I1212" s="30">
        <f t="shared" si="48"/>
        <v>62.5</v>
      </c>
    </row>
    <row r="1213" spans="1:9">
      <c r="A1213" s="12" t="str">
        <f>Absolute_Scores!A1213</f>
        <v>@dwitakdewii</v>
      </c>
      <c r="B1213" s="12" t="str">
        <f>Absolute_Scores!B1213</f>
        <v>Instagram</v>
      </c>
      <c r="C1213" s="29">
        <f>Absolute_Scores!D1213</f>
        <v>34</v>
      </c>
      <c r="D1213" s="30">
        <f t="shared" si="47"/>
        <v>42.5</v>
      </c>
      <c r="F1213" s="12" t="str">
        <f>Absolute_Scores!F1213</f>
        <v>@headkirbyy</v>
      </c>
      <c r="G1213" s="12" t="str">
        <f>Absolute_Scores!G1213</f>
        <v>TikTok</v>
      </c>
      <c r="H1213" s="29">
        <f>Absolute_Scores!I1213</f>
        <v>50</v>
      </c>
      <c r="I1213" s="30">
        <f t="shared" si="48"/>
        <v>62.5</v>
      </c>
    </row>
    <row r="1214" spans="1:9">
      <c r="A1214" s="12" t="str">
        <f>Absolute_Scores!A1214</f>
        <v>@eci_chan30</v>
      </c>
      <c r="B1214" s="12" t="str">
        <f>Absolute_Scores!B1214</f>
        <v>Instagram</v>
      </c>
      <c r="C1214" s="29">
        <f>Absolute_Scores!D1214</f>
        <v>34</v>
      </c>
      <c r="D1214" s="30">
        <f t="shared" si="47"/>
        <v>42.5</v>
      </c>
      <c r="F1214" s="12" t="str">
        <f>Absolute_Scores!F1214</f>
        <v>@hedii30_</v>
      </c>
      <c r="G1214" s="12" t="str">
        <f>Absolute_Scores!G1214</f>
        <v>TikTok</v>
      </c>
      <c r="H1214" s="29">
        <f>Absolute_Scores!I1214</f>
        <v>50</v>
      </c>
      <c r="I1214" s="30">
        <f t="shared" si="48"/>
        <v>62.5</v>
      </c>
    </row>
    <row r="1215" spans="1:9">
      <c r="A1215" s="12" t="str">
        <f>Absolute_Scores!A1215</f>
        <v>@princesssadira</v>
      </c>
      <c r="B1215" s="12" t="str">
        <f>Absolute_Scores!B1215</f>
        <v>Instagram</v>
      </c>
      <c r="C1215" s="29">
        <f>Absolute_Scores!D1215</f>
        <v>34</v>
      </c>
      <c r="D1215" s="30">
        <f t="shared" si="47"/>
        <v>42.5</v>
      </c>
      <c r="F1215" s="12" t="str">
        <f>Absolute_Scores!F1215</f>
        <v>@hegyzy</v>
      </c>
      <c r="G1215" s="12" t="str">
        <f>Absolute_Scores!G1215</f>
        <v>TikTok</v>
      </c>
      <c r="H1215" s="29">
        <f>Absolute_Scores!I1215</f>
        <v>50</v>
      </c>
      <c r="I1215" s="30">
        <f t="shared" si="48"/>
        <v>62.5</v>
      </c>
    </row>
    <row r="1216" spans="1:9">
      <c r="A1216" s="12" t="str">
        <f>Absolute_Scores!A1216</f>
        <v>@ratusalza</v>
      </c>
      <c r="B1216" s="12" t="str">
        <f>Absolute_Scores!B1216</f>
        <v>Instagram</v>
      </c>
      <c r="C1216" s="29">
        <f>Absolute_Scores!D1216</f>
        <v>34</v>
      </c>
      <c r="D1216" s="30">
        <f t="shared" si="47"/>
        <v>42.5</v>
      </c>
      <c r="F1216" s="12" t="str">
        <f>Absolute_Scores!F1216</f>
        <v>@hehebalik</v>
      </c>
      <c r="G1216" s="12" t="str">
        <f>Absolute_Scores!G1216</f>
        <v>TikTok</v>
      </c>
      <c r="H1216" s="29">
        <f>Absolute_Scores!I1216</f>
        <v>50</v>
      </c>
      <c r="I1216" s="30">
        <f t="shared" si="48"/>
        <v>62.5</v>
      </c>
    </row>
    <row r="1217" spans="1:9">
      <c r="A1217" s="12" t="str">
        <f>Absolute_Scores!A1217</f>
        <v>@revdy</v>
      </c>
      <c r="B1217" s="12" t="str">
        <f>Absolute_Scores!B1217</f>
        <v>Instagram</v>
      </c>
      <c r="C1217" s="29">
        <f>Absolute_Scores!D1217</f>
        <v>34</v>
      </c>
      <c r="D1217" s="30">
        <f t="shared" si="47"/>
        <v>42.5</v>
      </c>
      <c r="F1217" s="12" t="str">
        <f>Absolute_Scores!F1217</f>
        <v>@heiina_</v>
      </c>
      <c r="G1217" s="12" t="str">
        <f>Absolute_Scores!G1217</f>
        <v>Instagram</v>
      </c>
      <c r="H1217" s="29">
        <f>Absolute_Scores!I1217</f>
        <v>50</v>
      </c>
      <c r="I1217" s="30">
        <f t="shared" si="48"/>
        <v>62.5</v>
      </c>
    </row>
    <row r="1218" spans="1:9">
      <c r="A1218" s="12" t="str">
        <f>Absolute_Scores!A1218</f>
        <v>@sasikapretisa</v>
      </c>
      <c r="B1218" s="12" t="str">
        <f>Absolute_Scores!B1218</f>
        <v>Instagram</v>
      </c>
      <c r="C1218" s="29">
        <f>Absolute_Scores!D1218</f>
        <v>34</v>
      </c>
      <c r="D1218" s="30">
        <f t="shared" si="47"/>
        <v>42.5</v>
      </c>
      <c r="F1218" s="12" t="str">
        <f>Absolute_Scores!F1218</f>
        <v>@helena_cj</v>
      </c>
      <c r="G1218" s="12" t="str">
        <f>Absolute_Scores!G1218</f>
        <v>Instagram</v>
      </c>
      <c r="H1218" s="29">
        <f>Absolute_Scores!I1218</f>
        <v>50</v>
      </c>
      <c r="I1218" s="30">
        <f t="shared" si="48"/>
        <v>62.5</v>
      </c>
    </row>
    <row r="1219" spans="1:9">
      <c r="A1219" s="12" t="str">
        <f>Absolute_Scores!A1219</f>
        <v>@sharoncb_</v>
      </c>
      <c r="B1219" s="12" t="str">
        <f>Absolute_Scores!B1219</f>
        <v>Instagram</v>
      </c>
      <c r="C1219" s="29">
        <f>Absolute_Scores!D1219</f>
        <v>34</v>
      </c>
      <c r="D1219" s="30">
        <f t="shared" si="47"/>
        <v>42.5</v>
      </c>
      <c r="F1219" s="12" t="str">
        <f>Absolute_Scores!F1219</f>
        <v>@helenind</v>
      </c>
      <c r="G1219" s="12" t="str">
        <f>Absolute_Scores!G1219</f>
        <v>Instagram</v>
      </c>
      <c r="H1219" s="29">
        <f>Absolute_Scores!I1219</f>
        <v>50</v>
      </c>
      <c r="I1219" s="30">
        <f t="shared" si="48"/>
        <v>62.5</v>
      </c>
    </row>
    <row r="1220" spans="1:9">
      <c r="A1220" s="12" t="str">
        <f>Absolute_Scores!A1220</f>
        <v>@tanameracoffee</v>
      </c>
      <c r="B1220" s="12" t="str">
        <f>Absolute_Scores!B1220</f>
        <v>Instagram</v>
      </c>
      <c r="C1220" s="29">
        <f>Absolute_Scores!D1220</f>
        <v>34</v>
      </c>
      <c r="D1220" s="30">
        <f t="shared" si="47"/>
        <v>42.5</v>
      </c>
      <c r="F1220" s="12" t="str">
        <f>Absolute_Scores!F1220</f>
        <v>@hellosikecil</v>
      </c>
      <c r="G1220" s="12" t="str">
        <f>Absolute_Scores!G1220</f>
        <v>TikTok</v>
      </c>
      <c r="H1220" s="29">
        <f>Absolute_Scores!I1220</f>
        <v>50</v>
      </c>
      <c r="I1220" s="30">
        <f t="shared" si="48"/>
        <v>62.5</v>
      </c>
    </row>
    <row r="1221" spans="1:9">
      <c r="A1221" s="12" t="str">
        <f>Absolute_Scores!A1221</f>
        <v>@gizaamel_</v>
      </c>
      <c r="B1221" s="12" t="str">
        <f>Absolute_Scores!B1221</f>
        <v>Instagram</v>
      </c>
      <c r="C1221" s="29">
        <f>Absolute_Scores!D1221</f>
        <v>33</v>
      </c>
      <c r="D1221" s="30">
        <f t="shared" si="47"/>
        <v>41.25</v>
      </c>
      <c r="F1221" s="12" t="str">
        <f>Absolute_Scores!F1221</f>
        <v>@helmaliiaaa_</v>
      </c>
      <c r="G1221" s="12" t="str">
        <f>Absolute_Scores!G1221</f>
        <v>Instagram</v>
      </c>
      <c r="H1221" s="29">
        <f>Absolute_Scores!I1221</f>
        <v>50</v>
      </c>
      <c r="I1221" s="30">
        <f t="shared" si="48"/>
        <v>62.5</v>
      </c>
    </row>
    <row r="1222" spans="1:9">
      <c r="A1222" s="12" t="str">
        <f>Absolute_Scores!A1222</f>
        <v>@ratnatita</v>
      </c>
      <c r="B1222" s="12" t="str">
        <f>Absolute_Scores!B1222</f>
        <v>Instagram</v>
      </c>
      <c r="C1222" s="29">
        <f>Absolute_Scores!D1222</f>
        <v>33</v>
      </c>
      <c r="D1222" s="30">
        <f t="shared" ref="D1222:D1248" si="49">ROUND(C1222/$D$4*100,2)</f>
        <v>41.25</v>
      </c>
      <c r="F1222" s="12" t="str">
        <f>Absolute_Scores!F1222</f>
        <v>@helpbeauty07</v>
      </c>
      <c r="G1222" s="12" t="str">
        <f>Absolute_Scores!G1222</f>
        <v>TikTok</v>
      </c>
      <c r="H1222" s="29">
        <f>Absolute_Scores!I1222</f>
        <v>50</v>
      </c>
      <c r="I1222" s="30">
        <f t="shared" ref="I1222:I1285" si="50">ROUND(H1222/$I$4*100,2)</f>
        <v>62.5</v>
      </c>
    </row>
    <row r="1223" spans="1:9">
      <c r="A1223" s="12" t="str">
        <f>Absolute_Scores!A1223</f>
        <v>@sisca_zhang18</v>
      </c>
      <c r="B1223" s="12" t="str">
        <f>Absolute_Scores!B1223</f>
        <v>Instagram</v>
      </c>
      <c r="C1223" s="29">
        <f>Absolute_Scores!D1223</f>
        <v>33</v>
      </c>
      <c r="D1223" s="30">
        <f t="shared" si="49"/>
        <v>41.25</v>
      </c>
      <c r="F1223" s="12" t="str">
        <f>Absolute_Scores!F1223</f>
        <v>@hendihindarto</v>
      </c>
      <c r="G1223" s="12" t="str">
        <f>Absolute_Scores!G1223</f>
        <v>TikTok</v>
      </c>
      <c r="H1223" s="29">
        <f>Absolute_Scores!I1223</f>
        <v>50</v>
      </c>
      <c r="I1223" s="30">
        <f t="shared" si="50"/>
        <v>62.5</v>
      </c>
    </row>
    <row r="1224" spans="1:9">
      <c r="A1224" s="12" t="str">
        <f>Absolute_Scores!A1224</f>
        <v>@sunarsiech_chochobiez</v>
      </c>
      <c r="B1224" s="12" t="str">
        <f>Absolute_Scores!B1224</f>
        <v>Instagram</v>
      </c>
      <c r="C1224" s="29">
        <f>Absolute_Scores!D1224</f>
        <v>33</v>
      </c>
      <c r="D1224" s="30">
        <f t="shared" si="49"/>
        <v>41.25</v>
      </c>
      <c r="F1224" s="12" t="str">
        <f>Absolute_Scores!F1224</f>
        <v>@hendydaneka</v>
      </c>
      <c r="G1224" s="12" t="str">
        <f>Absolute_Scores!G1224</f>
        <v>TikTok</v>
      </c>
      <c r="H1224" s="29">
        <f>Absolute_Scores!I1224</f>
        <v>50</v>
      </c>
      <c r="I1224" s="30">
        <f t="shared" si="50"/>
        <v>62.5</v>
      </c>
    </row>
    <row r="1225" spans="1:9">
      <c r="A1225" s="12" t="str">
        <f>Absolute_Scores!A1225</f>
        <v>@xavierius_alvin</v>
      </c>
      <c r="B1225" s="12" t="str">
        <f>Absolute_Scores!B1225</f>
        <v>Instagram</v>
      </c>
      <c r="C1225" s="29">
        <f>Absolute_Scores!D1225</f>
        <v>33</v>
      </c>
      <c r="D1225" s="30">
        <f t="shared" si="49"/>
        <v>41.25</v>
      </c>
      <c r="F1225" s="12" t="str">
        <f>Absolute_Scores!F1225</f>
        <v>@hendyprdn</v>
      </c>
      <c r="G1225" s="12" t="str">
        <f>Absolute_Scores!G1225</f>
        <v>TikTok</v>
      </c>
      <c r="H1225" s="29">
        <f>Absolute_Scores!I1225</f>
        <v>50</v>
      </c>
      <c r="I1225" s="30">
        <f t="shared" si="50"/>
        <v>62.5</v>
      </c>
    </row>
    <row r="1226" spans="1:9">
      <c r="A1226" s="12" t="str">
        <f>Absolute_Scores!A1226</f>
        <v>@zeezaharaputri</v>
      </c>
      <c r="B1226" s="12" t="str">
        <f>Absolute_Scores!B1226</f>
        <v>Instagram</v>
      </c>
      <c r="C1226" s="29">
        <f>Absolute_Scores!D1226</f>
        <v>33</v>
      </c>
      <c r="D1226" s="30">
        <f t="shared" si="49"/>
        <v>41.25</v>
      </c>
      <c r="F1226" s="12" t="str">
        <f>Absolute_Scores!F1226</f>
        <v>@heni_nino</v>
      </c>
      <c r="G1226" s="12" t="str">
        <f>Absolute_Scores!G1226</f>
        <v>Instagram</v>
      </c>
      <c r="H1226" s="29">
        <f>Absolute_Scores!I1226</f>
        <v>50</v>
      </c>
      <c r="I1226" s="30">
        <f t="shared" si="50"/>
        <v>62.5</v>
      </c>
    </row>
    <row r="1227" spans="1:9">
      <c r="A1227" s="12" t="str">
        <f>Absolute_Scores!A1227</f>
        <v>@calistacherrie</v>
      </c>
      <c r="B1227" s="12" t="str">
        <f>Absolute_Scores!B1227</f>
        <v>Instagram</v>
      </c>
      <c r="C1227" s="29">
        <f>Absolute_Scores!D1227</f>
        <v>32</v>
      </c>
      <c r="D1227" s="30">
        <f t="shared" si="49"/>
        <v>40</v>
      </c>
      <c r="F1227" s="12" t="str">
        <f>Absolute_Scores!F1227</f>
        <v>@henyperm</v>
      </c>
      <c r="G1227" s="12" t="str">
        <f>Absolute_Scores!G1227</f>
        <v>Instagram</v>
      </c>
      <c r="H1227" s="29">
        <f>Absolute_Scores!I1227</f>
        <v>50</v>
      </c>
      <c r="I1227" s="30">
        <f t="shared" si="50"/>
        <v>62.5</v>
      </c>
    </row>
    <row r="1228" spans="1:9">
      <c r="A1228" s="12" t="str">
        <f>Absolute_Scores!A1228</f>
        <v>@febestari</v>
      </c>
      <c r="B1228" s="12" t="str">
        <f>Absolute_Scores!B1228</f>
        <v>Instagram</v>
      </c>
      <c r="C1228" s="29">
        <f>Absolute_Scores!D1228</f>
        <v>32</v>
      </c>
      <c r="D1228" s="30">
        <f t="shared" si="49"/>
        <v>40</v>
      </c>
      <c r="F1228" s="12" t="str">
        <f>Absolute_Scores!F1228</f>
        <v>@heracneblog</v>
      </c>
      <c r="G1228" s="12" t="str">
        <f>Absolute_Scores!G1228</f>
        <v>Instagram</v>
      </c>
      <c r="H1228" s="29">
        <f>Absolute_Scores!I1228</f>
        <v>50</v>
      </c>
      <c r="I1228" s="30">
        <f t="shared" si="50"/>
        <v>62.5</v>
      </c>
    </row>
    <row r="1229" spans="1:9">
      <c r="A1229" s="12" t="str">
        <f>Absolute_Scores!A1229</f>
        <v>@feralexia_</v>
      </c>
      <c r="B1229" s="12" t="str">
        <f>Absolute_Scores!B1229</f>
        <v>Instagram</v>
      </c>
      <c r="C1229" s="29">
        <f>Absolute_Scores!D1229</f>
        <v>32</v>
      </c>
      <c r="D1229" s="30">
        <f t="shared" si="49"/>
        <v>40</v>
      </c>
      <c r="F1229" s="12" t="str">
        <f>Absolute_Scores!F1229</f>
        <v>@heri_horeh</v>
      </c>
      <c r="G1229" s="12" t="str">
        <f>Absolute_Scores!G1229</f>
        <v>TikTok</v>
      </c>
      <c r="H1229" s="29">
        <f>Absolute_Scores!I1229</f>
        <v>50</v>
      </c>
      <c r="I1229" s="30">
        <f t="shared" si="50"/>
        <v>62.5</v>
      </c>
    </row>
    <row r="1230" spans="1:9">
      <c r="A1230" s="12" t="str">
        <f>Absolute_Scores!A1230</f>
        <v>@fitrifree</v>
      </c>
      <c r="B1230" s="12" t="str">
        <f>Absolute_Scores!B1230</f>
        <v>Instagram</v>
      </c>
      <c r="C1230" s="29">
        <f>Absolute_Scores!D1230</f>
        <v>32</v>
      </c>
      <c r="D1230" s="30">
        <f t="shared" si="49"/>
        <v>40</v>
      </c>
      <c r="F1230" s="12" t="str">
        <f>Absolute_Scores!F1230</f>
        <v>@herlina.elisa</v>
      </c>
      <c r="G1230" s="12" t="str">
        <f>Absolute_Scores!G1230</f>
        <v>Instagram</v>
      </c>
      <c r="H1230" s="29">
        <f>Absolute_Scores!I1230</f>
        <v>50</v>
      </c>
      <c r="I1230" s="30">
        <f t="shared" si="50"/>
        <v>62.5</v>
      </c>
    </row>
    <row r="1231" spans="1:9">
      <c r="A1231" s="12" t="str">
        <f>Absolute_Scores!A1231</f>
        <v>@hijrahfest</v>
      </c>
      <c r="B1231" s="12" t="str">
        <f>Absolute_Scores!B1231</f>
        <v>Instagram</v>
      </c>
      <c r="C1231" s="29">
        <f>Absolute_Scores!D1231</f>
        <v>32</v>
      </c>
      <c r="D1231" s="30">
        <f t="shared" si="49"/>
        <v>40</v>
      </c>
      <c r="F1231" s="12" t="str">
        <f>Absolute_Scores!F1231</f>
        <v>@herlinaaleee</v>
      </c>
      <c r="G1231" s="12" t="str">
        <f>Absolute_Scores!G1231</f>
        <v>Instagram</v>
      </c>
      <c r="H1231" s="29">
        <f>Absolute_Scores!I1231</f>
        <v>50</v>
      </c>
      <c r="I1231" s="30">
        <f t="shared" si="50"/>
        <v>62.5</v>
      </c>
    </row>
    <row r="1232" spans="1:9">
      <c r="A1232" s="12" t="str">
        <f>Absolute_Scores!A1232</f>
        <v>@tmcblog</v>
      </c>
      <c r="B1232" s="12" t="str">
        <f>Absolute_Scores!B1232</f>
        <v>Instagram</v>
      </c>
      <c r="C1232" s="29">
        <f>Absolute_Scores!D1232</f>
        <v>32</v>
      </c>
      <c r="D1232" s="30">
        <f t="shared" si="49"/>
        <v>40</v>
      </c>
      <c r="F1232" s="12" t="str">
        <f>Absolute_Scores!F1232</f>
        <v>@heruahmaja</v>
      </c>
      <c r="G1232" s="12" t="str">
        <f>Absolute_Scores!G1232</f>
        <v>TikTok</v>
      </c>
      <c r="H1232" s="29">
        <f>Absolute_Scores!I1232</f>
        <v>50</v>
      </c>
      <c r="I1232" s="30">
        <f t="shared" si="50"/>
        <v>62.5</v>
      </c>
    </row>
    <row r="1233" spans="1:9">
      <c r="A1233" s="12" t="str">
        <f>Absolute_Scores!A1233</f>
        <v>@aiiyouvidh</v>
      </c>
      <c r="B1233" s="12" t="str">
        <f>Absolute_Scores!B1233</f>
        <v>Instagram</v>
      </c>
      <c r="C1233" s="29">
        <f>Absolute_Scores!D1233</f>
        <v>31</v>
      </c>
      <c r="D1233" s="30">
        <f t="shared" si="49"/>
        <v>38.75</v>
      </c>
      <c r="F1233" s="12" t="str">
        <f>Absolute_Scores!F1233</f>
        <v>@herustyler</v>
      </c>
      <c r="G1233" s="12" t="str">
        <f>Absolute_Scores!G1233</f>
        <v>TikTok</v>
      </c>
      <c r="H1233" s="29">
        <f>Absolute_Scores!I1233</f>
        <v>50</v>
      </c>
      <c r="I1233" s="30">
        <f t="shared" si="50"/>
        <v>62.5</v>
      </c>
    </row>
    <row r="1234" spans="1:9">
      <c r="A1234" s="12" t="str">
        <f>Absolute_Scores!A1234</f>
        <v>@demmyps_</v>
      </c>
      <c r="B1234" s="12" t="str">
        <f>Absolute_Scores!B1234</f>
        <v>Instagram</v>
      </c>
      <c r="C1234" s="29">
        <f>Absolute_Scores!D1234</f>
        <v>31</v>
      </c>
      <c r="D1234" s="30">
        <f t="shared" si="49"/>
        <v>38.75</v>
      </c>
      <c r="F1234" s="12" t="str">
        <f>Absolute_Scores!F1234</f>
        <v>@heyitsarshya</v>
      </c>
      <c r="G1234" s="12" t="str">
        <f>Absolute_Scores!G1234</f>
        <v>TikTok</v>
      </c>
      <c r="H1234" s="29">
        <f>Absolute_Scores!I1234</f>
        <v>50</v>
      </c>
      <c r="I1234" s="30">
        <f t="shared" si="50"/>
        <v>62.5</v>
      </c>
    </row>
    <row r="1235" spans="1:9">
      <c r="A1235" s="12" t="str">
        <f>Absolute_Scores!A1235</f>
        <v>@evyjuliana_</v>
      </c>
      <c r="B1235" s="12" t="str">
        <f>Absolute_Scores!B1235</f>
        <v>Instagram</v>
      </c>
      <c r="C1235" s="29">
        <f>Absolute_Scores!D1235</f>
        <v>31</v>
      </c>
      <c r="D1235" s="30">
        <f t="shared" si="49"/>
        <v>38.75</v>
      </c>
      <c r="F1235" s="12" t="str">
        <f>Absolute_Scores!F1235</f>
        <v>@heyitsciul</v>
      </c>
      <c r="G1235" s="12" t="str">
        <f>Absolute_Scores!G1235</f>
        <v>TikTok</v>
      </c>
      <c r="H1235" s="29">
        <f>Absolute_Scores!I1235</f>
        <v>50</v>
      </c>
      <c r="I1235" s="30">
        <f t="shared" si="50"/>
        <v>62.5</v>
      </c>
    </row>
    <row r="1236" spans="1:9">
      <c r="A1236" s="12" t="str">
        <f>Absolute_Scores!A1236</f>
        <v>@fitriani_rachmawati</v>
      </c>
      <c r="B1236" s="12" t="str">
        <f>Absolute_Scores!B1236</f>
        <v>Instagram</v>
      </c>
      <c r="C1236" s="29">
        <f>Absolute_Scores!D1236</f>
        <v>31</v>
      </c>
      <c r="D1236" s="30">
        <f t="shared" si="49"/>
        <v>38.75</v>
      </c>
      <c r="F1236" s="12" t="str">
        <f>Absolute_Scores!F1236</f>
        <v>@heyitsmarwa</v>
      </c>
      <c r="G1236" s="12" t="str">
        <f>Absolute_Scores!G1236</f>
        <v>Instagram</v>
      </c>
      <c r="H1236" s="29">
        <f>Absolute_Scores!I1236</f>
        <v>50</v>
      </c>
      <c r="I1236" s="30">
        <f t="shared" si="50"/>
        <v>62.5</v>
      </c>
    </row>
    <row r="1237" spans="1:9">
      <c r="A1237" s="12" t="str">
        <f>Absolute_Scores!A1237</f>
        <v>@justvita28</v>
      </c>
      <c r="B1237" s="12" t="str">
        <f>Absolute_Scores!B1237</f>
        <v>Instagram</v>
      </c>
      <c r="C1237" s="29">
        <f>Absolute_Scores!D1237</f>
        <v>31</v>
      </c>
      <c r="D1237" s="30">
        <f t="shared" si="49"/>
        <v>38.75</v>
      </c>
      <c r="F1237" s="12" t="str">
        <f>Absolute_Scores!F1237</f>
        <v>@heyoo.lin</v>
      </c>
      <c r="G1237" s="12" t="str">
        <f>Absolute_Scores!G1237</f>
        <v>TikTok</v>
      </c>
      <c r="H1237" s="29">
        <f>Absolute_Scores!I1237</f>
        <v>50</v>
      </c>
      <c r="I1237" s="30">
        <f t="shared" si="50"/>
        <v>62.5</v>
      </c>
    </row>
    <row r="1238" spans="1:9">
      <c r="A1238" s="12" t="str">
        <f>Absolute_Scores!A1238</f>
        <v>@meongculinary</v>
      </c>
      <c r="B1238" s="12" t="str">
        <f>Absolute_Scores!B1238</f>
        <v>Instagram</v>
      </c>
      <c r="C1238" s="29">
        <f>Absolute_Scores!D1238</f>
        <v>31</v>
      </c>
      <c r="D1238" s="30">
        <f t="shared" si="49"/>
        <v>38.75</v>
      </c>
      <c r="F1238" s="12" t="str">
        <f>Absolute_Scores!F1238</f>
        <v>@heyy.itsamee</v>
      </c>
      <c r="G1238" s="12" t="str">
        <f>Absolute_Scores!G1238</f>
        <v>Instagram</v>
      </c>
      <c r="H1238" s="29">
        <f>Absolute_Scores!I1238</f>
        <v>50</v>
      </c>
      <c r="I1238" s="30">
        <f t="shared" si="50"/>
        <v>62.5</v>
      </c>
    </row>
    <row r="1239" spans="1:9">
      <c r="A1239" s="12" t="str">
        <f>Absolute_Scores!A1239</f>
        <v>@r_amalia98</v>
      </c>
      <c r="B1239" s="12" t="str">
        <f>Absolute_Scores!B1239</f>
        <v>Instagram</v>
      </c>
      <c r="C1239" s="29">
        <f>Absolute_Scores!D1239</f>
        <v>31</v>
      </c>
      <c r="D1239" s="30">
        <f t="shared" si="49"/>
        <v>38.75</v>
      </c>
      <c r="F1239" s="12" t="str">
        <f>Absolute_Scores!F1239</f>
        <v>@heyyodila</v>
      </c>
      <c r="G1239" s="12" t="str">
        <f>Absolute_Scores!G1239</f>
        <v>TikTok</v>
      </c>
      <c r="H1239" s="29">
        <f>Absolute_Scores!I1239</f>
        <v>50</v>
      </c>
      <c r="I1239" s="30">
        <f t="shared" si="50"/>
        <v>62.5</v>
      </c>
    </row>
    <row r="1240" spans="1:9">
      <c r="A1240" s="12" t="str">
        <f>Absolute_Scores!A1240</f>
        <v>@al_uswa</v>
      </c>
      <c r="B1240" s="12" t="str">
        <f>Absolute_Scores!B1240</f>
        <v>Instagram</v>
      </c>
      <c r="C1240" s="29">
        <f>Absolute_Scores!D1240</f>
        <v>30</v>
      </c>
      <c r="D1240" s="30">
        <f t="shared" si="49"/>
        <v>37.5</v>
      </c>
      <c r="F1240" s="12" t="str">
        <f>Absolute_Scores!F1240</f>
        <v>@hi_armaida</v>
      </c>
      <c r="G1240" s="12" t="str">
        <f>Absolute_Scores!G1240</f>
        <v>TikTok</v>
      </c>
      <c r="H1240" s="29">
        <f>Absolute_Scores!I1240</f>
        <v>50</v>
      </c>
      <c r="I1240" s="30">
        <f t="shared" si="50"/>
        <v>62.5</v>
      </c>
    </row>
    <row r="1241" spans="1:9">
      <c r="A1241" s="12" t="str">
        <f>Absolute_Scores!A1241</f>
        <v>@erlina.ayu</v>
      </c>
      <c r="B1241" s="12" t="str">
        <f>Absolute_Scores!B1241</f>
        <v>Instagram</v>
      </c>
      <c r="C1241" s="29">
        <f>Absolute_Scores!D1241</f>
        <v>30</v>
      </c>
      <c r="D1241" s="30">
        <f t="shared" si="49"/>
        <v>37.5</v>
      </c>
      <c r="F1241" s="12" t="str">
        <f>Absolute_Scores!F1241</f>
        <v>@hilmy_zulvian</v>
      </c>
      <c r="G1241" s="12" t="str">
        <f>Absolute_Scores!G1241</f>
        <v>TikTok</v>
      </c>
      <c r="H1241" s="29">
        <f>Absolute_Scores!I1241</f>
        <v>50</v>
      </c>
      <c r="I1241" s="30">
        <f t="shared" si="50"/>
        <v>62.5</v>
      </c>
    </row>
    <row r="1242" spans="1:9">
      <c r="A1242" s="12" t="str">
        <f>Absolute_Scores!A1242</f>
        <v>@mrs.diah_kartika</v>
      </c>
      <c r="B1242" s="12" t="str">
        <f>Absolute_Scores!B1242</f>
        <v>Instagram</v>
      </c>
      <c r="C1242" s="29">
        <f>Absolute_Scores!D1242</f>
        <v>30</v>
      </c>
      <c r="D1242" s="30">
        <f t="shared" si="49"/>
        <v>37.5</v>
      </c>
      <c r="F1242" s="12" t="str">
        <f>Absolute_Scores!F1242</f>
        <v>@hilusiana</v>
      </c>
      <c r="G1242" s="12" t="str">
        <f>Absolute_Scores!G1242</f>
        <v>TikTok</v>
      </c>
      <c r="H1242" s="29">
        <f>Absolute_Scores!I1242</f>
        <v>50</v>
      </c>
      <c r="I1242" s="30">
        <f t="shared" si="50"/>
        <v>62.5</v>
      </c>
    </row>
    <row r="1243" spans="1:9">
      <c r="A1243" s="12" t="str">
        <f>Absolute_Scores!A1243</f>
        <v>@noniikiky</v>
      </c>
      <c r="B1243" s="12" t="str">
        <f>Absolute_Scores!B1243</f>
        <v>Instagram</v>
      </c>
      <c r="C1243" s="29">
        <f>Absolute_Scores!D1243</f>
        <v>30</v>
      </c>
      <c r="D1243" s="30">
        <f t="shared" si="49"/>
        <v>37.5</v>
      </c>
      <c r="F1243" s="12" t="str">
        <f>Absolute_Scores!F1243</f>
        <v>@hiwigooagain</v>
      </c>
      <c r="G1243" s="12" t="str">
        <f>Absolute_Scores!G1243</f>
        <v>TikTok</v>
      </c>
      <c r="H1243" s="29">
        <f>Absolute_Scores!I1243</f>
        <v>50</v>
      </c>
      <c r="I1243" s="30">
        <f t="shared" si="50"/>
        <v>62.5</v>
      </c>
    </row>
    <row r="1244" spans="1:9">
      <c r="A1244" s="12" t="str">
        <f>Absolute_Scores!A1244</f>
        <v>@abednego_n</v>
      </c>
      <c r="B1244" s="12" t="str">
        <f>Absolute_Scores!B1244</f>
        <v>Instagram</v>
      </c>
      <c r="C1244" s="29">
        <f>Absolute_Scores!D1244</f>
        <v>29</v>
      </c>
      <c r="D1244" s="30">
        <f t="shared" si="49"/>
        <v>36.25</v>
      </c>
      <c r="F1244" s="12" t="str">
        <f>Absolute_Scores!F1244</f>
        <v>@hizkiia.s</v>
      </c>
      <c r="G1244" s="12" t="str">
        <f>Absolute_Scores!G1244</f>
        <v>Instagram</v>
      </c>
      <c r="H1244" s="29">
        <f>Absolute_Scores!I1244</f>
        <v>50</v>
      </c>
      <c r="I1244" s="30">
        <f t="shared" si="50"/>
        <v>62.5</v>
      </c>
    </row>
    <row r="1245" spans="1:9">
      <c r="A1245" s="12" t="str">
        <f>Absolute_Scores!A1245</f>
        <v>@deliciousbali</v>
      </c>
      <c r="B1245" s="12" t="str">
        <f>Absolute_Scores!B1245</f>
        <v>Instagram</v>
      </c>
      <c r="C1245" s="29">
        <f>Absolute_Scores!D1245</f>
        <v>26</v>
      </c>
      <c r="D1245" s="30">
        <f t="shared" si="49"/>
        <v>32.5</v>
      </c>
      <c r="F1245" s="12" t="str">
        <f>Absolute_Scores!F1245</f>
        <v>@hmangela02</v>
      </c>
      <c r="G1245" s="12" t="str">
        <f>Absolute_Scores!G1245</f>
        <v>Instagram</v>
      </c>
      <c r="H1245" s="29">
        <f>Absolute_Scores!I1245</f>
        <v>50</v>
      </c>
      <c r="I1245" s="30">
        <f t="shared" si="50"/>
        <v>62.5</v>
      </c>
    </row>
    <row r="1246" spans="1:9">
      <c r="A1246" s="12" t="str">
        <f>Absolute_Scores!A1246</f>
        <v>@kumpulanresepmasak</v>
      </c>
      <c r="B1246" s="12" t="str">
        <f>Absolute_Scores!B1246</f>
        <v>Instagram</v>
      </c>
      <c r="C1246" s="29">
        <f>Absolute_Scores!D1246</f>
        <v>26</v>
      </c>
      <c r="D1246" s="30">
        <f t="shared" si="49"/>
        <v>32.5</v>
      </c>
      <c r="F1246" s="12" t="str">
        <f>Absolute_Scores!F1246</f>
        <v>@houseofpamungkas</v>
      </c>
      <c r="G1246" s="12" t="str">
        <f>Absolute_Scores!G1246</f>
        <v>Instagram</v>
      </c>
      <c r="H1246" s="29">
        <f>Absolute_Scores!I1246</f>
        <v>50</v>
      </c>
      <c r="I1246" s="30">
        <f t="shared" si="50"/>
        <v>62.5</v>
      </c>
    </row>
    <row r="1247" spans="1:9">
      <c r="A1247" s="12" t="str">
        <f>Absolute_Scores!A1247</f>
        <v>@puputmitha_</v>
      </c>
      <c r="B1247" s="12" t="str">
        <f>Absolute_Scores!B1247</f>
        <v>Instagram</v>
      </c>
      <c r="C1247" s="29">
        <f>Absolute_Scores!D1247</f>
        <v>26</v>
      </c>
      <c r="D1247" s="30">
        <f t="shared" si="49"/>
        <v>32.5</v>
      </c>
      <c r="F1247" s="12" t="str">
        <f>Absolute_Scores!F1247</f>
        <v>@hoveryponen12</v>
      </c>
      <c r="G1247" s="12" t="str">
        <f>Absolute_Scores!G1247</f>
        <v>Instagram</v>
      </c>
      <c r="H1247" s="29">
        <f>Absolute_Scores!I1247</f>
        <v>50</v>
      </c>
      <c r="I1247" s="30">
        <f t="shared" si="50"/>
        <v>62.5</v>
      </c>
    </row>
    <row r="1248" spans="1:9">
      <c r="A1248" s="12" t="str">
        <f>Absolute_Scores!A1248</f>
        <v>@siresepbunda</v>
      </c>
      <c r="B1248" s="12" t="str">
        <f>Absolute_Scores!B1248</f>
        <v>Instagram</v>
      </c>
      <c r="C1248" s="29">
        <f>Absolute_Scores!D1248</f>
        <v>25</v>
      </c>
      <c r="D1248" s="30">
        <f t="shared" si="49"/>
        <v>31.25</v>
      </c>
      <c r="F1248" s="12" t="str">
        <f>Absolute_Scores!F1248</f>
        <v>@hufianafl</v>
      </c>
      <c r="G1248" s="12" t="str">
        <f>Absolute_Scores!G1248</f>
        <v>Instagram</v>
      </c>
      <c r="H1248" s="29">
        <f>Absolute_Scores!I1248</f>
        <v>50</v>
      </c>
      <c r="I1248" s="30">
        <f t="shared" si="50"/>
        <v>62.5</v>
      </c>
    </row>
    <row r="1249" spans="6:9">
      <c r="F1249" s="12" t="str">
        <f>Absolute_Scores!F1249</f>
        <v>@humairatushafa</v>
      </c>
      <c r="G1249" s="12" t="str">
        <f>Absolute_Scores!G1249</f>
        <v>TikTok</v>
      </c>
      <c r="H1249" s="29">
        <f>Absolute_Scores!I1249</f>
        <v>50</v>
      </c>
      <c r="I1249" s="30">
        <f t="shared" si="50"/>
        <v>62.5</v>
      </c>
    </row>
    <row r="1250" spans="6:9">
      <c r="F1250" s="12" t="str">
        <f>Absolute_Scores!F1250</f>
        <v>@humdyzyd</v>
      </c>
      <c r="G1250" s="12" t="str">
        <f>Absolute_Scores!G1250</f>
        <v>TikTok</v>
      </c>
      <c r="H1250" s="29">
        <f>Absolute_Scores!I1250</f>
        <v>50</v>
      </c>
      <c r="I1250" s="30">
        <f t="shared" si="50"/>
        <v>62.5</v>
      </c>
    </row>
    <row r="1251" spans="6:9">
      <c r="F1251" s="12" t="str">
        <f>Absolute_Scores!F1251</f>
        <v>@huningprastiwi</v>
      </c>
      <c r="G1251" s="12" t="str">
        <f>Absolute_Scores!G1251</f>
        <v>TikTok</v>
      </c>
      <c r="H1251" s="29">
        <f>Absolute_Scores!I1251</f>
        <v>50</v>
      </c>
      <c r="I1251" s="30">
        <f t="shared" si="50"/>
        <v>62.5</v>
      </c>
    </row>
    <row r="1252" spans="6:9">
      <c r="F1252" s="12" t="str">
        <f>Absolute_Scores!F1252</f>
        <v>@hxneybz</v>
      </c>
      <c r="G1252" s="12" t="str">
        <f>Absolute_Scores!G1252</f>
        <v>TikTok</v>
      </c>
      <c r="H1252" s="29">
        <f>Absolute_Scores!I1252</f>
        <v>50</v>
      </c>
      <c r="I1252" s="30">
        <f t="shared" si="50"/>
        <v>62.5</v>
      </c>
    </row>
    <row r="1253" spans="6:9">
      <c r="F1253" s="12" t="str">
        <f>Absolute_Scores!F1253</f>
        <v>@hyeiwn</v>
      </c>
      <c r="G1253" s="12" t="str">
        <f>Absolute_Scores!G1253</f>
        <v>TikTok</v>
      </c>
      <c r="H1253" s="29">
        <f>Absolute_Scores!I1253</f>
        <v>50</v>
      </c>
      <c r="I1253" s="30">
        <f t="shared" si="50"/>
        <v>62.5</v>
      </c>
    </row>
    <row r="1254" spans="6:9">
      <c r="F1254" s="12" t="str">
        <f>Absolute_Scores!F1254</f>
        <v>@hyemhyemla</v>
      </c>
      <c r="G1254" s="12" t="str">
        <f>Absolute_Scores!G1254</f>
        <v>TikTok</v>
      </c>
      <c r="H1254" s="29">
        <f>Absolute_Scores!I1254</f>
        <v>50</v>
      </c>
      <c r="I1254" s="30">
        <f t="shared" si="50"/>
        <v>62.5</v>
      </c>
    </row>
    <row r="1255" spans="6:9">
      <c r="F1255" s="12" t="str">
        <f>Absolute_Scores!F1255</f>
        <v>@hyly.angie</v>
      </c>
      <c r="G1255" s="12" t="str">
        <f>Absolute_Scores!G1255</f>
        <v>TikTok</v>
      </c>
      <c r="H1255" s="29">
        <f>Absolute_Scores!I1255</f>
        <v>50</v>
      </c>
      <c r="I1255" s="30">
        <f t="shared" si="50"/>
        <v>62.5</v>
      </c>
    </row>
    <row r="1256" spans="6:9">
      <c r="F1256" s="12" t="str">
        <f>Absolute_Scores!F1256</f>
        <v>@hypee.boyy</v>
      </c>
      <c r="G1256" s="12" t="str">
        <f>Absolute_Scores!G1256</f>
        <v>TikTok</v>
      </c>
      <c r="H1256" s="29">
        <f>Absolute_Scores!I1256</f>
        <v>50</v>
      </c>
      <c r="I1256" s="30">
        <f t="shared" si="50"/>
        <v>62.5</v>
      </c>
    </row>
    <row r="1257" spans="6:9">
      <c r="F1257" s="12" t="str">
        <f>Absolute_Scores!F1257</f>
        <v>@hythyrr</v>
      </c>
      <c r="G1257" s="12" t="str">
        <f>Absolute_Scores!G1257</f>
        <v>TikTok</v>
      </c>
      <c r="H1257" s="29">
        <f>Absolute_Scores!I1257</f>
        <v>50</v>
      </c>
      <c r="I1257" s="30">
        <f t="shared" si="50"/>
        <v>62.5</v>
      </c>
    </row>
    <row r="1258" spans="6:9">
      <c r="F1258" s="12" t="str">
        <f>Absolute_Scores!F1258</f>
        <v>@iaamsyn</v>
      </c>
      <c r="G1258" s="12" t="str">
        <f>Absolute_Scores!G1258</f>
        <v>TikTok</v>
      </c>
      <c r="H1258" s="29">
        <f>Absolute_Scores!I1258</f>
        <v>50</v>
      </c>
      <c r="I1258" s="30">
        <f t="shared" si="50"/>
        <v>62.5</v>
      </c>
    </row>
    <row r="1259" spans="6:9">
      <c r="F1259" s="12" t="str">
        <f>Absolute_Scores!F1259</f>
        <v>@iam_evole</v>
      </c>
      <c r="G1259" s="12" t="str">
        <f>Absolute_Scores!G1259</f>
        <v>Instagram</v>
      </c>
      <c r="H1259" s="29">
        <f>Absolute_Scores!I1259</f>
        <v>50</v>
      </c>
      <c r="I1259" s="30">
        <f t="shared" si="50"/>
        <v>62.5</v>
      </c>
    </row>
    <row r="1260" spans="6:9">
      <c r="F1260" s="12" t="str">
        <f>Absolute_Scores!F1260</f>
        <v>@iamferitaafr</v>
      </c>
      <c r="G1260" s="12" t="str">
        <f>Absolute_Scores!G1260</f>
        <v>TikTok</v>
      </c>
      <c r="H1260" s="29">
        <f>Absolute_Scores!I1260</f>
        <v>50</v>
      </c>
      <c r="I1260" s="30">
        <f t="shared" si="50"/>
        <v>62.5</v>
      </c>
    </row>
    <row r="1261" spans="6:9">
      <c r="F1261" s="12" t="str">
        <f>Absolute_Scores!F1261</f>
        <v>@iamhirman_</v>
      </c>
      <c r="G1261" s="12" t="str">
        <f>Absolute_Scores!G1261</f>
        <v>Instagram</v>
      </c>
      <c r="H1261" s="29">
        <f>Absolute_Scores!I1261</f>
        <v>50</v>
      </c>
      <c r="I1261" s="30">
        <f t="shared" si="50"/>
        <v>62.5</v>
      </c>
    </row>
    <row r="1262" spans="6:9">
      <c r="F1262" s="12" t="str">
        <f>Absolute_Scores!F1262</f>
        <v>@ibanana99</v>
      </c>
      <c r="G1262" s="12" t="str">
        <f>Absolute_Scores!G1262</f>
        <v>TikTok</v>
      </c>
      <c r="H1262" s="29">
        <f>Absolute_Scores!I1262</f>
        <v>50</v>
      </c>
      <c r="I1262" s="30">
        <f t="shared" si="50"/>
        <v>62.5</v>
      </c>
    </row>
    <row r="1263" spans="6:9">
      <c r="F1263" s="12" t="str">
        <f>Absolute_Scores!F1263</f>
        <v>@ibel_arumichy</v>
      </c>
      <c r="G1263" s="12" t="str">
        <f>Absolute_Scores!G1263</f>
        <v>Instagram</v>
      </c>
      <c r="H1263" s="29">
        <f>Absolute_Scores!I1263</f>
        <v>50</v>
      </c>
      <c r="I1263" s="30">
        <f t="shared" si="50"/>
        <v>62.5</v>
      </c>
    </row>
    <row r="1264" spans="6:9">
      <c r="F1264" s="12" t="str">
        <f>Absolute_Scores!F1264</f>
        <v>@ibuhajat123</v>
      </c>
      <c r="G1264" s="12" t="str">
        <f>Absolute_Scores!G1264</f>
        <v>TikTok</v>
      </c>
      <c r="H1264" s="29">
        <f>Absolute_Scores!I1264</f>
        <v>50</v>
      </c>
      <c r="I1264" s="30">
        <f t="shared" si="50"/>
        <v>62.5</v>
      </c>
    </row>
    <row r="1265" spans="6:9">
      <c r="F1265" s="12" t="str">
        <f>Absolute_Scores!F1265</f>
        <v>@ibuk.vanno</v>
      </c>
      <c r="G1265" s="12" t="str">
        <f>Absolute_Scores!G1265</f>
        <v>Instagram</v>
      </c>
      <c r="H1265" s="29">
        <f>Absolute_Scores!I1265</f>
        <v>50</v>
      </c>
      <c r="I1265" s="30">
        <f t="shared" si="50"/>
        <v>62.5</v>
      </c>
    </row>
    <row r="1266" spans="6:9">
      <c r="F1266" s="12" t="str">
        <f>Absolute_Scores!F1266</f>
        <v>@ibukhappy</v>
      </c>
      <c r="G1266" s="12" t="str">
        <f>Absolute_Scores!G1266</f>
        <v>Instagram</v>
      </c>
      <c r="H1266" s="29">
        <f>Absolute_Scores!I1266</f>
        <v>50</v>
      </c>
      <c r="I1266" s="30">
        <f t="shared" si="50"/>
        <v>62.5</v>
      </c>
    </row>
    <row r="1267" spans="6:9">
      <c r="F1267" s="12" t="str">
        <f>Absolute_Scores!F1267</f>
        <v>@ica_anisa05</v>
      </c>
      <c r="G1267" s="12" t="str">
        <f>Absolute_Scores!G1267</f>
        <v>Instagram</v>
      </c>
      <c r="H1267" s="29">
        <f>Absolute_Scores!I1267</f>
        <v>50</v>
      </c>
      <c r="I1267" s="30">
        <f t="shared" si="50"/>
        <v>62.5</v>
      </c>
    </row>
    <row r="1268" spans="6:9">
      <c r="F1268" s="12" t="str">
        <f>Absolute_Scores!F1268</f>
        <v>@icaaakim</v>
      </c>
      <c r="G1268" s="12" t="str">
        <f>Absolute_Scores!G1268</f>
        <v>TikTok</v>
      </c>
      <c r="H1268" s="29">
        <f>Absolute_Scores!I1268</f>
        <v>50</v>
      </c>
      <c r="I1268" s="30">
        <f t="shared" si="50"/>
        <v>62.5</v>
      </c>
    </row>
    <row r="1269" spans="6:9">
      <c r="F1269" s="12" t="str">
        <f>Absolute_Scores!F1269</f>
        <v>@iceddmatchalatteee</v>
      </c>
      <c r="G1269" s="12" t="str">
        <f>Absolute_Scores!G1269</f>
        <v>TikTok</v>
      </c>
      <c r="H1269" s="29">
        <f>Absolute_Scores!I1269</f>
        <v>50</v>
      </c>
      <c r="I1269" s="30">
        <f t="shared" si="50"/>
        <v>62.5</v>
      </c>
    </row>
    <row r="1270" spans="6:9">
      <c r="F1270" s="12" t="str">
        <f>Absolute_Scores!F1270</f>
        <v>@ichaam_s</v>
      </c>
      <c r="G1270" s="12" t="str">
        <f>Absolute_Scores!G1270</f>
        <v>TikTok</v>
      </c>
      <c r="H1270" s="29">
        <f>Absolute_Scores!I1270</f>
        <v>50</v>
      </c>
      <c r="I1270" s="30">
        <f t="shared" si="50"/>
        <v>62.5</v>
      </c>
    </row>
    <row r="1271" spans="6:9">
      <c r="F1271" s="12" t="str">
        <f>Absolute_Scores!F1271</f>
        <v>@ichanovtiana</v>
      </c>
      <c r="G1271" s="12" t="str">
        <f>Absolute_Scores!G1271</f>
        <v>TikTok</v>
      </c>
      <c r="H1271" s="29">
        <f>Absolute_Scores!I1271</f>
        <v>50</v>
      </c>
      <c r="I1271" s="30">
        <f t="shared" si="50"/>
        <v>62.5</v>
      </c>
    </row>
    <row r="1272" spans="6:9">
      <c r="F1272" s="12" t="str">
        <f>Absolute_Scores!F1272</f>
        <v>@ichsansahrul</v>
      </c>
      <c r="G1272" s="12" t="str">
        <f>Absolute_Scores!G1272</f>
        <v>TikTok</v>
      </c>
      <c r="H1272" s="29">
        <f>Absolute_Scores!I1272</f>
        <v>50</v>
      </c>
      <c r="I1272" s="30">
        <f t="shared" si="50"/>
        <v>62.5</v>
      </c>
    </row>
    <row r="1273" spans="6:9">
      <c r="F1273" s="12" t="str">
        <f>Absolute_Scores!F1273</f>
        <v>@icindanjoy1</v>
      </c>
      <c r="G1273" s="12" t="str">
        <f>Absolute_Scores!G1273</f>
        <v>TikTok</v>
      </c>
      <c r="H1273" s="29">
        <f>Absolute_Scores!I1273</f>
        <v>50</v>
      </c>
      <c r="I1273" s="30">
        <f t="shared" si="50"/>
        <v>62.5</v>
      </c>
    </row>
    <row r="1274" spans="6:9">
      <c r="F1274" s="12" t="str">
        <f>Absolute_Scores!F1274</f>
        <v>@idaakwariah</v>
      </c>
      <c r="G1274" s="12" t="str">
        <f>Absolute_Scores!G1274</f>
        <v>Instagram</v>
      </c>
      <c r="H1274" s="29">
        <f>Absolute_Scores!I1274</f>
        <v>50</v>
      </c>
      <c r="I1274" s="30">
        <f t="shared" si="50"/>
        <v>62.5</v>
      </c>
    </row>
    <row r="1275" spans="6:9">
      <c r="F1275" s="12" t="str">
        <f>Absolute_Scores!F1275</f>
        <v>@idanursiani1</v>
      </c>
      <c r="G1275" s="12" t="str">
        <f>Absolute_Scores!G1275</f>
        <v>TikTok</v>
      </c>
      <c r="H1275" s="29">
        <f>Absolute_Scores!I1275</f>
        <v>50</v>
      </c>
      <c r="I1275" s="30">
        <f t="shared" si="50"/>
        <v>62.5</v>
      </c>
    </row>
    <row r="1276" spans="6:9">
      <c r="F1276" s="12" t="str">
        <f>Absolute_Scores!F1276</f>
        <v>@idawsafitri</v>
      </c>
      <c r="G1276" s="12" t="str">
        <f>Absolute_Scores!G1276</f>
        <v>Instagram</v>
      </c>
      <c r="H1276" s="29">
        <f>Absolute_Scores!I1276</f>
        <v>50</v>
      </c>
      <c r="I1276" s="30">
        <f t="shared" si="50"/>
        <v>62.5</v>
      </c>
    </row>
    <row r="1277" spans="6:9">
      <c r="F1277" s="12" t="str">
        <f>Absolute_Scores!F1277</f>
        <v>@ifahalifah</v>
      </c>
      <c r="G1277" s="12" t="str">
        <f>Absolute_Scores!G1277</f>
        <v>Instagram</v>
      </c>
      <c r="H1277" s="29">
        <f>Absolute_Scores!I1277</f>
        <v>50</v>
      </c>
      <c r="I1277" s="30">
        <f t="shared" si="50"/>
        <v>62.5</v>
      </c>
    </row>
    <row r="1278" spans="6:9">
      <c r="F1278" s="12" t="str">
        <f>Absolute_Scores!F1278</f>
        <v>@ifmaa_</v>
      </c>
      <c r="G1278" s="12" t="str">
        <f>Absolute_Scores!G1278</f>
        <v>Instagram</v>
      </c>
      <c r="H1278" s="29">
        <f>Absolute_Scores!I1278</f>
        <v>50</v>
      </c>
      <c r="I1278" s="30">
        <f t="shared" si="50"/>
        <v>62.5</v>
      </c>
    </row>
    <row r="1279" spans="6:9">
      <c r="F1279" s="12" t="str">
        <f>Absolute_Scores!F1279</f>
        <v>@iftinassya.rf</v>
      </c>
      <c r="G1279" s="12" t="str">
        <f>Absolute_Scores!G1279</f>
        <v>Instagram</v>
      </c>
      <c r="H1279" s="29">
        <f>Absolute_Scores!I1279</f>
        <v>50</v>
      </c>
      <c r="I1279" s="30">
        <f t="shared" si="50"/>
        <v>62.5</v>
      </c>
    </row>
    <row r="1280" spans="6:9">
      <c r="F1280" s="12" t="str">
        <f>Absolute_Scores!F1280</f>
        <v>@iga.pertamasari</v>
      </c>
      <c r="G1280" s="12" t="str">
        <f>Absolute_Scores!G1280</f>
        <v>Instagram</v>
      </c>
      <c r="H1280" s="29">
        <f>Absolute_Scores!I1280</f>
        <v>50</v>
      </c>
      <c r="I1280" s="30">
        <f t="shared" si="50"/>
        <v>62.5</v>
      </c>
    </row>
    <row r="1281" spans="6:9">
      <c r="F1281" s="12" t="str">
        <f>Absolute_Scores!F1281</f>
        <v>@igandhika23</v>
      </c>
      <c r="G1281" s="12" t="str">
        <f>Absolute_Scores!G1281</f>
        <v>TikTok</v>
      </c>
      <c r="H1281" s="29">
        <f>Absolute_Scores!I1281</f>
        <v>50</v>
      </c>
      <c r="I1281" s="30">
        <f t="shared" si="50"/>
        <v>62.5</v>
      </c>
    </row>
    <row r="1282" spans="6:9">
      <c r="F1282" s="12" t="str">
        <f>Absolute_Scores!F1282</f>
        <v>@ihipitih</v>
      </c>
      <c r="G1282" s="12" t="str">
        <f>Absolute_Scores!G1282</f>
        <v>TikTok</v>
      </c>
      <c r="H1282" s="29">
        <f>Absolute_Scores!I1282</f>
        <v>50</v>
      </c>
      <c r="I1282" s="30">
        <f t="shared" si="50"/>
        <v>62.5</v>
      </c>
    </row>
    <row r="1283" spans="6:9">
      <c r="F1283" s="12" t="str">
        <f>Absolute_Scores!F1283</f>
        <v>@ihsan.hafifi</v>
      </c>
      <c r="G1283" s="12" t="str">
        <f>Absolute_Scores!G1283</f>
        <v>Instagram</v>
      </c>
      <c r="H1283" s="29">
        <f>Absolute_Scores!I1283</f>
        <v>50</v>
      </c>
      <c r="I1283" s="30">
        <f t="shared" si="50"/>
        <v>62.5</v>
      </c>
    </row>
    <row r="1284" spans="6:9">
      <c r="F1284" s="12" t="str">
        <f>Absolute_Scores!F1284</f>
        <v>@iid_msaidah</v>
      </c>
      <c r="G1284" s="12" t="str">
        <f>Absolute_Scores!G1284</f>
        <v>Instagram</v>
      </c>
      <c r="H1284" s="29">
        <f>Absolute_Scores!I1284</f>
        <v>50</v>
      </c>
      <c r="I1284" s="30">
        <f t="shared" si="50"/>
        <v>62.5</v>
      </c>
    </row>
    <row r="1285" spans="6:9">
      <c r="F1285" s="12" t="str">
        <f>Absolute_Scores!F1285</f>
        <v>@iindindriani</v>
      </c>
      <c r="G1285" s="12" t="str">
        <f>Absolute_Scores!G1285</f>
        <v>Instagram</v>
      </c>
      <c r="H1285" s="29">
        <f>Absolute_Scores!I1285</f>
        <v>50</v>
      </c>
      <c r="I1285" s="30">
        <f t="shared" si="50"/>
        <v>62.5</v>
      </c>
    </row>
    <row r="1286" spans="6:9">
      <c r="F1286" s="12" t="str">
        <f>Absolute_Scores!F1286</f>
        <v>@iipehepii</v>
      </c>
      <c r="G1286" s="12" t="str">
        <f>Absolute_Scores!G1286</f>
        <v>TikTok</v>
      </c>
      <c r="H1286" s="29">
        <f>Absolute_Scores!I1286</f>
        <v>50</v>
      </c>
      <c r="I1286" s="30">
        <f t="shared" ref="I1286:I1349" si="51">ROUND(H1286/$I$4*100,2)</f>
        <v>62.5</v>
      </c>
    </row>
    <row r="1287" spans="6:9">
      <c r="F1287" s="12" t="str">
        <f>Absolute_Scores!F1287</f>
        <v>@ika.chan6</v>
      </c>
      <c r="G1287" s="12" t="str">
        <f>Absolute_Scores!G1287</f>
        <v>Instagram</v>
      </c>
      <c r="H1287" s="29">
        <f>Absolute_Scores!I1287</f>
        <v>50</v>
      </c>
      <c r="I1287" s="30">
        <f t="shared" si="51"/>
        <v>62.5</v>
      </c>
    </row>
    <row r="1288" spans="6:9">
      <c r="F1288" s="12" t="str">
        <f>Absolute_Scores!F1288</f>
        <v>@ika66_</v>
      </c>
      <c r="G1288" s="12" t="str">
        <f>Absolute_Scores!G1288</f>
        <v>Instagram</v>
      </c>
      <c r="H1288" s="29">
        <f>Absolute_Scores!I1288</f>
        <v>50</v>
      </c>
      <c r="I1288" s="30">
        <f t="shared" si="51"/>
        <v>62.5</v>
      </c>
    </row>
    <row r="1289" spans="6:9">
      <c r="F1289" s="12" t="str">
        <f>Absolute_Scores!F1289</f>
        <v>@ikaastriekartika4</v>
      </c>
      <c r="G1289" s="12" t="str">
        <f>Absolute_Scores!G1289</f>
        <v>TikTok</v>
      </c>
      <c r="H1289" s="29">
        <f>Absolute_Scores!I1289</f>
        <v>50</v>
      </c>
      <c r="I1289" s="30">
        <f t="shared" si="51"/>
        <v>62.5</v>
      </c>
    </row>
    <row r="1290" spans="6:9">
      <c r="F1290" s="12" t="str">
        <f>Absolute_Scores!F1290</f>
        <v>@ikafnursani</v>
      </c>
      <c r="G1290" s="12" t="str">
        <f>Absolute_Scores!G1290</f>
        <v>Instagram</v>
      </c>
      <c r="H1290" s="29">
        <f>Absolute_Scores!I1290</f>
        <v>50</v>
      </c>
      <c r="I1290" s="30">
        <f t="shared" si="51"/>
        <v>62.5</v>
      </c>
    </row>
    <row r="1291" spans="6:9">
      <c r="F1291" s="12" t="str">
        <f>Absolute_Scores!F1291</f>
        <v>@ike.m.ayu</v>
      </c>
      <c r="G1291" s="12" t="str">
        <f>Absolute_Scores!G1291</f>
        <v>TikTok</v>
      </c>
      <c r="H1291" s="29">
        <f>Absolute_Scores!I1291</f>
        <v>50</v>
      </c>
      <c r="I1291" s="30">
        <f t="shared" si="51"/>
        <v>62.5</v>
      </c>
    </row>
    <row r="1292" spans="6:9">
      <c r="F1292" s="12" t="str">
        <f>Absolute_Scores!F1292</f>
        <v>@ikeaini10</v>
      </c>
      <c r="G1292" s="12" t="str">
        <f>Absolute_Scores!G1292</f>
        <v>Instagram</v>
      </c>
      <c r="H1292" s="29">
        <f>Absolute_Scores!I1292</f>
        <v>50</v>
      </c>
      <c r="I1292" s="30">
        <f t="shared" si="51"/>
        <v>62.5</v>
      </c>
    </row>
    <row r="1293" spans="6:9">
      <c r="F1293" s="12" t="str">
        <f>Absolute_Scores!F1293</f>
        <v>@ikka.em</v>
      </c>
      <c r="G1293" s="12" t="str">
        <f>Absolute_Scores!G1293</f>
        <v>TikTok</v>
      </c>
      <c r="H1293" s="29">
        <f>Absolute_Scores!I1293</f>
        <v>50</v>
      </c>
      <c r="I1293" s="30">
        <f t="shared" si="51"/>
        <v>62.5</v>
      </c>
    </row>
    <row r="1294" spans="6:9">
      <c r="F1294" s="12" t="str">
        <f>Absolute_Scores!F1294</f>
        <v>@ilfa_ubayya</v>
      </c>
      <c r="G1294" s="12" t="str">
        <f>Absolute_Scores!G1294</f>
        <v>Instagram</v>
      </c>
      <c r="H1294" s="29">
        <f>Absolute_Scores!I1294</f>
        <v>50</v>
      </c>
      <c r="I1294" s="30">
        <f t="shared" si="51"/>
        <v>62.5</v>
      </c>
    </row>
    <row r="1295" spans="6:9">
      <c r="F1295" s="12" t="str">
        <f>Absolute_Scores!F1295</f>
        <v>@ilfinsight</v>
      </c>
      <c r="G1295" s="12" t="str">
        <f>Absolute_Scores!G1295</f>
        <v>TikTok</v>
      </c>
      <c r="H1295" s="29">
        <f>Absolute_Scores!I1295</f>
        <v>50</v>
      </c>
      <c r="I1295" s="30">
        <f t="shared" si="51"/>
        <v>62.5</v>
      </c>
    </row>
    <row r="1296" spans="6:9">
      <c r="F1296" s="12" t="str">
        <f>Absolute_Scores!F1296</f>
        <v>@im.jenniey</v>
      </c>
      <c r="G1296" s="12" t="str">
        <f>Absolute_Scores!G1296</f>
        <v>Instagram</v>
      </c>
      <c r="H1296" s="29">
        <f>Absolute_Scores!I1296</f>
        <v>50</v>
      </c>
      <c r="I1296" s="30">
        <f t="shared" si="51"/>
        <v>62.5</v>
      </c>
    </row>
    <row r="1297" spans="6:9">
      <c r="F1297" s="12" t="str">
        <f>Absolute_Scores!F1297</f>
        <v>@imaa19</v>
      </c>
      <c r="G1297" s="12" t="str">
        <f>Absolute_Scores!G1297</f>
        <v>Instagram</v>
      </c>
      <c r="H1297" s="29">
        <f>Absolute_Scores!I1297</f>
        <v>50</v>
      </c>
      <c r="I1297" s="30">
        <f t="shared" si="51"/>
        <v>62.5</v>
      </c>
    </row>
    <row r="1298" spans="6:9">
      <c r="F1298" s="12" t="str">
        <f>Absolute_Scores!F1298</f>
        <v>@imeldadwl_</v>
      </c>
      <c r="G1298" s="12" t="str">
        <f>Absolute_Scores!G1298</f>
        <v>TikTok</v>
      </c>
      <c r="H1298" s="29">
        <f>Absolute_Scores!I1298</f>
        <v>50</v>
      </c>
      <c r="I1298" s="30">
        <f t="shared" si="51"/>
        <v>62.5</v>
      </c>
    </row>
    <row r="1299" spans="6:9">
      <c r="F1299" s="12" t="str">
        <f>Absolute_Scores!F1299</f>
        <v>@imoyazura16</v>
      </c>
      <c r="G1299" s="12" t="str">
        <f>Absolute_Scores!G1299</f>
        <v>Instagram</v>
      </c>
      <c r="H1299" s="29">
        <f>Absolute_Scores!I1299</f>
        <v>50</v>
      </c>
      <c r="I1299" s="30">
        <f t="shared" si="51"/>
        <v>62.5</v>
      </c>
    </row>
    <row r="1300" spans="6:9">
      <c r="F1300" s="12" t="str">
        <f>Absolute_Scores!F1300</f>
        <v>@inayofina</v>
      </c>
      <c r="G1300" s="12" t="str">
        <f>Absolute_Scores!G1300</f>
        <v>TikTok</v>
      </c>
      <c r="H1300" s="29">
        <f>Absolute_Scores!I1300</f>
        <v>50</v>
      </c>
      <c r="I1300" s="30">
        <f t="shared" si="51"/>
        <v>62.5</v>
      </c>
    </row>
    <row r="1301" spans="6:9">
      <c r="F1301" s="12" t="str">
        <f>Absolute_Scores!F1301</f>
        <v>@indaaindodd</v>
      </c>
      <c r="G1301" s="12" t="str">
        <f>Absolute_Scores!G1301</f>
        <v>Instagram</v>
      </c>
      <c r="H1301" s="29">
        <f>Absolute_Scores!I1301</f>
        <v>50</v>
      </c>
      <c r="I1301" s="30">
        <f t="shared" si="51"/>
        <v>62.5</v>
      </c>
    </row>
    <row r="1302" spans="6:9">
      <c r="F1302" s="12" t="str">
        <f>Absolute_Scores!F1302</f>
        <v>@indah.viryasvastika</v>
      </c>
      <c r="G1302" s="12" t="str">
        <f>Absolute_Scores!G1302</f>
        <v>Instagram</v>
      </c>
      <c r="H1302" s="29">
        <f>Absolute_Scores!I1302</f>
        <v>50</v>
      </c>
      <c r="I1302" s="30">
        <f t="shared" si="51"/>
        <v>62.5</v>
      </c>
    </row>
    <row r="1303" spans="6:9">
      <c r="F1303" s="12" t="str">
        <f>Absolute_Scores!F1303</f>
        <v>@indahabby</v>
      </c>
      <c r="G1303" s="12" t="str">
        <f>Absolute_Scores!G1303</f>
        <v>Instagram</v>
      </c>
      <c r="H1303" s="29">
        <f>Absolute_Scores!I1303</f>
        <v>50</v>
      </c>
      <c r="I1303" s="30">
        <f t="shared" si="51"/>
        <v>62.5</v>
      </c>
    </row>
    <row r="1304" spans="6:9">
      <c r="F1304" s="12" t="str">
        <f>Absolute_Scores!F1304</f>
        <v>@indahindys</v>
      </c>
      <c r="G1304" s="12" t="str">
        <f>Absolute_Scores!G1304</f>
        <v>TikTok</v>
      </c>
      <c r="H1304" s="29">
        <f>Absolute_Scores!I1304</f>
        <v>50</v>
      </c>
      <c r="I1304" s="30">
        <f t="shared" si="51"/>
        <v>62.5</v>
      </c>
    </row>
    <row r="1305" spans="6:9">
      <c r="F1305" s="12" t="str">
        <f>Absolute_Scores!F1305</f>
        <v>@indahmegaa1</v>
      </c>
      <c r="G1305" s="12" t="str">
        <f>Absolute_Scores!G1305</f>
        <v>TikTok</v>
      </c>
      <c r="H1305" s="29">
        <f>Absolute_Scores!I1305</f>
        <v>50</v>
      </c>
      <c r="I1305" s="30">
        <f t="shared" si="51"/>
        <v>62.5</v>
      </c>
    </row>
    <row r="1306" spans="6:9">
      <c r="F1306" s="12" t="str">
        <f>Absolute_Scores!F1306</f>
        <v>@indahoctria</v>
      </c>
      <c r="G1306" s="12" t="str">
        <f>Absolute_Scores!G1306</f>
        <v>Instagram</v>
      </c>
      <c r="H1306" s="29">
        <f>Absolute_Scores!I1306</f>
        <v>50</v>
      </c>
      <c r="I1306" s="30">
        <f t="shared" si="51"/>
        <v>62.5</v>
      </c>
    </row>
    <row r="1307" spans="6:9">
      <c r="F1307" s="12" t="str">
        <f>Absolute_Scores!F1307</f>
        <v>@indahrezkinatasya</v>
      </c>
      <c r="G1307" s="12" t="str">
        <f>Absolute_Scores!G1307</f>
        <v>Instagram</v>
      </c>
      <c r="H1307" s="29">
        <f>Absolute_Scores!I1307</f>
        <v>50</v>
      </c>
      <c r="I1307" s="30">
        <f t="shared" si="51"/>
        <v>62.5</v>
      </c>
    </row>
    <row r="1308" spans="6:9">
      <c r="F1308" s="12" t="str">
        <f>Absolute_Scores!F1308</f>
        <v>@indahrizkiani.kiki</v>
      </c>
      <c r="G1308" s="12" t="str">
        <f>Absolute_Scores!G1308</f>
        <v>Instagram</v>
      </c>
      <c r="H1308" s="29">
        <f>Absolute_Scores!I1308</f>
        <v>50</v>
      </c>
      <c r="I1308" s="30">
        <f t="shared" si="51"/>
        <v>62.5</v>
      </c>
    </row>
    <row r="1309" spans="6:9">
      <c r="F1309" s="12" t="str">
        <f>Absolute_Scores!F1309</f>
        <v>@indahsulis_s</v>
      </c>
      <c r="G1309" s="12" t="str">
        <f>Absolute_Scores!G1309</f>
        <v>Instagram</v>
      </c>
      <c r="H1309" s="29">
        <f>Absolute_Scores!I1309</f>
        <v>50</v>
      </c>
      <c r="I1309" s="30">
        <f t="shared" si="51"/>
        <v>62.5</v>
      </c>
    </row>
    <row r="1310" spans="6:9">
      <c r="F1310" s="12" t="str">
        <f>Absolute_Scores!F1310</f>
        <v>@indahtede_</v>
      </c>
      <c r="G1310" s="12" t="str">
        <f>Absolute_Scores!G1310</f>
        <v>Instagram</v>
      </c>
      <c r="H1310" s="29">
        <f>Absolute_Scores!I1310</f>
        <v>50</v>
      </c>
      <c r="I1310" s="30">
        <f t="shared" si="51"/>
        <v>62.5</v>
      </c>
    </row>
    <row r="1311" spans="6:9">
      <c r="F1311" s="12" t="str">
        <f>Absolute_Scores!F1311</f>
        <v>@indaindi</v>
      </c>
      <c r="G1311" s="12" t="str">
        <f>Absolute_Scores!G1311</f>
        <v>Instagram</v>
      </c>
      <c r="H1311" s="29">
        <f>Absolute_Scores!I1311</f>
        <v>50</v>
      </c>
      <c r="I1311" s="30">
        <f t="shared" si="51"/>
        <v>62.5</v>
      </c>
    </row>
    <row r="1312" spans="6:9">
      <c r="F1312" s="12" t="str">
        <f>Absolute_Scores!F1312</f>
        <v>@indhoktv8</v>
      </c>
      <c r="G1312" s="12" t="str">
        <f>Absolute_Scores!G1312</f>
        <v>TikTok</v>
      </c>
      <c r="H1312" s="29">
        <f>Absolute_Scores!I1312</f>
        <v>50</v>
      </c>
      <c r="I1312" s="30">
        <f t="shared" si="51"/>
        <v>62.5</v>
      </c>
    </row>
    <row r="1313" spans="6:9">
      <c r="F1313" s="12" t="str">
        <f>Absolute_Scores!F1313</f>
        <v>@indiranand</v>
      </c>
      <c r="G1313" s="12" t="str">
        <f>Absolute_Scores!G1313</f>
        <v>Instagram</v>
      </c>
      <c r="H1313" s="29">
        <f>Absolute_Scores!I1313</f>
        <v>50</v>
      </c>
      <c r="I1313" s="30">
        <f t="shared" si="51"/>
        <v>62.5</v>
      </c>
    </row>
    <row r="1314" spans="6:9">
      <c r="F1314" s="12" t="str">
        <f>Absolute_Scores!F1314</f>
        <v>@indonesia.netizen</v>
      </c>
      <c r="G1314" s="12" t="str">
        <f>Absolute_Scores!G1314</f>
        <v>TikTok</v>
      </c>
      <c r="H1314" s="29">
        <f>Absolute_Scores!I1314</f>
        <v>50</v>
      </c>
      <c r="I1314" s="30">
        <f t="shared" si="51"/>
        <v>62.5</v>
      </c>
    </row>
    <row r="1315" spans="6:9">
      <c r="F1315" s="12" t="str">
        <f>Absolute_Scores!F1315</f>
        <v>@indrianilaila</v>
      </c>
      <c r="G1315" s="12" t="str">
        <f>Absolute_Scores!G1315</f>
        <v>Instagram</v>
      </c>
      <c r="H1315" s="29">
        <f>Absolute_Scores!I1315</f>
        <v>50</v>
      </c>
      <c r="I1315" s="30">
        <f t="shared" si="51"/>
        <v>62.5</v>
      </c>
    </row>
    <row r="1316" spans="6:9">
      <c r="F1316" s="12" t="str">
        <f>Absolute_Scores!F1316</f>
        <v>@indriarianti</v>
      </c>
      <c r="G1316" s="12" t="str">
        <f>Absolute_Scores!G1316</f>
        <v>Instagram</v>
      </c>
      <c r="H1316" s="29">
        <f>Absolute_Scores!I1316</f>
        <v>50</v>
      </c>
      <c r="I1316" s="30">
        <f t="shared" si="51"/>
        <v>62.5</v>
      </c>
    </row>
    <row r="1317" spans="6:9">
      <c r="F1317" s="12" t="str">
        <f>Absolute_Scores!F1317</f>
        <v>@indriwidiartii</v>
      </c>
      <c r="G1317" s="12" t="str">
        <f>Absolute_Scores!G1317</f>
        <v>Instagram</v>
      </c>
      <c r="H1317" s="29">
        <f>Absolute_Scores!I1317</f>
        <v>50</v>
      </c>
      <c r="I1317" s="30">
        <f t="shared" si="51"/>
        <v>62.5</v>
      </c>
    </row>
    <row r="1318" spans="6:9">
      <c r="F1318" s="12" t="str">
        <f>Absolute_Scores!F1318</f>
        <v>@ineesbrna</v>
      </c>
      <c r="G1318" s="12" t="str">
        <f>Absolute_Scores!G1318</f>
        <v>Instagram</v>
      </c>
      <c r="H1318" s="29">
        <f>Absolute_Scores!I1318</f>
        <v>50</v>
      </c>
      <c r="I1318" s="30">
        <f t="shared" si="51"/>
        <v>62.5</v>
      </c>
    </row>
    <row r="1319" spans="6:9">
      <c r="F1319" s="12" t="str">
        <f>Absolute_Scores!F1319</f>
        <v>@inem_laundry</v>
      </c>
      <c r="G1319" s="12" t="str">
        <f>Absolute_Scores!G1319</f>
        <v>TikTok</v>
      </c>
      <c r="H1319" s="29">
        <f>Absolute_Scores!I1319</f>
        <v>50</v>
      </c>
      <c r="I1319" s="30">
        <f t="shared" si="51"/>
        <v>62.5</v>
      </c>
    </row>
    <row r="1320" spans="6:9">
      <c r="F1320" s="12" t="str">
        <f>Absolute_Scores!F1320</f>
        <v>@infocbng</v>
      </c>
      <c r="G1320" s="12" t="str">
        <f>Absolute_Scores!G1320</f>
        <v>Instagram</v>
      </c>
      <c r="H1320" s="29">
        <f>Absolute_Scores!I1320</f>
        <v>50</v>
      </c>
      <c r="I1320" s="30">
        <f t="shared" si="51"/>
        <v>62.5</v>
      </c>
    </row>
    <row r="1321" spans="6:9">
      <c r="F1321" s="12" t="str">
        <f>Absolute_Scores!F1321</f>
        <v>@inggridea</v>
      </c>
      <c r="G1321" s="12" t="str">
        <f>Absolute_Scores!G1321</f>
        <v>Instagram</v>
      </c>
      <c r="H1321" s="29">
        <f>Absolute_Scores!I1321</f>
        <v>50</v>
      </c>
      <c r="I1321" s="30">
        <f t="shared" si="51"/>
        <v>62.5</v>
      </c>
    </row>
    <row r="1322" spans="6:9">
      <c r="F1322" s="12" t="str">
        <f>Absolute_Scores!F1322</f>
        <v>@ini_mamet</v>
      </c>
      <c r="G1322" s="12" t="str">
        <f>Absolute_Scores!G1322</f>
        <v>TikTok</v>
      </c>
      <c r="H1322" s="29">
        <f>Absolute_Scores!I1322</f>
        <v>50</v>
      </c>
      <c r="I1322" s="30">
        <f t="shared" si="51"/>
        <v>62.5</v>
      </c>
    </row>
    <row r="1323" spans="6:9">
      <c r="F1323" s="12" t="str">
        <f>Absolute_Scores!F1323</f>
        <v>@iniakunitaa_</v>
      </c>
      <c r="G1323" s="12" t="str">
        <f>Absolute_Scores!G1323</f>
        <v>TikTok</v>
      </c>
      <c r="H1323" s="29">
        <f>Absolute_Scores!I1323</f>
        <v>50</v>
      </c>
      <c r="I1323" s="30">
        <f t="shared" si="51"/>
        <v>62.5</v>
      </c>
    </row>
    <row r="1324" spans="6:9">
      <c r="F1324" s="12" t="str">
        <f>Absolute_Scores!F1324</f>
        <v>@iniakunitaa__</v>
      </c>
      <c r="G1324" s="12" t="str">
        <f>Absolute_Scores!G1324</f>
        <v>Instagram</v>
      </c>
      <c r="H1324" s="29">
        <f>Absolute_Scores!I1324</f>
        <v>50</v>
      </c>
      <c r="I1324" s="30">
        <f t="shared" si="51"/>
        <v>62.5</v>
      </c>
    </row>
    <row r="1325" spans="6:9">
      <c r="F1325" s="12" t="str">
        <f>Absolute_Scores!F1325</f>
        <v>@inidivyy</v>
      </c>
      <c r="G1325" s="12" t="str">
        <f>Absolute_Scores!G1325</f>
        <v>TikTok</v>
      </c>
      <c r="H1325" s="29">
        <f>Absolute_Scores!I1325</f>
        <v>50</v>
      </c>
      <c r="I1325" s="30">
        <f t="shared" si="51"/>
        <v>62.5</v>
      </c>
    </row>
    <row r="1326" spans="6:9">
      <c r="F1326" s="12" t="str">
        <f>Absolute_Scores!F1326</f>
        <v>@inikarinagita</v>
      </c>
      <c r="G1326" s="12" t="str">
        <f>Absolute_Scores!G1326</f>
        <v>Instagram</v>
      </c>
      <c r="H1326" s="29">
        <f>Absolute_Scores!I1326</f>
        <v>50</v>
      </c>
      <c r="I1326" s="30">
        <f t="shared" si="51"/>
        <v>62.5</v>
      </c>
    </row>
    <row r="1327" spans="6:9">
      <c r="F1327" s="12" t="str">
        <f>Absolute_Scores!F1327</f>
        <v>@ininia9</v>
      </c>
      <c r="G1327" s="12" t="str">
        <f>Absolute_Scores!G1327</f>
        <v>TikTok</v>
      </c>
      <c r="H1327" s="29">
        <f>Absolute_Scores!I1327</f>
        <v>50</v>
      </c>
      <c r="I1327" s="30">
        <f t="shared" si="51"/>
        <v>62.5</v>
      </c>
    </row>
    <row r="1328" spans="6:9">
      <c r="F1328" s="12" t="str">
        <f>Absolute_Scores!F1328</f>
        <v>@iniputcah</v>
      </c>
      <c r="G1328" s="12" t="str">
        <f>Absolute_Scores!G1328</f>
        <v>TikTok</v>
      </c>
      <c r="H1328" s="29">
        <f>Absolute_Scores!I1328</f>
        <v>50</v>
      </c>
      <c r="I1328" s="30">
        <f t="shared" si="51"/>
        <v>62.5</v>
      </c>
    </row>
    <row r="1329" spans="6:9">
      <c r="F1329" s="12" t="str">
        <f>Absolute_Scores!F1329</f>
        <v>@inislan</v>
      </c>
      <c r="G1329" s="12" t="str">
        <f>Absolute_Scores!G1329</f>
        <v>TikTok</v>
      </c>
      <c r="H1329" s="29">
        <f>Absolute_Scores!I1329</f>
        <v>50</v>
      </c>
      <c r="I1329" s="30">
        <f t="shared" si="51"/>
        <v>62.5</v>
      </c>
    </row>
    <row r="1330" spans="6:9">
      <c r="F1330" s="12" t="str">
        <f>Absolute_Scores!F1330</f>
        <v>@initehwini</v>
      </c>
      <c r="G1330" s="12" t="str">
        <f>Absolute_Scores!G1330</f>
        <v>Instagram</v>
      </c>
      <c r="H1330" s="29">
        <f>Absolute_Scores!I1330</f>
        <v>50</v>
      </c>
      <c r="I1330" s="30">
        <f t="shared" si="51"/>
        <v>62.5</v>
      </c>
    </row>
    <row r="1331" spans="6:9">
      <c r="F1331" s="12" t="str">
        <f>Absolute_Scores!F1331</f>
        <v>@initokyolagii</v>
      </c>
      <c r="G1331" s="12" t="str">
        <f>Absolute_Scores!G1331</f>
        <v>TikTok</v>
      </c>
      <c r="H1331" s="29">
        <f>Absolute_Scores!I1331</f>
        <v>50</v>
      </c>
      <c r="I1331" s="30">
        <f t="shared" si="51"/>
        <v>62.5</v>
      </c>
    </row>
    <row r="1332" spans="6:9">
      <c r="F1332" s="12" t="str">
        <f>Absolute_Scores!F1332</f>
        <v>@inkallee03</v>
      </c>
      <c r="G1332" s="12" t="str">
        <f>Absolute_Scores!G1332</f>
        <v>Instagram</v>
      </c>
      <c r="H1332" s="29">
        <f>Absolute_Scores!I1332</f>
        <v>50</v>
      </c>
      <c r="I1332" s="30">
        <f t="shared" si="51"/>
        <v>62.5</v>
      </c>
    </row>
    <row r="1333" spans="6:9">
      <c r="F1333" s="12" t="str">
        <f>Absolute_Scores!F1333</f>
        <v>@inkatama_</v>
      </c>
      <c r="G1333" s="12" t="str">
        <f>Absolute_Scores!G1333</f>
        <v>Instagram</v>
      </c>
      <c r="H1333" s="29">
        <f>Absolute_Scores!I1333</f>
        <v>50</v>
      </c>
      <c r="I1333" s="30">
        <f t="shared" si="51"/>
        <v>62.5</v>
      </c>
    </row>
    <row r="1334" spans="6:9">
      <c r="F1334" s="12" t="str">
        <f>Absolute_Scores!F1334</f>
        <v>@inkathhh</v>
      </c>
      <c r="G1334" s="12" t="str">
        <f>Absolute_Scores!G1334</f>
        <v>TikTok</v>
      </c>
      <c r="H1334" s="29">
        <f>Absolute_Scores!I1334</f>
        <v>50</v>
      </c>
      <c r="I1334" s="30">
        <f t="shared" si="51"/>
        <v>62.5</v>
      </c>
    </row>
    <row r="1335" spans="6:9">
      <c r="F1335" s="12" t="str">
        <f>Absolute_Scores!F1335</f>
        <v>@inna_niya</v>
      </c>
      <c r="G1335" s="12" t="str">
        <f>Absolute_Scores!G1335</f>
        <v>Instagram</v>
      </c>
      <c r="H1335" s="29">
        <f>Absolute_Scores!I1335</f>
        <v>50</v>
      </c>
      <c r="I1335" s="30">
        <f t="shared" si="51"/>
        <v>62.5</v>
      </c>
    </row>
    <row r="1336" spans="6:9">
      <c r="F1336" s="12" t="str">
        <f>Absolute_Scores!F1336</f>
        <v>@inna.cahyani</v>
      </c>
      <c r="G1336" s="12" t="str">
        <f>Absolute_Scores!G1336</f>
        <v>TikTok</v>
      </c>
      <c r="H1336" s="29">
        <f>Absolute_Scores!I1336</f>
        <v>50</v>
      </c>
      <c r="I1336" s="30">
        <f t="shared" si="51"/>
        <v>62.5</v>
      </c>
    </row>
    <row r="1337" spans="6:9">
      <c r="F1337" s="12" t="str">
        <f>Absolute_Scores!F1337</f>
        <v>@innacahyani1308</v>
      </c>
      <c r="G1337" s="12" t="str">
        <f>Absolute_Scores!G1337</f>
        <v>Instagram</v>
      </c>
      <c r="H1337" s="29">
        <f>Absolute_Scores!I1337</f>
        <v>50</v>
      </c>
      <c r="I1337" s="30">
        <f t="shared" si="51"/>
        <v>62.5</v>
      </c>
    </row>
    <row r="1338" spans="6:9">
      <c r="F1338" s="12" t="str">
        <f>Absolute_Scores!F1338</f>
        <v>@inne_salim</v>
      </c>
      <c r="G1338" s="12" t="str">
        <f>Absolute_Scores!G1338</f>
        <v>Instagram</v>
      </c>
      <c r="H1338" s="29">
        <f>Absolute_Scores!I1338</f>
        <v>50</v>
      </c>
      <c r="I1338" s="30">
        <f t="shared" si="51"/>
        <v>62.5</v>
      </c>
    </row>
    <row r="1339" spans="6:9">
      <c r="F1339" s="12" t="str">
        <f>Absolute_Scores!F1339</f>
        <v>@inspirasipemuda.id</v>
      </c>
      <c r="G1339" s="12" t="str">
        <f>Absolute_Scores!G1339</f>
        <v>TikTok</v>
      </c>
      <c r="H1339" s="29">
        <f>Absolute_Scores!I1339</f>
        <v>50</v>
      </c>
      <c r="I1339" s="30">
        <f t="shared" si="51"/>
        <v>62.5</v>
      </c>
    </row>
    <row r="1340" spans="6:9">
      <c r="F1340" s="12" t="str">
        <f>Absolute_Scores!F1340</f>
        <v>@intan_nuraini3150</v>
      </c>
      <c r="G1340" s="12" t="str">
        <f>Absolute_Scores!G1340</f>
        <v>TikTok</v>
      </c>
      <c r="H1340" s="29">
        <f>Absolute_Scores!I1340</f>
        <v>50</v>
      </c>
      <c r="I1340" s="30">
        <f t="shared" si="51"/>
        <v>62.5</v>
      </c>
    </row>
    <row r="1341" spans="6:9">
      <c r="F1341" s="12" t="str">
        <f>Absolute_Scores!F1341</f>
        <v>@intaniamay16</v>
      </c>
      <c r="G1341" s="12" t="str">
        <f>Absolute_Scores!G1341</f>
        <v>Instagram</v>
      </c>
      <c r="H1341" s="29">
        <f>Absolute_Scores!I1341</f>
        <v>50</v>
      </c>
      <c r="I1341" s="30">
        <f t="shared" si="51"/>
        <v>62.5</v>
      </c>
    </row>
    <row r="1342" spans="6:9">
      <c r="F1342" s="12" t="str">
        <f>Absolute_Scores!F1342</f>
        <v>@intansarass_</v>
      </c>
      <c r="G1342" s="12" t="str">
        <f>Absolute_Scores!G1342</f>
        <v>TikTok</v>
      </c>
      <c r="H1342" s="29">
        <f>Absolute_Scores!I1342</f>
        <v>50</v>
      </c>
      <c r="I1342" s="30">
        <f t="shared" si="51"/>
        <v>62.5</v>
      </c>
    </row>
    <row r="1343" spans="6:9">
      <c r="F1343" s="12" t="str">
        <f>Absolute_Scores!F1343</f>
        <v>@intanscbl</v>
      </c>
      <c r="G1343" s="12" t="str">
        <f>Absolute_Scores!G1343</f>
        <v>TikTok</v>
      </c>
      <c r="H1343" s="29">
        <f>Absolute_Scores!I1343</f>
        <v>50</v>
      </c>
      <c r="I1343" s="30">
        <f t="shared" si="51"/>
        <v>62.5</v>
      </c>
    </row>
    <row r="1344" spans="6:9">
      <c r="F1344" s="12" t="str">
        <f>Absolute_Scores!F1344</f>
        <v>@inungws12</v>
      </c>
      <c r="G1344" s="12" t="str">
        <f>Absolute_Scores!G1344</f>
        <v>TikTok</v>
      </c>
      <c r="H1344" s="29">
        <f>Absolute_Scores!I1344</f>
        <v>50</v>
      </c>
      <c r="I1344" s="30">
        <f t="shared" si="51"/>
        <v>62.5</v>
      </c>
    </row>
    <row r="1345" spans="6:9">
      <c r="F1345" s="12" t="str">
        <f>Absolute_Scores!F1345</f>
        <v>@iputpj</v>
      </c>
      <c r="G1345" s="12" t="str">
        <f>Absolute_Scores!G1345</f>
        <v>Instagram</v>
      </c>
      <c r="H1345" s="29">
        <f>Absolute_Scores!I1345</f>
        <v>50</v>
      </c>
      <c r="I1345" s="30">
        <f t="shared" si="51"/>
        <v>62.5</v>
      </c>
    </row>
    <row r="1346" spans="6:9">
      <c r="F1346" s="12" t="str">
        <f>Absolute_Scores!F1346</f>
        <v>@iqbalbaihaqyy</v>
      </c>
      <c r="G1346" s="12" t="str">
        <f>Absolute_Scores!G1346</f>
        <v>TikTok</v>
      </c>
      <c r="H1346" s="29">
        <f>Absolute_Scores!I1346</f>
        <v>50</v>
      </c>
      <c r="I1346" s="30">
        <f t="shared" si="51"/>
        <v>62.5</v>
      </c>
    </row>
    <row r="1347" spans="6:9">
      <c r="F1347" s="12" t="str">
        <f>Absolute_Scores!F1347</f>
        <v>@iqbalghiffari</v>
      </c>
      <c r="G1347" s="12" t="str">
        <f>Absolute_Scores!G1347</f>
        <v>Instagram</v>
      </c>
      <c r="H1347" s="29">
        <f>Absolute_Scores!I1347</f>
        <v>50</v>
      </c>
      <c r="I1347" s="30">
        <f t="shared" si="51"/>
        <v>62.5</v>
      </c>
    </row>
    <row r="1348" spans="6:9">
      <c r="F1348" s="12" t="str">
        <f>Absolute_Scores!F1348</f>
        <v>@irawati0309</v>
      </c>
      <c r="G1348" s="12" t="str">
        <f>Absolute_Scores!G1348</f>
        <v>Instagram</v>
      </c>
      <c r="H1348" s="29">
        <f>Absolute_Scores!I1348</f>
        <v>50</v>
      </c>
      <c r="I1348" s="30">
        <f t="shared" si="51"/>
        <v>62.5</v>
      </c>
    </row>
    <row r="1349" spans="6:9">
      <c r="F1349" s="12" t="str">
        <f>Absolute_Scores!F1349</f>
        <v>@ireene_mariana?hl=en</v>
      </c>
      <c r="G1349" s="12" t="str">
        <f>Absolute_Scores!G1349</f>
        <v>Instagram</v>
      </c>
      <c r="H1349" s="29">
        <f>Absolute_Scores!I1349</f>
        <v>50</v>
      </c>
      <c r="I1349" s="30">
        <f t="shared" si="51"/>
        <v>62.5</v>
      </c>
    </row>
    <row r="1350" spans="6:9">
      <c r="F1350" s="12" t="str">
        <f>Absolute_Scores!F1350</f>
        <v>@irgicrayon</v>
      </c>
      <c r="G1350" s="12" t="str">
        <f>Absolute_Scores!G1350</f>
        <v>Instagram</v>
      </c>
      <c r="H1350" s="29">
        <f>Absolute_Scores!I1350</f>
        <v>50</v>
      </c>
      <c r="I1350" s="30">
        <f t="shared" ref="I1350:I1413" si="52">ROUND(H1350/$I$4*100,2)</f>
        <v>62.5</v>
      </c>
    </row>
    <row r="1351" spans="6:9">
      <c r="F1351" s="12" t="str">
        <f>Absolute_Scores!F1351</f>
        <v>@irliiy</v>
      </c>
      <c r="G1351" s="12" t="str">
        <f>Absolute_Scores!G1351</f>
        <v>TikTok</v>
      </c>
      <c r="H1351" s="29">
        <f>Absolute_Scores!I1351</f>
        <v>50</v>
      </c>
      <c r="I1351" s="30">
        <f t="shared" si="52"/>
        <v>62.5</v>
      </c>
    </row>
    <row r="1352" spans="6:9">
      <c r="F1352" s="12" t="str">
        <f>Absolute_Scores!F1352</f>
        <v>@irma_firda</v>
      </c>
      <c r="G1352" s="12" t="str">
        <f>Absolute_Scores!G1352</f>
        <v>Instagram</v>
      </c>
      <c r="H1352" s="29">
        <f>Absolute_Scores!I1352</f>
        <v>50</v>
      </c>
      <c r="I1352" s="30">
        <f t="shared" si="52"/>
        <v>62.5</v>
      </c>
    </row>
    <row r="1353" spans="6:9">
      <c r="F1353" s="12" t="str">
        <f>Absolute_Scores!F1353</f>
        <v>@irmasrie</v>
      </c>
      <c r="G1353" s="12" t="str">
        <f>Absolute_Scores!G1353</f>
        <v>TikTok</v>
      </c>
      <c r="H1353" s="29">
        <f>Absolute_Scores!I1353</f>
        <v>50</v>
      </c>
      <c r="I1353" s="30">
        <f t="shared" si="52"/>
        <v>62.5</v>
      </c>
    </row>
    <row r="1354" spans="6:9">
      <c r="F1354" s="12" t="str">
        <f>Absolute_Scores!F1354</f>
        <v>@isaamsudin</v>
      </c>
      <c r="G1354" s="12" t="str">
        <f>Absolute_Scores!G1354</f>
        <v>TikTok</v>
      </c>
      <c r="H1354" s="29">
        <f>Absolute_Scores!I1354</f>
        <v>50</v>
      </c>
      <c r="I1354" s="30">
        <f t="shared" si="52"/>
        <v>62.5</v>
      </c>
    </row>
    <row r="1355" spans="6:9">
      <c r="F1355" s="12" t="str">
        <f>Absolute_Scores!F1355</f>
        <v>@ishvaary</v>
      </c>
      <c r="G1355" s="12" t="str">
        <f>Absolute_Scores!G1355</f>
        <v>TikTok</v>
      </c>
      <c r="H1355" s="29">
        <f>Absolute_Scores!I1355</f>
        <v>50</v>
      </c>
      <c r="I1355" s="30">
        <f t="shared" si="52"/>
        <v>62.5</v>
      </c>
    </row>
    <row r="1356" spans="6:9">
      <c r="F1356" s="12" t="str">
        <f>Absolute_Scores!F1356</f>
        <v>@ismhayantii</v>
      </c>
      <c r="G1356" s="12" t="str">
        <f>Absolute_Scores!G1356</f>
        <v>Instagram</v>
      </c>
      <c r="H1356" s="29">
        <f>Absolute_Scores!I1356</f>
        <v>50</v>
      </c>
      <c r="I1356" s="30">
        <f t="shared" si="52"/>
        <v>62.5</v>
      </c>
    </row>
    <row r="1357" spans="6:9">
      <c r="F1357" s="12" t="str">
        <f>Absolute_Scores!F1357</f>
        <v>@isnaenikkh</v>
      </c>
      <c r="G1357" s="12" t="str">
        <f>Absolute_Scores!G1357</f>
        <v>Instagram</v>
      </c>
      <c r="H1357" s="29">
        <f>Absolute_Scores!I1357</f>
        <v>50</v>
      </c>
      <c r="I1357" s="30">
        <f t="shared" si="52"/>
        <v>62.5</v>
      </c>
    </row>
    <row r="1358" spans="6:9">
      <c r="F1358" s="12" t="str">
        <f>Absolute_Scores!F1358</f>
        <v>@isnainingtyas</v>
      </c>
      <c r="G1358" s="12" t="str">
        <f>Absolute_Scores!G1358</f>
        <v>TikTok</v>
      </c>
      <c r="H1358" s="29">
        <f>Absolute_Scores!I1358</f>
        <v>50</v>
      </c>
      <c r="I1358" s="30">
        <f t="shared" si="52"/>
        <v>62.5</v>
      </c>
    </row>
    <row r="1359" spans="6:9">
      <c r="F1359" s="12" t="str">
        <f>Absolute_Scores!F1359</f>
        <v>@isthatshabrina</v>
      </c>
      <c r="G1359" s="12" t="str">
        <f>Absolute_Scores!G1359</f>
        <v>Instagram</v>
      </c>
      <c r="H1359" s="29">
        <f>Absolute_Scores!I1359</f>
        <v>50</v>
      </c>
      <c r="I1359" s="30">
        <f t="shared" si="52"/>
        <v>62.5</v>
      </c>
    </row>
    <row r="1360" spans="6:9">
      <c r="F1360" s="12" t="str">
        <f>Absolute_Scores!F1360</f>
        <v>@iswara.alesha</v>
      </c>
      <c r="G1360" s="12" t="str">
        <f>Absolute_Scores!G1360</f>
        <v>Instagram</v>
      </c>
      <c r="H1360" s="29">
        <f>Absolute_Scores!I1360</f>
        <v>50</v>
      </c>
      <c r="I1360" s="30">
        <f t="shared" si="52"/>
        <v>62.5</v>
      </c>
    </row>
    <row r="1361" spans="6:9">
      <c r="F1361" s="12" t="str">
        <f>Absolute_Scores!F1361</f>
        <v>@isyarora</v>
      </c>
      <c r="G1361" s="12" t="str">
        <f>Absolute_Scores!G1361</f>
        <v>Instagram</v>
      </c>
      <c r="H1361" s="29">
        <f>Absolute_Scores!I1361</f>
        <v>50</v>
      </c>
      <c r="I1361" s="30">
        <f t="shared" si="52"/>
        <v>62.5</v>
      </c>
    </row>
    <row r="1362" spans="6:9">
      <c r="F1362" s="12" t="str">
        <f>Absolute_Scores!F1362</f>
        <v>@itajegegbaliid</v>
      </c>
      <c r="G1362" s="12" t="str">
        <f>Absolute_Scores!G1362</f>
        <v>TikTok</v>
      </c>
      <c r="H1362" s="29">
        <f>Absolute_Scores!I1362</f>
        <v>50</v>
      </c>
      <c r="I1362" s="30">
        <f t="shared" si="52"/>
        <v>62.5</v>
      </c>
    </row>
    <row r="1363" spans="6:9">
      <c r="F1363" s="12" t="str">
        <f>Absolute_Scores!F1363</f>
        <v>@itamargareta_</v>
      </c>
      <c r="G1363" s="12" t="str">
        <f>Absolute_Scores!G1363</f>
        <v>Instagram</v>
      </c>
      <c r="H1363" s="29">
        <f>Absolute_Scores!I1363</f>
        <v>50</v>
      </c>
      <c r="I1363" s="30">
        <f t="shared" si="52"/>
        <v>62.5</v>
      </c>
    </row>
    <row r="1364" spans="6:9">
      <c r="F1364" s="12" t="str">
        <f>Absolute_Scores!F1364</f>
        <v>@its.browngurll</v>
      </c>
      <c r="G1364" s="12" t="str">
        <f>Absolute_Scores!G1364</f>
        <v>TikTok</v>
      </c>
      <c r="H1364" s="29">
        <f>Absolute_Scores!I1364</f>
        <v>50</v>
      </c>
      <c r="I1364" s="30">
        <f t="shared" si="52"/>
        <v>62.5</v>
      </c>
    </row>
    <row r="1365" spans="6:9">
      <c r="F1365" s="12" t="str">
        <f>Absolute_Scores!F1365</f>
        <v>@its.fadil_</v>
      </c>
      <c r="G1365" s="12" t="str">
        <f>Absolute_Scores!G1365</f>
        <v>Instagram</v>
      </c>
      <c r="H1365" s="29">
        <f>Absolute_Scores!I1365</f>
        <v>50</v>
      </c>
      <c r="I1365" s="30">
        <f t="shared" si="52"/>
        <v>62.5</v>
      </c>
    </row>
    <row r="1366" spans="6:9">
      <c r="F1366" s="12" t="str">
        <f>Absolute_Scores!F1366</f>
        <v>@itsagnesdwi</v>
      </c>
      <c r="G1366" s="12" t="str">
        <f>Absolute_Scores!G1366</f>
        <v>Instagram</v>
      </c>
      <c r="H1366" s="29">
        <f>Absolute_Scores!I1366</f>
        <v>50</v>
      </c>
      <c r="I1366" s="30">
        <f t="shared" si="52"/>
        <v>62.5</v>
      </c>
    </row>
    <row r="1367" spans="6:9">
      <c r="F1367" s="12" t="str">
        <f>Absolute_Scores!F1367</f>
        <v>@itsaiiuayu27</v>
      </c>
      <c r="G1367" s="12" t="str">
        <f>Absolute_Scores!G1367</f>
        <v>Instagram</v>
      </c>
      <c r="H1367" s="29">
        <f>Absolute_Scores!I1367</f>
        <v>50</v>
      </c>
      <c r="I1367" s="30">
        <f t="shared" si="52"/>
        <v>62.5</v>
      </c>
    </row>
    <row r="1368" spans="6:9">
      <c r="F1368" s="12" t="str">
        <f>Absolute_Scores!F1368</f>
        <v>@itsbrigittatifanny</v>
      </c>
      <c r="G1368" s="12" t="str">
        <f>Absolute_Scores!G1368</f>
        <v>TikTok</v>
      </c>
      <c r="H1368" s="29">
        <f>Absolute_Scores!I1368</f>
        <v>50</v>
      </c>
      <c r="I1368" s="30">
        <f t="shared" si="52"/>
        <v>62.5</v>
      </c>
    </row>
    <row r="1369" spans="6:9">
      <c r="F1369" s="12" t="str">
        <f>Absolute_Scores!F1369</f>
        <v>@itsmeralda</v>
      </c>
      <c r="G1369" s="12" t="str">
        <f>Absolute_Scores!G1369</f>
        <v>TikTok</v>
      </c>
      <c r="H1369" s="29">
        <f>Absolute_Scores!I1369</f>
        <v>50</v>
      </c>
      <c r="I1369" s="30">
        <f t="shared" si="52"/>
        <v>62.5</v>
      </c>
    </row>
    <row r="1370" spans="6:9">
      <c r="F1370" s="12" t="str">
        <f>Absolute_Scores!F1370</f>
        <v>@itsmestasi</v>
      </c>
      <c r="G1370" s="12" t="str">
        <f>Absolute_Scores!G1370</f>
        <v>TikTok</v>
      </c>
      <c r="H1370" s="29">
        <f>Absolute_Scores!I1370</f>
        <v>50</v>
      </c>
      <c r="I1370" s="30">
        <f t="shared" si="52"/>
        <v>62.5</v>
      </c>
    </row>
    <row r="1371" spans="6:9">
      <c r="F1371" s="12" t="str">
        <f>Absolute_Scores!F1371</f>
        <v>@itsmoanya</v>
      </c>
      <c r="G1371" s="12" t="str">
        <f>Absolute_Scores!G1371</f>
        <v>TikTok</v>
      </c>
      <c r="H1371" s="29">
        <f>Absolute_Scores!I1371</f>
        <v>50</v>
      </c>
      <c r="I1371" s="30">
        <f t="shared" si="52"/>
        <v>62.5</v>
      </c>
    </row>
    <row r="1372" spans="6:9">
      <c r="F1372" s="12" t="str">
        <f>Absolute_Scores!F1372</f>
        <v>@itsnfransisca</v>
      </c>
      <c r="G1372" s="12" t="str">
        <f>Absolute_Scores!G1372</f>
        <v>Instagram</v>
      </c>
      <c r="H1372" s="29">
        <f>Absolute_Scores!I1372</f>
        <v>50</v>
      </c>
      <c r="I1372" s="30">
        <f t="shared" si="52"/>
        <v>62.5</v>
      </c>
    </row>
    <row r="1373" spans="6:9">
      <c r="F1373" s="12" t="str">
        <f>Absolute_Scores!F1373</f>
        <v>@itsvennyy</v>
      </c>
      <c r="G1373" s="12" t="str">
        <f>Absolute_Scores!G1373</f>
        <v>Instagram</v>
      </c>
      <c r="H1373" s="29">
        <f>Absolute_Scores!I1373</f>
        <v>50</v>
      </c>
      <c r="I1373" s="30">
        <f t="shared" si="52"/>
        <v>62.5</v>
      </c>
    </row>
    <row r="1374" spans="6:9">
      <c r="F1374" s="12" t="str">
        <f>Absolute_Scores!F1374</f>
        <v>@itzzme.maharani</v>
      </c>
      <c r="G1374" s="12" t="str">
        <f>Absolute_Scores!G1374</f>
        <v>TikTok</v>
      </c>
      <c r="H1374" s="29">
        <f>Absolute_Scores!I1374</f>
        <v>50</v>
      </c>
      <c r="I1374" s="30">
        <f t="shared" si="52"/>
        <v>62.5</v>
      </c>
    </row>
    <row r="1375" spans="6:9">
      <c r="F1375" s="12" t="str">
        <f>Absolute_Scores!F1375</f>
        <v>@ivyfeb</v>
      </c>
      <c r="G1375" s="12" t="str">
        <f>Absolute_Scores!G1375</f>
        <v>TikTok</v>
      </c>
      <c r="H1375" s="29">
        <f>Absolute_Scores!I1375</f>
        <v>50</v>
      </c>
      <c r="I1375" s="30">
        <f t="shared" si="52"/>
        <v>62.5</v>
      </c>
    </row>
    <row r="1376" spans="6:9">
      <c r="F1376" s="12" t="str">
        <f>Absolute_Scores!F1376</f>
        <v>@iya.nevin</v>
      </c>
      <c r="G1376" s="12" t="str">
        <f>Absolute_Scores!G1376</f>
        <v>Instagram</v>
      </c>
      <c r="H1376" s="29">
        <f>Absolute_Scores!I1376</f>
        <v>50</v>
      </c>
      <c r="I1376" s="30">
        <f t="shared" si="52"/>
        <v>62.5</v>
      </c>
    </row>
    <row r="1377" spans="6:9">
      <c r="F1377" s="12" t="str">
        <f>Absolute_Scores!F1377</f>
        <v>@iyey.esj</v>
      </c>
      <c r="G1377" s="12" t="str">
        <f>Absolute_Scores!G1377</f>
        <v>TikTok</v>
      </c>
      <c r="H1377" s="29">
        <f>Absolute_Scores!I1377</f>
        <v>50</v>
      </c>
      <c r="I1377" s="30">
        <f t="shared" si="52"/>
        <v>62.5</v>
      </c>
    </row>
    <row r="1378" spans="6:9">
      <c r="F1378" s="12" t="str">
        <f>Absolute_Scores!F1378</f>
        <v>@iyinynrtaa</v>
      </c>
      <c r="G1378" s="12" t="str">
        <f>Absolute_Scores!G1378</f>
        <v>Instagram</v>
      </c>
      <c r="H1378" s="29">
        <f>Absolute_Scores!I1378</f>
        <v>50</v>
      </c>
      <c r="I1378" s="30">
        <f t="shared" si="52"/>
        <v>62.5</v>
      </c>
    </row>
    <row r="1379" spans="6:9">
      <c r="F1379" s="12" t="str">
        <f>Absolute_Scores!F1379</f>
        <v>@iyuz_inhiji</v>
      </c>
      <c r="G1379" s="12" t="str">
        <f>Absolute_Scores!G1379</f>
        <v>Instagram</v>
      </c>
      <c r="H1379" s="29">
        <f>Absolute_Scores!I1379</f>
        <v>50</v>
      </c>
      <c r="I1379" s="30">
        <f t="shared" si="52"/>
        <v>62.5</v>
      </c>
    </row>
    <row r="1380" spans="6:9">
      <c r="F1380" s="12" t="str">
        <f>Absolute_Scores!F1380</f>
        <v>@iyuzmisterius</v>
      </c>
      <c r="G1380" s="12" t="str">
        <f>Absolute_Scores!G1380</f>
        <v>TikTok</v>
      </c>
      <c r="H1380" s="29">
        <f>Absolute_Scores!I1380</f>
        <v>50</v>
      </c>
      <c r="I1380" s="30">
        <f t="shared" si="52"/>
        <v>62.5</v>
      </c>
    </row>
    <row r="1381" spans="6:9">
      <c r="F1381" s="12" t="str">
        <f>Absolute_Scores!F1381</f>
        <v>@iyyan_alf</v>
      </c>
      <c r="G1381" s="12" t="str">
        <f>Absolute_Scores!G1381</f>
        <v>Instagram</v>
      </c>
      <c r="H1381" s="29">
        <f>Absolute_Scores!I1381</f>
        <v>50</v>
      </c>
      <c r="I1381" s="30">
        <f t="shared" si="52"/>
        <v>62.5</v>
      </c>
    </row>
    <row r="1382" spans="6:9">
      <c r="F1382" s="12" t="str">
        <f>Absolute_Scores!F1382</f>
        <v>@izaraarta</v>
      </c>
      <c r="G1382" s="12" t="str">
        <f>Absolute_Scores!G1382</f>
        <v>Instagram</v>
      </c>
      <c r="H1382" s="29">
        <f>Absolute_Scores!I1382</f>
        <v>50</v>
      </c>
      <c r="I1382" s="30">
        <f t="shared" si="52"/>
        <v>62.5</v>
      </c>
    </row>
    <row r="1383" spans="6:9">
      <c r="F1383" s="12" t="str">
        <f>Absolute_Scores!F1383</f>
        <v>@izza_ilmi_alyusufi</v>
      </c>
      <c r="G1383" s="12" t="str">
        <f>Absolute_Scores!G1383</f>
        <v>Instagram</v>
      </c>
      <c r="H1383" s="29">
        <f>Absolute_Scores!I1383</f>
        <v>50</v>
      </c>
      <c r="I1383" s="30">
        <f t="shared" si="52"/>
        <v>62.5</v>
      </c>
    </row>
    <row r="1384" spans="6:9">
      <c r="F1384" s="12" t="str">
        <f>Absolute_Scores!F1384</f>
        <v>@izza.lubna</v>
      </c>
      <c r="G1384" s="12" t="str">
        <f>Absolute_Scores!G1384</f>
        <v>Instagram</v>
      </c>
      <c r="H1384" s="29">
        <f>Absolute_Scores!I1384</f>
        <v>50</v>
      </c>
      <c r="I1384" s="30">
        <f t="shared" si="52"/>
        <v>62.5</v>
      </c>
    </row>
    <row r="1385" spans="6:9">
      <c r="F1385" s="12" t="str">
        <f>Absolute_Scores!F1385</f>
        <v>@j.noviena</v>
      </c>
      <c r="G1385" s="12" t="str">
        <f>Absolute_Scores!G1385</f>
        <v>Instagram</v>
      </c>
      <c r="H1385" s="29">
        <f>Absolute_Scores!I1385</f>
        <v>50</v>
      </c>
      <c r="I1385" s="30">
        <f t="shared" si="52"/>
        <v>62.5</v>
      </c>
    </row>
    <row r="1386" spans="6:9">
      <c r="F1386" s="12" t="str">
        <f>Absolute_Scores!F1386</f>
        <v>@jabdrr</v>
      </c>
      <c r="G1386" s="12" t="str">
        <f>Absolute_Scores!G1386</f>
        <v>TikTok</v>
      </c>
      <c r="H1386" s="29">
        <f>Absolute_Scores!I1386</f>
        <v>50</v>
      </c>
      <c r="I1386" s="30">
        <f t="shared" si="52"/>
        <v>62.5</v>
      </c>
    </row>
    <row r="1387" spans="6:9">
      <c r="F1387" s="12" t="str">
        <f>Absolute_Scores!F1387</f>
        <v>@jacqueswifee</v>
      </c>
      <c r="G1387" s="12" t="str">
        <f>Absolute_Scores!G1387</f>
        <v>TikTok</v>
      </c>
      <c r="H1387" s="29">
        <f>Absolute_Scores!I1387</f>
        <v>50</v>
      </c>
      <c r="I1387" s="30">
        <f t="shared" si="52"/>
        <v>62.5</v>
      </c>
    </row>
    <row r="1388" spans="6:9">
      <c r="F1388" s="12" t="str">
        <f>Absolute_Scores!F1388</f>
        <v>@jahekembangtahu</v>
      </c>
      <c r="G1388" s="12" t="str">
        <f>Absolute_Scores!G1388</f>
        <v>TikTok</v>
      </c>
      <c r="H1388" s="29">
        <f>Absolute_Scores!I1388</f>
        <v>50</v>
      </c>
      <c r="I1388" s="30">
        <f t="shared" si="52"/>
        <v>62.5</v>
      </c>
    </row>
    <row r="1389" spans="6:9">
      <c r="F1389" s="12" t="str">
        <f>Absolute_Scores!F1389</f>
        <v>@jaichrora</v>
      </c>
      <c r="G1389" s="12" t="str">
        <f>Absolute_Scores!G1389</f>
        <v>TikTok</v>
      </c>
      <c r="H1389" s="29">
        <f>Absolute_Scores!I1389</f>
        <v>50</v>
      </c>
      <c r="I1389" s="30">
        <f t="shared" si="52"/>
        <v>62.5</v>
      </c>
    </row>
    <row r="1390" spans="6:9">
      <c r="F1390" s="12" t="str">
        <f>Absolute_Scores!F1390</f>
        <v>@jaiiibruh</v>
      </c>
      <c r="G1390" s="12" t="str">
        <f>Absolute_Scores!G1390</f>
        <v>TikTok</v>
      </c>
      <c r="H1390" s="29">
        <f>Absolute_Scores!I1390</f>
        <v>50</v>
      </c>
      <c r="I1390" s="30">
        <f t="shared" si="52"/>
        <v>62.5</v>
      </c>
    </row>
    <row r="1391" spans="6:9">
      <c r="F1391" s="12" t="str">
        <f>Absolute_Scores!F1391</f>
        <v>@jakarta_zone</v>
      </c>
      <c r="G1391" s="12" t="str">
        <f>Absolute_Scores!G1391</f>
        <v>Instagram</v>
      </c>
      <c r="H1391" s="29">
        <f>Absolute_Scores!I1391</f>
        <v>50</v>
      </c>
      <c r="I1391" s="30">
        <f t="shared" si="52"/>
        <v>62.5</v>
      </c>
    </row>
    <row r="1392" spans="6:9">
      <c r="F1392" s="12" t="str">
        <f>Absolute_Scores!F1392</f>
        <v>@jakartalucu</v>
      </c>
      <c r="G1392" s="12" t="str">
        <f>Absolute_Scores!G1392</f>
        <v>Instagram</v>
      </c>
      <c r="H1392" s="29">
        <f>Absolute_Scores!I1392</f>
        <v>50</v>
      </c>
      <c r="I1392" s="30">
        <f t="shared" si="52"/>
        <v>62.5</v>
      </c>
    </row>
    <row r="1393" spans="6:9">
      <c r="F1393" s="12" t="str">
        <f>Absolute_Scores!F1393</f>
        <v>@jakia_wedding</v>
      </c>
      <c r="G1393" s="12" t="str">
        <f>Absolute_Scores!G1393</f>
        <v>Instagram</v>
      </c>
      <c r="H1393" s="29">
        <f>Absolute_Scores!I1393</f>
        <v>50</v>
      </c>
      <c r="I1393" s="30">
        <f t="shared" si="52"/>
        <v>62.5</v>
      </c>
    </row>
    <row r="1394" spans="6:9">
      <c r="F1394" s="12" t="str">
        <f>Absolute_Scores!F1394</f>
        <v>@jalanjalanjajananma</v>
      </c>
      <c r="G1394" s="12" t="str">
        <f>Absolute_Scores!G1394</f>
        <v>Instagram</v>
      </c>
      <c r="H1394" s="29">
        <f>Absolute_Scores!I1394</f>
        <v>50</v>
      </c>
      <c r="I1394" s="30">
        <f t="shared" si="52"/>
        <v>62.5</v>
      </c>
    </row>
    <row r="1395" spans="6:9">
      <c r="F1395" s="12" t="str">
        <f>Absolute_Scores!F1395</f>
        <v>@jamess.27</v>
      </c>
      <c r="G1395" s="12" t="str">
        <f>Absolute_Scores!G1395</f>
        <v>TikTok</v>
      </c>
      <c r="H1395" s="29">
        <f>Absolute_Scores!I1395</f>
        <v>50</v>
      </c>
      <c r="I1395" s="30">
        <f t="shared" si="52"/>
        <v>62.5</v>
      </c>
    </row>
    <row r="1396" spans="6:9">
      <c r="F1396" s="12" t="str">
        <f>Absolute_Scores!F1396</f>
        <v>@jamiputtiandini</v>
      </c>
      <c r="G1396" s="12" t="str">
        <f>Absolute_Scores!G1396</f>
        <v>TikTok</v>
      </c>
      <c r="H1396" s="29">
        <f>Absolute_Scores!I1396</f>
        <v>50</v>
      </c>
      <c r="I1396" s="30">
        <f t="shared" si="52"/>
        <v>62.5</v>
      </c>
    </row>
    <row r="1397" spans="6:9">
      <c r="F1397" s="12" t="str">
        <f>Absolute_Scores!F1397</f>
        <v>@janeabys</v>
      </c>
      <c r="G1397" s="12" t="str">
        <f>Absolute_Scores!G1397</f>
        <v>TikTok</v>
      </c>
      <c r="H1397" s="29">
        <f>Absolute_Scores!I1397</f>
        <v>50</v>
      </c>
      <c r="I1397" s="30">
        <f t="shared" si="52"/>
        <v>62.5</v>
      </c>
    </row>
    <row r="1398" spans="6:9">
      <c r="F1398" s="12" t="str">
        <f>Absolute_Scores!F1398</f>
        <v>@janeferrinka</v>
      </c>
      <c r="G1398" s="12" t="str">
        <f>Absolute_Scores!G1398</f>
        <v>TikTok</v>
      </c>
      <c r="H1398" s="29">
        <f>Absolute_Scores!I1398</f>
        <v>50</v>
      </c>
      <c r="I1398" s="30">
        <f t="shared" si="52"/>
        <v>62.5</v>
      </c>
    </row>
    <row r="1399" spans="6:9">
      <c r="F1399" s="12" t="str">
        <f>Absolute_Scores!F1399</f>
        <v>@jannafla</v>
      </c>
      <c r="G1399" s="12" t="str">
        <f>Absolute_Scores!G1399</f>
        <v>TikTok</v>
      </c>
      <c r="H1399" s="29">
        <f>Absolute_Scores!I1399</f>
        <v>50</v>
      </c>
      <c r="I1399" s="30">
        <f t="shared" si="52"/>
        <v>62.5</v>
      </c>
    </row>
    <row r="1400" spans="6:9">
      <c r="F1400" s="12" t="str">
        <f>Absolute_Scores!F1400</f>
        <v>@jannahcochrane</v>
      </c>
      <c r="G1400" s="12" t="str">
        <f>Absolute_Scores!G1400</f>
        <v>TikTok</v>
      </c>
      <c r="H1400" s="29">
        <f>Absolute_Scores!I1400</f>
        <v>50</v>
      </c>
      <c r="I1400" s="30">
        <f t="shared" si="52"/>
        <v>62.5</v>
      </c>
    </row>
    <row r="1401" spans="6:9">
      <c r="F1401" s="12" t="str">
        <f>Absolute_Scores!F1401</f>
        <v>@jasonoliv3r</v>
      </c>
      <c r="G1401" s="12" t="str">
        <f>Absolute_Scores!G1401</f>
        <v>TikTok</v>
      </c>
      <c r="H1401" s="29">
        <f>Absolute_Scores!I1401</f>
        <v>50</v>
      </c>
      <c r="I1401" s="30">
        <f t="shared" si="52"/>
        <v>62.5</v>
      </c>
    </row>
    <row r="1402" spans="6:9">
      <c r="F1402" s="12" t="str">
        <f>Absolute_Scores!F1402</f>
        <v>@jassminemhrn</v>
      </c>
      <c r="G1402" s="12" t="str">
        <f>Absolute_Scores!G1402</f>
        <v>TikTok</v>
      </c>
      <c r="H1402" s="29">
        <f>Absolute_Scores!I1402</f>
        <v>50</v>
      </c>
      <c r="I1402" s="30">
        <f t="shared" si="52"/>
        <v>62.5</v>
      </c>
    </row>
    <row r="1403" spans="6:9">
      <c r="F1403" s="12" t="str">
        <f>Absolute_Scores!F1403</f>
        <v>@javierstoy2.0</v>
      </c>
      <c r="G1403" s="12" t="str">
        <f>Absolute_Scores!G1403</f>
        <v>TikTok</v>
      </c>
      <c r="H1403" s="29">
        <f>Absolute_Scores!I1403</f>
        <v>50</v>
      </c>
      <c r="I1403" s="30">
        <f t="shared" si="52"/>
        <v>62.5</v>
      </c>
    </row>
    <row r="1404" spans="6:9">
      <c r="F1404" s="12" t="str">
        <f>Absolute_Scores!F1404</f>
        <v>@jaydenoliv3r</v>
      </c>
      <c r="G1404" s="12" t="str">
        <f>Absolute_Scores!G1404</f>
        <v>TikTok</v>
      </c>
      <c r="H1404" s="29">
        <f>Absolute_Scores!I1404</f>
        <v>50</v>
      </c>
      <c r="I1404" s="30">
        <f t="shared" si="52"/>
        <v>62.5</v>
      </c>
    </row>
    <row r="1405" spans="6:9">
      <c r="F1405" s="12" t="str">
        <f>Absolute_Scores!F1405</f>
        <v>@jeanjulian217</v>
      </c>
      <c r="G1405" s="12" t="str">
        <f>Absolute_Scores!G1405</f>
        <v>Instagram</v>
      </c>
      <c r="H1405" s="29">
        <f>Absolute_Scores!I1405</f>
        <v>50</v>
      </c>
      <c r="I1405" s="30">
        <f t="shared" si="52"/>
        <v>62.5</v>
      </c>
    </row>
    <row r="1406" spans="6:9">
      <c r="F1406" s="12" t="str">
        <f>Absolute_Scores!F1406</f>
        <v>@jeannirawidny</v>
      </c>
      <c r="G1406" s="12" t="str">
        <f>Absolute_Scores!G1406</f>
        <v>TikTok</v>
      </c>
      <c r="H1406" s="29">
        <f>Absolute_Scores!I1406</f>
        <v>50</v>
      </c>
      <c r="I1406" s="30">
        <f t="shared" si="52"/>
        <v>62.5</v>
      </c>
    </row>
    <row r="1407" spans="6:9">
      <c r="F1407" s="12" t="str">
        <f>Absolute_Scores!F1407</f>
        <v>@jecelline.els</v>
      </c>
      <c r="G1407" s="12" t="str">
        <f>Absolute_Scores!G1407</f>
        <v>TikTok</v>
      </c>
      <c r="H1407" s="29">
        <f>Absolute_Scores!I1407</f>
        <v>50</v>
      </c>
      <c r="I1407" s="30">
        <f t="shared" si="52"/>
        <v>62.5</v>
      </c>
    </row>
    <row r="1408" spans="6:9">
      <c r="F1408" s="12" t="str">
        <f>Absolute_Scores!F1408</f>
        <v>@jekichannn</v>
      </c>
      <c r="G1408" s="12" t="str">
        <f>Absolute_Scores!G1408</f>
        <v>TikTok</v>
      </c>
      <c r="H1408" s="29">
        <f>Absolute_Scores!I1408</f>
        <v>50</v>
      </c>
      <c r="I1408" s="30">
        <f t="shared" si="52"/>
        <v>62.5</v>
      </c>
    </row>
    <row r="1409" spans="6:9">
      <c r="F1409" s="12" t="str">
        <f>Absolute_Scores!F1409</f>
        <v>@jelitawidiaw</v>
      </c>
      <c r="G1409" s="12" t="str">
        <f>Absolute_Scores!G1409</f>
        <v>TikTok</v>
      </c>
      <c r="H1409" s="29">
        <f>Absolute_Scores!I1409</f>
        <v>50</v>
      </c>
      <c r="I1409" s="30">
        <f t="shared" si="52"/>
        <v>62.5</v>
      </c>
    </row>
    <row r="1410" spans="6:9">
      <c r="F1410" s="12" t="str">
        <f>Absolute_Scores!F1410</f>
        <v>@jellyjels_</v>
      </c>
      <c r="G1410" s="12" t="str">
        <f>Absolute_Scores!G1410</f>
        <v>TikTok</v>
      </c>
      <c r="H1410" s="29">
        <f>Absolute_Scores!I1410</f>
        <v>50</v>
      </c>
      <c r="I1410" s="30">
        <f t="shared" si="52"/>
        <v>62.5</v>
      </c>
    </row>
    <row r="1411" spans="6:9">
      <c r="F1411" s="12" t="str">
        <f>Absolute_Scores!F1411</f>
        <v>@jemmymelviano</v>
      </c>
      <c r="G1411" s="12" t="str">
        <f>Absolute_Scores!G1411</f>
        <v>TikTok</v>
      </c>
      <c r="H1411" s="29">
        <f>Absolute_Scores!I1411</f>
        <v>50</v>
      </c>
      <c r="I1411" s="30">
        <f t="shared" si="52"/>
        <v>62.5</v>
      </c>
    </row>
    <row r="1412" spans="6:9">
      <c r="F1412" s="12" t="str">
        <f>Absolute_Scores!F1412</f>
        <v>@jenniferchrstie</v>
      </c>
      <c r="G1412" s="12" t="str">
        <f>Absolute_Scores!G1412</f>
        <v>TikTok</v>
      </c>
      <c r="H1412" s="29">
        <f>Absolute_Scores!I1412</f>
        <v>50</v>
      </c>
      <c r="I1412" s="30">
        <f t="shared" si="52"/>
        <v>62.5</v>
      </c>
    </row>
    <row r="1413" spans="6:9">
      <c r="F1413" s="12" t="str">
        <f>Absolute_Scores!F1413</f>
        <v>@jenniferkezia99</v>
      </c>
      <c r="G1413" s="12" t="str">
        <f>Absolute_Scores!G1413</f>
        <v>TikTok</v>
      </c>
      <c r="H1413" s="29">
        <f>Absolute_Scores!I1413</f>
        <v>50</v>
      </c>
      <c r="I1413" s="30">
        <f t="shared" si="52"/>
        <v>62.5</v>
      </c>
    </row>
    <row r="1414" spans="6:9">
      <c r="F1414" s="12" t="str">
        <f>Absolute_Scores!F1414</f>
        <v>@jennmalita</v>
      </c>
      <c r="G1414" s="12" t="str">
        <f>Absolute_Scores!G1414</f>
        <v>Instagram</v>
      </c>
      <c r="H1414" s="29">
        <f>Absolute_Scores!I1414</f>
        <v>50</v>
      </c>
      <c r="I1414" s="30">
        <f t="shared" ref="I1414:I1477" si="53">ROUND(H1414/$I$4*100,2)</f>
        <v>62.5</v>
      </c>
    </row>
    <row r="1415" spans="6:9">
      <c r="F1415" s="12" t="str">
        <f>Absolute_Scores!F1415</f>
        <v>@jepe.14</v>
      </c>
      <c r="G1415" s="12" t="str">
        <f>Absolute_Scores!G1415</f>
        <v>TikTok</v>
      </c>
      <c r="H1415" s="29">
        <f>Absolute_Scores!I1415</f>
        <v>50</v>
      </c>
      <c r="I1415" s="30">
        <f t="shared" si="53"/>
        <v>62.5</v>
      </c>
    </row>
    <row r="1416" spans="6:9">
      <c r="F1416" s="12" t="str">
        <f>Absolute_Scores!F1416</f>
        <v>@jeremiahlakhwani</v>
      </c>
      <c r="G1416" s="12" t="str">
        <f>Absolute_Scores!G1416</f>
        <v>Instagram</v>
      </c>
      <c r="H1416" s="29">
        <f>Absolute_Scores!I1416</f>
        <v>50</v>
      </c>
      <c r="I1416" s="30">
        <f t="shared" si="53"/>
        <v>62.5</v>
      </c>
    </row>
    <row r="1417" spans="6:9">
      <c r="F1417" s="12" t="str">
        <f>Absolute_Scores!F1417</f>
        <v>@jeremyviar1</v>
      </c>
      <c r="G1417" s="12" t="str">
        <f>Absolute_Scores!G1417</f>
        <v>TikTok</v>
      </c>
      <c r="H1417" s="29">
        <f>Absolute_Scores!I1417</f>
        <v>50</v>
      </c>
      <c r="I1417" s="30">
        <f t="shared" si="53"/>
        <v>62.5</v>
      </c>
    </row>
    <row r="1418" spans="6:9">
      <c r="F1418" s="12" t="str">
        <f>Absolute_Scores!F1418</f>
        <v>@jerkuy_</v>
      </c>
      <c r="G1418" s="12" t="str">
        <f>Absolute_Scores!G1418</f>
        <v>TikTok</v>
      </c>
      <c r="H1418" s="29">
        <f>Absolute_Scores!I1418</f>
        <v>50</v>
      </c>
      <c r="I1418" s="30">
        <f t="shared" si="53"/>
        <v>62.5</v>
      </c>
    </row>
    <row r="1419" spans="6:9">
      <c r="F1419" s="12" t="str">
        <f>Absolute_Scores!F1419</f>
        <v>@jerny.sidabutar</v>
      </c>
      <c r="G1419" s="12" t="str">
        <f>Absolute_Scores!G1419</f>
        <v>Instagram</v>
      </c>
      <c r="H1419" s="29">
        <f>Absolute_Scores!I1419</f>
        <v>50</v>
      </c>
      <c r="I1419" s="30">
        <f t="shared" si="53"/>
        <v>62.5</v>
      </c>
    </row>
    <row r="1420" spans="6:9">
      <c r="F1420" s="12" t="str">
        <f>Absolute_Scores!F1420</f>
        <v>@jesicaceren_</v>
      </c>
      <c r="G1420" s="12" t="str">
        <f>Absolute_Scores!G1420</f>
        <v>TikTok</v>
      </c>
      <c r="H1420" s="29">
        <f>Absolute_Scores!I1420</f>
        <v>50</v>
      </c>
      <c r="I1420" s="30">
        <f t="shared" si="53"/>
        <v>62.5</v>
      </c>
    </row>
    <row r="1421" spans="6:9">
      <c r="F1421" s="12" t="str">
        <f>Absolute_Scores!F1421</f>
        <v>@jessicajehaa</v>
      </c>
      <c r="G1421" s="12" t="str">
        <f>Absolute_Scores!G1421</f>
        <v>TikTok</v>
      </c>
      <c r="H1421" s="29">
        <f>Absolute_Scores!I1421</f>
        <v>50</v>
      </c>
      <c r="I1421" s="30">
        <f t="shared" si="53"/>
        <v>62.5</v>
      </c>
    </row>
    <row r="1422" spans="6:9">
      <c r="F1422" s="12" t="str">
        <f>Absolute_Scores!F1422</f>
        <v>@jessicanovia26</v>
      </c>
      <c r="G1422" s="12" t="str">
        <f>Absolute_Scores!G1422</f>
        <v>Instagram</v>
      </c>
      <c r="H1422" s="29">
        <f>Absolute_Scores!I1422</f>
        <v>50</v>
      </c>
      <c r="I1422" s="30">
        <f t="shared" si="53"/>
        <v>62.5</v>
      </c>
    </row>
    <row r="1423" spans="6:9">
      <c r="F1423" s="12" t="str">
        <f>Absolute_Scores!F1423</f>
        <v>@jesslynanggara</v>
      </c>
      <c r="G1423" s="12" t="str">
        <f>Absolute_Scores!G1423</f>
        <v>TikTok</v>
      </c>
      <c r="H1423" s="29">
        <f>Absolute_Scores!I1423</f>
        <v>50</v>
      </c>
      <c r="I1423" s="30">
        <f t="shared" si="53"/>
        <v>62.5</v>
      </c>
    </row>
    <row r="1424" spans="6:9">
      <c r="F1424" s="12" t="str">
        <f>Absolute_Scores!F1424</f>
        <v>@jesslynfed</v>
      </c>
      <c r="G1424" s="12" t="str">
        <f>Absolute_Scores!G1424</f>
        <v>TikTok</v>
      </c>
      <c r="H1424" s="29">
        <f>Absolute_Scores!I1424</f>
        <v>50</v>
      </c>
      <c r="I1424" s="30">
        <f t="shared" si="53"/>
        <v>62.5</v>
      </c>
    </row>
    <row r="1425" spans="6:9">
      <c r="F1425" s="12" t="str">
        <f>Absolute_Scores!F1425</f>
        <v>@jesslynjoy1</v>
      </c>
      <c r="G1425" s="12" t="str">
        <f>Absolute_Scores!G1425</f>
        <v>TikTok</v>
      </c>
      <c r="H1425" s="29">
        <f>Absolute_Scores!I1425</f>
        <v>50</v>
      </c>
      <c r="I1425" s="30">
        <f t="shared" si="53"/>
        <v>62.5</v>
      </c>
    </row>
    <row r="1426" spans="6:9">
      <c r="F1426" s="12" t="str">
        <f>Absolute_Scores!F1426</f>
        <v>@jevoonn</v>
      </c>
      <c r="G1426" s="12" t="str">
        <f>Absolute_Scores!G1426</f>
        <v>TikTok</v>
      </c>
      <c r="H1426" s="29">
        <f>Absolute_Scores!I1426</f>
        <v>50</v>
      </c>
      <c r="I1426" s="30">
        <f t="shared" si="53"/>
        <v>62.5</v>
      </c>
    </row>
    <row r="1427" spans="6:9">
      <c r="F1427" s="12" t="str">
        <f>Absolute_Scores!F1427</f>
        <v>@jhenyw</v>
      </c>
      <c r="G1427" s="12" t="str">
        <f>Absolute_Scores!G1427</f>
        <v>Instagram</v>
      </c>
      <c r="H1427" s="29">
        <f>Absolute_Scores!I1427</f>
        <v>50</v>
      </c>
      <c r="I1427" s="30">
        <f t="shared" si="53"/>
        <v>62.5</v>
      </c>
    </row>
    <row r="1428" spans="6:9">
      <c r="F1428" s="12" t="str">
        <f>Absolute_Scores!F1428</f>
        <v>@jiancokraimu</v>
      </c>
      <c r="G1428" s="12" t="str">
        <f>Absolute_Scores!G1428</f>
        <v>TikTok</v>
      </c>
      <c r="H1428" s="29">
        <f>Absolute_Scores!I1428</f>
        <v>50</v>
      </c>
      <c r="I1428" s="30">
        <f t="shared" si="53"/>
        <v>62.5</v>
      </c>
    </row>
    <row r="1429" spans="6:9">
      <c r="F1429" s="12" t="str">
        <f>Absolute_Scores!F1429</f>
        <v>@jillkimberlykwee</v>
      </c>
      <c r="G1429" s="12" t="str">
        <f>Absolute_Scores!G1429</f>
        <v>Instagram</v>
      </c>
      <c r="H1429" s="29">
        <f>Absolute_Scores!I1429</f>
        <v>50</v>
      </c>
      <c r="I1429" s="30">
        <f t="shared" si="53"/>
        <v>62.5</v>
      </c>
    </row>
    <row r="1430" spans="6:9">
      <c r="F1430" s="12" t="str">
        <f>Absolute_Scores!F1430</f>
        <v>@jkt48gracia</v>
      </c>
      <c r="G1430" s="12" t="str">
        <f>Absolute_Scores!G1430</f>
        <v>Instagram</v>
      </c>
      <c r="H1430" s="29">
        <f>Absolute_Scores!I1430</f>
        <v>50</v>
      </c>
      <c r="I1430" s="30">
        <f t="shared" si="53"/>
        <v>62.5</v>
      </c>
    </row>
    <row r="1431" spans="6:9">
      <c r="F1431" s="12" t="str">
        <f>Absolute_Scores!F1431</f>
        <v>@jnnzee</v>
      </c>
      <c r="G1431" s="12" t="str">
        <f>Absolute_Scores!G1431</f>
        <v>TikTok</v>
      </c>
      <c r="H1431" s="29">
        <f>Absolute_Scores!I1431</f>
        <v>50</v>
      </c>
      <c r="I1431" s="30">
        <f t="shared" si="53"/>
        <v>62.5</v>
      </c>
    </row>
    <row r="1432" spans="6:9">
      <c r="F1432" s="12" t="str">
        <f>Absolute_Scores!F1432</f>
        <v>@joevianly</v>
      </c>
      <c r="G1432" s="12" t="str">
        <f>Absolute_Scores!G1432</f>
        <v>TikTok</v>
      </c>
      <c r="H1432" s="29">
        <f>Absolute_Scores!I1432</f>
        <v>50</v>
      </c>
      <c r="I1432" s="30">
        <f t="shared" si="53"/>
        <v>62.5</v>
      </c>
    </row>
    <row r="1433" spans="6:9">
      <c r="F1433" s="12" t="str">
        <f>Absolute_Scores!F1433</f>
        <v>@joeybndkt</v>
      </c>
      <c r="G1433" s="12" t="str">
        <f>Absolute_Scores!G1433</f>
        <v>TikTok</v>
      </c>
      <c r="H1433" s="29">
        <f>Absolute_Scores!I1433</f>
        <v>50</v>
      </c>
      <c r="I1433" s="30">
        <f t="shared" si="53"/>
        <v>62.5</v>
      </c>
    </row>
    <row r="1434" spans="6:9">
      <c r="F1434" s="12" t="str">
        <f>Absolute_Scores!F1434</f>
        <v>@jogja_berada</v>
      </c>
      <c r="G1434" s="12" t="str">
        <f>Absolute_Scores!G1434</f>
        <v>TikTok</v>
      </c>
      <c r="H1434" s="29">
        <f>Absolute_Scores!I1434</f>
        <v>50</v>
      </c>
      <c r="I1434" s="30">
        <f t="shared" si="53"/>
        <v>62.5</v>
      </c>
    </row>
    <row r="1435" spans="6:9">
      <c r="F1435" s="12" t="str">
        <f>Absolute_Scores!F1435</f>
        <v>@jon.ganda</v>
      </c>
      <c r="G1435" s="12" t="str">
        <f>Absolute_Scores!G1435</f>
        <v>TikTok</v>
      </c>
      <c r="H1435" s="29">
        <f>Absolute_Scores!I1435</f>
        <v>50</v>
      </c>
      <c r="I1435" s="30">
        <f t="shared" si="53"/>
        <v>62.5</v>
      </c>
    </row>
    <row r="1436" spans="6:9">
      <c r="F1436" s="12" t="str">
        <f>Absolute_Scores!F1436</f>
        <v>@joseph1negaby</v>
      </c>
      <c r="G1436" s="12" t="str">
        <f>Absolute_Scores!G1436</f>
        <v>TikTok</v>
      </c>
      <c r="H1436" s="29">
        <f>Absolute_Scores!I1436</f>
        <v>50</v>
      </c>
      <c r="I1436" s="30">
        <f t="shared" si="53"/>
        <v>62.5</v>
      </c>
    </row>
    <row r="1437" spans="6:9">
      <c r="F1437" s="12" t="str">
        <f>Absolute_Scores!F1437</f>
        <v>@josephinehalim</v>
      </c>
      <c r="G1437" s="12" t="str">
        <f>Absolute_Scores!G1437</f>
        <v>Instagram</v>
      </c>
      <c r="H1437" s="29">
        <f>Absolute_Scores!I1437</f>
        <v>50</v>
      </c>
      <c r="I1437" s="30">
        <f t="shared" si="53"/>
        <v>62.5</v>
      </c>
    </row>
    <row r="1438" spans="6:9">
      <c r="F1438" s="12" t="str">
        <f>Absolute_Scores!F1438</f>
        <v>@jourimanzkyp</v>
      </c>
      <c r="G1438" s="12" t="str">
        <f>Absolute_Scores!G1438</f>
        <v>TikTok</v>
      </c>
      <c r="H1438" s="29">
        <f>Absolute_Scores!I1438</f>
        <v>50</v>
      </c>
      <c r="I1438" s="30">
        <f t="shared" si="53"/>
        <v>62.5</v>
      </c>
    </row>
    <row r="1439" spans="6:9">
      <c r="F1439" s="12" t="str">
        <f>Absolute_Scores!F1439</f>
        <v>@jovita.sulaiman</v>
      </c>
      <c r="G1439" s="12" t="str">
        <f>Absolute_Scores!G1439</f>
        <v>Instagram</v>
      </c>
      <c r="H1439" s="29">
        <f>Absolute_Scores!I1439</f>
        <v>50</v>
      </c>
      <c r="I1439" s="30">
        <f t="shared" si="53"/>
        <v>62.5</v>
      </c>
    </row>
    <row r="1440" spans="6:9">
      <c r="F1440" s="12" t="str">
        <f>Absolute_Scores!F1440</f>
        <v>@jtthere</v>
      </c>
      <c r="G1440" s="12" t="str">
        <f>Absolute_Scores!G1440</f>
        <v>TikTok</v>
      </c>
      <c r="H1440" s="29">
        <f>Absolute_Scores!I1440</f>
        <v>50</v>
      </c>
      <c r="I1440" s="30">
        <f t="shared" si="53"/>
        <v>62.5</v>
      </c>
    </row>
    <row r="1441" spans="6:9">
      <c r="F1441" s="12" t="str">
        <f>Absolute_Scores!F1441</f>
        <v>@juliyani_06</v>
      </c>
      <c r="G1441" s="12" t="str">
        <f>Absolute_Scores!G1441</f>
        <v>Instagram</v>
      </c>
      <c r="H1441" s="29">
        <f>Absolute_Scores!I1441</f>
        <v>50</v>
      </c>
      <c r="I1441" s="30">
        <f t="shared" si="53"/>
        <v>62.5</v>
      </c>
    </row>
    <row r="1442" spans="6:9">
      <c r="F1442" s="12" t="str">
        <f>Absolute_Scores!F1442</f>
        <v>@jurnaldigital</v>
      </c>
      <c r="G1442" s="12" t="str">
        <f>Absolute_Scores!G1442</f>
        <v>TikTok</v>
      </c>
      <c r="H1442" s="29">
        <f>Absolute_Scores!I1442</f>
        <v>50</v>
      </c>
      <c r="I1442" s="30">
        <f t="shared" si="53"/>
        <v>62.5</v>
      </c>
    </row>
    <row r="1443" spans="6:9">
      <c r="F1443" s="12" t="str">
        <f>Absolute_Scores!F1443</f>
        <v>@jurnalsafa</v>
      </c>
      <c r="G1443" s="12" t="str">
        <f>Absolute_Scores!G1443</f>
        <v>TikTok</v>
      </c>
      <c r="H1443" s="29">
        <f>Absolute_Scores!I1443</f>
        <v>50</v>
      </c>
      <c r="I1443" s="30">
        <f t="shared" si="53"/>
        <v>62.5</v>
      </c>
    </row>
    <row r="1444" spans="6:9">
      <c r="F1444" s="12" t="str">
        <f>Absolute_Scores!F1444</f>
        <v>@just.ir.ma</v>
      </c>
      <c r="G1444" s="12" t="str">
        <f>Absolute_Scores!G1444</f>
        <v>Instagram</v>
      </c>
      <c r="H1444" s="29">
        <f>Absolute_Scores!I1444</f>
        <v>50</v>
      </c>
      <c r="I1444" s="30">
        <f t="shared" si="53"/>
        <v>62.5</v>
      </c>
    </row>
    <row r="1445" spans="6:9">
      <c r="F1445" s="12" t="str">
        <f>Absolute_Scores!F1445</f>
        <v>@justrelaxgurl</v>
      </c>
      <c r="G1445" s="12" t="str">
        <f>Absolute_Scores!G1445</f>
        <v>TikTok</v>
      </c>
      <c r="H1445" s="29">
        <f>Absolute_Scores!I1445</f>
        <v>50</v>
      </c>
      <c r="I1445" s="30">
        <f t="shared" si="53"/>
        <v>62.5</v>
      </c>
    </row>
    <row r="1446" spans="6:9">
      <c r="F1446" s="12" t="str">
        <f>Absolute_Scores!F1446</f>
        <v>@juwitalarast</v>
      </c>
      <c r="G1446" s="12" t="str">
        <f>Absolute_Scores!G1446</f>
        <v>Instagram</v>
      </c>
      <c r="H1446" s="29">
        <f>Absolute_Scores!I1446</f>
        <v>50</v>
      </c>
      <c r="I1446" s="30">
        <f t="shared" si="53"/>
        <v>62.5</v>
      </c>
    </row>
    <row r="1447" spans="6:9">
      <c r="F1447" s="12" t="str">
        <f>Absolute_Scores!F1447</f>
        <v>@juwllll</v>
      </c>
      <c r="G1447" s="12" t="str">
        <f>Absolute_Scores!G1447</f>
        <v>TikTok</v>
      </c>
      <c r="H1447" s="29">
        <f>Absolute_Scores!I1447</f>
        <v>50</v>
      </c>
      <c r="I1447" s="30">
        <f t="shared" si="53"/>
        <v>62.5</v>
      </c>
    </row>
    <row r="1448" spans="6:9">
      <c r="F1448" s="12" t="str">
        <f>Absolute_Scores!F1448</f>
        <v>@kaci.nuna</v>
      </c>
      <c r="G1448" s="12" t="str">
        <f>Absolute_Scores!G1448</f>
        <v>TikTok</v>
      </c>
      <c r="H1448" s="29">
        <f>Absolute_Scores!I1448</f>
        <v>50</v>
      </c>
      <c r="I1448" s="30">
        <f t="shared" si="53"/>
        <v>62.5</v>
      </c>
    </row>
    <row r="1449" spans="6:9">
      <c r="F1449" s="12" t="str">
        <f>Absolute_Scores!F1449</f>
        <v>@kadang.sokinggris</v>
      </c>
      <c r="G1449" s="12" t="str">
        <f>Absolute_Scores!G1449</f>
        <v>TikTok</v>
      </c>
      <c r="H1449" s="29">
        <f>Absolute_Scores!I1449</f>
        <v>50</v>
      </c>
      <c r="I1449" s="30">
        <f t="shared" si="53"/>
        <v>62.5</v>
      </c>
    </row>
    <row r="1450" spans="6:9">
      <c r="F1450" s="12" t="str">
        <f>Absolute_Scores!F1450</f>
        <v>@kaeside_</v>
      </c>
      <c r="G1450" s="12" t="str">
        <f>Absolute_Scores!G1450</f>
        <v>Instagram</v>
      </c>
      <c r="H1450" s="29">
        <f>Absolute_Scores!I1450</f>
        <v>50</v>
      </c>
      <c r="I1450" s="30">
        <f t="shared" si="53"/>
        <v>62.5</v>
      </c>
    </row>
    <row r="1451" spans="6:9">
      <c r="F1451" s="12" t="str">
        <f>Absolute_Scores!F1451</f>
        <v>@kafimbrk98__</v>
      </c>
      <c r="G1451" s="12" t="str">
        <f>Absolute_Scores!G1451</f>
        <v>TikTok</v>
      </c>
      <c r="H1451" s="29">
        <f>Absolute_Scores!I1451</f>
        <v>50</v>
      </c>
      <c r="I1451" s="30">
        <f t="shared" si="53"/>
        <v>62.5</v>
      </c>
    </row>
    <row r="1452" spans="6:9">
      <c r="F1452" s="12" t="str">
        <f>Absolute_Scores!F1452</f>
        <v>@kakaminda</v>
      </c>
      <c r="G1452" s="12" t="str">
        <f>Absolute_Scores!G1452</f>
        <v>Instagram</v>
      </c>
      <c r="H1452" s="29">
        <f>Absolute_Scores!I1452</f>
        <v>50</v>
      </c>
      <c r="I1452" s="30">
        <f t="shared" si="53"/>
        <v>62.5</v>
      </c>
    </row>
    <row r="1453" spans="6:9">
      <c r="F1453" s="12" t="str">
        <f>Absolute_Scores!F1453</f>
        <v>@kalyazhr</v>
      </c>
      <c r="G1453" s="12" t="str">
        <f>Absolute_Scores!G1453</f>
        <v>TikTok</v>
      </c>
      <c r="H1453" s="29">
        <f>Absolute_Scores!I1453</f>
        <v>50</v>
      </c>
      <c r="I1453" s="30">
        <f t="shared" si="53"/>
        <v>62.5</v>
      </c>
    </row>
    <row r="1454" spans="6:9">
      <c r="F1454" s="12" t="str">
        <f>Absolute_Scores!F1454</f>
        <v>@kamilaanisa_</v>
      </c>
      <c r="G1454" s="12" t="str">
        <f>Absolute_Scores!G1454</f>
        <v>Instagram</v>
      </c>
      <c r="H1454" s="29">
        <f>Absolute_Scores!I1454</f>
        <v>50</v>
      </c>
      <c r="I1454" s="30">
        <f t="shared" si="53"/>
        <v>62.5</v>
      </c>
    </row>
    <row r="1455" spans="6:9">
      <c r="F1455" s="12" t="str">
        <f>Absolute_Scores!F1455</f>
        <v>@kamuflasse</v>
      </c>
      <c r="G1455" s="12" t="str">
        <f>Absolute_Scores!G1455</f>
        <v>TikTok</v>
      </c>
      <c r="H1455" s="29">
        <f>Absolute_Scores!I1455</f>
        <v>50</v>
      </c>
      <c r="I1455" s="30">
        <f t="shared" si="53"/>
        <v>62.5</v>
      </c>
    </row>
    <row r="1456" spans="6:9">
      <c r="F1456" s="12" t="str">
        <f>Absolute_Scores!F1456</f>
        <v>@kania_permatasari</v>
      </c>
      <c r="G1456" s="12" t="str">
        <f>Absolute_Scores!G1456</f>
        <v>TikTok</v>
      </c>
      <c r="H1456" s="29">
        <f>Absolute_Scores!I1456</f>
        <v>50</v>
      </c>
      <c r="I1456" s="30">
        <f t="shared" si="53"/>
        <v>62.5</v>
      </c>
    </row>
    <row r="1457" spans="6:9">
      <c r="F1457" s="12" t="str">
        <f>Absolute_Scores!F1457</f>
        <v>@kaniajoo</v>
      </c>
      <c r="G1457" s="12" t="str">
        <f>Absolute_Scores!G1457</f>
        <v>Instagram</v>
      </c>
      <c r="H1457" s="29">
        <f>Absolute_Scores!I1457</f>
        <v>50</v>
      </c>
      <c r="I1457" s="30">
        <f t="shared" si="53"/>
        <v>62.5</v>
      </c>
    </row>
    <row r="1458" spans="6:9">
      <c r="F1458" s="12" t="str">
        <f>Absolute_Scores!F1458</f>
        <v>@kanizzlle</v>
      </c>
      <c r="G1458" s="12" t="str">
        <f>Absolute_Scores!G1458</f>
        <v>TikTok</v>
      </c>
      <c r="H1458" s="29">
        <f>Absolute_Scores!I1458</f>
        <v>50</v>
      </c>
      <c r="I1458" s="30">
        <f t="shared" si="53"/>
        <v>62.5</v>
      </c>
    </row>
    <row r="1459" spans="6:9">
      <c r="F1459" s="12" t="str">
        <f>Absolute_Scores!F1459</f>
        <v>@kareenaptr</v>
      </c>
      <c r="G1459" s="12" t="str">
        <f>Absolute_Scores!G1459</f>
        <v>Instagram</v>
      </c>
      <c r="H1459" s="29">
        <f>Absolute_Scores!I1459</f>
        <v>50</v>
      </c>
      <c r="I1459" s="30">
        <f t="shared" si="53"/>
        <v>62.5</v>
      </c>
    </row>
    <row r="1460" spans="6:9">
      <c r="F1460" s="12" t="str">
        <f>Absolute_Scores!F1460</f>
        <v>@karina_noor</v>
      </c>
      <c r="G1460" s="12" t="str">
        <f>Absolute_Scores!G1460</f>
        <v>Instagram</v>
      </c>
      <c r="H1460" s="29">
        <f>Absolute_Scores!I1460</f>
        <v>50</v>
      </c>
      <c r="I1460" s="30">
        <f t="shared" si="53"/>
        <v>62.5</v>
      </c>
    </row>
    <row r="1461" spans="6:9">
      <c r="F1461" s="12" t="str">
        <f>Absolute_Scores!F1461</f>
        <v>@karina_rattulangi</v>
      </c>
      <c r="G1461" s="12" t="str">
        <f>Absolute_Scores!G1461</f>
        <v>Instagram</v>
      </c>
      <c r="H1461" s="29">
        <f>Absolute_Scores!I1461</f>
        <v>50</v>
      </c>
      <c r="I1461" s="30">
        <f t="shared" si="53"/>
        <v>62.5</v>
      </c>
    </row>
    <row r="1462" spans="6:9">
      <c r="F1462" s="12" t="str">
        <f>Absolute_Scores!F1462</f>
        <v>@karinabelindaa</v>
      </c>
      <c r="G1462" s="12" t="str">
        <f>Absolute_Scores!G1462</f>
        <v>TikTok</v>
      </c>
      <c r="H1462" s="29">
        <f>Absolute_Scores!I1462</f>
        <v>50</v>
      </c>
      <c r="I1462" s="30">
        <f t="shared" si="53"/>
        <v>62.5</v>
      </c>
    </row>
    <row r="1463" spans="6:9">
      <c r="F1463" s="12" t="str">
        <f>Absolute_Scores!F1463</f>
        <v>@karl_home</v>
      </c>
      <c r="G1463" s="12" t="str">
        <f>Absolute_Scores!G1463</f>
        <v>Instagram</v>
      </c>
      <c r="H1463" s="29">
        <f>Absolute_Scores!I1463</f>
        <v>50</v>
      </c>
      <c r="I1463" s="30">
        <f t="shared" si="53"/>
        <v>62.5</v>
      </c>
    </row>
    <row r="1464" spans="6:9">
      <c r="F1464" s="12" t="str">
        <f>Absolute_Scores!F1464</f>
        <v>@kasyaaptr</v>
      </c>
      <c r="G1464" s="12" t="str">
        <f>Absolute_Scores!G1464</f>
        <v>TikTok</v>
      </c>
      <c r="H1464" s="29">
        <f>Absolute_Scores!I1464</f>
        <v>50</v>
      </c>
      <c r="I1464" s="30">
        <f t="shared" si="53"/>
        <v>62.5</v>
      </c>
    </row>
    <row r="1465" spans="6:9">
      <c r="F1465" s="12" t="str">
        <f>Absolute_Scores!F1465</f>
        <v>@kathleen_renee18</v>
      </c>
      <c r="G1465" s="12" t="str">
        <f>Absolute_Scores!G1465</f>
        <v>Instagram</v>
      </c>
      <c r="H1465" s="29">
        <f>Absolute_Scores!I1465</f>
        <v>50</v>
      </c>
      <c r="I1465" s="30">
        <f t="shared" si="53"/>
        <v>62.5</v>
      </c>
    </row>
    <row r="1466" spans="6:9">
      <c r="F1466" s="12" t="str">
        <f>Absolute_Scores!F1466</f>
        <v>@kathpriskila</v>
      </c>
      <c r="G1466" s="12" t="str">
        <f>Absolute_Scores!G1466</f>
        <v>TikTok</v>
      </c>
      <c r="H1466" s="29">
        <f>Absolute_Scores!I1466</f>
        <v>50</v>
      </c>
      <c r="I1466" s="30">
        <f t="shared" si="53"/>
        <v>62.5</v>
      </c>
    </row>
    <row r="1467" spans="6:9">
      <c r="F1467" s="12" t="str">
        <f>Absolute_Scores!F1467</f>
        <v>@kathypermata9</v>
      </c>
      <c r="G1467" s="12" t="str">
        <f>Absolute_Scores!G1467</f>
        <v>TikTok</v>
      </c>
      <c r="H1467" s="29">
        <f>Absolute_Scores!I1467</f>
        <v>50</v>
      </c>
      <c r="I1467" s="30">
        <f t="shared" si="53"/>
        <v>62.5</v>
      </c>
    </row>
    <row r="1468" spans="6:9">
      <c r="F1468" s="12" t="str">
        <f>Absolute_Scores!F1468</f>
        <v>@kayla_odeliazahra</v>
      </c>
      <c r="G1468" s="12" t="str">
        <f>Absolute_Scores!G1468</f>
        <v>Instagram</v>
      </c>
      <c r="H1468" s="29">
        <f>Absolute_Scores!I1468</f>
        <v>50</v>
      </c>
      <c r="I1468" s="30">
        <f t="shared" si="53"/>
        <v>62.5</v>
      </c>
    </row>
    <row r="1469" spans="6:9">
      <c r="F1469" s="12" t="str">
        <f>Absolute_Scores!F1469</f>
        <v>@kaylaaaapf</v>
      </c>
      <c r="G1469" s="12" t="str">
        <f>Absolute_Scores!G1469</f>
        <v>TikTok</v>
      </c>
      <c r="H1469" s="29">
        <f>Absolute_Scores!I1469</f>
        <v>50</v>
      </c>
      <c r="I1469" s="30">
        <f t="shared" si="53"/>
        <v>62.5</v>
      </c>
    </row>
    <row r="1470" spans="6:9">
      <c r="F1470" s="12" t="str">
        <f>Absolute_Scores!F1470</f>
        <v>@kaylahafsyari</v>
      </c>
      <c r="G1470" s="12" t="str">
        <f>Absolute_Scores!G1470</f>
        <v>TikTok</v>
      </c>
      <c r="H1470" s="29">
        <f>Absolute_Scores!I1470</f>
        <v>50</v>
      </c>
      <c r="I1470" s="30">
        <f t="shared" si="53"/>
        <v>62.5</v>
      </c>
    </row>
    <row r="1471" spans="6:9">
      <c r="F1471" s="12" t="str">
        <f>Absolute_Scores!F1471</f>
        <v>@kayraacans</v>
      </c>
      <c r="G1471" s="12" t="str">
        <f>Absolute_Scores!G1471</f>
        <v>Instagram</v>
      </c>
      <c r="H1471" s="29">
        <f>Absolute_Scores!I1471</f>
        <v>50</v>
      </c>
      <c r="I1471" s="30">
        <f t="shared" si="53"/>
        <v>62.5</v>
      </c>
    </row>
    <row r="1472" spans="6:9">
      <c r="F1472" s="12" t="str">
        <f>Absolute_Scores!F1472</f>
        <v>@keanuagl</v>
      </c>
      <c r="G1472" s="12" t="str">
        <f>Absolute_Scores!G1472</f>
        <v>TikTok</v>
      </c>
      <c r="H1472" s="29">
        <f>Absolute_Scores!I1472</f>
        <v>50</v>
      </c>
      <c r="I1472" s="30">
        <f t="shared" si="53"/>
        <v>62.5</v>
      </c>
    </row>
    <row r="1473" spans="6:9">
      <c r="F1473" s="12" t="str">
        <f>Absolute_Scores!F1473</f>
        <v>@keciilll</v>
      </c>
      <c r="G1473" s="12" t="str">
        <f>Absolute_Scores!G1473</f>
        <v>TikTok</v>
      </c>
      <c r="H1473" s="29">
        <f>Absolute_Scores!I1473</f>
        <v>50</v>
      </c>
      <c r="I1473" s="30">
        <f t="shared" si="53"/>
        <v>62.5</v>
      </c>
    </row>
    <row r="1474" spans="6:9">
      <c r="F1474" s="12" t="str">
        <f>Absolute_Scores!F1474</f>
        <v>@kee_ms</v>
      </c>
      <c r="G1474" s="12" t="str">
        <f>Absolute_Scores!G1474</f>
        <v>Instagram</v>
      </c>
      <c r="H1474" s="29">
        <f>Absolute_Scores!I1474</f>
        <v>50</v>
      </c>
      <c r="I1474" s="30">
        <f t="shared" si="53"/>
        <v>62.5</v>
      </c>
    </row>
    <row r="1475" spans="6:9">
      <c r="F1475" s="12" t="str">
        <f>Absolute_Scores!F1475</f>
        <v>@keerunnn</v>
      </c>
      <c r="G1475" s="12" t="str">
        <f>Absolute_Scores!G1475</f>
        <v>TikTok</v>
      </c>
      <c r="H1475" s="29">
        <f>Absolute_Scores!I1475</f>
        <v>50</v>
      </c>
      <c r="I1475" s="30">
        <f t="shared" si="53"/>
        <v>62.5</v>
      </c>
    </row>
    <row r="1476" spans="6:9">
      <c r="F1476" s="12" t="str">
        <f>Absolute_Scores!F1476</f>
        <v>@kehidupankoe</v>
      </c>
      <c r="G1476" s="12" t="str">
        <f>Absolute_Scores!G1476</f>
        <v>TikTok</v>
      </c>
      <c r="H1476" s="29">
        <f>Absolute_Scores!I1476</f>
        <v>50</v>
      </c>
      <c r="I1476" s="30">
        <f t="shared" si="53"/>
        <v>62.5</v>
      </c>
    </row>
    <row r="1477" spans="6:9">
      <c r="F1477" s="12" t="str">
        <f>Absolute_Scores!F1477</f>
        <v>@kehlaniaa</v>
      </c>
      <c r="G1477" s="12" t="str">
        <f>Absolute_Scores!G1477</f>
        <v>TikTok</v>
      </c>
      <c r="H1477" s="29">
        <f>Absolute_Scores!I1477</f>
        <v>50</v>
      </c>
      <c r="I1477" s="30">
        <f t="shared" si="53"/>
        <v>62.5</v>
      </c>
    </row>
    <row r="1478" spans="6:9">
      <c r="F1478" s="12" t="str">
        <f>Absolute_Scores!F1478</f>
        <v>@keiishabel</v>
      </c>
      <c r="G1478" s="12" t="str">
        <f>Absolute_Scores!G1478</f>
        <v>TikTok</v>
      </c>
      <c r="H1478" s="29">
        <f>Absolute_Scores!I1478</f>
        <v>50</v>
      </c>
      <c r="I1478" s="30">
        <f t="shared" ref="I1478:I1541" si="54">ROUND(H1478/$I$4*100,2)</f>
        <v>62.5</v>
      </c>
    </row>
    <row r="1479" spans="6:9">
      <c r="F1479" s="12" t="str">
        <f>Absolute_Scores!F1479</f>
        <v>@keila_naifa</v>
      </c>
      <c r="G1479" s="12" t="str">
        <f>Absolute_Scores!G1479</f>
        <v>TikTok</v>
      </c>
      <c r="H1479" s="29">
        <f>Absolute_Scores!I1479</f>
        <v>50</v>
      </c>
      <c r="I1479" s="30">
        <f t="shared" si="54"/>
        <v>62.5</v>
      </c>
    </row>
    <row r="1480" spans="6:9">
      <c r="F1480" s="12" t="str">
        <f>Absolute_Scores!F1480</f>
        <v>@kellykhey</v>
      </c>
      <c r="G1480" s="12" t="str">
        <f>Absolute_Scores!G1480</f>
        <v>Instagram</v>
      </c>
      <c r="H1480" s="29">
        <f>Absolute_Scores!I1480</f>
        <v>50</v>
      </c>
      <c r="I1480" s="30">
        <f t="shared" si="54"/>
        <v>62.5</v>
      </c>
    </row>
    <row r="1481" spans="6:9">
      <c r="F1481" s="12" t="str">
        <f>Absolute_Scores!F1481</f>
        <v>@kelompoklapan</v>
      </c>
      <c r="G1481" s="12" t="str">
        <f>Absolute_Scores!G1481</f>
        <v>TikTok</v>
      </c>
      <c r="H1481" s="29">
        <f>Absolute_Scores!I1481</f>
        <v>50</v>
      </c>
      <c r="I1481" s="30">
        <f t="shared" si="54"/>
        <v>62.5</v>
      </c>
    </row>
    <row r="1482" spans="6:9">
      <c r="F1482" s="12" t="str">
        <f>Absolute_Scores!F1482</f>
        <v>@keluargaa6zay</v>
      </c>
      <c r="G1482" s="12" t="str">
        <f>Absolute_Scores!G1482</f>
        <v>TikTok</v>
      </c>
      <c r="H1482" s="29">
        <f>Absolute_Scores!I1482</f>
        <v>50</v>
      </c>
      <c r="I1482" s="30">
        <f t="shared" si="54"/>
        <v>62.5</v>
      </c>
    </row>
    <row r="1483" spans="6:9">
      <c r="F1483" s="12" t="str">
        <f>Absolute_Scores!F1483</f>
        <v>@keluargacina</v>
      </c>
      <c r="G1483" s="12" t="str">
        <f>Absolute_Scores!G1483</f>
        <v>TikTok</v>
      </c>
      <c r="H1483" s="29">
        <f>Absolute_Scores!I1483</f>
        <v>50</v>
      </c>
      <c r="I1483" s="30">
        <f t="shared" si="54"/>
        <v>62.5</v>
      </c>
    </row>
    <row r="1484" spans="6:9">
      <c r="F1484" s="12" t="str">
        <f>Absolute_Scores!F1484</f>
        <v>@keluargapakseno</v>
      </c>
      <c r="G1484" s="12" t="str">
        <f>Absolute_Scores!G1484</f>
        <v>Instagram</v>
      </c>
      <c r="H1484" s="29">
        <f>Absolute_Scores!I1484</f>
        <v>50</v>
      </c>
      <c r="I1484" s="30">
        <f t="shared" si="54"/>
        <v>62.5</v>
      </c>
    </row>
    <row r="1485" spans="6:9">
      <c r="F1485" s="12" t="str">
        <f>Absolute_Scores!F1485</f>
        <v>@kenesah</v>
      </c>
      <c r="G1485" s="12" t="str">
        <f>Absolute_Scores!G1485</f>
        <v>TikTok</v>
      </c>
      <c r="H1485" s="29">
        <f>Absolute_Scores!I1485</f>
        <v>50</v>
      </c>
      <c r="I1485" s="30">
        <f t="shared" si="54"/>
        <v>62.5</v>
      </c>
    </row>
    <row r="1486" spans="6:9">
      <c r="F1486" s="12" t="str">
        <f>Absolute_Scores!F1486</f>
        <v>@kent.hadi</v>
      </c>
      <c r="G1486" s="12" t="str">
        <f>Absolute_Scores!G1486</f>
        <v>TikTok</v>
      </c>
      <c r="H1486" s="29">
        <f>Absolute_Scores!I1486</f>
        <v>50</v>
      </c>
      <c r="I1486" s="30">
        <f t="shared" si="54"/>
        <v>62.5</v>
      </c>
    </row>
    <row r="1487" spans="6:9">
      <c r="F1487" s="12" t="str">
        <f>Absolute_Scores!F1487</f>
        <v>@kepinappsss</v>
      </c>
      <c r="G1487" s="12" t="str">
        <f>Absolute_Scores!G1487</f>
        <v>TikTok</v>
      </c>
      <c r="H1487" s="29">
        <f>Absolute_Scores!I1487</f>
        <v>50</v>
      </c>
      <c r="I1487" s="30">
        <f t="shared" si="54"/>
        <v>62.5</v>
      </c>
    </row>
    <row r="1488" spans="6:9">
      <c r="F1488" s="12" t="str">
        <f>Absolute_Scores!F1488</f>
        <v>@kepusoccer</v>
      </c>
      <c r="G1488" s="12" t="str">
        <f>Absolute_Scores!G1488</f>
        <v>TikTok</v>
      </c>
      <c r="H1488" s="29">
        <f>Absolute_Scores!I1488</f>
        <v>50</v>
      </c>
      <c r="I1488" s="30">
        <f t="shared" si="54"/>
        <v>62.5</v>
      </c>
    </row>
    <row r="1489" spans="6:9">
      <c r="F1489" s="12" t="str">
        <f>Absolute_Scores!F1489</f>
        <v>@kesyaputrihsr</v>
      </c>
      <c r="G1489" s="12" t="str">
        <f>Absolute_Scores!G1489</f>
        <v>TikTok</v>
      </c>
      <c r="H1489" s="29">
        <f>Absolute_Scores!I1489</f>
        <v>50</v>
      </c>
      <c r="I1489" s="30">
        <f t="shared" si="54"/>
        <v>62.5</v>
      </c>
    </row>
    <row r="1490" spans="6:9">
      <c r="F1490" s="12" t="str">
        <f>Absolute_Scores!F1490</f>
        <v>@ketinmakan</v>
      </c>
      <c r="G1490" s="12" t="str">
        <f>Absolute_Scores!G1490</f>
        <v>TikTok</v>
      </c>
      <c r="H1490" s="29">
        <f>Absolute_Scores!I1490</f>
        <v>50</v>
      </c>
      <c r="I1490" s="30">
        <f t="shared" si="54"/>
        <v>62.5</v>
      </c>
    </row>
    <row r="1491" spans="6:9">
      <c r="F1491" s="12" t="str">
        <f>Absolute_Scores!F1491</f>
        <v>@kevinmuham</v>
      </c>
      <c r="G1491" s="12" t="str">
        <f>Absolute_Scores!G1491</f>
        <v>TikTok</v>
      </c>
      <c r="H1491" s="29">
        <f>Absolute_Scores!I1491</f>
        <v>50</v>
      </c>
      <c r="I1491" s="30">
        <f t="shared" si="54"/>
        <v>62.5</v>
      </c>
    </row>
    <row r="1492" spans="6:9">
      <c r="F1492" s="12" t="str">
        <f>Absolute_Scores!F1492</f>
        <v>@kevinyowilliam</v>
      </c>
      <c r="G1492" s="12" t="str">
        <f>Absolute_Scores!G1492</f>
        <v>TikTok</v>
      </c>
      <c r="H1492" s="29">
        <f>Absolute_Scores!I1492</f>
        <v>50</v>
      </c>
      <c r="I1492" s="30">
        <f t="shared" si="54"/>
        <v>62.5</v>
      </c>
    </row>
    <row r="1493" spans="6:9">
      <c r="F1493" s="12" t="str">
        <f>Absolute_Scores!F1493</f>
        <v>@keziaaletheia</v>
      </c>
      <c r="G1493" s="12" t="str">
        <f>Absolute_Scores!G1493</f>
        <v>TikTok</v>
      </c>
      <c r="H1493" s="29">
        <f>Absolute_Scores!I1493</f>
        <v>50</v>
      </c>
      <c r="I1493" s="30">
        <f t="shared" si="54"/>
        <v>62.5</v>
      </c>
    </row>
    <row r="1494" spans="6:9">
      <c r="F1494" s="12" t="str">
        <f>Absolute_Scores!F1494</f>
        <v>@keziaameliaviolin</v>
      </c>
      <c r="G1494" s="12" t="str">
        <f>Absolute_Scores!G1494</f>
        <v>TikTok</v>
      </c>
      <c r="H1494" s="29">
        <f>Absolute_Scores!I1494</f>
        <v>50</v>
      </c>
      <c r="I1494" s="30">
        <f t="shared" si="54"/>
        <v>62.5</v>
      </c>
    </row>
    <row r="1495" spans="6:9">
      <c r="F1495" s="12" t="str">
        <f>Absolute_Scores!F1495</f>
        <v>@keziaatmadji</v>
      </c>
      <c r="G1495" s="12" t="str">
        <f>Absolute_Scores!G1495</f>
        <v>TikTok</v>
      </c>
      <c r="H1495" s="29">
        <f>Absolute_Scores!I1495</f>
        <v>50</v>
      </c>
      <c r="I1495" s="30">
        <f t="shared" si="54"/>
        <v>62.5</v>
      </c>
    </row>
    <row r="1496" spans="6:9">
      <c r="F1496" s="12" t="str">
        <f>Absolute_Scores!F1496</f>
        <v>@keziachan88</v>
      </c>
      <c r="G1496" s="12" t="str">
        <f>Absolute_Scores!G1496</f>
        <v>TikTok</v>
      </c>
      <c r="H1496" s="29">
        <f>Absolute_Scores!I1496</f>
        <v>50</v>
      </c>
      <c r="I1496" s="30">
        <f t="shared" si="54"/>
        <v>62.5</v>
      </c>
    </row>
    <row r="1497" spans="6:9">
      <c r="F1497" s="12" t="str">
        <f>Absolute_Scores!F1497</f>
        <v>@keziaclaritaaa</v>
      </c>
      <c r="G1497" s="12" t="str">
        <f>Absolute_Scores!G1497</f>
        <v>TikTok</v>
      </c>
      <c r="H1497" s="29">
        <f>Absolute_Scores!I1497</f>
        <v>50</v>
      </c>
      <c r="I1497" s="30">
        <f t="shared" si="54"/>
        <v>62.5</v>
      </c>
    </row>
    <row r="1498" spans="6:9">
      <c r="F1498" s="12" t="str">
        <f>Absolute_Scores!F1498</f>
        <v>@keziasutrisna</v>
      </c>
      <c r="G1498" s="12" t="str">
        <f>Absolute_Scores!G1498</f>
        <v>TikTok</v>
      </c>
      <c r="H1498" s="29">
        <f>Absolute_Scores!I1498</f>
        <v>50</v>
      </c>
      <c r="I1498" s="30">
        <f t="shared" si="54"/>
        <v>62.5</v>
      </c>
    </row>
    <row r="1499" spans="6:9">
      <c r="F1499" s="12" t="str">
        <f>Absolute_Scores!F1499</f>
        <v>@keziatabita</v>
      </c>
      <c r="G1499" s="12" t="str">
        <f>Absolute_Scores!G1499</f>
        <v>TikTok</v>
      </c>
      <c r="H1499" s="29">
        <f>Absolute_Scores!I1499</f>
        <v>50</v>
      </c>
      <c r="I1499" s="30">
        <f t="shared" si="54"/>
        <v>62.5</v>
      </c>
    </row>
    <row r="1500" spans="6:9">
      <c r="F1500" s="12" t="str">
        <f>Absolute_Scores!F1500</f>
        <v>@khadijahaulya</v>
      </c>
      <c r="G1500" s="12" t="str">
        <f>Absolute_Scores!G1500</f>
        <v>TikTok</v>
      </c>
      <c r="H1500" s="29">
        <f>Absolute_Scores!I1500</f>
        <v>50</v>
      </c>
      <c r="I1500" s="30">
        <f t="shared" si="54"/>
        <v>62.5</v>
      </c>
    </row>
    <row r="1501" spans="6:9">
      <c r="F1501" s="12" t="str">
        <f>Absolute_Scores!F1501</f>
        <v>@khaleesieee</v>
      </c>
      <c r="G1501" s="12" t="str">
        <f>Absolute_Scores!G1501</f>
        <v>TikTok</v>
      </c>
      <c r="H1501" s="29">
        <f>Absolute_Scores!I1501</f>
        <v>50</v>
      </c>
      <c r="I1501" s="30">
        <f t="shared" si="54"/>
        <v>62.5</v>
      </c>
    </row>
    <row r="1502" spans="6:9">
      <c r="F1502" s="12" t="str">
        <f>Absolute_Scores!F1502</f>
        <v>@khalidibrahimoriginal</v>
      </c>
      <c r="G1502" s="12" t="str">
        <f>Absolute_Scores!G1502</f>
        <v>TikTok</v>
      </c>
      <c r="H1502" s="29">
        <f>Absolute_Scores!I1502</f>
        <v>50</v>
      </c>
      <c r="I1502" s="30">
        <f t="shared" si="54"/>
        <v>62.5</v>
      </c>
    </row>
    <row r="1503" spans="6:9">
      <c r="F1503" s="12" t="str">
        <f>Absolute_Scores!F1503</f>
        <v>@khan_theux</v>
      </c>
      <c r="G1503" s="12" t="str">
        <f>Absolute_Scores!G1503</f>
        <v>Instagram</v>
      </c>
      <c r="H1503" s="29">
        <f>Absolute_Scores!I1503</f>
        <v>50</v>
      </c>
      <c r="I1503" s="30">
        <f t="shared" si="54"/>
        <v>62.5</v>
      </c>
    </row>
    <row r="1504" spans="6:9">
      <c r="F1504" s="12" t="str">
        <f>Absolute_Scores!F1504</f>
        <v>@khansaneira</v>
      </c>
      <c r="G1504" s="12" t="str">
        <f>Absolute_Scores!G1504</f>
        <v>TikTok</v>
      </c>
      <c r="H1504" s="29">
        <f>Absolute_Scores!I1504</f>
        <v>50</v>
      </c>
      <c r="I1504" s="30">
        <f t="shared" si="54"/>
        <v>62.5</v>
      </c>
    </row>
    <row r="1505" spans="6:9">
      <c r="F1505" s="12" t="str">
        <f>Absolute_Scores!F1505</f>
        <v>@kharistauvi</v>
      </c>
      <c r="G1505" s="12" t="str">
        <f>Absolute_Scores!G1505</f>
        <v>Instagram</v>
      </c>
      <c r="H1505" s="29">
        <f>Absolute_Scores!I1505</f>
        <v>50</v>
      </c>
      <c r="I1505" s="30">
        <f t="shared" si="54"/>
        <v>62.5</v>
      </c>
    </row>
    <row r="1506" spans="6:9">
      <c r="F1506" s="12" t="str">
        <f>Absolute_Scores!F1506</f>
        <v>@khilda_syafaini88</v>
      </c>
      <c r="G1506" s="12" t="str">
        <f>Absolute_Scores!G1506</f>
        <v>Instagram</v>
      </c>
      <c r="H1506" s="29">
        <f>Absolute_Scores!I1506</f>
        <v>50</v>
      </c>
      <c r="I1506" s="30">
        <f t="shared" si="54"/>
        <v>62.5</v>
      </c>
    </row>
    <row r="1507" spans="6:9">
      <c r="F1507" s="12" t="str">
        <f>Absolute_Scores!F1507</f>
        <v>@khilyaa10</v>
      </c>
      <c r="G1507" s="12" t="str">
        <f>Absolute_Scores!G1507</f>
        <v>Instagram</v>
      </c>
      <c r="H1507" s="29">
        <f>Absolute_Scores!I1507</f>
        <v>50</v>
      </c>
      <c r="I1507" s="30">
        <f t="shared" si="54"/>
        <v>62.5</v>
      </c>
    </row>
    <row r="1508" spans="6:9">
      <c r="F1508" s="12" t="str">
        <f>Absolute_Scores!F1508</f>
        <v>@khodijahariani</v>
      </c>
      <c r="G1508" s="12" t="str">
        <f>Absolute_Scores!G1508</f>
        <v>Instagram</v>
      </c>
      <c r="H1508" s="29">
        <f>Absolute_Scores!I1508</f>
        <v>50</v>
      </c>
      <c r="I1508" s="30">
        <f t="shared" si="54"/>
        <v>62.5</v>
      </c>
    </row>
    <row r="1509" spans="6:9">
      <c r="F1509" s="12" t="str">
        <f>Absolute_Scores!F1509</f>
        <v>@kholifahrifani</v>
      </c>
      <c r="G1509" s="12" t="str">
        <f>Absolute_Scores!G1509</f>
        <v>Instagram</v>
      </c>
      <c r="H1509" s="29">
        <f>Absolute_Scores!I1509</f>
        <v>50</v>
      </c>
      <c r="I1509" s="30">
        <f t="shared" si="54"/>
        <v>62.5</v>
      </c>
    </row>
    <row r="1510" spans="6:9">
      <c r="F1510" s="12" t="str">
        <f>Absolute_Scores!F1510</f>
        <v>@kiaraflaviastory</v>
      </c>
      <c r="G1510" s="12" t="str">
        <f>Absolute_Scores!G1510</f>
        <v>Instagram</v>
      </c>
      <c r="H1510" s="29">
        <f>Absolute_Scores!I1510</f>
        <v>50</v>
      </c>
      <c r="I1510" s="30">
        <f t="shared" si="54"/>
        <v>62.5</v>
      </c>
    </row>
    <row r="1511" spans="6:9">
      <c r="F1511" s="12" t="str">
        <f>Absolute_Scores!F1511</f>
        <v>@kiki.tifani</v>
      </c>
      <c r="G1511" s="12" t="str">
        <f>Absolute_Scores!G1511</f>
        <v>TikTok</v>
      </c>
      <c r="H1511" s="29">
        <f>Absolute_Scores!I1511</f>
        <v>50</v>
      </c>
      <c r="I1511" s="30">
        <f t="shared" si="54"/>
        <v>62.5</v>
      </c>
    </row>
    <row r="1512" spans="6:9">
      <c r="F1512" s="12" t="str">
        <f>Absolute_Scores!F1512</f>
        <v>@kimatcha_</v>
      </c>
      <c r="G1512" s="12" t="str">
        <f>Absolute_Scores!G1512</f>
        <v>TikTok</v>
      </c>
      <c r="H1512" s="29">
        <f>Absolute_Scores!I1512</f>
        <v>50</v>
      </c>
      <c r="I1512" s="30">
        <f t="shared" si="54"/>
        <v>62.5</v>
      </c>
    </row>
    <row r="1513" spans="6:9">
      <c r="F1513" s="12" t="str">
        <f>Absolute_Scores!F1513</f>
        <v>@kimdea</v>
      </c>
      <c r="G1513" s="12" t="str">
        <f>Absolute_Scores!G1513</f>
        <v>TikTok</v>
      </c>
      <c r="H1513" s="29">
        <f>Absolute_Scores!I1513</f>
        <v>50</v>
      </c>
      <c r="I1513" s="30">
        <f t="shared" si="54"/>
        <v>62.5</v>
      </c>
    </row>
    <row r="1514" spans="6:9">
      <c r="F1514" s="12" t="str">
        <f>Absolute_Scores!F1514</f>
        <v>@kinancu</v>
      </c>
      <c r="G1514" s="12" t="str">
        <f>Absolute_Scores!G1514</f>
        <v>TikTok</v>
      </c>
      <c r="H1514" s="29">
        <f>Absolute_Scores!I1514</f>
        <v>50</v>
      </c>
      <c r="I1514" s="30">
        <f t="shared" si="54"/>
        <v>62.5</v>
      </c>
    </row>
    <row r="1515" spans="6:9">
      <c r="F1515" s="12" t="str">
        <f>Absolute_Scores!F1515</f>
        <v>@kingcempaka</v>
      </c>
      <c r="G1515" s="12" t="str">
        <f>Absolute_Scores!G1515</f>
        <v>TikTok</v>
      </c>
      <c r="H1515" s="29">
        <f>Absolute_Scores!I1515</f>
        <v>50</v>
      </c>
      <c r="I1515" s="30">
        <f t="shared" si="54"/>
        <v>62.5</v>
      </c>
    </row>
    <row r="1516" spans="6:9">
      <c r="F1516" s="12" t="str">
        <f>Absolute_Scores!F1516</f>
        <v>@kitingss</v>
      </c>
      <c r="G1516" s="12" t="str">
        <f>Absolute_Scores!G1516</f>
        <v>TikTok</v>
      </c>
      <c r="H1516" s="29">
        <f>Absolute_Scores!I1516</f>
        <v>50</v>
      </c>
      <c r="I1516" s="30">
        <f t="shared" si="54"/>
        <v>62.5</v>
      </c>
    </row>
    <row r="1517" spans="6:9">
      <c r="F1517" s="12" t="str">
        <f>Absolute_Scores!F1517</f>
        <v>@klarissa_kl</v>
      </c>
      <c r="G1517" s="12" t="str">
        <f>Absolute_Scores!G1517</f>
        <v>Instagram</v>
      </c>
      <c r="H1517" s="29">
        <f>Absolute_Scores!I1517</f>
        <v>50</v>
      </c>
      <c r="I1517" s="30">
        <f t="shared" si="54"/>
        <v>62.5</v>
      </c>
    </row>
    <row r="1518" spans="6:9">
      <c r="F1518" s="12" t="str">
        <f>Absolute_Scores!F1518</f>
        <v>@kocak.petcaah</v>
      </c>
      <c r="G1518" s="12" t="str">
        <f>Absolute_Scores!G1518</f>
        <v>Instagram</v>
      </c>
      <c r="H1518" s="29">
        <f>Absolute_Scores!I1518</f>
        <v>50</v>
      </c>
      <c r="I1518" s="30">
        <f t="shared" si="54"/>
        <v>62.5</v>
      </c>
    </row>
    <row r="1519" spans="6:9">
      <c r="F1519" s="12" t="str">
        <f>Absolute_Scores!F1519</f>
        <v>@kodisgataukeberapa</v>
      </c>
      <c r="G1519" s="12" t="str">
        <f>Absolute_Scores!G1519</f>
        <v>TikTok</v>
      </c>
      <c r="H1519" s="29">
        <f>Absolute_Scores!I1519</f>
        <v>50</v>
      </c>
      <c r="I1519" s="30">
        <f t="shared" si="54"/>
        <v>62.5</v>
      </c>
    </row>
    <row r="1520" spans="6:9">
      <c r="F1520" s="12" t="str">
        <f>Absolute_Scores!F1520</f>
        <v>@kokopebasket</v>
      </c>
      <c r="G1520" s="12" t="str">
        <f>Absolute_Scores!G1520</f>
        <v>TikTok</v>
      </c>
      <c r="H1520" s="29">
        <f>Absolute_Scores!I1520</f>
        <v>50</v>
      </c>
      <c r="I1520" s="30">
        <f t="shared" si="54"/>
        <v>62.5</v>
      </c>
    </row>
    <row r="1521" spans="6:9">
      <c r="F1521" s="12" t="str">
        <f>Absolute_Scores!F1521</f>
        <v>@komangteguh11</v>
      </c>
      <c r="G1521" s="12" t="str">
        <f>Absolute_Scores!G1521</f>
        <v>TikTok</v>
      </c>
      <c r="H1521" s="29">
        <f>Absolute_Scores!I1521</f>
        <v>50</v>
      </c>
      <c r="I1521" s="30">
        <f t="shared" si="54"/>
        <v>62.5</v>
      </c>
    </row>
    <row r="1522" spans="6:9">
      <c r="F1522" s="12" t="str">
        <f>Absolute_Scores!F1522</f>
        <v>@krisna_hfa</v>
      </c>
      <c r="G1522" s="12" t="str">
        <f>Absolute_Scores!G1522</f>
        <v>Instagram</v>
      </c>
      <c r="H1522" s="29">
        <f>Absolute_Scores!I1522</f>
        <v>50</v>
      </c>
      <c r="I1522" s="30">
        <f t="shared" si="54"/>
        <v>62.5</v>
      </c>
    </row>
    <row r="1523" spans="6:9">
      <c r="F1523" s="12" t="str">
        <f>Absolute_Scores!F1523</f>
        <v>@krnchrs</v>
      </c>
      <c r="G1523" s="12" t="str">
        <f>Absolute_Scores!G1523</f>
        <v>TikTok</v>
      </c>
      <c r="H1523" s="29">
        <f>Absolute_Scores!I1523</f>
        <v>50</v>
      </c>
      <c r="I1523" s="30">
        <f t="shared" si="54"/>
        <v>62.5</v>
      </c>
    </row>
    <row r="1524" spans="6:9">
      <c r="F1524" s="12" t="str">
        <f>Absolute_Scores!F1524</f>
        <v>@kulturekit</v>
      </c>
      <c r="G1524" s="12" t="str">
        <f>Absolute_Scores!G1524</f>
        <v>Instagram</v>
      </c>
      <c r="H1524" s="29">
        <f>Absolute_Scores!I1524</f>
        <v>50</v>
      </c>
      <c r="I1524" s="30">
        <f t="shared" si="54"/>
        <v>62.5</v>
      </c>
    </row>
    <row r="1525" spans="6:9">
      <c r="F1525" s="12" t="str">
        <f>Absolute_Scores!F1525</f>
        <v>@kurniamadani_</v>
      </c>
      <c r="G1525" s="12" t="str">
        <f>Absolute_Scores!G1525</f>
        <v>Instagram</v>
      </c>
      <c r="H1525" s="29">
        <f>Absolute_Scores!I1525</f>
        <v>50</v>
      </c>
      <c r="I1525" s="30">
        <f t="shared" si="54"/>
        <v>62.5</v>
      </c>
    </row>
    <row r="1526" spans="6:9">
      <c r="F1526" s="12" t="str">
        <f>Absolute_Scores!F1526</f>
        <v>@kusumaadeewi</v>
      </c>
      <c r="G1526" s="12" t="str">
        <f>Absolute_Scores!G1526</f>
        <v>TikTok</v>
      </c>
      <c r="H1526" s="29">
        <f>Absolute_Scores!I1526</f>
        <v>50</v>
      </c>
      <c r="I1526" s="30">
        <f t="shared" si="54"/>
        <v>62.5</v>
      </c>
    </row>
    <row r="1527" spans="6:9">
      <c r="F1527" s="12" t="str">
        <f>Absolute_Scores!F1527</f>
        <v>@kusumapuu</v>
      </c>
      <c r="G1527" s="12" t="str">
        <f>Absolute_Scores!G1527</f>
        <v>Instagram</v>
      </c>
      <c r="H1527" s="29">
        <f>Absolute_Scores!I1527</f>
        <v>50</v>
      </c>
      <c r="I1527" s="30">
        <f t="shared" si="54"/>
        <v>62.5</v>
      </c>
    </row>
    <row r="1528" spans="6:9">
      <c r="F1528" s="12" t="str">
        <f>Absolute_Scores!F1528</f>
        <v>@kyfania</v>
      </c>
      <c r="G1528" s="12" t="str">
        <f>Absolute_Scores!G1528</f>
        <v>Instagram</v>
      </c>
      <c r="H1528" s="29">
        <f>Absolute_Scores!I1528</f>
        <v>50</v>
      </c>
      <c r="I1528" s="30">
        <f t="shared" si="54"/>
        <v>62.5</v>
      </c>
    </row>
    <row r="1529" spans="6:9">
      <c r="F1529" s="12" t="str">
        <f>Absolute_Scores!F1529</f>
        <v>@kyim.kusnadireja</v>
      </c>
      <c r="G1529" s="12" t="str">
        <f>Absolute_Scores!G1529</f>
        <v>Instagram</v>
      </c>
      <c r="H1529" s="29">
        <f>Absolute_Scores!I1529</f>
        <v>50</v>
      </c>
      <c r="I1529" s="30">
        <f t="shared" si="54"/>
        <v>62.5</v>
      </c>
    </row>
    <row r="1530" spans="6:9">
      <c r="F1530" s="12" t="str">
        <f>Absolute_Scores!F1530</f>
        <v>@kyyon1403</v>
      </c>
      <c r="G1530" s="12" t="str">
        <f>Absolute_Scores!G1530</f>
        <v>TikTok</v>
      </c>
      <c r="H1530" s="29">
        <f>Absolute_Scores!I1530</f>
        <v>50</v>
      </c>
      <c r="I1530" s="30">
        <f t="shared" si="54"/>
        <v>62.5</v>
      </c>
    </row>
    <row r="1531" spans="6:9">
      <c r="F1531" s="12" t="str">
        <f>Absolute_Scores!F1531</f>
        <v>@l_lela99</v>
      </c>
      <c r="G1531" s="12" t="str">
        <f>Absolute_Scores!G1531</f>
        <v>Instagram</v>
      </c>
      <c r="H1531" s="29">
        <f>Absolute_Scores!I1531</f>
        <v>50</v>
      </c>
      <c r="I1531" s="30">
        <f t="shared" si="54"/>
        <v>62.5</v>
      </c>
    </row>
    <row r="1532" spans="6:9">
      <c r="F1532" s="12" t="str">
        <f>Absolute_Scores!F1532</f>
        <v>@laaabos</v>
      </c>
      <c r="G1532" s="12" t="str">
        <f>Absolute_Scores!G1532</f>
        <v>TikTok</v>
      </c>
      <c r="H1532" s="29">
        <f>Absolute_Scores!I1532</f>
        <v>50</v>
      </c>
      <c r="I1532" s="30">
        <f t="shared" si="54"/>
        <v>62.5</v>
      </c>
    </row>
    <row r="1533" spans="6:9">
      <c r="F1533" s="12" t="str">
        <f>Absolute_Scores!F1533</f>
        <v>@lachimoolala</v>
      </c>
      <c r="G1533" s="12" t="str">
        <f>Absolute_Scores!G1533</f>
        <v>TikTok</v>
      </c>
      <c r="H1533" s="29">
        <f>Absolute_Scores!I1533</f>
        <v>50</v>
      </c>
      <c r="I1533" s="30">
        <f t="shared" si="54"/>
        <v>62.5</v>
      </c>
    </row>
    <row r="1534" spans="6:9">
      <c r="F1534" s="12" t="str">
        <f>Absolute_Scores!F1534</f>
        <v>@ladymeraliaa</v>
      </c>
      <c r="G1534" s="12" t="str">
        <f>Absolute_Scores!G1534</f>
        <v>TikTok</v>
      </c>
      <c r="H1534" s="29">
        <f>Absolute_Scores!I1534</f>
        <v>50</v>
      </c>
      <c r="I1534" s="30">
        <f t="shared" si="54"/>
        <v>62.5</v>
      </c>
    </row>
    <row r="1535" spans="6:9">
      <c r="F1535" s="12" t="str">
        <f>Absolute_Scores!F1535</f>
        <v>@lahisyaa</v>
      </c>
      <c r="G1535" s="12" t="str">
        <f>Absolute_Scores!G1535</f>
        <v>TikTok</v>
      </c>
      <c r="H1535" s="29">
        <f>Absolute_Scores!I1535</f>
        <v>50</v>
      </c>
      <c r="I1535" s="30">
        <f t="shared" si="54"/>
        <v>62.5</v>
      </c>
    </row>
    <row r="1536" spans="6:9">
      <c r="F1536" s="12" t="str">
        <f>Absolute_Scores!F1536</f>
        <v>@lahlupede</v>
      </c>
      <c r="G1536" s="12" t="str">
        <f>Absolute_Scores!G1536</f>
        <v>TikTok</v>
      </c>
      <c r="H1536" s="29">
        <f>Absolute_Scores!I1536</f>
        <v>50</v>
      </c>
      <c r="I1536" s="30">
        <f t="shared" si="54"/>
        <v>62.5</v>
      </c>
    </row>
    <row r="1537" spans="6:9">
      <c r="F1537" s="12" t="str">
        <f>Absolute_Scores!F1537</f>
        <v>@laili_amalina</v>
      </c>
      <c r="G1537" s="12" t="str">
        <f>Absolute_Scores!G1537</f>
        <v>Instagram</v>
      </c>
      <c r="H1537" s="29">
        <f>Absolute_Scores!I1537</f>
        <v>50</v>
      </c>
      <c r="I1537" s="30">
        <f t="shared" si="54"/>
        <v>62.5</v>
      </c>
    </row>
    <row r="1538" spans="6:9">
      <c r="F1538" s="12" t="str">
        <f>Absolute_Scores!F1538</f>
        <v>@lakembaa</v>
      </c>
      <c r="G1538" s="12" t="str">
        <f>Absolute_Scores!G1538</f>
        <v>TikTok</v>
      </c>
      <c r="H1538" s="29">
        <f>Absolute_Scores!I1538</f>
        <v>50</v>
      </c>
      <c r="I1538" s="30">
        <f t="shared" si="54"/>
        <v>62.5</v>
      </c>
    </row>
    <row r="1539" spans="6:9">
      <c r="F1539" s="12" t="str">
        <f>Absolute_Scores!F1539</f>
        <v>@laksmidamayanti2</v>
      </c>
      <c r="G1539" s="12" t="str">
        <f>Absolute_Scores!G1539</f>
        <v>TikTok</v>
      </c>
      <c r="H1539" s="29">
        <f>Absolute_Scores!I1539</f>
        <v>50</v>
      </c>
      <c r="I1539" s="30">
        <f t="shared" si="54"/>
        <v>62.5</v>
      </c>
    </row>
    <row r="1540" spans="6:9">
      <c r="F1540" s="12" t="str">
        <f>Absolute_Scores!F1540</f>
        <v>@lalalafyouuu</v>
      </c>
      <c r="G1540" s="12" t="str">
        <f>Absolute_Scores!G1540</f>
        <v>TikTok</v>
      </c>
      <c r="H1540" s="29">
        <f>Absolute_Scores!I1540</f>
        <v>50</v>
      </c>
      <c r="I1540" s="30">
        <f t="shared" si="54"/>
        <v>62.5</v>
      </c>
    </row>
    <row r="1541" spans="6:9">
      <c r="F1541" s="12" t="str">
        <f>Absolute_Scores!F1541</f>
        <v>@lalardianss</v>
      </c>
      <c r="G1541" s="12" t="str">
        <f>Absolute_Scores!G1541</f>
        <v>TikTok</v>
      </c>
      <c r="H1541" s="29">
        <f>Absolute_Scores!I1541</f>
        <v>50</v>
      </c>
      <c r="I1541" s="30">
        <f t="shared" si="54"/>
        <v>62.5</v>
      </c>
    </row>
    <row r="1542" spans="6:9">
      <c r="F1542" s="12" t="str">
        <f>Absolute_Scores!F1542</f>
        <v>@lannytjo</v>
      </c>
      <c r="G1542" s="12" t="str">
        <f>Absolute_Scores!G1542</f>
        <v>TikTok</v>
      </c>
      <c r="H1542" s="29">
        <f>Absolute_Scores!I1542</f>
        <v>50</v>
      </c>
      <c r="I1542" s="30">
        <f t="shared" ref="I1542:I1605" si="55">ROUND(H1542/$I$4*100,2)</f>
        <v>62.5</v>
      </c>
    </row>
    <row r="1543" spans="6:9">
      <c r="F1543" s="12" t="str">
        <f>Absolute_Scores!F1543</f>
        <v>@lazhimah</v>
      </c>
      <c r="G1543" s="12" t="str">
        <f>Absolute_Scores!G1543</f>
        <v>TikTok</v>
      </c>
      <c r="H1543" s="29">
        <f>Absolute_Scores!I1543</f>
        <v>50</v>
      </c>
      <c r="I1543" s="30">
        <f t="shared" si="55"/>
        <v>62.5</v>
      </c>
    </row>
    <row r="1544" spans="6:9">
      <c r="F1544" s="12" t="str">
        <f>Absolute_Scores!F1544</f>
        <v>@lazuardimeri</v>
      </c>
      <c r="G1544" s="12" t="str">
        <f>Absolute_Scores!G1544</f>
        <v>TikTok</v>
      </c>
      <c r="H1544" s="29">
        <f>Absolute_Scores!I1544</f>
        <v>50</v>
      </c>
      <c r="I1544" s="30">
        <f t="shared" si="55"/>
        <v>62.5</v>
      </c>
    </row>
    <row r="1545" spans="6:9">
      <c r="F1545" s="12" t="str">
        <f>Absolute_Scores!F1545</f>
        <v>@leanderla8</v>
      </c>
      <c r="G1545" s="12" t="str">
        <f>Absolute_Scores!G1545</f>
        <v>TikTok</v>
      </c>
      <c r="H1545" s="29">
        <f>Absolute_Scores!I1545</f>
        <v>50</v>
      </c>
      <c r="I1545" s="30">
        <f t="shared" si="55"/>
        <v>62.5</v>
      </c>
    </row>
    <row r="1546" spans="6:9">
      <c r="F1546" s="12" t="str">
        <f>Absolute_Scores!F1546</f>
        <v>@leandrashye</v>
      </c>
      <c r="G1546" s="12" t="str">
        <f>Absolute_Scores!G1546</f>
        <v>Instagram</v>
      </c>
      <c r="H1546" s="29">
        <f>Absolute_Scores!I1546</f>
        <v>50</v>
      </c>
      <c r="I1546" s="30">
        <f t="shared" si="55"/>
        <v>62.5</v>
      </c>
    </row>
    <row r="1547" spans="6:9">
      <c r="F1547" s="12" t="str">
        <f>Absolute_Scores!F1547</f>
        <v>@leavlo_</v>
      </c>
      <c r="G1547" s="12" t="str">
        <f>Absolute_Scores!G1547</f>
        <v>TikTok</v>
      </c>
      <c r="H1547" s="29">
        <f>Absolute_Scores!I1547</f>
        <v>50</v>
      </c>
      <c r="I1547" s="30">
        <f t="shared" si="55"/>
        <v>62.5</v>
      </c>
    </row>
    <row r="1548" spans="6:9">
      <c r="F1548" s="12" t="str">
        <f>Absolute_Scores!F1548</f>
        <v>@leerubyv</v>
      </c>
      <c r="G1548" s="12" t="str">
        <f>Absolute_Scores!G1548</f>
        <v>TikTok</v>
      </c>
      <c r="H1548" s="29">
        <f>Absolute_Scores!I1548</f>
        <v>50</v>
      </c>
      <c r="I1548" s="30">
        <f t="shared" si="55"/>
        <v>62.5</v>
      </c>
    </row>
    <row r="1549" spans="6:9">
      <c r="F1549" s="12" t="str">
        <f>Absolute_Scores!F1549</f>
        <v>@leharoy_pattiradjawane</v>
      </c>
      <c r="G1549" s="12" t="str">
        <f>Absolute_Scores!G1549</f>
        <v>TikTok</v>
      </c>
      <c r="H1549" s="29">
        <f>Absolute_Scores!I1549</f>
        <v>50</v>
      </c>
      <c r="I1549" s="30">
        <f t="shared" si="55"/>
        <v>62.5</v>
      </c>
    </row>
    <row r="1550" spans="6:9">
      <c r="F1550" s="12" t="str">
        <f>Absolute_Scores!F1550</f>
        <v>@leibenoname</v>
      </c>
      <c r="G1550" s="12" t="str">
        <f>Absolute_Scores!G1550</f>
        <v>Instagram</v>
      </c>
      <c r="H1550" s="29">
        <f>Absolute_Scores!I1550</f>
        <v>50</v>
      </c>
      <c r="I1550" s="30">
        <f t="shared" si="55"/>
        <v>62.5</v>
      </c>
    </row>
    <row r="1551" spans="6:9">
      <c r="F1551" s="12" t="str">
        <f>Absolute_Scores!F1551</f>
        <v>@lelynsf</v>
      </c>
      <c r="G1551" s="12" t="str">
        <f>Absolute_Scores!G1551</f>
        <v>Instagram</v>
      </c>
      <c r="H1551" s="29">
        <f>Absolute_Scores!I1551</f>
        <v>50</v>
      </c>
      <c r="I1551" s="30">
        <f t="shared" si="55"/>
        <v>62.5</v>
      </c>
    </row>
    <row r="1552" spans="6:9">
      <c r="F1552" s="12" t="str">
        <f>Absolute_Scores!F1552</f>
        <v>@lenafachan</v>
      </c>
      <c r="G1552" s="12" t="str">
        <f>Absolute_Scores!G1552</f>
        <v>Instagram</v>
      </c>
      <c r="H1552" s="29">
        <f>Absolute_Scores!I1552</f>
        <v>50</v>
      </c>
      <c r="I1552" s="30">
        <f t="shared" si="55"/>
        <v>62.5</v>
      </c>
    </row>
    <row r="1553" spans="6:9">
      <c r="F1553" s="12" t="str">
        <f>Absolute_Scores!F1553</f>
        <v>@leninurj</v>
      </c>
      <c r="G1553" s="12" t="str">
        <f>Absolute_Scores!G1553</f>
        <v>TikTok</v>
      </c>
      <c r="H1553" s="29">
        <f>Absolute_Scores!I1553</f>
        <v>50</v>
      </c>
      <c r="I1553" s="30">
        <f t="shared" si="55"/>
        <v>62.5</v>
      </c>
    </row>
    <row r="1554" spans="6:9">
      <c r="F1554" s="12" t="str">
        <f>Absolute_Scores!F1554</f>
        <v>@lennyjuwita</v>
      </c>
      <c r="G1554" s="12" t="str">
        <f>Absolute_Scores!G1554</f>
        <v>TikTok</v>
      </c>
      <c r="H1554" s="29">
        <f>Absolute_Scores!I1554</f>
        <v>50</v>
      </c>
      <c r="I1554" s="30">
        <f t="shared" si="55"/>
        <v>62.5</v>
      </c>
    </row>
    <row r="1555" spans="6:9">
      <c r="F1555" s="12" t="str">
        <f>Absolute_Scores!F1555</f>
        <v>@lenynuragustina</v>
      </c>
      <c r="G1555" s="12" t="str">
        <f>Absolute_Scores!G1555</f>
        <v>TikTok</v>
      </c>
      <c r="H1555" s="29">
        <f>Absolute_Scores!I1555</f>
        <v>50</v>
      </c>
      <c r="I1555" s="30">
        <f t="shared" si="55"/>
        <v>62.5</v>
      </c>
    </row>
    <row r="1556" spans="6:9">
      <c r="F1556" s="12" t="str">
        <f>Absolute_Scores!F1556</f>
        <v>@leoahmdd</v>
      </c>
      <c r="G1556" s="12" t="str">
        <f>Absolute_Scores!G1556</f>
        <v>TikTok</v>
      </c>
      <c r="H1556" s="29">
        <f>Absolute_Scores!I1556</f>
        <v>50</v>
      </c>
      <c r="I1556" s="30">
        <f t="shared" si="55"/>
        <v>62.5</v>
      </c>
    </row>
    <row r="1557" spans="6:9">
      <c r="F1557" s="12" t="str">
        <f>Absolute_Scores!F1557</f>
        <v>@leongigs</v>
      </c>
      <c r="G1557" s="12" t="str">
        <f>Absolute_Scores!G1557</f>
        <v>TikTok</v>
      </c>
      <c r="H1557" s="29">
        <f>Absolute_Scores!I1557</f>
        <v>50</v>
      </c>
      <c r="I1557" s="30">
        <f t="shared" si="55"/>
        <v>62.5</v>
      </c>
    </row>
    <row r="1558" spans="6:9">
      <c r="F1558" s="12" t="str">
        <f>Absolute_Scores!F1558</f>
        <v>@leovarr</v>
      </c>
      <c r="G1558" s="12" t="str">
        <f>Absolute_Scores!G1558</f>
        <v>TikTok</v>
      </c>
      <c r="H1558" s="29">
        <f>Absolute_Scores!I1558</f>
        <v>50</v>
      </c>
      <c r="I1558" s="30">
        <f t="shared" si="55"/>
        <v>62.5</v>
      </c>
    </row>
    <row r="1559" spans="6:9">
      <c r="F1559" s="12" t="str">
        <f>Absolute_Scores!F1559</f>
        <v>@leurinz</v>
      </c>
      <c r="G1559" s="12" t="str">
        <f>Absolute_Scores!G1559</f>
        <v>TikTok</v>
      </c>
      <c r="H1559" s="29">
        <f>Absolute_Scores!I1559</f>
        <v>50</v>
      </c>
      <c r="I1559" s="30">
        <f t="shared" si="55"/>
        <v>62.5</v>
      </c>
    </row>
    <row r="1560" spans="6:9">
      <c r="F1560" s="12" t="str">
        <f>Absolute_Scores!F1560</f>
        <v>@lia_aranku</v>
      </c>
      <c r="G1560" s="12" t="str">
        <f>Absolute_Scores!G1560</f>
        <v>TikTok</v>
      </c>
      <c r="H1560" s="29">
        <f>Absolute_Scores!I1560</f>
        <v>50</v>
      </c>
      <c r="I1560" s="30">
        <f t="shared" si="55"/>
        <v>62.5</v>
      </c>
    </row>
    <row r="1561" spans="6:9">
      <c r="F1561" s="12" t="str">
        <f>Absolute_Scores!F1561</f>
        <v>@liaferianggrestiana</v>
      </c>
      <c r="G1561" s="12" t="str">
        <f>Absolute_Scores!G1561</f>
        <v>TikTok</v>
      </c>
      <c r="H1561" s="29">
        <f>Absolute_Scores!I1561</f>
        <v>50</v>
      </c>
      <c r="I1561" s="30">
        <f t="shared" si="55"/>
        <v>62.5</v>
      </c>
    </row>
    <row r="1562" spans="6:9">
      <c r="F1562" s="12" t="str">
        <f>Absolute_Scores!F1562</f>
        <v>@liasnamaruli</v>
      </c>
      <c r="G1562" s="12" t="str">
        <f>Absolute_Scores!G1562</f>
        <v>TikTok</v>
      </c>
      <c r="H1562" s="29">
        <f>Absolute_Scores!I1562</f>
        <v>50</v>
      </c>
      <c r="I1562" s="30">
        <f t="shared" si="55"/>
        <v>62.5</v>
      </c>
    </row>
    <row r="1563" spans="6:9">
      <c r="F1563" s="12" t="str">
        <f>Absolute_Scores!F1563</f>
        <v>@lidiabizza</v>
      </c>
      <c r="G1563" s="12" t="str">
        <f>Absolute_Scores!G1563</f>
        <v>Instagram</v>
      </c>
      <c r="H1563" s="29">
        <f>Absolute_Scores!I1563</f>
        <v>50</v>
      </c>
      <c r="I1563" s="30">
        <f t="shared" si="55"/>
        <v>62.5</v>
      </c>
    </row>
    <row r="1564" spans="6:9">
      <c r="F1564" s="12" t="str">
        <f>Absolute_Scores!F1564</f>
        <v>@lidianofi</v>
      </c>
      <c r="G1564" s="12" t="str">
        <f>Absolute_Scores!G1564</f>
        <v>TikTok</v>
      </c>
      <c r="H1564" s="29">
        <f>Absolute_Scores!I1564</f>
        <v>50</v>
      </c>
      <c r="I1564" s="30">
        <f t="shared" si="55"/>
        <v>62.5</v>
      </c>
    </row>
    <row r="1565" spans="6:9">
      <c r="F1565" s="12" t="str">
        <f>Absolute_Scores!F1565</f>
        <v>@lidiawildhasonata</v>
      </c>
      <c r="G1565" s="12" t="str">
        <f>Absolute_Scores!G1565</f>
        <v>Instagram</v>
      </c>
      <c r="H1565" s="29">
        <f>Absolute_Scores!I1565</f>
        <v>50</v>
      </c>
      <c r="I1565" s="30">
        <f t="shared" si="55"/>
        <v>62.5</v>
      </c>
    </row>
    <row r="1566" spans="6:9">
      <c r="F1566" s="12" t="str">
        <f>Absolute_Scores!F1566</f>
        <v>@liffanie</v>
      </c>
      <c r="G1566" s="12" t="str">
        <f>Absolute_Scores!G1566</f>
        <v>Instagram</v>
      </c>
      <c r="H1566" s="29">
        <f>Absolute_Scores!I1566</f>
        <v>50</v>
      </c>
      <c r="I1566" s="30">
        <f t="shared" si="55"/>
        <v>62.5</v>
      </c>
    </row>
    <row r="1567" spans="6:9">
      <c r="F1567" s="12" t="str">
        <f>Absolute_Scores!F1567</f>
        <v>@lifnisanders</v>
      </c>
      <c r="G1567" s="12" t="str">
        <f>Absolute_Scores!G1567</f>
        <v>TikTok</v>
      </c>
      <c r="H1567" s="29">
        <f>Absolute_Scores!I1567</f>
        <v>50</v>
      </c>
      <c r="I1567" s="30">
        <f t="shared" si="55"/>
        <v>62.5</v>
      </c>
    </row>
    <row r="1568" spans="6:9">
      <c r="F1568" s="12" t="str">
        <f>Absolute_Scores!F1568</f>
        <v>@lihaalihuu</v>
      </c>
      <c r="G1568" s="12" t="str">
        <f>Absolute_Scores!G1568</f>
        <v>TikTok</v>
      </c>
      <c r="H1568" s="29">
        <f>Absolute_Scores!I1568</f>
        <v>50</v>
      </c>
      <c r="I1568" s="30">
        <f t="shared" si="55"/>
        <v>62.5</v>
      </c>
    </row>
    <row r="1569" spans="6:9">
      <c r="F1569" s="12" t="str">
        <f>Absolute_Scores!F1569</f>
        <v>@lilidipsie</v>
      </c>
      <c r="G1569" s="12" t="str">
        <f>Absolute_Scores!G1569</f>
        <v>TikTok</v>
      </c>
      <c r="H1569" s="29">
        <f>Absolute_Scores!I1569</f>
        <v>50</v>
      </c>
      <c r="I1569" s="30">
        <f t="shared" si="55"/>
        <v>62.5</v>
      </c>
    </row>
    <row r="1570" spans="6:9">
      <c r="F1570" s="12" t="str">
        <f>Absolute_Scores!F1570</f>
        <v>@lilis_akmal</v>
      </c>
      <c r="G1570" s="12" t="str">
        <f>Absolute_Scores!G1570</f>
        <v>TikTok</v>
      </c>
      <c r="H1570" s="29">
        <f>Absolute_Scores!I1570</f>
        <v>50</v>
      </c>
      <c r="I1570" s="30">
        <f t="shared" si="55"/>
        <v>62.5</v>
      </c>
    </row>
    <row r="1571" spans="6:9">
      <c r="F1571" s="12" t="str">
        <f>Absolute_Scores!F1571</f>
        <v>@lilscott_x</v>
      </c>
      <c r="G1571" s="12" t="str">
        <f>Absolute_Scores!G1571</f>
        <v>TikTok</v>
      </c>
      <c r="H1571" s="29">
        <f>Absolute_Scores!I1571</f>
        <v>50</v>
      </c>
      <c r="I1571" s="30">
        <f t="shared" si="55"/>
        <v>62.5</v>
      </c>
    </row>
    <row r="1572" spans="6:9">
      <c r="F1572" s="12" t="str">
        <f>Absolute_Scores!F1572</f>
        <v>@linarahma17</v>
      </c>
      <c r="G1572" s="12" t="str">
        <f>Absolute_Scores!G1572</f>
        <v>Instagram</v>
      </c>
      <c r="H1572" s="29">
        <f>Absolute_Scores!I1572</f>
        <v>50</v>
      </c>
      <c r="I1572" s="30">
        <f t="shared" si="55"/>
        <v>62.5</v>
      </c>
    </row>
    <row r="1573" spans="6:9">
      <c r="F1573" s="12" t="str">
        <f>Absolute_Scores!F1573</f>
        <v>@lindakayhz</v>
      </c>
      <c r="G1573" s="12" t="str">
        <f>Absolute_Scores!G1573</f>
        <v>Instagram</v>
      </c>
      <c r="H1573" s="29">
        <f>Absolute_Scores!I1573</f>
        <v>50</v>
      </c>
      <c r="I1573" s="30">
        <f t="shared" si="55"/>
        <v>62.5</v>
      </c>
    </row>
    <row r="1574" spans="6:9">
      <c r="F1574" s="12" t="str">
        <f>Absolute_Scores!F1574</f>
        <v>@lindanirmala24</v>
      </c>
      <c r="G1574" s="12" t="str">
        <f>Absolute_Scores!G1574</f>
        <v>Instagram</v>
      </c>
      <c r="H1574" s="29">
        <f>Absolute_Scores!I1574</f>
        <v>50</v>
      </c>
      <c r="I1574" s="30">
        <f t="shared" si="55"/>
        <v>62.5</v>
      </c>
    </row>
    <row r="1575" spans="6:9">
      <c r="F1575" s="12" t="str">
        <f>Absolute_Scores!F1575</f>
        <v>@lingling.sptri</v>
      </c>
      <c r="G1575" s="12" t="str">
        <f>Absolute_Scores!G1575</f>
        <v>TikTok</v>
      </c>
      <c r="H1575" s="29">
        <f>Absolute_Scores!I1575</f>
        <v>50</v>
      </c>
      <c r="I1575" s="30">
        <f t="shared" si="55"/>
        <v>62.5</v>
      </c>
    </row>
    <row r="1576" spans="6:9">
      <c r="F1576" s="12" t="str">
        <f>Absolute_Scores!F1576</f>
        <v>@linglinglinaa</v>
      </c>
      <c r="G1576" s="12" t="str">
        <f>Absolute_Scores!G1576</f>
        <v>Instagram</v>
      </c>
      <c r="H1576" s="29">
        <f>Absolute_Scores!I1576</f>
        <v>50</v>
      </c>
      <c r="I1576" s="30">
        <f t="shared" si="55"/>
        <v>62.5</v>
      </c>
    </row>
    <row r="1577" spans="6:9">
      <c r="F1577" s="12" t="str">
        <f>Absolute_Scores!F1577</f>
        <v>@lingrahma13</v>
      </c>
      <c r="G1577" s="12" t="str">
        <f>Absolute_Scores!G1577</f>
        <v>TikTok</v>
      </c>
      <c r="H1577" s="29">
        <f>Absolute_Scores!I1577</f>
        <v>50</v>
      </c>
      <c r="I1577" s="30">
        <f t="shared" si="55"/>
        <v>62.5</v>
      </c>
    </row>
    <row r="1578" spans="6:9">
      <c r="F1578" s="12" t="str">
        <f>Absolute_Scores!F1578</f>
        <v>@lintangmrld</v>
      </c>
      <c r="G1578" s="12" t="str">
        <f>Absolute_Scores!G1578</f>
        <v>TikTok</v>
      </c>
      <c r="H1578" s="29">
        <f>Absolute_Scores!I1578</f>
        <v>50</v>
      </c>
      <c r="I1578" s="30">
        <f t="shared" si="55"/>
        <v>62.5</v>
      </c>
    </row>
    <row r="1579" spans="6:9">
      <c r="F1579" s="12" t="str">
        <f>Absolute_Scores!F1579</f>
        <v>@lionwehlah</v>
      </c>
      <c r="G1579" s="12" t="str">
        <f>Absolute_Scores!G1579</f>
        <v>TikTok</v>
      </c>
      <c r="H1579" s="29">
        <f>Absolute_Scores!I1579</f>
        <v>50</v>
      </c>
      <c r="I1579" s="30">
        <f t="shared" si="55"/>
        <v>62.5</v>
      </c>
    </row>
    <row r="1580" spans="6:9">
      <c r="F1580" s="12" t="str">
        <f>Absolute_Scores!F1580</f>
        <v>@liputpiutzpiut</v>
      </c>
      <c r="G1580" s="12" t="str">
        <f>Absolute_Scores!G1580</f>
        <v>Instagram</v>
      </c>
      <c r="H1580" s="29">
        <f>Absolute_Scores!I1580</f>
        <v>50</v>
      </c>
      <c r="I1580" s="30">
        <f t="shared" si="55"/>
        <v>62.5</v>
      </c>
    </row>
    <row r="1581" spans="6:9">
      <c r="F1581" s="12" t="str">
        <f>Absolute_Scores!F1581</f>
        <v>@lisaandhiny</v>
      </c>
      <c r="G1581" s="12" t="str">
        <f>Absolute_Scores!G1581</f>
        <v>Instagram</v>
      </c>
      <c r="H1581" s="29">
        <f>Absolute_Scores!I1581</f>
        <v>50</v>
      </c>
      <c r="I1581" s="30">
        <f t="shared" si="55"/>
        <v>62.5</v>
      </c>
    </row>
    <row r="1582" spans="6:9">
      <c r="F1582" s="12" t="str">
        <f>Absolute_Scores!F1582</f>
        <v>@lisaandini25</v>
      </c>
      <c r="G1582" s="12" t="str">
        <f>Absolute_Scores!G1582</f>
        <v>Instagram</v>
      </c>
      <c r="H1582" s="29">
        <f>Absolute_Scores!I1582</f>
        <v>50</v>
      </c>
      <c r="I1582" s="30">
        <f t="shared" si="55"/>
        <v>62.5</v>
      </c>
    </row>
    <row r="1583" spans="6:9">
      <c r="F1583" s="12" t="str">
        <f>Absolute_Scores!F1583</f>
        <v>@lisahaliza27</v>
      </c>
      <c r="G1583" s="12" t="str">
        <f>Absolute_Scores!G1583</f>
        <v>TikTok</v>
      </c>
      <c r="H1583" s="29">
        <f>Absolute_Scores!I1583</f>
        <v>50</v>
      </c>
      <c r="I1583" s="30">
        <f t="shared" si="55"/>
        <v>62.5</v>
      </c>
    </row>
    <row r="1584" spans="6:9">
      <c r="F1584" s="12" t="str">
        <f>Absolute_Scores!F1584</f>
        <v>@lissacahaya_</v>
      </c>
      <c r="G1584" s="12" t="str">
        <f>Absolute_Scores!G1584</f>
        <v>Instagram</v>
      </c>
      <c r="H1584" s="29">
        <f>Absolute_Scores!I1584</f>
        <v>50</v>
      </c>
      <c r="I1584" s="30">
        <f t="shared" si="55"/>
        <v>62.5</v>
      </c>
    </row>
    <row r="1585" spans="6:9">
      <c r="F1585" s="12" t="str">
        <f>Absolute_Scores!F1585</f>
        <v>@lita.christabel</v>
      </c>
      <c r="G1585" s="12" t="str">
        <f>Absolute_Scores!G1585</f>
        <v>TikTok</v>
      </c>
      <c r="H1585" s="29">
        <f>Absolute_Scores!I1585</f>
        <v>50</v>
      </c>
      <c r="I1585" s="30">
        <f t="shared" si="55"/>
        <v>62.5</v>
      </c>
    </row>
    <row r="1586" spans="6:9">
      <c r="F1586" s="12" t="str">
        <f>Absolute_Scores!F1586</f>
        <v>@littlevendust</v>
      </c>
      <c r="G1586" s="12" t="str">
        <f>Absolute_Scores!G1586</f>
        <v>TikTok</v>
      </c>
      <c r="H1586" s="29">
        <f>Absolute_Scores!I1586</f>
        <v>50</v>
      </c>
      <c r="I1586" s="30">
        <f t="shared" si="55"/>
        <v>62.5</v>
      </c>
    </row>
    <row r="1587" spans="6:9">
      <c r="F1587" s="12" t="str">
        <f>Absolute_Scores!F1587</f>
        <v>@liviagabriell</v>
      </c>
      <c r="G1587" s="12" t="str">
        <f>Absolute_Scores!G1587</f>
        <v>TikTok</v>
      </c>
      <c r="H1587" s="29">
        <f>Absolute_Scores!I1587</f>
        <v>50</v>
      </c>
      <c r="I1587" s="30">
        <f t="shared" si="55"/>
        <v>62.5</v>
      </c>
    </row>
    <row r="1588" spans="6:9">
      <c r="F1588" s="12" t="str">
        <f>Absolute_Scores!F1588</f>
        <v>@livianatalya</v>
      </c>
      <c r="G1588" s="12" t="str">
        <f>Absolute_Scores!G1588</f>
        <v>TikTok</v>
      </c>
      <c r="H1588" s="29">
        <f>Absolute_Scores!I1588</f>
        <v>50</v>
      </c>
      <c r="I1588" s="30">
        <f t="shared" si="55"/>
        <v>62.5</v>
      </c>
    </row>
    <row r="1589" spans="6:9">
      <c r="F1589" s="12" t="str">
        <f>Absolute_Scores!F1589</f>
        <v>@llealinaa</v>
      </c>
      <c r="G1589" s="12" t="str">
        <f>Absolute_Scores!G1589</f>
        <v>TikTok</v>
      </c>
      <c r="H1589" s="29">
        <f>Absolute_Scores!I1589</f>
        <v>50</v>
      </c>
      <c r="I1589" s="30">
        <f t="shared" si="55"/>
        <v>62.5</v>
      </c>
    </row>
    <row r="1590" spans="6:9">
      <c r="F1590" s="12" t="str">
        <f>Absolute_Scores!F1590</f>
        <v>@longleggedgirl</v>
      </c>
      <c r="G1590" s="12" t="str">
        <f>Absolute_Scores!G1590</f>
        <v>TikTok</v>
      </c>
      <c r="H1590" s="29">
        <f>Absolute_Scores!I1590</f>
        <v>50</v>
      </c>
      <c r="I1590" s="30">
        <f t="shared" si="55"/>
        <v>62.5</v>
      </c>
    </row>
    <row r="1591" spans="6:9">
      <c r="F1591" s="12" t="str">
        <f>Absolute_Scores!F1591</f>
        <v>@louivigrace</v>
      </c>
      <c r="G1591" s="12" t="str">
        <f>Absolute_Scores!G1591</f>
        <v>TikTok</v>
      </c>
      <c r="H1591" s="29">
        <f>Absolute_Scores!I1591</f>
        <v>50</v>
      </c>
      <c r="I1591" s="30">
        <f t="shared" si="55"/>
        <v>62.5</v>
      </c>
    </row>
    <row r="1592" spans="6:9">
      <c r="F1592" s="12" t="str">
        <f>Absolute_Scores!F1592</f>
        <v>@louuvrtapee</v>
      </c>
      <c r="G1592" s="12" t="str">
        <f>Absolute_Scores!G1592</f>
        <v>TikTok</v>
      </c>
      <c r="H1592" s="29">
        <f>Absolute_Scores!I1592</f>
        <v>50</v>
      </c>
      <c r="I1592" s="30">
        <f t="shared" si="55"/>
        <v>62.5</v>
      </c>
    </row>
    <row r="1593" spans="6:9">
      <c r="F1593" s="12" t="str">
        <f>Absolute_Scores!F1593</f>
        <v>@lubabaa_</v>
      </c>
      <c r="G1593" s="12" t="str">
        <f>Absolute_Scores!G1593</f>
        <v>Instagram</v>
      </c>
      <c r="H1593" s="29">
        <f>Absolute_Scores!I1593</f>
        <v>50</v>
      </c>
      <c r="I1593" s="30">
        <f t="shared" si="55"/>
        <v>62.5</v>
      </c>
    </row>
    <row r="1594" spans="6:9">
      <c r="F1594" s="12" t="str">
        <f>Absolute_Scores!F1594</f>
        <v>@luciana_rina_silaban_</v>
      </c>
      <c r="G1594" s="12" t="str">
        <f>Absolute_Scores!G1594</f>
        <v>Instagram</v>
      </c>
      <c r="H1594" s="29">
        <f>Absolute_Scores!I1594</f>
        <v>50</v>
      </c>
      <c r="I1594" s="30">
        <f t="shared" si="55"/>
        <v>62.5</v>
      </c>
    </row>
    <row r="1595" spans="6:9">
      <c r="F1595" s="12" t="str">
        <f>Absolute_Scores!F1595</f>
        <v>@lucky_wlf</v>
      </c>
      <c r="G1595" s="12" t="str">
        <f>Absolute_Scores!G1595</f>
        <v>Instagram</v>
      </c>
      <c r="H1595" s="29">
        <f>Absolute_Scores!I1595</f>
        <v>50</v>
      </c>
      <c r="I1595" s="30">
        <f t="shared" si="55"/>
        <v>62.5</v>
      </c>
    </row>
    <row r="1596" spans="6:9">
      <c r="F1596" s="12" t="str">
        <f>Absolute_Scores!F1596</f>
        <v>@luckybimansyah3</v>
      </c>
      <c r="G1596" s="12" t="str">
        <f>Absolute_Scores!G1596</f>
        <v>TikTok</v>
      </c>
      <c r="H1596" s="29">
        <f>Absolute_Scores!I1596</f>
        <v>50</v>
      </c>
      <c r="I1596" s="30">
        <f t="shared" si="55"/>
        <v>62.5</v>
      </c>
    </row>
    <row r="1597" spans="6:9">
      <c r="F1597" s="12" t="str">
        <f>Absolute_Scores!F1597</f>
        <v>@lulssky</v>
      </c>
      <c r="G1597" s="12" t="str">
        <f>Absolute_Scores!G1597</f>
        <v>TikTok</v>
      </c>
      <c r="H1597" s="29">
        <f>Absolute_Scores!I1597</f>
        <v>50</v>
      </c>
      <c r="I1597" s="30">
        <f t="shared" si="55"/>
        <v>62.5</v>
      </c>
    </row>
    <row r="1598" spans="6:9">
      <c r="F1598" s="12" t="str">
        <f>Absolute_Scores!F1598</f>
        <v>@lulurinjanim12</v>
      </c>
      <c r="G1598" s="12" t="str">
        <f>Absolute_Scores!G1598</f>
        <v>Instagram</v>
      </c>
      <c r="H1598" s="29">
        <f>Absolute_Scores!I1598</f>
        <v>50</v>
      </c>
      <c r="I1598" s="30">
        <f t="shared" si="55"/>
        <v>62.5</v>
      </c>
    </row>
    <row r="1599" spans="6:9">
      <c r="F1599" s="12" t="str">
        <f>Absolute_Scores!F1599</f>
        <v>@luniyd91</v>
      </c>
      <c r="G1599" s="12" t="str">
        <f>Absolute_Scores!G1599</f>
        <v>Instagram</v>
      </c>
      <c r="H1599" s="29">
        <f>Absolute_Scores!I1599</f>
        <v>50</v>
      </c>
      <c r="I1599" s="30">
        <f t="shared" si="55"/>
        <v>62.5</v>
      </c>
    </row>
    <row r="1600" spans="6:9">
      <c r="F1600" s="12" t="str">
        <f>Absolute_Scores!F1600</f>
        <v>@lupitaalitaa</v>
      </c>
      <c r="G1600" s="12" t="str">
        <f>Absolute_Scores!G1600</f>
        <v>Instagram</v>
      </c>
      <c r="H1600" s="29">
        <f>Absolute_Scores!I1600</f>
        <v>50</v>
      </c>
      <c r="I1600" s="30">
        <f t="shared" si="55"/>
        <v>62.5</v>
      </c>
    </row>
    <row r="1601" spans="6:9">
      <c r="F1601" s="12" t="str">
        <f>Absolute_Scores!F1601</f>
        <v>@lutfi.afansyah</v>
      </c>
      <c r="G1601" s="12" t="str">
        <f>Absolute_Scores!G1601</f>
        <v>TikTok</v>
      </c>
      <c r="H1601" s="29">
        <f>Absolute_Scores!I1601</f>
        <v>50</v>
      </c>
      <c r="I1601" s="30">
        <f t="shared" si="55"/>
        <v>62.5</v>
      </c>
    </row>
    <row r="1602" spans="6:9">
      <c r="F1602" s="12" t="str">
        <f>Absolute_Scores!F1602</f>
        <v>@lutfiadicha</v>
      </c>
      <c r="G1602" s="12" t="str">
        <f>Absolute_Scores!G1602</f>
        <v>TikTok</v>
      </c>
      <c r="H1602" s="29">
        <f>Absolute_Scores!I1602</f>
        <v>50</v>
      </c>
      <c r="I1602" s="30">
        <f t="shared" si="55"/>
        <v>62.5</v>
      </c>
    </row>
    <row r="1603" spans="6:9">
      <c r="F1603" s="12" t="str">
        <f>Absolute_Scores!F1603</f>
        <v>@lydiaaas__</v>
      </c>
      <c r="G1603" s="12" t="str">
        <f>Absolute_Scores!G1603</f>
        <v>TikTok</v>
      </c>
      <c r="H1603" s="29">
        <f>Absolute_Scores!I1603</f>
        <v>50</v>
      </c>
      <c r="I1603" s="30">
        <f t="shared" si="55"/>
        <v>62.5</v>
      </c>
    </row>
    <row r="1604" spans="6:9">
      <c r="F1604" s="12" t="str">
        <f>Absolute_Scores!F1604</f>
        <v>@lydiawidianti</v>
      </c>
      <c r="G1604" s="12" t="str">
        <f>Absolute_Scores!G1604</f>
        <v>Instagram</v>
      </c>
      <c r="H1604" s="29">
        <f>Absolute_Scores!I1604</f>
        <v>50</v>
      </c>
      <c r="I1604" s="30">
        <f t="shared" si="55"/>
        <v>62.5</v>
      </c>
    </row>
    <row r="1605" spans="6:9">
      <c r="F1605" s="12" t="str">
        <f>Absolute_Scores!F1605</f>
        <v>@lyta_annidapranata</v>
      </c>
      <c r="G1605" s="12" t="str">
        <f>Absolute_Scores!G1605</f>
        <v>TikTok</v>
      </c>
      <c r="H1605" s="29">
        <f>Absolute_Scores!I1605</f>
        <v>50</v>
      </c>
      <c r="I1605" s="30">
        <f t="shared" si="55"/>
        <v>62.5</v>
      </c>
    </row>
    <row r="1606" spans="6:9">
      <c r="F1606" s="12" t="str">
        <f>Absolute_Scores!F1606</f>
        <v>@ma_donnnaaa_</v>
      </c>
      <c r="G1606" s="12" t="str">
        <f>Absolute_Scores!G1606</f>
        <v>Instagram</v>
      </c>
      <c r="H1606" s="29">
        <f>Absolute_Scores!I1606</f>
        <v>50</v>
      </c>
      <c r="I1606" s="30">
        <f t="shared" ref="I1606:I1669" si="56">ROUND(H1606/$I$4*100,2)</f>
        <v>62.5</v>
      </c>
    </row>
    <row r="1607" spans="6:9">
      <c r="F1607" s="12" t="str">
        <f>Absolute_Scores!F1607</f>
        <v>@maachiat0o</v>
      </c>
      <c r="G1607" s="12" t="str">
        <f>Absolute_Scores!G1607</f>
        <v>Instagram</v>
      </c>
      <c r="H1607" s="29">
        <f>Absolute_Scores!I1607</f>
        <v>50</v>
      </c>
      <c r="I1607" s="30">
        <f t="shared" si="56"/>
        <v>62.5</v>
      </c>
    </row>
    <row r="1608" spans="6:9">
      <c r="F1608" s="12" t="str">
        <f>Absolute_Scores!F1608</f>
        <v>@machan15</v>
      </c>
      <c r="G1608" s="12" t="str">
        <f>Absolute_Scores!G1608</f>
        <v>TikTok</v>
      </c>
      <c r="H1608" s="29">
        <f>Absolute_Scores!I1608</f>
        <v>50</v>
      </c>
      <c r="I1608" s="30">
        <f t="shared" si="56"/>
        <v>62.5</v>
      </c>
    </row>
    <row r="1609" spans="6:9">
      <c r="F1609" s="12" t="str">
        <f>Absolute_Scores!F1609</f>
        <v>@magdalenabhe</v>
      </c>
      <c r="G1609" s="12" t="str">
        <f>Absolute_Scores!G1609</f>
        <v>TikTok</v>
      </c>
      <c r="H1609" s="29">
        <f>Absolute_Scores!I1609</f>
        <v>50</v>
      </c>
      <c r="I1609" s="30">
        <f t="shared" si="56"/>
        <v>62.5</v>
      </c>
    </row>
    <row r="1610" spans="6:9">
      <c r="F1610" s="12" t="str">
        <f>Absolute_Scores!F1610</f>
        <v>@mahirakaniss</v>
      </c>
      <c r="G1610" s="12" t="str">
        <f>Absolute_Scores!G1610</f>
        <v>TikTok</v>
      </c>
      <c r="H1610" s="29">
        <f>Absolute_Scores!I1610</f>
        <v>50</v>
      </c>
      <c r="I1610" s="30">
        <f t="shared" si="56"/>
        <v>62.5</v>
      </c>
    </row>
    <row r="1611" spans="6:9">
      <c r="F1611" s="12" t="str">
        <f>Absolute_Scores!F1611</f>
        <v>@mainikki95</v>
      </c>
      <c r="G1611" s="12" t="str">
        <f>Absolute_Scores!G1611</f>
        <v>Instagram</v>
      </c>
      <c r="H1611" s="29">
        <f>Absolute_Scores!I1611</f>
        <v>50</v>
      </c>
      <c r="I1611" s="30">
        <f t="shared" si="56"/>
        <v>62.5</v>
      </c>
    </row>
    <row r="1612" spans="6:9">
      <c r="F1612" s="12" t="str">
        <f>Absolute_Scores!F1612</f>
        <v>@maintennis</v>
      </c>
      <c r="G1612" s="12" t="str">
        <f>Absolute_Scores!G1612</f>
        <v>TikTok</v>
      </c>
      <c r="H1612" s="29">
        <f>Absolute_Scores!I1612</f>
        <v>50</v>
      </c>
      <c r="I1612" s="30">
        <f t="shared" si="56"/>
        <v>62.5</v>
      </c>
    </row>
    <row r="1613" spans="6:9">
      <c r="F1613" s="12" t="str">
        <f>Absolute_Scores!F1613</f>
        <v>@makansamakoko</v>
      </c>
      <c r="G1613" s="12" t="str">
        <f>Absolute_Scores!G1613</f>
        <v>TikTok</v>
      </c>
      <c r="H1613" s="29">
        <f>Absolute_Scores!I1613</f>
        <v>50</v>
      </c>
      <c r="I1613" s="30">
        <f t="shared" si="56"/>
        <v>62.5</v>
      </c>
    </row>
    <row r="1614" spans="6:9">
      <c r="F1614" s="12" t="str">
        <f>Absolute_Scores!F1614</f>
        <v>@makeupjesslyn</v>
      </c>
      <c r="G1614" s="12" t="str">
        <f>Absolute_Scores!G1614</f>
        <v>Instagram</v>
      </c>
      <c r="H1614" s="29">
        <f>Absolute_Scores!I1614</f>
        <v>50</v>
      </c>
      <c r="I1614" s="30">
        <f t="shared" si="56"/>
        <v>62.5</v>
      </c>
    </row>
    <row r="1615" spans="6:9">
      <c r="F1615" s="12" t="str">
        <f>Absolute_Scores!F1615</f>
        <v>@makimadagingcincang</v>
      </c>
      <c r="G1615" s="12" t="str">
        <f>Absolute_Scores!G1615</f>
        <v>TikTok</v>
      </c>
      <c r="H1615" s="29">
        <f>Absolute_Scores!I1615</f>
        <v>50</v>
      </c>
      <c r="I1615" s="30">
        <f t="shared" si="56"/>
        <v>62.5</v>
      </c>
    </row>
    <row r="1616" spans="6:9">
      <c r="F1616" s="12" t="str">
        <f>Absolute_Scores!F1616</f>
        <v>@malameze</v>
      </c>
      <c r="G1616" s="12" t="str">
        <f>Absolute_Scores!G1616</f>
        <v>TikTok</v>
      </c>
      <c r="H1616" s="29">
        <f>Absolute_Scores!I1616</f>
        <v>50</v>
      </c>
      <c r="I1616" s="30">
        <f t="shared" si="56"/>
        <v>62.5</v>
      </c>
    </row>
    <row r="1617" spans="6:9">
      <c r="F1617" s="12" t="str">
        <f>Absolute_Scores!F1617</f>
        <v>@maleikhi</v>
      </c>
      <c r="G1617" s="12" t="str">
        <f>Absolute_Scores!G1617</f>
        <v>TikTok</v>
      </c>
      <c r="H1617" s="29">
        <f>Absolute_Scores!I1617</f>
        <v>50</v>
      </c>
      <c r="I1617" s="30">
        <f t="shared" si="56"/>
        <v>62.5</v>
      </c>
    </row>
    <row r="1618" spans="6:9">
      <c r="F1618" s="12" t="str">
        <f>Absolute_Scores!F1618</f>
        <v>@mamabercerita</v>
      </c>
      <c r="G1618" s="12" t="str">
        <f>Absolute_Scores!G1618</f>
        <v>TikTok</v>
      </c>
      <c r="H1618" s="29">
        <f>Absolute_Scores!I1618</f>
        <v>50</v>
      </c>
      <c r="I1618" s="30">
        <f t="shared" si="56"/>
        <v>62.5</v>
      </c>
    </row>
    <row r="1619" spans="6:9">
      <c r="F1619" s="12" t="str">
        <f>Absolute_Scores!F1619</f>
        <v>@mamahnavp_channel</v>
      </c>
      <c r="G1619" s="12" t="str">
        <f>Absolute_Scores!G1619</f>
        <v>Instagram</v>
      </c>
      <c r="H1619" s="29">
        <f>Absolute_Scores!I1619</f>
        <v>50</v>
      </c>
      <c r="I1619" s="30">
        <f t="shared" si="56"/>
        <v>62.5</v>
      </c>
    </row>
    <row r="1620" spans="6:9">
      <c r="F1620" s="12" t="str">
        <f>Absolute_Scores!F1620</f>
        <v>@mamanianindi</v>
      </c>
      <c r="G1620" s="12" t="str">
        <f>Absolute_Scores!G1620</f>
        <v>Instagram</v>
      </c>
      <c r="H1620" s="29">
        <f>Absolute_Scores!I1620</f>
        <v>50</v>
      </c>
      <c r="I1620" s="30">
        <f t="shared" si="56"/>
        <v>62.5</v>
      </c>
    </row>
    <row r="1621" spans="6:9">
      <c r="F1621" s="12" t="str">
        <f>Absolute_Scores!F1621</f>
        <v>@mamasaverodansheila_</v>
      </c>
      <c r="G1621" s="12" t="str">
        <f>Absolute_Scores!G1621</f>
        <v>Instagram</v>
      </c>
      <c r="H1621" s="29">
        <f>Absolute_Scores!I1621</f>
        <v>50</v>
      </c>
      <c r="I1621" s="30">
        <f t="shared" si="56"/>
        <v>62.5</v>
      </c>
    </row>
    <row r="1622" spans="6:9">
      <c r="F1622" s="12" t="str">
        <f>Absolute_Scores!F1622</f>
        <v>@mami_divinia</v>
      </c>
      <c r="G1622" s="12" t="str">
        <f>Absolute_Scores!G1622</f>
        <v>Instagram</v>
      </c>
      <c r="H1622" s="29">
        <f>Absolute_Scores!I1622</f>
        <v>50</v>
      </c>
      <c r="I1622" s="30">
        <f t="shared" si="56"/>
        <v>62.5</v>
      </c>
    </row>
    <row r="1623" spans="6:9">
      <c r="F1623" s="12" t="str">
        <f>Absolute_Scores!F1623</f>
        <v>@mamibubos</v>
      </c>
      <c r="G1623" s="12" t="str">
        <f>Absolute_Scores!G1623</f>
        <v>TikTok</v>
      </c>
      <c r="H1623" s="29">
        <f>Absolute_Scores!I1623</f>
        <v>50</v>
      </c>
      <c r="I1623" s="30">
        <f t="shared" si="56"/>
        <v>62.5</v>
      </c>
    </row>
    <row r="1624" spans="6:9">
      <c r="F1624" s="12" t="str">
        <f>Absolute_Scores!F1624</f>
        <v>@mamijaksel</v>
      </c>
      <c r="G1624" s="12" t="str">
        <f>Absolute_Scores!G1624</f>
        <v>TikTok</v>
      </c>
      <c r="H1624" s="29">
        <f>Absolute_Scores!I1624</f>
        <v>50</v>
      </c>
      <c r="I1624" s="30">
        <f t="shared" si="56"/>
        <v>62.5</v>
      </c>
    </row>
    <row r="1625" spans="6:9">
      <c r="F1625" s="12" t="str">
        <f>Absolute_Scores!F1625</f>
        <v>@mandputrr</v>
      </c>
      <c r="G1625" s="12" t="str">
        <f>Absolute_Scores!G1625</f>
        <v>TikTok</v>
      </c>
      <c r="H1625" s="29">
        <f>Absolute_Scores!I1625</f>
        <v>50</v>
      </c>
      <c r="I1625" s="30">
        <f t="shared" si="56"/>
        <v>62.5</v>
      </c>
    </row>
    <row r="1626" spans="6:9">
      <c r="F1626" s="12" t="str">
        <f>Absolute_Scores!F1626</f>
        <v>@mankemond</v>
      </c>
      <c r="G1626" s="12" t="str">
        <f>Absolute_Scores!G1626</f>
        <v>TikTok</v>
      </c>
      <c r="H1626" s="29">
        <f>Absolute_Scores!I1626</f>
        <v>50</v>
      </c>
      <c r="I1626" s="30">
        <f t="shared" si="56"/>
        <v>62.5</v>
      </c>
    </row>
    <row r="1627" spans="6:9">
      <c r="F1627" s="12" t="str">
        <f>Absolute_Scores!F1627</f>
        <v>@mankook_</v>
      </c>
      <c r="G1627" s="12" t="str">
        <f>Absolute_Scores!G1627</f>
        <v>Instagram</v>
      </c>
      <c r="H1627" s="29">
        <f>Absolute_Scores!I1627</f>
        <v>50</v>
      </c>
      <c r="I1627" s="30">
        <f t="shared" si="56"/>
        <v>62.5</v>
      </c>
    </row>
    <row r="1628" spans="6:9">
      <c r="F1628" s="12" t="str">
        <f>Absolute_Scores!F1628</f>
        <v>@mantrianarani</v>
      </c>
      <c r="G1628" s="12" t="str">
        <f>Absolute_Scores!G1628</f>
        <v>Instagram</v>
      </c>
      <c r="H1628" s="29">
        <f>Absolute_Scores!I1628</f>
        <v>50</v>
      </c>
      <c r="I1628" s="30">
        <f t="shared" si="56"/>
        <v>62.5</v>
      </c>
    </row>
    <row r="1629" spans="6:9">
      <c r="F1629" s="12" t="str">
        <f>Absolute_Scores!F1629</f>
        <v>@marcelldarwin58</v>
      </c>
      <c r="G1629" s="12" t="str">
        <f>Absolute_Scores!G1629</f>
        <v>TikTok</v>
      </c>
      <c r="H1629" s="29">
        <f>Absolute_Scores!I1629</f>
        <v>50</v>
      </c>
      <c r="I1629" s="30">
        <f t="shared" si="56"/>
        <v>62.5</v>
      </c>
    </row>
    <row r="1630" spans="6:9">
      <c r="F1630" s="12" t="str">
        <f>Absolute_Scores!F1630</f>
        <v>@marcusapi</v>
      </c>
      <c r="G1630" s="12" t="str">
        <f>Absolute_Scores!G1630</f>
        <v>TikTok</v>
      </c>
      <c r="H1630" s="29">
        <f>Absolute_Scores!I1630</f>
        <v>50</v>
      </c>
      <c r="I1630" s="30">
        <f t="shared" si="56"/>
        <v>62.5</v>
      </c>
    </row>
    <row r="1631" spans="6:9">
      <c r="F1631" s="12" t="str">
        <f>Absolute_Scores!F1631</f>
        <v>@mardatillahika</v>
      </c>
      <c r="G1631" s="12" t="str">
        <f>Absolute_Scores!G1631</f>
        <v>TikTok</v>
      </c>
      <c r="H1631" s="29">
        <f>Absolute_Scores!I1631</f>
        <v>50</v>
      </c>
      <c r="I1631" s="30">
        <f t="shared" si="56"/>
        <v>62.5</v>
      </c>
    </row>
    <row r="1632" spans="6:9">
      <c r="F1632" s="12" t="str">
        <f>Absolute_Scores!F1632</f>
        <v>@margareta.wijaya</v>
      </c>
      <c r="G1632" s="12" t="str">
        <f>Absolute_Scores!G1632</f>
        <v>TikTok</v>
      </c>
      <c r="H1632" s="29">
        <f>Absolute_Scores!I1632</f>
        <v>50</v>
      </c>
      <c r="I1632" s="30">
        <f t="shared" si="56"/>
        <v>62.5</v>
      </c>
    </row>
    <row r="1633" spans="6:9">
      <c r="F1633" s="12" t="str">
        <f>Absolute_Scores!F1633</f>
        <v>@margareth_angelina</v>
      </c>
      <c r="G1633" s="12" t="str">
        <f>Absolute_Scores!G1633</f>
        <v>TikTok</v>
      </c>
      <c r="H1633" s="29">
        <f>Absolute_Scores!I1633</f>
        <v>50</v>
      </c>
      <c r="I1633" s="30">
        <f t="shared" si="56"/>
        <v>62.5</v>
      </c>
    </row>
    <row r="1634" spans="6:9">
      <c r="F1634" s="12" t="str">
        <f>Absolute_Scores!F1634</f>
        <v>@maria_isnaini</v>
      </c>
      <c r="G1634" s="12" t="str">
        <f>Absolute_Scores!G1634</f>
        <v>Instagram</v>
      </c>
      <c r="H1634" s="29">
        <f>Absolute_Scores!I1634</f>
        <v>50</v>
      </c>
      <c r="I1634" s="30">
        <f t="shared" si="56"/>
        <v>62.5</v>
      </c>
    </row>
    <row r="1635" spans="6:9">
      <c r="F1635" s="12" t="str">
        <f>Absolute_Scores!F1635</f>
        <v>@mariaasfc</v>
      </c>
      <c r="G1635" s="12" t="str">
        <f>Absolute_Scores!G1635</f>
        <v>Instagram</v>
      </c>
      <c r="H1635" s="29">
        <f>Absolute_Scores!I1635</f>
        <v>50</v>
      </c>
      <c r="I1635" s="30">
        <f t="shared" si="56"/>
        <v>62.5</v>
      </c>
    </row>
    <row r="1636" spans="6:9">
      <c r="F1636" s="12" t="str">
        <f>Absolute_Scores!F1636</f>
        <v>@marinasea26</v>
      </c>
      <c r="G1636" s="12" t="str">
        <f>Absolute_Scores!G1636</f>
        <v>TikTok</v>
      </c>
      <c r="H1636" s="29">
        <f>Absolute_Scores!I1636</f>
        <v>50</v>
      </c>
      <c r="I1636" s="30">
        <f t="shared" si="56"/>
        <v>62.5</v>
      </c>
    </row>
    <row r="1637" spans="6:9">
      <c r="F1637" s="12" t="str">
        <f>Absolute_Scores!F1637</f>
        <v>@marindaaws</v>
      </c>
      <c r="G1637" s="12" t="str">
        <f>Absolute_Scores!G1637</f>
        <v>Instagram</v>
      </c>
      <c r="H1637" s="29">
        <f>Absolute_Scores!I1637</f>
        <v>50</v>
      </c>
      <c r="I1637" s="30">
        <f t="shared" si="56"/>
        <v>62.5</v>
      </c>
    </row>
    <row r="1638" spans="6:9">
      <c r="F1638" s="12" t="str">
        <f>Absolute_Scores!F1638</f>
        <v>@mariodelano</v>
      </c>
      <c r="G1638" s="12" t="str">
        <f>Absolute_Scores!G1638</f>
        <v>TikTok</v>
      </c>
      <c r="H1638" s="29">
        <f>Absolute_Scores!I1638</f>
        <v>50</v>
      </c>
      <c r="I1638" s="30">
        <f t="shared" si="56"/>
        <v>62.5</v>
      </c>
    </row>
    <row r="1639" spans="6:9">
      <c r="F1639" s="12" t="str">
        <f>Absolute_Scores!F1639</f>
        <v>@marissa.megawati</v>
      </c>
      <c r="G1639" s="12" t="str">
        <f>Absolute_Scores!G1639</f>
        <v>TikTok</v>
      </c>
      <c r="H1639" s="29">
        <f>Absolute_Scores!I1639</f>
        <v>50</v>
      </c>
      <c r="I1639" s="30">
        <f t="shared" si="56"/>
        <v>62.5</v>
      </c>
    </row>
    <row r="1640" spans="6:9">
      <c r="F1640" s="12" t="str">
        <f>Absolute_Scores!F1640</f>
        <v>@maritzazhrsy</v>
      </c>
      <c r="G1640" s="12" t="str">
        <f>Absolute_Scores!G1640</f>
        <v>TikTok</v>
      </c>
      <c r="H1640" s="29">
        <f>Absolute_Scores!I1640</f>
        <v>50</v>
      </c>
      <c r="I1640" s="30">
        <f t="shared" si="56"/>
        <v>62.5</v>
      </c>
    </row>
    <row r="1641" spans="6:9">
      <c r="F1641" s="12" t="str">
        <f>Absolute_Scores!F1641</f>
        <v>@mariyamanta</v>
      </c>
      <c r="G1641" s="12" t="str">
        <f>Absolute_Scores!G1641</f>
        <v>Instagram</v>
      </c>
      <c r="H1641" s="29">
        <f>Absolute_Scores!I1641</f>
        <v>50</v>
      </c>
      <c r="I1641" s="30">
        <f t="shared" si="56"/>
        <v>62.5</v>
      </c>
    </row>
    <row r="1642" spans="6:9">
      <c r="F1642" s="12" t="str">
        <f>Absolute_Scores!F1642</f>
        <v>@marsha.jkt48</v>
      </c>
      <c r="G1642" s="12" t="str">
        <f>Absolute_Scores!G1642</f>
        <v>TikTok</v>
      </c>
      <c r="H1642" s="29">
        <f>Absolute_Scores!I1642</f>
        <v>50</v>
      </c>
      <c r="I1642" s="30">
        <f t="shared" si="56"/>
        <v>62.5</v>
      </c>
    </row>
    <row r="1643" spans="6:9">
      <c r="F1643" s="12" t="str">
        <f>Absolute_Scores!F1643</f>
        <v>@marshaaazhr</v>
      </c>
      <c r="G1643" s="12" t="str">
        <f>Absolute_Scores!G1643</f>
        <v>TikTok</v>
      </c>
      <c r="H1643" s="29">
        <f>Absolute_Scores!I1643</f>
        <v>50</v>
      </c>
      <c r="I1643" s="30">
        <f t="shared" si="56"/>
        <v>62.5</v>
      </c>
    </row>
    <row r="1644" spans="6:9">
      <c r="F1644" s="12" t="str">
        <f>Absolute_Scores!F1644</f>
        <v>@marsyarmitha</v>
      </c>
      <c r="G1644" s="12" t="str">
        <f>Absolute_Scores!G1644</f>
        <v>Instagram</v>
      </c>
      <c r="H1644" s="29">
        <f>Absolute_Scores!I1644</f>
        <v>50</v>
      </c>
      <c r="I1644" s="30">
        <f t="shared" si="56"/>
        <v>62.5</v>
      </c>
    </row>
    <row r="1645" spans="6:9">
      <c r="F1645" s="12" t="str">
        <f>Absolute_Scores!F1645</f>
        <v>@martika_tirta</v>
      </c>
      <c r="G1645" s="12" t="str">
        <f>Absolute_Scores!G1645</f>
        <v>Instagram</v>
      </c>
      <c r="H1645" s="29">
        <f>Absolute_Scores!I1645</f>
        <v>50</v>
      </c>
      <c r="I1645" s="30">
        <f t="shared" si="56"/>
        <v>62.5</v>
      </c>
    </row>
    <row r="1646" spans="6:9">
      <c r="F1646" s="12" t="str">
        <f>Absolute_Scores!F1646</f>
        <v>@masayudebby89</v>
      </c>
      <c r="G1646" s="12" t="str">
        <f>Absolute_Scores!G1646</f>
        <v>Instagram</v>
      </c>
      <c r="H1646" s="29">
        <f>Absolute_Scores!I1646</f>
        <v>50</v>
      </c>
      <c r="I1646" s="30">
        <f t="shared" si="56"/>
        <v>62.5</v>
      </c>
    </row>
    <row r="1647" spans="6:9">
      <c r="F1647" s="12" t="str">
        <f>Absolute_Scores!F1647</f>
        <v>@masmasjawabantul</v>
      </c>
      <c r="G1647" s="12" t="str">
        <f>Absolute_Scores!G1647</f>
        <v>TikTok</v>
      </c>
      <c r="H1647" s="29">
        <f>Absolute_Scores!I1647</f>
        <v>50</v>
      </c>
      <c r="I1647" s="30">
        <f t="shared" si="56"/>
        <v>62.5</v>
      </c>
    </row>
    <row r="1648" spans="6:9">
      <c r="F1648" s="12" t="str">
        <f>Absolute_Scores!F1648</f>
        <v>@maswendix</v>
      </c>
      <c r="G1648" s="12" t="str">
        <f>Absolute_Scores!G1648</f>
        <v>TikTok</v>
      </c>
      <c r="H1648" s="29">
        <f>Absolute_Scores!I1648</f>
        <v>50</v>
      </c>
      <c r="I1648" s="30">
        <f t="shared" si="56"/>
        <v>62.5</v>
      </c>
    </row>
    <row r="1649" spans="6:9">
      <c r="F1649" s="12" t="str">
        <f>Absolute_Scores!F1649</f>
        <v>@matakukecil</v>
      </c>
      <c r="G1649" s="12" t="str">
        <f>Absolute_Scores!G1649</f>
        <v>TikTok</v>
      </c>
      <c r="H1649" s="29">
        <f>Absolute_Scores!I1649</f>
        <v>50</v>
      </c>
      <c r="I1649" s="30">
        <f t="shared" si="56"/>
        <v>62.5</v>
      </c>
    </row>
    <row r="1650" spans="6:9">
      <c r="F1650" s="12" t="str">
        <f>Absolute_Scores!F1650</f>
        <v>@maudyalmiraa</v>
      </c>
      <c r="G1650" s="12" t="str">
        <f>Absolute_Scores!G1650</f>
        <v>TikTok</v>
      </c>
      <c r="H1650" s="29">
        <f>Absolute_Scores!I1650</f>
        <v>50</v>
      </c>
      <c r="I1650" s="30">
        <f t="shared" si="56"/>
        <v>62.5</v>
      </c>
    </row>
    <row r="1651" spans="6:9">
      <c r="F1651" s="12" t="str">
        <f>Absolute_Scores!F1651</f>
        <v>@maulanaalzukhri</v>
      </c>
      <c r="G1651" s="12" t="str">
        <f>Absolute_Scores!G1651</f>
        <v>TikTok</v>
      </c>
      <c r="H1651" s="29">
        <f>Absolute_Scores!I1651</f>
        <v>50</v>
      </c>
      <c r="I1651" s="30">
        <f t="shared" si="56"/>
        <v>62.5</v>
      </c>
    </row>
    <row r="1652" spans="6:9">
      <c r="F1652" s="12" t="str">
        <f>Absolute_Scores!F1652</f>
        <v>@maulidads</v>
      </c>
      <c r="G1652" s="12" t="str">
        <f>Absolute_Scores!G1652</f>
        <v>Instagram</v>
      </c>
      <c r="H1652" s="29">
        <f>Absolute_Scores!I1652</f>
        <v>50</v>
      </c>
      <c r="I1652" s="30">
        <f t="shared" si="56"/>
        <v>62.5</v>
      </c>
    </row>
    <row r="1653" spans="6:9">
      <c r="F1653" s="12" t="str">
        <f>Absolute_Scores!F1653</f>
        <v>@maulisarh</v>
      </c>
      <c r="G1653" s="12" t="str">
        <f>Absolute_Scores!G1653</f>
        <v>Instagram</v>
      </c>
      <c r="H1653" s="29">
        <f>Absolute_Scores!I1653</f>
        <v>50</v>
      </c>
      <c r="I1653" s="30">
        <f t="shared" si="56"/>
        <v>62.5</v>
      </c>
    </row>
    <row r="1654" spans="6:9">
      <c r="F1654" s="12" t="str">
        <f>Absolute_Scores!F1654</f>
        <v>@maumaukuji</v>
      </c>
      <c r="G1654" s="12" t="str">
        <f>Absolute_Scores!G1654</f>
        <v>TikTok</v>
      </c>
      <c r="H1654" s="29">
        <f>Absolute_Scores!I1654</f>
        <v>50</v>
      </c>
      <c r="I1654" s="30">
        <f t="shared" si="56"/>
        <v>62.5</v>
      </c>
    </row>
    <row r="1655" spans="6:9">
      <c r="F1655" s="12" t="str">
        <f>Absolute_Scores!F1655</f>
        <v>@maurenhwang</v>
      </c>
      <c r="G1655" s="12" t="str">
        <f>Absolute_Scores!G1655</f>
        <v>Instagram</v>
      </c>
      <c r="H1655" s="29">
        <f>Absolute_Scores!I1655</f>
        <v>50</v>
      </c>
      <c r="I1655" s="30">
        <f t="shared" si="56"/>
        <v>62.5</v>
      </c>
    </row>
    <row r="1656" spans="6:9">
      <c r="F1656" s="12" t="str">
        <f>Absolute_Scores!F1656</f>
        <v>@mawang.s.i</v>
      </c>
      <c r="G1656" s="12" t="str">
        <f>Absolute_Scores!G1656</f>
        <v>Instagram</v>
      </c>
      <c r="H1656" s="29">
        <f>Absolute_Scores!I1656</f>
        <v>50</v>
      </c>
      <c r="I1656" s="30">
        <f t="shared" si="56"/>
        <v>62.5</v>
      </c>
    </row>
    <row r="1657" spans="6:9">
      <c r="F1657" s="12" t="str">
        <f>Absolute_Scores!F1657</f>
        <v>@mawarsiska20</v>
      </c>
      <c r="G1657" s="12" t="str">
        <f>Absolute_Scores!G1657</f>
        <v>Instagram</v>
      </c>
      <c r="H1657" s="29">
        <f>Absolute_Scores!I1657</f>
        <v>50</v>
      </c>
      <c r="I1657" s="30">
        <f t="shared" si="56"/>
        <v>62.5</v>
      </c>
    </row>
    <row r="1658" spans="6:9">
      <c r="F1658" s="12" t="str">
        <f>Absolute_Scores!F1658</f>
        <v>@mawminumaja</v>
      </c>
      <c r="G1658" s="12" t="str">
        <f>Absolute_Scores!G1658</f>
        <v>TikTok</v>
      </c>
      <c r="H1658" s="29">
        <f>Absolute_Scores!I1658</f>
        <v>50</v>
      </c>
      <c r="I1658" s="30">
        <f t="shared" si="56"/>
        <v>62.5</v>
      </c>
    </row>
    <row r="1659" spans="6:9">
      <c r="F1659" s="12" t="str">
        <f>Absolute_Scores!F1659</f>
        <v>@may_angeliska</v>
      </c>
      <c r="G1659" s="12" t="str">
        <f>Absolute_Scores!G1659</f>
        <v>Instagram</v>
      </c>
      <c r="H1659" s="29">
        <f>Absolute_Scores!I1659</f>
        <v>50</v>
      </c>
      <c r="I1659" s="30">
        <f t="shared" si="56"/>
        <v>62.5</v>
      </c>
    </row>
    <row r="1660" spans="6:9">
      <c r="F1660" s="12" t="str">
        <f>Absolute_Scores!F1660</f>
        <v>@mayadestira</v>
      </c>
      <c r="G1660" s="12" t="str">
        <f>Absolute_Scores!G1660</f>
        <v>Instagram</v>
      </c>
      <c r="H1660" s="29">
        <f>Absolute_Scores!I1660</f>
        <v>50</v>
      </c>
      <c r="I1660" s="30">
        <f t="shared" si="56"/>
        <v>62.5</v>
      </c>
    </row>
    <row r="1661" spans="6:9">
      <c r="F1661" s="12" t="str">
        <f>Absolute_Scores!F1661</f>
        <v>@mayadinasaa</v>
      </c>
      <c r="G1661" s="12" t="str">
        <f>Absolute_Scores!G1661</f>
        <v>Instagram</v>
      </c>
      <c r="H1661" s="29">
        <f>Absolute_Scores!I1661</f>
        <v>50</v>
      </c>
      <c r="I1661" s="30">
        <f t="shared" si="56"/>
        <v>62.5</v>
      </c>
    </row>
    <row r="1662" spans="6:9">
      <c r="F1662" s="12" t="str">
        <f>Absolute_Scores!F1662</f>
        <v>@mayaems</v>
      </c>
      <c r="G1662" s="12" t="str">
        <f>Absolute_Scores!G1662</f>
        <v>Instagram</v>
      </c>
      <c r="H1662" s="29">
        <f>Absolute_Scores!I1662</f>
        <v>50</v>
      </c>
      <c r="I1662" s="30">
        <f t="shared" si="56"/>
        <v>62.5</v>
      </c>
    </row>
    <row r="1663" spans="6:9">
      <c r="F1663" s="12" t="str">
        <f>Absolute_Scores!F1663</f>
        <v>@mayamonica.s</v>
      </c>
      <c r="G1663" s="12" t="str">
        <f>Absolute_Scores!G1663</f>
        <v>TikTok</v>
      </c>
      <c r="H1663" s="29">
        <f>Absolute_Scores!I1663</f>
        <v>50</v>
      </c>
      <c r="I1663" s="30">
        <f t="shared" si="56"/>
        <v>62.5</v>
      </c>
    </row>
    <row r="1664" spans="6:9">
      <c r="F1664" s="12" t="str">
        <f>Absolute_Scores!F1664</f>
        <v>@maychelta_love</v>
      </c>
      <c r="G1664" s="12" t="str">
        <f>Absolute_Scores!G1664</f>
        <v>Instagram</v>
      </c>
      <c r="H1664" s="29">
        <f>Absolute_Scores!I1664</f>
        <v>50</v>
      </c>
      <c r="I1664" s="30">
        <f t="shared" si="56"/>
        <v>62.5</v>
      </c>
    </row>
    <row r="1665" spans="6:9">
      <c r="F1665" s="12" t="str">
        <f>Absolute_Scores!F1665</f>
        <v>@mayradeva</v>
      </c>
      <c r="G1665" s="12" t="str">
        <f>Absolute_Scores!G1665</f>
        <v>TikTok</v>
      </c>
      <c r="H1665" s="29">
        <f>Absolute_Scores!I1665</f>
        <v>50</v>
      </c>
      <c r="I1665" s="30">
        <f t="shared" si="56"/>
        <v>62.5</v>
      </c>
    </row>
    <row r="1666" spans="6:9">
      <c r="F1666" s="12" t="str">
        <f>Absolute_Scores!F1666</f>
        <v>@mayrisaputri</v>
      </c>
      <c r="G1666" s="12" t="str">
        <f>Absolute_Scores!G1666</f>
        <v>Instagram</v>
      </c>
      <c r="H1666" s="29">
        <f>Absolute_Scores!I1666</f>
        <v>50</v>
      </c>
      <c r="I1666" s="30">
        <f t="shared" si="56"/>
        <v>62.5</v>
      </c>
    </row>
    <row r="1667" spans="6:9">
      <c r="F1667" s="12" t="str">
        <f>Absolute_Scores!F1667</f>
        <v>@mayshajhuann</v>
      </c>
      <c r="G1667" s="12" t="str">
        <f>Absolute_Scores!G1667</f>
        <v>TikTok</v>
      </c>
      <c r="H1667" s="29">
        <f>Absolute_Scores!I1667</f>
        <v>50</v>
      </c>
      <c r="I1667" s="30">
        <f t="shared" si="56"/>
        <v>62.5</v>
      </c>
    </row>
    <row r="1668" spans="6:9">
      <c r="F1668" s="12" t="str">
        <f>Absolute_Scores!F1668</f>
        <v>@mbakverro</v>
      </c>
      <c r="G1668" s="12" t="str">
        <f>Absolute_Scores!G1668</f>
        <v>TikTok</v>
      </c>
      <c r="H1668" s="29">
        <f>Absolute_Scores!I1668</f>
        <v>50</v>
      </c>
      <c r="I1668" s="30">
        <f t="shared" si="56"/>
        <v>62.5</v>
      </c>
    </row>
    <row r="1669" spans="6:9">
      <c r="F1669" s="12" t="str">
        <f>Absolute_Scores!F1669</f>
        <v>@me.me.meiii</v>
      </c>
      <c r="G1669" s="12" t="str">
        <f>Absolute_Scores!G1669</f>
        <v>Instagram</v>
      </c>
      <c r="H1669" s="29">
        <f>Absolute_Scores!I1669</f>
        <v>50</v>
      </c>
      <c r="I1669" s="30">
        <f t="shared" si="56"/>
        <v>62.5</v>
      </c>
    </row>
    <row r="1670" spans="6:9">
      <c r="F1670" s="12" t="str">
        <f>Absolute_Scores!F1670</f>
        <v>@meandthingss</v>
      </c>
      <c r="G1670" s="12" t="str">
        <f>Absolute_Scores!G1670</f>
        <v>TikTok</v>
      </c>
      <c r="H1670" s="29">
        <f>Absolute_Scores!I1670</f>
        <v>50</v>
      </c>
      <c r="I1670" s="30">
        <f t="shared" ref="I1670:I1733" si="57">ROUND(H1670/$I$4*100,2)</f>
        <v>62.5</v>
      </c>
    </row>
    <row r="1671" spans="6:9">
      <c r="F1671" s="12" t="str">
        <f>Absolute_Scores!F1671</f>
        <v>@megaputripamungkas</v>
      </c>
      <c r="G1671" s="12" t="str">
        <f>Absolute_Scores!G1671</f>
        <v>Instagram</v>
      </c>
      <c r="H1671" s="29">
        <f>Absolute_Scores!I1671</f>
        <v>50</v>
      </c>
      <c r="I1671" s="30">
        <f t="shared" si="57"/>
        <v>62.5</v>
      </c>
    </row>
    <row r="1672" spans="6:9">
      <c r="F1672" s="12" t="str">
        <f>Absolute_Scores!F1672</f>
        <v>@meiangeel</v>
      </c>
      <c r="G1672" s="12" t="str">
        <f>Absolute_Scores!G1672</f>
        <v>Instagram</v>
      </c>
      <c r="H1672" s="29">
        <f>Absolute_Scores!I1672</f>
        <v>50</v>
      </c>
      <c r="I1672" s="30">
        <f t="shared" si="57"/>
        <v>62.5</v>
      </c>
    </row>
    <row r="1673" spans="6:9">
      <c r="F1673" s="12" t="str">
        <f>Absolute_Scores!F1673</f>
        <v>@meighayudyhs</v>
      </c>
      <c r="G1673" s="12" t="str">
        <f>Absolute_Scores!G1673</f>
        <v>TikTok</v>
      </c>
      <c r="H1673" s="29">
        <f>Absolute_Scores!I1673</f>
        <v>50</v>
      </c>
      <c r="I1673" s="30">
        <f t="shared" si="57"/>
        <v>62.5</v>
      </c>
    </row>
    <row r="1674" spans="6:9">
      <c r="F1674" s="12" t="str">
        <f>Absolute_Scores!F1674</f>
        <v>@meiipriska</v>
      </c>
      <c r="G1674" s="12" t="str">
        <f>Absolute_Scores!G1674</f>
        <v>Instagram</v>
      </c>
      <c r="H1674" s="29">
        <f>Absolute_Scores!I1674</f>
        <v>50</v>
      </c>
      <c r="I1674" s="30">
        <f t="shared" si="57"/>
        <v>62.5</v>
      </c>
    </row>
    <row r="1675" spans="6:9">
      <c r="F1675" s="12" t="str">
        <f>Absolute_Scores!F1675</f>
        <v>@meikefatimah</v>
      </c>
      <c r="G1675" s="12" t="str">
        <f>Absolute_Scores!G1675</f>
        <v>Instagram</v>
      </c>
      <c r="H1675" s="29">
        <f>Absolute_Scores!I1675</f>
        <v>50</v>
      </c>
      <c r="I1675" s="30">
        <f t="shared" si="57"/>
        <v>62.5</v>
      </c>
    </row>
    <row r="1676" spans="6:9">
      <c r="F1676" s="12" t="str">
        <f>Absolute_Scores!F1676</f>
        <v>@meiraniamalia</v>
      </c>
      <c r="G1676" s="12" t="str">
        <f>Absolute_Scores!G1676</f>
        <v>TikTok</v>
      </c>
      <c r="H1676" s="29">
        <f>Absolute_Scores!I1676</f>
        <v>50</v>
      </c>
      <c r="I1676" s="30">
        <f t="shared" si="57"/>
        <v>62.5</v>
      </c>
    </row>
    <row r="1677" spans="6:9">
      <c r="F1677" s="12" t="str">
        <f>Absolute_Scores!F1677</f>
        <v>@mel_mly20</v>
      </c>
      <c r="G1677" s="12" t="str">
        <f>Absolute_Scores!G1677</f>
        <v>TikTok</v>
      </c>
      <c r="H1677" s="29">
        <f>Absolute_Scores!I1677</f>
        <v>50</v>
      </c>
      <c r="I1677" s="30">
        <f t="shared" si="57"/>
        <v>62.5</v>
      </c>
    </row>
    <row r="1678" spans="6:9">
      <c r="F1678" s="12" t="str">
        <f>Absolute_Scores!F1678</f>
        <v>@melaaprilia74_</v>
      </c>
      <c r="G1678" s="12" t="str">
        <f>Absolute_Scores!G1678</f>
        <v>Instagram</v>
      </c>
      <c r="H1678" s="29">
        <f>Absolute_Scores!I1678</f>
        <v>50</v>
      </c>
      <c r="I1678" s="30">
        <f t="shared" si="57"/>
        <v>62.5</v>
      </c>
    </row>
    <row r="1679" spans="6:9">
      <c r="F1679" s="12" t="str">
        <f>Absolute_Scores!F1679</f>
        <v>@melatiyeka</v>
      </c>
      <c r="G1679" s="12" t="str">
        <f>Absolute_Scores!G1679</f>
        <v>Instagram</v>
      </c>
      <c r="H1679" s="29">
        <f>Absolute_Scores!I1679</f>
        <v>50</v>
      </c>
      <c r="I1679" s="30">
        <f t="shared" si="57"/>
        <v>62.5</v>
      </c>
    </row>
    <row r="1680" spans="6:9">
      <c r="F1680" s="12" t="str">
        <f>Absolute_Scores!F1680</f>
        <v>@melianasiska06</v>
      </c>
      <c r="G1680" s="12" t="str">
        <f>Absolute_Scores!G1680</f>
        <v>TikTok</v>
      </c>
      <c r="H1680" s="29">
        <f>Absolute_Scores!I1680</f>
        <v>50</v>
      </c>
      <c r="I1680" s="30">
        <f t="shared" si="57"/>
        <v>62.5</v>
      </c>
    </row>
    <row r="1681" spans="6:9">
      <c r="F1681" s="12" t="str">
        <f>Absolute_Scores!F1681</f>
        <v>@melidaasti</v>
      </c>
      <c r="G1681" s="12" t="str">
        <f>Absolute_Scores!G1681</f>
        <v>Instagram</v>
      </c>
      <c r="H1681" s="29">
        <f>Absolute_Scores!I1681</f>
        <v>50</v>
      </c>
      <c r="I1681" s="30">
        <f t="shared" si="57"/>
        <v>62.5</v>
      </c>
    </row>
    <row r="1682" spans="6:9">
      <c r="F1682" s="12" t="str">
        <f>Absolute_Scores!F1682</f>
        <v>@melindazharich</v>
      </c>
      <c r="G1682" s="12" t="str">
        <f>Absolute_Scores!G1682</f>
        <v>Instagram</v>
      </c>
      <c r="H1682" s="29">
        <f>Absolute_Scores!I1682</f>
        <v>50</v>
      </c>
      <c r="I1682" s="30">
        <f t="shared" si="57"/>
        <v>62.5</v>
      </c>
    </row>
    <row r="1683" spans="6:9">
      <c r="F1683" s="12" t="str">
        <f>Absolute_Scores!F1683</f>
        <v>@melisa_kusnadi</v>
      </c>
      <c r="G1683" s="12" t="str">
        <f>Absolute_Scores!G1683</f>
        <v>Instagram</v>
      </c>
      <c r="H1683" s="29">
        <f>Absolute_Scores!I1683</f>
        <v>50</v>
      </c>
      <c r="I1683" s="30">
        <f t="shared" si="57"/>
        <v>62.5</v>
      </c>
    </row>
    <row r="1684" spans="6:9">
      <c r="F1684" s="12" t="str">
        <f>Absolute_Scores!F1684</f>
        <v>@melisawd__</v>
      </c>
      <c r="G1684" s="12" t="str">
        <f>Absolute_Scores!G1684</f>
        <v>TikTok</v>
      </c>
      <c r="H1684" s="29">
        <f>Absolute_Scores!I1684</f>
        <v>50</v>
      </c>
      <c r="I1684" s="30">
        <f t="shared" si="57"/>
        <v>62.5</v>
      </c>
    </row>
    <row r="1685" spans="6:9">
      <c r="F1685" s="12" t="str">
        <f>Absolute_Scores!F1685</f>
        <v>@melissaanggriawan</v>
      </c>
      <c r="G1685" s="12" t="str">
        <f>Absolute_Scores!G1685</f>
        <v>TikTok</v>
      </c>
      <c r="H1685" s="29">
        <f>Absolute_Scores!I1685</f>
        <v>50</v>
      </c>
      <c r="I1685" s="30">
        <f t="shared" si="57"/>
        <v>62.5</v>
      </c>
    </row>
    <row r="1686" spans="6:9">
      <c r="F1686" s="12" t="str">
        <f>Absolute_Scores!F1686</f>
        <v>@mellyana.thalikaa</v>
      </c>
      <c r="G1686" s="12" t="str">
        <f>Absolute_Scores!G1686</f>
        <v>Instagram</v>
      </c>
      <c r="H1686" s="29">
        <f>Absolute_Scores!I1686</f>
        <v>50</v>
      </c>
      <c r="I1686" s="30">
        <f t="shared" si="57"/>
        <v>62.5</v>
      </c>
    </row>
    <row r="1687" spans="6:9">
      <c r="F1687" s="12" t="str">
        <f>Absolute_Scores!F1687</f>
        <v>@melvinmaylani</v>
      </c>
      <c r="G1687" s="12" t="str">
        <f>Absolute_Scores!G1687</f>
        <v>Instagram</v>
      </c>
      <c r="H1687" s="29">
        <f>Absolute_Scores!I1687</f>
        <v>50</v>
      </c>
      <c r="I1687" s="30">
        <f t="shared" si="57"/>
        <v>62.5</v>
      </c>
    </row>
    <row r="1688" spans="6:9">
      <c r="F1688" s="12" t="str">
        <f>Absolute_Scores!F1688</f>
        <v>@melycholif</v>
      </c>
      <c r="G1688" s="12" t="str">
        <f>Absolute_Scores!G1688</f>
        <v>TikTok</v>
      </c>
      <c r="H1688" s="29">
        <f>Absolute_Scores!I1688</f>
        <v>50</v>
      </c>
      <c r="I1688" s="30">
        <f t="shared" si="57"/>
        <v>62.5</v>
      </c>
    </row>
    <row r="1689" spans="6:9">
      <c r="F1689" s="12" t="str">
        <f>Absolute_Scores!F1689</f>
        <v>@melz.oei</v>
      </c>
      <c r="G1689" s="12" t="str">
        <f>Absolute_Scores!G1689</f>
        <v>Instagram</v>
      </c>
      <c r="H1689" s="29">
        <f>Absolute_Scores!I1689</f>
        <v>50</v>
      </c>
      <c r="I1689" s="30">
        <f t="shared" si="57"/>
        <v>62.5</v>
      </c>
    </row>
    <row r="1690" spans="6:9">
      <c r="F1690" s="12" t="str">
        <f>Absolute_Scores!F1690</f>
        <v>@memoirpng</v>
      </c>
      <c r="G1690" s="12" t="str">
        <f>Absolute_Scores!G1690</f>
        <v>TikTok</v>
      </c>
      <c r="H1690" s="29">
        <f>Absolute_Scores!I1690</f>
        <v>50</v>
      </c>
      <c r="I1690" s="30">
        <f t="shared" si="57"/>
        <v>62.5</v>
      </c>
    </row>
    <row r="1691" spans="6:9">
      <c r="F1691" s="12" t="str">
        <f>Absolute_Scores!F1691</f>
        <v>@merasaria</v>
      </c>
      <c r="G1691" s="12" t="str">
        <f>Absolute_Scores!G1691</f>
        <v>TikTok</v>
      </c>
      <c r="H1691" s="29">
        <f>Absolute_Scores!I1691</f>
        <v>50</v>
      </c>
      <c r="I1691" s="30">
        <f t="shared" si="57"/>
        <v>62.5</v>
      </c>
    </row>
    <row r="1692" spans="6:9">
      <c r="F1692" s="12" t="str">
        <f>Absolute_Scores!F1692</f>
        <v>@merlinnats_</v>
      </c>
      <c r="G1692" s="12" t="str">
        <f>Absolute_Scores!G1692</f>
        <v>TikTok</v>
      </c>
      <c r="H1692" s="29">
        <f>Absolute_Scores!I1692</f>
        <v>50</v>
      </c>
      <c r="I1692" s="30">
        <f t="shared" si="57"/>
        <v>62.5</v>
      </c>
    </row>
    <row r="1693" spans="6:9">
      <c r="F1693" s="12" t="str">
        <f>Absolute_Scores!F1693</f>
        <v>@metametw</v>
      </c>
      <c r="G1693" s="12" t="str">
        <f>Absolute_Scores!G1693</f>
        <v>TikTok</v>
      </c>
      <c r="H1693" s="29">
        <f>Absolute_Scores!I1693</f>
        <v>50</v>
      </c>
      <c r="I1693" s="30">
        <f t="shared" si="57"/>
        <v>62.5</v>
      </c>
    </row>
    <row r="1694" spans="6:9">
      <c r="F1694" s="12" t="str">
        <f>Absolute_Scores!F1694</f>
        <v>@meyrinaaputrii</v>
      </c>
      <c r="G1694" s="12" t="str">
        <f>Absolute_Scores!G1694</f>
        <v>Instagram</v>
      </c>
      <c r="H1694" s="29">
        <f>Absolute_Scores!I1694</f>
        <v>50</v>
      </c>
      <c r="I1694" s="30">
        <f t="shared" si="57"/>
        <v>62.5</v>
      </c>
    </row>
    <row r="1695" spans="6:9">
      <c r="F1695" s="12" t="str">
        <f>Absolute_Scores!F1695</f>
        <v>@meysetiawati</v>
      </c>
      <c r="G1695" s="12" t="str">
        <f>Absolute_Scores!G1695</f>
        <v>Instagram</v>
      </c>
      <c r="H1695" s="29">
        <f>Absolute_Scores!I1695</f>
        <v>50</v>
      </c>
      <c r="I1695" s="30">
        <f t="shared" si="57"/>
        <v>62.5</v>
      </c>
    </row>
    <row r="1696" spans="6:9">
      <c r="F1696" s="12" t="str">
        <f>Absolute_Scores!F1696</f>
        <v>@mfarellm_</v>
      </c>
      <c r="G1696" s="12" t="str">
        <f>Absolute_Scores!G1696</f>
        <v>Instagram</v>
      </c>
      <c r="H1696" s="29">
        <f>Absolute_Scores!I1696</f>
        <v>50</v>
      </c>
      <c r="I1696" s="30">
        <f t="shared" si="57"/>
        <v>62.5</v>
      </c>
    </row>
    <row r="1697" spans="6:9">
      <c r="F1697" s="12" t="str">
        <f>Absolute_Scores!F1697</f>
        <v>@mfdtnnaf_27</v>
      </c>
      <c r="G1697" s="12" t="str">
        <f>Absolute_Scores!G1697</f>
        <v>Instagram</v>
      </c>
      <c r="H1697" s="29">
        <f>Absolute_Scores!I1697</f>
        <v>50</v>
      </c>
      <c r="I1697" s="30">
        <f t="shared" si="57"/>
        <v>62.5</v>
      </c>
    </row>
    <row r="1698" spans="6:9">
      <c r="F1698" s="12" t="str">
        <f>Absolute_Scores!F1698</f>
        <v>@mia___far</v>
      </c>
      <c r="G1698" s="12" t="str">
        <f>Absolute_Scores!G1698</f>
        <v>Instagram</v>
      </c>
      <c r="H1698" s="29">
        <f>Absolute_Scores!I1698</f>
        <v>50</v>
      </c>
      <c r="I1698" s="30">
        <f t="shared" si="57"/>
        <v>62.5</v>
      </c>
    </row>
    <row r="1699" spans="6:9">
      <c r="F1699" s="12" t="str">
        <f>Absolute_Scores!F1699</f>
        <v>@miaagstyn</v>
      </c>
      <c r="G1699" s="12" t="str">
        <f>Absolute_Scores!G1699</f>
        <v>Instagram</v>
      </c>
      <c r="H1699" s="29">
        <f>Absolute_Scores!I1699</f>
        <v>50</v>
      </c>
      <c r="I1699" s="30">
        <f t="shared" si="57"/>
        <v>62.5</v>
      </c>
    </row>
    <row r="1700" spans="6:9">
      <c r="F1700" s="12" t="str">
        <f>Absolute_Scores!F1700</f>
        <v>@miahomecatfe</v>
      </c>
      <c r="G1700" s="12" t="str">
        <f>Absolute_Scores!G1700</f>
        <v>TikTok</v>
      </c>
      <c r="H1700" s="29">
        <f>Absolute_Scores!I1700</f>
        <v>50</v>
      </c>
      <c r="I1700" s="30">
        <f t="shared" si="57"/>
        <v>62.5</v>
      </c>
    </row>
    <row r="1701" spans="6:9">
      <c r="F1701" s="12" t="str">
        <f>Absolute_Scores!F1701</f>
        <v>@miarefafadila</v>
      </c>
      <c r="G1701" s="12" t="str">
        <f>Absolute_Scores!G1701</f>
        <v>Instagram</v>
      </c>
      <c r="H1701" s="29">
        <f>Absolute_Scores!I1701</f>
        <v>50</v>
      </c>
      <c r="I1701" s="30">
        <f t="shared" si="57"/>
        <v>62.5</v>
      </c>
    </row>
    <row r="1702" spans="6:9">
      <c r="F1702" s="12" t="str">
        <f>Absolute_Scores!F1702</f>
        <v>@miawwwallace</v>
      </c>
      <c r="G1702" s="12" t="str">
        <f>Absolute_Scores!G1702</f>
        <v>TikTok</v>
      </c>
      <c r="H1702" s="29">
        <f>Absolute_Scores!I1702</f>
        <v>50</v>
      </c>
      <c r="I1702" s="30">
        <f t="shared" si="57"/>
        <v>62.5</v>
      </c>
    </row>
    <row r="1703" spans="6:9">
      <c r="F1703" s="12" t="str">
        <f>Absolute_Scores!F1703</f>
        <v>@mich.lauren_</v>
      </c>
      <c r="G1703" s="12" t="str">
        <f>Absolute_Scores!G1703</f>
        <v>Instagram</v>
      </c>
      <c r="H1703" s="29">
        <f>Absolute_Scores!I1703</f>
        <v>50</v>
      </c>
      <c r="I1703" s="30">
        <f t="shared" si="57"/>
        <v>62.5</v>
      </c>
    </row>
    <row r="1704" spans="6:9">
      <c r="F1704" s="12" t="str">
        <f>Absolute_Scores!F1704</f>
        <v>@michaelgwn</v>
      </c>
      <c r="G1704" s="12" t="str">
        <f>Absolute_Scores!G1704</f>
        <v>TikTok</v>
      </c>
      <c r="H1704" s="29">
        <f>Absolute_Scores!I1704</f>
        <v>50</v>
      </c>
      <c r="I1704" s="30">
        <f t="shared" si="57"/>
        <v>62.5</v>
      </c>
    </row>
    <row r="1705" spans="6:9">
      <c r="F1705" s="12" t="str">
        <f>Absolute_Scores!F1705</f>
        <v>@michaeltjiu</v>
      </c>
      <c r="G1705" s="12" t="str">
        <f>Absolute_Scores!G1705</f>
        <v>TikTok</v>
      </c>
      <c r="H1705" s="29">
        <f>Absolute_Scores!I1705</f>
        <v>50</v>
      </c>
      <c r="I1705" s="30">
        <f t="shared" si="57"/>
        <v>62.5</v>
      </c>
    </row>
    <row r="1706" spans="6:9">
      <c r="F1706" s="12" t="str">
        <f>Absolute_Scores!F1706</f>
        <v>@michelladominique</v>
      </c>
      <c r="G1706" s="12" t="str">
        <f>Absolute_Scores!G1706</f>
        <v>Instagram</v>
      </c>
      <c r="H1706" s="29">
        <f>Absolute_Scores!I1706</f>
        <v>50</v>
      </c>
      <c r="I1706" s="30">
        <f t="shared" si="57"/>
        <v>62.5</v>
      </c>
    </row>
    <row r="1707" spans="6:9">
      <c r="F1707" s="12" t="str">
        <f>Absolute_Scores!F1707</f>
        <v>@michelle_v.k</v>
      </c>
      <c r="G1707" s="12" t="str">
        <f>Absolute_Scores!G1707</f>
        <v>Instagram</v>
      </c>
      <c r="H1707" s="29">
        <f>Absolute_Scores!I1707</f>
        <v>50</v>
      </c>
      <c r="I1707" s="30">
        <f t="shared" si="57"/>
        <v>62.5</v>
      </c>
    </row>
    <row r="1708" spans="6:9">
      <c r="F1708" s="12" t="str">
        <f>Absolute_Scores!F1708</f>
        <v>@michelleoktani</v>
      </c>
      <c r="G1708" s="12" t="str">
        <f>Absolute_Scores!G1708</f>
        <v>Instagram</v>
      </c>
      <c r="H1708" s="29">
        <f>Absolute_Scores!I1708</f>
        <v>50</v>
      </c>
      <c r="I1708" s="30">
        <f t="shared" si="57"/>
        <v>62.5</v>
      </c>
    </row>
    <row r="1709" spans="6:9">
      <c r="F1709" s="12" t="str">
        <f>Absolute_Scores!F1709</f>
        <v>@michelletaniago</v>
      </c>
      <c r="G1709" s="12" t="str">
        <f>Absolute_Scores!G1709</f>
        <v>Instagram</v>
      </c>
      <c r="H1709" s="29">
        <f>Absolute_Scores!I1709</f>
        <v>50</v>
      </c>
      <c r="I1709" s="30">
        <f t="shared" si="57"/>
        <v>62.5</v>
      </c>
    </row>
    <row r="1710" spans="6:9">
      <c r="F1710" s="12" t="str">
        <f>Absolute_Scores!F1710</f>
        <v>@mifta.kharimah</v>
      </c>
      <c r="G1710" s="12" t="str">
        <f>Absolute_Scores!G1710</f>
        <v>TikTok</v>
      </c>
      <c r="H1710" s="29">
        <f>Absolute_Scores!I1710</f>
        <v>50</v>
      </c>
      <c r="I1710" s="30">
        <f t="shared" si="57"/>
        <v>62.5</v>
      </c>
    </row>
    <row r="1711" spans="6:9">
      <c r="F1711" s="12" t="str">
        <f>Absolute_Scores!F1711</f>
        <v>@mikety08</v>
      </c>
      <c r="G1711" s="12" t="str">
        <f>Absolute_Scores!G1711</f>
        <v>TikTok</v>
      </c>
      <c r="H1711" s="29">
        <f>Absolute_Scores!I1711</f>
        <v>50</v>
      </c>
      <c r="I1711" s="30">
        <f t="shared" si="57"/>
        <v>62.5</v>
      </c>
    </row>
    <row r="1712" spans="6:9">
      <c r="F1712" s="12" t="str">
        <f>Absolute_Scores!F1712</f>
        <v>@miledut</v>
      </c>
      <c r="G1712" s="12" t="str">
        <f>Absolute_Scores!G1712</f>
        <v>TikTok</v>
      </c>
      <c r="H1712" s="29">
        <f>Absolute_Scores!I1712</f>
        <v>50</v>
      </c>
      <c r="I1712" s="30">
        <f t="shared" si="57"/>
        <v>62.5</v>
      </c>
    </row>
    <row r="1713" spans="6:9">
      <c r="F1713" s="12" t="str">
        <f>Absolute_Scores!F1713</f>
        <v>@milkaiueo</v>
      </c>
      <c r="G1713" s="12" t="str">
        <f>Absolute_Scores!G1713</f>
        <v>Instagram</v>
      </c>
      <c r="H1713" s="29">
        <f>Absolute_Scores!I1713</f>
        <v>50</v>
      </c>
      <c r="I1713" s="30">
        <f t="shared" si="57"/>
        <v>62.5</v>
      </c>
    </row>
    <row r="1714" spans="6:9">
      <c r="F1714" s="12" t="str">
        <f>Absolute_Scores!F1714</f>
        <v>@mimauluddin</v>
      </c>
      <c r="G1714" s="12" t="str">
        <f>Absolute_Scores!G1714</f>
        <v>Instagram</v>
      </c>
      <c r="H1714" s="29">
        <f>Absolute_Scores!I1714</f>
        <v>50</v>
      </c>
      <c r="I1714" s="30">
        <f t="shared" si="57"/>
        <v>62.5</v>
      </c>
    </row>
    <row r="1715" spans="6:9">
      <c r="F1715" s="12" t="str">
        <f>Absolute_Scores!F1715</f>
        <v>@mimigendismimigendis</v>
      </c>
      <c r="G1715" s="12" t="str">
        <f>Absolute_Scores!G1715</f>
        <v>Instagram</v>
      </c>
      <c r="H1715" s="29">
        <f>Absolute_Scores!I1715</f>
        <v>50</v>
      </c>
      <c r="I1715" s="30">
        <f t="shared" si="57"/>
        <v>62.5</v>
      </c>
    </row>
    <row r="1716" spans="6:9">
      <c r="F1716" s="12" t="str">
        <f>Absolute_Scores!F1716</f>
        <v>@mimii.fairy</v>
      </c>
      <c r="G1716" s="12" t="str">
        <f>Absolute_Scores!G1716</f>
        <v>Instagram</v>
      </c>
      <c r="H1716" s="29">
        <f>Absolute_Scores!I1716</f>
        <v>50</v>
      </c>
      <c r="I1716" s="30">
        <f t="shared" si="57"/>
        <v>62.5</v>
      </c>
    </row>
    <row r="1717" spans="6:9">
      <c r="F1717" s="12" t="str">
        <f>Absolute_Scores!F1717</f>
        <v>@minaharisatullisan</v>
      </c>
      <c r="G1717" s="12" t="str">
        <f>Absolute_Scores!G1717</f>
        <v>TikTok</v>
      </c>
      <c r="H1717" s="29">
        <f>Absolute_Scores!I1717</f>
        <v>50</v>
      </c>
      <c r="I1717" s="30">
        <f t="shared" si="57"/>
        <v>62.5</v>
      </c>
    </row>
    <row r="1718" spans="6:9">
      <c r="F1718" s="12" t="str">
        <f>Absolute_Scores!F1718</f>
        <v>@minihomeabil</v>
      </c>
      <c r="G1718" s="12" t="str">
        <f>Absolute_Scores!G1718</f>
        <v>Instagram</v>
      </c>
      <c r="H1718" s="29">
        <f>Absolute_Scores!I1718</f>
        <v>50</v>
      </c>
      <c r="I1718" s="30">
        <f t="shared" si="57"/>
        <v>62.5</v>
      </c>
    </row>
    <row r="1719" spans="6:9">
      <c r="F1719" s="12" t="str">
        <f>Absolute_Scores!F1719</f>
        <v>@miniituhamini</v>
      </c>
      <c r="G1719" s="12" t="str">
        <f>Absolute_Scores!G1719</f>
        <v>TikTok</v>
      </c>
      <c r="H1719" s="29">
        <f>Absolute_Scores!I1719</f>
        <v>50</v>
      </c>
      <c r="I1719" s="30">
        <f t="shared" si="57"/>
        <v>62.5</v>
      </c>
    </row>
    <row r="1720" spans="6:9">
      <c r="F1720" s="12" t="str">
        <f>Absolute_Scores!F1720</f>
        <v>@minijetplane</v>
      </c>
      <c r="G1720" s="12" t="str">
        <f>Absolute_Scores!G1720</f>
        <v>TikTok</v>
      </c>
      <c r="H1720" s="29">
        <f>Absolute_Scores!I1720</f>
        <v>50</v>
      </c>
      <c r="I1720" s="30">
        <f t="shared" si="57"/>
        <v>62.5</v>
      </c>
    </row>
    <row r="1721" spans="6:9">
      <c r="F1721" s="12" t="str">
        <f>Absolute_Scores!F1721</f>
        <v>@minla_yg</v>
      </c>
      <c r="G1721" s="12" t="str">
        <f>Absolute_Scores!G1721</f>
        <v>TikTok</v>
      </c>
      <c r="H1721" s="29">
        <f>Absolute_Scores!I1721</f>
        <v>50</v>
      </c>
      <c r="I1721" s="30">
        <f t="shared" si="57"/>
        <v>62.5</v>
      </c>
    </row>
    <row r="1722" spans="6:9">
      <c r="F1722" s="12" t="str">
        <f>Absolute_Scores!F1722</f>
        <v>@miraa.fj</v>
      </c>
      <c r="G1722" s="12" t="str">
        <f>Absolute_Scores!G1722</f>
        <v>Instagram</v>
      </c>
      <c r="H1722" s="29">
        <f>Absolute_Scores!I1722</f>
        <v>50</v>
      </c>
      <c r="I1722" s="30">
        <f t="shared" si="57"/>
        <v>62.5</v>
      </c>
    </row>
    <row r="1723" spans="6:9">
      <c r="F1723" s="12" t="str">
        <f>Absolute_Scores!F1723</f>
        <v>@mirawaty17</v>
      </c>
      <c r="G1723" s="12" t="str">
        <f>Absolute_Scores!G1723</f>
        <v>TikTok</v>
      </c>
      <c r="H1723" s="29">
        <f>Absolute_Scores!I1723</f>
        <v>50</v>
      </c>
      <c r="I1723" s="30">
        <f t="shared" si="57"/>
        <v>62.5</v>
      </c>
    </row>
    <row r="1724" spans="6:9">
      <c r="F1724" s="12" t="str">
        <f>Absolute_Scores!F1724</f>
        <v>@mirzahidayat_</v>
      </c>
      <c r="G1724" s="12" t="str">
        <f>Absolute_Scores!G1724</f>
        <v>Instagram</v>
      </c>
      <c r="H1724" s="29">
        <f>Absolute_Scores!I1724</f>
        <v>50</v>
      </c>
      <c r="I1724" s="30">
        <f t="shared" si="57"/>
        <v>62.5</v>
      </c>
    </row>
    <row r="1725" spans="6:9">
      <c r="F1725" s="12" t="str">
        <f>Absolute_Scores!F1725</f>
        <v>@missdjie</v>
      </c>
      <c r="G1725" s="12" t="str">
        <f>Absolute_Scores!G1725</f>
        <v>Instagram</v>
      </c>
      <c r="H1725" s="29">
        <f>Absolute_Scores!I1725</f>
        <v>50</v>
      </c>
      <c r="I1725" s="30">
        <f t="shared" si="57"/>
        <v>62.5</v>
      </c>
    </row>
    <row r="1726" spans="6:9">
      <c r="F1726" s="12" t="str">
        <f>Absolute_Scores!F1726</f>
        <v>@missevev</v>
      </c>
      <c r="G1726" s="12" t="str">
        <f>Absolute_Scores!G1726</f>
        <v>TikTok</v>
      </c>
      <c r="H1726" s="29">
        <f>Absolute_Scores!I1726</f>
        <v>50</v>
      </c>
      <c r="I1726" s="30">
        <f t="shared" si="57"/>
        <v>62.5</v>
      </c>
    </row>
    <row r="1727" spans="6:9">
      <c r="F1727" s="12" t="str">
        <f>Absolute_Scores!F1727</f>
        <v>@misyandpiyo</v>
      </c>
      <c r="G1727" s="12" t="str">
        <f>Absolute_Scores!G1727</f>
        <v>TikTok</v>
      </c>
      <c r="H1727" s="29">
        <f>Absolute_Scores!I1727</f>
        <v>50</v>
      </c>
      <c r="I1727" s="30">
        <f t="shared" si="57"/>
        <v>62.5</v>
      </c>
    </row>
    <row r="1728" spans="6:9">
      <c r="F1728" s="12" t="str">
        <f>Absolute_Scores!F1728</f>
        <v>@mitseliathya</v>
      </c>
      <c r="G1728" s="12" t="str">
        <f>Absolute_Scores!G1728</f>
        <v>TikTok</v>
      </c>
      <c r="H1728" s="29">
        <f>Absolute_Scores!I1728</f>
        <v>50</v>
      </c>
      <c r="I1728" s="30">
        <f t="shared" si="57"/>
        <v>62.5</v>
      </c>
    </row>
    <row r="1729" spans="6:9">
      <c r="F1729" s="12" t="str">
        <f>Absolute_Scores!F1729</f>
        <v>@mlfyfngrstyl</v>
      </c>
      <c r="G1729" s="12" t="str">
        <f>Absolute_Scores!G1729</f>
        <v>TikTok</v>
      </c>
      <c r="H1729" s="29">
        <f>Absolute_Scores!I1729</f>
        <v>50</v>
      </c>
      <c r="I1729" s="30">
        <f t="shared" si="57"/>
        <v>62.5</v>
      </c>
    </row>
    <row r="1730" spans="6:9">
      <c r="F1730" s="12" t="str">
        <f>Absolute_Scores!F1730</f>
        <v>@mnayuninglistya</v>
      </c>
      <c r="G1730" s="12" t="str">
        <f>Absolute_Scores!G1730</f>
        <v>Instagram</v>
      </c>
      <c r="H1730" s="29">
        <f>Absolute_Scores!I1730</f>
        <v>50</v>
      </c>
      <c r="I1730" s="30">
        <f t="shared" si="57"/>
        <v>62.5</v>
      </c>
    </row>
    <row r="1731" spans="6:9">
      <c r="F1731" s="12" t="str">
        <f>Absolute_Scores!F1731</f>
        <v>@mochamadziddan</v>
      </c>
      <c r="G1731" s="12" t="str">
        <f>Absolute_Scores!G1731</f>
        <v>TikTok</v>
      </c>
      <c r="H1731" s="29">
        <f>Absolute_Scores!I1731</f>
        <v>50</v>
      </c>
      <c r="I1731" s="30">
        <f t="shared" si="57"/>
        <v>62.5</v>
      </c>
    </row>
    <row r="1732" spans="6:9">
      <c r="F1732" s="12" t="str">
        <f>Absolute_Scores!F1732</f>
        <v>@mohamedaces</v>
      </c>
      <c r="G1732" s="12" t="str">
        <f>Absolute_Scores!G1732</f>
        <v>TikTok</v>
      </c>
      <c r="H1732" s="29">
        <f>Absolute_Scores!I1732</f>
        <v>50</v>
      </c>
      <c r="I1732" s="30">
        <f t="shared" si="57"/>
        <v>62.5</v>
      </c>
    </row>
    <row r="1733" spans="6:9">
      <c r="F1733" s="12" t="str">
        <f>Absolute_Scores!F1733</f>
        <v>@moietchance</v>
      </c>
      <c r="G1733" s="12" t="str">
        <f>Absolute_Scores!G1733</f>
        <v>Instagram</v>
      </c>
      <c r="H1733" s="29">
        <f>Absolute_Scores!I1733</f>
        <v>50</v>
      </c>
      <c r="I1733" s="30">
        <f t="shared" si="57"/>
        <v>62.5</v>
      </c>
    </row>
    <row r="1734" spans="6:9">
      <c r="F1734" s="12" t="str">
        <f>Absolute_Scores!F1734</f>
        <v>@moladelle</v>
      </c>
      <c r="G1734" s="12" t="str">
        <f>Absolute_Scores!G1734</f>
        <v>TikTok</v>
      </c>
      <c r="H1734" s="29">
        <f>Absolute_Scores!I1734</f>
        <v>50</v>
      </c>
      <c r="I1734" s="30">
        <f t="shared" ref="I1734:I1797" si="58">ROUND(H1734/$I$4*100,2)</f>
        <v>62.5</v>
      </c>
    </row>
    <row r="1735" spans="6:9">
      <c r="F1735" s="12" t="str">
        <f>Absolute_Scores!F1735</f>
        <v>@momcenzio</v>
      </c>
      <c r="G1735" s="12" t="str">
        <f>Absolute_Scores!G1735</f>
        <v>TikTok</v>
      </c>
      <c r="H1735" s="29">
        <f>Absolute_Scores!I1735</f>
        <v>50</v>
      </c>
      <c r="I1735" s="30">
        <f t="shared" si="58"/>
        <v>62.5</v>
      </c>
    </row>
    <row r="1736" spans="6:9">
      <c r="F1736" s="12" t="str">
        <f>Absolute_Scores!F1736</f>
        <v>@mommycio0621</v>
      </c>
      <c r="G1736" s="12" t="str">
        <f>Absolute_Scores!G1736</f>
        <v>Instagram</v>
      </c>
      <c r="H1736" s="29">
        <f>Absolute_Scores!I1736</f>
        <v>50</v>
      </c>
      <c r="I1736" s="30">
        <f t="shared" si="58"/>
        <v>62.5</v>
      </c>
    </row>
    <row r="1737" spans="6:9">
      <c r="F1737" s="12" t="str">
        <f>Absolute_Scores!F1737</f>
        <v>@moms_twinsaraswati</v>
      </c>
      <c r="G1737" s="12" t="str">
        <f>Absolute_Scores!G1737</f>
        <v>Instagram</v>
      </c>
      <c r="H1737" s="29">
        <f>Absolute_Scores!I1737</f>
        <v>50</v>
      </c>
      <c r="I1737" s="30">
        <f t="shared" si="58"/>
        <v>62.5</v>
      </c>
    </row>
    <row r="1738" spans="6:9">
      <c r="F1738" s="12" t="str">
        <f>Absolute_Scores!F1738</f>
        <v>@monica_ivha</v>
      </c>
      <c r="G1738" s="12" t="str">
        <f>Absolute_Scores!G1738</f>
        <v>TikTok</v>
      </c>
      <c r="H1738" s="29">
        <f>Absolute_Scores!I1738</f>
        <v>50</v>
      </c>
      <c r="I1738" s="30">
        <f t="shared" si="58"/>
        <v>62.5</v>
      </c>
    </row>
    <row r="1739" spans="6:9">
      <c r="F1739" s="12" t="str">
        <f>Absolute_Scores!F1739</f>
        <v>@monica.vio</v>
      </c>
      <c r="G1739" s="12" t="str">
        <f>Absolute_Scores!G1739</f>
        <v>Instagram</v>
      </c>
      <c r="H1739" s="29">
        <f>Absolute_Scores!I1739</f>
        <v>50</v>
      </c>
      <c r="I1739" s="30">
        <f t="shared" si="58"/>
        <v>62.5</v>
      </c>
    </row>
    <row r="1740" spans="6:9">
      <c r="F1740" s="12" t="str">
        <f>Absolute_Scores!F1740</f>
        <v>@monicantoniio</v>
      </c>
      <c r="G1740" s="12" t="str">
        <f>Absolute_Scores!G1740</f>
        <v>Instagram</v>
      </c>
      <c r="H1740" s="29">
        <f>Absolute_Scores!I1740</f>
        <v>50</v>
      </c>
      <c r="I1740" s="30">
        <f t="shared" si="58"/>
        <v>62.5</v>
      </c>
    </row>
    <row r="1741" spans="6:9">
      <c r="F1741" s="12" t="str">
        <f>Absolute_Scores!F1741</f>
        <v>@monicapurdiani1710</v>
      </c>
      <c r="G1741" s="12" t="str">
        <f>Absolute_Scores!G1741</f>
        <v>Instagram</v>
      </c>
      <c r="H1741" s="29">
        <f>Absolute_Scores!I1741</f>
        <v>50</v>
      </c>
      <c r="I1741" s="30">
        <f t="shared" si="58"/>
        <v>62.5</v>
      </c>
    </row>
    <row r="1742" spans="6:9">
      <c r="F1742" s="12" t="str">
        <f>Absolute_Scores!F1742</f>
        <v>@monichrhd</v>
      </c>
      <c r="G1742" s="12" t="str">
        <f>Absolute_Scores!G1742</f>
        <v>Instagram</v>
      </c>
      <c r="H1742" s="29">
        <f>Absolute_Scores!I1742</f>
        <v>50</v>
      </c>
      <c r="I1742" s="30">
        <f t="shared" si="58"/>
        <v>62.5</v>
      </c>
    </row>
    <row r="1743" spans="6:9">
      <c r="F1743" s="12" t="str">
        <f>Absolute_Scores!F1743</f>
        <v>@monnnnnnnique</v>
      </c>
      <c r="G1743" s="12" t="str">
        <f>Absolute_Scores!G1743</f>
        <v>TikTok</v>
      </c>
      <c r="H1743" s="29">
        <f>Absolute_Scores!I1743</f>
        <v>50</v>
      </c>
      <c r="I1743" s="30">
        <f t="shared" si="58"/>
        <v>62.5</v>
      </c>
    </row>
    <row r="1744" spans="6:9">
      <c r="F1744" s="12" t="str">
        <f>Absolute_Scores!F1744</f>
        <v>@montparnasse6eme</v>
      </c>
      <c r="G1744" s="12" t="str">
        <f>Absolute_Scores!G1744</f>
        <v>TikTok</v>
      </c>
      <c r="H1744" s="29">
        <f>Absolute_Scores!I1744</f>
        <v>50</v>
      </c>
      <c r="I1744" s="30">
        <f t="shared" si="58"/>
        <v>62.5</v>
      </c>
    </row>
    <row r="1745" spans="6:9">
      <c r="F1745" s="12" t="str">
        <f>Absolute_Scores!F1745</f>
        <v>@morningtaisback</v>
      </c>
      <c r="G1745" s="12" t="str">
        <f>Absolute_Scores!G1745</f>
        <v>TikTok</v>
      </c>
      <c r="H1745" s="29">
        <f>Absolute_Scores!I1745</f>
        <v>50</v>
      </c>
      <c r="I1745" s="30">
        <f t="shared" si="58"/>
        <v>62.5</v>
      </c>
    </row>
    <row r="1746" spans="6:9">
      <c r="F1746" s="12" t="str">
        <f>Absolute_Scores!F1746</f>
        <v>@mr.eat374</v>
      </c>
      <c r="G1746" s="12" t="str">
        <f>Absolute_Scores!G1746</f>
        <v>Instagram</v>
      </c>
      <c r="H1746" s="29">
        <f>Absolute_Scores!I1746</f>
        <v>50</v>
      </c>
      <c r="I1746" s="30">
        <f t="shared" si="58"/>
        <v>62.5</v>
      </c>
    </row>
    <row r="1747" spans="6:9">
      <c r="F1747" s="12" t="str">
        <f>Absolute_Scores!F1747</f>
        <v>@mr.hana_</v>
      </c>
      <c r="G1747" s="12" t="str">
        <f>Absolute_Scores!G1747</f>
        <v>TikTok</v>
      </c>
      <c r="H1747" s="29">
        <f>Absolute_Scores!I1747</f>
        <v>50</v>
      </c>
      <c r="I1747" s="30">
        <f t="shared" si="58"/>
        <v>62.5</v>
      </c>
    </row>
    <row r="1748" spans="6:9">
      <c r="F1748" s="12" t="str">
        <f>Absolute_Scores!F1748</f>
        <v>@mrgara</v>
      </c>
      <c r="G1748" s="12" t="str">
        <f>Absolute_Scores!G1748</f>
        <v>TikTok</v>
      </c>
      <c r="H1748" s="29">
        <f>Absolute_Scores!I1748</f>
        <v>50</v>
      </c>
      <c r="I1748" s="30">
        <f t="shared" si="58"/>
        <v>62.5</v>
      </c>
    </row>
    <row r="1749" spans="6:9">
      <c r="F1749" s="12" t="str">
        <f>Absolute_Scores!F1749</f>
        <v>@mrgoldbag</v>
      </c>
      <c r="G1749" s="12" t="str">
        <f>Absolute_Scores!G1749</f>
        <v>TikTok</v>
      </c>
      <c r="H1749" s="29">
        <f>Absolute_Scores!I1749</f>
        <v>50</v>
      </c>
      <c r="I1749" s="30">
        <f t="shared" si="58"/>
        <v>62.5</v>
      </c>
    </row>
    <row r="1750" spans="6:9">
      <c r="F1750" s="12" t="str">
        <f>Absolute_Scores!F1750</f>
        <v>@mrs.arrusydi</v>
      </c>
      <c r="G1750" s="12" t="str">
        <f>Absolute_Scores!G1750</f>
        <v>TikTok</v>
      </c>
      <c r="H1750" s="29">
        <f>Absolute_Scores!I1750</f>
        <v>50</v>
      </c>
      <c r="I1750" s="30">
        <f t="shared" si="58"/>
        <v>62.5</v>
      </c>
    </row>
    <row r="1751" spans="6:9">
      <c r="F1751" s="12" t="str">
        <f>Absolute_Scores!F1751</f>
        <v>@mrs.hanarismay</v>
      </c>
      <c r="G1751" s="12" t="str">
        <f>Absolute_Scores!G1751</f>
        <v>Instagram</v>
      </c>
      <c r="H1751" s="29">
        <f>Absolute_Scores!I1751</f>
        <v>50</v>
      </c>
      <c r="I1751" s="30">
        <f t="shared" si="58"/>
        <v>62.5</v>
      </c>
    </row>
    <row r="1752" spans="6:9">
      <c r="F1752" s="12" t="str">
        <f>Absolute_Scores!F1752</f>
        <v>@mrs.senopati</v>
      </c>
      <c r="G1752" s="12" t="str">
        <f>Absolute_Scores!G1752</f>
        <v>Instagram</v>
      </c>
      <c r="H1752" s="29">
        <f>Absolute_Scores!I1752</f>
        <v>50</v>
      </c>
      <c r="I1752" s="30">
        <f t="shared" si="58"/>
        <v>62.5</v>
      </c>
    </row>
    <row r="1753" spans="6:9">
      <c r="F1753" s="12" t="str">
        <f>Absolute_Scores!F1753</f>
        <v>@mrsstellach</v>
      </c>
      <c r="G1753" s="12" t="str">
        <f>Absolute_Scores!G1753</f>
        <v>TikTok</v>
      </c>
      <c r="H1753" s="29">
        <f>Absolute_Scores!I1753</f>
        <v>50</v>
      </c>
      <c r="I1753" s="30">
        <f t="shared" si="58"/>
        <v>62.5</v>
      </c>
    </row>
    <row r="1754" spans="6:9">
      <c r="F1754" s="12" t="str">
        <f>Absolute_Scores!F1754</f>
        <v>@ms.sherlyo</v>
      </c>
      <c r="G1754" s="12" t="str">
        <f>Absolute_Scores!G1754</f>
        <v>Instagram</v>
      </c>
      <c r="H1754" s="29">
        <f>Absolute_Scores!I1754</f>
        <v>50</v>
      </c>
      <c r="I1754" s="30">
        <f t="shared" si="58"/>
        <v>62.5</v>
      </c>
    </row>
    <row r="1755" spans="6:9">
      <c r="F1755" s="12" t="str">
        <f>Absolute_Scores!F1755</f>
        <v>@msacnebegone</v>
      </c>
      <c r="G1755" s="12" t="str">
        <f>Absolute_Scores!G1755</f>
        <v>TikTok</v>
      </c>
      <c r="H1755" s="29">
        <f>Absolute_Scores!I1755</f>
        <v>50</v>
      </c>
      <c r="I1755" s="30">
        <f t="shared" si="58"/>
        <v>62.5</v>
      </c>
    </row>
    <row r="1756" spans="6:9">
      <c r="F1756" s="12" t="str">
        <f>Absolute_Scores!F1756</f>
        <v>@msfarhmhoops</v>
      </c>
      <c r="G1756" s="12" t="str">
        <f>Absolute_Scores!G1756</f>
        <v>TikTok</v>
      </c>
      <c r="H1756" s="29">
        <f>Absolute_Scores!I1756</f>
        <v>50</v>
      </c>
      <c r="I1756" s="30">
        <f t="shared" si="58"/>
        <v>62.5</v>
      </c>
    </row>
    <row r="1757" spans="6:9">
      <c r="F1757" s="12" t="str">
        <f>Absolute_Scores!F1757</f>
        <v>@msolinaya_</v>
      </c>
      <c r="G1757" s="12" t="str">
        <f>Absolute_Scores!G1757</f>
        <v>Instagram</v>
      </c>
      <c r="H1757" s="29">
        <f>Absolute_Scores!I1757</f>
        <v>50</v>
      </c>
      <c r="I1757" s="30">
        <f t="shared" si="58"/>
        <v>62.5</v>
      </c>
    </row>
    <row r="1758" spans="6:9">
      <c r="F1758" s="12" t="str">
        <f>Absolute_Scores!F1758</f>
        <v>@mtrayaa_</v>
      </c>
      <c r="G1758" s="12" t="str">
        <f>Absolute_Scores!G1758</f>
        <v>Instagram</v>
      </c>
      <c r="H1758" s="29">
        <f>Absolute_Scores!I1758</f>
        <v>50</v>
      </c>
      <c r="I1758" s="30">
        <f t="shared" si="58"/>
        <v>62.5</v>
      </c>
    </row>
    <row r="1759" spans="6:9">
      <c r="F1759" s="12" t="str">
        <f>Absolute_Scores!F1759</f>
        <v>@muhammadarjun</v>
      </c>
      <c r="G1759" s="12" t="str">
        <f>Absolute_Scores!G1759</f>
        <v>Instagram</v>
      </c>
      <c r="H1759" s="29">
        <f>Absolute_Scores!I1759</f>
        <v>50</v>
      </c>
      <c r="I1759" s="30">
        <f t="shared" si="58"/>
        <v>62.5</v>
      </c>
    </row>
    <row r="1760" spans="6:9">
      <c r="F1760" s="12" t="str">
        <f>Absolute_Scores!F1760</f>
        <v>@muhammadcarlos</v>
      </c>
      <c r="G1760" s="12" t="str">
        <f>Absolute_Scores!G1760</f>
        <v>TikTok</v>
      </c>
      <c r="H1760" s="29">
        <f>Absolute_Scores!I1760</f>
        <v>50</v>
      </c>
      <c r="I1760" s="30">
        <f t="shared" si="58"/>
        <v>62.5</v>
      </c>
    </row>
    <row r="1761" spans="6:9">
      <c r="F1761" s="12" t="str">
        <f>Absolute_Scores!F1761</f>
        <v>@muliafitri55</v>
      </c>
      <c r="G1761" s="12" t="str">
        <f>Absolute_Scores!G1761</f>
        <v>Instagram</v>
      </c>
      <c r="H1761" s="29">
        <f>Absolute_Scores!I1761</f>
        <v>50</v>
      </c>
      <c r="I1761" s="30">
        <f t="shared" si="58"/>
        <v>62.5</v>
      </c>
    </row>
    <row r="1762" spans="6:9">
      <c r="F1762" s="12" t="str">
        <f>Absolute_Scores!F1762</f>
        <v>@murni_fatih</v>
      </c>
      <c r="G1762" s="12" t="str">
        <f>Absolute_Scores!G1762</f>
        <v>Instagram</v>
      </c>
      <c r="H1762" s="29">
        <f>Absolute_Scores!I1762</f>
        <v>50</v>
      </c>
      <c r="I1762" s="30">
        <f t="shared" si="58"/>
        <v>62.5</v>
      </c>
    </row>
    <row r="1763" spans="6:9">
      <c r="F1763" s="12" t="str">
        <f>Absolute_Scores!F1763</f>
        <v>@murnidwikartika</v>
      </c>
      <c r="G1763" s="12" t="str">
        <f>Absolute_Scores!G1763</f>
        <v>Instagram</v>
      </c>
      <c r="H1763" s="29">
        <f>Absolute_Scores!I1763</f>
        <v>50</v>
      </c>
      <c r="I1763" s="30">
        <f t="shared" si="58"/>
        <v>62.5</v>
      </c>
    </row>
    <row r="1764" spans="6:9">
      <c r="F1764" s="12" t="str">
        <f>Absolute_Scores!F1764</f>
        <v>@muthejkt48</v>
      </c>
      <c r="G1764" s="12" t="str">
        <f>Absolute_Scores!G1764</f>
        <v>TikTok</v>
      </c>
      <c r="H1764" s="29">
        <f>Absolute_Scores!I1764</f>
        <v>50</v>
      </c>
      <c r="I1764" s="30">
        <f t="shared" si="58"/>
        <v>62.5</v>
      </c>
    </row>
    <row r="1765" spans="6:9">
      <c r="F1765" s="12" t="str">
        <f>Absolute_Scores!F1765</f>
        <v>@muthiashz</v>
      </c>
      <c r="G1765" s="12" t="str">
        <f>Absolute_Scores!G1765</f>
        <v>Instagram</v>
      </c>
      <c r="H1765" s="29">
        <f>Absolute_Scores!I1765</f>
        <v>50</v>
      </c>
      <c r="I1765" s="30">
        <f t="shared" si="58"/>
        <v>62.5</v>
      </c>
    </row>
    <row r="1766" spans="6:9">
      <c r="F1766" s="12" t="str">
        <f>Absolute_Scores!F1766</f>
        <v>@my.linho</v>
      </c>
      <c r="G1766" s="12" t="str">
        <f>Absolute_Scores!G1766</f>
        <v>Instagram</v>
      </c>
      <c r="H1766" s="29">
        <f>Absolute_Scores!I1766</f>
        <v>50</v>
      </c>
      <c r="I1766" s="30">
        <f t="shared" si="58"/>
        <v>62.5</v>
      </c>
    </row>
    <row r="1767" spans="6:9">
      <c r="F1767" s="12" t="str">
        <f>Absolute_Scores!F1767</f>
        <v>@mydeyaaa</v>
      </c>
      <c r="G1767" s="12" t="str">
        <f>Absolute_Scores!G1767</f>
        <v>TikTok</v>
      </c>
      <c r="H1767" s="29">
        <f>Absolute_Scores!I1767</f>
        <v>50</v>
      </c>
      <c r="I1767" s="30">
        <f t="shared" si="58"/>
        <v>62.5</v>
      </c>
    </row>
    <row r="1768" spans="6:9">
      <c r="F1768" s="12" t="str">
        <f>Absolute_Scores!F1768</f>
        <v>@mynameucii</v>
      </c>
      <c r="G1768" s="12" t="str">
        <f>Absolute_Scores!G1768</f>
        <v>Instagram</v>
      </c>
      <c r="H1768" s="29">
        <f>Absolute_Scores!I1768</f>
        <v>50</v>
      </c>
      <c r="I1768" s="30">
        <f t="shared" si="58"/>
        <v>62.5</v>
      </c>
    </row>
    <row r="1769" spans="6:9">
      <c r="F1769" s="12" t="str">
        <f>Absolute_Scores!F1769</f>
        <v>@mysecrets3lf</v>
      </c>
      <c r="G1769" s="12" t="str">
        <f>Absolute_Scores!G1769</f>
        <v>TikTok</v>
      </c>
      <c r="H1769" s="29">
        <f>Absolute_Scores!I1769</f>
        <v>50</v>
      </c>
      <c r="I1769" s="30">
        <f t="shared" si="58"/>
        <v>62.5</v>
      </c>
    </row>
    <row r="1770" spans="6:9">
      <c r="F1770" s="12" t="str">
        <f>Absolute_Scores!F1770</f>
        <v>@mytatika</v>
      </c>
      <c r="G1770" s="12" t="str">
        <f>Absolute_Scores!G1770</f>
        <v>Instagram</v>
      </c>
      <c r="H1770" s="29">
        <f>Absolute_Scores!I1770</f>
        <v>50</v>
      </c>
      <c r="I1770" s="30">
        <f t="shared" si="58"/>
        <v>62.5</v>
      </c>
    </row>
    <row r="1771" spans="6:9">
      <c r="F1771" s="12" t="str">
        <f>Absolute_Scores!F1771</f>
        <v>@n.ureee</v>
      </c>
      <c r="G1771" s="12" t="str">
        <f>Absolute_Scores!G1771</f>
        <v>Instagram</v>
      </c>
      <c r="H1771" s="29">
        <f>Absolute_Scores!I1771</f>
        <v>50</v>
      </c>
      <c r="I1771" s="30">
        <f t="shared" si="58"/>
        <v>62.5</v>
      </c>
    </row>
    <row r="1772" spans="6:9">
      <c r="F1772" s="12" t="str">
        <f>Absolute_Scores!F1772</f>
        <v>@naadinndiana</v>
      </c>
      <c r="G1772" s="12" t="str">
        <f>Absolute_Scores!G1772</f>
        <v>TikTok</v>
      </c>
      <c r="H1772" s="29">
        <f>Absolute_Scores!I1772</f>
        <v>50</v>
      </c>
      <c r="I1772" s="30">
        <f t="shared" si="58"/>
        <v>62.5</v>
      </c>
    </row>
    <row r="1773" spans="6:9">
      <c r="F1773" s="12" t="str">
        <f>Absolute_Scores!F1773</f>
        <v>@nabilahlthfyh</v>
      </c>
      <c r="G1773" s="12" t="str">
        <f>Absolute_Scores!G1773</f>
        <v>Instagram</v>
      </c>
      <c r="H1773" s="29">
        <f>Absolute_Scores!I1773</f>
        <v>50</v>
      </c>
      <c r="I1773" s="30">
        <f t="shared" si="58"/>
        <v>62.5</v>
      </c>
    </row>
    <row r="1774" spans="6:9">
      <c r="F1774" s="12" t="str">
        <f>Absolute_Scores!F1774</f>
        <v>@nabilaishma</v>
      </c>
      <c r="G1774" s="12" t="str">
        <f>Absolute_Scores!G1774</f>
        <v>TikTok</v>
      </c>
      <c r="H1774" s="29">
        <f>Absolute_Scores!I1774</f>
        <v>50</v>
      </c>
      <c r="I1774" s="30">
        <f t="shared" si="58"/>
        <v>62.5</v>
      </c>
    </row>
    <row r="1775" spans="6:9">
      <c r="F1775" s="12" t="str">
        <f>Absolute_Scores!F1775</f>
        <v>@nabillamentary</v>
      </c>
      <c r="G1775" s="12" t="str">
        <f>Absolute_Scores!G1775</f>
        <v>TikTok</v>
      </c>
      <c r="H1775" s="29">
        <f>Absolute_Scores!I1775</f>
        <v>50</v>
      </c>
      <c r="I1775" s="30">
        <f t="shared" si="58"/>
        <v>62.5</v>
      </c>
    </row>
    <row r="1776" spans="6:9">
      <c r="F1776" s="12" t="str">
        <f>Absolute_Scores!F1776</f>
        <v>@nadaferlysia</v>
      </c>
      <c r="G1776" s="12" t="str">
        <f>Absolute_Scores!G1776</f>
        <v>Instagram</v>
      </c>
      <c r="H1776" s="29">
        <f>Absolute_Scores!I1776</f>
        <v>50</v>
      </c>
      <c r="I1776" s="30">
        <f t="shared" si="58"/>
        <v>62.5</v>
      </c>
    </row>
    <row r="1777" spans="6:9">
      <c r="F1777" s="12" t="str">
        <f>Absolute_Scores!F1777</f>
        <v>@naddyadea</v>
      </c>
      <c r="G1777" s="12" t="str">
        <f>Absolute_Scores!G1777</f>
        <v>TikTok</v>
      </c>
      <c r="H1777" s="29">
        <f>Absolute_Scores!I1777</f>
        <v>50</v>
      </c>
      <c r="I1777" s="30">
        <f t="shared" si="58"/>
        <v>62.5</v>
      </c>
    </row>
    <row r="1778" spans="6:9">
      <c r="F1778" s="12" t="str">
        <f>Absolute_Scores!F1778</f>
        <v>@nadfitr</v>
      </c>
      <c r="G1778" s="12" t="str">
        <f>Absolute_Scores!G1778</f>
        <v>TikTok</v>
      </c>
      <c r="H1778" s="29">
        <f>Absolute_Scores!I1778</f>
        <v>50</v>
      </c>
      <c r="I1778" s="30">
        <f t="shared" si="58"/>
        <v>62.5</v>
      </c>
    </row>
    <row r="1779" spans="6:9">
      <c r="F1779" s="12" t="str">
        <f>Absolute_Scores!F1779</f>
        <v>@nadhif.almira</v>
      </c>
      <c r="G1779" s="12" t="str">
        <f>Absolute_Scores!G1779</f>
        <v>Instagram</v>
      </c>
      <c r="H1779" s="29">
        <f>Absolute_Scores!I1779</f>
        <v>50</v>
      </c>
      <c r="I1779" s="30">
        <f t="shared" si="58"/>
        <v>62.5</v>
      </c>
    </row>
    <row r="1780" spans="6:9">
      <c r="F1780" s="12" t="str">
        <f>Absolute_Scores!F1780</f>
        <v>@nadianesa</v>
      </c>
      <c r="G1780" s="12" t="str">
        <f>Absolute_Scores!G1780</f>
        <v>Instagram</v>
      </c>
      <c r="H1780" s="29">
        <f>Absolute_Scores!I1780</f>
        <v>50</v>
      </c>
      <c r="I1780" s="30">
        <f t="shared" si="58"/>
        <v>62.5</v>
      </c>
    </row>
    <row r="1781" spans="6:9">
      <c r="F1781" s="12" t="str">
        <f>Absolute_Scores!F1781</f>
        <v>@nadindaayyu12_</v>
      </c>
      <c r="G1781" s="12" t="str">
        <f>Absolute_Scores!G1781</f>
        <v>Instagram</v>
      </c>
      <c r="H1781" s="29">
        <f>Absolute_Scores!I1781</f>
        <v>50</v>
      </c>
      <c r="I1781" s="30">
        <f t="shared" si="58"/>
        <v>62.5</v>
      </c>
    </row>
    <row r="1782" spans="6:9">
      <c r="F1782" s="12" t="str">
        <f>Absolute_Scores!F1782</f>
        <v>@nadirardys</v>
      </c>
      <c r="G1782" s="12" t="str">
        <f>Absolute_Scores!G1782</f>
        <v>TikTok</v>
      </c>
      <c r="H1782" s="29">
        <f>Absolute_Scores!I1782</f>
        <v>50</v>
      </c>
      <c r="I1782" s="30">
        <f t="shared" si="58"/>
        <v>62.5</v>
      </c>
    </row>
    <row r="1783" spans="6:9">
      <c r="F1783" s="12" t="str">
        <f>Absolute_Scores!F1783</f>
        <v>@nadsyzhr</v>
      </c>
      <c r="G1783" s="12" t="str">
        <f>Absolute_Scores!G1783</f>
        <v>TikTok</v>
      </c>
      <c r="H1783" s="29">
        <f>Absolute_Scores!I1783</f>
        <v>50</v>
      </c>
      <c r="I1783" s="30">
        <f t="shared" si="58"/>
        <v>62.5</v>
      </c>
    </row>
    <row r="1784" spans="6:9">
      <c r="F1784" s="12" t="str">
        <f>Absolute_Scores!F1784</f>
        <v>@nadya.diego</v>
      </c>
      <c r="G1784" s="12" t="str">
        <f>Absolute_Scores!G1784</f>
        <v>TikTok</v>
      </c>
      <c r="H1784" s="29">
        <f>Absolute_Scores!I1784</f>
        <v>50</v>
      </c>
      <c r="I1784" s="30">
        <f t="shared" si="58"/>
        <v>62.5</v>
      </c>
    </row>
    <row r="1785" spans="6:9">
      <c r="F1785" s="12" t="str">
        <f>Absolute_Scores!F1785</f>
        <v>@nadyaaqillaa</v>
      </c>
      <c r="G1785" s="12" t="str">
        <f>Absolute_Scores!G1785</f>
        <v>TikTok</v>
      </c>
      <c r="H1785" s="29">
        <f>Absolute_Scores!I1785</f>
        <v>50</v>
      </c>
      <c r="I1785" s="30">
        <f t="shared" si="58"/>
        <v>62.5</v>
      </c>
    </row>
    <row r="1786" spans="6:9">
      <c r="F1786" s="12" t="str">
        <f>Absolute_Scores!F1786</f>
        <v>@nadyabels</v>
      </c>
      <c r="G1786" s="12" t="str">
        <f>Absolute_Scores!G1786</f>
        <v>TikTok</v>
      </c>
      <c r="H1786" s="29">
        <f>Absolute_Scores!I1786</f>
        <v>50</v>
      </c>
      <c r="I1786" s="30">
        <f t="shared" si="58"/>
        <v>62.5</v>
      </c>
    </row>
    <row r="1787" spans="6:9">
      <c r="F1787" s="12" t="str">
        <f>Absolute_Scores!F1787</f>
        <v>@naelunsukarelawati18</v>
      </c>
      <c r="G1787" s="12" t="str">
        <f>Absolute_Scores!G1787</f>
        <v>Instagram</v>
      </c>
      <c r="H1787" s="29">
        <f>Absolute_Scores!I1787</f>
        <v>50</v>
      </c>
      <c r="I1787" s="30">
        <f t="shared" si="58"/>
        <v>62.5</v>
      </c>
    </row>
    <row r="1788" spans="6:9">
      <c r="F1788" s="12" t="str">
        <f>Absolute_Scores!F1788</f>
        <v>@naely_rachmah</v>
      </c>
      <c r="G1788" s="12" t="str">
        <f>Absolute_Scores!G1788</f>
        <v>Instagram</v>
      </c>
      <c r="H1788" s="29">
        <f>Absolute_Scores!I1788</f>
        <v>50</v>
      </c>
      <c r="I1788" s="30">
        <f t="shared" si="58"/>
        <v>62.5</v>
      </c>
    </row>
    <row r="1789" spans="6:9">
      <c r="F1789" s="12" t="str">
        <f>Absolute_Scores!F1789</f>
        <v>@nagi.shaq</v>
      </c>
      <c r="G1789" s="12" t="str">
        <f>Absolute_Scores!G1789</f>
        <v>TikTok</v>
      </c>
      <c r="H1789" s="29">
        <f>Absolute_Scores!I1789</f>
        <v>50</v>
      </c>
      <c r="I1789" s="30">
        <f t="shared" si="58"/>
        <v>62.5</v>
      </c>
    </row>
    <row r="1790" spans="6:9">
      <c r="F1790" s="12" t="str">
        <f>Absolute_Scores!F1790</f>
        <v>@nahdaia</v>
      </c>
      <c r="G1790" s="12" t="str">
        <f>Absolute_Scores!G1790</f>
        <v>TikTok</v>
      </c>
      <c r="H1790" s="29">
        <f>Absolute_Scores!I1790</f>
        <v>50</v>
      </c>
      <c r="I1790" s="30">
        <f t="shared" si="58"/>
        <v>62.5</v>
      </c>
    </row>
    <row r="1791" spans="6:9">
      <c r="F1791" s="12" t="str">
        <f>Absolute_Scores!F1791</f>
        <v>@naila_aisyah_zahra</v>
      </c>
      <c r="G1791" s="12" t="str">
        <f>Absolute_Scores!G1791</f>
        <v>Instagram</v>
      </c>
      <c r="H1791" s="29">
        <f>Absolute_Scores!I1791</f>
        <v>50</v>
      </c>
      <c r="I1791" s="30">
        <f t="shared" si="58"/>
        <v>62.5</v>
      </c>
    </row>
    <row r="1792" spans="6:9">
      <c r="F1792" s="12" t="str">
        <f>Absolute_Scores!F1792</f>
        <v>@nailamunandar</v>
      </c>
      <c r="G1792" s="12" t="str">
        <f>Absolute_Scores!G1792</f>
        <v>Instagram</v>
      </c>
      <c r="H1792" s="29">
        <f>Absolute_Scores!I1792</f>
        <v>50</v>
      </c>
      <c r="I1792" s="30">
        <f t="shared" si="58"/>
        <v>62.5</v>
      </c>
    </row>
    <row r="1793" spans="6:9">
      <c r="F1793" s="12" t="str">
        <f>Absolute_Scores!F1793</f>
        <v>@nailarushadd</v>
      </c>
      <c r="G1793" s="12" t="str">
        <f>Absolute_Scores!G1793</f>
        <v>TikTok</v>
      </c>
      <c r="H1793" s="29">
        <f>Absolute_Scores!I1793</f>
        <v>50</v>
      </c>
      <c r="I1793" s="30">
        <f t="shared" si="58"/>
        <v>62.5</v>
      </c>
    </row>
    <row r="1794" spans="6:9">
      <c r="F1794" s="12" t="str">
        <f>Absolute_Scores!F1794</f>
        <v>@najlalalalaa</v>
      </c>
      <c r="G1794" s="12" t="str">
        <f>Absolute_Scores!G1794</f>
        <v>TikTok</v>
      </c>
      <c r="H1794" s="29">
        <f>Absolute_Scores!I1794</f>
        <v>50</v>
      </c>
      <c r="I1794" s="30">
        <f t="shared" si="58"/>
        <v>62.5</v>
      </c>
    </row>
    <row r="1795" spans="6:9">
      <c r="F1795" s="12" t="str">
        <f>Absolute_Scores!F1795</f>
        <v>@najwaaeyn</v>
      </c>
      <c r="G1795" s="12" t="str">
        <f>Absolute_Scores!G1795</f>
        <v>TikTok</v>
      </c>
      <c r="H1795" s="29">
        <f>Absolute_Scores!I1795</f>
        <v>50</v>
      </c>
      <c r="I1795" s="30">
        <f t="shared" si="58"/>
        <v>62.5</v>
      </c>
    </row>
    <row r="1796" spans="6:9">
      <c r="F1796" s="12" t="str">
        <f>Absolute_Scores!F1796</f>
        <v>@najwaqim</v>
      </c>
      <c r="G1796" s="12" t="str">
        <f>Absolute_Scores!G1796</f>
        <v>TikTok</v>
      </c>
      <c r="H1796" s="29">
        <f>Absolute_Scores!I1796</f>
        <v>50</v>
      </c>
      <c r="I1796" s="30">
        <f t="shared" si="58"/>
        <v>62.5</v>
      </c>
    </row>
    <row r="1797" spans="6:9">
      <c r="F1797" s="12" t="str">
        <f>Absolute_Scores!F1797</f>
        <v>@namanyajuag</v>
      </c>
      <c r="G1797" s="12" t="str">
        <f>Absolute_Scores!G1797</f>
        <v>TikTok</v>
      </c>
      <c r="H1797" s="29">
        <f>Absolute_Scores!I1797</f>
        <v>50</v>
      </c>
      <c r="I1797" s="30">
        <f t="shared" si="58"/>
        <v>62.5</v>
      </c>
    </row>
    <row r="1798" spans="6:9">
      <c r="F1798" s="12" t="str">
        <f>Absolute_Scores!F1798</f>
        <v>@namiraagustinaa</v>
      </c>
      <c r="G1798" s="12" t="str">
        <f>Absolute_Scores!G1798</f>
        <v>TikTok</v>
      </c>
      <c r="H1798" s="29">
        <f>Absolute_Scores!I1798</f>
        <v>50</v>
      </c>
      <c r="I1798" s="30">
        <f t="shared" ref="I1798:I1861" si="59">ROUND(H1798/$I$4*100,2)</f>
        <v>62.5</v>
      </c>
    </row>
    <row r="1799" spans="6:9">
      <c r="F1799" s="12" t="str">
        <f>Absolute_Scores!F1799</f>
        <v>@namiradjani</v>
      </c>
      <c r="G1799" s="12" t="str">
        <f>Absolute_Scores!G1799</f>
        <v>Instagram</v>
      </c>
      <c r="H1799" s="29">
        <f>Absolute_Scores!I1799</f>
        <v>50</v>
      </c>
      <c r="I1799" s="30">
        <f t="shared" si="59"/>
        <v>62.5</v>
      </c>
    </row>
    <row r="1800" spans="6:9">
      <c r="F1800" s="12" t="str">
        <f>Absolute_Scores!F1800</f>
        <v>@namiraratuu</v>
      </c>
      <c r="G1800" s="12" t="str">
        <f>Absolute_Scores!G1800</f>
        <v>TikTok</v>
      </c>
      <c r="H1800" s="29">
        <f>Absolute_Scores!I1800</f>
        <v>50</v>
      </c>
      <c r="I1800" s="30">
        <f t="shared" si="59"/>
        <v>62.5</v>
      </c>
    </row>
    <row r="1801" spans="6:9">
      <c r="F1801" s="12" t="str">
        <f>Absolute_Scores!F1801</f>
        <v>@namyrasyahdan</v>
      </c>
      <c r="G1801" s="12" t="str">
        <f>Absolute_Scores!G1801</f>
        <v>Instagram</v>
      </c>
      <c r="H1801" s="29">
        <f>Absolute_Scores!I1801</f>
        <v>50</v>
      </c>
      <c r="I1801" s="30">
        <f t="shared" si="59"/>
        <v>62.5</v>
      </c>
    </row>
    <row r="1802" spans="6:9">
      <c r="F1802" s="12" t="str">
        <f>Absolute_Scores!F1802</f>
        <v>@nana_dwiyuliana</v>
      </c>
      <c r="G1802" s="12" t="str">
        <f>Absolute_Scores!G1802</f>
        <v>Instagram</v>
      </c>
      <c r="H1802" s="29">
        <f>Absolute_Scores!I1802</f>
        <v>50</v>
      </c>
      <c r="I1802" s="30">
        <f t="shared" si="59"/>
        <v>62.5</v>
      </c>
    </row>
    <row r="1803" spans="6:9">
      <c r="F1803" s="12" t="str">
        <f>Absolute_Scores!F1803</f>
        <v>@nananailafhra</v>
      </c>
      <c r="G1803" s="12" t="str">
        <f>Absolute_Scores!G1803</f>
        <v>TikTok</v>
      </c>
      <c r="H1803" s="29">
        <f>Absolute_Scores!I1803</f>
        <v>50</v>
      </c>
      <c r="I1803" s="30">
        <f t="shared" si="59"/>
        <v>62.5</v>
      </c>
    </row>
    <row r="1804" spans="6:9">
      <c r="F1804" s="12" t="str">
        <f>Absolute_Scores!F1804</f>
        <v>@nanasarmu</v>
      </c>
      <c r="G1804" s="12" t="str">
        <f>Absolute_Scores!G1804</f>
        <v>Instagram</v>
      </c>
      <c r="H1804" s="29">
        <f>Absolute_Scores!I1804</f>
        <v>50</v>
      </c>
      <c r="I1804" s="30">
        <f t="shared" si="59"/>
        <v>62.5</v>
      </c>
    </row>
    <row r="1805" spans="6:9">
      <c r="F1805" s="12" t="str">
        <f>Absolute_Scores!F1805</f>
        <v>@nancmayta</v>
      </c>
      <c r="G1805" s="12" t="str">
        <f>Absolute_Scores!G1805</f>
        <v>TikTok</v>
      </c>
      <c r="H1805" s="29">
        <f>Absolute_Scores!I1805</f>
        <v>50</v>
      </c>
      <c r="I1805" s="30">
        <f t="shared" si="59"/>
        <v>62.5</v>
      </c>
    </row>
    <row r="1806" spans="6:9">
      <c r="F1806" s="12" t="str">
        <f>Absolute_Scores!F1806</f>
        <v>@nandapriscillia29</v>
      </c>
      <c r="G1806" s="12" t="str">
        <f>Absolute_Scores!G1806</f>
        <v>TikTok</v>
      </c>
      <c r="H1806" s="29">
        <f>Absolute_Scores!I1806</f>
        <v>50</v>
      </c>
      <c r="I1806" s="30">
        <f t="shared" si="59"/>
        <v>62.5</v>
      </c>
    </row>
    <row r="1807" spans="6:9">
      <c r="F1807" s="12" t="str">
        <f>Absolute_Scores!F1807</f>
        <v>@naqiyyahsyam</v>
      </c>
      <c r="G1807" s="12" t="str">
        <f>Absolute_Scores!G1807</f>
        <v>Instagram</v>
      </c>
      <c r="H1807" s="29">
        <f>Absolute_Scores!I1807</f>
        <v>50</v>
      </c>
      <c r="I1807" s="30">
        <f t="shared" si="59"/>
        <v>62.5</v>
      </c>
    </row>
    <row r="1808" spans="6:9">
      <c r="F1808" s="12" t="str">
        <f>Absolute_Scores!F1808</f>
        <v>@nashani</v>
      </c>
      <c r="G1808" s="12" t="str">
        <f>Absolute_Scores!G1808</f>
        <v>Instagram</v>
      </c>
      <c r="H1808" s="29">
        <f>Absolute_Scores!I1808</f>
        <v>50</v>
      </c>
      <c r="I1808" s="30">
        <f t="shared" si="59"/>
        <v>62.5</v>
      </c>
    </row>
    <row r="1809" spans="6:9">
      <c r="F1809" s="12" t="str">
        <f>Absolute_Scores!F1809</f>
        <v>@nashani.dindra</v>
      </c>
      <c r="G1809" s="12" t="str">
        <f>Absolute_Scores!G1809</f>
        <v>TikTok</v>
      </c>
      <c r="H1809" s="29">
        <f>Absolute_Scores!I1809</f>
        <v>50</v>
      </c>
      <c r="I1809" s="30">
        <f t="shared" si="59"/>
        <v>62.5</v>
      </c>
    </row>
    <row r="1810" spans="6:9">
      <c r="F1810" s="12" t="str">
        <f>Absolute_Scores!F1810</f>
        <v>@nashyasyara</v>
      </c>
      <c r="G1810" s="12" t="str">
        <f>Absolute_Scores!G1810</f>
        <v>TikTok</v>
      </c>
      <c r="H1810" s="29">
        <f>Absolute_Scores!I1810</f>
        <v>50</v>
      </c>
      <c r="I1810" s="30">
        <f t="shared" si="59"/>
        <v>62.5</v>
      </c>
    </row>
    <row r="1811" spans="6:9">
      <c r="F1811" s="12" t="str">
        <f>Absolute_Scores!F1811</f>
        <v>@natalia_aysien</v>
      </c>
      <c r="G1811" s="12" t="str">
        <f>Absolute_Scores!G1811</f>
        <v>TikTok</v>
      </c>
      <c r="H1811" s="29">
        <f>Absolute_Scores!I1811</f>
        <v>50</v>
      </c>
      <c r="I1811" s="30">
        <f t="shared" si="59"/>
        <v>62.5</v>
      </c>
    </row>
    <row r="1812" spans="6:9">
      <c r="F1812" s="12" t="str">
        <f>Absolute_Scores!F1812</f>
        <v>@nataliajulyana</v>
      </c>
      <c r="G1812" s="12" t="str">
        <f>Absolute_Scores!G1812</f>
        <v>TikTok</v>
      </c>
      <c r="H1812" s="29">
        <f>Absolute_Scores!I1812</f>
        <v>50</v>
      </c>
      <c r="I1812" s="30">
        <f t="shared" si="59"/>
        <v>62.5</v>
      </c>
    </row>
    <row r="1813" spans="6:9">
      <c r="F1813" s="12" t="str">
        <f>Absolute_Scores!F1813</f>
        <v>@natashahiranyy</v>
      </c>
      <c r="G1813" s="12" t="str">
        <f>Absolute_Scores!G1813</f>
        <v>TikTok</v>
      </c>
      <c r="H1813" s="29">
        <f>Absolute_Scores!I1813</f>
        <v>50</v>
      </c>
      <c r="I1813" s="30">
        <f t="shared" si="59"/>
        <v>62.5</v>
      </c>
    </row>
    <row r="1814" spans="6:9">
      <c r="F1814" s="12" t="str">
        <f>Absolute_Scores!F1814</f>
        <v>@natasianurwitas</v>
      </c>
      <c r="G1814" s="12" t="str">
        <f>Absolute_Scores!G1814</f>
        <v>TikTok</v>
      </c>
      <c r="H1814" s="29">
        <f>Absolute_Scores!I1814</f>
        <v>50</v>
      </c>
      <c r="I1814" s="30">
        <f t="shared" si="59"/>
        <v>62.5</v>
      </c>
    </row>
    <row r="1815" spans="6:9">
      <c r="F1815" s="12" t="str">
        <f>Absolute_Scores!F1815</f>
        <v>@natasya_arenta</v>
      </c>
      <c r="G1815" s="12" t="str">
        <f>Absolute_Scores!G1815</f>
        <v>Instagram</v>
      </c>
      <c r="H1815" s="29">
        <f>Absolute_Scores!I1815</f>
        <v>50</v>
      </c>
      <c r="I1815" s="30">
        <f t="shared" si="59"/>
        <v>62.5</v>
      </c>
    </row>
    <row r="1816" spans="6:9">
      <c r="F1816" s="12" t="str">
        <f>Absolute_Scores!F1816</f>
        <v>@naufalfawwaz_official</v>
      </c>
      <c r="G1816" s="12" t="str">
        <f>Absolute_Scores!G1816</f>
        <v>Instagram</v>
      </c>
      <c r="H1816" s="29">
        <f>Absolute_Scores!I1816</f>
        <v>50</v>
      </c>
      <c r="I1816" s="30">
        <f t="shared" si="59"/>
        <v>62.5</v>
      </c>
    </row>
    <row r="1817" spans="6:9">
      <c r="F1817" s="12" t="str">
        <f>Absolute_Scores!F1817</f>
        <v>@naura_alya_of</v>
      </c>
      <c r="G1817" s="12" t="str">
        <f>Absolute_Scores!G1817</f>
        <v>TikTok</v>
      </c>
      <c r="H1817" s="29">
        <f>Absolute_Scores!I1817</f>
        <v>50</v>
      </c>
      <c r="I1817" s="30">
        <f t="shared" si="59"/>
        <v>62.5</v>
      </c>
    </row>
    <row r="1818" spans="6:9">
      <c r="F1818" s="12" t="str">
        <f>Absolute_Scores!F1818</f>
        <v>@nauraadheliaputri</v>
      </c>
      <c r="G1818" s="12" t="str">
        <f>Absolute_Scores!G1818</f>
        <v>Instagram</v>
      </c>
      <c r="H1818" s="29">
        <f>Absolute_Scores!I1818</f>
        <v>50</v>
      </c>
      <c r="I1818" s="30">
        <f t="shared" si="59"/>
        <v>62.5</v>
      </c>
    </row>
    <row r="1819" spans="6:9">
      <c r="F1819" s="12" t="str">
        <f>Absolute_Scores!F1819</f>
        <v>@nazila_ummu_faza</v>
      </c>
      <c r="G1819" s="12" t="str">
        <f>Absolute_Scores!G1819</f>
        <v>Instagram</v>
      </c>
      <c r="H1819" s="29">
        <f>Absolute_Scores!I1819</f>
        <v>50</v>
      </c>
      <c r="I1819" s="30">
        <f t="shared" si="59"/>
        <v>62.5</v>
      </c>
    </row>
    <row r="1820" spans="6:9">
      <c r="F1820" s="12" t="str">
        <f>Absolute_Scores!F1820</f>
        <v>@nazla.tiara</v>
      </c>
      <c r="G1820" s="12" t="str">
        <f>Absolute_Scores!G1820</f>
        <v>TikTok</v>
      </c>
      <c r="H1820" s="29">
        <f>Absolute_Scores!I1820</f>
        <v>50</v>
      </c>
      <c r="I1820" s="30">
        <f t="shared" si="59"/>
        <v>62.5</v>
      </c>
    </row>
    <row r="1821" spans="6:9">
      <c r="F1821" s="12" t="str">
        <f>Absolute_Scores!F1821</f>
        <v>@nazlakhn</v>
      </c>
      <c r="G1821" s="12" t="str">
        <f>Absolute_Scores!G1821</f>
        <v>TikTok</v>
      </c>
      <c r="H1821" s="29">
        <f>Absolute_Scores!I1821</f>
        <v>50</v>
      </c>
      <c r="I1821" s="30">
        <f t="shared" si="59"/>
        <v>62.5</v>
      </c>
    </row>
    <row r="1822" spans="6:9">
      <c r="F1822" s="12" t="str">
        <f>Absolute_Scores!F1822</f>
        <v>@neandrosabian</v>
      </c>
      <c r="G1822" s="12" t="str">
        <f>Absolute_Scores!G1822</f>
        <v>Instagram</v>
      </c>
      <c r="H1822" s="29">
        <f>Absolute_Scores!I1822</f>
        <v>50</v>
      </c>
      <c r="I1822" s="30">
        <f t="shared" si="59"/>
        <v>62.5</v>
      </c>
    </row>
    <row r="1823" spans="6:9">
      <c r="F1823" s="12" t="str">
        <f>Absolute_Scores!F1823</f>
        <v>@neayayah</v>
      </c>
      <c r="G1823" s="12" t="str">
        <f>Absolute_Scores!G1823</f>
        <v>Instagram</v>
      </c>
      <c r="H1823" s="29">
        <f>Absolute_Scores!I1823</f>
        <v>50</v>
      </c>
      <c r="I1823" s="30">
        <f t="shared" si="59"/>
        <v>62.5</v>
      </c>
    </row>
    <row r="1824" spans="6:9">
      <c r="F1824" s="12" t="str">
        <f>Absolute_Scores!F1824</f>
        <v>@nengdesinengdesi</v>
      </c>
      <c r="G1824" s="12" t="str">
        <f>Absolute_Scores!G1824</f>
        <v>Instagram</v>
      </c>
      <c r="H1824" s="29">
        <f>Absolute_Scores!I1824</f>
        <v>50</v>
      </c>
      <c r="I1824" s="30">
        <f t="shared" si="59"/>
        <v>62.5</v>
      </c>
    </row>
    <row r="1825" spans="6:9">
      <c r="F1825" s="12" t="str">
        <f>Absolute_Scores!F1825</f>
        <v>@nessa.sadin</v>
      </c>
      <c r="G1825" s="12" t="str">
        <f>Absolute_Scores!G1825</f>
        <v>TikTok</v>
      </c>
      <c r="H1825" s="29">
        <f>Absolute_Scores!I1825</f>
        <v>50</v>
      </c>
      <c r="I1825" s="30">
        <f t="shared" si="59"/>
        <v>62.5</v>
      </c>
    </row>
    <row r="1826" spans="6:9">
      <c r="F1826" s="12" t="str">
        <f>Absolute_Scores!F1826</f>
        <v>@nestie_27</v>
      </c>
      <c r="G1826" s="12" t="str">
        <f>Absolute_Scores!G1826</f>
        <v>TikTok</v>
      </c>
      <c r="H1826" s="29">
        <f>Absolute_Scores!I1826</f>
        <v>50</v>
      </c>
      <c r="I1826" s="30">
        <f t="shared" si="59"/>
        <v>62.5</v>
      </c>
    </row>
    <row r="1827" spans="6:9">
      <c r="F1827" s="12" t="str">
        <f>Absolute_Scores!F1827</f>
        <v>@neymakeup</v>
      </c>
      <c r="G1827" s="12" t="str">
        <f>Absolute_Scores!G1827</f>
        <v>TikTok</v>
      </c>
      <c r="H1827" s="29">
        <f>Absolute_Scores!I1827</f>
        <v>50</v>
      </c>
      <c r="I1827" s="30">
        <f t="shared" si="59"/>
        <v>62.5</v>
      </c>
    </row>
    <row r="1828" spans="6:9">
      <c r="F1828" s="12" t="str">
        <f>Absolute_Scores!F1828</f>
        <v>@nfkeyla</v>
      </c>
      <c r="G1828" s="12" t="str">
        <f>Absolute_Scores!G1828</f>
        <v>Instagram</v>
      </c>
      <c r="H1828" s="29">
        <f>Absolute_Scores!I1828</f>
        <v>50</v>
      </c>
      <c r="I1828" s="30">
        <f t="shared" si="59"/>
        <v>62.5</v>
      </c>
    </row>
    <row r="1829" spans="6:9">
      <c r="F1829" s="12" t="str">
        <f>Absolute_Scores!F1829</f>
        <v>@ngabtos</v>
      </c>
      <c r="G1829" s="12" t="str">
        <f>Absolute_Scores!G1829</f>
        <v>TikTok</v>
      </c>
      <c r="H1829" s="29">
        <f>Absolute_Scores!I1829</f>
        <v>50</v>
      </c>
      <c r="I1829" s="30">
        <f t="shared" si="59"/>
        <v>62.5</v>
      </c>
    </row>
    <row r="1830" spans="6:9">
      <c r="F1830" s="12" t="str">
        <f>Absolute_Scores!F1830</f>
        <v>@ngunyahwithtaufik</v>
      </c>
      <c r="G1830" s="12" t="str">
        <f>Absolute_Scores!G1830</f>
        <v>TikTok</v>
      </c>
      <c r="H1830" s="29">
        <f>Absolute_Scores!I1830</f>
        <v>50</v>
      </c>
      <c r="I1830" s="30">
        <f t="shared" si="59"/>
        <v>62.5</v>
      </c>
    </row>
    <row r="1831" spans="6:9">
      <c r="F1831" s="12" t="str">
        <f>Absolute_Scores!F1831</f>
        <v>@nia_rizq</v>
      </c>
      <c r="G1831" s="12" t="str">
        <f>Absolute_Scores!G1831</f>
        <v>Instagram</v>
      </c>
      <c r="H1831" s="29">
        <f>Absolute_Scores!I1831</f>
        <v>50</v>
      </c>
      <c r="I1831" s="30">
        <f t="shared" si="59"/>
        <v>62.5</v>
      </c>
    </row>
    <row r="1832" spans="6:9">
      <c r="F1832" s="12" t="str">
        <f>Absolute_Scores!F1832</f>
        <v>@nia.knia1</v>
      </c>
      <c r="G1832" s="12" t="str">
        <f>Absolute_Scores!G1832</f>
        <v>Instagram</v>
      </c>
      <c r="H1832" s="29">
        <f>Absolute_Scores!I1832</f>
        <v>50</v>
      </c>
      <c r="I1832" s="30">
        <f t="shared" si="59"/>
        <v>62.5</v>
      </c>
    </row>
    <row r="1833" spans="6:9">
      <c r="F1833" s="12" t="str">
        <f>Absolute_Scores!F1833</f>
        <v>@nichawili</v>
      </c>
      <c r="G1833" s="12" t="str">
        <f>Absolute_Scores!G1833</f>
        <v>TikTok</v>
      </c>
      <c r="H1833" s="29">
        <f>Absolute_Scores!I1833</f>
        <v>50</v>
      </c>
      <c r="I1833" s="30">
        <f t="shared" si="59"/>
        <v>62.5</v>
      </c>
    </row>
    <row r="1834" spans="6:9">
      <c r="F1834" s="12" t="str">
        <f>Absolute_Scores!F1834</f>
        <v>@nida_mufidah22</v>
      </c>
      <c r="G1834" s="12" t="str">
        <f>Absolute_Scores!G1834</f>
        <v>Instagram</v>
      </c>
      <c r="H1834" s="29">
        <f>Absolute_Scores!I1834</f>
        <v>50</v>
      </c>
      <c r="I1834" s="30">
        <f t="shared" si="59"/>
        <v>62.5</v>
      </c>
    </row>
    <row r="1835" spans="6:9">
      <c r="F1835" s="12" t="str">
        <f>Absolute_Scores!F1835</f>
        <v>@niisa_anggaraii</v>
      </c>
      <c r="G1835" s="12" t="str">
        <f>Absolute_Scores!G1835</f>
        <v>Instagram</v>
      </c>
      <c r="H1835" s="29">
        <f>Absolute_Scores!I1835</f>
        <v>50</v>
      </c>
      <c r="I1835" s="30">
        <f t="shared" si="59"/>
        <v>62.5</v>
      </c>
    </row>
    <row r="1836" spans="6:9">
      <c r="F1836" s="12" t="str">
        <f>Absolute_Scores!F1836</f>
        <v>@nikenandalusia</v>
      </c>
      <c r="G1836" s="12" t="str">
        <f>Absolute_Scores!G1836</f>
        <v>TikTok</v>
      </c>
      <c r="H1836" s="29">
        <f>Absolute_Scores!I1836</f>
        <v>50</v>
      </c>
      <c r="I1836" s="30">
        <f t="shared" si="59"/>
        <v>62.5</v>
      </c>
    </row>
    <row r="1837" spans="6:9">
      <c r="F1837" s="12" t="str">
        <f>Absolute_Scores!F1837</f>
        <v>@niki.shuu</v>
      </c>
      <c r="G1837" s="12" t="str">
        <f>Absolute_Scores!G1837</f>
        <v>Instagram</v>
      </c>
      <c r="H1837" s="29">
        <f>Absolute_Scores!I1837</f>
        <v>50</v>
      </c>
      <c r="I1837" s="30">
        <f t="shared" si="59"/>
        <v>62.5</v>
      </c>
    </row>
    <row r="1838" spans="6:9">
      <c r="F1838" s="12" t="str">
        <f>Absolute_Scores!F1838</f>
        <v>@nikiwindia</v>
      </c>
      <c r="G1838" s="12" t="str">
        <f>Absolute_Scores!G1838</f>
        <v>TikTok</v>
      </c>
      <c r="H1838" s="29">
        <f>Absolute_Scores!I1838</f>
        <v>50</v>
      </c>
      <c r="I1838" s="30">
        <f t="shared" si="59"/>
        <v>62.5</v>
      </c>
    </row>
    <row r="1839" spans="6:9">
      <c r="F1839" s="12" t="str">
        <f>Absolute_Scores!F1839</f>
        <v>@nilaqueen_</v>
      </c>
      <c r="G1839" s="12" t="str">
        <f>Absolute_Scores!G1839</f>
        <v>TikTok</v>
      </c>
      <c r="H1839" s="29">
        <f>Absolute_Scores!I1839</f>
        <v>50</v>
      </c>
      <c r="I1839" s="30">
        <f t="shared" si="59"/>
        <v>62.5</v>
      </c>
    </row>
    <row r="1840" spans="6:9">
      <c r="F1840" s="12" t="str">
        <f>Absolute_Scores!F1840</f>
        <v>@niluhputurisyaandari</v>
      </c>
      <c r="G1840" s="12" t="str">
        <f>Absolute_Scores!G1840</f>
        <v>TikTok</v>
      </c>
      <c r="H1840" s="29">
        <f>Absolute_Scores!I1840</f>
        <v>50</v>
      </c>
      <c r="I1840" s="30">
        <f t="shared" si="59"/>
        <v>62.5</v>
      </c>
    </row>
    <row r="1841" spans="6:9">
      <c r="F1841" s="12" t="str">
        <f>Absolute_Scores!F1841</f>
        <v>@nindahaf</v>
      </c>
      <c r="G1841" s="12" t="str">
        <f>Absolute_Scores!G1841</f>
        <v>TikTok</v>
      </c>
      <c r="H1841" s="29">
        <f>Absolute_Scores!I1841</f>
        <v>50</v>
      </c>
      <c r="I1841" s="30">
        <f t="shared" si="59"/>
        <v>62.5</v>
      </c>
    </row>
    <row r="1842" spans="6:9">
      <c r="F1842" s="12" t="str">
        <f>Absolute_Scores!F1842</f>
        <v>@nindidewi_</v>
      </c>
      <c r="G1842" s="12" t="str">
        <f>Absolute_Scores!G1842</f>
        <v>TikTok</v>
      </c>
      <c r="H1842" s="29">
        <f>Absolute_Scores!I1842</f>
        <v>50</v>
      </c>
      <c r="I1842" s="30">
        <f t="shared" si="59"/>
        <v>62.5</v>
      </c>
    </row>
    <row r="1843" spans="6:9">
      <c r="F1843" s="12" t="str">
        <f>Absolute_Scores!F1843</f>
        <v>@ninunaaa</v>
      </c>
      <c r="G1843" s="12" t="str">
        <f>Absolute_Scores!G1843</f>
        <v>TikTok</v>
      </c>
      <c r="H1843" s="29">
        <f>Absolute_Scores!I1843</f>
        <v>50</v>
      </c>
      <c r="I1843" s="30">
        <f t="shared" si="59"/>
        <v>62.5</v>
      </c>
    </row>
    <row r="1844" spans="6:9">
      <c r="F1844" s="12" t="str">
        <f>Absolute_Scores!F1844</f>
        <v>@nirwaanantya</v>
      </c>
      <c r="G1844" s="12" t="str">
        <f>Absolute_Scores!G1844</f>
        <v>Instagram</v>
      </c>
      <c r="H1844" s="29">
        <f>Absolute_Scores!I1844</f>
        <v>50</v>
      </c>
      <c r="I1844" s="30">
        <f t="shared" si="59"/>
        <v>62.5</v>
      </c>
    </row>
    <row r="1845" spans="6:9">
      <c r="F1845" s="12" t="str">
        <f>Absolute_Scores!F1845</f>
        <v>@nisaa027_</v>
      </c>
      <c r="G1845" s="12" t="str">
        <f>Absolute_Scores!G1845</f>
        <v>Instagram</v>
      </c>
      <c r="H1845" s="29">
        <f>Absolute_Scores!I1845</f>
        <v>50</v>
      </c>
      <c r="I1845" s="30">
        <f t="shared" si="59"/>
        <v>62.5</v>
      </c>
    </row>
    <row r="1846" spans="6:9">
      <c r="F1846" s="12" t="str">
        <f>Absolute_Scores!F1846</f>
        <v>@nisabilahanjani</v>
      </c>
      <c r="G1846" s="12" t="str">
        <f>Absolute_Scores!G1846</f>
        <v>Instagram</v>
      </c>
      <c r="H1846" s="29">
        <f>Absolute_Scores!I1846</f>
        <v>50</v>
      </c>
      <c r="I1846" s="30">
        <f t="shared" si="59"/>
        <v>62.5</v>
      </c>
    </row>
    <row r="1847" spans="6:9">
      <c r="F1847" s="12" t="str">
        <f>Absolute_Scores!F1847</f>
        <v>@nisacaldis</v>
      </c>
      <c r="G1847" s="12" t="str">
        <f>Absolute_Scores!G1847</f>
        <v>Instagram</v>
      </c>
      <c r="H1847" s="29">
        <f>Absolute_Scores!I1847</f>
        <v>50</v>
      </c>
      <c r="I1847" s="30">
        <f t="shared" si="59"/>
        <v>62.5</v>
      </c>
    </row>
    <row r="1848" spans="6:9">
      <c r="F1848" s="12" t="str">
        <f>Absolute_Scores!F1848</f>
        <v>@nisheilaf</v>
      </c>
      <c r="G1848" s="12" t="str">
        <f>Absolute_Scores!G1848</f>
        <v>Instagram</v>
      </c>
      <c r="H1848" s="29">
        <f>Absolute_Scores!I1848</f>
        <v>50</v>
      </c>
      <c r="I1848" s="30">
        <f t="shared" si="59"/>
        <v>62.5</v>
      </c>
    </row>
    <row r="1849" spans="6:9">
      <c r="F1849" s="12" t="str">
        <f>Absolute_Scores!F1849</f>
        <v>@niss_ya11</v>
      </c>
      <c r="G1849" s="12" t="str">
        <f>Absolute_Scores!G1849</f>
        <v>Instagram</v>
      </c>
      <c r="H1849" s="29">
        <f>Absolute_Scores!I1849</f>
        <v>50</v>
      </c>
      <c r="I1849" s="30">
        <f t="shared" si="59"/>
        <v>62.5</v>
      </c>
    </row>
    <row r="1850" spans="6:9">
      <c r="F1850" s="12" t="str">
        <f>Absolute_Scores!F1850</f>
        <v>@nissanisyanur</v>
      </c>
      <c r="G1850" s="12" t="str">
        <f>Absolute_Scores!G1850</f>
        <v>Instagram</v>
      </c>
      <c r="H1850" s="29">
        <f>Absolute_Scores!I1850</f>
        <v>50</v>
      </c>
      <c r="I1850" s="30">
        <f t="shared" si="59"/>
        <v>62.5</v>
      </c>
    </row>
    <row r="1851" spans="6:9">
      <c r="F1851" s="12" t="str">
        <f>Absolute_Scores!F1851</f>
        <v>@nissataqiyyah</v>
      </c>
      <c r="G1851" s="12" t="str">
        <f>Absolute_Scores!G1851</f>
        <v>Instagram</v>
      </c>
      <c r="H1851" s="29">
        <f>Absolute_Scores!I1851</f>
        <v>50</v>
      </c>
      <c r="I1851" s="30">
        <f t="shared" si="59"/>
        <v>62.5</v>
      </c>
    </row>
    <row r="1852" spans="6:9">
      <c r="F1852" s="12" t="str">
        <f>Absolute_Scores!F1852</f>
        <v>@nita.juwithafina</v>
      </c>
      <c r="G1852" s="12" t="str">
        <f>Absolute_Scores!G1852</f>
        <v>TikTok</v>
      </c>
      <c r="H1852" s="29">
        <f>Absolute_Scores!I1852</f>
        <v>50</v>
      </c>
      <c r="I1852" s="30">
        <f t="shared" si="59"/>
        <v>62.5</v>
      </c>
    </row>
    <row r="1853" spans="6:9">
      <c r="F1853" s="12" t="str">
        <f>Absolute_Scores!F1853</f>
        <v>@nitaaja73</v>
      </c>
      <c r="G1853" s="12" t="str">
        <f>Absolute_Scores!G1853</f>
        <v>Instagram</v>
      </c>
      <c r="H1853" s="29">
        <f>Absolute_Scores!I1853</f>
        <v>50</v>
      </c>
      <c r="I1853" s="30">
        <f t="shared" si="59"/>
        <v>62.5</v>
      </c>
    </row>
    <row r="1854" spans="6:9">
      <c r="F1854" s="12" t="str">
        <f>Absolute_Scores!F1854</f>
        <v>@nitafebri01</v>
      </c>
      <c r="G1854" s="12" t="str">
        <f>Absolute_Scores!G1854</f>
        <v>Instagram</v>
      </c>
      <c r="H1854" s="29">
        <f>Absolute_Scores!I1854</f>
        <v>50</v>
      </c>
      <c r="I1854" s="30">
        <f t="shared" si="59"/>
        <v>62.5</v>
      </c>
    </row>
    <row r="1855" spans="6:9">
      <c r="F1855" s="12" t="str">
        <f>Absolute_Scores!F1855</f>
        <v>@nitamaharanie</v>
      </c>
      <c r="G1855" s="12" t="str">
        <f>Absolute_Scores!G1855</f>
        <v>TikTok</v>
      </c>
      <c r="H1855" s="29">
        <f>Absolute_Scores!I1855</f>
        <v>50</v>
      </c>
      <c r="I1855" s="30">
        <f t="shared" si="59"/>
        <v>62.5</v>
      </c>
    </row>
    <row r="1856" spans="6:9">
      <c r="F1856" s="12" t="str">
        <f>Absolute_Scores!F1856</f>
        <v>@nizzuyy</v>
      </c>
      <c r="G1856" s="12" t="str">
        <f>Absolute_Scores!G1856</f>
        <v>TikTok</v>
      </c>
      <c r="H1856" s="29">
        <f>Absolute_Scores!I1856</f>
        <v>50</v>
      </c>
      <c r="I1856" s="30">
        <f t="shared" si="59"/>
        <v>62.5</v>
      </c>
    </row>
    <row r="1857" spans="6:9">
      <c r="F1857" s="12" t="str">
        <f>Absolute_Scores!F1857</f>
        <v>@nmaliccaa</v>
      </c>
      <c r="G1857" s="12" t="str">
        <f>Absolute_Scores!G1857</f>
        <v>TikTok</v>
      </c>
      <c r="H1857" s="29">
        <f>Absolute_Scores!I1857</f>
        <v>50</v>
      </c>
      <c r="I1857" s="30">
        <f t="shared" si="59"/>
        <v>62.5</v>
      </c>
    </row>
    <row r="1858" spans="6:9">
      <c r="F1858" s="12" t="str">
        <f>Absolute_Scores!F1858</f>
        <v>@nn.khitt</v>
      </c>
      <c r="G1858" s="12" t="str">
        <f>Absolute_Scores!G1858</f>
        <v>Instagram</v>
      </c>
      <c r="H1858" s="29">
        <f>Absolute_Scores!I1858</f>
        <v>50</v>
      </c>
      <c r="I1858" s="30">
        <f t="shared" si="59"/>
        <v>62.5</v>
      </c>
    </row>
    <row r="1859" spans="6:9">
      <c r="F1859" s="12" t="str">
        <f>Absolute_Scores!F1859</f>
        <v>@noellaanindhita</v>
      </c>
      <c r="G1859" s="12" t="str">
        <f>Absolute_Scores!G1859</f>
        <v>Instagram</v>
      </c>
      <c r="H1859" s="29">
        <f>Absolute_Scores!I1859</f>
        <v>50</v>
      </c>
      <c r="I1859" s="30">
        <f t="shared" si="59"/>
        <v>62.5</v>
      </c>
    </row>
    <row r="1860" spans="6:9">
      <c r="F1860" s="12" t="str">
        <f>Absolute_Scores!F1860</f>
        <v>@noiscasonya</v>
      </c>
      <c r="G1860" s="12" t="str">
        <f>Absolute_Scores!G1860</f>
        <v>Instagram</v>
      </c>
      <c r="H1860" s="29">
        <f>Absolute_Scores!I1860</f>
        <v>50</v>
      </c>
      <c r="I1860" s="30">
        <f t="shared" si="59"/>
        <v>62.5</v>
      </c>
    </row>
    <row r="1861" spans="6:9">
      <c r="F1861" s="12" t="str">
        <f>Absolute_Scores!F1861</f>
        <v>@noiscawinasonya</v>
      </c>
      <c r="G1861" s="12" t="str">
        <f>Absolute_Scores!G1861</f>
        <v>TikTok</v>
      </c>
      <c r="H1861" s="29">
        <f>Absolute_Scores!I1861</f>
        <v>50</v>
      </c>
      <c r="I1861" s="30">
        <f t="shared" si="59"/>
        <v>62.5</v>
      </c>
    </row>
    <row r="1862" spans="6:9">
      <c r="F1862" s="12" t="str">
        <f>Absolute_Scores!F1862</f>
        <v>@noon_skinner</v>
      </c>
      <c r="G1862" s="12" t="str">
        <f>Absolute_Scores!G1862</f>
        <v>Instagram</v>
      </c>
      <c r="H1862" s="29">
        <f>Absolute_Scores!I1862</f>
        <v>50</v>
      </c>
      <c r="I1862" s="30">
        <f t="shared" ref="I1862:I1925" si="60">ROUND(H1862/$I$4*100,2)</f>
        <v>62.5</v>
      </c>
    </row>
    <row r="1863" spans="6:9">
      <c r="F1863" s="12" t="str">
        <f>Absolute_Scores!F1863</f>
        <v>@nooppa_</v>
      </c>
      <c r="G1863" s="12" t="str">
        <f>Absolute_Scores!G1863</f>
        <v>TikTok</v>
      </c>
      <c r="H1863" s="29">
        <f>Absolute_Scores!I1863</f>
        <v>50</v>
      </c>
      <c r="I1863" s="30">
        <f t="shared" si="60"/>
        <v>62.5</v>
      </c>
    </row>
    <row r="1864" spans="6:9">
      <c r="F1864" s="12" t="str">
        <f>Absolute_Scores!F1864</f>
        <v>@notcaci</v>
      </c>
      <c r="G1864" s="12" t="str">
        <f>Absolute_Scores!G1864</f>
        <v>TikTok</v>
      </c>
      <c r="H1864" s="29">
        <f>Absolute_Scores!I1864</f>
        <v>50</v>
      </c>
      <c r="I1864" s="30">
        <f t="shared" si="60"/>
        <v>62.5</v>
      </c>
    </row>
    <row r="1865" spans="6:9">
      <c r="F1865" s="12" t="str">
        <f>Absolute_Scores!F1865</f>
        <v>@notriisaaa</v>
      </c>
      <c r="G1865" s="12" t="str">
        <f>Absolute_Scores!G1865</f>
        <v>TikTok</v>
      </c>
      <c r="H1865" s="29">
        <f>Absolute_Scores!I1865</f>
        <v>50</v>
      </c>
      <c r="I1865" s="30">
        <f t="shared" si="60"/>
        <v>62.5</v>
      </c>
    </row>
    <row r="1866" spans="6:9">
      <c r="F1866" s="12" t="str">
        <f>Absolute_Scores!F1866</f>
        <v>@notsol0nely</v>
      </c>
      <c r="G1866" s="12" t="str">
        <f>Absolute_Scores!G1866</f>
        <v>TikTok</v>
      </c>
      <c r="H1866" s="29">
        <f>Absolute_Scores!I1866</f>
        <v>50</v>
      </c>
      <c r="I1866" s="30">
        <f t="shared" si="60"/>
        <v>62.5</v>
      </c>
    </row>
    <row r="1867" spans="6:9">
      <c r="F1867" s="12" t="str">
        <f>Absolute_Scores!F1867</f>
        <v>@notursupport</v>
      </c>
      <c r="G1867" s="12" t="str">
        <f>Absolute_Scores!G1867</f>
        <v>TikTok</v>
      </c>
      <c r="H1867" s="29">
        <f>Absolute_Scores!I1867</f>
        <v>50</v>
      </c>
      <c r="I1867" s="30">
        <f t="shared" si="60"/>
        <v>62.5</v>
      </c>
    </row>
    <row r="1868" spans="6:9">
      <c r="F1868" s="12" t="str">
        <f>Absolute_Scores!F1868</f>
        <v>@notyourtentor</v>
      </c>
      <c r="G1868" s="12" t="str">
        <f>Absolute_Scores!G1868</f>
        <v>TikTok</v>
      </c>
      <c r="H1868" s="29">
        <f>Absolute_Scores!I1868</f>
        <v>50</v>
      </c>
      <c r="I1868" s="30">
        <f t="shared" si="60"/>
        <v>62.5</v>
      </c>
    </row>
    <row r="1869" spans="6:9">
      <c r="F1869" s="12" t="str">
        <f>Absolute_Scores!F1869</f>
        <v>@noureen_adam</v>
      </c>
      <c r="G1869" s="12" t="str">
        <f>Absolute_Scores!G1869</f>
        <v>Instagram</v>
      </c>
      <c r="H1869" s="29">
        <f>Absolute_Scores!I1869</f>
        <v>50</v>
      </c>
      <c r="I1869" s="30">
        <f t="shared" si="60"/>
        <v>62.5</v>
      </c>
    </row>
    <row r="1870" spans="6:9">
      <c r="F1870" s="12" t="str">
        <f>Absolute_Scores!F1870</f>
        <v>@novilgstnn</v>
      </c>
      <c r="G1870" s="12" t="str">
        <f>Absolute_Scores!G1870</f>
        <v>TikTok</v>
      </c>
      <c r="H1870" s="29">
        <f>Absolute_Scores!I1870</f>
        <v>50</v>
      </c>
      <c r="I1870" s="30">
        <f t="shared" si="60"/>
        <v>62.5</v>
      </c>
    </row>
    <row r="1871" spans="6:9">
      <c r="F1871" s="12" t="str">
        <f>Absolute_Scores!F1871</f>
        <v>@nqaulia</v>
      </c>
      <c r="G1871" s="12" t="str">
        <f>Absolute_Scores!G1871</f>
        <v>Instagram</v>
      </c>
      <c r="H1871" s="29">
        <f>Absolute_Scores!I1871</f>
        <v>50</v>
      </c>
      <c r="I1871" s="30">
        <f t="shared" si="60"/>
        <v>62.5</v>
      </c>
    </row>
    <row r="1872" spans="6:9">
      <c r="F1872" s="12" t="str">
        <f>Absolute_Scores!F1872</f>
        <v>@nr.rahmat_</v>
      </c>
      <c r="G1872" s="12" t="str">
        <f>Absolute_Scores!G1872</f>
        <v>TikTok</v>
      </c>
      <c r="H1872" s="29">
        <f>Absolute_Scores!I1872</f>
        <v>50</v>
      </c>
      <c r="I1872" s="30">
        <f t="shared" si="60"/>
        <v>62.5</v>
      </c>
    </row>
    <row r="1873" spans="6:9">
      <c r="F1873" s="12" t="str">
        <f>Absolute_Scores!F1873</f>
        <v>@nrlzkh_</v>
      </c>
      <c r="G1873" s="12" t="str">
        <f>Absolute_Scores!G1873</f>
        <v>Instagram</v>
      </c>
      <c r="H1873" s="29">
        <f>Absolute_Scores!I1873</f>
        <v>50</v>
      </c>
      <c r="I1873" s="30">
        <f t="shared" si="60"/>
        <v>62.5</v>
      </c>
    </row>
    <row r="1874" spans="6:9">
      <c r="F1874" s="12" t="str">
        <f>Absolute_Scores!F1874</f>
        <v>@ns.putubahagiana</v>
      </c>
      <c r="G1874" s="12" t="str">
        <f>Absolute_Scores!G1874</f>
        <v>TikTok</v>
      </c>
      <c r="H1874" s="29">
        <f>Absolute_Scores!I1874</f>
        <v>50</v>
      </c>
      <c r="I1874" s="30">
        <f t="shared" si="60"/>
        <v>62.5</v>
      </c>
    </row>
    <row r="1875" spans="6:9">
      <c r="F1875" s="12" t="str">
        <f>Absolute_Scores!F1875</f>
        <v>@ntlygp</v>
      </c>
      <c r="G1875" s="12" t="str">
        <f>Absolute_Scores!G1875</f>
        <v>TikTok</v>
      </c>
      <c r="H1875" s="29">
        <f>Absolute_Scores!I1875</f>
        <v>50</v>
      </c>
      <c r="I1875" s="30">
        <f t="shared" si="60"/>
        <v>62.5</v>
      </c>
    </row>
    <row r="1876" spans="6:9">
      <c r="F1876" s="12" t="str">
        <f>Absolute_Scores!F1876</f>
        <v>@nugiestyles</v>
      </c>
      <c r="G1876" s="12" t="str">
        <f>Absolute_Scores!G1876</f>
        <v>Instagram</v>
      </c>
      <c r="H1876" s="29">
        <f>Absolute_Scores!I1876</f>
        <v>50</v>
      </c>
      <c r="I1876" s="30">
        <f t="shared" si="60"/>
        <v>62.5</v>
      </c>
    </row>
    <row r="1877" spans="6:9">
      <c r="F1877" s="12" t="str">
        <f>Absolute_Scores!F1877</f>
        <v>@nunanash_04</v>
      </c>
      <c r="G1877" s="12" t="str">
        <f>Absolute_Scores!G1877</f>
        <v>TikTok</v>
      </c>
      <c r="H1877" s="29">
        <f>Absolute_Scores!I1877</f>
        <v>50</v>
      </c>
      <c r="I1877" s="30">
        <f t="shared" si="60"/>
        <v>62.5</v>
      </c>
    </row>
    <row r="1878" spans="6:9">
      <c r="F1878" s="12" t="str">
        <f>Absolute_Scores!F1878</f>
        <v>@nungky_viida</v>
      </c>
      <c r="G1878" s="12" t="str">
        <f>Absolute_Scores!G1878</f>
        <v>Instagram</v>
      </c>
      <c r="H1878" s="29">
        <f>Absolute_Scores!I1878</f>
        <v>50</v>
      </c>
      <c r="I1878" s="30">
        <f t="shared" si="60"/>
        <v>62.5</v>
      </c>
    </row>
    <row r="1879" spans="6:9">
      <c r="F1879" s="12" t="str">
        <f>Absolute_Scores!F1879</f>
        <v>@nunu.hasanahnur</v>
      </c>
      <c r="G1879" s="12" t="str">
        <f>Absolute_Scores!G1879</f>
        <v>Instagram</v>
      </c>
      <c r="H1879" s="29">
        <f>Absolute_Scores!I1879</f>
        <v>50</v>
      </c>
      <c r="I1879" s="30">
        <f t="shared" si="60"/>
        <v>62.5</v>
      </c>
    </row>
    <row r="1880" spans="6:9">
      <c r="F1880" s="12" t="str">
        <f>Absolute_Scores!F1880</f>
        <v>@nunungnrhyti_</v>
      </c>
      <c r="G1880" s="12" t="str">
        <f>Absolute_Scores!G1880</f>
        <v>Instagram</v>
      </c>
      <c r="H1880" s="29">
        <f>Absolute_Scores!I1880</f>
        <v>50</v>
      </c>
      <c r="I1880" s="30">
        <f t="shared" si="60"/>
        <v>62.5</v>
      </c>
    </row>
    <row r="1881" spans="6:9">
      <c r="F1881" s="12" t="str">
        <f>Absolute_Scores!F1881</f>
        <v>@nur_mujiana90</v>
      </c>
      <c r="G1881" s="12" t="str">
        <f>Absolute_Scores!G1881</f>
        <v>TikTok</v>
      </c>
      <c r="H1881" s="29">
        <f>Absolute_Scores!I1881</f>
        <v>50</v>
      </c>
      <c r="I1881" s="30">
        <f t="shared" si="60"/>
        <v>62.5</v>
      </c>
    </row>
    <row r="1882" spans="6:9">
      <c r="F1882" s="12" t="str">
        <f>Absolute_Scores!F1882</f>
        <v>@nuraeni_moms_kl</v>
      </c>
      <c r="G1882" s="12" t="str">
        <f>Absolute_Scores!G1882</f>
        <v>Instagram</v>
      </c>
      <c r="H1882" s="29">
        <f>Absolute_Scores!I1882</f>
        <v>50</v>
      </c>
      <c r="I1882" s="30">
        <f t="shared" si="60"/>
        <v>62.5</v>
      </c>
    </row>
    <row r="1883" spans="6:9">
      <c r="F1883" s="12" t="str">
        <f>Absolute_Scores!F1883</f>
        <v>@nuraliyanatasha13</v>
      </c>
      <c r="G1883" s="12" t="str">
        <f>Absolute_Scores!G1883</f>
        <v>TikTok</v>
      </c>
      <c r="H1883" s="29">
        <f>Absolute_Scores!I1883</f>
        <v>50</v>
      </c>
      <c r="I1883" s="30">
        <f t="shared" si="60"/>
        <v>62.5</v>
      </c>
    </row>
    <row r="1884" spans="6:9">
      <c r="F1884" s="12" t="str">
        <f>Absolute_Scores!F1884</f>
        <v>@nurassyafa_</v>
      </c>
      <c r="G1884" s="12" t="str">
        <f>Absolute_Scores!G1884</f>
        <v>Instagram</v>
      </c>
      <c r="H1884" s="29">
        <f>Absolute_Scores!I1884</f>
        <v>50</v>
      </c>
      <c r="I1884" s="30">
        <f t="shared" si="60"/>
        <v>62.5</v>
      </c>
    </row>
    <row r="1885" spans="6:9">
      <c r="F1885" s="12" t="str">
        <f>Absolute_Scores!F1885</f>
        <v>@nurfadillahh_3</v>
      </c>
      <c r="G1885" s="12" t="str">
        <f>Absolute_Scores!G1885</f>
        <v>Instagram</v>
      </c>
      <c r="H1885" s="29">
        <f>Absolute_Scores!I1885</f>
        <v>50</v>
      </c>
      <c r="I1885" s="30">
        <f t="shared" si="60"/>
        <v>62.5</v>
      </c>
    </row>
    <row r="1886" spans="6:9">
      <c r="F1886" s="12" t="str">
        <f>Absolute_Scores!F1886</f>
        <v>@nurilfarida_</v>
      </c>
      <c r="G1886" s="12" t="str">
        <f>Absolute_Scores!G1886</f>
        <v>Instagram</v>
      </c>
      <c r="H1886" s="29">
        <f>Absolute_Scores!I1886</f>
        <v>50</v>
      </c>
      <c r="I1886" s="30">
        <f t="shared" si="60"/>
        <v>62.5</v>
      </c>
    </row>
    <row r="1887" spans="6:9">
      <c r="F1887" s="12" t="str">
        <f>Absolute_Scores!F1887</f>
        <v>@nurirrahmah_nst</v>
      </c>
      <c r="G1887" s="12" t="str">
        <f>Absolute_Scores!G1887</f>
        <v>Instagram</v>
      </c>
      <c r="H1887" s="29">
        <f>Absolute_Scores!I1887</f>
        <v>50</v>
      </c>
      <c r="I1887" s="30">
        <f t="shared" si="60"/>
        <v>62.5</v>
      </c>
    </row>
    <row r="1888" spans="6:9">
      <c r="F1888" s="12" t="str">
        <f>Absolute_Scores!F1888</f>
        <v>@nurjanah_adiba17</v>
      </c>
      <c r="G1888" s="12" t="str">
        <f>Absolute_Scores!G1888</f>
        <v>Instagram</v>
      </c>
      <c r="H1888" s="29">
        <f>Absolute_Scores!I1888</f>
        <v>50</v>
      </c>
      <c r="I1888" s="30">
        <f t="shared" si="60"/>
        <v>62.5</v>
      </c>
    </row>
    <row r="1889" spans="6:9">
      <c r="F1889" s="12" t="str">
        <f>Absolute_Scores!F1889</f>
        <v>@nurkomala_s14</v>
      </c>
      <c r="G1889" s="12" t="str">
        <f>Absolute_Scores!G1889</f>
        <v>Instagram</v>
      </c>
      <c r="H1889" s="29">
        <f>Absolute_Scores!I1889</f>
        <v>50</v>
      </c>
      <c r="I1889" s="30">
        <f t="shared" si="60"/>
        <v>62.5</v>
      </c>
    </row>
    <row r="1890" spans="6:9">
      <c r="F1890" s="12" t="str">
        <f>Absolute_Scores!F1890</f>
        <v>@nurmeyuliai94</v>
      </c>
      <c r="G1890" s="12" t="str">
        <f>Absolute_Scores!G1890</f>
        <v>Instagram</v>
      </c>
      <c r="H1890" s="29">
        <f>Absolute_Scores!I1890</f>
        <v>50</v>
      </c>
      <c r="I1890" s="30">
        <f t="shared" si="60"/>
        <v>62.5</v>
      </c>
    </row>
    <row r="1891" spans="6:9">
      <c r="F1891" s="12" t="str">
        <f>Absolute_Scores!F1891</f>
        <v>@nurul_ikra</v>
      </c>
      <c r="G1891" s="12" t="str">
        <f>Absolute_Scores!G1891</f>
        <v>Instagram</v>
      </c>
      <c r="H1891" s="29">
        <f>Absolute_Scores!I1891</f>
        <v>50</v>
      </c>
      <c r="I1891" s="30">
        <f t="shared" si="60"/>
        <v>62.5</v>
      </c>
    </row>
    <row r="1892" spans="6:9">
      <c r="F1892" s="12" t="str">
        <f>Absolute_Scores!F1892</f>
        <v>@nurul.adila__</v>
      </c>
      <c r="G1892" s="12" t="str">
        <f>Absolute_Scores!G1892</f>
        <v>Instagram</v>
      </c>
      <c r="H1892" s="29">
        <f>Absolute_Scores!I1892</f>
        <v>50</v>
      </c>
      <c r="I1892" s="30">
        <f t="shared" si="60"/>
        <v>62.5</v>
      </c>
    </row>
    <row r="1893" spans="6:9">
      <c r="F1893" s="12" t="str">
        <f>Absolute_Scores!F1893</f>
        <v>@nuruladds</v>
      </c>
      <c r="G1893" s="12" t="str">
        <f>Absolute_Scores!G1893</f>
        <v>TikTok</v>
      </c>
      <c r="H1893" s="29">
        <f>Absolute_Scores!I1893</f>
        <v>50</v>
      </c>
      <c r="I1893" s="30">
        <f t="shared" si="60"/>
        <v>62.5</v>
      </c>
    </row>
    <row r="1894" spans="6:9">
      <c r="F1894" s="12" t="str">
        <f>Absolute_Scores!F1894</f>
        <v>@nurulafrinaapt</v>
      </c>
      <c r="G1894" s="12" t="str">
        <f>Absolute_Scores!G1894</f>
        <v>Instagram</v>
      </c>
      <c r="H1894" s="29">
        <f>Absolute_Scores!I1894</f>
        <v>50</v>
      </c>
      <c r="I1894" s="30">
        <f t="shared" si="60"/>
        <v>62.5</v>
      </c>
    </row>
    <row r="1895" spans="6:9">
      <c r="F1895" s="12" t="str">
        <f>Absolute_Scores!F1895</f>
        <v>@nurulhikmahn_</v>
      </c>
      <c r="G1895" s="12" t="str">
        <f>Absolute_Scores!G1895</f>
        <v>Instagram</v>
      </c>
      <c r="H1895" s="29">
        <f>Absolute_Scores!I1895</f>
        <v>50</v>
      </c>
      <c r="I1895" s="30">
        <f t="shared" si="60"/>
        <v>62.5</v>
      </c>
    </row>
    <row r="1896" spans="6:9">
      <c r="F1896" s="12" t="str">
        <f>Absolute_Scores!F1896</f>
        <v>@nurulmahfudhotin</v>
      </c>
      <c r="G1896" s="12" t="str">
        <f>Absolute_Scores!G1896</f>
        <v>Instagram</v>
      </c>
      <c r="H1896" s="29">
        <f>Absolute_Scores!I1896</f>
        <v>50</v>
      </c>
      <c r="I1896" s="30">
        <f t="shared" si="60"/>
        <v>62.5</v>
      </c>
    </row>
    <row r="1897" spans="6:9">
      <c r="F1897" s="12" t="str">
        <f>Absolute_Scores!F1897</f>
        <v>@nurulsafitri3982</v>
      </c>
      <c r="G1897" s="12" t="str">
        <f>Absolute_Scores!G1897</f>
        <v>Instagram</v>
      </c>
      <c r="H1897" s="29">
        <f>Absolute_Scores!I1897</f>
        <v>50</v>
      </c>
      <c r="I1897" s="30">
        <f t="shared" si="60"/>
        <v>62.5</v>
      </c>
    </row>
    <row r="1898" spans="6:9">
      <c r="F1898" s="12" t="str">
        <f>Absolute_Scores!F1898</f>
        <v>@nurulumayahs_</v>
      </c>
      <c r="G1898" s="12" t="str">
        <f>Absolute_Scores!G1898</f>
        <v>Instagram</v>
      </c>
      <c r="H1898" s="29">
        <f>Absolute_Scores!I1898</f>
        <v>50</v>
      </c>
      <c r="I1898" s="30">
        <f t="shared" si="60"/>
        <v>62.5</v>
      </c>
    </row>
    <row r="1899" spans="6:9">
      <c r="F1899" s="12" t="str">
        <f>Absolute_Scores!F1899</f>
        <v>@nuryani.tri_dn</v>
      </c>
      <c r="G1899" s="12" t="str">
        <f>Absolute_Scores!G1899</f>
        <v>Instagram</v>
      </c>
      <c r="H1899" s="29">
        <f>Absolute_Scores!I1899</f>
        <v>50</v>
      </c>
      <c r="I1899" s="30">
        <f t="shared" si="60"/>
        <v>62.5</v>
      </c>
    </row>
    <row r="1900" spans="6:9">
      <c r="F1900" s="12" t="str">
        <f>Absolute_Scores!F1900</f>
        <v>@nutri.jilie</v>
      </c>
      <c r="G1900" s="12" t="str">
        <f>Absolute_Scores!G1900</f>
        <v>TikTok</v>
      </c>
      <c r="H1900" s="29">
        <f>Absolute_Scores!I1900</f>
        <v>50</v>
      </c>
      <c r="I1900" s="30">
        <f t="shared" si="60"/>
        <v>62.5</v>
      </c>
    </row>
    <row r="1901" spans="6:9">
      <c r="F1901" s="12" t="str">
        <f>Absolute_Scores!F1901</f>
        <v>@nyakizza</v>
      </c>
      <c r="G1901" s="12" t="str">
        <f>Absolute_Scores!G1901</f>
        <v>Instagram</v>
      </c>
      <c r="H1901" s="29">
        <f>Absolute_Scores!I1901</f>
        <v>50</v>
      </c>
      <c r="I1901" s="30">
        <f t="shared" si="60"/>
        <v>62.5</v>
      </c>
    </row>
    <row r="1902" spans="6:9">
      <c r="F1902" s="12" t="str">
        <f>Absolute_Scores!F1902</f>
        <v>@nyk_mlg</v>
      </c>
      <c r="G1902" s="12" t="str">
        <f>Absolute_Scores!G1902</f>
        <v>Instagram</v>
      </c>
      <c r="H1902" s="29">
        <f>Absolute_Scores!I1902</f>
        <v>50</v>
      </c>
      <c r="I1902" s="30">
        <f t="shared" si="60"/>
        <v>62.5</v>
      </c>
    </row>
    <row r="1903" spans="6:9">
      <c r="F1903" s="12" t="str">
        <f>Absolute_Scores!F1903</f>
        <v>@nyndooo</v>
      </c>
      <c r="G1903" s="12" t="str">
        <f>Absolute_Scores!G1903</f>
        <v>Instagram</v>
      </c>
      <c r="H1903" s="29">
        <f>Absolute_Scores!I1903</f>
        <v>50</v>
      </c>
      <c r="I1903" s="30">
        <f t="shared" si="60"/>
        <v>62.5</v>
      </c>
    </row>
    <row r="1904" spans="6:9">
      <c r="F1904" s="12" t="str">
        <f>Absolute_Scores!F1904</f>
        <v>@nyok_elen</v>
      </c>
      <c r="G1904" s="12" t="str">
        <f>Absolute_Scores!G1904</f>
        <v>TikTok</v>
      </c>
      <c r="H1904" s="29">
        <f>Absolute_Scores!I1904</f>
        <v>50</v>
      </c>
      <c r="I1904" s="30">
        <f t="shared" si="60"/>
        <v>62.5</v>
      </c>
    </row>
    <row r="1905" spans="6:9">
      <c r="F1905" s="12" t="str">
        <f>Absolute_Scores!F1905</f>
        <v>@oceanasky_</v>
      </c>
      <c r="G1905" s="12" t="str">
        <f>Absolute_Scores!G1905</f>
        <v>TikTok</v>
      </c>
      <c r="H1905" s="29">
        <f>Absolute_Scores!I1905</f>
        <v>50</v>
      </c>
      <c r="I1905" s="30">
        <f t="shared" si="60"/>
        <v>62.5</v>
      </c>
    </row>
    <row r="1906" spans="6:9">
      <c r="F1906" s="12" t="str">
        <f>Absolute_Scores!F1906</f>
        <v>@octafinda</v>
      </c>
      <c r="G1906" s="12" t="str">
        <f>Absolute_Scores!G1906</f>
        <v>Instagram</v>
      </c>
      <c r="H1906" s="29">
        <f>Absolute_Scores!I1906</f>
        <v>50</v>
      </c>
      <c r="I1906" s="30">
        <f t="shared" si="60"/>
        <v>62.5</v>
      </c>
    </row>
    <row r="1907" spans="6:9">
      <c r="F1907" s="12" t="str">
        <f>Absolute_Scores!F1907</f>
        <v>@odikabayu</v>
      </c>
      <c r="G1907" s="12" t="str">
        <f>Absolute_Scores!G1907</f>
        <v>TikTok</v>
      </c>
      <c r="H1907" s="29">
        <f>Absolute_Scores!I1907</f>
        <v>50</v>
      </c>
      <c r="I1907" s="30">
        <f t="shared" si="60"/>
        <v>62.5</v>
      </c>
    </row>
    <row r="1908" spans="6:9">
      <c r="F1908" s="12" t="str">
        <f>Absolute_Scores!F1908</f>
        <v>@ohipaipa</v>
      </c>
      <c r="G1908" s="12" t="str">
        <f>Absolute_Scores!G1908</f>
        <v>Instagram</v>
      </c>
      <c r="H1908" s="29">
        <f>Absolute_Scores!I1908</f>
        <v>50</v>
      </c>
      <c r="I1908" s="30">
        <f t="shared" si="60"/>
        <v>62.5</v>
      </c>
    </row>
    <row r="1909" spans="6:9">
      <c r="F1909" s="12" t="str">
        <f>Absolute_Scores!F1909</f>
        <v>@oktadanik</v>
      </c>
      <c r="G1909" s="12" t="str">
        <f>Absolute_Scores!G1909</f>
        <v>TikTok</v>
      </c>
      <c r="H1909" s="29">
        <f>Absolute_Scores!I1909</f>
        <v>50</v>
      </c>
      <c r="I1909" s="30">
        <f t="shared" si="60"/>
        <v>62.5</v>
      </c>
    </row>
    <row r="1910" spans="6:9">
      <c r="F1910" s="12" t="str">
        <f>Absolute_Scores!F1910</f>
        <v>@oktavialaw</v>
      </c>
      <c r="G1910" s="12" t="str">
        <f>Absolute_Scores!G1910</f>
        <v>TikTok</v>
      </c>
      <c r="H1910" s="29">
        <f>Absolute_Scores!I1910</f>
        <v>50</v>
      </c>
      <c r="I1910" s="30">
        <f t="shared" si="60"/>
        <v>62.5</v>
      </c>
    </row>
    <row r="1911" spans="6:9">
      <c r="F1911" s="12" t="str">
        <f>Absolute_Scores!F1911</f>
        <v>@oktosiagian</v>
      </c>
      <c r="G1911" s="12" t="str">
        <f>Absolute_Scores!G1911</f>
        <v>Instagram</v>
      </c>
      <c r="H1911" s="29">
        <f>Absolute_Scores!I1911</f>
        <v>50</v>
      </c>
      <c r="I1911" s="30">
        <f t="shared" si="60"/>
        <v>62.5</v>
      </c>
    </row>
    <row r="1912" spans="6:9">
      <c r="F1912" s="12" t="str">
        <f>Absolute_Scores!F1912</f>
        <v>@olgazebrinaa</v>
      </c>
      <c r="G1912" s="12" t="str">
        <f>Absolute_Scores!G1912</f>
        <v>Instagram</v>
      </c>
      <c r="H1912" s="29">
        <f>Absolute_Scores!I1912</f>
        <v>50</v>
      </c>
      <c r="I1912" s="30">
        <f t="shared" si="60"/>
        <v>62.5</v>
      </c>
    </row>
    <row r="1913" spans="6:9">
      <c r="F1913" s="12" t="str">
        <f>Absolute_Scores!F1913</f>
        <v>@oliphyo</v>
      </c>
      <c r="G1913" s="12" t="str">
        <f>Absolute_Scores!G1913</f>
        <v>TikTok</v>
      </c>
      <c r="H1913" s="29">
        <f>Absolute_Scores!I1913</f>
        <v>50</v>
      </c>
      <c r="I1913" s="30">
        <f t="shared" si="60"/>
        <v>62.5</v>
      </c>
    </row>
    <row r="1914" spans="6:9">
      <c r="F1914" s="12" t="str">
        <f>Absolute_Scores!F1914</f>
        <v>@oliverjane</v>
      </c>
      <c r="G1914" s="12" t="str">
        <f>Absolute_Scores!G1914</f>
        <v>TikTok</v>
      </c>
      <c r="H1914" s="29">
        <f>Absolute_Scores!I1914</f>
        <v>50</v>
      </c>
      <c r="I1914" s="30">
        <f t="shared" si="60"/>
        <v>62.5</v>
      </c>
    </row>
    <row r="1915" spans="6:9">
      <c r="F1915" s="12" t="str">
        <f>Absolute_Scores!F1915</f>
        <v>@olivesuryanto</v>
      </c>
      <c r="G1915" s="12" t="str">
        <f>Absolute_Scores!G1915</f>
        <v>Instagram</v>
      </c>
      <c r="H1915" s="29">
        <f>Absolute_Scores!I1915</f>
        <v>50</v>
      </c>
      <c r="I1915" s="30">
        <f t="shared" si="60"/>
        <v>62.5</v>
      </c>
    </row>
    <row r="1916" spans="6:9">
      <c r="F1916" s="12" t="str">
        <f>Absolute_Scores!F1916</f>
        <v>@olliveeikaaa</v>
      </c>
      <c r="G1916" s="12" t="str">
        <f>Absolute_Scores!G1916</f>
        <v>Instagram</v>
      </c>
      <c r="H1916" s="29">
        <f>Absolute_Scores!I1916</f>
        <v>50</v>
      </c>
      <c r="I1916" s="30">
        <f t="shared" si="60"/>
        <v>62.5</v>
      </c>
    </row>
    <row r="1917" spans="6:9">
      <c r="F1917" s="12" t="str">
        <f>Absolute_Scores!F1917</f>
        <v>@ollskull</v>
      </c>
      <c r="G1917" s="12" t="str">
        <f>Absolute_Scores!G1917</f>
        <v>TikTok</v>
      </c>
      <c r="H1917" s="29">
        <f>Absolute_Scores!I1917</f>
        <v>50</v>
      </c>
      <c r="I1917" s="30">
        <f t="shared" si="60"/>
        <v>62.5</v>
      </c>
    </row>
    <row r="1918" spans="6:9">
      <c r="F1918" s="12" t="str">
        <f>Absolute_Scores!F1918</f>
        <v>@olviapp</v>
      </c>
      <c r="G1918" s="12" t="str">
        <f>Absolute_Scores!G1918</f>
        <v>TikTok</v>
      </c>
      <c r="H1918" s="29">
        <f>Absolute_Scores!I1918</f>
        <v>50</v>
      </c>
      <c r="I1918" s="30">
        <f t="shared" si="60"/>
        <v>62.5</v>
      </c>
    </row>
    <row r="1919" spans="6:9">
      <c r="F1919" s="12" t="str">
        <f>Absolute_Scores!F1919</f>
        <v>@onedinda</v>
      </c>
      <c r="G1919" s="12" t="str">
        <f>Absolute_Scores!G1919</f>
        <v>TikTok</v>
      </c>
      <c r="H1919" s="29">
        <f>Absolute_Scores!I1919</f>
        <v>50</v>
      </c>
      <c r="I1919" s="30">
        <f t="shared" si="60"/>
        <v>62.5</v>
      </c>
    </row>
    <row r="1920" spans="6:9">
      <c r="F1920" s="12" t="str">
        <f>Absolute_Scores!F1920</f>
        <v>@onie_callista</v>
      </c>
      <c r="G1920" s="12" t="str">
        <f>Absolute_Scores!G1920</f>
        <v>Instagram</v>
      </c>
      <c r="H1920" s="29">
        <f>Absolute_Scores!I1920</f>
        <v>50</v>
      </c>
      <c r="I1920" s="30">
        <f t="shared" si="60"/>
        <v>62.5</v>
      </c>
    </row>
    <row r="1921" spans="6:9">
      <c r="F1921" s="12" t="str">
        <f>Absolute_Scores!F1921</f>
        <v>@opakaefsi</v>
      </c>
      <c r="G1921" s="12" t="str">
        <f>Absolute_Scores!G1921</f>
        <v>TikTok</v>
      </c>
      <c r="H1921" s="29">
        <f>Absolute_Scores!I1921</f>
        <v>50</v>
      </c>
      <c r="I1921" s="30">
        <f t="shared" si="60"/>
        <v>62.5</v>
      </c>
    </row>
    <row r="1922" spans="6:9">
      <c r="F1922" s="12" t="str">
        <f>Absolute_Scores!F1922</f>
        <v>@oppieaulia</v>
      </c>
      <c r="G1922" s="12" t="str">
        <f>Absolute_Scores!G1922</f>
        <v>Instagram</v>
      </c>
      <c r="H1922" s="29">
        <f>Absolute_Scores!I1922</f>
        <v>50</v>
      </c>
      <c r="I1922" s="30">
        <f t="shared" si="60"/>
        <v>62.5</v>
      </c>
    </row>
    <row r="1923" spans="6:9">
      <c r="F1923" s="12" t="str">
        <f>Absolute_Scores!F1923</f>
        <v>@orandm</v>
      </c>
      <c r="G1923" s="12" t="str">
        <f>Absolute_Scores!G1923</f>
        <v>TikTok</v>
      </c>
      <c r="H1923" s="29">
        <f>Absolute_Scores!I1923</f>
        <v>50</v>
      </c>
      <c r="I1923" s="30">
        <f t="shared" si="60"/>
        <v>62.5</v>
      </c>
    </row>
    <row r="1924" spans="6:9">
      <c r="F1924" s="12" t="str">
        <f>Absolute_Scores!F1924</f>
        <v>@oryzaaaaaf</v>
      </c>
      <c r="G1924" s="12" t="str">
        <f>Absolute_Scores!G1924</f>
        <v>TikTok</v>
      </c>
      <c r="H1924" s="29">
        <f>Absolute_Scores!I1924</f>
        <v>50</v>
      </c>
      <c r="I1924" s="30">
        <f t="shared" si="60"/>
        <v>62.5</v>
      </c>
    </row>
    <row r="1925" spans="6:9">
      <c r="F1925" s="12" t="str">
        <f>Absolute_Scores!F1925</f>
        <v>@othersideofcaroline</v>
      </c>
      <c r="G1925" s="12" t="str">
        <f>Absolute_Scores!G1925</f>
        <v>TikTok</v>
      </c>
      <c r="H1925" s="29">
        <f>Absolute_Scores!I1925</f>
        <v>50</v>
      </c>
      <c r="I1925" s="30">
        <f t="shared" si="60"/>
        <v>62.5</v>
      </c>
    </row>
    <row r="1926" spans="6:9">
      <c r="F1926" s="12" t="str">
        <f>Absolute_Scores!F1926</f>
        <v>@oubreyauliaa</v>
      </c>
      <c r="G1926" s="12" t="str">
        <f>Absolute_Scores!G1926</f>
        <v>TikTok</v>
      </c>
      <c r="H1926" s="29">
        <f>Absolute_Scores!I1926</f>
        <v>50</v>
      </c>
      <c r="I1926" s="30">
        <f t="shared" ref="I1926:I1989" si="61">ROUND(H1926/$I$4*100,2)</f>
        <v>62.5</v>
      </c>
    </row>
    <row r="1927" spans="6:9">
      <c r="F1927" s="12" t="str">
        <f>Absolute_Scores!F1927</f>
        <v>@outbrakeid</v>
      </c>
      <c r="G1927" s="12" t="str">
        <f>Absolute_Scores!G1927</f>
        <v>Instagram</v>
      </c>
      <c r="H1927" s="29">
        <f>Absolute_Scores!I1927</f>
        <v>50</v>
      </c>
      <c r="I1927" s="30">
        <f t="shared" si="61"/>
        <v>62.5</v>
      </c>
    </row>
    <row r="1928" spans="6:9">
      <c r="F1928" s="12" t="str">
        <f>Absolute_Scores!F1928</f>
        <v>@ovi_roro</v>
      </c>
      <c r="G1928" s="12" t="str">
        <f>Absolute_Scores!G1928</f>
        <v>Instagram</v>
      </c>
      <c r="H1928" s="29">
        <f>Absolute_Scores!I1928</f>
        <v>50</v>
      </c>
      <c r="I1928" s="30">
        <f t="shared" si="61"/>
        <v>62.5</v>
      </c>
    </row>
    <row r="1929" spans="6:9">
      <c r="F1929" s="12" t="str">
        <f>Absolute_Scores!F1929</f>
        <v>@ovierestii</v>
      </c>
      <c r="G1929" s="12" t="str">
        <f>Absolute_Scores!G1929</f>
        <v>Instagram</v>
      </c>
      <c r="H1929" s="29">
        <f>Absolute_Scores!I1929</f>
        <v>50</v>
      </c>
      <c r="I1929" s="30">
        <f t="shared" si="61"/>
        <v>62.5</v>
      </c>
    </row>
    <row r="1930" spans="6:9">
      <c r="F1930" s="12" t="str">
        <f>Absolute_Scores!F1930</f>
        <v>@ovilia_dht</v>
      </c>
      <c r="G1930" s="12" t="str">
        <f>Absolute_Scores!G1930</f>
        <v>Instagram</v>
      </c>
      <c r="H1930" s="29">
        <f>Absolute_Scores!I1930</f>
        <v>50</v>
      </c>
      <c r="I1930" s="30">
        <f t="shared" si="61"/>
        <v>62.5</v>
      </c>
    </row>
    <row r="1931" spans="6:9">
      <c r="F1931" s="12" t="str">
        <f>Absolute_Scores!F1931</f>
        <v>@ovillaasdha</v>
      </c>
      <c r="G1931" s="12" t="str">
        <f>Absolute_Scores!G1931</f>
        <v>Instagram</v>
      </c>
      <c r="H1931" s="29">
        <f>Absolute_Scores!I1931</f>
        <v>50</v>
      </c>
      <c r="I1931" s="30">
        <f t="shared" si="61"/>
        <v>62.5</v>
      </c>
    </row>
    <row r="1932" spans="6:9">
      <c r="F1932" s="12" t="str">
        <f>Absolute_Scores!F1932</f>
        <v>@pacarkamuinii</v>
      </c>
      <c r="G1932" s="12" t="str">
        <f>Absolute_Scores!G1932</f>
        <v>TikTok</v>
      </c>
      <c r="H1932" s="29">
        <f>Absolute_Scores!I1932</f>
        <v>50</v>
      </c>
      <c r="I1932" s="30">
        <f t="shared" si="61"/>
        <v>62.5</v>
      </c>
    </row>
    <row r="1933" spans="6:9">
      <c r="F1933" s="12" t="str">
        <f>Absolute_Scores!F1933</f>
        <v>@pacarwooseok_oppa</v>
      </c>
      <c r="G1933" s="12" t="str">
        <f>Absolute_Scores!G1933</f>
        <v>TikTok</v>
      </c>
      <c r="H1933" s="29">
        <f>Absolute_Scores!I1933</f>
        <v>50</v>
      </c>
      <c r="I1933" s="30">
        <f t="shared" si="61"/>
        <v>62.5</v>
      </c>
    </row>
    <row r="1934" spans="6:9">
      <c r="F1934" s="12" t="str">
        <f>Absolute_Scores!F1934</f>
        <v>@padeendul</v>
      </c>
      <c r="G1934" s="12" t="str">
        <f>Absolute_Scores!G1934</f>
        <v>TikTok</v>
      </c>
      <c r="H1934" s="29">
        <f>Absolute_Scores!I1934</f>
        <v>50</v>
      </c>
      <c r="I1934" s="30">
        <f t="shared" si="61"/>
        <v>62.5</v>
      </c>
    </row>
    <row r="1935" spans="6:9">
      <c r="F1935" s="12" t="str">
        <f>Absolute_Scores!F1935</f>
        <v>@pamelaigann</v>
      </c>
      <c r="G1935" s="12" t="str">
        <f>Absolute_Scores!G1935</f>
        <v>TikTok</v>
      </c>
      <c r="H1935" s="29">
        <f>Absolute_Scores!I1935</f>
        <v>50</v>
      </c>
      <c r="I1935" s="30">
        <f t="shared" si="61"/>
        <v>62.5</v>
      </c>
    </row>
    <row r="1936" spans="6:9">
      <c r="F1936" s="12" t="str">
        <f>Absolute_Scores!F1936</f>
        <v>@panjijawara</v>
      </c>
      <c r="G1936" s="12" t="str">
        <f>Absolute_Scores!G1936</f>
        <v>TikTok</v>
      </c>
      <c r="H1936" s="29">
        <f>Absolute_Scores!I1936</f>
        <v>50</v>
      </c>
      <c r="I1936" s="30">
        <f t="shared" si="61"/>
        <v>62.5</v>
      </c>
    </row>
    <row r="1937" spans="6:9">
      <c r="F1937" s="12" t="str">
        <f>Absolute_Scores!F1937</f>
        <v>@paperflower_bylita</v>
      </c>
      <c r="G1937" s="12" t="str">
        <f>Absolute_Scores!G1937</f>
        <v>TikTok</v>
      </c>
      <c r="H1937" s="29">
        <f>Absolute_Scores!I1937</f>
        <v>50</v>
      </c>
      <c r="I1937" s="30">
        <f t="shared" si="61"/>
        <v>62.5</v>
      </c>
    </row>
    <row r="1938" spans="6:9">
      <c r="F1938" s="12" t="str">
        <f>Absolute_Scores!F1938</f>
        <v>@parent.ina</v>
      </c>
      <c r="G1938" s="12" t="str">
        <f>Absolute_Scores!G1938</f>
        <v>Instagram</v>
      </c>
      <c r="H1938" s="29">
        <f>Absolute_Scores!I1938</f>
        <v>50</v>
      </c>
      <c r="I1938" s="30">
        <f t="shared" si="61"/>
        <v>62.5</v>
      </c>
    </row>
    <row r="1939" spans="6:9">
      <c r="F1939" s="12" t="str">
        <f>Absolute_Scores!F1939</f>
        <v>@parlybengkulu18</v>
      </c>
      <c r="G1939" s="12" t="str">
        <f>Absolute_Scores!G1939</f>
        <v>Instagram</v>
      </c>
      <c r="H1939" s="29">
        <f>Absolute_Scores!I1939</f>
        <v>50</v>
      </c>
      <c r="I1939" s="30">
        <f t="shared" si="61"/>
        <v>62.5</v>
      </c>
    </row>
    <row r="1940" spans="6:9">
      <c r="F1940" s="12" t="str">
        <f>Absolute_Scores!F1940</f>
        <v>@patrice_dmq2206</v>
      </c>
      <c r="G1940" s="12" t="str">
        <f>Absolute_Scores!G1940</f>
        <v>Instagram</v>
      </c>
      <c r="H1940" s="29">
        <f>Absolute_Scores!I1940</f>
        <v>50</v>
      </c>
      <c r="I1940" s="30">
        <f t="shared" si="61"/>
        <v>62.5</v>
      </c>
    </row>
    <row r="1941" spans="6:9">
      <c r="F1941" s="12" t="str">
        <f>Absolute_Scores!F1941</f>
        <v>@patricevianca</v>
      </c>
      <c r="G1941" s="12" t="str">
        <f>Absolute_Scores!G1941</f>
        <v>TikTok</v>
      </c>
      <c r="H1941" s="29">
        <f>Absolute_Scores!I1941</f>
        <v>50</v>
      </c>
      <c r="I1941" s="30">
        <f t="shared" si="61"/>
        <v>62.5</v>
      </c>
    </row>
    <row r="1942" spans="6:9">
      <c r="F1942" s="12" t="str">
        <f>Absolute_Scores!F1942</f>
        <v>@patrinevianca</v>
      </c>
      <c r="G1942" s="12" t="str">
        <f>Absolute_Scores!G1942</f>
        <v>TikTok</v>
      </c>
      <c r="H1942" s="29">
        <f>Absolute_Scores!I1942</f>
        <v>50</v>
      </c>
      <c r="I1942" s="30">
        <f t="shared" si="61"/>
        <v>62.5</v>
      </c>
    </row>
    <row r="1943" spans="6:9">
      <c r="F1943" s="12" t="str">
        <f>Absolute_Scores!F1943</f>
        <v>@pattygurlz</v>
      </c>
      <c r="G1943" s="12" t="str">
        <f>Absolute_Scores!G1943</f>
        <v>TikTok</v>
      </c>
      <c r="H1943" s="29">
        <f>Absolute_Scores!I1943</f>
        <v>50</v>
      </c>
      <c r="I1943" s="30">
        <f t="shared" si="61"/>
        <v>62.5</v>
      </c>
    </row>
    <row r="1944" spans="6:9">
      <c r="F1944" s="12" t="str">
        <f>Absolute_Scores!F1944</f>
        <v>@paulinekharisma</v>
      </c>
      <c r="G1944" s="12" t="str">
        <f>Absolute_Scores!G1944</f>
        <v>TikTok</v>
      </c>
      <c r="H1944" s="29">
        <f>Absolute_Scores!I1944</f>
        <v>50</v>
      </c>
      <c r="I1944" s="30">
        <f t="shared" si="61"/>
        <v>62.5</v>
      </c>
    </row>
    <row r="1945" spans="6:9">
      <c r="F1945" s="12" t="str">
        <f>Absolute_Scores!F1945</f>
        <v>@pawon_nia</v>
      </c>
      <c r="G1945" s="12" t="str">
        <f>Absolute_Scores!G1945</f>
        <v>Instagram</v>
      </c>
      <c r="H1945" s="29">
        <f>Absolute_Scores!I1945</f>
        <v>50</v>
      </c>
      <c r="I1945" s="30">
        <f t="shared" si="61"/>
        <v>62.5</v>
      </c>
    </row>
    <row r="1946" spans="6:9">
      <c r="F1946" s="12" t="str">
        <f>Absolute_Scores!F1946</f>
        <v>@payy______sya</v>
      </c>
      <c r="G1946" s="12" t="str">
        <f>Absolute_Scores!G1946</f>
        <v>TikTok</v>
      </c>
      <c r="H1946" s="29">
        <f>Absolute_Scores!I1946</f>
        <v>50</v>
      </c>
      <c r="I1946" s="30">
        <f t="shared" si="61"/>
        <v>62.5</v>
      </c>
    </row>
    <row r="1947" spans="6:9">
      <c r="F1947" s="12" t="str">
        <f>Absolute_Scores!F1947</f>
        <v>@pdx.kitty</v>
      </c>
      <c r="G1947" s="12" t="str">
        <f>Absolute_Scores!G1947</f>
        <v>Instagram</v>
      </c>
      <c r="H1947" s="29">
        <f>Absolute_Scores!I1947</f>
        <v>50</v>
      </c>
      <c r="I1947" s="30">
        <f t="shared" si="61"/>
        <v>62.5</v>
      </c>
    </row>
    <row r="1948" spans="6:9">
      <c r="F1948" s="12" t="str">
        <f>Absolute_Scores!F1948</f>
        <v>@peaceano</v>
      </c>
      <c r="G1948" s="12" t="str">
        <f>Absolute_Scores!G1948</f>
        <v>TikTok</v>
      </c>
      <c r="H1948" s="29">
        <f>Absolute_Scores!I1948</f>
        <v>50</v>
      </c>
      <c r="I1948" s="30">
        <f t="shared" si="61"/>
        <v>62.5</v>
      </c>
    </row>
    <row r="1949" spans="6:9">
      <c r="F1949" s="12" t="str">
        <f>Absolute_Scores!F1949</f>
        <v>@pemerela</v>
      </c>
      <c r="G1949" s="12" t="str">
        <f>Absolute_Scores!G1949</f>
        <v>Instagram</v>
      </c>
      <c r="H1949" s="29">
        <f>Absolute_Scores!I1949</f>
        <v>50</v>
      </c>
      <c r="I1949" s="30">
        <f t="shared" si="61"/>
        <v>62.5</v>
      </c>
    </row>
    <row r="1950" spans="6:9">
      <c r="F1950" s="12" t="str">
        <f>Absolute_Scores!F1950</f>
        <v>@pencildrwng</v>
      </c>
      <c r="G1950" s="12" t="str">
        <f>Absolute_Scores!G1950</f>
        <v>TikTok</v>
      </c>
      <c r="H1950" s="29">
        <f>Absolute_Scores!I1950</f>
        <v>50</v>
      </c>
      <c r="I1950" s="30">
        <f t="shared" si="61"/>
        <v>62.5</v>
      </c>
    </row>
    <row r="1951" spans="6:9">
      <c r="F1951" s="12" t="str">
        <f>Absolute_Scores!F1951</f>
        <v>@perdana.indra</v>
      </c>
      <c r="G1951" s="12" t="str">
        <f>Absolute_Scores!G1951</f>
        <v>TikTok</v>
      </c>
      <c r="H1951" s="29">
        <f>Absolute_Scores!I1951</f>
        <v>50</v>
      </c>
      <c r="I1951" s="30">
        <f t="shared" si="61"/>
        <v>62.5</v>
      </c>
    </row>
    <row r="1952" spans="6:9">
      <c r="F1952" s="12" t="str">
        <f>Absolute_Scores!F1952</f>
        <v>@pesimussel</v>
      </c>
      <c r="G1952" s="12" t="str">
        <f>Absolute_Scores!G1952</f>
        <v>TikTok</v>
      </c>
      <c r="H1952" s="29">
        <f>Absolute_Scores!I1952</f>
        <v>50</v>
      </c>
      <c r="I1952" s="30">
        <f t="shared" si="61"/>
        <v>62.5</v>
      </c>
    </row>
    <row r="1953" spans="6:9">
      <c r="F1953" s="12" t="str">
        <f>Absolute_Scores!F1953</f>
        <v>@petywulandari</v>
      </c>
      <c r="G1953" s="12" t="str">
        <f>Absolute_Scores!G1953</f>
        <v>Instagram</v>
      </c>
      <c r="H1953" s="29">
        <f>Absolute_Scores!I1953</f>
        <v>50</v>
      </c>
      <c r="I1953" s="30">
        <f t="shared" si="61"/>
        <v>62.5</v>
      </c>
    </row>
    <row r="1954" spans="6:9">
      <c r="F1954" s="12" t="str">
        <f>Absolute_Scores!F1954</f>
        <v>@phinadyaenggar</v>
      </c>
      <c r="G1954" s="12" t="str">
        <f>Absolute_Scores!G1954</f>
        <v>Instagram</v>
      </c>
      <c r="H1954" s="29">
        <f>Absolute_Scores!I1954</f>
        <v>50</v>
      </c>
      <c r="I1954" s="30">
        <f t="shared" si="61"/>
        <v>62.5</v>
      </c>
    </row>
    <row r="1955" spans="6:9">
      <c r="F1955" s="12" t="str">
        <f>Absolute_Scores!F1955</f>
        <v>@phoebevalentina</v>
      </c>
      <c r="G1955" s="12" t="str">
        <f>Absolute_Scores!G1955</f>
        <v>TikTok</v>
      </c>
      <c r="H1955" s="29">
        <f>Absolute_Scores!I1955</f>
        <v>50</v>
      </c>
      <c r="I1955" s="30">
        <f t="shared" si="61"/>
        <v>62.5</v>
      </c>
    </row>
    <row r="1956" spans="6:9">
      <c r="F1956" s="12" t="str">
        <f>Absolute_Scores!F1956</f>
        <v>@pi.pi.te</v>
      </c>
      <c r="G1956" s="12" t="str">
        <f>Absolute_Scores!G1956</f>
        <v>Instagram</v>
      </c>
      <c r="H1956" s="29">
        <f>Absolute_Scores!I1956</f>
        <v>50</v>
      </c>
      <c r="I1956" s="30">
        <f t="shared" si="61"/>
        <v>62.5</v>
      </c>
    </row>
    <row r="1957" spans="6:9">
      <c r="F1957" s="12" t="str">
        <f>Absolute_Scores!F1957</f>
        <v>@plumptolean</v>
      </c>
      <c r="G1957" s="12" t="str">
        <f>Absolute_Scores!G1957</f>
        <v>TikTok</v>
      </c>
      <c r="H1957" s="29">
        <f>Absolute_Scores!I1957</f>
        <v>50</v>
      </c>
      <c r="I1957" s="30">
        <f t="shared" si="61"/>
        <v>62.5</v>
      </c>
    </row>
    <row r="1958" spans="6:9">
      <c r="F1958" s="12" t="str">
        <f>Absolute_Scores!F1958</f>
        <v>@pluto0child</v>
      </c>
      <c r="G1958" s="12" t="str">
        <f>Absolute_Scores!G1958</f>
        <v>TikTok</v>
      </c>
      <c r="H1958" s="29">
        <f>Absolute_Scores!I1958</f>
        <v>50</v>
      </c>
      <c r="I1958" s="30">
        <f t="shared" si="61"/>
        <v>62.5</v>
      </c>
    </row>
    <row r="1959" spans="6:9">
      <c r="F1959" s="12" t="str">
        <f>Absolute_Scores!F1959</f>
        <v>@plxelqrte</v>
      </c>
      <c r="G1959" s="12" t="str">
        <f>Absolute_Scores!G1959</f>
        <v>TikTok</v>
      </c>
      <c r="H1959" s="29">
        <f>Absolute_Scores!I1959</f>
        <v>50</v>
      </c>
      <c r="I1959" s="30">
        <f t="shared" si="61"/>
        <v>62.5</v>
      </c>
    </row>
    <row r="1960" spans="6:9">
      <c r="F1960" s="12" t="str">
        <f>Absolute_Scores!F1960</f>
        <v>@pophaustic</v>
      </c>
      <c r="G1960" s="12" t="str">
        <f>Absolute_Scores!G1960</f>
        <v>TikTok</v>
      </c>
      <c r="H1960" s="29">
        <f>Absolute_Scores!I1960</f>
        <v>50</v>
      </c>
      <c r="I1960" s="30">
        <f t="shared" si="61"/>
        <v>62.5</v>
      </c>
    </row>
    <row r="1961" spans="6:9">
      <c r="F1961" s="12" t="str">
        <f>Absolute_Scores!F1961</f>
        <v>@pranastyaiqball</v>
      </c>
      <c r="G1961" s="12" t="str">
        <f>Absolute_Scores!G1961</f>
        <v>TikTok</v>
      </c>
      <c r="H1961" s="29">
        <f>Absolute_Scores!I1961</f>
        <v>50</v>
      </c>
      <c r="I1961" s="30">
        <f t="shared" si="61"/>
        <v>62.5</v>
      </c>
    </row>
    <row r="1962" spans="6:9">
      <c r="F1962" s="12" t="str">
        <f>Absolute_Scores!F1962</f>
        <v>@praserika2</v>
      </c>
      <c r="G1962" s="12" t="str">
        <f>Absolute_Scores!G1962</f>
        <v>TikTok</v>
      </c>
      <c r="H1962" s="29">
        <f>Absolute_Scores!I1962</f>
        <v>50</v>
      </c>
      <c r="I1962" s="30">
        <f t="shared" si="61"/>
        <v>62.5</v>
      </c>
    </row>
    <row r="1963" spans="6:9">
      <c r="F1963" s="12" t="str">
        <f>Absolute_Scores!F1963</f>
        <v>@pratiwi.ftry</v>
      </c>
      <c r="G1963" s="12" t="str">
        <f>Absolute_Scores!G1963</f>
        <v>Instagram</v>
      </c>
      <c r="H1963" s="29">
        <f>Absolute_Scores!I1963</f>
        <v>50</v>
      </c>
      <c r="I1963" s="30">
        <f t="shared" si="61"/>
        <v>62.5</v>
      </c>
    </row>
    <row r="1964" spans="6:9">
      <c r="F1964" s="12" t="str">
        <f>Absolute_Scores!F1964</f>
        <v>@pratiwidya_</v>
      </c>
      <c r="G1964" s="12" t="str">
        <f>Absolute_Scores!G1964</f>
        <v>TikTok</v>
      </c>
      <c r="H1964" s="29">
        <f>Absolute_Scores!I1964</f>
        <v>50</v>
      </c>
      <c r="I1964" s="30">
        <f t="shared" si="61"/>
        <v>62.5</v>
      </c>
    </row>
    <row r="1965" spans="6:9">
      <c r="F1965" s="12" t="str">
        <f>Absolute_Scores!F1965</f>
        <v>@prawindafitri</v>
      </c>
      <c r="G1965" s="12" t="str">
        <f>Absolute_Scores!G1965</f>
        <v>TikTok</v>
      </c>
      <c r="H1965" s="29">
        <f>Absolute_Scores!I1965</f>
        <v>50</v>
      </c>
      <c r="I1965" s="30">
        <f t="shared" si="61"/>
        <v>62.5</v>
      </c>
    </row>
    <row r="1966" spans="6:9">
      <c r="F1966" s="12" t="str">
        <f>Absolute_Scores!F1966</f>
        <v>@pricilia_micca</v>
      </c>
      <c r="G1966" s="12" t="str">
        <f>Absolute_Scores!G1966</f>
        <v>TikTok</v>
      </c>
      <c r="H1966" s="29">
        <f>Absolute_Scores!I1966</f>
        <v>50</v>
      </c>
      <c r="I1966" s="30">
        <f t="shared" si="61"/>
        <v>62.5</v>
      </c>
    </row>
    <row r="1967" spans="6:9">
      <c r="F1967" s="12" t="str">
        <f>Absolute_Scores!F1967</f>
        <v>@pridmagusti</v>
      </c>
      <c r="G1967" s="12" t="str">
        <f>Absolute_Scores!G1967</f>
        <v>Instagram</v>
      </c>
      <c r="H1967" s="29">
        <f>Absolute_Scores!I1967</f>
        <v>50</v>
      </c>
      <c r="I1967" s="30">
        <f t="shared" si="61"/>
        <v>62.5</v>
      </c>
    </row>
    <row r="1968" spans="6:9">
      <c r="F1968" s="12" t="str">
        <f>Absolute_Scores!F1968</f>
        <v>@primabaros</v>
      </c>
      <c r="G1968" s="12" t="str">
        <f>Absolute_Scores!G1968</f>
        <v>TikTok</v>
      </c>
      <c r="H1968" s="29">
        <f>Absolute_Scores!I1968</f>
        <v>50</v>
      </c>
      <c r="I1968" s="30">
        <f t="shared" si="61"/>
        <v>62.5</v>
      </c>
    </row>
    <row r="1969" spans="6:9">
      <c r="F1969" s="12" t="str">
        <f>Absolute_Scores!F1969</f>
        <v>@princes_clovenka</v>
      </c>
      <c r="G1969" s="12" t="str">
        <f>Absolute_Scores!G1969</f>
        <v>TikTok</v>
      </c>
      <c r="H1969" s="29">
        <f>Absolute_Scores!I1969</f>
        <v>50</v>
      </c>
      <c r="I1969" s="30">
        <f t="shared" si="61"/>
        <v>62.5</v>
      </c>
    </row>
    <row r="1970" spans="6:9">
      <c r="F1970" s="12" t="str">
        <f>Absolute_Scores!F1970</f>
        <v>@priscilla.wresty</v>
      </c>
      <c r="G1970" s="12" t="str">
        <f>Absolute_Scores!G1970</f>
        <v>TikTok</v>
      </c>
      <c r="H1970" s="29">
        <f>Absolute_Scores!I1970</f>
        <v>50</v>
      </c>
      <c r="I1970" s="30">
        <f t="shared" si="61"/>
        <v>62.5</v>
      </c>
    </row>
    <row r="1971" spans="6:9">
      <c r="F1971" s="12" t="str">
        <f>Absolute_Scores!F1971</f>
        <v>@priscillaraintung</v>
      </c>
      <c r="G1971" s="12" t="str">
        <f>Absolute_Scores!G1971</f>
        <v>Instagram</v>
      </c>
      <c r="H1971" s="29">
        <f>Absolute_Scores!I1971</f>
        <v>50</v>
      </c>
      <c r="I1971" s="30">
        <f t="shared" si="61"/>
        <v>62.5</v>
      </c>
    </row>
    <row r="1972" spans="6:9">
      <c r="F1972" s="12" t="str">
        <f>Absolute_Scores!F1972</f>
        <v>@priscillia_danillie18</v>
      </c>
      <c r="G1972" s="12" t="str">
        <f>Absolute_Scores!G1972</f>
        <v>Instagram</v>
      </c>
      <c r="H1972" s="29">
        <f>Absolute_Scores!I1972</f>
        <v>50</v>
      </c>
      <c r="I1972" s="30">
        <f t="shared" si="61"/>
        <v>62.5</v>
      </c>
    </row>
    <row r="1973" spans="6:9">
      <c r="F1973" s="12" t="str">
        <f>Absolute_Scores!F1973</f>
        <v>@priscufifuh</v>
      </c>
      <c r="G1973" s="12" t="str">
        <f>Absolute_Scores!G1973</f>
        <v>TikTok</v>
      </c>
      <c r="H1973" s="29">
        <f>Absolute_Scores!I1973</f>
        <v>50</v>
      </c>
      <c r="I1973" s="30">
        <f t="shared" si="61"/>
        <v>62.5</v>
      </c>
    </row>
    <row r="1974" spans="6:9">
      <c r="F1974" s="12" t="str">
        <f>Absolute_Scores!F1974</f>
        <v>@priska_christnova</v>
      </c>
      <c r="G1974" s="12" t="str">
        <f>Absolute_Scores!G1974</f>
        <v>TikTok</v>
      </c>
      <c r="H1974" s="29">
        <f>Absolute_Scores!I1974</f>
        <v>50</v>
      </c>
      <c r="I1974" s="30">
        <f t="shared" si="61"/>
        <v>62.5</v>
      </c>
    </row>
    <row r="1975" spans="6:9">
      <c r="F1975" s="12" t="str">
        <f>Absolute_Scores!F1975</f>
        <v>@prmswrijanii</v>
      </c>
      <c r="G1975" s="12" t="str">
        <f>Absolute_Scores!G1975</f>
        <v>TikTok</v>
      </c>
      <c r="H1975" s="29">
        <f>Absolute_Scores!I1975</f>
        <v>50</v>
      </c>
      <c r="I1975" s="30">
        <f t="shared" si="61"/>
        <v>62.5</v>
      </c>
    </row>
    <row r="1976" spans="6:9">
      <c r="F1976" s="12" t="str">
        <f>Absolute_Scores!F1976</f>
        <v>@proterinabati</v>
      </c>
      <c r="G1976" s="12" t="str">
        <f>Absolute_Scores!G1976</f>
        <v>TikTok</v>
      </c>
      <c r="H1976" s="29">
        <f>Absolute_Scores!I1976</f>
        <v>50</v>
      </c>
      <c r="I1976" s="30">
        <f t="shared" si="61"/>
        <v>62.5</v>
      </c>
    </row>
    <row r="1977" spans="6:9">
      <c r="F1977" s="12" t="str">
        <f>Absolute_Scores!F1977</f>
        <v>@prscllseira</v>
      </c>
      <c r="G1977" s="12" t="str">
        <f>Absolute_Scores!G1977</f>
        <v>TikTok</v>
      </c>
      <c r="H1977" s="29">
        <f>Absolute_Scores!I1977</f>
        <v>50</v>
      </c>
      <c r="I1977" s="30">
        <f t="shared" si="61"/>
        <v>62.5</v>
      </c>
    </row>
    <row r="1978" spans="6:9">
      <c r="F1978" s="12" t="str">
        <f>Absolute_Scores!F1978</f>
        <v>@prudenceangl</v>
      </c>
      <c r="G1978" s="12" t="str">
        <f>Absolute_Scores!G1978</f>
        <v>TikTok</v>
      </c>
      <c r="H1978" s="29">
        <f>Absolute_Scores!I1978</f>
        <v>50</v>
      </c>
      <c r="I1978" s="30">
        <f t="shared" si="61"/>
        <v>62.5</v>
      </c>
    </row>
    <row r="1979" spans="6:9">
      <c r="F1979" s="12" t="str">
        <f>Absolute_Scores!F1979</f>
        <v>@ptr_mayangg</v>
      </c>
      <c r="G1979" s="12" t="str">
        <f>Absolute_Scores!G1979</f>
        <v>TikTok</v>
      </c>
      <c r="H1979" s="29">
        <f>Absolute_Scores!I1979</f>
        <v>50</v>
      </c>
      <c r="I1979" s="30">
        <f t="shared" si="61"/>
        <v>62.5</v>
      </c>
    </row>
    <row r="1980" spans="6:9">
      <c r="F1980" s="12" t="str">
        <f>Absolute_Scores!F1980</f>
        <v>@ptramrqz_</v>
      </c>
      <c r="G1980" s="12" t="str">
        <f>Absolute_Scores!G1980</f>
        <v>TikTok</v>
      </c>
      <c r="H1980" s="29">
        <f>Absolute_Scores!I1980</f>
        <v>50</v>
      </c>
      <c r="I1980" s="30">
        <f t="shared" si="61"/>
        <v>62.5</v>
      </c>
    </row>
    <row r="1981" spans="6:9">
      <c r="F1981" s="12" t="str">
        <f>Absolute_Scores!F1981</f>
        <v>@pu.put6683</v>
      </c>
      <c r="G1981" s="12" t="str">
        <f>Absolute_Scores!G1981</f>
        <v>Instagram</v>
      </c>
      <c r="H1981" s="29">
        <f>Absolute_Scores!I1981</f>
        <v>50</v>
      </c>
      <c r="I1981" s="30">
        <f t="shared" si="61"/>
        <v>62.5</v>
      </c>
    </row>
    <row r="1982" spans="6:9">
      <c r="F1982" s="12" t="str">
        <f>Absolute_Scores!F1982</f>
        <v>@puahsitistory</v>
      </c>
      <c r="G1982" s="12" t="str">
        <f>Absolute_Scores!G1982</f>
        <v>TikTok</v>
      </c>
      <c r="H1982" s="29">
        <f>Absolute_Scores!I1982</f>
        <v>50</v>
      </c>
      <c r="I1982" s="30">
        <f t="shared" si="61"/>
        <v>62.5</v>
      </c>
    </row>
    <row r="1983" spans="6:9">
      <c r="F1983" s="12" t="str">
        <f>Absolute_Scores!F1983</f>
        <v>@pungkydp17</v>
      </c>
      <c r="G1983" s="12" t="str">
        <f>Absolute_Scores!G1983</f>
        <v>TikTok</v>
      </c>
      <c r="H1983" s="29">
        <f>Absolute_Scores!I1983</f>
        <v>50</v>
      </c>
      <c r="I1983" s="30">
        <f t="shared" si="61"/>
        <v>62.5</v>
      </c>
    </row>
    <row r="1984" spans="6:9">
      <c r="F1984" s="12" t="str">
        <f>Absolute_Scores!F1984</f>
        <v>@puputrimakeup</v>
      </c>
      <c r="G1984" s="12" t="str">
        <f>Absolute_Scores!G1984</f>
        <v>Instagram</v>
      </c>
      <c r="H1984" s="29">
        <f>Absolute_Scores!I1984</f>
        <v>50</v>
      </c>
      <c r="I1984" s="30">
        <f t="shared" si="61"/>
        <v>62.5</v>
      </c>
    </row>
    <row r="1985" spans="6:9">
      <c r="F1985" s="12" t="str">
        <f>Absolute_Scores!F1985</f>
        <v>@pupuyeng_</v>
      </c>
      <c r="G1985" s="12" t="str">
        <f>Absolute_Scores!G1985</f>
        <v>TikTok</v>
      </c>
      <c r="H1985" s="29">
        <f>Absolute_Scores!I1985</f>
        <v>50</v>
      </c>
      <c r="I1985" s="30">
        <f t="shared" si="61"/>
        <v>62.5</v>
      </c>
    </row>
    <row r="1986" spans="6:9">
      <c r="F1986" s="12" t="str">
        <f>Absolute_Scores!F1986</f>
        <v>@purplelithaass</v>
      </c>
      <c r="G1986" s="12" t="str">
        <f>Absolute_Scores!G1986</f>
        <v>TikTok</v>
      </c>
      <c r="H1986" s="29">
        <f>Absolute_Scores!I1986</f>
        <v>50</v>
      </c>
      <c r="I1986" s="30">
        <f t="shared" si="61"/>
        <v>62.5</v>
      </c>
    </row>
    <row r="1987" spans="6:9">
      <c r="F1987" s="12" t="str">
        <f>Absolute_Scores!F1987</f>
        <v>@puspitajati</v>
      </c>
      <c r="G1987" s="12" t="str">
        <f>Absolute_Scores!G1987</f>
        <v>TikTok</v>
      </c>
      <c r="H1987" s="29">
        <f>Absolute_Scores!I1987</f>
        <v>50</v>
      </c>
      <c r="I1987" s="30">
        <f t="shared" si="61"/>
        <v>62.5</v>
      </c>
    </row>
    <row r="1988" spans="6:9">
      <c r="F1988" s="12" t="str">
        <f>Absolute_Scores!F1988</f>
        <v>@puspitawulandari88</v>
      </c>
      <c r="G1988" s="12" t="str">
        <f>Absolute_Scores!G1988</f>
        <v>Instagram</v>
      </c>
      <c r="H1988" s="29">
        <f>Absolute_Scores!I1988</f>
        <v>50</v>
      </c>
      <c r="I1988" s="30">
        <f t="shared" si="61"/>
        <v>62.5</v>
      </c>
    </row>
    <row r="1989" spans="6:9">
      <c r="F1989" s="12" t="str">
        <f>Absolute_Scores!F1989</f>
        <v>@puspitayusari</v>
      </c>
      <c r="G1989" s="12" t="str">
        <f>Absolute_Scores!G1989</f>
        <v>Instagram</v>
      </c>
      <c r="H1989" s="29">
        <f>Absolute_Scores!I1989</f>
        <v>50</v>
      </c>
      <c r="I1989" s="30">
        <f t="shared" si="61"/>
        <v>62.5</v>
      </c>
    </row>
    <row r="1990" spans="6:9">
      <c r="F1990" s="12" t="str">
        <f>Absolute_Scores!F1990</f>
        <v>@putcorn</v>
      </c>
      <c r="G1990" s="12" t="str">
        <f>Absolute_Scores!G1990</f>
        <v>TikTok</v>
      </c>
      <c r="H1990" s="29">
        <f>Absolute_Scores!I1990</f>
        <v>50</v>
      </c>
      <c r="I1990" s="30">
        <f t="shared" ref="I1990:I2053" si="62">ROUND(H1990/$I$4*100,2)</f>
        <v>62.5</v>
      </c>
    </row>
    <row r="1991" spans="6:9">
      <c r="F1991" s="12" t="str">
        <f>Absolute_Scores!F1991</f>
        <v>@puteriersa</v>
      </c>
      <c r="G1991" s="12" t="str">
        <f>Absolute_Scores!G1991</f>
        <v>TikTok</v>
      </c>
      <c r="H1991" s="29">
        <f>Absolute_Scores!I1991</f>
        <v>50</v>
      </c>
      <c r="I1991" s="30">
        <f t="shared" si="62"/>
        <v>62.5</v>
      </c>
    </row>
    <row r="1992" spans="6:9">
      <c r="F1992" s="12" t="str">
        <f>Absolute_Scores!F1992</f>
        <v>@putherikhan2805</v>
      </c>
      <c r="G1992" s="12" t="str">
        <f>Absolute_Scores!G1992</f>
        <v>Instagram</v>
      </c>
      <c r="H1992" s="29">
        <f>Absolute_Scores!I1992</f>
        <v>50</v>
      </c>
      <c r="I1992" s="30">
        <f t="shared" si="62"/>
        <v>62.5</v>
      </c>
    </row>
    <row r="1993" spans="6:9">
      <c r="F1993" s="12" t="str">
        <f>Absolute_Scores!F1993</f>
        <v>@putrakangkuk</v>
      </c>
      <c r="G1993" s="12" t="str">
        <f>Absolute_Scores!G1993</f>
        <v>Instagram</v>
      </c>
      <c r="H1993" s="29">
        <f>Absolute_Scores!I1993</f>
        <v>50</v>
      </c>
      <c r="I1993" s="30">
        <f t="shared" si="62"/>
        <v>62.5</v>
      </c>
    </row>
    <row r="1994" spans="6:9">
      <c r="F1994" s="12" t="str">
        <f>Absolute_Scores!F1994</f>
        <v>@putramangaraja</v>
      </c>
      <c r="G1994" s="12" t="str">
        <f>Absolute_Scores!G1994</f>
        <v>TikTok</v>
      </c>
      <c r="H1994" s="29">
        <f>Absolute_Scores!I1994</f>
        <v>50</v>
      </c>
      <c r="I1994" s="30">
        <f t="shared" si="62"/>
        <v>62.5</v>
      </c>
    </row>
    <row r="1995" spans="6:9">
      <c r="F1995" s="12" t="str">
        <f>Absolute_Scores!F1995</f>
        <v>@putriaasyy</v>
      </c>
      <c r="G1995" s="12" t="str">
        <f>Absolute_Scores!G1995</f>
        <v>TikTok</v>
      </c>
      <c r="H1995" s="29">
        <f>Absolute_Scores!I1995</f>
        <v>50</v>
      </c>
      <c r="I1995" s="30">
        <f t="shared" si="62"/>
        <v>62.5</v>
      </c>
    </row>
    <row r="1996" spans="6:9">
      <c r="F1996" s="12" t="str">
        <f>Absolute_Scores!F1996</f>
        <v>@putriandezta</v>
      </c>
      <c r="G1996" s="12" t="str">
        <f>Absolute_Scores!G1996</f>
        <v>Instagram</v>
      </c>
      <c r="H1996" s="29">
        <f>Absolute_Scores!I1996</f>
        <v>50</v>
      </c>
      <c r="I1996" s="30">
        <f t="shared" si="62"/>
        <v>62.5</v>
      </c>
    </row>
    <row r="1997" spans="6:9">
      <c r="F1997" s="12" t="str">
        <f>Absolute_Scores!F1997</f>
        <v>@putriduyung14</v>
      </c>
      <c r="G1997" s="12" t="str">
        <f>Absolute_Scores!G1997</f>
        <v>TikTok</v>
      </c>
      <c r="H1997" s="29">
        <f>Absolute_Scores!I1997</f>
        <v>50</v>
      </c>
      <c r="I1997" s="30">
        <f t="shared" si="62"/>
        <v>62.5</v>
      </c>
    </row>
    <row r="1998" spans="6:9">
      <c r="F1998" s="12" t="str">
        <f>Absolute_Scores!F1998</f>
        <v>@putrii.apnd</v>
      </c>
      <c r="G1998" s="12" t="str">
        <f>Absolute_Scores!G1998</f>
        <v>Instagram</v>
      </c>
      <c r="H1998" s="29">
        <f>Absolute_Scores!I1998</f>
        <v>50</v>
      </c>
      <c r="I1998" s="30">
        <f t="shared" si="62"/>
        <v>62.5</v>
      </c>
    </row>
    <row r="1999" spans="6:9">
      <c r="F1999" s="12" t="str">
        <f>Absolute_Scores!F1999</f>
        <v>@putriiii_1709</v>
      </c>
      <c r="G1999" s="12" t="str">
        <f>Absolute_Scores!G1999</f>
        <v>Instagram</v>
      </c>
      <c r="H1999" s="29">
        <f>Absolute_Scores!I1999</f>
        <v>50</v>
      </c>
      <c r="I1999" s="30">
        <f t="shared" si="62"/>
        <v>62.5</v>
      </c>
    </row>
    <row r="2000" spans="6:9">
      <c r="F2000" s="12" t="str">
        <f>Absolute_Scores!F2000</f>
        <v>@putrimith</v>
      </c>
      <c r="G2000" s="12" t="str">
        <f>Absolute_Scores!G2000</f>
        <v>TikTok</v>
      </c>
      <c r="H2000" s="29">
        <f>Absolute_Scores!I2000</f>
        <v>50</v>
      </c>
      <c r="I2000" s="30">
        <f t="shared" si="62"/>
        <v>62.5</v>
      </c>
    </row>
    <row r="2001" spans="6:9">
      <c r="F2001" s="12" t="str">
        <f>Absolute_Scores!F2001</f>
        <v>@putrinurlaila96</v>
      </c>
      <c r="G2001" s="12" t="str">
        <f>Absolute_Scores!G2001</f>
        <v>Instagram</v>
      </c>
      <c r="H2001" s="29">
        <f>Absolute_Scores!I2001</f>
        <v>50</v>
      </c>
      <c r="I2001" s="30">
        <f t="shared" si="62"/>
        <v>62.5</v>
      </c>
    </row>
    <row r="2002" spans="6:9">
      <c r="F2002" s="12" t="str">
        <f>Absolute_Scores!F2002</f>
        <v>@putrinurwanti11</v>
      </c>
      <c r="G2002" s="12" t="str">
        <f>Absolute_Scores!G2002</f>
        <v>Instagram</v>
      </c>
      <c r="H2002" s="29">
        <f>Absolute_Scores!I2002</f>
        <v>50</v>
      </c>
      <c r="I2002" s="30">
        <f t="shared" si="62"/>
        <v>62.5</v>
      </c>
    </row>
    <row r="2003" spans="6:9">
      <c r="F2003" s="12" t="str">
        <f>Absolute_Scores!F2003</f>
        <v>@putrisarahsanly</v>
      </c>
      <c r="G2003" s="12" t="str">
        <f>Absolute_Scores!G2003</f>
        <v>TikTok</v>
      </c>
      <c r="H2003" s="29">
        <f>Absolute_Scores!I2003</f>
        <v>50</v>
      </c>
      <c r="I2003" s="30">
        <f t="shared" si="62"/>
        <v>62.5</v>
      </c>
    </row>
    <row r="2004" spans="6:9">
      <c r="F2004" s="12" t="str">
        <f>Absolute_Scores!F2004</f>
        <v>@putrynie</v>
      </c>
      <c r="G2004" s="12" t="str">
        <f>Absolute_Scores!G2004</f>
        <v>TikTok</v>
      </c>
      <c r="H2004" s="29">
        <f>Absolute_Scores!I2004</f>
        <v>50</v>
      </c>
      <c r="I2004" s="30">
        <f t="shared" si="62"/>
        <v>62.5</v>
      </c>
    </row>
    <row r="2005" spans="6:9">
      <c r="F2005" s="12" t="str">
        <f>Absolute_Scores!F2005</f>
        <v>@putskichu</v>
      </c>
      <c r="G2005" s="12" t="str">
        <f>Absolute_Scores!G2005</f>
        <v>Instagram</v>
      </c>
      <c r="H2005" s="29">
        <f>Absolute_Scores!I2005</f>
        <v>50</v>
      </c>
      <c r="I2005" s="30">
        <f t="shared" si="62"/>
        <v>62.5</v>
      </c>
    </row>
    <row r="2006" spans="6:9">
      <c r="F2006" s="12" t="str">
        <f>Absolute_Scores!F2006</f>
        <v>@puttri_joy</v>
      </c>
      <c r="G2006" s="12" t="str">
        <f>Absolute_Scores!G2006</f>
        <v>Instagram</v>
      </c>
      <c r="H2006" s="29">
        <f>Absolute_Scores!I2006</f>
        <v>50</v>
      </c>
      <c r="I2006" s="30">
        <f t="shared" si="62"/>
        <v>62.5</v>
      </c>
    </row>
    <row r="2007" spans="6:9">
      <c r="F2007" s="12" t="str">
        <f>Absolute_Scores!F2007</f>
        <v>@pylucious</v>
      </c>
      <c r="G2007" s="12" t="str">
        <f>Absolute_Scores!G2007</f>
        <v>TikTok</v>
      </c>
      <c r="H2007" s="29">
        <f>Absolute_Scores!I2007</f>
        <v>50</v>
      </c>
      <c r="I2007" s="30">
        <f t="shared" si="62"/>
        <v>62.5</v>
      </c>
    </row>
    <row r="2008" spans="6:9">
      <c r="F2008" s="12" t="str">
        <f>Absolute_Scores!F2008</f>
        <v>@qifa_r</v>
      </c>
      <c r="G2008" s="12" t="str">
        <f>Absolute_Scores!G2008</f>
        <v>TikTok</v>
      </c>
      <c r="H2008" s="29">
        <f>Absolute_Scores!I2008</f>
        <v>50</v>
      </c>
      <c r="I2008" s="30">
        <f t="shared" si="62"/>
        <v>62.5</v>
      </c>
    </row>
    <row r="2009" spans="6:9">
      <c r="F2009" s="12" t="str">
        <f>Absolute_Scores!F2009</f>
        <v>@qiminyoo</v>
      </c>
      <c r="G2009" s="12" t="str">
        <f>Absolute_Scores!G2009</f>
        <v>TikTok</v>
      </c>
      <c r="H2009" s="29">
        <f>Absolute_Scores!I2009</f>
        <v>50</v>
      </c>
      <c r="I2009" s="30">
        <f t="shared" si="62"/>
        <v>62.5</v>
      </c>
    </row>
    <row r="2010" spans="6:9">
      <c r="F2010" s="12" t="str">
        <f>Absolute_Scores!F2010</f>
        <v>@qonita.zh</v>
      </c>
      <c r="G2010" s="12" t="str">
        <f>Absolute_Scores!G2010</f>
        <v>Instagram</v>
      </c>
      <c r="H2010" s="29">
        <f>Absolute_Scores!I2010</f>
        <v>50</v>
      </c>
      <c r="I2010" s="30">
        <f t="shared" si="62"/>
        <v>62.5</v>
      </c>
    </row>
    <row r="2011" spans="6:9">
      <c r="F2011" s="12" t="str">
        <f>Absolute_Scores!F2011</f>
        <v>@qqdilla</v>
      </c>
      <c r="G2011" s="12" t="str">
        <f>Absolute_Scores!G2011</f>
        <v>Instagram</v>
      </c>
      <c r="H2011" s="29">
        <f>Absolute_Scores!I2011</f>
        <v>50</v>
      </c>
      <c r="I2011" s="30">
        <f t="shared" si="62"/>
        <v>62.5</v>
      </c>
    </row>
    <row r="2012" spans="6:9">
      <c r="F2012" s="12" t="str">
        <f>Absolute_Scores!F2012</f>
        <v>@queen_veeoliviaa</v>
      </c>
      <c r="G2012" s="12" t="str">
        <f>Absolute_Scores!G2012</f>
        <v>TikTok</v>
      </c>
      <c r="H2012" s="29">
        <f>Absolute_Scores!I2012</f>
        <v>50</v>
      </c>
      <c r="I2012" s="30">
        <f t="shared" si="62"/>
        <v>62.5</v>
      </c>
    </row>
    <row r="2013" spans="6:9">
      <c r="F2013" s="12" t="str">
        <f>Absolute_Scores!F2013</f>
        <v>@quinn.jiva</v>
      </c>
      <c r="G2013" s="12" t="str">
        <f>Absolute_Scores!G2013</f>
        <v>TikTok</v>
      </c>
      <c r="H2013" s="29">
        <f>Absolute_Scores!I2013</f>
        <v>50</v>
      </c>
      <c r="I2013" s="30">
        <f t="shared" si="62"/>
        <v>62.5</v>
      </c>
    </row>
    <row r="2014" spans="6:9">
      <c r="F2014" s="12" t="str">
        <f>Absolute_Scores!F2014</f>
        <v>@quinshakimora</v>
      </c>
      <c r="G2014" s="12" t="str">
        <f>Absolute_Scores!G2014</f>
        <v>Instagram</v>
      </c>
      <c r="H2014" s="29">
        <f>Absolute_Scores!I2014</f>
        <v>50</v>
      </c>
      <c r="I2014" s="30">
        <f t="shared" si="62"/>
        <v>62.5</v>
      </c>
    </row>
    <row r="2015" spans="6:9">
      <c r="F2015" s="12" t="str">
        <f>Absolute_Scores!F2015</f>
        <v>@r00fle</v>
      </c>
      <c r="G2015" s="12" t="str">
        <f>Absolute_Scores!G2015</f>
        <v>TikTok</v>
      </c>
      <c r="H2015" s="29">
        <f>Absolute_Scores!I2015</f>
        <v>50</v>
      </c>
      <c r="I2015" s="30">
        <f t="shared" si="62"/>
        <v>62.5</v>
      </c>
    </row>
    <row r="2016" spans="6:9">
      <c r="F2016" s="12" t="str">
        <f>Absolute_Scores!F2016</f>
        <v>@r12h05</v>
      </c>
      <c r="G2016" s="12" t="str">
        <f>Absolute_Scores!G2016</f>
        <v>TikTok</v>
      </c>
      <c r="H2016" s="29">
        <f>Absolute_Scores!I2016</f>
        <v>50</v>
      </c>
      <c r="I2016" s="30">
        <f t="shared" si="62"/>
        <v>62.5</v>
      </c>
    </row>
    <row r="2017" spans="6:9">
      <c r="F2017" s="12" t="str">
        <f>Absolute_Scores!F2017</f>
        <v>@racerlaoban</v>
      </c>
      <c r="G2017" s="12" t="str">
        <f>Absolute_Scores!G2017</f>
        <v>TikTok</v>
      </c>
      <c r="H2017" s="29">
        <f>Absolute_Scores!I2017</f>
        <v>50</v>
      </c>
      <c r="I2017" s="30">
        <f t="shared" si="62"/>
        <v>62.5</v>
      </c>
    </row>
    <row r="2018" spans="6:9">
      <c r="F2018" s="12" t="str">
        <f>Absolute_Scores!F2018</f>
        <v>@rachelfransiska7</v>
      </c>
      <c r="G2018" s="12" t="str">
        <f>Absolute_Scores!G2018</f>
        <v>Instagram</v>
      </c>
      <c r="H2018" s="29">
        <f>Absolute_Scores!I2018</f>
        <v>50</v>
      </c>
      <c r="I2018" s="30">
        <f t="shared" si="62"/>
        <v>62.5</v>
      </c>
    </row>
    <row r="2019" spans="6:9">
      <c r="F2019" s="12" t="str">
        <f>Absolute_Scores!F2019</f>
        <v>@rachelins11</v>
      </c>
      <c r="G2019" s="12" t="str">
        <f>Absolute_Scores!G2019</f>
        <v>TikTok</v>
      </c>
      <c r="H2019" s="29">
        <f>Absolute_Scores!I2019</f>
        <v>50</v>
      </c>
      <c r="I2019" s="30">
        <f t="shared" si="62"/>
        <v>62.5</v>
      </c>
    </row>
    <row r="2020" spans="6:9">
      <c r="F2020" s="12" t="str">
        <f>Absolute_Scores!F2020</f>
        <v>@racunwithdivani</v>
      </c>
      <c r="G2020" s="12" t="str">
        <f>Absolute_Scores!G2020</f>
        <v>TikTok</v>
      </c>
      <c r="H2020" s="29">
        <f>Absolute_Scores!I2020</f>
        <v>50</v>
      </c>
      <c r="I2020" s="30">
        <f t="shared" si="62"/>
        <v>62.5</v>
      </c>
    </row>
    <row r="2021" spans="6:9">
      <c r="F2021" s="12" t="str">
        <f>Absolute_Scores!F2021</f>
        <v>@racuuunwidya</v>
      </c>
      <c r="G2021" s="12" t="str">
        <f>Absolute_Scores!G2021</f>
        <v>TikTok</v>
      </c>
      <c r="H2021" s="29">
        <f>Absolute_Scores!I2021</f>
        <v>50</v>
      </c>
      <c r="I2021" s="30">
        <f t="shared" si="62"/>
        <v>62.5</v>
      </c>
    </row>
    <row r="2022" spans="6:9">
      <c r="F2022" s="12" t="str">
        <f>Absolute_Scores!F2022</f>
        <v>@radeis_mokoginta</v>
      </c>
      <c r="G2022" s="12" t="str">
        <f>Absolute_Scores!G2022</f>
        <v>Instagram</v>
      </c>
      <c r="H2022" s="29">
        <f>Absolute_Scores!I2022</f>
        <v>50</v>
      </c>
      <c r="I2022" s="30">
        <f t="shared" si="62"/>
        <v>62.5</v>
      </c>
    </row>
    <row r="2023" spans="6:9">
      <c r="F2023" s="12" t="str">
        <f>Absolute_Scores!F2023</f>
        <v>@radenajengagustina_</v>
      </c>
      <c r="G2023" s="12" t="str">
        <f>Absolute_Scores!G2023</f>
        <v>TikTok</v>
      </c>
      <c r="H2023" s="29">
        <f>Absolute_Scores!I2023</f>
        <v>50</v>
      </c>
      <c r="I2023" s="30">
        <f t="shared" si="62"/>
        <v>62.5</v>
      </c>
    </row>
    <row r="2024" spans="6:9">
      <c r="F2024" s="12" t="str">
        <f>Absolute_Scores!F2024</f>
        <v>@radintabtari</v>
      </c>
      <c r="G2024" s="12" t="str">
        <f>Absolute_Scores!G2024</f>
        <v>TikTok</v>
      </c>
      <c r="H2024" s="29">
        <f>Absolute_Scores!I2024</f>
        <v>50</v>
      </c>
      <c r="I2024" s="30">
        <f t="shared" si="62"/>
        <v>62.5</v>
      </c>
    </row>
    <row r="2025" spans="6:9">
      <c r="F2025" s="12" t="str">
        <f>Absolute_Scores!F2025</f>
        <v>@radofamily0504</v>
      </c>
      <c r="G2025" s="12" t="str">
        <f>Absolute_Scores!G2025</f>
        <v>Instagram</v>
      </c>
      <c r="H2025" s="29">
        <f>Absolute_Scores!I2025</f>
        <v>50</v>
      </c>
      <c r="I2025" s="30">
        <f t="shared" si="62"/>
        <v>62.5</v>
      </c>
    </row>
    <row r="2026" spans="6:9">
      <c r="F2026" s="12" t="str">
        <f>Absolute_Scores!F2026</f>
        <v>@raffattarrayyan</v>
      </c>
      <c r="G2026" s="12" t="str">
        <f>Absolute_Scores!G2026</f>
        <v>Instagram</v>
      </c>
      <c r="H2026" s="29">
        <f>Absolute_Scores!I2026</f>
        <v>50</v>
      </c>
      <c r="I2026" s="30">
        <f t="shared" si="62"/>
        <v>62.5</v>
      </c>
    </row>
    <row r="2027" spans="6:9">
      <c r="F2027" s="12" t="str">
        <f>Absolute_Scores!F2027</f>
        <v>@rafida_erwin</v>
      </c>
      <c r="G2027" s="12" t="str">
        <f>Absolute_Scores!G2027</f>
        <v>Instagram</v>
      </c>
      <c r="H2027" s="29">
        <f>Absolute_Scores!I2027</f>
        <v>50</v>
      </c>
      <c r="I2027" s="30">
        <f t="shared" si="62"/>
        <v>62.5</v>
      </c>
    </row>
    <row r="2028" spans="6:9">
      <c r="F2028" s="12" t="str">
        <f>Absolute_Scores!F2028</f>
        <v>@raflyfs7</v>
      </c>
      <c r="G2028" s="12" t="str">
        <f>Absolute_Scores!G2028</f>
        <v>TikTok</v>
      </c>
      <c r="H2028" s="29">
        <f>Absolute_Scores!I2028</f>
        <v>50</v>
      </c>
      <c r="I2028" s="30">
        <f t="shared" si="62"/>
        <v>62.5</v>
      </c>
    </row>
    <row r="2029" spans="6:9">
      <c r="F2029" s="12" t="str">
        <f>Absolute_Scores!F2029</f>
        <v>@rahadianfaqih</v>
      </c>
      <c r="G2029" s="12" t="str">
        <f>Absolute_Scores!G2029</f>
        <v>TikTok</v>
      </c>
      <c r="H2029" s="29">
        <f>Absolute_Scores!I2029</f>
        <v>50</v>
      </c>
      <c r="I2029" s="30">
        <f t="shared" si="62"/>
        <v>62.5</v>
      </c>
    </row>
    <row r="2030" spans="6:9">
      <c r="F2030" s="12" t="str">
        <f>Absolute_Scores!F2030</f>
        <v>@rahimmahs</v>
      </c>
      <c r="G2030" s="12" t="str">
        <f>Absolute_Scores!G2030</f>
        <v>TikTok</v>
      </c>
      <c r="H2030" s="29">
        <f>Absolute_Scores!I2030</f>
        <v>50</v>
      </c>
      <c r="I2030" s="30">
        <f t="shared" si="62"/>
        <v>62.5</v>
      </c>
    </row>
    <row r="2031" spans="6:9">
      <c r="F2031" s="12" t="str">
        <f>Absolute_Scores!F2031</f>
        <v>@rahmadani_safitri13</v>
      </c>
      <c r="G2031" s="12" t="str">
        <f>Absolute_Scores!G2031</f>
        <v>Instagram</v>
      </c>
      <c r="H2031" s="29">
        <f>Absolute_Scores!I2031</f>
        <v>50</v>
      </c>
      <c r="I2031" s="30">
        <f t="shared" si="62"/>
        <v>62.5</v>
      </c>
    </row>
    <row r="2032" spans="6:9">
      <c r="F2032" s="12" t="str">
        <f>Absolute_Scores!F2032</f>
        <v>@rahman_nur77</v>
      </c>
      <c r="G2032" s="12" t="str">
        <f>Absolute_Scores!G2032</f>
        <v>Instagram</v>
      </c>
      <c r="H2032" s="29">
        <f>Absolute_Scores!I2032</f>
        <v>50</v>
      </c>
      <c r="I2032" s="30">
        <f t="shared" si="62"/>
        <v>62.5</v>
      </c>
    </row>
    <row r="2033" spans="6:9">
      <c r="F2033" s="12" t="str">
        <f>Absolute_Scores!F2033</f>
        <v>@rahmandaps</v>
      </c>
      <c r="G2033" s="12" t="str">
        <f>Absolute_Scores!G2033</f>
        <v>Instagram</v>
      </c>
      <c r="H2033" s="29">
        <f>Absolute_Scores!I2033</f>
        <v>50</v>
      </c>
      <c r="I2033" s="30">
        <f t="shared" si="62"/>
        <v>62.5</v>
      </c>
    </row>
    <row r="2034" spans="6:9">
      <c r="F2034" s="12" t="str">
        <f>Absolute_Scores!F2034</f>
        <v>@rahmaniakwb</v>
      </c>
      <c r="G2034" s="12" t="str">
        <f>Absolute_Scores!G2034</f>
        <v>Instagram</v>
      </c>
      <c r="H2034" s="29">
        <f>Absolute_Scores!I2034</f>
        <v>50</v>
      </c>
      <c r="I2034" s="30">
        <f t="shared" si="62"/>
        <v>62.5</v>
      </c>
    </row>
    <row r="2035" spans="6:9">
      <c r="F2035" s="12" t="str">
        <f>Absolute_Scores!F2035</f>
        <v>@rahmasulis__</v>
      </c>
      <c r="G2035" s="12" t="str">
        <f>Absolute_Scores!G2035</f>
        <v>Instagram</v>
      </c>
      <c r="H2035" s="29">
        <f>Absolute_Scores!I2035</f>
        <v>50</v>
      </c>
      <c r="I2035" s="30">
        <f t="shared" si="62"/>
        <v>62.5</v>
      </c>
    </row>
    <row r="2036" spans="6:9">
      <c r="F2036" s="12" t="str">
        <f>Absolute_Scores!F2036</f>
        <v>@rahmicahyasarii</v>
      </c>
      <c r="G2036" s="12" t="str">
        <f>Absolute_Scores!G2036</f>
        <v>TikTok</v>
      </c>
      <c r="H2036" s="29">
        <f>Absolute_Scores!I2036</f>
        <v>50</v>
      </c>
      <c r="I2036" s="30">
        <f t="shared" si="62"/>
        <v>62.5</v>
      </c>
    </row>
    <row r="2037" spans="6:9">
      <c r="F2037" s="12" t="str">
        <f>Absolute_Scores!F2037</f>
        <v>@raihandwindra</v>
      </c>
      <c r="G2037" s="12" t="str">
        <f>Absolute_Scores!G2037</f>
        <v>TikTok</v>
      </c>
      <c r="H2037" s="29">
        <f>Absolute_Scores!I2037</f>
        <v>50</v>
      </c>
      <c r="I2037" s="30">
        <f t="shared" si="62"/>
        <v>62.5</v>
      </c>
    </row>
    <row r="2038" spans="6:9">
      <c r="F2038" s="12" t="str">
        <f>Absolute_Scores!F2038</f>
        <v>@rainaaaa02</v>
      </c>
      <c r="G2038" s="12" t="str">
        <f>Absolute_Scores!G2038</f>
        <v>TikTok</v>
      </c>
      <c r="H2038" s="29">
        <f>Absolute_Scores!I2038</f>
        <v>50</v>
      </c>
      <c r="I2038" s="30">
        <f t="shared" si="62"/>
        <v>62.5</v>
      </c>
    </row>
    <row r="2039" spans="6:9">
      <c r="F2039" s="12" t="str">
        <f>Absolute_Scores!F2039</f>
        <v>@rainaomi.alesha.mashel</v>
      </c>
      <c r="G2039" s="12" t="str">
        <f>Absolute_Scores!G2039</f>
        <v>Instagram</v>
      </c>
      <c r="H2039" s="29">
        <f>Absolute_Scores!I2039</f>
        <v>50</v>
      </c>
      <c r="I2039" s="30">
        <f t="shared" si="62"/>
        <v>62.5</v>
      </c>
    </row>
    <row r="2040" spans="6:9">
      <c r="F2040" s="12" t="str">
        <f>Absolute_Scores!F2040</f>
        <v>@raindahmaydna</v>
      </c>
      <c r="G2040" s="12" t="str">
        <f>Absolute_Scores!G2040</f>
        <v>TikTok</v>
      </c>
      <c r="H2040" s="29">
        <f>Absolute_Scores!I2040</f>
        <v>50</v>
      </c>
      <c r="I2040" s="30">
        <f t="shared" si="62"/>
        <v>62.5</v>
      </c>
    </row>
    <row r="2041" spans="6:9">
      <c r="F2041" s="12" t="str">
        <f>Absolute_Scores!F2041</f>
        <v>@raisha.ar</v>
      </c>
      <c r="G2041" s="12" t="str">
        <f>Absolute_Scores!G2041</f>
        <v>TikTok</v>
      </c>
      <c r="H2041" s="29">
        <f>Absolute_Scores!I2041</f>
        <v>50</v>
      </c>
      <c r="I2041" s="30">
        <f t="shared" si="62"/>
        <v>62.5</v>
      </c>
    </row>
    <row r="2042" spans="6:9">
      <c r="F2042" s="12" t="str">
        <f>Absolute_Scores!F2042</f>
        <v>@raissanadia11</v>
      </c>
      <c r="G2042" s="12" t="str">
        <f>Absolute_Scores!G2042</f>
        <v>TikTok</v>
      </c>
      <c r="H2042" s="29">
        <f>Absolute_Scores!I2042</f>
        <v>50</v>
      </c>
      <c r="I2042" s="30">
        <f t="shared" si="62"/>
        <v>62.5</v>
      </c>
    </row>
    <row r="2043" spans="6:9">
      <c r="F2043" s="12" t="str">
        <f>Absolute_Scores!F2043</f>
        <v>@rakkazizz</v>
      </c>
      <c r="G2043" s="12" t="str">
        <f>Absolute_Scores!G2043</f>
        <v>TikTok</v>
      </c>
      <c r="H2043" s="29">
        <f>Absolute_Scores!I2043</f>
        <v>50</v>
      </c>
      <c r="I2043" s="30">
        <f t="shared" si="62"/>
        <v>62.5</v>
      </c>
    </row>
    <row r="2044" spans="6:9">
      <c r="F2044" s="12" t="str">
        <f>Absolute_Scores!F2044</f>
        <v>@ralpheugene15</v>
      </c>
      <c r="G2044" s="12" t="str">
        <f>Absolute_Scores!G2044</f>
        <v>TikTok</v>
      </c>
      <c r="H2044" s="29">
        <f>Absolute_Scores!I2044</f>
        <v>50</v>
      </c>
      <c r="I2044" s="30">
        <f t="shared" si="62"/>
        <v>62.5</v>
      </c>
    </row>
    <row r="2045" spans="6:9">
      <c r="F2045" s="12" t="str">
        <f>Absolute_Scores!F2045</f>
        <v>@ramadhan_sraj</v>
      </c>
      <c r="G2045" s="12" t="str">
        <f>Absolute_Scores!G2045</f>
        <v>Instagram</v>
      </c>
      <c r="H2045" s="29">
        <f>Absolute_Scores!I2045</f>
        <v>50</v>
      </c>
      <c r="I2045" s="30">
        <f t="shared" si="62"/>
        <v>62.5</v>
      </c>
    </row>
    <row r="2046" spans="6:9">
      <c r="F2046" s="12" t="str">
        <f>Absolute_Scores!F2046</f>
        <v>@ramadyah_ninik</v>
      </c>
      <c r="G2046" s="12" t="str">
        <f>Absolute_Scores!G2046</f>
        <v>Instagram</v>
      </c>
      <c r="H2046" s="29">
        <f>Absolute_Scores!I2046</f>
        <v>50</v>
      </c>
      <c r="I2046" s="30">
        <f t="shared" si="62"/>
        <v>62.5</v>
      </c>
    </row>
    <row r="2047" spans="6:9">
      <c r="F2047" s="12" t="str">
        <f>Absolute_Scores!F2047</f>
        <v>@ramorasya</v>
      </c>
      <c r="G2047" s="12" t="str">
        <f>Absolute_Scores!G2047</f>
        <v>TikTok</v>
      </c>
      <c r="H2047" s="29">
        <f>Absolute_Scores!I2047</f>
        <v>50</v>
      </c>
      <c r="I2047" s="30">
        <f t="shared" si="62"/>
        <v>62.5</v>
      </c>
    </row>
    <row r="2048" spans="6:9">
      <c r="F2048" s="12" t="str">
        <f>Absolute_Scores!F2048</f>
        <v>@ramzibayhaqie</v>
      </c>
      <c r="G2048" s="12" t="str">
        <f>Absolute_Scores!G2048</f>
        <v>TikTok</v>
      </c>
      <c r="H2048" s="29">
        <f>Absolute_Scores!I2048</f>
        <v>50</v>
      </c>
      <c r="I2048" s="30">
        <f t="shared" si="62"/>
        <v>62.5</v>
      </c>
    </row>
    <row r="2049" spans="6:9">
      <c r="F2049" s="12" t="str">
        <f>Absolute_Scores!F2049</f>
        <v>@rani_rifayati</v>
      </c>
      <c r="G2049" s="12" t="str">
        <f>Absolute_Scores!G2049</f>
        <v>Instagram</v>
      </c>
      <c r="H2049" s="29">
        <f>Absolute_Scores!I2049</f>
        <v>50</v>
      </c>
      <c r="I2049" s="30">
        <f t="shared" si="62"/>
        <v>62.5</v>
      </c>
    </row>
    <row r="2050" spans="6:9">
      <c r="F2050" s="12" t="str">
        <f>Absolute_Scores!F2050</f>
        <v>@raniaacantika</v>
      </c>
      <c r="G2050" s="12" t="str">
        <f>Absolute_Scores!G2050</f>
        <v>TikTok</v>
      </c>
      <c r="H2050" s="29">
        <f>Absolute_Scores!I2050</f>
        <v>50</v>
      </c>
      <c r="I2050" s="30">
        <f t="shared" si="62"/>
        <v>62.5</v>
      </c>
    </row>
    <row r="2051" spans="6:9">
      <c r="F2051" s="12" t="str">
        <f>Absolute_Scores!F2051</f>
        <v>@raniaayamin</v>
      </c>
      <c r="G2051" s="12" t="str">
        <f>Absolute_Scores!G2051</f>
        <v>Instagram</v>
      </c>
      <c r="H2051" s="29">
        <f>Absolute_Scores!I2051</f>
        <v>50</v>
      </c>
      <c r="I2051" s="30">
        <f t="shared" si="62"/>
        <v>62.5</v>
      </c>
    </row>
    <row r="2052" spans="6:9">
      <c r="F2052" s="12" t="str">
        <f>Absolute_Scores!F2052</f>
        <v>@raniahalaydroes</v>
      </c>
      <c r="G2052" s="12" t="str">
        <f>Absolute_Scores!G2052</f>
        <v>TikTok</v>
      </c>
      <c r="H2052" s="29">
        <f>Absolute_Scores!I2052</f>
        <v>50</v>
      </c>
      <c r="I2052" s="30">
        <f t="shared" si="62"/>
        <v>62.5</v>
      </c>
    </row>
    <row r="2053" spans="6:9">
      <c r="F2053" s="12" t="str">
        <f>Absolute_Scores!F2053</f>
        <v>@raniueow</v>
      </c>
      <c r="G2053" s="12" t="str">
        <f>Absolute_Scores!G2053</f>
        <v>Instagram</v>
      </c>
      <c r="H2053" s="29">
        <f>Absolute_Scores!I2053</f>
        <v>50</v>
      </c>
      <c r="I2053" s="30">
        <f t="shared" si="62"/>
        <v>62.5</v>
      </c>
    </row>
    <row r="2054" spans="6:9">
      <c r="F2054" s="12" t="str">
        <f>Absolute_Scores!F2054</f>
        <v>@raracellina</v>
      </c>
      <c r="G2054" s="12" t="str">
        <f>Absolute_Scores!G2054</f>
        <v>TikTok</v>
      </c>
      <c r="H2054" s="29">
        <f>Absolute_Scores!I2054</f>
        <v>50</v>
      </c>
      <c r="I2054" s="30">
        <f t="shared" ref="I2054:I2117" si="63">ROUND(H2054/$I$4*100,2)</f>
        <v>62.5</v>
      </c>
    </row>
    <row r="2055" spans="6:9">
      <c r="F2055" s="12" t="str">
        <f>Absolute_Scores!F2055</f>
        <v>@rarascitra</v>
      </c>
      <c r="G2055" s="12" t="str">
        <f>Absolute_Scores!G2055</f>
        <v>Instagram</v>
      </c>
      <c r="H2055" s="29">
        <f>Absolute_Scores!I2055</f>
        <v>50</v>
      </c>
      <c r="I2055" s="30">
        <f t="shared" si="63"/>
        <v>62.5</v>
      </c>
    </row>
    <row r="2056" spans="6:9">
      <c r="F2056" s="12" t="str">
        <f>Absolute_Scores!F2056</f>
        <v>@rashdamawn</v>
      </c>
      <c r="G2056" s="12" t="str">
        <f>Absolute_Scores!G2056</f>
        <v>Instagram</v>
      </c>
      <c r="H2056" s="29">
        <f>Absolute_Scores!I2056</f>
        <v>50</v>
      </c>
      <c r="I2056" s="30">
        <f t="shared" si="63"/>
        <v>62.5</v>
      </c>
    </row>
    <row r="2057" spans="6:9">
      <c r="F2057" s="12" t="str">
        <f>Absolute_Scores!F2057</f>
        <v>@ratich.palgunadi</v>
      </c>
      <c r="G2057" s="12" t="str">
        <f>Absolute_Scores!G2057</f>
        <v>TikTok</v>
      </c>
      <c r="H2057" s="29">
        <f>Absolute_Scores!I2057</f>
        <v>50</v>
      </c>
      <c r="I2057" s="30">
        <f t="shared" si="63"/>
        <v>62.5</v>
      </c>
    </row>
    <row r="2058" spans="6:9">
      <c r="F2058" s="12" t="str">
        <f>Absolute_Scores!F2058</f>
        <v>@ratih_putri0</v>
      </c>
      <c r="G2058" s="12" t="str">
        <f>Absolute_Scores!G2058</f>
        <v>TikTok</v>
      </c>
      <c r="H2058" s="29">
        <f>Absolute_Scores!I2058</f>
        <v>50</v>
      </c>
      <c r="I2058" s="30">
        <f t="shared" si="63"/>
        <v>62.5</v>
      </c>
    </row>
    <row r="2059" spans="6:9">
      <c r="F2059" s="12" t="str">
        <f>Absolute_Scores!F2059</f>
        <v>@ratih.diningsih</v>
      </c>
      <c r="G2059" s="12" t="str">
        <f>Absolute_Scores!G2059</f>
        <v>Instagram</v>
      </c>
      <c r="H2059" s="29">
        <f>Absolute_Scores!I2059</f>
        <v>50</v>
      </c>
      <c r="I2059" s="30">
        <f t="shared" si="63"/>
        <v>62.5</v>
      </c>
    </row>
    <row r="2060" spans="6:9">
      <c r="F2060" s="12" t="str">
        <f>Absolute_Scores!F2060</f>
        <v>@ratikaptri</v>
      </c>
      <c r="G2060" s="12" t="str">
        <f>Absolute_Scores!G2060</f>
        <v>TikTok</v>
      </c>
      <c r="H2060" s="29">
        <f>Absolute_Scores!I2060</f>
        <v>50</v>
      </c>
      <c r="I2060" s="30">
        <f t="shared" si="63"/>
        <v>62.5</v>
      </c>
    </row>
    <row r="2061" spans="6:9">
      <c r="F2061" s="12" t="str">
        <f>Absolute_Scores!F2061</f>
        <v>@ratna.kartiika</v>
      </c>
      <c r="G2061" s="12" t="str">
        <f>Absolute_Scores!G2061</f>
        <v>Instagram</v>
      </c>
      <c r="H2061" s="29">
        <f>Absolute_Scores!I2061</f>
        <v>50</v>
      </c>
      <c r="I2061" s="30">
        <f t="shared" si="63"/>
        <v>62.5</v>
      </c>
    </row>
    <row r="2062" spans="6:9">
      <c r="F2062" s="12" t="str">
        <f>Absolute_Scores!F2062</f>
        <v>@ratnasabilla</v>
      </c>
      <c r="G2062" s="12" t="str">
        <f>Absolute_Scores!G2062</f>
        <v>Instagram</v>
      </c>
      <c r="H2062" s="29">
        <f>Absolute_Scores!I2062</f>
        <v>50</v>
      </c>
      <c r="I2062" s="30">
        <f t="shared" si="63"/>
        <v>62.5</v>
      </c>
    </row>
    <row r="2063" spans="6:9">
      <c r="F2063" s="12" t="str">
        <f>Absolute_Scores!F2063</f>
        <v>@ratu.ghania</v>
      </c>
      <c r="G2063" s="12" t="str">
        <f>Absolute_Scores!G2063</f>
        <v>TikTok</v>
      </c>
      <c r="H2063" s="29">
        <f>Absolute_Scores!I2063</f>
        <v>50</v>
      </c>
      <c r="I2063" s="30">
        <f t="shared" si="63"/>
        <v>62.5</v>
      </c>
    </row>
    <row r="2064" spans="6:9">
      <c r="F2064" s="12" t="str">
        <f>Absolute_Scores!F2064</f>
        <v>@ratujesya</v>
      </c>
      <c r="G2064" s="12" t="str">
        <f>Absolute_Scores!G2064</f>
        <v>TikTok</v>
      </c>
      <c r="H2064" s="29">
        <f>Absolute_Scores!I2064</f>
        <v>50</v>
      </c>
      <c r="I2064" s="30">
        <f t="shared" si="63"/>
        <v>62.5</v>
      </c>
    </row>
    <row r="2065" spans="6:9">
      <c r="F2065" s="12" t="str">
        <f>Absolute_Scores!F2065</f>
        <v>@ratukachitaa</v>
      </c>
      <c r="G2065" s="12" t="str">
        <f>Absolute_Scores!G2065</f>
        <v>TikTok</v>
      </c>
      <c r="H2065" s="29">
        <f>Absolute_Scores!I2065</f>
        <v>50</v>
      </c>
      <c r="I2065" s="30">
        <f t="shared" si="63"/>
        <v>62.5</v>
      </c>
    </row>
    <row r="2066" spans="6:9">
      <c r="F2066" s="12" t="str">
        <f>Absolute_Scores!F2066</f>
        <v>@ratukusumaningrum</v>
      </c>
      <c r="G2066" s="12" t="str">
        <f>Absolute_Scores!G2066</f>
        <v>TikTok</v>
      </c>
      <c r="H2066" s="29">
        <f>Absolute_Scores!I2066</f>
        <v>50</v>
      </c>
      <c r="I2066" s="30">
        <f t="shared" si="63"/>
        <v>62.5</v>
      </c>
    </row>
    <row r="2067" spans="6:9">
      <c r="F2067" s="12" t="str">
        <f>Absolute_Scores!F2067</f>
        <v>@rauzyiranda</v>
      </c>
      <c r="G2067" s="12" t="str">
        <f>Absolute_Scores!G2067</f>
        <v>TikTok</v>
      </c>
      <c r="H2067" s="29">
        <f>Absolute_Scores!I2067</f>
        <v>50</v>
      </c>
      <c r="I2067" s="30">
        <f t="shared" si="63"/>
        <v>62.5</v>
      </c>
    </row>
    <row r="2068" spans="6:9">
      <c r="F2068" s="12" t="str">
        <f>Absolute_Scores!F2068</f>
        <v>@ravondra_asyam</v>
      </c>
      <c r="G2068" s="12" t="str">
        <f>Absolute_Scores!G2068</f>
        <v>Instagram</v>
      </c>
      <c r="H2068" s="29">
        <f>Absolute_Scores!I2068</f>
        <v>50</v>
      </c>
      <c r="I2068" s="30">
        <f t="shared" si="63"/>
        <v>62.5</v>
      </c>
    </row>
    <row r="2069" spans="6:9">
      <c r="F2069" s="12" t="str">
        <f>Absolute_Scores!F2069</f>
        <v>@ravuuunzel</v>
      </c>
      <c r="G2069" s="12" t="str">
        <f>Absolute_Scores!G2069</f>
        <v>TikTok</v>
      </c>
      <c r="H2069" s="29">
        <f>Absolute_Scores!I2069</f>
        <v>50</v>
      </c>
      <c r="I2069" s="30">
        <f t="shared" si="63"/>
        <v>62.5</v>
      </c>
    </row>
    <row r="2070" spans="6:9">
      <c r="F2070" s="12" t="str">
        <f>Absolute_Scores!F2070</f>
        <v>@raybel.14</v>
      </c>
      <c r="G2070" s="12" t="str">
        <f>Absolute_Scores!G2070</f>
        <v>TikTok</v>
      </c>
      <c r="H2070" s="29">
        <f>Absolute_Scores!I2070</f>
        <v>50</v>
      </c>
      <c r="I2070" s="30">
        <f t="shared" si="63"/>
        <v>62.5</v>
      </c>
    </row>
    <row r="2071" spans="6:9">
      <c r="F2071" s="12" t="str">
        <f>Absolute_Scores!F2071</f>
        <v>@raynaaptr_</v>
      </c>
      <c r="G2071" s="12" t="str">
        <f>Absolute_Scores!G2071</f>
        <v>TikTok</v>
      </c>
      <c r="H2071" s="29">
        <f>Absolute_Scores!I2071</f>
        <v>50</v>
      </c>
      <c r="I2071" s="30">
        <f t="shared" si="63"/>
        <v>62.5</v>
      </c>
    </row>
    <row r="2072" spans="6:9">
      <c r="F2072" s="12" t="str">
        <f>Absolute_Scores!F2072</f>
        <v>@raynaldowijaya</v>
      </c>
      <c r="G2072" s="12" t="str">
        <f>Absolute_Scores!G2072</f>
        <v>TikTok</v>
      </c>
      <c r="H2072" s="29">
        <f>Absolute_Scores!I2072</f>
        <v>50</v>
      </c>
      <c r="I2072" s="30">
        <f t="shared" si="63"/>
        <v>62.5</v>
      </c>
    </row>
    <row r="2073" spans="6:9">
      <c r="F2073" s="12" t="str">
        <f>Absolute_Scores!F2073</f>
        <v>@razanialsya</v>
      </c>
      <c r="G2073" s="12" t="str">
        <f>Absolute_Scores!G2073</f>
        <v>Instagram</v>
      </c>
      <c r="H2073" s="29">
        <f>Absolute_Scores!I2073</f>
        <v>50</v>
      </c>
      <c r="I2073" s="30">
        <f t="shared" si="63"/>
        <v>62.5</v>
      </c>
    </row>
    <row r="2074" spans="6:9">
      <c r="F2074" s="12" t="str">
        <f>Absolute_Scores!F2074</f>
        <v>@rcnsqrtyn</v>
      </c>
      <c r="G2074" s="12" t="str">
        <f>Absolute_Scores!G2074</f>
        <v>TikTok</v>
      </c>
      <c r="H2074" s="29">
        <f>Absolute_Scores!I2074</f>
        <v>50</v>
      </c>
      <c r="I2074" s="30">
        <f t="shared" si="63"/>
        <v>62.5</v>
      </c>
    </row>
    <row r="2075" spans="6:9">
      <c r="F2075" s="12" t="str">
        <f>Absolute_Scores!F2075</f>
        <v>@rdiaaan</v>
      </c>
      <c r="G2075" s="12" t="str">
        <f>Absolute_Scores!G2075</f>
        <v>TikTok</v>
      </c>
      <c r="H2075" s="29">
        <f>Absolute_Scores!I2075</f>
        <v>50</v>
      </c>
      <c r="I2075" s="30">
        <f t="shared" si="63"/>
        <v>62.5</v>
      </c>
    </row>
    <row r="2076" spans="6:9">
      <c r="F2076" s="12" t="str">
        <f>Absolute_Scores!F2076</f>
        <v>@rdnanik</v>
      </c>
      <c r="G2076" s="12" t="str">
        <f>Absolute_Scores!G2076</f>
        <v>TikTok</v>
      </c>
      <c r="H2076" s="29">
        <f>Absolute_Scores!I2076</f>
        <v>50</v>
      </c>
      <c r="I2076" s="30">
        <f t="shared" si="63"/>
        <v>62.5</v>
      </c>
    </row>
    <row r="2077" spans="6:9">
      <c r="F2077" s="12" t="str">
        <f>Absolute_Scores!F2077</f>
        <v>@reaaaulyh_</v>
      </c>
      <c r="G2077" s="12" t="str">
        <f>Absolute_Scores!G2077</f>
        <v>TikTok</v>
      </c>
      <c r="H2077" s="29">
        <f>Absolute_Scores!I2077</f>
        <v>50</v>
      </c>
      <c r="I2077" s="30">
        <f t="shared" si="63"/>
        <v>62.5</v>
      </c>
    </row>
    <row r="2078" spans="6:9">
      <c r="F2078" s="12" t="str">
        <f>Absolute_Scores!F2078</f>
        <v>@recepiforyouu</v>
      </c>
      <c r="G2078" s="12" t="str">
        <f>Absolute_Scores!G2078</f>
        <v>TikTok</v>
      </c>
      <c r="H2078" s="29">
        <f>Absolute_Scores!I2078</f>
        <v>50</v>
      </c>
      <c r="I2078" s="30">
        <f t="shared" si="63"/>
        <v>62.5</v>
      </c>
    </row>
    <row r="2079" spans="6:9">
      <c r="F2079" s="12" t="str">
        <f>Absolute_Scores!F2079</f>
        <v>@redjaramli19</v>
      </c>
      <c r="G2079" s="12" t="str">
        <f>Absolute_Scores!G2079</f>
        <v>TikTok</v>
      </c>
      <c r="H2079" s="29">
        <f>Absolute_Scores!I2079</f>
        <v>50</v>
      </c>
      <c r="I2079" s="30">
        <f t="shared" si="63"/>
        <v>62.5</v>
      </c>
    </row>
    <row r="2080" spans="6:9">
      <c r="F2080" s="12" t="str">
        <f>Absolute_Scores!F2080</f>
        <v>@regiinaaptr</v>
      </c>
      <c r="G2080" s="12" t="str">
        <f>Absolute_Scores!G2080</f>
        <v>Instagram</v>
      </c>
      <c r="H2080" s="29">
        <f>Absolute_Scores!I2080</f>
        <v>50</v>
      </c>
      <c r="I2080" s="30">
        <f t="shared" si="63"/>
        <v>62.5</v>
      </c>
    </row>
    <row r="2081" spans="6:9">
      <c r="F2081" s="12" t="str">
        <f>Absolute_Scores!F2081</f>
        <v>@regiitenk</v>
      </c>
      <c r="G2081" s="12" t="str">
        <f>Absolute_Scores!G2081</f>
        <v>TikTok</v>
      </c>
      <c r="H2081" s="29">
        <f>Absolute_Scores!I2081</f>
        <v>50</v>
      </c>
      <c r="I2081" s="30">
        <f t="shared" si="63"/>
        <v>62.5</v>
      </c>
    </row>
    <row r="2082" spans="6:9">
      <c r="F2082" s="12" t="str">
        <f>Absolute_Scores!F2082</f>
        <v>@regina_nugroho</v>
      </c>
      <c r="G2082" s="12" t="str">
        <f>Absolute_Scores!G2082</f>
        <v>Instagram</v>
      </c>
      <c r="H2082" s="29">
        <f>Absolute_Scores!I2082</f>
        <v>50</v>
      </c>
      <c r="I2082" s="30">
        <f t="shared" si="63"/>
        <v>62.5</v>
      </c>
    </row>
    <row r="2083" spans="6:9">
      <c r="F2083" s="12" t="str">
        <f>Absolute_Scores!F2083</f>
        <v>@regina.audrianov</v>
      </c>
      <c r="G2083" s="12" t="str">
        <f>Absolute_Scores!G2083</f>
        <v>Instagram</v>
      </c>
      <c r="H2083" s="29">
        <f>Absolute_Scores!I2083</f>
        <v>50</v>
      </c>
      <c r="I2083" s="30">
        <f t="shared" si="63"/>
        <v>62.5</v>
      </c>
    </row>
    <row r="2084" spans="6:9">
      <c r="F2084" s="12" t="str">
        <f>Absolute_Scores!F2084</f>
        <v>@regina.tanya</v>
      </c>
      <c r="G2084" s="12" t="str">
        <f>Absolute_Scores!G2084</f>
        <v>TikTok</v>
      </c>
      <c r="H2084" s="29">
        <f>Absolute_Scores!I2084</f>
        <v>50</v>
      </c>
      <c r="I2084" s="30">
        <f t="shared" si="63"/>
        <v>62.5</v>
      </c>
    </row>
    <row r="2085" spans="6:9">
      <c r="F2085" s="12" t="str">
        <f>Absolute_Scores!F2085</f>
        <v>@reginaayudita</v>
      </c>
      <c r="G2085" s="12" t="str">
        <f>Absolute_Scores!G2085</f>
        <v>Instagram</v>
      </c>
      <c r="H2085" s="29">
        <f>Absolute_Scores!I2085</f>
        <v>50</v>
      </c>
      <c r="I2085" s="30">
        <f t="shared" si="63"/>
        <v>62.5</v>
      </c>
    </row>
    <row r="2086" spans="6:9">
      <c r="F2086" s="12" t="str">
        <f>Absolute_Scores!F2086</f>
        <v>@reginagitta</v>
      </c>
      <c r="G2086" s="12" t="str">
        <f>Absolute_Scores!G2086</f>
        <v>Instagram</v>
      </c>
      <c r="H2086" s="29">
        <f>Absolute_Scores!I2086</f>
        <v>50</v>
      </c>
      <c r="I2086" s="30">
        <f t="shared" si="63"/>
        <v>62.5</v>
      </c>
    </row>
    <row r="2087" spans="6:9">
      <c r="F2087" s="12" t="str">
        <f>Absolute_Scores!F2087</f>
        <v>@reginaltf</v>
      </c>
      <c r="G2087" s="12" t="str">
        <f>Absolute_Scores!G2087</f>
        <v>TikTok</v>
      </c>
      <c r="H2087" s="29">
        <f>Absolute_Scores!I2087</f>
        <v>50</v>
      </c>
      <c r="I2087" s="30">
        <f t="shared" si="63"/>
        <v>62.5</v>
      </c>
    </row>
    <row r="2088" spans="6:9">
      <c r="F2088" s="12" t="str">
        <f>Absolute_Scores!F2088</f>
        <v>@reinermawan</v>
      </c>
      <c r="G2088" s="12" t="str">
        <f>Absolute_Scores!G2088</f>
        <v>TikTok</v>
      </c>
      <c r="H2088" s="29">
        <f>Absolute_Scores!I2088</f>
        <v>50</v>
      </c>
      <c r="I2088" s="30">
        <f t="shared" si="63"/>
        <v>62.5</v>
      </c>
    </row>
    <row r="2089" spans="6:9">
      <c r="F2089" s="12" t="str">
        <f>Absolute_Scores!F2089</f>
        <v>@reivira.arindhi</v>
      </c>
      <c r="G2089" s="12" t="str">
        <f>Absolute_Scores!G2089</f>
        <v>Instagram</v>
      </c>
      <c r="H2089" s="29">
        <f>Absolute_Scores!I2089</f>
        <v>50</v>
      </c>
      <c r="I2089" s="30">
        <f t="shared" si="63"/>
        <v>62.5</v>
      </c>
    </row>
    <row r="2090" spans="6:9">
      <c r="F2090" s="12" t="str">
        <f>Absolute_Scores!F2090</f>
        <v>@rekomendasi_abin</v>
      </c>
      <c r="G2090" s="12" t="str">
        <f>Absolute_Scores!G2090</f>
        <v>TikTok</v>
      </c>
      <c r="H2090" s="29">
        <f>Absolute_Scores!I2090</f>
        <v>50</v>
      </c>
      <c r="I2090" s="30">
        <f t="shared" si="63"/>
        <v>62.5</v>
      </c>
    </row>
    <row r="2091" spans="6:9">
      <c r="F2091" s="12" t="str">
        <f>Absolute_Scores!F2091</f>
        <v>@reni_fi3ani</v>
      </c>
      <c r="G2091" s="12" t="str">
        <f>Absolute_Scores!G2091</f>
        <v>Instagram</v>
      </c>
      <c r="H2091" s="29">
        <f>Absolute_Scores!I2091</f>
        <v>50</v>
      </c>
      <c r="I2091" s="30">
        <f t="shared" si="63"/>
        <v>62.5</v>
      </c>
    </row>
    <row r="2092" spans="6:9">
      <c r="F2092" s="12" t="str">
        <f>Absolute_Scores!F2092</f>
        <v>@renssinaaa_</v>
      </c>
      <c r="G2092" s="12" t="str">
        <f>Absolute_Scores!G2092</f>
        <v>TikTok</v>
      </c>
      <c r="H2092" s="29">
        <f>Absolute_Scores!I2092</f>
        <v>50</v>
      </c>
      <c r="I2092" s="30">
        <f t="shared" si="63"/>
        <v>62.5</v>
      </c>
    </row>
    <row r="2093" spans="6:9">
      <c r="F2093" s="12" t="str">
        <f>Absolute_Scores!F2093</f>
        <v>@renymdh</v>
      </c>
      <c r="G2093" s="12" t="str">
        <f>Absolute_Scores!G2093</f>
        <v>Instagram</v>
      </c>
      <c r="H2093" s="29">
        <f>Absolute_Scores!I2093</f>
        <v>50</v>
      </c>
      <c r="I2093" s="30">
        <f t="shared" si="63"/>
        <v>62.5</v>
      </c>
    </row>
    <row r="2094" spans="6:9">
      <c r="F2094" s="12" t="str">
        <f>Absolute_Scores!F2094</f>
        <v>@rere_nusaputera</v>
      </c>
      <c r="G2094" s="12" t="str">
        <f>Absolute_Scores!G2094</f>
        <v>Instagram</v>
      </c>
      <c r="H2094" s="29">
        <f>Absolute_Scores!I2094</f>
        <v>50</v>
      </c>
      <c r="I2094" s="30">
        <f t="shared" si="63"/>
        <v>62.5</v>
      </c>
    </row>
    <row r="2095" spans="6:9">
      <c r="F2095" s="12" t="str">
        <f>Absolute_Scores!F2095</f>
        <v>@rereeonni</v>
      </c>
      <c r="G2095" s="12" t="str">
        <f>Absolute_Scores!G2095</f>
        <v>TikTok</v>
      </c>
      <c r="H2095" s="29">
        <f>Absolute_Scores!I2095</f>
        <v>50</v>
      </c>
      <c r="I2095" s="30">
        <f t="shared" si="63"/>
        <v>62.5</v>
      </c>
    </row>
    <row r="2096" spans="6:9">
      <c r="F2096" s="12" t="str">
        <f>Absolute_Scores!F2096</f>
        <v>@resansp</v>
      </c>
      <c r="G2096" s="12" t="str">
        <f>Absolute_Scores!G2096</f>
        <v>TikTok</v>
      </c>
      <c r="H2096" s="29">
        <f>Absolute_Scores!I2096</f>
        <v>50</v>
      </c>
      <c r="I2096" s="30">
        <f t="shared" si="63"/>
        <v>62.5</v>
      </c>
    </row>
    <row r="2097" spans="6:9">
      <c r="F2097" s="12" t="str">
        <f>Absolute_Scores!F2097</f>
        <v>@resisundari29</v>
      </c>
      <c r="G2097" s="12" t="str">
        <f>Absolute_Scores!G2097</f>
        <v>Instagram</v>
      </c>
      <c r="H2097" s="29">
        <f>Absolute_Scores!I2097</f>
        <v>50</v>
      </c>
      <c r="I2097" s="30">
        <f t="shared" si="63"/>
        <v>62.5</v>
      </c>
    </row>
    <row r="2098" spans="6:9">
      <c r="F2098" s="12" t="str">
        <f>Absolute_Scores!F2098</f>
        <v>@restawin99</v>
      </c>
      <c r="G2098" s="12" t="str">
        <f>Absolute_Scores!G2098</f>
        <v>TikTok</v>
      </c>
      <c r="H2098" s="29">
        <f>Absolute_Scores!I2098</f>
        <v>50</v>
      </c>
      <c r="I2098" s="30">
        <f t="shared" si="63"/>
        <v>62.5</v>
      </c>
    </row>
    <row r="2099" spans="6:9">
      <c r="F2099" s="12" t="str">
        <f>Absolute_Scores!F2099</f>
        <v>@restusyahputrii</v>
      </c>
      <c r="G2099" s="12" t="str">
        <f>Absolute_Scores!G2099</f>
        <v>TikTok</v>
      </c>
      <c r="H2099" s="29">
        <f>Absolute_Scores!I2099</f>
        <v>50</v>
      </c>
      <c r="I2099" s="30">
        <f t="shared" si="63"/>
        <v>62.5</v>
      </c>
    </row>
    <row r="2100" spans="6:9">
      <c r="F2100" s="12" t="str">
        <f>Absolute_Scores!F2100</f>
        <v>@retnanikory</v>
      </c>
      <c r="G2100" s="12" t="str">
        <f>Absolute_Scores!G2100</f>
        <v>TikTok</v>
      </c>
      <c r="H2100" s="29">
        <f>Absolute_Scores!I2100</f>
        <v>50</v>
      </c>
      <c r="I2100" s="30">
        <f t="shared" si="63"/>
        <v>62.5</v>
      </c>
    </row>
    <row r="2101" spans="6:9">
      <c r="F2101" s="12" t="str">
        <f>Absolute_Scores!F2101</f>
        <v>@retnowindaryani</v>
      </c>
      <c r="G2101" s="12" t="str">
        <f>Absolute_Scores!G2101</f>
        <v>Instagram</v>
      </c>
      <c r="H2101" s="29">
        <f>Absolute_Scores!I2101</f>
        <v>50</v>
      </c>
      <c r="I2101" s="30">
        <f t="shared" si="63"/>
        <v>62.5</v>
      </c>
    </row>
    <row r="2102" spans="6:9">
      <c r="F2102" s="12" t="str">
        <f>Absolute_Scores!F2102</f>
        <v>@revelkenneth</v>
      </c>
      <c r="G2102" s="12" t="str">
        <f>Absolute_Scores!G2102</f>
        <v>TikTok</v>
      </c>
      <c r="H2102" s="29">
        <f>Absolute_Scores!I2102</f>
        <v>50</v>
      </c>
      <c r="I2102" s="30">
        <f t="shared" si="63"/>
        <v>62.5</v>
      </c>
    </row>
    <row r="2103" spans="6:9">
      <c r="F2103" s="12" t="str">
        <f>Absolute_Scores!F2103</f>
        <v>@reviewmamais</v>
      </c>
      <c r="G2103" s="12" t="str">
        <f>Absolute_Scores!G2103</f>
        <v>TikTok</v>
      </c>
      <c r="H2103" s="29">
        <f>Absolute_Scores!I2103</f>
        <v>50</v>
      </c>
      <c r="I2103" s="30">
        <f t="shared" si="63"/>
        <v>62.5</v>
      </c>
    </row>
    <row r="2104" spans="6:9">
      <c r="F2104" s="12" t="str">
        <f>Absolute_Scores!F2104</f>
        <v>@reviewyuk21</v>
      </c>
      <c r="G2104" s="12" t="str">
        <f>Absolute_Scores!G2104</f>
        <v>TikTok</v>
      </c>
      <c r="H2104" s="29">
        <f>Absolute_Scores!I2104</f>
        <v>50</v>
      </c>
      <c r="I2104" s="30">
        <f t="shared" si="63"/>
        <v>62.5</v>
      </c>
    </row>
    <row r="2105" spans="6:9">
      <c r="F2105" s="12" t="str">
        <f>Absolute_Scores!F2105</f>
        <v>@reyfifitri</v>
      </c>
      <c r="G2105" s="12" t="str">
        <f>Absolute_Scores!G2105</f>
        <v>Instagram</v>
      </c>
      <c r="H2105" s="29">
        <f>Absolute_Scores!I2105</f>
        <v>50</v>
      </c>
      <c r="I2105" s="30">
        <f t="shared" si="63"/>
        <v>62.5</v>
      </c>
    </row>
    <row r="2106" spans="6:9">
      <c r="F2106" s="12" t="str">
        <f>Absolute_Scores!F2106</f>
        <v>@reyza.dahlia</v>
      </c>
      <c r="G2106" s="12" t="str">
        <f>Absolute_Scores!G2106</f>
        <v>Instagram</v>
      </c>
      <c r="H2106" s="29">
        <f>Absolute_Scores!I2106</f>
        <v>50</v>
      </c>
      <c r="I2106" s="30">
        <f t="shared" si="63"/>
        <v>62.5</v>
      </c>
    </row>
    <row r="2107" spans="6:9">
      <c r="F2107" s="12" t="str">
        <f>Absolute_Scores!F2107</f>
        <v>@rezaamitap</v>
      </c>
      <c r="G2107" s="12" t="str">
        <f>Absolute_Scores!G2107</f>
        <v>Instagram</v>
      </c>
      <c r="H2107" s="29">
        <f>Absolute_Scores!I2107</f>
        <v>50</v>
      </c>
      <c r="I2107" s="30">
        <f t="shared" si="63"/>
        <v>62.5</v>
      </c>
    </row>
    <row r="2108" spans="6:9">
      <c r="F2108" s="12" t="str">
        <f>Absolute_Scores!F2108</f>
        <v>@rezartari</v>
      </c>
      <c r="G2108" s="12" t="str">
        <f>Absolute_Scores!G2108</f>
        <v>Instagram</v>
      </c>
      <c r="H2108" s="29">
        <f>Absolute_Scores!I2108</f>
        <v>50</v>
      </c>
      <c r="I2108" s="30">
        <f t="shared" si="63"/>
        <v>62.5</v>
      </c>
    </row>
    <row r="2109" spans="6:9">
      <c r="F2109" s="12" t="str">
        <f>Absolute_Scores!F2109</f>
        <v>@rframadhantyy</v>
      </c>
      <c r="G2109" s="12" t="str">
        <f>Absolute_Scores!G2109</f>
        <v>TikTok</v>
      </c>
      <c r="H2109" s="29">
        <f>Absolute_Scores!I2109</f>
        <v>50</v>
      </c>
      <c r="I2109" s="30">
        <f t="shared" si="63"/>
        <v>62.5</v>
      </c>
    </row>
    <row r="2110" spans="6:9">
      <c r="F2110" s="12" t="str">
        <f>Absolute_Scores!F2110</f>
        <v>@rfrzazzz</v>
      </c>
      <c r="G2110" s="12" t="str">
        <f>Absolute_Scores!G2110</f>
        <v>TikTok</v>
      </c>
      <c r="H2110" s="29">
        <f>Absolute_Scores!I2110</f>
        <v>50</v>
      </c>
      <c r="I2110" s="30">
        <f t="shared" si="63"/>
        <v>62.5</v>
      </c>
    </row>
    <row r="2111" spans="6:9">
      <c r="F2111" s="12" t="str">
        <f>Absolute_Scores!F2111</f>
        <v>@rftkmida_</v>
      </c>
      <c r="G2111" s="12" t="str">
        <f>Absolute_Scores!G2111</f>
        <v>Instagram</v>
      </c>
      <c r="H2111" s="29">
        <f>Absolute_Scores!I2111</f>
        <v>50</v>
      </c>
      <c r="I2111" s="30">
        <f t="shared" si="63"/>
        <v>62.5</v>
      </c>
    </row>
    <row r="2112" spans="6:9">
      <c r="F2112" s="12" t="str">
        <f>Absolute_Scores!F2112</f>
        <v>@rgdiwan1010</v>
      </c>
      <c r="G2112" s="12" t="str">
        <f>Absolute_Scores!G2112</f>
        <v>Instagram</v>
      </c>
      <c r="H2112" s="29">
        <f>Absolute_Scores!I2112</f>
        <v>50</v>
      </c>
      <c r="I2112" s="30">
        <f t="shared" si="63"/>
        <v>62.5</v>
      </c>
    </row>
    <row r="2113" spans="6:9">
      <c r="F2113" s="12" t="str">
        <f>Absolute_Scores!F2113</f>
        <v>@rhasiebatarap</v>
      </c>
      <c r="G2113" s="12" t="str">
        <f>Absolute_Scores!G2113</f>
        <v>TikTok</v>
      </c>
      <c r="H2113" s="29">
        <f>Absolute_Scores!I2113</f>
        <v>50</v>
      </c>
      <c r="I2113" s="30">
        <f t="shared" si="63"/>
        <v>62.5</v>
      </c>
    </row>
    <row r="2114" spans="6:9">
      <c r="F2114" s="12" t="str">
        <f>Absolute_Scores!F2114</f>
        <v>@rhizmaa78</v>
      </c>
      <c r="G2114" s="12" t="str">
        <f>Absolute_Scores!G2114</f>
        <v>Instagram</v>
      </c>
      <c r="H2114" s="29">
        <f>Absolute_Scores!I2114</f>
        <v>50</v>
      </c>
      <c r="I2114" s="30">
        <f t="shared" si="63"/>
        <v>62.5</v>
      </c>
    </row>
    <row r="2115" spans="6:9">
      <c r="F2115" s="12" t="str">
        <f>Absolute_Scores!F2115</f>
        <v>@rhmdniainbri_</v>
      </c>
      <c r="G2115" s="12" t="str">
        <f>Absolute_Scores!G2115</f>
        <v>Instagram</v>
      </c>
      <c r="H2115" s="29">
        <f>Absolute_Scores!I2115</f>
        <v>50</v>
      </c>
      <c r="I2115" s="30">
        <f t="shared" si="63"/>
        <v>62.5</v>
      </c>
    </row>
    <row r="2116" spans="6:9">
      <c r="F2116" s="12" t="str">
        <f>Absolute_Scores!F2116</f>
        <v>@riadnti</v>
      </c>
      <c r="G2116" s="12" t="str">
        <f>Absolute_Scores!G2116</f>
        <v>Instagram</v>
      </c>
      <c r="H2116" s="29">
        <f>Absolute_Scores!I2116</f>
        <v>50</v>
      </c>
      <c r="I2116" s="30">
        <f t="shared" si="63"/>
        <v>62.5</v>
      </c>
    </row>
    <row r="2117" spans="6:9">
      <c r="F2117" s="12" t="str">
        <f>Absolute_Scores!F2117</f>
        <v>@ribkaaugust</v>
      </c>
      <c r="G2117" s="12" t="str">
        <f>Absolute_Scores!G2117</f>
        <v>TikTok</v>
      </c>
      <c r="H2117" s="29">
        <f>Absolute_Scores!I2117</f>
        <v>50</v>
      </c>
      <c r="I2117" s="30">
        <f t="shared" si="63"/>
        <v>62.5</v>
      </c>
    </row>
    <row r="2118" spans="6:9">
      <c r="F2118" s="12" t="str">
        <f>Absolute_Scores!F2118</f>
        <v>@richa_annisa</v>
      </c>
      <c r="G2118" s="12" t="str">
        <f>Absolute_Scores!G2118</f>
        <v>TikTok</v>
      </c>
      <c r="H2118" s="29">
        <f>Absolute_Scores!I2118</f>
        <v>50</v>
      </c>
      <c r="I2118" s="30">
        <f t="shared" ref="I2118:I2181" si="64">ROUND(H2118/$I$4*100,2)</f>
        <v>62.5</v>
      </c>
    </row>
    <row r="2119" spans="6:9">
      <c r="F2119" s="12" t="str">
        <f>Absolute_Scores!F2119</f>
        <v>@ridho_mohamad</v>
      </c>
      <c r="G2119" s="12" t="str">
        <f>Absolute_Scores!G2119</f>
        <v>TikTok</v>
      </c>
      <c r="H2119" s="29">
        <f>Absolute_Scores!I2119</f>
        <v>50</v>
      </c>
      <c r="I2119" s="30">
        <f t="shared" si="64"/>
        <v>62.5</v>
      </c>
    </row>
    <row r="2120" spans="6:9">
      <c r="F2120" s="12" t="str">
        <f>Absolute_Scores!F2120</f>
        <v>@ridwan.maulanaa_</v>
      </c>
      <c r="G2120" s="12" t="str">
        <f>Absolute_Scores!G2120</f>
        <v>Instagram</v>
      </c>
      <c r="H2120" s="29">
        <f>Absolute_Scores!I2120</f>
        <v>50</v>
      </c>
      <c r="I2120" s="30">
        <f t="shared" si="64"/>
        <v>62.5</v>
      </c>
    </row>
    <row r="2121" spans="6:9">
      <c r="F2121" s="12" t="str">
        <f>Absolute_Scores!F2121</f>
        <v>@rie_nadisya</v>
      </c>
      <c r="G2121" s="12" t="str">
        <f>Absolute_Scores!G2121</f>
        <v>TikTok</v>
      </c>
      <c r="H2121" s="29">
        <f>Absolute_Scores!I2121</f>
        <v>50</v>
      </c>
      <c r="I2121" s="30">
        <f t="shared" si="64"/>
        <v>62.5</v>
      </c>
    </row>
    <row r="2122" spans="6:9">
      <c r="F2122" s="12" t="str">
        <f>Absolute_Scores!F2122</f>
        <v>@rifaneyy0</v>
      </c>
      <c r="G2122" s="12" t="str">
        <f>Absolute_Scores!G2122</f>
        <v>TikTok</v>
      </c>
      <c r="H2122" s="29">
        <f>Absolute_Scores!I2122</f>
        <v>50</v>
      </c>
      <c r="I2122" s="30">
        <f t="shared" si="64"/>
        <v>62.5</v>
      </c>
    </row>
    <row r="2123" spans="6:9">
      <c r="F2123" s="12" t="str">
        <f>Absolute_Scores!F2123</f>
        <v>@rifel_ipe04</v>
      </c>
      <c r="G2123" s="12" t="str">
        <f>Absolute_Scores!G2123</f>
        <v>Instagram</v>
      </c>
      <c r="H2123" s="29">
        <f>Absolute_Scores!I2123</f>
        <v>50</v>
      </c>
      <c r="I2123" s="30">
        <f t="shared" si="64"/>
        <v>62.5</v>
      </c>
    </row>
    <row r="2124" spans="6:9">
      <c r="F2124" s="12" t="str">
        <f>Absolute_Scores!F2124</f>
        <v>@rifkarofiah</v>
      </c>
      <c r="G2124" s="12" t="str">
        <f>Absolute_Scores!G2124</f>
        <v>Instagram</v>
      </c>
      <c r="H2124" s="29">
        <f>Absolute_Scores!I2124</f>
        <v>50</v>
      </c>
      <c r="I2124" s="30">
        <f t="shared" si="64"/>
        <v>62.5</v>
      </c>
    </row>
    <row r="2125" spans="6:9">
      <c r="F2125" s="12" t="str">
        <f>Absolute_Scores!F2125</f>
        <v>@riiidh0</v>
      </c>
      <c r="G2125" s="12" t="str">
        <f>Absolute_Scores!G2125</f>
        <v>TikTok</v>
      </c>
      <c r="H2125" s="29">
        <f>Absolute_Scores!I2125</f>
        <v>50</v>
      </c>
      <c r="I2125" s="30">
        <f t="shared" si="64"/>
        <v>62.5</v>
      </c>
    </row>
    <row r="2126" spans="6:9">
      <c r="F2126" s="12" t="str">
        <f>Absolute_Scores!F2126</f>
        <v>@riiska.khaa</v>
      </c>
      <c r="G2126" s="12" t="str">
        <f>Absolute_Scores!G2126</f>
        <v>Instagram</v>
      </c>
      <c r="H2126" s="29">
        <f>Absolute_Scores!I2126</f>
        <v>50</v>
      </c>
      <c r="I2126" s="30">
        <f t="shared" si="64"/>
        <v>62.5</v>
      </c>
    </row>
    <row r="2127" spans="6:9">
      <c r="F2127" s="12" t="str">
        <f>Absolute_Scores!F2127</f>
        <v>@riiyanti30</v>
      </c>
      <c r="G2127" s="12" t="str">
        <f>Absolute_Scores!G2127</f>
        <v>Instagram</v>
      </c>
      <c r="H2127" s="29">
        <f>Absolute_Scores!I2127</f>
        <v>50</v>
      </c>
      <c r="I2127" s="30">
        <f t="shared" si="64"/>
        <v>62.5</v>
      </c>
    </row>
    <row r="2128" spans="6:9">
      <c r="F2128" s="12" t="str">
        <f>Absolute_Scores!F2128</f>
        <v>@rikaaaaams</v>
      </c>
      <c r="G2128" s="12" t="str">
        <f>Absolute_Scores!G2128</f>
        <v>Instagram</v>
      </c>
      <c r="H2128" s="29">
        <f>Absolute_Scores!I2128</f>
        <v>50</v>
      </c>
      <c r="I2128" s="30">
        <f t="shared" si="64"/>
        <v>62.5</v>
      </c>
    </row>
    <row r="2129" spans="6:9">
      <c r="F2129" s="12" t="str">
        <f>Absolute_Scores!F2129</f>
        <v>@rikaakhanaa</v>
      </c>
      <c r="G2129" s="12" t="str">
        <f>Absolute_Scores!G2129</f>
        <v>Instagram</v>
      </c>
      <c r="H2129" s="29">
        <f>Absolute_Scores!I2129</f>
        <v>50</v>
      </c>
      <c r="I2129" s="30">
        <f t="shared" si="64"/>
        <v>62.5</v>
      </c>
    </row>
    <row r="2130" spans="6:9">
      <c r="F2130" s="12" t="str">
        <f>Absolute_Scores!F2130</f>
        <v>@rikachimoy</v>
      </c>
      <c r="G2130" s="12" t="str">
        <f>Absolute_Scores!G2130</f>
        <v>Instagram</v>
      </c>
      <c r="H2130" s="29">
        <f>Absolute_Scores!I2130</f>
        <v>50</v>
      </c>
      <c r="I2130" s="30">
        <f t="shared" si="64"/>
        <v>62.5</v>
      </c>
    </row>
    <row r="2131" spans="6:9">
      <c r="F2131" s="12" t="str">
        <f>Absolute_Scores!F2131</f>
        <v>@rikaistiqomah05</v>
      </c>
      <c r="G2131" s="12" t="str">
        <f>Absolute_Scores!G2131</f>
        <v>Instagram</v>
      </c>
      <c r="H2131" s="29">
        <f>Absolute_Scores!I2131</f>
        <v>50</v>
      </c>
      <c r="I2131" s="30">
        <f t="shared" si="64"/>
        <v>62.5</v>
      </c>
    </row>
    <row r="2132" spans="6:9">
      <c r="F2132" s="12" t="str">
        <f>Absolute_Scores!F2132</f>
        <v>@rikigustiana</v>
      </c>
      <c r="G2132" s="12" t="str">
        <f>Absolute_Scores!G2132</f>
        <v>TikTok</v>
      </c>
      <c r="H2132" s="29">
        <f>Absolute_Scores!I2132</f>
        <v>50</v>
      </c>
      <c r="I2132" s="30">
        <f t="shared" si="64"/>
        <v>62.5</v>
      </c>
    </row>
    <row r="2133" spans="6:9">
      <c r="F2133" s="12" t="str">
        <f>Absolute_Scores!F2133</f>
        <v>@rimarismayanti56</v>
      </c>
      <c r="G2133" s="12" t="str">
        <f>Absolute_Scores!G2133</f>
        <v>TikTok</v>
      </c>
      <c r="H2133" s="29">
        <f>Absolute_Scores!I2133</f>
        <v>50</v>
      </c>
      <c r="I2133" s="30">
        <f t="shared" si="64"/>
        <v>62.5</v>
      </c>
    </row>
    <row r="2134" spans="6:9">
      <c r="F2134" s="12" t="str">
        <f>Absolute_Scores!F2134</f>
        <v>@rina_hayden_evelyn</v>
      </c>
      <c r="G2134" s="12" t="str">
        <f>Absolute_Scores!G2134</f>
        <v>Instagram</v>
      </c>
      <c r="H2134" s="29">
        <f>Absolute_Scores!I2134</f>
        <v>50</v>
      </c>
      <c r="I2134" s="30">
        <f t="shared" si="64"/>
        <v>62.5</v>
      </c>
    </row>
    <row r="2135" spans="6:9">
      <c r="F2135" s="12" t="str">
        <f>Absolute_Scores!F2135</f>
        <v>@rinaldyprast</v>
      </c>
      <c r="G2135" s="12" t="str">
        <f>Absolute_Scores!G2135</f>
        <v>TikTok</v>
      </c>
      <c r="H2135" s="29">
        <f>Absolute_Scores!I2135</f>
        <v>50</v>
      </c>
      <c r="I2135" s="30">
        <f t="shared" si="64"/>
        <v>62.5</v>
      </c>
    </row>
    <row r="2136" spans="6:9">
      <c r="F2136" s="12" t="str">
        <f>Absolute_Scores!F2136</f>
        <v>@rinanose_josscy</v>
      </c>
      <c r="G2136" s="12" t="str">
        <f>Absolute_Scores!G2136</f>
        <v>TikTok</v>
      </c>
      <c r="H2136" s="29">
        <f>Absolute_Scores!I2136</f>
        <v>50</v>
      </c>
      <c r="I2136" s="30">
        <f t="shared" si="64"/>
        <v>62.5</v>
      </c>
    </row>
    <row r="2137" spans="6:9">
      <c r="F2137" s="12" t="str">
        <f>Absolute_Scores!F2137</f>
        <v>@riniperdiyanti77</v>
      </c>
      <c r="G2137" s="12" t="str">
        <f>Absolute_Scores!G2137</f>
        <v>TikTok</v>
      </c>
      <c r="H2137" s="29">
        <f>Absolute_Scores!I2137</f>
        <v>50</v>
      </c>
      <c r="I2137" s="30">
        <f t="shared" si="64"/>
        <v>62.5</v>
      </c>
    </row>
    <row r="2138" spans="6:9">
      <c r="F2138" s="12" t="str">
        <f>Absolute_Scores!F2138</f>
        <v>@riopra22_</v>
      </c>
      <c r="G2138" s="12" t="str">
        <f>Absolute_Scores!G2138</f>
        <v>TikTok</v>
      </c>
      <c r="H2138" s="29">
        <f>Absolute_Scores!I2138</f>
        <v>50</v>
      </c>
      <c r="I2138" s="30">
        <f t="shared" si="64"/>
        <v>62.5</v>
      </c>
    </row>
    <row r="2139" spans="6:9">
      <c r="F2139" s="12" t="str">
        <f>Absolute_Scores!F2139</f>
        <v>@ripanakmalamir</v>
      </c>
      <c r="G2139" s="12" t="str">
        <f>Absolute_Scores!G2139</f>
        <v>TikTok</v>
      </c>
      <c r="H2139" s="29">
        <f>Absolute_Scores!I2139</f>
        <v>50</v>
      </c>
      <c r="I2139" s="30">
        <f t="shared" si="64"/>
        <v>62.5</v>
      </c>
    </row>
    <row r="2140" spans="6:9">
      <c r="F2140" s="12" t="str">
        <f>Absolute_Scores!F2140</f>
        <v>@ririeprameswari</v>
      </c>
      <c r="G2140" s="12" t="str">
        <f>Absolute_Scores!G2140</f>
        <v>TikTok</v>
      </c>
      <c r="H2140" s="29">
        <f>Absolute_Scores!I2140</f>
        <v>50</v>
      </c>
      <c r="I2140" s="30">
        <f t="shared" si="64"/>
        <v>62.5</v>
      </c>
    </row>
    <row r="2141" spans="6:9">
      <c r="F2141" s="12" t="str">
        <f>Absolute_Scores!F2141</f>
        <v>@ririi.tann</v>
      </c>
      <c r="G2141" s="12" t="str">
        <f>Absolute_Scores!G2141</f>
        <v>TikTok</v>
      </c>
      <c r="H2141" s="29">
        <f>Absolute_Scores!I2141</f>
        <v>50</v>
      </c>
      <c r="I2141" s="30">
        <f t="shared" si="64"/>
        <v>62.5</v>
      </c>
    </row>
    <row r="2142" spans="6:9">
      <c r="F2142" s="12" t="str">
        <f>Absolute_Scores!F2142</f>
        <v>@risamhq</v>
      </c>
      <c r="G2142" s="12" t="str">
        <f>Absolute_Scores!G2142</f>
        <v>TikTok</v>
      </c>
      <c r="H2142" s="29">
        <f>Absolute_Scores!I2142</f>
        <v>50</v>
      </c>
      <c r="I2142" s="30">
        <f t="shared" si="64"/>
        <v>62.5</v>
      </c>
    </row>
    <row r="2143" spans="6:9">
      <c r="F2143" s="12" t="str">
        <f>Absolute_Scores!F2143</f>
        <v>@riska_aseftiana</v>
      </c>
      <c r="G2143" s="12" t="str">
        <f>Absolute_Scores!G2143</f>
        <v>Instagram</v>
      </c>
      <c r="H2143" s="29">
        <f>Absolute_Scores!I2143</f>
        <v>50</v>
      </c>
      <c r="I2143" s="30">
        <f t="shared" si="64"/>
        <v>62.5</v>
      </c>
    </row>
    <row r="2144" spans="6:9">
      <c r="F2144" s="12" t="str">
        <f>Absolute_Scores!F2144</f>
        <v>@riskeu7134</v>
      </c>
      <c r="G2144" s="12" t="str">
        <f>Absolute_Scores!G2144</f>
        <v>TikTok</v>
      </c>
      <c r="H2144" s="29">
        <f>Absolute_Scores!I2144</f>
        <v>50</v>
      </c>
      <c r="I2144" s="30">
        <f t="shared" si="64"/>
        <v>62.5</v>
      </c>
    </row>
    <row r="2145" spans="6:9">
      <c r="F2145" s="12" t="str">
        <f>Absolute_Scores!F2145</f>
        <v>@riskiiiku_</v>
      </c>
      <c r="G2145" s="12" t="str">
        <f>Absolute_Scores!G2145</f>
        <v>Instagram</v>
      </c>
      <c r="H2145" s="29">
        <f>Absolute_Scores!I2145</f>
        <v>50</v>
      </c>
      <c r="I2145" s="30">
        <f t="shared" si="64"/>
        <v>62.5</v>
      </c>
    </row>
    <row r="2146" spans="6:9">
      <c r="F2146" s="12" t="str">
        <f>Absolute_Scores!F2146</f>
        <v>@riskisorra</v>
      </c>
      <c r="G2146" s="12" t="str">
        <f>Absolute_Scores!G2146</f>
        <v>Instagram</v>
      </c>
      <c r="H2146" s="29">
        <f>Absolute_Scores!I2146</f>
        <v>50</v>
      </c>
      <c r="I2146" s="30">
        <f t="shared" si="64"/>
        <v>62.5</v>
      </c>
    </row>
    <row r="2147" spans="6:9">
      <c r="F2147" s="12" t="str">
        <f>Absolute_Scores!F2147</f>
        <v>@riskyamiliya</v>
      </c>
      <c r="G2147" s="12" t="str">
        <f>Absolute_Scores!G2147</f>
        <v>TikTok</v>
      </c>
      <c r="H2147" s="29">
        <f>Absolute_Scores!I2147</f>
        <v>50</v>
      </c>
      <c r="I2147" s="30">
        <f t="shared" si="64"/>
        <v>62.5</v>
      </c>
    </row>
    <row r="2148" spans="6:9">
      <c r="F2148" s="12" t="str">
        <f>Absolute_Scores!F2148</f>
        <v>@rismaaisyah11</v>
      </c>
      <c r="G2148" s="12" t="str">
        <f>Absolute_Scores!G2148</f>
        <v>TikTok</v>
      </c>
      <c r="H2148" s="29">
        <f>Absolute_Scores!I2148</f>
        <v>50</v>
      </c>
      <c r="I2148" s="30">
        <f t="shared" si="64"/>
        <v>62.5</v>
      </c>
    </row>
    <row r="2149" spans="6:9">
      <c r="F2149" s="12" t="str">
        <f>Absolute_Scores!F2149</f>
        <v>@risolunyil</v>
      </c>
      <c r="G2149" s="12" t="str">
        <f>Absolute_Scores!G2149</f>
        <v>TikTok</v>
      </c>
      <c r="H2149" s="29">
        <f>Absolute_Scores!I2149</f>
        <v>50</v>
      </c>
      <c r="I2149" s="30">
        <f t="shared" si="64"/>
        <v>62.5</v>
      </c>
    </row>
    <row r="2150" spans="6:9">
      <c r="F2150" s="12" t="str">
        <f>Absolute_Scores!F2150</f>
        <v>@ristafhani</v>
      </c>
      <c r="G2150" s="12" t="str">
        <f>Absolute_Scores!G2150</f>
        <v>Instagram</v>
      </c>
      <c r="H2150" s="29">
        <f>Absolute_Scores!I2150</f>
        <v>50</v>
      </c>
      <c r="I2150" s="30">
        <f t="shared" si="64"/>
        <v>62.5</v>
      </c>
    </row>
    <row r="2151" spans="6:9">
      <c r="F2151" s="12" t="str">
        <f>Absolute_Scores!F2151</f>
        <v>@risty.aja</v>
      </c>
      <c r="G2151" s="12" t="str">
        <f>Absolute_Scores!G2151</f>
        <v>Instagram</v>
      </c>
      <c r="H2151" s="29">
        <f>Absolute_Scores!I2151</f>
        <v>50</v>
      </c>
      <c r="I2151" s="30">
        <f t="shared" si="64"/>
        <v>62.5</v>
      </c>
    </row>
    <row r="2152" spans="6:9">
      <c r="F2152" s="12" t="str">
        <f>Absolute_Scores!F2152</f>
        <v>@ritmaraa</v>
      </c>
      <c r="G2152" s="12" t="str">
        <f>Absolute_Scores!G2152</f>
        <v>Instagram</v>
      </c>
      <c r="H2152" s="29">
        <f>Absolute_Scores!I2152</f>
        <v>50</v>
      </c>
      <c r="I2152" s="30">
        <f t="shared" si="64"/>
        <v>62.5</v>
      </c>
    </row>
    <row r="2153" spans="6:9">
      <c r="F2153" s="12" t="str">
        <f>Absolute_Scores!F2153</f>
        <v>@rittaahandayanii</v>
      </c>
      <c r="G2153" s="12" t="str">
        <f>Absolute_Scores!G2153</f>
        <v>Instagram</v>
      </c>
      <c r="H2153" s="29">
        <f>Absolute_Scores!I2153</f>
        <v>50</v>
      </c>
      <c r="I2153" s="30">
        <f t="shared" si="64"/>
        <v>62.5</v>
      </c>
    </row>
    <row r="2154" spans="6:9">
      <c r="F2154" s="12" t="str">
        <f>Absolute_Scores!F2154</f>
        <v>@rivanirahmadani</v>
      </c>
      <c r="G2154" s="12" t="str">
        <f>Absolute_Scores!G2154</f>
        <v>TikTok</v>
      </c>
      <c r="H2154" s="29">
        <f>Absolute_Scores!I2154</f>
        <v>50</v>
      </c>
      <c r="I2154" s="30">
        <f t="shared" si="64"/>
        <v>62.5</v>
      </c>
    </row>
    <row r="2155" spans="6:9">
      <c r="F2155" s="12" t="str">
        <f>Absolute_Scores!F2155</f>
        <v>@rivie_baverly</v>
      </c>
      <c r="G2155" s="12" t="str">
        <f>Absolute_Scores!G2155</f>
        <v>Instagram</v>
      </c>
      <c r="H2155" s="29">
        <f>Absolute_Scores!I2155</f>
        <v>50</v>
      </c>
      <c r="I2155" s="30">
        <f t="shared" si="64"/>
        <v>62.5</v>
      </c>
    </row>
    <row r="2156" spans="6:9">
      <c r="F2156" s="12" t="str">
        <f>Absolute_Scores!F2156</f>
        <v>@rizalhamzahnasution</v>
      </c>
      <c r="G2156" s="12" t="str">
        <f>Absolute_Scores!G2156</f>
        <v>TikTok</v>
      </c>
      <c r="H2156" s="29">
        <f>Absolute_Scores!I2156</f>
        <v>50</v>
      </c>
      <c r="I2156" s="30">
        <f t="shared" si="64"/>
        <v>62.5</v>
      </c>
    </row>
    <row r="2157" spans="6:9">
      <c r="F2157" s="12" t="str">
        <f>Absolute_Scores!F2157</f>
        <v>@rizanjani</v>
      </c>
      <c r="G2157" s="12" t="str">
        <f>Absolute_Scores!G2157</f>
        <v>TikTok</v>
      </c>
      <c r="H2157" s="29">
        <f>Absolute_Scores!I2157</f>
        <v>50</v>
      </c>
      <c r="I2157" s="30">
        <f t="shared" si="64"/>
        <v>62.5</v>
      </c>
    </row>
    <row r="2158" spans="6:9">
      <c r="F2158" s="12" t="str">
        <f>Absolute_Scores!F2158</f>
        <v>@rizantifadilah</v>
      </c>
      <c r="G2158" s="12" t="str">
        <f>Absolute_Scores!G2158</f>
        <v>TikTok</v>
      </c>
      <c r="H2158" s="29">
        <f>Absolute_Scores!I2158</f>
        <v>50</v>
      </c>
      <c r="I2158" s="30">
        <f t="shared" si="64"/>
        <v>62.5</v>
      </c>
    </row>
    <row r="2159" spans="6:9">
      <c r="F2159" s="12" t="str">
        <f>Absolute_Scores!F2159</f>
        <v>@rizayitnawati</v>
      </c>
      <c r="G2159" s="12" t="str">
        <f>Absolute_Scores!G2159</f>
        <v>Instagram</v>
      </c>
      <c r="H2159" s="29">
        <f>Absolute_Scores!I2159</f>
        <v>50</v>
      </c>
      <c r="I2159" s="30">
        <f t="shared" si="64"/>
        <v>62.5</v>
      </c>
    </row>
    <row r="2160" spans="6:9">
      <c r="F2160" s="12" t="str">
        <f>Absolute_Scores!F2160</f>
        <v>@rizhaa</v>
      </c>
      <c r="G2160" s="12" t="str">
        <f>Absolute_Scores!G2160</f>
        <v>Instagram</v>
      </c>
      <c r="H2160" s="29">
        <f>Absolute_Scores!I2160</f>
        <v>50</v>
      </c>
      <c r="I2160" s="30">
        <f t="shared" si="64"/>
        <v>62.5</v>
      </c>
    </row>
    <row r="2161" spans="6:9">
      <c r="F2161" s="12" t="str">
        <f>Absolute_Scores!F2161</f>
        <v>@rizkambalika</v>
      </c>
      <c r="G2161" s="12" t="str">
        <f>Absolute_Scores!G2161</f>
        <v>Instagram</v>
      </c>
      <c r="H2161" s="29">
        <f>Absolute_Scores!I2161</f>
        <v>50</v>
      </c>
      <c r="I2161" s="30">
        <f t="shared" si="64"/>
        <v>62.5</v>
      </c>
    </row>
    <row r="2162" spans="6:9">
      <c r="F2162" s="12" t="str">
        <f>Absolute_Scores!F2162</f>
        <v>@rizkayunindaa</v>
      </c>
      <c r="G2162" s="12" t="str">
        <f>Absolute_Scores!G2162</f>
        <v>Instagram</v>
      </c>
      <c r="H2162" s="29">
        <f>Absolute_Scores!I2162</f>
        <v>50</v>
      </c>
      <c r="I2162" s="30">
        <f t="shared" si="64"/>
        <v>62.5</v>
      </c>
    </row>
    <row r="2163" spans="6:9">
      <c r="F2163" s="12" t="str">
        <f>Absolute_Scores!F2163</f>
        <v>@rizkiapebriyantii</v>
      </c>
      <c r="G2163" s="12" t="str">
        <f>Absolute_Scores!G2163</f>
        <v>TikTok</v>
      </c>
      <c r="H2163" s="29">
        <f>Absolute_Scores!I2163</f>
        <v>50</v>
      </c>
      <c r="I2163" s="30">
        <f t="shared" si="64"/>
        <v>62.5</v>
      </c>
    </row>
    <row r="2164" spans="6:9">
      <c r="F2164" s="12" t="str">
        <f>Absolute_Scores!F2164</f>
        <v>@rizkinadyaputri</v>
      </c>
      <c r="G2164" s="12" t="str">
        <f>Absolute_Scores!G2164</f>
        <v>Instagram</v>
      </c>
      <c r="H2164" s="29">
        <f>Absolute_Scores!I2164</f>
        <v>50</v>
      </c>
      <c r="I2164" s="30">
        <f t="shared" si="64"/>
        <v>62.5</v>
      </c>
    </row>
    <row r="2165" spans="6:9">
      <c r="F2165" s="12" t="str">
        <f>Absolute_Scores!F2165</f>
        <v>@rizkyamelia019</v>
      </c>
      <c r="G2165" s="12" t="str">
        <f>Absolute_Scores!G2165</f>
        <v>Instagram</v>
      </c>
      <c r="H2165" s="29">
        <f>Absolute_Scores!I2165</f>
        <v>50</v>
      </c>
      <c r="I2165" s="30">
        <f t="shared" si="64"/>
        <v>62.5</v>
      </c>
    </row>
    <row r="2166" spans="6:9">
      <c r="F2166" s="12" t="str">
        <f>Absolute_Scores!F2166</f>
        <v>@rizkymaulana5450</v>
      </c>
      <c r="G2166" s="12" t="str">
        <f>Absolute_Scores!G2166</f>
        <v>TikTok</v>
      </c>
      <c r="H2166" s="29">
        <f>Absolute_Scores!I2166</f>
        <v>50</v>
      </c>
      <c r="I2166" s="30">
        <f t="shared" si="64"/>
        <v>62.5</v>
      </c>
    </row>
    <row r="2167" spans="6:9">
      <c r="F2167" s="12" t="str">
        <f>Absolute_Scores!F2167</f>
        <v>@rizma.vhee_</v>
      </c>
      <c r="G2167" s="12" t="str">
        <f>Absolute_Scores!G2167</f>
        <v>Instagram</v>
      </c>
      <c r="H2167" s="29">
        <f>Absolute_Scores!I2167</f>
        <v>50</v>
      </c>
      <c r="I2167" s="30">
        <f t="shared" si="64"/>
        <v>62.5</v>
      </c>
    </row>
    <row r="2168" spans="6:9">
      <c r="F2168" s="12" t="str">
        <f>Absolute_Scores!F2168</f>
        <v>@rizmalda_</v>
      </c>
      <c r="G2168" s="12" t="str">
        <f>Absolute_Scores!G2168</f>
        <v>TikTok</v>
      </c>
      <c r="H2168" s="29">
        <f>Absolute_Scores!I2168</f>
        <v>50</v>
      </c>
      <c r="I2168" s="30">
        <f t="shared" si="64"/>
        <v>62.5</v>
      </c>
    </row>
    <row r="2169" spans="6:9">
      <c r="F2169" s="12" t="str">
        <f>Absolute_Scores!F2169</f>
        <v>@rjesyakira</v>
      </c>
      <c r="G2169" s="12" t="str">
        <f>Absolute_Scores!G2169</f>
        <v>Instagram</v>
      </c>
      <c r="H2169" s="29">
        <f>Absolute_Scores!I2169</f>
        <v>50</v>
      </c>
      <c r="I2169" s="30">
        <f t="shared" si="64"/>
        <v>62.5</v>
      </c>
    </row>
    <row r="2170" spans="6:9">
      <c r="F2170" s="12" t="str">
        <f>Absolute_Scores!F2170</f>
        <v>@rkhaa_marline</v>
      </c>
      <c r="G2170" s="12" t="str">
        <f>Absolute_Scores!G2170</f>
        <v>Instagram</v>
      </c>
      <c r="H2170" s="29">
        <f>Absolute_Scores!I2170</f>
        <v>50</v>
      </c>
      <c r="I2170" s="30">
        <f t="shared" si="64"/>
        <v>62.5</v>
      </c>
    </row>
    <row r="2171" spans="6:9">
      <c r="F2171" s="12" t="str">
        <f>Absolute_Scores!F2171</f>
        <v>@rlinachang</v>
      </c>
      <c r="G2171" s="12" t="str">
        <f>Absolute_Scores!G2171</f>
        <v>TikTok</v>
      </c>
      <c r="H2171" s="29">
        <f>Absolute_Scores!I2171</f>
        <v>50</v>
      </c>
      <c r="I2171" s="30">
        <f t="shared" si="64"/>
        <v>62.5</v>
      </c>
    </row>
    <row r="2172" spans="6:9">
      <c r="F2172" s="12" t="str">
        <f>Absolute_Scores!F2172</f>
        <v>@roedyeina</v>
      </c>
      <c r="G2172" s="12" t="str">
        <f>Absolute_Scores!G2172</f>
        <v>Instagram</v>
      </c>
      <c r="H2172" s="29">
        <f>Absolute_Scores!I2172</f>
        <v>50</v>
      </c>
      <c r="I2172" s="30">
        <f t="shared" si="64"/>
        <v>62.5</v>
      </c>
    </row>
    <row r="2173" spans="6:9">
      <c r="F2173" s="12" t="str">
        <f>Absolute_Scores!F2173</f>
        <v>@ronal.kim_taeroo98</v>
      </c>
      <c r="G2173" s="12" t="str">
        <f>Absolute_Scores!G2173</f>
        <v>TikTok</v>
      </c>
      <c r="H2173" s="29">
        <f>Absolute_Scores!I2173</f>
        <v>50</v>
      </c>
      <c r="I2173" s="30">
        <f t="shared" si="64"/>
        <v>62.5</v>
      </c>
    </row>
    <row r="2174" spans="6:9">
      <c r="F2174" s="12" t="str">
        <f>Absolute_Scores!F2174</f>
        <v>@ronaldandrian.k</v>
      </c>
      <c r="G2174" s="12" t="str">
        <f>Absolute_Scores!G2174</f>
        <v>TikTok</v>
      </c>
      <c r="H2174" s="29">
        <f>Absolute_Scores!I2174</f>
        <v>50</v>
      </c>
      <c r="I2174" s="30">
        <f t="shared" si="64"/>
        <v>62.5</v>
      </c>
    </row>
    <row r="2175" spans="6:9">
      <c r="F2175" s="12" t="str">
        <f>Absolute_Scores!F2175</f>
        <v>@ronaromansyah11</v>
      </c>
      <c r="G2175" s="12" t="str">
        <f>Absolute_Scores!G2175</f>
        <v>Instagram</v>
      </c>
      <c r="H2175" s="29">
        <f>Absolute_Scores!I2175</f>
        <v>50</v>
      </c>
      <c r="I2175" s="30">
        <f t="shared" si="64"/>
        <v>62.5</v>
      </c>
    </row>
    <row r="2176" spans="6:9">
      <c r="F2176" s="12" t="str">
        <f>Absolute_Scores!F2176</f>
        <v>@rosaliameydln</v>
      </c>
      <c r="G2176" s="12" t="str">
        <f>Absolute_Scores!G2176</f>
        <v>TikTok</v>
      </c>
      <c r="H2176" s="29">
        <f>Absolute_Scores!I2176</f>
        <v>50</v>
      </c>
      <c r="I2176" s="30">
        <f t="shared" si="64"/>
        <v>62.5</v>
      </c>
    </row>
    <row r="2177" spans="6:9">
      <c r="F2177" s="12" t="str">
        <f>Absolute_Scores!F2177</f>
        <v>@rosellienonn</v>
      </c>
      <c r="G2177" s="12" t="str">
        <f>Absolute_Scores!G2177</f>
        <v>Instagram</v>
      </c>
      <c r="H2177" s="29">
        <f>Absolute_Scores!I2177</f>
        <v>50</v>
      </c>
      <c r="I2177" s="30">
        <f t="shared" si="64"/>
        <v>62.5</v>
      </c>
    </row>
    <row r="2178" spans="6:9">
      <c r="F2178" s="12" t="str">
        <f>Absolute_Scores!F2178</f>
        <v>@rosiiii_1</v>
      </c>
      <c r="G2178" s="12" t="str">
        <f>Absolute_Scores!G2178</f>
        <v>TikTok</v>
      </c>
      <c r="H2178" s="29">
        <f>Absolute_Scores!I2178</f>
        <v>50</v>
      </c>
      <c r="I2178" s="30">
        <f t="shared" si="64"/>
        <v>62.5</v>
      </c>
    </row>
    <row r="2179" spans="6:9">
      <c r="F2179" s="12" t="str">
        <f>Absolute_Scores!F2179</f>
        <v>@rosiitaputri_</v>
      </c>
      <c r="G2179" s="12" t="str">
        <f>Absolute_Scores!G2179</f>
        <v>Instagram</v>
      </c>
      <c r="H2179" s="29">
        <f>Absolute_Scores!I2179</f>
        <v>50</v>
      </c>
      <c r="I2179" s="30">
        <f t="shared" si="64"/>
        <v>62.5</v>
      </c>
    </row>
    <row r="2180" spans="6:9">
      <c r="F2180" s="12" t="str">
        <f>Absolute_Scores!F2180</f>
        <v>@rowienaumboh</v>
      </c>
      <c r="G2180" s="12" t="str">
        <f>Absolute_Scores!G2180</f>
        <v>Instagram</v>
      </c>
      <c r="H2180" s="29">
        <f>Absolute_Scores!I2180</f>
        <v>50</v>
      </c>
      <c r="I2180" s="30">
        <f t="shared" si="64"/>
        <v>62.5</v>
      </c>
    </row>
    <row r="2181" spans="6:9">
      <c r="F2181" s="12" t="str">
        <f>Absolute_Scores!F2181</f>
        <v>@rozeismyname</v>
      </c>
      <c r="G2181" s="12" t="str">
        <f>Absolute_Scores!G2181</f>
        <v>Instagram</v>
      </c>
      <c r="H2181" s="29">
        <f>Absolute_Scores!I2181</f>
        <v>50</v>
      </c>
      <c r="I2181" s="30">
        <f t="shared" si="64"/>
        <v>62.5</v>
      </c>
    </row>
    <row r="2182" spans="6:9">
      <c r="F2182" s="12" t="str">
        <f>Absolute_Scores!F2182</f>
        <v>@rrajjaar_</v>
      </c>
      <c r="G2182" s="12" t="str">
        <f>Absolute_Scores!G2182</f>
        <v>TikTok</v>
      </c>
      <c r="H2182" s="29">
        <f>Absolute_Scores!I2182</f>
        <v>50</v>
      </c>
      <c r="I2182" s="30">
        <f t="shared" ref="I2182:I2245" si="65">ROUND(H2182/$I$4*100,2)</f>
        <v>62.5</v>
      </c>
    </row>
    <row r="2183" spans="6:9">
      <c r="F2183" s="12" t="str">
        <f>Absolute_Scores!F2183</f>
        <v>@rratuasha</v>
      </c>
      <c r="G2183" s="12" t="str">
        <f>Absolute_Scores!G2183</f>
        <v>TikTok</v>
      </c>
      <c r="H2183" s="29">
        <f>Absolute_Scores!I2183</f>
        <v>50</v>
      </c>
      <c r="I2183" s="30">
        <f t="shared" si="65"/>
        <v>62.5</v>
      </c>
    </row>
    <row r="2184" spans="6:9">
      <c r="F2184" s="12" t="str">
        <f>Absolute_Scores!F2184</f>
        <v>@rratuwn</v>
      </c>
      <c r="G2184" s="12" t="str">
        <f>Absolute_Scores!G2184</f>
        <v>TikTok</v>
      </c>
      <c r="H2184" s="29">
        <f>Absolute_Scores!I2184</f>
        <v>50</v>
      </c>
      <c r="I2184" s="30">
        <f t="shared" si="65"/>
        <v>62.5</v>
      </c>
    </row>
    <row r="2185" spans="6:9">
      <c r="F2185" s="12" t="str">
        <f>Absolute_Scores!F2185</f>
        <v>@rraxxq</v>
      </c>
      <c r="G2185" s="12" t="str">
        <f>Absolute_Scores!G2185</f>
        <v>Instagram</v>
      </c>
      <c r="H2185" s="29">
        <f>Absolute_Scores!I2185</f>
        <v>50</v>
      </c>
      <c r="I2185" s="30">
        <f t="shared" si="65"/>
        <v>62.5</v>
      </c>
    </row>
    <row r="2186" spans="6:9">
      <c r="F2186" s="12" t="str">
        <f>Absolute_Scores!F2186</f>
        <v>@rumah.atu</v>
      </c>
      <c r="G2186" s="12" t="str">
        <f>Absolute_Scores!G2186</f>
        <v>TikTok</v>
      </c>
      <c r="H2186" s="29">
        <f>Absolute_Scores!I2186</f>
        <v>50</v>
      </c>
      <c r="I2186" s="30">
        <f t="shared" si="65"/>
        <v>62.5</v>
      </c>
    </row>
    <row r="2187" spans="6:9">
      <c r="F2187" s="12" t="str">
        <f>Absolute_Scores!F2187</f>
        <v>@rumah.kaia</v>
      </c>
      <c r="G2187" s="12" t="str">
        <f>Absolute_Scores!G2187</f>
        <v>Instagram</v>
      </c>
      <c r="H2187" s="29">
        <f>Absolute_Scores!I2187</f>
        <v>50</v>
      </c>
      <c r="I2187" s="30">
        <f t="shared" si="65"/>
        <v>62.5</v>
      </c>
    </row>
    <row r="2188" spans="6:9">
      <c r="F2188" s="12" t="str">
        <f>Absolute_Scores!F2188</f>
        <v>@rumahbeevi</v>
      </c>
      <c r="G2188" s="12" t="str">
        <f>Absolute_Scores!G2188</f>
        <v>Instagram</v>
      </c>
      <c r="H2188" s="29">
        <f>Absolute_Scores!I2188</f>
        <v>50</v>
      </c>
      <c r="I2188" s="30">
        <f t="shared" si="65"/>
        <v>62.5</v>
      </c>
    </row>
    <row r="2189" spans="6:9">
      <c r="F2189" s="12" t="str">
        <f>Absolute_Scores!F2189</f>
        <v>@rumahriqata</v>
      </c>
      <c r="G2189" s="12" t="str">
        <f>Absolute_Scores!G2189</f>
        <v>TikTok</v>
      </c>
      <c r="H2189" s="29">
        <f>Absolute_Scores!I2189</f>
        <v>50</v>
      </c>
      <c r="I2189" s="30">
        <f t="shared" si="65"/>
        <v>62.5</v>
      </c>
    </row>
    <row r="2190" spans="6:9">
      <c r="F2190" s="12" t="str">
        <f>Absolute_Scores!F2190</f>
        <v>@rumahurang</v>
      </c>
      <c r="G2190" s="12" t="str">
        <f>Absolute_Scores!G2190</f>
        <v>Instagram</v>
      </c>
      <c r="H2190" s="29">
        <f>Absolute_Scores!I2190</f>
        <v>50</v>
      </c>
      <c r="I2190" s="30">
        <f t="shared" si="65"/>
        <v>62.5</v>
      </c>
    </row>
    <row r="2191" spans="6:9">
      <c r="F2191" s="12" t="str">
        <f>Absolute_Scores!F2191</f>
        <v>@ruro_kim</v>
      </c>
      <c r="G2191" s="12" t="str">
        <f>Absolute_Scores!G2191</f>
        <v>Instagram</v>
      </c>
      <c r="H2191" s="29">
        <f>Absolute_Scores!I2191</f>
        <v>50</v>
      </c>
      <c r="I2191" s="30">
        <f t="shared" si="65"/>
        <v>62.5</v>
      </c>
    </row>
    <row r="2192" spans="6:9">
      <c r="F2192" s="12" t="str">
        <f>Absolute_Scores!F2192</f>
        <v>@rushrunners</v>
      </c>
      <c r="G2192" s="12" t="str">
        <f>Absolute_Scores!G2192</f>
        <v>Instagram</v>
      </c>
      <c r="H2192" s="29">
        <f>Absolute_Scores!I2192</f>
        <v>50</v>
      </c>
      <c r="I2192" s="30">
        <f t="shared" si="65"/>
        <v>62.5</v>
      </c>
    </row>
    <row r="2193" spans="6:9">
      <c r="F2193" s="12" t="str">
        <f>Absolute_Scores!F2193</f>
        <v>@ruthwilianto</v>
      </c>
      <c r="G2193" s="12" t="str">
        <f>Absolute_Scores!G2193</f>
        <v>TikTok</v>
      </c>
      <c r="H2193" s="29">
        <f>Absolute_Scores!I2193</f>
        <v>50</v>
      </c>
      <c r="I2193" s="30">
        <f t="shared" si="65"/>
        <v>62.5</v>
      </c>
    </row>
    <row r="2194" spans="6:9">
      <c r="F2194" s="12" t="str">
        <f>Absolute_Scores!F2194</f>
        <v>@rvylichah</v>
      </c>
      <c r="G2194" s="12" t="str">
        <f>Absolute_Scores!G2194</f>
        <v>TikTok</v>
      </c>
      <c r="H2194" s="29">
        <f>Absolute_Scores!I2194</f>
        <v>50</v>
      </c>
      <c r="I2194" s="30">
        <f t="shared" si="65"/>
        <v>62.5</v>
      </c>
    </row>
    <row r="2195" spans="6:9">
      <c r="F2195" s="12" t="str">
        <f>Absolute_Scores!F2195</f>
        <v>@ryana15_</v>
      </c>
      <c r="G2195" s="12" t="str">
        <f>Absolute_Scores!G2195</f>
        <v>TikTok</v>
      </c>
      <c r="H2195" s="29">
        <f>Absolute_Scores!I2195</f>
        <v>50</v>
      </c>
      <c r="I2195" s="30">
        <f t="shared" si="65"/>
        <v>62.5</v>
      </c>
    </row>
    <row r="2196" spans="6:9">
      <c r="F2196" s="12" t="str">
        <f>Absolute_Scores!F2196</f>
        <v>@ryanadewis</v>
      </c>
      <c r="G2196" s="12" t="str">
        <f>Absolute_Scores!G2196</f>
        <v>Instagram</v>
      </c>
      <c r="H2196" s="29">
        <f>Absolute_Scores!I2196</f>
        <v>50</v>
      </c>
      <c r="I2196" s="30">
        <f t="shared" si="65"/>
        <v>62.5</v>
      </c>
    </row>
    <row r="2197" spans="6:9">
      <c r="F2197" s="12" t="str">
        <f>Absolute_Scores!F2197</f>
        <v>@ryanayam</v>
      </c>
      <c r="G2197" s="12" t="str">
        <f>Absolute_Scores!G2197</f>
        <v>TikTok</v>
      </c>
      <c r="H2197" s="29">
        <f>Absolute_Scores!I2197</f>
        <v>50</v>
      </c>
      <c r="I2197" s="30">
        <f t="shared" si="65"/>
        <v>62.5</v>
      </c>
    </row>
    <row r="2198" spans="6:9">
      <c r="F2198" s="12" t="str">
        <f>Absolute_Scores!F2198</f>
        <v>@ryanfadh</v>
      </c>
      <c r="G2198" s="12" t="str">
        <f>Absolute_Scores!G2198</f>
        <v>TikTok</v>
      </c>
      <c r="H2198" s="29">
        <f>Absolute_Scores!I2198</f>
        <v>50</v>
      </c>
      <c r="I2198" s="30">
        <f t="shared" si="65"/>
        <v>62.5</v>
      </c>
    </row>
    <row r="2199" spans="6:9">
      <c r="F2199" s="12" t="str">
        <f>Absolute_Scores!F2199</f>
        <v>@ryanottelo</v>
      </c>
      <c r="G2199" s="12" t="str">
        <f>Absolute_Scores!G2199</f>
        <v>TikTok</v>
      </c>
      <c r="H2199" s="29">
        <f>Absolute_Scores!I2199</f>
        <v>50</v>
      </c>
      <c r="I2199" s="30">
        <f t="shared" si="65"/>
        <v>62.5</v>
      </c>
    </row>
    <row r="2200" spans="6:9">
      <c r="F2200" s="12" t="str">
        <f>Absolute_Scores!F2200</f>
        <v>@ryanury</v>
      </c>
      <c r="G2200" s="12" t="str">
        <f>Absolute_Scores!G2200</f>
        <v>Instagram</v>
      </c>
      <c r="H2200" s="29">
        <f>Absolute_Scores!I2200</f>
        <v>50</v>
      </c>
      <c r="I2200" s="30">
        <f t="shared" si="65"/>
        <v>62.5</v>
      </c>
    </row>
    <row r="2201" spans="6:9">
      <c r="F2201" s="12" t="str">
        <f>Absolute_Scores!F2201</f>
        <v>@rzfany_</v>
      </c>
      <c r="G2201" s="12" t="str">
        <f>Absolute_Scores!G2201</f>
        <v>TikTok</v>
      </c>
      <c r="H2201" s="29">
        <f>Absolute_Scores!I2201</f>
        <v>50</v>
      </c>
      <c r="I2201" s="30">
        <f t="shared" si="65"/>
        <v>62.5</v>
      </c>
    </row>
    <row r="2202" spans="6:9">
      <c r="F2202" s="12" t="str">
        <f>Absolute_Scores!F2202</f>
        <v>@s_meilani5</v>
      </c>
      <c r="G2202" s="12" t="str">
        <f>Absolute_Scores!G2202</f>
        <v>Instagram</v>
      </c>
      <c r="H2202" s="29">
        <f>Absolute_Scores!I2202</f>
        <v>50</v>
      </c>
      <c r="I2202" s="30">
        <f t="shared" si="65"/>
        <v>62.5</v>
      </c>
    </row>
    <row r="2203" spans="6:9">
      <c r="F2203" s="12" t="str">
        <f>Absolute_Scores!F2203</f>
        <v>@s.abila</v>
      </c>
      <c r="G2203" s="12" t="str">
        <f>Absolute_Scores!G2203</f>
        <v>TikTok</v>
      </c>
      <c r="H2203" s="29">
        <f>Absolute_Scores!I2203</f>
        <v>50</v>
      </c>
      <c r="I2203" s="30">
        <f t="shared" si="65"/>
        <v>62.5</v>
      </c>
    </row>
    <row r="2204" spans="6:9">
      <c r="F2204" s="12" t="str">
        <f>Absolute_Scores!F2204</f>
        <v>@saaelisaasaaa</v>
      </c>
      <c r="G2204" s="12" t="str">
        <f>Absolute_Scores!G2204</f>
        <v>Instagram</v>
      </c>
      <c r="H2204" s="29">
        <f>Absolute_Scores!I2204</f>
        <v>50</v>
      </c>
      <c r="I2204" s="30">
        <f t="shared" si="65"/>
        <v>62.5</v>
      </c>
    </row>
    <row r="2205" spans="6:9">
      <c r="F2205" s="12" t="str">
        <f>Absolute_Scores!F2205</f>
        <v>@saafrinna</v>
      </c>
      <c r="G2205" s="12" t="str">
        <f>Absolute_Scores!G2205</f>
        <v>TikTok</v>
      </c>
      <c r="H2205" s="29">
        <f>Absolute_Scores!I2205</f>
        <v>50</v>
      </c>
      <c r="I2205" s="30">
        <f t="shared" si="65"/>
        <v>62.5</v>
      </c>
    </row>
    <row r="2206" spans="6:9">
      <c r="F2206" s="12" t="str">
        <f>Absolute_Scores!F2206</f>
        <v>@sabarglowup</v>
      </c>
      <c r="G2206" s="12" t="str">
        <f>Absolute_Scores!G2206</f>
        <v>TikTok</v>
      </c>
      <c r="H2206" s="29">
        <f>Absolute_Scores!I2206</f>
        <v>50</v>
      </c>
      <c r="I2206" s="30">
        <f t="shared" si="65"/>
        <v>62.5</v>
      </c>
    </row>
    <row r="2207" spans="6:9">
      <c r="F2207" s="12" t="str">
        <f>Absolute_Scores!F2207</f>
        <v>@sabbilaags</v>
      </c>
      <c r="G2207" s="12" t="str">
        <f>Absolute_Scores!G2207</f>
        <v>Instagram</v>
      </c>
      <c r="H2207" s="29">
        <f>Absolute_Scores!I2207</f>
        <v>50</v>
      </c>
      <c r="I2207" s="30">
        <f t="shared" si="65"/>
        <v>62.5</v>
      </c>
    </row>
    <row r="2208" spans="6:9">
      <c r="F2208" s="12" t="str">
        <f>Absolute_Scores!F2208</f>
        <v>@sabrinayovela</v>
      </c>
      <c r="G2208" s="12" t="str">
        <f>Absolute_Scores!G2208</f>
        <v>TikTok</v>
      </c>
      <c r="H2208" s="29">
        <f>Absolute_Scores!I2208</f>
        <v>50</v>
      </c>
      <c r="I2208" s="30">
        <f t="shared" si="65"/>
        <v>62.5</v>
      </c>
    </row>
    <row r="2209" spans="6:9">
      <c r="F2209" s="12" t="str">
        <f>Absolute_Scores!F2209</f>
        <v>@sadrinaoctadelya</v>
      </c>
      <c r="G2209" s="12" t="str">
        <f>Absolute_Scores!G2209</f>
        <v>Instagram</v>
      </c>
      <c r="H2209" s="29">
        <f>Absolute_Scores!I2209</f>
        <v>50</v>
      </c>
      <c r="I2209" s="30">
        <f t="shared" si="65"/>
        <v>62.5</v>
      </c>
    </row>
    <row r="2210" spans="6:9">
      <c r="F2210" s="12" t="str">
        <f>Absolute_Scores!F2210</f>
        <v>@safitriaayu</v>
      </c>
      <c r="G2210" s="12" t="str">
        <f>Absolute_Scores!G2210</f>
        <v>TikTok</v>
      </c>
      <c r="H2210" s="29">
        <f>Absolute_Scores!I2210</f>
        <v>50</v>
      </c>
      <c r="I2210" s="30">
        <f t="shared" si="65"/>
        <v>62.5</v>
      </c>
    </row>
    <row r="2211" spans="6:9">
      <c r="F2211" s="12" t="str">
        <f>Absolute_Scores!F2211</f>
        <v>@safsafierra</v>
      </c>
      <c r="G2211" s="12" t="str">
        <f>Absolute_Scores!G2211</f>
        <v>TikTok</v>
      </c>
      <c r="H2211" s="29">
        <f>Absolute_Scores!I2211</f>
        <v>50</v>
      </c>
      <c r="I2211" s="30">
        <f t="shared" si="65"/>
        <v>62.5</v>
      </c>
    </row>
    <row r="2212" spans="6:9">
      <c r="F2212" s="12" t="str">
        <f>Absolute_Scores!F2212</f>
        <v>@sairetthahutagalung</v>
      </c>
      <c r="G2212" s="12" t="str">
        <f>Absolute_Scores!G2212</f>
        <v>Instagram</v>
      </c>
      <c r="H2212" s="29">
        <f>Absolute_Scores!I2212</f>
        <v>50</v>
      </c>
      <c r="I2212" s="30">
        <f t="shared" si="65"/>
        <v>62.5</v>
      </c>
    </row>
    <row r="2213" spans="6:9">
      <c r="F2213" s="12" t="str">
        <f>Absolute_Scores!F2213</f>
        <v>@salamaazizahh</v>
      </c>
      <c r="G2213" s="12" t="str">
        <f>Absolute_Scores!G2213</f>
        <v>TikTok</v>
      </c>
      <c r="H2213" s="29">
        <f>Absolute_Scores!I2213</f>
        <v>50</v>
      </c>
      <c r="I2213" s="30">
        <f t="shared" si="65"/>
        <v>62.5</v>
      </c>
    </row>
    <row r="2214" spans="6:9">
      <c r="F2214" s="12" t="str">
        <f>Absolute_Scores!F2214</f>
        <v>@salmaaristiana</v>
      </c>
      <c r="G2214" s="12" t="str">
        <f>Absolute_Scores!G2214</f>
        <v>TikTok</v>
      </c>
      <c r="H2214" s="29">
        <f>Absolute_Scores!I2214</f>
        <v>50</v>
      </c>
      <c r="I2214" s="30">
        <f t="shared" si="65"/>
        <v>62.5</v>
      </c>
    </row>
    <row r="2215" spans="6:9">
      <c r="F2215" s="12" t="str">
        <f>Absolute_Scores!F2215</f>
        <v>@salmafitri8</v>
      </c>
      <c r="G2215" s="12" t="str">
        <f>Absolute_Scores!G2215</f>
        <v>Instagram</v>
      </c>
      <c r="H2215" s="29">
        <f>Absolute_Scores!I2215</f>
        <v>50</v>
      </c>
      <c r="I2215" s="30">
        <f t="shared" si="65"/>
        <v>62.5</v>
      </c>
    </row>
    <row r="2216" spans="6:9">
      <c r="F2216" s="12" t="str">
        <f>Absolute_Scores!F2216</f>
        <v>@salmameiiiii</v>
      </c>
      <c r="G2216" s="12" t="str">
        <f>Absolute_Scores!G2216</f>
        <v>TikTok</v>
      </c>
      <c r="H2216" s="29">
        <f>Absolute_Scores!I2216</f>
        <v>50</v>
      </c>
      <c r="I2216" s="30">
        <f t="shared" si="65"/>
        <v>62.5</v>
      </c>
    </row>
    <row r="2217" spans="6:9">
      <c r="F2217" s="12" t="str">
        <f>Absolute_Scores!F2217</f>
        <v>@salmazzhra18</v>
      </c>
      <c r="G2217" s="12" t="str">
        <f>Absolute_Scores!G2217</f>
        <v>TikTok</v>
      </c>
      <c r="H2217" s="29">
        <f>Absolute_Scores!I2217</f>
        <v>50</v>
      </c>
      <c r="I2217" s="30">
        <f t="shared" si="65"/>
        <v>62.5</v>
      </c>
    </row>
    <row r="2218" spans="6:9">
      <c r="F2218" s="12" t="str">
        <f>Absolute_Scores!F2218</f>
        <v>@salmon.roll</v>
      </c>
      <c r="G2218" s="12" t="str">
        <f>Absolute_Scores!G2218</f>
        <v>TikTok</v>
      </c>
      <c r="H2218" s="29">
        <f>Absolute_Scores!I2218</f>
        <v>50</v>
      </c>
      <c r="I2218" s="30">
        <f t="shared" si="65"/>
        <v>62.5</v>
      </c>
    </row>
    <row r="2219" spans="6:9">
      <c r="F2219" s="12" t="str">
        <f>Absolute_Scores!F2219</f>
        <v>@salsabilaenn</v>
      </c>
      <c r="G2219" s="12" t="str">
        <f>Absolute_Scores!G2219</f>
        <v>TikTok</v>
      </c>
      <c r="H2219" s="29">
        <f>Absolute_Scores!I2219</f>
        <v>50</v>
      </c>
      <c r="I2219" s="30">
        <f t="shared" si="65"/>
        <v>62.5</v>
      </c>
    </row>
    <row r="2220" spans="6:9">
      <c r="F2220" s="12" t="str">
        <f>Absolute_Scores!F2220</f>
        <v>@salsabilainii</v>
      </c>
      <c r="G2220" s="12" t="str">
        <f>Absolute_Scores!G2220</f>
        <v>TikTok</v>
      </c>
      <c r="H2220" s="29">
        <f>Absolute_Scores!I2220</f>
        <v>50</v>
      </c>
      <c r="I2220" s="30">
        <f t="shared" si="65"/>
        <v>62.5</v>
      </c>
    </row>
    <row r="2221" spans="6:9">
      <c r="F2221" s="12" t="str">
        <f>Absolute_Scores!F2221</f>
        <v>@salsabilasalwaaa</v>
      </c>
      <c r="G2221" s="12" t="str">
        <f>Absolute_Scores!G2221</f>
        <v>TikTok</v>
      </c>
      <c r="H2221" s="29">
        <f>Absolute_Scores!I2221</f>
        <v>50</v>
      </c>
      <c r="I2221" s="30">
        <f t="shared" si="65"/>
        <v>62.5</v>
      </c>
    </row>
    <row r="2222" spans="6:9">
      <c r="F2222" s="12" t="str">
        <f>Absolute_Scores!F2222</f>
        <v>@salsabilazta</v>
      </c>
      <c r="G2222" s="12" t="str">
        <f>Absolute_Scores!G2222</f>
        <v>TikTok</v>
      </c>
      <c r="H2222" s="29">
        <f>Absolute_Scores!I2222</f>
        <v>50</v>
      </c>
      <c r="I2222" s="30">
        <f t="shared" si="65"/>
        <v>62.5</v>
      </c>
    </row>
    <row r="2223" spans="6:9">
      <c r="F2223" s="12" t="str">
        <f>Absolute_Scores!F2223</f>
        <v>@salvalie</v>
      </c>
      <c r="G2223" s="12" t="str">
        <f>Absolute_Scores!G2223</f>
        <v>Instagram</v>
      </c>
      <c r="H2223" s="29">
        <f>Absolute_Scores!I2223</f>
        <v>50</v>
      </c>
      <c r="I2223" s="30">
        <f t="shared" si="65"/>
        <v>62.5</v>
      </c>
    </row>
    <row r="2224" spans="6:9">
      <c r="F2224" s="12" t="str">
        <f>Absolute_Scores!F2224</f>
        <v>@salyoroselin</v>
      </c>
      <c r="G2224" s="12" t="str">
        <f>Absolute_Scores!G2224</f>
        <v>Instagram</v>
      </c>
      <c r="H2224" s="29">
        <f>Absolute_Scores!I2224</f>
        <v>50</v>
      </c>
      <c r="I2224" s="30">
        <f t="shared" si="65"/>
        <v>62.5</v>
      </c>
    </row>
    <row r="2225" spans="6:9">
      <c r="F2225" s="12" t="str">
        <f>Absolute_Scores!F2225</f>
        <v>@samanthaahana</v>
      </c>
      <c r="G2225" s="12" t="str">
        <f>Absolute_Scores!G2225</f>
        <v>TikTok</v>
      </c>
      <c r="H2225" s="29">
        <f>Absolute_Scores!I2225</f>
        <v>50</v>
      </c>
      <c r="I2225" s="30">
        <f t="shared" si="65"/>
        <v>62.5</v>
      </c>
    </row>
    <row r="2226" spans="6:9">
      <c r="F2226" s="12" t="str">
        <f>Absolute_Scores!F2226</f>
        <v>@san_saniaa</v>
      </c>
      <c r="G2226" s="12" t="str">
        <f>Absolute_Scores!G2226</f>
        <v>Instagram</v>
      </c>
      <c r="H2226" s="29">
        <f>Absolute_Scores!I2226</f>
        <v>50</v>
      </c>
      <c r="I2226" s="30">
        <f t="shared" si="65"/>
        <v>62.5</v>
      </c>
    </row>
    <row r="2227" spans="6:9">
      <c r="F2227" s="12" t="str">
        <f>Absolute_Scores!F2227</f>
        <v>@sanditia_permata</v>
      </c>
      <c r="G2227" s="12" t="str">
        <f>Absolute_Scores!G2227</f>
        <v>Instagram</v>
      </c>
      <c r="H2227" s="29">
        <f>Absolute_Scores!I2227</f>
        <v>50</v>
      </c>
      <c r="I2227" s="30">
        <f t="shared" si="65"/>
        <v>62.5</v>
      </c>
    </row>
    <row r="2228" spans="6:9">
      <c r="F2228" s="12" t="str">
        <f>Absolute_Scores!F2228</f>
        <v>@sandrachane</v>
      </c>
      <c r="G2228" s="12" t="str">
        <f>Absolute_Scores!G2228</f>
        <v>Instagram</v>
      </c>
      <c r="H2228" s="29">
        <f>Absolute_Scores!I2228</f>
        <v>50</v>
      </c>
      <c r="I2228" s="30">
        <f t="shared" si="65"/>
        <v>62.5</v>
      </c>
    </row>
    <row r="2229" spans="6:9">
      <c r="F2229" s="12" t="str">
        <f>Absolute_Scores!F2229</f>
        <v>@sanntania</v>
      </c>
      <c r="G2229" s="12" t="str">
        <f>Absolute_Scores!G2229</f>
        <v>TikTok</v>
      </c>
      <c r="H2229" s="29">
        <f>Absolute_Scores!I2229</f>
        <v>50</v>
      </c>
      <c r="I2229" s="30">
        <f t="shared" si="65"/>
        <v>62.5</v>
      </c>
    </row>
    <row r="2230" spans="6:9">
      <c r="F2230" s="12" t="str">
        <f>Absolute_Scores!F2230</f>
        <v>@sanshiners</v>
      </c>
      <c r="G2230" s="12" t="str">
        <f>Absolute_Scores!G2230</f>
        <v>TikTok</v>
      </c>
      <c r="H2230" s="29">
        <f>Absolute_Scores!I2230</f>
        <v>50</v>
      </c>
      <c r="I2230" s="30">
        <f t="shared" si="65"/>
        <v>62.5</v>
      </c>
    </row>
    <row r="2231" spans="6:9">
      <c r="F2231" s="12" t="str">
        <f>Absolute_Scores!F2231</f>
        <v>@santimaesyaroh</v>
      </c>
      <c r="G2231" s="12" t="str">
        <f>Absolute_Scores!G2231</f>
        <v>TikTok</v>
      </c>
      <c r="H2231" s="29">
        <f>Absolute_Scores!I2231</f>
        <v>50</v>
      </c>
      <c r="I2231" s="30">
        <f t="shared" si="65"/>
        <v>62.5</v>
      </c>
    </row>
    <row r="2232" spans="6:9">
      <c r="F2232" s="12" t="str">
        <f>Absolute_Scores!F2232</f>
        <v>@santiuwey</v>
      </c>
      <c r="G2232" s="12" t="str">
        <f>Absolute_Scores!G2232</f>
        <v>Instagram</v>
      </c>
      <c r="H2232" s="29">
        <f>Absolute_Scores!I2232</f>
        <v>50</v>
      </c>
      <c r="I2232" s="30">
        <f t="shared" si="65"/>
        <v>62.5</v>
      </c>
    </row>
    <row r="2233" spans="6:9">
      <c r="F2233" s="12" t="str">
        <f>Absolute_Scores!F2233</f>
        <v>@saphirasyndrome</v>
      </c>
      <c r="G2233" s="12" t="str">
        <f>Absolute_Scores!G2233</f>
        <v>TikTok</v>
      </c>
      <c r="H2233" s="29">
        <f>Absolute_Scores!I2233</f>
        <v>50</v>
      </c>
      <c r="I2233" s="30">
        <f t="shared" si="65"/>
        <v>62.5</v>
      </c>
    </row>
    <row r="2234" spans="6:9">
      <c r="F2234" s="12" t="str">
        <f>Absolute_Scores!F2234</f>
        <v>@sapipoooy</v>
      </c>
      <c r="G2234" s="12" t="str">
        <f>Absolute_Scores!G2234</f>
        <v>Instagram</v>
      </c>
      <c r="H2234" s="29">
        <f>Absolute_Scores!I2234</f>
        <v>50</v>
      </c>
      <c r="I2234" s="30">
        <f t="shared" si="65"/>
        <v>62.5</v>
      </c>
    </row>
    <row r="2235" spans="6:9">
      <c r="F2235" s="12" t="str">
        <f>Absolute_Scores!F2235</f>
        <v>@sara.nataliasnl</v>
      </c>
      <c r="G2235" s="12" t="str">
        <f>Absolute_Scores!G2235</f>
        <v>TikTok</v>
      </c>
      <c r="H2235" s="29">
        <f>Absolute_Scores!I2235</f>
        <v>50</v>
      </c>
      <c r="I2235" s="30">
        <f t="shared" si="65"/>
        <v>62.5</v>
      </c>
    </row>
    <row r="2236" spans="6:9">
      <c r="F2236" s="12" t="str">
        <f>Absolute_Scores!F2236</f>
        <v>@sarah.aidid</v>
      </c>
      <c r="G2236" s="12" t="str">
        <f>Absolute_Scores!G2236</f>
        <v>TikTok</v>
      </c>
      <c r="H2236" s="29">
        <f>Absolute_Scores!I2236</f>
        <v>50</v>
      </c>
      <c r="I2236" s="30">
        <f t="shared" si="65"/>
        <v>62.5</v>
      </c>
    </row>
    <row r="2237" spans="6:9">
      <c r="F2237" s="12" t="str">
        <f>Absolute_Scores!F2237</f>
        <v>@sarahtumiwa</v>
      </c>
      <c r="G2237" s="12" t="str">
        <f>Absolute_Scores!G2237</f>
        <v>TikTok</v>
      </c>
      <c r="H2237" s="29">
        <f>Absolute_Scores!I2237</f>
        <v>50</v>
      </c>
      <c r="I2237" s="30">
        <f t="shared" si="65"/>
        <v>62.5</v>
      </c>
    </row>
    <row r="2238" spans="6:9">
      <c r="F2238" s="12" t="str">
        <f>Absolute_Scores!F2238</f>
        <v>@sarahzahrahhh</v>
      </c>
      <c r="G2238" s="12" t="str">
        <f>Absolute_Scores!G2238</f>
        <v>Instagram</v>
      </c>
      <c r="H2238" s="29">
        <f>Absolute_Scores!I2238</f>
        <v>50</v>
      </c>
      <c r="I2238" s="30">
        <f t="shared" si="65"/>
        <v>62.5</v>
      </c>
    </row>
    <row r="2239" spans="6:9">
      <c r="F2239" s="12" t="str">
        <f>Absolute_Scores!F2239</f>
        <v>@sariislamioktovia</v>
      </c>
      <c r="G2239" s="12" t="str">
        <f>Absolute_Scores!G2239</f>
        <v>Instagram</v>
      </c>
      <c r="H2239" s="29">
        <f>Absolute_Scores!I2239</f>
        <v>50</v>
      </c>
      <c r="I2239" s="30">
        <f t="shared" si="65"/>
        <v>62.5</v>
      </c>
    </row>
    <row r="2240" spans="6:9">
      <c r="F2240" s="12" t="str">
        <f>Absolute_Scores!F2240</f>
        <v>@sasaads22</v>
      </c>
      <c r="G2240" s="12" t="str">
        <f>Absolute_Scores!G2240</f>
        <v>TikTok</v>
      </c>
      <c r="H2240" s="29">
        <f>Absolute_Scores!I2240</f>
        <v>50</v>
      </c>
      <c r="I2240" s="30">
        <f t="shared" si="65"/>
        <v>62.5</v>
      </c>
    </row>
    <row r="2241" spans="6:9">
      <c r="F2241" s="12" t="str">
        <f>Absolute_Scores!F2241</f>
        <v>@saufanyy</v>
      </c>
      <c r="G2241" s="12" t="str">
        <f>Absolute_Scores!G2241</f>
        <v>TikTok</v>
      </c>
      <c r="H2241" s="29">
        <f>Absolute_Scores!I2241</f>
        <v>50</v>
      </c>
      <c r="I2241" s="30">
        <f t="shared" si="65"/>
        <v>62.5</v>
      </c>
    </row>
    <row r="2242" spans="6:9">
      <c r="F2242" s="12" t="str">
        <f>Absolute_Scores!F2242</f>
        <v>@sawanganupdate</v>
      </c>
      <c r="G2242" s="12" t="str">
        <f>Absolute_Scores!G2242</f>
        <v>Instagram</v>
      </c>
      <c r="H2242" s="29">
        <f>Absolute_Scores!I2242</f>
        <v>50</v>
      </c>
      <c r="I2242" s="30">
        <f t="shared" si="65"/>
        <v>62.5</v>
      </c>
    </row>
    <row r="2243" spans="6:9">
      <c r="F2243" s="12" t="str">
        <f>Absolute_Scores!F2243</f>
        <v>@scharliezetjong</v>
      </c>
      <c r="G2243" s="12" t="str">
        <f>Absolute_Scores!G2243</f>
        <v>TikTok</v>
      </c>
      <c r="H2243" s="29">
        <f>Absolute_Scores!I2243</f>
        <v>50</v>
      </c>
      <c r="I2243" s="30">
        <f t="shared" si="65"/>
        <v>62.5</v>
      </c>
    </row>
    <row r="2244" spans="6:9">
      <c r="F2244" s="12" t="str">
        <f>Absolute_Scores!F2244</f>
        <v>@seanifersydney</v>
      </c>
      <c r="G2244" s="12" t="str">
        <f>Absolute_Scores!G2244</f>
        <v>TikTok</v>
      </c>
      <c r="H2244" s="29">
        <f>Absolute_Scores!I2244</f>
        <v>50</v>
      </c>
      <c r="I2244" s="30">
        <f t="shared" si="65"/>
        <v>62.5</v>
      </c>
    </row>
    <row r="2245" spans="6:9">
      <c r="F2245" s="12" t="str">
        <f>Absolute_Scores!F2245</f>
        <v>@secnidaaa</v>
      </c>
      <c r="G2245" s="12" t="str">
        <f>Absolute_Scores!G2245</f>
        <v>TikTok</v>
      </c>
      <c r="H2245" s="29">
        <f>Absolute_Scores!I2245</f>
        <v>50</v>
      </c>
      <c r="I2245" s="30">
        <f t="shared" si="65"/>
        <v>62.5</v>
      </c>
    </row>
    <row r="2246" spans="6:9">
      <c r="F2246" s="12" t="str">
        <f>Absolute_Scores!F2246</f>
        <v>@sefiiin</v>
      </c>
      <c r="G2246" s="12" t="str">
        <f>Absolute_Scores!G2246</f>
        <v>Instagram</v>
      </c>
      <c r="H2246" s="29">
        <f>Absolute_Scores!I2246</f>
        <v>50</v>
      </c>
      <c r="I2246" s="30">
        <f t="shared" ref="I2246:I2309" si="66">ROUND(H2246/$I$4*100,2)</f>
        <v>62.5</v>
      </c>
    </row>
    <row r="2247" spans="6:9">
      <c r="F2247" s="12" t="str">
        <f>Absolute_Scores!F2247</f>
        <v>@seilairfniaaa</v>
      </c>
      <c r="G2247" s="12" t="str">
        <f>Absolute_Scores!G2247</f>
        <v>TikTok</v>
      </c>
      <c r="H2247" s="29">
        <f>Absolute_Scores!I2247</f>
        <v>50</v>
      </c>
      <c r="I2247" s="30">
        <f t="shared" si="66"/>
        <v>62.5</v>
      </c>
    </row>
    <row r="2248" spans="6:9">
      <c r="F2248" s="12" t="str">
        <f>Absolute_Scores!F2248</f>
        <v>@seillarahma</v>
      </c>
      <c r="G2248" s="12" t="str">
        <f>Absolute_Scores!G2248</f>
        <v>Instagram</v>
      </c>
      <c r="H2248" s="29">
        <f>Absolute_Scores!I2248</f>
        <v>50</v>
      </c>
      <c r="I2248" s="30">
        <f t="shared" si="66"/>
        <v>62.5</v>
      </c>
    </row>
    <row r="2249" spans="6:9">
      <c r="F2249" s="12" t="str">
        <f>Absolute_Scores!F2249</f>
        <v>@selasidoo</v>
      </c>
      <c r="G2249" s="12" t="str">
        <f>Absolute_Scores!G2249</f>
        <v>TikTok</v>
      </c>
      <c r="H2249" s="29">
        <f>Absolute_Scores!I2249</f>
        <v>50</v>
      </c>
      <c r="I2249" s="30">
        <f t="shared" si="66"/>
        <v>62.5</v>
      </c>
    </row>
    <row r="2250" spans="6:9">
      <c r="F2250" s="12" t="str">
        <f>Absolute_Scores!F2250</f>
        <v>@selepy_agustin</v>
      </c>
      <c r="G2250" s="12" t="str">
        <f>Absolute_Scores!G2250</f>
        <v>Instagram</v>
      </c>
      <c r="H2250" s="29">
        <f>Absolute_Scores!I2250</f>
        <v>50</v>
      </c>
      <c r="I2250" s="30">
        <f t="shared" si="66"/>
        <v>62.5</v>
      </c>
    </row>
    <row r="2251" spans="6:9">
      <c r="F2251" s="12" t="str">
        <f>Absolute_Scores!F2251</f>
        <v>@selieffendy</v>
      </c>
      <c r="G2251" s="12" t="str">
        <f>Absolute_Scores!G2251</f>
        <v>Instagram</v>
      </c>
      <c r="H2251" s="29">
        <f>Absolute_Scores!I2251</f>
        <v>50</v>
      </c>
      <c r="I2251" s="30">
        <f t="shared" si="66"/>
        <v>62.5</v>
      </c>
    </row>
    <row r="2252" spans="6:9">
      <c r="F2252" s="12" t="str">
        <f>Absolute_Scores!F2252</f>
        <v>@selina.agusta</v>
      </c>
      <c r="G2252" s="12" t="str">
        <f>Absolute_Scores!G2252</f>
        <v>TikTok</v>
      </c>
      <c r="H2252" s="29">
        <f>Absolute_Scores!I2252</f>
        <v>50</v>
      </c>
      <c r="I2252" s="30">
        <f t="shared" si="66"/>
        <v>62.5</v>
      </c>
    </row>
    <row r="2253" spans="6:9">
      <c r="F2253" s="12" t="str">
        <f>Absolute_Scores!F2253</f>
        <v>@selinaagusta</v>
      </c>
      <c r="G2253" s="12" t="str">
        <f>Absolute_Scores!G2253</f>
        <v>Instagram</v>
      </c>
      <c r="H2253" s="29">
        <f>Absolute_Scores!I2253</f>
        <v>50</v>
      </c>
      <c r="I2253" s="30">
        <f t="shared" si="66"/>
        <v>62.5</v>
      </c>
    </row>
    <row r="2254" spans="6:9">
      <c r="F2254" s="12" t="str">
        <f>Absolute_Scores!F2254</f>
        <v>@semoganakbaik</v>
      </c>
      <c r="G2254" s="12" t="str">
        <f>Absolute_Scores!G2254</f>
        <v>TikTok</v>
      </c>
      <c r="H2254" s="29">
        <f>Absolute_Scores!I2254</f>
        <v>50</v>
      </c>
      <c r="I2254" s="30">
        <f t="shared" si="66"/>
        <v>62.5</v>
      </c>
    </row>
    <row r="2255" spans="6:9">
      <c r="F2255" s="12" t="str">
        <f>Absolute_Scores!F2255</f>
        <v>@senjafirsta</v>
      </c>
      <c r="G2255" s="12" t="str">
        <f>Absolute_Scores!G2255</f>
        <v>TikTok</v>
      </c>
      <c r="H2255" s="29">
        <f>Absolute_Scores!I2255</f>
        <v>50</v>
      </c>
      <c r="I2255" s="30">
        <f t="shared" si="66"/>
        <v>62.5</v>
      </c>
    </row>
    <row r="2256" spans="6:9">
      <c r="F2256" s="12" t="str">
        <f>Absolute_Scores!F2256</f>
        <v>@sennysetia</v>
      </c>
      <c r="G2256" s="12" t="str">
        <f>Absolute_Scores!G2256</f>
        <v>TikTok</v>
      </c>
      <c r="H2256" s="29">
        <f>Absolute_Scores!I2256</f>
        <v>50</v>
      </c>
      <c r="I2256" s="30">
        <f t="shared" si="66"/>
        <v>62.5</v>
      </c>
    </row>
    <row r="2257" spans="6:9">
      <c r="F2257" s="12" t="str">
        <f>Absolute_Scores!F2257</f>
        <v>@sephioora</v>
      </c>
      <c r="G2257" s="12" t="str">
        <f>Absolute_Scores!G2257</f>
        <v>TikTok</v>
      </c>
      <c r="H2257" s="29">
        <f>Absolute_Scores!I2257</f>
        <v>50</v>
      </c>
      <c r="I2257" s="30">
        <f t="shared" si="66"/>
        <v>62.5</v>
      </c>
    </row>
    <row r="2258" spans="6:9">
      <c r="F2258" s="12" t="str">
        <f>Absolute_Scores!F2258</f>
        <v>@septinasilalahi</v>
      </c>
      <c r="G2258" s="12" t="str">
        <f>Absolute_Scores!G2258</f>
        <v>Instagram</v>
      </c>
      <c r="H2258" s="29">
        <f>Absolute_Scores!I2258</f>
        <v>50</v>
      </c>
      <c r="I2258" s="30">
        <f t="shared" si="66"/>
        <v>62.5</v>
      </c>
    </row>
    <row r="2259" spans="6:9">
      <c r="F2259" s="12" t="str">
        <f>Absolute_Scores!F2259</f>
        <v>@septiyanah93</v>
      </c>
      <c r="G2259" s="12" t="str">
        <f>Absolute_Scores!G2259</f>
        <v>Instagram</v>
      </c>
      <c r="H2259" s="29">
        <f>Absolute_Scores!I2259</f>
        <v>50</v>
      </c>
      <c r="I2259" s="30">
        <f t="shared" si="66"/>
        <v>62.5</v>
      </c>
    </row>
    <row r="2260" spans="6:9">
      <c r="F2260" s="12" t="str">
        <f>Absolute_Scores!F2260</f>
        <v>@serviralvty</v>
      </c>
      <c r="G2260" s="12" t="str">
        <f>Absolute_Scores!G2260</f>
        <v>TikTok</v>
      </c>
      <c r="H2260" s="29">
        <f>Absolute_Scores!I2260</f>
        <v>50</v>
      </c>
      <c r="I2260" s="30">
        <f t="shared" si="66"/>
        <v>62.5</v>
      </c>
    </row>
    <row r="2261" spans="6:9">
      <c r="F2261" s="12" t="str">
        <f>Absolute_Scores!F2261</f>
        <v>@seti.yw</v>
      </c>
      <c r="G2261" s="12" t="str">
        <f>Absolute_Scores!G2261</f>
        <v>TikTok</v>
      </c>
      <c r="H2261" s="29">
        <f>Absolute_Scores!I2261</f>
        <v>50</v>
      </c>
      <c r="I2261" s="30">
        <f t="shared" si="66"/>
        <v>62.5</v>
      </c>
    </row>
    <row r="2262" spans="6:9">
      <c r="F2262" s="12" t="str">
        <f>Absolute_Scores!F2262</f>
        <v>@sfnnauliaa_</v>
      </c>
      <c r="G2262" s="12" t="str">
        <f>Absolute_Scores!G2262</f>
        <v>Instagram</v>
      </c>
      <c r="H2262" s="29">
        <f>Absolute_Scores!I2262</f>
        <v>50</v>
      </c>
      <c r="I2262" s="30">
        <f t="shared" si="66"/>
        <v>62.5</v>
      </c>
    </row>
    <row r="2263" spans="6:9">
      <c r="F2263" s="12" t="str">
        <f>Absolute_Scores!F2263</f>
        <v>@shaaaqy</v>
      </c>
      <c r="G2263" s="12" t="str">
        <f>Absolute_Scores!G2263</f>
        <v>TikTok</v>
      </c>
      <c r="H2263" s="29">
        <f>Absolute_Scores!I2263</f>
        <v>50</v>
      </c>
      <c r="I2263" s="30">
        <f t="shared" si="66"/>
        <v>62.5</v>
      </c>
    </row>
    <row r="2264" spans="6:9">
      <c r="F2264" s="12" t="str">
        <f>Absolute_Scores!F2264</f>
        <v>@shab00ri</v>
      </c>
      <c r="G2264" s="12" t="str">
        <f>Absolute_Scores!G2264</f>
        <v>TikTok</v>
      </c>
      <c r="H2264" s="29">
        <f>Absolute_Scores!I2264</f>
        <v>50</v>
      </c>
      <c r="I2264" s="30">
        <f t="shared" si="66"/>
        <v>62.5</v>
      </c>
    </row>
    <row r="2265" spans="6:9">
      <c r="F2265" s="12" t="str">
        <f>Absolute_Scores!F2265</f>
        <v>@shabiraalulaadnan</v>
      </c>
      <c r="G2265" s="12" t="str">
        <f>Absolute_Scores!G2265</f>
        <v>TikTok</v>
      </c>
      <c r="H2265" s="29">
        <f>Absolute_Scores!I2265</f>
        <v>50</v>
      </c>
      <c r="I2265" s="30">
        <f t="shared" si="66"/>
        <v>62.5</v>
      </c>
    </row>
    <row r="2266" spans="6:9">
      <c r="F2266" s="12" t="str">
        <f>Absolute_Scores!F2266</f>
        <v>@shafadriness</v>
      </c>
      <c r="G2266" s="12" t="str">
        <f>Absolute_Scores!G2266</f>
        <v>TikTok</v>
      </c>
      <c r="H2266" s="29">
        <f>Absolute_Scores!I2266</f>
        <v>50</v>
      </c>
      <c r="I2266" s="30">
        <f t="shared" si="66"/>
        <v>62.5</v>
      </c>
    </row>
    <row r="2267" spans="6:9">
      <c r="F2267" s="12" t="str">
        <f>Absolute_Scores!F2267</f>
        <v>@shafaikaa</v>
      </c>
      <c r="G2267" s="12" t="str">
        <f>Absolute_Scores!G2267</f>
        <v>TikTok</v>
      </c>
      <c r="H2267" s="29">
        <f>Absolute_Scores!I2267</f>
        <v>50</v>
      </c>
      <c r="I2267" s="30">
        <f t="shared" si="66"/>
        <v>62.5</v>
      </c>
    </row>
    <row r="2268" spans="6:9">
      <c r="F2268" s="12" t="str">
        <f>Absolute_Scores!F2268</f>
        <v>@shaguffta_</v>
      </c>
      <c r="G2268" s="12" t="str">
        <f>Absolute_Scores!G2268</f>
        <v>TikTok</v>
      </c>
      <c r="H2268" s="29">
        <f>Absolute_Scores!I2268</f>
        <v>50</v>
      </c>
      <c r="I2268" s="30">
        <f t="shared" si="66"/>
        <v>62.5</v>
      </c>
    </row>
    <row r="2269" spans="6:9">
      <c r="F2269" s="12" t="str">
        <f>Absolute_Scores!F2269</f>
        <v>@shahnaz204</v>
      </c>
      <c r="G2269" s="12" t="str">
        <f>Absolute_Scores!G2269</f>
        <v>Instagram</v>
      </c>
      <c r="H2269" s="29">
        <f>Absolute_Scores!I2269</f>
        <v>50</v>
      </c>
      <c r="I2269" s="30">
        <f t="shared" si="66"/>
        <v>62.5</v>
      </c>
    </row>
    <row r="2270" spans="6:9">
      <c r="F2270" s="12" t="str">
        <f>Absolute_Scores!F2270</f>
        <v>@shalsarsyaa</v>
      </c>
      <c r="G2270" s="12" t="str">
        <f>Absolute_Scores!G2270</f>
        <v>TikTok</v>
      </c>
      <c r="H2270" s="29">
        <f>Absolute_Scores!I2270</f>
        <v>50</v>
      </c>
      <c r="I2270" s="30">
        <f t="shared" si="66"/>
        <v>62.5</v>
      </c>
    </row>
    <row r="2271" spans="6:9">
      <c r="F2271" s="12" t="str">
        <f>Absolute_Scores!F2271</f>
        <v>@shalsarsyaa?lang=en</v>
      </c>
      <c r="G2271" s="12" t="str">
        <f>Absolute_Scores!G2271</f>
        <v>TikTok</v>
      </c>
      <c r="H2271" s="29">
        <f>Absolute_Scores!I2271</f>
        <v>50</v>
      </c>
      <c r="I2271" s="30">
        <f t="shared" si="66"/>
        <v>62.5</v>
      </c>
    </row>
    <row r="2272" spans="6:9">
      <c r="F2272" s="12" t="str">
        <f>Absolute_Scores!F2272</f>
        <v>@shandrabahari</v>
      </c>
      <c r="G2272" s="12" t="str">
        <f>Absolute_Scores!G2272</f>
        <v>TikTok</v>
      </c>
      <c r="H2272" s="29">
        <f>Absolute_Scores!I2272</f>
        <v>50</v>
      </c>
      <c r="I2272" s="30">
        <f t="shared" si="66"/>
        <v>62.5</v>
      </c>
    </row>
    <row r="2273" spans="6:9">
      <c r="F2273" s="12" t="str">
        <f>Absolute_Scores!F2273</f>
        <v>@shannonkurniawan_</v>
      </c>
      <c r="G2273" s="12" t="str">
        <f>Absolute_Scores!G2273</f>
        <v>TikTok</v>
      </c>
      <c r="H2273" s="29">
        <f>Absolute_Scores!I2273</f>
        <v>50</v>
      </c>
      <c r="I2273" s="30">
        <f t="shared" si="66"/>
        <v>62.5</v>
      </c>
    </row>
    <row r="2274" spans="6:9">
      <c r="F2274" s="12" t="str">
        <f>Absolute_Scores!F2274</f>
        <v>@sharengraciella</v>
      </c>
      <c r="G2274" s="12" t="str">
        <f>Absolute_Scores!G2274</f>
        <v>TikTok</v>
      </c>
      <c r="H2274" s="29">
        <f>Absolute_Scores!I2274</f>
        <v>50</v>
      </c>
      <c r="I2274" s="30">
        <f t="shared" si="66"/>
        <v>62.5</v>
      </c>
    </row>
    <row r="2275" spans="6:9">
      <c r="F2275" s="12" t="str">
        <f>Absolute_Scores!F2275</f>
        <v>@sharon_christabelle</v>
      </c>
      <c r="G2275" s="12" t="str">
        <f>Absolute_Scores!G2275</f>
        <v>Instagram</v>
      </c>
      <c r="H2275" s="29">
        <f>Absolute_Scores!I2275</f>
        <v>50</v>
      </c>
      <c r="I2275" s="30">
        <f t="shared" si="66"/>
        <v>62.5</v>
      </c>
    </row>
    <row r="2276" spans="6:9">
      <c r="F2276" s="12" t="str">
        <f>Absolute_Scores!F2276</f>
        <v>@shasazhania</v>
      </c>
      <c r="G2276" s="12" t="str">
        <f>Absolute_Scores!G2276</f>
        <v>Instagram</v>
      </c>
      <c r="H2276" s="29">
        <f>Absolute_Scores!I2276</f>
        <v>50</v>
      </c>
      <c r="I2276" s="30">
        <f t="shared" si="66"/>
        <v>62.5</v>
      </c>
    </row>
    <row r="2277" spans="6:9">
      <c r="F2277" s="12" t="str">
        <f>Absolute_Scores!F2277</f>
        <v>@shaturday</v>
      </c>
      <c r="G2277" s="12" t="str">
        <f>Absolute_Scores!G2277</f>
        <v>TikTok</v>
      </c>
      <c r="H2277" s="29">
        <f>Absolute_Scores!I2277</f>
        <v>50</v>
      </c>
      <c r="I2277" s="30">
        <f t="shared" si="66"/>
        <v>62.5</v>
      </c>
    </row>
    <row r="2278" spans="6:9">
      <c r="F2278" s="12" t="str">
        <f>Absolute_Scores!F2278</f>
        <v>@she_wian</v>
      </c>
      <c r="G2278" s="12" t="str">
        <f>Absolute_Scores!G2278</f>
        <v>Instagram</v>
      </c>
      <c r="H2278" s="29">
        <f>Absolute_Scores!I2278</f>
        <v>50</v>
      </c>
      <c r="I2278" s="30">
        <f t="shared" si="66"/>
        <v>62.5</v>
      </c>
    </row>
    <row r="2279" spans="6:9">
      <c r="F2279" s="12" t="str">
        <f>Absolute_Scores!F2279</f>
        <v>@sheilaayata</v>
      </c>
      <c r="G2279" s="12" t="str">
        <f>Absolute_Scores!G2279</f>
        <v>Instagram</v>
      </c>
      <c r="H2279" s="29">
        <f>Absolute_Scores!I2279</f>
        <v>50</v>
      </c>
      <c r="I2279" s="30">
        <f t="shared" si="66"/>
        <v>62.5</v>
      </c>
    </row>
    <row r="2280" spans="6:9">
      <c r="F2280" s="12" t="str">
        <f>Absolute_Scores!F2280</f>
        <v>@shellaapriliahanada</v>
      </c>
      <c r="G2280" s="12" t="str">
        <f>Absolute_Scores!G2280</f>
        <v>Instagram</v>
      </c>
      <c r="H2280" s="29">
        <f>Absolute_Scores!I2280</f>
        <v>50</v>
      </c>
      <c r="I2280" s="30">
        <f t="shared" si="66"/>
        <v>62.5</v>
      </c>
    </row>
    <row r="2281" spans="6:9">
      <c r="F2281" s="12" t="str">
        <f>Absolute_Scores!F2281</f>
        <v>@sheput_</v>
      </c>
      <c r="G2281" s="12" t="str">
        <f>Absolute_Scores!G2281</f>
        <v>Instagram</v>
      </c>
      <c r="H2281" s="29">
        <f>Absolute_Scores!I2281</f>
        <v>50</v>
      </c>
      <c r="I2281" s="30">
        <f t="shared" si="66"/>
        <v>62.5</v>
      </c>
    </row>
    <row r="2282" spans="6:9">
      <c r="F2282" s="12" t="str">
        <f>Absolute_Scores!F2282</f>
        <v>@sherlavenia</v>
      </c>
      <c r="G2282" s="12" t="str">
        <f>Absolute_Scores!G2282</f>
        <v>TikTok</v>
      </c>
      <c r="H2282" s="29">
        <f>Absolute_Scores!I2282</f>
        <v>50</v>
      </c>
      <c r="I2282" s="30">
        <f t="shared" si="66"/>
        <v>62.5</v>
      </c>
    </row>
    <row r="2283" spans="6:9">
      <c r="F2283" s="12" t="str">
        <f>Absolute_Scores!F2283</f>
        <v>@sherly.ocktavia</v>
      </c>
      <c r="G2283" s="12" t="str">
        <f>Absolute_Scores!G2283</f>
        <v>TikTok</v>
      </c>
      <c r="H2283" s="29">
        <f>Absolute_Scores!I2283</f>
        <v>50</v>
      </c>
      <c r="I2283" s="30">
        <f t="shared" si="66"/>
        <v>62.5</v>
      </c>
    </row>
    <row r="2284" spans="6:9">
      <c r="F2284" s="12" t="str">
        <f>Absolute_Scores!F2284</f>
        <v>@sherlyaltissa</v>
      </c>
      <c r="G2284" s="12" t="str">
        <f>Absolute_Scores!G2284</f>
        <v>TikTok</v>
      </c>
      <c r="H2284" s="29">
        <f>Absolute_Scores!I2284</f>
        <v>50</v>
      </c>
      <c r="I2284" s="30">
        <f t="shared" si="66"/>
        <v>62.5</v>
      </c>
    </row>
    <row r="2285" spans="6:9">
      <c r="F2285" s="12" t="str">
        <f>Absolute_Scores!F2285</f>
        <v>@sherlycalistaa</v>
      </c>
      <c r="G2285" s="12" t="str">
        <f>Absolute_Scores!G2285</f>
        <v>TikTok</v>
      </c>
      <c r="H2285" s="29">
        <f>Absolute_Scores!I2285</f>
        <v>50</v>
      </c>
      <c r="I2285" s="30">
        <f t="shared" si="66"/>
        <v>62.5</v>
      </c>
    </row>
    <row r="2286" spans="6:9">
      <c r="F2286" s="12" t="str">
        <f>Absolute_Scores!F2286</f>
        <v>@sherlylid_</v>
      </c>
      <c r="G2286" s="12" t="str">
        <f>Absolute_Scores!G2286</f>
        <v>Instagram</v>
      </c>
      <c r="H2286" s="29">
        <f>Absolute_Scores!I2286</f>
        <v>50</v>
      </c>
      <c r="I2286" s="30">
        <f t="shared" si="66"/>
        <v>62.5</v>
      </c>
    </row>
    <row r="2287" spans="6:9">
      <c r="F2287" s="12" t="str">
        <f>Absolute_Scores!F2287</f>
        <v>@shevaudreyy</v>
      </c>
      <c r="G2287" s="12" t="str">
        <f>Absolute_Scores!G2287</f>
        <v>TikTok</v>
      </c>
      <c r="H2287" s="29">
        <f>Absolute_Scores!I2287</f>
        <v>50</v>
      </c>
      <c r="I2287" s="30">
        <f t="shared" si="66"/>
        <v>62.5</v>
      </c>
    </row>
    <row r="2288" spans="6:9">
      <c r="F2288" s="12" t="str">
        <f>Absolute_Scores!F2288</f>
        <v>@sheza.dw</v>
      </c>
      <c r="G2288" s="12" t="str">
        <f>Absolute_Scores!G2288</f>
        <v>Instagram</v>
      </c>
      <c r="H2288" s="29">
        <f>Absolute_Scores!I2288</f>
        <v>50</v>
      </c>
      <c r="I2288" s="30">
        <f t="shared" si="66"/>
        <v>62.5</v>
      </c>
    </row>
    <row r="2289" spans="6:9">
      <c r="F2289" s="12" t="str">
        <f>Absolute_Scores!F2289</f>
        <v>@shfraa._a</v>
      </c>
      <c r="G2289" s="12" t="str">
        <f>Absolute_Scores!G2289</f>
        <v>Instagram</v>
      </c>
      <c r="H2289" s="29">
        <f>Absolute_Scores!I2289</f>
        <v>50</v>
      </c>
      <c r="I2289" s="30">
        <f t="shared" si="66"/>
        <v>62.5</v>
      </c>
    </row>
    <row r="2290" spans="6:9">
      <c r="F2290" s="12" t="str">
        <f>Absolute_Scores!F2290</f>
        <v>@shhhhne</v>
      </c>
      <c r="G2290" s="12" t="str">
        <f>Absolute_Scores!G2290</f>
        <v>TikTok</v>
      </c>
      <c r="H2290" s="29">
        <f>Absolute_Scores!I2290</f>
        <v>50</v>
      </c>
      <c r="I2290" s="30">
        <f t="shared" si="66"/>
        <v>62.5</v>
      </c>
    </row>
    <row r="2291" spans="6:9">
      <c r="F2291" s="12" t="str">
        <f>Absolute_Scores!F2291</f>
        <v>@shinta.deput</v>
      </c>
      <c r="G2291" s="12" t="str">
        <f>Absolute_Scores!G2291</f>
        <v>TikTok</v>
      </c>
      <c r="H2291" s="29">
        <f>Absolute_Scores!I2291</f>
        <v>50</v>
      </c>
      <c r="I2291" s="30">
        <f t="shared" si="66"/>
        <v>62.5</v>
      </c>
    </row>
    <row r="2292" spans="6:9">
      <c r="F2292" s="12" t="str">
        <f>Absolute_Scores!F2292</f>
        <v>@shivbell</v>
      </c>
      <c r="G2292" s="12" t="str">
        <f>Absolute_Scores!G2292</f>
        <v>Instagram</v>
      </c>
      <c r="H2292" s="29">
        <f>Absolute_Scores!I2292</f>
        <v>50</v>
      </c>
      <c r="I2292" s="30">
        <f t="shared" si="66"/>
        <v>62.5</v>
      </c>
    </row>
    <row r="2293" spans="6:9">
      <c r="F2293" s="12" t="str">
        <f>Absolute_Scores!F2293</f>
        <v>@shopee.stash</v>
      </c>
      <c r="G2293" s="12" t="str">
        <f>Absolute_Scores!G2293</f>
        <v>TikTok</v>
      </c>
      <c r="H2293" s="29">
        <f>Absolute_Scores!I2293</f>
        <v>50</v>
      </c>
      <c r="I2293" s="30">
        <f t="shared" si="66"/>
        <v>62.5</v>
      </c>
    </row>
    <row r="2294" spans="6:9">
      <c r="F2294" s="12" t="str">
        <f>Absolute_Scores!F2294</f>
        <v>@shorthairme_</v>
      </c>
      <c r="G2294" s="12" t="str">
        <f>Absolute_Scores!G2294</f>
        <v>TikTok</v>
      </c>
      <c r="H2294" s="29">
        <f>Absolute_Scores!I2294</f>
        <v>50</v>
      </c>
      <c r="I2294" s="30">
        <f t="shared" si="66"/>
        <v>62.5</v>
      </c>
    </row>
    <row r="2295" spans="6:9">
      <c r="F2295" s="12" t="str">
        <f>Absolute_Scores!F2295</f>
        <v>@shortneckkk</v>
      </c>
      <c r="G2295" s="12" t="str">
        <f>Absolute_Scores!G2295</f>
        <v>TikTok</v>
      </c>
      <c r="H2295" s="29">
        <f>Absolute_Scores!I2295</f>
        <v>50</v>
      </c>
      <c r="I2295" s="30">
        <f t="shared" si="66"/>
        <v>62.5</v>
      </c>
    </row>
    <row r="2296" spans="6:9">
      <c r="F2296" s="12" t="str">
        <f>Absolute_Scores!F2296</f>
        <v>@shortygrey</v>
      </c>
      <c r="G2296" s="12" t="str">
        <f>Absolute_Scores!G2296</f>
        <v>TikTok</v>
      </c>
      <c r="H2296" s="29">
        <f>Absolute_Scores!I2296</f>
        <v>50</v>
      </c>
      <c r="I2296" s="30">
        <f t="shared" si="66"/>
        <v>62.5</v>
      </c>
    </row>
    <row r="2297" spans="6:9">
      <c r="F2297" s="12" t="str">
        <f>Absolute_Scores!F2297</f>
        <v>@shusiie_limbong</v>
      </c>
      <c r="G2297" s="12" t="str">
        <f>Absolute_Scores!G2297</f>
        <v>TikTok</v>
      </c>
      <c r="H2297" s="29">
        <f>Absolute_Scores!I2297</f>
        <v>50</v>
      </c>
      <c r="I2297" s="30">
        <f t="shared" si="66"/>
        <v>62.5</v>
      </c>
    </row>
    <row r="2298" spans="6:9">
      <c r="F2298" s="12" t="str">
        <f>Absolute_Scores!F2298</f>
        <v>@shynaudina</v>
      </c>
      <c r="G2298" s="12" t="str">
        <f>Absolute_Scores!G2298</f>
        <v>TikTok</v>
      </c>
      <c r="H2298" s="29">
        <f>Absolute_Scores!I2298</f>
        <v>50</v>
      </c>
      <c r="I2298" s="30">
        <f t="shared" si="66"/>
        <v>62.5</v>
      </c>
    </row>
    <row r="2299" spans="6:9">
      <c r="F2299" s="12" t="str">
        <f>Absolute_Scores!F2299</f>
        <v>@sichandrajayapermana</v>
      </c>
      <c r="G2299" s="12" t="str">
        <f>Absolute_Scores!G2299</f>
        <v>TikTok</v>
      </c>
      <c r="H2299" s="29">
        <f>Absolute_Scores!I2299</f>
        <v>50</v>
      </c>
      <c r="I2299" s="30">
        <f t="shared" si="66"/>
        <v>62.5</v>
      </c>
    </row>
    <row r="2300" spans="6:9">
      <c r="F2300" s="12" t="str">
        <f>Absolute_Scores!F2300</f>
        <v>@sifa.sipol</v>
      </c>
      <c r="G2300" s="12" t="str">
        <f>Absolute_Scores!G2300</f>
        <v>TikTok</v>
      </c>
      <c r="H2300" s="29">
        <f>Absolute_Scores!I2300</f>
        <v>50</v>
      </c>
      <c r="I2300" s="30">
        <f t="shared" si="66"/>
        <v>62.5</v>
      </c>
    </row>
    <row r="2301" spans="6:9">
      <c r="F2301" s="12" t="str">
        <f>Absolute_Scores!F2301</f>
        <v>@siibuuyuy</v>
      </c>
      <c r="G2301" s="12" t="str">
        <f>Absolute_Scores!G2301</f>
        <v>TikTok</v>
      </c>
      <c r="H2301" s="29">
        <f>Absolute_Scores!I2301</f>
        <v>50</v>
      </c>
      <c r="I2301" s="30">
        <f t="shared" si="66"/>
        <v>62.5</v>
      </c>
    </row>
    <row r="2302" spans="6:9">
      <c r="F2302" s="12" t="str">
        <f>Absolute_Scores!F2302</f>
        <v>@sikesayangann</v>
      </c>
      <c r="G2302" s="12" t="str">
        <f>Absolute_Scores!G2302</f>
        <v>TikTok</v>
      </c>
      <c r="H2302" s="29">
        <f>Absolute_Scores!I2302</f>
        <v>50</v>
      </c>
      <c r="I2302" s="30">
        <f t="shared" si="66"/>
        <v>62.5</v>
      </c>
    </row>
    <row r="2303" spans="6:9">
      <c r="F2303" s="12" t="str">
        <f>Absolute_Scores!F2303</f>
        <v>@silviafajrins</v>
      </c>
      <c r="G2303" s="12" t="str">
        <f>Absolute_Scores!G2303</f>
        <v>TikTok</v>
      </c>
      <c r="H2303" s="29">
        <f>Absolute_Scores!I2303</f>
        <v>50</v>
      </c>
      <c r="I2303" s="30">
        <f t="shared" si="66"/>
        <v>62.5</v>
      </c>
    </row>
    <row r="2304" spans="6:9">
      <c r="F2304" s="12" t="str">
        <f>Absolute_Scores!F2304</f>
        <v>@silviajnd</v>
      </c>
      <c r="G2304" s="12" t="str">
        <f>Absolute_Scores!G2304</f>
        <v>Instagram</v>
      </c>
      <c r="H2304" s="29">
        <f>Absolute_Scores!I2304</f>
        <v>50</v>
      </c>
      <c r="I2304" s="30">
        <f t="shared" si="66"/>
        <v>62.5</v>
      </c>
    </row>
    <row r="2305" spans="6:9">
      <c r="F2305" s="12" t="str">
        <f>Absolute_Scores!F2305</f>
        <v>@silvinurrahayu</v>
      </c>
      <c r="G2305" s="12" t="str">
        <f>Absolute_Scores!G2305</f>
        <v>Instagram</v>
      </c>
      <c r="H2305" s="29">
        <f>Absolute_Scores!I2305</f>
        <v>50</v>
      </c>
      <c r="I2305" s="30">
        <f t="shared" si="66"/>
        <v>62.5</v>
      </c>
    </row>
    <row r="2306" spans="6:9">
      <c r="F2306" s="12" t="str">
        <f>Absolute_Scores!F2306</f>
        <v>@sindiauliaaay</v>
      </c>
      <c r="G2306" s="12" t="str">
        <f>Absolute_Scores!G2306</f>
        <v>TikTok</v>
      </c>
      <c r="H2306" s="29">
        <f>Absolute_Scores!I2306</f>
        <v>50</v>
      </c>
      <c r="I2306" s="30">
        <f t="shared" si="66"/>
        <v>62.5</v>
      </c>
    </row>
    <row r="2307" spans="6:9">
      <c r="F2307" s="12" t="str">
        <f>Absolute_Scores!F2307</f>
        <v>@sindyafrillia_</v>
      </c>
      <c r="G2307" s="12" t="str">
        <f>Absolute_Scores!G2307</f>
        <v>Instagram</v>
      </c>
      <c r="H2307" s="29">
        <f>Absolute_Scores!I2307</f>
        <v>50</v>
      </c>
      <c r="I2307" s="30">
        <f t="shared" si="66"/>
        <v>62.5</v>
      </c>
    </row>
    <row r="2308" spans="6:9">
      <c r="F2308" s="12" t="str">
        <f>Absolute_Scores!F2308</f>
        <v>@sindysukendy</v>
      </c>
      <c r="G2308" s="12" t="str">
        <f>Absolute_Scores!G2308</f>
        <v>Instagram</v>
      </c>
      <c r="H2308" s="29">
        <f>Absolute_Scores!I2308</f>
        <v>50</v>
      </c>
      <c r="I2308" s="30">
        <f t="shared" si="66"/>
        <v>62.5</v>
      </c>
    </row>
    <row r="2309" spans="6:9">
      <c r="F2309" s="12" t="str">
        <f>Absolute_Scores!F2309</f>
        <v>@sinthiasindy</v>
      </c>
      <c r="G2309" s="12" t="str">
        <f>Absolute_Scores!G2309</f>
        <v>TikTok</v>
      </c>
      <c r="H2309" s="29">
        <f>Absolute_Scores!I2309</f>
        <v>50</v>
      </c>
      <c r="I2309" s="30">
        <f t="shared" si="66"/>
        <v>62.5</v>
      </c>
    </row>
    <row r="2310" spans="6:9">
      <c r="F2310" s="12" t="str">
        <f>Absolute_Scores!F2310</f>
        <v>@sipinug</v>
      </c>
      <c r="G2310" s="12" t="str">
        <f>Absolute_Scores!G2310</f>
        <v>TikTok</v>
      </c>
      <c r="H2310" s="29">
        <f>Absolute_Scores!I2310</f>
        <v>50</v>
      </c>
      <c r="I2310" s="30">
        <f t="shared" ref="I2310:I2373" si="67">ROUND(H2310/$I$4*100,2)</f>
        <v>62.5</v>
      </c>
    </row>
    <row r="2311" spans="6:9">
      <c r="F2311" s="12" t="str">
        <f>Absolute_Scores!F2311</f>
        <v>@sirliulfa</v>
      </c>
      <c r="G2311" s="12" t="str">
        <f>Absolute_Scores!G2311</f>
        <v>TikTok</v>
      </c>
      <c r="H2311" s="29">
        <f>Absolute_Scores!I2311</f>
        <v>50</v>
      </c>
      <c r="I2311" s="30">
        <f t="shared" si="67"/>
        <v>62.5</v>
      </c>
    </row>
    <row r="2312" spans="6:9">
      <c r="F2312" s="12" t="str">
        <f>Absolute_Scores!F2312</f>
        <v>@siscaisma</v>
      </c>
      <c r="G2312" s="12" t="str">
        <f>Absolute_Scores!G2312</f>
        <v>Instagram</v>
      </c>
      <c r="H2312" s="29">
        <f>Absolute_Scores!I2312</f>
        <v>50</v>
      </c>
      <c r="I2312" s="30">
        <f t="shared" si="67"/>
        <v>62.5</v>
      </c>
    </row>
    <row r="2313" spans="6:9">
      <c r="F2313" s="12" t="str">
        <f>Absolute_Scores!F2313</f>
        <v>@siskaswrd</v>
      </c>
      <c r="G2313" s="12" t="str">
        <f>Absolute_Scores!G2313</f>
        <v>Instagram</v>
      </c>
      <c r="H2313" s="29">
        <f>Absolute_Scores!I2313</f>
        <v>50</v>
      </c>
      <c r="I2313" s="30">
        <f t="shared" si="67"/>
        <v>62.5</v>
      </c>
    </row>
    <row r="2314" spans="6:9">
      <c r="F2314" s="12" t="str">
        <f>Absolute_Scores!F2314</f>
        <v>@sistersbourbond</v>
      </c>
      <c r="G2314" s="12" t="str">
        <f>Absolute_Scores!G2314</f>
        <v>TikTok</v>
      </c>
      <c r="H2314" s="29">
        <f>Absolute_Scores!I2314</f>
        <v>50</v>
      </c>
      <c r="I2314" s="30">
        <f t="shared" si="67"/>
        <v>62.5</v>
      </c>
    </row>
    <row r="2315" spans="6:9">
      <c r="F2315" s="12" t="str">
        <f>Absolute_Scores!F2315</f>
        <v>@sitinurnaibah_</v>
      </c>
      <c r="G2315" s="12" t="str">
        <f>Absolute_Scores!G2315</f>
        <v>Instagram</v>
      </c>
      <c r="H2315" s="29">
        <f>Absolute_Scores!I2315</f>
        <v>50</v>
      </c>
      <c r="I2315" s="30">
        <f t="shared" si="67"/>
        <v>62.5</v>
      </c>
    </row>
    <row r="2316" spans="6:9">
      <c r="F2316" s="12" t="str">
        <f>Absolute_Scores!F2316</f>
        <v>@sitisarahadiyastuti?r=nametag</v>
      </c>
      <c r="G2316" s="12" t="str">
        <f>Absolute_Scores!G2316</f>
        <v>Instagram</v>
      </c>
      <c r="H2316" s="29">
        <f>Absolute_Scores!I2316</f>
        <v>50</v>
      </c>
      <c r="I2316" s="30">
        <f t="shared" si="67"/>
        <v>62.5</v>
      </c>
    </row>
    <row r="2317" spans="6:9">
      <c r="F2317" s="12" t="str">
        <f>Absolute_Scores!F2317</f>
        <v>@sitiyayanf</v>
      </c>
      <c r="G2317" s="12" t="str">
        <f>Absolute_Scores!G2317</f>
        <v>Instagram</v>
      </c>
      <c r="H2317" s="29">
        <f>Absolute_Scores!I2317</f>
        <v>50</v>
      </c>
      <c r="I2317" s="30">
        <f t="shared" si="67"/>
        <v>62.5</v>
      </c>
    </row>
    <row r="2318" spans="6:9">
      <c r="F2318" s="12" t="str">
        <f>Absolute_Scores!F2318</f>
        <v>@situkangjajanjogja</v>
      </c>
      <c r="G2318" s="12" t="str">
        <f>Absolute_Scores!G2318</f>
        <v>TikTok</v>
      </c>
      <c r="H2318" s="29">
        <f>Absolute_Scores!I2318</f>
        <v>50</v>
      </c>
      <c r="I2318" s="30">
        <f t="shared" si="67"/>
        <v>62.5</v>
      </c>
    </row>
    <row r="2319" spans="6:9">
      <c r="F2319" s="12" t="str">
        <f>Absolute_Scores!F2319</f>
        <v>@skingasmid</v>
      </c>
      <c r="G2319" s="12" t="str">
        <f>Absolute_Scores!G2319</f>
        <v>Instagram</v>
      </c>
      <c r="H2319" s="29">
        <f>Absolute_Scores!I2319</f>
        <v>50</v>
      </c>
      <c r="I2319" s="30">
        <f t="shared" si="67"/>
        <v>62.5</v>
      </c>
    </row>
    <row r="2320" spans="6:9">
      <c r="F2320" s="12" t="str">
        <f>Absolute_Scores!F2320</f>
        <v>@skinofmeid</v>
      </c>
      <c r="G2320" s="12" t="str">
        <f>Absolute_Scores!G2320</f>
        <v>TikTok</v>
      </c>
      <c r="H2320" s="29">
        <f>Absolute_Scores!I2320</f>
        <v>50</v>
      </c>
      <c r="I2320" s="30">
        <f t="shared" si="67"/>
        <v>62.5</v>
      </c>
    </row>
    <row r="2321" spans="6:9">
      <c r="F2321" s="12" t="str">
        <f>Absolute_Scores!F2321</f>
        <v>@skolastikaingee</v>
      </c>
      <c r="G2321" s="12" t="str">
        <f>Absolute_Scores!G2321</f>
        <v>Instagram</v>
      </c>
      <c r="H2321" s="29">
        <f>Absolute_Scores!I2321</f>
        <v>50</v>
      </c>
      <c r="I2321" s="30">
        <f t="shared" si="67"/>
        <v>62.5</v>
      </c>
    </row>
    <row r="2322" spans="6:9">
      <c r="F2322" s="12" t="str">
        <f>Absolute_Scores!F2322</f>
        <v>@skylesjours</v>
      </c>
      <c r="G2322" s="12" t="str">
        <f>Absolute_Scores!G2322</f>
        <v>TikTok</v>
      </c>
      <c r="H2322" s="29">
        <f>Absolute_Scores!I2322</f>
        <v>50</v>
      </c>
      <c r="I2322" s="30">
        <f t="shared" si="67"/>
        <v>62.5</v>
      </c>
    </row>
    <row r="2323" spans="6:9">
      <c r="F2323" s="12" t="str">
        <f>Absolute_Scores!F2323</f>
        <v>@skyliezzlemynizzl</v>
      </c>
      <c r="G2323" s="12" t="str">
        <f>Absolute_Scores!G2323</f>
        <v>TikTok</v>
      </c>
      <c r="H2323" s="29">
        <f>Absolute_Scores!I2323</f>
        <v>50</v>
      </c>
      <c r="I2323" s="30">
        <f t="shared" si="67"/>
        <v>62.5</v>
      </c>
    </row>
    <row r="2324" spans="6:9">
      <c r="F2324" s="12" t="str">
        <f>Absolute_Scores!F2324</f>
        <v>@sllsbila2</v>
      </c>
      <c r="G2324" s="12" t="str">
        <f>Absolute_Scores!G2324</f>
        <v>Instagram</v>
      </c>
      <c r="H2324" s="29">
        <f>Absolute_Scores!I2324</f>
        <v>50</v>
      </c>
      <c r="I2324" s="30">
        <f t="shared" si="67"/>
        <v>62.5</v>
      </c>
    </row>
    <row r="2325" spans="6:9">
      <c r="F2325" s="12" t="str">
        <f>Absolute_Scores!F2325</f>
        <v>@sniaaaaaaaaaaaaaa_</v>
      </c>
      <c r="G2325" s="12" t="str">
        <f>Absolute_Scores!G2325</f>
        <v>TikTok</v>
      </c>
      <c r="H2325" s="29">
        <f>Absolute_Scores!I2325</f>
        <v>50</v>
      </c>
      <c r="I2325" s="30">
        <f t="shared" si="67"/>
        <v>62.5</v>
      </c>
    </row>
    <row r="2326" spans="6:9">
      <c r="F2326" s="12" t="str">
        <f>Absolute_Scores!F2326</f>
        <v>@so.niall</v>
      </c>
      <c r="G2326" s="12" t="str">
        <f>Absolute_Scores!G2326</f>
        <v>TikTok</v>
      </c>
      <c r="H2326" s="29">
        <f>Absolute_Scores!I2326</f>
        <v>50</v>
      </c>
      <c r="I2326" s="30">
        <f t="shared" si="67"/>
        <v>62.5</v>
      </c>
    </row>
    <row r="2327" spans="6:9">
      <c r="F2327" s="12" t="str">
        <f>Absolute_Scores!F2327</f>
        <v>@sobatpukat</v>
      </c>
      <c r="G2327" s="12" t="str">
        <f>Absolute_Scores!G2327</f>
        <v>Instagram</v>
      </c>
      <c r="H2327" s="29">
        <f>Absolute_Scores!I2327</f>
        <v>50</v>
      </c>
      <c r="I2327" s="30">
        <f t="shared" si="67"/>
        <v>62.5</v>
      </c>
    </row>
    <row r="2328" spans="6:9">
      <c r="F2328" s="12" t="str">
        <f>Absolute_Scores!F2328</f>
        <v>@soekaraja_</v>
      </c>
      <c r="G2328" s="12" t="str">
        <f>Absolute_Scores!G2328</f>
        <v>Instagram</v>
      </c>
      <c r="H2328" s="29">
        <f>Absolute_Scores!I2328</f>
        <v>50</v>
      </c>
      <c r="I2328" s="30">
        <f t="shared" si="67"/>
        <v>62.5</v>
      </c>
    </row>
    <row r="2329" spans="6:9">
      <c r="F2329" s="12" t="str">
        <f>Absolute_Scores!F2329</f>
        <v>@sofyaulfa_</v>
      </c>
      <c r="G2329" s="12" t="str">
        <f>Absolute_Scores!G2329</f>
        <v>Instagram</v>
      </c>
      <c r="H2329" s="29">
        <f>Absolute_Scores!I2329</f>
        <v>50</v>
      </c>
      <c r="I2329" s="30">
        <f t="shared" si="67"/>
        <v>62.5</v>
      </c>
    </row>
    <row r="2330" spans="6:9">
      <c r="F2330" s="12" t="str">
        <f>Absolute_Scores!F2330</f>
        <v>@someoneclass2</v>
      </c>
      <c r="G2330" s="12" t="str">
        <f>Absolute_Scores!G2330</f>
        <v>TikTok</v>
      </c>
      <c r="H2330" s="29">
        <f>Absolute_Scores!I2330</f>
        <v>50</v>
      </c>
      <c r="I2330" s="30">
        <f t="shared" si="67"/>
        <v>62.5</v>
      </c>
    </row>
    <row r="2331" spans="6:9">
      <c r="F2331" s="12" t="str">
        <f>Absolute_Scores!F2331</f>
        <v>@song.anna06</v>
      </c>
      <c r="G2331" s="12" t="str">
        <f>Absolute_Scores!G2331</f>
        <v>Instagram</v>
      </c>
      <c r="H2331" s="29">
        <f>Absolute_Scores!I2331</f>
        <v>50</v>
      </c>
      <c r="I2331" s="30">
        <f t="shared" si="67"/>
        <v>62.5</v>
      </c>
    </row>
    <row r="2332" spans="6:9">
      <c r="F2332" s="12" t="str">
        <f>Absolute_Scores!F2332</f>
        <v>@sophiaaljufri</v>
      </c>
      <c r="G2332" s="12" t="str">
        <f>Absolute_Scores!G2332</f>
        <v>TikTok</v>
      </c>
      <c r="H2332" s="29">
        <f>Absolute_Scores!I2332</f>
        <v>50</v>
      </c>
      <c r="I2332" s="30">
        <f t="shared" si="67"/>
        <v>62.5</v>
      </c>
    </row>
    <row r="2333" spans="6:9">
      <c r="F2333" s="12" t="str">
        <f>Absolute_Scores!F2333</f>
        <v>@soviborntoplay</v>
      </c>
      <c r="G2333" s="12" t="str">
        <f>Absolute_Scores!G2333</f>
        <v>TikTok</v>
      </c>
      <c r="H2333" s="29">
        <f>Absolute_Scores!I2333</f>
        <v>50</v>
      </c>
      <c r="I2333" s="30">
        <f t="shared" si="67"/>
        <v>62.5</v>
      </c>
    </row>
    <row r="2334" spans="6:9">
      <c r="F2334" s="12" t="str">
        <f>Absolute_Scores!F2334</f>
        <v>@spalspilgurl</v>
      </c>
      <c r="G2334" s="12" t="str">
        <f>Absolute_Scores!G2334</f>
        <v>TikTok</v>
      </c>
      <c r="H2334" s="29">
        <f>Absolute_Scores!I2334</f>
        <v>50</v>
      </c>
      <c r="I2334" s="30">
        <f t="shared" si="67"/>
        <v>62.5</v>
      </c>
    </row>
    <row r="2335" spans="6:9">
      <c r="F2335" s="12" t="str">
        <f>Absolute_Scores!F2335</f>
        <v>@spicycurryyramen</v>
      </c>
      <c r="G2335" s="12" t="str">
        <f>Absolute_Scores!G2335</f>
        <v>TikTok</v>
      </c>
      <c r="H2335" s="29">
        <f>Absolute_Scores!I2335</f>
        <v>50</v>
      </c>
      <c r="I2335" s="30">
        <f t="shared" si="67"/>
        <v>62.5</v>
      </c>
    </row>
    <row r="2336" spans="6:9">
      <c r="F2336" s="12" t="str">
        <f>Absolute_Scores!F2336</f>
        <v>@squisu</v>
      </c>
      <c r="G2336" s="12" t="str">
        <f>Absolute_Scores!G2336</f>
        <v>TikTok</v>
      </c>
      <c r="H2336" s="29">
        <f>Absolute_Scores!I2336</f>
        <v>50</v>
      </c>
      <c r="I2336" s="30">
        <f t="shared" si="67"/>
        <v>62.5</v>
      </c>
    </row>
    <row r="2337" spans="6:9">
      <c r="F2337" s="12" t="str">
        <f>Absolute_Scores!F2337</f>
        <v>@srcn111</v>
      </c>
      <c r="G2337" s="12" t="str">
        <f>Absolute_Scores!G2337</f>
        <v>TikTok</v>
      </c>
      <c r="H2337" s="29">
        <f>Absolute_Scores!I2337</f>
        <v>50</v>
      </c>
      <c r="I2337" s="30">
        <f t="shared" si="67"/>
        <v>62.5</v>
      </c>
    </row>
    <row r="2338" spans="6:9">
      <c r="F2338" s="12" t="str">
        <f>Absolute_Scores!F2338</f>
        <v>@sriingsh_</v>
      </c>
      <c r="G2338" s="12" t="str">
        <f>Absolute_Scores!G2338</f>
        <v>Instagram</v>
      </c>
      <c r="H2338" s="29">
        <f>Absolute_Scores!I2338</f>
        <v>50</v>
      </c>
      <c r="I2338" s="30">
        <f t="shared" si="67"/>
        <v>62.5</v>
      </c>
    </row>
    <row r="2339" spans="6:9">
      <c r="F2339" s="12" t="str">
        <f>Absolute_Scores!F2339</f>
        <v>@srirahma_y</v>
      </c>
      <c r="G2339" s="12" t="str">
        <f>Absolute_Scores!G2339</f>
        <v>TikTok</v>
      </c>
      <c r="H2339" s="29">
        <f>Absolute_Scores!I2339</f>
        <v>50</v>
      </c>
      <c r="I2339" s="30">
        <f t="shared" si="67"/>
        <v>62.5</v>
      </c>
    </row>
    <row r="2340" spans="6:9">
      <c r="F2340" s="12" t="str">
        <f>Absolute_Scores!F2340</f>
        <v>@sselynaa</v>
      </c>
      <c r="G2340" s="12" t="str">
        <f>Absolute_Scores!G2340</f>
        <v>Instagram</v>
      </c>
      <c r="H2340" s="29">
        <f>Absolute_Scores!I2340</f>
        <v>50</v>
      </c>
      <c r="I2340" s="30">
        <f t="shared" si="67"/>
        <v>62.5</v>
      </c>
    </row>
    <row r="2341" spans="6:9">
      <c r="F2341" s="12" t="str">
        <f>Absolute_Scores!F2341</f>
        <v>@ssoursally</v>
      </c>
      <c r="G2341" s="12" t="str">
        <f>Absolute_Scores!G2341</f>
        <v>TikTok</v>
      </c>
      <c r="H2341" s="29">
        <f>Absolute_Scores!I2341</f>
        <v>50</v>
      </c>
      <c r="I2341" s="30">
        <f t="shared" si="67"/>
        <v>62.5</v>
      </c>
    </row>
    <row r="2342" spans="6:9">
      <c r="F2342" s="12" t="str">
        <f>Absolute_Scores!F2342</f>
        <v>@st.adhaayu</v>
      </c>
      <c r="G2342" s="12" t="str">
        <f>Absolute_Scores!G2342</f>
        <v>TikTok</v>
      </c>
      <c r="H2342" s="29">
        <f>Absolute_Scores!I2342</f>
        <v>50</v>
      </c>
      <c r="I2342" s="30">
        <f t="shared" si="67"/>
        <v>62.5</v>
      </c>
    </row>
    <row r="2343" spans="6:9">
      <c r="F2343" s="12" t="str">
        <f>Absolute_Scores!F2343</f>
        <v>@stabiitaaa</v>
      </c>
      <c r="G2343" s="12" t="str">
        <f>Absolute_Scores!G2343</f>
        <v>TikTok</v>
      </c>
      <c r="H2343" s="29">
        <f>Absolute_Scores!I2343</f>
        <v>50</v>
      </c>
      <c r="I2343" s="30">
        <f t="shared" si="67"/>
        <v>62.5</v>
      </c>
    </row>
    <row r="2344" spans="6:9">
      <c r="F2344" s="12" t="str">
        <f>Absolute_Scores!F2344</f>
        <v>@starvavva</v>
      </c>
      <c r="G2344" s="12" t="str">
        <f>Absolute_Scores!G2344</f>
        <v>TikTok</v>
      </c>
      <c r="H2344" s="29">
        <f>Absolute_Scores!I2344</f>
        <v>50</v>
      </c>
      <c r="I2344" s="30">
        <f t="shared" si="67"/>
        <v>62.5</v>
      </c>
    </row>
    <row r="2345" spans="6:9">
      <c r="F2345" s="12" t="str">
        <f>Absolute_Scores!F2345</f>
        <v>@stefandhermanus</v>
      </c>
      <c r="G2345" s="12" t="str">
        <f>Absolute_Scores!G2345</f>
        <v>TikTok</v>
      </c>
      <c r="H2345" s="29">
        <f>Absolute_Scores!I2345</f>
        <v>50</v>
      </c>
      <c r="I2345" s="30">
        <f t="shared" si="67"/>
        <v>62.5</v>
      </c>
    </row>
    <row r="2346" spans="6:9">
      <c r="F2346" s="12" t="str">
        <f>Absolute_Scores!F2346</f>
        <v>@stellameryl</v>
      </c>
      <c r="G2346" s="12" t="str">
        <f>Absolute_Scores!G2346</f>
        <v>Instagram</v>
      </c>
      <c r="H2346" s="29">
        <f>Absolute_Scores!I2346</f>
        <v>50</v>
      </c>
      <c r="I2346" s="30">
        <f t="shared" si="67"/>
        <v>62.5</v>
      </c>
    </row>
    <row r="2347" spans="6:9">
      <c r="F2347" s="12" t="str">
        <f>Absolute_Scores!F2347</f>
        <v>@stellaprita</v>
      </c>
      <c r="G2347" s="12" t="str">
        <f>Absolute_Scores!G2347</f>
        <v>Instagram</v>
      </c>
      <c r="H2347" s="29">
        <f>Absolute_Scores!I2347</f>
        <v>50</v>
      </c>
      <c r="I2347" s="30">
        <f t="shared" si="67"/>
        <v>62.5</v>
      </c>
    </row>
    <row r="2348" spans="6:9">
      <c r="F2348" s="12" t="str">
        <f>Absolute_Scores!F2348</f>
        <v>@stells_diary</v>
      </c>
      <c r="G2348" s="12" t="str">
        <f>Absolute_Scores!G2348</f>
        <v>TikTok</v>
      </c>
      <c r="H2348" s="29">
        <f>Absolute_Scores!I2348</f>
        <v>50</v>
      </c>
      <c r="I2348" s="30">
        <f t="shared" si="67"/>
        <v>62.5</v>
      </c>
    </row>
    <row r="2349" spans="6:9">
      <c r="F2349" s="12" t="str">
        <f>Absolute_Scores!F2349</f>
        <v>@stephagathaw</v>
      </c>
      <c r="G2349" s="12" t="str">
        <f>Absolute_Scores!G2349</f>
        <v>TikTok</v>
      </c>
      <c r="H2349" s="29">
        <f>Absolute_Scores!I2349</f>
        <v>50</v>
      </c>
      <c r="I2349" s="30">
        <f t="shared" si="67"/>
        <v>62.5</v>
      </c>
    </row>
    <row r="2350" spans="6:9">
      <c r="F2350" s="12" t="str">
        <f>Absolute_Scores!F2350</f>
        <v>@stephdish</v>
      </c>
      <c r="G2350" s="12" t="str">
        <f>Absolute_Scores!G2350</f>
        <v>TikTok</v>
      </c>
      <c r="H2350" s="29">
        <f>Absolute_Scores!I2350</f>
        <v>50</v>
      </c>
      <c r="I2350" s="30">
        <f t="shared" si="67"/>
        <v>62.5</v>
      </c>
    </row>
    <row r="2351" spans="6:9">
      <c r="F2351" s="12" t="str">
        <f>Absolute_Scores!F2351</f>
        <v>@stepjeje</v>
      </c>
      <c r="G2351" s="12" t="str">
        <f>Absolute_Scores!G2351</f>
        <v>Instagram</v>
      </c>
      <c r="H2351" s="29">
        <f>Absolute_Scores!I2351</f>
        <v>50</v>
      </c>
      <c r="I2351" s="30">
        <f t="shared" si="67"/>
        <v>62.5</v>
      </c>
    </row>
    <row r="2352" spans="6:9">
      <c r="F2352" s="12" t="str">
        <f>Absolute_Scores!F2352</f>
        <v>@stevanpasaribu</v>
      </c>
      <c r="G2352" s="12" t="str">
        <f>Absolute_Scores!G2352</f>
        <v>TikTok</v>
      </c>
      <c r="H2352" s="29">
        <f>Absolute_Scores!I2352</f>
        <v>50</v>
      </c>
      <c r="I2352" s="30">
        <f t="shared" si="67"/>
        <v>62.5</v>
      </c>
    </row>
    <row r="2353" spans="6:9">
      <c r="F2353" s="12" t="str">
        <f>Absolute_Scores!F2353</f>
        <v>@stfutooo</v>
      </c>
      <c r="G2353" s="12" t="str">
        <f>Absolute_Scores!G2353</f>
        <v>TikTok</v>
      </c>
      <c r="H2353" s="29">
        <f>Absolute_Scores!I2353</f>
        <v>50</v>
      </c>
      <c r="I2353" s="30">
        <f t="shared" si="67"/>
        <v>62.5</v>
      </c>
    </row>
    <row r="2354" spans="6:9">
      <c r="F2354" s="12" t="str">
        <f>Absolute_Scores!F2354</f>
        <v>@subasri_16</v>
      </c>
      <c r="G2354" s="12" t="str">
        <f>Absolute_Scores!G2354</f>
        <v>TikTok</v>
      </c>
      <c r="H2354" s="29">
        <f>Absolute_Scores!I2354</f>
        <v>50</v>
      </c>
      <c r="I2354" s="30">
        <f t="shared" si="67"/>
        <v>62.5</v>
      </c>
    </row>
    <row r="2355" spans="6:9">
      <c r="F2355" s="12" t="str">
        <f>Absolute_Scores!F2355</f>
        <v>@suciawaliahharis</v>
      </c>
      <c r="G2355" s="12" t="str">
        <f>Absolute_Scores!G2355</f>
        <v>TikTok</v>
      </c>
      <c r="H2355" s="29">
        <f>Absolute_Scores!I2355</f>
        <v>50</v>
      </c>
      <c r="I2355" s="30">
        <f t="shared" si="67"/>
        <v>62.5</v>
      </c>
    </row>
    <row r="2356" spans="6:9">
      <c r="F2356" s="12" t="str">
        <f>Absolute_Scores!F2356</f>
        <v>@sucifitriaapriani</v>
      </c>
      <c r="G2356" s="12" t="str">
        <f>Absolute_Scores!G2356</f>
        <v>Instagram</v>
      </c>
      <c r="H2356" s="29">
        <f>Absolute_Scores!I2356</f>
        <v>50</v>
      </c>
      <c r="I2356" s="30">
        <f t="shared" si="67"/>
        <v>62.5</v>
      </c>
    </row>
    <row r="2357" spans="6:9">
      <c r="F2357" s="12" t="str">
        <f>Absolute_Scores!F2357</f>
        <v>@sucii1202</v>
      </c>
      <c r="G2357" s="12" t="str">
        <f>Absolute_Scores!G2357</f>
        <v>Instagram</v>
      </c>
      <c r="H2357" s="29">
        <f>Absolute_Scores!I2357</f>
        <v>50</v>
      </c>
      <c r="I2357" s="30">
        <f t="shared" si="67"/>
        <v>62.5</v>
      </c>
    </row>
    <row r="2358" spans="6:9">
      <c r="F2358" s="12" t="str">
        <f>Absolute_Scores!F2358</f>
        <v>@suciirestiipertiwii</v>
      </c>
      <c r="G2358" s="12" t="str">
        <f>Absolute_Scores!G2358</f>
        <v>Instagram</v>
      </c>
      <c r="H2358" s="29">
        <f>Absolute_Scores!I2358</f>
        <v>50</v>
      </c>
      <c r="I2358" s="30">
        <f t="shared" si="67"/>
        <v>62.5</v>
      </c>
    </row>
    <row r="2359" spans="6:9">
      <c r="F2359" s="12" t="str">
        <f>Absolute_Scores!F2359</f>
        <v>@suhandrifamily</v>
      </c>
      <c r="G2359" s="12" t="str">
        <f>Absolute_Scores!G2359</f>
        <v>TikTok</v>
      </c>
      <c r="H2359" s="29">
        <f>Absolute_Scores!I2359</f>
        <v>50</v>
      </c>
      <c r="I2359" s="30">
        <f t="shared" si="67"/>
        <v>62.5</v>
      </c>
    </row>
    <row r="2360" spans="6:9">
      <c r="F2360" s="12" t="str">
        <f>Absolute_Scores!F2360</f>
        <v>@suhvashv</v>
      </c>
      <c r="G2360" s="12" t="str">
        <f>Absolute_Scores!G2360</f>
        <v>TikTok</v>
      </c>
      <c r="H2360" s="29">
        <f>Absolute_Scores!I2360</f>
        <v>50</v>
      </c>
      <c r="I2360" s="30">
        <f t="shared" si="67"/>
        <v>62.5</v>
      </c>
    </row>
    <row r="2361" spans="6:9">
      <c r="F2361" s="12" t="str">
        <f>Absolute_Scores!F2361</f>
        <v>@sukangegym</v>
      </c>
      <c r="G2361" s="12" t="str">
        <f>Absolute_Scores!G2361</f>
        <v>TikTok</v>
      </c>
      <c r="H2361" s="29">
        <f>Absolute_Scores!I2361</f>
        <v>50</v>
      </c>
      <c r="I2361" s="30">
        <f t="shared" si="67"/>
        <v>62.5</v>
      </c>
    </row>
    <row r="2362" spans="6:9">
      <c r="F2362" s="12" t="str">
        <f>Absolute_Scores!F2362</f>
        <v>@sukmaasuk</v>
      </c>
      <c r="G2362" s="12" t="str">
        <f>Absolute_Scores!G2362</f>
        <v>TikTok</v>
      </c>
      <c r="H2362" s="29">
        <f>Absolute_Scores!I2362</f>
        <v>50</v>
      </c>
      <c r="I2362" s="30">
        <f t="shared" si="67"/>
        <v>62.5</v>
      </c>
    </row>
    <row r="2363" spans="6:9">
      <c r="F2363" s="12" t="str">
        <f>Absolute_Scores!F2363</f>
        <v>@summernichols.model</v>
      </c>
      <c r="G2363" s="12" t="str">
        <f>Absolute_Scores!G2363</f>
        <v>Instagram</v>
      </c>
      <c r="H2363" s="29">
        <f>Absolute_Scores!I2363</f>
        <v>50</v>
      </c>
      <c r="I2363" s="30">
        <f t="shared" si="67"/>
        <v>62.5</v>
      </c>
    </row>
    <row r="2364" spans="6:9">
      <c r="F2364" s="12" t="str">
        <f>Absolute_Scores!F2364</f>
        <v>@sundayaromatics</v>
      </c>
      <c r="G2364" s="12" t="str">
        <f>Absolute_Scores!G2364</f>
        <v>TikTok</v>
      </c>
      <c r="H2364" s="29">
        <f>Absolute_Scores!I2364</f>
        <v>50</v>
      </c>
      <c r="I2364" s="30">
        <f t="shared" si="67"/>
        <v>62.5</v>
      </c>
    </row>
    <row r="2365" spans="6:9">
      <c r="F2365" s="12" t="str">
        <f>Absolute_Scores!F2365</f>
        <v>@suniiiy_</v>
      </c>
      <c r="G2365" s="12" t="str">
        <f>Absolute_Scores!G2365</f>
        <v>Instagram</v>
      </c>
      <c r="H2365" s="29">
        <f>Absolute_Scores!I2365</f>
        <v>50</v>
      </c>
      <c r="I2365" s="30">
        <f t="shared" si="67"/>
        <v>62.5</v>
      </c>
    </row>
    <row r="2366" spans="6:9">
      <c r="F2366" s="12" t="str">
        <f>Absolute_Scores!F2366</f>
        <v>@surjakentjana</v>
      </c>
      <c r="G2366" s="12" t="str">
        <f>Absolute_Scores!G2366</f>
        <v>TikTok</v>
      </c>
      <c r="H2366" s="29">
        <f>Absolute_Scores!I2366</f>
        <v>50</v>
      </c>
      <c r="I2366" s="30">
        <f t="shared" si="67"/>
        <v>62.5</v>
      </c>
    </row>
    <row r="2367" spans="6:9">
      <c r="F2367" s="12" t="str">
        <f>Absolute_Scores!F2367</f>
        <v>@susiayulestari_</v>
      </c>
      <c r="G2367" s="12" t="str">
        <f>Absolute_Scores!G2367</f>
        <v>Instagram</v>
      </c>
      <c r="H2367" s="29">
        <f>Absolute_Scores!I2367</f>
        <v>50</v>
      </c>
      <c r="I2367" s="30">
        <f t="shared" si="67"/>
        <v>62.5</v>
      </c>
    </row>
    <row r="2368" spans="6:9">
      <c r="F2368" s="12" t="str">
        <f>Absolute_Scores!F2368</f>
        <v>@susidevitta</v>
      </c>
      <c r="G2368" s="12" t="str">
        <f>Absolute_Scores!G2368</f>
        <v>TikTok</v>
      </c>
      <c r="H2368" s="29">
        <f>Absolute_Scores!I2368</f>
        <v>50</v>
      </c>
      <c r="I2368" s="30">
        <f t="shared" si="67"/>
        <v>62.5</v>
      </c>
    </row>
    <row r="2369" spans="6:9">
      <c r="F2369" s="12" t="str">
        <f>Absolute_Scores!F2369</f>
        <v>@susiibeauty96</v>
      </c>
      <c r="G2369" s="12" t="str">
        <f>Absolute_Scores!G2369</f>
        <v>TikTok</v>
      </c>
      <c r="H2369" s="29">
        <f>Absolute_Scores!I2369</f>
        <v>50</v>
      </c>
      <c r="I2369" s="30">
        <f t="shared" si="67"/>
        <v>62.5</v>
      </c>
    </row>
    <row r="2370" spans="6:9">
      <c r="F2370" s="12" t="str">
        <f>Absolute_Scores!F2370</f>
        <v>@susisinta</v>
      </c>
      <c r="G2370" s="12" t="str">
        <f>Absolute_Scores!G2370</f>
        <v>Instagram</v>
      </c>
      <c r="H2370" s="29">
        <f>Absolute_Scores!I2370</f>
        <v>50</v>
      </c>
      <c r="I2370" s="30">
        <f t="shared" si="67"/>
        <v>62.5</v>
      </c>
    </row>
    <row r="2371" spans="6:9">
      <c r="F2371" s="12" t="str">
        <f>Absolute_Scores!F2371</f>
        <v>@sweeturcandy</v>
      </c>
      <c r="G2371" s="12" t="str">
        <f>Absolute_Scores!G2371</f>
        <v>TikTok</v>
      </c>
      <c r="H2371" s="29">
        <f>Absolute_Scores!I2371</f>
        <v>50</v>
      </c>
      <c r="I2371" s="30">
        <f t="shared" si="67"/>
        <v>62.5</v>
      </c>
    </row>
    <row r="2372" spans="6:9">
      <c r="F2372" s="12" t="str">
        <f>Absolute_Scores!F2372</f>
        <v>@sweetyzf</v>
      </c>
      <c r="G2372" s="12" t="str">
        <f>Absolute_Scores!G2372</f>
        <v>TikTok</v>
      </c>
      <c r="H2372" s="29">
        <f>Absolute_Scores!I2372</f>
        <v>50</v>
      </c>
      <c r="I2372" s="30">
        <f t="shared" si="67"/>
        <v>62.5</v>
      </c>
    </row>
    <row r="2373" spans="6:9">
      <c r="F2373" s="12" t="str">
        <f>Absolute_Scores!F2373</f>
        <v>@syaaviolett</v>
      </c>
      <c r="G2373" s="12" t="str">
        <f>Absolute_Scores!G2373</f>
        <v>TikTok</v>
      </c>
      <c r="H2373" s="29">
        <f>Absolute_Scores!I2373</f>
        <v>50</v>
      </c>
      <c r="I2373" s="30">
        <f t="shared" si="67"/>
        <v>62.5</v>
      </c>
    </row>
    <row r="2374" spans="6:9">
      <c r="F2374" s="12" t="str">
        <f>Absolute_Scores!F2374</f>
        <v>@syafithfz</v>
      </c>
      <c r="G2374" s="12" t="str">
        <f>Absolute_Scores!G2374</f>
        <v>TikTok</v>
      </c>
      <c r="H2374" s="29">
        <f>Absolute_Scores!I2374</f>
        <v>50</v>
      </c>
      <c r="I2374" s="30">
        <f t="shared" ref="I2374:I2437" si="68">ROUND(H2374/$I$4*100,2)</f>
        <v>62.5</v>
      </c>
    </row>
    <row r="2375" spans="6:9">
      <c r="F2375" s="12" t="str">
        <f>Absolute_Scores!F2375</f>
        <v>@syahranithomasri</v>
      </c>
      <c r="G2375" s="12" t="str">
        <f>Absolute_Scores!G2375</f>
        <v>TikTok</v>
      </c>
      <c r="H2375" s="29">
        <f>Absolute_Scores!I2375</f>
        <v>50</v>
      </c>
      <c r="I2375" s="30">
        <f t="shared" si="68"/>
        <v>62.5</v>
      </c>
    </row>
    <row r="2376" spans="6:9">
      <c r="F2376" s="12" t="str">
        <f>Absolute_Scores!F2376</f>
        <v>@syakhyahzanullutfian</v>
      </c>
      <c r="G2376" s="12" t="str">
        <f>Absolute_Scores!G2376</f>
        <v>Instagram</v>
      </c>
      <c r="H2376" s="29">
        <f>Absolute_Scores!I2376</f>
        <v>50</v>
      </c>
      <c r="I2376" s="30">
        <f t="shared" si="68"/>
        <v>62.5</v>
      </c>
    </row>
    <row r="2377" spans="6:9">
      <c r="F2377" s="12" t="str">
        <f>Absolute_Scores!F2377</f>
        <v>@syamalwahab</v>
      </c>
      <c r="G2377" s="12" t="str">
        <f>Absolute_Scores!G2377</f>
        <v>TikTok</v>
      </c>
      <c r="H2377" s="29">
        <f>Absolute_Scores!I2377</f>
        <v>50</v>
      </c>
      <c r="I2377" s="30">
        <f t="shared" si="68"/>
        <v>62.5</v>
      </c>
    </row>
    <row r="2378" spans="6:9">
      <c r="F2378" s="12" t="str">
        <f>Absolute_Scores!F2378</f>
        <v>@syamilahhouse</v>
      </c>
      <c r="G2378" s="12" t="str">
        <f>Absolute_Scores!G2378</f>
        <v>Instagram</v>
      </c>
      <c r="H2378" s="29">
        <f>Absolute_Scores!I2378</f>
        <v>50</v>
      </c>
      <c r="I2378" s="30">
        <f t="shared" si="68"/>
        <v>62.5</v>
      </c>
    </row>
    <row r="2379" spans="6:9">
      <c r="F2379" s="12" t="str">
        <f>Absolute_Scores!F2379</f>
        <v>@syavicaf</v>
      </c>
      <c r="G2379" s="12" t="str">
        <f>Absolute_Scores!G2379</f>
        <v>Instagram</v>
      </c>
      <c r="H2379" s="29">
        <f>Absolute_Scores!I2379</f>
        <v>50</v>
      </c>
      <c r="I2379" s="30">
        <f t="shared" si="68"/>
        <v>62.5</v>
      </c>
    </row>
    <row r="2380" spans="6:9">
      <c r="F2380" s="12" t="str">
        <f>Absolute_Scores!F2380</f>
        <v>@sye.daily</v>
      </c>
      <c r="G2380" s="12" t="str">
        <f>Absolute_Scores!G2380</f>
        <v>TikTok</v>
      </c>
      <c r="H2380" s="29">
        <f>Absolute_Scores!I2380</f>
        <v>50</v>
      </c>
      <c r="I2380" s="30">
        <f t="shared" si="68"/>
        <v>62.5</v>
      </c>
    </row>
    <row r="2381" spans="6:9">
      <c r="F2381" s="12" t="str">
        <f>Absolute_Scores!F2381</f>
        <v>@syifabyandra</v>
      </c>
      <c r="G2381" s="12" t="str">
        <f>Absolute_Scores!G2381</f>
        <v>TikTok</v>
      </c>
      <c r="H2381" s="29">
        <f>Absolute_Scores!I2381</f>
        <v>50</v>
      </c>
      <c r="I2381" s="30">
        <f t="shared" si="68"/>
        <v>62.5</v>
      </c>
    </row>
    <row r="2382" spans="6:9">
      <c r="F2382" s="12" t="str">
        <f>Absolute_Scores!F2382</f>
        <v>@syifahadjuuuuuuu</v>
      </c>
      <c r="G2382" s="12" t="str">
        <f>Absolute_Scores!G2382</f>
        <v>TikTok</v>
      </c>
      <c r="H2382" s="29">
        <f>Absolute_Scores!I2382</f>
        <v>50</v>
      </c>
      <c r="I2382" s="30">
        <f t="shared" si="68"/>
        <v>62.5</v>
      </c>
    </row>
    <row r="2383" spans="6:9">
      <c r="F2383" s="12" t="str">
        <f>Absolute_Scores!F2383</f>
        <v>@syifaslestari</v>
      </c>
      <c r="G2383" s="12" t="str">
        <f>Absolute_Scores!G2383</f>
        <v>Instagram</v>
      </c>
      <c r="H2383" s="29">
        <f>Absolute_Scores!I2383</f>
        <v>50</v>
      </c>
      <c r="I2383" s="30">
        <f t="shared" si="68"/>
        <v>62.5</v>
      </c>
    </row>
    <row r="2384" spans="6:9">
      <c r="F2384" s="12" t="str">
        <f>Absolute_Scores!F2384</f>
        <v>@sylauvme</v>
      </c>
      <c r="G2384" s="12" t="str">
        <f>Absolute_Scores!G2384</f>
        <v>TikTok</v>
      </c>
      <c r="H2384" s="29">
        <f>Absolute_Scores!I2384</f>
        <v>50</v>
      </c>
      <c r="I2384" s="30">
        <f t="shared" si="68"/>
        <v>62.5</v>
      </c>
    </row>
    <row r="2385" spans="6:9">
      <c r="F2385" s="12" t="str">
        <f>Absolute_Scores!F2385</f>
        <v>@sylviatann_</v>
      </c>
      <c r="G2385" s="12" t="str">
        <f>Absolute_Scores!G2385</f>
        <v>Instagram</v>
      </c>
      <c r="H2385" s="29">
        <f>Absolute_Scores!I2385</f>
        <v>50</v>
      </c>
      <c r="I2385" s="30">
        <f t="shared" si="68"/>
        <v>62.5</v>
      </c>
    </row>
    <row r="2386" spans="6:9">
      <c r="F2386" s="12" t="str">
        <f>Absolute_Scores!F2386</f>
        <v>@sylvyprinces</v>
      </c>
      <c r="G2386" s="12" t="str">
        <f>Absolute_Scores!G2386</f>
        <v>TikTok</v>
      </c>
      <c r="H2386" s="29">
        <f>Absolute_Scores!I2386</f>
        <v>50</v>
      </c>
      <c r="I2386" s="30">
        <f t="shared" si="68"/>
        <v>62.5</v>
      </c>
    </row>
    <row r="2387" spans="6:9">
      <c r="F2387" s="12" t="str">
        <f>Absolute_Scores!F2387</f>
        <v>@synaprrr</v>
      </c>
      <c r="G2387" s="12" t="str">
        <f>Absolute_Scores!G2387</f>
        <v>TikTok</v>
      </c>
      <c r="H2387" s="29">
        <f>Absolute_Scores!I2387</f>
        <v>50</v>
      </c>
      <c r="I2387" s="30">
        <f t="shared" si="68"/>
        <v>62.5</v>
      </c>
    </row>
    <row r="2388" spans="6:9">
      <c r="F2388" s="12" t="str">
        <f>Absolute_Scores!F2388</f>
        <v>@sytami15</v>
      </c>
      <c r="G2388" s="12" t="str">
        <f>Absolute_Scores!G2388</f>
        <v>Instagram</v>
      </c>
      <c r="H2388" s="29">
        <f>Absolute_Scores!I2388</f>
        <v>50</v>
      </c>
      <c r="I2388" s="30">
        <f t="shared" si="68"/>
        <v>62.5</v>
      </c>
    </row>
    <row r="2389" spans="6:9">
      <c r="F2389" s="12" t="str">
        <f>Absolute_Scores!F2389</f>
        <v>@syuka2mintul</v>
      </c>
      <c r="G2389" s="12" t="str">
        <f>Absolute_Scores!G2389</f>
        <v>TikTok</v>
      </c>
      <c r="H2389" s="29">
        <f>Absolute_Scores!I2389</f>
        <v>50</v>
      </c>
      <c r="I2389" s="30">
        <f t="shared" si="68"/>
        <v>62.5</v>
      </c>
    </row>
    <row r="2390" spans="6:9">
      <c r="F2390" s="12" t="str">
        <f>Absolute_Scores!F2390</f>
        <v>@taclaresta</v>
      </c>
      <c r="G2390" s="12" t="str">
        <f>Absolute_Scores!G2390</f>
        <v>TikTok</v>
      </c>
      <c r="H2390" s="29">
        <f>Absolute_Scores!I2390</f>
        <v>50</v>
      </c>
      <c r="I2390" s="30">
        <f t="shared" si="68"/>
        <v>62.5</v>
      </c>
    </row>
    <row r="2391" spans="6:9">
      <c r="F2391" s="12" t="str">
        <f>Absolute_Scores!F2391</f>
        <v>@talbotrio</v>
      </c>
      <c r="G2391" s="12" t="str">
        <f>Absolute_Scores!G2391</f>
        <v>TikTok</v>
      </c>
      <c r="H2391" s="29">
        <f>Absolute_Scores!I2391</f>
        <v>50</v>
      </c>
      <c r="I2391" s="30">
        <f t="shared" si="68"/>
        <v>62.5</v>
      </c>
    </row>
    <row r="2392" spans="6:9">
      <c r="F2392" s="12" t="str">
        <f>Absolute_Scores!F2392</f>
        <v>@talitaredja</v>
      </c>
      <c r="G2392" s="12" t="str">
        <f>Absolute_Scores!G2392</f>
        <v>TikTok</v>
      </c>
      <c r="H2392" s="29">
        <f>Absolute_Scores!I2392</f>
        <v>50</v>
      </c>
      <c r="I2392" s="30">
        <f t="shared" si="68"/>
        <v>62.5</v>
      </c>
    </row>
    <row r="2393" spans="6:9">
      <c r="F2393" s="12" t="str">
        <f>Absolute_Scores!F2393</f>
        <v>@tantish</v>
      </c>
      <c r="G2393" s="12" t="str">
        <f>Absolute_Scores!G2393</f>
        <v>TikTok</v>
      </c>
      <c r="H2393" s="29">
        <f>Absolute_Scores!I2393</f>
        <v>50</v>
      </c>
      <c r="I2393" s="30">
        <f t="shared" si="68"/>
        <v>62.5</v>
      </c>
    </row>
    <row r="2394" spans="6:9">
      <c r="F2394" s="12" t="str">
        <f>Absolute_Scores!F2394</f>
        <v>@taqy_comel</v>
      </c>
      <c r="G2394" s="12" t="str">
        <f>Absolute_Scores!G2394</f>
        <v>TikTok</v>
      </c>
      <c r="H2394" s="29">
        <f>Absolute_Scores!I2394</f>
        <v>50</v>
      </c>
      <c r="I2394" s="30">
        <f t="shared" si="68"/>
        <v>62.5</v>
      </c>
    </row>
    <row r="2395" spans="6:9">
      <c r="F2395" s="12" t="str">
        <f>Absolute_Scores!F2395</f>
        <v>@tar.nl</v>
      </c>
      <c r="G2395" s="12" t="str">
        <f>Absolute_Scores!G2395</f>
        <v>TikTok</v>
      </c>
      <c r="H2395" s="29">
        <f>Absolute_Scores!I2395</f>
        <v>50</v>
      </c>
      <c r="I2395" s="30">
        <f t="shared" si="68"/>
        <v>62.5</v>
      </c>
    </row>
    <row r="2396" spans="6:9">
      <c r="F2396" s="12" t="str">
        <f>Absolute_Scores!F2396</f>
        <v>@tarachika</v>
      </c>
      <c r="G2396" s="12" t="str">
        <f>Absolute_Scores!G2396</f>
        <v>Instagram</v>
      </c>
      <c r="H2396" s="29">
        <f>Absolute_Scores!I2396</f>
        <v>50</v>
      </c>
      <c r="I2396" s="30">
        <f t="shared" si="68"/>
        <v>62.5</v>
      </c>
    </row>
    <row r="2397" spans="6:9">
      <c r="F2397" s="12" t="str">
        <f>Absolute_Scores!F2397</f>
        <v>@taslinah</v>
      </c>
      <c r="G2397" s="12" t="str">
        <f>Absolute_Scores!G2397</f>
        <v>Instagram</v>
      </c>
      <c r="H2397" s="29">
        <f>Absolute_Scores!I2397</f>
        <v>50</v>
      </c>
      <c r="I2397" s="30">
        <f t="shared" si="68"/>
        <v>62.5</v>
      </c>
    </row>
    <row r="2398" spans="6:9">
      <c r="F2398" s="12" t="str">
        <f>Absolute_Scores!F2398</f>
        <v>@tastehuntsman</v>
      </c>
      <c r="G2398" s="12" t="str">
        <f>Absolute_Scores!G2398</f>
        <v>TikTok</v>
      </c>
      <c r="H2398" s="29">
        <f>Absolute_Scores!I2398</f>
        <v>50</v>
      </c>
      <c r="I2398" s="30">
        <f t="shared" si="68"/>
        <v>62.5</v>
      </c>
    </row>
    <row r="2399" spans="6:9">
      <c r="F2399" s="12" t="str">
        <f>Absolute_Scores!F2399</f>
        <v>@tasya.caa</v>
      </c>
      <c r="G2399" s="12" t="str">
        <f>Absolute_Scores!G2399</f>
        <v>Instagram</v>
      </c>
      <c r="H2399" s="29">
        <f>Absolute_Scores!I2399</f>
        <v>50</v>
      </c>
      <c r="I2399" s="30">
        <f t="shared" si="68"/>
        <v>62.5</v>
      </c>
    </row>
    <row r="2400" spans="6:9">
      <c r="F2400" s="12" t="str">
        <f>Absolute_Scores!F2400</f>
        <v>@tasyaaneke</v>
      </c>
      <c r="G2400" s="12" t="str">
        <f>Absolute_Scores!G2400</f>
        <v>Instagram</v>
      </c>
      <c r="H2400" s="29">
        <f>Absolute_Scores!I2400</f>
        <v>50</v>
      </c>
      <c r="I2400" s="30">
        <f t="shared" si="68"/>
        <v>62.5</v>
      </c>
    </row>
    <row r="2401" spans="6:9">
      <c r="F2401" s="12" t="str">
        <f>Absolute_Scores!F2401</f>
        <v>@tasyacalista_</v>
      </c>
      <c r="G2401" s="12" t="str">
        <f>Absolute_Scores!G2401</f>
        <v>TikTok</v>
      </c>
      <c r="H2401" s="29">
        <f>Absolute_Scores!I2401</f>
        <v>50</v>
      </c>
      <c r="I2401" s="30">
        <f t="shared" si="68"/>
        <v>62.5</v>
      </c>
    </row>
    <row r="2402" spans="6:9">
      <c r="F2402" s="12" t="str">
        <f>Absolute_Scores!F2402</f>
        <v>@tasyalvioo</v>
      </c>
      <c r="G2402" s="12" t="str">
        <f>Absolute_Scores!G2402</f>
        <v>Instagram</v>
      </c>
      <c r="H2402" s="29">
        <f>Absolute_Scores!I2402</f>
        <v>50</v>
      </c>
      <c r="I2402" s="30">
        <f t="shared" si="68"/>
        <v>62.5</v>
      </c>
    </row>
    <row r="2403" spans="6:9">
      <c r="F2403" s="12" t="str">
        <f>Absolute_Scores!F2403</f>
        <v>@tasyamalinda_</v>
      </c>
      <c r="G2403" s="12" t="str">
        <f>Absolute_Scores!G2403</f>
        <v>TikTok</v>
      </c>
      <c r="H2403" s="29">
        <f>Absolute_Scores!I2403</f>
        <v>50</v>
      </c>
      <c r="I2403" s="30">
        <f t="shared" si="68"/>
        <v>62.5</v>
      </c>
    </row>
    <row r="2404" spans="6:9">
      <c r="F2404" s="12" t="str">
        <f>Absolute_Scores!F2404</f>
        <v>@tasyaoctav</v>
      </c>
      <c r="G2404" s="12" t="str">
        <f>Absolute_Scores!G2404</f>
        <v>TikTok</v>
      </c>
      <c r="H2404" s="29">
        <f>Absolute_Scores!I2404</f>
        <v>50</v>
      </c>
      <c r="I2404" s="30">
        <f t="shared" si="68"/>
        <v>62.5</v>
      </c>
    </row>
    <row r="2405" spans="6:9">
      <c r="F2405" s="12" t="str">
        <f>Absolute_Scores!F2405</f>
        <v>@tatangazak</v>
      </c>
      <c r="G2405" s="12" t="str">
        <f>Absolute_Scores!G2405</f>
        <v>Instagram</v>
      </c>
      <c r="H2405" s="29">
        <f>Absolute_Scores!I2405</f>
        <v>50</v>
      </c>
      <c r="I2405" s="30">
        <f t="shared" si="68"/>
        <v>62.5</v>
      </c>
    </row>
    <row r="2406" spans="6:9">
      <c r="F2406" s="12" t="str">
        <f>Absolute_Scores!F2406</f>
        <v>@tataokta93</v>
      </c>
      <c r="G2406" s="12" t="str">
        <f>Absolute_Scores!G2406</f>
        <v>Instagram</v>
      </c>
      <c r="H2406" s="29">
        <f>Absolute_Scores!I2406</f>
        <v>50</v>
      </c>
      <c r="I2406" s="30">
        <f t="shared" si="68"/>
        <v>62.5</v>
      </c>
    </row>
    <row r="2407" spans="6:9">
      <c r="F2407" s="12" t="str">
        <f>Absolute_Scores!F2407</f>
        <v>@tatasyaah</v>
      </c>
      <c r="G2407" s="12" t="str">
        <f>Absolute_Scores!G2407</f>
        <v>TikTok</v>
      </c>
      <c r="H2407" s="29">
        <f>Absolute_Scores!I2407</f>
        <v>50</v>
      </c>
      <c r="I2407" s="30">
        <f t="shared" si="68"/>
        <v>62.5</v>
      </c>
    </row>
    <row r="2408" spans="6:9">
      <c r="F2408" s="12" t="str">
        <f>Absolute_Scores!F2408</f>
        <v>@taufikeffendi88</v>
      </c>
      <c r="G2408" s="12" t="str">
        <f>Absolute_Scores!G2408</f>
        <v>TikTok</v>
      </c>
      <c r="H2408" s="29">
        <f>Absolute_Scores!I2408</f>
        <v>50</v>
      </c>
      <c r="I2408" s="30">
        <f t="shared" si="68"/>
        <v>62.5</v>
      </c>
    </row>
    <row r="2409" spans="6:9">
      <c r="F2409" s="12" t="str">
        <f>Absolute_Scores!F2409</f>
        <v>@tavaleras</v>
      </c>
      <c r="G2409" s="12" t="str">
        <f>Absolute_Scores!G2409</f>
        <v>TikTok</v>
      </c>
      <c r="H2409" s="29">
        <f>Absolute_Scores!I2409</f>
        <v>50</v>
      </c>
      <c r="I2409" s="30">
        <f t="shared" si="68"/>
        <v>62.5</v>
      </c>
    </row>
    <row r="2410" spans="6:9">
      <c r="F2410" s="12" t="str">
        <f>Absolute_Scores!F2410</f>
        <v>@tdianakusmi</v>
      </c>
      <c r="G2410" s="12" t="str">
        <f>Absolute_Scores!G2410</f>
        <v>Instagram</v>
      </c>
      <c r="H2410" s="29">
        <f>Absolute_Scores!I2410</f>
        <v>50</v>
      </c>
      <c r="I2410" s="30">
        <f t="shared" si="68"/>
        <v>62.5</v>
      </c>
    </row>
    <row r="2411" spans="6:9">
      <c r="F2411" s="12" t="str">
        <f>Absolute_Scores!F2411</f>
        <v>@tebyharun</v>
      </c>
      <c r="G2411" s="12" t="str">
        <f>Absolute_Scores!G2411</f>
        <v>Instagram</v>
      </c>
      <c r="H2411" s="29">
        <f>Absolute_Scores!I2411</f>
        <v>50</v>
      </c>
      <c r="I2411" s="30">
        <f t="shared" si="68"/>
        <v>62.5</v>
      </c>
    </row>
    <row r="2412" spans="6:9">
      <c r="F2412" s="12" t="str">
        <f>Absolute_Scores!F2412</f>
        <v>@teh_dinil</v>
      </c>
      <c r="G2412" s="12" t="str">
        <f>Absolute_Scores!G2412</f>
        <v>Instagram</v>
      </c>
      <c r="H2412" s="29">
        <f>Absolute_Scores!I2412</f>
        <v>50</v>
      </c>
      <c r="I2412" s="30">
        <f t="shared" si="68"/>
        <v>62.5</v>
      </c>
    </row>
    <row r="2413" spans="6:9">
      <c r="F2413" s="12" t="str">
        <f>Absolute_Scores!F2413</f>
        <v>@temilladwenty</v>
      </c>
      <c r="G2413" s="12" t="str">
        <f>Absolute_Scores!G2413</f>
        <v>TikTok</v>
      </c>
      <c r="H2413" s="29">
        <f>Absolute_Scores!I2413</f>
        <v>50</v>
      </c>
      <c r="I2413" s="30">
        <f t="shared" si="68"/>
        <v>62.5</v>
      </c>
    </row>
    <row r="2414" spans="6:9">
      <c r="F2414" s="12" t="str">
        <f>Absolute_Scores!F2414</f>
        <v>@tenya.cynthiadi</v>
      </c>
      <c r="G2414" s="12" t="str">
        <f>Absolute_Scores!G2414</f>
        <v>TikTok</v>
      </c>
      <c r="H2414" s="29">
        <f>Absolute_Scores!I2414</f>
        <v>50</v>
      </c>
      <c r="I2414" s="30">
        <f t="shared" si="68"/>
        <v>62.5</v>
      </c>
    </row>
    <row r="2415" spans="6:9">
      <c r="F2415" s="12" t="str">
        <f>Absolute_Scores!F2415</f>
        <v>@tessa_aan</v>
      </c>
      <c r="G2415" s="12" t="str">
        <f>Absolute_Scores!G2415</f>
        <v>TikTok</v>
      </c>
      <c r="H2415" s="29">
        <f>Absolute_Scores!I2415</f>
        <v>50</v>
      </c>
      <c r="I2415" s="30">
        <f t="shared" si="68"/>
        <v>62.5</v>
      </c>
    </row>
    <row r="2416" spans="6:9">
      <c r="F2416" s="12" t="str">
        <f>Absolute_Scores!F2416</f>
        <v>@thaa_0322</v>
      </c>
      <c r="G2416" s="12" t="str">
        <f>Absolute_Scores!G2416</f>
        <v>TikTok</v>
      </c>
      <c r="H2416" s="29">
        <f>Absolute_Scores!I2416</f>
        <v>50</v>
      </c>
      <c r="I2416" s="30">
        <f t="shared" si="68"/>
        <v>62.5</v>
      </c>
    </row>
    <row r="2417" spans="6:9">
      <c r="F2417" s="12" t="str">
        <f>Absolute_Scores!F2417</f>
        <v>@thaluaaaa</v>
      </c>
      <c r="G2417" s="12" t="str">
        <f>Absolute_Scores!G2417</f>
        <v>TikTok</v>
      </c>
      <c r="H2417" s="29">
        <f>Absolute_Scores!I2417</f>
        <v>50</v>
      </c>
      <c r="I2417" s="30">
        <f t="shared" si="68"/>
        <v>62.5</v>
      </c>
    </row>
    <row r="2418" spans="6:9">
      <c r="F2418" s="12" t="str">
        <f>Absolute_Scores!F2418</f>
        <v>@thariolivia</v>
      </c>
      <c r="G2418" s="12" t="str">
        <f>Absolute_Scores!G2418</f>
        <v>Instagram</v>
      </c>
      <c r="H2418" s="29">
        <f>Absolute_Scores!I2418</f>
        <v>50</v>
      </c>
      <c r="I2418" s="30">
        <f t="shared" si="68"/>
        <v>62.5</v>
      </c>
    </row>
    <row r="2419" spans="6:9">
      <c r="F2419" s="12" t="str">
        <f>Absolute_Scores!F2419</f>
        <v>@thasyaserafina_</v>
      </c>
      <c r="G2419" s="12" t="str">
        <f>Absolute_Scores!G2419</f>
        <v>TikTok</v>
      </c>
      <c r="H2419" s="29">
        <f>Absolute_Scores!I2419</f>
        <v>50</v>
      </c>
      <c r="I2419" s="30">
        <f t="shared" si="68"/>
        <v>62.5</v>
      </c>
    </row>
    <row r="2420" spans="6:9">
      <c r="F2420" s="12" t="str">
        <f>Absolute_Scores!F2420</f>
        <v>@theliztagram</v>
      </c>
      <c r="G2420" s="12" t="str">
        <f>Absolute_Scores!G2420</f>
        <v>Instagram</v>
      </c>
      <c r="H2420" s="29">
        <f>Absolute_Scores!I2420</f>
        <v>50</v>
      </c>
      <c r="I2420" s="30">
        <f t="shared" si="68"/>
        <v>62.5</v>
      </c>
    </row>
    <row r="2421" spans="6:9">
      <c r="F2421" s="12" t="str">
        <f>Absolute_Scores!F2421</f>
        <v>@themaplemedia</v>
      </c>
      <c r="G2421" s="12" t="str">
        <f>Absolute_Scores!G2421</f>
        <v>TikTok</v>
      </c>
      <c r="H2421" s="29">
        <f>Absolute_Scores!I2421</f>
        <v>50</v>
      </c>
      <c r="I2421" s="30">
        <f t="shared" si="68"/>
        <v>62.5</v>
      </c>
    </row>
    <row r="2422" spans="6:9">
      <c r="F2422" s="12" t="str">
        <f>Absolute_Scores!F2422</f>
        <v>@themunchingbee</v>
      </c>
      <c r="G2422" s="12" t="str">
        <f>Absolute_Scores!G2422</f>
        <v>Instagram</v>
      </c>
      <c r="H2422" s="29">
        <f>Absolute_Scores!I2422</f>
        <v>50</v>
      </c>
      <c r="I2422" s="30">
        <f t="shared" si="68"/>
        <v>62.5</v>
      </c>
    </row>
    <row r="2423" spans="6:9">
      <c r="F2423" s="12" t="str">
        <f>Absolute_Scores!F2423</f>
        <v>@therealasilamaisa</v>
      </c>
      <c r="G2423" s="12" t="str">
        <f>Absolute_Scores!G2423</f>
        <v>Instagram</v>
      </c>
      <c r="H2423" s="29">
        <f>Absolute_Scores!I2423</f>
        <v>50</v>
      </c>
      <c r="I2423" s="30">
        <f t="shared" si="68"/>
        <v>62.5</v>
      </c>
    </row>
    <row r="2424" spans="6:9">
      <c r="F2424" s="12" t="str">
        <f>Absolute_Scores!F2424</f>
        <v>@thesipitz</v>
      </c>
      <c r="G2424" s="12" t="str">
        <f>Absolute_Scores!G2424</f>
        <v>TikTok</v>
      </c>
      <c r="H2424" s="29">
        <f>Absolute_Scores!I2424</f>
        <v>50</v>
      </c>
      <c r="I2424" s="30">
        <f t="shared" si="68"/>
        <v>62.5</v>
      </c>
    </row>
    <row r="2425" spans="6:9">
      <c r="F2425" s="12" t="str">
        <f>Absolute_Scores!F2425</f>
        <v>@thisishannon</v>
      </c>
      <c r="G2425" s="12" t="str">
        <f>Absolute_Scores!G2425</f>
        <v>Instagram</v>
      </c>
      <c r="H2425" s="29">
        <f>Absolute_Scores!I2425</f>
        <v>50</v>
      </c>
      <c r="I2425" s="30">
        <f t="shared" si="68"/>
        <v>62.5</v>
      </c>
    </row>
    <row r="2426" spans="6:9">
      <c r="F2426" s="12" t="str">
        <f>Absolute_Scores!F2426</f>
        <v>@thoipatun</v>
      </c>
      <c r="G2426" s="12" t="str">
        <f>Absolute_Scores!G2426</f>
        <v>Instagram</v>
      </c>
      <c r="H2426" s="29">
        <f>Absolute_Scores!I2426</f>
        <v>50</v>
      </c>
      <c r="I2426" s="30">
        <f t="shared" si="68"/>
        <v>62.5</v>
      </c>
    </row>
    <row r="2427" spans="6:9">
      <c r="F2427" s="12" t="str">
        <f>Absolute_Scores!F2427</f>
        <v>@thotbarbie</v>
      </c>
      <c r="G2427" s="12" t="str">
        <f>Absolute_Scores!G2427</f>
        <v>TikTok</v>
      </c>
      <c r="H2427" s="29">
        <f>Absolute_Scores!I2427</f>
        <v>50</v>
      </c>
      <c r="I2427" s="30">
        <f t="shared" si="68"/>
        <v>62.5</v>
      </c>
    </row>
    <row r="2428" spans="6:9">
      <c r="F2428" s="12" t="str">
        <f>Absolute_Scores!F2428</f>
        <v>@threeazz</v>
      </c>
      <c r="G2428" s="12" t="str">
        <f>Absolute_Scores!G2428</f>
        <v>Instagram</v>
      </c>
      <c r="H2428" s="29">
        <f>Absolute_Scores!I2428</f>
        <v>50</v>
      </c>
      <c r="I2428" s="30">
        <f t="shared" si="68"/>
        <v>62.5</v>
      </c>
    </row>
    <row r="2429" spans="6:9">
      <c r="F2429" s="12" t="str">
        <f>Absolute_Scores!F2429</f>
        <v>@thvvrichi</v>
      </c>
      <c r="G2429" s="12" t="str">
        <f>Absolute_Scores!G2429</f>
        <v>TikTok</v>
      </c>
      <c r="H2429" s="29">
        <f>Absolute_Scores!I2429</f>
        <v>50</v>
      </c>
      <c r="I2429" s="30">
        <f t="shared" si="68"/>
        <v>62.5</v>
      </c>
    </row>
    <row r="2430" spans="6:9">
      <c r="F2430" s="12" t="str">
        <f>Absolute_Scores!F2430</f>
        <v>@thyarassii</v>
      </c>
      <c r="G2430" s="12" t="str">
        <f>Absolute_Scores!G2430</f>
        <v>TikTok</v>
      </c>
      <c r="H2430" s="29">
        <f>Absolute_Scores!I2430</f>
        <v>50</v>
      </c>
      <c r="I2430" s="30">
        <f t="shared" si="68"/>
        <v>62.5</v>
      </c>
    </row>
    <row r="2431" spans="6:9">
      <c r="F2431" s="12" t="str">
        <f>Absolute_Scores!F2431</f>
        <v>@tiakrtka_</v>
      </c>
      <c r="G2431" s="12" t="str">
        <f>Absolute_Scores!G2431</f>
        <v>TikTok</v>
      </c>
      <c r="H2431" s="29">
        <f>Absolute_Scores!I2431</f>
        <v>50</v>
      </c>
      <c r="I2431" s="30">
        <f t="shared" si="68"/>
        <v>62.5</v>
      </c>
    </row>
    <row r="2432" spans="6:9">
      <c r="F2432" s="12" t="str">
        <f>Absolute_Scores!F2432</f>
        <v>@tiarahasian_</v>
      </c>
      <c r="G2432" s="12" t="str">
        <f>Absolute_Scores!G2432</f>
        <v>TikTok</v>
      </c>
      <c r="H2432" s="29">
        <f>Absolute_Scores!I2432</f>
        <v>50</v>
      </c>
      <c r="I2432" s="30">
        <f t="shared" si="68"/>
        <v>62.5</v>
      </c>
    </row>
    <row r="2433" spans="6:9">
      <c r="F2433" s="12" t="str">
        <f>Absolute_Scores!F2433</f>
        <v>@tiaraptrb__</v>
      </c>
      <c r="G2433" s="12" t="str">
        <f>Absolute_Scores!G2433</f>
        <v>TikTok</v>
      </c>
      <c r="H2433" s="29">
        <f>Absolute_Scores!I2433</f>
        <v>50</v>
      </c>
      <c r="I2433" s="30">
        <f t="shared" si="68"/>
        <v>62.5</v>
      </c>
    </row>
    <row r="2434" spans="6:9">
      <c r="F2434" s="12" t="str">
        <f>Absolute_Scores!F2434</f>
        <v>@tica_pramesty</v>
      </c>
      <c r="G2434" s="12" t="str">
        <f>Absolute_Scores!G2434</f>
        <v>Instagram</v>
      </c>
      <c r="H2434" s="29">
        <f>Absolute_Scores!I2434</f>
        <v>50</v>
      </c>
      <c r="I2434" s="30">
        <f t="shared" si="68"/>
        <v>62.5</v>
      </c>
    </row>
    <row r="2435" spans="6:9">
      <c r="F2435" s="12" t="str">
        <f>Absolute_Scores!F2435</f>
        <v>@tika.mulyawati</v>
      </c>
      <c r="G2435" s="12" t="str">
        <f>Absolute_Scores!G2435</f>
        <v>Instagram</v>
      </c>
      <c r="H2435" s="29">
        <f>Absolute_Scores!I2435</f>
        <v>50</v>
      </c>
      <c r="I2435" s="30">
        <f t="shared" si="68"/>
        <v>62.5</v>
      </c>
    </row>
    <row r="2436" spans="6:9">
      <c r="F2436" s="12" t="str">
        <f>Absolute_Scores!F2436</f>
        <v>@tikamuzt</v>
      </c>
      <c r="G2436" s="12" t="str">
        <f>Absolute_Scores!G2436</f>
        <v>Instagram</v>
      </c>
      <c r="H2436" s="29">
        <f>Absolute_Scores!I2436</f>
        <v>50</v>
      </c>
      <c r="I2436" s="30">
        <f t="shared" si="68"/>
        <v>62.5</v>
      </c>
    </row>
    <row r="2437" spans="6:9">
      <c r="F2437" s="12" t="str">
        <f>Absolute_Scores!F2437</f>
        <v>@tiktoknyaadam</v>
      </c>
      <c r="G2437" s="12" t="str">
        <f>Absolute_Scores!G2437</f>
        <v>TikTok</v>
      </c>
      <c r="H2437" s="29">
        <f>Absolute_Scores!I2437</f>
        <v>50</v>
      </c>
      <c r="I2437" s="30">
        <f t="shared" si="68"/>
        <v>62.5</v>
      </c>
    </row>
    <row r="2438" spans="6:9">
      <c r="F2438" s="12" t="str">
        <f>Absolute_Scores!F2438</f>
        <v>@tips.ibunda</v>
      </c>
      <c r="G2438" s="12" t="str">
        <f>Absolute_Scores!G2438</f>
        <v>TikTok</v>
      </c>
      <c r="H2438" s="29">
        <f>Absolute_Scores!I2438</f>
        <v>50</v>
      </c>
      <c r="I2438" s="30">
        <f t="shared" ref="I2438:I2501" si="69">ROUND(H2438/$I$4*100,2)</f>
        <v>62.5</v>
      </c>
    </row>
    <row r="2439" spans="6:9">
      <c r="F2439" s="12" t="str">
        <f>Absolute_Scores!F2439</f>
        <v>@tirtogandaa</v>
      </c>
      <c r="G2439" s="12" t="str">
        <f>Absolute_Scores!G2439</f>
        <v>TikTok</v>
      </c>
      <c r="H2439" s="29">
        <f>Absolute_Scores!I2439</f>
        <v>50</v>
      </c>
      <c r="I2439" s="30">
        <f t="shared" si="69"/>
        <v>62.5</v>
      </c>
    </row>
    <row r="2440" spans="6:9">
      <c r="F2440" s="12" t="str">
        <f>Absolute_Scores!F2440</f>
        <v>@titis.puji</v>
      </c>
      <c r="G2440" s="12" t="str">
        <f>Absolute_Scores!G2440</f>
        <v>Instagram</v>
      </c>
      <c r="H2440" s="29">
        <f>Absolute_Scores!I2440</f>
        <v>50</v>
      </c>
      <c r="I2440" s="30">
        <f t="shared" si="69"/>
        <v>62.5</v>
      </c>
    </row>
    <row r="2441" spans="6:9">
      <c r="F2441" s="12" t="str">
        <f>Absolute_Scores!F2441</f>
        <v>@tiwi_prawito</v>
      </c>
      <c r="G2441" s="12" t="str">
        <f>Absolute_Scores!G2441</f>
        <v>Instagram</v>
      </c>
      <c r="H2441" s="29">
        <f>Absolute_Scores!I2441</f>
        <v>50</v>
      </c>
      <c r="I2441" s="30">
        <f t="shared" si="69"/>
        <v>62.5</v>
      </c>
    </row>
    <row r="2442" spans="6:9">
      <c r="F2442" s="12" t="str">
        <f>Absolute_Scores!F2442</f>
        <v>@topiieq</v>
      </c>
      <c r="G2442" s="12" t="str">
        <f>Absolute_Scores!G2442</f>
        <v>Instagram</v>
      </c>
      <c r="H2442" s="29">
        <f>Absolute_Scores!I2442</f>
        <v>50</v>
      </c>
      <c r="I2442" s="30">
        <f t="shared" si="69"/>
        <v>62.5</v>
      </c>
    </row>
    <row r="2443" spans="6:9">
      <c r="F2443" s="12" t="str">
        <f>Absolute_Scores!F2443</f>
        <v>@tracy_3110</v>
      </c>
      <c r="G2443" s="12" t="str">
        <f>Absolute_Scores!G2443</f>
        <v>Instagram</v>
      </c>
      <c r="H2443" s="29">
        <f>Absolute_Scores!I2443</f>
        <v>50</v>
      </c>
      <c r="I2443" s="30">
        <f t="shared" si="69"/>
        <v>62.5</v>
      </c>
    </row>
    <row r="2444" spans="6:9">
      <c r="F2444" s="12" t="str">
        <f>Absolute_Scores!F2444</f>
        <v>@travellercantique</v>
      </c>
      <c r="G2444" s="12" t="str">
        <f>Absolute_Scores!G2444</f>
        <v>TikTok</v>
      </c>
      <c r="H2444" s="29">
        <f>Absolute_Scores!I2444</f>
        <v>50</v>
      </c>
      <c r="I2444" s="30">
        <f t="shared" si="69"/>
        <v>62.5</v>
      </c>
    </row>
    <row r="2445" spans="6:9">
      <c r="F2445" s="12" t="str">
        <f>Absolute_Scores!F2445</f>
        <v>@tri_asics</v>
      </c>
      <c r="G2445" s="12" t="str">
        <f>Absolute_Scores!G2445</f>
        <v>Instagram</v>
      </c>
      <c r="H2445" s="29">
        <f>Absolute_Scores!I2445</f>
        <v>50</v>
      </c>
      <c r="I2445" s="30">
        <f t="shared" si="69"/>
        <v>62.5</v>
      </c>
    </row>
    <row r="2446" spans="6:9">
      <c r="F2446" s="12" t="str">
        <f>Absolute_Scores!F2446</f>
        <v>@tri_murtii</v>
      </c>
      <c r="G2446" s="12" t="str">
        <f>Absolute_Scores!G2446</f>
        <v>Instagram</v>
      </c>
      <c r="H2446" s="29">
        <f>Absolute_Scores!I2446</f>
        <v>50</v>
      </c>
      <c r="I2446" s="30">
        <f t="shared" si="69"/>
        <v>62.5</v>
      </c>
    </row>
    <row r="2447" spans="6:9">
      <c r="F2447" s="12" t="str">
        <f>Absolute_Scores!F2447</f>
        <v>@triaayu41</v>
      </c>
      <c r="G2447" s="12" t="str">
        <f>Absolute_Scores!G2447</f>
        <v>TikTok</v>
      </c>
      <c r="H2447" s="29">
        <f>Absolute_Scores!I2447</f>
        <v>50</v>
      </c>
      <c r="I2447" s="30">
        <f t="shared" si="69"/>
        <v>62.5</v>
      </c>
    </row>
    <row r="2448" spans="6:9">
      <c r="F2448" s="12" t="str">
        <f>Absolute_Scores!F2448</f>
        <v>@triarona</v>
      </c>
      <c r="G2448" s="12" t="str">
        <f>Absolute_Scores!G2448</f>
        <v>TikTok</v>
      </c>
      <c r="H2448" s="29">
        <f>Absolute_Scores!I2448</f>
        <v>50</v>
      </c>
      <c r="I2448" s="30">
        <f t="shared" si="69"/>
        <v>62.5</v>
      </c>
    </row>
    <row r="2449" spans="6:9">
      <c r="F2449" s="12" t="str">
        <f>Absolute_Scores!F2449</f>
        <v>@triayulaksana</v>
      </c>
      <c r="G2449" s="12" t="str">
        <f>Absolute_Scores!G2449</f>
        <v>Instagram</v>
      </c>
      <c r="H2449" s="29">
        <f>Absolute_Scores!I2449</f>
        <v>50</v>
      </c>
      <c r="I2449" s="30">
        <f t="shared" si="69"/>
        <v>62.5</v>
      </c>
    </row>
    <row r="2450" spans="6:9">
      <c r="F2450" s="12" t="str">
        <f>Absolute_Scores!F2450</f>
        <v>@trishaln</v>
      </c>
      <c r="G2450" s="12" t="str">
        <f>Absolute_Scores!G2450</f>
        <v>Instagram</v>
      </c>
      <c r="H2450" s="29">
        <f>Absolute_Scores!I2450</f>
        <v>50</v>
      </c>
      <c r="I2450" s="30">
        <f t="shared" si="69"/>
        <v>62.5</v>
      </c>
    </row>
    <row r="2451" spans="6:9">
      <c r="F2451" s="12" t="str">
        <f>Absolute_Scores!F2451</f>
        <v>@ts.jasmine</v>
      </c>
      <c r="G2451" s="12" t="str">
        <f>Absolute_Scores!G2451</f>
        <v>TikTok</v>
      </c>
      <c r="H2451" s="29">
        <f>Absolute_Scores!I2451</f>
        <v>50</v>
      </c>
      <c r="I2451" s="30">
        <f t="shared" si="69"/>
        <v>62.5</v>
      </c>
    </row>
    <row r="2452" spans="6:9">
      <c r="F2452" s="12" t="str">
        <f>Absolute_Scores!F2452</f>
        <v>@tsanianl_</v>
      </c>
      <c r="G2452" s="12" t="str">
        <f>Absolute_Scores!G2452</f>
        <v>TikTok</v>
      </c>
      <c r="H2452" s="29">
        <f>Absolute_Scores!I2452</f>
        <v>50</v>
      </c>
      <c r="I2452" s="30">
        <f t="shared" si="69"/>
        <v>62.5</v>
      </c>
    </row>
    <row r="2453" spans="6:9">
      <c r="F2453" s="12" t="str">
        <f>Absolute_Scores!F2453</f>
        <v>@tsanqinr</v>
      </c>
      <c r="G2453" s="12" t="str">
        <f>Absolute_Scores!G2453</f>
        <v>TikTok</v>
      </c>
      <c r="H2453" s="29">
        <f>Absolute_Scores!I2453</f>
        <v>50</v>
      </c>
      <c r="I2453" s="30">
        <f t="shared" si="69"/>
        <v>62.5</v>
      </c>
    </row>
    <row r="2454" spans="6:9">
      <c r="F2454" s="12" t="str">
        <f>Absolute_Scores!F2454</f>
        <v>@ttaaokk05</v>
      </c>
      <c r="G2454" s="12" t="str">
        <f>Absolute_Scores!G2454</f>
        <v>TikTok</v>
      </c>
      <c r="H2454" s="29">
        <f>Absolute_Scores!I2454</f>
        <v>50</v>
      </c>
      <c r="I2454" s="30">
        <f t="shared" si="69"/>
        <v>62.5</v>
      </c>
    </row>
    <row r="2455" spans="6:9">
      <c r="F2455" s="12" t="str">
        <f>Absolute_Scores!F2455</f>
        <v>@tuanmudatazir</v>
      </c>
      <c r="G2455" s="12" t="str">
        <f>Absolute_Scores!G2455</f>
        <v>TikTok</v>
      </c>
      <c r="H2455" s="29">
        <f>Absolute_Scores!I2455</f>
        <v>50</v>
      </c>
      <c r="I2455" s="30">
        <f t="shared" si="69"/>
        <v>62.5</v>
      </c>
    </row>
    <row r="2456" spans="6:9">
      <c r="F2456" s="12" t="str">
        <f>Absolute_Scores!F2456</f>
        <v>@tukangmakeuppp</v>
      </c>
      <c r="G2456" s="12" t="str">
        <f>Absolute_Scores!G2456</f>
        <v>TikTok</v>
      </c>
      <c r="H2456" s="29">
        <f>Absolute_Scores!I2456</f>
        <v>50</v>
      </c>
      <c r="I2456" s="30">
        <f t="shared" si="69"/>
        <v>62.5</v>
      </c>
    </row>
    <row r="2457" spans="6:9">
      <c r="F2457" s="12" t="str">
        <f>Absolute_Scores!F2457</f>
        <v>@tumbenrajin</v>
      </c>
      <c r="G2457" s="12" t="str">
        <f>Absolute_Scores!G2457</f>
        <v>TikTok</v>
      </c>
      <c r="H2457" s="29">
        <f>Absolute_Scores!I2457</f>
        <v>50</v>
      </c>
      <c r="I2457" s="30">
        <f t="shared" si="69"/>
        <v>62.5</v>
      </c>
    </row>
    <row r="2458" spans="6:9">
      <c r="F2458" s="12" t="str">
        <f>Absolute_Scores!F2458</f>
        <v>@twindasigma</v>
      </c>
      <c r="G2458" s="12" t="str">
        <f>Absolute_Scores!G2458</f>
        <v>Instagram</v>
      </c>
      <c r="H2458" s="29">
        <f>Absolute_Scores!I2458</f>
        <v>50</v>
      </c>
      <c r="I2458" s="30">
        <f t="shared" si="69"/>
        <v>62.5</v>
      </c>
    </row>
    <row r="2459" spans="6:9">
      <c r="F2459" s="12" t="str">
        <f>Absolute_Scores!F2459</f>
        <v>@twulandar_</v>
      </c>
      <c r="G2459" s="12" t="str">
        <f>Absolute_Scores!G2459</f>
        <v>Instagram</v>
      </c>
      <c r="H2459" s="29">
        <f>Absolute_Scores!I2459</f>
        <v>50</v>
      </c>
      <c r="I2459" s="30">
        <f t="shared" si="69"/>
        <v>62.5</v>
      </c>
    </row>
    <row r="2460" spans="6:9">
      <c r="F2460" s="12" t="str">
        <f>Absolute_Scores!F2460</f>
        <v>@tyaap10</v>
      </c>
      <c r="G2460" s="12" t="str">
        <f>Absolute_Scores!G2460</f>
        <v>TikTok</v>
      </c>
      <c r="H2460" s="29">
        <f>Absolute_Scores!I2460</f>
        <v>50</v>
      </c>
      <c r="I2460" s="30">
        <f t="shared" si="69"/>
        <v>62.5</v>
      </c>
    </row>
    <row r="2461" spans="6:9">
      <c r="F2461" s="12" t="str">
        <f>Absolute_Scores!F2461</f>
        <v>@tyamarizaa</v>
      </c>
      <c r="G2461" s="12" t="str">
        <f>Absolute_Scores!G2461</f>
        <v>Instagram</v>
      </c>
      <c r="H2461" s="29">
        <f>Absolute_Scores!I2461</f>
        <v>50</v>
      </c>
      <c r="I2461" s="30">
        <f t="shared" si="69"/>
        <v>62.5</v>
      </c>
    </row>
    <row r="2462" spans="6:9">
      <c r="F2462" s="12" t="str">
        <f>Absolute_Scores!F2462</f>
        <v>@tyaslidyarusdiantoro</v>
      </c>
      <c r="G2462" s="12" t="str">
        <f>Absolute_Scores!G2462</f>
        <v>Instagram</v>
      </c>
      <c r="H2462" s="29">
        <f>Absolute_Scores!I2462</f>
        <v>50</v>
      </c>
      <c r="I2462" s="30">
        <f t="shared" si="69"/>
        <v>62.5</v>
      </c>
    </row>
    <row r="2463" spans="6:9">
      <c r="F2463" s="12" t="str">
        <f>Absolute_Scores!F2463</f>
        <v>@tyasnay</v>
      </c>
      <c r="G2463" s="12" t="str">
        <f>Absolute_Scores!G2463</f>
        <v>TikTok</v>
      </c>
      <c r="H2463" s="29">
        <f>Absolute_Scores!I2463</f>
        <v>50</v>
      </c>
      <c r="I2463" s="30">
        <f t="shared" si="69"/>
        <v>62.5</v>
      </c>
    </row>
    <row r="2464" spans="6:9">
      <c r="F2464" s="12" t="str">
        <f>Absolute_Scores!F2464</f>
        <v>@tyassyaff</v>
      </c>
      <c r="G2464" s="12" t="str">
        <f>Absolute_Scores!G2464</f>
        <v>TikTok</v>
      </c>
      <c r="H2464" s="29">
        <f>Absolute_Scores!I2464</f>
        <v>50</v>
      </c>
      <c r="I2464" s="30">
        <f t="shared" si="69"/>
        <v>62.5</v>
      </c>
    </row>
    <row r="2465" spans="6:9">
      <c r="F2465" s="12" t="str">
        <f>Absolute_Scores!F2465</f>
        <v>@tytamurti</v>
      </c>
      <c r="G2465" s="12" t="str">
        <f>Absolute_Scores!G2465</f>
        <v>Instagram</v>
      </c>
      <c r="H2465" s="29">
        <f>Absolute_Scores!I2465</f>
        <v>50</v>
      </c>
      <c r="I2465" s="30">
        <f t="shared" si="69"/>
        <v>62.5</v>
      </c>
    </row>
    <row r="2466" spans="6:9">
      <c r="F2466" s="12" t="str">
        <f>Absolute_Scores!F2466</f>
        <v>@tytaptr</v>
      </c>
      <c r="G2466" s="12" t="str">
        <f>Absolute_Scores!G2466</f>
        <v>TikTok</v>
      </c>
      <c r="H2466" s="29">
        <f>Absolute_Scores!I2466</f>
        <v>50</v>
      </c>
      <c r="I2466" s="30">
        <f t="shared" si="69"/>
        <v>62.5</v>
      </c>
    </row>
    <row r="2467" spans="6:9">
      <c r="F2467" s="12" t="str">
        <f>Absolute_Scores!F2467</f>
        <v>@uchyea</v>
      </c>
      <c r="G2467" s="12" t="str">
        <f>Absolute_Scores!G2467</f>
        <v>Instagram</v>
      </c>
      <c r="H2467" s="29">
        <f>Absolute_Scores!I2467</f>
        <v>50</v>
      </c>
      <c r="I2467" s="30">
        <f t="shared" si="69"/>
        <v>62.5</v>
      </c>
    </row>
    <row r="2468" spans="6:9">
      <c r="F2468" s="12" t="str">
        <f>Absolute_Scores!F2468</f>
        <v>@ucyullll</v>
      </c>
      <c r="G2468" s="12" t="str">
        <f>Absolute_Scores!G2468</f>
        <v>TikTok</v>
      </c>
      <c r="H2468" s="29">
        <f>Absolute_Scores!I2468</f>
        <v>50</v>
      </c>
      <c r="I2468" s="30">
        <f t="shared" si="69"/>
        <v>62.5</v>
      </c>
    </row>
    <row r="2469" spans="6:9">
      <c r="F2469" s="12" t="str">
        <f>Absolute_Scores!F2469</f>
        <v>@ufo_yaa</v>
      </c>
      <c r="G2469" s="12" t="str">
        <f>Absolute_Scores!G2469</f>
        <v>Instagram</v>
      </c>
      <c r="H2469" s="29">
        <f>Absolute_Scores!I2469</f>
        <v>50</v>
      </c>
      <c r="I2469" s="30">
        <f t="shared" si="69"/>
        <v>62.5</v>
      </c>
    </row>
    <row r="2470" spans="6:9">
      <c r="F2470" s="12" t="str">
        <f>Absolute_Scores!F2470</f>
        <v>@ulfahnurhidayati_</v>
      </c>
      <c r="G2470" s="12" t="str">
        <f>Absolute_Scores!G2470</f>
        <v>Instagram</v>
      </c>
      <c r="H2470" s="29">
        <f>Absolute_Scores!I2470</f>
        <v>50</v>
      </c>
      <c r="I2470" s="30">
        <f t="shared" si="69"/>
        <v>62.5</v>
      </c>
    </row>
    <row r="2471" spans="6:9">
      <c r="F2471" s="12" t="str">
        <f>Absolute_Scores!F2471</f>
        <v>@ulfahoktavianiii</v>
      </c>
      <c r="G2471" s="12" t="str">
        <f>Absolute_Scores!G2471</f>
        <v>Instagram</v>
      </c>
      <c r="H2471" s="29">
        <f>Absolute_Scores!I2471</f>
        <v>50</v>
      </c>
      <c r="I2471" s="30">
        <f t="shared" si="69"/>
        <v>62.5</v>
      </c>
    </row>
    <row r="2472" spans="6:9">
      <c r="F2472" s="12" t="str">
        <f>Absolute_Scores!F2472</f>
        <v>@ulfahzahrotinnisa</v>
      </c>
      <c r="G2472" s="12" t="str">
        <f>Absolute_Scores!G2472</f>
        <v>Instagram</v>
      </c>
      <c r="H2472" s="29">
        <f>Absolute_Scores!I2472</f>
        <v>50</v>
      </c>
      <c r="I2472" s="30">
        <f t="shared" si="69"/>
        <v>62.5</v>
      </c>
    </row>
    <row r="2473" spans="6:9">
      <c r="F2473" s="12" t="str">
        <f>Absolute_Scores!F2473</f>
        <v>@ulfamarryee</v>
      </c>
      <c r="G2473" s="12" t="str">
        <f>Absolute_Scores!G2473</f>
        <v>Instagram</v>
      </c>
      <c r="H2473" s="29">
        <f>Absolute_Scores!I2473</f>
        <v>50</v>
      </c>
      <c r="I2473" s="30">
        <f t="shared" si="69"/>
        <v>62.5</v>
      </c>
    </row>
    <row r="2474" spans="6:9">
      <c r="F2474" s="12" t="str">
        <f>Absolute_Scores!F2474</f>
        <v>@ulfawm</v>
      </c>
      <c r="G2474" s="12" t="str">
        <f>Absolute_Scores!G2474</f>
        <v>TikTok</v>
      </c>
      <c r="H2474" s="29">
        <f>Absolute_Scores!I2474</f>
        <v>50</v>
      </c>
      <c r="I2474" s="30">
        <f t="shared" si="69"/>
        <v>62.5</v>
      </c>
    </row>
    <row r="2475" spans="6:9">
      <c r="F2475" s="12" t="str">
        <f>Absolute_Scores!F2475</f>
        <v>@ulyashafa</v>
      </c>
      <c r="G2475" s="12" t="str">
        <f>Absolute_Scores!G2475</f>
        <v>TikTok</v>
      </c>
      <c r="H2475" s="29">
        <f>Absolute_Scores!I2475</f>
        <v>50</v>
      </c>
      <c r="I2475" s="30">
        <f t="shared" si="69"/>
        <v>62.5</v>
      </c>
    </row>
    <row r="2476" spans="6:9">
      <c r="F2476" s="12" t="str">
        <f>Absolute_Scores!F2476</f>
        <v>@ulyayulihana</v>
      </c>
      <c r="G2476" s="12" t="str">
        <f>Absolute_Scores!G2476</f>
        <v>Instagram</v>
      </c>
      <c r="H2476" s="29">
        <f>Absolute_Scores!I2476</f>
        <v>50</v>
      </c>
      <c r="I2476" s="30">
        <f t="shared" si="69"/>
        <v>62.5</v>
      </c>
    </row>
    <row r="2477" spans="6:9">
      <c r="F2477" s="12" t="str">
        <f>Absolute_Scores!F2477</f>
        <v>@umacantikk</v>
      </c>
      <c r="G2477" s="12" t="str">
        <f>Absolute_Scores!G2477</f>
        <v>TikTok</v>
      </c>
      <c r="H2477" s="29">
        <f>Absolute_Scores!I2477</f>
        <v>50</v>
      </c>
      <c r="I2477" s="30">
        <f t="shared" si="69"/>
        <v>62.5</v>
      </c>
    </row>
    <row r="2478" spans="6:9">
      <c r="F2478" s="12" t="str">
        <f>Absolute_Scores!F2478</f>
        <v>@umik_ilonatanjung</v>
      </c>
      <c r="G2478" s="12" t="str">
        <f>Absolute_Scores!G2478</f>
        <v>Instagram</v>
      </c>
      <c r="H2478" s="29">
        <f>Absolute_Scores!I2478</f>
        <v>50</v>
      </c>
      <c r="I2478" s="30">
        <f t="shared" si="69"/>
        <v>62.5</v>
      </c>
    </row>
    <row r="2479" spans="6:9">
      <c r="F2479" s="12" t="str">
        <f>Absolute_Scores!F2479</f>
        <v>@ummafathan</v>
      </c>
      <c r="G2479" s="12" t="str">
        <f>Absolute_Scores!G2479</f>
        <v>TikTok</v>
      </c>
      <c r="H2479" s="29">
        <f>Absolute_Scores!I2479</f>
        <v>50</v>
      </c>
      <c r="I2479" s="30">
        <f t="shared" si="69"/>
        <v>62.5</v>
      </c>
    </row>
    <row r="2480" spans="6:9">
      <c r="F2480" s="12" t="str">
        <f>Absolute_Scores!F2480</f>
        <v>@ummi_quary30</v>
      </c>
      <c r="G2480" s="12" t="str">
        <f>Absolute_Scores!G2480</f>
        <v>TikTok</v>
      </c>
      <c r="H2480" s="29">
        <f>Absolute_Scores!I2480</f>
        <v>50</v>
      </c>
      <c r="I2480" s="30">
        <f t="shared" si="69"/>
        <v>62.5</v>
      </c>
    </row>
    <row r="2481" spans="6:9">
      <c r="F2481" s="12" t="str">
        <f>Absolute_Scores!F2481</f>
        <v>@ummi_umaroh</v>
      </c>
      <c r="G2481" s="12" t="str">
        <f>Absolute_Scores!G2481</f>
        <v>Instagram</v>
      </c>
      <c r="H2481" s="29">
        <f>Absolute_Scores!I2481</f>
        <v>50</v>
      </c>
      <c r="I2481" s="30">
        <f t="shared" si="69"/>
        <v>62.5</v>
      </c>
    </row>
    <row r="2482" spans="6:9">
      <c r="F2482" s="12" t="str">
        <f>Absolute_Scores!F2482</f>
        <v>@ummuava</v>
      </c>
      <c r="G2482" s="12" t="str">
        <f>Absolute_Scores!G2482</f>
        <v>Instagram</v>
      </c>
      <c r="H2482" s="29">
        <f>Absolute_Scores!I2482</f>
        <v>50</v>
      </c>
      <c r="I2482" s="30">
        <f t="shared" si="69"/>
        <v>62.5</v>
      </c>
    </row>
    <row r="2483" spans="6:9">
      <c r="F2483" s="12" t="str">
        <f>Absolute_Scores!F2483</f>
        <v>@una_husnana</v>
      </c>
      <c r="G2483" s="12" t="str">
        <f>Absolute_Scores!G2483</f>
        <v>Instagram</v>
      </c>
      <c r="H2483" s="29">
        <f>Absolute_Scores!I2483</f>
        <v>50</v>
      </c>
      <c r="I2483" s="30">
        <f t="shared" si="69"/>
        <v>62.5</v>
      </c>
    </row>
    <row r="2484" spans="6:9">
      <c r="F2484" s="12" t="str">
        <f>Absolute_Scores!F2484</f>
        <v>@unayumna</v>
      </c>
      <c r="G2484" s="12" t="str">
        <f>Absolute_Scores!G2484</f>
        <v>Instagram</v>
      </c>
      <c r="H2484" s="29">
        <f>Absolute_Scores!I2484</f>
        <v>50</v>
      </c>
      <c r="I2484" s="30">
        <f t="shared" si="69"/>
        <v>62.5</v>
      </c>
    </row>
    <row r="2485" spans="6:9">
      <c r="F2485" s="12" t="str">
        <f>Absolute_Scores!F2485</f>
        <v>@uncahbuncah</v>
      </c>
      <c r="G2485" s="12" t="str">
        <f>Absolute_Scores!G2485</f>
        <v>TikTok</v>
      </c>
      <c r="H2485" s="29">
        <f>Absolute_Scores!I2485</f>
        <v>50</v>
      </c>
      <c r="I2485" s="30">
        <f t="shared" si="69"/>
        <v>62.5</v>
      </c>
    </row>
    <row r="2486" spans="6:9">
      <c r="F2486" s="12" t="str">
        <f>Absolute_Scores!F2486</f>
        <v>@unclemayk</v>
      </c>
      <c r="G2486" s="12" t="str">
        <f>Absolute_Scores!G2486</f>
        <v>Instagram</v>
      </c>
      <c r="H2486" s="29">
        <f>Absolute_Scores!I2486</f>
        <v>50</v>
      </c>
      <c r="I2486" s="30">
        <f t="shared" si="69"/>
        <v>62.5</v>
      </c>
    </row>
    <row r="2487" spans="6:9">
      <c r="F2487" s="12" t="str">
        <f>Absolute_Scores!F2487</f>
        <v>@uni.esce</v>
      </c>
      <c r="G2487" s="12" t="str">
        <f>Absolute_Scores!G2487</f>
        <v>Instagram</v>
      </c>
      <c r="H2487" s="29">
        <f>Absolute_Scores!I2487</f>
        <v>50</v>
      </c>
      <c r="I2487" s="30">
        <f t="shared" si="69"/>
        <v>62.5</v>
      </c>
    </row>
    <row r="2488" spans="6:9">
      <c r="F2488" s="12" t="str">
        <f>Absolute_Scores!F2488</f>
        <v>@unie.88</v>
      </c>
      <c r="G2488" s="12" t="str">
        <f>Absolute_Scores!G2488</f>
        <v>TikTok</v>
      </c>
      <c r="H2488" s="29">
        <f>Absolute_Scores!I2488</f>
        <v>50</v>
      </c>
      <c r="I2488" s="30">
        <f t="shared" si="69"/>
        <v>62.5</v>
      </c>
    </row>
    <row r="2489" spans="6:9">
      <c r="F2489" s="12" t="str">
        <f>Absolute_Scores!F2489</f>
        <v>@upalestari12</v>
      </c>
      <c r="G2489" s="12" t="str">
        <f>Absolute_Scores!G2489</f>
        <v>TikTok</v>
      </c>
      <c r="H2489" s="29">
        <f>Absolute_Scores!I2489</f>
        <v>50</v>
      </c>
      <c r="I2489" s="30">
        <f t="shared" si="69"/>
        <v>62.5</v>
      </c>
    </row>
    <row r="2490" spans="6:9">
      <c r="F2490" s="12" t="str">
        <f>Absolute_Scores!F2490</f>
        <v>@urr911_</v>
      </c>
      <c r="G2490" s="12" t="str">
        <f>Absolute_Scores!G2490</f>
        <v>TikTok</v>
      </c>
      <c r="H2490" s="29">
        <f>Absolute_Scores!I2490</f>
        <v>50</v>
      </c>
      <c r="I2490" s="30">
        <f t="shared" si="69"/>
        <v>62.5</v>
      </c>
    </row>
    <row r="2491" spans="6:9">
      <c r="F2491" s="12" t="str">
        <f>Absolute_Scores!F2491</f>
        <v>@ursecretwitch</v>
      </c>
      <c r="G2491" s="12" t="str">
        <f>Absolute_Scores!G2491</f>
        <v>TikTok</v>
      </c>
      <c r="H2491" s="29">
        <f>Absolute_Scores!I2491</f>
        <v>50</v>
      </c>
      <c r="I2491" s="30">
        <f t="shared" si="69"/>
        <v>62.5</v>
      </c>
    </row>
    <row r="2492" spans="6:9">
      <c r="F2492" s="12" t="str">
        <f>Absolute_Scores!F2492</f>
        <v>@uswatunkhasanah.93</v>
      </c>
      <c r="G2492" s="12" t="str">
        <f>Absolute_Scores!G2492</f>
        <v>Instagram</v>
      </c>
      <c r="H2492" s="29">
        <f>Absolute_Scores!I2492</f>
        <v>50</v>
      </c>
      <c r="I2492" s="30">
        <f t="shared" si="69"/>
        <v>62.5</v>
      </c>
    </row>
    <row r="2493" spans="6:9">
      <c r="F2493" s="12" t="str">
        <f>Absolute_Scores!F2493</f>
        <v>@utamigunawati</v>
      </c>
      <c r="G2493" s="12" t="str">
        <f>Absolute_Scores!G2493</f>
        <v>TikTok</v>
      </c>
      <c r="H2493" s="29">
        <f>Absolute_Scores!I2493</f>
        <v>50</v>
      </c>
      <c r="I2493" s="30">
        <f t="shared" si="69"/>
        <v>62.5</v>
      </c>
    </row>
    <row r="2494" spans="6:9">
      <c r="F2494" s="12" t="str">
        <f>Absolute_Scores!F2494</f>
        <v>@vaalllssss</v>
      </c>
      <c r="G2494" s="12" t="str">
        <f>Absolute_Scores!G2494</f>
        <v>TikTok</v>
      </c>
      <c r="H2494" s="29">
        <f>Absolute_Scores!I2494</f>
        <v>50</v>
      </c>
      <c r="I2494" s="30">
        <f t="shared" si="69"/>
        <v>62.5</v>
      </c>
    </row>
    <row r="2495" spans="6:9">
      <c r="F2495" s="12" t="str">
        <f>Absolute_Scores!F2495</f>
        <v>@vaiqelizza</v>
      </c>
      <c r="G2495" s="12" t="str">
        <f>Absolute_Scores!G2495</f>
        <v>Instagram</v>
      </c>
      <c r="H2495" s="29">
        <f>Absolute_Scores!I2495</f>
        <v>50</v>
      </c>
      <c r="I2495" s="30">
        <f t="shared" si="69"/>
        <v>62.5</v>
      </c>
    </row>
    <row r="2496" spans="6:9">
      <c r="F2496" s="12" t="str">
        <f>Absolute_Scores!F2496</f>
        <v>@vajraalexey</v>
      </c>
      <c r="G2496" s="12" t="str">
        <f>Absolute_Scores!G2496</f>
        <v>Instagram</v>
      </c>
      <c r="H2496" s="29">
        <f>Absolute_Scores!I2496</f>
        <v>50</v>
      </c>
      <c r="I2496" s="30">
        <f t="shared" si="69"/>
        <v>62.5</v>
      </c>
    </row>
    <row r="2497" spans="6:9">
      <c r="F2497" s="12" t="str">
        <f>Absolute_Scores!F2497</f>
        <v>@valent_cynthia</v>
      </c>
      <c r="G2497" s="12" t="str">
        <f>Absolute_Scores!G2497</f>
        <v>Instagram</v>
      </c>
      <c r="H2497" s="29">
        <f>Absolute_Scores!I2497</f>
        <v>50</v>
      </c>
      <c r="I2497" s="30">
        <f t="shared" si="69"/>
        <v>62.5</v>
      </c>
    </row>
    <row r="2498" spans="6:9">
      <c r="F2498" s="12" t="str">
        <f>Absolute_Scores!F2498</f>
        <v>@vallyrians</v>
      </c>
      <c r="G2498" s="12" t="str">
        <f>Absolute_Scores!G2498</f>
        <v>TikTok</v>
      </c>
      <c r="H2498" s="29">
        <f>Absolute_Scores!I2498</f>
        <v>50</v>
      </c>
      <c r="I2498" s="30">
        <f t="shared" si="69"/>
        <v>62.5</v>
      </c>
    </row>
    <row r="2499" spans="6:9">
      <c r="F2499" s="12" t="str">
        <f>Absolute_Scores!F2499</f>
        <v>@vamells</v>
      </c>
      <c r="G2499" s="12" t="str">
        <f>Absolute_Scores!G2499</f>
        <v>TikTok</v>
      </c>
      <c r="H2499" s="29">
        <f>Absolute_Scores!I2499</f>
        <v>50</v>
      </c>
      <c r="I2499" s="30">
        <f t="shared" si="69"/>
        <v>62.5</v>
      </c>
    </row>
    <row r="2500" spans="6:9">
      <c r="F2500" s="12" t="str">
        <f>Absolute_Scores!F2500</f>
        <v>@vaniafebrianne</v>
      </c>
      <c r="G2500" s="12" t="str">
        <f>Absolute_Scores!G2500</f>
        <v>Instagram</v>
      </c>
      <c r="H2500" s="29">
        <f>Absolute_Scores!I2500</f>
        <v>50</v>
      </c>
      <c r="I2500" s="30">
        <f t="shared" si="69"/>
        <v>62.5</v>
      </c>
    </row>
    <row r="2501" spans="6:9">
      <c r="F2501" s="12" t="str">
        <f>Absolute_Scores!F2501</f>
        <v>@vaniahendra</v>
      </c>
      <c r="G2501" s="12" t="str">
        <f>Absolute_Scores!G2501</f>
        <v>Instagram</v>
      </c>
      <c r="H2501" s="29">
        <f>Absolute_Scores!I2501</f>
        <v>50</v>
      </c>
      <c r="I2501" s="30">
        <f t="shared" si="69"/>
        <v>62.5</v>
      </c>
    </row>
    <row r="2502" spans="6:9">
      <c r="F2502" s="12" t="str">
        <f>Absolute_Scores!F2502</f>
        <v>@vaniakwans</v>
      </c>
      <c r="G2502" s="12" t="str">
        <f>Absolute_Scores!G2502</f>
        <v>TikTok</v>
      </c>
      <c r="H2502" s="29">
        <f>Absolute_Scores!I2502</f>
        <v>50</v>
      </c>
      <c r="I2502" s="30">
        <f t="shared" ref="I2502:I2565" si="70">ROUND(H2502/$I$4*100,2)</f>
        <v>62.5</v>
      </c>
    </row>
    <row r="2503" spans="6:9">
      <c r="F2503" s="12" t="str">
        <f>Absolute_Scores!F2503</f>
        <v>@vanilla.latte28</v>
      </c>
      <c r="G2503" s="12" t="str">
        <f>Absolute_Scores!G2503</f>
        <v>TikTok</v>
      </c>
      <c r="H2503" s="29">
        <f>Absolute_Scores!I2503</f>
        <v>50</v>
      </c>
      <c r="I2503" s="30">
        <f t="shared" si="70"/>
        <v>62.5</v>
      </c>
    </row>
    <row r="2504" spans="6:9">
      <c r="F2504" s="12" t="str">
        <f>Absolute_Scores!F2504</f>
        <v>@vaninovia</v>
      </c>
      <c r="G2504" s="12" t="str">
        <f>Absolute_Scores!G2504</f>
        <v>Instagram</v>
      </c>
      <c r="H2504" s="29">
        <f>Absolute_Scores!I2504</f>
        <v>50</v>
      </c>
      <c r="I2504" s="30">
        <f t="shared" si="70"/>
        <v>62.5</v>
      </c>
    </row>
    <row r="2505" spans="6:9">
      <c r="F2505" s="12" t="str">
        <f>Absolute_Scores!F2505</f>
        <v>@vannynrs</v>
      </c>
      <c r="G2505" s="12" t="str">
        <f>Absolute_Scores!G2505</f>
        <v>Instagram</v>
      </c>
      <c r="H2505" s="29">
        <f>Absolute_Scores!I2505</f>
        <v>50</v>
      </c>
      <c r="I2505" s="30">
        <f t="shared" si="70"/>
        <v>62.5</v>
      </c>
    </row>
    <row r="2506" spans="6:9">
      <c r="F2506" s="12" t="str">
        <f>Absolute_Scores!F2506</f>
        <v>@vebrianieamz</v>
      </c>
      <c r="G2506" s="12" t="str">
        <f>Absolute_Scores!G2506</f>
        <v>Instagram</v>
      </c>
      <c r="H2506" s="29">
        <f>Absolute_Scores!I2506</f>
        <v>50</v>
      </c>
      <c r="I2506" s="30">
        <f t="shared" si="70"/>
        <v>62.5</v>
      </c>
    </row>
    <row r="2507" spans="6:9">
      <c r="F2507" s="12" t="str">
        <f>Absolute_Scores!F2507</f>
        <v>@veliaveve_</v>
      </c>
      <c r="G2507" s="12" t="str">
        <f>Absolute_Scores!G2507</f>
        <v>TikTok</v>
      </c>
      <c r="H2507" s="29">
        <f>Absolute_Scores!I2507</f>
        <v>50</v>
      </c>
      <c r="I2507" s="30">
        <f t="shared" si="70"/>
        <v>62.5</v>
      </c>
    </row>
    <row r="2508" spans="6:9">
      <c r="F2508" s="12" t="str">
        <f>Absolute_Scores!F2508</f>
        <v>@vellawss</v>
      </c>
      <c r="G2508" s="12" t="str">
        <f>Absolute_Scores!G2508</f>
        <v>Instagram</v>
      </c>
      <c r="H2508" s="29">
        <f>Absolute_Scores!I2508</f>
        <v>50</v>
      </c>
      <c r="I2508" s="30">
        <f t="shared" si="70"/>
        <v>62.5</v>
      </c>
    </row>
    <row r="2509" spans="6:9">
      <c r="F2509" s="12" t="str">
        <f>Absolute_Scores!F2509</f>
        <v>@velsjournal</v>
      </c>
      <c r="G2509" s="12" t="str">
        <f>Absolute_Scores!G2509</f>
        <v>TikTok</v>
      </c>
      <c r="H2509" s="29">
        <f>Absolute_Scores!I2509</f>
        <v>50</v>
      </c>
      <c r="I2509" s="30">
        <f t="shared" si="70"/>
        <v>62.5</v>
      </c>
    </row>
    <row r="2510" spans="6:9">
      <c r="F2510" s="12" t="str">
        <f>Absolute_Scores!F2510</f>
        <v>@vendialexander</v>
      </c>
      <c r="G2510" s="12" t="str">
        <f>Absolute_Scores!G2510</f>
        <v>TikTok</v>
      </c>
      <c r="H2510" s="29">
        <f>Absolute_Scores!I2510</f>
        <v>50</v>
      </c>
      <c r="I2510" s="30">
        <f t="shared" si="70"/>
        <v>62.5</v>
      </c>
    </row>
    <row r="2511" spans="6:9">
      <c r="F2511" s="12" t="str">
        <f>Absolute_Scores!F2511</f>
        <v>@ventyherdian29</v>
      </c>
      <c r="G2511" s="12" t="str">
        <f>Absolute_Scores!G2511</f>
        <v>Instagram</v>
      </c>
      <c r="H2511" s="29">
        <f>Absolute_Scores!I2511</f>
        <v>50</v>
      </c>
      <c r="I2511" s="30">
        <f t="shared" si="70"/>
        <v>62.5</v>
      </c>
    </row>
    <row r="2512" spans="6:9">
      <c r="F2512" s="12" t="str">
        <f>Absolute_Scores!F2512</f>
        <v>@venvenod</v>
      </c>
      <c r="G2512" s="12" t="str">
        <f>Absolute_Scores!G2512</f>
        <v>Instagram</v>
      </c>
      <c r="H2512" s="29">
        <f>Absolute_Scores!I2512</f>
        <v>50</v>
      </c>
      <c r="I2512" s="30">
        <f t="shared" si="70"/>
        <v>62.5</v>
      </c>
    </row>
    <row r="2513" spans="6:9">
      <c r="F2513" s="12" t="str">
        <f>Absolute_Scores!F2513</f>
        <v>@veraa_h_p</v>
      </c>
      <c r="G2513" s="12" t="str">
        <f>Absolute_Scores!G2513</f>
        <v>Instagram</v>
      </c>
      <c r="H2513" s="29">
        <f>Absolute_Scores!I2513</f>
        <v>50</v>
      </c>
      <c r="I2513" s="30">
        <f t="shared" si="70"/>
        <v>62.5</v>
      </c>
    </row>
    <row r="2514" spans="6:9">
      <c r="F2514" s="12" t="str">
        <f>Absolute_Scores!F2514</f>
        <v>@verasiagian</v>
      </c>
      <c r="G2514" s="12" t="str">
        <f>Absolute_Scores!G2514</f>
        <v>Instagram</v>
      </c>
      <c r="H2514" s="29">
        <f>Absolute_Scores!I2514</f>
        <v>50</v>
      </c>
      <c r="I2514" s="30">
        <f t="shared" si="70"/>
        <v>62.5</v>
      </c>
    </row>
    <row r="2515" spans="6:9">
      <c r="F2515" s="12" t="str">
        <f>Absolute_Scores!F2515</f>
        <v>@verdinvee</v>
      </c>
      <c r="G2515" s="12" t="str">
        <f>Absolute_Scores!G2515</f>
        <v>Instagram</v>
      </c>
      <c r="H2515" s="29">
        <f>Absolute_Scores!I2515</f>
        <v>50</v>
      </c>
      <c r="I2515" s="30">
        <f t="shared" si="70"/>
        <v>62.5</v>
      </c>
    </row>
    <row r="2516" spans="6:9">
      <c r="F2516" s="12" t="str">
        <f>Absolute_Scores!F2516</f>
        <v>@verenvalenciaa</v>
      </c>
      <c r="G2516" s="12" t="str">
        <f>Absolute_Scores!G2516</f>
        <v>Instagram</v>
      </c>
      <c r="H2516" s="29">
        <f>Absolute_Scores!I2516</f>
        <v>50</v>
      </c>
      <c r="I2516" s="30">
        <f t="shared" si="70"/>
        <v>62.5</v>
      </c>
    </row>
    <row r="2517" spans="6:9">
      <c r="F2517" s="12" t="str">
        <f>Absolute_Scores!F2517</f>
        <v>@verinanath</v>
      </c>
      <c r="G2517" s="12" t="str">
        <f>Absolute_Scores!G2517</f>
        <v>TikTok</v>
      </c>
      <c r="H2517" s="29">
        <f>Absolute_Scores!I2517</f>
        <v>50</v>
      </c>
      <c r="I2517" s="30">
        <f t="shared" si="70"/>
        <v>62.5</v>
      </c>
    </row>
    <row r="2518" spans="6:9">
      <c r="F2518" s="12" t="str">
        <f>Absolute_Scores!F2518</f>
        <v>@verinavee_</v>
      </c>
      <c r="G2518" s="12" t="str">
        <f>Absolute_Scores!G2518</f>
        <v>TikTok</v>
      </c>
      <c r="H2518" s="29">
        <f>Absolute_Scores!I2518</f>
        <v>50</v>
      </c>
      <c r="I2518" s="30">
        <f t="shared" si="70"/>
        <v>62.5</v>
      </c>
    </row>
    <row r="2519" spans="6:9">
      <c r="F2519" s="12" t="str">
        <f>Absolute_Scores!F2519</f>
        <v>@veronaavl</v>
      </c>
      <c r="G2519" s="12" t="str">
        <f>Absolute_Scores!G2519</f>
        <v>Instagram</v>
      </c>
      <c r="H2519" s="29">
        <f>Absolute_Scores!I2519</f>
        <v>50</v>
      </c>
      <c r="I2519" s="30">
        <f t="shared" si="70"/>
        <v>62.5</v>
      </c>
    </row>
    <row r="2520" spans="6:9">
      <c r="F2520" s="12" t="str">
        <f>Absolute_Scores!F2520</f>
        <v>@veroniamelia</v>
      </c>
      <c r="G2520" s="12" t="str">
        <f>Absolute_Scores!G2520</f>
        <v>TikTok</v>
      </c>
      <c r="H2520" s="29">
        <f>Absolute_Scores!I2520</f>
        <v>50</v>
      </c>
      <c r="I2520" s="30">
        <f t="shared" si="70"/>
        <v>62.5</v>
      </c>
    </row>
    <row r="2521" spans="6:9">
      <c r="F2521" s="12" t="str">
        <f>Absolute_Scores!F2521</f>
        <v>@veronicaavrill21</v>
      </c>
      <c r="G2521" s="12" t="str">
        <f>Absolute_Scores!G2521</f>
        <v>Instagram</v>
      </c>
      <c r="H2521" s="29">
        <f>Absolute_Scores!I2521</f>
        <v>50</v>
      </c>
      <c r="I2521" s="30">
        <f t="shared" si="70"/>
        <v>62.5</v>
      </c>
    </row>
    <row r="2522" spans="6:9">
      <c r="F2522" s="12" t="str">
        <f>Absolute_Scores!F2522</f>
        <v>@veronicafbny</v>
      </c>
      <c r="G2522" s="12" t="str">
        <f>Absolute_Scores!G2522</f>
        <v>TikTok</v>
      </c>
      <c r="H2522" s="29">
        <f>Absolute_Scores!I2522</f>
        <v>50</v>
      </c>
      <c r="I2522" s="30">
        <f t="shared" si="70"/>
        <v>62.5</v>
      </c>
    </row>
    <row r="2523" spans="6:9">
      <c r="F2523" s="12" t="str">
        <f>Absolute_Scores!F2523</f>
        <v>@verrenchristy12</v>
      </c>
      <c r="G2523" s="12" t="str">
        <f>Absolute_Scores!G2523</f>
        <v>TikTok</v>
      </c>
      <c r="H2523" s="29">
        <f>Absolute_Scores!I2523</f>
        <v>50</v>
      </c>
      <c r="I2523" s="30">
        <f t="shared" si="70"/>
        <v>62.5</v>
      </c>
    </row>
    <row r="2524" spans="6:9">
      <c r="F2524" s="12" t="str">
        <f>Absolute_Scores!F2524</f>
        <v>@vervee_</v>
      </c>
      <c r="G2524" s="12" t="str">
        <f>Absolute_Scores!G2524</f>
        <v>Instagram</v>
      </c>
      <c r="H2524" s="29">
        <f>Absolute_Scores!I2524</f>
        <v>50</v>
      </c>
      <c r="I2524" s="30">
        <f t="shared" si="70"/>
        <v>62.5</v>
      </c>
    </row>
    <row r="2525" spans="6:9">
      <c r="F2525" s="12" t="str">
        <f>Absolute_Scores!F2525</f>
        <v>@vevenita17</v>
      </c>
      <c r="G2525" s="12" t="str">
        <f>Absolute_Scores!G2525</f>
        <v>Instagram</v>
      </c>
      <c r="H2525" s="29">
        <f>Absolute_Scores!I2525</f>
        <v>50</v>
      </c>
      <c r="I2525" s="30">
        <f t="shared" si="70"/>
        <v>62.5</v>
      </c>
    </row>
    <row r="2526" spans="6:9">
      <c r="F2526" s="12" t="str">
        <f>Absolute_Scores!F2526</f>
        <v>@veyba.anindita</v>
      </c>
      <c r="G2526" s="12" t="str">
        <f>Absolute_Scores!G2526</f>
        <v>TikTok</v>
      </c>
      <c r="H2526" s="29">
        <f>Absolute_Scores!I2526</f>
        <v>50</v>
      </c>
      <c r="I2526" s="30">
        <f t="shared" si="70"/>
        <v>62.5</v>
      </c>
    </row>
    <row r="2527" spans="6:9">
      <c r="F2527" s="12" t="str">
        <f>Absolute_Scores!F2527</f>
        <v>@vhiiaa.svlyn</v>
      </c>
      <c r="G2527" s="12" t="str">
        <f>Absolute_Scores!G2527</f>
        <v>TikTok</v>
      </c>
      <c r="H2527" s="29">
        <f>Absolute_Scores!I2527</f>
        <v>50</v>
      </c>
      <c r="I2527" s="30">
        <f t="shared" si="70"/>
        <v>62.5</v>
      </c>
    </row>
    <row r="2528" spans="6:9">
      <c r="F2528" s="12" t="str">
        <f>Absolute_Scores!F2528</f>
        <v>@vi.homecafe</v>
      </c>
      <c r="G2528" s="12" t="str">
        <f>Absolute_Scores!G2528</f>
        <v>TikTok</v>
      </c>
      <c r="H2528" s="29">
        <f>Absolute_Scores!I2528</f>
        <v>50</v>
      </c>
      <c r="I2528" s="30">
        <f t="shared" si="70"/>
        <v>62.5</v>
      </c>
    </row>
    <row r="2529" spans="6:9">
      <c r="F2529" s="12" t="str">
        <f>Absolute_Scores!F2529</f>
        <v>@viana_fransiscayra</v>
      </c>
      <c r="G2529" s="12" t="str">
        <f>Absolute_Scores!G2529</f>
        <v>Instagram</v>
      </c>
      <c r="H2529" s="29">
        <f>Absolute_Scores!I2529</f>
        <v>50</v>
      </c>
      <c r="I2529" s="30">
        <f t="shared" si="70"/>
        <v>62.5</v>
      </c>
    </row>
    <row r="2530" spans="6:9">
      <c r="F2530" s="12" t="str">
        <f>Absolute_Scores!F2530</f>
        <v>@vianny_acoustic</v>
      </c>
      <c r="G2530" s="12" t="str">
        <f>Absolute_Scores!G2530</f>
        <v>TikTok</v>
      </c>
      <c r="H2530" s="29">
        <f>Absolute_Scores!I2530</f>
        <v>50</v>
      </c>
      <c r="I2530" s="30">
        <f t="shared" si="70"/>
        <v>62.5</v>
      </c>
    </row>
    <row r="2531" spans="6:9">
      <c r="F2531" s="12" t="str">
        <f>Absolute_Scores!F2531</f>
        <v>@vibeswith.yesha</v>
      </c>
      <c r="G2531" s="12" t="str">
        <f>Absolute_Scores!G2531</f>
        <v>TikTok</v>
      </c>
      <c r="H2531" s="29">
        <f>Absolute_Scores!I2531</f>
        <v>50</v>
      </c>
      <c r="I2531" s="30">
        <f t="shared" si="70"/>
        <v>62.5</v>
      </c>
    </row>
    <row r="2532" spans="6:9">
      <c r="F2532" s="12" t="str">
        <f>Absolute_Scores!F2532</f>
        <v>@victdewi</v>
      </c>
      <c r="G2532" s="12" t="str">
        <f>Absolute_Scores!G2532</f>
        <v>Instagram</v>
      </c>
      <c r="H2532" s="29">
        <f>Absolute_Scores!I2532</f>
        <v>50</v>
      </c>
      <c r="I2532" s="30">
        <f t="shared" si="70"/>
        <v>62.5</v>
      </c>
    </row>
    <row r="2533" spans="6:9">
      <c r="F2533" s="12" t="str">
        <f>Absolute_Scores!F2533</f>
        <v>@victori_vitality</v>
      </c>
      <c r="G2533" s="12" t="str">
        <f>Absolute_Scores!G2533</f>
        <v>Instagram</v>
      </c>
      <c r="H2533" s="29">
        <f>Absolute_Scores!I2533</f>
        <v>50</v>
      </c>
      <c r="I2533" s="30">
        <f t="shared" si="70"/>
        <v>62.5</v>
      </c>
    </row>
    <row r="2534" spans="6:9">
      <c r="F2534" s="12" t="str">
        <f>Absolute_Scores!F2534</f>
        <v>@vidamardatillah_</v>
      </c>
      <c r="G2534" s="12" t="str">
        <f>Absolute_Scores!G2534</f>
        <v>TikTok</v>
      </c>
      <c r="H2534" s="29">
        <f>Absolute_Scores!I2534</f>
        <v>50</v>
      </c>
      <c r="I2534" s="30">
        <f t="shared" si="70"/>
        <v>62.5</v>
      </c>
    </row>
    <row r="2535" spans="6:9">
      <c r="F2535" s="12" t="str">
        <f>Absolute_Scores!F2535</f>
        <v>@vinaalubis_</v>
      </c>
      <c r="G2535" s="12" t="str">
        <f>Absolute_Scores!G2535</f>
        <v>Instagram</v>
      </c>
      <c r="H2535" s="29">
        <f>Absolute_Scores!I2535</f>
        <v>50</v>
      </c>
      <c r="I2535" s="30">
        <f t="shared" si="70"/>
        <v>62.5</v>
      </c>
    </row>
    <row r="2536" spans="6:9">
      <c r="F2536" s="12" t="str">
        <f>Absolute_Scores!F2536</f>
        <v>@vinaariyanti2020</v>
      </c>
      <c r="G2536" s="12" t="str">
        <f>Absolute_Scores!G2536</f>
        <v>Instagram</v>
      </c>
      <c r="H2536" s="29">
        <f>Absolute_Scores!I2536</f>
        <v>50</v>
      </c>
      <c r="I2536" s="30">
        <f t="shared" si="70"/>
        <v>62.5</v>
      </c>
    </row>
    <row r="2537" spans="6:9">
      <c r="F2537" s="12" t="str">
        <f>Absolute_Scores!F2537</f>
        <v>@vinacuu12</v>
      </c>
      <c r="G2537" s="12" t="str">
        <f>Absolute_Scores!G2537</f>
        <v>TikTok</v>
      </c>
      <c r="H2537" s="29">
        <f>Absolute_Scores!I2537</f>
        <v>50</v>
      </c>
      <c r="I2537" s="30">
        <f t="shared" si="70"/>
        <v>62.5</v>
      </c>
    </row>
    <row r="2538" spans="6:9">
      <c r="F2538" s="12" t="str">
        <f>Absolute_Scores!F2538</f>
        <v>@vinaoktav15</v>
      </c>
      <c r="G2538" s="12" t="str">
        <f>Absolute_Scores!G2538</f>
        <v>TikTok</v>
      </c>
      <c r="H2538" s="29">
        <f>Absolute_Scores!I2538</f>
        <v>50</v>
      </c>
      <c r="I2538" s="30">
        <f t="shared" si="70"/>
        <v>62.5</v>
      </c>
    </row>
    <row r="2539" spans="6:9">
      <c r="F2539" s="12" t="str">
        <f>Absolute_Scores!F2539</f>
        <v>@vinasilvani</v>
      </c>
      <c r="G2539" s="12" t="str">
        <f>Absolute_Scores!G2539</f>
        <v>Instagram</v>
      </c>
      <c r="H2539" s="29">
        <f>Absolute_Scores!I2539</f>
        <v>50</v>
      </c>
      <c r="I2539" s="30">
        <f t="shared" si="70"/>
        <v>62.5</v>
      </c>
    </row>
    <row r="2540" spans="6:9">
      <c r="F2540" s="12" t="str">
        <f>Absolute_Scores!F2540</f>
        <v>@vinavia89</v>
      </c>
      <c r="G2540" s="12" t="str">
        <f>Absolute_Scores!G2540</f>
        <v>TikTok</v>
      </c>
      <c r="H2540" s="29">
        <f>Absolute_Scores!I2540</f>
        <v>50</v>
      </c>
      <c r="I2540" s="30">
        <f t="shared" si="70"/>
        <v>62.5</v>
      </c>
    </row>
    <row r="2541" spans="6:9">
      <c r="F2541" s="12" t="str">
        <f>Absolute_Scores!F2541</f>
        <v>@vincedi.gg</v>
      </c>
      <c r="G2541" s="12" t="str">
        <f>Absolute_Scores!G2541</f>
        <v>TikTok</v>
      </c>
      <c r="H2541" s="29">
        <f>Absolute_Scores!I2541</f>
        <v>50</v>
      </c>
      <c r="I2541" s="30">
        <f t="shared" si="70"/>
        <v>62.5</v>
      </c>
    </row>
    <row r="2542" spans="6:9">
      <c r="F2542" s="12" t="str">
        <f>Absolute_Scores!F2542</f>
        <v>@vindynaisya</v>
      </c>
      <c r="G2542" s="12" t="str">
        <f>Absolute_Scores!G2542</f>
        <v>Instagram</v>
      </c>
      <c r="H2542" s="29">
        <f>Absolute_Scores!I2542</f>
        <v>50</v>
      </c>
      <c r="I2542" s="30">
        <f t="shared" si="70"/>
        <v>62.5</v>
      </c>
    </row>
    <row r="2543" spans="6:9">
      <c r="F2543" s="12" t="str">
        <f>Absolute_Scores!F2543</f>
        <v>@vinkaniaaa</v>
      </c>
      <c r="G2543" s="12" t="str">
        <f>Absolute_Scores!G2543</f>
        <v>Instagram</v>
      </c>
      <c r="H2543" s="29">
        <f>Absolute_Scores!I2543</f>
        <v>50</v>
      </c>
      <c r="I2543" s="30">
        <f t="shared" si="70"/>
        <v>62.5</v>
      </c>
    </row>
    <row r="2544" spans="6:9">
      <c r="F2544" s="12" t="str">
        <f>Absolute_Scores!F2544</f>
        <v>@vinnagraciaa</v>
      </c>
      <c r="G2544" s="12" t="str">
        <f>Absolute_Scores!G2544</f>
        <v>TikTok</v>
      </c>
      <c r="H2544" s="29">
        <f>Absolute_Scores!I2544</f>
        <v>50</v>
      </c>
      <c r="I2544" s="30">
        <f t="shared" si="70"/>
        <v>62.5</v>
      </c>
    </row>
    <row r="2545" spans="6:9">
      <c r="F2545" s="12" t="str">
        <f>Absolute_Scores!F2545</f>
        <v>@viofitriana</v>
      </c>
      <c r="G2545" s="12" t="str">
        <f>Absolute_Scores!G2545</f>
        <v>TikTok</v>
      </c>
      <c r="H2545" s="29">
        <f>Absolute_Scores!I2545</f>
        <v>50</v>
      </c>
      <c r="I2545" s="30">
        <f t="shared" si="70"/>
        <v>62.5</v>
      </c>
    </row>
    <row r="2546" spans="6:9">
      <c r="F2546" s="12" t="str">
        <f>Absolute_Scores!F2546</f>
        <v>@violetviancadhia</v>
      </c>
      <c r="G2546" s="12" t="str">
        <f>Absolute_Scores!G2546</f>
        <v>TikTok</v>
      </c>
      <c r="H2546" s="29">
        <f>Absolute_Scores!I2546</f>
        <v>50</v>
      </c>
      <c r="I2546" s="30">
        <f t="shared" si="70"/>
        <v>62.5</v>
      </c>
    </row>
    <row r="2547" spans="6:9">
      <c r="F2547" s="12" t="str">
        <f>Absolute_Scores!F2547</f>
        <v>@vionawinargo</v>
      </c>
      <c r="G2547" s="12" t="str">
        <f>Absolute_Scores!G2547</f>
        <v>Instagram</v>
      </c>
      <c r="H2547" s="29">
        <f>Absolute_Scores!I2547</f>
        <v>50</v>
      </c>
      <c r="I2547" s="30">
        <f t="shared" si="70"/>
        <v>62.5</v>
      </c>
    </row>
    <row r="2548" spans="6:9">
      <c r="F2548" s="12" t="str">
        <f>Absolute_Scores!F2548</f>
        <v>@viozulistia</v>
      </c>
      <c r="G2548" s="12" t="str">
        <f>Absolute_Scores!G2548</f>
        <v>Instagram</v>
      </c>
      <c r="H2548" s="29">
        <f>Absolute_Scores!I2548</f>
        <v>50</v>
      </c>
      <c r="I2548" s="30">
        <f t="shared" si="70"/>
        <v>62.5</v>
      </c>
    </row>
    <row r="2549" spans="6:9">
      <c r="F2549" s="12" t="str">
        <f>Absolute_Scores!F2549</f>
        <v>@vissiapoppy</v>
      </c>
      <c r="G2549" s="12" t="str">
        <f>Absolute_Scores!G2549</f>
        <v>Instagram</v>
      </c>
      <c r="H2549" s="29">
        <f>Absolute_Scores!I2549</f>
        <v>50</v>
      </c>
      <c r="I2549" s="30">
        <f t="shared" si="70"/>
        <v>62.5</v>
      </c>
    </row>
    <row r="2550" spans="6:9">
      <c r="F2550" s="12" t="str">
        <f>Absolute_Scores!F2550</f>
        <v>@vitri.annna</v>
      </c>
      <c r="G2550" s="12" t="str">
        <f>Absolute_Scores!G2550</f>
        <v>TikTok</v>
      </c>
      <c r="H2550" s="29">
        <f>Absolute_Scores!I2550</f>
        <v>50</v>
      </c>
      <c r="I2550" s="30">
        <f t="shared" si="70"/>
        <v>62.5</v>
      </c>
    </row>
    <row r="2551" spans="6:9">
      <c r="F2551" s="12" t="str">
        <f>Absolute_Scores!F2551</f>
        <v>@vivipihh</v>
      </c>
      <c r="G2551" s="12" t="str">
        <f>Absolute_Scores!G2551</f>
        <v>TikTok</v>
      </c>
      <c r="H2551" s="29">
        <f>Absolute_Scores!I2551</f>
        <v>50</v>
      </c>
      <c r="I2551" s="30">
        <f t="shared" si="70"/>
        <v>62.5</v>
      </c>
    </row>
    <row r="2552" spans="6:9">
      <c r="F2552" s="12" t="str">
        <f>Absolute_Scores!F2552</f>
        <v>@vnessakr</v>
      </c>
      <c r="G2552" s="12" t="str">
        <f>Absolute_Scores!G2552</f>
        <v>TikTok</v>
      </c>
      <c r="H2552" s="29">
        <f>Absolute_Scores!I2552</f>
        <v>50</v>
      </c>
      <c r="I2552" s="30">
        <f t="shared" si="70"/>
        <v>62.5</v>
      </c>
    </row>
    <row r="2553" spans="6:9">
      <c r="F2553" s="12" t="str">
        <f>Absolute_Scores!F2553</f>
        <v>@vyen92</v>
      </c>
      <c r="G2553" s="12" t="str">
        <f>Absolute_Scores!G2553</f>
        <v>Instagram</v>
      </c>
      <c r="H2553" s="29">
        <f>Absolute_Scores!I2553</f>
        <v>50</v>
      </c>
      <c r="I2553" s="30">
        <f t="shared" si="70"/>
        <v>62.5</v>
      </c>
    </row>
    <row r="2554" spans="6:9">
      <c r="F2554" s="12" t="str">
        <f>Absolute_Scores!F2554</f>
        <v>@vynamoniccaaa</v>
      </c>
      <c r="G2554" s="12" t="str">
        <f>Absolute_Scores!G2554</f>
        <v>TikTok</v>
      </c>
      <c r="H2554" s="29">
        <f>Absolute_Scores!I2554</f>
        <v>50</v>
      </c>
      <c r="I2554" s="30">
        <f t="shared" si="70"/>
        <v>62.5</v>
      </c>
    </row>
    <row r="2555" spans="6:9">
      <c r="F2555" s="12" t="str">
        <f>Absolute_Scores!F2555</f>
        <v>@w_homecafe</v>
      </c>
      <c r="G2555" s="12" t="str">
        <f>Absolute_Scores!G2555</f>
        <v>TikTok</v>
      </c>
      <c r="H2555" s="29">
        <f>Absolute_Scores!I2555</f>
        <v>50</v>
      </c>
      <c r="I2555" s="30">
        <f t="shared" si="70"/>
        <v>62.5</v>
      </c>
    </row>
    <row r="2556" spans="6:9">
      <c r="F2556" s="12" t="str">
        <f>Absolute_Scores!F2556</f>
        <v>@wabisabi.jogja</v>
      </c>
      <c r="G2556" s="12" t="str">
        <f>Absolute_Scores!G2556</f>
        <v>TikTok</v>
      </c>
      <c r="H2556" s="29">
        <f>Absolute_Scores!I2556</f>
        <v>50</v>
      </c>
      <c r="I2556" s="30">
        <f t="shared" si="70"/>
        <v>62.5</v>
      </c>
    </row>
    <row r="2557" spans="6:9">
      <c r="F2557" s="12" t="str">
        <f>Absolute_Scores!F2557</f>
        <v>@wahyuanishau</v>
      </c>
      <c r="G2557" s="12" t="str">
        <f>Absolute_Scores!G2557</f>
        <v>Instagram</v>
      </c>
      <c r="H2557" s="29">
        <f>Absolute_Scores!I2557</f>
        <v>50</v>
      </c>
      <c r="I2557" s="30">
        <f t="shared" si="70"/>
        <v>62.5</v>
      </c>
    </row>
    <row r="2558" spans="6:9">
      <c r="F2558" s="12" t="str">
        <f>Absolute_Scores!F2558</f>
        <v>@wardah_yns</v>
      </c>
      <c r="G2558" s="12" t="str">
        <f>Absolute_Scores!G2558</f>
        <v>Instagram</v>
      </c>
      <c r="H2558" s="29">
        <f>Absolute_Scores!I2558</f>
        <v>50</v>
      </c>
      <c r="I2558" s="30">
        <f t="shared" si="70"/>
        <v>62.5</v>
      </c>
    </row>
    <row r="2559" spans="6:9">
      <c r="F2559" s="12" t="str">
        <f>Absolute_Scores!F2559</f>
        <v>@wardahasyarqiyah_</v>
      </c>
      <c r="G2559" s="12" t="str">
        <f>Absolute_Scores!G2559</f>
        <v>Instagram</v>
      </c>
      <c r="H2559" s="29">
        <f>Absolute_Scores!I2559</f>
        <v>50</v>
      </c>
      <c r="I2559" s="30">
        <f t="shared" si="70"/>
        <v>62.5</v>
      </c>
    </row>
    <row r="2560" spans="6:9">
      <c r="F2560" s="12" t="str">
        <f>Absolute_Scores!F2560</f>
        <v>@wddy.s</v>
      </c>
      <c r="G2560" s="12" t="str">
        <f>Absolute_Scores!G2560</f>
        <v>Instagram</v>
      </c>
      <c r="H2560" s="29">
        <f>Absolute_Scores!I2560</f>
        <v>50</v>
      </c>
      <c r="I2560" s="30">
        <f t="shared" si="70"/>
        <v>62.5</v>
      </c>
    </row>
    <row r="2561" spans="6:9">
      <c r="F2561" s="12" t="str">
        <f>Absolute_Scores!F2561</f>
        <v>@wenisita11</v>
      </c>
      <c r="G2561" s="12" t="str">
        <f>Absolute_Scores!G2561</f>
        <v>TikTok</v>
      </c>
      <c r="H2561" s="29">
        <f>Absolute_Scores!I2561</f>
        <v>50</v>
      </c>
      <c r="I2561" s="30">
        <f t="shared" si="70"/>
        <v>62.5</v>
      </c>
    </row>
    <row r="2562" spans="6:9">
      <c r="F2562" s="12" t="str">
        <f>Absolute_Scores!F2562</f>
        <v>@wenty.ing</v>
      </c>
      <c r="G2562" s="12" t="str">
        <f>Absolute_Scores!G2562</f>
        <v>Instagram</v>
      </c>
      <c r="H2562" s="29">
        <f>Absolute_Scores!I2562</f>
        <v>50</v>
      </c>
      <c r="I2562" s="30">
        <f t="shared" si="70"/>
        <v>62.5</v>
      </c>
    </row>
    <row r="2563" spans="6:9">
      <c r="F2563" s="12" t="str">
        <f>Absolute_Scores!F2563</f>
        <v>@wevvssmusic</v>
      </c>
      <c r="G2563" s="12" t="str">
        <f>Absolute_Scores!G2563</f>
        <v>TikTok</v>
      </c>
      <c r="H2563" s="29">
        <f>Absolute_Scores!I2563</f>
        <v>50</v>
      </c>
      <c r="I2563" s="30">
        <f t="shared" si="70"/>
        <v>62.5</v>
      </c>
    </row>
    <row r="2564" spans="6:9">
      <c r="F2564" s="12" t="str">
        <f>Absolute_Scores!F2564</f>
        <v>@wh0dlv</v>
      </c>
      <c r="G2564" s="12" t="str">
        <f>Absolute_Scores!G2564</f>
        <v>TikTok</v>
      </c>
      <c r="H2564" s="29">
        <f>Absolute_Scores!I2564</f>
        <v>50</v>
      </c>
      <c r="I2564" s="30">
        <f t="shared" si="70"/>
        <v>62.5</v>
      </c>
    </row>
    <row r="2565" spans="6:9">
      <c r="F2565" s="12" t="str">
        <f>Absolute_Scores!F2565</f>
        <v>@whinainti</v>
      </c>
      <c r="G2565" s="12" t="str">
        <f>Absolute_Scores!G2565</f>
        <v>Instagram</v>
      </c>
      <c r="H2565" s="29">
        <f>Absolute_Scores!I2565</f>
        <v>50</v>
      </c>
      <c r="I2565" s="30">
        <f t="shared" si="70"/>
        <v>62.5</v>
      </c>
    </row>
    <row r="2566" spans="6:9">
      <c r="F2566" s="12" t="str">
        <f>Absolute_Scores!F2566</f>
        <v>@whyve</v>
      </c>
      <c r="G2566" s="12" t="str">
        <f>Absolute_Scores!G2566</f>
        <v>TikTok</v>
      </c>
      <c r="H2566" s="29">
        <f>Absolute_Scores!I2566</f>
        <v>50</v>
      </c>
      <c r="I2566" s="30">
        <f t="shared" ref="I2566:I2629" si="71">ROUND(H2566/$I$4*100,2)</f>
        <v>62.5</v>
      </c>
    </row>
    <row r="2567" spans="6:9">
      <c r="F2567" s="12" t="str">
        <f>Absolute_Scores!F2567</f>
        <v>@widdamahesh03</v>
      </c>
      <c r="G2567" s="12" t="str">
        <f>Absolute_Scores!G2567</f>
        <v>Instagram</v>
      </c>
      <c r="H2567" s="29">
        <f>Absolute_Scores!I2567</f>
        <v>50</v>
      </c>
      <c r="I2567" s="30">
        <f t="shared" si="71"/>
        <v>62.5</v>
      </c>
    </row>
    <row r="2568" spans="6:9">
      <c r="F2568" s="12" t="str">
        <f>Absolute_Scores!F2568</f>
        <v>@widyatarmizi</v>
      </c>
      <c r="G2568" s="12" t="str">
        <f>Absolute_Scores!G2568</f>
        <v>Instagram</v>
      </c>
      <c r="H2568" s="29">
        <f>Absolute_Scores!I2568</f>
        <v>50</v>
      </c>
      <c r="I2568" s="30">
        <f t="shared" si="71"/>
        <v>62.5</v>
      </c>
    </row>
    <row r="2569" spans="6:9">
      <c r="F2569" s="12" t="str">
        <f>Absolute_Scores!F2569</f>
        <v>@wiji95</v>
      </c>
      <c r="G2569" s="12" t="str">
        <f>Absolute_Scores!G2569</f>
        <v>Instagram</v>
      </c>
      <c r="H2569" s="29">
        <f>Absolute_Scores!I2569</f>
        <v>50</v>
      </c>
      <c r="I2569" s="30">
        <f t="shared" si="71"/>
        <v>62.5</v>
      </c>
    </row>
    <row r="2570" spans="6:9">
      <c r="F2570" s="12" t="str">
        <f>Absolute_Scores!F2570</f>
        <v>@wijjer_</v>
      </c>
      <c r="G2570" s="12" t="str">
        <f>Absolute_Scores!G2570</f>
        <v>Instagram</v>
      </c>
      <c r="H2570" s="29">
        <f>Absolute_Scores!I2570</f>
        <v>50</v>
      </c>
      <c r="I2570" s="30">
        <f t="shared" si="71"/>
        <v>62.5</v>
      </c>
    </row>
    <row r="2571" spans="6:9">
      <c r="F2571" s="12" t="str">
        <f>Absolute_Scores!F2571</f>
        <v>@willamaidia</v>
      </c>
      <c r="G2571" s="12" t="str">
        <f>Absolute_Scores!G2571</f>
        <v>TikTok</v>
      </c>
      <c r="H2571" s="29">
        <f>Absolute_Scores!I2571</f>
        <v>50</v>
      </c>
      <c r="I2571" s="30">
        <f t="shared" si="71"/>
        <v>62.5</v>
      </c>
    </row>
    <row r="2572" spans="6:9">
      <c r="F2572" s="12" t="str">
        <f>Absolute_Scores!F2572</f>
        <v>@williamlomban</v>
      </c>
      <c r="G2572" s="12" t="str">
        <f>Absolute_Scores!G2572</f>
        <v>TikTok</v>
      </c>
      <c r="H2572" s="29">
        <f>Absolute_Scores!I2572</f>
        <v>50</v>
      </c>
      <c r="I2572" s="30">
        <f t="shared" si="71"/>
        <v>62.5</v>
      </c>
    </row>
    <row r="2573" spans="6:9">
      <c r="F2573" s="12" t="str">
        <f>Absolute_Scores!F2573</f>
        <v>@williamnugraha</v>
      </c>
      <c r="G2573" s="12" t="str">
        <f>Absolute_Scores!G2573</f>
        <v>TikTok</v>
      </c>
      <c r="H2573" s="29">
        <f>Absolute_Scores!I2573</f>
        <v>50</v>
      </c>
      <c r="I2573" s="30">
        <f t="shared" si="71"/>
        <v>62.5</v>
      </c>
    </row>
    <row r="2574" spans="6:9">
      <c r="F2574" s="12" t="str">
        <f>Absolute_Scores!F2574</f>
        <v>@winandaharistha</v>
      </c>
      <c r="G2574" s="12" t="str">
        <f>Absolute_Scores!G2574</f>
        <v>TikTok</v>
      </c>
      <c r="H2574" s="29">
        <f>Absolute_Scores!I2574</f>
        <v>50</v>
      </c>
      <c r="I2574" s="30">
        <f t="shared" si="71"/>
        <v>62.5</v>
      </c>
    </row>
    <row r="2575" spans="6:9">
      <c r="F2575" s="12" t="str">
        <f>Absolute_Scores!F2575</f>
        <v>@windi_budiharti</v>
      </c>
      <c r="G2575" s="12" t="str">
        <f>Absolute_Scores!G2575</f>
        <v>Instagram</v>
      </c>
      <c r="H2575" s="29">
        <f>Absolute_Scores!I2575</f>
        <v>50</v>
      </c>
      <c r="I2575" s="30">
        <f t="shared" si="71"/>
        <v>62.5</v>
      </c>
    </row>
    <row r="2576" spans="6:9">
      <c r="F2576" s="12" t="str">
        <f>Absolute_Scores!F2576</f>
        <v>@windyrismaa</v>
      </c>
      <c r="G2576" s="12" t="str">
        <f>Absolute_Scores!G2576</f>
        <v>Instagram</v>
      </c>
      <c r="H2576" s="29">
        <f>Absolute_Scores!I2576</f>
        <v>50</v>
      </c>
      <c r="I2576" s="30">
        <f t="shared" si="71"/>
        <v>62.5</v>
      </c>
    </row>
    <row r="2577" spans="6:9">
      <c r="F2577" s="12" t="str">
        <f>Absolute_Scores!F2577</f>
        <v>@winolasebastian</v>
      </c>
      <c r="G2577" s="12" t="str">
        <f>Absolute_Scores!G2577</f>
        <v>TikTok</v>
      </c>
      <c r="H2577" s="29">
        <f>Absolute_Scores!I2577</f>
        <v>50</v>
      </c>
      <c r="I2577" s="30">
        <f t="shared" si="71"/>
        <v>62.5</v>
      </c>
    </row>
    <row r="2578" spans="6:9">
      <c r="F2578" s="12" t="str">
        <f>Absolute_Scores!F2578</f>
        <v>@witaervianda</v>
      </c>
      <c r="G2578" s="12" t="str">
        <f>Absolute_Scores!G2578</f>
        <v>Instagram</v>
      </c>
      <c r="H2578" s="29">
        <f>Absolute_Scores!I2578</f>
        <v>50</v>
      </c>
      <c r="I2578" s="30">
        <f t="shared" si="71"/>
        <v>62.5</v>
      </c>
    </row>
    <row r="2579" spans="6:9">
      <c r="F2579" s="12" t="str">
        <f>Absolute_Scores!F2579</f>
        <v>@wlsleo2</v>
      </c>
      <c r="G2579" s="12" t="str">
        <f>Absolute_Scores!G2579</f>
        <v>TikTok</v>
      </c>
      <c r="H2579" s="29">
        <f>Absolute_Scores!I2579</f>
        <v>50</v>
      </c>
      <c r="I2579" s="30">
        <f t="shared" si="71"/>
        <v>62.5</v>
      </c>
    </row>
    <row r="2580" spans="6:9">
      <c r="F2580" s="12" t="str">
        <f>Absolute_Scores!F2580</f>
        <v>@wndi.aa__</v>
      </c>
      <c r="G2580" s="12" t="str">
        <f>Absolute_Scores!G2580</f>
        <v>Instagram</v>
      </c>
      <c r="H2580" s="29">
        <f>Absolute_Scores!I2580</f>
        <v>50</v>
      </c>
      <c r="I2580" s="30">
        <f t="shared" si="71"/>
        <v>62.5</v>
      </c>
    </row>
    <row r="2581" spans="6:9">
      <c r="F2581" s="12" t="str">
        <f>Absolute_Scores!F2581</f>
        <v>@wulanoctarya</v>
      </c>
      <c r="G2581" s="12" t="str">
        <f>Absolute_Scores!G2581</f>
        <v>Instagram</v>
      </c>
      <c r="H2581" s="29">
        <f>Absolute_Scores!I2581</f>
        <v>50</v>
      </c>
      <c r="I2581" s="30">
        <f t="shared" si="71"/>
        <v>62.5</v>
      </c>
    </row>
    <row r="2582" spans="6:9">
      <c r="F2582" s="12" t="str">
        <f>Absolute_Scores!F2582</f>
        <v>@xeronav</v>
      </c>
      <c r="G2582" s="12" t="str">
        <f>Absolute_Scores!G2582</f>
        <v>TikTok</v>
      </c>
      <c r="H2582" s="29">
        <f>Absolute_Scores!I2582</f>
        <v>50</v>
      </c>
      <c r="I2582" s="30">
        <f t="shared" si="71"/>
        <v>62.5</v>
      </c>
    </row>
    <row r="2583" spans="6:9">
      <c r="F2583" s="12" t="str">
        <f>Absolute_Scores!F2583</f>
        <v>@xicadel_</v>
      </c>
      <c r="G2583" s="12" t="str">
        <f>Absolute_Scores!G2583</f>
        <v>TikTok</v>
      </c>
      <c r="H2583" s="29">
        <f>Absolute_Scores!I2583</f>
        <v>50</v>
      </c>
      <c r="I2583" s="30">
        <f t="shared" si="71"/>
        <v>62.5</v>
      </c>
    </row>
    <row r="2584" spans="6:9">
      <c r="F2584" s="12" t="str">
        <f>Absolute_Scores!F2584</f>
        <v>@xpeditiontravelove</v>
      </c>
      <c r="G2584" s="12" t="str">
        <f>Absolute_Scores!G2584</f>
        <v>TikTok</v>
      </c>
      <c r="H2584" s="29">
        <f>Absolute_Scores!I2584</f>
        <v>50</v>
      </c>
      <c r="I2584" s="30">
        <f t="shared" si="71"/>
        <v>62.5</v>
      </c>
    </row>
    <row r="2585" spans="6:9">
      <c r="F2585" s="12" t="str">
        <f>Absolute_Scores!F2585</f>
        <v>@xvtree</v>
      </c>
      <c r="G2585" s="12" t="str">
        <f>Absolute_Scores!G2585</f>
        <v>TikTok</v>
      </c>
      <c r="H2585" s="29">
        <f>Absolute_Scores!I2585</f>
        <v>50</v>
      </c>
      <c r="I2585" s="30">
        <f t="shared" si="71"/>
        <v>62.5</v>
      </c>
    </row>
    <row r="2586" spans="6:9">
      <c r="F2586" s="12" t="str">
        <f>Absolute_Scores!F2586</f>
        <v>@y0urcocaine</v>
      </c>
      <c r="G2586" s="12" t="str">
        <f>Absolute_Scores!G2586</f>
        <v>TikTok</v>
      </c>
      <c r="H2586" s="29">
        <f>Absolute_Scores!I2586</f>
        <v>50</v>
      </c>
      <c r="I2586" s="30">
        <f t="shared" si="71"/>
        <v>62.5</v>
      </c>
    </row>
    <row r="2587" spans="6:9">
      <c r="F2587" s="12" t="str">
        <f>Absolute_Scores!F2587</f>
        <v>@yakalimel</v>
      </c>
      <c r="G2587" s="12" t="str">
        <f>Absolute_Scores!G2587</f>
        <v>Instagram</v>
      </c>
      <c r="H2587" s="29">
        <f>Absolute_Scores!I2587</f>
        <v>50</v>
      </c>
      <c r="I2587" s="30">
        <f t="shared" si="71"/>
        <v>62.5</v>
      </c>
    </row>
    <row r="2588" spans="6:9">
      <c r="F2588" s="12" t="str">
        <f>Absolute_Scores!F2588</f>
        <v>@yallbewildinaf</v>
      </c>
      <c r="G2588" s="12" t="str">
        <f>Absolute_Scores!G2588</f>
        <v>TikTok</v>
      </c>
      <c r="H2588" s="29">
        <f>Absolute_Scores!I2588</f>
        <v>50</v>
      </c>
      <c r="I2588" s="30">
        <f t="shared" si="71"/>
        <v>62.5</v>
      </c>
    </row>
    <row r="2589" spans="6:9">
      <c r="F2589" s="12" t="str">
        <f>Absolute_Scores!F2589</f>
        <v>@yandigsa</v>
      </c>
      <c r="G2589" s="12" t="str">
        <f>Absolute_Scores!G2589</f>
        <v>Instagram</v>
      </c>
      <c r="H2589" s="29">
        <f>Absolute_Scores!I2589</f>
        <v>50</v>
      </c>
      <c r="I2589" s="30">
        <f t="shared" si="71"/>
        <v>62.5</v>
      </c>
    </row>
    <row r="2590" spans="6:9">
      <c r="F2590" s="12" t="str">
        <f>Absolute_Scores!F2590</f>
        <v>@yaninaayu</v>
      </c>
      <c r="G2590" s="12" t="str">
        <f>Absolute_Scores!G2590</f>
        <v>Instagram</v>
      </c>
      <c r="H2590" s="29">
        <f>Absolute_Scores!I2590</f>
        <v>50</v>
      </c>
      <c r="I2590" s="30">
        <f t="shared" si="71"/>
        <v>62.5</v>
      </c>
    </row>
    <row r="2591" spans="6:9">
      <c r="F2591" s="12" t="str">
        <f>Absolute_Scores!F2591</f>
        <v>@yanna.oxania</v>
      </c>
      <c r="G2591" s="12" t="str">
        <f>Absolute_Scores!G2591</f>
        <v>TikTok</v>
      </c>
      <c r="H2591" s="29">
        <f>Absolute_Scores!I2591</f>
        <v>50</v>
      </c>
      <c r="I2591" s="30">
        <f t="shared" si="71"/>
        <v>62.5</v>
      </c>
    </row>
    <row r="2592" spans="6:9">
      <c r="F2592" s="12" t="str">
        <f>Absolute_Scores!F2592</f>
        <v>@yantianiz</v>
      </c>
      <c r="G2592" s="12" t="str">
        <f>Absolute_Scores!G2592</f>
        <v>Instagram</v>
      </c>
      <c r="H2592" s="29">
        <f>Absolute_Scores!I2592</f>
        <v>50</v>
      </c>
      <c r="I2592" s="30">
        <f t="shared" si="71"/>
        <v>62.5</v>
      </c>
    </row>
    <row r="2593" spans="6:9">
      <c r="F2593" s="12" t="str">
        <f>Absolute_Scores!F2593</f>
        <v>@yarabbiiii</v>
      </c>
      <c r="G2593" s="12" t="str">
        <f>Absolute_Scores!G2593</f>
        <v>TikTok</v>
      </c>
      <c r="H2593" s="29">
        <f>Absolute_Scores!I2593</f>
        <v>50</v>
      </c>
      <c r="I2593" s="30">
        <f t="shared" si="71"/>
        <v>62.5</v>
      </c>
    </row>
    <row r="2594" spans="6:9">
      <c r="F2594" s="12" t="str">
        <f>Absolute_Scores!F2594</f>
        <v>@yashyashbaby</v>
      </c>
      <c r="G2594" s="12" t="str">
        <f>Absolute_Scores!G2594</f>
        <v>TikTok</v>
      </c>
      <c r="H2594" s="29">
        <f>Absolute_Scores!I2594</f>
        <v>50</v>
      </c>
      <c r="I2594" s="30">
        <f t="shared" si="71"/>
        <v>62.5</v>
      </c>
    </row>
    <row r="2595" spans="6:9">
      <c r="F2595" s="12" t="str">
        <f>Absolute_Scores!F2595</f>
        <v>@yasminaashilaa</v>
      </c>
      <c r="G2595" s="12" t="str">
        <f>Absolute_Scores!G2595</f>
        <v>TikTok</v>
      </c>
      <c r="H2595" s="29">
        <f>Absolute_Scores!I2595</f>
        <v>50</v>
      </c>
      <c r="I2595" s="30">
        <f t="shared" si="71"/>
        <v>62.5</v>
      </c>
    </row>
    <row r="2596" spans="6:9">
      <c r="F2596" s="12" t="str">
        <f>Absolute_Scores!F2596</f>
        <v>@yay.nads</v>
      </c>
      <c r="G2596" s="12" t="str">
        <f>Absolute_Scores!G2596</f>
        <v>Instagram</v>
      </c>
      <c r="H2596" s="29">
        <f>Absolute_Scores!I2596</f>
        <v>50</v>
      </c>
      <c r="I2596" s="30">
        <f t="shared" si="71"/>
        <v>62.5</v>
      </c>
    </row>
    <row r="2597" spans="6:9">
      <c r="F2597" s="12" t="str">
        <f>Absolute_Scores!F2597</f>
        <v>@yayukistiana606</v>
      </c>
      <c r="G2597" s="12" t="str">
        <f>Absolute_Scores!G2597</f>
        <v>TikTok</v>
      </c>
      <c r="H2597" s="29">
        <f>Absolute_Scores!I2597</f>
        <v>50</v>
      </c>
      <c r="I2597" s="30">
        <f t="shared" si="71"/>
        <v>62.5</v>
      </c>
    </row>
    <row r="2598" spans="6:9">
      <c r="F2598" s="12" t="str">
        <f>Absolute_Scores!F2598</f>
        <v>@yemimaashn</v>
      </c>
      <c r="G2598" s="12" t="str">
        <f>Absolute_Scores!G2598</f>
        <v>TikTok</v>
      </c>
      <c r="H2598" s="29">
        <f>Absolute_Scores!I2598</f>
        <v>50</v>
      </c>
      <c r="I2598" s="30">
        <f t="shared" si="71"/>
        <v>62.5</v>
      </c>
    </row>
    <row r="2599" spans="6:9">
      <c r="F2599" s="12" t="str">
        <f>Absolute_Scores!F2599</f>
        <v>@yeni_ermawaty</v>
      </c>
      <c r="G2599" s="12" t="str">
        <f>Absolute_Scores!G2599</f>
        <v>Instagram</v>
      </c>
      <c r="H2599" s="29">
        <f>Absolute_Scores!I2599</f>
        <v>50</v>
      </c>
      <c r="I2599" s="30">
        <f t="shared" si="71"/>
        <v>62.5</v>
      </c>
    </row>
    <row r="2600" spans="6:9">
      <c r="F2600" s="12" t="str">
        <f>Absolute_Scores!F2600</f>
        <v>@yeni_setiyawati</v>
      </c>
      <c r="G2600" s="12" t="str">
        <f>Absolute_Scores!G2600</f>
        <v>Instagram</v>
      </c>
      <c r="H2600" s="29">
        <f>Absolute_Scores!I2600</f>
        <v>50</v>
      </c>
      <c r="I2600" s="30">
        <f t="shared" si="71"/>
        <v>62.5</v>
      </c>
    </row>
    <row r="2601" spans="6:9">
      <c r="F2601" s="12" t="str">
        <f>Absolute_Scores!F2601</f>
        <v>@yenifarida93</v>
      </c>
      <c r="G2601" s="12" t="str">
        <f>Absolute_Scores!G2601</f>
        <v>Instagram</v>
      </c>
      <c r="H2601" s="29">
        <f>Absolute_Scores!I2601</f>
        <v>50</v>
      </c>
      <c r="I2601" s="30">
        <f t="shared" si="71"/>
        <v>62.5</v>
      </c>
    </row>
    <row r="2602" spans="6:9">
      <c r="F2602" s="12" t="str">
        <f>Absolute_Scores!F2602</f>
        <v>@yenirahma44</v>
      </c>
      <c r="G2602" s="12" t="str">
        <f>Absolute_Scores!G2602</f>
        <v>Instagram</v>
      </c>
      <c r="H2602" s="29">
        <f>Absolute_Scores!I2602</f>
        <v>50</v>
      </c>
      <c r="I2602" s="30">
        <f t="shared" si="71"/>
        <v>62.5</v>
      </c>
    </row>
    <row r="2603" spans="6:9">
      <c r="F2603" s="12" t="str">
        <f>Absolute_Scores!F2603</f>
        <v>@yennigow</v>
      </c>
      <c r="G2603" s="12" t="str">
        <f>Absolute_Scores!G2603</f>
        <v>Instagram</v>
      </c>
      <c r="H2603" s="29">
        <f>Absolute_Scores!I2603</f>
        <v>50</v>
      </c>
      <c r="I2603" s="30">
        <f t="shared" si="71"/>
        <v>62.5</v>
      </c>
    </row>
    <row r="2604" spans="6:9">
      <c r="F2604" s="12" t="str">
        <f>Absolute_Scores!F2604</f>
        <v>@yennip.tambak</v>
      </c>
      <c r="G2604" s="12" t="str">
        <f>Absolute_Scores!G2604</f>
        <v>Instagram</v>
      </c>
      <c r="H2604" s="29">
        <f>Absolute_Scores!I2604</f>
        <v>50</v>
      </c>
      <c r="I2604" s="30">
        <f t="shared" si="71"/>
        <v>62.5</v>
      </c>
    </row>
    <row r="2605" spans="6:9">
      <c r="F2605" s="12" t="str">
        <f>Absolute_Scores!F2605</f>
        <v>@yennyxiu</v>
      </c>
      <c r="G2605" s="12" t="str">
        <f>Absolute_Scores!G2605</f>
        <v>Instagram</v>
      </c>
      <c r="H2605" s="29">
        <f>Absolute_Scores!I2605</f>
        <v>50</v>
      </c>
      <c r="I2605" s="30">
        <f t="shared" si="71"/>
        <v>62.5</v>
      </c>
    </row>
    <row r="2606" spans="6:9">
      <c r="F2606" s="12" t="str">
        <f>Absolute_Scores!F2606</f>
        <v>@yerikhotuasela</v>
      </c>
      <c r="G2606" s="12" t="str">
        <f>Absolute_Scores!G2606</f>
        <v>Instagram</v>
      </c>
      <c r="H2606" s="29">
        <f>Absolute_Scores!I2606</f>
        <v>50</v>
      </c>
      <c r="I2606" s="30">
        <f t="shared" si="71"/>
        <v>62.5</v>
      </c>
    </row>
    <row r="2607" spans="6:9">
      <c r="F2607" s="12" t="str">
        <f>Absolute_Scores!F2607</f>
        <v>@yessi_js</v>
      </c>
      <c r="G2607" s="12" t="str">
        <f>Absolute_Scores!G2607</f>
        <v>TikTok</v>
      </c>
      <c r="H2607" s="29">
        <f>Absolute_Scores!I2607</f>
        <v>50</v>
      </c>
      <c r="I2607" s="30">
        <f t="shared" si="71"/>
        <v>62.5</v>
      </c>
    </row>
    <row r="2608" spans="6:9">
      <c r="F2608" s="12" t="str">
        <f>Absolute_Scores!F2608</f>
        <v>@yesyade</v>
      </c>
      <c r="G2608" s="12" t="str">
        <f>Absolute_Scores!G2608</f>
        <v>Instagram</v>
      </c>
      <c r="H2608" s="29">
        <f>Absolute_Scores!I2608</f>
        <v>50</v>
      </c>
      <c r="I2608" s="30">
        <f t="shared" si="71"/>
        <v>62.5</v>
      </c>
    </row>
    <row r="2609" spans="6:9">
      <c r="F2609" s="12" t="str">
        <f>Absolute_Scores!F2609</f>
        <v>@yevamenorah</v>
      </c>
      <c r="G2609" s="12" t="str">
        <f>Absolute_Scores!G2609</f>
        <v>Instagram</v>
      </c>
      <c r="H2609" s="29">
        <f>Absolute_Scores!I2609</f>
        <v>50</v>
      </c>
      <c r="I2609" s="30">
        <f t="shared" si="71"/>
        <v>62.5</v>
      </c>
    </row>
    <row r="2610" spans="6:9">
      <c r="F2610" s="12" t="str">
        <f>Absolute_Scores!F2610</f>
        <v>@yeyedgr</v>
      </c>
      <c r="G2610" s="12" t="str">
        <f>Absolute_Scores!G2610</f>
        <v>Instagram</v>
      </c>
      <c r="H2610" s="29">
        <f>Absolute_Scores!I2610</f>
        <v>50</v>
      </c>
      <c r="I2610" s="30">
        <f t="shared" si="71"/>
        <v>62.5</v>
      </c>
    </row>
    <row r="2611" spans="6:9">
      <c r="F2611" s="12" t="str">
        <f>Absolute_Scores!F2611</f>
        <v>@yikesjeezy</v>
      </c>
      <c r="G2611" s="12" t="str">
        <f>Absolute_Scores!G2611</f>
        <v>TikTok</v>
      </c>
      <c r="H2611" s="29">
        <f>Absolute_Scores!I2611</f>
        <v>50</v>
      </c>
      <c r="I2611" s="30">
        <f t="shared" si="71"/>
        <v>62.5</v>
      </c>
    </row>
    <row r="2612" spans="6:9">
      <c r="F2612" s="12" t="str">
        <f>Absolute_Scores!F2612</f>
        <v>@yo_sipu</v>
      </c>
      <c r="G2612" s="12" t="str">
        <f>Absolute_Scores!G2612</f>
        <v>Instagram</v>
      </c>
      <c r="H2612" s="29">
        <f>Absolute_Scores!I2612</f>
        <v>50</v>
      </c>
      <c r="I2612" s="30">
        <f t="shared" si="71"/>
        <v>62.5</v>
      </c>
    </row>
    <row r="2613" spans="6:9">
      <c r="F2613" s="12" t="str">
        <f>Absolute_Scores!F2613</f>
        <v>@yogaffmaulana</v>
      </c>
      <c r="G2613" s="12" t="str">
        <f>Absolute_Scores!G2613</f>
        <v>TikTok</v>
      </c>
      <c r="H2613" s="29">
        <f>Absolute_Scores!I2613</f>
        <v>50</v>
      </c>
      <c r="I2613" s="30">
        <f t="shared" si="71"/>
        <v>62.5</v>
      </c>
    </row>
    <row r="2614" spans="6:9">
      <c r="F2614" s="12" t="str">
        <f>Absolute_Scores!F2614</f>
        <v>@yolaalumbangaol</v>
      </c>
      <c r="G2614" s="12" t="str">
        <f>Absolute_Scores!G2614</f>
        <v>Instagram</v>
      </c>
      <c r="H2614" s="29">
        <f>Absolute_Scores!I2614</f>
        <v>50</v>
      </c>
      <c r="I2614" s="30">
        <f t="shared" si="71"/>
        <v>62.5</v>
      </c>
    </row>
    <row r="2615" spans="6:9">
      <c r="F2615" s="12" t="str">
        <f>Absolute_Scores!F2615</f>
        <v>@yolkp</v>
      </c>
      <c r="G2615" s="12" t="str">
        <f>Absolute_Scores!G2615</f>
        <v>TikTok</v>
      </c>
      <c r="H2615" s="29">
        <f>Absolute_Scores!I2615</f>
        <v>50</v>
      </c>
      <c r="I2615" s="30">
        <f t="shared" si="71"/>
        <v>62.5</v>
      </c>
    </row>
    <row r="2616" spans="6:9">
      <c r="F2616" s="12" t="str">
        <f>Absolute_Scores!F2616</f>
        <v>@yoniza_fbrn</v>
      </c>
      <c r="G2616" s="12" t="str">
        <f>Absolute_Scores!G2616</f>
        <v>TikTok</v>
      </c>
      <c r="H2616" s="29">
        <f>Absolute_Scores!I2616</f>
        <v>50</v>
      </c>
      <c r="I2616" s="30">
        <f t="shared" si="71"/>
        <v>62.5</v>
      </c>
    </row>
    <row r="2617" spans="6:9">
      <c r="F2617" s="12" t="str">
        <f>Absolute_Scores!F2617</f>
        <v>@yonobakrie_</v>
      </c>
      <c r="G2617" s="12" t="str">
        <f>Absolute_Scores!G2617</f>
        <v>TikTok</v>
      </c>
      <c r="H2617" s="29">
        <f>Absolute_Scores!I2617</f>
        <v>50</v>
      </c>
      <c r="I2617" s="30">
        <f t="shared" si="71"/>
        <v>62.5</v>
      </c>
    </row>
    <row r="2618" spans="6:9">
      <c r="F2618" s="12" t="str">
        <f>Absolute_Scores!F2618</f>
        <v>@yorikooangln_</v>
      </c>
      <c r="G2618" s="12" t="str">
        <f>Absolute_Scores!G2618</f>
        <v>Instagram</v>
      </c>
      <c r="H2618" s="29">
        <f>Absolute_Scores!I2618</f>
        <v>50</v>
      </c>
      <c r="I2618" s="30">
        <f t="shared" si="71"/>
        <v>62.5</v>
      </c>
    </row>
    <row r="2619" spans="6:9">
      <c r="F2619" s="12" t="str">
        <f>Absolute_Scores!F2619</f>
        <v>@yosikaantyas</v>
      </c>
      <c r="G2619" s="12" t="str">
        <f>Absolute_Scores!G2619</f>
        <v>TikTok</v>
      </c>
      <c r="H2619" s="29">
        <f>Absolute_Scores!I2619</f>
        <v>50</v>
      </c>
      <c r="I2619" s="30">
        <f t="shared" si="71"/>
        <v>62.5</v>
      </c>
    </row>
    <row r="2620" spans="6:9">
      <c r="F2620" s="12" t="str">
        <f>Absolute_Scores!F2620</f>
        <v>@yourfavoriteb0y</v>
      </c>
      <c r="G2620" s="12" t="str">
        <f>Absolute_Scores!G2620</f>
        <v>TikTok</v>
      </c>
      <c r="H2620" s="29">
        <f>Absolute_Scores!I2620</f>
        <v>50</v>
      </c>
      <c r="I2620" s="30">
        <f t="shared" si="71"/>
        <v>62.5</v>
      </c>
    </row>
    <row r="2621" spans="6:9">
      <c r="F2621" s="12" t="str">
        <f>Absolute_Scores!F2621</f>
        <v>@youronlyhijabi</v>
      </c>
      <c r="G2621" s="12" t="str">
        <f>Absolute_Scores!G2621</f>
        <v>TikTok</v>
      </c>
      <c r="H2621" s="29">
        <f>Absolute_Scores!I2621</f>
        <v>50</v>
      </c>
      <c r="I2621" s="30">
        <f t="shared" si="71"/>
        <v>62.5</v>
      </c>
    </row>
    <row r="2622" spans="6:9">
      <c r="F2622" s="12" t="str">
        <f>Absolute_Scores!F2622</f>
        <v>@yparikesit</v>
      </c>
      <c r="G2622" s="12" t="str">
        <f>Absolute_Scores!G2622</f>
        <v>TikTok</v>
      </c>
      <c r="H2622" s="29">
        <f>Absolute_Scores!I2622</f>
        <v>50</v>
      </c>
      <c r="I2622" s="30">
        <f t="shared" si="71"/>
        <v>62.5</v>
      </c>
    </row>
    <row r="2623" spans="6:9">
      <c r="F2623" s="12" t="str">
        <f>Absolute_Scores!F2623</f>
        <v>@ysmndania</v>
      </c>
      <c r="G2623" s="12" t="str">
        <f>Absolute_Scores!G2623</f>
        <v>TikTok</v>
      </c>
      <c r="H2623" s="29">
        <f>Absolute_Scores!I2623</f>
        <v>50</v>
      </c>
      <c r="I2623" s="30">
        <f t="shared" si="71"/>
        <v>62.5</v>
      </c>
    </row>
    <row r="2624" spans="6:9">
      <c r="F2624" s="12" t="str">
        <f>Absolute_Scores!F2624</f>
        <v>@ysmnlbs</v>
      </c>
      <c r="G2624" s="12" t="str">
        <f>Absolute_Scores!G2624</f>
        <v>Instagram</v>
      </c>
      <c r="H2624" s="29">
        <f>Absolute_Scores!I2624</f>
        <v>50</v>
      </c>
      <c r="I2624" s="30">
        <f t="shared" si="71"/>
        <v>62.5</v>
      </c>
    </row>
    <row r="2625" spans="6:9">
      <c r="F2625" s="12" t="str">
        <f>Absolute_Scores!F2625</f>
        <v>@yuanita_aaa</v>
      </c>
      <c r="G2625" s="12" t="str">
        <f>Absolute_Scores!G2625</f>
        <v>Instagram</v>
      </c>
      <c r="H2625" s="29">
        <f>Absolute_Scores!I2625</f>
        <v>50</v>
      </c>
      <c r="I2625" s="30">
        <f t="shared" si="71"/>
        <v>62.5</v>
      </c>
    </row>
    <row r="2626" spans="6:9">
      <c r="F2626" s="12" t="str">
        <f>Absolute_Scores!F2626</f>
        <v>@yudha_ganis</v>
      </c>
      <c r="G2626" s="12" t="str">
        <f>Absolute_Scores!G2626</f>
        <v>Instagram</v>
      </c>
      <c r="H2626" s="29">
        <f>Absolute_Scores!I2626</f>
        <v>50</v>
      </c>
      <c r="I2626" s="30">
        <f t="shared" si="71"/>
        <v>62.5</v>
      </c>
    </row>
    <row r="2627" spans="6:9">
      <c r="F2627" s="12" t="str">
        <f>Absolute_Scores!F2627</f>
        <v>@yudharizkisaputraa</v>
      </c>
      <c r="G2627" s="12" t="str">
        <f>Absolute_Scores!G2627</f>
        <v>Instagram</v>
      </c>
      <c r="H2627" s="29">
        <f>Absolute_Scores!I2627</f>
        <v>50</v>
      </c>
      <c r="I2627" s="30">
        <f t="shared" si="71"/>
        <v>62.5</v>
      </c>
    </row>
    <row r="2628" spans="6:9">
      <c r="F2628" s="12" t="str">
        <f>Absolute_Scores!F2628</f>
        <v>@yudhibronch</v>
      </c>
      <c r="G2628" s="12" t="str">
        <f>Absolute_Scores!G2628</f>
        <v>TikTok</v>
      </c>
      <c r="H2628" s="29">
        <f>Absolute_Scores!I2628</f>
        <v>50</v>
      </c>
      <c r="I2628" s="30">
        <f t="shared" si="71"/>
        <v>62.5</v>
      </c>
    </row>
    <row r="2629" spans="6:9">
      <c r="F2629" s="12" t="str">
        <f>Absolute_Scores!F2629</f>
        <v>@yudhistirawr</v>
      </c>
      <c r="G2629" s="12" t="str">
        <f>Absolute_Scores!G2629</f>
        <v>Instagram</v>
      </c>
      <c r="H2629" s="29">
        <f>Absolute_Scores!I2629</f>
        <v>50</v>
      </c>
      <c r="I2629" s="30">
        <f t="shared" si="71"/>
        <v>62.5</v>
      </c>
    </row>
    <row r="2630" spans="6:9">
      <c r="F2630" s="12" t="str">
        <f>Absolute_Scores!F2630</f>
        <v>@yulianarnengtyas</v>
      </c>
      <c r="G2630" s="12" t="str">
        <f>Absolute_Scores!G2630</f>
        <v>Instagram</v>
      </c>
      <c r="H2630" s="29">
        <f>Absolute_Scores!I2630</f>
        <v>50</v>
      </c>
      <c r="I2630" s="30">
        <f t="shared" ref="I2630:I2693" si="72">ROUND(H2630/$I$4*100,2)</f>
        <v>62.5</v>
      </c>
    </row>
    <row r="2631" spans="6:9">
      <c r="F2631" s="12" t="str">
        <f>Absolute_Scores!F2631</f>
        <v>@yulianitasohpiana</v>
      </c>
      <c r="G2631" s="12" t="str">
        <f>Absolute_Scores!G2631</f>
        <v>TikTok</v>
      </c>
      <c r="H2631" s="29">
        <f>Absolute_Scores!I2631</f>
        <v>50</v>
      </c>
      <c r="I2631" s="30">
        <f t="shared" si="72"/>
        <v>62.5</v>
      </c>
    </row>
    <row r="2632" spans="6:9">
      <c r="F2632" s="12" t="str">
        <f>Absolute_Scores!F2632</f>
        <v>@yulistiashodri</v>
      </c>
      <c r="G2632" s="12" t="str">
        <f>Absolute_Scores!G2632</f>
        <v>Instagram</v>
      </c>
      <c r="H2632" s="29">
        <f>Absolute_Scores!I2632</f>
        <v>50</v>
      </c>
      <c r="I2632" s="30">
        <f t="shared" si="72"/>
        <v>62.5</v>
      </c>
    </row>
    <row r="2633" spans="6:9">
      <c r="F2633" s="12" t="str">
        <f>Absolute_Scores!F2633</f>
        <v>@yuniardwi0</v>
      </c>
      <c r="G2633" s="12" t="str">
        <f>Absolute_Scores!G2633</f>
        <v>TikTok</v>
      </c>
      <c r="H2633" s="29">
        <f>Absolute_Scores!I2633</f>
        <v>50</v>
      </c>
      <c r="I2633" s="30">
        <f t="shared" si="72"/>
        <v>62.5</v>
      </c>
    </row>
    <row r="2634" spans="6:9">
      <c r="F2634" s="12" t="str">
        <f>Absolute_Scores!F2634</f>
        <v>@yuniarwulandarii</v>
      </c>
      <c r="G2634" s="12" t="str">
        <f>Absolute_Scores!G2634</f>
        <v>TikTok</v>
      </c>
      <c r="H2634" s="29">
        <f>Absolute_Scores!I2634</f>
        <v>50</v>
      </c>
      <c r="I2634" s="30">
        <f t="shared" si="72"/>
        <v>62.5</v>
      </c>
    </row>
    <row r="2635" spans="6:9">
      <c r="F2635" s="12" t="str">
        <f>Absolute_Scores!F2635</f>
        <v>@yunii_wdini</v>
      </c>
      <c r="G2635" s="12" t="str">
        <f>Absolute_Scores!G2635</f>
        <v>Instagram</v>
      </c>
      <c r="H2635" s="29">
        <f>Absolute_Scores!I2635</f>
        <v>50</v>
      </c>
      <c r="I2635" s="30">
        <f t="shared" si="72"/>
        <v>62.5</v>
      </c>
    </row>
    <row r="2636" spans="6:9">
      <c r="F2636" s="12" t="str">
        <f>Absolute_Scores!F2636</f>
        <v>@yuniiapr</v>
      </c>
      <c r="G2636" s="12" t="str">
        <f>Absolute_Scores!G2636</f>
        <v>Instagram</v>
      </c>
      <c r="H2636" s="29">
        <f>Absolute_Scores!I2636</f>
        <v>50</v>
      </c>
      <c r="I2636" s="30">
        <f t="shared" si="72"/>
        <v>62.5</v>
      </c>
    </row>
    <row r="2637" spans="6:9">
      <c r="F2637" s="12" t="str">
        <f>Absolute_Scores!F2637</f>
        <v>@yunitanitaps</v>
      </c>
      <c r="G2637" s="12" t="str">
        <f>Absolute_Scores!G2637</f>
        <v>Instagram</v>
      </c>
      <c r="H2637" s="29">
        <f>Absolute_Scores!I2637</f>
        <v>50</v>
      </c>
      <c r="I2637" s="30">
        <f t="shared" si="72"/>
        <v>62.5</v>
      </c>
    </row>
    <row r="2638" spans="6:9">
      <c r="F2638" s="12" t="str">
        <f>Absolute_Scores!F2638</f>
        <v>@yunuura</v>
      </c>
      <c r="G2638" s="12" t="str">
        <f>Absolute_Scores!G2638</f>
        <v>TikTok</v>
      </c>
      <c r="H2638" s="29">
        <f>Absolute_Scores!I2638</f>
        <v>50</v>
      </c>
      <c r="I2638" s="30">
        <f t="shared" si="72"/>
        <v>62.5</v>
      </c>
    </row>
    <row r="2639" spans="6:9">
      <c r="F2639" s="12" t="str">
        <f>Absolute_Scores!F2639</f>
        <v>@yuriiaw</v>
      </c>
      <c r="G2639" s="12" t="str">
        <f>Absolute_Scores!G2639</f>
        <v>TikTok</v>
      </c>
      <c r="H2639" s="29">
        <f>Absolute_Scores!I2639</f>
        <v>50</v>
      </c>
      <c r="I2639" s="30">
        <f t="shared" si="72"/>
        <v>62.5</v>
      </c>
    </row>
    <row r="2640" spans="6:9">
      <c r="F2640" s="12" t="str">
        <f>Absolute_Scores!F2640</f>
        <v>@yuu_ke</v>
      </c>
      <c r="G2640" s="12" t="str">
        <f>Absolute_Scores!G2640</f>
        <v>TikTok</v>
      </c>
      <c r="H2640" s="29">
        <f>Absolute_Scores!I2640</f>
        <v>50</v>
      </c>
      <c r="I2640" s="30">
        <f t="shared" si="72"/>
        <v>62.5</v>
      </c>
    </row>
    <row r="2641" spans="6:9">
      <c r="F2641" s="12" t="str">
        <f>Absolute_Scores!F2641</f>
        <v>@yuvellala</v>
      </c>
      <c r="G2641" s="12" t="str">
        <f>Absolute_Scores!G2641</f>
        <v>TikTok</v>
      </c>
      <c r="H2641" s="29">
        <f>Absolute_Scores!I2641</f>
        <v>50</v>
      </c>
      <c r="I2641" s="30">
        <f t="shared" si="72"/>
        <v>62.5</v>
      </c>
    </row>
    <row r="2642" spans="6:9">
      <c r="F2642" s="12" t="str">
        <f>Absolute_Scores!F2642</f>
        <v>@yvbw</v>
      </c>
      <c r="G2642" s="12" t="str">
        <f>Absolute_Scores!G2642</f>
        <v>TikTok</v>
      </c>
      <c r="H2642" s="29">
        <f>Absolute_Scores!I2642</f>
        <v>50</v>
      </c>
      <c r="I2642" s="30">
        <f t="shared" si="72"/>
        <v>62.5</v>
      </c>
    </row>
    <row r="2643" spans="6:9">
      <c r="F2643" s="12" t="str">
        <f>Absolute_Scores!F2643</f>
        <v>@zaidandye</v>
      </c>
      <c r="G2643" s="12" t="str">
        <f>Absolute_Scores!G2643</f>
        <v>TikTok</v>
      </c>
      <c r="H2643" s="29">
        <f>Absolute_Scores!I2643</f>
        <v>50</v>
      </c>
      <c r="I2643" s="30">
        <f t="shared" si="72"/>
        <v>62.5</v>
      </c>
    </row>
    <row r="2644" spans="6:9">
      <c r="F2644" s="12" t="str">
        <f>Absolute_Scores!F2644</f>
        <v>@zakiadestryan</v>
      </c>
      <c r="G2644" s="12" t="str">
        <f>Absolute_Scores!G2644</f>
        <v>TikTok</v>
      </c>
      <c r="H2644" s="29">
        <f>Absolute_Scores!I2644</f>
        <v>50</v>
      </c>
      <c r="I2644" s="30">
        <f t="shared" si="72"/>
        <v>62.5</v>
      </c>
    </row>
    <row r="2645" spans="6:9">
      <c r="F2645" s="12" t="str">
        <f>Absolute_Scores!F2645</f>
        <v>@zakiaramanda28</v>
      </c>
      <c r="G2645" s="12" t="str">
        <f>Absolute_Scores!G2645</f>
        <v>TikTok</v>
      </c>
      <c r="H2645" s="29">
        <f>Absolute_Scores!I2645</f>
        <v>50</v>
      </c>
      <c r="I2645" s="30">
        <f t="shared" si="72"/>
        <v>62.5</v>
      </c>
    </row>
    <row r="2646" spans="6:9">
      <c r="F2646" s="12" t="str">
        <f>Absolute_Scores!F2646</f>
        <v>@zakiazf</v>
      </c>
      <c r="G2646" s="12" t="str">
        <f>Absolute_Scores!G2646</f>
        <v>Instagram</v>
      </c>
      <c r="H2646" s="29">
        <f>Absolute_Scores!I2646</f>
        <v>50</v>
      </c>
      <c r="I2646" s="30">
        <f t="shared" si="72"/>
        <v>62.5</v>
      </c>
    </row>
    <row r="2647" spans="6:9">
      <c r="F2647" s="12" t="str">
        <f>Absolute_Scores!F2647</f>
        <v>@zakkynfl</v>
      </c>
      <c r="G2647" s="12" t="str">
        <f>Absolute_Scores!G2647</f>
        <v>TikTok</v>
      </c>
      <c r="H2647" s="29">
        <f>Absolute_Scores!I2647</f>
        <v>50</v>
      </c>
      <c r="I2647" s="30">
        <f t="shared" si="72"/>
        <v>62.5</v>
      </c>
    </row>
    <row r="2648" spans="6:9">
      <c r="F2648" s="12" t="str">
        <f>Absolute_Scores!F2648</f>
        <v>@zakyrizqi</v>
      </c>
      <c r="G2648" s="12" t="str">
        <f>Absolute_Scores!G2648</f>
        <v>TikTok</v>
      </c>
      <c r="H2648" s="29">
        <f>Absolute_Scores!I2648</f>
        <v>50</v>
      </c>
      <c r="I2648" s="30">
        <f t="shared" si="72"/>
        <v>62.5</v>
      </c>
    </row>
    <row r="2649" spans="6:9">
      <c r="F2649" s="12" t="str">
        <f>Absolute_Scores!F2649</f>
        <v>@zalfaafikaa</v>
      </c>
      <c r="G2649" s="12" t="str">
        <f>Absolute_Scores!G2649</f>
        <v>Instagram</v>
      </c>
      <c r="H2649" s="29">
        <f>Absolute_Scores!I2649</f>
        <v>50</v>
      </c>
      <c r="I2649" s="30">
        <f t="shared" si="72"/>
        <v>62.5</v>
      </c>
    </row>
    <row r="2650" spans="6:9">
      <c r="F2650" s="12" t="str">
        <f>Absolute_Scores!F2650</f>
        <v>@zee_belle.pretty</v>
      </c>
      <c r="G2650" s="12" t="str">
        <f>Absolute_Scores!G2650</f>
        <v>Instagram</v>
      </c>
      <c r="H2650" s="29">
        <f>Absolute_Scores!I2650</f>
        <v>50</v>
      </c>
      <c r="I2650" s="30">
        <f t="shared" si="72"/>
        <v>62.5</v>
      </c>
    </row>
    <row r="2651" spans="6:9">
      <c r="F2651" s="12" t="str">
        <f>Absolute_Scores!F2651</f>
        <v>@zeyko_111</v>
      </c>
      <c r="G2651" s="12" t="str">
        <f>Absolute_Scores!G2651</f>
        <v>TikTok</v>
      </c>
      <c r="H2651" s="29">
        <f>Absolute_Scores!I2651</f>
        <v>50</v>
      </c>
      <c r="I2651" s="30">
        <f t="shared" si="72"/>
        <v>62.5</v>
      </c>
    </row>
    <row r="2652" spans="6:9">
      <c r="F2652" s="12" t="str">
        <f>Absolute_Scores!F2652</f>
        <v>@zharif.dk</v>
      </c>
      <c r="G2652" s="12" t="str">
        <f>Absolute_Scores!G2652</f>
        <v>TikTok</v>
      </c>
      <c r="H2652" s="29">
        <f>Absolute_Scores!I2652</f>
        <v>50</v>
      </c>
      <c r="I2652" s="30">
        <f t="shared" si="72"/>
        <v>62.5</v>
      </c>
    </row>
    <row r="2653" spans="6:9">
      <c r="F2653" s="12" t="str">
        <f>Absolute_Scores!F2653</f>
        <v>@zheliatann</v>
      </c>
      <c r="G2653" s="12" t="str">
        <f>Absolute_Scores!G2653</f>
        <v>TikTok</v>
      </c>
      <c r="H2653" s="29">
        <f>Absolute_Scores!I2653</f>
        <v>50</v>
      </c>
      <c r="I2653" s="30">
        <f t="shared" si="72"/>
        <v>62.5</v>
      </c>
    </row>
    <row r="2654" spans="6:9">
      <c r="F2654" s="12" t="str">
        <f>Absolute_Scores!F2654</f>
        <v>@zhifaaaaa</v>
      </c>
      <c r="G2654" s="12" t="str">
        <f>Absolute_Scores!G2654</f>
        <v>TikTok</v>
      </c>
      <c r="H2654" s="29">
        <f>Absolute_Scores!I2654</f>
        <v>50</v>
      </c>
      <c r="I2654" s="30">
        <f t="shared" si="72"/>
        <v>62.5</v>
      </c>
    </row>
    <row r="2655" spans="6:9">
      <c r="F2655" s="12" t="str">
        <f>Absolute_Scores!F2655</f>
        <v>@ziashome</v>
      </c>
      <c r="G2655" s="12" t="str">
        <f>Absolute_Scores!G2655</f>
        <v>TikTok</v>
      </c>
      <c r="H2655" s="29">
        <f>Absolute_Scores!I2655</f>
        <v>50</v>
      </c>
      <c r="I2655" s="30">
        <f t="shared" si="72"/>
        <v>62.5</v>
      </c>
    </row>
    <row r="2656" spans="6:9">
      <c r="F2656" s="12" t="str">
        <f>Absolute_Scores!F2656</f>
        <v>@zidanakmal</v>
      </c>
      <c r="G2656" s="12" t="str">
        <f>Absolute_Scores!G2656</f>
        <v>Instagram</v>
      </c>
      <c r="H2656" s="29">
        <f>Absolute_Scores!I2656</f>
        <v>50</v>
      </c>
      <c r="I2656" s="30">
        <f t="shared" si="72"/>
        <v>62.5</v>
      </c>
    </row>
    <row r="2657" spans="6:9">
      <c r="F2657" s="12" t="str">
        <f>Absolute_Scores!F2657</f>
        <v>@zivaafisah</v>
      </c>
      <c r="G2657" s="12" t="str">
        <f>Absolute_Scores!G2657</f>
        <v>TikTok</v>
      </c>
      <c r="H2657" s="29">
        <f>Absolute_Scores!I2657</f>
        <v>50</v>
      </c>
      <c r="I2657" s="30">
        <f t="shared" si="72"/>
        <v>62.5</v>
      </c>
    </row>
    <row r="2658" spans="6:9">
      <c r="F2658" s="12" t="str">
        <f>Absolute_Scores!F2658</f>
        <v>@zt.justzt</v>
      </c>
      <c r="G2658" s="12" t="str">
        <f>Absolute_Scores!G2658</f>
        <v>Instagram</v>
      </c>
      <c r="H2658" s="29">
        <f>Absolute_Scores!I2658</f>
        <v>50</v>
      </c>
      <c r="I2658" s="30">
        <f t="shared" si="72"/>
        <v>62.5</v>
      </c>
    </row>
    <row r="2659" spans="6:9">
      <c r="F2659" s="12" t="str">
        <f>Absolute_Scores!F2659</f>
        <v>@zuifany</v>
      </c>
      <c r="G2659" s="12" t="str">
        <f>Absolute_Scores!G2659</f>
        <v>TikTok</v>
      </c>
      <c r="H2659" s="29">
        <f>Absolute_Scores!I2659</f>
        <v>50</v>
      </c>
      <c r="I2659" s="30">
        <f t="shared" si="72"/>
        <v>62.5</v>
      </c>
    </row>
    <row r="2660" spans="6:9">
      <c r="F2660" s="12" t="str">
        <f>Absolute_Scores!F2660</f>
        <v>@zulfanurjannahh</v>
      </c>
      <c r="G2660" s="12" t="str">
        <f>Absolute_Scores!G2660</f>
        <v>TikTok</v>
      </c>
      <c r="H2660" s="29">
        <f>Absolute_Scores!I2660</f>
        <v>50</v>
      </c>
      <c r="I2660" s="30">
        <f t="shared" si="72"/>
        <v>62.5</v>
      </c>
    </row>
    <row r="2661" spans="6:9">
      <c r="F2661" s="12" t="str">
        <f>Absolute_Scores!F2661</f>
        <v>@zulherman_fm</v>
      </c>
      <c r="G2661" s="12" t="str">
        <f>Absolute_Scores!G2661</f>
        <v>Instagram</v>
      </c>
      <c r="H2661" s="29">
        <f>Absolute_Scores!I2661</f>
        <v>50</v>
      </c>
      <c r="I2661" s="30">
        <f t="shared" si="72"/>
        <v>62.5</v>
      </c>
    </row>
    <row r="2662" spans="6:9">
      <c r="F2662" s="12" t="str">
        <f>Absolute_Scores!F2662</f>
        <v>@_kfatmawatii</v>
      </c>
      <c r="G2662" s="12" t="str">
        <f>Absolute_Scores!G2662</f>
        <v>Instagram</v>
      </c>
      <c r="H2662" s="29">
        <f>Absolute_Scores!I2662</f>
        <v>49</v>
      </c>
      <c r="I2662" s="30">
        <f t="shared" si="72"/>
        <v>61.25</v>
      </c>
    </row>
    <row r="2663" spans="6:9">
      <c r="F2663" s="12" t="str">
        <f>Absolute_Scores!F2663</f>
        <v>@almirakys</v>
      </c>
      <c r="G2663" s="12" t="str">
        <f>Absolute_Scores!G2663</f>
        <v>Instagram</v>
      </c>
      <c r="H2663" s="29">
        <f>Absolute_Scores!I2663</f>
        <v>49</v>
      </c>
      <c r="I2663" s="30">
        <f t="shared" si="72"/>
        <v>61.25</v>
      </c>
    </row>
    <row r="2664" spans="6:9">
      <c r="F2664" s="12" t="str">
        <f>Absolute_Scores!F2664</f>
        <v>@amelamelon</v>
      </c>
      <c r="G2664" s="12" t="str">
        <f>Absolute_Scores!G2664</f>
        <v>Instagram</v>
      </c>
      <c r="H2664" s="29">
        <f>Absolute_Scores!I2664</f>
        <v>49</v>
      </c>
      <c r="I2664" s="30">
        <f t="shared" si="72"/>
        <v>61.25</v>
      </c>
    </row>
    <row r="2665" spans="6:9">
      <c r="F2665" s="12" t="str">
        <f>Absolute_Scores!F2665</f>
        <v>@amelridhawati</v>
      </c>
      <c r="G2665" s="12" t="str">
        <f>Absolute_Scores!G2665</f>
        <v>Instagram</v>
      </c>
      <c r="H2665" s="29">
        <f>Absolute_Scores!I2665</f>
        <v>49</v>
      </c>
      <c r="I2665" s="30">
        <f t="shared" si="72"/>
        <v>61.25</v>
      </c>
    </row>
    <row r="2666" spans="6:9">
      <c r="F2666" s="12" t="str">
        <f>Absolute_Scores!F2666</f>
        <v>@amyasriv</v>
      </c>
      <c r="G2666" s="12" t="str">
        <f>Absolute_Scores!G2666</f>
        <v>Instagram</v>
      </c>
      <c r="H2666" s="29">
        <f>Absolute_Scores!I2666</f>
        <v>49</v>
      </c>
      <c r="I2666" s="30">
        <f t="shared" si="72"/>
        <v>61.25</v>
      </c>
    </row>
    <row r="2667" spans="6:9">
      <c r="F2667" s="12" t="str">
        <f>Absolute_Scores!F2667</f>
        <v>@arbanirezas</v>
      </c>
      <c r="G2667" s="12" t="str">
        <f>Absolute_Scores!G2667</f>
        <v>Instagram</v>
      </c>
      <c r="H2667" s="29">
        <f>Absolute_Scores!I2667</f>
        <v>49</v>
      </c>
      <c r="I2667" s="30">
        <f t="shared" si="72"/>
        <v>61.25</v>
      </c>
    </row>
    <row r="2668" spans="6:9">
      <c r="F2668" s="12" t="str">
        <f>Absolute_Scores!F2668</f>
        <v>@chicco.jerikho</v>
      </c>
      <c r="G2668" s="12" t="str">
        <f>Absolute_Scores!G2668</f>
        <v>Instagram</v>
      </c>
      <c r="H2668" s="29">
        <f>Absolute_Scores!I2668</f>
        <v>49</v>
      </c>
      <c r="I2668" s="30">
        <f t="shared" si="72"/>
        <v>61.25</v>
      </c>
    </row>
    <row r="2669" spans="6:9">
      <c r="F2669" s="12" t="str">
        <f>Absolute_Scores!F2669</f>
        <v>@dennyalfary</v>
      </c>
      <c r="G2669" s="12" t="str">
        <f>Absolute_Scores!G2669</f>
        <v>Instagram</v>
      </c>
      <c r="H2669" s="29">
        <f>Absolute_Scores!I2669</f>
        <v>49</v>
      </c>
      <c r="I2669" s="30">
        <f t="shared" si="72"/>
        <v>61.25</v>
      </c>
    </row>
    <row r="2670" spans="6:9">
      <c r="F2670" s="12" t="str">
        <f>Absolute_Scores!F2670</f>
        <v>@desta80s</v>
      </c>
      <c r="G2670" s="12" t="str">
        <f>Absolute_Scores!G2670</f>
        <v>Instagram</v>
      </c>
      <c r="H2670" s="29">
        <f>Absolute_Scores!I2670</f>
        <v>49</v>
      </c>
      <c r="I2670" s="30">
        <f t="shared" si="72"/>
        <v>61.25</v>
      </c>
    </row>
    <row r="2671" spans="6:9">
      <c r="F2671" s="12" t="str">
        <f>Absolute_Scores!F2671</f>
        <v>@dikingo69</v>
      </c>
      <c r="G2671" s="12" t="str">
        <f>Absolute_Scores!G2671</f>
        <v>TikTok</v>
      </c>
      <c r="H2671" s="29">
        <f>Absolute_Scores!I2671</f>
        <v>49</v>
      </c>
      <c r="I2671" s="30">
        <f t="shared" si="72"/>
        <v>61.25</v>
      </c>
    </row>
    <row r="2672" spans="6:9">
      <c r="F2672" s="12" t="str">
        <f>Absolute_Scores!F2672</f>
        <v>@dionharyadi</v>
      </c>
      <c r="G2672" s="12" t="str">
        <f>Absolute_Scores!G2672</f>
        <v>Instagram</v>
      </c>
      <c r="H2672" s="29">
        <f>Absolute_Scores!I2672</f>
        <v>49</v>
      </c>
      <c r="I2672" s="30">
        <f t="shared" si="72"/>
        <v>61.25</v>
      </c>
    </row>
    <row r="2673" spans="6:9">
      <c r="F2673" s="12" t="str">
        <f>Absolute_Scores!F2673</f>
        <v>@faithcns_</v>
      </c>
      <c r="G2673" s="12" t="str">
        <f>Absolute_Scores!G2673</f>
        <v>Instagram</v>
      </c>
      <c r="H2673" s="29">
        <f>Absolute_Scores!I2673</f>
        <v>49</v>
      </c>
      <c r="I2673" s="30">
        <f t="shared" si="72"/>
        <v>61.25</v>
      </c>
    </row>
    <row r="2674" spans="6:9">
      <c r="F2674" s="12" t="str">
        <f>Absolute_Scores!F2674</f>
        <v>@farislovitasari</v>
      </c>
      <c r="G2674" s="12" t="str">
        <f>Absolute_Scores!G2674</f>
        <v>Instagram</v>
      </c>
      <c r="H2674" s="29">
        <f>Absolute_Scores!I2674</f>
        <v>49</v>
      </c>
      <c r="I2674" s="30">
        <f t="shared" si="72"/>
        <v>61.25</v>
      </c>
    </row>
    <row r="2675" spans="6:9">
      <c r="F2675" s="12" t="str">
        <f>Absolute_Scores!F2675</f>
        <v>@fitriani_rachmawati</v>
      </c>
      <c r="G2675" s="12" t="str">
        <f>Absolute_Scores!G2675</f>
        <v>Instagram</v>
      </c>
      <c r="H2675" s="29">
        <f>Absolute_Scores!I2675</f>
        <v>49</v>
      </c>
      <c r="I2675" s="30">
        <f t="shared" si="72"/>
        <v>61.25</v>
      </c>
    </row>
    <row r="2676" spans="6:9">
      <c r="F2676" s="12" t="str">
        <f>Absolute_Scores!F2676</f>
        <v>@hildachriss</v>
      </c>
      <c r="G2676" s="12" t="str">
        <f>Absolute_Scores!G2676</f>
        <v>Instagram</v>
      </c>
      <c r="H2676" s="29">
        <f>Absolute_Scores!I2676</f>
        <v>49</v>
      </c>
      <c r="I2676" s="30">
        <f t="shared" si="72"/>
        <v>61.25</v>
      </c>
    </row>
    <row r="2677" spans="6:9">
      <c r="F2677" s="12" t="str">
        <f>Absolute_Scores!F2677</f>
        <v>@jenongtiktok</v>
      </c>
      <c r="G2677" s="12" t="str">
        <f>Absolute_Scores!G2677</f>
        <v>TikTok</v>
      </c>
      <c r="H2677" s="29">
        <f>Absolute_Scores!I2677</f>
        <v>49</v>
      </c>
      <c r="I2677" s="30">
        <f t="shared" si="72"/>
        <v>61.25</v>
      </c>
    </row>
    <row r="2678" spans="6:9">
      <c r="F2678" s="12" t="str">
        <f>Absolute_Scores!F2678</f>
        <v>@kristianita_dian</v>
      </c>
      <c r="G2678" s="12" t="str">
        <f>Absolute_Scores!G2678</f>
        <v>Instagram</v>
      </c>
      <c r="H2678" s="29">
        <f>Absolute_Scores!I2678</f>
        <v>49</v>
      </c>
      <c r="I2678" s="30">
        <f t="shared" si="72"/>
        <v>61.25</v>
      </c>
    </row>
    <row r="2679" spans="6:9">
      <c r="F2679" s="12" t="str">
        <f>Absolute_Scores!F2679</f>
        <v>@nadi_ngopi</v>
      </c>
      <c r="G2679" s="12" t="str">
        <f>Absolute_Scores!G2679</f>
        <v>TikTok</v>
      </c>
      <c r="H2679" s="29">
        <f>Absolute_Scores!I2679</f>
        <v>49</v>
      </c>
      <c r="I2679" s="30">
        <f t="shared" si="72"/>
        <v>61.25</v>
      </c>
    </row>
    <row r="2680" spans="6:9">
      <c r="F2680" s="12" t="str">
        <f>Absolute_Scores!F2680</f>
        <v>@rhasiebatara</v>
      </c>
      <c r="G2680" s="12" t="str">
        <f>Absolute_Scores!G2680</f>
        <v>Instagram</v>
      </c>
      <c r="H2680" s="29">
        <f>Absolute_Scores!I2680</f>
        <v>49</v>
      </c>
      <c r="I2680" s="30">
        <f t="shared" si="72"/>
        <v>61.25</v>
      </c>
    </row>
    <row r="2681" spans="6:9">
      <c r="F2681" s="12" t="str">
        <f>Absolute_Scores!F2681</f>
        <v>@syaharanieptr</v>
      </c>
      <c r="G2681" s="12" t="str">
        <f>Absolute_Scores!G2681</f>
        <v>Instagram</v>
      </c>
      <c r="H2681" s="29">
        <f>Absolute_Scores!I2681</f>
        <v>49</v>
      </c>
      <c r="I2681" s="30">
        <f t="shared" si="72"/>
        <v>61.25</v>
      </c>
    </row>
    <row r="2682" spans="6:9">
      <c r="F2682" s="12" t="str">
        <f>Absolute_Scores!F2682</f>
        <v>@anifa.tamara</v>
      </c>
      <c r="G2682" s="12" t="str">
        <f>Absolute_Scores!G2682</f>
        <v>Instagram</v>
      </c>
      <c r="H2682" s="29">
        <f>Absolute_Scores!I2682</f>
        <v>48</v>
      </c>
      <c r="I2682" s="30">
        <f t="shared" si="72"/>
        <v>60</v>
      </c>
    </row>
    <row r="2683" spans="6:9">
      <c r="F2683" s="12" t="str">
        <f>Absolute_Scores!F2683</f>
        <v>@anthonysudarsono</v>
      </c>
      <c r="G2683" s="12" t="str">
        <f>Absolute_Scores!G2683</f>
        <v>Instagram</v>
      </c>
      <c r="H2683" s="29">
        <f>Absolute_Scores!I2683</f>
        <v>48</v>
      </c>
      <c r="I2683" s="30">
        <f t="shared" si="72"/>
        <v>60</v>
      </c>
    </row>
    <row r="2684" spans="6:9">
      <c r="F2684" s="12" t="str">
        <f>Absolute_Scores!F2684</f>
        <v>@auranixie</v>
      </c>
      <c r="G2684" s="12" t="str">
        <f>Absolute_Scores!G2684</f>
        <v>TikTok</v>
      </c>
      <c r="H2684" s="29">
        <f>Absolute_Scores!I2684</f>
        <v>48</v>
      </c>
      <c r="I2684" s="30">
        <f t="shared" si="72"/>
        <v>60</v>
      </c>
    </row>
    <row r="2685" spans="6:9">
      <c r="F2685" s="12" t="str">
        <f>Absolute_Scores!F2685</f>
        <v>@babyylisa_</v>
      </c>
      <c r="G2685" s="12" t="str">
        <f>Absolute_Scores!G2685</f>
        <v>Instagram</v>
      </c>
      <c r="H2685" s="29">
        <f>Absolute_Scores!I2685</f>
        <v>48</v>
      </c>
      <c r="I2685" s="30">
        <f t="shared" si="72"/>
        <v>60</v>
      </c>
    </row>
    <row r="2686" spans="6:9">
      <c r="F2686" s="12" t="str">
        <f>Absolute_Scores!F2686</f>
        <v>@cakecaine</v>
      </c>
      <c r="G2686" s="12" t="str">
        <f>Absolute_Scores!G2686</f>
        <v>Instagram</v>
      </c>
      <c r="H2686" s="29">
        <f>Absolute_Scores!I2686</f>
        <v>48</v>
      </c>
      <c r="I2686" s="30">
        <f t="shared" si="72"/>
        <v>60</v>
      </c>
    </row>
    <row r="2687" spans="6:9">
      <c r="F2687" s="12" t="str">
        <f>Absolute_Scores!F2687</f>
        <v>@dhiarcom</v>
      </c>
      <c r="G2687" s="12" t="str">
        <f>Absolute_Scores!G2687</f>
        <v>TikTok</v>
      </c>
      <c r="H2687" s="29">
        <f>Absolute_Scores!I2687</f>
        <v>48</v>
      </c>
      <c r="I2687" s="30">
        <f t="shared" si="72"/>
        <v>60</v>
      </c>
    </row>
    <row r="2688" spans="6:9">
      <c r="F2688" s="12" t="str">
        <f>Absolute_Scores!F2688</f>
        <v>@dinararizqiyyaraf93</v>
      </c>
      <c r="G2688" s="12" t="str">
        <f>Absolute_Scores!G2688</f>
        <v>TikTok</v>
      </c>
      <c r="H2688" s="29">
        <f>Absolute_Scores!I2688</f>
        <v>48</v>
      </c>
      <c r="I2688" s="30">
        <f t="shared" si="72"/>
        <v>60</v>
      </c>
    </row>
    <row r="2689" spans="6:9">
      <c r="F2689" s="12" t="str">
        <f>Absolute_Scores!F2689</f>
        <v>@djasminesoraya</v>
      </c>
      <c r="G2689" s="12" t="str">
        <f>Absolute_Scores!G2689</f>
        <v>Instagram</v>
      </c>
      <c r="H2689" s="29">
        <f>Absolute_Scores!I2689</f>
        <v>48</v>
      </c>
      <c r="I2689" s="30">
        <f t="shared" si="72"/>
        <v>60</v>
      </c>
    </row>
    <row r="2690" spans="6:9">
      <c r="F2690" s="12" t="str">
        <f>Absolute_Scores!F2690</f>
        <v>@donnaharunofficial</v>
      </c>
      <c r="G2690" s="12" t="str">
        <f>Absolute_Scores!G2690</f>
        <v>Instagram</v>
      </c>
      <c r="H2690" s="29">
        <f>Absolute_Scores!I2690</f>
        <v>48</v>
      </c>
      <c r="I2690" s="30">
        <f t="shared" si="72"/>
        <v>60</v>
      </c>
    </row>
    <row r="2691" spans="6:9">
      <c r="F2691" s="12" t="str">
        <f>Absolute_Scores!F2691</f>
        <v>@dosenkecantikan</v>
      </c>
      <c r="G2691" s="12" t="str">
        <f>Absolute_Scores!G2691</f>
        <v>TikTok</v>
      </c>
      <c r="H2691" s="29">
        <f>Absolute_Scores!I2691</f>
        <v>48</v>
      </c>
      <c r="I2691" s="30">
        <f t="shared" si="72"/>
        <v>60</v>
      </c>
    </row>
    <row r="2692" spans="6:9">
      <c r="F2692" s="12" t="str">
        <f>Absolute_Scores!F2692</f>
        <v>@ellenterrence</v>
      </c>
      <c r="G2692" s="12" t="str">
        <f>Absolute_Scores!G2692</f>
        <v>Instagram</v>
      </c>
      <c r="H2692" s="29">
        <f>Absolute_Scores!I2692</f>
        <v>48</v>
      </c>
      <c r="I2692" s="30">
        <f t="shared" si="72"/>
        <v>60</v>
      </c>
    </row>
    <row r="2693" spans="6:9">
      <c r="F2693" s="12" t="str">
        <f>Absolute_Scores!F2693</f>
        <v>@erickapineda09</v>
      </c>
      <c r="G2693" s="12" t="str">
        <f>Absolute_Scores!G2693</f>
        <v>TikTok</v>
      </c>
      <c r="H2693" s="29">
        <f>Absolute_Scores!I2693</f>
        <v>48</v>
      </c>
      <c r="I2693" s="30">
        <f t="shared" si="72"/>
        <v>60</v>
      </c>
    </row>
    <row r="2694" spans="6:9">
      <c r="F2694" s="12" t="str">
        <f>Absolute_Scores!F2694</f>
        <v>@faniaelizaa</v>
      </c>
      <c r="G2694" s="12" t="str">
        <f>Absolute_Scores!G2694</f>
        <v>Instagram</v>
      </c>
      <c r="H2694" s="29">
        <f>Absolute_Scores!I2694</f>
        <v>48</v>
      </c>
      <c r="I2694" s="30">
        <f t="shared" ref="I2694:I2757" si="73">ROUND(H2694/$I$4*100,2)</f>
        <v>60</v>
      </c>
    </row>
    <row r="2695" spans="6:9">
      <c r="F2695" s="12" t="str">
        <f>Absolute_Scores!F2695</f>
        <v>@farizaynn</v>
      </c>
      <c r="G2695" s="12" t="str">
        <f>Absolute_Scores!G2695</f>
        <v>TikTok</v>
      </c>
      <c r="H2695" s="29">
        <f>Absolute_Scores!I2695</f>
        <v>48</v>
      </c>
      <c r="I2695" s="30">
        <f t="shared" si="73"/>
        <v>60</v>
      </c>
    </row>
    <row r="2696" spans="6:9">
      <c r="F2696" s="12" t="str">
        <f>Absolute_Scores!F2696</f>
        <v>@farrajaidi</v>
      </c>
      <c r="G2696" s="12" t="str">
        <f>Absolute_Scores!G2696</f>
        <v>TikTok</v>
      </c>
      <c r="H2696" s="29">
        <f>Absolute_Scores!I2696</f>
        <v>48</v>
      </c>
      <c r="I2696" s="30">
        <f t="shared" si="73"/>
        <v>60</v>
      </c>
    </row>
    <row r="2697" spans="6:9">
      <c r="F2697" s="12" t="str">
        <f>Absolute_Scores!F2697</f>
        <v>@florie_aa_</v>
      </c>
      <c r="G2697" s="12" t="str">
        <f>Absolute_Scores!G2697</f>
        <v>TikTok</v>
      </c>
      <c r="H2697" s="29">
        <f>Absolute_Scores!I2697</f>
        <v>48</v>
      </c>
      <c r="I2697" s="30">
        <f t="shared" si="73"/>
        <v>60</v>
      </c>
    </row>
    <row r="2698" spans="6:9">
      <c r="F2698" s="12" t="str">
        <f>Absolute_Scores!F2698</f>
        <v>@hy.hani</v>
      </c>
      <c r="G2698" s="12" t="str">
        <f>Absolute_Scores!G2698</f>
        <v>Instagram</v>
      </c>
      <c r="H2698" s="29">
        <f>Absolute_Scores!I2698</f>
        <v>48</v>
      </c>
      <c r="I2698" s="30">
        <f t="shared" si="73"/>
        <v>60</v>
      </c>
    </row>
    <row r="2699" spans="6:9">
      <c r="F2699" s="12" t="str">
        <f>Absolute_Scores!F2699</f>
        <v>@jakartaselatan24jam</v>
      </c>
      <c r="G2699" s="12" t="str">
        <f>Absolute_Scores!G2699</f>
        <v>Instagram</v>
      </c>
      <c r="H2699" s="29">
        <f>Absolute_Scores!I2699</f>
        <v>48</v>
      </c>
      <c r="I2699" s="30">
        <f t="shared" si="73"/>
        <v>60</v>
      </c>
    </row>
    <row r="2700" spans="6:9">
      <c r="F2700" s="12" t="str">
        <f>Absolute_Scores!F2700</f>
        <v>@jerhemynemo</v>
      </c>
      <c r="G2700" s="12" t="str">
        <f>Absolute_Scores!G2700</f>
        <v>Instagram</v>
      </c>
      <c r="H2700" s="29">
        <f>Absolute_Scores!I2700</f>
        <v>48</v>
      </c>
      <c r="I2700" s="30">
        <f t="shared" si="73"/>
        <v>60</v>
      </c>
    </row>
    <row r="2701" spans="6:9">
      <c r="F2701" s="12" t="str">
        <f>Absolute_Scores!F2701</f>
        <v>@josephinetheaa</v>
      </c>
      <c r="G2701" s="12" t="str">
        <f>Absolute_Scores!G2701</f>
        <v>TikTok</v>
      </c>
      <c r="H2701" s="29">
        <f>Absolute_Scores!I2701</f>
        <v>48</v>
      </c>
      <c r="I2701" s="30">
        <f t="shared" si="73"/>
        <v>60</v>
      </c>
    </row>
    <row r="2702" spans="6:9">
      <c r="F2702" s="12" t="str">
        <f>Absolute_Scores!F2702</f>
        <v>@karenkurniawan_kk</v>
      </c>
      <c r="G2702" s="12" t="str">
        <f>Absolute_Scores!G2702</f>
        <v>TikTok</v>
      </c>
      <c r="H2702" s="29">
        <f>Absolute_Scores!I2702</f>
        <v>48</v>
      </c>
      <c r="I2702" s="30">
        <f t="shared" si="73"/>
        <v>60</v>
      </c>
    </row>
    <row r="2703" spans="6:9">
      <c r="F2703" s="12" t="str">
        <f>Absolute_Scores!F2703</f>
        <v>@kentri_ag</v>
      </c>
      <c r="G2703" s="12" t="str">
        <f>Absolute_Scores!G2703</f>
        <v>Instagram</v>
      </c>
      <c r="H2703" s="29">
        <f>Absolute_Scores!I2703</f>
        <v>48</v>
      </c>
      <c r="I2703" s="30">
        <f t="shared" si="73"/>
        <v>60</v>
      </c>
    </row>
    <row r="2704" spans="6:9">
      <c r="F2704" s="12" t="str">
        <f>Absolute_Scores!F2704</f>
        <v>@lalitahutami</v>
      </c>
      <c r="G2704" s="12" t="str">
        <f>Absolute_Scores!G2704</f>
        <v>TikTok</v>
      </c>
      <c r="H2704" s="29">
        <f>Absolute_Scores!I2704</f>
        <v>48</v>
      </c>
      <c r="I2704" s="30">
        <f t="shared" si="73"/>
        <v>60</v>
      </c>
    </row>
    <row r="2705" spans="6:9">
      <c r="F2705" s="12" t="str">
        <f>Absolute_Scores!F2705</f>
        <v>@lunamaya</v>
      </c>
      <c r="G2705" s="12" t="str">
        <f>Absolute_Scores!G2705</f>
        <v>Instagram</v>
      </c>
      <c r="H2705" s="29">
        <f>Absolute_Scores!I2705</f>
        <v>48</v>
      </c>
      <c r="I2705" s="30">
        <f t="shared" si="73"/>
        <v>60</v>
      </c>
    </row>
    <row r="2706" spans="6:9">
      <c r="F2706" s="12" t="str">
        <f>Absolute_Scores!F2706</f>
        <v>@marshaaruan</v>
      </c>
      <c r="G2706" s="12" t="str">
        <f>Absolute_Scores!G2706</f>
        <v>TikTok</v>
      </c>
      <c r="H2706" s="29">
        <f>Absolute_Scores!I2706</f>
        <v>48</v>
      </c>
      <c r="I2706" s="30">
        <f t="shared" si="73"/>
        <v>60</v>
      </c>
    </row>
    <row r="2707" spans="6:9">
      <c r="F2707" s="12" t="str">
        <f>Absolute_Scores!F2707</f>
        <v>@marzcheese</v>
      </c>
      <c r="G2707" s="12" t="str">
        <f>Absolute_Scores!G2707</f>
        <v>Instagram</v>
      </c>
      <c r="H2707" s="29">
        <f>Absolute_Scores!I2707</f>
        <v>48</v>
      </c>
      <c r="I2707" s="30">
        <f t="shared" si="73"/>
        <v>60</v>
      </c>
    </row>
    <row r="2708" spans="6:9">
      <c r="F2708" s="12" t="str">
        <f>Absolute_Scores!F2708</f>
        <v>@monicasahr</v>
      </c>
      <c r="G2708" s="12" t="str">
        <f>Absolute_Scores!G2708</f>
        <v>TikTok</v>
      </c>
      <c r="H2708" s="29">
        <f>Absolute_Scores!I2708</f>
        <v>48</v>
      </c>
      <c r="I2708" s="30">
        <f t="shared" si="73"/>
        <v>60</v>
      </c>
    </row>
    <row r="2709" spans="6:9">
      <c r="F2709" s="12" t="str">
        <f>Absolute_Scores!F2709</f>
        <v>@oktasoekarno</v>
      </c>
      <c r="G2709" s="12" t="str">
        <f>Absolute_Scores!G2709</f>
        <v>Instagram</v>
      </c>
      <c r="H2709" s="29">
        <f>Absolute_Scores!I2709</f>
        <v>48</v>
      </c>
      <c r="I2709" s="30">
        <f t="shared" si="73"/>
        <v>60</v>
      </c>
    </row>
    <row r="2710" spans="6:9">
      <c r="F2710" s="12" t="str">
        <f>Absolute_Scores!F2710</f>
        <v>@olivia.liem</v>
      </c>
      <c r="G2710" s="12" t="str">
        <f>Absolute_Scores!G2710</f>
        <v>TikTok</v>
      </c>
      <c r="H2710" s="29">
        <f>Absolute_Scores!I2710</f>
        <v>48</v>
      </c>
      <c r="I2710" s="30">
        <f t="shared" si="73"/>
        <v>60</v>
      </c>
    </row>
    <row r="2711" spans="6:9">
      <c r="F2711" s="12" t="str">
        <f>Absolute_Scores!F2711</f>
        <v>@parsih.homedecor</v>
      </c>
      <c r="G2711" s="12" t="str">
        <f>Absolute_Scores!G2711</f>
        <v>Instagram</v>
      </c>
      <c r="H2711" s="29">
        <f>Absolute_Scores!I2711</f>
        <v>48</v>
      </c>
      <c r="I2711" s="30">
        <f t="shared" si="73"/>
        <v>60</v>
      </c>
    </row>
    <row r="2712" spans="6:9">
      <c r="F2712" s="12" t="str">
        <f>Absolute_Scores!F2712</f>
        <v>@putrizianii</v>
      </c>
      <c r="G2712" s="12" t="str">
        <f>Absolute_Scores!G2712</f>
        <v>TikTok</v>
      </c>
      <c r="H2712" s="29">
        <f>Absolute_Scores!I2712</f>
        <v>48</v>
      </c>
      <c r="I2712" s="30">
        <f t="shared" si="73"/>
        <v>60</v>
      </c>
    </row>
    <row r="2713" spans="6:9">
      <c r="F2713" s="12" t="str">
        <f>Absolute_Scores!F2713</f>
        <v>@reginaseptinamainof</v>
      </c>
      <c r="G2713" s="12" t="str">
        <f>Absolute_Scores!G2713</f>
        <v>Instagram</v>
      </c>
      <c r="H2713" s="29">
        <f>Absolute_Scores!I2713</f>
        <v>48</v>
      </c>
      <c r="I2713" s="30">
        <f t="shared" si="73"/>
        <v>60</v>
      </c>
    </row>
    <row r="2714" spans="6:9">
      <c r="F2714" s="12" t="str">
        <f>Absolute_Scores!F2714</f>
        <v>@sptrakori_</v>
      </c>
      <c r="G2714" s="12" t="str">
        <f>Absolute_Scores!G2714</f>
        <v>TikTok</v>
      </c>
      <c r="H2714" s="29">
        <f>Absolute_Scores!I2714</f>
        <v>48</v>
      </c>
      <c r="I2714" s="30">
        <f t="shared" si="73"/>
        <v>60</v>
      </c>
    </row>
    <row r="2715" spans="6:9">
      <c r="F2715" s="12" t="str">
        <f>Absolute_Scores!F2715</f>
        <v>@temanbumil</v>
      </c>
      <c r="G2715" s="12" t="str">
        <f>Absolute_Scores!G2715</f>
        <v>Instagram</v>
      </c>
      <c r="H2715" s="29">
        <f>Absolute_Scores!I2715</f>
        <v>48</v>
      </c>
      <c r="I2715" s="30">
        <f t="shared" si="73"/>
        <v>60</v>
      </c>
    </row>
    <row r="2716" spans="6:9">
      <c r="F2716" s="12" t="str">
        <f>Absolute_Scores!F2716</f>
        <v>@vic.sam</v>
      </c>
      <c r="G2716" s="12" t="str">
        <f>Absolute_Scores!G2716</f>
        <v>Instagram</v>
      </c>
      <c r="H2716" s="29">
        <f>Absolute_Scores!I2716</f>
        <v>48</v>
      </c>
      <c r="I2716" s="30">
        <f t="shared" si="73"/>
        <v>60</v>
      </c>
    </row>
    <row r="2717" spans="6:9">
      <c r="F2717" s="12" t="str">
        <f>Absolute_Scores!F2717</f>
        <v>@yunie.saputra</v>
      </c>
      <c r="G2717" s="12" t="str">
        <f>Absolute_Scores!G2717</f>
        <v>Instagram</v>
      </c>
      <c r="H2717" s="29">
        <f>Absolute_Scores!I2717</f>
        <v>48</v>
      </c>
      <c r="I2717" s="30">
        <f t="shared" si="73"/>
        <v>60</v>
      </c>
    </row>
    <row r="2718" spans="6:9">
      <c r="F2718" s="12" t="str">
        <f>Absolute_Scores!F2718</f>
        <v>@zaraanih</v>
      </c>
      <c r="G2718" s="12" t="str">
        <f>Absolute_Scores!G2718</f>
        <v>TikTok</v>
      </c>
      <c r="H2718" s="29">
        <f>Absolute_Scores!I2718</f>
        <v>48</v>
      </c>
      <c r="I2718" s="30">
        <f t="shared" si="73"/>
        <v>60</v>
      </c>
    </row>
    <row r="2719" spans="6:9">
      <c r="F2719" s="12" t="str">
        <f>Absolute_Scores!F2719</f>
        <v>@_icedgreentea8</v>
      </c>
      <c r="G2719" s="12" t="str">
        <f>Absolute_Scores!G2719</f>
        <v>TikTok</v>
      </c>
      <c r="H2719" s="29">
        <f>Absolute_Scores!I2719</f>
        <v>47</v>
      </c>
      <c r="I2719" s="30">
        <f t="shared" si="73"/>
        <v>58.75</v>
      </c>
    </row>
    <row r="2720" spans="6:9">
      <c r="F2720" s="12" t="str">
        <f>Absolute_Scores!F2720</f>
        <v>@a.nasrahma</v>
      </c>
      <c r="G2720" s="12" t="str">
        <f>Absolute_Scores!G2720</f>
        <v>Instagram</v>
      </c>
      <c r="H2720" s="29">
        <f>Absolute_Scores!I2720</f>
        <v>47</v>
      </c>
      <c r="I2720" s="30">
        <f t="shared" si="73"/>
        <v>58.75</v>
      </c>
    </row>
    <row r="2721" spans="6:9">
      <c r="F2721" s="12" t="str">
        <f>Absolute_Scores!F2721</f>
        <v>@abu_hadiassegaf89</v>
      </c>
      <c r="G2721" s="12" t="str">
        <f>Absolute_Scores!G2721</f>
        <v>TikTok</v>
      </c>
      <c r="H2721" s="29">
        <f>Absolute_Scores!I2721</f>
        <v>47</v>
      </c>
      <c r="I2721" s="30">
        <f t="shared" si="73"/>
        <v>58.75</v>
      </c>
    </row>
    <row r="2722" spans="6:9">
      <c r="F2722" s="12" t="str">
        <f>Absolute_Scores!F2722</f>
        <v>@agrilisaafinta</v>
      </c>
      <c r="G2722" s="12" t="str">
        <f>Absolute_Scores!G2722</f>
        <v>Instagram</v>
      </c>
      <c r="H2722" s="29">
        <f>Absolute_Scores!I2722</f>
        <v>47</v>
      </c>
      <c r="I2722" s="30">
        <f t="shared" si="73"/>
        <v>58.75</v>
      </c>
    </row>
    <row r="2723" spans="6:9">
      <c r="F2723" s="12" t="str">
        <f>Absolute_Scores!F2723</f>
        <v>@ain_chaariro</v>
      </c>
      <c r="G2723" s="12" t="str">
        <f>Absolute_Scores!G2723</f>
        <v>Instagram</v>
      </c>
      <c r="H2723" s="29">
        <f>Absolute_Scores!I2723</f>
        <v>47</v>
      </c>
      <c r="I2723" s="30">
        <f t="shared" si="73"/>
        <v>58.75</v>
      </c>
    </row>
    <row r="2724" spans="6:9">
      <c r="F2724" s="12" t="str">
        <f>Absolute_Scores!F2724</f>
        <v>@ajenglarasaty8039</v>
      </c>
      <c r="G2724" s="12" t="str">
        <f>Absolute_Scores!G2724</f>
        <v>Instagram</v>
      </c>
      <c r="H2724" s="29">
        <f>Absolute_Scores!I2724</f>
        <v>47</v>
      </c>
      <c r="I2724" s="30">
        <f t="shared" si="73"/>
        <v>58.75</v>
      </c>
    </row>
    <row r="2725" spans="6:9">
      <c r="F2725" s="12" t="str">
        <f>Absolute_Scores!F2725</f>
        <v>@akhairunnisa</v>
      </c>
      <c r="G2725" s="12" t="str">
        <f>Absolute_Scores!G2725</f>
        <v>Instagram</v>
      </c>
      <c r="H2725" s="29">
        <f>Absolute_Scores!I2725</f>
        <v>47</v>
      </c>
      <c r="I2725" s="30">
        <f t="shared" si="73"/>
        <v>58.75</v>
      </c>
    </row>
    <row r="2726" spans="6:9">
      <c r="F2726" s="12" t="str">
        <f>Absolute_Scores!F2726</f>
        <v>@ambrrni</v>
      </c>
      <c r="G2726" s="12" t="str">
        <f>Absolute_Scores!G2726</f>
        <v>Instagram</v>
      </c>
      <c r="H2726" s="29">
        <f>Absolute_Scores!I2726</f>
        <v>47</v>
      </c>
      <c r="I2726" s="30">
        <f t="shared" si="73"/>
        <v>58.75</v>
      </c>
    </row>
    <row r="2727" spans="6:9">
      <c r="F2727" s="12" t="str">
        <f>Absolute_Scores!F2727</f>
        <v>@amelindah.is</v>
      </c>
      <c r="G2727" s="12" t="str">
        <f>Absolute_Scores!G2727</f>
        <v>Instagram</v>
      </c>
      <c r="H2727" s="29">
        <f>Absolute_Scores!I2727</f>
        <v>47</v>
      </c>
      <c r="I2727" s="30">
        <f t="shared" si="73"/>
        <v>58.75</v>
      </c>
    </row>
    <row r="2728" spans="6:9">
      <c r="F2728" s="12" t="str">
        <f>Absolute_Scores!F2728</f>
        <v>@amerossaaaaa</v>
      </c>
      <c r="G2728" s="12" t="str">
        <f>Absolute_Scores!G2728</f>
        <v>Instagram</v>
      </c>
      <c r="H2728" s="29">
        <f>Absolute_Scores!I2728</f>
        <v>47</v>
      </c>
      <c r="I2728" s="30">
        <f t="shared" si="73"/>
        <v>58.75</v>
      </c>
    </row>
    <row r="2729" spans="6:9">
      <c r="F2729" s="12" t="str">
        <f>Absolute_Scores!F2729</f>
        <v>@amy_raharjo</v>
      </c>
      <c r="G2729" s="12" t="str">
        <f>Absolute_Scores!G2729</f>
        <v>Instagram</v>
      </c>
      <c r="H2729" s="29">
        <f>Absolute_Scores!I2729</f>
        <v>47</v>
      </c>
      <c r="I2729" s="30">
        <f t="shared" si="73"/>
        <v>58.75</v>
      </c>
    </row>
    <row r="2730" spans="6:9">
      <c r="F2730" s="12" t="str">
        <f>Absolute_Scores!F2730</f>
        <v>@anaagustinp</v>
      </c>
      <c r="G2730" s="12" t="str">
        <f>Absolute_Scores!G2730</f>
        <v>Instagram</v>
      </c>
      <c r="H2730" s="29">
        <f>Absolute_Scores!I2730</f>
        <v>47</v>
      </c>
      <c r="I2730" s="30">
        <f t="shared" si="73"/>
        <v>58.75</v>
      </c>
    </row>
    <row r="2731" spans="6:9">
      <c r="F2731" s="12" t="str">
        <f>Absolute_Scores!F2731</f>
        <v>@anaindahafsheenmy</v>
      </c>
      <c r="G2731" s="12" t="str">
        <f>Absolute_Scores!G2731</f>
        <v>TikTok</v>
      </c>
      <c r="H2731" s="29">
        <f>Absolute_Scores!I2731</f>
        <v>47</v>
      </c>
      <c r="I2731" s="30">
        <f t="shared" si="73"/>
        <v>58.75</v>
      </c>
    </row>
    <row r="2732" spans="6:9">
      <c r="F2732" s="12" t="str">
        <f>Absolute_Scores!F2732</f>
        <v>@anasparhasian</v>
      </c>
      <c r="G2732" s="12" t="str">
        <f>Absolute_Scores!G2732</f>
        <v>Instagram</v>
      </c>
      <c r="H2732" s="29">
        <f>Absolute_Scores!I2732</f>
        <v>47</v>
      </c>
      <c r="I2732" s="30">
        <f t="shared" si="73"/>
        <v>58.75</v>
      </c>
    </row>
    <row r="2733" spans="6:9">
      <c r="F2733" s="12" t="str">
        <f>Absolute_Scores!F2733</f>
        <v>@angelicamarietta</v>
      </c>
      <c r="G2733" s="12" t="str">
        <f>Absolute_Scores!G2733</f>
        <v>Instagram</v>
      </c>
      <c r="H2733" s="29">
        <f>Absolute_Scores!I2733</f>
        <v>47</v>
      </c>
      <c r="I2733" s="30">
        <f t="shared" si="73"/>
        <v>58.75</v>
      </c>
    </row>
    <row r="2734" spans="6:9">
      <c r="F2734" s="12" t="str">
        <f>Absolute_Scores!F2734</f>
        <v>@anggunhrmsr</v>
      </c>
      <c r="G2734" s="12" t="str">
        <f>Absolute_Scores!G2734</f>
        <v>Instagram</v>
      </c>
      <c r="H2734" s="29">
        <f>Absolute_Scores!I2734</f>
        <v>47</v>
      </c>
      <c r="I2734" s="30">
        <f t="shared" si="73"/>
        <v>58.75</v>
      </c>
    </row>
    <row r="2735" spans="6:9">
      <c r="F2735" s="12" t="str">
        <f>Absolute_Scores!F2735</f>
        <v>@annanakesya</v>
      </c>
      <c r="G2735" s="12" t="str">
        <f>Absolute_Scores!G2735</f>
        <v>Instagram</v>
      </c>
      <c r="H2735" s="29">
        <f>Absolute_Scores!I2735</f>
        <v>47</v>
      </c>
      <c r="I2735" s="30">
        <f t="shared" si="73"/>
        <v>58.75</v>
      </c>
    </row>
    <row r="2736" spans="6:9">
      <c r="F2736" s="12" t="str">
        <f>Absolute_Scores!F2736</f>
        <v>@arahardiant</v>
      </c>
      <c r="G2736" s="12" t="str">
        <f>Absolute_Scores!G2736</f>
        <v>Instagram</v>
      </c>
      <c r="H2736" s="29">
        <f>Absolute_Scores!I2736</f>
        <v>47</v>
      </c>
      <c r="I2736" s="30">
        <f t="shared" si="73"/>
        <v>58.75</v>
      </c>
    </row>
    <row r="2737" spans="6:9">
      <c r="F2737" s="12" t="str">
        <f>Absolute_Scores!F2737</f>
        <v>@asriutari8</v>
      </c>
      <c r="G2737" s="12" t="str">
        <f>Absolute_Scores!G2737</f>
        <v>Instagram</v>
      </c>
      <c r="H2737" s="29">
        <f>Absolute_Scores!I2737</f>
        <v>47</v>
      </c>
      <c r="I2737" s="30">
        <f t="shared" si="73"/>
        <v>58.75</v>
      </c>
    </row>
    <row r="2738" spans="6:9">
      <c r="F2738" s="12" t="str">
        <f>Absolute_Scores!F2738</f>
        <v>@asriwahyunirais</v>
      </c>
      <c r="G2738" s="12" t="str">
        <f>Absolute_Scores!G2738</f>
        <v>Instagram</v>
      </c>
      <c r="H2738" s="29">
        <f>Absolute_Scores!I2738</f>
        <v>47</v>
      </c>
      <c r="I2738" s="30">
        <f t="shared" si="73"/>
        <v>58.75</v>
      </c>
    </row>
    <row r="2739" spans="6:9">
      <c r="F2739" s="12" t="str">
        <f>Absolute_Scores!F2739</f>
        <v>@ataliabunga</v>
      </c>
      <c r="G2739" s="12" t="str">
        <f>Absolute_Scores!G2739</f>
        <v>Instagram</v>
      </c>
      <c r="H2739" s="29">
        <f>Absolute_Scores!I2739</f>
        <v>47</v>
      </c>
      <c r="I2739" s="30">
        <f t="shared" si="73"/>
        <v>58.75</v>
      </c>
    </row>
    <row r="2740" spans="6:9">
      <c r="F2740" s="12" t="str">
        <f>Absolute_Scores!F2740</f>
        <v>@ayu_bahari03</v>
      </c>
      <c r="G2740" s="12" t="str">
        <f>Absolute_Scores!G2740</f>
        <v>Instagram</v>
      </c>
      <c r="H2740" s="29">
        <f>Absolute_Scores!I2740</f>
        <v>47</v>
      </c>
      <c r="I2740" s="30">
        <f t="shared" si="73"/>
        <v>58.75</v>
      </c>
    </row>
    <row r="2741" spans="6:9">
      <c r="F2741" s="12" t="str">
        <f>Absolute_Scores!F2741</f>
        <v>@ayu.kartikaa</v>
      </c>
      <c r="G2741" s="12" t="str">
        <f>Absolute_Scores!G2741</f>
        <v>Instagram</v>
      </c>
      <c r="H2741" s="29">
        <f>Absolute_Scores!I2741</f>
        <v>47</v>
      </c>
      <c r="I2741" s="30">
        <f t="shared" si="73"/>
        <v>58.75</v>
      </c>
    </row>
    <row r="2742" spans="6:9">
      <c r="F2742" s="12" t="str">
        <f>Absolute_Scores!F2742</f>
        <v>@bepe20</v>
      </c>
      <c r="G2742" s="12" t="str">
        <f>Absolute_Scores!G2742</f>
        <v>Instagram</v>
      </c>
      <c r="H2742" s="29">
        <f>Absolute_Scores!I2742</f>
        <v>47</v>
      </c>
      <c r="I2742" s="30">
        <f t="shared" si="73"/>
        <v>58.75</v>
      </c>
    </row>
    <row r="2743" spans="6:9">
      <c r="F2743" s="12" t="str">
        <f>Absolute_Scores!F2743</f>
        <v>@bunda_oftwo</v>
      </c>
      <c r="G2743" s="12" t="str">
        <f>Absolute_Scores!G2743</f>
        <v>Instagram</v>
      </c>
      <c r="H2743" s="29">
        <f>Absolute_Scores!I2743</f>
        <v>47</v>
      </c>
      <c r="I2743" s="30">
        <f t="shared" si="73"/>
        <v>58.75</v>
      </c>
    </row>
    <row r="2744" spans="6:9">
      <c r="F2744" s="12" t="str">
        <f>Absolute_Scores!F2744</f>
        <v>@cb1103</v>
      </c>
      <c r="G2744" s="12" t="str">
        <f>Absolute_Scores!G2744</f>
        <v>TikTok</v>
      </c>
      <c r="H2744" s="29">
        <f>Absolute_Scores!I2744</f>
        <v>47</v>
      </c>
      <c r="I2744" s="30">
        <f t="shared" si="73"/>
        <v>58.75</v>
      </c>
    </row>
    <row r="2745" spans="6:9">
      <c r="F2745" s="12" t="str">
        <f>Absolute_Scores!F2745</f>
        <v>@choco.emong</v>
      </c>
      <c r="G2745" s="12" t="str">
        <f>Absolute_Scores!G2745</f>
        <v>Instagram</v>
      </c>
      <c r="H2745" s="29">
        <f>Absolute_Scores!I2745</f>
        <v>47</v>
      </c>
      <c r="I2745" s="30">
        <f t="shared" si="73"/>
        <v>58.75</v>
      </c>
    </row>
    <row r="2746" spans="6:9">
      <c r="F2746" s="12" t="str">
        <f>Absolute_Scores!F2746</f>
        <v>@chytraanggraeni</v>
      </c>
      <c r="G2746" s="12" t="str">
        <f>Absolute_Scores!G2746</f>
        <v>Instagram</v>
      </c>
      <c r="H2746" s="29">
        <f>Absolute_Scores!I2746</f>
        <v>47</v>
      </c>
      <c r="I2746" s="30">
        <f t="shared" si="73"/>
        <v>58.75</v>
      </c>
    </row>
    <row r="2747" spans="6:9">
      <c r="F2747" s="12" t="str">
        <f>Absolute_Scores!F2747</f>
        <v>@cidhiya</v>
      </c>
      <c r="G2747" s="12" t="str">
        <f>Absolute_Scores!G2747</f>
        <v>Instagram</v>
      </c>
      <c r="H2747" s="29">
        <f>Absolute_Scores!I2747</f>
        <v>47</v>
      </c>
      <c r="I2747" s="30">
        <f t="shared" si="73"/>
        <v>58.75</v>
      </c>
    </row>
    <row r="2748" spans="6:9">
      <c r="F2748" s="12" t="str">
        <f>Absolute_Scores!F2748</f>
        <v>@cindy_nanlohy</v>
      </c>
      <c r="G2748" s="12" t="str">
        <f>Absolute_Scores!G2748</f>
        <v>Instagram</v>
      </c>
      <c r="H2748" s="29">
        <f>Absolute_Scores!I2748</f>
        <v>47</v>
      </c>
      <c r="I2748" s="30">
        <f t="shared" si="73"/>
        <v>58.75</v>
      </c>
    </row>
    <row r="2749" spans="6:9">
      <c r="F2749" s="12" t="str">
        <f>Absolute_Scores!F2749</f>
        <v>@clay.cliff.hartono</v>
      </c>
      <c r="G2749" s="12" t="str">
        <f>Absolute_Scores!G2749</f>
        <v>Instagram</v>
      </c>
      <c r="H2749" s="29">
        <f>Absolute_Scores!I2749</f>
        <v>47</v>
      </c>
      <c r="I2749" s="30">
        <f t="shared" si="73"/>
        <v>58.75</v>
      </c>
    </row>
    <row r="2750" spans="6:9">
      <c r="F2750" s="12" t="str">
        <f>Absolute_Scores!F2750</f>
        <v>@cnycp_</v>
      </c>
      <c r="G2750" s="12" t="str">
        <f>Absolute_Scores!G2750</f>
        <v>Instagram</v>
      </c>
      <c r="H2750" s="29">
        <f>Absolute_Scores!I2750</f>
        <v>47</v>
      </c>
      <c r="I2750" s="30">
        <f t="shared" si="73"/>
        <v>58.75</v>
      </c>
    </row>
    <row r="2751" spans="6:9">
      <c r="F2751" s="12" t="str">
        <f>Absolute_Scores!F2751</f>
        <v>@conchizzlin</v>
      </c>
      <c r="G2751" s="12" t="str">
        <f>Absolute_Scores!G2751</f>
        <v>TikTok</v>
      </c>
      <c r="H2751" s="29">
        <f>Absolute_Scores!I2751</f>
        <v>47</v>
      </c>
      <c r="I2751" s="30">
        <f t="shared" si="73"/>
        <v>58.75</v>
      </c>
    </row>
    <row r="2752" spans="6:9">
      <c r="F2752" s="12" t="str">
        <f>Absolute_Scores!F2752</f>
        <v>@conytiwi</v>
      </c>
      <c r="G2752" s="12" t="str">
        <f>Absolute_Scores!G2752</f>
        <v>TikTok</v>
      </c>
      <c r="H2752" s="29">
        <f>Absolute_Scores!I2752</f>
        <v>47</v>
      </c>
      <c r="I2752" s="30">
        <f t="shared" si="73"/>
        <v>58.75</v>
      </c>
    </row>
    <row r="2753" spans="6:9">
      <c r="F2753" s="12" t="str">
        <f>Absolute_Scores!F2753</f>
        <v>@deborahani</v>
      </c>
      <c r="G2753" s="12" t="str">
        <f>Absolute_Scores!G2753</f>
        <v>Instagram</v>
      </c>
      <c r="H2753" s="29">
        <f>Absolute_Scores!I2753</f>
        <v>47</v>
      </c>
      <c r="I2753" s="30">
        <f t="shared" si="73"/>
        <v>58.75</v>
      </c>
    </row>
    <row r="2754" spans="6:9">
      <c r="F2754" s="12" t="str">
        <f>Absolute_Scores!F2754</f>
        <v>@deliciousbali</v>
      </c>
      <c r="G2754" s="12" t="str">
        <f>Absolute_Scores!G2754</f>
        <v>Instagram</v>
      </c>
      <c r="H2754" s="29">
        <f>Absolute_Scores!I2754</f>
        <v>47</v>
      </c>
      <c r="I2754" s="30">
        <f t="shared" si="73"/>
        <v>58.75</v>
      </c>
    </row>
    <row r="2755" spans="6:9">
      <c r="F2755" s="12" t="str">
        <f>Absolute_Scores!F2755</f>
        <v>@desiinata</v>
      </c>
      <c r="G2755" s="12" t="str">
        <f>Absolute_Scores!G2755</f>
        <v>Instagram</v>
      </c>
      <c r="H2755" s="29">
        <f>Absolute_Scores!I2755</f>
        <v>47</v>
      </c>
      <c r="I2755" s="30">
        <f t="shared" si="73"/>
        <v>58.75</v>
      </c>
    </row>
    <row r="2756" spans="6:9">
      <c r="F2756" s="12" t="str">
        <f>Absolute_Scores!F2756</f>
        <v>@dessiapriliya</v>
      </c>
      <c r="G2756" s="12" t="str">
        <f>Absolute_Scores!G2756</f>
        <v>Instagram</v>
      </c>
      <c r="H2756" s="29">
        <f>Absolute_Scores!I2756</f>
        <v>47</v>
      </c>
      <c r="I2756" s="30">
        <f t="shared" si="73"/>
        <v>58.75</v>
      </c>
    </row>
    <row r="2757" spans="6:9">
      <c r="F2757" s="12" t="str">
        <f>Absolute_Scores!F2757</f>
        <v>@desyaghnia</v>
      </c>
      <c r="G2757" s="12" t="str">
        <f>Absolute_Scores!G2757</f>
        <v>Instagram</v>
      </c>
      <c r="H2757" s="29">
        <f>Absolute_Scores!I2757</f>
        <v>47</v>
      </c>
      <c r="I2757" s="30">
        <f t="shared" si="73"/>
        <v>58.75</v>
      </c>
    </row>
    <row r="2758" spans="6:9">
      <c r="F2758" s="12" t="str">
        <f>Absolute_Scores!F2758</f>
        <v>@dewi.jalal</v>
      </c>
      <c r="G2758" s="12" t="str">
        <f>Absolute_Scores!G2758</f>
        <v>Instagram</v>
      </c>
      <c r="H2758" s="29">
        <f>Absolute_Scores!I2758</f>
        <v>47</v>
      </c>
      <c r="I2758" s="30">
        <f t="shared" ref="I2758:I2821" si="74">ROUND(H2758/$I$4*100,2)</f>
        <v>58.75</v>
      </c>
    </row>
    <row r="2759" spans="6:9">
      <c r="F2759" s="12" t="str">
        <f>Absolute_Scores!F2759</f>
        <v>@dinacheira</v>
      </c>
      <c r="G2759" s="12" t="str">
        <f>Absolute_Scores!G2759</f>
        <v>Instagram</v>
      </c>
      <c r="H2759" s="29">
        <f>Absolute_Scores!I2759</f>
        <v>47</v>
      </c>
      <c r="I2759" s="30">
        <f t="shared" si="74"/>
        <v>58.75</v>
      </c>
    </row>
    <row r="2760" spans="6:9">
      <c r="F2760" s="12" t="str">
        <f>Absolute_Scores!F2760</f>
        <v>@dinshabina</v>
      </c>
      <c r="G2760" s="12" t="str">
        <f>Absolute_Scores!G2760</f>
        <v>Instagram</v>
      </c>
      <c r="H2760" s="29">
        <f>Absolute_Scores!I2760</f>
        <v>47</v>
      </c>
      <c r="I2760" s="30">
        <f t="shared" si="74"/>
        <v>58.75</v>
      </c>
    </row>
    <row r="2761" spans="6:9">
      <c r="F2761" s="12" t="str">
        <f>Absolute_Scores!F2761</f>
        <v>@doktermedok</v>
      </c>
      <c r="G2761" s="12" t="str">
        <f>Absolute_Scores!G2761</f>
        <v>Instagram</v>
      </c>
      <c r="H2761" s="29">
        <f>Absolute_Scores!I2761</f>
        <v>47</v>
      </c>
      <c r="I2761" s="30">
        <f t="shared" si="74"/>
        <v>58.75</v>
      </c>
    </row>
    <row r="2762" spans="6:9">
      <c r="F2762" s="12" t="str">
        <f>Absolute_Scores!F2762</f>
        <v>@dwisar17</v>
      </c>
      <c r="G2762" s="12" t="str">
        <f>Absolute_Scores!G2762</f>
        <v>Instagram</v>
      </c>
      <c r="H2762" s="29">
        <f>Absolute_Scores!I2762</f>
        <v>47</v>
      </c>
      <c r="I2762" s="30">
        <f t="shared" si="74"/>
        <v>58.75</v>
      </c>
    </row>
    <row r="2763" spans="6:9">
      <c r="F2763" s="12" t="str">
        <f>Absolute_Scores!F2763</f>
        <v>@ekshanti_oktavia</v>
      </c>
      <c r="G2763" s="12" t="str">
        <f>Absolute_Scores!G2763</f>
        <v>Instagram</v>
      </c>
      <c r="H2763" s="29">
        <f>Absolute_Scores!I2763</f>
        <v>47</v>
      </c>
      <c r="I2763" s="30">
        <f t="shared" si="74"/>
        <v>58.75</v>
      </c>
    </row>
    <row r="2764" spans="6:9">
      <c r="F2764" s="12" t="str">
        <f>Absolute_Scores!F2764</f>
        <v>@elissuciati99</v>
      </c>
      <c r="G2764" s="12" t="str">
        <f>Absolute_Scores!G2764</f>
        <v>TikTok</v>
      </c>
      <c r="H2764" s="29">
        <f>Absolute_Scores!I2764</f>
        <v>47</v>
      </c>
      <c r="I2764" s="30">
        <f t="shared" si="74"/>
        <v>58.75</v>
      </c>
    </row>
    <row r="2765" spans="6:9">
      <c r="F2765" s="12" t="str">
        <f>Absolute_Scores!F2765</f>
        <v>@enyablanco</v>
      </c>
      <c r="G2765" s="12" t="str">
        <f>Absolute_Scores!G2765</f>
        <v>Instagram</v>
      </c>
      <c r="H2765" s="29">
        <f>Absolute_Scores!I2765</f>
        <v>47</v>
      </c>
      <c r="I2765" s="30">
        <f t="shared" si="74"/>
        <v>58.75</v>
      </c>
    </row>
    <row r="2766" spans="6:9">
      <c r="F2766" s="12" t="str">
        <f>Absolute_Scores!F2766</f>
        <v>@eunike_tn</v>
      </c>
      <c r="G2766" s="12" t="str">
        <f>Absolute_Scores!G2766</f>
        <v>Instagram</v>
      </c>
      <c r="H2766" s="29">
        <f>Absolute_Scores!I2766</f>
        <v>47</v>
      </c>
      <c r="I2766" s="30">
        <f t="shared" si="74"/>
        <v>58.75</v>
      </c>
    </row>
    <row r="2767" spans="6:9">
      <c r="F2767" s="12" t="str">
        <f>Absolute_Scores!F2767</f>
        <v>@farasyafara</v>
      </c>
      <c r="G2767" s="12" t="str">
        <f>Absolute_Scores!G2767</f>
        <v>Instagram</v>
      </c>
      <c r="H2767" s="29">
        <f>Absolute_Scores!I2767</f>
        <v>47</v>
      </c>
      <c r="I2767" s="30">
        <f t="shared" si="74"/>
        <v>58.75</v>
      </c>
    </row>
    <row r="2768" spans="6:9">
      <c r="F2768" s="12" t="str">
        <f>Absolute_Scores!F2768</f>
        <v>@farislovitasari2</v>
      </c>
      <c r="G2768" s="12" t="str">
        <f>Absolute_Scores!G2768</f>
        <v>TikTok</v>
      </c>
      <c r="H2768" s="29">
        <f>Absolute_Scores!I2768</f>
        <v>47</v>
      </c>
      <c r="I2768" s="30">
        <f t="shared" si="74"/>
        <v>58.75</v>
      </c>
    </row>
    <row r="2769" spans="6:9">
      <c r="F2769" s="12" t="str">
        <f>Absolute_Scores!F2769</f>
        <v>@fdlatri</v>
      </c>
      <c r="G2769" s="12" t="str">
        <f>Absolute_Scores!G2769</f>
        <v>Instagram</v>
      </c>
      <c r="H2769" s="29">
        <f>Absolute_Scores!I2769</f>
        <v>47</v>
      </c>
      <c r="I2769" s="30">
        <f t="shared" si="74"/>
        <v>58.75</v>
      </c>
    </row>
    <row r="2770" spans="6:9">
      <c r="F2770" s="12" t="str">
        <f>Absolute_Scores!F2770</f>
        <v>@fendystella</v>
      </c>
      <c r="G2770" s="12" t="str">
        <f>Absolute_Scores!G2770</f>
        <v>TikTok</v>
      </c>
      <c r="H2770" s="29">
        <f>Absolute_Scores!I2770</f>
        <v>47</v>
      </c>
      <c r="I2770" s="30">
        <f t="shared" si="74"/>
        <v>58.75</v>
      </c>
    </row>
    <row r="2771" spans="6:9">
      <c r="F2771" s="12" t="str">
        <f>Absolute_Scores!F2771</f>
        <v>@fhaaifanm</v>
      </c>
      <c r="G2771" s="12" t="str">
        <f>Absolute_Scores!G2771</f>
        <v>Instagram</v>
      </c>
      <c r="H2771" s="29">
        <f>Absolute_Scores!I2771</f>
        <v>47</v>
      </c>
      <c r="I2771" s="30">
        <f t="shared" si="74"/>
        <v>58.75</v>
      </c>
    </row>
    <row r="2772" spans="6:9">
      <c r="F2772" s="12" t="str">
        <f>Absolute_Scores!F2772</f>
        <v>@firna.alisha</v>
      </c>
      <c r="G2772" s="12" t="str">
        <f>Absolute_Scores!G2772</f>
        <v>Instagram</v>
      </c>
      <c r="H2772" s="29">
        <f>Absolute_Scores!I2772</f>
        <v>47</v>
      </c>
      <c r="I2772" s="30">
        <f t="shared" si="74"/>
        <v>58.75</v>
      </c>
    </row>
    <row r="2773" spans="6:9">
      <c r="F2773" s="12" t="str">
        <f>Absolute_Scores!F2773</f>
        <v>@ghinalwi</v>
      </c>
      <c r="G2773" s="12" t="str">
        <f>Absolute_Scores!G2773</f>
        <v>TikTok</v>
      </c>
      <c r="H2773" s="29">
        <f>Absolute_Scores!I2773</f>
        <v>47</v>
      </c>
      <c r="I2773" s="30">
        <f t="shared" si="74"/>
        <v>58.75</v>
      </c>
    </row>
    <row r="2774" spans="6:9">
      <c r="F2774" s="12" t="str">
        <f>Absolute_Scores!F2774</f>
        <v>@goodboiitae</v>
      </c>
      <c r="G2774" s="12" t="str">
        <f>Absolute_Scores!G2774</f>
        <v>Instagram</v>
      </c>
      <c r="H2774" s="29">
        <f>Absolute_Scores!I2774</f>
        <v>47</v>
      </c>
      <c r="I2774" s="30">
        <f t="shared" si="74"/>
        <v>58.75</v>
      </c>
    </row>
    <row r="2775" spans="6:9">
      <c r="F2775" s="12" t="str">
        <f>Absolute_Scores!F2775</f>
        <v>@hendyvijaya</v>
      </c>
      <c r="G2775" s="12" t="str">
        <f>Absolute_Scores!G2775</f>
        <v>Instagram</v>
      </c>
      <c r="H2775" s="29">
        <f>Absolute_Scores!I2775</f>
        <v>47</v>
      </c>
      <c r="I2775" s="30">
        <f t="shared" si="74"/>
        <v>58.75</v>
      </c>
    </row>
    <row r="2776" spans="6:9">
      <c r="F2776" s="12" t="str">
        <f>Absolute_Scores!F2776</f>
        <v>@heyciaa</v>
      </c>
      <c r="G2776" s="12" t="str">
        <f>Absolute_Scores!G2776</f>
        <v>Instagram</v>
      </c>
      <c r="H2776" s="29">
        <f>Absolute_Scores!I2776</f>
        <v>47</v>
      </c>
      <c r="I2776" s="30">
        <f t="shared" si="74"/>
        <v>58.75</v>
      </c>
    </row>
    <row r="2777" spans="6:9">
      <c r="F2777" s="12" t="str">
        <f>Absolute_Scores!F2777</f>
        <v>@hizkiadelano</v>
      </c>
      <c r="G2777" s="12" t="str">
        <f>Absolute_Scores!G2777</f>
        <v>Instagram</v>
      </c>
      <c r="H2777" s="29">
        <f>Absolute_Scores!I2777</f>
        <v>47</v>
      </c>
      <c r="I2777" s="30">
        <f t="shared" si="74"/>
        <v>58.75</v>
      </c>
    </row>
    <row r="2778" spans="6:9">
      <c r="F2778" s="12" t="str">
        <f>Absolute_Scores!F2778</f>
        <v>@ibas404</v>
      </c>
      <c r="G2778" s="12" t="str">
        <f>Absolute_Scores!G2778</f>
        <v>Instagram</v>
      </c>
      <c r="H2778" s="29">
        <f>Absolute_Scores!I2778</f>
        <v>47</v>
      </c>
      <c r="I2778" s="30">
        <f t="shared" si="74"/>
        <v>58.75</v>
      </c>
    </row>
    <row r="2779" spans="6:9">
      <c r="F2779" s="12" t="str">
        <f>Absolute_Scores!F2779</f>
        <v>@indrowarkop_asli</v>
      </c>
      <c r="G2779" s="12" t="str">
        <f>Absolute_Scores!G2779</f>
        <v>Instagram</v>
      </c>
      <c r="H2779" s="29">
        <f>Absolute_Scores!I2779</f>
        <v>47</v>
      </c>
      <c r="I2779" s="30">
        <f t="shared" si="74"/>
        <v>58.75</v>
      </c>
    </row>
    <row r="2780" spans="6:9">
      <c r="F2780" s="12" t="str">
        <f>Absolute_Scores!F2780</f>
        <v>@inkaayusaskia</v>
      </c>
      <c r="G2780" s="12" t="str">
        <f>Absolute_Scores!G2780</f>
        <v>TikTok</v>
      </c>
      <c r="H2780" s="29">
        <f>Absolute_Scores!I2780</f>
        <v>47</v>
      </c>
      <c r="I2780" s="30">
        <f t="shared" si="74"/>
        <v>58.75</v>
      </c>
    </row>
    <row r="2781" spans="6:9">
      <c r="F2781" s="12" t="str">
        <f>Absolute_Scores!F2781</f>
        <v>@inne93</v>
      </c>
      <c r="G2781" s="12" t="str">
        <f>Absolute_Scores!G2781</f>
        <v>Instagram</v>
      </c>
      <c r="H2781" s="29">
        <f>Absolute_Scores!I2781</f>
        <v>47</v>
      </c>
      <c r="I2781" s="30">
        <f t="shared" si="74"/>
        <v>58.75</v>
      </c>
    </row>
    <row r="2782" spans="6:9">
      <c r="F2782" s="12" t="str">
        <f>Absolute_Scores!F2782</f>
        <v>@instagram</v>
      </c>
      <c r="G2782" s="12" t="str">
        <f>Absolute_Scores!G2782</f>
        <v>Instagram</v>
      </c>
      <c r="H2782" s="29">
        <f>Absolute_Scores!I2782</f>
        <v>47</v>
      </c>
      <c r="I2782" s="30">
        <f t="shared" si="74"/>
        <v>58.75</v>
      </c>
    </row>
    <row r="2783" spans="6:9">
      <c r="F2783" s="12" t="str">
        <f>Absolute_Scores!F2783</f>
        <v>@jennifervidya</v>
      </c>
      <c r="G2783" s="12" t="str">
        <f>Absolute_Scores!G2783</f>
        <v>TikTok</v>
      </c>
      <c r="H2783" s="29">
        <f>Absolute_Scores!I2783</f>
        <v>47</v>
      </c>
      <c r="I2783" s="30">
        <f t="shared" si="74"/>
        <v>58.75</v>
      </c>
    </row>
    <row r="2784" spans="6:9">
      <c r="F2784" s="12" t="str">
        <f>Absolute_Scores!F2784</f>
        <v>@jonathan_abe</v>
      </c>
      <c r="G2784" s="12" t="str">
        <f>Absolute_Scores!G2784</f>
        <v>Instagram</v>
      </c>
      <c r="H2784" s="29">
        <f>Absolute_Scores!I2784</f>
        <v>47</v>
      </c>
      <c r="I2784" s="30">
        <f t="shared" si="74"/>
        <v>58.75</v>
      </c>
    </row>
    <row r="2785" spans="6:9">
      <c r="F2785" s="12" t="str">
        <f>Absolute_Scores!F2785</f>
        <v>@kaekariany</v>
      </c>
      <c r="G2785" s="12" t="str">
        <f>Absolute_Scores!G2785</f>
        <v>Instagram</v>
      </c>
      <c r="H2785" s="29">
        <f>Absolute_Scores!I2785</f>
        <v>47</v>
      </c>
      <c r="I2785" s="30">
        <f t="shared" si="74"/>
        <v>58.75</v>
      </c>
    </row>
    <row r="2786" spans="6:9">
      <c r="F2786" s="12" t="str">
        <f>Absolute_Scores!F2786</f>
        <v>@kakasfitri</v>
      </c>
      <c r="G2786" s="12" t="str">
        <f>Absolute_Scores!G2786</f>
        <v>TikTok</v>
      </c>
      <c r="H2786" s="29">
        <f>Absolute_Scores!I2786</f>
        <v>47</v>
      </c>
      <c r="I2786" s="30">
        <f t="shared" si="74"/>
        <v>58.75</v>
      </c>
    </row>
    <row r="2787" spans="6:9">
      <c r="F2787" s="12" t="str">
        <f>Absolute_Scores!F2787</f>
        <v>@lafadyasteele</v>
      </c>
      <c r="G2787" s="12" t="str">
        <f>Absolute_Scores!G2787</f>
        <v>Instagram</v>
      </c>
      <c r="H2787" s="29">
        <f>Absolute_Scores!I2787</f>
        <v>47</v>
      </c>
      <c r="I2787" s="30">
        <f t="shared" si="74"/>
        <v>58.75</v>
      </c>
    </row>
    <row r="2788" spans="6:9">
      <c r="F2788" s="12" t="str">
        <f>Absolute_Scores!F2788</f>
        <v>@leavlo</v>
      </c>
      <c r="G2788" s="12" t="str">
        <f>Absolute_Scores!G2788</f>
        <v>Instagram</v>
      </c>
      <c r="H2788" s="29">
        <f>Absolute_Scores!I2788</f>
        <v>47</v>
      </c>
      <c r="I2788" s="30">
        <f t="shared" si="74"/>
        <v>58.75</v>
      </c>
    </row>
    <row r="2789" spans="6:9">
      <c r="F2789" s="12" t="str">
        <f>Absolute_Scores!F2789</f>
        <v>@lee.bella999</v>
      </c>
      <c r="G2789" s="12" t="str">
        <f>Absolute_Scores!G2789</f>
        <v>Instagram</v>
      </c>
      <c r="H2789" s="29">
        <f>Absolute_Scores!I2789</f>
        <v>47</v>
      </c>
      <c r="I2789" s="30">
        <f t="shared" si="74"/>
        <v>58.75</v>
      </c>
    </row>
    <row r="2790" spans="6:9">
      <c r="F2790" s="12" t="str">
        <f>Absolute_Scores!F2790</f>
        <v>@lelyramdhani.skincare</v>
      </c>
      <c r="G2790" s="12" t="str">
        <f>Absolute_Scores!G2790</f>
        <v>Instagram</v>
      </c>
      <c r="H2790" s="29">
        <f>Absolute_Scores!I2790</f>
        <v>47</v>
      </c>
      <c r="I2790" s="30">
        <f t="shared" si="74"/>
        <v>58.75</v>
      </c>
    </row>
    <row r="2791" spans="6:9">
      <c r="F2791" s="12" t="str">
        <f>Absolute_Scores!F2791</f>
        <v>@lisaristya88</v>
      </c>
      <c r="G2791" s="12" t="str">
        <f>Absolute_Scores!G2791</f>
        <v>Instagram</v>
      </c>
      <c r="H2791" s="29">
        <f>Absolute_Scores!I2791</f>
        <v>47</v>
      </c>
      <c r="I2791" s="30">
        <f t="shared" si="74"/>
        <v>58.75</v>
      </c>
    </row>
    <row r="2792" spans="6:9">
      <c r="F2792" s="12" t="str">
        <f>Absolute_Scores!F2792</f>
        <v>@lulurahmalinaa_</v>
      </c>
      <c r="G2792" s="12" t="str">
        <f>Absolute_Scores!G2792</f>
        <v>Instagram</v>
      </c>
      <c r="H2792" s="29">
        <f>Absolute_Scores!I2792</f>
        <v>47</v>
      </c>
      <c r="I2792" s="30">
        <f t="shared" si="74"/>
        <v>58.75</v>
      </c>
    </row>
    <row r="2793" spans="6:9">
      <c r="F2793" s="12" t="str">
        <f>Absolute_Scores!F2793</f>
        <v>@maggiekholine</v>
      </c>
      <c r="G2793" s="12" t="str">
        <f>Absolute_Scores!G2793</f>
        <v>Instagram</v>
      </c>
      <c r="H2793" s="29">
        <f>Absolute_Scores!I2793</f>
        <v>47</v>
      </c>
      <c r="I2793" s="30">
        <f t="shared" si="74"/>
        <v>58.75</v>
      </c>
    </row>
    <row r="2794" spans="6:9">
      <c r="F2794" s="12" t="str">
        <f>Absolute_Scores!F2794</f>
        <v>@maharani_97</v>
      </c>
      <c r="G2794" s="12" t="str">
        <f>Absolute_Scores!G2794</f>
        <v>TikTok</v>
      </c>
      <c r="H2794" s="29">
        <f>Absolute_Scores!I2794</f>
        <v>47</v>
      </c>
      <c r="I2794" s="30">
        <f t="shared" si="74"/>
        <v>58.75</v>
      </c>
    </row>
    <row r="2795" spans="6:9">
      <c r="F2795" s="12" t="str">
        <f>Absolute_Scores!F2795</f>
        <v>@mahdiyasirfan</v>
      </c>
      <c r="G2795" s="12" t="str">
        <f>Absolute_Scores!G2795</f>
        <v>Instagram</v>
      </c>
      <c r="H2795" s="29">
        <f>Absolute_Scores!I2795</f>
        <v>47</v>
      </c>
      <c r="I2795" s="30">
        <f t="shared" si="74"/>
        <v>58.75</v>
      </c>
    </row>
    <row r="2796" spans="6:9">
      <c r="F2796" s="12" t="str">
        <f>Absolute_Scores!F2796</f>
        <v>@mahirakanis</v>
      </c>
      <c r="G2796" s="12" t="str">
        <f>Absolute_Scores!G2796</f>
        <v>Instagram</v>
      </c>
      <c r="H2796" s="29">
        <f>Absolute_Scores!I2796</f>
        <v>47</v>
      </c>
      <c r="I2796" s="30">
        <f t="shared" si="74"/>
        <v>58.75</v>
      </c>
    </row>
    <row r="2797" spans="6:9">
      <c r="F2797" s="12" t="str">
        <f>Absolute_Scores!F2797</f>
        <v>@marhezaayu</v>
      </c>
      <c r="G2797" s="12" t="str">
        <f>Absolute_Scores!G2797</f>
        <v>Instagram</v>
      </c>
      <c r="H2797" s="29">
        <f>Absolute_Scores!I2797</f>
        <v>47</v>
      </c>
      <c r="I2797" s="30">
        <f t="shared" si="74"/>
        <v>58.75</v>
      </c>
    </row>
    <row r="2798" spans="6:9">
      <c r="F2798" s="12" t="str">
        <f>Absolute_Scores!F2798</f>
        <v>@marianesia</v>
      </c>
      <c r="G2798" s="12" t="str">
        <f>Absolute_Scores!G2798</f>
        <v>Instagram</v>
      </c>
      <c r="H2798" s="29">
        <f>Absolute_Scores!I2798</f>
        <v>47</v>
      </c>
      <c r="I2798" s="30">
        <f t="shared" si="74"/>
        <v>58.75</v>
      </c>
    </row>
    <row r="2799" spans="6:9">
      <c r="F2799" s="12" t="str">
        <f>Absolute_Scores!F2799</f>
        <v>@marvelinegrace</v>
      </c>
      <c r="G2799" s="12" t="str">
        <f>Absolute_Scores!G2799</f>
        <v>Instagram</v>
      </c>
      <c r="H2799" s="29">
        <f>Absolute_Scores!I2799</f>
        <v>47</v>
      </c>
      <c r="I2799" s="30">
        <f t="shared" si="74"/>
        <v>58.75</v>
      </c>
    </row>
    <row r="2800" spans="6:9">
      <c r="F2800" s="12" t="str">
        <f>Absolute_Scores!F2800</f>
        <v>@maudimo</v>
      </c>
      <c r="G2800" s="12" t="str">
        <f>Absolute_Scores!G2800</f>
        <v>Instagram</v>
      </c>
      <c r="H2800" s="29">
        <f>Absolute_Scores!I2800</f>
        <v>47</v>
      </c>
      <c r="I2800" s="30">
        <f t="shared" si="74"/>
        <v>58.75</v>
      </c>
    </row>
    <row r="2801" spans="6:9">
      <c r="F2801" s="12" t="str">
        <f>Absolute_Scores!F2801</f>
        <v>@maulanahasyim_</v>
      </c>
      <c r="G2801" s="12" t="str">
        <f>Absolute_Scores!G2801</f>
        <v>Instagram</v>
      </c>
      <c r="H2801" s="29">
        <f>Absolute_Scores!I2801</f>
        <v>47</v>
      </c>
      <c r="I2801" s="30">
        <f t="shared" si="74"/>
        <v>58.75</v>
      </c>
    </row>
    <row r="2802" spans="6:9">
      <c r="F2802" s="12" t="str">
        <f>Absolute_Scores!F2802</f>
        <v>@metaiskandar</v>
      </c>
      <c r="G2802" s="12" t="str">
        <f>Absolute_Scores!G2802</f>
        <v>Instagram</v>
      </c>
      <c r="H2802" s="29">
        <f>Absolute_Scores!I2802</f>
        <v>47</v>
      </c>
      <c r="I2802" s="30">
        <f t="shared" si="74"/>
        <v>58.75</v>
      </c>
    </row>
    <row r="2803" spans="6:9">
      <c r="F2803" s="12" t="str">
        <f>Absolute_Scores!F2803</f>
        <v>@mettykurniadewi_</v>
      </c>
      <c r="G2803" s="12" t="str">
        <f>Absolute_Scores!G2803</f>
        <v>TikTok</v>
      </c>
      <c r="H2803" s="29">
        <f>Absolute_Scores!I2803</f>
        <v>47</v>
      </c>
      <c r="I2803" s="30">
        <f t="shared" si="74"/>
        <v>58.75</v>
      </c>
    </row>
    <row r="2804" spans="6:9">
      <c r="F2804" s="12" t="str">
        <f>Absolute_Scores!F2804</f>
        <v>@michavier_instag</v>
      </c>
      <c r="G2804" s="12" t="str">
        <f>Absolute_Scores!G2804</f>
        <v>Instagram</v>
      </c>
      <c r="H2804" s="29">
        <f>Absolute_Scores!I2804</f>
        <v>47</v>
      </c>
      <c r="I2804" s="30">
        <f t="shared" si="74"/>
        <v>58.75</v>
      </c>
    </row>
    <row r="2805" spans="6:9">
      <c r="F2805" s="12" t="str">
        <f>Absolute_Scores!F2805</f>
        <v>@milamiza00</v>
      </c>
      <c r="G2805" s="12" t="str">
        <f>Absolute_Scores!G2805</f>
        <v>TikTok</v>
      </c>
      <c r="H2805" s="29">
        <f>Absolute_Scores!I2805</f>
        <v>47</v>
      </c>
      <c r="I2805" s="30">
        <f t="shared" si="74"/>
        <v>58.75</v>
      </c>
    </row>
    <row r="2806" spans="6:9">
      <c r="F2806" s="12" t="str">
        <f>Absolute_Scores!F2806</f>
        <v>@mitareny</v>
      </c>
      <c r="G2806" s="12" t="str">
        <f>Absolute_Scores!G2806</f>
        <v>Instagram</v>
      </c>
      <c r="H2806" s="29">
        <f>Absolute_Scores!I2806</f>
        <v>47</v>
      </c>
      <c r="I2806" s="30">
        <f t="shared" si="74"/>
        <v>58.75</v>
      </c>
    </row>
    <row r="2807" spans="6:9">
      <c r="F2807" s="12" t="str">
        <f>Absolute_Scores!F2807</f>
        <v>@mutiarasanova</v>
      </c>
      <c r="G2807" s="12" t="str">
        <f>Absolute_Scores!G2807</f>
        <v>Instagram</v>
      </c>
      <c r="H2807" s="29">
        <f>Absolute_Scores!I2807</f>
        <v>47</v>
      </c>
      <c r="I2807" s="30">
        <f t="shared" si="74"/>
        <v>58.75</v>
      </c>
    </row>
    <row r="2808" spans="6:9">
      <c r="F2808" s="12" t="str">
        <f>Absolute_Scores!F2808</f>
        <v>@mutiatreza</v>
      </c>
      <c r="G2808" s="12" t="str">
        <f>Absolute_Scores!G2808</f>
        <v>Instagram</v>
      </c>
      <c r="H2808" s="29">
        <f>Absolute_Scores!I2808</f>
        <v>47</v>
      </c>
      <c r="I2808" s="30">
        <f t="shared" si="74"/>
        <v>58.75</v>
      </c>
    </row>
    <row r="2809" spans="6:9">
      <c r="F2809" s="12" t="str">
        <f>Absolute_Scores!F2809</f>
        <v>@nabibil.a</v>
      </c>
      <c r="G2809" s="12" t="str">
        <f>Absolute_Scores!G2809</f>
        <v>Instagram</v>
      </c>
      <c r="H2809" s="29">
        <f>Absolute_Scores!I2809</f>
        <v>47</v>
      </c>
      <c r="I2809" s="30">
        <f t="shared" si="74"/>
        <v>58.75</v>
      </c>
    </row>
    <row r="2810" spans="6:9">
      <c r="F2810" s="12" t="str">
        <f>Absolute_Scores!F2810</f>
        <v>@nabilaaprln</v>
      </c>
      <c r="G2810" s="12" t="str">
        <f>Absolute_Scores!G2810</f>
        <v>Instagram</v>
      </c>
      <c r="H2810" s="29">
        <f>Absolute_Scores!I2810</f>
        <v>47</v>
      </c>
      <c r="I2810" s="30">
        <f t="shared" si="74"/>
        <v>58.75</v>
      </c>
    </row>
    <row r="2811" spans="6:9">
      <c r="F2811" s="12" t="str">
        <f>Absolute_Scores!F2811</f>
        <v>@nanidiansofiana</v>
      </c>
      <c r="G2811" s="12" t="str">
        <f>Absolute_Scores!G2811</f>
        <v>Instagram</v>
      </c>
      <c r="H2811" s="29">
        <f>Absolute_Scores!I2811</f>
        <v>47</v>
      </c>
      <c r="I2811" s="30">
        <f t="shared" si="74"/>
        <v>58.75</v>
      </c>
    </row>
    <row r="2812" spans="6:9">
      <c r="F2812" s="12" t="str">
        <f>Absolute_Scores!F2812</f>
        <v>@nazla_hani</v>
      </c>
      <c r="G2812" s="12" t="str">
        <f>Absolute_Scores!G2812</f>
        <v>Instagram</v>
      </c>
      <c r="H2812" s="29">
        <f>Absolute_Scores!I2812</f>
        <v>47</v>
      </c>
      <c r="I2812" s="30">
        <f t="shared" si="74"/>
        <v>58.75</v>
      </c>
    </row>
    <row r="2813" spans="6:9">
      <c r="F2813" s="12" t="str">
        <f>Absolute_Scores!F2813</f>
        <v>@neexchy</v>
      </c>
      <c r="G2813" s="12" t="str">
        <f>Absolute_Scores!G2813</f>
        <v>Instagram</v>
      </c>
      <c r="H2813" s="29">
        <f>Absolute_Scores!I2813</f>
        <v>47</v>
      </c>
      <c r="I2813" s="30">
        <f t="shared" si="74"/>
        <v>58.75</v>
      </c>
    </row>
    <row r="2814" spans="6:9">
      <c r="F2814" s="12" t="str">
        <f>Absolute_Scores!F2814</f>
        <v>@nengsepty_</v>
      </c>
      <c r="G2814" s="12" t="str">
        <f>Absolute_Scores!G2814</f>
        <v>Instagram</v>
      </c>
      <c r="H2814" s="29">
        <f>Absolute_Scores!I2814</f>
        <v>47</v>
      </c>
      <c r="I2814" s="30">
        <f t="shared" si="74"/>
        <v>58.75</v>
      </c>
    </row>
    <row r="2815" spans="6:9">
      <c r="F2815" s="12" t="str">
        <f>Absolute_Scores!F2815</f>
        <v>@ns.hafidz</v>
      </c>
      <c r="G2815" s="12" t="str">
        <f>Absolute_Scores!G2815</f>
        <v>Instagram</v>
      </c>
      <c r="H2815" s="29">
        <f>Absolute_Scores!I2815</f>
        <v>47</v>
      </c>
      <c r="I2815" s="30">
        <f t="shared" si="74"/>
        <v>58.75</v>
      </c>
    </row>
    <row r="2816" spans="6:9">
      <c r="F2816" s="12" t="str">
        <f>Absolute_Scores!F2816</f>
        <v>@nyuzhella_mahasetia</v>
      </c>
      <c r="G2816" s="12" t="str">
        <f>Absolute_Scores!G2816</f>
        <v>Instagram</v>
      </c>
      <c r="H2816" s="29">
        <f>Absolute_Scores!I2816</f>
        <v>47</v>
      </c>
      <c r="I2816" s="30">
        <f t="shared" si="74"/>
        <v>58.75</v>
      </c>
    </row>
    <row r="2817" spans="6:9">
      <c r="F2817" s="12" t="str">
        <f>Absolute_Scores!F2817</f>
        <v>@oceanaskygumilar</v>
      </c>
      <c r="G2817" s="12" t="str">
        <f>Absolute_Scores!G2817</f>
        <v>Instagram</v>
      </c>
      <c r="H2817" s="29">
        <f>Absolute_Scores!I2817</f>
        <v>47</v>
      </c>
      <c r="I2817" s="30">
        <f t="shared" si="74"/>
        <v>58.75</v>
      </c>
    </row>
    <row r="2818" spans="6:9">
      <c r="F2818" s="12" t="str">
        <f>Absolute_Scores!F2818</f>
        <v>@priscillamery</v>
      </c>
      <c r="G2818" s="12" t="str">
        <f>Absolute_Scores!G2818</f>
        <v>Instagram</v>
      </c>
      <c r="H2818" s="29">
        <f>Absolute_Scores!I2818</f>
        <v>47</v>
      </c>
      <c r="I2818" s="30">
        <f t="shared" si="74"/>
        <v>58.75</v>
      </c>
    </row>
    <row r="2819" spans="6:9">
      <c r="F2819" s="12" t="str">
        <f>Absolute_Scores!F2819</f>
        <v>@priscillamery13</v>
      </c>
      <c r="G2819" s="12" t="str">
        <f>Absolute_Scores!G2819</f>
        <v>TikTok</v>
      </c>
      <c r="H2819" s="29">
        <f>Absolute_Scores!I2819</f>
        <v>47</v>
      </c>
      <c r="I2819" s="30">
        <f t="shared" si="74"/>
        <v>58.75</v>
      </c>
    </row>
    <row r="2820" spans="6:9">
      <c r="F2820" s="12" t="str">
        <f>Absolute_Scores!F2820</f>
        <v>@pujihidayatimahendra</v>
      </c>
      <c r="G2820" s="12" t="str">
        <f>Absolute_Scores!G2820</f>
        <v>TikTok</v>
      </c>
      <c r="H2820" s="29">
        <f>Absolute_Scores!I2820</f>
        <v>47</v>
      </c>
      <c r="I2820" s="30">
        <f t="shared" si="74"/>
        <v>58.75</v>
      </c>
    </row>
    <row r="2821" spans="6:9">
      <c r="F2821" s="12" t="str">
        <f>Absolute_Scores!F2821</f>
        <v>@puputdewiasiah17</v>
      </c>
      <c r="G2821" s="12" t="str">
        <f>Absolute_Scores!G2821</f>
        <v>Instagram</v>
      </c>
      <c r="H2821" s="29">
        <f>Absolute_Scores!I2821</f>
        <v>47</v>
      </c>
      <c r="I2821" s="30">
        <f t="shared" si="74"/>
        <v>58.75</v>
      </c>
    </row>
    <row r="2822" spans="6:9">
      <c r="F2822" s="12" t="str">
        <f>Absolute_Scores!F2822</f>
        <v>@puputlestari</v>
      </c>
      <c r="G2822" s="12" t="str">
        <f>Absolute_Scores!G2822</f>
        <v>Instagram</v>
      </c>
      <c r="H2822" s="29">
        <f>Absolute_Scores!I2822</f>
        <v>47</v>
      </c>
      <c r="I2822" s="30">
        <f t="shared" ref="I2822:I2885" si="75">ROUND(H2822/$I$4*100,2)</f>
        <v>58.75</v>
      </c>
    </row>
    <row r="2823" spans="6:9">
      <c r="F2823" s="12" t="str">
        <f>Absolute_Scores!F2823</f>
        <v>@putriemje</v>
      </c>
      <c r="G2823" s="12" t="str">
        <f>Absolute_Scores!G2823</f>
        <v>Instagram</v>
      </c>
      <c r="H2823" s="29">
        <f>Absolute_Scores!I2823</f>
        <v>47</v>
      </c>
      <c r="I2823" s="30">
        <f t="shared" si="75"/>
        <v>58.75</v>
      </c>
    </row>
    <row r="2824" spans="6:9">
      <c r="F2824" s="12" t="str">
        <f>Absolute_Scores!F2824</f>
        <v>@putrikurniads_</v>
      </c>
      <c r="G2824" s="12" t="str">
        <f>Absolute_Scores!G2824</f>
        <v>Instagram</v>
      </c>
      <c r="H2824" s="29">
        <f>Absolute_Scores!I2824</f>
        <v>47</v>
      </c>
      <c r="I2824" s="30">
        <f t="shared" si="75"/>
        <v>58.75</v>
      </c>
    </row>
    <row r="2825" spans="6:9">
      <c r="F2825" s="12" t="str">
        <f>Absolute_Scores!F2825</f>
        <v>@pwgofficial</v>
      </c>
      <c r="G2825" s="12" t="str">
        <f>Absolute_Scores!G2825</f>
        <v>Instagram</v>
      </c>
      <c r="H2825" s="29">
        <f>Absolute_Scores!I2825</f>
        <v>47</v>
      </c>
      <c r="I2825" s="30">
        <f t="shared" si="75"/>
        <v>58.75</v>
      </c>
    </row>
    <row r="2826" spans="6:9">
      <c r="F2826" s="12" t="str">
        <f>Absolute_Scores!F2826</f>
        <v>@qianzikayla</v>
      </c>
      <c r="G2826" s="12" t="str">
        <f>Absolute_Scores!G2826</f>
        <v>Instagram</v>
      </c>
      <c r="H2826" s="29">
        <f>Absolute_Scores!I2826</f>
        <v>47</v>
      </c>
      <c r="I2826" s="30">
        <f t="shared" si="75"/>
        <v>58.75</v>
      </c>
    </row>
    <row r="2827" spans="6:9">
      <c r="F2827" s="12" t="str">
        <f>Absolute_Scores!F2827</f>
        <v>@ratnatita5</v>
      </c>
      <c r="G2827" s="12" t="str">
        <f>Absolute_Scores!G2827</f>
        <v>TikTok</v>
      </c>
      <c r="H2827" s="29">
        <f>Absolute_Scores!I2827</f>
        <v>47</v>
      </c>
      <c r="I2827" s="30">
        <f t="shared" si="75"/>
        <v>58.75</v>
      </c>
    </row>
    <row r="2828" spans="6:9">
      <c r="F2828" s="12" t="str">
        <f>Absolute_Scores!F2828</f>
        <v>@reinhard.h.s</v>
      </c>
      <c r="G2828" s="12" t="str">
        <f>Absolute_Scores!G2828</f>
        <v>Instagram</v>
      </c>
      <c r="H2828" s="29">
        <f>Absolute_Scores!I2828</f>
        <v>47</v>
      </c>
      <c r="I2828" s="30">
        <f t="shared" si="75"/>
        <v>58.75</v>
      </c>
    </row>
    <row r="2829" spans="6:9">
      <c r="F2829" s="12" t="str">
        <f>Absolute_Scores!F2829</f>
        <v>@rerein.family</v>
      </c>
      <c r="G2829" s="12" t="str">
        <f>Absolute_Scores!G2829</f>
        <v>Instagram</v>
      </c>
      <c r="H2829" s="29">
        <f>Absolute_Scores!I2829</f>
        <v>47</v>
      </c>
      <c r="I2829" s="30">
        <f t="shared" si="75"/>
        <v>58.75</v>
      </c>
    </row>
    <row r="2830" spans="6:9">
      <c r="F2830" s="12" t="str">
        <f>Absolute_Scores!F2830</f>
        <v>@reshabtzm</v>
      </c>
      <c r="G2830" s="12" t="str">
        <f>Absolute_Scores!G2830</f>
        <v>Instagram</v>
      </c>
      <c r="H2830" s="29">
        <f>Absolute_Scores!I2830</f>
        <v>47</v>
      </c>
      <c r="I2830" s="30">
        <f t="shared" si="75"/>
        <v>58.75</v>
      </c>
    </row>
    <row r="2831" spans="6:9">
      <c r="F2831" s="12" t="str">
        <f>Absolute_Scores!F2831</f>
        <v>@resti.ika</v>
      </c>
      <c r="G2831" s="12" t="str">
        <f>Absolute_Scores!G2831</f>
        <v>TikTok</v>
      </c>
      <c r="H2831" s="29">
        <f>Absolute_Scores!I2831</f>
        <v>47</v>
      </c>
      <c r="I2831" s="30">
        <f t="shared" si="75"/>
        <v>58.75</v>
      </c>
    </row>
    <row r="2832" spans="6:9">
      <c r="F2832" s="12" t="str">
        <f>Absolute_Scores!F2832</f>
        <v>@ria.ria14</v>
      </c>
      <c r="G2832" s="12" t="str">
        <f>Absolute_Scores!G2832</f>
        <v>Instagram</v>
      </c>
      <c r="H2832" s="29">
        <f>Absolute_Scores!I2832</f>
        <v>47</v>
      </c>
      <c r="I2832" s="30">
        <f t="shared" si="75"/>
        <v>58.75</v>
      </c>
    </row>
    <row r="2833" spans="6:9">
      <c r="F2833" s="12" t="str">
        <f>Absolute_Scores!F2833</f>
        <v>@riekemeilanis23</v>
      </c>
      <c r="G2833" s="12" t="str">
        <f>Absolute_Scores!G2833</f>
        <v>TikTok</v>
      </c>
      <c r="H2833" s="29">
        <f>Absolute_Scores!I2833</f>
        <v>47</v>
      </c>
      <c r="I2833" s="30">
        <f t="shared" si="75"/>
        <v>58.75</v>
      </c>
    </row>
    <row r="2834" spans="6:9">
      <c r="F2834" s="12" t="str">
        <f>Absolute_Scores!F2834</f>
        <v>@ririeprams</v>
      </c>
      <c r="G2834" s="12" t="str">
        <f>Absolute_Scores!G2834</f>
        <v>Instagram</v>
      </c>
      <c r="H2834" s="29">
        <f>Absolute_Scores!I2834</f>
        <v>47</v>
      </c>
      <c r="I2834" s="30">
        <f t="shared" si="75"/>
        <v>58.75</v>
      </c>
    </row>
    <row r="2835" spans="6:9">
      <c r="F2835" s="12" t="str">
        <f>Absolute_Scores!F2835</f>
        <v>@rotidanselai1717</v>
      </c>
      <c r="G2835" s="12" t="str">
        <f>Absolute_Scores!G2835</f>
        <v>TikTok</v>
      </c>
      <c r="H2835" s="29">
        <f>Absolute_Scores!I2835</f>
        <v>47</v>
      </c>
      <c r="I2835" s="30">
        <f t="shared" si="75"/>
        <v>58.75</v>
      </c>
    </row>
    <row r="2836" spans="6:9">
      <c r="F2836" s="12" t="str">
        <f>Absolute_Scores!F2836</f>
        <v>@sabrinachairunnisa_</v>
      </c>
      <c r="G2836" s="12" t="str">
        <f>Absolute_Scores!G2836</f>
        <v>Instagram</v>
      </c>
      <c r="H2836" s="29">
        <f>Absolute_Scores!I2836</f>
        <v>47</v>
      </c>
      <c r="I2836" s="30">
        <f t="shared" si="75"/>
        <v>58.75</v>
      </c>
    </row>
    <row r="2837" spans="6:9">
      <c r="F2837" s="12" t="str">
        <f>Absolute_Scores!F2837</f>
        <v>@selinoviani</v>
      </c>
      <c r="G2837" s="12" t="str">
        <f>Absolute_Scores!G2837</f>
        <v>Instagram</v>
      </c>
      <c r="H2837" s="29">
        <f>Absolute_Scores!I2837</f>
        <v>47</v>
      </c>
      <c r="I2837" s="30">
        <f t="shared" si="75"/>
        <v>58.75</v>
      </c>
    </row>
    <row r="2838" spans="6:9">
      <c r="F2838" s="12" t="str">
        <f>Absolute_Scores!F2838</f>
        <v>@siskasaragih</v>
      </c>
      <c r="G2838" s="12" t="str">
        <f>Absolute_Scores!G2838</f>
        <v>Instagram</v>
      </c>
      <c r="H2838" s="29">
        <f>Absolute_Scores!I2838</f>
        <v>47</v>
      </c>
      <c r="I2838" s="30">
        <f t="shared" si="75"/>
        <v>58.75</v>
      </c>
    </row>
    <row r="2839" spans="6:9">
      <c r="F2839" s="12" t="str">
        <f>Absolute_Scores!F2839</f>
        <v>@steffanyoctavina</v>
      </c>
      <c r="G2839" s="12" t="str">
        <f>Absolute_Scores!G2839</f>
        <v>TikTok</v>
      </c>
      <c r="H2839" s="29">
        <f>Absolute_Scores!I2839</f>
        <v>47</v>
      </c>
      <c r="I2839" s="30">
        <f t="shared" si="75"/>
        <v>58.75</v>
      </c>
    </row>
    <row r="2840" spans="6:9">
      <c r="F2840" s="12" t="str">
        <f>Absolute_Scores!F2840</f>
        <v>@steph.hertanto</v>
      </c>
      <c r="G2840" s="12" t="str">
        <f>Absolute_Scores!G2840</f>
        <v>TikTok</v>
      </c>
      <c r="H2840" s="29">
        <f>Absolute_Scores!I2840</f>
        <v>47</v>
      </c>
      <c r="I2840" s="30">
        <f t="shared" si="75"/>
        <v>58.75</v>
      </c>
    </row>
    <row r="2841" spans="6:9">
      <c r="F2841" s="12" t="str">
        <f>Absolute_Scores!F2841</f>
        <v>@thyalatifah</v>
      </c>
      <c r="G2841" s="12" t="str">
        <f>Absolute_Scores!G2841</f>
        <v>Instagram</v>
      </c>
      <c r="H2841" s="29">
        <f>Absolute_Scores!I2841</f>
        <v>47</v>
      </c>
      <c r="I2841" s="30">
        <f t="shared" si="75"/>
        <v>58.75</v>
      </c>
    </row>
    <row r="2842" spans="6:9">
      <c r="F2842" s="12" t="str">
        <f>Absolute_Scores!F2842</f>
        <v>@tiaramw_</v>
      </c>
      <c r="G2842" s="12" t="str">
        <f>Absolute_Scores!G2842</f>
        <v>Instagram</v>
      </c>
      <c r="H2842" s="29">
        <f>Absolute_Scores!I2842</f>
        <v>47</v>
      </c>
      <c r="I2842" s="30">
        <f t="shared" si="75"/>
        <v>58.75</v>
      </c>
    </row>
    <row r="2843" spans="6:9">
      <c r="F2843" s="12" t="str">
        <f>Absolute_Scores!F2843</f>
        <v>@ulyaslsss__</v>
      </c>
      <c r="G2843" s="12" t="str">
        <f>Absolute_Scores!G2843</f>
        <v>Instagram</v>
      </c>
      <c r="H2843" s="29">
        <f>Absolute_Scores!I2843</f>
        <v>47</v>
      </c>
      <c r="I2843" s="30">
        <f t="shared" si="75"/>
        <v>58.75</v>
      </c>
    </row>
    <row r="2844" spans="6:9">
      <c r="F2844" s="12" t="str">
        <f>Absolute_Scores!F2844</f>
        <v>@valeriastahlk</v>
      </c>
      <c r="G2844" s="12" t="str">
        <f>Absolute_Scores!G2844</f>
        <v>Instagram</v>
      </c>
      <c r="H2844" s="29">
        <f>Absolute_Scores!I2844</f>
        <v>47</v>
      </c>
      <c r="I2844" s="30">
        <f t="shared" si="75"/>
        <v>58.75</v>
      </c>
    </row>
    <row r="2845" spans="6:9">
      <c r="F2845" s="12" t="str">
        <f>Absolute_Scores!F2845</f>
        <v>@vallent.auliya</v>
      </c>
      <c r="G2845" s="12" t="str">
        <f>Absolute_Scores!G2845</f>
        <v>Instagram</v>
      </c>
      <c r="H2845" s="29">
        <f>Absolute_Scores!I2845</f>
        <v>47</v>
      </c>
      <c r="I2845" s="30">
        <f t="shared" si="75"/>
        <v>58.75</v>
      </c>
    </row>
    <row r="2846" spans="6:9">
      <c r="F2846" s="12" t="str">
        <f>Absolute_Scores!F2846</f>
        <v>@viaazulviani</v>
      </c>
      <c r="G2846" s="12" t="str">
        <f>Absolute_Scores!G2846</f>
        <v>TikTok</v>
      </c>
      <c r="H2846" s="29">
        <f>Absolute_Scores!I2846</f>
        <v>47</v>
      </c>
      <c r="I2846" s="30">
        <f t="shared" si="75"/>
        <v>58.75</v>
      </c>
    </row>
    <row r="2847" spans="6:9">
      <c r="F2847" s="12" t="str">
        <f>Absolute_Scores!F2847</f>
        <v>@wargatangsel</v>
      </c>
      <c r="G2847" s="12" t="str">
        <f>Absolute_Scores!G2847</f>
        <v>Instagram</v>
      </c>
      <c r="H2847" s="29">
        <f>Absolute_Scores!I2847</f>
        <v>47</v>
      </c>
      <c r="I2847" s="30">
        <f t="shared" si="75"/>
        <v>58.75</v>
      </c>
    </row>
    <row r="2848" spans="6:9">
      <c r="F2848" s="12" t="str">
        <f>Absolute_Scores!F2848</f>
        <v>@windaekaryn</v>
      </c>
      <c r="G2848" s="12" t="str">
        <f>Absolute_Scores!G2848</f>
        <v>Instagram</v>
      </c>
      <c r="H2848" s="29">
        <f>Absolute_Scores!I2848</f>
        <v>47</v>
      </c>
      <c r="I2848" s="30">
        <f t="shared" si="75"/>
        <v>58.75</v>
      </c>
    </row>
    <row r="2849" spans="6:9">
      <c r="F2849" s="12" t="str">
        <f>Absolute_Scores!F2849</f>
        <v>@yassipoullomanik</v>
      </c>
      <c r="G2849" s="12" t="str">
        <f>Absolute_Scores!G2849</f>
        <v>TikTok</v>
      </c>
      <c r="H2849" s="29">
        <f>Absolute_Scores!I2849</f>
        <v>47</v>
      </c>
      <c r="I2849" s="30">
        <f t="shared" si="75"/>
        <v>58.75</v>
      </c>
    </row>
    <row r="2850" spans="6:9">
      <c r="F2850" s="12" t="str">
        <f>Absolute_Scores!F2850</f>
        <v>@yerikacornelia</v>
      </c>
      <c r="G2850" s="12" t="str">
        <f>Absolute_Scores!G2850</f>
        <v>Instagram</v>
      </c>
      <c r="H2850" s="29">
        <f>Absolute_Scores!I2850</f>
        <v>47</v>
      </c>
      <c r="I2850" s="30">
        <f t="shared" si="75"/>
        <v>58.75</v>
      </c>
    </row>
    <row r="2851" spans="6:9">
      <c r="F2851" s="12" t="str">
        <f>Absolute_Scores!F2851</f>
        <v>@zahranisaaprilia</v>
      </c>
      <c r="G2851" s="12" t="str">
        <f>Absolute_Scores!G2851</f>
        <v>Instagram</v>
      </c>
      <c r="H2851" s="29">
        <f>Absolute_Scores!I2851</f>
        <v>47</v>
      </c>
      <c r="I2851" s="30">
        <f t="shared" si="75"/>
        <v>58.75</v>
      </c>
    </row>
    <row r="2852" spans="6:9">
      <c r="F2852" s="12" t="str">
        <f>Absolute_Scores!F2852</f>
        <v>@zhea_zee</v>
      </c>
      <c r="G2852" s="12" t="str">
        <f>Absolute_Scores!G2852</f>
        <v>Instagram</v>
      </c>
      <c r="H2852" s="29">
        <f>Absolute_Scores!I2852</f>
        <v>47</v>
      </c>
      <c r="I2852" s="30">
        <f t="shared" si="75"/>
        <v>58.75</v>
      </c>
    </row>
    <row r="2853" spans="6:9">
      <c r="F2853" s="12" t="str">
        <f>Absolute_Scores!F2853</f>
        <v>@adit_insomnia</v>
      </c>
      <c r="G2853" s="12" t="str">
        <f>Absolute_Scores!G2853</f>
        <v>Instagram</v>
      </c>
      <c r="H2853" s="29">
        <f>Absolute_Scores!I2853</f>
        <v>46</v>
      </c>
      <c r="I2853" s="30">
        <f t="shared" si="75"/>
        <v>57.5</v>
      </c>
    </row>
    <row r="2854" spans="6:9">
      <c r="F2854" s="12" t="str">
        <f>Absolute_Scores!F2854</f>
        <v>@akubetsaa</v>
      </c>
      <c r="G2854" s="12" t="str">
        <f>Absolute_Scores!G2854</f>
        <v>TikTok</v>
      </c>
      <c r="H2854" s="29">
        <f>Absolute_Scores!I2854</f>
        <v>46</v>
      </c>
      <c r="I2854" s="30">
        <f t="shared" si="75"/>
        <v>57.5</v>
      </c>
    </row>
    <row r="2855" spans="6:9">
      <c r="F2855" s="12" t="str">
        <f>Absolute_Scores!F2855</f>
        <v>@alexeffendhy</v>
      </c>
      <c r="G2855" s="12" t="str">
        <f>Absolute_Scores!G2855</f>
        <v>Instagram</v>
      </c>
      <c r="H2855" s="29">
        <f>Absolute_Scores!I2855</f>
        <v>46</v>
      </c>
      <c r="I2855" s="30">
        <f t="shared" si="75"/>
        <v>57.5</v>
      </c>
    </row>
    <row r="2856" spans="6:9">
      <c r="F2856" s="12" t="str">
        <f>Absolute_Scores!F2856</f>
        <v>@andinih.erlangga</v>
      </c>
      <c r="G2856" s="12" t="str">
        <f>Absolute_Scores!G2856</f>
        <v>Instagram</v>
      </c>
      <c r="H2856" s="29">
        <f>Absolute_Scores!I2856</f>
        <v>46</v>
      </c>
      <c r="I2856" s="30">
        <f t="shared" si="75"/>
        <v>57.5</v>
      </c>
    </row>
    <row r="2857" spans="6:9">
      <c r="F2857" s="12" t="str">
        <f>Absolute_Scores!F2857</f>
        <v>@anniska_suwasdy</v>
      </c>
      <c r="G2857" s="12" t="str">
        <f>Absolute_Scores!G2857</f>
        <v>Instagram</v>
      </c>
      <c r="H2857" s="29">
        <f>Absolute_Scores!I2857</f>
        <v>46</v>
      </c>
      <c r="I2857" s="30">
        <f t="shared" si="75"/>
        <v>57.5</v>
      </c>
    </row>
    <row r="2858" spans="6:9">
      <c r="F2858" s="12" t="str">
        <f>Absolute_Scores!F2858</f>
        <v>@anyageraldine</v>
      </c>
      <c r="G2858" s="12" t="str">
        <f>Absolute_Scores!G2858</f>
        <v>Instagram</v>
      </c>
      <c r="H2858" s="29">
        <f>Absolute_Scores!I2858</f>
        <v>46</v>
      </c>
      <c r="I2858" s="30">
        <f t="shared" si="75"/>
        <v>57.5</v>
      </c>
    </row>
    <row r="2859" spans="6:9">
      <c r="F2859" s="12" t="str">
        <f>Absolute_Scores!F2859</f>
        <v>@arjunasutedjaa</v>
      </c>
      <c r="G2859" s="12" t="str">
        <f>Absolute_Scores!G2859</f>
        <v>Instagram</v>
      </c>
      <c r="H2859" s="29">
        <f>Absolute_Scores!I2859</f>
        <v>46</v>
      </c>
      <c r="I2859" s="30">
        <f t="shared" si="75"/>
        <v>57.5</v>
      </c>
    </row>
    <row r="2860" spans="6:9">
      <c r="F2860" s="12" t="str">
        <f>Absolute_Scores!F2860</f>
        <v>@arya_artamansa</v>
      </c>
      <c r="G2860" s="12" t="str">
        <f>Absolute_Scores!G2860</f>
        <v>Instagram</v>
      </c>
      <c r="H2860" s="29">
        <f>Absolute_Scores!I2860</f>
        <v>46</v>
      </c>
      <c r="I2860" s="30">
        <f t="shared" si="75"/>
        <v>57.5</v>
      </c>
    </row>
    <row r="2861" spans="6:9">
      <c r="F2861" s="12" t="str">
        <f>Absolute_Scores!F2861</f>
        <v>@asheeqaleesha</v>
      </c>
      <c r="G2861" s="12" t="str">
        <f>Absolute_Scores!G2861</f>
        <v>Instagram</v>
      </c>
      <c r="H2861" s="29">
        <f>Absolute_Scores!I2861</f>
        <v>46</v>
      </c>
      <c r="I2861" s="30">
        <f t="shared" si="75"/>
        <v>57.5</v>
      </c>
    </row>
    <row r="2862" spans="6:9">
      <c r="F2862" s="12" t="str">
        <f>Absolute_Scores!F2862</f>
        <v>@atriesangel</v>
      </c>
      <c r="G2862" s="12" t="str">
        <f>Absolute_Scores!G2862</f>
        <v>Instagram</v>
      </c>
      <c r="H2862" s="29">
        <f>Absolute_Scores!I2862</f>
        <v>46</v>
      </c>
      <c r="I2862" s="30">
        <f t="shared" si="75"/>
        <v>57.5</v>
      </c>
    </row>
    <row r="2863" spans="6:9">
      <c r="F2863" s="12" t="str">
        <f>Absolute_Scores!F2863</f>
        <v>@bondol.jpg</v>
      </c>
      <c r="G2863" s="12" t="str">
        <f>Absolute_Scores!G2863</f>
        <v>Instagram</v>
      </c>
      <c r="H2863" s="29">
        <f>Absolute_Scores!I2863</f>
        <v>46</v>
      </c>
      <c r="I2863" s="30">
        <f t="shared" si="75"/>
        <v>57.5</v>
      </c>
    </row>
    <row r="2864" spans="6:9">
      <c r="F2864" s="12" t="str">
        <f>Absolute_Scores!F2864</f>
        <v>@catherineealicia</v>
      </c>
      <c r="G2864" s="12" t="str">
        <f>Absolute_Scores!G2864</f>
        <v>TikTok</v>
      </c>
      <c r="H2864" s="29">
        <f>Absolute_Scores!I2864</f>
        <v>46</v>
      </c>
      <c r="I2864" s="30">
        <f t="shared" si="75"/>
        <v>57.5</v>
      </c>
    </row>
    <row r="2865" spans="6:9">
      <c r="F2865" s="12" t="str">
        <f>Absolute_Scores!F2865</f>
        <v>@cielmakeupartist</v>
      </c>
      <c r="G2865" s="12" t="str">
        <f>Absolute_Scores!G2865</f>
        <v>Instagram</v>
      </c>
      <c r="H2865" s="29">
        <f>Absolute_Scores!I2865</f>
        <v>46</v>
      </c>
      <c r="I2865" s="30">
        <f t="shared" si="75"/>
        <v>57.5</v>
      </c>
    </row>
    <row r="2866" spans="6:9">
      <c r="F2866" s="12" t="str">
        <f>Absolute_Scores!F2866</f>
        <v>@dellaaseptt</v>
      </c>
      <c r="G2866" s="12" t="str">
        <f>Absolute_Scores!G2866</f>
        <v>Instagram</v>
      </c>
      <c r="H2866" s="29">
        <f>Absolute_Scores!I2866</f>
        <v>46</v>
      </c>
      <c r="I2866" s="30">
        <f t="shared" si="75"/>
        <v>57.5</v>
      </c>
    </row>
    <row r="2867" spans="6:9">
      <c r="F2867" s="12" t="str">
        <f>Absolute_Scores!F2867</f>
        <v>@fbyramadhana</v>
      </c>
      <c r="G2867" s="12" t="str">
        <f>Absolute_Scores!G2867</f>
        <v>Instagram</v>
      </c>
      <c r="H2867" s="29">
        <f>Absolute_Scores!I2867</f>
        <v>46</v>
      </c>
      <c r="I2867" s="30">
        <f t="shared" si="75"/>
        <v>57.5</v>
      </c>
    </row>
    <row r="2868" spans="6:9">
      <c r="F2868" s="12" t="str">
        <f>Absolute_Scores!F2868</f>
        <v>@febiesmeralda</v>
      </c>
      <c r="G2868" s="12" t="str">
        <f>Absolute_Scores!G2868</f>
        <v>Instagram</v>
      </c>
      <c r="H2868" s="29">
        <f>Absolute_Scores!I2868</f>
        <v>46</v>
      </c>
      <c r="I2868" s="30">
        <f t="shared" si="75"/>
        <v>57.5</v>
      </c>
    </row>
    <row r="2869" spans="6:9">
      <c r="F2869" s="12" t="str">
        <f>Absolute_Scores!F2869</f>
        <v>@helminursifah</v>
      </c>
      <c r="G2869" s="12" t="str">
        <f>Absolute_Scores!G2869</f>
        <v>Instagram</v>
      </c>
      <c r="H2869" s="29">
        <f>Absolute_Scores!I2869</f>
        <v>46</v>
      </c>
      <c r="I2869" s="30">
        <f t="shared" si="75"/>
        <v>57.5</v>
      </c>
    </row>
    <row r="2870" spans="6:9">
      <c r="F2870" s="12" t="str">
        <f>Absolute_Scores!F2870</f>
        <v>@indozone.id</v>
      </c>
      <c r="G2870" s="12" t="str">
        <f>Absolute_Scores!G2870</f>
        <v>Instagram</v>
      </c>
      <c r="H2870" s="29">
        <f>Absolute_Scores!I2870</f>
        <v>46</v>
      </c>
      <c r="I2870" s="30">
        <f t="shared" si="75"/>
        <v>57.5</v>
      </c>
    </row>
    <row r="2871" spans="6:9">
      <c r="F2871" s="12" t="str">
        <f>Absolute_Scores!F2871</f>
        <v>@ismatuilan</v>
      </c>
      <c r="G2871" s="12" t="str">
        <f>Absolute_Scores!G2871</f>
        <v>Instagram</v>
      </c>
      <c r="H2871" s="29">
        <f>Absolute_Scores!I2871</f>
        <v>46</v>
      </c>
      <c r="I2871" s="30">
        <f t="shared" si="75"/>
        <v>57.5</v>
      </c>
    </row>
    <row r="2872" spans="6:9">
      <c r="F2872" s="12" t="str">
        <f>Absolute_Scores!F2872</f>
        <v>@kanayamia_lowery</v>
      </c>
      <c r="G2872" s="12" t="str">
        <f>Absolute_Scores!G2872</f>
        <v>Instagram</v>
      </c>
      <c r="H2872" s="29">
        <f>Absolute_Scores!I2872</f>
        <v>46</v>
      </c>
      <c r="I2872" s="30">
        <f t="shared" si="75"/>
        <v>57.5</v>
      </c>
    </row>
    <row r="2873" spans="6:9">
      <c r="F2873" s="12" t="str">
        <f>Absolute_Scores!F2873</f>
        <v>@laurentiasheila</v>
      </c>
      <c r="G2873" s="12" t="str">
        <f>Absolute_Scores!G2873</f>
        <v>Instagram</v>
      </c>
      <c r="H2873" s="29">
        <f>Absolute_Scores!I2873</f>
        <v>46</v>
      </c>
      <c r="I2873" s="30">
        <f t="shared" si="75"/>
        <v>57.5</v>
      </c>
    </row>
    <row r="2874" spans="6:9">
      <c r="F2874" s="12" t="str">
        <f>Absolute_Scores!F2874</f>
        <v>@lenny.juwita</v>
      </c>
      <c r="G2874" s="12" t="str">
        <f>Absolute_Scores!G2874</f>
        <v>Instagram</v>
      </c>
      <c r="H2874" s="29">
        <f>Absolute_Scores!I2874</f>
        <v>46</v>
      </c>
      <c r="I2874" s="30">
        <f t="shared" si="75"/>
        <v>57.5</v>
      </c>
    </row>
    <row r="2875" spans="6:9">
      <c r="F2875" s="12" t="str">
        <f>Absolute_Scores!F2875</f>
        <v>@leoafandi_</v>
      </c>
      <c r="G2875" s="12" t="str">
        <f>Absolute_Scores!G2875</f>
        <v>Instagram</v>
      </c>
      <c r="H2875" s="29">
        <f>Absolute_Scores!I2875</f>
        <v>46</v>
      </c>
      <c r="I2875" s="30">
        <f t="shared" si="75"/>
        <v>57.5</v>
      </c>
    </row>
    <row r="2876" spans="6:9">
      <c r="F2876" s="12" t="str">
        <f>Absolute_Scores!F2876</f>
        <v>@melisasoetjipto</v>
      </c>
      <c r="G2876" s="12" t="str">
        <f>Absolute_Scores!G2876</f>
        <v>Instagram</v>
      </c>
      <c r="H2876" s="29">
        <f>Absolute_Scores!I2876</f>
        <v>46</v>
      </c>
      <c r="I2876" s="30">
        <f t="shared" si="75"/>
        <v>57.5</v>
      </c>
    </row>
    <row r="2877" spans="6:9">
      <c r="F2877" s="12" t="str">
        <f>Absolute_Scores!F2877</f>
        <v>@mithatan</v>
      </c>
      <c r="G2877" s="12" t="str">
        <f>Absolute_Scores!G2877</f>
        <v>Instagram</v>
      </c>
      <c r="H2877" s="29">
        <f>Absolute_Scores!I2877</f>
        <v>46</v>
      </c>
      <c r="I2877" s="30">
        <f t="shared" si="75"/>
        <v>57.5</v>
      </c>
    </row>
    <row r="2878" spans="6:9">
      <c r="F2878" s="12" t="str">
        <f>Absolute_Scores!F2878</f>
        <v>@niputuchandra</v>
      </c>
      <c r="G2878" s="12" t="str">
        <f>Absolute_Scores!G2878</f>
        <v>Instagram</v>
      </c>
      <c r="H2878" s="29">
        <f>Absolute_Scores!I2878</f>
        <v>46</v>
      </c>
      <c r="I2878" s="30">
        <f t="shared" si="75"/>
        <v>57.5</v>
      </c>
    </row>
    <row r="2879" spans="6:9">
      <c r="F2879" s="12" t="str">
        <f>Absolute_Scores!F2879</f>
        <v>@okywulandarii</v>
      </c>
      <c r="G2879" s="12" t="str">
        <f>Absolute_Scores!G2879</f>
        <v>Instagram</v>
      </c>
      <c r="H2879" s="29">
        <f>Absolute_Scores!I2879</f>
        <v>46</v>
      </c>
      <c r="I2879" s="30">
        <f t="shared" si="75"/>
        <v>57.5</v>
      </c>
    </row>
    <row r="2880" spans="6:9">
      <c r="F2880" s="12" t="str">
        <f>Absolute_Scores!F2880</f>
        <v>@olevelove</v>
      </c>
      <c r="G2880" s="12" t="str">
        <f>Absolute_Scores!G2880</f>
        <v>Instagram</v>
      </c>
      <c r="H2880" s="29">
        <f>Absolute_Scores!I2880</f>
        <v>46</v>
      </c>
      <c r="I2880" s="30">
        <f t="shared" si="75"/>
        <v>57.5</v>
      </c>
    </row>
    <row r="2881" spans="6:9">
      <c r="F2881" s="12" t="str">
        <f>Absolute_Scores!F2881</f>
        <v>@putrighafar</v>
      </c>
      <c r="G2881" s="12" t="str">
        <f>Absolute_Scores!G2881</f>
        <v>Instagram</v>
      </c>
      <c r="H2881" s="29">
        <f>Absolute_Scores!I2881</f>
        <v>46</v>
      </c>
      <c r="I2881" s="30">
        <f t="shared" si="75"/>
        <v>57.5</v>
      </c>
    </row>
    <row r="2882" spans="6:9">
      <c r="F2882" s="12" t="str">
        <f>Absolute_Scores!F2882</f>
        <v>@sasyamaharani</v>
      </c>
      <c r="G2882" s="12" t="str">
        <f>Absolute_Scores!G2882</f>
        <v>Instagram</v>
      </c>
      <c r="H2882" s="29">
        <f>Absolute_Scores!I2882</f>
        <v>46</v>
      </c>
      <c r="I2882" s="30">
        <f t="shared" si="75"/>
        <v>57.5</v>
      </c>
    </row>
    <row r="2883" spans="6:9">
      <c r="F2883" s="12" t="str">
        <f>Absolute_Scores!F2883</f>
        <v>@sindyfungg</v>
      </c>
      <c r="G2883" s="12" t="str">
        <f>Absolute_Scores!G2883</f>
        <v>Instagram</v>
      </c>
      <c r="H2883" s="29">
        <f>Absolute_Scores!I2883</f>
        <v>46</v>
      </c>
      <c r="I2883" s="30">
        <f t="shared" si="75"/>
        <v>57.5</v>
      </c>
    </row>
    <row r="2884" spans="6:9">
      <c r="F2884" s="12" t="str">
        <f>Absolute_Scores!F2884</f>
        <v>@svmmerloco</v>
      </c>
      <c r="G2884" s="12" t="str">
        <f>Absolute_Scores!G2884</f>
        <v>Instagram</v>
      </c>
      <c r="H2884" s="29">
        <f>Absolute_Scores!I2884</f>
        <v>46</v>
      </c>
      <c r="I2884" s="30">
        <f t="shared" si="75"/>
        <v>57.5</v>
      </c>
    </row>
    <row r="2885" spans="6:9">
      <c r="F2885" s="12" t="str">
        <f>Absolute_Scores!F2885</f>
        <v>@tasyakamilaofficial</v>
      </c>
      <c r="G2885" s="12" t="str">
        <f>Absolute_Scores!G2885</f>
        <v>TikTok</v>
      </c>
      <c r="H2885" s="29">
        <f>Absolute_Scores!I2885</f>
        <v>46</v>
      </c>
      <c r="I2885" s="30">
        <f t="shared" si="75"/>
        <v>57.5</v>
      </c>
    </row>
    <row r="2886" spans="6:9">
      <c r="F2886" s="12" t="str">
        <f>Absolute_Scores!F2886</f>
        <v>@tenggowicaksono</v>
      </c>
      <c r="G2886" s="12" t="str">
        <f>Absolute_Scores!G2886</f>
        <v>Instagram</v>
      </c>
      <c r="H2886" s="29">
        <f>Absolute_Scores!I2886</f>
        <v>46</v>
      </c>
      <c r="I2886" s="30">
        <f t="shared" ref="I2886:I2949" si="76">ROUND(H2886/$I$4*100,2)</f>
        <v>57.5</v>
      </c>
    </row>
    <row r="2887" spans="6:9">
      <c r="F2887" s="12" t="str">
        <f>Absolute_Scores!F2887</f>
        <v>@thebeautywimp</v>
      </c>
      <c r="G2887" s="12" t="str">
        <f>Absolute_Scores!G2887</f>
        <v>Instagram</v>
      </c>
      <c r="H2887" s="29">
        <f>Absolute_Scores!I2887</f>
        <v>46</v>
      </c>
      <c r="I2887" s="30">
        <f t="shared" si="76"/>
        <v>57.5</v>
      </c>
    </row>
    <row r="2888" spans="6:9">
      <c r="F2888" s="12" t="str">
        <f>Absolute_Scores!F2888</f>
        <v>@umi_arayya</v>
      </c>
      <c r="G2888" s="12" t="str">
        <f>Absolute_Scores!G2888</f>
        <v>Instagram</v>
      </c>
      <c r="H2888" s="29">
        <f>Absolute_Scores!I2888</f>
        <v>46</v>
      </c>
      <c r="I2888" s="30">
        <f t="shared" si="76"/>
        <v>57.5</v>
      </c>
    </row>
    <row r="2889" spans="6:9">
      <c r="F2889" s="12" t="str">
        <f>Absolute_Scores!F2889</f>
        <v>@vfeliciwa</v>
      </c>
      <c r="G2889" s="12" t="str">
        <f>Absolute_Scores!G2889</f>
        <v>Instagram</v>
      </c>
      <c r="H2889" s="29">
        <f>Absolute_Scores!I2889</f>
        <v>46</v>
      </c>
      <c r="I2889" s="30">
        <f t="shared" si="76"/>
        <v>57.5</v>
      </c>
    </row>
    <row r="2890" spans="6:9">
      <c r="F2890" s="12" t="str">
        <f>Absolute_Scores!F2890</f>
        <v>@violetaekanjani</v>
      </c>
      <c r="G2890" s="12" t="str">
        <f>Absolute_Scores!G2890</f>
        <v>TikTok</v>
      </c>
      <c r="H2890" s="29">
        <f>Absolute_Scores!I2890</f>
        <v>46</v>
      </c>
      <c r="I2890" s="30">
        <f t="shared" si="76"/>
        <v>57.5</v>
      </c>
    </row>
    <row r="2891" spans="6:9">
      <c r="F2891" s="12" t="str">
        <f>Absolute_Scores!F2891</f>
        <v>@abcdefuvkkkk7</v>
      </c>
      <c r="G2891" s="12" t="str">
        <f>Absolute_Scores!G2891</f>
        <v>TikTok</v>
      </c>
      <c r="H2891" s="29">
        <f>Absolute_Scores!I2891</f>
        <v>45</v>
      </c>
      <c r="I2891" s="30">
        <f t="shared" si="76"/>
        <v>56.25</v>
      </c>
    </row>
    <row r="2892" spans="6:9">
      <c r="F2892" s="12" t="str">
        <f>Absolute_Scores!F2892</f>
        <v>@adilladimitrihardjanto</v>
      </c>
      <c r="G2892" s="12" t="str">
        <f>Absolute_Scores!G2892</f>
        <v>Instagram</v>
      </c>
      <c r="H2892" s="29">
        <f>Absolute_Scores!I2892</f>
        <v>45</v>
      </c>
      <c r="I2892" s="30">
        <f t="shared" si="76"/>
        <v>56.25</v>
      </c>
    </row>
    <row r="2893" spans="6:9">
      <c r="F2893" s="12" t="str">
        <f>Absolute_Scores!F2893</f>
        <v>@anumhafzz</v>
      </c>
      <c r="G2893" s="12" t="str">
        <f>Absolute_Scores!G2893</f>
        <v>TikTok</v>
      </c>
      <c r="H2893" s="29">
        <f>Absolute_Scores!I2893</f>
        <v>45</v>
      </c>
      <c r="I2893" s="30">
        <f t="shared" si="76"/>
        <v>56.25</v>
      </c>
    </row>
    <row r="2894" spans="6:9">
      <c r="F2894" s="12" t="str">
        <f>Absolute_Scores!F2894</f>
        <v>@ashlyn.richelle</v>
      </c>
      <c r="G2894" s="12" t="str">
        <f>Absolute_Scores!G2894</f>
        <v>Instagram</v>
      </c>
      <c r="H2894" s="29">
        <f>Absolute_Scores!I2894</f>
        <v>45</v>
      </c>
      <c r="I2894" s="30">
        <f t="shared" si="76"/>
        <v>56.25</v>
      </c>
    </row>
    <row r="2895" spans="6:9">
      <c r="F2895" s="12" t="str">
        <f>Absolute_Scores!F2895</f>
        <v>@azizahannah</v>
      </c>
      <c r="G2895" s="12" t="str">
        <f>Absolute_Scores!G2895</f>
        <v>Instagram</v>
      </c>
      <c r="H2895" s="29">
        <f>Absolute_Scores!I2895</f>
        <v>45</v>
      </c>
      <c r="I2895" s="30">
        <f t="shared" si="76"/>
        <v>56.25</v>
      </c>
    </row>
    <row r="2896" spans="6:9">
      <c r="F2896" s="12" t="str">
        <f>Absolute_Scores!F2896</f>
        <v>@bagassianipar_</v>
      </c>
      <c r="G2896" s="12" t="str">
        <f>Absolute_Scores!G2896</f>
        <v>TikTok</v>
      </c>
      <c r="H2896" s="29">
        <f>Absolute_Scores!I2896</f>
        <v>45</v>
      </c>
      <c r="I2896" s="30">
        <f t="shared" si="76"/>
        <v>56.25</v>
      </c>
    </row>
    <row r="2897" spans="6:9">
      <c r="F2897" s="12" t="str">
        <f>Absolute_Scores!F2897</f>
        <v>@bangudinj.o</v>
      </c>
      <c r="G2897" s="12" t="str">
        <f>Absolute_Scores!G2897</f>
        <v>TikTok</v>
      </c>
      <c r="H2897" s="29">
        <f>Absolute_Scores!I2897</f>
        <v>45</v>
      </c>
      <c r="I2897" s="30">
        <f t="shared" si="76"/>
        <v>56.25</v>
      </c>
    </row>
    <row r="2898" spans="6:9">
      <c r="F2898" s="12" t="str">
        <f>Absolute_Scores!F2898</f>
        <v>@bintanbukanbintang</v>
      </c>
      <c r="G2898" s="12" t="str">
        <f>Absolute_Scores!G2898</f>
        <v>TikTok</v>
      </c>
      <c r="H2898" s="29">
        <f>Absolute_Scores!I2898</f>
        <v>45</v>
      </c>
      <c r="I2898" s="30">
        <f t="shared" si="76"/>
        <v>56.25</v>
      </c>
    </row>
    <row r="2899" spans="6:9">
      <c r="F2899" s="12" t="str">
        <f>Absolute_Scores!F2899</f>
        <v>@captainbarbershopid</v>
      </c>
      <c r="G2899" s="12" t="str">
        <f>Absolute_Scores!G2899</f>
        <v>Instagram</v>
      </c>
      <c r="H2899" s="29">
        <f>Absolute_Scores!I2899</f>
        <v>45</v>
      </c>
      <c r="I2899" s="30">
        <f t="shared" si="76"/>
        <v>56.25</v>
      </c>
    </row>
    <row r="2900" spans="6:9">
      <c r="F2900" s="12" t="str">
        <f>Absolute_Scores!F2900</f>
        <v>@damarindraa_</v>
      </c>
      <c r="G2900" s="12" t="str">
        <f>Absolute_Scores!G2900</f>
        <v>Instagram</v>
      </c>
      <c r="H2900" s="29">
        <f>Absolute_Scores!I2900</f>
        <v>45</v>
      </c>
      <c r="I2900" s="30">
        <f t="shared" si="76"/>
        <v>56.25</v>
      </c>
    </row>
    <row r="2901" spans="6:9">
      <c r="F2901" s="12" t="str">
        <f>Absolute_Scores!F2901</f>
        <v>@dedeap_</v>
      </c>
      <c r="G2901" s="12" t="str">
        <f>Absolute_Scores!G2901</f>
        <v>TikTok</v>
      </c>
      <c r="H2901" s="29">
        <f>Absolute_Scores!I2901</f>
        <v>45</v>
      </c>
      <c r="I2901" s="30">
        <f t="shared" si="76"/>
        <v>56.25</v>
      </c>
    </row>
    <row r="2902" spans="6:9">
      <c r="F2902" s="12" t="str">
        <f>Absolute_Scores!F2902</f>
        <v>@dimasbudiu</v>
      </c>
      <c r="G2902" s="12" t="str">
        <f>Absolute_Scores!G2902</f>
        <v>TikTok</v>
      </c>
      <c r="H2902" s="29">
        <f>Absolute_Scores!I2902</f>
        <v>45</v>
      </c>
      <c r="I2902" s="30">
        <f t="shared" si="76"/>
        <v>56.25</v>
      </c>
    </row>
    <row r="2903" spans="6:9">
      <c r="F2903" s="12" t="str">
        <f>Absolute_Scores!F2903</f>
        <v>@dwiaay</v>
      </c>
      <c r="G2903" s="12" t="str">
        <f>Absolute_Scores!G2903</f>
        <v>Instagram</v>
      </c>
      <c r="H2903" s="29">
        <f>Absolute_Scores!I2903</f>
        <v>45</v>
      </c>
      <c r="I2903" s="30">
        <f t="shared" si="76"/>
        <v>56.25</v>
      </c>
    </row>
    <row r="2904" spans="6:9">
      <c r="F2904" s="12" t="str">
        <f>Absolute_Scores!F2904</f>
        <v>@ekasriwahyni</v>
      </c>
      <c r="G2904" s="12" t="str">
        <f>Absolute_Scores!G2904</f>
        <v>Instagram</v>
      </c>
      <c r="H2904" s="29">
        <f>Absolute_Scores!I2904</f>
        <v>45</v>
      </c>
      <c r="I2904" s="30">
        <f t="shared" si="76"/>
        <v>56.25</v>
      </c>
    </row>
    <row r="2905" spans="6:9">
      <c r="F2905" s="12" t="str">
        <f>Absolute_Scores!F2905</f>
        <v>@emilianald</v>
      </c>
      <c r="G2905" s="12" t="str">
        <f>Absolute_Scores!G2905</f>
        <v>Instagram</v>
      </c>
      <c r="H2905" s="29">
        <f>Absolute_Scores!I2905</f>
        <v>45</v>
      </c>
      <c r="I2905" s="30">
        <f t="shared" si="76"/>
        <v>56.25</v>
      </c>
    </row>
    <row r="2906" spans="6:9">
      <c r="F2906" s="12" t="str">
        <f>Absolute_Scores!F2906</f>
        <v>@faaarm.z</v>
      </c>
      <c r="G2906" s="12" t="str">
        <f>Absolute_Scores!G2906</f>
        <v>Instagram</v>
      </c>
      <c r="H2906" s="29">
        <f>Absolute_Scores!I2906</f>
        <v>45</v>
      </c>
      <c r="I2906" s="30">
        <f t="shared" si="76"/>
        <v>56.25</v>
      </c>
    </row>
    <row r="2907" spans="6:9">
      <c r="F2907" s="12" t="str">
        <f>Absolute_Scores!F2907</f>
        <v>@fenny_fennyyy</v>
      </c>
      <c r="G2907" s="12" t="str">
        <f>Absolute_Scores!G2907</f>
        <v>Instagram</v>
      </c>
      <c r="H2907" s="29">
        <f>Absolute_Scores!I2907</f>
        <v>45</v>
      </c>
      <c r="I2907" s="30">
        <f t="shared" si="76"/>
        <v>56.25</v>
      </c>
    </row>
    <row r="2908" spans="6:9">
      <c r="F2908" s="12" t="str">
        <f>Absolute_Scores!F2908</f>
        <v>@galagea_</v>
      </c>
      <c r="G2908" s="12" t="str">
        <f>Absolute_Scores!G2908</f>
        <v>TikTok</v>
      </c>
      <c r="H2908" s="29">
        <f>Absolute_Scores!I2908</f>
        <v>45</v>
      </c>
      <c r="I2908" s="30">
        <f t="shared" si="76"/>
        <v>56.25</v>
      </c>
    </row>
    <row r="2909" spans="6:9">
      <c r="F2909" s="12" t="str">
        <f>Absolute_Scores!F2909</f>
        <v>@gulajawaofficial</v>
      </c>
      <c r="G2909" s="12" t="str">
        <f>Absolute_Scores!G2909</f>
        <v>TikTok</v>
      </c>
      <c r="H2909" s="29">
        <f>Absolute_Scores!I2909</f>
        <v>45</v>
      </c>
      <c r="I2909" s="30">
        <f t="shared" si="76"/>
        <v>56.25</v>
      </c>
    </row>
    <row r="2910" spans="6:9">
      <c r="F2910" s="12" t="str">
        <f>Absolute_Scores!F2910</f>
        <v>@hairnerdsstudio</v>
      </c>
      <c r="G2910" s="12" t="str">
        <f>Absolute_Scores!G2910</f>
        <v>Instagram</v>
      </c>
      <c r="H2910" s="29">
        <f>Absolute_Scores!I2910</f>
        <v>45</v>
      </c>
      <c r="I2910" s="30">
        <f t="shared" si="76"/>
        <v>56.25</v>
      </c>
    </row>
    <row r="2911" spans="6:9">
      <c r="F2911" s="12" t="str">
        <f>Absolute_Scores!F2911</f>
        <v>@imeyliem?hl=en</v>
      </c>
      <c r="G2911" s="12" t="str">
        <f>Absolute_Scores!G2911</f>
        <v>Instagram</v>
      </c>
      <c r="H2911" s="29">
        <f>Absolute_Scores!I2911</f>
        <v>45</v>
      </c>
      <c r="I2911" s="30">
        <f t="shared" si="76"/>
        <v>56.25</v>
      </c>
    </row>
    <row r="2912" spans="6:9">
      <c r="F2912" s="12" t="str">
        <f>Absolute_Scores!F2912</f>
        <v>@inayahasmr</v>
      </c>
      <c r="G2912" s="12" t="str">
        <f>Absolute_Scores!G2912</f>
        <v>TikTok</v>
      </c>
      <c r="H2912" s="29">
        <f>Absolute_Scores!I2912</f>
        <v>45</v>
      </c>
      <c r="I2912" s="30">
        <f t="shared" si="76"/>
        <v>56.25</v>
      </c>
    </row>
    <row r="2913" spans="6:9">
      <c r="F2913" s="12" t="str">
        <f>Absolute_Scores!F2913</f>
        <v>@juliusjason_</v>
      </c>
      <c r="G2913" s="12" t="str">
        <f>Absolute_Scores!G2913</f>
        <v>Instagram</v>
      </c>
      <c r="H2913" s="29">
        <f>Absolute_Scores!I2913</f>
        <v>45</v>
      </c>
      <c r="I2913" s="30">
        <f t="shared" si="76"/>
        <v>56.25</v>
      </c>
    </row>
    <row r="2914" spans="6:9">
      <c r="F2914" s="12" t="str">
        <f>Absolute_Scores!F2914</f>
        <v>@kalaundry</v>
      </c>
      <c r="G2914" s="12" t="str">
        <f>Absolute_Scores!G2914</f>
        <v>TikTok</v>
      </c>
      <c r="H2914" s="29">
        <f>Absolute_Scores!I2914</f>
        <v>45</v>
      </c>
      <c r="I2914" s="30">
        <f t="shared" si="76"/>
        <v>56.25</v>
      </c>
    </row>
    <row r="2915" spans="6:9">
      <c r="F2915" s="12" t="str">
        <f>Absolute_Scores!F2915</f>
        <v>@lidyarismi</v>
      </c>
      <c r="G2915" s="12" t="str">
        <f>Absolute_Scores!G2915</f>
        <v>TikTok</v>
      </c>
      <c r="H2915" s="29">
        <f>Absolute_Scores!I2915</f>
        <v>45</v>
      </c>
      <c r="I2915" s="30">
        <f t="shared" si="76"/>
        <v>56.25</v>
      </c>
    </row>
    <row r="2916" spans="6:9">
      <c r="F2916" s="12" t="str">
        <f>Absolute_Scores!F2916</f>
        <v>@lugnutz_aj</v>
      </c>
      <c r="G2916" s="12" t="str">
        <f>Absolute_Scores!G2916</f>
        <v>Instagram</v>
      </c>
      <c r="H2916" s="29">
        <f>Absolute_Scores!I2916</f>
        <v>45</v>
      </c>
      <c r="I2916" s="30">
        <f t="shared" si="76"/>
        <v>56.25</v>
      </c>
    </row>
    <row r="2917" spans="6:9">
      <c r="F2917" s="12" t="str">
        <f>Absolute_Scores!F2917</f>
        <v>@mutiaraarsya</v>
      </c>
      <c r="G2917" s="12" t="str">
        <f>Absolute_Scores!G2917</f>
        <v>Instagram</v>
      </c>
      <c r="H2917" s="29">
        <f>Absolute_Scores!I2917</f>
        <v>45</v>
      </c>
      <c r="I2917" s="30">
        <f t="shared" si="76"/>
        <v>56.25</v>
      </c>
    </row>
    <row r="2918" spans="6:9">
      <c r="F2918" s="12" t="str">
        <f>Absolute_Scores!F2918</f>
        <v>@nanamirdad_</v>
      </c>
      <c r="G2918" s="12" t="str">
        <f>Absolute_Scores!G2918</f>
        <v>Instagram</v>
      </c>
      <c r="H2918" s="29">
        <f>Absolute_Scores!I2918</f>
        <v>45</v>
      </c>
      <c r="I2918" s="30">
        <f t="shared" si="76"/>
        <v>56.25</v>
      </c>
    </row>
    <row r="2919" spans="6:9">
      <c r="F2919" s="12" t="str">
        <f>Absolute_Scores!F2919</f>
        <v>@noiaswari</v>
      </c>
      <c r="G2919" s="12" t="str">
        <f>Absolute_Scores!G2919</f>
        <v>Instagram</v>
      </c>
      <c r="H2919" s="29">
        <f>Absolute_Scores!I2919</f>
        <v>45</v>
      </c>
      <c r="I2919" s="30">
        <f t="shared" si="76"/>
        <v>56.25</v>
      </c>
    </row>
    <row r="2920" spans="6:9">
      <c r="F2920" s="12" t="str">
        <f>Absolute_Scores!F2920</f>
        <v>@nora_wuu</v>
      </c>
      <c r="G2920" s="12" t="str">
        <f>Absolute_Scores!G2920</f>
        <v>TikTok</v>
      </c>
      <c r="H2920" s="29">
        <f>Absolute_Scores!I2920</f>
        <v>45</v>
      </c>
      <c r="I2920" s="30">
        <f t="shared" si="76"/>
        <v>56.25</v>
      </c>
    </row>
    <row r="2921" spans="6:9">
      <c r="F2921" s="12" t="str">
        <f>Absolute_Scores!F2921</f>
        <v>@nsf_82</v>
      </c>
      <c r="G2921" s="12" t="str">
        <f>Absolute_Scores!G2921</f>
        <v>Instagram</v>
      </c>
      <c r="H2921" s="29">
        <f>Absolute_Scores!I2921</f>
        <v>45</v>
      </c>
      <c r="I2921" s="30">
        <f t="shared" si="76"/>
        <v>56.25</v>
      </c>
    </row>
    <row r="2922" spans="6:9">
      <c r="F2922" s="12" t="str">
        <f>Absolute_Scores!F2922</f>
        <v>@onyahero</v>
      </c>
      <c r="G2922" s="12" t="str">
        <f>Absolute_Scores!G2922</f>
        <v>Instagram</v>
      </c>
      <c r="H2922" s="29">
        <f>Absolute_Scores!I2922</f>
        <v>45</v>
      </c>
      <c r="I2922" s="30">
        <f t="shared" si="76"/>
        <v>56.25</v>
      </c>
    </row>
    <row r="2923" spans="6:9">
      <c r="F2923" s="12" t="str">
        <f>Absolute_Scores!F2923</f>
        <v>@penaattt</v>
      </c>
      <c r="G2923" s="12" t="str">
        <f>Absolute_Scores!G2923</f>
        <v>TikTok</v>
      </c>
      <c r="H2923" s="29">
        <f>Absolute_Scores!I2923</f>
        <v>45</v>
      </c>
      <c r="I2923" s="30">
        <f t="shared" si="76"/>
        <v>56.25</v>
      </c>
    </row>
    <row r="2924" spans="6:9">
      <c r="F2924" s="12" t="str">
        <f>Absolute_Scores!F2924</f>
        <v>@putrypurwantika</v>
      </c>
      <c r="G2924" s="12" t="str">
        <f>Absolute_Scores!G2924</f>
        <v>Instagram</v>
      </c>
      <c r="H2924" s="29">
        <f>Absolute_Scores!I2924</f>
        <v>45</v>
      </c>
      <c r="I2924" s="30">
        <f t="shared" si="76"/>
        <v>56.25</v>
      </c>
    </row>
    <row r="2925" spans="6:9">
      <c r="F2925" s="12" t="str">
        <f>Absolute_Scores!F2925</f>
        <v>@qanitafachirah</v>
      </c>
      <c r="G2925" s="12" t="str">
        <f>Absolute_Scores!G2925</f>
        <v>TikTok</v>
      </c>
      <c r="H2925" s="29">
        <f>Absolute_Scores!I2925</f>
        <v>45</v>
      </c>
      <c r="I2925" s="30">
        <f t="shared" si="76"/>
        <v>56.25</v>
      </c>
    </row>
    <row r="2926" spans="6:9">
      <c r="F2926" s="12" t="str">
        <f>Absolute_Scores!F2926</f>
        <v>@racuntikt0k__</v>
      </c>
      <c r="G2926" s="12" t="str">
        <f>Absolute_Scores!G2926</f>
        <v>TikTok</v>
      </c>
      <c r="H2926" s="29">
        <f>Absolute_Scores!I2926</f>
        <v>45</v>
      </c>
      <c r="I2926" s="30">
        <f t="shared" si="76"/>
        <v>56.25</v>
      </c>
    </row>
    <row r="2927" spans="6:9">
      <c r="F2927" s="12" t="str">
        <f>Absolute_Scores!F2927</f>
        <v>@salsabyyllaa</v>
      </c>
      <c r="G2927" s="12" t="str">
        <f>Absolute_Scores!G2927</f>
        <v>TikTok</v>
      </c>
      <c r="H2927" s="29">
        <f>Absolute_Scores!I2927</f>
        <v>45</v>
      </c>
      <c r="I2927" s="30">
        <f t="shared" si="76"/>
        <v>56.25</v>
      </c>
    </row>
    <row r="2928" spans="6:9">
      <c r="F2928" s="12" t="str">
        <f>Absolute_Scores!F2928</f>
        <v>@shaniaaaf</v>
      </c>
      <c r="G2928" s="12" t="str">
        <f>Absolute_Scores!G2928</f>
        <v>TikTok</v>
      </c>
      <c r="H2928" s="29">
        <f>Absolute_Scores!I2928</f>
        <v>45</v>
      </c>
      <c r="I2928" s="30">
        <f t="shared" si="76"/>
        <v>56.25</v>
      </c>
    </row>
    <row r="2929" spans="6:9">
      <c r="F2929" s="12" t="str">
        <f>Absolute_Scores!F2929</f>
        <v>@susijournal1509</v>
      </c>
      <c r="G2929" s="12" t="str">
        <f>Absolute_Scores!G2929</f>
        <v>Instagram</v>
      </c>
      <c r="H2929" s="29">
        <f>Absolute_Scores!I2929</f>
        <v>45</v>
      </c>
      <c r="I2929" s="30">
        <f t="shared" si="76"/>
        <v>56.25</v>
      </c>
    </row>
    <row r="2930" spans="6:9">
      <c r="F2930" s="12" t="str">
        <f>Absolute_Scores!F2930</f>
        <v>@tellyyasmine_</v>
      </c>
      <c r="G2930" s="12" t="str">
        <f>Absolute_Scores!G2930</f>
        <v>TikTok</v>
      </c>
      <c r="H2930" s="29">
        <f>Absolute_Scores!I2930</f>
        <v>45</v>
      </c>
      <c r="I2930" s="30">
        <f t="shared" si="76"/>
        <v>56.25</v>
      </c>
    </row>
    <row r="2931" spans="6:9">
      <c r="F2931" s="12" t="str">
        <f>Absolute_Scores!F2931</f>
        <v>@theopasaribu_</v>
      </c>
      <c r="G2931" s="12" t="str">
        <f>Absolute_Scores!G2931</f>
        <v>Instagram</v>
      </c>
      <c r="H2931" s="29">
        <f>Absolute_Scores!I2931</f>
        <v>45</v>
      </c>
      <c r="I2931" s="30">
        <f t="shared" si="76"/>
        <v>56.25</v>
      </c>
    </row>
    <row r="2932" spans="6:9">
      <c r="F2932" s="12" t="str">
        <f>Absolute_Scores!F2932</f>
        <v>@tia.sptn</v>
      </c>
      <c r="G2932" s="12" t="str">
        <f>Absolute_Scores!G2932</f>
        <v>TikTok</v>
      </c>
      <c r="H2932" s="29">
        <f>Absolute_Scores!I2932</f>
        <v>45</v>
      </c>
      <c r="I2932" s="30">
        <f t="shared" si="76"/>
        <v>56.25</v>
      </c>
    </row>
    <row r="2933" spans="6:9">
      <c r="F2933" s="12" t="str">
        <f>Absolute_Scores!F2933</f>
        <v>@timotiusmul</v>
      </c>
      <c r="G2933" s="12" t="str">
        <f>Absolute_Scores!G2933</f>
        <v>Instagram</v>
      </c>
      <c r="H2933" s="29">
        <f>Absolute_Scores!I2933</f>
        <v>45</v>
      </c>
      <c r="I2933" s="30">
        <f t="shared" si="76"/>
        <v>56.25</v>
      </c>
    </row>
    <row r="2934" spans="6:9">
      <c r="F2934" s="12" t="str">
        <f>Absolute_Scores!F2934</f>
        <v>@uchiruhendi</v>
      </c>
      <c r="G2934" s="12" t="str">
        <f>Absolute_Scores!G2934</f>
        <v>Instagram</v>
      </c>
      <c r="H2934" s="29">
        <f>Absolute_Scores!I2934</f>
        <v>45</v>
      </c>
      <c r="I2934" s="30">
        <f t="shared" si="76"/>
        <v>56.25</v>
      </c>
    </row>
    <row r="2935" spans="6:9">
      <c r="F2935" s="12" t="str">
        <f>Absolute_Scores!F2935</f>
        <v>@ullie_iswara</v>
      </c>
      <c r="G2935" s="12" t="str">
        <f>Absolute_Scores!G2935</f>
        <v>Instagram</v>
      </c>
      <c r="H2935" s="29">
        <f>Absolute_Scores!I2935</f>
        <v>45</v>
      </c>
      <c r="I2935" s="30">
        <f t="shared" si="76"/>
        <v>56.25</v>
      </c>
    </row>
    <row r="2936" spans="6:9">
      <c r="F2936" s="12" t="str">
        <f>Absolute_Scores!F2936</f>
        <v>@yolenta.joanna</v>
      </c>
      <c r="G2936" s="12" t="str">
        <f>Absolute_Scores!G2936</f>
        <v>TikTok</v>
      </c>
      <c r="H2936" s="29">
        <f>Absolute_Scores!I2936</f>
        <v>45</v>
      </c>
      <c r="I2936" s="30">
        <f t="shared" si="76"/>
        <v>56.25</v>
      </c>
    </row>
    <row r="2937" spans="6:9">
      <c r="F2937" s="12" t="str">
        <f>Absolute_Scores!F2937</f>
        <v>@zahra_puspita</v>
      </c>
      <c r="G2937" s="12" t="str">
        <f>Absolute_Scores!G2937</f>
        <v>Instagram</v>
      </c>
      <c r="H2937" s="29">
        <f>Absolute_Scores!I2937</f>
        <v>45</v>
      </c>
      <c r="I2937" s="30">
        <f t="shared" si="76"/>
        <v>56.25</v>
      </c>
    </row>
    <row r="2938" spans="6:9">
      <c r="F2938" s="12" t="str">
        <f>Absolute_Scores!F2938</f>
        <v>@_amelians</v>
      </c>
      <c r="G2938" s="12" t="str">
        <f>Absolute_Scores!G2938</f>
        <v>Instagram</v>
      </c>
      <c r="H2938" s="29">
        <f>Absolute_Scores!I2938</f>
        <v>44</v>
      </c>
      <c r="I2938" s="30">
        <f t="shared" si="76"/>
        <v>55</v>
      </c>
    </row>
    <row r="2939" spans="6:9">
      <c r="F2939" s="12" t="str">
        <f>Absolute_Scores!F2939</f>
        <v>@_ameliatriani</v>
      </c>
      <c r="G2939" s="12" t="str">
        <f>Absolute_Scores!G2939</f>
        <v>Instagram</v>
      </c>
      <c r="H2939" s="29">
        <f>Absolute_Scores!I2939</f>
        <v>44</v>
      </c>
      <c r="I2939" s="30">
        <f t="shared" si="76"/>
        <v>55</v>
      </c>
    </row>
    <row r="2940" spans="6:9">
      <c r="F2940" s="12" t="str">
        <f>Absolute_Scores!F2940</f>
        <v>@_ifa.sl</v>
      </c>
      <c r="G2940" s="12" t="str">
        <f>Absolute_Scores!G2940</f>
        <v>Instagram</v>
      </c>
      <c r="H2940" s="29">
        <f>Absolute_Scores!I2940</f>
        <v>44</v>
      </c>
      <c r="I2940" s="30">
        <f t="shared" si="76"/>
        <v>55</v>
      </c>
    </row>
    <row r="2941" spans="6:9">
      <c r="F2941" s="12" t="str">
        <f>Absolute_Scores!F2941</f>
        <v>@20.atim</v>
      </c>
      <c r="G2941" s="12" t="str">
        <f>Absolute_Scores!G2941</f>
        <v>Instagram</v>
      </c>
      <c r="H2941" s="29">
        <f>Absolute_Scores!I2941</f>
        <v>44</v>
      </c>
      <c r="I2941" s="30">
        <f t="shared" si="76"/>
        <v>55</v>
      </c>
    </row>
    <row r="2942" spans="6:9">
      <c r="F2942" s="12" t="str">
        <f>Absolute_Scores!F2942</f>
        <v>@3am_uzi</v>
      </c>
      <c r="G2942" s="12" t="str">
        <f>Absolute_Scores!G2942</f>
        <v>TikTok</v>
      </c>
      <c r="H2942" s="29">
        <f>Absolute_Scores!I2942</f>
        <v>44</v>
      </c>
      <c r="I2942" s="30">
        <f t="shared" si="76"/>
        <v>55</v>
      </c>
    </row>
    <row r="2943" spans="6:9">
      <c r="F2943" s="12" t="str">
        <f>Absolute_Scores!F2943</f>
        <v>@abrahamgustavito</v>
      </c>
      <c r="G2943" s="12" t="str">
        <f>Absolute_Scores!G2943</f>
        <v>TikTok</v>
      </c>
      <c r="H2943" s="29">
        <f>Absolute_Scores!I2943</f>
        <v>44</v>
      </c>
      <c r="I2943" s="30">
        <f t="shared" si="76"/>
        <v>55</v>
      </c>
    </row>
    <row r="2944" spans="6:9">
      <c r="F2944" s="12" t="str">
        <f>Absolute_Scores!F2944</f>
        <v>@accangdoedoe02</v>
      </c>
      <c r="G2944" s="12" t="str">
        <f>Absolute_Scores!G2944</f>
        <v>TikTok</v>
      </c>
      <c r="H2944" s="29">
        <f>Absolute_Scores!I2944</f>
        <v>44</v>
      </c>
      <c r="I2944" s="30">
        <f t="shared" si="76"/>
        <v>55</v>
      </c>
    </row>
    <row r="2945" spans="6:9">
      <c r="F2945" s="12" t="str">
        <f>Absolute_Scores!F2945</f>
        <v>@achtasyaiman</v>
      </c>
      <c r="G2945" s="12" t="str">
        <f>Absolute_Scores!G2945</f>
        <v>TikTok</v>
      </c>
      <c r="H2945" s="29">
        <f>Absolute_Scores!I2945</f>
        <v>44</v>
      </c>
      <c r="I2945" s="30">
        <f t="shared" si="76"/>
        <v>55</v>
      </c>
    </row>
    <row r="2946" spans="6:9">
      <c r="F2946" s="12" t="str">
        <f>Absolute_Scores!F2946</f>
        <v>@adam.vt7</v>
      </c>
      <c r="G2946" s="12" t="str">
        <f>Absolute_Scores!G2946</f>
        <v>TikTok</v>
      </c>
      <c r="H2946" s="29">
        <f>Absolute_Scores!I2946</f>
        <v>44</v>
      </c>
      <c r="I2946" s="30">
        <f t="shared" si="76"/>
        <v>55</v>
      </c>
    </row>
    <row r="2947" spans="6:9">
      <c r="F2947" s="12" t="str">
        <f>Absolute_Scores!F2947</f>
        <v>@addindaputri</v>
      </c>
      <c r="G2947" s="12" t="str">
        <f>Absolute_Scores!G2947</f>
        <v>Instagram</v>
      </c>
      <c r="H2947" s="29">
        <f>Absolute_Scores!I2947</f>
        <v>44</v>
      </c>
      <c r="I2947" s="30">
        <f t="shared" si="76"/>
        <v>55</v>
      </c>
    </row>
    <row r="2948" spans="6:9">
      <c r="F2948" s="12" t="str">
        <f>Absolute_Scores!F2948</f>
        <v>@adeaclaudiagunawan</v>
      </c>
      <c r="G2948" s="12" t="str">
        <f>Absolute_Scores!G2948</f>
        <v>Instagram</v>
      </c>
      <c r="H2948" s="29">
        <f>Absolute_Scores!I2948</f>
        <v>44</v>
      </c>
      <c r="I2948" s="30">
        <f t="shared" si="76"/>
        <v>55</v>
      </c>
    </row>
    <row r="2949" spans="6:9">
      <c r="F2949" s="12" t="str">
        <f>Absolute_Scores!F2949</f>
        <v>@adelastfriend</v>
      </c>
      <c r="G2949" s="12" t="str">
        <f>Absolute_Scores!G2949</f>
        <v>Instagram</v>
      </c>
      <c r="H2949" s="29">
        <f>Absolute_Scores!I2949</f>
        <v>44</v>
      </c>
      <c r="I2949" s="30">
        <f t="shared" si="76"/>
        <v>55</v>
      </c>
    </row>
    <row r="2950" spans="6:9">
      <c r="F2950" s="12" t="str">
        <f>Absolute_Scores!F2950</f>
        <v>@adelscooking</v>
      </c>
      <c r="G2950" s="12" t="str">
        <f>Absolute_Scores!G2950</f>
        <v>TikTok</v>
      </c>
      <c r="H2950" s="29">
        <f>Absolute_Scores!I2950</f>
        <v>44</v>
      </c>
      <c r="I2950" s="30">
        <f t="shared" ref="I2950:I3013" si="77">ROUND(H2950/$I$4*100,2)</f>
        <v>55</v>
      </c>
    </row>
    <row r="2951" spans="6:9">
      <c r="F2951" s="12" t="str">
        <f>Absolute_Scores!F2951</f>
        <v>@adhis_lilstar</v>
      </c>
      <c r="G2951" s="12" t="str">
        <f>Absolute_Scores!G2951</f>
        <v>Instagram</v>
      </c>
      <c r="H2951" s="29">
        <f>Absolute_Scores!I2951</f>
        <v>44</v>
      </c>
      <c r="I2951" s="30">
        <f t="shared" si="77"/>
        <v>55</v>
      </c>
    </row>
    <row r="2952" spans="6:9">
      <c r="F2952" s="12" t="str">
        <f>Absolute_Scores!F2952</f>
        <v>@adindadwa</v>
      </c>
      <c r="G2952" s="12" t="str">
        <f>Absolute_Scores!G2952</f>
        <v>Instagram</v>
      </c>
      <c r="H2952" s="29">
        <f>Absolute_Scores!I2952</f>
        <v>44</v>
      </c>
      <c r="I2952" s="30">
        <f t="shared" si="77"/>
        <v>55</v>
      </c>
    </row>
    <row r="2953" spans="6:9">
      <c r="F2953" s="12" t="str">
        <f>Absolute_Scores!F2953</f>
        <v>@adindavld</v>
      </c>
      <c r="G2953" s="12" t="str">
        <f>Absolute_Scores!G2953</f>
        <v>Instagram</v>
      </c>
      <c r="H2953" s="29">
        <f>Absolute_Scores!I2953</f>
        <v>44</v>
      </c>
      <c r="I2953" s="30">
        <f t="shared" si="77"/>
        <v>55</v>
      </c>
    </row>
    <row r="2954" spans="6:9">
      <c r="F2954" s="12" t="str">
        <f>Absolute_Scores!F2954</f>
        <v>@aevxfl.nss</v>
      </c>
      <c r="G2954" s="12" t="str">
        <f>Absolute_Scores!G2954</f>
        <v>Instagram</v>
      </c>
      <c r="H2954" s="29">
        <f>Absolute_Scores!I2954</f>
        <v>44</v>
      </c>
      <c r="I2954" s="30">
        <f t="shared" si="77"/>
        <v>55</v>
      </c>
    </row>
    <row r="2955" spans="6:9">
      <c r="F2955" s="12" t="str">
        <f>Absolute_Scores!F2955</f>
        <v>@agemmmmm</v>
      </c>
      <c r="G2955" s="12" t="str">
        <f>Absolute_Scores!G2955</f>
        <v>TikTok</v>
      </c>
      <c r="H2955" s="29">
        <f>Absolute_Scores!I2955</f>
        <v>44</v>
      </c>
      <c r="I2955" s="30">
        <f t="shared" si="77"/>
        <v>55</v>
      </c>
    </row>
    <row r="2956" spans="6:9">
      <c r="F2956" s="12" t="str">
        <f>Absolute_Scores!F2956</f>
        <v>@ai.aisia</v>
      </c>
      <c r="G2956" s="12" t="str">
        <f>Absolute_Scores!G2956</f>
        <v>Instagram</v>
      </c>
      <c r="H2956" s="29">
        <f>Absolute_Scores!I2956</f>
        <v>44</v>
      </c>
      <c r="I2956" s="30">
        <f t="shared" si="77"/>
        <v>55</v>
      </c>
    </row>
    <row r="2957" spans="6:9">
      <c r="F2957" s="12" t="str">
        <f>Absolute_Scores!F2957</f>
        <v>@aishinda25_</v>
      </c>
      <c r="G2957" s="12" t="str">
        <f>Absolute_Scores!G2957</f>
        <v>Instagram</v>
      </c>
      <c r="H2957" s="29">
        <f>Absolute_Scores!I2957</f>
        <v>44</v>
      </c>
      <c r="I2957" s="30">
        <f t="shared" si="77"/>
        <v>55</v>
      </c>
    </row>
    <row r="2958" spans="6:9">
      <c r="F2958" s="12" t="str">
        <f>Absolute_Scores!F2958</f>
        <v>@aisyafputri</v>
      </c>
      <c r="G2958" s="12" t="str">
        <f>Absolute_Scores!G2958</f>
        <v>TikTok</v>
      </c>
      <c r="H2958" s="29">
        <f>Absolute_Scores!I2958</f>
        <v>44</v>
      </c>
      <c r="I2958" s="30">
        <f t="shared" si="77"/>
        <v>55</v>
      </c>
    </row>
    <row r="2959" spans="6:9">
      <c r="F2959" s="12" t="str">
        <f>Absolute_Scores!F2959</f>
        <v>@ajengshinshin</v>
      </c>
      <c r="G2959" s="12" t="str">
        <f>Absolute_Scores!G2959</f>
        <v>Instagram</v>
      </c>
      <c r="H2959" s="29">
        <f>Absolute_Scores!I2959</f>
        <v>44</v>
      </c>
      <c r="I2959" s="30">
        <f t="shared" si="77"/>
        <v>55</v>
      </c>
    </row>
    <row r="2960" spans="6:9">
      <c r="F2960" s="12" t="str">
        <f>Absolute_Scores!F2960</f>
        <v>@aku_ratumauraaa</v>
      </c>
      <c r="G2960" s="12" t="str">
        <f>Absolute_Scores!G2960</f>
        <v>TikTok</v>
      </c>
      <c r="H2960" s="29">
        <f>Absolute_Scores!I2960</f>
        <v>44</v>
      </c>
      <c r="I2960" s="30">
        <f t="shared" si="77"/>
        <v>55</v>
      </c>
    </row>
    <row r="2961" spans="6:9">
      <c r="F2961" s="12" t="str">
        <f>Absolute_Scores!F2961</f>
        <v>@aku.madan</v>
      </c>
      <c r="G2961" s="12" t="str">
        <f>Absolute_Scores!G2961</f>
        <v>TikTok</v>
      </c>
      <c r="H2961" s="29">
        <f>Absolute_Scores!I2961</f>
        <v>44</v>
      </c>
      <c r="I2961" s="30">
        <f t="shared" si="77"/>
        <v>55</v>
      </c>
    </row>
    <row r="2962" spans="6:9">
      <c r="F2962" s="12" t="str">
        <f>Absolute_Scores!F2962</f>
        <v>@akuumii_94</v>
      </c>
      <c r="G2962" s="12" t="str">
        <f>Absolute_Scores!G2962</f>
        <v>Instagram</v>
      </c>
      <c r="H2962" s="29">
        <f>Absolute_Scores!I2962</f>
        <v>44</v>
      </c>
      <c r="I2962" s="30">
        <f t="shared" si="77"/>
        <v>55</v>
      </c>
    </row>
    <row r="2963" spans="6:9">
      <c r="F2963" s="12" t="str">
        <f>Absolute_Scores!F2963</f>
        <v>@alanddpradana</v>
      </c>
      <c r="G2963" s="12" t="str">
        <f>Absolute_Scores!G2963</f>
        <v>TikTok</v>
      </c>
      <c r="H2963" s="29">
        <f>Absolute_Scores!I2963</f>
        <v>44</v>
      </c>
      <c r="I2963" s="30">
        <f t="shared" si="77"/>
        <v>55</v>
      </c>
    </row>
    <row r="2964" spans="6:9">
      <c r="F2964" s="12" t="str">
        <f>Absolute_Scores!F2964</f>
        <v>@aldyroo</v>
      </c>
      <c r="G2964" s="12" t="str">
        <f>Absolute_Scores!G2964</f>
        <v>TikTok</v>
      </c>
      <c r="H2964" s="29">
        <f>Absolute_Scores!I2964</f>
        <v>44</v>
      </c>
      <c r="I2964" s="30">
        <f t="shared" si="77"/>
        <v>55</v>
      </c>
    </row>
    <row r="2965" spans="6:9">
      <c r="F2965" s="12" t="str">
        <f>Absolute_Scores!F2965</f>
        <v>@alfianalfarisqy</v>
      </c>
      <c r="G2965" s="12" t="str">
        <f>Absolute_Scores!G2965</f>
        <v>Instagram</v>
      </c>
      <c r="H2965" s="29">
        <f>Absolute_Scores!I2965</f>
        <v>44</v>
      </c>
      <c r="I2965" s="30">
        <f t="shared" si="77"/>
        <v>55</v>
      </c>
    </row>
    <row r="2966" spans="6:9">
      <c r="F2966" s="12" t="str">
        <f>Absolute_Scores!F2966</f>
        <v>@alicesanie</v>
      </c>
      <c r="G2966" s="12" t="str">
        <f>Absolute_Scores!G2966</f>
        <v>Instagram</v>
      </c>
      <c r="H2966" s="29">
        <f>Absolute_Scores!I2966</f>
        <v>44</v>
      </c>
      <c r="I2966" s="30">
        <f t="shared" si="77"/>
        <v>55</v>
      </c>
    </row>
    <row r="2967" spans="6:9">
      <c r="F2967" s="12" t="str">
        <f>Absolute_Scores!F2967</f>
        <v>@almahyraska</v>
      </c>
      <c r="G2967" s="12" t="str">
        <f>Absolute_Scores!G2967</f>
        <v>TikTok</v>
      </c>
      <c r="H2967" s="29">
        <f>Absolute_Scores!I2967</f>
        <v>44</v>
      </c>
      <c r="I2967" s="30">
        <f t="shared" si="77"/>
        <v>55</v>
      </c>
    </row>
    <row r="2968" spans="6:9">
      <c r="F2968" s="12" t="str">
        <f>Absolute_Scores!F2968</f>
        <v>@almamestika</v>
      </c>
      <c r="G2968" s="12" t="str">
        <f>Absolute_Scores!G2968</f>
        <v>Instagram</v>
      </c>
      <c r="H2968" s="29">
        <f>Absolute_Scores!I2968</f>
        <v>44</v>
      </c>
      <c r="I2968" s="30">
        <f t="shared" si="77"/>
        <v>55</v>
      </c>
    </row>
    <row r="2969" spans="6:9">
      <c r="F2969" s="12" t="str">
        <f>Absolute_Scores!F2969</f>
        <v>@alvitaangela19</v>
      </c>
      <c r="G2969" s="12" t="str">
        <f>Absolute_Scores!G2969</f>
        <v>TikTok</v>
      </c>
      <c r="H2969" s="29">
        <f>Absolute_Scores!I2969</f>
        <v>44</v>
      </c>
      <c r="I2969" s="30">
        <f t="shared" si="77"/>
        <v>55</v>
      </c>
    </row>
    <row r="2970" spans="6:9">
      <c r="F2970" s="12" t="str">
        <f>Absolute_Scores!F2970</f>
        <v>@alwinsast</v>
      </c>
      <c r="G2970" s="12" t="str">
        <f>Absolute_Scores!G2970</f>
        <v>TikTok</v>
      </c>
      <c r="H2970" s="29">
        <f>Absolute_Scores!I2970</f>
        <v>44</v>
      </c>
      <c r="I2970" s="30">
        <f t="shared" si="77"/>
        <v>55</v>
      </c>
    </row>
    <row r="2971" spans="6:9">
      <c r="F2971" s="12" t="str">
        <f>Absolute_Scores!F2971</f>
        <v>@alxndra.britney</v>
      </c>
      <c r="G2971" s="12" t="str">
        <f>Absolute_Scores!G2971</f>
        <v>Instagram</v>
      </c>
      <c r="H2971" s="29">
        <f>Absolute_Scores!I2971</f>
        <v>44</v>
      </c>
      <c r="I2971" s="30">
        <f t="shared" si="77"/>
        <v>55</v>
      </c>
    </row>
    <row r="2972" spans="6:9">
      <c r="F2972" s="12" t="str">
        <f>Absolute_Scores!F2972</f>
        <v>@amaliafebriyana</v>
      </c>
      <c r="G2972" s="12" t="str">
        <f>Absolute_Scores!G2972</f>
        <v>Instagram</v>
      </c>
      <c r="H2972" s="29">
        <f>Absolute_Scores!I2972</f>
        <v>44</v>
      </c>
      <c r="I2972" s="30">
        <f t="shared" si="77"/>
        <v>55</v>
      </c>
    </row>
    <row r="2973" spans="6:9">
      <c r="F2973" s="12" t="str">
        <f>Absolute_Scores!F2973</f>
        <v>@amandakohar</v>
      </c>
      <c r="G2973" s="12" t="str">
        <f>Absolute_Scores!G2973</f>
        <v>TikTok</v>
      </c>
      <c r="H2973" s="29">
        <f>Absolute_Scores!I2973</f>
        <v>44</v>
      </c>
      <c r="I2973" s="30">
        <f t="shared" si="77"/>
        <v>55</v>
      </c>
    </row>
    <row r="2974" spans="6:9">
      <c r="F2974" s="12" t="str">
        <f>Absolute_Scores!F2974</f>
        <v>@amandania922</v>
      </c>
      <c r="G2974" s="12" t="str">
        <f>Absolute_Scores!G2974</f>
        <v>Instagram</v>
      </c>
      <c r="H2974" s="29">
        <f>Absolute_Scores!I2974</f>
        <v>44</v>
      </c>
      <c r="I2974" s="30">
        <f t="shared" si="77"/>
        <v>55</v>
      </c>
    </row>
    <row r="2975" spans="6:9">
      <c r="F2975" s="12" t="str">
        <f>Absolute_Scores!F2975</f>
        <v>@amizahnadin</v>
      </c>
      <c r="G2975" s="12" t="str">
        <f>Absolute_Scores!G2975</f>
        <v>TikTok</v>
      </c>
      <c r="H2975" s="29">
        <f>Absolute_Scores!I2975</f>
        <v>44</v>
      </c>
      <c r="I2975" s="30">
        <f t="shared" si="77"/>
        <v>55</v>
      </c>
    </row>
    <row r="2976" spans="6:9">
      <c r="F2976" s="12" t="str">
        <f>Absolute_Scores!F2976</f>
        <v>@amy.gendhis</v>
      </c>
      <c r="G2976" s="12" t="str">
        <f>Absolute_Scores!G2976</f>
        <v>Instagram</v>
      </c>
      <c r="H2976" s="29">
        <f>Absolute_Scores!I2976</f>
        <v>44</v>
      </c>
      <c r="I2976" s="30">
        <f t="shared" si="77"/>
        <v>55</v>
      </c>
    </row>
    <row r="2977" spans="6:9">
      <c r="F2977" s="12" t="str">
        <f>Absolute_Scores!F2977</f>
        <v>@andinamerrysagita</v>
      </c>
      <c r="G2977" s="12" t="str">
        <f>Absolute_Scores!G2977</f>
        <v>Instagram</v>
      </c>
      <c r="H2977" s="29">
        <f>Absolute_Scores!I2977</f>
        <v>44</v>
      </c>
      <c r="I2977" s="30">
        <f t="shared" si="77"/>
        <v>55</v>
      </c>
    </row>
    <row r="2978" spans="6:9">
      <c r="F2978" s="12" t="str">
        <f>Absolute_Scores!F2978</f>
        <v>@andindseptina</v>
      </c>
      <c r="G2978" s="12" t="str">
        <f>Absolute_Scores!G2978</f>
        <v>Instagram</v>
      </c>
      <c r="H2978" s="29">
        <f>Absolute_Scores!I2978</f>
        <v>44</v>
      </c>
      <c r="I2978" s="30">
        <f t="shared" si="77"/>
        <v>55</v>
      </c>
    </row>
    <row r="2979" spans="6:9">
      <c r="F2979" s="12" t="str">
        <f>Absolute_Scores!F2979</f>
        <v>@andreastaulany</v>
      </c>
      <c r="G2979" s="12" t="str">
        <f>Absolute_Scores!G2979</f>
        <v>Instagram</v>
      </c>
      <c r="H2979" s="29">
        <f>Absolute_Scores!I2979</f>
        <v>44</v>
      </c>
      <c r="I2979" s="30">
        <f t="shared" si="77"/>
        <v>55</v>
      </c>
    </row>
    <row r="2980" spans="6:9">
      <c r="F2980" s="12" t="str">
        <f>Absolute_Scores!F2980</f>
        <v>@andrianilm</v>
      </c>
      <c r="G2980" s="12" t="str">
        <f>Absolute_Scores!G2980</f>
        <v>Instagram</v>
      </c>
      <c r="H2980" s="29">
        <f>Absolute_Scores!I2980</f>
        <v>44</v>
      </c>
      <c r="I2980" s="30">
        <f t="shared" si="77"/>
        <v>55</v>
      </c>
    </row>
    <row r="2981" spans="6:9">
      <c r="F2981" s="12" t="str">
        <f>Absolute_Scores!F2981</f>
        <v>@angelyn_bloom</v>
      </c>
      <c r="G2981" s="12" t="str">
        <f>Absolute_Scores!G2981</f>
        <v>Instagram</v>
      </c>
      <c r="H2981" s="29">
        <f>Absolute_Scores!I2981</f>
        <v>44</v>
      </c>
      <c r="I2981" s="30">
        <f t="shared" si="77"/>
        <v>55</v>
      </c>
    </row>
    <row r="2982" spans="6:9">
      <c r="F2982" s="12" t="str">
        <f>Absolute_Scores!F2982</f>
        <v>@anggie_ira</v>
      </c>
      <c r="G2982" s="12" t="str">
        <f>Absolute_Scores!G2982</f>
        <v>Instagram</v>
      </c>
      <c r="H2982" s="29">
        <f>Absolute_Scores!I2982</f>
        <v>44</v>
      </c>
      <c r="I2982" s="30">
        <f t="shared" si="77"/>
        <v>55</v>
      </c>
    </row>
    <row r="2983" spans="6:9">
      <c r="F2983" s="12" t="str">
        <f>Absolute_Scores!F2983</f>
        <v>@anggrayunita</v>
      </c>
      <c r="G2983" s="12" t="str">
        <f>Absolute_Scores!G2983</f>
        <v>Instagram</v>
      </c>
      <c r="H2983" s="29">
        <f>Absolute_Scores!I2983</f>
        <v>44</v>
      </c>
      <c r="I2983" s="30">
        <f t="shared" si="77"/>
        <v>55</v>
      </c>
    </row>
    <row r="2984" spans="6:9">
      <c r="F2984" s="12" t="str">
        <f>Absolute_Scores!F2984</f>
        <v>@anggun_sanisa_ms</v>
      </c>
      <c r="G2984" s="12" t="str">
        <f>Absolute_Scores!G2984</f>
        <v>Instagram</v>
      </c>
      <c r="H2984" s="29">
        <f>Absolute_Scores!I2984</f>
        <v>44</v>
      </c>
      <c r="I2984" s="30">
        <f t="shared" si="77"/>
        <v>55</v>
      </c>
    </row>
    <row r="2985" spans="6:9">
      <c r="F2985" s="12" t="str">
        <f>Absolute_Scores!F2985</f>
        <v>@anikwulan95</v>
      </c>
      <c r="G2985" s="12" t="str">
        <f>Absolute_Scores!G2985</f>
        <v>Instagram</v>
      </c>
      <c r="H2985" s="29">
        <f>Absolute_Scores!I2985</f>
        <v>44</v>
      </c>
      <c r="I2985" s="30">
        <f t="shared" si="77"/>
        <v>55</v>
      </c>
    </row>
    <row r="2986" spans="6:9">
      <c r="F2986" s="12" t="str">
        <f>Absolute_Scores!F2986</f>
        <v>@anisthesiahuda</v>
      </c>
      <c r="G2986" s="12" t="str">
        <f>Absolute_Scores!G2986</f>
        <v>Instagram</v>
      </c>
      <c r="H2986" s="29">
        <f>Absolute_Scores!I2986</f>
        <v>44</v>
      </c>
      <c r="I2986" s="30">
        <f t="shared" si="77"/>
        <v>55</v>
      </c>
    </row>
    <row r="2987" spans="6:9">
      <c r="F2987" s="12" t="str">
        <f>Absolute_Scores!F2987</f>
        <v>@anitadwi.handayani</v>
      </c>
      <c r="G2987" s="12" t="str">
        <f>Absolute_Scores!G2987</f>
        <v>Instagram</v>
      </c>
      <c r="H2987" s="29">
        <f>Absolute_Scores!I2987</f>
        <v>44</v>
      </c>
      <c r="I2987" s="30">
        <f t="shared" si="77"/>
        <v>55</v>
      </c>
    </row>
    <row r="2988" spans="6:9">
      <c r="F2988" s="12" t="str">
        <f>Absolute_Scores!F2988</f>
        <v>@anna.wulandari</v>
      </c>
      <c r="G2988" s="12" t="str">
        <f>Absolute_Scores!G2988</f>
        <v>Instagram</v>
      </c>
      <c r="H2988" s="29">
        <f>Absolute_Scores!I2988</f>
        <v>44</v>
      </c>
      <c r="I2988" s="30">
        <f t="shared" si="77"/>
        <v>55</v>
      </c>
    </row>
    <row r="2989" spans="6:9">
      <c r="F2989" s="12" t="str">
        <f>Absolute_Scores!F2989</f>
        <v>@annaanggunf</v>
      </c>
      <c r="G2989" s="12" t="str">
        <f>Absolute_Scores!G2989</f>
        <v>Instagram</v>
      </c>
      <c r="H2989" s="29">
        <f>Absolute_Scores!I2989</f>
        <v>44</v>
      </c>
      <c r="I2989" s="30">
        <f t="shared" si="77"/>
        <v>55</v>
      </c>
    </row>
    <row r="2990" spans="6:9">
      <c r="F2990" s="12" t="str">
        <f>Absolute_Scores!F2990</f>
        <v>@annisarisnasari</v>
      </c>
      <c r="G2990" s="12" t="str">
        <f>Absolute_Scores!G2990</f>
        <v>Instagram</v>
      </c>
      <c r="H2990" s="29">
        <f>Absolute_Scores!I2990</f>
        <v>44</v>
      </c>
      <c r="I2990" s="30">
        <f t="shared" si="77"/>
        <v>55</v>
      </c>
    </row>
    <row r="2991" spans="6:9">
      <c r="F2991" s="12" t="str">
        <f>Absolute_Scores!F2991</f>
        <v>@annissamunaf</v>
      </c>
      <c r="G2991" s="12" t="str">
        <f>Absolute_Scores!G2991</f>
        <v>Instagram</v>
      </c>
      <c r="H2991" s="29">
        <f>Absolute_Scores!I2991</f>
        <v>44</v>
      </c>
      <c r="I2991" s="30">
        <f t="shared" si="77"/>
        <v>55</v>
      </c>
    </row>
    <row r="2992" spans="6:9">
      <c r="F2992" s="12" t="str">
        <f>Absolute_Scores!F2992</f>
        <v>@anopqklmnvt</v>
      </c>
      <c r="G2992" s="12" t="str">
        <f>Absolute_Scores!G2992</f>
        <v>TikTok</v>
      </c>
      <c r="H2992" s="29">
        <f>Absolute_Scores!I2992</f>
        <v>44</v>
      </c>
      <c r="I2992" s="30">
        <f t="shared" si="77"/>
        <v>55</v>
      </c>
    </row>
    <row r="2993" spans="6:9">
      <c r="F2993" s="12" t="str">
        <f>Absolute_Scores!F2993</f>
        <v>@ansellbndy</v>
      </c>
      <c r="G2993" s="12" t="str">
        <f>Absolute_Scores!G2993</f>
        <v>TikTok</v>
      </c>
      <c r="H2993" s="29">
        <f>Absolute_Scores!I2993</f>
        <v>44</v>
      </c>
      <c r="I2993" s="30">
        <f t="shared" si="77"/>
        <v>55</v>
      </c>
    </row>
    <row r="2994" spans="6:9">
      <c r="F2994" s="12" t="str">
        <f>Absolute_Scores!F2994</f>
        <v>@anthonyhartono_</v>
      </c>
      <c r="G2994" s="12" t="str">
        <f>Absolute_Scores!G2994</f>
        <v>TikTok</v>
      </c>
      <c r="H2994" s="29">
        <f>Absolute_Scores!I2994</f>
        <v>44</v>
      </c>
      <c r="I2994" s="30">
        <f t="shared" si="77"/>
        <v>55</v>
      </c>
    </row>
    <row r="2995" spans="6:9">
      <c r="F2995" s="12" t="str">
        <f>Absolute_Scores!F2995</f>
        <v>@apriliaryani95</v>
      </c>
      <c r="G2995" s="12" t="str">
        <f>Absolute_Scores!G2995</f>
        <v>TikTok</v>
      </c>
      <c r="H2995" s="29">
        <f>Absolute_Scores!I2995</f>
        <v>44</v>
      </c>
      <c r="I2995" s="30">
        <f t="shared" si="77"/>
        <v>55</v>
      </c>
    </row>
    <row r="2996" spans="6:9">
      <c r="F2996" s="12" t="str">
        <f>Absolute_Scores!F2996</f>
        <v>@arifreyy</v>
      </c>
      <c r="G2996" s="12" t="str">
        <f>Absolute_Scores!G2996</f>
        <v>TikTok</v>
      </c>
      <c r="H2996" s="29">
        <f>Absolute_Scores!I2996</f>
        <v>44</v>
      </c>
      <c r="I2996" s="30">
        <f t="shared" si="77"/>
        <v>55</v>
      </c>
    </row>
    <row r="2997" spans="6:9">
      <c r="F2997" s="12" t="str">
        <f>Absolute_Scores!F2997</f>
        <v>@ariyanipe</v>
      </c>
      <c r="G2997" s="12" t="str">
        <f>Absolute_Scores!G2997</f>
        <v>Instagram</v>
      </c>
      <c r="H2997" s="29">
        <f>Absolute_Scores!I2997</f>
        <v>44</v>
      </c>
      <c r="I2997" s="30">
        <f t="shared" si="77"/>
        <v>55</v>
      </c>
    </row>
    <row r="2998" spans="6:9">
      <c r="F2998" s="12" t="str">
        <f>Absolute_Scores!F2998</f>
        <v>@arofah_24</v>
      </c>
      <c r="G2998" s="12" t="str">
        <f>Absolute_Scores!G2998</f>
        <v>Instagram</v>
      </c>
      <c r="H2998" s="29">
        <f>Absolute_Scores!I2998</f>
        <v>44</v>
      </c>
      <c r="I2998" s="30">
        <f t="shared" si="77"/>
        <v>55</v>
      </c>
    </row>
    <row r="2999" spans="6:9">
      <c r="F2999" s="12" t="str">
        <f>Absolute_Scores!F2999</f>
        <v>@arum.triw</v>
      </c>
      <c r="G2999" s="12" t="str">
        <f>Absolute_Scores!G2999</f>
        <v>Instagram</v>
      </c>
      <c r="H2999" s="29">
        <f>Absolute_Scores!I2999</f>
        <v>44</v>
      </c>
      <c r="I2999" s="30">
        <f t="shared" si="77"/>
        <v>55</v>
      </c>
    </row>
    <row r="3000" spans="6:9">
      <c r="F3000" s="12" t="str">
        <f>Absolute_Scores!F3000</f>
        <v>@arumi_andhara</v>
      </c>
      <c r="G3000" s="12" t="str">
        <f>Absolute_Scores!G3000</f>
        <v>Instagram</v>
      </c>
      <c r="H3000" s="29">
        <f>Absolute_Scores!I3000</f>
        <v>44</v>
      </c>
      <c r="I3000" s="30">
        <f t="shared" si="77"/>
        <v>55</v>
      </c>
    </row>
    <row r="3001" spans="6:9">
      <c r="F3001" s="12" t="str">
        <f>Absolute_Scores!F3001</f>
        <v>@astrityas</v>
      </c>
      <c r="G3001" s="12" t="str">
        <f>Absolute_Scores!G3001</f>
        <v>Instagram</v>
      </c>
      <c r="H3001" s="29">
        <f>Absolute_Scores!I3001</f>
        <v>44</v>
      </c>
      <c r="I3001" s="30">
        <f t="shared" si="77"/>
        <v>55</v>
      </c>
    </row>
    <row r="3002" spans="6:9">
      <c r="F3002" s="12" t="str">
        <f>Absolute_Scores!F3002</f>
        <v>@atikahhermani</v>
      </c>
      <c r="G3002" s="12" t="str">
        <f>Absolute_Scores!G3002</f>
        <v>Instagram</v>
      </c>
      <c r="H3002" s="29">
        <f>Absolute_Scores!I3002</f>
        <v>44</v>
      </c>
      <c r="I3002" s="30">
        <f t="shared" si="77"/>
        <v>55</v>
      </c>
    </row>
    <row r="3003" spans="6:9">
      <c r="F3003" s="12" t="str">
        <f>Absolute_Scores!F3003</f>
        <v>@auliaarosyid</v>
      </c>
      <c r="G3003" s="12" t="str">
        <f>Absolute_Scores!G3003</f>
        <v>Instagram</v>
      </c>
      <c r="H3003" s="29">
        <f>Absolute_Scores!I3003</f>
        <v>44</v>
      </c>
      <c r="I3003" s="30">
        <f t="shared" si="77"/>
        <v>55</v>
      </c>
    </row>
    <row r="3004" spans="6:9">
      <c r="F3004" s="12" t="str">
        <f>Absolute_Scores!F3004</f>
        <v>@auliaaseptiani</v>
      </c>
      <c r="G3004" s="12" t="str">
        <f>Absolute_Scores!G3004</f>
        <v>Instagram</v>
      </c>
      <c r="H3004" s="29">
        <f>Absolute_Scores!I3004</f>
        <v>44</v>
      </c>
      <c r="I3004" s="30">
        <f t="shared" si="77"/>
        <v>55</v>
      </c>
    </row>
    <row r="3005" spans="6:9">
      <c r="F3005" s="12" t="str">
        <f>Absolute_Scores!F3005</f>
        <v>@awulaans</v>
      </c>
      <c r="G3005" s="12" t="str">
        <f>Absolute_Scores!G3005</f>
        <v>Instagram</v>
      </c>
      <c r="H3005" s="29">
        <f>Absolute_Scores!I3005</f>
        <v>44</v>
      </c>
      <c r="I3005" s="30">
        <f t="shared" si="77"/>
        <v>55</v>
      </c>
    </row>
    <row r="3006" spans="6:9">
      <c r="F3006" s="12" t="str">
        <f>Absolute_Scores!F3006</f>
        <v>@aymanalatas</v>
      </c>
      <c r="G3006" s="12" t="str">
        <f>Absolute_Scores!G3006</f>
        <v>Instagram</v>
      </c>
      <c r="H3006" s="29">
        <f>Absolute_Scores!I3006</f>
        <v>44</v>
      </c>
      <c r="I3006" s="30">
        <f t="shared" si="77"/>
        <v>55</v>
      </c>
    </row>
    <row r="3007" spans="6:9">
      <c r="F3007" s="12" t="str">
        <f>Absolute_Scores!F3007</f>
        <v>@ayuandrni_</v>
      </c>
      <c r="G3007" s="12" t="str">
        <f>Absolute_Scores!G3007</f>
        <v>Instagram</v>
      </c>
      <c r="H3007" s="29">
        <f>Absolute_Scores!I3007</f>
        <v>44</v>
      </c>
      <c r="I3007" s="30">
        <f t="shared" si="77"/>
        <v>55</v>
      </c>
    </row>
    <row r="3008" spans="6:9">
      <c r="F3008" s="12" t="str">
        <f>Absolute_Scores!F3008</f>
        <v>@ayuku1234</v>
      </c>
      <c r="G3008" s="12" t="str">
        <f>Absolute_Scores!G3008</f>
        <v>Instagram</v>
      </c>
      <c r="H3008" s="29">
        <f>Absolute_Scores!I3008</f>
        <v>44</v>
      </c>
      <c r="I3008" s="30">
        <f t="shared" si="77"/>
        <v>55</v>
      </c>
    </row>
    <row r="3009" spans="6:9">
      <c r="F3009" s="12" t="str">
        <f>Absolute_Scores!F3009</f>
        <v>@ayutrianah.d</v>
      </c>
      <c r="G3009" s="12" t="str">
        <f>Absolute_Scores!G3009</f>
        <v>Instagram</v>
      </c>
      <c r="H3009" s="29">
        <f>Absolute_Scores!I3009</f>
        <v>44</v>
      </c>
      <c r="I3009" s="30">
        <f t="shared" si="77"/>
        <v>55</v>
      </c>
    </row>
    <row r="3010" spans="6:9">
      <c r="F3010" s="12" t="str">
        <f>Absolute_Scores!F3010</f>
        <v>@azxrne</v>
      </c>
      <c r="G3010" s="12" t="str">
        <f>Absolute_Scores!G3010</f>
        <v>Instagram</v>
      </c>
      <c r="H3010" s="29">
        <f>Absolute_Scores!I3010</f>
        <v>44</v>
      </c>
      <c r="I3010" s="30">
        <f t="shared" si="77"/>
        <v>55</v>
      </c>
    </row>
    <row r="3011" spans="6:9">
      <c r="F3011" s="12" t="str">
        <f>Absolute_Scores!F3011</f>
        <v>@baddiebaday</v>
      </c>
      <c r="G3011" s="12" t="str">
        <f>Absolute_Scores!G3011</f>
        <v>TikTok</v>
      </c>
      <c r="H3011" s="29">
        <f>Absolute_Scores!I3011</f>
        <v>44</v>
      </c>
      <c r="I3011" s="30">
        <f t="shared" si="77"/>
        <v>55</v>
      </c>
    </row>
    <row r="3012" spans="6:9">
      <c r="F3012" s="12" t="str">
        <f>Absolute_Scores!F3012</f>
        <v>@bahaghiya</v>
      </c>
      <c r="G3012" s="12" t="str">
        <f>Absolute_Scores!G3012</f>
        <v>Instagram</v>
      </c>
      <c r="H3012" s="29">
        <f>Absolute_Scores!I3012</f>
        <v>44</v>
      </c>
      <c r="I3012" s="30">
        <f t="shared" si="77"/>
        <v>55</v>
      </c>
    </row>
    <row r="3013" spans="6:9">
      <c r="F3013" s="12" t="str">
        <f>Absolute_Scores!F3013</f>
        <v>@bananatall</v>
      </c>
      <c r="G3013" s="12" t="str">
        <f>Absolute_Scores!G3013</f>
        <v>TikTok</v>
      </c>
      <c r="H3013" s="29">
        <f>Absolute_Scores!I3013</f>
        <v>44</v>
      </c>
      <c r="I3013" s="30">
        <f t="shared" si="77"/>
        <v>55</v>
      </c>
    </row>
    <row r="3014" spans="6:9">
      <c r="F3014" s="12" t="str">
        <f>Absolute_Scores!F3014</f>
        <v>@bbykevv_</v>
      </c>
      <c r="G3014" s="12" t="str">
        <f>Absolute_Scores!G3014</f>
        <v>TikTok</v>
      </c>
      <c r="H3014" s="29">
        <f>Absolute_Scores!I3014</f>
        <v>44</v>
      </c>
      <c r="I3014" s="30">
        <f t="shared" ref="I3014:I3077" si="78">ROUND(H3014/$I$4*100,2)</f>
        <v>55</v>
      </c>
    </row>
    <row r="3015" spans="6:9">
      <c r="F3015" s="12" t="str">
        <f>Absolute_Scores!F3015</f>
        <v>@bd_yanis</v>
      </c>
      <c r="G3015" s="12" t="str">
        <f>Absolute_Scores!G3015</f>
        <v>Instagram</v>
      </c>
      <c r="H3015" s="29">
        <f>Absolute_Scores!I3015</f>
        <v>44</v>
      </c>
      <c r="I3015" s="30">
        <f t="shared" si="78"/>
        <v>55</v>
      </c>
    </row>
    <row r="3016" spans="6:9">
      <c r="F3016" s="12" t="str">
        <f>Absolute_Scores!F3016</f>
        <v>@bebytsabinaa</v>
      </c>
      <c r="G3016" s="12" t="str">
        <f>Absolute_Scores!G3016</f>
        <v>TikTok</v>
      </c>
      <c r="H3016" s="29">
        <f>Absolute_Scores!I3016</f>
        <v>44</v>
      </c>
      <c r="I3016" s="30">
        <f t="shared" si="78"/>
        <v>55</v>
      </c>
    </row>
    <row r="3017" spans="6:9">
      <c r="F3017" s="12" t="str">
        <f>Absolute_Scores!F3017</f>
        <v>@bramrpaa</v>
      </c>
      <c r="G3017" s="12" t="str">
        <f>Absolute_Scores!G3017</f>
        <v>TikTok</v>
      </c>
      <c r="H3017" s="29">
        <f>Absolute_Scores!I3017</f>
        <v>44</v>
      </c>
      <c r="I3017" s="30">
        <f t="shared" si="78"/>
        <v>55</v>
      </c>
    </row>
    <row r="3018" spans="6:9">
      <c r="F3018" s="12" t="str">
        <f>Absolute_Scores!F3018</f>
        <v>@bunda_erhan_rafisqy</v>
      </c>
      <c r="G3018" s="12" t="str">
        <f>Absolute_Scores!G3018</f>
        <v>Instagram</v>
      </c>
      <c r="H3018" s="29">
        <f>Absolute_Scores!I3018</f>
        <v>44</v>
      </c>
      <c r="I3018" s="30">
        <f t="shared" si="78"/>
        <v>55</v>
      </c>
    </row>
    <row r="3019" spans="6:9">
      <c r="F3019" s="12" t="str">
        <f>Absolute_Scores!F3019</f>
        <v>@bundahamster</v>
      </c>
      <c r="G3019" s="12" t="str">
        <f>Absolute_Scores!G3019</f>
        <v>TikTok</v>
      </c>
      <c r="H3019" s="29">
        <f>Absolute_Scores!I3019</f>
        <v>44</v>
      </c>
      <c r="I3019" s="30">
        <f t="shared" si="78"/>
        <v>55</v>
      </c>
    </row>
    <row r="3020" spans="6:9">
      <c r="F3020" s="12" t="str">
        <f>Absolute_Scores!F3020</f>
        <v>@bundaqueensha26</v>
      </c>
      <c r="G3020" s="12" t="str">
        <f>Absolute_Scores!G3020</f>
        <v>Instagram</v>
      </c>
      <c r="H3020" s="29">
        <f>Absolute_Scores!I3020</f>
        <v>44</v>
      </c>
      <c r="I3020" s="30">
        <f t="shared" si="78"/>
        <v>55</v>
      </c>
    </row>
    <row r="3021" spans="6:9">
      <c r="F3021" s="12" t="str">
        <f>Absolute_Scores!F3021</f>
        <v>@cacamoora</v>
      </c>
      <c r="G3021" s="12" t="str">
        <f>Absolute_Scores!G3021</f>
        <v>TikTok</v>
      </c>
      <c r="H3021" s="29">
        <f>Absolute_Scores!I3021</f>
        <v>44</v>
      </c>
      <c r="I3021" s="30">
        <f t="shared" si="78"/>
        <v>55</v>
      </c>
    </row>
    <row r="3022" spans="6:9">
      <c r="F3022" s="12" t="str">
        <f>Absolute_Scores!F3022</f>
        <v>@caesarlaineanggi2</v>
      </c>
      <c r="G3022" s="12" t="str">
        <f>Absolute_Scores!G3022</f>
        <v>Instagram</v>
      </c>
      <c r="H3022" s="29">
        <f>Absolute_Scores!I3022</f>
        <v>44</v>
      </c>
      <c r="I3022" s="30">
        <f t="shared" si="78"/>
        <v>55</v>
      </c>
    </row>
    <row r="3023" spans="6:9">
      <c r="F3023" s="12" t="str">
        <f>Absolute_Scores!F3023</f>
        <v>@callmeastri</v>
      </c>
      <c r="G3023" s="12" t="str">
        <f>Absolute_Scores!G3023</f>
        <v>Instagram</v>
      </c>
      <c r="H3023" s="29">
        <f>Absolute_Scores!I3023</f>
        <v>44</v>
      </c>
      <c r="I3023" s="30">
        <f t="shared" si="78"/>
        <v>55</v>
      </c>
    </row>
    <row r="3024" spans="6:9">
      <c r="F3024" s="12" t="str">
        <f>Absolute_Scores!F3024</f>
        <v>@cchooxx</v>
      </c>
      <c r="G3024" s="12" t="str">
        <f>Absolute_Scores!G3024</f>
        <v>Instagram</v>
      </c>
      <c r="H3024" s="29">
        <f>Absolute_Scores!I3024</f>
        <v>44</v>
      </c>
      <c r="I3024" s="30">
        <f t="shared" si="78"/>
        <v>55</v>
      </c>
    </row>
    <row r="3025" spans="6:9">
      <c r="F3025" s="12" t="str">
        <f>Absolute_Scores!F3025</f>
        <v>@chaerunnisa_imr</v>
      </c>
      <c r="G3025" s="12" t="str">
        <f>Absolute_Scores!G3025</f>
        <v>Instagram</v>
      </c>
      <c r="H3025" s="29">
        <f>Absolute_Scores!I3025</f>
        <v>44</v>
      </c>
      <c r="I3025" s="30">
        <f t="shared" si="78"/>
        <v>55</v>
      </c>
    </row>
    <row r="3026" spans="6:9">
      <c r="F3026" s="12" t="str">
        <f>Absolute_Scores!F3026</f>
        <v>@chrislin.chrislin</v>
      </c>
      <c r="G3026" s="12" t="str">
        <f>Absolute_Scores!G3026</f>
        <v>TikTok</v>
      </c>
      <c r="H3026" s="29">
        <f>Absolute_Scores!I3026</f>
        <v>44</v>
      </c>
      <c r="I3026" s="30">
        <f t="shared" si="78"/>
        <v>55</v>
      </c>
    </row>
    <row r="3027" spans="6:9">
      <c r="F3027" s="12" t="str">
        <f>Absolute_Scores!F3027</f>
        <v>@chxrryblssom</v>
      </c>
      <c r="G3027" s="12" t="str">
        <f>Absolute_Scores!G3027</f>
        <v>Instagram</v>
      </c>
      <c r="H3027" s="29">
        <f>Absolute_Scores!I3027</f>
        <v>44</v>
      </c>
      <c r="I3027" s="30">
        <f t="shared" si="78"/>
        <v>55</v>
      </c>
    </row>
    <row r="3028" spans="6:9">
      <c r="F3028" s="12" t="str">
        <f>Absolute_Scores!F3028</f>
        <v>@ciasootd</v>
      </c>
      <c r="G3028" s="12" t="str">
        <f>Absolute_Scores!G3028</f>
        <v>TikTok</v>
      </c>
      <c r="H3028" s="29">
        <f>Absolute_Scores!I3028</f>
        <v>44</v>
      </c>
      <c r="I3028" s="30">
        <f t="shared" si="78"/>
        <v>55</v>
      </c>
    </row>
    <row r="3029" spans="6:9">
      <c r="F3029" s="12" t="str">
        <f>Absolute_Scores!F3029</f>
        <v>@cicinviaa_</v>
      </c>
      <c r="G3029" s="12" t="str">
        <f>Absolute_Scores!G3029</f>
        <v>Instagram</v>
      </c>
      <c r="H3029" s="29">
        <f>Absolute_Scores!I3029</f>
        <v>44</v>
      </c>
      <c r="I3029" s="30">
        <f t="shared" si="78"/>
        <v>55</v>
      </c>
    </row>
    <row r="3030" spans="6:9">
      <c r="F3030" s="12" t="str">
        <f>Absolute_Scores!F3030</f>
        <v>@cindyjessiica</v>
      </c>
      <c r="G3030" s="12" t="str">
        <f>Absolute_Scores!G3030</f>
        <v>Instagram</v>
      </c>
      <c r="H3030" s="29">
        <f>Absolute_Scores!I3030</f>
        <v>44</v>
      </c>
      <c r="I3030" s="30">
        <f t="shared" si="78"/>
        <v>55</v>
      </c>
    </row>
    <row r="3031" spans="6:9">
      <c r="F3031" s="12" t="str">
        <f>Absolute_Scores!F3031</f>
        <v>@cio.uhay</v>
      </c>
      <c r="G3031" s="12" t="str">
        <f>Absolute_Scores!G3031</f>
        <v>Instagram</v>
      </c>
      <c r="H3031" s="29">
        <f>Absolute_Scores!I3031</f>
        <v>44</v>
      </c>
      <c r="I3031" s="30">
        <f t="shared" si="78"/>
        <v>55</v>
      </c>
    </row>
    <row r="3032" spans="6:9">
      <c r="F3032" s="12" t="str">
        <f>Absolute_Scores!F3032</f>
        <v>@citatociki</v>
      </c>
      <c r="G3032" s="12" t="str">
        <f>Absolute_Scores!G3032</f>
        <v>TikTok</v>
      </c>
      <c r="H3032" s="29">
        <f>Absolute_Scores!I3032</f>
        <v>44</v>
      </c>
      <c r="I3032" s="30">
        <f t="shared" si="78"/>
        <v>55</v>
      </c>
    </row>
    <row r="3033" spans="6:9">
      <c r="F3033" s="12" t="str">
        <f>Absolute_Scores!F3033</f>
        <v>@clarinapriliap</v>
      </c>
      <c r="G3033" s="12" t="str">
        <f>Absolute_Scores!G3033</f>
        <v>Instagram</v>
      </c>
      <c r="H3033" s="29">
        <f>Absolute_Scores!I3033</f>
        <v>44</v>
      </c>
      <c r="I3033" s="30">
        <f t="shared" si="78"/>
        <v>55</v>
      </c>
    </row>
    <row r="3034" spans="6:9">
      <c r="F3034" s="12" t="str">
        <f>Absolute_Scores!F3034</f>
        <v>@crismafh</v>
      </c>
      <c r="G3034" s="12" t="str">
        <f>Absolute_Scores!G3034</f>
        <v>Instagram</v>
      </c>
      <c r="H3034" s="29">
        <f>Absolute_Scores!I3034</f>
        <v>44</v>
      </c>
      <c r="I3034" s="30">
        <f t="shared" si="78"/>
        <v>55</v>
      </c>
    </row>
    <row r="3035" spans="6:9">
      <c r="F3035" s="12" t="str">
        <f>Absolute_Scores!F3035</f>
        <v>@cut_icha</v>
      </c>
      <c r="G3035" s="12" t="str">
        <f>Absolute_Scores!G3035</f>
        <v>TikTok</v>
      </c>
      <c r="H3035" s="29">
        <f>Absolute_Scores!I3035</f>
        <v>44</v>
      </c>
      <c r="I3035" s="30">
        <f t="shared" si="78"/>
        <v>55</v>
      </c>
    </row>
    <row r="3036" spans="6:9">
      <c r="F3036" s="12" t="str">
        <f>Absolute_Scores!F3036</f>
        <v>@cuterthandell</v>
      </c>
      <c r="G3036" s="12" t="str">
        <f>Absolute_Scores!G3036</f>
        <v>TikTok</v>
      </c>
      <c r="H3036" s="29">
        <f>Absolute_Scores!I3036</f>
        <v>44</v>
      </c>
      <c r="I3036" s="30">
        <f t="shared" si="78"/>
        <v>55</v>
      </c>
    </row>
    <row r="3037" spans="6:9">
      <c r="F3037" s="12" t="str">
        <f>Absolute_Scores!F3037</f>
        <v>@dameriagullo</v>
      </c>
      <c r="G3037" s="12" t="str">
        <f>Absolute_Scores!G3037</f>
        <v>Instagram</v>
      </c>
      <c r="H3037" s="29">
        <f>Absolute_Scores!I3037</f>
        <v>44</v>
      </c>
      <c r="I3037" s="30">
        <f t="shared" si="78"/>
        <v>55</v>
      </c>
    </row>
    <row r="3038" spans="6:9">
      <c r="F3038" s="12" t="str">
        <f>Absolute_Scores!F3038</f>
        <v>@danialyaa_</v>
      </c>
      <c r="G3038" s="12" t="str">
        <f>Absolute_Scores!G3038</f>
        <v>Instagram</v>
      </c>
      <c r="H3038" s="29">
        <f>Absolute_Scores!I3038</f>
        <v>44</v>
      </c>
      <c r="I3038" s="30">
        <f t="shared" si="78"/>
        <v>55</v>
      </c>
    </row>
    <row r="3039" spans="6:9">
      <c r="F3039" s="12" t="str">
        <f>Absolute_Scores!F3039</f>
        <v>@dantifaramita</v>
      </c>
      <c r="G3039" s="12" t="str">
        <f>Absolute_Scores!G3039</f>
        <v>Instagram</v>
      </c>
      <c r="H3039" s="29">
        <f>Absolute_Scores!I3039</f>
        <v>44</v>
      </c>
      <c r="I3039" s="30">
        <f t="shared" si="78"/>
        <v>55</v>
      </c>
    </row>
    <row r="3040" spans="6:9">
      <c r="F3040" s="12" t="str">
        <f>Absolute_Scores!F3040</f>
        <v>@datikk</v>
      </c>
      <c r="G3040" s="12" t="str">
        <f>Absolute_Scores!G3040</f>
        <v>Instagram</v>
      </c>
      <c r="H3040" s="29">
        <f>Absolute_Scores!I3040</f>
        <v>44</v>
      </c>
      <c r="I3040" s="30">
        <f t="shared" si="78"/>
        <v>55</v>
      </c>
    </row>
    <row r="3041" spans="6:9">
      <c r="F3041" s="12" t="str">
        <f>Absolute_Scores!F3041</f>
        <v>@davidwijaya23</v>
      </c>
      <c r="G3041" s="12" t="str">
        <f>Absolute_Scores!G3041</f>
        <v>Instagram</v>
      </c>
      <c r="H3041" s="29">
        <f>Absolute_Scores!I3041</f>
        <v>44</v>
      </c>
      <c r="I3041" s="30">
        <f t="shared" si="78"/>
        <v>55</v>
      </c>
    </row>
    <row r="3042" spans="6:9">
      <c r="F3042" s="12" t="str">
        <f>Absolute_Scores!F3042</f>
        <v>@deandranditaa</v>
      </c>
      <c r="G3042" s="12" t="str">
        <f>Absolute_Scores!G3042</f>
        <v>TikTok</v>
      </c>
      <c r="H3042" s="29">
        <f>Absolute_Scores!I3042</f>
        <v>44</v>
      </c>
      <c r="I3042" s="30">
        <f t="shared" si="78"/>
        <v>55</v>
      </c>
    </row>
    <row r="3043" spans="6:9">
      <c r="F3043" s="12" t="str">
        <f>Absolute_Scores!F3043</f>
        <v>@deaputrik</v>
      </c>
      <c r="G3043" s="12" t="str">
        <f>Absolute_Scores!G3043</f>
        <v>Instagram</v>
      </c>
      <c r="H3043" s="29">
        <f>Absolute_Scores!I3043</f>
        <v>44</v>
      </c>
      <c r="I3043" s="30">
        <f t="shared" si="78"/>
        <v>55</v>
      </c>
    </row>
    <row r="3044" spans="6:9">
      <c r="F3044" s="12" t="str">
        <f>Absolute_Scores!F3044</f>
        <v>@deavalenta</v>
      </c>
      <c r="G3044" s="12" t="str">
        <f>Absolute_Scores!G3044</f>
        <v>Instagram</v>
      </c>
      <c r="H3044" s="29">
        <f>Absolute_Scores!I3044</f>
        <v>44</v>
      </c>
      <c r="I3044" s="30">
        <f t="shared" si="78"/>
        <v>55</v>
      </c>
    </row>
    <row r="3045" spans="6:9">
      <c r="F3045" s="12" t="str">
        <f>Absolute_Scores!F3045</f>
        <v>@deckyrs</v>
      </c>
      <c r="G3045" s="12" t="str">
        <f>Absolute_Scores!G3045</f>
        <v>TikTok</v>
      </c>
      <c r="H3045" s="29">
        <f>Absolute_Scores!I3045</f>
        <v>44</v>
      </c>
      <c r="I3045" s="30">
        <f t="shared" si="78"/>
        <v>55</v>
      </c>
    </row>
    <row r="3046" spans="6:9">
      <c r="F3046" s="12" t="str">
        <f>Absolute_Scores!F3046</f>
        <v>@deeassyy</v>
      </c>
      <c r="G3046" s="12" t="str">
        <f>Absolute_Scores!G3046</f>
        <v>Instagram</v>
      </c>
      <c r="H3046" s="29">
        <f>Absolute_Scores!I3046</f>
        <v>44</v>
      </c>
      <c r="I3046" s="30">
        <f t="shared" si="78"/>
        <v>55</v>
      </c>
    </row>
    <row r="3047" spans="6:9">
      <c r="F3047" s="12" t="str">
        <f>Absolute_Scores!F3047</f>
        <v>@delalune_</v>
      </c>
      <c r="G3047" s="12" t="str">
        <f>Absolute_Scores!G3047</f>
        <v>TikTok</v>
      </c>
      <c r="H3047" s="29">
        <f>Absolute_Scores!I3047</f>
        <v>44</v>
      </c>
      <c r="I3047" s="30">
        <f t="shared" si="78"/>
        <v>55</v>
      </c>
    </row>
    <row r="3048" spans="6:9">
      <c r="F3048" s="12" t="str">
        <f>Absolute_Scores!F3048</f>
        <v>@delladelnr</v>
      </c>
      <c r="G3048" s="12" t="str">
        <f>Absolute_Scores!G3048</f>
        <v>Instagram</v>
      </c>
      <c r="H3048" s="29">
        <f>Absolute_Scores!I3048</f>
        <v>44</v>
      </c>
      <c r="I3048" s="30">
        <f t="shared" si="78"/>
        <v>55</v>
      </c>
    </row>
    <row r="3049" spans="6:9">
      <c r="F3049" s="12" t="str">
        <f>Absolute_Scores!F3049</f>
        <v>@devarawijayaa</v>
      </c>
      <c r="G3049" s="12" t="str">
        <f>Absolute_Scores!G3049</f>
        <v>TikTok</v>
      </c>
      <c r="H3049" s="29">
        <f>Absolute_Scores!I3049</f>
        <v>44</v>
      </c>
      <c r="I3049" s="30">
        <f t="shared" si="78"/>
        <v>55</v>
      </c>
    </row>
    <row r="3050" spans="6:9">
      <c r="F3050" s="12" t="str">
        <f>Absolute_Scores!F3050</f>
        <v>@devinakonatra</v>
      </c>
      <c r="G3050" s="12" t="str">
        <f>Absolute_Scores!G3050</f>
        <v>Instagram</v>
      </c>
      <c r="H3050" s="29">
        <f>Absolute_Scores!I3050</f>
        <v>44</v>
      </c>
      <c r="I3050" s="30">
        <f t="shared" si="78"/>
        <v>55</v>
      </c>
    </row>
    <row r="3051" spans="6:9">
      <c r="F3051" s="12" t="str">
        <f>Absolute_Scores!F3051</f>
        <v>@devinaureel</v>
      </c>
      <c r="G3051" s="12" t="str">
        <f>Absolute_Scores!G3051</f>
        <v>Instagram</v>
      </c>
      <c r="H3051" s="29">
        <f>Absolute_Scores!I3051</f>
        <v>44</v>
      </c>
      <c r="I3051" s="30">
        <f t="shared" si="78"/>
        <v>55</v>
      </c>
    </row>
    <row r="3052" spans="6:9">
      <c r="F3052" s="12" t="str">
        <f>Absolute_Scores!F3052</f>
        <v>@dewantidini</v>
      </c>
      <c r="G3052" s="12" t="str">
        <f>Absolute_Scores!G3052</f>
        <v>Instagram</v>
      </c>
      <c r="H3052" s="29">
        <f>Absolute_Scores!I3052</f>
        <v>44</v>
      </c>
      <c r="I3052" s="30">
        <f t="shared" si="78"/>
        <v>55</v>
      </c>
    </row>
    <row r="3053" spans="6:9">
      <c r="F3053" s="12" t="str">
        <f>Absolute_Scores!F3053</f>
        <v>@dewi.utamisari</v>
      </c>
      <c r="G3053" s="12" t="str">
        <f>Absolute_Scores!G3053</f>
        <v>Instagram</v>
      </c>
      <c r="H3053" s="29">
        <f>Absolute_Scores!I3053</f>
        <v>44</v>
      </c>
      <c r="I3053" s="30">
        <f t="shared" si="78"/>
        <v>55</v>
      </c>
    </row>
    <row r="3054" spans="6:9">
      <c r="F3054" s="12" t="str">
        <f>Absolute_Scores!F3054</f>
        <v>@dewi13247484</v>
      </c>
      <c r="G3054" s="12" t="str">
        <f>Absolute_Scores!G3054</f>
        <v>Instagram</v>
      </c>
      <c r="H3054" s="29">
        <f>Absolute_Scores!I3054</f>
        <v>44</v>
      </c>
      <c r="I3054" s="30">
        <f t="shared" si="78"/>
        <v>55</v>
      </c>
    </row>
    <row r="3055" spans="6:9">
      <c r="F3055" s="12" t="str">
        <f>Absolute_Scores!F3055</f>
        <v>@dheeaana</v>
      </c>
      <c r="G3055" s="12" t="str">
        <f>Absolute_Scores!G3055</f>
        <v>Instagram</v>
      </c>
      <c r="H3055" s="29">
        <f>Absolute_Scores!I3055</f>
        <v>44</v>
      </c>
      <c r="I3055" s="30">
        <f t="shared" si="78"/>
        <v>55</v>
      </c>
    </row>
    <row r="3056" spans="6:9">
      <c r="F3056" s="12" t="str">
        <f>Absolute_Scores!F3056</f>
        <v>@dhiajengskhodijah</v>
      </c>
      <c r="G3056" s="12" t="str">
        <f>Absolute_Scores!G3056</f>
        <v>Instagram</v>
      </c>
      <c r="H3056" s="29">
        <f>Absolute_Scores!I3056</f>
        <v>44</v>
      </c>
      <c r="I3056" s="30">
        <f t="shared" si="78"/>
        <v>55</v>
      </c>
    </row>
    <row r="3057" spans="6:9">
      <c r="F3057" s="12" t="str">
        <f>Absolute_Scores!F3057</f>
        <v>@dhitaoktaputri</v>
      </c>
      <c r="G3057" s="12" t="str">
        <f>Absolute_Scores!G3057</f>
        <v>Instagram</v>
      </c>
      <c r="H3057" s="29">
        <f>Absolute_Scores!I3057</f>
        <v>44</v>
      </c>
      <c r="I3057" s="30">
        <f t="shared" si="78"/>
        <v>55</v>
      </c>
    </row>
    <row r="3058" spans="6:9">
      <c r="F3058" s="12" t="str">
        <f>Absolute_Scores!F3058</f>
        <v>@dhyanilyas</v>
      </c>
      <c r="G3058" s="12" t="str">
        <f>Absolute_Scores!G3058</f>
        <v>Instagram</v>
      </c>
      <c r="H3058" s="29">
        <f>Absolute_Scores!I3058</f>
        <v>44</v>
      </c>
      <c r="I3058" s="30">
        <f t="shared" si="78"/>
        <v>55</v>
      </c>
    </row>
    <row r="3059" spans="6:9">
      <c r="F3059" s="12" t="str">
        <f>Absolute_Scores!F3059</f>
        <v>@dianaikha</v>
      </c>
      <c r="G3059" s="12" t="str">
        <f>Absolute_Scores!G3059</f>
        <v>Instagram</v>
      </c>
      <c r="H3059" s="29">
        <f>Absolute_Scores!I3059</f>
        <v>44</v>
      </c>
      <c r="I3059" s="30">
        <f t="shared" si="78"/>
        <v>55</v>
      </c>
    </row>
    <row r="3060" spans="6:9">
      <c r="F3060" s="12" t="str">
        <f>Absolute_Scores!F3060</f>
        <v>@dickysuryadikk</v>
      </c>
      <c r="G3060" s="12" t="str">
        <f>Absolute_Scores!G3060</f>
        <v>Instagram</v>
      </c>
      <c r="H3060" s="29">
        <f>Absolute_Scores!I3060</f>
        <v>44</v>
      </c>
      <c r="I3060" s="30">
        <f t="shared" si="78"/>
        <v>55</v>
      </c>
    </row>
    <row r="3061" spans="6:9">
      <c r="F3061" s="12" t="str">
        <f>Absolute_Scores!F3061</f>
        <v>@dikialfaa</v>
      </c>
      <c r="G3061" s="12" t="str">
        <f>Absolute_Scores!G3061</f>
        <v>TikTok</v>
      </c>
      <c r="H3061" s="29">
        <f>Absolute_Scores!I3061</f>
        <v>44</v>
      </c>
      <c r="I3061" s="30">
        <f t="shared" si="78"/>
        <v>55</v>
      </c>
    </row>
    <row r="3062" spans="6:9">
      <c r="F3062" s="12" t="str">
        <f>Absolute_Scores!F3062</f>
        <v>@dila_jm</v>
      </c>
      <c r="G3062" s="12" t="str">
        <f>Absolute_Scores!G3062</f>
        <v>TikTok</v>
      </c>
      <c r="H3062" s="29">
        <f>Absolute_Scores!I3062</f>
        <v>44</v>
      </c>
      <c r="I3062" s="30">
        <f t="shared" si="78"/>
        <v>55</v>
      </c>
    </row>
    <row r="3063" spans="6:9">
      <c r="F3063" s="12" t="str">
        <f>Absolute_Scores!F3063</f>
        <v>@dinastyan</v>
      </c>
      <c r="G3063" s="12" t="str">
        <f>Absolute_Scores!G3063</f>
        <v>Instagram</v>
      </c>
      <c r="H3063" s="29">
        <f>Absolute_Scores!I3063</f>
        <v>44</v>
      </c>
      <c r="I3063" s="30">
        <f t="shared" si="78"/>
        <v>55</v>
      </c>
    </row>
    <row r="3064" spans="6:9">
      <c r="F3064" s="12" t="str">
        <f>Absolute_Scores!F3064</f>
        <v>@dindaaaws</v>
      </c>
      <c r="G3064" s="12" t="str">
        <f>Absolute_Scores!G3064</f>
        <v>Instagram</v>
      </c>
      <c r="H3064" s="29">
        <f>Absolute_Scores!I3064</f>
        <v>44</v>
      </c>
      <c r="I3064" s="30">
        <f t="shared" si="78"/>
        <v>55</v>
      </c>
    </row>
    <row r="3065" spans="6:9">
      <c r="F3065" s="12" t="str">
        <f>Absolute_Scores!F3065</f>
        <v>@diondykusuma</v>
      </c>
      <c r="G3065" s="12" t="str">
        <f>Absolute_Scores!G3065</f>
        <v>TikTok</v>
      </c>
      <c r="H3065" s="29">
        <f>Absolute_Scores!I3065</f>
        <v>44</v>
      </c>
      <c r="I3065" s="30">
        <f t="shared" si="78"/>
        <v>55</v>
      </c>
    </row>
    <row r="3066" spans="6:9">
      <c r="F3066" s="12" t="str">
        <f>Absolute_Scores!F3066</f>
        <v>@dipanggiljose</v>
      </c>
      <c r="G3066" s="12" t="str">
        <f>Absolute_Scores!G3066</f>
        <v>TikTok</v>
      </c>
      <c r="H3066" s="29">
        <f>Absolute_Scores!I3066</f>
        <v>44</v>
      </c>
      <c r="I3066" s="30">
        <f t="shared" si="78"/>
        <v>55</v>
      </c>
    </row>
    <row r="3067" spans="6:9">
      <c r="F3067" s="12" t="str">
        <f>Absolute_Scores!F3067</f>
        <v>@dita.bundarda</v>
      </c>
      <c r="G3067" s="12" t="str">
        <f>Absolute_Scores!G3067</f>
        <v>Instagram</v>
      </c>
      <c r="H3067" s="29">
        <f>Absolute_Scores!I3067</f>
        <v>44</v>
      </c>
      <c r="I3067" s="30">
        <f t="shared" si="78"/>
        <v>55</v>
      </c>
    </row>
    <row r="3068" spans="6:9">
      <c r="F3068" s="12" t="str">
        <f>Absolute_Scores!F3068</f>
        <v>@dominggaa</v>
      </c>
      <c r="G3068" s="12" t="str">
        <f>Absolute_Scores!G3068</f>
        <v>TikTok</v>
      </c>
      <c r="H3068" s="29">
        <f>Absolute_Scores!I3068</f>
        <v>44</v>
      </c>
      <c r="I3068" s="30">
        <f t="shared" si="78"/>
        <v>55</v>
      </c>
    </row>
    <row r="3069" spans="6:9">
      <c r="F3069" s="12" t="str">
        <f>Absolute_Scores!F3069</f>
        <v>@doradori21</v>
      </c>
      <c r="G3069" s="12" t="str">
        <f>Absolute_Scores!G3069</f>
        <v>TikTok</v>
      </c>
      <c r="H3069" s="29">
        <f>Absolute_Scores!I3069</f>
        <v>44</v>
      </c>
      <c r="I3069" s="30">
        <f t="shared" si="78"/>
        <v>55</v>
      </c>
    </row>
    <row r="3070" spans="6:9">
      <c r="F3070" s="12" t="str">
        <f>Absolute_Scores!F3070</f>
        <v>@doscincoo</v>
      </c>
      <c r="G3070" s="12" t="str">
        <f>Absolute_Scores!G3070</f>
        <v>TikTok</v>
      </c>
      <c r="H3070" s="29">
        <f>Absolute_Scores!I3070</f>
        <v>44</v>
      </c>
      <c r="I3070" s="30">
        <f t="shared" si="78"/>
        <v>55</v>
      </c>
    </row>
    <row r="3071" spans="6:9">
      <c r="F3071" s="12" t="str">
        <f>Absolute_Scores!F3071</f>
        <v>@dramaid06_</v>
      </c>
      <c r="G3071" s="12" t="str">
        <f>Absolute_Scores!G3071</f>
        <v>TikTok</v>
      </c>
      <c r="H3071" s="29">
        <f>Absolute_Scores!I3071</f>
        <v>44</v>
      </c>
      <c r="I3071" s="30">
        <f t="shared" si="78"/>
        <v>55</v>
      </c>
    </row>
    <row r="3072" spans="6:9">
      <c r="F3072" s="12" t="str">
        <f>Absolute_Scores!F3072</f>
        <v>@duomins</v>
      </c>
      <c r="G3072" s="12" t="str">
        <f>Absolute_Scores!G3072</f>
        <v>TikTok</v>
      </c>
      <c r="H3072" s="29">
        <f>Absolute_Scores!I3072</f>
        <v>44</v>
      </c>
      <c r="I3072" s="30">
        <f t="shared" si="78"/>
        <v>55</v>
      </c>
    </row>
    <row r="3073" spans="6:9">
      <c r="F3073" s="12" t="str">
        <f>Absolute_Scores!F3073</f>
        <v>@dw.rista</v>
      </c>
      <c r="G3073" s="12" t="str">
        <f>Absolute_Scores!G3073</f>
        <v>Instagram</v>
      </c>
      <c r="H3073" s="29">
        <f>Absolute_Scores!I3073</f>
        <v>44</v>
      </c>
      <c r="I3073" s="30">
        <f t="shared" si="78"/>
        <v>55</v>
      </c>
    </row>
    <row r="3074" spans="6:9">
      <c r="F3074" s="12" t="str">
        <f>Absolute_Scores!F3074</f>
        <v>@dwikantariii</v>
      </c>
      <c r="G3074" s="12" t="str">
        <f>Absolute_Scores!G3074</f>
        <v>Instagram</v>
      </c>
      <c r="H3074" s="29">
        <f>Absolute_Scores!I3074</f>
        <v>44</v>
      </c>
      <c r="I3074" s="30">
        <f t="shared" si="78"/>
        <v>55</v>
      </c>
    </row>
    <row r="3075" spans="6:9">
      <c r="F3075" s="12" t="str">
        <f>Absolute_Scores!F3075</f>
        <v>@ealindafithry</v>
      </c>
      <c r="G3075" s="12" t="str">
        <f>Absolute_Scores!G3075</f>
        <v>Instagram</v>
      </c>
      <c r="H3075" s="29">
        <f>Absolute_Scores!I3075</f>
        <v>44</v>
      </c>
      <c r="I3075" s="30">
        <f t="shared" si="78"/>
        <v>55</v>
      </c>
    </row>
    <row r="3076" spans="6:9">
      <c r="F3076" s="12" t="str">
        <f>Absolute_Scores!F3076</f>
        <v>@eline.angeline</v>
      </c>
      <c r="G3076" s="12" t="str">
        <f>Absolute_Scores!G3076</f>
        <v>TikTok</v>
      </c>
      <c r="H3076" s="29">
        <f>Absolute_Scores!I3076</f>
        <v>44</v>
      </c>
      <c r="I3076" s="30">
        <f t="shared" si="78"/>
        <v>55</v>
      </c>
    </row>
    <row r="3077" spans="6:9">
      <c r="F3077" s="12" t="str">
        <f>Absolute_Scores!F3077</f>
        <v>@elkajuwita</v>
      </c>
      <c r="G3077" s="12" t="str">
        <f>Absolute_Scores!G3077</f>
        <v>Instagram</v>
      </c>
      <c r="H3077" s="29">
        <f>Absolute_Scores!I3077</f>
        <v>44</v>
      </c>
      <c r="I3077" s="30">
        <f t="shared" si="78"/>
        <v>55</v>
      </c>
    </row>
    <row r="3078" spans="6:9">
      <c r="F3078" s="12" t="str">
        <f>Absolute_Scores!F3078</f>
        <v>@elya_tami</v>
      </c>
      <c r="G3078" s="12" t="str">
        <f>Absolute_Scores!G3078</f>
        <v>Instagram</v>
      </c>
      <c r="H3078" s="29">
        <f>Absolute_Scores!I3078</f>
        <v>44</v>
      </c>
      <c r="I3078" s="30">
        <f t="shared" ref="I3078:I3141" si="79">ROUND(H3078/$I$4*100,2)</f>
        <v>55</v>
      </c>
    </row>
    <row r="3079" spans="6:9">
      <c r="F3079" s="12" t="str">
        <f>Absolute_Scores!F3079</f>
        <v>@emakkahiyang</v>
      </c>
      <c r="G3079" s="12" t="str">
        <f>Absolute_Scores!G3079</f>
        <v>Instagram</v>
      </c>
      <c r="H3079" s="29">
        <f>Absolute_Scores!I3079</f>
        <v>44</v>
      </c>
      <c r="I3079" s="30">
        <f t="shared" si="79"/>
        <v>55</v>
      </c>
    </row>
    <row r="3080" spans="6:9">
      <c r="F3080" s="12" t="str">
        <f>Absolute_Scores!F3080</f>
        <v>@eniwinarti</v>
      </c>
      <c r="G3080" s="12" t="str">
        <f>Absolute_Scores!G3080</f>
        <v>Instagram</v>
      </c>
      <c r="H3080" s="29">
        <f>Absolute_Scores!I3080</f>
        <v>44</v>
      </c>
      <c r="I3080" s="30">
        <f t="shared" si="79"/>
        <v>55</v>
      </c>
    </row>
    <row r="3081" spans="6:9">
      <c r="F3081" s="12" t="str">
        <f>Absolute_Scores!F3081</f>
        <v>@epifania_veve</v>
      </c>
      <c r="G3081" s="12" t="str">
        <f>Absolute_Scores!G3081</f>
        <v>Instagram</v>
      </c>
      <c r="H3081" s="29">
        <f>Absolute_Scores!I3081</f>
        <v>44</v>
      </c>
      <c r="I3081" s="30">
        <f t="shared" si="79"/>
        <v>55</v>
      </c>
    </row>
    <row r="3082" spans="6:9">
      <c r="F3082" s="12" t="str">
        <f>Absolute_Scores!F3082</f>
        <v>@erika_sammy</v>
      </c>
      <c r="G3082" s="12" t="str">
        <f>Absolute_Scores!G3082</f>
        <v>Instagram</v>
      </c>
      <c r="H3082" s="29">
        <f>Absolute_Scores!I3082</f>
        <v>44</v>
      </c>
      <c r="I3082" s="30">
        <f t="shared" si="79"/>
        <v>55</v>
      </c>
    </row>
    <row r="3083" spans="6:9">
      <c r="F3083" s="12" t="str">
        <f>Absolute_Scores!F3083</f>
        <v>@erizachrr</v>
      </c>
      <c r="G3083" s="12" t="str">
        <f>Absolute_Scores!G3083</f>
        <v>Instagram</v>
      </c>
      <c r="H3083" s="29">
        <f>Absolute_Scores!I3083</f>
        <v>44</v>
      </c>
      <c r="I3083" s="30">
        <f t="shared" si="79"/>
        <v>55</v>
      </c>
    </row>
    <row r="3084" spans="6:9">
      <c r="F3084" s="12" t="str">
        <f>Absolute_Scores!F3084</f>
        <v>@eshahidayat</v>
      </c>
      <c r="G3084" s="12" t="str">
        <f>Absolute_Scores!G3084</f>
        <v>Instagram</v>
      </c>
      <c r="H3084" s="29">
        <f>Absolute_Scores!I3084</f>
        <v>44</v>
      </c>
      <c r="I3084" s="30">
        <f t="shared" si="79"/>
        <v>55</v>
      </c>
    </row>
    <row r="3085" spans="6:9">
      <c r="F3085" s="12" t="str">
        <f>Absolute_Scores!F3085</f>
        <v>@evelyngwyneth</v>
      </c>
      <c r="G3085" s="12" t="str">
        <f>Absolute_Scores!G3085</f>
        <v>TikTok</v>
      </c>
      <c r="H3085" s="29">
        <f>Absolute_Scores!I3085</f>
        <v>44</v>
      </c>
      <c r="I3085" s="30">
        <f t="shared" si="79"/>
        <v>55</v>
      </c>
    </row>
    <row r="3086" spans="6:9">
      <c r="F3086" s="12" t="str">
        <f>Absolute_Scores!F3086</f>
        <v>@ezyvz</v>
      </c>
      <c r="G3086" s="12" t="str">
        <f>Absolute_Scores!G3086</f>
        <v>TikTok</v>
      </c>
      <c r="H3086" s="29">
        <f>Absolute_Scores!I3086</f>
        <v>44</v>
      </c>
      <c r="I3086" s="30">
        <f t="shared" si="79"/>
        <v>55</v>
      </c>
    </row>
    <row r="3087" spans="6:9">
      <c r="F3087" s="12" t="str">
        <f>Absolute_Scores!F3087</f>
        <v>@fadliinzaghi</v>
      </c>
      <c r="G3087" s="12" t="str">
        <f>Absolute_Scores!G3087</f>
        <v>TikTok</v>
      </c>
      <c r="H3087" s="29">
        <f>Absolute_Scores!I3087</f>
        <v>44</v>
      </c>
      <c r="I3087" s="30">
        <f t="shared" si="79"/>
        <v>55</v>
      </c>
    </row>
    <row r="3088" spans="6:9">
      <c r="F3088" s="12" t="str">
        <f>Absolute_Scores!F3088</f>
        <v>@fanahworld</v>
      </c>
      <c r="G3088" s="12" t="str">
        <f>Absolute_Scores!G3088</f>
        <v>Instagram</v>
      </c>
      <c r="H3088" s="29">
        <f>Absolute_Scores!I3088</f>
        <v>44</v>
      </c>
      <c r="I3088" s="30">
        <f t="shared" si="79"/>
        <v>55</v>
      </c>
    </row>
    <row r="3089" spans="6:9">
      <c r="F3089" s="12" t="str">
        <f>Absolute_Scores!F3089</f>
        <v>@fanghela_30729</v>
      </c>
      <c r="G3089" s="12" t="str">
        <f>Absolute_Scores!G3089</f>
        <v>Instagram</v>
      </c>
      <c r="H3089" s="29">
        <f>Absolute_Scores!I3089</f>
        <v>44</v>
      </c>
      <c r="I3089" s="30">
        <f t="shared" si="79"/>
        <v>55</v>
      </c>
    </row>
    <row r="3090" spans="6:9">
      <c r="F3090" s="12" t="str">
        <f>Absolute_Scores!F3090</f>
        <v>@farhanzubedi</v>
      </c>
      <c r="G3090" s="12" t="str">
        <f>Absolute_Scores!G3090</f>
        <v>TikTok</v>
      </c>
      <c r="H3090" s="29">
        <f>Absolute_Scores!I3090</f>
        <v>44</v>
      </c>
      <c r="I3090" s="30">
        <f t="shared" si="79"/>
        <v>55</v>
      </c>
    </row>
    <row r="3091" spans="6:9">
      <c r="F3091" s="12" t="str">
        <f>Absolute_Scores!F3091</f>
        <v>@farisahsabrinaa</v>
      </c>
      <c r="G3091" s="12" t="str">
        <f>Absolute_Scores!G3091</f>
        <v>Instagram</v>
      </c>
      <c r="H3091" s="29">
        <f>Absolute_Scores!I3091</f>
        <v>44</v>
      </c>
      <c r="I3091" s="30">
        <f t="shared" si="79"/>
        <v>55</v>
      </c>
    </row>
    <row r="3092" spans="6:9">
      <c r="F3092" s="12" t="str">
        <f>Absolute_Scores!F3092</f>
        <v>@faustaottoni</v>
      </c>
      <c r="G3092" s="12" t="str">
        <f>Absolute_Scores!G3092</f>
        <v>Instagram</v>
      </c>
      <c r="H3092" s="29">
        <f>Absolute_Scores!I3092</f>
        <v>44</v>
      </c>
      <c r="I3092" s="30">
        <f t="shared" si="79"/>
        <v>55</v>
      </c>
    </row>
    <row r="3093" spans="6:9">
      <c r="F3093" s="12" t="str">
        <f>Absolute_Scores!F3093</f>
        <v>@fawzyahaz</v>
      </c>
      <c r="G3093" s="12" t="str">
        <f>Absolute_Scores!G3093</f>
        <v>TikTok</v>
      </c>
      <c r="H3093" s="29">
        <f>Absolute_Scores!I3093</f>
        <v>44</v>
      </c>
      <c r="I3093" s="30">
        <f t="shared" si="79"/>
        <v>55</v>
      </c>
    </row>
    <row r="3094" spans="6:9">
      <c r="F3094" s="12" t="str">
        <f>Absolute_Scores!F3094</f>
        <v>@febikartikadewi</v>
      </c>
      <c r="G3094" s="12" t="str">
        <f>Absolute_Scores!G3094</f>
        <v>Instagram</v>
      </c>
      <c r="H3094" s="29">
        <f>Absolute_Scores!I3094</f>
        <v>44</v>
      </c>
      <c r="I3094" s="30">
        <f t="shared" si="79"/>
        <v>55</v>
      </c>
    </row>
    <row r="3095" spans="6:9">
      <c r="F3095" s="12" t="str">
        <f>Absolute_Scores!F3095</f>
        <v>@femaledailynetwork</v>
      </c>
      <c r="G3095" s="12" t="str">
        <f>Absolute_Scores!G3095</f>
        <v>Instagram</v>
      </c>
      <c r="H3095" s="29">
        <f>Absolute_Scores!I3095</f>
        <v>44</v>
      </c>
      <c r="I3095" s="30">
        <f t="shared" si="79"/>
        <v>55</v>
      </c>
    </row>
    <row r="3096" spans="6:9">
      <c r="F3096" s="12" t="str">
        <f>Absolute_Scores!F3096</f>
        <v>@fessvtae</v>
      </c>
      <c r="G3096" s="12" t="str">
        <f>Absolute_Scores!G3096</f>
        <v>TikTok</v>
      </c>
      <c r="H3096" s="29">
        <f>Absolute_Scores!I3096</f>
        <v>44</v>
      </c>
      <c r="I3096" s="30">
        <f t="shared" si="79"/>
        <v>55</v>
      </c>
    </row>
    <row r="3097" spans="6:9">
      <c r="F3097" s="12" t="str">
        <f>Absolute_Scores!F3097</f>
        <v>@fionadominiquee</v>
      </c>
      <c r="G3097" s="12" t="str">
        <f>Absolute_Scores!G3097</f>
        <v>Instagram</v>
      </c>
      <c r="H3097" s="29">
        <f>Absolute_Scores!I3097</f>
        <v>44</v>
      </c>
      <c r="I3097" s="30">
        <f t="shared" si="79"/>
        <v>55</v>
      </c>
    </row>
    <row r="3098" spans="6:9">
      <c r="F3098" s="12" t="str">
        <f>Absolute_Scores!F3098</f>
        <v>@firdadafiraseptialoka</v>
      </c>
      <c r="G3098" s="12" t="str">
        <f>Absolute_Scores!G3098</f>
        <v>Instagram</v>
      </c>
      <c r="H3098" s="29">
        <f>Absolute_Scores!I3098</f>
        <v>44</v>
      </c>
      <c r="I3098" s="30">
        <f t="shared" si="79"/>
        <v>55</v>
      </c>
    </row>
    <row r="3099" spans="6:9">
      <c r="F3099" s="12" t="str">
        <f>Absolute_Scores!F3099</f>
        <v>@gagap_was_here</v>
      </c>
      <c r="G3099" s="12" t="str">
        <f>Absolute_Scores!G3099</f>
        <v>TikTok</v>
      </c>
      <c r="H3099" s="29">
        <f>Absolute_Scores!I3099</f>
        <v>44</v>
      </c>
      <c r="I3099" s="30">
        <f t="shared" si="79"/>
        <v>55</v>
      </c>
    </row>
    <row r="3100" spans="6:9">
      <c r="F3100" s="12" t="str">
        <f>Absolute_Scores!F3100</f>
        <v>@galgadun26</v>
      </c>
      <c r="G3100" s="12" t="str">
        <f>Absolute_Scores!G3100</f>
        <v>TikTok</v>
      </c>
      <c r="H3100" s="29">
        <f>Absolute_Scores!I3100</f>
        <v>44</v>
      </c>
      <c r="I3100" s="30">
        <f t="shared" si="79"/>
        <v>55</v>
      </c>
    </row>
    <row r="3101" spans="6:9">
      <c r="F3101" s="12" t="str">
        <f>Absolute_Scores!F3101</f>
        <v>@gayatriay</v>
      </c>
      <c r="G3101" s="12" t="str">
        <f>Absolute_Scores!G3101</f>
        <v>Instagram</v>
      </c>
      <c r="H3101" s="29">
        <f>Absolute_Scores!I3101</f>
        <v>44</v>
      </c>
      <c r="I3101" s="30">
        <f t="shared" si="79"/>
        <v>55</v>
      </c>
    </row>
    <row r="3102" spans="6:9">
      <c r="F3102" s="12" t="str">
        <f>Absolute_Scores!F3102</f>
        <v>@ghandy_spw</v>
      </c>
      <c r="G3102" s="12" t="str">
        <f>Absolute_Scores!G3102</f>
        <v>Instagram</v>
      </c>
      <c r="H3102" s="29">
        <f>Absolute_Scores!I3102</f>
        <v>44</v>
      </c>
      <c r="I3102" s="30">
        <f t="shared" si="79"/>
        <v>55</v>
      </c>
    </row>
    <row r="3103" spans="6:9">
      <c r="F3103" s="12" t="str">
        <f>Absolute_Scores!F3103</f>
        <v>@gilangseiya</v>
      </c>
      <c r="G3103" s="12" t="str">
        <f>Absolute_Scores!G3103</f>
        <v>TikTok</v>
      </c>
      <c r="H3103" s="29">
        <f>Absolute_Scores!I3103</f>
        <v>44</v>
      </c>
      <c r="I3103" s="30">
        <f t="shared" si="79"/>
        <v>55</v>
      </c>
    </row>
    <row r="3104" spans="6:9">
      <c r="F3104" s="12" t="str">
        <f>Absolute_Scores!F3104</f>
        <v>@giovanniputraa</v>
      </c>
      <c r="G3104" s="12" t="str">
        <f>Absolute_Scores!G3104</f>
        <v>TikTok</v>
      </c>
      <c r="H3104" s="29">
        <f>Absolute_Scores!I3104</f>
        <v>44</v>
      </c>
      <c r="I3104" s="30">
        <f t="shared" si="79"/>
        <v>55</v>
      </c>
    </row>
    <row r="3105" spans="6:9">
      <c r="F3105" s="12" t="str">
        <f>Absolute_Scores!F3105</f>
        <v>@gitapd151</v>
      </c>
      <c r="G3105" s="12" t="str">
        <f>Absolute_Scores!G3105</f>
        <v>Instagram</v>
      </c>
      <c r="H3105" s="29">
        <f>Absolute_Scores!I3105</f>
        <v>44</v>
      </c>
      <c r="I3105" s="30">
        <f t="shared" si="79"/>
        <v>55</v>
      </c>
    </row>
    <row r="3106" spans="6:9">
      <c r="F3106" s="12" t="str">
        <f>Absolute_Scores!F3106</f>
        <v>@glamalia</v>
      </c>
      <c r="G3106" s="12" t="str">
        <f>Absolute_Scores!G3106</f>
        <v>Instagram</v>
      </c>
      <c r="H3106" s="29">
        <f>Absolute_Scores!I3106</f>
        <v>44</v>
      </c>
      <c r="I3106" s="30">
        <f t="shared" si="79"/>
        <v>55</v>
      </c>
    </row>
    <row r="3107" spans="6:9">
      <c r="F3107" s="12" t="str">
        <f>Absolute_Scores!F3107</f>
        <v>@glowyya</v>
      </c>
      <c r="G3107" s="12" t="str">
        <f>Absolute_Scores!G3107</f>
        <v>TikTok</v>
      </c>
      <c r="H3107" s="29">
        <f>Absolute_Scores!I3107</f>
        <v>44</v>
      </c>
      <c r="I3107" s="30">
        <f t="shared" si="79"/>
        <v>55</v>
      </c>
    </row>
    <row r="3108" spans="6:9">
      <c r="F3108" s="12" t="str">
        <f>Absolute_Scores!F3108</f>
        <v>@good.diel</v>
      </c>
      <c r="G3108" s="12" t="str">
        <f>Absolute_Scores!G3108</f>
        <v>Instagram</v>
      </c>
      <c r="H3108" s="29">
        <f>Absolute_Scores!I3108</f>
        <v>44</v>
      </c>
      <c r="I3108" s="30">
        <f t="shared" si="79"/>
        <v>55</v>
      </c>
    </row>
    <row r="3109" spans="6:9">
      <c r="F3109" s="12" t="str">
        <f>Absolute_Scores!F3109</f>
        <v>@gosongexotis</v>
      </c>
      <c r="G3109" s="12" t="str">
        <f>Absolute_Scores!G3109</f>
        <v>TikTok</v>
      </c>
      <c r="H3109" s="29">
        <f>Absolute_Scores!I3109</f>
        <v>44</v>
      </c>
      <c r="I3109" s="30">
        <f t="shared" si="79"/>
        <v>55</v>
      </c>
    </row>
    <row r="3110" spans="6:9">
      <c r="F3110" s="12" t="str">
        <f>Absolute_Scores!F3110</f>
        <v>@grandementor</v>
      </c>
      <c r="G3110" s="12" t="str">
        <f>Absolute_Scores!G3110</f>
        <v>TikTok</v>
      </c>
      <c r="H3110" s="29">
        <f>Absolute_Scores!I3110</f>
        <v>44</v>
      </c>
      <c r="I3110" s="30">
        <f t="shared" si="79"/>
        <v>55</v>
      </c>
    </row>
    <row r="3111" spans="6:9">
      <c r="F3111" s="12" t="str">
        <f>Absolute_Scores!F3111</f>
        <v>@great.ej</v>
      </c>
      <c r="G3111" s="12" t="str">
        <f>Absolute_Scores!G3111</f>
        <v>Instagram</v>
      </c>
      <c r="H3111" s="29">
        <f>Absolute_Scores!I3111</f>
        <v>44</v>
      </c>
      <c r="I3111" s="30">
        <f t="shared" si="79"/>
        <v>55</v>
      </c>
    </row>
    <row r="3112" spans="6:9">
      <c r="F3112" s="12" t="str">
        <f>Absolute_Scores!F3112</f>
        <v>@griya_nurussyifa</v>
      </c>
      <c r="G3112" s="12" t="str">
        <f>Absolute_Scores!G3112</f>
        <v>Instagram</v>
      </c>
      <c r="H3112" s="29">
        <f>Absolute_Scores!I3112</f>
        <v>44</v>
      </c>
      <c r="I3112" s="30">
        <f t="shared" si="79"/>
        <v>55</v>
      </c>
    </row>
    <row r="3113" spans="6:9">
      <c r="F3113" s="12" t="str">
        <f>Absolute_Scores!F3113</f>
        <v>@gumilang_jatii</v>
      </c>
      <c r="G3113" s="12" t="str">
        <f>Absolute_Scores!G3113</f>
        <v>TikTok</v>
      </c>
      <c r="H3113" s="29">
        <f>Absolute_Scores!I3113</f>
        <v>44</v>
      </c>
      <c r="I3113" s="30">
        <f t="shared" si="79"/>
        <v>55</v>
      </c>
    </row>
    <row r="3114" spans="6:9">
      <c r="F3114" s="12" t="str">
        <f>Absolute_Scores!F3114</f>
        <v>@gustianatriyani</v>
      </c>
      <c r="G3114" s="12" t="str">
        <f>Absolute_Scores!G3114</f>
        <v>Instagram</v>
      </c>
      <c r="H3114" s="29">
        <f>Absolute_Scores!I3114</f>
        <v>44</v>
      </c>
      <c r="I3114" s="30">
        <f t="shared" si="79"/>
        <v>55</v>
      </c>
    </row>
    <row r="3115" spans="6:9">
      <c r="F3115" s="12" t="str">
        <f>Absolute_Scores!F3115</f>
        <v>@habibul251</v>
      </c>
      <c r="G3115" s="12" t="str">
        <f>Absolute_Scores!G3115</f>
        <v>TikTok</v>
      </c>
      <c r="H3115" s="29">
        <f>Absolute_Scores!I3115</f>
        <v>44</v>
      </c>
      <c r="I3115" s="30">
        <f t="shared" si="79"/>
        <v>55</v>
      </c>
    </row>
    <row r="3116" spans="6:9">
      <c r="F3116" s="12" t="str">
        <f>Absolute_Scores!F3116</f>
        <v>@handasulistiyo</v>
      </c>
      <c r="G3116" s="12" t="str">
        <f>Absolute_Scores!G3116</f>
        <v>Instagram</v>
      </c>
      <c r="H3116" s="29">
        <f>Absolute_Scores!I3116</f>
        <v>44</v>
      </c>
      <c r="I3116" s="30">
        <f t="shared" si="79"/>
        <v>55</v>
      </c>
    </row>
    <row r="3117" spans="6:9">
      <c r="F3117" s="12" t="str">
        <f>Absolute_Scores!F3117</f>
        <v>@handaynsrii</v>
      </c>
      <c r="G3117" s="12" t="str">
        <f>Absolute_Scores!G3117</f>
        <v>Instagram</v>
      </c>
      <c r="H3117" s="29">
        <f>Absolute_Scores!I3117</f>
        <v>44</v>
      </c>
      <c r="I3117" s="30">
        <f t="shared" si="79"/>
        <v>55</v>
      </c>
    </row>
    <row r="3118" spans="6:9">
      <c r="F3118" s="12" t="str">
        <f>Absolute_Scores!F3118</f>
        <v>@hanifa_ross</v>
      </c>
      <c r="G3118" s="12" t="str">
        <f>Absolute_Scores!G3118</f>
        <v>Instagram</v>
      </c>
      <c r="H3118" s="29">
        <f>Absolute_Scores!I3118</f>
        <v>44</v>
      </c>
      <c r="I3118" s="30">
        <f t="shared" si="79"/>
        <v>55</v>
      </c>
    </row>
    <row r="3119" spans="6:9">
      <c r="F3119" s="12" t="str">
        <f>Absolute_Scores!F3119</f>
        <v>@harjunatbm</v>
      </c>
      <c r="G3119" s="12" t="str">
        <f>Absolute_Scores!G3119</f>
        <v>TikTok</v>
      </c>
      <c r="H3119" s="29">
        <f>Absolute_Scores!I3119</f>
        <v>44</v>
      </c>
      <c r="I3119" s="30">
        <f t="shared" si="79"/>
        <v>55</v>
      </c>
    </row>
    <row r="3120" spans="6:9">
      <c r="F3120" s="12" t="str">
        <f>Absolute_Scores!F3120</f>
        <v>@hefi_paristin</v>
      </c>
      <c r="G3120" s="12" t="str">
        <f>Absolute_Scores!G3120</f>
        <v>Instagram</v>
      </c>
      <c r="H3120" s="29">
        <f>Absolute_Scores!I3120</f>
        <v>44</v>
      </c>
      <c r="I3120" s="30">
        <f t="shared" si="79"/>
        <v>55</v>
      </c>
    </row>
    <row r="3121" spans="6:9">
      <c r="F3121" s="12" t="str">
        <f>Absolute_Scores!F3121</f>
        <v>@hellondiy</v>
      </c>
      <c r="G3121" s="12" t="str">
        <f>Absolute_Scores!G3121</f>
        <v>Instagram</v>
      </c>
      <c r="H3121" s="29">
        <f>Absolute_Scores!I3121</f>
        <v>44</v>
      </c>
      <c r="I3121" s="30">
        <f t="shared" si="79"/>
        <v>55</v>
      </c>
    </row>
    <row r="3122" spans="6:9">
      <c r="F3122" s="12" t="str">
        <f>Absolute_Scores!F3122</f>
        <v>@herlinanr</v>
      </c>
      <c r="G3122" s="12" t="str">
        <f>Absolute_Scores!G3122</f>
        <v>Instagram</v>
      </c>
      <c r="H3122" s="29">
        <f>Absolute_Scores!I3122</f>
        <v>44</v>
      </c>
      <c r="I3122" s="30">
        <f t="shared" si="79"/>
        <v>55</v>
      </c>
    </row>
    <row r="3123" spans="6:9">
      <c r="F3123" s="12" t="str">
        <f>Absolute_Scores!F3123</f>
        <v>@hestyalvionitaoctavera</v>
      </c>
      <c r="G3123" s="12" t="str">
        <f>Absolute_Scores!G3123</f>
        <v>Instagram</v>
      </c>
      <c r="H3123" s="29">
        <f>Absolute_Scores!I3123</f>
        <v>44</v>
      </c>
      <c r="I3123" s="30">
        <f t="shared" si="79"/>
        <v>55</v>
      </c>
    </row>
    <row r="3124" spans="6:9">
      <c r="F3124" s="12" t="str">
        <f>Absolute_Scores!F3124</f>
        <v>@hetty_ke</v>
      </c>
      <c r="G3124" s="12" t="str">
        <f>Absolute_Scores!G3124</f>
        <v>Instagram</v>
      </c>
      <c r="H3124" s="29">
        <f>Absolute_Scores!I3124</f>
        <v>44</v>
      </c>
      <c r="I3124" s="30">
        <f t="shared" si="79"/>
        <v>55</v>
      </c>
    </row>
    <row r="3125" spans="6:9">
      <c r="F3125" s="12" t="str">
        <f>Absolute_Scores!F3125</f>
        <v>@heyitsvianka</v>
      </c>
      <c r="G3125" s="12" t="str">
        <f>Absolute_Scores!G3125</f>
        <v>TikTok</v>
      </c>
      <c r="H3125" s="29">
        <f>Absolute_Scores!I3125</f>
        <v>44</v>
      </c>
      <c r="I3125" s="30">
        <f t="shared" si="79"/>
        <v>55</v>
      </c>
    </row>
    <row r="3126" spans="6:9">
      <c r="F3126" s="12" t="str">
        <f>Absolute_Scores!F3126</f>
        <v>@hikmahcamelia</v>
      </c>
      <c r="G3126" s="12" t="str">
        <f>Absolute_Scores!G3126</f>
        <v>Instagram</v>
      </c>
      <c r="H3126" s="29">
        <f>Absolute_Scores!I3126</f>
        <v>44</v>
      </c>
      <c r="I3126" s="30">
        <f t="shared" si="79"/>
        <v>55</v>
      </c>
    </row>
    <row r="3127" spans="6:9">
      <c r="F3127" s="12" t="str">
        <f>Absolute_Scores!F3127</f>
        <v>@hilmial12</v>
      </c>
      <c r="G3127" s="12" t="str">
        <f>Absolute_Scores!G3127</f>
        <v>Instagram</v>
      </c>
      <c r="H3127" s="29">
        <f>Absolute_Scores!I3127</f>
        <v>44</v>
      </c>
      <c r="I3127" s="30">
        <f t="shared" si="79"/>
        <v>55</v>
      </c>
    </row>
    <row r="3128" spans="6:9">
      <c r="F3128" s="12" t="str">
        <f>Absolute_Scores!F3128</f>
        <v>@holanana</v>
      </c>
      <c r="G3128" s="12" t="str">
        <f>Absolute_Scores!G3128</f>
        <v>Instagram</v>
      </c>
      <c r="H3128" s="29">
        <f>Absolute_Scores!I3128</f>
        <v>44</v>
      </c>
      <c r="I3128" s="30">
        <f t="shared" si="79"/>
        <v>55</v>
      </c>
    </row>
    <row r="3129" spans="6:9">
      <c r="F3129" s="12" t="str">
        <f>Absolute_Scores!F3129</f>
        <v>@holeeey_</v>
      </c>
      <c r="G3129" s="12" t="str">
        <f>Absolute_Scores!G3129</f>
        <v>TikTok</v>
      </c>
      <c r="H3129" s="29">
        <f>Absolute_Scores!I3129</f>
        <v>44</v>
      </c>
      <c r="I3129" s="30">
        <f t="shared" si="79"/>
        <v>55</v>
      </c>
    </row>
    <row r="3130" spans="6:9">
      <c r="F3130" s="12" t="str">
        <f>Absolute_Scores!F3130</f>
        <v>@hungrymikego</v>
      </c>
      <c r="G3130" s="12" t="str">
        <f>Absolute_Scores!G3130</f>
        <v>TikTok</v>
      </c>
      <c r="H3130" s="29">
        <f>Absolute_Scores!I3130</f>
        <v>44</v>
      </c>
      <c r="I3130" s="30">
        <f t="shared" si="79"/>
        <v>55</v>
      </c>
    </row>
    <row r="3131" spans="6:9">
      <c r="F3131" s="12" t="str">
        <f>Absolute_Scores!F3131</f>
        <v>@hyedetty99</v>
      </c>
      <c r="G3131" s="12" t="str">
        <f>Absolute_Scores!G3131</f>
        <v>Instagram</v>
      </c>
      <c r="H3131" s="29">
        <f>Absolute_Scores!I3131</f>
        <v>44</v>
      </c>
      <c r="I3131" s="30">
        <f t="shared" si="79"/>
        <v>55</v>
      </c>
    </row>
    <row r="3132" spans="6:9">
      <c r="F3132" s="12" t="str">
        <f>Absolute_Scores!F3132</f>
        <v>@i.am_belz</v>
      </c>
      <c r="G3132" s="12" t="str">
        <f>Absolute_Scores!G3132</f>
        <v>Instagram</v>
      </c>
      <c r="H3132" s="29">
        <f>Absolute_Scores!I3132</f>
        <v>44</v>
      </c>
      <c r="I3132" s="30">
        <f t="shared" si="79"/>
        <v>55</v>
      </c>
    </row>
    <row r="3133" spans="6:9">
      <c r="F3133" s="12" t="str">
        <f>Absolute_Scores!F3133</f>
        <v>@ibass444</v>
      </c>
      <c r="G3133" s="12" t="str">
        <f>Absolute_Scores!G3133</f>
        <v>TikTok</v>
      </c>
      <c r="H3133" s="29">
        <f>Absolute_Scores!I3133</f>
        <v>44</v>
      </c>
      <c r="I3133" s="30">
        <f t="shared" si="79"/>
        <v>55</v>
      </c>
    </row>
    <row r="3134" spans="6:9">
      <c r="F3134" s="12" t="str">
        <f>Absolute_Scores!F3134</f>
        <v>@ic.hie</v>
      </c>
      <c r="G3134" s="12" t="str">
        <f>Absolute_Scores!G3134</f>
        <v>Instagram</v>
      </c>
      <c r="H3134" s="29">
        <f>Absolute_Scores!I3134</f>
        <v>44</v>
      </c>
      <c r="I3134" s="30">
        <f t="shared" si="79"/>
        <v>55</v>
      </c>
    </row>
    <row r="3135" spans="6:9">
      <c r="F3135" s="12" t="str">
        <f>Absolute_Scores!F3135</f>
        <v>@ida_apriliana</v>
      </c>
      <c r="G3135" s="12" t="str">
        <f>Absolute_Scores!G3135</f>
        <v>Instagram</v>
      </c>
      <c r="H3135" s="29">
        <f>Absolute_Scores!I3135</f>
        <v>44</v>
      </c>
      <c r="I3135" s="30">
        <f t="shared" si="79"/>
        <v>55</v>
      </c>
    </row>
    <row r="3136" spans="6:9">
      <c r="F3136" s="12" t="str">
        <f>Absolute_Scores!F3136</f>
        <v>@idaefrida99</v>
      </c>
      <c r="G3136" s="12" t="str">
        <f>Absolute_Scores!G3136</f>
        <v>Instagram</v>
      </c>
      <c r="H3136" s="29">
        <f>Absolute_Scores!I3136</f>
        <v>44</v>
      </c>
      <c r="I3136" s="30">
        <f t="shared" si="79"/>
        <v>55</v>
      </c>
    </row>
    <row r="3137" spans="6:9">
      <c r="F3137" s="12" t="str">
        <f>Absolute_Scores!F3137</f>
        <v>@ika.ratna.12</v>
      </c>
      <c r="G3137" s="12" t="str">
        <f>Absolute_Scores!G3137</f>
        <v>Instagram</v>
      </c>
      <c r="H3137" s="29">
        <f>Absolute_Scores!I3137</f>
        <v>44</v>
      </c>
      <c r="I3137" s="30">
        <f t="shared" si="79"/>
        <v>55</v>
      </c>
    </row>
    <row r="3138" spans="6:9">
      <c r="F3138" s="12" t="str">
        <f>Absolute_Scores!F3138</f>
        <v>@ikafitriza</v>
      </c>
      <c r="G3138" s="12" t="str">
        <f>Absolute_Scores!G3138</f>
        <v>Instagram</v>
      </c>
      <c r="H3138" s="29">
        <f>Absolute_Scores!I3138</f>
        <v>44</v>
      </c>
      <c r="I3138" s="30">
        <f t="shared" si="79"/>
        <v>55</v>
      </c>
    </row>
    <row r="3139" spans="6:9">
      <c r="F3139" s="12" t="str">
        <f>Absolute_Scores!F3139</f>
        <v>@ikenj09</v>
      </c>
      <c r="G3139" s="12" t="str">
        <f>Absolute_Scores!G3139</f>
        <v>Instagram</v>
      </c>
      <c r="H3139" s="29">
        <f>Absolute_Scores!I3139</f>
        <v>44</v>
      </c>
      <c r="I3139" s="30">
        <f t="shared" si="79"/>
        <v>55</v>
      </c>
    </row>
    <row r="3140" spans="6:9">
      <c r="F3140" s="12" t="str">
        <f>Absolute_Scores!F3140</f>
        <v>@illuminareyou</v>
      </c>
      <c r="G3140" s="12" t="str">
        <f>Absolute_Scores!G3140</f>
        <v>Instagram</v>
      </c>
      <c r="H3140" s="29">
        <f>Absolute_Scores!I3140</f>
        <v>44</v>
      </c>
      <c r="I3140" s="30">
        <f t="shared" si="79"/>
        <v>55</v>
      </c>
    </row>
    <row r="3141" spans="6:9">
      <c r="F3141" s="12" t="str">
        <f>Absolute_Scores!F3141</f>
        <v>@ilyyrmd</v>
      </c>
      <c r="G3141" s="12" t="str">
        <f>Absolute_Scores!G3141</f>
        <v>TikTok</v>
      </c>
      <c r="H3141" s="29">
        <f>Absolute_Scores!I3141</f>
        <v>44</v>
      </c>
      <c r="I3141" s="30">
        <f t="shared" si="79"/>
        <v>55</v>
      </c>
    </row>
    <row r="3142" spans="6:9">
      <c r="F3142" s="12" t="str">
        <f>Absolute_Scores!F3142</f>
        <v>@im.rikaaa</v>
      </c>
      <c r="G3142" s="12" t="str">
        <f>Absolute_Scores!G3142</f>
        <v>Instagram</v>
      </c>
      <c r="H3142" s="29">
        <f>Absolute_Scores!I3142</f>
        <v>44</v>
      </c>
      <c r="I3142" s="30">
        <f t="shared" ref="I3142:I3205" si="80">ROUND(H3142/$I$4*100,2)</f>
        <v>55</v>
      </c>
    </row>
    <row r="3143" spans="6:9">
      <c r="F3143" s="12" t="str">
        <f>Absolute_Scores!F3143</f>
        <v>@indah_impiyanii</v>
      </c>
      <c r="G3143" s="12" t="str">
        <f>Absolute_Scores!G3143</f>
        <v>Instagram</v>
      </c>
      <c r="H3143" s="29">
        <f>Absolute_Scores!I3143</f>
        <v>44</v>
      </c>
      <c r="I3143" s="30">
        <f t="shared" si="80"/>
        <v>55</v>
      </c>
    </row>
    <row r="3144" spans="6:9">
      <c r="F3144" s="12" t="str">
        <f>Absolute_Scores!F3144</f>
        <v>@indira_az</v>
      </c>
      <c r="G3144" s="12" t="str">
        <f>Absolute_Scores!G3144</f>
        <v>Instagram</v>
      </c>
      <c r="H3144" s="29">
        <f>Absolute_Scores!I3144</f>
        <v>44</v>
      </c>
      <c r="I3144" s="30">
        <f t="shared" si="80"/>
        <v>55</v>
      </c>
    </row>
    <row r="3145" spans="6:9">
      <c r="F3145" s="12" t="str">
        <f>Absolute_Scores!F3145</f>
        <v>@indrimardiana__</v>
      </c>
      <c r="G3145" s="12" t="str">
        <f>Absolute_Scores!G3145</f>
        <v>Instagram</v>
      </c>
      <c r="H3145" s="29">
        <f>Absolute_Scores!I3145</f>
        <v>44</v>
      </c>
      <c r="I3145" s="30">
        <f t="shared" si="80"/>
        <v>55</v>
      </c>
    </row>
    <row r="3146" spans="6:9">
      <c r="F3146" s="12" t="str">
        <f>Absolute_Scores!F3146</f>
        <v>@indyish</v>
      </c>
      <c r="G3146" s="12" t="str">
        <f>Absolute_Scores!G3146</f>
        <v>TikTok</v>
      </c>
      <c r="H3146" s="29">
        <f>Absolute_Scores!I3146</f>
        <v>44</v>
      </c>
      <c r="I3146" s="30">
        <f t="shared" si="80"/>
        <v>55</v>
      </c>
    </row>
    <row r="3147" spans="6:9">
      <c r="F3147" s="12" t="str">
        <f>Absolute_Scores!F3147</f>
        <v>@inezzsabrina</v>
      </c>
      <c r="G3147" s="12" t="str">
        <f>Absolute_Scores!G3147</f>
        <v>TikTok</v>
      </c>
      <c r="H3147" s="29">
        <f>Absolute_Scores!I3147</f>
        <v>44</v>
      </c>
      <c r="I3147" s="30">
        <f t="shared" si="80"/>
        <v>55</v>
      </c>
    </row>
    <row r="3148" spans="6:9">
      <c r="F3148" s="12" t="str">
        <f>Absolute_Scores!F3148</f>
        <v>@infobogor</v>
      </c>
      <c r="G3148" s="12" t="str">
        <f>Absolute_Scores!G3148</f>
        <v>Instagram</v>
      </c>
      <c r="H3148" s="29">
        <f>Absolute_Scores!I3148</f>
        <v>44</v>
      </c>
      <c r="I3148" s="30">
        <f t="shared" si="80"/>
        <v>55</v>
      </c>
    </row>
    <row r="3149" spans="6:9">
      <c r="F3149" s="12" t="str">
        <f>Absolute_Scores!F3149</f>
        <v>@infodepok24jam</v>
      </c>
      <c r="G3149" s="12" t="str">
        <f>Absolute_Scores!G3149</f>
        <v>Instagram</v>
      </c>
      <c r="H3149" s="29">
        <f>Absolute_Scores!I3149</f>
        <v>44</v>
      </c>
      <c r="I3149" s="30">
        <f t="shared" si="80"/>
        <v>55</v>
      </c>
    </row>
    <row r="3150" spans="6:9">
      <c r="F3150" s="12" t="str">
        <f>Absolute_Scores!F3150</f>
        <v>@inggridchan</v>
      </c>
      <c r="G3150" s="12" t="str">
        <f>Absolute_Scores!G3150</f>
        <v>Instagram</v>
      </c>
      <c r="H3150" s="29">
        <f>Absolute_Scores!I3150</f>
        <v>44</v>
      </c>
      <c r="I3150" s="30">
        <f t="shared" si="80"/>
        <v>55</v>
      </c>
    </row>
    <row r="3151" spans="6:9">
      <c r="F3151" s="12" t="str">
        <f>Absolute_Scores!F3151</f>
        <v>@ino_gaol</v>
      </c>
      <c r="G3151" s="12" t="str">
        <f>Absolute_Scores!G3151</f>
        <v>TikTok</v>
      </c>
      <c r="H3151" s="29">
        <f>Absolute_Scores!I3151</f>
        <v>44</v>
      </c>
      <c r="I3151" s="30">
        <f t="shared" si="80"/>
        <v>55</v>
      </c>
    </row>
    <row r="3152" spans="6:9">
      <c r="F3152" s="12" t="str">
        <f>Absolute_Scores!F3152</f>
        <v>@ira.sryni</v>
      </c>
      <c r="G3152" s="12" t="str">
        <f>Absolute_Scores!G3152</f>
        <v>Instagram</v>
      </c>
      <c r="H3152" s="29">
        <f>Absolute_Scores!I3152</f>
        <v>44</v>
      </c>
      <c r="I3152" s="30">
        <f t="shared" si="80"/>
        <v>55</v>
      </c>
    </row>
    <row r="3153" spans="6:9">
      <c r="F3153" s="12" t="str">
        <f>Absolute_Scores!F3153</f>
        <v>@ishmaannisa96</v>
      </c>
      <c r="G3153" s="12" t="str">
        <f>Absolute_Scores!G3153</f>
        <v>TikTok</v>
      </c>
      <c r="H3153" s="29">
        <f>Absolute_Scores!I3153</f>
        <v>44</v>
      </c>
      <c r="I3153" s="30">
        <f t="shared" si="80"/>
        <v>55</v>
      </c>
    </row>
    <row r="3154" spans="6:9">
      <c r="F3154" s="12" t="str">
        <f>Absolute_Scores!F3154</f>
        <v>@itawidya___</v>
      </c>
      <c r="G3154" s="12" t="str">
        <f>Absolute_Scores!G3154</f>
        <v>Instagram</v>
      </c>
      <c r="H3154" s="29">
        <f>Absolute_Scores!I3154</f>
        <v>44</v>
      </c>
      <c r="I3154" s="30">
        <f t="shared" si="80"/>
        <v>55</v>
      </c>
    </row>
    <row r="3155" spans="6:9">
      <c r="F3155" s="12" t="str">
        <f>Absolute_Scores!F3155</f>
        <v>@its_ziandsty</v>
      </c>
      <c r="G3155" s="12" t="str">
        <f>Absolute_Scores!G3155</f>
        <v>Instagram</v>
      </c>
      <c r="H3155" s="29">
        <f>Absolute_Scores!I3155</f>
        <v>44</v>
      </c>
      <c r="I3155" s="30">
        <f t="shared" si="80"/>
        <v>55</v>
      </c>
    </row>
    <row r="3156" spans="6:9">
      <c r="F3156" s="12" t="str">
        <f>Absolute_Scores!F3156</f>
        <v>@itspikachi</v>
      </c>
      <c r="G3156" s="12" t="str">
        <f>Absolute_Scores!G3156</f>
        <v>TikTok</v>
      </c>
      <c r="H3156" s="29">
        <f>Absolute_Scores!I3156</f>
        <v>44</v>
      </c>
      <c r="I3156" s="30">
        <f t="shared" si="80"/>
        <v>55</v>
      </c>
    </row>
    <row r="3157" spans="6:9">
      <c r="F3157" s="12" t="str">
        <f>Absolute_Scores!F3157</f>
        <v>@izatlistifnya10</v>
      </c>
      <c r="G3157" s="12" t="str">
        <f>Absolute_Scores!G3157</f>
        <v>Instagram</v>
      </c>
      <c r="H3157" s="29">
        <f>Absolute_Scores!I3157</f>
        <v>44</v>
      </c>
      <c r="I3157" s="30">
        <f t="shared" si="80"/>
        <v>55</v>
      </c>
    </row>
    <row r="3158" spans="6:9">
      <c r="F3158" s="12" t="str">
        <f>Absolute_Scores!F3158</f>
        <v>@jalur5</v>
      </c>
      <c r="G3158" s="12" t="str">
        <f>Absolute_Scores!G3158</f>
        <v>Instagram</v>
      </c>
      <c r="H3158" s="29">
        <f>Absolute_Scores!I3158</f>
        <v>44</v>
      </c>
      <c r="I3158" s="30">
        <f t="shared" si="80"/>
        <v>55</v>
      </c>
    </row>
    <row r="3159" spans="6:9">
      <c r="F3159" s="12" t="str">
        <f>Absolute_Scores!F3159</f>
        <v>@jannah.silvia</v>
      </c>
      <c r="G3159" s="12" t="str">
        <f>Absolute_Scores!G3159</f>
        <v>Instagram</v>
      </c>
      <c r="H3159" s="29">
        <f>Absolute_Scores!I3159</f>
        <v>44</v>
      </c>
      <c r="I3159" s="30">
        <f t="shared" si="80"/>
        <v>55</v>
      </c>
    </row>
    <row r="3160" spans="6:9">
      <c r="F3160" s="12" t="str">
        <f>Absolute_Scores!F3160</f>
        <v>@jenniferchayra</v>
      </c>
      <c r="G3160" s="12" t="str">
        <f>Absolute_Scores!G3160</f>
        <v>TikTok</v>
      </c>
      <c r="H3160" s="29">
        <f>Absolute_Scores!I3160</f>
        <v>44</v>
      </c>
      <c r="I3160" s="30">
        <f t="shared" si="80"/>
        <v>55</v>
      </c>
    </row>
    <row r="3161" spans="6:9">
      <c r="F3161" s="12" t="str">
        <f>Absolute_Scores!F3161</f>
        <v>@jennifersutionoo</v>
      </c>
      <c r="G3161" s="12" t="str">
        <f>Absolute_Scores!G3161</f>
        <v>TikTok</v>
      </c>
      <c r="H3161" s="29">
        <f>Absolute_Scores!I3161</f>
        <v>44</v>
      </c>
      <c r="I3161" s="30">
        <f t="shared" si="80"/>
        <v>55</v>
      </c>
    </row>
    <row r="3162" spans="6:9">
      <c r="F3162" s="12" t="str">
        <f>Absolute_Scores!F3162</f>
        <v>@jennipongg</v>
      </c>
      <c r="G3162" s="12" t="str">
        <f>Absolute_Scores!G3162</f>
        <v>TikTok</v>
      </c>
      <c r="H3162" s="29">
        <f>Absolute_Scores!I3162</f>
        <v>44</v>
      </c>
      <c r="I3162" s="30">
        <f t="shared" si="80"/>
        <v>55</v>
      </c>
    </row>
    <row r="3163" spans="6:9">
      <c r="F3163" s="12" t="str">
        <f>Absolute_Scores!F3163</f>
        <v>@jhrrzel</v>
      </c>
      <c r="G3163" s="12" t="str">
        <f>Absolute_Scores!G3163</f>
        <v>TikTok</v>
      </c>
      <c r="H3163" s="29">
        <f>Absolute_Scores!I3163</f>
        <v>44</v>
      </c>
      <c r="I3163" s="30">
        <f t="shared" si="80"/>
        <v>55</v>
      </c>
    </row>
    <row r="3164" spans="6:9">
      <c r="F3164" s="12" t="str">
        <f>Absolute_Scores!F3164</f>
        <v>@joannaanastasia</v>
      </c>
      <c r="G3164" s="12" t="str">
        <f>Absolute_Scores!G3164</f>
        <v>Instagram</v>
      </c>
      <c r="H3164" s="29">
        <f>Absolute_Scores!I3164</f>
        <v>44</v>
      </c>
      <c r="I3164" s="30">
        <f t="shared" si="80"/>
        <v>55</v>
      </c>
    </row>
    <row r="3165" spans="6:9">
      <c r="F3165" s="12" t="str">
        <f>Absolute_Scores!F3165</f>
        <v>@joe_azizah</v>
      </c>
      <c r="G3165" s="12" t="str">
        <f>Absolute_Scores!G3165</f>
        <v>Instagram</v>
      </c>
      <c r="H3165" s="29">
        <f>Absolute_Scores!I3165</f>
        <v>44</v>
      </c>
      <c r="I3165" s="30">
        <f t="shared" si="80"/>
        <v>55</v>
      </c>
    </row>
    <row r="3166" spans="6:9">
      <c r="F3166" s="12" t="str">
        <f>Absolute_Scores!F3166</f>
        <v>@jona_pottger</v>
      </c>
      <c r="G3166" s="12" t="str">
        <f>Absolute_Scores!G3166</f>
        <v>TikTok</v>
      </c>
      <c r="H3166" s="29">
        <f>Absolute_Scores!I3166</f>
        <v>44</v>
      </c>
      <c r="I3166" s="30">
        <f t="shared" si="80"/>
        <v>55</v>
      </c>
    </row>
    <row r="3167" spans="6:9">
      <c r="F3167" s="12" t="str">
        <f>Absolute_Scores!F3167</f>
        <v>@jonathan_abee</v>
      </c>
      <c r="G3167" s="12" t="str">
        <f>Absolute_Scores!G3167</f>
        <v>TikTok</v>
      </c>
      <c r="H3167" s="29">
        <f>Absolute_Scores!I3167</f>
        <v>44</v>
      </c>
      <c r="I3167" s="30">
        <f t="shared" si="80"/>
        <v>55</v>
      </c>
    </row>
    <row r="3168" spans="6:9">
      <c r="F3168" s="12" t="str">
        <f>Absolute_Scores!F3168</f>
        <v>@jordanfadhilla</v>
      </c>
      <c r="G3168" s="12" t="str">
        <f>Absolute_Scores!G3168</f>
        <v>TikTok</v>
      </c>
      <c r="H3168" s="29">
        <f>Absolute_Scores!I3168</f>
        <v>44</v>
      </c>
      <c r="I3168" s="30">
        <f t="shared" si="80"/>
        <v>55</v>
      </c>
    </row>
    <row r="3169" spans="6:9">
      <c r="F3169" s="12" t="str">
        <f>Absolute_Scores!F3169</f>
        <v>@juheriah_nurahman</v>
      </c>
      <c r="G3169" s="12" t="str">
        <f>Absolute_Scores!G3169</f>
        <v>Instagram</v>
      </c>
      <c r="H3169" s="29">
        <f>Absolute_Scores!I3169</f>
        <v>44</v>
      </c>
      <c r="I3169" s="30">
        <f t="shared" si="80"/>
        <v>55</v>
      </c>
    </row>
    <row r="3170" spans="6:9">
      <c r="F3170" s="12" t="str">
        <f>Absolute_Scores!F3170</f>
        <v>@juniarayutll</v>
      </c>
      <c r="G3170" s="12" t="str">
        <f>Absolute_Scores!G3170</f>
        <v>TikTok</v>
      </c>
      <c r="H3170" s="29">
        <f>Absolute_Scores!I3170</f>
        <v>44</v>
      </c>
      <c r="I3170" s="30">
        <f t="shared" si="80"/>
        <v>55</v>
      </c>
    </row>
    <row r="3171" spans="6:9">
      <c r="F3171" s="12" t="str">
        <f>Absolute_Scores!F3171</f>
        <v>@junibella06</v>
      </c>
      <c r="G3171" s="12" t="str">
        <f>Absolute_Scores!G3171</f>
        <v>Instagram</v>
      </c>
      <c r="H3171" s="29">
        <f>Absolute_Scores!I3171</f>
        <v>44</v>
      </c>
      <c r="I3171" s="30">
        <f t="shared" si="80"/>
        <v>55</v>
      </c>
    </row>
    <row r="3172" spans="6:9">
      <c r="F3172" s="12" t="str">
        <f>Absolute_Scores!F3172</f>
        <v>@k.e.l.a.r.a</v>
      </c>
      <c r="G3172" s="12" t="str">
        <f>Absolute_Scores!G3172</f>
        <v>TikTok</v>
      </c>
      <c r="H3172" s="29">
        <f>Absolute_Scores!I3172</f>
        <v>44</v>
      </c>
      <c r="I3172" s="30">
        <f t="shared" si="80"/>
        <v>55</v>
      </c>
    </row>
    <row r="3173" spans="6:9">
      <c r="F3173" s="12" t="str">
        <f>Absolute_Scores!F3173</f>
        <v>@kamilahfickychannel</v>
      </c>
      <c r="G3173" s="12" t="str">
        <f>Absolute_Scores!G3173</f>
        <v>TikTok</v>
      </c>
      <c r="H3173" s="29">
        <f>Absolute_Scores!I3173</f>
        <v>44</v>
      </c>
      <c r="I3173" s="30">
        <f t="shared" si="80"/>
        <v>55</v>
      </c>
    </row>
    <row r="3174" spans="6:9">
      <c r="F3174" s="12" t="str">
        <f>Absolute_Scores!F3174</f>
        <v>@kaniadachlan</v>
      </c>
      <c r="G3174" s="12" t="str">
        <f>Absolute_Scores!G3174</f>
        <v>Instagram</v>
      </c>
      <c r="H3174" s="29">
        <f>Absolute_Scores!I3174</f>
        <v>44</v>
      </c>
      <c r="I3174" s="30">
        <f t="shared" si="80"/>
        <v>55</v>
      </c>
    </row>
    <row r="3175" spans="6:9">
      <c r="F3175" s="12" t="str">
        <f>Absolute_Scores!F3175</f>
        <v>@karimaassegaf</v>
      </c>
      <c r="G3175" s="12" t="str">
        <f>Absolute_Scores!G3175</f>
        <v>Instagram</v>
      </c>
      <c r="H3175" s="29">
        <f>Absolute_Scores!I3175</f>
        <v>44</v>
      </c>
      <c r="I3175" s="30">
        <f t="shared" si="80"/>
        <v>55</v>
      </c>
    </row>
    <row r="3176" spans="6:9">
      <c r="F3176" s="12" t="str">
        <f>Absolute_Scores!F3176</f>
        <v>@kathrynlisaa</v>
      </c>
      <c r="G3176" s="12" t="str">
        <f>Absolute_Scores!G3176</f>
        <v>TikTok</v>
      </c>
      <c r="H3176" s="29">
        <f>Absolute_Scores!I3176</f>
        <v>44</v>
      </c>
      <c r="I3176" s="30">
        <f t="shared" si="80"/>
        <v>55</v>
      </c>
    </row>
    <row r="3177" spans="6:9">
      <c r="F3177" s="12" t="str">
        <f>Absolute_Scores!F3177</f>
        <v>@kekekania</v>
      </c>
      <c r="G3177" s="12" t="str">
        <f>Absolute_Scores!G3177</f>
        <v>Instagram</v>
      </c>
      <c r="H3177" s="29">
        <f>Absolute_Scores!I3177</f>
        <v>44</v>
      </c>
      <c r="I3177" s="30">
        <f t="shared" si="80"/>
        <v>55</v>
      </c>
    </row>
    <row r="3178" spans="6:9">
      <c r="F3178" s="12" t="str">
        <f>Absolute_Scores!F3178</f>
        <v>@kennyharlen</v>
      </c>
      <c r="G3178" s="12" t="str">
        <f>Absolute_Scores!G3178</f>
        <v>Instagram</v>
      </c>
      <c r="H3178" s="29">
        <f>Absolute_Scores!I3178</f>
        <v>44</v>
      </c>
      <c r="I3178" s="30">
        <f t="shared" si="80"/>
        <v>55</v>
      </c>
    </row>
    <row r="3179" spans="6:9">
      <c r="F3179" s="12" t="str">
        <f>Absolute_Scores!F3179</f>
        <v>@kenzkai__</v>
      </c>
      <c r="G3179" s="12" t="str">
        <f>Absolute_Scores!G3179</f>
        <v>Instagram</v>
      </c>
      <c r="H3179" s="29">
        <f>Absolute_Scores!I3179</f>
        <v>44</v>
      </c>
      <c r="I3179" s="30">
        <f t="shared" si="80"/>
        <v>55</v>
      </c>
    </row>
    <row r="3180" spans="6:9">
      <c r="F3180" s="12" t="str">
        <f>Absolute_Scores!F3180</f>
        <v>@keprionline.co.id</v>
      </c>
      <c r="G3180" s="12" t="str">
        <f>Absolute_Scores!G3180</f>
        <v>TikTok</v>
      </c>
      <c r="H3180" s="29">
        <f>Absolute_Scores!I3180</f>
        <v>44</v>
      </c>
      <c r="I3180" s="30">
        <f t="shared" si="80"/>
        <v>55</v>
      </c>
    </row>
    <row r="3181" spans="6:9">
      <c r="F3181" s="12" t="str">
        <f>Absolute_Scores!F3181</f>
        <v>@kethijuliana1</v>
      </c>
      <c r="G3181" s="12" t="str">
        <f>Absolute_Scores!G3181</f>
        <v>Instagram</v>
      </c>
      <c r="H3181" s="29">
        <f>Absolute_Scores!I3181</f>
        <v>44</v>
      </c>
      <c r="I3181" s="30">
        <f t="shared" si="80"/>
        <v>55</v>
      </c>
    </row>
    <row r="3182" spans="6:9">
      <c r="F3182" s="12" t="str">
        <f>Absolute_Scores!F3182</f>
        <v>@kevinmooses</v>
      </c>
      <c r="G3182" s="12" t="str">
        <f>Absolute_Scores!G3182</f>
        <v>Instagram</v>
      </c>
      <c r="H3182" s="29">
        <f>Absolute_Scores!I3182</f>
        <v>44</v>
      </c>
      <c r="I3182" s="30">
        <f t="shared" si="80"/>
        <v>55</v>
      </c>
    </row>
    <row r="3183" spans="6:9">
      <c r="F3183" s="12" t="str">
        <f>Absolute_Scores!F3183</f>
        <v>@kevinthennedy</v>
      </c>
      <c r="G3183" s="12" t="str">
        <f>Absolute_Scores!G3183</f>
        <v>TikTok</v>
      </c>
      <c r="H3183" s="29">
        <f>Absolute_Scores!I3183</f>
        <v>44</v>
      </c>
      <c r="I3183" s="30">
        <f t="shared" si="80"/>
        <v>55</v>
      </c>
    </row>
    <row r="3184" spans="6:9">
      <c r="F3184" s="12" t="str">
        <f>Absolute_Scores!F3184</f>
        <v>@key.rzky</v>
      </c>
      <c r="G3184" s="12" t="str">
        <f>Absolute_Scores!G3184</f>
        <v>Instagram</v>
      </c>
      <c r="H3184" s="29">
        <f>Absolute_Scores!I3184</f>
        <v>44</v>
      </c>
      <c r="I3184" s="30">
        <f t="shared" si="80"/>
        <v>55</v>
      </c>
    </row>
    <row r="3185" spans="6:9">
      <c r="F3185" s="12" t="str">
        <f>Absolute_Scores!F3185</f>
        <v>@keykanyamey</v>
      </c>
      <c r="G3185" s="12" t="str">
        <f>Absolute_Scores!G3185</f>
        <v>TikTok</v>
      </c>
      <c r="H3185" s="29">
        <f>Absolute_Scores!I3185</f>
        <v>44</v>
      </c>
      <c r="I3185" s="30">
        <f t="shared" si="80"/>
        <v>55</v>
      </c>
    </row>
    <row r="3186" spans="6:9">
      <c r="F3186" s="12" t="str">
        <f>Absolute_Scores!F3186</f>
        <v>@keyuruh</v>
      </c>
      <c r="G3186" s="12" t="str">
        <f>Absolute_Scores!G3186</f>
        <v>TikTok</v>
      </c>
      <c r="H3186" s="29">
        <f>Absolute_Scores!I3186</f>
        <v>44</v>
      </c>
      <c r="I3186" s="30">
        <f t="shared" si="80"/>
        <v>55</v>
      </c>
    </row>
    <row r="3187" spans="6:9">
      <c r="F3187" s="12" t="str">
        <f>Absolute_Scores!F3187</f>
        <v>@kimmiraa_</v>
      </c>
      <c r="G3187" s="12" t="str">
        <f>Absolute_Scores!G3187</f>
        <v>Instagram</v>
      </c>
      <c r="H3187" s="29">
        <f>Absolute_Scores!I3187</f>
        <v>44</v>
      </c>
      <c r="I3187" s="30">
        <f t="shared" si="80"/>
        <v>55</v>
      </c>
    </row>
    <row r="3188" spans="6:9">
      <c r="F3188" s="12" t="str">
        <f>Absolute_Scores!F3188</f>
        <v>@kingk00nta</v>
      </c>
      <c r="G3188" s="12" t="str">
        <f>Absolute_Scores!G3188</f>
        <v>TikTok</v>
      </c>
      <c r="H3188" s="29">
        <f>Absolute_Scores!I3188</f>
        <v>44</v>
      </c>
      <c r="I3188" s="30">
        <f t="shared" si="80"/>
        <v>55</v>
      </c>
    </row>
    <row r="3189" spans="6:9">
      <c r="F3189" s="12" t="str">
        <f>Absolute_Scores!F3189</f>
        <v>@knzymyln__</v>
      </c>
      <c r="G3189" s="12" t="str">
        <f>Absolute_Scores!G3189</f>
        <v>TikTok</v>
      </c>
      <c r="H3189" s="29">
        <f>Absolute_Scores!I3189</f>
        <v>44</v>
      </c>
      <c r="I3189" s="30">
        <f t="shared" si="80"/>
        <v>55</v>
      </c>
    </row>
    <row r="3190" spans="6:9">
      <c r="F3190" s="12" t="str">
        <f>Absolute_Scores!F3190</f>
        <v>@koko_pino</v>
      </c>
      <c r="G3190" s="12" t="str">
        <f>Absolute_Scores!G3190</f>
        <v>TikTok</v>
      </c>
      <c r="H3190" s="29">
        <f>Absolute_Scores!I3190</f>
        <v>44</v>
      </c>
      <c r="I3190" s="30">
        <f t="shared" si="80"/>
        <v>55</v>
      </c>
    </row>
    <row r="3191" spans="6:9">
      <c r="F3191" s="12" t="str">
        <f>Absolute_Scores!F3191</f>
        <v>@korinjul</v>
      </c>
      <c r="G3191" s="12" t="str">
        <f>Absolute_Scores!G3191</f>
        <v>TikTok</v>
      </c>
      <c r="H3191" s="29">
        <f>Absolute_Scores!I3191</f>
        <v>44</v>
      </c>
      <c r="I3191" s="30">
        <f t="shared" si="80"/>
        <v>55</v>
      </c>
    </row>
    <row r="3192" spans="6:9">
      <c r="F3192" s="12" t="str">
        <f>Absolute_Scores!F3192</f>
        <v>@kurakuraca</v>
      </c>
      <c r="G3192" s="12" t="str">
        <f>Absolute_Scores!G3192</f>
        <v>TikTok</v>
      </c>
      <c r="H3192" s="29">
        <f>Absolute_Scores!I3192</f>
        <v>44</v>
      </c>
      <c r="I3192" s="30">
        <f t="shared" si="80"/>
        <v>55</v>
      </c>
    </row>
    <row r="3193" spans="6:9">
      <c r="F3193" s="12" t="str">
        <f>Absolute_Scores!F3193</f>
        <v>@laidaalubis</v>
      </c>
      <c r="G3193" s="12" t="str">
        <f>Absolute_Scores!G3193</f>
        <v>Instagram</v>
      </c>
      <c r="H3193" s="29">
        <f>Absolute_Scores!I3193</f>
        <v>44</v>
      </c>
      <c r="I3193" s="30">
        <f t="shared" si="80"/>
        <v>55</v>
      </c>
    </row>
    <row r="3194" spans="6:9">
      <c r="F3194" s="12" t="str">
        <f>Absolute_Scores!F3194</f>
        <v>@lambe_turah</v>
      </c>
      <c r="G3194" s="12" t="str">
        <f>Absolute_Scores!G3194</f>
        <v>Instagram</v>
      </c>
      <c r="H3194" s="29">
        <f>Absolute_Scores!I3194</f>
        <v>44</v>
      </c>
      <c r="I3194" s="30">
        <f t="shared" si="80"/>
        <v>55</v>
      </c>
    </row>
    <row r="3195" spans="6:9">
      <c r="F3195" s="12" t="str">
        <f>Absolute_Scores!F3195</f>
        <v>@laurajunisa27</v>
      </c>
      <c r="G3195" s="12" t="str">
        <f>Absolute_Scores!G3195</f>
        <v>Instagram</v>
      </c>
      <c r="H3195" s="29">
        <f>Absolute_Scores!I3195</f>
        <v>44</v>
      </c>
      <c r="I3195" s="30">
        <f t="shared" si="80"/>
        <v>55</v>
      </c>
    </row>
    <row r="3196" spans="6:9">
      <c r="F3196" s="12" t="str">
        <f>Absolute_Scores!F3196</f>
        <v>@lauratheux</v>
      </c>
      <c r="G3196" s="12" t="str">
        <f>Absolute_Scores!G3196</f>
        <v>TikTok</v>
      </c>
      <c r="H3196" s="29">
        <f>Absolute_Scores!I3196</f>
        <v>44</v>
      </c>
      <c r="I3196" s="30">
        <f t="shared" si="80"/>
        <v>55</v>
      </c>
    </row>
    <row r="3197" spans="6:9">
      <c r="F3197" s="12" t="str">
        <f>Absolute_Scores!F3197</f>
        <v>@lauraziphoraa</v>
      </c>
      <c r="G3197" s="12" t="str">
        <f>Absolute_Scores!G3197</f>
        <v>TikTok</v>
      </c>
      <c r="H3197" s="29">
        <f>Absolute_Scores!I3197</f>
        <v>44</v>
      </c>
      <c r="I3197" s="30">
        <f t="shared" si="80"/>
        <v>55</v>
      </c>
    </row>
    <row r="3198" spans="6:9">
      <c r="F3198" s="12" t="str">
        <f>Absolute_Scores!F3198</f>
        <v>@lia_hrlina</v>
      </c>
      <c r="G3198" s="12" t="str">
        <f>Absolute_Scores!G3198</f>
        <v>Instagram</v>
      </c>
      <c r="H3198" s="29">
        <f>Absolute_Scores!I3198</f>
        <v>44</v>
      </c>
      <c r="I3198" s="30">
        <f t="shared" si="80"/>
        <v>55</v>
      </c>
    </row>
    <row r="3199" spans="6:9">
      <c r="F3199" s="12" t="str">
        <f>Absolute_Scores!F3199</f>
        <v>@lianaabbey</v>
      </c>
      <c r="G3199" s="12" t="str">
        <f>Absolute_Scores!G3199</f>
        <v>Instagram</v>
      </c>
      <c r="H3199" s="29">
        <f>Absolute_Scores!I3199</f>
        <v>44</v>
      </c>
      <c r="I3199" s="30">
        <f t="shared" si="80"/>
        <v>55</v>
      </c>
    </row>
    <row r="3200" spans="6:9">
      <c r="F3200" s="12" t="str">
        <f>Absolute_Scores!F3200</f>
        <v>@lidyasalsabillaaa</v>
      </c>
      <c r="G3200" s="12" t="str">
        <f>Absolute_Scores!G3200</f>
        <v>Instagram</v>
      </c>
      <c r="H3200" s="29">
        <f>Absolute_Scores!I3200</f>
        <v>44</v>
      </c>
      <c r="I3200" s="30">
        <f t="shared" si="80"/>
        <v>55</v>
      </c>
    </row>
    <row r="3201" spans="6:9">
      <c r="F3201" s="12" t="str">
        <f>Absolute_Scores!F3201</f>
        <v>@lilyhaniilfani</v>
      </c>
      <c r="G3201" s="12" t="str">
        <f>Absolute_Scores!G3201</f>
        <v>Instagram</v>
      </c>
      <c r="H3201" s="29">
        <f>Absolute_Scores!I3201</f>
        <v>44</v>
      </c>
      <c r="I3201" s="30">
        <f t="shared" si="80"/>
        <v>55</v>
      </c>
    </row>
    <row r="3202" spans="6:9">
      <c r="F3202" s="12" t="str">
        <f>Absolute_Scores!F3202</f>
        <v>@linda.haqushe</v>
      </c>
      <c r="G3202" s="12" t="str">
        <f>Absolute_Scores!G3202</f>
        <v>Instagram</v>
      </c>
      <c r="H3202" s="29">
        <f>Absolute_Scores!I3202</f>
        <v>44</v>
      </c>
      <c r="I3202" s="30">
        <f t="shared" si="80"/>
        <v>55</v>
      </c>
    </row>
    <row r="3203" spans="6:9">
      <c r="F3203" s="12" t="str">
        <f>Absolute_Scores!F3203</f>
        <v>@lintanggarini</v>
      </c>
      <c r="G3203" s="12" t="str">
        <f>Absolute_Scores!G3203</f>
        <v>Instagram</v>
      </c>
      <c r="H3203" s="29">
        <f>Absolute_Scores!I3203</f>
        <v>44</v>
      </c>
      <c r="I3203" s="30">
        <f t="shared" si="80"/>
        <v>55</v>
      </c>
    </row>
    <row r="3204" spans="6:9">
      <c r="F3204" s="12" t="str">
        <f>Absolute_Scores!F3204</f>
        <v>@listiantir28</v>
      </c>
      <c r="G3204" s="12" t="str">
        <f>Absolute_Scores!G3204</f>
        <v>Instagram</v>
      </c>
      <c r="H3204" s="29">
        <f>Absolute_Scores!I3204</f>
        <v>44</v>
      </c>
      <c r="I3204" s="30">
        <f t="shared" si="80"/>
        <v>55</v>
      </c>
    </row>
    <row r="3205" spans="6:9">
      <c r="F3205" s="12" t="str">
        <f>Absolute_Scores!F3205</f>
        <v>@listyanadafys</v>
      </c>
      <c r="G3205" s="12" t="str">
        <f>Absolute_Scores!G3205</f>
        <v>Instagram</v>
      </c>
      <c r="H3205" s="29">
        <f>Absolute_Scores!I3205</f>
        <v>44</v>
      </c>
      <c r="I3205" s="30">
        <f t="shared" si="80"/>
        <v>55</v>
      </c>
    </row>
    <row r="3206" spans="6:9">
      <c r="F3206" s="12" t="str">
        <f>Absolute_Scores!F3206</f>
        <v>@lita.meliana.sihotang</v>
      </c>
      <c r="G3206" s="12" t="str">
        <f>Absolute_Scores!G3206</f>
        <v>Instagram</v>
      </c>
      <c r="H3206" s="29">
        <f>Absolute_Scores!I3206</f>
        <v>44</v>
      </c>
      <c r="I3206" s="30">
        <f t="shared" ref="I3206:I3269" si="81">ROUND(H3206/$I$4*100,2)</f>
        <v>55</v>
      </c>
    </row>
    <row r="3207" spans="6:9">
      <c r="F3207" s="12" t="str">
        <f>Absolute_Scores!F3207</f>
        <v>@littlejarvischannel</v>
      </c>
      <c r="G3207" s="12" t="str">
        <f>Absolute_Scores!G3207</f>
        <v>Instagram</v>
      </c>
      <c r="H3207" s="29">
        <f>Absolute_Scores!I3207</f>
        <v>44</v>
      </c>
      <c r="I3207" s="30">
        <f t="shared" si="81"/>
        <v>55</v>
      </c>
    </row>
    <row r="3208" spans="6:9">
      <c r="F3208" s="12" t="str">
        <f>Absolute_Scores!F3208</f>
        <v>@livbabylol</v>
      </c>
      <c r="G3208" s="12" t="str">
        <f>Absolute_Scores!G3208</f>
        <v>TikTok</v>
      </c>
      <c r="H3208" s="29">
        <f>Absolute_Scores!I3208</f>
        <v>44</v>
      </c>
      <c r="I3208" s="30">
        <f t="shared" si="81"/>
        <v>55</v>
      </c>
    </row>
    <row r="3209" spans="6:9">
      <c r="F3209" s="12" t="str">
        <f>Absolute_Scores!F3209</f>
        <v>@livianasm</v>
      </c>
      <c r="G3209" s="12" t="str">
        <f>Absolute_Scores!G3209</f>
        <v>TikTok</v>
      </c>
      <c r="H3209" s="29">
        <f>Absolute_Scores!I3209</f>
        <v>44</v>
      </c>
      <c r="I3209" s="30">
        <f t="shared" si="81"/>
        <v>55</v>
      </c>
    </row>
    <row r="3210" spans="6:9">
      <c r="F3210" s="12" t="str">
        <f>Absolute_Scores!F3210</f>
        <v>@louwysapristiati</v>
      </c>
      <c r="G3210" s="12" t="str">
        <f>Absolute_Scores!G3210</f>
        <v>Instagram</v>
      </c>
      <c r="H3210" s="29">
        <f>Absolute_Scores!I3210</f>
        <v>44</v>
      </c>
      <c r="I3210" s="30">
        <f t="shared" si="81"/>
        <v>55</v>
      </c>
    </row>
    <row r="3211" spans="6:9">
      <c r="F3211" s="12" t="str">
        <f>Absolute_Scores!F3211</f>
        <v>@luki_female</v>
      </c>
      <c r="G3211" s="12" t="str">
        <f>Absolute_Scores!G3211</f>
        <v>Instagram</v>
      </c>
      <c r="H3211" s="29">
        <f>Absolute_Scores!I3211</f>
        <v>44</v>
      </c>
      <c r="I3211" s="30">
        <f t="shared" si="81"/>
        <v>55</v>
      </c>
    </row>
    <row r="3212" spans="6:9">
      <c r="F3212" s="12" t="str">
        <f>Absolute_Scores!F3212</f>
        <v>@lulukimroatus</v>
      </c>
      <c r="G3212" s="12" t="str">
        <f>Absolute_Scores!G3212</f>
        <v>Instagram</v>
      </c>
      <c r="H3212" s="29">
        <f>Absolute_Scores!I3212</f>
        <v>44</v>
      </c>
      <c r="I3212" s="30">
        <f t="shared" si="81"/>
        <v>55</v>
      </c>
    </row>
    <row r="3213" spans="6:9">
      <c r="F3213" s="12" t="str">
        <f>Absolute_Scores!F3213</f>
        <v>@makjannahaeyo</v>
      </c>
      <c r="G3213" s="12" t="str">
        <f>Absolute_Scores!G3213</f>
        <v>Instagram</v>
      </c>
      <c r="H3213" s="29">
        <f>Absolute_Scores!I3213</f>
        <v>44</v>
      </c>
      <c r="I3213" s="30">
        <f t="shared" si="81"/>
        <v>55</v>
      </c>
    </row>
    <row r="3214" spans="6:9">
      <c r="F3214" s="12" t="str">
        <f>Absolute_Scores!F3214</f>
        <v>@mamaknya.zayn</v>
      </c>
      <c r="G3214" s="12" t="str">
        <f>Absolute_Scores!G3214</f>
        <v>Instagram</v>
      </c>
      <c r="H3214" s="29">
        <f>Absolute_Scores!I3214</f>
        <v>44</v>
      </c>
      <c r="I3214" s="30">
        <f t="shared" si="81"/>
        <v>55</v>
      </c>
    </row>
    <row r="3215" spans="6:9">
      <c r="F3215" s="12" t="str">
        <f>Absolute_Scores!F3215</f>
        <v>@mamanatira</v>
      </c>
      <c r="G3215" s="12" t="str">
        <f>Absolute_Scores!G3215</f>
        <v>Instagram</v>
      </c>
      <c r="H3215" s="29">
        <f>Absolute_Scores!I3215</f>
        <v>44</v>
      </c>
      <c r="I3215" s="30">
        <f t="shared" si="81"/>
        <v>55</v>
      </c>
    </row>
    <row r="3216" spans="6:9">
      <c r="F3216" s="12" t="str">
        <f>Absolute_Scores!F3216</f>
        <v>@mandafuady</v>
      </c>
      <c r="G3216" s="12" t="str">
        <f>Absolute_Scores!G3216</f>
        <v>Instagram</v>
      </c>
      <c r="H3216" s="29">
        <f>Absolute_Scores!I3216</f>
        <v>44</v>
      </c>
      <c r="I3216" s="30">
        <f t="shared" si="81"/>
        <v>55</v>
      </c>
    </row>
    <row r="3217" spans="6:9">
      <c r="F3217" s="12" t="str">
        <f>Absolute_Scores!F3217</f>
        <v>@marcelldegen</v>
      </c>
      <c r="G3217" s="12" t="str">
        <f>Absolute_Scores!G3217</f>
        <v>TikTok</v>
      </c>
      <c r="H3217" s="29">
        <f>Absolute_Scores!I3217</f>
        <v>44</v>
      </c>
      <c r="I3217" s="30">
        <f t="shared" si="81"/>
        <v>55</v>
      </c>
    </row>
    <row r="3218" spans="6:9">
      <c r="F3218" s="12" t="str">
        <f>Absolute_Scores!F3218</f>
        <v>@mardefff</v>
      </c>
      <c r="G3218" s="12" t="str">
        <f>Absolute_Scores!G3218</f>
        <v>TikTok</v>
      </c>
      <c r="H3218" s="29">
        <f>Absolute_Scores!I3218</f>
        <v>44</v>
      </c>
      <c r="I3218" s="30">
        <f t="shared" si="81"/>
        <v>55</v>
      </c>
    </row>
    <row r="3219" spans="6:9">
      <c r="F3219" s="12" t="str">
        <f>Absolute_Scores!F3219</f>
        <v>@margarethbms</v>
      </c>
      <c r="G3219" s="12" t="str">
        <f>Absolute_Scores!G3219</f>
        <v>Instagram</v>
      </c>
      <c r="H3219" s="29">
        <f>Absolute_Scores!I3219</f>
        <v>44</v>
      </c>
      <c r="I3219" s="30">
        <f t="shared" si="81"/>
        <v>55</v>
      </c>
    </row>
    <row r="3220" spans="6:9">
      <c r="F3220" s="12" t="str">
        <f>Absolute_Scores!F3220</f>
        <v>@marlinajourney</v>
      </c>
      <c r="G3220" s="12" t="str">
        <f>Absolute_Scores!G3220</f>
        <v>Instagram</v>
      </c>
      <c r="H3220" s="29">
        <f>Absolute_Scores!I3220</f>
        <v>44</v>
      </c>
      <c r="I3220" s="30">
        <f t="shared" si="81"/>
        <v>55</v>
      </c>
    </row>
    <row r="3221" spans="6:9">
      <c r="F3221" s="12" t="str">
        <f>Absolute_Scores!F3221</f>
        <v>@marslilia.kelas</v>
      </c>
      <c r="G3221" s="12" t="str">
        <f>Absolute_Scores!G3221</f>
        <v>Instagram</v>
      </c>
      <c r="H3221" s="29">
        <f>Absolute_Scores!I3221</f>
        <v>44</v>
      </c>
      <c r="I3221" s="30">
        <f t="shared" si="81"/>
        <v>55</v>
      </c>
    </row>
    <row r="3222" spans="6:9">
      <c r="F3222" s="12" t="str">
        <f>Absolute_Scores!F3222</f>
        <v>@mas.dikaaa</v>
      </c>
      <c r="G3222" s="12" t="str">
        <f>Absolute_Scores!G3222</f>
        <v>Instagram</v>
      </c>
      <c r="H3222" s="29">
        <f>Absolute_Scores!I3222</f>
        <v>44</v>
      </c>
      <c r="I3222" s="30">
        <f t="shared" si="81"/>
        <v>55</v>
      </c>
    </row>
    <row r="3223" spans="6:9">
      <c r="F3223" s="12" t="str">
        <f>Absolute_Scores!F3223</f>
        <v>@mastikaws</v>
      </c>
      <c r="G3223" s="12" t="str">
        <f>Absolute_Scores!G3223</f>
        <v>Instagram</v>
      </c>
      <c r="H3223" s="29">
        <f>Absolute_Scores!I3223</f>
        <v>44</v>
      </c>
      <c r="I3223" s="30">
        <f t="shared" si="81"/>
        <v>55</v>
      </c>
    </row>
    <row r="3224" spans="6:9">
      <c r="F3224" s="12" t="str">
        <f>Absolute_Scores!F3224</f>
        <v>@masyoarief</v>
      </c>
      <c r="G3224" s="12" t="str">
        <f>Absolute_Scores!G3224</f>
        <v>TikTok</v>
      </c>
      <c r="H3224" s="29">
        <f>Absolute_Scores!I3224</f>
        <v>44</v>
      </c>
      <c r="I3224" s="30">
        <f t="shared" si="81"/>
        <v>55</v>
      </c>
    </row>
    <row r="3225" spans="6:9">
      <c r="F3225" s="12" t="str">
        <f>Absolute_Scores!F3225</f>
        <v>@mbak.julia</v>
      </c>
      <c r="G3225" s="12" t="str">
        <f>Absolute_Scores!G3225</f>
        <v>Instagram</v>
      </c>
      <c r="H3225" s="29">
        <f>Absolute_Scores!I3225</f>
        <v>44</v>
      </c>
      <c r="I3225" s="30">
        <f t="shared" si="81"/>
        <v>55</v>
      </c>
    </row>
    <row r="3226" spans="6:9">
      <c r="F3226" s="12" t="str">
        <f>Absolute_Scores!F3226</f>
        <v>@mbaktinsaja</v>
      </c>
      <c r="G3226" s="12" t="str">
        <f>Absolute_Scores!G3226</f>
        <v>TikTok</v>
      </c>
      <c r="H3226" s="29">
        <f>Absolute_Scores!I3226</f>
        <v>44</v>
      </c>
      <c r="I3226" s="30">
        <f t="shared" si="81"/>
        <v>55</v>
      </c>
    </row>
    <row r="3227" spans="6:9">
      <c r="F3227" s="12" t="str">
        <f>Absolute_Scores!F3227</f>
        <v>@mdtobing__</v>
      </c>
      <c r="G3227" s="12" t="str">
        <f>Absolute_Scores!G3227</f>
        <v>Instagram</v>
      </c>
      <c r="H3227" s="29">
        <f>Absolute_Scores!I3227</f>
        <v>44</v>
      </c>
      <c r="I3227" s="30">
        <f t="shared" si="81"/>
        <v>55</v>
      </c>
    </row>
    <row r="3228" spans="6:9">
      <c r="F3228" s="12" t="str">
        <f>Absolute_Scores!F3228</f>
        <v>@megaawd</v>
      </c>
      <c r="G3228" s="12" t="str">
        <f>Absolute_Scores!G3228</f>
        <v>Instagram</v>
      </c>
      <c r="H3228" s="29">
        <f>Absolute_Scores!I3228</f>
        <v>44</v>
      </c>
      <c r="I3228" s="30">
        <f t="shared" si="81"/>
        <v>55</v>
      </c>
    </row>
    <row r="3229" spans="6:9">
      <c r="F3229" s="12" t="str">
        <f>Absolute_Scores!F3229</f>
        <v>@megautami3147</v>
      </c>
      <c r="G3229" s="12" t="str">
        <f>Absolute_Scores!G3229</f>
        <v>Instagram</v>
      </c>
      <c r="H3229" s="29">
        <f>Absolute_Scores!I3229</f>
        <v>44</v>
      </c>
      <c r="I3229" s="30">
        <f t="shared" si="81"/>
        <v>55</v>
      </c>
    </row>
    <row r="3230" spans="6:9">
      <c r="F3230" s="12" t="str">
        <f>Absolute_Scores!F3230</f>
        <v>@meighayudyh</v>
      </c>
      <c r="G3230" s="12" t="str">
        <f>Absolute_Scores!G3230</f>
        <v>Instagram</v>
      </c>
      <c r="H3230" s="29">
        <f>Absolute_Scores!I3230</f>
        <v>44</v>
      </c>
      <c r="I3230" s="30">
        <f t="shared" si="81"/>
        <v>55</v>
      </c>
    </row>
    <row r="3231" spans="6:9">
      <c r="F3231" s="12" t="str">
        <f>Absolute_Scores!F3231</f>
        <v>@melisadwlndrr</v>
      </c>
      <c r="G3231" s="12" t="str">
        <f>Absolute_Scores!G3231</f>
        <v>TikTok</v>
      </c>
      <c r="H3231" s="29">
        <f>Absolute_Scores!I3231</f>
        <v>44</v>
      </c>
      <c r="I3231" s="30">
        <f t="shared" si="81"/>
        <v>55</v>
      </c>
    </row>
    <row r="3232" spans="6:9">
      <c r="F3232" s="12" t="str">
        <f>Absolute_Scores!F3232</f>
        <v>@melssupit</v>
      </c>
      <c r="G3232" s="12" t="str">
        <f>Absolute_Scores!G3232</f>
        <v>TikTok</v>
      </c>
      <c r="H3232" s="29">
        <f>Absolute_Scores!I3232</f>
        <v>44</v>
      </c>
      <c r="I3232" s="30">
        <f t="shared" si="81"/>
        <v>55</v>
      </c>
    </row>
    <row r="3233" spans="6:9">
      <c r="F3233" s="12" t="str">
        <f>Absolute_Scores!F3233</f>
        <v>@merryyanis</v>
      </c>
      <c r="G3233" s="12" t="str">
        <f>Absolute_Scores!G3233</f>
        <v>TikTok</v>
      </c>
      <c r="H3233" s="29">
        <f>Absolute_Scores!I3233</f>
        <v>44</v>
      </c>
      <c r="I3233" s="30">
        <f t="shared" si="81"/>
        <v>55</v>
      </c>
    </row>
    <row r="3234" spans="6:9">
      <c r="F3234" s="12" t="str">
        <f>Absolute_Scores!F3234</f>
        <v>@mimigendis</v>
      </c>
      <c r="G3234" s="12" t="str">
        <f>Absolute_Scores!G3234</f>
        <v>TikTok</v>
      </c>
      <c r="H3234" s="29">
        <f>Absolute_Scores!I3234</f>
        <v>44</v>
      </c>
      <c r="I3234" s="30">
        <f t="shared" si="81"/>
        <v>55</v>
      </c>
    </row>
    <row r="3235" spans="6:9">
      <c r="F3235" s="12" t="str">
        <f>Absolute_Scores!F3235</f>
        <v>@mochabagas</v>
      </c>
      <c r="G3235" s="12" t="str">
        <f>Absolute_Scores!G3235</f>
        <v>TikTok</v>
      </c>
      <c r="H3235" s="29">
        <f>Absolute_Scores!I3235</f>
        <v>44</v>
      </c>
      <c r="I3235" s="30">
        <f t="shared" si="81"/>
        <v>55</v>
      </c>
    </row>
    <row r="3236" spans="6:9">
      <c r="F3236" s="12" t="str">
        <f>Absolute_Scores!F3236</f>
        <v>@momysisiel</v>
      </c>
      <c r="G3236" s="12" t="str">
        <f>Absolute_Scores!G3236</f>
        <v>Instagram</v>
      </c>
      <c r="H3236" s="29">
        <f>Absolute_Scores!I3236</f>
        <v>44</v>
      </c>
      <c r="I3236" s="30">
        <f t="shared" si="81"/>
        <v>55</v>
      </c>
    </row>
    <row r="3237" spans="6:9">
      <c r="F3237" s="12" t="str">
        <f>Absolute_Scores!F3237</f>
        <v>@mrs.italyono</v>
      </c>
      <c r="G3237" s="12" t="str">
        <f>Absolute_Scores!G3237</f>
        <v>Instagram</v>
      </c>
      <c r="H3237" s="29">
        <f>Absolute_Scores!I3237</f>
        <v>44</v>
      </c>
      <c r="I3237" s="30">
        <f t="shared" si="81"/>
        <v>55</v>
      </c>
    </row>
    <row r="3238" spans="6:9">
      <c r="F3238" s="12" t="str">
        <f>Absolute_Scores!F3238</f>
        <v>@mrsniaaaa___</v>
      </c>
      <c r="G3238" s="12" t="str">
        <f>Absolute_Scores!G3238</f>
        <v>Instagram</v>
      </c>
      <c r="H3238" s="29">
        <f>Absolute_Scores!I3238</f>
        <v>44</v>
      </c>
      <c r="I3238" s="30">
        <f t="shared" si="81"/>
        <v>55</v>
      </c>
    </row>
    <row r="3239" spans="6:9">
      <c r="F3239" s="12" t="str">
        <f>Absolute_Scores!F3239</f>
        <v>@mrsvitasyifa</v>
      </c>
      <c r="G3239" s="12" t="str">
        <f>Absolute_Scores!G3239</f>
        <v>Instagram</v>
      </c>
      <c r="H3239" s="29">
        <f>Absolute_Scores!I3239</f>
        <v>44</v>
      </c>
      <c r="I3239" s="30">
        <f t="shared" si="81"/>
        <v>55</v>
      </c>
    </row>
    <row r="3240" spans="6:9">
      <c r="F3240" s="12" t="str">
        <f>Absolute_Scores!F3240</f>
        <v>@mtgras</v>
      </c>
      <c r="G3240" s="12" t="str">
        <f>Absolute_Scores!G3240</f>
        <v>TikTok</v>
      </c>
      <c r="H3240" s="29">
        <f>Absolute_Scores!I3240</f>
        <v>44</v>
      </c>
      <c r="I3240" s="30">
        <f t="shared" si="81"/>
        <v>55</v>
      </c>
    </row>
    <row r="3241" spans="6:9">
      <c r="F3241" s="12" t="str">
        <f>Absolute_Scores!F3241</f>
        <v>@mukti.agt</v>
      </c>
      <c r="G3241" s="12" t="str">
        <f>Absolute_Scores!G3241</f>
        <v>Instagram</v>
      </c>
      <c r="H3241" s="29">
        <f>Absolute_Scores!I3241</f>
        <v>44</v>
      </c>
      <c r="I3241" s="30">
        <f t="shared" si="81"/>
        <v>55</v>
      </c>
    </row>
    <row r="3242" spans="6:9">
      <c r="F3242" s="12" t="str">
        <f>Absolute_Scores!F3242</f>
        <v>@mumkidzone.189</v>
      </c>
      <c r="G3242" s="12" t="str">
        <f>Absolute_Scores!G3242</f>
        <v>TikTok</v>
      </c>
      <c r="H3242" s="29">
        <f>Absolute_Scores!I3242</f>
        <v>44</v>
      </c>
      <c r="I3242" s="30">
        <f t="shared" si="81"/>
        <v>55</v>
      </c>
    </row>
    <row r="3243" spans="6:9">
      <c r="F3243" s="12" t="str">
        <f>Absolute_Scores!F3243</f>
        <v>@mzojol</v>
      </c>
      <c r="G3243" s="12" t="str">
        <f>Absolute_Scores!G3243</f>
        <v>TikTok</v>
      </c>
      <c r="H3243" s="29">
        <f>Absolute_Scores!I3243</f>
        <v>44</v>
      </c>
      <c r="I3243" s="30">
        <f t="shared" si="81"/>
        <v>55</v>
      </c>
    </row>
    <row r="3244" spans="6:9">
      <c r="F3244" s="12" t="str">
        <f>Absolute_Scores!F3244</f>
        <v>@nabilamndd</v>
      </c>
      <c r="G3244" s="12" t="str">
        <f>Absolute_Scores!G3244</f>
        <v>TikTok</v>
      </c>
      <c r="H3244" s="29">
        <f>Absolute_Scores!I3244</f>
        <v>44</v>
      </c>
      <c r="I3244" s="30">
        <f t="shared" si="81"/>
        <v>55</v>
      </c>
    </row>
    <row r="3245" spans="6:9">
      <c r="F3245" s="12" t="str">
        <f>Absolute_Scores!F3245</f>
        <v>@naddy234</v>
      </c>
      <c r="G3245" s="12" t="str">
        <f>Absolute_Scores!G3245</f>
        <v>Instagram</v>
      </c>
      <c r="H3245" s="29">
        <f>Absolute_Scores!I3245</f>
        <v>44</v>
      </c>
      <c r="I3245" s="30">
        <f t="shared" si="81"/>
        <v>55</v>
      </c>
    </row>
    <row r="3246" spans="6:9">
      <c r="F3246" s="12" t="str">
        <f>Absolute_Scores!F3246</f>
        <v>@nadiaerlinia20</v>
      </c>
      <c r="G3246" s="12" t="str">
        <f>Absolute_Scores!G3246</f>
        <v>Instagram</v>
      </c>
      <c r="H3246" s="29">
        <f>Absolute_Scores!I3246</f>
        <v>44</v>
      </c>
      <c r="I3246" s="30">
        <f t="shared" si="81"/>
        <v>55</v>
      </c>
    </row>
    <row r="3247" spans="6:9">
      <c r="F3247" s="12" t="str">
        <f>Absolute_Scores!F3247</f>
        <v>@nadianst16</v>
      </c>
      <c r="G3247" s="12" t="str">
        <f>Absolute_Scores!G3247</f>
        <v>Instagram</v>
      </c>
      <c r="H3247" s="29">
        <f>Absolute_Scores!I3247</f>
        <v>44</v>
      </c>
      <c r="I3247" s="30">
        <f t="shared" si="81"/>
        <v>55</v>
      </c>
    </row>
    <row r="3248" spans="6:9">
      <c r="F3248" s="12" t="str">
        <f>Absolute_Scores!F3248</f>
        <v>@nadinamizah.id</v>
      </c>
      <c r="G3248" s="12" t="str">
        <f>Absolute_Scores!G3248</f>
        <v>Instagram</v>
      </c>
      <c r="H3248" s="29">
        <f>Absolute_Scores!I3248</f>
        <v>44</v>
      </c>
      <c r="I3248" s="30">
        <f t="shared" si="81"/>
        <v>55</v>
      </c>
    </row>
    <row r="3249" spans="6:9">
      <c r="F3249" s="12" t="str">
        <f>Absolute_Scores!F3249</f>
        <v>@nadirandr_</v>
      </c>
      <c r="G3249" s="12" t="str">
        <f>Absolute_Scores!G3249</f>
        <v>Instagram</v>
      </c>
      <c r="H3249" s="29">
        <f>Absolute_Scores!I3249</f>
        <v>44</v>
      </c>
      <c r="I3249" s="30">
        <f t="shared" si="81"/>
        <v>55</v>
      </c>
    </row>
    <row r="3250" spans="6:9">
      <c r="F3250" s="12" t="str">
        <f>Absolute_Scores!F3250</f>
        <v>@nandasamsu</v>
      </c>
      <c r="G3250" s="12" t="str">
        <f>Absolute_Scores!G3250</f>
        <v>TikTok</v>
      </c>
      <c r="H3250" s="29">
        <f>Absolute_Scores!I3250</f>
        <v>44</v>
      </c>
      <c r="I3250" s="30">
        <f t="shared" si="81"/>
        <v>55</v>
      </c>
    </row>
    <row r="3251" spans="6:9">
      <c r="F3251" s="12" t="str">
        <f>Absolute_Scores!F3251</f>
        <v>@nara_elfreda</v>
      </c>
      <c r="G3251" s="12" t="str">
        <f>Absolute_Scores!G3251</f>
        <v>Instagram</v>
      </c>
      <c r="H3251" s="29">
        <f>Absolute_Scores!I3251</f>
        <v>44</v>
      </c>
      <c r="I3251" s="30">
        <f t="shared" si="81"/>
        <v>55</v>
      </c>
    </row>
    <row r="3252" spans="6:9">
      <c r="F3252" s="12" t="str">
        <f>Absolute_Scores!F3252</f>
        <v>@natajadeh</v>
      </c>
      <c r="G3252" s="12" t="str">
        <f>Absolute_Scores!G3252</f>
        <v>TikTok</v>
      </c>
      <c r="H3252" s="29">
        <f>Absolute_Scores!I3252</f>
        <v>44</v>
      </c>
      <c r="I3252" s="30">
        <f t="shared" si="81"/>
        <v>55</v>
      </c>
    </row>
    <row r="3253" spans="6:9">
      <c r="F3253" s="12" t="str">
        <f>Absolute_Scores!F3253</f>
        <v>@naura_anandaputri</v>
      </c>
      <c r="G3253" s="12" t="str">
        <f>Absolute_Scores!G3253</f>
        <v>Instagram</v>
      </c>
      <c r="H3253" s="29">
        <f>Absolute_Scores!I3253</f>
        <v>44</v>
      </c>
      <c r="I3253" s="30">
        <f t="shared" si="81"/>
        <v>55</v>
      </c>
    </row>
    <row r="3254" spans="6:9">
      <c r="F3254" s="12" t="str">
        <f>Absolute_Scores!F3254</f>
        <v>@nbpiolabg</v>
      </c>
      <c r="G3254" s="12" t="str">
        <f>Absolute_Scores!G3254</f>
        <v>TikTok</v>
      </c>
      <c r="H3254" s="29">
        <f>Absolute_Scores!I3254</f>
        <v>44</v>
      </c>
      <c r="I3254" s="30">
        <f t="shared" si="81"/>
        <v>55</v>
      </c>
    </row>
    <row r="3255" spans="6:9">
      <c r="F3255" s="12" t="str">
        <f>Absolute_Scores!F3255</f>
        <v>@neenengtv</v>
      </c>
      <c r="G3255" s="12" t="str">
        <f>Absolute_Scores!G3255</f>
        <v>Instagram</v>
      </c>
      <c r="H3255" s="29">
        <f>Absolute_Scores!I3255</f>
        <v>44</v>
      </c>
      <c r="I3255" s="30">
        <f t="shared" si="81"/>
        <v>55</v>
      </c>
    </row>
    <row r="3256" spans="6:9">
      <c r="F3256" s="12" t="str">
        <f>Absolute_Scores!F3256</f>
        <v>@ni.kadekrai</v>
      </c>
      <c r="G3256" s="12" t="str">
        <f>Absolute_Scores!G3256</f>
        <v>Instagram</v>
      </c>
      <c r="H3256" s="29">
        <f>Absolute_Scores!I3256</f>
        <v>44</v>
      </c>
      <c r="I3256" s="30">
        <f t="shared" si="81"/>
        <v>55</v>
      </c>
    </row>
    <row r="3257" spans="6:9">
      <c r="F3257" s="12" t="str">
        <f>Absolute_Scores!F3257</f>
        <v>@nickittaiskandar</v>
      </c>
      <c r="G3257" s="12" t="str">
        <f>Absolute_Scores!G3257</f>
        <v>Instagram</v>
      </c>
      <c r="H3257" s="29">
        <f>Absolute_Scores!I3257</f>
        <v>44</v>
      </c>
      <c r="I3257" s="30">
        <f t="shared" si="81"/>
        <v>55</v>
      </c>
    </row>
    <row r="3258" spans="6:9">
      <c r="F3258" s="12" t="str">
        <f>Absolute_Scores!F3258</f>
        <v>@nidahenida22</v>
      </c>
      <c r="G3258" s="12" t="str">
        <f>Absolute_Scores!G3258</f>
        <v>TikTok</v>
      </c>
      <c r="H3258" s="29">
        <f>Absolute_Scores!I3258</f>
        <v>44</v>
      </c>
      <c r="I3258" s="30">
        <f t="shared" si="81"/>
        <v>55</v>
      </c>
    </row>
    <row r="3259" spans="6:9">
      <c r="F3259" s="12" t="str">
        <f>Absolute_Scores!F3259</f>
        <v>@nina.alfa</v>
      </c>
      <c r="G3259" s="12" t="str">
        <f>Absolute_Scores!G3259</f>
        <v>Instagram</v>
      </c>
      <c r="H3259" s="29">
        <f>Absolute_Scores!I3259</f>
        <v>44</v>
      </c>
      <c r="I3259" s="30">
        <f t="shared" si="81"/>
        <v>55</v>
      </c>
    </row>
    <row r="3260" spans="6:9">
      <c r="F3260" s="12" t="str">
        <f>Absolute_Scores!F3260</f>
        <v>@ninanikicio</v>
      </c>
      <c r="G3260" s="12" t="str">
        <f>Absolute_Scores!G3260</f>
        <v>Instagram</v>
      </c>
      <c r="H3260" s="29">
        <f>Absolute_Scores!I3260</f>
        <v>44</v>
      </c>
      <c r="I3260" s="30">
        <f t="shared" si="81"/>
        <v>55</v>
      </c>
    </row>
    <row r="3261" spans="6:9">
      <c r="F3261" s="12" t="str">
        <f>Absolute_Scores!F3261</f>
        <v>@nininajadeh</v>
      </c>
      <c r="G3261" s="12" t="str">
        <f>Absolute_Scores!G3261</f>
        <v>TikTok</v>
      </c>
      <c r="H3261" s="29">
        <f>Absolute_Scores!I3261</f>
        <v>44</v>
      </c>
      <c r="I3261" s="30">
        <f t="shared" si="81"/>
        <v>55</v>
      </c>
    </row>
    <row r="3262" spans="6:9">
      <c r="F3262" s="12" t="str">
        <f>Absolute_Scores!F3262</f>
        <v>@ninna_linggasari</v>
      </c>
      <c r="G3262" s="12" t="str">
        <f>Absolute_Scores!G3262</f>
        <v>Instagram</v>
      </c>
      <c r="H3262" s="29">
        <f>Absolute_Scores!I3262</f>
        <v>44</v>
      </c>
      <c r="I3262" s="30">
        <f t="shared" si="81"/>
        <v>55</v>
      </c>
    </row>
    <row r="3263" spans="6:9">
      <c r="F3263" s="12" t="str">
        <f>Absolute_Scores!F3263</f>
        <v>@nisacookie</v>
      </c>
      <c r="G3263" s="12" t="str">
        <f>Absolute_Scores!G3263</f>
        <v>Instagram</v>
      </c>
      <c r="H3263" s="29">
        <f>Absolute_Scores!I3263</f>
        <v>44</v>
      </c>
      <c r="I3263" s="30">
        <f t="shared" si="81"/>
        <v>55</v>
      </c>
    </row>
    <row r="3264" spans="6:9">
      <c r="F3264" s="12" t="str">
        <f>Absolute_Scores!F3264</f>
        <v>@nisanichan31</v>
      </c>
      <c r="G3264" s="12" t="str">
        <f>Absolute_Scores!G3264</f>
        <v>Instagram</v>
      </c>
      <c r="H3264" s="29">
        <f>Absolute_Scores!I3264</f>
        <v>44</v>
      </c>
      <c r="I3264" s="30">
        <f t="shared" si="81"/>
        <v>55</v>
      </c>
    </row>
    <row r="3265" spans="6:9">
      <c r="F3265" s="12" t="str">
        <f>Absolute_Scores!F3265</f>
        <v>@nisaraate</v>
      </c>
      <c r="G3265" s="12" t="str">
        <f>Absolute_Scores!G3265</f>
        <v>TikTok</v>
      </c>
      <c r="H3265" s="29">
        <f>Absolute_Scores!I3265</f>
        <v>44</v>
      </c>
      <c r="I3265" s="30">
        <f t="shared" si="81"/>
        <v>55</v>
      </c>
    </row>
    <row r="3266" spans="6:9">
      <c r="F3266" s="12" t="str">
        <f>Absolute_Scores!F3266</f>
        <v>@nissyasp</v>
      </c>
      <c r="G3266" s="12" t="str">
        <f>Absolute_Scores!G3266</f>
        <v>TikTok</v>
      </c>
      <c r="H3266" s="29">
        <f>Absolute_Scores!I3266</f>
        <v>44</v>
      </c>
      <c r="I3266" s="30">
        <f t="shared" si="81"/>
        <v>55</v>
      </c>
    </row>
    <row r="3267" spans="6:9">
      <c r="F3267" s="12" t="str">
        <f>Absolute_Scores!F3267</f>
        <v>@nonikbawels</v>
      </c>
      <c r="G3267" s="12" t="str">
        <f>Absolute_Scores!G3267</f>
        <v>TikTok</v>
      </c>
      <c r="H3267" s="29">
        <f>Absolute_Scores!I3267</f>
        <v>44</v>
      </c>
      <c r="I3267" s="30">
        <f t="shared" si="81"/>
        <v>55</v>
      </c>
    </row>
    <row r="3268" spans="6:9">
      <c r="F3268" s="12" t="str">
        <f>Absolute_Scores!F3268</f>
        <v>@notfound_4</v>
      </c>
      <c r="G3268" s="12" t="str">
        <f>Absolute_Scores!G3268</f>
        <v>TikTok</v>
      </c>
      <c r="H3268" s="29">
        <f>Absolute_Scores!I3268</f>
        <v>44</v>
      </c>
      <c r="I3268" s="30">
        <f t="shared" si="81"/>
        <v>55</v>
      </c>
    </row>
    <row r="3269" spans="6:9">
      <c r="F3269" s="12" t="str">
        <f>Absolute_Scores!F3269</f>
        <v>@novanan</v>
      </c>
      <c r="G3269" s="12" t="str">
        <f>Absolute_Scores!G3269</f>
        <v>Instagram</v>
      </c>
      <c r="H3269" s="29">
        <f>Absolute_Scores!I3269</f>
        <v>44</v>
      </c>
      <c r="I3269" s="30">
        <f t="shared" si="81"/>
        <v>55</v>
      </c>
    </row>
    <row r="3270" spans="6:9">
      <c r="F3270" s="12" t="str">
        <f>Absolute_Scores!F3270</f>
        <v>@novia_yaz</v>
      </c>
      <c r="G3270" s="12" t="str">
        <f>Absolute_Scores!G3270</f>
        <v>TikTok</v>
      </c>
      <c r="H3270" s="29">
        <f>Absolute_Scores!I3270</f>
        <v>44</v>
      </c>
      <c r="I3270" s="30">
        <f t="shared" ref="I3270:I3333" si="82">ROUND(H3270/$I$4*100,2)</f>
        <v>55</v>
      </c>
    </row>
    <row r="3271" spans="6:9">
      <c r="F3271" s="12" t="str">
        <f>Absolute_Scores!F3271</f>
        <v>@nukesaputraa</v>
      </c>
      <c r="G3271" s="12" t="str">
        <f>Absolute_Scores!G3271</f>
        <v>Instagram</v>
      </c>
      <c r="H3271" s="29">
        <f>Absolute_Scores!I3271</f>
        <v>44</v>
      </c>
      <c r="I3271" s="30">
        <f t="shared" si="82"/>
        <v>55</v>
      </c>
    </row>
    <row r="3272" spans="6:9">
      <c r="F3272" s="12" t="str">
        <f>Absolute_Scores!F3272</f>
        <v>@nurfadhilahlaia18</v>
      </c>
      <c r="G3272" s="12" t="str">
        <f>Absolute_Scores!G3272</f>
        <v>Instagram</v>
      </c>
      <c r="H3272" s="29">
        <f>Absolute_Scores!I3272</f>
        <v>44</v>
      </c>
      <c r="I3272" s="30">
        <f t="shared" si="82"/>
        <v>55</v>
      </c>
    </row>
    <row r="3273" spans="6:9">
      <c r="F3273" s="12" t="str">
        <f>Absolute_Scores!F3273</f>
        <v>@nuri_nurpurwaningsih</v>
      </c>
      <c r="G3273" s="12" t="str">
        <f>Absolute_Scores!G3273</f>
        <v>Instagram</v>
      </c>
      <c r="H3273" s="29">
        <f>Absolute_Scores!I3273</f>
        <v>44</v>
      </c>
      <c r="I3273" s="30">
        <f t="shared" si="82"/>
        <v>55</v>
      </c>
    </row>
    <row r="3274" spans="6:9">
      <c r="F3274" s="12" t="str">
        <f>Absolute_Scores!F3274</f>
        <v>@nursitamryn</v>
      </c>
      <c r="G3274" s="12" t="str">
        <f>Absolute_Scores!G3274</f>
        <v>Instagram</v>
      </c>
      <c r="H3274" s="29">
        <f>Absolute_Scores!I3274</f>
        <v>44</v>
      </c>
      <c r="I3274" s="30">
        <f t="shared" si="82"/>
        <v>55</v>
      </c>
    </row>
    <row r="3275" spans="6:9">
      <c r="F3275" s="12" t="str">
        <f>Absolute_Scores!F3275</f>
        <v>@nurulsafitri065</v>
      </c>
      <c r="G3275" s="12" t="str">
        <f>Absolute_Scores!G3275</f>
        <v>TikTok</v>
      </c>
      <c r="H3275" s="29">
        <f>Absolute_Scores!I3275</f>
        <v>44</v>
      </c>
      <c r="I3275" s="30">
        <f t="shared" si="82"/>
        <v>55</v>
      </c>
    </row>
    <row r="3276" spans="6:9">
      <c r="F3276" s="12" t="str">
        <f>Absolute_Scores!F3276</f>
        <v>@nurulwidiyanti18</v>
      </c>
      <c r="G3276" s="12" t="str">
        <f>Absolute_Scores!G3276</f>
        <v>Instagram</v>
      </c>
      <c r="H3276" s="29">
        <f>Absolute_Scores!I3276</f>
        <v>44</v>
      </c>
      <c r="I3276" s="30">
        <f t="shared" si="82"/>
        <v>55</v>
      </c>
    </row>
    <row r="3277" spans="6:9">
      <c r="F3277" s="12" t="str">
        <f>Absolute_Scores!F3277</f>
        <v>@oei_lanlan</v>
      </c>
      <c r="G3277" s="12" t="str">
        <f>Absolute_Scores!G3277</f>
        <v>Instagram</v>
      </c>
      <c r="H3277" s="29">
        <f>Absolute_Scores!I3277</f>
        <v>44</v>
      </c>
      <c r="I3277" s="30">
        <f t="shared" si="82"/>
        <v>55</v>
      </c>
    </row>
    <row r="3278" spans="6:9">
      <c r="F3278" s="12" t="str">
        <f>Absolute_Scores!F3278</f>
        <v>@official.barbienouva</v>
      </c>
      <c r="G3278" s="12" t="str">
        <f>Absolute_Scores!G3278</f>
        <v>Instagram</v>
      </c>
      <c r="H3278" s="29">
        <f>Absolute_Scores!I3278</f>
        <v>44</v>
      </c>
      <c r="I3278" s="30">
        <f t="shared" si="82"/>
        <v>55</v>
      </c>
    </row>
    <row r="3279" spans="6:9">
      <c r="F3279" s="12" t="str">
        <f>Absolute_Scores!F3279</f>
        <v>@olyvia_kerin</v>
      </c>
      <c r="G3279" s="12" t="str">
        <f>Absolute_Scores!G3279</f>
        <v>Instagram</v>
      </c>
      <c r="H3279" s="29">
        <f>Absolute_Scores!I3279</f>
        <v>44</v>
      </c>
      <c r="I3279" s="30">
        <f t="shared" si="82"/>
        <v>55</v>
      </c>
    </row>
    <row r="3280" spans="6:9">
      <c r="F3280" s="12" t="str">
        <f>Absolute_Scores!F3280</f>
        <v>@on.ly.hom</v>
      </c>
      <c r="G3280" s="12" t="str">
        <f>Absolute_Scores!G3280</f>
        <v>Instagram</v>
      </c>
      <c r="H3280" s="29">
        <f>Absolute_Scores!I3280</f>
        <v>44</v>
      </c>
      <c r="I3280" s="30">
        <f t="shared" si="82"/>
        <v>55</v>
      </c>
    </row>
    <row r="3281" spans="6:9">
      <c r="F3281" s="12" t="str">
        <f>Absolute_Scores!F3281</f>
        <v>@ozomrockers</v>
      </c>
      <c r="G3281" s="12" t="str">
        <f>Absolute_Scores!G3281</f>
        <v>Instagram</v>
      </c>
      <c r="H3281" s="29">
        <f>Absolute_Scores!I3281</f>
        <v>44</v>
      </c>
      <c r="I3281" s="30">
        <f t="shared" si="82"/>
        <v>55</v>
      </c>
    </row>
    <row r="3282" spans="6:9">
      <c r="F3282" s="12" t="str">
        <f>Absolute_Scores!F3282</f>
        <v>@panggildhia</v>
      </c>
      <c r="G3282" s="12" t="str">
        <f>Absolute_Scores!G3282</f>
        <v>TikTok</v>
      </c>
      <c r="H3282" s="29">
        <f>Absolute_Scores!I3282</f>
        <v>44</v>
      </c>
      <c r="I3282" s="30">
        <f t="shared" si="82"/>
        <v>55</v>
      </c>
    </row>
    <row r="3283" spans="6:9">
      <c r="F3283" s="12" t="str">
        <f>Absolute_Scores!F3283</f>
        <v>@panggilvanyaja</v>
      </c>
      <c r="G3283" s="12" t="str">
        <f>Absolute_Scores!G3283</f>
        <v>Instagram</v>
      </c>
      <c r="H3283" s="29">
        <f>Absolute_Scores!I3283</f>
        <v>44</v>
      </c>
      <c r="I3283" s="30">
        <f t="shared" si="82"/>
        <v>55</v>
      </c>
    </row>
    <row r="3284" spans="6:9">
      <c r="F3284" s="12" t="str">
        <f>Absolute_Scores!F3284</f>
        <v>@pebrianti_ines</v>
      </c>
      <c r="G3284" s="12" t="str">
        <f>Absolute_Scores!G3284</f>
        <v>Instagram</v>
      </c>
      <c r="H3284" s="29">
        <f>Absolute_Scores!I3284</f>
        <v>44</v>
      </c>
      <c r="I3284" s="30">
        <f t="shared" si="82"/>
        <v>55</v>
      </c>
    </row>
    <row r="3285" spans="6:9">
      <c r="F3285" s="12" t="str">
        <f>Absolute_Scores!F3285</f>
        <v>@pingkyruslie</v>
      </c>
      <c r="G3285" s="12" t="str">
        <f>Absolute_Scores!G3285</f>
        <v>TikTok</v>
      </c>
      <c r="H3285" s="29">
        <f>Absolute_Scores!I3285</f>
        <v>44</v>
      </c>
      <c r="I3285" s="30">
        <f t="shared" si="82"/>
        <v>55</v>
      </c>
    </row>
    <row r="3286" spans="6:9">
      <c r="F3286" s="12" t="str">
        <f>Absolute_Scores!F3286</f>
        <v>@pinkkyganz</v>
      </c>
      <c r="G3286" s="12" t="str">
        <f>Absolute_Scores!G3286</f>
        <v>TikTok</v>
      </c>
      <c r="H3286" s="29">
        <f>Absolute_Scores!I3286</f>
        <v>44</v>
      </c>
      <c r="I3286" s="30">
        <f t="shared" si="82"/>
        <v>55</v>
      </c>
    </row>
    <row r="3287" spans="6:9">
      <c r="F3287" s="12" t="str">
        <f>Absolute_Scores!F3287</f>
        <v>@pinx_fransiska</v>
      </c>
      <c r="G3287" s="12" t="str">
        <f>Absolute_Scores!G3287</f>
        <v>Instagram</v>
      </c>
      <c r="H3287" s="29">
        <f>Absolute_Scores!I3287</f>
        <v>44</v>
      </c>
      <c r="I3287" s="30">
        <f t="shared" si="82"/>
        <v>55</v>
      </c>
    </row>
    <row r="3288" spans="6:9">
      <c r="F3288" s="12" t="str">
        <f>Absolute_Scores!F3288</f>
        <v>@prill_cn</v>
      </c>
      <c r="G3288" s="12" t="str">
        <f>Absolute_Scores!G3288</f>
        <v>Instagram</v>
      </c>
      <c r="H3288" s="29">
        <f>Absolute_Scores!I3288</f>
        <v>44</v>
      </c>
      <c r="I3288" s="30">
        <f t="shared" si="82"/>
        <v>55</v>
      </c>
    </row>
    <row r="3289" spans="6:9">
      <c r="F3289" s="12" t="str">
        <f>Absolute_Scores!F3289</f>
        <v>@priscillaakarens</v>
      </c>
      <c r="G3289" s="12" t="str">
        <f>Absolute_Scores!G3289</f>
        <v>Instagram</v>
      </c>
      <c r="H3289" s="29">
        <f>Absolute_Scores!I3289</f>
        <v>44</v>
      </c>
      <c r="I3289" s="30">
        <f t="shared" si="82"/>
        <v>55</v>
      </c>
    </row>
    <row r="3290" spans="6:9">
      <c r="F3290" s="12" t="str">
        <f>Absolute_Scores!F3290</f>
        <v>@putranugra</v>
      </c>
      <c r="G3290" s="12" t="str">
        <f>Absolute_Scores!G3290</f>
        <v>Instagram</v>
      </c>
      <c r="H3290" s="29">
        <f>Absolute_Scores!I3290</f>
        <v>44</v>
      </c>
      <c r="I3290" s="30">
        <f t="shared" si="82"/>
        <v>55</v>
      </c>
    </row>
    <row r="3291" spans="6:9">
      <c r="F3291" s="12" t="str">
        <f>Absolute_Scores!F3291</f>
        <v>@putriandanii</v>
      </c>
      <c r="G3291" s="12" t="str">
        <f>Absolute_Scores!G3291</f>
        <v>Instagram</v>
      </c>
      <c r="H3291" s="29">
        <f>Absolute_Scores!I3291</f>
        <v>44</v>
      </c>
      <c r="I3291" s="30">
        <f t="shared" si="82"/>
        <v>55</v>
      </c>
    </row>
    <row r="3292" spans="6:9">
      <c r="F3292" s="12" t="str">
        <f>Absolute_Scores!F3292</f>
        <v>@putrinasher</v>
      </c>
      <c r="G3292" s="12" t="str">
        <f>Absolute_Scores!G3292</f>
        <v>Instagram</v>
      </c>
      <c r="H3292" s="29">
        <f>Absolute_Scores!I3292</f>
        <v>44</v>
      </c>
      <c r="I3292" s="30">
        <f t="shared" si="82"/>
        <v>55</v>
      </c>
    </row>
    <row r="3293" spans="6:9">
      <c r="F3293" s="12" t="str">
        <f>Absolute_Scores!F3293</f>
        <v>@ra_araaaa02</v>
      </c>
      <c r="G3293" s="12" t="str">
        <f>Absolute_Scores!G3293</f>
        <v>Instagram</v>
      </c>
      <c r="H3293" s="29">
        <f>Absolute_Scores!I3293</f>
        <v>44</v>
      </c>
      <c r="I3293" s="30">
        <f t="shared" si="82"/>
        <v>55</v>
      </c>
    </row>
    <row r="3294" spans="6:9">
      <c r="F3294" s="12" t="str">
        <f>Absolute_Scores!F3294</f>
        <v>@raflidesrama04</v>
      </c>
      <c r="G3294" s="12" t="str">
        <f>Absolute_Scores!G3294</f>
        <v>TikTok</v>
      </c>
      <c r="H3294" s="29">
        <f>Absolute_Scores!I3294</f>
        <v>44</v>
      </c>
      <c r="I3294" s="30">
        <f t="shared" si="82"/>
        <v>55</v>
      </c>
    </row>
    <row r="3295" spans="6:9">
      <c r="F3295" s="12" t="str">
        <f>Absolute_Scores!F3295</f>
        <v>@ragil_respati</v>
      </c>
      <c r="G3295" s="12" t="str">
        <f>Absolute_Scores!G3295</f>
        <v>Instagram</v>
      </c>
      <c r="H3295" s="29">
        <f>Absolute_Scores!I3295</f>
        <v>44</v>
      </c>
      <c r="I3295" s="30">
        <f t="shared" si="82"/>
        <v>55</v>
      </c>
    </row>
    <row r="3296" spans="6:9">
      <c r="F3296" s="12" t="str">
        <f>Absolute_Scores!F3296</f>
        <v>@rahayualfarizky</v>
      </c>
      <c r="G3296" s="12" t="str">
        <f>Absolute_Scores!G3296</f>
        <v>Instagram</v>
      </c>
      <c r="H3296" s="29">
        <f>Absolute_Scores!I3296</f>
        <v>44</v>
      </c>
      <c r="I3296" s="30">
        <f t="shared" si="82"/>
        <v>55</v>
      </c>
    </row>
    <row r="3297" spans="6:9">
      <c r="F3297" s="12" t="str">
        <f>Absolute_Scores!F3297</f>
        <v>@rahma_anthie</v>
      </c>
      <c r="G3297" s="12" t="str">
        <f>Absolute_Scores!G3297</f>
        <v>Instagram</v>
      </c>
      <c r="H3297" s="29">
        <f>Absolute_Scores!I3297</f>
        <v>44</v>
      </c>
      <c r="I3297" s="30">
        <f t="shared" si="82"/>
        <v>55</v>
      </c>
    </row>
    <row r="3298" spans="6:9">
      <c r="F3298" s="12" t="str">
        <f>Absolute_Scores!F3298</f>
        <v>@raidanra_</v>
      </c>
      <c r="G3298" s="12" t="str">
        <f>Absolute_Scores!G3298</f>
        <v>TikTok</v>
      </c>
      <c r="H3298" s="29">
        <f>Absolute_Scores!I3298</f>
        <v>44</v>
      </c>
      <c r="I3298" s="30">
        <f t="shared" si="82"/>
        <v>55</v>
      </c>
    </row>
    <row r="3299" spans="6:9">
      <c r="F3299" s="12" t="str">
        <f>Absolute_Scores!F3299</f>
        <v>@raisasa6690</v>
      </c>
      <c r="G3299" s="12" t="str">
        <f>Absolute_Scores!G3299</f>
        <v>TikTok</v>
      </c>
      <c r="H3299" s="29">
        <f>Absolute_Scores!I3299</f>
        <v>44</v>
      </c>
      <c r="I3299" s="30">
        <f t="shared" si="82"/>
        <v>55</v>
      </c>
    </row>
    <row r="3300" spans="6:9">
      <c r="F3300" s="12" t="str">
        <f>Absolute_Scores!F3300</f>
        <v>@randomvisit</v>
      </c>
      <c r="G3300" s="12" t="str">
        <f>Absolute_Scores!G3300</f>
        <v>TikTok</v>
      </c>
      <c r="H3300" s="29">
        <f>Absolute_Scores!I3300</f>
        <v>44</v>
      </c>
      <c r="I3300" s="30">
        <f t="shared" si="82"/>
        <v>55</v>
      </c>
    </row>
    <row r="3301" spans="6:9">
      <c r="F3301" s="12" t="str">
        <f>Absolute_Scores!F3301</f>
        <v>@raninurcha</v>
      </c>
      <c r="G3301" s="12" t="str">
        <f>Absolute_Scores!G3301</f>
        <v>Instagram</v>
      </c>
      <c r="H3301" s="29">
        <f>Absolute_Scores!I3301</f>
        <v>44</v>
      </c>
      <c r="I3301" s="30">
        <f t="shared" si="82"/>
        <v>55</v>
      </c>
    </row>
    <row r="3302" spans="6:9">
      <c r="F3302" s="12" t="str">
        <f>Absolute_Scores!F3302</f>
        <v>@rapunzelbila1</v>
      </c>
      <c r="G3302" s="12" t="str">
        <f>Absolute_Scores!G3302</f>
        <v>TikTok</v>
      </c>
      <c r="H3302" s="29">
        <f>Absolute_Scores!I3302</f>
        <v>44</v>
      </c>
      <c r="I3302" s="30">
        <f t="shared" si="82"/>
        <v>55</v>
      </c>
    </row>
    <row r="3303" spans="6:9">
      <c r="F3303" s="12" t="str">
        <f>Absolute_Scores!F3303</f>
        <v>@rarakayyisaa</v>
      </c>
      <c r="G3303" s="12" t="str">
        <f>Absolute_Scores!G3303</f>
        <v>Instagram</v>
      </c>
      <c r="H3303" s="29">
        <f>Absolute_Scores!I3303</f>
        <v>44</v>
      </c>
      <c r="I3303" s="30">
        <f t="shared" si="82"/>
        <v>55</v>
      </c>
    </row>
    <row r="3304" spans="6:9">
      <c r="F3304" s="12" t="str">
        <f>Absolute_Scores!F3304</f>
        <v>@ratna_069</v>
      </c>
      <c r="G3304" s="12" t="str">
        <f>Absolute_Scores!G3304</f>
        <v>Instagram</v>
      </c>
      <c r="H3304" s="29">
        <f>Absolute_Scores!I3304</f>
        <v>44</v>
      </c>
      <c r="I3304" s="30">
        <f t="shared" si="82"/>
        <v>55</v>
      </c>
    </row>
    <row r="3305" spans="6:9">
      <c r="F3305" s="12" t="str">
        <f>Absolute_Scores!F3305</f>
        <v>@reginabundiarti</v>
      </c>
      <c r="G3305" s="12" t="str">
        <f>Absolute_Scores!G3305</f>
        <v>Instagram</v>
      </c>
      <c r="H3305" s="29">
        <f>Absolute_Scores!I3305</f>
        <v>44</v>
      </c>
      <c r="I3305" s="30">
        <f t="shared" si="82"/>
        <v>55</v>
      </c>
    </row>
    <row r="3306" spans="6:9">
      <c r="F3306" s="12" t="str">
        <f>Absolute_Scores!F3306</f>
        <v>@rei.la</v>
      </c>
      <c r="G3306" s="12" t="str">
        <f>Absolute_Scores!G3306</f>
        <v>TikTok</v>
      </c>
      <c r="H3306" s="29">
        <f>Absolute_Scores!I3306</f>
        <v>44</v>
      </c>
      <c r="I3306" s="30">
        <f t="shared" si="82"/>
        <v>55</v>
      </c>
    </row>
    <row r="3307" spans="6:9">
      <c r="F3307" s="12" t="str">
        <f>Absolute_Scores!F3307</f>
        <v>@rereanggara</v>
      </c>
      <c r="G3307" s="12" t="str">
        <f>Absolute_Scores!G3307</f>
        <v>TikTok</v>
      </c>
      <c r="H3307" s="29">
        <f>Absolute_Scores!I3307</f>
        <v>44</v>
      </c>
      <c r="I3307" s="30">
        <f t="shared" si="82"/>
        <v>55</v>
      </c>
    </row>
    <row r="3308" spans="6:9">
      <c r="F3308" s="12" t="str">
        <f>Absolute_Scores!F3308</f>
        <v>@rererafald7</v>
      </c>
      <c r="G3308" s="12" t="str">
        <f>Absolute_Scores!G3308</f>
        <v>TikTok</v>
      </c>
      <c r="H3308" s="29">
        <f>Absolute_Scores!I3308</f>
        <v>44</v>
      </c>
      <c r="I3308" s="30">
        <f t="shared" si="82"/>
        <v>55</v>
      </c>
    </row>
    <row r="3309" spans="6:9">
      <c r="F3309" s="12" t="str">
        <f>Absolute_Scores!F3309</f>
        <v>@rerreputri</v>
      </c>
      <c r="G3309" s="12" t="str">
        <f>Absolute_Scores!G3309</f>
        <v>Instagram</v>
      </c>
      <c r="H3309" s="29">
        <f>Absolute_Scores!I3309</f>
        <v>44</v>
      </c>
      <c r="I3309" s="30">
        <f t="shared" si="82"/>
        <v>55</v>
      </c>
    </row>
    <row r="3310" spans="6:9">
      <c r="F3310" s="12" t="str">
        <f>Absolute_Scores!F3310</f>
        <v>@retnodyahp</v>
      </c>
      <c r="G3310" s="12" t="str">
        <f>Absolute_Scores!G3310</f>
        <v>Instagram</v>
      </c>
      <c r="H3310" s="29">
        <f>Absolute_Scores!I3310</f>
        <v>44</v>
      </c>
      <c r="I3310" s="30">
        <f t="shared" si="82"/>
        <v>55</v>
      </c>
    </row>
    <row r="3311" spans="6:9">
      <c r="F3311" s="12" t="str">
        <f>Absolute_Scores!F3311</f>
        <v>@rezaanggalin_dwiputri</v>
      </c>
      <c r="G3311" s="12" t="str">
        <f>Absolute_Scores!G3311</f>
        <v>Instagram</v>
      </c>
      <c r="H3311" s="29">
        <f>Absolute_Scores!I3311</f>
        <v>44</v>
      </c>
      <c r="I3311" s="30">
        <f t="shared" si="82"/>
        <v>55</v>
      </c>
    </row>
    <row r="3312" spans="6:9">
      <c r="F3312" s="12" t="str">
        <f>Absolute_Scores!F3312</f>
        <v>@rhyzkaangel</v>
      </c>
      <c r="G3312" s="12" t="str">
        <f>Absolute_Scores!G3312</f>
        <v>Instagram</v>
      </c>
      <c r="H3312" s="29">
        <f>Absolute_Scores!I3312</f>
        <v>44</v>
      </c>
      <c r="I3312" s="30">
        <f t="shared" si="82"/>
        <v>55</v>
      </c>
    </row>
    <row r="3313" spans="6:9">
      <c r="F3313" s="12" t="str">
        <f>Absolute_Scores!F3313</f>
        <v>@riaernaaa</v>
      </c>
      <c r="G3313" s="12" t="str">
        <f>Absolute_Scores!G3313</f>
        <v>Instagram</v>
      </c>
      <c r="H3313" s="29">
        <f>Absolute_Scores!I3313</f>
        <v>44</v>
      </c>
      <c r="I3313" s="30">
        <f t="shared" si="82"/>
        <v>55</v>
      </c>
    </row>
    <row r="3314" spans="6:9">
      <c r="F3314" s="12" t="str">
        <f>Absolute_Scores!F3314</f>
        <v>@riana_nananna</v>
      </c>
      <c r="G3314" s="12" t="str">
        <f>Absolute_Scores!G3314</f>
        <v>Instagram</v>
      </c>
      <c r="H3314" s="29">
        <f>Absolute_Scores!I3314</f>
        <v>44</v>
      </c>
      <c r="I3314" s="30">
        <f t="shared" si="82"/>
        <v>55</v>
      </c>
    </row>
    <row r="3315" spans="6:9">
      <c r="F3315" s="12" t="str">
        <f>Absolute_Scores!F3315</f>
        <v>@rika_yusnia</v>
      </c>
      <c r="G3315" s="12" t="str">
        <f>Absolute_Scores!G3315</f>
        <v>TikTok</v>
      </c>
      <c r="H3315" s="29">
        <f>Absolute_Scores!I3315</f>
        <v>44</v>
      </c>
      <c r="I3315" s="30">
        <f t="shared" si="82"/>
        <v>55</v>
      </c>
    </row>
    <row r="3316" spans="6:9">
      <c r="F3316" s="12" t="str">
        <f>Absolute_Scores!F3316</f>
        <v>@rin_hermana</v>
      </c>
      <c r="G3316" s="12" t="str">
        <f>Absolute_Scores!G3316</f>
        <v>Instagram</v>
      </c>
      <c r="H3316" s="29">
        <f>Absolute_Scores!I3316</f>
        <v>44</v>
      </c>
      <c r="I3316" s="30">
        <f t="shared" si="82"/>
        <v>55</v>
      </c>
    </row>
    <row r="3317" spans="6:9">
      <c r="F3317" s="12" t="str">
        <f>Absolute_Scores!F3317</f>
        <v>@rina_meyrina</v>
      </c>
      <c r="G3317" s="12" t="str">
        <f>Absolute_Scores!G3317</f>
        <v>Instagram</v>
      </c>
      <c r="H3317" s="29">
        <f>Absolute_Scores!I3317</f>
        <v>44</v>
      </c>
      <c r="I3317" s="30">
        <f t="shared" si="82"/>
        <v>55</v>
      </c>
    </row>
    <row r="3318" spans="6:9">
      <c r="F3318" s="12" t="str">
        <f>Absolute_Scores!F3318</f>
        <v>@rinarhmd</v>
      </c>
      <c r="G3318" s="12" t="str">
        <f>Absolute_Scores!G3318</f>
        <v>Instagram</v>
      </c>
      <c r="H3318" s="29">
        <f>Absolute_Scores!I3318</f>
        <v>44</v>
      </c>
      <c r="I3318" s="30">
        <f t="shared" si="82"/>
        <v>55</v>
      </c>
    </row>
    <row r="3319" spans="6:9">
      <c r="F3319" s="12" t="str">
        <f>Absolute_Scores!F3319</f>
        <v>@rindybestya</v>
      </c>
      <c r="G3319" s="12" t="str">
        <f>Absolute_Scores!G3319</f>
        <v>Instagram</v>
      </c>
      <c r="H3319" s="29">
        <f>Absolute_Scores!I3319</f>
        <v>44</v>
      </c>
      <c r="I3319" s="30">
        <f t="shared" si="82"/>
        <v>55</v>
      </c>
    </row>
    <row r="3320" spans="6:9">
      <c r="F3320" s="12" t="str">
        <f>Absolute_Scores!F3320</f>
        <v>@ririzanugraeny</v>
      </c>
      <c r="G3320" s="12" t="str">
        <f>Absolute_Scores!G3320</f>
        <v>Instagram</v>
      </c>
      <c r="H3320" s="29">
        <f>Absolute_Scores!I3320</f>
        <v>44</v>
      </c>
      <c r="I3320" s="30">
        <f t="shared" si="82"/>
        <v>55</v>
      </c>
    </row>
    <row r="3321" spans="6:9">
      <c r="F3321" s="12" t="str">
        <f>Absolute_Scores!F3321</f>
        <v>@ritaardiani</v>
      </c>
      <c r="G3321" s="12" t="str">
        <f>Absolute_Scores!G3321</f>
        <v>Instagram</v>
      </c>
      <c r="H3321" s="29">
        <f>Absolute_Scores!I3321</f>
        <v>44</v>
      </c>
      <c r="I3321" s="30">
        <f t="shared" si="82"/>
        <v>55</v>
      </c>
    </row>
    <row r="3322" spans="6:9">
      <c r="F3322" s="12" t="str">
        <f>Absolute_Scores!F3322</f>
        <v>@riya_dloh</v>
      </c>
      <c r="G3322" s="12" t="str">
        <f>Absolute_Scores!G3322</f>
        <v>Instagram</v>
      </c>
      <c r="H3322" s="29">
        <f>Absolute_Scores!I3322</f>
        <v>44</v>
      </c>
      <c r="I3322" s="30">
        <f t="shared" si="82"/>
        <v>55</v>
      </c>
    </row>
    <row r="3323" spans="6:9">
      <c r="F3323" s="12" t="str">
        <f>Absolute_Scores!F3323</f>
        <v>@rizki.putriutami</v>
      </c>
      <c r="G3323" s="12" t="str">
        <f>Absolute_Scores!G3323</f>
        <v>Instagram</v>
      </c>
      <c r="H3323" s="29">
        <f>Absolute_Scores!I3323</f>
        <v>44</v>
      </c>
      <c r="I3323" s="30">
        <f t="shared" si="82"/>
        <v>55</v>
      </c>
    </row>
    <row r="3324" spans="6:9">
      <c r="F3324" s="12" t="str">
        <f>Absolute_Scores!F3324</f>
        <v>@roro_dyy</v>
      </c>
      <c r="G3324" s="12" t="str">
        <f>Absolute_Scores!G3324</f>
        <v>Instagram</v>
      </c>
      <c r="H3324" s="29">
        <f>Absolute_Scores!I3324</f>
        <v>44</v>
      </c>
      <c r="I3324" s="30">
        <f t="shared" si="82"/>
        <v>55</v>
      </c>
    </row>
    <row r="3325" spans="6:9">
      <c r="F3325" s="12" t="str">
        <f>Absolute_Scores!F3325</f>
        <v>@rosa_icn</v>
      </c>
      <c r="G3325" s="12" t="str">
        <f>Absolute_Scores!G3325</f>
        <v>Instagram</v>
      </c>
      <c r="H3325" s="29">
        <f>Absolute_Scores!I3325</f>
        <v>44</v>
      </c>
      <c r="I3325" s="30">
        <f t="shared" si="82"/>
        <v>55</v>
      </c>
    </row>
    <row r="3326" spans="6:9">
      <c r="F3326" s="12" t="str">
        <f>Absolute_Scores!F3326</f>
        <v>@rtsfya</v>
      </c>
      <c r="G3326" s="12" t="str">
        <f>Absolute_Scores!G3326</f>
        <v>TikTok</v>
      </c>
      <c r="H3326" s="29">
        <f>Absolute_Scores!I3326</f>
        <v>44</v>
      </c>
      <c r="I3326" s="30">
        <f t="shared" si="82"/>
        <v>55</v>
      </c>
    </row>
    <row r="3327" spans="6:9">
      <c r="F3327" s="12" t="str">
        <f>Absolute_Scores!F3327</f>
        <v>@ruicheru</v>
      </c>
      <c r="G3327" s="12" t="str">
        <f>Absolute_Scores!G3327</f>
        <v>TikTok</v>
      </c>
      <c r="H3327" s="29">
        <f>Absolute_Scores!I3327</f>
        <v>44</v>
      </c>
      <c r="I3327" s="30">
        <f t="shared" si="82"/>
        <v>55</v>
      </c>
    </row>
    <row r="3328" spans="6:9">
      <c r="F3328" s="12" t="str">
        <f>Absolute_Scores!F3328</f>
        <v>@rumah_haura</v>
      </c>
      <c r="G3328" s="12" t="str">
        <f>Absolute_Scores!G3328</f>
        <v>Instagram</v>
      </c>
      <c r="H3328" s="29">
        <f>Absolute_Scores!I3328</f>
        <v>44</v>
      </c>
      <c r="I3328" s="30">
        <f t="shared" si="82"/>
        <v>55</v>
      </c>
    </row>
    <row r="3329" spans="6:9">
      <c r="F3329" s="12" t="str">
        <f>Absolute_Scores!F3329</f>
        <v>@rvstika</v>
      </c>
      <c r="G3329" s="12" t="str">
        <f>Absolute_Scores!G3329</f>
        <v>Instagram</v>
      </c>
      <c r="H3329" s="29">
        <f>Absolute_Scores!I3329</f>
        <v>44</v>
      </c>
      <c r="I3329" s="30">
        <f t="shared" si="82"/>
        <v>55</v>
      </c>
    </row>
    <row r="3330" spans="6:9">
      <c r="F3330" s="12" t="str">
        <f>Absolute_Scores!F3330</f>
        <v>@ryanrandomtiktok</v>
      </c>
      <c r="G3330" s="12" t="str">
        <f>Absolute_Scores!G3330</f>
        <v>TikTok</v>
      </c>
      <c r="H3330" s="29">
        <f>Absolute_Scores!I3330</f>
        <v>44</v>
      </c>
      <c r="I3330" s="30">
        <f t="shared" si="82"/>
        <v>55</v>
      </c>
    </row>
    <row r="3331" spans="6:9">
      <c r="F3331" s="12" t="str">
        <f>Absolute_Scores!F3331</f>
        <v>@saacoddd2</v>
      </c>
      <c r="G3331" s="12" t="str">
        <f>Absolute_Scores!G3331</f>
        <v>Instagram</v>
      </c>
      <c r="H3331" s="29">
        <f>Absolute_Scores!I3331</f>
        <v>44</v>
      </c>
      <c r="I3331" s="30">
        <f t="shared" si="82"/>
        <v>55</v>
      </c>
    </row>
    <row r="3332" spans="6:9">
      <c r="F3332" s="12" t="str">
        <f>Absolute_Scores!F3332</f>
        <v>@safitri_adhiyaksha</v>
      </c>
      <c r="G3332" s="12" t="str">
        <f>Absolute_Scores!G3332</f>
        <v>Instagram</v>
      </c>
      <c r="H3332" s="29">
        <f>Absolute_Scores!I3332</f>
        <v>44</v>
      </c>
      <c r="I3332" s="30">
        <f t="shared" si="82"/>
        <v>55</v>
      </c>
    </row>
    <row r="3333" spans="6:9">
      <c r="F3333" s="12" t="str">
        <f>Absolute_Scores!F3333</f>
        <v>@sajidah28</v>
      </c>
      <c r="G3333" s="12" t="str">
        <f>Absolute_Scores!G3333</f>
        <v>Instagram</v>
      </c>
      <c r="H3333" s="29">
        <f>Absolute_Scores!I3333</f>
        <v>44</v>
      </c>
      <c r="I3333" s="30">
        <f t="shared" si="82"/>
        <v>55</v>
      </c>
    </row>
    <row r="3334" spans="6:9">
      <c r="F3334" s="12" t="str">
        <f>Absolute_Scores!F3334</f>
        <v>@salmaaa312</v>
      </c>
      <c r="G3334" s="12" t="str">
        <f>Absolute_Scores!G3334</f>
        <v>Instagram</v>
      </c>
      <c r="H3334" s="29">
        <f>Absolute_Scores!I3334</f>
        <v>44</v>
      </c>
      <c r="I3334" s="30">
        <f t="shared" ref="I3334:I3397" si="83">ROUND(H3334/$I$4*100,2)</f>
        <v>55</v>
      </c>
    </row>
    <row r="3335" spans="6:9">
      <c r="F3335" s="12" t="str">
        <f>Absolute_Scores!F3335</f>
        <v>@salsabila_10114</v>
      </c>
      <c r="G3335" s="12" t="str">
        <f>Absolute_Scores!G3335</f>
        <v>TikTok</v>
      </c>
      <c r="H3335" s="29">
        <f>Absolute_Scores!I3335</f>
        <v>44</v>
      </c>
      <c r="I3335" s="30">
        <f t="shared" si="83"/>
        <v>55</v>
      </c>
    </row>
    <row r="3336" spans="6:9">
      <c r="F3336" s="12" t="str">
        <f>Absolute_Scores!F3336</f>
        <v>@salsavina</v>
      </c>
      <c r="G3336" s="12" t="str">
        <f>Absolute_Scores!G3336</f>
        <v>Instagram</v>
      </c>
      <c r="H3336" s="29">
        <f>Absolute_Scores!I3336</f>
        <v>44</v>
      </c>
      <c r="I3336" s="30">
        <f t="shared" si="83"/>
        <v>55</v>
      </c>
    </row>
    <row r="3337" spans="6:9">
      <c r="F3337" s="12" t="str">
        <f>Absolute_Scores!F3337</f>
        <v>@samrotul09</v>
      </c>
      <c r="G3337" s="12" t="str">
        <f>Absolute_Scores!G3337</f>
        <v>Instagram</v>
      </c>
      <c r="H3337" s="29">
        <f>Absolute_Scores!I3337</f>
        <v>44</v>
      </c>
      <c r="I3337" s="30">
        <f t="shared" si="83"/>
        <v>55</v>
      </c>
    </row>
    <row r="3338" spans="6:9">
      <c r="F3338" s="12" t="str">
        <f>Absolute_Scores!F3338</f>
        <v>@sannysandra</v>
      </c>
      <c r="G3338" s="12" t="str">
        <f>Absolute_Scores!G3338</f>
        <v>Instagram</v>
      </c>
      <c r="H3338" s="29">
        <f>Absolute_Scores!I3338</f>
        <v>44</v>
      </c>
      <c r="I3338" s="30">
        <f t="shared" si="83"/>
        <v>55</v>
      </c>
    </row>
    <row r="3339" spans="6:9">
      <c r="F3339" s="12" t="str">
        <f>Absolute_Scores!F3339</f>
        <v>@sararobert</v>
      </c>
      <c r="G3339" s="12" t="str">
        <f>Absolute_Scores!G3339</f>
        <v>Instagram</v>
      </c>
      <c r="H3339" s="29">
        <f>Absolute_Scores!I3339</f>
        <v>44</v>
      </c>
      <c r="I3339" s="30">
        <f t="shared" si="83"/>
        <v>55</v>
      </c>
    </row>
    <row r="3340" spans="6:9">
      <c r="F3340" s="12" t="str">
        <f>Absolute_Scores!F3340</f>
        <v>@seaankyle</v>
      </c>
      <c r="G3340" s="12" t="str">
        <f>Absolute_Scores!G3340</f>
        <v>Instagram</v>
      </c>
      <c r="H3340" s="29">
        <f>Absolute_Scores!I3340</f>
        <v>44</v>
      </c>
      <c r="I3340" s="30">
        <f t="shared" si="83"/>
        <v>55</v>
      </c>
    </row>
    <row r="3341" spans="6:9">
      <c r="F3341" s="12" t="str">
        <f>Absolute_Scores!F3341</f>
        <v>@sehatbarengyu</v>
      </c>
      <c r="G3341" s="12" t="str">
        <f>Absolute_Scores!G3341</f>
        <v>TikTok</v>
      </c>
      <c r="H3341" s="29">
        <f>Absolute_Scores!I3341</f>
        <v>44</v>
      </c>
      <c r="I3341" s="30">
        <f t="shared" si="83"/>
        <v>55</v>
      </c>
    </row>
    <row r="3342" spans="6:9">
      <c r="F3342" s="12" t="str">
        <f>Absolute_Scores!F3342</f>
        <v>@septian_amd</v>
      </c>
      <c r="G3342" s="12" t="str">
        <f>Absolute_Scores!G3342</f>
        <v>TikTok</v>
      </c>
      <c r="H3342" s="29">
        <f>Absolute_Scores!I3342</f>
        <v>44</v>
      </c>
      <c r="I3342" s="30">
        <f t="shared" si="83"/>
        <v>55</v>
      </c>
    </row>
    <row r="3343" spans="6:9">
      <c r="F3343" s="12" t="str">
        <f>Absolute_Scores!F3343</f>
        <v>@septyandari12</v>
      </c>
      <c r="G3343" s="12" t="str">
        <f>Absolute_Scores!G3343</f>
        <v>Instagram</v>
      </c>
      <c r="H3343" s="29">
        <f>Absolute_Scores!I3343</f>
        <v>44</v>
      </c>
      <c r="I3343" s="30">
        <f t="shared" si="83"/>
        <v>55</v>
      </c>
    </row>
    <row r="3344" spans="6:9">
      <c r="F3344" s="12" t="str">
        <f>Absolute_Scores!F3344</f>
        <v>@seraphina.tania</v>
      </c>
      <c r="G3344" s="12" t="str">
        <f>Absolute_Scores!G3344</f>
        <v>Instagram</v>
      </c>
      <c r="H3344" s="29">
        <f>Absolute_Scores!I3344</f>
        <v>44</v>
      </c>
      <c r="I3344" s="30">
        <f t="shared" si="83"/>
        <v>55</v>
      </c>
    </row>
    <row r="3345" spans="6:9">
      <c r="F3345" s="12" t="str">
        <f>Absolute_Scores!F3345</f>
        <v>@setyadewy</v>
      </c>
      <c r="G3345" s="12" t="str">
        <f>Absolute_Scores!G3345</f>
        <v>Instagram</v>
      </c>
      <c r="H3345" s="29">
        <f>Absolute_Scores!I3345</f>
        <v>44</v>
      </c>
      <c r="I3345" s="30">
        <f t="shared" si="83"/>
        <v>55</v>
      </c>
    </row>
    <row r="3346" spans="6:9">
      <c r="F3346" s="12" t="str">
        <f>Absolute_Scores!F3346</f>
        <v>@sewsant</v>
      </c>
      <c r="G3346" s="12" t="str">
        <f>Absolute_Scores!G3346</f>
        <v>Instagram</v>
      </c>
      <c r="H3346" s="29">
        <f>Absolute_Scores!I3346</f>
        <v>44</v>
      </c>
      <c r="I3346" s="30">
        <f t="shared" si="83"/>
        <v>55</v>
      </c>
    </row>
    <row r="3347" spans="6:9">
      <c r="F3347" s="12" t="str">
        <f>Absolute_Scores!F3347</f>
        <v>@shanianayaa</v>
      </c>
      <c r="G3347" s="12" t="str">
        <f>Absolute_Scores!G3347</f>
        <v>TikTok</v>
      </c>
      <c r="H3347" s="29">
        <f>Absolute_Scores!I3347</f>
        <v>44</v>
      </c>
      <c r="I3347" s="30">
        <f t="shared" si="83"/>
        <v>55</v>
      </c>
    </row>
    <row r="3348" spans="6:9">
      <c r="F3348" s="12" t="str">
        <f>Absolute_Scores!F3348</f>
        <v>@shannondorothea1</v>
      </c>
      <c r="G3348" s="12" t="str">
        <f>Absolute_Scores!G3348</f>
        <v>TikTok</v>
      </c>
      <c r="H3348" s="29">
        <f>Absolute_Scores!I3348</f>
        <v>44</v>
      </c>
      <c r="I3348" s="30">
        <f t="shared" si="83"/>
        <v>55</v>
      </c>
    </row>
    <row r="3349" spans="6:9">
      <c r="F3349" s="12" t="str">
        <f>Absolute_Scores!F3349</f>
        <v>@shanty.hdiyani</v>
      </c>
      <c r="G3349" s="12" t="str">
        <f>Absolute_Scores!G3349</f>
        <v>Instagram</v>
      </c>
      <c r="H3349" s="29">
        <f>Absolute_Scores!I3349</f>
        <v>44</v>
      </c>
      <c r="I3349" s="30">
        <f t="shared" si="83"/>
        <v>55</v>
      </c>
    </row>
    <row r="3350" spans="6:9">
      <c r="F3350" s="12" t="str">
        <f>Absolute_Scores!F3350</f>
        <v>@shasa.navira</v>
      </c>
      <c r="G3350" s="12" t="str">
        <f>Absolute_Scores!G3350</f>
        <v>TikTok</v>
      </c>
      <c r="H3350" s="29">
        <f>Absolute_Scores!I3350</f>
        <v>44</v>
      </c>
      <c r="I3350" s="30">
        <f t="shared" si="83"/>
        <v>55</v>
      </c>
    </row>
    <row r="3351" spans="6:9">
      <c r="F3351" s="12" t="str">
        <f>Absolute_Scores!F3351</f>
        <v>@shavirazahra</v>
      </c>
      <c r="G3351" s="12" t="str">
        <f>Absolute_Scores!G3351</f>
        <v>TikTok</v>
      </c>
      <c r="H3351" s="29">
        <f>Absolute_Scores!I3351</f>
        <v>44</v>
      </c>
      <c r="I3351" s="30">
        <f t="shared" si="83"/>
        <v>55</v>
      </c>
    </row>
    <row r="3352" spans="6:9">
      <c r="F3352" s="12" t="str">
        <f>Absolute_Scores!F3352</f>
        <v>@shintarosrosi</v>
      </c>
      <c r="G3352" s="12" t="str">
        <f>Absolute_Scores!G3352</f>
        <v>Instagram</v>
      </c>
      <c r="H3352" s="29">
        <f>Absolute_Scores!I3352</f>
        <v>44</v>
      </c>
      <c r="I3352" s="30">
        <f t="shared" si="83"/>
        <v>55</v>
      </c>
    </row>
    <row r="3353" spans="6:9">
      <c r="F3353" s="12" t="str">
        <f>Absolute_Scores!F3353</f>
        <v>@shitabhoraa</v>
      </c>
      <c r="G3353" s="12" t="str">
        <f>Absolute_Scores!G3353</f>
        <v>TikTok</v>
      </c>
      <c r="H3353" s="29">
        <f>Absolute_Scores!I3353</f>
        <v>44</v>
      </c>
      <c r="I3353" s="30">
        <f t="shared" si="83"/>
        <v>55</v>
      </c>
    </row>
    <row r="3354" spans="6:9">
      <c r="F3354" s="12" t="str">
        <f>Absolute_Scores!F3354</f>
        <v>@silmmi</v>
      </c>
      <c r="G3354" s="12" t="str">
        <f>Absolute_Scores!G3354</f>
        <v>Instagram</v>
      </c>
      <c r="H3354" s="29">
        <f>Absolute_Scores!I3354</f>
        <v>44</v>
      </c>
      <c r="I3354" s="30">
        <f t="shared" si="83"/>
        <v>55</v>
      </c>
    </row>
    <row r="3355" spans="6:9">
      <c r="F3355" s="12" t="str">
        <f>Absolute_Scores!F3355</f>
        <v>@simeisya</v>
      </c>
      <c r="G3355" s="12" t="str">
        <f>Absolute_Scores!G3355</f>
        <v>Instagram</v>
      </c>
      <c r="H3355" s="29">
        <f>Absolute_Scores!I3355</f>
        <v>44</v>
      </c>
      <c r="I3355" s="30">
        <f t="shared" si="83"/>
        <v>55</v>
      </c>
    </row>
    <row r="3356" spans="6:9">
      <c r="F3356" s="12" t="str">
        <f>Absolute_Scores!F3356</f>
        <v>@sintaputrinadila</v>
      </c>
      <c r="G3356" s="12" t="str">
        <f>Absolute_Scores!G3356</f>
        <v>Instagram</v>
      </c>
      <c r="H3356" s="29">
        <f>Absolute_Scores!I3356</f>
        <v>44</v>
      </c>
      <c r="I3356" s="30">
        <f t="shared" si="83"/>
        <v>55</v>
      </c>
    </row>
    <row r="3357" spans="6:9">
      <c r="F3357" s="12" t="str">
        <f>Absolute_Scores!F3357</f>
        <v>@siregardespa</v>
      </c>
      <c r="G3357" s="12" t="str">
        <f>Absolute_Scores!G3357</f>
        <v>TikTok</v>
      </c>
      <c r="H3357" s="29">
        <f>Absolute_Scores!I3357</f>
        <v>44</v>
      </c>
      <c r="I3357" s="30">
        <f t="shared" si="83"/>
        <v>55</v>
      </c>
    </row>
    <row r="3358" spans="6:9">
      <c r="F3358" s="12" t="str">
        <f>Absolute_Scores!F3358</f>
        <v>@siskaasiska</v>
      </c>
      <c r="G3358" s="12" t="str">
        <f>Absolute_Scores!G3358</f>
        <v>Instagram</v>
      </c>
      <c r="H3358" s="29">
        <f>Absolute_Scores!I3358</f>
        <v>44</v>
      </c>
      <c r="I3358" s="30">
        <f t="shared" si="83"/>
        <v>55</v>
      </c>
    </row>
    <row r="3359" spans="6:9">
      <c r="F3359" s="12" t="str">
        <f>Absolute_Scores!F3359</f>
        <v>@sisterabigail_</v>
      </c>
      <c r="G3359" s="12" t="str">
        <f>Absolute_Scores!G3359</f>
        <v>Instagram</v>
      </c>
      <c r="H3359" s="29">
        <f>Absolute_Scores!I3359</f>
        <v>44</v>
      </c>
      <c r="I3359" s="30">
        <f t="shared" si="83"/>
        <v>55</v>
      </c>
    </row>
    <row r="3360" spans="6:9">
      <c r="F3360" s="12" t="str">
        <f>Absolute_Scores!F3360</f>
        <v>@sitisarahadiyastuti</v>
      </c>
      <c r="G3360" s="12" t="str">
        <f>Absolute_Scores!G3360</f>
        <v>Instagram</v>
      </c>
      <c r="H3360" s="29">
        <f>Absolute_Scores!I3360</f>
        <v>44</v>
      </c>
      <c r="I3360" s="30">
        <f t="shared" si="83"/>
        <v>55</v>
      </c>
    </row>
    <row r="3361" spans="6:9">
      <c r="F3361" s="12" t="str">
        <f>Absolute_Scores!F3361</f>
        <v>@skidsans</v>
      </c>
      <c r="G3361" s="12" t="str">
        <f>Absolute_Scores!G3361</f>
        <v>Instagram</v>
      </c>
      <c r="H3361" s="29">
        <f>Absolute_Scores!I3361</f>
        <v>44</v>
      </c>
      <c r="I3361" s="30">
        <f t="shared" si="83"/>
        <v>55</v>
      </c>
    </row>
    <row r="3362" spans="6:9">
      <c r="F3362" s="12" t="str">
        <f>Absolute_Scores!F3362</f>
        <v>@snurkholifah04</v>
      </c>
      <c r="G3362" s="12" t="str">
        <f>Absolute_Scores!G3362</f>
        <v>Instagram</v>
      </c>
      <c r="H3362" s="29">
        <f>Absolute_Scores!I3362</f>
        <v>44</v>
      </c>
      <c r="I3362" s="30">
        <f t="shared" si="83"/>
        <v>55</v>
      </c>
    </row>
    <row r="3363" spans="6:9">
      <c r="F3363" s="12" t="str">
        <f>Absolute_Scores!F3363</f>
        <v>@sofiaelmia</v>
      </c>
      <c r="G3363" s="12" t="str">
        <f>Absolute_Scores!G3363</f>
        <v>TikTok</v>
      </c>
      <c r="H3363" s="29">
        <f>Absolute_Scores!I3363</f>
        <v>44</v>
      </c>
      <c r="I3363" s="30">
        <f t="shared" si="83"/>
        <v>55</v>
      </c>
    </row>
    <row r="3364" spans="6:9">
      <c r="F3364" s="12" t="str">
        <f>Absolute_Scores!F3364</f>
        <v>@sofie_sopik</v>
      </c>
      <c r="G3364" s="12" t="str">
        <f>Absolute_Scores!G3364</f>
        <v>Instagram</v>
      </c>
      <c r="H3364" s="29">
        <f>Absolute_Scores!I3364</f>
        <v>44</v>
      </c>
      <c r="I3364" s="30">
        <f t="shared" si="83"/>
        <v>55</v>
      </c>
    </row>
    <row r="3365" spans="6:9">
      <c r="F3365" s="12" t="str">
        <f>Absolute_Scores!F3365</f>
        <v>@srdesignart</v>
      </c>
      <c r="G3365" s="12" t="str">
        <f>Absolute_Scores!G3365</f>
        <v>TikTok</v>
      </c>
      <c r="H3365" s="29">
        <f>Absolute_Scores!I3365</f>
        <v>44</v>
      </c>
      <c r="I3365" s="30">
        <f t="shared" si="83"/>
        <v>55</v>
      </c>
    </row>
    <row r="3366" spans="6:9">
      <c r="F3366" s="12" t="str">
        <f>Absolute_Scores!F3366</f>
        <v>@ssheilloooooo</v>
      </c>
      <c r="G3366" s="12" t="str">
        <f>Absolute_Scores!G3366</f>
        <v>Instagram</v>
      </c>
      <c r="H3366" s="29">
        <f>Absolute_Scores!I3366</f>
        <v>44</v>
      </c>
      <c r="I3366" s="30">
        <f t="shared" si="83"/>
        <v>55</v>
      </c>
    </row>
    <row r="3367" spans="6:9">
      <c r="F3367" s="12" t="str">
        <f>Absolute_Scores!F3367</f>
        <v>@sucimelia198</v>
      </c>
      <c r="G3367" s="12" t="str">
        <f>Absolute_Scores!G3367</f>
        <v>Instagram</v>
      </c>
      <c r="H3367" s="29">
        <f>Absolute_Scores!I3367</f>
        <v>44</v>
      </c>
      <c r="I3367" s="30">
        <f t="shared" si="83"/>
        <v>55</v>
      </c>
    </row>
    <row r="3368" spans="6:9">
      <c r="F3368" s="12" t="str">
        <f>Absolute_Scores!F3368</f>
        <v>@syalmeuu</v>
      </c>
      <c r="G3368" s="12" t="str">
        <f>Absolute_Scores!G3368</f>
        <v>TikTok</v>
      </c>
      <c r="H3368" s="29">
        <f>Absolute_Scores!I3368</f>
        <v>44</v>
      </c>
      <c r="I3368" s="30">
        <f t="shared" si="83"/>
        <v>55</v>
      </c>
    </row>
    <row r="3369" spans="6:9">
      <c r="F3369" s="12" t="str">
        <f>Absolute_Scores!F3369</f>
        <v>@taffyvine</v>
      </c>
      <c r="G3369" s="12" t="str">
        <f>Absolute_Scores!G3369</f>
        <v>TikTok</v>
      </c>
      <c r="H3369" s="29">
        <f>Absolute_Scores!I3369</f>
        <v>44</v>
      </c>
      <c r="I3369" s="30">
        <f t="shared" si="83"/>
        <v>55</v>
      </c>
    </row>
    <row r="3370" spans="6:9">
      <c r="F3370" s="12" t="str">
        <f>Absolute_Scores!F3370</f>
        <v>@tamiradimyati</v>
      </c>
      <c r="G3370" s="12" t="str">
        <f>Absolute_Scores!G3370</f>
        <v>Instagram</v>
      </c>
      <c r="H3370" s="29">
        <f>Absolute_Scores!I3370</f>
        <v>44</v>
      </c>
      <c r="I3370" s="30">
        <f t="shared" si="83"/>
        <v>55</v>
      </c>
    </row>
    <row r="3371" spans="6:9">
      <c r="F3371" s="12" t="str">
        <f>Absolute_Scores!F3371</f>
        <v>@tarialrasyid</v>
      </c>
      <c r="G3371" s="12" t="str">
        <f>Absolute_Scores!G3371</f>
        <v>Instagram</v>
      </c>
      <c r="H3371" s="29">
        <f>Absolute_Scores!I3371</f>
        <v>44</v>
      </c>
      <c r="I3371" s="30">
        <f t="shared" si="83"/>
        <v>55</v>
      </c>
    </row>
    <row r="3372" spans="6:9">
      <c r="F3372" s="12" t="str">
        <f>Absolute_Scores!F3372</f>
        <v>@tasyacax</v>
      </c>
      <c r="G3372" s="12" t="str">
        <f>Absolute_Scores!G3372</f>
        <v>TikTok</v>
      </c>
      <c r="H3372" s="29">
        <f>Absolute_Scores!I3372</f>
        <v>44</v>
      </c>
      <c r="I3372" s="30">
        <f t="shared" si="83"/>
        <v>55</v>
      </c>
    </row>
    <row r="3373" spans="6:9">
      <c r="F3373" s="12" t="str">
        <f>Absolute_Scores!F3373</f>
        <v>@tekinziee</v>
      </c>
      <c r="G3373" s="12" t="str">
        <f>Absolute_Scores!G3373</f>
        <v>TikTok</v>
      </c>
      <c r="H3373" s="29">
        <f>Absolute_Scores!I3373</f>
        <v>44</v>
      </c>
      <c r="I3373" s="30">
        <f t="shared" si="83"/>
        <v>55</v>
      </c>
    </row>
    <row r="3374" spans="6:9">
      <c r="F3374" s="12" t="str">
        <f>Absolute_Scores!F3374</f>
        <v>@teoakustikgitar</v>
      </c>
      <c r="G3374" s="12" t="str">
        <f>Absolute_Scores!G3374</f>
        <v>Instagram</v>
      </c>
      <c r="H3374" s="29">
        <f>Absolute_Scores!I3374</f>
        <v>44</v>
      </c>
      <c r="I3374" s="30">
        <f t="shared" si="83"/>
        <v>55</v>
      </c>
    </row>
    <row r="3375" spans="6:9">
      <c r="F3375" s="12" t="str">
        <f>Absolute_Scores!F3375</f>
        <v>@tetehaull</v>
      </c>
      <c r="G3375" s="12" t="str">
        <f>Absolute_Scores!G3375</f>
        <v>TikTok</v>
      </c>
      <c r="H3375" s="29">
        <f>Absolute_Scores!I3375</f>
        <v>44</v>
      </c>
      <c r="I3375" s="30">
        <f t="shared" si="83"/>
        <v>55</v>
      </c>
    </row>
    <row r="3376" spans="6:9">
      <c r="F3376" s="12" t="str">
        <f>Absolute_Scores!F3376</f>
        <v>@thari_chacol92</v>
      </c>
      <c r="G3376" s="12" t="str">
        <f>Absolute_Scores!G3376</f>
        <v>TikTok</v>
      </c>
      <c r="H3376" s="29">
        <f>Absolute_Scores!I3376</f>
        <v>44</v>
      </c>
      <c r="I3376" s="30">
        <f t="shared" si="83"/>
        <v>55</v>
      </c>
    </row>
    <row r="3377" spans="6:9">
      <c r="F3377" s="12" t="str">
        <f>Absolute_Scores!F3377</f>
        <v>@titisapwa_</v>
      </c>
      <c r="G3377" s="12" t="str">
        <f>Absolute_Scores!G3377</f>
        <v>Instagram</v>
      </c>
      <c r="H3377" s="29">
        <f>Absolute_Scores!I3377</f>
        <v>44</v>
      </c>
      <c r="I3377" s="30">
        <f t="shared" si="83"/>
        <v>55</v>
      </c>
    </row>
    <row r="3378" spans="6:9">
      <c r="F3378" s="12" t="str">
        <f>Absolute_Scores!F3378</f>
        <v>@trheey_airaa23</v>
      </c>
      <c r="G3378" s="12" t="str">
        <f>Absolute_Scores!G3378</f>
        <v>Instagram</v>
      </c>
      <c r="H3378" s="29">
        <f>Absolute_Scores!I3378</f>
        <v>44</v>
      </c>
      <c r="I3378" s="30">
        <f t="shared" si="83"/>
        <v>55</v>
      </c>
    </row>
    <row r="3379" spans="6:9">
      <c r="F3379" s="12" t="str">
        <f>Absolute_Scores!F3379</f>
        <v>@triansyahbani</v>
      </c>
      <c r="G3379" s="12" t="str">
        <f>Absolute_Scores!G3379</f>
        <v>Instagram</v>
      </c>
      <c r="H3379" s="29">
        <f>Absolute_Scores!I3379</f>
        <v>44</v>
      </c>
      <c r="I3379" s="30">
        <f t="shared" si="83"/>
        <v>55</v>
      </c>
    </row>
    <row r="3380" spans="6:9">
      <c r="F3380" s="12" t="str">
        <f>Absolute_Scores!F3380</f>
        <v>@triiutarie</v>
      </c>
      <c r="G3380" s="12" t="str">
        <f>Absolute_Scores!G3380</f>
        <v>Instagram</v>
      </c>
      <c r="H3380" s="29">
        <f>Absolute_Scores!I3380</f>
        <v>44</v>
      </c>
      <c r="I3380" s="30">
        <f t="shared" si="83"/>
        <v>55</v>
      </c>
    </row>
    <row r="3381" spans="6:9">
      <c r="F3381" s="12" t="str">
        <f>Absolute_Scores!F3381</f>
        <v>@triwahyuningtias</v>
      </c>
      <c r="G3381" s="12" t="str">
        <f>Absolute_Scores!G3381</f>
        <v>Instagram</v>
      </c>
      <c r="H3381" s="29">
        <f>Absolute_Scores!I3381</f>
        <v>44</v>
      </c>
      <c r="I3381" s="30">
        <f t="shared" si="83"/>
        <v>55</v>
      </c>
    </row>
    <row r="3382" spans="6:9">
      <c r="F3382" s="12" t="str">
        <f>Absolute_Scores!F3382</f>
        <v>@triyogi.apriansya</v>
      </c>
      <c r="G3382" s="12" t="str">
        <f>Absolute_Scores!G3382</f>
        <v>TikTok</v>
      </c>
      <c r="H3382" s="29">
        <f>Absolute_Scores!I3382</f>
        <v>44</v>
      </c>
      <c r="I3382" s="30">
        <f t="shared" si="83"/>
        <v>55</v>
      </c>
    </row>
    <row r="3383" spans="6:9">
      <c r="F3383" s="12" t="str">
        <f>Absolute_Scores!F3383</f>
        <v>@tttesayang</v>
      </c>
      <c r="G3383" s="12" t="str">
        <f>Absolute_Scores!G3383</f>
        <v>TikTok</v>
      </c>
      <c r="H3383" s="29">
        <f>Absolute_Scores!I3383</f>
        <v>44</v>
      </c>
      <c r="I3383" s="30">
        <f t="shared" si="83"/>
        <v>55</v>
      </c>
    </row>
    <row r="3384" spans="6:9">
      <c r="F3384" s="12" t="str">
        <f>Absolute_Scores!F3384</f>
        <v>@twomannn</v>
      </c>
      <c r="G3384" s="12" t="str">
        <f>Absolute_Scores!G3384</f>
        <v>TikTok</v>
      </c>
      <c r="H3384" s="29">
        <f>Absolute_Scores!I3384</f>
        <v>44</v>
      </c>
      <c r="I3384" s="30">
        <f t="shared" si="83"/>
        <v>55</v>
      </c>
    </row>
    <row r="3385" spans="6:9">
      <c r="F3385" s="12" t="str">
        <f>Absolute_Scores!F3385</f>
        <v>@tynadwijayanti</v>
      </c>
      <c r="G3385" s="12" t="str">
        <f>Absolute_Scores!G3385</f>
        <v>Instagram</v>
      </c>
      <c r="H3385" s="29">
        <f>Absolute_Scores!I3385</f>
        <v>44</v>
      </c>
      <c r="I3385" s="30">
        <f t="shared" si="83"/>
        <v>55</v>
      </c>
    </row>
    <row r="3386" spans="6:9">
      <c r="F3386" s="12" t="str">
        <f>Absolute_Scores!F3386</f>
        <v>@ucilyouchill</v>
      </c>
      <c r="G3386" s="12" t="str">
        <f>Absolute_Scores!G3386</f>
        <v>Instagram</v>
      </c>
      <c r="H3386" s="29">
        <f>Absolute_Scores!I3386</f>
        <v>44</v>
      </c>
      <c r="I3386" s="30">
        <f t="shared" si="83"/>
        <v>55</v>
      </c>
    </row>
    <row r="3387" spans="6:9">
      <c r="F3387" s="12" t="str">
        <f>Absolute_Scores!F3387</f>
        <v>@ulfanafia</v>
      </c>
      <c r="G3387" s="12" t="str">
        <f>Absolute_Scores!G3387</f>
        <v>Instagram</v>
      </c>
      <c r="H3387" s="29">
        <f>Absolute_Scores!I3387</f>
        <v>44</v>
      </c>
      <c r="I3387" s="30">
        <f t="shared" si="83"/>
        <v>55</v>
      </c>
    </row>
    <row r="3388" spans="6:9">
      <c r="F3388" s="12" t="str">
        <f>Absolute_Scores!F3388</f>
        <v>@ummu_fatihfaiha</v>
      </c>
      <c r="G3388" s="12" t="str">
        <f>Absolute_Scores!G3388</f>
        <v>Instagram</v>
      </c>
      <c r="H3388" s="29">
        <f>Absolute_Scores!I3388</f>
        <v>44</v>
      </c>
      <c r="I3388" s="30">
        <f t="shared" si="83"/>
        <v>55</v>
      </c>
    </row>
    <row r="3389" spans="6:9">
      <c r="F3389" s="12" t="str">
        <f>Absolute_Scores!F3389</f>
        <v>@ummulsalmaa</v>
      </c>
      <c r="G3389" s="12" t="str">
        <f>Absolute_Scores!G3389</f>
        <v>Instagram</v>
      </c>
      <c r="H3389" s="29">
        <f>Absolute_Scores!I3389</f>
        <v>44</v>
      </c>
      <c r="I3389" s="30">
        <f t="shared" si="83"/>
        <v>55</v>
      </c>
    </row>
    <row r="3390" spans="6:9">
      <c r="F3390" s="12" t="str">
        <f>Absolute_Scores!F3390</f>
        <v>@unyukaaa</v>
      </c>
      <c r="G3390" s="12" t="str">
        <f>Absolute_Scores!G3390</f>
        <v>TikTok</v>
      </c>
      <c r="H3390" s="29">
        <f>Absolute_Scores!I3390</f>
        <v>44</v>
      </c>
      <c r="I3390" s="30">
        <f t="shared" si="83"/>
        <v>55</v>
      </c>
    </row>
    <row r="3391" spans="6:9">
      <c r="F3391" s="12" t="str">
        <f>Absolute_Scores!F3391</f>
        <v>@uswahachma</v>
      </c>
      <c r="G3391" s="12" t="str">
        <f>Absolute_Scores!G3391</f>
        <v>Instagram</v>
      </c>
      <c r="H3391" s="29">
        <f>Absolute_Scores!I3391</f>
        <v>44</v>
      </c>
      <c r="I3391" s="30">
        <f t="shared" si="83"/>
        <v>55</v>
      </c>
    </row>
    <row r="3392" spans="6:9">
      <c r="F3392" s="12" t="str">
        <f>Absolute_Scores!F3392</f>
        <v>@utbahatsatsah</v>
      </c>
      <c r="G3392" s="12" t="str">
        <f>Absolute_Scores!G3392</f>
        <v>Instagram</v>
      </c>
      <c r="H3392" s="29">
        <f>Absolute_Scores!I3392</f>
        <v>44</v>
      </c>
      <c r="I3392" s="30">
        <f t="shared" si="83"/>
        <v>55</v>
      </c>
    </row>
    <row r="3393" spans="6:9">
      <c r="F3393" s="12" t="str">
        <f>Absolute_Scores!F3393</f>
        <v>@valencecilia_</v>
      </c>
      <c r="G3393" s="12" t="str">
        <f>Absolute_Scores!G3393</f>
        <v>Instagram</v>
      </c>
      <c r="H3393" s="29">
        <f>Absolute_Scores!I3393</f>
        <v>44</v>
      </c>
      <c r="I3393" s="30">
        <f t="shared" si="83"/>
        <v>55</v>
      </c>
    </row>
    <row r="3394" spans="6:9">
      <c r="F3394" s="12" t="str">
        <f>Absolute_Scores!F3394</f>
        <v>@vanaatiara</v>
      </c>
      <c r="G3394" s="12" t="str">
        <f>Absolute_Scores!G3394</f>
        <v>Instagram</v>
      </c>
      <c r="H3394" s="29">
        <f>Absolute_Scores!I3394</f>
        <v>44</v>
      </c>
      <c r="I3394" s="30">
        <f t="shared" si="83"/>
        <v>55</v>
      </c>
    </row>
    <row r="3395" spans="6:9">
      <c r="F3395" s="12" t="str">
        <f>Absolute_Scores!F3395</f>
        <v>@vandhri</v>
      </c>
      <c r="G3395" s="12" t="str">
        <f>Absolute_Scores!G3395</f>
        <v>TikTok</v>
      </c>
      <c r="H3395" s="29">
        <f>Absolute_Scores!I3395</f>
        <v>44</v>
      </c>
      <c r="I3395" s="30">
        <f t="shared" si="83"/>
        <v>55</v>
      </c>
    </row>
    <row r="3396" spans="6:9">
      <c r="F3396" s="12" t="str">
        <f>Absolute_Scores!F3396</f>
        <v>@verenaindha</v>
      </c>
      <c r="G3396" s="12" t="str">
        <f>Absolute_Scores!G3396</f>
        <v>Instagram</v>
      </c>
      <c r="H3396" s="29">
        <f>Absolute_Scores!I3396</f>
        <v>44</v>
      </c>
      <c r="I3396" s="30">
        <f t="shared" si="83"/>
        <v>55</v>
      </c>
    </row>
    <row r="3397" spans="6:9">
      <c r="F3397" s="12" t="str">
        <f>Absolute_Scores!F3397</f>
        <v>@veronikalydiaa</v>
      </c>
      <c r="G3397" s="12" t="str">
        <f>Absolute_Scores!G3397</f>
        <v>TikTok</v>
      </c>
      <c r="H3397" s="29">
        <f>Absolute_Scores!I3397</f>
        <v>44</v>
      </c>
      <c r="I3397" s="30">
        <f t="shared" si="83"/>
        <v>55</v>
      </c>
    </row>
    <row r="3398" spans="6:9">
      <c r="F3398" s="12" t="str">
        <f>Absolute_Scores!F3398</f>
        <v>@vie_evie</v>
      </c>
      <c r="G3398" s="12" t="str">
        <f>Absolute_Scores!G3398</f>
        <v>Instagram</v>
      </c>
      <c r="H3398" s="29">
        <f>Absolute_Scores!I3398</f>
        <v>44</v>
      </c>
      <c r="I3398" s="30">
        <f t="shared" ref="I3398:I3461" si="84">ROUND(H3398/$I$4*100,2)</f>
        <v>55</v>
      </c>
    </row>
    <row r="3399" spans="6:9">
      <c r="F3399" s="12" t="str">
        <f>Absolute_Scores!F3399</f>
        <v>@viliacarl</v>
      </c>
      <c r="G3399" s="12" t="str">
        <f>Absolute_Scores!G3399</f>
        <v>TikTok</v>
      </c>
      <c r="H3399" s="29">
        <f>Absolute_Scores!I3399</f>
        <v>44</v>
      </c>
      <c r="I3399" s="30">
        <f t="shared" si="84"/>
        <v>55</v>
      </c>
    </row>
    <row r="3400" spans="6:9">
      <c r="F3400" s="12" t="str">
        <f>Absolute_Scores!F3400</f>
        <v>@vinnie.hasan</v>
      </c>
      <c r="G3400" s="12" t="str">
        <f>Absolute_Scores!G3400</f>
        <v>TikTok</v>
      </c>
      <c r="H3400" s="29">
        <f>Absolute_Scores!I3400</f>
        <v>44</v>
      </c>
      <c r="I3400" s="30">
        <f t="shared" si="84"/>
        <v>55</v>
      </c>
    </row>
    <row r="3401" spans="6:9">
      <c r="F3401" s="12" t="str">
        <f>Absolute_Scores!F3401</f>
        <v>@vionacharlotte</v>
      </c>
      <c r="G3401" s="12" t="str">
        <f>Absolute_Scores!G3401</f>
        <v>TikTok</v>
      </c>
      <c r="H3401" s="29">
        <f>Absolute_Scores!I3401</f>
        <v>44</v>
      </c>
      <c r="I3401" s="30">
        <f t="shared" si="84"/>
        <v>55</v>
      </c>
    </row>
    <row r="3402" spans="6:9">
      <c r="F3402" s="12" t="str">
        <f>Absolute_Scores!F3402</f>
        <v>@virgadana</v>
      </c>
      <c r="G3402" s="12" t="str">
        <f>Absolute_Scores!G3402</f>
        <v>TikTok</v>
      </c>
      <c r="H3402" s="29">
        <f>Absolute_Scores!I3402</f>
        <v>44</v>
      </c>
      <c r="I3402" s="30">
        <f t="shared" si="84"/>
        <v>55</v>
      </c>
    </row>
    <row r="3403" spans="6:9">
      <c r="F3403" s="12" t="str">
        <f>Absolute_Scores!F3403</f>
        <v>@wafanurhilma</v>
      </c>
      <c r="G3403" s="12" t="str">
        <f>Absolute_Scores!G3403</f>
        <v>Instagram</v>
      </c>
      <c r="H3403" s="29">
        <f>Absolute_Scores!I3403</f>
        <v>44</v>
      </c>
      <c r="I3403" s="30">
        <f t="shared" si="84"/>
        <v>55</v>
      </c>
    </row>
    <row r="3404" spans="6:9">
      <c r="F3404" s="12" t="str">
        <f>Absolute_Scores!F3404</f>
        <v>@wahyu.permatasari</v>
      </c>
      <c r="G3404" s="12" t="str">
        <f>Absolute_Scores!G3404</f>
        <v>Instagram</v>
      </c>
      <c r="H3404" s="29">
        <f>Absolute_Scores!I3404</f>
        <v>44</v>
      </c>
      <c r="I3404" s="30">
        <f t="shared" si="84"/>
        <v>55</v>
      </c>
    </row>
    <row r="3405" spans="6:9">
      <c r="F3405" s="12" t="str">
        <f>Absolute_Scores!F3405</f>
        <v>@wendyodixiuss</v>
      </c>
      <c r="G3405" s="12" t="str">
        <f>Absolute_Scores!G3405</f>
        <v>TikTok</v>
      </c>
      <c r="H3405" s="29">
        <f>Absolute_Scores!I3405</f>
        <v>44</v>
      </c>
      <c r="I3405" s="30">
        <f t="shared" si="84"/>
        <v>55</v>
      </c>
    </row>
    <row r="3406" spans="6:9">
      <c r="F3406" s="12" t="str">
        <f>Absolute_Scores!F3406</f>
        <v>@widyacita1</v>
      </c>
      <c r="G3406" s="12" t="str">
        <f>Absolute_Scores!G3406</f>
        <v>Instagram</v>
      </c>
      <c r="H3406" s="29">
        <f>Absolute_Scores!I3406</f>
        <v>44</v>
      </c>
      <c r="I3406" s="30">
        <f t="shared" si="84"/>
        <v>55</v>
      </c>
    </row>
    <row r="3407" spans="6:9">
      <c r="F3407" s="12" t="str">
        <f>Absolute_Scores!F3407</f>
        <v>@winariarl</v>
      </c>
      <c r="G3407" s="12" t="str">
        <f>Absolute_Scores!G3407</f>
        <v>Instagram</v>
      </c>
      <c r="H3407" s="29">
        <f>Absolute_Scores!I3407</f>
        <v>44</v>
      </c>
      <c r="I3407" s="30">
        <f t="shared" si="84"/>
        <v>55</v>
      </c>
    </row>
    <row r="3408" spans="6:9">
      <c r="F3408" s="12" t="str">
        <f>Absolute_Scores!F3408</f>
        <v>@windahhyn</v>
      </c>
      <c r="G3408" s="12" t="str">
        <f>Absolute_Scores!G3408</f>
        <v>Instagram</v>
      </c>
      <c r="H3408" s="29">
        <f>Absolute_Scores!I3408</f>
        <v>44</v>
      </c>
      <c r="I3408" s="30">
        <f t="shared" si="84"/>
        <v>55</v>
      </c>
    </row>
    <row r="3409" spans="6:9">
      <c r="F3409" s="12" t="str">
        <f>Absolute_Scores!F3409</f>
        <v>@windyputria</v>
      </c>
      <c r="G3409" s="12" t="str">
        <f>Absolute_Scores!G3409</f>
        <v>Instagram</v>
      </c>
      <c r="H3409" s="29">
        <f>Absolute_Scores!I3409</f>
        <v>44</v>
      </c>
      <c r="I3409" s="30">
        <f t="shared" si="84"/>
        <v>55</v>
      </c>
    </row>
    <row r="3410" spans="6:9">
      <c r="F3410" s="12" t="str">
        <f>Absolute_Scores!F3410</f>
        <v>@wiyanda__</v>
      </c>
      <c r="G3410" s="12" t="str">
        <f>Absolute_Scores!G3410</f>
        <v>Instagram</v>
      </c>
      <c r="H3410" s="29">
        <f>Absolute_Scores!I3410</f>
        <v>44</v>
      </c>
      <c r="I3410" s="30">
        <f t="shared" si="84"/>
        <v>55</v>
      </c>
    </row>
    <row r="3411" spans="6:9">
      <c r="F3411" s="12" t="str">
        <f>Absolute_Scores!F3411</f>
        <v>@wulan.amsar</v>
      </c>
      <c r="G3411" s="12" t="str">
        <f>Absolute_Scores!G3411</f>
        <v>Instagram</v>
      </c>
      <c r="H3411" s="29">
        <f>Absolute_Scores!I3411</f>
        <v>44</v>
      </c>
      <c r="I3411" s="30">
        <f t="shared" si="84"/>
        <v>55</v>
      </c>
    </row>
    <row r="3412" spans="6:9">
      <c r="F3412" s="12" t="str">
        <f>Absolute_Scores!F3412</f>
        <v>@wulandaritarigan</v>
      </c>
      <c r="G3412" s="12" t="str">
        <f>Absolute_Scores!G3412</f>
        <v>Instagram</v>
      </c>
      <c r="H3412" s="29">
        <f>Absolute_Scores!I3412</f>
        <v>44</v>
      </c>
      <c r="I3412" s="30">
        <f t="shared" si="84"/>
        <v>55</v>
      </c>
    </row>
    <row r="3413" spans="6:9">
      <c r="F3413" s="12" t="str">
        <f>Absolute_Scores!F3413</f>
        <v>@wulandyas</v>
      </c>
      <c r="G3413" s="12" t="str">
        <f>Absolute_Scores!G3413</f>
        <v>Instagram</v>
      </c>
      <c r="H3413" s="29">
        <f>Absolute_Scores!I3413</f>
        <v>44</v>
      </c>
      <c r="I3413" s="30">
        <f t="shared" si="84"/>
        <v>55</v>
      </c>
    </row>
    <row r="3414" spans="6:9">
      <c r="F3414" s="12" t="str">
        <f>Absolute_Scores!F3414</f>
        <v>@wydiaprillia</v>
      </c>
      <c r="G3414" s="12" t="str">
        <f>Absolute_Scores!G3414</f>
        <v>Instagram</v>
      </c>
      <c r="H3414" s="29">
        <f>Absolute_Scores!I3414</f>
        <v>44</v>
      </c>
      <c r="I3414" s="30">
        <f t="shared" si="84"/>
        <v>55</v>
      </c>
    </row>
    <row r="3415" spans="6:9">
      <c r="F3415" s="12" t="str">
        <f>Absolute_Scores!F3415</f>
        <v>@xixixixixixixixixixi</v>
      </c>
      <c r="G3415" s="12" t="str">
        <f>Absolute_Scores!G3415</f>
        <v>TikTok</v>
      </c>
      <c r="H3415" s="29">
        <f>Absolute_Scores!I3415</f>
        <v>44</v>
      </c>
      <c r="I3415" s="30">
        <f t="shared" si="84"/>
        <v>55</v>
      </c>
    </row>
    <row r="3416" spans="6:9">
      <c r="F3416" s="12" t="str">
        <f>Absolute_Scores!F3416</f>
        <v>@yasyfi_la</v>
      </c>
      <c r="G3416" s="12" t="str">
        <f>Absolute_Scores!G3416</f>
        <v>Instagram</v>
      </c>
      <c r="H3416" s="29">
        <f>Absolute_Scores!I3416</f>
        <v>44</v>
      </c>
      <c r="I3416" s="30">
        <f t="shared" si="84"/>
        <v>55</v>
      </c>
    </row>
    <row r="3417" spans="6:9">
      <c r="F3417" s="12" t="str">
        <f>Absolute_Scores!F3417</f>
        <v>@yezsy07</v>
      </c>
      <c r="G3417" s="12" t="str">
        <f>Absolute_Scores!G3417</f>
        <v>TikTok</v>
      </c>
      <c r="H3417" s="29">
        <f>Absolute_Scores!I3417</f>
        <v>44</v>
      </c>
      <c r="I3417" s="30">
        <f t="shared" si="84"/>
        <v>55</v>
      </c>
    </row>
    <row r="3418" spans="6:9">
      <c r="F3418" s="12" t="str">
        <f>Absolute_Scores!F3418</f>
        <v>@yfahrurizal</v>
      </c>
      <c r="G3418" s="12" t="str">
        <f>Absolute_Scores!G3418</f>
        <v>Instagram</v>
      </c>
      <c r="H3418" s="29">
        <f>Absolute_Scores!I3418</f>
        <v>44</v>
      </c>
      <c r="I3418" s="30">
        <f t="shared" si="84"/>
        <v>55</v>
      </c>
    </row>
    <row r="3419" spans="6:9">
      <c r="F3419" s="12" t="str">
        <f>Absolute_Scores!F3419</f>
        <v>@yoanprastywi</v>
      </c>
      <c r="G3419" s="12" t="str">
        <f>Absolute_Scores!G3419</f>
        <v>Instagram</v>
      </c>
      <c r="H3419" s="29">
        <f>Absolute_Scores!I3419</f>
        <v>44</v>
      </c>
      <c r="I3419" s="30">
        <f t="shared" si="84"/>
        <v>55</v>
      </c>
    </row>
    <row r="3420" spans="6:9">
      <c r="F3420" s="12" t="str">
        <f>Absolute_Scores!F3420</f>
        <v>@yulianitiara</v>
      </c>
      <c r="G3420" s="12" t="str">
        <f>Absolute_Scores!G3420</f>
        <v>Instagram</v>
      </c>
      <c r="H3420" s="29">
        <f>Absolute_Scores!I3420</f>
        <v>44</v>
      </c>
      <c r="I3420" s="30">
        <f t="shared" si="84"/>
        <v>55</v>
      </c>
    </row>
    <row r="3421" spans="6:9">
      <c r="F3421" s="12" t="str">
        <f>Absolute_Scores!F3421</f>
        <v>@yulistia.utami</v>
      </c>
      <c r="G3421" s="12" t="str">
        <f>Absolute_Scores!G3421</f>
        <v>Instagram</v>
      </c>
      <c r="H3421" s="29">
        <f>Absolute_Scores!I3421</f>
        <v>44</v>
      </c>
      <c r="I3421" s="30">
        <f t="shared" si="84"/>
        <v>55</v>
      </c>
    </row>
    <row r="3422" spans="6:9">
      <c r="F3422" s="12" t="str">
        <f>Absolute_Scores!F3422</f>
        <v>@yuni.saputra</v>
      </c>
      <c r="G3422" s="12" t="str">
        <f>Absolute_Scores!G3422</f>
        <v>TikTok</v>
      </c>
      <c r="H3422" s="29">
        <f>Absolute_Scores!I3422</f>
        <v>44</v>
      </c>
      <c r="I3422" s="30">
        <f t="shared" si="84"/>
        <v>55</v>
      </c>
    </row>
    <row r="3423" spans="6:9">
      <c r="F3423" s="12" t="str">
        <f>Absolute_Scores!F3423</f>
        <v>@yunisyarizqa_</v>
      </c>
      <c r="G3423" s="12" t="str">
        <f>Absolute_Scores!G3423</f>
        <v>TikTok</v>
      </c>
      <c r="H3423" s="29">
        <f>Absolute_Scores!I3423</f>
        <v>44</v>
      </c>
      <c r="I3423" s="30">
        <f t="shared" si="84"/>
        <v>55</v>
      </c>
    </row>
    <row r="3424" spans="6:9">
      <c r="F3424" s="12" t="str">
        <f>Absolute_Scores!F3424</f>
        <v>@yusahai</v>
      </c>
      <c r="G3424" s="12" t="str">
        <f>Absolute_Scores!G3424</f>
        <v>TikTok</v>
      </c>
      <c r="H3424" s="29">
        <f>Absolute_Scores!I3424</f>
        <v>44</v>
      </c>
      <c r="I3424" s="30">
        <f t="shared" si="84"/>
        <v>55</v>
      </c>
    </row>
    <row r="3425" spans="6:9">
      <c r="F3425" s="12" t="str">
        <f>Absolute_Scores!F3425</f>
        <v>@zhie_pu3.official</v>
      </c>
      <c r="G3425" s="12" t="str">
        <f>Absolute_Scores!G3425</f>
        <v>TikTok</v>
      </c>
      <c r="H3425" s="29">
        <f>Absolute_Scores!I3425</f>
        <v>44</v>
      </c>
      <c r="I3425" s="30">
        <f t="shared" si="84"/>
        <v>55</v>
      </c>
    </row>
    <row r="3426" spans="6:9">
      <c r="F3426" s="12" t="str">
        <f>Absolute_Scores!F3426</f>
        <v>@zxkllm</v>
      </c>
      <c r="G3426" s="12" t="str">
        <f>Absolute_Scores!G3426</f>
        <v>TikTok</v>
      </c>
      <c r="H3426" s="29">
        <f>Absolute_Scores!I3426</f>
        <v>44</v>
      </c>
      <c r="I3426" s="30">
        <f t="shared" si="84"/>
        <v>55</v>
      </c>
    </row>
    <row r="3427" spans="6:9">
      <c r="F3427" s="12" t="str">
        <f>Absolute_Scores!F3427</f>
        <v>@_novilia</v>
      </c>
      <c r="G3427" s="12" t="str">
        <f>Absolute_Scores!G3427</f>
        <v>Instagram</v>
      </c>
      <c r="H3427" s="29">
        <f>Absolute_Scores!I3427</f>
        <v>43</v>
      </c>
      <c r="I3427" s="30">
        <f t="shared" si="84"/>
        <v>53.75</v>
      </c>
    </row>
    <row r="3428" spans="6:9">
      <c r="F3428" s="12" t="str">
        <f>Absolute_Scores!F3428</f>
        <v>@_putritidurr_</v>
      </c>
      <c r="G3428" s="12" t="str">
        <f>Absolute_Scores!G3428</f>
        <v>TikTok</v>
      </c>
      <c r="H3428" s="29">
        <f>Absolute_Scores!I3428</f>
        <v>43</v>
      </c>
      <c r="I3428" s="30">
        <f t="shared" si="84"/>
        <v>53.75</v>
      </c>
    </row>
    <row r="3429" spans="6:9">
      <c r="F3429" s="12" t="str">
        <f>Absolute_Scores!F3429</f>
        <v>@abcdewi13_</v>
      </c>
      <c r="G3429" s="12" t="str">
        <f>Absolute_Scores!G3429</f>
        <v>TikTok</v>
      </c>
      <c r="H3429" s="29">
        <f>Absolute_Scores!I3429</f>
        <v>43</v>
      </c>
      <c r="I3429" s="30">
        <f t="shared" si="84"/>
        <v>53.75</v>
      </c>
    </row>
    <row r="3430" spans="6:9">
      <c r="F3430" s="12" t="str">
        <f>Absolute_Scores!F3430</f>
        <v>@admhrscha</v>
      </c>
      <c r="G3430" s="12" t="str">
        <f>Absolute_Scores!G3430</f>
        <v>TikTok</v>
      </c>
      <c r="H3430" s="29">
        <f>Absolute_Scores!I3430</f>
        <v>43</v>
      </c>
      <c r="I3430" s="30">
        <f t="shared" si="84"/>
        <v>53.75</v>
      </c>
    </row>
    <row r="3431" spans="6:9">
      <c r="F3431" s="12" t="str">
        <f>Absolute_Scores!F3431</f>
        <v>@adrianarmanasco</v>
      </c>
      <c r="G3431" s="12" t="str">
        <f>Absolute_Scores!G3431</f>
        <v>Instagram</v>
      </c>
      <c r="H3431" s="29">
        <f>Absolute_Scores!I3431</f>
        <v>43</v>
      </c>
      <c r="I3431" s="30">
        <f t="shared" si="84"/>
        <v>53.75</v>
      </c>
    </row>
    <row r="3432" spans="6:9">
      <c r="F3432" s="12" t="str">
        <f>Absolute_Scores!F3432</f>
        <v>@alfikhair_ahsol</v>
      </c>
      <c r="G3432" s="12" t="str">
        <f>Absolute_Scores!G3432</f>
        <v>TikTok</v>
      </c>
      <c r="H3432" s="29">
        <f>Absolute_Scores!I3432</f>
        <v>43</v>
      </c>
      <c r="I3432" s="30">
        <f t="shared" si="84"/>
        <v>53.75</v>
      </c>
    </row>
    <row r="3433" spans="6:9">
      <c r="F3433" s="12" t="str">
        <f>Absolute_Scores!F3433</f>
        <v>@alinda_kholisoh</v>
      </c>
      <c r="G3433" s="12" t="str">
        <f>Absolute_Scores!G3433</f>
        <v>Instagram</v>
      </c>
      <c r="H3433" s="29">
        <f>Absolute_Scores!I3433</f>
        <v>43</v>
      </c>
      <c r="I3433" s="30">
        <f t="shared" si="84"/>
        <v>53.75</v>
      </c>
    </row>
    <row r="3434" spans="6:9">
      <c r="F3434" s="12" t="str">
        <f>Absolute_Scores!F3434</f>
        <v>@alkindi_18</v>
      </c>
      <c r="G3434" s="12" t="str">
        <f>Absolute_Scores!G3434</f>
        <v>TikTok</v>
      </c>
      <c r="H3434" s="29">
        <f>Absolute_Scores!I3434</f>
        <v>43</v>
      </c>
      <c r="I3434" s="30">
        <f t="shared" si="84"/>
        <v>53.75</v>
      </c>
    </row>
    <row r="3435" spans="6:9">
      <c r="F3435" s="12" t="str">
        <f>Absolute_Scores!F3435</f>
        <v>@ambarao</v>
      </c>
      <c r="G3435" s="12" t="str">
        <f>Absolute_Scores!G3435</f>
        <v>Instagram</v>
      </c>
      <c r="H3435" s="29">
        <f>Absolute_Scores!I3435</f>
        <v>43</v>
      </c>
      <c r="I3435" s="30">
        <f t="shared" si="84"/>
        <v>53.75</v>
      </c>
    </row>
    <row r="3436" spans="6:9">
      <c r="F3436" s="12" t="str">
        <f>Absolute_Scores!F3436</f>
        <v>@andrywulansari</v>
      </c>
      <c r="G3436" s="12" t="str">
        <f>Absolute_Scores!G3436</f>
        <v>TikTok</v>
      </c>
      <c r="H3436" s="29">
        <f>Absolute_Scores!I3436</f>
        <v>43</v>
      </c>
      <c r="I3436" s="30">
        <f t="shared" si="84"/>
        <v>53.75</v>
      </c>
    </row>
    <row r="3437" spans="6:9">
      <c r="F3437" s="12" t="str">
        <f>Absolute_Scores!F3437</f>
        <v>@anggieloveangel</v>
      </c>
      <c r="G3437" s="12" t="str">
        <f>Absolute_Scores!G3437</f>
        <v>Instagram</v>
      </c>
      <c r="H3437" s="29">
        <f>Absolute_Scores!I3437</f>
        <v>43</v>
      </c>
      <c r="I3437" s="30">
        <f t="shared" si="84"/>
        <v>53.75</v>
      </c>
    </row>
    <row r="3438" spans="6:9">
      <c r="F3438" s="12" t="str">
        <f>Absolute_Scores!F3438</f>
        <v>@angme99</v>
      </c>
      <c r="G3438" s="12" t="str">
        <f>Absolute_Scores!G3438</f>
        <v>TikTok</v>
      </c>
      <c r="H3438" s="29">
        <f>Absolute_Scores!I3438</f>
        <v>43</v>
      </c>
      <c r="I3438" s="30">
        <f t="shared" si="84"/>
        <v>53.75</v>
      </c>
    </row>
    <row r="3439" spans="6:9">
      <c r="F3439" s="12" t="str">
        <f>Absolute_Scores!F3439</f>
        <v>@annesaritaa</v>
      </c>
      <c r="G3439" s="12" t="str">
        <f>Absolute_Scores!G3439</f>
        <v>Instagram</v>
      </c>
      <c r="H3439" s="29">
        <f>Absolute_Scores!I3439</f>
        <v>43</v>
      </c>
      <c r="I3439" s="30">
        <f t="shared" si="84"/>
        <v>53.75</v>
      </c>
    </row>
    <row r="3440" spans="6:9">
      <c r="F3440" s="12" t="str">
        <f>Absolute_Scores!F3440</f>
        <v>@ardilasv17</v>
      </c>
      <c r="G3440" s="12" t="str">
        <f>Absolute_Scores!G3440</f>
        <v>TikTok</v>
      </c>
      <c r="H3440" s="29">
        <f>Absolute_Scores!I3440</f>
        <v>43</v>
      </c>
      <c r="I3440" s="30">
        <f t="shared" si="84"/>
        <v>53.75</v>
      </c>
    </row>
    <row r="3441" spans="6:9">
      <c r="F3441" s="12" t="str">
        <f>Absolute_Scores!F3441</f>
        <v>@arif_alfiansyah</v>
      </c>
      <c r="G3441" s="12" t="str">
        <f>Absolute_Scores!G3441</f>
        <v>Instagram</v>
      </c>
      <c r="H3441" s="29">
        <f>Absolute_Scores!I3441</f>
        <v>43</v>
      </c>
      <c r="I3441" s="30">
        <f t="shared" si="84"/>
        <v>53.75</v>
      </c>
    </row>
    <row r="3442" spans="6:9">
      <c r="F3442" s="12" t="str">
        <f>Absolute_Scores!F3442</f>
        <v>@arsitakhoirunisa</v>
      </c>
      <c r="G3442" s="12" t="str">
        <f>Absolute_Scores!G3442</f>
        <v>Instagram</v>
      </c>
      <c r="H3442" s="29">
        <f>Absolute_Scores!I3442</f>
        <v>43</v>
      </c>
      <c r="I3442" s="30">
        <f t="shared" si="84"/>
        <v>53.75</v>
      </c>
    </row>
    <row r="3443" spans="6:9">
      <c r="F3443" s="12" t="str">
        <f>Absolute_Scores!F3443</f>
        <v>@astriehapsarii</v>
      </c>
      <c r="G3443" s="12" t="str">
        <f>Absolute_Scores!G3443</f>
        <v>Instagram</v>
      </c>
      <c r="H3443" s="29">
        <f>Absolute_Scores!I3443</f>
        <v>43</v>
      </c>
      <c r="I3443" s="30">
        <f t="shared" si="84"/>
        <v>53.75</v>
      </c>
    </row>
    <row r="3444" spans="6:9">
      <c r="F3444" s="12" t="str">
        <f>Absolute_Scores!F3444</f>
        <v>@asyahidan</v>
      </c>
      <c r="G3444" s="12" t="str">
        <f>Absolute_Scores!G3444</f>
        <v>TikTok</v>
      </c>
      <c r="H3444" s="29">
        <f>Absolute_Scores!I3444</f>
        <v>43</v>
      </c>
      <c r="I3444" s="30">
        <f t="shared" si="84"/>
        <v>53.75</v>
      </c>
    </row>
    <row r="3445" spans="6:9">
      <c r="F3445" s="12" t="str">
        <f>Absolute_Scores!F3445</f>
        <v>@audreykareninaa</v>
      </c>
      <c r="G3445" s="12" t="str">
        <f>Absolute_Scores!G3445</f>
        <v>TikTok</v>
      </c>
      <c r="H3445" s="29">
        <f>Absolute_Scores!I3445</f>
        <v>43</v>
      </c>
      <c r="I3445" s="30">
        <f t="shared" si="84"/>
        <v>53.75</v>
      </c>
    </row>
    <row r="3446" spans="6:9">
      <c r="F3446" s="12" t="str">
        <f>Absolute_Scores!F3446</f>
        <v>@ayuulfadewi8</v>
      </c>
      <c r="G3446" s="12" t="str">
        <f>Absolute_Scores!G3446</f>
        <v>TikTok</v>
      </c>
      <c r="H3446" s="29">
        <f>Absolute_Scores!I3446</f>
        <v>43</v>
      </c>
      <c r="I3446" s="30">
        <f t="shared" si="84"/>
        <v>53.75</v>
      </c>
    </row>
    <row r="3447" spans="6:9">
      <c r="F3447" s="12" t="str">
        <f>Absolute_Scores!F3447</f>
        <v>@balikpapanku</v>
      </c>
      <c r="G3447" s="12" t="str">
        <f>Absolute_Scores!G3447</f>
        <v>Instagram</v>
      </c>
      <c r="H3447" s="29">
        <f>Absolute_Scores!I3447</f>
        <v>43</v>
      </c>
      <c r="I3447" s="30">
        <f t="shared" si="84"/>
        <v>53.75</v>
      </c>
    </row>
    <row r="3448" spans="6:9">
      <c r="F3448" s="12" t="str">
        <f>Absolute_Scores!F3448</f>
        <v>@banyube</v>
      </c>
      <c r="G3448" s="12" t="str">
        <f>Absolute_Scores!G3448</f>
        <v>Instagram</v>
      </c>
      <c r="H3448" s="29">
        <f>Absolute_Scores!I3448</f>
        <v>43</v>
      </c>
      <c r="I3448" s="30">
        <f t="shared" si="84"/>
        <v>53.75</v>
      </c>
    </row>
    <row r="3449" spans="6:9">
      <c r="F3449" s="12" t="str">
        <f>Absolute_Scores!F3449</f>
        <v>@bekasiinfo_id</v>
      </c>
      <c r="G3449" s="12" t="str">
        <f>Absolute_Scores!G3449</f>
        <v>Instagram</v>
      </c>
      <c r="H3449" s="29">
        <f>Absolute_Scores!I3449</f>
        <v>43</v>
      </c>
      <c r="I3449" s="30">
        <f t="shared" si="84"/>
        <v>53.75</v>
      </c>
    </row>
    <row r="3450" spans="6:9">
      <c r="F3450" s="12" t="str">
        <f>Absolute_Scores!F3450</f>
        <v>@bellaclaudya</v>
      </c>
      <c r="G3450" s="12" t="str">
        <f>Absolute_Scores!G3450</f>
        <v>Instagram</v>
      </c>
      <c r="H3450" s="29">
        <f>Absolute_Scores!I3450</f>
        <v>43</v>
      </c>
      <c r="I3450" s="30">
        <f t="shared" si="84"/>
        <v>53.75</v>
      </c>
    </row>
    <row r="3451" spans="6:9">
      <c r="F3451" s="12" t="str">
        <f>Absolute_Scores!F3451</f>
        <v>@bidandesi</v>
      </c>
      <c r="G3451" s="12" t="str">
        <f>Absolute_Scores!G3451</f>
        <v>Instagram</v>
      </c>
      <c r="H3451" s="29">
        <f>Absolute_Scores!I3451</f>
        <v>43</v>
      </c>
      <c r="I3451" s="30">
        <f t="shared" si="84"/>
        <v>53.75</v>
      </c>
    </row>
    <row r="3452" spans="6:9">
      <c r="F3452" s="12" t="str">
        <f>Absolute_Scores!F3452</f>
        <v>@bidanzulfa</v>
      </c>
      <c r="G3452" s="12" t="str">
        <f>Absolute_Scores!G3452</f>
        <v>Instagram</v>
      </c>
      <c r="H3452" s="29">
        <f>Absolute_Scores!I3452</f>
        <v>43</v>
      </c>
      <c r="I3452" s="30">
        <f t="shared" si="84"/>
        <v>53.75</v>
      </c>
    </row>
    <row r="3453" spans="6:9">
      <c r="F3453" s="12" t="str">
        <f>Absolute_Scores!F3453</f>
        <v>@bimbyanggara_</v>
      </c>
      <c r="G3453" s="12" t="str">
        <f>Absolute_Scores!G3453</f>
        <v>TikTok</v>
      </c>
      <c r="H3453" s="29">
        <f>Absolute_Scores!I3453</f>
        <v>43</v>
      </c>
      <c r="I3453" s="30">
        <f t="shared" si="84"/>
        <v>53.75</v>
      </c>
    </row>
    <row r="3454" spans="6:9">
      <c r="F3454" s="12" t="str">
        <f>Absolute_Scores!F3454</f>
        <v>@bluberriela</v>
      </c>
      <c r="G3454" s="12" t="str">
        <f>Absolute_Scores!G3454</f>
        <v>TikTok</v>
      </c>
      <c r="H3454" s="29">
        <f>Absolute_Scores!I3454</f>
        <v>43</v>
      </c>
      <c r="I3454" s="30">
        <f t="shared" si="84"/>
        <v>53.75</v>
      </c>
    </row>
    <row r="3455" spans="6:9">
      <c r="F3455" s="12" t="str">
        <f>Absolute_Scores!F3455</f>
        <v>@brigitta_elena</v>
      </c>
      <c r="G3455" s="12" t="str">
        <f>Absolute_Scores!G3455</f>
        <v>Instagram</v>
      </c>
      <c r="H3455" s="29">
        <f>Absolute_Scores!I3455</f>
        <v>43</v>
      </c>
      <c r="I3455" s="30">
        <f t="shared" si="84"/>
        <v>53.75</v>
      </c>
    </row>
    <row r="3456" spans="6:9">
      <c r="F3456" s="12" t="str">
        <f>Absolute_Scores!F3456</f>
        <v>@ca1lmelater_</v>
      </c>
      <c r="G3456" s="12" t="str">
        <f>Absolute_Scores!G3456</f>
        <v>TikTok</v>
      </c>
      <c r="H3456" s="29">
        <f>Absolute_Scores!I3456</f>
        <v>43</v>
      </c>
      <c r="I3456" s="30">
        <f t="shared" si="84"/>
        <v>53.75</v>
      </c>
    </row>
    <row r="3457" spans="6:9">
      <c r="F3457" s="12" t="str">
        <f>Absolute_Scores!F3457</f>
        <v>@chintyacn28</v>
      </c>
      <c r="G3457" s="12" t="str">
        <f>Absolute_Scores!G3457</f>
        <v>TikTok</v>
      </c>
      <c r="H3457" s="29">
        <f>Absolute_Scores!I3457</f>
        <v>43</v>
      </c>
      <c r="I3457" s="30">
        <f t="shared" si="84"/>
        <v>53.75</v>
      </c>
    </row>
    <row r="3458" spans="6:9">
      <c r="F3458" s="12" t="str">
        <f>Absolute_Scores!F3458</f>
        <v>@christinajennifer</v>
      </c>
      <c r="G3458" s="12" t="str">
        <f>Absolute_Scores!G3458</f>
        <v>Instagram</v>
      </c>
      <c r="H3458" s="29">
        <f>Absolute_Scores!I3458</f>
        <v>43</v>
      </c>
      <c r="I3458" s="30">
        <f t="shared" si="84"/>
        <v>53.75</v>
      </c>
    </row>
    <row r="3459" spans="6:9">
      <c r="F3459" s="12" t="str">
        <f>Absolute_Scores!F3459</f>
        <v>@chyntiadewanti</v>
      </c>
      <c r="G3459" s="12" t="str">
        <f>Absolute_Scores!G3459</f>
        <v>TikTok</v>
      </c>
      <c r="H3459" s="29">
        <f>Absolute_Scores!I3459</f>
        <v>43</v>
      </c>
      <c r="I3459" s="30">
        <f t="shared" si="84"/>
        <v>53.75</v>
      </c>
    </row>
    <row r="3460" spans="6:9">
      <c r="F3460" s="12" t="str">
        <f>Absolute_Scores!F3460</f>
        <v>@cindylaurenziaa12</v>
      </c>
      <c r="G3460" s="12" t="str">
        <f>Absolute_Scores!G3460</f>
        <v>Instagram</v>
      </c>
      <c r="H3460" s="29">
        <f>Absolute_Scores!I3460</f>
        <v>43</v>
      </c>
      <c r="I3460" s="30">
        <f t="shared" si="84"/>
        <v>53.75</v>
      </c>
    </row>
    <row r="3461" spans="6:9">
      <c r="F3461" s="12" t="str">
        <f>Absolute_Scores!F3461</f>
        <v>@ciputski</v>
      </c>
      <c r="G3461" s="12" t="str">
        <f>Absolute_Scores!G3461</f>
        <v>TikTok</v>
      </c>
      <c r="H3461" s="29">
        <f>Absolute_Scores!I3461</f>
        <v>43</v>
      </c>
      <c r="I3461" s="30">
        <f t="shared" si="84"/>
        <v>53.75</v>
      </c>
    </row>
    <row r="3462" spans="6:9">
      <c r="F3462" s="12" t="str">
        <f>Absolute_Scores!F3462</f>
        <v>@citraniaa</v>
      </c>
      <c r="G3462" s="12" t="str">
        <f>Absolute_Scores!G3462</f>
        <v>Instagram</v>
      </c>
      <c r="H3462" s="29">
        <f>Absolute_Scores!I3462</f>
        <v>43</v>
      </c>
      <c r="I3462" s="30">
        <f t="shared" ref="I3462:I3525" si="85">ROUND(H3462/$I$4*100,2)</f>
        <v>53.75</v>
      </c>
    </row>
    <row r="3463" spans="6:9">
      <c r="F3463" s="12" t="str">
        <f>Absolute_Scores!F3463</f>
        <v>@claraviaadn</v>
      </c>
      <c r="G3463" s="12" t="str">
        <f>Absolute_Scores!G3463</f>
        <v>Instagram</v>
      </c>
      <c r="H3463" s="29">
        <f>Absolute_Scores!I3463</f>
        <v>43</v>
      </c>
      <c r="I3463" s="30">
        <f t="shared" si="85"/>
        <v>53.75</v>
      </c>
    </row>
    <row r="3464" spans="6:9">
      <c r="F3464" s="12" t="str">
        <f>Absolute_Scores!F3464</f>
        <v>@claudiaprawira</v>
      </c>
      <c r="G3464" s="12" t="str">
        <f>Absolute_Scores!G3464</f>
        <v>TikTok</v>
      </c>
      <c r="H3464" s="29">
        <f>Absolute_Scores!I3464</f>
        <v>43</v>
      </c>
      <c r="I3464" s="30">
        <f t="shared" si="85"/>
        <v>53.75</v>
      </c>
    </row>
    <row r="3465" spans="6:9">
      <c r="F3465" s="12" t="str">
        <f>Absolute_Scores!F3465</f>
        <v>@cokardina</v>
      </c>
      <c r="G3465" s="12" t="str">
        <f>Absolute_Scores!G3465</f>
        <v>TikTok</v>
      </c>
      <c r="H3465" s="29">
        <f>Absolute_Scores!I3465</f>
        <v>43</v>
      </c>
      <c r="I3465" s="30">
        <f t="shared" si="85"/>
        <v>53.75</v>
      </c>
    </row>
    <row r="3466" spans="6:9">
      <c r="F3466" s="12" t="str">
        <f>Absolute_Scores!F3466</f>
        <v>@coverbyalma</v>
      </c>
      <c r="G3466" s="12" t="str">
        <f>Absolute_Scores!G3466</f>
        <v>TikTok</v>
      </c>
      <c r="H3466" s="29">
        <f>Absolute_Scores!I3466</f>
        <v>43</v>
      </c>
      <c r="I3466" s="30">
        <f t="shared" si="85"/>
        <v>53.75</v>
      </c>
    </row>
    <row r="3467" spans="6:9">
      <c r="F3467" s="12" t="str">
        <f>Absolute_Scores!F3467</f>
        <v>@cunplawer</v>
      </c>
      <c r="G3467" s="12" t="str">
        <f>Absolute_Scores!G3467</f>
        <v>TikTok</v>
      </c>
      <c r="H3467" s="29">
        <f>Absolute_Scores!I3467</f>
        <v>43</v>
      </c>
      <c r="I3467" s="30">
        <f t="shared" si="85"/>
        <v>53.75</v>
      </c>
    </row>
    <row r="3468" spans="6:9">
      <c r="F3468" s="12" t="str">
        <f>Absolute_Scores!F3468</f>
        <v>@daniarelvaria</v>
      </c>
      <c r="G3468" s="12" t="str">
        <f>Absolute_Scores!G3468</f>
        <v>Instagram</v>
      </c>
      <c r="H3468" s="29">
        <f>Absolute_Scores!I3468</f>
        <v>43</v>
      </c>
      <c r="I3468" s="30">
        <f t="shared" si="85"/>
        <v>53.75</v>
      </c>
    </row>
    <row r="3469" spans="6:9">
      <c r="F3469" s="12" t="str">
        <f>Absolute_Scores!F3469</f>
        <v>@danielmarcell</v>
      </c>
      <c r="G3469" s="12" t="str">
        <f>Absolute_Scores!G3469</f>
        <v>TikTok</v>
      </c>
      <c r="H3469" s="29">
        <f>Absolute_Scores!I3469</f>
        <v>43</v>
      </c>
      <c r="I3469" s="30">
        <f t="shared" si="85"/>
        <v>53.75</v>
      </c>
    </row>
    <row r="3470" spans="6:9">
      <c r="F3470" s="12" t="str">
        <f>Absolute_Scores!F3470</f>
        <v>@dapurbekal</v>
      </c>
      <c r="G3470" s="12" t="str">
        <f>Absolute_Scores!G3470</f>
        <v>TikTok</v>
      </c>
      <c r="H3470" s="29">
        <f>Absolute_Scores!I3470</f>
        <v>43</v>
      </c>
      <c r="I3470" s="30">
        <f t="shared" si="85"/>
        <v>53.75</v>
      </c>
    </row>
    <row r="3471" spans="6:9">
      <c r="F3471" s="12" t="str">
        <f>Absolute_Scores!F3471</f>
        <v>@delladefriza</v>
      </c>
      <c r="G3471" s="12" t="str">
        <f>Absolute_Scores!G3471</f>
        <v>TikTok</v>
      </c>
      <c r="H3471" s="29">
        <f>Absolute_Scores!I3471</f>
        <v>43</v>
      </c>
      <c r="I3471" s="30">
        <f t="shared" si="85"/>
        <v>53.75</v>
      </c>
    </row>
    <row r="3472" spans="6:9">
      <c r="F3472" s="12" t="str">
        <f>Absolute_Scores!F3472</f>
        <v>@dessydecyl</v>
      </c>
      <c r="G3472" s="12" t="str">
        <f>Absolute_Scores!G3472</f>
        <v>Instagram</v>
      </c>
      <c r="H3472" s="29">
        <f>Absolute_Scores!I3472</f>
        <v>43</v>
      </c>
      <c r="I3472" s="30">
        <f t="shared" si="85"/>
        <v>53.75</v>
      </c>
    </row>
    <row r="3473" spans="6:9">
      <c r="F3473" s="12" t="str">
        <f>Absolute_Scores!F3473</f>
        <v>@dhyaniiiip</v>
      </c>
      <c r="G3473" s="12" t="str">
        <f>Absolute_Scores!G3473</f>
        <v>TikTok</v>
      </c>
      <c r="H3473" s="29">
        <f>Absolute_Scores!I3473</f>
        <v>43</v>
      </c>
      <c r="I3473" s="30">
        <f t="shared" si="85"/>
        <v>53.75</v>
      </c>
    </row>
    <row r="3474" spans="6:9">
      <c r="F3474" s="12" t="str">
        <f>Absolute_Scores!F3474</f>
        <v>@diasftri21</v>
      </c>
      <c r="G3474" s="12" t="str">
        <f>Absolute_Scores!G3474</f>
        <v>Instagram</v>
      </c>
      <c r="H3474" s="29">
        <f>Absolute_Scores!I3474</f>
        <v>43</v>
      </c>
      <c r="I3474" s="30">
        <f t="shared" si="85"/>
        <v>53.75</v>
      </c>
    </row>
    <row r="3475" spans="6:9">
      <c r="F3475" s="12" t="str">
        <f>Absolute_Scores!F3475</f>
        <v>@ditaayuanitaa</v>
      </c>
      <c r="G3475" s="12" t="str">
        <f>Absolute_Scores!G3475</f>
        <v>Instagram</v>
      </c>
      <c r="H3475" s="29">
        <f>Absolute_Scores!I3475</f>
        <v>43</v>
      </c>
      <c r="I3475" s="30">
        <f t="shared" si="85"/>
        <v>53.75</v>
      </c>
    </row>
    <row r="3476" spans="6:9">
      <c r="F3476" s="12" t="str">
        <f>Absolute_Scores!F3476</f>
        <v>@divaarnda.97_</v>
      </c>
      <c r="G3476" s="12" t="str">
        <f>Absolute_Scores!G3476</f>
        <v>Instagram</v>
      </c>
      <c r="H3476" s="29">
        <f>Absolute_Scores!I3476</f>
        <v>43</v>
      </c>
      <c r="I3476" s="30">
        <f t="shared" si="85"/>
        <v>53.75</v>
      </c>
    </row>
    <row r="3477" spans="6:9">
      <c r="F3477" s="12" t="str">
        <f>Absolute_Scores!F3477</f>
        <v>@dlyzx_</v>
      </c>
      <c r="G3477" s="12" t="str">
        <f>Absolute_Scores!G3477</f>
        <v>Instagram</v>
      </c>
      <c r="H3477" s="29">
        <f>Absolute_Scores!I3477</f>
        <v>43</v>
      </c>
      <c r="I3477" s="30">
        <f t="shared" si="85"/>
        <v>53.75</v>
      </c>
    </row>
    <row r="3478" spans="6:9">
      <c r="F3478" s="12" t="str">
        <f>Absolute_Scores!F3478</f>
        <v>@dzhea_zee</v>
      </c>
      <c r="G3478" s="12" t="str">
        <f>Absolute_Scores!G3478</f>
        <v>TikTok</v>
      </c>
      <c r="H3478" s="29">
        <f>Absolute_Scores!I3478</f>
        <v>43</v>
      </c>
      <c r="I3478" s="30">
        <f t="shared" si="85"/>
        <v>53.75</v>
      </c>
    </row>
    <row r="3479" spans="6:9">
      <c r="F3479" s="12" t="str">
        <f>Absolute_Scores!F3479</f>
        <v>@emmachatarina</v>
      </c>
      <c r="G3479" s="12" t="str">
        <f>Absolute_Scores!G3479</f>
        <v>TikTok</v>
      </c>
      <c r="H3479" s="29">
        <f>Absolute_Scores!I3479</f>
        <v>43</v>
      </c>
      <c r="I3479" s="30">
        <f t="shared" si="85"/>
        <v>53.75</v>
      </c>
    </row>
    <row r="3480" spans="6:9">
      <c r="F3480" s="12" t="str">
        <f>Absolute_Scores!F3480</f>
        <v>@erinagustinaa</v>
      </c>
      <c r="G3480" s="12" t="str">
        <f>Absolute_Scores!G3480</f>
        <v>TikTok</v>
      </c>
      <c r="H3480" s="29">
        <f>Absolute_Scores!I3480</f>
        <v>43</v>
      </c>
      <c r="I3480" s="30">
        <f t="shared" si="85"/>
        <v>53.75</v>
      </c>
    </row>
    <row r="3481" spans="6:9">
      <c r="F3481" s="12" t="str">
        <f>Absolute_Scores!F3481</f>
        <v>@evansyahhh</v>
      </c>
      <c r="G3481" s="12" t="str">
        <f>Absolute_Scores!G3481</f>
        <v>TikTok</v>
      </c>
      <c r="H3481" s="29">
        <f>Absolute_Scores!I3481</f>
        <v>43</v>
      </c>
      <c r="I3481" s="30">
        <f t="shared" si="85"/>
        <v>53.75</v>
      </c>
    </row>
    <row r="3482" spans="6:9">
      <c r="F3482" s="12" t="str">
        <f>Absolute_Scores!F3482</f>
        <v>@fashionmen_1</v>
      </c>
      <c r="G3482" s="12" t="str">
        <f>Absolute_Scores!G3482</f>
        <v>TikTok</v>
      </c>
      <c r="H3482" s="29">
        <f>Absolute_Scores!I3482</f>
        <v>43</v>
      </c>
      <c r="I3482" s="30">
        <f t="shared" si="85"/>
        <v>53.75</v>
      </c>
    </row>
    <row r="3483" spans="6:9">
      <c r="F3483" s="12" t="str">
        <f>Absolute_Scores!F3483</f>
        <v>@fauziaahanum</v>
      </c>
      <c r="G3483" s="12" t="str">
        <f>Absolute_Scores!G3483</f>
        <v>Instagram</v>
      </c>
      <c r="H3483" s="29">
        <f>Absolute_Scores!I3483</f>
        <v>43</v>
      </c>
      <c r="I3483" s="30">
        <f t="shared" si="85"/>
        <v>53.75</v>
      </c>
    </row>
    <row r="3484" spans="6:9">
      <c r="F3484" s="12" t="str">
        <f>Absolute_Scores!F3484</f>
        <v>@fbrynpp</v>
      </c>
      <c r="G3484" s="12" t="str">
        <f>Absolute_Scores!G3484</f>
        <v>TikTok</v>
      </c>
      <c r="H3484" s="29">
        <f>Absolute_Scores!I3484</f>
        <v>43</v>
      </c>
      <c r="I3484" s="30">
        <f t="shared" si="85"/>
        <v>53.75</v>
      </c>
    </row>
    <row r="3485" spans="6:9">
      <c r="F3485" s="12" t="str">
        <f>Absolute_Scores!F3485</f>
        <v>@febbyfy23</v>
      </c>
      <c r="G3485" s="12" t="str">
        <f>Absolute_Scores!G3485</f>
        <v>Instagram</v>
      </c>
      <c r="H3485" s="29">
        <f>Absolute_Scores!I3485</f>
        <v>43</v>
      </c>
      <c r="I3485" s="30">
        <f t="shared" si="85"/>
        <v>53.75</v>
      </c>
    </row>
    <row r="3486" spans="6:9">
      <c r="F3486" s="12" t="str">
        <f>Absolute_Scores!F3486</f>
        <v>@fellamaheen</v>
      </c>
      <c r="G3486" s="12" t="str">
        <f>Absolute_Scores!G3486</f>
        <v>Instagram</v>
      </c>
      <c r="H3486" s="29">
        <f>Absolute_Scores!I3486</f>
        <v>43</v>
      </c>
      <c r="I3486" s="30">
        <f t="shared" si="85"/>
        <v>53.75</v>
      </c>
    </row>
    <row r="3487" spans="6:9">
      <c r="F3487" s="12" t="str">
        <f>Absolute_Scores!F3487</f>
        <v>@fergigutomo_</v>
      </c>
      <c r="G3487" s="12" t="str">
        <f>Absolute_Scores!G3487</f>
        <v>TikTok</v>
      </c>
      <c r="H3487" s="29">
        <f>Absolute_Scores!I3487</f>
        <v>43</v>
      </c>
      <c r="I3487" s="30">
        <f t="shared" si="85"/>
        <v>53.75</v>
      </c>
    </row>
    <row r="3488" spans="6:9">
      <c r="F3488" s="12" t="str">
        <f>Absolute_Scores!F3488</f>
        <v>@fikrifreestyle</v>
      </c>
      <c r="G3488" s="12" t="str">
        <f>Absolute_Scores!G3488</f>
        <v>TikTok</v>
      </c>
      <c r="H3488" s="29">
        <f>Absolute_Scores!I3488</f>
        <v>43</v>
      </c>
      <c r="I3488" s="30">
        <f t="shared" si="85"/>
        <v>53.75</v>
      </c>
    </row>
    <row r="3489" spans="6:9">
      <c r="F3489" s="12" t="str">
        <f>Absolute_Scores!F3489</f>
        <v>@firyalnbla</v>
      </c>
      <c r="G3489" s="12" t="str">
        <f>Absolute_Scores!G3489</f>
        <v>Instagram</v>
      </c>
      <c r="H3489" s="29">
        <f>Absolute_Scores!I3489</f>
        <v>43</v>
      </c>
      <c r="I3489" s="30">
        <f t="shared" si="85"/>
        <v>53.75</v>
      </c>
    </row>
    <row r="3490" spans="6:9">
      <c r="F3490" s="12" t="str">
        <f>Absolute_Scores!F3490</f>
        <v>@fitaagustin</v>
      </c>
      <c r="G3490" s="12" t="str">
        <f>Absolute_Scores!G3490</f>
        <v>Instagram</v>
      </c>
      <c r="H3490" s="29">
        <f>Absolute_Scores!I3490</f>
        <v>43</v>
      </c>
      <c r="I3490" s="30">
        <f t="shared" si="85"/>
        <v>53.75</v>
      </c>
    </row>
    <row r="3491" spans="6:9">
      <c r="F3491" s="12" t="str">
        <f>Absolute_Scores!F3491</f>
        <v>@frisellavindyy</v>
      </c>
      <c r="G3491" s="12" t="str">
        <f>Absolute_Scores!G3491</f>
        <v>Instagram</v>
      </c>
      <c r="H3491" s="29">
        <f>Absolute_Scores!I3491</f>
        <v>43</v>
      </c>
      <c r="I3491" s="30">
        <f t="shared" si="85"/>
        <v>53.75</v>
      </c>
    </row>
    <row r="3492" spans="6:9">
      <c r="F3492" s="12" t="str">
        <f>Absolute_Scores!F3492</f>
        <v>@fzyhanisa_</v>
      </c>
      <c r="G3492" s="12" t="str">
        <f>Absolute_Scores!G3492</f>
        <v>Instagram</v>
      </c>
      <c r="H3492" s="29">
        <f>Absolute_Scores!I3492</f>
        <v>43</v>
      </c>
      <c r="I3492" s="30">
        <f t="shared" si="85"/>
        <v>53.75</v>
      </c>
    </row>
    <row r="3493" spans="6:9">
      <c r="F3493" s="12" t="str">
        <f>Absolute_Scores!F3493</f>
        <v>@g.giselaaa</v>
      </c>
      <c r="G3493" s="12" t="str">
        <f>Absolute_Scores!G3493</f>
        <v>Instagram</v>
      </c>
      <c r="H3493" s="29">
        <f>Absolute_Scores!I3493</f>
        <v>43</v>
      </c>
      <c r="I3493" s="30">
        <f t="shared" si="85"/>
        <v>53.75</v>
      </c>
    </row>
    <row r="3494" spans="6:9">
      <c r="F3494" s="12" t="str">
        <f>Absolute_Scores!F3494</f>
        <v>@galangbedon</v>
      </c>
      <c r="G3494" s="12" t="str">
        <f>Absolute_Scores!G3494</f>
        <v>TikTok</v>
      </c>
      <c r="H3494" s="29">
        <f>Absolute_Scores!I3494</f>
        <v>43</v>
      </c>
      <c r="I3494" s="30">
        <f t="shared" si="85"/>
        <v>53.75</v>
      </c>
    </row>
    <row r="3495" spans="6:9">
      <c r="F3495" s="12" t="str">
        <f>Absolute_Scores!F3495</f>
        <v>@ghinarestini</v>
      </c>
      <c r="G3495" s="12" t="str">
        <f>Absolute_Scores!G3495</f>
        <v>TikTok</v>
      </c>
      <c r="H3495" s="29">
        <f>Absolute_Scores!I3495</f>
        <v>43</v>
      </c>
      <c r="I3495" s="30">
        <f t="shared" si="85"/>
        <v>53.75</v>
      </c>
    </row>
    <row r="3496" spans="6:9">
      <c r="F3496" s="12" t="str">
        <f>Absolute_Scores!F3496</f>
        <v>@hazyaadira</v>
      </c>
      <c r="G3496" s="12" t="str">
        <f>Absolute_Scores!G3496</f>
        <v>TikTok</v>
      </c>
      <c r="H3496" s="29">
        <f>Absolute_Scores!I3496</f>
        <v>43</v>
      </c>
      <c r="I3496" s="30">
        <f t="shared" si="85"/>
        <v>53.75</v>
      </c>
    </row>
    <row r="3497" spans="6:9">
      <c r="F3497" s="12" t="str">
        <f>Absolute_Scores!F3497</f>
        <v>@igayuintan</v>
      </c>
      <c r="G3497" s="12" t="str">
        <f>Absolute_Scores!G3497</f>
        <v>Instagram</v>
      </c>
      <c r="H3497" s="29">
        <f>Absolute_Scores!I3497</f>
        <v>43</v>
      </c>
      <c r="I3497" s="30">
        <f t="shared" si="85"/>
        <v>53.75</v>
      </c>
    </row>
    <row r="3498" spans="6:9">
      <c r="F3498" s="12" t="str">
        <f>Absolute_Scores!F3498</f>
        <v>@imjstalonee</v>
      </c>
      <c r="G3498" s="12" t="str">
        <f>Absolute_Scores!G3498</f>
        <v>TikTok</v>
      </c>
      <c r="H3498" s="29">
        <f>Absolute_Scores!I3498</f>
        <v>43</v>
      </c>
      <c r="I3498" s="30">
        <f t="shared" si="85"/>
        <v>53.75</v>
      </c>
    </row>
    <row r="3499" spans="6:9">
      <c r="F3499" s="12" t="str">
        <f>Absolute_Scores!F3499</f>
        <v>@info_pondokgede</v>
      </c>
      <c r="G3499" s="12" t="str">
        <f>Absolute_Scores!G3499</f>
        <v>Instagram</v>
      </c>
      <c r="H3499" s="29">
        <f>Absolute_Scores!I3499</f>
        <v>43</v>
      </c>
      <c r="I3499" s="30">
        <f t="shared" si="85"/>
        <v>53.75</v>
      </c>
    </row>
    <row r="3500" spans="6:9">
      <c r="F3500" s="12" t="str">
        <f>Absolute_Scores!F3500</f>
        <v>@iniimona</v>
      </c>
      <c r="G3500" s="12" t="str">
        <f>Absolute_Scores!G3500</f>
        <v>TikTok</v>
      </c>
      <c r="H3500" s="29">
        <f>Absolute_Scores!I3500</f>
        <v>43</v>
      </c>
      <c r="I3500" s="30">
        <f t="shared" si="85"/>
        <v>53.75</v>
      </c>
    </row>
    <row r="3501" spans="6:9">
      <c r="F3501" s="12" t="str">
        <f>Absolute_Scores!F3501</f>
        <v>@intanangell</v>
      </c>
      <c r="G3501" s="12" t="str">
        <f>Absolute_Scores!G3501</f>
        <v>TikTok</v>
      </c>
      <c r="H3501" s="29">
        <f>Absolute_Scores!I3501</f>
        <v>43</v>
      </c>
      <c r="I3501" s="30">
        <f t="shared" si="85"/>
        <v>53.75</v>
      </c>
    </row>
    <row r="3502" spans="6:9">
      <c r="F3502" s="12" t="str">
        <f>Absolute_Scores!F3502</f>
        <v>@intanaww</v>
      </c>
      <c r="G3502" s="12" t="str">
        <f>Absolute_Scores!G3502</f>
        <v>Instagram</v>
      </c>
      <c r="H3502" s="29">
        <f>Absolute_Scores!I3502</f>
        <v>43</v>
      </c>
      <c r="I3502" s="30">
        <f t="shared" si="85"/>
        <v>53.75</v>
      </c>
    </row>
    <row r="3503" spans="6:9">
      <c r="F3503" s="12" t="str">
        <f>Absolute_Scores!F3503</f>
        <v>@irwansyah_15</v>
      </c>
      <c r="G3503" s="12" t="str">
        <f>Absolute_Scores!G3503</f>
        <v>Instagram</v>
      </c>
      <c r="H3503" s="29">
        <f>Absolute_Scores!I3503</f>
        <v>43</v>
      </c>
      <c r="I3503" s="30">
        <f t="shared" si="85"/>
        <v>53.75</v>
      </c>
    </row>
    <row r="3504" spans="6:9">
      <c r="F3504" s="12" t="str">
        <f>Absolute_Scores!F3504</f>
        <v>@itsagnesdwiw</v>
      </c>
      <c r="G3504" s="12" t="str">
        <f>Absolute_Scores!G3504</f>
        <v>TikTok</v>
      </c>
      <c r="H3504" s="29">
        <f>Absolute_Scores!I3504</f>
        <v>43</v>
      </c>
      <c r="I3504" s="30">
        <f t="shared" si="85"/>
        <v>53.75</v>
      </c>
    </row>
    <row r="3505" spans="6:9">
      <c r="F3505" s="12" t="str">
        <f>Absolute_Scores!F3505</f>
        <v>@jenni.wang</v>
      </c>
      <c r="G3505" s="12" t="str">
        <f>Absolute_Scores!G3505</f>
        <v>Instagram</v>
      </c>
      <c r="H3505" s="29">
        <f>Absolute_Scores!I3505</f>
        <v>43</v>
      </c>
      <c r="I3505" s="30">
        <f t="shared" si="85"/>
        <v>53.75</v>
      </c>
    </row>
    <row r="3506" spans="6:9">
      <c r="F3506" s="12" t="str">
        <f>Absolute_Scores!F3506</f>
        <v>@jeolsi</v>
      </c>
      <c r="G3506" s="12" t="str">
        <f>Absolute_Scores!G3506</f>
        <v>Instagram</v>
      </c>
      <c r="H3506" s="29">
        <f>Absolute_Scores!I3506</f>
        <v>43</v>
      </c>
      <c r="I3506" s="30">
        <f t="shared" si="85"/>
        <v>53.75</v>
      </c>
    </row>
    <row r="3507" spans="6:9">
      <c r="F3507" s="12" t="str">
        <f>Absolute_Scores!F3507</f>
        <v>@joannadv</v>
      </c>
      <c r="G3507" s="12" t="str">
        <f>Absolute_Scores!G3507</f>
        <v>TikTok</v>
      </c>
      <c r="H3507" s="29">
        <f>Absolute_Scores!I3507</f>
        <v>43</v>
      </c>
      <c r="I3507" s="30">
        <f t="shared" si="85"/>
        <v>53.75</v>
      </c>
    </row>
    <row r="3508" spans="6:9">
      <c r="F3508" s="12" t="str">
        <f>Absolute_Scores!F3508</f>
        <v>@jsn.amelia</v>
      </c>
      <c r="G3508" s="12" t="str">
        <f>Absolute_Scores!G3508</f>
        <v>TikTok</v>
      </c>
      <c r="H3508" s="29">
        <f>Absolute_Scores!I3508</f>
        <v>43</v>
      </c>
      <c r="I3508" s="30">
        <f t="shared" si="85"/>
        <v>53.75</v>
      </c>
    </row>
    <row r="3509" spans="6:9">
      <c r="F3509" s="12" t="str">
        <f>Absolute_Scores!F3509</f>
        <v>@justmiselhere</v>
      </c>
      <c r="G3509" s="12" t="str">
        <f>Absolute_Scores!G3509</f>
        <v>TikTok</v>
      </c>
      <c r="H3509" s="29">
        <f>Absolute_Scores!I3509</f>
        <v>43</v>
      </c>
      <c r="I3509" s="30">
        <f t="shared" si="85"/>
        <v>53.75</v>
      </c>
    </row>
    <row r="3510" spans="6:9">
      <c r="F3510" s="12" t="str">
        <f>Absolute_Scores!F3510</f>
        <v>@karinabilla_</v>
      </c>
      <c r="G3510" s="12" t="str">
        <f>Absolute_Scores!G3510</f>
        <v>TikTok</v>
      </c>
      <c r="H3510" s="29">
        <f>Absolute_Scores!I3510</f>
        <v>43</v>
      </c>
      <c r="I3510" s="30">
        <f t="shared" si="85"/>
        <v>53.75</v>
      </c>
    </row>
    <row r="3511" spans="6:9">
      <c r="F3511" s="12" t="str">
        <f>Absolute_Scores!F3511</f>
        <v>@kevinjulio_a</v>
      </c>
      <c r="G3511" s="12" t="str">
        <f>Absolute_Scores!G3511</f>
        <v>Instagram</v>
      </c>
      <c r="H3511" s="29">
        <f>Absolute_Scores!I3511</f>
        <v>43</v>
      </c>
      <c r="I3511" s="30">
        <f t="shared" si="85"/>
        <v>53.75</v>
      </c>
    </row>
    <row r="3512" spans="6:9">
      <c r="F3512" s="12" t="str">
        <f>Absolute_Scores!F3512</f>
        <v>@lienda.moshi</v>
      </c>
      <c r="G3512" s="12" t="str">
        <f>Absolute_Scores!G3512</f>
        <v>TikTok</v>
      </c>
      <c r="H3512" s="29">
        <f>Absolute_Scores!I3512</f>
        <v>43</v>
      </c>
      <c r="I3512" s="30">
        <f t="shared" si="85"/>
        <v>53.75</v>
      </c>
    </row>
    <row r="3513" spans="6:9">
      <c r="F3513" s="12" t="str">
        <f>Absolute_Scores!F3513</f>
        <v>@linov.alif</v>
      </c>
      <c r="G3513" s="12" t="str">
        <f>Absolute_Scores!G3513</f>
        <v>TikTok</v>
      </c>
      <c r="H3513" s="29">
        <f>Absolute_Scores!I3513</f>
        <v>43</v>
      </c>
      <c r="I3513" s="30">
        <f t="shared" si="85"/>
        <v>53.75</v>
      </c>
    </row>
    <row r="3514" spans="6:9">
      <c r="F3514" s="12" t="str">
        <f>Absolute_Scores!F3514</f>
        <v>@luhrahayuu_</v>
      </c>
      <c r="G3514" s="12" t="str">
        <f>Absolute_Scores!G3514</f>
        <v>Instagram</v>
      </c>
      <c r="H3514" s="29">
        <f>Absolute_Scores!I3514</f>
        <v>43</v>
      </c>
      <c r="I3514" s="30">
        <f t="shared" si="85"/>
        <v>53.75</v>
      </c>
    </row>
    <row r="3515" spans="6:9">
      <c r="F3515" s="12" t="str">
        <f>Absolute_Scores!F3515</f>
        <v>@lylypad</v>
      </c>
      <c r="G3515" s="12" t="str">
        <f>Absolute_Scores!G3515</f>
        <v>TikTok</v>
      </c>
      <c r="H3515" s="29">
        <f>Absolute_Scores!I3515</f>
        <v>43</v>
      </c>
      <c r="I3515" s="30">
        <f t="shared" si="85"/>
        <v>53.75</v>
      </c>
    </row>
    <row r="3516" spans="6:9">
      <c r="F3516" s="12" t="str">
        <f>Absolute_Scores!F3516</f>
        <v>@marciangel20</v>
      </c>
      <c r="G3516" s="12" t="str">
        <f>Absolute_Scores!G3516</f>
        <v>Instagram</v>
      </c>
      <c r="H3516" s="29">
        <f>Absolute_Scores!I3516</f>
        <v>43</v>
      </c>
      <c r="I3516" s="30">
        <f t="shared" si="85"/>
        <v>53.75</v>
      </c>
    </row>
    <row r="3517" spans="6:9">
      <c r="F3517" s="12" t="str">
        <f>Absolute_Scores!F3517</f>
        <v>@marfanu26</v>
      </c>
      <c r="G3517" s="12" t="str">
        <f>Absolute_Scores!G3517</f>
        <v>Instagram</v>
      </c>
      <c r="H3517" s="29">
        <f>Absolute_Scores!I3517</f>
        <v>43</v>
      </c>
      <c r="I3517" s="30">
        <f t="shared" si="85"/>
        <v>53.75</v>
      </c>
    </row>
    <row r="3518" spans="6:9">
      <c r="F3518" s="12" t="str">
        <f>Absolute_Scores!F3518</f>
        <v>@marisaahapsari</v>
      </c>
      <c r="G3518" s="12" t="str">
        <f>Absolute_Scores!G3518</f>
        <v>Instagram</v>
      </c>
      <c r="H3518" s="29">
        <f>Absolute_Scores!I3518</f>
        <v>43</v>
      </c>
      <c r="I3518" s="30">
        <f t="shared" si="85"/>
        <v>53.75</v>
      </c>
    </row>
    <row r="3519" spans="6:9">
      <c r="F3519" s="12" t="str">
        <f>Absolute_Scores!F3519</f>
        <v>@maulana.alzukhri_</v>
      </c>
      <c r="G3519" s="12" t="str">
        <f>Absolute_Scores!G3519</f>
        <v>Instagram</v>
      </c>
      <c r="H3519" s="29">
        <f>Absolute_Scores!I3519</f>
        <v>43</v>
      </c>
      <c r="I3519" s="30">
        <f t="shared" si="85"/>
        <v>53.75</v>
      </c>
    </row>
    <row r="3520" spans="6:9">
      <c r="F3520" s="12" t="str">
        <f>Absolute_Scores!F3520</f>
        <v>@maya_permatasari76</v>
      </c>
      <c r="G3520" s="12" t="str">
        <f>Absolute_Scores!G3520</f>
        <v>Instagram</v>
      </c>
      <c r="H3520" s="29">
        <f>Absolute_Scores!I3520</f>
        <v>43</v>
      </c>
      <c r="I3520" s="30">
        <f t="shared" si="85"/>
        <v>53.75</v>
      </c>
    </row>
    <row r="3521" spans="6:9">
      <c r="F3521" s="12" t="str">
        <f>Absolute_Scores!F3521</f>
        <v>@mel_josh_claire</v>
      </c>
      <c r="G3521" s="12" t="str">
        <f>Absolute_Scores!G3521</f>
        <v>Instagram</v>
      </c>
      <c r="H3521" s="29">
        <f>Absolute_Scores!I3521</f>
        <v>43</v>
      </c>
      <c r="I3521" s="30">
        <f t="shared" si="85"/>
        <v>53.75</v>
      </c>
    </row>
    <row r="3522" spans="6:9">
      <c r="F3522" s="12" t="str">
        <f>Absolute_Scores!F3522</f>
        <v>@mkarenam</v>
      </c>
      <c r="G3522" s="12" t="str">
        <f>Absolute_Scores!G3522</f>
        <v>TikTok</v>
      </c>
      <c r="H3522" s="29">
        <f>Absolute_Scores!I3522</f>
        <v>43</v>
      </c>
      <c r="I3522" s="30">
        <f t="shared" si="85"/>
        <v>53.75</v>
      </c>
    </row>
    <row r="3523" spans="6:9">
      <c r="F3523" s="12" t="str">
        <f>Absolute_Scores!F3523</f>
        <v>@mrs.deviana</v>
      </c>
      <c r="G3523" s="12" t="str">
        <f>Absolute_Scores!G3523</f>
        <v>TikTok</v>
      </c>
      <c r="H3523" s="29">
        <f>Absolute_Scores!I3523</f>
        <v>43</v>
      </c>
      <c r="I3523" s="30">
        <f t="shared" si="85"/>
        <v>53.75</v>
      </c>
    </row>
    <row r="3524" spans="6:9">
      <c r="F3524" s="12" t="str">
        <f>Absolute_Scores!F3524</f>
        <v>@mutiarahazle</v>
      </c>
      <c r="G3524" s="12" t="str">
        <f>Absolute_Scores!G3524</f>
        <v>TikTok</v>
      </c>
      <c r="H3524" s="29">
        <f>Absolute_Scores!I3524</f>
        <v>43</v>
      </c>
      <c r="I3524" s="30">
        <f t="shared" si="85"/>
        <v>53.75</v>
      </c>
    </row>
    <row r="3525" spans="6:9">
      <c r="F3525" s="12" t="str">
        <f>Absolute_Scores!F3525</f>
        <v>@mybaby9995</v>
      </c>
      <c r="G3525" s="12" t="str">
        <f>Absolute_Scores!G3525</f>
        <v>TikTok</v>
      </c>
      <c r="H3525" s="29">
        <f>Absolute_Scores!I3525</f>
        <v>43</v>
      </c>
      <c r="I3525" s="30">
        <f t="shared" si="85"/>
        <v>53.75</v>
      </c>
    </row>
    <row r="3526" spans="6:9">
      <c r="F3526" s="12" t="str">
        <f>Absolute_Scores!F3526</f>
        <v>@nabilaaprikarnin</v>
      </c>
      <c r="G3526" s="12" t="str">
        <f>Absolute_Scores!G3526</f>
        <v>Instagram</v>
      </c>
      <c r="H3526" s="29">
        <f>Absolute_Scores!I3526</f>
        <v>43</v>
      </c>
      <c r="I3526" s="30">
        <f t="shared" ref="I3526:I3589" si="86">ROUND(H3526/$I$4*100,2)</f>
        <v>53.75</v>
      </c>
    </row>
    <row r="3527" spans="6:9">
      <c r="F3527" s="12" t="str">
        <f>Absolute_Scores!F3527</f>
        <v>@nancyagita</v>
      </c>
      <c r="G3527" s="12" t="str">
        <f>Absolute_Scores!G3527</f>
        <v>Instagram</v>
      </c>
      <c r="H3527" s="29">
        <f>Absolute_Scores!I3527</f>
        <v>43</v>
      </c>
      <c r="I3527" s="30">
        <f t="shared" si="86"/>
        <v>53.75</v>
      </c>
    </row>
    <row r="3528" spans="6:9">
      <c r="F3528" s="12" t="str">
        <f>Absolute_Scores!F3528</f>
        <v>@nathaniaraynelle</v>
      </c>
      <c r="G3528" s="12" t="str">
        <f>Absolute_Scores!G3528</f>
        <v>Instagram</v>
      </c>
      <c r="H3528" s="29">
        <f>Absolute_Scores!I3528</f>
        <v>43</v>
      </c>
      <c r="I3528" s="30">
        <f t="shared" si="86"/>
        <v>53.75</v>
      </c>
    </row>
    <row r="3529" spans="6:9">
      <c r="F3529" s="12" t="str">
        <f>Absolute_Scores!F3529</f>
        <v>@neng.rismart</v>
      </c>
      <c r="G3529" s="12" t="str">
        <f>Absolute_Scores!G3529</f>
        <v>TikTok</v>
      </c>
      <c r="H3529" s="29">
        <f>Absolute_Scores!I3529</f>
        <v>43</v>
      </c>
      <c r="I3529" s="30">
        <f t="shared" si="86"/>
        <v>53.75</v>
      </c>
    </row>
    <row r="3530" spans="6:9">
      <c r="F3530" s="12" t="str">
        <f>Absolute_Scores!F3530</f>
        <v>@niccole__</v>
      </c>
      <c r="G3530" s="12" t="str">
        <f>Absolute_Scores!G3530</f>
        <v>TikTok</v>
      </c>
      <c r="H3530" s="29">
        <f>Absolute_Scores!I3530</f>
        <v>43</v>
      </c>
      <c r="I3530" s="30">
        <f t="shared" si="86"/>
        <v>53.75</v>
      </c>
    </row>
    <row r="3531" spans="6:9">
      <c r="F3531" s="12" t="str">
        <f>Absolute_Scores!F3531</f>
        <v>@niluhekaad</v>
      </c>
      <c r="G3531" s="12" t="str">
        <f>Absolute_Scores!G3531</f>
        <v>Instagram</v>
      </c>
      <c r="H3531" s="29">
        <f>Absolute_Scores!I3531</f>
        <v>43</v>
      </c>
      <c r="I3531" s="30">
        <f t="shared" si="86"/>
        <v>53.75</v>
      </c>
    </row>
    <row r="3532" spans="6:9">
      <c r="F3532" s="12" t="str">
        <f>Absolute_Scores!F3532</f>
        <v>@olaitsemmy</v>
      </c>
      <c r="G3532" s="12" t="str">
        <f>Absolute_Scores!G3532</f>
        <v>Instagram</v>
      </c>
      <c r="H3532" s="29">
        <f>Absolute_Scores!I3532</f>
        <v>43</v>
      </c>
      <c r="I3532" s="30">
        <f t="shared" si="86"/>
        <v>53.75</v>
      </c>
    </row>
    <row r="3533" spans="6:9">
      <c r="F3533" s="12" t="str">
        <f>Absolute_Scores!F3533</f>
        <v>@oreomilk24</v>
      </c>
      <c r="G3533" s="12" t="str">
        <f>Absolute_Scores!G3533</f>
        <v>TikTok</v>
      </c>
      <c r="H3533" s="29">
        <f>Absolute_Scores!I3533</f>
        <v>43</v>
      </c>
      <c r="I3533" s="30">
        <f t="shared" si="86"/>
        <v>53.75</v>
      </c>
    </row>
    <row r="3534" spans="6:9">
      <c r="F3534" s="12" t="str">
        <f>Absolute_Scores!F3534</f>
        <v>@parligita</v>
      </c>
      <c r="G3534" s="12" t="str">
        <f>Absolute_Scores!G3534</f>
        <v>TikTok</v>
      </c>
      <c r="H3534" s="29">
        <f>Absolute_Scores!I3534</f>
        <v>43</v>
      </c>
      <c r="I3534" s="30">
        <f t="shared" si="86"/>
        <v>53.75</v>
      </c>
    </row>
    <row r="3535" spans="6:9">
      <c r="F3535" s="12" t="str">
        <f>Absolute_Scores!F3535</f>
        <v>@pipirmnov_</v>
      </c>
      <c r="G3535" s="12" t="str">
        <f>Absolute_Scores!G3535</f>
        <v>TikTok</v>
      </c>
      <c r="H3535" s="29">
        <f>Absolute_Scores!I3535</f>
        <v>43</v>
      </c>
      <c r="I3535" s="30">
        <f t="shared" si="86"/>
        <v>53.75</v>
      </c>
    </row>
    <row r="3536" spans="6:9">
      <c r="F3536" s="12" t="str">
        <f>Absolute_Scores!F3536</f>
        <v>@pirrrrrrnandul</v>
      </c>
      <c r="G3536" s="12" t="str">
        <f>Absolute_Scores!G3536</f>
        <v>TikTok</v>
      </c>
      <c r="H3536" s="29">
        <f>Absolute_Scores!I3536</f>
        <v>43</v>
      </c>
      <c r="I3536" s="30">
        <f t="shared" si="86"/>
        <v>53.75</v>
      </c>
    </row>
    <row r="3537" spans="6:9">
      <c r="F3537" s="12" t="str">
        <f>Absolute_Scores!F3537</f>
        <v>@popy_indri23</v>
      </c>
      <c r="G3537" s="12" t="str">
        <f>Absolute_Scores!G3537</f>
        <v>Instagram</v>
      </c>
      <c r="H3537" s="29">
        <f>Absolute_Scores!I3537</f>
        <v>43</v>
      </c>
      <c r="I3537" s="30">
        <f t="shared" si="86"/>
        <v>53.75</v>
      </c>
    </row>
    <row r="3538" spans="6:9">
      <c r="F3538" s="12" t="str">
        <f>Absolute_Scores!F3538</f>
        <v>@prillistyy</v>
      </c>
      <c r="G3538" s="12" t="str">
        <f>Absolute_Scores!G3538</f>
        <v>Instagram</v>
      </c>
      <c r="H3538" s="29">
        <f>Absolute_Scores!I3538</f>
        <v>43</v>
      </c>
      <c r="I3538" s="30">
        <f t="shared" si="86"/>
        <v>53.75</v>
      </c>
    </row>
    <row r="3539" spans="6:9">
      <c r="F3539" s="12" t="str">
        <f>Absolute_Scores!F3539</f>
        <v>@puputmitha_</v>
      </c>
      <c r="G3539" s="12" t="str">
        <f>Absolute_Scores!G3539</f>
        <v>Instagram</v>
      </c>
      <c r="H3539" s="29">
        <f>Absolute_Scores!I3539</f>
        <v>43</v>
      </c>
      <c r="I3539" s="30">
        <f t="shared" si="86"/>
        <v>53.75</v>
      </c>
    </row>
    <row r="3540" spans="6:9">
      <c r="F3540" s="12" t="str">
        <f>Absolute_Scores!F3540</f>
        <v>@puti.aibige</v>
      </c>
      <c r="G3540" s="12" t="str">
        <f>Absolute_Scores!G3540</f>
        <v>Instagram</v>
      </c>
      <c r="H3540" s="29">
        <f>Absolute_Scores!I3540</f>
        <v>43</v>
      </c>
      <c r="I3540" s="30">
        <f t="shared" si="86"/>
        <v>53.75</v>
      </c>
    </row>
    <row r="3541" spans="6:9">
      <c r="F3541" s="12" t="str">
        <f>Absolute_Scores!F3541</f>
        <v>@putriikalumata</v>
      </c>
      <c r="G3541" s="12" t="str">
        <f>Absolute_Scores!G3541</f>
        <v>TikTok</v>
      </c>
      <c r="H3541" s="29">
        <f>Absolute_Scores!I3541</f>
        <v>43</v>
      </c>
      <c r="I3541" s="30">
        <f t="shared" si="86"/>
        <v>53.75</v>
      </c>
    </row>
    <row r="3542" spans="6:9">
      <c r="F3542" s="12" t="str">
        <f>Absolute_Scores!F3542</f>
        <v>@putripujiastti</v>
      </c>
      <c r="G3542" s="12" t="str">
        <f>Absolute_Scores!G3542</f>
        <v>Instagram</v>
      </c>
      <c r="H3542" s="29">
        <f>Absolute_Scores!I3542</f>
        <v>43</v>
      </c>
      <c r="I3542" s="30">
        <f t="shared" si="86"/>
        <v>53.75</v>
      </c>
    </row>
    <row r="3543" spans="6:9">
      <c r="F3543" s="12" t="str">
        <f>Absolute_Scores!F3543</f>
        <v>@putrisarah17</v>
      </c>
      <c r="G3543" s="12" t="str">
        <f>Absolute_Scores!G3543</f>
        <v>Instagram</v>
      </c>
      <c r="H3543" s="29">
        <f>Absolute_Scores!I3543</f>
        <v>43</v>
      </c>
      <c r="I3543" s="30">
        <f t="shared" si="86"/>
        <v>53.75</v>
      </c>
    </row>
    <row r="3544" spans="6:9">
      <c r="F3544" s="12" t="str">
        <f>Absolute_Scores!F3544</f>
        <v>@queenaya22</v>
      </c>
      <c r="G3544" s="12" t="str">
        <f>Absolute_Scores!G3544</f>
        <v>Instagram</v>
      </c>
      <c r="H3544" s="29">
        <f>Absolute_Scores!I3544</f>
        <v>43</v>
      </c>
      <c r="I3544" s="30">
        <f t="shared" si="86"/>
        <v>53.75</v>
      </c>
    </row>
    <row r="3545" spans="6:9">
      <c r="F3545" s="12" t="str">
        <f>Absolute_Scores!F3545</f>
        <v>@ranireaction</v>
      </c>
      <c r="G3545" s="12" t="str">
        <f>Absolute_Scores!G3545</f>
        <v>TikTok</v>
      </c>
      <c r="H3545" s="29">
        <f>Absolute_Scores!I3545</f>
        <v>43</v>
      </c>
      <c r="I3545" s="30">
        <f t="shared" si="86"/>
        <v>53.75</v>
      </c>
    </row>
    <row r="3546" spans="6:9">
      <c r="F3546" s="12" t="str">
        <f>Absolute_Scores!F3546</f>
        <v>@ratnaadewihariadi</v>
      </c>
      <c r="G3546" s="12" t="str">
        <f>Absolute_Scores!G3546</f>
        <v>Instagram</v>
      </c>
      <c r="H3546" s="29">
        <f>Absolute_Scores!I3546</f>
        <v>43</v>
      </c>
      <c r="I3546" s="30">
        <f t="shared" si="86"/>
        <v>53.75</v>
      </c>
    </row>
    <row r="3547" spans="6:9">
      <c r="F3547" s="12" t="str">
        <f>Absolute_Scores!F3547</f>
        <v>@redvelvettlate</v>
      </c>
      <c r="G3547" s="12" t="str">
        <f>Absolute_Scores!G3547</f>
        <v>TikTok</v>
      </c>
      <c r="H3547" s="29">
        <f>Absolute_Scores!I3547</f>
        <v>43</v>
      </c>
      <c r="I3547" s="30">
        <f t="shared" si="86"/>
        <v>53.75</v>
      </c>
    </row>
    <row r="3548" spans="6:9">
      <c r="F3548" s="12" t="str">
        <f>Absolute_Scores!F3548</f>
        <v>@refinatrianii</v>
      </c>
      <c r="G3548" s="12" t="str">
        <f>Absolute_Scores!G3548</f>
        <v>Instagram</v>
      </c>
      <c r="H3548" s="29">
        <f>Absolute_Scores!I3548</f>
        <v>43</v>
      </c>
      <c r="I3548" s="30">
        <f t="shared" si="86"/>
        <v>53.75</v>
      </c>
    </row>
    <row r="3549" spans="6:9">
      <c r="F3549" s="12" t="str">
        <f>Absolute_Scores!F3549</f>
        <v>@renal1995</v>
      </c>
      <c r="G3549" s="12" t="str">
        <f>Absolute_Scores!G3549</f>
        <v>Instagram</v>
      </c>
      <c r="H3549" s="29">
        <f>Absolute_Scores!I3549</f>
        <v>43</v>
      </c>
      <c r="I3549" s="30">
        <f t="shared" si="86"/>
        <v>53.75</v>
      </c>
    </row>
    <row r="3550" spans="6:9">
      <c r="F3550" s="12" t="str">
        <f>Absolute_Scores!F3550</f>
        <v>@rezasptr17_</v>
      </c>
      <c r="G3550" s="12" t="str">
        <f>Absolute_Scores!G3550</f>
        <v>Instagram</v>
      </c>
      <c r="H3550" s="29">
        <f>Absolute_Scores!I3550</f>
        <v>43</v>
      </c>
      <c r="I3550" s="30">
        <f t="shared" si="86"/>
        <v>53.75</v>
      </c>
    </row>
    <row r="3551" spans="6:9">
      <c r="F3551" s="12" t="str">
        <f>Absolute_Scores!F3551</f>
        <v>@rfqhriya_</v>
      </c>
      <c r="G3551" s="12" t="str">
        <f>Absolute_Scores!G3551</f>
        <v>TikTok</v>
      </c>
      <c r="H3551" s="29">
        <f>Absolute_Scores!I3551</f>
        <v>43</v>
      </c>
      <c r="I3551" s="30">
        <f t="shared" si="86"/>
        <v>53.75</v>
      </c>
    </row>
    <row r="3552" spans="6:9">
      <c r="F3552" s="12" t="str">
        <f>Absolute_Scores!F3552</f>
        <v>@rohim_arkhan_elfahrie</v>
      </c>
      <c r="G3552" s="12" t="str">
        <f>Absolute_Scores!G3552</f>
        <v>TikTok</v>
      </c>
      <c r="H3552" s="29">
        <f>Absolute_Scores!I3552</f>
        <v>43</v>
      </c>
      <c r="I3552" s="30">
        <f t="shared" si="86"/>
        <v>53.75</v>
      </c>
    </row>
    <row r="3553" spans="6:9">
      <c r="F3553" s="12" t="str">
        <f>Absolute_Scores!F3553</f>
        <v>@rra_xyzz</v>
      </c>
      <c r="G3553" s="12" t="str">
        <f>Absolute_Scores!G3553</f>
        <v>TikTok</v>
      </c>
      <c r="H3553" s="29">
        <f>Absolute_Scores!I3553</f>
        <v>43</v>
      </c>
      <c r="I3553" s="30">
        <f t="shared" si="86"/>
        <v>53.75</v>
      </c>
    </row>
    <row r="3554" spans="6:9">
      <c r="F3554" s="12" t="str">
        <f>Absolute_Scores!F3554</f>
        <v>@salmasfyn</v>
      </c>
      <c r="G3554" s="12" t="str">
        <f>Absolute_Scores!G3554</f>
        <v>Instagram</v>
      </c>
      <c r="H3554" s="29">
        <f>Absolute_Scores!I3554</f>
        <v>43</v>
      </c>
      <c r="I3554" s="30">
        <f t="shared" si="86"/>
        <v>53.75</v>
      </c>
    </row>
    <row r="3555" spans="6:9">
      <c r="F3555" s="12" t="str">
        <f>Absolute_Scores!F3555</f>
        <v>@salsa.vb</v>
      </c>
      <c r="G3555" s="12" t="str">
        <f>Absolute_Scores!G3555</f>
        <v>Instagram</v>
      </c>
      <c r="H3555" s="29">
        <f>Absolute_Scores!I3555</f>
        <v>43</v>
      </c>
      <c r="I3555" s="30">
        <f t="shared" si="86"/>
        <v>53.75</v>
      </c>
    </row>
    <row r="3556" spans="6:9">
      <c r="F3556" s="12" t="str">
        <f>Absolute_Scores!F3556</f>
        <v>@salsavinandita</v>
      </c>
      <c r="G3556" s="12" t="str">
        <f>Absolute_Scores!G3556</f>
        <v>Instagram</v>
      </c>
      <c r="H3556" s="29">
        <f>Absolute_Scores!I3556</f>
        <v>43</v>
      </c>
      <c r="I3556" s="30">
        <f t="shared" si="86"/>
        <v>53.75</v>
      </c>
    </row>
    <row r="3557" spans="6:9">
      <c r="F3557" s="12" t="str">
        <f>Absolute_Scores!F3557</f>
        <v>@sangbulanr</v>
      </c>
      <c r="G3557" s="12" t="str">
        <f>Absolute_Scores!G3557</f>
        <v>TikTok</v>
      </c>
      <c r="H3557" s="29">
        <f>Absolute_Scores!I3557</f>
        <v>43</v>
      </c>
      <c r="I3557" s="30">
        <f t="shared" si="86"/>
        <v>53.75</v>
      </c>
    </row>
    <row r="3558" spans="6:9">
      <c r="F3558" s="12" t="str">
        <f>Absolute_Scores!F3558</f>
        <v>@sarahh.zu</v>
      </c>
      <c r="G3558" s="12" t="str">
        <f>Absolute_Scores!G3558</f>
        <v>Instagram</v>
      </c>
      <c r="H3558" s="29">
        <f>Absolute_Scores!I3558</f>
        <v>43</v>
      </c>
      <c r="I3558" s="30">
        <f t="shared" si="86"/>
        <v>53.75</v>
      </c>
    </row>
    <row r="3559" spans="6:9">
      <c r="F3559" s="12" t="str">
        <f>Absolute_Scores!F3559</f>
        <v>@sasyashena</v>
      </c>
      <c r="G3559" s="12" t="str">
        <f>Absolute_Scores!G3559</f>
        <v>Instagram</v>
      </c>
      <c r="H3559" s="29">
        <f>Absolute_Scores!I3559</f>
        <v>43</v>
      </c>
      <c r="I3559" s="30">
        <f t="shared" si="86"/>
        <v>53.75</v>
      </c>
    </row>
    <row r="3560" spans="6:9">
      <c r="F3560" s="12" t="str">
        <f>Absolute_Scores!F3560</f>
        <v>@scoopofgoodness</v>
      </c>
      <c r="G3560" s="12" t="str">
        <f>Absolute_Scores!G3560</f>
        <v>Instagram</v>
      </c>
      <c r="H3560" s="29">
        <f>Absolute_Scores!I3560</f>
        <v>43</v>
      </c>
      <c r="I3560" s="30">
        <f t="shared" si="86"/>
        <v>53.75</v>
      </c>
    </row>
    <row r="3561" spans="6:9">
      <c r="F3561" s="12" t="str">
        <f>Absolute_Scores!F3561</f>
        <v>@sena_cahya_</v>
      </c>
      <c r="G3561" s="12" t="str">
        <f>Absolute_Scores!G3561</f>
        <v>Instagram</v>
      </c>
      <c r="H3561" s="29">
        <f>Absolute_Scores!I3561</f>
        <v>43</v>
      </c>
      <c r="I3561" s="30">
        <f t="shared" si="86"/>
        <v>53.75</v>
      </c>
    </row>
    <row r="3562" spans="6:9">
      <c r="F3562" s="12" t="str">
        <f>Absolute_Scores!F3562</f>
        <v>@senandn19</v>
      </c>
      <c r="G3562" s="12" t="str">
        <f>Absolute_Scores!G3562</f>
        <v>Instagram</v>
      </c>
      <c r="H3562" s="29">
        <f>Absolute_Scores!I3562</f>
        <v>43</v>
      </c>
      <c r="I3562" s="30">
        <f t="shared" si="86"/>
        <v>53.75</v>
      </c>
    </row>
    <row r="3563" spans="6:9">
      <c r="F3563" s="12" t="str">
        <f>Absolute_Scores!F3563</f>
        <v>@septibeneran</v>
      </c>
      <c r="G3563" s="12" t="str">
        <f>Absolute_Scores!G3563</f>
        <v>TikTok</v>
      </c>
      <c r="H3563" s="29">
        <f>Absolute_Scores!I3563</f>
        <v>43</v>
      </c>
      <c r="I3563" s="30">
        <f t="shared" si="86"/>
        <v>53.75</v>
      </c>
    </row>
    <row r="3564" spans="6:9">
      <c r="F3564" s="12" t="str">
        <f>Absolute_Scores!F3564</f>
        <v>@sgabrielaaimee_</v>
      </c>
      <c r="G3564" s="12" t="str">
        <f>Absolute_Scores!G3564</f>
        <v>TikTok</v>
      </c>
      <c r="H3564" s="29">
        <f>Absolute_Scores!I3564</f>
        <v>43</v>
      </c>
      <c r="I3564" s="30">
        <f t="shared" si="86"/>
        <v>53.75</v>
      </c>
    </row>
    <row r="3565" spans="6:9">
      <c r="F3565" s="12" t="str">
        <f>Absolute_Scores!F3565</f>
        <v>@sghinagm</v>
      </c>
      <c r="G3565" s="12" t="str">
        <f>Absolute_Scores!G3565</f>
        <v>TikTok</v>
      </c>
      <c r="H3565" s="29">
        <f>Absolute_Scores!I3565</f>
        <v>43</v>
      </c>
      <c r="I3565" s="30">
        <f t="shared" si="86"/>
        <v>53.75</v>
      </c>
    </row>
    <row r="3566" spans="6:9">
      <c r="F3566" s="12" t="str">
        <f>Absolute_Scores!F3566</f>
        <v>@silvia_fani</v>
      </c>
      <c r="G3566" s="12" t="str">
        <f>Absolute_Scores!G3566</f>
        <v>TikTok</v>
      </c>
      <c r="H3566" s="29">
        <f>Absolute_Scores!I3566</f>
        <v>43</v>
      </c>
      <c r="I3566" s="30">
        <f t="shared" si="86"/>
        <v>53.75</v>
      </c>
    </row>
    <row r="3567" spans="6:9">
      <c r="F3567" s="12" t="str">
        <f>Absolute_Scores!F3567</f>
        <v>@sophia_latjuba88</v>
      </c>
      <c r="G3567" s="12" t="str">
        <f>Absolute_Scores!G3567</f>
        <v>Instagram</v>
      </c>
      <c r="H3567" s="29">
        <f>Absolute_Scores!I3567</f>
        <v>43</v>
      </c>
      <c r="I3567" s="30">
        <f t="shared" si="86"/>
        <v>53.75</v>
      </c>
    </row>
    <row r="3568" spans="6:9">
      <c r="F3568" s="12" t="str">
        <f>Absolute_Scores!F3568</f>
        <v>@squishycheeksss</v>
      </c>
      <c r="G3568" s="12" t="str">
        <f>Absolute_Scores!G3568</f>
        <v>TikTok</v>
      </c>
      <c r="H3568" s="29">
        <f>Absolute_Scores!I3568</f>
        <v>43</v>
      </c>
      <c r="I3568" s="30">
        <f t="shared" si="86"/>
        <v>53.75</v>
      </c>
    </row>
    <row r="3569" spans="6:9">
      <c r="F3569" s="12" t="str">
        <f>Absolute_Scores!F3569</f>
        <v>@steveowen.j.k</v>
      </c>
      <c r="G3569" s="12" t="str">
        <f>Absolute_Scores!G3569</f>
        <v>Instagram</v>
      </c>
      <c r="H3569" s="29">
        <f>Absolute_Scores!I3569</f>
        <v>43</v>
      </c>
      <c r="I3569" s="30">
        <f t="shared" si="86"/>
        <v>53.75</v>
      </c>
    </row>
    <row r="3570" spans="6:9">
      <c r="F3570" s="12" t="str">
        <f>Absolute_Scores!F3570</f>
        <v>@stkhadijah99_</v>
      </c>
      <c r="G3570" s="12" t="str">
        <f>Absolute_Scores!G3570</f>
        <v>Instagram</v>
      </c>
      <c r="H3570" s="29">
        <f>Absolute_Scores!I3570</f>
        <v>43</v>
      </c>
      <c r="I3570" s="30">
        <f t="shared" si="86"/>
        <v>53.75</v>
      </c>
    </row>
    <row r="3571" spans="6:9">
      <c r="F3571" s="12" t="str">
        <f>Absolute_Scores!F3571</f>
        <v>@strawberrymint17</v>
      </c>
      <c r="G3571" s="12" t="str">
        <f>Absolute_Scores!G3571</f>
        <v>TikTok</v>
      </c>
      <c r="H3571" s="29">
        <f>Absolute_Scores!I3571</f>
        <v>43</v>
      </c>
      <c r="I3571" s="30">
        <f t="shared" si="86"/>
        <v>53.75</v>
      </c>
    </row>
    <row r="3572" spans="6:9">
      <c r="F3572" s="12" t="str">
        <f>Absolute_Scores!F3572</f>
        <v>@suciwhn</v>
      </c>
      <c r="G3572" s="12" t="str">
        <f>Absolute_Scores!G3572</f>
        <v>Instagram</v>
      </c>
      <c r="H3572" s="29">
        <f>Absolute_Scores!I3572</f>
        <v>43</v>
      </c>
      <c r="I3572" s="30">
        <f t="shared" si="86"/>
        <v>53.75</v>
      </c>
    </row>
    <row r="3573" spans="6:9">
      <c r="F3573" s="12" t="str">
        <f>Absolute_Scores!F3573</f>
        <v>@sukmabayusetiawan</v>
      </c>
      <c r="G3573" s="12" t="str">
        <f>Absolute_Scores!G3573</f>
        <v>Instagram</v>
      </c>
      <c r="H3573" s="29">
        <f>Absolute_Scores!I3573</f>
        <v>43</v>
      </c>
      <c r="I3573" s="30">
        <f t="shared" si="86"/>
        <v>53.75</v>
      </c>
    </row>
    <row r="3574" spans="6:9">
      <c r="F3574" s="12" t="str">
        <f>Absolute_Scores!F3574</f>
        <v>@supingg_02</v>
      </c>
      <c r="G3574" s="12" t="str">
        <f>Absolute_Scores!G3574</f>
        <v>Instagram</v>
      </c>
      <c r="H3574" s="29">
        <f>Absolute_Scores!I3574</f>
        <v>43</v>
      </c>
      <c r="I3574" s="30">
        <f t="shared" si="86"/>
        <v>53.75</v>
      </c>
    </row>
    <row r="3575" spans="6:9">
      <c r="F3575" s="12" t="str">
        <f>Absolute_Scores!F3575</f>
        <v>@susisinta23</v>
      </c>
      <c r="G3575" s="12" t="str">
        <f>Absolute_Scores!G3575</f>
        <v>TikTok</v>
      </c>
      <c r="H3575" s="29">
        <f>Absolute_Scores!I3575</f>
        <v>43</v>
      </c>
      <c r="I3575" s="30">
        <f t="shared" si="86"/>
        <v>53.75</v>
      </c>
    </row>
    <row r="3576" spans="6:9">
      <c r="F3576" s="12" t="str">
        <f>Absolute_Scores!F3576</f>
        <v>@syafrilia</v>
      </c>
      <c r="G3576" s="12" t="str">
        <f>Absolute_Scores!G3576</f>
        <v>Instagram</v>
      </c>
      <c r="H3576" s="29">
        <f>Absolute_Scores!I3576</f>
        <v>43</v>
      </c>
      <c r="I3576" s="30">
        <f t="shared" si="86"/>
        <v>53.75</v>
      </c>
    </row>
    <row r="3577" spans="6:9">
      <c r="F3577" s="12" t="str">
        <f>Absolute_Scores!F3577</f>
        <v>@talithalase</v>
      </c>
      <c r="G3577" s="12" t="str">
        <f>Absolute_Scores!G3577</f>
        <v>TikTok</v>
      </c>
      <c r="H3577" s="29">
        <f>Absolute_Scores!I3577</f>
        <v>43</v>
      </c>
      <c r="I3577" s="30">
        <f t="shared" si="86"/>
        <v>53.75</v>
      </c>
    </row>
    <row r="3578" spans="6:9">
      <c r="F3578" s="12" t="str">
        <f>Absolute_Scores!F3578</f>
        <v>@tarinvt</v>
      </c>
      <c r="G3578" s="12" t="str">
        <f>Absolute_Scores!G3578</f>
        <v>Instagram</v>
      </c>
      <c r="H3578" s="29">
        <f>Absolute_Scores!I3578</f>
        <v>43</v>
      </c>
      <c r="I3578" s="30">
        <f t="shared" si="86"/>
        <v>53.75</v>
      </c>
    </row>
    <row r="3579" spans="6:9">
      <c r="F3579" s="12" t="str">
        <f>Absolute_Scores!F3579</f>
        <v>@thatsenjaa</v>
      </c>
      <c r="G3579" s="12" t="str">
        <f>Absolute_Scores!G3579</f>
        <v>TikTok</v>
      </c>
      <c r="H3579" s="29">
        <f>Absolute_Scores!I3579</f>
        <v>43</v>
      </c>
      <c r="I3579" s="30">
        <f t="shared" si="86"/>
        <v>53.75</v>
      </c>
    </row>
    <row r="3580" spans="6:9">
      <c r="F3580" s="12" t="str">
        <f>Absolute_Scores!F3580</f>
        <v>@tikarahayusarii</v>
      </c>
      <c r="G3580" s="12" t="str">
        <f>Absolute_Scores!G3580</f>
        <v>TikTok</v>
      </c>
      <c r="H3580" s="29">
        <f>Absolute_Scores!I3580</f>
        <v>43</v>
      </c>
      <c r="I3580" s="30">
        <f t="shared" si="86"/>
        <v>53.75</v>
      </c>
    </row>
    <row r="3581" spans="6:9">
      <c r="F3581" s="12" t="str">
        <f>Absolute_Scores!F3581</f>
        <v>@ty_nanda91</v>
      </c>
      <c r="G3581" s="12" t="str">
        <f>Absolute_Scores!G3581</f>
        <v>Instagram</v>
      </c>
      <c r="H3581" s="29">
        <f>Absolute_Scores!I3581</f>
        <v>43</v>
      </c>
      <c r="I3581" s="30">
        <f t="shared" si="86"/>
        <v>53.75</v>
      </c>
    </row>
    <row r="3582" spans="6:9">
      <c r="F3582" s="12" t="str">
        <f>Absolute_Scores!F3582</f>
        <v>@ubaneste</v>
      </c>
      <c r="G3582" s="12" t="str">
        <f>Absolute_Scores!G3582</f>
        <v>TikTok</v>
      </c>
      <c r="H3582" s="29">
        <f>Absolute_Scores!I3582</f>
        <v>43</v>
      </c>
      <c r="I3582" s="30">
        <f t="shared" si="86"/>
        <v>53.75</v>
      </c>
    </row>
    <row r="3583" spans="6:9">
      <c r="F3583" s="12" t="str">
        <f>Absolute_Scores!F3583</f>
        <v>@veronyca.ang</v>
      </c>
      <c r="G3583" s="12" t="str">
        <f>Absolute_Scores!G3583</f>
        <v>Instagram</v>
      </c>
      <c r="H3583" s="29">
        <f>Absolute_Scores!I3583</f>
        <v>43</v>
      </c>
      <c r="I3583" s="30">
        <f t="shared" si="86"/>
        <v>53.75</v>
      </c>
    </row>
    <row r="3584" spans="6:9">
      <c r="F3584" s="12" t="str">
        <f>Absolute_Scores!F3584</f>
        <v>@verrynangell</v>
      </c>
      <c r="G3584" s="12" t="str">
        <f>Absolute_Scores!G3584</f>
        <v>TikTok</v>
      </c>
      <c r="H3584" s="29">
        <f>Absolute_Scores!I3584</f>
        <v>43</v>
      </c>
      <c r="I3584" s="30">
        <f t="shared" si="86"/>
        <v>53.75</v>
      </c>
    </row>
    <row r="3585" spans="6:9">
      <c r="F3585" s="12" t="str">
        <f>Absolute_Scores!F3585</f>
        <v>@vinauliaa_</v>
      </c>
      <c r="G3585" s="12" t="str">
        <f>Absolute_Scores!G3585</f>
        <v>Instagram</v>
      </c>
      <c r="H3585" s="29">
        <f>Absolute_Scores!I3585</f>
        <v>43</v>
      </c>
      <c r="I3585" s="30">
        <f t="shared" si="86"/>
        <v>53.75</v>
      </c>
    </row>
    <row r="3586" spans="6:9">
      <c r="F3586" s="12" t="str">
        <f>Absolute_Scores!F3586</f>
        <v>@viviaje33</v>
      </c>
      <c r="G3586" s="12" t="str">
        <f>Absolute_Scores!G3586</f>
        <v>Instagram</v>
      </c>
      <c r="H3586" s="29">
        <f>Absolute_Scores!I3586</f>
        <v>43</v>
      </c>
      <c r="I3586" s="30">
        <f t="shared" si="86"/>
        <v>53.75</v>
      </c>
    </row>
    <row r="3587" spans="6:9">
      <c r="F3587" s="12" t="str">
        <f>Absolute_Scores!F3587</f>
        <v>@widya_luvy</v>
      </c>
      <c r="G3587" s="12" t="str">
        <f>Absolute_Scores!G3587</f>
        <v>TikTok</v>
      </c>
      <c r="H3587" s="29">
        <f>Absolute_Scores!I3587</f>
        <v>43</v>
      </c>
      <c r="I3587" s="30">
        <f t="shared" si="86"/>
        <v>53.75</v>
      </c>
    </row>
    <row r="3588" spans="6:9">
      <c r="F3588" s="12" t="str">
        <f>Absolute_Scores!F3588</f>
        <v>@wolly_ameera</v>
      </c>
      <c r="G3588" s="12" t="str">
        <f>Absolute_Scores!G3588</f>
        <v>Instagram</v>
      </c>
      <c r="H3588" s="29">
        <f>Absolute_Scores!I3588</f>
        <v>43</v>
      </c>
      <c r="I3588" s="30">
        <f t="shared" si="86"/>
        <v>53.75</v>
      </c>
    </row>
    <row r="3589" spans="6:9">
      <c r="F3589" s="12" t="str">
        <f>Absolute_Scores!F3589</f>
        <v>@xfy0z_</v>
      </c>
      <c r="G3589" s="12" t="str">
        <f>Absolute_Scores!G3589</f>
        <v>TikTok</v>
      </c>
      <c r="H3589" s="29">
        <f>Absolute_Scores!I3589</f>
        <v>43</v>
      </c>
      <c r="I3589" s="30">
        <f t="shared" si="86"/>
        <v>53.75</v>
      </c>
    </row>
    <row r="3590" spans="6:9">
      <c r="F3590" s="12" t="str">
        <f>Absolute_Scores!F3590</f>
        <v>@xxszans</v>
      </c>
      <c r="G3590" s="12" t="str">
        <f>Absolute_Scores!G3590</f>
        <v>TikTok</v>
      </c>
      <c r="H3590" s="29">
        <f>Absolute_Scores!I3590</f>
        <v>43</v>
      </c>
      <c r="I3590" s="30">
        <f t="shared" ref="I3590:I3653" si="87">ROUND(H3590/$I$4*100,2)</f>
        <v>53.75</v>
      </c>
    </row>
    <row r="3591" spans="6:9">
      <c r="F3591" s="12" t="str">
        <f>Absolute_Scores!F3591</f>
        <v>@xyzherdi</v>
      </c>
      <c r="G3591" s="12" t="str">
        <f>Absolute_Scores!G3591</f>
        <v>TikTok</v>
      </c>
      <c r="H3591" s="29">
        <f>Absolute_Scores!I3591</f>
        <v>43</v>
      </c>
      <c r="I3591" s="30">
        <f t="shared" si="87"/>
        <v>53.75</v>
      </c>
    </row>
    <row r="3592" spans="6:9">
      <c r="F3592" s="12" t="str">
        <f>Absolute_Scores!F3592</f>
        <v>@yenydap</v>
      </c>
      <c r="G3592" s="12" t="str">
        <f>Absolute_Scores!G3592</f>
        <v>Instagram</v>
      </c>
      <c r="H3592" s="29">
        <f>Absolute_Scores!I3592</f>
        <v>43</v>
      </c>
      <c r="I3592" s="30">
        <f t="shared" si="87"/>
        <v>53.75</v>
      </c>
    </row>
    <row r="3593" spans="6:9">
      <c r="F3593" s="12" t="str">
        <f>Absolute_Scores!F3593</f>
        <v>@yue_chan11</v>
      </c>
      <c r="G3593" s="12" t="str">
        <f>Absolute_Scores!G3593</f>
        <v>TikTok</v>
      </c>
      <c r="H3593" s="29">
        <f>Absolute_Scores!I3593</f>
        <v>43</v>
      </c>
      <c r="I3593" s="30">
        <f t="shared" si="87"/>
        <v>53.75</v>
      </c>
    </row>
    <row r="3594" spans="6:9">
      <c r="F3594" s="12" t="str">
        <f>Absolute_Scores!F3594</f>
        <v>@zielsnra</v>
      </c>
      <c r="G3594" s="12" t="str">
        <f>Absolute_Scores!G3594</f>
        <v>Instagram</v>
      </c>
      <c r="H3594" s="29">
        <f>Absolute_Scores!I3594</f>
        <v>43</v>
      </c>
      <c r="I3594" s="30">
        <f t="shared" si="87"/>
        <v>53.75</v>
      </c>
    </row>
    <row r="3595" spans="6:9">
      <c r="F3595" s="12" t="str">
        <f>Absolute_Scores!F3595</f>
        <v>@_deriell</v>
      </c>
      <c r="G3595" s="12" t="str">
        <f>Absolute_Scores!G3595</f>
        <v>TikTok</v>
      </c>
      <c r="H3595" s="29">
        <f>Absolute_Scores!I3595</f>
        <v>42</v>
      </c>
      <c r="I3595" s="30">
        <f t="shared" si="87"/>
        <v>52.5</v>
      </c>
    </row>
    <row r="3596" spans="6:9">
      <c r="F3596" s="12" t="str">
        <f>Absolute_Scores!F3596</f>
        <v>@_pravi</v>
      </c>
      <c r="G3596" s="12" t="str">
        <f>Absolute_Scores!G3596</f>
        <v>Instagram</v>
      </c>
      <c r="H3596" s="29">
        <f>Absolute_Scores!I3596</f>
        <v>42</v>
      </c>
      <c r="I3596" s="30">
        <f t="shared" si="87"/>
        <v>52.5</v>
      </c>
    </row>
    <row r="3597" spans="6:9">
      <c r="F3597" s="12" t="str">
        <f>Absolute_Scores!F3597</f>
        <v>@aamandazahra</v>
      </c>
      <c r="G3597" s="12" t="str">
        <f>Absolute_Scores!G3597</f>
        <v>Instagram</v>
      </c>
      <c r="H3597" s="29">
        <f>Absolute_Scores!I3597</f>
        <v>42</v>
      </c>
      <c r="I3597" s="30">
        <f t="shared" si="87"/>
        <v>52.5</v>
      </c>
    </row>
    <row r="3598" spans="6:9">
      <c r="F3598" s="12" t="str">
        <f>Absolute_Scores!F3598</f>
        <v>@abilsdv</v>
      </c>
      <c r="G3598" s="12" t="str">
        <f>Absolute_Scores!G3598</f>
        <v>TikTok</v>
      </c>
      <c r="H3598" s="29">
        <f>Absolute_Scores!I3598</f>
        <v>42</v>
      </c>
      <c r="I3598" s="30">
        <f t="shared" si="87"/>
        <v>52.5</v>
      </c>
    </row>
    <row r="3599" spans="6:9">
      <c r="F3599" s="12" t="str">
        <f>Absolute_Scores!F3599</f>
        <v>@adeliaazzahra97</v>
      </c>
      <c r="G3599" s="12" t="str">
        <f>Absolute_Scores!G3599</f>
        <v>TikTok</v>
      </c>
      <c r="H3599" s="29">
        <f>Absolute_Scores!I3599</f>
        <v>42</v>
      </c>
      <c r="I3599" s="30">
        <f t="shared" si="87"/>
        <v>52.5</v>
      </c>
    </row>
    <row r="3600" spans="6:9">
      <c r="F3600" s="12" t="str">
        <f>Absolute_Scores!F3600</f>
        <v>@adell.exe</v>
      </c>
      <c r="G3600" s="12" t="str">
        <f>Absolute_Scores!G3600</f>
        <v>TikTok</v>
      </c>
      <c r="H3600" s="29">
        <f>Absolute_Scores!I3600</f>
        <v>42</v>
      </c>
      <c r="I3600" s="30">
        <f t="shared" si="87"/>
        <v>52.5</v>
      </c>
    </row>
    <row r="3601" spans="6:9">
      <c r="F3601" s="12" t="str">
        <f>Absolute_Scores!F3601</f>
        <v>@aenefa</v>
      </c>
      <c r="G3601" s="12" t="str">
        <f>Absolute_Scores!G3601</f>
        <v>TikTok</v>
      </c>
      <c r="H3601" s="29">
        <f>Absolute_Scores!I3601</f>
        <v>42</v>
      </c>
      <c r="I3601" s="30">
        <f t="shared" si="87"/>
        <v>52.5</v>
      </c>
    </row>
    <row r="3602" spans="6:9">
      <c r="F3602" s="12" t="str">
        <f>Absolute_Scores!F3602</f>
        <v>@afinasalma</v>
      </c>
      <c r="G3602" s="12" t="str">
        <f>Absolute_Scores!G3602</f>
        <v>TikTok</v>
      </c>
      <c r="H3602" s="29">
        <f>Absolute_Scores!I3602</f>
        <v>42</v>
      </c>
      <c r="I3602" s="30">
        <f t="shared" si="87"/>
        <v>52.5</v>
      </c>
    </row>
    <row r="3603" spans="6:9">
      <c r="F3603" s="12" t="str">
        <f>Absolute_Scores!F3603</f>
        <v>@akusintiakuaci</v>
      </c>
      <c r="G3603" s="12" t="str">
        <f>Absolute_Scores!G3603</f>
        <v>TikTok</v>
      </c>
      <c r="H3603" s="29">
        <f>Absolute_Scores!I3603</f>
        <v>42</v>
      </c>
      <c r="I3603" s="30">
        <f t="shared" si="87"/>
        <v>52.5</v>
      </c>
    </row>
    <row r="3604" spans="6:9">
      <c r="F3604" s="12" t="str">
        <f>Absolute_Scores!F3604</f>
        <v>@alecyavebyy</v>
      </c>
      <c r="G3604" s="12" t="str">
        <f>Absolute_Scores!G3604</f>
        <v>Instagram</v>
      </c>
      <c r="H3604" s="29">
        <f>Absolute_Scores!I3604</f>
        <v>42</v>
      </c>
      <c r="I3604" s="30">
        <f t="shared" si="87"/>
        <v>52.5</v>
      </c>
    </row>
    <row r="3605" spans="6:9">
      <c r="F3605" s="12" t="str">
        <f>Absolute_Scores!F3605</f>
        <v>@alelococo</v>
      </c>
      <c r="G3605" s="12" t="str">
        <f>Absolute_Scores!G3605</f>
        <v>TikTok</v>
      </c>
      <c r="H3605" s="29">
        <f>Absolute_Scores!I3605</f>
        <v>42</v>
      </c>
      <c r="I3605" s="30">
        <f t="shared" si="87"/>
        <v>52.5</v>
      </c>
    </row>
    <row r="3606" spans="6:9">
      <c r="F3606" s="12" t="str">
        <f>Absolute_Scores!F3606</f>
        <v>@alex_effendhy</v>
      </c>
      <c r="G3606" s="12" t="str">
        <f>Absolute_Scores!G3606</f>
        <v>TikTok</v>
      </c>
      <c r="H3606" s="29">
        <f>Absolute_Scores!I3606</f>
        <v>42</v>
      </c>
      <c r="I3606" s="30">
        <f t="shared" si="87"/>
        <v>52.5</v>
      </c>
    </row>
    <row r="3607" spans="6:9">
      <c r="F3607" s="12" t="str">
        <f>Absolute_Scores!F3607</f>
        <v>@alfinpanduu</v>
      </c>
      <c r="G3607" s="12" t="str">
        <f>Absolute_Scores!G3607</f>
        <v>Instagram</v>
      </c>
      <c r="H3607" s="29">
        <f>Absolute_Scores!I3607</f>
        <v>42</v>
      </c>
      <c r="I3607" s="30">
        <f t="shared" si="87"/>
        <v>52.5</v>
      </c>
    </row>
    <row r="3608" spans="6:9">
      <c r="F3608" s="12" t="str">
        <f>Absolute_Scores!F3608</f>
        <v>@amandatrst</v>
      </c>
      <c r="G3608" s="12" t="str">
        <f>Absolute_Scores!G3608</f>
        <v>Instagram</v>
      </c>
      <c r="H3608" s="29">
        <f>Absolute_Scores!I3608</f>
        <v>42</v>
      </c>
      <c r="I3608" s="30">
        <f t="shared" si="87"/>
        <v>52.5</v>
      </c>
    </row>
    <row r="3609" spans="6:9">
      <c r="F3609" s="12" t="str">
        <f>Absolute_Scores!F3609</f>
        <v>@amelsal_</v>
      </c>
      <c r="G3609" s="12" t="str">
        <f>Absolute_Scores!G3609</f>
        <v>Instagram</v>
      </c>
      <c r="H3609" s="29">
        <f>Absolute_Scores!I3609</f>
        <v>42</v>
      </c>
      <c r="I3609" s="30">
        <f t="shared" si="87"/>
        <v>52.5</v>
      </c>
    </row>
    <row r="3610" spans="6:9">
      <c r="F3610" s="12" t="str">
        <f>Absolute_Scores!F3610</f>
        <v>@anakmamah0403_</v>
      </c>
      <c r="G3610" s="12" t="str">
        <f>Absolute_Scores!G3610</f>
        <v>TikTok</v>
      </c>
      <c r="H3610" s="29">
        <f>Absolute_Scores!I3610</f>
        <v>42</v>
      </c>
      <c r="I3610" s="30">
        <f t="shared" si="87"/>
        <v>52.5</v>
      </c>
    </row>
    <row r="3611" spans="6:9">
      <c r="F3611" s="12" t="str">
        <f>Absolute_Scores!F3611</f>
        <v>@andrewgiovannii</v>
      </c>
      <c r="G3611" s="12" t="str">
        <f>Absolute_Scores!G3611</f>
        <v>TikTok</v>
      </c>
      <c r="H3611" s="29">
        <f>Absolute_Scores!I3611</f>
        <v>42</v>
      </c>
      <c r="I3611" s="30">
        <f t="shared" si="87"/>
        <v>52.5</v>
      </c>
    </row>
    <row r="3612" spans="6:9">
      <c r="F3612" s="12" t="str">
        <f>Absolute_Scores!F3612</f>
        <v>@aneyuliastuti17</v>
      </c>
      <c r="G3612" s="12" t="str">
        <f>Absolute_Scores!G3612</f>
        <v>TikTok</v>
      </c>
      <c r="H3612" s="29">
        <f>Absolute_Scores!I3612</f>
        <v>42</v>
      </c>
      <c r="I3612" s="30">
        <f t="shared" si="87"/>
        <v>52.5</v>
      </c>
    </row>
    <row r="3613" spans="6:9">
      <c r="F3613" s="12" t="str">
        <f>Absolute_Scores!F3613</f>
        <v>@angelineafandi</v>
      </c>
      <c r="G3613" s="12" t="str">
        <f>Absolute_Scores!G3613</f>
        <v>TikTok</v>
      </c>
      <c r="H3613" s="29">
        <f>Absolute_Scores!I3613</f>
        <v>42</v>
      </c>
      <c r="I3613" s="30">
        <f t="shared" si="87"/>
        <v>52.5</v>
      </c>
    </row>
    <row r="3614" spans="6:9">
      <c r="F3614" s="12" t="str">
        <f>Absolute_Scores!F3614</f>
        <v>@anggeldia86</v>
      </c>
      <c r="G3614" s="12" t="str">
        <f>Absolute_Scores!G3614</f>
        <v>TikTok</v>
      </c>
      <c r="H3614" s="29">
        <f>Absolute_Scores!I3614</f>
        <v>42</v>
      </c>
      <c r="I3614" s="30">
        <f t="shared" si="87"/>
        <v>52.5</v>
      </c>
    </row>
    <row r="3615" spans="6:9">
      <c r="F3615" s="12" t="str">
        <f>Absolute_Scores!F3615</f>
        <v>@anggiriana</v>
      </c>
      <c r="G3615" s="12" t="str">
        <f>Absolute_Scores!G3615</f>
        <v>Instagram</v>
      </c>
      <c r="H3615" s="29">
        <f>Absolute_Scores!I3615</f>
        <v>42</v>
      </c>
      <c r="I3615" s="30">
        <f t="shared" si="87"/>
        <v>52.5</v>
      </c>
    </row>
    <row r="3616" spans="6:9">
      <c r="F3616" s="12" t="str">
        <f>Absolute_Scores!F3616</f>
        <v>@anisasetiawan_</v>
      </c>
      <c r="G3616" s="12" t="str">
        <f>Absolute_Scores!G3616</f>
        <v>TikTok</v>
      </c>
      <c r="H3616" s="29">
        <f>Absolute_Scores!I3616</f>
        <v>42</v>
      </c>
      <c r="I3616" s="30">
        <f t="shared" si="87"/>
        <v>52.5</v>
      </c>
    </row>
    <row r="3617" spans="6:9">
      <c r="F3617" s="12" t="str">
        <f>Absolute_Scores!F3617</f>
        <v>@annisaasharudin</v>
      </c>
      <c r="G3617" s="12" t="str">
        <f>Absolute_Scores!G3617</f>
        <v>Instagram</v>
      </c>
      <c r="H3617" s="29">
        <f>Absolute_Scores!I3617</f>
        <v>42</v>
      </c>
      <c r="I3617" s="30">
        <f t="shared" si="87"/>
        <v>52.5</v>
      </c>
    </row>
    <row r="3618" spans="6:9">
      <c r="F3618" s="12" t="str">
        <f>Absolute_Scores!F3618</f>
        <v>@ardiansyahgoli_</v>
      </c>
      <c r="G3618" s="12" t="str">
        <f>Absolute_Scores!G3618</f>
        <v>TikTok</v>
      </c>
      <c r="H3618" s="29">
        <f>Absolute_Scores!I3618</f>
        <v>42</v>
      </c>
      <c r="I3618" s="30">
        <f t="shared" si="87"/>
        <v>52.5</v>
      </c>
    </row>
    <row r="3619" spans="6:9">
      <c r="F3619" s="12" t="str">
        <f>Absolute_Scores!F3619</f>
        <v>@arianirosidi</v>
      </c>
      <c r="G3619" s="12" t="str">
        <f>Absolute_Scores!G3619</f>
        <v>Instagram</v>
      </c>
      <c r="H3619" s="29">
        <f>Absolute_Scores!I3619</f>
        <v>42</v>
      </c>
      <c r="I3619" s="30">
        <f t="shared" si="87"/>
        <v>52.5</v>
      </c>
    </row>
    <row r="3620" spans="6:9">
      <c r="F3620" s="12" t="str">
        <f>Absolute_Scores!F3620</f>
        <v>@arminarachma</v>
      </c>
      <c r="G3620" s="12" t="str">
        <f>Absolute_Scores!G3620</f>
        <v>TikTok</v>
      </c>
      <c r="H3620" s="29">
        <f>Absolute_Scores!I3620</f>
        <v>42</v>
      </c>
      <c r="I3620" s="30">
        <f t="shared" si="87"/>
        <v>52.5</v>
      </c>
    </row>
    <row r="3621" spans="6:9">
      <c r="F3621" s="12" t="str">
        <f>Absolute_Scores!F3621</f>
        <v>@asakecil</v>
      </c>
      <c r="G3621" s="12" t="str">
        <f>Absolute_Scores!G3621</f>
        <v>Instagram</v>
      </c>
      <c r="H3621" s="29">
        <f>Absolute_Scores!I3621</f>
        <v>42</v>
      </c>
      <c r="I3621" s="30">
        <f t="shared" si="87"/>
        <v>52.5</v>
      </c>
    </row>
    <row r="3622" spans="6:9">
      <c r="F3622" s="12" t="str">
        <f>Absolute_Scores!F3622</f>
        <v>@astaririri</v>
      </c>
      <c r="G3622" s="12" t="str">
        <f>Absolute_Scores!G3622</f>
        <v>Instagram</v>
      </c>
      <c r="H3622" s="29">
        <f>Absolute_Scores!I3622</f>
        <v>42</v>
      </c>
      <c r="I3622" s="30">
        <f t="shared" si="87"/>
        <v>52.5</v>
      </c>
    </row>
    <row r="3623" spans="6:9">
      <c r="F3623" s="12" t="str">
        <f>Absolute_Scores!F3623</f>
        <v>@atharalikhwan</v>
      </c>
      <c r="G3623" s="12" t="str">
        <f>Absolute_Scores!G3623</f>
        <v>TikTok</v>
      </c>
      <c r="H3623" s="29">
        <f>Absolute_Scores!I3623</f>
        <v>42</v>
      </c>
      <c r="I3623" s="30">
        <f t="shared" si="87"/>
        <v>52.5</v>
      </c>
    </row>
    <row r="3624" spans="6:9">
      <c r="F3624" s="12" t="str">
        <f>Absolute_Scores!F3624</f>
        <v>@aurandm</v>
      </c>
      <c r="G3624" s="12" t="str">
        <f>Absolute_Scores!G3624</f>
        <v>Instagram</v>
      </c>
      <c r="H3624" s="29">
        <f>Absolute_Scores!I3624</f>
        <v>42</v>
      </c>
      <c r="I3624" s="30">
        <f t="shared" si="87"/>
        <v>52.5</v>
      </c>
    </row>
    <row r="3625" spans="6:9">
      <c r="F3625" s="12" t="str">
        <f>Absolute_Scores!F3625</f>
        <v>@aurelanakrumahan</v>
      </c>
      <c r="G3625" s="12" t="str">
        <f>Absolute_Scores!G3625</f>
        <v>TikTok</v>
      </c>
      <c r="H3625" s="29">
        <f>Absolute_Scores!I3625</f>
        <v>42</v>
      </c>
      <c r="I3625" s="30">
        <f t="shared" si="87"/>
        <v>52.5</v>
      </c>
    </row>
    <row r="3626" spans="6:9">
      <c r="F3626" s="12" t="str">
        <f>Absolute_Scores!F3626</f>
        <v>@ayulstrni</v>
      </c>
      <c r="G3626" s="12" t="str">
        <f>Absolute_Scores!G3626</f>
        <v>Instagram</v>
      </c>
      <c r="H3626" s="29">
        <f>Absolute_Scores!I3626</f>
        <v>42</v>
      </c>
      <c r="I3626" s="30">
        <f t="shared" si="87"/>
        <v>52.5</v>
      </c>
    </row>
    <row r="3627" spans="6:9">
      <c r="F3627" s="12" t="str">
        <f>Absolute_Scores!F3627</f>
        <v>@ayuwulandri12</v>
      </c>
      <c r="G3627" s="12" t="str">
        <f>Absolute_Scores!G3627</f>
        <v>TikTok</v>
      </c>
      <c r="H3627" s="29">
        <f>Absolute_Scores!I3627</f>
        <v>42</v>
      </c>
      <c r="I3627" s="30">
        <f t="shared" si="87"/>
        <v>52.5</v>
      </c>
    </row>
    <row r="3628" spans="6:9">
      <c r="F3628" s="12" t="str">
        <f>Absolute_Scores!F3628</f>
        <v>@baitusskh</v>
      </c>
      <c r="G3628" s="12" t="str">
        <f>Absolute_Scores!G3628</f>
        <v>TikTok</v>
      </c>
      <c r="H3628" s="29">
        <f>Absolute_Scores!I3628</f>
        <v>42</v>
      </c>
      <c r="I3628" s="30">
        <f t="shared" si="87"/>
        <v>52.5</v>
      </c>
    </row>
    <row r="3629" spans="6:9">
      <c r="F3629" s="12" t="str">
        <f>Absolute_Scores!F3629</f>
        <v>@balqislonnie</v>
      </c>
      <c r="G3629" s="12" t="str">
        <f>Absolute_Scores!G3629</f>
        <v>Instagram</v>
      </c>
      <c r="H3629" s="29">
        <f>Absolute_Scores!I3629</f>
        <v>42</v>
      </c>
      <c r="I3629" s="30">
        <f t="shared" si="87"/>
        <v>52.5</v>
      </c>
    </row>
    <row r="3630" spans="6:9">
      <c r="F3630" s="12" t="str">
        <f>Absolute_Scores!F3630</f>
        <v>@bananalace</v>
      </c>
      <c r="G3630" s="12" t="str">
        <f>Absolute_Scores!G3630</f>
        <v>Instagram</v>
      </c>
      <c r="H3630" s="29">
        <f>Absolute_Scores!I3630</f>
        <v>42</v>
      </c>
      <c r="I3630" s="30">
        <f t="shared" si="87"/>
        <v>52.5</v>
      </c>
    </row>
    <row r="3631" spans="6:9">
      <c r="F3631" s="12" t="str">
        <f>Absolute_Scores!F3631</f>
        <v>@bebelhz</v>
      </c>
      <c r="G3631" s="12" t="str">
        <f>Absolute_Scores!G3631</f>
        <v>Instagram</v>
      </c>
      <c r="H3631" s="29">
        <f>Absolute_Scores!I3631</f>
        <v>42</v>
      </c>
      <c r="I3631" s="30">
        <f t="shared" si="87"/>
        <v>52.5</v>
      </c>
    </row>
    <row r="3632" spans="6:9">
      <c r="F3632" s="12" t="str">
        <f>Absolute_Scores!F3632</f>
        <v>@bebyydils</v>
      </c>
      <c r="G3632" s="12" t="str">
        <f>Absolute_Scores!G3632</f>
        <v>Instagram</v>
      </c>
      <c r="H3632" s="29">
        <f>Absolute_Scores!I3632</f>
        <v>42</v>
      </c>
      <c r="I3632" s="30">
        <f t="shared" si="87"/>
        <v>52.5</v>
      </c>
    </row>
    <row r="3633" spans="6:9">
      <c r="F3633" s="12" t="str">
        <f>Absolute_Scores!F3633</f>
        <v>@camilapaulen</v>
      </c>
      <c r="G3633" s="12" t="str">
        <f>Absolute_Scores!G3633</f>
        <v>TikTok</v>
      </c>
      <c r="H3633" s="29">
        <f>Absolute_Scores!I3633</f>
        <v>42</v>
      </c>
      <c r="I3633" s="30">
        <f t="shared" si="87"/>
        <v>52.5</v>
      </c>
    </row>
    <row r="3634" spans="6:9">
      <c r="F3634" s="12" t="str">
        <f>Absolute_Scores!F3634</f>
        <v>@carerabella</v>
      </c>
      <c r="G3634" s="12" t="str">
        <f>Absolute_Scores!G3634</f>
        <v>Instagram</v>
      </c>
      <c r="H3634" s="29">
        <f>Absolute_Scores!I3634</f>
        <v>42</v>
      </c>
      <c r="I3634" s="30">
        <f t="shared" si="87"/>
        <v>52.5</v>
      </c>
    </row>
    <row r="3635" spans="6:9">
      <c r="F3635" s="12" t="str">
        <f>Absolute_Scores!F3635</f>
        <v>@celiceli_</v>
      </c>
      <c r="G3635" s="12" t="str">
        <f>Absolute_Scores!G3635</f>
        <v>Instagram</v>
      </c>
      <c r="H3635" s="29">
        <f>Absolute_Scores!I3635</f>
        <v>42</v>
      </c>
      <c r="I3635" s="30">
        <f t="shared" si="87"/>
        <v>52.5</v>
      </c>
    </row>
    <row r="3636" spans="6:9">
      <c r="F3636" s="12" t="str">
        <f>Absolute_Scores!F3636</f>
        <v>@ceyogrl</v>
      </c>
      <c r="G3636" s="12" t="str">
        <f>Absolute_Scores!G3636</f>
        <v>Instagram</v>
      </c>
      <c r="H3636" s="29">
        <f>Absolute_Scores!I3636</f>
        <v>42</v>
      </c>
      <c r="I3636" s="30">
        <f t="shared" si="87"/>
        <v>52.5</v>
      </c>
    </row>
    <row r="3637" spans="6:9">
      <c r="F3637" s="12" t="str">
        <f>Absolute_Scores!F3637</f>
        <v>@charisaafaith</v>
      </c>
      <c r="G3637" s="12" t="str">
        <f>Absolute_Scores!G3637</f>
        <v>Instagram</v>
      </c>
      <c r="H3637" s="29">
        <f>Absolute_Scores!I3637</f>
        <v>42</v>
      </c>
      <c r="I3637" s="30">
        <f t="shared" si="87"/>
        <v>52.5</v>
      </c>
    </row>
    <row r="3638" spans="6:9">
      <c r="F3638" s="12" t="str">
        <f>Absolute_Scores!F3638</f>
        <v>@ciciangelica5</v>
      </c>
      <c r="G3638" s="12" t="str">
        <f>Absolute_Scores!G3638</f>
        <v>Instagram</v>
      </c>
      <c r="H3638" s="29">
        <f>Absolute_Scores!I3638</f>
        <v>42</v>
      </c>
      <c r="I3638" s="30">
        <f t="shared" si="87"/>
        <v>52.5</v>
      </c>
    </row>
    <row r="3639" spans="6:9">
      <c r="F3639" s="12" t="str">
        <f>Absolute_Scores!F3639</f>
        <v>@clarissazli</v>
      </c>
      <c r="G3639" s="12" t="str">
        <f>Absolute_Scores!G3639</f>
        <v>Instagram</v>
      </c>
      <c r="H3639" s="29">
        <f>Absolute_Scores!I3639</f>
        <v>42</v>
      </c>
      <c r="I3639" s="30">
        <f t="shared" si="87"/>
        <v>52.5</v>
      </c>
    </row>
    <row r="3640" spans="6:9">
      <c r="F3640" s="12" t="str">
        <f>Absolute_Scores!F3640</f>
        <v>@claritafeifeiky</v>
      </c>
      <c r="G3640" s="12" t="str">
        <f>Absolute_Scores!G3640</f>
        <v>Instagram</v>
      </c>
      <c r="H3640" s="29">
        <f>Absolute_Scores!I3640</f>
        <v>42</v>
      </c>
      <c r="I3640" s="30">
        <f t="shared" si="87"/>
        <v>52.5</v>
      </c>
    </row>
    <row r="3641" spans="6:9">
      <c r="F3641" s="12" t="str">
        <f>Absolute_Scores!F3641</f>
        <v>@cucupajokowi</v>
      </c>
      <c r="G3641" s="12" t="str">
        <f>Absolute_Scores!G3641</f>
        <v>TikTok</v>
      </c>
      <c r="H3641" s="29">
        <f>Absolute_Scores!I3641</f>
        <v>42</v>
      </c>
      <c r="I3641" s="30">
        <f t="shared" si="87"/>
        <v>52.5</v>
      </c>
    </row>
    <row r="3642" spans="6:9">
      <c r="F3642" s="12" t="str">
        <f>Absolute_Scores!F3642</f>
        <v>@cynthiasrswt</v>
      </c>
      <c r="G3642" s="12" t="str">
        <f>Absolute_Scores!G3642</f>
        <v>Instagram</v>
      </c>
      <c r="H3642" s="29">
        <f>Absolute_Scores!I3642</f>
        <v>42</v>
      </c>
      <c r="I3642" s="30">
        <f t="shared" si="87"/>
        <v>52.5</v>
      </c>
    </row>
    <row r="3643" spans="6:9">
      <c r="F3643" s="12" t="str">
        <f>Absolute_Scores!F3643</f>
        <v>@dahliachr</v>
      </c>
      <c r="G3643" s="12" t="str">
        <f>Absolute_Scores!G3643</f>
        <v>Instagram</v>
      </c>
      <c r="H3643" s="29">
        <f>Absolute_Scores!I3643</f>
        <v>42</v>
      </c>
      <c r="I3643" s="30">
        <f t="shared" si="87"/>
        <v>52.5</v>
      </c>
    </row>
    <row r="3644" spans="6:9">
      <c r="F3644" s="12" t="str">
        <f>Absolute_Scores!F3644</f>
        <v>@darinassh</v>
      </c>
      <c r="G3644" s="12" t="str">
        <f>Absolute_Scores!G3644</f>
        <v>TikTok</v>
      </c>
      <c r="H3644" s="29">
        <f>Absolute_Scores!I3644</f>
        <v>42</v>
      </c>
      <c r="I3644" s="30">
        <f t="shared" si="87"/>
        <v>52.5</v>
      </c>
    </row>
    <row r="3645" spans="6:9">
      <c r="F3645" s="12" t="str">
        <f>Absolute_Scores!F3645</f>
        <v>@david_rizal</v>
      </c>
      <c r="G3645" s="12" t="str">
        <f>Absolute_Scores!G3645</f>
        <v>Instagram</v>
      </c>
      <c r="H3645" s="29">
        <f>Absolute_Scores!I3645</f>
        <v>42</v>
      </c>
      <c r="I3645" s="30">
        <f t="shared" si="87"/>
        <v>52.5</v>
      </c>
    </row>
    <row r="3646" spans="6:9">
      <c r="F3646" s="12" t="str">
        <f>Absolute_Scores!F3646</f>
        <v>@demarellementari</v>
      </c>
      <c r="G3646" s="12" t="str">
        <f>Absolute_Scores!G3646</f>
        <v>Instagram</v>
      </c>
      <c r="H3646" s="29">
        <f>Absolute_Scores!I3646</f>
        <v>42</v>
      </c>
      <c r="I3646" s="30">
        <f t="shared" si="87"/>
        <v>52.5</v>
      </c>
    </row>
    <row r="3647" spans="6:9">
      <c r="F3647" s="12" t="str">
        <f>Absolute_Scores!F3647</f>
        <v>@destaaaww</v>
      </c>
      <c r="G3647" s="12" t="str">
        <f>Absolute_Scores!G3647</f>
        <v>TikTok</v>
      </c>
      <c r="H3647" s="29">
        <f>Absolute_Scores!I3647</f>
        <v>42</v>
      </c>
      <c r="I3647" s="30">
        <f t="shared" si="87"/>
        <v>52.5</v>
      </c>
    </row>
    <row r="3648" spans="6:9">
      <c r="F3648" s="12" t="str">
        <f>Absolute_Scores!F3648</f>
        <v>@deviliviaa</v>
      </c>
      <c r="G3648" s="12" t="str">
        <f>Absolute_Scores!G3648</f>
        <v>TikTok</v>
      </c>
      <c r="H3648" s="29">
        <f>Absolute_Scores!I3648</f>
        <v>42</v>
      </c>
      <c r="I3648" s="30">
        <f t="shared" si="87"/>
        <v>52.5</v>
      </c>
    </row>
    <row r="3649" spans="6:9">
      <c r="F3649" s="12" t="str">
        <f>Absolute_Scores!F3649</f>
        <v>@devindaayu19</v>
      </c>
      <c r="G3649" s="12" t="str">
        <f>Absolute_Scores!G3649</f>
        <v>TikTok</v>
      </c>
      <c r="H3649" s="29">
        <f>Absolute_Scores!I3649</f>
        <v>42</v>
      </c>
      <c r="I3649" s="30">
        <f t="shared" si="87"/>
        <v>52.5</v>
      </c>
    </row>
    <row r="3650" spans="6:9">
      <c r="F3650" s="12" t="str">
        <f>Absolute_Scores!F3650</f>
        <v>@devitul99</v>
      </c>
      <c r="G3650" s="12" t="str">
        <f>Absolute_Scores!G3650</f>
        <v>Instagram</v>
      </c>
      <c r="H3650" s="29">
        <f>Absolute_Scores!I3650</f>
        <v>42</v>
      </c>
      <c r="I3650" s="30">
        <f t="shared" si="87"/>
        <v>52.5</v>
      </c>
    </row>
    <row r="3651" spans="6:9">
      <c r="F3651" s="12" t="str">
        <f>Absolute_Scores!F3651</f>
        <v>@deviwangg</v>
      </c>
      <c r="G3651" s="12" t="str">
        <f>Absolute_Scores!G3651</f>
        <v>TikTok</v>
      </c>
      <c r="H3651" s="29">
        <f>Absolute_Scores!I3651</f>
        <v>42</v>
      </c>
      <c r="I3651" s="30">
        <f t="shared" si="87"/>
        <v>52.5</v>
      </c>
    </row>
    <row r="3652" spans="6:9">
      <c r="F3652" s="12" t="str">
        <f>Absolute_Scores!F3652</f>
        <v>@dianalatifah</v>
      </c>
      <c r="G3652" s="12" t="str">
        <f>Absolute_Scores!G3652</f>
        <v>Instagram</v>
      </c>
      <c r="H3652" s="29">
        <f>Absolute_Scores!I3652</f>
        <v>42</v>
      </c>
      <c r="I3652" s="30">
        <f t="shared" si="87"/>
        <v>52.5</v>
      </c>
    </row>
    <row r="3653" spans="6:9">
      <c r="F3653" s="12" t="str">
        <f>Absolute_Scores!F3653</f>
        <v>@dilanadilaa_</v>
      </c>
      <c r="G3653" s="12" t="str">
        <f>Absolute_Scores!G3653</f>
        <v>Instagram</v>
      </c>
      <c r="H3653" s="29">
        <f>Absolute_Scores!I3653</f>
        <v>42</v>
      </c>
      <c r="I3653" s="30">
        <f t="shared" si="87"/>
        <v>52.5</v>
      </c>
    </row>
    <row r="3654" spans="6:9">
      <c r="F3654" s="12" t="str">
        <f>Absolute_Scores!F3654</f>
        <v>@dinihari20</v>
      </c>
      <c r="G3654" s="12" t="str">
        <f>Absolute_Scores!G3654</f>
        <v>TikTok</v>
      </c>
      <c r="H3654" s="29">
        <f>Absolute_Scores!I3654</f>
        <v>42</v>
      </c>
      <c r="I3654" s="30">
        <f t="shared" ref="I3654:I3717" si="88">ROUND(H3654/$I$4*100,2)</f>
        <v>52.5</v>
      </c>
    </row>
    <row r="3655" spans="6:9">
      <c r="F3655" s="12" t="str">
        <f>Absolute_Scores!F3655</f>
        <v>@diyooou_</v>
      </c>
      <c r="G3655" s="12" t="str">
        <f>Absolute_Scores!G3655</f>
        <v>TikTok</v>
      </c>
      <c r="H3655" s="29">
        <f>Absolute_Scores!I3655</f>
        <v>42</v>
      </c>
      <c r="I3655" s="30">
        <f t="shared" si="88"/>
        <v>52.5</v>
      </c>
    </row>
    <row r="3656" spans="6:9">
      <c r="F3656" s="12" t="str">
        <f>Absolute_Scores!F3656</f>
        <v>@dynaprl</v>
      </c>
      <c r="G3656" s="12" t="str">
        <f>Absolute_Scores!G3656</f>
        <v>Instagram</v>
      </c>
      <c r="H3656" s="29">
        <f>Absolute_Scores!I3656</f>
        <v>42</v>
      </c>
      <c r="I3656" s="30">
        <f t="shared" si="88"/>
        <v>52.5</v>
      </c>
    </row>
    <row r="3657" spans="6:9">
      <c r="F3657" s="12" t="str">
        <f>Absolute_Scores!F3657</f>
        <v>@dziyanabilaaa</v>
      </c>
      <c r="G3657" s="12" t="str">
        <f>Absolute_Scores!G3657</f>
        <v>TikTok</v>
      </c>
      <c r="H3657" s="29">
        <f>Absolute_Scores!I3657</f>
        <v>42</v>
      </c>
      <c r="I3657" s="30">
        <f t="shared" si="88"/>
        <v>52.5</v>
      </c>
    </row>
    <row r="3658" spans="6:9">
      <c r="F3658" s="12" t="str">
        <f>Absolute_Scores!F3658</f>
        <v>@elenaa20___</v>
      </c>
      <c r="G3658" s="12" t="str">
        <f>Absolute_Scores!G3658</f>
        <v>Instagram</v>
      </c>
      <c r="H3658" s="29">
        <f>Absolute_Scores!I3658</f>
        <v>42</v>
      </c>
      <c r="I3658" s="30">
        <f t="shared" si="88"/>
        <v>52.5</v>
      </c>
    </row>
    <row r="3659" spans="6:9">
      <c r="F3659" s="12" t="str">
        <f>Absolute_Scores!F3659</f>
        <v>@elvi_mahendra</v>
      </c>
      <c r="G3659" s="12" t="str">
        <f>Absolute_Scores!G3659</f>
        <v>TikTok</v>
      </c>
      <c r="H3659" s="29">
        <f>Absolute_Scores!I3659</f>
        <v>42</v>
      </c>
      <c r="I3659" s="30">
        <f t="shared" si="88"/>
        <v>52.5</v>
      </c>
    </row>
    <row r="3660" spans="6:9">
      <c r="F3660" s="12" t="str">
        <f>Absolute_Scores!F3660</f>
        <v>@etadesta21</v>
      </c>
      <c r="G3660" s="12" t="str">
        <f>Absolute_Scores!G3660</f>
        <v>TikTok</v>
      </c>
      <c r="H3660" s="29">
        <f>Absolute_Scores!I3660</f>
        <v>42</v>
      </c>
      <c r="I3660" s="30">
        <f t="shared" si="88"/>
        <v>52.5</v>
      </c>
    </row>
    <row r="3661" spans="6:9">
      <c r="F3661" s="12" t="str">
        <f>Absolute_Scores!F3661</f>
        <v>@evevlynn09</v>
      </c>
      <c r="G3661" s="12" t="str">
        <f>Absolute_Scores!G3661</f>
        <v>TikTok</v>
      </c>
      <c r="H3661" s="29">
        <f>Absolute_Scores!I3661</f>
        <v>42</v>
      </c>
      <c r="I3661" s="30">
        <f t="shared" si="88"/>
        <v>52.5</v>
      </c>
    </row>
    <row r="3662" spans="6:9">
      <c r="F3662" s="12" t="str">
        <f>Absolute_Scores!F3662</f>
        <v>@fajaredogawaa</v>
      </c>
      <c r="G3662" s="12" t="str">
        <f>Absolute_Scores!G3662</f>
        <v>TikTok</v>
      </c>
      <c r="H3662" s="29">
        <f>Absolute_Scores!I3662</f>
        <v>42</v>
      </c>
      <c r="I3662" s="30">
        <f t="shared" si="88"/>
        <v>52.5</v>
      </c>
    </row>
    <row r="3663" spans="6:9">
      <c r="F3663" s="12" t="str">
        <f>Absolute_Scores!F3663</f>
        <v>@fannyghassani</v>
      </c>
      <c r="G3663" s="12" t="str">
        <f>Absolute_Scores!G3663</f>
        <v>Instagram</v>
      </c>
      <c r="H3663" s="29">
        <f>Absolute_Scores!I3663</f>
        <v>42</v>
      </c>
      <c r="I3663" s="30">
        <f t="shared" si="88"/>
        <v>52.5</v>
      </c>
    </row>
    <row r="3664" spans="6:9">
      <c r="F3664" s="12" t="str">
        <f>Absolute_Scores!F3664</f>
        <v>@faqih.dh</v>
      </c>
      <c r="G3664" s="12" t="str">
        <f>Absolute_Scores!G3664</f>
        <v>Instagram</v>
      </c>
      <c r="H3664" s="29">
        <f>Absolute_Scores!I3664</f>
        <v>42</v>
      </c>
      <c r="I3664" s="30">
        <f t="shared" si="88"/>
        <v>52.5</v>
      </c>
    </row>
    <row r="3665" spans="6:9">
      <c r="F3665" s="12" t="str">
        <f>Absolute_Scores!F3665</f>
        <v>@fara.olivia</v>
      </c>
      <c r="G3665" s="12" t="str">
        <f>Absolute_Scores!G3665</f>
        <v>TikTok</v>
      </c>
      <c r="H3665" s="29">
        <f>Absolute_Scores!I3665</f>
        <v>42</v>
      </c>
      <c r="I3665" s="30">
        <f t="shared" si="88"/>
        <v>52.5</v>
      </c>
    </row>
    <row r="3666" spans="6:9">
      <c r="F3666" s="12" t="str">
        <f>Absolute_Scores!F3666</f>
        <v>@febbyfadilaa</v>
      </c>
      <c r="G3666" s="12" t="str">
        <f>Absolute_Scores!G3666</f>
        <v>Instagram</v>
      </c>
      <c r="H3666" s="29">
        <f>Absolute_Scores!I3666</f>
        <v>42</v>
      </c>
      <c r="I3666" s="30">
        <f t="shared" si="88"/>
        <v>52.5</v>
      </c>
    </row>
    <row r="3667" spans="6:9">
      <c r="F3667" s="12" t="str">
        <f>Absolute_Scores!F3667</f>
        <v>@febignwn</v>
      </c>
      <c r="G3667" s="12" t="str">
        <f>Absolute_Scores!G3667</f>
        <v>TikTok</v>
      </c>
      <c r="H3667" s="29">
        <f>Absolute_Scores!I3667</f>
        <v>42</v>
      </c>
      <c r="I3667" s="30">
        <f t="shared" si="88"/>
        <v>52.5</v>
      </c>
    </row>
    <row r="3668" spans="6:9">
      <c r="F3668" s="12" t="str">
        <f>Absolute_Scores!F3668</f>
        <v>@fen24__</v>
      </c>
      <c r="G3668" s="12" t="str">
        <f>Absolute_Scores!G3668</f>
        <v>TikTok</v>
      </c>
      <c r="H3668" s="29">
        <f>Absolute_Scores!I3668</f>
        <v>42</v>
      </c>
      <c r="I3668" s="30">
        <f t="shared" si="88"/>
        <v>52.5</v>
      </c>
    </row>
    <row r="3669" spans="6:9">
      <c r="F3669" s="12" t="str">
        <f>Absolute_Scores!F3669</f>
        <v>@ferryonggo</v>
      </c>
      <c r="G3669" s="12" t="str">
        <f>Absolute_Scores!G3669</f>
        <v>TikTok</v>
      </c>
      <c r="H3669" s="29">
        <f>Absolute_Scores!I3669</f>
        <v>42</v>
      </c>
      <c r="I3669" s="30">
        <f t="shared" si="88"/>
        <v>52.5</v>
      </c>
    </row>
    <row r="3670" spans="6:9">
      <c r="F3670" s="12" t="str">
        <f>Absolute_Scores!F3670</f>
        <v>@fickassss</v>
      </c>
      <c r="G3670" s="12" t="str">
        <f>Absolute_Scores!G3670</f>
        <v>TikTok</v>
      </c>
      <c r="H3670" s="29">
        <f>Absolute_Scores!I3670</f>
        <v>42</v>
      </c>
      <c r="I3670" s="30">
        <f t="shared" si="88"/>
        <v>52.5</v>
      </c>
    </row>
    <row r="3671" spans="6:9">
      <c r="F3671" s="12" t="str">
        <f>Absolute_Scores!F3671</f>
        <v>@fidyahaliza_</v>
      </c>
      <c r="G3671" s="12" t="str">
        <f>Absolute_Scores!G3671</f>
        <v>Instagram</v>
      </c>
      <c r="H3671" s="29">
        <f>Absolute_Scores!I3671</f>
        <v>42</v>
      </c>
      <c r="I3671" s="30">
        <f t="shared" si="88"/>
        <v>52.5</v>
      </c>
    </row>
    <row r="3672" spans="6:9">
      <c r="F3672" s="12" t="str">
        <f>Absolute_Scores!F3672</f>
        <v>@ftmknnt</v>
      </c>
      <c r="G3672" s="12" t="str">
        <f>Absolute_Scores!G3672</f>
        <v>Instagram</v>
      </c>
      <c r="H3672" s="29">
        <f>Absolute_Scores!I3672</f>
        <v>42</v>
      </c>
      <c r="I3672" s="30">
        <f t="shared" si="88"/>
        <v>52.5</v>
      </c>
    </row>
    <row r="3673" spans="6:9">
      <c r="F3673" s="12" t="str">
        <f>Absolute_Scores!F3673</f>
        <v>@gabriellaben_</v>
      </c>
      <c r="G3673" s="12" t="str">
        <f>Absolute_Scores!G3673</f>
        <v>Instagram</v>
      </c>
      <c r="H3673" s="29">
        <f>Absolute_Scores!I3673</f>
        <v>42</v>
      </c>
      <c r="I3673" s="30">
        <f t="shared" si="88"/>
        <v>52.5</v>
      </c>
    </row>
    <row r="3674" spans="6:9">
      <c r="F3674" s="12" t="str">
        <f>Absolute_Scores!F3674</f>
        <v>@ghimihunimida</v>
      </c>
      <c r="G3674" s="12" t="str">
        <f>Absolute_Scores!G3674</f>
        <v>TikTok</v>
      </c>
      <c r="H3674" s="29">
        <f>Absolute_Scores!I3674</f>
        <v>42</v>
      </c>
      <c r="I3674" s="30">
        <f t="shared" si="88"/>
        <v>52.5</v>
      </c>
    </row>
    <row r="3675" spans="6:9">
      <c r="F3675" s="12" t="str">
        <f>Absolute_Scores!F3675</f>
        <v>@giga_pramudika_putry</v>
      </c>
      <c r="G3675" s="12" t="str">
        <f>Absolute_Scores!G3675</f>
        <v>Instagram</v>
      </c>
      <c r="H3675" s="29">
        <f>Absolute_Scores!I3675</f>
        <v>42</v>
      </c>
      <c r="I3675" s="30">
        <f t="shared" si="88"/>
        <v>52.5</v>
      </c>
    </row>
    <row r="3676" spans="6:9">
      <c r="F3676" s="12" t="str">
        <f>Absolute_Scores!F3676</f>
        <v>@hafidz.ns</v>
      </c>
      <c r="G3676" s="12" t="str">
        <f>Absolute_Scores!G3676</f>
        <v>TikTok</v>
      </c>
      <c r="H3676" s="29">
        <f>Absolute_Scores!I3676</f>
        <v>42</v>
      </c>
      <c r="I3676" s="30">
        <f t="shared" si="88"/>
        <v>52.5</v>
      </c>
    </row>
    <row r="3677" spans="6:9">
      <c r="F3677" s="12" t="str">
        <f>Absolute_Scores!F3677</f>
        <v>@haikaladlin_</v>
      </c>
      <c r="G3677" s="12" t="str">
        <f>Absolute_Scores!G3677</f>
        <v>Instagram</v>
      </c>
      <c r="H3677" s="29">
        <f>Absolute_Scores!I3677</f>
        <v>42</v>
      </c>
      <c r="I3677" s="30">
        <f t="shared" si="88"/>
        <v>52.5</v>
      </c>
    </row>
    <row r="3678" spans="6:9">
      <c r="F3678" s="12" t="str">
        <f>Absolute_Scores!F3678</f>
        <v>@herlinasalsabila16</v>
      </c>
      <c r="G3678" s="12" t="str">
        <f>Absolute_Scores!G3678</f>
        <v>Instagram</v>
      </c>
      <c r="H3678" s="29">
        <f>Absolute_Scores!I3678</f>
        <v>42</v>
      </c>
      <c r="I3678" s="30">
        <f t="shared" si="88"/>
        <v>52.5</v>
      </c>
    </row>
    <row r="3679" spans="6:9">
      <c r="F3679" s="12" t="str">
        <f>Absolute_Scores!F3679</f>
        <v>@icha_silaban_92</v>
      </c>
      <c r="G3679" s="12" t="str">
        <f>Absolute_Scores!G3679</f>
        <v>TikTok</v>
      </c>
      <c r="H3679" s="29">
        <f>Absolute_Scores!I3679</f>
        <v>42</v>
      </c>
      <c r="I3679" s="30">
        <f t="shared" si="88"/>
        <v>52.5</v>
      </c>
    </row>
    <row r="3680" spans="6:9">
      <c r="F3680" s="12" t="str">
        <f>Absolute_Scores!F3680</f>
        <v>@iin_fdlh</v>
      </c>
      <c r="G3680" s="12" t="str">
        <f>Absolute_Scores!G3680</f>
        <v>TikTok</v>
      </c>
      <c r="H3680" s="29">
        <f>Absolute_Scores!I3680</f>
        <v>42</v>
      </c>
      <c r="I3680" s="30">
        <f t="shared" si="88"/>
        <v>52.5</v>
      </c>
    </row>
    <row r="3681" spans="6:9">
      <c r="F3681" s="12" t="str">
        <f>Absolute_Scores!F3681</f>
        <v>@ikenurha25</v>
      </c>
      <c r="G3681" s="12" t="str">
        <f>Absolute_Scores!G3681</f>
        <v>TikTok</v>
      </c>
      <c r="H3681" s="29">
        <f>Absolute_Scores!I3681</f>
        <v>42</v>
      </c>
      <c r="I3681" s="30">
        <f t="shared" si="88"/>
        <v>52.5</v>
      </c>
    </row>
    <row r="3682" spans="6:9">
      <c r="F3682" s="12" t="str">
        <f>Absolute_Scores!F3682</f>
        <v>@ilaamooy_</v>
      </c>
      <c r="G3682" s="12" t="str">
        <f>Absolute_Scores!G3682</f>
        <v>TikTok</v>
      </c>
      <c r="H3682" s="29">
        <f>Absolute_Scores!I3682</f>
        <v>42</v>
      </c>
      <c r="I3682" s="30">
        <f t="shared" si="88"/>
        <v>52.5</v>
      </c>
    </row>
    <row r="3683" spans="6:9">
      <c r="F3683" s="12" t="str">
        <f>Absolute_Scores!F3683</f>
        <v>@incesssha</v>
      </c>
      <c r="G3683" s="12" t="str">
        <f>Absolute_Scores!G3683</f>
        <v>TikTok</v>
      </c>
      <c r="H3683" s="29">
        <f>Absolute_Scores!I3683</f>
        <v>42</v>
      </c>
      <c r="I3683" s="30">
        <f t="shared" si="88"/>
        <v>52.5</v>
      </c>
    </row>
    <row r="3684" spans="6:9">
      <c r="F3684" s="12" t="str">
        <f>Absolute_Scores!F3684</f>
        <v>@inungw12</v>
      </c>
      <c r="G3684" s="12" t="str">
        <f>Absolute_Scores!G3684</f>
        <v>TikTok</v>
      </c>
      <c r="H3684" s="29">
        <f>Absolute_Scores!I3684</f>
        <v>42</v>
      </c>
      <c r="I3684" s="30">
        <f t="shared" si="88"/>
        <v>52.5</v>
      </c>
    </row>
    <row r="3685" spans="6:9">
      <c r="F3685" s="12" t="str">
        <f>Absolute_Scores!F3685</f>
        <v>@iwanbanaranblog</v>
      </c>
      <c r="G3685" s="12" t="str">
        <f>Absolute_Scores!G3685</f>
        <v>Instagram</v>
      </c>
      <c r="H3685" s="29">
        <f>Absolute_Scores!I3685</f>
        <v>42</v>
      </c>
      <c r="I3685" s="30">
        <f t="shared" si="88"/>
        <v>52.5</v>
      </c>
    </row>
    <row r="3686" spans="6:9">
      <c r="F3686" s="12" t="str">
        <f>Absolute_Scores!F3686</f>
        <v>@izumiyaa</v>
      </c>
      <c r="G3686" s="12" t="str">
        <f>Absolute_Scores!G3686</f>
        <v>TikTok</v>
      </c>
      <c r="H3686" s="29">
        <f>Absolute_Scores!I3686</f>
        <v>42</v>
      </c>
      <c r="I3686" s="30">
        <f t="shared" si="88"/>
        <v>52.5</v>
      </c>
    </row>
    <row r="3687" spans="6:9">
      <c r="F3687" s="12" t="str">
        <f>Absolute_Scores!F3687</f>
        <v>@jakartabarat24jam</v>
      </c>
      <c r="G3687" s="12" t="str">
        <f>Absolute_Scores!G3687</f>
        <v>Instagram</v>
      </c>
      <c r="H3687" s="29">
        <f>Absolute_Scores!I3687</f>
        <v>42</v>
      </c>
      <c r="I3687" s="30">
        <f t="shared" si="88"/>
        <v>52.5</v>
      </c>
    </row>
    <row r="3688" spans="6:9">
      <c r="F3688" s="12" t="str">
        <f>Absolute_Scores!F3688</f>
        <v>@jamesadam</v>
      </c>
      <c r="G3688" s="12" t="str">
        <f>Absolute_Scores!G3688</f>
        <v>TikTok</v>
      </c>
      <c r="H3688" s="29">
        <f>Absolute_Scores!I3688</f>
        <v>42</v>
      </c>
      <c r="I3688" s="30">
        <f t="shared" si="88"/>
        <v>52.5</v>
      </c>
    </row>
    <row r="3689" spans="6:9">
      <c r="F3689" s="12" t="str">
        <f>Absolute_Scores!F3689</f>
        <v>@jf.seeyah</v>
      </c>
      <c r="G3689" s="12" t="str">
        <f>Absolute_Scores!G3689</f>
        <v>Instagram</v>
      </c>
      <c r="H3689" s="29">
        <f>Absolute_Scores!I3689</f>
        <v>42</v>
      </c>
      <c r="I3689" s="30">
        <f t="shared" si="88"/>
        <v>52.5</v>
      </c>
    </row>
    <row r="3690" spans="6:9">
      <c r="F3690" s="12" t="str">
        <f>Absolute_Scores!F3690</f>
        <v>@jfanylie</v>
      </c>
      <c r="G3690" s="12" t="str">
        <f>Absolute_Scores!G3690</f>
        <v>TikTok</v>
      </c>
      <c r="H3690" s="29">
        <f>Absolute_Scores!I3690</f>
        <v>42</v>
      </c>
      <c r="I3690" s="30">
        <f t="shared" si="88"/>
        <v>52.5</v>
      </c>
    </row>
    <row r="3691" spans="6:9">
      <c r="F3691" s="12" t="str">
        <f>Absolute_Scores!F3691</f>
        <v>@jihanyusnita</v>
      </c>
      <c r="G3691" s="12" t="str">
        <f>Absolute_Scores!G3691</f>
        <v>Instagram</v>
      </c>
      <c r="H3691" s="29">
        <f>Absolute_Scores!I3691</f>
        <v>42</v>
      </c>
      <c r="I3691" s="30">
        <f t="shared" si="88"/>
        <v>52.5</v>
      </c>
    </row>
    <row r="3692" spans="6:9">
      <c r="F3692" s="12" t="str">
        <f>Absolute_Scores!F3692</f>
        <v>@jinggaaa13</v>
      </c>
      <c r="G3692" s="12" t="str">
        <f>Absolute_Scores!G3692</f>
        <v>TikTok</v>
      </c>
      <c r="H3692" s="29">
        <f>Absolute_Scores!I3692</f>
        <v>42</v>
      </c>
      <c r="I3692" s="30">
        <f t="shared" si="88"/>
        <v>52.5</v>
      </c>
    </row>
    <row r="3693" spans="6:9">
      <c r="F3693" s="12" t="str">
        <f>Absolute_Scores!F3693</f>
        <v>@jocelynscape</v>
      </c>
      <c r="G3693" s="12" t="str">
        <f>Absolute_Scores!G3693</f>
        <v>TikTok</v>
      </c>
      <c r="H3693" s="29">
        <f>Absolute_Scores!I3693</f>
        <v>42</v>
      </c>
      <c r="I3693" s="30">
        <f t="shared" si="88"/>
        <v>52.5</v>
      </c>
    </row>
    <row r="3694" spans="6:9">
      <c r="F3694" s="12" t="str">
        <f>Absolute_Scores!F3694</f>
        <v>@juniarayutl</v>
      </c>
      <c r="G3694" s="12" t="str">
        <f>Absolute_Scores!G3694</f>
        <v>Instagram</v>
      </c>
      <c r="H3694" s="29">
        <f>Absolute_Scores!I3694</f>
        <v>42</v>
      </c>
      <c r="I3694" s="30">
        <f t="shared" si="88"/>
        <v>52.5</v>
      </c>
    </row>
    <row r="3695" spans="6:9">
      <c r="F3695" s="12" t="str">
        <f>Absolute_Scores!F3695</f>
        <v>@kanazhra</v>
      </c>
      <c r="G3695" s="12" t="str">
        <f>Absolute_Scores!G3695</f>
        <v>Instagram</v>
      </c>
      <c r="H3695" s="29">
        <f>Absolute_Scores!I3695</f>
        <v>42</v>
      </c>
      <c r="I3695" s="30">
        <f t="shared" si="88"/>
        <v>52.5</v>
      </c>
    </row>
    <row r="3696" spans="6:9">
      <c r="F3696" s="12" t="str">
        <f>Absolute_Scores!F3696</f>
        <v>@kangfanboy</v>
      </c>
      <c r="G3696" s="12" t="str">
        <f>Absolute_Scores!G3696</f>
        <v>TikTok</v>
      </c>
      <c r="H3696" s="29">
        <f>Absolute_Scores!I3696</f>
        <v>42</v>
      </c>
      <c r="I3696" s="30">
        <f t="shared" si="88"/>
        <v>52.5</v>
      </c>
    </row>
    <row r="3697" spans="6:9">
      <c r="F3697" s="12" t="str">
        <f>Absolute_Scores!F3697</f>
        <v>@karada_id</v>
      </c>
      <c r="G3697" s="12" t="str">
        <f>Absolute_Scores!G3697</f>
        <v>Instagram</v>
      </c>
      <c r="H3697" s="29">
        <f>Absolute_Scores!I3697</f>
        <v>42</v>
      </c>
      <c r="I3697" s="30">
        <f t="shared" si="88"/>
        <v>52.5</v>
      </c>
    </row>
    <row r="3698" spans="6:9">
      <c r="F3698" s="12" t="str">
        <f>Absolute_Scores!F3698</f>
        <v>@karinadila8921</v>
      </c>
      <c r="G3698" s="12" t="str">
        <f>Absolute_Scores!G3698</f>
        <v>Instagram</v>
      </c>
      <c r="H3698" s="29">
        <f>Absolute_Scores!I3698</f>
        <v>42</v>
      </c>
      <c r="I3698" s="30">
        <f t="shared" si="88"/>
        <v>52.5</v>
      </c>
    </row>
    <row r="3699" spans="6:9">
      <c r="F3699" s="12" t="str">
        <f>Absolute_Scores!F3699</f>
        <v>@kdkoreanmask</v>
      </c>
      <c r="G3699" s="12" t="str">
        <f>Absolute_Scores!G3699</f>
        <v>TikTok</v>
      </c>
      <c r="H3699" s="29">
        <f>Absolute_Scores!I3699</f>
        <v>42</v>
      </c>
      <c r="I3699" s="30">
        <f t="shared" si="88"/>
        <v>52.5</v>
      </c>
    </row>
    <row r="3700" spans="6:9">
      <c r="F3700" s="12" t="str">
        <f>Absolute_Scores!F3700</f>
        <v>@kembarannyazara</v>
      </c>
      <c r="G3700" s="12" t="str">
        <f>Absolute_Scores!G3700</f>
        <v>TikTok</v>
      </c>
      <c r="H3700" s="29">
        <f>Absolute_Scores!I3700</f>
        <v>42</v>
      </c>
      <c r="I3700" s="30">
        <f t="shared" si="88"/>
        <v>52.5</v>
      </c>
    </row>
    <row r="3701" spans="6:9">
      <c r="F3701" s="12" t="str">
        <f>Absolute_Scores!F3701</f>
        <v>@kikysaputrii</v>
      </c>
      <c r="G3701" s="12" t="str">
        <f>Absolute_Scores!G3701</f>
        <v>Instagram</v>
      </c>
      <c r="H3701" s="29">
        <f>Absolute_Scores!I3701</f>
        <v>42</v>
      </c>
      <c r="I3701" s="30">
        <f t="shared" si="88"/>
        <v>52.5</v>
      </c>
    </row>
    <row r="3702" spans="6:9">
      <c r="F3702" s="12" t="str">
        <f>Absolute_Scores!F3702</f>
        <v>@kiyoe.shima</v>
      </c>
      <c r="G3702" s="12" t="str">
        <f>Absolute_Scores!G3702</f>
        <v>TikTok</v>
      </c>
      <c r="H3702" s="29">
        <f>Absolute_Scores!I3702</f>
        <v>42</v>
      </c>
      <c r="I3702" s="30">
        <f t="shared" si="88"/>
        <v>52.5</v>
      </c>
    </row>
    <row r="3703" spans="6:9">
      <c r="F3703" s="12" t="str">
        <f>Absolute_Scores!F3703</f>
        <v>@krisbiee</v>
      </c>
      <c r="G3703" s="12" t="str">
        <f>Absolute_Scores!G3703</f>
        <v>TikTok</v>
      </c>
      <c r="H3703" s="29">
        <f>Absolute_Scores!I3703</f>
        <v>42</v>
      </c>
      <c r="I3703" s="30">
        <f t="shared" si="88"/>
        <v>52.5</v>
      </c>
    </row>
    <row r="3704" spans="6:9">
      <c r="F3704" s="12" t="str">
        <f>Absolute_Scores!F3704</f>
        <v>@kumpulanresepmasak</v>
      </c>
      <c r="G3704" s="12" t="str">
        <f>Absolute_Scores!G3704</f>
        <v>Instagram</v>
      </c>
      <c r="H3704" s="29">
        <f>Absolute_Scores!I3704</f>
        <v>42</v>
      </c>
      <c r="I3704" s="30">
        <f t="shared" si="88"/>
        <v>52.5</v>
      </c>
    </row>
    <row r="3705" spans="6:9">
      <c r="F3705" s="12" t="str">
        <f>Absolute_Scores!F3705</f>
        <v>@kyle_seann</v>
      </c>
      <c r="G3705" s="12" t="str">
        <f>Absolute_Scores!G3705</f>
        <v>TikTok</v>
      </c>
      <c r="H3705" s="29">
        <f>Absolute_Scores!I3705</f>
        <v>42</v>
      </c>
      <c r="I3705" s="30">
        <f t="shared" si="88"/>
        <v>52.5</v>
      </c>
    </row>
    <row r="3706" spans="6:9">
      <c r="F3706" s="12" t="str">
        <f>Absolute_Scores!F3706</f>
        <v>@manullang_30</v>
      </c>
      <c r="G3706" s="12" t="str">
        <f>Absolute_Scores!G3706</f>
        <v>TikTok</v>
      </c>
      <c r="H3706" s="29">
        <f>Absolute_Scores!I3706</f>
        <v>42</v>
      </c>
      <c r="I3706" s="30">
        <f t="shared" si="88"/>
        <v>52.5</v>
      </c>
    </row>
    <row r="3707" spans="6:9">
      <c r="F3707" s="12" t="str">
        <f>Absolute_Scores!F3707</f>
        <v>@margenie_mg</v>
      </c>
      <c r="G3707" s="12" t="str">
        <f>Absolute_Scores!G3707</f>
        <v>Instagram</v>
      </c>
      <c r="H3707" s="29">
        <f>Absolute_Scores!I3707</f>
        <v>42</v>
      </c>
      <c r="I3707" s="30">
        <f t="shared" si="88"/>
        <v>52.5</v>
      </c>
    </row>
    <row r="3708" spans="6:9">
      <c r="F3708" s="12" t="str">
        <f>Absolute_Scores!F3708</f>
        <v>@meitadwi_lestari</v>
      </c>
      <c r="G3708" s="12" t="str">
        <f>Absolute_Scores!G3708</f>
        <v>TikTok</v>
      </c>
      <c r="H3708" s="29">
        <f>Absolute_Scores!I3708</f>
        <v>42</v>
      </c>
      <c r="I3708" s="30">
        <f t="shared" si="88"/>
        <v>52.5</v>
      </c>
    </row>
    <row r="3709" spans="6:9">
      <c r="F3709" s="12" t="str">
        <f>Absolute_Scores!F3709</f>
        <v>@michellinchrysant_</v>
      </c>
      <c r="G3709" s="12" t="str">
        <f>Absolute_Scores!G3709</f>
        <v>Instagram</v>
      </c>
      <c r="H3709" s="29">
        <f>Absolute_Scores!I3709</f>
        <v>42</v>
      </c>
      <c r="I3709" s="30">
        <f t="shared" si="88"/>
        <v>52.5</v>
      </c>
    </row>
    <row r="3710" spans="6:9">
      <c r="F3710" s="12" t="str">
        <f>Absolute_Scores!F3710</f>
        <v>@mirza.mgfr</v>
      </c>
      <c r="G3710" s="12" t="str">
        <f>Absolute_Scores!G3710</f>
        <v>Instagram</v>
      </c>
      <c r="H3710" s="29">
        <f>Absolute_Scores!I3710</f>
        <v>42</v>
      </c>
      <c r="I3710" s="30">
        <f t="shared" si="88"/>
        <v>52.5</v>
      </c>
    </row>
    <row r="3711" spans="6:9">
      <c r="F3711" s="12" t="str">
        <f>Absolute_Scores!F3711</f>
        <v>@miseue_ka</v>
      </c>
      <c r="G3711" s="12" t="str">
        <f>Absolute_Scores!G3711</f>
        <v>TikTok</v>
      </c>
      <c r="H3711" s="29">
        <f>Absolute_Scores!I3711</f>
        <v>42</v>
      </c>
      <c r="I3711" s="30">
        <f t="shared" si="88"/>
        <v>52.5</v>
      </c>
    </row>
    <row r="3712" spans="6:9">
      <c r="F3712" s="12" t="str">
        <f>Absolute_Scores!F3712</f>
        <v>@miss.faustinasoe</v>
      </c>
      <c r="G3712" s="12" t="str">
        <f>Absolute_Scores!G3712</f>
        <v>Instagram</v>
      </c>
      <c r="H3712" s="29">
        <f>Absolute_Scores!I3712</f>
        <v>42</v>
      </c>
      <c r="I3712" s="30">
        <f t="shared" si="88"/>
        <v>52.5</v>
      </c>
    </row>
    <row r="3713" spans="6:9">
      <c r="F3713" s="12" t="str">
        <f>Absolute_Scores!F3713</f>
        <v>@momdhifa.mia</v>
      </c>
      <c r="G3713" s="12" t="str">
        <f>Absolute_Scores!G3713</f>
        <v>Instagram</v>
      </c>
      <c r="H3713" s="29">
        <f>Absolute_Scores!I3713</f>
        <v>42</v>
      </c>
      <c r="I3713" s="30">
        <f t="shared" si="88"/>
        <v>52.5</v>
      </c>
    </row>
    <row r="3714" spans="6:9">
      <c r="F3714" s="12" t="str">
        <f>Absolute_Scores!F3714</f>
        <v>@motomobitv</v>
      </c>
      <c r="G3714" s="12" t="str">
        <f>Absolute_Scores!G3714</f>
        <v>Instagram</v>
      </c>
      <c r="H3714" s="29">
        <f>Absolute_Scores!I3714</f>
        <v>42</v>
      </c>
      <c r="I3714" s="30">
        <f t="shared" si="88"/>
        <v>52.5</v>
      </c>
    </row>
    <row r="3715" spans="6:9">
      <c r="F3715" s="12" t="str">
        <f>Absolute_Scores!F3715</f>
        <v>@mudaberumahtangga</v>
      </c>
      <c r="G3715" s="12" t="str">
        <f>Absolute_Scores!G3715</f>
        <v>TikTok</v>
      </c>
      <c r="H3715" s="29">
        <f>Absolute_Scores!I3715</f>
        <v>42</v>
      </c>
      <c r="I3715" s="30">
        <f t="shared" si="88"/>
        <v>52.5</v>
      </c>
    </row>
    <row r="3716" spans="6:9">
      <c r="F3716" s="12" t="str">
        <f>Absolute_Scores!F3716</f>
        <v>@mutiaramarl</v>
      </c>
      <c r="G3716" s="12" t="str">
        <f>Absolute_Scores!G3716</f>
        <v>TikTok</v>
      </c>
      <c r="H3716" s="29">
        <f>Absolute_Scores!I3716</f>
        <v>42</v>
      </c>
      <c r="I3716" s="30">
        <f t="shared" si="88"/>
        <v>52.5</v>
      </c>
    </row>
    <row r="3717" spans="6:9">
      <c r="F3717" s="12" t="str">
        <f>Absolute_Scores!F3717</f>
        <v>@mywrk1000</v>
      </c>
      <c r="G3717" s="12" t="str">
        <f>Absolute_Scores!G3717</f>
        <v>TikTok</v>
      </c>
      <c r="H3717" s="29">
        <f>Absolute_Scores!I3717</f>
        <v>42</v>
      </c>
      <c r="I3717" s="30">
        <f t="shared" si="88"/>
        <v>52.5</v>
      </c>
    </row>
    <row r="3718" spans="6:9">
      <c r="F3718" s="12" t="str">
        <f>Absolute_Scores!F3718</f>
        <v>@n.niaa_</v>
      </c>
      <c r="G3718" s="12" t="str">
        <f>Absolute_Scores!G3718</f>
        <v>Instagram</v>
      </c>
      <c r="H3718" s="29">
        <f>Absolute_Scores!I3718</f>
        <v>42</v>
      </c>
      <c r="I3718" s="30">
        <f t="shared" ref="I3718:I3781" si="89">ROUND(H3718/$I$4*100,2)</f>
        <v>52.5</v>
      </c>
    </row>
    <row r="3719" spans="6:9">
      <c r="F3719" s="12" t="str">
        <f>Absolute_Scores!F3719</f>
        <v>@nabilariupassa</v>
      </c>
      <c r="G3719" s="12" t="str">
        <f>Absolute_Scores!G3719</f>
        <v>Instagram</v>
      </c>
      <c r="H3719" s="29">
        <f>Absolute_Scores!I3719</f>
        <v>42</v>
      </c>
      <c r="I3719" s="30">
        <f t="shared" si="89"/>
        <v>52.5</v>
      </c>
    </row>
    <row r="3720" spans="6:9">
      <c r="F3720" s="12" t="str">
        <f>Absolute_Scores!F3720</f>
        <v>@nadiahaqumaminurcahyani</v>
      </c>
      <c r="G3720" s="12" t="str">
        <f>Absolute_Scores!G3720</f>
        <v>Instagram</v>
      </c>
      <c r="H3720" s="29">
        <f>Absolute_Scores!I3720</f>
        <v>42</v>
      </c>
      <c r="I3720" s="30">
        <f t="shared" si="89"/>
        <v>52.5</v>
      </c>
    </row>
    <row r="3721" spans="6:9">
      <c r="F3721" s="12" t="str">
        <f>Absolute_Scores!F3721</f>
        <v>@najlahsy</v>
      </c>
      <c r="G3721" s="12" t="str">
        <f>Absolute_Scores!G3721</f>
        <v>Instagram</v>
      </c>
      <c r="H3721" s="29">
        <f>Absolute_Scores!I3721</f>
        <v>42</v>
      </c>
      <c r="I3721" s="30">
        <f t="shared" si="89"/>
        <v>52.5</v>
      </c>
    </row>
    <row r="3722" spans="6:9">
      <c r="F3722" s="12" t="str">
        <f>Absolute_Scores!F3722</f>
        <v>@nanashop_shop04</v>
      </c>
      <c r="G3722" s="12" t="str">
        <f>Absolute_Scores!G3722</f>
        <v>TikTok</v>
      </c>
      <c r="H3722" s="29">
        <f>Absolute_Scores!I3722</f>
        <v>42</v>
      </c>
      <c r="I3722" s="30">
        <f t="shared" si="89"/>
        <v>52.5</v>
      </c>
    </row>
    <row r="3723" spans="6:9">
      <c r="F3723" s="12" t="str">
        <f>Absolute_Scores!F3723</f>
        <v>@nancyferdinand</v>
      </c>
      <c r="G3723" s="12" t="str">
        <f>Absolute_Scores!G3723</f>
        <v>TikTok</v>
      </c>
      <c r="H3723" s="29">
        <f>Absolute_Scores!I3723</f>
        <v>42</v>
      </c>
      <c r="I3723" s="30">
        <f t="shared" si="89"/>
        <v>52.5</v>
      </c>
    </row>
    <row r="3724" spans="6:9">
      <c r="F3724" s="12" t="str">
        <f>Absolute_Scores!F3724</f>
        <v>@nandafmarcelina</v>
      </c>
      <c r="G3724" s="12" t="str">
        <f>Absolute_Scores!G3724</f>
        <v>Instagram</v>
      </c>
      <c r="H3724" s="29">
        <f>Absolute_Scores!I3724</f>
        <v>42</v>
      </c>
      <c r="I3724" s="30">
        <f t="shared" si="89"/>
        <v>52.5</v>
      </c>
    </row>
    <row r="3725" spans="6:9">
      <c r="F3725" s="12" t="str">
        <f>Absolute_Scores!F3725</f>
        <v>@naylarazisky</v>
      </c>
      <c r="G3725" s="12" t="str">
        <f>Absolute_Scores!G3725</f>
        <v>TikTok</v>
      </c>
      <c r="H3725" s="29">
        <f>Absolute_Scores!I3725</f>
        <v>42</v>
      </c>
      <c r="I3725" s="30">
        <f t="shared" si="89"/>
        <v>52.5</v>
      </c>
    </row>
    <row r="3726" spans="6:9">
      <c r="F3726" s="12" t="str">
        <f>Absolute_Scores!F3726</f>
        <v>@nhyllaqym</v>
      </c>
      <c r="G3726" s="12" t="str">
        <f>Absolute_Scores!G3726</f>
        <v>Instagram</v>
      </c>
      <c r="H3726" s="29">
        <f>Absolute_Scores!I3726</f>
        <v>42</v>
      </c>
      <c r="I3726" s="30">
        <f t="shared" si="89"/>
        <v>52.5</v>
      </c>
    </row>
    <row r="3727" spans="6:9">
      <c r="F3727" s="12" t="str">
        <f>Absolute_Scores!F3727</f>
        <v>@niaaryanii</v>
      </c>
      <c r="G3727" s="12" t="str">
        <f>Absolute_Scores!G3727</f>
        <v>TikTok</v>
      </c>
      <c r="H3727" s="29">
        <f>Absolute_Scores!I3727</f>
        <v>42</v>
      </c>
      <c r="I3727" s="30">
        <f t="shared" si="89"/>
        <v>52.5</v>
      </c>
    </row>
    <row r="3728" spans="6:9">
      <c r="F3728" s="12" t="str">
        <f>Absolute_Scores!F3728</f>
        <v>@nisaput_hudia</v>
      </c>
      <c r="G3728" s="12" t="str">
        <f>Absolute_Scores!G3728</f>
        <v>Instagram</v>
      </c>
      <c r="H3728" s="29">
        <f>Absolute_Scores!I3728</f>
        <v>42</v>
      </c>
      <c r="I3728" s="30">
        <f t="shared" si="89"/>
        <v>52.5</v>
      </c>
    </row>
    <row r="3729" spans="6:9">
      <c r="F3729" s="12" t="str">
        <f>Absolute_Scores!F3729</f>
        <v>@notyourtypicallllll</v>
      </c>
      <c r="G3729" s="12" t="str">
        <f>Absolute_Scores!G3729</f>
        <v>TikTok</v>
      </c>
      <c r="H3729" s="29">
        <f>Absolute_Scores!I3729</f>
        <v>42</v>
      </c>
      <c r="I3729" s="30">
        <f t="shared" si="89"/>
        <v>52.5</v>
      </c>
    </row>
    <row r="3730" spans="6:9">
      <c r="F3730" s="12" t="str">
        <f>Absolute_Scores!F3730</f>
        <v>@nurfitrianoviantii</v>
      </c>
      <c r="G3730" s="12" t="str">
        <f>Absolute_Scores!G3730</f>
        <v>TikTok</v>
      </c>
      <c r="H3730" s="29">
        <f>Absolute_Scores!I3730</f>
        <v>42</v>
      </c>
      <c r="I3730" s="30">
        <f t="shared" si="89"/>
        <v>52.5</v>
      </c>
    </row>
    <row r="3731" spans="6:9">
      <c r="F3731" s="12" t="str">
        <f>Absolute_Scores!F3731</f>
        <v>@nuruldefgh</v>
      </c>
      <c r="G3731" s="12" t="str">
        <f>Absolute_Scores!G3731</f>
        <v>Instagram</v>
      </c>
      <c r="H3731" s="29">
        <f>Absolute_Scores!I3731</f>
        <v>42</v>
      </c>
      <c r="I3731" s="30">
        <f t="shared" si="89"/>
        <v>52.5</v>
      </c>
    </row>
    <row r="3732" spans="6:9">
      <c r="F3732" s="12" t="str">
        <f>Absolute_Scores!F3732</f>
        <v>@patriaatp</v>
      </c>
      <c r="G3732" s="12" t="str">
        <f>Absolute_Scores!G3732</f>
        <v>TikTok</v>
      </c>
      <c r="H3732" s="29">
        <f>Absolute_Scores!I3732</f>
        <v>42</v>
      </c>
      <c r="I3732" s="30">
        <f t="shared" si="89"/>
        <v>52.5</v>
      </c>
    </row>
    <row r="3733" spans="6:9">
      <c r="F3733" s="12" t="str">
        <f>Absolute_Scores!F3733</f>
        <v>@petentenk</v>
      </c>
      <c r="G3733" s="12" t="str">
        <f>Absolute_Scores!G3733</f>
        <v>TikTok</v>
      </c>
      <c r="H3733" s="29">
        <f>Absolute_Scores!I3733</f>
        <v>42</v>
      </c>
      <c r="I3733" s="30">
        <f t="shared" si="89"/>
        <v>52.5</v>
      </c>
    </row>
    <row r="3734" spans="6:9">
      <c r="F3734" s="12" t="str">
        <f>Absolute_Scores!F3734</f>
        <v>@piekisses2</v>
      </c>
      <c r="G3734" s="12" t="str">
        <f>Absolute_Scores!G3734</f>
        <v>TikTok</v>
      </c>
      <c r="H3734" s="29">
        <f>Absolute_Scores!I3734</f>
        <v>42</v>
      </c>
      <c r="I3734" s="30">
        <f t="shared" si="89"/>
        <v>52.5</v>
      </c>
    </row>
    <row r="3735" spans="6:9">
      <c r="F3735" s="12" t="str">
        <f>Absolute_Scores!F3735</f>
        <v>@pipirasabakpao</v>
      </c>
      <c r="G3735" s="12" t="str">
        <f>Absolute_Scores!G3735</f>
        <v>TikTok</v>
      </c>
      <c r="H3735" s="29">
        <f>Absolute_Scores!I3735</f>
        <v>42</v>
      </c>
      <c r="I3735" s="30">
        <f t="shared" si="89"/>
        <v>52.5</v>
      </c>
    </row>
    <row r="3736" spans="6:9">
      <c r="F3736" s="12" t="str">
        <f>Absolute_Scores!F3736</f>
        <v>@powerslidebrand</v>
      </c>
      <c r="G3736" s="12" t="str">
        <f>Absolute_Scores!G3736</f>
        <v>Instagram</v>
      </c>
      <c r="H3736" s="29">
        <f>Absolute_Scores!I3736</f>
        <v>42</v>
      </c>
      <c r="I3736" s="30">
        <f t="shared" si="89"/>
        <v>52.5</v>
      </c>
    </row>
    <row r="3737" spans="6:9">
      <c r="F3737" s="12" t="str">
        <f>Absolute_Scores!F3737</f>
        <v>@prisciliabella</v>
      </c>
      <c r="G3737" s="12" t="str">
        <f>Absolute_Scores!G3737</f>
        <v>Instagram</v>
      </c>
      <c r="H3737" s="29">
        <f>Absolute_Scores!I3737</f>
        <v>42</v>
      </c>
      <c r="I3737" s="30">
        <f t="shared" si="89"/>
        <v>52.5</v>
      </c>
    </row>
    <row r="3738" spans="6:9">
      <c r="F3738" s="12" t="str">
        <f>Absolute_Scores!F3738</f>
        <v>@properbeauty.id</v>
      </c>
      <c r="G3738" s="12" t="str">
        <f>Absolute_Scores!G3738</f>
        <v>Instagram</v>
      </c>
      <c r="H3738" s="29">
        <f>Absolute_Scores!I3738</f>
        <v>42</v>
      </c>
      <c r="I3738" s="30">
        <f t="shared" si="89"/>
        <v>52.5</v>
      </c>
    </row>
    <row r="3739" spans="6:9">
      <c r="F3739" s="12" t="str">
        <f>Absolute_Scores!F3739</f>
        <v>@queencharrrrrrrr</v>
      </c>
      <c r="G3739" s="12" t="str">
        <f>Absolute_Scores!G3739</f>
        <v>TikTok</v>
      </c>
      <c r="H3739" s="29">
        <f>Absolute_Scores!I3739</f>
        <v>42</v>
      </c>
      <c r="I3739" s="30">
        <f t="shared" si="89"/>
        <v>52.5</v>
      </c>
    </row>
    <row r="3740" spans="6:9">
      <c r="F3740" s="12" t="str">
        <f>Absolute_Scores!F3740</f>
        <v>@rachelorenza</v>
      </c>
      <c r="G3740" s="12" t="str">
        <f>Absolute_Scores!G3740</f>
        <v>TikTok</v>
      </c>
      <c r="H3740" s="29">
        <f>Absolute_Scores!I3740</f>
        <v>42</v>
      </c>
      <c r="I3740" s="30">
        <f t="shared" si="89"/>
        <v>52.5</v>
      </c>
    </row>
    <row r="3741" spans="6:9">
      <c r="F3741" s="12" t="str">
        <f>Absolute_Scores!F3741</f>
        <v>@racuncouple</v>
      </c>
      <c r="G3741" s="12" t="str">
        <f>Absolute_Scores!G3741</f>
        <v>TikTok</v>
      </c>
      <c r="H3741" s="29">
        <f>Absolute_Scores!I3741</f>
        <v>42</v>
      </c>
      <c r="I3741" s="30">
        <f t="shared" si="89"/>
        <v>52.5</v>
      </c>
    </row>
    <row r="3742" spans="6:9">
      <c r="F3742" s="12" t="str">
        <f>Absolute_Scores!F3742</f>
        <v>@rafimnaf</v>
      </c>
      <c r="G3742" s="12" t="str">
        <f>Absolute_Scores!G3742</f>
        <v>Instagram</v>
      </c>
      <c r="H3742" s="29">
        <f>Absolute_Scores!I3742</f>
        <v>42</v>
      </c>
      <c r="I3742" s="30">
        <f t="shared" si="89"/>
        <v>52.5</v>
      </c>
    </row>
    <row r="3743" spans="6:9">
      <c r="F3743" s="12" t="str">
        <f>Absolute_Scores!F3743</f>
        <v>@rahmarahayu25</v>
      </c>
      <c r="G3743" s="12" t="str">
        <f>Absolute_Scores!G3743</f>
        <v>TikTok</v>
      </c>
      <c r="H3743" s="29">
        <f>Absolute_Scores!I3743</f>
        <v>42</v>
      </c>
      <c r="I3743" s="30">
        <f t="shared" si="89"/>
        <v>52.5</v>
      </c>
    </row>
    <row r="3744" spans="6:9">
      <c r="F3744" s="12" t="str">
        <f>Absolute_Scores!F3744</f>
        <v>@randikanurmauli</v>
      </c>
      <c r="G3744" s="12" t="str">
        <f>Absolute_Scores!G3744</f>
        <v>TikTok</v>
      </c>
      <c r="H3744" s="29">
        <f>Absolute_Scores!I3744</f>
        <v>42</v>
      </c>
      <c r="I3744" s="30">
        <f t="shared" si="89"/>
        <v>52.5</v>
      </c>
    </row>
    <row r="3745" spans="6:9">
      <c r="F3745" s="12" t="str">
        <f>Absolute_Scores!F3745</f>
        <v>@raniaahstr</v>
      </c>
      <c r="G3745" s="12" t="str">
        <f>Absolute_Scores!G3745</f>
        <v>Instagram</v>
      </c>
      <c r="H3745" s="29">
        <f>Absolute_Scores!I3745</f>
        <v>42</v>
      </c>
      <c r="I3745" s="30">
        <f t="shared" si="89"/>
        <v>52.5</v>
      </c>
    </row>
    <row r="3746" spans="6:9">
      <c r="F3746" s="12" t="str">
        <f>Absolute_Scores!F3746</f>
        <v>@rayanurfitrird</v>
      </c>
      <c r="G3746" s="12" t="str">
        <f>Absolute_Scores!G3746</f>
        <v>Instagram</v>
      </c>
      <c r="H3746" s="29">
        <f>Absolute_Scores!I3746</f>
        <v>42</v>
      </c>
      <c r="I3746" s="30">
        <f t="shared" si="89"/>
        <v>52.5</v>
      </c>
    </row>
    <row r="3747" spans="6:9">
      <c r="F3747" s="12" t="str">
        <f>Absolute_Scores!F3747</f>
        <v>@rayshalevina</v>
      </c>
      <c r="G3747" s="12" t="str">
        <f>Absolute_Scores!G3747</f>
        <v>Instagram</v>
      </c>
      <c r="H3747" s="29">
        <f>Absolute_Scores!I3747</f>
        <v>42</v>
      </c>
      <c r="I3747" s="30">
        <f t="shared" si="89"/>
        <v>52.5</v>
      </c>
    </row>
    <row r="3748" spans="6:9">
      <c r="F3748" s="12" t="str">
        <f>Absolute_Scores!F3748</f>
        <v>@reynalzy</v>
      </c>
      <c r="G3748" s="12" t="str">
        <f>Absolute_Scores!G3748</f>
        <v>TikTok</v>
      </c>
      <c r="H3748" s="29">
        <f>Absolute_Scores!I3748</f>
        <v>42</v>
      </c>
      <c r="I3748" s="30">
        <f t="shared" si="89"/>
        <v>52.5</v>
      </c>
    </row>
    <row r="3749" spans="6:9">
      <c r="F3749" s="12" t="str">
        <f>Absolute_Scores!F3749</f>
        <v>@ri.suma</v>
      </c>
      <c r="G3749" s="12" t="str">
        <f>Absolute_Scores!G3749</f>
        <v>TikTok</v>
      </c>
      <c r="H3749" s="29">
        <f>Absolute_Scores!I3749</f>
        <v>42</v>
      </c>
      <c r="I3749" s="30">
        <f t="shared" si="89"/>
        <v>52.5</v>
      </c>
    </row>
    <row r="3750" spans="6:9">
      <c r="F3750" s="12" t="str">
        <f>Absolute_Scores!F3750</f>
        <v>@riltrian</v>
      </c>
      <c r="G3750" s="12" t="str">
        <f>Absolute_Scores!G3750</f>
        <v>TikTok</v>
      </c>
      <c r="H3750" s="29">
        <f>Absolute_Scores!I3750</f>
        <v>42</v>
      </c>
      <c r="I3750" s="30">
        <f t="shared" si="89"/>
        <v>52.5</v>
      </c>
    </row>
    <row r="3751" spans="6:9">
      <c r="F3751" s="12" t="str">
        <f>Absolute_Scores!F3751</f>
        <v>@rinda_farhan</v>
      </c>
      <c r="G3751" s="12" t="str">
        <f>Absolute_Scores!G3751</f>
        <v>Instagram</v>
      </c>
      <c r="H3751" s="29">
        <f>Absolute_Scores!I3751</f>
        <v>42</v>
      </c>
      <c r="I3751" s="30">
        <f t="shared" si="89"/>
        <v>52.5</v>
      </c>
    </row>
    <row r="3752" spans="6:9">
      <c r="F3752" s="12" t="str">
        <f>Absolute_Scores!F3752</f>
        <v>@rinrini875</v>
      </c>
      <c r="G3752" s="12" t="str">
        <f>Absolute_Scores!G3752</f>
        <v>TikTok</v>
      </c>
      <c r="H3752" s="29">
        <f>Absolute_Scores!I3752</f>
        <v>42</v>
      </c>
      <c r="I3752" s="30">
        <f t="shared" si="89"/>
        <v>52.5</v>
      </c>
    </row>
    <row r="3753" spans="6:9">
      <c r="F3753" s="12" t="str">
        <f>Absolute_Scores!F3753</f>
        <v>@riskafagistaa</v>
      </c>
      <c r="G3753" s="12" t="str">
        <f>Absolute_Scores!G3753</f>
        <v>TikTok</v>
      </c>
      <c r="H3753" s="29">
        <f>Absolute_Scores!I3753</f>
        <v>42</v>
      </c>
      <c r="I3753" s="30">
        <f t="shared" si="89"/>
        <v>52.5</v>
      </c>
    </row>
    <row r="3754" spans="6:9">
      <c r="F3754" s="12" t="str">
        <f>Absolute_Scores!F3754</f>
        <v>@rizkacullen</v>
      </c>
      <c r="G3754" s="12" t="str">
        <f>Absolute_Scores!G3754</f>
        <v>TikTok</v>
      </c>
      <c r="H3754" s="29">
        <f>Absolute_Scores!I3754</f>
        <v>42</v>
      </c>
      <c r="I3754" s="30">
        <f t="shared" si="89"/>
        <v>52.5</v>
      </c>
    </row>
    <row r="3755" spans="6:9">
      <c r="F3755" s="12" t="str">
        <f>Absolute_Scores!F3755</f>
        <v>@rndys29</v>
      </c>
      <c r="G3755" s="12" t="str">
        <f>Absolute_Scores!G3755</f>
        <v>TikTok</v>
      </c>
      <c r="H3755" s="29">
        <f>Absolute_Scores!I3755</f>
        <v>42</v>
      </c>
      <c r="I3755" s="30">
        <f t="shared" si="89"/>
        <v>52.5</v>
      </c>
    </row>
    <row r="3756" spans="6:9">
      <c r="F3756" s="12" t="str">
        <f>Absolute_Scores!F3756</f>
        <v>@rosita_mehrunisa1212</v>
      </c>
      <c r="G3756" s="12" t="str">
        <f>Absolute_Scores!G3756</f>
        <v>TikTok</v>
      </c>
      <c r="H3756" s="29">
        <f>Absolute_Scores!I3756</f>
        <v>42</v>
      </c>
      <c r="I3756" s="30">
        <f t="shared" si="89"/>
        <v>52.5</v>
      </c>
    </row>
    <row r="3757" spans="6:9">
      <c r="F3757" s="12" t="str">
        <f>Absolute_Scores!F3757</f>
        <v>@safiraalft</v>
      </c>
      <c r="G3757" s="12" t="str">
        <f>Absolute_Scores!G3757</f>
        <v>TikTok</v>
      </c>
      <c r="H3757" s="29">
        <f>Absolute_Scores!I3757</f>
        <v>42</v>
      </c>
      <c r="I3757" s="30">
        <f t="shared" si="89"/>
        <v>52.5</v>
      </c>
    </row>
    <row r="3758" spans="6:9">
      <c r="F3758" s="12" t="str">
        <f>Absolute_Scores!F3758</f>
        <v>@saii.shary05</v>
      </c>
      <c r="G3758" s="12" t="str">
        <f>Absolute_Scores!G3758</f>
        <v>Instagram</v>
      </c>
      <c r="H3758" s="29">
        <f>Absolute_Scores!I3758</f>
        <v>42</v>
      </c>
      <c r="I3758" s="30">
        <f t="shared" si="89"/>
        <v>52.5</v>
      </c>
    </row>
    <row r="3759" spans="6:9">
      <c r="F3759" s="12" t="str">
        <f>Absolute_Scores!F3759</f>
        <v>@salsa_fii</v>
      </c>
      <c r="G3759" s="12" t="str">
        <f>Absolute_Scores!G3759</f>
        <v>TikTok</v>
      </c>
      <c r="H3759" s="29">
        <f>Absolute_Scores!I3759</f>
        <v>42</v>
      </c>
      <c r="I3759" s="30">
        <f t="shared" si="89"/>
        <v>52.5</v>
      </c>
    </row>
    <row r="3760" spans="6:9">
      <c r="F3760" s="12" t="str">
        <f>Absolute_Scores!F3760</f>
        <v>@salwakhalishaa</v>
      </c>
      <c r="G3760" s="12" t="str">
        <f>Absolute_Scores!G3760</f>
        <v>Instagram</v>
      </c>
      <c r="H3760" s="29">
        <f>Absolute_Scores!I3760</f>
        <v>42</v>
      </c>
      <c r="I3760" s="30">
        <f t="shared" si="89"/>
        <v>52.5</v>
      </c>
    </row>
    <row r="3761" spans="6:9">
      <c r="F3761" s="12" t="str">
        <f>Absolute_Scores!F3761</f>
        <v>@sannisca</v>
      </c>
      <c r="G3761" s="12" t="str">
        <f>Absolute_Scores!G3761</f>
        <v>TikTok</v>
      </c>
      <c r="H3761" s="29">
        <f>Absolute_Scores!I3761</f>
        <v>42</v>
      </c>
      <c r="I3761" s="30">
        <f t="shared" si="89"/>
        <v>52.5</v>
      </c>
    </row>
    <row r="3762" spans="6:9">
      <c r="F3762" s="12" t="str">
        <f>Absolute_Scores!F3762</f>
        <v>@seilairfniaa</v>
      </c>
      <c r="G3762" s="12" t="str">
        <f>Absolute_Scores!G3762</f>
        <v>Instagram</v>
      </c>
      <c r="H3762" s="29">
        <f>Absolute_Scores!I3762</f>
        <v>42</v>
      </c>
      <c r="I3762" s="30">
        <f t="shared" si="89"/>
        <v>52.5</v>
      </c>
    </row>
    <row r="3763" spans="6:9">
      <c r="F3763" s="12" t="str">
        <f>Absolute_Scores!F3763</f>
        <v>@sfyt_nisa</v>
      </c>
      <c r="G3763" s="12" t="str">
        <f>Absolute_Scores!G3763</f>
        <v>Instagram</v>
      </c>
      <c r="H3763" s="29">
        <f>Absolute_Scores!I3763</f>
        <v>42</v>
      </c>
      <c r="I3763" s="30">
        <f t="shared" si="89"/>
        <v>52.5</v>
      </c>
    </row>
    <row r="3764" spans="6:9">
      <c r="F3764" s="12" t="str">
        <f>Absolute_Scores!F3764</f>
        <v>@sherlyxu</v>
      </c>
      <c r="G3764" s="12" t="str">
        <f>Absolute_Scores!G3764</f>
        <v>Instagram</v>
      </c>
      <c r="H3764" s="29">
        <f>Absolute_Scores!I3764</f>
        <v>42</v>
      </c>
      <c r="I3764" s="30">
        <f t="shared" si="89"/>
        <v>52.5</v>
      </c>
    </row>
    <row r="3765" spans="6:9">
      <c r="F3765" s="12" t="str">
        <f>Absolute_Scores!F3765</f>
        <v>@sidecil</v>
      </c>
      <c r="G3765" s="12" t="str">
        <f>Absolute_Scores!G3765</f>
        <v>TikTok</v>
      </c>
      <c r="H3765" s="29">
        <f>Absolute_Scores!I3765</f>
        <v>42</v>
      </c>
      <c r="I3765" s="30">
        <f t="shared" si="89"/>
        <v>52.5</v>
      </c>
    </row>
    <row r="3766" spans="6:9">
      <c r="F3766" s="12" t="str">
        <f>Absolute_Scores!F3766</f>
        <v>@sikebaebae</v>
      </c>
      <c r="G3766" s="12" t="str">
        <f>Absolute_Scores!G3766</f>
        <v>Instagram</v>
      </c>
      <c r="H3766" s="29">
        <f>Absolute_Scores!I3766</f>
        <v>42</v>
      </c>
      <c r="I3766" s="30">
        <f t="shared" si="89"/>
        <v>52.5</v>
      </c>
    </row>
    <row r="3767" spans="6:9">
      <c r="F3767" s="12" t="str">
        <f>Absolute_Scores!F3767</f>
        <v>@siresepbunda</v>
      </c>
      <c r="G3767" s="12" t="str">
        <f>Absolute_Scores!G3767</f>
        <v>Instagram</v>
      </c>
      <c r="H3767" s="29">
        <f>Absolute_Scores!I3767</f>
        <v>42</v>
      </c>
      <c r="I3767" s="30">
        <f t="shared" si="89"/>
        <v>52.5</v>
      </c>
    </row>
    <row r="3768" spans="6:9">
      <c r="F3768" s="12" t="str">
        <f>Absolute_Scores!F3768</f>
        <v>@siti.f4tim4h</v>
      </c>
      <c r="G3768" s="12" t="str">
        <f>Absolute_Scores!G3768</f>
        <v>Instagram</v>
      </c>
      <c r="H3768" s="29">
        <f>Absolute_Scores!I3768</f>
        <v>42</v>
      </c>
      <c r="I3768" s="30">
        <f t="shared" si="89"/>
        <v>52.5</v>
      </c>
    </row>
    <row r="3769" spans="6:9">
      <c r="F3769" s="12" t="str">
        <f>Absolute_Scores!F3769</f>
        <v>@siveve</v>
      </c>
      <c r="G3769" s="12" t="str">
        <f>Absolute_Scores!G3769</f>
        <v>Instagram</v>
      </c>
      <c r="H3769" s="29">
        <f>Absolute_Scores!I3769</f>
        <v>42</v>
      </c>
      <c r="I3769" s="30">
        <f t="shared" si="89"/>
        <v>52.5</v>
      </c>
    </row>
    <row r="3770" spans="6:9">
      <c r="F3770" s="12" t="str">
        <f>Absolute_Scores!F3770</f>
        <v>@skevinooc</v>
      </c>
      <c r="G3770" s="12" t="str">
        <f>Absolute_Scores!G3770</f>
        <v>TikTok</v>
      </c>
      <c r="H3770" s="29">
        <f>Absolute_Scores!I3770</f>
        <v>42</v>
      </c>
      <c r="I3770" s="30">
        <f t="shared" si="89"/>
        <v>52.5</v>
      </c>
    </row>
    <row r="3771" spans="6:9">
      <c r="F3771" s="12" t="str">
        <f>Absolute_Scores!F3771</f>
        <v>@sleepylilie</v>
      </c>
      <c r="G3771" s="12" t="str">
        <f>Absolute_Scores!G3771</f>
        <v>TikTok</v>
      </c>
      <c r="H3771" s="29">
        <f>Absolute_Scores!I3771</f>
        <v>42</v>
      </c>
      <c r="I3771" s="30">
        <f t="shared" si="89"/>
        <v>52.5</v>
      </c>
    </row>
    <row r="3772" spans="6:9">
      <c r="F3772" s="12" t="str">
        <f>Absolute_Scores!F3772</f>
        <v>@slvdew</v>
      </c>
      <c r="G3772" s="12" t="str">
        <f>Absolute_Scores!G3772</f>
        <v>Instagram</v>
      </c>
      <c r="H3772" s="29">
        <f>Absolute_Scores!I3772</f>
        <v>42</v>
      </c>
      <c r="I3772" s="30">
        <f t="shared" si="89"/>
        <v>52.5</v>
      </c>
    </row>
    <row r="3773" spans="6:9">
      <c r="F3773" s="12" t="str">
        <f>Absolute_Scores!F3773</f>
        <v>@sriayun12</v>
      </c>
      <c r="G3773" s="12" t="str">
        <f>Absolute_Scores!G3773</f>
        <v>TikTok</v>
      </c>
      <c r="H3773" s="29">
        <f>Absolute_Scores!I3773</f>
        <v>42</v>
      </c>
      <c r="I3773" s="30">
        <f t="shared" si="89"/>
        <v>52.5</v>
      </c>
    </row>
    <row r="3774" spans="6:9">
      <c r="F3774" s="12" t="str">
        <f>Absolute_Scores!F3774</f>
        <v>@steffigouw</v>
      </c>
      <c r="G3774" s="12" t="str">
        <f>Absolute_Scores!G3774</f>
        <v>TikTok</v>
      </c>
      <c r="H3774" s="29">
        <f>Absolute_Scores!I3774</f>
        <v>42</v>
      </c>
      <c r="I3774" s="30">
        <f t="shared" si="89"/>
        <v>52.5</v>
      </c>
    </row>
    <row r="3775" spans="6:9">
      <c r="F3775" s="12" t="str">
        <f>Absolute_Scores!F3775</f>
        <v>@suwantoasennn</v>
      </c>
      <c r="G3775" s="12" t="str">
        <f>Absolute_Scores!G3775</f>
        <v>TikTok</v>
      </c>
      <c r="H3775" s="29">
        <f>Absolute_Scores!I3775</f>
        <v>42</v>
      </c>
      <c r="I3775" s="30">
        <f t="shared" si="89"/>
        <v>52.5</v>
      </c>
    </row>
    <row r="3776" spans="6:9">
      <c r="F3776" s="12" t="str">
        <f>Absolute_Scores!F3776</f>
        <v>@talitawb</v>
      </c>
      <c r="G3776" s="12" t="str">
        <f>Absolute_Scores!G3776</f>
        <v>Instagram</v>
      </c>
      <c r="H3776" s="29">
        <f>Absolute_Scores!I3776</f>
        <v>42</v>
      </c>
      <c r="I3776" s="30">
        <f t="shared" si="89"/>
        <v>52.5</v>
      </c>
    </row>
    <row r="3777" spans="6:9">
      <c r="F3777" s="12" t="str">
        <f>Absolute_Scores!F3777</f>
        <v>@theadamsband</v>
      </c>
      <c r="G3777" s="12" t="str">
        <f>Absolute_Scores!G3777</f>
        <v>Instagram</v>
      </c>
      <c r="H3777" s="29">
        <f>Absolute_Scores!I3777</f>
        <v>42</v>
      </c>
      <c r="I3777" s="30">
        <f t="shared" si="89"/>
        <v>52.5</v>
      </c>
    </row>
    <row r="3778" spans="6:9">
      <c r="F3778" s="12" t="str">
        <f>Absolute_Scores!F3778</f>
        <v>@tinep17</v>
      </c>
      <c r="G3778" s="12" t="str">
        <f>Absolute_Scores!G3778</f>
        <v>TikTok</v>
      </c>
      <c r="H3778" s="29">
        <f>Absolute_Scores!I3778</f>
        <v>42</v>
      </c>
      <c r="I3778" s="30">
        <f t="shared" si="89"/>
        <v>52.5</v>
      </c>
    </row>
    <row r="3779" spans="6:9">
      <c r="F3779" s="12" t="str">
        <f>Absolute_Scores!F3779</f>
        <v>@tommy.utomoo</v>
      </c>
      <c r="G3779" s="12" t="str">
        <f>Absolute_Scores!G3779</f>
        <v>TikTok</v>
      </c>
      <c r="H3779" s="29">
        <f>Absolute_Scores!I3779</f>
        <v>42</v>
      </c>
      <c r="I3779" s="30">
        <f t="shared" si="89"/>
        <v>52.5</v>
      </c>
    </row>
    <row r="3780" spans="6:9">
      <c r="F3780" s="12" t="str">
        <f>Absolute_Scores!F3780</f>
        <v>@tsmitasoraya</v>
      </c>
      <c r="G3780" s="12" t="str">
        <f>Absolute_Scores!G3780</f>
        <v>Instagram</v>
      </c>
      <c r="H3780" s="29">
        <f>Absolute_Scores!I3780</f>
        <v>42</v>
      </c>
      <c r="I3780" s="30">
        <f t="shared" si="89"/>
        <v>52.5</v>
      </c>
    </row>
    <row r="3781" spans="6:9">
      <c r="F3781" s="12" t="str">
        <f>Absolute_Scores!F3781</f>
        <v>@ummi_khaira_</v>
      </c>
      <c r="G3781" s="12" t="str">
        <f>Absolute_Scores!G3781</f>
        <v>Instagram</v>
      </c>
      <c r="H3781" s="29">
        <f>Absolute_Scores!I3781</f>
        <v>42</v>
      </c>
      <c r="I3781" s="30">
        <f t="shared" si="89"/>
        <v>52.5</v>
      </c>
    </row>
    <row r="3782" spans="6:9">
      <c r="F3782" s="12" t="str">
        <f>Absolute_Scores!F3782</f>
        <v>@utrichfarzah</v>
      </c>
      <c r="G3782" s="12" t="str">
        <f>Absolute_Scores!G3782</f>
        <v>TikTok</v>
      </c>
      <c r="H3782" s="29">
        <f>Absolute_Scores!I3782</f>
        <v>42</v>
      </c>
      <c r="I3782" s="30">
        <f t="shared" ref="I3782:I3845" si="90">ROUND(H3782/$I$4*100,2)</f>
        <v>52.5</v>
      </c>
    </row>
    <row r="3783" spans="6:9">
      <c r="F3783" s="12" t="str">
        <f>Absolute_Scores!F3783</f>
        <v>@uyuy_ns</v>
      </c>
      <c r="G3783" s="12" t="str">
        <f>Absolute_Scores!G3783</f>
        <v>TikTok</v>
      </c>
      <c r="H3783" s="29">
        <f>Absolute_Scores!I3783</f>
        <v>42</v>
      </c>
      <c r="I3783" s="30">
        <f t="shared" si="90"/>
        <v>52.5</v>
      </c>
    </row>
    <row r="3784" spans="6:9">
      <c r="F3784" s="12" t="str">
        <f>Absolute_Scores!F3784</f>
        <v>@vanessaechaa26</v>
      </c>
      <c r="G3784" s="12" t="str">
        <f>Absolute_Scores!G3784</f>
        <v>TikTok</v>
      </c>
      <c r="H3784" s="29">
        <f>Absolute_Scores!I3784</f>
        <v>42</v>
      </c>
      <c r="I3784" s="30">
        <f t="shared" si="90"/>
        <v>52.5</v>
      </c>
    </row>
    <row r="3785" spans="6:9">
      <c r="F3785" s="12" t="str">
        <f>Absolute_Scores!F3785</f>
        <v>@volliepowp</v>
      </c>
      <c r="G3785" s="12" t="str">
        <f>Absolute_Scores!G3785</f>
        <v>TikTok</v>
      </c>
      <c r="H3785" s="29">
        <f>Absolute_Scores!I3785</f>
        <v>42</v>
      </c>
      <c r="I3785" s="30">
        <f t="shared" si="90"/>
        <v>52.5</v>
      </c>
    </row>
    <row r="3786" spans="6:9">
      <c r="F3786" s="12" t="str">
        <f>Absolute_Scores!F3786</f>
        <v>@wellisnaa</v>
      </c>
      <c r="G3786" s="12" t="str">
        <f>Absolute_Scores!G3786</f>
        <v>Instagram</v>
      </c>
      <c r="H3786" s="29">
        <f>Absolute_Scores!I3786</f>
        <v>42</v>
      </c>
      <c r="I3786" s="30">
        <f t="shared" si="90"/>
        <v>52.5</v>
      </c>
    </row>
    <row r="3787" spans="6:9">
      <c r="F3787" s="12" t="str">
        <f>Absolute_Scores!F3787</f>
        <v>@witapsarii</v>
      </c>
      <c r="G3787" s="12" t="str">
        <f>Absolute_Scores!G3787</f>
        <v>TikTok</v>
      </c>
      <c r="H3787" s="29">
        <f>Absolute_Scores!I3787</f>
        <v>42</v>
      </c>
      <c r="I3787" s="30">
        <f t="shared" si="90"/>
        <v>52.5</v>
      </c>
    </row>
    <row r="3788" spans="6:9">
      <c r="F3788" s="12" t="str">
        <f>Absolute_Scores!F3788</f>
        <v>@wnywinn</v>
      </c>
      <c r="G3788" s="12" t="str">
        <f>Absolute_Scores!G3788</f>
        <v>Instagram</v>
      </c>
      <c r="H3788" s="29">
        <f>Absolute_Scores!I3788</f>
        <v>42</v>
      </c>
      <c r="I3788" s="30">
        <f t="shared" si="90"/>
        <v>52.5</v>
      </c>
    </row>
    <row r="3789" spans="6:9">
      <c r="F3789" s="12" t="str">
        <f>Absolute_Scores!F3789</f>
        <v>@wulanwu</v>
      </c>
      <c r="G3789" s="12" t="str">
        <f>Absolute_Scores!G3789</f>
        <v>Instagram</v>
      </c>
      <c r="H3789" s="29">
        <f>Absolute_Scores!I3789</f>
        <v>42</v>
      </c>
      <c r="I3789" s="30">
        <f t="shared" si="90"/>
        <v>52.5</v>
      </c>
    </row>
    <row r="3790" spans="6:9">
      <c r="F3790" s="12" t="str">
        <f>Absolute_Scores!F3790</f>
        <v>@yusufff04_</v>
      </c>
      <c r="G3790" s="12" t="str">
        <f>Absolute_Scores!G3790</f>
        <v>Instagram</v>
      </c>
      <c r="H3790" s="29">
        <f>Absolute_Scores!I3790</f>
        <v>42</v>
      </c>
      <c r="I3790" s="30">
        <f t="shared" si="90"/>
        <v>52.5</v>
      </c>
    </row>
    <row r="3791" spans="6:9">
      <c r="F3791" s="12" t="str">
        <f>Absolute_Scores!F3791</f>
        <v>@zahrenaa</v>
      </c>
      <c r="G3791" s="12" t="str">
        <f>Absolute_Scores!G3791</f>
        <v>TikTok</v>
      </c>
      <c r="H3791" s="29">
        <f>Absolute_Scores!I3791</f>
        <v>42</v>
      </c>
      <c r="I3791" s="30">
        <f t="shared" si="90"/>
        <v>52.5</v>
      </c>
    </row>
    <row r="3792" spans="6:9">
      <c r="F3792" s="12" t="str">
        <f>Absolute_Scores!F3792</f>
        <v>@zahrulsilmi</v>
      </c>
      <c r="G3792" s="12" t="str">
        <f>Absolute_Scores!G3792</f>
        <v>Instagram</v>
      </c>
      <c r="H3792" s="29">
        <f>Absolute_Scores!I3792</f>
        <v>42</v>
      </c>
      <c r="I3792" s="30">
        <f t="shared" si="90"/>
        <v>52.5</v>
      </c>
    </row>
    <row r="3793" spans="6:9">
      <c r="F3793" s="12" t="str">
        <f>Absolute_Scores!F3793</f>
        <v>@zakariatara</v>
      </c>
      <c r="G3793" s="12" t="str">
        <f>Absolute_Scores!G3793</f>
        <v>TikTok</v>
      </c>
      <c r="H3793" s="29">
        <f>Absolute_Scores!I3793</f>
        <v>42</v>
      </c>
      <c r="I3793" s="30">
        <f t="shared" si="90"/>
        <v>52.5</v>
      </c>
    </row>
    <row r="3794" spans="6:9">
      <c r="F3794" s="12" t="str">
        <f>Absolute_Scores!F3794</f>
        <v>@zoaai</v>
      </c>
      <c r="G3794" s="12" t="str">
        <f>Absolute_Scores!G3794</f>
        <v>Instagram</v>
      </c>
      <c r="H3794" s="29">
        <f>Absolute_Scores!I3794</f>
        <v>42</v>
      </c>
      <c r="I3794" s="30">
        <f t="shared" si="90"/>
        <v>52.5</v>
      </c>
    </row>
    <row r="3795" spans="6:9">
      <c r="F3795" s="12" t="str">
        <f>Absolute_Scores!F3795</f>
        <v>@zulfa_jamilaa</v>
      </c>
      <c r="G3795" s="12" t="str">
        <f>Absolute_Scores!G3795</f>
        <v>TikTok</v>
      </c>
      <c r="H3795" s="29">
        <f>Absolute_Scores!I3795</f>
        <v>42</v>
      </c>
      <c r="I3795" s="30">
        <f t="shared" si="90"/>
        <v>52.5</v>
      </c>
    </row>
    <row r="3796" spans="6:9">
      <c r="F3796" s="12" t="str">
        <f>Absolute_Scores!F3796</f>
        <v>@805.aal</v>
      </c>
      <c r="G3796" s="12" t="str">
        <f>Absolute_Scores!G3796</f>
        <v>TikTok</v>
      </c>
      <c r="H3796" s="29">
        <f>Absolute_Scores!I3796</f>
        <v>41</v>
      </c>
      <c r="I3796" s="30">
        <f t="shared" si="90"/>
        <v>51.25</v>
      </c>
    </row>
    <row r="3797" spans="6:9">
      <c r="F3797" s="12" t="str">
        <f>Absolute_Scores!F3797</f>
        <v>@aatthhee</v>
      </c>
      <c r="G3797" s="12" t="str">
        <f>Absolute_Scores!G3797</f>
        <v>TikTok</v>
      </c>
      <c r="H3797" s="29">
        <f>Absolute_Scores!I3797</f>
        <v>41</v>
      </c>
      <c r="I3797" s="30">
        <f t="shared" si="90"/>
        <v>51.25</v>
      </c>
    </row>
    <row r="3798" spans="6:9">
      <c r="F3798" s="12" t="str">
        <f>Absolute_Scores!F3798</f>
        <v>@abedamzari15</v>
      </c>
      <c r="G3798" s="12" t="str">
        <f>Absolute_Scores!G3798</f>
        <v>TikTok</v>
      </c>
      <c r="H3798" s="29">
        <f>Absolute_Scores!I3798</f>
        <v>41</v>
      </c>
      <c r="I3798" s="30">
        <f t="shared" si="90"/>
        <v>51.25</v>
      </c>
    </row>
    <row r="3799" spans="6:9">
      <c r="F3799" s="12" t="str">
        <f>Absolute_Scores!F3799</f>
        <v>@adigunadaniel</v>
      </c>
      <c r="G3799" s="12" t="str">
        <f>Absolute_Scores!G3799</f>
        <v>TikTok</v>
      </c>
      <c r="H3799" s="29">
        <f>Absolute_Scores!I3799</f>
        <v>41</v>
      </c>
      <c r="I3799" s="30">
        <f t="shared" si="90"/>
        <v>51.25</v>
      </c>
    </row>
    <row r="3800" spans="6:9">
      <c r="F3800" s="12" t="str">
        <f>Absolute_Scores!F3800</f>
        <v>@adrianramadhan093</v>
      </c>
      <c r="G3800" s="12" t="str">
        <f>Absolute_Scores!G3800</f>
        <v>TikTok</v>
      </c>
      <c r="H3800" s="29">
        <f>Absolute_Scores!I3800</f>
        <v>41</v>
      </c>
      <c r="I3800" s="30">
        <f t="shared" si="90"/>
        <v>51.25</v>
      </c>
    </row>
    <row r="3801" spans="6:9">
      <c r="F3801" s="12" t="str">
        <f>Absolute_Scores!F3801</f>
        <v>@akmalmlnaa</v>
      </c>
      <c r="G3801" s="12" t="str">
        <f>Absolute_Scores!G3801</f>
        <v>TikTok</v>
      </c>
      <c r="H3801" s="29">
        <f>Absolute_Scores!I3801</f>
        <v>41</v>
      </c>
      <c r="I3801" s="30">
        <f t="shared" si="90"/>
        <v>51.25</v>
      </c>
    </row>
    <row r="3802" spans="6:9">
      <c r="F3802" s="12" t="str">
        <f>Absolute_Scores!F3802</f>
        <v>@aletaanovianda</v>
      </c>
      <c r="G3802" s="12" t="str">
        <f>Absolute_Scores!G3802</f>
        <v>TikTok</v>
      </c>
      <c r="H3802" s="29">
        <f>Absolute_Scores!I3802</f>
        <v>41</v>
      </c>
      <c r="I3802" s="30">
        <f t="shared" si="90"/>
        <v>51.25</v>
      </c>
    </row>
    <row r="3803" spans="6:9">
      <c r="F3803" s="12" t="str">
        <f>Absolute_Scores!F3803</f>
        <v>@alzwashere</v>
      </c>
      <c r="G3803" s="12" t="str">
        <f>Absolute_Scores!G3803</f>
        <v>TikTok</v>
      </c>
      <c r="H3803" s="29">
        <f>Absolute_Scores!I3803</f>
        <v>41</v>
      </c>
      <c r="I3803" s="30">
        <f t="shared" si="90"/>
        <v>51.25</v>
      </c>
    </row>
    <row r="3804" spans="6:9">
      <c r="F3804" s="12" t="str">
        <f>Absolute_Scores!F3804</f>
        <v>@ambarrachi</v>
      </c>
      <c r="G3804" s="12" t="str">
        <f>Absolute_Scores!G3804</f>
        <v>Instagram</v>
      </c>
      <c r="H3804" s="29">
        <f>Absolute_Scores!I3804</f>
        <v>41</v>
      </c>
      <c r="I3804" s="30">
        <f t="shared" si="90"/>
        <v>51.25</v>
      </c>
    </row>
    <row r="3805" spans="6:9">
      <c r="F3805" s="12" t="str">
        <f>Absolute_Scores!F3805</f>
        <v>@andreadianbimo</v>
      </c>
      <c r="G3805" s="12" t="str">
        <f>Absolute_Scores!G3805</f>
        <v>Instagram</v>
      </c>
      <c r="H3805" s="29">
        <f>Absolute_Scores!I3805</f>
        <v>41</v>
      </c>
      <c r="I3805" s="30">
        <f t="shared" si="90"/>
        <v>51.25</v>
      </c>
    </row>
    <row r="3806" spans="6:9">
      <c r="F3806" s="12" t="str">
        <f>Absolute_Scores!F3806</f>
        <v>@anez_scarlet</v>
      </c>
      <c r="G3806" s="12" t="str">
        <f>Absolute_Scores!G3806</f>
        <v>TikTok</v>
      </c>
      <c r="H3806" s="29">
        <f>Absolute_Scores!I3806</f>
        <v>41</v>
      </c>
      <c r="I3806" s="30">
        <f t="shared" si="90"/>
        <v>51.25</v>
      </c>
    </row>
    <row r="3807" spans="6:9">
      <c r="F3807" s="12" t="str">
        <f>Absolute_Scores!F3807</f>
        <v>@angelinawj</v>
      </c>
      <c r="G3807" s="12" t="str">
        <f>Absolute_Scores!G3807</f>
        <v>TikTok</v>
      </c>
      <c r="H3807" s="29">
        <f>Absolute_Scores!I3807</f>
        <v>41</v>
      </c>
      <c r="I3807" s="30">
        <f t="shared" si="90"/>
        <v>51.25</v>
      </c>
    </row>
    <row r="3808" spans="6:9">
      <c r="F3808" s="12" t="str">
        <f>Absolute_Scores!F3808</f>
        <v>@angelinesumardyy</v>
      </c>
      <c r="G3808" s="12" t="str">
        <f>Absolute_Scores!G3808</f>
        <v>Instagram</v>
      </c>
      <c r="H3808" s="29">
        <f>Absolute_Scores!I3808</f>
        <v>41</v>
      </c>
      <c r="I3808" s="30">
        <f t="shared" si="90"/>
        <v>51.25</v>
      </c>
    </row>
    <row r="3809" spans="6:9">
      <c r="F3809" s="12" t="str">
        <f>Absolute_Scores!F3809</f>
        <v>@aradhanara</v>
      </c>
      <c r="G3809" s="12" t="str">
        <f>Absolute_Scores!G3809</f>
        <v>Instagram</v>
      </c>
      <c r="H3809" s="29">
        <f>Absolute_Scores!I3809</f>
        <v>41</v>
      </c>
      <c r="I3809" s="30">
        <f t="shared" si="90"/>
        <v>51.25</v>
      </c>
    </row>
    <row r="3810" spans="6:9">
      <c r="F3810" s="12" t="str">
        <f>Absolute_Scores!F3810</f>
        <v>@arievrahman</v>
      </c>
      <c r="G3810" s="12" t="str">
        <f>Absolute_Scores!G3810</f>
        <v>Instagram</v>
      </c>
      <c r="H3810" s="29">
        <f>Absolute_Scores!I3810</f>
        <v>41</v>
      </c>
      <c r="I3810" s="30">
        <f t="shared" si="90"/>
        <v>51.25</v>
      </c>
    </row>
    <row r="3811" spans="6:9">
      <c r="F3811" s="12" t="str">
        <f>Absolute_Scores!F3811</f>
        <v>@arraliaruf</v>
      </c>
      <c r="G3811" s="12" t="str">
        <f>Absolute_Scores!G3811</f>
        <v>Instagram</v>
      </c>
      <c r="H3811" s="29">
        <f>Absolute_Scores!I3811</f>
        <v>41</v>
      </c>
      <c r="I3811" s="30">
        <f t="shared" si="90"/>
        <v>51.25</v>
      </c>
    </row>
    <row r="3812" spans="6:9">
      <c r="F3812" s="12" t="str">
        <f>Absolute_Scores!F3812</f>
        <v>@artiyanangeliza_</v>
      </c>
      <c r="G3812" s="12" t="str">
        <f>Absolute_Scores!G3812</f>
        <v>Instagram</v>
      </c>
      <c r="H3812" s="29">
        <f>Absolute_Scores!I3812</f>
        <v>41</v>
      </c>
      <c r="I3812" s="30">
        <f t="shared" si="90"/>
        <v>51.25</v>
      </c>
    </row>
    <row r="3813" spans="6:9">
      <c r="F3813" s="12" t="str">
        <f>Absolute_Scores!F3813</f>
        <v>@atikah_nurmala</v>
      </c>
      <c r="G3813" s="12" t="str">
        <f>Absolute_Scores!G3813</f>
        <v>Instagram</v>
      </c>
      <c r="H3813" s="29">
        <f>Absolute_Scores!I3813</f>
        <v>41</v>
      </c>
      <c r="I3813" s="30">
        <f t="shared" si="90"/>
        <v>51.25</v>
      </c>
    </row>
    <row r="3814" spans="6:9">
      <c r="F3814" s="12" t="str">
        <f>Absolute_Scores!F3814</f>
        <v>@bagus.bay</v>
      </c>
      <c r="G3814" s="12" t="str">
        <f>Absolute_Scores!G3814</f>
        <v>TikTok</v>
      </c>
      <c r="H3814" s="29">
        <f>Absolute_Scores!I3814</f>
        <v>41</v>
      </c>
      <c r="I3814" s="30">
        <f t="shared" si="90"/>
        <v>51.25</v>
      </c>
    </row>
    <row r="3815" spans="6:9">
      <c r="F3815" s="12" t="str">
        <f>Absolute_Scores!F3815</f>
        <v>@bayuajiefit</v>
      </c>
      <c r="G3815" s="12" t="str">
        <f>Absolute_Scores!G3815</f>
        <v>Instagram</v>
      </c>
      <c r="H3815" s="29">
        <f>Absolute_Scores!I3815</f>
        <v>41</v>
      </c>
      <c r="I3815" s="30">
        <f t="shared" si="90"/>
        <v>51.25</v>
      </c>
    </row>
    <row r="3816" spans="6:9">
      <c r="F3816" s="12" t="str">
        <f>Absolute_Scores!F3816</f>
        <v>@bayukenan</v>
      </c>
      <c r="G3816" s="12" t="str">
        <f>Absolute_Scores!G3816</f>
        <v>TikTok</v>
      </c>
      <c r="H3816" s="29">
        <f>Absolute_Scores!I3816</f>
        <v>41</v>
      </c>
      <c r="I3816" s="30">
        <f t="shared" si="90"/>
        <v>51.25</v>
      </c>
    </row>
    <row r="3817" spans="6:9">
      <c r="F3817" s="12" t="str">
        <f>Absolute_Scores!F3817</f>
        <v>@bbrighttvv</v>
      </c>
      <c r="G3817" s="12" t="str">
        <f>Absolute_Scores!G3817</f>
        <v>TikTok</v>
      </c>
      <c r="H3817" s="29">
        <f>Absolute_Scores!I3817</f>
        <v>41</v>
      </c>
      <c r="I3817" s="30">
        <f t="shared" si="90"/>
        <v>51.25</v>
      </c>
    </row>
    <row r="3818" spans="6:9">
      <c r="F3818" s="12" t="str">
        <f>Absolute_Scores!F3818</f>
        <v>@boymunthee</v>
      </c>
      <c r="G3818" s="12" t="str">
        <f>Absolute_Scores!G3818</f>
        <v>TikTok</v>
      </c>
      <c r="H3818" s="29">
        <f>Absolute_Scores!I3818</f>
        <v>41</v>
      </c>
      <c r="I3818" s="30">
        <f t="shared" si="90"/>
        <v>51.25</v>
      </c>
    </row>
    <row r="3819" spans="6:9">
      <c r="F3819" s="12" t="str">
        <f>Absolute_Scores!F3819</f>
        <v>@calivfarido</v>
      </c>
      <c r="G3819" s="12" t="str">
        <f>Absolute_Scores!G3819</f>
        <v>TikTok</v>
      </c>
      <c r="H3819" s="29">
        <f>Absolute_Scores!I3819</f>
        <v>41</v>
      </c>
      <c r="I3819" s="30">
        <f t="shared" si="90"/>
        <v>51.25</v>
      </c>
    </row>
    <row r="3820" spans="6:9">
      <c r="F3820" s="12" t="str">
        <f>Absolute_Scores!F3820</f>
        <v>@carissa_puteri</v>
      </c>
      <c r="G3820" s="12" t="str">
        <f>Absolute_Scores!G3820</f>
        <v>Instagram</v>
      </c>
      <c r="H3820" s="29">
        <f>Absolute_Scores!I3820</f>
        <v>41</v>
      </c>
      <c r="I3820" s="30">
        <f t="shared" si="90"/>
        <v>51.25</v>
      </c>
    </row>
    <row r="3821" spans="6:9">
      <c r="F3821" s="12" t="str">
        <f>Absolute_Scores!F3821</f>
        <v>@cessy_dr</v>
      </c>
      <c r="G3821" s="12" t="str">
        <f>Absolute_Scores!G3821</f>
        <v>Instagram</v>
      </c>
      <c r="H3821" s="29">
        <f>Absolute_Scores!I3821</f>
        <v>41</v>
      </c>
      <c r="I3821" s="30">
        <f t="shared" si="90"/>
        <v>51.25</v>
      </c>
    </row>
    <row r="3822" spans="6:9">
      <c r="F3822" s="12" t="str">
        <f>Absolute_Scores!F3822</f>
        <v>@claraa_chantika</v>
      </c>
      <c r="G3822" s="12" t="str">
        <f>Absolute_Scores!G3822</f>
        <v>TikTok</v>
      </c>
      <c r="H3822" s="29">
        <f>Absolute_Scores!I3822</f>
        <v>41</v>
      </c>
      <c r="I3822" s="30">
        <f t="shared" si="90"/>
        <v>51.25</v>
      </c>
    </row>
    <row r="3823" spans="6:9">
      <c r="F3823" s="12" t="str">
        <f>Absolute_Scores!F3823</f>
        <v>@cynthiaganesha</v>
      </c>
      <c r="G3823" s="12" t="str">
        <f>Absolute_Scores!G3823</f>
        <v>Instagram</v>
      </c>
      <c r="H3823" s="29">
        <f>Absolute_Scores!I3823</f>
        <v>41</v>
      </c>
      <c r="I3823" s="30">
        <f t="shared" si="90"/>
        <v>51.25</v>
      </c>
    </row>
    <row r="3824" spans="6:9">
      <c r="F3824" s="12" t="str">
        <f>Absolute_Scores!F3824</f>
        <v>@delyviaazra</v>
      </c>
      <c r="G3824" s="12" t="str">
        <f>Absolute_Scores!G3824</f>
        <v>TikTok</v>
      </c>
      <c r="H3824" s="29">
        <f>Absolute_Scores!I3824</f>
        <v>41</v>
      </c>
      <c r="I3824" s="30">
        <f t="shared" si="90"/>
        <v>51.25</v>
      </c>
    </row>
    <row r="3825" spans="6:9">
      <c r="F3825" s="12" t="str">
        <f>Absolute_Scores!F3825</f>
        <v>@dinzzur</v>
      </c>
      <c r="G3825" s="12" t="str">
        <f>Absolute_Scores!G3825</f>
        <v>Instagram</v>
      </c>
      <c r="H3825" s="29">
        <f>Absolute_Scores!I3825</f>
        <v>41</v>
      </c>
      <c r="I3825" s="30">
        <f t="shared" si="90"/>
        <v>51.25</v>
      </c>
    </row>
    <row r="3826" spans="6:9">
      <c r="F3826" s="12" t="str">
        <f>Absolute_Scores!F3826</f>
        <v>@dmsspptr</v>
      </c>
      <c r="G3826" s="12" t="str">
        <f>Absolute_Scores!G3826</f>
        <v>TikTok</v>
      </c>
      <c r="H3826" s="29">
        <f>Absolute_Scores!I3826</f>
        <v>41</v>
      </c>
      <c r="I3826" s="30">
        <f t="shared" si="90"/>
        <v>51.25</v>
      </c>
    </row>
    <row r="3827" spans="6:9">
      <c r="F3827" s="12" t="str">
        <f>Absolute_Scores!F3827</f>
        <v>@eduardo_adam</v>
      </c>
      <c r="G3827" s="12" t="str">
        <f>Absolute_Scores!G3827</f>
        <v>TikTok</v>
      </c>
      <c r="H3827" s="29">
        <f>Absolute_Scores!I3827</f>
        <v>41</v>
      </c>
      <c r="I3827" s="30">
        <f t="shared" si="90"/>
        <v>51.25</v>
      </c>
    </row>
    <row r="3828" spans="6:9">
      <c r="F3828" s="12" t="str">
        <f>Absolute_Scores!F3828</f>
        <v>@ehfank</v>
      </c>
      <c r="G3828" s="12" t="str">
        <f>Absolute_Scores!G3828</f>
        <v>TikTok</v>
      </c>
      <c r="H3828" s="29">
        <f>Absolute_Scores!I3828</f>
        <v>41</v>
      </c>
      <c r="I3828" s="30">
        <f t="shared" si="90"/>
        <v>51.25</v>
      </c>
    </row>
    <row r="3829" spans="6:9">
      <c r="F3829" s="12" t="str">
        <f>Absolute_Scores!F3829</f>
        <v>@ekakmldw_</v>
      </c>
      <c r="G3829" s="12" t="str">
        <f>Absolute_Scores!G3829</f>
        <v>TikTok</v>
      </c>
      <c r="H3829" s="29">
        <f>Absolute_Scores!I3829</f>
        <v>41</v>
      </c>
      <c r="I3829" s="30">
        <f t="shared" si="90"/>
        <v>51.25</v>
      </c>
    </row>
    <row r="3830" spans="6:9">
      <c r="F3830" s="12" t="str">
        <f>Absolute_Scores!F3830</f>
        <v>@elysacandra</v>
      </c>
      <c r="G3830" s="12" t="str">
        <f>Absolute_Scores!G3830</f>
        <v>Instagram</v>
      </c>
      <c r="H3830" s="29">
        <f>Absolute_Scores!I3830</f>
        <v>41</v>
      </c>
      <c r="I3830" s="30">
        <f t="shared" si="90"/>
        <v>51.25</v>
      </c>
    </row>
    <row r="3831" spans="6:9">
      <c r="F3831" s="12" t="str">
        <f>Absolute_Scores!F3831</f>
        <v>@encolalaina</v>
      </c>
      <c r="G3831" s="12" t="str">
        <f>Absolute_Scores!G3831</f>
        <v>TikTok</v>
      </c>
      <c r="H3831" s="29">
        <f>Absolute_Scores!I3831</f>
        <v>41</v>
      </c>
      <c r="I3831" s="30">
        <f t="shared" si="90"/>
        <v>51.25</v>
      </c>
    </row>
    <row r="3832" spans="6:9">
      <c r="F3832" s="12" t="str">
        <f>Absolute_Scores!F3832</f>
        <v>@fahezafebrianti</v>
      </c>
      <c r="G3832" s="12" t="str">
        <f>Absolute_Scores!G3832</f>
        <v>TikTok</v>
      </c>
      <c r="H3832" s="29">
        <f>Absolute_Scores!I3832</f>
        <v>41</v>
      </c>
      <c r="I3832" s="30">
        <f t="shared" si="90"/>
        <v>51.25</v>
      </c>
    </row>
    <row r="3833" spans="6:9">
      <c r="F3833" s="12" t="str">
        <f>Absolute_Scores!F3833</f>
        <v>@faisalary</v>
      </c>
      <c r="G3833" s="12" t="str">
        <f>Absolute_Scores!G3833</f>
        <v>TikTok</v>
      </c>
      <c r="H3833" s="29">
        <f>Absolute_Scores!I3833</f>
        <v>41</v>
      </c>
      <c r="I3833" s="30">
        <f t="shared" si="90"/>
        <v>51.25</v>
      </c>
    </row>
    <row r="3834" spans="6:9">
      <c r="F3834" s="12" t="str">
        <f>Absolute_Scores!F3834</f>
        <v>@firmansalvatore</v>
      </c>
      <c r="G3834" s="12" t="str">
        <f>Absolute_Scores!G3834</f>
        <v>TikTok</v>
      </c>
      <c r="H3834" s="29">
        <f>Absolute_Scores!I3834</f>
        <v>41</v>
      </c>
      <c r="I3834" s="30">
        <f t="shared" si="90"/>
        <v>51.25</v>
      </c>
    </row>
    <row r="3835" spans="6:9">
      <c r="F3835" s="12" t="str">
        <f>Absolute_Scores!F3835</f>
        <v>@gautama_gt</v>
      </c>
      <c r="G3835" s="12" t="str">
        <f>Absolute_Scores!G3835</f>
        <v>TikTok</v>
      </c>
      <c r="H3835" s="29">
        <f>Absolute_Scores!I3835</f>
        <v>41</v>
      </c>
      <c r="I3835" s="30">
        <f t="shared" si="90"/>
        <v>51.25</v>
      </c>
    </row>
    <row r="3836" spans="6:9">
      <c r="F3836" s="12" t="str">
        <f>Absolute_Scores!F3836</f>
        <v>@gilangpurnama_</v>
      </c>
      <c r="G3836" s="12" t="str">
        <f>Absolute_Scores!G3836</f>
        <v>TikTok</v>
      </c>
      <c r="H3836" s="29">
        <f>Absolute_Scores!I3836</f>
        <v>41</v>
      </c>
      <c r="I3836" s="30">
        <f t="shared" si="90"/>
        <v>51.25</v>
      </c>
    </row>
    <row r="3837" spans="6:9">
      <c r="F3837" s="12" t="str">
        <f>Absolute_Scores!F3837</f>
        <v>@gilbertgideonn</v>
      </c>
      <c r="G3837" s="12" t="str">
        <f>Absolute_Scores!G3837</f>
        <v>TikTok</v>
      </c>
      <c r="H3837" s="29">
        <f>Absolute_Scores!I3837</f>
        <v>41</v>
      </c>
      <c r="I3837" s="30">
        <f t="shared" si="90"/>
        <v>51.25</v>
      </c>
    </row>
    <row r="3838" spans="6:9">
      <c r="F3838" s="12" t="str">
        <f>Absolute_Scores!F3838</f>
        <v>@habibieishere</v>
      </c>
      <c r="G3838" s="12" t="str">
        <f>Absolute_Scores!G3838</f>
        <v>TikTok</v>
      </c>
      <c r="H3838" s="29">
        <f>Absolute_Scores!I3838</f>
        <v>41</v>
      </c>
      <c r="I3838" s="30">
        <f t="shared" si="90"/>
        <v>51.25</v>
      </c>
    </row>
    <row r="3839" spans="6:9">
      <c r="F3839" s="12" t="str">
        <f>Absolute_Scores!F3839</f>
        <v>@heyaguswandi</v>
      </c>
      <c r="G3839" s="12" t="str">
        <f>Absolute_Scores!G3839</f>
        <v>TikTok</v>
      </c>
      <c r="H3839" s="29">
        <f>Absolute_Scores!I3839</f>
        <v>41</v>
      </c>
      <c r="I3839" s="30">
        <f t="shared" si="90"/>
        <v>51.25</v>
      </c>
    </row>
    <row r="3840" spans="6:9">
      <c r="F3840" s="12" t="str">
        <f>Absolute_Scores!F3840</f>
        <v>@heykur</v>
      </c>
      <c r="G3840" s="12" t="str">
        <f>Absolute_Scores!G3840</f>
        <v>TikTok</v>
      </c>
      <c r="H3840" s="29">
        <f>Absolute_Scores!I3840</f>
        <v>41</v>
      </c>
      <c r="I3840" s="30">
        <f t="shared" si="90"/>
        <v>51.25</v>
      </c>
    </row>
    <row r="3841" spans="6:9">
      <c r="F3841" s="12" t="str">
        <f>Absolute_Scores!F3841</f>
        <v>@hildaa.maulida</v>
      </c>
      <c r="G3841" s="12" t="str">
        <f>Absolute_Scores!G3841</f>
        <v>Instagram</v>
      </c>
      <c r="H3841" s="29">
        <f>Absolute_Scores!I3841</f>
        <v>41</v>
      </c>
      <c r="I3841" s="30">
        <f t="shared" si="90"/>
        <v>51.25</v>
      </c>
    </row>
    <row r="3842" spans="6:9">
      <c r="F3842" s="12" t="str">
        <f>Absolute_Scores!F3842</f>
        <v>@ibra.berkisah</v>
      </c>
      <c r="G3842" s="12" t="str">
        <f>Absolute_Scores!G3842</f>
        <v>Instagram</v>
      </c>
      <c r="H3842" s="29">
        <f>Absolute_Scores!I3842</f>
        <v>41</v>
      </c>
      <c r="I3842" s="30">
        <f t="shared" si="90"/>
        <v>51.25</v>
      </c>
    </row>
    <row r="3843" spans="6:9">
      <c r="F3843" s="12" t="str">
        <f>Absolute_Scores!F3843</f>
        <v>@indahayuamanda</v>
      </c>
      <c r="G3843" s="12" t="str">
        <f>Absolute_Scores!G3843</f>
        <v>Instagram</v>
      </c>
      <c r="H3843" s="29">
        <f>Absolute_Scores!I3843</f>
        <v>41</v>
      </c>
      <c r="I3843" s="30">
        <f t="shared" si="90"/>
        <v>51.25</v>
      </c>
    </row>
    <row r="3844" spans="6:9">
      <c r="F3844" s="12" t="str">
        <f>Absolute_Scores!F3844</f>
        <v>@its.kii__</v>
      </c>
      <c r="G3844" s="12" t="str">
        <f>Absolute_Scores!G3844</f>
        <v>TikTok</v>
      </c>
      <c r="H3844" s="29">
        <f>Absolute_Scores!I3844</f>
        <v>41</v>
      </c>
      <c r="I3844" s="30">
        <f t="shared" si="90"/>
        <v>51.25</v>
      </c>
    </row>
    <row r="3845" spans="6:9">
      <c r="F3845" s="12" t="str">
        <f>Absolute_Scores!F3845</f>
        <v>@itsvivie91</v>
      </c>
      <c r="G3845" s="12" t="str">
        <f>Absolute_Scores!G3845</f>
        <v>Instagram</v>
      </c>
      <c r="H3845" s="29">
        <f>Absolute_Scores!I3845</f>
        <v>41</v>
      </c>
      <c r="I3845" s="30">
        <f t="shared" si="90"/>
        <v>51.25</v>
      </c>
    </row>
    <row r="3846" spans="6:9">
      <c r="F3846" s="12" t="str">
        <f>Absolute_Scores!F3846</f>
        <v>@jakarta.terkini</v>
      </c>
      <c r="G3846" s="12" t="str">
        <f>Absolute_Scores!G3846</f>
        <v>Instagram</v>
      </c>
      <c r="H3846" s="29">
        <f>Absolute_Scores!I3846</f>
        <v>41</v>
      </c>
      <c r="I3846" s="30">
        <f t="shared" ref="I3846:I3909" si="91">ROUND(H3846/$I$4*100,2)</f>
        <v>51.25</v>
      </c>
    </row>
    <row r="3847" spans="6:9">
      <c r="F3847" s="12" t="str">
        <f>Absolute_Scores!F3847</f>
        <v>@johannesgabriell</v>
      </c>
      <c r="G3847" s="12" t="str">
        <f>Absolute_Scores!G3847</f>
        <v>TikTok</v>
      </c>
      <c r="H3847" s="29">
        <f>Absolute_Scores!I3847</f>
        <v>41</v>
      </c>
      <c r="I3847" s="30">
        <f t="shared" si="91"/>
        <v>51.25</v>
      </c>
    </row>
    <row r="3848" spans="6:9">
      <c r="F3848" s="12" t="str">
        <f>Absolute_Scores!F3848</f>
        <v>@jojoaeyo</v>
      </c>
      <c r="G3848" s="12" t="str">
        <f>Absolute_Scores!G3848</f>
        <v>TikTok</v>
      </c>
      <c r="H3848" s="29">
        <f>Absolute_Scores!I3848</f>
        <v>41</v>
      </c>
      <c r="I3848" s="30">
        <f t="shared" si="91"/>
        <v>51.25</v>
      </c>
    </row>
    <row r="3849" spans="6:9">
      <c r="F3849" s="12" t="str">
        <f>Absolute_Scores!F3849</f>
        <v>@joviadhiguna</v>
      </c>
      <c r="G3849" s="12" t="str">
        <f>Absolute_Scores!G3849</f>
        <v>Instagram</v>
      </c>
      <c r="H3849" s="29">
        <f>Absolute_Scores!I3849</f>
        <v>41</v>
      </c>
      <c r="I3849" s="30">
        <f t="shared" si="91"/>
        <v>51.25</v>
      </c>
    </row>
    <row r="3850" spans="6:9">
      <c r="F3850" s="12" t="str">
        <f>Absolute_Scores!F3850</f>
        <v>@jubanh</v>
      </c>
      <c r="G3850" s="12" t="str">
        <f>Absolute_Scores!G3850</f>
        <v>TikTok</v>
      </c>
      <c r="H3850" s="29">
        <f>Absolute_Scores!I3850</f>
        <v>41</v>
      </c>
      <c r="I3850" s="30">
        <f t="shared" si="91"/>
        <v>51.25</v>
      </c>
    </row>
    <row r="3851" spans="6:9">
      <c r="F3851" s="12" t="str">
        <f>Absolute_Scores!F3851</f>
        <v>@kataruang_</v>
      </c>
      <c r="G3851" s="12" t="str">
        <f>Absolute_Scores!G3851</f>
        <v>TikTok</v>
      </c>
      <c r="H3851" s="29">
        <f>Absolute_Scores!I3851</f>
        <v>41</v>
      </c>
      <c r="I3851" s="30">
        <f t="shared" si="91"/>
        <v>51.25</v>
      </c>
    </row>
    <row r="3852" spans="6:9">
      <c r="F3852" s="12" t="str">
        <f>Absolute_Scores!F3852</f>
        <v>@kegabutann12_</v>
      </c>
      <c r="G3852" s="12" t="str">
        <f>Absolute_Scores!G3852</f>
        <v>TikTok</v>
      </c>
      <c r="H3852" s="29">
        <f>Absolute_Scores!I3852</f>
        <v>41</v>
      </c>
      <c r="I3852" s="30">
        <f t="shared" si="91"/>
        <v>51.25</v>
      </c>
    </row>
    <row r="3853" spans="6:9">
      <c r="F3853" s="12" t="str">
        <f>Absolute_Scores!F3853</f>
        <v>@larashere__</v>
      </c>
      <c r="G3853" s="12" t="str">
        <f>Absolute_Scores!G3853</f>
        <v>Instagram</v>
      </c>
      <c r="H3853" s="29">
        <f>Absolute_Scores!I3853</f>
        <v>41</v>
      </c>
      <c r="I3853" s="30">
        <f t="shared" si="91"/>
        <v>51.25</v>
      </c>
    </row>
    <row r="3854" spans="6:9">
      <c r="F3854" s="12" t="str">
        <f>Absolute_Scores!F3854</f>
        <v>@leomessi</v>
      </c>
      <c r="G3854" s="12" t="str">
        <f>Absolute_Scores!G3854</f>
        <v>Instagram</v>
      </c>
      <c r="H3854" s="29">
        <f>Absolute_Scores!I3854</f>
        <v>41</v>
      </c>
      <c r="I3854" s="30">
        <f t="shared" si="91"/>
        <v>51.25</v>
      </c>
    </row>
    <row r="3855" spans="6:9">
      <c r="F3855" s="12" t="str">
        <f>Absolute_Scores!F3855</f>
        <v>@leonardusyesino</v>
      </c>
      <c r="G3855" s="12" t="str">
        <f>Absolute_Scores!G3855</f>
        <v>TikTok</v>
      </c>
      <c r="H3855" s="29">
        <f>Absolute_Scores!I3855</f>
        <v>41</v>
      </c>
      <c r="I3855" s="30">
        <f t="shared" si="91"/>
        <v>51.25</v>
      </c>
    </row>
    <row r="3856" spans="6:9">
      <c r="F3856" s="12" t="str">
        <f>Absolute_Scores!F3856</f>
        <v>@letta_himeka29</v>
      </c>
      <c r="G3856" s="12" t="str">
        <f>Absolute_Scores!G3856</f>
        <v>Instagram</v>
      </c>
      <c r="H3856" s="29">
        <f>Absolute_Scores!I3856</f>
        <v>41</v>
      </c>
      <c r="I3856" s="30">
        <f t="shared" si="91"/>
        <v>51.25</v>
      </c>
    </row>
    <row r="3857" spans="6:9">
      <c r="F3857" s="12" t="str">
        <f>Absolute_Scores!F3857</f>
        <v>@lianadevn</v>
      </c>
      <c r="G3857" s="12" t="str">
        <f>Absolute_Scores!G3857</f>
        <v>TikTok</v>
      </c>
      <c r="H3857" s="29">
        <f>Absolute_Scores!I3857</f>
        <v>41</v>
      </c>
      <c r="I3857" s="30">
        <f t="shared" si="91"/>
        <v>51.25</v>
      </c>
    </row>
    <row r="3858" spans="6:9">
      <c r="F3858" s="12" t="str">
        <f>Absolute_Scores!F3858</f>
        <v>@liannandopr</v>
      </c>
      <c r="G3858" s="12" t="str">
        <f>Absolute_Scores!G3858</f>
        <v>TikTok</v>
      </c>
      <c r="H3858" s="29">
        <f>Absolute_Scores!I3858</f>
        <v>41</v>
      </c>
      <c r="I3858" s="30">
        <f t="shared" si="91"/>
        <v>51.25</v>
      </c>
    </row>
    <row r="3859" spans="6:9">
      <c r="F3859" s="12" t="str">
        <f>Absolute_Scores!F3859</f>
        <v>@lifia_laeticia</v>
      </c>
      <c r="G3859" s="12" t="str">
        <f>Absolute_Scores!G3859</f>
        <v>Instagram</v>
      </c>
      <c r="H3859" s="29">
        <f>Absolute_Scores!I3859</f>
        <v>41</v>
      </c>
      <c r="I3859" s="30">
        <f t="shared" si="91"/>
        <v>51.25</v>
      </c>
    </row>
    <row r="3860" spans="6:9">
      <c r="F3860" s="12" t="str">
        <f>Absolute_Scores!F3860</f>
        <v>@mahalmer</v>
      </c>
      <c r="G3860" s="12" t="str">
        <f>Absolute_Scores!G3860</f>
        <v>TikTok</v>
      </c>
      <c r="H3860" s="29">
        <f>Absolute_Scores!I3860</f>
        <v>41</v>
      </c>
      <c r="I3860" s="30">
        <f t="shared" si="91"/>
        <v>51.25</v>
      </c>
    </row>
    <row r="3861" spans="6:9">
      <c r="F3861" s="12" t="str">
        <f>Absolute_Scores!F3861</f>
        <v>@marcelldarwin</v>
      </c>
      <c r="G3861" s="12" t="str">
        <f>Absolute_Scores!G3861</f>
        <v>Instagram</v>
      </c>
      <c r="H3861" s="29">
        <f>Absolute_Scores!I3861</f>
        <v>41</v>
      </c>
      <c r="I3861" s="30">
        <f t="shared" si="91"/>
        <v>51.25</v>
      </c>
    </row>
    <row r="3862" spans="6:9">
      <c r="F3862" s="12" t="str">
        <f>Absolute_Scores!F3862</f>
        <v>@mariakarinaa</v>
      </c>
      <c r="G3862" s="12" t="str">
        <f>Absolute_Scores!G3862</f>
        <v>Instagram</v>
      </c>
      <c r="H3862" s="29">
        <f>Absolute_Scores!I3862</f>
        <v>41</v>
      </c>
      <c r="I3862" s="30">
        <f t="shared" si="91"/>
        <v>51.25</v>
      </c>
    </row>
    <row r="3863" spans="6:9">
      <c r="F3863" s="12" t="str">
        <f>Absolute_Scores!F3863</f>
        <v>@masnur93</v>
      </c>
      <c r="G3863" s="12" t="str">
        <f>Absolute_Scores!G3863</f>
        <v>TikTok</v>
      </c>
      <c r="H3863" s="29">
        <f>Absolute_Scores!I3863</f>
        <v>41</v>
      </c>
      <c r="I3863" s="30">
        <f t="shared" si="91"/>
        <v>51.25</v>
      </c>
    </row>
    <row r="3864" spans="6:9">
      <c r="F3864" s="12" t="str">
        <f>Absolute_Scores!F3864</f>
        <v>@maulyaridwans</v>
      </c>
      <c r="G3864" s="12" t="str">
        <f>Absolute_Scores!G3864</f>
        <v>TikTok</v>
      </c>
      <c r="H3864" s="29">
        <f>Absolute_Scores!I3864</f>
        <v>41</v>
      </c>
      <c r="I3864" s="30">
        <f t="shared" si="91"/>
        <v>51.25</v>
      </c>
    </row>
    <row r="3865" spans="6:9">
      <c r="F3865" s="12" t="str">
        <f>Absolute_Scores!F3865</f>
        <v>@melisa.josiah</v>
      </c>
      <c r="G3865" s="12" t="str">
        <f>Absolute_Scores!G3865</f>
        <v>Instagram</v>
      </c>
      <c r="H3865" s="29">
        <f>Absolute_Scores!I3865</f>
        <v>41</v>
      </c>
      <c r="I3865" s="30">
        <f t="shared" si="91"/>
        <v>51.25</v>
      </c>
    </row>
    <row r="3866" spans="6:9">
      <c r="F3866" s="12" t="str">
        <f>Absolute_Scores!F3866</f>
        <v>@mitadwiputri</v>
      </c>
      <c r="G3866" s="12" t="str">
        <f>Absolute_Scores!G3866</f>
        <v>Instagram</v>
      </c>
      <c r="H3866" s="29">
        <f>Absolute_Scores!I3866</f>
        <v>41</v>
      </c>
      <c r="I3866" s="30">
        <f t="shared" si="91"/>
        <v>51.25</v>
      </c>
    </row>
    <row r="3867" spans="6:9">
      <c r="F3867" s="12" t="str">
        <f>Absolute_Scores!F3867</f>
        <v>@mrafffy12</v>
      </c>
      <c r="G3867" s="12" t="str">
        <f>Absolute_Scores!G3867</f>
        <v>TikTok</v>
      </c>
      <c r="H3867" s="29">
        <f>Absolute_Scores!I3867</f>
        <v>41</v>
      </c>
      <c r="I3867" s="30">
        <f t="shared" si="91"/>
        <v>51.25</v>
      </c>
    </row>
    <row r="3868" spans="6:9">
      <c r="F3868" s="12" t="str">
        <f>Absolute_Scores!F3868</f>
        <v>@nadialaydrus</v>
      </c>
      <c r="G3868" s="12" t="str">
        <f>Absolute_Scores!G3868</f>
        <v>Instagram</v>
      </c>
      <c r="H3868" s="29">
        <f>Absolute_Scores!I3868</f>
        <v>41</v>
      </c>
      <c r="I3868" s="30">
        <f t="shared" si="91"/>
        <v>51.25</v>
      </c>
    </row>
    <row r="3869" spans="6:9">
      <c r="F3869" s="12" t="str">
        <f>Absolute_Scores!F3869</f>
        <v>@nadianinette</v>
      </c>
      <c r="G3869" s="12" t="str">
        <f>Absolute_Scores!G3869</f>
        <v>Instagram</v>
      </c>
      <c r="H3869" s="29">
        <f>Absolute_Scores!I3869</f>
        <v>41</v>
      </c>
      <c r="I3869" s="30">
        <f t="shared" si="91"/>
        <v>51.25</v>
      </c>
    </row>
    <row r="3870" spans="6:9">
      <c r="F3870" s="12" t="str">
        <f>Absolute_Scores!F3870</f>
        <v>@nata.kansias</v>
      </c>
      <c r="G3870" s="12" t="str">
        <f>Absolute_Scores!G3870</f>
        <v>TikTok</v>
      </c>
      <c r="H3870" s="29">
        <f>Absolute_Scores!I3870</f>
        <v>41</v>
      </c>
      <c r="I3870" s="30">
        <f t="shared" si="91"/>
        <v>51.25</v>
      </c>
    </row>
    <row r="3871" spans="6:9">
      <c r="F3871" s="12" t="str">
        <f>Absolute_Scores!F3871</f>
        <v>@nesyanabila</v>
      </c>
      <c r="G3871" s="12" t="str">
        <f>Absolute_Scores!G3871</f>
        <v>Instagram</v>
      </c>
      <c r="H3871" s="29">
        <f>Absolute_Scores!I3871</f>
        <v>41</v>
      </c>
      <c r="I3871" s="30">
        <f t="shared" si="91"/>
        <v>51.25</v>
      </c>
    </row>
    <row r="3872" spans="6:9">
      <c r="F3872" s="12" t="str">
        <f>Absolute_Scores!F3872</f>
        <v>@omndutv</v>
      </c>
      <c r="G3872" s="12" t="str">
        <f>Absolute_Scores!G3872</f>
        <v>TikTok</v>
      </c>
      <c r="H3872" s="29">
        <f>Absolute_Scores!I3872</f>
        <v>41</v>
      </c>
      <c r="I3872" s="30">
        <f t="shared" si="91"/>
        <v>51.25</v>
      </c>
    </row>
    <row r="3873" spans="6:9">
      <c r="F3873" s="12" t="str">
        <f>Absolute_Scores!F3873</f>
        <v>@pahimhim</v>
      </c>
      <c r="G3873" s="12" t="str">
        <f>Absolute_Scores!G3873</f>
        <v>TikTok</v>
      </c>
      <c r="H3873" s="29">
        <f>Absolute_Scores!I3873</f>
        <v>41</v>
      </c>
      <c r="I3873" s="30">
        <f t="shared" si="91"/>
        <v>51.25</v>
      </c>
    </row>
    <row r="3874" spans="6:9">
      <c r="F3874" s="12" t="str">
        <f>Absolute_Scores!F3874</f>
        <v>@paldoooo</v>
      </c>
      <c r="G3874" s="12" t="str">
        <f>Absolute_Scores!G3874</f>
        <v>TikTok</v>
      </c>
      <c r="H3874" s="29">
        <f>Absolute_Scores!I3874</f>
        <v>41</v>
      </c>
      <c r="I3874" s="30">
        <f t="shared" si="91"/>
        <v>51.25</v>
      </c>
    </row>
    <row r="3875" spans="6:9">
      <c r="F3875" s="12" t="str">
        <f>Absolute_Scores!F3875</f>
        <v>@pipithuang</v>
      </c>
      <c r="G3875" s="12" t="str">
        <f>Absolute_Scores!G3875</f>
        <v>Instagram</v>
      </c>
      <c r="H3875" s="29">
        <f>Absolute_Scores!I3875</f>
        <v>41</v>
      </c>
      <c r="I3875" s="30">
        <f t="shared" si="91"/>
        <v>51.25</v>
      </c>
    </row>
    <row r="3876" spans="6:9">
      <c r="F3876" s="12" t="str">
        <f>Absolute_Scores!F3876</f>
        <v>@potatona3</v>
      </c>
      <c r="G3876" s="12" t="str">
        <f>Absolute_Scores!G3876</f>
        <v>TikTok</v>
      </c>
      <c r="H3876" s="29">
        <f>Absolute_Scores!I3876</f>
        <v>41</v>
      </c>
      <c r="I3876" s="30">
        <f t="shared" si="91"/>
        <v>51.25</v>
      </c>
    </row>
    <row r="3877" spans="6:9">
      <c r="F3877" s="12" t="str">
        <f>Absolute_Scores!F3877</f>
        <v>@prisciliatanbayong</v>
      </c>
      <c r="G3877" s="12" t="str">
        <f>Absolute_Scores!G3877</f>
        <v>Instagram</v>
      </c>
      <c r="H3877" s="29">
        <f>Absolute_Scores!I3877</f>
        <v>41</v>
      </c>
      <c r="I3877" s="30">
        <f t="shared" si="91"/>
        <v>51.25</v>
      </c>
    </row>
    <row r="3878" spans="6:9">
      <c r="F3878" s="12" t="str">
        <f>Absolute_Scores!F3878</f>
        <v>@quotesmotivasi86</v>
      </c>
      <c r="G3878" s="12" t="str">
        <f>Absolute_Scores!G3878</f>
        <v>TikTok</v>
      </c>
      <c r="H3878" s="29">
        <f>Absolute_Scores!I3878</f>
        <v>41</v>
      </c>
      <c r="I3878" s="30">
        <f t="shared" si="91"/>
        <v>51.25</v>
      </c>
    </row>
    <row r="3879" spans="6:9">
      <c r="F3879" s="12" t="str">
        <f>Absolute_Scores!F3879</f>
        <v>@raatihsyafriza</v>
      </c>
      <c r="G3879" s="12" t="str">
        <f>Absolute_Scores!G3879</f>
        <v>Instagram</v>
      </c>
      <c r="H3879" s="29">
        <f>Absolute_Scores!I3879</f>
        <v>41</v>
      </c>
      <c r="I3879" s="30">
        <f t="shared" si="91"/>
        <v>51.25</v>
      </c>
    </row>
    <row r="3880" spans="6:9">
      <c r="F3880" s="12" t="str">
        <f>Absolute_Scores!F3880</f>
        <v>@raider_wenas</v>
      </c>
      <c r="G3880" s="12" t="str">
        <f>Absolute_Scores!G3880</f>
        <v>TikTok</v>
      </c>
      <c r="H3880" s="29">
        <f>Absolute_Scores!I3880</f>
        <v>41</v>
      </c>
      <c r="I3880" s="30">
        <f t="shared" si="91"/>
        <v>51.25</v>
      </c>
    </row>
    <row r="3881" spans="6:9">
      <c r="F3881" s="12" t="str">
        <f>Absolute_Scores!F3881</f>
        <v>@rdhmhdvk</v>
      </c>
      <c r="G3881" s="12" t="str">
        <f>Absolute_Scores!G3881</f>
        <v>TikTok</v>
      </c>
      <c r="H3881" s="29">
        <f>Absolute_Scores!I3881</f>
        <v>41</v>
      </c>
      <c r="I3881" s="30">
        <f t="shared" si="91"/>
        <v>51.25</v>
      </c>
    </row>
    <row r="3882" spans="6:9">
      <c r="F3882" s="12" t="str">
        <f>Absolute_Scores!F3882</f>
        <v>@redridho</v>
      </c>
      <c r="G3882" s="12" t="str">
        <f>Absolute_Scores!G3882</f>
        <v>TikTok</v>
      </c>
      <c r="H3882" s="29">
        <f>Absolute_Scores!I3882</f>
        <v>41</v>
      </c>
      <c r="I3882" s="30">
        <f t="shared" si="91"/>
        <v>51.25</v>
      </c>
    </row>
    <row r="3883" spans="6:9">
      <c r="F3883" s="12" t="str">
        <f>Absolute_Scores!F3883</f>
        <v>@riczco</v>
      </c>
      <c r="G3883" s="12" t="str">
        <f>Absolute_Scores!G3883</f>
        <v>TikTok</v>
      </c>
      <c r="H3883" s="29">
        <f>Absolute_Scores!I3883</f>
        <v>41</v>
      </c>
      <c r="I3883" s="30">
        <f t="shared" si="91"/>
        <v>51.25</v>
      </c>
    </row>
    <row r="3884" spans="6:9">
      <c r="F3884" s="12" t="str">
        <f>Absolute_Scores!F3884</f>
        <v>@risyahputra06</v>
      </c>
      <c r="G3884" s="12" t="str">
        <f>Absolute_Scores!G3884</f>
        <v>TikTok</v>
      </c>
      <c r="H3884" s="29">
        <f>Absolute_Scores!I3884</f>
        <v>41</v>
      </c>
      <c r="I3884" s="30">
        <f t="shared" si="91"/>
        <v>51.25</v>
      </c>
    </row>
    <row r="3885" spans="6:9">
      <c r="F3885" s="12" t="str">
        <f>Absolute_Scores!F3885</f>
        <v>@roni.rahadi96</v>
      </c>
      <c r="G3885" s="12" t="str">
        <f>Absolute_Scores!G3885</f>
        <v>TikTok</v>
      </c>
      <c r="H3885" s="29">
        <f>Absolute_Scores!I3885</f>
        <v>41</v>
      </c>
      <c r="I3885" s="30">
        <f t="shared" si="91"/>
        <v>51.25</v>
      </c>
    </row>
    <row r="3886" spans="6:9">
      <c r="F3886" s="12" t="str">
        <f>Absolute_Scores!F3886</f>
        <v>@rotuaaa</v>
      </c>
      <c r="G3886" s="12" t="str">
        <f>Absolute_Scores!G3886</f>
        <v>Instagram</v>
      </c>
      <c r="H3886" s="29">
        <f>Absolute_Scores!I3886</f>
        <v>41</v>
      </c>
      <c r="I3886" s="30">
        <f t="shared" si="91"/>
        <v>51.25</v>
      </c>
    </row>
    <row r="3887" spans="6:9">
      <c r="F3887" s="12" t="str">
        <f>Absolute_Scores!F3887</f>
        <v>@sadinsquad</v>
      </c>
      <c r="G3887" s="12" t="str">
        <f>Absolute_Scores!G3887</f>
        <v>TikTok</v>
      </c>
      <c r="H3887" s="29">
        <f>Absolute_Scores!I3887</f>
        <v>41</v>
      </c>
      <c r="I3887" s="30">
        <f t="shared" si="91"/>
        <v>51.25</v>
      </c>
    </row>
    <row r="3888" spans="6:9">
      <c r="F3888" s="12" t="str">
        <f>Absolute_Scores!F3888</f>
        <v>@salyangkamu</v>
      </c>
      <c r="G3888" s="12" t="str">
        <f>Absolute_Scores!G3888</f>
        <v>TikTok</v>
      </c>
      <c r="H3888" s="29">
        <f>Absolute_Scores!I3888</f>
        <v>41</v>
      </c>
      <c r="I3888" s="30">
        <f t="shared" si="91"/>
        <v>51.25</v>
      </c>
    </row>
    <row r="3889" spans="6:9">
      <c r="F3889" s="12" t="str">
        <f>Absolute_Scores!F3889</f>
        <v>@sammypwk</v>
      </c>
      <c r="G3889" s="12" t="str">
        <f>Absolute_Scores!G3889</f>
        <v>TikTok</v>
      </c>
      <c r="H3889" s="29">
        <f>Absolute_Scores!I3889</f>
        <v>41</v>
      </c>
      <c r="I3889" s="30">
        <f t="shared" si="91"/>
        <v>51.25</v>
      </c>
    </row>
    <row r="3890" spans="6:9">
      <c r="F3890" s="12" t="str">
        <f>Absolute_Scores!F3890</f>
        <v>@seinxxx</v>
      </c>
      <c r="G3890" s="12" t="str">
        <f>Absolute_Scores!G3890</f>
        <v>TikTok</v>
      </c>
      <c r="H3890" s="29">
        <f>Absolute_Scores!I3890</f>
        <v>41</v>
      </c>
      <c r="I3890" s="30">
        <f t="shared" si="91"/>
        <v>51.25</v>
      </c>
    </row>
    <row r="3891" spans="6:9">
      <c r="F3891" s="12" t="str">
        <f>Absolute_Scores!F3891</f>
        <v>@shabrinaautomo</v>
      </c>
      <c r="G3891" s="12" t="str">
        <f>Absolute_Scores!G3891</f>
        <v>Instagram</v>
      </c>
      <c r="H3891" s="29">
        <f>Absolute_Scores!I3891</f>
        <v>41</v>
      </c>
      <c r="I3891" s="30">
        <f t="shared" si="91"/>
        <v>51.25</v>
      </c>
    </row>
    <row r="3892" spans="6:9">
      <c r="F3892" s="12" t="str">
        <f>Absolute_Scores!F3892</f>
        <v>@sitimasth_</v>
      </c>
      <c r="G3892" s="12" t="str">
        <f>Absolute_Scores!G3892</f>
        <v>Instagram</v>
      </c>
      <c r="H3892" s="29">
        <f>Absolute_Scores!I3892</f>
        <v>41</v>
      </c>
      <c r="I3892" s="30">
        <f t="shared" si="91"/>
        <v>51.25</v>
      </c>
    </row>
    <row r="3893" spans="6:9">
      <c r="F3893" s="12" t="str">
        <f>Absolute_Scores!F3893</f>
        <v>@skyiskandar123</v>
      </c>
      <c r="G3893" s="12" t="str">
        <f>Absolute_Scores!G3893</f>
        <v>TikTok</v>
      </c>
      <c r="H3893" s="29">
        <f>Absolute_Scores!I3893</f>
        <v>41</v>
      </c>
      <c r="I3893" s="30">
        <f t="shared" si="91"/>
        <v>51.25</v>
      </c>
    </row>
    <row r="3894" spans="6:9">
      <c r="F3894" s="12" t="str">
        <f>Absolute_Scores!F3894</f>
        <v>@sonia_wibisono</v>
      </c>
      <c r="G3894" s="12" t="str">
        <f>Absolute_Scores!G3894</f>
        <v>Instagram</v>
      </c>
      <c r="H3894" s="29">
        <f>Absolute_Scores!I3894</f>
        <v>41</v>
      </c>
      <c r="I3894" s="30">
        <f t="shared" si="91"/>
        <v>51.25</v>
      </c>
    </row>
    <row r="3895" spans="6:9">
      <c r="F3895" s="12" t="str">
        <f>Absolute_Scores!F3895</f>
        <v>@sulhan_khann</v>
      </c>
      <c r="G3895" s="12" t="str">
        <f>Absolute_Scores!G3895</f>
        <v>TikTok</v>
      </c>
      <c r="H3895" s="29">
        <f>Absolute_Scores!I3895</f>
        <v>41</v>
      </c>
      <c r="I3895" s="30">
        <f t="shared" si="91"/>
        <v>51.25</v>
      </c>
    </row>
    <row r="3896" spans="6:9">
      <c r="F3896" s="12" t="str">
        <f>Absolute_Scores!F3896</f>
        <v>@tasyafarasya</v>
      </c>
      <c r="G3896" s="12" t="str">
        <f>Absolute_Scores!G3896</f>
        <v>Instagram</v>
      </c>
      <c r="H3896" s="29">
        <f>Absolute_Scores!I3896</f>
        <v>41</v>
      </c>
      <c r="I3896" s="30">
        <f t="shared" si="91"/>
        <v>51.25</v>
      </c>
    </row>
    <row r="3897" spans="6:9">
      <c r="F3897" s="12" t="str">
        <f>Absolute_Scores!F3897</f>
        <v>@tutsunarye__</v>
      </c>
      <c r="G3897" s="12" t="str">
        <f>Absolute_Scores!G3897</f>
        <v>TikTok</v>
      </c>
      <c r="H3897" s="29">
        <f>Absolute_Scores!I3897</f>
        <v>41</v>
      </c>
      <c r="I3897" s="30">
        <f t="shared" si="91"/>
        <v>51.25</v>
      </c>
    </row>
    <row r="3898" spans="6:9">
      <c r="F3898" s="12" t="str">
        <f>Absolute_Scores!F3898</f>
        <v>@vaniapuspitasarii</v>
      </c>
      <c r="G3898" s="12" t="str">
        <f>Absolute_Scores!G3898</f>
        <v>TikTok</v>
      </c>
      <c r="H3898" s="29">
        <f>Absolute_Scores!I3898</f>
        <v>41</v>
      </c>
      <c r="I3898" s="30">
        <f t="shared" si="91"/>
        <v>51.25</v>
      </c>
    </row>
    <row r="3899" spans="6:9">
      <c r="F3899" s="12" t="str">
        <f>Absolute_Scores!F3899</f>
        <v>@vennyalawiyah</v>
      </c>
      <c r="G3899" s="12" t="str">
        <f>Absolute_Scores!G3899</f>
        <v>Instagram</v>
      </c>
      <c r="H3899" s="29">
        <f>Absolute_Scores!I3899</f>
        <v>41</v>
      </c>
      <c r="I3899" s="30">
        <f t="shared" si="91"/>
        <v>51.25</v>
      </c>
    </row>
    <row r="3900" spans="6:9">
      <c r="F3900" s="12" t="str">
        <f>Absolute_Scores!F3900</f>
        <v>@widayanti_36</v>
      </c>
      <c r="G3900" s="12" t="str">
        <f>Absolute_Scores!G3900</f>
        <v>TikTok</v>
      </c>
      <c r="H3900" s="29">
        <f>Absolute_Scores!I3900</f>
        <v>41</v>
      </c>
      <c r="I3900" s="30">
        <f t="shared" si="91"/>
        <v>51.25</v>
      </c>
    </row>
    <row r="3901" spans="6:9">
      <c r="F3901" s="12" t="str">
        <f>Absolute_Scores!F3901</f>
        <v>@wulanguritno</v>
      </c>
      <c r="G3901" s="12" t="str">
        <f>Absolute_Scores!G3901</f>
        <v>Instagram</v>
      </c>
      <c r="H3901" s="29">
        <f>Absolute_Scores!I3901</f>
        <v>41</v>
      </c>
      <c r="I3901" s="30">
        <f t="shared" si="91"/>
        <v>51.25</v>
      </c>
    </row>
    <row r="3902" spans="6:9">
      <c r="F3902" s="12" t="str">
        <f>Absolute_Scores!F3902</f>
        <v>@yoursmeet</v>
      </c>
      <c r="G3902" s="12" t="str">
        <f>Absolute_Scores!G3902</f>
        <v>TikTok</v>
      </c>
      <c r="H3902" s="29">
        <f>Absolute_Scores!I3902</f>
        <v>41</v>
      </c>
      <c r="I3902" s="30">
        <f t="shared" si="91"/>
        <v>51.25</v>
      </c>
    </row>
    <row r="3903" spans="6:9">
      <c r="F3903" s="12" t="str">
        <f>Absolute_Scores!F3903</f>
        <v>@yudhipp_</v>
      </c>
      <c r="G3903" s="12" t="str">
        <f>Absolute_Scores!G3903</f>
        <v>TikTok</v>
      </c>
      <c r="H3903" s="29">
        <f>Absolute_Scores!I3903</f>
        <v>41</v>
      </c>
      <c r="I3903" s="30">
        <f t="shared" si="91"/>
        <v>51.25</v>
      </c>
    </row>
    <row r="3904" spans="6:9">
      <c r="F3904" s="12" t="str">
        <f>Absolute_Scores!F3904</f>
        <v>@yutaj_</v>
      </c>
      <c r="G3904" s="12" t="str">
        <f>Absolute_Scores!G3904</f>
        <v>TikTok</v>
      </c>
      <c r="H3904" s="29">
        <f>Absolute_Scores!I3904</f>
        <v>41</v>
      </c>
      <c r="I3904" s="30">
        <f t="shared" si="91"/>
        <v>51.25</v>
      </c>
    </row>
    <row r="3905" spans="6:9">
      <c r="F3905" s="12" t="str">
        <f>Absolute_Scores!F3905</f>
        <v>@a_gungds</v>
      </c>
      <c r="G3905" s="12" t="str">
        <f>Absolute_Scores!G3905</f>
        <v>Instagram</v>
      </c>
      <c r="H3905" s="29">
        <f>Absolute_Scores!I3905</f>
        <v>40</v>
      </c>
      <c r="I3905" s="30">
        <f t="shared" si="91"/>
        <v>50</v>
      </c>
    </row>
    <row r="3906" spans="6:9">
      <c r="F3906" s="12" t="str">
        <f>Absolute_Scores!F3906</f>
        <v>@amelia_angelineee</v>
      </c>
      <c r="G3906" s="12" t="str">
        <f>Absolute_Scores!G3906</f>
        <v>Instagram</v>
      </c>
      <c r="H3906" s="29">
        <f>Absolute_Scores!I3906</f>
        <v>40</v>
      </c>
      <c r="I3906" s="30">
        <f t="shared" si="91"/>
        <v>50</v>
      </c>
    </row>
    <row r="3907" spans="6:9">
      <c r="F3907" s="12" t="str">
        <f>Absolute_Scores!F3907</f>
        <v>@anazsiantar</v>
      </c>
      <c r="G3907" s="12" t="str">
        <f>Absolute_Scores!G3907</f>
        <v>Instagram</v>
      </c>
      <c r="H3907" s="29">
        <f>Absolute_Scores!I3907</f>
        <v>40</v>
      </c>
      <c r="I3907" s="30">
        <f t="shared" si="91"/>
        <v>50</v>
      </c>
    </row>
    <row r="3908" spans="6:9">
      <c r="F3908" s="12" t="str">
        <f>Absolute_Scores!F3908</f>
        <v>@andira_83</v>
      </c>
      <c r="G3908" s="12" t="str">
        <f>Absolute_Scores!G3908</f>
        <v>Instagram</v>
      </c>
      <c r="H3908" s="29">
        <f>Absolute_Scores!I3908</f>
        <v>40</v>
      </c>
      <c r="I3908" s="30">
        <f t="shared" si="91"/>
        <v>50</v>
      </c>
    </row>
    <row r="3909" spans="6:9">
      <c r="F3909" s="12" t="str">
        <f>Absolute_Scores!F3909</f>
        <v>@balqissabhika</v>
      </c>
      <c r="G3909" s="12" t="str">
        <f>Absolute_Scores!G3909</f>
        <v>Instagram</v>
      </c>
      <c r="H3909" s="29">
        <f>Absolute_Scores!I3909</f>
        <v>40</v>
      </c>
      <c r="I3909" s="30">
        <f t="shared" si="91"/>
        <v>50</v>
      </c>
    </row>
    <row r="3910" spans="6:9">
      <c r="F3910" s="12" t="str">
        <f>Absolute_Scores!F3910</f>
        <v>@bapak2id</v>
      </c>
      <c r="G3910" s="12" t="str">
        <f>Absolute_Scores!G3910</f>
        <v>Instagram</v>
      </c>
      <c r="H3910" s="29">
        <f>Absolute_Scores!I3910</f>
        <v>40</v>
      </c>
      <c r="I3910" s="30">
        <f t="shared" ref="I3910:I3973" si="92">ROUND(H3910/$I$4*100,2)</f>
        <v>50</v>
      </c>
    </row>
    <row r="3911" spans="6:9">
      <c r="F3911" s="12" t="str">
        <f>Absolute_Scores!F3911</f>
        <v>@berliansalim</v>
      </c>
      <c r="G3911" s="12" t="str">
        <f>Absolute_Scores!G3911</f>
        <v>Instagram</v>
      </c>
      <c r="H3911" s="29">
        <f>Absolute_Scores!I3911</f>
        <v>40</v>
      </c>
      <c r="I3911" s="30">
        <f t="shared" si="92"/>
        <v>50</v>
      </c>
    </row>
    <row r="3912" spans="6:9">
      <c r="F3912" s="12" t="str">
        <f>Absolute_Scores!F3912</f>
        <v>@bogor_update</v>
      </c>
      <c r="G3912" s="12" t="str">
        <f>Absolute_Scores!G3912</f>
        <v>Instagram</v>
      </c>
      <c r="H3912" s="29">
        <f>Absolute_Scores!I3912</f>
        <v>40</v>
      </c>
      <c r="I3912" s="30">
        <f t="shared" si="92"/>
        <v>50</v>
      </c>
    </row>
    <row r="3913" spans="6:9">
      <c r="F3913" s="12" t="str">
        <f>Absolute_Scores!F3913</f>
        <v>@brigita.andine</v>
      </c>
      <c r="G3913" s="12" t="str">
        <f>Absolute_Scores!G3913</f>
        <v>Instagram</v>
      </c>
      <c r="H3913" s="29">
        <f>Absolute_Scores!I3913</f>
        <v>40</v>
      </c>
      <c r="I3913" s="30">
        <f t="shared" si="92"/>
        <v>50</v>
      </c>
    </row>
    <row r="3914" spans="6:9">
      <c r="F3914" s="12" t="str">
        <f>Absolute_Scores!F3914</f>
        <v>@cindycendana</v>
      </c>
      <c r="G3914" s="12" t="str">
        <f>Absolute_Scores!G3914</f>
        <v>Instagram</v>
      </c>
      <c r="H3914" s="29">
        <f>Absolute_Scores!I3914</f>
        <v>40</v>
      </c>
      <c r="I3914" s="30">
        <f t="shared" si="92"/>
        <v>50</v>
      </c>
    </row>
    <row r="3915" spans="6:9">
      <c r="F3915" s="12" t="str">
        <f>Absolute_Scores!F3915</f>
        <v>@cohrirans</v>
      </c>
      <c r="G3915" s="12" t="str">
        <f>Absolute_Scores!G3915</f>
        <v>Instagram</v>
      </c>
      <c r="H3915" s="29">
        <f>Absolute_Scores!I3915</f>
        <v>40</v>
      </c>
      <c r="I3915" s="30">
        <f t="shared" si="92"/>
        <v>50</v>
      </c>
    </row>
    <row r="3916" spans="6:9">
      <c r="F3916" s="12" t="str">
        <f>Absolute_Scores!F3916</f>
        <v>@deeana_05</v>
      </c>
      <c r="G3916" s="12" t="str">
        <f>Absolute_Scores!G3916</f>
        <v>TikTok</v>
      </c>
      <c r="H3916" s="29">
        <f>Absolute_Scores!I3916</f>
        <v>40</v>
      </c>
      <c r="I3916" s="30">
        <f t="shared" si="92"/>
        <v>50</v>
      </c>
    </row>
    <row r="3917" spans="6:9">
      <c r="F3917" s="12" t="str">
        <f>Absolute_Scores!F3917</f>
        <v>@desidwiyustiani</v>
      </c>
      <c r="G3917" s="12" t="str">
        <f>Absolute_Scores!G3917</f>
        <v>Instagram</v>
      </c>
      <c r="H3917" s="29">
        <f>Absolute_Scores!I3917</f>
        <v>40</v>
      </c>
      <c r="I3917" s="30">
        <f t="shared" si="92"/>
        <v>50</v>
      </c>
    </row>
    <row r="3918" spans="6:9">
      <c r="F3918" s="12" t="str">
        <f>Absolute_Scores!F3918</f>
        <v>@dr_danar</v>
      </c>
      <c r="G3918" s="12" t="str">
        <f>Absolute_Scores!G3918</f>
        <v>Instagram</v>
      </c>
      <c r="H3918" s="29">
        <f>Absolute_Scores!I3918</f>
        <v>40</v>
      </c>
      <c r="I3918" s="30">
        <f t="shared" si="92"/>
        <v>50</v>
      </c>
    </row>
    <row r="3919" spans="6:9">
      <c r="F3919" s="12" t="str">
        <f>Absolute_Scores!F3919</f>
        <v>@el.natia</v>
      </c>
      <c r="G3919" s="12" t="str">
        <f>Absolute_Scores!G3919</f>
        <v>Instagram</v>
      </c>
      <c r="H3919" s="29">
        <f>Absolute_Scores!I3919</f>
        <v>40</v>
      </c>
      <c r="I3919" s="30">
        <f t="shared" si="92"/>
        <v>50</v>
      </c>
    </row>
    <row r="3920" spans="6:9">
      <c r="F3920" s="12" t="str">
        <f>Absolute_Scores!F3920</f>
        <v>@faizalakew</v>
      </c>
      <c r="G3920" s="12" t="str">
        <f>Absolute_Scores!G3920</f>
        <v>Instagram</v>
      </c>
      <c r="H3920" s="29">
        <f>Absolute_Scores!I3920</f>
        <v>40</v>
      </c>
      <c r="I3920" s="30">
        <f t="shared" si="92"/>
        <v>50</v>
      </c>
    </row>
    <row r="3921" spans="6:9">
      <c r="F3921" s="12" t="str">
        <f>Absolute_Scores!F3921</f>
        <v>@fatyabiya</v>
      </c>
      <c r="G3921" s="12" t="str">
        <f>Absolute_Scores!G3921</f>
        <v>Instagram</v>
      </c>
      <c r="H3921" s="29">
        <f>Absolute_Scores!I3921</f>
        <v>40</v>
      </c>
      <c r="I3921" s="30">
        <f t="shared" si="92"/>
        <v>50</v>
      </c>
    </row>
    <row r="3922" spans="6:9">
      <c r="F3922" s="12" t="str">
        <f>Absolute_Scores!F3922</f>
        <v>@fazrikecap_</v>
      </c>
      <c r="G3922" s="12" t="str">
        <f>Absolute_Scores!G3922</f>
        <v>Instagram</v>
      </c>
      <c r="H3922" s="29">
        <f>Absolute_Scores!I3922</f>
        <v>40</v>
      </c>
      <c r="I3922" s="30">
        <f t="shared" si="92"/>
        <v>50</v>
      </c>
    </row>
    <row r="3923" spans="6:9">
      <c r="F3923" s="12" t="str">
        <f>Absolute_Scores!F3923</f>
        <v>@febibuder</v>
      </c>
      <c r="G3923" s="12" t="str">
        <f>Absolute_Scores!G3923</f>
        <v>Instagram</v>
      </c>
      <c r="H3923" s="29">
        <f>Absolute_Scores!I3923</f>
        <v>40</v>
      </c>
      <c r="I3923" s="30">
        <f t="shared" si="92"/>
        <v>50</v>
      </c>
    </row>
    <row r="3924" spans="6:9">
      <c r="F3924" s="12" t="str">
        <f>Absolute_Scores!F3924</f>
        <v>@felizchang</v>
      </c>
      <c r="G3924" s="12" t="str">
        <f>Absolute_Scores!G3924</f>
        <v>Instagram</v>
      </c>
      <c r="H3924" s="29">
        <f>Absolute_Scores!I3924</f>
        <v>40</v>
      </c>
      <c r="I3924" s="30">
        <f t="shared" si="92"/>
        <v>50</v>
      </c>
    </row>
    <row r="3925" spans="6:9">
      <c r="F3925" s="12" t="str">
        <f>Absolute_Scores!F3925</f>
        <v>@kianara.nay</v>
      </c>
      <c r="G3925" s="12" t="str">
        <f>Absolute_Scores!G3925</f>
        <v>Instagram</v>
      </c>
      <c r="H3925" s="29">
        <f>Absolute_Scores!I3925</f>
        <v>40</v>
      </c>
      <c r="I3925" s="30">
        <f t="shared" si="92"/>
        <v>50</v>
      </c>
    </row>
    <row r="3926" spans="6:9">
      <c r="F3926" s="12" t="str">
        <f>Absolute_Scores!F3926</f>
        <v>@kristiani_chen</v>
      </c>
      <c r="G3926" s="12" t="str">
        <f>Absolute_Scores!G3926</f>
        <v>Instagram</v>
      </c>
      <c r="H3926" s="29">
        <f>Absolute_Scores!I3926</f>
        <v>40</v>
      </c>
      <c r="I3926" s="30">
        <f t="shared" si="92"/>
        <v>50</v>
      </c>
    </row>
    <row r="3927" spans="6:9">
      <c r="F3927" s="12" t="str">
        <f>Absolute_Scores!F3927</f>
        <v>@linda.fr4ns</v>
      </c>
      <c r="G3927" s="12" t="str">
        <f>Absolute_Scores!G3927</f>
        <v>Instagram</v>
      </c>
      <c r="H3927" s="29">
        <f>Absolute_Scores!I3927</f>
        <v>40</v>
      </c>
      <c r="I3927" s="30">
        <f t="shared" si="92"/>
        <v>50</v>
      </c>
    </row>
    <row r="3928" spans="6:9">
      <c r="F3928" s="12" t="str">
        <f>Absolute_Scores!F3928</f>
        <v>@litahutami</v>
      </c>
      <c r="G3928" s="12" t="str">
        <f>Absolute_Scores!G3928</f>
        <v>Instagram</v>
      </c>
      <c r="H3928" s="29">
        <f>Absolute_Scores!I3928</f>
        <v>40</v>
      </c>
      <c r="I3928" s="30">
        <f t="shared" si="92"/>
        <v>50</v>
      </c>
    </row>
    <row r="3929" spans="6:9">
      <c r="F3929" s="12" t="str">
        <f>Absolute_Scores!F3929</f>
        <v>@meilianacen</v>
      </c>
      <c r="G3929" s="12" t="str">
        <f>Absolute_Scores!G3929</f>
        <v>Instagram</v>
      </c>
      <c r="H3929" s="29">
        <f>Absolute_Scores!I3929</f>
        <v>40</v>
      </c>
      <c r="I3929" s="30">
        <f t="shared" si="92"/>
        <v>50</v>
      </c>
    </row>
    <row r="3930" spans="6:9">
      <c r="F3930" s="12" t="str">
        <f>Absolute_Scores!F3930</f>
        <v>@minyo33</v>
      </c>
      <c r="G3930" s="12" t="str">
        <f>Absolute_Scores!G3930</f>
        <v>Instagram</v>
      </c>
      <c r="H3930" s="29">
        <f>Absolute_Scores!I3930</f>
        <v>40</v>
      </c>
      <c r="I3930" s="30">
        <f t="shared" si="92"/>
        <v>50</v>
      </c>
    </row>
    <row r="3931" spans="6:9">
      <c r="F3931" s="12" t="str">
        <f>Absolute_Scores!F3931</f>
        <v>@niffvirgiasari</v>
      </c>
      <c r="G3931" s="12" t="str">
        <f>Absolute_Scores!G3931</f>
        <v>Instagram</v>
      </c>
      <c r="H3931" s="29">
        <f>Absolute_Scores!I3931</f>
        <v>40</v>
      </c>
      <c r="I3931" s="30">
        <f t="shared" si="92"/>
        <v>50</v>
      </c>
    </row>
    <row r="3932" spans="6:9">
      <c r="F3932" s="12" t="str">
        <f>Absolute_Scores!F3932</f>
        <v>@okkapratama</v>
      </c>
      <c r="G3932" s="12" t="str">
        <f>Absolute_Scores!G3932</f>
        <v>Instagram</v>
      </c>
      <c r="H3932" s="29">
        <f>Absolute_Scores!I3932</f>
        <v>40</v>
      </c>
      <c r="I3932" s="30">
        <f t="shared" si="92"/>
        <v>50</v>
      </c>
    </row>
    <row r="3933" spans="6:9">
      <c r="F3933" s="12" t="str">
        <f>Absolute_Scores!F3933</f>
        <v>@osin__osin</v>
      </c>
      <c r="G3933" s="12" t="str">
        <f>Absolute_Scores!G3933</f>
        <v>Instagram</v>
      </c>
      <c r="H3933" s="29">
        <f>Absolute_Scores!I3933</f>
        <v>40</v>
      </c>
      <c r="I3933" s="30">
        <f t="shared" si="92"/>
        <v>50</v>
      </c>
    </row>
    <row r="3934" spans="6:9">
      <c r="F3934" s="12" t="str">
        <f>Absolute_Scores!F3934</f>
        <v>@raishazeamutiba</v>
      </c>
      <c r="G3934" s="12" t="str">
        <f>Absolute_Scores!G3934</f>
        <v>Instagram</v>
      </c>
      <c r="H3934" s="29">
        <f>Absolute_Scores!I3934</f>
        <v>40</v>
      </c>
      <c r="I3934" s="30">
        <f t="shared" si="92"/>
        <v>50</v>
      </c>
    </row>
    <row r="3935" spans="6:9">
      <c r="F3935" s="12" t="str">
        <f>Absolute_Scores!F3935</f>
        <v>@riezhaaulia</v>
      </c>
      <c r="G3935" s="12" t="str">
        <f>Absolute_Scores!G3935</f>
        <v>Instagram</v>
      </c>
      <c r="H3935" s="29">
        <f>Absolute_Scores!I3935</f>
        <v>40</v>
      </c>
      <c r="I3935" s="30">
        <f t="shared" si="92"/>
        <v>50</v>
      </c>
    </row>
    <row r="3936" spans="6:9">
      <c r="F3936" s="12" t="str">
        <f>Absolute_Scores!F3936</f>
        <v>@rifaarhas</v>
      </c>
      <c r="G3936" s="12" t="str">
        <f>Absolute_Scores!G3936</f>
        <v>Instagram</v>
      </c>
      <c r="H3936" s="29">
        <f>Absolute_Scores!I3936</f>
        <v>40</v>
      </c>
      <c r="I3936" s="30">
        <f t="shared" si="92"/>
        <v>50</v>
      </c>
    </row>
    <row r="3937" spans="6:9">
      <c r="F3937" s="12" t="str">
        <f>Absolute_Scores!F3937</f>
        <v>@septianaragil</v>
      </c>
      <c r="G3937" s="12" t="str">
        <f>Absolute_Scores!G3937</f>
        <v>Instagram</v>
      </c>
      <c r="H3937" s="29">
        <f>Absolute_Scores!I3937</f>
        <v>40</v>
      </c>
      <c r="I3937" s="30">
        <f t="shared" si="92"/>
        <v>50</v>
      </c>
    </row>
    <row r="3938" spans="6:9">
      <c r="F3938" s="12" t="str">
        <f>Absolute_Scores!F3938</f>
        <v>@shannondorothea</v>
      </c>
      <c r="G3938" s="12" t="str">
        <f>Absolute_Scores!G3938</f>
        <v>Instagram</v>
      </c>
      <c r="H3938" s="29">
        <f>Absolute_Scores!I3938</f>
        <v>40</v>
      </c>
      <c r="I3938" s="30">
        <f t="shared" si="92"/>
        <v>50</v>
      </c>
    </row>
    <row r="3939" spans="6:9">
      <c r="F3939" s="12" t="str">
        <f>Absolute_Scores!F3939</f>
        <v>@sing.adisastro</v>
      </c>
      <c r="G3939" s="12" t="str">
        <f>Absolute_Scores!G3939</f>
        <v>Instagram</v>
      </c>
      <c r="H3939" s="29">
        <f>Absolute_Scores!I3939</f>
        <v>40</v>
      </c>
      <c r="I3939" s="30">
        <f t="shared" si="92"/>
        <v>50</v>
      </c>
    </row>
    <row r="3940" spans="6:9">
      <c r="F3940" s="12" t="str">
        <f>Absolute_Scores!F3940</f>
        <v>@syarif.yosee</v>
      </c>
      <c r="G3940" s="12" t="str">
        <f>Absolute_Scores!G3940</f>
        <v>Instagram</v>
      </c>
      <c r="H3940" s="29">
        <f>Absolute_Scores!I3940</f>
        <v>40</v>
      </c>
      <c r="I3940" s="30">
        <f t="shared" si="92"/>
        <v>50</v>
      </c>
    </row>
    <row r="3941" spans="6:9">
      <c r="F3941" s="12" t="str">
        <f>Absolute_Scores!F3941</f>
        <v>@szcaalghofur</v>
      </c>
      <c r="G3941" s="12" t="str">
        <f>Absolute_Scores!G3941</f>
        <v>Instagram</v>
      </c>
      <c r="H3941" s="29">
        <f>Absolute_Scores!I3941</f>
        <v>40</v>
      </c>
      <c r="I3941" s="30">
        <f t="shared" si="92"/>
        <v>50</v>
      </c>
    </row>
    <row r="3942" spans="6:9">
      <c r="F3942" s="12" t="str">
        <f>Absolute_Scores!F3942</f>
        <v>@tarnandoete</v>
      </c>
      <c r="G3942" s="12" t="str">
        <f>Absolute_Scores!G3942</f>
        <v>Instagram</v>
      </c>
      <c r="H3942" s="29">
        <f>Absolute_Scores!I3942</f>
        <v>40</v>
      </c>
      <c r="I3942" s="30">
        <f t="shared" si="92"/>
        <v>50</v>
      </c>
    </row>
    <row r="3943" spans="6:9">
      <c r="F3943" s="12" t="str">
        <f>Absolute_Scores!F3943</f>
        <v>@tya.kq</v>
      </c>
      <c r="G3943" s="12" t="str">
        <f>Absolute_Scores!G3943</f>
        <v>TikTok</v>
      </c>
      <c r="H3943" s="29">
        <f>Absolute_Scores!I3943</f>
        <v>40</v>
      </c>
      <c r="I3943" s="30">
        <f t="shared" si="92"/>
        <v>50</v>
      </c>
    </row>
    <row r="3944" spans="6:9">
      <c r="F3944" s="12" t="str">
        <f>Absolute_Scores!F3944</f>
        <v>@vivianwahab</v>
      </c>
      <c r="G3944" s="12" t="str">
        <f>Absolute_Scores!G3944</f>
        <v>TikTok</v>
      </c>
      <c r="H3944" s="29">
        <f>Absolute_Scores!I3944</f>
        <v>40</v>
      </c>
      <c r="I3944" s="30">
        <f t="shared" si="92"/>
        <v>50</v>
      </c>
    </row>
    <row r="3945" spans="6:9">
      <c r="F3945" s="12" t="str">
        <f>Absolute_Scores!F3945</f>
        <v>@wetgloss</v>
      </c>
      <c r="G3945" s="12" t="str">
        <f>Absolute_Scores!G3945</f>
        <v>Instagram</v>
      </c>
      <c r="H3945" s="29">
        <f>Absolute_Scores!I3945</f>
        <v>40</v>
      </c>
      <c r="I3945" s="30">
        <f t="shared" si="92"/>
        <v>50</v>
      </c>
    </row>
    <row r="3946" spans="6:9">
      <c r="F3946" s="12" t="str">
        <f>Absolute_Scores!F3946</f>
        <v>@aant_otomotif</v>
      </c>
      <c r="G3946" s="12" t="str">
        <f>Absolute_Scores!G3946</f>
        <v>Instagram</v>
      </c>
      <c r="H3946" s="29">
        <f>Absolute_Scores!I3946</f>
        <v>39</v>
      </c>
      <c r="I3946" s="30">
        <f t="shared" si="92"/>
        <v>48.75</v>
      </c>
    </row>
    <row r="3947" spans="6:9">
      <c r="F3947" s="12" t="str">
        <f>Absolute_Scores!F3947</f>
        <v>@abouttng</v>
      </c>
      <c r="G3947" s="12" t="str">
        <f>Absolute_Scores!G3947</f>
        <v>Instagram</v>
      </c>
      <c r="H3947" s="29">
        <f>Absolute_Scores!I3947</f>
        <v>39</v>
      </c>
      <c r="I3947" s="30">
        <f t="shared" si="92"/>
        <v>48.75</v>
      </c>
    </row>
    <row r="3948" spans="6:9">
      <c r="F3948" s="12" t="str">
        <f>Absolute_Scores!F3948</f>
        <v>@albelajar</v>
      </c>
      <c r="G3948" s="12" t="str">
        <f>Absolute_Scores!G3948</f>
        <v>Instagram</v>
      </c>
      <c r="H3948" s="29">
        <f>Absolute_Scores!I3948</f>
        <v>39</v>
      </c>
      <c r="I3948" s="30">
        <f t="shared" si="92"/>
        <v>48.75</v>
      </c>
    </row>
    <row r="3949" spans="6:9">
      <c r="F3949" s="12" t="str">
        <f>Absolute_Scores!F3949</f>
        <v>@angie_levinaaa</v>
      </c>
      <c r="G3949" s="12" t="str">
        <f>Absolute_Scores!G3949</f>
        <v>TikTok</v>
      </c>
      <c r="H3949" s="29">
        <f>Absolute_Scores!I3949</f>
        <v>39</v>
      </c>
      <c r="I3949" s="30">
        <f t="shared" si="92"/>
        <v>48.75</v>
      </c>
    </row>
    <row r="3950" spans="6:9">
      <c r="F3950" s="12" t="str">
        <f>Absolute_Scores!F3950</f>
        <v>@annisahidayarahmahica</v>
      </c>
      <c r="G3950" s="12" t="str">
        <f>Absolute_Scores!G3950</f>
        <v>Instagram</v>
      </c>
      <c r="H3950" s="29">
        <f>Absolute_Scores!I3950</f>
        <v>39</v>
      </c>
      <c r="I3950" s="30">
        <f t="shared" si="92"/>
        <v>48.75</v>
      </c>
    </row>
    <row r="3951" spans="6:9">
      <c r="F3951" s="12" t="str">
        <f>Absolute_Scores!F3951</f>
        <v>@ash_bharlly</v>
      </c>
      <c r="G3951" s="12" t="str">
        <f>Absolute_Scores!G3951</f>
        <v>Instagram</v>
      </c>
      <c r="H3951" s="29">
        <f>Absolute_Scores!I3951</f>
        <v>39</v>
      </c>
      <c r="I3951" s="30">
        <f t="shared" si="92"/>
        <v>48.75</v>
      </c>
    </row>
    <row r="3952" spans="6:9">
      <c r="F3952" s="12" t="str">
        <f>Absolute_Scores!F3952</f>
        <v>@biila___</v>
      </c>
      <c r="G3952" s="12" t="str">
        <f>Absolute_Scores!G3952</f>
        <v>Instagram</v>
      </c>
      <c r="H3952" s="29">
        <f>Absolute_Scores!I3952</f>
        <v>39</v>
      </c>
      <c r="I3952" s="30">
        <f t="shared" si="92"/>
        <v>48.75</v>
      </c>
    </row>
    <row r="3953" spans="6:9">
      <c r="F3953" s="12" t="str">
        <f>Absolute_Scores!F3953</f>
        <v>@bodyfitbybagus</v>
      </c>
      <c r="G3953" s="12" t="str">
        <f>Absolute_Scores!G3953</f>
        <v>Instagram</v>
      </c>
      <c r="H3953" s="29">
        <f>Absolute_Scores!I3953</f>
        <v>39</v>
      </c>
      <c r="I3953" s="30">
        <f t="shared" si="92"/>
        <v>48.75</v>
      </c>
    </row>
    <row r="3954" spans="6:9">
      <c r="F3954" s="12" t="str">
        <f>Absolute_Scores!F3954</f>
        <v>@calistaangelina</v>
      </c>
      <c r="G3954" s="12" t="str">
        <f>Absolute_Scores!G3954</f>
        <v>Instagram</v>
      </c>
      <c r="H3954" s="29">
        <f>Absolute_Scores!I3954</f>
        <v>39</v>
      </c>
      <c r="I3954" s="30">
        <f t="shared" si="92"/>
        <v>48.75</v>
      </c>
    </row>
    <row r="3955" spans="6:9">
      <c r="F3955" s="12" t="str">
        <f>Absolute_Scores!F3955</f>
        <v>@candycallista</v>
      </c>
      <c r="G3955" s="12" t="str">
        <f>Absolute_Scores!G3955</f>
        <v>Instagram</v>
      </c>
      <c r="H3955" s="29">
        <f>Absolute_Scores!I3955</f>
        <v>39</v>
      </c>
      <c r="I3955" s="30">
        <f t="shared" si="92"/>
        <v>48.75</v>
      </c>
    </row>
    <row r="3956" spans="6:9">
      <c r="F3956" s="12" t="str">
        <f>Absolute_Scores!F3956</f>
        <v>@cristiano</v>
      </c>
      <c r="G3956" s="12" t="str">
        <f>Absolute_Scores!G3956</f>
        <v>Instagram</v>
      </c>
      <c r="H3956" s="29">
        <f>Absolute_Scores!I3956</f>
        <v>39</v>
      </c>
      <c r="I3956" s="30">
        <f t="shared" si="92"/>
        <v>48.75</v>
      </c>
    </row>
    <row r="3957" spans="6:9">
      <c r="F3957" s="12" t="str">
        <f>Absolute_Scores!F3957</f>
        <v>@dhorriii</v>
      </c>
      <c r="G3957" s="12" t="str">
        <f>Absolute_Scores!G3957</f>
        <v>TikTok</v>
      </c>
      <c r="H3957" s="29">
        <f>Absolute_Scores!I3957</f>
        <v>39</v>
      </c>
      <c r="I3957" s="30">
        <f t="shared" si="92"/>
        <v>48.75</v>
      </c>
    </row>
    <row r="3958" spans="6:9">
      <c r="F3958" s="12" t="str">
        <f>Absolute_Scores!F3958</f>
        <v>@diana.nana.id</v>
      </c>
      <c r="G3958" s="12" t="str">
        <f>Absolute_Scores!G3958</f>
        <v>TikTok</v>
      </c>
      <c r="H3958" s="29">
        <f>Absolute_Scores!I3958</f>
        <v>39</v>
      </c>
      <c r="I3958" s="30">
        <f t="shared" si="92"/>
        <v>48.75</v>
      </c>
    </row>
    <row r="3959" spans="6:9">
      <c r="F3959" s="12" t="str">
        <f>Absolute_Scores!F3959</f>
        <v>@dwiayuasribahari</v>
      </c>
      <c r="G3959" s="12" t="str">
        <f>Absolute_Scores!G3959</f>
        <v>TikTok</v>
      </c>
      <c r="H3959" s="29">
        <f>Absolute_Scores!I3959</f>
        <v>39</v>
      </c>
      <c r="I3959" s="30">
        <f t="shared" si="92"/>
        <v>48.75</v>
      </c>
    </row>
    <row r="3960" spans="6:9">
      <c r="F3960" s="12" t="str">
        <f>Absolute_Scores!F3960</f>
        <v>@dwist89</v>
      </c>
      <c r="G3960" s="12" t="str">
        <f>Absolute_Scores!G3960</f>
        <v>Instagram</v>
      </c>
      <c r="H3960" s="29">
        <f>Absolute_Scores!I3960</f>
        <v>39</v>
      </c>
      <c r="I3960" s="30">
        <f t="shared" si="92"/>
        <v>48.75</v>
      </c>
    </row>
    <row r="3961" spans="6:9">
      <c r="F3961" s="12" t="str">
        <f>Absolute_Scores!F3961</f>
        <v>@eiyan_guitaris</v>
      </c>
      <c r="G3961" s="12" t="str">
        <f>Absolute_Scores!G3961</f>
        <v>TikTok</v>
      </c>
      <c r="H3961" s="29">
        <f>Absolute_Scores!I3961</f>
        <v>39</v>
      </c>
      <c r="I3961" s="30">
        <f t="shared" si="92"/>
        <v>48.75</v>
      </c>
    </row>
    <row r="3962" spans="6:9">
      <c r="F3962" s="12" t="str">
        <f>Absolute_Scores!F3962</f>
        <v>@f__arwen</v>
      </c>
      <c r="G3962" s="12" t="str">
        <f>Absolute_Scores!G3962</f>
        <v>Instagram</v>
      </c>
      <c r="H3962" s="29">
        <f>Absolute_Scores!I3962</f>
        <v>39</v>
      </c>
      <c r="I3962" s="30">
        <f t="shared" si="92"/>
        <v>48.75</v>
      </c>
    </row>
    <row r="3963" spans="6:9">
      <c r="F3963" s="12" t="str">
        <f>Absolute_Scores!F3963</f>
        <v>@febryantieby</v>
      </c>
      <c r="G3963" s="12" t="str">
        <f>Absolute_Scores!G3963</f>
        <v>Instagram</v>
      </c>
      <c r="H3963" s="29">
        <f>Absolute_Scores!I3963</f>
        <v>39</v>
      </c>
      <c r="I3963" s="30">
        <f t="shared" si="92"/>
        <v>48.75</v>
      </c>
    </row>
    <row r="3964" spans="6:9">
      <c r="F3964" s="12" t="str">
        <f>Absolute_Scores!F3964</f>
        <v>@gracious_my</v>
      </c>
      <c r="G3964" s="12" t="str">
        <f>Absolute_Scores!G3964</f>
        <v>Instagram</v>
      </c>
      <c r="H3964" s="29">
        <f>Absolute_Scores!I3964</f>
        <v>39</v>
      </c>
      <c r="I3964" s="30">
        <f t="shared" si="92"/>
        <v>48.75</v>
      </c>
    </row>
    <row r="3965" spans="6:9">
      <c r="F3965" s="12" t="str">
        <f>Absolute_Scores!F3965</f>
        <v>@harveyanthonius</v>
      </c>
      <c r="G3965" s="12" t="str">
        <f>Absolute_Scores!G3965</f>
        <v>Instagram</v>
      </c>
      <c r="H3965" s="29">
        <f>Absolute_Scores!I3965</f>
        <v>39</v>
      </c>
      <c r="I3965" s="30">
        <f t="shared" si="92"/>
        <v>48.75</v>
      </c>
    </row>
    <row r="3966" spans="6:9">
      <c r="F3966" s="12" t="str">
        <f>Absolute_Scores!F3966</f>
        <v>@ichalesta</v>
      </c>
      <c r="G3966" s="12" t="str">
        <f>Absolute_Scores!G3966</f>
        <v>Instagram</v>
      </c>
      <c r="H3966" s="29">
        <f>Absolute_Scores!I3966</f>
        <v>39</v>
      </c>
      <c r="I3966" s="30">
        <f t="shared" si="92"/>
        <v>48.75</v>
      </c>
    </row>
    <row r="3967" spans="6:9">
      <c r="F3967" s="12" t="str">
        <f>Absolute_Scores!F3967</f>
        <v>@iffah_latifah88</v>
      </c>
      <c r="G3967" s="12" t="str">
        <f>Absolute_Scores!G3967</f>
        <v>Instagram</v>
      </c>
      <c r="H3967" s="29">
        <f>Absolute_Scores!I3967</f>
        <v>39</v>
      </c>
      <c r="I3967" s="30">
        <f t="shared" si="92"/>
        <v>48.75</v>
      </c>
    </row>
    <row r="3968" spans="6:9">
      <c r="F3968" s="12" t="str">
        <f>Absolute_Scores!F3968</f>
        <v>@infobekasi</v>
      </c>
      <c r="G3968" s="12" t="str">
        <f>Absolute_Scores!G3968</f>
        <v>Instagram</v>
      </c>
      <c r="H3968" s="29">
        <f>Absolute_Scores!I3968</f>
        <v>39</v>
      </c>
      <c r="I3968" s="30">
        <f t="shared" si="92"/>
        <v>48.75</v>
      </c>
    </row>
    <row r="3969" spans="6:9">
      <c r="F3969" s="12" t="str">
        <f>Absolute_Scores!F3969</f>
        <v>@infobekasi.coo</v>
      </c>
      <c r="G3969" s="12" t="str">
        <f>Absolute_Scores!G3969</f>
        <v>Instagram</v>
      </c>
      <c r="H3969" s="29">
        <f>Absolute_Scores!I3969</f>
        <v>39</v>
      </c>
      <c r="I3969" s="30">
        <f t="shared" si="92"/>
        <v>48.75</v>
      </c>
    </row>
    <row r="3970" spans="6:9">
      <c r="F3970" s="12" t="str">
        <f>Absolute_Scores!F3970</f>
        <v>@infodepok_id</v>
      </c>
      <c r="G3970" s="12" t="str">
        <f>Absolute_Scores!G3970</f>
        <v>Instagram</v>
      </c>
      <c r="H3970" s="29">
        <f>Absolute_Scores!I3970</f>
        <v>39</v>
      </c>
      <c r="I3970" s="30">
        <f t="shared" si="92"/>
        <v>48.75</v>
      </c>
    </row>
    <row r="3971" spans="6:9">
      <c r="F3971" s="12" t="str">
        <f>Absolute_Scores!F3971</f>
        <v>@irenaldriana</v>
      </c>
      <c r="G3971" s="12" t="str">
        <f>Absolute_Scores!G3971</f>
        <v>Instagram</v>
      </c>
      <c r="H3971" s="29">
        <f>Absolute_Scores!I3971</f>
        <v>39</v>
      </c>
      <c r="I3971" s="30">
        <f t="shared" si="92"/>
        <v>48.75</v>
      </c>
    </row>
    <row r="3972" spans="6:9">
      <c r="F3972" s="12" t="str">
        <f>Absolute_Scores!F3972</f>
        <v>@irenelintong</v>
      </c>
      <c r="G3972" s="12" t="str">
        <f>Absolute_Scores!G3972</f>
        <v>Instagram</v>
      </c>
      <c r="H3972" s="29">
        <f>Absolute_Scores!I3972</f>
        <v>39</v>
      </c>
      <c r="I3972" s="30">
        <f t="shared" si="92"/>
        <v>48.75</v>
      </c>
    </row>
    <row r="3973" spans="6:9">
      <c r="F3973" s="12" t="str">
        <f>Absolute_Scores!F3973</f>
        <v>@isabellaimanuella</v>
      </c>
      <c r="G3973" s="12" t="str">
        <f>Absolute_Scores!G3973</f>
        <v>Instagram</v>
      </c>
      <c r="H3973" s="29">
        <f>Absolute_Scores!I3973</f>
        <v>39</v>
      </c>
      <c r="I3973" s="30">
        <f t="shared" si="92"/>
        <v>48.75</v>
      </c>
    </row>
    <row r="3974" spans="6:9">
      <c r="F3974" s="12" t="str">
        <f>Absolute_Scores!F3974</f>
        <v>@jauzahumairo</v>
      </c>
      <c r="G3974" s="12" t="str">
        <f>Absolute_Scores!G3974</f>
        <v>Instagram</v>
      </c>
      <c r="H3974" s="29">
        <f>Absolute_Scores!I3974</f>
        <v>39</v>
      </c>
      <c r="I3974" s="30">
        <f t="shared" ref="I3974:I4037" si="93">ROUND(H3974/$I$4*100,2)</f>
        <v>48.75</v>
      </c>
    </row>
    <row r="3975" spans="6:9">
      <c r="F3975" s="12" t="str">
        <f>Absolute_Scores!F3975</f>
        <v>@jaysforeal</v>
      </c>
      <c r="G3975" s="12" t="str">
        <f>Absolute_Scores!G3975</f>
        <v>Instagram</v>
      </c>
      <c r="H3975" s="29">
        <f>Absolute_Scores!I3975</f>
        <v>39</v>
      </c>
      <c r="I3975" s="30">
        <f t="shared" si="93"/>
        <v>48.75</v>
      </c>
    </row>
    <row r="3976" spans="6:9">
      <c r="F3976" s="12" t="str">
        <f>Absolute_Scores!F3976</f>
        <v>@jktgo</v>
      </c>
      <c r="G3976" s="12" t="str">
        <f>Absolute_Scores!G3976</f>
        <v>Instagram</v>
      </c>
      <c r="H3976" s="29">
        <f>Absolute_Scores!I3976</f>
        <v>39</v>
      </c>
      <c r="I3976" s="30">
        <f t="shared" si="93"/>
        <v>48.75</v>
      </c>
    </row>
    <row r="3977" spans="6:9">
      <c r="F3977" s="12" t="str">
        <f>Absolute_Scores!F3977</f>
        <v>@kabarcibubur24jam</v>
      </c>
      <c r="G3977" s="12" t="str">
        <f>Absolute_Scores!G3977</f>
        <v>Instagram</v>
      </c>
      <c r="H3977" s="29">
        <f>Absolute_Scores!I3977</f>
        <v>39</v>
      </c>
      <c r="I3977" s="30">
        <f t="shared" si="93"/>
        <v>48.75</v>
      </c>
    </row>
    <row r="3978" spans="6:9">
      <c r="F3978" s="12" t="str">
        <f>Absolute_Scores!F3978</f>
        <v>@karinnmarzuki</v>
      </c>
      <c r="G3978" s="12" t="str">
        <f>Absolute_Scores!G3978</f>
        <v>Instagram</v>
      </c>
      <c r="H3978" s="29">
        <f>Absolute_Scores!I3978</f>
        <v>39</v>
      </c>
      <c r="I3978" s="30">
        <f t="shared" si="93"/>
        <v>48.75</v>
      </c>
    </row>
    <row r="3979" spans="6:9">
      <c r="F3979" s="12" t="str">
        <f>Absolute_Scores!F3979</f>
        <v>@karlinachandraa</v>
      </c>
      <c r="G3979" s="12" t="str">
        <f>Absolute_Scores!G3979</f>
        <v>Instagram</v>
      </c>
      <c r="H3979" s="29">
        <f>Absolute_Scores!I3979</f>
        <v>39</v>
      </c>
      <c r="I3979" s="30">
        <f t="shared" si="93"/>
        <v>48.75</v>
      </c>
    </row>
    <row r="3980" spans="6:9">
      <c r="F3980" s="12" t="str">
        <f>Absolute_Scores!F3980</f>
        <v>@kemalmochtar</v>
      </c>
      <c r="G3980" s="12" t="str">
        <f>Absolute_Scores!G3980</f>
        <v>Instagram</v>
      </c>
      <c r="H3980" s="29">
        <f>Absolute_Scores!I3980</f>
        <v>39</v>
      </c>
      <c r="I3980" s="30">
        <f t="shared" si="93"/>
        <v>48.75</v>
      </c>
    </row>
    <row r="3981" spans="6:9">
      <c r="F3981" s="12" t="str">
        <f>Absolute_Scores!F3981</f>
        <v>@kethagustine</v>
      </c>
      <c r="G3981" s="12" t="str">
        <f>Absolute_Scores!G3981</f>
        <v>Instagram</v>
      </c>
      <c r="H3981" s="29">
        <f>Absolute_Scores!I3981</f>
        <v>39</v>
      </c>
      <c r="I3981" s="30">
        <f t="shared" si="93"/>
        <v>48.75</v>
      </c>
    </row>
    <row r="3982" spans="6:9">
      <c r="F3982" s="12" t="str">
        <f>Absolute_Scores!F3982</f>
        <v>@lalogstina</v>
      </c>
      <c r="G3982" s="12" t="str">
        <f>Absolute_Scores!G3982</f>
        <v>Instagram</v>
      </c>
      <c r="H3982" s="29">
        <f>Absolute_Scores!I3982</f>
        <v>39</v>
      </c>
      <c r="I3982" s="30">
        <f t="shared" si="93"/>
        <v>48.75</v>
      </c>
    </row>
    <row r="3983" spans="6:9">
      <c r="F3983" s="12" t="str">
        <f>Absolute_Scores!F3983</f>
        <v>@margarethaaa</v>
      </c>
      <c r="G3983" s="12" t="str">
        <f>Absolute_Scores!G3983</f>
        <v>Instagram</v>
      </c>
      <c r="H3983" s="29">
        <f>Absolute_Scores!I3983</f>
        <v>39</v>
      </c>
      <c r="I3983" s="30">
        <f t="shared" si="93"/>
        <v>48.75</v>
      </c>
    </row>
    <row r="3984" spans="6:9">
      <c r="F3984" s="12" t="str">
        <f>Absolute_Scores!F3984</f>
        <v>@martinaahuang</v>
      </c>
      <c r="G3984" s="12" t="str">
        <f>Absolute_Scores!G3984</f>
        <v>Instagram</v>
      </c>
      <c r="H3984" s="29">
        <f>Absolute_Scores!I3984</f>
        <v>39</v>
      </c>
      <c r="I3984" s="30">
        <f t="shared" si="93"/>
        <v>48.75</v>
      </c>
    </row>
    <row r="3985" spans="6:9">
      <c r="F3985" s="12" t="str">
        <f>Absolute_Scores!F3985</f>
        <v>@merindasr</v>
      </c>
      <c r="G3985" s="12" t="str">
        <f>Absolute_Scores!G3985</f>
        <v>Instagram</v>
      </c>
      <c r="H3985" s="29">
        <f>Absolute_Scores!I3985</f>
        <v>39</v>
      </c>
      <c r="I3985" s="30">
        <f t="shared" si="93"/>
        <v>48.75</v>
      </c>
    </row>
    <row r="3986" spans="6:9">
      <c r="F3986" s="12" t="str">
        <f>Absolute_Scores!F3986</f>
        <v>@minatiatmanagara</v>
      </c>
      <c r="G3986" s="12" t="str">
        <f>Absolute_Scores!G3986</f>
        <v>Instagram</v>
      </c>
      <c r="H3986" s="29">
        <f>Absolute_Scores!I3986</f>
        <v>39</v>
      </c>
      <c r="I3986" s="30">
        <f t="shared" si="93"/>
        <v>48.75</v>
      </c>
    </row>
    <row r="3987" spans="6:9">
      <c r="F3987" s="12" t="str">
        <f>Absolute_Scores!F3987</f>
        <v>@mmekuliner</v>
      </c>
      <c r="G3987" s="12" t="str">
        <f>Absolute_Scores!G3987</f>
        <v>Instagram</v>
      </c>
      <c r="H3987" s="29">
        <f>Absolute_Scores!I3987</f>
        <v>39</v>
      </c>
      <c r="I3987" s="30">
        <f t="shared" si="93"/>
        <v>48.75</v>
      </c>
    </row>
    <row r="3988" spans="6:9">
      <c r="F3988" s="12" t="str">
        <f>Absolute_Scores!F3988</f>
        <v>@mondeamore</v>
      </c>
      <c r="G3988" s="12" t="str">
        <f>Absolute_Scores!G3988</f>
        <v>Instagram</v>
      </c>
      <c r="H3988" s="29">
        <f>Absolute_Scores!I3988</f>
        <v>39</v>
      </c>
      <c r="I3988" s="30">
        <f t="shared" si="93"/>
        <v>48.75</v>
      </c>
    </row>
    <row r="3989" spans="6:9">
      <c r="F3989" s="12" t="str">
        <f>Absolute_Scores!F3989</f>
        <v>@namik2604</v>
      </c>
      <c r="G3989" s="12" t="str">
        <f>Absolute_Scores!G3989</f>
        <v>TikTok</v>
      </c>
      <c r="H3989" s="29">
        <f>Absolute_Scores!I3989</f>
        <v>39</v>
      </c>
      <c r="I3989" s="30">
        <f t="shared" si="93"/>
        <v>48.75</v>
      </c>
    </row>
    <row r="3990" spans="6:9">
      <c r="F3990" s="12" t="str">
        <f>Absolute_Scores!F3990</f>
        <v>@natashagracia</v>
      </c>
      <c r="G3990" s="12" t="str">
        <f>Absolute_Scores!G3990</f>
        <v>Instagram</v>
      </c>
      <c r="H3990" s="29">
        <f>Absolute_Scores!I3990</f>
        <v>39</v>
      </c>
      <c r="I3990" s="30">
        <f t="shared" si="93"/>
        <v>48.75</v>
      </c>
    </row>
    <row r="3991" spans="6:9">
      <c r="F3991" s="12" t="str">
        <f>Absolute_Scores!F3991</f>
        <v>@nathaniec</v>
      </c>
      <c r="G3991" s="12" t="str">
        <f>Absolute_Scores!G3991</f>
        <v>Instagram</v>
      </c>
      <c r="H3991" s="29">
        <f>Absolute_Scores!I3991</f>
        <v>39</v>
      </c>
      <c r="I3991" s="30">
        <f t="shared" si="93"/>
        <v>48.75</v>
      </c>
    </row>
    <row r="3992" spans="6:9">
      <c r="F3992" s="12" t="str">
        <f>Absolute_Scores!F3992</f>
        <v>@nilaavenila</v>
      </c>
      <c r="G3992" s="12" t="str">
        <f>Absolute_Scores!G3992</f>
        <v>Instagram</v>
      </c>
      <c r="H3992" s="29">
        <f>Absolute_Scores!I3992</f>
        <v>39</v>
      </c>
      <c r="I3992" s="30">
        <f t="shared" si="93"/>
        <v>48.75</v>
      </c>
    </row>
    <row r="3993" spans="6:9">
      <c r="F3993" s="12" t="str">
        <f>Absolute_Scores!F3993</f>
        <v>@onya210</v>
      </c>
      <c r="G3993" s="12" t="str">
        <f>Absolute_Scores!G3993</f>
        <v>TikTok</v>
      </c>
      <c r="H3993" s="29">
        <f>Absolute_Scores!I3993</f>
        <v>39</v>
      </c>
      <c r="I3993" s="30">
        <f t="shared" si="93"/>
        <v>48.75</v>
      </c>
    </row>
    <row r="3994" spans="6:9">
      <c r="F3994" s="12" t="str">
        <f>Absolute_Scores!F3994</f>
        <v>@princesskica</v>
      </c>
      <c r="G3994" s="12" t="str">
        <f>Absolute_Scores!G3994</f>
        <v>Instagram</v>
      </c>
      <c r="H3994" s="29">
        <f>Absolute_Scores!I3994</f>
        <v>39</v>
      </c>
      <c r="I3994" s="30">
        <f t="shared" si="93"/>
        <v>48.75</v>
      </c>
    </row>
    <row r="3995" spans="6:9">
      <c r="F3995" s="12" t="str">
        <f>Absolute_Scores!F3995</f>
        <v>@riasasr</v>
      </c>
      <c r="G3995" s="12" t="str">
        <f>Absolute_Scores!G3995</f>
        <v>Instagram</v>
      </c>
      <c r="H3995" s="29">
        <f>Absolute_Scores!I3995</f>
        <v>39</v>
      </c>
      <c r="I3995" s="30">
        <f t="shared" si="93"/>
        <v>48.75</v>
      </c>
    </row>
    <row r="3996" spans="6:9">
      <c r="F3996" s="12" t="str">
        <f>Absolute_Scores!F3996</f>
        <v>@richaicha16</v>
      </c>
      <c r="G3996" s="12" t="str">
        <f>Absolute_Scores!G3996</f>
        <v>Instagram</v>
      </c>
      <c r="H3996" s="29">
        <f>Absolute_Scores!I3996</f>
        <v>39</v>
      </c>
      <c r="I3996" s="30">
        <f t="shared" si="93"/>
        <v>48.75</v>
      </c>
    </row>
    <row r="3997" spans="6:9">
      <c r="F3997" s="12" t="str">
        <f>Absolute_Scores!F3997</f>
        <v>@rika.fransiska92</v>
      </c>
      <c r="G3997" s="12" t="str">
        <f>Absolute_Scores!G3997</f>
        <v>Instagram</v>
      </c>
      <c r="H3997" s="29">
        <f>Absolute_Scores!I3997</f>
        <v>39</v>
      </c>
      <c r="I3997" s="30">
        <f t="shared" si="93"/>
        <v>48.75</v>
      </c>
    </row>
    <row r="3998" spans="6:9">
      <c r="F3998" s="12" t="str">
        <f>Absolute_Scores!F3998</f>
        <v>@rima.nk</v>
      </c>
      <c r="G3998" s="12" t="str">
        <f>Absolute_Scores!G3998</f>
        <v>TikTok</v>
      </c>
      <c r="H3998" s="29">
        <f>Absolute_Scores!I3998</f>
        <v>39</v>
      </c>
      <c r="I3998" s="30">
        <f t="shared" si="93"/>
        <v>48.75</v>
      </c>
    </row>
    <row r="3999" spans="6:9">
      <c r="F3999" s="12" t="str">
        <f>Absolute_Scores!F3999</f>
        <v>@ritarichie_</v>
      </c>
      <c r="G3999" s="12" t="str">
        <f>Absolute_Scores!G3999</f>
        <v>Instagram</v>
      </c>
      <c r="H3999" s="29">
        <f>Absolute_Scores!I3999</f>
        <v>39</v>
      </c>
      <c r="I3999" s="30">
        <f t="shared" si="93"/>
        <v>48.75</v>
      </c>
    </row>
    <row r="4000" spans="6:9">
      <c r="F4000" s="12" t="str">
        <f>Absolute_Scores!F4000</f>
        <v>@rivaldimy</v>
      </c>
      <c r="G4000" s="12" t="str">
        <f>Absolute_Scores!G4000</f>
        <v>Instagram</v>
      </c>
      <c r="H4000" s="29">
        <f>Absolute_Scores!I4000</f>
        <v>39</v>
      </c>
      <c r="I4000" s="30">
        <f t="shared" si="93"/>
        <v>48.75</v>
      </c>
    </row>
    <row r="4001" spans="6:9">
      <c r="F4001" s="12" t="str">
        <f>Absolute_Scores!F4001</f>
        <v>@salsabylasya</v>
      </c>
      <c r="G4001" s="12" t="str">
        <f>Absolute_Scores!G4001</f>
        <v>Instagram</v>
      </c>
      <c r="H4001" s="29">
        <f>Absolute_Scores!I4001</f>
        <v>39</v>
      </c>
      <c r="I4001" s="30">
        <f t="shared" si="93"/>
        <v>48.75</v>
      </c>
    </row>
    <row r="4002" spans="6:9">
      <c r="F4002" s="12" t="str">
        <f>Absolute_Scores!F4002</f>
        <v>@saqinnaconelly</v>
      </c>
      <c r="G4002" s="12" t="str">
        <f>Absolute_Scores!G4002</f>
        <v>Instagram</v>
      </c>
      <c r="H4002" s="29">
        <f>Absolute_Scores!I4002</f>
        <v>39</v>
      </c>
      <c r="I4002" s="30">
        <f t="shared" si="93"/>
        <v>48.75</v>
      </c>
    </row>
    <row r="4003" spans="6:9">
      <c r="F4003" s="12" t="str">
        <f>Absolute_Scores!F4003</f>
        <v>@talkboutskin</v>
      </c>
      <c r="G4003" s="12" t="str">
        <f>Absolute_Scores!G4003</f>
        <v>Instagram</v>
      </c>
      <c r="H4003" s="29">
        <f>Absolute_Scores!I4003</f>
        <v>39</v>
      </c>
      <c r="I4003" s="30">
        <f t="shared" si="93"/>
        <v>48.75</v>
      </c>
    </row>
    <row r="4004" spans="6:9">
      <c r="F4004" s="12" t="str">
        <f>Absolute_Scores!F4004</f>
        <v>@tasyadinikafajar3</v>
      </c>
      <c r="G4004" s="12" t="str">
        <f>Absolute_Scores!G4004</f>
        <v>TikTok</v>
      </c>
      <c r="H4004" s="29">
        <f>Absolute_Scores!I4004</f>
        <v>39</v>
      </c>
      <c r="I4004" s="30">
        <f t="shared" si="93"/>
        <v>48.75</v>
      </c>
    </row>
    <row r="4005" spans="6:9">
      <c r="F4005" s="12" t="str">
        <f>Absolute_Scores!F4005</f>
        <v>@tikhasudirja17</v>
      </c>
      <c r="G4005" s="12" t="str">
        <f>Absolute_Scores!G4005</f>
        <v>TikTok</v>
      </c>
      <c r="H4005" s="29">
        <f>Absolute_Scores!I4005</f>
        <v>39</v>
      </c>
      <c r="I4005" s="30">
        <f t="shared" si="93"/>
        <v>48.75</v>
      </c>
    </row>
    <row r="4006" spans="6:9">
      <c r="F4006" s="12" t="str">
        <f>Absolute_Scores!F4006</f>
        <v>@uwilan</v>
      </c>
      <c r="G4006" s="12" t="str">
        <f>Absolute_Scores!G4006</f>
        <v>Instagram</v>
      </c>
      <c r="H4006" s="29">
        <f>Absolute_Scores!I4006</f>
        <v>39</v>
      </c>
      <c r="I4006" s="30">
        <f t="shared" si="93"/>
        <v>48.75</v>
      </c>
    </row>
    <row r="4007" spans="6:9">
      <c r="F4007" s="12" t="str">
        <f>Absolute_Scores!F4007</f>
        <v>@wilona_asheera92</v>
      </c>
      <c r="G4007" s="12" t="str">
        <f>Absolute_Scores!G4007</f>
        <v>Instagram</v>
      </c>
      <c r="H4007" s="29">
        <f>Absolute_Scores!I4007</f>
        <v>39</v>
      </c>
      <c r="I4007" s="30">
        <f t="shared" si="93"/>
        <v>48.75</v>
      </c>
    </row>
    <row r="4008" spans="6:9">
      <c r="F4008" s="12" t="str">
        <f>Absolute_Scores!F4008</f>
        <v>@yaswildblood</v>
      </c>
      <c r="G4008" s="12" t="str">
        <f>Absolute_Scores!G4008</f>
        <v>Instagram</v>
      </c>
      <c r="H4008" s="29">
        <f>Absolute_Scores!I4008</f>
        <v>39</v>
      </c>
      <c r="I4008" s="30">
        <f t="shared" si="93"/>
        <v>48.75</v>
      </c>
    </row>
    <row r="4009" spans="6:9">
      <c r="F4009" s="12" t="str">
        <f>Absolute_Scores!F4009</f>
        <v>@yolakadeshi27</v>
      </c>
      <c r="G4009" s="12" t="str">
        <f>Absolute_Scores!G4009</f>
        <v>Instagram</v>
      </c>
      <c r="H4009" s="29">
        <f>Absolute_Scores!I4009</f>
        <v>39</v>
      </c>
      <c r="I4009" s="30">
        <f t="shared" si="93"/>
        <v>48.75</v>
      </c>
    </row>
    <row r="4010" spans="6:9">
      <c r="F4010" s="12" t="str">
        <f>Absolute_Scores!F4010</f>
        <v>@zalfanadhira</v>
      </c>
      <c r="G4010" s="12" t="str">
        <f>Absolute_Scores!G4010</f>
        <v>Instagram</v>
      </c>
      <c r="H4010" s="29">
        <f>Absolute_Scores!I4010</f>
        <v>39</v>
      </c>
      <c r="I4010" s="30">
        <f t="shared" si="93"/>
        <v>48.75</v>
      </c>
    </row>
    <row r="4011" spans="6:9">
      <c r="F4011" s="12" t="str">
        <f>Absolute_Scores!F4011</f>
        <v>@_jamesadam_</v>
      </c>
      <c r="G4011" s="12" t="str">
        <f>Absolute_Scores!G4011</f>
        <v>TikTok</v>
      </c>
      <c r="H4011" s="29">
        <f>Absolute_Scores!I4011</f>
        <v>38</v>
      </c>
      <c r="I4011" s="30">
        <f t="shared" si="93"/>
        <v>47.5</v>
      </c>
    </row>
    <row r="4012" spans="6:9">
      <c r="F4012" s="12" t="str">
        <f>Absolute_Scores!F4012</f>
        <v>@_meithazahra</v>
      </c>
      <c r="G4012" s="12" t="str">
        <f>Absolute_Scores!G4012</f>
        <v>TikTok</v>
      </c>
      <c r="H4012" s="29">
        <f>Absolute_Scores!I4012</f>
        <v>38</v>
      </c>
      <c r="I4012" s="30">
        <f t="shared" si="93"/>
        <v>47.5</v>
      </c>
    </row>
    <row r="4013" spans="6:9">
      <c r="F4013" s="12" t="str">
        <f>Absolute_Scores!F4013</f>
        <v>@_nelfaanndt</v>
      </c>
      <c r="G4013" s="12" t="str">
        <f>Absolute_Scores!G4013</f>
        <v>Instagram</v>
      </c>
      <c r="H4013" s="29">
        <f>Absolute_Scores!I4013</f>
        <v>38</v>
      </c>
      <c r="I4013" s="30">
        <f t="shared" si="93"/>
        <v>47.5</v>
      </c>
    </row>
    <row r="4014" spans="6:9">
      <c r="F4014" s="12" t="str">
        <f>Absolute_Scores!F4014</f>
        <v>@_orange.peel</v>
      </c>
      <c r="G4014" s="12" t="str">
        <f>Absolute_Scores!G4014</f>
        <v>TikTok</v>
      </c>
      <c r="H4014" s="29">
        <f>Absolute_Scores!I4014</f>
        <v>38</v>
      </c>
      <c r="I4014" s="30">
        <f t="shared" si="93"/>
        <v>47.5</v>
      </c>
    </row>
    <row r="4015" spans="6:9">
      <c r="F4015" s="12" t="str">
        <f>Absolute_Scores!F4015</f>
        <v>@_orenji00</v>
      </c>
      <c r="G4015" s="12" t="str">
        <f>Absolute_Scores!G4015</f>
        <v>TikTok</v>
      </c>
      <c r="H4015" s="29">
        <f>Absolute_Scores!I4015</f>
        <v>38</v>
      </c>
      <c r="I4015" s="30">
        <f t="shared" si="93"/>
        <v>47.5</v>
      </c>
    </row>
    <row r="4016" spans="6:9">
      <c r="F4016" s="12" t="str">
        <f>Absolute_Scores!F4016</f>
        <v>@_putriitidurr_</v>
      </c>
      <c r="G4016" s="12" t="str">
        <f>Absolute_Scores!G4016</f>
        <v>TikTok</v>
      </c>
      <c r="H4016" s="29">
        <f>Absolute_Scores!I4016</f>
        <v>38</v>
      </c>
      <c r="I4016" s="30">
        <f t="shared" si="93"/>
        <v>47.5</v>
      </c>
    </row>
    <row r="4017" spans="6:9">
      <c r="F4017" s="12" t="str">
        <f>Absolute_Scores!F4017</f>
        <v>@_tiaraa.._</v>
      </c>
      <c r="G4017" s="12" t="str">
        <f>Absolute_Scores!G4017</f>
        <v>TikTok</v>
      </c>
      <c r="H4017" s="29">
        <f>Absolute_Scores!I4017</f>
        <v>38</v>
      </c>
      <c r="I4017" s="30">
        <f t="shared" si="93"/>
        <v>47.5</v>
      </c>
    </row>
    <row r="4018" spans="6:9">
      <c r="F4018" s="12" t="str">
        <f>Absolute_Scores!F4018</f>
        <v>@29.nan</v>
      </c>
      <c r="G4018" s="12" t="str">
        <f>Absolute_Scores!G4018</f>
        <v>TikTok</v>
      </c>
      <c r="H4018" s="29">
        <f>Absolute_Scores!I4018</f>
        <v>38</v>
      </c>
      <c r="I4018" s="30">
        <f t="shared" si="93"/>
        <v>47.5</v>
      </c>
    </row>
    <row r="4019" spans="6:9">
      <c r="F4019" s="12" t="str">
        <f>Absolute_Scores!F4019</f>
        <v>@2nditstyaraaaa</v>
      </c>
      <c r="G4019" s="12" t="str">
        <f>Absolute_Scores!G4019</f>
        <v>TikTok</v>
      </c>
      <c r="H4019" s="29">
        <f>Absolute_Scores!I4019</f>
        <v>38</v>
      </c>
      <c r="I4019" s="30">
        <f t="shared" si="93"/>
        <v>47.5</v>
      </c>
    </row>
    <row r="4020" spans="6:9">
      <c r="F4020" s="12" t="str">
        <f>Absolute_Scores!F4020</f>
        <v>@aaaauudreyy</v>
      </c>
      <c r="G4020" s="12" t="str">
        <f>Absolute_Scores!G4020</f>
        <v>TikTok</v>
      </c>
      <c r="H4020" s="29">
        <f>Absolute_Scores!I4020</f>
        <v>38</v>
      </c>
      <c r="I4020" s="30">
        <f t="shared" si="93"/>
        <v>47.5</v>
      </c>
    </row>
    <row r="4021" spans="6:9">
      <c r="F4021" s="12" t="str">
        <f>Absolute_Scores!F4021</f>
        <v>@aanotherocha</v>
      </c>
      <c r="G4021" s="12" t="str">
        <f>Absolute_Scores!G4021</f>
        <v>TikTok</v>
      </c>
      <c r="H4021" s="29">
        <f>Absolute_Scores!I4021</f>
        <v>38</v>
      </c>
      <c r="I4021" s="30">
        <f t="shared" si="93"/>
        <v>47.5</v>
      </c>
    </row>
    <row r="4022" spans="6:9">
      <c r="F4022" s="12" t="str">
        <f>Absolute_Scores!F4022</f>
        <v>@aarrielll_</v>
      </c>
      <c r="G4022" s="12" t="str">
        <f>Absolute_Scores!G4022</f>
        <v>TikTok</v>
      </c>
      <c r="H4022" s="29">
        <f>Absolute_Scores!I4022</f>
        <v>38</v>
      </c>
      <c r="I4022" s="30">
        <f t="shared" si="93"/>
        <v>47.5</v>
      </c>
    </row>
    <row r="4023" spans="6:9">
      <c r="F4023" s="12" t="str">
        <f>Absolute_Scores!F4023</f>
        <v>@abcddgemes</v>
      </c>
      <c r="G4023" s="12" t="str">
        <f>Absolute_Scores!G4023</f>
        <v>TikTok</v>
      </c>
      <c r="H4023" s="29">
        <f>Absolute_Scores!I4023</f>
        <v>38</v>
      </c>
      <c r="I4023" s="30">
        <f t="shared" si="93"/>
        <v>47.5</v>
      </c>
    </row>
    <row r="4024" spans="6:9">
      <c r="F4024" s="12" t="str">
        <f>Absolute_Scores!F4024</f>
        <v>@abcdefginjal</v>
      </c>
      <c r="G4024" s="12" t="str">
        <f>Absolute_Scores!G4024</f>
        <v>TikTok</v>
      </c>
      <c r="H4024" s="29">
        <f>Absolute_Scores!I4024</f>
        <v>38</v>
      </c>
      <c r="I4024" s="30">
        <f t="shared" si="93"/>
        <v>47.5</v>
      </c>
    </row>
    <row r="4025" spans="6:9">
      <c r="F4025" s="12" t="str">
        <f>Absolute_Scores!F4025</f>
        <v>@abcdepiee</v>
      </c>
      <c r="G4025" s="12" t="str">
        <f>Absolute_Scores!G4025</f>
        <v>TikTok</v>
      </c>
      <c r="H4025" s="29">
        <f>Absolute_Scores!I4025</f>
        <v>38</v>
      </c>
      <c r="I4025" s="30">
        <f t="shared" si="93"/>
        <v>47.5</v>
      </c>
    </row>
    <row r="4026" spans="6:9">
      <c r="F4026" s="12" t="str">
        <f>Absolute_Scores!F4026</f>
        <v>@abelsoe</v>
      </c>
      <c r="G4026" s="12" t="str">
        <f>Absolute_Scores!G4026</f>
        <v>TikTok</v>
      </c>
      <c r="H4026" s="29">
        <f>Absolute_Scores!I4026</f>
        <v>38</v>
      </c>
      <c r="I4026" s="30">
        <f t="shared" si="93"/>
        <v>47.5</v>
      </c>
    </row>
    <row r="4027" spans="6:9">
      <c r="F4027" s="12" t="str">
        <f>Absolute_Scores!F4027</f>
        <v>@abgl__loves</v>
      </c>
      <c r="G4027" s="12" t="str">
        <f>Absolute_Scores!G4027</f>
        <v>TikTok</v>
      </c>
      <c r="H4027" s="29">
        <f>Absolute_Scores!I4027</f>
        <v>38</v>
      </c>
      <c r="I4027" s="30">
        <f t="shared" si="93"/>
        <v>47.5</v>
      </c>
    </row>
    <row r="4028" spans="6:9">
      <c r="F4028" s="12" t="str">
        <f>Absolute_Scores!F4028</f>
        <v>@abigaelzerren</v>
      </c>
      <c r="G4028" s="12" t="str">
        <f>Absolute_Scores!G4028</f>
        <v>TikTok</v>
      </c>
      <c r="H4028" s="29">
        <f>Absolute_Scores!I4028</f>
        <v>38</v>
      </c>
      <c r="I4028" s="30">
        <f t="shared" si="93"/>
        <v>47.5</v>
      </c>
    </row>
    <row r="4029" spans="6:9">
      <c r="F4029" s="12" t="str">
        <f>Absolute_Scores!F4029</f>
        <v>@adeliapasha22</v>
      </c>
      <c r="G4029" s="12" t="str">
        <f>Absolute_Scores!G4029</f>
        <v>TikTok</v>
      </c>
      <c r="H4029" s="29">
        <f>Absolute_Scores!I4029</f>
        <v>38</v>
      </c>
      <c r="I4029" s="30">
        <f t="shared" si="93"/>
        <v>47.5</v>
      </c>
    </row>
    <row r="4030" spans="6:9">
      <c r="F4030" s="12" t="str">
        <f>Absolute_Scores!F4030</f>
        <v>@adillasaefitri</v>
      </c>
      <c r="G4030" s="12" t="str">
        <f>Absolute_Scores!G4030</f>
        <v>TikTok</v>
      </c>
      <c r="H4030" s="29">
        <f>Absolute_Scores!I4030</f>
        <v>38</v>
      </c>
      <c r="I4030" s="30">
        <f t="shared" si="93"/>
        <v>47.5</v>
      </c>
    </row>
    <row r="4031" spans="6:9">
      <c r="F4031" s="12" t="str">
        <f>Absolute_Scores!F4031</f>
        <v>@adistyhecaa</v>
      </c>
      <c r="G4031" s="12" t="str">
        <f>Absolute_Scores!G4031</f>
        <v>TikTok</v>
      </c>
      <c r="H4031" s="29">
        <f>Absolute_Scores!I4031</f>
        <v>38</v>
      </c>
      <c r="I4031" s="30">
        <f t="shared" si="93"/>
        <v>47.5</v>
      </c>
    </row>
    <row r="4032" spans="6:9">
      <c r="F4032" s="12" t="str">
        <f>Absolute_Scores!F4032</f>
        <v>@adzaninamira</v>
      </c>
      <c r="G4032" s="12" t="str">
        <f>Absolute_Scores!G4032</f>
        <v>TikTok</v>
      </c>
      <c r="H4032" s="29">
        <f>Absolute_Scores!I4032</f>
        <v>38</v>
      </c>
      <c r="I4032" s="30">
        <f t="shared" si="93"/>
        <v>47.5</v>
      </c>
    </row>
    <row r="4033" spans="6:9">
      <c r="F4033" s="12" t="str">
        <f>Absolute_Scores!F4033</f>
        <v>@afafalkatirii</v>
      </c>
      <c r="G4033" s="12" t="str">
        <f>Absolute_Scores!G4033</f>
        <v>TikTok</v>
      </c>
      <c r="H4033" s="29">
        <f>Absolute_Scores!I4033</f>
        <v>38</v>
      </c>
      <c r="I4033" s="30">
        <f t="shared" si="93"/>
        <v>47.5</v>
      </c>
    </row>
    <row r="4034" spans="6:9">
      <c r="F4034" s="12" t="str">
        <f>Absolute_Scores!F4034</f>
        <v>@afaraaaa</v>
      </c>
      <c r="G4034" s="12" t="str">
        <f>Absolute_Scores!G4034</f>
        <v>TikTok</v>
      </c>
      <c r="H4034" s="29">
        <f>Absolute_Scores!I4034</f>
        <v>38</v>
      </c>
      <c r="I4034" s="30">
        <f t="shared" si="93"/>
        <v>47.5</v>
      </c>
    </row>
    <row r="4035" spans="6:9">
      <c r="F4035" s="12" t="str">
        <f>Absolute_Scores!F4035</f>
        <v>@afidamadina</v>
      </c>
      <c r="G4035" s="12" t="str">
        <f>Absolute_Scores!G4035</f>
        <v>TikTok</v>
      </c>
      <c r="H4035" s="29">
        <f>Absolute_Scores!I4035</f>
        <v>38</v>
      </c>
      <c r="I4035" s="30">
        <f t="shared" si="93"/>
        <v>47.5</v>
      </c>
    </row>
    <row r="4036" spans="6:9">
      <c r="F4036" s="12" t="str">
        <f>Absolute_Scores!F4036</f>
        <v>@afifahlr27</v>
      </c>
      <c r="G4036" s="12" t="str">
        <f>Absolute_Scores!G4036</f>
        <v>TikTok</v>
      </c>
      <c r="H4036" s="29">
        <f>Absolute_Scores!I4036</f>
        <v>38</v>
      </c>
      <c r="I4036" s="30">
        <f t="shared" si="93"/>
        <v>47.5</v>
      </c>
    </row>
    <row r="4037" spans="6:9">
      <c r="F4037" s="12" t="str">
        <f>Absolute_Scores!F4037</f>
        <v>@afn.salma</v>
      </c>
      <c r="G4037" s="12" t="str">
        <f>Absolute_Scores!G4037</f>
        <v>Instagram</v>
      </c>
      <c r="H4037" s="29">
        <f>Absolute_Scores!I4037</f>
        <v>38</v>
      </c>
      <c r="I4037" s="30">
        <f t="shared" si="93"/>
        <v>47.5</v>
      </c>
    </row>
    <row r="4038" spans="6:9">
      <c r="F4038" s="12" t="str">
        <f>Absolute_Scores!F4038</f>
        <v>@afniii_f</v>
      </c>
      <c r="G4038" s="12" t="str">
        <f>Absolute_Scores!G4038</f>
        <v>TikTok</v>
      </c>
      <c r="H4038" s="29">
        <f>Absolute_Scores!I4038</f>
        <v>38</v>
      </c>
      <c r="I4038" s="30">
        <f t="shared" ref="I4038:I4101" si="94">ROUND(H4038/$I$4*100,2)</f>
        <v>47.5</v>
      </c>
    </row>
    <row r="4039" spans="6:9">
      <c r="F4039" s="12" t="str">
        <f>Absolute_Scores!F4039</f>
        <v>@agneslianna</v>
      </c>
      <c r="G4039" s="12" t="str">
        <f>Absolute_Scores!G4039</f>
        <v>TikTok</v>
      </c>
      <c r="H4039" s="29">
        <f>Absolute_Scores!I4039</f>
        <v>38</v>
      </c>
      <c r="I4039" s="30">
        <f t="shared" si="94"/>
        <v>47.5</v>
      </c>
    </row>
    <row r="4040" spans="6:9">
      <c r="F4040" s="12" t="str">
        <f>Absolute_Scores!F4040</f>
        <v>@ai_aprianti</v>
      </c>
      <c r="G4040" s="12" t="str">
        <f>Absolute_Scores!G4040</f>
        <v>Instagram</v>
      </c>
      <c r="H4040" s="29">
        <f>Absolute_Scores!I4040</f>
        <v>38</v>
      </c>
      <c r="I4040" s="30">
        <f t="shared" si="94"/>
        <v>47.5</v>
      </c>
    </row>
    <row r="4041" spans="6:9">
      <c r="F4041" s="12" t="str">
        <f>Absolute_Scores!F4041</f>
        <v>@ai_thya</v>
      </c>
      <c r="G4041" s="12" t="str">
        <f>Absolute_Scores!G4041</f>
        <v>TikTok</v>
      </c>
      <c r="H4041" s="29">
        <f>Absolute_Scores!I4041</f>
        <v>38</v>
      </c>
      <c r="I4041" s="30">
        <f t="shared" si="94"/>
        <v>47.5</v>
      </c>
    </row>
    <row r="4042" spans="6:9">
      <c r="F4042" s="12" t="str">
        <f>Absolute_Scores!F4042</f>
        <v>@aiinasution_</v>
      </c>
      <c r="G4042" s="12" t="str">
        <f>Absolute_Scores!G4042</f>
        <v>TikTok</v>
      </c>
      <c r="H4042" s="29">
        <f>Absolute_Scores!I4042</f>
        <v>38</v>
      </c>
      <c r="I4042" s="30">
        <f t="shared" si="94"/>
        <v>47.5</v>
      </c>
    </row>
    <row r="4043" spans="6:9">
      <c r="F4043" s="12" t="str">
        <f>Absolute_Scores!F4043</f>
        <v>@ainihapsari</v>
      </c>
      <c r="G4043" s="12" t="str">
        <f>Absolute_Scores!G4043</f>
        <v>TikTok</v>
      </c>
      <c r="H4043" s="29">
        <f>Absolute_Scores!I4043</f>
        <v>38</v>
      </c>
      <c r="I4043" s="30">
        <f t="shared" si="94"/>
        <v>47.5</v>
      </c>
    </row>
    <row r="4044" spans="6:9">
      <c r="F4044" s="12" t="str">
        <f>Absolute_Scores!F4044</f>
        <v>@ainunfp3</v>
      </c>
      <c r="G4044" s="12" t="str">
        <f>Absolute_Scores!G4044</f>
        <v>TikTok</v>
      </c>
      <c r="H4044" s="29">
        <f>Absolute_Scores!I4044</f>
        <v>38</v>
      </c>
      <c r="I4044" s="30">
        <f t="shared" si="94"/>
        <v>47.5</v>
      </c>
    </row>
    <row r="4045" spans="6:9">
      <c r="F4045" s="12" t="str">
        <f>Absolute_Scores!F4045</f>
        <v>@aisyaasyh_</v>
      </c>
      <c r="G4045" s="12" t="str">
        <f>Absolute_Scores!G4045</f>
        <v>TikTok</v>
      </c>
      <c r="H4045" s="29">
        <f>Absolute_Scores!I4045</f>
        <v>38</v>
      </c>
      <c r="I4045" s="30">
        <f t="shared" si="94"/>
        <v>47.5</v>
      </c>
    </row>
    <row r="4046" spans="6:9">
      <c r="F4046" s="12" t="str">
        <f>Absolute_Scores!F4046</f>
        <v>@aiwuffwy0u</v>
      </c>
      <c r="G4046" s="12" t="str">
        <f>Absolute_Scores!G4046</f>
        <v>TikTok</v>
      </c>
      <c r="H4046" s="29">
        <f>Absolute_Scores!I4046</f>
        <v>38</v>
      </c>
      <c r="I4046" s="30">
        <f t="shared" si="94"/>
        <v>47.5</v>
      </c>
    </row>
    <row r="4047" spans="6:9">
      <c r="F4047" s="12" t="str">
        <f>Absolute_Scores!F4047</f>
        <v>@aku3y1n</v>
      </c>
      <c r="G4047" s="12" t="str">
        <f>Absolute_Scores!G4047</f>
        <v>TikTok</v>
      </c>
      <c r="H4047" s="29">
        <f>Absolute_Scores!I4047</f>
        <v>38</v>
      </c>
      <c r="I4047" s="30">
        <f t="shared" si="94"/>
        <v>47.5</v>
      </c>
    </row>
    <row r="4048" spans="6:9">
      <c r="F4048" s="12" t="str">
        <f>Absolute_Scores!F4048</f>
        <v>@akusitaa</v>
      </c>
      <c r="G4048" s="12" t="str">
        <f>Absolute_Scores!G4048</f>
        <v>TikTok</v>
      </c>
      <c r="H4048" s="29">
        <f>Absolute_Scores!I4048</f>
        <v>38</v>
      </c>
      <c r="I4048" s="30">
        <f t="shared" si="94"/>
        <v>47.5</v>
      </c>
    </row>
    <row r="4049" spans="6:9">
      <c r="F4049" s="12" t="str">
        <f>Absolute_Scores!F4049</f>
        <v>@aldajessicaa</v>
      </c>
      <c r="G4049" s="12" t="str">
        <f>Absolute_Scores!G4049</f>
        <v>TikTok</v>
      </c>
      <c r="H4049" s="29">
        <f>Absolute_Scores!I4049</f>
        <v>38</v>
      </c>
      <c r="I4049" s="30">
        <f t="shared" si="94"/>
        <v>47.5</v>
      </c>
    </row>
    <row r="4050" spans="6:9">
      <c r="F4050" s="12" t="str">
        <f>Absolute_Scores!F4050</f>
        <v>@aldibaa</v>
      </c>
      <c r="G4050" s="12" t="str">
        <f>Absolute_Scores!G4050</f>
        <v>TikTok</v>
      </c>
      <c r="H4050" s="29">
        <f>Absolute_Scores!I4050</f>
        <v>38</v>
      </c>
      <c r="I4050" s="30">
        <f t="shared" si="94"/>
        <v>47.5</v>
      </c>
    </row>
    <row r="4051" spans="6:9">
      <c r="F4051" s="12" t="str">
        <f>Absolute_Scores!F4051</f>
        <v>@alianuyudha</v>
      </c>
      <c r="G4051" s="12" t="str">
        <f>Absolute_Scores!G4051</f>
        <v>Instagram</v>
      </c>
      <c r="H4051" s="29">
        <f>Absolute_Scores!I4051</f>
        <v>38</v>
      </c>
      <c r="I4051" s="30">
        <f t="shared" si="94"/>
        <v>47.5</v>
      </c>
    </row>
    <row r="4052" spans="6:9">
      <c r="F4052" s="12" t="str">
        <f>Absolute_Scores!F4052</f>
        <v>@alisyaays</v>
      </c>
      <c r="G4052" s="12" t="str">
        <f>Absolute_Scores!G4052</f>
        <v>TikTok</v>
      </c>
      <c r="H4052" s="29">
        <f>Absolute_Scores!I4052</f>
        <v>38</v>
      </c>
      <c r="I4052" s="30">
        <f t="shared" si="94"/>
        <v>47.5</v>
      </c>
    </row>
    <row r="4053" spans="6:9">
      <c r="F4053" s="12" t="str">
        <f>Absolute_Scores!F4053</f>
        <v>@alitakata</v>
      </c>
      <c r="G4053" s="12" t="str">
        <f>Absolute_Scores!G4053</f>
        <v>Instagram</v>
      </c>
      <c r="H4053" s="29">
        <f>Absolute_Scores!I4053</f>
        <v>38</v>
      </c>
      <c r="I4053" s="30">
        <f t="shared" si="94"/>
        <v>47.5</v>
      </c>
    </row>
    <row r="4054" spans="6:9">
      <c r="F4054" s="12" t="str">
        <f>Absolute_Scores!F4054</f>
        <v>@allofbeautycheck</v>
      </c>
      <c r="G4054" s="12" t="str">
        <f>Absolute_Scores!G4054</f>
        <v>TikTok</v>
      </c>
      <c r="H4054" s="29">
        <f>Absolute_Scores!I4054</f>
        <v>38</v>
      </c>
      <c r="I4054" s="30">
        <f t="shared" si="94"/>
        <v>47.5</v>
      </c>
    </row>
    <row r="4055" spans="6:9">
      <c r="F4055" s="12" t="str">
        <f>Absolute_Scores!F4055</f>
        <v>@almirandni</v>
      </c>
      <c r="G4055" s="12" t="str">
        <f>Absolute_Scores!G4055</f>
        <v>TikTok</v>
      </c>
      <c r="H4055" s="29">
        <f>Absolute_Scores!I4055</f>
        <v>38</v>
      </c>
      <c r="I4055" s="30">
        <f t="shared" si="94"/>
        <v>47.5</v>
      </c>
    </row>
    <row r="4056" spans="6:9">
      <c r="F4056" s="12" t="str">
        <f>Absolute_Scores!F4056</f>
        <v>@almollyyy</v>
      </c>
      <c r="G4056" s="12" t="str">
        <f>Absolute_Scores!G4056</f>
        <v>TikTok</v>
      </c>
      <c r="H4056" s="29">
        <f>Absolute_Scores!I4056</f>
        <v>38</v>
      </c>
      <c r="I4056" s="30">
        <f t="shared" si="94"/>
        <v>47.5</v>
      </c>
    </row>
    <row r="4057" spans="6:9">
      <c r="F4057" s="12" t="str">
        <f>Absolute_Scores!F4057</f>
        <v>@alzhafff</v>
      </c>
      <c r="G4057" s="12" t="str">
        <f>Absolute_Scores!G4057</f>
        <v>TikTok</v>
      </c>
      <c r="H4057" s="29">
        <f>Absolute_Scores!I4057</f>
        <v>38</v>
      </c>
      <c r="I4057" s="30">
        <f t="shared" si="94"/>
        <v>47.5</v>
      </c>
    </row>
    <row r="4058" spans="6:9">
      <c r="F4058" s="12" t="str">
        <f>Absolute_Scores!F4058</f>
        <v>@amandapuspitawardani</v>
      </c>
      <c r="G4058" s="12" t="str">
        <f>Absolute_Scores!G4058</f>
        <v>TikTok</v>
      </c>
      <c r="H4058" s="29">
        <f>Absolute_Scores!I4058</f>
        <v>38</v>
      </c>
      <c r="I4058" s="30">
        <f t="shared" si="94"/>
        <v>47.5</v>
      </c>
    </row>
    <row r="4059" spans="6:9">
      <c r="F4059" s="12" t="str">
        <f>Absolute_Scores!F4059</f>
        <v>@amekajaa</v>
      </c>
      <c r="G4059" s="12" t="str">
        <f>Absolute_Scores!G4059</f>
        <v>TikTok</v>
      </c>
      <c r="H4059" s="29">
        <f>Absolute_Scores!I4059</f>
        <v>38</v>
      </c>
      <c r="I4059" s="30">
        <f t="shared" si="94"/>
        <v>47.5</v>
      </c>
    </row>
    <row r="4060" spans="6:9">
      <c r="F4060" s="12" t="str">
        <f>Absolute_Scores!F4060</f>
        <v>@amell2.7</v>
      </c>
      <c r="G4060" s="12" t="str">
        <f>Absolute_Scores!G4060</f>
        <v>TikTok</v>
      </c>
      <c r="H4060" s="29">
        <f>Absolute_Scores!I4060</f>
        <v>38</v>
      </c>
      <c r="I4060" s="30">
        <f t="shared" si="94"/>
        <v>47.5</v>
      </c>
    </row>
    <row r="4061" spans="6:9">
      <c r="F4061" s="12" t="str">
        <f>Absolute_Scores!F4061</f>
        <v>@amioktarina</v>
      </c>
      <c r="G4061" s="12" t="str">
        <f>Absolute_Scores!G4061</f>
        <v>TikTok</v>
      </c>
      <c r="H4061" s="29">
        <f>Absolute_Scores!I4061</f>
        <v>38</v>
      </c>
      <c r="I4061" s="30">
        <f t="shared" si="94"/>
        <v>47.5</v>
      </c>
    </row>
    <row r="4062" spans="6:9">
      <c r="F4062" s="12" t="str">
        <f>Absolute_Scores!F4062</f>
        <v>@amyaudithaa</v>
      </c>
      <c r="G4062" s="12" t="str">
        <f>Absolute_Scores!G4062</f>
        <v>TikTok</v>
      </c>
      <c r="H4062" s="29">
        <f>Absolute_Scores!I4062</f>
        <v>38</v>
      </c>
      <c r="I4062" s="30">
        <f t="shared" si="94"/>
        <v>47.5</v>
      </c>
    </row>
    <row r="4063" spans="6:9">
      <c r="F4063" s="12" t="str">
        <f>Absolute_Scores!F4063</f>
        <v>@anarghia</v>
      </c>
      <c r="G4063" s="12" t="str">
        <f>Absolute_Scores!G4063</f>
        <v>TikTok</v>
      </c>
      <c r="H4063" s="29">
        <f>Absolute_Scores!I4063</f>
        <v>38</v>
      </c>
      <c r="I4063" s="30">
        <f t="shared" si="94"/>
        <v>47.5</v>
      </c>
    </row>
    <row r="4064" spans="6:9">
      <c r="F4064" s="12" t="str">
        <f>Absolute_Scores!F4064</f>
        <v>@andityaratu</v>
      </c>
      <c r="G4064" s="12" t="str">
        <f>Absolute_Scores!G4064</f>
        <v>TikTok</v>
      </c>
      <c r="H4064" s="29">
        <f>Absolute_Scores!I4064</f>
        <v>38</v>
      </c>
      <c r="I4064" s="30">
        <f t="shared" si="94"/>
        <v>47.5</v>
      </c>
    </row>
    <row r="4065" spans="6:9">
      <c r="F4065" s="12" t="str">
        <f>Absolute_Scores!F4065</f>
        <v>@angelicalouisedmd</v>
      </c>
      <c r="G4065" s="12" t="str">
        <f>Absolute_Scores!G4065</f>
        <v>TikTok</v>
      </c>
      <c r="H4065" s="29">
        <f>Absolute_Scores!I4065</f>
        <v>38</v>
      </c>
      <c r="I4065" s="30">
        <f t="shared" si="94"/>
        <v>47.5</v>
      </c>
    </row>
    <row r="4066" spans="6:9">
      <c r="F4066" s="12" t="str">
        <f>Absolute_Scores!F4066</f>
        <v>@angelinasetiadii</v>
      </c>
      <c r="G4066" s="12" t="str">
        <f>Absolute_Scores!G4066</f>
        <v>Instagram</v>
      </c>
      <c r="H4066" s="29">
        <f>Absolute_Scores!I4066</f>
        <v>38</v>
      </c>
      <c r="I4066" s="30">
        <f t="shared" si="94"/>
        <v>47.5</v>
      </c>
    </row>
    <row r="4067" spans="6:9">
      <c r="F4067" s="12" t="str">
        <f>Absolute_Scores!F4067</f>
        <v>@angelitaiskandar</v>
      </c>
      <c r="G4067" s="12" t="str">
        <f>Absolute_Scores!G4067</f>
        <v>Instagram</v>
      </c>
      <c r="H4067" s="29">
        <f>Absolute_Scores!I4067</f>
        <v>38</v>
      </c>
      <c r="I4067" s="30">
        <f t="shared" si="94"/>
        <v>47.5</v>
      </c>
    </row>
    <row r="4068" spans="6:9">
      <c r="F4068" s="12" t="str">
        <f>Absolute_Scores!F4068</f>
        <v>@angelwbw</v>
      </c>
      <c r="G4068" s="12" t="str">
        <f>Absolute_Scores!G4068</f>
        <v>Instagram</v>
      </c>
      <c r="H4068" s="29">
        <f>Absolute_Scores!I4068</f>
        <v>38</v>
      </c>
      <c r="I4068" s="30">
        <f t="shared" si="94"/>
        <v>47.5</v>
      </c>
    </row>
    <row r="4069" spans="6:9">
      <c r="F4069" s="12" t="str">
        <f>Absolute_Scores!F4069</f>
        <v>@anggirianaa</v>
      </c>
      <c r="G4069" s="12" t="str">
        <f>Absolute_Scores!G4069</f>
        <v>TikTok</v>
      </c>
      <c r="H4069" s="29">
        <f>Absolute_Scores!I4069</f>
        <v>38</v>
      </c>
      <c r="I4069" s="30">
        <f t="shared" si="94"/>
        <v>47.5</v>
      </c>
    </row>
    <row r="4070" spans="6:9">
      <c r="F4070" s="12" t="str">
        <f>Absolute_Scores!F4070</f>
        <v>@anggunmiad</v>
      </c>
      <c r="G4070" s="12" t="str">
        <f>Absolute_Scores!G4070</f>
        <v>Instagram</v>
      </c>
      <c r="H4070" s="29">
        <f>Absolute_Scores!I4070</f>
        <v>38</v>
      </c>
      <c r="I4070" s="30">
        <f t="shared" si="94"/>
        <v>47.5</v>
      </c>
    </row>
    <row r="4071" spans="6:9">
      <c r="F4071" s="12" t="str">
        <f>Absolute_Scores!F4071</f>
        <v>@anibhays</v>
      </c>
      <c r="G4071" s="12" t="str">
        <f>Absolute_Scores!G4071</f>
        <v>TikTok</v>
      </c>
      <c r="H4071" s="29">
        <f>Absolute_Scores!I4071</f>
        <v>38</v>
      </c>
      <c r="I4071" s="30">
        <f t="shared" si="94"/>
        <v>47.5</v>
      </c>
    </row>
    <row r="4072" spans="6:9">
      <c r="F4072" s="12" t="str">
        <f>Absolute_Scores!F4072</f>
        <v>@anindya.ramaa</v>
      </c>
      <c r="G4072" s="12" t="str">
        <f>Absolute_Scores!G4072</f>
        <v>TikTok</v>
      </c>
      <c r="H4072" s="29">
        <f>Absolute_Scores!I4072</f>
        <v>38</v>
      </c>
      <c r="I4072" s="30">
        <f t="shared" si="94"/>
        <v>47.5</v>
      </c>
    </row>
    <row r="4073" spans="6:9">
      <c r="F4073" s="12" t="str">
        <f>Absolute_Scores!F4073</f>
        <v>@anisahijr</v>
      </c>
      <c r="G4073" s="12" t="str">
        <f>Absolute_Scores!G4073</f>
        <v>Instagram</v>
      </c>
      <c r="H4073" s="29">
        <f>Absolute_Scores!I4073</f>
        <v>38</v>
      </c>
      <c r="I4073" s="30">
        <f t="shared" si="94"/>
        <v>47.5</v>
      </c>
    </row>
    <row r="4074" spans="6:9">
      <c r="F4074" s="12" t="str">
        <f>Absolute_Scores!F4074</f>
        <v>@anisaipmawati</v>
      </c>
      <c r="G4074" s="12" t="str">
        <f>Absolute_Scores!G4074</f>
        <v>Instagram</v>
      </c>
      <c r="H4074" s="29">
        <f>Absolute_Scores!I4074</f>
        <v>38</v>
      </c>
      <c r="I4074" s="30">
        <f t="shared" si="94"/>
        <v>47.5</v>
      </c>
    </row>
    <row r="4075" spans="6:9">
      <c r="F4075" s="12" t="str">
        <f>Absolute_Scores!F4075</f>
        <v>@anna_liusitan</v>
      </c>
      <c r="G4075" s="12" t="str">
        <f>Absolute_Scores!G4075</f>
        <v>Instagram</v>
      </c>
      <c r="H4075" s="29">
        <f>Absolute_Scores!I4075</f>
        <v>38</v>
      </c>
      <c r="I4075" s="30">
        <f t="shared" si="94"/>
        <v>47.5</v>
      </c>
    </row>
    <row r="4076" spans="6:9">
      <c r="F4076" s="12" t="str">
        <f>Absolute_Scores!F4076</f>
        <v>@annawkwk</v>
      </c>
      <c r="G4076" s="12" t="str">
        <f>Absolute_Scores!G4076</f>
        <v>TikTok</v>
      </c>
      <c r="H4076" s="29">
        <f>Absolute_Scores!I4076</f>
        <v>38</v>
      </c>
      <c r="I4076" s="30">
        <f t="shared" si="94"/>
        <v>47.5</v>
      </c>
    </row>
    <row r="4077" spans="6:9">
      <c r="F4077" s="12" t="str">
        <f>Absolute_Scores!F4077</f>
        <v>@annisaap__</v>
      </c>
      <c r="G4077" s="12" t="str">
        <f>Absolute_Scores!G4077</f>
        <v>TikTok</v>
      </c>
      <c r="H4077" s="29">
        <f>Absolute_Scores!I4077</f>
        <v>38</v>
      </c>
      <c r="I4077" s="30">
        <f t="shared" si="94"/>
        <v>47.5</v>
      </c>
    </row>
    <row r="4078" spans="6:9">
      <c r="F4078" s="12" t="str">
        <f>Absolute_Scores!F4078</f>
        <v>@annisahnfhh</v>
      </c>
      <c r="G4078" s="12" t="str">
        <f>Absolute_Scores!G4078</f>
        <v>TikTok</v>
      </c>
      <c r="H4078" s="29">
        <f>Absolute_Scores!I4078</f>
        <v>38</v>
      </c>
      <c r="I4078" s="30">
        <f t="shared" si="94"/>
        <v>47.5</v>
      </c>
    </row>
    <row r="4079" spans="6:9">
      <c r="F4079" s="12" t="str">
        <f>Absolute_Scores!F4079</f>
        <v>@annsasyfrna5</v>
      </c>
      <c r="G4079" s="12" t="str">
        <f>Absolute_Scores!G4079</f>
        <v>TikTok</v>
      </c>
      <c r="H4079" s="29">
        <f>Absolute_Scores!I4079</f>
        <v>38</v>
      </c>
      <c r="I4079" s="30">
        <f t="shared" si="94"/>
        <v>47.5</v>
      </c>
    </row>
    <row r="4080" spans="6:9">
      <c r="F4080" s="12" t="str">
        <f>Absolute_Scores!F4080</f>
        <v>@ansurr1</v>
      </c>
      <c r="G4080" s="12" t="str">
        <f>Absolute_Scores!G4080</f>
        <v>Instagram</v>
      </c>
      <c r="H4080" s="29">
        <f>Absolute_Scores!I4080</f>
        <v>38</v>
      </c>
      <c r="I4080" s="30">
        <f t="shared" si="94"/>
        <v>47.5</v>
      </c>
    </row>
    <row r="4081" spans="6:9">
      <c r="F4081" s="12" t="str">
        <f>Absolute_Scores!F4081</f>
        <v>@apiccaa</v>
      </c>
      <c r="G4081" s="12" t="str">
        <f>Absolute_Scores!G4081</f>
        <v>TikTok</v>
      </c>
      <c r="H4081" s="29">
        <f>Absolute_Scores!I4081</f>
        <v>38</v>
      </c>
      <c r="I4081" s="30">
        <f t="shared" si="94"/>
        <v>47.5</v>
      </c>
    </row>
    <row r="4082" spans="6:9">
      <c r="F4082" s="12" t="str">
        <f>Absolute_Scores!F4082</f>
        <v>@apriliazhrrr</v>
      </c>
      <c r="G4082" s="12" t="str">
        <f>Absolute_Scores!G4082</f>
        <v>TikTok</v>
      </c>
      <c r="H4082" s="29">
        <f>Absolute_Scores!I4082</f>
        <v>38</v>
      </c>
      <c r="I4082" s="30">
        <f t="shared" si="94"/>
        <v>47.5</v>
      </c>
    </row>
    <row r="4083" spans="6:9">
      <c r="F4083" s="12" t="str">
        <f>Absolute_Scores!F4083</f>
        <v>@araaaagh</v>
      </c>
      <c r="G4083" s="12" t="str">
        <f>Absolute_Scores!G4083</f>
        <v>TikTok</v>
      </c>
      <c r="H4083" s="29">
        <f>Absolute_Scores!I4083</f>
        <v>38</v>
      </c>
      <c r="I4083" s="30">
        <f t="shared" si="94"/>
        <v>47.5</v>
      </c>
    </row>
    <row r="4084" spans="6:9">
      <c r="F4084" s="12" t="str">
        <f>Absolute_Scores!F4084</f>
        <v>@arameera</v>
      </c>
      <c r="G4084" s="12" t="str">
        <f>Absolute_Scores!G4084</f>
        <v>TikTok</v>
      </c>
      <c r="H4084" s="29">
        <f>Absolute_Scores!I4084</f>
        <v>38</v>
      </c>
      <c r="I4084" s="30">
        <f t="shared" si="94"/>
        <v>47.5</v>
      </c>
    </row>
    <row r="4085" spans="6:9">
      <c r="F4085" s="12" t="str">
        <f>Absolute_Scores!F4085</f>
        <v>@arie.auliaa</v>
      </c>
      <c r="G4085" s="12" t="str">
        <f>Absolute_Scores!G4085</f>
        <v>Instagram</v>
      </c>
      <c r="H4085" s="29">
        <f>Absolute_Scores!I4085</f>
        <v>38</v>
      </c>
      <c r="I4085" s="30">
        <f t="shared" si="94"/>
        <v>47.5</v>
      </c>
    </row>
    <row r="4086" spans="6:9">
      <c r="F4086" s="12" t="str">
        <f>Absolute_Scores!F4086</f>
        <v>@arinininii_</v>
      </c>
      <c r="G4086" s="12" t="str">
        <f>Absolute_Scores!G4086</f>
        <v>TikTok</v>
      </c>
      <c r="H4086" s="29">
        <f>Absolute_Scores!I4086</f>
        <v>38</v>
      </c>
      <c r="I4086" s="30">
        <f t="shared" si="94"/>
        <v>47.5</v>
      </c>
    </row>
    <row r="4087" spans="6:9">
      <c r="F4087" s="12" t="str">
        <f>Absolute_Scores!F4087</f>
        <v>@arinlubis</v>
      </c>
      <c r="G4087" s="12" t="str">
        <f>Absolute_Scores!G4087</f>
        <v>Instagram</v>
      </c>
      <c r="H4087" s="29">
        <f>Absolute_Scores!I4087</f>
        <v>38</v>
      </c>
      <c r="I4087" s="30">
        <f t="shared" si="94"/>
        <v>47.5</v>
      </c>
    </row>
    <row r="4088" spans="6:9">
      <c r="F4088" s="12" t="str">
        <f>Absolute_Scores!F4088</f>
        <v>@ashirazamita</v>
      </c>
      <c r="G4088" s="12" t="str">
        <f>Absolute_Scores!G4088</f>
        <v>TikTok</v>
      </c>
      <c r="H4088" s="29">
        <f>Absolute_Scores!I4088</f>
        <v>38</v>
      </c>
      <c r="I4088" s="30">
        <f t="shared" si="94"/>
        <v>47.5</v>
      </c>
    </row>
    <row r="4089" spans="6:9">
      <c r="F4089" s="12" t="str">
        <f>Absolute_Scores!F4089</f>
        <v>@ashpyxia2</v>
      </c>
      <c r="G4089" s="12" t="str">
        <f>Absolute_Scores!G4089</f>
        <v>TikTok</v>
      </c>
      <c r="H4089" s="29">
        <f>Absolute_Scores!I4089</f>
        <v>38</v>
      </c>
      <c r="I4089" s="30">
        <f t="shared" si="94"/>
        <v>47.5</v>
      </c>
    </row>
    <row r="4090" spans="6:9">
      <c r="F4090" s="12" t="str">
        <f>Absolute_Scores!F4090</f>
        <v>@aulia.nrdiniah</v>
      </c>
      <c r="G4090" s="12" t="str">
        <f>Absolute_Scores!G4090</f>
        <v>TikTok</v>
      </c>
      <c r="H4090" s="29">
        <f>Absolute_Scores!I4090</f>
        <v>38</v>
      </c>
      <c r="I4090" s="30">
        <f t="shared" si="94"/>
        <v>47.5</v>
      </c>
    </row>
    <row r="4091" spans="6:9">
      <c r="F4091" s="12" t="str">
        <f>Absolute_Scores!F4091</f>
        <v>@auraptris</v>
      </c>
      <c r="G4091" s="12" t="str">
        <f>Absolute_Scores!G4091</f>
        <v>TikTok</v>
      </c>
      <c r="H4091" s="29">
        <f>Absolute_Scores!I4091</f>
        <v>38</v>
      </c>
      <c r="I4091" s="30">
        <f t="shared" si="94"/>
        <v>47.5</v>
      </c>
    </row>
    <row r="4092" spans="6:9">
      <c r="F4092" s="12" t="str">
        <f>Absolute_Scores!F4092</f>
        <v>@aureliafw</v>
      </c>
      <c r="G4092" s="12" t="str">
        <f>Absolute_Scores!G4092</f>
        <v>TikTok</v>
      </c>
      <c r="H4092" s="29">
        <f>Absolute_Scores!I4092</f>
        <v>38</v>
      </c>
      <c r="I4092" s="30">
        <f t="shared" si="94"/>
        <v>47.5</v>
      </c>
    </row>
    <row r="4093" spans="6:9">
      <c r="F4093" s="12" t="str">
        <f>Absolute_Scores!F4093</f>
        <v>@aurellsantiio</v>
      </c>
      <c r="G4093" s="12" t="str">
        <f>Absolute_Scores!G4093</f>
        <v>TikTok</v>
      </c>
      <c r="H4093" s="29">
        <f>Absolute_Scores!I4093</f>
        <v>38</v>
      </c>
      <c r="I4093" s="30">
        <f t="shared" si="94"/>
        <v>47.5</v>
      </c>
    </row>
    <row r="4094" spans="6:9">
      <c r="F4094" s="12" t="str">
        <f>Absolute_Scores!F4094</f>
        <v>@awwnod</v>
      </c>
      <c r="G4094" s="12" t="str">
        <f>Absolute_Scores!G4094</f>
        <v>TikTok</v>
      </c>
      <c r="H4094" s="29">
        <f>Absolute_Scores!I4094</f>
        <v>38</v>
      </c>
      <c r="I4094" s="30">
        <f t="shared" si="94"/>
        <v>47.5</v>
      </c>
    </row>
    <row r="4095" spans="6:9">
      <c r="F4095" s="12" t="str">
        <f>Absolute_Scores!F4095</f>
        <v>@ayaaptrrr</v>
      </c>
      <c r="G4095" s="12" t="str">
        <f>Absolute_Scores!G4095</f>
        <v>TikTok</v>
      </c>
      <c r="H4095" s="29">
        <f>Absolute_Scores!I4095</f>
        <v>38</v>
      </c>
      <c r="I4095" s="30">
        <f t="shared" si="94"/>
        <v>47.5</v>
      </c>
    </row>
    <row r="4096" spans="6:9">
      <c r="F4096" s="12" t="str">
        <f>Absolute_Scores!F4096</f>
        <v>@ayacahya58</v>
      </c>
      <c r="G4096" s="12" t="str">
        <f>Absolute_Scores!G4096</f>
        <v>TikTok</v>
      </c>
      <c r="H4096" s="29">
        <f>Absolute_Scores!I4096</f>
        <v>38</v>
      </c>
      <c r="I4096" s="30">
        <f t="shared" si="94"/>
        <v>47.5</v>
      </c>
    </row>
    <row r="4097" spans="6:9">
      <c r="F4097" s="12" t="str">
        <f>Absolute_Scores!F4097</f>
        <v>@ayamdindut</v>
      </c>
      <c r="G4097" s="12" t="str">
        <f>Absolute_Scores!G4097</f>
        <v>TikTok</v>
      </c>
      <c r="H4097" s="29">
        <f>Absolute_Scores!I4097</f>
        <v>38</v>
      </c>
      <c r="I4097" s="30">
        <f t="shared" si="94"/>
        <v>47.5</v>
      </c>
    </row>
    <row r="4098" spans="6:9">
      <c r="F4098" s="12" t="str">
        <f>Absolute_Scores!F4098</f>
        <v>@ayobersyucure</v>
      </c>
      <c r="G4098" s="12" t="str">
        <f>Absolute_Scores!G4098</f>
        <v>TikTok</v>
      </c>
      <c r="H4098" s="29">
        <f>Absolute_Scores!I4098</f>
        <v>38</v>
      </c>
      <c r="I4098" s="30">
        <f t="shared" si="94"/>
        <v>47.5</v>
      </c>
    </row>
    <row r="4099" spans="6:9">
      <c r="F4099" s="12" t="str">
        <f>Absolute_Scores!F4099</f>
        <v>@ayuarsini28</v>
      </c>
      <c r="G4099" s="12" t="str">
        <f>Absolute_Scores!G4099</f>
        <v>TikTok</v>
      </c>
      <c r="H4099" s="29">
        <f>Absolute_Scores!I4099</f>
        <v>38</v>
      </c>
      <c r="I4099" s="30">
        <f t="shared" si="94"/>
        <v>47.5</v>
      </c>
    </row>
    <row r="4100" spans="6:9">
      <c r="F4100" s="12" t="str">
        <f>Absolute_Scores!F4100</f>
        <v>@ayumustikarini14</v>
      </c>
      <c r="G4100" s="12" t="str">
        <f>Absolute_Scores!G4100</f>
        <v>TikTok</v>
      </c>
      <c r="H4100" s="29">
        <f>Absolute_Scores!I4100</f>
        <v>38</v>
      </c>
      <c r="I4100" s="30">
        <f t="shared" si="94"/>
        <v>47.5</v>
      </c>
    </row>
    <row r="4101" spans="6:9">
      <c r="F4101" s="12" t="str">
        <f>Absolute_Scores!F4101</f>
        <v>@ayunanda2104</v>
      </c>
      <c r="G4101" s="12" t="str">
        <f>Absolute_Scores!G4101</f>
        <v>TikTok</v>
      </c>
      <c r="H4101" s="29">
        <f>Absolute_Scores!I4101</f>
        <v>38</v>
      </c>
      <c r="I4101" s="30">
        <f t="shared" si="94"/>
        <v>47.5</v>
      </c>
    </row>
    <row r="4102" spans="6:9">
      <c r="F4102" s="12" t="str">
        <f>Absolute_Scores!F4102</f>
        <v>@azariaza</v>
      </c>
      <c r="G4102" s="12" t="str">
        <f>Absolute_Scores!G4102</f>
        <v>TikTok</v>
      </c>
      <c r="H4102" s="29">
        <f>Absolute_Scores!I4102</f>
        <v>38</v>
      </c>
      <c r="I4102" s="30">
        <f t="shared" ref="I4102:I4165" si="95">ROUND(H4102/$I$4*100,2)</f>
        <v>47.5</v>
      </c>
    </row>
    <row r="4103" spans="6:9">
      <c r="F4103" s="12" t="str">
        <f>Absolute_Scores!F4103</f>
        <v>@aziebeautyshop</v>
      </c>
      <c r="G4103" s="12" t="str">
        <f>Absolute_Scores!G4103</f>
        <v>TikTok</v>
      </c>
      <c r="H4103" s="29">
        <f>Absolute_Scores!I4103</f>
        <v>38</v>
      </c>
      <c r="I4103" s="30">
        <f t="shared" si="95"/>
        <v>47.5</v>
      </c>
    </row>
    <row r="4104" spans="6:9">
      <c r="F4104" s="12" t="str">
        <f>Absolute_Scores!F4104</f>
        <v>@babybabybyy</v>
      </c>
      <c r="G4104" s="12" t="str">
        <f>Absolute_Scores!G4104</f>
        <v>TikTok</v>
      </c>
      <c r="H4104" s="29">
        <f>Absolute_Scores!I4104</f>
        <v>38</v>
      </c>
      <c r="I4104" s="30">
        <f t="shared" si="95"/>
        <v>47.5</v>
      </c>
    </row>
    <row r="4105" spans="6:9">
      <c r="F4105" s="12" t="str">
        <f>Absolute_Scores!F4105</f>
        <v>@barneysfling</v>
      </c>
      <c r="G4105" s="12" t="str">
        <f>Absolute_Scores!G4105</f>
        <v>TikTok</v>
      </c>
      <c r="H4105" s="29">
        <f>Absolute_Scores!I4105</f>
        <v>38</v>
      </c>
      <c r="I4105" s="30">
        <f t="shared" si="95"/>
        <v>47.5</v>
      </c>
    </row>
    <row r="4106" spans="6:9">
      <c r="F4106" s="12" t="str">
        <f>Absolute_Scores!F4106</f>
        <v>@bayuxsn</v>
      </c>
      <c r="G4106" s="12" t="str">
        <f>Absolute_Scores!G4106</f>
        <v>TikTok</v>
      </c>
      <c r="H4106" s="29">
        <f>Absolute_Scores!I4106</f>
        <v>38</v>
      </c>
      <c r="I4106" s="30">
        <f t="shared" si="95"/>
        <v>47.5</v>
      </c>
    </row>
    <row r="4107" spans="6:9">
      <c r="F4107" s="12" t="str">
        <f>Absolute_Scores!F4107</f>
        <v>@bbydreamer93</v>
      </c>
      <c r="G4107" s="12" t="str">
        <f>Absolute_Scores!G4107</f>
        <v>TikTok</v>
      </c>
      <c r="H4107" s="29">
        <f>Absolute_Scores!I4107</f>
        <v>38</v>
      </c>
      <c r="I4107" s="30">
        <f t="shared" si="95"/>
        <v>47.5</v>
      </c>
    </row>
    <row r="4108" spans="6:9">
      <c r="F4108" s="12" t="str">
        <f>Absolute_Scores!F4108</f>
        <v>@bbyleow</v>
      </c>
      <c r="G4108" s="12" t="str">
        <f>Absolute_Scores!G4108</f>
        <v>TikTok</v>
      </c>
      <c r="H4108" s="29">
        <f>Absolute_Scores!I4108</f>
        <v>38</v>
      </c>
      <c r="I4108" s="30">
        <f t="shared" si="95"/>
        <v>47.5</v>
      </c>
    </row>
    <row r="4109" spans="6:9">
      <c r="F4109" s="12" t="str">
        <f>Absolute_Scores!F4109</f>
        <v>@bbyprils</v>
      </c>
      <c r="G4109" s="12" t="str">
        <f>Absolute_Scores!G4109</f>
        <v>TikTok</v>
      </c>
      <c r="H4109" s="29">
        <f>Absolute_Scores!I4109</f>
        <v>38</v>
      </c>
      <c r="I4109" s="30">
        <f t="shared" si="95"/>
        <v>47.5</v>
      </c>
    </row>
    <row r="4110" spans="6:9">
      <c r="F4110" s="12" t="str">
        <f>Absolute_Scores!F4110</f>
        <v>@bbyyouan</v>
      </c>
      <c r="G4110" s="12" t="str">
        <f>Absolute_Scores!G4110</f>
        <v>TikTok</v>
      </c>
      <c r="H4110" s="29">
        <f>Absolute_Scores!I4110</f>
        <v>38</v>
      </c>
      <c r="I4110" s="30">
        <f t="shared" si="95"/>
        <v>47.5</v>
      </c>
    </row>
    <row r="4111" spans="6:9">
      <c r="F4111" s="12" t="str">
        <f>Absolute_Scores!F4111</f>
        <v>@beautyandacne</v>
      </c>
      <c r="G4111" s="12" t="str">
        <f>Absolute_Scores!G4111</f>
        <v>Instagram</v>
      </c>
      <c r="H4111" s="29">
        <f>Absolute_Scores!I4111</f>
        <v>38</v>
      </c>
      <c r="I4111" s="30">
        <f t="shared" si="95"/>
        <v>47.5</v>
      </c>
    </row>
    <row r="4112" spans="6:9">
      <c r="F4112" s="12" t="str">
        <f>Absolute_Scores!F4112</f>
        <v>@bebiaurelllll</v>
      </c>
      <c r="G4112" s="12" t="str">
        <f>Absolute_Scores!G4112</f>
        <v>TikTok</v>
      </c>
      <c r="H4112" s="29">
        <f>Absolute_Scores!I4112</f>
        <v>38</v>
      </c>
      <c r="I4112" s="30">
        <f t="shared" si="95"/>
        <v>47.5</v>
      </c>
    </row>
    <row r="4113" spans="6:9">
      <c r="F4113" s="12" t="str">
        <f>Absolute_Scores!F4113</f>
        <v>@belaasnc</v>
      </c>
      <c r="G4113" s="12" t="str">
        <f>Absolute_Scores!G4113</f>
        <v>TikTok</v>
      </c>
      <c r="H4113" s="29">
        <f>Absolute_Scores!I4113</f>
        <v>38</v>
      </c>
      <c r="I4113" s="30">
        <f t="shared" si="95"/>
        <v>47.5</v>
      </c>
    </row>
    <row r="4114" spans="6:9">
      <c r="F4114" s="12" t="str">
        <f>Absolute_Scores!F4114</f>
        <v>@beliicia</v>
      </c>
      <c r="G4114" s="12" t="str">
        <f>Absolute_Scores!G4114</f>
        <v>TikTok</v>
      </c>
      <c r="H4114" s="29">
        <f>Absolute_Scores!I4114</f>
        <v>38</v>
      </c>
      <c r="I4114" s="30">
        <f t="shared" si="95"/>
        <v>47.5</v>
      </c>
    </row>
    <row r="4115" spans="6:9">
      <c r="F4115" s="12" t="str">
        <f>Absolute_Scores!F4115</f>
        <v>@belinsid</v>
      </c>
      <c r="G4115" s="12" t="str">
        <f>Absolute_Scores!G4115</f>
        <v>TikTok</v>
      </c>
      <c r="H4115" s="29">
        <f>Absolute_Scores!I4115</f>
        <v>38</v>
      </c>
      <c r="I4115" s="30">
        <f t="shared" si="95"/>
        <v>47.5</v>
      </c>
    </row>
    <row r="4116" spans="6:9">
      <c r="F4116" s="12" t="str">
        <f>Absolute_Scores!F4116</f>
        <v>@bellanjabulanan</v>
      </c>
      <c r="G4116" s="12" t="str">
        <f>Absolute_Scores!G4116</f>
        <v>TikTok</v>
      </c>
      <c r="H4116" s="29">
        <f>Absolute_Scores!I4116</f>
        <v>38</v>
      </c>
      <c r="I4116" s="30">
        <f t="shared" si="95"/>
        <v>47.5</v>
      </c>
    </row>
    <row r="4117" spans="6:9">
      <c r="F4117" s="12" t="str">
        <f>Absolute_Scores!F4117</f>
        <v>@bellendear</v>
      </c>
      <c r="G4117" s="12" t="str">
        <f>Absolute_Scores!G4117</f>
        <v>TikTok</v>
      </c>
      <c r="H4117" s="29">
        <f>Absolute_Scores!I4117</f>
        <v>38</v>
      </c>
      <c r="I4117" s="30">
        <f t="shared" si="95"/>
        <v>47.5</v>
      </c>
    </row>
    <row r="4118" spans="6:9">
      <c r="F4118" s="12" t="str">
        <f>Absolute_Scores!F4118</f>
        <v>@berlinaus6</v>
      </c>
      <c r="G4118" s="12" t="str">
        <f>Absolute_Scores!G4118</f>
        <v>TikTok</v>
      </c>
      <c r="H4118" s="29">
        <f>Absolute_Scores!I4118</f>
        <v>38</v>
      </c>
      <c r="I4118" s="30">
        <f t="shared" si="95"/>
        <v>47.5</v>
      </c>
    </row>
    <row r="4119" spans="6:9">
      <c r="F4119" s="12" t="str">
        <f>Absolute_Scores!F4119</f>
        <v>@bestabeste</v>
      </c>
      <c r="G4119" s="12" t="str">
        <f>Absolute_Scores!G4119</f>
        <v>TikTok</v>
      </c>
      <c r="H4119" s="29">
        <f>Absolute_Scores!I4119</f>
        <v>38</v>
      </c>
      <c r="I4119" s="30">
        <f t="shared" si="95"/>
        <v>47.5</v>
      </c>
    </row>
    <row r="4120" spans="6:9">
      <c r="F4120" s="12" t="str">
        <f>Absolute_Scores!F4120</f>
        <v>@bestalifta</v>
      </c>
      <c r="G4120" s="12" t="str">
        <f>Absolute_Scores!G4120</f>
        <v>TikTok</v>
      </c>
      <c r="H4120" s="29">
        <f>Absolute_Scores!I4120</f>
        <v>38</v>
      </c>
      <c r="I4120" s="30">
        <f t="shared" si="95"/>
        <v>47.5</v>
      </c>
    </row>
    <row r="4121" spans="6:9">
      <c r="F4121" s="12" t="str">
        <f>Absolute_Scores!F4121</f>
        <v>@bianisubki</v>
      </c>
      <c r="G4121" s="12" t="str">
        <f>Absolute_Scores!G4121</f>
        <v>TikTok</v>
      </c>
      <c r="H4121" s="29">
        <f>Absolute_Scores!I4121</f>
        <v>38</v>
      </c>
      <c r="I4121" s="30">
        <f t="shared" si="95"/>
        <v>47.5</v>
      </c>
    </row>
    <row r="4122" spans="6:9">
      <c r="F4122" s="12" t="str">
        <f>Absolute_Scores!F4122</f>
        <v>@bidanku.afita</v>
      </c>
      <c r="G4122" s="12" t="str">
        <f>Absolute_Scores!G4122</f>
        <v>TikTok</v>
      </c>
      <c r="H4122" s="29">
        <f>Absolute_Scores!I4122</f>
        <v>38</v>
      </c>
      <c r="I4122" s="30">
        <f t="shared" si="95"/>
        <v>47.5</v>
      </c>
    </row>
    <row r="4123" spans="6:9">
      <c r="F4123" s="12" t="str">
        <f>Absolute_Scores!F4123</f>
        <v>@bikingendut</v>
      </c>
      <c r="G4123" s="12" t="str">
        <f>Absolute_Scores!G4123</f>
        <v>TikTok</v>
      </c>
      <c r="H4123" s="29">
        <f>Absolute_Scores!I4123</f>
        <v>38</v>
      </c>
      <c r="I4123" s="30">
        <f t="shared" si="95"/>
        <v>47.5</v>
      </c>
    </row>
    <row r="4124" spans="6:9">
      <c r="F4124" s="12" t="str">
        <f>Absolute_Scores!F4124</f>
        <v>@bila.salsabil25</v>
      </c>
      <c r="G4124" s="12" t="str">
        <f>Absolute_Scores!G4124</f>
        <v>TikTok</v>
      </c>
      <c r="H4124" s="29">
        <f>Absolute_Scores!I4124</f>
        <v>38</v>
      </c>
      <c r="I4124" s="30">
        <f t="shared" si="95"/>
        <v>47.5</v>
      </c>
    </row>
    <row r="4125" spans="6:9">
      <c r="F4125" s="12" t="str">
        <f>Absolute_Scores!F4125</f>
        <v>@bilehbillah</v>
      </c>
      <c r="G4125" s="12" t="str">
        <f>Absolute_Scores!G4125</f>
        <v>TikTok</v>
      </c>
      <c r="H4125" s="29">
        <f>Absolute_Scores!I4125</f>
        <v>38</v>
      </c>
      <c r="I4125" s="30">
        <f t="shared" si="95"/>
        <v>47.5</v>
      </c>
    </row>
    <row r="4126" spans="6:9">
      <c r="F4126" s="12" t="str">
        <f>Absolute_Scores!F4126</f>
        <v>@billovedd</v>
      </c>
      <c r="G4126" s="12" t="str">
        <f>Absolute_Scores!G4126</f>
        <v>TikTok</v>
      </c>
      <c r="H4126" s="29">
        <f>Absolute_Scores!I4126</f>
        <v>38</v>
      </c>
      <c r="I4126" s="30">
        <f t="shared" si="95"/>
        <v>47.5</v>
      </c>
    </row>
    <row r="4127" spans="6:9">
      <c r="F4127" s="12" t="str">
        <f>Absolute_Scores!F4127</f>
        <v>@blackxugar</v>
      </c>
      <c r="G4127" s="12" t="str">
        <f>Absolute_Scores!G4127</f>
        <v>TikTok</v>
      </c>
      <c r="H4127" s="29">
        <f>Absolute_Scores!I4127</f>
        <v>38</v>
      </c>
      <c r="I4127" s="30">
        <f t="shared" si="95"/>
        <v>47.5</v>
      </c>
    </row>
    <row r="4128" spans="6:9">
      <c r="F4128" s="12" t="str">
        <f>Absolute_Scores!F4128</f>
        <v>@blue_fairytalee</v>
      </c>
      <c r="G4128" s="12" t="str">
        <f>Absolute_Scores!G4128</f>
        <v>TikTok</v>
      </c>
      <c r="H4128" s="29">
        <f>Absolute_Scores!I4128</f>
        <v>38</v>
      </c>
      <c r="I4128" s="30">
        <f t="shared" si="95"/>
        <v>47.5</v>
      </c>
    </row>
    <row r="4129" spans="6:9">
      <c r="F4129" s="12" t="str">
        <f>Absolute_Scores!F4129</f>
        <v>@bluurain</v>
      </c>
      <c r="G4129" s="12" t="str">
        <f>Absolute_Scores!G4129</f>
        <v>TikTok</v>
      </c>
      <c r="H4129" s="29">
        <f>Absolute_Scores!I4129</f>
        <v>38</v>
      </c>
      <c r="I4129" s="30">
        <f t="shared" si="95"/>
        <v>47.5</v>
      </c>
    </row>
    <row r="4130" spans="6:9">
      <c r="F4130" s="12" t="str">
        <f>Absolute_Scores!F4130</f>
        <v>@btr_babyla</v>
      </c>
      <c r="G4130" s="12" t="str">
        <f>Absolute_Scores!G4130</f>
        <v>TikTok</v>
      </c>
      <c r="H4130" s="29">
        <f>Absolute_Scores!I4130</f>
        <v>38</v>
      </c>
      <c r="I4130" s="30">
        <f t="shared" si="95"/>
        <v>47.5</v>
      </c>
    </row>
    <row r="4131" spans="6:9">
      <c r="F4131" s="12" t="str">
        <f>Absolute_Scores!F4131</f>
        <v>@bukananakmanjaa</v>
      </c>
      <c r="G4131" s="12" t="str">
        <f>Absolute_Scores!G4131</f>
        <v>TikTok</v>
      </c>
      <c r="H4131" s="29">
        <f>Absolute_Scores!I4131</f>
        <v>38</v>
      </c>
      <c r="I4131" s="30">
        <f t="shared" si="95"/>
        <v>47.5</v>
      </c>
    </row>
    <row r="4132" spans="6:9">
      <c r="F4132" s="12" t="str">
        <f>Absolute_Scores!F4132</f>
        <v>@bukangansa</v>
      </c>
      <c r="G4132" s="12" t="str">
        <f>Absolute_Scores!G4132</f>
        <v>TikTok</v>
      </c>
      <c r="H4132" s="29">
        <f>Absolute_Scores!I4132</f>
        <v>38</v>
      </c>
      <c r="I4132" s="30">
        <f t="shared" si="95"/>
        <v>47.5</v>
      </c>
    </row>
    <row r="4133" spans="6:9">
      <c r="F4133" s="12" t="str">
        <f>Absolute_Scores!F4133</f>
        <v>@bymauveine</v>
      </c>
      <c r="G4133" s="12" t="str">
        <f>Absolute_Scores!G4133</f>
        <v>TikTok</v>
      </c>
      <c r="H4133" s="29">
        <f>Absolute_Scores!I4133</f>
        <v>38</v>
      </c>
      <c r="I4133" s="30">
        <f t="shared" si="95"/>
        <v>47.5</v>
      </c>
    </row>
    <row r="4134" spans="6:9">
      <c r="F4134" s="12" t="str">
        <f>Absolute_Scores!F4134</f>
        <v>@bynurafifahh</v>
      </c>
      <c r="G4134" s="12" t="str">
        <f>Absolute_Scores!G4134</f>
        <v>TikTok</v>
      </c>
      <c r="H4134" s="29">
        <f>Absolute_Scores!I4134</f>
        <v>38</v>
      </c>
      <c r="I4134" s="30">
        <f t="shared" si="95"/>
        <v>47.5</v>
      </c>
    </row>
    <row r="4135" spans="6:9">
      <c r="F4135" s="12" t="str">
        <f>Absolute_Scores!F4135</f>
        <v>@byviolina</v>
      </c>
      <c r="G4135" s="12" t="str">
        <f>Absolute_Scores!G4135</f>
        <v>Instagram</v>
      </c>
      <c r="H4135" s="29">
        <f>Absolute_Scores!I4135</f>
        <v>38</v>
      </c>
      <c r="I4135" s="30">
        <f t="shared" si="95"/>
        <v>47.5</v>
      </c>
    </row>
    <row r="4136" spans="6:9">
      <c r="F4136" s="12" t="str">
        <f>Absolute_Scores!F4136</f>
        <v>@cacaxx.ca</v>
      </c>
      <c r="G4136" s="12" t="str">
        <f>Absolute_Scores!G4136</f>
        <v>TikTok</v>
      </c>
      <c r="H4136" s="29">
        <f>Absolute_Scores!I4136</f>
        <v>38</v>
      </c>
      <c r="I4136" s="30">
        <f t="shared" si="95"/>
        <v>47.5</v>
      </c>
    </row>
    <row r="4137" spans="6:9">
      <c r="F4137" s="12" t="str">
        <f>Absolute_Scores!F4137</f>
        <v>@cadburylemonade</v>
      </c>
      <c r="G4137" s="12" t="str">
        <f>Absolute_Scores!G4137</f>
        <v>TikTok</v>
      </c>
      <c r="H4137" s="29">
        <f>Absolute_Scores!I4137</f>
        <v>38</v>
      </c>
      <c r="I4137" s="30">
        <f t="shared" si="95"/>
        <v>47.5</v>
      </c>
    </row>
    <row r="4138" spans="6:9">
      <c r="F4138" s="12" t="str">
        <f>Absolute_Scores!F4138</f>
        <v>@calcalala</v>
      </c>
      <c r="G4138" s="12" t="str">
        <f>Absolute_Scores!G4138</f>
        <v>TikTok</v>
      </c>
      <c r="H4138" s="29">
        <f>Absolute_Scores!I4138</f>
        <v>38</v>
      </c>
      <c r="I4138" s="30">
        <f t="shared" si="95"/>
        <v>47.5</v>
      </c>
    </row>
    <row r="4139" spans="6:9">
      <c r="F4139" s="12" t="str">
        <f>Absolute_Scores!F4139</f>
        <v>@callmec4</v>
      </c>
      <c r="G4139" s="12" t="str">
        <f>Absolute_Scores!G4139</f>
        <v>TikTok</v>
      </c>
      <c r="H4139" s="29">
        <f>Absolute_Scores!I4139</f>
        <v>38</v>
      </c>
      <c r="I4139" s="30">
        <f t="shared" si="95"/>
        <v>47.5</v>
      </c>
    </row>
    <row r="4140" spans="6:9">
      <c r="F4140" s="12" t="str">
        <f>Absolute_Scores!F4140</f>
        <v>@camilarasy</v>
      </c>
      <c r="G4140" s="12" t="str">
        <f>Absolute_Scores!G4140</f>
        <v>Instagram</v>
      </c>
      <c r="H4140" s="29">
        <f>Absolute_Scores!I4140</f>
        <v>38</v>
      </c>
      <c r="I4140" s="30">
        <f t="shared" si="95"/>
        <v>47.5</v>
      </c>
    </row>
    <row r="4141" spans="6:9">
      <c r="F4141" s="12" t="str">
        <f>Absolute_Scores!F4141</f>
        <v>@canclesrac_</v>
      </c>
      <c r="G4141" s="12" t="str">
        <f>Absolute_Scores!G4141</f>
        <v>TikTok</v>
      </c>
      <c r="H4141" s="29">
        <f>Absolute_Scores!I4141</f>
        <v>38</v>
      </c>
      <c r="I4141" s="30">
        <f t="shared" si="95"/>
        <v>47.5</v>
      </c>
    </row>
    <row r="4142" spans="6:9">
      <c r="F4142" s="12" t="str">
        <f>Absolute_Scores!F4142</f>
        <v>@cantikamartini</v>
      </c>
      <c r="G4142" s="12" t="str">
        <f>Absolute_Scores!G4142</f>
        <v>TikTok</v>
      </c>
      <c r="H4142" s="29">
        <f>Absolute_Scores!I4142</f>
        <v>38</v>
      </c>
      <c r="I4142" s="30">
        <f t="shared" si="95"/>
        <v>47.5</v>
      </c>
    </row>
    <row r="4143" spans="6:9">
      <c r="F4143" s="12" t="str">
        <f>Absolute_Scores!F4143</f>
        <v>@cassandraslee</v>
      </c>
      <c r="G4143" s="12" t="str">
        <f>Absolute_Scores!G4143</f>
        <v>TikTok</v>
      </c>
      <c r="H4143" s="29">
        <f>Absolute_Scores!I4143</f>
        <v>38</v>
      </c>
      <c r="I4143" s="30">
        <f t="shared" si="95"/>
        <v>47.5</v>
      </c>
    </row>
    <row r="4144" spans="6:9">
      <c r="F4144" s="12" t="str">
        <f>Absolute_Scores!F4144</f>
        <v>@cath_as</v>
      </c>
      <c r="G4144" s="12" t="str">
        <f>Absolute_Scores!G4144</f>
        <v>TikTok</v>
      </c>
      <c r="H4144" s="29">
        <f>Absolute_Scores!I4144</f>
        <v>38</v>
      </c>
      <c r="I4144" s="30">
        <f t="shared" si="95"/>
        <v>47.5</v>
      </c>
    </row>
    <row r="4145" spans="6:9">
      <c r="F4145" s="12" t="str">
        <f>Absolute_Scores!F4145</f>
        <v>@cclaracr</v>
      </c>
      <c r="G4145" s="12" t="str">
        <f>Absolute_Scores!G4145</f>
        <v>TikTok</v>
      </c>
      <c r="H4145" s="29">
        <f>Absolute_Scores!I4145</f>
        <v>38</v>
      </c>
      <c r="I4145" s="30">
        <f t="shared" si="95"/>
        <v>47.5</v>
      </c>
    </row>
    <row r="4146" spans="6:9">
      <c r="F4146" s="12" t="str">
        <f>Absolute_Scores!F4146</f>
        <v>@cclarenttiffany</v>
      </c>
      <c r="G4146" s="12" t="str">
        <f>Absolute_Scores!G4146</f>
        <v>TikTok</v>
      </c>
      <c r="H4146" s="29">
        <f>Absolute_Scores!I4146</f>
        <v>38</v>
      </c>
      <c r="I4146" s="30">
        <f t="shared" si="95"/>
        <v>47.5</v>
      </c>
    </row>
    <row r="4147" spans="6:9">
      <c r="F4147" s="12" t="str">
        <f>Absolute_Scores!F4147</f>
        <v>@celinesingz</v>
      </c>
      <c r="G4147" s="12" t="str">
        <f>Absolute_Scores!G4147</f>
        <v>Instagram</v>
      </c>
      <c r="H4147" s="29">
        <f>Absolute_Scores!I4147</f>
        <v>38</v>
      </c>
      <c r="I4147" s="30">
        <f t="shared" si="95"/>
        <v>47.5</v>
      </c>
    </row>
    <row r="4148" spans="6:9">
      <c r="F4148" s="12" t="str">
        <f>Absolute_Scores!F4148</f>
        <v>@ceninin</v>
      </c>
      <c r="G4148" s="12" t="str">
        <f>Absolute_Scores!G4148</f>
        <v>TikTok</v>
      </c>
      <c r="H4148" s="29">
        <f>Absolute_Scores!I4148</f>
        <v>38</v>
      </c>
      <c r="I4148" s="30">
        <f t="shared" si="95"/>
        <v>47.5</v>
      </c>
    </row>
    <row r="4149" spans="6:9">
      <c r="F4149" s="12" t="str">
        <f>Absolute_Scores!F4149</f>
        <v>@cessshabine</v>
      </c>
      <c r="G4149" s="12" t="str">
        <f>Absolute_Scores!G4149</f>
        <v>TikTok</v>
      </c>
      <c r="H4149" s="29">
        <f>Absolute_Scores!I4149</f>
        <v>38</v>
      </c>
      <c r="I4149" s="30">
        <f t="shared" si="95"/>
        <v>47.5</v>
      </c>
    </row>
    <row r="4150" spans="6:9">
      <c r="F4150" s="12" t="str">
        <f>Absolute_Scores!F4150</f>
        <v>@chainhere</v>
      </c>
      <c r="G4150" s="12" t="str">
        <f>Absolute_Scores!G4150</f>
        <v>Instagram</v>
      </c>
      <c r="H4150" s="29">
        <f>Absolute_Scores!I4150</f>
        <v>38</v>
      </c>
      <c r="I4150" s="30">
        <f t="shared" si="95"/>
        <v>47.5</v>
      </c>
    </row>
    <row r="4151" spans="6:9">
      <c r="F4151" s="12" t="str">
        <f>Absolute_Scores!F4151</f>
        <v>@chalulaashdr</v>
      </c>
      <c r="G4151" s="12" t="str">
        <f>Absolute_Scores!G4151</f>
        <v>TikTok</v>
      </c>
      <c r="H4151" s="29">
        <f>Absolute_Scores!I4151</f>
        <v>38</v>
      </c>
      <c r="I4151" s="30">
        <f t="shared" si="95"/>
        <v>47.5</v>
      </c>
    </row>
    <row r="4152" spans="6:9">
      <c r="F4152" s="12" t="str">
        <f>Absolute_Scores!F4152</f>
        <v>@chareraprilly</v>
      </c>
      <c r="G4152" s="12" t="str">
        <f>Absolute_Scores!G4152</f>
        <v>TikTok</v>
      </c>
      <c r="H4152" s="29">
        <f>Absolute_Scores!I4152</f>
        <v>38</v>
      </c>
      <c r="I4152" s="30">
        <f t="shared" si="95"/>
        <v>47.5</v>
      </c>
    </row>
    <row r="4153" spans="6:9">
      <c r="F4153" s="12" t="str">
        <f>Absolute_Scores!F4153</f>
        <v>@charinnnsy</v>
      </c>
      <c r="G4153" s="12" t="str">
        <f>Absolute_Scores!G4153</f>
        <v>TikTok</v>
      </c>
      <c r="H4153" s="29">
        <f>Absolute_Scores!I4153</f>
        <v>38</v>
      </c>
      <c r="I4153" s="30">
        <f t="shared" si="95"/>
        <v>47.5</v>
      </c>
    </row>
    <row r="4154" spans="6:9">
      <c r="F4154" s="12" t="str">
        <f>Absolute_Scores!F4154</f>
        <v>@cheeseeecats</v>
      </c>
      <c r="G4154" s="12" t="str">
        <f>Absolute_Scores!G4154</f>
        <v>TikTok</v>
      </c>
      <c r="H4154" s="29">
        <f>Absolute_Scores!I4154</f>
        <v>38</v>
      </c>
      <c r="I4154" s="30">
        <f t="shared" si="95"/>
        <v>47.5</v>
      </c>
    </row>
    <row r="4155" spans="6:9">
      <c r="F4155" s="12" t="str">
        <f>Absolute_Scores!F4155</f>
        <v>@chelsyalaurent</v>
      </c>
      <c r="G4155" s="12" t="str">
        <f>Absolute_Scores!G4155</f>
        <v>TikTok</v>
      </c>
      <c r="H4155" s="29">
        <f>Absolute_Scores!I4155</f>
        <v>38</v>
      </c>
      <c r="I4155" s="30">
        <f t="shared" si="95"/>
        <v>47.5</v>
      </c>
    </row>
    <row r="4156" spans="6:9">
      <c r="F4156" s="12" t="str">
        <f>Absolute_Scores!F4156</f>
        <v>@cherylyaaa</v>
      </c>
      <c r="G4156" s="12" t="str">
        <f>Absolute_Scores!G4156</f>
        <v>TikTok</v>
      </c>
      <c r="H4156" s="29">
        <f>Absolute_Scores!I4156</f>
        <v>38</v>
      </c>
      <c r="I4156" s="30">
        <f t="shared" si="95"/>
        <v>47.5</v>
      </c>
    </row>
    <row r="4157" spans="6:9">
      <c r="F4157" s="12" t="str">
        <f>Absolute_Scores!F4157</f>
        <v>@chikaaherdaa</v>
      </c>
      <c r="G4157" s="12" t="str">
        <f>Absolute_Scores!G4157</f>
        <v>TikTok</v>
      </c>
      <c r="H4157" s="29">
        <f>Absolute_Scores!I4157</f>
        <v>38</v>
      </c>
      <c r="I4157" s="30">
        <f t="shared" si="95"/>
        <v>47.5</v>
      </c>
    </row>
    <row r="4158" spans="6:9">
      <c r="F4158" s="12" t="str">
        <f>Absolute_Scores!F4158</f>
        <v>@chikaasss</v>
      </c>
      <c r="G4158" s="12" t="str">
        <f>Absolute_Scores!G4158</f>
        <v>TikTok</v>
      </c>
      <c r="H4158" s="29">
        <f>Absolute_Scores!I4158</f>
        <v>38</v>
      </c>
      <c r="I4158" s="30">
        <f t="shared" si="95"/>
        <v>47.5</v>
      </c>
    </row>
    <row r="4159" spans="6:9">
      <c r="F4159" s="12" t="str">
        <f>Absolute_Scores!F4159</f>
        <v>@chofyx</v>
      </c>
      <c r="G4159" s="12" t="str">
        <f>Absolute_Scores!G4159</f>
        <v>Instagram</v>
      </c>
      <c r="H4159" s="29">
        <f>Absolute_Scores!I4159</f>
        <v>38</v>
      </c>
      <c r="I4159" s="30">
        <f t="shared" si="95"/>
        <v>47.5</v>
      </c>
    </row>
    <row r="4160" spans="6:9">
      <c r="F4160" s="12" t="str">
        <f>Absolute_Scores!F4160</f>
        <v>@christie.ofcl</v>
      </c>
      <c r="G4160" s="12" t="str">
        <f>Absolute_Scores!G4160</f>
        <v>TikTok</v>
      </c>
      <c r="H4160" s="29">
        <f>Absolute_Scores!I4160</f>
        <v>38</v>
      </c>
      <c r="I4160" s="30">
        <f t="shared" si="95"/>
        <v>47.5</v>
      </c>
    </row>
    <row r="4161" spans="6:9">
      <c r="F4161" s="12" t="str">
        <f>Absolute_Scores!F4161</f>
        <v>@christinatchh</v>
      </c>
      <c r="G4161" s="12" t="str">
        <f>Absolute_Scores!G4161</f>
        <v>TikTok</v>
      </c>
      <c r="H4161" s="29">
        <f>Absolute_Scores!I4161</f>
        <v>38</v>
      </c>
      <c r="I4161" s="30">
        <f t="shared" si="95"/>
        <v>47.5</v>
      </c>
    </row>
    <row r="4162" spans="6:9">
      <c r="F4162" s="12" t="str">
        <f>Absolute_Scores!F4162</f>
        <v>@ciicicici__</v>
      </c>
      <c r="G4162" s="12" t="str">
        <f>Absolute_Scores!G4162</f>
        <v>TikTok</v>
      </c>
      <c r="H4162" s="29">
        <f>Absolute_Scores!I4162</f>
        <v>38</v>
      </c>
      <c r="I4162" s="30">
        <f t="shared" si="95"/>
        <v>47.5</v>
      </c>
    </row>
    <row r="4163" spans="6:9">
      <c r="F4163" s="12" t="str">
        <f>Absolute_Scores!F4163</f>
        <v>@cikeunugget</v>
      </c>
      <c r="G4163" s="12" t="str">
        <f>Absolute_Scores!G4163</f>
        <v>TikTok</v>
      </c>
      <c r="H4163" s="29">
        <f>Absolute_Scores!I4163</f>
        <v>38</v>
      </c>
      <c r="I4163" s="30">
        <f t="shared" si="95"/>
        <v>47.5</v>
      </c>
    </row>
    <row r="4164" spans="6:9">
      <c r="F4164" s="12" t="str">
        <f>Absolute_Scores!F4164</f>
        <v>@cilakkkkkkkk</v>
      </c>
      <c r="G4164" s="12" t="str">
        <f>Absolute_Scores!G4164</f>
        <v>TikTok</v>
      </c>
      <c r="H4164" s="29">
        <f>Absolute_Scores!I4164</f>
        <v>38</v>
      </c>
      <c r="I4164" s="30">
        <f t="shared" si="95"/>
        <v>47.5</v>
      </c>
    </row>
    <row r="4165" spans="6:9">
      <c r="F4165" s="12" t="str">
        <f>Absolute_Scores!F4165</f>
        <v>@cimeeyyyy</v>
      </c>
      <c r="G4165" s="12" t="str">
        <f>Absolute_Scores!G4165</f>
        <v>TikTok</v>
      </c>
      <c r="H4165" s="29">
        <f>Absolute_Scores!I4165</f>
        <v>38</v>
      </c>
      <c r="I4165" s="30">
        <f t="shared" si="95"/>
        <v>47.5</v>
      </c>
    </row>
    <row r="4166" spans="6:9">
      <c r="F4166" s="12" t="str">
        <f>Absolute_Scores!F4166</f>
        <v>@cintaindraa</v>
      </c>
      <c r="G4166" s="12" t="str">
        <f>Absolute_Scores!G4166</f>
        <v>TikTok</v>
      </c>
      <c r="H4166" s="29">
        <f>Absolute_Scores!I4166</f>
        <v>38</v>
      </c>
      <c r="I4166" s="30">
        <f t="shared" ref="I4166:I4229" si="96">ROUND(H4166/$I$4*100,2)</f>
        <v>47.5</v>
      </c>
    </row>
    <row r="4167" spans="6:9">
      <c r="F4167" s="12" t="str">
        <f>Absolute_Scores!F4167</f>
        <v>@citraayudiaa</v>
      </c>
      <c r="G4167" s="12" t="str">
        <f>Absolute_Scores!G4167</f>
        <v>TikTok</v>
      </c>
      <c r="H4167" s="29">
        <f>Absolute_Scores!I4167</f>
        <v>38</v>
      </c>
      <c r="I4167" s="30">
        <f t="shared" si="96"/>
        <v>47.5</v>
      </c>
    </row>
    <row r="4168" spans="6:9">
      <c r="F4168" s="12" t="str">
        <f>Absolute_Scores!F4168</f>
        <v>@clara.louisea</v>
      </c>
      <c r="G4168" s="12" t="str">
        <f>Absolute_Scores!G4168</f>
        <v>TikTok</v>
      </c>
      <c r="H4168" s="29">
        <f>Absolute_Scores!I4168</f>
        <v>38</v>
      </c>
      <c r="I4168" s="30">
        <f t="shared" si="96"/>
        <v>47.5</v>
      </c>
    </row>
    <row r="4169" spans="6:9">
      <c r="F4169" s="12" t="str">
        <f>Absolute_Scores!F4169</f>
        <v>@clayolayyy</v>
      </c>
      <c r="G4169" s="12" t="str">
        <f>Absolute_Scores!G4169</f>
        <v>TikTok</v>
      </c>
      <c r="H4169" s="29">
        <f>Absolute_Scores!I4169</f>
        <v>38</v>
      </c>
      <c r="I4169" s="30">
        <f t="shared" si="96"/>
        <v>47.5</v>
      </c>
    </row>
    <row r="4170" spans="6:9">
      <c r="F4170" s="12" t="str">
        <f>Absolute_Scores!F4170</f>
        <v>@clorinisaa</v>
      </c>
      <c r="G4170" s="12" t="str">
        <f>Absolute_Scores!G4170</f>
        <v>TikTok</v>
      </c>
      <c r="H4170" s="29">
        <f>Absolute_Scores!I4170</f>
        <v>38</v>
      </c>
      <c r="I4170" s="30">
        <f t="shared" si="96"/>
        <v>47.5</v>
      </c>
    </row>
    <row r="4171" spans="6:9">
      <c r="F4171" s="12" t="str">
        <f>Absolute_Scores!F4171</f>
        <v>@crankygvrlishere</v>
      </c>
      <c r="G4171" s="12" t="str">
        <f>Absolute_Scores!G4171</f>
        <v>TikTok</v>
      </c>
      <c r="H4171" s="29">
        <f>Absolute_Scores!I4171</f>
        <v>38</v>
      </c>
      <c r="I4171" s="30">
        <f t="shared" si="96"/>
        <v>47.5</v>
      </c>
    </row>
    <row r="4172" spans="6:9">
      <c r="F4172" s="12" t="str">
        <f>Absolute_Scores!F4172</f>
        <v>@cutarsyilla</v>
      </c>
      <c r="G4172" s="12" t="str">
        <f>Absolute_Scores!G4172</f>
        <v>TikTok</v>
      </c>
      <c r="H4172" s="29">
        <f>Absolute_Scores!I4172</f>
        <v>38</v>
      </c>
      <c r="I4172" s="30">
        <f t="shared" si="96"/>
        <v>47.5</v>
      </c>
    </row>
    <row r="4173" spans="6:9">
      <c r="F4173" s="12" t="str">
        <f>Absolute_Scores!F4173</f>
        <v>@cutetastic_</v>
      </c>
      <c r="G4173" s="12" t="str">
        <f>Absolute_Scores!G4173</f>
        <v>TikTok</v>
      </c>
      <c r="H4173" s="29">
        <f>Absolute_Scores!I4173</f>
        <v>38</v>
      </c>
      <c r="I4173" s="30">
        <f t="shared" si="96"/>
        <v>47.5</v>
      </c>
    </row>
    <row r="4174" spans="6:9">
      <c r="F4174" s="12" t="str">
        <f>Absolute_Scores!F4174</f>
        <v>@cutiiecatpie</v>
      </c>
      <c r="G4174" s="12" t="str">
        <f>Absolute_Scores!G4174</f>
        <v>TikTok</v>
      </c>
      <c r="H4174" s="29">
        <f>Absolute_Scores!I4174</f>
        <v>38</v>
      </c>
      <c r="I4174" s="30">
        <f t="shared" si="96"/>
        <v>47.5</v>
      </c>
    </row>
    <row r="4175" spans="6:9">
      <c r="F4175" s="12" t="str">
        <f>Absolute_Scores!F4175</f>
        <v>@cyntiaar_</v>
      </c>
      <c r="G4175" s="12" t="str">
        <f>Absolute_Scores!G4175</f>
        <v>TikTok</v>
      </c>
      <c r="H4175" s="29">
        <f>Absolute_Scores!I4175</f>
        <v>38</v>
      </c>
      <c r="I4175" s="30">
        <f t="shared" si="96"/>
        <v>47.5</v>
      </c>
    </row>
    <row r="4176" spans="6:9">
      <c r="F4176" s="12" t="str">
        <f>Absolute_Scores!F4176</f>
        <v>@daineujune</v>
      </c>
      <c r="G4176" s="12" t="str">
        <f>Absolute_Scores!G4176</f>
        <v>TikTok</v>
      </c>
      <c r="H4176" s="29">
        <f>Absolute_Scores!I4176</f>
        <v>38</v>
      </c>
      <c r="I4176" s="30">
        <f t="shared" si="96"/>
        <v>47.5</v>
      </c>
    </row>
    <row r="4177" spans="6:9">
      <c r="F4177" s="12" t="str">
        <f>Absolute_Scores!F4177</f>
        <v>@darksidemica</v>
      </c>
      <c r="G4177" s="12" t="str">
        <f>Absolute_Scores!G4177</f>
        <v>TikTok</v>
      </c>
      <c r="H4177" s="29">
        <f>Absolute_Scores!I4177</f>
        <v>38</v>
      </c>
      <c r="I4177" s="30">
        <f t="shared" si="96"/>
        <v>47.5</v>
      </c>
    </row>
    <row r="4178" spans="6:9">
      <c r="F4178" s="12" t="str">
        <f>Absolute_Scores!F4178</f>
        <v>@dastiaprajak</v>
      </c>
      <c r="G4178" s="12" t="str">
        <f>Absolute_Scores!G4178</f>
        <v>TikTok</v>
      </c>
      <c r="H4178" s="29">
        <f>Absolute_Scores!I4178</f>
        <v>38</v>
      </c>
      <c r="I4178" s="30">
        <f t="shared" si="96"/>
        <v>47.5</v>
      </c>
    </row>
    <row r="4179" spans="6:9">
      <c r="F4179" s="12" t="str">
        <f>Absolute_Scores!F4179</f>
        <v>@dayangprtiwi</v>
      </c>
      <c r="G4179" s="12" t="str">
        <f>Absolute_Scores!G4179</f>
        <v>Instagram</v>
      </c>
      <c r="H4179" s="29">
        <f>Absolute_Scores!I4179</f>
        <v>38</v>
      </c>
      <c r="I4179" s="30">
        <f t="shared" si="96"/>
        <v>47.5</v>
      </c>
    </row>
    <row r="4180" spans="6:9">
      <c r="F4180" s="12" t="str">
        <f>Absolute_Scores!F4180</f>
        <v>@ddini.rahmaaa</v>
      </c>
      <c r="G4180" s="12" t="str">
        <f>Absolute_Scores!G4180</f>
        <v>Instagram</v>
      </c>
      <c r="H4180" s="29">
        <f>Absolute_Scores!I4180</f>
        <v>38</v>
      </c>
      <c r="I4180" s="30">
        <f t="shared" si="96"/>
        <v>47.5</v>
      </c>
    </row>
    <row r="4181" spans="6:9">
      <c r="F4181" s="12" t="str">
        <f>Absolute_Scores!F4181</f>
        <v>@deliacavilll</v>
      </c>
      <c r="G4181" s="12" t="str">
        <f>Absolute_Scores!G4181</f>
        <v>TikTok</v>
      </c>
      <c r="H4181" s="29">
        <f>Absolute_Scores!I4181</f>
        <v>38</v>
      </c>
      <c r="I4181" s="30">
        <f t="shared" si="96"/>
        <v>47.5</v>
      </c>
    </row>
    <row r="4182" spans="6:9">
      <c r="F4182" s="12" t="str">
        <f>Absolute_Scores!F4182</f>
        <v>@dellatiroo</v>
      </c>
      <c r="G4182" s="12" t="str">
        <f>Absolute_Scores!G4182</f>
        <v>TikTok</v>
      </c>
      <c r="H4182" s="29">
        <f>Absolute_Scores!I4182</f>
        <v>38</v>
      </c>
      <c r="I4182" s="30">
        <f t="shared" si="96"/>
        <v>47.5</v>
      </c>
    </row>
    <row r="4183" spans="6:9">
      <c r="F4183" s="12" t="str">
        <f>Absolute_Scores!F4183</f>
        <v>@denis.park_</v>
      </c>
      <c r="G4183" s="12" t="str">
        <f>Absolute_Scores!G4183</f>
        <v>TikTok</v>
      </c>
      <c r="H4183" s="29">
        <f>Absolute_Scores!I4183</f>
        <v>38</v>
      </c>
      <c r="I4183" s="30">
        <f t="shared" si="96"/>
        <v>47.5</v>
      </c>
    </row>
    <row r="4184" spans="6:9">
      <c r="F4184" s="12" t="str">
        <f>Absolute_Scores!F4184</f>
        <v>@dessy.jlta</v>
      </c>
      <c r="G4184" s="12" t="str">
        <f>Absolute_Scores!G4184</f>
        <v>TikTok</v>
      </c>
      <c r="H4184" s="29">
        <f>Absolute_Scores!I4184</f>
        <v>38</v>
      </c>
      <c r="I4184" s="30">
        <f t="shared" si="96"/>
        <v>47.5</v>
      </c>
    </row>
    <row r="4185" spans="6:9">
      <c r="F4185" s="12" t="str">
        <f>Absolute_Scores!F4185</f>
        <v>@destiarifa</v>
      </c>
      <c r="G4185" s="12" t="str">
        <f>Absolute_Scores!G4185</f>
        <v>TikTok</v>
      </c>
      <c r="H4185" s="29">
        <f>Absolute_Scores!I4185</f>
        <v>38</v>
      </c>
      <c r="I4185" s="30">
        <f t="shared" si="96"/>
        <v>47.5</v>
      </c>
    </row>
    <row r="4186" spans="6:9">
      <c r="F4186" s="12" t="str">
        <f>Absolute_Scores!F4186</f>
        <v>@destyazhr</v>
      </c>
      <c r="G4186" s="12" t="str">
        <f>Absolute_Scores!G4186</f>
        <v>TikTok</v>
      </c>
      <c r="H4186" s="29">
        <f>Absolute_Scores!I4186</f>
        <v>38</v>
      </c>
      <c r="I4186" s="30">
        <f t="shared" si="96"/>
        <v>47.5</v>
      </c>
    </row>
    <row r="4187" spans="6:9">
      <c r="F4187" s="12" t="str">
        <f>Absolute_Scores!F4187</f>
        <v>@desyaaa.dmh</v>
      </c>
      <c r="G4187" s="12" t="str">
        <f>Absolute_Scores!G4187</f>
        <v>TikTok</v>
      </c>
      <c r="H4187" s="29">
        <f>Absolute_Scores!I4187</f>
        <v>38</v>
      </c>
      <c r="I4187" s="30">
        <f t="shared" si="96"/>
        <v>47.5</v>
      </c>
    </row>
    <row r="4188" spans="6:9">
      <c r="F4188" s="12" t="str">
        <f>Absolute_Scores!F4188</f>
        <v>@dethaniam_</v>
      </c>
      <c r="G4188" s="12" t="str">
        <f>Absolute_Scores!G4188</f>
        <v>Instagram</v>
      </c>
      <c r="H4188" s="29">
        <f>Absolute_Scores!I4188</f>
        <v>38</v>
      </c>
      <c r="I4188" s="30">
        <f t="shared" si="96"/>
        <v>47.5</v>
      </c>
    </row>
    <row r="4189" spans="6:9">
      <c r="F4189" s="12" t="str">
        <f>Absolute_Scores!F4189</f>
        <v>@devmesha</v>
      </c>
      <c r="G4189" s="12" t="str">
        <f>Absolute_Scores!G4189</f>
        <v>TikTok</v>
      </c>
      <c r="H4189" s="29">
        <f>Absolute_Scores!I4189</f>
        <v>38</v>
      </c>
      <c r="I4189" s="30">
        <f t="shared" si="96"/>
        <v>47.5</v>
      </c>
    </row>
    <row r="4190" spans="6:9">
      <c r="F4190" s="12" t="str">
        <f>Absolute_Scores!F4190</f>
        <v>@dewimeisyamld</v>
      </c>
      <c r="G4190" s="12" t="str">
        <f>Absolute_Scores!G4190</f>
        <v>Instagram</v>
      </c>
      <c r="H4190" s="29">
        <f>Absolute_Scores!I4190</f>
        <v>38</v>
      </c>
      <c r="I4190" s="30">
        <f t="shared" si="96"/>
        <v>47.5</v>
      </c>
    </row>
    <row r="4191" spans="6:9">
      <c r="F4191" s="12" t="str">
        <f>Absolute_Scores!F4191</f>
        <v>@dewmalaa</v>
      </c>
      <c r="G4191" s="12" t="str">
        <f>Absolute_Scores!G4191</f>
        <v>Instagram</v>
      </c>
      <c r="H4191" s="29">
        <f>Absolute_Scores!I4191</f>
        <v>38</v>
      </c>
      <c r="I4191" s="30">
        <f t="shared" si="96"/>
        <v>47.5</v>
      </c>
    </row>
    <row r="4192" spans="6:9">
      <c r="F4192" s="12" t="str">
        <f>Absolute_Scores!F4192</f>
        <v>@dhamayy_</v>
      </c>
      <c r="G4192" s="12" t="str">
        <f>Absolute_Scores!G4192</f>
        <v>TikTok</v>
      </c>
      <c r="H4192" s="29">
        <f>Absolute_Scores!I4192</f>
        <v>38</v>
      </c>
      <c r="I4192" s="30">
        <f t="shared" si="96"/>
        <v>47.5</v>
      </c>
    </row>
    <row r="4193" spans="6:9">
      <c r="F4193" s="12" t="str">
        <f>Absolute_Scores!F4193</f>
        <v>@dheaeaea</v>
      </c>
      <c r="G4193" s="12" t="str">
        <f>Absolute_Scores!G4193</f>
        <v>TikTok</v>
      </c>
      <c r="H4193" s="29">
        <f>Absolute_Scores!I4193</f>
        <v>38</v>
      </c>
      <c r="I4193" s="30">
        <f t="shared" si="96"/>
        <v>47.5</v>
      </c>
    </row>
    <row r="4194" spans="6:9">
      <c r="F4194" s="12" t="str">
        <f>Absolute_Scores!F4194</f>
        <v>@dheaudrey</v>
      </c>
      <c r="G4194" s="12" t="str">
        <f>Absolute_Scores!G4194</f>
        <v>Instagram</v>
      </c>
      <c r="H4194" s="29">
        <f>Absolute_Scores!I4194</f>
        <v>38</v>
      </c>
      <c r="I4194" s="30">
        <f t="shared" si="96"/>
        <v>47.5</v>
      </c>
    </row>
    <row r="4195" spans="6:9">
      <c r="F4195" s="12" t="str">
        <f>Absolute_Scores!F4195</f>
        <v>@diaann24_</v>
      </c>
      <c r="G4195" s="12" t="str">
        <f>Absolute_Scores!G4195</f>
        <v>TikTok</v>
      </c>
      <c r="H4195" s="29">
        <f>Absolute_Scores!I4195</f>
        <v>38</v>
      </c>
      <c r="I4195" s="30">
        <f t="shared" si="96"/>
        <v>47.5</v>
      </c>
    </row>
    <row r="4196" spans="6:9">
      <c r="F4196" s="12" t="str">
        <f>Absolute_Scores!F4196</f>
        <v>@diah.rosmawati7</v>
      </c>
      <c r="G4196" s="12" t="str">
        <f>Absolute_Scores!G4196</f>
        <v>Instagram</v>
      </c>
      <c r="H4196" s="29">
        <f>Absolute_Scores!I4196</f>
        <v>38</v>
      </c>
      <c r="I4196" s="30">
        <f t="shared" si="96"/>
        <v>47.5</v>
      </c>
    </row>
    <row r="4197" spans="6:9">
      <c r="F4197" s="12" t="str">
        <f>Absolute_Scores!F4197</f>
        <v>@diakrtps</v>
      </c>
      <c r="G4197" s="12" t="str">
        <f>Absolute_Scores!G4197</f>
        <v>TikTok</v>
      </c>
      <c r="H4197" s="29">
        <f>Absolute_Scores!I4197</f>
        <v>38</v>
      </c>
      <c r="I4197" s="30">
        <f t="shared" si="96"/>
        <v>47.5</v>
      </c>
    </row>
    <row r="4198" spans="6:9">
      <c r="F4198" s="12" t="str">
        <f>Absolute_Scores!F4198</f>
        <v>@diandrachmi</v>
      </c>
      <c r="G4198" s="12" t="str">
        <f>Absolute_Scores!G4198</f>
        <v>Instagram</v>
      </c>
      <c r="H4198" s="29">
        <f>Absolute_Scores!I4198</f>
        <v>38</v>
      </c>
      <c r="I4198" s="30">
        <f t="shared" si="96"/>
        <v>47.5</v>
      </c>
    </row>
    <row r="4199" spans="6:9">
      <c r="F4199" s="12" t="str">
        <f>Absolute_Scores!F4199</f>
        <v>@dianpebrylaa</v>
      </c>
      <c r="G4199" s="12" t="str">
        <f>Absolute_Scores!G4199</f>
        <v>TikTok</v>
      </c>
      <c r="H4199" s="29">
        <f>Absolute_Scores!I4199</f>
        <v>38</v>
      </c>
      <c r="I4199" s="30">
        <f t="shared" si="96"/>
        <v>47.5</v>
      </c>
    </row>
    <row r="4200" spans="6:9">
      <c r="F4200" s="12" t="str">
        <f>Absolute_Scores!F4200</f>
        <v>@dianwm</v>
      </c>
      <c r="G4200" s="12" t="str">
        <f>Absolute_Scores!G4200</f>
        <v>TikTok</v>
      </c>
      <c r="H4200" s="29">
        <f>Absolute_Scores!I4200</f>
        <v>38</v>
      </c>
      <c r="I4200" s="30">
        <f t="shared" si="96"/>
        <v>47.5</v>
      </c>
    </row>
    <row r="4201" spans="6:9">
      <c r="F4201" s="12" t="str">
        <f>Absolute_Scores!F4201</f>
        <v>@dibsky</v>
      </c>
      <c r="G4201" s="12" t="str">
        <f>Absolute_Scores!G4201</f>
        <v>TikTok</v>
      </c>
      <c r="H4201" s="29">
        <f>Absolute_Scores!I4201</f>
        <v>38</v>
      </c>
      <c r="I4201" s="30">
        <f t="shared" si="96"/>
        <v>47.5</v>
      </c>
    </row>
    <row r="4202" spans="6:9">
      <c r="F4202" s="12" t="str">
        <f>Absolute_Scores!F4202</f>
        <v>@dididudu_</v>
      </c>
      <c r="G4202" s="12" t="str">
        <f>Absolute_Scores!G4202</f>
        <v>TikTok</v>
      </c>
      <c r="H4202" s="29">
        <f>Absolute_Scores!I4202</f>
        <v>38</v>
      </c>
      <c r="I4202" s="30">
        <f t="shared" si="96"/>
        <v>47.5</v>
      </c>
    </row>
    <row r="4203" spans="6:9">
      <c r="F4203" s="12" t="str">
        <f>Absolute_Scores!F4203</f>
        <v>@dijaaaah.h</v>
      </c>
      <c r="G4203" s="12" t="str">
        <f>Absolute_Scores!G4203</f>
        <v>TikTok</v>
      </c>
      <c r="H4203" s="29">
        <f>Absolute_Scores!I4203</f>
        <v>38</v>
      </c>
      <c r="I4203" s="30">
        <f t="shared" si="96"/>
        <v>47.5</v>
      </c>
    </row>
    <row r="4204" spans="6:9">
      <c r="F4204" s="12" t="str">
        <f>Absolute_Scores!F4204</f>
        <v>@dilaaprily</v>
      </c>
      <c r="G4204" s="12" t="str">
        <f>Absolute_Scores!G4204</f>
        <v>TikTok</v>
      </c>
      <c r="H4204" s="29">
        <f>Absolute_Scores!I4204</f>
        <v>38</v>
      </c>
      <c r="I4204" s="30">
        <f t="shared" si="96"/>
        <v>47.5</v>
      </c>
    </row>
    <row r="4205" spans="6:9">
      <c r="F4205" s="12" t="str">
        <f>Absolute_Scores!F4205</f>
        <v>@dilannf</v>
      </c>
      <c r="G4205" s="12" t="str">
        <f>Absolute_Scores!G4205</f>
        <v>TikTok</v>
      </c>
      <c r="H4205" s="29">
        <f>Absolute_Scores!I4205</f>
        <v>38</v>
      </c>
      <c r="I4205" s="30">
        <f t="shared" si="96"/>
        <v>47.5</v>
      </c>
    </row>
    <row r="4206" spans="6:9">
      <c r="F4206" s="12" t="str">
        <f>Absolute_Scores!F4206</f>
        <v>@dillasurayaa</v>
      </c>
      <c r="G4206" s="12" t="str">
        <f>Absolute_Scores!G4206</f>
        <v>TikTok</v>
      </c>
      <c r="H4206" s="29">
        <f>Absolute_Scores!I4206</f>
        <v>38</v>
      </c>
      <c r="I4206" s="30">
        <f t="shared" si="96"/>
        <v>47.5</v>
      </c>
    </row>
    <row r="4207" spans="6:9">
      <c r="F4207" s="12" t="str">
        <f>Absolute_Scores!F4207</f>
        <v>@dillgatess</v>
      </c>
      <c r="G4207" s="12" t="str">
        <f>Absolute_Scores!G4207</f>
        <v>TikTok</v>
      </c>
      <c r="H4207" s="29">
        <f>Absolute_Scores!I4207</f>
        <v>38</v>
      </c>
      <c r="I4207" s="30">
        <f t="shared" si="96"/>
        <v>47.5</v>
      </c>
    </row>
    <row r="4208" spans="6:9">
      <c r="F4208" s="12" t="str">
        <f>Absolute_Scores!F4208</f>
        <v>@dinda.nurafifa</v>
      </c>
      <c r="G4208" s="12" t="str">
        <f>Absolute_Scores!G4208</f>
        <v>TikTok</v>
      </c>
      <c r="H4208" s="29">
        <f>Absolute_Scores!I4208</f>
        <v>38</v>
      </c>
      <c r="I4208" s="30">
        <f t="shared" si="96"/>
        <v>47.5</v>
      </c>
    </row>
    <row r="4209" spans="6:9">
      <c r="F4209" s="12" t="str">
        <f>Absolute_Scores!F4209</f>
        <v>@dindangela</v>
      </c>
      <c r="G4209" s="12" t="str">
        <f>Absolute_Scores!G4209</f>
        <v>TikTok</v>
      </c>
      <c r="H4209" s="29">
        <f>Absolute_Scores!I4209</f>
        <v>38</v>
      </c>
      <c r="I4209" s="30">
        <f t="shared" si="96"/>
        <v>47.5</v>
      </c>
    </row>
    <row r="4210" spans="6:9">
      <c r="F4210" s="12" t="str">
        <f>Absolute_Scores!F4210</f>
        <v>@diniarvita17</v>
      </c>
      <c r="G4210" s="12" t="str">
        <f>Absolute_Scores!G4210</f>
        <v>Instagram</v>
      </c>
      <c r="H4210" s="29">
        <f>Absolute_Scores!I4210</f>
        <v>38</v>
      </c>
      <c r="I4210" s="30">
        <f t="shared" si="96"/>
        <v>47.5</v>
      </c>
    </row>
    <row r="4211" spans="6:9">
      <c r="F4211" s="12" t="str">
        <f>Absolute_Scores!F4211</f>
        <v>@diniastriani14</v>
      </c>
      <c r="G4211" s="12" t="str">
        <f>Absolute_Scores!G4211</f>
        <v>Instagram</v>
      </c>
      <c r="H4211" s="29">
        <f>Absolute_Scores!I4211</f>
        <v>38</v>
      </c>
      <c r="I4211" s="30">
        <f t="shared" si="96"/>
        <v>47.5</v>
      </c>
    </row>
    <row r="4212" spans="6:9">
      <c r="F4212" s="12" t="str">
        <f>Absolute_Scores!F4212</f>
        <v>@diniiftt</v>
      </c>
      <c r="G4212" s="12" t="str">
        <f>Absolute_Scores!G4212</f>
        <v>TikTok</v>
      </c>
      <c r="H4212" s="29">
        <f>Absolute_Scores!I4212</f>
        <v>38</v>
      </c>
      <c r="I4212" s="30">
        <f t="shared" si="96"/>
        <v>47.5</v>
      </c>
    </row>
    <row r="4213" spans="6:9">
      <c r="F4213" s="12" t="str">
        <f>Absolute_Scores!F4213</f>
        <v>@dinna_mystyle</v>
      </c>
      <c r="G4213" s="12" t="str">
        <f>Absolute_Scores!G4213</f>
        <v>Instagram</v>
      </c>
      <c r="H4213" s="29">
        <f>Absolute_Scores!I4213</f>
        <v>38</v>
      </c>
      <c r="I4213" s="30">
        <f t="shared" si="96"/>
        <v>47.5</v>
      </c>
    </row>
    <row r="4214" spans="6:9">
      <c r="F4214" s="12" t="str">
        <f>Absolute_Scores!F4214</f>
        <v>@dioalviero</v>
      </c>
      <c r="G4214" s="12" t="str">
        <f>Absolute_Scores!G4214</f>
        <v>TikTok</v>
      </c>
      <c r="H4214" s="29">
        <f>Absolute_Scores!I4214</f>
        <v>38</v>
      </c>
      <c r="I4214" s="30">
        <f t="shared" si="96"/>
        <v>47.5</v>
      </c>
    </row>
    <row r="4215" spans="6:9">
      <c r="F4215" s="12" t="str">
        <f>Absolute_Scores!F4215</f>
        <v>@divaalatas</v>
      </c>
      <c r="G4215" s="12" t="str">
        <f>Absolute_Scores!G4215</f>
        <v>Instagram</v>
      </c>
      <c r="H4215" s="29">
        <f>Absolute_Scores!I4215</f>
        <v>38</v>
      </c>
      <c r="I4215" s="30">
        <f t="shared" si="96"/>
        <v>47.5</v>
      </c>
    </row>
    <row r="4216" spans="6:9">
      <c r="F4216" s="12" t="str">
        <f>Absolute_Scores!F4216</f>
        <v>@divanglptr</v>
      </c>
      <c r="G4216" s="12" t="str">
        <f>Absolute_Scores!G4216</f>
        <v>TikTok</v>
      </c>
      <c r="H4216" s="29">
        <f>Absolute_Scores!I4216</f>
        <v>38</v>
      </c>
      <c r="I4216" s="30">
        <f t="shared" si="96"/>
        <v>47.5</v>
      </c>
    </row>
    <row r="4217" spans="6:9">
      <c r="F4217" s="12" t="str">
        <f>Absolute_Scores!F4217</f>
        <v>@dndyulia13</v>
      </c>
      <c r="G4217" s="12" t="str">
        <f>Absolute_Scores!G4217</f>
        <v>TikTok</v>
      </c>
      <c r="H4217" s="29">
        <f>Absolute_Scores!I4217</f>
        <v>38</v>
      </c>
      <c r="I4217" s="30">
        <f t="shared" si="96"/>
        <v>47.5</v>
      </c>
    </row>
    <row r="4218" spans="6:9">
      <c r="F4218" s="12" t="str">
        <f>Absolute_Scores!F4218</f>
        <v>@dominiquesie</v>
      </c>
      <c r="G4218" s="12" t="str">
        <f>Absolute_Scores!G4218</f>
        <v>TikTok</v>
      </c>
      <c r="H4218" s="29">
        <f>Absolute_Scores!I4218</f>
        <v>38</v>
      </c>
      <c r="I4218" s="30">
        <f t="shared" si="96"/>
        <v>47.5</v>
      </c>
    </row>
    <row r="4219" spans="6:9">
      <c r="F4219" s="12" t="str">
        <f>Absolute_Scores!F4219</f>
        <v>@doyandairymilkk</v>
      </c>
      <c r="G4219" s="12" t="str">
        <f>Absolute_Scores!G4219</f>
        <v>TikTok</v>
      </c>
      <c r="H4219" s="29">
        <f>Absolute_Scores!I4219</f>
        <v>38</v>
      </c>
      <c r="I4219" s="30">
        <f t="shared" si="96"/>
        <v>47.5</v>
      </c>
    </row>
    <row r="4220" spans="6:9">
      <c r="F4220" s="12" t="str">
        <f>Absolute_Scores!F4220</f>
        <v>@dsylvlvy</v>
      </c>
      <c r="G4220" s="12" t="str">
        <f>Absolute_Scores!G4220</f>
        <v>TikTok</v>
      </c>
      <c r="H4220" s="29">
        <f>Absolute_Scores!I4220</f>
        <v>38</v>
      </c>
      <c r="I4220" s="30">
        <f t="shared" si="96"/>
        <v>47.5</v>
      </c>
    </row>
    <row r="4221" spans="6:9">
      <c r="F4221" s="12" t="str">
        <f>Absolute_Scores!F4221</f>
        <v>@duwiii.r</v>
      </c>
      <c r="G4221" s="12" t="str">
        <f>Absolute_Scores!G4221</f>
        <v>TikTok</v>
      </c>
      <c r="H4221" s="29">
        <f>Absolute_Scores!I4221</f>
        <v>38</v>
      </c>
      <c r="I4221" s="30">
        <f t="shared" si="96"/>
        <v>47.5</v>
      </c>
    </row>
    <row r="4222" spans="6:9">
      <c r="F4222" s="12" t="str">
        <f>Absolute_Scores!F4222</f>
        <v>@dwii.s97</v>
      </c>
      <c r="G4222" s="12" t="str">
        <f>Absolute_Scores!G4222</f>
        <v>Instagram</v>
      </c>
      <c r="H4222" s="29">
        <f>Absolute_Scores!I4222</f>
        <v>38</v>
      </c>
      <c r="I4222" s="30">
        <f t="shared" si="96"/>
        <v>47.5</v>
      </c>
    </row>
    <row r="4223" spans="6:9">
      <c r="F4223" s="12" t="str">
        <f>Absolute_Scores!F4223</f>
        <v>@dyahknissa</v>
      </c>
      <c r="G4223" s="12" t="str">
        <f>Absolute_Scores!G4223</f>
        <v>TikTok</v>
      </c>
      <c r="H4223" s="29">
        <f>Absolute_Scores!I4223</f>
        <v>38</v>
      </c>
      <c r="I4223" s="30">
        <f t="shared" si="96"/>
        <v>47.5</v>
      </c>
    </row>
    <row r="4224" spans="6:9">
      <c r="F4224" s="12" t="str">
        <f>Absolute_Scores!F4224</f>
        <v>@ebi_furaai</v>
      </c>
      <c r="G4224" s="12" t="str">
        <f>Absolute_Scores!G4224</f>
        <v>TikTok</v>
      </c>
      <c r="H4224" s="29">
        <f>Absolute_Scores!I4224</f>
        <v>38</v>
      </c>
      <c r="I4224" s="30">
        <f t="shared" si="96"/>
        <v>47.5</v>
      </c>
    </row>
    <row r="4225" spans="6:9">
      <c r="F4225" s="12" t="str">
        <f>Absolute_Scores!F4225</f>
        <v>@ekasundr</v>
      </c>
      <c r="G4225" s="12" t="str">
        <f>Absolute_Scores!G4225</f>
        <v>TikTok</v>
      </c>
      <c r="H4225" s="29">
        <f>Absolute_Scores!I4225</f>
        <v>38</v>
      </c>
      <c r="I4225" s="30">
        <f t="shared" si="96"/>
        <v>47.5</v>
      </c>
    </row>
    <row r="4226" spans="6:9">
      <c r="F4226" s="12" t="str">
        <f>Absolute_Scores!F4226</f>
        <v>@ekkapuspitaa</v>
      </c>
      <c r="G4226" s="12" t="str">
        <f>Absolute_Scores!G4226</f>
        <v>TikTok</v>
      </c>
      <c r="H4226" s="29">
        <f>Absolute_Scores!I4226</f>
        <v>38</v>
      </c>
      <c r="I4226" s="30">
        <f t="shared" si="96"/>
        <v>47.5</v>
      </c>
    </row>
    <row r="4227" spans="6:9">
      <c r="F4227" s="12" t="str">
        <f>Absolute_Scores!F4227</f>
        <v>@el.lisss1</v>
      </c>
      <c r="G4227" s="12" t="str">
        <f>Absolute_Scores!G4227</f>
        <v>TikTok</v>
      </c>
      <c r="H4227" s="29">
        <f>Absolute_Scores!I4227</f>
        <v>38</v>
      </c>
      <c r="I4227" s="30">
        <f t="shared" si="96"/>
        <v>47.5</v>
      </c>
    </row>
    <row r="4228" spans="6:9">
      <c r="F4228" s="12" t="str">
        <f>Absolute_Scores!F4228</f>
        <v>@eldhik</v>
      </c>
      <c r="G4228" s="12" t="str">
        <f>Absolute_Scores!G4228</f>
        <v>TikTok</v>
      </c>
      <c r="H4228" s="29">
        <f>Absolute_Scores!I4228</f>
        <v>38</v>
      </c>
      <c r="I4228" s="30">
        <f t="shared" si="96"/>
        <v>47.5</v>
      </c>
    </row>
    <row r="4229" spans="6:9">
      <c r="F4229" s="12" t="str">
        <f>Absolute_Scores!F4229</f>
        <v>@ellencamelia</v>
      </c>
      <c r="G4229" s="12" t="str">
        <f>Absolute_Scores!G4229</f>
        <v>TikTok</v>
      </c>
      <c r="H4229" s="29">
        <f>Absolute_Scores!I4229</f>
        <v>38</v>
      </c>
      <c r="I4229" s="30">
        <f t="shared" si="96"/>
        <v>47.5</v>
      </c>
    </row>
    <row r="4230" spans="6:9">
      <c r="F4230" s="12" t="str">
        <f>Absolute_Scores!F4230</f>
        <v>@enuzaiin</v>
      </c>
      <c r="G4230" s="12" t="str">
        <f>Absolute_Scores!G4230</f>
        <v>TikTok</v>
      </c>
      <c r="H4230" s="29">
        <f>Absolute_Scores!I4230</f>
        <v>38</v>
      </c>
      <c r="I4230" s="30">
        <f t="shared" ref="I4230:I4293" si="97">ROUND(H4230/$I$4*100,2)</f>
        <v>47.5</v>
      </c>
    </row>
    <row r="4231" spans="6:9">
      <c r="F4231" s="12" t="str">
        <f>Absolute_Scores!F4231</f>
        <v>@er.ef.em</v>
      </c>
      <c r="G4231" s="12" t="str">
        <f>Absolute_Scores!G4231</f>
        <v>TikTok</v>
      </c>
      <c r="H4231" s="29">
        <f>Absolute_Scores!I4231</f>
        <v>38</v>
      </c>
      <c r="I4231" s="30">
        <f t="shared" si="97"/>
        <v>47.5</v>
      </c>
    </row>
    <row r="4232" spans="6:9">
      <c r="F4232" s="12" t="str">
        <f>Absolute_Scores!F4232</f>
        <v>@erfinhdt</v>
      </c>
      <c r="G4232" s="12" t="str">
        <f>Absolute_Scores!G4232</f>
        <v>TikTok</v>
      </c>
      <c r="H4232" s="29">
        <f>Absolute_Scores!I4232</f>
        <v>38</v>
      </c>
      <c r="I4232" s="30">
        <f t="shared" si="97"/>
        <v>47.5</v>
      </c>
    </row>
    <row r="4233" spans="6:9">
      <c r="F4233" s="12" t="str">
        <f>Absolute_Scores!F4233</f>
        <v>@erieharun</v>
      </c>
      <c r="G4233" s="12" t="str">
        <f>Absolute_Scores!G4233</f>
        <v>Instagram</v>
      </c>
      <c r="H4233" s="29">
        <f>Absolute_Scores!I4233</f>
        <v>38</v>
      </c>
      <c r="I4233" s="30">
        <f t="shared" si="97"/>
        <v>47.5</v>
      </c>
    </row>
    <row r="4234" spans="6:9">
      <c r="F4234" s="12" t="str">
        <f>Absolute_Scores!F4234</f>
        <v>@ervinaaaprilianti</v>
      </c>
      <c r="G4234" s="12" t="str">
        <f>Absolute_Scores!G4234</f>
        <v>TikTok</v>
      </c>
      <c r="H4234" s="29">
        <f>Absolute_Scores!I4234</f>
        <v>38</v>
      </c>
      <c r="I4234" s="30">
        <f t="shared" si="97"/>
        <v>47.5</v>
      </c>
    </row>
    <row r="4235" spans="6:9">
      <c r="F4235" s="12" t="str">
        <f>Absolute_Scores!F4235</f>
        <v>@evana.diary</v>
      </c>
      <c r="G4235" s="12" t="str">
        <f>Absolute_Scores!G4235</f>
        <v>TikTok</v>
      </c>
      <c r="H4235" s="29">
        <f>Absolute_Scores!I4235</f>
        <v>38</v>
      </c>
      <c r="I4235" s="30">
        <f t="shared" si="97"/>
        <v>47.5</v>
      </c>
    </row>
    <row r="4236" spans="6:9">
      <c r="F4236" s="12" t="str">
        <f>Absolute_Scores!F4236</f>
        <v>@eveberliana</v>
      </c>
      <c r="G4236" s="12" t="str">
        <f>Absolute_Scores!G4236</f>
        <v>TikTok</v>
      </c>
      <c r="H4236" s="29">
        <f>Absolute_Scores!I4236</f>
        <v>38</v>
      </c>
      <c r="I4236" s="30">
        <f t="shared" si="97"/>
        <v>47.5</v>
      </c>
    </row>
    <row r="4237" spans="6:9">
      <c r="F4237" s="12" t="str">
        <f>Absolute_Scores!F4237</f>
        <v>@ewhyy7</v>
      </c>
      <c r="G4237" s="12" t="str">
        <f>Absolute_Scores!G4237</f>
        <v>TikTok</v>
      </c>
      <c r="H4237" s="29">
        <f>Absolute_Scores!I4237</f>
        <v>38</v>
      </c>
      <c r="I4237" s="30">
        <f t="shared" si="97"/>
        <v>47.5</v>
      </c>
    </row>
    <row r="4238" spans="6:9">
      <c r="F4238" s="12" t="str">
        <f>Absolute_Scores!F4238</f>
        <v>@extra.0.rdinary</v>
      </c>
      <c r="G4238" s="12" t="str">
        <f>Absolute_Scores!G4238</f>
        <v>TikTok</v>
      </c>
      <c r="H4238" s="29">
        <f>Absolute_Scores!I4238</f>
        <v>38</v>
      </c>
      <c r="I4238" s="30">
        <f t="shared" si="97"/>
        <v>47.5</v>
      </c>
    </row>
    <row r="4239" spans="6:9">
      <c r="F4239" s="12" t="str">
        <f>Absolute_Scores!F4239</f>
        <v>@eyenedel</v>
      </c>
      <c r="G4239" s="12" t="str">
        <f>Absolute_Scores!G4239</f>
        <v>TikTok</v>
      </c>
      <c r="H4239" s="29">
        <f>Absolute_Scores!I4239</f>
        <v>38</v>
      </c>
      <c r="I4239" s="30">
        <f t="shared" si="97"/>
        <v>47.5</v>
      </c>
    </row>
    <row r="4240" spans="6:9">
      <c r="F4240" s="12" t="str">
        <f>Absolute_Scores!F4240</f>
        <v>@eyuliarita</v>
      </c>
      <c r="G4240" s="12" t="str">
        <f>Absolute_Scores!G4240</f>
        <v>Instagram</v>
      </c>
      <c r="H4240" s="29">
        <f>Absolute_Scores!I4240</f>
        <v>38</v>
      </c>
      <c r="I4240" s="30">
        <f t="shared" si="97"/>
        <v>47.5</v>
      </c>
    </row>
    <row r="4241" spans="6:9">
      <c r="F4241" s="12" t="str">
        <f>Absolute_Scores!F4241</f>
        <v>@fafauzyah</v>
      </c>
      <c r="G4241" s="12" t="str">
        <f>Absolute_Scores!G4241</f>
        <v>TikTok</v>
      </c>
      <c r="H4241" s="29">
        <f>Absolute_Scores!I4241</f>
        <v>38</v>
      </c>
      <c r="I4241" s="30">
        <f t="shared" si="97"/>
        <v>47.5</v>
      </c>
    </row>
    <row r="4242" spans="6:9">
      <c r="F4242" s="12" t="str">
        <f>Absolute_Scores!F4242</f>
        <v>@fahrisaas</v>
      </c>
      <c r="G4242" s="12" t="str">
        <f>Absolute_Scores!G4242</f>
        <v>TikTok</v>
      </c>
      <c r="H4242" s="29">
        <f>Absolute_Scores!I4242</f>
        <v>38</v>
      </c>
      <c r="I4242" s="30">
        <f t="shared" si="97"/>
        <v>47.5</v>
      </c>
    </row>
    <row r="4243" spans="6:9">
      <c r="F4243" s="12" t="str">
        <f>Absolute_Scores!F4243</f>
        <v>@fanggg66</v>
      </c>
      <c r="G4243" s="12" t="str">
        <f>Absolute_Scores!G4243</f>
        <v>TikTok</v>
      </c>
      <c r="H4243" s="29">
        <f>Absolute_Scores!I4243</f>
        <v>38</v>
      </c>
      <c r="I4243" s="30">
        <f t="shared" si="97"/>
        <v>47.5</v>
      </c>
    </row>
    <row r="4244" spans="6:9">
      <c r="F4244" s="12" t="str">
        <f>Absolute_Scores!F4244</f>
        <v>@fardina31</v>
      </c>
      <c r="G4244" s="12" t="str">
        <f>Absolute_Scores!G4244</f>
        <v>TikTok</v>
      </c>
      <c r="H4244" s="29">
        <f>Absolute_Scores!I4244</f>
        <v>38</v>
      </c>
      <c r="I4244" s="30">
        <f t="shared" si="97"/>
        <v>47.5</v>
      </c>
    </row>
    <row r="4245" spans="6:9">
      <c r="F4245" s="12" t="str">
        <f>Absolute_Scores!F4245</f>
        <v>@farell.akbar12</v>
      </c>
      <c r="G4245" s="12" t="str">
        <f>Absolute_Scores!G4245</f>
        <v>TikTok</v>
      </c>
      <c r="H4245" s="29">
        <f>Absolute_Scores!I4245</f>
        <v>38</v>
      </c>
      <c r="I4245" s="30">
        <f t="shared" si="97"/>
        <v>47.5</v>
      </c>
    </row>
    <row r="4246" spans="6:9">
      <c r="F4246" s="12" t="str">
        <f>Absolute_Scores!F4246</f>
        <v>@farisaaisss</v>
      </c>
      <c r="G4246" s="12" t="str">
        <f>Absolute_Scores!G4246</f>
        <v>Instagram</v>
      </c>
      <c r="H4246" s="29">
        <f>Absolute_Scores!I4246</f>
        <v>38</v>
      </c>
      <c r="I4246" s="30">
        <f t="shared" si="97"/>
        <v>47.5</v>
      </c>
    </row>
    <row r="4247" spans="6:9">
      <c r="F4247" s="12" t="str">
        <f>Absolute_Scores!F4247</f>
        <v>@fasterbabyy</v>
      </c>
      <c r="G4247" s="12" t="str">
        <f>Absolute_Scores!G4247</f>
        <v>TikTok</v>
      </c>
      <c r="H4247" s="29">
        <f>Absolute_Scores!I4247</f>
        <v>38</v>
      </c>
      <c r="I4247" s="30">
        <f t="shared" si="97"/>
        <v>47.5</v>
      </c>
    </row>
    <row r="4248" spans="6:9">
      <c r="F4248" s="12" t="str">
        <f>Absolute_Scores!F4248</f>
        <v>@fatiyaiya</v>
      </c>
      <c r="G4248" s="12" t="str">
        <f>Absolute_Scores!G4248</f>
        <v>TikTok</v>
      </c>
      <c r="H4248" s="29">
        <f>Absolute_Scores!I4248</f>
        <v>38</v>
      </c>
      <c r="I4248" s="30">
        <f t="shared" si="97"/>
        <v>47.5</v>
      </c>
    </row>
    <row r="4249" spans="6:9">
      <c r="F4249" s="12" t="str">
        <f>Absolute_Scores!F4249</f>
        <v>@fatyabiyaaa</v>
      </c>
      <c r="G4249" s="12" t="str">
        <f>Absolute_Scores!G4249</f>
        <v>TikTok</v>
      </c>
      <c r="H4249" s="29">
        <f>Absolute_Scores!I4249</f>
        <v>38</v>
      </c>
      <c r="I4249" s="30">
        <f t="shared" si="97"/>
        <v>47.5</v>
      </c>
    </row>
    <row r="4250" spans="6:9">
      <c r="F4250" s="12" t="str">
        <f>Absolute_Scores!F4250</f>
        <v>@fayolaleoo</v>
      </c>
      <c r="G4250" s="12" t="str">
        <f>Absolute_Scores!G4250</f>
        <v>TikTok</v>
      </c>
      <c r="H4250" s="29">
        <f>Absolute_Scores!I4250</f>
        <v>38</v>
      </c>
      <c r="I4250" s="30">
        <f t="shared" si="97"/>
        <v>47.5</v>
      </c>
    </row>
    <row r="4251" spans="6:9">
      <c r="F4251" s="12" t="str">
        <f>Absolute_Scores!F4251</f>
        <v>@fayyyzza</v>
      </c>
      <c r="G4251" s="12" t="str">
        <f>Absolute_Scores!G4251</f>
        <v>TikTok</v>
      </c>
      <c r="H4251" s="29">
        <f>Absolute_Scores!I4251</f>
        <v>38</v>
      </c>
      <c r="I4251" s="30">
        <f t="shared" si="97"/>
        <v>47.5</v>
      </c>
    </row>
    <row r="4252" spans="6:9">
      <c r="F4252" s="12" t="str">
        <f>Absolute_Scores!F4252</f>
        <v>@fazhayaaa</v>
      </c>
      <c r="G4252" s="12" t="str">
        <f>Absolute_Scores!G4252</f>
        <v>TikTok</v>
      </c>
      <c r="H4252" s="29">
        <f>Absolute_Scores!I4252</f>
        <v>38</v>
      </c>
      <c r="I4252" s="30">
        <f t="shared" si="97"/>
        <v>47.5</v>
      </c>
    </row>
    <row r="4253" spans="6:9">
      <c r="F4253" s="12" t="str">
        <f>Absolute_Scores!F4253</f>
        <v>@fdlhalkaf</v>
      </c>
      <c r="G4253" s="12" t="str">
        <f>Absolute_Scores!G4253</f>
        <v>Instagram</v>
      </c>
      <c r="H4253" s="29">
        <f>Absolute_Scores!I4253</f>
        <v>38</v>
      </c>
      <c r="I4253" s="30">
        <f t="shared" si="97"/>
        <v>47.5</v>
      </c>
    </row>
    <row r="4254" spans="6:9">
      <c r="F4254" s="12" t="str">
        <f>Absolute_Scores!F4254</f>
        <v>@feilianaveve</v>
      </c>
      <c r="G4254" s="12" t="str">
        <f>Absolute_Scores!G4254</f>
        <v>TikTok</v>
      </c>
      <c r="H4254" s="29">
        <f>Absolute_Scores!I4254</f>
        <v>38</v>
      </c>
      <c r="I4254" s="30">
        <f t="shared" si="97"/>
        <v>47.5</v>
      </c>
    </row>
    <row r="4255" spans="6:9">
      <c r="F4255" s="12" t="str">
        <f>Absolute_Scores!F4255</f>
        <v>@felicia.carissa</v>
      </c>
      <c r="G4255" s="12" t="str">
        <f>Absolute_Scores!G4255</f>
        <v>TikTok</v>
      </c>
      <c r="H4255" s="29">
        <f>Absolute_Scores!I4255</f>
        <v>38</v>
      </c>
      <c r="I4255" s="30">
        <f t="shared" si="97"/>
        <v>47.5</v>
      </c>
    </row>
    <row r="4256" spans="6:9">
      <c r="F4256" s="12" t="str">
        <f>Absolute_Scores!F4256</f>
        <v>@feliciaongkarina</v>
      </c>
      <c r="G4256" s="12" t="str">
        <f>Absolute_Scores!G4256</f>
        <v>Instagram</v>
      </c>
      <c r="H4256" s="29">
        <f>Absolute_Scores!I4256</f>
        <v>38</v>
      </c>
      <c r="I4256" s="30">
        <f t="shared" si="97"/>
        <v>47.5</v>
      </c>
    </row>
    <row r="4257" spans="6:9">
      <c r="F4257" s="12" t="str">
        <f>Absolute_Scores!F4257</f>
        <v>@felita_anthony</v>
      </c>
      <c r="G4257" s="12" t="str">
        <f>Absolute_Scores!G4257</f>
        <v>TikTok</v>
      </c>
      <c r="H4257" s="29">
        <f>Absolute_Scores!I4257</f>
        <v>38</v>
      </c>
      <c r="I4257" s="30">
        <f t="shared" si="97"/>
        <v>47.5</v>
      </c>
    </row>
    <row r="4258" spans="6:9">
      <c r="F4258" s="12" t="str">
        <f>Absolute_Scores!F4258</f>
        <v>@felongkarina</v>
      </c>
      <c r="G4258" s="12" t="str">
        <f>Absolute_Scores!G4258</f>
        <v>TikTok</v>
      </c>
      <c r="H4258" s="29">
        <f>Absolute_Scores!I4258</f>
        <v>38</v>
      </c>
      <c r="I4258" s="30">
        <f t="shared" si="97"/>
        <v>47.5</v>
      </c>
    </row>
    <row r="4259" spans="6:9">
      <c r="F4259" s="12" t="str">
        <f>Absolute_Scores!F4259</f>
        <v>@feyapp</v>
      </c>
      <c r="G4259" s="12" t="str">
        <f>Absolute_Scores!G4259</f>
        <v>TikTok</v>
      </c>
      <c r="H4259" s="29">
        <f>Absolute_Scores!I4259</f>
        <v>38</v>
      </c>
      <c r="I4259" s="30">
        <f t="shared" si="97"/>
        <v>47.5</v>
      </c>
    </row>
    <row r="4260" spans="6:9">
      <c r="F4260" s="12" t="str">
        <f>Absolute_Scores!F4260</f>
        <v>@ffesya</v>
      </c>
      <c r="G4260" s="12" t="str">
        <f>Absolute_Scores!G4260</f>
        <v>TikTok</v>
      </c>
      <c r="H4260" s="29">
        <f>Absolute_Scores!I4260</f>
        <v>38</v>
      </c>
      <c r="I4260" s="30">
        <f t="shared" si="97"/>
        <v>47.5</v>
      </c>
    </row>
    <row r="4261" spans="6:9">
      <c r="F4261" s="12" t="str">
        <f>Absolute_Scores!F4261</f>
        <v>@fiahmasfiah</v>
      </c>
      <c r="G4261" s="12" t="str">
        <f>Absolute_Scores!G4261</f>
        <v>Instagram</v>
      </c>
      <c r="H4261" s="29">
        <f>Absolute_Scores!I4261</f>
        <v>38</v>
      </c>
      <c r="I4261" s="30">
        <f t="shared" si="97"/>
        <v>47.5</v>
      </c>
    </row>
    <row r="4262" spans="6:9">
      <c r="F4262" s="12" t="str">
        <f>Absolute_Scores!F4262</f>
        <v>@finaaa__0</v>
      </c>
      <c r="G4262" s="12" t="str">
        <f>Absolute_Scores!G4262</f>
        <v>TikTok</v>
      </c>
      <c r="H4262" s="29">
        <f>Absolute_Scores!I4262</f>
        <v>38</v>
      </c>
      <c r="I4262" s="30">
        <f t="shared" si="97"/>
        <v>47.5</v>
      </c>
    </row>
    <row r="4263" spans="6:9">
      <c r="F4263" s="12" t="str">
        <f>Absolute_Scores!F4263</f>
        <v>@fiq.taufiq</v>
      </c>
      <c r="G4263" s="12" t="str">
        <f>Absolute_Scores!G4263</f>
        <v>TikTok</v>
      </c>
      <c r="H4263" s="29">
        <f>Absolute_Scores!I4263</f>
        <v>38</v>
      </c>
      <c r="I4263" s="30">
        <f t="shared" si="97"/>
        <v>47.5</v>
      </c>
    </row>
    <row r="4264" spans="6:9">
      <c r="F4264" s="12" t="str">
        <f>Absolute_Scores!F4264</f>
        <v>@firdianovita</v>
      </c>
      <c r="G4264" s="12" t="str">
        <f>Absolute_Scores!G4264</f>
        <v>Instagram</v>
      </c>
      <c r="H4264" s="29">
        <f>Absolute_Scores!I4264</f>
        <v>38</v>
      </c>
      <c r="I4264" s="30">
        <f t="shared" si="97"/>
        <v>47.5</v>
      </c>
    </row>
    <row r="4265" spans="6:9">
      <c r="F4265" s="12" t="str">
        <f>Absolute_Scores!F4265</f>
        <v>@firzadrian</v>
      </c>
      <c r="G4265" s="12" t="str">
        <f>Absolute_Scores!G4265</f>
        <v>TikTok</v>
      </c>
      <c r="H4265" s="29">
        <f>Absolute_Scores!I4265</f>
        <v>38</v>
      </c>
      <c r="I4265" s="30">
        <f t="shared" si="97"/>
        <v>47.5</v>
      </c>
    </row>
    <row r="4266" spans="6:9">
      <c r="F4266" s="12" t="str">
        <f>Absolute_Scores!F4266</f>
        <v>@fitririzkia93</v>
      </c>
      <c r="G4266" s="12" t="str">
        <f>Absolute_Scores!G4266</f>
        <v>TikTok</v>
      </c>
      <c r="H4266" s="29">
        <f>Absolute_Scores!I4266</f>
        <v>38</v>
      </c>
      <c r="I4266" s="30">
        <f t="shared" si="97"/>
        <v>47.5</v>
      </c>
    </row>
    <row r="4267" spans="6:9">
      <c r="F4267" s="12" t="str">
        <f>Absolute_Scores!F4267</f>
        <v>@fitriyar</v>
      </c>
      <c r="G4267" s="12" t="str">
        <f>Absolute_Scores!G4267</f>
        <v>TikTok</v>
      </c>
      <c r="H4267" s="29">
        <f>Absolute_Scores!I4267</f>
        <v>38</v>
      </c>
      <c r="I4267" s="30">
        <f t="shared" si="97"/>
        <v>47.5</v>
      </c>
    </row>
    <row r="4268" spans="6:9">
      <c r="F4268" s="12" t="str">
        <f>Absolute_Scores!F4268</f>
        <v>@fluffyaa_</v>
      </c>
      <c r="G4268" s="12" t="str">
        <f>Absolute_Scores!G4268</f>
        <v>TikTok</v>
      </c>
      <c r="H4268" s="29">
        <f>Absolute_Scores!I4268</f>
        <v>38</v>
      </c>
      <c r="I4268" s="30">
        <f t="shared" si="97"/>
        <v>47.5</v>
      </c>
    </row>
    <row r="4269" spans="6:9">
      <c r="F4269" s="12" t="str">
        <f>Absolute_Scores!F4269</f>
        <v>@fredoaquinaldo</v>
      </c>
      <c r="G4269" s="12" t="str">
        <f>Absolute_Scores!G4269</f>
        <v>TikTok</v>
      </c>
      <c r="H4269" s="29">
        <f>Absolute_Scores!I4269</f>
        <v>38</v>
      </c>
      <c r="I4269" s="30">
        <f t="shared" si="97"/>
        <v>47.5</v>
      </c>
    </row>
    <row r="4270" spans="6:9">
      <c r="F4270" s="12" t="str">
        <f>Absolute_Scores!F4270</f>
        <v>@frinanaila</v>
      </c>
      <c r="G4270" s="12" t="str">
        <f>Absolute_Scores!G4270</f>
        <v>TikTok</v>
      </c>
      <c r="H4270" s="29">
        <f>Absolute_Scores!I4270</f>
        <v>38</v>
      </c>
      <c r="I4270" s="30">
        <f t="shared" si="97"/>
        <v>47.5</v>
      </c>
    </row>
    <row r="4271" spans="6:9">
      <c r="F4271" s="12" t="str">
        <f>Absolute_Scores!F4271</f>
        <v>@fujiraaaaaa</v>
      </c>
      <c r="G4271" s="12" t="str">
        <f>Absolute_Scores!G4271</f>
        <v>TikTok</v>
      </c>
      <c r="H4271" s="29">
        <f>Absolute_Scores!I4271</f>
        <v>38</v>
      </c>
      <c r="I4271" s="30">
        <f t="shared" si="97"/>
        <v>47.5</v>
      </c>
    </row>
    <row r="4272" spans="6:9">
      <c r="F4272" s="12" t="str">
        <f>Absolute_Scores!F4272</f>
        <v>@gabisaditemukan</v>
      </c>
      <c r="G4272" s="12" t="str">
        <f>Absolute_Scores!G4272</f>
        <v>TikTok</v>
      </c>
      <c r="H4272" s="29">
        <f>Absolute_Scores!I4272</f>
        <v>38</v>
      </c>
      <c r="I4272" s="30">
        <f t="shared" si="97"/>
        <v>47.5</v>
      </c>
    </row>
    <row r="4273" spans="6:9">
      <c r="F4273" s="12" t="str">
        <f>Absolute_Scores!F4273</f>
        <v>@gabywijaya_</v>
      </c>
      <c r="G4273" s="12" t="str">
        <f>Absolute_Scores!G4273</f>
        <v>TikTok</v>
      </c>
      <c r="H4273" s="29">
        <f>Absolute_Scores!I4273</f>
        <v>38</v>
      </c>
      <c r="I4273" s="30">
        <f t="shared" si="97"/>
        <v>47.5</v>
      </c>
    </row>
    <row r="4274" spans="6:9">
      <c r="F4274" s="12" t="str">
        <f>Absolute_Scores!F4274</f>
        <v>@gadissyfha</v>
      </c>
      <c r="G4274" s="12" t="str">
        <f>Absolute_Scores!G4274</f>
        <v>Instagram</v>
      </c>
      <c r="H4274" s="29">
        <f>Absolute_Scores!I4274</f>
        <v>38</v>
      </c>
      <c r="I4274" s="30">
        <f t="shared" si="97"/>
        <v>47.5</v>
      </c>
    </row>
    <row r="4275" spans="6:9">
      <c r="F4275" s="12" t="str">
        <f>Absolute_Scores!F4275</f>
        <v>@galdielocks</v>
      </c>
      <c r="G4275" s="12" t="str">
        <f>Absolute_Scores!G4275</f>
        <v>TikTok</v>
      </c>
      <c r="H4275" s="29">
        <f>Absolute_Scores!I4275</f>
        <v>38</v>
      </c>
      <c r="I4275" s="30">
        <f t="shared" si="97"/>
        <v>47.5</v>
      </c>
    </row>
    <row r="4276" spans="6:9">
      <c r="F4276" s="12" t="str">
        <f>Absolute_Scores!F4276</f>
        <v>@gataulupa12350</v>
      </c>
      <c r="G4276" s="12" t="str">
        <f>Absolute_Scores!G4276</f>
        <v>TikTok</v>
      </c>
      <c r="H4276" s="29">
        <f>Absolute_Scores!I4276</f>
        <v>38</v>
      </c>
      <c r="I4276" s="30">
        <f t="shared" si="97"/>
        <v>47.5</v>
      </c>
    </row>
    <row r="4277" spans="6:9">
      <c r="F4277" s="12" t="str">
        <f>Absolute_Scores!F4277</f>
        <v>@ghaidaaaz</v>
      </c>
      <c r="G4277" s="12" t="str">
        <f>Absolute_Scores!G4277</f>
        <v>TikTok</v>
      </c>
      <c r="H4277" s="29">
        <f>Absolute_Scores!I4277</f>
        <v>38</v>
      </c>
      <c r="I4277" s="30">
        <f t="shared" si="97"/>
        <v>47.5</v>
      </c>
    </row>
    <row r="4278" spans="6:9">
      <c r="F4278" s="12" t="str">
        <f>Absolute_Scores!F4278</f>
        <v>@ghaitcaaa</v>
      </c>
      <c r="G4278" s="12" t="str">
        <f>Absolute_Scores!G4278</f>
        <v>TikTok</v>
      </c>
      <c r="H4278" s="29">
        <f>Absolute_Scores!I4278</f>
        <v>38</v>
      </c>
      <c r="I4278" s="30">
        <f t="shared" si="97"/>
        <v>47.5</v>
      </c>
    </row>
    <row r="4279" spans="6:9">
      <c r="F4279" s="12" t="str">
        <f>Absolute_Scores!F4279</f>
        <v>@ghendudee</v>
      </c>
      <c r="G4279" s="12" t="str">
        <f>Absolute_Scores!G4279</f>
        <v>TikTok</v>
      </c>
      <c r="H4279" s="29">
        <f>Absolute_Scores!I4279</f>
        <v>38</v>
      </c>
      <c r="I4279" s="30">
        <f t="shared" si="97"/>
        <v>47.5</v>
      </c>
    </row>
    <row r="4280" spans="6:9">
      <c r="F4280" s="12" t="str">
        <f>Absolute_Scores!F4280</f>
        <v>@gisellashafa</v>
      </c>
      <c r="G4280" s="12" t="str">
        <f>Absolute_Scores!G4280</f>
        <v>TikTok</v>
      </c>
      <c r="H4280" s="29">
        <f>Absolute_Scores!I4280</f>
        <v>38</v>
      </c>
      <c r="I4280" s="30">
        <f t="shared" si="97"/>
        <v>47.5</v>
      </c>
    </row>
    <row r="4281" spans="6:9">
      <c r="F4281" s="12" t="str">
        <f>Absolute_Scores!F4281</f>
        <v>@gladisalexandria</v>
      </c>
      <c r="G4281" s="12" t="str">
        <f>Absolute_Scores!G4281</f>
        <v>TikTok</v>
      </c>
      <c r="H4281" s="29">
        <f>Absolute_Scores!I4281</f>
        <v>38</v>
      </c>
      <c r="I4281" s="30">
        <f t="shared" si="97"/>
        <v>47.5</v>
      </c>
    </row>
    <row r="4282" spans="6:9">
      <c r="F4282" s="12" t="str">
        <f>Absolute_Scores!F4282</f>
        <v>@glorianovenaa</v>
      </c>
      <c r="G4282" s="12" t="str">
        <f>Absolute_Scores!G4282</f>
        <v>TikTok</v>
      </c>
      <c r="H4282" s="29">
        <f>Absolute_Scores!I4282</f>
        <v>38</v>
      </c>
      <c r="I4282" s="30">
        <f t="shared" si="97"/>
        <v>47.5</v>
      </c>
    </row>
    <row r="4283" spans="6:9">
      <c r="F4283" s="12" t="str">
        <f>Absolute_Scores!F4283</f>
        <v>@halifaintaniaa</v>
      </c>
      <c r="G4283" s="12" t="str">
        <f>Absolute_Scores!G4283</f>
        <v>TikTok</v>
      </c>
      <c r="H4283" s="29">
        <f>Absolute_Scores!I4283</f>
        <v>38</v>
      </c>
      <c r="I4283" s="30">
        <f t="shared" si="97"/>
        <v>47.5</v>
      </c>
    </row>
    <row r="4284" spans="6:9">
      <c r="F4284" s="12" t="str">
        <f>Absolute_Scores!F4284</f>
        <v>@hallotell_</v>
      </c>
      <c r="G4284" s="12" t="str">
        <f>Absolute_Scores!G4284</f>
        <v>TikTok</v>
      </c>
      <c r="H4284" s="29">
        <f>Absolute_Scores!I4284</f>
        <v>38</v>
      </c>
      <c r="I4284" s="30">
        <f t="shared" si="97"/>
        <v>47.5</v>
      </c>
    </row>
    <row r="4285" spans="6:9">
      <c r="F4285" s="12" t="str">
        <f>Absolute_Scores!F4285</f>
        <v>@haloakuririn</v>
      </c>
      <c r="G4285" s="12" t="str">
        <f>Absolute_Scores!G4285</f>
        <v>TikTok</v>
      </c>
      <c r="H4285" s="29">
        <f>Absolute_Scores!I4285</f>
        <v>38</v>
      </c>
      <c r="I4285" s="30">
        <f t="shared" si="97"/>
        <v>47.5</v>
      </c>
    </row>
    <row r="4286" spans="6:9">
      <c r="F4286" s="12" t="str">
        <f>Absolute_Scores!F4286</f>
        <v>@haloneneu</v>
      </c>
      <c r="G4286" s="12" t="str">
        <f>Absolute_Scores!G4286</f>
        <v>TikTok</v>
      </c>
      <c r="H4286" s="29">
        <f>Absolute_Scores!I4286</f>
        <v>38</v>
      </c>
      <c r="I4286" s="30">
        <f t="shared" si="97"/>
        <v>47.5</v>
      </c>
    </row>
    <row r="4287" spans="6:9">
      <c r="F4287" s="12" t="str">
        <f>Absolute_Scores!F4287</f>
        <v>@hanacrlne</v>
      </c>
      <c r="G4287" s="12" t="str">
        <f>Absolute_Scores!G4287</f>
        <v>TikTok</v>
      </c>
      <c r="H4287" s="29">
        <f>Absolute_Scores!I4287</f>
        <v>38</v>
      </c>
      <c r="I4287" s="30">
        <f t="shared" si="97"/>
        <v>47.5</v>
      </c>
    </row>
    <row r="4288" spans="6:9">
      <c r="F4288" s="12" t="str">
        <f>Absolute_Scores!F4288</f>
        <v>@hanaofficial88</v>
      </c>
      <c r="G4288" s="12" t="str">
        <f>Absolute_Scores!G4288</f>
        <v>TikTok</v>
      </c>
      <c r="H4288" s="29">
        <f>Absolute_Scores!I4288</f>
        <v>38</v>
      </c>
      <c r="I4288" s="30">
        <f t="shared" si="97"/>
        <v>47.5</v>
      </c>
    </row>
    <row r="4289" spans="6:9">
      <c r="F4289" s="12" t="str">
        <f>Absolute_Scores!F4289</f>
        <v>@hanatz</v>
      </c>
      <c r="G4289" s="12" t="str">
        <f>Absolute_Scores!G4289</f>
        <v>TikTok</v>
      </c>
      <c r="H4289" s="29">
        <f>Absolute_Scores!I4289</f>
        <v>38</v>
      </c>
      <c r="I4289" s="30">
        <f t="shared" si="97"/>
        <v>47.5</v>
      </c>
    </row>
    <row r="4290" spans="6:9">
      <c r="F4290" s="12" t="str">
        <f>Absolute_Scores!F4290</f>
        <v>@haneybunnyyy</v>
      </c>
      <c r="G4290" s="12" t="str">
        <f>Absolute_Scores!G4290</f>
        <v>TikTok</v>
      </c>
      <c r="H4290" s="29">
        <f>Absolute_Scores!I4290</f>
        <v>38</v>
      </c>
      <c r="I4290" s="30">
        <f t="shared" si="97"/>
        <v>47.5</v>
      </c>
    </row>
    <row r="4291" spans="6:9">
      <c r="F4291" s="12" t="str">
        <f>Absolute_Scores!F4291</f>
        <v>@hanita.e</v>
      </c>
      <c r="G4291" s="12" t="str">
        <f>Absolute_Scores!G4291</f>
        <v>TikTok</v>
      </c>
      <c r="H4291" s="29">
        <f>Absolute_Scores!I4291</f>
        <v>38</v>
      </c>
      <c r="I4291" s="30">
        <f t="shared" si="97"/>
        <v>47.5</v>
      </c>
    </row>
    <row r="4292" spans="6:9">
      <c r="F4292" s="12" t="str">
        <f>Absolute_Scores!F4292</f>
        <v>@hanjizah</v>
      </c>
      <c r="G4292" s="12" t="str">
        <f>Absolute_Scores!G4292</f>
        <v>Instagram</v>
      </c>
      <c r="H4292" s="29">
        <f>Absolute_Scores!I4292</f>
        <v>38</v>
      </c>
      <c r="I4292" s="30">
        <f t="shared" si="97"/>
        <v>47.5</v>
      </c>
    </row>
    <row r="4293" spans="6:9">
      <c r="F4293" s="12" t="str">
        <f>Absolute_Scores!F4293</f>
        <v>@hanna.mardiyah</v>
      </c>
      <c r="G4293" s="12" t="str">
        <f>Absolute_Scores!G4293</f>
        <v>Instagram</v>
      </c>
      <c r="H4293" s="29">
        <f>Absolute_Scores!I4293</f>
        <v>38</v>
      </c>
      <c r="I4293" s="30">
        <f t="shared" si="97"/>
        <v>47.5</v>
      </c>
    </row>
    <row r="4294" spans="6:9">
      <c r="F4294" s="12" t="str">
        <f>Absolute_Scores!F4294</f>
        <v>@hanumsajidah1</v>
      </c>
      <c r="G4294" s="12" t="str">
        <f>Absolute_Scores!G4294</f>
        <v>TikTok</v>
      </c>
      <c r="H4294" s="29">
        <f>Absolute_Scores!I4294</f>
        <v>38</v>
      </c>
      <c r="I4294" s="30">
        <f t="shared" ref="I4294:I4357" si="98">ROUND(H4294/$I$4*100,2)</f>
        <v>47.5</v>
      </c>
    </row>
    <row r="4295" spans="6:9">
      <c r="F4295" s="12" t="str">
        <f>Absolute_Scores!F4295</f>
        <v>@hasnaaazz_</v>
      </c>
      <c r="G4295" s="12" t="str">
        <f>Absolute_Scores!G4295</f>
        <v>TikTok</v>
      </c>
      <c r="H4295" s="29">
        <f>Absolute_Scores!I4295</f>
        <v>38</v>
      </c>
      <c r="I4295" s="30">
        <f t="shared" si="98"/>
        <v>47.5</v>
      </c>
    </row>
    <row r="4296" spans="6:9">
      <c r="F4296" s="12" t="str">
        <f>Absolute_Scores!F4296</f>
        <v>@heffalump88</v>
      </c>
      <c r="G4296" s="12" t="str">
        <f>Absolute_Scores!G4296</f>
        <v>TikTok</v>
      </c>
      <c r="H4296" s="29">
        <f>Absolute_Scores!I4296</f>
        <v>38</v>
      </c>
      <c r="I4296" s="30">
        <f t="shared" si="98"/>
        <v>47.5</v>
      </c>
    </row>
    <row r="4297" spans="6:9">
      <c r="F4297" s="12" t="str">
        <f>Absolute_Scores!F4297</f>
        <v>@helen.mn_</v>
      </c>
      <c r="G4297" s="12" t="str">
        <f>Absolute_Scores!G4297</f>
        <v>TikTok</v>
      </c>
      <c r="H4297" s="29">
        <f>Absolute_Scores!I4297</f>
        <v>38</v>
      </c>
      <c r="I4297" s="30">
        <f t="shared" si="98"/>
        <v>47.5</v>
      </c>
    </row>
    <row r="4298" spans="6:9">
      <c r="F4298" s="12" t="str">
        <f>Absolute_Scores!F4298</f>
        <v>@hellosun_0</v>
      </c>
      <c r="G4298" s="12" t="str">
        <f>Absolute_Scores!G4298</f>
        <v>TikTok</v>
      </c>
      <c r="H4298" s="29">
        <f>Absolute_Scores!I4298</f>
        <v>38</v>
      </c>
      <c r="I4298" s="30">
        <f t="shared" si="98"/>
        <v>47.5</v>
      </c>
    </row>
    <row r="4299" spans="6:9">
      <c r="F4299" s="12" t="str">
        <f>Absolute_Scores!F4299</f>
        <v>@hellowfunnyy</v>
      </c>
      <c r="G4299" s="12" t="str">
        <f>Absolute_Scores!G4299</f>
        <v>TikTok</v>
      </c>
      <c r="H4299" s="29">
        <f>Absolute_Scores!I4299</f>
        <v>38</v>
      </c>
      <c r="I4299" s="30">
        <f t="shared" si="98"/>
        <v>47.5</v>
      </c>
    </row>
    <row r="4300" spans="6:9">
      <c r="F4300" s="12" t="str">
        <f>Absolute_Scores!F4300</f>
        <v>@henakuhen</v>
      </c>
      <c r="G4300" s="12" t="str">
        <f>Absolute_Scores!G4300</f>
        <v>TikTok</v>
      </c>
      <c r="H4300" s="29">
        <f>Absolute_Scores!I4300</f>
        <v>38</v>
      </c>
      <c r="I4300" s="30">
        <f t="shared" si="98"/>
        <v>47.5</v>
      </c>
    </row>
    <row r="4301" spans="6:9">
      <c r="F4301" s="12" t="str">
        <f>Absolute_Scores!F4301</f>
        <v>@henirahayu01</v>
      </c>
      <c r="G4301" s="12" t="str">
        <f>Absolute_Scores!G4301</f>
        <v>TikTok</v>
      </c>
      <c r="H4301" s="29">
        <f>Absolute_Scores!I4301</f>
        <v>38</v>
      </c>
      <c r="I4301" s="30">
        <f t="shared" si="98"/>
        <v>47.5</v>
      </c>
    </row>
    <row r="4302" spans="6:9">
      <c r="F4302" s="12" t="str">
        <f>Absolute_Scores!F4302</f>
        <v>@hentiyashinta</v>
      </c>
      <c r="G4302" s="12" t="str">
        <f>Absolute_Scores!G4302</f>
        <v>Instagram</v>
      </c>
      <c r="H4302" s="29">
        <f>Absolute_Scores!I4302</f>
        <v>38</v>
      </c>
      <c r="I4302" s="30">
        <f t="shared" si="98"/>
        <v>47.5</v>
      </c>
    </row>
    <row r="4303" spans="6:9">
      <c r="F4303" s="12" t="str">
        <f>Absolute_Scores!F4303</f>
        <v>@herikanatasya_</v>
      </c>
      <c r="G4303" s="12" t="str">
        <f>Absolute_Scores!G4303</f>
        <v>Instagram</v>
      </c>
      <c r="H4303" s="29">
        <f>Absolute_Scores!I4303</f>
        <v>38</v>
      </c>
      <c r="I4303" s="30">
        <f t="shared" si="98"/>
        <v>47.5</v>
      </c>
    </row>
    <row r="4304" spans="6:9">
      <c r="F4304" s="12" t="str">
        <f>Absolute_Scores!F4304</f>
        <v>@hestiadityas</v>
      </c>
      <c r="G4304" s="12" t="str">
        <f>Absolute_Scores!G4304</f>
        <v>Instagram</v>
      </c>
      <c r="H4304" s="29">
        <f>Absolute_Scores!I4304</f>
        <v>38</v>
      </c>
      <c r="I4304" s="30">
        <f t="shared" si="98"/>
        <v>47.5</v>
      </c>
    </row>
    <row r="4305" spans="6:9">
      <c r="F4305" s="12" t="str">
        <f>Absolute_Scores!F4305</f>
        <v>@heylulaa</v>
      </c>
      <c r="G4305" s="12" t="str">
        <f>Absolute_Scores!G4305</f>
        <v>TikTok</v>
      </c>
      <c r="H4305" s="29">
        <f>Absolute_Scores!I4305</f>
        <v>38</v>
      </c>
      <c r="I4305" s="30">
        <f t="shared" si="98"/>
        <v>47.5</v>
      </c>
    </row>
    <row r="4306" spans="6:9">
      <c r="F4306" s="12" t="str">
        <f>Absolute_Scores!F4306</f>
        <v>@hifazra</v>
      </c>
      <c r="G4306" s="12" t="str">
        <f>Absolute_Scores!G4306</f>
        <v>TikTok</v>
      </c>
      <c r="H4306" s="29">
        <f>Absolute_Scores!I4306</f>
        <v>38</v>
      </c>
      <c r="I4306" s="30">
        <f t="shared" si="98"/>
        <v>47.5</v>
      </c>
    </row>
    <row r="4307" spans="6:9">
      <c r="F4307" s="12" t="str">
        <f>Absolute_Scores!F4307</f>
        <v>@hik4wu</v>
      </c>
      <c r="G4307" s="12" t="str">
        <f>Absolute_Scores!G4307</f>
        <v>TikTok</v>
      </c>
      <c r="H4307" s="29">
        <f>Absolute_Scores!I4307</f>
        <v>38</v>
      </c>
      <c r="I4307" s="30">
        <f t="shared" si="98"/>
        <v>47.5</v>
      </c>
    </row>
    <row r="4308" spans="6:9">
      <c r="F4308" s="12" t="str">
        <f>Absolute_Scores!F4308</f>
        <v>@hillaryeilishh</v>
      </c>
      <c r="G4308" s="12" t="str">
        <f>Absolute_Scores!G4308</f>
        <v>TikTok</v>
      </c>
      <c r="H4308" s="29">
        <f>Absolute_Scores!I4308</f>
        <v>38</v>
      </c>
      <c r="I4308" s="30">
        <f t="shared" si="98"/>
        <v>47.5</v>
      </c>
    </row>
    <row r="4309" spans="6:9">
      <c r="F4309" s="12" t="str">
        <f>Absolute_Scores!F4309</f>
        <v>@hourlysar</v>
      </c>
      <c r="G4309" s="12" t="str">
        <f>Absolute_Scores!G4309</f>
        <v>TikTok</v>
      </c>
      <c r="H4309" s="29">
        <f>Absolute_Scores!I4309</f>
        <v>38</v>
      </c>
      <c r="I4309" s="30">
        <f t="shared" si="98"/>
        <v>47.5</v>
      </c>
    </row>
    <row r="4310" spans="6:9">
      <c r="F4310" s="12" t="str">
        <f>Absolute_Scores!F4310</f>
        <v>@hsign62</v>
      </c>
      <c r="G4310" s="12" t="str">
        <f>Absolute_Scores!G4310</f>
        <v>TikTok</v>
      </c>
      <c r="H4310" s="29">
        <f>Absolute_Scores!I4310</f>
        <v>38</v>
      </c>
      <c r="I4310" s="30">
        <f t="shared" si="98"/>
        <v>47.5</v>
      </c>
    </row>
    <row r="4311" spans="6:9">
      <c r="F4311" s="12" t="str">
        <f>Absolute_Scores!F4311</f>
        <v>@https.buna</v>
      </c>
      <c r="G4311" s="12" t="str">
        <f>Absolute_Scores!G4311</f>
        <v>TikTok</v>
      </c>
      <c r="H4311" s="29">
        <f>Absolute_Scores!I4311</f>
        <v>38</v>
      </c>
      <c r="I4311" s="30">
        <f t="shared" si="98"/>
        <v>47.5</v>
      </c>
    </row>
    <row r="4312" spans="6:9">
      <c r="F4312" s="12" t="str">
        <f>Absolute_Scores!F4312</f>
        <v>@iamkeylie</v>
      </c>
      <c r="G4312" s="12" t="str">
        <f>Absolute_Scores!G4312</f>
        <v>TikTok</v>
      </c>
      <c r="H4312" s="29">
        <f>Absolute_Scores!I4312</f>
        <v>38</v>
      </c>
      <c r="I4312" s="30">
        <f t="shared" si="98"/>
        <v>47.5</v>
      </c>
    </row>
    <row r="4313" spans="6:9">
      <c r="F4313" s="12" t="str">
        <f>Absolute_Scores!F4313</f>
        <v>@idulbukanidoel</v>
      </c>
      <c r="G4313" s="12" t="str">
        <f>Absolute_Scores!G4313</f>
        <v>TikTok</v>
      </c>
      <c r="H4313" s="29">
        <f>Absolute_Scores!I4313</f>
        <v>38</v>
      </c>
      <c r="I4313" s="30">
        <f t="shared" si="98"/>
        <v>47.5</v>
      </c>
    </row>
    <row r="4314" spans="6:9">
      <c r="F4314" s="12" t="str">
        <f>Absolute_Scores!F4314</f>
        <v>@iffydentity</v>
      </c>
      <c r="G4314" s="12" t="str">
        <f>Absolute_Scores!G4314</f>
        <v>Instagram</v>
      </c>
      <c r="H4314" s="29">
        <f>Absolute_Scores!I4314</f>
        <v>38</v>
      </c>
      <c r="I4314" s="30">
        <f t="shared" si="98"/>
        <v>47.5</v>
      </c>
    </row>
    <row r="4315" spans="6:9">
      <c r="F4315" s="12" t="str">
        <f>Absolute_Scores!F4315</f>
        <v>@ig.devynchintya</v>
      </c>
      <c r="G4315" s="12" t="str">
        <f>Absolute_Scores!G4315</f>
        <v>TikTok</v>
      </c>
      <c r="H4315" s="29">
        <f>Absolute_Scores!I4315</f>
        <v>38</v>
      </c>
      <c r="I4315" s="30">
        <f t="shared" si="98"/>
        <v>47.5</v>
      </c>
    </row>
    <row r="4316" spans="6:9">
      <c r="F4316" s="12" t="str">
        <f>Absolute_Scores!F4316</f>
        <v>@ikanbirruuu</v>
      </c>
      <c r="G4316" s="12" t="str">
        <f>Absolute_Scores!G4316</f>
        <v>TikTok</v>
      </c>
      <c r="H4316" s="29">
        <f>Absolute_Scores!I4316</f>
        <v>38</v>
      </c>
      <c r="I4316" s="30">
        <f t="shared" si="98"/>
        <v>47.5</v>
      </c>
    </row>
    <row r="4317" spans="6:9">
      <c r="F4317" s="12" t="str">
        <f>Absolute_Scores!F4317</f>
        <v>@im.hopey</v>
      </c>
      <c r="G4317" s="12" t="str">
        <f>Absolute_Scores!G4317</f>
        <v>TikTok</v>
      </c>
      <c r="H4317" s="29">
        <f>Absolute_Scores!I4317</f>
        <v>38</v>
      </c>
      <c r="I4317" s="30">
        <f t="shared" si="98"/>
        <v>47.5</v>
      </c>
    </row>
    <row r="4318" spans="6:9">
      <c r="F4318" s="12" t="str">
        <f>Absolute_Scores!F4318</f>
        <v>@imaowta</v>
      </c>
      <c r="G4318" s="12" t="str">
        <f>Absolute_Scores!G4318</f>
        <v>TikTok</v>
      </c>
      <c r="H4318" s="29">
        <f>Absolute_Scores!I4318</f>
        <v>38</v>
      </c>
      <c r="I4318" s="30">
        <f t="shared" si="98"/>
        <v>47.5</v>
      </c>
    </row>
    <row r="4319" spans="6:9">
      <c r="F4319" s="12" t="str">
        <f>Absolute_Scores!F4319</f>
        <v>@imn0t.yours</v>
      </c>
      <c r="G4319" s="12" t="str">
        <f>Absolute_Scores!G4319</f>
        <v>TikTok</v>
      </c>
      <c r="H4319" s="29">
        <f>Absolute_Scores!I4319</f>
        <v>38</v>
      </c>
      <c r="I4319" s="30">
        <f t="shared" si="98"/>
        <v>47.5</v>
      </c>
    </row>
    <row r="4320" spans="6:9">
      <c r="F4320" s="12" t="str">
        <f>Absolute_Scores!F4320</f>
        <v>@ina_anilre</v>
      </c>
      <c r="G4320" s="12" t="str">
        <f>Absolute_Scores!G4320</f>
        <v>Instagram</v>
      </c>
      <c r="H4320" s="29">
        <f>Absolute_Scores!I4320</f>
        <v>38</v>
      </c>
      <c r="I4320" s="30">
        <f t="shared" si="98"/>
        <v>47.5</v>
      </c>
    </row>
    <row r="4321" spans="6:9">
      <c r="F4321" s="12" t="str">
        <f>Absolute_Scores!F4321</f>
        <v>@inaadonad</v>
      </c>
      <c r="G4321" s="12" t="str">
        <f>Absolute_Scores!G4321</f>
        <v>TikTok</v>
      </c>
      <c r="H4321" s="29">
        <f>Absolute_Scores!I4321</f>
        <v>38</v>
      </c>
      <c r="I4321" s="30">
        <f t="shared" si="98"/>
        <v>47.5</v>
      </c>
    </row>
    <row r="4322" spans="6:9">
      <c r="F4322" s="12" t="str">
        <f>Absolute_Scores!F4322</f>
        <v>@indrimeiliana</v>
      </c>
      <c r="G4322" s="12" t="str">
        <f>Absolute_Scores!G4322</f>
        <v>TikTok</v>
      </c>
      <c r="H4322" s="29">
        <f>Absolute_Scores!I4322</f>
        <v>38</v>
      </c>
      <c r="I4322" s="30">
        <f t="shared" si="98"/>
        <v>47.5</v>
      </c>
    </row>
    <row r="4323" spans="6:9">
      <c r="F4323" s="12" t="str">
        <f>Absolute_Scores!F4323</f>
        <v>@iniochaak</v>
      </c>
      <c r="G4323" s="12" t="str">
        <f>Absolute_Scores!G4323</f>
        <v>TikTok</v>
      </c>
      <c r="H4323" s="29">
        <f>Absolute_Scores!I4323</f>
        <v>38</v>
      </c>
      <c r="I4323" s="30">
        <f t="shared" si="98"/>
        <v>47.5</v>
      </c>
    </row>
    <row r="4324" spans="6:9">
      <c r="F4324" s="12" t="str">
        <f>Absolute_Scores!F4324</f>
        <v>@ira_sugianty</v>
      </c>
      <c r="G4324" s="12" t="str">
        <f>Absolute_Scores!G4324</f>
        <v>Instagram</v>
      </c>
      <c r="H4324" s="29">
        <f>Absolute_Scores!I4324</f>
        <v>38</v>
      </c>
      <c r="I4324" s="30">
        <f t="shared" si="98"/>
        <v>47.5</v>
      </c>
    </row>
    <row r="4325" spans="6:9">
      <c r="F4325" s="12" t="str">
        <f>Absolute_Scores!F4325</f>
        <v>@iraamulyani</v>
      </c>
      <c r="G4325" s="12" t="str">
        <f>Absolute_Scores!G4325</f>
        <v>TikTok</v>
      </c>
      <c r="H4325" s="29">
        <f>Absolute_Scores!I4325</f>
        <v>38</v>
      </c>
      <c r="I4325" s="30">
        <f t="shared" si="98"/>
        <v>47.5</v>
      </c>
    </row>
    <row r="4326" spans="6:9">
      <c r="F4326" s="12" t="str">
        <f>Absolute_Scores!F4326</f>
        <v>@ireniaofficial</v>
      </c>
      <c r="G4326" s="12" t="str">
        <f>Absolute_Scores!G4326</f>
        <v>TikTok</v>
      </c>
      <c r="H4326" s="29">
        <f>Absolute_Scores!I4326</f>
        <v>38</v>
      </c>
      <c r="I4326" s="30">
        <f t="shared" si="98"/>
        <v>47.5</v>
      </c>
    </row>
    <row r="4327" spans="6:9">
      <c r="F4327" s="12" t="str">
        <f>Absolute_Scores!F4327</f>
        <v>@irma.iryanto3</v>
      </c>
      <c r="G4327" s="12" t="str">
        <f>Absolute_Scores!G4327</f>
        <v>TikTok</v>
      </c>
      <c r="H4327" s="29">
        <f>Absolute_Scores!I4327</f>
        <v>38</v>
      </c>
      <c r="I4327" s="30">
        <f t="shared" si="98"/>
        <v>47.5</v>
      </c>
    </row>
    <row r="4328" spans="6:9">
      <c r="F4328" s="12" t="str">
        <f>Absolute_Scores!F4328</f>
        <v>@irmasinagah</v>
      </c>
      <c r="G4328" s="12" t="str">
        <f>Absolute_Scores!G4328</f>
        <v>Instagram</v>
      </c>
      <c r="H4328" s="29">
        <f>Absolute_Scores!I4328</f>
        <v>38</v>
      </c>
      <c r="I4328" s="30">
        <f t="shared" si="98"/>
        <v>47.5</v>
      </c>
    </row>
    <row r="4329" spans="6:9">
      <c r="F4329" s="12" t="str">
        <f>Absolute_Scores!F4329</f>
        <v>@istiqamhh</v>
      </c>
      <c r="G4329" s="12" t="str">
        <f>Absolute_Scores!G4329</f>
        <v>TikTok</v>
      </c>
      <c r="H4329" s="29">
        <f>Absolute_Scores!I4329</f>
        <v>38</v>
      </c>
      <c r="I4329" s="30">
        <f t="shared" si="98"/>
        <v>47.5</v>
      </c>
    </row>
    <row r="4330" spans="6:9">
      <c r="F4330" s="12" t="str">
        <f>Absolute_Scores!F4330</f>
        <v>@itscykaa</v>
      </c>
      <c r="G4330" s="12" t="str">
        <f>Absolute_Scores!G4330</f>
        <v>TikTok</v>
      </c>
      <c r="H4330" s="29">
        <f>Absolute_Scores!I4330</f>
        <v>38</v>
      </c>
      <c r="I4330" s="30">
        <f t="shared" si="98"/>
        <v>47.5</v>
      </c>
    </row>
    <row r="4331" spans="6:9">
      <c r="F4331" s="12" t="str">
        <f>Absolute_Scores!F4331</f>
        <v>@itsmeaprilola</v>
      </c>
      <c r="G4331" s="12" t="str">
        <f>Absolute_Scores!G4331</f>
        <v>TikTok</v>
      </c>
      <c r="H4331" s="29">
        <f>Absolute_Scores!I4331</f>
        <v>38</v>
      </c>
      <c r="I4331" s="30">
        <f t="shared" si="98"/>
        <v>47.5</v>
      </c>
    </row>
    <row r="4332" spans="6:9">
      <c r="F4332" s="12" t="str">
        <f>Absolute_Scores!F4332</f>
        <v>@itsnuyi</v>
      </c>
      <c r="G4332" s="12" t="str">
        <f>Absolute_Scores!G4332</f>
        <v>TikTok</v>
      </c>
      <c r="H4332" s="29">
        <f>Absolute_Scores!I4332</f>
        <v>38</v>
      </c>
      <c r="I4332" s="30">
        <f t="shared" si="98"/>
        <v>47.5</v>
      </c>
    </row>
    <row r="4333" spans="6:9">
      <c r="F4333" s="12" t="str">
        <f>Absolute_Scores!F4333</f>
        <v>@itsrachul</v>
      </c>
      <c r="G4333" s="12" t="str">
        <f>Absolute_Scores!G4333</f>
        <v>TikTok</v>
      </c>
      <c r="H4333" s="29">
        <f>Absolute_Scores!I4333</f>
        <v>38</v>
      </c>
      <c r="I4333" s="30">
        <f t="shared" si="98"/>
        <v>47.5</v>
      </c>
    </row>
    <row r="4334" spans="6:9">
      <c r="F4334" s="12" t="str">
        <f>Absolute_Scores!F4334</f>
        <v>@itzzme.ang</v>
      </c>
      <c r="G4334" s="12" t="str">
        <f>Absolute_Scores!G4334</f>
        <v>TikTok</v>
      </c>
      <c r="H4334" s="29">
        <f>Absolute_Scores!I4334</f>
        <v>38</v>
      </c>
      <c r="I4334" s="30">
        <f t="shared" si="98"/>
        <v>47.5</v>
      </c>
    </row>
    <row r="4335" spans="6:9">
      <c r="F4335" s="12" t="str">
        <f>Absolute_Scores!F4335</f>
        <v>@iva_asih</v>
      </c>
      <c r="G4335" s="12" t="str">
        <f>Absolute_Scores!G4335</f>
        <v>Instagram</v>
      </c>
      <c r="H4335" s="29">
        <f>Absolute_Scores!I4335</f>
        <v>38</v>
      </c>
      <c r="I4335" s="30">
        <f t="shared" si="98"/>
        <v>47.5</v>
      </c>
    </row>
    <row r="4336" spans="6:9">
      <c r="F4336" s="12" t="str">
        <f>Absolute_Scores!F4336</f>
        <v>@janessatheo</v>
      </c>
      <c r="G4336" s="12" t="str">
        <f>Absolute_Scores!G4336</f>
        <v>TikTok</v>
      </c>
      <c r="H4336" s="29">
        <f>Absolute_Scores!I4336</f>
        <v>38</v>
      </c>
      <c r="I4336" s="30">
        <f t="shared" si="98"/>
        <v>47.5</v>
      </c>
    </row>
    <row r="4337" spans="6:9">
      <c r="F4337" s="12" t="str">
        <f>Absolute_Scores!F4337</f>
        <v>@janicesamanthaa</v>
      </c>
      <c r="G4337" s="12" t="str">
        <f>Absolute_Scores!G4337</f>
        <v>TikTok</v>
      </c>
      <c r="H4337" s="29">
        <f>Absolute_Scores!I4337</f>
        <v>38</v>
      </c>
      <c r="I4337" s="30">
        <f t="shared" si="98"/>
        <v>47.5</v>
      </c>
    </row>
    <row r="4338" spans="6:9">
      <c r="F4338" s="12" t="str">
        <f>Absolute_Scores!F4338</f>
        <v>@jeliliyy_</v>
      </c>
      <c r="G4338" s="12" t="str">
        <f>Absolute_Scores!G4338</f>
        <v>TikTok</v>
      </c>
      <c r="H4338" s="29">
        <f>Absolute_Scores!I4338</f>
        <v>38</v>
      </c>
      <c r="I4338" s="30">
        <f t="shared" si="98"/>
        <v>47.5</v>
      </c>
    </row>
    <row r="4339" spans="6:9">
      <c r="F4339" s="12" t="str">
        <f>Absolute_Scores!F4339</f>
        <v>@jennielevina</v>
      </c>
      <c r="G4339" s="12" t="str">
        <f>Absolute_Scores!G4339</f>
        <v>Instagram</v>
      </c>
      <c r="H4339" s="29">
        <f>Absolute_Scores!I4339</f>
        <v>38</v>
      </c>
      <c r="I4339" s="30">
        <f t="shared" si="98"/>
        <v>47.5</v>
      </c>
    </row>
    <row r="4340" spans="6:9">
      <c r="F4340" s="12" t="str">
        <f>Absolute_Scores!F4340</f>
        <v>@jeonkii28</v>
      </c>
      <c r="G4340" s="12" t="str">
        <f>Absolute_Scores!G4340</f>
        <v>Instagram</v>
      </c>
      <c r="H4340" s="29">
        <f>Absolute_Scores!I4340</f>
        <v>38</v>
      </c>
      <c r="I4340" s="30">
        <f t="shared" si="98"/>
        <v>47.5</v>
      </c>
    </row>
    <row r="4341" spans="6:9">
      <c r="F4341" s="12" t="str">
        <f>Absolute_Scores!F4341</f>
        <v>@jesiscajesis</v>
      </c>
      <c r="G4341" s="12" t="str">
        <f>Absolute_Scores!G4341</f>
        <v>TikTok</v>
      </c>
      <c r="H4341" s="29">
        <f>Absolute_Scores!I4341</f>
        <v>38</v>
      </c>
      <c r="I4341" s="30">
        <f t="shared" si="98"/>
        <v>47.5</v>
      </c>
    </row>
    <row r="4342" spans="6:9">
      <c r="F4342" s="12" t="str">
        <f>Absolute_Scores!F4342</f>
        <v>@jesselinjess</v>
      </c>
      <c r="G4342" s="12" t="str">
        <f>Absolute_Scores!G4342</f>
        <v>TikTok</v>
      </c>
      <c r="H4342" s="29">
        <f>Absolute_Scores!I4342</f>
        <v>38</v>
      </c>
      <c r="I4342" s="30">
        <f t="shared" si="98"/>
        <v>47.5</v>
      </c>
    </row>
    <row r="4343" spans="6:9">
      <c r="F4343" s="12" t="str">
        <f>Absolute_Scores!F4343</f>
        <v>@jessicaliviaa</v>
      </c>
      <c r="G4343" s="12" t="str">
        <f>Absolute_Scores!G4343</f>
        <v>Instagram</v>
      </c>
      <c r="H4343" s="29">
        <f>Absolute_Scores!I4343</f>
        <v>38</v>
      </c>
      <c r="I4343" s="30">
        <f t="shared" si="98"/>
        <v>47.5</v>
      </c>
    </row>
    <row r="4344" spans="6:9">
      <c r="F4344" s="12" t="str">
        <f>Absolute_Scores!F4344</f>
        <v>@jessicarosmaureena</v>
      </c>
      <c r="G4344" s="12" t="str">
        <f>Absolute_Scores!G4344</f>
        <v>TikTok</v>
      </c>
      <c r="H4344" s="29">
        <f>Absolute_Scores!I4344</f>
        <v>38</v>
      </c>
      <c r="I4344" s="30">
        <f t="shared" si="98"/>
        <v>47.5</v>
      </c>
    </row>
    <row r="4345" spans="6:9">
      <c r="F4345" s="12" t="str">
        <f>Absolute_Scores!F4345</f>
        <v>@jesslynhere</v>
      </c>
      <c r="G4345" s="12" t="str">
        <f>Absolute_Scores!G4345</f>
        <v>TikTok</v>
      </c>
      <c r="H4345" s="29">
        <f>Absolute_Scores!I4345</f>
        <v>38</v>
      </c>
      <c r="I4345" s="30">
        <f t="shared" si="98"/>
        <v>47.5</v>
      </c>
    </row>
    <row r="4346" spans="6:9">
      <c r="F4346" s="12" t="str">
        <f>Absolute_Scores!F4346</f>
        <v>@jessysaaas</v>
      </c>
      <c r="G4346" s="12" t="str">
        <f>Absolute_Scores!G4346</f>
        <v>TikTok</v>
      </c>
      <c r="H4346" s="29">
        <f>Absolute_Scores!I4346</f>
        <v>38</v>
      </c>
      <c r="I4346" s="30">
        <f t="shared" si="98"/>
        <v>47.5</v>
      </c>
    </row>
    <row r="4347" spans="6:9">
      <c r="F4347" s="12" t="str">
        <f>Absolute_Scores!F4347</f>
        <v>@jharnabhagwani</v>
      </c>
      <c r="G4347" s="12" t="str">
        <f>Absolute_Scores!G4347</f>
        <v>TikTok</v>
      </c>
      <c r="H4347" s="29">
        <f>Absolute_Scores!I4347</f>
        <v>38</v>
      </c>
      <c r="I4347" s="30">
        <f t="shared" si="98"/>
        <v>47.5</v>
      </c>
    </row>
    <row r="4348" spans="6:9">
      <c r="F4348" s="12" t="str">
        <f>Absolute_Scores!F4348</f>
        <v>@jihanmndaa</v>
      </c>
      <c r="G4348" s="12" t="str">
        <f>Absolute_Scores!G4348</f>
        <v>TikTok</v>
      </c>
      <c r="H4348" s="29">
        <f>Absolute_Scores!I4348</f>
        <v>38</v>
      </c>
      <c r="I4348" s="30">
        <f t="shared" si="98"/>
        <v>47.5</v>
      </c>
    </row>
    <row r="4349" spans="6:9">
      <c r="F4349" s="12" t="str">
        <f>Absolute_Scores!F4349</f>
        <v>@julianastasia</v>
      </c>
      <c r="G4349" s="12" t="str">
        <f>Absolute_Scores!G4349</f>
        <v>TikTok</v>
      </c>
      <c r="H4349" s="29">
        <f>Absolute_Scores!I4349</f>
        <v>38</v>
      </c>
      <c r="I4349" s="30">
        <f t="shared" si="98"/>
        <v>47.5</v>
      </c>
    </row>
    <row r="4350" spans="6:9">
      <c r="F4350" s="12" t="str">
        <f>Absolute_Scores!F4350</f>
        <v>@juniarwitan</v>
      </c>
      <c r="G4350" s="12" t="str">
        <f>Absolute_Scores!G4350</f>
        <v>TikTok</v>
      </c>
      <c r="H4350" s="29">
        <f>Absolute_Scores!I4350</f>
        <v>38</v>
      </c>
      <c r="I4350" s="30">
        <f t="shared" si="98"/>
        <v>47.5</v>
      </c>
    </row>
    <row r="4351" spans="6:9">
      <c r="F4351" s="12" t="str">
        <f>Absolute_Scores!F4351</f>
        <v>@junjunshii</v>
      </c>
      <c r="G4351" s="12" t="str">
        <f>Absolute_Scores!G4351</f>
        <v>TikTok</v>
      </c>
      <c r="H4351" s="29">
        <f>Absolute_Scores!I4351</f>
        <v>38</v>
      </c>
      <c r="I4351" s="30">
        <f t="shared" si="98"/>
        <v>47.5</v>
      </c>
    </row>
    <row r="4352" spans="6:9">
      <c r="F4352" s="12" t="str">
        <f>Absolute_Scores!F4352</f>
        <v>@justlintang</v>
      </c>
      <c r="G4352" s="12" t="str">
        <f>Absolute_Scores!G4352</f>
        <v>TikTok</v>
      </c>
      <c r="H4352" s="29">
        <f>Absolute_Scores!I4352</f>
        <v>38</v>
      </c>
      <c r="I4352" s="30">
        <f t="shared" si="98"/>
        <v>47.5</v>
      </c>
    </row>
    <row r="4353" spans="6:9">
      <c r="F4353" s="12" t="str">
        <f>Absolute_Scores!F4353</f>
        <v>@kakakjilbabcoklat</v>
      </c>
      <c r="G4353" s="12" t="str">
        <f>Absolute_Scores!G4353</f>
        <v>TikTok</v>
      </c>
      <c r="H4353" s="29">
        <f>Absolute_Scores!I4353</f>
        <v>38</v>
      </c>
      <c r="I4353" s="30">
        <f t="shared" si="98"/>
        <v>47.5</v>
      </c>
    </row>
    <row r="4354" spans="6:9">
      <c r="F4354" s="12" t="str">
        <f>Absolute_Scores!F4354</f>
        <v>@kakatayaa</v>
      </c>
      <c r="G4354" s="12" t="str">
        <f>Absolute_Scores!G4354</f>
        <v>TikTok</v>
      </c>
      <c r="H4354" s="29">
        <f>Absolute_Scores!I4354</f>
        <v>38</v>
      </c>
      <c r="I4354" s="30">
        <f t="shared" si="98"/>
        <v>47.5</v>
      </c>
    </row>
    <row r="4355" spans="6:9">
      <c r="F4355" s="12" t="str">
        <f>Absolute_Scores!F4355</f>
        <v>@kardevvvv</v>
      </c>
      <c r="G4355" s="12" t="str">
        <f>Absolute_Scores!G4355</f>
        <v>TikTok</v>
      </c>
      <c r="H4355" s="29">
        <f>Absolute_Scores!I4355</f>
        <v>38</v>
      </c>
      <c r="I4355" s="30">
        <f t="shared" si="98"/>
        <v>47.5</v>
      </c>
    </row>
    <row r="4356" spans="6:9">
      <c r="F4356" s="12" t="str">
        <f>Absolute_Scores!F4356</f>
        <v>@karenhendrawan7</v>
      </c>
      <c r="G4356" s="12" t="str">
        <f>Absolute_Scores!G4356</f>
        <v>TikTok</v>
      </c>
      <c r="H4356" s="29">
        <f>Absolute_Scores!I4356</f>
        <v>38</v>
      </c>
      <c r="I4356" s="30">
        <f t="shared" si="98"/>
        <v>47.5</v>
      </c>
    </row>
    <row r="4357" spans="6:9">
      <c r="F4357" s="12" t="str">
        <f>Absolute_Scores!F4357</f>
        <v>@karenthaliaaa</v>
      </c>
      <c r="G4357" s="12" t="str">
        <f>Absolute_Scores!G4357</f>
        <v>TikTok</v>
      </c>
      <c r="H4357" s="29">
        <f>Absolute_Scores!I4357</f>
        <v>38</v>
      </c>
      <c r="I4357" s="30">
        <f t="shared" si="98"/>
        <v>47.5</v>
      </c>
    </row>
    <row r="4358" spans="6:9">
      <c r="F4358" s="12" t="str">
        <f>Absolute_Scores!F4358</f>
        <v>@kareynaz</v>
      </c>
      <c r="G4358" s="12" t="str">
        <f>Absolute_Scores!G4358</f>
        <v>TikTok</v>
      </c>
      <c r="H4358" s="29">
        <f>Absolute_Scores!I4358</f>
        <v>38</v>
      </c>
      <c r="I4358" s="30">
        <f t="shared" ref="I4358:I4421" si="99">ROUND(H4358/$I$4*100,2)</f>
        <v>47.5</v>
      </c>
    </row>
    <row r="4359" spans="6:9">
      <c r="F4359" s="12" t="str">
        <f>Absolute_Scores!F4359</f>
        <v>@karinspill</v>
      </c>
      <c r="G4359" s="12" t="str">
        <f>Absolute_Scores!G4359</f>
        <v>TikTok</v>
      </c>
      <c r="H4359" s="29">
        <f>Absolute_Scores!I4359</f>
        <v>38</v>
      </c>
      <c r="I4359" s="30">
        <f t="shared" si="99"/>
        <v>47.5</v>
      </c>
    </row>
    <row r="4360" spans="6:9">
      <c r="F4360" s="12" t="str">
        <f>Absolute_Scores!F4360</f>
        <v>@kemalagita</v>
      </c>
      <c r="G4360" s="12" t="str">
        <f>Absolute_Scores!G4360</f>
        <v>TikTok</v>
      </c>
      <c r="H4360" s="29">
        <f>Absolute_Scores!I4360</f>
        <v>38</v>
      </c>
      <c r="I4360" s="30">
        <f t="shared" si="99"/>
        <v>47.5</v>
      </c>
    </row>
    <row r="4361" spans="6:9">
      <c r="F4361" s="12" t="str">
        <f>Absolute_Scores!F4361</f>
        <v>@khadziyah13_</v>
      </c>
      <c r="G4361" s="12" t="str">
        <f>Absolute_Scores!G4361</f>
        <v>TikTok</v>
      </c>
      <c r="H4361" s="29">
        <f>Absolute_Scores!I4361</f>
        <v>38</v>
      </c>
      <c r="I4361" s="30">
        <f t="shared" si="99"/>
        <v>47.5</v>
      </c>
    </row>
    <row r="4362" spans="6:9">
      <c r="F4362" s="12" t="str">
        <f>Absolute_Scores!F4362</f>
        <v>@khairsaa</v>
      </c>
      <c r="G4362" s="12" t="str">
        <f>Absolute_Scores!G4362</f>
        <v>TikTok</v>
      </c>
      <c r="H4362" s="29">
        <f>Absolute_Scores!I4362</f>
        <v>38</v>
      </c>
      <c r="I4362" s="30">
        <f t="shared" si="99"/>
        <v>47.5</v>
      </c>
    </row>
    <row r="4363" spans="6:9">
      <c r="F4363" s="12" t="str">
        <f>Absolute_Scores!F4363</f>
        <v>@khansagabril</v>
      </c>
      <c r="G4363" s="12" t="str">
        <f>Absolute_Scores!G4363</f>
        <v>Instagram</v>
      </c>
      <c r="H4363" s="29">
        <f>Absolute_Scores!I4363</f>
        <v>38</v>
      </c>
      <c r="I4363" s="30">
        <f t="shared" si="99"/>
        <v>47.5</v>
      </c>
    </row>
    <row r="4364" spans="6:9">
      <c r="F4364" s="12" t="str">
        <f>Absolute_Scores!F4364</f>
        <v>@kheiv</v>
      </c>
      <c r="G4364" s="12" t="str">
        <f>Absolute_Scores!G4364</f>
        <v>TikTok</v>
      </c>
      <c r="H4364" s="29">
        <f>Absolute_Scores!I4364</f>
        <v>38</v>
      </c>
      <c r="I4364" s="30">
        <f t="shared" si="99"/>
        <v>47.5</v>
      </c>
    </row>
    <row r="4365" spans="6:9">
      <c r="F4365" s="12" t="str">
        <f>Absolute_Scores!F4365</f>
        <v>@kiararindani</v>
      </c>
      <c r="G4365" s="12" t="str">
        <f>Absolute_Scores!G4365</f>
        <v>Instagram</v>
      </c>
      <c r="H4365" s="29">
        <f>Absolute_Scores!I4365</f>
        <v>38</v>
      </c>
      <c r="I4365" s="30">
        <f t="shared" si="99"/>
        <v>47.5</v>
      </c>
    </row>
    <row r="4366" spans="6:9">
      <c r="F4366" s="12" t="str">
        <f>Absolute_Scores!F4366</f>
        <v>@kim.official____</v>
      </c>
      <c r="G4366" s="12" t="str">
        <f>Absolute_Scores!G4366</f>
        <v>Instagram</v>
      </c>
      <c r="H4366" s="29">
        <f>Absolute_Scores!I4366</f>
        <v>38</v>
      </c>
      <c r="I4366" s="30">
        <f t="shared" si="99"/>
        <v>47.5</v>
      </c>
    </row>
    <row r="4367" spans="6:9">
      <c r="F4367" s="12" t="str">
        <f>Absolute_Scores!F4367</f>
        <v>@kiynnar</v>
      </c>
      <c r="G4367" s="12" t="str">
        <f>Absolute_Scores!G4367</f>
        <v>TikTok</v>
      </c>
      <c r="H4367" s="29">
        <f>Absolute_Scores!I4367</f>
        <v>38</v>
      </c>
      <c r="I4367" s="30">
        <f t="shared" si="99"/>
        <v>47.5</v>
      </c>
    </row>
    <row r="4368" spans="6:9">
      <c r="F4368" s="12" t="str">
        <f>Absolute_Scores!F4368</f>
        <v>@kiyokochii_</v>
      </c>
      <c r="G4368" s="12" t="str">
        <f>Absolute_Scores!G4368</f>
        <v>Instagram</v>
      </c>
      <c r="H4368" s="29">
        <f>Absolute_Scores!I4368</f>
        <v>38</v>
      </c>
      <c r="I4368" s="30">
        <f t="shared" si="99"/>
        <v>47.5</v>
      </c>
    </row>
    <row r="4369" spans="6:9">
      <c r="F4369" s="12" t="str">
        <f>Absolute_Scores!F4369</f>
        <v>@kkmn99</v>
      </c>
      <c r="G4369" s="12" t="str">
        <f>Absolute_Scores!G4369</f>
        <v>TikTok</v>
      </c>
      <c r="H4369" s="29">
        <f>Absolute_Scores!I4369</f>
        <v>38</v>
      </c>
      <c r="I4369" s="30">
        <f t="shared" si="99"/>
        <v>47.5</v>
      </c>
    </row>
    <row r="4370" spans="6:9">
      <c r="F4370" s="12" t="str">
        <f>Absolute_Scores!F4370</f>
        <v>@kyranayda</v>
      </c>
      <c r="G4370" s="12" t="str">
        <f>Absolute_Scores!G4370</f>
        <v>Instagram</v>
      </c>
      <c r="H4370" s="29">
        <f>Absolute_Scores!I4370</f>
        <v>38</v>
      </c>
      <c r="I4370" s="30">
        <f t="shared" si="99"/>
        <v>47.5</v>
      </c>
    </row>
    <row r="4371" spans="6:9">
      <c r="F4371" s="12" t="str">
        <f>Absolute_Scores!F4371</f>
        <v>@laladitiktok</v>
      </c>
      <c r="G4371" s="12" t="str">
        <f>Absolute_Scores!G4371</f>
        <v>TikTok</v>
      </c>
      <c r="H4371" s="29">
        <f>Absolute_Scores!I4371</f>
        <v>38</v>
      </c>
      <c r="I4371" s="30">
        <f t="shared" si="99"/>
        <v>47.5</v>
      </c>
    </row>
    <row r="4372" spans="6:9">
      <c r="F4372" s="12" t="str">
        <f>Absolute_Scores!F4372</f>
        <v>@lalajuliandari053</v>
      </c>
      <c r="G4372" s="12" t="str">
        <f>Absolute_Scores!G4372</f>
        <v>TikTok</v>
      </c>
      <c r="H4372" s="29">
        <f>Absolute_Scores!I4372</f>
        <v>38</v>
      </c>
      <c r="I4372" s="30">
        <f t="shared" si="99"/>
        <v>47.5</v>
      </c>
    </row>
    <row r="4373" spans="6:9">
      <c r="F4373" s="12" t="str">
        <f>Absolute_Scores!F4373</f>
        <v>@lalapoo76</v>
      </c>
      <c r="G4373" s="12" t="str">
        <f>Absolute_Scores!G4373</f>
        <v>TikTok</v>
      </c>
      <c r="H4373" s="29">
        <f>Absolute_Scores!I4373</f>
        <v>38</v>
      </c>
      <c r="I4373" s="30">
        <f t="shared" si="99"/>
        <v>47.5</v>
      </c>
    </row>
    <row r="4374" spans="6:9">
      <c r="F4374" s="12" t="str">
        <f>Absolute_Scores!F4374</f>
        <v>@larosesl</v>
      </c>
      <c r="G4374" s="12" t="str">
        <f>Absolute_Scores!G4374</f>
        <v>Instagram</v>
      </c>
      <c r="H4374" s="29">
        <f>Absolute_Scores!I4374</f>
        <v>38</v>
      </c>
      <c r="I4374" s="30">
        <f t="shared" si="99"/>
        <v>47.5</v>
      </c>
    </row>
    <row r="4375" spans="6:9">
      <c r="F4375" s="12" t="str">
        <f>Absolute_Scores!F4375</f>
        <v>@leilamrnda</v>
      </c>
      <c r="G4375" s="12" t="str">
        <f>Absolute_Scores!G4375</f>
        <v>TikTok</v>
      </c>
      <c r="H4375" s="29">
        <f>Absolute_Scores!I4375</f>
        <v>38</v>
      </c>
      <c r="I4375" s="30">
        <f t="shared" si="99"/>
        <v>47.5</v>
      </c>
    </row>
    <row r="4376" spans="6:9">
      <c r="F4376" s="12" t="str">
        <f>Absolute_Scores!F4376</f>
        <v>@lenimizzle</v>
      </c>
      <c r="G4376" s="12" t="str">
        <f>Absolute_Scores!G4376</f>
        <v>TikTok</v>
      </c>
      <c r="H4376" s="29">
        <f>Absolute_Scores!I4376</f>
        <v>38</v>
      </c>
      <c r="I4376" s="30">
        <f t="shared" si="99"/>
        <v>47.5</v>
      </c>
    </row>
    <row r="4377" spans="6:9">
      <c r="F4377" s="12" t="str">
        <f>Absolute_Scores!F4377</f>
        <v>@leonymarcha</v>
      </c>
      <c r="G4377" s="12" t="str">
        <f>Absolute_Scores!G4377</f>
        <v>TikTok</v>
      </c>
      <c r="H4377" s="29">
        <f>Absolute_Scores!I4377</f>
        <v>38</v>
      </c>
      <c r="I4377" s="30">
        <f t="shared" si="99"/>
        <v>47.5</v>
      </c>
    </row>
    <row r="4378" spans="6:9">
      <c r="F4378" s="12" t="str">
        <f>Absolute_Scores!F4378</f>
        <v>@leyareen</v>
      </c>
      <c r="G4378" s="12" t="str">
        <f>Absolute_Scores!G4378</f>
        <v>Instagram</v>
      </c>
      <c r="H4378" s="29">
        <f>Absolute_Scores!I4378</f>
        <v>38</v>
      </c>
      <c r="I4378" s="30">
        <f t="shared" si="99"/>
        <v>47.5</v>
      </c>
    </row>
    <row r="4379" spans="6:9">
      <c r="F4379" s="12" t="str">
        <f>Absolute_Scores!F4379</f>
        <v>@lilyawliya</v>
      </c>
      <c r="G4379" s="12" t="str">
        <f>Absolute_Scores!G4379</f>
        <v>TikTok</v>
      </c>
      <c r="H4379" s="29">
        <f>Absolute_Scores!I4379</f>
        <v>38</v>
      </c>
      <c r="I4379" s="30">
        <f t="shared" si="99"/>
        <v>47.5</v>
      </c>
    </row>
    <row r="4380" spans="6:9">
      <c r="F4380" s="12" t="str">
        <f>Absolute_Scores!F4380</f>
        <v>@lilyisnotflowerrr</v>
      </c>
      <c r="G4380" s="12" t="str">
        <f>Absolute_Scores!G4380</f>
        <v>TikTok</v>
      </c>
      <c r="H4380" s="29">
        <f>Absolute_Scores!I4380</f>
        <v>38</v>
      </c>
      <c r="I4380" s="30">
        <f t="shared" si="99"/>
        <v>47.5</v>
      </c>
    </row>
    <row r="4381" spans="6:9">
      <c r="F4381" s="12" t="str">
        <f>Absolute_Scores!F4381</f>
        <v>@lindawidyaa8</v>
      </c>
      <c r="G4381" s="12" t="str">
        <f>Absolute_Scores!G4381</f>
        <v>TikTok</v>
      </c>
      <c r="H4381" s="29">
        <f>Absolute_Scores!I4381</f>
        <v>38</v>
      </c>
      <c r="I4381" s="30">
        <f t="shared" si="99"/>
        <v>47.5</v>
      </c>
    </row>
    <row r="4382" spans="6:9">
      <c r="F4382" s="12" t="str">
        <f>Absolute_Scores!F4382</f>
        <v>@lingstephanie</v>
      </c>
      <c r="G4382" s="12" t="str">
        <f>Absolute_Scores!G4382</f>
        <v>TikTok</v>
      </c>
      <c r="H4382" s="29">
        <f>Absolute_Scores!I4382</f>
        <v>38</v>
      </c>
      <c r="I4382" s="30">
        <f t="shared" si="99"/>
        <v>47.5</v>
      </c>
    </row>
    <row r="4383" spans="6:9">
      <c r="F4383" s="12" t="str">
        <f>Absolute_Scores!F4383</f>
        <v>@lintangraina</v>
      </c>
      <c r="G4383" s="12" t="str">
        <f>Absolute_Scores!G4383</f>
        <v>TikTok</v>
      </c>
      <c r="H4383" s="29">
        <f>Absolute_Scores!I4383</f>
        <v>38</v>
      </c>
      <c r="I4383" s="30">
        <f t="shared" si="99"/>
        <v>47.5</v>
      </c>
    </row>
    <row r="4384" spans="6:9">
      <c r="F4384" s="12" t="str">
        <f>Absolute_Scores!F4384</f>
        <v>@lisdafbrd_</v>
      </c>
      <c r="G4384" s="12" t="str">
        <f>Absolute_Scores!G4384</f>
        <v>TikTok</v>
      </c>
      <c r="H4384" s="29">
        <f>Absolute_Scores!I4384</f>
        <v>38</v>
      </c>
      <c r="I4384" s="30">
        <f t="shared" si="99"/>
        <v>47.5</v>
      </c>
    </row>
    <row r="4385" spans="6:9">
      <c r="F4385" s="12" t="str">
        <f>Absolute_Scores!F4385</f>
        <v>@listiadwisetyanti</v>
      </c>
      <c r="G4385" s="12" t="str">
        <f>Absolute_Scores!G4385</f>
        <v>Instagram</v>
      </c>
      <c r="H4385" s="29">
        <f>Absolute_Scores!I4385</f>
        <v>38</v>
      </c>
      <c r="I4385" s="30">
        <f t="shared" si="99"/>
        <v>47.5</v>
      </c>
    </row>
    <row r="4386" spans="6:9">
      <c r="F4386" s="12" t="str">
        <f>Absolute_Scores!F4386</f>
        <v>@literalygabuttt</v>
      </c>
      <c r="G4386" s="12" t="str">
        <f>Absolute_Scores!G4386</f>
        <v>TikTok</v>
      </c>
      <c r="H4386" s="29">
        <f>Absolute_Scores!I4386</f>
        <v>38</v>
      </c>
      <c r="I4386" s="30">
        <f t="shared" si="99"/>
        <v>47.5</v>
      </c>
    </row>
    <row r="4387" spans="6:9">
      <c r="F4387" s="12" t="str">
        <f>Absolute_Scores!F4387</f>
        <v>@lorrrrrrrra_</v>
      </c>
      <c r="G4387" s="12" t="str">
        <f>Absolute_Scores!G4387</f>
        <v>TikTok</v>
      </c>
      <c r="H4387" s="29">
        <f>Absolute_Scores!I4387</f>
        <v>38</v>
      </c>
      <c r="I4387" s="30">
        <f t="shared" si="99"/>
        <v>47.5</v>
      </c>
    </row>
    <row r="4388" spans="6:9">
      <c r="F4388" s="12" t="str">
        <f>Absolute_Scores!F4388</f>
        <v>@lstxndn_</v>
      </c>
      <c r="G4388" s="12" t="str">
        <f>Absolute_Scores!G4388</f>
        <v>Instagram</v>
      </c>
      <c r="H4388" s="29">
        <f>Absolute_Scores!I4388</f>
        <v>38</v>
      </c>
      <c r="I4388" s="30">
        <f t="shared" si="99"/>
        <v>47.5</v>
      </c>
    </row>
    <row r="4389" spans="6:9">
      <c r="F4389" s="12" t="str">
        <f>Absolute_Scores!F4389</f>
        <v>@ludovicajessica</v>
      </c>
      <c r="G4389" s="12" t="str">
        <f>Absolute_Scores!G4389</f>
        <v>TikTok</v>
      </c>
      <c r="H4389" s="29">
        <f>Absolute_Scores!I4389</f>
        <v>38</v>
      </c>
      <c r="I4389" s="30">
        <f t="shared" si="99"/>
        <v>47.5</v>
      </c>
    </row>
    <row r="4390" spans="6:9">
      <c r="F4390" s="12" t="str">
        <f>Absolute_Scores!F4390</f>
        <v>@lul0l</v>
      </c>
      <c r="G4390" s="12" t="str">
        <f>Absolute_Scores!G4390</f>
        <v>TikTok</v>
      </c>
      <c r="H4390" s="29">
        <f>Absolute_Scores!I4390</f>
        <v>38</v>
      </c>
      <c r="I4390" s="30">
        <f t="shared" si="99"/>
        <v>47.5</v>
      </c>
    </row>
    <row r="4391" spans="6:9">
      <c r="F4391" s="12" t="str">
        <f>Absolute_Scores!F4391</f>
        <v>@lutxani</v>
      </c>
      <c r="G4391" s="12" t="str">
        <f>Absolute_Scores!G4391</f>
        <v>TikTok</v>
      </c>
      <c r="H4391" s="29">
        <f>Absolute_Scores!I4391</f>
        <v>38</v>
      </c>
      <c r="I4391" s="30">
        <f t="shared" si="99"/>
        <v>47.5</v>
      </c>
    </row>
    <row r="4392" spans="6:9">
      <c r="F4392" s="12" t="str">
        <f>Absolute_Scores!F4392</f>
        <v>@maddienathania</v>
      </c>
      <c r="G4392" s="12" t="str">
        <f>Absolute_Scores!G4392</f>
        <v>TikTok</v>
      </c>
      <c r="H4392" s="29">
        <f>Absolute_Scores!I4392</f>
        <v>38</v>
      </c>
      <c r="I4392" s="30">
        <f t="shared" si="99"/>
        <v>47.5</v>
      </c>
    </row>
    <row r="4393" spans="6:9">
      <c r="F4393" s="12" t="str">
        <f>Absolute_Scores!F4393</f>
        <v>@madivabeer</v>
      </c>
      <c r="G4393" s="12" t="str">
        <f>Absolute_Scores!G4393</f>
        <v>TikTok</v>
      </c>
      <c r="H4393" s="29">
        <f>Absolute_Scores!I4393</f>
        <v>38</v>
      </c>
      <c r="I4393" s="30">
        <f t="shared" si="99"/>
        <v>47.5</v>
      </c>
    </row>
    <row r="4394" spans="6:9">
      <c r="F4394" s="12" t="str">
        <f>Absolute_Scores!F4394</f>
        <v>@makeupbyjane2</v>
      </c>
      <c r="G4394" s="12" t="str">
        <f>Absolute_Scores!G4394</f>
        <v>TikTok</v>
      </c>
      <c r="H4394" s="29">
        <f>Absolute_Scores!I4394</f>
        <v>38</v>
      </c>
      <c r="I4394" s="30">
        <f t="shared" si="99"/>
        <v>47.5</v>
      </c>
    </row>
    <row r="4395" spans="6:9">
      <c r="F4395" s="12" t="str">
        <f>Absolute_Scores!F4395</f>
        <v>@makeupfor30s</v>
      </c>
      <c r="G4395" s="12" t="str">
        <f>Absolute_Scores!G4395</f>
        <v>TikTok</v>
      </c>
      <c r="H4395" s="29">
        <f>Absolute_Scores!I4395</f>
        <v>38</v>
      </c>
      <c r="I4395" s="30">
        <f t="shared" si="99"/>
        <v>47.5</v>
      </c>
    </row>
    <row r="4396" spans="6:9">
      <c r="F4396" s="12" t="str">
        <f>Absolute_Scores!F4396</f>
        <v>@makeupxsherren</v>
      </c>
      <c r="G4396" s="12" t="str">
        <f>Absolute_Scores!G4396</f>
        <v>TikTok</v>
      </c>
      <c r="H4396" s="29">
        <f>Absolute_Scores!I4396</f>
        <v>38</v>
      </c>
      <c r="I4396" s="30">
        <f t="shared" si="99"/>
        <v>47.5</v>
      </c>
    </row>
    <row r="4397" spans="6:9">
      <c r="F4397" s="12" t="str">
        <f>Absolute_Scores!F4397</f>
        <v>@mamanarasi</v>
      </c>
      <c r="G4397" s="12" t="str">
        <f>Absolute_Scores!G4397</f>
        <v>TikTok</v>
      </c>
      <c r="H4397" s="29">
        <f>Absolute_Scores!I4397</f>
        <v>38</v>
      </c>
      <c r="I4397" s="30">
        <f t="shared" si="99"/>
        <v>47.5</v>
      </c>
    </row>
    <row r="4398" spans="6:9">
      <c r="F4398" s="12" t="str">
        <f>Absolute_Scores!F4398</f>
        <v>@marcelinafzhh</v>
      </c>
      <c r="G4398" s="12" t="str">
        <f>Absolute_Scores!G4398</f>
        <v>TikTok</v>
      </c>
      <c r="H4398" s="29">
        <f>Absolute_Scores!I4398</f>
        <v>38</v>
      </c>
      <c r="I4398" s="30">
        <f t="shared" si="99"/>
        <v>47.5</v>
      </c>
    </row>
    <row r="4399" spans="6:9">
      <c r="F4399" s="12" t="str">
        <f>Absolute_Scores!F4399</f>
        <v>@mardatills</v>
      </c>
      <c r="G4399" s="12" t="str">
        <f>Absolute_Scores!G4399</f>
        <v>TikTok</v>
      </c>
      <c r="H4399" s="29">
        <f>Absolute_Scores!I4399</f>
        <v>38</v>
      </c>
      <c r="I4399" s="30">
        <f t="shared" si="99"/>
        <v>47.5</v>
      </c>
    </row>
    <row r="4400" spans="6:9">
      <c r="F4400" s="12" t="str">
        <f>Absolute_Scores!F4400</f>
        <v>@marisajasminee</v>
      </c>
      <c r="G4400" s="12" t="str">
        <f>Absolute_Scores!G4400</f>
        <v>TikTok</v>
      </c>
      <c r="H4400" s="29">
        <f>Absolute_Scores!I4400</f>
        <v>38</v>
      </c>
      <c r="I4400" s="30">
        <f t="shared" si="99"/>
        <v>47.5</v>
      </c>
    </row>
    <row r="4401" spans="6:9">
      <c r="F4401" s="12" t="str">
        <f>Absolute_Scores!F4401</f>
        <v>@marsyabungaaa</v>
      </c>
      <c r="G4401" s="12" t="str">
        <f>Absolute_Scores!G4401</f>
        <v>TikTok</v>
      </c>
      <c r="H4401" s="29">
        <f>Absolute_Scores!I4401</f>
        <v>38</v>
      </c>
      <c r="I4401" s="30">
        <f t="shared" si="99"/>
        <v>47.5</v>
      </c>
    </row>
    <row r="4402" spans="6:9">
      <c r="F4402" s="12" t="str">
        <f>Absolute_Scores!F4402</f>
        <v>@matchaaciiiiii</v>
      </c>
      <c r="G4402" s="12" t="str">
        <f>Absolute_Scores!G4402</f>
        <v>TikTok</v>
      </c>
      <c r="H4402" s="29">
        <f>Absolute_Scores!I4402</f>
        <v>38</v>
      </c>
      <c r="I4402" s="30">
        <f t="shared" si="99"/>
        <v>47.5</v>
      </c>
    </row>
    <row r="4403" spans="6:9">
      <c r="F4403" s="12" t="str">
        <f>Absolute_Scores!F4403</f>
        <v>@matchajunkie</v>
      </c>
      <c r="G4403" s="12" t="str">
        <f>Absolute_Scores!G4403</f>
        <v>TikTok</v>
      </c>
      <c r="H4403" s="29">
        <f>Absolute_Scores!I4403</f>
        <v>38</v>
      </c>
      <c r="I4403" s="30">
        <f t="shared" si="99"/>
        <v>47.5</v>
      </c>
    </row>
    <row r="4404" spans="6:9">
      <c r="F4404" s="12" t="str">
        <f>Absolute_Scores!F4404</f>
        <v>@maudypermata</v>
      </c>
      <c r="G4404" s="12" t="str">
        <f>Absolute_Scores!G4404</f>
        <v>Instagram</v>
      </c>
      <c r="H4404" s="29">
        <f>Absolute_Scores!I4404</f>
        <v>38</v>
      </c>
      <c r="I4404" s="30">
        <f t="shared" si="99"/>
        <v>47.5</v>
      </c>
    </row>
    <row r="4405" spans="6:9">
      <c r="F4405" s="12" t="str">
        <f>Absolute_Scores!F4405</f>
        <v>@maurashafa</v>
      </c>
      <c r="G4405" s="12" t="str">
        <f>Absolute_Scores!G4405</f>
        <v>Instagram</v>
      </c>
      <c r="H4405" s="29">
        <f>Absolute_Scores!I4405</f>
        <v>38</v>
      </c>
      <c r="I4405" s="30">
        <f t="shared" si="99"/>
        <v>47.5</v>
      </c>
    </row>
    <row r="4406" spans="6:9">
      <c r="F4406" s="12" t="str">
        <f>Absolute_Scores!F4406</f>
        <v>@mayanadiaa</v>
      </c>
      <c r="G4406" s="12" t="str">
        <f>Absolute_Scores!G4406</f>
        <v>TikTok</v>
      </c>
      <c r="H4406" s="29">
        <f>Absolute_Scores!I4406</f>
        <v>38</v>
      </c>
      <c r="I4406" s="30">
        <f t="shared" si="99"/>
        <v>47.5</v>
      </c>
    </row>
    <row r="4407" spans="6:9">
      <c r="F4407" s="12" t="str">
        <f>Absolute_Scores!F4407</f>
        <v>@maybmei</v>
      </c>
      <c r="G4407" s="12" t="str">
        <f>Absolute_Scores!G4407</f>
        <v>TikTok</v>
      </c>
      <c r="H4407" s="29">
        <f>Absolute_Scores!I4407</f>
        <v>38</v>
      </c>
      <c r="I4407" s="30">
        <f t="shared" si="99"/>
        <v>47.5</v>
      </c>
    </row>
    <row r="4408" spans="6:9">
      <c r="F4408" s="12" t="str">
        <f>Absolute_Scores!F4408</f>
        <v>@mbanajlaa</v>
      </c>
      <c r="G4408" s="12" t="str">
        <f>Absolute_Scores!G4408</f>
        <v>TikTok</v>
      </c>
      <c r="H4408" s="29">
        <f>Absolute_Scores!I4408</f>
        <v>38</v>
      </c>
      <c r="I4408" s="30">
        <f t="shared" si="99"/>
        <v>47.5</v>
      </c>
    </row>
    <row r="4409" spans="6:9">
      <c r="F4409" s="12" t="str">
        <f>Absolute_Scores!F4409</f>
        <v>@meeiiya</v>
      </c>
      <c r="G4409" s="12" t="str">
        <f>Absolute_Scores!G4409</f>
        <v>TikTok</v>
      </c>
      <c r="H4409" s="29">
        <f>Absolute_Scores!I4409</f>
        <v>38</v>
      </c>
      <c r="I4409" s="30">
        <f t="shared" si="99"/>
        <v>47.5</v>
      </c>
    </row>
    <row r="4410" spans="6:9">
      <c r="F4410" s="12" t="str">
        <f>Absolute_Scores!F4410</f>
        <v>@meilanindraa</v>
      </c>
      <c r="G4410" s="12" t="str">
        <f>Absolute_Scores!G4410</f>
        <v>TikTok</v>
      </c>
      <c r="H4410" s="29">
        <f>Absolute_Scores!I4410</f>
        <v>38</v>
      </c>
      <c r="I4410" s="30">
        <f t="shared" si="99"/>
        <v>47.5</v>
      </c>
    </row>
    <row r="4411" spans="6:9">
      <c r="F4411" s="12" t="str">
        <f>Absolute_Scores!F4411</f>
        <v>@meishellybarbieee</v>
      </c>
      <c r="G4411" s="12" t="str">
        <f>Absolute_Scores!G4411</f>
        <v>Instagram</v>
      </c>
      <c r="H4411" s="29">
        <f>Absolute_Scores!I4411</f>
        <v>38</v>
      </c>
      <c r="I4411" s="30">
        <f t="shared" si="99"/>
        <v>47.5</v>
      </c>
    </row>
    <row r="4412" spans="6:9">
      <c r="F4412" s="12" t="str">
        <f>Absolute_Scores!F4412</f>
        <v>@melfacitra</v>
      </c>
      <c r="G4412" s="12" t="str">
        <f>Absolute_Scores!G4412</f>
        <v>Instagram</v>
      </c>
      <c r="H4412" s="29">
        <f>Absolute_Scores!I4412</f>
        <v>38</v>
      </c>
      <c r="I4412" s="30">
        <f t="shared" si="99"/>
        <v>47.5</v>
      </c>
    </row>
    <row r="4413" spans="6:9">
      <c r="F4413" s="12" t="str">
        <f>Absolute_Scores!F4413</f>
        <v>@melfianaputri</v>
      </c>
      <c r="G4413" s="12" t="str">
        <f>Absolute_Scores!G4413</f>
        <v>Instagram</v>
      </c>
      <c r="H4413" s="29">
        <f>Absolute_Scores!I4413</f>
        <v>38</v>
      </c>
      <c r="I4413" s="30">
        <f t="shared" si="99"/>
        <v>47.5</v>
      </c>
    </row>
    <row r="4414" spans="6:9">
      <c r="F4414" s="12" t="str">
        <f>Absolute_Scores!F4414</f>
        <v>@merifyu</v>
      </c>
      <c r="G4414" s="12" t="str">
        <f>Absolute_Scores!G4414</f>
        <v>Instagram</v>
      </c>
      <c r="H4414" s="29">
        <f>Absolute_Scores!I4414</f>
        <v>38</v>
      </c>
      <c r="I4414" s="30">
        <f t="shared" si="99"/>
        <v>47.5</v>
      </c>
    </row>
    <row r="4415" spans="6:9">
      <c r="F4415" s="12" t="str">
        <f>Absolute_Scores!F4415</f>
        <v>@merilazuardiii</v>
      </c>
      <c r="G4415" s="12" t="str">
        <f>Absolute_Scores!G4415</f>
        <v>TikTok</v>
      </c>
      <c r="H4415" s="29">
        <f>Absolute_Scores!I4415</f>
        <v>38</v>
      </c>
      <c r="I4415" s="30">
        <f t="shared" si="99"/>
        <v>47.5</v>
      </c>
    </row>
    <row r="4416" spans="6:9">
      <c r="F4416" s="12" t="str">
        <f>Absolute_Scores!F4416</f>
        <v>@merisaptr_</v>
      </c>
      <c r="G4416" s="12" t="str">
        <f>Absolute_Scores!G4416</f>
        <v>TikTok</v>
      </c>
      <c r="H4416" s="29">
        <f>Absolute_Scores!I4416</f>
        <v>38</v>
      </c>
      <c r="I4416" s="30">
        <f t="shared" si="99"/>
        <v>47.5</v>
      </c>
    </row>
    <row r="4417" spans="6:9">
      <c r="F4417" s="12" t="str">
        <f>Absolute_Scores!F4417</f>
        <v>@metaliaaaaaaa</v>
      </c>
      <c r="G4417" s="12" t="str">
        <f>Absolute_Scores!G4417</f>
        <v>TikTok</v>
      </c>
      <c r="H4417" s="29">
        <f>Absolute_Scores!I4417</f>
        <v>38</v>
      </c>
      <c r="I4417" s="30">
        <f t="shared" si="99"/>
        <v>47.5</v>
      </c>
    </row>
    <row r="4418" spans="6:9">
      <c r="F4418" s="12" t="str">
        <f>Absolute_Scores!F4418</f>
        <v>@metta.phan</v>
      </c>
      <c r="G4418" s="12" t="str">
        <f>Absolute_Scores!G4418</f>
        <v>TikTok</v>
      </c>
      <c r="H4418" s="29">
        <f>Absolute_Scores!I4418</f>
        <v>38</v>
      </c>
      <c r="I4418" s="30">
        <f t="shared" si="99"/>
        <v>47.5</v>
      </c>
    </row>
    <row r="4419" spans="6:9">
      <c r="F4419" s="12" t="str">
        <f>Absolute_Scores!F4419</f>
        <v>@meyleela</v>
      </c>
      <c r="G4419" s="12" t="str">
        <f>Absolute_Scores!G4419</f>
        <v>TikTok</v>
      </c>
      <c r="H4419" s="29">
        <f>Absolute_Scores!I4419</f>
        <v>38</v>
      </c>
      <c r="I4419" s="30">
        <f t="shared" si="99"/>
        <v>47.5</v>
      </c>
    </row>
    <row r="4420" spans="6:9">
      <c r="F4420" s="12" t="str">
        <f>Absolute_Scores!F4420</f>
        <v>@micaellamnn</v>
      </c>
      <c r="G4420" s="12" t="str">
        <f>Absolute_Scores!G4420</f>
        <v>TikTok</v>
      </c>
      <c r="H4420" s="29">
        <f>Absolute_Scores!I4420</f>
        <v>38</v>
      </c>
      <c r="I4420" s="30">
        <f t="shared" si="99"/>
        <v>47.5</v>
      </c>
    </row>
    <row r="4421" spans="6:9">
      <c r="F4421" s="12" t="str">
        <f>Absolute_Scores!F4421</f>
        <v>@michikochan_88</v>
      </c>
      <c r="G4421" s="12" t="str">
        <f>Absolute_Scores!G4421</f>
        <v>Instagram</v>
      </c>
      <c r="H4421" s="29">
        <f>Absolute_Scores!I4421</f>
        <v>38</v>
      </c>
      <c r="I4421" s="30">
        <f t="shared" si="99"/>
        <v>47.5</v>
      </c>
    </row>
    <row r="4422" spans="6:9">
      <c r="F4422" s="12" t="str">
        <f>Absolute_Scores!F4422</f>
        <v>@micloudy</v>
      </c>
      <c r="G4422" s="12" t="str">
        <f>Absolute_Scores!G4422</f>
        <v>TikTok</v>
      </c>
      <c r="H4422" s="29">
        <f>Absolute_Scores!I4422</f>
        <v>38</v>
      </c>
      <c r="I4422" s="30">
        <f t="shared" ref="I4422:I4485" si="100">ROUND(H4422/$I$4*100,2)</f>
        <v>47.5</v>
      </c>
    </row>
    <row r="4423" spans="6:9">
      <c r="F4423" s="12" t="str">
        <f>Absolute_Scores!F4423</f>
        <v>@milkywoof</v>
      </c>
      <c r="G4423" s="12" t="str">
        <f>Absolute_Scores!G4423</f>
        <v>TikTok</v>
      </c>
      <c r="H4423" s="29">
        <f>Absolute_Scores!I4423</f>
        <v>38</v>
      </c>
      <c r="I4423" s="30">
        <f t="shared" si="100"/>
        <v>47.5</v>
      </c>
    </row>
    <row r="4424" spans="6:9">
      <c r="F4424" s="12" t="str">
        <f>Absolute_Scores!F4424</f>
        <v>@mindysabrina</v>
      </c>
      <c r="G4424" s="12" t="str">
        <f>Absolute_Scores!G4424</f>
        <v>TikTok</v>
      </c>
      <c r="H4424" s="29">
        <f>Absolute_Scores!I4424</f>
        <v>38</v>
      </c>
      <c r="I4424" s="30">
        <f t="shared" si="100"/>
        <v>47.5</v>
      </c>
    </row>
    <row r="4425" spans="6:9">
      <c r="F4425" s="12" t="str">
        <f>Absolute_Scores!F4425</f>
        <v>@miyaaliii</v>
      </c>
      <c r="G4425" s="12" t="str">
        <f>Absolute_Scores!G4425</f>
        <v>TikTok</v>
      </c>
      <c r="H4425" s="29">
        <f>Absolute_Scores!I4425</f>
        <v>38</v>
      </c>
      <c r="I4425" s="30">
        <f t="shared" si="100"/>
        <v>47.5</v>
      </c>
    </row>
    <row r="4426" spans="6:9">
      <c r="F4426" s="12" t="str">
        <f>Absolute_Scores!F4426</f>
        <v>@mlkrtkaa</v>
      </c>
      <c r="G4426" s="12" t="str">
        <f>Absolute_Scores!G4426</f>
        <v>TikTok</v>
      </c>
      <c r="H4426" s="29">
        <f>Absolute_Scores!I4426</f>
        <v>38</v>
      </c>
      <c r="I4426" s="30">
        <f t="shared" si="100"/>
        <v>47.5</v>
      </c>
    </row>
    <row r="4427" spans="6:9">
      <c r="F4427" s="12" t="str">
        <f>Absolute_Scores!F4427</f>
        <v>@moms_cia</v>
      </c>
      <c r="G4427" s="12" t="str">
        <f>Absolute_Scores!G4427</f>
        <v>Instagram</v>
      </c>
      <c r="H4427" s="29">
        <f>Absolute_Scores!I4427</f>
        <v>38</v>
      </c>
      <c r="I4427" s="30">
        <f t="shared" si="100"/>
        <v>47.5</v>
      </c>
    </row>
    <row r="4428" spans="6:9">
      <c r="F4428" s="12" t="str">
        <f>Absolute_Scores!F4428</f>
        <v>@monnyriskianip</v>
      </c>
      <c r="G4428" s="12" t="str">
        <f>Absolute_Scores!G4428</f>
        <v>TikTok</v>
      </c>
      <c r="H4428" s="29">
        <f>Absolute_Scores!I4428</f>
        <v>38</v>
      </c>
      <c r="I4428" s="30">
        <f t="shared" si="100"/>
        <v>47.5</v>
      </c>
    </row>
    <row r="4429" spans="6:9">
      <c r="F4429" s="12" t="str">
        <f>Absolute_Scores!F4429</f>
        <v>@ms.stya</v>
      </c>
      <c r="G4429" s="12" t="str">
        <f>Absolute_Scores!G4429</f>
        <v>TikTok</v>
      </c>
      <c r="H4429" s="29">
        <f>Absolute_Scores!I4429</f>
        <v>38</v>
      </c>
      <c r="I4429" s="30">
        <f t="shared" si="100"/>
        <v>47.5</v>
      </c>
    </row>
    <row r="4430" spans="6:9">
      <c r="F4430" s="12" t="str">
        <f>Absolute_Scores!F4430</f>
        <v>@mtsyvtr</v>
      </c>
      <c r="G4430" s="12" t="str">
        <f>Absolute_Scores!G4430</f>
        <v>TikTok</v>
      </c>
      <c r="H4430" s="29">
        <f>Absolute_Scores!I4430</f>
        <v>38</v>
      </c>
      <c r="I4430" s="30">
        <f t="shared" si="100"/>
        <v>47.5</v>
      </c>
    </row>
    <row r="4431" spans="6:9">
      <c r="F4431" s="12" t="str">
        <f>Absolute_Scores!F4431</f>
        <v>@mucia.au</v>
      </c>
      <c r="G4431" s="12" t="str">
        <f>Absolute_Scores!G4431</f>
        <v>TikTok</v>
      </c>
      <c r="H4431" s="29">
        <f>Absolute_Scores!I4431</f>
        <v>38</v>
      </c>
      <c r="I4431" s="30">
        <f t="shared" si="100"/>
        <v>47.5</v>
      </c>
    </row>
    <row r="4432" spans="6:9">
      <c r="F4432" s="12" t="str">
        <f>Absolute_Scores!F4432</f>
        <v>@mulia_setyowati</v>
      </c>
      <c r="G4432" s="12" t="str">
        <f>Absolute_Scores!G4432</f>
        <v>TikTok</v>
      </c>
      <c r="H4432" s="29">
        <f>Absolute_Scores!I4432</f>
        <v>38</v>
      </c>
      <c r="I4432" s="30">
        <f t="shared" si="100"/>
        <v>47.5</v>
      </c>
    </row>
    <row r="4433" spans="6:9">
      <c r="F4433" s="12" t="str">
        <f>Absolute_Scores!F4433</f>
        <v>@muthiazohra</v>
      </c>
      <c r="G4433" s="12" t="str">
        <f>Absolute_Scores!G4433</f>
        <v>TikTok</v>
      </c>
      <c r="H4433" s="29">
        <f>Absolute_Scores!I4433</f>
        <v>38</v>
      </c>
      <c r="I4433" s="30">
        <f t="shared" si="100"/>
        <v>47.5</v>
      </c>
    </row>
    <row r="4434" spans="6:9">
      <c r="F4434" s="12" t="str">
        <f>Absolute_Scores!F4434</f>
        <v>@mutiaadawiyyah5</v>
      </c>
      <c r="G4434" s="12" t="str">
        <f>Absolute_Scores!G4434</f>
        <v>TikTok</v>
      </c>
      <c r="H4434" s="29">
        <f>Absolute_Scores!I4434</f>
        <v>38</v>
      </c>
      <c r="I4434" s="30">
        <f t="shared" si="100"/>
        <v>47.5</v>
      </c>
    </row>
    <row r="4435" spans="6:9">
      <c r="F4435" s="12" t="str">
        <f>Absolute_Scores!F4435</f>
        <v>@mutiasrigianti</v>
      </c>
      <c r="G4435" s="12" t="str">
        <f>Absolute_Scores!G4435</f>
        <v>TikTok</v>
      </c>
      <c r="H4435" s="29">
        <f>Absolute_Scores!I4435</f>
        <v>38</v>
      </c>
      <c r="I4435" s="30">
        <f t="shared" si="100"/>
        <v>47.5</v>
      </c>
    </row>
    <row r="4436" spans="6:9">
      <c r="F4436" s="12" t="str">
        <f>Absolute_Scores!F4436</f>
        <v>@mwojii</v>
      </c>
      <c r="G4436" s="12" t="str">
        <f>Absolute_Scores!G4436</f>
        <v>TikTok</v>
      </c>
      <c r="H4436" s="29">
        <f>Absolute_Scores!I4436</f>
        <v>38</v>
      </c>
      <c r="I4436" s="30">
        <f t="shared" si="100"/>
        <v>47.5</v>
      </c>
    </row>
    <row r="4437" spans="6:9">
      <c r="F4437" s="12" t="str">
        <f>Absolute_Scores!F4437</f>
        <v>@nabilafirdaus07</v>
      </c>
      <c r="G4437" s="12" t="str">
        <f>Absolute_Scores!G4437</f>
        <v>TikTok</v>
      </c>
      <c r="H4437" s="29">
        <f>Absolute_Scores!I4437</f>
        <v>38</v>
      </c>
      <c r="I4437" s="30">
        <f t="shared" si="100"/>
        <v>47.5</v>
      </c>
    </row>
    <row r="4438" spans="6:9">
      <c r="F4438" s="12" t="str">
        <f>Absolute_Scores!F4438</f>
        <v>@nabilahwirizkiii</v>
      </c>
      <c r="G4438" s="12" t="str">
        <f>Absolute_Scores!G4438</f>
        <v>TikTok</v>
      </c>
      <c r="H4438" s="29">
        <f>Absolute_Scores!I4438</f>
        <v>38</v>
      </c>
      <c r="I4438" s="30">
        <f t="shared" si="100"/>
        <v>47.5</v>
      </c>
    </row>
    <row r="4439" spans="6:9">
      <c r="F4439" s="12" t="str">
        <f>Absolute_Scores!F4439</f>
        <v>@nacalatte</v>
      </c>
      <c r="G4439" s="12" t="str">
        <f>Absolute_Scores!G4439</f>
        <v>TikTok</v>
      </c>
      <c r="H4439" s="29">
        <f>Absolute_Scores!I4439</f>
        <v>38</v>
      </c>
      <c r="I4439" s="30">
        <f t="shared" si="100"/>
        <v>47.5</v>
      </c>
    </row>
    <row r="4440" spans="6:9">
      <c r="F4440" s="12" t="str">
        <f>Absolute_Scores!F4440</f>
        <v>@nadiaaaalll</v>
      </c>
      <c r="G4440" s="12" t="str">
        <f>Absolute_Scores!G4440</f>
        <v>TikTok</v>
      </c>
      <c r="H4440" s="29">
        <f>Absolute_Scores!I4440</f>
        <v>38</v>
      </c>
      <c r="I4440" s="30">
        <f t="shared" si="100"/>
        <v>47.5</v>
      </c>
    </row>
    <row r="4441" spans="6:9">
      <c r="F4441" s="12" t="str">
        <f>Absolute_Scores!F4441</f>
        <v>@nadiaaag01</v>
      </c>
      <c r="G4441" s="12" t="str">
        <f>Absolute_Scores!G4441</f>
        <v>TikTok</v>
      </c>
      <c r="H4441" s="29">
        <f>Absolute_Scores!I4441</f>
        <v>38</v>
      </c>
      <c r="I4441" s="30">
        <f t="shared" si="100"/>
        <v>47.5</v>
      </c>
    </row>
    <row r="4442" spans="6:9">
      <c r="F4442" s="12" t="str">
        <f>Absolute_Scores!F4442</f>
        <v>@nadiatussaa</v>
      </c>
      <c r="G4442" s="12" t="str">
        <f>Absolute_Scores!G4442</f>
        <v>TikTok</v>
      </c>
      <c r="H4442" s="29">
        <f>Absolute_Scores!I4442</f>
        <v>38</v>
      </c>
      <c r="I4442" s="30">
        <f t="shared" si="100"/>
        <v>47.5</v>
      </c>
    </row>
    <row r="4443" spans="6:9">
      <c r="F4443" s="12" t="str">
        <f>Absolute_Scores!F4443</f>
        <v>@nadilaafatesa</v>
      </c>
      <c r="G4443" s="12" t="str">
        <f>Absolute_Scores!G4443</f>
        <v>TikTok</v>
      </c>
      <c r="H4443" s="29">
        <f>Absolute_Scores!I4443</f>
        <v>38</v>
      </c>
      <c r="I4443" s="30">
        <f t="shared" si="100"/>
        <v>47.5</v>
      </c>
    </row>
    <row r="4444" spans="6:9">
      <c r="F4444" s="12" t="str">
        <f>Absolute_Scores!F4444</f>
        <v>@nadya.sari</v>
      </c>
      <c r="G4444" s="12" t="str">
        <f>Absolute_Scores!G4444</f>
        <v>Instagram</v>
      </c>
      <c r="H4444" s="29">
        <f>Absolute_Scores!I4444</f>
        <v>38</v>
      </c>
      <c r="I4444" s="30">
        <f t="shared" si="100"/>
        <v>47.5</v>
      </c>
    </row>
    <row r="4445" spans="6:9">
      <c r="F4445" s="12" t="str">
        <f>Absolute_Scores!F4445</f>
        <v>@nadyaanatashaaa</v>
      </c>
      <c r="G4445" s="12" t="str">
        <f>Absolute_Scores!G4445</f>
        <v>TikTok</v>
      </c>
      <c r="H4445" s="29">
        <f>Absolute_Scores!I4445</f>
        <v>38</v>
      </c>
      <c r="I4445" s="30">
        <f t="shared" si="100"/>
        <v>47.5</v>
      </c>
    </row>
    <row r="4446" spans="6:9">
      <c r="F4446" s="12" t="str">
        <f>Absolute_Scores!F4446</f>
        <v>@nadyamgdlnn</v>
      </c>
      <c r="G4446" s="12" t="str">
        <f>Absolute_Scores!G4446</f>
        <v>TikTok</v>
      </c>
      <c r="H4446" s="29">
        <f>Absolute_Scores!I4446</f>
        <v>38</v>
      </c>
      <c r="I4446" s="30">
        <f t="shared" si="100"/>
        <v>47.5</v>
      </c>
    </row>
    <row r="4447" spans="6:9">
      <c r="F4447" s="12" t="str">
        <f>Absolute_Scores!F4447</f>
        <v>@nadysha.alana</v>
      </c>
      <c r="G4447" s="12" t="str">
        <f>Absolute_Scores!G4447</f>
        <v>Instagram</v>
      </c>
      <c r="H4447" s="29">
        <f>Absolute_Scores!I4447</f>
        <v>38</v>
      </c>
      <c r="I4447" s="30">
        <f t="shared" si="100"/>
        <v>47.5</v>
      </c>
    </row>
    <row r="4448" spans="6:9">
      <c r="F4448" s="12" t="str">
        <f>Absolute_Scores!F4448</f>
        <v>@naisalsabila</v>
      </c>
      <c r="G4448" s="12" t="str">
        <f>Absolute_Scores!G4448</f>
        <v>TikTok</v>
      </c>
      <c r="H4448" s="29">
        <f>Absolute_Scores!I4448</f>
        <v>38</v>
      </c>
      <c r="I4448" s="30">
        <f t="shared" si="100"/>
        <v>47.5</v>
      </c>
    </row>
    <row r="4449" spans="6:9">
      <c r="F4449" s="12" t="str">
        <f>Absolute_Scores!F4449</f>
        <v>@najwa_maulida23</v>
      </c>
      <c r="G4449" s="12" t="str">
        <f>Absolute_Scores!G4449</f>
        <v>Instagram</v>
      </c>
      <c r="H4449" s="29">
        <f>Absolute_Scores!I4449</f>
        <v>38</v>
      </c>
      <c r="I4449" s="30">
        <f t="shared" si="100"/>
        <v>47.5</v>
      </c>
    </row>
    <row r="4450" spans="6:9">
      <c r="F4450" s="12" t="str">
        <f>Absolute_Scores!F4450</f>
        <v>@namanya.katerine</v>
      </c>
      <c r="G4450" s="12" t="str">
        <f>Absolute_Scores!G4450</f>
        <v>TikTok</v>
      </c>
      <c r="H4450" s="29">
        <f>Absolute_Scores!I4450</f>
        <v>38</v>
      </c>
      <c r="I4450" s="30">
        <f t="shared" si="100"/>
        <v>47.5</v>
      </c>
    </row>
    <row r="4451" spans="6:9">
      <c r="F4451" s="12" t="str">
        <f>Absolute_Scores!F4451</f>
        <v>@nandaadelia21</v>
      </c>
      <c r="G4451" s="12" t="str">
        <f>Absolute_Scores!G4451</f>
        <v>TikTok</v>
      </c>
      <c r="H4451" s="29">
        <f>Absolute_Scores!I4451</f>
        <v>38</v>
      </c>
      <c r="I4451" s="30">
        <f t="shared" si="100"/>
        <v>47.5</v>
      </c>
    </row>
    <row r="4452" spans="6:9">
      <c r="F4452" s="12" t="str">
        <f>Absolute_Scores!F4452</f>
        <v>@natashaalaurentinaa</v>
      </c>
      <c r="G4452" s="12" t="str">
        <f>Absolute_Scores!G4452</f>
        <v>TikTok</v>
      </c>
      <c r="H4452" s="29">
        <f>Absolute_Scores!I4452</f>
        <v>38</v>
      </c>
      <c r="I4452" s="30">
        <f t="shared" si="100"/>
        <v>47.5</v>
      </c>
    </row>
    <row r="4453" spans="6:9">
      <c r="F4453" s="12" t="str">
        <f>Absolute_Scores!F4453</f>
        <v>@natasyafifialayda_</v>
      </c>
      <c r="G4453" s="12" t="str">
        <f>Absolute_Scores!G4453</f>
        <v>TikTok</v>
      </c>
      <c r="H4453" s="29">
        <f>Absolute_Scores!I4453</f>
        <v>38</v>
      </c>
      <c r="I4453" s="30">
        <f t="shared" si="100"/>
        <v>47.5</v>
      </c>
    </row>
    <row r="4454" spans="6:9">
      <c r="F4454" s="12" t="str">
        <f>Absolute_Scores!F4454</f>
        <v>@naylasyr</v>
      </c>
      <c r="G4454" s="12" t="str">
        <f>Absolute_Scores!G4454</f>
        <v>TikTok</v>
      </c>
      <c r="H4454" s="29">
        <f>Absolute_Scores!I4454</f>
        <v>38</v>
      </c>
      <c r="I4454" s="30">
        <f t="shared" si="100"/>
        <v>47.5</v>
      </c>
    </row>
    <row r="4455" spans="6:9">
      <c r="F4455" s="12" t="str">
        <f>Absolute_Scores!F4455</f>
        <v>@nazwamhrm</v>
      </c>
      <c r="G4455" s="12" t="str">
        <f>Absolute_Scores!G4455</f>
        <v>TikTok</v>
      </c>
      <c r="H4455" s="29">
        <f>Absolute_Scores!I4455</f>
        <v>38</v>
      </c>
      <c r="I4455" s="30">
        <f t="shared" si="100"/>
        <v>47.5</v>
      </c>
    </row>
    <row r="4456" spans="6:9">
      <c r="F4456" s="12" t="str">
        <f>Absolute_Scores!F4456</f>
        <v>@nbllaap</v>
      </c>
      <c r="G4456" s="12" t="str">
        <f>Absolute_Scores!G4456</f>
        <v>TikTok</v>
      </c>
      <c r="H4456" s="29">
        <f>Absolute_Scores!I4456</f>
        <v>38</v>
      </c>
      <c r="I4456" s="30">
        <f t="shared" si="100"/>
        <v>47.5</v>
      </c>
    </row>
    <row r="4457" spans="6:9">
      <c r="F4457" s="12" t="str">
        <f>Absolute_Scores!F4457</f>
        <v>@ndahput07</v>
      </c>
      <c r="G4457" s="12" t="str">
        <f>Absolute_Scores!G4457</f>
        <v>Instagram</v>
      </c>
      <c r="H4457" s="29">
        <f>Absolute_Scores!I4457</f>
        <v>38</v>
      </c>
      <c r="I4457" s="30">
        <f t="shared" si="100"/>
        <v>47.5</v>
      </c>
    </row>
    <row r="4458" spans="6:9">
      <c r="F4458" s="12" t="str">
        <f>Absolute_Scores!F4458</f>
        <v>@ndini_rahma23</v>
      </c>
      <c r="G4458" s="12" t="str">
        <f>Absolute_Scores!G4458</f>
        <v>TikTok</v>
      </c>
      <c r="H4458" s="29">
        <f>Absolute_Scores!I4458</f>
        <v>38</v>
      </c>
      <c r="I4458" s="30">
        <f t="shared" si="100"/>
        <v>47.5</v>
      </c>
    </row>
    <row r="4459" spans="6:9">
      <c r="F4459" s="12" t="str">
        <f>Absolute_Scores!F4459</f>
        <v>@neko_oneesan</v>
      </c>
      <c r="G4459" s="12" t="str">
        <f>Absolute_Scores!G4459</f>
        <v>Instagram</v>
      </c>
      <c r="H4459" s="29">
        <f>Absolute_Scores!I4459</f>
        <v>38</v>
      </c>
      <c r="I4459" s="30">
        <f t="shared" si="100"/>
        <v>47.5</v>
      </c>
    </row>
    <row r="4460" spans="6:9">
      <c r="F4460" s="12" t="str">
        <f>Absolute_Scores!F4460</f>
        <v>@nellyharahap25_</v>
      </c>
      <c r="G4460" s="12" t="str">
        <f>Absolute_Scores!G4460</f>
        <v>TikTok</v>
      </c>
      <c r="H4460" s="29">
        <f>Absolute_Scores!I4460</f>
        <v>38</v>
      </c>
      <c r="I4460" s="30">
        <f t="shared" si="100"/>
        <v>47.5</v>
      </c>
    </row>
    <row r="4461" spans="6:9">
      <c r="F4461" s="12" t="str">
        <f>Absolute_Scores!F4461</f>
        <v>@nesagnesss_</v>
      </c>
      <c r="G4461" s="12" t="str">
        <f>Absolute_Scores!G4461</f>
        <v>TikTok</v>
      </c>
      <c r="H4461" s="29">
        <f>Absolute_Scores!I4461</f>
        <v>38</v>
      </c>
      <c r="I4461" s="30">
        <f t="shared" si="100"/>
        <v>47.5</v>
      </c>
    </row>
    <row r="4462" spans="6:9">
      <c r="F4462" s="12" t="str">
        <f>Absolute_Scores!F4462</f>
        <v>@nhsnasya_</v>
      </c>
      <c r="G4462" s="12" t="str">
        <f>Absolute_Scores!G4462</f>
        <v>TikTok</v>
      </c>
      <c r="H4462" s="29">
        <f>Absolute_Scores!I4462</f>
        <v>38</v>
      </c>
      <c r="I4462" s="30">
        <f t="shared" si="100"/>
        <v>47.5</v>
      </c>
    </row>
    <row r="4463" spans="6:9">
      <c r="F4463" s="12" t="str">
        <f>Absolute_Scores!F4463</f>
        <v>@nicetmy</v>
      </c>
      <c r="G4463" s="12" t="str">
        <f>Absolute_Scores!G4463</f>
        <v>TikTok</v>
      </c>
      <c r="H4463" s="29">
        <f>Absolute_Scores!I4463</f>
        <v>38</v>
      </c>
      <c r="I4463" s="30">
        <f t="shared" si="100"/>
        <v>47.5</v>
      </c>
    </row>
    <row r="4464" spans="6:9">
      <c r="F4464" s="12" t="str">
        <f>Absolute_Scores!F4464</f>
        <v>@nidatidurmulu</v>
      </c>
      <c r="G4464" s="12" t="str">
        <f>Absolute_Scores!G4464</f>
        <v>TikTok</v>
      </c>
      <c r="H4464" s="29">
        <f>Absolute_Scores!I4464</f>
        <v>38</v>
      </c>
      <c r="I4464" s="30">
        <f t="shared" si="100"/>
        <v>47.5</v>
      </c>
    </row>
    <row r="4465" spans="6:9">
      <c r="F4465" s="12" t="str">
        <f>Absolute_Scores!F4465</f>
        <v>@nindya.widyasaputri</v>
      </c>
      <c r="G4465" s="12" t="str">
        <f>Absolute_Scores!G4465</f>
        <v>TikTok</v>
      </c>
      <c r="H4465" s="29">
        <f>Absolute_Scores!I4465</f>
        <v>38</v>
      </c>
      <c r="I4465" s="30">
        <f t="shared" si="100"/>
        <v>47.5</v>
      </c>
    </row>
    <row r="4466" spans="6:9">
      <c r="F4466" s="12" t="str">
        <f>Absolute_Scores!F4466</f>
        <v>@nissa.sekar</v>
      </c>
      <c r="G4466" s="12" t="str">
        <f>Absolute_Scores!G4466</f>
        <v>TikTok</v>
      </c>
      <c r="H4466" s="29">
        <f>Absolute_Scores!I4466</f>
        <v>38</v>
      </c>
      <c r="I4466" s="30">
        <f t="shared" si="100"/>
        <v>47.5</v>
      </c>
    </row>
    <row r="4467" spans="6:9">
      <c r="F4467" s="12" t="str">
        <f>Absolute_Scores!F4467</f>
        <v>@nisskha</v>
      </c>
      <c r="G4467" s="12" t="str">
        <f>Absolute_Scores!G4467</f>
        <v>Instagram</v>
      </c>
      <c r="H4467" s="29">
        <f>Absolute_Scores!I4467</f>
        <v>38</v>
      </c>
      <c r="I4467" s="30">
        <f t="shared" si="100"/>
        <v>47.5</v>
      </c>
    </row>
    <row r="4468" spans="6:9">
      <c r="F4468" s="12" t="str">
        <f>Absolute_Scores!F4468</f>
        <v>@nmarecar</v>
      </c>
      <c r="G4468" s="12" t="str">
        <f>Absolute_Scores!G4468</f>
        <v>TikTok</v>
      </c>
      <c r="H4468" s="29">
        <f>Absolute_Scores!I4468</f>
        <v>38</v>
      </c>
      <c r="I4468" s="30">
        <f t="shared" si="100"/>
        <v>47.5</v>
      </c>
    </row>
    <row r="4469" spans="6:9">
      <c r="F4469" s="12" t="str">
        <f>Absolute_Scores!F4469</f>
        <v>@noiamig</v>
      </c>
      <c r="G4469" s="12" t="str">
        <f>Absolute_Scores!G4469</f>
        <v>TikTok</v>
      </c>
      <c r="H4469" s="29">
        <f>Absolute_Scores!I4469</f>
        <v>38</v>
      </c>
      <c r="I4469" s="30">
        <f t="shared" si="100"/>
        <v>47.5</v>
      </c>
    </row>
    <row r="4470" spans="6:9">
      <c r="F4470" s="12" t="str">
        <f>Absolute_Scores!F4470</f>
        <v>@nolahariadi</v>
      </c>
      <c r="G4470" s="12" t="str">
        <f>Absolute_Scores!G4470</f>
        <v>TikTok</v>
      </c>
      <c r="H4470" s="29">
        <f>Absolute_Scores!I4470</f>
        <v>38</v>
      </c>
      <c r="I4470" s="30">
        <f t="shared" si="100"/>
        <v>47.5</v>
      </c>
    </row>
    <row r="4471" spans="6:9">
      <c r="F4471" s="12" t="str">
        <f>Absolute_Scores!F4471</f>
        <v>@nonaatyass</v>
      </c>
      <c r="G4471" s="12" t="str">
        <f>Absolute_Scores!G4471</f>
        <v>TikTok</v>
      </c>
      <c r="H4471" s="29">
        <f>Absolute_Scores!I4471</f>
        <v>38</v>
      </c>
      <c r="I4471" s="30">
        <f t="shared" si="100"/>
        <v>47.5</v>
      </c>
    </row>
    <row r="4472" spans="6:9">
      <c r="F4472" s="12" t="str">
        <f>Absolute_Scores!F4472</f>
        <v>@northstargirls_</v>
      </c>
      <c r="G4472" s="12" t="str">
        <f>Absolute_Scores!G4472</f>
        <v>TikTok</v>
      </c>
      <c r="H4472" s="29">
        <f>Absolute_Scores!I4472</f>
        <v>38</v>
      </c>
      <c r="I4472" s="30">
        <f t="shared" si="100"/>
        <v>47.5</v>
      </c>
    </row>
    <row r="4473" spans="6:9">
      <c r="F4473" s="12" t="str">
        <f>Absolute_Scores!F4473</f>
        <v>@nov_kbc</v>
      </c>
      <c r="G4473" s="12" t="str">
        <f>Absolute_Scores!G4473</f>
        <v>TikTok</v>
      </c>
      <c r="H4473" s="29">
        <f>Absolute_Scores!I4473</f>
        <v>38</v>
      </c>
      <c r="I4473" s="30">
        <f t="shared" si="100"/>
        <v>47.5</v>
      </c>
    </row>
    <row r="4474" spans="6:9">
      <c r="F4474" s="12" t="str">
        <f>Absolute_Scores!F4474</f>
        <v>@novalexannn07</v>
      </c>
      <c r="G4474" s="12" t="str">
        <f>Absolute_Scores!G4474</f>
        <v>TikTok</v>
      </c>
      <c r="H4474" s="29">
        <f>Absolute_Scores!I4474</f>
        <v>38</v>
      </c>
      <c r="I4474" s="30">
        <f t="shared" si="100"/>
        <v>47.5</v>
      </c>
    </row>
    <row r="4475" spans="6:9">
      <c r="F4475" s="12" t="str">
        <f>Absolute_Scores!F4475</f>
        <v>@novandadaraa</v>
      </c>
      <c r="G4475" s="12" t="str">
        <f>Absolute_Scores!G4475</f>
        <v>TikTok</v>
      </c>
      <c r="H4475" s="29">
        <f>Absolute_Scores!I4475</f>
        <v>38</v>
      </c>
      <c r="I4475" s="30">
        <f t="shared" si="100"/>
        <v>47.5</v>
      </c>
    </row>
    <row r="4476" spans="6:9">
      <c r="F4476" s="12" t="str">
        <f>Absolute_Scores!F4476</f>
        <v>@nrlaellaa</v>
      </c>
      <c r="G4476" s="12" t="str">
        <f>Absolute_Scores!G4476</f>
        <v>TikTok</v>
      </c>
      <c r="H4476" s="29">
        <f>Absolute_Scores!I4476</f>
        <v>38</v>
      </c>
      <c r="I4476" s="30">
        <f t="shared" si="100"/>
        <v>47.5</v>
      </c>
    </row>
    <row r="4477" spans="6:9">
      <c r="F4477" s="12" t="str">
        <f>Absolute_Scores!F4477</f>
        <v>@nu_qila</v>
      </c>
      <c r="G4477" s="12" t="str">
        <f>Absolute_Scores!G4477</f>
        <v>TikTok</v>
      </c>
      <c r="H4477" s="29">
        <f>Absolute_Scores!I4477</f>
        <v>38</v>
      </c>
      <c r="I4477" s="30">
        <f t="shared" si="100"/>
        <v>47.5</v>
      </c>
    </row>
    <row r="4478" spans="6:9">
      <c r="F4478" s="12" t="str">
        <f>Absolute_Scores!F4478</f>
        <v>@nudshine</v>
      </c>
      <c r="G4478" s="12" t="str">
        <f>Absolute_Scores!G4478</f>
        <v>TikTok</v>
      </c>
      <c r="H4478" s="29">
        <f>Absolute_Scores!I4478</f>
        <v>38</v>
      </c>
      <c r="I4478" s="30">
        <f t="shared" si="100"/>
        <v>47.5</v>
      </c>
    </row>
    <row r="4479" spans="6:9">
      <c r="F4479" s="12" t="str">
        <f>Absolute_Scores!F4479</f>
        <v>@nuraenisappee</v>
      </c>
      <c r="G4479" s="12" t="str">
        <f>Absolute_Scores!G4479</f>
        <v>TikTok</v>
      </c>
      <c r="H4479" s="29">
        <f>Absolute_Scores!I4479</f>
        <v>38</v>
      </c>
      <c r="I4479" s="30">
        <f t="shared" si="100"/>
        <v>47.5</v>
      </c>
    </row>
    <row r="4480" spans="6:9">
      <c r="F4480" s="12" t="str">
        <f>Absolute_Scores!F4480</f>
        <v>@nuralissaaa</v>
      </c>
      <c r="G4480" s="12" t="str">
        <f>Absolute_Scores!G4480</f>
        <v>TikTok</v>
      </c>
      <c r="H4480" s="29">
        <f>Absolute_Scores!I4480</f>
        <v>38</v>
      </c>
      <c r="I4480" s="30">
        <f t="shared" si="100"/>
        <v>47.5</v>
      </c>
    </row>
    <row r="4481" spans="6:9">
      <c r="F4481" s="12" t="str">
        <f>Absolute_Scores!F4481</f>
        <v>@ocedecee</v>
      </c>
      <c r="G4481" s="12" t="str">
        <f>Absolute_Scores!G4481</f>
        <v>TikTok</v>
      </c>
      <c r="H4481" s="29">
        <f>Absolute_Scores!I4481</f>
        <v>38</v>
      </c>
      <c r="I4481" s="30">
        <f t="shared" si="100"/>
        <v>47.5</v>
      </c>
    </row>
    <row r="4482" spans="6:9">
      <c r="F4482" s="12" t="str">
        <f>Absolute_Scores!F4482</f>
        <v>@octaviani.w</v>
      </c>
      <c r="G4482" s="12" t="str">
        <f>Absolute_Scores!G4482</f>
        <v>TikTok</v>
      </c>
      <c r="H4482" s="29">
        <f>Absolute_Scores!I4482</f>
        <v>38</v>
      </c>
      <c r="I4482" s="30">
        <f t="shared" si="100"/>
        <v>47.5</v>
      </c>
    </row>
    <row r="4483" spans="6:9">
      <c r="F4483" s="12" t="str">
        <f>Absolute_Scores!F4483</f>
        <v>@odeliachristina</v>
      </c>
      <c r="G4483" s="12" t="str">
        <f>Absolute_Scores!G4483</f>
        <v>TikTok</v>
      </c>
      <c r="H4483" s="29">
        <f>Absolute_Scores!I4483</f>
        <v>38</v>
      </c>
      <c r="I4483" s="30">
        <f t="shared" si="100"/>
        <v>47.5</v>
      </c>
    </row>
    <row r="4484" spans="6:9">
      <c r="F4484" s="12" t="str">
        <f>Absolute_Scores!F4484</f>
        <v>@odxlxx</v>
      </c>
      <c r="G4484" s="12" t="str">
        <f>Absolute_Scores!G4484</f>
        <v>TikTok</v>
      </c>
      <c r="H4484" s="29">
        <f>Absolute_Scores!I4484</f>
        <v>38</v>
      </c>
      <c r="I4484" s="30">
        <f t="shared" si="100"/>
        <v>47.5</v>
      </c>
    </row>
    <row r="4485" spans="6:9">
      <c r="F4485" s="12" t="str">
        <f>Absolute_Scores!F4485</f>
        <v>@oikavva2</v>
      </c>
      <c r="G4485" s="12" t="str">
        <f>Absolute_Scores!G4485</f>
        <v>TikTok</v>
      </c>
      <c r="H4485" s="29">
        <f>Absolute_Scores!I4485</f>
        <v>38</v>
      </c>
      <c r="I4485" s="30">
        <f t="shared" si="100"/>
        <v>47.5</v>
      </c>
    </row>
    <row r="4486" spans="6:9">
      <c r="F4486" s="12" t="str">
        <f>Absolute_Scores!F4486</f>
        <v>@oliviasompie</v>
      </c>
      <c r="G4486" s="12" t="str">
        <f>Absolute_Scores!G4486</f>
        <v>TikTok</v>
      </c>
      <c r="H4486" s="29">
        <f>Absolute_Scores!I4486</f>
        <v>38</v>
      </c>
      <c r="I4486" s="30">
        <f t="shared" ref="I4486:I4549" si="101">ROUND(H4486/$I$4*100,2)</f>
        <v>47.5</v>
      </c>
    </row>
    <row r="4487" spans="6:9">
      <c r="F4487" s="12" t="str">
        <f>Absolute_Scores!F4487</f>
        <v>@oliviatanned</v>
      </c>
      <c r="G4487" s="12" t="str">
        <f>Absolute_Scores!G4487</f>
        <v>Instagram</v>
      </c>
      <c r="H4487" s="29">
        <f>Absolute_Scores!I4487</f>
        <v>38</v>
      </c>
      <c r="I4487" s="30">
        <f t="shared" si="101"/>
        <v>47.5</v>
      </c>
    </row>
    <row r="4488" spans="6:9">
      <c r="F4488" s="12" t="str">
        <f>Absolute_Scores!F4488</f>
        <v>@onestyanes</v>
      </c>
      <c r="G4488" s="12" t="str">
        <f>Absolute_Scores!G4488</f>
        <v>Instagram</v>
      </c>
      <c r="H4488" s="29">
        <f>Absolute_Scores!I4488</f>
        <v>38</v>
      </c>
      <c r="I4488" s="30">
        <f t="shared" si="101"/>
        <v>47.5</v>
      </c>
    </row>
    <row r="4489" spans="6:9">
      <c r="F4489" s="12" t="str">
        <f>Absolute_Scores!F4489</f>
        <v>@oyicloudy</v>
      </c>
      <c r="G4489" s="12" t="str">
        <f>Absolute_Scores!G4489</f>
        <v>TikTok</v>
      </c>
      <c r="H4489" s="29">
        <f>Absolute_Scores!I4489</f>
        <v>38</v>
      </c>
      <c r="I4489" s="30">
        <f t="shared" si="101"/>
        <v>47.5</v>
      </c>
    </row>
    <row r="4490" spans="6:9">
      <c r="F4490" s="12" t="str">
        <f>Absolute_Scores!F4490</f>
        <v>@paci20_</v>
      </c>
      <c r="G4490" s="12" t="str">
        <f>Absolute_Scores!G4490</f>
        <v>Instagram</v>
      </c>
      <c r="H4490" s="29">
        <f>Absolute_Scores!I4490</f>
        <v>38</v>
      </c>
      <c r="I4490" s="30">
        <f t="shared" si="101"/>
        <v>47.5</v>
      </c>
    </row>
    <row r="4491" spans="6:9">
      <c r="F4491" s="12" t="str">
        <f>Absolute_Scores!F4491</f>
        <v>@pamelawanggg</v>
      </c>
      <c r="G4491" s="12" t="str">
        <f>Absolute_Scores!G4491</f>
        <v>TikTok</v>
      </c>
      <c r="H4491" s="29">
        <f>Absolute_Scores!I4491</f>
        <v>38</v>
      </c>
      <c r="I4491" s="30">
        <f t="shared" si="101"/>
        <v>47.5</v>
      </c>
    </row>
    <row r="4492" spans="6:9">
      <c r="F4492" s="12" t="str">
        <f>Absolute_Scores!F4492</f>
        <v>@pangilaja_nyu</v>
      </c>
      <c r="G4492" s="12" t="str">
        <f>Absolute_Scores!G4492</f>
        <v>TikTok</v>
      </c>
      <c r="H4492" s="29">
        <f>Absolute_Scores!I4492</f>
        <v>38</v>
      </c>
      <c r="I4492" s="30">
        <f t="shared" si="101"/>
        <v>47.5</v>
      </c>
    </row>
    <row r="4493" spans="6:9">
      <c r="F4493" s="12" t="str">
        <f>Absolute_Scores!F4493</f>
        <v>@patricialourence</v>
      </c>
      <c r="G4493" s="12" t="str">
        <f>Absolute_Scores!G4493</f>
        <v>TikTok</v>
      </c>
      <c r="H4493" s="29">
        <f>Absolute_Scores!I4493</f>
        <v>38</v>
      </c>
      <c r="I4493" s="30">
        <f t="shared" si="101"/>
        <v>47.5</v>
      </c>
    </row>
    <row r="4494" spans="6:9">
      <c r="F4494" s="12" t="str">
        <f>Absolute_Scores!F4494</f>
        <v>@peachydf</v>
      </c>
      <c r="G4494" s="12" t="str">
        <f>Absolute_Scores!G4494</f>
        <v>TikTok</v>
      </c>
      <c r="H4494" s="29">
        <f>Absolute_Scores!I4494</f>
        <v>38</v>
      </c>
      <c r="I4494" s="30">
        <f t="shared" si="101"/>
        <v>47.5</v>
      </c>
    </row>
    <row r="4495" spans="6:9">
      <c r="F4495" s="12" t="str">
        <f>Absolute_Scores!F4495</f>
        <v>@penipitriani</v>
      </c>
      <c r="G4495" s="12" t="str">
        <f>Absolute_Scores!G4495</f>
        <v>Instagram</v>
      </c>
      <c r="H4495" s="29">
        <f>Absolute_Scores!I4495</f>
        <v>38</v>
      </c>
      <c r="I4495" s="30">
        <f t="shared" si="101"/>
        <v>47.5</v>
      </c>
    </row>
    <row r="4496" spans="6:9">
      <c r="F4496" s="12" t="str">
        <f>Absolute_Scores!F4496</f>
        <v>@peonyyypeony</v>
      </c>
      <c r="G4496" s="12" t="str">
        <f>Absolute_Scores!G4496</f>
        <v>TikTok</v>
      </c>
      <c r="H4496" s="29">
        <f>Absolute_Scores!I4496</f>
        <v>38</v>
      </c>
      <c r="I4496" s="30">
        <f t="shared" si="101"/>
        <v>47.5</v>
      </c>
    </row>
    <row r="4497" spans="6:9">
      <c r="F4497" s="12" t="str">
        <f>Absolute_Scores!F4497</f>
        <v>@periwinkle_9</v>
      </c>
      <c r="G4497" s="12" t="str">
        <f>Absolute_Scores!G4497</f>
        <v>TikTok</v>
      </c>
      <c r="H4497" s="29">
        <f>Absolute_Scores!I4497</f>
        <v>38</v>
      </c>
      <c r="I4497" s="30">
        <f t="shared" si="101"/>
        <v>47.5</v>
      </c>
    </row>
    <row r="4498" spans="6:9">
      <c r="F4498" s="12" t="str">
        <f>Absolute_Scores!F4498</f>
        <v>@peteputee</v>
      </c>
      <c r="G4498" s="12" t="str">
        <f>Absolute_Scores!G4498</f>
        <v>TikTok</v>
      </c>
      <c r="H4498" s="29">
        <f>Absolute_Scores!I4498</f>
        <v>38</v>
      </c>
      <c r="I4498" s="30">
        <f t="shared" si="101"/>
        <v>47.5</v>
      </c>
    </row>
    <row r="4499" spans="6:9">
      <c r="F4499" s="12" t="str">
        <f>Absolute_Scores!F4499</f>
        <v>@pinkyglass7</v>
      </c>
      <c r="G4499" s="12" t="str">
        <f>Absolute_Scores!G4499</f>
        <v>TikTok</v>
      </c>
      <c r="H4499" s="29">
        <f>Absolute_Scores!I4499</f>
        <v>38</v>
      </c>
      <c r="I4499" s="30">
        <f t="shared" si="101"/>
        <v>47.5</v>
      </c>
    </row>
    <row r="4500" spans="6:9">
      <c r="F4500" s="12" t="str">
        <f>Absolute_Scores!F4500</f>
        <v>@pistaschioo</v>
      </c>
      <c r="G4500" s="12" t="str">
        <f>Absolute_Scores!G4500</f>
        <v>TikTok</v>
      </c>
      <c r="H4500" s="29">
        <f>Absolute_Scores!I4500</f>
        <v>38</v>
      </c>
      <c r="I4500" s="30">
        <f t="shared" si="101"/>
        <v>47.5</v>
      </c>
    </row>
    <row r="4501" spans="6:9">
      <c r="F4501" s="12" t="str">
        <f>Absolute_Scores!F4501</f>
        <v>@pitipitss</v>
      </c>
      <c r="G4501" s="12" t="str">
        <f>Absolute_Scores!G4501</f>
        <v>Instagram</v>
      </c>
      <c r="H4501" s="29">
        <f>Absolute_Scores!I4501</f>
        <v>38</v>
      </c>
      <c r="I4501" s="30">
        <f t="shared" si="101"/>
        <v>47.5</v>
      </c>
    </row>
    <row r="4502" spans="6:9">
      <c r="F4502" s="12" t="str">
        <f>Absolute_Scores!F4502</f>
        <v>@pokziee</v>
      </c>
      <c r="G4502" s="12" t="str">
        <f>Absolute_Scores!G4502</f>
        <v>TikTok</v>
      </c>
      <c r="H4502" s="29">
        <f>Absolute_Scores!I4502</f>
        <v>38</v>
      </c>
      <c r="I4502" s="30">
        <f t="shared" si="101"/>
        <v>47.5</v>
      </c>
    </row>
    <row r="4503" spans="6:9">
      <c r="F4503" s="12" t="str">
        <f>Absolute_Scores!F4503</f>
        <v>@pr3eety</v>
      </c>
      <c r="G4503" s="12" t="str">
        <f>Absolute_Scores!G4503</f>
        <v>TikTok</v>
      </c>
      <c r="H4503" s="29">
        <f>Absolute_Scores!I4503</f>
        <v>38</v>
      </c>
      <c r="I4503" s="30">
        <f t="shared" si="101"/>
        <v>47.5</v>
      </c>
    </row>
    <row r="4504" spans="6:9">
      <c r="F4504" s="12" t="str">
        <f>Absolute_Scores!F4504</f>
        <v>@prcliaavanessa</v>
      </c>
      <c r="G4504" s="12" t="str">
        <f>Absolute_Scores!G4504</f>
        <v>TikTok</v>
      </c>
      <c r="H4504" s="29">
        <f>Absolute_Scores!I4504</f>
        <v>38</v>
      </c>
      <c r="I4504" s="30">
        <f t="shared" si="101"/>
        <v>47.5</v>
      </c>
    </row>
    <row r="4505" spans="6:9">
      <c r="F4505" s="12" t="str">
        <f>Absolute_Scores!F4505</f>
        <v>@precioushifa</v>
      </c>
      <c r="G4505" s="12" t="str">
        <f>Absolute_Scores!G4505</f>
        <v>TikTok</v>
      </c>
      <c r="H4505" s="29">
        <f>Absolute_Scores!I4505</f>
        <v>38</v>
      </c>
      <c r="I4505" s="30">
        <f t="shared" si="101"/>
        <v>47.5</v>
      </c>
    </row>
    <row r="4506" spans="6:9">
      <c r="F4506" s="12" t="str">
        <f>Absolute_Scores!F4506</f>
        <v>@primaomaaa</v>
      </c>
      <c r="G4506" s="12" t="str">
        <f>Absolute_Scores!G4506</f>
        <v>TikTok</v>
      </c>
      <c r="H4506" s="29">
        <f>Absolute_Scores!I4506</f>
        <v>38</v>
      </c>
      <c r="I4506" s="30">
        <f t="shared" si="101"/>
        <v>47.5</v>
      </c>
    </row>
    <row r="4507" spans="6:9">
      <c r="F4507" s="12" t="str">
        <f>Absolute_Scores!F4507</f>
        <v>@princessrhie</v>
      </c>
      <c r="G4507" s="12" t="str">
        <f>Absolute_Scores!G4507</f>
        <v>Instagram</v>
      </c>
      <c r="H4507" s="29">
        <f>Absolute_Scores!I4507</f>
        <v>38</v>
      </c>
      <c r="I4507" s="30">
        <f t="shared" si="101"/>
        <v>47.5</v>
      </c>
    </row>
    <row r="4508" spans="6:9">
      <c r="F4508" s="12" t="str">
        <f>Absolute_Scores!F4508</f>
        <v>@prnmagatrii</v>
      </c>
      <c r="G4508" s="12" t="str">
        <f>Absolute_Scores!G4508</f>
        <v>TikTok</v>
      </c>
      <c r="H4508" s="29">
        <f>Absolute_Scores!I4508</f>
        <v>38</v>
      </c>
      <c r="I4508" s="30">
        <f t="shared" si="101"/>
        <v>47.5</v>
      </c>
    </row>
    <row r="4509" spans="6:9">
      <c r="F4509" s="12" t="str">
        <f>Absolute_Scores!F4509</f>
        <v>@prodica_saricaa</v>
      </c>
      <c r="G4509" s="12" t="str">
        <f>Absolute_Scores!G4509</f>
        <v>Instagram</v>
      </c>
      <c r="H4509" s="29">
        <f>Absolute_Scores!I4509</f>
        <v>38</v>
      </c>
      <c r="I4509" s="30">
        <f t="shared" si="101"/>
        <v>47.5</v>
      </c>
    </row>
    <row r="4510" spans="6:9">
      <c r="F4510" s="12" t="str">
        <f>Absolute_Scores!F4510</f>
        <v>@psychobaby.xx</v>
      </c>
      <c r="G4510" s="12" t="str">
        <f>Absolute_Scores!G4510</f>
        <v>TikTok</v>
      </c>
      <c r="H4510" s="29">
        <f>Absolute_Scores!I4510</f>
        <v>38</v>
      </c>
      <c r="I4510" s="30">
        <f t="shared" si="101"/>
        <v>47.5</v>
      </c>
    </row>
    <row r="4511" spans="6:9">
      <c r="F4511" s="12" t="str">
        <f>Absolute_Scores!F4511</f>
        <v>@putrek18</v>
      </c>
      <c r="G4511" s="12" t="str">
        <f>Absolute_Scores!G4511</f>
        <v>TikTok</v>
      </c>
      <c r="H4511" s="29">
        <f>Absolute_Scores!I4511</f>
        <v>38</v>
      </c>
      <c r="I4511" s="30">
        <f t="shared" si="101"/>
        <v>47.5</v>
      </c>
    </row>
    <row r="4512" spans="6:9">
      <c r="F4512" s="12" t="str">
        <f>Absolute_Scores!F4512</f>
        <v>@putricitra27</v>
      </c>
      <c r="G4512" s="12" t="str">
        <f>Absolute_Scores!G4512</f>
        <v>TikTok</v>
      </c>
      <c r="H4512" s="29">
        <f>Absolute_Scores!I4512</f>
        <v>38</v>
      </c>
      <c r="I4512" s="30">
        <f t="shared" si="101"/>
        <v>47.5</v>
      </c>
    </row>
    <row r="4513" spans="6:9">
      <c r="F4513" s="12" t="str">
        <f>Absolute_Scores!F4513</f>
        <v>@putripratiwi.f</v>
      </c>
      <c r="G4513" s="12" t="str">
        <f>Absolute_Scores!G4513</f>
        <v>Instagram</v>
      </c>
      <c r="H4513" s="29">
        <f>Absolute_Scores!I4513</f>
        <v>38</v>
      </c>
      <c r="I4513" s="30">
        <f t="shared" si="101"/>
        <v>47.5</v>
      </c>
    </row>
    <row r="4514" spans="6:9">
      <c r="F4514" s="12" t="str">
        <f>Absolute_Scores!F4514</f>
        <v>@qamaraasr</v>
      </c>
      <c r="G4514" s="12" t="str">
        <f>Absolute_Scores!G4514</f>
        <v>TikTok</v>
      </c>
      <c r="H4514" s="29">
        <f>Absolute_Scores!I4514</f>
        <v>38</v>
      </c>
      <c r="I4514" s="30">
        <f t="shared" si="101"/>
        <v>47.5</v>
      </c>
    </row>
    <row r="4515" spans="6:9">
      <c r="F4515" s="12" t="str">
        <f>Absolute_Scores!F4515</f>
        <v>@qheylazv</v>
      </c>
      <c r="G4515" s="12" t="str">
        <f>Absolute_Scores!G4515</f>
        <v>TikTok</v>
      </c>
      <c r="H4515" s="29">
        <f>Absolute_Scores!I4515</f>
        <v>38</v>
      </c>
      <c r="I4515" s="30">
        <f t="shared" si="101"/>
        <v>47.5</v>
      </c>
    </row>
    <row r="4516" spans="6:9">
      <c r="F4516" s="12" t="str">
        <f>Absolute_Scores!F4516</f>
        <v>@qinomsaurus</v>
      </c>
      <c r="G4516" s="12" t="str">
        <f>Absolute_Scores!G4516</f>
        <v>TikTok</v>
      </c>
      <c r="H4516" s="29">
        <f>Absolute_Scores!I4516</f>
        <v>38</v>
      </c>
      <c r="I4516" s="30">
        <f t="shared" si="101"/>
        <v>47.5</v>
      </c>
    </row>
    <row r="4517" spans="6:9">
      <c r="F4517" s="12" t="str">
        <f>Absolute_Scores!F4517</f>
        <v>@queeeenzaaa</v>
      </c>
      <c r="G4517" s="12" t="str">
        <f>Absolute_Scores!G4517</f>
        <v>TikTok</v>
      </c>
      <c r="H4517" s="29">
        <f>Absolute_Scores!I4517</f>
        <v>38</v>
      </c>
      <c r="I4517" s="30">
        <f t="shared" si="101"/>
        <v>47.5</v>
      </c>
    </row>
    <row r="4518" spans="6:9">
      <c r="F4518" s="12" t="str">
        <f>Absolute_Scores!F4518</f>
        <v>@queenoee1</v>
      </c>
      <c r="G4518" s="12" t="str">
        <f>Absolute_Scores!G4518</f>
        <v>TikTok</v>
      </c>
      <c r="H4518" s="29">
        <f>Absolute_Scores!I4518</f>
        <v>38</v>
      </c>
      <c r="I4518" s="30">
        <f t="shared" si="101"/>
        <v>47.5</v>
      </c>
    </row>
    <row r="4519" spans="6:9">
      <c r="F4519" s="12" t="str">
        <f>Absolute_Scores!F4519</f>
        <v>@queentann_</v>
      </c>
      <c r="G4519" s="12" t="str">
        <f>Absolute_Scores!G4519</f>
        <v>TikTok</v>
      </c>
      <c r="H4519" s="29">
        <f>Absolute_Scores!I4519</f>
        <v>38</v>
      </c>
      <c r="I4519" s="30">
        <f t="shared" si="101"/>
        <v>47.5</v>
      </c>
    </row>
    <row r="4520" spans="6:9">
      <c r="F4520" s="12" t="str">
        <f>Absolute_Scores!F4520</f>
        <v>@queenzyyr</v>
      </c>
      <c r="G4520" s="12" t="str">
        <f>Absolute_Scores!G4520</f>
        <v>TikTok</v>
      </c>
      <c r="H4520" s="29">
        <f>Absolute_Scores!I4520</f>
        <v>38</v>
      </c>
      <c r="I4520" s="30">
        <f t="shared" si="101"/>
        <v>47.5</v>
      </c>
    </row>
    <row r="4521" spans="6:9">
      <c r="F4521" s="12" t="str">
        <f>Absolute_Scores!F4521</f>
        <v>@r22nn4</v>
      </c>
      <c r="G4521" s="12" t="str">
        <f>Absolute_Scores!G4521</f>
        <v>TikTok</v>
      </c>
      <c r="H4521" s="29">
        <f>Absolute_Scores!I4521</f>
        <v>38</v>
      </c>
      <c r="I4521" s="30">
        <f t="shared" si="101"/>
        <v>47.5</v>
      </c>
    </row>
    <row r="4522" spans="6:9">
      <c r="F4522" s="12" t="str">
        <f>Absolute_Scores!F4522</f>
        <v>@raflyalvinn</v>
      </c>
      <c r="G4522" s="12" t="str">
        <f>Absolute_Scores!G4522</f>
        <v>TikTok</v>
      </c>
      <c r="H4522" s="29">
        <f>Absolute_Scores!I4522</f>
        <v>38</v>
      </c>
      <c r="I4522" s="30">
        <f t="shared" si="101"/>
        <v>47.5</v>
      </c>
    </row>
    <row r="4523" spans="6:9">
      <c r="F4523" s="12" t="str">
        <f>Absolute_Scores!F4523</f>
        <v>@rani.yln</v>
      </c>
      <c r="G4523" s="12" t="str">
        <f>Absolute_Scores!G4523</f>
        <v>TikTok</v>
      </c>
      <c r="H4523" s="29">
        <f>Absolute_Scores!I4523</f>
        <v>38</v>
      </c>
      <c r="I4523" s="30">
        <f t="shared" si="101"/>
        <v>47.5</v>
      </c>
    </row>
    <row r="4524" spans="6:9">
      <c r="F4524" s="12" t="str">
        <f>Absolute_Scores!F4524</f>
        <v>@ratucariissa</v>
      </c>
      <c r="G4524" s="12" t="str">
        <f>Absolute_Scores!G4524</f>
        <v>TikTok</v>
      </c>
      <c r="H4524" s="29">
        <f>Absolute_Scores!I4524</f>
        <v>38</v>
      </c>
      <c r="I4524" s="30">
        <f t="shared" si="101"/>
        <v>47.5</v>
      </c>
    </row>
    <row r="4525" spans="6:9">
      <c r="F4525" s="12" t="str">
        <f>Absolute_Scores!F4525</f>
        <v>@ravie.pie</v>
      </c>
      <c r="G4525" s="12" t="str">
        <f>Absolute_Scores!G4525</f>
        <v>TikTok</v>
      </c>
      <c r="H4525" s="29">
        <f>Absolute_Scores!I4525</f>
        <v>38</v>
      </c>
      <c r="I4525" s="30">
        <f t="shared" si="101"/>
        <v>47.5</v>
      </c>
    </row>
    <row r="4526" spans="6:9">
      <c r="F4526" s="12" t="str">
        <f>Absolute_Scores!F4526</f>
        <v>@refaaalhady</v>
      </c>
      <c r="G4526" s="12" t="str">
        <f>Absolute_Scores!G4526</f>
        <v>TikTok</v>
      </c>
      <c r="H4526" s="29">
        <f>Absolute_Scores!I4526</f>
        <v>38</v>
      </c>
      <c r="I4526" s="30">
        <f t="shared" si="101"/>
        <v>47.5</v>
      </c>
    </row>
    <row r="4527" spans="6:9">
      <c r="F4527" s="12" t="str">
        <f>Absolute_Scores!F4527</f>
        <v>@refiameidi</v>
      </c>
      <c r="G4527" s="12" t="str">
        <f>Absolute_Scores!G4527</f>
        <v>TikTok</v>
      </c>
      <c r="H4527" s="29">
        <f>Absolute_Scores!I4527</f>
        <v>38</v>
      </c>
      <c r="I4527" s="30">
        <f t="shared" si="101"/>
        <v>47.5</v>
      </c>
    </row>
    <row r="4528" spans="6:9">
      <c r="F4528" s="12" t="str">
        <f>Absolute_Scores!F4528</f>
        <v>@reginadebii</v>
      </c>
      <c r="G4528" s="12" t="str">
        <f>Absolute_Scores!G4528</f>
        <v>TikTok</v>
      </c>
      <c r="H4528" s="29">
        <f>Absolute_Scores!I4528</f>
        <v>38</v>
      </c>
      <c r="I4528" s="30">
        <f t="shared" si="101"/>
        <v>47.5</v>
      </c>
    </row>
    <row r="4529" spans="6:9">
      <c r="F4529" s="12" t="str">
        <f>Absolute_Scores!F4529</f>
        <v>@reginanugroho</v>
      </c>
      <c r="G4529" s="12" t="str">
        <f>Absolute_Scores!G4529</f>
        <v>TikTok</v>
      </c>
      <c r="H4529" s="29">
        <f>Absolute_Scores!I4529</f>
        <v>38</v>
      </c>
      <c r="I4529" s="30">
        <f t="shared" si="101"/>
        <v>47.5</v>
      </c>
    </row>
    <row r="4530" spans="6:9">
      <c r="F4530" s="12" t="str">
        <f>Absolute_Scores!F4530</f>
        <v>@reginayoshida_</v>
      </c>
      <c r="G4530" s="12" t="str">
        <f>Absolute_Scores!G4530</f>
        <v>TikTok</v>
      </c>
      <c r="H4530" s="29">
        <f>Absolute_Scores!I4530</f>
        <v>38</v>
      </c>
      <c r="I4530" s="30">
        <f t="shared" si="101"/>
        <v>47.5</v>
      </c>
    </row>
    <row r="4531" spans="6:9">
      <c r="F4531" s="12" t="str">
        <f>Absolute_Scores!F4531</f>
        <v>@renagriselda</v>
      </c>
      <c r="G4531" s="12" t="str">
        <f>Absolute_Scores!G4531</f>
        <v>TikTok</v>
      </c>
      <c r="H4531" s="29">
        <f>Absolute_Scores!I4531</f>
        <v>38</v>
      </c>
      <c r="I4531" s="30">
        <f t="shared" si="101"/>
        <v>47.5</v>
      </c>
    </row>
    <row r="4532" spans="6:9">
      <c r="F4532" s="12" t="str">
        <f>Absolute_Scores!F4532</f>
        <v>@renandaand</v>
      </c>
      <c r="G4532" s="12" t="str">
        <f>Absolute_Scores!G4532</f>
        <v>Instagram</v>
      </c>
      <c r="H4532" s="29">
        <f>Absolute_Scores!I4532</f>
        <v>38</v>
      </c>
      <c r="I4532" s="30">
        <f t="shared" si="101"/>
        <v>47.5</v>
      </c>
    </row>
    <row r="4533" spans="6:9">
      <c r="F4533" s="12" t="str">
        <f>Absolute_Scores!F4533</f>
        <v>@renieas</v>
      </c>
      <c r="G4533" s="12" t="str">
        <f>Absolute_Scores!G4533</f>
        <v>TikTok</v>
      </c>
      <c r="H4533" s="29">
        <f>Absolute_Scores!I4533</f>
        <v>38</v>
      </c>
      <c r="I4533" s="30">
        <f t="shared" si="101"/>
        <v>47.5</v>
      </c>
    </row>
    <row r="4534" spans="6:9">
      <c r="F4534" s="12" t="str">
        <f>Absolute_Scores!F4534</f>
        <v>@renisiaaa</v>
      </c>
      <c r="G4534" s="12" t="str">
        <f>Absolute_Scores!G4534</f>
        <v>TikTok</v>
      </c>
      <c r="H4534" s="29">
        <f>Absolute_Scores!I4534</f>
        <v>38</v>
      </c>
      <c r="I4534" s="30">
        <f t="shared" si="101"/>
        <v>47.5</v>
      </c>
    </row>
    <row r="4535" spans="6:9">
      <c r="F4535" s="12" t="str">
        <f>Absolute_Scores!F4535</f>
        <v>@renny_pl</v>
      </c>
      <c r="G4535" s="12" t="str">
        <f>Absolute_Scores!G4535</f>
        <v>Instagram</v>
      </c>
      <c r="H4535" s="29">
        <f>Absolute_Scores!I4535</f>
        <v>38</v>
      </c>
      <c r="I4535" s="30">
        <f t="shared" si="101"/>
        <v>47.5</v>
      </c>
    </row>
    <row r="4536" spans="6:9">
      <c r="F4536" s="12" t="str">
        <f>Absolute_Scores!F4536</f>
        <v>@renny.antonious</v>
      </c>
      <c r="G4536" s="12" t="str">
        <f>Absolute_Scores!G4536</f>
        <v>TikTok</v>
      </c>
      <c r="H4536" s="29">
        <f>Absolute_Scores!I4536</f>
        <v>38</v>
      </c>
      <c r="I4536" s="30">
        <f t="shared" si="101"/>
        <v>47.5</v>
      </c>
    </row>
    <row r="4537" spans="6:9">
      <c r="F4537" s="12" t="str">
        <f>Absolute_Scores!F4537</f>
        <v>@ricapuspitas</v>
      </c>
      <c r="G4537" s="12" t="str">
        <f>Absolute_Scores!G4537</f>
        <v>TikTok</v>
      </c>
      <c r="H4537" s="29">
        <f>Absolute_Scores!I4537</f>
        <v>38</v>
      </c>
      <c r="I4537" s="30">
        <f t="shared" si="101"/>
        <v>47.5</v>
      </c>
    </row>
    <row r="4538" spans="6:9">
      <c r="F4538" s="12" t="str">
        <f>Absolute_Scores!F4538</f>
        <v>@richrachellll</v>
      </c>
      <c r="G4538" s="12" t="str">
        <f>Absolute_Scores!G4538</f>
        <v>TikTok</v>
      </c>
      <c r="H4538" s="29">
        <f>Absolute_Scores!I4538</f>
        <v>38</v>
      </c>
      <c r="I4538" s="30">
        <f t="shared" si="101"/>
        <v>47.5</v>
      </c>
    </row>
    <row r="4539" spans="6:9">
      <c r="F4539" s="12" t="str">
        <f>Absolute_Scores!F4539</f>
        <v>@rihaikha</v>
      </c>
      <c r="G4539" s="12" t="str">
        <f>Absolute_Scores!G4539</f>
        <v>TikTok</v>
      </c>
      <c r="H4539" s="29">
        <f>Absolute_Scores!I4539</f>
        <v>38</v>
      </c>
      <c r="I4539" s="30">
        <f t="shared" si="101"/>
        <v>47.5</v>
      </c>
    </row>
    <row r="4540" spans="6:9">
      <c r="F4540" s="12" t="str">
        <f>Absolute_Scores!F4540</f>
        <v>@riii_nz</v>
      </c>
      <c r="G4540" s="12" t="str">
        <f>Absolute_Scores!G4540</f>
        <v>Instagram</v>
      </c>
      <c r="H4540" s="29">
        <f>Absolute_Scores!I4540</f>
        <v>38</v>
      </c>
      <c r="I4540" s="30">
        <f t="shared" si="101"/>
        <v>47.5</v>
      </c>
    </row>
    <row r="4541" spans="6:9">
      <c r="F4541" s="12" t="str">
        <f>Absolute_Scores!F4541</f>
        <v>@rikhalaila</v>
      </c>
      <c r="G4541" s="12" t="str">
        <f>Absolute_Scores!G4541</f>
        <v>TikTok</v>
      </c>
      <c r="H4541" s="29">
        <f>Absolute_Scores!I4541</f>
        <v>38</v>
      </c>
      <c r="I4541" s="30">
        <f t="shared" si="101"/>
        <v>47.5</v>
      </c>
    </row>
    <row r="4542" spans="6:9">
      <c r="F4542" s="12" t="str">
        <f>Absolute_Scores!F4542</f>
        <v>@riskareres</v>
      </c>
      <c r="G4542" s="12" t="str">
        <f>Absolute_Scores!G4542</f>
        <v>TikTok</v>
      </c>
      <c r="H4542" s="29">
        <f>Absolute_Scores!I4542</f>
        <v>38</v>
      </c>
      <c r="I4542" s="30">
        <f t="shared" si="101"/>
        <v>47.5</v>
      </c>
    </row>
    <row r="4543" spans="6:9">
      <c r="F4543" s="12" t="str">
        <f>Absolute_Scores!F4543</f>
        <v>@risqianao</v>
      </c>
      <c r="G4543" s="12" t="str">
        <f>Absolute_Scores!G4543</f>
        <v>TikTok</v>
      </c>
      <c r="H4543" s="29">
        <f>Absolute_Scores!I4543</f>
        <v>38</v>
      </c>
      <c r="I4543" s="30">
        <f t="shared" si="101"/>
        <v>47.5</v>
      </c>
    </row>
    <row r="4544" spans="6:9">
      <c r="F4544" s="12" t="str">
        <f>Absolute_Scores!F4544</f>
        <v>@rizkibles</v>
      </c>
      <c r="G4544" s="12" t="str">
        <f>Absolute_Scores!G4544</f>
        <v>TikTok</v>
      </c>
      <c r="H4544" s="29">
        <f>Absolute_Scores!I4544</f>
        <v>38</v>
      </c>
      <c r="I4544" s="30">
        <f t="shared" si="101"/>
        <v>47.5</v>
      </c>
    </row>
    <row r="4545" spans="6:9">
      <c r="F4545" s="12" t="str">
        <f>Absolute_Scores!F4545</f>
        <v>@rizky.rakhmasari</v>
      </c>
      <c r="G4545" s="12" t="str">
        <f>Absolute_Scores!G4545</f>
        <v>Instagram</v>
      </c>
      <c r="H4545" s="29">
        <f>Absolute_Scores!I4545</f>
        <v>38</v>
      </c>
      <c r="I4545" s="30">
        <f t="shared" si="101"/>
        <v>47.5</v>
      </c>
    </row>
    <row r="4546" spans="6:9">
      <c r="F4546" s="12" t="str">
        <f>Absolute_Scores!F4546</f>
        <v>@rizzkaaulia_</v>
      </c>
      <c r="G4546" s="12" t="str">
        <f>Absolute_Scores!G4546</f>
        <v>TikTok</v>
      </c>
      <c r="H4546" s="29">
        <f>Absolute_Scores!I4546</f>
        <v>38</v>
      </c>
      <c r="I4546" s="30">
        <f t="shared" si="101"/>
        <v>47.5</v>
      </c>
    </row>
    <row r="4547" spans="6:9">
      <c r="F4547" s="12" t="str">
        <f>Absolute_Scores!F4547</f>
        <v>@rollerblade</v>
      </c>
      <c r="G4547" s="12" t="str">
        <f>Absolute_Scores!G4547</f>
        <v>Instagram</v>
      </c>
      <c r="H4547" s="29">
        <f>Absolute_Scores!I4547</f>
        <v>38</v>
      </c>
      <c r="I4547" s="30">
        <f t="shared" si="101"/>
        <v>47.5</v>
      </c>
    </row>
    <row r="4548" spans="6:9">
      <c r="F4548" s="12" t="str">
        <f>Absolute_Scores!F4548</f>
        <v>@rossyrosee3</v>
      </c>
      <c r="G4548" s="12" t="str">
        <f>Absolute_Scores!G4548</f>
        <v>TikTok</v>
      </c>
      <c r="H4548" s="29">
        <f>Absolute_Scores!I4548</f>
        <v>38</v>
      </c>
      <c r="I4548" s="30">
        <f t="shared" si="101"/>
        <v>47.5</v>
      </c>
    </row>
    <row r="4549" spans="6:9">
      <c r="F4549" s="12" t="str">
        <f>Absolute_Scores!F4549</f>
        <v>@rrfebryl</v>
      </c>
      <c r="G4549" s="12" t="str">
        <f>Absolute_Scores!G4549</f>
        <v>TikTok</v>
      </c>
      <c r="H4549" s="29">
        <f>Absolute_Scores!I4549</f>
        <v>38</v>
      </c>
      <c r="I4549" s="30">
        <f t="shared" si="101"/>
        <v>47.5</v>
      </c>
    </row>
    <row r="4550" spans="6:9">
      <c r="F4550" s="12" t="str">
        <f>Absolute_Scores!F4550</f>
        <v>@rskayuni</v>
      </c>
      <c r="G4550" s="12" t="str">
        <f>Absolute_Scores!G4550</f>
        <v>Instagram</v>
      </c>
      <c r="H4550" s="29">
        <f>Absolute_Scores!I4550</f>
        <v>38</v>
      </c>
      <c r="I4550" s="30">
        <f t="shared" ref="I4550:I4613" si="102">ROUND(H4550/$I$4*100,2)</f>
        <v>47.5</v>
      </c>
    </row>
    <row r="4551" spans="6:9">
      <c r="F4551" s="12" t="str">
        <f>Absolute_Scores!F4551</f>
        <v>@rsnakr</v>
      </c>
      <c r="G4551" s="12" t="str">
        <f>Absolute_Scores!G4551</f>
        <v>TikTok</v>
      </c>
      <c r="H4551" s="29">
        <f>Absolute_Scores!I4551</f>
        <v>38</v>
      </c>
      <c r="I4551" s="30">
        <f t="shared" si="102"/>
        <v>47.5</v>
      </c>
    </row>
    <row r="4552" spans="6:9">
      <c r="F4552" s="12" t="str">
        <f>Absolute_Scores!F4552</f>
        <v>@sabilavirajati</v>
      </c>
      <c r="G4552" s="12" t="str">
        <f>Absolute_Scores!G4552</f>
        <v>TikTok</v>
      </c>
      <c r="H4552" s="29">
        <f>Absolute_Scores!I4552</f>
        <v>38</v>
      </c>
      <c r="I4552" s="30">
        <f t="shared" si="102"/>
        <v>47.5</v>
      </c>
    </row>
    <row r="4553" spans="6:9">
      <c r="F4553" s="12" t="str">
        <f>Absolute_Scores!F4553</f>
        <v>@sabrinaisarah</v>
      </c>
      <c r="G4553" s="12" t="str">
        <f>Absolute_Scores!G4553</f>
        <v>TikTok</v>
      </c>
      <c r="H4553" s="29">
        <f>Absolute_Scores!I4553</f>
        <v>38</v>
      </c>
      <c r="I4553" s="30">
        <f t="shared" si="102"/>
        <v>47.5</v>
      </c>
    </row>
    <row r="4554" spans="6:9">
      <c r="F4554" s="12" t="str">
        <f>Absolute_Scores!F4554</f>
        <v>@safapelangii</v>
      </c>
      <c r="G4554" s="12" t="str">
        <f>Absolute_Scores!G4554</f>
        <v>TikTok</v>
      </c>
      <c r="H4554" s="29">
        <f>Absolute_Scores!I4554</f>
        <v>38</v>
      </c>
      <c r="I4554" s="30">
        <f t="shared" si="102"/>
        <v>47.5</v>
      </c>
    </row>
    <row r="4555" spans="6:9">
      <c r="F4555" s="12" t="str">
        <f>Absolute_Scores!F4555</f>
        <v>@safiramiss</v>
      </c>
      <c r="G4555" s="12" t="str">
        <f>Absolute_Scores!G4555</f>
        <v>TikTok</v>
      </c>
      <c r="H4555" s="29">
        <f>Absolute_Scores!I4555</f>
        <v>38</v>
      </c>
      <c r="I4555" s="30">
        <f t="shared" si="102"/>
        <v>47.5</v>
      </c>
    </row>
    <row r="4556" spans="6:9">
      <c r="F4556" s="12" t="str">
        <f>Absolute_Scores!F4556</f>
        <v>@sahasahaaieuu</v>
      </c>
      <c r="G4556" s="12" t="str">
        <f>Absolute_Scores!G4556</f>
        <v>TikTok</v>
      </c>
      <c r="H4556" s="29">
        <f>Absolute_Scores!I4556</f>
        <v>38</v>
      </c>
      <c r="I4556" s="30">
        <f t="shared" si="102"/>
        <v>47.5</v>
      </c>
    </row>
    <row r="4557" spans="6:9">
      <c r="F4557" s="12" t="str">
        <f>Absolute_Scores!F4557</f>
        <v>@salma.nafissa</v>
      </c>
      <c r="G4557" s="12" t="str">
        <f>Absolute_Scores!G4557</f>
        <v>TikTok</v>
      </c>
      <c r="H4557" s="29">
        <f>Absolute_Scores!I4557</f>
        <v>38</v>
      </c>
      <c r="I4557" s="30">
        <f t="shared" si="102"/>
        <v>47.5</v>
      </c>
    </row>
    <row r="4558" spans="6:9">
      <c r="F4558" s="12" t="str">
        <f>Absolute_Scores!F4558</f>
        <v>@salmaqilla</v>
      </c>
      <c r="G4558" s="12" t="str">
        <f>Absolute_Scores!G4558</f>
        <v>TikTok</v>
      </c>
      <c r="H4558" s="29">
        <f>Absolute_Scores!I4558</f>
        <v>38</v>
      </c>
      <c r="I4558" s="30">
        <f t="shared" si="102"/>
        <v>47.5</v>
      </c>
    </row>
    <row r="4559" spans="6:9">
      <c r="F4559" s="12" t="str">
        <f>Absolute_Scores!F4559</f>
        <v>@salshaam</v>
      </c>
      <c r="G4559" s="12" t="str">
        <f>Absolute_Scores!G4559</f>
        <v>Instagram</v>
      </c>
      <c r="H4559" s="29">
        <f>Absolute_Scores!I4559</f>
        <v>38</v>
      </c>
      <c r="I4559" s="30">
        <f t="shared" si="102"/>
        <v>47.5</v>
      </c>
    </row>
    <row r="4560" spans="6:9">
      <c r="F4560" s="12" t="str">
        <f>Absolute_Scores!F4560</f>
        <v>@sarfahh_</v>
      </c>
      <c r="G4560" s="12" t="str">
        <f>Absolute_Scores!G4560</f>
        <v>TikTok</v>
      </c>
      <c r="H4560" s="29">
        <f>Absolute_Scores!I4560</f>
        <v>38</v>
      </c>
      <c r="I4560" s="30">
        <f t="shared" si="102"/>
        <v>47.5</v>
      </c>
    </row>
    <row r="4561" spans="6:9">
      <c r="F4561" s="12" t="str">
        <f>Absolute_Scores!F4561</f>
        <v>@sarifahhanaa</v>
      </c>
      <c r="G4561" s="12" t="str">
        <f>Absolute_Scores!G4561</f>
        <v>TikTok</v>
      </c>
      <c r="H4561" s="29">
        <f>Absolute_Scores!I4561</f>
        <v>38</v>
      </c>
      <c r="I4561" s="30">
        <f t="shared" si="102"/>
        <v>47.5</v>
      </c>
    </row>
    <row r="4562" spans="6:9">
      <c r="F4562" s="12" t="str">
        <f>Absolute_Scores!F4562</f>
        <v>@sasaihsansii</v>
      </c>
      <c r="G4562" s="12" t="str">
        <f>Absolute_Scores!G4562</f>
        <v>TikTok</v>
      </c>
      <c r="H4562" s="29">
        <f>Absolute_Scores!I4562</f>
        <v>38</v>
      </c>
      <c r="I4562" s="30">
        <f t="shared" si="102"/>
        <v>47.5</v>
      </c>
    </row>
    <row r="4563" spans="6:9">
      <c r="F4563" s="12" t="str">
        <f>Absolute_Scores!F4563</f>
        <v>@sasikapretisa</v>
      </c>
      <c r="G4563" s="12" t="str">
        <f>Absolute_Scores!G4563</f>
        <v>Instagram</v>
      </c>
      <c r="H4563" s="29">
        <f>Absolute_Scores!I4563</f>
        <v>38</v>
      </c>
      <c r="I4563" s="30">
        <f t="shared" si="102"/>
        <v>47.5</v>
      </c>
    </row>
    <row r="4564" spans="6:9">
      <c r="F4564" s="12" t="str">
        <f>Absolute_Scores!F4564</f>
        <v>@sawitri_nopela</v>
      </c>
      <c r="G4564" s="12" t="str">
        <f>Absolute_Scores!G4564</f>
        <v>TikTok</v>
      </c>
      <c r="H4564" s="29">
        <f>Absolute_Scores!I4564</f>
        <v>38</v>
      </c>
      <c r="I4564" s="30">
        <f t="shared" si="102"/>
        <v>47.5</v>
      </c>
    </row>
    <row r="4565" spans="6:9">
      <c r="F4565" s="12" t="str">
        <f>Absolute_Scores!F4565</f>
        <v>@selvisantoso92</v>
      </c>
      <c r="G4565" s="12" t="str">
        <f>Absolute_Scores!G4565</f>
        <v>TikTok</v>
      </c>
      <c r="H4565" s="29">
        <f>Absolute_Scores!I4565</f>
        <v>38</v>
      </c>
      <c r="I4565" s="30">
        <f t="shared" si="102"/>
        <v>47.5</v>
      </c>
    </row>
    <row r="4566" spans="6:9">
      <c r="F4566" s="12" t="str">
        <f>Absolute_Scores!F4566</f>
        <v>@selymutiara__</v>
      </c>
      <c r="G4566" s="12" t="str">
        <f>Absolute_Scores!G4566</f>
        <v>TikTok</v>
      </c>
      <c r="H4566" s="29">
        <f>Absolute_Scores!I4566</f>
        <v>38</v>
      </c>
      <c r="I4566" s="30">
        <f t="shared" si="102"/>
        <v>47.5</v>
      </c>
    </row>
    <row r="4567" spans="6:9">
      <c r="F4567" s="12" t="str">
        <f>Absolute_Scores!F4567</f>
        <v>@sepertiteman</v>
      </c>
      <c r="G4567" s="12" t="str">
        <f>Absolute_Scores!G4567</f>
        <v>TikTok</v>
      </c>
      <c r="H4567" s="29">
        <f>Absolute_Scores!I4567</f>
        <v>38</v>
      </c>
      <c r="I4567" s="30">
        <f t="shared" si="102"/>
        <v>47.5</v>
      </c>
    </row>
    <row r="4568" spans="6:9">
      <c r="F4568" s="12" t="str">
        <f>Absolute_Scores!F4568</f>
        <v>@shafanrq</v>
      </c>
      <c r="G4568" s="12" t="str">
        <f>Absolute_Scores!G4568</f>
        <v>Instagram</v>
      </c>
      <c r="H4568" s="29">
        <f>Absolute_Scores!I4568</f>
        <v>38</v>
      </c>
      <c r="I4568" s="30">
        <f t="shared" si="102"/>
        <v>47.5</v>
      </c>
    </row>
    <row r="4569" spans="6:9">
      <c r="F4569" s="12" t="str">
        <f>Absolute_Scores!F4569</f>
        <v>@shandyzahrass</v>
      </c>
      <c r="G4569" s="12" t="str">
        <f>Absolute_Scores!G4569</f>
        <v>Instagram</v>
      </c>
      <c r="H4569" s="29">
        <f>Absolute_Scores!I4569</f>
        <v>38</v>
      </c>
      <c r="I4569" s="30">
        <f t="shared" si="102"/>
        <v>47.5</v>
      </c>
    </row>
    <row r="4570" spans="6:9">
      <c r="F4570" s="12" t="str">
        <f>Absolute_Scores!F4570</f>
        <v>@shanijkt48</v>
      </c>
      <c r="G4570" s="12" t="str">
        <f>Absolute_Scores!G4570</f>
        <v>TikTok</v>
      </c>
      <c r="H4570" s="29">
        <f>Absolute_Scores!I4570</f>
        <v>38</v>
      </c>
      <c r="I4570" s="30">
        <f t="shared" si="102"/>
        <v>47.5</v>
      </c>
    </row>
    <row r="4571" spans="6:9">
      <c r="F4571" s="12" t="str">
        <f>Absolute_Scores!F4571</f>
        <v>@shannahssn</v>
      </c>
      <c r="G4571" s="12" t="str">
        <f>Absolute_Scores!G4571</f>
        <v>Instagram</v>
      </c>
      <c r="H4571" s="29">
        <f>Absolute_Scores!I4571</f>
        <v>38</v>
      </c>
      <c r="I4571" s="30">
        <f t="shared" si="102"/>
        <v>47.5</v>
      </c>
    </row>
    <row r="4572" spans="6:9">
      <c r="F4572" s="12" t="str">
        <f>Absolute_Scores!F4572</f>
        <v>@sharfeint</v>
      </c>
      <c r="G4572" s="12" t="str">
        <f>Absolute_Scores!G4572</f>
        <v>TikTok</v>
      </c>
      <c r="H4572" s="29">
        <f>Absolute_Scores!I4572</f>
        <v>38</v>
      </c>
      <c r="I4572" s="30">
        <f t="shared" si="102"/>
        <v>47.5</v>
      </c>
    </row>
    <row r="4573" spans="6:9">
      <c r="F4573" s="12" t="str">
        <f>Absolute_Scores!F4573</f>
        <v>@sharonatashaa</v>
      </c>
      <c r="G4573" s="12" t="str">
        <f>Absolute_Scores!G4573</f>
        <v>TikTok</v>
      </c>
      <c r="H4573" s="29">
        <f>Absolute_Scores!I4573</f>
        <v>38</v>
      </c>
      <c r="I4573" s="30">
        <f t="shared" si="102"/>
        <v>47.5</v>
      </c>
    </row>
    <row r="4574" spans="6:9">
      <c r="F4574" s="12" t="str">
        <f>Absolute_Scores!F4574</f>
        <v>@shelaoktav1</v>
      </c>
      <c r="G4574" s="12" t="str">
        <f>Absolute_Scores!G4574</f>
        <v>TikTok</v>
      </c>
      <c r="H4574" s="29">
        <f>Absolute_Scores!I4574</f>
        <v>38</v>
      </c>
      <c r="I4574" s="30">
        <f t="shared" si="102"/>
        <v>47.5</v>
      </c>
    </row>
    <row r="4575" spans="6:9">
      <c r="F4575" s="12" t="str">
        <f>Absolute_Scores!F4575</f>
        <v>@shellaalaztha</v>
      </c>
      <c r="G4575" s="12" t="str">
        <f>Absolute_Scores!G4575</f>
        <v>TikTok</v>
      </c>
      <c r="H4575" s="29">
        <f>Absolute_Scores!I4575</f>
        <v>38</v>
      </c>
      <c r="I4575" s="30">
        <f t="shared" si="102"/>
        <v>47.5</v>
      </c>
    </row>
    <row r="4576" spans="6:9">
      <c r="F4576" s="12" t="str">
        <f>Absolute_Scores!F4576</f>
        <v>@shellacletus</v>
      </c>
      <c r="G4576" s="12" t="str">
        <f>Absolute_Scores!G4576</f>
        <v>TikTok</v>
      </c>
      <c r="H4576" s="29">
        <f>Absolute_Scores!I4576</f>
        <v>38</v>
      </c>
      <c r="I4576" s="30">
        <f t="shared" si="102"/>
        <v>47.5</v>
      </c>
    </row>
    <row r="4577" spans="6:9">
      <c r="F4577" s="12" t="str">
        <f>Absolute_Scores!F4577</f>
        <v>@shelly.chandra</v>
      </c>
      <c r="G4577" s="12" t="str">
        <f>Absolute_Scores!G4577</f>
        <v>TikTok</v>
      </c>
      <c r="H4577" s="29">
        <f>Absolute_Scores!I4577</f>
        <v>38</v>
      </c>
      <c r="I4577" s="30">
        <f t="shared" si="102"/>
        <v>47.5</v>
      </c>
    </row>
    <row r="4578" spans="6:9">
      <c r="F4578" s="12" t="str">
        <f>Absolute_Scores!F4578</f>
        <v>@shellyagathaa</v>
      </c>
      <c r="G4578" s="12" t="str">
        <f>Absolute_Scores!G4578</f>
        <v>TikTok</v>
      </c>
      <c r="H4578" s="29">
        <f>Absolute_Scores!I4578</f>
        <v>38</v>
      </c>
      <c r="I4578" s="30">
        <f t="shared" si="102"/>
        <v>47.5</v>
      </c>
    </row>
    <row r="4579" spans="6:9">
      <c r="F4579" s="12" t="str">
        <f>Absolute_Scores!F4579</f>
        <v>@sherenzx</v>
      </c>
      <c r="G4579" s="12" t="str">
        <f>Absolute_Scores!G4579</f>
        <v>TikTok</v>
      </c>
      <c r="H4579" s="29">
        <f>Absolute_Scores!I4579</f>
        <v>38</v>
      </c>
      <c r="I4579" s="30">
        <f t="shared" si="102"/>
        <v>47.5</v>
      </c>
    </row>
    <row r="4580" spans="6:9">
      <c r="F4580" s="12" t="str">
        <f>Absolute_Scores!F4580</f>
        <v>@sheylanada</v>
      </c>
      <c r="G4580" s="12" t="str">
        <f>Absolute_Scores!G4580</f>
        <v>TikTok</v>
      </c>
      <c r="H4580" s="29">
        <f>Absolute_Scores!I4580</f>
        <v>38</v>
      </c>
      <c r="I4580" s="30">
        <f t="shared" si="102"/>
        <v>47.5</v>
      </c>
    </row>
    <row r="4581" spans="6:9">
      <c r="F4581" s="12" t="str">
        <f>Absolute_Scores!F4581</f>
        <v>@shii.faa_</v>
      </c>
      <c r="G4581" s="12" t="str">
        <f>Absolute_Scores!G4581</f>
        <v>TikTok</v>
      </c>
      <c r="H4581" s="29">
        <f>Absolute_Scores!I4581</f>
        <v>38</v>
      </c>
      <c r="I4581" s="30">
        <f t="shared" si="102"/>
        <v>47.5</v>
      </c>
    </row>
    <row r="4582" spans="6:9">
      <c r="F4582" s="12" t="str">
        <f>Absolute_Scores!F4582</f>
        <v>@shintadez_20</v>
      </c>
      <c r="G4582" s="12" t="str">
        <f>Absolute_Scores!G4582</f>
        <v>TikTok</v>
      </c>
      <c r="H4582" s="29">
        <f>Absolute_Scores!I4582</f>
        <v>38</v>
      </c>
      <c r="I4582" s="30">
        <f t="shared" si="102"/>
        <v>47.5</v>
      </c>
    </row>
    <row r="4583" spans="6:9">
      <c r="F4583" s="12" t="str">
        <f>Absolute_Scores!F4583</f>
        <v>@shiskarabekenz</v>
      </c>
      <c r="G4583" s="12" t="str">
        <f>Absolute_Scores!G4583</f>
        <v>TikTok</v>
      </c>
      <c r="H4583" s="29">
        <f>Absolute_Scores!I4583</f>
        <v>38</v>
      </c>
      <c r="I4583" s="30">
        <f t="shared" si="102"/>
        <v>47.5</v>
      </c>
    </row>
    <row r="4584" spans="6:9">
      <c r="F4584" s="12" t="str">
        <f>Absolute_Scores!F4584</f>
        <v>@shvnyleona</v>
      </c>
      <c r="G4584" s="12" t="str">
        <f>Absolute_Scores!G4584</f>
        <v>TikTok</v>
      </c>
      <c r="H4584" s="29">
        <f>Absolute_Scores!I4584</f>
        <v>38</v>
      </c>
      <c r="I4584" s="30">
        <f t="shared" si="102"/>
        <v>47.5</v>
      </c>
    </row>
    <row r="4585" spans="6:9">
      <c r="F4585" s="12" t="str">
        <f>Absolute_Scores!F4585</f>
        <v>@shyacaa</v>
      </c>
      <c r="G4585" s="12" t="str">
        <f>Absolute_Scores!G4585</f>
        <v>TikTok</v>
      </c>
      <c r="H4585" s="29">
        <f>Absolute_Scores!I4585</f>
        <v>38</v>
      </c>
      <c r="I4585" s="30">
        <f t="shared" si="102"/>
        <v>47.5</v>
      </c>
    </row>
    <row r="4586" spans="6:9">
      <c r="F4586" s="12" t="str">
        <f>Absolute_Scores!F4586</f>
        <v>@sicicisipit</v>
      </c>
      <c r="G4586" s="12" t="str">
        <f>Absolute_Scores!G4586</f>
        <v>TikTok</v>
      </c>
      <c r="H4586" s="29">
        <f>Absolute_Scores!I4586</f>
        <v>38</v>
      </c>
      <c r="I4586" s="30">
        <f t="shared" si="102"/>
        <v>47.5</v>
      </c>
    </row>
    <row r="4587" spans="6:9">
      <c r="F4587" s="12" t="str">
        <f>Absolute_Scores!F4587</f>
        <v>@siiiincerelyaprilll</v>
      </c>
      <c r="G4587" s="12" t="str">
        <f>Absolute_Scores!G4587</f>
        <v>TikTok</v>
      </c>
      <c r="H4587" s="29">
        <f>Absolute_Scores!I4587</f>
        <v>38</v>
      </c>
      <c r="I4587" s="30">
        <f t="shared" si="102"/>
        <v>47.5</v>
      </c>
    </row>
    <row r="4588" spans="6:9">
      <c r="F4588" s="12" t="str">
        <f>Absolute_Scores!F4588</f>
        <v>@silvahidfm</v>
      </c>
      <c r="G4588" s="12" t="str">
        <f>Absolute_Scores!G4588</f>
        <v>TikTok</v>
      </c>
      <c r="H4588" s="29">
        <f>Absolute_Scores!I4588</f>
        <v>38</v>
      </c>
      <c r="I4588" s="30">
        <f t="shared" si="102"/>
        <v>47.5</v>
      </c>
    </row>
    <row r="4589" spans="6:9">
      <c r="F4589" s="12" t="str">
        <f>Absolute_Scores!F4589</f>
        <v>@silvalim_</v>
      </c>
      <c r="G4589" s="12" t="str">
        <f>Absolute_Scores!G4589</f>
        <v>TikTok</v>
      </c>
      <c r="H4589" s="29">
        <f>Absolute_Scores!I4589</f>
        <v>38</v>
      </c>
      <c r="I4589" s="30">
        <f t="shared" si="102"/>
        <v>47.5</v>
      </c>
    </row>
    <row r="4590" spans="6:9">
      <c r="F4590" s="12" t="str">
        <f>Absolute_Scores!F4590</f>
        <v>@silvidnlorenza</v>
      </c>
      <c r="G4590" s="12" t="str">
        <f>Absolute_Scores!G4590</f>
        <v>TikTok</v>
      </c>
      <c r="H4590" s="29">
        <f>Absolute_Scores!I4590</f>
        <v>38</v>
      </c>
      <c r="I4590" s="30">
        <f t="shared" si="102"/>
        <v>47.5</v>
      </c>
    </row>
    <row r="4591" spans="6:9">
      <c r="F4591" s="12" t="str">
        <f>Absolute_Scores!F4591</f>
        <v>@silvinw</v>
      </c>
      <c r="G4591" s="12" t="str">
        <f>Absolute_Scores!G4591</f>
        <v>Instagram</v>
      </c>
      <c r="H4591" s="29">
        <f>Absolute_Scores!I4591</f>
        <v>38</v>
      </c>
      <c r="I4591" s="30">
        <f t="shared" si="102"/>
        <v>47.5</v>
      </c>
    </row>
    <row r="4592" spans="6:9">
      <c r="F4592" s="12" t="str">
        <f>Absolute_Scores!F4592</f>
        <v>@sindiprastika.s</v>
      </c>
      <c r="G4592" s="12" t="str">
        <f>Absolute_Scores!G4592</f>
        <v>TikTok</v>
      </c>
      <c r="H4592" s="29">
        <f>Absolute_Scores!I4592</f>
        <v>38</v>
      </c>
      <c r="I4592" s="30">
        <f t="shared" si="102"/>
        <v>47.5</v>
      </c>
    </row>
    <row r="4593" spans="6:9">
      <c r="F4593" s="12" t="str">
        <f>Absolute_Scores!F4593</f>
        <v>@sitijenab044</v>
      </c>
      <c r="G4593" s="12" t="str">
        <f>Absolute_Scores!G4593</f>
        <v>TikTok</v>
      </c>
      <c r="H4593" s="29">
        <f>Absolute_Scores!I4593</f>
        <v>38</v>
      </c>
      <c r="I4593" s="30">
        <f t="shared" si="102"/>
        <v>47.5</v>
      </c>
    </row>
    <row r="4594" spans="6:9">
      <c r="F4594" s="12" t="str">
        <f>Absolute_Scores!F4594</f>
        <v>@sitisandah</v>
      </c>
      <c r="G4594" s="12" t="str">
        <f>Absolute_Scores!G4594</f>
        <v>TikTok</v>
      </c>
      <c r="H4594" s="29">
        <f>Absolute_Scores!I4594</f>
        <v>38</v>
      </c>
      <c r="I4594" s="30">
        <f t="shared" si="102"/>
        <v>47.5</v>
      </c>
    </row>
    <row r="4595" spans="6:9">
      <c r="F4595" s="12" t="str">
        <f>Absolute_Scores!F4595</f>
        <v>@skincarebyw</v>
      </c>
      <c r="G4595" s="12" t="str">
        <f>Absolute_Scores!G4595</f>
        <v>TikTok</v>
      </c>
      <c r="H4595" s="29">
        <f>Absolute_Scores!I4595</f>
        <v>38</v>
      </c>
      <c r="I4595" s="30">
        <f t="shared" si="102"/>
        <v>47.5</v>
      </c>
    </row>
    <row r="4596" spans="6:9">
      <c r="F4596" s="12" t="str">
        <f>Absolute_Scores!F4596</f>
        <v>@skingasm_id</v>
      </c>
      <c r="G4596" s="12" t="str">
        <f>Absolute_Scores!G4596</f>
        <v>TikTok</v>
      </c>
      <c r="H4596" s="29">
        <f>Absolute_Scores!I4596</f>
        <v>38</v>
      </c>
      <c r="I4596" s="30">
        <f t="shared" si="102"/>
        <v>47.5</v>
      </c>
    </row>
    <row r="4597" spans="6:9">
      <c r="F4597" s="12" t="str">
        <f>Absolute_Scores!F4597</f>
        <v>@snowwhiteezz</v>
      </c>
      <c r="G4597" s="12" t="str">
        <f>Absolute_Scores!G4597</f>
        <v>TikTok</v>
      </c>
      <c r="H4597" s="29">
        <f>Absolute_Scores!I4597</f>
        <v>38</v>
      </c>
      <c r="I4597" s="30">
        <f t="shared" si="102"/>
        <v>47.5</v>
      </c>
    </row>
    <row r="4598" spans="6:9">
      <c r="F4598" s="12" t="str">
        <f>Absolute_Scores!F4598</f>
        <v>@sofieaorcasitas</v>
      </c>
      <c r="G4598" s="12" t="str">
        <f>Absolute_Scores!G4598</f>
        <v>Instagram</v>
      </c>
      <c r="H4598" s="29">
        <f>Absolute_Scores!I4598</f>
        <v>38</v>
      </c>
      <c r="I4598" s="30">
        <f t="shared" si="102"/>
        <v>47.5</v>
      </c>
    </row>
    <row r="4599" spans="6:9">
      <c r="F4599" s="12" t="str">
        <f>Absolute_Scores!F4599</f>
        <v>@softyicecream_</v>
      </c>
      <c r="G4599" s="12" t="str">
        <f>Absolute_Scores!G4599</f>
        <v>TikTok</v>
      </c>
      <c r="H4599" s="29">
        <f>Absolute_Scores!I4599</f>
        <v>38</v>
      </c>
      <c r="I4599" s="30">
        <f t="shared" si="102"/>
        <v>47.5</v>
      </c>
    </row>
    <row r="4600" spans="6:9">
      <c r="F4600" s="12" t="str">
        <f>Absolute_Scores!F4600</f>
        <v>@soufberry</v>
      </c>
      <c r="G4600" s="12" t="str">
        <f>Absolute_Scores!G4600</f>
        <v>TikTok</v>
      </c>
      <c r="H4600" s="29">
        <f>Absolute_Scores!I4600</f>
        <v>38</v>
      </c>
      <c r="I4600" s="30">
        <f t="shared" si="102"/>
        <v>47.5</v>
      </c>
    </row>
    <row r="4601" spans="6:9">
      <c r="F4601" s="12" t="str">
        <f>Absolute_Scores!F4601</f>
        <v>@soviosjustle</v>
      </c>
      <c r="G4601" s="12" t="str">
        <f>Absolute_Scores!G4601</f>
        <v>TikTok</v>
      </c>
      <c r="H4601" s="29">
        <f>Absolute_Scores!I4601</f>
        <v>38</v>
      </c>
      <c r="I4601" s="30">
        <f t="shared" si="102"/>
        <v>47.5</v>
      </c>
    </row>
    <row r="4602" spans="6:9">
      <c r="F4602" s="12" t="str">
        <f>Absolute_Scores!F4602</f>
        <v>@starlssmoon</v>
      </c>
      <c r="G4602" s="12" t="str">
        <f>Absolute_Scores!G4602</f>
        <v>TikTok</v>
      </c>
      <c r="H4602" s="29">
        <f>Absolute_Scores!I4602</f>
        <v>38</v>
      </c>
      <c r="I4602" s="30">
        <f t="shared" si="102"/>
        <v>47.5</v>
      </c>
    </row>
    <row r="4603" spans="6:9">
      <c r="F4603" s="12" t="str">
        <f>Absolute_Scores!F4603</f>
        <v>@stellajoee_</v>
      </c>
      <c r="G4603" s="12" t="str">
        <f>Absolute_Scores!G4603</f>
        <v>TikTok</v>
      </c>
      <c r="H4603" s="29">
        <f>Absolute_Scores!I4603</f>
        <v>38</v>
      </c>
      <c r="I4603" s="30">
        <f t="shared" si="102"/>
        <v>47.5</v>
      </c>
    </row>
    <row r="4604" spans="6:9">
      <c r="F4604" s="12" t="str">
        <f>Absolute_Scores!F4604</f>
        <v>@stellatandajaya</v>
      </c>
      <c r="G4604" s="12" t="str">
        <f>Absolute_Scores!G4604</f>
        <v>TikTok</v>
      </c>
      <c r="H4604" s="29">
        <f>Absolute_Scores!I4604</f>
        <v>38</v>
      </c>
      <c r="I4604" s="30">
        <f t="shared" si="102"/>
        <v>47.5</v>
      </c>
    </row>
    <row r="4605" spans="6:9">
      <c r="F4605" s="12" t="str">
        <f>Absolute_Scores!F4605</f>
        <v>@stftmh__</v>
      </c>
      <c r="G4605" s="12" t="str">
        <f>Absolute_Scores!G4605</f>
        <v>Instagram</v>
      </c>
      <c r="H4605" s="29">
        <f>Absolute_Scores!I4605</f>
        <v>38</v>
      </c>
      <c r="I4605" s="30">
        <f t="shared" si="102"/>
        <v>47.5</v>
      </c>
    </row>
    <row r="4606" spans="6:9">
      <c r="F4606" s="12" t="str">
        <f>Absolute_Scores!F4606</f>
        <v>@suchiaas</v>
      </c>
      <c r="G4606" s="12" t="str">
        <f>Absolute_Scores!G4606</f>
        <v>TikTok</v>
      </c>
      <c r="H4606" s="29">
        <f>Absolute_Scores!I4606</f>
        <v>38</v>
      </c>
      <c r="I4606" s="30">
        <f t="shared" si="102"/>
        <v>47.5</v>
      </c>
    </row>
    <row r="4607" spans="6:9">
      <c r="F4607" s="12" t="str">
        <f>Absolute_Scores!F4607</f>
        <v>@sufarelysia</v>
      </c>
      <c r="G4607" s="12" t="str">
        <f>Absolute_Scores!G4607</f>
        <v>TikTok</v>
      </c>
      <c r="H4607" s="29">
        <f>Absolute_Scores!I4607</f>
        <v>38</v>
      </c>
      <c r="I4607" s="30">
        <f t="shared" si="102"/>
        <v>47.5</v>
      </c>
    </row>
    <row r="4608" spans="6:9">
      <c r="F4608" s="12" t="str">
        <f>Absolute_Scores!F4608</f>
        <v>@sukmaningrum__</v>
      </c>
      <c r="G4608" s="12" t="str">
        <f>Absolute_Scores!G4608</f>
        <v>TikTok</v>
      </c>
      <c r="H4608" s="29">
        <f>Absolute_Scores!I4608</f>
        <v>38</v>
      </c>
      <c r="I4608" s="30">
        <f t="shared" si="102"/>
        <v>47.5</v>
      </c>
    </row>
    <row r="4609" spans="6:9">
      <c r="F4609" s="12" t="str">
        <f>Absolute_Scores!F4609</f>
        <v>@sunflowerszir</v>
      </c>
      <c r="G4609" s="12" t="str">
        <f>Absolute_Scores!G4609</f>
        <v>TikTok</v>
      </c>
      <c r="H4609" s="29">
        <f>Absolute_Scores!I4609</f>
        <v>38</v>
      </c>
      <c r="I4609" s="30">
        <f t="shared" si="102"/>
        <v>47.5</v>
      </c>
    </row>
    <row r="4610" spans="6:9">
      <c r="F4610" s="12" t="str">
        <f>Absolute_Scores!F4610</f>
        <v>@suspitha_</v>
      </c>
      <c r="G4610" s="12" t="str">
        <f>Absolute_Scores!G4610</f>
        <v>Instagram</v>
      </c>
      <c r="H4610" s="29">
        <f>Absolute_Scores!I4610</f>
        <v>38</v>
      </c>
      <c r="I4610" s="30">
        <f t="shared" si="102"/>
        <v>47.5</v>
      </c>
    </row>
    <row r="4611" spans="6:9">
      <c r="F4611" s="12" t="str">
        <f>Absolute_Scores!F4611</f>
        <v>@sweetirtup</v>
      </c>
      <c r="G4611" s="12" t="str">
        <f>Absolute_Scores!G4611</f>
        <v>TikTok</v>
      </c>
      <c r="H4611" s="29">
        <f>Absolute_Scores!I4611</f>
        <v>38</v>
      </c>
      <c r="I4611" s="30">
        <f t="shared" si="102"/>
        <v>47.5</v>
      </c>
    </row>
    <row r="4612" spans="6:9">
      <c r="F4612" s="12" t="str">
        <f>Absolute_Scores!F4612</f>
        <v>@syaast</v>
      </c>
      <c r="G4612" s="12" t="str">
        <f>Absolute_Scores!G4612</f>
        <v>TikTok</v>
      </c>
      <c r="H4612" s="29">
        <f>Absolute_Scores!I4612</f>
        <v>38</v>
      </c>
      <c r="I4612" s="30">
        <f t="shared" si="102"/>
        <v>47.5</v>
      </c>
    </row>
    <row r="4613" spans="6:9">
      <c r="F4613" s="12" t="str">
        <f>Absolute_Scores!F4613</f>
        <v>@syanaz.tifanabila25</v>
      </c>
      <c r="G4613" s="12" t="str">
        <f>Absolute_Scores!G4613</f>
        <v>Instagram</v>
      </c>
      <c r="H4613" s="29">
        <f>Absolute_Scores!I4613</f>
        <v>38</v>
      </c>
      <c r="I4613" s="30">
        <f t="shared" si="102"/>
        <v>47.5</v>
      </c>
    </row>
    <row r="4614" spans="6:9">
      <c r="F4614" s="12" t="str">
        <f>Absolute_Scores!F4614</f>
        <v>@syavicaf_</v>
      </c>
      <c r="G4614" s="12" t="str">
        <f>Absolute_Scores!G4614</f>
        <v>TikTok</v>
      </c>
      <c r="H4614" s="29">
        <f>Absolute_Scores!I4614</f>
        <v>38</v>
      </c>
      <c r="I4614" s="30">
        <f t="shared" ref="I4614:I4677" si="103">ROUND(H4614/$I$4*100,2)</f>
        <v>47.5</v>
      </c>
    </row>
    <row r="4615" spans="6:9">
      <c r="F4615" s="12" t="str">
        <f>Absolute_Scores!F4615</f>
        <v>@syeaja</v>
      </c>
      <c r="G4615" s="12" t="str">
        <f>Absolute_Scores!G4615</f>
        <v>TikTok</v>
      </c>
      <c r="H4615" s="29">
        <f>Absolute_Scores!I4615</f>
        <v>38</v>
      </c>
      <c r="I4615" s="30">
        <f t="shared" si="103"/>
        <v>47.5</v>
      </c>
    </row>
    <row r="4616" spans="6:9">
      <c r="F4616" s="12" t="str">
        <f>Absolute_Scores!F4616</f>
        <v>@syewiw</v>
      </c>
      <c r="G4616" s="12" t="str">
        <f>Absolute_Scores!G4616</f>
        <v>TikTok</v>
      </c>
      <c r="H4616" s="29">
        <f>Absolute_Scores!I4616</f>
        <v>38</v>
      </c>
      <c r="I4616" s="30">
        <f t="shared" si="103"/>
        <v>47.5</v>
      </c>
    </row>
    <row r="4617" spans="6:9">
      <c r="F4617" s="12" t="str">
        <f>Absolute_Scores!F4617</f>
        <v>@syifaazizah_</v>
      </c>
      <c r="G4617" s="12" t="str">
        <f>Absolute_Scores!G4617</f>
        <v>TikTok</v>
      </c>
      <c r="H4617" s="29">
        <f>Absolute_Scores!I4617</f>
        <v>38</v>
      </c>
      <c r="I4617" s="30">
        <f t="shared" si="103"/>
        <v>47.5</v>
      </c>
    </row>
    <row r="4618" spans="6:9">
      <c r="F4618" s="12" t="str">
        <f>Absolute_Scores!F4618</f>
        <v>@t.cheese_</v>
      </c>
      <c r="G4618" s="12" t="str">
        <f>Absolute_Scores!G4618</f>
        <v>TikTok</v>
      </c>
      <c r="H4618" s="29">
        <f>Absolute_Scores!I4618</f>
        <v>38</v>
      </c>
      <c r="I4618" s="30">
        <f t="shared" si="103"/>
        <v>47.5</v>
      </c>
    </row>
    <row r="4619" spans="6:9">
      <c r="F4619" s="12" t="str">
        <f>Absolute_Scores!F4619</f>
        <v>@taa_768</v>
      </c>
      <c r="G4619" s="12" t="str">
        <f>Absolute_Scores!G4619</f>
        <v>TikTok</v>
      </c>
      <c r="H4619" s="29">
        <f>Absolute_Scores!I4619</f>
        <v>38</v>
      </c>
      <c r="I4619" s="30">
        <f t="shared" si="103"/>
        <v>47.5</v>
      </c>
    </row>
    <row r="4620" spans="6:9">
      <c r="F4620" s="12" t="str">
        <f>Absolute_Scores!F4620</f>
        <v>@takanasamisakata</v>
      </c>
      <c r="G4620" s="12" t="str">
        <f>Absolute_Scores!G4620</f>
        <v>TikTok</v>
      </c>
      <c r="H4620" s="29">
        <f>Absolute_Scores!I4620</f>
        <v>38</v>
      </c>
      <c r="I4620" s="30">
        <f t="shared" si="103"/>
        <v>47.5</v>
      </c>
    </row>
    <row r="4621" spans="6:9">
      <c r="F4621" s="12" t="str">
        <f>Absolute_Scores!F4621</f>
        <v>@talithanaf96</v>
      </c>
      <c r="G4621" s="12" t="str">
        <f>Absolute_Scores!G4621</f>
        <v>TikTok</v>
      </c>
      <c r="H4621" s="29">
        <f>Absolute_Scores!I4621</f>
        <v>38</v>
      </c>
      <c r="I4621" s="30">
        <f t="shared" si="103"/>
        <v>47.5</v>
      </c>
    </row>
    <row r="4622" spans="6:9">
      <c r="F4622" s="12" t="str">
        <f>Absolute_Scores!F4622</f>
        <v>@tamariscl</v>
      </c>
      <c r="G4622" s="12" t="str">
        <f>Absolute_Scores!G4622</f>
        <v>Instagram</v>
      </c>
      <c r="H4622" s="29">
        <f>Absolute_Scores!I4622</f>
        <v>38</v>
      </c>
      <c r="I4622" s="30">
        <f t="shared" si="103"/>
        <v>47.5</v>
      </c>
    </row>
    <row r="4623" spans="6:9">
      <c r="F4623" s="12" t="str">
        <f>Absolute_Scores!F4623</f>
        <v>@taniadrwis</v>
      </c>
      <c r="G4623" s="12" t="str">
        <f>Absolute_Scores!G4623</f>
        <v>Instagram</v>
      </c>
      <c r="H4623" s="29">
        <f>Absolute_Scores!I4623</f>
        <v>38</v>
      </c>
      <c r="I4623" s="30">
        <f t="shared" si="103"/>
        <v>47.5</v>
      </c>
    </row>
    <row r="4624" spans="6:9">
      <c r="F4624" s="12" t="str">
        <f>Absolute_Scores!F4624</f>
        <v>@taraanzh</v>
      </c>
      <c r="G4624" s="12" t="str">
        <f>Absolute_Scores!G4624</f>
        <v>Instagram</v>
      </c>
      <c r="H4624" s="29">
        <f>Absolute_Scores!I4624</f>
        <v>38</v>
      </c>
      <c r="I4624" s="30">
        <f t="shared" si="103"/>
        <v>47.5</v>
      </c>
    </row>
    <row r="4625" spans="6:9">
      <c r="F4625" s="12" t="str">
        <f>Absolute_Scores!F4625</f>
        <v>@tatanzrh</v>
      </c>
      <c r="G4625" s="12" t="str">
        <f>Absolute_Scores!G4625</f>
        <v>TikTok</v>
      </c>
      <c r="H4625" s="29">
        <f>Absolute_Scores!I4625</f>
        <v>38</v>
      </c>
      <c r="I4625" s="30">
        <f t="shared" si="103"/>
        <v>47.5</v>
      </c>
    </row>
    <row r="4626" spans="6:9">
      <c r="F4626" s="12" t="str">
        <f>Absolute_Scores!F4626</f>
        <v>@theardrop</v>
      </c>
      <c r="G4626" s="12" t="str">
        <f>Absolute_Scores!G4626</f>
        <v>TikTok</v>
      </c>
      <c r="H4626" s="29">
        <f>Absolute_Scores!I4626</f>
        <v>38</v>
      </c>
      <c r="I4626" s="30">
        <f t="shared" si="103"/>
        <v>47.5</v>
      </c>
    </row>
    <row r="4627" spans="6:9">
      <c r="F4627" s="12" t="str">
        <f>Absolute_Scores!F4627</f>
        <v>@theblackswannn</v>
      </c>
      <c r="G4627" s="12" t="str">
        <f>Absolute_Scores!G4627</f>
        <v>TikTok</v>
      </c>
      <c r="H4627" s="29">
        <f>Absolute_Scores!I4627</f>
        <v>38</v>
      </c>
      <c r="I4627" s="30">
        <f t="shared" si="103"/>
        <v>47.5</v>
      </c>
    </row>
    <row r="4628" spans="6:9">
      <c r="F4628" s="12" t="str">
        <f>Absolute_Scores!F4628</f>
        <v>@thefabulousvin</v>
      </c>
      <c r="G4628" s="12" t="str">
        <f>Absolute_Scores!G4628</f>
        <v>TikTok</v>
      </c>
      <c r="H4628" s="29">
        <f>Absolute_Scores!I4628</f>
        <v>38</v>
      </c>
      <c r="I4628" s="30">
        <f t="shared" si="103"/>
        <v>47.5</v>
      </c>
    </row>
    <row r="4629" spans="6:9">
      <c r="F4629" s="12" t="str">
        <f>Absolute_Scores!F4629</f>
        <v>@thifapuspita</v>
      </c>
      <c r="G4629" s="12" t="str">
        <f>Absolute_Scores!G4629</f>
        <v>TikTok</v>
      </c>
      <c r="H4629" s="29">
        <f>Absolute_Scores!I4629</f>
        <v>38</v>
      </c>
      <c r="I4629" s="30">
        <f t="shared" si="103"/>
        <v>47.5</v>
      </c>
    </row>
    <row r="4630" spans="6:9">
      <c r="F4630" s="12" t="str">
        <f>Absolute_Scores!F4630</f>
        <v>@thisisyuhupo</v>
      </c>
      <c r="G4630" s="12" t="str">
        <f>Absolute_Scores!G4630</f>
        <v>TikTok</v>
      </c>
      <c r="H4630" s="29">
        <f>Absolute_Scores!I4630</f>
        <v>38</v>
      </c>
      <c r="I4630" s="30">
        <f t="shared" si="103"/>
        <v>47.5</v>
      </c>
    </row>
    <row r="4631" spans="6:9">
      <c r="F4631" s="12" t="str">
        <f>Absolute_Scores!F4631</f>
        <v>@thsaurus</v>
      </c>
      <c r="G4631" s="12" t="str">
        <f>Absolute_Scores!G4631</f>
        <v>TikTok</v>
      </c>
      <c r="H4631" s="29">
        <f>Absolute_Scores!I4631</f>
        <v>38</v>
      </c>
      <c r="I4631" s="30">
        <f t="shared" si="103"/>
        <v>47.5</v>
      </c>
    </row>
    <row r="4632" spans="6:9">
      <c r="F4632" s="12" t="str">
        <f>Absolute_Scores!F4632</f>
        <v>@tiaratshh</v>
      </c>
      <c r="G4632" s="12" t="str">
        <f>Absolute_Scores!G4632</f>
        <v>TikTok</v>
      </c>
      <c r="H4632" s="29">
        <f>Absolute_Scores!I4632</f>
        <v>38</v>
      </c>
      <c r="I4632" s="30">
        <f t="shared" si="103"/>
        <v>47.5</v>
      </c>
    </row>
    <row r="4633" spans="6:9">
      <c r="F4633" s="12" t="str">
        <f>Absolute_Scores!F4633</f>
        <v>@tiiraamisuuu</v>
      </c>
      <c r="G4633" s="12" t="str">
        <f>Absolute_Scores!G4633</f>
        <v>TikTok</v>
      </c>
      <c r="H4633" s="29">
        <f>Absolute_Scores!I4633</f>
        <v>38</v>
      </c>
      <c r="I4633" s="30">
        <f t="shared" si="103"/>
        <v>47.5</v>
      </c>
    </row>
    <row r="4634" spans="6:9">
      <c r="F4634" s="12" t="str">
        <f>Absolute_Scores!F4634</f>
        <v>@tiktokshopblue</v>
      </c>
      <c r="G4634" s="12" t="str">
        <f>Absolute_Scores!G4634</f>
        <v>TikTok</v>
      </c>
      <c r="H4634" s="29">
        <f>Absolute_Scores!I4634</f>
        <v>38</v>
      </c>
      <c r="I4634" s="30">
        <f t="shared" si="103"/>
        <v>47.5</v>
      </c>
    </row>
    <row r="4635" spans="6:9">
      <c r="F4635" s="12" t="str">
        <f>Absolute_Scores!F4635</f>
        <v>@tissabianiazzahra</v>
      </c>
      <c r="G4635" s="12" t="str">
        <f>Absolute_Scores!G4635</f>
        <v>TikTok</v>
      </c>
      <c r="H4635" s="29">
        <f>Absolute_Scores!I4635</f>
        <v>38</v>
      </c>
      <c r="I4635" s="30">
        <f t="shared" si="103"/>
        <v>47.5</v>
      </c>
    </row>
    <row r="4636" spans="6:9">
      <c r="F4636" s="12" t="str">
        <f>Absolute_Scores!F4636</f>
        <v>@tresyee</v>
      </c>
      <c r="G4636" s="12" t="str">
        <f>Absolute_Scores!G4636</f>
        <v>TikTok</v>
      </c>
      <c r="H4636" s="29">
        <f>Absolute_Scores!I4636</f>
        <v>38</v>
      </c>
      <c r="I4636" s="30">
        <f t="shared" si="103"/>
        <v>47.5</v>
      </c>
    </row>
    <row r="4637" spans="6:9">
      <c r="F4637" s="12" t="str">
        <f>Absolute_Scores!F4637</f>
        <v>@trustiyanamaya</v>
      </c>
      <c r="G4637" s="12" t="str">
        <f>Absolute_Scores!G4637</f>
        <v>TikTok</v>
      </c>
      <c r="H4637" s="29">
        <f>Absolute_Scores!I4637</f>
        <v>38</v>
      </c>
      <c r="I4637" s="30">
        <f t="shared" si="103"/>
        <v>47.5</v>
      </c>
    </row>
    <row r="4638" spans="6:9">
      <c r="F4638" s="12" t="str">
        <f>Absolute_Scores!F4638</f>
        <v>@tsysal</v>
      </c>
      <c r="G4638" s="12" t="str">
        <f>Absolute_Scores!G4638</f>
        <v>TikTok</v>
      </c>
      <c r="H4638" s="29">
        <f>Absolute_Scores!I4638</f>
        <v>38</v>
      </c>
      <c r="I4638" s="30">
        <f t="shared" si="103"/>
        <v>47.5</v>
      </c>
    </row>
    <row r="4639" spans="6:9">
      <c r="F4639" s="12" t="str">
        <f>Absolute_Scores!F4639</f>
        <v>@tunasko</v>
      </c>
      <c r="G4639" s="12" t="str">
        <f>Absolute_Scores!G4639</f>
        <v>Instagram</v>
      </c>
      <c r="H4639" s="29">
        <f>Absolute_Scores!I4639</f>
        <v>38</v>
      </c>
      <c r="I4639" s="30">
        <f t="shared" si="103"/>
        <v>47.5</v>
      </c>
    </row>
    <row r="4640" spans="6:9">
      <c r="F4640" s="12" t="str">
        <f>Absolute_Scores!F4640</f>
        <v>@tyaltya</v>
      </c>
      <c r="G4640" s="12" t="str">
        <f>Absolute_Scores!G4640</f>
        <v>TikTok</v>
      </c>
      <c r="H4640" s="29">
        <f>Absolute_Scores!I4640</f>
        <v>38</v>
      </c>
      <c r="I4640" s="30">
        <f t="shared" si="103"/>
        <v>47.5</v>
      </c>
    </row>
    <row r="4641" spans="6:9">
      <c r="F4641" s="12" t="str">
        <f>Absolute_Scores!F4641</f>
        <v>@tyasayuswndr</v>
      </c>
      <c r="G4641" s="12" t="str">
        <f>Absolute_Scores!G4641</f>
        <v>Instagram</v>
      </c>
      <c r="H4641" s="29">
        <f>Absolute_Scores!I4641</f>
        <v>38</v>
      </c>
      <c r="I4641" s="30">
        <f t="shared" si="103"/>
        <v>47.5</v>
      </c>
    </row>
    <row r="4642" spans="6:9">
      <c r="F4642" s="12" t="str">
        <f>Absolute_Scores!F4642</f>
        <v>@udahgalibur</v>
      </c>
      <c r="G4642" s="12" t="str">
        <f>Absolute_Scores!G4642</f>
        <v>TikTok</v>
      </c>
      <c r="H4642" s="29">
        <f>Absolute_Scores!I4642</f>
        <v>38</v>
      </c>
      <c r="I4642" s="30">
        <f t="shared" si="103"/>
        <v>47.5</v>
      </c>
    </row>
    <row r="4643" spans="6:9">
      <c r="F4643" s="12" t="str">
        <f>Absolute_Scores!F4643</f>
        <v>@ulfadianita</v>
      </c>
      <c r="G4643" s="12" t="str">
        <f>Absolute_Scores!G4643</f>
        <v>TikTok</v>
      </c>
      <c r="H4643" s="29">
        <f>Absolute_Scores!I4643</f>
        <v>38</v>
      </c>
      <c r="I4643" s="30">
        <f t="shared" si="103"/>
        <v>47.5</v>
      </c>
    </row>
    <row r="4644" spans="6:9">
      <c r="F4644" s="12" t="str">
        <f>Absolute_Scores!F4644</f>
        <v>@undercover.id</v>
      </c>
      <c r="G4644" s="12" t="str">
        <f>Absolute_Scores!G4644</f>
        <v>Instagram</v>
      </c>
      <c r="H4644" s="29">
        <f>Absolute_Scores!I4644</f>
        <v>38</v>
      </c>
      <c r="I4644" s="30">
        <f t="shared" si="103"/>
        <v>47.5</v>
      </c>
    </row>
    <row r="4645" spans="6:9">
      <c r="F4645" s="12" t="str">
        <f>Absolute_Scores!F4645</f>
        <v>@uracnebf</v>
      </c>
      <c r="G4645" s="12" t="str">
        <f>Absolute_Scores!G4645</f>
        <v>TikTok</v>
      </c>
      <c r="H4645" s="29">
        <f>Absolute_Scores!I4645</f>
        <v>38</v>
      </c>
      <c r="I4645" s="30">
        <f t="shared" si="103"/>
        <v>47.5</v>
      </c>
    </row>
    <row r="4646" spans="6:9">
      <c r="F4646" s="12" t="str">
        <f>Absolute_Scores!F4646</f>
        <v>@urskinrescuer</v>
      </c>
      <c r="G4646" s="12" t="str">
        <f>Absolute_Scores!G4646</f>
        <v>TikTok</v>
      </c>
      <c r="H4646" s="29">
        <f>Absolute_Scores!I4646</f>
        <v>38</v>
      </c>
      <c r="I4646" s="30">
        <f t="shared" si="103"/>
        <v>47.5</v>
      </c>
    </row>
    <row r="4647" spans="6:9">
      <c r="F4647" s="12" t="str">
        <f>Absolute_Scores!F4647</f>
        <v>@utezet</v>
      </c>
      <c r="G4647" s="12" t="str">
        <f>Absolute_Scores!G4647</f>
        <v>TikTok</v>
      </c>
      <c r="H4647" s="29">
        <f>Absolute_Scores!I4647</f>
        <v>38</v>
      </c>
      <c r="I4647" s="30">
        <f t="shared" si="103"/>
        <v>47.5</v>
      </c>
    </row>
    <row r="4648" spans="6:9">
      <c r="F4648" s="12" t="str">
        <f>Absolute_Scores!F4648</f>
        <v>@uwioyeng</v>
      </c>
      <c r="G4648" s="12" t="str">
        <f>Absolute_Scores!G4648</f>
        <v>TikTok</v>
      </c>
      <c r="H4648" s="29">
        <f>Absolute_Scores!I4648</f>
        <v>38</v>
      </c>
      <c r="I4648" s="30">
        <f t="shared" si="103"/>
        <v>47.5</v>
      </c>
    </row>
    <row r="4649" spans="6:9">
      <c r="F4649" s="12" t="str">
        <f>Absolute_Scores!F4649</f>
        <v>@v.sevillaaa</v>
      </c>
      <c r="G4649" s="12" t="str">
        <f>Absolute_Scores!G4649</f>
        <v>TikTok</v>
      </c>
      <c r="H4649" s="29">
        <f>Absolute_Scores!I4649</f>
        <v>38</v>
      </c>
      <c r="I4649" s="30">
        <f t="shared" si="103"/>
        <v>47.5</v>
      </c>
    </row>
    <row r="4650" spans="6:9">
      <c r="F4650" s="12" t="str">
        <f>Absolute_Scores!F4650</f>
        <v>@valenciatacco</v>
      </c>
      <c r="G4650" s="12" t="str">
        <f>Absolute_Scores!G4650</f>
        <v>Instagram</v>
      </c>
      <c r="H4650" s="29">
        <f>Absolute_Scores!I4650</f>
        <v>38</v>
      </c>
      <c r="I4650" s="30">
        <f t="shared" si="103"/>
        <v>47.5</v>
      </c>
    </row>
    <row r="4651" spans="6:9">
      <c r="F4651" s="12" t="str">
        <f>Absolute_Scores!F4651</f>
        <v>@vanessaabigail31</v>
      </c>
      <c r="G4651" s="12" t="str">
        <f>Absolute_Scores!G4651</f>
        <v>TikTok</v>
      </c>
      <c r="H4651" s="29">
        <f>Absolute_Scores!I4651</f>
        <v>38</v>
      </c>
      <c r="I4651" s="30">
        <f t="shared" si="103"/>
        <v>47.5</v>
      </c>
    </row>
    <row r="4652" spans="6:9">
      <c r="F4652" s="12" t="str">
        <f>Absolute_Scores!F4652</f>
        <v>@vanessacha95</v>
      </c>
      <c r="G4652" s="12" t="str">
        <f>Absolute_Scores!G4652</f>
        <v>TikTok</v>
      </c>
      <c r="H4652" s="29">
        <f>Absolute_Scores!I4652</f>
        <v>38</v>
      </c>
      <c r="I4652" s="30">
        <f t="shared" si="103"/>
        <v>47.5</v>
      </c>
    </row>
    <row r="4653" spans="6:9">
      <c r="F4653" s="12" t="str">
        <f>Absolute_Scores!F4653</f>
        <v>@vaniaahmad101</v>
      </c>
      <c r="G4653" s="12" t="str">
        <f>Absolute_Scores!G4653</f>
        <v>TikTok</v>
      </c>
      <c r="H4653" s="29">
        <f>Absolute_Scores!I4653</f>
        <v>38</v>
      </c>
      <c r="I4653" s="30">
        <f t="shared" si="103"/>
        <v>47.5</v>
      </c>
    </row>
    <row r="4654" spans="6:9">
      <c r="F4654" s="12" t="str">
        <f>Absolute_Scores!F4654</f>
        <v>@veiloveita</v>
      </c>
      <c r="G4654" s="12" t="str">
        <f>Absolute_Scores!G4654</f>
        <v>Instagram</v>
      </c>
      <c r="H4654" s="29">
        <f>Absolute_Scores!I4654</f>
        <v>38</v>
      </c>
      <c r="I4654" s="30">
        <f t="shared" si="103"/>
        <v>47.5</v>
      </c>
    </row>
    <row r="4655" spans="6:9">
      <c r="F4655" s="12" t="str">
        <f>Absolute_Scores!F4655</f>
        <v>@velaineee</v>
      </c>
      <c r="G4655" s="12" t="str">
        <f>Absolute_Scores!G4655</f>
        <v>TikTok</v>
      </c>
      <c r="H4655" s="29">
        <f>Absolute_Scores!I4655</f>
        <v>38</v>
      </c>
      <c r="I4655" s="30">
        <f t="shared" si="103"/>
        <v>47.5</v>
      </c>
    </row>
    <row r="4656" spans="6:9">
      <c r="F4656" s="12" t="str">
        <f>Absolute_Scores!F4656</f>
        <v>@veldaasuma</v>
      </c>
      <c r="G4656" s="12" t="str">
        <f>Absolute_Scores!G4656</f>
        <v>TikTok</v>
      </c>
      <c r="H4656" s="29">
        <f>Absolute_Scores!I4656</f>
        <v>38</v>
      </c>
      <c r="I4656" s="30">
        <f t="shared" si="103"/>
        <v>47.5</v>
      </c>
    </row>
    <row r="4657" spans="6:9">
      <c r="F4657" s="12" t="str">
        <f>Absolute_Scores!F4657</f>
        <v>@verafirdyana</v>
      </c>
      <c r="G4657" s="12" t="str">
        <f>Absolute_Scores!G4657</f>
        <v>Instagram</v>
      </c>
      <c r="H4657" s="29">
        <f>Absolute_Scores!I4657</f>
        <v>38</v>
      </c>
      <c r="I4657" s="30">
        <f t="shared" si="103"/>
        <v>47.5</v>
      </c>
    </row>
    <row r="4658" spans="6:9">
      <c r="F4658" s="12" t="str">
        <f>Absolute_Scores!F4658</f>
        <v>@veryvinca</v>
      </c>
      <c r="G4658" s="12" t="str">
        <f>Absolute_Scores!G4658</f>
        <v>TikTok</v>
      </c>
      <c r="H4658" s="29">
        <f>Absolute_Scores!I4658</f>
        <v>38</v>
      </c>
      <c r="I4658" s="30">
        <f t="shared" si="103"/>
        <v>47.5</v>
      </c>
    </row>
    <row r="4659" spans="6:9">
      <c r="F4659" s="12" t="str">
        <f>Absolute_Scores!F4659</f>
        <v>@vetegbr</v>
      </c>
      <c r="G4659" s="12" t="str">
        <f>Absolute_Scores!G4659</f>
        <v>TikTok</v>
      </c>
      <c r="H4659" s="29">
        <f>Absolute_Scores!I4659</f>
        <v>38</v>
      </c>
      <c r="I4659" s="30">
        <f t="shared" si="103"/>
        <v>47.5</v>
      </c>
    </row>
    <row r="4660" spans="6:9">
      <c r="F4660" s="12" t="str">
        <f>Absolute_Scores!F4660</f>
        <v>@vidyadikaa</v>
      </c>
      <c r="G4660" s="12" t="str">
        <f>Absolute_Scores!G4660</f>
        <v>TikTok</v>
      </c>
      <c r="H4660" s="29">
        <f>Absolute_Scores!I4660</f>
        <v>38</v>
      </c>
      <c r="I4660" s="30">
        <f t="shared" si="103"/>
        <v>47.5</v>
      </c>
    </row>
    <row r="4661" spans="6:9">
      <c r="F4661" s="12" t="str">
        <f>Absolute_Scores!F4661</f>
        <v>@viekalika</v>
      </c>
      <c r="G4661" s="12" t="str">
        <f>Absolute_Scores!G4661</f>
        <v>TikTok</v>
      </c>
      <c r="H4661" s="29">
        <f>Absolute_Scores!I4661</f>
        <v>38</v>
      </c>
      <c r="I4661" s="30">
        <f t="shared" si="103"/>
        <v>47.5</v>
      </c>
    </row>
    <row r="4662" spans="6:9">
      <c r="F4662" s="12" t="str">
        <f>Absolute_Scores!F4662</f>
        <v>@vika.dwicakra</v>
      </c>
      <c r="G4662" s="12" t="str">
        <f>Absolute_Scores!G4662</f>
        <v>TikTok</v>
      </c>
      <c r="H4662" s="29">
        <f>Absolute_Scores!I4662</f>
        <v>38</v>
      </c>
      <c r="I4662" s="30">
        <f t="shared" si="103"/>
        <v>47.5</v>
      </c>
    </row>
    <row r="4663" spans="6:9">
      <c r="F4663" s="12" t="str">
        <f>Absolute_Scores!F4663</f>
        <v>@vinnilya</v>
      </c>
      <c r="G4663" s="12" t="str">
        <f>Absolute_Scores!G4663</f>
        <v>TikTok</v>
      </c>
      <c r="H4663" s="29">
        <f>Absolute_Scores!I4663</f>
        <v>38</v>
      </c>
      <c r="I4663" s="30">
        <f t="shared" si="103"/>
        <v>47.5</v>
      </c>
    </row>
    <row r="4664" spans="6:9">
      <c r="F4664" s="12" t="str">
        <f>Absolute_Scores!F4664</f>
        <v>@vitamincyuu</v>
      </c>
      <c r="G4664" s="12" t="str">
        <f>Absolute_Scores!G4664</f>
        <v>TikTok</v>
      </c>
      <c r="H4664" s="29">
        <f>Absolute_Scores!I4664</f>
        <v>38</v>
      </c>
      <c r="I4664" s="30">
        <f t="shared" si="103"/>
        <v>47.5</v>
      </c>
    </row>
    <row r="4665" spans="6:9">
      <c r="F4665" s="12" t="str">
        <f>Absolute_Scores!F4665</f>
        <v>@vitridev</v>
      </c>
      <c r="G4665" s="12" t="str">
        <f>Absolute_Scores!G4665</f>
        <v>TikTok</v>
      </c>
      <c r="H4665" s="29">
        <f>Absolute_Scores!I4665</f>
        <v>38</v>
      </c>
      <c r="I4665" s="30">
        <f t="shared" si="103"/>
        <v>47.5</v>
      </c>
    </row>
    <row r="4666" spans="6:9">
      <c r="F4666" s="12" t="str">
        <f>Absolute_Scores!F4666</f>
        <v>@vitrinadhiroh</v>
      </c>
      <c r="G4666" s="12" t="str">
        <f>Absolute_Scores!G4666</f>
        <v>Instagram</v>
      </c>
      <c r="H4666" s="29">
        <f>Absolute_Scores!I4666</f>
        <v>38</v>
      </c>
      <c r="I4666" s="30">
        <f t="shared" si="103"/>
        <v>47.5</v>
      </c>
    </row>
    <row r="4667" spans="6:9">
      <c r="F4667" s="12" t="str">
        <f>Absolute_Scores!F4667</f>
        <v>@vivimayapariskaa</v>
      </c>
      <c r="G4667" s="12" t="str">
        <f>Absolute_Scores!G4667</f>
        <v>Instagram</v>
      </c>
      <c r="H4667" s="29">
        <f>Absolute_Scores!I4667</f>
        <v>38</v>
      </c>
      <c r="I4667" s="30">
        <f t="shared" si="103"/>
        <v>47.5</v>
      </c>
    </row>
    <row r="4668" spans="6:9">
      <c r="F4668" s="12" t="str">
        <f>Absolute_Scores!F4668</f>
        <v>@vlnnnjb</v>
      </c>
      <c r="G4668" s="12" t="str">
        <f>Absolute_Scores!G4668</f>
        <v>TikTok</v>
      </c>
      <c r="H4668" s="29">
        <f>Absolute_Scores!I4668</f>
        <v>38</v>
      </c>
      <c r="I4668" s="30">
        <f t="shared" si="103"/>
        <v>47.5</v>
      </c>
    </row>
    <row r="4669" spans="6:9">
      <c r="F4669" s="12" t="str">
        <f>Absolute_Scores!F4669</f>
        <v>@vntsyaaa</v>
      </c>
      <c r="G4669" s="12" t="str">
        <f>Absolute_Scores!G4669</f>
        <v>TikTok</v>
      </c>
      <c r="H4669" s="29">
        <f>Absolute_Scores!I4669</f>
        <v>38</v>
      </c>
      <c r="I4669" s="30">
        <f t="shared" si="103"/>
        <v>47.5</v>
      </c>
    </row>
    <row r="4670" spans="6:9">
      <c r="F4670" s="12" t="str">
        <f>Absolute_Scores!F4670</f>
        <v>@voilaaah</v>
      </c>
      <c r="G4670" s="12" t="str">
        <f>Absolute_Scores!G4670</f>
        <v>TikTok</v>
      </c>
      <c r="H4670" s="29">
        <f>Absolute_Scores!I4670</f>
        <v>38</v>
      </c>
      <c r="I4670" s="30">
        <f t="shared" si="103"/>
        <v>47.5</v>
      </c>
    </row>
    <row r="4671" spans="6:9">
      <c r="F4671" s="12" t="str">
        <f>Absolute_Scores!F4671</f>
        <v>@vvafarrah</v>
      </c>
      <c r="G4671" s="12" t="str">
        <f>Absolute_Scores!G4671</f>
        <v>TikTok</v>
      </c>
      <c r="H4671" s="29">
        <f>Absolute_Scores!I4671</f>
        <v>38</v>
      </c>
      <c r="I4671" s="30">
        <f t="shared" si="103"/>
        <v>47.5</v>
      </c>
    </row>
    <row r="4672" spans="6:9">
      <c r="F4672" s="12" t="str">
        <f>Absolute_Scores!F4672</f>
        <v>@wearsunblock</v>
      </c>
      <c r="G4672" s="12" t="str">
        <f>Absolute_Scores!G4672</f>
        <v>TikTok</v>
      </c>
      <c r="H4672" s="29">
        <f>Absolute_Scores!I4672</f>
        <v>38</v>
      </c>
      <c r="I4672" s="30">
        <f t="shared" si="103"/>
        <v>47.5</v>
      </c>
    </row>
    <row r="4673" spans="6:9">
      <c r="F4673" s="12" t="str">
        <f>Absolute_Scores!F4673</f>
        <v>@wellisnaa_</v>
      </c>
      <c r="G4673" s="12" t="str">
        <f>Absolute_Scores!G4673</f>
        <v>TikTok</v>
      </c>
      <c r="H4673" s="29">
        <f>Absolute_Scores!I4673</f>
        <v>38</v>
      </c>
      <c r="I4673" s="30">
        <f t="shared" si="103"/>
        <v>47.5</v>
      </c>
    </row>
    <row r="4674" spans="6:9">
      <c r="F4674" s="12" t="str">
        <f>Absolute_Scores!F4674</f>
        <v>@wenny_2929</v>
      </c>
      <c r="G4674" s="12" t="str">
        <f>Absolute_Scores!G4674</f>
        <v>Instagram</v>
      </c>
      <c r="H4674" s="29">
        <f>Absolute_Scores!I4674</f>
        <v>38</v>
      </c>
      <c r="I4674" s="30">
        <f t="shared" si="103"/>
        <v>47.5</v>
      </c>
    </row>
    <row r="4675" spans="6:9">
      <c r="F4675" s="12" t="str">
        <f>Absolute_Scores!F4675</f>
        <v>@whatspo0pin</v>
      </c>
      <c r="G4675" s="12" t="str">
        <f>Absolute_Scores!G4675</f>
        <v>TikTok</v>
      </c>
      <c r="H4675" s="29">
        <f>Absolute_Scores!I4675</f>
        <v>38</v>
      </c>
      <c r="I4675" s="30">
        <f t="shared" si="103"/>
        <v>47.5</v>
      </c>
    </row>
    <row r="4676" spans="6:9">
      <c r="F4676" s="12" t="str">
        <f>Absolute_Scores!F4676</f>
        <v>@whiteflowerains</v>
      </c>
      <c r="G4676" s="12" t="str">
        <f>Absolute_Scores!G4676</f>
        <v>TikTok</v>
      </c>
      <c r="H4676" s="29">
        <f>Absolute_Scores!I4676</f>
        <v>38</v>
      </c>
      <c r="I4676" s="30">
        <f t="shared" si="103"/>
        <v>47.5</v>
      </c>
    </row>
    <row r="4677" spans="6:9">
      <c r="F4677" s="12" t="str">
        <f>Absolute_Scores!F4677</f>
        <v>@whoismontserratgizelle</v>
      </c>
      <c r="G4677" s="12" t="str">
        <f>Absolute_Scores!G4677</f>
        <v>TikTok</v>
      </c>
      <c r="H4677" s="29">
        <f>Absolute_Scores!I4677</f>
        <v>38</v>
      </c>
      <c r="I4677" s="30">
        <f t="shared" si="103"/>
        <v>47.5</v>
      </c>
    </row>
    <row r="4678" spans="6:9">
      <c r="F4678" s="12" t="str">
        <f>Absolute_Scores!F4678</f>
        <v>@widya.wei</v>
      </c>
      <c r="G4678" s="12" t="str">
        <f>Absolute_Scores!G4678</f>
        <v>TikTok</v>
      </c>
      <c r="H4678" s="29">
        <f>Absolute_Scores!I4678</f>
        <v>38</v>
      </c>
      <c r="I4678" s="30">
        <f t="shared" ref="I4678:I4741" si="104">ROUND(H4678/$I$4*100,2)</f>
        <v>47.5</v>
      </c>
    </row>
    <row r="4679" spans="6:9">
      <c r="F4679" s="12" t="str">
        <f>Absolute_Scores!F4679</f>
        <v>@wiiiiinawdynt02</v>
      </c>
      <c r="G4679" s="12" t="str">
        <f>Absolute_Scores!G4679</f>
        <v>TikTok</v>
      </c>
      <c r="H4679" s="29">
        <f>Absolute_Scores!I4679</f>
        <v>38</v>
      </c>
      <c r="I4679" s="30">
        <f t="shared" si="104"/>
        <v>47.5</v>
      </c>
    </row>
    <row r="4680" spans="6:9">
      <c r="F4680" s="12" t="str">
        <f>Absolute_Scores!F4680</f>
        <v>@wilna9297</v>
      </c>
      <c r="G4680" s="12" t="str">
        <f>Absolute_Scores!G4680</f>
        <v>Instagram</v>
      </c>
      <c r="H4680" s="29">
        <f>Absolute_Scores!I4680</f>
        <v>38</v>
      </c>
      <c r="I4680" s="30">
        <f t="shared" si="104"/>
        <v>47.5</v>
      </c>
    </row>
    <row r="4681" spans="6:9">
      <c r="F4681" s="12" t="str">
        <f>Absolute_Scores!F4681</f>
        <v>@winanesbitt</v>
      </c>
      <c r="G4681" s="12" t="str">
        <f>Absolute_Scores!G4681</f>
        <v>Instagram</v>
      </c>
      <c r="H4681" s="29">
        <f>Absolute_Scores!I4681</f>
        <v>38</v>
      </c>
      <c r="I4681" s="30">
        <f t="shared" si="104"/>
        <v>47.5</v>
      </c>
    </row>
    <row r="4682" spans="6:9">
      <c r="F4682" s="12" t="str">
        <f>Absolute_Scores!F4682</f>
        <v>@wivina_fauzya</v>
      </c>
      <c r="G4682" s="12" t="str">
        <f>Absolute_Scores!G4682</f>
        <v>Instagram</v>
      </c>
      <c r="H4682" s="29">
        <f>Absolute_Scores!I4682</f>
        <v>38</v>
      </c>
      <c r="I4682" s="30">
        <f t="shared" si="104"/>
        <v>47.5</v>
      </c>
    </row>
    <row r="4683" spans="6:9">
      <c r="F4683" s="12" t="str">
        <f>Absolute_Scores!F4683</f>
        <v>@wndzzzzz</v>
      </c>
      <c r="G4683" s="12" t="str">
        <f>Absolute_Scores!G4683</f>
        <v>TikTok</v>
      </c>
      <c r="H4683" s="29">
        <f>Absolute_Scores!I4683</f>
        <v>38</v>
      </c>
      <c r="I4683" s="30">
        <f t="shared" si="104"/>
        <v>47.5</v>
      </c>
    </row>
    <row r="4684" spans="6:9">
      <c r="F4684" s="12" t="str">
        <f>Absolute_Scores!F4684</f>
        <v>@woonbabe</v>
      </c>
      <c r="G4684" s="12" t="str">
        <f>Absolute_Scores!G4684</f>
        <v>TikTok</v>
      </c>
      <c r="H4684" s="29">
        <f>Absolute_Scores!I4684</f>
        <v>38</v>
      </c>
      <c r="I4684" s="30">
        <f t="shared" si="104"/>
        <v>47.5</v>
      </c>
    </row>
    <row r="4685" spans="6:9">
      <c r="F4685" s="12" t="str">
        <f>Absolute_Scores!F4685</f>
        <v>@wrgusnari_</v>
      </c>
      <c r="G4685" s="12" t="str">
        <f>Absolute_Scores!G4685</f>
        <v>TikTok</v>
      </c>
      <c r="H4685" s="29">
        <f>Absolute_Scores!I4685</f>
        <v>38</v>
      </c>
      <c r="I4685" s="30">
        <f t="shared" si="104"/>
        <v>47.5</v>
      </c>
    </row>
    <row r="4686" spans="6:9">
      <c r="F4686" s="12" t="str">
        <f>Absolute_Scores!F4686</f>
        <v>@wulan6juli</v>
      </c>
      <c r="G4686" s="12" t="str">
        <f>Absolute_Scores!G4686</f>
        <v>Instagram</v>
      </c>
      <c r="H4686" s="29">
        <f>Absolute_Scores!I4686</f>
        <v>38</v>
      </c>
      <c r="I4686" s="30">
        <f t="shared" si="104"/>
        <v>47.5</v>
      </c>
    </row>
    <row r="4687" spans="6:9">
      <c r="F4687" s="12" t="str">
        <f>Absolute_Scores!F4687</f>
        <v>@wuwu6</v>
      </c>
      <c r="G4687" s="12" t="str">
        <f>Absolute_Scores!G4687</f>
        <v>TikTok</v>
      </c>
      <c r="H4687" s="29">
        <f>Absolute_Scores!I4687</f>
        <v>38</v>
      </c>
      <c r="I4687" s="30">
        <f t="shared" si="104"/>
        <v>47.5</v>
      </c>
    </row>
    <row r="4688" spans="6:9">
      <c r="F4688" s="12" t="str">
        <f>Absolute_Scores!F4688</f>
        <v>@wynneaqila</v>
      </c>
      <c r="G4688" s="12" t="str">
        <f>Absolute_Scores!G4688</f>
        <v>TikTok</v>
      </c>
      <c r="H4688" s="29">
        <f>Absolute_Scores!I4688</f>
        <v>38</v>
      </c>
      <c r="I4688" s="30">
        <f t="shared" si="104"/>
        <v>47.5</v>
      </c>
    </row>
    <row r="4689" spans="6:9">
      <c r="F4689" s="12" t="str">
        <f>Absolute_Scores!F4689</f>
        <v>@xclusive.piy</v>
      </c>
      <c r="G4689" s="12" t="str">
        <f>Absolute_Scores!G4689</f>
        <v>TikTok</v>
      </c>
      <c r="H4689" s="29">
        <f>Absolute_Scores!I4689</f>
        <v>38</v>
      </c>
      <c r="I4689" s="30">
        <f t="shared" si="104"/>
        <v>47.5</v>
      </c>
    </row>
    <row r="4690" spans="6:9">
      <c r="F4690" s="12" t="str">
        <f>Absolute_Scores!F4690</f>
        <v>@yaiyaiaa</v>
      </c>
      <c r="G4690" s="12" t="str">
        <f>Absolute_Scores!G4690</f>
        <v>TikTok</v>
      </c>
      <c r="H4690" s="29">
        <f>Absolute_Scores!I4690</f>
        <v>38</v>
      </c>
      <c r="I4690" s="30">
        <f t="shared" si="104"/>
        <v>47.5</v>
      </c>
    </row>
    <row r="4691" spans="6:9">
      <c r="F4691" s="12" t="str">
        <f>Absolute_Scores!F4691</f>
        <v>@yanikuhhh</v>
      </c>
      <c r="G4691" s="12" t="str">
        <f>Absolute_Scores!G4691</f>
        <v>TikTok</v>
      </c>
      <c r="H4691" s="29">
        <f>Absolute_Scores!I4691</f>
        <v>38</v>
      </c>
      <c r="I4691" s="30">
        <f t="shared" si="104"/>
        <v>47.5</v>
      </c>
    </row>
    <row r="4692" spans="6:9">
      <c r="F4692" s="12" t="str">
        <f>Absolute_Scores!F4692</f>
        <v>@yazfarach</v>
      </c>
      <c r="G4692" s="12" t="str">
        <f>Absolute_Scores!G4692</f>
        <v>TikTok</v>
      </c>
      <c r="H4692" s="29">
        <f>Absolute_Scores!I4692</f>
        <v>38</v>
      </c>
      <c r="I4692" s="30">
        <f t="shared" si="104"/>
        <v>47.5</v>
      </c>
    </row>
    <row r="4693" spans="6:9">
      <c r="F4693" s="12" t="str">
        <f>Absolute_Scores!F4693</f>
        <v>@yemimaassa</v>
      </c>
      <c r="G4693" s="12" t="str">
        <f>Absolute_Scores!G4693</f>
        <v>TikTok</v>
      </c>
      <c r="H4693" s="29">
        <f>Absolute_Scores!I4693</f>
        <v>38</v>
      </c>
      <c r="I4693" s="30">
        <f t="shared" si="104"/>
        <v>47.5</v>
      </c>
    </row>
    <row r="4694" spans="6:9">
      <c r="F4694" s="12" t="str">
        <f>Absolute_Scores!F4694</f>
        <v>@ymlia002</v>
      </c>
      <c r="G4694" s="12" t="str">
        <f>Absolute_Scores!G4694</f>
        <v>TikTok</v>
      </c>
      <c r="H4694" s="29">
        <f>Absolute_Scores!I4694</f>
        <v>38</v>
      </c>
      <c r="I4694" s="30">
        <f t="shared" si="104"/>
        <v>47.5</v>
      </c>
    </row>
    <row r="4695" spans="6:9">
      <c r="F4695" s="12" t="str">
        <f>Absolute_Scores!F4695</f>
        <v>@yolksacc</v>
      </c>
      <c r="G4695" s="12" t="str">
        <f>Absolute_Scores!G4695</f>
        <v>TikTok</v>
      </c>
      <c r="H4695" s="29">
        <f>Absolute_Scores!I4695</f>
        <v>38</v>
      </c>
      <c r="I4695" s="30">
        <f t="shared" si="104"/>
        <v>47.5</v>
      </c>
    </row>
    <row r="4696" spans="6:9">
      <c r="F4696" s="12" t="str">
        <f>Absolute_Scores!F4696</f>
        <v>@yosefineyoe</v>
      </c>
      <c r="G4696" s="12" t="str">
        <f>Absolute_Scores!G4696</f>
        <v>TikTok</v>
      </c>
      <c r="H4696" s="29">
        <f>Absolute_Scores!I4696</f>
        <v>38</v>
      </c>
      <c r="I4696" s="30">
        <f t="shared" si="104"/>
        <v>47.5</v>
      </c>
    </row>
    <row r="4697" spans="6:9">
      <c r="F4697" s="12" t="str">
        <f>Absolute_Scores!F4697</f>
        <v>@yosep.muach</v>
      </c>
      <c r="G4697" s="12" t="str">
        <f>Absolute_Scores!G4697</f>
        <v>TikTok</v>
      </c>
      <c r="H4697" s="29">
        <f>Absolute_Scores!I4697</f>
        <v>38</v>
      </c>
      <c r="I4697" s="30">
        <f t="shared" si="104"/>
        <v>47.5</v>
      </c>
    </row>
    <row r="4698" spans="6:9">
      <c r="F4698" s="12" t="str">
        <f>Absolute_Scores!F4698</f>
        <v>@yoursadbestfriend</v>
      </c>
      <c r="G4698" s="12" t="str">
        <f>Absolute_Scores!G4698</f>
        <v>TikTok</v>
      </c>
      <c r="H4698" s="29">
        <f>Absolute_Scores!I4698</f>
        <v>38</v>
      </c>
      <c r="I4698" s="30">
        <f t="shared" si="104"/>
        <v>47.5</v>
      </c>
    </row>
    <row r="4699" spans="6:9">
      <c r="F4699" s="12" t="str">
        <f>Absolute_Scores!F4699</f>
        <v>@zadnyaa</v>
      </c>
      <c r="G4699" s="12" t="str">
        <f>Absolute_Scores!G4699</f>
        <v>Instagram</v>
      </c>
      <c r="H4699" s="29">
        <f>Absolute_Scores!I4699</f>
        <v>38</v>
      </c>
      <c r="I4699" s="30">
        <f t="shared" si="104"/>
        <v>47.5</v>
      </c>
    </row>
    <row r="4700" spans="6:9">
      <c r="F4700" s="12" t="str">
        <f>Absolute_Scores!F4700</f>
        <v>@zahrah.ateerah</v>
      </c>
      <c r="G4700" s="12" t="str">
        <f>Absolute_Scores!G4700</f>
        <v>TikTok</v>
      </c>
      <c r="H4700" s="29">
        <f>Absolute_Scores!I4700</f>
        <v>38</v>
      </c>
      <c r="I4700" s="30">
        <f t="shared" si="104"/>
        <v>47.5</v>
      </c>
    </row>
    <row r="4701" spans="6:9">
      <c r="F4701" s="12" t="str">
        <f>Absolute_Scores!F4701</f>
        <v>@zahrahauu</v>
      </c>
      <c r="G4701" s="12" t="str">
        <f>Absolute_Scores!G4701</f>
        <v>TikTok</v>
      </c>
      <c r="H4701" s="29">
        <f>Absolute_Scores!I4701</f>
        <v>38</v>
      </c>
      <c r="I4701" s="30">
        <f t="shared" si="104"/>
        <v>47.5</v>
      </c>
    </row>
    <row r="4702" spans="6:9">
      <c r="F4702" s="12" t="str">
        <f>Absolute_Scores!F4702</f>
        <v>@zahrasalsabilaaaaa</v>
      </c>
      <c r="G4702" s="12" t="str">
        <f>Absolute_Scores!G4702</f>
        <v>TikTok</v>
      </c>
      <c r="H4702" s="29">
        <f>Absolute_Scores!I4702</f>
        <v>38</v>
      </c>
      <c r="I4702" s="30">
        <f t="shared" si="104"/>
        <v>47.5</v>
      </c>
    </row>
    <row r="4703" spans="6:9">
      <c r="F4703" s="12" t="str">
        <f>Absolute_Scores!F4703</f>
        <v>@zaramatoshi</v>
      </c>
      <c r="G4703" s="12" t="str">
        <f>Absolute_Scores!G4703</f>
        <v>TikTok</v>
      </c>
      <c r="H4703" s="29">
        <f>Absolute_Scores!I4703</f>
        <v>38</v>
      </c>
      <c r="I4703" s="30">
        <f t="shared" si="104"/>
        <v>47.5</v>
      </c>
    </row>
    <row r="4704" spans="6:9">
      <c r="F4704" s="12" t="str">
        <f>Absolute_Scores!F4704</f>
        <v>@zeejkt48</v>
      </c>
      <c r="G4704" s="12" t="str">
        <f>Absolute_Scores!G4704</f>
        <v>TikTok</v>
      </c>
      <c r="H4704" s="29">
        <f>Absolute_Scores!I4704</f>
        <v>38</v>
      </c>
      <c r="I4704" s="30">
        <f t="shared" si="104"/>
        <v>47.5</v>
      </c>
    </row>
    <row r="4705" spans="6:9">
      <c r="F4705" s="12" t="str">
        <f>Absolute_Scores!F4705</f>
        <v>@zistalutzfayda</v>
      </c>
      <c r="G4705" s="12" t="str">
        <f>Absolute_Scores!G4705</f>
        <v>TikTok</v>
      </c>
      <c r="H4705" s="29">
        <f>Absolute_Scores!I4705</f>
        <v>38</v>
      </c>
      <c r="I4705" s="30">
        <f t="shared" si="104"/>
        <v>47.5</v>
      </c>
    </row>
    <row r="4706" spans="6:9">
      <c r="F4706" s="12" t="str">
        <f>Absolute_Scores!F4706</f>
        <v>@zulfajuman</v>
      </c>
      <c r="G4706" s="12" t="str">
        <f>Absolute_Scores!G4706</f>
        <v>TikTok</v>
      </c>
      <c r="H4706" s="29">
        <f>Absolute_Scores!I4706</f>
        <v>38</v>
      </c>
      <c r="I4706" s="30">
        <f t="shared" si="104"/>
        <v>47.5</v>
      </c>
    </row>
    <row r="4707" spans="6:9">
      <c r="F4707" s="12" t="str">
        <f>Absolute_Scores!F4707</f>
        <v>@zzalishaa</v>
      </c>
      <c r="G4707" s="12" t="str">
        <f>Absolute_Scores!G4707</f>
        <v>TikTok</v>
      </c>
      <c r="H4707" s="29">
        <f>Absolute_Scores!I4707</f>
        <v>38</v>
      </c>
      <c r="I4707" s="30">
        <f t="shared" si="104"/>
        <v>47.5</v>
      </c>
    </row>
    <row r="4708" spans="6:9">
      <c r="F4708" s="12" t="str">
        <f>Absolute_Scores!F4708</f>
        <v>@amerizkaaa</v>
      </c>
      <c r="G4708" s="12" t="str">
        <f>Absolute_Scores!G4708</f>
        <v>TikTok</v>
      </c>
      <c r="H4708" s="29">
        <f>Absolute_Scores!I4708</f>
        <v>37</v>
      </c>
      <c r="I4708" s="30">
        <f t="shared" si="104"/>
        <v>46.25</v>
      </c>
    </row>
    <row r="4709" spans="6:9">
      <c r="F4709" s="12" t="str">
        <f>Absolute_Scores!F4709</f>
        <v>@annasyashaqueenanavisha</v>
      </c>
      <c r="G4709" s="12" t="str">
        <f>Absolute_Scores!G4709</f>
        <v>Instagram</v>
      </c>
      <c r="H4709" s="29">
        <f>Absolute_Scores!I4709</f>
        <v>37</v>
      </c>
      <c r="I4709" s="30">
        <f t="shared" si="104"/>
        <v>46.25</v>
      </c>
    </row>
    <row r="4710" spans="6:9">
      <c r="F4710" s="12" t="str">
        <f>Absolute_Scores!F4710</f>
        <v>@asya.ep</v>
      </c>
      <c r="G4710" s="12" t="str">
        <f>Absolute_Scores!G4710</f>
        <v>Instagram</v>
      </c>
      <c r="H4710" s="29">
        <f>Absolute_Scores!I4710</f>
        <v>37</v>
      </c>
      <c r="I4710" s="30">
        <f t="shared" si="104"/>
        <v>46.25</v>
      </c>
    </row>
    <row r="4711" spans="6:9">
      <c r="F4711" s="12" t="str">
        <f>Absolute_Scores!F4711</f>
        <v>@ayu_agstn24</v>
      </c>
      <c r="G4711" s="12" t="str">
        <f>Absolute_Scores!G4711</f>
        <v>Instagram</v>
      </c>
      <c r="H4711" s="29">
        <f>Absolute_Scores!I4711</f>
        <v>37</v>
      </c>
      <c r="I4711" s="30">
        <f t="shared" si="104"/>
        <v>46.25</v>
      </c>
    </row>
    <row r="4712" spans="6:9">
      <c r="F4712" s="12" t="str">
        <f>Absolute_Scores!F4712</f>
        <v>@ayu_ast</v>
      </c>
      <c r="G4712" s="12" t="str">
        <f>Absolute_Scores!G4712</f>
        <v>Instagram</v>
      </c>
      <c r="H4712" s="29">
        <f>Absolute_Scores!I4712</f>
        <v>37</v>
      </c>
      <c r="I4712" s="30">
        <f t="shared" si="104"/>
        <v>46.25</v>
      </c>
    </row>
    <row r="4713" spans="6:9">
      <c r="F4713" s="12" t="str">
        <f>Absolute_Scores!F4713</f>
        <v>@azizahazwar23</v>
      </c>
      <c r="G4713" s="12" t="str">
        <f>Absolute_Scores!G4713</f>
        <v>Instagram</v>
      </c>
      <c r="H4713" s="29">
        <f>Absolute_Scores!I4713</f>
        <v>37</v>
      </c>
      <c r="I4713" s="30">
        <f t="shared" si="104"/>
        <v>46.25</v>
      </c>
    </row>
    <row r="4714" spans="6:9">
      <c r="F4714" s="12" t="str">
        <f>Absolute_Scores!F4714</f>
        <v>@celinesoegiardjo_</v>
      </c>
      <c r="G4714" s="12" t="str">
        <f>Absolute_Scores!G4714</f>
        <v>Instagram</v>
      </c>
      <c r="H4714" s="29">
        <f>Absolute_Scores!I4714</f>
        <v>37</v>
      </c>
      <c r="I4714" s="30">
        <f t="shared" si="104"/>
        <v>46.25</v>
      </c>
    </row>
    <row r="4715" spans="6:9">
      <c r="F4715" s="12" t="str">
        <f>Absolute_Scores!F4715</f>
        <v>@ciledug24jam</v>
      </c>
      <c r="G4715" s="12" t="str">
        <f>Absolute_Scores!G4715</f>
        <v>Instagram</v>
      </c>
      <c r="H4715" s="29">
        <f>Absolute_Scores!I4715</f>
        <v>37</v>
      </c>
      <c r="I4715" s="30">
        <f t="shared" si="104"/>
        <v>46.25</v>
      </c>
    </row>
    <row r="4716" spans="6:9">
      <c r="F4716" s="12" t="str">
        <f>Absolute_Scores!F4716</f>
        <v>@claudya.dona</v>
      </c>
      <c r="G4716" s="12" t="str">
        <f>Absolute_Scores!G4716</f>
        <v>Instagram</v>
      </c>
      <c r="H4716" s="29">
        <f>Absolute_Scores!I4716</f>
        <v>37</v>
      </c>
      <c r="I4716" s="30">
        <f t="shared" si="104"/>
        <v>46.25</v>
      </c>
    </row>
    <row r="4717" spans="6:9">
      <c r="F4717" s="12" t="str">
        <f>Absolute_Scores!F4717</f>
        <v>@desdesshe</v>
      </c>
      <c r="G4717" s="12" t="str">
        <f>Absolute_Scores!G4717</f>
        <v>Instagram</v>
      </c>
      <c r="H4717" s="29">
        <f>Absolute_Scores!I4717</f>
        <v>37</v>
      </c>
      <c r="I4717" s="30">
        <f t="shared" si="104"/>
        <v>46.25</v>
      </c>
    </row>
    <row r="4718" spans="6:9">
      <c r="F4718" s="12" t="str">
        <f>Absolute_Scores!F4718</f>
        <v>@deviavril</v>
      </c>
      <c r="G4718" s="12" t="str">
        <f>Absolute_Scores!G4718</f>
        <v>Instagram</v>
      </c>
      <c r="H4718" s="29">
        <f>Absolute_Scores!I4718</f>
        <v>37</v>
      </c>
      <c r="I4718" s="30">
        <f t="shared" si="104"/>
        <v>46.25</v>
      </c>
    </row>
    <row r="4719" spans="6:9">
      <c r="F4719" s="12" t="str">
        <f>Absolute_Scores!F4719</f>
        <v>@dhaniutary</v>
      </c>
      <c r="G4719" s="12" t="str">
        <f>Absolute_Scores!G4719</f>
        <v>Instagram</v>
      </c>
      <c r="H4719" s="29">
        <f>Absolute_Scores!I4719</f>
        <v>37</v>
      </c>
      <c r="I4719" s="30">
        <f t="shared" si="104"/>
        <v>46.25</v>
      </c>
    </row>
    <row r="4720" spans="6:9">
      <c r="F4720" s="12" t="str">
        <f>Absolute_Scores!F4720</f>
        <v>@dhiangela88</v>
      </c>
      <c r="G4720" s="12" t="str">
        <f>Absolute_Scores!G4720</f>
        <v>Instagram</v>
      </c>
      <c r="H4720" s="29">
        <f>Absolute_Scores!I4720</f>
        <v>37</v>
      </c>
      <c r="I4720" s="30">
        <f t="shared" si="104"/>
        <v>46.25</v>
      </c>
    </row>
    <row r="4721" spans="6:9">
      <c r="F4721" s="12" t="str">
        <f>Absolute_Scores!F4721</f>
        <v>@ellypurple</v>
      </c>
      <c r="G4721" s="12" t="str">
        <f>Absolute_Scores!G4721</f>
        <v>Instagram</v>
      </c>
      <c r="H4721" s="29">
        <f>Absolute_Scores!I4721</f>
        <v>37</v>
      </c>
      <c r="I4721" s="30">
        <f t="shared" si="104"/>
        <v>46.25</v>
      </c>
    </row>
    <row r="4722" spans="6:9">
      <c r="F4722" s="12" t="str">
        <f>Absolute_Scores!F4722</f>
        <v>@geamaria</v>
      </c>
      <c r="G4722" s="12" t="str">
        <f>Absolute_Scores!G4722</f>
        <v>Instagram</v>
      </c>
      <c r="H4722" s="29">
        <f>Absolute_Scores!I4722</f>
        <v>37</v>
      </c>
      <c r="I4722" s="30">
        <f t="shared" si="104"/>
        <v>46.25</v>
      </c>
    </row>
    <row r="4723" spans="6:9">
      <c r="F4723" s="12" t="str">
        <f>Absolute_Scores!F4723</f>
        <v>@jeffchristianchen</v>
      </c>
      <c r="G4723" s="12" t="str">
        <f>Absolute_Scores!G4723</f>
        <v>Instagram</v>
      </c>
      <c r="H4723" s="29">
        <f>Absolute_Scores!I4723</f>
        <v>37</v>
      </c>
      <c r="I4723" s="30">
        <f t="shared" si="104"/>
        <v>46.25</v>
      </c>
    </row>
    <row r="4724" spans="6:9">
      <c r="F4724" s="12" t="str">
        <f>Absolute_Scores!F4724</f>
        <v>@jennangelina_</v>
      </c>
      <c r="G4724" s="12" t="str">
        <f>Absolute_Scores!G4724</f>
        <v>TikTok</v>
      </c>
      <c r="H4724" s="29">
        <f>Absolute_Scores!I4724</f>
        <v>37</v>
      </c>
      <c r="I4724" s="30">
        <f t="shared" si="104"/>
        <v>46.25</v>
      </c>
    </row>
    <row r="4725" spans="6:9">
      <c r="F4725" s="12" t="str">
        <f>Absolute_Scores!F4725</f>
        <v>@jktinfo</v>
      </c>
      <c r="G4725" s="12" t="str">
        <f>Absolute_Scores!G4725</f>
        <v>Instagram</v>
      </c>
      <c r="H4725" s="29">
        <f>Absolute_Scores!I4725</f>
        <v>37</v>
      </c>
      <c r="I4725" s="30">
        <f t="shared" si="104"/>
        <v>46.25</v>
      </c>
    </row>
    <row r="4726" spans="6:9">
      <c r="F4726" s="12" t="str">
        <f>Absolute_Scores!F4726</f>
        <v>@kinesgamers</v>
      </c>
      <c r="G4726" s="12" t="str">
        <f>Absolute_Scores!G4726</f>
        <v>Instagram</v>
      </c>
      <c r="H4726" s="29">
        <f>Absolute_Scores!I4726</f>
        <v>37</v>
      </c>
      <c r="I4726" s="30">
        <f t="shared" si="104"/>
        <v>46.25</v>
      </c>
    </row>
    <row r="4727" spans="6:9">
      <c r="F4727" s="12" t="str">
        <f>Absolute_Scores!F4727</f>
        <v>@kingkong_me</v>
      </c>
      <c r="G4727" s="12" t="str">
        <f>Absolute_Scores!G4727</f>
        <v>TikTok</v>
      </c>
      <c r="H4727" s="29">
        <f>Absolute_Scores!I4727</f>
        <v>37</v>
      </c>
      <c r="I4727" s="30">
        <f t="shared" si="104"/>
        <v>46.25</v>
      </c>
    </row>
    <row r="4728" spans="6:9">
      <c r="F4728" s="12" t="str">
        <f>Absolute_Scores!F4728</f>
        <v>@leninurjanah</v>
      </c>
      <c r="G4728" s="12" t="str">
        <f>Absolute_Scores!G4728</f>
        <v>Instagram</v>
      </c>
      <c r="H4728" s="29">
        <f>Absolute_Scores!I4728</f>
        <v>37</v>
      </c>
      <c r="I4728" s="30">
        <f t="shared" si="104"/>
        <v>46.25</v>
      </c>
    </row>
    <row r="4729" spans="6:9">
      <c r="F4729" s="12" t="str">
        <f>Absolute_Scores!F4729</f>
        <v>@lisadianaoktavia</v>
      </c>
      <c r="G4729" s="12" t="str">
        <f>Absolute_Scores!G4729</f>
        <v>Instagram</v>
      </c>
      <c r="H4729" s="29">
        <f>Absolute_Scores!I4729</f>
        <v>37</v>
      </c>
      <c r="I4729" s="30">
        <f t="shared" si="104"/>
        <v>46.25</v>
      </c>
    </row>
    <row r="4730" spans="6:9">
      <c r="F4730" s="12" t="str">
        <f>Absolute_Scores!F4730</f>
        <v>@malika.bstr</v>
      </c>
      <c r="G4730" s="12" t="str">
        <f>Absolute_Scores!G4730</f>
        <v>Instagram</v>
      </c>
      <c r="H4730" s="29">
        <f>Absolute_Scores!I4730</f>
        <v>37</v>
      </c>
      <c r="I4730" s="30">
        <f t="shared" si="104"/>
        <v>46.25</v>
      </c>
    </row>
    <row r="4731" spans="6:9">
      <c r="F4731" s="12" t="str">
        <f>Absolute_Scores!F4731</f>
        <v>@nandafitriyaa</v>
      </c>
      <c r="G4731" s="12" t="str">
        <f>Absolute_Scores!G4731</f>
        <v>Instagram</v>
      </c>
      <c r="H4731" s="29">
        <f>Absolute_Scores!I4731</f>
        <v>37</v>
      </c>
      <c r="I4731" s="30">
        <f t="shared" si="104"/>
        <v>46.25</v>
      </c>
    </row>
    <row r="4732" spans="6:9">
      <c r="F4732" s="12" t="str">
        <f>Absolute_Scores!F4732</f>
        <v>@naura_nca</v>
      </c>
      <c r="G4732" s="12" t="str">
        <f>Absolute_Scores!G4732</f>
        <v>Instagram</v>
      </c>
      <c r="H4732" s="29">
        <f>Absolute_Scores!I4732</f>
        <v>37</v>
      </c>
      <c r="I4732" s="30">
        <f t="shared" si="104"/>
        <v>46.25</v>
      </c>
    </row>
    <row r="4733" spans="6:9">
      <c r="F4733" s="12" t="str">
        <f>Absolute_Scores!F4733</f>
        <v>@nonik_fay</v>
      </c>
      <c r="G4733" s="12" t="str">
        <f>Absolute_Scores!G4733</f>
        <v>Instagram</v>
      </c>
      <c r="H4733" s="29">
        <f>Absolute_Scores!I4733</f>
        <v>37</v>
      </c>
      <c r="I4733" s="30">
        <f t="shared" si="104"/>
        <v>46.25</v>
      </c>
    </row>
    <row r="4734" spans="6:9">
      <c r="F4734" s="12" t="str">
        <f>Absolute_Scores!F4734</f>
        <v>@norawuu</v>
      </c>
      <c r="G4734" s="12" t="str">
        <f>Absolute_Scores!G4734</f>
        <v>Instagram</v>
      </c>
      <c r="H4734" s="29">
        <f>Absolute_Scores!I4734</f>
        <v>37</v>
      </c>
      <c r="I4734" s="30">
        <f t="shared" si="104"/>
        <v>46.25</v>
      </c>
    </row>
    <row r="4735" spans="6:9">
      <c r="F4735" s="12" t="str">
        <f>Absolute_Scores!F4735</f>
        <v>@nurlaila90934</v>
      </c>
      <c r="G4735" s="12" t="str">
        <f>Absolute_Scores!G4735</f>
        <v>Instagram</v>
      </c>
      <c r="H4735" s="29">
        <f>Absolute_Scores!I4735</f>
        <v>37</v>
      </c>
      <c r="I4735" s="30">
        <f t="shared" si="104"/>
        <v>46.25</v>
      </c>
    </row>
    <row r="4736" spans="6:9">
      <c r="F4736" s="12" t="str">
        <f>Absolute_Scores!F4736</f>
        <v>@ocilia_saragi</v>
      </c>
      <c r="G4736" s="12" t="str">
        <f>Absolute_Scores!G4736</f>
        <v>Instagram</v>
      </c>
      <c r="H4736" s="29">
        <f>Absolute_Scores!I4736</f>
        <v>37</v>
      </c>
      <c r="I4736" s="30">
        <f t="shared" si="104"/>
        <v>46.25</v>
      </c>
    </row>
    <row r="4737" spans="6:9">
      <c r="F4737" s="12" t="str">
        <f>Absolute_Scores!F4737</f>
        <v>@oy_hai</v>
      </c>
      <c r="G4737" s="12" t="str">
        <f>Absolute_Scores!G4737</f>
        <v>Instagram</v>
      </c>
      <c r="H4737" s="29">
        <f>Absolute_Scores!I4737</f>
        <v>37</v>
      </c>
      <c r="I4737" s="30">
        <f t="shared" si="104"/>
        <v>46.25</v>
      </c>
    </row>
    <row r="4738" spans="6:9">
      <c r="F4738" s="12" t="str">
        <f>Absolute_Scores!F4738</f>
        <v>@sdaninuri</v>
      </c>
      <c r="G4738" s="12" t="str">
        <f>Absolute_Scores!G4738</f>
        <v>Instagram</v>
      </c>
      <c r="H4738" s="29">
        <f>Absolute_Scores!I4738</f>
        <v>37</v>
      </c>
      <c r="I4738" s="30">
        <f t="shared" si="104"/>
        <v>46.25</v>
      </c>
    </row>
    <row r="4739" spans="6:9">
      <c r="F4739" s="12" t="str">
        <f>Absolute_Scores!F4739</f>
        <v>@seiradlphhh_</v>
      </c>
      <c r="G4739" s="12" t="str">
        <f>Absolute_Scores!G4739</f>
        <v>Instagram</v>
      </c>
      <c r="H4739" s="29">
        <f>Absolute_Scores!I4739</f>
        <v>37</v>
      </c>
      <c r="I4739" s="30">
        <f t="shared" si="104"/>
        <v>46.25</v>
      </c>
    </row>
    <row r="4740" spans="6:9">
      <c r="F4740" s="12" t="str">
        <f>Absolute_Scores!F4740</f>
        <v>@shintya_audrey</v>
      </c>
      <c r="G4740" s="12" t="str">
        <f>Absolute_Scores!G4740</f>
        <v>Instagram</v>
      </c>
      <c r="H4740" s="29">
        <f>Absolute_Scores!I4740</f>
        <v>37</v>
      </c>
      <c r="I4740" s="30">
        <f t="shared" si="104"/>
        <v>46.25</v>
      </c>
    </row>
    <row r="4741" spans="6:9">
      <c r="F4741" s="12" t="str">
        <f>Absolute_Scores!F4741</f>
        <v>@sintiaardianti</v>
      </c>
      <c r="G4741" s="12" t="str">
        <f>Absolute_Scores!G4741</f>
        <v>Instagram</v>
      </c>
      <c r="H4741" s="29">
        <f>Absolute_Scores!I4741</f>
        <v>37</v>
      </c>
      <c r="I4741" s="30">
        <f t="shared" si="104"/>
        <v>46.25</v>
      </c>
    </row>
    <row r="4742" spans="6:9">
      <c r="F4742" s="12" t="str">
        <f>Absolute_Scores!F4742</f>
        <v>@sitifaradhilaranita</v>
      </c>
      <c r="G4742" s="12" t="str">
        <f>Absolute_Scores!G4742</f>
        <v>Instagram</v>
      </c>
      <c r="H4742" s="29">
        <f>Absolute_Scores!I4742</f>
        <v>37</v>
      </c>
      <c r="I4742" s="30">
        <f t="shared" ref="I4742:I4805" si="105">ROUND(H4742/$I$4*100,2)</f>
        <v>46.25</v>
      </c>
    </row>
    <row r="4743" spans="6:9">
      <c r="F4743" s="12" t="str">
        <f>Absolute_Scores!F4743</f>
        <v>@sitiialifahh</v>
      </c>
      <c r="G4743" s="12" t="str">
        <f>Absolute_Scores!G4743</f>
        <v>Instagram</v>
      </c>
      <c r="H4743" s="29">
        <f>Absolute_Scores!I4743</f>
        <v>37</v>
      </c>
      <c r="I4743" s="30">
        <f t="shared" si="105"/>
        <v>46.25</v>
      </c>
    </row>
    <row r="4744" spans="6:9">
      <c r="F4744" s="12" t="str">
        <f>Absolute_Scores!F4744</f>
        <v>@sizkywlndri</v>
      </c>
      <c r="G4744" s="12" t="str">
        <f>Absolute_Scores!G4744</f>
        <v>Instagram</v>
      </c>
      <c r="H4744" s="29">
        <f>Absolute_Scores!I4744</f>
        <v>37</v>
      </c>
      <c r="I4744" s="30">
        <f t="shared" si="105"/>
        <v>46.25</v>
      </c>
    </row>
    <row r="4745" spans="6:9">
      <c r="F4745" s="12" t="str">
        <f>Absolute_Scores!F4745</f>
        <v>@tiffrappucino</v>
      </c>
      <c r="G4745" s="12" t="str">
        <f>Absolute_Scores!G4745</f>
        <v>TikTok</v>
      </c>
      <c r="H4745" s="29">
        <f>Absolute_Scores!I4745</f>
        <v>37</v>
      </c>
      <c r="I4745" s="30">
        <f t="shared" si="105"/>
        <v>46.25</v>
      </c>
    </row>
    <row r="4746" spans="6:9">
      <c r="F4746" s="12" t="str">
        <f>Absolute_Scores!F4746</f>
        <v>@wendyodixius</v>
      </c>
      <c r="G4746" s="12" t="str">
        <f>Absolute_Scores!G4746</f>
        <v>Instagram</v>
      </c>
      <c r="H4746" s="29">
        <f>Absolute_Scores!I4746</f>
        <v>37</v>
      </c>
      <c r="I4746" s="30">
        <f t="shared" si="105"/>
        <v>46.25</v>
      </c>
    </row>
    <row r="4747" spans="6:9">
      <c r="F4747" s="12" t="str">
        <f>Absolute_Scores!F4747</f>
        <v>@aditya_sigma12</v>
      </c>
      <c r="G4747" s="12" t="str">
        <f>Absolute_Scores!G4747</f>
        <v>TikTok</v>
      </c>
      <c r="H4747" s="29">
        <f>Absolute_Scores!I4747</f>
        <v>36</v>
      </c>
      <c r="I4747" s="30">
        <f t="shared" si="105"/>
        <v>45</v>
      </c>
    </row>
    <row r="4748" spans="6:9">
      <c r="F4748" s="12" t="str">
        <f>Absolute_Scores!F4748</f>
        <v>@agnesvisia.re</v>
      </c>
      <c r="G4748" s="12" t="str">
        <f>Absolute_Scores!G4748</f>
        <v>Instagram</v>
      </c>
      <c r="H4748" s="29">
        <f>Absolute_Scores!I4748</f>
        <v>36</v>
      </c>
      <c r="I4748" s="30">
        <f t="shared" si="105"/>
        <v>45</v>
      </c>
    </row>
    <row r="4749" spans="6:9">
      <c r="F4749" s="12" t="str">
        <f>Absolute_Scores!F4749</f>
        <v>@alegeor_</v>
      </c>
      <c r="G4749" s="12" t="str">
        <f>Absolute_Scores!G4749</f>
        <v>TikTok</v>
      </c>
      <c r="H4749" s="29">
        <f>Absolute_Scores!I4749</f>
        <v>36</v>
      </c>
      <c r="I4749" s="30">
        <f t="shared" si="105"/>
        <v>45</v>
      </c>
    </row>
    <row r="4750" spans="6:9">
      <c r="F4750" s="12" t="str">
        <f>Absolute_Scores!F4750</f>
        <v>@anisaulkhasanahh</v>
      </c>
      <c r="G4750" s="12" t="str">
        <f>Absolute_Scores!G4750</f>
        <v>TikTok</v>
      </c>
      <c r="H4750" s="29">
        <f>Absolute_Scores!I4750</f>
        <v>36</v>
      </c>
      <c r="I4750" s="30">
        <f t="shared" si="105"/>
        <v>45</v>
      </c>
    </row>
    <row r="4751" spans="6:9">
      <c r="F4751" s="12" t="str">
        <f>Absolute_Scores!F4751</f>
        <v>@ararachma</v>
      </c>
      <c r="G4751" s="12" t="str">
        <f>Absolute_Scores!G4751</f>
        <v>Instagram</v>
      </c>
      <c r="H4751" s="29">
        <f>Absolute_Scores!I4751</f>
        <v>36</v>
      </c>
      <c r="I4751" s="30">
        <f t="shared" si="105"/>
        <v>45</v>
      </c>
    </row>
    <row r="4752" spans="6:9">
      <c r="F4752" s="12" t="str">
        <f>Absolute_Scores!F4752</f>
        <v>@ardhisekartaji</v>
      </c>
      <c r="G4752" s="12" t="str">
        <f>Absolute_Scores!G4752</f>
        <v>TikTok</v>
      </c>
      <c r="H4752" s="29">
        <f>Absolute_Scores!I4752</f>
        <v>36</v>
      </c>
      <c r="I4752" s="30">
        <f t="shared" si="105"/>
        <v>45</v>
      </c>
    </row>
    <row r="4753" spans="6:9">
      <c r="F4753" s="12" t="str">
        <f>Absolute_Scores!F4753</f>
        <v>@arjunabiru20</v>
      </c>
      <c r="G4753" s="12" t="str">
        <f>Absolute_Scores!G4753</f>
        <v>TikTok</v>
      </c>
      <c r="H4753" s="29">
        <f>Absolute_Scores!I4753</f>
        <v>36</v>
      </c>
      <c r="I4753" s="30">
        <f t="shared" si="105"/>
        <v>45</v>
      </c>
    </row>
    <row r="4754" spans="6:9">
      <c r="F4754" s="12" t="str">
        <f>Absolute_Scores!F4754</f>
        <v>@ayurha13</v>
      </c>
      <c r="G4754" s="12" t="str">
        <f>Absolute_Scores!G4754</f>
        <v>Instagram</v>
      </c>
      <c r="H4754" s="29">
        <f>Absolute_Scores!I4754</f>
        <v>36</v>
      </c>
      <c r="I4754" s="30">
        <f t="shared" si="105"/>
        <v>45</v>
      </c>
    </row>
    <row r="4755" spans="6:9">
      <c r="F4755" s="12" t="str">
        <f>Absolute_Scores!F4755</f>
        <v>@azahhra</v>
      </c>
      <c r="G4755" s="12" t="str">
        <f>Absolute_Scores!G4755</f>
        <v>Instagram</v>
      </c>
      <c r="H4755" s="29">
        <f>Absolute_Scores!I4755</f>
        <v>36</v>
      </c>
      <c r="I4755" s="30">
        <f t="shared" si="105"/>
        <v>45</v>
      </c>
    </row>
    <row r="4756" spans="6:9">
      <c r="F4756" s="12" t="str">
        <f>Absolute_Scores!F4756</f>
        <v>@bbrightvc</v>
      </c>
      <c r="G4756" s="12" t="str">
        <f>Absolute_Scores!G4756</f>
        <v>Instagram</v>
      </c>
      <c r="H4756" s="29">
        <f>Absolute_Scores!I4756</f>
        <v>36</v>
      </c>
      <c r="I4756" s="30">
        <f t="shared" si="105"/>
        <v>45</v>
      </c>
    </row>
    <row r="4757" spans="6:9">
      <c r="F4757" s="12" t="str">
        <f>Absolute_Scores!F4757</f>
        <v>@ceciliafrntk</v>
      </c>
      <c r="G4757" s="12" t="str">
        <f>Absolute_Scores!G4757</f>
        <v>TikTok</v>
      </c>
      <c r="H4757" s="29">
        <f>Absolute_Scores!I4757</f>
        <v>36</v>
      </c>
      <c r="I4757" s="30">
        <f t="shared" si="105"/>
        <v>45</v>
      </c>
    </row>
    <row r="4758" spans="6:9">
      <c r="F4758" s="12" t="str">
        <f>Absolute_Scores!F4758</f>
        <v>@ceritapelari</v>
      </c>
      <c r="G4758" s="12" t="str">
        <f>Absolute_Scores!G4758</f>
        <v>Instagram</v>
      </c>
      <c r="H4758" s="29">
        <f>Absolute_Scores!I4758</f>
        <v>36</v>
      </c>
      <c r="I4758" s="30">
        <f t="shared" si="105"/>
        <v>45</v>
      </c>
    </row>
    <row r="4759" spans="6:9">
      <c r="F4759" s="12" t="str">
        <f>Absolute_Scores!F4759</f>
        <v>@cinpawpaw</v>
      </c>
      <c r="G4759" s="12" t="str">
        <f>Absolute_Scores!G4759</f>
        <v>Instagram</v>
      </c>
      <c r="H4759" s="29">
        <f>Absolute_Scores!I4759</f>
        <v>36</v>
      </c>
      <c r="I4759" s="30">
        <f t="shared" si="105"/>
        <v>45</v>
      </c>
    </row>
    <row r="4760" spans="6:9">
      <c r="F4760" s="12" t="str">
        <f>Absolute_Scores!F4760</f>
        <v>@claudia.yycin</v>
      </c>
      <c r="G4760" s="12" t="str">
        <f>Absolute_Scores!G4760</f>
        <v>Instagram</v>
      </c>
      <c r="H4760" s="29">
        <f>Absolute_Scores!I4760</f>
        <v>36</v>
      </c>
      <c r="I4760" s="30">
        <f t="shared" si="105"/>
        <v>45</v>
      </c>
    </row>
    <row r="4761" spans="6:9">
      <c r="F4761" s="12" t="str">
        <f>Absolute_Scores!F4761</f>
        <v>@cliffton_zhang</v>
      </c>
      <c r="G4761" s="12" t="str">
        <f>Absolute_Scores!G4761</f>
        <v>Instagram</v>
      </c>
      <c r="H4761" s="29">
        <f>Absolute_Scores!I4761</f>
        <v>36</v>
      </c>
      <c r="I4761" s="30">
        <f t="shared" si="105"/>
        <v>45</v>
      </c>
    </row>
    <row r="4762" spans="6:9">
      <c r="F4762" s="12" t="str">
        <f>Absolute_Scores!F4762</f>
        <v>@cndytang</v>
      </c>
      <c r="G4762" s="12" t="str">
        <f>Absolute_Scores!G4762</f>
        <v>Instagram</v>
      </c>
      <c r="H4762" s="29">
        <f>Absolute_Scores!I4762</f>
        <v>36</v>
      </c>
      <c r="I4762" s="30">
        <f t="shared" si="105"/>
        <v>45</v>
      </c>
    </row>
    <row r="4763" spans="6:9">
      <c r="F4763" s="12" t="str">
        <f>Absolute_Scores!F4763</f>
        <v>@daniiyaa11</v>
      </c>
      <c r="G4763" s="12" t="str">
        <f>Absolute_Scores!G4763</f>
        <v>TikTok</v>
      </c>
      <c r="H4763" s="29">
        <f>Absolute_Scores!I4763</f>
        <v>36</v>
      </c>
      <c r="I4763" s="30">
        <f t="shared" si="105"/>
        <v>45</v>
      </c>
    </row>
    <row r="4764" spans="6:9">
      <c r="F4764" s="12" t="str">
        <f>Absolute_Scores!F4764</f>
        <v>@debiyuliaa</v>
      </c>
      <c r="G4764" s="12" t="str">
        <f>Absolute_Scores!G4764</f>
        <v>Instagram</v>
      </c>
      <c r="H4764" s="29">
        <f>Absolute_Scores!I4764</f>
        <v>36</v>
      </c>
      <c r="I4764" s="30">
        <f t="shared" si="105"/>
        <v>45</v>
      </c>
    </row>
    <row r="4765" spans="6:9">
      <c r="F4765" s="12" t="str">
        <f>Absolute_Scores!F4765</f>
        <v>@deenish_20</v>
      </c>
      <c r="G4765" s="12" t="str">
        <f>Absolute_Scores!G4765</f>
        <v>TikTok</v>
      </c>
      <c r="H4765" s="29">
        <f>Absolute_Scores!I4765</f>
        <v>36</v>
      </c>
      <c r="I4765" s="30">
        <f t="shared" si="105"/>
        <v>45</v>
      </c>
    </row>
    <row r="4766" spans="6:9">
      <c r="F4766" s="12" t="str">
        <f>Absolute_Scores!F4766</f>
        <v>@denganvivi</v>
      </c>
      <c r="G4766" s="12" t="str">
        <f>Absolute_Scores!G4766</f>
        <v>TikTok</v>
      </c>
      <c r="H4766" s="29">
        <f>Absolute_Scores!I4766</f>
        <v>36</v>
      </c>
      <c r="I4766" s="30">
        <f t="shared" si="105"/>
        <v>45</v>
      </c>
    </row>
    <row r="4767" spans="6:9">
      <c r="F4767" s="12" t="str">
        <f>Absolute_Scores!F4767</f>
        <v>@depokterkini</v>
      </c>
      <c r="G4767" s="12" t="str">
        <f>Absolute_Scores!G4767</f>
        <v>Instagram</v>
      </c>
      <c r="H4767" s="29">
        <f>Absolute_Scores!I4767</f>
        <v>36</v>
      </c>
      <c r="I4767" s="30">
        <f t="shared" si="105"/>
        <v>45</v>
      </c>
    </row>
    <row r="4768" spans="6:9">
      <c r="F4768" s="12" t="str">
        <f>Absolute_Scores!F4768</f>
        <v>@derrickbroaster</v>
      </c>
      <c r="G4768" s="12" t="str">
        <f>Absolute_Scores!G4768</f>
        <v>TikTok</v>
      </c>
      <c r="H4768" s="29">
        <f>Absolute_Scores!I4768</f>
        <v>36</v>
      </c>
      <c r="I4768" s="30">
        <f t="shared" si="105"/>
        <v>45</v>
      </c>
    </row>
    <row r="4769" spans="6:9">
      <c r="F4769" s="12" t="str">
        <f>Absolute_Scores!F4769</f>
        <v>@deysamosir</v>
      </c>
      <c r="G4769" s="12" t="str">
        <f>Absolute_Scores!G4769</f>
        <v>Instagram</v>
      </c>
      <c r="H4769" s="29">
        <f>Absolute_Scores!I4769</f>
        <v>36</v>
      </c>
      <c r="I4769" s="30">
        <f t="shared" si="105"/>
        <v>45</v>
      </c>
    </row>
    <row r="4770" spans="6:9">
      <c r="F4770" s="12" t="str">
        <f>Absolute_Scores!F4770</f>
        <v>@difarraa</v>
      </c>
      <c r="G4770" s="12" t="str">
        <f>Absolute_Scores!G4770</f>
        <v>Instagram</v>
      </c>
      <c r="H4770" s="29">
        <f>Absolute_Scores!I4770</f>
        <v>36</v>
      </c>
      <c r="I4770" s="30">
        <f t="shared" si="105"/>
        <v>45</v>
      </c>
    </row>
    <row r="4771" spans="6:9">
      <c r="F4771" s="12" t="str">
        <f>Absolute_Scores!F4771</f>
        <v>@faizfazliii</v>
      </c>
      <c r="G4771" s="12" t="str">
        <f>Absolute_Scores!G4771</f>
        <v>TikTok</v>
      </c>
      <c r="H4771" s="29">
        <f>Absolute_Scores!I4771</f>
        <v>36</v>
      </c>
      <c r="I4771" s="30">
        <f t="shared" si="105"/>
        <v>45</v>
      </c>
    </row>
    <row r="4772" spans="6:9">
      <c r="F4772" s="12" t="str">
        <f>Absolute_Scores!F4772</f>
        <v>@febrianratna</v>
      </c>
      <c r="G4772" s="12" t="str">
        <f>Absolute_Scores!G4772</f>
        <v>Instagram</v>
      </c>
      <c r="H4772" s="29">
        <f>Absolute_Scores!I4772</f>
        <v>36</v>
      </c>
      <c r="I4772" s="30">
        <f t="shared" si="105"/>
        <v>45</v>
      </c>
    </row>
    <row r="4773" spans="6:9">
      <c r="F4773" s="12" t="str">
        <f>Absolute_Scores!F4773</f>
        <v>@fernandagunsan</v>
      </c>
      <c r="G4773" s="12" t="str">
        <f>Absolute_Scores!G4773</f>
        <v>TikTok</v>
      </c>
      <c r="H4773" s="29">
        <f>Absolute_Scores!I4773</f>
        <v>36</v>
      </c>
      <c r="I4773" s="30">
        <f t="shared" si="105"/>
        <v>45</v>
      </c>
    </row>
    <row r="4774" spans="6:9">
      <c r="F4774" s="12" t="str">
        <f>Absolute_Scores!F4774</f>
        <v>@fitrii_ags</v>
      </c>
      <c r="G4774" s="12" t="str">
        <f>Absolute_Scores!G4774</f>
        <v>Instagram</v>
      </c>
      <c r="H4774" s="29">
        <f>Absolute_Scores!I4774</f>
        <v>36</v>
      </c>
      <c r="I4774" s="30">
        <f t="shared" si="105"/>
        <v>45</v>
      </c>
    </row>
    <row r="4775" spans="6:9">
      <c r="F4775" s="12" t="str">
        <f>Absolute_Scores!F4775</f>
        <v>@gamebrott.com</v>
      </c>
      <c r="G4775" s="12" t="str">
        <f>Absolute_Scores!G4775</f>
        <v>TikTok</v>
      </c>
      <c r="H4775" s="29">
        <f>Absolute_Scores!I4775</f>
        <v>36</v>
      </c>
      <c r="I4775" s="30">
        <f t="shared" si="105"/>
        <v>45</v>
      </c>
    </row>
    <row r="4776" spans="6:9">
      <c r="F4776" s="12" t="str">
        <f>Absolute_Scores!F4776</f>
        <v>@gamila_chavaleeya4</v>
      </c>
      <c r="G4776" s="12" t="str">
        <f>Absolute_Scores!G4776</f>
        <v>TikTok</v>
      </c>
      <c r="H4776" s="29">
        <f>Absolute_Scores!I4776</f>
        <v>36</v>
      </c>
      <c r="I4776" s="30">
        <f t="shared" si="105"/>
        <v>45</v>
      </c>
    </row>
    <row r="4777" spans="6:9">
      <c r="F4777" s="12" t="str">
        <f>Absolute_Scores!F4777</f>
        <v>@gansaaay</v>
      </c>
      <c r="G4777" s="12" t="str">
        <f>Absolute_Scores!G4777</f>
        <v>Instagram</v>
      </c>
      <c r="H4777" s="29">
        <f>Absolute_Scores!I4777</f>
        <v>36</v>
      </c>
      <c r="I4777" s="30">
        <f t="shared" si="105"/>
        <v>45</v>
      </c>
    </row>
    <row r="4778" spans="6:9">
      <c r="F4778" s="12" t="str">
        <f>Absolute_Scores!F4778</f>
        <v>@gigislavina</v>
      </c>
      <c r="G4778" s="12" t="str">
        <f>Absolute_Scores!G4778</f>
        <v>TikTok</v>
      </c>
      <c r="H4778" s="29">
        <f>Absolute_Scores!I4778</f>
        <v>36</v>
      </c>
      <c r="I4778" s="30">
        <f t="shared" si="105"/>
        <v>45</v>
      </c>
    </row>
    <row r="4779" spans="6:9">
      <c r="F4779" s="12" t="str">
        <f>Absolute_Scores!F4779</f>
        <v>@guaryan__</v>
      </c>
      <c r="G4779" s="12" t="str">
        <f>Absolute_Scores!G4779</f>
        <v>TikTok</v>
      </c>
      <c r="H4779" s="29">
        <f>Absolute_Scores!I4779</f>
        <v>36</v>
      </c>
      <c r="I4779" s="30">
        <f t="shared" si="105"/>
        <v>45</v>
      </c>
    </row>
    <row r="4780" spans="6:9">
      <c r="F4780" s="12" t="str">
        <f>Absolute_Scores!F4780</f>
        <v>@haekalmajid</v>
      </c>
      <c r="G4780" s="12" t="str">
        <f>Absolute_Scores!G4780</f>
        <v>TikTok</v>
      </c>
      <c r="H4780" s="29">
        <f>Absolute_Scores!I4780</f>
        <v>36</v>
      </c>
      <c r="I4780" s="30">
        <f t="shared" si="105"/>
        <v>45</v>
      </c>
    </row>
    <row r="4781" spans="6:9">
      <c r="F4781" s="12" t="str">
        <f>Absolute_Scores!F4781</f>
        <v>@happywithjess</v>
      </c>
      <c r="G4781" s="12" t="str">
        <f>Absolute_Scores!G4781</f>
        <v>Instagram</v>
      </c>
      <c r="H4781" s="29">
        <f>Absolute_Scores!I4781</f>
        <v>36</v>
      </c>
      <c r="I4781" s="30">
        <f t="shared" si="105"/>
        <v>45</v>
      </c>
    </row>
    <row r="4782" spans="6:9">
      <c r="F4782" s="12" t="str">
        <f>Absolute_Scores!F4782</f>
        <v>@ikaoktavia22</v>
      </c>
      <c r="G4782" s="12" t="str">
        <f>Absolute_Scores!G4782</f>
        <v>Instagram</v>
      </c>
      <c r="H4782" s="29">
        <f>Absolute_Scores!I4782</f>
        <v>36</v>
      </c>
      <c r="I4782" s="30">
        <f t="shared" si="105"/>
        <v>45</v>
      </c>
    </row>
    <row r="4783" spans="6:9">
      <c r="F4783" s="12" t="str">
        <f>Absolute_Scores!F4783</f>
        <v>@ilasalsabilla</v>
      </c>
      <c r="G4783" s="12" t="str">
        <f>Absolute_Scores!G4783</f>
        <v>Instagram</v>
      </c>
      <c r="H4783" s="29">
        <f>Absolute_Scores!I4783</f>
        <v>36</v>
      </c>
      <c r="I4783" s="30">
        <f t="shared" si="105"/>
        <v>45</v>
      </c>
    </row>
    <row r="4784" spans="6:9">
      <c r="F4784" s="12" t="str">
        <f>Absolute_Scores!F4784</f>
        <v>@jackable__</v>
      </c>
      <c r="G4784" s="12" t="str">
        <f>Absolute_Scores!G4784</f>
        <v>Instagram</v>
      </c>
      <c r="H4784" s="29">
        <f>Absolute_Scores!I4784</f>
        <v>36</v>
      </c>
      <c r="I4784" s="30">
        <f t="shared" si="105"/>
        <v>45</v>
      </c>
    </row>
    <row r="4785" spans="6:9">
      <c r="F4785" s="12" t="str">
        <f>Absolute_Scores!F4785</f>
        <v>@jesstheoutfitrepeater</v>
      </c>
      <c r="G4785" s="12" t="str">
        <f>Absolute_Scores!G4785</f>
        <v>TikTok</v>
      </c>
      <c r="H4785" s="29">
        <f>Absolute_Scores!I4785</f>
        <v>36</v>
      </c>
      <c r="I4785" s="30">
        <f t="shared" si="105"/>
        <v>45</v>
      </c>
    </row>
    <row r="4786" spans="6:9">
      <c r="F4786" s="12" t="str">
        <f>Absolute_Scores!F4786</f>
        <v>@kabarbintaro</v>
      </c>
      <c r="G4786" s="12" t="str">
        <f>Absolute_Scores!G4786</f>
        <v>Instagram</v>
      </c>
      <c r="H4786" s="29">
        <f>Absolute_Scores!I4786</f>
        <v>36</v>
      </c>
      <c r="I4786" s="30">
        <f t="shared" si="105"/>
        <v>45</v>
      </c>
    </row>
    <row r="4787" spans="6:9">
      <c r="F4787" s="12" t="str">
        <f>Absolute_Scores!F4787</f>
        <v>@karindennisha</v>
      </c>
      <c r="G4787" s="12" t="str">
        <f>Absolute_Scores!G4787</f>
        <v>Instagram</v>
      </c>
      <c r="H4787" s="29">
        <f>Absolute_Scores!I4787</f>
        <v>36</v>
      </c>
      <c r="I4787" s="30">
        <f t="shared" si="105"/>
        <v>45</v>
      </c>
    </row>
    <row r="4788" spans="6:9">
      <c r="F4788" s="12" t="str">
        <f>Absolute_Scores!F4788</f>
        <v>@kenn.hiro.keiko</v>
      </c>
      <c r="G4788" s="12" t="str">
        <f>Absolute_Scores!G4788</f>
        <v>Instagram</v>
      </c>
      <c r="H4788" s="29">
        <f>Absolute_Scores!I4788</f>
        <v>36</v>
      </c>
      <c r="I4788" s="30">
        <f t="shared" si="105"/>
        <v>45</v>
      </c>
    </row>
    <row r="4789" spans="6:9">
      <c r="F4789" s="12" t="str">
        <f>Absolute_Scores!F4789</f>
        <v>@kiunazira</v>
      </c>
      <c r="G4789" s="12" t="str">
        <f>Absolute_Scores!G4789</f>
        <v>Instagram</v>
      </c>
      <c r="H4789" s="29">
        <f>Absolute_Scores!I4789</f>
        <v>36</v>
      </c>
      <c r="I4789" s="30">
        <f t="shared" si="105"/>
        <v>45</v>
      </c>
    </row>
    <row r="4790" spans="6:9">
      <c r="F4790" s="12" t="str">
        <f>Absolute_Scores!F4790</f>
        <v>@kokowil_titiwil</v>
      </c>
      <c r="G4790" s="12" t="str">
        <f>Absolute_Scores!G4790</f>
        <v>Instagram</v>
      </c>
      <c r="H4790" s="29">
        <f>Absolute_Scores!I4790</f>
        <v>36</v>
      </c>
      <c r="I4790" s="30">
        <f t="shared" si="105"/>
        <v>45</v>
      </c>
    </row>
    <row r="4791" spans="6:9">
      <c r="F4791" s="12" t="str">
        <f>Absolute_Scores!F4791</f>
        <v>@krindanii</v>
      </c>
      <c r="G4791" s="12" t="str">
        <f>Absolute_Scores!G4791</f>
        <v>TikTok</v>
      </c>
      <c r="H4791" s="29">
        <f>Absolute_Scores!I4791</f>
        <v>36</v>
      </c>
      <c r="I4791" s="30">
        <f t="shared" si="105"/>
        <v>45</v>
      </c>
    </row>
    <row r="4792" spans="6:9">
      <c r="F4792" s="12" t="str">
        <f>Absolute_Scores!F4792</f>
        <v>@kylakameron</v>
      </c>
      <c r="G4792" s="12" t="str">
        <f>Absolute_Scores!G4792</f>
        <v>Instagram</v>
      </c>
      <c r="H4792" s="29">
        <f>Absolute_Scores!I4792</f>
        <v>36</v>
      </c>
      <c r="I4792" s="30">
        <f t="shared" si="105"/>
        <v>45</v>
      </c>
    </row>
    <row r="4793" spans="6:9">
      <c r="F4793" s="12" t="str">
        <f>Absolute_Scores!F4793</f>
        <v>@lhyalihe</v>
      </c>
      <c r="G4793" s="12" t="str">
        <f>Absolute_Scores!G4793</f>
        <v>Instagram</v>
      </c>
      <c r="H4793" s="29">
        <f>Absolute_Scores!I4793</f>
        <v>36</v>
      </c>
      <c r="I4793" s="30">
        <f t="shared" si="105"/>
        <v>45</v>
      </c>
    </row>
    <row r="4794" spans="6:9">
      <c r="F4794" s="12" t="str">
        <f>Absolute_Scores!F4794</f>
        <v>@mamahshema</v>
      </c>
      <c r="G4794" s="12" t="str">
        <f>Absolute_Scores!G4794</f>
        <v>TikTok</v>
      </c>
      <c r="H4794" s="29">
        <f>Absolute_Scores!I4794</f>
        <v>36</v>
      </c>
      <c r="I4794" s="30">
        <f t="shared" si="105"/>
        <v>45</v>
      </c>
    </row>
    <row r="4795" spans="6:9">
      <c r="F4795" s="12" t="str">
        <f>Absolute_Scores!F4795</f>
        <v>@maudiriski</v>
      </c>
      <c r="G4795" s="12" t="str">
        <f>Absolute_Scores!G4795</f>
        <v>Instagram</v>
      </c>
      <c r="H4795" s="29">
        <f>Absolute_Scores!I4795</f>
        <v>36</v>
      </c>
      <c r="I4795" s="30">
        <f t="shared" si="105"/>
        <v>45</v>
      </c>
    </row>
    <row r="4796" spans="6:9">
      <c r="F4796" s="12" t="str">
        <f>Absolute_Scores!F4796</f>
        <v>@meearaaaa</v>
      </c>
      <c r="G4796" s="12" t="str">
        <f>Absolute_Scores!G4796</f>
        <v>Instagram</v>
      </c>
      <c r="H4796" s="29">
        <f>Absolute_Scores!I4796</f>
        <v>36</v>
      </c>
      <c r="I4796" s="30">
        <f t="shared" si="105"/>
        <v>45</v>
      </c>
    </row>
    <row r="4797" spans="6:9">
      <c r="F4797" s="12" t="str">
        <f>Absolute_Scores!F4797</f>
        <v>@meisyasallwa</v>
      </c>
      <c r="G4797" s="12" t="str">
        <f>Absolute_Scores!G4797</f>
        <v>Instagram</v>
      </c>
      <c r="H4797" s="29">
        <f>Absolute_Scores!I4797</f>
        <v>36</v>
      </c>
      <c r="I4797" s="30">
        <f t="shared" si="105"/>
        <v>45</v>
      </c>
    </row>
    <row r="4798" spans="6:9">
      <c r="F4798" s="12" t="str">
        <f>Absolute_Scores!F4798</f>
        <v>@mhmmdlatifsaputra_</v>
      </c>
      <c r="G4798" s="12" t="str">
        <f>Absolute_Scores!G4798</f>
        <v>Instagram</v>
      </c>
      <c r="H4798" s="29">
        <f>Absolute_Scores!I4798</f>
        <v>36</v>
      </c>
      <c r="I4798" s="30">
        <f t="shared" si="105"/>
        <v>45</v>
      </c>
    </row>
    <row r="4799" spans="6:9">
      <c r="F4799" s="12" t="str">
        <f>Absolute_Scores!F4799</f>
        <v>@nanalutfiana</v>
      </c>
      <c r="G4799" s="12" t="str">
        <f>Absolute_Scores!G4799</f>
        <v>Instagram</v>
      </c>
      <c r="H4799" s="29">
        <f>Absolute_Scores!I4799</f>
        <v>36</v>
      </c>
      <c r="I4799" s="30">
        <f t="shared" si="105"/>
        <v>45</v>
      </c>
    </row>
    <row r="4800" spans="6:9">
      <c r="F4800" s="12" t="str">
        <f>Absolute_Scores!F4800</f>
        <v>@nureynia</v>
      </c>
      <c r="G4800" s="12" t="str">
        <f>Absolute_Scores!G4800</f>
        <v>TikTok</v>
      </c>
      <c r="H4800" s="29">
        <f>Absolute_Scores!I4800</f>
        <v>36</v>
      </c>
      <c r="I4800" s="30">
        <f t="shared" si="105"/>
        <v>45</v>
      </c>
    </row>
    <row r="4801" spans="6:9">
      <c r="F4801" s="12" t="str">
        <f>Absolute_Scores!F4801</f>
        <v>@princezxx</v>
      </c>
      <c r="G4801" s="12" t="str">
        <f>Absolute_Scores!G4801</f>
        <v>TikTok</v>
      </c>
      <c r="H4801" s="29">
        <f>Absolute_Scores!I4801</f>
        <v>36</v>
      </c>
      <c r="I4801" s="30">
        <f t="shared" si="105"/>
        <v>45</v>
      </c>
    </row>
    <row r="4802" spans="6:9">
      <c r="F4802" s="12" t="str">
        <f>Absolute_Scores!F4802</f>
        <v>@puutriaa</v>
      </c>
      <c r="G4802" s="12" t="str">
        <f>Absolute_Scores!G4802</f>
        <v>Instagram</v>
      </c>
      <c r="H4802" s="29">
        <f>Absolute_Scores!I4802</f>
        <v>36</v>
      </c>
      <c r="I4802" s="30">
        <f t="shared" si="105"/>
        <v>45</v>
      </c>
    </row>
    <row r="4803" spans="6:9">
      <c r="F4803" s="12" t="str">
        <f>Absolute_Scores!F4803</f>
        <v>@raditya_dika</v>
      </c>
      <c r="G4803" s="12" t="str">
        <f>Absolute_Scores!G4803</f>
        <v>Instagram</v>
      </c>
      <c r="H4803" s="29">
        <f>Absolute_Scores!I4803</f>
        <v>36</v>
      </c>
      <c r="I4803" s="30">
        <f t="shared" si="105"/>
        <v>45</v>
      </c>
    </row>
    <row r="4804" spans="6:9">
      <c r="F4804" s="12" t="str">
        <f>Absolute_Scores!F4804</f>
        <v>@renandaandp</v>
      </c>
      <c r="G4804" s="12" t="str">
        <f>Absolute_Scores!G4804</f>
        <v>TikTok</v>
      </c>
      <c r="H4804" s="29">
        <f>Absolute_Scores!I4804</f>
        <v>36</v>
      </c>
      <c r="I4804" s="30">
        <f t="shared" si="105"/>
        <v>45</v>
      </c>
    </row>
    <row r="4805" spans="6:9">
      <c r="F4805" s="12" t="str">
        <f>Absolute_Scores!F4805</f>
        <v>@rennireree</v>
      </c>
      <c r="G4805" s="12" t="str">
        <f>Absolute_Scores!G4805</f>
        <v>Instagram</v>
      </c>
      <c r="H4805" s="29">
        <f>Absolute_Scores!I4805</f>
        <v>36</v>
      </c>
      <c r="I4805" s="30">
        <f t="shared" si="105"/>
        <v>45</v>
      </c>
    </row>
    <row r="4806" spans="6:9">
      <c r="F4806" s="12" t="str">
        <f>Absolute_Scores!F4806</f>
        <v>@rezaputriamelia</v>
      </c>
      <c r="G4806" s="12" t="str">
        <f>Absolute_Scores!G4806</f>
        <v>Instagram</v>
      </c>
      <c r="H4806" s="29">
        <f>Absolute_Scores!I4806</f>
        <v>36</v>
      </c>
      <c r="I4806" s="30">
        <f t="shared" ref="I4806:I4869" si="106">ROUND(H4806/$I$4*100,2)</f>
        <v>45</v>
      </c>
    </row>
    <row r="4807" spans="6:9">
      <c r="F4807" s="12" t="str">
        <f>Absolute_Scores!F4807</f>
        <v>@rheatjhai</v>
      </c>
      <c r="G4807" s="12" t="str">
        <f>Absolute_Scores!G4807</f>
        <v>Instagram</v>
      </c>
      <c r="H4807" s="29">
        <f>Absolute_Scores!I4807</f>
        <v>36</v>
      </c>
      <c r="I4807" s="30">
        <f t="shared" si="106"/>
        <v>45</v>
      </c>
    </row>
    <row r="4808" spans="6:9">
      <c r="F4808" s="12" t="str">
        <f>Absolute_Scores!F4808</f>
        <v>@seftiaani_</v>
      </c>
      <c r="G4808" s="12" t="str">
        <f>Absolute_Scores!G4808</f>
        <v>TikTok</v>
      </c>
      <c r="H4808" s="29">
        <f>Absolute_Scores!I4808</f>
        <v>36</v>
      </c>
      <c r="I4808" s="30">
        <f t="shared" si="106"/>
        <v>45</v>
      </c>
    </row>
    <row r="4809" spans="6:9">
      <c r="F4809" s="12" t="str">
        <f>Absolute_Scores!F4809</f>
        <v>@selvielim</v>
      </c>
      <c r="G4809" s="12" t="str">
        <f>Absolute_Scores!G4809</f>
        <v>Instagram</v>
      </c>
      <c r="H4809" s="29">
        <f>Absolute_Scores!I4809</f>
        <v>36</v>
      </c>
      <c r="I4809" s="30">
        <f t="shared" si="106"/>
        <v>45</v>
      </c>
    </row>
    <row r="4810" spans="6:9">
      <c r="F4810" s="12" t="str">
        <f>Absolute_Scores!F4810</f>
        <v>@serafinalvs</v>
      </c>
      <c r="G4810" s="12" t="str">
        <f>Absolute_Scores!G4810</f>
        <v>Instagram</v>
      </c>
      <c r="H4810" s="29">
        <f>Absolute_Scores!I4810</f>
        <v>36</v>
      </c>
      <c r="I4810" s="30">
        <f t="shared" si="106"/>
        <v>45</v>
      </c>
    </row>
    <row r="4811" spans="6:9">
      <c r="F4811" s="12" t="str">
        <f>Absolute_Scores!F4811</f>
        <v>@serayaworld</v>
      </c>
      <c r="G4811" s="12" t="str">
        <f>Absolute_Scores!G4811</f>
        <v>Instagram</v>
      </c>
      <c r="H4811" s="29">
        <f>Absolute_Scores!I4811</f>
        <v>36</v>
      </c>
      <c r="I4811" s="30">
        <f t="shared" si="106"/>
        <v>45</v>
      </c>
    </row>
    <row r="4812" spans="6:9">
      <c r="F4812" s="12" t="str">
        <f>Absolute_Scores!F4812</f>
        <v>@stephaprilia</v>
      </c>
      <c r="G4812" s="12" t="str">
        <f>Absolute_Scores!G4812</f>
        <v>Instagram</v>
      </c>
      <c r="H4812" s="29">
        <f>Absolute_Scores!I4812</f>
        <v>36</v>
      </c>
      <c r="I4812" s="30">
        <f t="shared" si="106"/>
        <v>45</v>
      </c>
    </row>
    <row r="4813" spans="6:9">
      <c r="F4813" s="12" t="str">
        <f>Absolute_Scores!F4813</f>
        <v>@sysyaaaaaaa_</v>
      </c>
      <c r="G4813" s="12" t="str">
        <f>Absolute_Scores!G4813</f>
        <v>Instagram</v>
      </c>
      <c r="H4813" s="29">
        <f>Absolute_Scores!I4813</f>
        <v>36</v>
      </c>
      <c r="I4813" s="30">
        <f t="shared" si="106"/>
        <v>45</v>
      </c>
    </row>
    <row r="4814" spans="6:9">
      <c r="F4814" s="12" t="str">
        <f>Absolute_Scores!F4814</f>
        <v>@tiera.rm</v>
      </c>
      <c r="G4814" s="12" t="str">
        <f>Absolute_Scores!G4814</f>
        <v>Instagram</v>
      </c>
      <c r="H4814" s="29">
        <f>Absolute_Scores!I4814</f>
        <v>36</v>
      </c>
      <c r="I4814" s="30">
        <f t="shared" si="106"/>
        <v>45</v>
      </c>
    </row>
    <row r="4815" spans="6:9">
      <c r="F4815" s="12" t="str">
        <f>Absolute_Scores!F4815</f>
        <v>@ursboyy_</v>
      </c>
      <c r="G4815" s="12" t="str">
        <f>Absolute_Scores!G4815</f>
        <v>TikTok</v>
      </c>
      <c r="H4815" s="29">
        <f>Absolute_Scores!I4815</f>
        <v>36</v>
      </c>
      <c r="I4815" s="30">
        <f t="shared" si="106"/>
        <v>45</v>
      </c>
    </row>
    <row r="4816" spans="6:9">
      <c r="F4816" s="12" t="str">
        <f>Absolute_Scores!F4816</f>
        <v>@vlrieval</v>
      </c>
      <c r="G4816" s="12" t="str">
        <f>Absolute_Scores!G4816</f>
        <v>Instagram</v>
      </c>
      <c r="H4816" s="29">
        <f>Absolute_Scores!I4816</f>
        <v>36</v>
      </c>
      <c r="I4816" s="30">
        <f t="shared" si="106"/>
        <v>45</v>
      </c>
    </row>
    <row r="4817" spans="6:9">
      <c r="F4817" s="12" t="str">
        <f>Absolute_Scores!F4817</f>
        <v>@widyajiwo</v>
      </c>
      <c r="G4817" s="12" t="str">
        <f>Absolute_Scores!G4817</f>
        <v>Instagram</v>
      </c>
      <c r="H4817" s="29">
        <f>Absolute_Scores!I4817</f>
        <v>36</v>
      </c>
      <c r="I4817" s="30">
        <f t="shared" si="106"/>
        <v>45</v>
      </c>
    </row>
    <row r="4818" spans="6:9">
      <c r="F4818" s="12" t="str">
        <f>Absolute_Scores!F4818</f>
        <v>@wisnukumoro_official</v>
      </c>
      <c r="G4818" s="12" t="str">
        <f>Absolute_Scores!G4818</f>
        <v>TikTok</v>
      </c>
      <c r="H4818" s="29">
        <f>Absolute_Scores!I4818</f>
        <v>36</v>
      </c>
      <c r="I4818" s="30">
        <f t="shared" si="106"/>
        <v>45</v>
      </c>
    </row>
    <row r="4819" spans="6:9">
      <c r="F4819" s="12" t="str">
        <f>Absolute_Scores!F4819</f>
        <v>@witadwi52</v>
      </c>
      <c r="G4819" s="12" t="str">
        <f>Absolute_Scores!G4819</f>
        <v>Instagram</v>
      </c>
      <c r="H4819" s="29">
        <f>Absolute_Scores!I4819</f>
        <v>36</v>
      </c>
      <c r="I4819" s="30">
        <f t="shared" si="106"/>
        <v>45</v>
      </c>
    </row>
    <row r="4820" spans="6:9">
      <c r="F4820" s="12" t="str">
        <f>Absolute_Scores!F4820</f>
        <v>@xavierius_alvin</v>
      </c>
      <c r="G4820" s="12" t="str">
        <f>Absolute_Scores!G4820</f>
        <v>Instagram</v>
      </c>
      <c r="H4820" s="29">
        <f>Absolute_Scores!I4820</f>
        <v>36</v>
      </c>
      <c r="I4820" s="30">
        <f t="shared" si="106"/>
        <v>45</v>
      </c>
    </row>
    <row r="4821" spans="6:9">
      <c r="F4821" s="12" t="str">
        <f>Absolute_Scores!F4821</f>
        <v>@_rahayuncii</v>
      </c>
      <c r="G4821" s="12" t="str">
        <f>Absolute_Scores!G4821</f>
        <v>Instagram</v>
      </c>
      <c r="H4821" s="29">
        <f>Absolute_Scores!I4821</f>
        <v>35</v>
      </c>
      <c r="I4821" s="30">
        <f t="shared" si="106"/>
        <v>43.75</v>
      </c>
    </row>
    <row r="4822" spans="6:9">
      <c r="F4822" s="12" t="str">
        <f>Absolute_Scores!F4822</f>
        <v>@aaasiiel</v>
      </c>
      <c r="G4822" s="12" t="str">
        <f>Absolute_Scores!G4822</f>
        <v>TikTok</v>
      </c>
      <c r="H4822" s="29">
        <f>Absolute_Scores!I4822</f>
        <v>35</v>
      </c>
      <c r="I4822" s="30">
        <f t="shared" si="106"/>
        <v>43.75</v>
      </c>
    </row>
    <row r="4823" spans="6:9">
      <c r="F4823" s="12" t="str">
        <f>Absolute_Scores!F4823</f>
        <v>@ajiyana_as</v>
      </c>
      <c r="G4823" s="12" t="str">
        <f>Absolute_Scores!G4823</f>
        <v>TikTok</v>
      </c>
      <c r="H4823" s="29">
        <f>Absolute_Scores!I4823</f>
        <v>35</v>
      </c>
      <c r="I4823" s="30">
        <f t="shared" si="106"/>
        <v>43.75</v>
      </c>
    </row>
    <row r="4824" spans="6:9">
      <c r="F4824" s="12" t="str">
        <f>Absolute_Scores!F4824</f>
        <v>@alfifanni</v>
      </c>
      <c r="G4824" s="12" t="str">
        <f>Absolute_Scores!G4824</f>
        <v>Instagram</v>
      </c>
      <c r="H4824" s="29">
        <f>Absolute_Scores!I4824</f>
        <v>35</v>
      </c>
      <c r="I4824" s="30">
        <f t="shared" si="106"/>
        <v>43.75</v>
      </c>
    </row>
    <row r="4825" spans="6:9">
      <c r="F4825" s="12" t="str">
        <f>Absolute_Scores!F4825</f>
        <v>@alimtlh</v>
      </c>
      <c r="G4825" s="12" t="str">
        <f>Absolute_Scores!G4825</f>
        <v>TikTok</v>
      </c>
      <c r="H4825" s="29">
        <f>Absolute_Scores!I4825</f>
        <v>35</v>
      </c>
      <c r="I4825" s="30">
        <f t="shared" si="106"/>
        <v>43.75</v>
      </c>
    </row>
    <row r="4826" spans="6:9">
      <c r="F4826" s="12" t="str">
        <f>Absolute_Scores!F4826</f>
        <v>@arnyjiang</v>
      </c>
      <c r="G4826" s="12" t="str">
        <f>Absolute_Scores!G4826</f>
        <v>Instagram</v>
      </c>
      <c r="H4826" s="29">
        <f>Absolute_Scores!I4826</f>
        <v>35</v>
      </c>
      <c r="I4826" s="30">
        <f t="shared" si="106"/>
        <v>43.75</v>
      </c>
    </row>
    <row r="4827" spans="6:9">
      <c r="F4827" s="12" t="str">
        <f>Absolute_Scores!F4827</f>
        <v>@ashleykantjana</v>
      </c>
      <c r="G4827" s="12" t="str">
        <f>Absolute_Scores!G4827</f>
        <v>Instagram</v>
      </c>
      <c r="H4827" s="29">
        <f>Absolute_Scores!I4827</f>
        <v>35</v>
      </c>
      <c r="I4827" s="30">
        <f t="shared" si="106"/>
        <v>43.75</v>
      </c>
    </row>
    <row r="4828" spans="6:9">
      <c r="F4828" s="12" t="str">
        <f>Absolute_Scores!F4828</f>
        <v>@attiusandrw</v>
      </c>
      <c r="G4828" s="12" t="str">
        <f>Absolute_Scores!G4828</f>
        <v>TikTok</v>
      </c>
      <c r="H4828" s="29">
        <f>Absolute_Scores!I4828</f>
        <v>35</v>
      </c>
      <c r="I4828" s="30">
        <f t="shared" si="106"/>
        <v>43.75</v>
      </c>
    </row>
    <row r="4829" spans="6:9">
      <c r="F4829" s="12" t="str">
        <f>Absolute_Scores!F4829</f>
        <v>@ayurarasa</v>
      </c>
      <c r="G4829" s="12" t="str">
        <f>Absolute_Scores!G4829</f>
        <v>Instagram</v>
      </c>
      <c r="H4829" s="29">
        <f>Absolute_Scores!I4829</f>
        <v>35</v>
      </c>
      <c r="I4829" s="30">
        <f t="shared" si="106"/>
        <v>43.75</v>
      </c>
    </row>
    <row r="4830" spans="6:9">
      <c r="F4830" s="12" t="str">
        <f>Absolute_Scores!F4830</f>
        <v>@bochld</v>
      </c>
      <c r="G4830" s="12" t="str">
        <f>Absolute_Scores!G4830</f>
        <v>TikTok</v>
      </c>
      <c r="H4830" s="29">
        <f>Absolute_Scores!I4830</f>
        <v>35</v>
      </c>
      <c r="I4830" s="30">
        <f t="shared" si="106"/>
        <v>43.75</v>
      </c>
    </row>
    <row r="4831" spans="6:9">
      <c r="F4831" s="12" t="str">
        <f>Absolute_Scores!F4831</f>
        <v>@cindyagilo</v>
      </c>
      <c r="G4831" s="12" t="str">
        <f>Absolute_Scores!G4831</f>
        <v>Instagram</v>
      </c>
      <c r="H4831" s="29">
        <f>Absolute_Scores!I4831</f>
        <v>35</v>
      </c>
      <c r="I4831" s="30">
        <f t="shared" si="106"/>
        <v>43.75</v>
      </c>
    </row>
    <row r="4832" spans="6:9">
      <c r="F4832" s="12" t="str">
        <f>Absolute_Scores!F4832</f>
        <v>@ctraniarta</v>
      </c>
      <c r="G4832" s="12" t="str">
        <f>Absolute_Scores!G4832</f>
        <v>Instagram</v>
      </c>
      <c r="H4832" s="29">
        <f>Absolute_Scores!I4832</f>
        <v>35</v>
      </c>
      <c r="I4832" s="30">
        <f t="shared" si="106"/>
        <v>43.75</v>
      </c>
    </row>
    <row r="4833" spans="6:9">
      <c r="F4833" s="12" t="str">
        <f>Absolute_Scores!F4833</f>
        <v>@danbening</v>
      </c>
      <c r="G4833" s="12" t="str">
        <f>Absolute_Scores!G4833</f>
        <v>Instagram</v>
      </c>
      <c r="H4833" s="29">
        <f>Absolute_Scores!I4833</f>
        <v>35</v>
      </c>
      <c r="I4833" s="30">
        <f t="shared" si="106"/>
        <v>43.75</v>
      </c>
    </row>
    <row r="4834" spans="6:9">
      <c r="F4834" s="12" t="str">
        <f>Absolute_Scores!F4834</f>
        <v>@delaakr_</v>
      </c>
      <c r="G4834" s="12" t="str">
        <f>Absolute_Scores!G4834</f>
        <v>Instagram</v>
      </c>
      <c r="H4834" s="29">
        <f>Absolute_Scores!I4834</f>
        <v>35</v>
      </c>
      <c r="I4834" s="30">
        <f t="shared" si="106"/>
        <v>43.75</v>
      </c>
    </row>
    <row r="4835" spans="6:9">
      <c r="F4835" s="12" t="str">
        <f>Absolute_Scores!F4835</f>
        <v>@depok24jam</v>
      </c>
      <c r="G4835" s="12" t="str">
        <f>Absolute_Scores!G4835</f>
        <v>Instagram</v>
      </c>
      <c r="H4835" s="29">
        <f>Absolute_Scores!I4835</f>
        <v>35</v>
      </c>
      <c r="I4835" s="30">
        <f t="shared" si="106"/>
        <v>43.75</v>
      </c>
    </row>
    <row r="4836" spans="6:9">
      <c r="F4836" s="12" t="str">
        <f>Absolute_Scores!F4836</f>
        <v>@dianps2509</v>
      </c>
      <c r="G4836" s="12" t="str">
        <f>Absolute_Scores!G4836</f>
        <v>Instagram</v>
      </c>
      <c r="H4836" s="29">
        <f>Absolute_Scores!I4836</f>
        <v>35</v>
      </c>
      <c r="I4836" s="30">
        <f t="shared" si="106"/>
        <v>43.75</v>
      </c>
    </row>
    <row r="4837" spans="6:9">
      <c r="F4837" s="12" t="str">
        <f>Absolute_Scores!F4837</f>
        <v>@dinnnsl</v>
      </c>
      <c r="G4837" s="12" t="str">
        <f>Absolute_Scores!G4837</f>
        <v>TikTok</v>
      </c>
      <c r="H4837" s="29">
        <f>Absolute_Scores!I4837</f>
        <v>35</v>
      </c>
      <c r="I4837" s="30">
        <f t="shared" si="106"/>
        <v>43.75</v>
      </c>
    </row>
    <row r="4838" spans="6:9">
      <c r="F4838" s="12" t="str">
        <f>Absolute_Scores!F4838</f>
        <v>@dje_putri92</v>
      </c>
      <c r="G4838" s="12" t="str">
        <f>Absolute_Scores!G4838</f>
        <v>Instagram</v>
      </c>
      <c r="H4838" s="29">
        <f>Absolute_Scores!I4838</f>
        <v>35</v>
      </c>
      <c r="I4838" s="30">
        <f t="shared" si="106"/>
        <v>43.75</v>
      </c>
    </row>
    <row r="4839" spans="6:9">
      <c r="F4839" s="12" t="str">
        <f>Absolute_Scores!F4839</f>
        <v>@dwpuspitaaa</v>
      </c>
      <c r="G4839" s="12" t="str">
        <f>Absolute_Scores!G4839</f>
        <v>Instagram</v>
      </c>
      <c r="H4839" s="29">
        <f>Absolute_Scores!I4839</f>
        <v>35</v>
      </c>
      <c r="I4839" s="30">
        <f t="shared" si="106"/>
        <v>43.75</v>
      </c>
    </row>
    <row r="4840" spans="6:9">
      <c r="F4840" s="12" t="str">
        <f>Absolute_Scores!F4840</f>
        <v>@dyandy02</v>
      </c>
      <c r="G4840" s="12" t="str">
        <f>Absolute_Scores!G4840</f>
        <v>Instagram</v>
      </c>
      <c r="H4840" s="29">
        <f>Absolute_Scores!I4840</f>
        <v>35</v>
      </c>
      <c r="I4840" s="30">
        <f t="shared" si="106"/>
        <v>43.75</v>
      </c>
    </row>
    <row r="4841" spans="6:9">
      <c r="F4841" s="12" t="str">
        <f>Absolute_Scores!F4841</f>
        <v>@fanny_angelique</v>
      </c>
      <c r="G4841" s="12" t="str">
        <f>Absolute_Scores!G4841</f>
        <v>Instagram</v>
      </c>
      <c r="H4841" s="29">
        <f>Absolute_Scores!I4841</f>
        <v>35</v>
      </c>
      <c r="I4841" s="30">
        <f t="shared" si="106"/>
        <v>43.75</v>
      </c>
    </row>
    <row r="4842" spans="6:9">
      <c r="F4842" s="12" t="str">
        <f>Absolute_Scores!F4842</f>
        <v>@fasolasidoshop</v>
      </c>
      <c r="G4842" s="12" t="str">
        <f>Absolute_Scores!G4842</f>
        <v>TikTok</v>
      </c>
      <c r="H4842" s="29">
        <f>Absolute_Scores!I4842</f>
        <v>35</v>
      </c>
      <c r="I4842" s="30">
        <f t="shared" si="106"/>
        <v>43.75</v>
      </c>
    </row>
    <row r="4843" spans="6:9">
      <c r="F4843" s="12" t="str">
        <f>Absolute_Scores!F4843</f>
        <v>@febbyrastanty</v>
      </c>
      <c r="G4843" s="12" t="str">
        <f>Absolute_Scores!G4843</f>
        <v>Instagram</v>
      </c>
      <c r="H4843" s="29">
        <f>Absolute_Scores!I4843</f>
        <v>35</v>
      </c>
      <c r="I4843" s="30">
        <f t="shared" si="106"/>
        <v>43.75</v>
      </c>
    </row>
    <row r="4844" spans="6:9">
      <c r="F4844" s="12" t="str">
        <f>Absolute_Scores!F4844</f>
        <v>@fenty_atikaa21</v>
      </c>
      <c r="G4844" s="12" t="str">
        <f>Absolute_Scores!G4844</f>
        <v>Instagram</v>
      </c>
      <c r="H4844" s="29">
        <f>Absolute_Scores!I4844</f>
        <v>35</v>
      </c>
      <c r="I4844" s="30">
        <f t="shared" si="106"/>
        <v>43.75</v>
      </c>
    </row>
    <row r="4845" spans="6:9">
      <c r="F4845" s="12" t="str">
        <f>Absolute_Scores!F4845</f>
        <v>@ficillia.cicill</v>
      </c>
      <c r="G4845" s="12" t="str">
        <f>Absolute_Scores!G4845</f>
        <v>TikTok</v>
      </c>
      <c r="H4845" s="29">
        <f>Absolute_Scores!I4845</f>
        <v>35</v>
      </c>
      <c r="I4845" s="30">
        <f t="shared" si="106"/>
        <v>43.75</v>
      </c>
    </row>
    <row r="4846" spans="6:9">
      <c r="F4846" s="12" t="str">
        <f>Absolute_Scores!F4846</f>
        <v>@haiucel</v>
      </c>
      <c r="G4846" s="12" t="str">
        <f>Absolute_Scores!G4846</f>
        <v>Instagram</v>
      </c>
      <c r="H4846" s="29">
        <f>Absolute_Scores!I4846</f>
        <v>35</v>
      </c>
      <c r="I4846" s="30">
        <f t="shared" si="106"/>
        <v>43.75</v>
      </c>
    </row>
    <row r="4847" spans="6:9">
      <c r="F4847" s="12" t="str">
        <f>Absolute_Scores!F4847</f>
        <v>@helenhannahleongara</v>
      </c>
      <c r="G4847" s="12" t="str">
        <f>Absolute_Scores!G4847</f>
        <v>Instagram</v>
      </c>
      <c r="H4847" s="29">
        <f>Absolute_Scores!I4847</f>
        <v>35</v>
      </c>
      <c r="I4847" s="30">
        <f t="shared" si="106"/>
        <v>43.75</v>
      </c>
    </row>
    <row r="4848" spans="6:9">
      <c r="F4848" s="12" t="str">
        <f>Absolute_Scores!F4848</f>
        <v>@inihenny</v>
      </c>
      <c r="G4848" s="12" t="str">
        <f>Absolute_Scores!G4848</f>
        <v>Instagram</v>
      </c>
      <c r="H4848" s="29">
        <f>Absolute_Scores!I4848</f>
        <v>35</v>
      </c>
      <c r="I4848" s="30">
        <f t="shared" si="106"/>
        <v>43.75</v>
      </c>
    </row>
    <row r="4849" spans="6:9">
      <c r="F4849" s="12" t="str">
        <f>Absolute_Scores!F4849</f>
        <v>@intansukmautami</v>
      </c>
      <c r="G4849" s="12" t="str">
        <f>Absolute_Scores!G4849</f>
        <v>Instagram</v>
      </c>
      <c r="H4849" s="29">
        <f>Absolute_Scores!I4849</f>
        <v>35</v>
      </c>
      <c r="I4849" s="30">
        <f t="shared" si="106"/>
        <v>43.75</v>
      </c>
    </row>
    <row r="4850" spans="6:9">
      <c r="F4850" s="12" t="str">
        <f>Absolute_Scores!F4850</f>
        <v>@isyanasarasvati</v>
      </c>
      <c r="G4850" s="12" t="str">
        <f>Absolute_Scores!G4850</f>
        <v>Instagram</v>
      </c>
      <c r="H4850" s="29">
        <f>Absolute_Scores!I4850</f>
        <v>35</v>
      </c>
      <c r="I4850" s="30">
        <f t="shared" si="106"/>
        <v>43.75</v>
      </c>
    </row>
    <row r="4851" spans="6:9">
      <c r="F4851" s="12" t="str">
        <f>Absolute_Scores!F4851</f>
        <v>@itsflowra</v>
      </c>
      <c r="G4851" s="12" t="str">
        <f>Absolute_Scores!G4851</f>
        <v>TikTok</v>
      </c>
      <c r="H4851" s="29">
        <f>Absolute_Scores!I4851</f>
        <v>35</v>
      </c>
      <c r="I4851" s="30">
        <f t="shared" si="106"/>
        <v>43.75</v>
      </c>
    </row>
    <row r="4852" spans="6:9">
      <c r="F4852" s="12" t="str">
        <f>Absolute_Scores!F4852</f>
        <v>@ivo_bahar</v>
      </c>
      <c r="G4852" s="12" t="str">
        <f>Absolute_Scores!G4852</f>
        <v>Instagram</v>
      </c>
      <c r="H4852" s="29">
        <f>Absolute_Scores!I4852</f>
        <v>35</v>
      </c>
      <c r="I4852" s="30">
        <f t="shared" si="106"/>
        <v>43.75</v>
      </c>
    </row>
    <row r="4853" spans="6:9">
      <c r="F4853" s="12" t="str">
        <f>Absolute_Scores!F4853</f>
        <v>@jalerijal</v>
      </c>
      <c r="G4853" s="12" t="str">
        <f>Absolute_Scores!G4853</f>
        <v>TikTok</v>
      </c>
      <c r="H4853" s="29">
        <f>Absolute_Scores!I4853</f>
        <v>35</v>
      </c>
      <c r="I4853" s="30">
        <f t="shared" si="106"/>
        <v>43.75</v>
      </c>
    </row>
    <row r="4854" spans="6:9">
      <c r="F4854" s="12" t="str">
        <f>Absolute_Scores!F4854</f>
        <v>@jocelynleora_</v>
      </c>
      <c r="G4854" s="12" t="str">
        <f>Absolute_Scores!G4854</f>
        <v>Instagram</v>
      </c>
      <c r="H4854" s="29">
        <f>Absolute_Scores!I4854</f>
        <v>35</v>
      </c>
      <c r="I4854" s="30">
        <f t="shared" si="106"/>
        <v>43.75</v>
      </c>
    </row>
    <row r="4855" spans="6:9">
      <c r="F4855" s="12" t="str">
        <f>Absolute_Scores!F4855</f>
        <v>@jonstipenn_</v>
      </c>
      <c r="G4855" s="12" t="str">
        <f>Absolute_Scores!G4855</f>
        <v>TikTok</v>
      </c>
      <c r="H4855" s="29">
        <f>Absolute_Scores!I4855</f>
        <v>35</v>
      </c>
      <c r="I4855" s="30">
        <f t="shared" si="106"/>
        <v>43.75</v>
      </c>
    </row>
    <row r="4856" spans="6:9">
      <c r="F4856" s="12" t="str">
        <f>Absolute_Scores!F4856</f>
        <v>@joyuthon</v>
      </c>
      <c r="G4856" s="12" t="str">
        <f>Absolute_Scores!G4856</f>
        <v>Instagram</v>
      </c>
      <c r="H4856" s="29">
        <f>Absolute_Scores!I4856</f>
        <v>35</v>
      </c>
      <c r="I4856" s="30">
        <f t="shared" si="106"/>
        <v>43.75</v>
      </c>
    </row>
    <row r="4857" spans="6:9">
      <c r="F4857" s="12" t="str">
        <f>Absolute_Scores!F4857</f>
        <v>@lailysadiah19_</v>
      </c>
      <c r="G4857" s="12" t="str">
        <f>Absolute_Scores!G4857</f>
        <v>Instagram</v>
      </c>
      <c r="H4857" s="29">
        <f>Absolute_Scores!I4857</f>
        <v>35</v>
      </c>
      <c r="I4857" s="30">
        <f t="shared" si="106"/>
        <v>43.75</v>
      </c>
    </row>
    <row r="4858" spans="6:9">
      <c r="F4858" s="12" t="str">
        <f>Absolute_Scores!F4858</f>
        <v>@latisharputri</v>
      </c>
      <c r="G4858" s="12" t="str">
        <f>Absolute_Scores!G4858</f>
        <v>TikTok</v>
      </c>
      <c r="H4858" s="29">
        <f>Absolute_Scores!I4858</f>
        <v>35</v>
      </c>
      <c r="I4858" s="30">
        <f t="shared" si="106"/>
        <v>43.75</v>
      </c>
    </row>
    <row r="4859" spans="6:9">
      <c r="F4859" s="12" t="str">
        <f>Absolute_Scores!F4859</f>
        <v>@learellaa</v>
      </c>
      <c r="G4859" s="12" t="str">
        <f>Absolute_Scores!G4859</f>
        <v>Instagram</v>
      </c>
      <c r="H4859" s="29">
        <f>Absolute_Scores!I4859</f>
        <v>35</v>
      </c>
      <c r="I4859" s="30">
        <f t="shared" si="106"/>
        <v>43.75</v>
      </c>
    </row>
    <row r="4860" spans="6:9">
      <c r="F4860" s="12" t="str">
        <f>Absolute_Scores!F4860</f>
        <v>@mahdarayy</v>
      </c>
      <c r="G4860" s="12" t="str">
        <f>Absolute_Scores!G4860</f>
        <v>TikTok</v>
      </c>
      <c r="H4860" s="29">
        <f>Absolute_Scores!I4860</f>
        <v>35</v>
      </c>
      <c r="I4860" s="30">
        <f t="shared" si="106"/>
        <v>43.75</v>
      </c>
    </row>
    <row r="4861" spans="6:9">
      <c r="F4861" s="12" t="str">
        <f>Absolute_Scores!F4861</f>
        <v>@mariasteffigunadi</v>
      </c>
      <c r="G4861" s="12" t="str">
        <f>Absolute_Scores!G4861</f>
        <v>Instagram</v>
      </c>
      <c r="H4861" s="29">
        <f>Absolute_Scores!I4861</f>
        <v>35</v>
      </c>
      <c r="I4861" s="30">
        <f t="shared" si="106"/>
        <v>43.75</v>
      </c>
    </row>
    <row r="4862" spans="6:9">
      <c r="F4862" s="12" t="str">
        <f>Absolute_Scores!F4862</f>
        <v>@media.virals</v>
      </c>
      <c r="G4862" s="12" t="str">
        <f>Absolute_Scores!G4862</f>
        <v>Instagram</v>
      </c>
      <c r="H4862" s="29">
        <f>Absolute_Scores!I4862</f>
        <v>35</v>
      </c>
      <c r="I4862" s="30">
        <f t="shared" si="106"/>
        <v>43.75</v>
      </c>
    </row>
    <row r="4863" spans="6:9">
      <c r="F4863" s="12" t="str">
        <f>Absolute_Scores!F4863</f>
        <v>@meirinchan29</v>
      </c>
      <c r="G4863" s="12" t="str">
        <f>Absolute_Scores!G4863</f>
        <v>Instagram</v>
      </c>
      <c r="H4863" s="29">
        <f>Absolute_Scores!I4863</f>
        <v>35</v>
      </c>
      <c r="I4863" s="30">
        <f t="shared" si="106"/>
        <v>43.75</v>
      </c>
    </row>
    <row r="4864" spans="6:9">
      <c r="F4864" s="12" t="str">
        <f>Absolute_Scores!F4864</f>
        <v>@monethmona</v>
      </c>
      <c r="G4864" s="12" t="str">
        <f>Absolute_Scores!G4864</f>
        <v>Instagram</v>
      </c>
      <c r="H4864" s="29">
        <f>Absolute_Scores!I4864</f>
        <v>35</v>
      </c>
      <c r="I4864" s="30">
        <f t="shared" si="106"/>
        <v>43.75</v>
      </c>
    </row>
    <row r="4865" spans="6:9">
      <c r="F4865" s="12" t="str">
        <f>Absolute_Scores!F4865</f>
        <v>@muse_dianbudiati</v>
      </c>
      <c r="G4865" s="12" t="str">
        <f>Absolute_Scores!G4865</f>
        <v>Instagram</v>
      </c>
      <c r="H4865" s="29">
        <f>Absolute_Scores!I4865</f>
        <v>35</v>
      </c>
      <c r="I4865" s="30">
        <f t="shared" si="106"/>
        <v>43.75</v>
      </c>
    </row>
    <row r="4866" spans="6:9">
      <c r="F4866" s="12" t="str">
        <f>Absolute_Scores!F4866</f>
        <v>@nadiyarawil</v>
      </c>
      <c r="G4866" s="12" t="str">
        <f>Absolute_Scores!G4866</f>
        <v>Instagram</v>
      </c>
      <c r="H4866" s="29">
        <f>Absolute_Scores!I4866</f>
        <v>35</v>
      </c>
      <c r="I4866" s="30">
        <f t="shared" si="106"/>
        <v>43.75</v>
      </c>
    </row>
    <row r="4867" spans="6:9">
      <c r="F4867" s="12" t="str">
        <f>Absolute_Scores!F4867</f>
        <v>@noviemm</v>
      </c>
      <c r="G4867" s="12" t="str">
        <f>Absolute_Scores!G4867</f>
        <v>TikTok</v>
      </c>
      <c r="H4867" s="29">
        <f>Absolute_Scores!I4867</f>
        <v>35</v>
      </c>
      <c r="I4867" s="30">
        <f t="shared" si="106"/>
        <v>43.75</v>
      </c>
    </row>
    <row r="4868" spans="6:9">
      <c r="F4868" s="12" t="str">
        <f>Absolute_Scores!F4868</f>
        <v>@nurhidayahdena</v>
      </c>
      <c r="G4868" s="12" t="str">
        <f>Absolute_Scores!G4868</f>
        <v>Instagram</v>
      </c>
      <c r="H4868" s="29">
        <f>Absolute_Scores!I4868</f>
        <v>35</v>
      </c>
      <c r="I4868" s="30">
        <f t="shared" si="106"/>
        <v>43.75</v>
      </c>
    </row>
    <row r="4869" spans="6:9">
      <c r="F4869" s="12" t="str">
        <f>Absolute_Scores!F4869</f>
        <v>@panggilajapejang</v>
      </c>
      <c r="G4869" s="12" t="str">
        <f>Absolute_Scores!G4869</f>
        <v>TikTok</v>
      </c>
      <c r="H4869" s="29">
        <f>Absolute_Scores!I4869</f>
        <v>35</v>
      </c>
      <c r="I4869" s="30">
        <f t="shared" si="106"/>
        <v>43.75</v>
      </c>
    </row>
    <row r="4870" spans="6:9">
      <c r="F4870" s="12" t="str">
        <f>Absolute_Scores!F4870</f>
        <v>@puterisalsabilaaaa</v>
      </c>
      <c r="G4870" s="12" t="str">
        <f>Absolute_Scores!G4870</f>
        <v>TikTok</v>
      </c>
      <c r="H4870" s="29">
        <f>Absolute_Scores!I4870</f>
        <v>35</v>
      </c>
      <c r="I4870" s="30">
        <f t="shared" ref="I4870:I4933" si="107">ROUND(H4870/$I$4*100,2)</f>
        <v>43.75</v>
      </c>
    </row>
    <row r="4871" spans="6:9">
      <c r="F4871" s="12" t="str">
        <f>Absolute_Scores!F4871</f>
        <v>@queenviolia</v>
      </c>
      <c r="G4871" s="12" t="str">
        <f>Absolute_Scores!G4871</f>
        <v>Instagram</v>
      </c>
      <c r="H4871" s="29">
        <f>Absolute_Scores!I4871</f>
        <v>35</v>
      </c>
      <c r="I4871" s="30">
        <f t="shared" si="107"/>
        <v>43.75</v>
      </c>
    </row>
    <row r="4872" spans="6:9">
      <c r="F4872" s="12" t="str">
        <f>Absolute_Scores!F4872</f>
        <v>@ratnatita</v>
      </c>
      <c r="G4872" s="12" t="str">
        <f>Absolute_Scores!G4872</f>
        <v>Instagram</v>
      </c>
      <c r="H4872" s="29">
        <f>Absolute_Scores!I4872</f>
        <v>35</v>
      </c>
      <c r="I4872" s="30">
        <f t="shared" si="107"/>
        <v>43.75</v>
      </c>
    </row>
    <row r="4873" spans="6:9">
      <c r="F4873" s="12" t="str">
        <f>Absolute_Scores!F4873</f>
        <v>@rhyntofebrian</v>
      </c>
      <c r="G4873" s="12" t="str">
        <f>Absolute_Scores!G4873</f>
        <v>TikTok</v>
      </c>
      <c r="H4873" s="29">
        <f>Absolute_Scores!I4873</f>
        <v>35</v>
      </c>
      <c r="I4873" s="30">
        <f t="shared" si="107"/>
        <v>43.75</v>
      </c>
    </row>
    <row r="4874" spans="6:9">
      <c r="F4874" s="12" t="str">
        <f>Absolute_Scores!F4874</f>
        <v>@rikariafatma</v>
      </c>
      <c r="G4874" s="12" t="str">
        <f>Absolute_Scores!G4874</f>
        <v>Instagram</v>
      </c>
      <c r="H4874" s="29">
        <f>Absolute_Scores!I4874</f>
        <v>35</v>
      </c>
      <c r="I4874" s="30">
        <f t="shared" si="107"/>
        <v>43.75</v>
      </c>
    </row>
    <row r="4875" spans="6:9">
      <c r="F4875" s="12" t="str">
        <f>Absolute_Scores!F4875</f>
        <v>@rivani_rahmadani</v>
      </c>
      <c r="G4875" s="12" t="str">
        <f>Absolute_Scores!G4875</f>
        <v>Instagram</v>
      </c>
      <c r="H4875" s="29">
        <f>Absolute_Scores!I4875</f>
        <v>35</v>
      </c>
      <c r="I4875" s="30">
        <f t="shared" si="107"/>
        <v>43.75</v>
      </c>
    </row>
    <row r="4876" spans="6:9">
      <c r="F4876" s="12" t="str">
        <f>Absolute_Scores!F4876</f>
        <v>@rxx_mnd</v>
      </c>
      <c r="G4876" s="12" t="str">
        <f>Absolute_Scores!G4876</f>
        <v>TikTok</v>
      </c>
      <c r="H4876" s="29">
        <f>Absolute_Scores!I4876</f>
        <v>35</v>
      </c>
      <c r="I4876" s="30">
        <f t="shared" si="107"/>
        <v>43.75</v>
      </c>
    </row>
    <row r="4877" spans="6:9">
      <c r="F4877" s="12" t="str">
        <f>Absolute_Scores!F4877</f>
        <v>@satria_elfdr17</v>
      </c>
      <c r="G4877" s="12" t="str">
        <f>Absolute_Scores!G4877</f>
        <v>TikTok</v>
      </c>
      <c r="H4877" s="29">
        <f>Absolute_Scores!I4877</f>
        <v>35</v>
      </c>
      <c r="I4877" s="30">
        <f t="shared" si="107"/>
        <v>43.75</v>
      </c>
    </row>
    <row r="4878" spans="6:9">
      <c r="F4878" s="12" t="str">
        <f>Absolute_Scores!F4878</f>
        <v>@theaven1802</v>
      </c>
      <c r="G4878" s="12" t="str">
        <f>Absolute_Scores!G4878</f>
        <v>TikTok</v>
      </c>
      <c r="H4878" s="29">
        <f>Absolute_Scores!I4878</f>
        <v>35</v>
      </c>
      <c r="I4878" s="30">
        <f t="shared" si="107"/>
        <v>43.75</v>
      </c>
    </row>
    <row r="4879" spans="6:9">
      <c r="F4879" s="12" t="str">
        <f>Absolute_Scores!F4879</f>
        <v>@uly.mz</v>
      </c>
      <c r="G4879" s="12" t="str">
        <f>Absolute_Scores!G4879</f>
        <v>Instagram</v>
      </c>
      <c r="H4879" s="29">
        <f>Absolute_Scores!I4879</f>
        <v>35</v>
      </c>
      <c r="I4879" s="30">
        <f t="shared" si="107"/>
        <v>43.75</v>
      </c>
    </row>
    <row r="4880" spans="6:9">
      <c r="F4880" s="12" t="str">
        <f>Absolute_Scores!F4880</f>
        <v>@viranisa_riska</v>
      </c>
      <c r="G4880" s="12" t="str">
        <f>Absolute_Scores!G4880</f>
        <v>Instagram</v>
      </c>
      <c r="H4880" s="29">
        <f>Absolute_Scores!I4880</f>
        <v>35</v>
      </c>
      <c r="I4880" s="30">
        <f t="shared" si="107"/>
        <v>43.75</v>
      </c>
    </row>
    <row r="4881" spans="6:9">
      <c r="F4881" s="12" t="str">
        <f>Absolute_Scores!F4881</f>
        <v>@zzarssept98</v>
      </c>
      <c r="G4881" s="12" t="str">
        <f>Absolute_Scores!G4881</f>
        <v>TikTok</v>
      </c>
      <c r="H4881" s="29">
        <f>Absolute_Scores!I4881</f>
        <v>35</v>
      </c>
      <c r="I4881" s="30">
        <f t="shared" si="107"/>
        <v>43.75</v>
      </c>
    </row>
    <row r="4882" spans="6:9">
      <c r="F4882" s="12" t="str">
        <f>Absolute_Scores!F4882</f>
        <v>@___moccacinta</v>
      </c>
      <c r="G4882" s="12" t="str">
        <f>Absolute_Scores!G4882</f>
        <v>Instagram</v>
      </c>
      <c r="H4882" s="29">
        <f>Absolute_Scores!I4882</f>
        <v>34</v>
      </c>
      <c r="I4882" s="30">
        <f t="shared" si="107"/>
        <v>42.5</v>
      </c>
    </row>
    <row r="4883" spans="6:9">
      <c r="F4883" s="12" t="str">
        <f>Absolute_Scores!F4883</f>
        <v>@adistyrnii_</v>
      </c>
      <c r="G4883" s="12" t="str">
        <f>Absolute_Scores!G4883</f>
        <v>TikTok</v>
      </c>
      <c r="H4883" s="29">
        <f>Absolute_Scores!I4883</f>
        <v>34</v>
      </c>
      <c r="I4883" s="30">
        <f t="shared" si="107"/>
        <v>42.5</v>
      </c>
    </row>
    <row r="4884" spans="6:9">
      <c r="F4884" s="12" t="str">
        <f>Absolute_Scores!F4884</f>
        <v>@alfifauziah__</v>
      </c>
      <c r="G4884" s="12" t="str">
        <f>Absolute_Scores!G4884</f>
        <v>TikTok</v>
      </c>
      <c r="H4884" s="29">
        <f>Absolute_Scores!I4884</f>
        <v>34</v>
      </c>
      <c r="I4884" s="30">
        <f t="shared" si="107"/>
        <v>42.5</v>
      </c>
    </row>
    <row r="4885" spans="6:9">
      <c r="F4885" s="12" t="str">
        <f>Absolute_Scores!F4885</f>
        <v>@anggraeni_uni</v>
      </c>
      <c r="G4885" s="12" t="str">
        <f>Absolute_Scores!G4885</f>
        <v>Instagram</v>
      </c>
      <c r="H4885" s="29">
        <f>Absolute_Scores!I4885</f>
        <v>34</v>
      </c>
      <c r="I4885" s="30">
        <f t="shared" si="107"/>
        <v>42.5</v>
      </c>
    </row>
    <row r="4886" spans="6:9">
      <c r="F4886" s="12" t="str">
        <f>Absolute_Scores!F4886</f>
        <v>@arfanafiif</v>
      </c>
      <c r="G4886" s="12" t="str">
        <f>Absolute_Scores!G4886</f>
        <v>Instagram</v>
      </c>
      <c r="H4886" s="29">
        <f>Absolute_Scores!I4886</f>
        <v>34</v>
      </c>
      <c r="I4886" s="30">
        <f t="shared" si="107"/>
        <v>42.5</v>
      </c>
    </row>
    <row r="4887" spans="6:9">
      <c r="F4887" s="12" t="str">
        <f>Absolute_Scores!F4887</f>
        <v>@asyaaazh</v>
      </c>
      <c r="G4887" s="12" t="str">
        <f>Absolute_Scores!G4887</f>
        <v>TikTok</v>
      </c>
      <c r="H4887" s="29">
        <f>Absolute_Scores!I4887</f>
        <v>34</v>
      </c>
      <c r="I4887" s="30">
        <f t="shared" si="107"/>
        <v>42.5</v>
      </c>
    </row>
    <row r="4888" spans="6:9">
      <c r="F4888" s="12" t="str">
        <f>Absolute_Scores!F4888</f>
        <v>@babylea_genevieve</v>
      </c>
      <c r="G4888" s="12" t="str">
        <f>Absolute_Scores!G4888</f>
        <v>Instagram</v>
      </c>
      <c r="H4888" s="29">
        <f>Absolute_Scores!I4888</f>
        <v>34</v>
      </c>
      <c r="I4888" s="30">
        <f t="shared" si="107"/>
        <v>42.5</v>
      </c>
    </row>
    <row r="4889" spans="6:9">
      <c r="F4889" s="12" t="str">
        <f>Absolute_Scores!F4889</f>
        <v>@cindymeisiany</v>
      </c>
      <c r="G4889" s="12" t="str">
        <f>Absolute_Scores!G4889</f>
        <v>Instagram</v>
      </c>
      <c r="H4889" s="29">
        <f>Absolute_Scores!I4889</f>
        <v>34</v>
      </c>
      <c r="I4889" s="30">
        <f t="shared" si="107"/>
        <v>42.5</v>
      </c>
    </row>
    <row r="4890" spans="6:9">
      <c r="F4890" s="12" t="str">
        <f>Absolute_Scores!F4890</f>
        <v>@cmietamagotchi</v>
      </c>
      <c r="G4890" s="12" t="str">
        <f>Absolute_Scores!G4890</f>
        <v>Instagram</v>
      </c>
      <c r="H4890" s="29">
        <f>Absolute_Scores!I4890</f>
        <v>34</v>
      </c>
      <c r="I4890" s="30">
        <f t="shared" si="107"/>
        <v>42.5</v>
      </c>
    </row>
    <row r="4891" spans="6:9">
      <c r="F4891" s="12" t="str">
        <f>Absolute_Scores!F4891</f>
        <v>@deenduuh</v>
      </c>
      <c r="G4891" s="12" t="str">
        <f>Absolute_Scores!G4891</f>
        <v>TikTok</v>
      </c>
      <c r="H4891" s="29">
        <f>Absolute_Scores!I4891</f>
        <v>34</v>
      </c>
      <c r="I4891" s="30">
        <f t="shared" si="107"/>
        <v>42.5</v>
      </c>
    </row>
    <row r="4892" spans="6:9">
      <c r="F4892" s="12" t="str">
        <f>Absolute_Scores!F4892</f>
        <v>@dhian_setyarini</v>
      </c>
      <c r="G4892" s="12" t="str">
        <f>Absolute_Scores!G4892</f>
        <v>Instagram</v>
      </c>
      <c r="H4892" s="29">
        <f>Absolute_Scores!I4892</f>
        <v>34</v>
      </c>
      <c r="I4892" s="30">
        <f t="shared" si="107"/>
        <v>42.5</v>
      </c>
    </row>
    <row r="4893" spans="6:9">
      <c r="F4893" s="12" t="str">
        <f>Absolute_Scores!F4893</f>
        <v>@dwitakdewii</v>
      </c>
      <c r="G4893" s="12" t="str">
        <f>Absolute_Scores!G4893</f>
        <v>Instagram</v>
      </c>
      <c r="H4893" s="29">
        <f>Absolute_Scores!I4893</f>
        <v>34</v>
      </c>
      <c r="I4893" s="30">
        <f t="shared" si="107"/>
        <v>42.5</v>
      </c>
    </row>
    <row r="4894" spans="6:9">
      <c r="F4894" s="12" t="str">
        <f>Absolute_Scores!F4894</f>
        <v>@dwmalaa_</v>
      </c>
      <c r="G4894" s="12" t="str">
        <f>Absolute_Scores!G4894</f>
        <v>TikTok</v>
      </c>
      <c r="H4894" s="29">
        <f>Absolute_Scores!I4894</f>
        <v>34</v>
      </c>
      <c r="I4894" s="30">
        <f t="shared" si="107"/>
        <v>42.5</v>
      </c>
    </row>
    <row r="4895" spans="6:9">
      <c r="F4895" s="12" t="str">
        <f>Absolute_Scores!F4895</f>
        <v>@fdishaa</v>
      </c>
      <c r="G4895" s="12" t="str">
        <f>Absolute_Scores!G4895</f>
        <v>TikTok</v>
      </c>
      <c r="H4895" s="29">
        <f>Absolute_Scores!I4895</f>
        <v>34</v>
      </c>
      <c r="I4895" s="30">
        <f t="shared" si="107"/>
        <v>42.5</v>
      </c>
    </row>
    <row r="4896" spans="6:9">
      <c r="F4896" s="12" t="str">
        <f>Absolute_Scores!F4896</f>
        <v>@fulgentio</v>
      </c>
      <c r="G4896" s="12" t="str">
        <f>Absolute_Scores!G4896</f>
        <v>Instagram</v>
      </c>
      <c r="H4896" s="29">
        <f>Absolute_Scores!I4896</f>
        <v>34</v>
      </c>
      <c r="I4896" s="30">
        <f t="shared" si="107"/>
        <v>42.5</v>
      </c>
    </row>
    <row r="4897" spans="6:9">
      <c r="F4897" s="12" t="str">
        <f>Absolute_Scores!F4897</f>
        <v>@ilmaizlhq_</v>
      </c>
      <c r="G4897" s="12" t="str">
        <f>Absolute_Scores!G4897</f>
        <v>Instagram</v>
      </c>
      <c r="H4897" s="29">
        <f>Absolute_Scores!I4897</f>
        <v>34</v>
      </c>
      <c r="I4897" s="30">
        <f t="shared" si="107"/>
        <v>42.5</v>
      </c>
    </row>
    <row r="4898" spans="6:9">
      <c r="F4898" s="12" t="str">
        <f>Absolute_Scores!F4898</f>
        <v>@indahmegaa</v>
      </c>
      <c r="G4898" s="12" t="str">
        <f>Absolute_Scores!G4898</f>
        <v>Instagram</v>
      </c>
      <c r="H4898" s="29">
        <f>Absolute_Scores!I4898</f>
        <v>34</v>
      </c>
      <c r="I4898" s="30">
        <f t="shared" si="107"/>
        <v>42.5</v>
      </c>
    </row>
    <row r="4899" spans="6:9">
      <c r="F4899" s="12" t="str">
        <f>Absolute_Scores!F4899</f>
        <v>@infociputatcom</v>
      </c>
      <c r="G4899" s="12" t="str">
        <f>Absolute_Scores!G4899</f>
        <v>Instagram</v>
      </c>
      <c r="H4899" s="29">
        <f>Absolute_Scores!I4899</f>
        <v>34</v>
      </c>
      <c r="I4899" s="30">
        <f t="shared" si="107"/>
        <v>42.5</v>
      </c>
    </row>
    <row r="4900" spans="6:9">
      <c r="F4900" s="12" t="str">
        <f>Absolute_Scores!F4900</f>
        <v>@itsjesselin</v>
      </c>
      <c r="G4900" s="12" t="str">
        <f>Absolute_Scores!G4900</f>
        <v>TikTok</v>
      </c>
      <c r="H4900" s="29">
        <f>Absolute_Scores!I4900</f>
        <v>34</v>
      </c>
      <c r="I4900" s="30">
        <f t="shared" si="107"/>
        <v>42.5</v>
      </c>
    </row>
    <row r="4901" spans="6:9">
      <c r="F4901" s="12" t="str">
        <f>Absolute_Scores!F4901</f>
        <v>@justvita28</v>
      </c>
      <c r="G4901" s="12" t="str">
        <f>Absolute_Scores!G4901</f>
        <v>Instagram</v>
      </c>
      <c r="H4901" s="29">
        <f>Absolute_Scores!I4901</f>
        <v>34</v>
      </c>
      <c r="I4901" s="30">
        <f t="shared" si="107"/>
        <v>42.5</v>
      </c>
    </row>
    <row r="4902" spans="6:9">
      <c r="F4902" s="12" t="str">
        <f>Absolute_Scores!F4902</f>
        <v>@kukymunchsterrr_</v>
      </c>
      <c r="G4902" s="12" t="str">
        <f>Absolute_Scores!G4902</f>
        <v>TikTok</v>
      </c>
      <c r="H4902" s="29">
        <f>Absolute_Scores!I4902</f>
        <v>34</v>
      </c>
      <c r="I4902" s="30">
        <f t="shared" si="107"/>
        <v>42.5</v>
      </c>
    </row>
    <row r="4903" spans="6:9">
      <c r="F4903" s="12" t="str">
        <f>Absolute_Scores!F4903</f>
        <v>@levianaivel</v>
      </c>
      <c r="G4903" s="12" t="str">
        <f>Absolute_Scores!G4903</f>
        <v>Instagram</v>
      </c>
      <c r="H4903" s="29">
        <f>Absolute_Scores!I4903</f>
        <v>34</v>
      </c>
      <c r="I4903" s="30">
        <f t="shared" si="107"/>
        <v>42.5</v>
      </c>
    </row>
    <row r="4904" spans="6:9">
      <c r="F4904" s="12" t="str">
        <f>Absolute_Scores!F4904</f>
        <v>@medinaka_17</v>
      </c>
      <c r="G4904" s="12" t="str">
        <f>Absolute_Scores!G4904</f>
        <v>Instagram</v>
      </c>
      <c r="H4904" s="29">
        <f>Absolute_Scores!I4904</f>
        <v>34</v>
      </c>
      <c r="I4904" s="30">
        <f t="shared" si="107"/>
        <v>42.5</v>
      </c>
    </row>
    <row r="4905" spans="6:9">
      <c r="F4905" s="12" t="str">
        <f>Absolute_Scores!F4905</f>
        <v>@miaanf</v>
      </c>
      <c r="G4905" s="12" t="str">
        <f>Absolute_Scores!G4905</f>
        <v>Instagram</v>
      </c>
      <c r="H4905" s="29">
        <f>Absolute_Scores!I4905</f>
        <v>34</v>
      </c>
      <c r="I4905" s="30">
        <f t="shared" si="107"/>
        <v>42.5</v>
      </c>
    </row>
    <row r="4906" spans="6:9">
      <c r="F4906" s="12" t="str">
        <f>Absolute_Scores!F4906</f>
        <v>@mineralbotanica</v>
      </c>
      <c r="G4906" s="12" t="str">
        <f>Absolute_Scores!G4906</f>
        <v>Instagram</v>
      </c>
      <c r="H4906" s="29">
        <f>Absolute_Scores!I4906</f>
        <v>34</v>
      </c>
      <c r="I4906" s="30">
        <f t="shared" si="107"/>
        <v>42.5</v>
      </c>
    </row>
    <row r="4907" spans="6:9">
      <c r="F4907" s="12" t="str">
        <f>Absolute_Scores!F4907</f>
        <v>@muhammadfahrul_</v>
      </c>
      <c r="G4907" s="12" t="str">
        <f>Absolute_Scores!G4907</f>
        <v>Instagram</v>
      </c>
      <c r="H4907" s="29">
        <f>Absolute_Scores!I4907</f>
        <v>34</v>
      </c>
      <c r="I4907" s="30">
        <f t="shared" si="107"/>
        <v>42.5</v>
      </c>
    </row>
    <row r="4908" spans="6:9">
      <c r="F4908" s="12" t="str">
        <f>Absolute_Scores!F4908</f>
        <v>@naftaliangel_miracle</v>
      </c>
      <c r="G4908" s="12" t="str">
        <f>Absolute_Scores!G4908</f>
        <v>Instagram</v>
      </c>
      <c r="H4908" s="29">
        <f>Absolute_Scores!I4908</f>
        <v>34</v>
      </c>
      <c r="I4908" s="30">
        <f t="shared" si="107"/>
        <v>42.5</v>
      </c>
    </row>
    <row r="4909" spans="6:9">
      <c r="F4909" s="12" t="str">
        <f>Absolute_Scores!F4909</f>
        <v>@nyonyahafidz_</v>
      </c>
      <c r="G4909" s="12" t="str">
        <f>Absolute_Scores!G4909</f>
        <v>Instagram</v>
      </c>
      <c r="H4909" s="29">
        <f>Absolute_Scores!I4909</f>
        <v>34</v>
      </c>
      <c r="I4909" s="30">
        <f t="shared" si="107"/>
        <v>42.5</v>
      </c>
    </row>
    <row r="4910" spans="6:9">
      <c r="F4910" s="12" t="str">
        <f>Absolute_Scores!F4910</f>
        <v>@oceljoycelyn</v>
      </c>
      <c r="G4910" s="12" t="str">
        <f>Absolute_Scores!G4910</f>
        <v>TikTok</v>
      </c>
      <c r="H4910" s="29">
        <f>Absolute_Scores!I4910</f>
        <v>34</v>
      </c>
      <c r="I4910" s="30">
        <f t="shared" si="107"/>
        <v>42.5</v>
      </c>
    </row>
    <row r="4911" spans="6:9">
      <c r="F4911" s="12" t="str">
        <f>Absolute_Scores!F4911</f>
        <v>@oliviareginas18</v>
      </c>
      <c r="G4911" s="12" t="str">
        <f>Absolute_Scores!G4911</f>
        <v>Instagram</v>
      </c>
      <c r="H4911" s="29">
        <f>Absolute_Scores!I4911</f>
        <v>34</v>
      </c>
      <c r="I4911" s="30">
        <f t="shared" si="107"/>
        <v>42.5</v>
      </c>
    </row>
    <row r="4912" spans="6:9">
      <c r="F4912" s="12" t="str">
        <f>Absolute_Scores!F4912</f>
        <v>@princesssadira</v>
      </c>
      <c r="G4912" s="12" t="str">
        <f>Absolute_Scores!G4912</f>
        <v>Instagram</v>
      </c>
      <c r="H4912" s="29">
        <f>Absolute_Scores!I4912</f>
        <v>34</v>
      </c>
      <c r="I4912" s="30">
        <f t="shared" si="107"/>
        <v>42.5</v>
      </c>
    </row>
    <row r="4913" spans="6:9">
      <c r="F4913" s="12" t="str">
        <f>Absolute_Scores!F4913</f>
        <v>@puspitawi</v>
      </c>
      <c r="G4913" s="12" t="str">
        <f>Absolute_Scores!G4913</f>
        <v>Instagram</v>
      </c>
      <c r="H4913" s="29">
        <f>Absolute_Scores!I4913</f>
        <v>34</v>
      </c>
      <c r="I4913" s="30">
        <f t="shared" si="107"/>
        <v>42.5</v>
      </c>
    </row>
    <row r="4914" spans="6:9">
      <c r="F4914" s="12" t="str">
        <f>Absolute_Scores!F4914</f>
        <v>@raniashafira</v>
      </c>
      <c r="G4914" s="12" t="str">
        <f>Absolute_Scores!G4914</f>
        <v>Instagram</v>
      </c>
      <c r="H4914" s="29">
        <f>Absolute_Scores!I4914</f>
        <v>34</v>
      </c>
      <c r="I4914" s="30">
        <f t="shared" si="107"/>
        <v>42.5</v>
      </c>
    </row>
    <row r="4915" spans="6:9">
      <c r="F4915" s="12" t="str">
        <f>Absolute_Scores!F4915</f>
        <v>@ratusalza</v>
      </c>
      <c r="G4915" s="12" t="str">
        <f>Absolute_Scores!G4915</f>
        <v>Instagram</v>
      </c>
      <c r="H4915" s="29">
        <f>Absolute_Scores!I4915</f>
        <v>34</v>
      </c>
      <c r="I4915" s="30">
        <f t="shared" si="107"/>
        <v>42.5</v>
      </c>
    </row>
    <row r="4916" spans="6:9">
      <c r="F4916" s="12" t="str">
        <f>Absolute_Scores!F4916</f>
        <v>@revdy</v>
      </c>
      <c r="G4916" s="12" t="str">
        <f>Absolute_Scores!G4916</f>
        <v>Instagram</v>
      </c>
      <c r="H4916" s="29">
        <f>Absolute_Scores!I4916</f>
        <v>34</v>
      </c>
      <c r="I4916" s="30">
        <f t="shared" si="107"/>
        <v>42.5</v>
      </c>
    </row>
    <row r="4917" spans="6:9">
      <c r="F4917" s="12" t="str">
        <f>Absolute_Scores!F4917</f>
        <v>@rizkaamelya_</v>
      </c>
      <c r="G4917" s="12" t="str">
        <f>Absolute_Scores!G4917</f>
        <v>Instagram</v>
      </c>
      <c r="H4917" s="29">
        <f>Absolute_Scores!I4917</f>
        <v>34</v>
      </c>
      <c r="I4917" s="30">
        <f t="shared" si="107"/>
        <v>42.5</v>
      </c>
    </row>
    <row r="4918" spans="6:9">
      <c r="F4918" s="12" t="str">
        <f>Absolute_Scores!F4918</f>
        <v>@shendaputri</v>
      </c>
      <c r="G4918" s="12" t="str">
        <f>Absolute_Scores!G4918</f>
        <v>Instagram</v>
      </c>
      <c r="H4918" s="29">
        <f>Absolute_Scores!I4918</f>
        <v>34</v>
      </c>
      <c r="I4918" s="30">
        <f t="shared" si="107"/>
        <v>42.5</v>
      </c>
    </row>
    <row r="4919" spans="6:9">
      <c r="F4919" s="12" t="str">
        <f>Absolute_Scores!F4919</f>
        <v>@sitifitriyani115</v>
      </c>
      <c r="G4919" s="12" t="str">
        <f>Absolute_Scores!G4919</f>
        <v>TikTok</v>
      </c>
      <c r="H4919" s="29">
        <f>Absolute_Scores!I4919</f>
        <v>34</v>
      </c>
      <c r="I4919" s="30">
        <f t="shared" si="107"/>
        <v>42.5</v>
      </c>
    </row>
    <row r="4920" spans="6:9">
      <c r="F4920" s="12" t="str">
        <f>Absolute_Scores!F4920</f>
        <v>@skinonscreen</v>
      </c>
      <c r="G4920" s="12" t="str">
        <f>Absolute_Scores!G4920</f>
        <v>Instagram</v>
      </c>
      <c r="H4920" s="29">
        <f>Absolute_Scores!I4920</f>
        <v>34</v>
      </c>
      <c r="I4920" s="30">
        <f t="shared" si="107"/>
        <v>42.5</v>
      </c>
    </row>
    <row r="4921" spans="6:9">
      <c r="F4921" s="12" t="str">
        <f>Absolute_Scores!F4921</f>
        <v>@sylvyprincesnata</v>
      </c>
      <c r="G4921" s="12" t="str">
        <f>Absolute_Scores!G4921</f>
        <v>Instagram</v>
      </c>
      <c r="H4921" s="29">
        <f>Absolute_Scores!I4921</f>
        <v>34</v>
      </c>
      <c r="I4921" s="30">
        <f t="shared" si="107"/>
        <v>42.5</v>
      </c>
    </row>
    <row r="4922" spans="6:9">
      <c r="F4922" s="12" t="str">
        <f>Absolute_Scores!F4922</f>
        <v>@teukudinoo</v>
      </c>
      <c r="G4922" s="12" t="str">
        <f>Absolute_Scores!G4922</f>
        <v>TikTok</v>
      </c>
      <c r="H4922" s="29">
        <f>Absolute_Scores!I4922</f>
        <v>34</v>
      </c>
      <c r="I4922" s="30">
        <f t="shared" si="107"/>
        <v>42.5</v>
      </c>
    </row>
    <row r="4923" spans="6:9">
      <c r="F4923" s="12" t="str">
        <f>Absolute_Scores!F4923</f>
        <v>@tutusthomson</v>
      </c>
      <c r="G4923" s="12" t="str">
        <f>Absolute_Scores!G4923</f>
        <v>Instagram</v>
      </c>
      <c r="H4923" s="29">
        <f>Absolute_Scores!I4923</f>
        <v>34</v>
      </c>
      <c r="I4923" s="30">
        <f t="shared" si="107"/>
        <v>42.5</v>
      </c>
    </row>
    <row r="4924" spans="6:9">
      <c r="F4924" s="12" t="str">
        <f>Absolute_Scores!F4924</f>
        <v>@vae_tobing97</v>
      </c>
      <c r="G4924" s="12" t="str">
        <f>Absolute_Scores!G4924</f>
        <v>Instagram</v>
      </c>
      <c r="H4924" s="29">
        <f>Absolute_Scores!I4924</f>
        <v>34</v>
      </c>
      <c r="I4924" s="30">
        <f t="shared" si="107"/>
        <v>42.5</v>
      </c>
    </row>
    <row r="4925" spans="6:9">
      <c r="F4925" s="12" t="str">
        <f>Absolute_Scores!F4925</f>
        <v>@valleskaraa</v>
      </c>
      <c r="G4925" s="12" t="str">
        <f>Absolute_Scores!G4925</f>
        <v>TikTok</v>
      </c>
      <c r="H4925" s="29">
        <f>Absolute_Scores!I4925</f>
        <v>34</v>
      </c>
      <c r="I4925" s="30">
        <f t="shared" si="107"/>
        <v>42.5</v>
      </c>
    </row>
    <row r="4926" spans="6:9">
      <c r="F4926" s="12" t="str">
        <f>Absolute_Scores!F4926</f>
        <v>@yericastephaniek</v>
      </c>
      <c r="G4926" s="12" t="str">
        <f>Absolute_Scores!G4926</f>
        <v>Instagram</v>
      </c>
      <c r="H4926" s="29">
        <f>Absolute_Scores!I4926</f>
        <v>34</v>
      </c>
      <c r="I4926" s="30">
        <f t="shared" si="107"/>
        <v>42.5</v>
      </c>
    </row>
    <row r="4927" spans="6:9">
      <c r="F4927" s="12" t="str">
        <f>Absolute_Scores!F4927</f>
        <v>@anastyapandan</v>
      </c>
      <c r="G4927" s="12" t="str">
        <f>Absolute_Scores!G4927</f>
        <v>Instagram</v>
      </c>
      <c r="H4927" s="29">
        <f>Absolute_Scores!I4927</f>
        <v>33</v>
      </c>
      <c r="I4927" s="30">
        <f t="shared" si="107"/>
        <v>41.25</v>
      </c>
    </row>
    <row r="4928" spans="6:9">
      <c r="F4928" s="12" t="str">
        <f>Absolute_Scores!F4928</f>
        <v>@angui.11</v>
      </c>
      <c r="G4928" s="12" t="str">
        <f>Absolute_Scores!G4928</f>
        <v>Instagram</v>
      </c>
      <c r="H4928" s="29">
        <f>Absolute_Scores!I4928</f>
        <v>33</v>
      </c>
      <c r="I4928" s="30">
        <f t="shared" si="107"/>
        <v>41.25</v>
      </c>
    </row>
    <row r="4929" spans="6:9">
      <c r="F4929" s="12" t="str">
        <f>Absolute_Scores!F4929</f>
        <v>@anisanhdlyh_</v>
      </c>
      <c r="G4929" s="12" t="str">
        <f>Absolute_Scores!G4929</f>
        <v>TikTok</v>
      </c>
      <c r="H4929" s="29">
        <f>Absolute_Scores!I4929</f>
        <v>33</v>
      </c>
      <c r="I4929" s="30">
        <f t="shared" si="107"/>
        <v>41.25</v>
      </c>
    </row>
    <row r="4930" spans="6:9">
      <c r="F4930" s="12" t="str">
        <f>Absolute_Scores!F4930</f>
        <v>@antikawlns_</v>
      </c>
      <c r="G4930" s="12" t="str">
        <f>Absolute_Scores!G4930</f>
        <v>TikTok</v>
      </c>
      <c r="H4930" s="29">
        <f>Absolute_Scores!I4930</f>
        <v>33</v>
      </c>
      <c r="I4930" s="30">
        <f t="shared" si="107"/>
        <v>41.25</v>
      </c>
    </row>
    <row r="4931" spans="6:9">
      <c r="F4931" s="12" t="str">
        <f>Absolute_Scores!F4931</f>
        <v>@aprillmuuv</v>
      </c>
      <c r="G4931" s="12" t="str">
        <f>Absolute_Scores!G4931</f>
        <v>TikTok</v>
      </c>
      <c r="H4931" s="29">
        <f>Absolute_Scores!I4931</f>
        <v>33</v>
      </c>
      <c r="I4931" s="30">
        <f t="shared" si="107"/>
        <v>41.25</v>
      </c>
    </row>
    <row r="4932" spans="6:9">
      <c r="F4932" s="12" t="str">
        <f>Absolute_Scores!F4932</f>
        <v>@asti_geboy</v>
      </c>
      <c r="G4932" s="12" t="str">
        <f>Absolute_Scores!G4932</f>
        <v>Instagram</v>
      </c>
      <c r="H4932" s="29">
        <f>Absolute_Scores!I4932</f>
        <v>33</v>
      </c>
      <c r="I4932" s="30">
        <f t="shared" si="107"/>
        <v>41.25</v>
      </c>
    </row>
    <row r="4933" spans="6:9">
      <c r="F4933" s="12" t="str">
        <f>Absolute_Scores!F4933</f>
        <v>@ayoskincarean</v>
      </c>
      <c r="G4933" s="12" t="str">
        <f>Absolute_Scores!G4933</f>
        <v>TikTok</v>
      </c>
      <c r="H4933" s="29">
        <f>Absolute_Scores!I4933</f>
        <v>33</v>
      </c>
      <c r="I4933" s="30">
        <f t="shared" si="107"/>
        <v>41.25</v>
      </c>
    </row>
    <row r="4934" spans="6:9">
      <c r="F4934" s="12" t="str">
        <f>Absolute_Scores!F4934</f>
        <v>@citrasidabutar1</v>
      </c>
      <c r="G4934" s="12" t="str">
        <f>Absolute_Scores!G4934</f>
        <v>TikTok</v>
      </c>
      <c r="H4934" s="29">
        <f>Absolute_Scores!I4934</f>
        <v>33</v>
      </c>
      <c r="I4934" s="30">
        <f t="shared" ref="I4934:I4997" si="108">ROUND(H4934/$I$4*100,2)</f>
        <v>41.25</v>
      </c>
    </row>
    <row r="4935" spans="6:9">
      <c r="F4935" s="12" t="str">
        <f>Absolute_Scores!F4935</f>
        <v>@dar.q</v>
      </c>
      <c r="G4935" s="12" t="str">
        <f>Absolute_Scores!G4935</f>
        <v>Instagram</v>
      </c>
      <c r="H4935" s="29">
        <f>Absolute_Scores!I4935</f>
        <v>33</v>
      </c>
      <c r="I4935" s="30">
        <f t="shared" si="108"/>
        <v>41.25</v>
      </c>
    </row>
    <row r="4936" spans="6:9">
      <c r="F4936" s="12" t="str">
        <f>Absolute_Scores!F4936</f>
        <v>@darraalfaridzi</v>
      </c>
      <c r="G4936" s="12" t="str">
        <f>Absolute_Scores!G4936</f>
        <v>Instagram</v>
      </c>
      <c r="H4936" s="29">
        <f>Absolute_Scores!I4936</f>
        <v>33</v>
      </c>
      <c r="I4936" s="30">
        <f t="shared" si="108"/>
        <v>41.25</v>
      </c>
    </row>
    <row r="4937" spans="6:9">
      <c r="F4937" s="12" t="str">
        <f>Absolute_Scores!F4937</f>
        <v>@dekaul</v>
      </c>
      <c r="G4937" s="12" t="str">
        <f>Absolute_Scores!G4937</f>
        <v>TikTok</v>
      </c>
      <c r="H4937" s="29">
        <f>Absolute_Scores!I4937</f>
        <v>33</v>
      </c>
      <c r="I4937" s="30">
        <f t="shared" si="108"/>
        <v>41.25</v>
      </c>
    </row>
    <row r="4938" spans="6:9">
      <c r="F4938" s="12" t="str">
        <f>Absolute_Scores!F4938</f>
        <v>@dheauwinaa</v>
      </c>
      <c r="G4938" s="12" t="str">
        <f>Absolute_Scores!G4938</f>
        <v>Instagram</v>
      </c>
      <c r="H4938" s="29">
        <f>Absolute_Scores!I4938</f>
        <v>33</v>
      </c>
      <c r="I4938" s="30">
        <f t="shared" si="108"/>
        <v>41.25</v>
      </c>
    </row>
    <row r="4939" spans="6:9">
      <c r="F4939" s="12" t="str">
        <f>Absolute_Scores!F4939</f>
        <v>@divocado</v>
      </c>
      <c r="G4939" s="12" t="str">
        <f>Absolute_Scores!G4939</f>
        <v>TikTok</v>
      </c>
      <c r="H4939" s="29">
        <f>Absolute_Scores!I4939</f>
        <v>33</v>
      </c>
      <c r="I4939" s="30">
        <f t="shared" si="108"/>
        <v>41.25</v>
      </c>
    </row>
    <row r="4940" spans="6:9">
      <c r="F4940" s="12" t="str">
        <f>Absolute_Scores!F4940</f>
        <v>@dzidzihadid</v>
      </c>
      <c r="G4940" s="12" t="str">
        <f>Absolute_Scores!G4940</f>
        <v>TikTok</v>
      </c>
      <c r="H4940" s="29">
        <f>Absolute_Scores!I4940</f>
        <v>33</v>
      </c>
      <c r="I4940" s="30">
        <f t="shared" si="108"/>
        <v>41.25</v>
      </c>
    </row>
    <row r="4941" spans="6:9">
      <c r="F4941" s="12" t="str">
        <f>Absolute_Scores!F4941</f>
        <v>@effioct</v>
      </c>
      <c r="G4941" s="12" t="str">
        <f>Absolute_Scores!G4941</f>
        <v>TikTok</v>
      </c>
      <c r="H4941" s="29">
        <f>Absolute_Scores!I4941</f>
        <v>33</v>
      </c>
      <c r="I4941" s="30">
        <f t="shared" si="108"/>
        <v>41.25</v>
      </c>
    </row>
    <row r="4942" spans="6:9">
      <c r="F4942" s="12" t="str">
        <f>Absolute_Scores!F4942</f>
        <v>@el_tannn</v>
      </c>
      <c r="G4942" s="12" t="str">
        <f>Absolute_Scores!G4942</f>
        <v>Instagram</v>
      </c>
      <c r="H4942" s="29">
        <f>Absolute_Scores!I4942</f>
        <v>33</v>
      </c>
      <c r="I4942" s="30">
        <f t="shared" si="108"/>
        <v>41.25</v>
      </c>
    </row>
    <row r="4943" spans="6:9">
      <c r="F4943" s="12" t="str">
        <f>Absolute_Scores!F4943</f>
        <v>@fangs_kezia</v>
      </c>
      <c r="G4943" s="12" t="str">
        <f>Absolute_Scores!G4943</f>
        <v>Instagram</v>
      </c>
      <c r="H4943" s="29">
        <f>Absolute_Scores!I4943</f>
        <v>33</v>
      </c>
      <c r="I4943" s="30">
        <f t="shared" si="108"/>
        <v>41.25</v>
      </c>
    </row>
    <row r="4944" spans="6:9">
      <c r="F4944" s="12" t="str">
        <f>Absolute_Scores!F4944</f>
        <v>@fitrianaf123</v>
      </c>
      <c r="G4944" s="12" t="str">
        <f>Absolute_Scores!G4944</f>
        <v>TikTok</v>
      </c>
      <c r="H4944" s="29">
        <f>Absolute_Scores!I4944</f>
        <v>33</v>
      </c>
      <c r="I4944" s="30">
        <f t="shared" si="108"/>
        <v>41.25</v>
      </c>
    </row>
    <row r="4945" spans="6:9">
      <c r="F4945" s="12" t="str">
        <f>Absolute_Scores!F4945</f>
        <v>@florinrine</v>
      </c>
      <c r="G4945" s="12" t="str">
        <f>Absolute_Scores!G4945</f>
        <v>TikTok</v>
      </c>
      <c r="H4945" s="29">
        <f>Absolute_Scores!I4945</f>
        <v>33</v>
      </c>
      <c r="I4945" s="30">
        <f t="shared" si="108"/>
        <v>41.25</v>
      </c>
    </row>
    <row r="4946" spans="6:9">
      <c r="F4946" s="12" t="str">
        <f>Absolute_Scores!F4946</f>
        <v>@fujiiraaaa</v>
      </c>
      <c r="G4946" s="12" t="str">
        <f>Absolute_Scores!G4946</f>
        <v>Instagram</v>
      </c>
      <c r="H4946" s="29">
        <f>Absolute_Scores!I4946</f>
        <v>33</v>
      </c>
      <c r="I4946" s="30">
        <f t="shared" si="108"/>
        <v>41.25</v>
      </c>
    </row>
    <row r="4947" spans="6:9">
      <c r="F4947" s="12" t="str">
        <f>Absolute_Scores!F4947</f>
        <v>@gizaamel_</v>
      </c>
      <c r="G4947" s="12" t="str">
        <f>Absolute_Scores!G4947</f>
        <v>Instagram</v>
      </c>
      <c r="H4947" s="29">
        <f>Absolute_Scores!I4947</f>
        <v>33</v>
      </c>
      <c r="I4947" s="30">
        <f t="shared" si="108"/>
        <v>41.25</v>
      </c>
    </row>
    <row r="4948" spans="6:9">
      <c r="F4948" s="12" t="str">
        <f>Absolute_Scores!F4948</f>
        <v>@ig.syipaanr</v>
      </c>
      <c r="G4948" s="12" t="str">
        <f>Absolute_Scores!G4948</f>
        <v>TikTok</v>
      </c>
      <c r="H4948" s="29">
        <f>Absolute_Scores!I4948</f>
        <v>33</v>
      </c>
      <c r="I4948" s="30">
        <f t="shared" si="108"/>
        <v>41.25</v>
      </c>
    </row>
    <row r="4949" spans="6:9">
      <c r="F4949" s="12" t="str">
        <f>Absolute_Scores!F4949</f>
        <v>@infokabupatenbogor</v>
      </c>
      <c r="G4949" s="12" t="str">
        <f>Absolute_Scores!G4949</f>
        <v>Instagram</v>
      </c>
      <c r="H4949" s="29">
        <f>Absolute_Scores!I4949</f>
        <v>33</v>
      </c>
      <c r="I4949" s="30">
        <f t="shared" si="108"/>
        <v>41.25</v>
      </c>
    </row>
    <row r="4950" spans="6:9">
      <c r="F4950" s="12" t="str">
        <f>Absolute_Scores!F4950</f>
        <v>@inge_majoz</v>
      </c>
      <c r="G4950" s="12" t="str">
        <f>Absolute_Scores!G4950</f>
        <v>Instagram</v>
      </c>
      <c r="H4950" s="29">
        <f>Absolute_Scores!I4950</f>
        <v>33</v>
      </c>
      <c r="I4950" s="30">
        <f t="shared" si="108"/>
        <v>41.25</v>
      </c>
    </row>
    <row r="4951" spans="6:9">
      <c r="F4951" s="12" t="str">
        <f>Absolute_Scores!F4951</f>
        <v>@jellycho0</v>
      </c>
      <c r="G4951" s="12" t="str">
        <f>Absolute_Scores!G4951</f>
        <v>TikTok</v>
      </c>
      <c r="H4951" s="29">
        <f>Absolute_Scores!I4951</f>
        <v>33</v>
      </c>
      <c r="I4951" s="30">
        <f t="shared" si="108"/>
        <v>41.25</v>
      </c>
    </row>
    <row r="4952" spans="6:9">
      <c r="F4952" s="12" t="str">
        <f>Absolute_Scores!F4952</f>
        <v>@kellyaliandra</v>
      </c>
      <c r="G4952" s="12" t="str">
        <f>Absolute_Scores!G4952</f>
        <v>Instagram</v>
      </c>
      <c r="H4952" s="29">
        <f>Absolute_Scores!I4952</f>
        <v>33</v>
      </c>
      <c r="I4952" s="30">
        <f t="shared" si="108"/>
        <v>41.25</v>
      </c>
    </row>
    <row r="4953" spans="6:9">
      <c r="F4953" s="12" t="str">
        <f>Absolute_Scores!F4953</f>
        <v>@lia_hdm</v>
      </c>
      <c r="G4953" s="12" t="str">
        <f>Absolute_Scores!G4953</f>
        <v>Instagram</v>
      </c>
      <c r="H4953" s="29">
        <f>Absolute_Scores!I4953</f>
        <v>33</v>
      </c>
      <c r="I4953" s="30">
        <f t="shared" si="108"/>
        <v>41.25</v>
      </c>
    </row>
    <row r="4954" spans="6:9">
      <c r="F4954" s="12" t="str">
        <f>Absolute_Scores!F4954</f>
        <v>@melina_lyn</v>
      </c>
      <c r="G4954" s="12" t="str">
        <f>Absolute_Scores!G4954</f>
        <v>Instagram</v>
      </c>
      <c r="H4954" s="29">
        <f>Absolute_Scores!I4954</f>
        <v>33</v>
      </c>
      <c r="I4954" s="30">
        <f t="shared" si="108"/>
        <v>41.25</v>
      </c>
    </row>
    <row r="4955" spans="6:9">
      <c r="F4955" s="12" t="str">
        <f>Absolute_Scores!F4955</f>
        <v>@melysatann</v>
      </c>
      <c r="G4955" s="12" t="str">
        <f>Absolute_Scores!G4955</f>
        <v>TikTok</v>
      </c>
      <c r="H4955" s="29">
        <f>Absolute_Scores!I4955</f>
        <v>33</v>
      </c>
      <c r="I4955" s="30">
        <f t="shared" si="108"/>
        <v>41.25</v>
      </c>
    </row>
    <row r="4956" spans="6:9">
      <c r="F4956" s="12" t="str">
        <f>Absolute_Scores!F4956</f>
        <v>@meydicine</v>
      </c>
      <c r="G4956" s="12" t="str">
        <f>Absolute_Scores!G4956</f>
        <v>TikTok</v>
      </c>
      <c r="H4956" s="29">
        <f>Absolute_Scores!I4956</f>
        <v>33</v>
      </c>
      <c r="I4956" s="30">
        <f t="shared" si="108"/>
        <v>41.25</v>
      </c>
    </row>
    <row r="4957" spans="6:9">
      <c r="F4957" s="12" t="str">
        <f>Absolute_Scores!F4957</f>
        <v>@mfchaca</v>
      </c>
      <c r="G4957" s="12" t="str">
        <f>Absolute_Scores!G4957</f>
        <v>TikTok</v>
      </c>
      <c r="H4957" s="29">
        <f>Absolute_Scores!I4957</f>
        <v>33</v>
      </c>
      <c r="I4957" s="30">
        <f t="shared" si="108"/>
        <v>41.25</v>
      </c>
    </row>
    <row r="4958" spans="6:9">
      <c r="F4958" s="12" t="str">
        <f>Absolute_Scores!F4958</f>
        <v>@nafilahm</v>
      </c>
      <c r="G4958" s="12" t="str">
        <f>Absolute_Scores!G4958</f>
        <v>TikTok</v>
      </c>
      <c r="H4958" s="29">
        <f>Absolute_Scores!I4958</f>
        <v>33</v>
      </c>
      <c r="I4958" s="30">
        <f t="shared" si="108"/>
        <v>41.25</v>
      </c>
    </row>
    <row r="4959" spans="6:9">
      <c r="F4959" s="12" t="str">
        <f>Absolute_Scores!F4959</f>
        <v>@nhafsaaa</v>
      </c>
      <c r="G4959" s="12" t="str">
        <f>Absolute_Scores!G4959</f>
        <v>TikTok</v>
      </c>
      <c r="H4959" s="29">
        <f>Absolute_Scores!I4959</f>
        <v>33</v>
      </c>
      <c r="I4959" s="30">
        <f t="shared" si="108"/>
        <v>41.25</v>
      </c>
    </row>
    <row r="4960" spans="6:9">
      <c r="F4960" s="12" t="str">
        <f>Absolute_Scores!F4960</f>
        <v>@niacnofitasari</v>
      </c>
      <c r="G4960" s="12" t="str">
        <f>Absolute_Scores!G4960</f>
        <v>Instagram</v>
      </c>
      <c r="H4960" s="29">
        <f>Absolute_Scores!I4960</f>
        <v>33</v>
      </c>
      <c r="I4960" s="30">
        <f t="shared" si="108"/>
        <v>41.25</v>
      </c>
    </row>
    <row r="4961" spans="6:9">
      <c r="F4961" s="12" t="str">
        <f>Absolute_Scores!F4961</f>
        <v>@nida0698</v>
      </c>
      <c r="G4961" s="12" t="str">
        <f>Absolute_Scores!G4961</f>
        <v>TikTok</v>
      </c>
      <c r="H4961" s="29">
        <f>Absolute_Scores!I4961</f>
        <v>33</v>
      </c>
      <c r="I4961" s="30">
        <f t="shared" si="108"/>
        <v>41.25</v>
      </c>
    </row>
    <row r="4962" spans="6:9">
      <c r="F4962" s="12" t="str">
        <f>Absolute_Scores!F4962</f>
        <v>@nindihr_</v>
      </c>
      <c r="G4962" s="12" t="str">
        <f>Absolute_Scores!G4962</f>
        <v>Instagram</v>
      </c>
      <c r="H4962" s="29">
        <f>Absolute_Scores!I4962</f>
        <v>33</v>
      </c>
      <c r="I4962" s="30">
        <f t="shared" si="108"/>
        <v>41.25</v>
      </c>
    </row>
    <row r="4963" spans="6:9">
      <c r="F4963" s="12" t="str">
        <f>Absolute_Scores!F4963</f>
        <v>@nindtha</v>
      </c>
      <c r="G4963" s="12" t="str">
        <f>Absolute_Scores!G4963</f>
        <v>TikTok</v>
      </c>
      <c r="H4963" s="29">
        <f>Absolute_Scores!I4963</f>
        <v>33</v>
      </c>
      <c r="I4963" s="30">
        <f t="shared" si="108"/>
        <v>41.25</v>
      </c>
    </row>
    <row r="4964" spans="6:9">
      <c r="F4964" s="12" t="str">
        <f>Absolute_Scores!F4964</f>
        <v>@oriveralinas</v>
      </c>
      <c r="G4964" s="12" t="str">
        <f>Absolute_Scores!G4964</f>
        <v>Instagram</v>
      </c>
      <c r="H4964" s="29">
        <f>Absolute_Scores!I4964</f>
        <v>33</v>
      </c>
      <c r="I4964" s="30">
        <f t="shared" si="108"/>
        <v>41.25</v>
      </c>
    </row>
    <row r="4965" spans="6:9">
      <c r="F4965" s="12" t="str">
        <f>Absolute_Scores!F4965</f>
        <v>@ovieekaoru</v>
      </c>
      <c r="G4965" s="12" t="str">
        <f>Absolute_Scores!G4965</f>
        <v>Instagram</v>
      </c>
      <c r="H4965" s="29">
        <f>Absolute_Scores!I4965</f>
        <v>33</v>
      </c>
      <c r="I4965" s="30">
        <f t="shared" si="108"/>
        <v>41.25</v>
      </c>
    </row>
    <row r="4966" spans="6:9">
      <c r="F4966" s="12" t="str">
        <f>Absolute_Scores!F4966</f>
        <v>@pagns</v>
      </c>
      <c r="G4966" s="12" t="str">
        <f>Absolute_Scores!G4966</f>
        <v>Instagram</v>
      </c>
      <c r="H4966" s="29">
        <f>Absolute_Scores!I4966</f>
        <v>33</v>
      </c>
      <c r="I4966" s="30">
        <f t="shared" si="108"/>
        <v>41.25</v>
      </c>
    </row>
    <row r="4967" spans="6:9">
      <c r="F4967" s="12" t="str">
        <f>Absolute_Scores!F4967</f>
        <v>@rachmamalia</v>
      </c>
      <c r="G4967" s="12" t="str">
        <f>Absolute_Scores!G4967</f>
        <v>TikTok</v>
      </c>
      <c r="H4967" s="29">
        <f>Absolute_Scores!I4967</f>
        <v>33</v>
      </c>
      <c r="I4967" s="30">
        <f t="shared" si="108"/>
        <v>41.25</v>
      </c>
    </row>
    <row r="4968" spans="6:9">
      <c r="F4968" s="12" t="str">
        <f>Absolute_Scores!F4968</f>
        <v>@raniazzhr</v>
      </c>
      <c r="G4968" s="12" t="str">
        <f>Absolute_Scores!G4968</f>
        <v>Instagram</v>
      </c>
      <c r="H4968" s="29">
        <f>Absolute_Scores!I4968</f>
        <v>33</v>
      </c>
      <c r="I4968" s="30">
        <f t="shared" si="108"/>
        <v>41.25</v>
      </c>
    </row>
    <row r="4969" spans="6:9">
      <c r="F4969" s="12" t="str">
        <f>Absolute_Scores!F4969</f>
        <v>@reviewnana</v>
      </c>
      <c r="G4969" s="12" t="str">
        <f>Absolute_Scores!G4969</f>
        <v>TikTok</v>
      </c>
      <c r="H4969" s="29">
        <f>Absolute_Scores!I4969</f>
        <v>33</v>
      </c>
      <c r="I4969" s="30">
        <f t="shared" si="108"/>
        <v>41.25</v>
      </c>
    </row>
    <row r="4970" spans="6:9">
      <c r="F4970" s="12" t="str">
        <f>Absolute_Scores!F4970</f>
        <v>@rischachikaa</v>
      </c>
      <c r="G4970" s="12" t="str">
        <f>Absolute_Scores!G4970</f>
        <v>TikTok</v>
      </c>
      <c r="H4970" s="29">
        <f>Absolute_Scores!I4970</f>
        <v>33</v>
      </c>
      <c r="I4970" s="30">
        <f t="shared" si="108"/>
        <v>41.25</v>
      </c>
    </row>
    <row r="4971" spans="6:9">
      <c r="F4971" s="12" t="str">
        <f>Absolute_Scores!F4971</f>
        <v>@roulineee</v>
      </c>
      <c r="G4971" s="12" t="str">
        <f>Absolute_Scores!G4971</f>
        <v>Instagram</v>
      </c>
      <c r="H4971" s="29">
        <f>Absolute_Scores!I4971</f>
        <v>33</v>
      </c>
      <c r="I4971" s="30">
        <f t="shared" si="108"/>
        <v>41.25</v>
      </c>
    </row>
    <row r="4972" spans="6:9">
      <c r="F4972" s="12" t="str">
        <f>Absolute_Scores!F4972</f>
        <v>@she.nathasya</v>
      </c>
      <c r="G4972" s="12" t="str">
        <f>Absolute_Scores!G4972</f>
        <v>TikTok</v>
      </c>
      <c r="H4972" s="29">
        <f>Absolute_Scores!I4972</f>
        <v>33</v>
      </c>
      <c r="I4972" s="30">
        <f t="shared" si="108"/>
        <v>41.25</v>
      </c>
    </row>
    <row r="4973" spans="6:9">
      <c r="F4973" s="12" t="str">
        <f>Absolute_Scores!F4973</f>
        <v>@silvia_ratu</v>
      </c>
      <c r="G4973" s="12" t="str">
        <f>Absolute_Scores!G4973</f>
        <v>Instagram</v>
      </c>
      <c r="H4973" s="29">
        <f>Absolute_Scores!I4973</f>
        <v>33</v>
      </c>
      <c r="I4973" s="30">
        <f t="shared" si="108"/>
        <v>41.25</v>
      </c>
    </row>
    <row r="4974" spans="6:9">
      <c r="F4974" s="12" t="str">
        <f>Absolute_Scores!F4974</f>
        <v>@sisca_zhang18</v>
      </c>
      <c r="G4974" s="12" t="str">
        <f>Absolute_Scores!G4974</f>
        <v>Instagram</v>
      </c>
      <c r="H4974" s="29">
        <f>Absolute_Scores!I4974</f>
        <v>33</v>
      </c>
      <c r="I4974" s="30">
        <f t="shared" si="108"/>
        <v>41.25</v>
      </c>
    </row>
    <row r="4975" spans="6:9">
      <c r="F4975" s="12" t="str">
        <f>Absolute_Scores!F4975</f>
        <v>@sunarsiech_chochobiez</v>
      </c>
      <c r="G4975" s="12" t="str">
        <f>Absolute_Scores!G4975</f>
        <v>Instagram</v>
      </c>
      <c r="H4975" s="29">
        <f>Absolute_Scores!I4975</f>
        <v>33</v>
      </c>
      <c r="I4975" s="30">
        <f t="shared" si="108"/>
        <v>41.25</v>
      </c>
    </row>
    <row r="4976" spans="6:9">
      <c r="F4976" s="12" t="str">
        <f>Absolute_Scores!F4976</f>
        <v>@tangsel.info</v>
      </c>
      <c r="G4976" s="12" t="str">
        <f>Absolute_Scores!G4976</f>
        <v>Instagram</v>
      </c>
      <c r="H4976" s="29">
        <f>Absolute_Scores!I4976</f>
        <v>33</v>
      </c>
      <c r="I4976" s="30">
        <f t="shared" si="108"/>
        <v>41.25</v>
      </c>
    </row>
    <row r="4977" spans="6:9">
      <c r="F4977" s="12" t="str">
        <f>Absolute_Scores!F4977</f>
        <v>@tata_early</v>
      </c>
      <c r="G4977" s="12" t="str">
        <f>Absolute_Scores!G4977</f>
        <v>Instagram</v>
      </c>
      <c r="H4977" s="29">
        <f>Absolute_Scores!I4977</f>
        <v>33</v>
      </c>
      <c r="I4977" s="30">
        <f t="shared" si="108"/>
        <v>41.25</v>
      </c>
    </row>
    <row r="4978" spans="6:9">
      <c r="F4978" s="12" t="str">
        <f>Absolute_Scores!F4978</f>
        <v>@tepungoreng_</v>
      </c>
      <c r="G4978" s="12" t="str">
        <f>Absolute_Scores!G4978</f>
        <v>TikTok</v>
      </c>
      <c r="H4978" s="29">
        <f>Absolute_Scores!I4978</f>
        <v>33</v>
      </c>
      <c r="I4978" s="30">
        <f t="shared" si="108"/>
        <v>41.25</v>
      </c>
    </row>
    <row r="4979" spans="6:9">
      <c r="F4979" s="12" t="str">
        <f>Absolute_Scores!F4979</f>
        <v>@thisisnaiii</v>
      </c>
      <c r="G4979" s="12" t="str">
        <f>Absolute_Scores!G4979</f>
        <v>TikTok</v>
      </c>
      <c r="H4979" s="29">
        <f>Absolute_Scores!I4979</f>
        <v>33</v>
      </c>
      <c r="I4979" s="30">
        <f t="shared" si="108"/>
        <v>41.25</v>
      </c>
    </row>
    <row r="4980" spans="6:9">
      <c r="F4980" s="12" t="str">
        <f>Absolute_Scores!F4980</f>
        <v>@trzadyn</v>
      </c>
      <c r="G4980" s="12" t="str">
        <f>Absolute_Scores!G4980</f>
        <v>TikTok</v>
      </c>
      <c r="H4980" s="29">
        <f>Absolute_Scores!I4980</f>
        <v>33</v>
      </c>
      <c r="I4980" s="30">
        <f t="shared" si="108"/>
        <v>41.25</v>
      </c>
    </row>
    <row r="4981" spans="6:9">
      <c r="F4981" s="12" t="str">
        <f>Absolute_Scores!F4981</f>
        <v>@vanessachrst</v>
      </c>
      <c r="G4981" s="12" t="str">
        <f>Absolute_Scores!G4981</f>
        <v>Instagram</v>
      </c>
      <c r="H4981" s="29">
        <f>Absolute_Scores!I4981</f>
        <v>33</v>
      </c>
      <c r="I4981" s="30">
        <f t="shared" si="108"/>
        <v>41.25</v>
      </c>
    </row>
    <row r="4982" spans="6:9">
      <c r="F4982" s="12" t="str">
        <f>Absolute_Scores!F4982</f>
        <v>@vera_ratasya</v>
      </c>
      <c r="G4982" s="12" t="str">
        <f>Absolute_Scores!G4982</f>
        <v>Instagram</v>
      </c>
      <c r="H4982" s="29">
        <f>Absolute_Scores!I4982</f>
        <v>33</v>
      </c>
      <c r="I4982" s="30">
        <f t="shared" si="108"/>
        <v>41.25</v>
      </c>
    </row>
    <row r="4983" spans="6:9">
      <c r="F4983" s="12" t="str">
        <f>Absolute_Scores!F4983</f>
        <v>@volix.media</v>
      </c>
      <c r="G4983" s="12" t="str">
        <f>Absolute_Scores!G4983</f>
        <v>Instagram</v>
      </c>
      <c r="H4983" s="29">
        <f>Absolute_Scores!I4983</f>
        <v>33</v>
      </c>
      <c r="I4983" s="30">
        <f t="shared" si="108"/>
        <v>41.25</v>
      </c>
    </row>
    <row r="4984" spans="6:9">
      <c r="F4984" s="12" t="str">
        <f>Absolute_Scores!F4984</f>
        <v>@widya98</v>
      </c>
      <c r="G4984" s="12" t="str">
        <f>Absolute_Scores!G4984</f>
        <v>Instagram</v>
      </c>
      <c r="H4984" s="29">
        <f>Absolute_Scores!I4984</f>
        <v>33</v>
      </c>
      <c r="I4984" s="30">
        <f t="shared" si="108"/>
        <v>41.25</v>
      </c>
    </row>
    <row r="4985" spans="6:9">
      <c r="F4985" s="12" t="str">
        <f>Absolute_Scores!F4985</f>
        <v>@withnisalia</v>
      </c>
      <c r="G4985" s="12" t="str">
        <f>Absolute_Scores!G4985</f>
        <v>Instagram</v>
      </c>
      <c r="H4985" s="29">
        <f>Absolute_Scores!I4985</f>
        <v>33</v>
      </c>
      <c r="I4985" s="30">
        <f t="shared" si="108"/>
        <v>41.25</v>
      </c>
    </row>
    <row r="4986" spans="6:9">
      <c r="F4986" s="12" t="str">
        <f>Absolute_Scores!F4986</f>
        <v>@wudih</v>
      </c>
      <c r="G4986" s="12" t="str">
        <f>Absolute_Scores!G4986</f>
        <v>TikTok</v>
      </c>
      <c r="H4986" s="29">
        <f>Absolute_Scores!I4986</f>
        <v>33</v>
      </c>
      <c r="I4986" s="30">
        <f t="shared" si="108"/>
        <v>41.25</v>
      </c>
    </row>
    <row r="4987" spans="6:9">
      <c r="F4987" s="12" t="str">
        <f>Absolute_Scores!F4987</f>
        <v>@zalfanadhiraa</v>
      </c>
      <c r="G4987" s="12" t="str">
        <f>Absolute_Scores!G4987</f>
        <v>TikTok</v>
      </c>
      <c r="H4987" s="29">
        <f>Absolute_Scores!I4987</f>
        <v>33</v>
      </c>
      <c r="I4987" s="30">
        <f t="shared" si="108"/>
        <v>41.25</v>
      </c>
    </row>
    <row r="4988" spans="6:9">
      <c r="F4988" s="12" t="str">
        <f>Absolute_Scores!F4988</f>
        <v>@.nanab</v>
      </c>
      <c r="G4988" s="12" t="str">
        <f>Absolute_Scores!G4988</f>
        <v>TikTok</v>
      </c>
      <c r="H4988" s="29">
        <f>Absolute_Scores!I4988</f>
        <v>32</v>
      </c>
      <c r="I4988" s="30">
        <f t="shared" si="108"/>
        <v>40</v>
      </c>
    </row>
    <row r="4989" spans="6:9">
      <c r="F4989" s="12" t="str">
        <f>Absolute_Scores!F4989</f>
        <v>@alyssachairiena</v>
      </c>
      <c r="G4989" s="12" t="str">
        <f>Absolute_Scores!G4989</f>
        <v>Instagram</v>
      </c>
      <c r="H4989" s="29">
        <f>Absolute_Scores!I4989</f>
        <v>32</v>
      </c>
      <c r="I4989" s="30">
        <f t="shared" si="108"/>
        <v>40</v>
      </c>
    </row>
    <row r="4990" spans="6:9">
      <c r="F4990" s="12" t="str">
        <f>Absolute_Scores!F4990</f>
        <v>@anatakirana</v>
      </c>
      <c r="G4990" s="12" t="str">
        <f>Absolute_Scores!G4990</f>
        <v>Instagram</v>
      </c>
      <c r="H4990" s="29">
        <f>Absolute_Scores!I4990</f>
        <v>32</v>
      </c>
      <c r="I4990" s="30">
        <f t="shared" si="108"/>
        <v>40</v>
      </c>
    </row>
    <row r="4991" spans="6:9">
      <c r="F4991" s="12" t="str">
        <f>Absolute_Scores!F4991</f>
        <v>@anisapianika_</v>
      </c>
      <c r="G4991" s="12" t="str">
        <f>Absolute_Scores!G4991</f>
        <v>TikTok</v>
      </c>
      <c r="H4991" s="29">
        <f>Absolute_Scores!I4991</f>
        <v>32</v>
      </c>
      <c r="I4991" s="30">
        <f t="shared" si="108"/>
        <v>40</v>
      </c>
    </row>
    <row r="4992" spans="6:9">
      <c r="F4992" s="12" t="str">
        <f>Absolute_Scores!F4992</f>
        <v>@arashimalya</v>
      </c>
      <c r="G4992" s="12" t="str">
        <f>Absolute_Scores!G4992</f>
        <v>Instagram</v>
      </c>
      <c r="H4992" s="29">
        <f>Absolute_Scores!I4992</f>
        <v>32</v>
      </c>
      <c r="I4992" s="30">
        <f t="shared" si="108"/>
        <v>40</v>
      </c>
    </row>
    <row r="4993" spans="6:9">
      <c r="F4993" s="12" t="str">
        <f>Absolute_Scores!F4993</f>
        <v>@baby.dinar</v>
      </c>
      <c r="G4993" s="12" t="str">
        <f>Absolute_Scores!G4993</f>
        <v>Instagram</v>
      </c>
      <c r="H4993" s="29">
        <f>Absolute_Scores!I4993</f>
        <v>32</v>
      </c>
      <c r="I4993" s="30">
        <f t="shared" si="108"/>
        <v>40</v>
      </c>
    </row>
    <row r="4994" spans="6:9">
      <c r="F4994" s="12" t="str">
        <f>Absolute_Scores!F4994</f>
        <v>@bellprist</v>
      </c>
      <c r="G4994" s="12" t="str">
        <f>Absolute_Scores!G4994</f>
        <v>Instagram</v>
      </c>
      <c r="H4994" s="29">
        <f>Absolute_Scores!I4994</f>
        <v>32</v>
      </c>
      <c r="I4994" s="30">
        <f t="shared" si="108"/>
        <v>40</v>
      </c>
    </row>
    <row r="4995" spans="6:9">
      <c r="F4995" s="12" t="str">
        <f>Absolute_Scores!F4995</f>
        <v>@calistacherrie</v>
      </c>
      <c r="G4995" s="12" t="str">
        <f>Absolute_Scores!G4995</f>
        <v>Instagram</v>
      </c>
      <c r="H4995" s="29">
        <f>Absolute_Scores!I4995</f>
        <v>32</v>
      </c>
      <c r="I4995" s="30">
        <f t="shared" si="108"/>
        <v>40</v>
      </c>
    </row>
    <row r="4996" spans="6:9">
      <c r="F4996" s="12" t="str">
        <f>Absolute_Scores!F4996</f>
        <v>@callin_lim</v>
      </c>
      <c r="G4996" s="12" t="str">
        <f>Absolute_Scores!G4996</f>
        <v>Instagram</v>
      </c>
      <c r="H4996" s="29">
        <f>Absolute_Scores!I4996</f>
        <v>32</v>
      </c>
      <c r="I4996" s="30">
        <f t="shared" si="108"/>
        <v>40</v>
      </c>
    </row>
    <row r="4997" spans="6:9">
      <c r="F4997" s="12" t="str">
        <f>Absolute_Scores!F4997</f>
        <v>@daphnemadeline</v>
      </c>
      <c r="G4997" s="12" t="str">
        <f>Absolute_Scores!G4997</f>
        <v>Instagram</v>
      </c>
      <c r="H4997" s="29">
        <f>Absolute_Scores!I4997</f>
        <v>32</v>
      </c>
      <c r="I4997" s="30">
        <f t="shared" si="108"/>
        <v>40</v>
      </c>
    </row>
    <row r="4998" spans="6:9">
      <c r="F4998" s="12" t="str">
        <f>Absolute_Scores!F4998</f>
        <v>@desylasterina</v>
      </c>
      <c r="G4998" s="12" t="str">
        <f>Absolute_Scores!G4998</f>
        <v>Instagram</v>
      </c>
      <c r="H4998" s="29">
        <f>Absolute_Scores!I4998</f>
        <v>32</v>
      </c>
      <c r="I4998" s="30">
        <f t="shared" ref="I4998:I5061" si="109">ROUND(H4998/$I$4*100,2)</f>
        <v>40</v>
      </c>
    </row>
    <row r="4999" spans="6:9">
      <c r="F4999" s="12" t="str">
        <f>Absolute_Scores!F4999</f>
        <v>@dodevvvv</v>
      </c>
      <c r="G4999" s="12" t="str">
        <f>Absolute_Scores!G4999</f>
        <v>TikTok</v>
      </c>
      <c r="H4999" s="29">
        <f>Absolute_Scores!I4999</f>
        <v>32</v>
      </c>
      <c r="I4999" s="30">
        <f t="shared" si="109"/>
        <v>40</v>
      </c>
    </row>
    <row r="5000" spans="6:9">
      <c r="F5000" s="12" t="str">
        <f>Absolute_Scores!F5000</f>
        <v>@edeline.vk</v>
      </c>
      <c r="G5000" s="12" t="str">
        <f>Absolute_Scores!G5000</f>
        <v>Instagram</v>
      </c>
      <c r="H5000" s="29">
        <f>Absolute_Scores!I5000</f>
        <v>32</v>
      </c>
      <c r="I5000" s="30">
        <f t="shared" si="109"/>
        <v>40</v>
      </c>
    </row>
    <row r="5001" spans="6:9">
      <c r="F5001" s="12" t="str">
        <f>Absolute_Scores!F5001</f>
        <v>@eka_frasetty</v>
      </c>
      <c r="G5001" s="12" t="str">
        <f>Absolute_Scores!G5001</f>
        <v>Instagram</v>
      </c>
      <c r="H5001" s="29">
        <f>Absolute_Scores!I5001</f>
        <v>32</v>
      </c>
      <c r="I5001" s="30">
        <f t="shared" si="109"/>
        <v>40</v>
      </c>
    </row>
    <row r="5002" spans="6:9">
      <c r="F5002" s="12" t="str">
        <f>Absolute_Scores!F5002</f>
        <v>@erlina.ayu</v>
      </c>
      <c r="G5002" s="12" t="str">
        <f>Absolute_Scores!G5002</f>
        <v>Instagram</v>
      </c>
      <c r="H5002" s="29">
        <f>Absolute_Scores!I5002</f>
        <v>32</v>
      </c>
      <c r="I5002" s="30">
        <f t="shared" si="109"/>
        <v>40</v>
      </c>
    </row>
    <row r="5003" spans="6:9">
      <c r="F5003" s="12" t="str">
        <f>Absolute_Scores!F5003</f>
        <v>@evelynsumarli</v>
      </c>
      <c r="G5003" s="12" t="str">
        <f>Absolute_Scores!G5003</f>
        <v>TikTok</v>
      </c>
      <c r="H5003" s="29">
        <f>Absolute_Scores!I5003</f>
        <v>32</v>
      </c>
      <c r="I5003" s="30">
        <f t="shared" si="109"/>
        <v>40</v>
      </c>
    </row>
    <row r="5004" spans="6:9">
      <c r="F5004" s="12" t="str">
        <f>Absolute_Scores!F5004</f>
        <v>@ewihyy</v>
      </c>
      <c r="G5004" s="12" t="str">
        <f>Absolute_Scores!G5004</f>
        <v>Instagram</v>
      </c>
      <c r="H5004" s="29">
        <f>Absolute_Scores!I5004</f>
        <v>32</v>
      </c>
      <c r="I5004" s="30">
        <f t="shared" si="109"/>
        <v>40</v>
      </c>
    </row>
    <row r="5005" spans="6:9">
      <c r="F5005" s="12" t="str">
        <f>Absolute_Scores!F5005</f>
        <v>@febestari</v>
      </c>
      <c r="G5005" s="12" t="str">
        <f>Absolute_Scores!G5005</f>
        <v>Instagram</v>
      </c>
      <c r="H5005" s="29">
        <f>Absolute_Scores!I5005</f>
        <v>32</v>
      </c>
      <c r="I5005" s="30">
        <f t="shared" si="109"/>
        <v>40</v>
      </c>
    </row>
    <row r="5006" spans="6:9">
      <c r="F5006" s="12" t="str">
        <f>Absolute_Scores!F5006</f>
        <v>@feliciatyrenz</v>
      </c>
      <c r="G5006" s="12" t="str">
        <f>Absolute_Scores!G5006</f>
        <v>Instagram</v>
      </c>
      <c r="H5006" s="29">
        <f>Absolute_Scores!I5006</f>
        <v>32</v>
      </c>
      <c r="I5006" s="30">
        <f t="shared" si="109"/>
        <v>40</v>
      </c>
    </row>
    <row r="5007" spans="6:9">
      <c r="F5007" s="12" t="str">
        <f>Absolute_Scores!F5007</f>
        <v>@feralexia_</v>
      </c>
      <c r="G5007" s="12" t="str">
        <f>Absolute_Scores!G5007</f>
        <v>Instagram</v>
      </c>
      <c r="H5007" s="29">
        <f>Absolute_Scores!I5007</f>
        <v>32</v>
      </c>
      <c r="I5007" s="30">
        <f t="shared" si="109"/>
        <v>40</v>
      </c>
    </row>
    <row r="5008" spans="6:9">
      <c r="F5008" s="12" t="str">
        <f>Absolute_Scores!F5008</f>
        <v>@fifelia</v>
      </c>
      <c r="G5008" s="12" t="str">
        <f>Absolute_Scores!G5008</f>
        <v>Instagram</v>
      </c>
      <c r="H5008" s="29">
        <f>Absolute_Scores!I5008</f>
        <v>32</v>
      </c>
      <c r="I5008" s="30">
        <f t="shared" si="109"/>
        <v>40</v>
      </c>
    </row>
    <row r="5009" spans="6:9">
      <c r="F5009" s="12" t="str">
        <f>Absolute_Scores!F5009</f>
        <v>@fitrifree</v>
      </c>
      <c r="G5009" s="12" t="str">
        <f>Absolute_Scores!G5009</f>
        <v>Instagram</v>
      </c>
      <c r="H5009" s="29">
        <f>Absolute_Scores!I5009</f>
        <v>32</v>
      </c>
      <c r="I5009" s="30">
        <f t="shared" si="109"/>
        <v>40</v>
      </c>
    </row>
    <row r="5010" spans="6:9">
      <c r="F5010" s="12" t="str">
        <f>Absolute_Scores!F5010</f>
        <v>@hijrahfest</v>
      </c>
      <c r="G5010" s="12" t="str">
        <f>Absolute_Scores!G5010</f>
        <v>Instagram</v>
      </c>
      <c r="H5010" s="29">
        <f>Absolute_Scores!I5010</f>
        <v>32</v>
      </c>
      <c r="I5010" s="30">
        <f t="shared" si="109"/>
        <v>40</v>
      </c>
    </row>
    <row r="5011" spans="6:9">
      <c r="F5011" s="12" t="str">
        <f>Absolute_Scores!F5011</f>
        <v>@hmrifah</v>
      </c>
      <c r="G5011" s="12" t="str">
        <f>Absolute_Scores!G5011</f>
        <v>TikTok</v>
      </c>
      <c r="H5011" s="29">
        <f>Absolute_Scores!I5011</f>
        <v>32</v>
      </c>
      <c r="I5011" s="30">
        <f t="shared" si="109"/>
        <v>40</v>
      </c>
    </row>
    <row r="5012" spans="6:9">
      <c r="F5012" s="12" t="str">
        <f>Absolute_Scores!F5012</f>
        <v>@indhkhrnnsaa</v>
      </c>
      <c r="G5012" s="12" t="str">
        <f>Absolute_Scores!G5012</f>
        <v>TikTok</v>
      </c>
      <c r="H5012" s="29">
        <f>Absolute_Scores!I5012</f>
        <v>32</v>
      </c>
      <c r="I5012" s="30">
        <f t="shared" si="109"/>
        <v>40</v>
      </c>
    </row>
    <row r="5013" spans="6:9">
      <c r="F5013" s="12" t="str">
        <f>Absolute_Scores!F5013</f>
        <v>@inezmanggau</v>
      </c>
      <c r="G5013" s="12" t="str">
        <f>Absolute_Scores!G5013</f>
        <v>TikTok</v>
      </c>
      <c r="H5013" s="29">
        <f>Absolute_Scores!I5013</f>
        <v>32</v>
      </c>
      <c r="I5013" s="30">
        <f t="shared" si="109"/>
        <v>40</v>
      </c>
    </row>
    <row r="5014" spans="6:9">
      <c r="F5014" s="12" t="str">
        <f>Absolute_Scores!F5014</f>
        <v>@irma_miranti</v>
      </c>
      <c r="G5014" s="12" t="str">
        <f>Absolute_Scores!G5014</f>
        <v>Instagram</v>
      </c>
      <c r="H5014" s="29">
        <f>Absolute_Scores!I5014</f>
        <v>32</v>
      </c>
      <c r="I5014" s="30">
        <f t="shared" si="109"/>
        <v>40</v>
      </c>
    </row>
    <row r="5015" spans="6:9">
      <c r="F5015" s="12" t="str">
        <f>Absolute_Scores!F5015</f>
        <v>@jesicalin_</v>
      </c>
      <c r="G5015" s="12" t="str">
        <f>Absolute_Scores!G5015</f>
        <v>Instagram</v>
      </c>
      <c r="H5015" s="29">
        <f>Absolute_Scores!I5015</f>
        <v>32</v>
      </c>
      <c r="I5015" s="30">
        <f t="shared" si="109"/>
        <v>40</v>
      </c>
    </row>
    <row r="5016" spans="6:9">
      <c r="F5016" s="12" t="str">
        <f>Absolute_Scores!F5016</f>
        <v>@jessica_sisy</v>
      </c>
      <c r="G5016" s="12" t="str">
        <f>Absolute_Scores!G5016</f>
        <v>Instagram</v>
      </c>
      <c r="H5016" s="29">
        <f>Absolute_Scores!I5016</f>
        <v>32</v>
      </c>
      <c r="I5016" s="30">
        <f t="shared" si="109"/>
        <v>40</v>
      </c>
    </row>
    <row r="5017" spans="6:9">
      <c r="F5017" s="12" t="str">
        <f>Absolute_Scores!F5017</f>
        <v>@justbeyousist</v>
      </c>
      <c r="G5017" s="12" t="str">
        <f>Absolute_Scores!G5017</f>
        <v>TikTok</v>
      </c>
      <c r="H5017" s="29">
        <f>Absolute_Scores!I5017</f>
        <v>32</v>
      </c>
      <c r="I5017" s="30">
        <f t="shared" si="109"/>
        <v>40</v>
      </c>
    </row>
    <row r="5018" spans="6:9">
      <c r="F5018" s="12" t="str">
        <f>Absolute_Scores!F5018</f>
        <v>@khailamom28</v>
      </c>
      <c r="G5018" s="12" t="str">
        <f>Absolute_Scores!G5018</f>
        <v>Instagram</v>
      </c>
      <c r="H5018" s="29">
        <f>Absolute_Scores!I5018</f>
        <v>32</v>
      </c>
      <c r="I5018" s="30">
        <f t="shared" si="109"/>
        <v>40</v>
      </c>
    </row>
    <row r="5019" spans="6:9">
      <c r="F5019" s="12" t="str">
        <f>Absolute_Scores!F5019</f>
        <v>@kuaisyy</v>
      </c>
      <c r="G5019" s="12" t="str">
        <f>Absolute_Scores!G5019</f>
        <v>TikTok</v>
      </c>
      <c r="H5019" s="29">
        <f>Absolute_Scores!I5019</f>
        <v>32</v>
      </c>
      <c r="I5019" s="30">
        <f t="shared" si="109"/>
        <v>40</v>
      </c>
    </row>
    <row r="5020" spans="6:9">
      <c r="F5020" s="12" t="str">
        <f>Absolute_Scores!F5020</f>
        <v>@lahisyaghaysani</v>
      </c>
      <c r="G5020" s="12" t="str">
        <f>Absolute_Scores!G5020</f>
        <v>Instagram</v>
      </c>
      <c r="H5020" s="29">
        <f>Absolute_Scores!I5020</f>
        <v>32</v>
      </c>
      <c r="I5020" s="30">
        <f t="shared" si="109"/>
        <v>40</v>
      </c>
    </row>
    <row r="5021" spans="6:9">
      <c r="F5021" s="12" t="str">
        <f>Absolute_Scores!F5021</f>
        <v>@litanurlitaf</v>
      </c>
      <c r="G5021" s="12" t="str">
        <f>Absolute_Scores!G5021</f>
        <v>Instagram</v>
      </c>
      <c r="H5021" s="29">
        <f>Absolute_Scores!I5021</f>
        <v>32</v>
      </c>
      <c r="I5021" s="30">
        <f t="shared" si="109"/>
        <v>40</v>
      </c>
    </row>
    <row r="5022" spans="6:9">
      <c r="F5022" s="12" t="str">
        <f>Absolute_Scores!F5022</f>
        <v>@mrs.diah_kartika</v>
      </c>
      <c r="G5022" s="12" t="str">
        <f>Absolute_Scores!G5022</f>
        <v>Instagram</v>
      </c>
      <c r="H5022" s="29">
        <f>Absolute_Scores!I5022</f>
        <v>32</v>
      </c>
      <c r="I5022" s="30">
        <f t="shared" si="109"/>
        <v>40</v>
      </c>
    </row>
    <row r="5023" spans="6:9">
      <c r="F5023" s="12" t="str">
        <f>Absolute_Scores!F5023</f>
        <v>@niikakichi</v>
      </c>
      <c r="G5023" s="12" t="str">
        <f>Absolute_Scores!G5023</f>
        <v>Instagram</v>
      </c>
      <c r="H5023" s="29">
        <f>Absolute_Scores!I5023</f>
        <v>32</v>
      </c>
      <c r="I5023" s="30">
        <f t="shared" si="109"/>
        <v>40</v>
      </c>
    </row>
    <row r="5024" spans="6:9">
      <c r="F5024" s="12" t="str">
        <f>Absolute_Scores!F5024</f>
        <v>@nurul_aziiz</v>
      </c>
      <c r="G5024" s="12" t="str">
        <f>Absolute_Scores!G5024</f>
        <v>TikTok</v>
      </c>
      <c r="H5024" s="29">
        <f>Absolute_Scores!I5024</f>
        <v>32</v>
      </c>
      <c r="I5024" s="30">
        <f t="shared" si="109"/>
        <v>40</v>
      </c>
    </row>
    <row r="5025" spans="6:9">
      <c r="F5025" s="12" t="str">
        <f>Absolute_Scores!F5025</f>
        <v>@pricylzhang</v>
      </c>
      <c r="G5025" s="12" t="str">
        <f>Absolute_Scores!G5025</f>
        <v>Instagram</v>
      </c>
      <c r="H5025" s="29">
        <f>Absolute_Scores!I5025</f>
        <v>32</v>
      </c>
      <c r="I5025" s="30">
        <f t="shared" si="109"/>
        <v>40</v>
      </c>
    </row>
    <row r="5026" spans="6:9">
      <c r="F5026" s="12" t="str">
        <f>Absolute_Scores!F5026</f>
        <v>@selviaanrreal</v>
      </c>
      <c r="G5026" s="12" t="str">
        <f>Absolute_Scores!G5026</f>
        <v>TikTok</v>
      </c>
      <c r="H5026" s="29">
        <f>Absolute_Scores!I5026</f>
        <v>32</v>
      </c>
      <c r="I5026" s="30">
        <f t="shared" si="109"/>
        <v>40</v>
      </c>
    </row>
    <row r="5027" spans="6:9">
      <c r="F5027" s="12" t="str">
        <f>Absolute_Scores!F5027</f>
        <v>@shaasya.a</v>
      </c>
      <c r="G5027" s="12" t="str">
        <f>Absolute_Scores!G5027</f>
        <v>TikTok</v>
      </c>
      <c r="H5027" s="29">
        <f>Absolute_Scores!I5027</f>
        <v>32</v>
      </c>
      <c r="I5027" s="30">
        <f t="shared" si="109"/>
        <v>40</v>
      </c>
    </row>
    <row r="5028" spans="6:9">
      <c r="F5028" s="12" t="str">
        <f>Absolute_Scores!F5028</f>
        <v>@silajubran</v>
      </c>
      <c r="G5028" s="12" t="str">
        <f>Absolute_Scores!G5028</f>
        <v>TikTok</v>
      </c>
      <c r="H5028" s="29">
        <f>Absolute_Scores!I5028</f>
        <v>32</v>
      </c>
      <c r="I5028" s="30">
        <f t="shared" si="109"/>
        <v>40</v>
      </c>
    </row>
    <row r="5029" spans="6:9">
      <c r="F5029" s="12" t="str">
        <f>Absolute_Scores!F5029</f>
        <v>@syeajaaa</v>
      </c>
      <c r="G5029" s="12" t="str">
        <f>Absolute_Scores!G5029</f>
        <v>TikTok</v>
      </c>
      <c r="H5029" s="29">
        <f>Absolute_Scores!I5029</f>
        <v>32</v>
      </c>
      <c r="I5029" s="30">
        <f t="shared" si="109"/>
        <v>40</v>
      </c>
    </row>
    <row r="5030" spans="6:9">
      <c r="F5030" s="12" t="str">
        <f>Absolute_Scores!F5030</f>
        <v>@taniaatnt</v>
      </c>
      <c r="G5030" s="12" t="str">
        <f>Absolute_Scores!G5030</f>
        <v>Instagram</v>
      </c>
      <c r="H5030" s="29">
        <f>Absolute_Scores!I5030</f>
        <v>32</v>
      </c>
      <c r="I5030" s="30">
        <f t="shared" si="109"/>
        <v>40</v>
      </c>
    </row>
    <row r="5031" spans="6:9">
      <c r="F5031" s="12" t="str">
        <f>Absolute_Scores!F5031</f>
        <v>@tiffanylauwrence</v>
      </c>
      <c r="G5031" s="12" t="str">
        <f>Absolute_Scores!G5031</f>
        <v>TikTok</v>
      </c>
      <c r="H5031" s="29">
        <f>Absolute_Scores!I5031</f>
        <v>32</v>
      </c>
      <c r="I5031" s="30">
        <f t="shared" si="109"/>
        <v>40</v>
      </c>
    </row>
    <row r="5032" spans="6:9">
      <c r="F5032" s="12" t="str">
        <f>Absolute_Scores!F5032</f>
        <v>@tmcblog</v>
      </c>
      <c r="G5032" s="12" t="str">
        <f>Absolute_Scores!G5032</f>
        <v>Instagram</v>
      </c>
      <c r="H5032" s="29">
        <f>Absolute_Scores!I5032</f>
        <v>32</v>
      </c>
      <c r="I5032" s="30">
        <f t="shared" si="109"/>
        <v>40</v>
      </c>
    </row>
    <row r="5033" spans="6:9">
      <c r="F5033" s="12" t="str">
        <f>Absolute_Scores!F5033</f>
        <v>@trisa066</v>
      </c>
      <c r="G5033" s="12" t="str">
        <f>Absolute_Scores!G5033</f>
        <v>TikTok</v>
      </c>
      <c r="H5033" s="29">
        <f>Absolute_Scores!I5033</f>
        <v>32</v>
      </c>
      <c r="I5033" s="30">
        <f t="shared" si="109"/>
        <v>40</v>
      </c>
    </row>
    <row r="5034" spans="6:9">
      <c r="F5034" s="12" t="str">
        <f>Absolute_Scores!F5034</f>
        <v>@veralinee</v>
      </c>
      <c r="G5034" s="12" t="str">
        <f>Absolute_Scores!G5034</f>
        <v>TikTok</v>
      </c>
      <c r="H5034" s="29">
        <f>Absolute_Scores!I5034</f>
        <v>32</v>
      </c>
      <c r="I5034" s="30">
        <f t="shared" si="109"/>
        <v>40</v>
      </c>
    </row>
    <row r="5035" spans="6:9">
      <c r="F5035" s="12" t="str">
        <f>Absolute_Scores!F5035</f>
        <v>@veveyen_</v>
      </c>
      <c r="G5035" s="12" t="str">
        <f>Absolute_Scores!G5035</f>
        <v>Instagram</v>
      </c>
      <c r="H5035" s="29">
        <f>Absolute_Scores!I5035</f>
        <v>32</v>
      </c>
      <c r="I5035" s="30">
        <f t="shared" si="109"/>
        <v>40</v>
      </c>
    </row>
    <row r="5036" spans="6:9">
      <c r="F5036" s="12" t="str">
        <f>Absolute_Scores!F5036</f>
        <v>@xtin.angelia</v>
      </c>
      <c r="G5036" s="12" t="str">
        <f>Absolute_Scores!G5036</f>
        <v>Instagram</v>
      </c>
      <c r="H5036" s="29">
        <f>Absolute_Scores!I5036</f>
        <v>32</v>
      </c>
      <c r="I5036" s="30">
        <f t="shared" si="109"/>
        <v>40</v>
      </c>
    </row>
    <row r="5037" spans="6:9">
      <c r="F5037" s="12" t="str">
        <f>Absolute_Scores!F5037</f>
        <v>@yannysukmana</v>
      </c>
      <c r="G5037" s="12" t="str">
        <f>Absolute_Scores!G5037</f>
        <v>TikTok</v>
      </c>
      <c r="H5037" s="29">
        <f>Absolute_Scores!I5037</f>
        <v>32</v>
      </c>
      <c r="I5037" s="30">
        <f t="shared" si="109"/>
        <v>40</v>
      </c>
    </row>
    <row r="5038" spans="6:9">
      <c r="F5038" s="12" t="str">
        <f>Absolute_Scores!F5038</f>
        <v>@yassipoullo</v>
      </c>
      <c r="G5038" s="12" t="str">
        <f>Absolute_Scores!G5038</f>
        <v>Instagram</v>
      </c>
      <c r="H5038" s="29">
        <f>Absolute_Scores!I5038</f>
        <v>32</v>
      </c>
      <c r="I5038" s="30">
        <f t="shared" si="109"/>
        <v>40</v>
      </c>
    </row>
    <row r="5039" spans="6:9">
      <c r="F5039" s="12" t="str">
        <f>Absolute_Scores!F5039</f>
        <v>@abednego_n</v>
      </c>
      <c r="G5039" s="12" t="str">
        <f>Absolute_Scores!G5039</f>
        <v>Instagram</v>
      </c>
      <c r="H5039" s="29">
        <f>Absolute_Scores!I5039</f>
        <v>31</v>
      </c>
      <c r="I5039" s="30">
        <f t="shared" si="109"/>
        <v>38.75</v>
      </c>
    </row>
    <row r="5040" spans="6:9">
      <c r="F5040" s="12" t="str">
        <f>Absolute_Scores!F5040</f>
        <v>@alyaarzkymln</v>
      </c>
      <c r="G5040" s="12" t="str">
        <f>Absolute_Scores!G5040</f>
        <v>Instagram</v>
      </c>
      <c r="H5040" s="29">
        <f>Absolute_Scores!I5040</f>
        <v>31</v>
      </c>
      <c r="I5040" s="30">
        <f t="shared" si="109"/>
        <v>38.75</v>
      </c>
    </row>
    <row r="5041" spans="6:9">
      <c r="F5041" s="12" t="str">
        <f>Absolute_Scores!F5041</f>
        <v>@anggtraa</v>
      </c>
      <c r="G5041" s="12" t="str">
        <f>Absolute_Scores!G5041</f>
        <v>Instagram</v>
      </c>
      <c r="H5041" s="29">
        <f>Absolute_Scores!I5041</f>
        <v>31</v>
      </c>
      <c r="I5041" s="30">
        <f t="shared" si="109"/>
        <v>38.75</v>
      </c>
    </row>
    <row r="5042" spans="6:9">
      <c r="F5042" s="12" t="str">
        <f>Absolute_Scores!F5042</f>
        <v>@arjunfahri</v>
      </c>
      <c r="G5042" s="12" t="str">
        <f>Absolute_Scores!G5042</f>
        <v>Instagram</v>
      </c>
      <c r="H5042" s="29">
        <f>Absolute_Scores!I5042</f>
        <v>31</v>
      </c>
      <c r="I5042" s="30">
        <f t="shared" si="109"/>
        <v>38.75</v>
      </c>
    </row>
    <row r="5043" spans="6:9">
      <c r="F5043" s="12" t="str">
        <f>Absolute_Scores!F5043</f>
        <v>@ay_akm</v>
      </c>
      <c r="G5043" s="12" t="str">
        <f>Absolute_Scores!G5043</f>
        <v>Instagram</v>
      </c>
      <c r="H5043" s="29">
        <f>Absolute_Scores!I5043</f>
        <v>31</v>
      </c>
      <c r="I5043" s="30">
        <f t="shared" si="109"/>
        <v>38.75</v>
      </c>
    </row>
    <row r="5044" spans="6:9">
      <c r="F5044" s="12" t="str">
        <f>Absolute_Scores!F5044</f>
        <v>@bang__ashim</v>
      </c>
      <c r="G5044" s="12" t="str">
        <f>Absolute_Scores!G5044</f>
        <v>Instagram</v>
      </c>
      <c r="H5044" s="29">
        <f>Absolute_Scores!I5044</f>
        <v>31</v>
      </c>
      <c r="I5044" s="30">
        <f t="shared" si="109"/>
        <v>38.75</v>
      </c>
    </row>
    <row r="5045" spans="6:9">
      <c r="F5045" s="12" t="str">
        <f>Absolute_Scores!F5045</f>
        <v>@bilasuryanto</v>
      </c>
      <c r="G5045" s="12" t="str">
        <f>Absolute_Scores!G5045</f>
        <v>Instagram</v>
      </c>
      <c r="H5045" s="29">
        <f>Absolute_Scores!I5045</f>
        <v>31</v>
      </c>
      <c r="I5045" s="30">
        <f t="shared" si="109"/>
        <v>38.75</v>
      </c>
    </row>
    <row r="5046" spans="6:9">
      <c r="F5046" s="12" t="str">
        <f>Absolute_Scores!F5046</f>
        <v>@bogor.terkini</v>
      </c>
      <c r="G5046" s="12" t="str">
        <f>Absolute_Scores!G5046</f>
        <v>Instagram</v>
      </c>
      <c r="H5046" s="29">
        <f>Absolute_Scores!I5046</f>
        <v>31</v>
      </c>
      <c r="I5046" s="30">
        <f t="shared" si="109"/>
        <v>38.75</v>
      </c>
    </row>
    <row r="5047" spans="6:9">
      <c r="F5047" s="12" t="str">
        <f>Absolute_Scores!F5047</f>
        <v>@britneykim06</v>
      </c>
      <c r="G5047" s="12" t="str">
        <f>Absolute_Scores!G5047</f>
        <v>Instagram</v>
      </c>
      <c r="H5047" s="29">
        <f>Absolute_Scores!I5047</f>
        <v>31</v>
      </c>
      <c r="I5047" s="30">
        <f t="shared" si="109"/>
        <v>38.75</v>
      </c>
    </row>
    <row r="5048" spans="6:9">
      <c r="F5048" s="12" t="str">
        <f>Absolute_Scores!F5048</f>
        <v>@c_llatan88</v>
      </c>
      <c r="G5048" s="12" t="str">
        <f>Absolute_Scores!G5048</f>
        <v>Instagram</v>
      </c>
      <c r="H5048" s="29">
        <f>Absolute_Scores!I5048</f>
        <v>31</v>
      </c>
      <c r="I5048" s="30">
        <f t="shared" si="109"/>
        <v>38.75</v>
      </c>
    </row>
    <row r="5049" spans="6:9">
      <c r="F5049" s="12" t="str">
        <f>Absolute_Scores!F5049</f>
        <v>@cacajuwiita</v>
      </c>
      <c r="G5049" s="12" t="str">
        <f>Absolute_Scores!G5049</f>
        <v>Instagram</v>
      </c>
      <c r="H5049" s="29">
        <f>Absolute_Scores!I5049</f>
        <v>31</v>
      </c>
      <c r="I5049" s="30">
        <f t="shared" si="109"/>
        <v>38.75</v>
      </c>
    </row>
    <row r="5050" spans="6:9">
      <c r="F5050" s="12" t="str">
        <f>Absolute_Scores!F5050</f>
        <v>@carolinataliia</v>
      </c>
      <c r="G5050" s="12" t="str">
        <f>Absolute_Scores!G5050</f>
        <v>Instagram</v>
      </c>
      <c r="H5050" s="29">
        <f>Absolute_Scores!I5050</f>
        <v>31</v>
      </c>
      <c r="I5050" s="30">
        <f t="shared" si="109"/>
        <v>38.75</v>
      </c>
    </row>
    <row r="5051" spans="6:9">
      <c r="F5051" s="12" t="str">
        <f>Absolute_Scores!F5051</f>
        <v>@cee_tra99</v>
      </c>
      <c r="G5051" s="12" t="str">
        <f>Absolute_Scores!G5051</f>
        <v>Instagram</v>
      </c>
      <c r="H5051" s="29">
        <f>Absolute_Scores!I5051</f>
        <v>31</v>
      </c>
      <c r="I5051" s="30">
        <f t="shared" si="109"/>
        <v>38.75</v>
      </c>
    </row>
    <row r="5052" spans="6:9">
      <c r="F5052" s="12" t="str">
        <f>Absolute_Scores!F5052</f>
        <v>@cittaf</v>
      </c>
      <c r="G5052" s="12" t="str">
        <f>Absolute_Scores!G5052</f>
        <v>Instagram</v>
      </c>
      <c r="H5052" s="29">
        <f>Absolute_Scores!I5052</f>
        <v>31</v>
      </c>
      <c r="I5052" s="30">
        <f t="shared" si="109"/>
        <v>38.75</v>
      </c>
    </row>
    <row r="5053" spans="6:9">
      <c r="F5053" s="12" t="str">
        <f>Absolute_Scores!F5053</f>
        <v>@clarice.emerald</v>
      </c>
      <c r="G5053" s="12" t="str">
        <f>Absolute_Scores!G5053</f>
        <v>Instagram</v>
      </c>
      <c r="H5053" s="29">
        <f>Absolute_Scores!I5053</f>
        <v>31</v>
      </c>
      <c r="I5053" s="30">
        <f t="shared" si="109"/>
        <v>38.75</v>
      </c>
    </row>
    <row r="5054" spans="6:9">
      <c r="F5054" s="12" t="str">
        <f>Absolute_Scores!F5054</f>
        <v>@dee_vanz</v>
      </c>
      <c r="G5054" s="12" t="str">
        <f>Absolute_Scores!G5054</f>
        <v>Instagram</v>
      </c>
      <c r="H5054" s="29">
        <f>Absolute_Scores!I5054</f>
        <v>31</v>
      </c>
      <c r="I5054" s="30">
        <f t="shared" si="109"/>
        <v>38.75</v>
      </c>
    </row>
    <row r="5055" spans="6:9">
      <c r="F5055" s="12" t="str">
        <f>Absolute_Scores!F5055</f>
        <v>@delmiraprabu</v>
      </c>
      <c r="G5055" s="12" t="str">
        <f>Absolute_Scores!G5055</f>
        <v>Instagram</v>
      </c>
      <c r="H5055" s="29">
        <f>Absolute_Scores!I5055</f>
        <v>31</v>
      </c>
      <c r="I5055" s="30">
        <f t="shared" si="109"/>
        <v>38.75</v>
      </c>
    </row>
    <row r="5056" spans="6:9">
      <c r="F5056" s="12" t="str">
        <f>Absolute_Scores!F5056</f>
        <v>@demmyps_</v>
      </c>
      <c r="G5056" s="12" t="str">
        <f>Absolute_Scores!G5056</f>
        <v>Instagram</v>
      </c>
      <c r="H5056" s="29">
        <f>Absolute_Scores!I5056</f>
        <v>31</v>
      </c>
      <c r="I5056" s="30">
        <f t="shared" si="109"/>
        <v>38.75</v>
      </c>
    </row>
    <row r="5057" spans="6:9">
      <c r="F5057" s="12" t="str">
        <f>Absolute_Scores!F5057</f>
        <v>@dessyaditya</v>
      </c>
      <c r="G5057" s="12" t="str">
        <f>Absolute_Scores!G5057</f>
        <v>Instagram</v>
      </c>
      <c r="H5057" s="29">
        <f>Absolute_Scores!I5057</f>
        <v>31</v>
      </c>
      <c r="I5057" s="30">
        <f t="shared" si="109"/>
        <v>38.75</v>
      </c>
    </row>
    <row r="5058" spans="6:9">
      <c r="F5058" s="12" t="str">
        <f>Absolute_Scores!F5058</f>
        <v>@elysia_tania</v>
      </c>
      <c r="G5058" s="12" t="str">
        <f>Absolute_Scores!G5058</f>
        <v>Instagram</v>
      </c>
      <c r="H5058" s="29">
        <f>Absolute_Scores!I5058</f>
        <v>31</v>
      </c>
      <c r="I5058" s="30">
        <f t="shared" si="109"/>
        <v>38.75</v>
      </c>
    </row>
    <row r="5059" spans="6:9">
      <c r="F5059" s="12" t="str">
        <f>Absolute_Scores!F5059</f>
        <v>@enesty.putricho</v>
      </c>
      <c r="G5059" s="12" t="str">
        <f>Absolute_Scores!G5059</f>
        <v>Instagram</v>
      </c>
      <c r="H5059" s="29">
        <f>Absolute_Scores!I5059</f>
        <v>31</v>
      </c>
      <c r="I5059" s="30">
        <f t="shared" si="109"/>
        <v>38.75</v>
      </c>
    </row>
    <row r="5060" spans="6:9">
      <c r="F5060" s="12" t="str">
        <f>Absolute_Scores!F5060</f>
        <v>@eptriian</v>
      </c>
      <c r="G5060" s="12" t="str">
        <f>Absolute_Scores!G5060</f>
        <v>Instagram</v>
      </c>
      <c r="H5060" s="29">
        <f>Absolute_Scores!I5060</f>
        <v>31</v>
      </c>
      <c r="I5060" s="30">
        <f t="shared" si="109"/>
        <v>38.75</v>
      </c>
    </row>
    <row r="5061" spans="6:9">
      <c r="F5061" s="12" t="str">
        <f>Absolute_Scores!F5061</f>
        <v>@evyjuliana_</v>
      </c>
      <c r="G5061" s="12" t="str">
        <f>Absolute_Scores!G5061</f>
        <v>Instagram</v>
      </c>
      <c r="H5061" s="29">
        <f>Absolute_Scores!I5061</f>
        <v>31</v>
      </c>
      <c r="I5061" s="30">
        <f t="shared" si="109"/>
        <v>38.75</v>
      </c>
    </row>
    <row r="5062" spans="6:9">
      <c r="F5062" s="12" t="str">
        <f>Absolute_Scores!F5062</f>
        <v>@gebi_gabriela</v>
      </c>
      <c r="G5062" s="12" t="str">
        <f>Absolute_Scores!G5062</f>
        <v>Instagram</v>
      </c>
      <c r="H5062" s="29">
        <f>Absolute_Scores!I5062</f>
        <v>31</v>
      </c>
      <c r="I5062" s="30">
        <f t="shared" ref="I5062:I5120" si="110">ROUND(H5062/$I$4*100,2)</f>
        <v>38.75</v>
      </c>
    </row>
    <row r="5063" spans="6:9">
      <c r="F5063" s="12" t="str">
        <f>Absolute_Scores!F5063</f>
        <v>@hampson.zachary</v>
      </c>
      <c r="G5063" s="12" t="str">
        <f>Absolute_Scores!G5063</f>
        <v>Instagram</v>
      </c>
      <c r="H5063" s="29">
        <f>Absolute_Scores!I5063</f>
        <v>31</v>
      </c>
      <c r="I5063" s="30">
        <f t="shared" si="110"/>
        <v>38.75</v>
      </c>
    </row>
    <row r="5064" spans="6:9">
      <c r="F5064" s="12" t="str">
        <f>Absolute_Scores!F5064</f>
        <v>@hananabdn</v>
      </c>
      <c r="G5064" s="12" t="str">
        <f>Absolute_Scores!G5064</f>
        <v>Instagram</v>
      </c>
      <c r="H5064" s="29">
        <f>Absolute_Scores!I5064</f>
        <v>31</v>
      </c>
      <c r="I5064" s="30">
        <f t="shared" si="110"/>
        <v>38.75</v>
      </c>
    </row>
    <row r="5065" spans="6:9">
      <c r="F5065" s="12" t="str">
        <f>Absolute_Scores!F5065</f>
        <v>@ibupedia_id</v>
      </c>
      <c r="G5065" s="12" t="str">
        <f>Absolute_Scores!G5065</f>
        <v>Instagram</v>
      </c>
      <c r="H5065" s="29">
        <f>Absolute_Scores!I5065</f>
        <v>31</v>
      </c>
      <c r="I5065" s="30">
        <f t="shared" si="110"/>
        <v>38.75</v>
      </c>
    </row>
    <row r="5066" spans="6:9">
      <c r="F5066" s="12" t="str">
        <f>Absolute_Scores!F5066</f>
        <v>@info.jakartabarat</v>
      </c>
      <c r="G5066" s="12" t="str">
        <f>Absolute_Scores!G5066</f>
        <v>Instagram</v>
      </c>
      <c r="H5066" s="29">
        <f>Absolute_Scores!I5066</f>
        <v>31</v>
      </c>
      <c r="I5066" s="30">
        <f t="shared" si="110"/>
        <v>38.75</v>
      </c>
    </row>
    <row r="5067" spans="6:9">
      <c r="F5067" s="12" t="str">
        <f>Absolute_Scores!F5067</f>
        <v>@infotangerang.id</v>
      </c>
      <c r="G5067" s="12" t="str">
        <f>Absolute_Scores!G5067</f>
        <v>Instagram</v>
      </c>
      <c r="H5067" s="29">
        <f>Absolute_Scores!I5067</f>
        <v>31</v>
      </c>
      <c r="I5067" s="30">
        <f t="shared" si="110"/>
        <v>38.75</v>
      </c>
    </row>
    <row r="5068" spans="6:9">
      <c r="F5068" s="12" t="str">
        <f>Absolute_Scores!F5068</f>
        <v>@jakartasiana</v>
      </c>
      <c r="G5068" s="12" t="str">
        <f>Absolute_Scores!G5068</f>
        <v>Instagram</v>
      </c>
      <c r="H5068" s="29">
        <f>Absolute_Scores!I5068</f>
        <v>31</v>
      </c>
      <c r="I5068" s="30">
        <f t="shared" si="110"/>
        <v>38.75</v>
      </c>
    </row>
    <row r="5069" spans="6:9">
      <c r="F5069" s="12" t="str">
        <f>Absolute_Scores!F5069</f>
        <v>@jedsonjioriadistyo</v>
      </c>
      <c r="G5069" s="12" t="str">
        <f>Absolute_Scores!G5069</f>
        <v>Instagram</v>
      </c>
      <c r="H5069" s="29">
        <f>Absolute_Scores!I5069</f>
        <v>31</v>
      </c>
      <c r="I5069" s="30">
        <f t="shared" si="110"/>
        <v>38.75</v>
      </c>
    </row>
    <row r="5070" spans="6:9">
      <c r="F5070" s="12" t="str">
        <f>Absolute_Scores!F5070</f>
        <v>@jeevan_akawa</v>
      </c>
      <c r="G5070" s="12" t="str">
        <f>Absolute_Scores!G5070</f>
        <v>Instagram</v>
      </c>
      <c r="H5070" s="29">
        <f>Absolute_Scores!I5070</f>
        <v>31</v>
      </c>
      <c r="I5070" s="30">
        <f t="shared" si="110"/>
        <v>38.75</v>
      </c>
    </row>
    <row r="5071" spans="6:9">
      <c r="F5071" s="12" t="str">
        <f>Absolute_Scores!F5071</f>
        <v>@justrismaa</v>
      </c>
      <c r="G5071" s="12" t="str">
        <f>Absolute_Scores!G5071</f>
        <v>Instagram</v>
      </c>
      <c r="H5071" s="29">
        <f>Absolute_Scores!I5071</f>
        <v>31</v>
      </c>
      <c r="I5071" s="30">
        <f t="shared" si="110"/>
        <v>38.75</v>
      </c>
    </row>
    <row r="5072" spans="6:9">
      <c r="F5072" s="12" t="str">
        <f>Absolute_Scores!F5072</f>
        <v>@kay.kimiko</v>
      </c>
      <c r="G5072" s="12" t="str">
        <f>Absolute_Scores!G5072</f>
        <v>Instagram</v>
      </c>
      <c r="H5072" s="29">
        <f>Absolute_Scores!I5072</f>
        <v>31</v>
      </c>
      <c r="I5072" s="30">
        <f t="shared" si="110"/>
        <v>38.75</v>
      </c>
    </row>
    <row r="5073" spans="6:9">
      <c r="F5073" s="12" t="str">
        <f>Absolute_Scores!F5073</f>
        <v>@kiaraleswara</v>
      </c>
      <c r="G5073" s="12" t="str">
        <f>Absolute_Scores!G5073</f>
        <v>Instagram</v>
      </c>
      <c r="H5073" s="29">
        <f>Absolute_Scores!I5073</f>
        <v>31</v>
      </c>
      <c r="I5073" s="30">
        <f t="shared" si="110"/>
        <v>38.75</v>
      </c>
    </row>
    <row r="5074" spans="6:9">
      <c r="F5074" s="12" t="str">
        <f>Absolute_Scores!F5074</f>
        <v>@lamriadel_</v>
      </c>
      <c r="G5074" s="12" t="str">
        <f>Absolute_Scores!G5074</f>
        <v>Instagram</v>
      </c>
      <c r="H5074" s="29">
        <f>Absolute_Scores!I5074</f>
        <v>31</v>
      </c>
      <c r="I5074" s="30">
        <f t="shared" si="110"/>
        <v>38.75</v>
      </c>
    </row>
    <row r="5075" spans="6:9">
      <c r="F5075" s="12" t="str">
        <f>Absolute_Scores!F5075</f>
        <v>@lita.chan</v>
      </c>
      <c r="G5075" s="12" t="str">
        <f>Absolute_Scores!G5075</f>
        <v>Instagram</v>
      </c>
      <c r="H5075" s="29">
        <f>Absolute_Scores!I5075</f>
        <v>31</v>
      </c>
      <c r="I5075" s="30">
        <f t="shared" si="110"/>
        <v>38.75</v>
      </c>
    </row>
    <row r="5076" spans="6:9">
      <c r="F5076" s="12" t="str">
        <f>Absolute_Scores!F5076</f>
        <v>@lolitawardani</v>
      </c>
      <c r="G5076" s="12" t="str">
        <f>Absolute_Scores!G5076</f>
        <v>Instagram</v>
      </c>
      <c r="H5076" s="29">
        <f>Absolute_Scores!I5076</f>
        <v>31</v>
      </c>
      <c r="I5076" s="30">
        <f t="shared" si="110"/>
        <v>38.75</v>
      </c>
    </row>
    <row r="5077" spans="6:9">
      <c r="F5077" s="12" t="str">
        <f>Absolute_Scores!F5077</f>
        <v>@meongculinary</v>
      </c>
      <c r="G5077" s="12" t="str">
        <f>Absolute_Scores!G5077</f>
        <v>Instagram</v>
      </c>
      <c r="H5077" s="29">
        <f>Absolute_Scores!I5077</f>
        <v>31</v>
      </c>
      <c r="I5077" s="30">
        <f t="shared" si="110"/>
        <v>38.75</v>
      </c>
    </row>
    <row r="5078" spans="6:9">
      <c r="F5078" s="12" t="str">
        <f>Absolute_Scores!F5078</f>
        <v>@naybaihaqi</v>
      </c>
      <c r="G5078" s="12" t="str">
        <f>Absolute_Scores!G5078</f>
        <v>Instagram</v>
      </c>
      <c r="H5078" s="29">
        <f>Absolute_Scores!I5078</f>
        <v>31</v>
      </c>
      <c r="I5078" s="30">
        <f t="shared" si="110"/>
        <v>38.75</v>
      </c>
    </row>
    <row r="5079" spans="6:9">
      <c r="F5079" s="12" t="str">
        <f>Absolute_Scores!F5079</f>
        <v>@phonayzanethaa</v>
      </c>
      <c r="G5079" s="12" t="str">
        <f>Absolute_Scores!G5079</f>
        <v>Instagram</v>
      </c>
      <c r="H5079" s="29">
        <f>Absolute_Scores!I5079</f>
        <v>31</v>
      </c>
      <c r="I5079" s="30">
        <f t="shared" si="110"/>
        <v>38.75</v>
      </c>
    </row>
    <row r="5080" spans="6:9">
      <c r="F5080" s="12" t="str">
        <f>Absolute_Scores!F5080</f>
        <v>@princesshuangg</v>
      </c>
      <c r="G5080" s="12" t="str">
        <f>Absolute_Scores!G5080</f>
        <v>Instagram</v>
      </c>
      <c r="H5080" s="29">
        <f>Absolute_Scores!I5080</f>
        <v>31</v>
      </c>
      <c r="I5080" s="30">
        <f t="shared" si="110"/>
        <v>38.75</v>
      </c>
    </row>
    <row r="5081" spans="6:9">
      <c r="F5081" s="12" t="str">
        <f>Absolute_Scores!F5081</f>
        <v>@putryjeje</v>
      </c>
      <c r="G5081" s="12" t="str">
        <f>Absolute_Scores!G5081</f>
        <v>Instagram</v>
      </c>
      <c r="H5081" s="29">
        <f>Absolute_Scores!I5081</f>
        <v>31</v>
      </c>
      <c r="I5081" s="30">
        <f t="shared" si="110"/>
        <v>38.75</v>
      </c>
    </row>
    <row r="5082" spans="6:9">
      <c r="F5082" s="12" t="str">
        <f>Absolute_Scores!F5082</f>
        <v>@r_amalia98</v>
      </c>
      <c r="G5082" s="12" t="str">
        <f>Absolute_Scores!G5082</f>
        <v>Instagram</v>
      </c>
      <c r="H5082" s="29">
        <f>Absolute_Scores!I5082</f>
        <v>31</v>
      </c>
      <c r="I5082" s="30">
        <f t="shared" si="110"/>
        <v>38.75</v>
      </c>
    </row>
    <row r="5083" spans="6:9">
      <c r="F5083" s="12" t="str">
        <f>Absolute_Scores!F5083</f>
        <v>@rafael_tjoeng</v>
      </c>
      <c r="G5083" s="12" t="str">
        <f>Absolute_Scores!G5083</f>
        <v>Instagram</v>
      </c>
      <c r="H5083" s="29">
        <f>Absolute_Scores!I5083</f>
        <v>31</v>
      </c>
      <c r="I5083" s="30">
        <f t="shared" si="110"/>
        <v>38.75</v>
      </c>
    </row>
    <row r="5084" spans="6:9">
      <c r="F5084" s="12" t="str">
        <f>Absolute_Scores!F5084</f>
        <v>@ranyoomi</v>
      </c>
      <c r="G5084" s="12" t="str">
        <f>Absolute_Scores!G5084</f>
        <v>Instagram</v>
      </c>
      <c r="H5084" s="29">
        <f>Absolute_Scores!I5084</f>
        <v>31</v>
      </c>
      <c r="I5084" s="30">
        <f t="shared" si="110"/>
        <v>38.75</v>
      </c>
    </row>
    <row r="5085" spans="6:9">
      <c r="F5085" s="12" t="str">
        <f>Absolute_Scores!F5085</f>
        <v>@risasabilla_</v>
      </c>
      <c r="G5085" s="12" t="str">
        <f>Absolute_Scores!G5085</f>
        <v>Instagram</v>
      </c>
      <c r="H5085" s="29">
        <f>Absolute_Scores!I5085</f>
        <v>31</v>
      </c>
      <c r="I5085" s="30">
        <f t="shared" si="110"/>
        <v>38.75</v>
      </c>
    </row>
    <row r="5086" spans="6:9">
      <c r="F5086" s="12" t="str">
        <f>Absolute_Scores!F5086</f>
        <v>@saura.thania</v>
      </c>
      <c r="G5086" s="12" t="str">
        <f>Absolute_Scores!G5086</f>
        <v>Instagram</v>
      </c>
      <c r="H5086" s="29">
        <f>Absolute_Scores!I5086</f>
        <v>31</v>
      </c>
      <c r="I5086" s="30">
        <f t="shared" si="110"/>
        <v>38.75</v>
      </c>
    </row>
    <row r="5087" spans="6:9">
      <c r="F5087" s="12" t="str">
        <f>Absolute_Scores!F5087</f>
        <v>@shellayang</v>
      </c>
      <c r="G5087" s="12" t="str">
        <f>Absolute_Scores!G5087</f>
        <v>Instagram</v>
      </c>
      <c r="H5087" s="29">
        <f>Absolute_Scores!I5087</f>
        <v>31</v>
      </c>
      <c r="I5087" s="30">
        <f t="shared" si="110"/>
        <v>38.75</v>
      </c>
    </row>
    <row r="5088" spans="6:9">
      <c r="F5088" s="12" t="str">
        <f>Absolute_Scores!F5088</f>
        <v>@sita_riyani</v>
      </c>
      <c r="G5088" s="12" t="str">
        <f>Absolute_Scores!G5088</f>
        <v>Instagram</v>
      </c>
      <c r="H5088" s="29">
        <f>Absolute_Scores!I5088</f>
        <v>31</v>
      </c>
      <c r="I5088" s="30">
        <f t="shared" si="110"/>
        <v>38.75</v>
      </c>
    </row>
    <row r="5089" spans="6:9">
      <c r="F5089" s="12" t="str">
        <f>Absolute_Scores!F5089</f>
        <v>@sywijii</v>
      </c>
      <c r="G5089" s="12" t="str">
        <f>Absolute_Scores!G5089</f>
        <v>Instagram</v>
      </c>
      <c r="H5089" s="29">
        <f>Absolute_Scores!I5089</f>
        <v>31</v>
      </c>
      <c r="I5089" s="30">
        <f t="shared" si="110"/>
        <v>38.75</v>
      </c>
    </row>
    <row r="5090" spans="6:9">
      <c r="F5090" s="12" t="str">
        <f>Absolute_Scores!F5090</f>
        <v>@tangerang.terkini</v>
      </c>
      <c r="G5090" s="12" t="str">
        <f>Absolute_Scores!G5090</f>
        <v>Instagram</v>
      </c>
      <c r="H5090" s="29">
        <f>Absolute_Scores!I5090</f>
        <v>31</v>
      </c>
      <c r="I5090" s="30">
        <f t="shared" si="110"/>
        <v>38.75</v>
      </c>
    </row>
    <row r="5091" spans="6:9">
      <c r="F5091" s="12" t="str">
        <f>Absolute_Scores!F5091</f>
        <v>@wr.gusnari</v>
      </c>
      <c r="G5091" s="12" t="str">
        <f>Absolute_Scores!G5091</f>
        <v>Instagram</v>
      </c>
      <c r="H5091" s="29">
        <f>Absolute_Scores!I5091</f>
        <v>31</v>
      </c>
      <c r="I5091" s="30">
        <f t="shared" si="110"/>
        <v>38.75</v>
      </c>
    </row>
    <row r="5092" spans="6:9">
      <c r="F5092" s="12" t="str">
        <f>Absolute_Scores!F5092</f>
        <v>@yuliastuty1</v>
      </c>
      <c r="G5092" s="12" t="str">
        <f>Absolute_Scores!G5092</f>
        <v>Instagram</v>
      </c>
      <c r="H5092" s="29">
        <f>Absolute_Scores!I5092</f>
        <v>31</v>
      </c>
      <c r="I5092" s="30">
        <f t="shared" si="110"/>
        <v>38.75</v>
      </c>
    </row>
    <row r="5093" spans="6:9">
      <c r="F5093" s="12" t="str">
        <f>Absolute_Scores!F5093</f>
        <v>@adzkiya_rizqi</v>
      </c>
      <c r="G5093" s="12" t="str">
        <f>Absolute_Scores!G5093</f>
        <v>Instagram</v>
      </c>
      <c r="H5093" s="29">
        <f>Absolute_Scores!I5093</f>
        <v>30</v>
      </c>
      <c r="I5093" s="30">
        <f t="shared" si="110"/>
        <v>37.5</v>
      </c>
    </row>
    <row r="5094" spans="6:9">
      <c r="F5094" s="12" t="str">
        <f>Absolute_Scores!F5094</f>
        <v>@al_uswa</v>
      </c>
      <c r="G5094" s="12" t="str">
        <f>Absolute_Scores!G5094</f>
        <v>Instagram</v>
      </c>
      <c r="H5094" s="29">
        <f>Absolute_Scores!I5094</f>
        <v>30</v>
      </c>
      <c r="I5094" s="30">
        <f t="shared" si="110"/>
        <v>37.5</v>
      </c>
    </row>
    <row r="5095" spans="6:9">
      <c r="F5095" s="12" t="str">
        <f>Absolute_Scores!F5095</f>
        <v>@anisaframita</v>
      </c>
      <c r="G5095" s="12" t="str">
        <f>Absolute_Scores!G5095</f>
        <v>Instagram</v>
      </c>
      <c r="H5095" s="29">
        <f>Absolute_Scores!I5095</f>
        <v>30</v>
      </c>
      <c r="I5095" s="30">
        <f t="shared" si="110"/>
        <v>37.5</v>
      </c>
    </row>
    <row r="5096" spans="6:9">
      <c r="F5096" s="12" t="str">
        <f>Absolute_Scores!F5096</f>
        <v>@eci_chan30</v>
      </c>
      <c r="G5096" s="12" t="str">
        <f>Absolute_Scores!G5096</f>
        <v>Instagram</v>
      </c>
      <c r="H5096" s="29">
        <f>Absolute_Scores!I5096</f>
        <v>30</v>
      </c>
      <c r="I5096" s="30">
        <f t="shared" si="110"/>
        <v>37.5</v>
      </c>
    </row>
    <row r="5097" spans="6:9">
      <c r="F5097" s="12" t="str">
        <f>Absolute_Scores!F5097</f>
        <v>@faizhaaa</v>
      </c>
      <c r="G5097" s="12" t="str">
        <f>Absolute_Scores!G5097</f>
        <v>Instagram</v>
      </c>
      <c r="H5097" s="29">
        <f>Absolute_Scores!I5097</f>
        <v>30</v>
      </c>
      <c r="I5097" s="30">
        <f t="shared" si="110"/>
        <v>37.5</v>
      </c>
    </row>
    <row r="5098" spans="6:9">
      <c r="F5098" s="12" t="str">
        <f>Absolute_Scores!F5098</f>
        <v>@ikkaprashee</v>
      </c>
      <c r="G5098" s="12" t="str">
        <f>Absolute_Scores!G5098</f>
        <v>Instagram</v>
      </c>
      <c r="H5098" s="29">
        <f>Absolute_Scores!I5098</f>
        <v>30</v>
      </c>
      <c r="I5098" s="30">
        <f t="shared" si="110"/>
        <v>37.5</v>
      </c>
    </row>
    <row r="5099" spans="6:9">
      <c r="F5099" s="12" t="str">
        <f>Absolute_Scores!F5099</f>
        <v>@jabodetabek.terkini</v>
      </c>
      <c r="G5099" s="12" t="str">
        <f>Absolute_Scores!G5099</f>
        <v>Instagram</v>
      </c>
      <c r="H5099" s="29">
        <f>Absolute_Scores!I5099</f>
        <v>30</v>
      </c>
      <c r="I5099" s="30">
        <f t="shared" si="110"/>
        <v>37.5</v>
      </c>
    </row>
    <row r="5100" spans="6:9">
      <c r="F5100" s="12" t="str">
        <f>Absolute_Scores!F5100</f>
        <v>@lustyaa23</v>
      </c>
      <c r="G5100" s="12" t="str">
        <f>Absolute_Scores!G5100</f>
        <v>Instagram</v>
      </c>
      <c r="H5100" s="29">
        <f>Absolute_Scores!I5100</f>
        <v>30</v>
      </c>
      <c r="I5100" s="30">
        <f t="shared" si="110"/>
        <v>37.5</v>
      </c>
    </row>
    <row r="5101" spans="6:9">
      <c r="F5101" s="12" t="str">
        <f>Absolute_Scores!F5101</f>
        <v>@nana.shakira.397</v>
      </c>
      <c r="G5101" s="12" t="str">
        <f>Absolute_Scores!G5101</f>
        <v>Instagram</v>
      </c>
      <c r="H5101" s="29">
        <f>Absolute_Scores!I5101</f>
        <v>30</v>
      </c>
      <c r="I5101" s="30">
        <f t="shared" si="110"/>
        <v>37.5</v>
      </c>
    </row>
    <row r="5102" spans="6:9">
      <c r="F5102" s="12" t="str">
        <f>Absolute_Scores!F5102</f>
        <v>@noniikiky</v>
      </c>
      <c r="G5102" s="12" t="str">
        <f>Absolute_Scores!G5102</f>
        <v>Instagram</v>
      </c>
      <c r="H5102" s="29">
        <f>Absolute_Scores!I5102</f>
        <v>30</v>
      </c>
      <c r="I5102" s="30">
        <f t="shared" si="110"/>
        <v>37.5</v>
      </c>
    </row>
    <row r="5103" spans="6:9">
      <c r="F5103" s="12" t="str">
        <f>Absolute_Scores!F5103</f>
        <v>@nplia</v>
      </c>
      <c r="G5103" s="12" t="str">
        <f>Absolute_Scores!G5103</f>
        <v>Instagram</v>
      </c>
      <c r="H5103" s="29">
        <f>Absolute_Scores!I5103</f>
        <v>30</v>
      </c>
      <c r="I5103" s="30">
        <f t="shared" si="110"/>
        <v>37.5</v>
      </c>
    </row>
    <row r="5104" spans="6:9">
      <c r="F5104" s="12" t="str">
        <f>Absolute_Scores!F5104</f>
        <v>@nurulfitriaa__</v>
      </c>
      <c r="G5104" s="12" t="str">
        <f>Absolute_Scores!G5104</f>
        <v>Instagram</v>
      </c>
      <c r="H5104" s="29">
        <f>Absolute_Scores!I5104</f>
        <v>30</v>
      </c>
      <c r="I5104" s="30">
        <f t="shared" si="110"/>
        <v>37.5</v>
      </c>
    </row>
    <row r="5105" spans="6:9">
      <c r="F5105" s="12" t="str">
        <f>Absolute_Scores!F5105</f>
        <v>@pantjoranpik</v>
      </c>
      <c r="G5105" s="12" t="str">
        <f>Absolute_Scores!G5105</f>
        <v>Instagram</v>
      </c>
      <c r="H5105" s="29">
        <f>Absolute_Scores!I5105</f>
        <v>30</v>
      </c>
      <c r="I5105" s="30">
        <f t="shared" si="110"/>
        <v>37.5</v>
      </c>
    </row>
    <row r="5106" spans="6:9">
      <c r="F5106" s="12" t="str">
        <f>Absolute_Scores!F5106</f>
        <v>@riniamanah_ra</v>
      </c>
      <c r="G5106" s="12" t="str">
        <f>Absolute_Scores!G5106</f>
        <v>Instagram</v>
      </c>
      <c r="H5106" s="29">
        <f>Absolute_Scores!I5106</f>
        <v>30</v>
      </c>
      <c r="I5106" s="30">
        <f t="shared" si="110"/>
        <v>37.5</v>
      </c>
    </row>
    <row r="5107" spans="6:9">
      <c r="F5107" s="12" t="str">
        <f>Absolute_Scores!F5107</f>
        <v>@sisila.z</v>
      </c>
      <c r="G5107" s="12" t="str">
        <f>Absolute_Scores!G5107</f>
        <v>Instagram</v>
      </c>
      <c r="H5107" s="29">
        <f>Absolute_Scores!I5107</f>
        <v>30</v>
      </c>
      <c r="I5107" s="30">
        <f t="shared" si="110"/>
        <v>37.5</v>
      </c>
    </row>
    <row r="5108" spans="6:9">
      <c r="F5108" s="12" t="str">
        <f>Absolute_Scores!F5108</f>
        <v>@store.kdi</v>
      </c>
      <c r="G5108" s="12" t="str">
        <f>Absolute_Scores!G5108</f>
        <v>Instagram</v>
      </c>
      <c r="H5108" s="29">
        <f>Absolute_Scores!I5108</f>
        <v>30</v>
      </c>
      <c r="I5108" s="30">
        <f t="shared" si="110"/>
        <v>37.5</v>
      </c>
    </row>
    <row r="5109" spans="6:9">
      <c r="F5109" s="12" t="str">
        <f>Absolute_Scores!F5109</f>
        <v>@vonirhamaa</v>
      </c>
      <c r="G5109" s="12" t="str">
        <f>Absolute_Scores!G5109</f>
        <v>Instagram</v>
      </c>
      <c r="H5109" s="29">
        <f>Absolute_Scores!I5109</f>
        <v>30</v>
      </c>
      <c r="I5109" s="30">
        <f t="shared" si="110"/>
        <v>37.5</v>
      </c>
    </row>
    <row r="5110" spans="6:9">
      <c r="F5110" s="12" t="str">
        <f>Absolute_Scores!F5110</f>
        <v>@yuristissia</v>
      </c>
      <c r="G5110" s="12" t="str">
        <f>Absolute_Scores!G5110</f>
        <v>Instagram</v>
      </c>
      <c r="H5110" s="29">
        <f>Absolute_Scores!I5110</f>
        <v>30</v>
      </c>
      <c r="I5110" s="30">
        <f t="shared" si="110"/>
        <v>37.5</v>
      </c>
    </row>
    <row r="5111" spans="6:9">
      <c r="F5111" s="12" t="str">
        <f>Absolute_Scores!F5111</f>
        <v>@bebyneyra</v>
      </c>
      <c r="G5111" s="12" t="str">
        <f>Absolute_Scores!G5111</f>
        <v>Instagram</v>
      </c>
      <c r="H5111" s="29">
        <f>Absolute_Scores!I5111</f>
        <v>28</v>
      </c>
      <c r="I5111" s="30">
        <f t="shared" si="110"/>
        <v>35</v>
      </c>
    </row>
    <row r="5112" spans="6:9">
      <c r="F5112" s="12" t="str">
        <f>Absolute_Scores!F5112</f>
        <v>@tasyakamila</v>
      </c>
      <c r="G5112" s="12" t="str">
        <f>Absolute_Scores!G5112</f>
        <v>Instagram</v>
      </c>
      <c r="H5112" s="29">
        <f>Absolute_Scores!I5112</f>
        <v>28</v>
      </c>
      <c r="I5112" s="30">
        <f t="shared" si="110"/>
        <v>35</v>
      </c>
    </row>
    <row r="5113" spans="6:9">
      <c r="F5113" s="12" t="str">
        <f>Absolute_Scores!F5113</f>
        <v>@withzaza</v>
      </c>
      <c r="G5113" s="12" t="str">
        <f>Absolute_Scores!G5113</f>
        <v>Instagram</v>
      </c>
      <c r="H5113" s="29">
        <f>Absolute_Scores!I5113</f>
        <v>28</v>
      </c>
      <c r="I5113" s="30">
        <f t="shared" si="110"/>
        <v>35</v>
      </c>
    </row>
    <row r="5114" spans="6:9">
      <c r="F5114" s="12" t="str">
        <f>Absolute_Scores!F5114</f>
        <v>@scepynun</v>
      </c>
      <c r="G5114" s="12" t="str">
        <f>Absolute_Scores!G5114</f>
        <v>Instagram</v>
      </c>
      <c r="H5114" s="29">
        <f>Absolute_Scores!I5114</f>
        <v>27</v>
      </c>
      <c r="I5114" s="30">
        <f t="shared" si="110"/>
        <v>33.75</v>
      </c>
    </row>
    <row r="5115" spans="6:9">
      <c r="F5115" s="12" t="str">
        <f>Absolute_Scores!F5115</f>
        <v>@tellaaa09</v>
      </c>
      <c r="G5115" s="12" t="str">
        <f>Absolute_Scores!G5115</f>
        <v>Instagram</v>
      </c>
      <c r="H5115" s="29">
        <f>Absolute_Scores!I5115</f>
        <v>27</v>
      </c>
      <c r="I5115" s="30">
        <f t="shared" si="110"/>
        <v>33.75</v>
      </c>
    </row>
    <row r="5116" spans="6:9">
      <c r="F5116" s="12" t="str">
        <f>Absolute_Scores!F5116</f>
        <v>@jihaannp_</v>
      </c>
      <c r="G5116" s="12" t="str">
        <f>Absolute_Scores!G5116</f>
        <v>Instagram</v>
      </c>
      <c r="H5116" s="29">
        <f>Absolute_Scores!I5116</f>
        <v>26</v>
      </c>
      <c r="I5116" s="30">
        <f t="shared" si="110"/>
        <v>32.5</v>
      </c>
    </row>
    <row r="5117" spans="6:9">
      <c r="F5117" s="12" t="str">
        <f>Absolute_Scores!F5117</f>
        <v>@fahirair</v>
      </c>
      <c r="G5117" s="12" t="str">
        <f>Absolute_Scores!G5117</f>
        <v>Instagram</v>
      </c>
      <c r="H5117" s="29">
        <f>Absolute_Scores!I5117</f>
        <v>24</v>
      </c>
      <c r="I5117" s="30">
        <f t="shared" si="110"/>
        <v>30</v>
      </c>
    </row>
    <row r="5118" spans="6:9">
      <c r="F5118" s="12" t="str">
        <f>Absolute_Scores!F5118</f>
        <v>@nisa_alifa</v>
      </c>
      <c r="G5118" s="12" t="str">
        <f>Absolute_Scores!G5118</f>
        <v>Instagram</v>
      </c>
      <c r="H5118" s="29">
        <f>Absolute_Scores!I5118</f>
        <v>22</v>
      </c>
      <c r="I5118" s="30">
        <f t="shared" si="110"/>
        <v>27.5</v>
      </c>
    </row>
    <row r="5119" spans="6:9">
      <c r="F5119" s="12" t="str">
        <f>Absolute_Scores!F5119</f>
        <v>@khadziyah_</v>
      </c>
      <c r="G5119" s="12" t="str">
        <f>Absolute_Scores!G5119</f>
        <v>Instagram</v>
      </c>
      <c r="H5119" s="29">
        <f>Absolute_Scores!I5119</f>
        <v>20</v>
      </c>
      <c r="I5119" s="30">
        <f t="shared" si="110"/>
        <v>25</v>
      </c>
    </row>
    <row r="5120" spans="6:9">
      <c r="F5120" s="12" t="str">
        <f>Absolute_Scores!F5120</f>
        <v>@joselyn.velixia</v>
      </c>
      <c r="G5120" s="12" t="str">
        <f>Absolute_Scores!G5120</f>
        <v>Instagram</v>
      </c>
      <c r="H5120" s="29">
        <f>Absolute_Scores!I5120</f>
        <v>18</v>
      </c>
      <c r="I5120" s="30">
        <f t="shared" si="110"/>
        <v>22.5</v>
      </c>
    </row>
  </sheetData>
  <mergeCells count="5">
    <mergeCell ref="A1:O1"/>
    <mergeCell ref="A2:O2"/>
    <mergeCell ref="A4:C4"/>
    <mergeCell ref="F4:H4"/>
    <mergeCell ref="K4:M4"/>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workbookViewId="0">
      <pane ySplit="4" topLeftCell="A5" activePane="bottomLeft" state="frozen"/>
      <selection/>
      <selection pane="bottomLeft" activeCell="A1" sqref="A1:K1"/>
    </sheetView>
  </sheetViews>
  <sheetFormatPr defaultColWidth="9" defaultRowHeight="14.4"/>
  <cols>
    <col min="1" max="1" width="14" customWidth="1"/>
    <col min="2" max="2" width="16" customWidth="1"/>
    <col min="3" max="3" width="17" customWidth="1"/>
    <col min="4" max="4" width="32" customWidth="1"/>
    <col min="5" max="6" width="15" customWidth="1"/>
    <col min="7" max="7" width="13" customWidth="1"/>
    <col min="8" max="8" width="12" customWidth="1"/>
    <col min="9" max="9" width="86" customWidth="1"/>
    <col min="10" max="13" width="11" customWidth="1"/>
  </cols>
  <sheetData>
    <row r="1" ht="24" customHeight="1" spans="1:11">
      <c r="A1" s="3" t="s">
        <v>5278</v>
      </c>
      <c r="B1" s="3"/>
      <c r="C1" s="3"/>
      <c r="D1" s="3"/>
      <c r="E1" s="3"/>
      <c r="F1" s="3"/>
      <c r="G1" s="3"/>
      <c r="H1" s="3"/>
      <c r="I1" s="3"/>
      <c r="J1" s="3"/>
      <c r="K1" s="3"/>
    </row>
    <row r="2" ht="30" customHeight="1" spans="1:11">
      <c r="A2" s="4" t="s">
        <v>5279</v>
      </c>
      <c r="B2" s="4"/>
      <c r="C2" s="4"/>
      <c r="D2" s="4"/>
      <c r="E2" s="4"/>
      <c r="F2" s="4"/>
      <c r="G2" s="4"/>
      <c r="H2" s="4"/>
      <c r="I2" s="4"/>
      <c r="J2" s="4"/>
      <c r="K2" s="4"/>
    </row>
    <row r="4" ht="24" customHeight="1" spans="1:11">
      <c r="A4" s="5" t="s">
        <v>88</v>
      </c>
      <c r="B4" s="5" t="s">
        <v>89</v>
      </c>
      <c r="C4" s="5" t="s">
        <v>5280</v>
      </c>
      <c r="D4" s="5" t="s">
        <v>5281</v>
      </c>
      <c r="E4" s="5" t="s">
        <v>5282</v>
      </c>
      <c r="F4" s="5" t="s">
        <v>5283</v>
      </c>
      <c r="G4" s="5" t="s">
        <v>5284</v>
      </c>
      <c r="H4" s="5" t="s">
        <v>5285</v>
      </c>
      <c r="I4" s="5" t="s">
        <v>5286</v>
      </c>
      <c r="J4" s="5" t="s">
        <v>5287</v>
      </c>
      <c r="K4" s="5" t="s">
        <v>5288</v>
      </c>
    </row>
    <row r="5" spans="1:11">
      <c r="A5" s="7" t="s">
        <v>93</v>
      </c>
      <c r="B5" s="19" t="s">
        <v>94</v>
      </c>
      <c r="C5" s="19" t="s">
        <v>5289</v>
      </c>
      <c r="D5" s="20">
        <f>COUNT(Absolute_Scores!$D$6:$D$1248)</f>
        <v>1243</v>
      </c>
      <c r="E5" s="21">
        <f>MIN(Absolute_Scores!$D$6:$D$1248)</f>
        <v>25</v>
      </c>
      <c r="F5" s="21">
        <f>MAX(Absolute_Scores!$D$6:$D$1248)</f>
        <v>80</v>
      </c>
      <c r="G5" s="22">
        <f>AVERAGE(Absolute_Scores!$D$6:$D$1248)</f>
        <v>47.1850362027353</v>
      </c>
      <c r="H5" s="22">
        <f>MEDIAN(Absolute_Scores!$D$6:$D$1248)</f>
        <v>50</v>
      </c>
      <c r="I5" s="22">
        <f>_xlfn.STDEV.S(Absolute_Scores!$D$6:$D$1248)</f>
        <v>6.75422225393365</v>
      </c>
      <c r="J5" s="22">
        <f>_xlfn.PERCENTILE.INC(Absolute_Scores!$D$6:$D$1248,0.25)</f>
        <v>44</v>
      </c>
      <c r="K5" s="22">
        <f>_xlfn.PERCENTILE.INC(Absolute_Scores!$D$6:$D$1248,0.75)</f>
        <v>50</v>
      </c>
    </row>
    <row r="6" spans="1:11">
      <c r="A6" s="7" t="s">
        <v>93</v>
      </c>
      <c r="B6" s="19" t="s">
        <v>94</v>
      </c>
      <c r="C6" s="7" t="s">
        <v>5290</v>
      </c>
      <c r="D6" s="20">
        <f>COUNT(Normalized_Scores!$D$6:$D$1248)</f>
        <v>1243</v>
      </c>
      <c r="E6" s="22">
        <f>MIN(Normalized_Scores!$D$6:$D$1248)</f>
        <v>31.25</v>
      </c>
      <c r="F6" s="22">
        <f>MAX(Normalized_Scores!$D$6:$D$1248)</f>
        <v>100</v>
      </c>
      <c r="G6" s="22">
        <f>AVERAGE(Normalized_Scores!$D$6:$D$1248)</f>
        <v>58.9812952534191</v>
      </c>
      <c r="H6" s="22">
        <f>MEDIAN(Normalized_Scores!$D$6:$D$1248)</f>
        <v>62.5</v>
      </c>
      <c r="I6" s="22">
        <f>_xlfn.STDEV.S(Normalized_Scores!$D$6:$D$1248)</f>
        <v>8.44277781741696</v>
      </c>
      <c r="J6" s="22">
        <f>_xlfn.PERCENTILE.INC(Normalized_Scores!$D$6:$D$1248,0.25)</f>
        <v>55</v>
      </c>
      <c r="K6" s="22">
        <f>_xlfn.PERCENTILE.INC(Normalized_Scores!$D$6:$D$1248,0.75)</f>
        <v>62.5</v>
      </c>
    </row>
    <row r="7" spans="1:11">
      <c r="A7" s="7" t="s">
        <v>97</v>
      </c>
      <c r="B7" s="19" t="s">
        <v>98</v>
      </c>
      <c r="C7" s="19" t="s">
        <v>5289</v>
      </c>
      <c r="D7" s="20">
        <f>COUNT(Absolute_Scores!$I$6:$I$5120)</f>
        <v>5115</v>
      </c>
      <c r="E7" s="21">
        <f>MIN(Absolute_Scores!$I$6:$I$5120)</f>
        <v>18</v>
      </c>
      <c r="F7" s="21">
        <f>MAX(Absolute_Scores!$I$6:$I$5120)</f>
        <v>80</v>
      </c>
      <c r="G7" s="22">
        <f>AVERAGE(Absolute_Scores!$I$6:$I$5120)</f>
        <v>45.8129032258065</v>
      </c>
      <c r="H7" s="22">
        <f>MEDIAN(Absolute_Scores!$I$6:$I$5120)</f>
        <v>50</v>
      </c>
      <c r="I7" s="22">
        <f>_xlfn.STDEV.S(Absolute_Scores!$I$6:$I$5120)</f>
        <v>6.38471281738508</v>
      </c>
      <c r="J7" s="22">
        <f>_xlfn.PERCENTILE.INC(Absolute_Scores!$I$6:$I$5120,0.25)</f>
        <v>41</v>
      </c>
      <c r="K7" s="22">
        <f>_xlfn.PERCENTILE.INC(Absolute_Scores!$I$6:$I$5120,0.75)</f>
        <v>50</v>
      </c>
    </row>
    <row r="8" spans="1:11">
      <c r="A8" s="7" t="s">
        <v>97</v>
      </c>
      <c r="B8" s="19" t="s">
        <v>98</v>
      </c>
      <c r="C8" s="7" t="s">
        <v>5290</v>
      </c>
      <c r="D8" s="20">
        <f>COUNT(Normalized_Scores!$I$6:$I$5120)</f>
        <v>5115</v>
      </c>
      <c r="E8" s="22">
        <f>MIN(Normalized_Scores!$I$6:$I$5120)</f>
        <v>22.5</v>
      </c>
      <c r="F8" s="22">
        <f>MAX(Normalized_Scores!$I$6:$I$5120)</f>
        <v>100</v>
      </c>
      <c r="G8" s="22">
        <f>AVERAGE(Normalized_Scores!$I$6:$I$5120)</f>
        <v>57.2661290322581</v>
      </c>
      <c r="H8" s="22">
        <f>MEDIAN(Normalized_Scores!$I$6:$I$5120)</f>
        <v>62.5</v>
      </c>
      <c r="I8" s="22">
        <f>_xlfn.STDEV.S(Normalized_Scores!$I$6:$I$5120)</f>
        <v>7.98089102173121</v>
      </c>
      <c r="J8" s="22">
        <f>_xlfn.PERCENTILE.INC(Normalized_Scores!$I$6:$I$5120,0.25)</f>
        <v>51.25</v>
      </c>
      <c r="K8" s="22">
        <f>_xlfn.PERCENTILE.INC(Normalized_Scores!$I$6:$I$5120,0.75)</f>
        <v>62.5</v>
      </c>
    </row>
    <row r="9" spans="1:11">
      <c r="A9" s="7" t="s">
        <v>101</v>
      </c>
      <c r="B9" s="19" t="s">
        <v>102</v>
      </c>
      <c r="C9" s="19" t="s">
        <v>5289</v>
      </c>
      <c r="D9" s="20">
        <f>COUNT(Absolute_Scores!$N$6:$N$692)</f>
        <v>687</v>
      </c>
      <c r="E9" s="21">
        <f>MIN(Absolute_Scores!$N$6:$N$692)</f>
        <v>18</v>
      </c>
      <c r="F9" s="21">
        <f>MAX(Absolute_Scores!$N$6:$N$692)</f>
        <v>67</v>
      </c>
      <c r="G9" s="22">
        <f>AVERAGE(Absolute_Scores!$N$6:$N$692)</f>
        <v>42.1601164483261</v>
      </c>
      <c r="H9" s="22">
        <f>MEDIAN(Absolute_Scores!$N$6:$N$692)</f>
        <v>42</v>
      </c>
      <c r="I9" s="22">
        <f>_xlfn.STDEV.S(Absolute_Scores!$N$6:$N$692)</f>
        <v>8.31472640590651</v>
      </c>
      <c r="J9" s="22">
        <f>_xlfn.PERCENTILE.INC(Absolute_Scores!$N$6:$N$692,0.25)</f>
        <v>36</v>
      </c>
      <c r="K9" s="22">
        <f>_xlfn.PERCENTILE.INC(Absolute_Scores!$N$6:$N$692,0.75)</f>
        <v>48</v>
      </c>
    </row>
    <row r="10" spans="1:11">
      <c r="A10" s="7" t="s">
        <v>101</v>
      </c>
      <c r="B10" s="19" t="s">
        <v>102</v>
      </c>
      <c r="C10" s="7" t="s">
        <v>5290</v>
      </c>
      <c r="D10" s="20">
        <f>COUNT(Normalized_Scores!$N$6:$N$692)</f>
        <v>687</v>
      </c>
      <c r="E10" s="22">
        <f>MIN(Normalized_Scores!$N$6:$N$692)</f>
        <v>26.87</v>
      </c>
      <c r="F10" s="22">
        <f>MAX(Normalized_Scores!$N$6:$N$692)</f>
        <v>100</v>
      </c>
      <c r="G10" s="22">
        <f>AVERAGE(Normalized_Scores!$N$6:$N$692)</f>
        <v>62.9254294032021</v>
      </c>
      <c r="H10" s="22">
        <f>MEDIAN(Normalized_Scores!$N$6:$N$692)</f>
        <v>62.69</v>
      </c>
      <c r="I10" s="22">
        <f>_xlfn.STDEV.S(Normalized_Scores!$N$6:$N$692)</f>
        <v>12.4098398516392</v>
      </c>
      <c r="J10" s="22">
        <f>_xlfn.PERCENTILE.INC(Normalized_Scores!$N$6:$N$692,0.25)</f>
        <v>53.73</v>
      </c>
      <c r="K10" s="22">
        <f>_xlfn.PERCENTILE.INC(Normalized_Scores!$N$6:$N$692,0.75)</f>
        <v>71.64</v>
      </c>
    </row>
    <row r="12" ht="18" customHeight="1" spans="1:11">
      <c r="A12" s="23" t="s">
        <v>5291</v>
      </c>
      <c r="B12" s="23"/>
      <c r="C12" s="23"/>
      <c r="D12" s="23"/>
      <c r="E12" s="23"/>
      <c r="F12" s="23"/>
      <c r="G12" s="23"/>
      <c r="H12" s="23"/>
      <c r="I12" s="23"/>
      <c r="J12" s="23"/>
      <c r="K12" s="23"/>
    </row>
    <row r="13" ht="26" customHeight="1" spans="1:11">
      <c r="A13" s="5" t="s">
        <v>88</v>
      </c>
      <c r="B13" s="5" t="s">
        <v>5280</v>
      </c>
      <c r="C13" s="5" t="s">
        <v>5292</v>
      </c>
      <c r="D13" s="5" t="s">
        <v>5293</v>
      </c>
      <c r="E13" s="5" t="s">
        <v>5294</v>
      </c>
      <c r="F13" s="5" t="s">
        <v>5295</v>
      </c>
      <c r="G13" s="5" t="s">
        <v>5296</v>
      </c>
      <c r="H13" s="5" t="s">
        <v>5297</v>
      </c>
      <c r="I13" s="5" t="s">
        <v>5298</v>
      </c>
    </row>
    <row r="14" ht="30" customHeight="1" spans="1:11">
      <c r="A14" s="7" t="s">
        <v>93</v>
      </c>
      <c r="B14" s="19" t="s">
        <v>5289</v>
      </c>
      <c r="C14" s="24">
        <f>SKEW(Absolute_Scores!$D$6:$D$1248)</f>
        <v>0.134486738232619</v>
      </c>
      <c r="D14" s="12" t="str">
        <f t="shared" ref="D14:D19" si="0">IF(ABS(C14)&lt;0.25,"approximately symmetric",IF(C14&gt;0,"right-skewed — a thin upper tail","left-skewed — a thin lower tail"))</f>
        <v>approximately symmetric</v>
      </c>
      <c r="E14" s="22">
        <f t="shared" ref="E14:E19" si="1">F5-E5</f>
        <v>55</v>
      </c>
      <c r="F14" s="22">
        <f t="shared" ref="F14:F19" si="2">K5-J5</f>
        <v>6</v>
      </c>
      <c r="G14" s="22">
        <f>MODE(Absolute_Scores!$D$6:$D$1248)</f>
        <v>50</v>
      </c>
      <c r="H14" s="25">
        <f>COUNTIF(Absolute_Scores!$D$6:$D$1248,G14)/COUNT(Absolute_Scores!$D$6:$D$1248)</f>
        <v>0.337087691069992</v>
      </c>
      <c r="I14" s="26" t="str">
        <f>"P25 "&amp;TEXT(J5,"0")&amp;" · median "&amp;TEXT(H5,"0")&amp;" · P75 "&amp;TEXT(K5,"0")&amp;" — the middle half spans "&amp;TEXT(K5-J5,"0")&amp;" points of a "&amp;TEXT(F5-E5,"0")&amp;"-point range, "&amp;"and "&amp;TEXT(COUNTIF(Absolute_Scores!$D$6:$D$1248,G14)/COUNT(Absolute_Scores!$D$6:$D$1248),"0%")&amp;" of the population sits on the single most common value."</f>
        <v>P25 44 · median 50 · P75 50 — the middle half spans 6 points of a 55-point range, and 34% of the population sits on the single most common value.</v>
      </c>
    </row>
    <row r="15" ht="30" customHeight="1" spans="1:11">
      <c r="A15" s="7" t="s">
        <v>93</v>
      </c>
      <c r="B15" s="19" t="s">
        <v>5290</v>
      </c>
      <c r="C15" s="24">
        <f>SKEW(Normalized_Scores!$D$6:$D$1248)</f>
        <v>0.134486738232574</v>
      </c>
      <c r="D15" s="12" t="str">
        <f t="shared" si="0"/>
        <v>approximately symmetric</v>
      </c>
      <c r="E15" s="22">
        <f t="shared" si="1"/>
        <v>68.75</v>
      </c>
      <c r="F15" s="22">
        <f t="shared" si="2"/>
        <v>7.5</v>
      </c>
      <c r="G15" s="22">
        <f>MODE(Normalized_Scores!$D$6:$D$1248)</f>
        <v>62.5</v>
      </c>
      <c r="H15" s="25">
        <f>COUNTIF(Normalized_Scores!$D$6:$D$1248,G15)/COUNT(Normalized_Scores!$D$6:$D$1248)</f>
        <v>0.337087691069992</v>
      </c>
      <c r="I15" s="26" t="str">
        <f>"P25 "&amp;TEXT(J6,"0")&amp;" · median "&amp;TEXT(H6,"0")&amp;" · P75 "&amp;TEXT(K6,"0")&amp;" — the middle half spans "&amp;TEXT(K6-J6,"0")&amp;" points of a "&amp;TEXT(F6-E6,"0")&amp;"-point range, "&amp;"and "&amp;TEXT(COUNTIF(Normalized_Scores!$D$6:$D$1248,G15)/COUNT(Normalized_Scores!$D$6:$D$1248),"0%")&amp;" of the population sits on the single most common value."</f>
        <v>P25 55 · median 63 · P75 63 — the middle half spans 8 points of a 69-point range, and 34% of the population sits on the single most common value.</v>
      </c>
    </row>
    <row r="16" ht="30" customHeight="1" spans="1:11">
      <c r="A16" s="7" t="s">
        <v>97</v>
      </c>
      <c r="B16" s="19" t="s">
        <v>5289</v>
      </c>
      <c r="C16" s="24">
        <f>SKEW(Absolute_Scores!$I$6:$I$5120)</f>
        <v>-0.316184318967561</v>
      </c>
      <c r="D16" s="12" t="str">
        <f t="shared" si="0"/>
        <v>left-skewed — a thin lower tail</v>
      </c>
      <c r="E16" s="22">
        <f t="shared" si="1"/>
        <v>62</v>
      </c>
      <c r="F16" s="22">
        <f t="shared" si="2"/>
        <v>9</v>
      </c>
      <c r="G16" s="22">
        <f>MODE(Absolute_Scores!$I$6:$I$5120)</f>
        <v>50</v>
      </c>
      <c r="H16" s="25">
        <f>COUNTIF(Absolute_Scores!$I$6:$I$5120,G16)/COUNT(Absolute_Scores!$I$6:$I$5120)</f>
        <v>0.449657869012708</v>
      </c>
      <c r="I16" s="26" t="str">
        <f>"P25 "&amp;TEXT(J7,"0")&amp;" · median "&amp;TEXT(H7,"0")&amp;" · P75 "&amp;TEXT(K7,"0")&amp;" — the middle half spans "&amp;TEXT(K7-J7,"0")&amp;" points of a "&amp;TEXT(F7-E7,"0")&amp;"-point range, "&amp;"and "&amp;TEXT(COUNTIF(Absolute_Scores!$I$6:$I$5120,G16)/COUNT(Absolute_Scores!$I$6:$I$5120),"0%")&amp;" of the population sits on the single most common value."</f>
        <v>P25 41 · median 50 · P75 50 — the middle half spans 9 points of a 62-point range, and 45% of the population sits on the single most common value.</v>
      </c>
    </row>
    <row r="17" ht="30" customHeight="1" spans="1:9">
      <c r="A17" s="7" t="s">
        <v>97</v>
      </c>
      <c r="B17" s="19" t="s">
        <v>5290</v>
      </c>
      <c r="C17" s="24">
        <f>SKEW(Normalized_Scores!$I$6:$I$5120)</f>
        <v>-0.316184318967599</v>
      </c>
      <c r="D17" s="12" t="str">
        <f t="shared" si="0"/>
        <v>left-skewed — a thin lower tail</v>
      </c>
      <c r="E17" s="22">
        <f t="shared" si="1"/>
        <v>77.5</v>
      </c>
      <c r="F17" s="22">
        <f t="shared" si="2"/>
        <v>11.25</v>
      </c>
      <c r="G17" s="22">
        <f>MODE(Normalized_Scores!$I$6:$I$5120)</f>
        <v>62.5</v>
      </c>
      <c r="H17" s="25">
        <f>COUNTIF(Normalized_Scores!$I$6:$I$5120,G17)/COUNT(Normalized_Scores!$I$6:$I$5120)</f>
        <v>0.449657869012708</v>
      </c>
      <c r="I17" s="26" t="str">
        <f>"P25 "&amp;TEXT(J8,"0")&amp;" · median "&amp;TEXT(H8,"0")&amp;" · P75 "&amp;TEXT(K8,"0")&amp;" — the middle half spans "&amp;TEXT(K8-J8,"0")&amp;" points of a "&amp;TEXT(F8-E8,"0")&amp;"-point range, "&amp;"and "&amp;TEXT(COUNTIF(Normalized_Scores!$I$6:$I$5120,G17)/COUNT(Normalized_Scores!$I$6:$I$5120),"0%")&amp;" of the population sits on the single most common value."</f>
        <v>P25 51 · median 63 · P75 63 — the middle half spans 11 points of a 78-point range, and 45% of the population sits on the single most common value.</v>
      </c>
    </row>
    <row r="18" ht="30" customHeight="1" spans="1:9">
      <c r="A18" s="7" t="s">
        <v>101</v>
      </c>
      <c r="B18" s="19" t="s">
        <v>5289</v>
      </c>
      <c r="C18" s="24">
        <f>SKEW(Absolute_Scores!$N$6:$N$692)</f>
        <v>0.00543235825948437</v>
      </c>
      <c r="D18" s="12" t="str">
        <f t="shared" si="0"/>
        <v>approximately symmetric</v>
      </c>
      <c r="E18" s="22">
        <f t="shared" si="1"/>
        <v>49</v>
      </c>
      <c r="F18" s="22">
        <f t="shared" si="2"/>
        <v>12</v>
      </c>
      <c r="G18" s="22">
        <f>MODE(Absolute_Scores!$N$6:$N$692)</f>
        <v>55</v>
      </c>
      <c r="H18" s="25">
        <f>COUNTIF(Absolute_Scores!$N$6:$N$692,G18)/COUNT(Absolute_Scores!$N$6:$N$692)</f>
        <v>0.100436681222707</v>
      </c>
      <c r="I18" s="26" t="str">
        <f>"P25 "&amp;TEXT(J9,"0")&amp;" · median "&amp;TEXT(H9,"0")&amp;" · P75 "&amp;TEXT(K9,"0")&amp;" — the middle half spans "&amp;TEXT(K9-J9,"0")&amp;" points of a "&amp;TEXT(F9-E9,"0")&amp;"-point range, "&amp;"and "&amp;TEXT(COUNTIF(Absolute_Scores!$N$6:$N$692,G18)/COUNT(Absolute_Scores!$N$6:$N$692),"0%")&amp;" of the population sits on the single most common value."</f>
        <v>P25 36 · median 42 · P75 48 — the middle half spans 12 points of a 49-point range, and 10% of the population sits on the single most common value.</v>
      </c>
    </row>
    <row r="19" ht="30" customHeight="1" spans="1:9">
      <c r="A19" s="7" t="s">
        <v>101</v>
      </c>
      <c r="B19" s="19" t="s">
        <v>5290</v>
      </c>
      <c r="C19" s="24">
        <f>SKEW(Normalized_Scores!$N$6:$N$692)</f>
        <v>0.00550769155211069</v>
      </c>
      <c r="D19" s="12" t="str">
        <f t="shared" si="0"/>
        <v>approximately symmetric</v>
      </c>
      <c r="E19" s="22">
        <f t="shared" si="1"/>
        <v>73.13</v>
      </c>
      <c r="F19" s="22">
        <f t="shared" si="2"/>
        <v>17.91</v>
      </c>
      <c r="G19" s="22">
        <f>MODE(Normalized_Scores!$N$6:$N$692)</f>
        <v>82.09</v>
      </c>
      <c r="H19" s="25">
        <f>COUNTIF(Normalized_Scores!$N$6:$N$692,G19)/COUNT(Normalized_Scores!$N$6:$N$692)</f>
        <v>0.100436681222707</v>
      </c>
      <c r="I19" s="26" t="str">
        <f>"P25 "&amp;TEXT(J10,"0")&amp;" · median "&amp;TEXT(H10,"0")&amp;" · P75 "&amp;TEXT(K10,"0")&amp;" — the middle half spans "&amp;TEXT(K10-J10,"0")&amp;" points of a "&amp;TEXT(F10-E10,"0")&amp;"-point range, "&amp;"and "&amp;TEXT(COUNTIF(Normalized_Scores!$N$6:$N$692,G19)/COUNT(Normalized_Scores!$N$6:$N$692),"0%")&amp;" of the population sits on the single most common value."</f>
        <v>P25 54 · median 63 · P75 72 — the middle half spans 18 points of a 73-point range, and 10% of the population sits on the single most common value.</v>
      </c>
    </row>
  </sheetData>
  <mergeCells count="3">
    <mergeCell ref="A1:K1"/>
    <mergeCell ref="A2:K2"/>
    <mergeCell ref="A12:K12"/>
  </mergeCell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workbookViewId="0">
      <pane xSplit="1" ySplit="5" topLeftCell="B6" activePane="bottomRight" state="frozen"/>
      <selection/>
      <selection pane="topRight"/>
      <selection pane="bottomLeft"/>
      <selection pane="bottomRight" activeCell="A1" sqref="A1:I1"/>
    </sheetView>
  </sheetViews>
  <sheetFormatPr defaultColWidth="9" defaultRowHeight="14.4"/>
  <cols>
    <col min="1" max="1" width="14" customWidth="1"/>
    <col min="2" max="7" width="20" customWidth="1"/>
  </cols>
  <sheetData>
    <row r="1" ht="24" customHeight="1" spans="1:9">
      <c r="A1" s="3" t="s">
        <v>5299</v>
      </c>
      <c r="B1" s="3"/>
      <c r="C1" s="3"/>
      <c r="D1" s="3"/>
      <c r="E1" s="3"/>
      <c r="F1" s="3"/>
      <c r="G1" s="3"/>
      <c r="H1" s="3"/>
      <c r="I1" s="3"/>
    </row>
    <row r="2" ht="30" customHeight="1" spans="1:9">
      <c r="A2" s="4" t="s">
        <v>5300</v>
      </c>
      <c r="B2" s="4"/>
      <c r="C2" s="4"/>
      <c r="D2" s="4"/>
      <c r="E2" s="4"/>
      <c r="F2" s="4"/>
      <c r="G2" s="4"/>
      <c r="H2" s="4"/>
      <c r="I2" s="4"/>
    </row>
    <row r="4" spans="1:9">
      <c r="A4" s="10" t="s">
        <v>5301</v>
      </c>
    </row>
    <row r="5" ht="30" customHeight="1" spans="1:9">
      <c r="A5" s="5" t="s">
        <v>5302</v>
      </c>
      <c r="B5" s="5" t="s">
        <v>5303</v>
      </c>
      <c r="C5" s="5" t="s">
        <v>5304</v>
      </c>
      <c r="D5" s="5" t="s">
        <v>5305</v>
      </c>
      <c r="E5" s="5" t="s">
        <v>5306</v>
      </c>
      <c r="F5" s="5" t="s">
        <v>5307</v>
      </c>
      <c r="G5" s="5" t="s">
        <v>5308</v>
      </c>
    </row>
    <row r="6" spans="1:9">
      <c r="A6" s="7" t="s">
        <v>5309</v>
      </c>
      <c r="B6" s="15">
        <f>COUNTIFS(Absolute_Scores!$D$6:$D$1248,"&gt;=0",Absolute_Scores!$D$6:$D$1248,"&lt;5")</f>
        <v>0</v>
      </c>
      <c r="C6" s="15">
        <f>COUNTIFS(Normalized_Scores!$D$6:$D$1248,"&gt;=0",Normalized_Scores!$D$6:$D$1248,"&lt;5")</f>
        <v>0</v>
      </c>
      <c r="D6" s="15">
        <f>COUNTIFS(Absolute_Scores!$I$6:$I$5120,"&gt;=0",Absolute_Scores!$I$6:$I$5120,"&lt;5")</f>
        <v>0</v>
      </c>
      <c r="E6" s="15">
        <f>COUNTIFS(Normalized_Scores!$I$6:$I$5120,"&gt;=0",Normalized_Scores!$I$6:$I$5120,"&lt;5")</f>
        <v>0</v>
      </c>
      <c r="F6" s="15">
        <f>COUNTIFS(Absolute_Scores!$N$6:$N$692,"&gt;=0",Absolute_Scores!$N$6:$N$692,"&lt;5")</f>
        <v>0</v>
      </c>
      <c r="G6" s="15">
        <f>COUNTIFS(Normalized_Scores!$N$6:$N$692,"&gt;=0",Normalized_Scores!$N$6:$N$692,"&lt;5")</f>
        <v>0</v>
      </c>
    </row>
    <row r="7" spans="1:9">
      <c r="A7" s="7" t="s">
        <v>5310</v>
      </c>
      <c r="B7" s="15">
        <f>COUNTIFS(Absolute_Scores!$D$6:$D$1248,"&gt;=5",Absolute_Scores!$D$6:$D$1248,"&lt;10")</f>
        <v>0</v>
      </c>
      <c r="C7" s="15">
        <f>COUNTIFS(Normalized_Scores!$D$6:$D$1248,"&gt;=5",Normalized_Scores!$D$6:$D$1248,"&lt;10")</f>
        <v>0</v>
      </c>
      <c r="D7" s="15">
        <f>COUNTIFS(Absolute_Scores!$I$6:$I$5120,"&gt;=5",Absolute_Scores!$I$6:$I$5120,"&lt;10")</f>
        <v>0</v>
      </c>
      <c r="E7" s="15">
        <f>COUNTIFS(Normalized_Scores!$I$6:$I$5120,"&gt;=5",Normalized_Scores!$I$6:$I$5120,"&lt;10")</f>
        <v>0</v>
      </c>
      <c r="F7" s="15">
        <f>COUNTIFS(Absolute_Scores!$N$6:$N$692,"&gt;=5",Absolute_Scores!$N$6:$N$692,"&lt;10")</f>
        <v>0</v>
      </c>
      <c r="G7" s="15">
        <f>COUNTIFS(Normalized_Scores!$N$6:$N$692,"&gt;=5",Normalized_Scores!$N$6:$N$692,"&lt;10")</f>
        <v>0</v>
      </c>
    </row>
    <row r="8" spans="1:9">
      <c r="A8" s="7" t="s">
        <v>5311</v>
      </c>
      <c r="B8" s="15">
        <f>COUNTIFS(Absolute_Scores!$D$6:$D$1248,"&gt;=10",Absolute_Scores!$D$6:$D$1248,"&lt;15")</f>
        <v>0</v>
      </c>
      <c r="C8" s="15">
        <f>COUNTIFS(Normalized_Scores!$D$6:$D$1248,"&gt;=10",Normalized_Scores!$D$6:$D$1248,"&lt;15")</f>
        <v>0</v>
      </c>
      <c r="D8" s="15">
        <f>COUNTIFS(Absolute_Scores!$I$6:$I$5120,"&gt;=10",Absolute_Scores!$I$6:$I$5120,"&lt;15")</f>
        <v>0</v>
      </c>
      <c r="E8" s="15">
        <f>COUNTIFS(Normalized_Scores!$I$6:$I$5120,"&gt;=10",Normalized_Scores!$I$6:$I$5120,"&lt;15")</f>
        <v>0</v>
      </c>
      <c r="F8" s="15">
        <f>COUNTIFS(Absolute_Scores!$N$6:$N$692,"&gt;=10",Absolute_Scores!$N$6:$N$692,"&lt;15")</f>
        <v>0</v>
      </c>
      <c r="G8" s="15">
        <f>COUNTIFS(Normalized_Scores!$N$6:$N$692,"&gt;=10",Normalized_Scores!$N$6:$N$692,"&lt;15")</f>
        <v>0</v>
      </c>
    </row>
    <row r="9" spans="1:9">
      <c r="A9" s="7" t="s">
        <v>5312</v>
      </c>
      <c r="B9" s="15">
        <f>COUNTIFS(Absolute_Scores!$D$6:$D$1248,"&gt;=15",Absolute_Scores!$D$6:$D$1248,"&lt;20")</f>
        <v>0</v>
      </c>
      <c r="C9" s="15">
        <f>COUNTIFS(Normalized_Scores!$D$6:$D$1248,"&gt;=15",Normalized_Scores!$D$6:$D$1248,"&lt;20")</f>
        <v>0</v>
      </c>
      <c r="D9" s="15">
        <f>COUNTIFS(Absolute_Scores!$I$6:$I$5120,"&gt;=15",Absolute_Scores!$I$6:$I$5120,"&lt;20")</f>
        <v>1</v>
      </c>
      <c r="E9" s="15">
        <f>COUNTIFS(Normalized_Scores!$I$6:$I$5120,"&gt;=15",Normalized_Scores!$I$6:$I$5120,"&lt;20")</f>
        <v>0</v>
      </c>
      <c r="F9" s="15">
        <f>COUNTIFS(Absolute_Scores!$N$6:$N$692,"&gt;=15",Absolute_Scores!$N$6:$N$692,"&lt;20")</f>
        <v>1</v>
      </c>
      <c r="G9" s="15">
        <f>COUNTIFS(Normalized_Scores!$N$6:$N$692,"&gt;=15",Normalized_Scores!$N$6:$N$692,"&lt;20")</f>
        <v>0</v>
      </c>
    </row>
    <row r="10" spans="1:9">
      <c r="A10" s="7" t="s">
        <v>5313</v>
      </c>
      <c r="B10" s="15">
        <f>COUNTIFS(Absolute_Scores!$D$6:$D$1248,"&gt;=20",Absolute_Scores!$D$6:$D$1248,"&lt;25")</f>
        <v>0</v>
      </c>
      <c r="C10" s="15">
        <f>COUNTIFS(Normalized_Scores!$D$6:$D$1248,"&gt;=20",Normalized_Scores!$D$6:$D$1248,"&lt;25")</f>
        <v>0</v>
      </c>
      <c r="D10" s="15">
        <f>COUNTIFS(Absolute_Scores!$I$6:$I$5120,"&gt;=20",Absolute_Scores!$I$6:$I$5120,"&lt;25")</f>
        <v>3</v>
      </c>
      <c r="E10" s="15">
        <f>COUNTIFS(Normalized_Scores!$I$6:$I$5120,"&gt;=20",Normalized_Scores!$I$6:$I$5120,"&lt;25")</f>
        <v>1</v>
      </c>
      <c r="F10" s="15">
        <f>COUNTIFS(Absolute_Scores!$N$6:$N$692,"&gt;=20",Absolute_Scores!$N$6:$N$692,"&lt;25")</f>
        <v>9</v>
      </c>
      <c r="G10" s="15">
        <f>COUNTIFS(Normalized_Scores!$N$6:$N$692,"&gt;=20",Normalized_Scores!$N$6:$N$692,"&lt;25")</f>
        <v>0</v>
      </c>
    </row>
    <row r="11" spans="1:9">
      <c r="A11" s="7" t="s">
        <v>5314</v>
      </c>
      <c r="B11" s="15">
        <f>COUNTIFS(Absolute_Scores!$D$6:$D$1248,"&gt;=25",Absolute_Scores!$D$6:$D$1248,"&lt;30")</f>
        <v>5</v>
      </c>
      <c r="C11" s="15">
        <f>COUNTIFS(Normalized_Scores!$D$6:$D$1248,"&gt;=25",Normalized_Scores!$D$6:$D$1248,"&lt;30")</f>
        <v>0</v>
      </c>
      <c r="D11" s="15">
        <f>COUNTIFS(Absolute_Scores!$I$6:$I$5120,"&gt;=25",Absolute_Scores!$I$6:$I$5120,"&lt;30")</f>
        <v>6</v>
      </c>
      <c r="E11" s="15">
        <f>COUNTIFS(Normalized_Scores!$I$6:$I$5120,"&gt;=25",Normalized_Scores!$I$6:$I$5120,"&lt;30")</f>
        <v>2</v>
      </c>
      <c r="F11" s="15">
        <f>COUNTIFS(Absolute_Scores!$N$6:$N$692,"&gt;=25",Absolute_Scores!$N$6:$N$692,"&lt;30")</f>
        <v>24</v>
      </c>
      <c r="G11" s="15">
        <f>COUNTIFS(Normalized_Scores!$N$6:$N$692,"&gt;=25",Normalized_Scores!$N$6:$N$692,"&lt;30")</f>
        <v>3</v>
      </c>
    </row>
    <row r="12" spans="1:9">
      <c r="A12" s="7" t="s">
        <v>5315</v>
      </c>
      <c r="B12" s="15">
        <f>COUNTIFS(Absolute_Scores!$D$6:$D$1248,"&gt;=30",Absolute_Scores!$D$6:$D$1248,"&lt;35")</f>
        <v>34</v>
      </c>
      <c r="C12" s="15">
        <f>COUNTIFS(Normalized_Scores!$D$6:$D$1248,"&gt;=30",Normalized_Scores!$D$6:$D$1248,"&lt;35")</f>
        <v>4</v>
      </c>
      <c r="D12" s="15">
        <f>COUNTIFS(Absolute_Scores!$I$6:$I$5120,"&gt;=30",Absolute_Scores!$I$6:$I$5120,"&lt;35")</f>
        <v>229</v>
      </c>
      <c r="E12" s="15">
        <f>COUNTIFS(Normalized_Scores!$I$6:$I$5120,"&gt;=30",Normalized_Scores!$I$6:$I$5120,"&lt;35")</f>
        <v>4</v>
      </c>
      <c r="F12" s="15">
        <f>COUNTIFS(Absolute_Scores!$N$6:$N$692,"&gt;=30",Absolute_Scores!$N$6:$N$692,"&lt;35")</f>
        <v>108</v>
      </c>
      <c r="G12" s="15">
        <f>COUNTIFS(Normalized_Scores!$N$6:$N$692,"&gt;=30",Normalized_Scores!$N$6:$N$692,"&lt;35")</f>
        <v>2</v>
      </c>
    </row>
    <row r="13" spans="1:9">
      <c r="A13" s="7" t="s">
        <v>5316</v>
      </c>
      <c r="B13" s="15">
        <f>COUNTIFS(Absolute_Scores!$D$6:$D$1248,"&gt;=35",Absolute_Scores!$D$6:$D$1248,"&lt;40")</f>
        <v>120</v>
      </c>
      <c r="C13" s="15">
        <f>COUNTIFS(Normalized_Scores!$D$6:$D$1248,"&gt;=35",Normalized_Scores!$D$6:$D$1248,"&lt;40")</f>
        <v>12</v>
      </c>
      <c r="D13" s="15">
        <f>COUNTIFS(Absolute_Scores!$I$6:$I$5120,"&gt;=35",Absolute_Scores!$I$6:$I$5120,"&lt;40")</f>
        <v>936</v>
      </c>
      <c r="E13" s="15">
        <f>COUNTIFS(Normalized_Scores!$I$6:$I$5120,"&gt;=35",Normalized_Scores!$I$6:$I$5120,"&lt;40")</f>
        <v>75</v>
      </c>
      <c r="F13" s="15">
        <f>COUNTIFS(Absolute_Scores!$N$6:$N$692,"&gt;=35",Absolute_Scores!$N$6:$N$692,"&lt;40")</f>
        <v>106</v>
      </c>
      <c r="G13" s="15">
        <f>COUNTIFS(Normalized_Scores!$N$6:$N$692,"&gt;=35",Normalized_Scores!$N$6:$N$692,"&lt;40")</f>
        <v>11</v>
      </c>
    </row>
    <row r="14" spans="1:9">
      <c r="A14" s="7" t="s">
        <v>5317</v>
      </c>
      <c r="B14" s="15">
        <f>COUNTIFS(Absolute_Scores!$D$6:$D$1248,"&gt;=40",Absolute_Scores!$D$6:$D$1248,"&lt;45")</f>
        <v>389</v>
      </c>
      <c r="C14" s="15">
        <f>COUNTIFS(Normalized_Scores!$D$6:$D$1248,"&gt;=40",Normalized_Scores!$D$6:$D$1248,"&lt;45")</f>
        <v>45</v>
      </c>
      <c r="D14" s="15">
        <f>COUNTIFS(Absolute_Scores!$I$6:$I$5120,"&gt;=40",Absolute_Scores!$I$6:$I$5120,"&lt;45")</f>
        <v>1008</v>
      </c>
      <c r="E14" s="15">
        <f>COUNTIFS(Normalized_Scores!$I$6:$I$5120,"&gt;=40",Normalized_Scores!$I$6:$I$5120,"&lt;45")</f>
        <v>218</v>
      </c>
      <c r="F14" s="15">
        <f>COUNTIFS(Absolute_Scores!$N$6:$N$692,"&gt;=40",Absolute_Scores!$N$6:$N$692,"&lt;45")</f>
        <v>177</v>
      </c>
      <c r="G14" s="15">
        <f>COUNTIFS(Normalized_Scores!$N$6:$N$692,"&gt;=40",Normalized_Scores!$N$6:$N$692,"&lt;45")</f>
        <v>33</v>
      </c>
    </row>
    <row r="15" spans="1:9">
      <c r="A15" s="7" t="s">
        <v>5318</v>
      </c>
      <c r="B15" s="15">
        <f>COUNTIFS(Absolute_Scores!$D$6:$D$1248,"&gt;=45",Absolute_Scores!$D$6:$D$1248,"&lt;50")</f>
        <v>66</v>
      </c>
      <c r="C15" s="15">
        <f>COUNTIFS(Normalized_Scores!$D$6:$D$1248,"&gt;=45",Normalized_Scores!$D$6:$D$1248,"&lt;50")</f>
        <v>98</v>
      </c>
      <c r="D15" s="15">
        <f>COUNTIFS(Absolute_Scores!$I$6:$I$5120,"&gt;=45",Absolute_Scores!$I$6:$I$5120,"&lt;50")</f>
        <v>276</v>
      </c>
      <c r="E15" s="15">
        <f>COUNTIFS(Normalized_Scores!$I$6:$I$5120,"&gt;=45",Normalized_Scores!$I$6:$I$5120,"&lt;50")</f>
        <v>875</v>
      </c>
      <c r="F15" s="15">
        <f>COUNTIFS(Absolute_Scores!$N$6:$N$692,"&gt;=45",Absolute_Scores!$N$6:$N$692,"&lt;50")</f>
        <v>133</v>
      </c>
      <c r="G15" s="15">
        <f>COUNTIFS(Normalized_Scores!$N$6:$N$692,"&gt;=45",Normalized_Scores!$N$6:$N$692,"&lt;50")</f>
        <v>74</v>
      </c>
    </row>
    <row r="16" spans="1:9">
      <c r="A16" s="7" t="s">
        <v>5319</v>
      </c>
      <c r="B16" s="15">
        <f>COUNTIFS(Absolute_Scores!$D$6:$D$1248,"&gt;=50",Absolute_Scores!$D$6:$D$1248,"&lt;55")</f>
        <v>481</v>
      </c>
      <c r="C16" s="15">
        <f>COUNTIFS(Normalized_Scores!$D$6:$D$1248,"&gt;=50",Normalized_Scores!$D$6:$D$1248,"&lt;55")</f>
        <v>94</v>
      </c>
      <c r="D16" s="15">
        <f>COUNTIFS(Absolute_Scores!$I$6:$I$5120,"&gt;=50",Absolute_Scores!$I$6:$I$5120,"&lt;55")</f>
        <v>2378</v>
      </c>
      <c r="E16" s="15">
        <f>COUNTIFS(Normalized_Scores!$I$6:$I$5120,"&gt;=50",Normalized_Scores!$I$6:$I$5120,"&lt;55")</f>
        <v>519</v>
      </c>
      <c r="F16" s="15">
        <f>COUNTIFS(Absolute_Scores!$N$6:$N$692,"&gt;=50",Absolute_Scores!$N$6:$N$692,"&lt;55")</f>
        <v>49</v>
      </c>
      <c r="G16" s="15">
        <f>COUNTIFS(Normalized_Scores!$N$6:$N$692,"&gt;=50",Normalized_Scores!$N$6:$N$692,"&lt;55")</f>
        <v>60</v>
      </c>
    </row>
    <row r="17" spans="1:7">
      <c r="A17" s="7" t="s">
        <v>5320</v>
      </c>
      <c r="B17" s="15">
        <f>COUNTIFS(Absolute_Scores!$D$6:$D$1248,"&gt;=55",Absolute_Scores!$D$6:$D$1248,"&lt;60")</f>
        <v>112</v>
      </c>
      <c r="C17" s="15">
        <f>COUNTIFS(Normalized_Scores!$D$6:$D$1248,"&gt;=55",Normalized_Scores!$D$6:$D$1248,"&lt;60")</f>
        <v>341</v>
      </c>
      <c r="D17" s="15">
        <f>COUNTIFS(Absolute_Scores!$I$6:$I$5120,"&gt;=55",Absolute_Scores!$I$6:$I$5120,"&lt;60")</f>
        <v>188</v>
      </c>
      <c r="E17" s="15">
        <f>COUNTIFS(Normalized_Scores!$I$6:$I$5120,"&gt;=55",Normalized_Scores!$I$6:$I$5120,"&lt;60")</f>
        <v>708</v>
      </c>
      <c r="F17" s="15">
        <f>COUNTIFS(Absolute_Scores!$N$6:$N$692,"&gt;=55",Absolute_Scores!$N$6:$N$692,"&lt;60")</f>
        <v>75</v>
      </c>
      <c r="G17" s="15">
        <f>COUNTIFS(Normalized_Scores!$N$6:$N$692,"&gt;=55",Normalized_Scores!$N$6:$N$692,"&lt;60")</f>
        <v>102</v>
      </c>
    </row>
    <row r="18" spans="1:7">
      <c r="A18" s="7" t="s">
        <v>5321</v>
      </c>
      <c r="B18" s="15">
        <f>COUNTIFS(Absolute_Scores!$D$6:$D$1248,"&gt;=60",Absolute_Scores!$D$6:$D$1248,"&lt;65")</f>
        <v>21</v>
      </c>
      <c r="C18" s="15">
        <f>COUNTIFS(Normalized_Scores!$D$6:$D$1248,"&gt;=60",Normalized_Scores!$D$6:$D$1248,"&lt;65")</f>
        <v>463</v>
      </c>
      <c r="D18" s="15">
        <f>COUNTIFS(Absolute_Scores!$I$6:$I$5120,"&gt;=60",Absolute_Scores!$I$6:$I$5120,"&lt;65")</f>
        <v>79</v>
      </c>
      <c r="E18" s="15">
        <f>COUNTIFS(Normalized_Scores!$I$6:$I$5120,"&gt;=60",Normalized_Scores!$I$6:$I$5120,"&lt;65")</f>
        <v>2387</v>
      </c>
      <c r="F18" s="15">
        <f>COUNTIFS(Absolute_Scores!$N$6:$N$692,"&gt;=60",Absolute_Scores!$N$6:$N$692,"&lt;65")</f>
        <v>2</v>
      </c>
      <c r="G18" s="15">
        <f>COUNTIFS(Normalized_Scores!$N$6:$N$692,"&gt;=60",Normalized_Scores!$N$6:$N$692,"&lt;65")</f>
        <v>99</v>
      </c>
    </row>
    <row r="19" spans="1:7">
      <c r="A19" s="7" t="s">
        <v>5322</v>
      </c>
      <c r="B19" s="15">
        <f>COUNTIFS(Absolute_Scores!$D$6:$D$1248,"&gt;=65",Absolute_Scores!$D$6:$D$1248,"&lt;70")</f>
        <v>13</v>
      </c>
      <c r="C19" s="15">
        <f>COUNTIFS(Normalized_Scores!$D$6:$D$1248,"&gt;=65",Normalized_Scores!$D$6:$D$1248,"&lt;70")</f>
        <v>46</v>
      </c>
      <c r="D19" s="15">
        <f>COUNTIFS(Absolute_Scores!$I$6:$I$5120,"&gt;=65",Absolute_Scores!$I$6:$I$5120,"&lt;70")</f>
        <v>10</v>
      </c>
      <c r="E19" s="15">
        <f>COUNTIFS(Normalized_Scores!$I$6:$I$5120,"&gt;=65",Normalized_Scores!$I$6:$I$5120,"&lt;70")</f>
        <v>139</v>
      </c>
      <c r="F19" s="15">
        <f>COUNTIFS(Absolute_Scores!$N$6:$N$692,"&gt;=65",Absolute_Scores!$N$6:$N$692,"&lt;70")</f>
        <v>3</v>
      </c>
      <c r="G19" s="15">
        <f>COUNTIFS(Normalized_Scores!$N$6:$N$692,"&gt;=65",Normalized_Scores!$N$6:$N$692,"&lt;70")</f>
        <v>82</v>
      </c>
    </row>
    <row r="20" spans="1:7">
      <c r="A20" s="7" t="s">
        <v>5323</v>
      </c>
      <c r="B20" s="15">
        <f>COUNTIFS(Absolute_Scores!$D$6:$D$1248,"&gt;=70",Absolute_Scores!$D$6:$D$1248,"&lt;75")</f>
        <v>1</v>
      </c>
      <c r="C20" s="15">
        <f>COUNTIFS(Normalized_Scores!$D$6:$D$1248,"&gt;=70",Normalized_Scores!$D$6:$D$1248,"&lt;75")</f>
        <v>104</v>
      </c>
      <c r="D20" s="15">
        <f>COUNTIFS(Absolute_Scores!$I$6:$I$5120,"&gt;=70",Absolute_Scores!$I$6:$I$5120,"&lt;75")</f>
        <v>0</v>
      </c>
      <c r="E20" s="15">
        <f>COUNTIFS(Normalized_Scores!$I$6:$I$5120,"&gt;=70",Normalized_Scores!$I$6:$I$5120,"&lt;75")</f>
        <v>97</v>
      </c>
      <c r="F20" s="15">
        <f>COUNTIFS(Absolute_Scores!$N$6:$N$692,"&gt;=70",Absolute_Scores!$N$6:$N$692,"&lt;75")</f>
        <v>0</v>
      </c>
      <c r="G20" s="15">
        <f>COUNTIFS(Normalized_Scores!$N$6:$N$692,"&gt;=70",Normalized_Scores!$N$6:$N$692,"&lt;75")</f>
        <v>101</v>
      </c>
    </row>
    <row r="21" spans="1:7">
      <c r="A21" s="7" t="s">
        <v>5324</v>
      </c>
      <c r="B21" s="15">
        <f>COUNTIFS(Absolute_Scores!$D$6:$D$1248,"&gt;=75",Absolute_Scores!$D$6:$D$1248,"&lt;80")</f>
        <v>0</v>
      </c>
      <c r="C21" s="15">
        <f>COUNTIFS(Normalized_Scores!$D$6:$D$1248,"&gt;=75",Normalized_Scores!$D$6:$D$1248,"&lt;80")</f>
        <v>19</v>
      </c>
      <c r="D21" s="15">
        <f>COUNTIFS(Absolute_Scores!$I$6:$I$5120,"&gt;=75",Absolute_Scores!$I$6:$I$5120,"&lt;80")</f>
        <v>0</v>
      </c>
      <c r="E21" s="15">
        <f>COUNTIFS(Normalized_Scores!$I$6:$I$5120,"&gt;=75",Normalized_Scores!$I$6:$I$5120,"&lt;80")</f>
        <v>75</v>
      </c>
      <c r="F21" s="15">
        <f>COUNTIFS(Absolute_Scores!$N$6:$N$692,"&gt;=75",Absolute_Scores!$N$6:$N$692,"&lt;80")</f>
        <v>0</v>
      </c>
      <c r="G21" s="15">
        <f>COUNTIFS(Normalized_Scores!$N$6:$N$692,"&gt;=75",Normalized_Scores!$N$6:$N$692,"&lt;80")</f>
        <v>32</v>
      </c>
    </row>
    <row r="22" spans="1:7">
      <c r="A22" s="7" t="s">
        <v>5325</v>
      </c>
      <c r="B22" s="15">
        <f>COUNTIFS(Absolute_Scores!$D$6:$D$1248,"&gt;=80",Absolute_Scores!$D$6:$D$1248,"&lt;85")</f>
        <v>1</v>
      </c>
      <c r="C22" s="15">
        <f>COUNTIFS(Normalized_Scores!$D$6:$D$1248,"&gt;=80",Normalized_Scores!$D$6:$D$1248,"&lt;85")</f>
        <v>14</v>
      </c>
      <c r="D22" s="15">
        <f>COUNTIFS(Absolute_Scores!$I$6:$I$5120,"&gt;=80",Absolute_Scores!$I$6:$I$5120,"&lt;85")</f>
        <v>1</v>
      </c>
      <c r="E22" s="15">
        <f>COUNTIFS(Normalized_Scores!$I$6:$I$5120,"&gt;=80",Normalized_Scores!$I$6:$I$5120,"&lt;85")</f>
        <v>9</v>
      </c>
      <c r="F22" s="15">
        <f>COUNTIFS(Absolute_Scores!$N$6:$N$692,"&gt;=80",Absolute_Scores!$N$6:$N$692,"&lt;85")</f>
        <v>0</v>
      </c>
      <c r="G22" s="15">
        <f>COUNTIFS(Normalized_Scores!$N$6:$N$692,"&gt;=80",Normalized_Scores!$N$6:$N$692,"&lt;85")</f>
        <v>79</v>
      </c>
    </row>
    <row r="23" spans="1:7">
      <c r="A23" s="7" t="s">
        <v>5326</v>
      </c>
      <c r="B23" s="15">
        <f>COUNTIFS(Absolute_Scores!$D$6:$D$1248,"&gt;=85",Absolute_Scores!$D$6:$D$1248,"&lt;90")</f>
        <v>0</v>
      </c>
      <c r="C23" s="15">
        <f>COUNTIFS(Normalized_Scores!$D$6:$D$1248,"&gt;=85",Normalized_Scores!$D$6:$D$1248,"&lt;90")</f>
        <v>1</v>
      </c>
      <c r="D23" s="15">
        <f>COUNTIFS(Absolute_Scores!$I$6:$I$5120,"&gt;=85",Absolute_Scores!$I$6:$I$5120,"&lt;90")</f>
        <v>0</v>
      </c>
      <c r="E23" s="15">
        <f>COUNTIFS(Normalized_Scores!$I$6:$I$5120,"&gt;=85",Normalized_Scores!$I$6:$I$5120,"&lt;90")</f>
        <v>5</v>
      </c>
      <c r="F23" s="15">
        <f>COUNTIFS(Absolute_Scores!$N$6:$N$692,"&gt;=85",Absolute_Scores!$N$6:$N$692,"&lt;90")</f>
        <v>0</v>
      </c>
      <c r="G23" s="15">
        <f>COUNTIFS(Normalized_Scores!$N$6:$N$692,"&gt;=85",Normalized_Scores!$N$6:$N$692,"&lt;90")</f>
        <v>4</v>
      </c>
    </row>
    <row r="24" spans="1:7">
      <c r="A24" s="7" t="s">
        <v>5327</v>
      </c>
      <c r="B24" s="15">
        <f>COUNTIFS(Absolute_Scores!$D$6:$D$1248,"&gt;=90",Absolute_Scores!$D$6:$D$1248,"&lt;95")</f>
        <v>0</v>
      </c>
      <c r="C24" s="15">
        <f>COUNTIFS(Normalized_Scores!$D$6:$D$1248,"&gt;=90",Normalized_Scores!$D$6:$D$1248,"&lt;95")</f>
        <v>1</v>
      </c>
      <c r="D24" s="15">
        <f>COUNTIFS(Absolute_Scores!$I$6:$I$5120,"&gt;=90",Absolute_Scores!$I$6:$I$5120,"&lt;95")</f>
        <v>0</v>
      </c>
      <c r="E24" s="15">
        <f>COUNTIFS(Normalized_Scores!$I$6:$I$5120,"&gt;=90",Normalized_Scores!$I$6:$I$5120,"&lt;95")</f>
        <v>0</v>
      </c>
      <c r="F24" s="15">
        <f>COUNTIFS(Absolute_Scores!$N$6:$N$692,"&gt;=90",Absolute_Scores!$N$6:$N$692,"&lt;95")</f>
        <v>0</v>
      </c>
      <c r="G24" s="15">
        <f>COUNTIFS(Normalized_Scores!$N$6:$N$692,"&gt;=90",Normalized_Scores!$N$6:$N$692,"&lt;95")</f>
        <v>2</v>
      </c>
    </row>
    <row r="25" spans="1:7">
      <c r="A25" s="7" t="s">
        <v>5328</v>
      </c>
      <c r="B25" s="15">
        <f>COUNTIFS(Absolute_Scores!$D$6:$D$1248,"&gt;=95",Absolute_Scores!$D$6:$D$1248,"&lt;=100")</f>
        <v>0</v>
      </c>
      <c r="C25" s="15">
        <f>COUNTIFS(Normalized_Scores!$D$6:$D$1248,"&gt;=95",Normalized_Scores!$D$6:$D$1248,"&lt;=100")</f>
        <v>1</v>
      </c>
      <c r="D25" s="15">
        <f>COUNTIFS(Absolute_Scores!$I$6:$I$5120,"&gt;=95",Absolute_Scores!$I$6:$I$5120,"&lt;=100")</f>
        <v>0</v>
      </c>
      <c r="E25" s="15">
        <f>COUNTIFS(Normalized_Scores!$I$6:$I$5120,"&gt;=95",Normalized_Scores!$I$6:$I$5120,"&lt;=100")</f>
        <v>1</v>
      </c>
      <c r="F25" s="15">
        <f>COUNTIFS(Absolute_Scores!$N$6:$N$692,"&gt;=95",Absolute_Scores!$N$6:$N$692,"&lt;=100")</f>
        <v>0</v>
      </c>
      <c r="G25" s="15">
        <f>COUNTIFS(Normalized_Scores!$N$6:$N$692,"&gt;=95",Normalized_Scores!$N$6:$N$692,"&lt;=100")</f>
        <v>3</v>
      </c>
    </row>
    <row r="26" spans="1:7">
      <c r="A26" s="17" t="s">
        <v>5329</v>
      </c>
      <c r="B26" s="18">
        <f t="shared" ref="B26:G26" si="0">SUM(B6:B25)</f>
        <v>1243</v>
      </c>
      <c r="C26" s="18">
        <f t="shared" si="0"/>
        <v>1243</v>
      </c>
      <c r="D26" s="18">
        <f t="shared" si="0"/>
        <v>5115</v>
      </c>
      <c r="E26" s="18">
        <f t="shared" si="0"/>
        <v>5115</v>
      </c>
      <c r="F26" s="18">
        <f t="shared" si="0"/>
        <v>687</v>
      </c>
      <c r="G26" s="18">
        <f t="shared" si="0"/>
        <v>687</v>
      </c>
    </row>
  </sheetData>
  <mergeCells count="2">
    <mergeCell ref="A1:I1"/>
    <mergeCell ref="A2:I2"/>
  </mergeCells>
  <conditionalFormatting sqref="B6:B25">
    <cfRule type="dataBar" priority="1">
      <dataBar>
        <cfvo type="min"/>
        <cfvo type="max"/>
        <color rgb="FF63BE7B"/>
      </dataBar>
      <extLst>
        <ext xmlns:x14="http://schemas.microsoft.com/office/spreadsheetml/2009/9/main" uri="{B025F937-C7B1-47D3-B67F-A62EFF666E3E}">
          <x14:id>{02c12d35-8b01-4069-9d92-9d2f4a8d2703}</x14:id>
        </ext>
      </extLst>
    </cfRule>
  </conditionalFormatting>
  <conditionalFormatting sqref="C6:C25">
    <cfRule type="dataBar" priority="2">
      <dataBar>
        <cfvo type="min"/>
        <cfvo type="max"/>
        <color rgb="FF63BE7B"/>
      </dataBar>
      <extLst>
        <ext xmlns:x14="http://schemas.microsoft.com/office/spreadsheetml/2009/9/main" uri="{B025F937-C7B1-47D3-B67F-A62EFF666E3E}">
          <x14:id>{c9d1762b-f254-469f-86e5-020770aa7b78}</x14:id>
        </ext>
      </extLst>
    </cfRule>
  </conditionalFormatting>
  <conditionalFormatting sqref="D6:D25">
    <cfRule type="dataBar" priority="3">
      <dataBar>
        <cfvo type="min"/>
        <cfvo type="max"/>
        <color rgb="FF63BE7B"/>
      </dataBar>
      <extLst>
        <ext xmlns:x14="http://schemas.microsoft.com/office/spreadsheetml/2009/9/main" uri="{B025F937-C7B1-47D3-B67F-A62EFF666E3E}">
          <x14:id>{95ac6108-6a71-4d42-9b7c-6f5805f7c84a}</x14:id>
        </ext>
      </extLst>
    </cfRule>
  </conditionalFormatting>
  <conditionalFormatting sqref="E6:E25">
    <cfRule type="dataBar" priority="4">
      <dataBar>
        <cfvo type="min"/>
        <cfvo type="max"/>
        <color rgb="FF63BE7B"/>
      </dataBar>
      <extLst>
        <ext xmlns:x14="http://schemas.microsoft.com/office/spreadsheetml/2009/9/main" uri="{B025F937-C7B1-47D3-B67F-A62EFF666E3E}">
          <x14:id>{dc623d8b-3564-4788-b63c-163a413772b4}</x14:id>
        </ext>
      </extLst>
    </cfRule>
  </conditionalFormatting>
  <conditionalFormatting sqref="F6:F25">
    <cfRule type="dataBar" priority="5">
      <dataBar>
        <cfvo type="min"/>
        <cfvo type="max"/>
        <color rgb="FF63BE7B"/>
      </dataBar>
      <extLst>
        <ext xmlns:x14="http://schemas.microsoft.com/office/spreadsheetml/2009/9/main" uri="{B025F937-C7B1-47D3-B67F-A62EFF666E3E}">
          <x14:id>{02d6b124-51e2-4f65-b47c-8a9f2f4a2bdc}</x14:id>
        </ext>
      </extLst>
    </cfRule>
  </conditionalFormatting>
  <conditionalFormatting sqref="G6:G25">
    <cfRule type="dataBar" priority="6">
      <dataBar>
        <cfvo type="min"/>
        <cfvo type="max"/>
        <color rgb="FF63BE7B"/>
      </dataBar>
      <extLst>
        <ext xmlns:x14="http://schemas.microsoft.com/office/spreadsheetml/2009/9/main" uri="{B025F937-C7B1-47D3-B67F-A62EFF666E3E}">
          <x14:id>{1330c88b-e061-497c-a1e0-0b17b2a27765}</x14:id>
        </ext>
      </extLst>
    </cfRule>
  </conditionalFormatting>
  <pageMargins left="0.7" right="0.7" top="0.75" bottom="0.75" header="0.3" footer="0.3"/>
  <pageSetup paperSize="1" orientation="portrait"/>
  <headerFooter/>
  <extLst>
    <ext xmlns:x14="http://schemas.microsoft.com/office/spreadsheetml/2009/9/main" uri="{78C0D931-6437-407d-A8EE-F0AAD7539E65}">
      <x14:conditionalFormattings>
        <x14:conditionalFormatting xmlns:xm="http://schemas.microsoft.com/office/excel/2006/main">
          <x14:cfRule type="dataBar" id="{02c12d35-8b01-4069-9d92-9d2f4a8d2703}">
            <x14:dataBar minLength="0" maxLength="100" negativeBarColorSameAsPositive="1">
              <x14:cfvo type="min"/>
              <x14:cfvo type="max"/>
              <x14:axisColor indexed="65"/>
            </x14:dataBar>
          </x14:cfRule>
          <xm:sqref>B6:B25</xm:sqref>
        </x14:conditionalFormatting>
        <x14:conditionalFormatting xmlns:xm="http://schemas.microsoft.com/office/excel/2006/main">
          <x14:cfRule type="dataBar" id="{c9d1762b-f254-469f-86e5-020770aa7b78}">
            <x14:dataBar minLength="0" maxLength="100" negativeBarColorSameAsPositive="1">
              <x14:cfvo type="min"/>
              <x14:cfvo type="max"/>
              <x14:axisColor indexed="65"/>
            </x14:dataBar>
          </x14:cfRule>
          <xm:sqref>C6:C25</xm:sqref>
        </x14:conditionalFormatting>
        <x14:conditionalFormatting xmlns:xm="http://schemas.microsoft.com/office/excel/2006/main">
          <x14:cfRule type="dataBar" id="{95ac6108-6a71-4d42-9b7c-6f5805f7c84a}">
            <x14:dataBar minLength="0" maxLength="100" negativeBarColorSameAsPositive="1">
              <x14:cfvo type="min"/>
              <x14:cfvo type="max"/>
              <x14:axisColor indexed="65"/>
            </x14:dataBar>
          </x14:cfRule>
          <xm:sqref>D6:D25</xm:sqref>
        </x14:conditionalFormatting>
        <x14:conditionalFormatting xmlns:xm="http://schemas.microsoft.com/office/excel/2006/main">
          <x14:cfRule type="dataBar" id="{dc623d8b-3564-4788-b63c-163a413772b4}">
            <x14:dataBar minLength="0" maxLength="100" negativeBarColorSameAsPositive="1">
              <x14:cfvo type="min"/>
              <x14:cfvo type="max"/>
              <x14:axisColor indexed="65"/>
            </x14:dataBar>
          </x14:cfRule>
          <xm:sqref>E6:E25</xm:sqref>
        </x14:conditionalFormatting>
        <x14:conditionalFormatting xmlns:xm="http://schemas.microsoft.com/office/excel/2006/main">
          <x14:cfRule type="dataBar" id="{02d6b124-51e2-4f65-b47c-8a9f2f4a2bdc}">
            <x14:dataBar minLength="0" maxLength="100" negativeBarColorSameAsPositive="1">
              <x14:cfvo type="min"/>
              <x14:cfvo type="max"/>
              <x14:axisColor indexed="65"/>
            </x14:dataBar>
          </x14:cfRule>
          <xm:sqref>F6:F25</xm:sqref>
        </x14:conditionalFormatting>
        <x14:conditionalFormatting xmlns:xm="http://schemas.microsoft.com/office/excel/2006/main">
          <x14:cfRule type="dataBar" id="{1330c88b-e061-497c-a1e0-0b17b2a27765}">
            <x14:dataBar minLength="0" maxLength="100" negativeBarColorSameAsPositive="1">
              <x14:cfvo type="min"/>
              <x14:cfvo type="max"/>
              <x14:axisColor indexed="65"/>
            </x14:dataBar>
          </x14:cfRule>
          <xm:sqref>G6:G25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9"/>
  <sheetViews>
    <sheetView workbookViewId="0">
      <pane xSplit="1" ySplit="5" topLeftCell="B6" activePane="bottomRight" state="frozen"/>
      <selection/>
      <selection pane="topRight"/>
      <selection pane="bottomLeft"/>
      <selection pane="bottomRight" activeCell="A1" sqref="A1:I1"/>
    </sheetView>
  </sheetViews>
  <sheetFormatPr defaultColWidth="9" defaultRowHeight="14.4"/>
  <cols>
    <col min="1" max="1" width="24" customWidth="1"/>
    <col min="2" max="2" width="15" customWidth="1"/>
    <col min="3" max="11" width="13" customWidth="1"/>
    <col min="12" max="12" width="20" customWidth="1"/>
  </cols>
  <sheetData>
    <row r="1" ht="24" customHeight="1" spans="1:12">
      <c r="A1" s="3" t="s">
        <v>5330</v>
      </c>
      <c r="B1" s="3"/>
      <c r="C1" s="3"/>
      <c r="D1" s="3"/>
      <c r="E1" s="3"/>
      <c r="F1" s="3"/>
      <c r="G1" s="3"/>
      <c r="H1" s="3"/>
      <c r="I1" s="3"/>
    </row>
    <row r="2" ht="30" customHeight="1" spans="1:12">
      <c r="A2" s="4" t="s">
        <v>5331</v>
      </c>
      <c r="B2" s="4"/>
      <c r="C2" s="4"/>
      <c r="D2" s="4"/>
      <c r="E2" s="4"/>
      <c r="F2" s="4"/>
      <c r="G2" s="4"/>
      <c r="H2" s="4"/>
      <c r="I2" s="4"/>
    </row>
    <row r="4" spans="1:12">
      <c r="A4" s="10" t="s">
        <v>5332</v>
      </c>
    </row>
    <row r="5" ht="30" customHeight="1" spans="1:12">
      <c r="A5" s="5" t="s">
        <v>155</v>
      </c>
      <c r="B5" s="5" t="s">
        <v>5333</v>
      </c>
      <c r="C5" s="5" t="s">
        <v>5334</v>
      </c>
      <c r="D5" s="5" t="s">
        <v>5335</v>
      </c>
      <c r="E5" s="5" t="s">
        <v>5336</v>
      </c>
      <c r="F5" s="5" t="s">
        <v>5337</v>
      </c>
      <c r="G5" s="5" t="s">
        <v>5338</v>
      </c>
      <c r="H5" s="5" t="s">
        <v>5339</v>
      </c>
      <c r="I5" s="5" t="s">
        <v>5340</v>
      </c>
      <c r="J5" s="5" t="s">
        <v>5341</v>
      </c>
      <c r="K5" s="5" t="s">
        <v>5342</v>
      </c>
      <c r="L5" s="5" t="s">
        <v>5343</v>
      </c>
    </row>
    <row r="6" spans="1:12">
      <c r="A6" s="11" t="s">
        <v>177</v>
      </c>
      <c r="B6" s="12" t="s">
        <v>99</v>
      </c>
      <c r="C6" s="13">
        <v>50</v>
      </c>
      <c r="D6" s="14">
        <v>62.5</v>
      </c>
      <c r="E6" s="15">
        <v>220</v>
      </c>
      <c r="F6" s="13">
        <v>67</v>
      </c>
      <c r="G6" s="14">
        <v>83.75</v>
      </c>
      <c r="H6" s="15">
        <v>7</v>
      </c>
      <c r="I6" s="13">
        <v>48</v>
      </c>
      <c r="J6" s="14">
        <v>71.64</v>
      </c>
      <c r="K6" s="15">
        <v>147</v>
      </c>
      <c r="L6" s="16">
        <v>213</v>
      </c>
    </row>
    <row r="7" spans="1:12">
      <c r="A7" s="11" t="s">
        <v>184</v>
      </c>
      <c r="B7" s="12" t="s">
        <v>99</v>
      </c>
      <c r="C7" s="13">
        <v>50</v>
      </c>
      <c r="D7" s="14">
        <v>62.5</v>
      </c>
      <c r="E7" s="15">
        <v>420</v>
      </c>
      <c r="F7" s="13">
        <v>67</v>
      </c>
      <c r="G7" s="14">
        <v>83.75</v>
      </c>
      <c r="H7" s="15">
        <v>10</v>
      </c>
      <c r="I7" s="13">
        <v>48</v>
      </c>
      <c r="J7" s="14">
        <v>71.64</v>
      </c>
      <c r="K7" s="15">
        <v>161</v>
      </c>
      <c r="L7" s="16">
        <v>410</v>
      </c>
    </row>
    <row r="8" spans="1:12">
      <c r="A8" s="11" t="s">
        <v>192</v>
      </c>
      <c r="B8" s="12" t="s">
        <v>5344</v>
      </c>
      <c r="C8" s="13">
        <v>64</v>
      </c>
      <c r="D8" s="14">
        <v>80</v>
      </c>
      <c r="E8" s="15">
        <v>17</v>
      </c>
      <c r="F8" s="13">
        <v>64</v>
      </c>
      <c r="G8" s="14">
        <v>80</v>
      </c>
      <c r="H8" s="15">
        <v>13</v>
      </c>
      <c r="I8" s="13">
        <v>51</v>
      </c>
      <c r="J8" s="14">
        <v>76.12</v>
      </c>
      <c r="K8" s="15">
        <v>112</v>
      </c>
      <c r="L8" s="16">
        <v>99</v>
      </c>
    </row>
    <row r="9" spans="1:12">
      <c r="A9" s="11" t="s">
        <v>195</v>
      </c>
      <c r="B9" s="12" t="s">
        <v>5344</v>
      </c>
      <c r="C9" s="13">
        <v>60</v>
      </c>
      <c r="D9" s="14">
        <v>75</v>
      </c>
      <c r="E9" s="15">
        <v>32</v>
      </c>
      <c r="F9" s="13">
        <v>64</v>
      </c>
      <c r="G9" s="14">
        <v>80</v>
      </c>
      <c r="H9" s="15">
        <v>14</v>
      </c>
      <c r="I9" s="13">
        <v>53</v>
      </c>
      <c r="J9" s="14">
        <v>79.1</v>
      </c>
      <c r="K9" s="15">
        <v>95</v>
      </c>
      <c r="L9" s="16">
        <v>81</v>
      </c>
    </row>
    <row r="10" spans="1:12">
      <c r="A10" s="11" t="s">
        <v>185</v>
      </c>
      <c r="B10" s="12" t="s">
        <v>5344</v>
      </c>
      <c r="C10" s="13">
        <v>63</v>
      </c>
      <c r="D10" s="14">
        <v>78.75</v>
      </c>
      <c r="E10" s="15">
        <v>18</v>
      </c>
      <c r="F10" s="13">
        <v>63</v>
      </c>
      <c r="G10" s="14">
        <v>78.75</v>
      </c>
      <c r="H10" s="15">
        <v>16</v>
      </c>
      <c r="I10" s="13">
        <v>56</v>
      </c>
      <c r="J10" s="14">
        <v>83.58</v>
      </c>
      <c r="K10" s="15">
        <v>10</v>
      </c>
      <c r="L10" s="16">
        <v>8</v>
      </c>
    </row>
    <row r="11" spans="1:12">
      <c r="A11" s="11" t="s">
        <v>204</v>
      </c>
      <c r="B11" s="12" t="s">
        <v>99</v>
      </c>
      <c r="C11" s="13">
        <v>43</v>
      </c>
      <c r="D11" s="14">
        <v>53.75</v>
      </c>
      <c r="E11" s="15">
        <v>993</v>
      </c>
      <c r="F11" s="13">
        <v>62</v>
      </c>
      <c r="G11" s="14">
        <v>77.5</v>
      </c>
      <c r="H11" s="15">
        <v>18</v>
      </c>
      <c r="I11" s="13">
        <v>41</v>
      </c>
      <c r="J11" s="14">
        <v>61.19</v>
      </c>
      <c r="K11" s="15">
        <v>381</v>
      </c>
      <c r="L11" s="16">
        <v>975</v>
      </c>
    </row>
    <row r="12" spans="1:12">
      <c r="A12" s="11" t="s">
        <v>207</v>
      </c>
      <c r="B12" s="12" t="s">
        <v>5344</v>
      </c>
      <c r="C12" s="13">
        <v>62</v>
      </c>
      <c r="D12" s="14">
        <v>77.5</v>
      </c>
      <c r="E12" s="15">
        <v>23</v>
      </c>
      <c r="F12" s="13">
        <v>62</v>
      </c>
      <c r="G12" s="14">
        <v>77.5</v>
      </c>
      <c r="H12" s="15">
        <v>19</v>
      </c>
      <c r="I12" s="13">
        <v>49</v>
      </c>
      <c r="J12" s="14">
        <v>73.13</v>
      </c>
      <c r="K12" s="15">
        <v>137</v>
      </c>
      <c r="L12" s="16">
        <v>118</v>
      </c>
    </row>
    <row r="13" spans="1:12">
      <c r="A13" s="11" t="s">
        <v>219</v>
      </c>
      <c r="B13" s="12" t="s">
        <v>99</v>
      </c>
      <c r="C13" s="13">
        <v>45</v>
      </c>
      <c r="D13" s="14">
        <v>56.25</v>
      </c>
      <c r="E13" s="15">
        <v>689</v>
      </c>
      <c r="F13" s="13">
        <v>61</v>
      </c>
      <c r="G13" s="14">
        <v>76.25</v>
      </c>
      <c r="H13" s="15">
        <v>24</v>
      </c>
      <c r="I13" s="13">
        <v>42</v>
      </c>
      <c r="J13" s="14">
        <v>62.69</v>
      </c>
      <c r="K13" s="15">
        <v>362</v>
      </c>
      <c r="L13" s="16">
        <v>665</v>
      </c>
    </row>
    <row r="14" spans="1:12">
      <c r="A14" s="11" t="s">
        <v>222</v>
      </c>
      <c r="B14" s="12" t="s">
        <v>5344</v>
      </c>
      <c r="C14" s="13">
        <v>60</v>
      </c>
      <c r="D14" s="14">
        <v>75</v>
      </c>
      <c r="E14" s="15">
        <v>26</v>
      </c>
      <c r="F14" s="13">
        <v>60</v>
      </c>
      <c r="G14" s="14">
        <v>75</v>
      </c>
      <c r="H14" s="15">
        <v>25</v>
      </c>
      <c r="I14" s="13">
        <v>53</v>
      </c>
      <c r="J14" s="14">
        <v>79.1</v>
      </c>
      <c r="K14" s="15">
        <v>89</v>
      </c>
      <c r="L14" s="16">
        <v>64</v>
      </c>
    </row>
    <row r="15" spans="1:12">
      <c r="A15" s="11" t="s">
        <v>227</v>
      </c>
      <c r="B15" s="12" t="s">
        <v>5344</v>
      </c>
      <c r="C15" s="13">
        <v>60</v>
      </c>
      <c r="D15" s="14">
        <v>75</v>
      </c>
      <c r="E15" s="15">
        <v>28</v>
      </c>
      <c r="F15" s="13">
        <v>60</v>
      </c>
      <c r="G15" s="14">
        <v>75</v>
      </c>
      <c r="H15" s="15">
        <v>27</v>
      </c>
      <c r="I15" s="13">
        <v>53</v>
      </c>
      <c r="J15" s="14">
        <v>79.1</v>
      </c>
      <c r="K15" s="15">
        <v>90</v>
      </c>
      <c r="L15" s="16">
        <v>63</v>
      </c>
    </row>
    <row r="16" spans="1:12">
      <c r="A16" s="11" t="s">
        <v>231</v>
      </c>
      <c r="B16" s="12" t="s">
        <v>5344</v>
      </c>
      <c r="C16" s="13">
        <v>60</v>
      </c>
      <c r="D16" s="14">
        <v>75</v>
      </c>
      <c r="E16" s="15">
        <v>29</v>
      </c>
      <c r="F16" s="13">
        <v>60</v>
      </c>
      <c r="G16" s="14">
        <v>75</v>
      </c>
      <c r="H16" s="15">
        <v>34</v>
      </c>
      <c r="I16" s="13">
        <v>53</v>
      </c>
      <c r="J16" s="14">
        <v>79.1</v>
      </c>
      <c r="K16" s="15">
        <v>92</v>
      </c>
      <c r="L16" s="16">
        <v>63</v>
      </c>
    </row>
    <row r="17" spans="1:12">
      <c r="A17" s="11" t="s">
        <v>234</v>
      </c>
      <c r="B17" s="12" t="s">
        <v>5344</v>
      </c>
      <c r="C17" s="13">
        <v>60</v>
      </c>
      <c r="D17" s="14">
        <v>75</v>
      </c>
      <c r="E17" s="15">
        <v>30</v>
      </c>
      <c r="F17" s="13">
        <v>60</v>
      </c>
      <c r="G17" s="14">
        <v>75</v>
      </c>
      <c r="H17" s="15">
        <v>49</v>
      </c>
      <c r="I17" s="13">
        <v>53</v>
      </c>
      <c r="J17" s="14">
        <v>79.1</v>
      </c>
      <c r="K17" s="15">
        <v>93</v>
      </c>
      <c r="L17" s="16">
        <v>63</v>
      </c>
    </row>
    <row r="18" spans="1:12">
      <c r="A18" s="11" t="s">
        <v>237</v>
      </c>
      <c r="B18" s="12" t="s">
        <v>5344</v>
      </c>
      <c r="C18" s="13">
        <v>60</v>
      </c>
      <c r="D18" s="14">
        <v>75</v>
      </c>
      <c r="E18" s="15">
        <v>31</v>
      </c>
      <c r="F18" s="13">
        <v>60</v>
      </c>
      <c r="G18" s="14">
        <v>75</v>
      </c>
      <c r="H18" s="15">
        <v>62</v>
      </c>
      <c r="I18" s="13">
        <v>53</v>
      </c>
      <c r="J18" s="14">
        <v>79.1</v>
      </c>
      <c r="K18" s="15">
        <v>94</v>
      </c>
      <c r="L18" s="16">
        <v>63</v>
      </c>
    </row>
    <row r="19" spans="1:12">
      <c r="A19" s="11" t="s">
        <v>242</v>
      </c>
      <c r="B19" s="12" t="s">
        <v>5344</v>
      </c>
      <c r="C19" s="13">
        <v>60</v>
      </c>
      <c r="D19" s="14">
        <v>75</v>
      </c>
      <c r="E19" s="15">
        <v>33</v>
      </c>
      <c r="F19" s="13">
        <v>60</v>
      </c>
      <c r="G19" s="14">
        <v>75</v>
      </c>
      <c r="H19" s="15">
        <v>70</v>
      </c>
      <c r="I19" s="13">
        <v>53</v>
      </c>
      <c r="J19" s="14">
        <v>79.1</v>
      </c>
      <c r="K19" s="15">
        <v>96</v>
      </c>
      <c r="L19" s="16">
        <v>63</v>
      </c>
    </row>
    <row r="20" spans="1:12">
      <c r="A20" s="11" t="s">
        <v>245</v>
      </c>
      <c r="B20" s="12" t="s">
        <v>5344</v>
      </c>
      <c r="C20" s="13">
        <v>60</v>
      </c>
      <c r="D20" s="14">
        <v>75</v>
      </c>
      <c r="E20" s="15">
        <v>34</v>
      </c>
      <c r="F20" s="13">
        <v>60</v>
      </c>
      <c r="G20" s="14">
        <v>75</v>
      </c>
      <c r="H20" s="15">
        <v>73</v>
      </c>
      <c r="I20" s="13">
        <v>53</v>
      </c>
      <c r="J20" s="14">
        <v>79.1</v>
      </c>
      <c r="K20" s="15">
        <v>97</v>
      </c>
      <c r="L20" s="16">
        <v>63</v>
      </c>
    </row>
    <row r="21" spans="1:12">
      <c r="A21" s="11" t="s">
        <v>247</v>
      </c>
      <c r="B21" s="12" t="s">
        <v>5344</v>
      </c>
      <c r="C21" s="13">
        <v>60</v>
      </c>
      <c r="D21" s="14">
        <v>75</v>
      </c>
      <c r="E21" s="15">
        <v>35</v>
      </c>
      <c r="F21" s="13">
        <v>60</v>
      </c>
      <c r="G21" s="14">
        <v>75</v>
      </c>
      <c r="H21" s="15">
        <v>74</v>
      </c>
      <c r="I21" s="13">
        <v>53</v>
      </c>
      <c r="J21" s="14">
        <v>79.1</v>
      </c>
      <c r="K21" s="15">
        <v>98</v>
      </c>
      <c r="L21" s="16">
        <v>63</v>
      </c>
    </row>
    <row r="22" spans="1:12">
      <c r="A22" s="11" t="s">
        <v>407</v>
      </c>
      <c r="B22" s="12" t="s">
        <v>99</v>
      </c>
      <c r="C22" s="13">
        <v>42</v>
      </c>
      <c r="D22" s="14">
        <v>52.5</v>
      </c>
      <c r="E22" s="15">
        <v>1024</v>
      </c>
      <c r="F22" s="13">
        <v>59</v>
      </c>
      <c r="G22" s="14">
        <v>73.75</v>
      </c>
      <c r="H22" s="15">
        <v>91</v>
      </c>
      <c r="I22" s="13">
        <v>40</v>
      </c>
      <c r="J22" s="14">
        <v>59.7</v>
      </c>
      <c r="K22" s="15">
        <v>404</v>
      </c>
      <c r="L22" s="16">
        <v>933</v>
      </c>
    </row>
    <row r="23" spans="1:12">
      <c r="A23" s="11" t="s">
        <v>268</v>
      </c>
      <c r="B23" s="12" t="s">
        <v>5344</v>
      </c>
      <c r="C23" s="13">
        <v>59</v>
      </c>
      <c r="D23" s="14">
        <v>73.75</v>
      </c>
      <c r="E23" s="15">
        <v>42</v>
      </c>
      <c r="F23" s="13">
        <v>59</v>
      </c>
      <c r="G23" s="14">
        <v>73.75</v>
      </c>
      <c r="H23" s="15">
        <v>92</v>
      </c>
      <c r="I23" s="13">
        <v>52</v>
      </c>
      <c r="J23" s="14">
        <v>77.61</v>
      </c>
      <c r="K23" s="15">
        <v>101</v>
      </c>
      <c r="L23" s="16">
        <v>59</v>
      </c>
    </row>
    <row r="24" spans="1:12">
      <c r="A24" s="11" t="s">
        <v>412</v>
      </c>
      <c r="B24" s="12" t="s">
        <v>99</v>
      </c>
      <c r="C24" s="13">
        <v>42</v>
      </c>
      <c r="D24" s="14">
        <v>52.5</v>
      </c>
      <c r="E24" s="15">
        <v>1045</v>
      </c>
      <c r="F24" s="13">
        <v>59</v>
      </c>
      <c r="G24" s="14">
        <v>73.75</v>
      </c>
      <c r="H24" s="15">
        <v>94</v>
      </c>
      <c r="I24" s="13">
        <v>40</v>
      </c>
      <c r="J24" s="14">
        <v>59.7</v>
      </c>
      <c r="K24" s="15">
        <v>429</v>
      </c>
      <c r="L24" s="16">
        <v>951</v>
      </c>
    </row>
    <row r="25" spans="1:12">
      <c r="A25" s="11" t="s">
        <v>293</v>
      </c>
      <c r="B25" s="12" t="s">
        <v>5345</v>
      </c>
      <c r="C25" s="13">
        <v>59</v>
      </c>
      <c r="D25" s="14">
        <v>73.75</v>
      </c>
      <c r="E25" s="15">
        <v>51</v>
      </c>
      <c r="F25" s="13">
        <v>59</v>
      </c>
      <c r="G25" s="14">
        <v>73.75</v>
      </c>
      <c r="H25" s="15">
        <v>96</v>
      </c>
      <c r="I25" s="13">
        <v>48</v>
      </c>
      <c r="J25" s="14">
        <v>71.64</v>
      </c>
      <c r="K25" s="15">
        <v>170</v>
      </c>
      <c r="L25" s="16">
        <v>119</v>
      </c>
    </row>
    <row r="26" spans="1:12">
      <c r="A26" s="11" t="s">
        <v>373</v>
      </c>
      <c r="B26" s="12" t="s">
        <v>5344</v>
      </c>
      <c r="C26" s="13">
        <v>58</v>
      </c>
      <c r="D26" s="14">
        <v>72.5</v>
      </c>
      <c r="E26" s="15">
        <v>79</v>
      </c>
      <c r="F26" s="13">
        <v>58</v>
      </c>
      <c r="G26" s="14">
        <v>72.5</v>
      </c>
      <c r="H26" s="15">
        <v>122</v>
      </c>
      <c r="I26" s="13">
        <v>51</v>
      </c>
      <c r="J26" s="14">
        <v>76.12</v>
      </c>
      <c r="K26" s="15">
        <v>114</v>
      </c>
      <c r="L26" s="16">
        <v>43</v>
      </c>
    </row>
    <row r="27" spans="1:12">
      <c r="A27" s="11" t="s">
        <v>376</v>
      </c>
      <c r="B27" s="12" t="s">
        <v>5344</v>
      </c>
      <c r="C27" s="13">
        <v>58</v>
      </c>
      <c r="D27" s="14">
        <v>72.5</v>
      </c>
      <c r="E27" s="15">
        <v>80</v>
      </c>
      <c r="F27" s="13">
        <v>58</v>
      </c>
      <c r="G27" s="14">
        <v>72.5</v>
      </c>
      <c r="H27" s="15">
        <v>123</v>
      </c>
      <c r="I27" s="13">
        <v>51</v>
      </c>
      <c r="J27" s="14">
        <v>76.12</v>
      </c>
      <c r="K27" s="15">
        <v>115</v>
      </c>
      <c r="L27" s="16">
        <v>43</v>
      </c>
    </row>
    <row r="28" spans="1:12">
      <c r="A28" s="11" t="s">
        <v>593</v>
      </c>
      <c r="B28" s="12" t="s">
        <v>99</v>
      </c>
      <c r="C28" s="13">
        <v>41</v>
      </c>
      <c r="D28" s="14">
        <v>51.25</v>
      </c>
      <c r="E28" s="15">
        <v>1069</v>
      </c>
      <c r="F28" s="13">
        <v>58</v>
      </c>
      <c r="G28" s="14">
        <v>72.5</v>
      </c>
      <c r="H28" s="15">
        <v>168</v>
      </c>
      <c r="I28" s="13">
        <v>33</v>
      </c>
      <c r="J28" s="14">
        <v>49.25</v>
      </c>
      <c r="K28" s="15">
        <v>585</v>
      </c>
      <c r="L28" s="16">
        <v>901</v>
      </c>
    </row>
    <row r="29" spans="1:12">
      <c r="A29" s="11" t="s">
        <v>481</v>
      </c>
      <c r="B29" s="12" t="s">
        <v>5345</v>
      </c>
      <c r="C29" s="13">
        <v>55</v>
      </c>
      <c r="D29" s="14">
        <v>68.75</v>
      </c>
      <c r="E29" s="15">
        <v>142</v>
      </c>
      <c r="F29" s="13">
        <v>57</v>
      </c>
      <c r="G29" s="14">
        <v>71.25</v>
      </c>
      <c r="H29" s="15">
        <v>171</v>
      </c>
      <c r="I29" s="13">
        <v>50</v>
      </c>
      <c r="J29" s="14">
        <v>74.63</v>
      </c>
      <c r="K29" s="15">
        <v>121</v>
      </c>
      <c r="L29" s="16">
        <v>50</v>
      </c>
    </row>
    <row r="30" spans="1:12">
      <c r="A30" s="11" t="s">
        <v>552</v>
      </c>
      <c r="B30" s="12" t="s">
        <v>5344</v>
      </c>
      <c r="C30" s="13">
        <v>54</v>
      </c>
      <c r="D30" s="14">
        <v>67.5</v>
      </c>
      <c r="E30" s="15">
        <v>151</v>
      </c>
      <c r="F30" s="13">
        <v>57</v>
      </c>
      <c r="G30" s="14">
        <v>71.25</v>
      </c>
      <c r="H30" s="15">
        <v>172</v>
      </c>
      <c r="I30" s="13">
        <v>47</v>
      </c>
      <c r="J30" s="14">
        <v>70.15</v>
      </c>
      <c r="K30" s="15">
        <v>184</v>
      </c>
      <c r="L30" s="16">
        <v>33</v>
      </c>
    </row>
    <row r="31" spans="1:12">
      <c r="A31" s="11" t="s">
        <v>497</v>
      </c>
      <c r="B31" s="12" t="s">
        <v>5344</v>
      </c>
      <c r="C31" s="13">
        <v>57</v>
      </c>
      <c r="D31" s="14">
        <v>71.25</v>
      </c>
      <c r="E31" s="15">
        <v>135</v>
      </c>
      <c r="F31" s="13">
        <v>57</v>
      </c>
      <c r="G31" s="14">
        <v>71.25</v>
      </c>
      <c r="H31" s="15">
        <v>175</v>
      </c>
      <c r="I31" s="13">
        <v>50</v>
      </c>
      <c r="J31" s="14">
        <v>74.63</v>
      </c>
      <c r="K31" s="15">
        <v>127</v>
      </c>
      <c r="L31" s="16">
        <v>48</v>
      </c>
    </row>
    <row r="32" spans="1:12">
      <c r="A32" s="11" t="s">
        <v>500</v>
      </c>
      <c r="B32" s="12" t="s">
        <v>5344</v>
      </c>
      <c r="C32" s="13">
        <v>57</v>
      </c>
      <c r="D32" s="14">
        <v>71.25</v>
      </c>
      <c r="E32" s="15">
        <v>136</v>
      </c>
      <c r="F32" s="13">
        <v>57</v>
      </c>
      <c r="G32" s="14">
        <v>71.25</v>
      </c>
      <c r="H32" s="15">
        <v>177</v>
      </c>
      <c r="I32" s="13">
        <v>50</v>
      </c>
      <c r="J32" s="14">
        <v>74.63</v>
      </c>
      <c r="K32" s="15">
        <v>128</v>
      </c>
      <c r="L32" s="16">
        <v>49</v>
      </c>
    </row>
    <row r="33" spans="1:12">
      <c r="A33" s="11" t="s">
        <v>545</v>
      </c>
      <c r="B33" s="12" t="s">
        <v>5346</v>
      </c>
      <c r="C33" s="13">
        <v>55</v>
      </c>
      <c r="D33" s="14">
        <v>68.75</v>
      </c>
      <c r="E33" s="15">
        <v>148</v>
      </c>
      <c r="F33" s="13">
        <v>57</v>
      </c>
      <c r="G33" s="14">
        <v>71.25</v>
      </c>
      <c r="H33" s="15">
        <v>178</v>
      </c>
      <c r="I33" s="13">
        <v>48</v>
      </c>
      <c r="J33" s="14">
        <v>71.64</v>
      </c>
      <c r="K33" s="15">
        <v>173</v>
      </c>
      <c r="L33" s="16">
        <v>30</v>
      </c>
    </row>
    <row r="34" spans="1:12">
      <c r="A34" s="11" t="s">
        <v>503</v>
      </c>
      <c r="B34" s="12" t="s">
        <v>5344</v>
      </c>
      <c r="C34" s="13">
        <v>57</v>
      </c>
      <c r="D34" s="14">
        <v>71.25</v>
      </c>
      <c r="E34" s="15">
        <v>137</v>
      </c>
      <c r="F34" s="13">
        <v>57</v>
      </c>
      <c r="G34" s="14">
        <v>71.25</v>
      </c>
      <c r="H34" s="15">
        <v>179</v>
      </c>
      <c r="I34" s="13">
        <v>50</v>
      </c>
      <c r="J34" s="14">
        <v>74.63</v>
      </c>
      <c r="K34" s="15">
        <v>129</v>
      </c>
      <c r="L34" s="16">
        <v>50</v>
      </c>
    </row>
    <row r="35" spans="1:12">
      <c r="A35" s="11" t="s">
        <v>514</v>
      </c>
      <c r="B35" s="12" t="s">
        <v>5344</v>
      </c>
      <c r="C35" s="13">
        <v>56</v>
      </c>
      <c r="D35" s="14">
        <v>70</v>
      </c>
      <c r="E35" s="15">
        <v>138</v>
      </c>
      <c r="F35" s="13">
        <v>56</v>
      </c>
      <c r="G35" s="14">
        <v>70</v>
      </c>
      <c r="H35" s="15">
        <v>180</v>
      </c>
      <c r="I35" s="13">
        <v>49</v>
      </c>
      <c r="J35" s="14">
        <v>73.13</v>
      </c>
      <c r="K35" s="15">
        <v>133</v>
      </c>
      <c r="L35" s="16">
        <v>47</v>
      </c>
    </row>
    <row r="36" spans="1:12">
      <c r="A36" s="11" t="s">
        <v>517</v>
      </c>
      <c r="B36" s="12" t="s">
        <v>5344</v>
      </c>
      <c r="C36" s="13">
        <v>56</v>
      </c>
      <c r="D36" s="14">
        <v>70</v>
      </c>
      <c r="E36" s="15">
        <v>139</v>
      </c>
      <c r="F36" s="13">
        <v>56</v>
      </c>
      <c r="G36" s="14">
        <v>70</v>
      </c>
      <c r="H36" s="15">
        <v>181</v>
      </c>
      <c r="I36" s="13">
        <v>49</v>
      </c>
      <c r="J36" s="14">
        <v>73.13</v>
      </c>
      <c r="K36" s="15">
        <v>134</v>
      </c>
      <c r="L36" s="16">
        <v>47</v>
      </c>
    </row>
    <row r="37" spans="1:12">
      <c r="A37" s="11" t="s">
        <v>519</v>
      </c>
      <c r="B37" s="12" t="s">
        <v>5344</v>
      </c>
      <c r="C37" s="13">
        <v>56</v>
      </c>
      <c r="D37" s="14">
        <v>70</v>
      </c>
      <c r="E37" s="15">
        <v>140</v>
      </c>
      <c r="F37" s="13">
        <v>56</v>
      </c>
      <c r="G37" s="14">
        <v>70</v>
      </c>
      <c r="H37" s="15">
        <v>182</v>
      </c>
      <c r="I37" s="13">
        <v>49</v>
      </c>
      <c r="J37" s="14">
        <v>73.13</v>
      </c>
      <c r="K37" s="15">
        <v>135</v>
      </c>
      <c r="L37" s="16">
        <v>47</v>
      </c>
    </row>
    <row r="38" spans="1:12">
      <c r="A38" s="11" t="s">
        <v>624</v>
      </c>
      <c r="B38" s="12" t="s">
        <v>99</v>
      </c>
      <c r="C38" s="13">
        <v>40</v>
      </c>
      <c r="D38" s="14">
        <v>50</v>
      </c>
      <c r="E38" s="15">
        <v>1075</v>
      </c>
      <c r="F38" s="13">
        <v>56</v>
      </c>
      <c r="G38" s="14">
        <v>70</v>
      </c>
      <c r="H38" s="15">
        <v>186</v>
      </c>
      <c r="I38" s="13">
        <v>37</v>
      </c>
      <c r="J38" s="14">
        <v>55.22</v>
      </c>
      <c r="K38" s="15">
        <v>493</v>
      </c>
      <c r="L38" s="16">
        <v>889</v>
      </c>
    </row>
    <row r="39" spans="1:12">
      <c r="A39" s="11" t="s">
        <v>612</v>
      </c>
      <c r="B39" s="12" t="s">
        <v>5344</v>
      </c>
      <c r="C39" s="13">
        <v>52</v>
      </c>
      <c r="D39" s="14">
        <v>65</v>
      </c>
      <c r="E39" s="15">
        <v>179</v>
      </c>
      <c r="F39" s="13">
        <v>56</v>
      </c>
      <c r="G39" s="14">
        <v>70</v>
      </c>
      <c r="H39" s="15">
        <v>187</v>
      </c>
      <c r="I39" s="13">
        <v>45</v>
      </c>
      <c r="J39" s="14">
        <v>67.16</v>
      </c>
      <c r="K39" s="15">
        <v>252</v>
      </c>
      <c r="L39" s="16">
        <v>73</v>
      </c>
    </row>
    <row r="40" spans="1:12">
      <c r="A40" s="11" t="s">
        <v>529</v>
      </c>
      <c r="B40" s="12" t="s">
        <v>5344</v>
      </c>
      <c r="C40" s="13">
        <v>55</v>
      </c>
      <c r="D40" s="14">
        <v>68.75</v>
      </c>
      <c r="E40" s="15">
        <v>141</v>
      </c>
      <c r="F40" s="13">
        <v>55</v>
      </c>
      <c r="G40" s="14">
        <v>68.75</v>
      </c>
      <c r="H40" s="15">
        <v>199</v>
      </c>
      <c r="I40" s="13">
        <v>48</v>
      </c>
      <c r="J40" s="14">
        <v>71.64</v>
      </c>
      <c r="K40" s="15">
        <v>150</v>
      </c>
      <c r="L40" s="16">
        <v>58</v>
      </c>
    </row>
    <row r="41" spans="1:12">
      <c r="A41" s="11" t="s">
        <v>554</v>
      </c>
      <c r="B41" s="12" t="s">
        <v>5347</v>
      </c>
      <c r="C41" s="13">
        <v>53</v>
      </c>
      <c r="D41" s="14">
        <v>66.25</v>
      </c>
      <c r="E41" s="15">
        <v>155</v>
      </c>
      <c r="F41" s="13">
        <v>55</v>
      </c>
      <c r="G41" s="14">
        <v>68.75</v>
      </c>
      <c r="H41" s="15">
        <v>202</v>
      </c>
      <c r="I41" s="13">
        <v>48</v>
      </c>
      <c r="J41" s="14">
        <v>71.64</v>
      </c>
      <c r="K41" s="15">
        <v>151</v>
      </c>
      <c r="L41" s="16">
        <v>51</v>
      </c>
    </row>
    <row r="42" spans="1:12">
      <c r="A42" s="11" t="s">
        <v>558</v>
      </c>
      <c r="B42" s="12" t="s">
        <v>5347</v>
      </c>
      <c r="C42" s="13">
        <v>53</v>
      </c>
      <c r="D42" s="14">
        <v>66.25</v>
      </c>
      <c r="E42" s="15">
        <v>156</v>
      </c>
      <c r="F42" s="13">
        <v>55</v>
      </c>
      <c r="G42" s="14">
        <v>68.75</v>
      </c>
      <c r="H42" s="15">
        <v>205</v>
      </c>
      <c r="I42" s="13">
        <v>48</v>
      </c>
      <c r="J42" s="14">
        <v>71.64</v>
      </c>
      <c r="K42" s="15">
        <v>153</v>
      </c>
      <c r="L42" s="16">
        <v>52</v>
      </c>
    </row>
    <row r="43" spans="1:12">
      <c r="A43" s="11" t="s">
        <v>217</v>
      </c>
      <c r="B43" s="12" t="s">
        <v>5348</v>
      </c>
      <c r="C43" s="13">
        <v>55</v>
      </c>
      <c r="D43" s="14">
        <v>68.75</v>
      </c>
      <c r="E43" s="15">
        <v>143</v>
      </c>
      <c r="F43" s="13">
        <v>55</v>
      </c>
      <c r="G43" s="14">
        <v>68.75</v>
      </c>
      <c r="H43" s="15">
        <v>207</v>
      </c>
      <c r="I43" s="13">
        <v>55</v>
      </c>
      <c r="J43" s="14">
        <v>82.09</v>
      </c>
      <c r="K43" s="15">
        <v>23</v>
      </c>
      <c r="L43" s="16">
        <v>184</v>
      </c>
    </row>
    <row r="44" spans="1:12">
      <c r="A44" s="11" t="s">
        <v>485</v>
      </c>
      <c r="B44" s="12" t="s">
        <v>5345</v>
      </c>
      <c r="C44" s="13">
        <v>55</v>
      </c>
      <c r="D44" s="14">
        <v>68.75</v>
      </c>
      <c r="E44" s="15">
        <v>144</v>
      </c>
      <c r="F44" s="13">
        <v>55</v>
      </c>
      <c r="G44" s="14">
        <v>68.75</v>
      </c>
      <c r="H44" s="15">
        <v>211</v>
      </c>
      <c r="I44" s="13">
        <v>50</v>
      </c>
      <c r="J44" s="14">
        <v>74.63</v>
      </c>
      <c r="K44" s="15">
        <v>123</v>
      </c>
      <c r="L44" s="16">
        <v>88</v>
      </c>
    </row>
    <row r="45" spans="1:12">
      <c r="A45" s="11" t="s">
        <v>566</v>
      </c>
      <c r="B45" s="12" t="s">
        <v>5347</v>
      </c>
      <c r="C45" s="13">
        <v>53</v>
      </c>
      <c r="D45" s="14">
        <v>66.25</v>
      </c>
      <c r="E45" s="15">
        <v>159</v>
      </c>
      <c r="F45" s="13">
        <v>55</v>
      </c>
      <c r="G45" s="14">
        <v>68.75</v>
      </c>
      <c r="H45" s="15">
        <v>221</v>
      </c>
      <c r="I45" s="13">
        <v>48</v>
      </c>
      <c r="J45" s="14">
        <v>71.64</v>
      </c>
      <c r="K45" s="15">
        <v>157</v>
      </c>
      <c r="L45" s="16">
        <v>64</v>
      </c>
    </row>
    <row r="46" spans="1:12">
      <c r="A46" s="11" t="s">
        <v>589</v>
      </c>
      <c r="B46" s="12" t="s">
        <v>5347</v>
      </c>
      <c r="C46" s="13">
        <v>53</v>
      </c>
      <c r="D46" s="14">
        <v>66.25</v>
      </c>
      <c r="E46" s="15">
        <v>167</v>
      </c>
      <c r="F46" s="13">
        <v>55</v>
      </c>
      <c r="G46" s="14">
        <v>68.75</v>
      </c>
      <c r="H46" s="15">
        <v>256</v>
      </c>
      <c r="I46" s="13">
        <v>48</v>
      </c>
      <c r="J46" s="14">
        <v>71.64</v>
      </c>
      <c r="K46" s="15">
        <v>168</v>
      </c>
      <c r="L46" s="16">
        <v>89</v>
      </c>
    </row>
    <row r="47" spans="1:12">
      <c r="A47" s="11" t="s">
        <v>541</v>
      </c>
      <c r="B47" s="12" t="s">
        <v>5344</v>
      </c>
      <c r="C47" s="13">
        <v>55</v>
      </c>
      <c r="D47" s="14">
        <v>68.75</v>
      </c>
      <c r="E47" s="15">
        <v>146</v>
      </c>
      <c r="F47" s="13">
        <v>55</v>
      </c>
      <c r="G47" s="14">
        <v>68.75</v>
      </c>
      <c r="H47" s="15">
        <v>258</v>
      </c>
      <c r="I47" s="13">
        <v>42</v>
      </c>
      <c r="J47" s="14">
        <v>62.69</v>
      </c>
      <c r="K47" s="15">
        <v>369</v>
      </c>
      <c r="L47" s="16">
        <v>223</v>
      </c>
    </row>
    <row r="48" spans="1:12">
      <c r="A48" s="11" t="s">
        <v>592</v>
      </c>
      <c r="B48" s="12" t="s">
        <v>5347</v>
      </c>
      <c r="C48" s="13">
        <v>53</v>
      </c>
      <c r="D48" s="14">
        <v>66.25</v>
      </c>
      <c r="E48" s="15">
        <v>168</v>
      </c>
      <c r="F48" s="13">
        <v>55</v>
      </c>
      <c r="G48" s="14">
        <v>68.75</v>
      </c>
      <c r="H48" s="15">
        <v>263</v>
      </c>
      <c r="I48" s="13">
        <v>48</v>
      </c>
      <c r="J48" s="14">
        <v>71.64</v>
      </c>
      <c r="K48" s="15">
        <v>169</v>
      </c>
      <c r="L48" s="16">
        <v>95</v>
      </c>
    </row>
    <row r="49" spans="1:12">
      <c r="A49" s="11" t="s">
        <v>548</v>
      </c>
      <c r="B49" s="12" t="s">
        <v>5344</v>
      </c>
      <c r="C49" s="13">
        <v>54</v>
      </c>
      <c r="D49" s="14">
        <v>67.5</v>
      </c>
      <c r="E49" s="15">
        <v>149</v>
      </c>
      <c r="F49" s="13">
        <v>54</v>
      </c>
      <c r="G49" s="14">
        <v>67.5</v>
      </c>
      <c r="H49" s="15">
        <v>279</v>
      </c>
      <c r="I49" s="13">
        <v>47</v>
      </c>
      <c r="J49" s="14">
        <v>70.15</v>
      </c>
      <c r="K49" s="15">
        <v>179</v>
      </c>
      <c r="L49" s="16">
        <v>130</v>
      </c>
    </row>
    <row r="50" spans="1:12">
      <c r="A50" s="11" t="s">
        <v>550</v>
      </c>
      <c r="B50" s="12" t="s">
        <v>5344</v>
      </c>
      <c r="C50" s="13">
        <v>54</v>
      </c>
      <c r="D50" s="14">
        <v>67.5</v>
      </c>
      <c r="E50" s="15">
        <v>150</v>
      </c>
      <c r="F50" s="13">
        <v>54</v>
      </c>
      <c r="G50" s="14">
        <v>67.5</v>
      </c>
      <c r="H50" s="15">
        <v>280</v>
      </c>
      <c r="I50" s="13">
        <v>47</v>
      </c>
      <c r="J50" s="14">
        <v>70.15</v>
      </c>
      <c r="K50" s="15">
        <v>180</v>
      </c>
      <c r="L50" s="16">
        <v>130</v>
      </c>
    </row>
    <row r="51" spans="1:12">
      <c r="A51" s="11" t="s">
        <v>524</v>
      </c>
      <c r="B51" s="12" t="s">
        <v>5345</v>
      </c>
      <c r="C51" s="13">
        <v>54</v>
      </c>
      <c r="D51" s="14">
        <v>67.5</v>
      </c>
      <c r="E51" s="15">
        <v>152</v>
      </c>
      <c r="F51" s="13">
        <v>54</v>
      </c>
      <c r="G51" s="14">
        <v>67.5</v>
      </c>
      <c r="H51" s="15">
        <v>289</v>
      </c>
      <c r="I51" s="13">
        <v>49</v>
      </c>
      <c r="J51" s="14">
        <v>73.13</v>
      </c>
      <c r="K51" s="15">
        <v>138</v>
      </c>
      <c r="L51" s="16">
        <v>151</v>
      </c>
    </row>
    <row r="52" spans="1:12">
      <c r="A52" s="11" t="s">
        <v>556</v>
      </c>
      <c r="B52" s="12" t="s">
        <v>5344</v>
      </c>
      <c r="C52" s="13">
        <v>54</v>
      </c>
      <c r="D52" s="14">
        <v>67.5</v>
      </c>
      <c r="E52" s="15">
        <v>153</v>
      </c>
      <c r="F52" s="13">
        <v>54</v>
      </c>
      <c r="G52" s="14">
        <v>67.5</v>
      </c>
      <c r="H52" s="15">
        <v>300</v>
      </c>
      <c r="I52" s="13">
        <v>47</v>
      </c>
      <c r="J52" s="14">
        <v>70.15</v>
      </c>
      <c r="K52" s="15">
        <v>208</v>
      </c>
      <c r="L52" s="16">
        <v>147</v>
      </c>
    </row>
    <row r="53" spans="1:12">
      <c r="A53" s="11" t="s">
        <v>564</v>
      </c>
      <c r="B53" s="12" t="s">
        <v>5344</v>
      </c>
      <c r="C53" s="13">
        <v>53</v>
      </c>
      <c r="D53" s="14">
        <v>66.25</v>
      </c>
      <c r="E53" s="15">
        <v>157</v>
      </c>
      <c r="F53" s="13">
        <v>53</v>
      </c>
      <c r="G53" s="14">
        <v>66.25</v>
      </c>
      <c r="H53" s="15">
        <v>306</v>
      </c>
      <c r="I53" s="13">
        <v>46</v>
      </c>
      <c r="J53" s="14">
        <v>68.66</v>
      </c>
      <c r="K53" s="15">
        <v>225</v>
      </c>
      <c r="L53" s="16">
        <v>149</v>
      </c>
    </row>
    <row r="54" spans="1:12">
      <c r="A54" s="11" t="s">
        <v>535</v>
      </c>
      <c r="B54" s="12" t="s">
        <v>5345</v>
      </c>
      <c r="C54" s="13">
        <v>53</v>
      </c>
      <c r="D54" s="14">
        <v>66.25</v>
      </c>
      <c r="E54" s="15">
        <v>165</v>
      </c>
      <c r="F54" s="13">
        <v>53</v>
      </c>
      <c r="G54" s="14">
        <v>66.25</v>
      </c>
      <c r="H54" s="15">
        <v>307</v>
      </c>
      <c r="I54" s="13">
        <v>49</v>
      </c>
      <c r="J54" s="14">
        <v>73.13</v>
      </c>
      <c r="K54" s="15">
        <v>143</v>
      </c>
      <c r="L54" s="16">
        <v>164</v>
      </c>
    </row>
    <row r="55" spans="1:12">
      <c r="A55" s="11" t="s">
        <v>586</v>
      </c>
      <c r="B55" s="12" t="s">
        <v>5344</v>
      </c>
      <c r="C55" s="13">
        <v>48</v>
      </c>
      <c r="D55" s="14">
        <v>60</v>
      </c>
      <c r="E55" s="15">
        <v>646</v>
      </c>
      <c r="F55" s="13">
        <v>53</v>
      </c>
      <c r="G55" s="14">
        <v>66.25</v>
      </c>
      <c r="H55" s="15">
        <v>309</v>
      </c>
      <c r="I55" s="13">
        <v>48</v>
      </c>
      <c r="J55" s="14">
        <v>71.64</v>
      </c>
      <c r="K55" s="15">
        <v>165</v>
      </c>
      <c r="L55" s="16">
        <v>481</v>
      </c>
    </row>
    <row r="56" spans="1:12">
      <c r="A56" s="11" t="s">
        <v>888</v>
      </c>
      <c r="B56" s="12" t="s">
        <v>99</v>
      </c>
      <c r="C56" s="13">
        <v>36</v>
      </c>
      <c r="D56" s="14">
        <v>45</v>
      </c>
      <c r="E56" s="15">
        <v>1170</v>
      </c>
      <c r="F56" s="13">
        <v>52</v>
      </c>
      <c r="G56" s="14">
        <v>65</v>
      </c>
      <c r="H56" s="15">
        <v>317</v>
      </c>
      <c r="I56" s="13">
        <v>33</v>
      </c>
      <c r="J56" s="14">
        <v>49.25</v>
      </c>
      <c r="K56" s="15">
        <v>573</v>
      </c>
      <c r="L56" s="16">
        <v>853</v>
      </c>
    </row>
    <row r="57" spans="1:12">
      <c r="A57" s="11" t="s">
        <v>610</v>
      </c>
      <c r="B57" s="12" t="s">
        <v>5344</v>
      </c>
      <c r="C57" s="13">
        <v>52</v>
      </c>
      <c r="D57" s="14">
        <v>65</v>
      </c>
      <c r="E57" s="15">
        <v>178</v>
      </c>
      <c r="F57" s="13">
        <v>52</v>
      </c>
      <c r="G57" s="14">
        <v>65</v>
      </c>
      <c r="H57" s="15">
        <v>322</v>
      </c>
      <c r="I57" s="13">
        <v>45</v>
      </c>
      <c r="J57" s="14">
        <v>67.16</v>
      </c>
      <c r="K57" s="15">
        <v>251</v>
      </c>
      <c r="L57" s="16">
        <v>144</v>
      </c>
    </row>
    <row r="58" spans="1:12">
      <c r="A58" s="11" t="s">
        <v>616</v>
      </c>
      <c r="B58" s="12" t="s">
        <v>5344</v>
      </c>
      <c r="C58" s="13">
        <v>52</v>
      </c>
      <c r="D58" s="14">
        <v>65</v>
      </c>
      <c r="E58" s="15">
        <v>182</v>
      </c>
      <c r="F58" s="13">
        <v>52</v>
      </c>
      <c r="G58" s="14">
        <v>65</v>
      </c>
      <c r="H58" s="15">
        <v>323</v>
      </c>
      <c r="I58" s="13">
        <v>45</v>
      </c>
      <c r="J58" s="14">
        <v>67.16</v>
      </c>
      <c r="K58" s="15">
        <v>256</v>
      </c>
      <c r="L58" s="16">
        <v>141</v>
      </c>
    </row>
    <row r="59" spans="1:12">
      <c r="A59" s="11" t="s">
        <v>620</v>
      </c>
      <c r="B59" s="12" t="s">
        <v>5344</v>
      </c>
      <c r="C59" s="13">
        <v>52</v>
      </c>
      <c r="D59" s="14">
        <v>65</v>
      </c>
      <c r="E59" s="15">
        <v>184</v>
      </c>
      <c r="F59" s="13">
        <v>52</v>
      </c>
      <c r="G59" s="14">
        <v>65</v>
      </c>
      <c r="H59" s="15">
        <v>324</v>
      </c>
      <c r="I59" s="13">
        <v>45</v>
      </c>
      <c r="J59" s="14">
        <v>67.16</v>
      </c>
      <c r="K59" s="15">
        <v>258</v>
      </c>
      <c r="L59" s="16">
        <v>140</v>
      </c>
    </row>
    <row r="60" spans="1:12">
      <c r="A60" s="11" t="s">
        <v>621</v>
      </c>
      <c r="B60" s="12" t="s">
        <v>5344</v>
      </c>
      <c r="C60" s="13">
        <v>52</v>
      </c>
      <c r="D60" s="14">
        <v>65</v>
      </c>
      <c r="E60" s="15">
        <v>185</v>
      </c>
      <c r="F60" s="13">
        <v>52</v>
      </c>
      <c r="G60" s="14">
        <v>65</v>
      </c>
      <c r="H60" s="15">
        <v>326</v>
      </c>
      <c r="I60" s="13">
        <v>45</v>
      </c>
      <c r="J60" s="14">
        <v>67.16</v>
      </c>
      <c r="K60" s="15">
        <v>260</v>
      </c>
      <c r="L60" s="16">
        <v>141</v>
      </c>
    </row>
    <row r="61" spans="1:12">
      <c r="A61" s="11" t="s">
        <v>626</v>
      </c>
      <c r="B61" s="12" t="s">
        <v>5344</v>
      </c>
      <c r="C61" s="13">
        <v>51</v>
      </c>
      <c r="D61" s="14">
        <v>63.75</v>
      </c>
      <c r="E61" s="15">
        <v>187</v>
      </c>
      <c r="F61" s="13">
        <v>51</v>
      </c>
      <c r="G61" s="14">
        <v>63.75</v>
      </c>
      <c r="H61" s="15">
        <v>329</v>
      </c>
      <c r="I61" s="13">
        <v>44</v>
      </c>
      <c r="J61" s="14">
        <v>65.67</v>
      </c>
      <c r="K61" s="15">
        <v>266</v>
      </c>
      <c r="L61" s="16">
        <v>142</v>
      </c>
    </row>
    <row r="62" spans="1:12">
      <c r="A62" s="11" t="s">
        <v>628</v>
      </c>
      <c r="B62" s="12" t="s">
        <v>5344</v>
      </c>
      <c r="C62" s="13">
        <v>51</v>
      </c>
      <c r="D62" s="14">
        <v>63.75</v>
      </c>
      <c r="E62" s="15">
        <v>188</v>
      </c>
      <c r="F62" s="13">
        <v>51</v>
      </c>
      <c r="G62" s="14">
        <v>63.75</v>
      </c>
      <c r="H62" s="15">
        <v>332</v>
      </c>
      <c r="I62" s="13">
        <v>44</v>
      </c>
      <c r="J62" s="14">
        <v>65.67</v>
      </c>
      <c r="K62" s="15">
        <v>268</v>
      </c>
      <c r="L62" s="16">
        <v>144</v>
      </c>
    </row>
    <row r="63" spans="1:12">
      <c r="A63" s="11" t="s">
        <v>632</v>
      </c>
      <c r="B63" s="12" t="s">
        <v>5344</v>
      </c>
      <c r="C63" s="13">
        <v>51</v>
      </c>
      <c r="D63" s="14">
        <v>63.75</v>
      </c>
      <c r="E63" s="15">
        <v>190</v>
      </c>
      <c r="F63" s="13">
        <v>51</v>
      </c>
      <c r="G63" s="14">
        <v>63.75</v>
      </c>
      <c r="H63" s="15">
        <v>333</v>
      </c>
      <c r="I63" s="13">
        <v>44</v>
      </c>
      <c r="J63" s="14">
        <v>65.67</v>
      </c>
      <c r="K63" s="15">
        <v>270</v>
      </c>
      <c r="L63" s="16">
        <v>143</v>
      </c>
    </row>
    <row r="64" spans="1:12">
      <c r="A64" s="11" t="s">
        <v>636</v>
      </c>
      <c r="B64" s="12" t="s">
        <v>5344</v>
      </c>
      <c r="C64" s="13">
        <v>51</v>
      </c>
      <c r="D64" s="14">
        <v>63.75</v>
      </c>
      <c r="E64" s="15">
        <v>192</v>
      </c>
      <c r="F64" s="13">
        <v>51</v>
      </c>
      <c r="G64" s="14">
        <v>63.75</v>
      </c>
      <c r="H64" s="15">
        <v>335</v>
      </c>
      <c r="I64" s="13">
        <v>38</v>
      </c>
      <c r="J64" s="14">
        <v>56.72</v>
      </c>
      <c r="K64" s="15">
        <v>465</v>
      </c>
      <c r="L64" s="16">
        <v>273</v>
      </c>
    </row>
    <row r="65" spans="1:12">
      <c r="A65" s="11" t="s">
        <v>640</v>
      </c>
      <c r="B65" s="12" t="s">
        <v>5344</v>
      </c>
      <c r="C65" s="13">
        <v>51</v>
      </c>
      <c r="D65" s="14">
        <v>63.75</v>
      </c>
      <c r="E65" s="15">
        <v>194</v>
      </c>
      <c r="F65" s="13">
        <v>51</v>
      </c>
      <c r="G65" s="14">
        <v>63.75</v>
      </c>
      <c r="H65" s="15">
        <v>337</v>
      </c>
      <c r="I65" s="13">
        <v>44</v>
      </c>
      <c r="J65" s="14">
        <v>65.67</v>
      </c>
      <c r="K65" s="15">
        <v>275</v>
      </c>
      <c r="L65" s="16">
        <v>143</v>
      </c>
    </row>
    <row r="66" spans="1:12">
      <c r="A66" s="11" t="s">
        <v>944</v>
      </c>
      <c r="B66" s="12" t="s">
        <v>5346</v>
      </c>
      <c r="C66" s="13">
        <v>49</v>
      </c>
      <c r="D66" s="14">
        <v>61.25</v>
      </c>
      <c r="E66" s="15">
        <v>637</v>
      </c>
      <c r="F66" s="13">
        <v>51</v>
      </c>
      <c r="G66" s="14">
        <v>63.75</v>
      </c>
      <c r="H66" s="15">
        <v>343</v>
      </c>
      <c r="I66" s="13">
        <v>42</v>
      </c>
      <c r="J66" s="14">
        <v>62.69</v>
      </c>
      <c r="K66" s="15">
        <v>358</v>
      </c>
      <c r="L66" s="16">
        <v>294</v>
      </c>
    </row>
    <row r="67" spans="1:12">
      <c r="A67" s="11" t="s">
        <v>657</v>
      </c>
      <c r="B67" s="12" t="s">
        <v>5344</v>
      </c>
      <c r="C67" s="13">
        <v>51</v>
      </c>
      <c r="D67" s="14">
        <v>63.75</v>
      </c>
      <c r="E67" s="15">
        <v>202</v>
      </c>
      <c r="F67" s="13">
        <v>51</v>
      </c>
      <c r="G67" s="14">
        <v>63.75</v>
      </c>
      <c r="H67" s="15">
        <v>344</v>
      </c>
      <c r="I67" s="13">
        <v>44</v>
      </c>
      <c r="J67" s="14">
        <v>65.67</v>
      </c>
      <c r="K67" s="15">
        <v>288</v>
      </c>
      <c r="L67" s="16">
        <v>142</v>
      </c>
    </row>
    <row r="68" spans="1:12">
      <c r="A68" s="11" t="s">
        <v>659</v>
      </c>
      <c r="B68" s="12" t="s">
        <v>5344</v>
      </c>
      <c r="C68" s="13">
        <v>51</v>
      </c>
      <c r="D68" s="14">
        <v>63.75</v>
      </c>
      <c r="E68" s="15">
        <v>203</v>
      </c>
      <c r="F68" s="13">
        <v>51</v>
      </c>
      <c r="G68" s="14">
        <v>63.75</v>
      </c>
      <c r="H68" s="15">
        <v>345</v>
      </c>
      <c r="I68" s="13">
        <v>44</v>
      </c>
      <c r="J68" s="14">
        <v>65.67</v>
      </c>
      <c r="K68" s="15">
        <v>289</v>
      </c>
      <c r="L68" s="16">
        <v>142</v>
      </c>
    </row>
    <row r="69" spans="1:12">
      <c r="A69" s="11" t="s">
        <v>666</v>
      </c>
      <c r="B69" s="12" t="s">
        <v>5344</v>
      </c>
      <c r="C69" s="13">
        <v>51</v>
      </c>
      <c r="D69" s="14">
        <v>63.75</v>
      </c>
      <c r="E69" s="15">
        <v>206</v>
      </c>
      <c r="F69" s="13">
        <v>51</v>
      </c>
      <c r="G69" s="14">
        <v>63.75</v>
      </c>
      <c r="H69" s="15">
        <v>347</v>
      </c>
      <c r="I69" s="13">
        <v>44</v>
      </c>
      <c r="J69" s="14">
        <v>65.67</v>
      </c>
      <c r="K69" s="15">
        <v>294</v>
      </c>
      <c r="L69" s="16">
        <v>141</v>
      </c>
    </row>
    <row r="70" spans="1:12">
      <c r="A70" s="11" t="s">
        <v>668</v>
      </c>
      <c r="B70" s="12" t="s">
        <v>5344</v>
      </c>
      <c r="C70" s="13">
        <v>51</v>
      </c>
      <c r="D70" s="14">
        <v>63.75</v>
      </c>
      <c r="E70" s="15">
        <v>207</v>
      </c>
      <c r="F70" s="13">
        <v>51</v>
      </c>
      <c r="G70" s="14">
        <v>63.75</v>
      </c>
      <c r="H70" s="15">
        <v>348</v>
      </c>
      <c r="I70" s="13">
        <v>44</v>
      </c>
      <c r="J70" s="14">
        <v>65.67</v>
      </c>
      <c r="K70" s="15">
        <v>295</v>
      </c>
      <c r="L70" s="16">
        <v>141</v>
      </c>
    </row>
    <row r="71" spans="1:12">
      <c r="A71" s="11" t="s">
        <v>672</v>
      </c>
      <c r="B71" s="12" t="s">
        <v>5344</v>
      </c>
      <c r="C71" s="13">
        <v>51</v>
      </c>
      <c r="D71" s="14">
        <v>63.75</v>
      </c>
      <c r="E71" s="15">
        <v>209</v>
      </c>
      <c r="F71" s="13">
        <v>51</v>
      </c>
      <c r="G71" s="14">
        <v>63.75</v>
      </c>
      <c r="H71" s="15">
        <v>350</v>
      </c>
      <c r="I71" s="13">
        <v>44</v>
      </c>
      <c r="J71" s="14">
        <v>65.67</v>
      </c>
      <c r="K71" s="15">
        <v>299</v>
      </c>
      <c r="L71" s="16">
        <v>141</v>
      </c>
    </row>
    <row r="72" spans="1:12">
      <c r="A72" s="11" t="s">
        <v>674</v>
      </c>
      <c r="B72" s="12" t="s">
        <v>5344</v>
      </c>
      <c r="C72" s="13">
        <v>51</v>
      </c>
      <c r="D72" s="14">
        <v>63.75</v>
      </c>
      <c r="E72" s="15">
        <v>210</v>
      </c>
      <c r="F72" s="13">
        <v>51</v>
      </c>
      <c r="G72" s="14">
        <v>63.75</v>
      </c>
      <c r="H72" s="15">
        <v>351</v>
      </c>
      <c r="I72" s="13">
        <v>44</v>
      </c>
      <c r="J72" s="14">
        <v>65.67</v>
      </c>
      <c r="K72" s="15">
        <v>300</v>
      </c>
      <c r="L72" s="16">
        <v>141</v>
      </c>
    </row>
    <row r="73" spans="1:12">
      <c r="A73" s="11" t="s">
        <v>963</v>
      </c>
      <c r="B73" s="12" t="s">
        <v>99</v>
      </c>
      <c r="C73" s="13">
        <v>34</v>
      </c>
      <c r="D73" s="14">
        <v>42.5</v>
      </c>
      <c r="E73" s="15">
        <v>1215</v>
      </c>
      <c r="F73" s="13">
        <v>51</v>
      </c>
      <c r="G73" s="14">
        <v>63.75</v>
      </c>
      <c r="H73" s="15">
        <v>352</v>
      </c>
      <c r="I73" s="13">
        <v>32</v>
      </c>
      <c r="J73" s="14">
        <v>47.76</v>
      </c>
      <c r="K73" s="15">
        <v>603</v>
      </c>
      <c r="L73" s="16">
        <v>863</v>
      </c>
    </row>
    <row r="74" spans="1:12">
      <c r="A74" s="11" t="s">
        <v>167</v>
      </c>
      <c r="B74" s="12" t="s">
        <v>95</v>
      </c>
      <c r="C74" s="13">
        <v>67</v>
      </c>
      <c r="D74" s="14">
        <v>83.75</v>
      </c>
      <c r="E74" s="15">
        <v>4</v>
      </c>
      <c r="F74" s="13">
        <v>50</v>
      </c>
      <c r="G74" s="14">
        <v>62.5</v>
      </c>
      <c r="H74" s="15">
        <v>358</v>
      </c>
      <c r="I74" s="13">
        <v>48</v>
      </c>
      <c r="J74" s="14">
        <v>71.64</v>
      </c>
      <c r="K74" s="15">
        <v>146</v>
      </c>
      <c r="L74" s="16">
        <v>354</v>
      </c>
    </row>
    <row r="75" spans="1:12">
      <c r="A75" s="11" t="s">
        <v>170</v>
      </c>
      <c r="B75" s="12" t="s">
        <v>95</v>
      </c>
      <c r="C75" s="13">
        <v>67</v>
      </c>
      <c r="D75" s="14">
        <v>83.75</v>
      </c>
      <c r="E75" s="15">
        <v>5</v>
      </c>
      <c r="F75" s="13">
        <v>50</v>
      </c>
      <c r="G75" s="14">
        <v>62.5</v>
      </c>
      <c r="H75" s="15">
        <v>519</v>
      </c>
      <c r="I75" s="13">
        <v>48</v>
      </c>
      <c r="J75" s="14">
        <v>71.64</v>
      </c>
      <c r="K75" s="15">
        <v>149</v>
      </c>
      <c r="L75" s="16">
        <v>514</v>
      </c>
    </row>
    <row r="76" spans="1:12">
      <c r="A76" s="11" t="s">
        <v>176</v>
      </c>
      <c r="B76" s="12" t="s">
        <v>95</v>
      </c>
      <c r="C76" s="13">
        <v>67</v>
      </c>
      <c r="D76" s="14">
        <v>83.75</v>
      </c>
      <c r="E76" s="15">
        <v>7</v>
      </c>
      <c r="F76" s="13">
        <v>50</v>
      </c>
      <c r="G76" s="14">
        <v>62.5</v>
      </c>
      <c r="H76" s="15">
        <v>781</v>
      </c>
      <c r="I76" s="13">
        <v>48</v>
      </c>
      <c r="J76" s="14">
        <v>71.64</v>
      </c>
      <c r="K76" s="15">
        <v>155</v>
      </c>
      <c r="L76" s="16">
        <v>774</v>
      </c>
    </row>
    <row r="77" spans="1:12">
      <c r="A77" s="11" t="s">
        <v>881</v>
      </c>
      <c r="B77" s="12" t="s">
        <v>5344</v>
      </c>
      <c r="C77" s="13">
        <v>50</v>
      </c>
      <c r="D77" s="14">
        <v>62.5</v>
      </c>
      <c r="E77" s="15">
        <v>329</v>
      </c>
      <c r="F77" s="13">
        <v>50</v>
      </c>
      <c r="G77" s="14">
        <v>62.5</v>
      </c>
      <c r="H77" s="15">
        <v>1013</v>
      </c>
      <c r="I77" s="13">
        <v>43</v>
      </c>
      <c r="J77" s="14">
        <v>64.18</v>
      </c>
      <c r="K77" s="15">
        <v>314</v>
      </c>
      <c r="L77" s="16">
        <v>699</v>
      </c>
    </row>
    <row r="78" spans="1:12">
      <c r="A78" s="11" t="s">
        <v>179</v>
      </c>
      <c r="B78" s="12" t="s">
        <v>95</v>
      </c>
      <c r="C78" s="13">
        <v>67</v>
      </c>
      <c r="D78" s="14">
        <v>83.75</v>
      </c>
      <c r="E78" s="15">
        <v>8</v>
      </c>
      <c r="F78" s="13">
        <v>50</v>
      </c>
      <c r="G78" s="14">
        <v>62.5</v>
      </c>
      <c r="H78" s="15">
        <v>1568</v>
      </c>
      <c r="I78" s="13">
        <v>48</v>
      </c>
      <c r="J78" s="14">
        <v>71.64</v>
      </c>
      <c r="K78" s="15">
        <v>162</v>
      </c>
      <c r="L78" s="16">
        <v>1560</v>
      </c>
    </row>
    <row r="79" spans="1:12">
      <c r="A79" s="11" t="s">
        <v>903</v>
      </c>
      <c r="B79" s="12" t="s">
        <v>5344</v>
      </c>
      <c r="C79" s="13">
        <v>50</v>
      </c>
      <c r="D79" s="14">
        <v>62.5</v>
      </c>
      <c r="E79" s="15">
        <v>499</v>
      </c>
      <c r="F79" s="13">
        <v>50</v>
      </c>
      <c r="G79" s="14">
        <v>62.5</v>
      </c>
      <c r="H79" s="15">
        <v>1906</v>
      </c>
      <c r="I79" s="13">
        <v>43</v>
      </c>
      <c r="J79" s="14">
        <v>64.18</v>
      </c>
      <c r="K79" s="15">
        <v>324</v>
      </c>
      <c r="L79" s="16">
        <v>1582</v>
      </c>
    </row>
    <row r="80" spans="1:12">
      <c r="A80" s="11" t="s">
        <v>181</v>
      </c>
      <c r="B80" s="12" t="s">
        <v>95</v>
      </c>
      <c r="C80" s="13">
        <v>67</v>
      </c>
      <c r="D80" s="14">
        <v>83.75</v>
      </c>
      <c r="E80" s="15">
        <v>9</v>
      </c>
      <c r="F80" s="13">
        <v>50</v>
      </c>
      <c r="G80" s="14">
        <v>62.5</v>
      </c>
      <c r="H80" s="15">
        <v>2046</v>
      </c>
      <c r="I80" s="13">
        <v>48</v>
      </c>
      <c r="J80" s="14">
        <v>71.64</v>
      </c>
      <c r="K80" s="15">
        <v>166</v>
      </c>
      <c r="L80" s="16">
        <v>2037</v>
      </c>
    </row>
    <row r="81" spans="1:12">
      <c r="A81" s="11" t="s">
        <v>183</v>
      </c>
      <c r="B81" s="12" t="s">
        <v>95</v>
      </c>
      <c r="C81" s="13">
        <v>67</v>
      </c>
      <c r="D81" s="14">
        <v>83.75</v>
      </c>
      <c r="E81" s="15">
        <v>10</v>
      </c>
      <c r="F81" s="13">
        <v>50</v>
      </c>
      <c r="G81" s="14">
        <v>62.5</v>
      </c>
      <c r="H81" s="15">
        <v>2415</v>
      </c>
      <c r="I81" s="13">
        <v>48</v>
      </c>
      <c r="J81" s="14">
        <v>71.64</v>
      </c>
      <c r="K81" s="15">
        <v>171</v>
      </c>
      <c r="L81" s="16">
        <v>2405</v>
      </c>
    </row>
    <row r="82" spans="1:12">
      <c r="A82" s="11" t="s">
        <v>194</v>
      </c>
      <c r="B82" s="12" t="s">
        <v>95</v>
      </c>
      <c r="C82" s="13">
        <v>66</v>
      </c>
      <c r="D82" s="14">
        <v>82.5</v>
      </c>
      <c r="E82" s="15">
        <v>14</v>
      </c>
      <c r="F82" s="13">
        <v>50</v>
      </c>
      <c r="G82" s="14">
        <v>62.5</v>
      </c>
      <c r="H82" s="15">
        <v>2418</v>
      </c>
      <c r="I82" s="13">
        <v>47</v>
      </c>
      <c r="J82" s="14">
        <v>70.15</v>
      </c>
      <c r="K82" s="15">
        <v>216</v>
      </c>
      <c r="L82" s="16">
        <v>2404</v>
      </c>
    </row>
    <row r="83" spans="1:12">
      <c r="A83" s="11" t="s">
        <v>186</v>
      </c>
      <c r="B83" s="12" t="s">
        <v>95</v>
      </c>
      <c r="C83" s="13">
        <v>67</v>
      </c>
      <c r="D83" s="14">
        <v>83.75</v>
      </c>
      <c r="E83" s="15">
        <v>11</v>
      </c>
      <c r="F83" s="13">
        <v>50</v>
      </c>
      <c r="G83" s="14">
        <v>62.5</v>
      </c>
      <c r="H83" s="15">
        <v>2495</v>
      </c>
      <c r="I83" s="13">
        <v>48</v>
      </c>
      <c r="J83" s="14">
        <v>71.64</v>
      </c>
      <c r="K83" s="15">
        <v>172</v>
      </c>
      <c r="L83" s="16">
        <v>2484</v>
      </c>
    </row>
    <row r="84" spans="1:12">
      <c r="A84" s="11" t="s">
        <v>188</v>
      </c>
      <c r="B84" s="12" t="s">
        <v>95</v>
      </c>
      <c r="C84" s="13">
        <v>67</v>
      </c>
      <c r="D84" s="14">
        <v>83.75</v>
      </c>
      <c r="E84" s="15">
        <v>12</v>
      </c>
      <c r="F84" s="13">
        <v>50</v>
      </c>
      <c r="G84" s="14">
        <v>62.5</v>
      </c>
      <c r="H84" s="15">
        <v>2613</v>
      </c>
      <c r="I84" s="13">
        <v>48</v>
      </c>
      <c r="J84" s="14">
        <v>71.64</v>
      </c>
      <c r="K84" s="15">
        <v>174</v>
      </c>
      <c r="L84" s="16">
        <v>2601</v>
      </c>
    </row>
    <row r="85" spans="1:12">
      <c r="A85" s="11" t="s">
        <v>928</v>
      </c>
      <c r="B85" s="12" t="s">
        <v>5344</v>
      </c>
      <c r="C85" s="13">
        <v>49</v>
      </c>
      <c r="D85" s="14">
        <v>61.25</v>
      </c>
      <c r="E85" s="15">
        <v>630</v>
      </c>
      <c r="F85" s="13">
        <v>49</v>
      </c>
      <c r="G85" s="14">
        <v>61.25</v>
      </c>
      <c r="H85" s="15">
        <v>2662</v>
      </c>
      <c r="I85" s="13">
        <v>42</v>
      </c>
      <c r="J85" s="14">
        <v>62.69</v>
      </c>
      <c r="K85" s="15">
        <v>336</v>
      </c>
      <c r="L85" s="16">
        <v>2326</v>
      </c>
    </row>
    <row r="86" spans="1:12">
      <c r="A86" s="11" t="s">
        <v>951</v>
      </c>
      <c r="B86" s="12" t="s">
        <v>5344</v>
      </c>
      <c r="C86" s="13">
        <v>49</v>
      </c>
      <c r="D86" s="14">
        <v>61.25</v>
      </c>
      <c r="E86" s="15">
        <v>633</v>
      </c>
      <c r="F86" s="13">
        <v>49</v>
      </c>
      <c r="G86" s="14">
        <v>61.25</v>
      </c>
      <c r="H86" s="15">
        <v>2669</v>
      </c>
      <c r="I86" s="13">
        <v>42</v>
      </c>
      <c r="J86" s="14">
        <v>62.69</v>
      </c>
      <c r="K86" s="15">
        <v>346</v>
      </c>
      <c r="L86" s="16">
        <v>2323</v>
      </c>
    </row>
    <row r="87" spans="1:12">
      <c r="A87" s="11" t="s">
        <v>971</v>
      </c>
      <c r="B87" s="12" t="s">
        <v>5344</v>
      </c>
      <c r="C87" s="13">
        <v>49</v>
      </c>
      <c r="D87" s="14">
        <v>61.25</v>
      </c>
      <c r="E87" s="15">
        <v>635</v>
      </c>
      <c r="F87" s="13">
        <v>49</v>
      </c>
      <c r="G87" s="14">
        <v>61.25</v>
      </c>
      <c r="H87" s="15">
        <v>2673</v>
      </c>
      <c r="I87" s="13">
        <v>42</v>
      </c>
      <c r="J87" s="14">
        <v>62.69</v>
      </c>
      <c r="K87" s="15">
        <v>355</v>
      </c>
      <c r="L87" s="16">
        <v>2318</v>
      </c>
    </row>
    <row r="88" spans="1:12">
      <c r="A88" s="11" t="s">
        <v>1177</v>
      </c>
      <c r="B88" s="12" t="s">
        <v>5346</v>
      </c>
      <c r="C88" s="13">
        <v>47</v>
      </c>
      <c r="D88" s="14">
        <v>58.75</v>
      </c>
      <c r="E88" s="15">
        <v>665</v>
      </c>
      <c r="F88" s="13">
        <v>49</v>
      </c>
      <c r="G88" s="14">
        <v>61.25</v>
      </c>
      <c r="H88" s="15">
        <v>2675</v>
      </c>
      <c r="I88" s="13">
        <v>40</v>
      </c>
      <c r="J88" s="14">
        <v>59.7</v>
      </c>
      <c r="K88" s="15">
        <v>432</v>
      </c>
      <c r="L88" s="16">
        <v>2243</v>
      </c>
    </row>
    <row r="89" spans="1:12">
      <c r="A89" s="11" t="s">
        <v>1033</v>
      </c>
      <c r="B89" s="12" t="s">
        <v>5344</v>
      </c>
      <c r="C89" s="13">
        <v>48</v>
      </c>
      <c r="D89" s="14">
        <v>60</v>
      </c>
      <c r="E89" s="15">
        <v>641</v>
      </c>
      <c r="F89" s="13">
        <v>48</v>
      </c>
      <c r="G89" s="14">
        <v>60</v>
      </c>
      <c r="H89" s="15">
        <v>2677</v>
      </c>
      <c r="I89" s="13">
        <v>41</v>
      </c>
      <c r="J89" s="14">
        <v>61.19</v>
      </c>
      <c r="K89" s="15">
        <v>378</v>
      </c>
      <c r="L89" s="16">
        <v>2299</v>
      </c>
    </row>
    <row r="90" spans="1:12">
      <c r="A90" s="11" t="s">
        <v>1036</v>
      </c>
      <c r="B90" s="12" t="s">
        <v>5344</v>
      </c>
      <c r="C90" s="13">
        <v>48</v>
      </c>
      <c r="D90" s="14">
        <v>60</v>
      </c>
      <c r="E90" s="15">
        <v>642</v>
      </c>
      <c r="F90" s="13">
        <v>48</v>
      </c>
      <c r="G90" s="14">
        <v>60</v>
      </c>
      <c r="H90" s="15">
        <v>2678</v>
      </c>
      <c r="I90" s="13">
        <v>41</v>
      </c>
      <c r="J90" s="14">
        <v>61.19</v>
      </c>
      <c r="K90" s="15">
        <v>379</v>
      </c>
      <c r="L90" s="16">
        <v>2299</v>
      </c>
    </row>
    <row r="91" spans="1:12">
      <c r="A91" s="11" t="s">
        <v>212</v>
      </c>
      <c r="B91" s="12" t="s">
        <v>5349</v>
      </c>
      <c r="C91" s="13">
        <v>62</v>
      </c>
      <c r="D91" s="14">
        <v>77.5</v>
      </c>
      <c r="E91" s="15">
        <v>21</v>
      </c>
      <c r="F91" s="13">
        <v>48</v>
      </c>
      <c r="G91" s="14">
        <v>60</v>
      </c>
      <c r="H91" s="15">
        <v>2680</v>
      </c>
      <c r="I91" s="13">
        <v>48</v>
      </c>
      <c r="J91" s="14">
        <v>71.64</v>
      </c>
      <c r="K91" s="15">
        <v>152</v>
      </c>
      <c r="L91" s="16">
        <v>2659</v>
      </c>
    </row>
    <row r="92" spans="1:12">
      <c r="A92" s="11" t="s">
        <v>215</v>
      </c>
      <c r="B92" s="12" t="s">
        <v>5349</v>
      </c>
      <c r="C92" s="13">
        <v>62</v>
      </c>
      <c r="D92" s="14">
        <v>77.5</v>
      </c>
      <c r="E92" s="15">
        <v>22</v>
      </c>
      <c r="F92" s="13">
        <v>48</v>
      </c>
      <c r="G92" s="14">
        <v>60</v>
      </c>
      <c r="H92" s="15">
        <v>2681</v>
      </c>
      <c r="I92" s="13">
        <v>48</v>
      </c>
      <c r="J92" s="14">
        <v>71.64</v>
      </c>
      <c r="K92" s="15">
        <v>154</v>
      </c>
      <c r="L92" s="16">
        <v>2659</v>
      </c>
    </row>
    <row r="93" spans="1:12">
      <c r="A93" s="11" t="s">
        <v>1454</v>
      </c>
      <c r="B93" s="12" t="s">
        <v>5344</v>
      </c>
      <c r="C93" s="13">
        <v>48</v>
      </c>
      <c r="D93" s="14">
        <v>60</v>
      </c>
      <c r="E93" s="15">
        <v>645</v>
      </c>
      <c r="F93" s="13">
        <v>48</v>
      </c>
      <c r="G93" s="14">
        <v>60</v>
      </c>
      <c r="H93" s="15">
        <v>2687</v>
      </c>
      <c r="I93" s="13">
        <v>35</v>
      </c>
      <c r="J93" s="14">
        <v>52.24</v>
      </c>
      <c r="K93" s="15">
        <v>531</v>
      </c>
      <c r="L93" s="16">
        <v>2156</v>
      </c>
    </row>
    <row r="94" spans="1:12">
      <c r="A94" s="11" t="s">
        <v>197</v>
      </c>
      <c r="B94" s="12" t="s">
        <v>95</v>
      </c>
      <c r="C94" s="13">
        <v>65</v>
      </c>
      <c r="D94" s="14">
        <v>81.25</v>
      </c>
      <c r="E94" s="15">
        <v>15</v>
      </c>
      <c r="F94" s="13">
        <v>48</v>
      </c>
      <c r="G94" s="14">
        <v>60</v>
      </c>
      <c r="H94" s="15">
        <v>2695</v>
      </c>
      <c r="I94" s="13">
        <v>46</v>
      </c>
      <c r="J94" s="14">
        <v>68.66</v>
      </c>
      <c r="K94" s="15">
        <v>229</v>
      </c>
      <c r="L94" s="16">
        <v>2680</v>
      </c>
    </row>
    <row r="95" spans="1:12">
      <c r="A95" s="11" t="s">
        <v>279</v>
      </c>
      <c r="B95" s="12" t="s">
        <v>95</v>
      </c>
      <c r="C95" s="13">
        <v>59</v>
      </c>
      <c r="D95" s="14">
        <v>73.75</v>
      </c>
      <c r="E95" s="15">
        <v>47</v>
      </c>
      <c r="F95" s="13">
        <v>48</v>
      </c>
      <c r="G95" s="14">
        <v>60</v>
      </c>
      <c r="H95" s="15">
        <v>2700</v>
      </c>
      <c r="I95" s="13">
        <v>55</v>
      </c>
      <c r="J95" s="14">
        <v>82.09</v>
      </c>
      <c r="K95" s="15">
        <v>45</v>
      </c>
      <c r="L95" s="16">
        <v>2655</v>
      </c>
    </row>
    <row r="96" spans="1:12">
      <c r="A96" s="11" t="s">
        <v>1089</v>
      </c>
      <c r="B96" s="12" t="s">
        <v>5344</v>
      </c>
      <c r="C96" s="13">
        <v>48</v>
      </c>
      <c r="D96" s="14">
        <v>60</v>
      </c>
      <c r="E96" s="15">
        <v>649</v>
      </c>
      <c r="F96" s="13">
        <v>48</v>
      </c>
      <c r="G96" s="14">
        <v>60</v>
      </c>
      <c r="H96" s="15">
        <v>2708</v>
      </c>
      <c r="I96" s="13">
        <v>41</v>
      </c>
      <c r="J96" s="14">
        <v>61.19</v>
      </c>
      <c r="K96" s="15">
        <v>398</v>
      </c>
      <c r="L96" s="16">
        <v>2310</v>
      </c>
    </row>
    <row r="97" spans="1:12">
      <c r="A97" s="11" t="s">
        <v>1766</v>
      </c>
      <c r="B97" s="12" t="s">
        <v>5344</v>
      </c>
      <c r="C97" s="13">
        <v>43</v>
      </c>
      <c r="D97" s="14">
        <v>53.75</v>
      </c>
      <c r="E97" s="15">
        <v>1021</v>
      </c>
      <c r="F97" s="13">
        <v>48</v>
      </c>
      <c r="G97" s="14">
        <v>60</v>
      </c>
      <c r="H97" s="15">
        <v>2710</v>
      </c>
      <c r="I97" s="13">
        <v>30</v>
      </c>
      <c r="J97" s="14">
        <v>44.78</v>
      </c>
      <c r="K97" s="15">
        <v>652</v>
      </c>
      <c r="L97" s="16">
        <v>2058</v>
      </c>
    </row>
    <row r="98" spans="1:12">
      <c r="A98" s="11" t="s">
        <v>1116</v>
      </c>
      <c r="B98" s="12" t="s">
        <v>5344</v>
      </c>
      <c r="C98" s="13">
        <v>47</v>
      </c>
      <c r="D98" s="14">
        <v>58.75</v>
      </c>
      <c r="E98" s="15">
        <v>651</v>
      </c>
      <c r="F98" s="13">
        <v>47</v>
      </c>
      <c r="G98" s="14">
        <v>58.75</v>
      </c>
      <c r="H98" s="15">
        <v>2731</v>
      </c>
      <c r="I98" s="13">
        <v>40</v>
      </c>
      <c r="J98" s="14">
        <v>59.7</v>
      </c>
      <c r="K98" s="15">
        <v>408</v>
      </c>
      <c r="L98" s="16">
        <v>2323</v>
      </c>
    </row>
    <row r="99" spans="1:12">
      <c r="A99" s="11" t="s">
        <v>1119</v>
      </c>
      <c r="B99" s="12" t="s">
        <v>5344</v>
      </c>
      <c r="C99" s="13">
        <v>47</v>
      </c>
      <c r="D99" s="14">
        <v>58.75</v>
      </c>
      <c r="E99" s="15">
        <v>652</v>
      </c>
      <c r="F99" s="13">
        <v>47</v>
      </c>
      <c r="G99" s="14">
        <v>58.75</v>
      </c>
      <c r="H99" s="15">
        <v>2733</v>
      </c>
      <c r="I99" s="13">
        <v>40</v>
      </c>
      <c r="J99" s="14">
        <v>59.7</v>
      </c>
      <c r="K99" s="15">
        <v>409</v>
      </c>
      <c r="L99" s="16">
        <v>2324</v>
      </c>
    </row>
    <row r="100" spans="1:12">
      <c r="A100" s="11" t="s">
        <v>1823</v>
      </c>
      <c r="B100" s="12" t="s">
        <v>99</v>
      </c>
      <c r="C100" s="13">
        <v>26</v>
      </c>
      <c r="D100" s="14">
        <v>32.5</v>
      </c>
      <c r="E100" s="15">
        <v>1240</v>
      </c>
      <c r="F100" s="13">
        <v>47</v>
      </c>
      <c r="G100" s="14">
        <v>58.75</v>
      </c>
      <c r="H100" s="15">
        <v>2749</v>
      </c>
      <c r="I100" s="13">
        <v>24</v>
      </c>
      <c r="J100" s="14">
        <v>35.82</v>
      </c>
      <c r="K100" s="15">
        <v>678</v>
      </c>
      <c r="L100" s="16">
        <v>2071</v>
      </c>
    </row>
    <row r="101" spans="1:12">
      <c r="A101" s="11" t="s">
        <v>629</v>
      </c>
      <c r="B101" s="12" t="s">
        <v>5348</v>
      </c>
      <c r="C101" s="13">
        <v>47</v>
      </c>
      <c r="D101" s="14">
        <v>58.75</v>
      </c>
      <c r="E101" s="15">
        <v>656</v>
      </c>
      <c r="F101" s="13">
        <v>47</v>
      </c>
      <c r="G101" s="14">
        <v>58.75</v>
      </c>
      <c r="H101" s="15">
        <v>2756</v>
      </c>
      <c r="I101" s="13">
        <v>47</v>
      </c>
      <c r="J101" s="14">
        <v>70.15</v>
      </c>
      <c r="K101" s="15">
        <v>188</v>
      </c>
      <c r="L101" s="16">
        <v>2568</v>
      </c>
    </row>
    <row r="102" spans="1:12">
      <c r="A102" s="11" t="s">
        <v>1149</v>
      </c>
      <c r="B102" s="12" t="s">
        <v>5344</v>
      </c>
      <c r="C102" s="13">
        <v>47</v>
      </c>
      <c r="D102" s="14">
        <v>58.75</v>
      </c>
      <c r="E102" s="15">
        <v>659</v>
      </c>
      <c r="F102" s="13">
        <v>47</v>
      </c>
      <c r="G102" s="14">
        <v>58.75</v>
      </c>
      <c r="H102" s="15">
        <v>2777</v>
      </c>
      <c r="I102" s="13">
        <v>40</v>
      </c>
      <c r="J102" s="14">
        <v>59.7</v>
      </c>
      <c r="K102" s="15">
        <v>421</v>
      </c>
      <c r="L102" s="16">
        <v>2356</v>
      </c>
    </row>
    <row r="103" spans="1:12">
      <c r="A103" s="11" t="s">
        <v>1157</v>
      </c>
      <c r="B103" s="12" t="s">
        <v>5344</v>
      </c>
      <c r="C103" s="13">
        <v>47</v>
      </c>
      <c r="D103" s="14">
        <v>58.75</v>
      </c>
      <c r="E103" s="15">
        <v>660</v>
      </c>
      <c r="F103" s="13">
        <v>47</v>
      </c>
      <c r="G103" s="14">
        <v>58.75</v>
      </c>
      <c r="H103" s="15">
        <v>2784</v>
      </c>
      <c r="I103" s="13">
        <v>40</v>
      </c>
      <c r="J103" s="14">
        <v>59.7</v>
      </c>
      <c r="K103" s="15">
        <v>424</v>
      </c>
      <c r="L103" s="16">
        <v>2360</v>
      </c>
    </row>
    <row r="104" spans="1:12">
      <c r="A104" s="11" t="s">
        <v>1163</v>
      </c>
      <c r="B104" s="12" t="s">
        <v>5344</v>
      </c>
      <c r="C104" s="13">
        <v>47</v>
      </c>
      <c r="D104" s="14">
        <v>58.75</v>
      </c>
      <c r="E104" s="15">
        <v>661</v>
      </c>
      <c r="F104" s="13">
        <v>47</v>
      </c>
      <c r="G104" s="14">
        <v>58.75</v>
      </c>
      <c r="H104" s="15">
        <v>2788</v>
      </c>
      <c r="I104" s="13">
        <v>40</v>
      </c>
      <c r="J104" s="14">
        <v>59.7</v>
      </c>
      <c r="K104" s="15">
        <v>426</v>
      </c>
      <c r="L104" s="16">
        <v>2362</v>
      </c>
    </row>
    <row r="105" spans="1:12">
      <c r="A105" s="11" t="s">
        <v>1001</v>
      </c>
      <c r="B105" s="12" t="s">
        <v>5345</v>
      </c>
      <c r="C105" s="13">
        <v>47</v>
      </c>
      <c r="D105" s="14">
        <v>58.75</v>
      </c>
      <c r="E105" s="15">
        <v>663</v>
      </c>
      <c r="F105" s="13">
        <v>47</v>
      </c>
      <c r="G105" s="14">
        <v>58.75</v>
      </c>
      <c r="H105" s="15">
        <v>2820</v>
      </c>
      <c r="I105" s="13">
        <v>42</v>
      </c>
      <c r="J105" s="14">
        <v>62.69</v>
      </c>
      <c r="K105" s="15">
        <v>366</v>
      </c>
      <c r="L105" s="16">
        <v>2454</v>
      </c>
    </row>
    <row r="106" spans="1:12">
      <c r="A106" s="11" t="s">
        <v>1180</v>
      </c>
      <c r="B106" s="12" t="s">
        <v>5344</v>
      </c>
      <c r="C106" s="13">
        <v>47</v>
      </c>
      <c r="D106" s="14">
        <v>58.75</v>
      </c>
      <c r="E106" s="15">
        <v>666</v>
      </c>
      <c r="F106" s="13">
        <v>47</v>
      </c>
      <c r="G106" s="14">
        <v>58.75</v>
      </c>
      <c r="H106" s="15">
        <v>2827</v>
      </c>
      <c r="I106" s="13">
        <v>40</v>
      </c>
      <c r="J106" s="14">
        <v>59.7</v>
      </c>
      <c r="K106" s="15">
        <v>433</v>
      </c>
      <c r="L106" s="16">
        <v>2394</v>
      </c>
    </row>
    <row r="107" spans="1:12">
      <c r="A107" s="11" t="s">
        <v>1191</v>
      </c>
      <c r="B107" s="12" t="s">
        <v>5344</v>
      </c>
      <c r="C107" s="13">
        <v>47</v>
      </c>
      <c r="D107" s="14">
        <v>58.75</v>
      </c>
      <c r="E107" s="15">
        <v>667</v>
      </c>
      <c r="F107" s="13">
        <v>47</v>
      </c>
      <c r="G107" s="14">
        <v>58.75</v>
      </c>
      <c r="H107" s="15">
        <v>2833</v>
      </c>
      <c r="I107" s="13">
        <v>40</v>
      </c>
      <c r="J107" s="14">
        <v>59.7</v>
      </c>
      <c r="K107" s="15">
        <v>437</v>
      </c>
      <c r="L107" s="16">
        <v>2396</v>
      </c>
    </row>
    <row r="108" spans="1:12">
      <c r="A108" s="11" t="s">
        <v>1194</v>
      </c>
      <c r="B108" s="12" t="s">
        <v>5344</v>
      </c>
      <c r="C108" s="13">
        <v>47</v>
      </c>
      <c r="D108" s="14">
        <v>58.75</v>
      </c>
      <c r="E108" s="15">
        <v>669</v>
      </c>
      <c r="F108" s="13">
        <v>47</v>
      </c>
      <c r="G108" s="14">
        <v>58.75</v>
      </c>
      <c r="H108" s="15">
        <v>2839</v>
      </c>
      <c r="I108" s="13">
        <v>40</v>
      </c>
      <c r="J108" s="14">
        <v>59.7</v>
      </c>
      <c r="K108" s="15">
        <v>438</v>
      </c>
      <c r="L108" s="16">
        <v>2401</v>
      </c>
    </row>
    <row r="109" spans="1:12">
      <c r="A109" s="11" t="s">
        <v>1203</v>
      </c>
      <c r="B109" s="12" t="s">
        <v>5344</v>
      </c>
      <c r="C109" s="13">
        <v>46</v>
      </c>
      <c r="D109" s="14">
        <v>57.5</v>
      </c>
      <c r="E109" s="15">
        <v>671</v>
      </c>
      <c r="F109" s="13">
        <v>46</v>
      </c>
      <c r="G109" s="14">
        <v>57.5</v>
      </c>
      <c r="H109" s="15">
        <v>2850</v>
      </c>
      <c r="I109" s="13">
        <v>39</v>
      </c>
      <c r="J109" s="14">
        <v>58.21</v>
      </c>
      <c r="K109" s="15">
        <v>441</v>
      </c>
      <c r="L109" s="16">
        <v>2409</v>
      </c>
    </row>
    <row r="110" spans="1:12">
      <c r="A110" s="11" t="s">
        <v>1207</v>
      </c>
      <c r="B110" s="12" t="s">
        <v>5344</v>
      </c>
      <c r="C110" s="13">
        <v>46</v>
      </c>
      <c r="D110" s="14">
        <v>57.5</v>
      </c>
      <c r="E110" s="15">
        <v>673</v>
      </c>
      <c r="F110" s="13">
        <v>46</v>
      </c>
      <c r="G110" s="14">
        <v>57.5</v>
      </c>
      <c r="H110" s="15">
        <v>2852</v>
      </c>
      <c r="I110" s="13">
        <v>39</v>
      </c>
      <c r="J110" s="14">
        <v>58.21</v>
      </c>
      <c r="K110" s="15">
        <v>443</v>
      </c>
      <c r="L110" s="16">
        <v>2409</v>
      </c>
    </row>
    <row r="111" spans="1:12">
      <c r="A111" s="11" t="s">
        <v>781</v>
      </c>
      <c r="B111" s="12" t="s">
        <v>5344</v>
      </c>
      <c r="C111" s="13">
        <v>44</v>
      </c>
      <c r="D111" s="14">
        <v>55</v>
      </c>
      <c r="E111" s="15">
        <v>736</v>
      </c>
      <c r="F111" s="13">
        <v>46</v>
      </c>
      <c r="G111" s="14">
        <v>57.5</v>
      </c>
      <c r="H111" s="15">
        <v>2853</v>
      </c>
      <c r="I111" s="13">
        <v>44</v>
      </c>
      <c r="J111" s="14">
        <v>65.67</v>
      </c>
      <c r="K111" s="15">
        <v>265</v>
      </c>
      <c r="L111" s="16">
        <v>2588</v>
      </c>
    </row>
    <row r="112" spans="1:12">
      <c r="A112" s="11" t="s">
        <v>1216</v>
      </c>
      <c r="B112" s="12" t="s">
        <v>5344</v>
      </c>
      <c r="C112" s="13">
        <v>46</v>
      </c>
      <c r="D112" s="14">
        <v>57.5</v>
      </c>
      <c r="E112" s="15">
        <v>676</v>
      </c>
      <c r="F112" s="13">
        <v>46</v>
      </c>
      <c r="G112" s="14">
        <v>57.5</v>
      </c>
      <c r="H112" s="15">
        <v>2861</v>
      </c>
      <c r="I112" s="13">
        <v>39</v>
      </c>
      <c r="J112" s="14">
        <v>58.21</v>
      </c>
      <c r="K112" s="15">
        <v>446</v>
      </c>
      <c r="L112" s="16">
        <v>2415</v>
      </c>
    </row>
    <row r="113" spans="1:12">
      <c r="A113" s="11" t="s">
        <v>1745</v>
      </c>
      <c r="B113" s="12" t="s">
        <v>5344</v>
      </c>
      <c r="C113" s="13">
        <v>42</v>
      </c>
      <c r="D113" s="14">
        <v>52.5</v>
      </c>
      <c r="E113" s="15">
        <v>1037</v>
      </c>
      <c r="F113" s="13">
        <v>46</v>
      </c>
      <c r="G113" s="14">
        <v>57.5</v>
      </c>
      <c r="H113" s="15">
        <v>2865</v>
      </c>
      <c r="I113" s="13">
        <v>30</v>
      </c>
      <c r="J113" s="14">
        <v>44.78</v>
      </c>
      <c r="K113" s="15">
        <v>642</v>
      </c>
      <c r="L113" s="16">
        <v>2223</v>
      </c>
    </row>
    <row r="114" spans="1:12">
      <c r="A114" s="11" t="s">
        <v>746</v>
      </c>
      <c r="B114" s="12" t="s">
        <v>5345</v>
      </c>
      <c r="C114" s="13">
        <v>46</v>
      </c>
      <c r="D114" s="14">
        <v>57.5</v>
      </c>
      <c r="E114" s="15">
        <v>677</v>
      </c>
      <c r="F114" s="13">
        <v>46</v>
      </c>
      <c r="G114" s="14">
        <v>57.5</v>
      </c>
      <c r="H114" s="15">
        <v>2869</v>
      </c>
      <c r="I114" s="13">
        <v>45</v>
      </c>
      <c r="J114" s="14">
        <v>67.16</v>
      </c>
      <c r="K114" s="15">
        <v>245</v>
      </c>
      <c r="L114" s="16">
        <v>2624</v>
      </c>
    </row>
    <row r="115" spans="1:12">
      <c r="A115" s="11" t="s">
        <v>1577</v>
      </c>
      <c r="B115" s="12" t="s">
        <v>5344</v>
      </c>
      <c r="C115" s="13">
        <v>46</v>
      </c>
      <c r="D115" s="14">
        <v>57.5</v>
      </c>
      <c r="E115" s="15">
        <v>678</v>
      </c>
      <c r="F115" s="13">
        <v>46</v>
      </c>
      <c r="G115" s="14">
        <v>57.5</v>
      </c>
      <c r="H115" s="15">
        <v>2874</v>
      </c>
      <c r="I115" s="13">
        <v>33</v>
      </c>
      <c r="J115" s="14">
        <v>49.25</v>
      </c>
      <c r="K115" s="15">
        <v>577</v>
      </c>
      <c r="L115" s="16">
        <v>2297</v>
      </c>
    </row>
    <row r="116" spans="1:12">
      <c r="A116" s="11" t="s">
        <v>1251</v>
      </c>
      <c r="B116" s="12" t="s">
        <v>5344</v>
      </c>
      <c r="C116" s="13">
        <v>46</v>
      </c>
      <c r="D116" s="14">
        <v>57.5</v>
      </c>
      <c r="E116" s="15">
        <v>679</v>
      </c>
      <c r="F116" s="13">
        <v>46</v>
      </c>
      <c r="G116" s="14">
        <v>57.5</v>
      </c>
      <c r="H116" s="15">
        <v>2876</v>
      </c>
      <c r="I116" s="13">
        <v>39</v>
      </c>
      <c r="J116" s="14">
        <v>58.21</v>
      </c>
      <c r="K116" s="15">
        <v>458</v>
      </c>
      <c r="L116" s="16">
        <v>2418</v>
      </c>
    </row>
    <row r="117" spans="1:12">
      <c r="A117" s="11" t="s">
        <v>1254</v>
      </c>
      <c r="B117" s="12" t="s">
        <v>5344</v>
      </c>
      <c r="C117" s="13">
        <v>46</v>
      </c>
      <c r="D117" s="14">
        <v>57.5</v>
      </c>
      <c r="E117" s="15">
        <v>680</v>
      </c>
      <c r="F117" s="13">
        <v>46</v>
      </c>
      <c r="G117" s="14">
        <v>57.5</v>
      </c>
      <c r="H117" s="15">
        <v>2878</v>
      </c>
      <c r="I117" s="13">
        <v>39</v>
      </c>
      <c r="J117" s="14">
        <v>58.21</v>
      </c>
      <c r="K117" s="15">
        <v>459</v>
      </c>
      <c r="L117" s="16">
        <v>2419</v>
      </c>
    </row>
    <row r="118" spans="1:12">
      <c r="A118" s="11" t="s">
        <v>209</v>
      </c>
      <c r="B118" s="12" t="s">
        <v>95</v>
      </c>
      <c r="C118" s="13">
        <v>63</v>
      </c>
      <c r="D118" s="14">
        <v>78.75</v>
      </c>
      <c r="E118" s="15">
        <v>20</v>
      </c>
      <c r="F118" s="13">
        <v>46</v>
      </c>
      <c r="G118" s="14">
        <v>57.5</v>
      </c>
      <c r="H118" s="15">
        <v>2884</v>
      </c>
      <c r="I118" s="13">
        <v>44</v>
      </c>
      <c r="J118" s="14">
        <v>65.67</v>
      </c>
      <c r="K118" s="15">
        <v>303</v>
      </c>
      <c r="L118" s="16">
        <v>2864</v>
      </c>
    </row>
    <row r="119" spans="1:12">
      <c r="A119" s="11" t="s">
        <v>1266</v>
      </c>
      <c r="B119" s="12" t="s">
        <v>5344</v>
      </c>
      <c r="C119" s="13">
        <v>45</v>
      </c>
      <c r="D119" s="14">
        <v>56.25</v>
      </c>
      <c r="E119" s="15">
        <v>684</v>
      </c>
      <c r="F119" s="13">
        <v>45</v>
      </c>
      <c r="G119" s="14">
        <v>56.25</v>
      </c>
      <c r="H119" s="15">
        <v>2894</v>
      </c>
      <c r="I119" s="13">
        <v>38</v>
      </c>
      <c r="J119" s="14">
        <v>56.72</v>
      </c>
      <c r="K119" s="15">
        <v>463</v>
      </c>
      <c r="L119" s="16">
        <v>2431</v>
      </c>
    </row>
    <row r="120" spans="1:12">
      <c r="A120" s="11" t="s">
        <v>1138</v>
      </c>
      <c r="B120" s="12" t="s">
        <v>5345</v>
      </c>
      <c r="C120" s="13">
        <v>45</v>
      </c>
      <c r="D120" s="14">
        <v>56.25</v>
      </c>
      <c r="E120" s="15">
        <v>685</v>
      </c>
      <c r="F120" s="13">
        <v>45</v>
      </c>
      <c r="G120" s="14">
        <v>56.25</v>
      </c>
      <c r="H120" s="15">
        <v>2898</v>
      </c>
      <c r="I120" s="13">
        <v>40</v>
      </c>
      <c r="J120" s="14">
        <v>59.7</v>
      </c>
      <c r="K120" s="15">
        <v>416</v>
      </c>
      <c r="L120" s="16">
        <v>2482</v>
      </c>
    </row>
    <row r="121" spans="1:12">
      <c r="A121" s="11" t="s">
        <v>1276</v>
      </c>
      <c r="B121" s="12" t="s">
        <v>5344</v>
      </c>
      <c r="C121" s="13">
        <v>45</v>
      </c>
      <c r="D121" s="14">
        <v>56.25</v>
      </c>
      <c r="E121" s="15">
        <v>687</v>
      </c>
      <c r="F121" s="13">
        <v>45</v>
      </c>
      <c r="G121" s="14">
        <v>56.25</v>
      </c>
      <c r="H121" s="15">
        <v>2902</v>
      </c>
      <c r="I121" s="13">
        <v>38</v>
      </c>
      <c r="J121" s="14">
        <v>56.72</v>
      </c>
      <c r="K121" s="15">
        <v>467</v>
      </c>
      <c r="L121" s="16">
        <v>2435</v>
      </c>
    </row>
    <row r="122" spans="1:12">
      <c r="A122" s="11" t="s">
        <v>1284</v>
      </c>
      <c r="B122" s="12" t="s">
        <v>5344</v>
      </c>
      <c r="C122" s="13">
        <v>45</v>
      </c>
      <c r="D122" s="14">
        <v>56.25</v>
      </c>
      <c r="E122" s="15">
        <v>688</v>
      </c>
      <c r="F122" s="13">
        <v>45</v>
      </c>
      <c r="G122" s="14">
        <v>56.25</v>
      </c>
      <c r="H122" s="15">
        <v>2905</v>
      </c>
      <c r="I122" s="13">
        <v>38</v>
      </c>
      <c r="J122" s="14">
        <v>56.72</v>
      </c>
      <c r="K122" s="15">
        <v>470</v>
      </c>
      <c r="L122" s="16">
        <v>2435</v>
      </c>
    </row>
    <row r="123" spans="1:12">
      <c r="A123" s="11" t="s">
        <v>1297</v>
      </c>
      <c r="B123" s="12" t="s">
        <v>5344</v>
      </c>
      <c r="C123" s="13">
        <v>45</v>
      </c>
      <c r="D123" s="14">
        <v>56.25</v>
      </c>
      <c r="E123" s="15">
        <v>691</v>
      </c>
      <c r="F123" s="13">
        <v>45</v>
      </c>
      <c r="G123" s="14">
        <v>56.25</v>
      </c>
      <c r="H123" s="15">
        <v>2917</v>
      </c>
      <c r="I123" s="13">
        <v>38</v>
      </c>
      <c r="J123" s="14">
        <v>56.72</v>
      </c>
      <c r="K123" s="15">
        <v>475</v>
      </c>
      <c r="L123" s="16">
        <v>2442</v>
      </c>
    </row>
    <row r="124" spans="1:12">
      <c r="A124" s="11" t="s">
        <v>1300</v>
      </c>
      <c r="B124" s="12" t="s">
        <v>5344</v>
      </c>
      <c r="C124" s="13">
        <v>45</v>
      </c>
      <c r="D124" s="14">
        <v>56.25</v>
      </c>
      <c r="E124" s="15">
        <v>692</v>
      </c>
      <c r="F124" s="13">
        <v>45</v>
      </c>
      <c r="G124" s="14">
        <v>56.25</v>
      </c>
      <c r="H124" s="15">
        <v>2919</v>
      </c>
      <c r="I124" s="13">
        <v>38</v>
      </c>
      <c r="J124" s="14">
        <v>56.72</v>
      </c>
      <c r="K124" s="15">
        <v>476</v>
      </c>
      <c r="L124" s="16">
        <v>2443</v>
      </c>
    </row>
    <row r="125" spans="1:12">
      <c r="A125" s="11" t="s">
        <v>1311</v>
      </c>
      <c r="B125" s="12" t="s">
        <v>5344</v>
      </c>
      <c r="C125" s="13">
        <v>45</v>
      </c>
      <c r="D125" s="14">
        <v>56.25</v>
      </c>
      <c r="E125" s="15">
        <v>693</v>
      </c>
      <c r="F125" s="13">
        <v>45</v>
      </c>
      <c r="G125" s="14">
        <v>56.25</v>
      </c>
      <c r="H125" s="15">
        <v>2924</v>
      </c>
      <c r="I125" s="13">
        <v>38</v>
      </c>
      <c r="J125" s="14">
        <v>56.72</v>
      </c>
      <c r="K125" s="15">
        <v>480</v>
      </c>
      <c r="L125" s="16">
        <v>2444</v>
      </c>
    </row>
    <row r="126" spans="1:12">
      <c r="A126" s="11" t="s">
        <v>1314</v>
      </c>
      <c r="B126" s="12" t="s">
        <v>5344</v>
      </c>
      <c r="C126" s="13">
        <v>45</v>
      </c>
      <c r="D126" s="14">
        <v>56.25</v>
      </c>
      <c r="E126" s="15">
        <v>694</v>
      </c>
      <c r="F126" s="13">
        <v>45</v>
      </c>
      <c r="G126" s="14">
        <v>56.25</v>
      </c>
      <c r="H126" s="15">
        <v>2926</v>
      </c>
      <c r="I126" s="13">
        <v>38</v>
      </c>
      <c r="J126" s="14">
        <v>56.72</v>
      </c>
      <c r="K126" s="15">
        <v>481</v>
      </c>
      <c r="L126" s="16">
        <v>2445</v>
      </c>
    </row>
    <row r="127" spans="1:12">
      <c r="A127" s="11" t="s">
        <v>156</v>
      </c>
      <c r="B127" s="12" t="s">
        <v>95</v>
      </c>
      <c r="C127" s="13">
        <v>80</v>
      </c>
      <c r="D127" s="14">
        <v>100</v>
      </c>
      <c r="E127" s="15">
        <v>1</v>
      </c>
      <c r="F127" s="13">
        <v>44</v>
      </c>
      <c r="G127" s="14">
        <v>55</v>
      </c>
      <c r="H127" s="15">
        <v>2963</v>
      </c>
      <c r="I127" s="13">
        <v>39</v>
      </c>
      <c r="J127" s="14">
        <v>58.21</v>
      </c>
      <c r="K127" s="15">
        <v>442</v>
      </c>
      <c r="L127" s="16">
        <v>2962</v>
      </c>
    </row>
    <row r="128" spans="1:12">
      <c r="A128" s="11" t="s">
        <v>1325</v>
      </c>
      <c r="B128" s="12" t="s">
        <v>5344</v>
      </c>
      <c r="C128" s="13">
        <v>44</v>
      </c>
      <c r="D128" s="14">
        <v>55</v>
      </c>
      <c r="E128" s="15">
        <v>754</v>
      </c>
      <c r="F128" s="13">
        <v>44</v>
      </c>
      <c r="G128" s="14">
        <v>55</v>
      </c>
      <c r="H128" s="15">
        <v>3017</v>
      </c>
      <c r="I128" s="13">
        <v>37</v>
      </c>
      <c r="J128" s="14">
        <v>55.22</v>
      </c>
      <c r="K128" s="15">
        <v>485</v>
      </c>
      <c r="L128" s="16">
        <v>2532</v>
      </c>
    </row>
    <row r="129" spans="1:12">
      <c r="A129" s="11" t="s">
        <v>1219</v>
      </c>
      <c r="B129" s="12" t="s">
        <v>5345</v>
      </c>
      <c r="C129" s="13">
        <v>44</v>
      </c>
      <c r="D129" s="14">
        <v>55</v>
      </c>
      <c r="E129" s="15">
        <v>782</v>
      </c>
      <c r="F129" s="13">
        <v>44</v>
      </c>
      <c r="G129" s="14">
        <v>55</v>
      </c>
      <c r="H129" s="15">
        <v>3058</v>
      </c>
      <c r="I129" s="13">
        <v>39</v>
      </c>
      <c r="J129" s="14">
        <v>58.21</v>
      </c>
      <c r="K129" s="15">
        <v>447</v>
      </c>
      <c r="L129" s="16">
        <v>2611</v>
      </c>
    </row>
    <row r="130" spans="1:12">
      <c r="A130" s="11" t="s">
        <v>1327</v>
      </c>
      <c r="B130" s="12" t="s">
        <v>5344</v>
      </c>
      <c r="C130" s="13">
        <v>44</v>
      </c>
      <c r="D130" s="14">
        <v>55</v>
      </c>
      <c r="E130" s="15">
        <v>796</v>
      </c>
      <c r="F130" s="13">
        <v>44</v>
      </c>
      <c r="G130" s="14">
        <v>55</v>
      </c>
      <c r="H130" s="15">
        <v>3079</v>
      </c>
      <c r="I130" s="13">
        <v>37</v>
      </c>
      <c r="J130" s="14">
        <v>55.22</v>
      </c>
      <c r="K130" s="15">
        <v>486</v>
      </c>
      <c r="L130" s="16">
        <v>2593</v>
      </c>
    </row>
    <row r="131" spans="1:12">
      <c r="A131" s="11" t="s">
        <v>1330</v>
      </c>
      <c r="B131" s="12" t="s">
        <v>5344</v>
      </c>
      <c r="C131" s="13">
        <v>44</v>
      </c>
      <c r="D131" s="14">
        <v>55</v>
      </c>
      <c r="E131" s="15">
        <v>802</v>
      </c>
      <c r="F131" s="13">
        <v>44</v>
      </c>
      <c r="G131" s="14">
        <v>55</v>
      </c>
      <c r="H131" s="15">
        <v>3090</v>
      </c>
      <c r="I131" s="13">
        <v>37</v>
      </c>
      <c r="J131" s="14">
        <v>55.22</v>
      </c>
      <c r="K131" s="15">
        <v>487</v>
      </c>
      <c r="L131" s="16">
        <v>2603</v>
      </c>
    </row>
    <row r="132" spans="1:12">
      <c r="A132" s="11" t="s">
        <v>1345</v>
      </c>
      <c r="B132" s="12" t="s">
        <v>5344</v>
      </c>
      <c r="C132" s="13">
        <v>44</v>
      </c>
      <c r="D132" s="14">
        <v>55</v>
      </c>
      <c r="E132" s="15">
        <v>841</v>
      </c>
      <c r="F132" s="13">
        <v>44</v>
      </c>
      <c r="G132" s="14">
        <v>55</v>
      </c>
      <c r="H132" s="15">
        <v>3179</v>
      </c>
      <c r="I132" s="13">
        <v>37</v>
      </c>
      <c r="J132" s="14">
        <v>55.22</v>
      </c>
      <c r="K132" s="15">
        <v>492</v>
      </c>
      <c r="L132" s="16">
        <v>2687</v>
      </c>
    </row>
    <row r="133" spans="1:12">
      <c r="A133" s="11" t="s">
        <v>470</v>
      </c>
      <c r="B133" s="12" t="s">
        <v>5345</v>
      </c>
      <c r="C133" s="13">
        <v>43</v>
      </c>
      <c r="D133" s="14">
        <v>53.75</v>
      </c>
      <c r="E133" s="15">
        <v>1006</v>
      </c>
      <c r="F133" s="13">
        <v>44</v>
      </c>
      <c r="G133" s="14">
        <v>55</v>
      </c>
      <c r="H133" s="15">
        <v>3189</v>
      </c>
      <c r="I133" s="13">
        <v>51</v>
      </c>
      <c r="J133" s="14">
        <v>76.12</v>
      </c>
      <c r="K133" s="15">
        <v>117</v>
      </c>
      <c r="L133" s="16">
        <v>3072</v>
      </c>
    </row>
    <row r="134" spans="1:12">
      <c r="A134" s="11" t="s">
        <v>1353</v>
      </c>
      <c r="B134" s="12" t="s">
        <v>5344</v>
      </c>
      <c r="C134" s="13">
        <v>44</v>
      </c>
      <c r="D134" s="14">
        <v>55</v>
      </c>
      <c r="E134" s="15">
        <v>886</v>
      </c>
      <c r="F134" s="13">
        <v>44</v>
      </c>
      <c r="G134" s="14">
        <v>55</v>
      </c>
      <c r="H134" s="15">
        <v>3244</v>
      </c>
      <c r="I134" s="13">
        <v>37</v>
      </c>
      <c r="J134" s="14">
        <v>55.22</v>
      </c>
      <c r="K134" s="15">
        <v>495</v>
      </c>
      <c r="L134" s="16">
        <v>2749</v>
      </c>
    </row>
    <row r="135" spans="1:12">
      <c r="A135" s="11" t="s">
        <v>226</v>
      </c>
      <c r="B135" s="12" t="s">
        <v>95</v>
      </c>
      <c r="C135" s="13">
        <v>60</v>
      </c>
      <c r="D135" s="14">
        <v>75</v>
      </c>
      <c r="E135" s="15">
        <v>27</v>
      </c>
      <c r="F135" s="13">
        <v>43</v>
      </c>
      <c r="G135" s="14">
        <v>53.75</v>
      </c>
      <c r="H135" s="15">
        <v>3426</v>
      </c>
      <c r="I135" s="13">
        <v>41</v>
      </c>
      <c r="J135" s="14">
        <v>61.19</v>
      </c>
      <c r="K135" s="15">
        <v>377</v>
      </c>
      <c r="L135" s="16">
        <v>3399</v>
      </c>
    </row>
    <row r="136" spans="1:12">
      <c r="A136" s="11" t="s">
        <v>1417</v>
      </c>
      <c r="B136" s="12" t="s">
        <v>5344</v>
      </c>
      <c r="C136" s="13">
        <v>43</v>
      </c>
      <c r="D136" s="14">
        <v>53.75</v>
      </c>
      <c r="E136" s="15">
        <v>1007</v>
      </c>
      <c r="F136" s="13">
        <v>43</v>
      </c>
      <c r="G136" s="14">
        <v>53.75</v>
      </c>
      <c r="H136" s="15">
        <v>3512</v>
      </c>
      <c r="I136" s="13">
        <v>36</v>
      </c>
      <c r="J136" s="14">
        <v>53.73</v>
      </c>
      <c r="K136" s="15">
        <v>517</v>
      </c>
      <c r="L136" s="16">
        <v>2995</v>
      </c>
    </row>
    <row r="137" spans="1:12">
      <c r="A137" s="11" t="s">
        <v>1420</v>
      </c>
      <c r="B137" s="12" t="s">
        <v>5344</v>
      </c>
      <c r="C137" s="13">
        <v>43</v>
      </c>
      <c r="D137" s="14">
        <v>53.75</v>
      </c>
      <c r="E137" s="15">
        <v>1008</v>
      </c>
      <c r="F137" s="13">
        <v>43</v>
      </c>
      <c r="G137" s="14">
        <v>53.75</v>
      </c>
      <c r="H137" s="15">
        <v>3515</v>
      </c>
      <c r="I137" s="13">
        <v>36</v>
      </c>
      <c r="J137" s="14">
        <v>53.73</v>
      </c>
      <c r="K137" s="15">
        <v>518</v>
      </c>
      <c r="L137" s="16">
        <v>2997</v>
      </c>
    </row>
    <row r="138" spans="1:12">
      <c r="A138" s="11" t="s">
        <v>1826</v>
      </c>
      <c r="B138" s="12" t="s">
        <v>99</v>
      </c>
      <c r="C138" s="13">
        <v>26</v>
      </c>
      <c r="D138" s="14">
        <v>32.5</v>
      </c>
      <c r="E138" s="15">
        <v>1242</v>
      </c>
      <c r="F138" s="13">
        <v>43</v>
      </c>
      <c r="G138" s="14">
        <v>53.75</v>
      </c>
      <c r="H138" s="15">
        <v>3534</v>
      </c>
      <c r="I138" s="13">
        <v>24</v>
      </c>
      <c r="J138" s="14">
        <v>35.82</v>
      </c>
      <c r="K138" s="15">
        <v>680</v>
      </c>
      <c r="L138" s="16">
        <v>2854</v>
      </c>
    </row>
    <row r="139" spans="1:12">
      <c r="A139" s="11" t="s">
        <v>1425</v>
      </c>
      <c r="B139" s="12" t="s">
        <v>5344</v>
      </c>
      <c r="C139" s="13">
        <v>43</v>
      </c>
      <c r="D139" s="14">
        <v>53.75</v>
      </c>
      <c r="E139" s="15">
        <v>1016</v>
      </c>
      <c r="F139" s="13">
        <v>43</v>
      </c>
      <c r="G139" s="14">
        <v>53.75</v>
      </c>
      <c r="H139" s="15">
        <v>3553</v>
      </c>
      <c r="I139" s="13">
        <v>36</v>
      </c>
      <c r="J139" s="14">
        <v>53.73</v>
      </c>
      <c r="K139" s="15">
        <v>520</v>
      </c>
      <c r="L139" s="16">
        <v>3033</v>
      </c>
    </row>
    <row r="140" spans="1:12">
      <c r="A140" s="11" t="s">
        <v>253</v>
      </c>
      <c r="B140" s="12" t="s">
        <v>95</v>
      </c>
      <c r="C140" s="13">
        <v>59</v>
      </c>
      <c r="D140" s="14">
        <v>73.75</v>
      </c>
      <c r="E140" s="15">
        <v>37</v>
      </c>
      <c r="F140" s="13">
        <v>42</v>
      </c>
      <c r="G140" s="14">
        <v>52.5</v>
      </c>
      <c r="H140" s="15">
        <v>3599</v>
      </c>
      <c r="I140" s="13">
        <v>40</v>
      </c>
      <c r="J140" s="14">
        <v>59.7</v>
      </c>
      <c r="K140" s="15">
        <v>405</v>
      </c>
      <c r="L140" s="16">
        <v>3562</v>
      </c>
    </row>
    <row r="141" spans="1:12">
      <c r="A141" s="11" t="s">
        <v>262</v>
      </c>
      <c r="B141" s="12" t="s">
        <v>95</v>
      </c>
      <c r="C141" s="13">
        <v>59</v>
      </c>
      <c r="D141" s="14">
        <v>73.75</v>
      </c>
      <c r="E141" s="15">
        <v>40</v>
      </c>
      <c r="F141" s="13">
        <v>42</v>
      </c>
      <c r="G141" s="14">
        <v>52.5</v>
      </c>
      <c r="H141" s="15">
        <v>3621</v>
      </c>
      <c r="I141" s="13">
        <v>40</v>
      </c>
      <c r="J141" s="14">
        <v>59.7</v>
      </c>
      <c r="K141" s="15">
        <v>410</v>
      </c>
      <c r="L141" s="16">
        <v>3581</v>
      </c>
    </row>
    <row r="142" spans="1:12">
      <c r="A142" s="11" t="s">
        <v>277</v>
      </c>
      <c r="B142" s="12" t="s">
        <v>95</v>
      </c>
      <c r="C142" s="13">
        <v>59</v>
      </c>
      <c r="D142" s="14">
        <v>73.75</v>
      </c>
      <c r="E142" s="15">
        <v>45</v>
      </c>
      <c r="F142" s="13">
        <v>42</v>
      </c>
      <c r="G142" s="14">
        <v>52.5</v>
      </c>
      <c r="H142" s="15">
        <v>3666</v>
      </c>
      <c r="I142" s="13">
        <v>40</v>
      </c>
      <c r="J142" s="14">
        <v>59.7</v>
      </c>
      <c r="K142" s="15">
        <v>420</v>
      </c>
      <c r="L142" s="16">
        <v>3621</v>
      </c>
    </row>
    <row r="143" spans="1:12">
      <c r="A143" s="11" t="s">
        <v>957</v>
      </c>
      <c r="B143" s="12" t="s">
        <v>5348</v>
      </c>
      <c r="C143" s="13">
        <v>42</v>
      </c>
      <c r="D143" s="14">
        <v>52.5</v>
      </c>
      <c r="E143" s="15">
        <v>1038</v>
      </c>
      <c r="F143" s="13">
        <v>42</v>
      </c>
      <c r="G143" s="14">
        <v>52.5</v>
      </c>
      <c r="H143" s="15">
        <v>3680</v>
      </c>
      <c r="I143" s="13">
        <v>42</v>
      </c>
      <c r="J143" s="14">
        <v>62.69</v>
      </c>
      <c r="K143" s="15">
        <v>349</v>
      </c>
      <c r="L143" s="16">
        <v>3331</v>
      </c>
    </row>
    <row r="144" spans="1:12">
      <c r="A144" s="11" t="s">
        <v>1287</v>
      </c>
      <c r="B144" s="12" t="s">
        <v>5345</v>
      </c>
      <c r="C144" s="13">
        <v>42</v>
      </c>
      <c r="D144" s="14">
        <v>52.5</v>
      </c>
      <c r="E144" s="15">
        <v>1040</v>
      </c>
      <c r="F144" s="13">
        <v>42</v>
      </c>
      <c r="G144" s="14">
        <v>52.5</v>
      </c>
      <c r="H144" s="15">
        <v>3686</v>
      </c>
      <c r="I144" s="13">
        <v>38</v>
      </c>
      <c r="J144" s="14">
        <v>56.72</v>
      </c>
      <c r="K144" s="15">
        <v>471</v>
      </c>
      <c r="L144" s="16">
        <v>3215</v>
      </c>
    </row>
    <row r="145" spans="1:12">
      <c r="A145" s="11" t="s">
        <v>1835</v>
      </c>
      <c r="B145" s="12" t="s">
        <v>99</v>
      </c>
      <c r="C145" s="13">
        <v>26</v>
      </c>
      <c r="D145" s="14">
        <v>32.5</v>
      </c>
      <c r="E145" s="15">
        <v>1241</v>
      </c>
      <c r="F145" s="13">
        <v>42</v>
      </c>
      <c r="G145" s="14">
        <v>52.5</v>
      </c>
      <c r="H145" s="15">
        <v>3699</v>
      </c>
      <c r="I145" s="13">
        <v>23</v>
      </c>
      <c r="J145" s="14">
        <v>34.33</v>
      </c>
      <c r="K145" s="15">
        <v>683</v>
      </c>
      <c r="L145" s="16">
        <v>3016</v>
      </c>
    </row>
    <row r="146" spans="1:12">
      <c r="A146" s="11" t="s">
        <v>1473</v>
      </c>
      <c r="B146" s="12" t="s">
        <v>5347</v>
      </c>
      <c r="C146" s="13">
        <v>40</v>
      </c>
      <c r="D146" s="14">
        <v>50</v>
      </c>
      <c r="E146" s="15">
        <v>1080</v>
      </c>
      <c r="F146" s="13">
        <v>42</v>
      </c>
      <c r="G146" s="14">
        <v>52.5</v>
      </c>
      <c r="H146" s="15">
        <v>3731</v>
      </c>
      <c r="I146" s="13">
        <v>35</v>
      </c>
      <c r="J146" s="14">
        <v>52.24</v>
      </c>
      <c r="K146" s="15">
        <v>538</v>
      </c>
      <c r="L146" s="16">
        <v>3193</v>
      </c>
    </row>
    <row r="147" spans="1:12">
      <c r="A147" s="11" t="s">
        <v>290</v>
      </c>
      <c r="B147" s="12" t="s">
        <v>95</v>
      </c>
      <c r="C147" s="13">
        <v>59</v>
      </c>
      <c r="D147" s="14">
        <v>73.75</v>
      </c>
      <c r="E147" s="15">
        <v>50</v>
      </c>
      <c r="F147" s="13">
        <v>42</v>
      </c>
      <c r="G147" s="14">
        <v>52.5</v>
      </c>
      <c r="H147" s="15">
        <v>3733</v>
      </c>
      <c r="I147" s="13">
        <v>40</v>
      </c>
      <c r="J147" s="14">
        <v>59.7</v>
      </c>
      <c r="K147" s="15">
        <v>431</v>
      </c>
      <c r="L147" s="16">
        <v>3683</v>
      </c>
    </row>
    <row r="148" spans="1:12">
      <c r="A148" s="11" t="s">
        <v>1837</v>
      </c>
      <c r="B148" s="12" t="s">
        <v>99</v>
      </c>
      <c r="C148" s="13">
        <v>25</v>
      </c>
      <c r="D148" s="14">
        <v>31.25</v>
      </c>
      <c r="E148" s="15">
        <v>1243</v>
      </c>
      <c r="F148" s="13">
        <v>42</v>
      </c>
      <c r="G148" s="14">
        <v>52.5</v>
      </c>
      <c r="H148" s="15">
        <v>3762</v>
      </c>
      <c r="I148" s="13">
        <v>23</v>
      </c>
      <c r="J148" s="14">
        <v>34.33</v>
      </c>
      <c r="K148" s="15">
        <v>684</v>
      </c>
      <c r="L148" s="16">
        <v>3078</v>
      </c>
    </row>
    <row r="149" spans="1:12">
      <c r="A149" s="11" t="s">
        <v>1372</v>
      </c>
      <c r="B149" s="12" t="s">
        <v>5345</v>
      </c>
      <c r="C149" s="13">
        <v>42</v>
      </c>
      <c r="D149" s="14">
        <v>52.5</v>
      </c>
      <c r="E149" s="15">
        <v>1051</v>
      </c>
      <c r="F149" s="13">
        <v>42</v>
      </c>
      <c r="G149" s="14">
        <v>52.5</v>
      </c>
      <c r="H149" s="15">
        <v>3772</v>
      </c>
      <c r="I149" s="13">
        <v>37</v>
      </c>
      <c r="J149" s="14">
        <v>55.22</v>
      </c>
      <c r="K149" s="15">
        <v>502</v>
      </c>
      <c r="L149" s="16">
        <v>3270</v>
      </c>
    </row>
    <row r="150" spans="1:12">
      <c r="A150" s="11" t="s">
        <v>1492</v>
      </c>
      <c r="B150" s="12" t="s">
        <v>5344</v>
      </c>
      <c r="C150" s="13">
        <v>42</v>
      </c>
      <c r="D150" s="14">
        <v>52.5</v>
      </c>
      <c r="E150" s="15">
        <v>1055</v>
      </c>
      <c r="F150" s="13">
        <v>42</v>
      </c>
      <c r="G150" s="14">
        <v>52.5</v>
      </c>
      <c r="H150" s="15">
        <v>3789</v>
      </c>
      <c r="I150" s="13">
        <v>35</v>
      </c>
      <c r="J150" s="14">
        <v>52.24</v>
      </c>
      <c r="K150" s="15">
        <v>545</v>
      </c>
      <c r="L150" s="16">
        <v>3244</v>
      </c>
    </row>
    <row r="151" spans="1:12">
      <c r="A151" s="11" t="s">
        <v>1500</v>
      </c>
      <c r="B151" s="12" t="s">
        <v>5344</v>
      </c>
      <c r="C151" s="13">
        <v>41</v>
      </c>
      <c r="D151" s="14">
        <v>51.25</v>
      </c>
      <c r="E151" s="15">
        <v>1058</v>
      </c>
      <c r="F151" s="13">
        <v>41</v>
      </c>
      <c r="G151" s="14">
        <v>51.25</v>
      </c>
      <c r="H151" s="15">
        <v>3816</v>
      </c>
      <c r="I151" s="13">
        <v>34</v>
      </c>
      <c r="J151" s="14">
        <v>50.75</v>
      </c>
      <c r="K151" s="15">
        <v>548</v>
      </c>
      <c r="L151" s="16">
        <v>3268</v>
      </c>
    </row>
    <row r="152" spans="1:12">
      <c r="A152" s="11" t="s">
        <v>824</v>
      </c>
      <c r="B152" s="12" t="s">
        <v>5348</v>
      </c>
      <c r="C152" s="13">
        <v>35</v>
      </c>
      <c r="D152" s="14">
        <v>43.75</v>
      </c>
      <c r="E152" s="15">
        <v>1194</v>
      </c>
      <c r="F152" s="13">
        <v>41</v>
      </c>
      <c r="G152" s="14">
        <v>51.25</v>
      </c>
      <c r="H152" s="15">
        <v>3849</v>
      </c>
      <c r="I152" s="13">
        <v>44</v>
      </c>
      <c r="J152" s="14">
        <v>65.67</v>
      </c>
      <c r="K152" s="15">
        <v>286</v>
      </c>
      <c r="L152" s="16">
        <v>3563</v>
      </c>
    </row>
    <row r="153" spans="1:12">
      <c r="A153" s="11" t="s">
        <v>1531</v>
      </c>
      <c r="B153" s="12" t="s">
        <v>5344</v>
      </c>
      <c r="C153" s="13">
        <v>41</v>
      </c>
      <c r="D153" s="14">
        <v>51.25</v>
      </c>
      <c r="E153" s="15">
        <v>1066</v>
      </c>
      <c r="F153" s="13">
        <v>41</v>
      </c>
      <c r="G153" s="14">
        <v>51.25</v>
      </c>
      <c r="H153" s="15">
        <v>3887</v>
      </c>
      <c r="I153" s="13">
        <v>34</v>
      </c>
      <c r="J153" s="14">
        <v>50.75</v>
      </c>
      <c r="K153" s="15">
        <v>560</v>
      </c>
      <c r="L153" s="16">
        <v>3327</v>
      </c>
    </row>
    <row r="154" spans="1:12">
      <c r="A154" s="11" t="s">
        <v>1095</v>
      </c>
      <c r="B154" s="12" t="s">
        <v>5348</v>
      </c>
      <c r="C154" s="13">
        <v>41</v>
      </c>
      <c r="D154" s="14">
        <v>51.25</v>
      </c>
      <c r="E154" s="15">
        <v>1068</v>
      </c>
      <c r="F154" s="13">
        <v>41</v>
      </c>
      <c r="G154" s="14">
        <v>51.25</v>
      </c>
      <c r="H154" s="15">
        <v>3889</v>
      </c>
      <c r="I154" s="13">
        <v>41</v>
      </c>
      <c r="J154" s="14">
        <v>61.19</v>
      </c>
      <c r="K154" s="15">
        <v>400</v>
      </c>
      <c r="L154" s="16">
        <v>3489</v>
      </c>
    </row>
    <row r="155" spans="1:12">
      <c r="A155" s="11" t="s">
        <v>1375</v>
      </c>
      <c r="B155" s="12" t="s">
        <v>5345</v>
      </c>
      <c r="C155" s="13">
        <v>41</v>
      </c>
      <c r="D155" s="14">
        <v>51.25</v>
      </c>
      <c r="E155" s="15">
        <v>1070</v>
      </c>
      <c r="F155" s="13">
        <v>41</v>
      </c>
      <c r="G155" s="14">
        <v>51.25</v>
      </c>
      <c r="H155" s="15">
        <v>3894</v>
      </c>
      <c r="I155" s="13">
        <v>37</v>
      </c>
      <c r="J155" s="14">
        <v>55.22</v>
      </c>
      <c r="K155" s="15">
        <v>503</v>
      </c>
      <c r="L155" s="16">
        <v>3391</v>
      </c>
    </row>
    <row r="156" spans="1:12">
      <c r="A156" s="11" t="s">
        <v>1587</v>
      </c>
      <c r="B156" s="12" t="s">
        <v>5344</v>
      </c>
      <c r="C156" s="13">
        <v>40</v>
      </c>
      <c r="D156" s="14">
        <v>50</v>
      </c>
      <c r="E156" s="15">
        <v>1083</v>
      </c>
      <c r="F156" s="13">
        <v>40</v>
      </c>
      <c r="G156" s="14">
        <v>50</v>
      </c>
      <c r="H156" s="15">
        <v>3936</v>
      </c>
      <c r="I156" s="13">
        <v>33</v>
      </c>
      <c r="J156" s="14">
        <v>49.25</v>
      </c>
      <c r="K156" s="15">
        <v>581</v>
      </c>
      <c r="L156" s="16">
        <v>3355</v>
      </c>
    </row>
    <row r="157" spans="1:12">
      <c r="A157" s="11" t="s">
        <v>1197</v>
      </c>
      <c r="B157" s="12" t="s">
        <v>5348</v>
      </c>
      <c r="C157" s="13">
        <v>40</v>
      </c>
      <c r="D157" s="14">
        <v>50</v>
      </c>
      <c r="E157" s="15">
        <v>1084</v>
      </c>
      <c r="F157" s="13">
        <v>40</v>
      </c>
      <c r="G157" s="14">
        <v>50</v>
      </c>
      <c r="H157" s="15">
        <v>3940</v>
      </c>
      <c r="I157" s="13">
        <v>40</v>
      </c>
      <c r="J157" s="14">
        <v>59.7</v>
      </c>
      <c r="K157" s="15">
        <v>439</v>
      </c>
      <c r="L157" s="16">
        <v>3501</v>
      </c>
    </row>
    <row r="158" spans="1:12">
      <c r="A158" s="11" t="s">
        <v>452</v>
      </c>
      <c r="B158" s="12" t="s">
        <v>5347</v>
      </c>
      <c r="C158" s="13">
        <v>36</v>
      </c>
      <c r="D158" s="14">
        <v>45</v>
      </c>
      <c r="E158" s="15">
        <v>1165</v>
      </c>
      <c r="F158" s="13">
        <v>39</v>
      </c>
      <c r="G158" s="14">
        <v>48.75</v>
      </c>
      <c r="H158" s="15">
        <v>3951</v>
      </c>
      <c r="I158" s="13">
        <v>51</v>
      </c>
      <c r="J158" s="14">
        <v>76.12</v>
      </c>
      <c r="K158" s="15">
        <v>110</v>
      </c>
      <c r="L158" s="16">
        <v>3841</v>
      </c>
    </row>
    <row r="159" spans="1:12">
      <c r="A159" s="11" t="s">
        <v>1508</v>
      </c>
      <c r="B159" s="12" t="s">
        <v>5345</v>
      </c>
      <c r="C159" s="13">
        <v>39</v>
      </c>
      <c r="D159" s="14">
        <v>48.75</v>
      </c>
      <c r="E159" s="15">
        <v>1088</v>
      </c>
      <c r="F159" s="13">
        <v>39</v>
      </c>
      <c r="G159" s="14">
        <v>48.75</v>
      </c>
      <c r="H159" s="15">
        <v>3958</v>
      </c>
      <c r="I159" s="13">
        <v>34</v>
      </c>
      <c r="J159" s="14">
        <v>50.75</v>
      </c>
      <c r="K159" s="15">
        <v>551</v>
      </c>
      <c r="L159" s="16">
        <v>3407</v>
      </c>
    </row>
    <row r="160" spans="1:12">
      <c r="A160" s="11" t="s">
        <v>1742</v>
      </c>
      <c r="B160" s="12" t="s">
        <v>5346</v>
      </c>
      <c r="C160" s="13">
        <v>37</v>
      </c>
      <c r="D160" s="14">
        <v>46.25</v>
      </c>
      <c r="E160" s="15">
        <v>1148</v>
      </c>
      <c r="F160" s="13">
        <v>39</v>
      </c>
      <c r="G160" s="14">
        <v>48.75</v>
      </c>
      <c r="H160" s="15">
        <v>3959</v>
      </c>
      <c r="I160" s="13">
        <v>30</v>
      </c>
      <c r="J160" s="14">
        <v>44.78</v>
      </c>
      <c r="K160" s="15">
        <v>640</v>
      </c>
      <c r="L160" s="16">
        <v>3319</v>
      </c>
    </row>
    <row r="161" spans="1:12">
      <c r="A161" s="11" t="s">
        <v>1620</v>
      </c>
      <c r="B161" s="12" t="s">
        <v>5344</v>
      </c>
      <c r="C161" s="13">
        <v>39</v>
      </c>
      <c r="D161" s="14">
        <v>48.75</v>
      </c>
      <c r="E161" s="15">
        <v>1089</v>
      </c>
      <c r="F161" s="13">
        <v>39</v>
      </c>
      <c r="G161" s="14">
        <v>48.75</v>
      </c>
      <c r="H161" s="15">
        <v>3960</v>
      </c>
      <c r="I161" s="13">
        <v>32</v>
      </c>
      <c r="J161" s="14">
        <v>47.76</v>
      </c>
      <c r="K161" s="15">
        <v>593</v>
      </c>
      <c r="L161" s="16">
        <v>3367</v>
      </c>
    </row>
    <row r="162" spans="1:12">
      <c r="A162" s="11" t="s">
        <v>1643</v>
      </c>
      <c r="B162" s="12" t="s">
        <v>5344</v>
      </c>
      <c r="C162" s="13">
        <v>39</v>
      </c>
      <c r="D162" s="14">
        <v>48.75</v>
      </c>
      <c r="E162" s="15">
        <v>1098</v>
      </c>
      <c r="F162" s="13">
        <v>39</v>
      </c>
      <c r="G162" s="14">
        <v>48.75</v>
      </c>
      <c r="H162" s="15">
        <v>3994</v>
      </c>
      <c r="I162" s="13">
        <v>32</v>
      </c>
      <c r="J162" s="14">
        <v>47.76</v>
      </c>
      <c r="K162" s="15">
        <v>602</v>
      </c>
      <c r="L162" s="16">
        <v>3392</v>
      </c>
    </row>
    <row r="163" spans="1:12">
      <c r="A163" s="11" t="s">
        <v>1541</v>
      </c>
      <c r="B163" s="12" t="s">
        <v>5345</v>
      </c>
      <c r="C163" s="13">
        <v>39</v>
      </c>
      <c r="D163" s="14">
        <v>48.75</v>
      </c>
      <c r="E163" s="15">
        <v>1099</v>
      </c>
      <c r="F163" s="13">
        <v>39</v>
      </c>
      <c r="G163" s="14">
        <v>48.75</v>
      </c>
      <c r="H163" s="15">
        <v>4002</v>
      </c>
      <c r="I163" s="13">
        <v>34</v>
      </c>
      <c r="J163" s="14">
        <v>50.75</v>
      </c>
      <c r="K163" s="15">
        <v>564</v>
      </c>
      <c r="L163" s="16">
        <v>3438</v>
      </c>
    </row>
    <row r="164" spans="1:12">
      <c r="A164" s="11" t="s">
        <v>1654</v>
      </c>
      <c r="B164" s="12" t="s">
        <v>5344</v>
      </c>
      <c r="C164" s="13">
        <v>39</v>
      </c>
      <c r="D164" s="14">
        <v>48.75</v>
      </c>
      <c r="E164" s="15">
        <v>1101</v>
      </c>
      <c r="F164" s="13">
        <v>39</v>
      </c>
      <c r="G164" s="14">
        <v>48.75</v>
      </c>
      <c r="H164" s="15">
        <v>4005</v>
      </c>
      <c r="I164" s="13">
        <v>32</v>
      </c>
      <c r="J164" s="14">
        <v>47.76</v>
      </c>
      <c r="K164" s="15">
        <v>606</v>
      </c>
      <c r="L164" s="16">
        <v>3399</v>
      </c>
    </row>
    <row r="165" spans="1:12">
      <c r="A165" s="11" t="s">
        <v>1659</v>
      </c>
      <c r="B165" s="12" t="s">
        <v>5344</v>
      </c>
      <c r="C165" s="13">
        <v>38</v>
      </c>
      <c r="D165" s="14">
        <v>47.5</v>
      </c>
      <c r="E165" s="15">
        <v>1106</v>
      </c>
      <c r="F165" s="13">
        <v>38</v>
      </c>
      <c r="G165" s="14">
        <v>47.5</v>
      </c>
      <c r="H165" s="15">
        <v>4068</v>
      </c>
      <c r="I165" s="13">
        <v>31</v>
      </c>
      <c r="J165" s="14">
        <v>46.27</v>
      </c>
      <c r="K165" s="15">
        <v>608</v>
      </c>
      <c r="L165" s="16">
        <v>3460</v>
      </c>
    </row>
    <row r="166" spans="1:12">
      <c r="A166" s="11" t="s">
        <v>1677</v>
      </c>
      <c r="B166" s="12" t="s">
        <v>5344</v>
      </c>
      <c r="C166" s="13">
        <v>38</v>
      </c>
      <c r="D166" s="14">
        <v>47.5</v>
      </c>
      <c r="E166" s="15">
        <v>1111</v>
      </c>
      <c r="F166" s="13">
        <v>38</v>
      </c>
      <c r="G166" s="14">
        <v>47.5</v>
      </c>
      <c r="H166" s="15">
        <v>4174</v>
      </c>
      <c r="I166" s="13">
        <v>31</v>
      </c>
      <c r="J166" s="14">
        <v>46.27</v>
      </c>
      <c r="K166" s="15">
        <v>615</v>
      </c>
      <c r="L166" s="16">
        <v>3559</v>
      </c>
    </row>
    <row r="167" spans="1:12">
      <c r="A167" s="11" t="s">
        <v>1776</v>
      </c>
      <c r="B167" s="12" t="s">
        <v>5346</v>
      </c>
      <c r="C167" s="13">
        <v>36</v>
      </c>
      <c r="D167" s="14">
        <v>45</v>
      </c>
      <c r="E167" s="15">
        <v>1167</v>
      </c>
      <c r="F167" s="13">
        <v>38</v>
      </c>
      <c r="G167" s="14">
        <v>47.5</v>
      </c>
      <c r="H167" s="15">
        <v>4235</v>
      </c>
      <c r="I167" s="13">
        <v>29</v>
      </c>
      <c r="J167" s="14">
        <v>43.28</v>
      </c>
      <c r="K167" s="15">
        <v>656</v>
      </c>
      <c r="L167" s="16">
        <v>3579</v>
      </c>
    </row>
    <row r="168" spans="1:12">
      <c r="A168" s="11" t="s">
        <v>1714</v>
      </c>
      <c r="B168" s="12" t="s">
        <v>5344</v>
      </c>
      <c r="C168" s="13">
        <v>38</v>
      </c>
      <c r="D168" s="14">
        <v>47.5</v>
      </c>
      <c r="E168" s="15">
        <v>1124</v>
      </c>
      <c r="F168" s="13">
        <v>38</v>
      </c>
      <c r="G168" s="14">
        <v>47.5</v>
      </c>
      <c r="H168" s="15">
        <v>4422</v>
      </c>
      <c r="I168" s="13">
        <v>31</v>
      </c>
      <c r="J168" s="14">
        <v>46.27</v>
      </c>
      <c r="K168" s="15">
        <v>628</v>
      </c>
      <c r="L168" s="16">
        <v>3794</v>
      </c>
    </row>
    <row r="169" spans="1:12">
      <c r="A169" s="11" t="s">
        <v>1723</v>
      </c>
      <c r="B169" s="12" t="s">
        <v>5344</v>
      </c>
      <c r="C169" s="13">
        <v>38</v>
      </c>
      <c r="D169" s="14">
        <v>47.5</v>
      </c>
      <c r="E169" s="15">
        <v>1128</v>
      </c>
      <c r="F169" s="13">
        <v>38</v>
      </c>
      <c r="G169" s="14">
        <v>47.5</v>
      </c>
      <c r="H169" s="15">
        <v>4542</v>
      </c>
      <c r="I169" s="13">
        <v>31</v>
      </c>
      <c r="J169" s="14">
        <v>46.27</v>
      </c>
      <c r="K169" s="15">
        <v>632</v>
      </c>
      <c r="L169" s="16">
        <v>3910</v>
      </c>
    </row>
    <row r="170" spans="1:12">
      <c r="A170" s="11" t="s">
        <v>1729</v>
      </c>
      <c r="B170" s="12" t="s">
        <v>5344</v>
      </c>
      <c r="C170" s="13">
        <v>38</v>
      </c>
      <c r="D170" s="14">
        <v>47.5</v>
      </c>
      <c r="E170" s="15">
        <v>1135</v>
      </c>
      <c r="F170" s="13">
        <v>38</v>
      </c>
      <c r="G170" s="14">
        <v>47.5</v>
      </c>
      <c r="H170" s="15">
        <v>4639</v>
      </c>
      <c r="I170" s="13">
        <v>31</v>
      </c>
      <c r="J170" s="14">
        <v>46.27</v>
      </c>
      <c r="K170" s="15">
        <v>635</v>
      </c>
      <c r="L170" s="16">
        <v>4004</v>
      </c>
    </row>
    <row r="171" spans="1:12">
      <c r="A171" s="11" t="s">
        <v>1732</v>
      </c>
      <c r="B171" s="12" t="s">
        <v>5344</v>
      </c>
      <c r="C171" s="13">
        <v>38</v>
      </c>
      <c r="D171" s="14">
        <v>47.5</v>
      </c>
      <c r="E171" s="15">
        <v>1137</v>
      </c>
      <c r="F171" s="13">
        <v>38</v>
      </c>
      <c r="G171" s="14">
        <v>47.5</v>
      </c>
      <c r="H171" s="15">
        <v>4677</v>
      </c>
      <c r="I171" s="13">
        <v>31</v>
      </c>
      <c r="J171" s="14">
        <v>46.27</v>
      </c>
      <c r="K171" s="15">
        <v>636</v>
      </c>
      <c r="L171" s="16">
        <v>4041</v>
      </c>
    </row>
    <row r="172" spans="1:12">
      <c r="A172" s="11" t="s">
        <v>1752</v>
      </c>
      <c r="B172" s="12" t="s">
        <v>5344</v>
      </c>
      <c r="C172" s="13">
        <v>37</v>
      </c>
      <c r="D172" s="14">
        <v>46.25</v>
      </c>
      <c r="E172" s="15">
        <v>1150</v>
      </c>
      <c r="F172" s="13">
        <v>37</v>
      </c>
      <c r="G172" s="14">
        <v>46.25</v>
      </c>
      <c r="H172" s="15">
        <v>4721</v>
      </c>
      <c r="I172" s="13">
        <v>30</v>
      </c>
      <c r="J172" s="14">
        <v>44.78</v>
      </c>
      <c r="K172" s="15">
        <v>645</v>
      </c>
      <c r="L172" s="16">
        <v>4076</v>
      </c>
    </row>
    <row r="173" spans="1:12">
      <c r="A173" s="11" t="s">
        <v>1757</v>
      </c>
      <c r="B173" s="12" t="s">
        <v>5344</v>
      </c>
      <c r="C173" s="13">
        <v>37</v>
      </c>
      <c r="D173" s="14">
        <v>46.25</v>
      </c>
      <c r="E173" s="15">
        <v>1154</v>
      </c>
      <c r="F173" s="13">
        <v>37</v>
      </c>
      <c r="G173" s="14">
        <v>46.25</v>
      </c>
      <c r="H173" s="15">
        <v>4727</v>
      </c>
      <c r="I173" s="13">
        <v>30</v>
      </c>
      <c r="J173" s="14">
        <v>44.78</v>
      </c>
      <c r="K173" s="15">
        <v>647</v>
      </c>
      <c r="L173" s="16">
        <v>4080</v>
      </c>
    </row>
    <row r="174" spans="1:12">
      <c r="A174" s="11" t="s">
        <v>1769</v>
      </c>
      <c r="B174" s="12" t="s">
        <v>5344</v>
      </c>
      <c r="C174" s="13">
        <v>37</v>
      </c>
      <c r="D174" s="14">
        <v>46.25</v>
      </c>
      <c r="E174" s="15">
        <v>1161</v>
      </c>
      <c r="F174" s="13">
        <v>37</v>
      </c>
      <c r="G174" s="14">
        <v>46.25</v>
      </c>
      <c r="H174" s="15">
        <v>4741</v>
      </c>
      <c r="I174" s="13">
        <v>30</v>
      </c>
      <c r="J174" s="14">
        <v>44.78</v>
      </c>
      <c r="K174" s="15">
        <v>653</v>
      </c>
      <c r="L174" s="16">
        <v>4088</v>
      </c>
    </row>
    <row r="175" spans="1:12">
      <c r="A175" s="11" t="s">
        <v>1801</v>
      </c>
      <c r="B175" s="12" t="s">
        <v>5346</v>
      </c>
      <c r="C175" s="13">
        <v>34</v>
      </c>
      <c r="D175" s="14">
        <v>42.5</v>
      </c>
      <c r="E175" s="15">
        <v>1206</v>
      </c>
      <c r="F175" s="13">
        <v>36</v>
      </c>
      <c r="G175" s="14">
        <v>45</v>
      </c>
      <c r="H175" s="15">
        <v>4755</v>
      </c>
      <c r="I175" s="13">
        <v>27</v>
      </c>
      <c r="J175" s="14">
        <v>40.3</v>
      </c>
      <c r="K175" s="15">
        <v>668</v>
      </c>
      <c r="L175" s="16">
        <v>4087</v>
      </c>
    </row>
    <row r="176" spans="1:12">
      <c r="A176" s="11" t="s">
        <v>582</v>
      </c>
      <c r="B176" s="12" t="s">
        <v>95</v>
      </c>
      <c r="C176" s="13">
        <v>53</v>
      </c>
      <c r="D176" s="14">
        <v>66.25</v>
      </c>
      <c r="E176" s="15">
        <v>164</v>
      </c>
      <c r="F176" s="13">
        <v>36</v>
      </c>
      <c r="G176" s="14">
        <v>45</v>
      </c>
      <c r="H176" s="15">
        <v>4792</v>
      </c>
      <c r="I176" s="13">
        <v>34</v>
      </c>
      <c r="J176" s="14">
        <v>50.75</v>
      </c>
      <c r="K176" s="15">
        <v>554</v>
      </c>
      <c r="L176" s="16">
        <v>4628</v>
      </c>
    </row>
    <row r="177" spans="1:12">
      <c r="A177" s="11" t="s">
        <v>614</v>
      </c>
      <c r="B177" s="12" t="s">
        <v>95</v>
      </c>
      <c r="C177" s="13">
        <v>52</v>
      </c>
      <c r="D177" s="14">
        <v>65</v>
      </c>
      <c r="E177" s="15">
        <v>181</v>
      </c>
      <c r="F177" s="13">
        <v>36</v>
      </c>
      <c r="G177" s="14">
        <v>45</v>
      </c>
      <c r="H177" s="15">
        <v>4800</v>
      </c>
      <c r="I177" s="13">
        <v>33</v>
      </c>
      <c r="J177" s="14">
        <v>49.25</v>
      </c>
      <c r="K177" s="15">
        <v>580</v>
      </c>
      <c r="L177" s="16">
        <v>4619</v>
      </c>
    </row>
    <row r="178" spans="1:12">
      <c r="A178" s="11" t="s">
        <v>594</v>
      </c>
      <c r="B178" s="12" t="s">
        <v>95</v>
      </c>
      <c r="C178" s="13">
        <v>53</v>
      </c>
      <c r="D178" s="14">
        <v>66.25</v>
      </c>
      <c r="E178" s="15">
        <v>169</v>
      </c>
      <c r="F178" s="13">
        <v>36</v>
      </c>
      <c r="G178" s="14">
        <v>45</v>
      </c>
      <c r="H178" s="15">
        <v>4808</v>
      </c>
      <c r="I178" s="13">
        <v>34</v>
      </c>
      <c r="J178" s="14">
        <v>50.75</v>
      </c>
      <c r="K178" s="15">
        <v>561</v>
      </c>
      <c r="L178" s="16">
        <v>4639</v>
      </c>
    </row>
    <row r="179" spans="1:12">
      <c r="A179" s="11" t="s">
        <v>1784</v>
      </c>
      <c r="B179" s="12" t="s">
        <v>5344</v>
      </c>
      <c r="C179" s="13">
        <v>35</v>
      </c>
      <c r="D179" s="14">
        <v>43.75</v>
      </c>
      <c r="E179" s="15">
        <v>1188</v>
      </c>
      <c r="F179" s="13">
        <v>35</v>
      </c>
      <c r="G179" s="14">
        <v>43.75</v>
      </c>
      <c r="H179" s="15">
        <v>4831</v>
      </c>
      <c r="I179" s="13">
        <v>28</v>
      </c>
      <c r="J179" s="14">
        <v>41.79</v>
      </c>
      <c r="K179" s="15">
        <v>660</v>
      </c>
      <c r="L179" s="16">
        <v>4171</v>
      </c>
    </row>
    <row r="180" spans="1:12">
      <c r="A180" s="11" t="s">
        <v>1336</v>
      </c>
      <c r="B180" s="12" t="s">
        <v>5349</v>
      </c>
      <c r="C180" s="13">
        <v>37</v>
      </c>
      <c r="D180" s="14">
        <v>46.25</v>
      </c>
      <c r="E180" s="15">
        <v>1149</v>
      </c>
      <c r="F180" s="13">
        <v>35</v>
      </c>
      <c r="G180" s="14">
        <v>43.75</v>
      </c>
      <c r="H180" s="15">
        <v>4845</v>
      </c>
      <c r="I180" s="13">
        <v>37</v>
      </c>
      <c r="J180" s="14">
        <v>55.22</v>
      </c>
      <c r="K180" s="15">
        <v>489</v>
      </c>
      <c r="L180" s="16">
        <v>4356</v>
      </c>
    </row>
    <row r="181" spans="1:12">
      <c r="A181" s="11" t="s">
        <v>1789</v>
      </c>
      <c r="B181" s="12" t="s">
        <v>5344</v>
      </c>
      <c r="C181" s="13">
        <v>35</v>
      </c>
      <c r="D181" s="14">
        <v>43.75</v>
      </c>
      <c r="E181" s="15">
        <v>1195</v>
      </c>
      <c r="F181" s="13">
        <v>35</v>
      </c>
      <c r="G181" s="14">
        <v>43.75</v>
      </c>
      <c r="H181" s="15">
        <v>4857</v>
      </c>
      <c r="I181" s="13">
        <v>28</v>
      </c>
      <c r="J181" s="14">
        <v>41.79</v>
      </c>
      <c r="K181" s="15">
        <v>662</v>
      </c>
      <c r="L181" s="16">
        <v>4195</v>
      </c>
    </row>
    <row r="182" spans="1:12">
      <c r="A182" s="11" t="s">
        <v>1794</v>
      </c>
      <c r="B182" s="12" t="s">
        <v>5344</v>
      </c>
      <c r="C182" s="13">
        <v>35</v>
      </c>
      <c r="D182" s="14">
        <v>43.75</v>
      </c>
      <c r="E182" s="15">
        <v>1198</v>
      </c>
      <c r="F182" s="13">
        <v>35</v>
      </c>
      <c r="G182" s="14">
        <v>43.75</v>
      </c>
      <c r="H182" s="15">
        <v>4859</v>
      </c>
      <c r="I182" s="13">
        <v>28</v>
      </c>
      <c r="J182" s="14">
        <v>41.79</v>
      </c>
      <c r="K182" s="15">
        <v>664</v>
      </c>
      <c r="L182" s="16">
        <v>4195</v>
      </c>
    </row>
    <row r="183" spans="1:12">
      <c r="A183" s="11" t="s">
        <v>613</v>
      </c>
      <c r="B183" s="12" t="s">
        <v>95</v>
      </c>
      <c r="C183" s="13">
        <v>52</v>
      </c>
      <c r="D183" s="14">
        <v>65</v>
      </c>
      <c r="E183" s="15">
        <v>180</v>
      </c>
      <c r="F183" s="13">
        <v>35</v>
      </c>
      <c r="G183" s="14">
        <v>43.75</v>
      </c>
      <c r="H183" s="15">
        <v>4866</v>
      </c>
      <c r="I183" s="13">
        <v>33</v>
      </c>
      <c r="J183" s="14">
        <v>49.25</v>
      </c>
      <c r="K183" s="15">
        <v>579</v>
      </c>
      <c r="L183" s="16">
        <v>4686</v>
      </c>
    </row>
    <row r="184" spans="1:12">
      <c r="A184" s="11" t="s">
        <v>1815</v>
      </c>
      <c r="B184" s="12" t="s">
        <v>5346</v>
      </c>
      <c r="C184" s="13">
        <v>33</v>
      </c>
      <c r="D184" s="14">
        <v>41.25</v>
      </c>
      <c r="E184" s="15">
        <v>1217</v>
      </c>
      <c r="F184" s="13">
        <v>35</v>
      </c>
      <c r="G184" s="14">
        <v>43.75</v>
      </c>
      <c r="H184" s="15">
        <v>4867</v>
      </c>
      <c r="I184" s="13">
        <v>26</v>
      </c>
      <c r="J184" s="14">
        <v>38.81</v>
      </c>
      <c r="K184" s="15">
        <v>674</v>
      </c>
      <c r="L184" s="16">
        <v>4193</v>
      </c>
    </row>
    <row r="185" spans="1:12">
      <c r="A185" s="11" t="s">
        <v>1495</v>
      </c>
      <c r="B185" s="12" t="s">
        <v>5349</v>
      </c>
      <c r="C185" s="13">
        <v>48</v>
      </c>
      <c r="D185" s="14">
        <v>60</v>
      </c>
      <c r="E185" s="15">
        <v>643</v>
      </c>
      <c r="F185" s="13">
        <v>34</v>
      </c>
      <c r="G185" s="14">
        <v>42.5</v>
      </c>
      <c r="H185" s="15">
        <v>4881</v>
      </c>
      <c r="I185" s="13">
        <v>34</v>
      </c>
      <c r="J185" s="14">
        <v>50.75</v>
      </c>
      <c r="K185" s="15">
        <v>546</v>
      </c>
      <c r="L185" s="16">
        <v>4335</v>
      </c>
    </row>
    <row r="186" spans="1:12">
      <c r="A186" s="11" t="s">
        <v>1821</v>
      </c>
      <c r="B186" s="12" t="s">
        <v>5346</v>
      </c>
      <c r="C186" s="13">
        <v>34</v>
      </c>
      <c r="D186" s="14">
        <v>42.5</v>
      </c>
      <c r="E186" s="15">
        <v>1208</v>
      </c>
      <c r="F186" s="13">
        <v>34</v>
      </c>
      <c r="G186" s="14">
        <v>42.5</v>
      </c>
      <c r="H186" s="15">
        <v>4888</v>
      </c>
      <c r="I186" s="13">
        <v>25</v>
      </c>
      <c r="J186" s="14">
        <v>37.31</v>
      </c>
      <c r="K186" s="15">
        <v>677</v>
      </c>
      <c r="L186" s="16">
        <v>4211</v>
      </c>
    </row>
    <row r="187" spans="1:12">
      <c r="A187" s="11" t="s">
        <v>1825</v>
      </c>
      <c r="B187" s="12" t="s">
        <v>5346</v>
      </c>
      <c r="C187" s="13">
        <v>31</v>
      </c>
      <c r="D187" s="14">
        <v>38.75</v>
      </c>
      <c r="E187" s="15">
        <v>1232</v>
      </c>
      <c r="F187" s="13">
        <v>34</v>
      </c>
      <c r="G187" s="14">
        <v>42.5</v>
      </c>
      <c r="H187" s="15">
        <v>4896</v>
      </c>
      <c r="I187" s="13">
        <v>24</v>
      </c>
      <c r="J187" s="14">
        <v>35.82</v>
      </c>
      <c r="K187" s="15">
        <v>679</v>
      </c>
      <c r="L187" s="16">
        <v>4217</v>
      </c>
    </row>
    <row r="188" spans="1:12">
      <c r="A188" s="11" t="s">
        <v>654</v>
      </c>
      <c r="B188" s="12" t="s">
        <v>95</v>
      </c>
      <c r="C188" s="13">
        <v>51</v>
      </c>
      <c r="D188" s="14">
        <v>63.75</v>
      </c>
      <c r="E188" s="15">
        <v>201</v>
      </c>
      <c r="F188" s="13">
        <v>34</v>
      </c>
      <c r="G188" s="14">
        <v>42.5</v>
      </c>
      <c r="H188" s="15">
        <v>4901</v>
      </c>
      <c r="I188" s="13">
        <v>32</v>
      </c>
      <c r="J188" s="14">
        <v>47.76</v>
      </c>
      <c r="K188" s="15">
        <v>599</v>
      </c>
      <c r="L188" s="16">
        <v>4700</v>
      </c>
    </row>
    <row r="189" spans="1:12">
      <c r="A189" s="11" t="s">
        <v>662</v>
      </c>
      <c r="B189" s="12" t="s">
        <v>95</v>
      </c>
      <c r="C189" s="13">
        <v>51</v>
      </c>
      <c r="D189" s="14">
        <v>63.75</v>
      </c>
      <c r="E189" s="15">
        <v>204</v>
      </c>
      <c r="F189" s="13">
        <v>34</v>
      </c>
      <c r="G189" s="14">
        <v>42.5</v>
      </c>
      <c r="H189" s="15">
        <v>4906</v>
      </c>
      <c r="I189" s="13">
        <v>32</v>
      </c>
      <c r="J189" s="14">
        <v>47.76</v>
      </c>
      <c r="K189" s="15">
        <v>601</v>
      </c>
      <c r="L189" s="16">
        <v>4702</v>
      </c>
    </row>
    <row r="190" spans="1:12">
      <c r="A190" s="11" t="s">
        <v>1525</v>
      </c>
      <c r="B190" s="12" t="s">
        <v>5348</v>
      </c>
      <c r="C190" s="13">
        <v>34</v>
      </c>
      <c r="D190" s="14">
        <v>42.5</v>
      </c>
      <c r="E190" s="15">
        <v>1212</v>
      </c>
      <c r="F190" s="13">
        <v>34</v>
      </c>
      <c r="G190" s="14">
        <v>42.5</v>
      </c>
      <c r="H190" s="15">
        <v>4911</v>
      </c>
      <c r="I190" s="13">
        <v>34</v>
      </c>
      <c r="J190" s="14">
        <v>50.75</v>
      </c>
      <c r="K190" s="15">
        <v>558</v>
      </c>
      <c r="L190" s="16">
        <v>4353</v>
      </c>
    </row>
    <row r="191" spans="1:12">
      <c r="A191" s="11" t="s">
        <v>1798</v>
      </c>
      <c r="B191" s="12" t="s">
        <v>5345</v>
      </c>
      <c r="C191" s="13">
        <v>32</v>
      </c>
      <c r="D191" s="14">
        <v>40</v>
      </c>
      <c r="E191" s="15">
        <v>1222</v>
      </c>
      <c r="F191" s="13">
        <v>32</v>
      </c>
      <c r="G191" s="14">
        <v>40</v>
      </c>
      <c r="H191" s="15">
        <v>4990</v>
      </c>
      <c r="I191" s="13">
        <v>27</v>
      </c>
      <c r="J191" s="14">
        <v>40.3</v>
      </c>
      <c r="K191" s="15">
        <v>667</v>
      </c>
      <c r="L191" s="16">
        <v>4323</v>
      </c>
    </row>
    <row r="192" spans="1:12">
      <c r="A192" s="11" t="s">
        <v>1839</v>
      </c>
      <c r="B192" s="12" t="s">
        <v>5345</v>
      </c>
      <c r="C192" s="13">
        <v>30</v>
      </c>
      <c r="D192" s="14">
        <v>37.5</v>
      </c>
      <c r="E192" s="15">
        <v>1236</v>
      </c>
      <c r="F192" s="13">
        <v>32</v>
      </c>
      <c r="G192" s="14">
        <v>40</v>
      </c>
      <c r="H192" s="15">
        <v>4997</v>
      </c>
      <c r="I192" s="13">
        <v>20</v>
      </c>
      <c r="J192" s="14">
        <v>29.85</v>
      </c>
      <c r="K192" s="15">
        <v>685</v>
      </c>
      <c r="L192" s="16">
        <v>4312</v>
      </c>
    </row>
    <row r="193" spans="1:12">
      <c r="A193" s="11" t="s">
        <v>1786</v>
      </c>
      <c r="B193" s="12" t="s">
        <v>5345</v>
      </c>
      <c r="C193" s="13">
        <v>32</v>
      </c>
      <c r="D193" s="14">
        <v>40</v>
      </c>
      <c r="E193" s="15">
        <v>1223</v>
      </c>
      <c r="F193" s="13">
        <v>32</v>
      </c>
      <c r="G193" s="14">
        <v>40</v>
      </c>
      <c r="H193" s="15">
        <v>5000</v>
      </c>
      <c r="I193" s="13">
        <v>28</v>
      </c>
      <c r="J193" s="14">
        <v>41.79</v>
      </c>
      <c r="K193" s="15">
        <v>661</v>
      </c>
      <c r="L193" s="16">
        <v>4339</v>
      </c>
    </row>
    <row r="194" spans="1:12">
      <c r="A194" s="11" t="s">
        <v>1622</v>
      </c>
      <c r="B194" s="12" t="s">
        <v>5348</v>
      </c>
      <c r="C194" s="13">
        <v>32</v>
      </c>
      <c r="D194" s="14">
        <v>40</v>
      </c>
      <c r="E194" s="15">
        <v>1226</v>
      </c>
      <c r="F194" s="13">
        <v>32</v>
      </c>
      <c r="G194" s="14">
        <v>40</v>
      </c>
      <c r="H194" s="15">
        <v>5005</v>
      </c>
      <c r="I194" s="13">
        <v>32</v>
      </c>
      <c r="J194" s="14">
        <v>47.76</v>
      </c>
      <c r="K194" s="15">
        <v>594</v>
      </c>
      <c r="L194" s="16">
        <v>4411</v>
      </c>
    </row>
    <row r="195" spans="1:12">
      <c r="A195" s="11" t="s">
        <v>1767</v>
      </c>
      <c r="B195" s="12" t="s">
        <v>95</v>
      </c>
      <c r="C195" s="13">
        <v>47</v>
      </c>
      <c r="D195" s="14">
        <v>58.75</v>
      </c>
      <c r="E195" s="15">
        <v>653</v>
      </c>
      <c r="F195" s="13">
        <v>31</v>
      </c>
      <c r="G195" s="14">
        <v>38.75</v>
      </c>
      <c r="H195" s="15">
        <v>5047</v>
      </c>
      <c r="I195" s="13">
        <v>28</v>
      </c>
      <c r="J195" s="14">
        <v>41.79</v>
      </c>
      <c r="K195" s="15">
        <v>659</v>
      </c>
      <c r="L195" s="16">
        <v>4394</v>
      </c>
    </row>
    <row r="196" spans="1:12">
      <c r="A196" s="11" t="s">
        <v>1755</v>
      </c>
      <c r="B196" s="12" t="s">
        <v>95</v>
      </c>
      <c r="C196" s="13">
        <v>48</v>
      </c>
      <c r="D196" s="14">
        <v>60</v>
      </c>
      <c r="E196" s="15">
        <v>647</v>
      </c>
      <c r="F196" s="13">
        <v>31</v>
      </c>
      <c r="G196" s="14">
        <v>38.75</v>
      </c>
      <c r="H196" s="15">
        <v>5076</v>
      </c>
      <c r="I196" s="13">
        <v>29</v>
      </c>
      <c r="J196" s="14">
        <v>43.28</v>
      </c>
      <c r="K196" s="15">
        <v>657</v>
      </c>
      <c r="L196" s="16">
        <v>4429</v>
      </c>
    </row>
    <row r="197" spans="1:12">
      <c r="A197" s="11" t="s">
        <v>221</v>
      </c>
      <c r="B197" s="12" t="s">
        <v>5349</v>
      </c>
      <c r="C197" s="13">
        <v>61</v>
      </c>
      <c r="D197" s="14">
        <v>76.25</v>
      </c>
      <c r="E197" s="15">
        <v>25</v>
      </c>
      <c r="F197" s="13">
        <v>28</v>
      </c>
      <c r="G197" s="14">
        <v>35</v>
      </c>
      <c r="H197" s="15">
        <v>5107</v>
      </c>
      <c r="I197" s="13">
        <v>26</v>
      </c>
      <c r="J197" s="14">
        <v>38.81</v>
      </c>
      <c r="K197" s="15">
        <v>676</v>
      </c>
      <c r="L197" s="16">
        <v>5082</v>
      </c>
    </row>
    <row r="198" spans="1:12">
      <c r="A198" s="11" t="s">
        <v>1829</v>
      </c>
      <c r="B198" s="12" t="s">
        <v>95</v>
      </c>
      <c r="C198" s="13">
        <v>43</v>
      </c>
      <c r="D198" s="14">
        <v>53.75</v>
      </c>
      <c r="E198" s="15">
        <v>1017</v>
      </c>
      <c r="F198" s="13">
        <v>27</v>
      </c>
      <c r="G198" s="14">
        <v>33.75</v>
      </c>
      <c r="H198" s="15">
        <v>5109</v>
      </c>
      <c r="I198" s="13">
        <v>24</v>
      </c>
      <c r="J198" s="14">
        <v>35.82</v>
      </c>
      <c r="K198" s="15">
        <v>681</v>
      </c>
      <c r="L198" s="16">
        <v>4428</v>
      </c>
    </row>
    <row r="199" spans="1:12">
      <c r="A199" s="11" t="s">
        <v>1832</v>
      </c>
      <c r="B199" s="12" t="s">
        <v>95</v>
      </c>
      <c r="C199" s="13">
        <v>43</v>
      </c>
      <c r="D199" s="14">
        <v>53.75</v>
      </c>
      <c r="E199" s="15">
        <v>1020</v>
      </c>
      <c r="F199" s="13">
        <v>27</v>
      </c>
      <c r="G199" s="14">
        <v>33.75</v>
      </c>
      <c r="H199" s="15">
        <v>5110</v>
      </c>
      <c r="I199" s="13">
        <v>24</v>
      </c>
      <c r="J199" s="14">
        <v>35.82</v>
      </c>
      <c r="K199" s="15">
        <v>682</v>
      </c>
      <c r="L199" s="16">
        <v>4428</v>
      </c>
    </row>
  </sheetData>
  <mergeCells count="2">
    <mergeCell ref="A1:I1"/>
    <mergeCell ref="A2:I2"/>
  </mergeCells>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pane ySplit="4" topLeftCell="A5" activePane="bottomLeft" state="frozen"/>
      <selection/>
      <selection pane="bottomLeft" activeCell="A1" sqref="A1:D1"/>
    </sheetView>
  </sheetViews>
  <sheetFormatPr defaultColWidth="9" defaultRowHeight="14.4" outlineLevelCol="3"/>
  <cols>
    <col min="1" max="1" width="5" customWidth="1"/>
    <col min="2" max="2" width="42" customWidth="1"/>
    <col min="3" max="3" width="14" customWidth="1"/>
    <col min="4" max="4" width="104" customWidth="1"/>
  </cols>
  <sheetData>
    <row r="1" ht="24" customHeight="1" spans="1:4">
      <c r="A1" s="3" t="s">
        <v>5350</v>
      </c>
      <c r="B1" s="3"/>
      <c r="C1" s="3"/>
      <c r="D1" s="3"/>
    </row>
    <row r="2" ht="30" customHeight="1" spans="1:4">
      <c r="A2" s="4" t="s">
        <v>5351</v>
      </c>
      <c r="B2" s="4"/>
      <c r="C2" s="4"/>
      <c r="D2" s="4"/>
    </row>
    <row r="4" ht="24" customHeight="1" spans="1:4">
      <c r="A4" s="5" t="s">
        <v>5352</v>
      </c>
      <c r="B4" s="5" t="s">
        <v>5353</v>
      </c>
      <c r="C4" s="5" t="s">
        <v>5354</v>
      </c>
      <c r="D4" s="5" t="s">
        <v>5355</v>
      </c>
    </row>
    <row r="5" ht="28" customHeight="1" spans="1:4">
      <c r="A5" s="6">
        <v>1</v>
      </c>
      <c r="B5" s="7" t="s">
        <v>5356</v>
      </c>
      <c r="C5" s="8" t="s">
        <v>5357</v>
      </c>
      <c r="D5" s="9" t="s">
        <v>5358</v>
      </c>
    </row>
    <row r="6" ht="28" customHeight="1" spans="1:4">
      <c r="A6" s="6">
        <v>2</v>
      </c>
      <c r="B6" s="7" t="s">
        <v>5359</v>
      </c>
      <c r="C6" s="8" t="s">
        <v>5357</v>
      </c>
      <c r="D6" s="9" t="s">
        <v>5360</v>
      </c>
    </row>
    <row r="7" ht="28" customHeight="1" spans="1:4">
      <c r="A7" s="6">
        <v>3</v>
      </c>
      <c r="B7" s="7" t="s">
        <v>5361</v>
      </c>
      <c r="C7" s="8" t="s">
        <v>5357</v>
      </c>
      <c r="D7" s="9" t="s">
        <v>5362</v>
      </c>
    </row>
    <row r="8" ht="28" customHeight="1" spans="1:4">
      <c r="A8" s="6">
        <v>4</v>
      </c>
      <c r="B8" s="7" t="s">
        <v>5363</v>
      </c>
      <c r="C8" s="8">
        <v>6991</v>
      </c>
      <c r="D8" s="9" t="s">
        <v>5364</v>
      </c>
    </row>
    <row r="9" ht="28" customHeight="1" spans="1:4">
      <c r="A9" s="6">
        <v>5</v>
      </c>
      <c r="B9" s="7" t="s">
        <v>5365</v>
      </c>
      <c r="C9" s="8">
        <v>3</v>
      </c>
      <c r="D9" s="9" t="s">
        <v>5366</v>
      </c>
    </row>
    <row r="10" ht="28" customHeight="1" spans="1:4">
      <c r="A10" s="6">
        <v>6</v>
      </c>
      <c r="B10" s="7" t="s">
        <v>5367</v>
      </c>
      <c r="C10" s="8" t="s">
        <v>5357</v>
      </c>
      <c r="D10" s="9" t="s">
        <v>5368</v>
      </c>
    </row>
    <row r="11" ht="28" customHeight="1" spans="1:4">
      <c r="A11" s="6">
        <v>7</v>
      </c>
      <c r="B11" s="7" t="s">
        <v>5369</v>
      </c>
      <c r="C11" s="8" t="s">
        <v>5370</v>
      </c>
      <c r="D11" s="9" t="s">
        <v>5371</v>
      </c>
    </row>
    <row r="12" ht="28" customHeight="1" spans="1:4">
      <c r="A12" s="6">
        <v>8</v>
      </c>
      <c r="B12" s="7" t="s">
        <v>5372</v>
      </c>
      <c r="C12" s="8" t="str">
        <f>IF(AND(MAX(Normalized_Scores!$D$6:$D$1248)=100,MAX(Normalized_Scores!$I$6:$I$5120)=100,MAX(Normalized_Scores!$N$6:$N$692)=100),"PASS","FAIL")</f>
        <v>PASS</v>
      </c>
      <c r="D12" s="9" t="s">
        <v>5373</v>
      </c>
    </row>
    <row r="13" ht="28" customHeight="1" spans="1:4">
      <c r="A13" s="6">
        <v>9</v>
      </c>
      <c r="B13" s="7" t="s">
        <v>5374</v>
      </c>
      <c r="C13" s="8" t="str">
        <f>IF(AND(MIN(Normalized_Scores!$D$6:$D$1248)&gt;=0,MAX(Normalized_Scores!$D$6:$D$1248)&lt;=100,MIN(Normalized_Scores!$I$6:$I$5120)&gt;=0,MAX(Normalized_Scores!$I$6:$I$5120)&lt;=100,MIN(Normalized_Scores!$N$6:$N$692)&gt;=0,MAX(Normalized_Scores!$N$6:$N$692)&lt;=100),"PASS","FAIL")</f>
        <v>PASS</v>
      </c>
      <c r="D13" s="9"/>
    </row>
    <row r="14" ht="28" customHeight="1" spans="1:4">
      <c r="A14" s="6">
        <v>10</v>
      </c>
      <c r="B14" s="7" t="s">
        <v>5375</v>
      </c>
      <c r="C14" s="8" t="s">
        <v>5357</v>
      </c>
      <c r="D14" s="9" t="s">
        <v>5376</v>
      </c>
    </row>
    <row r="15" ht="28" customHeight="1" spans="1:4">
      <c r="A15" s="6">
        <v>11</v>
      </c>
      <c r="B15" s="7" t="s">
        <v>5377</v>
      </c>
      <c r="C15" s="8" t="str">
        <f>IF(AND(Histogram_Data!B26=COUNT(Absolute_Scores!$D$6:$D$1248),Histogram_Data!C26=COUNT(Normalized_Scores!$D$6:$D$1248),Histogram_Data!D26=COUNT(Absolute_Scores!$I$6:$I$5120),Histogram_Data!E26=COUNT(Normalized_Scores!$I$6:$I$5120),Histogram_Data!F26=COUNT(Absolute_Scores!$N$6:$N$692),Histogram_Data!G26=COUNT(Normalized_Scores!$N$6:$N$692)),"PASS","FAIL")</f>
        <v>PASS</v>
      </c>
      <c r="D15" s="9" t="s">
        <v>5378</v>
      </c>
    </row>
    <row r="16" ht="28" customHeight="1" spans="1:4">
      <c r="A16" s="6">
        <v>12</v>
      </c>
      <c r="B16" s="7" t="s">
        <v>5379</v>
      </c>
      <c r="C16" s="8" t="s">
        <v>5357</v>
      </c>
      <c r="D16" s="9" t="s">
        <v>5380</v>
      </c>
    </row>
    <row r="17" ht="28" customHeight="1" spans="1:4">
      <c r="A17" s="6">
        <v>13</v>
      </c>
      <c r="B17" s="7" t="s">
        <v>5381</v>
      </c>
      <c r="C17" s="8" t="s">
        <v>5357</v>
      </c>
      <c r="D17" s="9" t="s">
        <v>5382</v>
      </c>
    </row>
    <row r="18" ht="28" customHeight="1" spans="1:4">
      <c r="A18" s="6">
        <v>14</v>
      </c>
      <c r="B18" s="7" t="s">
        <v>5383</v>
      </c>
      <c r="C18" s="8" t="s">
        <v>5357</v>
      </c>
      <c r="D18" s="9" t="s">
        <v>5384</v>
      </c>
    </row>
    <row r="19" ht="28" customHeight="1" spans="1:4">
      <c r="A19" s="6">
        <v>15</v>
      </c>
      <c r="B19" s="7" t="s">
        <v>5385</v>
      </c>
      <c r="C19" s="8">
        <v>194</v>
      </c>
      <c r="D19" s="9" t="s">
        <v>5386</v>
      </c>
    </row>
  </sheetData>
  <mergeCells count="2">
    <mergeCell ref="A1:D1"/>
    <mergeCell ref="A2:D2"/>
  </mergeCells>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8.88888888888889" defaultRowHeight="14.4" outlineLevelRow="1"/>
  <sheetData>
    <row r="1" ht="18" spans="1:1">
      <c r="A1" s="1" t="s">
        <v>5387</v>
      </c>
    </row>
    <row r="2" spans="1:1">
      <c r="A2" s="2" t="s">
        <v>5388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README</vt:lpstr>
      <vt:lpstr>Population</vt:lpstr>
      <vt:lpstr>Preference_Profiles</vt:lpstr>
      <vt:lpstr>Absolute_Scores</vt:lpstr>
      <vt:lpstr>Normalized_Scores</vt:lpstr>
      <vt:lpstr>Distribution_Summary</vt:lpstr>
      <vt:lpstr>Histogram_Data</vt:lpstr>
      <vt:lpstr>Preference_Comparison</vt:lpstr>
      <vt:lpstr>Validation</vt:lpstr>
      <vt:lpstr>Histograms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Autometric — Brand Match distribution test</dc:creator>
  <cp:lastModifiedBy>octavio Iwantri</cp:lastModifiedBy>
  <dcterms:created xsi:type="dcterms:W3CDTF">2026-09-14T09:20:00Z</dcterms:created>
  <dcterms:modified xsi:type="dcterms:W3CDTF">2026-09-14T09:20:26Z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9F37546A30984D3F9343F5A9EAAC1B0F_12</vt:lpwstr>
  </property>
  <property fmtid="{D5CDD505-2E9C-101B-9397-08002B2CF9AE}" pid="3" name="KSOProductBuildVer">
    <vt:lpwstr>1033-12.1.0.28485</vt:lpwstr>
  </property>
  <property fmtid="{D5CDD505-2E9C-101B-9397-08002B2CF9AE}" pid="4" name="CalculationRule">
    <vt:i4>0</vt:i4>
  </property>
</Properties>
</file>