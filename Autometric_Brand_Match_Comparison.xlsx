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000" windowHeight="18000" firstSheet="0" activeTab="0"/>
  </bookViews>
  <sheets>
    <sheet sheetId="12" name="README" state="visible" r:id="rId4"/>
    <sheet sheetId="3" name="KOL_Source_Data" state="visible" r:id="rId5"/>
    <sheet sheetId="2" name="Brand_Profile" state="visible" r:id="rId6"/>
    <sheet sheetId="4" name="Matching_Engine" state="visible" r:id="rId7"/>
    <sheet sheetId="5" name="Score_Breakdown" state="visible" r:id="rId8"/>
    <sheet sheetId="6" name="Match_Explanation" state="visible" r:id="rId9"/>
    <sheet sheetId="7" name="Brand_Comparison" state="visible" r:id="rId10"/>
    <sheet sheetId="8" name="Brand_Ranking" state="visible" r:id="rId11"/>
    <sheet sheetId="9" name="Top_Matches" state="visible" r:id="rId12"/>
    <sheet sheetId="10" name="Hard_vs_Soft_Filter" state="visible" r:id="rId13"/>
    <sheet sheetId="11" name="Validation" state="visible" r:id="rId14"/>
    <sheet sheetId="1" name="Lookup_Lists" state="visible" r:id="rId15"/>
  </sheets>
  <calcPr calcId="171027" fullCalcOnLoad="1"/>
</workbook>
</file>

<file path=xl/sharedStrings.xml><?xml version="1.0" encoding="utf-8"?>
<sst xmlns="http://schemas.openxmlformats.org/spreadsheetml/2006/main" count="4062" uniqueCount="1606">
  <si>
    <t>AUTOMETRIC — BRAND MATCH COMPARISON</t>
  </si>
  <si>
    <t>24 creators read from the KOL server, scored against 5 brands, 120 matching records. Roster measured 2026-09-10 04:48 UTC from 10.100.14.216/kol.</t>
  </si>
  <si>
    <t>1. WHAT THIS WORKBOOK IS</t>
  </si>
  <si>
    <t>Purpose</t>
  </si>
  <si>
    <t>To show that Brand Match is a contextual score — a function of (brand, creator) — rather than a permanent rating attached to a creator. The same 24 creators are scored against 5 deliberately different brands, and the resulting orders differ. Brand_Comparison is where that is easiest to see: one row per creator, one column per brand, and a Spread column that would read 0 if the model were secretly ranking creators rather than pairs.</t>
  </si>
  <si>
    <t>Source of data</t>
  </si>
  <si>
    <t>Every creator field comes from the KOL server (10.100.14.216/kol) via scripts/brand-match/roster-fetch.mjs, read-only. Nothing on KOL_Source_Data is invented, estimated to fill a gap, or carried over from the engine workbook's sample roster. Tables read: public.kol_directory, public.kol_social_account, public.kol_categories, feature.ig/tt_audience_analysis, feature.ig_engagement_analysis, l2_gold.kol_profile_card, l2_gold.audience_interest_daily, l2_gold.audience_geo_daily, l2_gold.audience_demographics_daily, l1_silver.unified_post.</t>
  </si>
  <si>
    <t>Relationship to the engine workbook</t>
  </si>
  <si>
    <t>Autometric_Brand_Match_Engine.xlsx is the specification of the logic and runs on a hand-built sample roster. This workbook runs the same logic on real rows: the same six components, the same weights, the same relevance matrices, all read from the same Lookup_Lists code (scripts/brand-match/build.mjs) and the same taxonomy (taxonomy.mjs). There is one model, not two.</t>
  </si>
  <si>
    <t>2. THE 24 CREATORS</t>
  </si>
  <si>
    <t>Selection</t>
  </si>
  <si>
    <t>The 24 handles were given. They were not chosen by the model, and no creator outside the list appears anywhere in this workbook. 24 resolved to an active row in public.kol_directory. None had to be reported NOT FOUND.</t>
  </si>
  <si>
    <t>Two spellings were corrected</t>
  </si>
  <si>
    <t>Two requested handles do not exist on the server and each has a neighbour one transposition away that does: @erickapinedao9 → @erickapineda09, @shabiraaluaadnan → @shabiraalulaadnan. Both spellings are printed on KOL_Source_Data and on Validation. This is the only place a requested handle and a scored handle differ.</t>
  </si>
  <si>
    <t>Four handles existed twice</t>
  </si>
  <si>
    <t>Four creators hold a row on both Instagram and TikTok. The brief asks for 24 accounts, so one row per handle survives — the row carrying the most measured signal, not the most followers. Every dropped row is listed on Validation with the follower count it had, because a dropped row nobody can see is indistinguishable from a row that was never there.</t>
  </si>
  <si>
    <t>3. THE FIVE BRANDS  ·  every category taken from the database</t>
  </si>
  <si>
    <t>The categories are the database’s, not the workbook’s</t>
  </si>
  <si>
    <t>public.kol_categories holds 28 category names, and its taxonomy_key column already says which of them are the same thing — Foodies, Food and Cooking all carry Food; Sports, Gym Enthusiast, Cyclist and Fitness all carry Fitness. That column yields nine canonical values: Beauty · Entertainment · Fashion · Fitness · Food · Gen Z · Lifestyle · Moms · Tech. Lookup_Lists section 11a prints all 28 rows with their counts and their key. Both halves of every comparison resolve through that one column, so neither half authored the vocabulary it is scored on.</t>
  </si>
  <si>
    <t>The five brands</t>
  </si>
  <si>
    <t>NovaTech → Tech  ·  LumiSkin → Beauty  ·  DailyBite → Food  ·  MoveFit → Fitness  ·  UrbanMuse → Fashion. Five different canonical categories, different audience genders, different interest sets — five brands wanting the same creator profile would rank identically and demonstrate nothing. Brand_Profile carries a Source column naming the database column behind every field, and the record shape follows public.brand: name, category, brand_keywords, brand_hashtags.</t>
  </si>
  <si>
    <t>Audience interests are the database’s keys too</t>
  </si>
  <si>
    <t>The interest rows on Brand_Profile hold l2_gold.audience_interest_daily.interest_key values, spelled exactly as the server spells them — lower case, and 'sports' kept separate from 'fitness' because the database keeps them separate, which is why MoveFit targets both. A brand cannot target an interest the database does not have: the build asserts it and stops.</t>
  </si>
  <si>
    <t>There is no Industry field, because there is no industry column</t>
  </si>
  <si>
    <t>An earlier draft of this workbook carried brand Industry, Product Category, Sub Category, Brand Niche, Brand Personality, Tone, Communication Style and Positioning, scored against a 14-label taxonomy written for the engine workbook. None of those exist as creator columns on this server, and the taxonomy was a second vocabulary that disagreed with the database in two places — it filed Moms under Parenting and dropped Gen Z, when kol_categories assigns both a key of their own. They are gone. What remains either maps to a database column or is marked on Brand_Profile as scoring nothing.</t>
  </si>
  <si>
    <t>Hard filters left permissive</t>
  </si>
  <si>
    <t>The brief asks how 24 named creators compare across 5 brands. A minimum-follower or minimum-ER gate would answer a different question by deleting rows from the comparison. Sheet Hard_vs_Soft_Filter documents every gate that exists and counts what each would remove from this roster if it were switched on.</t>
  </si>
  <si>
    <t>4. THE MODEL</t>
  </si>
  <si>
    <t>Final Match Score</t>
  </si>
  <si>
    <t>Final = (Business x 20 + Audience x 30 + Content x 20 + Personality x 10 + Performance x 10 + Safety x 10) / 100, on a 0-100 scale. The six weights live in editable cells on Lookup_Lists section 4 and CHECK_WEIGHT_TOTAL asserts they sum to 100. No score anywhere in this workbook is a typed number: every one is a formula over KOL_Source_Data and Brand_Profile.</t>
  </si>
  <si>
    <t>Sub-weights</t>
  </si>
  <si>
    <t>Target Audience = Age 25 / Gender 15 / Location 30 / Interest 30 (the brief’s own split). Brand &amp; Business = Category 60 / Keyword 25 / Hashtag 15. Content &amp; Category = Content Category 60 / Topic 40. Performance = ER 35 / Audience Quality 20 / Consistency 20 / Community 10 / Average Views 10 / Recent Growth 5. Brand Safety = Authenticity 40 / Follower Quality 30 / Verification 15 / Paid Ratio 15. The first two are not even splits, and Lookup_Lists section 11 says why: measured on this roster, Category Match takes 8 distinct values across the 120 pairs while Keyword Match takes 3 and Hashtag Match 2. Letting the two sparse signals carry 60% of a component would make it mostly measure whether a celebrity writes marketing copy in their captions, which none of them does.</t>
  </si>
  <si>
    <t>Missing inputs renormalise; they never become zero</t>
  </si>
  <si>
    <t>This is the one mechanism this workbook adds to the engine's. Where the server has no reading, the cell reads N/A and drops out of its weighted mean, so the remaining weights renormalise to 100 by themselves. A component with no inputs at all is N/A and drops out of the Final Match Score; the Available Weight column reports how much of the nominal 100 each row could be scored on. Zero is a measurement — "we looked, and there was none". Using it for "nobody looked" would rank an unmeasured creator below a bad one.</t>
  </si>
  <si>
    <t>Score interpretation</t>
  </si>
  <si>
    <t>Excellent Match 90-100 · Strong Match 80-89 · Good Match 70-79 · Moderate Match 60-69 · Low Match below 60. The bands are the brief's and live in editable cells (BAND_EXCELLENT and below). Scores on this roster sit low relative to those bands, and that is a finding rather than a bug: see section 6.</t>
  </si>
  <si>
    <t>5. HARD FILTER vs SOFT MATCH</t>
  </si>
  <si>
    <t>The distinction</t>
  </si>
  <si>
    <t>A hard filter answers yes or no and removes creators from the result set: platform, minimum followers, mandatory location, tier, minimum ER, category requirement, connected-only. A soft match returns 0-100 and reorders them: brand match, audience relevance, content relevance, personality, performance, brand safety. Confusing the two is how a filter can be marked DONE while returning zero creators for every value.</t>
  </si>
  <si>
    <t>6. LIMITATIONS  ·  read this before quoting a number</t>
  </si>
  <si>
    <t>Six inputs do not exist on this server</t>
  </si>
  <si>
    <t>Audience age (no rows anywhere), sub category (no column), creator personality/tone/values/content style (no column — this empties Brand Personality Fit entirely), community (no column), comment sentiment and toxicity (0 rows), rate card (0 rows). Validation lists each one with where it would live, how it was verified and what it does to the score.</t>
  </si>
  <si>
    <t>Absolute scores are low against the bands — read them as a ranking, not a percentage</t>
  </si>
  <si>
    <t>Final scores on this roster run roughly 20 to 71, so almost every row lands in Low Match and a handful reach Moderate or Good. That is a property of the data, not of the creators. Brand Personality Fit contributes nothing at all (10 points of the 100 gone); audience interest and geography are known for only 10-20% of each sampled audience; and Keyword and Topic Match are near-empty for the reasons below. The bands are the brief's and they assume a complete creator record. USE THIS WORKBOOK TO COMPARE — creators within one brand, and one creator across the five brands. Do not read 52/100 as "52% fit".</t>
  </si>
  <si>
    <t>Engagement rate is scored against the creator's own tier</t>
  </si>
  <si>
    <t>Section 11b of Lookup_Lists sets the ER that scores 100 per tier, from 8% at Nano down to 2% at Mega. All 24 of these accounts are Mega. The shared CAL_ER_TARGET of 6% is calibrated for micro creators and would have scored @cristiano's 2.21% — the best engagement on the roster by some distance — as 37 out of 100. Engagement rate falls with reach as a matter of arithmetic, so the question the tier targets ask is "well engaged for an account this size", which is the only version a brand can act on.</t>
  </si>
  <si>
    <t>Audience shares are shares of the KNOWN portion</t>
  </si>
  <si>
    <t>l2_gold.audience_interest_daily is dominated by the key 'unknown' — often 80-89% of a creator's sample. Interest and country shares here are computed over the known remainder, and Interest Known % / Country Known % on KOL_Source_Data report how large that remainder was. A 100 on Interest Score off a 12% known sample is a much weaker claim than the same 100 off a 60% one.</t>
  </si>
  <si>
    <t>Categories are three different kinds of thing</t>
  </si>
  <si>
    <t>12 creators carry a category from public.kol_categories (basis: live). 3 were classified from their own captions and hashtags by the taxonomy's keyword rules (basis: calculated or estimated), and the evidence that produced each one is printed beside it on KOL_Source_Data so it can be overruled. 9 carry none at all. A classified category ranks; it never gates.</t>
  </si>
  <si>
    <t>9 creators have no category, and it moves their score</t>
  </si>
  <si>
    <t>Category Match and Content Category Match fall back to CAL_NEUTRAL for them — not to N/A, and not to CAL_UNRELATED. This has a consequence worth stating plainly: a creator nobody has categorised can outscore one who is known to be a poor fit. That is correct. Knowing @cristiano makes fitness content is real evidence against a SaaS brief; knowing nothing about @leomessi is not evidence either way. Category Basis and Confidence are the columns that tell the two apart, and their ranking says more about their audience than about their content.</t>
  </si>
  <si>
    <t>Keyword Match and Topic Match are close to empty, and honestly so</t>
  </si>
  <si>
    <t>Across all 120 pairs, Keyword Match averages under 2 and Topic Match under 4. Three reasons, none of them a bug: kol_directory.bio is ~12% filled; the brand keyword lists are Indonesian while several of these creators caption in English or Spanish, so @leomessi and @cristiano can never hit an Indonesian term whatever they post about; and these are celebrity and entertainment accounts that genuinely do not write about SaaS, skincare formulation or sportswear. The consequence is that Brand &amp; Business Relevance rests mostly on Industry and Category (70% of it) and Content Relevance rests mostly on category, since Topic is half of what is left after sub-category and style drop out. A per-language keyword set would fix the second reason; nothing in the data fixes the third.</t>
  </si>
  <si>
    <t>7. SHEETS</t>
  </si>
  <si>
    <t>Sheet</t>
  </si>
  <si>
    <t>What it holds</t>
  </si>
  <si>
    <t/>
  </si>
  <si>
    <t>README</t>
  </si>
  <si>
    <t>This sheet.</t>
  </si>
  <si>
    <t>KOL_Source_Data</t>
  </si>
  <si>
    <t>The 24 accounts as the server has them, with a Data Note per row saying what was missing.</t>
  </si>
  <si>
    <t>Brand_Profile</t>
  </si>
  <si>
    <t>The 5 brands, one column each, keyed for the engine.</t>
  </si>
  <si>
    <t>Matching_Engine</t>
  </si>
  <si>
    <t>120 rows. Every score a formula. The only sheet that computes anything.</t>
  </si>
  <si>
    <t>Score_Breakdown</t>
  </si>
  <si>
    <t>The same rows, sub-scores first. A pure view.</t>
  </si>
  <si>
    <t>Match_Explanation</t>
  </si>
  <si>
    <t>120 written reasons, each assembled from its own row's scores.</t>
  </si>
  <si>
    <t>Brand_Comparison</t>
  </si>
  <si>
    <t>One row per creator, one column per brand, plus Best Brand and Spread.</t>
  </si>
  <si>
    <t>Brand_Ranking</t>
  </si>
  <si>
    <t>5 blocks of 24, ordered by the engine's Rank Key.</t>
  </si>
  <si>
    <t>Top_Matches</t>
  </si>
  <si>
    <t>Top 5 and bottom 5 for each brand, with reason, strength and concern.</t>
  </si>
  <si>
    <t>Hard_vs_Soft_Filter</t>
  </si>
  <si>
    <t>Every filter in the catalogue, split by kind, with its measured effect on this roster.</t>
  </si>
  <si>
    <t>Validation</t>
  </si>
  <si>
    <t>15 checks, each computed in the workbook, plus the handle resolutions and the data gaps.</t>
  </si>
  <si>
    <t>Lookup_Lists</t>
  </si>
  <si>
    <t>Every weight, band, matrix and calibration constant. Edit here and the workbook moves.</t>
  </si>
  <si>
    <t>8. REGENERATING</t>
  </si>
  <si>
    <t>Commands</t>
  </si>
  <si>
    <t>npm run brandmatch:fetch  (office VPN required — re-reads the 24 accounts and rewrites scripts/brand-match/roster.json)  ·  npm run brandmatch:comparison  (rebuilds this file)  ·  npm run brandmatch:comparison:verify  (reads the built file back and checks the roster, the row counts, the formulas and the contextual-score claim).</t>
  </si>
  <si>
    <t>KOL SOURCE DATA  ·  the 24 requested accounts, read from the KOL server</t>
  </si>
  <si>
    <t>Nothing on this sheet is invented, estimated to fill a gap, or carried over from the engine workbook's sample roster. A cell reading N/A means the column exists and is empty, or the column does not exist at all — the Data Note says which. Every one of the five age columns is N/A for every creator: there is no age signal anywhere on this server.</t>
  </si>
  <si>
    <t>IDENTITY</t>
  </si>
  <si>
    <t>CATEGORY &amp; CONTENT</t>
  </si>
  <si>
    <t>AUDIENCE</t>
  </si>
  <si>
    <t>PERFORMANCE</t>
  </si>
  <si>
    <t>INTEGRITY</t>
  </si>
  <si>
    <t>COVERAGE</t>
  </si>
  <si>
    <t>KOL ID</t>
  </si>
  <si>
    <t>Requested Handle</t>
  </si>
  <si>
    <t>Handle</t>
  </si>
  <si>
    <t>Creator Name</t>
  </si>
  <si>
    <t>Platform</t>
  </si>
  <si>
    <t>Found In Database</t>
  </si>
  <si>
    <t>Followers</t>
  </si>
  <si>
    <t>Tier</t>
  </si>
  <si>
    <t>Verified</t>
  </si>
  <si>
    <t>Directory Category (raw)</t>
  </si>
  <si>
    <t>Category</t>
  </si>
  <si>
    <t>Category Basis</t>
  </si>
  <si>
    <t>Category From Captions</t>
  </si>
  <si>
    <t>Content Topics</t>
  </si>
  <si>
    <t>Classification Evidence</t>
  </si>
  <si>
    <t>Sub Category</t>
  </si>
  <si>
    <t>Content Style</t>
  </si>
  <si>
    <t>Creator City</t>
  </si>
  <si>
    <t>Bio</t>
  </si>
  <si>
    <t>Caption Digest</t>
  </si>
  <si>
    <t>Hashtag Digest</t>
  </si>
  <si>
    <t>Audience Age 13-17 %</t>
  </si>
  <si>
    <t>Audience Age 18-24 %</t>
  </si>
  <si>
    <t>Audience Age 25-34 %</t>
  </si>
  <si>
    <t>Audience Age 35-44 %</t>
  </si>
  <si>
    <t>Audience Age 45+ %</t>
  </si>
  <si>
    <t>Female %</t>
  </si>
  <si>
    <t>Male %</t>
  </si>
  <si>
    <t>Gender Known %</t>
  </si>
  <si>
    <t>Audience Country</t>
  </si>
  <si>
    <t>Country Share %</t>
  </si>
  <si>
    <t>Country Known %</t>
  </si>
  <si>
    <t>Audience City 1</t>
  </si>
  <si>
    <t>City 1 Share %</t>
  </si>
  <si>
    <t>Audience City 2</t>
  </si>
  <si>
    <t>City 2 Share %</t>
  </si>
  <si>
    <t>Audience City 3</t>
  </si>
  <si>
    <t>City 3 Share %</t>
  </si>
  <si>
    <t>City Known %</t>
  </si>
  <si>
    <t>Interest Known %</t>
  </si>
  <si>
    <t>Interest: art %</t>
  </si>
  <si>
    <t>Interest: automotive %</t>
  </si>
  <si>
    <t>Interest: beauty %</t>
  </si>
  <si>
    <t>Interest: business %</t>
  </si>
  <si>
    <t>Interest: education %</t>
  </si>
  <si>
    <t>Interest: entertainment %</t>
  </si>
  <si>
    <t>Interest: fashion %</t>
  </si>
  <si>
    <t>Interest: fitness %</t>
  </si>
  <si>
    <t>Interest: food %</t>
  </si>
  <si>
    <t>Interest: gaming %</t>
  </si>
  <si>
    <t>Interest: music %</t>
  </si>
  <si>
    <t>Interest: parenting %</t>
  </si>
  <si>
    <t>Interest: pets %</t>
  </si>
  <si>
    <t>Interest: photography %</t>
  </si>
  <si>
    <t>Interest: religion %</t>
  </si>
  <si>
    <t>Interest: sports %</t>
  </si>
  <si>
    <t>Interest: technology %</t>
  </si>
  <si>
    <t>Interest: travel %</t>
  </si>
  <si>
    <t>Engagement Rate (%)</t>
  </si>
  <si>
    <t>Engagement Rate Source</t>
  </si>
  <si>
    <t>Average Views</t>
  </si>
  <si>
    <t>Median Views</t>
  </si>
  <si>
    <t>View-to-Follower Ratio</t>
  </si>
  <si>
    <t>Posts Analyzed</t>
  </si>
  <si>
    <t>Posts / Month</t>
  </si>
  <si>
    <t>Observation Days</t>
  </si>
  <si>
    <t>Cadence Usable</t>
  </si>
  <si>
    <t>Followers Growth %</t>
  </si>
  <si>
    <t>Paid Ratio %</t>
  </si>
  <si>
    <t>Community Score</t>
  </si>
  <si>
    <t>Audience Quality</t>
  </si>
  <si>
    <t>Authenticity</t>
  </si>
  <si>
    <t>Follower Quality</t>
  </si>
  <si>
    <t>Content Risk</t>
  </si>
  <si>
    <t>Data Completeness %</t>
  </si>
  <si>
    <t>Confidence</t>
  </si>
  <si>
    <t>Data Note</t>
  </si>
  <si>
    <t>KOL-01</t>
  </si>
  <si>
    <t>@instagram</t>
  </si>
  <si>
    <t>instagram</t>
  </si>
  <si>
    <t>Instagram</t>
  </si>
  <si>
    <t>FOUND</t>
  </si>
  <si>
    <t>Yes</t>
  </si>
  <si>
    <t>Lifestyle | Moms</t>
  </si>
  <si>
    <t>Lifestyle</t>
  </si>
  <si>
    <t>live</t>
  </si>
  <si>
    <t>N/A</t>
  </si>
  <si>
    <t>Music</t>
  </si>
  <si>
    <t>Entertainment 2pt [music (caption)]</t>
  </si>
  <si>
    <t>Discover what's new on Instagram 🔎✨</t>
  </si>
  <si>
    <t>The precision in this trick 🤯 @leonmbz is a freestyle footballer who collabs with athletes across different sports. Here, he’s teaming up with spinning top world champion @jun_spintop_s. “I’ve always been trying to push the boundaries of what’s possible.” Video by @leonmbz and @jun_spintop_s Music by @_zynyx</t>
  </si>
  <si>
    <t>kol_directory.engagement_rate</t>
  </si>
  <si>
    <t>no audience analysis row · no audience interest rows · cadence unusable: null/month extrapolated from 0 observed day(s)</t>
  </si>
  <si>
    <t>KOL-02</t>
  </si>
  <si>
    <t>@cristiano</t>
  </si>
  <si>
    <t>cristiano</t>
  </si>
  <si>
    <t>Fitness</t>
  </si>
  <si>
    <t>Tech</t>
  </si>
  <si>
    <t>Esports, Makeup</t>
  </si>
  <si>
    <t>Gaming 3pt [game (caption); esports (caption)]  ·  Beauty 2pt [makeup (caption)]</t>
  </si>
  <si>
    <t>@Cristiano Ronaldo and Georgina Rodríguez (@georginagio) are married! For weeks, the internet was awash with speculation—about the date, the location, the guest list. (The rumored celebrity attendees included everyone from Rio Ferdinand to Rihanna.) In the end, the couple’s wedding took place on a symbolic date: August 11, the 10th anniversary of the day they first met at a Gucci store in Madrid. Instead of a blowout celebration, the couple, who have over 750 million Instagram followers between them, got married in their living room, wearing @gucci by Demna. “It was exactly as I’d imagined it,” says Georgina. For Vogue’s Summer digital cover, Gaby Wood spoke to Cris y Gio, as they are known to friends and family, about their intimate wedding day in Portugal. Tap the link in our bio for an exclusive look inside the ceremony. Photographed by @juergentellerstudio, makeup by @fermartinezlab, hair by @torrentfernando, with special thanks to @angelsproject, Vogue, Summer Digital Cover 2026. · Back 🟡🔵 · C❤️G · My toys 🚀 · Not yet 🤷🏽‍♂️😅 · Cuando te vuelves hacia la luz del sol, las sombras caen detrás de ti. 🌅 · Try my Game Day Blast recipe. Stay sharp. Stay ready. #FuelLikeRonaldo · Pai feliz ❤️ · Greatness takes many forms 💪 Esports World Cup is live in Paris with over 2000 players putting in the work to be the champion. @ewc_en · Football, art and passion. Proud to be part of Knight of Najd – Chapter II with @alnassr and @vhils. 100 moments from my journey, carved into on</t>
  </si>
  <si>
    <t>#fuellikeronaldo #alnassr #vhils #cr7 #knightofnajd</t>
  </si>
  <si>
    <t>complete on every tracked field</t>
  </si>
  <si>
    <t>KOL-03</t>
  </si>
  <si>
    <t>@leomessi</t>
  </si>
  <si>
    <t>leomessi</t>
  </si>
  <si>
    <t>Animal Lovers</t>
  </si>
  <si>
    <t>Bienvenidos a la cuenta oficial de Instagram de Leo Messi / Welcome to the official Leo Messi Instagram account</t>
  </si>
  <si>
    <t>Te amo, pa. ❤️ · Germany 2006. South Africa 2010. Brazil 2014. Russia 2018. Qatar 2022. Canada, Mexico and United States 2026. Six FIFA World Cups. Relive the journey with my official FIFA World Cup™ signed collection - available only at Icons.com Alemania 2006. Sudáfrica 2010. Brasil 2014. Rusia 2018. Qatar 2022. Canadá, México y Estados Unidos 2026. Seis Copas del Mundo. Reviví todo el camino con mi colección oficial firmada de la Copa Mundial de la FIFA™. Disponible exclusivamente en Icons.com · Thanks world, we’ll take it from here. 🌎 MLS &amp; Leagues Cup are back in a big way. · golden memories. ✨ the new Leo Messi x Originals collection, available tomorrow. · Introducing the new Leo Messi x Originals collection, available tomorrow. Certified gold. 🏅 Descubrí la nueva colección Leo Messi x Originals. Disponible desde mañana. Puro oro. 🏅 · El dolor es muy grande y va a costar que cierre esta herida. Pero también me quedo con todo lo bueno… Con los partidos que dimos vuelta dejando todo y que quedarán para siempre en la memoria, con el apoyo de un país entero que junto con el trabajo y el esfuerzo de este grupo nos llevó a volver a estar, una vez más, entre los mejores del mundo. Hoy cuesta valorar lo que hicimos, pero este grupo llegó a dos finales consecutivas de la Copa del Mundo. Muchas gracias de corazón por cada saludo y por cada mensaje. Una vez más logramos unirnos como país y estar todos juntos, compartiendo el inmenso orgullo de ser argentinos. También quiero fel</t>
  </si>
  <si>
    <t>no category: kol_categories carries none and caption evidence did not reach the threshold</t>
  </si>
  <si>
    <t>KOL-04</t>
  </si>
  <si>
    <t>@raffinagita1717</t>
  </si>
  <si>
    <t>raffinagita1717</t>
  </si>
  <si>
    <t>calculated</t>
  </si>
  <si>
    <t>Domestic Travel, Business, City &amp; Culture</t>
  </si>
  <si>
    <t>Travel 9pt [jalan-jalan (caption); wisata (caption); wisata lokal (caption)]  ·  Finance 5pt [umkm (caption)]</t>
  </si>
  <si>
    <t>Single terbaru "Bersyukurlah"  ⬇️⬇️</t>
  </si>
  <si>
    <t>Dari Indonesia, menuju lebih dekat ke Asia. 🌏🏠 Di press conference D’MASIV Asia Home Run, Nagita Slavina berbagi harapannya untuk membawa pengalaman D’MASIV lebih dekat dengan para pendengar di berbagai negara Asia—dengan skala yang lebih besar dan tentunya pengalaman yang nggak terlupakan. Siap ikut merasakan perjalanan D’MASIV Asia Home Run? 🏃‍♂️💨 🎟️ Dapatkan tiketmu: dmasivtour.com · Perjalanan The Duda’s-1 belum selesai. Setelah berkeliling Indonesia dan sempat membawa cerita sampai ke Amerika, kali ini rasa penasaran itu membawa kita menjelajahi Asia. Bukan cuma datang ke tempat baru, tapi mengenal lebih dekat budaya, kebiasaan, makanan, musik, dan cerita orang-orangnya. Melihat apa yang membuat setiap negara berbeda, sekaligus menemukan banyak hal yang ternyata terasa dekat dengan Indonesia. The Duda’s-1 Goes to Asia. Satu benua, banyak cerita. Kira-kira negara mana yang bakal mereka datangi pertama? · The Dudas-1, yang beranggotakan Raffi Ahmad, Ariel NOAH, Gading Marten, dan Desta, bersiap melebarkan sayap mereka ke kancah internasional lewat tur Asia. Setelah hampir tiga tahun aktif berkeliling Indonesia untuk mempromosikan destinasi wisata lokal serta mendongkrak UMKM, keempat sahabat ini memutuskan untuk menjajal tantangan baru di luar negeri. Ariel NOAH menjelaskan bahwa pemilihan kawasan Asia bertujuan untuk mempelajari cara negara-negara tetangga mempromosikan pariwisata mereka ke tingkat dunia, sehingga hasilnya dapat menjadi bahan pembelajaran yang berman</t>
  </si>
  <si>
    <t>#thedudasminusone #ransentertainment #dmasiv #nagitaslavina #utusankhususpresiden #pembinaangenerasimuda #pekerjaseni</t>
  </si>
  <si>
    <t>Indonesia</t>
  </si>
  <si>
    <t>category calculated from captions, not from kol_categories</t>
  </si>
  <si>
    <t>KOL-05</t>
  </si>
  <si>
    <t>@lunamaya</t>
  </si>
  <si>
    <t>lunamaya</t>
  </si>
  <si>
    <t>Beauty</t>
  </si>
  <si>
    <t>Career, Job Hunting &amp; CV, Domestic Travel</t>
  </si>
  <si>
    <t>Education 5pt [interview (caption)]  ·  Fashion 4pt [fashion (caption); gaya (caption); outfit (caption)]</t>
  </si>
  <si>
    <t xml:space="preserve">@namabeauty.co @tsmediaid
@roleentertainment @yayasan_lunamayanawasena 
lunamaya@role-entertainment.com 
BA @zappremiere @rrfx.indonesia</t>
  </si>
  <si>
    <t>POV: the jewels changed everything! @bvlgari✨️ More from this special cover story over at @bazaarindonesia 🫶 · A glimpse behind the sparkle✨️ @bvlgari · Dalam gerak, kilau, dan siluet yang tegas, @lunamaya mewarnai Harper’s Bazaar Indonesia edisi Agustus 2026. Dipotret di Singapura dalam balutan @bvlgari High Jewelry, kamera menangkap sisi Luna yang modern, powerful, dan penuh karakter. ✨ Portofolio ini: Keseluruhan Perhiasan &amp; Jam tangan: @bvlgari High Jewelry Director: @hilariusjason Video Editor: @fajrids Editor Fashion: @yudithnk Busana: @blancstudio.official @dibbaofficial, Didit Hediprasetyo, @heaven_tanudiredja @_peau @yosafat_k Makeup: @zhouaiyimua Hair: @tressandcurvy (@colinyeohair @dorenelowhair @sitosthair @janebokhair) Asst. Stylist: @nau.kamillaa Lokasi: The Clifford Pier Alfresco Deck and La Brasserie’s Private Dining Room at @fullertonbayhotelsg · A very Cinta birthday! @claurakiehl 🥳🫶 · Here’s to a brighter Indonesia🇮🇩🫶 · Dressed up for a day that means so much✨️🇮🇩 Dirgahayu ke-81, Indonesiaku. Semoga negeri ini selalu menjadi rumah yang kita banggakan❤️🤍 -- Outfit: @saptodjojokartiko | Stylist: @hagaipakan | Bag: @bvlgari | Make Up: @kunsoomakeupartist | Hair Do: @iwanetaufik_hair | Broch: @epajewel | Suntiang: @hummingbirdroad · Didn’t expect anything to survive HYROX hahaha but my makeup did tho. complexion, bibir, semuanya masih cakeppp💋 · Untuk edisi Agustus 2026, @lunamaya kembali menghiasi cover Harper’s Bazaar Indonesia. Dipotret di Singapur</t>
  </si>
  <si>
    <t>#withgalaxy #teamgalaxy #galaxys26ultra #circletosearchwithgoogle #circleitthatsall #mexico66golf #onitsukatiger #onitsukatigerid</t>
  </si>
  <si>
    <t>Bali</t>
  </si>
  <si>
    <t>Bandung</t>
  </si>
  <si>
    <t>Jakarta</t>
  </si>
  <si>
    <t>No</t>
  </si>
  <si>
    <t>cadence unusable: 45/month extrapolated from 4 observed day(s)</t>
  </si>
  <si>
    <t>KOL-06</t>
  </si>
  <si>
    <t>@ibnuwardani</t>
  </si>
  <si>
    <t>ibnuwardani</t>
  </si>
  <si>
    <t>TikTok</t>
  </si>
  <si>
    <t>Home &amp; Living 1pt [rumah (caption)]</t>
  </si>
  <si>
    <t>Setuju ga kalau kita keliling Indonesia? @Lita🐣 @Alvarazka Antarsukha Wardani · 🙏🏻🤣🙏🏻 @Lita🐣 @Alvarazka Antarsukha Wardani · Spiderman😍 @Lita🐣 @Alvarazka Antarsukha Wardani · STICH VIDEO INI‼️ Ultah Agustus mana JJ-nya🤣‼️ @Lita🐣 @Alvarazka Antarsukha Wardani · Kok malah rebahan😭🙏🏻 @Lita🐣 @Alvarazka Antarsukha Wardani · ULANGTAHUN AGUSTUS?! @Lita🐣 @Alvarazka Antarsukha Wardani · BIKIN NGILER! Sekali di TF 1 video jutaan, inimah puluhan ratusan juta gampang bgt🙏🏻😭 @tokoclippers · 🙏🏻🤣 @Lita🐣 @Alvarazka Antarsukha Wardani · BTS konten🤣 @Lita🐣 @Alvarazka Antarsukha Wardani · Rumah Impian ini untukmu, dan hanya untukmu, selamanya kamu akan jadi orang yang paling aku sayang🩵 @Lita🐣 @Alvarazka Antarsukha Wardani @Sibambo Studio @Satrio Ananda #rumahibnulita · #rumahibnulita</t>
  </si>
  <si>
    <t>#rumahibnulita</t>
  </si>
  <si>
    <t>l2_gold.kol_profile_card.monitoring_er_pct</t>
  </si>
  <si>
    <t>KOL-07</t>
  </si>
  <si>
    <t>@iben_ma</t>
  </si>
  <si>
    <t>iben_ma</t>
  </si>
  <si>
    <t>Entertainment</t>
  </si>
  <si>
    <t xml:space="preserve">living life to the fullest of capacity 💯🚀 
#LLTTFOC 
@sambalbakar 🔥
@jualemasidn 🥇
@fuelworld_ 💨
CP: 0811-1479-279 (Nonie)</t>
  </si>
  <si>
    <t>Awas lu Habibi, harus gantian lah!! · Jujur! Kalau lu bakal bawain nya apa?? 😁🙏🏻 · The real ngebut Pak Vincent, merdeka! 🇮🇩😁 · Maaf, tapi semua tindakan harus ada balasannya. 🙏🏻 · finallyyyyyy joining this trend, lots of prewedding content coming soon❤️ pre-wedding content creator @momentsmatter.id · Kadang semuanya udah masuk akal, masuk logika. Tapi tetep aja, perlu that final push of “I trust u” buat ngejalaninnya bener-bener maksimal dan pede. Thank you baby @natashabigeyl sudah percaya dengan decision-decision aku yang kadang terlalu roller coaster 😁❤️ Penghargaan ini ditujukan untuk kalian semua pecinta Eatsambel, dan yang pasti untuk team yang udah selalu support Eatsambel 24/7. LET’S GO KITA BAWA SAMBEL MENDUNIA!!!! 🔥🔥🔥🤤🤤🤤 · Wah harus JELAS nih. @sambalbakar · A one minute teaser of our pre-wedding session in our favorite city of all time. You know I’m the happiest when the gummy smile is out🤪❤️ baru teaser aja jujur udh mellow nontonnya hahaha gak sabar next week for the full video, tungguin yaaa!!!🥹❤️ video by @retromagis · Kita tunggu bareng nih di akunnya…😁🤩 📍Jual Emas Indonesia Cipinang · Astaga Habibi, udah gua bilang kan.. 🤣😁</t>
  </si>
  <si>
    <t>Kediri</t>
  </si>
  <si>
    <t>Lampung</t>
  </si>
  <si>
    <t>cadence unusable: 34.29/month extrapolated from 7 observed day(s)</t>
  </si>
  <si>
    <t>KOL-08</t>
  </si>
  <si>
    <t>@inul.d</t>
  </si>
  <si>
    <t>inul.d</t>
  </si>
  <si>
    <t>Food</t>
  </si>
  <si>
    <t>Coffee &amp; Beverage, Baking &amp; Dessert, Budget Travel</t>
  </si>
  <si>
    <t>Food 10pt [dessert (caption); minuman (caption); cafe (caption)]  ·  Travel 4pt [travel (caption); promo (caption)]</t>
  </si>
  <si>
    <t xml:space="preserve">✨BA @sunco_id @brightgas @miburungdara @purinaindonesia 
INUL INFO 👇</t>
  </si>
  <si>
    <t xml:space="preserve">sexy 💋 designer 👉 @jaka_raja @jaka_raja2 💋 shoes Bali 👉 @niluhdjelantik 💋 DMD Panggung Rezeki @officialmnctv · REVEAL! ✨ Scent Your Song — Paket Karaoke + Parfum Favoritmu! 🎤✨ Yang kemarin masih coming soon, sekarang waktunya di-reveal! 👀 Nikmati serunya karaoke sambil bawa pulang parfum pilihanmu dalam Scent Your Song dari Inul Vizta. 🎶💐 MEDIUM PACKAGE — Rp315.000 2 Jam Room + 1 Appetizer + 1 Dessert + 1 Pitcher Minuman + 1 Parfum LARGE PACKAGE — Rp510.000 2 Jam Room + 2 Appetizer + 2 Dessert + 2 Pitcher Minuman + 1 Parfum DELUXE PACKAGE — Rp750.000 2 Jam Room + 3 Appetizer + 3 Dessert + 3 Pitcher Minuman + 1 Parfum 🍴 Appetizer: Cheese Sticks / Mac N’ Cheese / Tteokbokki Cheese 🍰 Dessert: Double Choux 🥤 Beverage: Lychee Tea / Lemon Tea / Orange Juice / Coca-Cola / Fanta 🎁 BONUS PROMO PARFUM Tebus parfum hanya Rp75.000 dengan minimal belanja Rp1.000.000. Harga paket sudah termasuk tax &amp; service. Harga tebus parfum Rp75.000 belum termasuk tax &amp; service. 📍 Tersedia di outlet: DKI Jakarta • Inul Vizta Buaran • Inul Vizta Kramat Jati • Inul Vizta Kota Kasablanka • Inul Vizta Melawai • Inul Vizta Pejaten Jawa Barat • Inul Vizta Summarecon Bekasi • Inul Vizta Harapan Indah • Inul Vizta Blu Plaza • Inul Vizta TSM Cibubur • Inul Vizta Cileungsi • Inul Rumah Bernyanyi • Inul Vizta Festive Walk • Inul Vizta Sukabumi • Inul Vizta Paskal Bandung Banten • Inul Vizta Tangerang City • Inul Vizta Balekota Jambi • Inul Vizta Jambi 🎤 Sing your song, complete your scent! Saatnya </t>
  </si>
  <si>
    <t>#inulvizta #daraparfum #promokaraoke #scentyoursong #keinvizaja #inulviztakaraoke #karaokekeluarga #17agustus #dmdpanggungrezeki #mnctvrumahnyadangdut #hutri81</t>
  </si>
  <si>
    <t>category calculated from captions, not from kol_categories · cadence unusable: 105/month extrapolated from 2 observed day(s)</t>
  </si>
  <si>
    <t>KOL-09</t>
  </si>
  <si>
    <t>@bbrightvc</t>
  </si>
  <si>
    <t>bbrightvc</t>
  </si>
  <si>
    <t>Fashion</t>
  </si>
  <si>
    <t>no engagement rate on any of the three sources · no audience analysis row · no audience interest rows</t>
  </si>
  <si>
    <t>KOL-10</t>
  </si>
  <si>
    <t>@pevpearce</t>
  </si>
  <si>
    <t>pevpearce</t>
  </si>
  <si>
    <t>Race &amp; Event, Running, Investing</t>
  </si>
  <si>
    <t>Fitness 3pt [race (caption)]  ·  Beauty 2pt [makeup (caption)]</t>
  </si>
  <si>
    <t>A reminder, dreams do come true ✨🏎️ · Monza, we finally meet and even more 🏁 Nggak ada yang ngalahin feeling balik ke race week setelah summer break apalagi ngerasainnya langsung dari salah satu circuit paling legendaris di dunia. Plus, sempat shooting bareng Lewis &amp; Charles juga… kebayang kan serunya kaya apa ✨ Can't wait to show you more... stay tuned! 🏎️ · Next coba apa lagi ya? Spill ✨️ · Date night · Once upon a time di 2019 pas lagi medical check up di Kuala Lumpur dikenalin ke Mirzan dan fast forward sekarang ngerayain hari ulang tahunnya as husband &amp; wife. Life is so funny. They say the best stories are the ones you don’t see coming. Meeting you was mine. Thank you for being you, My Love. Happy birthday to my fave person. · Off the grid for a few days · My July cover for Harper's Bazaar Indonesia is out! Sharing stories of dedication and my creative path, all while in beautiful @louisvuitton. So much love for this feature Fotografi: @mr_hendra Fashion Editor: @sophisticadit Makeup: @evalovira Hair: @picaleva Asisten Stylist: @nau.kamillaa Wardrobe &amp; Accessories: @louisvuitton Teks: sadini Layout Cover: @somadvladislav · Bagi @pevpearce, apa yang terwujud hari ini mungkin pernah bermula dari sesuatu yang sederhana, yakni sebuah bayangan tentang apa yang ingin ia ciptakan. Membuka edisi Juli 2026 Harper’s Bazaar Indonesia, Pevita Pearce hadir dalam balutan @louisvuitton dan berbagi cerita tentang karya, manifestasi, serta dedikasi yang membawanya sampai pada titik in</t>
  </si>
  <si>
    <t>Jawa</t>
  </si>
  <si>
    <t>KOL-11</t>
  </si>
  <si>
    <t>@irwansyah_15</t>
  </si>
  <si>
    <t>irwansyah_15</t>
  </si>
  <si>
    <t>Coffee &amp; Beverage, Kids &amp; Family</t>
  </si>
  <si>
    <t>Parenting 3pt [keluarga (caption)]  ·  Food 2pt [kopi (caption)]</t>
  </si>
  <si>
    <t xml:space="preserve">Indonesian
• @15interior_official 
• @jannahtravel 
• @umroqutravel 
• @swizgroup 
Cp +6285176781115 Ov (work only)</t>
  </si>
  <si>
    <t>Dirgahayu Indonesiaku! 81 tahun Indonesia merdeka, Indonesia berdaulat adil dan makmur 🇮🇩 · Semoga kelak Anak2 bisa lebih baik dari kami , semoga Allah jaga mereka آمِيْن اللّهُمَّ آمِيْن Barakallahufiikum anak2 shaleh dan shalehah ku syg · Gawat Ada King @mister.aloy di hari Minggu ❤️ Sehat" semuanyaa guys 🙏 · MasyaAllah Tabarakallah ❤️ semoga Allah jaga anak2ku syg · Ternyata ini isi tasnya @irwansyah_15 ❤️👀 ide challenge apa ya berikutnya? #pakaiautannyamukpamitan · kirain ada maling nggak taunya...🤣🦟 #PakaiAutanNyamukPamitan · caption nya apa ya? 😎 · Kamu team roma + kopi ? Atau roma + teh ? #Pastiromakelapa 🤤😍 @roma.biskuitkelapa · Alhamdulillah Senangnya bisa bergabung di keluarga @barakat_id 😍 siapa yang udah coba @barakat_id ? Ada yang mau dikirimin parcel barakat? Cungg👆🏻 · Satu lagi dari @mayoraofficial , @le_mineraleid 😉 · #pakaiautannyamukpamitan · #PakaiAutanNyamukPamitan · #Pastiromakelapa</t>
  </si>
  <si>
    <t>#pakaiautannyamukpamitan #pastiromakelapa</t>
  </si>
  <si>
    <t>Madiun</t>
  </si>
  <si>
    <t>Palu</t>
  </si>
  <si>
    <t>KOL-12</t>
  </si>
  <si>
    <t>@fadiljaidi</t>
  </si>
  <si>
    <t>fadiljaidi</t>
  </si>
  <si>
    <t>Makeup, Product Swatch &amp; Review</t>
  </si>
  <si>
    <t>Beauty 3pt [shade (caption)]  ·  Fashion 1pt [gaya (caption)]</t>
  </si>
  <si>
    <t xml:space="preserve">BA @maricafe.id 
Endorsement 
WA : 081295223083(Admin 1)
         085282606565(Admin 2)</t>
  </si>
  <si>
    <t>Ini gaya tos nya udah dari kita kecil serius 🙏🏻😭 #Juanneve #jasthr #Fadiljaidi · Udah akrab aja jasthr sama om ini @fadiljaidi 😭 #Juanneve · GIMANA KALO KITA KASIH LANGSUNG DAN LIAT REAKSINYA ?🙄 Jual Emas Indonesia baru buka nihh di JEI Pondok Indah yaaa berikut alamatnya : 📍 Jl. Sultan Iskandar Muda No.8, Kec. Kebayoran Lama, Kota Jakarta Selatan. · Mau review shade, tapi shadenya MOP Arena wkwk seruuuuu bareng @fadiljaidi @keanuagl Nippon Paint, Best in Class!! #NipponPaint #NPBestinClass · Final Match Piala Dunia seru banget!! Terima kasih @rexonamenid udah selalu setia setiap saat bikin papa happy di Piala dunia kali ini #SetiaSetiapSaat · Laporan Kesehatan Papa · Ada orang Ganteng + Wangi · Mood hari ini · 😂❤️😂 · kamu punya paket? langsung aja kirim, dijamin harganya lebih fair #TolakBayarAngin · #Juanneve · #jasthr · #Fadiljaidi · #Juanneve · #NipponPaint · #NPBestinClass · #SetiaSetiapSaat · #TolakBayarAngin</t>
  </si>
  <si>
    <t>#juanneve #jasthr #fadiljaidi #nipponpaint #npbestinclass #setiasetiapsaat #tolakbayarangin</t>
  </si>
  <si>
    <t>Magelang</t>
  </si>
  <si>
    <t>Pontianak</t>
  </si>
  <si>
    <t>KOL-13</t>
  </si>
  <si>
    <t>@saalhaerid</t>
  </si>
  <si>
    <t>saalhaerid</t>
  </si>
  <si>
    <t xml:space="preserve">PP/ENDORSE @prabmanagement
Campaign/Kerjasama DM @adminabadi
@pentolplatkt 
@tofu_brutal 
@gorenganpokgeboy</t>
  </si>
  <si>
    <t>🤣🤣🤣 #sadin · kesayanganku😍 #sadin · 🤣🤣🤣 #sadin · langsung ketar ketir😭 #sadin · baru kepikiran🤭🤣 #sadin · 😭😭😭 #sadin · Dua hati, satu janji, dan seumur hidup untuk dijalani. Untuk cinta, tawa, dan awal selamanya kita yang dimulai hari ini. · jika tujuannya sama, perasaanya sama, sebesar apapun rintangan dan cobaanya pasti akan sampai juga. #sadin · a new chapter begins. #sadin · #sadin · #sadin · #sadin · #sadin · #sadin · #sadin · #sadin · #sadin</t>
  </si>
  <si>
    <t>#sadin</t>
  </si>
  <si>
    <t>KOL-14</t>
  </si>
  <si>
    <t>@jharnabhagwani</t>
  </si>
  <si>
    <t>jharnabhagwani</t>
  </si>
  <si>
    <t>Makeup, City &amp; Culture, Domestic Travel</t>
  </si>
  <si>
    <t>Beauty 4pt [makeup (caption); makeup (hashtag)]  ·  Travel 3pt [budaya (caption)]</t>
  </si>
  <si>
    <t>Last one! 🕷️❣️ #spiderman · Dirgahayu Republik Indonesia 🇮🇩❤️ Indonesia yang penuh warna, budaya, dan cerita. Merdeka! 🇮🇩✨ · REBIRTH 🕷️🕸️ #spidermanbrandnewday #makeup #transition · Spider woman 🕷️❣️ #spidermanbrandnewday #spiderman #makeup #trend · Thank you @Urban Decay Indonesia having me at The Baddest Party of the Year! Always a blast celebrating bold looks with the best team. #urbandecayid #UDbaddies · Mommy 🕷️ and Baby Spidey 🕸️ #spiderman #makeup #transition · The Odyssey 👁️ #odyssey #makeup #transition · Devdas Makeup Transition 🪔 Paro’s pov ✨ • #devdas #indianmakeup #transition #bollywood · Cleopatra x The Mummy 🪲⚰️ One of the most requests I’ve ever received on a trend!! Better late than never right? 🫣 I tried to putting my own twist on it, and learned so many new things along the way 🥹💛 Hope you enjoyed watching! Trend setter: @ _marianazambrano Shout out to all the amazing content creators who did this trend! And Thank you for tagging and waiting for me to join in ✨ · Here’s my version of the #Asoka trend! 🫣♥️ Hope you guys like it 🥰 #jharnabhagwani #makeuptransition · #spiderman · #spidermanbrandnewday · #makeup · #transition · #spidermanbrandnewday · #spiderman · #makeup · #trend · #urbandecayid · #udbaddies · #spiderman · #makeup · #transition · #odyssey · #makeup · #transition · #devdas · #indianmakeup · #transition · #bollywood · #asoka · #jharnabhagwani · #makeuptransition</t>
  </si>
  <si>
    <t>#spiderman #spidermanbrandnewday #makeup #transition #trend #urbandecayid #udbaddies #odyssey #devdas #indianmakeup #bollywood #asoka #jharnabhagwani #makeuptransition</t>
  </si>
  <si>
    <t>Tulungagung</t>
  </si>
  <si>
    <t>KOL-15</t>
  </si>
  <si>
    <t>@sptrakori_</t>
  </si>
  <si>
    <t>sptrakori_</t>
  </si>
  <si>
    <t>Kids &amp; Family</t>
  </si>
  <si>
    <t>Parenting 3pt [anak (caption)]</t>
  </si>
  <si>
    <t>uncle sama enduw jalan jalan di Bali Farm🥰 #sptrakori_ #enduw #korizen · snack ini emang untuk perempuan di seluruh muka bumi de kayaknya🥲#snackterserah · kalo di culik tapi ditidurinnya diatas @TURU sih mau yaaa😗 #sptrakori_ #korizen · anak kecil belom boleh pacaran yah😛 #sptrakori_ #korizen · pertama kali enduw berenang dirumah uncle😍 #sptrakori_ #enduw · ga pernah se-terharu ini🥹😭❤️ makasi banyak semuanyaa🫶🏻 #sptrakori_ · PAPAPA ULALALA😛 · Kalo sampe crush kalian kayak gini mau ges?@Garnier Indonesia #MomenPalingNyerah #HelloMochiSkin #GarnierDryTouchCream #skin · maapin ya vlognya panjang, biar puas nontonnya hahaha😆 #sptrakori_ #korizen · ASMR acara Melaspas dan Birthday, 13.08.2026 #sptrakori_ #korizen · #sptrakori_ · #enduw · #korizen · #snackterserah · #sptrakori_ · #korizen · #sptrakori_ · #korizen · #sptrakori_ · #enduw · #sptrakori_ · #momenpalingnyerah · #hellomochiskin · #garnierdrytouchcream · #skin · #sptrakori_ · #korizen · #sptrakori_ · #korizen</t>
  </si>
  <si>
    <t>#sptrakori_ #enduw #korizen #snackterserah #momenpalingnyerah #hellomochiskin #garnierdrytouchcream #skin</t>
  </si>
  <si>
    <t>Garut</t>
  </si>
  <si>
    <t>Palembang</t>
  </si>
  <si>
    <t>Tangerang</t>
  </si>
  <si>
    <t>cadence unusable: 50/month extrapolated from 6 observed day(s)</t>
  </si>
  <si>
    <t>KOL-16</t>
  </si>
  <si>
    <t>@lalitahutami</t>
  </si>
  <si>
    <t>lalitahutami</t>
  </si>
  <si>
    <t>Education 1pt [belajar (caption)]  ·  Lifestyle 1pt [daily (caption)]</t>
  </si>
  <si>
    <t>ashoyyy 🤙🏼 @Ibnu Wardani · CAPEK BGT NGETAWAIN MASNU 😭 @Ibnu Wardani · Lift Trend💖 @Ibnu Wardani @Alvarazka Antarsukha Wardani · Pengen sedikit cerita sama kalian 🥹 hampir mau nyerah, tapi untung ada @Garnier Indonesia ✨ #MomenPalingNyerah #HelloMochiSkin #GarnierDryTouchCream #Skin · Zuzurrr bgt ganyangka sampe abis segini🤣 untung aja sekarang pake @ulike.indonesia 😋🫶🏻 #Ulike #Ulikeid #UlikeIPL · Hubungan saling effort😊👊❤️ @Ibnu Wardani @Alvarazka Antarsukha Wardani @Ibnu Lita daily · hasil belajar 5menit ☺️🫶🏻 · Hmm jadi percaya siapa yaa?🙄 @iniristamoritaa @Ibnu Wardani #MertuaMenantuShow · Cuma mau liatin video doang loh😭 @Ibnu Wardani @Alvarazka Antarsukha Wardani · 🫶🏻🥲 @Ibnu Wardani @Alvarazka Antarsukha Wardani · #momenpalingnyerah · #hellomochiskin · #garnierdrytouchcream · #skin · #ulike · #ulikeid · #ulikeipl · #mertuamenantushow</t>
  </si>
  <si>
    <t>#momenpalingnyerah #hellomochiskin #garnierdrytouchcream #skin #ulike #ulikeid #ulikeipl #mertuamenantushow</t>
  </si>
  <si>
    <t>Ende</t>
  </si>
  <si>
    <t>Sulawesi Selatan</t>
  </si>
  <si>
    <t>KOL-17</t>
  </si>
  <si>
    <t>@isyanasarasvati</t>
  </si>
  <si>
    <t>isyanasarasvati</t>
  </si>
  <si>
    <t xml:space="preserve">@sarasvatistage
@redrose.records</t>
  </si>
  <si>
    <t xml:space="preserve">MANILA, WE’RE COMING! 🇵🇭 Isyana Sarasvati’s ASIA TOUR SET is making its way to @lalalafestmanila See youuuu! ❤️‍🔥🤘🏻 · seru-seruan pake menu spesial 😋 · Kangenku terobati piuu kemarin, thank youu energi isanesenna Inyooo @isyanation_ 🥹❤️‍🔥✨ #ISYANAEKLEKTIKO · The ICON Season 1 has finally come to an end! It’s been an incredible journey being one of the judges for this pilot season. Thank you @theiconindonesia_sctv for trusting me. Such an honor to witness so many incredible talents and watch them grow stronger EVERY single day. Congratulationsss to @theicon_felicia , @theicon_vedra , and all the contestants. You GUYS ARE ONE OF A KIND! Thank you for bringing such a breath of fresh air to the music scene. I’m officially a fan of you both. Welcome to the club! 🖤🫶🏻✨🤘🏻🎤🎵 photos by @lukasandre0306 · Honored to be performing at the Yamaha Gala Concert 2026 in Tokyo! 🇯🇵🫶🏻✨ As a yamaha music school alumna, it means so much to return and celebrate music alongside incredible musicians. Grateful to represent Indonesia w/ @kenanloui as the only two artists joining from overseas. See you in Tokyo!! · KOREAAAA! YESTERDAY WAS UNREAL! YOUR ENERGY WAS OUT OF THIS WORLD! One of the best crowds I’ve had this year! KAMSAMNIDA, YOROBUNNN!! @pentaportrf 🤘🏻✨🇰🇷 It was my second time performing in Korea, and once again, it felt so unreal to see how much you appreciated my music. I truly hope I can come back again someday! #IsyanaSarasvatiAsiaTour2026 Photos by team @pentaportrf </t>
  </si>
  <si>
    <t>#isyanaeklektiko #isyanasarasvatiasiatour2026 #isyanasarasvati #sarasvatistage #eklektikoisyana #isyana5thalbum</t>
  </si>
  <si>
    <t>KOL-18</t>
  </si>
  <si>
    <t>@lambe_turah</t>
  </si>
  <si>
    <t>lambe_turah</t>
  </si>
  <si>
    <t xml:space="preserve">GOSIP ADALAH FAKTA YANG TERTUNDA
DM NO PICT = HOAX
SPAM = BLOCK</t>
  </si>
  <si>
    <t>Bisa sekalian hiling nehhh... · Lagi banyak kejadian di laut.. · Pake sabun.... · Ka kanwil pajak lhoooo..... · What happen aya naon?🤔🤔 · Pray For NTT 🙏🙏 · Klean desil berapa nderr??? · Siappp grak.... · Semangat kakak 💪💪 · Klean desil berapa nderr???</t>
  </si>
  <si>
    <t>Padang</t>
  </si>
  <si>
    <t>Samarinda</t>
  </si>
  <si>
    <t>cadence unusable: 300/month extrapolated from 1 observed day(s)</t>
  </si>
  <si>
    <t>KOL-19</t>
  </si>
  <si>
    <t>@ditanganu</t>
  </si>
  <si>
    <t>ditanganu</t>
  </si>
  <si>
    <t>Finance 1pt [uang (caption)]  ·  Food 1pt [makanan (caption)]</t>
  </si>
  <si>
    <t>TUTUP GORDEN LANJUT TIDUR · HARUS PUNYA INI DI RUMAH · COCOK BUAT KALIAN YANG SUKA FOTO · KANGEN BANGET MASA ITU · KALAU KE MAKANAN UANG SELALU ADA · BANGGA DENGAN PENCAPAIANKU · BISA DI PINDAHIN KEMANAPUN · YAUDAH AKU MINTA MAAF · SIAP JALAN JALAN · NYESEL MAKAN DI LUAR</t>
  </si>
  <si>
    <t>no category: kol_categories carries none and caption evidence did not reach the threshold · cadence unusable: 150/month extrapolated from 2 observed day(s)</t>
  </si>
  <si>
    <t>KOL-20</t>
  </si>
  <si>
    <t>@hesfinatia</t>
  </si>
  <si>
    <t>hesfinatia</t>
  </si>
  <si>
    <t>Reaksi orang” pada ngakak😭🫵🏻 #fyp · Ternyata dia gatau kopdes jadi maunya indromarets🥲🙏🏻 · bisa” nya dia baru bilang😭 #fyp · Ini hasilnya🥹🙏🏻 #fyp · Drama banget😭🙏🏻 #fakebodyy⚠️ #fakesituation⚠️️ · lah ko dia doyan😭 · Plis takut banget😭🫵🏻 #fyp · Jadi pengen nikah lagi deh😭🙏🏻 #fyp · Bridesmaid nya @Gelia Linda 🤍✨ · Banyak ngelamun gini😭 #fyp · #fyp · #fyp · #fyp · #fakebodyy⚠️ · #fakesituation⚠️️ · #fyp · #fyp · #fyp</t>
  </si>
  <si>
    <t>#fyp #fakebodyy⚠️ #fakesituation⚠️️</t>
  </si>
  <si>
    <t>cadence unusable: 42.86/month extrapolated from 7 observed day(s)</t>
  </si>
  <si>
    <t>KOL-21</t>
  </si>
  <si>
    <t>@erickapinedao9</t>
  </si>
  <si>
    <t>@erickapineda09</t>
  </si>
  <si>
    <t>erickapineda09</t>
  </si>
  <si>
    <t>FOUND (alias)</t>
  </si>
  <si>
    <t>requested @erickapinedao9; resolved to @erickapineda09 · no engagement rate on any of the three sources · no audience analysis row · no audience interest rows</t>
  </si>
  <si>
    <t>KOL-22</t>
  </si>
  <si>
    <t>@anyageraldine</t>
  </si>
  <si>
    <t>anyageraldine</t>
  </si>
  <si>
    <t>Career, Film &amp; Series, Job Hunting &amp; CV</t>
  </si>
  <si>
    <t>Education 5pt [interview (caption)]  ·  Entertainment 4pt [film (caption); bioskop (caption)]</t>
  </si>
  <si>
    <t>🇮🇩 Business inquiries: +62 811 191 8959 (ochi) Whatsapp.</t>
  </si>
  <si>
    <t xml:space="preserve">reminiscing 🇯🇵🥢 · Kemanapun dan kapanpun, aku gak pernah lepas dari Joiway i1 ini! Selain harganya yang affordable banget, Joiway i1 udah jadi salah satu barang essential aku yang harus selalu aku bawa😆 @joiway_id #JOIWAYi1 #JoiwayEveryday #BestDevice2026 · dululululu one-sided love story 💓🤓🫰🏻🌈🫂🦋 (doain ya ges) · Karena banyak pilihan warna, Joiway i1 bisa aku bawa untuk semua aktivitas aku! Termasuk interview kali ini, yang sampai bikin salfok🫣 #JOIWAYi1 #JoiwayEveryday #BestDevice2026 · her ego needed some fresh air 🧘🏼‍♀️🏞️🥂💅🏼✨ · #obsession 💘💘💘 · The little details make all the difference. ✨ Mulai dari apa yang kudengar dengan #OPPOEncoClip2 hingga momen yang kuabadikan dengan #OPPOFindX9s, setiap detail punya ceritanya sendiri. #EffortlessInStyle · Official Poster #Shutter 📸🧟‍♀️ Tayang 30 Oktober di Bioskop @vinogbastian__ @nikenanjanii @anyageraldine @donnyalamsyah @andrimashadi @rangganattra @dewigita01 @rukmanrosadi_ @chellibobs @nugietrilogy @iangdarmawan @nonangie @aphang_alimsudio @herwinnovianto @er1ca · Masa lalu yang kelam membuat luka yang begitu dalam di hati. Namun, Aris kembali. Kinan, Lydia... Siapa yang tersakiti kali ini? Film Layangan Putus SEGERA di bioskop! 🪁 #LayanganPutus #MDEntertainment #MDPictures · Emangnya GAMPANG cari CUAN? Adik kakak selalu punya sifat, kelakukan, tempramen, dan ambisi beda-beda. Tapi pas ada momen, harus kerja bareng melawan realita yang lebih sering bikin nangis daripada manis. Apapun itu, yang penting </t>
  </si>
  <si>
    <t>#joiwayi1 #joiwayeveryday #bestdevice2026 #obsession #oppoencoclip2 #oppofindx9s, #effortlessinstyle #shutter #layanganputus #mdentertainment #mdpictures #gampangcuanfilm</t>
  </si>
  <si>
    <t>Bogor</t>
  </si>
  <si>
    <t>KOL-23</t>
  </si>
  <si>
    <t>@shabiraaluaadnan</t>
  </si>
  <si>
    <t>@shabiraalulaadnan</t>
  </si>
  <si>
    <t>shabiraalulaadnan</t>
  </si>
  <si>
    <t>requested @shabiraaluaadnan; resolved to @shabiraalulaadnan · no category: kol_categories carries none and caption evidence did not reach the threshold · no engagement rate on any of the three sources · no audience analysis row · no audience interest rows</t>
  </si>
  <si>
    <t>KOL-24</t>
  </si>
  <si>
    <t>@pojoksatu.id</t>
  </si>
  <si>
    <t>pojoksatu.id</t>
  </si>
  <si>
    <t>Domestic Travel, Nature &amp; Outdoor, Audio &amp; Wearable</t>
  </si>
  <si>
    <t>Travel 10pt [pantai (caption); gunung (caption)]  ·  Tech 6pt [headphone (caption); api (caption)]</t>
  </si>
  <si>
    <t>Kasus hukum yang menyangkut PT Toba Pulp Lestari kembali jadi sorotan. Bagaimana tidak, kini ada 3 kasus hukum sekaligus. Terbaru Kejagung mengungkap dugaan korupsi transfer pricing yang menyeret nama perusahaan. Usai viral, PT Toba Pulp Lestari Tbk (INRU) buka suara. Direktur sekaligus Corporate Secretary INRU, Anwar Lawden, mengaku telah menerima informasi tersebut. Saat ini, perseroan masih melakukan pendalaman dan verifikasi atas informasi tersebut. "Perseroan akan menyampaikan informasi lebih lanjut kepada BEI dan publik sesuai dengan ketentuan peraturan perundang-undangan yang berlaku apabila telah tersedia informasi yang material, relevan, dan dapat diverifikasi," tulis Anwar, Kamis (20/8/2026). #pojoksatu · Aksi seorang pengendara motor di Jalan Lebak Bulus mendadak bikin warganet mengelus dada dan emosi jiwa. Bagaimana tidak, di saat ambulans sedang melaju kencang membawa pasien dalam kondisi kritis menuju RS Fatmawati, pemotor ini justru terkesan enggan memberi ruang jalan meski sirine sudah meraung-raung. Bukannya langsung menepi demi menyelamatkan nyawa orang, situasi di jalanan malah makin memanas setelah sang pemotor justru terlibat cekcok dengan sopir ambulans. Aksi egois yang lebih mementingkan gengsi ketimbang keselamatan pasien kritis ini jelas memicu amarah publik. Bikin heran, kok ya sempat-sempatnya diajak debat di saat nyawa orang lain sedang dipertaruhkan? · Momen seorang penumpang kereta api menjadi perhatian setelah memutar musik dengan volume keras t</t>
  </si>
  <si>
    <t>#pojoksatu #wuwacreator #wutheringwaves</t>
  </si>
  <si>
    <t>Sulawesi</t>
  </si>
  <si>
    <t>category calculated from captions, not from kol_categories · cadence unusable: null/month extrapolated from 0 observed day(s)</t>
  </si>
  <si>
    <t>BRAND PROFILE  ·  five brands, every category taken from the KOL database</t>
  </si>
  <si>
    <t>One column per brand. The Category row holds a kol_categories.taxonomy_key value — Tech, Beauty, Food, Fitness, Fashion — and the Audience Interests rows hold audience_interest_daily.interest_key values, both exactly as the database spells them. The Source column says which database column each field speaks to, or states that none does; the three fields where none does score nothing.</t>
  </si>
  <si>
    <t>Section</t>
  </si>
  <si>
    <t>Brand Field</t>
  </si>
  <si>
    <t>Key</t>
  </si>
  <si>
    <t>Source in the database</t>
  </si>
  <si>
    <t>NovaTech</t>
  </si>
  <si>
    <t>LumiSkin</t>
  </si>
  <si>
    <t>DailyBite</t>
  </si>
  <si>
    <t>MoveFit</t>
  </si>
  <si>
    <t>UrbanMuse</t>
  </si>
  <si>
    <t>A. BRAND RECORD  ·  public.brand</t>
  </si>
  <si>
    <t>Brand ID</t>
  </si>
  <si>
    <t>brand_id</t>
  </si>
  <si>
    <t>— workbook key</t>
  </si>
  <si>
    <t>BR-01</t>
  </si>
  <si>
    <t>BR-02</t>
  </si>
  <si>
    <t>BR-03</t>
  </si>
  <si>
    <t>BR-04</t>
  </si>
  <si>
    <t>BR-05</t>
  </si>
  <si>
    <t>Brand Name</t>
  </si>
  <si>
    <t>brand_name</t>
  </si>
  <si>
    <t>public.brand.name</t>
  </si>
  <si>
    <t>Category (canonical)</t>
  </si>
  <si>
    <t>category</t>
  </si>
  <si>
    <t>public.kol_categories.taxonomy_key — one of the 9 canonical values</t>
  </si>
  <si>
    <t>Product / Service</t>
  </si>
  <si>
    <t>product</t>
  </si>
  <si>
    <t>— descriptive, scores nothing</t>
  </si>
  <si>
    <t>Productivity &amp; Business Software</t>
  </si>
  <si>
    <t>Skincare / Beauty</t>
  </si>
  <si>
    <t>Food / Beverage</t>
  </si>
  <si>
    <t>Sportswear / Fitness Product</t>
  </si>
  <si>
    <t>Fashion / Apparel</t>
  </si>
  <si>
    <t>Brand Keywords</t>
  </si>
  <si>
    <t>brand_keywords</t>
  </si>
  <si>
    <t>public.brand.brand_keywords</t>
  </si>
  <si>
    <t>teknologi, software, aplikasi, produktivitas, bisnis, digital</t>
  </si>
  <si>
    <t>skincare, perawatan kulit, kecantikan, glowing, serum, sunscreen</t>
  </si>
  <si>
    <t>makanan, minuman, kuliner, resto, cafe, jajan</t>
  </si>
  <si>
    <t>fitness, olahraga, gym, lari, kebugaran, sehat</t>
  </si>
  <si>
    <t>fashion, outfit, ootd, gaya, koleksi, style</t>
  </si>
  <si>
    <t>Brand Hashtags</t>
  </si>
  <si>
    <t>brand_hashtags</t>
  </si>
  <si>
    <t>public.brand.brand_hashtags</t>
  </si>
  <si>
    <t>tech, gadget, startup, produktivitas, aplikasi</t>
  </si>
  <si>
    <t>skincare, beauty, glowing, makeup, bpom</t>
  </si>
  <si>
    <t>kuliner, food, makanan, foodie, jajan</t>
  </si>
  <si>
    <t>fitness, workout, gym, olahraga, sport</t>
  </si>
  <si>
    <t>ootd, fashion, style, outfit, lookbook</t>
  </si>
  <si>
    <t>B. TARGET AUDIENCE</t>
  </si>
  <si>
    <t>Primary Age Range</t>
  </si>
  <si>
    <t>primary_age_range</t>
  </si>
  <si>
    <t>NO COLUMN — audience_demographics_daily holds gender only; scores nothing</t>
  </si>
  <si>
    <t>25-34</t>
  </si>
  <si>
    <t>18-24</t>
  </si>
  <si>
    <t>Secondary Age Range</t>
  </si>
  <si>
    <t>secondary_age_range</t>
  </si>
  <si>
    <t>NO COLUMN — as above</t>
  </si>
  <si>
    <t>Gender Majority</t>
  </si>
  <si>
    <t>gender_majority</t>
  </si>
  <si>
    <t>audience_demographics_daily (audience_type='gender') + feature.*_audience_analysis.female_pct</t>
  </si>
  <si>
    <t>Balanced</t>
  </si>
  <si>
    <t>Female</t>
  </si>
  <si>
    <t>Target Country</t>
  </si>
  <si>
    <t>target_country</t>
  </si>
  <si>
    <t>audience_geo_daily (geo_level='country')</t>
  </si>
  <si>
    <t>Target City</t>
  </si>
  <si>
    <t>target_city</t>
  </si>
  <si>
    <t>audience_geo_daily (geo_level='city')</t>
  </si>
  <si>
    <t>Audience Interests</t>
  </si>
  <si>
    <t>interests</t>
  </si>
  <si>
    <t>l2_gold.audience_interest_daily.interest_key — exact keys only</t>
  </si>
  <si>
    <t>technology, business, education, gaming</t>
  </si>
  <si>
    <t>beauty, fashion, entertainment</t>
  </si>
  <si>
    <t>food, entertainment, parenting, travel</t>
  </si>
  <si>
    <t>fitness, sports, food</t>
  </si>
  <si>
    <t>fashion, beauty, travel, music, photography</t>
  </si>
  <si>
    <t xml:space="preserve">    · art</t>
  </si>
  <si>
    <t>interest_art</t>
  </si>
  <si>
    <t>interest_key = 'art'</t>
  </si>
  <si>
    <t xml:space="preserve">    · automotive</t>
  </si>
  <si>
    <t>interest_automotive</t>
  </si>
  <si>
    <t>interest_key = 'automotive'</t>
  </si>
  <si>
    <t xml:space="preserve">    · beauty</t>
  </si>
  <si>
    <t>interest_beauty</t>
  </si>
  <si>
    <t>interest_key = 'beauty'</t>
  </si>
  <si>
    <t xml:space="preserve">    · business</t>
  </si>
  <si>
    <t>interest_business</t>
  </si>
  <si>
    <t>interest_key = 'business'</t>
  </si>
  <si>
    <t xml:space="preserve">    · education</t>
  </si>
  <si>
    <t>interest_education</t>
  </si>
  <si>
    <t>interest_key = 'education'</t>
  </si>
  <si>
    <t xml:space="preserve">    · entertainment</t>
  </si>
  <si>
    <t>interest_entertainment</t>
  </si>
  <si>
    <t>interest_key = 'entertainment'</t>
  </si>
  <si>
    <t xml:space="preserve">    · fashion</t>
  </si>
  <si>
    <t>interest_fashion</t>
  </si>
  <si>
    <t>interest_key = 'fashion'</t>
  </si>
  <si>
    <t xml:space="preserve">    · fitness</t>
  </si>
  <si>
    <t>interest_fitness</t>
  </si>
  <si>
    <t>interest_key = 'fitness'</t>
  </si>
  <si>
    <t xml:space="preserve">    · food</t>
  </si>
  <si>
    <t>interest_food</t>
  </si>
  <si>
    <t>interest_key = 'food'</t>
  </si>
  <si>
    <t xml:space="preserve">    · gaming</t>
  </si>
  <si>
    <t>interest_gaming</t>
  </si>
  <si>
    <t>interest_key = 'gaming'</t>
  </si>
  <si>
    <t xml:space="preserve">    · music</t>
  </si>
  <si>
    <t>interest_music</t>
  </si>
  <si>
    <t>interest_key = 'music'</t>
  </si>
  <si>
    <t xml:space="preserve">    · parenting</t>
  </si>
  <si>
    <t>interest_parenting</t>
  </si>
  <si>
    <t>interest_key = 'parenting'</t>
  </si>
  <si>
    <t xml:space="preserve">    · pets</t>
  </si>
  <si>
    <t>interest_pets</t>
  </si>
  <si>
    <t>interest_key = 'pets'</t>
  </si>
  <si>
    <t xml:space="preserve">    · photography</t>
  </si>
  <si>
    <t>interest_photography</t>
  </si>
  <si>
    <t>interest_key = 'photography'</t>
  </si>
  <si>
    <t xml:space="preserve">    · religion</t>
  </si>
  <si>
    <t>interest_religion</t>
  </si>
  <si>
    <t>interest_key = 'religion'</t>
  </si>
  <si>
    <t xml:space="preserve">    · sports</t>
  </si>
  <si>
    <t>interest_sports</t>
  </si>
  <si>
    <t>interest_key = 'sports'</t>
  </si>
  <si>
    <t xml:space="preserve">    · technology</t>
  </si>
  <si>
    <t>interest_technology</t>
  </si>
  <si>
    <t>interest_key = 'technology'</t>
  </si>
  <si>
    <t xml:space="preserve">    · travel</t>
  </si>
  <si>
    <t>interest_travel</t>
  </si>
  <si>
    <t>interest_key = 'travel'</t>
  </si>
  <si>
    <t>C. CONTENT EVIDENCE</t>
  </si>
  <si>
    <t>Caption Search Terms</t>
  </si>
  <si>
    <t>caption_terms</t>
  </si>
  <si>
    <t>searched in l1_silver.unified_post.caption — NOT a taxonomy; post_analysis.content_category is NULL in all 212 rows</t>
  </si>
  <si>
    <t>teknologi, aplikasi, digital, bisnis, edukasi, gadget</t>
  </si>
  <si>
    <t>skincare, kecantikan, makeup, glowing, perawatan, cantik</t>
  </si>
  <si>
    <t>kuliner, makanan, minuman, resto, enak, keluarga</t>
  </si>
  <si>
    <t>olahraga, fitness, lari, gym, sehat, latihan</t>
  </si>
  <si>
    <t>fashion, outfit, gaya, style, koleksi, travel</t>
  </si>
  <si>
    <t>D. BRIEFED, NOT SCORED</t>
  </si>
  <si>
    <t>Brand Personality</t>
  </si>
  <si>
    <t>personality_brief</t>
  </si>
  <si>
    <t>NO CREATOR COLUMN — no personality, tone, values or content-style field exists anywhere; Brand Personality Fit is N/A on all 120 rows</t>
  </si>
  <si>
    <t>Professional · Innovative · Modern · Educational</t>
  </si>
  <si>
    <t>Elegant · Friendly · Modern · Trustworthy</t>
  </si>
  <si>
    <t>Friendly · Fun · Casual · Relatable</t>
  </si>
  <si>
    <t>Energetic · Motivational · Active · Bold</t>
  </si>
  <si>
    <t>Modern · Stylish · Creative · Premium</t>
  </si>
  <si>
    <t>Ideal Creator</t>
  </si>
  <si>
    <t>ideal_creator</t>
  </si>
  <si>
    <t>— descriptive, states which kol_categories rows feed this brand's canonical key</t>
  </si>
  <si>
    <t>Creators carrying the Tech category — kol_categories "Technology and gadgets" or "Gaming" — with a business or education audience.</t>
  </si>
  <si>
    <t>Creators carrying the Beauty category, with a majority-female audience.</t>
  </si>
  <si>
    <t>Creators carrying the Food category — kol_categories "Foodies", "Food" or "Cooking" — or an entertainment audience that indexes on food.</t>
  </si>
  <si>
    <t>Creators carrying the Fitness category — kol_categories "Fitness", "Sports", "Gym Enthusiast" or "Cyclist".</t>
  </si>
  <si>
    <t>Creators carrying the Fashion category, with a majority-female audience.</t>
  </si>
  <si>
    <t>TOKEN SLOTS  ·  each term on its own row, because the match tests them one at a time</t>
  </si>
  <si>
    <t>Token set</t>
  </si>
  <si>
    <t>Slot</t>
  </si>
  <si>
    <t>Searched in</t>
  </si>
  <si>
    <t>slot 1</t>
  </si>
  <si>
    <t>brand_keywords_1</t>
  </si>
  <si>
    <t>creator bio + captions + category names</t>
  </si>
  <si>
    <t>teknologi</t>
  </si>
  <si>
    <t>skincare</t>
  </si>
  <si>
    <t>makanan</t>
  </si>
  <si>
    <t>fitness</t>
  </si>
  <si>
    <t>fashion</t>
  </si>
  <si>
    <t>slot 2</t>
  </si>
  <si>
    <t>brand_keywords_2</t>
  </si>
  <si>
    <t>software</t>
  </si>
  <si>
    <t>perawatan kulit</t>
  </si>
  <si>
    <t>minuman</t>
  </si>
  <si>
    <t>olahraga</t>
  </si>
  <si>
    <t>outfit</t>
  </si>
  <si>
    <t>slot 3</t>
  </si>
  <si>
    <t>brand_keywords_3</t>
  </si>
  <si>
    <t>aplikasi</t>
  </si>
  <si>
    <t>kecantikan</t>
  </si>
  <si>
    <t>kuliner</t>
  </si>
  <si>
    <t>gym</t>
  </si>
  <si>
    <t>ootd</t>
  </si>
  <si>
    <t>slot 4</t>
  </si>
  <si>
    <t>brand_keywords_4</t>
  </si>
  <si>
    <t>produktivitas</t>
  </si>
  <si>
    <t>glowing</t>
  </si>
  <si>
    <t>resto</t>
  </si>
  <si>
    <t>lari</t>
  </si>
  <si>
    <t>gaya</t>
  </si>
  <si>
    <t>slot 5</t>
  </si>
  <si>
    <t>brand_keywords_5</t>
  </si>
  <si>
    <t>bisnis</t>
  </si>
  <si>
    <t>serum</t>
  </si>
  <si>
    <t>cafe</t>
  </si>
  <si>
    <t>kebugaran</t>
  </si>
  <si>
    <t>koleksi</t>
  </si>
  <si>
    <t>slot 6</t>
  </si>
  <si>
    <t>brand_keywords_6</t>
  </si>
  <si>
    <t>digital</t>
  </si>
  <si>
    <t>sunscreen</t>
  </si>
  <si>
    <t>jajan</t>
  </si>
  <si>
    <t>sehat</t>
  </si>
  <si>
    <t>style</t>
  </si>
  <si>
    <t>terms filled</t>
  </si>
  <si>
    <t>brand_keywords_count</t>
  </si>
  <si>
    <t>brand_hashtags_1</t>
  </si>
  <si>
    <t>the creator's own hashtags (l1_silver.unified_post.hashtags)</t>
  </si>
  <si>
    <t>tech</t>
  </si>
  <si>
    <t>brand_hashtags_2</t>
  </si>
  <si>
    <t>gadget</t>
  </si>
  <si>
    <t>beauty</t>
  </si>
  <si>
    <t>food</t>
  </si>
  <si>
    <t>workout</t>
  </si>
  <si>
    <t>brand_hashtags_3</t>
  </si>
  <si>
    <t>startup</t>
  </si>
  <si>
    <t>brand_hashtags_4</t>
  </si>
  <si>
    <t>makeup</t>
  </si>
  <si>
    <t>foodie</t>
  </si>
  <si>
    <t>brand_hashtags_5</t>
  </si>
  <si>
    <t>bpom</t>
  </si>
  <si>
    <t>sport</t>
  </si>
  <si>
    <t>lookbook</t>
  </si>
  <si>
    <t>brand_hashtags_count</t>
  </si>
  <si>
    <t>caption_terms_1</t>
  </si>
  <si>
    <t>l1_silver.unified_post.caption</t>
  </si>
  <si>
    <t>caption_terms_2</t>
  </si>
  <si>
    <t>caption_terms_3</t>
  </si>
  <si>
    <t>caption_terms_4</t>
  </si>
  <si>
    <t>caption_terms_5</t>
  </si>
  <si>
    <t>edukasi</t>
  </si>
  <si>
    <t>perawatan</t>
  </si>
  <si>
    <t>enak</t>
  </si>
  <si>
    <t>caption_terms_6</t>
  </si>
  <si>
    <t>cantik</t>
  </si>
  <si>
    <t>keluarga</t>
  </si>
  <si>
    <t>latihan</t>
  </si>
  <si>
    <t>travel</t>
  </si>
  <si>
    <t>caption_terms_count</t>
  </si>
  <si>
    <t>MATCHING ENGINE  ·  every creator scored against every brand</t>
  </si>
  <si>
    <t>120 rows: 5 brands x 24 creators. Not one score here is typed — each is a formula over KOL_Source_Data and Brand_Profile, weighted by the constants on Lookup_Lists. Filter column A to one Brand ID to read a single brand; compare one KOL ID down the five blocks to see that the score is a function of the pair, not a ranking of creators.</t>
  </si>
  <si>
    <t>KEY</t>
  </si>
  <si>
    <t>BRAND &amp; BUSINESS RELEVANCE — 20%</t>
  </si>
  <si>
    <t>TARGET AUDIENCE RELEVANCE — 30%</t>
  </si>
  <si>
    <t>CONTENT &amp; CATEGORY RELEVANCE — 20%</t>
  </si>
  <si>
    <t>BRAND PERSONALITY FIT — 10%</t>
  </si>
  <si>
    <t>PERFORMANCE QUALITY — 10%</t>
  </si>
  <si>
    <t>BRAND SAFETY — 10%</t>
  </si>
  <si>
    <t>RESULT</t>
  </si>
  <si>
    <t>HELPERS (intermediate lookups, kept visible on purpose)</t>
  </si>
  <si>
    <t>Brand</t>
  </si>
  <si>
    <t>KOL</t>
  </si>
  <si>
    <t>Creator</t>
  </si>
  <si>
    <t>Category Match</t>
  </si>
  <si>
    <t>Keyword Match</t>
  </si>
  <si>
    <t>Hashtag Match</t>
  </si>
  <si>
    <t>Business Score</t>
  </si>
  <si>
    <t>Business Available</t>
  </si>
  <si>
    <t>Age Score</t>
  </si>
  <si>
    <t>Gender Score</t>
  </si>
  <si>
    <t>Location Score</t>
  </si>
  <si>
    <t>Interest Score</t>
  </si>
  <si>
    <t>Audience Score</t>
  </si>
  <si>
    <t>Audience Available</t>
  </si>
  <si>
    <t>Content Category Match</t>
  </si>
  <si>
    <t>Sub Category Match</t>
  </si>
  <si>
    <t>Topic Match</t>
  </si>
  <si>
    <t>Content Style Match</t>
  </si>
  <si>
    <t>Content Score</t>
  </si>
  <si>
    <t>Content Available</t>
  </si>
  <si>
    <t>Personality Match</t>
  </si>
  <si>
    <t>Tone Match</t>
  </si>
  <si>
    <t>Values Match</t>
  </si>
  <si>
    <t>Communication Match</t>
  </si>
  <si>
    <t>Personality Score</t>
  </si>
  <si>
    <t>Personality Available</t>
  </si>
  <si>
    <t>ER Score</t>
  </si>
  <si>
    <t>Audience Quality Score</t>
  </si>
  <si>
    <t>Consistency Score</t>
  </si>
  <si>
    <t>Average Views Score</t>
  </si>
  <si>
    <t>Recent Growth Score</t>
  </si>
  <si>
    <t>Performance Score</t>
  </si>
  <si>
    <t>Performance Available</t>
  </si>
  <si>
    <t>Authenticity Score</t>
  </si>
  <si>
    <t>Follower Quality Score</t>
  </si>
  <si>
    <t>Verification Score</t>
  </si>
  <si>
    <t>Paid Ratio Score</t>
  </si>
  <si>
    <t>Content Risk Score</t>
  </si>
  <si>
    <t>Safety Score</t>
  </si>
  <si>
    <t>Safety Available</t>
  </si>
  <si>
    <t>Safety Level</t>
  </si>
  <si>
    <t>Risk Note</t>
  </si>
  <si>
    <t>Available Weight</t>
  </si>
  <si>
    <t>Match Level</t>
  </si>
  <si>
    <t>Rank Key</t>
  </si>
  <si>
    <t>Keyword Haystack</t>
  </si>
  <si>
    <t>Topic Haystack</t>
  </si>
  <si>
    <t>Hashtag Haystack</t>
  </si>
  <si>
    <t>Match Key</t>
  </si>
  <si>
    <t>SCORE BREAKDOWN  ·  every sub-score behind every Final Match Score</t>
  </si>
  <si>
    <t>A pure view of Matching_Engine: each cell is a reference, not a recalculation. Age Score is N/A on all 120 rows because no age signal exists on this server, and its 25% renormalises across gender, location and interest — which is why an Audience Score can be higher than any single dimension that produced it.</t>
  </si>
  <si>
    <t>AUDIENCE SUB-SCORES (weights 25 / 15 / 30 / 30)</t>
  </si>
  <si>
    <t>COMPONENTS</t>
  </si>
  <si>
    <t>Final Score</t>
  </si>
  <si>
    <t>MATCH EXPLANATION  ·  one written reason per creator-brand pair</t>
  </si>
  <si>
    <t>All 120 pairs. Every clause is assembled from the row's own component scores — the strongest and weakest factor are found by MATCH across the six components, not written down — so no sentence can survive a score that moved underneath it. The helper columns on the right are the working: they are what MATCH searches, and they are left visible so the wording can be traced.</t>
  </si>
  <si>
    <t>EXPLANATION</t>
  </si>
  <si>
    <t>WORKING  ·  how the strongest and weakest factor were found</t>
  </si>
  <si>
    <t>Why Match</t>
  </si>
  <si>
    <t>Top Strength</t>
  </si>
  <si>
    <t>Weakest Factor</t>
  </si>
  <si>
    <t>Consideration</t>
  </si>
  <si>
    <t>Risk</t>
  </si>
  <si>
    <t>Recommendation</t>
  </si>
  <si>
    <t>max: Brand &amp; Business Relevance</t>
  </si>
  <si>
    <t>max: Target Audience Relevance</t>
  </si>
  <si>
    <t>max: Content &amp; Category Relevance</t>
  </si>
  <si>
    <t>max: Brand Personality Fit</t>
  </si>
  <si>
    <t>max: Performance Quality</t>
  </si>
  <si>
    <t>max: Brand Safety</t>
  </si>
  <si>
    <t>Best Value</t>
  </si>
  <si>
    <t>Best Component</t>
  </si>
  <si>
    <t>min: Brand &amp; Business Relevance</t>
  </si>
  <si>
    <t>min: Target Audience Relevance</t>
  </si>
  <si>
    <t>min: Content &amp; Category Relevance</t>
  </si>
  <si>
    <t>min: Brand Personality Fit</t>
  </si>
  <si>
    <t>min: Performance Quality</t>
  </si>
  <si>
    <t>min: Brand Safety</t>
  </si>
  <si>
    <t>Worst Value</t>
  </si>
  <si>
    <t>Worst Component</t>
  </si>
  <si>
    <t>BRAND COMPARISON  ·  the same creator against all five brands</t>
  </si>
  <si>
    <t>This is the sheet the exercise exists to produce. One row per creator, one column per brand, every cell an INDEX/MATCH into Matching_Engine on the Brand|KOL key. Spread is the max minus the min: a creator whose spread is 0 would be carrying a permanent score, which is exactly the behaviour Brand Match must not have.</t>
  </si>
  <si>
    <t>Best Brand</t>
  </si>
  <si>
    <t>Best Score</t>
  </si>
  <si>
    <t>Spread (max-min)</t>
  </si>
  <si>
    <t>BRAND RANKING  ·  all 24 creators ordered, separately for each brand</t>
  </si>
  <si>
    <t>One block per brand. Order comes from the engine's Rank Key — the Final Match Score times 1000 plus the creator's roster position — so ties resolve to exactly one row instead of collapsing onto whichever appears first. Read two blocks side by side: the orders differ, and that difference is the deliverable.</t>
  </si>
  <si>
    <t>NovaTech  ·  undefined  ·  ranked by Final Match Score</t>
  </si>
  <si>
    <t>#</t>
  </si>
  <si>
    <t>LumiSkin  ·  undefined  ·  ranked by Final Match Score</t>
  </si>
  <si>
    <t>DailyBite  ·  undefined  ·  ranked by Final Match Score</t>
  </si>
  <si>
    <t>MoveFit  ·  undefined  ·  ranked by Final Match Score</t>
  </si>
  <si>
    <t>UrbanMuse  ·  undefined  ·  ranked by Final Match Score</t>
  </si>
  <si>
    <t>TOP MATCHES  ·  the five best and five worst fits for each brand</t>
  </si>
  <si>
    <t>Straight references into Brand_Ranking, with the reason and the concern pulled off Match_Explanation by the Brand|KOL key. The bottom five matter as much as the top five: they are what shows the model is discriminating rather than flattering everyone on the roster.</t>
  </si>
  <si>
    <t>NovaTech  ·  undefined</t>
  </si>
  <si>
    <t>Band</t>
  </si>
  <si>
    <t>Score</t>
  </si>
  <si>
    <t>Reason</t>
  </si>
  <si>
    <t>Strength</t>
  </si>
  <si>
    <t>Concern</t>
  </si>
  <si>
    <t>TOP 5</t>
  </si>
  <si>
    <t>BOTTOM 5</t>
  </si>
  <si>
    <t>LumiSkin  ·  undefined</t>
  </si>
  <si>
    <t>DailyBite  ·  undefined</t>
  </si>
  <si>
    <t>MoveFit  ·  undefined</t>
  </si>
  <si>
    <t>UrbanMuse  ·  undefined</t>
  </si>
  <si>
    <t>HARD FILTER vs SOFT MATCH  ·  what deletes a creator and what merely reorders them</t>
  </si>
  <si>
    <t>A hard filter answers yes or no and removes rows; a soft match returns 0-100 and reorders them. Confusing the two is how "Max Rate Card" came to be marked DONE while returning zero creators for every price. The right-hand column is measured against these 24 rows, not asserted — a gate whose effect nobody has counted is a gate nobody has tested.</t>
  </si>
  <si>
    <t>HARD FILTERS  ·  boolean gates. A creator that fails one leaves the result set entirely.</t>
  </si>
  <si>
    <t>Group</t>
  </si>
  <si>
    <t>Filter</t>
  </si>
  <si>
    <t>Control</t>
  </si>
  <si>
    <t>Brand input</t>
  </si>
  <si>
    <t>KOL field</t>
  </si>
  <si>
    <t>Prototype status</t>
  </si>
  <si>
    <t>Effect on this roster</t>
  </si>
  <si>
    <t>SEARCH</t>
  </si>
  <si>
    <t>Creator Search</t>
  </si>
  <si>
    <t>q</t>
  </si>
  <si>
    <t>Text input (debounce 350ms)</t>
  </si>
  <si>
    <t>—</t>
  </si>
  <si>
    <t>DONE</t>
  </si>
  <si>
    <t>see kol_directory.username + agency_kol_accounts.label (97,1%)</t>
  </si>
  <si>
    <t>handle</t>
  </si>
  <si>
    <t>Text input</t>
  </si>
  <si>
    <t>see kol_directory.username_normalized (97,1%)</t>
  </si>
  <si>
    <t>Keyword</t>
  </si>
  <si>
    <t>keyword</t>
  </si>
  <si>
    <t>Content Topics + Audience Interests</t>
  </si>
  <si>
    <t>PARTIAL</t>
  </si>
  <si>
    <t>see kol_directory.bio (~12% terisi)</t>
  </si>
  <si>
    <t>PLATFORM</t>
  </si>
  <si>
    <t>platform.instagram</t>
  </si>
  <si>
    <t>Chip</t>
  </si>
  <si>
    <t>preferred_platform</t>
  </si>
  <si>
    <t>platform.tiktok</t>
  </si>
  <si>
    <t>CREATOR</t>
  </si>
  <si>
    <t>categories</t>
  </si>
  <si>
    <t>Multi-select chips</t>
  </si>
  <si>
    <t>preferred_category</t>
  </si>
  <si>
    <t>tiers</t>
  </si>
  <si>
    <t>preferred_tier</t>
  </si>
  <si>
    <t>minFollowers / maxFollowers</t>
  </si>
  <si>
    <t>Range slider</t>
  </si>
  <si>
    <t>preferred_followers_min / _max</t>
  </si>
  <si>
    <t>Engagement Rate</t>
  </si>
  <si>
    <t>minErPct</t>
  </si>
  <si>
    <t>Slider 0–10%</t>
  </si>
  <si>
    <t>min_engagement_rate</t>
  </si>
  <si>
    <t>Connected</t>
  </si>
  <si>
    <t>connectedOnly</t>
  </si>
  <si>
    <t>Toggle</t>
  </si>
  <si>
    <t>BLOCKED BY DATA</t>
  </si>
  <si>
    <t>audienceCountry</t>
  </si>
  <si>
    <t>Dropdown</t>
  </si>
  <si>
    <t>not measurable on this roster — audience_geo_daily (geo_level='country') (23 creator)</t>
  </si>
  <si>
    <t>minAudienceQuality</t>
  </si>
  <si>
    <t>Slider 0–100</t>
  </si>
  <si>
    <t>min_audience_quality</t>
  </si>
  <si>
    <t>Slider</t>
  </si>
  <si>
    <t>COMMERCIAL</t>
  </si>
  <si>
    <t>Rate</t>
  </si>
  <si>
    <t>maxRate</t>
  </si>
  <si>
    <t>Slider 500rb–1M</t>
  </si>
  <si>
    <t>Rate Card (IDR)</t>
  </si>
  <si>
    <t>not measurable on this roster — l1_silver.unified_rate_card (0 baris)</t>
  </si>
  <si>
    <t>INTELLIGENCE</t>
  </si>
  <si>
    <t>Brand Safety</t>
  </si>
  <si>
    <t>minBrandSafety</t>
  </si>
  <si>
    <t>min_brand_safety</t>
  </si>
  <si>
    <t>Brand Safety Score</t>
  </si>
  <si>
    <t>not measurable on this roster — — tidak ada kolom risk-level (0%)</t>
  </si>
  <si>
    <t>EXCLUSION</t>
  </si>
  <si>
    <t>Already Selected</t>
  </si>
  <si>
    <t>exclude_already_selected</t>
  </si>
  <si>
    <t>see discover_creator_links (migrasi 053) (100% (state aplikasi))</t>
  </si>
  <si>
    <t>Already in Cart</t>
  </si>
  <si>
    <t>exclude_in_cart</t>
  </si>
  <si>
    <t>In Cart</t>
  </si>
  <si>
    <t>see discover cart (state aplikasi) (100%)</t>
  </si>
  <si>
    <t>Existing Partner</t>
  </si>
  <si>
    <t>exclude_existing_partner</t>
  </si>
  <si>
    <t>not measurable on this roster — public.campaign_kols (0 baris)</t>
  </si>
  <si>
    <t>Excluded Creator</t>
  </si>
  <si>
    <t>exclude_excluded_creator</t>
  </si>
  <si>
    <t>NEW</t>
  </si>
  <si>
    <t>defined by this workbook; no column exists to filter on yet</t>
  </si>
  <si>
    <t>High Competitor Saturation</t>
  </si>
  <si>
    <t>max_competitor_saturation</t>
  </si>
  <si>
    <t>Slider (0 = off)</t>
  </si>
  <si>
    <t>Competitor Saturation</t>
  </si>
  <si>
    <t>not measurable on this roster — — tidak ada kolom (0%)</t>
  </si>
  <si>
    <t>Low Brand Safety</t>
  </si>
  <si>
    <t>SOFT MATCH  ·  0-100 contributions. These change the order, never the membership.</t>
  </si>
  <si>
    <t>Content Topic</t>
  </si>
  <si>
    <t>topic</t>
  </si>
  <si>
    <t>Multi-select</t>
  </si>
  <si>
    <t>preferred_content_topics</t>
  </si>
  <si>
    <t>not measurable on this roster — feature.ig/tt_post_analysis.content_category (0 baris)</t>
  </si>
  <si>
    <t>subCategories</t>
  </si>
  <si>
    <t>preferred_subcategory</t>
  </si>
  <si>
    <t>not measurable on this roster — — tidak ada kolom sub-kategori (0%)</t>
  </si>
  <si>
    <t>Creator Location</t>
  </si>
  <si>
    <t>creatorCity</t>
  </si>
  <si>
    <t>not measurable on this roster — kol_directory.creator_city (0% terisi)</t>
  </si>
  <si>
    <t>Audience Region</t>
  </si>
  <si>
    <t>audienceRegion</t>
  </si>
  <si>
    <t>target_region</t>
  </si>
  <si>
    <t>not measurable on this roster — audience_geo_daily (9 dari 33 key salah level)</t>
  </si>
  <si>
    <t>Audience City</t>
  </si>
  <si>
    <t>audienceCity</t>
  </si>
  <si>
    <t>not measurable on this roster — audience_geo_daily (geo_level='city') (15 creator usable)</t>
  </si>
  <si>
    <t>Audience Age</t>
  </si>
  <si>
    <t>audienceAge</t>
  </si>
  <si>
    <t>Chips 13–17 … 45+</t>
  </si>
  <si>
    <t>primary_age_range / secondary_age_range</t>
  </si>
  <si>
    <t>Audience Age 13–17 % … 45+ %</t>
  </si>
  <si>
    <t>not measurable on this roster — audience_demographics_daily (audience_type='age') (0 baris)</t>
  </si>
  <si>
    <t>Audience Gender</t>
  </si>
  <si>
    <t>audienceGender</t>
  </si>
  <si>
    <t>Slider Major Female / Male</t>
  </si>
  <si>
    <t>Female % / Male %</t>
  </si>
  <si>
    <t>not measurable on this roster — audience_demographics_daily (gender) (23 creator (0,30%))</t>
  </si>
  <si>
    <t>audienceInterests</t>
  </si>
  <si>
    <t>audience_interests</t>
  </si>
  <si>
    <t>not measurable on this roster — audience_interest_daily.interest_key (23 creator; 85,2% 'unknown')</t>
  </si>
  <si>
    <t>Audience Authenticity</t>
  </si>
  <si>
    <t>minAuthenticity</t>
  </si>
  <si>
    <t>not measurable on this roster — feature.ig/tt_audience_analysis.authenticity_score (23 creator)</t>
  </si>
  <si>
    <t>Purchase Intent</t>
  </si>
  <si>
    <t>purchaseIntent</t>
  </si>
  <si>
    <t>minAvgViews</t>
  </si>
  <si>
    <t>see l2_gold.post_metric.views (21 creator lolos threshold)</t>
  </si>
  <si>
    <t>minMedianViews</t>
  </si>
  <si>
    <t>Share Rate</t>
  </si>
  <si>
    <t>minShareRate</t>
  </si>
  <si>
    <t>see l2_gold.post_metric.shares (11 creator, TikTok saja)</t>
  </si>
  <si>
    <t>Save Rate</t>
  </si>
  <si>
    <t>minSaveRate</t>
  </si>
  <si>
    <t>see l2_gold.post_metric.saves (11 creator, TikTok saja)</t>
  </si>
  <si>
    <t>Consistency</t>
  </si>
  <si>
    <t>minConsistency</t>
  </si>
  <si>
    <t>not measurable on this roster — — nol kolom consistency/cadence (0%)</t>
  </si>
  <si>
    <t>Follower Growth</t>
  </si>
  <si>
    <t>growth</t>
  </si>
  <si>
    <t>Preset band + sort</t>
  </si>
  <si>
    <t>Growth sejak snapshot terakhir</t>
  </si>
  <si>
    <t>see l2_gold.kol_profile_card.followers_growth (25 creator (0,3%) — butuh dua snapshot)</t>
  </si>
  <si>
    <t>90D Growth</t>
  </si>
  <si>
    <t>min90dGrowth</t>
  </si>
  <si>
    <t>not measurable on this roster — l2_gold.kol_metric_monthly (deret) (5 creator ≥4 titik)</t>
  </si>
  <si>
    <t>Recent Performance</t>
  </si>
  <si>
    <t>minRecentPerf</t>
  </si>
  <si>
    <t>not measurable on this roster — kol_metric_monthly (deret) (5 creator)</t>
  </si>
  <si>
    <t>minVfr</t>
  </si>
  <si>
    <t>see post_metric.views ÷ followers_count (21 creator)</t>
  </si>
  <si>
    <t>CPV</t>
  </si>
  <si>
    <t>maxCpv</t>
  </si>
  <si>
    <t>not measurable on this roster — rate ÷ views (0% (butuh rate card))</t>
  </si>
  <si>
    <t>CPE</t>
  </si>
  <si>
    <t>maxCpe</t>
  </si>
  <si>
    <t>not measurable on this roster — feature.ig/tt_audience_analysis.cpe (0%)</t>
  </si>
  <si>
    <t>CPM</t>
  </si>
  <si>
    <t>maxCpm</t>
  </si>
  <si>
    <t>not measurable on this roster — rate ÷ followers × 1.000 (0%)</t>
  </si>
  <si>
    <t>Cost Efficiency</t>
  </si>
  <si>
    <t>minCostEfficiency</t>
  </si>
  <si>
    <t>not measurable on this roster — CPE terhadap median roster (0%)</t>
  </si>
  <si>
    <t>Estimated ROI</t>
  </si>
  <si>
    <t>minRoi</t>
  </si>
  <si>
    <t>not measurable on this roster — EMV ÷ rate (0%)</t>
  </si>
  <si>
    <t>Brand Match</t>
  </si>
  <si>
    <t>minBrandMatch</t>
  </si>
  <si>
    <t>min_brand_match</t>
  </si>
  <si>
    <t>Brand Fit</t>
  </si>
  <si>
    <t>minBrandFit</t>
  </si>
  <si>
    <t>Brand Fit Index</t>
  </si>
  <si>
    <t>not measurable on this roster — feature.brand_fit_analysis.partnership_score (0 baris)</t>
  </si>
  <si>
    <t>Opportunity Score</t>
  </si>
  <si>
    <t>minOpportunity</t>
  </si>
  <si>
    <t>Content Relevance</t>
  </si>
  <si>
    <t>minContentRelevance</t>
  </si>
  <si>
    <t>Content &amp; Category Relevance</t>
  </si>
  <si>
    <t>maxCompetitorSaturation</t>
  </si>
  <si>
    <t>not measurable on this roster — — tidak ada kolom competitor-saturation (0%)</t>
  </si>
  <si>
    <t>DISCOVERY</t>
  </si>
  <si>
    <t>Newly Added</t>
  </si>
  <si>
    <t>createdAfter</t>
  </si>
  <si>
    <t>Section tab</t>
  </si>
  <si>
    <t>Added Date</t>
  </si>
  <si>
    <t>see kol_directory.created_at (99,7%)</t>
  </si>
  <si>
    <t>Recently Updated</t>
  </si>
  <si>
    <t>refreshedAfter</t>
  </si>
  <si>
    <t>Last Updated</t>
  </si>
  <si>
    <t>see kol_directory.last_refreshed_at (97,1%)</t>
  </si>
  <si>
    <t>Trending Creators</t>
  </si>
  <si>
    <t>trending</t>
  </si>
  <si>
    <t>Recent Performance + 30D Growth</t>
  </si>
  <si>
    <t>Rising Creators</t>
  </si>
  <si>
    <t>rising</t>
  </si>
  <si>
    <t>30D + 90D Growth + ER</t>
  </si>
  <si>
    <t>not measurable on this roster — followers_growth (maks 0,917% vs rule ≥5,5%) (25 creator)</t>
  </si>
  <si>
    <t>Hidden Gems</t>
  </si>
  <si>
    <t>hiddenGems</t>
  </si>
  <si>
    <t>Hidden Gem Score</t>
  </si>
  <si>
    <t>Most Relevant</t>
  </si>
  <si>
    <t>mostRelevant</t>
  </si>
  <si>
    <t>seluruh Brand_Profile</t>
  </si>
  <si>
    <t>Final Match Score × Confidence</t>
  </si>
  <si>
    <t>WHY THIS ROSTER IS RANKED, NOT GATED</t>
  </si>
  <si>
    <t>All five brands run with permissive hard filters</t>
  </si>
  <si>
    <t>The brief names 24 specific creators and asks how they compare across 5 brands. A minimum-follower or minimum-ER gate would answer a different question by deleting rows from the comparison — so every brand admits every creator, and the ordering does the work.</t>
  </si>
  <si>
    <t>Brand Safety is a soft input here, not a gate</t>
  </si>
  <si>
    <t>The catalogue lists Minimum Brand Safety as a HARD filter, and it should be one in the product. It cannot be one on this data: no content-risk reading exists for any account, so a safety gate would be filtering on an integrity screen and calling it safety.</t>
  </si>
  <si>
    <t>Category as a hard filter needs a live basis</t>
  </si>
  <si>
    <t>Nine of the 24 carry no category and three carry one classified from captions. Gating on a modelled category deletes creators on the strength of a guess — the taxonomy's own rule 6. It ranks here; it never gates.</t>
  </si>
  <si>
    <t>VALIDATION  ·  every check the brief asks for, computed in the workbook</t>
  </si>
  <si>
    <t>Each Result cell is a formula over the sheets themselves, so the check re-runs on open and cannot go stale. A check that reported a number typed in by the generator would only be testing the generator's memory.</t>
  </si>
  <si>
    <t>Check</t>
  </si>
  <si>
    <t>Result</t>
  </si>
  <si>
    <t>Verdict</t>
  </si>
  <si>
    <t>Why it is here</t>
  </si>
  <si>
    <t>1. Requested accounts</t>
  </si>
  <si>
    <t>The brief names 24 accounts. More would mean something was added, fewer that something was dropped.</t>
  </si>
  <si>
    <t>2. Found in KOL database</t>
  </si>
  <si>
    <t>Anything not resolvable to a kol_directory row must be reported, never replaced.</t>
  </si>
  <si>
    <t>3. Resolved through an alias</t>
  </si>
  <si>
    <t>A substitution the reader cannot see is indistinguishable from invented data.</t>
  </si>
  <si>
    <t>4. Duplicate creators</t>
  </si>
  <si>
    <t>A creator on the roster twice would be double-counted in every ranking and average.</t>
  </si>
  <si>
    <t>5. Brands with distinct qualifications</t>
  </si>
  <si>
    <t>Five brands that all wanted the same creator profile would prove nothing about contextual scoring.</t>
  </si>
  <si>
    <t>6. Matching combinations</t>
  </si>
  <si>
    <t>One row per creator-brand pair. A shortfall means a pair silently went unscored.</t>
  </si>
  <si>
    <t>7. Component weights total 100</t>
  </si>
  <si>
    <t>The whole model rests on this identity. It is asserted, not assumed.</t>
  </si>
  <si>
    <t>8. Scores inside 0-100</t>
  </si>
  <si>
    <t>A score outside the band means a normalisation target was mis-set.</t>
  </si>
  <si>
    <t>9. Formula errors</t>
  </si>
  <si>
    <t>An error propagates silently into rankings and averages.</t>
  </si>
  <si>
    <t>10. Rows scored on partial data</t>
  </si>
  <si>
    <t>Says how much of the model each row could actually be scored on.</t>
  </si>
  <si>
    <t>11. Contextual scoring — score varies by brand</t>
  </si>
  <si>
    <t>The core claim of the exercise: the score is a function of the pair, not of the creator.</t>
  </si>
  <si>
    <t>12. Ranking generated per brand</t>
  </si>
  <si>
    <t>Every brand gets its own order, or the comparison has nothing to show.</t>
  </si>
  <si>
    <t>13. Reason Why populated</t>
  </si>
  <si>
    <t>A blank reason means an explanation was dropped rather than derived.</t>
  </si>
  <si>
    <t>14. Followers do not decide the ranking</t>
  </si>
  <si>
    <t>Relevance must outrank reach. This roster is 24 mega accounts, so a follower-driven model would rank them almost identically for all five brands.</t>
  </si>
  <si>
    <t>15. Missing data marked, never filled</t>
  </si>
  <si>
    <t>The count is the honesty budget: it is what was not measured, stated rather than hidden.</t>
  </si>
  <si>
    <t>HANDLE RESOLUTION  ·  every requested spelling, and what it resolved to</t>
  </si>
  <si>
    <t>Requested</t>
  </si>
  <si>
    <t>Resolved to</t>
  </si>
  <si>
    <t>How</t>
  </si>
  <si>
    <t>Note</t>
  </si>
  <si>
    <t>exact</t>
  </si>
  <si>
    <t>username_normalized matched exactly</t>
  </si>
  <si>
    <t>alias</t>
  </si>
  <si>
    <t>requested spelling does not exist on the server; resolved to the one-transposition neighbour that does</t>
  </si>
  <si>
    <t>DUPLICATE PLATFORM ROWS DROPPED  ·  handles the roster carries on both Instagram and TikTok</t>
  </si>
  <si>
    <t>Dropped row</t>
  </si>
  <si>
    <t>Followers dropped</t>
  </si>
  <si>
    <t>Kept row</t>
  </si>
  <si>
    <t>Why the kept row won</t>
  </si>
  <si>
    <t>tiktok</t>
  </si>
  <si>
    <t>instagram (685,896,635 followers)</t>
  </si>
  <si>
    <t>measured-signal score 6 against 1. The kept row carries the audience analysis, engagement analysis, interest shares and captions the model reads; follower count does not decide this.</t>
  </si>
  <si>
    <t>instagram (3,997,609 followers)</t>
  </si>
  <si>
    <t>measured-signal score 12 against 9. The kept row carries the audience analysis, engagement analysis, interest shares and captions the model reads; follower count does not decide this.</t>
  </si>
  <si>
    <t>instagram (20,046,665 followers)</t>
  </si>
  <si>
    <t>instagram (2,249,679 followers)</t>
  </si>
  <si>
    <t>WHAT THE DATABASE DOES NOT HAVE  ·  every N/A on this workbook traces to one of these</t>
  </si>
  <si>
    <t>Field</t>
  </si>
  <si>
    <t>Where it would live</t>
  </si>
  <si>
    <t>State</t>
  </si>
  <si>
    <t>Effect on the score</t>
  </si>
  <si>
    <t>Verified how</t>
  </si>
  <si>
    <t>Audience age</t>
  </si>
  <si>
    <t>l2_gold.audience_demographics_daily (audience_type='age')</t>
  </si>
  <si>
    <t>0 rows — the table holds gender only</t>
  </si>
  <si>
    <t>Age Score is N/A on all 120 rows. Its 25% of Target Audience Relevance renormalises across gender, location and interest.</t>
  </si>
  <si>
    <t>SELECT DISTINCT audience_type → {gender}; age_gender_breakdown NULL in all 27 audience-analysis rows</t>
  </si>
  <si>
    <t>Content topic</t>
  </si>
  <si>
    <t>feature.{ig,tt}_post_analysis.content_category</t>
  </si>
  <si>
    <t>column exists, NULL in all 212 rows</t>
  </si>
  <si>
    <t>Topics are classified from real captions and hashtags instead, and every one carries its evidence on KOL_Source_Data.</t>
  </si>
  <si>
    <t>SELECT content_category, count(*) GROUP BY 1 → one row, NULL, 212</t>
  </si>
  <si>
    <t>Sub category</t>
  </si>
  <si>
    <t>— no column exists</t>
  </si>
  <si>
    <t>never built</t>
  </si>
  <si>
    <t>Sub Category Match is N/A; its 20% of Content Relevance renormalises onto category and topic.</t>
  </si>
  <si>
    <t>no kol_sub_categories table, no sub_category_ids column</t>
  </si>
  <si>
    <t>Creator personality / tone / values / content style</t>
  </si>
  <si>
    <t>Brand Personality Fit is N/A on all 120 rows. Its full 10% is redistributed across the other five components.</t>
  </si>
  <si>
    <t>no column on kol_directory, kol_profile_card or any feature table</t>
  </si>
  <si>
    <t>Comment sentiment, spam, toxicity</t>
  </si>
  <si>
    <t>feature.{ig,tt}_comments_analysis</t>
  </si>
  <si>
    <t>0 rows</t>
  </si>
  <si>
    <t>Content Risk is N/A. Brand Safety is an integrity screen over authenticity, follower quality, verification and paid ratio — labelled as such everywhere it appears.</t>
  </si>
  <si>
    <t>SELECT count(*) → 0</t>
  </si>
  <si>
    <t>Rate card</t>
  </si>
  <si>
    <t>l1_silver.unified_rate_card; kol_profile_card.rate_card_*</t>
  </si>
  <si>
    <t>0 rows; all NULL</t>
  </si>
  <si>
    <t>No CPE, CPM, CPV or ROI is computed anywhere in this workbook. A cost column would have to be invented to exist.</t>
  </si>
  <si>
    <t>SELECT count(*) → 0; rate_card_min_fee NULL in all 1.978 card rows</t>
  </si>
  <si>
    <t>Creator city</t>
  </si>
  <si>
    <t>kol_directory.creator_city</t>
  </si>
  <si>
    <t>column exists, 0% filled</t>
  </si>
  <si>
    <t>Creator location is N/A. Only AUDIENCE location is scored, from audience_geo_daily.</t>
  </si>
  <si>
    <t>all 24 roster rows NULL</t>
  </si>
  <si>
    <t>Community score</t>
  </si>
  <si>
    <t>Community is N/A; its 10% of Performance renormalises across the other five performance inputs.</t>
  </si>
  <si>
    <t>no column anywhere in public, feature or l2_gold</t>
  </si>
  <si>
    <t>LOOKUP LISTS — vocabularies, relevance matrices and calibration</t>
  </si>
  <si>
    <t>Everything the engine reads that is not a Brand_Profile field or a KOL_Database field lives here. Edit a weight or a matrix cell and every score in the workbook moves — that is the point of the sheet.</t>
  </si>
  <si>
    <t>1. DROPDOWN LISTS  ·  the allowed values for every list field in Brand_Profile and KOL_Database</t>
  </si>
  <si>
    <t>Industry</t>
  </si>
  <si>
    <t>SubCategory</t>
  </si>
  <si>
    <t>AgeBand</t>
  </si>
  <si>
    <t>GenderMajority</t>
  </si>
  <si>
    <t>Country</t>
  </si>
  <si>
    <t>Region</t>
  </si>
  <si>
    <t>City</t>
  </si>
  <si>
    <t>Interest</t>
  </si>
  <si>
    <t>ContentStyle</t>
  </si>
  <si>
    <t>CreatorPersonality</t>
  </si>
  <si>
    <t>BrandPersonality</t>
  </si>
  <si>
    <t>BrandTone</t>
  </si>
  <si>
    <t>CommStyle</t>
  </si>
  <si>
    <t>Value</t>
  </si>
  <si>
    <t>Positioning</t>
  </si>
  <si>
    <t>Niche</t>
  </si>
  <si>
    <t>PurchaseIntent</t>
  </si>
  <si>
    <t>RiskFlag</t>
  </si>
  <si>
    <t>YesNo</t>
  </si>
  <si>
    <t>AudiencePriority</t>
  </si>
  <si>
    <t>MatchLevel</t>
  </si>
  <si>
    <t>DataStatus</t>
  </si>
  <si>
    <t>BrandID</t>
  </si>
  <si>
    <t>Component</t>
  </si>
  <si>
    <t>RankingPreset</t>
  </si>
  <si>
    <t>Technology / SaaS</t>
  </si>
  <si>
    <t>Skincare</t>
  </si>
  <si>
    <t>Nano</t>
  </si>
  <si>
    <t>13-17</t>
  </si>
  <si>
    <t>Nasional</t>
  </si>
  <si>
    <t>Technology</t>
  </si>
  <si>
    <t>Educational</t>
  </si>
  <si>
    <t>Professional</t>
  </si>
  <si>
    <t>Formal</t>
  </si>
  <si>
    <t>Trust</t>
  </si>
  <si>
    <t>B2B SaaS</t>
  </si>
  <si>
    <t>Low</t>
  </si>
  <si>
    <t>None</t>
  </si>
  <si>
    <t>Excellent Match</t>
  </si>
  <si>
    <t>Highly Recommended</t>
  </si>
  <si>
    <t>High</t>
  </si>
  <si>
    <t>Live</t>
  </si>
  <si>
    <t>Brand &amp; Business Relevance</t>
  </si>
  <si>
    <t>Best Match</t>
  </si>
  <si>
    <t>Beauty &amp; Skincare</t>
  </si>
  <si>
    <t>Makeup</t>
  </si>
  <si>
    <t>Micro</t>
  </si>
  <si>
    <t>Male</t>
  </si>
  <si>
    <t>Malaysia</t>
  </si>
  <si>
    <t>DKI Jakarta</t>
  </si>
  <si>
    <t>Business</t>
  </si>
  <si>
    <t>Tutorial</t>
  </si>
  <si>
    <t>Innovative</t>
  </si>
  <si>
    <t>Informative</t>
  </si>
  <si>
    <t>Storytelling</t>
  </si>
  <si>
    <t>Innovation</t>
  </si>
  <si>
    <t>Mass</t>
  </si>
  <si>
    <t>Consumer App</t>
  </si>
  <si>
    <t>Medium</t>
  </si>
  <si>
    <t>Age</t>
  </si>
  <si>
    <t>Strong Match</t>
  </si>
  <si>
    <t>Recommended</t>
  </si>
  <si>
    <t>Calculated</t>
  </si>
  <si>
    <t>Target Audience Relevance</t>
  </si>
  <si>
    <t>Highest Average Views</t>
  </si>
  <si>
    <t>Food &amp; Beverage</t>
  </si>
  <si>
    <t>Haircare</t>
  </si>
  <si>
    <t>Mid-tier</t>
  </si>
  <si>
    <t>Singapore</t>
  </si>
  <si>
    <t>Jawa Barat</t>
  </si>
  <si>
    <t>Education</t>
  </si>
  <si>
    <t>Review</t>
  </si>
  <si>
    <t>Creative</t>
  </si>
  <si>
    <t>Friendly</t>
  </si>
  <si>
    <t>Warm</t>
  </si>
  <si>
    <t>Demonstrative</t>
  </si>
  <si>
    <t>Quality</t>
  </si>
  <si>
    <t>Mid-market</t>
  </si>
  <si>
    <t>Clean Beauty</t>
  </si>
  <si>
    <t>Gender</t>
  </si>
  <si>
    <t>Good Match</t>
  </si>
  <si>
    <t>Consider</t>
  </si>
  <si>
    <t>Limited Data</t>
  </si>
  <si>
    <t>Estimated</t>
  </si>
  <si>
    <t>Highest Median Views</t>
  </si>
  <si>
    <t>Fashion &amp; Apparel</t>
  </si>
  <si>
    <t>Streetwear</t>
  </si>
  <si>
    <t>Macro</t>
  </si>
  <si>
    <t>35-44</t>
  </si>
  <si>
    <t>Any</t>
  </si>
  <si>
    <t>Philippines</t>
  </si>
  <si>
    <t>Jawa Tengah</t>
  </si>
  <si>
    <t>Surabaya</t>
  </si>
  <si>
    <t>Finance</t>
  </si>
  <si>
    <t>Tech-savvy</t>
  </si>
  <si>
    <t>Premium</t>
  </si>
  <si>
    <t>Aspirational</t>
  </si>
  <si>
    <t>Conversational</t>
  </si>
  <si>
    <t>Transparency</t>
  </si>
  <si>
    <t>Derma Skincare</t>
  </si>
  <si>
    <t>Location</t>
  </si>
  <si>
    <t>Moderate Match</t>
  </si>
  <si>
    <t>Low Priority</t>
  </si>
  <si>
    <t>Brand Personality Fit</t>
  </si>
  <si>
    <t>Highest Engagement Quality</t>
  </si>
  <si>
    <t>Health &amp; Fitness</t>
  </si>
  <si>
    <t>Hijab Fashion</t>
  </si>
  <si>
    <t>Mega</t>
  </si>
  <si>
    <t>45+</t>
  </si>
  <si>
    <t>Thailand</t>
  </si>
  <si>
    <t>Jawa Timur</t>
  </si>
  <si>
    <t>Medan</t>
  </si>
  <si>
    <t>Productivity</t>
  </si>
  <si>
    <t>Aesthetic</t>
  </si>
  <si>
    <t>Reviewer</t>
  </si>
  <si>
    <t>Playful</t>
  </si>
  <si>
    <t>Data-driven</t>
  </si>
  <si>
    <t>Sustainability</t>
  </si>
  <si>
    <t>Luxury</t>
  </si>
  <si>
    <t>Local F&amp;B</t>
  </si>
  <si>
    <t>Low Match</t>
  </si>
  <si>
    <t>Excluded</t>
  </si>
  <si>
    <t>Performance Quality</t>
  </si>
  <si>
    <t>Highest Share Rate</t>
  </si>
  <si>
    <t>Financial Services</t>
  </si>
  <si>
    <t>Local Brand</t>
  </si>
  <si>
    <t>Vietnam</t>
  </si>
  <si>
    <t>Banten</t>
  </si>
  <si>
    <t>Yogyakarta</t>
  </si>
  <si>
    <t>Entertaining</t>
  </si>
  <si>
    <t>Relatable</t>
  </si>
  <si>
    <t>Inspiring</t>
  </si>
  <si>
    <t>Visual-first</t>
  </si>
  <si>
    <t>Affordability</t>
  </si>
  <si>
    <t>Ready-to-Drink</t>
  </si>
  <si>
    <t>Highest Save Rate</t>
  </si>
  <si>
    <t>Culinary Review</t>
  </si>
  <si>
    <t>Vlog</t>
  </si>
  <si>
    <t>Casual</t>
  </si>
  <si>
    <t>Authentic</t>
  </si>
  <si>
    <t>Straightforward</t>
  </si>
  <si>
    <t>Humorous</t>
  </si>
  <si>
    <t>Community</t>
  </si>
  <si>
    <t>Modest Fashion</t>
  </si>
  <si>
    <t>Most Consistent</t>
  </si>
  <si>
    <t>Travel &amp; Hospitality</t>
  </si>
  <si>
    <t>Home Cooking</t>
  </si>
  <si>
    <t>DI Yogyakarta</t>
  </si>
  <si>
    <t>Makassar</t>
  </si>
  <si>
    <t>Demo</t>
  </si>
  <si>
    <t>Bold</t>
  </si>
  <si>
    <t>Testimonial</t>
  </si>
  <si>
    <t>Empowerment</t>
  </si>
  <si>
    <t>Athleisure</t>
  </si>
  <si>
    <t>Highest View-to-Follower Ratio</t>
  </si>
  <si>
    <t>Home &amp; Living</t>
  </si>
  <si>
    <t>Travel</t>
  </si>
  <si>
    <t>Coffee &amp; Beverage</t>
  </si>
  <si>
    <t>Sumatera Utara</t>
  </si>
  <si>
    <t>Talking Head</t>
  </si>
  <si>
    <t>Caring</t>
  </si>
  <si>
    <t>Gym &amp; Studio</t>
  </si>
  <si>
    <t>Highest Recent Performance</t>
  </si>
  <si>
    <t>Automotive</t>
  </si>
  <si>
    <t>Parenting</t>
  </si>
  <si>
    <t>Home Workout</t>
  </si>
  <si>
    <t>Semarang</t>
  </si>
  <si>
    <t>Shopping</t>
  </si>
  <si>
    <t>Comedy</t>
  </si>
  <si>
    <t>Modern</t>
  </si>
  <si>
    <t>Craftsmanship</t>
  </si>
  <si>
    <t>Supplement &amp; Nutrition</t>
  </si>
  <si>
    <t>Highest 30D Growth</t>
  </si>
  <si>
    <t>Gaming &amp; Entertainment</t>
  </si>
  <si>
    <t>Gym &amp; Strength</t>
  </si>
  <si>
    <t>Bekasi</t>
  </si>
  <si>
    <t>Health</t>
  </si>
  <si>
    <t>Digital Banking</t>
  </si>
  <si>
    <t>Highest 90D Growth</t>
  </si>
  <si>
    <t>Parenting &amp; Baby</t>
  </si>
  <si>
    <t>Gaming</t>
  </si>
  <si>
    <t>Running</t>
  </si>
  <si>
    <t>Depok</t>
  </si>
  <si>
    <t>Cooking</t>
  </si>
  <si>
    <t>Inspirational</t>
  </si>
  <si>
    <t>Family</t>
  </si>
  <si>
    <t>Investment Platform</t>
  </si>
  <si>
    <t>Gadget Review</t>
  </si>
  <si>
    <t>Coffee</t>
  </si>
  <si>
    <t>Fun</t>
  </si>
  <si>
    <t>Edutech</t>
  </si>
  <si>
    <t>Highest Audience Quality</t>
  </si>
  <si>
    <t>Software &amp; SaaS</t>
  </si>
  <si>
    <t>Performance</t>
  </si>
  <si>
    <t>Test Prep &amp; Course</t>
  </si>
  <si>
    <t>Highest Audience Authenticity</t>
  </si>
  <si>
    <t>AI &amp; Productivity</t>
  </si>
  <si>
    <t>Hotel &amp; Resort</t>
  </si>
  <si>
    <t>Best Audience Match</t>
  </si>
  <si>
    <t>Personal Finance</t>
  </si>
  <si>
    <t>OTA &amp; Trip</t>
  </si>
  <si>
    <t>Strongest Community</t>
  </si>
  <si>
    <t>Investing</t>
  </si>
  <si>
    <t>Home Essentials</t>
  </si>
  <si>
    <t>Lowest CPV</t>
  </si>
  <si>
    <t>Furniture &amp; Decor</t>
  </si>
  <si>
    <t>Lowest CPE</t>
  </si>
  <si>
    <t>Study Tips</t>
  </si>
  <si>
    <t>Motorcycle &amp; Parts</t>
  </si>
  <si>
    <t>Lowest CPM</t>
  </si>
  <si>
    <t>Language</t>
  </si>
  <si>
    <t>Car &amp; EV</t>
  </si>
  <si>
    <t>Best Cost Efficiency</t>
  </si>
  <si>
    <t>Career</t>
  </si>
  <si>
    <t>Mobile Game</t>
  </si>
  <si>
    <t>Best Estimated ROI</t>
  </si>
  <si>
    <t>Daily Vlog</t>
  </si>
  <si>
    <t>Home Decor</t>
  </si>
  <si>
    <t>Streaming &amp; Music</t>
  </si>
  <si>
    <t>Highest Brand Fit</t>
  </si>
  <si>
    <t>Self Improvement</t>
  </si>
  <si>
    <t>Family Nutrition</t>
  </si>
  <si>
    <t>Highest Opportunity</t>
  </si>
  <si>
    <t>Minimalism</t>
  </si>
  <si>
    <t>Baby Care</t>
  </si>
  <si>
    <t>Lowest Competitor Saturation</t>
  </si>
  <si>
    <t>Domestic Travel</t>
  </si>
  <si>
    <t>Highest Content Relevance</t>
  </si>
  <si>
    <t>Budget Travel</t>
  </si>
  <si>
    <t>Staycation &amp; Hotel</t>
  </si>
  <si>
    <t>Momlife</t>
  </si>
  <si>
    <t>Pregnancy &amp; Newborn</t>
  </si>
  <si>
    <t>Film &amp; Series</t>
  </si>
  <si>
    <t>Mobile Gaming</t>
  </si>
  <si>
    <t>PC &amp; Console</t>
  </si>
  <si>
    <t>Esports</t>
  </si>
  <si>
    <t>Motorcycle</t>
  </si>
  <si>
    <t>Car Review</t>
  </si>
  <si>
    <t>Modification &amp; Aftermarket</t>
  </si>
  <si>
    <t>Interior</t>
  </si>
  <si>
    <t>Home Organization</t>
  </si>
  <si>
    <t>Home Improvement</t>
  </si>
  <si>
    <t>2. SUB CATEGORY → PARENT CATEGORY  ·  used by the Category Match and Sub Category Match ladders</t>
  </si>
  <si>
    <t>Parent Category</t>
  </si>
  <si>
    <t>3. TIER BANDS  ·  the thresholds tierOf() uses in @/lib/discover/vocab; KOL_Database.Tier is derived from them</t>
  </si>
  <si>
    <t>Min Followers</t>
  </si>
  <si>
    <t>Max Followers</t>
  </si>
  <si>
    <t>4. WEIGHTS, BANDS AND CALIBRATION  ·  every constant the engine uses. Nothing is hard-coded inside a formula.</t>
  </si>
  <si>
    <t>Block</t>
  </si>
  <si>
    <t>Constant</t>
  </si>
  <si>
    <t>What it does</t>
  </si>
  <si>
    <t>COMPONENT WEIGHTS (must total 100)</t>
  </si>
  <si>
    <t>W_BRAND_BUSINESS</t>
  </si>
  <si>
    <t>Weight of component 1 in the Final Match Score.</t>
  </si>
  <si>
    <t>W_TARGET_AUDIENCE</t>
  </si>
  <si>
    <t>Weight of component 2.</t>
  </si>
  <si>
    <t>W_CONTENT_CATEGORY</t>
  </si>
  <si>
    <t>Weight of component 3.</t>
  </si>
  <si>
    <t>W_PERSONALITY</t>
  </si>
  <si>
    <t>Weight of component 4.</t>
  </si>
  <si>
    <t>W_PERFORMANCE</t>
  </si>
  <si>
    <t>Weight of component 5.</t>
  </si>
  <si>
    <t>W_SAFETY</t>
  </si>
  <si>
    <t>Weight of component 6.</t>
  </si>
  <si>
    <t>BRAND &amp; BUSINESS SUB-WEIGHTS</t>
  </si>
  <si>
    <t>Industry Match</t>
  </si>
  <si>
    <t>W_BB_INDUSTRY</t>
  </si>
  <si>
    <t>Brand Industry against the creator Category, via matrix 5.</t>
  </si>
  <si>
    <t>W_BB_CATEGORY</t>
  </si>
  <si>
    <t>Product / Service Category against the creator Sub Category.</t>
  </si>
  <si>
    <t>W_BB_KEYWORD</t>
  </si>
  <si>
    <t>Main Business Keywords and Brand Keywords found in the creator topics, interests, category and sub category — the two overlap scores averaged.</t>
  </si>
  <si>
    <t>TARGET AUDIENCE SUB-WEIGHTS (base)</t>
  </si>
  <si>
    <t>Age Match</t>
  </si>
  <si>
    <t>W_TA_AGE</t>
  </si>
  <si>
    <t>Base weight before Audience Demographics Priority is applied.</t>
  </si>
  <si>
    <t>Gender Match</t>
  </si>
  <si>
    <t>W_TA_GENDER</t>
  </si>
  <si>
    <t>Base weight.</t>
  </si>
  <si>
    <t>Location Match</t>
  </si>
  <si>
    <t>W_TA_LOCATION</t>
  </si>
  <si>
    <t>Interest Match</t>
  </si>
  <si>
    <t>W_TA_INTEREST</t>
  </si>
  <si>
    <t>Priority bonus</t>
  </si>
  <si>
    <t>W_TA_PRIORITY_BONUS</t>
  </si>
  <si>
    <t>Points added to the dimension named by Audience Demographics Priority; the other three give up a third each, so the four still total 100.</t>
  </si>
  <si>
    <t>LOCATION SUB-WEIGHTS</t>
  </si>
  <si>
    <t>W_LOC_COUNTRY</t>
  </si>
  <si>
    <t>Share of Location Match carried by Audience Country.</t>
  </si>
  <si>
    <t>W_LOC_REGION</t>
  </si>
  <si>
    <t>Share carried by Audience Region.</t>
  </si>
  <si>
    <t>W_LOC_CITY</t>
  </si>
  <si>
    <t>Share carried by Audience City.</t>
  </si>
  <si>
    <t>CONTENT &amp; CATEGORY SUB-WEIGHTS</t>
  </si>
  <si>
    <t>W_CC_CATEGORY</t>
  </si>
  <si>
    <t>Preferred Category against creator Category, via matrix 6.</t>
  </si>
  <si>
    <t>W_CC_SUBCATEGORY</t>
  </si>
  <si>
    <t>Preferred Sub Category against creator Sub Category.</t>
  </si>
  <si>
    <t>W_CC_TOPIC</t>
  </si>
  <si>
    <t>Preferred Content Topics found in creator topics and interests.</t>
  </si>
  <si>
    <t>W_CC_STYLE</t>
  </si>
  <si>
    <t>Preferred Content Style against creator Content Style, via matrix 9.</t>
  </si>
  <si>
    <t>PERSONALITY SUB-WEIGHTS</t>
  </si>
  <si>
    <t>W_BP_PERSONALITY</t>
  </si>
  <si>
    <t>Brand Personality against Creator Personality, via matrix 7.</t>
  </si>
  <si>
    <t>Tone vs Content Style</t>
  </si>
  <si>
    <t>W_BP_TONE</t>
  </si>
  <si>
    <t>Brand Tone against Content Style, via matrix 8.</t>
  </si>
  <si>
    <t>W_BP_VALUES</t>
  </si>
  <si>
    <t>Brand Values and Preferred Creator Values against Creator Values.</t>
  </si>
  <si>
    <t>Communication Style Match</t>
  </si>
  <si>
    <t>W_BP_COMM</t>
  </si>
  <si>
    <t>Communication Style against Content Style, via matrix 8b.</t>
  </si>
  <si>
    <t>PERFORMANCE SUB-WEIGHTS</t>
  </si>
  <si>
    <t>W_PQ_ER</t>
  </si>
  <si>
    <t>Share of Performance Quality.</t>
  </si>
  <si>
    <t>W_PQ_AUDIENCE</t>
  </si>
  <si>
    <t>W_PQ_CONSISTENCY</t>
  </si>
  <si>
    <t>W_PQ_COMMUNITY</t>
  </si>
  <si>
    <t>W_PQ_VIEWS</t>
  </si>
  <si>
    <t>Share of Performance Quality, normalised as views per follower.</t>
  </si>
  <si>
    <t>Recent Growth</t>
  </si>
  <si>
    <t>W_PQ_GROWTH</t>
  </si>
  <si>
    <t>Share of Performance Quality, from 30D Growth.</t>
  </si>
  <si>
    <t>BRAND SAFETY SUB-WEIGHTS</t>
  </si>
  <si>
    <t>W_BS_BASE</t>
  </si>
  <si>
    <t>Brand Safety Score is the primary metric, as the spec requires.</t>
  </si>
  <si>
    <t>W_BS_SATURATION</t>
  </si>
  <si>
    <t>Saturation lowers the score but never excludes on its own — only Max Competitor Saturation does.</t>
  </si>
  <si>
    <t>RISK MULTIPLIERS</t>
  </si>
  <si>
    <t>Risk Flag = High</t>
  </si>
  <si>
    <t>RISK_HIGH</t>
  </si>
  <si>
    <t>Applied to Brand Safety. A flag discounts the score; it does not zero it.</t>
  </si>
  <si>
    <t>Risk Flag = Medium</t>
  </si>
  <si>
    <t>RISK_MEDIUM</t>
  </si>
  <si>
    <t>Applied to Brand Safety.</t>
  </si>
  <si>
    <t>Risk Flag = Low</t>
  </si>
  <si>
    <t>RISK_LOW</t>
  </si>
  <si>
    <t>Risk Flag = None</t>
  </si>
  <si>
    <t>RISK_NONE</t>
  </si>
  <si>
    <t>No discount.</t>
  </si>
  <si>
    <t>NORMALISATION TARGETS</t>
  </si>
  <si>
    <t>Engagement Rate = 100 at</t>
  </si>
  <si>
    <t>CAL_ER_TARGET</t>
  </si>
  <si>
    <t>ER in percent that scores 100 on the Performance component.</t>
  </si>
  <si>
    <t>Primary-band audience share = 100 at</t>
  </si>
  <si>
    <t>CAL_AGE_TARGET</t>
  </si>
  <si>
    <t>Primary age band share (plus half the secondary) that scores 100 on Age Match.</t>
  </si>
  <si>
    <t>Gender majority = 100 at</t>
  </si>
  <si>
    <t>CAL_GENDER_TARGET</t>
  </si>
  <si>
    <t>Female (or Male) share that scores 100 when Gender Majority names one.</t>
  </si>
  <si>
    <t>Views per follower = 100 at</t>
  </si>
  <si>
    <t>CAL_VFR_TARGET</t>
  </si>
  <si>
    <t>View-to-follower ratio that scores 100 on Average Views.</t>
  </si>
  <si>
    <t>30D Growth = 100 at</t>
  </si>
  <si>
    <t>CAL_GROWTH_TARGET</t>
  </si>
  <si>
    <t>Monthly follower growth in percent that scores 100. -2% scores 0.</t>
  </si>
  <si>
    <t>Value per engagement (IDR)</t>
  </si>
  <si>
    <t>CAL_VALUE_PER_ENG</t>
  </si>
  <si>
    <t>Earned value of one engagement, used by Estimated ROI.</t>
  </si>
  <si>
    <t>Estimated Reach — views factor</t>
  </si>
  <si>
    <t>CAL_REACH_VIEWS</t>
  </si>
  <si>
    <t>Estimated Reach = Average Views x this + Followers x the next.</t>
  </si>
  <si>
    <t>Estimated Reach — followers factor</t>
  </si>
  <si>
    <t>CAL_REACH_FOLL</t>
  </si>
  <si>
    <t>See above.</t>
  </si>
  <si>
    <t>Median CPE across the roster</t>
  </si>
  <si>
    <t>CAL_MEDIAN_CPE</t>
  </si>
  <si>
    <t>Derived. Cost Efficiency is this divided by the creator CPE.</t>
  </si>
  <si>
    <t>No-preference score</t>
  </si>
  <si>
    <t>CAL_NEUTRAL</t>
  </si>
  <si>
    <t>What a comparison scores when the brand left the field blank — neither a reward nor a penalty.</t>
  </si>
  <si>
    <t>Unrelated floor</t>
  </si>
  <si>
    <t>CAL_UNRELATED</t>
  </si>
  <si>
    <t>Bottom of the 100/80/60/40/20 relevance ladder.</t>
  </si>
  <si>
    <t>MATCH LEVEL BANDS</t>
  </si>
  <si>
    <t>Excellent Match at</t>
  </si>
  <si>
    <t>BAND_EXCELLENT</t>
  </si>
  <si>
    <t>Final Match Score at or above this.</t>
  </si>
  <si>
    <t>Strong Match at</t>
  </si>
  <si>
    <t>BAND_STRONG</t>
  </si>
  <si>
    <t>Good Match at</t>
  </si>
  <si>
    <t>BAND_GOOD</t>
  </si>
  <si>
    <t>Moderate Match at</t>
  </si>
  <si>
    <t>BAND_MODERATE</t>
  </si>
  <si>
    <t>Below this is a Low Match — still visible unless Minimum Brand Match is set.</t>
  </si>
  <si>
    <t>RECOMMENDATION BANDS</t>
  </si>
  <si>
    <t>Highly Recommended at</t>
  </si>
  <si>
    <t>REC_HIGH</t>
  </si>
  <si>
    <t>Final Match Score at or above this, and not excluded.</t>
  </si>
  <si>
    <t>Recommended at</t>
  </si>
  <si>
    <t>REC_MID</t>
  </si>
  <si>
    <t>Consider at</t>
  </si>
  <si>
    <t>REC_LOW</t>
  </si>
  <si>
    <t>Below this is Low Priority.</t>
  </si>
  <si>
    <t>CONFIDENCE BANDS</t>
  </si>
  <si>
    <t>High at data completeness</t>
  </si>
  <si>
    <t>CONF_HIGH</t>
  </si>
  <si>
    <t>Percent of the 12 tracked KOL fields that carry a value.</t>
  </si>
  <si>
    <t>Medium at data completeness</t>
  </si>
  <si>
    <t>CONF_MEDIUM</t>
  </si>
  <si>
    <t>Below this is Limited Data.</t>
  </si>
  <si>
    <t>Consideration threshold</t>
  </si>
  <si>
    <t>EXP_CONSIDERATION</t>
  </si>
  <si>
    <t>A component below this is written up as a consideration rather than a strength.</t>
  </si>
  <si>
    <t>OPPORTUNITY SUB-WEIGHTS</t>
  </si>
  <si>
    <t>Head-room (100 - saturation)</t>
  </si>
  <si>
    <t>W_OP_HEADROOM</t>
  </si>
  <si>
    <t>Share of Opportunity Score.</t>
  </si>
  <si>
    <t>W_OP_COST</t>
  </si>
  <si>
    <t>W_OP_GROWTH</t>
  </si>
  <si>
    <t>W_OP_ER</t>
  </si>
  <si>
    <t>CHECK</t>
  </si>
  <si>
    <t>Component weights total</t>
  </si>
  <si>
    <t>CHECK_WEIGHT_TOTAL</t>
  </si>
  <si>
    <t>5. INDUSTRY × CREATOR CATEGORY  ·  drives Industry Match. 100 exact · 80 strongly related · 60 partially · 40 weakly · 20 unrelated</t>
  </si>
  <si>
    <t>↓ brand / creator →</t>
  </si>
  <si>
    <t>6. CATEGORY × CATEGORY  ·  drives Content Category Match and the Category Match fallback</t>
  </si>
  <si>
    <t>7. BRAND PERSONALITY × CREATOR PERSONALITY  ·  related matches count. Innovative is answered by Tech-savvy and Creative, not only by "Innovative".</t>
  </si>
  <si>
    <t>8. BRAND TONE × CONTENT STYLE  ·  drives Tone vs Content Style</t>
  </si>
  <si>
    <t>8b. COMMUNICATION STYLE × CONTENT STYLE  ·  drives Communication Style Match</t>
  </si>
  <si>
    <t>9. CONTENT STYLE × CONTENT STYLE  ·  drives Content Style Match</t>
  </si>
  <si>
    <t>10. RANKING PRESETS  ·  the Discovery_Ranking preset picker reads this table. "Available today" is the prototype answer, not an aspiration.</t>
  </si>
  <si>
    <t>Preset</t>
  </si>
  <si>
    <t>Ranked by</t>
  </si>
  <si>
    <t>Direction</t>
  </si>
  <si>
    <t>Available today</t>
  </si>
  <si>
    <t>desc</t>
  </si>
  <si>
    <t>Engagement Quality Index</t>
  </si>
  <si>
    <t>PARTIAL — 25 creator</t>
  </si>
  <si>
    <t>Rising Score</t>
  </si>
  <si>
    <t>asc</t>
  </si>
  <si>
    <t>Trending Score</t>
  </si>
  <si>
    <t>Relevance Score</t>
  </si>
  <si>
    <t>11a. AVAILABLE CATEGORIES FROM THE EXISTING KOL DATABASE  ·  public.kol_categories, read at fetch time. Every category in this workbook comes from this table. Nothing here was invented, re-spelled or given a synonym.</t>
  </si>
  <si>
    <t>Category name (raw)</t>
  </si>
  <si>
    <t>Creators</t>
  </si>
  <si>
    <t>taxonomy_key (canonical)</t>
  </si>
  <si>
    <t>canonical name</t>
  </si>
  <si>
    <t>Moms</t>
  </si>
  <si>
    <t>Gen Z</t>
  </si>
  <si>
    <t>Foodies</t>
  </si>
  <si>
    <t>folds into Food</t>
  </si>
  <si>
    <t>folds into Lifestyle</t>
  </si>
  <si>
    <t>Sports</t>
  </si>
  <si>
    <t>folds into Fitness</t>
  </si>
  <si>
    <t>Humor</t>
  </si>
  <si>
    <t>folds into Entertainment</t>
  </si>
  <si>
    <t>Automotive and motorsports</t>
  </si>
  <si>
    <t>(null)</t>
  </si>
  <si>
    <t>the database assigns this no taxonomy_key, so a creator carrying only this row stays uncategorised</t>
  </si>
  <si>
    <t>Parenting and family</t>
  </si>
  <si>
    <t>folds into Moms</t>
  </si>
  <si>
    <t>Musicians</t>
  </si>
  <si>
    <t>Medical</t>
  </si>
  <si>
    <t>Dance</t>
  </si>
  <si>
    <t>Gym Enthusiast</t>
  </si>
  <si>
    <t>Story Teller</t>
  </si>
  <si>
    <t>folds into Tech</t>
  </si>
  <si>
    <t>Spirituality and religion</t>
  </si>
  <si>
    <t>Technology and gadgets</t>
  </si>
  <si>
    <t>Business and entrepreneurship</t>
  </si>
  <si>
    <t>Cyclist</t>
  </si>
  <si>
    <t>Environmentalism and sustainability</t>
  </si>
  <si>
    <t>CANONICAL</t>
  </si>
  <si>
    <t>9 keys</t>
  </si>
  <si>
    <t>Beauty · Entertainment · Fashion · Fitness · Food · Gen Z · Lifestyle · Moms · Tech</t>
  </si>
  <si>
    <t>11. COMPARISON-WORKBOOK CALIBRATION  ·  targets for the raw server measurements this workbook scores. Section 4 above still governs every weight and band; nothing here overrides it.</t>
  </si>
  <si>
    <t>AUDIENCE NORMALISATION</t>
  </si>
  <si>
    <t>Audience in target country = 100 at</t>
  </si>
  <si>
    <t>CAL_COUNTRY_TARGET</t>
  </si>
  <si>
    <t>Share of the KNOWN-country audience sitting in Target Country that scores 100. Known-country share is itself only 10-20% of the sample for most creators — the Country Known % column is what says how far to trust it.</t>
  </si>
  <si>
    <t>Audience in target city = 100 at</t>
  </si>
  <si>
    <t>CAL_CITY_TARGET</t>
  </si>
  <si>
    <t>Share of the known-city audience in Target City that scores 100. Lower than the country target because city shares fragment across dozens of keys.</t>
  </si>
  <si>
    <t>Audience interest overlap = 100 at</t>
  </si>
  <si>
    <t>CAL_INTEREST_TARGET</t>
  </si>
  <si>
    <t>Combined share of the known-interest audience falling inside the brand interest set that scores 100.</t>
  </si>
  <si>
    <t>PERFORMANCE NORMALISATION</t>
  </si>
  <si>
    <t>Posts per month = 100 at</t>
  </si>
  <si>
    <t>CAL_CONSISTENCY_TARGET</t>
  </si>
  <si>
    <t>Posting cadence that scores 100 on Consistency.</t>
  </si>
  <si>
    <t>Minimum observation days for cadence</t>
  </si>
  <si>
    <t>CAL_MIN_OBS_DAYS</t>
  </si>
  <si>
    <t>A post_frequency_monthly extrapolated from a 1-2 day window is arithmetic, not a cadence — the roster carries readings of 300/month off a single observed day. Below this many days Consistency reports N/A instead.</t>
  </si>
  <si>
    <t>View-to-follower ratio = 100 at</t>
  </si>
  <si>
    <t>CAL_VFR_TARGET_ROSTER</t>
  </si>
  <si>
    <t>Replaces CAL_VFR_TARGET (0,5) for this roster. Every one of the 15 creators carrying a ratio is above 0,5, so the shared target scored all of them 100 and the sub-score carried no information at all. The observed range here is 0,54 to 50,1 — the high end coming off accounts where only one or two posts were analysed, which is why the target is set near the middle of the credible band rather than the top of the observed one.</t>
  </si>
  <si>
    <t>BRAND SAFETY SCREEN</t>
  </si>
  <si>
    <t>Authenticity weight</t>
  </si>
  <si>
    <t>W_BS_AUTHENTICITY</t>
  </si>
  <si>
    <t>Share of the safety screen carried by feature.*_audience_analysis.authenticity_score.</t>
  </si>
  <si>
    <t>Follower quality weight</t>
  </si>
  <si>
    <t>W_BS_FOLLOWER_QUALITY</t>
  </si>
  <si>
    <t>Share carried by follower_quality_score.</t>
  </si>
  <si>
    <t>Verification weight</t>
  </si>
  <si>
    <t>W_BS_VERIFICATION</t>
  </si>
  <si>
    <t>Share carried by platform verification — the one identity signal that is complete for this roster.</t>
  </si>
  <si>
    <t>Paid-ratio weight</t>
  </si>
  <si>
    <t>W_BS_PAID</t>
  </si>
  <si>
    <t>Share carried by the sponsored-post ratio. An account that is mostly paid placements is a weaker endorsement, not an unsafe one.</t>
  </si>
  <si>
    <t>Verified scores</t>
  </si>
  <si>
    <t>CAL_VERIFIED_YES</t>
  </si>
  <si>
    <t>Score when verified_status = verified.</t>
  </si>
  <si>
    <t>Unverified scores</t>
  </si>
  <si>
    <t>CAL_VERIFIED_NO</t>
  </si>
  <si>
    <t>Not zero: unverified is an unanswered question about identity, not evidence of harm.</t>
  </si>
  <si>
    <t>Paid ratio = 0 at</t>
  </si>
  <si>
    <t>CAL_PAID_CEILING</t>
  </si>
  <si>
    <t>Sponsored share of posts, in percent, at which the paid-ratio component reaches 0.</t>
  </si>
  <si>
    <t>SAFETY LEVEL BANDS</t>
  </si>
  <si>
    <t>Low Risk at</t>
  </si>
  <si>
    <t>BAND_SAFE_LOW</t>
  </si>
  <si>
    <t>Safety Score at or above this.</t>
  </si>
  <si>
    <t>Moderate Risk at</t>
  </si>
  <si>
    <t>BAND_SAFE_MOD</t>
  </si>
  <si>
    <t>Elevated Risk at</t>
  </si>
  <si>
    <t>BAND_SAFE_ELEV</t>
  </si>
  <si>
    <t>Below this is High Risk.</t>
  </si>
  <si>
    <t>W_BB_CAT</t>
  </si>
  <si>
    <t>Brand category against the creator's TAGGED canonical category, via matrix 11d. Supersedes W_BB_INDUSTRY on section 4: this workbook has no Industry field, because the database has no industry concept — public.brand carries `category` and nothing else.</t>
  </si>
  <si>
    <t>W_BB_KW</t>
  </si>
  <si>
    <t>public.brand.brand_keywords found in the creator bio, captions and category names. Sparse: kol_directory.bio is ~12% filled server-wide and several of these creators caption in English or Spanish, so an Indonesian keyword list cannot reach them.</t>
  </si>
  <si>
    <t>W_BB_HASH</t>
  </si>
  <si>
    <t>public.brand.brand_hashtags found in the creator's own hashtags. A separate question from keywords because the schema treats it as one — a hashtag is what a post is filed under, a keyword is a word that appeared in a sentence. Sparser still: only 312 of 503 harvested posts carry any hashtag.</t>
  </si>
  <si>
    <t>W_CC_CAT</t>
  </si>
  <si>
    <t>Brand category against Category From Captions — what the creator's own posts show them doing, as opposed to the tag they carry. Supersedes the section-4 content sub-weights, which split across a sub-category and a content-style column that do not exist on this server.</t>
  </si>
  <si>
    <t>W_CC_TOPICS</t>
  </si>
  <si>
    <t>The brand's caption search terms found in the creator's captions. Same sparsity caveat as Keyword Match, and the same reasoning for not letting it carry half the component.</t>
  </si>
  <si>
    <t>11b. ENGAGEMENT RATE TARGET BY TIER  ·  the ER, in percent, that scores 100. Overrides CAL_ER_TARGET for this workbook, because engagement rate falls with follower count and one global bar would rank the roster by size.</t>
  </si>
  <si>
    <t>ER = 100 at (%)</t>
  </si>
  <si>
    <t>Why</t>
  </si>
  <si>
    <t>Small, close audiences engage hardest.</t>
  </si>
  <si>
    <t>The bar CAL_ER_TARGET was set for.</t>
  </si>
  <si>
    <t>Every creator on this roster is Mega. 2% is at the top of what accounts above 10M followers reach; @cristiano at 2,21% is the only one clearing it.</t>
  </si>
  <si>
    <t>11d. CANONICAL CATEGORY × CANONICAL CATEGORY  ·  drives Category Match and Content Category Match. Row = what the brand wants, column = what the creator is. 100 exact · 80 strongly related · 60 partially · 40 weakly · 20 unrelated. Both axes are kol_categories.taxonomy_key values — there is no third list.</t>
  </si>
  <si>
    <t>12. AUDIENCE INTEREST KEYS  ·  every distinct l2_gold.audience_interest_daily.interest_key, spelled as the database spells it. Brands target these strings directly, so no crosswalk sits between the two halves to disagree with itself. 'sports' and 'fitness' stay separate because the database keeps them separate.</t>
  </si>
  <si>
    <t>interest_key</t>
  </si>
  <si>
    <t>In the scoring axis</t>
  </si>
  <si>
    <t>Targeted by</t>
  </si>
  <si>
    <t>art</t>
  </si>
  <si>
    <t>yes</t>
  </si>
  <si>
    <t>— no brand targets it</t>
  </si>
  <si>
    <t>automotive</t>
  </si>
  <si>
    <t>LumiSkin, UrbanMuse</t>
  </si>
  <si>
    <t>business</t>
  </si>
  <si>
    <t>education</t>
  </si>
  <si>
    <t>entertainment</t>
  </si>
  <si>
    <t>LumiSkin, DailyBite</t>
  </si>
  <si>
    <t>DailyBite, MoveFit</t>
  </si>
  <si>
    <t>gaming</t>
  </si>
  <si>
    <t>music</t>
  </si>
  <si>
    <t>parenting</t>
  </si>
  <si>
    <t>pets</t>
  </si>
  <si>
    <t>photography</t>
  </si>
  <si>
    <t>religion</t>
  </si>
  <si>
    <t>sports</t>
  </si>
  <si>
    <t>technology</t>
  </si>
  <si>
    <t>DailyBite, UrbanMuse</t>
  </si>
  <si>
    <t>'unknown'</t>
  </si>
  <si>
    <t>Not an interest: the share of the sampled audience the pipeline could not classify — often 80-89% of it. Counted in the denominator of every interest share so the shares stay honest, reported separately as Interest Known %, and never targeted by a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</si>
</sst>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
    <numFmt numFmtId="166" formatCode="0.000"/>
  </numFmts>
  <fonts count="11" x14ac:knownFonts="1">
    <font>
      <color theme="1"/>
      <family val="2"/>
      <scheme val="minor"/>
      <sz val="11"/>
      <name val="Calibri"/>
    </font>
    <font>
      <b/>
      <color rgb="FFFFFFFF"/>
      <sz val="13"/>
      <name val="Calibri"/>
    </font>
    <font>
      <i/>
      <color rgb="FF6B7280"/>
      <sz val="9"/>
      <name val="Calibri"/>
    </font>
    <font>
      <b/>
      <color rgb="FFFFFFFF"/>
      <sz val="10"/>
      <name val="Calibri"/>
    </font>
    <font>
      <b/>
      <color rgb="FF111827"/>
      <sz val="10"/>
      <name val="Calibri"/>
    </font>
    <font>
      <color rgb="FF6B7280"/>
      <sz val="9"/>
      <name val="Calibri"/>
    </font>
    <font>
      <b/>
      <color rgb="FFFFFFFF"/>
      <sz val="9"/>
      <name val="Calibri"/>
    </font>
    <font>
      <b/>
      <color rgb="FF111827"/>
      <sz val="9"/>
      <name val="Calibri"/>
    </font>
    <font>
      <color rgb="FF111827"/>
      <sz val="9"/>
      <name val="Calibri"/>
    </font>
    <font>
      <b/>
      <color rgb="FF991B1B"/>
      <sz val="9"/>
      <name val="Calibri"/>
    </font>
    <font>
      <b/>
      <color rgb="FFFFFFFF"/>
      <sz val="8"/>
      <name val="Calibri"/>
    </font>
  </fonts>
  <fills count="9">
    <fill>
      <patternFill patternType="none"/>
    </fill>
    <fill>
      <patternFill patternType="gray125"/>
    </fill>
    <fill>
      <patternFill patternType="solid">
        <fgColor rgb="FF15325B"/>
      </patternFill>
    </fill>
    <fill>
      <patternFill patternType="solid">
        <fgColor rgb="FF1F2937"/>
      </patternFill>
    </fill>
    <fill>
      <patternFill patternType="solid">
        <fgColor rgb="FF334E68"/>
      </patternFill>
    </fill>
    <fill>
      <patternFill patternType="solid">
        <fgColor rgb="FFF3F4F6"/>
      </patternFill>
    </fill>
    <fill>
      <patternFill patternType="solid">
        <fgColor rgb="FFFFF8E1"/>
      </patternFill>
    </fill>
    <fill>
      <patternFill patternType="solid">
        <fgColor rgb="FFF0F6FF"/>
      </patternFill>
    </fill>
    <fill>
      <patternFill patternType="solid">
        <fgColor rgb="FF6B7280"/>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rgb="FF0F172A"/>
      </left>
      <right style="thin">
        <color rgb="FF0F172A"/>
      </right>
      <top style="thin">
        <color rgb="FF0F172A"/>
      </top>
      <bottom style="thin">
        <color rgb="FF0F172A"/>
      </bottom>
      <diagonal/>
    </border>
    <border>
      <left style="thin">
        <color rgb="FF1F2937"/>
      </left>
      <right style="thin">
        <color rgb="FF1F2937"/>
      </right>
      <top style="thin">
        <color rgb="FF1F2937"/>
      </top>
      <bottom style="thin">
        <color rgb="FF1F2937"/>
      </bottom>
      <diagonal/>
    </border>
  </borders>
  <cellStyleXfs count="1">
    <xf numFmtId="0" fontId="0" fillId="0" borderId="0"/>
  </cellStyleXfs>
  <cellXfs count="46">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3" borderId="0" xfId="0" applyFont="1" applyFill="1" applyAlignment="1">
      <alignment vertical="center" indent="1"/>
    </xf>
    <xf numFmtId="0" fontId="4" fillId="0" borderId="1" xfId="0" applyFont="1" applyBorder="1" applyAlignment="1">
      <alignment vertical="center"/>
    </xf>
    <xf numFmtId="0" fontId="5" fillId="0" borderId="1" xfId="0" applyFont="1" applyBorder="1" applyAlignment="1">
      <alignment vertical="top" wrapText="1"/>
    </xf>
    <xf numFmtId="0" fontId="6" fillId="3" borderId="2" xfId="0" applyFont="1" applyFill="1" applyBorder="1" applyAlignment="1">
      <alignment horizontal="center" vertical="center" wrapText="1"/>
    </xf>
    <xf numFmtId="0" fontId="7" fillId="0" borderId="1" xfId="0" applyFont="1" applyBorder="1" applyAlignment="1">
      <alignment vertical="center"/>
    </xf>
    <xf numFmtId="0" fontId="5" fillId="0" borderId="1" xfId="0" applyFont="1" applyBorder="1" applyAlignment="1">
      <alignment vertical="center" wrapText="1"/>
    </xf>
    <xf numFmtId="0" fontId="6" fillId="4" borderId="3" xfId="0" applyFont="1" applyFill="1" applyBorder="1" applyAlignment="1">
      <alignment horizontal="center" vertical="center"/>
    </xf>
    <xf numFmtId="0" fontId="7" fillId="0" borderId="1" xfId="0" applyFont="1" applyBorder="1"/>
    <xf numFmtId="0" fontId="8" fillId="0" borderId="1" xfId="0" applyFont="1" applyBorder="1"/>
    <xf numFmtId="3" fontId="8" fillId="0" borderId="1" xfId="0" applyNumberFormat="1" applyFont="1" applyBorder="1"/>
    <xf numFmtId="0" fontId="2" fillId="0" borderId="1" xfId="0" applyFont="1" applyBorder="1"/>
    <xf numFmtId="2" fontId="8" fillId="0" borderId="1" xfId="0" applyNumberFormat="1" applyFont="1" applyBorder="1"/>
    <xf numFmtId="164" fontId="8" fillId="0" borderId="1" xfId="0" applyNumberFormat="1" applyFont="1" applyBorder="1"/>
    <xf numFmtId="165" fontId="8" fillId="0" borderId="1" xfId="0" applyNumberFormat="1" applyFont="1" applyBorder="1"/>
    <xf numFmtId="166" fontId="8" fillId="0" borderId="1" xfId="0" applyNumberFormat="1" applyFont="1" applyBorder="1"/>
    <xf numFmtId="1" fontId="8" fillId="0" borderId="1" xfId="0" applyNumberFormat="1" applyFont="1" applyBorder="1"/>
    <xf numFmtId="0" fontId="7" fillId="5" borderId="1" xfId="0" applyFont="1" applyFill="1" applyBorder="1" applyAlignment="1">
      <alignment vertical="center"/>
    </xf>
    <xf numFmtId="0" fontId="5" fillId="0" borderId="1" xfId="0" applyFont="1" applyBorder="1" applyAlignment="1">
      <alignment vertical="center"/>
    </xf>
    <xf numFmtId="0" fontId="8" fillId="6" borderId="1" xfId="0" applyFont="1" applyFill="1" applyBorder="1" applyAlignment="1">
      <alignment vertical="top" wrapText="1"/>
    </xf>
    <xf numFmtId="0" fontId="8" fillId="0" borderId="1" xfId="0" applyFont="1" applyBorder="1" applyAlignment="1">
      <alignment vertical="center"/>
    </xf>
    <xf numFmtId="0" fontId="7" fillId="6" borderId="1" xfId="0" applyFont="1" applyFill="1" applyBorder="1" applyAlignment="1">
      <alignment vertical="center"/>
    </xf>
    <xf numFmtId="0" fontId="9" fillId="0" borderId="1" xfId="0" applyFont="1" applyBorder="1" applyAlignment="1">
      <alignment vertical="center" wrapText="1"/>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6" borderId="1" xfId="0" applyFont="1" applyFill="1" applyBorder="1" applyAlignment="1">
      <alignment horizontal="center"/>
    </xf>
    <xf numFmtId="0" fontId="7" fillId="7" borderId="1" xfId="0" applyFont="1" applyFill="1" applyBorder="1" applyAlignment="1">
      <alignment horizontal="center"/>
    </xf>
    <xf numFmtId="1" fontId="7" fillId="0" borderId="1" xfId="0" applyNumberFormat="1" applyFont="1" applyBorder="1"/>
    <xf numFmtId="1" fontId="4" fillId="0" borderId="1" xfId="0" applyNumberFormat="1" applyFont="1" applyBorder="1"/>
    <xf numFmtId="0" fontId="6" fillId="8" borderId="3" xfId="0" applyFont="1" applyFill="1" applyBorder="1" applyAlignment="1">
      <alignment horizontal="center" vertical="center"/>
    </xf>
    <xf numFmtId="0" fontId="8" fillId="0" borderId="1" xfId="0" applyFont="1" applyBorder="1" applyAlignment="1">
      <alignment vertical="top" wrapText="1"/>
    </xf>
    <xf numFmtId="1" fontId="7" fillId="0" borderId="1" xfId="0" applyNumberFormat="1" applyFont="1" applyBorder="1" applyAlignment="1">
      <alignment vertical="top" wrapText="1"/>
    </xf>
    <xf numFmtId="1" fontId="8" fillId="0" borderId="1" xfId="0" applyNumberFormat="1" applyFont="1" applyBorder="1" applyAlignment="1">
      <alignment vertical="top" wrapText="1"/>
    </xf>
    <xf numFmtId="0" fontId="8" fillId="0" borderId="1" xfId="0" applyFont="1" applyBorder="1" applyAlignment="1">
      <alignment horizontal="center"/>
    </xf>
    <xf numFmtId="0" fontId="7" fillId="0" borderId="1" xfId="0" applyFont="1" applyBorder="1" applyAlignment="1">
      <alignment vertical="top"/>
    </xf>
    <xf numFmtId="0" fontId="8" fillId="0" borderId="1" xfId="0" applyFont="1" applyBorder="1" applyAlignment="1">
      <alignment vertical="top"/>
    </xf>
    <xf numFmtId="1" fontId="7" fillId="0" borderId="1" xfId="0" applyNumberFormat="1" applyFont="1" applyBorder="1" applyAlignment="1">
      <alignment vertical="top"/>
    </xf>
    <xf numFmtId="0" fontId="8" fillId="0" borderId="1" xfId="0" applyFont="1" applyBorder="1" applyAlignment="1">
      <alignment vertical="center" wrapText="1"/>
    </xf>
    <xf numFmtId="3" fontId="8" fillId="0" borderId="1" xfId="0" applyNumberFormat="1" applyFont="1" applyBorder="1" applyAlignment="1">
      <alignment vertical="center"/>
    </xf>
    <xf numFmtId="0" fontId="7" fillId="0" borderId="1" xfId="0" applyFont="1" applyBorder="1" applyAlignment="1">
      <alignment vertical="center" wrapText="1"/>
    </xf>
    <xf numFmtId="0" fontId="7" fillId="6" borderId="1" xfId="0" applyFont="1" applyFill="1" applyBorder="1" applyAlignment="1">
      <alignment horizontal="center" vertical="center"/>
    </xf>
    <xf numFmtId="0" fontId="10" fillId="3" borderId="1" xfId="0" applyFont="1" applyFill="1" applyBorder="1" applyAlignment="1">
      <alignment horizontal="center" vertical="center" wrapText="1"/>
    </xf>
    <xf numFmtId="1" fontId="8" fillId="0" borderId="1" xfId="0" applyNumberFormat="1" applyFont="1" applyBorder="1" applyAlignment="1">
      <alignment horizontal="center"/>
    </xf>
    <xf numFmtId="0" fontId="7" fillId="6" borderId="1" xfId="0" applyFont="1" applyFill="1" applyBorder="1" applyAlignment="1">
      <alignment horizontal="center"/>
    </xf>
  </cellXfs>
  <cellStyles count="1">
    <cellStyle name="Normal" xfId="0" builtinId="0"/>
  </cellStyles>
  <dxfs count="11">
    <dxf>
      <font>
        <b/>
        <color rgb="FF14532D"/>
      </font>
      <fill>
        <patternFill patternType="solid">
          <fgColor rgb="FFBBF7D0"/>
        </patternFill>
      </fill>
    </dxf>
    <dxf>
      <font>
        <b/>
        <color rgb="FF166534"/>
      </font>
      <fill>
        <patternFill patternType="solid">
          <fgColor rgb="FFDCFCE7"/>
        </patternFill>
      </fill>
    </dxf>
    <dxf>
      <font>
        <b/>
        <color rgb="FF854D0E"/>
      </font>
      <fill>
        <patternFill patternType="solid">
          <fgColor rgb="FFFEF9C3"/>
        </patternFill>
      </fill>
    </dxf>
    <dxf>
      <font>
        <b/>
        <color rgb="FF92400E"/>
      </font>
      <fill>
        <patternFill patternType="solid">
          <fgColor rgb="FFFEF3C7"/>
        </patternFill>
      </fill>
    </dxf>
    <dxf>
      <font>
        <b/>
        <color rgb="FF991B1B"/>
      </font>
      <fill>
        <patternFill patternType="solid">
          <fgColor rgb="FFFEE2E2"/>
        </patternFill>
      </fill>
    </dxf>
    <dxf>
      <font>
        <b/>
        <color rgb="FF991B1B"/>
      </font>
      <fill>
        <patternFill patternType="solid">
          <fgColor rgb="FFFEE2E2"/>
        </patternFill>
      </fill>
    </dxf>
    <dxf>
      <font>
        <b/>
        <color rgb="FF92400E"/>
      </font>
      <fill>
        <patternFill patternType="solid">
          <fgColor rgb="FFFEF3C7"/>
        </patternFill>
      </fill>
    </dxf>
    <dxf>
      <font>
        <b/>
        <color rgb="FF166534"/>
      </font>
      <fill>
        <patternFill patternType="solid">
          <fgColor rgb="FFDCFCE7"/>
        </patternFill>
      </fill>
    </dxf>
    <dxf>
      <font>
        <b/>
        <color rgb="FF991B1B"/>
      </font>
      <fill>
        <patternFill patternType="solid">
          <fgColor rgb="FFFEE2E2"/>
        </patternFill>
      </fill>
    </dxf>
    <dxf>
      <font>
        <b/>
        <color rgb="FF92400E"/>
      </font>
      <fill>
        <patternFill patternType="solid">
          <fgColor rgb="FFFEF3C7"/>
        </patternFill>
      </fill>
    </dxf>
    <dxf>
      <font>
        <b/>
        <color rgb="FF166534"/>
      </font>
      <fill>
        <patternFill patternType="solid">
          <f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2.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0"/>
  <sheetViews>
    <sheetView workbookViewId="0">
      <pane ySplit="5" topLeftCell="A6" activePane="bottomLeft" state="frozen"/>
      <selection pane="bottomLeft"/>
    </sheetView>
  </sheetViews>
  <sheetFormatPr defaultRowHeight="15" outlineLevelRow="0" outlineLevelCol="0" x14ac:dyDescent="55"/>
  <cols>
    <col min="1" max="1" width="30" customWidth="1"/>
    <col min="2" max="2" width="34" customWidth="1"/>
    <col min="3" max="3" width="26" customWidth="1"/>
    <col min="4" max="4" width="11" customWidth="1"/>
    <col min="5" max="5" width="78" customWidth="1"/>
    <col min="6" max="6" width="13" customWidth="1"/>
    <col min="7" max="7" width="20" customWidth="1"/>
    <col min="8" max="8" width="13" customWidth="1"/>
    <col min="9" max="9" width="12" customWidth="1"/>
    <col min="10" max="10" width="11" customWidth="1"/>
    <col min="11" max="11" width="14" customWidth="1"/>
    <col min="12" max="12" width="18" customWidth="1"/>
    <col min="13" max="13" width="24" customWidth="1"/>
    <col min="14" max="14" width="22" customWidth="1"/>
    <col min="15" max="16" width="15" customWidth="1"/>
    <col min="17" max="17" width="11" customWidth="1"/>
    <col min="18" max="18" width="17" customWidth="1"/>
    <col min="19" max="19" width="11" customWidth="1"/>
    <col min="20" max="20" width="20" customWidth="1"/>
    <col min="21" max="21" width="14" customWidth="1"/>
    <col min="22" max="22" width="11" customWidth="1"/>
    <col min="23" max="23" width="22" customWidth="1"/>
    <col min="24" max="24" width="16" customWidth="1"/>
    <col min="25" max="25" width="20" customWidth="1"/>
    <col min="26" max="27" width="16" customWidth="1"/>
    <col min="28" max="28" width="13" customWidth="1"/>
    <col min="29" max="29" width="15" customWidth="1"/>
    <col min="30" max="30" width="19" customWidth="1"/>
  </cols>
  <sheetData>
    <row r="1" ht="24" customHeight="1" spans="1:30" x14ac:dyDescent="0.25">
      <c r="A1" s="1" t="s">
        <v>1042</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ht="30" customHeight="1" spans="1:30" x14ac:dyDescent="0.25">
      <c r="A2" s="2" t="s">
        <v>1043</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ht="18" customHeight="1" spans="1:30" x14ac:dyDescent="0.25">
      <c r="A4" s="3" t="s">
        <v>1044</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ht="26" customHeight="1" spans="1:30" x14ac:dyDescent="0.25">
      <c r="A5" s="6" t="s">
        <v>97</v>
      </c>
      <c r="B5" s="6" t="s">
        <v>1045</v>
      </c>
      <c r="C5" s="6" t="s">
        <v>103</v>
      </c>
      <c r="D5" s="6" t="s">
        <v>1046</v>
      </c>
      <c r="E5" s="6" t="s">
        <v>100</v>
      </c>
      <c r="F5" s="6" t="s">
        <v>1047</v>
      </c>
      <c r="G5" s="6" t="s">
        <v>1048</v>
      </c>
      <c r="H5" s="6" t="s">
        <v>1049</v>
      </c>
      <c r="I5" s="6" t="s">
        <v>1050</v>
      </c>
      <c r="J5" s="6" t="s">
        <v>1051</v>
      </c>
      <c r="K5" s="6" t="s">
        <v>1052</v>
      </c>
      <c r="L5" s="6" t="s">
        <v>1053</v>
      </c>
      <c r="M5" s="6" t="s">
        <v>1054</v>
      </c>
      <c r="N5" s="6" t="s">
        <v>1055</v>
      </c>
      <c r="O5" s="6" t="s">
        <v>1056</v>
      </c>
      <c r="P5" s="6" t="s">
        <v>1057</v>
      </c>
      <c r="Q5" s="6" t="s">
        <v>1058</v>
      </c>
      <c r="R5" s="6" t="s">
        <v>1059</v>
      </c>
      <c r="S5" s="6" t="s">
        <v>1060</v>
      </c>
      <c r="T5" s="6" t="s">
        <v>1061</v>
      </c>
      <c r="U5" s="6" t="s">
        <v>1062</v>
      </c>
      <c r="V5" s="6" t="s">
        <v>1063</v>
      </c>
      <c r="W5" s="6" t="s">
        <v>1064</v>
      </c>
      <c r="X5" s="6" t="s">
        <v>1065</v>
      </c>
      <c r="Y5" s="6" t="s">
        <v>689</v>
      </c>
      <c r="Z5" s="6" t="s">
        <v>168</v>
      </c>
      <c r="AA5" s="6" t="s">
        <v>1066</v>
      </c>
      <c r="AB5" s="6" t="s">
        <v>1067</v>
      </c>
      <c r="AC5" s="6" t="s">
        <v>1068</v>
      </c>
      <c r="AD5" s="6" t="s">
        <v>1069</v>
      </c>
    </row>
    <row r="6" spans="1:30" x14ac:dyDescent="0.25">
      <c r="A6" s="11" t="s">
        <v>173</v>
      </c>
      <c r="B6" s="11" t="s">
        <v>1070</v>
      </c>
      <c r="C6" s="11" t="s">
        <v>217</v>
      </c>
      <c r="D6" s="11" t="s">
        <v>1071</v>
      </c>
      <c r="E6" s="11" t="s">
        <v>1072</v>
      </c>
      <c r="F6" s="11" t="s">
        <v>1073</v>
      </c>
      <c r="G6" s="11" t="s">
        <v>438</v>
      </c>
      <c r="H6" s="11" t="s">
        <v>212</v>
      </c>
      <c r="I6" s="11" t="s">
        <v>1074</v>
      </c>
      <c r="J6" s="11" t="s">
        <v>1074</v>
      </c>
      <c r="K6" s="11" t="s">
        <v>1075</v>
      </c>
      <c r="L6" s="11" t="s">
        <v>1076</v>
      </c>
      <c r="M6" s="11" t="s">
        <v>1077</v>
      </c>
      <c r="N6" s="11" t="s">
        <v>1077</v>
      </c>
      <c r="O6" s="11" t="s">
        <v>1078</v>
      </c>
      <c r="P6" s="11" t="s">
        <v>1076</v>
      </c>
      <c r="Q6" s="11" t="s">
        <v>1079</v>
      </c>
      <c r="R6" s="11" t="s">
        <v>1058</v>
      </c>
      <c r="S6" s="11" t="s">
        <v>1080</v>
      </c>
      <c r="T6" s="11" t="s">
        <v>1081</v>
      </c>
      <c r="U6" s="11" t="s">
        <v>1082</v>
      </c>
      <c r="V6" s="11" t="s">
        <v>175</v>
      </c>
      <c r="W6" s="11" t="s">
        <v>437</v>
      </c>
      <c r="X6" s="11" t="s">
        <v>1083</v>
      </c>
      <c r="Y6" s="11" t="s">
        <v>1084</v>
      </c>
      <c r="Z6" s="11" t="s">
        <v>1085</v>
      </c>
      <c r="AA6" s="11" t="s">
        <v>1086</v>
      </c>
      <c r="AB6" s="11" t="s">
        <v>390</v>
      </c>
      <c r="AC6" s="11" t="s">
        <v>1087</v>
      </c>
      <c r="AD6" s="11" t="s">
        <v>1088</v>
      </c>
    </row>
    <row r="7" spans="1:30" x14ac:dyDescent="0.25">
      <c r="A7" s="11" t="s">
        <v>231</v>
      </c>
      <c r="B7" s="11" t="s">
        <v>1089</v>
      </c>
      <c r="C7" s="11" t="s">
        <v>258</v>
      </c>
      <c r="D7" s="11" t="s">
        <v>1090</v>
      </c>
      <c r="E7" s="11" t="s">
        <v>1091</v>
      </c>
      <c r="F7" s="11" t="s">
        <v>430</v>
      </c>
      <c r="G7" s="11" t="s">
        <v>1092</v>
      </c>
      <c r="H7" s="11" t="s">
        <v>1093</v>
      </c>
      <c r="I7" s="11" t="s">
        <v>1094</v>
      </c>
      <c r="J7" s="11" t="s">
        <v>225</v>
      </c>
      <c r="K7" s="11" t="s">
        <v>1095</v>
      </c>
      <c r="L7" s="11" t="s">
        <v>1096</v>
      </c>
      <c r="M7" s="11" t="s">
        <v>1076</v>
      </c>
      <c r="N7" s="11" t="s">
        <v>1097</v>
      </c>
      <c r="O7" s="11" t="s">
        <v>1098</v>
      </c>
      <c r="P7" s="11" t="s">
        <v>1099</v>
      </c>
      <c r="Q7" s="11" t="s">
        <v>1100</v>
      </c>
      <c r="R7" s="11" t="s">
        <v>1101</v>
      </c>
      <c r="S7" s="11" t="s">
        <v>1102</v>
      </c>
      <c r="T7" s="11" t="s">
        <v>1103</v>
      </c>
      <c r="U7" s="11" t="s">
        <v>1081</v>
      </c>
      <c r="V7" s="11" t="s">
        <v>226</v>
      </c>
      <c r="W7" s="11" t="s">
        <v>1104</v>
      </c>
      <c r="X7" s="11" t="s">
        <v>1105</v>
      </c>
      <c r="Y7" s="11" t="s">
        <v>1106</v>
      </c>
      <c r="Z7" s="11" t="s">
        <v>1103</v>
      </c>
      <c r="AA7" s="11" t="s">
        <v>1107</v>
      </c>
      <c r="AB7" s="11" t="s">
        <v>391</v>
      </c>
      <c r="AC7" s="11" t="s">
        <v>1108</v>
      </c>
      <c r="AD7" s="11" t="s">
        <v>1109</v>
      </c>
    </row>
    <row r="8" spans="2:30" x14ac:dyDescent="0.25">
      <c r="B8" s="11" t="s">
        <v>1110</v>
      </c>
      <c r="C8" s="11" t="s">
        <v>248</v>
      </c>
      <c r="D8" s="11" t="s">
        <v>1111</v>
      </c>
      <c r="E8" s="11" t="s">
        <v>1112</v>
      </c>
      <c r="F8" s="11" t="s">
        <v>429</v>
      </c>
      <c r="G8" s="11" t="s">
        <v>437</v>
      </c>
      <c r="H8" s="11" t="s">
        <v>1113</v>
      </c>
      <c r="I8" s="11" t="s">
        <v>1114</v>
      </c>
      <c r="J8" s="11" t="s">
        <v>224</v>
      </c>
      <c r="K8" s="11" t="s">
        <v>1115</v>
      </c>
      <c r="L8" s="11" t="s">
        <v>1116</v>
      </c>
      <c r="M8" s="11" t="s">
        <v>1117</v>
      </c>
      <c r="N8" s="11" t="s">
        <v>1118</v>
      </c>
      <c r="O8" s="11" t="s">
        <v>1119</v>
      </c>
      <c r="P8" s="11" t="s">
        <v>1120</v>
      </c>
      <c r="Q8" s="11" t="s">
        <v>1121</v>
      </c>
      <c r="R8" s="11" t="s">
        <v>1122</v>
      </c>
      <c r="S8" s="11" t="s">
        <v>1123</v>
      </c>
      <c r="T8" s="11" t="s">
        <v>1085</v>
      </c>
      <c r="U8" s="11" t="s">
        <v>1103</v>
      </c>
      <c r="W8" s="11" t="s">
        <v>1124</v>
      </c>
      <c r="X8" s="11" t="s">
        <v>1125</v>
      </c>
      <c r="Y8" s="11" t="s">
        <v>1126</v>
      </c>
      <c r="Z8" s="11" t="s">
        <v>1127</v>
      </c>
      <c r="AA8" s="11" t="s">
        <v>1128</v>
      </c>
      <c r="AB8" s="11" t="s">
        <v>392</v>
      </c>
      <c r="AC8" s="11" t="s">
        <v>909</v>
      </c>
      <c r="AD8" s="11" t="s">
        <v>1129</v>
      </c>
    </row>
    <row r="9" spans="2:30" x14ac:dyDescent="0.25">
      <c r="B9" s="11" t="s">
        <v>1130</v>
      </c>
      <c r="C9" s="11" t="s">
        <v>189</v>
      </c>
      <c r="D9" s="11" t="s">
        <v>1131</v>
      </c>
      <c r="E9" s="11" t="s">
        <v>1132</v>
      </c>
      <c r="F9" s="11" t="s">
        <v>1133</v>
      </c>
      <c r="G9" s="11" t="s">
        <v>1134</v>
      </c>
      <c r="H9" s="11" t="s">
        <v>1135</v>
      </c>
      <c r="I9" s="11" t="s">
        <v>1136</v>
      </c>
      <c r="J9" s="11" t="s">
        <v>1137</v>
      </c>
      <c r="K9" s="11" t="s">
        <v>1138</v>
      </c>
      <c r="L9" s="11" t="s">
        <v>1099</v>
      </c>
      <c r="M9" s="11" t="s">
        <v>1139</v>
      </c>
      <c r="N9" s="11" t="s">
        <v>1140</v>
      </c>
      <c r="O9" s="11" t="s">
        <v>1141</v>
      </c>
      <c r="P9" s="11" t="s">
        <v>1142</v>
      </c>
      <c r="Q9" s="11" t="s">
        <v>1143</v>
      </c>
      <c r="R9" s="11" t="s">
        <v>1140</v>
      </c>
      <c r="S9" s="11" t="s">
        <v>1144</v>
      </c>
      <c r="U9" s="11" t="s">
        <v>1085</v>
      </c>
      <c r="W9" s="11" t="s">
        <v>1145</v>
      </c>
      <c r="X9" s="11" t="s">
        <v>1146</v>
      </c>
      <c r="Y9" s="11" t="s">
        <v>1147</v>
      </c>
      <c r="AB9" s="11" t="s">
        <v>393</v>
      </c>
      <c r="AC9" s="11" t="s">
        <v>1148</v>
      </c>
      <c r="AD9" s="11" t="s">
        <v>1149</v>
      </c>
    </row>
    <row r="10" spans="2:30" x14ac:dyDescent="0.25">
      <c r="B10" s="11" t="s">
        <v>1150</v>
      </c>
      <c r="C10" s="11" t="s">
        <v>190</v>
      </c>
      <c r="D10" s="11" t="s">
        <v>1151</v>
      </c>
      <c r="E10" s="11" t="s">
        <v>1152</v>
      </c>
      <c r="F10" s="11" t="s">
        <v>1153</v>
      </c>
      <c r="H10" s="11" t="s">
        <v>1154</v>
      </c>
      <c r="I10" s="11" t="s">
        <v>1155</v>
      </c>
      <c r="J10" s="11" t="s">
        <v>1156</v>
      </c>
      <c r="K10" s="11" t="s">
        <v>1157</v>
      </c>
      <c r="L10" s="11" t="s">
        <v>1158</v>
      </c>
      <c r="M10" s="11" t="s">
        <v>1159</v>
      </c>
      <c r="N10" s="11" t="s">
        <v>1160</v>
      </c>
      <c r="O10" s="11" t="s">
        <v>1160</v>
      </c>
      <c r="P10" s="11" t="s">
        <v>1161</v>
      </c>
      <c r="Q10" s="11" t="s">
        <v>1162</v>
      </c>
      <c r="R10" s="11" t="s">
        <v>1163</v>
      </c>
      <c r="S10" s="11" t="s">
        <v>1164</v>
      </c>
      <c r="W10" s="11" t="s">
        <v>1052</v>
      </c>
      <c r="X10" s="11" t="s">
        <v>1165</v>
      </c>
      <c r="Y10" s="11" t="s">
        <v>1166</v>
      </c>
      <c r="AB10" s="11" t="s">
        <v>394</v>
      </c>
      <c r="AC10" s="11" t="s">
        <v>1167</v>
      </c>
      <c r="AD10" s="11" t="s">
        <v>1168</v>
      </c>
    </row>
    <row r="11" spans="2:30" x14ac:dyDescent="0.25">
      <c r="B11" s="11" t="s">
        <v>1169</v>
      </c>
      <c r="C11" s="11" t="s">
        <v>1138</v>
      </c>
      <c r="D11" s="11" t="s">
        <v>1170</v>
      </c>
      <c r="H11" s="11" t="s">
        <v>1171</v>
      </c>
      <c r="I11" s="11" t="s">
        <v>1172</v>
      </c>
      <c r="J11" s="11" t="s">
        <v>1173</v>
      </c>
      <c r="K11" s="11" t="s">
        <v>217</v>
      </c>
      <c r="L11" s="11" t="s">
        <v>1174</v>
      </c>
      <c r="M11" s="11" t="s">
        <v>1175</v>
      </c>
      <c r="N11" s="11" t="s">
        <v>1076</v>
      </c>
      <c r="O11" s="11" t="s">
        <v>1176</v>
      </c>
      <c r="P11" s="11" t="s">
        <v>1177</v>
      </c>
      <c r="Q11" s="11" t="s">
        <v>1178</v>
      </c>
      <c r="S11" s="11" t="s">
        <v>1179</v>
      </c>
      <c r="AC11" s="11" t="s">
        <v>794</v>
      </c>
      <c r="AD11" s="11" t="s">
        <v>1180</v>
      </c>
    </row>
    <row r="12" spans="2:30" x14ac:dyDescent="0.25">
      <c r="B12" s="11" t="s">
        <v>1115</v>
      </c>
      <c r="C12" s="11" t="s">
        <v>1115</v>
      </c>
      <c r="D12" s="11" t="s">
        <v>1181</v>
      </c>
      <c r="I12" s="11" t="s">
        <v>223</v>
      </c>
      <c r="J12" s="11" t="s">
        <v>223</v>
      </c>
      <c r="K12" s="11" t="s">
        <v>1071</v>
      </c>
      <c r="L12" s="11" t="s">
        <v>1182</v>
      </c>
      <c r="M12" s="11" t="s">
        <v>1183</v>
      </c>
      <c r="N12" s="11" t="s">
        <v>1184</v>
      </c>
      <c r="O12" s="11" t="s">
        <v>1185</v>
      </c>
      <c r="P12" s="11" t="s">
        <v>1186</v>
      </c>
      <c r="Q12" s="11" t="s">
        <v>1187</v>
      </c>
      <c r="S12" s="11" t="s">
        <v>1188</v>
      </c>
      <c r="AD12" s="11" t="s">
        <v>1189</v>
      </c>
    </row>
    <row r="13" spans="2:30" x14ac:dyDescent="0.25">
      <c r="B13" s="11" t="s">
        <v>1190</v>
      </c>
      <c r="C13" s="11" t="s">
        <v>177</v>
      </c>
      <c r="D13" s="11" t="s">
        <v>1191</v>
      </c>
      <c r="I13" s="11" t="s">
        <v>1192</v>
      </c>
      <c r="J13" s="11" t="s">
        <v>1193</v>
      </c>
      <c r="K13" s="11" t="s">
        <v>1090</v>
      </c>
      <c r="L13" s="11" t="s">
        <v>1194</v>
      </c>
      <c r="M13" s="11" t="s">
        <v>1140</v>
      </c>
      <c r="N13" s="11" t="s">
        <v>1195</v>
      </c>
      <c r="O13" s="11" t="s">
        <v>1142</v>
      </c>
      <c r="P13" s="11" t="s">
        <v>1196</v>
      </c>
      <c r="Q13" s="11" t="s">
        <v>1197</v>
      </c>
      <c r="S13" s="11" t="s">
        <v>1198</v>
      </c>
      <c r="AD13" s="11" t="s">
        <v>1199</v>
      </c>
    </row>
    <row r="14" spans="2:30" x14ac:dyDescent="0.25">
      <c r="B14" s="11" t="s">
        <v>1200</v>
      </c>
      <c r="C14" s="11" t="s">
        <v>1201</v>
      </c>
      <c r="D14" s="11" t="s">
        <v>1202</v>
      </c>
      <c r="I14" s="11" t="s">
        <v>1203</v>
      </c>
      <c r="J14" s="11" t="s">
        <v>310</v>
      </c>
      <c r="K14" s="11" t="s">
        <v>258</v>
      </c>
      <c r="L14" s="11" t="s">
        <v>1204</v>
      </c>
      <c r="M14" s="11" t="s">
        <v>1163</v>
      </c>
      <c r="N14" s="11" t="s">
        <v>1205</v>
      </c>
      <c r="Q14" s="11" t="s">
        <v>164</v>
      </c>
      <c r="S14" s="11" t="s">
        <v>1206</v>
      </c>
      <c r="AD14" s="11" t="s">
        <v>1207</v>
      </c>
    </row>
    <row r="15" spans="2:30" x14ac:dyDescent="0.25">
      <c r="B15" s="11" t="s">
        <v>1208</v>
      </c>
      <c r="C15" s="11" t="s">
        <v>1209</v>
      </c>
      <c r="D15" s="11" t="s">
        <v>1210</v>
      </c>
      <c r="I15" s="11" t="s">
        <v>319</v>
      </c>
      <c r="J15" s="11" t="s">
        <v>1211</v>
      </c>
      <c r="K15" s="11" t="s">
        <v>1212</v>
      </c>
      <c r="L15" s="11" t="s">
        <v>1213</v>
      </c>
      <c r="M15" s="11" t="s">
        <v>1174</v>
      </c>
      <c r="N15" s="11" t="s">
        <v>1214</v>
      </c>
      <c r="Q15" s="11" t="s">
        <v>1215</v>
      </c>
      <c r="S15" s="11" t="s">
        <v>1216</v>
      </c>
      <c r="AD15" s="11" t="s">
        <v>1217</v>
      </c>
    </row>
    <row r="16" spans="2:30" x14ac:dyDescent="0.25">
      <c r="B16" s="11" t="s">
        <v>1218</v>
      </c>
      <c r="C16" s="11" t="s">
        <v>239</v>
      </c>
      <c r="D16" s="11" t="s">
        <v>1219</v>
      </c>
      <c r="J16" s="11" t="s">
        <v>1220</v>
      </c>
      <c r="K16" s="11" t="s">
        <v>248</v>
      </c>
      <c r="M16" s="11" t="s">
        <v>1186</v>
      </c>
      <c r="Q16" s="11" t="s">
        <v>1221</v>
      </c>
      <c r="S16" s="11" t="s">
        <v>1222</v>
      </c>
      <c r="AD16" s="11" t="s">
        <v>1223</v>
      </c>
    </row>
    <row r="17" spans="2:30" x14ac:dyDescent="0.25">
      <c r="B17" s="11" t="s">
        <v>1224</v>
      </c>
      <c r="C17" s="11" t="s">
        <v>1225</v>
      </c>
      <c r="D17" s="11" t="s">
        <v>1226</v>
      </c>
      <c r="J17" s="11" t="s">
        <v>1227</v>
      </c>
      <c r="K17" s="11" t="s">
        <v>1228</v>
      </c>
      <c r="M17" s="11" t="s">
        <v>1229</v>
      </c>
      <c r="Q17" s="11" t="s">
        <v>1230</v>
      </c>
      <c r="S17" s="11" t="s">
        <v>1231</v>
      </c>
      <c r="AD17" s="11" t="s">
        <v>925</v>
      </c>
    </row>
    <row r="18" spans="3:30" x14ac:dyDescent="0.25">
      <c r="C18" s="11" t="s">
        <v>1208</v>
      </c>
      <c r="D18" s="11" t="s">
        <v>1232</v>
      </c>
      <c r="K18" s="11" t="s">
        <v>1233</v>
      </c>
      <c r="Q18" s="11" t="s">
        <v>1234</v>
      </c>
      <c r="S18" s="11" t="s">
        <v>1235</v>
      </c>
      <c r="AD18" s="11" t="s">
        <v>1236</v>
      </c>
    </row>
    <row r="19" spans="3:30" x14ac:dyDescent="0.25">
      <c r="C19" s="11" t="s">
        <v>1200</v>
      </c>
      <c r="D19" s="11" t="s">
        <v>1237</v>
      </c>
      <c r="K19" s="11" t="s">
        <v>1201</v>
      </c>
      <c r="Q19" s="11" t="s">
        <v>1238</v>
      </c>
      <c r="S19" s="11" t="s">
        <v>1239</v>
      </c>
      <c r="AD19" s="11" t="s">
        <v>1240</v>
      </c>
    </row>
    <row r="20" spans="4:30" x14ac:dyDescent="0.25">
      <c r="D20" s="11" t="s">
        <v>1241</v>
      </c>
      <c r="K20" s="11" t="s">
        <v>189</v>
      </c>
      <c r="S20" s="11" t="s">
        <v>1242</v>
      </c>
      <c r="AD20" s="11" t="s">
        <v>1243</v>
      </c>
    </row>
    <row r="21" spans="4:30" x14ac:dyDescent="0.25">
      <c r="D21" s="11" t="s">
        <v>1244</v>
      </c>
      <c r="K21" s="11" t="s">
        <v>1221</v>
      </c>
      <c r="S21" s="11" t="s">
        <v>1245</v>
      </c>
      <c r="AD21" s="11" t="s">
        <v>1246</v>
      </c>
    </row>
    <row r="22" spans="4:30" x14ac:dyDescent="0.25">
      <c r="D22" s="11" t="s">
        <v>1247</v>
      </c>
      <c r="K22" s="11" t="s">
        <v>1209</v>
      </c>
      <c r="S22" s="11" t="s">
        <v>1248</v>
      </c>
      <c r="AD22" s="11" t="s">
        <v>1249</v>
      </c>
    </row>
    <row r="23" spans="4:30" x14ac:dyDescent="0.25">
      <c r="D23" s="11" t="s">
        <v>1095</v>
      </c>
      <c r="K23" s="11" t="s">
        <v>180</v>
      </c>
      <c r="S23" s="11" t="s">
        <v>1250</v>
      </c>
      <c r="AD23" s="11" t="s">
        <v>1251</v>
      </c>
    </row>
    <row r="24" spans="4:30" x14ac:dyDescent="0.25">
      <c r="D24" s="11" t="s">
        <v>1252</v>
      </c>
      <c r="K24" s="11" t="s">
        <v>239</v>
      </c>
      <c r="S24" s="11" t="s">
        <v>1253</v>
      </c>
      <c r="AD24" s="11" t="s">
        <v>1254</v>
      </c>
    </row>
    <row r="25" spans="4:30" x14ac:dyDescent="0.25">
      <c r="D25" s="11" t="s">
        <v>1255</v>
      </c>
      <c r="K25" s="11" t="s">
        <v>1225</v>
      </c>
      <c r="S25" s="11" t="s">
        <v>1256</v>
      </c>
      <c r="AD25" s="11" t="s">
        <v>1257</v>
      </c>
    </row>
    <row r="26" spans="4:30" x14ac:dyDescent="0.25">
      <c r="D26" s="11" t="s">
        <v>1258</v>
      </c>
      <c r="K26" s="11" t="s">
        <v>1208</v>
      </c>
      <c r="S26" s="11" t="s">
        <v>1259</v>
      </c>
      <c r="AD26" s="11" t="s">
        <v>1260</v>
      </c>
    </row>
    <row r="27" spans="4:30" x14ac:dyDescent="0.25">
      <c r="D27" s="11" t="s">
        <v>1261</v>
      </c>
      <c r="K27" s="11" t="s">
        <v>1262</v>
      </c>
      <c r="S27" s="11" t="s">
        <v>1263</v>
      </c>
      <c r="AD27" s="11" t="s">
        <v>1264</v>
      </c>
    </row>
    <row r="28" spans="4:30" x14ac:dyDescent="0.25">
      <c r="D28" s="11" t="s">
        <v>1265</v>
      </c>
      <c r="S28" s="11" t="s">
        <v>1266</v>
      </c>
      <c r="AD28" s="11" t="s">
        <v>1267</v>
      </c>
    </row>
    <row r="29" spans="4:30" x14ac:dyDescent="0.25">
      <c r="D29" s="11" t="s">
        <v>1268</v>
      </c>
      <c r="S29" s="11" t="s">
        <v>1269</v>
      </c>
      <c r="AD29" s="11" t="s">
        <v>1270</v>
      </c>
    </row>
    <row r="30" spans="4:30" x14ac:dyDescent="0.25">
      <c r="D30" s="11" t="s">
        <v>1271</v>
      </c>
      <c r="AD30" s="11" t="s">
        <v>1272</v>
      </c>
    </row>
    <row r="31" spans="4:30" x14ac:dyDescent="0.25">
      <c r="D31" s="11" t="s">
        <v>1273</v>
      </c>
      <c r="AD31" s="11" t="s">
        <v>913</v>
      </c>
    </row>
    <row r="32" spans="4:30" x14ac:dyDescent="0.25">
      <c r="D32" s="11" t="s">
        <v>1274</v>
      </c>
      <c r="AD32" s="11" t="s">
        <v>918</v>
      </c>
    </row>
    <row r="33" spans="4:30" x14ac:dyDescent="0.25">
      <c r="D33" s="11" t="s">
        <v>1275</v>
      </c>
      <c r="AD33" s="11" t="s">
        <v>922</v>
      </c>
    </row>
    <row r="34" spans="4:30" x14ac:dyDescent="0.25">
      <c r="D34" s="11" t="s">
        <v>304</v>
      </c>
      <c r="AD34" s="11" t="s">
        <v>929</v>
      </c>
    </row>
    <row r="35" spans="4:30" x14ac:dyDescent="0.25">
      <c r="D35" s="11" t="s">
        <v>1276</v>
      </c>
      <c r="AD35" s="11" t="s">
        <v>932</v>
      </c>
    </row>
    <row r="36" spans="4:4" x14ac:dyDescent="0.25">
      <c r="D36" s="11" t="s">
        <v>1213</v>
      </c>
    </row>
    <row r="37" spans="4:4" x14ac:dyDescent="0.25">
      <c r="D37" s="11" t="s">
        <v>180</v>
      </c>
    </row>
    <row r="38" spans="4:4" x14ac:dyDescent="0.25">
      <c r="D38" s="11" t="s">
        <v>1277</v>
      </c>
    </row>
    <row r="39" spans="4:4" x14ac:dyDescent="0.25">
      <c r="D39" s="11" t="s">
        <v>1278</v>
      </c>
    </row>
    <row r="40" spans="4:4" x14ac:dyDescent="0.25">
      <c r="D40" s="11" t="s">
        <v>1279</v>
      </c>
    </row>
    <row r="41" spans="4:4" x14ac:dyDescent="0.25">
      <c r="D41" s="11" t="s">
        <v>1280</v>
      </c>
    </row>
    <row r="42" spans="4:4" x14ac:dyDescent="0.25">
      <c r="D42" s="11" t="s">
        <v>1281</v>
      </c>
    </row>
    <row r="43" spans="4:4" x14ac:dyDescent="0.25">
      <c r="D43" s="11" t="s">
        <v>1282</v>
      </c>
    </row>
    <row r="44" spans="4:4" x14ac:dyDescent="0.25">
      <c r="D44" s="11" t="s">
        <v>1283</v>
      </c>
    </row>
    <row r="45" spans="4:4" x14ac:dyDescent="0.25">
      <c r="D45" s="11" t="s">
        <v>1284</v>
      </c>
    </row>
    <row r="46" spans="4:4" x14ac:dyDescent="0.25">
      <c r="D46" s="11" t="s">
        <v>1285</v>
      </c>
    </row>
    <row r="47" spans="4:4" x14ac:dyDescent="0.25">
      <c r="D47" s="11" t="s">
        <v>1286</v>
      </c>
    </row>
    <row r="49" ht="18" customHeight="1" spans="1:30" x14ac:dyDescent="0.25">
      <c r="A49" s="3" t="s">
        <v>1287</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20" customHeight="1" spans="1:2" x14ac:dyDescent="0.25">
      <c r="A50" s="6" t="s">
        <v>108</v>
      </c>
      <c r="B50" s="6" t="s">
        <v>1288</v>
      </c>
    </row>
    <row r="51" spans="1:2" x14ac:dyDescent="0.25">
      <c r="A51" s="22" t="s">
        <v>1071</v>
      </c>
      <c r="B51" s="22" t="s">
        <v>217</v>
      </c>
    </row>
    <row r="52" spans="1:2" x14ac:dyDescent="0.25">
      <c r="A52" s="22" t="s">
        <v>1090</v>
      </c>
      <c r="B52" s="22" t="s">
        <v>217</v>
      </c>
    </row>
    <row r="53" spans="1:2" x14ac:dyDescent="0.25">
      <c r="A53" s="22" t="s">
        <v>1111</v>
      </c>
      <c r="B53" s="22" t="s">
        <v>217</v>
      </c>
    </row>
    <row r="54" spans="1:2" x14ac:dyDescent="0.25">
      <c r="A54" s="22" t="s">
        <v>1131</v>
      </c>
      <c r="B54" s="22" t="s">
        <v>258</v>
      </c>
    </row>
    <row r="55" spans="1:2" x14ac:dyDescent="0.25">
      <c r="A55" s="22" t="s">
        <v>1151</v>
      </c>
      <c r="B55" s="22" t="s">
        <v>258</v>
      </c>
    </row>
    <row r="56" spans="1:2" x14ac:dyDescent="0.25">
      <c r="A56" s="22" t="s">
        <v>1170</v>
      </c>
      <c r="B56" s="22" t="s">
        <v>258</v>
      </c>
    </row>
    <row r="57" spans="1:2" x14ac:dyDescent="0.25">
      <c r="A57" s="22" t="s">
        <v>1181</v>
      </c>
      <c r="B57" s="22" t="s">
        <v>248</v>
      </c>
    </row>
    <row r="58" spans="1:2" x14ac:dyDescent="0.25">
      <c r="A58" s="22" t="s">
        <v>1191</v>
      </c>
      <c r="B58" s="22" t="s">
        <v>248</v>
      </c>
    </row>
    <row r="59" spans="1:2" x14ac:dyDescent="0.25">
      <c r="A59" s="22" t="s">
        <v>1202</v>
      </c>
      <c r="B59" s="22" t="s">
        <v>248</v>
      </c>
    </row>
    <row r="60" spans="1:2" x14ac:dyDescent="0.25">
      <c r="A60" s="22" t="s">
        <v>1210</v>
      </c>
      <c r="B60" s="22" t="s">
        <v>189</v>
      </c>
    </row>
    <row r="61" spans="1:2" x14ac:dyDescent="0.25">
      <c r="A61" s="22" t="s">
        <v>1219</v>
      </c>
      <c r="B61" s="22" t="s">
        <v>189</v>
      </c>
    </row>
    <row r="62" spans="1:2" x14ac:dyDescent="0.25">
      <c r="A62" s="22" t="s">
        <v>1226</v>
      </c>
      <c r="B62" s="22" t="s">
        <v>189</v>
      </c>
    </row>
    <row r="63" spans="1:2" x14ac:dyDescent="0.25">
      <c r="A63" s="22" t="s">
        <v>1232</v>
      </c>
      <c r="B63" s="22" t="s">
        <v>190</v>
      </c>
    </row>
    <row r="64" spans="1:2" x14ac:dyDescent="0.25">
      <c r="A64" s="22" t="s">
        <v>1237</v>
      </c>
      <c r="B64" s="22" t="s">
        <v>190</v>
      </c>
    </row>
    <row r="65" spans="1:2" x14ac:dyDescent="0.25">
      <c r="A65" s="22" t="s">
        <v>1241</v>
      </c>
      <c r="B65" s="22" t="s">
        <v>190</v>
      </c>
    </row>
    <row r="66" spans="1:2" x14ac:dyDescent="0.25">
      <c r="A66" s="22" t="s">
        <v>1244</v>
      </c>
      <c r="B66" s="22" t="s">
        <v>1138</v>
      </c>
    </row>
    <row r="67" spans="1:2" x14ac:dyDescent="0.25">
      <c r="A67" s="22" t="s">
        <v>1247</v>
      </c>
      <c r="B67" s="22" t="s">
        <v>1138</v>
      </c>
    </row>
    <row r="68" spans="1:2" x14ac:dyDescent="0.25">
      <c r="A68" s="22" t="s">
        <v>1095</v>
      </c>
      <c r="B68" s="22" t="s">
        <v>1138</v>
      </c>
    </row>
    <row r="69" spans="1:2" x14ac:dyDescent="0.25">
      <c r="A69" s="22" t="s">
        <v>1252</v>
      </c>
      <c r="B69" s="22" t="s">
        <v>1115</v>
      </c>
    </row>
    <row r="70" spans="1:2" x14ac:dyDescent="0.25">
      <c r="A70" s="22" t="s">
        <v>1255</v>
      </c>
      <c r="B70" s="22" t="s">
        <v>1115</v>
      </c>
    </row>
    <row r="71" spans="1:2" x14ac:dyDescent="0.25">
      <c r="A71" s="22" t="s">
        <v>1258</v>
      </c>
      <c r="B71" s="22" t="s">
        <v>1115</v>
      </c>
    </row>
    <row r="72" spans="1:2" x14ac:dyDescent="0.25">
      <c r="A72" s="22" t="s">
        <v>1261</v>
      </c>
      <c r="B72" s="22" t="s">
        <v>177</v>
      </c>
    </row>
    <row r="73" spans="1:2" x14ac:dyDescent="0.25">
      <c r="A73" s="22" t="s">
        <v>1265</v>
      </c>
      <c r="B73" s="22" t="s">
        <v>177</v>
      </c>
    </row>
    <row r="74" spans="1:2" x14ac:dyDescent="0.25">
      <c r="A74" s="22" t="s">
        <v>1268</v>
      </c>
      <c r="B74" s="22" t="s">
        <v>177</v>
      </c>
    </row>
    <row r="75" spans="1:2" x14ac:dyDescent="0.25">
      <c r="A75" s="22" t="s">
        <v>1271</v>
      </c>
      <c r="B75" s="22" t="s">
        <v>1201</v>
      </c>
    </row>
    <row r="76" spans="1:2" x14ac:dyDescent="0.25">
      <c r="A76" s="22" t="s">
        <v>1273</v>
      </c>
      <c r="B76" s="22" t="s">
        <v>1201</v>
      </c>
    </row>
    <row r="77" spans="1:2" x14ac:dyDescent="0.25">
      <c r="A77" s="22" t="s">
        <v>1274</v>
      </c>
      <c r="B77" s="22" t="s">
        <v>1201</v>
      </c>
    </row>
    <row r="78" spans="1:2" x14ac:dyDescent="0.25">
      <c r="A78" s="22" t="s">
        <v>1275</v>
      </c>
      <c r="B78" s="22" t="s">
        <v>1209</v>
      </c>
    </row>
    <row r="79" spans="1:2" x14ac:dyDescent="0.25">
      <c r="A79" s="22" t="s">
        <v>304</v>
      </c>
      <c r="B79" s="22" t="s">
        <v>1209</v>
      </c>
    </row>
    <row r="80" spans="1:2" x14ac:dyDescent="0.25">
      <c r="A80" s="22" t="s">
        <v>1276</v>
      </c>
      <c r="B80" s="22" t="s">
        <v>1209</v>
      </c>
    </row>
    <row r="81" spans="1:2" x14ac:dyDescent="0.25">
      <c r="A81" s="22" t="s">
        <v>1213</v>
      </c>
      <c r="B81" s="22" t="s">
        <v>239</v>
      </c>
    </row>
    <row r="82" spans="1:2" x14ac:dyDescent="0.25">
      <c r="A82" s="22" t="s">
        <v>180</v>
      </c>
      <c r="B82" s="22" t="s">
        <v>239</v>
      </c>
    </row>
    <row r="83" spans="1:2" x14ac:dyDescent="0.25">
      <c r="A83" s="22" t="s">
        <v>1277</v>
      </c>
      <c r="B83" s="22" t="s">
        <v>239</v>
      </c>
    </row>
    <row r="84" spans="1:2" x14ac:dyDescent="0.25">
      <c r="A84" s="22" t="s">
        <v>1278</v>
      </c>
      <c r="B84" s="22" t="s">
        <v>1225</v>
      </c>
    </row>
    <row r="85" spans="1:2" x14ac:dyDescent="0.25">
      <c r="A85" s="22" t="s">
        <v>1279</v>
      </c>
      <c r="B85" s="22" t="s">
        <v>1225</v>
      </c>
    </row>
    <row r="86" spans="1:2" x14ac:dyDescent="0.25">
      <c r="A86" s="22" t="s">
        <v>1280</v>
      </c>
      <c r="B86" s="22" t="s">
        <v>1225</v>
      </c>
    </row>
    <row r="87" spans="1:2" x14ac:dyDescent="0.25">
      <c r="A87" s="22" t="s">
        <v>1281</v>
      </c>
      <c r="B87" s="22" t="s">
        <v>1208</v>
      </c>
    </row>
    <row r="88" spans="1:2" x14ac:dyDescent="0.25">
      <c r="A88" s="22" t="s">
        <v>1282</v>
      </c>
      <c r="B88" s="22" t="s">
        <v>1208</v>
      </c>
    </row>
    <row r="89" spans="1:2" x14ac:dyDescent="0.25">
      <c r="A89" s="22" t="s">
        <v>1283</v>
      </c>
      <c r="B89" s="22" t="s">
        <v>1208</v>
      </c>
    </row>
    <row r="90" spans="1:2" x14ac:dyDescent="0.25">
      <c r="A90" s="22" t="s">
        <v>1284</v>
      </c>
      <c r="B90" s="22" t="s">
        <v>1200</v>
      </c>
    </row>
    <row r="91" spans="1:2" x14ac:dyDescent="0.25">
      <c r="A91" s="22" t="s">
        <v>1285</v>
      </c>
      <c r="B91" s="22" t="s">
        <v>1200</v>
      </c>
    </row>
    <row r="92" spans="1:2" x14ac:dyDescent="0.25">
      <c r="A92" s="22" t="s">
        <v>1286</v>
      </c>
      <c r="B92" s="22" t="s">
        <v>1200</v>
      </c>
    </row>
    <row r="94" ht="18" customHeight="1" spans="1:30" x14ac:dyDescent="0.25">
      <c r="A94" s="3" t="s">
        <v>1289</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ht="20" customHeight="1" spans="1:3" x14ac:dyDescent="0.25">
      <c r="A95" s="6" t="s">
        <v>100</v>
      </c>
      <c r="B95" s="6" t="s">
        <v>1290</v>
      </c>
      <c r="C95" s="6" t="s">
        <v>1291</v>
      </c>
    </row>
    <row r="96" spans="1:3" x14ac:dyDescent="0.25">
      <c r="A96" s="22" t="s">
        <v>1072</v>
      </c>
      <c r="B96" s="40">
        <v>0</v>
      </c>
      <c r="C96" s="40">
        <v>9999</v>
      </c>
    </row>
    <row r="97" spans="1:3" x14ac:dyDescent="0.25">
      <c r="A97" s="22" t="s">
        <v>1091</v>
      </c>
      <c r="B97" s="40">
        <v>10000</v>
      </c>
      <c r="C97" s="40">
        <v>49999</v>
      </c>
    </row>
    <row r="98" spans="1:3" x14ac:dyDescent="0.25">
      <c r="A98" s="22" t="s">
        <v>1112</v>
      </c>
      <c r="B98" s="40">
        <v>50000</v>
      </c>
      <c r="C98" s="40">
        <v>99999</v>
      </c>
    </row>
    <row r="99" spans="1:3" x14ac:dyDescent="0.25">
      <c r="A99" s="22" t="s">
        <v>1132</v>
      </c>
      <c r="B99" s="40">
        <v>100000</v>
      </c>
      <c r="C99" s="40">
        <v>999999</v>
      </c>
    </row>
    <row r="100" spans="1:3" x14ac:dyDescent="0.25">
      <c r="A100" s="22" t="s">
        <v>1152</v>
      </c>
      <c r="B100" s="40">
        <v>1000000</v>
      </c>
      <c r="C100" s="40" t="s">
        <v>747</v>
      </c>
    </row>
    <row r="102" ht="18" customHeight="1" spans="1:30" x14ac:dyDescent="0.25">
      <c r="A102" s="3" t="s">
        <v>1292</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ht="26" customHeight="1" spans="1:5" x14ac:dyDescent="0.25">
      <c r="A103" s="6" t="s">
        <v>1293</v>
      </c>
      <c r="B103" s="6" t="s">
        <v>1294</v>
      </c>
      <c r="C103" s="6" t="s">
        <v>379</v>
      </c>
      <c r="D103" s="6" t="s">
        <v>1058</v>
      </c>
      <c r="E103" s="6" t="s">
        <v>1295</v>
      </c>
    </row>
    <row r="104" spans="1:5" x14ac:dyDescent="0.25">
      <c r="A104" s="19" t="s">
        <v>1296</v>
      </c>
      <c r="B104" s="22" t="s">
        <v>1087</v>
      </c>
      <c r="C104" s="20" t="s">
        <v>1297</v>
      </c>
      <c r="D104" s="42">
        <v>20</v>
      </c>
      <c r="E104" s="8" t="s">
        <v>1298</v>
      </c>
    </row>
    <row r="105" spans="1:5" x14ac:dyDescent="0.25">
      <c r="A105" s="22" t="s">
        <v>57</v>
      </c>
      <c r="B105" s="22" t="s">
        <v>1108</v>
      </c>
      <c r="C105" s="20" t="s">
        <v>1299</v>
      </c>
      <c r="D105" s="42">
        <v>30</v>
      </c>
      <c r="E105" s="8" t="s">
        <v>1300</v>
      </c>
    </row>
    <row r="106" spans="1:5" x14ac:dyDescent="0.25">
      <c r="A106" s="22" t="s">
        <v>57</v>
      </c>
      <c r="B106" s="22" t="s">
        <v>909</v>
      </c>
      <c r="C106" s="20" t="s">
        <v>1301</v>
      </c>
      <c r="D106" s="42">
        <v>20</v>
      </c>
      <c r="E106" s="8" t="s">
        <v>1302</v>
      </c>
    </row>
    <row r="107" spans="1:5" x14ac:dyDescent="0.25">
      <c r="A107" s="22" t="s">
        <v>57</v>
      </c>
      <c r="B107" s="22" t="s">
        <v>1148</v>
      </c>
      <c r="C107" s="20" t="s">
        <v>1303</v>
      </c>
      <c r="D107" s="42">
        <v>10</v>
      </c>
      <c r="E107" s="8" t="s">
        <v>1304</v>
      </c>
    </row>
    <row r="108" spans="1:5" x14ac:dyDescent="0.25">
      <c r="A108" s="22" t="s">
        <v>57</v>
      </c>
      <c r="B108" s="22" t="s">
        <v>1167</v>
      </c>
      <c r="C108" s="20" t="s">
        <v>1305</v>
      </c>
      <c r="D108" s="42">
        <v>10</v>
      </c>
      <c r="E108" s="8" t="s">
        <v>1306</v>
      </c>
    </row>
    <row r="109" spans="1:5" x14ac:dyDescent="0.25">
      <c r="A109" s="22" t="s">
        <v>57</v>
      </c>
      <c r="B109" s="22" t="s">
        <v>794</v>
      </c>
      <c r="C109" s="20" t="s">
        <v>1307</v>
      </c>
      <c r="D109" s="42">
        <v>10</v>
      </c>
      <c r="E109" s="8" t="s">
        <v>1308</v>
      </c>
    </row>
    <row r="110" spans="1:5" x14ac:dyDescent="0.25">
      <c r="A110" s="19" t="s">
        <v>1309</v>
      </c>
      <c r="B110" s="22" t="s">
        <v>1310</v>
      </c>
      <c r="C110" s="20" t="s">
        <v>1311</v>
      </c>
      <c r="D110" s="42">
        <v>40</v>
      </c>
      <c r="E110" s="8" t="s">
        <v>1312</v>
      </c>
    </row>
    <row r="111" spans="1:5" x14ac:dyDescent="0.25">
      <c r="A111" s="22" t="s">
        <v>57</v>
      </c>
      <c r="B111" s="22" t="s">
        <v>629</v>
      </c>
      <c r="C111" s="20" t="s">
        <v>1313</v>
      </c>
      <c r="D111" s="42">
        <v>30</v>
      </c>
      <c r="E111" s="8" t="s">
        <v>1314</v>
      </c>
    </row>
    <row r="112" spans="1:5" x14ac:dyDescent="0.25">
      <c r="A112" s="22" t="s">
        <v>57</v>
      </c>
      <c r="B112" s="22" t="s">
        <v>630</v>
      </c>
      <c r="C112" s="20" t="s">
        <v>1315</v>
      </c>
      <c r="D112" s="42">
        <v>30</v>
      </c>
      <c r="E112" s="8" t="s">
        <v>1316</v>
      </c>
    </row>
    <row r="113" spans="1:5" x14ac:dyDescent="0.25">
      <c r="A113" s="19" t="s">
        <v>1317</v>
      </c>
      <c r="B113" s="22" t="s">
        <v>1318</v>
      </c>
      <c r="C113" s="20" t="s">
        <v>1319</v>
      </c>
      <c r="D113" s="42">
        <v>25</v>
      </c>
      <c r="E113" s="8" t="s">
        <v>1320</v>
      </c>
    </row>
    <row r="114" spans="1:5" x14ac:dyDescent="0.25">
      <c r="A114" s="22" t="s">
        <v>57</v>
      </c>
      <c r="B114" s="22" t="s">
        <v>1321</v>
      </c>
      <c r="C114" s="20" t="s">
        <v>1322</v>
      </c>
      <c r="D114" s="42">
        <v>15</v>
      </c>
      <c r="E114" s="8" t="s">
        <v>1323</v>
      </c>
    </row>
    <row r="115" spans="1:5" x14ac:dyDescent="0.25">
      <c r="A115" s="22" t="s">
        <v>57</v>
      </c>
      <c r="B115" s="22" t="s">
        <v>1324</v>
      </c>
      <c r="C115" s="20" t="s">
        <v>1325</v>
      </c>
      <c r="D115" s="42">
        <v>30</v>
      </c>
      <c r="E115" s="8" t="s">
        <v>1323</v>
      </c>
    </row>
    <row r="116" spans="1:5" x14ac:dyDescent="0.25">
      <c r="A116" s="22" t="s">
        <v>57</v>
      </c>
      <c r="B116" s="22" t="s">
        <v>1326</v>
      </c>
      <c r="C116" s="20" t="s">
        <v>1327</v>
      </c>
      <c r="D116" s="42">
        <v>30</v>
      </c>
      <c r="E116" s="8" t="s">
        <v>1323</v>
      </c>
    </row>
    <row r="117" spans="1:5" x14ac:dyDescent="0.25">
      <c r="A117" s="22" t="s">
        <v>57</v>
      </c>
      <c r="B117" s="22" t="s">
        <v>1328</v>
      </c>
      <c r="C117" s="20" t="s">
        <v>1329</v>
      </c>
      <c r="D117" s="42">
        <v>12</v>
      </c>
      <c r="E117" s="8" t="s">
        <v>1330</v>
      </c>
    </row>
    <row r="118" spans="1:5" x14ac:dyDescent="0.25">
      <c r="A118" s="19" t="s">
        <v>1331</v>
      </c>
      <c r="B118" s="22" t="s">
        <v>1049</v>
      </c>
      <c r="C118" s="20" t="s">
        <v>1332</v>
      </c>
      <c r="D118" s="42">
        <v>50</v>
      </c>
      <c r="E118" s="8" t="s">
        <v>1333</v>
      </c>
    </row>
    <row r="119" spans="1:5" x14ac:dyDescent="0.25">
      <c r="A119" s="22" t="s">
        <v>57</v>
      </c>
      <c r="B119" s="22" t="s">
        <v>1050</v>
      </c>
      <c r="C119" s="20" t="s">
        <v>1334</v>
      </c>
      <c r="D119" s="42">
        <v>25</v>
      </c>
      <c r="E119" s="8" t="s">
        <v>1335</v>
      </c>
    </row>
    <row r="120" spans="1:5" x14ac:dyDescent="0.25">
      <c r="A120" s="22" t="s">
        <v>57</v>
      </c>
      <c r="B120" s="22" t="s">
        <v>1051</v>
      </c>
      <c r="C120" s="20" t="s">
        <v>1336</v>
      </c>
      <c r="D120" s="42">
        <v>25</v>
      </c>
      <c r="E120" s="8" t="s">
        <v>1337</v>
      </c>
    </row>
    <row r="121" spans="1:5" x14ac:dyDescent="0.25">
      <c r="A121" s="19" t="s">
        <v>1338</v>
      </c>
      <c r="B121" s="22" t="s">
        <v>629</v>
      </c>
      <c r="C121" s="20" t="s">
        <v>1339</v>
      </c>
      <c r="D121" s="42">
        <v>30</v>
      </c>
      <c r="E121" s="8" t="s">
        <v>1340</v>
      </c>
    </row>
    <row r="122" spans="1:5" x14ac:dyDescent="0.25">
      <c r="A122" s="22" t="s">
        <v>57</v>
      </c>
      <c r="B122" s="22" t="s">
        <v>641</v>
      </c>
      <c r="C122" s="20" t="s">
        <v>1341</v>
      </c>
      <c r="D122" s="42">
        <v>20</v>
      </c>
      <c r="E122" s="8" t="s">
        <v>1342</v>
      </c>
    </row>
    <row r="123" spans="1:5" x14ac:dyDescent="0.25">
      <c r="A123" s="22" t="s">
        <v>57</v>
      </c>
      <c r="B123" s="22" t="s">
        <v>642</v>
      </c>
      <c r="C123" s="20" t="s">
        <v>1343</v>
      </c>
      <c r="D123" s="42">
        <v>30</v>
      </c>
      <c r="E123" s="8" t="s">
        <v>1344</v>
      </c>
    </row>
    <row r="124" spans="1:5" x14ac:dyDescent="0.25">
      <c r="A124" s="22" t="s">
        <v>57</v>
      </c>
      <c r="B124" s="22" t="s">
        <v>643</v>
      </c>
      <c r="C124" s="20" t="s">
        <v>1345</v>
      </c>
      <c r="D124" s="42">
        <v>20</v>
      </c>
      <c r="E124" s="8" t="s">
        <v>1346</v>
      </c>
    </row>
    <row r="125" spans="1:5" x14ac:dyDescent="0.25">
      <c r="A125" s="19" t="s">
        <v>1347</v>
      </c>
      <c r="B125" s="22" t="s">
        <v>646</v>
      </c>
      <c r="C125" s="20" t="s">
        <v>1348</v>
      </c>
      <c r="D125" s="42">
        <v>35</v>
      </c>
      <c r="E125" s="8" t="s">
        <v>1349</v>
      </c>
    </row>
    <row r="126" spans="1:5" x14ac:dyDescent="0.25">
      <c r="A126" s="22" t="s">
        <v>57</v>
      </c>
      <c r="B126" s="22" t="s">
        <v>1350</v>
      </c>
      <c r="C126" s="20" t="s">
        <v>1351</v>
      </c>
      <c r="D126" s="42">
        <v>25</v>
      </c>
      <c r="E126" s="8" t="s">
        <v>1352</v>
      </c>
    </row>
    <row r="127" spans="1:5" x14ac:dyDescent="0.25">
      <c r="A127" s="22" t="s">
        <v>57</v>
      </c>
      <c r="B127" s="22" t="s">
        <v>648</v>
      </c>
      <c r="C127" s="20" t="s">
        <v>1353</v>
      </c>
      <c r="D127" s="42">
        <v>25</v>
      </c>
      <c r="E127" s="8" t="s">
        <v>1354</v>
      </c>
    </row>
    <row r="128" spans="1:5" x14ac:dyDescent="0.25">
      <c r="A128" s="22" t="s">
        <v>57</v>
      </c>
      <c r="B128" s="22" t="s">
        <v>1355</v>
      </c>
      <c r="C128" s="20" t="s">
        <v>1356</v>
      </c>
      <c r="D128" s="42">
        <v>15</v>
      </c>
      <c r="E128" s="8" t="s">
        <v>1357</v>
      </c>
    </row>
    <row r="129" spans="1:5" x14ac:dyDescent="0.25">
      <c r="A129" s="19" t="s">
        <v>1358</v>
      </c>
      <c r="B129" s="22" t="s">
        <v>772</v>
      </c>
      <c r="C129" s="20" t="s">
        <v>1359</v>
      </c>
      <c r="D129" s="42">
        <v>35</v>
      </c>
      <c r="E129" s="8" t="s">
        <v>1360</v>
      </c>
    </row>
    <row r="130" spans="1:5" x14ac:dyDescent="0.25">
      <c r="A130" s="22" t="s">
        <v>57</v>
      </c>
      <c r="B130" s="22" t="s">
        <v>163</v>
      </c>
      <c r="C130" s="20" t="s">
        <v>1361</v>
      </c>
      <c r="D130" s="42">
        <v>20</v>
      </c>
      <c r="E130" s="8" t="s">
        <v>1360</v>
      </c>
    </row>
    <row r="131" spans="1:5" x14ac:dyDescent="0.25">
      <c r="A131" s="22" t="s">
        <v>57</v>
      </c>
      <c r="B131" s="22" t="s">
        <v>867</v>
      </c>
      <c r="C131" s="20" t="s">
        <v>1362</v>
      </c>
      <c r="D131" s="42">
        <v>20</v>
      </c>
      <c r="E131" s="8" t="s">
        <v>1360</v>
      </c>
    </row>
    <row r="132" spans="1:5" x14ac:dyDescent="0.25">
      <c r="A132" s="22" t="s">
        <v>57</v>
      </c>
      <c r="B132" s="22" t="s">
        <v>1187</v>
      </c>
      <c r="C132" s="20" t="s">
        <v>1363</v>
      </c>
      <c r="D132" s="42">
        <v>10</v>
      </c>
      <c r="E132" s="8" t="s">
        <v>1360</v>
      </c>
    </row>
    <row r="133" spans="1:5" x14ac:dyDescent="0.25">
      <c r="A133" s="22" t="s">
        <v>57</v>
      </c>
      <c r="B133" s="22" t="s">
        <v>153</v>
      </c>
      <c r="C133" s="20" t="s">
        <v>1364</v>
      </c>
      <c r="D133" s="42">
        <v>10</v>
      </c>
      <c r="E133" s="8" t="s">
        <v>1365</v>
      </c>
    </row>
    <row r="134" spans="1:5" x14ac:dyDescent="0.25">
      <c r="A134" s="22" t="s">
        <v>57</v>
      </c>
      <c r="B134" s="22" t="s">
        <v>1366</v>
      </c>
      <c r="C134" s="20" t="s">
        <v>1367</v>
      </c>
      <c r="D134" s="42">
        <v>5</v>
      </c>
      <c r="E134" s="8" t="s">
        <v>1368</v>
      </c>
    </row>
    <row r="135" spans="1:5" x14ac:dyDescent="0.25">
      <c r="A135" s="19" t="s">
        <v>1369</v>
      </c>
      <c r="B135" s="22" t="s">
        <v>797</v>
      </c>
      <c r="C135" s="20" t="s">
        <v>1370</v>
      </c>
      <c r="D135" s="42">
        <v>80</v>
      </c>
      <c r="E135" s="8" t="s">
        <v>1371</v>
      </c>
    </row>
    <row r="136" spans="1:5" x14ac:dyDescent="0.25">
      <c r="A136" s="22" t="s">
        <v>57</v>
      </c>
      <c r="B136" s="22" t="s">
        <v>817</v>
      </c>
      <c r="C136" s="20" t="s">
        <v>1372</v>
      </c>
      <c r="D136" s="42">
        <v>20</v>
      </c>
      <c r="E136" s="8" t="s">
        <v>1373</v>
      </c>
    </row>
    <row r="137" spans="1:5" x14ac:dyDescent="0.25">
      <c r="A137" s="19" t="s">
        <v>1374</v>
      </c>
      <c r="B137" s="22" t="s">
        <v>1375</v>
      </c>
      <c r="C137" s="20" t="s">
        <v>1376</v>
      </c>
      <c r="D137" s="42">
        <v>0.6</v>
      </c>
      <c r="E137" s="8" t="s">
        <v>1377</v>
      </c>
    </row>
    <row r="138" spans="1:5" x14ac:dyDescent="0.25">
      <c r="A138" s="22" t="s">
        <v>57</v>
      </c>
      <c r="B138" s="22" t="s">
        <v>1378</v>
      </c>
      <c r="C138" s="20" t="s">
        <v>1379</v>
      </c>
      <c r="D138" s="42">
        <v>0.85</v>
      </c>
      <c r="E138" s="8" t="s">
        <v>1380</v>
      </c>
    </row>
    <row r="139" spans="1:5" x14ac:dyDescent="0.25">
      <c r="A139" s="22" t="s">
        <v>57</v>
      </c>
      <c r="B139" s="22" t="s">
        <v>1381</v>
      </c>
      <c r="C139" s="20" t="s">
        <v>1382</v>
      </c>
      <c r="D139" s="42">
        <v>0.95</v>
      </c>
      <c r="E139" s="8" t="s">
        <v>1380</v>
      </c>
    </row>
    <row r="140" spans="1:5" x14ac:dyDescent="0.25">
      <c r="A140" s="22" t="s">
        <v>57</v>
      </c>
      <c r="B140" s="22" t="s">
        <v>1383</v>
      </c>
      <c r="C140" s="20" t="s">
        <v>1384</v>
      </c>
      <c r="D140" s="42">
        <v>1</v>
      </c>
      <c r="E140" s="8" t="s">
        <v>1385</v>
      </c>
    </row>
    <row r="141" spans="1:5" x14ac:dyDescent="0.25">
      <c r="A141" s="19" t="s">
        <v>1386</v>
      </c>
      <c r="B141" s="22" t="s">
        <v>1387</v>
      </c>
      <c r="C141" s="20" t="s">
        <v>1388</v>
      </c>
      <c r="D141" s="42">
        <v>6</v>
      </c>
      <c r="E141" s="8" t="s">
        <v>1389</v>
      </c>
    </row>
    <row r="142" spans="1:5" x14ac:dyDescent="0.25">
      <c r="A142" s="22" t="s">
        <v>57</v>
      </c>
      <c r="B142" s="22" t="s">
        <v>1390</v>
      </c>
      <c r="C142" s="20" t="s">
        <v>1391</v>
      </c>
      <c r="D142" s="42">
        <v>45</v>
      </c>
      <c r="E142" s="8" t="s">
        <v>1392</v>
      </c>
    </row>
    <row r="143" spans="1:5" x14ac:dyDescent="0.25">
      <c r="A143" s="22" t="s">
        <v>57</v>
      </c>
      <c r="B143" s="22" t="s">
        <v>1393</v>
      </c>
      <c r="C143" s="20" t="s">
        <v>1394</v>
      </c>
      <c r="D143" s="42">
        <v>65</v>
      </c>
      <c r="E143" s="8" t="s">
        <v>1395</v>
      </c>
    </row>
    <row r="144" spans="1:5" x14ac:dyDescent="0.25">
      <c r="A144" s="22" t="s">
        <v>57</v>
      </c>
      <c r="B144" s="22" t="s">
        <v>1396</v>
      </c>
      <c r="C144" s="20" t="s">
        <v>1397</v>
      </c>
      <c r="D144" s="42">
        <v>0.5</v>
      </c>
      <c r="E144" s="8" t="s">
        <v>1398</v>
      </c>
    </row>
    <row r="145" spans="1:5" x14ac:dyDescent="0.25">
      <c r="A145" s="22" t="s">
        <v>57</v>
      </c>
      <c r="B145" s="22" t="s">
        <v>1399</v>
      </c>
      <c r="C145" s="20" t="s">
        <v>1400</v>
      </c>
      <c r="D145" s="42">
        <v>8</v>
      </c>
      <c r="E145" s="8" t="s">
        <v>1401</v>
      </c>
    </row>
    <row r="146" spans="1:5" x14ac:dyDescent="0.25">
      <c r="A146" s="22" t="s">
        <v>57</v>
      </c>
      <c r="B146" s="22" t="s">
        <v>1402</v>
      </c>
      <c r="C146" s="20" t="s">
        <v>1403</v>
      </c>
      <c r="D146" s="42">
        <v>9000</v>
      </c>
      <c r="E146" s="8" t="s">
        <v>1404</v>
      </c>
    </row>
    <row r="147" spans="1:5" x14ac:dyDescent="0.25">
      <c r="A147" s="22" t="s">
        <v>57</v>
      </c>
      <c r="B147" s="22" t="s">
        <v>1405</v>
      </c>
      <c r="C147" s="20" t="s">
        <v>1406</v>
      </c>
      <c r="D147" s="42">
        <v>1.15</v>
      </c>
      <c r="E147" s="8" t="s">
        <v>1407</v>
      </c>
    </row>
    <row r="148" spans="1:5" x14ac:dyDescent="0.25">
      <c r="A148" s="22" t="s">
        <v>57</v>
      </c>
      <c r="B148" s="22" t="s">
        <v>1408</v>
      </c>
      <c r="C148" s="20" t="s">
        <v>1409</v>
      </c>
      <c r="D148" s="42">
        <v>0.12</v>
      </c>
      <c r="E148" s="8" t="s">
        <v>1410</v>
      </c>
    </row>
    <row r="149" spans="1:5" x14ac:dyDescent="0.25">
      <c r="A149" s="22" t="s">
        <v>57</v>
      </c>
      <c r="B149" s="22" t="s">
        <v>1411</v>
      </c>
      <c r="C149" s="20" t="s">
        <v>1412</v>
      </c>
      <c r="D149" s="42"/>
      <c r="E149" s="8" t="s">
        <v>1413</v>
      </c>
    </row>
    <row r="150" spans="1:5" x14ac:dyDescent="0.25">
      <c r="A150" s="22" t="s">
        <v>57</v>
      </c>
      <c r="B150" s="22" t="s">
        <v>1414</v>
      </c>
      <c r="C150" s="20" t="s">
        <v>1415</v>
      </c>
      <c r="D150" s="42">
        <v>50</v>
      </c>
      <c r="E150" s="8" t="s">
        <v>1416</v>
      </c>
    </row>
    <row r="151" spans="1:5" x14ac:dyDescent="0.25">
      <c r="A151" s="22" t="s">
        <v>57</v>
      </c>
      <c r="B151" s="22" t="s">
        <v>1417</v>
      </c>
      <c r="C151" s="20" t="s">
        <v>1418</v>
      </c>
      <c r="D151" s="42">
        <v>20</v>
      </c>
      <c r="E151" s="8" t="s">
        <v>1419</v>
      </c>
    </row>
    <row r="152" spans="1:5" x14ac:dyDescent="0.25">
      <c r="A152" s="19" t="s">
        <v>1420</v>
      </c>
      <c r="B152" s="22" t="s">
        <v>1421</v>
      </c>
      <c r="C152" s="20" t="s">
        <v>1422</v>
      </c>
      <c r="D152" s="42">
        <v>90</v>
      </c>
      <c r="E152" s="8" t="s">
        <v>1423</v>
      </c>
    </row>
    <row r="153" spans="1:5" x14ac:dyDescent="0.25">
      <c r="A153" s="22" t="s">
        <v>57</v>
      </c>
      <c r="B153" s="22" t="s">
        <v>1424</v>
      </c>
      <c r="C153" s="20" t="s">
        <v>1425</v>
      </c>
      <c r="D153" s="42">
        <v>80</v>
      </c>
      <c r="E153" s="8" t="s">
        <v>57</v>
      </c>
    </row>
    <row r="154" spans="1:5" x14ac:dyDescent="0.25">
      <c r="A154" s="22" t="s">
        <v>57</v>
      </c>
      <c r="B154" s="22" t="s">
        <v>1426</v>
      </c>
      <c r="C154" s="20" t="s">
        <v>1427</v>
      </c>
      <c r="D154" s="42">
        <v>70</v>
      </c>
      <c r="E154" s="8" t="s">
        <v>57</v>
      </c>
    </row>
    <row r="155" spans="1:5" x14ac:dyDescent="0.25">
      <c r="A155" s="22" t="s">
        <v>57</v>
      </c>
      <c r="B155" s="22" t="s">
        <v>1428</v>
      </c>
      <c r="C155" s="20" t="s">
        <v>1429</v>
      </c>
      <c r="D155" s="42">
        <v>60</v>
      </c>
      <c r="E155" s="8" t="s">
        <v>1430</v>
      </c>
    </row>
    <row r="156" spans="1:5" x14ac:dyDescent="0.25">
      <c r="A156" s="19" t="s">
        <v>1431</v>
      </c>
      <c r="B156" s="22" t="s">
        <v>1432</v>
      </c>
      <c r="C156" s="20" t="s">
        <v>1433</v>
      </c>
      <c r="D156" s="42">
        <v>85</v>
      </c>
      <c r="E156" s="8" t="s">
        <v>1434</v>
      </c>
    </row>
    <row r="157" spans="1:5" x14ac:dyDescent="0.25">
      <c r="A157" s="22" t="s">
        <v>57</v>
      </c>
      <c r="B157" s="22" t="s">
        <v>1435</v>
      </c>
      <c r="C157" s="20" t="s">
        <v>1436</v>
      </c>
      <c r="D157" s="42">
        <v>72</v>
      </c>
      <c r="E157" s="8" t="s">
        <v>57</v>
      </c>
    </row>
    <row r="158" spans="1:5" x14ac:dyDescent="0.25">
      <c r="A158" s="22" t="s">
        <v>57</v>
      </c>
      <c r="B158" s="22" t="s">
        <v>1437</v>
      </c>
      <c r="C158" s="20" t="s">
        <v>1438</v>
      </c>
      <c r="D158" s="42">
        <v>60</v>
      </c>
      <c r="E158" s="8" t="s">
        <v>1439</v>
      </c>
    </row>
    <row r="159" spans="1:5" x14ac:dyDescent="0.25">
      <c r="A159" s="19" t="s">
        <v>1440</v>
      </c>
      <c r="B159" s="22" t="s">
        <v>1441</v>
      </c>
      <c r="C159" s="20" t="s">
        <v>1442</v>
      </c>
      <c r="D159" s="42">
        <v>100</v>
      </c>
      <c r="E159" s="8" t="s">
        <v>1443</v>
      </c>
    </row>
    <row r="160" spans="1:5" x14ac:dyDescent="0.25">
      <c r="A160" s="22" t="s">
        <v>57</v>
      </c>
      <c r="B160" s="22" t="s">
        <v>1444</v>
      </c>
      <c r="C160" s="20" t="s">
        <v>1445</v>
      </c>
      <c r="D160" s="42">
        <v>84</v>
      </c>
      <c r="E160" s="8" t="s">
        <v>1446</v>
      </c>
    </row>
    <row r="161" spans="1:5" x14ac:dyDescent="0.25">
      <c r="A161" s="19" t="s">
        <v>682</v>
      </c>
      <c r="B161" s="22" t="s">
        <v>1447</v>
      </c>
      <c r="C161" s="20" t="s">
        <v>1448</v>
      </c>
      <c r="D161" s="42">
        <v>75</v>
      </c>
      <c r="E161" s="8" t="s">
        <v>1449</v>
      </c>
    </row>
    <row r="162" spans="1:5" x14ac:dyDescent="0.25">
      <c r="A162" s="19" t="s">
        <v>1450</v>
      </c>
      <c r="B162" s="22" t="s">
        <v>1451</v>
      </c>
      <c r="C162" s="20" t="s">
        <v>1452</v>
      </c>
      <c r="D162" s="42">
        <v>35</v>
      </c>
      <c r="E162" s="8" t="s">
        <v>1453</v>
      </c>
    </row>
    <row r="163" spans="1:5" x14ac:dyDescent="0.25">
      <c r="A163" s="22" t="s">
        <v>57</v>
      </c>
      <c r="B163" s="22" t="s">
        <v>892</v>
      </c>
      <c r="C163" s="20" t="s">
        <v>1454</v>
      </c>
      <c r="D163" s="42">
        <v>25</v>
      </c>
      <c r="E163" s="8" t="s">
        <v>1453</v>
      </c>
    </row>
    <row r="164" spans="1:5" x14ac:dyDescent="0.25">
      <c r="A164" s="22" t="s">
        <v>57</v>
      </c>
      <c r="B164" s="22" t="s">
        <v>1366</v>
      </c>
      <c r="C164" s="20" t="s">
        <v>1455</v>
      </c>
      <c r="D164" s="42">
        <v>25</v>
      </c>
      <c r="E164" s="8" t="s">
        <v>1453</v>
      </c>
    </row>
    <row r="165" spans="1:5" x14ac:dyDescent="0.25">
      <c r="A165" s="22" t="s">
        <v>57</v>
      </c>
      <c r="B165" s="22" t="s">
        <v>772</v>
      </c>
      <c r="C165" s="20" t="s">
        <v>1456</v>
      </c>
      <c r="D165" s="42">
        <v>15</v>
      </c>
      <c r="E165" s="8" t="s">
        <v>1453</v>
      </c>
    </row>
    <row r="166" spans="1:5" x14ac:dyDescent="0.25">
      <c r="A166" s="19" t="s">
        <v>1457</v>
      </c>
      <c r="B166" s="7" t="s">
        <v>1458</v>
      </c>
      <c r="C166" s="20" t="s">
        <v>1459</v>
      </c>
      <c r="D166" s="28">
        <f>Lookup_Lists!$D$104+Lookup_Lists!$D$105+Lookup_Lists!$D$106+Lookup_Lists!$D$107+Lookup_Lists!$D$108+Lookup_Lists!$D$109</f>
      </c>
      <c r="E166" s="7">
        <f>IF(Lookup_Lists!$D$166=100,"OK — the six components total 100%","ERROR — the six components total "&amp;Lookup_Lists!$D$166&amp;"%, they must total 100")</f>
      </c>
    </row>
    <row r="168" ht="18" customHeight="1" spans="1:30" x14ac:dyDescent="0.25">
      <c r="A168" s="3" t="s">
        <v>1460</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ht="44" customHeight="1" spans="1:15" x14ac:dyDescent="0.25">
      <c r="A169" s="43" t="s">
        <v>1461</v>
      </c>
      <c r="B169" s="6" t="s">
        <v>217</v>
      </c>
      <c r="C169" s="6" t="s">
        <v>258</v>
      </c>
      <c r="D169" s="6" t="s">
        <v>248</v>
      </c>
      <c r="E169" s="6" t="s">
        <v>189</v>
      </c>
      <c r="F169" s="6" t="s">
        <v>190</v>
      </c>
      <c r="G169" s="6" t="s">
        <v>1138</v>
      </c>
      <c r="H169" s="6" t="s">
        <v>1115</v>
      </c>
      <c r="I169" s="6" t="s">
        <v>177</v>
      </c>
      <c r="J169" s="6" t="s">
        <v>1201</v>
      </c>
      <c r="K169" s="6" t="s">
        <v>1209</v>
      </c>
      <c r="L169" s="6" t="s">
        <v>239</v>
      </c>
      <c r="M169" s="6" t="s">
        <v>1225</v>
      </c>
      <c r="N169" s="6" t="s">
        <v>1208</v>
      </c>
      <c r="O169" s="6" t="s">
        <v>1200</v>
      </c>
    </row>
    <row r="170" spans="1:15" x14ac:dyDescent="0.25">
      <c r="A170" s="19" t="s">
        <v>1070</v>
      </c>
      <c r="B170" s="44">
        <v>20</v>
      </c>
      <c r="C170" s="44">
        <v>20</v>
      </c>
      <c r="D170" s="44">
        <v>20</v>
      </c>
      <c r="E170" s="44">
        <v>40</v>
      </c>
      <c r="F170" s="44">
        <v>100</v>
      </c>
      <c r="G170" s="44">
        <v>80</v>
      </c>
      <c r="H170" s="44">
        <v>80</v>
      </c>
      <c r="I170" s="44">
        <v>60</v>
      </c>
      <c r="J170" s="44">
        <v>40</v>
      </c>
      <c r="K170" s="44">
        <v>20</v>
      </c>
      <c r="L170" s="44">
        <v>40</v>
      </c>
      <c r="M170" s="44">
        <v>60</v>
      </c>
      <c r="N170" s="44">
        <v>40</v>
      </c>
      <c r="O170" s="44">
        <v>40</v>
      </c>
    </row>
    <row r="171" spans="1:15" x14ac:dyDescent="0.25">
      <c r="A171" s="19" t="s">
        <v>1089</v>
      </c>
      <c r="B171" s="44">
        <v>100</v>
      </c>
      <c r="C171" s="44">
        <v>80</v>
      </c>
      <c r="D171" s="44">
        <v>40</v>
      </c>
      <c r="E171" s="44">
        <v>60</v>
      </c>
      <c r="F171" s="44">
        <v>20</v>
      </c>
      <c r="G171" s="44">
        <v>20</v>
      </c>
      <c r="H171" s="44">
        <v>20</v>
      </c>
      <c r="I171" s="44">
        <v>80</v>
      </c>
      <c r="J171" s="44">
        <v>40</v>
      </c>
      <c r="K171" s="44">
        <v>40</v>
      </c>
      <c r="L171" s="44">
        <v>40</v>
      </c>
      <c r="M171" s="44">
        <v>20</v>
      </c>
      <c r="N171" s="44">
        <v>20</v>
      </c>
      <c r="O171" s="44">
        <v>40</v>
      </c>
    </row>
    <row r="172" spans="1:15" x14ac:dyDescent="0.25">
      <c r="A172" s="19" t="s">
        <v>1110</v>
      </c>
      <c r="B172" s="44">
        <v>40</v>
      </c>
      <c r="C172" s="44">
        <v>40</v>
      </c>
      <c r="D172" s="44">
        <v>100</v>
      </c>
      <c r="E172" s="44">
        <v>60</v>
      </c>
      <c r="F172" s="44">
        <v>20</v>
      </c>
      <c r="G172" s="44">
        <v>20</v>
      </c>
      <c r="H172" s="44">
        <v>40</v>
      </c>
      <c r="I172" s="44">
        <v>80</v>
      </c>
      <c r="J172" s="44">
        <v>80</v>
      </c>
      <c r="K172" s="44">
        <v>60</v>
      </c>
      <c r="L172" s="44">
        <v>60</v>
      </c>
      <c r="M172" s="44">
        <v>20</v>
      </c>
      <c r="N172" s="44">
        <v>20</v>
      </c>
      <c r="O172" s="44">
        <v>60</v>
      </c>
    </row>
    <row r="173" spans="1:15" x14ac:dyDescent="0.25">
      <c r="A173" s="19" t="s">
        <v>1130</v>
      </c>
      <c r="B173" s="44">
        <v>80</v>
      </c>
      <c r="C173" s="44">
        <v>100</v>
      </c>
      <c r="D173" s="44">
        <v>40</v>
      </c>
      <c r="E173" s="44">
        <v>40</v>
      </c>
      <c r="F173" s="44">
        <v>20</v>
      </c>
      <c r="G173" s="44">
        <v>20</v>
      </c>
      <c r="H173" s="44">
        <v>20</v>
      </c>
      <c r="I173" s="44">
        <v>80</v>
      </c>
      <c r="J173" s="44">
        <v>60</v>
      </c>
      <c r="K173" s="44">
        <v>40</v>
      </c>
      <c r="L173" s="44">
        <v>60</v>
      </c>
      <c r="M173" s="44">
        <v>20</v>
      </c>
      <c r="N173" s="44">
        <v>20</v>
      </c>
      <c r="O173" s="44">
        <v>40</v>
      </c>
    </row>
    <row r="174" spans="1:15" x14ac:dyDescent="0.25">
      <c r="A174" s="19" t="s">
        <v>1150</v>
      </c>
      <c r="B174" s="44">
        <v>60</v>
      </c>
      <c r="C174" s="44">
        <v>40</v>
      </c>
      <c r="D174" s="44">
        <v>80</v>
      </c>
      <c r="E174" s="44">
        <v>100</v>
      </c>
      <c r="F174" s="44">
        <v>40</v>
      </c>
      <c r="G174" s="44">
        <v>20</v>
      </c>
      <c r="H174" s="44">
        <v>40</v>
      </c>
      <c r="I174" s="44">
        <v>80</v>
      </c>
      <c r="J174" s="44">
        <v>40</v>
      </c>
      <c r="K174" s="44">
        <v>60</v>
      </c>
      <c r="L174" s="44">
        <v>20</v>
      </c>
      <c r="M174" s="44">
        <v>20</v>
      </c>
      <c r="N174" s="44">
        <v>20</v>
      </c>
      <c r="O174" s="44">
        <v>40</v>
      </c>
    </row>
    <row r="175" spans="1:15" x14ac:dyDescent="0.25">
      <c r="A175" s="19" t="s">
        <v>1169</v>
      </c>
      <c r="B175" s="44">
        <v>20</v>
      </c>
      <c r="C175" s="44">
        <v>20</v>
      </c>
      <c r="D175" s="44">
        <v>20</v>
      </c>
      <c r="E175" s="44">
        <v>20</v>
      </c>
      <c r="F175" s="44">
        <v>80</v>
      </c>
      <c r="G175" s="44">
        <v>100</v>
      </c>
      <c r="H175" s="44">
        <v>80</v>
      </c>
      <c r="I175" s="44">
        <v>60</v>
      </c>
      <c r="J175" s="44">
        <v>40</v>
      </c>
      <c r="K175" s="44">
        <v>40</v>
      </c>
      <c r="L175" s="44">
        <v>20</v>
      </c>
      <c r="M175" s="44">
        <v>20</v>
      </c>
      <c r="N175" s="44">
        <v>40</v>
      </c>
      <c r="O175" s="44">
        <v>40</v>
      </c>
    </row>
    <row r="176" spans="1:15" x14ac:dyDescent="0.25">
      <c r="A176" s="19" t="s">
        <v>1115</v>
      </c>
      <c r="B176" s="44">
        <v>20</v>
      </c>
      <c r="C176" s="44">
        <v>20</v>
      </c>
      <c r="D176" s="44">
        <v>20</v>
      </c>
      <c r="E176" s="44">
        <v>40</v>
      </c>
      <c r="F176" s="44">
        <v>80</v>
      </c>
      <c r="G176" s="44">
        <v>80</v>
      </c>
      <c r="H176" s="44">
        <v>100</v>
      </c>
      <c r="I176" s="44">
        <v>60</v>
      </c>
      <c r="J176" s="44">
        <v>40</v>
      </c>
      <c r="K176" s="44">
        <v>60</v>
      </c>
      <c r="L176" s="44">
        <v>40</v>
      </c>
      <c r="M176" s="44">
        <v>40</v>
      </c>
      <c r="N176" s="44">
        <v>20</v>
      </c>
      <c r="O176" s="44">
        <v>20</v>
      </c>
    </row>
    <row r="177" spans="1:15" x14ac:dyDescent="0.25">
      <c r="A177" s="19" t="s">
        <v>1190</v>
      </c>
      <c r="B177" s="44">
        <v>40</v>
      </c>
      <c r="C177" s="44">
        <v>60</v>
      </c>
      <c r="D177" s="44">
        <v>80</v>
      </c>
      <c r="E177" s="44">
        <v>40</v>
      </c>
      <c r="F177" s="44">
        <v>20</v>
      </c>
      <c r="G177" s="44">
        <v>20</v>
      </c>
      <c r="H177" s="44">
        <v>20</v>
      </c>
      <c r="I177" s="44">
        <v>80</v>
      </c>
      <c r="J177" s="44">
        <v>100</v>
      </c>
      <c r="K177" s="44">
        <v>60</v>
      </c>
      <c r="L177" s="44">
        <v>60</v>
      </c>
      <c r="M177" s="44">
        <v>20</v>
      </c>
      <c r="N177" s="44">
        <v>40</v>
      </c>
      <c r="O177" s="44">
        <v>40</v>
      </c>
    </row>
    <row r="178" spans="1:15" x14ac:dyDescent="0.25">
      <c r="A178" s="19" t="s">
        <v>1200</v>
      </c>
      <c r="B178" s="44">
        <v>40</v>
      </c>
      <c r="C178" s="44">
        <v>40</v>
      </c>
      <c r="D178" s="44">
        <v>60</v>
      </c>
      <c r="E178" s="44">
        <v>20</v>
      </c>
      <c r="F178" s="44">
        <v>40</v>
      </c>
      <c r="G178" s="44">
        <v>40</v>
      </c>
      <c r="H178" s="44">
        <v>20</v>
      </c>
      <c r="I178" s="44">
        <v>80</v>
      </c>
      <c r="J178" s="44">
        <v>40</v>
      </c>
      <c r="K178" s="44">
        <v>80</v>
      </c>
      <c r="L178" s="44">
        <v>20</v>
      </c>
      <c r="M178" s="44">
        <v>20</v>
      </c>
      <c r="N178" s="44">
        <v>20</v>
      </c>
      <c r="O178" s="44">
        <v>100</v>
      </c>
    </row>
    <row r="179" spans="1:15" x14ac:dyDescent="0.25">
      <c r="A179" s="19" t="s">
        <v>1208</v>
      </c>
      <c r="B179" s="44">
        <v>20</v>
      </c>
      <c r="C179" s="44">
        <v>20</v>
      </c>
      <c r="D179" s="44">
        <v>20</v>
      </c>
      <c r="E179" s="44">
        <v>20</v>
      </c>
      <c r="F179" s="44">
        <v>80</v>
      </c>
      <c r="G179" s="44">
        <v>40</v>
      </c>
      <c r="H179" s="44">
        <v>20</v>
      </c>
      <c r="I179" s="44">
        <v>60</v>
      </c>
      <c r="J179" s="44">
        <v>60</v>
      </c>
      <c r="K179" s="44">
        <v>20</v>
      </c>
      <c r="L179" s="44">
        <v>40</v>
      </c>
      <c r="M179" s="44">
        <v>40</v>
      </c>
      <c r="N179" s="44">
        <v>100</v>
      </c>
      <c r="O179" s="44">
        <v>20</v>
      </c>
    </row>
    <row r="180" spans="1:15" x14ac:dyDescent="0.25">
      <c r="A180" s="19" t="s">
        <v>1218</v>
      </c>
      <c r="B180" s="44">
        <v>20</v>
      </c>
      <c r="C180" s="44">
        <v>40</v>
      </c>
      <c r="D180" s="44">
        <v>40</v>
      </c>
      <c r="E180" s="44">
        <v>20</v>
      </c>
      <c r="F180" s="44">
        <v>80</v>
      </c>
      <c r="G180" s="44">
        <v>20</v>
      </c>
      <c r="H180" s="44">
        <v>40</v>
      </c>
      <c r="I180" s="44">
        <v>60</v>
      </c>
      <c r="J180" s="44">
        <v>20</v>
      </c>
      <c r="K180" s="44">
        <v>20</v>
      </c>
      <c r="L180" s="44">
        <v>100</v>
      </c>
      <c r="M180" s="44">
        <v>100</v>
      </c>
      <c r="N180" s="44">
        <v>40</v>
      </c>
      <c r="O180" s="44">
        <v>20</v>
      </c>
    </row>
    <row r="181" spans="1:15" x14ac:dyDescent="0.25">
      <c r="A181" s="19" t="s">
        <v>1224</v>
      </c>
      <c r="B181" s="44">
        <v>60</v>
      </c>
      <c r="C181" s="44">
        <v>40</v>
      </c>
      <c r="D181" s="44">
        <v>60</v>
      </c>
      <c r="E181" s="44">
        <v>60</v>
      </c>
      <c r="F181" s="44">
        <v>20</v>
      </c>
      <c r="G181" s="44">
        <v>40</v>
      </c>
      <c r="H181" s="44">
        <v>60</v>
      </c>
      <c r="I181" s="44">
        <v>80</v>
      </c>
      <c r="J181" s="44">
        <v>40</v>
      </c>
      <c r="K181" s="44">
        <v>100</v>
      </c>
      <c r="L181" s="44">
        <v>20</v>
      </c>
      <c r="M181" s="44">
        <v>20</v>
      </c>
      <c r="N181" s="44">
        <v>20</v>
      </c>
      <c r="O181" s="44">
        <v>80</v>
      </c>
    </row>
    <row r="183" ht="18" customHeight="1" spans="1:30" x14ac:dyDescent="0.25">
      <c r="A183" s="3" t="s">
        <v>1462</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ht="44" customHeight="1" spans="1:15" x14ac:dyDescent="0.25">
      <c r="A184" s="43" t="s">
        <v>1461</v>
      </c>
      <c r="B184" s="6" t="s">
        <v>217</v>
      </c>
      <c r="C184" s="6" t="s">
        <v>258</v>
      </c>
      <c r="D184" s="6" t="s">
        <v>248</v>
      </c>
      <c r="E184" s="6" t="s">
        <v>189</v>
      </c>
      <c r="F184" s="6" t="s">
        <v>190</v>
      </c>
      <c r="G184" s="6" t="s">
        <v>1138</v>
      </c>
      <c r="H184" s="6" t="s">
        <v>1115</v>
      </c>
      <c r="I184" s="6" t="s">
        <v>177</v>
      </c>
      <c r="J184" s="6" t="s">
        <v>1201</v>
      </c>
      <c r="K184" s="6" t="s">
        <v>1209</v>
      </c>
      <c r="L184" s="6" t="s">
        <v>239</v>
      </c>
      <c r="M184" s="6" t="s">
        <v>1225</v>
      </c>
      <c r="N184" s="6" t="s">
        <v>1208</v>
      </c>
      <c r="O184" s="6" t="s">
        <v>1200</v>
      </c>
    </row>
    <row r="185" spans="1:15" x14ac:dyDescent="0.25">
      <c r="A185" s="19" t="s">
        <v>217</v>
      </c>
      <c r="B185" s="44">
        <v>100</v>
      </c>
      <c r="C185" s="44">
        <v>80</v>
      </c>
      <c r="D185" s="44">
        <v>60</v>
      </c>
      <c r="E185" s="44">
        <v>60</v>
      </c>
      <c r="F185" s="44">
        <v>20</v>
      </c>
      <c r="G185" s="44">
        <v>20</v>
      </c>
      <c r="H185" s="44">
        <v>20</v>
      </c>
      <c r="I185" s="44">
        <v>80</v>
      </c>
      <c r="J185" s="44">
        <v>60</v>
      </c>
      <c r="K185" s="44">
        <v>80</v>
      </c>
      <c r="L185" s="44">
        <v>40</v>
      </c>
      <c r="M185" s="44">
        <v>20</v>
      </c>
      <c r="N185" s="44">
        <v>20</v>
      </c>
      <c r="O185" s="44">
        <v>60</v>
      </c>
    </row>
    <row r="186" spans="1:15" x14ac:dyDescent="0.25">
      <c r="A186" s="19" t="s">
        <v>258</v>
      </c>
      <c r="B186" s="44">
        <v>80</v>
      </c>
      <c r="C186" s="44">
        <v>100</v>
      </c>
      <c r="D186" s="44">
        <v>60</v>
      </c>
      <c r="E186" s="44">
        <v>60</v>
      </c>
      <c r="F186" s="44">
        <v>20</v>
      </c>
      <c r="G186" s="44">
        <v>20</v>
      </c>
      <c r="H186" s="44">
        <v>20</v>
      </c>
      <c r="I186" s="44">
        <v>80</v>
      </c>
      <c r="J186" s="44">
        <v>60</v>
      </c>
      <c r="K186" s="44">
        <v>60</v>
      </c>
      <c r="L186" s="44">
        <v>80</v>
      </c>
      <c r="M186" s="44">
        <v>20</v>
      </c>
      <c r="N186" s="44">
        <v>20</v>
      </c>
      <c r="O186" s="44">
        <v>60</v>
      </c>
    </row>
    <row r="187" spans="1:15" x14ac:dyDescent="0.25">
      <c r="A187" s="19" t="s">
        <v>248</v>
      </c>
      <c r="B187" s="44">
        <v>60</v>
      </c>
      <c r="C187" s="44">
        <v>60</v>
      </c>
      <c r="D187" s="44">
        <v>100</v>
      </c>
      <c r="E187" s="44">
        <v>80</v>
      </c>
      <c r="F187" s="44">
        <v>20</v>
      </c>
      <c r="G187" s="44">
        <v>20</v>
      </c>
      <c r="H187" s="44">
        <v>20</v>
      </c>
      <c r="I187" s="44">
        <v>80</v>
      </c>
      <c r="J187" s="44">
        <v>80</v>
      </c>
      <c r="K187" s="44">
        <v>60</v>
      </c>
      <c r="L187" s="44">
        <v>40</v>
      </c>
      <c r="M187" s="44">
        <v>20</v>
      </c>
      <c r="N187" s="44">
        <v>20</v>
      </c>
      <c r="O187" s="44">
        <v>60</v>
      </c>
    </row>
    <row r="188" spans="1:15" x14ac:dyDescent="0.25">
      <c r="A188" s="19" t="s">
        <v>189</v>
      </c>
      <c r="B188" s="44">
        <v>60</v>
      </c>
      <c r="C188" s="44">
        <v>60</v>
      </c>
      <c r="D188" s="44">
        <v>80</v>
      </c>
      <c r="E188" s="44">
        <v>100</v>
      </c>
      <c r="F188" s="44">
        <v>20</v>
      </c>
      <c r="G188" s="44">
        <v>20</v>
      </c>
      <c r="H188" s="44">
        <v>20</v>
      </c>
      <c r="I188" s="44">
        <v>80</v>
      </c>
      <c r="J188" s="44">
        <v>60</v>
      </c>
      <c r="K188" s="44">
        <v>60</v>
      </c>
      <c r="L188" s="44">
        <v>40</v>
      </c>
      <c r="M188" s="44">
        <v>20</v>
      </c>
      <c r="N188" s="44">
        <v>20</v>
      </c>
      <c r="O188" s="44">
        <v>60</v>
      </c>
    </row>
    <row r="189" spans="1:15" x14ac:dyDescent="0.25">
      <c r="A189" s="19" t="s">
        <v>190</v>
      </c>
      <c r="B189" s="44">
        <v>20</v>
      </c>
      <c r="C189" s="44">
        <v>20</v>
      </c>
      <c r="D189" s="44">
        <v>20</v>
      </c>
      <c r="E189" s="44">
        <v>20</v>
      </c>
      <c r="F189" s="44">
        <v>100</v>
      </c>
      <c r="G189" s="44">
        <v>80</v>
      </c>
      <c r="H189" s="44">
        <v>80</v>
      </c>
      <c r="I189" s="44">
        <v>40</v>
      </c>
      <c r="J189" s="44">
        <v>20</v>
      </c>
      <c r="K189" s="44">
        <v>20</v>
      </c>
      <c r="L189" s="44">
        <v>40</v>
      </c>
      <c r="M189" s="44">
        <v>80</v>
      </c>
      <c r="N189" s="44">
        <v>80</v>
      </c>
      <c r="O189" s="44">
        <v>20</v>
      </c>
    </row>
    <row r="190" spans="1:15" x14ac:dyDescent="0.25">
      <c r="A190" s="19" t="s">
        <v>1138</v>
      </c>
      <c r="B190" s="44">
        <v>20</v>
      </c>
      <c r="C190" s="44">
        <v>20</v>
      </c>
      <c r="D190" s="44">
        <v>20</v>
      </c>
      <c r="E190" s="44">
        <v>20</v>
      </c>
      <c r="F190" s="44">
        <v>80</v>
      </c>
      <c r="G190" s="44">
        <v>100</v>
      </c>
      <c r="H190" s="44">
        <v>80</v>
      </c>
      <c r="I190" s="44">
        <v>80</v>
      </c>
      <c r="J190" s="44">
        <v>20</v>
      </c>
      <c r="K190" s="44">
        <v>20</v>
      </c>
      <c r="L190" s="44">
        <v>40</v>
      </c>
      <c r="M190" s="44">
        <v>20</v>
      </c>
      <c r="N190" s="44">
        <v>20</v>
      </c>
      <c r="O190" s="44">
        <v>20</v>
      </c>
    </row>
    <row r="191" spans="1:15" x14ac:dyDescent="0.25">
      <c r="A191" s="19" t="s">
        <v>1115</v>
      </c>
      <c r="B191" s="44">
        <v>20</v>
      </c>
      <c r="C191" s="44">
        <v>20</v>
      </c>
      <c r="D191" s="44">
        <v>20</v>
      </c>
      <c r="E191" s="44">
        <v>20</v>
      </c>
      <c r="F191" s="44">
        <v>80</v>
      </c>
      <c r="G191" s="44">
        <v>80</v>
      </c>
      <c r="H191" s="44">
        <v>100</v>
      </c>
      <c r="I191" s="44">
        <v>40</v>
      </c>
      <c r="J191" s="44">
        <v>20</v>
      </c>
      <c r="K191" s="44">
        <v>80</v>
      </c>
      <c r="L191" s="44">
        <v>40</v>
      </c>
      <c r="M191" s="44">
        <v>20</v>
      </c>
      <c r="N191" s="44">
        <v>20</v>
      </c>
      <c r="O191" s="44">
        <v>20</v>
      </c>
    </row>
    <row r="192" spans="1:15" x14ac:dyDescent="0.25">
      <c r="A192" s="19" t="s">
        <v>177</v>
      </c>
      <c r="B192" s="44">
        <v>80</v>
      </c>
      <c r="C192" s="44">
        <v>80</v>
      </c>
      <c r="D192" s="44">
        <v>80</v>
      </c>
      <c r="E192" s="44">
        <v>80</v>
      </c>
      <c r="F192" s="44">
        <v>40</v>
      </c>
      <c r="G192" s="44">
        <v>80</v>
      </c>
      <c r="H192" s="44">
        <v>40</v>
      </c>
      <c r="I192" s="44">
        <v>100</v>
      </c>
      <c r="J192" s="44">
        <v>80</v>
      </c>
      <c r="K192" s="44">
        <v>80</v>
      </c>
      <c r="L192" s="44">
        <v>80</v>
      </c>
      <c r="M192" s="44">
        <v>40</v>
      </c>
      <c r="N192" s="44">
        <v>40</v>
      </c>
      <c r="O192" s="44">
        <v>80</v>
      </c>
    </row>
    <row r="193" spans="1:15" x14ac:dyDescent="0.25">
      <c r="A193" s="19" t="s">
        <v>1201</v>
      </c>
      <c r="B193" s="44">
        <v>60</v>
      </c>
      <c r="C193" s="44">
        <v>60</v>
      </c>
      <c r="D193" s="44">
        <v>80</v>
      </c>
      <c r="E193" s="44">
        <v>60</v>
      </c>
      <c r="F193" s="44">
        <v>20</v>
      </c>
      <c r="G193" s="44">
        <v>20</v>
      </c>
      <c r="H193" s="44">
        <v>20</v>
      </c>
      <c r="I193" s="44">
        <v>80</v>
      </c>
      <c r="J193" s="44">
        <v>100</v>
      </c>
      <c r="K193" s="44">
        <v>60</v>
      </c>
      <c r="L193" s="44">
        <v>80</v>
      </c>
      <c r="M193" s="44">
        <v>20</v>
      </c>
      <c r="N193" s="44">
        <v>20</v>
      </c>
      <c r="O193" s="44">
        <v>60</v>
      </c>
    </row>
    <row r="194" spans="1:15" x14ac:dyDescent="0.25">
      <c r="A194" s="19" t="s">
        <v>1209</v>
      </c>
      <c r="B194" s="44">
        <v>80</v>
      </c>
      <c r="C194" s="44">
        <v>60</v>
      </c>
      <c r="D194" s="44">
        <v>60</v>
      </c>
      <c r="E194" s="44">
        <v>60</v>
      </c>
      <c r="F194" s="44">
        <v>20</v>
      </c>
      <c r="G194" s="44">
        <v>20</v>
      </c>
      <c r="H194" s="44">
        <v>80</v>
      </c>
      <c r="I194" s="44">
        <v>80</v>
      </c>
      <c r="J194" s="44">
        <v>60</v>
      </c>
      <c r="K194" s="44">
        <v>100</v>
      </c>
      <c r="L194" s="44">
        <v>40</v>
      </c>
      <c r="M194" s="44">
        <v>20</v>
      </c>
      <c r="N194" s="44">
        <v>20</v>
      </c>
      <c r="O194" s="44">
        <v>80</v>
      </c>
    </row>
    <row r="195" spans="1:15" x14ac:dyDescent="0.25">
      <c r="A195" s="19" t="s">
        <v>239</v>
      </c>
      <c r="B195" s="44">
        <v>40</v>
      </c>
      <c r="C195" s="44">
        <v>80</v>
      </c>
      <c r="D195" s="44">
        <v>40</v>
      </c>
      <c r="E195" s="44">
        <v>40</v>
      </c>
      <c r="F195" s="44">
        <v>40</v>
      </c>
      <c r="G195" s="44">
        <v>40</v>
      </c>
      <c r="H195" s="44">
        <v>40</v>
      </c>
      <c r="I195" s="44">
        <v>80</v>
      </c>
      <c r="J195" s="44">
        <v>80</v>
      </c>
      <c r="K195" s="44">
        <v>40</v>
      </c>
      <c r="L195" s="44">
        <v>100</v>
      </c>
      <c r="M195" s="44">
        <v>80</v>
      </c>
      <c r="N195" s="44">
        <v>40</v>
      </c>
      <c r="O195" s="44">
        <v>40</v>
      </c>
    </row>
    <row r="196" spans="1:15" x14ac:dyDescent="0.25">
      <c r="A196" s="19" t="s">
        <v>1225</v>
      </c>
      <c r="B196" s="44">
        <v>20</v>
      </c>
      <c r="C196" s="44">
        <v>20</v>
      </c>
      <c r="D196" s="44">
        <v>20</v>
      </c>
      <c r="E196" s="44">
        <v>20</v>
      </c>
      <c r="F196" s="44">
        <v>80</v>
      </c>
      <c r="G196" s="44">
        <v>20</v>
      </c>
      <c r="H196" s="44">
        <v>20</v>
      </c>
      <c r="I196" s="44">
        <v>40</v>
      </c>
      <c r="J196" s="44">
        <v>20</v>
      </c>
      <c r="K196" s="44">
        <v>20</v>
      </c>
      <c r="L196" s="44">
        <v>80</v>
      </c>
      <c r="M196" s="44">
        <v>100</v>
      </c>
      <c r="N196" s="44">
        <v>20</v>
      </c>
      <c r="O196" s="44">
        <v>20</v>
      </c>
    </row>
    <row r="197" spans="1:15" x14ac:dyDescent="0.25">
      <c r="A197" s="19" t="s">
        <v>1208</v>
      </c>
      <c r="B197" s="44">
        <v>20</v>
      </c>
      <c r="C197" s="44">
        <v>20</v>
      </c>
      <c r="D197" s="44">
        <v>20</v>
      </c>
      <c r="E197" s="44">
        <v>20</v>
      </c>
      <c r="F197" s="44">
        <v>80</v>
      </c>
      <c r="G197" s="44">
        <v>20</v>
      </c>
      <c r="H197" s="44">
        <v>20</v>
      </c>
      <c r="I197" s="44">
        <v>40</v>
      </c>
      <c r="J197" s="44">
        <v>20</v>
      </c>
      <c r="K197" s="44">
        <v>20</v>
      </c>
      <c r="L197" s="44">
        <v>40</v>
      </c>
      <c r="M197" s="44">
        <v>20</v>
      </c>
      <c r="N197" s="44">
        <v>100</v>
      </c>
      <c r="O197" s="44">
        <v>20</v>
      </c>
    </row>
    <row r="198" spans="1:15" x14ac:dyDescent="0.25">
      <c r="A198" s="19" t="s">
        <v>1200</v>
      </c>
      <c r="B198" s="44">
        <v>60</v>
      </c>
      <c r="C198" s="44">
        <v>60</v>
      </c>
      <c r="D198" s="44">
        <v>60</v>
      </c>
      <c r="E198" s="44">
        <v>60</v>
      </c>
      <c r="F198" s="44">
        <v>20</v>
      </c>
      <c r="G198" s="44">
        <v>20</v>
      </c>
      <c r="H198" s="44">
        <v>20</v>
      </c>
      <c r="I198" s="44">
        <v>80</v>
      </c>
      <c r="J198" s="44">
        <v>60</v>
      </c>
      <c r="K198" s="44">
        <v>80</v>
      </c>
      <c r="L198" s="44">
        <v>40</v>
      </c>
      <c r="M198" s="44">
        <v>20</v>
      </c>
      <c r="N198" s="44">
        <v>20</v>
      </c>
      <c r="O198" s="44">
        <v>100</v>
      </c>
    </row>
    <row r="200" ht="18" customHeight="1" spans="1:30" x14ac:dyDescent="0.25">
      <c r="A200" s="3" t="s">
        <v>1463</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ht="44" customHeight="1" spans="1:13" x14ac:dyDescent="0.25">
      <c r="A201" s="43" t="s">
        <v>1461</v>
      </c>
      <c r="B201" s="6" t="s">
        <v>1077</v>
      </c>
      <c r="C201" s="6" t="s">
        <v>1076</v>
      </c>
      <c r="D201" s="6" t="s">
        <v>1117</v>
      </c>
      <c r="E201" s="6" t="s">
        <v>1139</v>
      </c>
      <c r="F201" s="6" t="s">
        <v>1159</v>
      </c>
      <c r="G201" s="6" t="s">
        <v>1175</v>
      </c>
      <c r="H201" s="6" t="s">
        <v>1183</v>
      </c>
      <c r="I201" s="6" t="s">
        <v>1140</v>
      </c>
      <c r="J201" s="6" t="s">
        <v>1163</v>
      </c>
      <c r="K201" s="6" t="s">
        <v>1174</v>
      </c>
      <c r="L201" s="6" t="s">
        <v>1186</v>
      </c>
      <c r="M201" s="6" t="s">
        <v>1229</v>
      </c>
    </row>
    <row r="202" spans="1:13" x14ac:dyDescent="0.25">
      <c r="A202" s="19" t="s">
        <v>1077</v>
      </c>
      <c r="B202" s="44">
        <v>100</v>
      </c>
      <c r="C202" s="44">
        <v>90</v>
      </c>
      <c r="D202" s="44">
        <v>50</v>
      </c>
      <c r="E202" s="44">
        <v>70</v>
      </c>
      <c r="F202" s="44">
        <v>70</v>
      </c>
      <c r="G202" s="44">
        <v>50</v>
      </c>
      <c r="H202" s="44">
        <v>30</v>
      </c>
      <c r="I202" s="44">
        <v>70</v>
      </c>
      <c r="J202" s="44">
        <v>60</v>
      </c>
      <c r="K202" s="44">
        <v>30</v>
      </c>
      <c r="L202" s="44">
        <v>20</v>
      </c>
      <c r="M202" s="44">
        <v>60</v>
      </c>
    </row>
    <row r="203" spans="1:13" x14ac:dyDescent="0.25">
      <c r="A203" s="19" t="s">
        <v>1097</v>
      </c>
      <c r="B203" s="44">
        <v>70</v>
      </c>
      <c r="C203" s="44">
        <v>75</v>
      </c>
      <c r="D203" s="44">
        <v>95</v>
      </c>
      <c r="E203" s="44">
        <v>100</v>
      </c>
      <c r="F203" s="44">
        <v>85</v>
      </c>
      <c r="G203" s="44">
        <v>50</v>
      </c>
      <c r="H203" s="44">
        <v>40</v>
      </c>
      <c r="I203" s="44">
        <v>60</v>
      </c>
      <c r="J203" s="44">
        <v>50</v>
      </c>
      <c r="K203" s="44">
        <v>45</v>
      </c>
      <c r="L203" s="44">
        <v>30</v>
      </c>
      <c r="M203" s="44">
        <v>70</v>
      </c>
    </row>
    <row r="204" spans="1:13" x14ac:dyDescent="0.25">
      <c r="A204" s="19" t="s">
        <v>1118</v>
      </c>
      <c r="B204" s="44">
        <v>45</v>
      </c>
      <c r="C204" s="44">
        <v>60</v>
      </c>
      <c r="D204" s="44">
        <v>60</v>
      </c>
      <c r="E204" s="44">
        <v>45</v>
      </c>
      <c r="F204" s="44">
        <v>60</v>
      </c>
      <c r="G204" s="44">
        <v>100</v>
      </c>
      <c r="H204" s="44">
        <v>95</v>
      </c>
      <c r="I204" s="44">
        <v>35</v>
      </c>
      <c r="J204" s="44">
        <v>25</v>
      </c>
      <c r="K204" s="44">
        <v>75</v>
      </c>
      <c r="L204" s="44">
        <v>70</v>
      </c>
      <c r="M204" s="44">
        <v>65</v>
      </c>
    </row>
    <row r="205" spans="1:13" x14ac:dyDescent="0.25">
      <c r="A205" s="19" t="s">
        <v>1140</v>
      </c>
      <c r="B205" s="44">
        <v>85</v>
      </c>
      <c r="C205" s="44">
        <v>55</v>
      </c>
      <c r="D205" s="44">
        <v>65</v>
      </c>
      <c r="E205" s="44">
        <v>50</v>
      </c>
      <c r="F205" s="44">
        <v>60</v>
      </c>
      <c r="G205" s="44">
        <v>35</v>
      </c>
      <c r="H205" s="44">
        <v>25</v>
      </c>
      <c r="I205" s="44">
        <v>100</v>
      </c>
      <c r="J205" s="44">
        <v>95</v>
      </c>
      <c r="K205" s="44">
        <v>30</v>
      </c>
      <c r="L205" s="44">
        <v>20</v>
      </c>
      <c r="M205" s="44">
        <v>65</v>
      </c>
    </row>
    <row r="206" spans="1:13" x14ac:dyDescent="0.25">
      <c r="A206" s="19" t="s">
        <v>1160</v>
      </c>
      <c r="B206" s="44">
        <v>25</v>
      </c>
      <c r="C206" s="44">
        <v>40</v>
      </c>
      <c r="D206" s="44">
        <v>75</v>
      </c>
      <c r="E206" s="44">
        <v>40</v>
      </c>
      <c r="F206" s="44">
        <v>50</v>
      </c>
      <c r="G206" s="44">
        <v>80</v>
      </c>
      <c r="H206" s="44">
        <v>85</v>
      </c>
      <c r="I206" s="44">
        <v>25</v>
      </c>
      <c r="J206" s="44">
        <v>20</v>
      </c>
      <c r="K206" s="44">
        <v>100</v>
      </c>
      <c r="L206" s="44">
        <v>95</v>
      </c>
      <c r="M206" s="44">
        <v>50</v>
      </c>
    </row>
    <row r="207" spans="1:13" x14ac:dyDescent="0.25">
      <c r="A207" s="19" t="s">
        <v>1076</v>
      </c>
      <c r="B207" s="44">
        <v>85</v>
      </c>
      <c r="C207" s="44">
        <v>100</v>
      </c>
      <c r="D207" s="44">
        <v>60</v>
      </c>
      <c r="E207" s="44">
        <v>80</v>
      </c>
      <c r="F207" s="44">
        <v>75</v>
      </c>
      <c r="G207" s="44">
        <v>55</v>
      </c>
      <c r="H207" s="44">
        <v>45</v>
      </c>
      <c r="I207" s="44">
        <v>45</v>
      </c>
      <c r="J207" s="44">
        <v>30</v>
      </c>
      <c r="K207" s="44">
        <v>40</v>
      </c>
      <c r="L207" s="44">
        <v>30</v>
      </c>
      <c r="M207" s="44">
        <v>65</v>
      </c>
    </row>
    <row r="208" spans="1:13" x14ac:dyDescent="0.25">
      <c r="A208" s="19" t="s">
        <v>1184</v>
      </c>
      <c r="B208" s="44">
        <v>55</v>
      </c>
      <c r="C208" s="44">
        <v>70</v>
      </c>
      <c r="D208" s="44">
        <v>70</v>
      </c>
      <c r="E208" s="44">
        <v>50</v>
      </c>
      <c r="F208" s="44">
        <v>70</v>
      </c>
      <c r="G208" s="44">
        <v>100</v>
      </c>
      <c r="H208" s="44">
        <v>80</v>
      </c>
      <c r="I208" s="44">
        <v>45</v>
      </c>
      <c r="J208" s="44">
        <v>35</v>
      </c>
      <c r="K208" s="44">
        <v>60</v>
      </c>
      <c r="L208" s="44">
        <v>55</v>
      </c>
      <c r="M208" s="44">
        <v>85</v>
      </c>
    </row>
    <row r="209" spans="1:13" x14ac:dyDescent="0.25">
      <c r="A209" s="19" t="s">
        <v>1195</v>
      </c>
      <c r="B209" s="44">
        <v>50</v>
      </c>
      <c r="C209" s="44">
        <v>45</v>
      </c>
      <c r="D209" s="44">
        <v>90</v>
      </c>
      <c r="E209" s="44">
        <v>70</v>
      </c>
      <c r="F209" s="44">
        <v>65</v>
      </c>
      <c r="G209" s="44">
        <v>60</v>
      </c>
      <c r="H209" s="44">
        <v>55</v>
      </c>
      <c r="I209" s="44">
        <v>65</v>
      </c>
      <c r="J209" s="44">
        <v>60</v>
      </c>
      <c r="K209" s="44">
        <v>85</v>
      </c>
      <c r="L209" s="44">
        <v>75</v>
      </c>
      <c r="M209" s="44">
        <v>80</v>
      </c>
    </row>
    <row r="210" spans="1:13" x14ac:dyDescent="0.25">
      <c r="A210" s="19" t="s">
        <v>1205</v>
      </c>
      <c r="B210" s="44">
        <v>55</v>
      </c>
      <c r="C210" s="44">
        <v>75</v>
      </c>
      <c r="D210" s="44">
        <v>60</v>
      </c>
      <c r="E210" s="44">
        <v>40</v>
      </c>
      <c r="F210" s="44">
        <v>60</v>
      </c>
      <c r="G210" s="44">
        <v>95</v>
      </c>
      <c r="H210" s="44">
        <v>75</v>
      </c>
      <c r="I210" s="44">
        <v>40</v>
      </c>
      <c r="J210" s="44">
        <v>30</v>
      </c>
      <c r="K210" s="44">
        <v>55</v>
      </c>
      <c r="L210" s="44">
        <v>45</v>
      </c>
      <c r="M210" s="44">
        <v>85</v>
      </c>
    </row>
    <row r="211" spans="1:13" x14ac:dyDescent="0.25">
      <c r="A211" s="19" t="s">
        <v>1214</v>
      </c>
      <c r="B211" s="44">
        <v>70</v>
      </c>
      <c r="C211" s="44">
        <v>70</v>
      </c>
      <c r="D211" s="44">
        <v>90</v>
      </c>
      <c r="E211" s="44">
        <v>90</v>
      </c>
      <c r="F211" s="44">
        <v>75</v>
      </c>
      <c r="G211" s="44">
        <v>60</v>
      </c>
      <c r="H211" s="44">
        <v>55</v>
      </c>
      <c r="I211" s="44">
        <v>80</v>
      </c>
      <c r="J211" s="44">
        <v>70</v>
      </c>
      <c r="K211" s="44">
        <v>60</v>
      </c>
      <c r="L211" s="44">
        <v>40</v>
      </c>
      <c r="M211" s="44">
        <v>75</v>
      </c>
    </row>
    <row r="213" ht="18" customHeight="1" spans="1:30" x14ac:dyDescent="0.25">
      <c r="A213" s="3" t="s">
        <v>1464</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ht="44" customHeight="1" spans="1:11" x14ac:dyDescent="0.25">
      <c r="A214" s="43" t="s">
        <v>1461</v>
      </c>
      <c r="B214" s="6" t="s">
        <v>1076</v>
      </c>
      <c r="C214" s="6" t="s">
        <v>1096</v>
      </c>
      <c r="D214" s="6" t="s">
        <v>1116</v>
      </c>
      <c r="E214" s="6" t="s">
        <v>1099</v>
      </c>
      <c r="F214" s="6" t="s">
        <v>1158</v>
      </c>
      <c r="G214" s="6" t="s">
        <v>1174</v>
      </c>
      <c r="H214" s="6" t="s">
        <v>1182</v>
      </c>
      <c r="I214" s="6" t="s">
        <v>1194</v>
      </c>
      <c r="J214" s="6" t="s">
        <v>1204</v>
      </c>
      <c r="K214" s="6" t="s">
        <v>1213</v>
      </c>
    </row>
    <row r="215" spans="1:11" x14ac:dyDescent="0.25">
      <c r="A215" s="19" t="s">
        <v>1078</v>
      </c>
      <c r="B215" s="44">
        <v>90</v>
      </c>
      <c r="C215" s="44">
        <v>85</v>
      </c>
      <c r="D215" s="44">
        <v>70</v>
      </c>
      <c r="E215" s="44">
        <v>55</v>
      </c>
      <c r="F215" s="44">
        <v>50</v>
      </c>
      <c r="G215" s="44">
        <v>30</v>
      </c>
      <c r="H215" s="44">
        <v>40</v>
      </c>
      <c r="I215" s="44">
        <v>80</v>
      </c>
      <c r="J215" s="44">
        <v>75</v>
      </c>
      <c r="K215" s="44">
        <v>20</v>
      </c>
    </row>
    <row r="216" spans="1:11" x14ac:dyDescent="0.25">
      <c r="A216" s="19" t="s">
        <v>1098</v>
      </c>
      <c r="B216" s="44">
        <v>100</v>
      </c>
      <c r="C216" s="44">
        <v>95</v>
      </c>
      <c r="D216" s="44">
        <v>90</v>
      </c>
      <c r="E216" s="44">
        <v>65</v>
      </c>
      <c r="F216" s="44">
        <v>50</v>
      </c>
      <c r="G216" s="44">
        <v>40</v>
      </c>
      <c r="H216" s="44">
        <v>55</v>
      </c>
      <c r="I216" s="44">
        <v>85</v>
      </c>
      <c r="J216" s="44">
        <v>80</v>
      </c>
      <c r="K216" s="44">
        <v>30</v>
      </c>
    </row>
    <row r="217" spans="1:11" x14ac:dyDescent="0.25">
      <c r="A217" s="19" t="s">
        <v>1119</v>
      </c>
      <c r="B217" s="44">
        <v>60</v>
      </c>
      <c r="C217" s="44">
        <v>70</v>
      </c>
      <c r="D217" s="44">
        <v>65</v>
      </c>
      <c r="E217" s="44">
        <v>95</v>
      </c>
      <c r="F217" s="44">
        <v>65</v>
      </c>
      <c r="G217" s="44">
        <v>70</v>
      </c>
      <c r="H217" s="44">
        <v>90</v>
      </c>
      <c r="I217" s="44">
        <v>55</v>
      </c>
      <c r="J217" s="44">
        <v>75</v>
      </c>
      <c r="K217" s="44">
        <v>60</v>
      </c>
    </row>
    <row r="218" spans="1:11" x14ac:dyDescent="0.25">
      <c r="A218" s="19" t="s">
        <v>1141</v>
      </c>
      <c r="B218" s="44">
        <v>65</v>
      </c>
      <c r="C218" s="44">
        <v>65</v>
      </c>
      <c r="D218" s="44">
        <v>70</v>
      </c>
      <c r="E218" s="44">
        <v>85</v>
      </c>
      <c r="F218" s="44">
        <v>95</v>
      </c>
      <c r="G218" s="44">
        <v>60</v>
      </c>
      <c r="H218" s="44">
        <v>75</v>
      </c>
      <c r="I218" s="44">
        <v>60</v>
      </c>
      <c r="J218" s="44">
        <v>60</v>
      </c>
      <c r="K218" s="44">
        <v>35</v>
      </c>
    </row>
    <row r="219" spans="1:11" x14ac:dyDescent="0.25">
      <c r="A219" s="19" t="s">
        <v>1160</v>
      </c>
      <c r="B219" s="44">
        <v>40</v>
      </c>
      <c r="C219" s="44">
        <v>55</v>
      </c>
      <c r="D219" s="44">
        <v>60</v>
      </c>
      <c r="E219" s="44">
        <v>70</v>
      </c>
      <c r="F219" s="44">
        <v>60</v>
      </c>
      <c r="G219" s="44">
        <v>100</v>
      </c>
      <c r="H219" s="44">
        <v>80</v>
      </c>
      <c r="I219" s="44">
        <v>45</v>
      </c>
      <c r="J219" s="44">
        <v>55</v>
      </c>
      <c r="K219" s="44">
        <v>95</v>
      </c>
    </row>
    <row r="220" spans="1:11" x14ac:dyDescent="0.25">
      <c r="A220" s="19" t="s">
        <v>1176</v>
      </c>
      <c r="B220" s="44">
        <v>75</v>
      </c>
      <c r="C220" s="44">
        <v>60</v>
      </c>
      <c r="D220" s="44">
        <v>60</v>
      </c>
      <c r="E220" s="44">
        <v>95</v>
      </c>
      <c r="F220" s="44">
        <v>80</v>
      </c>
      <c r="G220" s="44">
        <v>60</v>
      </c>
      <c r="H220" s="44">
        <v>75</v>
      </c>
      <c r="I220" s="44">
        <v>50</v>
      </c>
      <c r="J220" s="44">
        <v>70</v>
      </c>
      <c r="K220" s="44">
        <v>40</v>
      </c>
    </row>
    <row r="221" spans="1:11" x14ac:dyDescent="0.25">
      <c r="A221" s="19" t="s">
        <v>1185</v>
      </c>
      <c r="B221" s="44">
        <v>85</v>
      </c>
      <c r="C221" s="44">
        <v>90</v>
      </c>
      <c r="D221" s="44">
        <v>95</v>
      </c>
      <c r="E221" s="44">
        <v>55</v>
      </c>
      <c r="F221" s="44">
        <v>45</v>
      </c>
      <c r="G221" s="44">
        <v>40</v>
      </c>
      <c r="H221" s="44">
        <v>55</v>
      </c>
      <c r="I221" s="44">
        <v>95</v>
      </c>
      <c r="J221" s="44">
        <v>80</v>
      </c>
      <c r="K221" s="44">
        <v>30</v>
      </c>
    </row>
    <row r="222" spans="1:11" x14ac:dyDescent="0.25">
      <c r="A222" s="19" t="s">
        <v>1142</v>
      </c>
      <c r="B222" s="44">
        <v>65</v>
      </c>
      <c r="C222" s="44">
        <v>65</v>
      </c>
      <c r="D222" s="44">
        <v>75</v>
      </c>
      <c r="E222" s="44">
        <v>85</v>
      </c>
      <c r="F222" s="44">
        <v>55</v>
      </c>
      <c r="G222" s="44">
        <v>75</v>
      </c>
      <c r="H222" s="44">
        <v>90</v>
      </c>
      <c r="I222" s="44">
        <v>55</v>
      </c>
      <c r="J222" s="44">
        <v>95</v>
      </c>
      <c r="K222" s="44">
        <v>70</v>
      </c>
    </row>
    <row r="224" ht="18" customHeight="1" spans="1:30" x14ac:dyDescent="0.25">
      <c r="A224" s="3" t="s">
        <v>1465</v>
      </c>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ht="44" customHeight="1" spans="1:11" x14ac:dyDescent="0.25">
      <c r="A225" s="43" t="s">
        <v>1461</v>
      </c>
      <c r="B225" s="6" t="s">
        <v>1076</v>
      </c>
      <c r="C225" s="6" t="s">
        <v>1096</v>
      </c>
      <c r="D225" s="6" t="s">
        <v>1116</v>
      </c>
      <c r="E225" s="6" t="s">
        <v>1099</v>
      </c>
      <c r="F225" s="6" t="s">
        <v>1158</v>
      </c>
      <c r="G225" s="6" t="s">
        <v>1174</v>
      </c>
      <c r="H225" s="6" t="s">
        <v>1182</v>
      </c>
      <c r="I225" s="6" t="s">
        <v>1194</v>
      </c>
      <c r="J225" s="6" t="s">
        <v>1204</v>
      </c>
      <c r="K225" s="6" t="s">
        <v>1213</v>
      </c>
    </row>
    <row r="226" spans="1:11" x14ac:dyDescent="0.25">
      <c r="A226" s="19" t="s">
        <v>1076</v>
      </c>
      <c r="B226" s="44">
        <v>100</v>
      </c>
      <c r="C226" s="44">
        <v>95</v>
      </c>
      <c r="D226" s="44">
        <v>70</v>
      </c>
      <c r="E226" s="44">
        <v>60</v>
      </c>
      <c r="F226" s="44">
        <v>45</v>
      </c>
      <c r="G226" s="44">
        <v>40</v>
      </c>
      <c r="H226" s="44">
        <v>50</v>
      </c>
      <c r="I226" s="44">
        <v>80</v>
      </c>
      <c r="J226" s="44">
        <v>75</v>
      </c>
      <c r="K226" s="44">
        <v>30</v>
      </c>
    </row>
    <row r="227" spans="1:11" x14ac:dyDescent="0.25">
      <c r="A227" s="19" t="s">
        <v>1099</v>
      </c>
      <c r="B227" s="44">
        <v>60</v>
      </c>
      <c r="C227" s="44">
        <v>55</v>
      </c>
      <c r="D227" s="44">
        <v>60</v>
      </c>
      <c r="E227" s="44">
        <v>100</v>
      </c>
      <c r="F227" s="44">
        <v>70</v>
      </c>
      <c r="G227" s="44">
        <v>70</v>
      </c>
      <c r="H227" s="44">
        <v>90</v>
      </c>
      <c r="I227" s="44">
        <v>45</v>
      </c>
      <c r="J227" s="44">
        <v>75</v>
      </c>
      <c r="K227" s="44">
        <v>60</v>
      </c>
    </row>
    <row r="228" spans="1:11" x14ac:dyDescent="0.25">
      <c r="A228" s="19" t="s">
        <v>1120</v>
      </c>
      <c r="B228" s="44">
        <v>80</v>
      </c>
      <c r="C228" s="44">
        <v>95</v>
      </c>
      <c r="D228" s="44">
        <v>90</v>
      </c>
      <c r="E228" s="44">
        <v>50</v>
      </c>
      <c r="F228" s="44">
        <v>55</v>
      </c>
      <c r="G228" s="44">
        <v>45</v>
      </c>
      <c r="H228" s="44">
        <v>60</v>
      </c>
      <c r="I228" s="44">
        <v>100</v>
      </c>
      <c r="J228" s="44">
        <v>65</v>
      </c>
      <c r="K228" s="44">
        <v>30</v>
      </c>
    </row>
    <row r="229" spans="1:11" x14ac:dyDescent="0.25">
      <c r="A229" s="19" t="s">
        <v>1142</v>
      </c>
      <c r="B229" s="44">
        <v>60</v>
      </c>
      <c r="C229" s="44">
        <v>60</v>
      </c>
      <c r="D229" s="44">
        <v>70</v>
      </c>
      <c r="E229" s="44">
        <v>80</v>
      </c>
      <c r="F229" s="44">
        <v>50</v>
      </c>
      <c r="G229" s="44">
        <v>75</v>
      </c>
      <c r="H229" s="44">
        <v>90</v>
      </c>
      <c r="I229" s="44">
        <v>50</v>
      </c>
      <c r="J229" s="44">
        <v>100</v>
      </c>
      <c r="K229" s="44">
        <v>70</v>
      </c>
    </row>
    <row r="230" spans="1:11" x14ac:dyDescent="0.25">
      <c r="A230" s="19" t="s">
        <v>1161</v>
      </c>
      <c r="B230" s="44">
        <v>95</v>
      </c>
      <c r="C230" s="44">
        <v>80</v>
      </c>
      <c r="D230" s="44">
        <v>90</v>
      </c>
      <c r="E230" s="44">
        <v>50</v>
      </c>
      <c r="F230" s="44">
        <v>40</v>
      </c>
      <c r="G230" s="44">
        <v>35</v>
      </c>
      <c r="H230" s="44">
        <v>45</v>
      </c>
      <c r="I230" s="44">
        <v>85</v>
      </c>
      <c r="J230" s="44">
        <v>70</v>
      </c>
      <c r="K230" s="44">
        <v>20</v>
      </c>
    </row>
    <row r="231" spans="1:11" x14ac:dyDescent="0.25">
      <c r="A231" s="19" t="s">
        <v>1177</v>
      </c>
      <c r="B231" s="44">
        <v>55</v>
      </c>
      <c r="C231" s="44">
        <v>70</v>
      </c>
      <c r="D231" s="44">
        <v>65</v>
      </c>
      <c r="E231" s="44">
        <v>70</v>
      </c>
      <c r="F231" s="44">
        <v>100</v>
      </c>
      <c r="G231" s="44">
        <v>70</v>
      </c>
      <c r="H231" s="44">
        <v>85</v>
      </c>
      <c r="I231" s="44">
        <v>75</v>
      </c>
      <c r="J231" s="44">
        <v>50</v>
      </c>
      <c r="K231" s="44">
        <v>55</v>
      </c>
    </row>
    <row r="232" spans="1:11" x14ac:dyDescent="0.25">
      <c r="A232" s="19" t="s">
        <v>1186</v>
      </c>
      <c r="B232" s="44">
        <v>40</v>
      </c>
      <c r="C232" s="44">
        <v>45</v>
      </c>
      <c r="D232" s="44">
        <v>60</v>
      </c>
      <c r="E232" s="44">
        <v>70</v>
      </c>
      <c r="F232" s="44">
        <v>50</v>
      </c>
      <c r="G232" s="44">
        <v>95</v>
      </c>
      <c r="H232" s="44">
        <v>80</v>
      </c>
      <c r="I232" s="44">
        <v>35</v>
      </c>
      <c r="J232" s="44">
        <v>70</v>
      </c>
      <c r="K232" s="44">
        <v>100</v>
      </c>
    </row>
    <row r="233" spans="1:11" x14ac:dyDescent="0.25">
      <c r="A233" s="19" t="s">
        <v>1196</v>
      </c>
      <c r="B233" s="44">
        <v>60</v>
      </c>
      <c r="C233" s="44">
        <v>65</v>
      </c>
      <c r="D233" s="44">
        <v>100</v>
      </c>
      <c r="E233" s="44">
        <v>85</v>
      </c>
      <c r="F233" s="44">
        <v>55</v>
      </c>
      <c r="G233" s="44">
        <v>55</v>
      </c>
      <c r="H233" s="44">
        <v>75</v>
      </c>
      <c r="I233" s="44">
        <v>70</v>
      </c>
      <c r="J233" s="44">
        <v>80</v>
      </c>
      <c r="K233" s="44">
        <v>40</v>
      </c>
    </row>
    <row r="235" ht="18" customHeight="1" spans="1:30" x14ac:dyDescent="0.25">
      <c r="A235" s="3" t="s">
        <v>1466</v>
      </c>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ht="44" customHeight="1" spans="1:11" x14ac:dyDescent="0.25">
      <c r="A236" s="43" t="s">
        <v>1461</v>
      </c>
      <c r="B236" s="6" t="s">
        <v>1076</v>
      </c>
      <c r="C236" s="6" t="s">
        <v>1096</v>
      </c>
      <c r="D236" s="6" t="s">
        <v>1116</v>
      </c>
      <c r="E236" s="6" t="s">
        <v>1099</v>
      </c>
      <c r="F236" s="6" t="s">
        <v>1158</v>
      </c>
      <c r="G236" s="6" t="s">
        <v>1174</v>
      </c>
      <c r="H236" s="6" t="s">
        <v>1182</v>
      </c>
      <c r="I236" s="6" t="s">
        <v>1194</v>
      </c>
      <c r="J236" s="6" t="s">
        <v>1204</v>
      </c>
      <c r="K236" s="6" t="s">
        <v>1213</v>
      </c>
    </row>
    <row r="237" spans="1:11" x14ac:dyDescent="0.25">
      <c r="A237" s="19" t="s">
        <v>1076</v>
      </c>
      <c r="B237" s="44">
        <v>100</v>
      </c>
      <c r="C237" s="44">
        <v>80</v>
      </c>
      <c r="D237" s="44">
        <v>80</v>
      </c>
      <c r="E237" s="44">
        <v>45</v>
      </c>
      <c r="F237" s="44">
        <v>45</v>
      </c>
      <c r="G237" s="44">
        <v>45</v>
      </c>
      <c r="H237" s="44">
        <v>45</v>
      </c>
      <c r="I237" s="44">
        <v>80</v>
      </c>
      <c r="J237" s="44">
        <v>80</v>
      </c>
      <c r="K237" s="44">
        <v>45</v>
      </c>
    </row>
    <row r="238" spans="1:11" x14ac:dyDescent="0.25">
      <c r="A238" s="19" t="s">
        <v>1096</v>
      </c>
      <c r="B238" s="44">
        <v>80</v>
      </c>
      <c r="C238" s="44">
        <v>100</v>
      </c>
      <c r="D238" s="44">
        <v>80</v>
      </c>
      <c r="E238" s="44">
        <v>45</v>
      </c>
      <c r="F238" s="44">
        <v>45</v>
      </c>
      <c r="G238" s="44">
        <v>45</v>
      </c>
      <c r="H238" s="44">
        <v>45</v>
      </c>
      <c r="I238" s="44">
        <v>80</v>
      </c>
      <c r="J238" s="44">
        <v>80</v>
      </c>
      <c r="K238" s="44">
        <v>45</v>
      </c>
    </row>
    <row r="239" spans="1:11" x14ac:dyDescent="0.25">
      <c r="A239" s="19" t="s">
        <v>1116</v>
      </c>
      <c r="B239" s="44">
        <v>80</v>
      </c>
      <c r="C239" s="44">
        <v>80</v>
      </c>
      <c r="D239" s="44">
        <v>100</v>
      </c>
      <c r="E239" s="44">
        <v>45</v>
      </c>
      <c r="F239" s="44">
        <v>45</v>
      </c>
      <c r="G239" s="44">
        <v>45</v>
      </c>
      <c r="H239" s="44">
        <v>45</v>
      </c>
      <c r="I239" s="44">
        <v>80</v>
      </c>
      <c r="J239" s="44">
        <v>80</v>
      </c>
      <c r="K239" s="44">
        <v>45</v>
      </c>
    </row>
    <row r="240" spans="1:11" x14ac:dyDescent="0.25">
      <c r="A240" s="19" t="s">
        <v>1099</v>
      </c>
      <c r="B240" s="44">
        <v>45</v>
      </c>
      <c r="C240" s="44">
        <v>45</v>
      </c>
      <c r="D240" s="44">
        <v>45</v>
      </c>
      <c r="E240" s="44">
        <v>100</v>
      </c>
      <c r="F240" s="44">
        <v>45</v>
      </c>
      <c r="G240" s="44">
        <v>45</v>
      </c>
      <c r="H240" s="44">
        <v>80</v>
      </c>
      <c r="I240" s="44">
        <v>45</v>
      </c>
      <c r="J240" s="44">
        <v>45</v>
      </c>
      <c r="K240" s="44">
        <v>45</v>
      </c>
    </row>
    <row r="241" spans="1:11" x14ac:dyDescent="0.25">
      <c r="A241" s="19" t="s">
        <v>1158</v>
      </c>
      <c r="B241" s="44">
        <v>45</v>
      </c>
      <c r="C241" s="44">
        <v>45</v>
      </c>
      <c r="D241" s="44">
        <v>45</v>
      </c>
      <c r="E241" s="44">
        <v>45</v>
      </c>
      <c r="F241" s="44">
        <v>100</v>
      </c>
      <c r="G241" s="44">
        <v>45</v>
      </c>
      <c r="H241" s="44">
        <v>45</v>
      </c>
      <c r="I241" s="44">
        <v>45</v>
      </c>
      <c r="J241" s="44">
        <v>45</v>
      </c>
      <c r="K241" s="44">
        <v>45</v>
      </c>
    </row>
    <row r="242" spans="1:11" x14ac:dyDescent="0.25">
      <c r="A242" s="19" t="s">
        <v>1174</v>
      </c>
      <c r="B242" s="44">
        <v>45</v>
      </c>
      <c r="C242" s="44">
        <v>45</v>
      </c>
      <c r="D242" s="44">
        <v>45</v>
      </c>
      <c r="E242" s="44">
        <v>45</v>
      </c>
      <c r="F242" s="44">
        <v>45</v>
      </c>
      <c r="G242" s="44">
        <v>100</v>
      </c>
      <c r="H242" s="44">
        <v>45</v>
      </c>
      <c r="I242" s="44">
        <v>45</v>
      </c>
      <c r="J242" s="44">
        <v>45</v>
      </c>
      <c r="K242" s="44">
        <v>80</v>
      </c>
    </row>
    <row r="243" spans="1:11" x14ac:dyDescent="0.25">
      <c r="A243" s="19" t="s">
        <v>1182</v>
      </c>
      <c r="B243" s="44">
        <v>45</v>
      </c>
      <c r="C243" s="44">
        <v>45</v>
      </c>
      <c r="D243" s="44">
        <v>45</v>
      </c>
      <c r="E243" s="44">
        <v>80</v>
      </c>
      <c r="F243" s="44">
        <v>45</v>
      </c>
      <c r="G243" s="44">
        <v>45</v>
      </c>
      <c r="H243" s="44">
        <v>100</v>
      </c>
      <c r="I243" s="44">
        <v>45</v>
      </c>
      <c r="J243" s="44">
        <v>45</v>
      </c>
      <c r="K243" s="44">
        <v>45</v>
      </c>
    </row>
    <row r="244" spans="1:11" x14ac:dyDescent="0.25">
      <c r="A244" s="19" t="s">
        <v>1194</v>
      </c>
      <c r="B244" s="44">
        <v>80</v>
      </c>
      <c r="C244" s="44">
        <v>80</v>
      </c>
      <c r="D244" s="44">
        <v>80</v>
      </c>
      <c r="E244" s="44">
        <v>45</v>
      </c>
      <c r="F244" s="44">
        <v>45</v>
      </c>
      <c r="G244" s="44">
        <v>45</v>
      </c>
      <c r="H244" s="44">
        <v>45</v>
      </c>
      <c r="I244" s="44">
        <v>100</v>
      </c>
      <c r="J244" s="44">
        <v>80</v>
      </c>
      <c r="K244" s="44">
        <v>45</v>
      </c>
    </row>
    <row r="245" spans="1:11" x14ac:dyDescent="0.25">
      <c r="A245" s="19" t="s">
        <v>1204</v>
      </c>
      <c r="B245" s="44">
        <v>80</v>
      </c>
      <c r="C245" s="44">
        <v>80</v>
      </c>
      <c r="D245" s="44">
        <v>80</v>
      </c>
      <c r="E245" s="44">
        <v>45</v>
      </c>
      <c r="F245" s="44">
        <v>45</v>
      </c>
      <c r="G245" s="44">
        <v>45</v>
      </c>
      <c r="H245" s="44">
        <v>45</v>
      </c>
      <c r="I245" s="44">
        <v>80</v>
      </c>
      <c r="J245" s="44">
        <v>100</v>
      </c>
      <c r="K245" s="44">
        <v>45</v>
      </c>
    </row>
    <row r="246" spans="1:11" x14ac:dyDescent="0.25">
      <c r="A246" s="19" t="s">
        <v>1213</v>
      </c>
      <c r="B246" s="44">
        <v>45</v>
      </c>
      <c r="C246" s="44">
        <v>45</v>
      </c>
      <c r="D246" s="44">
        <v>45</v>
      </c>
      <c r="E246" s="44">
        <v>45</v>
      </c>
      <c r="F246" s="44">
        <v>45</v>
      </c>
      <c r="G246" s="44">
        <v>80</v>
      </c>
      <c r="H246" s="44">
        <v>45</v>
      </c>
      <c r="I246" s="44">
        <v>45</v>
      </c>
      <c r="J246" s="44">
        <v>45</v>
      </c>
      <c r="K246" s="44">
        <v>100</v>
      </c>
    </row>
    <row r="248" ht="18" customHeight="1" spans="1:30" x14ac:dyDescent="0.25">
      <c r="A248" s="3" t="s">
        <v>1467</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ht="22" customHeight="1" spans="1:5" x14ac:dyDescent="0.25">
      <c r="A249" s="6" t="s">
        <v>714</v>
      </c>
      <c r="B249" s="6" t="s">
        <v>1468</v>
      </c>
      <c r="C249" s="6" t="s">
        <v>1469</v>
      </c>
      <c r="D249" s="6" t="s">
        <v>1470</v>
      </c>
      <c r="E249" s="6" t="s">
        <v>1471</v>
      </c>
    </row>
    <row r="250" spans="1:5" x14ac:dyDescent="0.25">
      <c r="A250" s="35">
        <v>1</v>
      </c>
      <c r="B250" s="7" t="s">
        <v>1088</v>
      </c>
      <c r="C250" s="22" t="s">
        <v>28</v>
      </c>
      <c r="D250" s="35" t="s">
        <v>1472</v>
      </c>
      <c r="E250" s="20" t="s">
        <v>812</v>
      </c>
    </row>
    <row r="251" spans="1:5" x14ac:dyDescent="0.25">
      <c r="A251" s="35">
        <v>2</v>
      </c>
      <c r="B251" s="7" t="s">
        <v>1109</v>
      </c>
      <c r="C251" s="22" t="s">
        <v>153</v>
      </c>
      <c r="D251" s="35" t="s">
        <v>1472</v>
      </c>
      <c r="E251" s="20" t="s">
        <v>756</v>
      </c>
    </row>
    <row r="252" spans="1:5" x14ac:dyDescent="0.25">
      <c r="A252" s="35">
        <v>3</v>
      </c>
      <c r="B252" s="7" t="s">
        <v>1129</v>
      </c>
      <c r="C252" s="22" t="s">
        <v>154</v>
      </c>
      <c r="D252" s="35" t="s">
        <v>1472</v>
      </c>
      <c r="E252" s="20" t="s">
        <v>812</v>
      </c>
    </row>
    <row r="253" spans="1:5" x14ac:dyDescent="0.25">
      <c r="A253" s="35">
        <v>4</v>
      </c>
      <c r="B253" s="7" t="s">
        <v>1149</v>
      </c>
      <c r="C253" s="22" t="s">
        <v>1473</v>
      </c>
      <c r="D253" s="35" t="s">
        <v>1472</v>
      </c>
      <c r="E253" s="20" t="s">
        <v>756</v>
      </c>
    </row>
    <row r="254" spans="1:5" x14ac:dyDescent="0.25">
      <c r="A254" s="35">
        <v>5</v>
      </c>
      <c r="B254" s="7" t="s">
        <v>1168</v>
      </c>
      <c r="C254" s="22" t="s">
        <v>861</v>
      </c>
      <c r="D254" s="35" t="s">
        <v>1472</v>
      </c>
      <c r="E254" s="20" t="s">
        <v>756</v>
      </c>
    </row>
    <row r="255" spans="1:5" x14ac:dyDescent="0.25">
      <c r="A255" s="35">
        <v>6</v>
      </c>
      <c r="B255" s="7" t="s">
        <v>1180</v>
      </c>
      <c r="C255" s="22" t="s">
        <v>864</v>
      </c>
      <c r="D255" s="35" t="s">
        <v>1472</v>
      </c>
      <c r="E255" s="20" t="s">
        <v>756</v>
      </c>
    </row>
    <row r="256" spans="1:5" x14ac:dyDescent="0.25">
      <c r="A256" s="35">
        <v>7</v>
      </c>
      <c r="B256" s="7" t="s">
        <v>1189</v>
      </c>
      <c r="C256" s="22" t="s">
        <v>654</v>
      </c>
      <c r="D256" s="35" t="s">
        <v>1472</v>
      </c>
      <c r="E256" s="20" t="s">
        <v>779</v>
      </c>
    </row>
    <row r="257" spans="1:5" x14ac:dyDescent="0.25">
      <c r="A257" s="35">
        <v>8</v>
      </c>
      <c r="B257" s="7" t="s">
        <v>1199</v>
      </c>
      <c r="C257" s="22" t="s">
        <v>155</v>
      </c>
      <c r="D257" s="35" t="s">
        <v>1472</v>
      </c>
      <c r="E257" s="20" t="s">
        <v>756</v>
      </c>
    </row>
    <row r="258" spans="1:5" x14ac:dyDescent="0.25">
      <c r="A258" s="35">
        <v>9</v>
      </c>
      <c r="B258" s="7" t="s">
        <v>1207</v>
      </c>
      <c r="C258" s="22" t="s">
        <v>878</v>
      </c>
      <c r="D258" s="35" t="s">
        <v>1472</v>
      </c>
      <c r="E258" s="20" t="s">
        <v>779</v>
      </c>
    </row>
    <row r="259" spans="1:5" x14ac:dyDescent="0.25">
      <c r="A259" s="35">
        <v>10</v>
      </c>
      <c r="B259" s="7" t="s">
        <v>1217</v>
      </c>
      <c r="C259" s="22" t="s">
        <v>873</v>
      </c>
      <c r="D259" s="35" t="s">
        <v>1472</v>
      </c>
      <c r="E259" s="20" t="s">
        <v>1474</v>
      </c>
    </row>
    <row r="260" spans="1:5" x14ac:dyDescent="0.25">
      <c r="A260" s="35">
        <v>11</v>
      </c>
      <c r="B260" s="7" t="s">
        <v>1223</v>
      </c>
      <c r="C260" s="22" t="s">
        <v>875</v>
      </c>
      <c r="D260" s="35" t="s">
        <v>1472</v>
      </c>
      <c r="E260" s="20" t="s">
        <v>779</v>
      </c>
    </row>
    <row r="261" spans="1:5" x14ac:dyDescent="0.25">
      <c r="A261" s="35">
        <v>12</v>
      </c>
      <c r="B261" s="7" t="s">
        <v>925</v>
      </c>
      <c r="C261" s="22" t="s">
        <v>1475</v>
      </c>
      <c r="D261" s="35" t="s">
        <v>1472</v>
      </c>
      <c r="E261" s="20" t="s">
        <v>779</v>
      </c>
    </row>
    <row r="262" spans="1:5" x14ac:dyDescent="0.25">
      <c r="A262" s="35">
        <v>13</v>
      </c>
      <c r="B262" s="7" t="s">
        <v>1236</v>
      </c>
      <c r="C262" s="22" t="s">
        <v>163</v>
      </c>
      <c r="D262" s="35" t="s">
        <v>1472</v>
      </c>
      <c r="E262" s="20" t="s">
        <v>779</v>
      </c>
    </row>
    <row r="263" spans="1:5" x14ac:dyDescent="0.25">
      <c r="A263" s="35">
        <v>14</v>
      </c>
      <c r="B263" s="7" t="s">
        <v>1240</v>
      </c>
      <c r="C263" s="22" t="s">
        <v>853</v>
      </c>
      <c r="D263" s="35" t="s">
        <v>1472</v>
      </c>
      <c r="E263" s="20" t="s">
        <v>779</v>
      </c>
    </row>
    <row r="264" spans="1:5" x14ac:dyDescent="0.25">
      <c r="A264" s="35">
        <v>15</v>
      </c>
      <c r="B264" s="7" t="s">
        <v>1243</v>
      </c>
      <c r="C264" s="22" t="s">
        <v>1108</v>
      </c>
      <c r="D264" s="35" t="s">
        <v>1472</v>
      </c>
      <c r="E264" s="20" t="s">
        <v>812</v>
      </c>
    </row>
    <row r="265" spans="1:5" x14ac:dyDescent="0.25">
      <c r="A265" s="35">
        <v>16</v>
      </c>
      <c r="B265" s="7" t="s">
        <v>1246</v>
      </c>
      <c r="C265" s="22" t="s">
        <v>162</v>
      </c>
      <c r="D265" s="35" t="s">
        <v>1472</v>
      </c>
      <c r="E265" s="20" t="s">
        <v>779</v>
      </c>
    </row>
    <row r="266" spans="1:5" x14ac:dyDescent="0.25">
      <c r="A266" s="35">
        <v>17</v>
      </c>
      <c r="B266" s="7" t="s">
        <v>1249</v>
      </c>
      <c r="C266" s="22" t="s">
        <v>883</v>
      </c>
      <c r="D266" s="35" t="s">
        <v>1476</v>
      </c>
      <c r="E266" s="20" t="s">
        <v>779</v>
      </c>
    </row>
    <row r="267" spans="1:5" x14ac:dyDescent="0.25">
      <c r="A267" s="35">
        <v>18</v>
      </c>
      <c r="B267" s="7" t="s">
        <v>1251</v>
      </c>
      <c r="C267" s="22" t="s">
        <v>886</v>
      </c>
      <c r="D267" s="35" t="s">
        <v>1476</v>
      </c>
      <c r="E267" s="20" t="s">
        <v>779</v>
      </c>
    </row>
    <row r="268" spans="1:5" x14ac:dyDescent="0.25">
      <c r="A268" s="35">
        <v>19</v>
      </c>
      <c r="B268" s="7" t="s">
        <v>1254</v>
      </c>
      <c r="C268" s="22" t="s">
        <v>889</v>
      </c>
      <c r="D268" s="35" t="s">
        <v>1476</v>
      </c>
      <c r="E268" s="20" t="s">
        <v>779</v>
      </c>
    </row>
    <row r="269" spans="1:5" x14ac:dyDescent="0.25">
      <c r="A269" s="35">
        <v>20</v>
      </c>
      <c r="B269" s="7" t="s">
        <v>1257</v>
      </c>
      <c r="C269" s="22" t="s">
        <v>892</v>
      </c>
      <c r="D269" s="35" t="s">
        <v>1472</v>
      </c>
      <c r="E269" s="20" t="s">
        <v>779</v>
      </c>
    </row>
    <row r="270" spans="1:5" x14ac:dyDescent="0.25">
      <c r="A270" s="35">
        <v>21</v>
      </c>
      <c r="B270" s="7" t="s">
        <v>1260</v>
      </c>
      <c r="C270" s="22" t="s">
        <v>895</v>
      </c>
      <c r="D270" s="35" t="s">
        <v>1472</v>
      </c>
      <c r="E270" s="20" t="s">
        <v>779</v>
      </c>
    </row>
    <row r="271" spans="1:5" x14ac:dyDescent="0.25">
      <c r="A271" s="35">
        <v>22</v>
      </c>
      <c r="B271" s="7" t="s">
        <v>1264</v>
      </c>
      <c r="C271" s="22" t="s">
        <v>903</v>
      </c>
      <c r="D271" s="35" t="s">
        <v>1472</v>
      </c>
      <c r="E271" s="20" t="s">
        <v>812</v>
      </c>
    </row>
    <row r="272" spans="1:5" x14ac:dyDescent="0.25">
      <c r="A272" s="35">
        <v>23</v>
      </c>
      <c r="B272" s="7" t="s">
        <v>1267</v>
      </c>
      <c r="C272" s="22" t="s">
        <v>905</v>
      </c>
      <c r="D272" s="35" t="s">
        <v>1472</v>
      </c>
      <c r="E272" s="20" t="s">
        <v>812</v>
      </c>
    </row>
    <row r="273" spans="1:5" x14ac:dyDescent="0.25">
      <c r="A273" s="35">
        <v>24</v>
      </c>
      <c r="B273" s="7" t="s">
        <v>1270</v>
      </c>
      <c r="C273" s="22" t="s">
        <v>817</v>
      </c>
      <c r="D273" s="35" t="s">
        <v>1476</v>
      </c>
      <c r="E273" s="20" t="s">
        <v>779</v>
      </c>
    </row>
    <row r="274" spans="1:5" x14ac:dyDescent="0.25">
      <c r="A274" s="35">
        <v>25</v>
      </c>
      <c r="B274" s="7" t="s">
        <v>1272</v>
      </c>
      <c r="C274" s="22" t="s">
        <v>909</v>
      </c>
      <c r="D274" s="35" t="s">
        <v>1472</v>
      </c>
      <c r="E274" s="20" t="s">
        <v>812</v>
      </c>
    </row>
    <row r="275" spans="1:5" x14ac:dyDescent="0.25">
      <c r="A275" s="35">
        <v>26</v>
      </c>
      <c r="B275" s="7" t="s">
        <v>913</v>
      </c>
      <c r="C275" s="22" t="s">
        <v>916</v>
      </c>
      <c r="D275" s="35" t="s">
        <v>1472</v>
      </c>
      <c r="E275" s="20" t="s">
        <v>748</v>
      </c>
    </row>
    <row r="276" spans="1:5" x14ac:dyDescent="0.25">
      <c r="A276" s="35">
        <v>27</v>
      </c>
      <c r="B276" s="7" t="s">
        <v>918</v>
      </c>
      <c r="C276" s="22" t="s">
        <v>920</v>
      </c>
      <c r="D276" s="35" t="s">
        <v>1472</v>
      </c>
      <c r="E276" s="20" t="s">
        <v>748</v>
      </c>
    </row>
    <row r="277" spans="1:5" x14ac:dyDescent="0.25">
      <c r="A277" s="35">
        <v>28</v>
      </c>
      <c r="B277" s="7" t="s">
        <v>922</v>
      </c>
      <c r="C277" s="22" t="s">
        <v>1477</v>
      </c>
      <c r="D277" s="35" t="s">
        <v>1472</v>
      </c>
      <c r="E277" s="20" t="s">
        <v>779</v>
      </c>
    </row>
    <row r="278" spans="1:5" x14ac:dyDescent="0.25">
      <c r="A278" s="35">
        <v>29</v>
      </c>
      <c r="B278" s="7" t="s">
        <v>929</v>
      </c>
      <c r="C278" s="22" t="s">
        <v>931</v>
      </c>
      <c r="D278" s="35" t="s">
        <v>1472</v>
      </c>
      <c r="E278" s="20" t="s">
        <v>812</v>
      </c>
    </row>
    <row r="279" spans="1:5" x14ac:dyDescent="0.25">
      <c r="A279" s="35">
        <v>30</v>
      </c>
      <c r="B279" s="7" t="s">
        <v>932</v>
      </c>
      <c r="C279" s="22" t="s">
        <v>1478</v>
      </c>
      <c r="D279" s="35" t="s">
        <v>1472</v>
      </c>
      <c r="E279" s="20" t="s">
        <v>812</v>
      </c>
    </row>
    <row r="281" ht="18" customHeight="1" spans="1:30" x14ac:dyDescent="0.25">
      <c r="A281" s="3" t="s">
        <v>1479</v>
      </c>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ht="24" customHeight="1" spans="1:5" x14ac:dyDescent="0.25">
      <c r="A282" s="6" t="s">
        <v>714</v>
      </c>
      <c r="B282" s="6" t="s">
        <v>1480</v>
      </c>
      <c r="C282" s="6" t="s">
        <v>1481</v>
      </c>
      <c r="D282" s="6" t="s">
        <v>1482</v>
      </c>
      <c r="E282" s="6" t="s">
        <v>983</v>
      </c>
    </row>
    <row r="283" spans="1:5" x14ac:dyDescent="0.25">
      <c r="A283" s="35">
        <v>1</v>
      </c>
      <c r="B283" s="7" t="s">
        <v>177</v>
      </c>
      <c r="C283" s="40">
        <v>2442</v>
      </c>
      <c r="D283" s="22" t="s">
        <v>177</v>
      </c>
      <c r="E283" s="8" t="s">
        <v>1483</v>
      </c>
    </row>
    <row r="284" spans="1:5" x14ac:dyDescent="0.25">
      <c r="A284" s="35">
        <v>2</v>
      </c>
      <c r="B284" s="7" t="s">
        <v>217</v>
      </c>
      <c r="C284" s="40">
        <v>1206</v>
      </c>
      <c r="D284" s="22" t="s">
        <v>217</v>
      </c>
      <c r="E284" s="8" t="s">
        <v>1483</v>
      </c>
    </row>
    <row r="285" spans="1:5" x14ac:dyDescent="0.25">
      <c r="A285" s="35">
        <v>3</v>
      </c>
      <c r="B285" s="7" t="s">
        <v>1484</v>
      </c>
      <c r="C285" s="40">
        <v>542</v>
      </c>
      <c r="D285" s="22" t="s">
        <v>1484</v>
      </c>
      <c r="E285" s="8" t="s">
        <v>1483</v>
      </c>
    </row>
    <row r="286" spans="1:5" x14ac:dyDescent="0.25">
      <c r="A286" s="35">
        <v>4</v>
      </c>
      <c r="B286" s="7" t="s">
        <v>239</v>
      </c>
      <c r="C286" s="40">
        <v>458</v>
      </c>
      <c r="D286" s="22" t="s">
        <v>239</v>
      </c>
      <c r="E286" s="8" t="s">
        <v>1483</v>
      </c>
    </row>
    <row r="287" spans="1:5" x14ac:dyDescent="0.25">
      <c r="A287" s="35">
        <v>5</v>
      </c>
      <c r="B287" s="7" t="s">
        <v>1485</v>
      </c>
      <c r="C287" s="40">
        <v>145</v>
      </c>
      <c r="D287" s="22" t="s">
        <v>1485</v>
      </c>
      <c r="E287" s="8" t="s">
        <v>1483</v>
      </c>
    </row>
    <row r="288" spans="1:5" x14ac:dyDescent="0.25">
      <c r="A288" s="35">
        <v>6</v>
      </c>
      <c r="B288" s="7" t="s">
        <v>258</v>
      </c>
      <c r="C288" s="40">
        <v>73</v>
      </c>
      <c r="D288" s="22" t="s">
        <v>258</v>
      </c>
      <c r="E288" s="8" t="s">
        <v>1483</v>
      </c>
    </row>
    <row r="289" spans="1:5" x14ac:dyDescent="0.25">
      <c r="A289" s="35">
        <v>7</v>
      </c>
      <c r="B289" s="7" t="s">
        <v>1486</v>
      </c>
      <c r="C289" s="40">
        <v>63</v>
      </c>
      <c r="D289" s="22" t="s">
        <v>248</v>
      </c>
      <c r="E289" s="8" t="s">
        <v>1487</v>
      </c>
    </row>
    <row r="290" spans="1:5" x14ac:dyDescent="0.25">
      <c r="A290" s="35">
        <v>8</v>
      </c>
      <c r="B290" s="7" t="s">
        <v>1262</v>
      </c>
      <c r="C290" s="40">
        <v>58</v>
      </c>
      <c r="D290" s="22" t="s">
        <v>177</v>
      </c>
      <c r="E290" s="8" t="s">
        <v>1488</v>
      </c>
    </row>
    <row r="291" spans="1:5" x14ac:dyDescent="0.25">
      <c r="A291" s="35">
        <v>9</v>
      </c>
      <c r="B291" s="7" t="s">
        <v>248</v>
      </c>
      <c r="C291" s="40">
        <v>55</v>
      </c>
      <c r="D291" s="22" t="s">
        <v>248</v>
      </c>
      <c r="E291" s="8" t="s">
        <v>1483</v>
      </c>
    </row>
    <row r="292" spans="1:5" x14ac:dyDescent="0.25">
      <c r="A292" s="35">
        <v>10</v>
      </c>
      <c r="B292" s="7" t="s">
        <v>189</v>
      </c>
      <c r="C292" s="40">
        <v>24</v>
      </c>
      <c r="D292" s="22" t="s">
        <v>189</v>
      </c>
      <c r="E292" s="8" t="s">
        <v>1483</v>
      </c>
    </row>
    <row r="293" spans="1:5" x14ac:dyDescent="0.25">
      <c r="A293" s="35">
        <v>11</v>
      </c>
      <c r="B293" s="7" t="s">
        <v>1489</v>
      </c>
      <c r="C293" s="40">
        <v>24</v>
      </c>
      <c r="D293" s="22" t="s">
        <v>189</v>
      </c>
      <c r="E293" s="8" t="s">
        <v>1490</v>
      </c>
    </row>
    <row r="294" spans="1:5" x14ac:dyDescent="0.25">
      <c r="A294" s="35">
        <v>12</v>
      </c>
      <c r="B294" s="7" t="s">
        <v>1491</v>
      </c>
      <c r="C294" s="40">
        <v>12</v>
      </c>
      <c r="D294" s="22" t="s">
        <v>239</v>
      </c>
      <c r="E294" s="8" t="s">
        <v>1492</v>
      </c>
    </row>
    <row r="295" spans="1:5" x14ac:dyDescent="0.25">
      <c r="A295" s="35">
        <v>13</v>
      </c>
      <c r="B295" s="7" t="s">
        <v>1201</v>
      </c>
      <c r="C295" s="40">
        <v>12</v>
      </c>
      <c r="D295" s="22" t="s">
        <v>177</v>
      </c>
      <c r="E295" s="8" t="s">
        <v>1488</v>
      </c>
    </row>
    <row r="296" spans="1:5" x14ac:dyDescent="0.25">
      <c r="A296" s="35">
        <v>14</v>
      </c>
      <c r="B296" s="7" t="s">
        <v>1493</v>
      </c>
      <c r="C296" s="40">
        <v>9</v>
      </c>
      <c r="D296" s="20" t="s">
        <v>1494</v>
      </c>
      <c r="E296" s="8" t="s">
        <v>1495</v>
      </c>
    </row>
    <row r="297" spans="1:5" x14ac:dyDescent="0.25">
      <c r="A297" s="35">
        <v>15</v>
      </c>
      <c r="B297" s="7" t="s">
        <v>1228</v>
      </c>
      <c r="C297" s="40">
        <v>9</v>
      </c>
      <c r="D297" s="22" t="s">
        <v>248</v>
      </c>
      <c r="E297" s="8" t="s">
        <v>1487</v>
      </c>
    </row>
    <row r="298" spans="1:5" x14ac:dyDescent="0.25">
      <c r="A298" s="35">
        <v>16</v>
      </c>
      <c r="B298" s="7" t="s">
        <v>1496</v>
      </c>
      <c r="C298" s="40">
        <v>8</v>
      </c>
      <c r="D298" s="22" t="s">
        <v>1484</v>
      </c>
      <c r="E298" s="8" t="s">
        <v>1497</v>
      </c>
    </row>
    <row r="299" spans="1:5" x14ac:dyDescent="0.25">
      <c r="A299" s="35">
        <v>17</v>
      </c>
      <c r="B299" s="7" t="s">
        <v>1498</v>
      </c>
      <c r="C299" s="40">
        <v>7</v>
      </c>
      <c r="D299" s="22" t="s">
        <v>239</v>
      </c>
      <c r="E299" s="8" t="s">
        <v>1492</v>
      </c>
    </row>
    <row r="300" spans="1:5" x14ac:dyDescent="0.25">
      <c r="A300" s="35">
        <v>18</v>
      </c>
      <c r="B300" s="7" t="s">
        <v>1499</v>
      </c>
      <c r="C300" s="40">
        <v>6</v>
      </c>
      <c r="D300" s="20" t="s">
        <v>1494</v>
      </c>
      <c r="E300" s="8" t="s">
        <v>1495</v>
      </c>
    </row>
    <row r="301" spans="1:5" x14ac:dyDescent="0.25">
      <c r="A301" s="35">
        <v>19</v>
      </c>
      <c r="B301" s="7" t="s">
        <v>1500</v>
      </c>
      <c r="C301" s="40">
        <v>3</v>
      </c>
      <c r="D301" s="22" t="s">
        <v>239</v>
      </c>
      <c r="E301" s="8" t="s">
        <v>1492</v>
      </c>
    </row>
    <row r="302" spans="1:5" x14ac:dyDescent="0.25">
      <c r="A302" s="35">
        <v>20</v>
      </c>
      <c r="B302" s="7" t="s">
        <v>1501</v>
      </c>
      <c r="C302" s="40">
        <v>3</v>
      </c>
      <c r="D302" s="22" t="s">
        <v>189</v>
      </c>
      <c r="E302" s="8" t="s">
        <v>1490</v>
      </c>
    </row>
    <row r="303" spans="1:5" x14ac:dyDescent="0.25">
      <c r="A303" s="35">
        <v>21</v>
      </c>
      <c r="B303" s="7" t="s">
        <v>1502</v>
      </c>
      <c r="C303" s="40">
        <v>3</v>
      </c>
      <c r="D303" s="22" t="s">
        <v>239</v>
      </c>
      <c r="E303" s="8" t="s">
        <v>1492</v>
      </c>
    </row>
    <row r="304" spans="1:5" x14ac:dyDescent="0.25">
      <c r="A304" s="35">
        <v>22</v>
      </c>
      <c r="B304" s="7" t="s">
        <v>1225</v>
      </c>
      <c r="C304" s="40">
        <v>2</v>
      </c>
      <c r="D304" s="22" t="s">
        <v>190</v>
      </c>
      <c r="E304" s="8" t="s">
        <v>1503</v>
      </c>
    </row>
    <row r="305" spans="1:5" x14ac:dyDescent="0.25">
      <c r="A305" s="35">
        <v>23</v>
      </c>
      <c r="B305" s="7" t="s">
        <v>1504</v>
      </c>
      <c r="C305" s="40">
        <v>2</v>
      </c>
      <c r="D305" s="20" t="s">
        <v>1494</v>
      </c>
      <c r="E305" s="8" t="s">
        <v>1495</v>
      </c>
    </row>
    <row r="306" spans="1:5" x14ac:dyDescent="0.25">
      <c r="A306" s="35">
        <v>24</v>
      </c>
      <c r="B306" s="7" t="s">
        <v>1505</v>
      </c>
      <c r="C306" s="40">
        <v>2</v>
      </c>
      <c r="D306" s="22" t="s">
        <v>190</v>
      </c>
      <c r="E306" s="8" t="s">
        <v>1503</v>
      </c>
    </row>
    <row r="307" spans="1:5" x14ac:dyDescent="0.25">
      <c r="A307" s="35">
        <v>25</v>
      </c>
      <c r="B307" s="7" t="s">
        <v>199</v>
      </c>
      <c r="C307" s="40">
        <v>1</v>
      </c>
      <c r="D307" s="20" t="s">
        <v>1494</v>
      </c>
      <c r="E307" s="8" t="s">
        <v>1495</v>
      </c>
    </row>
    <row r="308" spans="1:5" x14ac:dyDescent="0.25">
      <c r="A308" s="35">
        <v>26</v>
      </c>
      <c r="B308" s="7" t="s">
        <v>1506</v>
      </c>
      <c r="C308" s="40">
        <v>1</v>
      </c>
      <c r="D308" s="20" t="s">
        <v>1494</v>
      </c>
      <c r="E308" s="8" t="s">
        <v>1495</v>
      </c>
    </row>
    <row r="309" spans="1:5" x14ac:dyDescent="0.25">
      <c r="A309" s="35">
        <v>27</v>
      </c>
      <c r="B309" s="7" t="s">
        <v>1507</v>
      </c>
      <c r="C309" s="40">
        <v>1</v>
      </c>
      <c r="D309" s="22" t="s">
        <v>189</v>
      </c>
      <c r="E309" s="8" t="s">
        <v>1490</v>
      </c>
    </row>
    <row r="310" spans="1:5" x14ac:dyDescent="0.25">
      <c r="A310" s="35">
        <v>28</v>
      </c>
      <c r="B310" s="7" t="s">
        <v>1508</v>
      </c>
      <c r="C310" s="40">
        <v>1</v>
      </c>
      <c r="D310" s="20" t="s">
        <v>1494</v>
      </c>
      <c r="E310" s="8" t="s">
        <v>1495</v>
      </c>
    </row>
    <row r="312" spans="1:5" x14ac:dyDescent="0.25">
      <c r="A312" s="19" t="s">
        <v>1509</v>
      </c>
      <c r="B312" s="7" t="s">
        <v>1510</v>
      </c>
      <c r="C312" s="7" t="s">
        <v>1511</v>
      </c>
      <c r="D312" s="7"/>
      <c r="E312" s="7"/>
    </row>
    <row r="314" ht="18" customHeight="1" spans="1:30" x14ac:dyDescent="0.25">
      <c r="A314" s="3" t="s">
        <v>1512</v>
      </c>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ht="26" customHeight="1" spans="1:5" x14ac:dyDescent="0.25">
      <c r="A315" s="6" t="s">
        <v>1293</v>
      </c>
      <c r="B315" s="6" t="s">
        <v>1294</v>
      </c>
      <c r="C315" s="6" t="s">
        <v>379</v>
      </c>
      <c r="D315" s="6" t="s">
        <v>1058</v>
      </c>
      <c r="E315" s="6" t="s">
        <v>1295</v>
      </c>
    </row>
    <row r="316" spans="1:5" x14ac:dyDescent="0.25">
      <c r="A316" s="19" t="s">
        <v>1513</v>
      </c>
      <c r="B316" s="22" t="s">
        <v>1514</v>
      </c>
      <c r="C316" s="20" t="s">
        <v>1515</v>
      </c>
      <c r="D316" s="42">
        <v>60</v>
      </c>
      <c r="E316" s="8" t="s">
        <v>1516</v>
      </c>
    </row>
    <row r="317" spans="1:5" x14ac:dyDescent="0.25">
      <c r="A317" s="22" t="s">
        <v>57</v>
      </c>
      <c r="B317" s="22" t="s">
        <v>1517</v>
      </c>
      <c r="C317" s="20" t="s">
        <v>1518</v>
      </c>
      <c r="D317" s="42">
        <v>25</v>
      </c>
      <c r="E317" s="8" t="s">
        <v>1519</v>
      </c>
    </row>
    <row r="318" spans="1:5" x14ac:dyDescent="0.25">
      <c r="A318" s="22" t="s">
        <v>57</v>
      </c>
      <c r="B318" s="22" t="s">
        <v>1520</v>
      </c>
      <c r="C318" s="20" t="s">
        <v>1521</v>
      </c>
      <c r="D318" s="42">
        <v>45</v>
      </c>
      <c r="E318" s="8" t="s">
        <v>1522</v>
      </c>
    </row>
    <row r="319" spans="1:5" x14ac:dyDescent="0.25">
      <c r="A319" s="19" t="s">
        <v>1523</v>
      </c>
      <c r="B319" s="22" t="s">
        <v>1524</v>
      </c>
      <c r="C319" s="20" t="s">
        <v>1525</v>
      </c>
      <c r="D319" s="42">
        <v>12</v>
      </c>
      <c r="E319" s="8" t="s">
        <v>1526</v>
      </c>
    </row>
    <row r="320" spans="1:5" x14ac:dyDescent="0.25">
      <c r="A320" s="22" t="s">
        <v>57</v>
      </c>
      <c r="B320" s="22" t="s">
        <v>1527</v>
      </c>
      <c r="C320" s="20" t="s">
        <v>1528</v>
      </c>
      <c r="D320" s="42">
        <v>21</v>
      </c>
      <c r="E320" s="8" t="s">
        <v>1529</v>
      </c>
    </row>
    <row r="321" spans="1:5" x14ac:dyDescent="0.25">
      <c r="A321" s="22" t="s">
        <v>57</v>
      </c>
      <c r="B321" s="22" t="s">
        <v>1530</v>
      </c>
      <c r="C321" s="20" t="s">
        <v>1531</v>
      </c>
      <c r="D321" s="42">
        <v>1.5</v>
      </c>
      <c r="E321" s="8" t="s">
        <v>1532</v>
      </c>
    </row>
    <row r="322" spans="1:5" x14ac:dyDescent="0.25">
      <c r="A322" s="19" t="s">
        <v>1533</v>
      </c>
      <c r="B322" s="22" t="s">
        <v>1534</v>
      </c>
      <c r="C322" s="20" t="s">
        <v>1535</v>
      </c>
      <c r="D322" s="42">
        <v>40</v>
      </c>
      <c r="E322" s="8" t="s">
        <v>1536</v>
      </c>
    </row>
    <row r="323" spans="1:5" x14ac:dyDescent="0.25">
      <c r="A323" s="22" t="s">
        <v>57</v>
      </c>
      <c r="B323" s="22" t="s">
        <v>1537</v>
      </c>
      <c r="C323" s="20" t="s">
        <v>1538</v>
      </c>
      <c r="D323" s="42">
        <v>30</v>
      </c>
      <c r="E323" s="8" t="s">
        <v>1539</v>
      </c>
    </row>
    <row r="324" spans="1:5" x14ac:dyDescent="0.25">
      <c r="A324" s="22" t="s">
        <v>57</v>
      </c>
      <c r="B324" s="22" t="s">
        <v>1540</v>
      </c>
      <c r="C324" s="20" t="s">
        <v>1541</v>
      </c>
      <c r="D324" s="42">
        <v>15</v>
      </c>
      <c r="E324" s="8" t="s">
        <v>1542</v>
      </c>
    </row>
    <row r="325" spans="1:5" x14ac:dyDescent="0.25">
      <c r="A325" s="22" t="s">
        <v>57</v>
      </c>
      <c r="B325" s="22" t="s">
        <v>1543</v>
      </c>
      <c r="C325" s="20" t="s">
        <v>1544</v>
      </c>
      <c r="D325" s="42">
        <v>15</v>
      </c>
      <c r="E325" s="8" t="s">
        <v>1545</v>
      </c>
    </row>
    <row r="326" spans="1:5" x14ac:dyDescent="0.25">
      <c r="A326" s="22" t="s">
        <v>57</v>
      </c>
      <c r="B326" s="22" t="s">
        <v>1546</v>
      </c>
      <c r="C326" s="20" t="s">
        <v>1547</v>
      </c>
      <c r="D326" s="42">
        <v>100</v>
      </c>
      <c r="E326" s="8" t="s">
        <v>1548</v>
      </c>
    </row>
    <row r="327" spans="1:5" x14ac:dyDescent="0.25">
      <c r="A327" s="22" t="s">
        <v>57</v>
      </c>
      <c r="B327" s="22" t="s">
        <v>1549</v>
      </c>
      <c r="C327" s="20" t="s">
        <v>1550</v>
      </c>
      <c r="D327" s="42">
        <v>50</v>
      </c>
      <c r="E327" s="8" t="s">
        <v>1551</v>
      </c>
    </row>
    <row r="328" spans="1:5" x14ac:dyDescent="0.25">
      <c r="A328" s="22" t="s">
        <v>57</v>
      </c>
      <c r="B328" s="22" t="s">
        <v>1552</v>
      </c>
      <c r="C328" s="20" t="s">
        <v>1553</v>
      </c>
      <c r="D328" s="42">
        <v>40</v>
      </c>
      <c r="E328" s="8" t="s">
        <v>1554</v>
      </c>
    </row>
    <row r="329" spans="1:5" x14ac:dyDescent="0.25">
      <c r="A329" s="19" t="s">
        <v>1555</v>
      </c>
      <c r="B329" s="22" t="s">
        <v>1556</v>
      </c>
      <c r="C329" s="20" t="s">
        <v>1557</v>
      </c>
      <c r="D329" s="42">
        <v>80</v>
      </c>
      <c r="E329" s="8" t="s">
        <v>1558</v>
      </c>
    </row>
    <row r="330" spans="1:5" x14ac:dyDescent="0.25">
      <c r="A330" s="22" t="s">
        <v>57</v>
      </c>
      <c r="B330" s="22" t="s">
        <v>1559</v>
      </c>
      <c r="C330" s="20" t="s">
        <v>1560</v>
      </c>
      <c r="D330" s="42">
        <v>65</v>
      </c>
      <c r="E330" s="8" t="s">
        <v>57</v>
      </c>
    </row>
    <row r="331" spans="1:5" x14ac:dyDescent="0.25">
      <c r="A331" s="22" t="s">
        <v>57</v>
      </c>
      <c r="B331" s="22" t="s">
        <v>1561</v>
      </c>
      <c r="C331" s="20" t="s">
        <v>1562</v>
      </c>
      <c r="D331" s="42">
        <v>50</v>
      </c>
      <c r="E331" s="8" t="s">
        <v>1563</v>
      </c>
    </row>
    <row r="332" spans="1:5" x14ac:dyDescent="0.25">
      <c r="A332" s="19" t="s">
        <v>1309</v>
      </c>
      <c r="B332" s="22" t="s">
        <v>629</v>
      </c>
      <c r="C332" s="20" t="s">
        <v>1564</v>
      </c>
      <c r="D332" s="42">
        <v>60</v>
      </c>
      <c r="E332" s="8" t="s">
        <v>1565</v>
      </c>
    </row>
    <row r="333" spans="1:5" x14ac:dyDescent="0.25">
      <c r="A333" s="22" t="s">
        <v>57</v>
      </c>
      <c r="B333" s="22" t="s">
        <v>630</v>
      </c>
      <c r="C333" s="20" t="s">
        <v>1566</v>
      </c>
      <c r="D333" s="42">
        <v>25</v>
      </c>
      <c r="E333" s="8" t="s">
        <v>1567</v>
      </c>
    </row>
    <row r="334" spans="1:5" x14ac:dyDescent="0.25">
      <c r="A334" s="22" t="s">
        <v>57</v>
      </c>
      <c r="B334" s="22" t="s">
        <v>631</v>
      </c>
      <c r="C334" s="20" t="s">
        <v>1568</v>
      </c>
      <c r="D334" s="42">
        <v>15</v>
      </c>
      <c r="E334" s="8" t="s">
        <v>1569</v>
      </c>
    </row>
    <row r="335" spans="1:5" x14ac:dyDescent="0.25">
      <c r="A335" s="19" t="s">
        <v>1338</v>
      </c>
      <c r="B335" s="22" t="s">
        <v>640</v>
      </c>
      <c r="C335" s="20" t="s">
        <v>1570</v>
      </c>
      <c r="D335" s="42">
        <v>60</v>
      </c>
      <c r="E335" s="8" t="s">
        <v>1571</v>
      </c>
    </row>
    <row r="336" spans="1:5" x14ac:dyDescent="0.25">
      <c r="A336" s="22" t="s">
        <v>57</v>
      </c>
      <c r="B336" s="22" t="s">
        <v>642</v>
      </c>
      <c r="C336" s="20" t="s">
        <v>1572</v>
      </c>
      <c r="D336" s="42">
        <v>40</v>
      </c>
      <c r="E336" s="8" t="s">
        <v>1573</v>
      </c>
    </row>
    <row r="338" ht="18" customHeight="1" spans="1:30" x14ac:dyDescent="0.25">
      <c r="A338" s="3" t="s">
        <v>1574</v>
      </c>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ht="20" customHeight="1" spans="1:3" x14ac:dyDescent="0.25">
      <c r="A339" s="6" t="s">
        <v>100</v>
      </c>
      <c r="B339" s="6" t="s">
        <v>1575</v>
      </c>
      <c r="C339" s="6" t="s">
        <v>1576</v>
      </c>
    </row>
    <row r="340" spans="1:3" x14ac:dyDescent="0.25">
      <c r="A340" s="7" t="s">
        <v>1072</v>
      </c>
      <c r="B340" s="45">
        <v>8</v>
      </c>
      <c r="C340" s="8" t="s">
        <v>1577</v>
      </c>
    </row>
    <row r="341" spans="1:3" x14ac:dyDescent="0.25">
      <c r="A341" s="7" t="s">
        <v>1091</v>
      </c>
      <c r="B341" s="45">
        <v>6</v>
      </c>
      <c r="C341" s="8" t="s">
        <v>1578</v>
      </c>
    </row>
    <row r="342" spans="1:3" x14ac:dyDescent="0.25">
      <c r="A342" s="7" t="s">
        <v>1112</v>
      </c>
      <c r="B342" s="45">
        <v>4.5</v>
      </c>
      <c r="C342" s="8" t="s">
        <v>57</v>
      </c>
    </row>
    <row r="343" spans="1:3" x14ac:dyDescent="0.25">
      <c r="A343" s="7" t="s">
        <v>1132</v>
      </c>
      <c r="B343" s="45">
        <v>3</v>
      </c>
      <c r="C343" s="8" t="s">
        <v>57</v>
      </c>
    </row>
    <row r="344" spans="1:3" x14ac:dyDescent="0.25">
      <c r="A344" s="7" t="s">
        <v>1152</v>
      </c>
      <c r="B344" s="45">
        <v>2</v>
      </c>
      <c r="C344" s="8" t="s">
        <v>1579</v>
      </c>
    </row>
    <row r="347" ht="18" customHeight="1" spans="1:30" x14ac:dyDescent="0.25">
      <c r="A347" s="3" t="s">
        <v>1580</v>
      </c>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ht="30" customHeight="1" spans="1:10" x14ac:dyDescent="0.25">
      <c r="A348" s="43" t="s">
        <v>1461</v>
      </c>
      <c r="B348" s="6" t="s">
        <v>217</v>
      </c>
      <c r="C348" s="6" t="s">
        <v>239</v>
      </c>
      <c r="D348" s="6" t="s">
        <v>258</v>
      </c>
      <c r="E348" s="6" t="s">
        <v>189</v>
      </c>
      <c r="F348" s="6" t="s">
        <v>248</v>
      </c>
      <c r="G348" s="6" t="s">
        <v>1485</v>
      </c>
      <c r="H348" s="6" t="s">
        <v>177</v>
      </c>
      <c r="I348" s="6" t="s">
        <v>1484</v>
      </c>
      <c r="J348" s="6" t="s">
        <v>190</v>
      </c>
    </row>
    <row r="349" spans="1:10" x14ac:dyDescent="0.25">
      <c r="A349" s="19" t="s">
        <v>217</v>
      </c>
      <c r="B349" s="44">
        <v>100</v>
      </c>
      <c r="C349" s="44">
        <v>50</v>
      </c>
      <c r="D349" s="44">
        <v>80</v>
      </c>
      <c r="E349" s="44">
        <v>40</v>
      </c>
      <c r="F349" s="44">
        <v>30</v>
      </c>
      <c r="G349" s="44">
        <v>60</v>
      </c>
      <c r="H349" s="44">
        <v>70</v>
      </c>
      <c r="I349" s="44">
        <v>50</v>
      </c>
      <c r="J349" s="44">
        <v>20</v>
      </c>
    </row>
    <row r="350" spans="1:10" x14ac:dyDescent="0.25">
      <c r="A350" s="19" t="s">
        <v>239</v>
      </c>
      <c r="B350" s="44">
        <v>40</v>
      </c>
      <c r="C350" s="44">
        <v>100</v>
      </c>
      <c r="D350" s="44">
        <v>50</v>
      </c>
      <c r="E350" s="44">
        <v>30</v>
      </c>
      <c r="F350" s="44">
        <v>40</v>
      </c>
      <c r="G350" s="44">
        <v>70</v>
      </c>
      <c r="H350" s="44">
        <v>60</v>
      </c>
      <c r="I350" s="44">
        <v>40</v>
      </c>
      <c r="J350" s="44">
        <v>30</v>
      </c>
    </row>
    <row r="351" spans="1:10" x14ac:dyDescent="0.25">
      <c r="A351" s="19" t="s">
        <v>258</v>
      </c>
      <c r="B351" s="44">
        <v>80</v>
      </c>
      <c r="C351" s="44">
        <v>50</v>
      </c>
      <c r="D351" s="44">
        <v>100</v>
      </c>
      <c r="E351" s="44">
        <v>40</v>
      </c>
      <c r="F351" s="44">
        <v>20</v>
      </c>
      <c r="G351" s="44">
        <v>60</v>
      </c>
      <c r="H351" s="44">
        <v>70</v>
      </c>
      <c r="I351" s="44">
        <v>40</v>
      </c>
      <c r="J351" s="44">
        <v>20</v>
      </c>
    </row>
    <row r="352" spans="1:10" x14ac:dyDescent="0.25">
      <c r="A352" s="19" t="s">
        <v>189</v>
      </c>
      <c r="B352" s="44">
        <v>40</v>
      </c>
      <c r="C352" s="44">
        <v>30</v>
      </c>
      <c r="D352" s="44">
        <v>40</v>
      </c>
      <c r="E352" s="44">
        <v>100</v>
      </c>
      <c r="F352" s="44">
        <v>60</v>
      </c>
      <c r="G352" s="44">
        <v>40</v>
      </c>
      <c r="H352" s="44">
        <v>60</v>
      </c>
      <c r="I352" s="44">
        <v>40</v>
      </c>
      <c r="J352" s="44">
        <v>20</v>
      </c>
    </row>
    <row r="353" spans="1:10" x14ac:dyDescent="0.25">
      <c r="A353" s="19" t="s">
        <v>248</v>
      </c>
      <c r="B353" s="44">
        <v>30</v>
      </c>
      <c r="C353" s="44">
        <v>50</v>
      </c>
      <c r="D353" s="44">
        <v>20</v>
      </c>
      <c r="E353" s="44">
        <v>50</v>
      </c>
      <c r="F353" s="44">
        <v>100</v>
      </c>
      <c r="G353" s="44">
        <v>40</v>
      </c>
      <c r="H353" s="44">
        <v>70</v>
      </c>
      <c r="I353" s="44">
        <v>60</v>
      </c>
      <c r="J353" s="44">
        <v>20</v>
      </c>
    </row>
    <row r="354" spans="1:10" x14ac:dyDescent="0.25">
      <c r="A354" s="19" t="s">
        <v>1485</v>
      </c>
      <c r="B354" s="44">
        <v>60</v>
      </c>
      <c r="C354" s="44">
        <v>70</v>
      </c>
      <c r="D354" s="44">
        <v>60</v>
      </c>
      <c r="E354" s="44">
        <v>40</v>
      </c>
      <c r="F354" s="44">
        <v>40</v>
      </c>
      <c r="G354" s="44">
        <v>100</v>
      </c>
      <c r="H354" s="44">
        <v>60</v>
      </c>
      <c r="I354" s="44">
        <v>20</v>
      </c>
      <c r="J354" s="44">
        <v>50</v>
      </c>
    </row>
    <row r="355" spans="1:10" x14ac:dyDescent="0.25">
      <c r="A355" s="19" t="s">
        <v>177</v>
      </c>
      <c r="B355" s="44">
        <v>70</v>
      </c>
      <c r="C355" s="44">
        <v>60</v>
      </c>
      <c r="D355" s="44">
        <v>70</v>
      </c>
      <c r="E355" s="44">
        <v>60</v>
      </c>
      <c r="F355" s="44">
        <v>70</v>
      </c>
      <c r="G355" s="44">
        <v>60</v>
      </c>
      <c r="H355" s="44">
        <v>100</v>
      </c>
      <c r="I355" s="44">
        <v>60</v>
      </c>
      <c r="J355" s="44">
        <v>40</v>
      </c>
    </row>
    <row r="356" spans="1:10" x14ac:dyDescent="0.25">
      <c r="A356" s="19" t="s">
        <v>1484</v>
      </c>
      <c r="B356" s="44">
        <v>50</v>
      </c>
      <c r="C356" s="44">
        <v>40</v>
      </c>
      <c r="D356" s="44">
        <v>40</v>
      </c>
      <c r="E356" s="44">
        <v>40</v>
      </c>
      <c r="F356" s="44">
        <v>60</v>
      </c>
      <c r="G356" s="44">
        <v>20</v>
      </c>
      <c r="H356" s="44">
        <v>60</v>
      </c>
      <c r="I356" s="44">
        <v>100</v>
      </c>
      <c r="J356" s="44">
        <v>20</v>
      </c>
    </row>
    <row r="357" spans="1:10" x14ac:dyDescent="0.25">
      <c r="A357" s="19" t="s">
        <v>190</v>
      </c>
      <c r="B357" s="44">
        <v>20</v>
      </c>
      <c r="C357" s="44">
        <v>30</v>
      </c>
      <c r="D357" s="44">
        <v>20</v>
      </c>
      <c r="E357" s="44">
        <v>20</v>
      </c>
      <c r="F357" s="44">
        <v>20</v>
      </c>
      <c r="G357" s="44">
        <v>50</v>
      </c>
      <c r="H357" s="44">
        <v>40</v>
      </c>
      <c r="I357" s="44">
        <v>20</v>
      </c>
      <c r="J357" s="44">
        <v>100</v>
      </c>
    </row>
    <row r="359" ht="18" customHeight="1" spans="1:30" x14ac:dyDescent="0.25">
      <c r="A359" s="3" t="s">
        <v>1581</v>
      </c>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ht="20" customHeight="1" spans="1:4" x14ac:dyDescent="0.25">
      <c r="A360" s="6" t="s">
        <v>714</v>
      </c>
      <c r="B360" s="6" t="s">
        <v>1582</v>
      </c>
      <c r="C360" s="6" t="s">
        <v>1583</v>
      </c>
      <c r="D360" s="6" t="s">
        <v>1584</v>
      </c>
    </row>
    <row r="361" spans="1:4" x14ac:dyDescent="0.25">
      <c r="A361" s="35">
        <v>1</v>
      </c>
      <c r="B361" s="7" t="s">
        <v>1585</v>
      </c>
      <c r="C361" s="20" t="s">
        <v>1586</v>
      </c>
      <c r="D361" s="8" t="s">
        <v>1587</v>
      </c>
    </row>
    <row r="362" spans="1:4" x14ac:dyDescent="0.25">
      <c r="A362" s="35">
        <v>2</v>
      </c>
      <c r="B362" s="7" t="s">
        <v>1588</v>
      </c>
      <c r="C362" s="20" t="s">
        <v>1586</v>
      </c>
      <c r="D362" s="8" t="s">
        <v>1587</v>
      </c>
    </row>
    <row r="363" spans="1:4" x14ac:dyDescent="0.25">
      <c r="A363" s="35">
        <v>3</v>
      </c>
      <c r="B363" s="7" t="s">
        <v>587</v>
      </c>
      <c r="C363" s="20" t="s">
        <v>1586</v>
      </c>
      <c r="D363" s="8" t="s">
        <v>1589</v>
      </c>
    </row>
    <row r="364" spans="1:4" x14ac:dyDescent="0.25">
      <c r="A364" s="35">
        <v>4</v>
      </c>
      <c r="B364" s="7" t="s">
        <v>1590</v>
      </c>
      <c r="C364" s="20" t="s">
        <v>1586</v>
      </c>
      <c r="D364" s="8" t="s">
        <v>381</v>
      </c>
    </row>
    <row r="365" spans="1:4" x14ac:dyDescent="0.25">
      <c r="A365" s="35">
        <v>5</v>
      </c>
      <c r="B365" s="7" t="s">
        <v>1591</v>
      </c>
      <c r="C365" s="20" t="s">
        <v>1586</v>
      </c>
      <c r="D365" s="8" t="s">
        <v>381</v>
      </c>
    </row>
    <row r="366" spans="1:4" x14ac:dyDescent="0.25">
      <c r="A366" s="35">
        <v>6</v>
      </c>
      <c r="B366" s="7" t="s">
        <v>1592</v>
      </c>
      <c r="C366" s="20" t="s">
        <v>1586</v>
      </c>
      <c r="D366" s="8" t="s">
        <v>1593</v>
      </c>
    </row>
    <row r="367" spans="1:4" x14ac:dyDescent="0.25">
      <c r="A367" s="35">
        <v>7</v>
      </c>
      <c r="B367" s="7" t="s">
        <v>544</v>
      </c>
      <c r="C367" s="20" t="s">
        <v>1586</v>
      </c>
      <c r="D367" s="8" t="s">
        <v>1589</v>
      </c>
    </row>
    <row r="368" spans="1:4" x14ac:dyDescent="0.25">
      <c r="A368" s="35">
        <v>8</v>
      </c>
      <c r="B368" s="7" t="s">
        <v>543</v>
      </c>
      <c r="C368" s="20" t="s">
        <v>1586</v>
      </c>
      <c r="D368" s="8" t="s">
        <v>384</v>
      </c>
    </row>
    <row r="369" spans="1:4" x14ac:dyDescent="0.25">
      <c r="A369" s="35">
        <v>9</v>
      </c>
      <c r="B369" s="7" t="s">
        <v>588</v>
      </c>
      <c r="C369" s="20" t="s">
        <v>1586</v>
      </c>
      <c r="D369" s="8" t="s">
        <v>1594</v>
      </c>
    </row>
    <row r="370" spans="1:4" x14ac:dyDescent="0.25">
      <c r="A370" s="35">
        <v>10</v>
      </c>
      <c r="B370" s="7" t="s">
        <v>1595</v>
      </c>
      <c r="C370" s="20" t="s">
        <v>1586</v>
      </c>
      <c r="D370" s="8" t="s">
        <v>381</v>
      </c>
    </row>
    <row r="371" spans="1:4" x14ac:dyDescent="0.25">
      <c r="A371" s="35">
        <v>11</v>
      </c>
      <c r="B371" s="7" t="s">
        <v>1596</v>
      </c>
      <c r="C371" s="20" t="s">
        <v>1586</v>
      </c>
      <c r="D371" s="8" t="s">
        <v>385</v>
      </c>
    </row>
    <row r="372" spans="1:4" x14ac:dyDescent="0.25">
      <c r="A372" s="35">
        <v>12</v>
      </c>
      <c r="B372" s="7" t="s">
        <v>1597</v>
      </c>
      <c r="C372" s="20" t="s">
        <v>1586</v>
      </c>
      <c r="D372" s="8" t="s">
        <v>383</v>
      </c>
    </row>
    <row r="373" spans="1:4" x14ac:dyDescent="0.25">
      <c r="A373" s="35">
        <v>13</v>
      </c>
      <c r="B373" s="7" t="s">
        <v>1598</v>
      </c>
      <c r="C373" s="20" t="s">
        <v>1586</v>
      </c>
      <c r="D373" s="8" t="s">
        <v>1587</v>
      </c>
    </row>
    <row r="374" spans="1:4" x14ac:dyDescent="0.25">
      <c r="A374" s="35">
        <v>14</v>
      </c>
      <c r="B374" s="7" t="s">
        <v>1599</v>
      </c>
      <c r="C374" s="20" t="s">
        <v>1586</v>
      </c>
      <c r="D374" s="8" t="s">
        <v>385</v>
      </c>
    </row>
    <row r="375" spans="1:4" x14ac:dyDescent="0.25">
      <c r="A375" s="35">
        <v>15</v>
      </c>
      <c r="B375" s="7" t="s">
        <v>1600</v>
      </c>
      <c r="C375" s="20" t="s">
        <v>1586</v>
      </c>
      <c r="D375" s="8" t="s">
        <v>1587</v>
      </c>
    </row>
    <row r="376" spans="1:4" x14ac:dyDescent="0.25">
      <c r="A376" s="35">
        <v>16</v>
      </c>
      <c r="B376" s="7" t="s">
        <v>1601</v>
      </c>
      <c r="C376" s="20" t="s">
        <v>1586</v>
      </c>
      <c r="D376" s="8" t="s">
        <v>384</v>
      </c>
    </row>
    <row r="377" spans="1:4" x14ac:dyDescent="0.25">
      <c r="A377" s="35">
        <v>17</v>
      </c>
      <c r="B377" s="7" t="s">
        <v>1602</v>
      </c>
      <c r="C377" s="20" t="s">
        <v>1586</v>
      </c>
      <c r="D377" s="8" t="s">
        <v>381</v>
      </c>
    </row>
    <row r="378" spans="1:4" x14ac:dyDescent="0.25">
      <c r="A378" s="35">
        <v>18</v>
      </c>
      <c r="B378" s="7" t="s">
        <v>613</v>
      </c>
      <c r="C378" s="20" t="s">
        <v>1586</v>
      </c>
      <c r="D378" s="8" t="s">
        <v>1603</v>
      </c>
    </row>
    <row r="380" spans="1:5" x14ac:dyDescent="0.25">
      <c r="A380" s="7" t="s">
        <v>1604</v>
      </c>
      <c r="B380" s="8" t="s">
        <v>1605</v>
      </c>
      <c r="C380" s="8"/>
      <c r="D380" s="8"/>
      <c r="E380" s="8"/>
    </row>
  </sheetData>
  <mergeCells count="20">
    <mergeCell ref="A1:AD1"/>
    <mergeCell ref="A2:AD2"/>
    <mergeCell ref="A4:AD4"/>
    <mergeCell ref="A49:AD49"/>
    <mergeCell ref="A94:AD94"/>
    <mergeCell ref="A102:AD102"/>
    <mergeCell ref="A168:AD168"/>
    <mergeCell ref="A183:AD183"/>
    <mergeCell ref="A200:AD200"/>
    <mergeCell ref="A213:AD213"/>
    <mergeCell ref="A224:AD224"/>
    <mergeCell ref="A235:AD235"/>
    <mergeCell ref="A248:AD248"/>
    <mergeCell ref="A281:AD281"/>
    <mergeCell ref="C312:E312"/>
    <mergeCell ref="A314:AD314"/>
    <mergeCell ref="A338:AD338"/>
    <mergeCell ref="A347:AD347"/>
    <mergeCell ref="A359:AD359"/>
    <mergeCell ref="B380:E38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30" customWidth="1"/>
    <col min="3" max="3" width="24" customWidth="1"/>
    <col min="4" max="4" width="46" customWidth="1"/>
    <col min="5" max="9" width="32" customWidth="1"/>
  </cols>
  <sheetData>
    <row r="1" ht="24" customHeight="1" spans="1:9" x14ac:dyDescent="0.25">
      <c r="A1" s="1" t="s">
        <v>375</v>
      </c>
      <c r="B1" s="1"/>
      <c r="C1" s="1"/>
      <c r="D1" s="1"/>
      <c r="E1" s="1"/>
      <c r="F1" s="1"/>
      <c r="G1" s="1"/>
      <c r="H1" s="1"/>
      <c r="I1" s="1"/>
    </row>
    <row r="2" ht="30" customHeight="1" spans="1:9" x14ac:dyDescent="0.25">
      <c r="A2" s="2" t="s">
        <v>376</v>
      </c>
      <c r="B2" s="2"/>
      <c r="C2" s="2"/>
      <c r="D2" s="2"/>
      <c r="E2" s="2"/>
      <c r="F2" s="2"/>
      <c r="G2" s="2"/>
      <c r="H2" s="2"/>
      <c r="I2" s="2"/>
    </row>
    <row r="4" ht="30" customHeight="1" spans="1:9" x14ac:dyDescent="0.25">
      <c r="A4" s="6" t="s">
        <v>377</v>
      </c>
      <c r="B4" s="6" t="s">
        <v>378</v>
      </c>
      <c r="C4" s="6" t="s">
        <v>379</v>
      </c>
      <c r="D4" s="6" t="s">
        <v>380</v>
      </c>
      <c r="E4" s="6" t="s">
        <v>381</v>
      </c>
      <c r="F4" s="6" t="s">
        <v>382</v>
      </c>
      <c r="G4" s="6" t="s">
        <v>383</v>
      </c>
      <c r="H4" s="6" t="s">
        <v>384</v>
      </c>
      <c r="I4" s="6" t="s">
        <v>385</v>
      </c>
    </row>
    <row r="5" spans="1:9" x14ac:dyDescent="0.25">
      <c r="A5" s="19" t="s">
        <v>386</v>
      </c>
      <c r="B5" s="7" t="s">
        <v>387</v>
      </c>
      <c r="C5" s="20" t="s">
        <v>388</v>
      </c>
      <c r="D5" s="8" t="s">
        <v>389</v>
      </c>
      <c r="E5" s="21" t="s">
        <v>390</v>
      </c>
      <c r="F5" s="21" t="s">
        <v>391</v>
      </c>
      <c r="G5" s="21" t="s">
        <v>392</v>
      </c>
      <c r="H5" s="21" t="s">
        <v>393</v>
      </c>
      <c r="I5" s="21" t="s">
        <v>394</v>
      </c>
    </row>
    <row r="6" spans="1:9" x14ac:dyDescent="0.25">
      <c r="A6" s="22" t="s">
        <v>57</v>
      </c>
      <c r="B6" s="7" t="s">
        <v>395</v>
      </c>
      <c r="C6" s="20" t="s">
        <v>396</v>
      </c>
      <c r="D6" s="8" t="s">
        <v>397</v>
      </c>
      <c r="E6" s="21" t="s">
        <v>381</v>
      </c>
      <c r="F6" s="21" t="s">
        <v>382</v>
      </c>
      <c r="G6" s="21" t="s">
        <v>383</v>
      </c>
      <c r="H6" s="21" t="s">
        <v>384</v>
      </c>
      <c r="I6" s="21" t="s">
        <v>385</v>
      </c>
    </row>
    <row r="7" spans="1:9" x14ac:dyDescent="0.25">
      <c r="A7" s="22" t="s">
        <v>57</v>
      </c>
      <c r="B7" s="7" t="s">
        <v>398</v>
      </c>
      <c r="C7" s="20" t="s">
        <v>399</v>
      </c>
      <c r="D7" s="8" t="s">
        <v>400</v>
      </c>
      <c r="E7" s="23" t="s">
        <v>190</v>
      </c>
      <c r="F7" s="23" t="s">
        <v>217</v>
      </c>
      <c r="G7" s="23" t="s">
        <v>248</v>
      </c>
      <c r="H7" s="23" t="s">
        <v>189</v>
      </c>
      <c r="I7" s="23" t="s">
        <v>258</v>
      </c>
    </row>
    <row r="8" spans="1:9" x14ac:dyDescent="0.25">
      <c r="A8" s="22" t="s">
        <v>57</v>
      </c>
      <c r="B8" s="7" t="s">
        <v>401</v>
      </c>
      <c r="C8" s="20" t="s">
        <v>402</v>
      </c>
      <c r="D8" s="8" t="s">
        <v>403</v>
      </c>
      <c r="E8" s="21" t="s">
        <v>404</v>
      </c>
      <c r="F8" s="21" t="s">
        <v>405</v>
      </c>
      <c r="G8" s="21" t="s">
        <v>406</v>
      </c>
      <c r="H8" s="21" t="s">
        <v>407</v>
      </c>
      <c r="I8" s="21" t="s">
        <v>408</v>
      </c>
    </row>
    <row r="9" spans="1:9" x14ac:dyDescent="0.25">
      <c r="A9" s="22" t="s">
        <v>57</v>
      </c>
      <c r="B9" s="7" t="s">
        <v>409</v>
      </c>
      <c r="C9" s="20" t="s">
        <v>410</v>
      </c>
      <c r="D9" s="8" t="s">
        <v>411</v>
      </c>
      <c r="E9" s="21" t="s">
        <v>412</v>
      </c>
      <c r="F9" s="21" t="s">
        <v>413</v>
      </c>
      <c r="G9" s="21" t="s">
        <v>414</v>
      </c>
      <c r="H9" s="21" t="s">
        <v>415</v>
      </c>
      <c r="I9" s="21" t="s">
        <v>416</v>
      </c>
    </row>
    <row r="10" spans="1:9" x14ac:dyDescent="0.25">
      <c r="A10" s="22" t="s">
        <v>57</v>
      </c>
      <c r="B10" s="7" t="s">
        <v>417</v>
      </c>
      <c r="C10" s="20" t="s">
        <v>418</v>
      </c>
      <c r="D10" s="8" t="s">
        <v>419</v>
      </c>
      <c r="E10" s="21" t="s">
        <v>420</v>
      </c>
      <c r="F10" s="21" t="s">
        <v>421</v>
      </c>
      <c r="G10" s="21" t="s">
        <v>422</v>
      </c>
      <c r="H10" s="21" t="s">
        <v>423</v>
      </c>
      <c r="I10" s="21" t="s">
        <v>424</v>
      </c>
    </row>
    <row r="11" spans="1:9" x14ac:dyDescent="0.25">
      <c r="A11" s="19" t="s">
        <v>425</v>
      </c>
      <c r="B11" s="7" t="s">
        <v>426</v>
      </c>
      <c r="C11" s="20" t="s">
        <v>427</v>
      </c>
      <c r="D11" s="24" t="s">
        <v>428</v>
      </c>
      <c r="E11" s="25" t="s">
        <v>429</v>
      </c>
      <c r="F11" s="25" t="s">
        <v>430</v>
      </c>
      <c r="G11" s="25" t="s">
        <v>430</v>
      </c>
      <c r="H11" s="25" t="s">
        <v>430</v>
      </c>
      <c r="I11" s="25" t="s">
        <v>430</v>
      </c>
    </row>
    <row r="12" spans="1:9" x14ac:dyDescent="0.25">
      <c r="A12" s="22" t="s">
        <v>57</v>
      </c>
      <c r="B12" s="7" t="s">
        <v>431</v>
      </c>
      <c r="C12" s="20" t="s">
        <v>432</v>
      </c>
      <c r="D12" s="24" t="s">
        <v>433</v>
      </c>
      <c r="E12" s="25" t="s">
        <v>430</v>
      </c>
      <c r="F12" s="25" t="s">
        <v>429</v>
      </c>
      <c r="G12" s="25" t="s">
        <v>429</v>
      </c>
      <c r="H12" s="25" t="s">
        <v>429</v>
      </c>
      <c r="I12" s="25" t="s">
        <v>429</v>
      </c>
    </row>
    <row r="13" spans="1:9" x14ac:dyDescent="0.25">
      <c r="A13" s="22" t="s">
        <v>57</v>
      </c>
      <c r="B13" s="7" t="s">
        <v>434</v>
      </c>
      <c r="C13" s="20" t="s">
        <v>435</v>
      </c>
      <c r="D13" s="8" t="s">
        <v>436</v>
      </c>
      <c r="E13" s="25" t="s">
        <v>437</v>
      </c>
      <c r="F13" s="25" t="s">
        <v>438</v>
      </c>
      <c r="G13" s="25" t="s">
        <v>437</v>
      </c>
      <c r="H13" s="25" t="s">
        <v>437</v>
      </c>
      <c r="I13" s="25" t="s">
        <v>438</v>
      </c>
    </row>
    <row r="14" spans="1:9" x14ac:dyDescent="0.25">
      <c r="A14" s="22" t="s">
        <v>57</v>
      </c>
      <c r="B14" s="7" t="s">
        <v>439</v>
      </c>
      <c r="C14" s="20" t="s">
        <v>440</v>
      </c>
      <c r="D14" s="8" t="s">
        <v>441</v>
      </c>
      <c r="E14" s="25" t="s">
        <v>212</v>
      </c>
      <c r="F14" s="25" t="s">
        <v>212</v>
      </c>
      <c r="G14" s="25" t="s">
        <v>212</v>
      </c>
      <c r="H14" s="25" t="s">
        <v>212</v>
      </c>
      <c r="I14" s="25" t="s">
        <v>212</v>
      </c>
    </row>
    <row r="15" spans="1:9" x14ac:dyDescent="0.25">
      <c r="A15" s="22" t="s">
        <v>57</v>
      </c>
      <c r="B15" s="7" t="s">
        <v>442</v>
      </c>
      <c r="C15" s="20" t="s">
        <v>443</v>
      </c>
      <c r="D15" s="8" t="s">
        <v>444</v>
      </c>
      <c r="E15" s="25" t="s">
        <v>225</v>
      </c>
      <c r="F15" s="25" t="s">
        <v>225</v>
      </c>
      <c r="G15" s="25" t="s">
        <v>225</v>
      </c>
      <c r="H15" s="25" t="s">
        <v>225</v>
      </c>
      <c r="I15" s="25" t="s">
        <v>225</v>
      </c>
    </row>
    <row r="16" spans="1:9" x14ac:dyDescent="0.25">
      <c r="A16" s="22" t="s">
        <v>57</v>
      </c>
      <c r="B16" s="7" t="s">
        <v>445</v>
      </c>
      <c r="C16" s="20" t="s">
        <v>446</v>
      </c>
      <c r="D16" s="8" t="s">
        <v>447</v>
      </c>
      <c r="E16" s="26" t="s">
        <v>448</v>
      </c>
      <c r="F16" s="26" t="s">
        <v>449</v>
      </c>
      <c r="G16" s="26" t="s">
        <v>450</v>
      </c>
      <c r="H16" s="26" t="s">
        <v>451</v>
      </c>
      <c r="I16" s="26" t="s">
        <v>452</v>
      </c>
    </row>
    <row r="17" spans="1:9" x14ac:dyDescent="0.25">
      <c r="A17" s="22" t="s">
        <v>57</v>
      </c>
      <c r="B17" s="20" t="s">
        <v>453</v>
      </c>
      <c r="C17" s="20" t="s">
        <v>454</v>
      </c>
      <c r="D17" s="20" t="s">
        <v>455</v>
      </c>
      <c r="E17" s="27">
        <v>0</v>
      </c>
      <c r="F17" s="27">
        <v>0</v>
      </c>
      <c r="G17" s="27">
        <v>0</v>
      </c>
      <c r="H17" s="27">
        <v>0</v>
      </c>
      <c r="I17" s="27">
        <v>0</v>
      </c>
    </row>
    <row r="18" spans="1:9" x14ac:dyDescent="0.25">
      <c r="A18" s="22" t="s">
        <v>57</v>
      </c>
      <c r="B18" s="20" t="s">
        <v>456</v>
      </c>
      <c r="C18" s="20" t="s">
        <v>457</v>
      </c>
      <c r="D18" s="20" t="s">
        <v>458</v>
      </c>
      <c r="E18" s="27">
        <v>0</v>
      </c>
      <c r="F18" s="27">
        <v>0</v>
      </c>
      <c r="G18" s="27">
        <v>0</v>
      </c>
      <c r="H18" s="27">
        <v>0</v>
      </c>
      <c r="I18" s="27">
        <v>0</v>
      </c>
    </row>
    <row r="19" spans="1:9" x14ac:dyDescent="0.25">
      <c r="A19" s="22" t="s">
        <v>57</v>
      </c>
      <c r="B19" s="20" t="s">
        <v>459</v>
      </c>
      <c r="C19" s="20" t="s">
        <v>460</v>
      </c>
      <c r="D19" s="20" t="s">
        <v>461</v>
      </c>
      <c r="E19" s="27">
        <v>0</v>
      </c>
      <c r="F19" s="27">
        <v>1</v>
      </c>
      <c r="G19" s="27">
        <v>0</v>
      </c>
      <c r="H19" s="27">
        <v>0</v>
      </c>
      <c r="I19" s="27">
        <v>1</v>
      </c>
    </row>
    <row r="20" spans="1:9" x14ac:dyDescent="0.25">
      <c r="A20" s="22" t="s">
        <v>57</v>
      </c>
      <c r="B20" s="20" t="s">
        <v>462</v>
      </c>
      <c r="C20" s="20" t="s">
        <v>463</v>
      </c>
      <c r="D20" s="20" t="s">
        <v>464</v>
      </c>
      <c r="E20" s="27">
        <v>1</v>
      </c>
      <c r="F20" s="27">
        <v>0</v>
      </c>
      <c r="G20" s="27">
        <v>0</v>
      </c>
      <c r="H20" s="27">
        <v>0</v>
      </c>
      <c r="I20" s="27">
        <v>0</v>
      </c>
    </row>
    <row r="21" spans="1:9" x14ac:dyDescent="0.25">
      <c r="A21" s="22" t="s">
        <v>57</v>
      </c>
      <c r="B21" s="20" t="s">
        <v>465</v>
      </c>
      <c r="C21" s="20" t="s">
        <v>466</v>
      </c>
      <c r="D21" s="20" t="s">
        <v>467</v>
      </c>
      <c r="E21" s="27">
        <v>1</v>
      </c>
      <c r="F21" s="27">
        <v>0</v>
      </c>
      <c r="G21" s="27">
        <v>0</v>
      </c>
      <c r="H21" s="27">
        <v>0</v>
      </c>
      <c r="I21" s="27">
        <v>0</v>
      </c>
    </row>
    <row r="22" spans="1:9" x14ac:dyDescent="0.25">
      <c r="A22" s="22" t="s">
        <v>57</v>
      </c>
      <c r="B22" s="20" t="s">
        <v>468</v>
      </c>
      <c r="C22" s="20" t="s">
        <v>469</v>
      </c>
      <c r="D22" s="20" t="s">
        <v>470</v>
      </c>
      <c r="E22" s="27">
        <v>0</v>
      </c>
      <c r="F22" s="27">
        <v>1</v>
      </c>
      <c r="G22" s="27">
        <v>1</v>
      </c>
      <c r="H22" s="27">
        <v>0</v>
      </c>
      <c r="I22" s="27">
        <v>0</v>
      </c>
    </row>
    <row r="23" spans="1:9" x14ac:dyDescent="0.25">
      <c r="A23" s="22" t="s">
        <v>57</v>
      </c>
      <c r="B23" s="20" t="s">
        <v>471</v>
      </c>
      <c r="C23" s="20" t="s">
        <v>472</v>
      </c>
      <c r="D23" s="20" t="s">
        <v>473</v>
      </c>
      <c r="E23" s="27">
        <v>0</v>
      </c>
      <c r="F23" s="27">
        <v>1</v>
      </c>
      <c r="G23" s="27">
        <v>0</v>
      </c>
      <c r="H23" s="27">
        <v>0</v>
      </c>
      <c r="I23" s="27">
        <v>1</v>
      </c>
    </row>
    <row r="24" spans="1:9" x14ac:dyDescent="0.25">
      <c r="A24" s="22" t="s">
        <v>57</v>
      </c>
      <c r="B24" s="20" t="s">
        <v>474</v>
      </c>
      <c r="C24" s="20" t="s">
        <v>475</v>
      </c>
      <c r="D24" s="20" t="s">
        <v>476</v>
      </c>
      <c r="E24" s="27">
        <v>0</v>
      </c>
      <c r="F24" s="27">
        <v>0</v>
      </c>
      <c r="G24" s="27">
        <v>0</v>
      </c>
      <c r="H24" s="27">
        <v>1</v>
      </c>
      <c r="I24" s="27">
        <v>0</v>
      </c>
    </row>
    <row r="25" spans="1:9" x14ac:dyDescent="0.25">
      <c r="A25" s="22" t="s">
        <v>57</v>
      </c>
      <c r="B25" s="20" t="s">
        <v>477</v>
      </c>
      <c r="C25" s="20" t="s">
        <v>478</v>
      </c>
      <c r="D25" s="20" t="s">
        <v>479</v>
      </c>
      <c r="E25" s="27">
        <v>0</v>
      </c>
      <c r="F25" s="27">
        <v>0</v>
      </c>
      <c r="G25" s="27">
        <v>1</v>
      </c>
      <c r="H25" s="27">
        <v>1</v>
      </c>
      <c r="I25" s="27">
        <v>0</v>
      </c>
    </row>
    <row r="26" spans="1:9" x14ac:dyDescent="0.25">
      <c r="A26" s="22" t="s">
        <v>57</v>
      </c>
      <c r="B26" s="20" t="s">
        <v>480</v>
      </c>
      <c r="C26" s="20" t="s">
        <v>481</v>
      </c>
      <c r="D26" s="20" t="s">
        <v>482</v>
      </c>
      <c r="E26" s="27">
        <v>1</v>
      </c>
      <c r="F26" s="27">
        <v>0</v>
      </c>
      <c r="G26" s="27">
        <v>0</v>
      </c>
      <c r="H26" s="27">
        <v>0</v>
      </c>
      <c r="I26" s="27">
        <v>0</v>
      </c>
    </row>
    <row r="27" spans="1:9" x14ac:dyDescent="0.25">
      <c r="A27" s="22" t="s">
        <v>57</v>
      </c>
      <c r="B27" s="20" t="s">
        <v>483</v>
      </c>
      <c r="C27" s="20" t="s">
        <v>484</v>
      </c>
      <c r="D27" s="20" t="s">
        <v>485</v>
      </c>
      <c r="E27" s="27">
        <v>0</v>
      </c>
      <c r="F27" s="27">
        <v>0</v>
      </c>
      <c r="G27" s="27">
        <v>0</v>
      </c>
      <c r="H27" s="27">
        <v>0</v>
      </c>
      <c r="I27" s="27">
        <v>1</v>
      </c>
    </row>
    <row r="28" spans="1:9" x14ac:dyDescent="0.25">
      <c r="A28" s="22" t="s">
        <v>57</v>
      </c>
      <c r="B28" s="20" t="s">
        <v>486</v>
      </c>
      <c r="C28" s="20" t="s">
        <v>487</v>
      </c>
      <c r="D28" s="20" t="s">
        <v>488</v>
      </c>
      <c r="E28" s="27">
        <v>0</v>
      </c>
      <c r="F28" s="27">
        <v>0</v>
      </c>
      <c r="G28" s="27">
        <v>1</v>
      </c>
      <c r="H28" s="27">
        <v>0</v>
      </c>
      <c r="I28" s="27">
        <v>0</v>
      </c>
    </row>
    <row r="29" spans="1:9" x14ac:dyDescent="0.25">
      <c r="A29" s="22" t="s">
        <v>57</v>
      </c>
      <c r="B29" s="20" t="s">
        <v>489</v>
      </c>
      <c r="C29" s="20" t="s">
        <v>490</v>
      </c>
      <c r="D29" s="20" t="s">
        <v>491</v>
      </c>
      <c r="E29" s="27">
        <v>0</v>
      </c>
      <c r="F29" s="27">
        <v>0</v>
      </c>
      <c r="G29" s="27">
        <v>0</v>
      </c>
      <c r="H29" s="27">
        <v>0</v>
      </c>
      <c r="I29" s="27">
        <v>0</v>
      </c>
    </row>
    <row r="30" spans="1:9" x14ac:dyDescent="0.25">
      <c r="A30" s="22" t="s">
        <v>57</v>
      </c>
      <c r="B30" s="20" t="s">
        <v>492</v>
      </c>
      <c r="C30" s="20" t="s">
        <v>493</v>
      </c>
      <c r="D30" s="20" t="s">
        <v>494</v>
      </c>
      <c r="E30" s="27">
        <v>0</v>
      </c>
      <c r="F30" s="27">
        <v>0</v>
      </c>
      <c r="G30" s="27">
        <v>0</v>
      </c>
      <c r="H30" s="27">
        <v>0</v>
      </c>
      <c r="I30" s="27">
        <v>1</v>
      </c>
    </row>
    <row r="31" spans="1:9" x14ac:dyDescent="0.25">
      <c r="A31" s="22" t="s">
        <v>57</v>
      </c>
      <c r="B31" s="20" t="s">
        <v>495</v>
      </c>
      <c r="C31" s="20" t="s">
        <v>496</v>
      </c>
      <c r="D31" s="20" t="s">
        <v>497</v>
      </c>
      <c r="E31" s="27">
        <v>0</v>
      </c>
      <c r="F31" s="27">
        <v>0</v>
      </c>
      <c r="G31" s="27">
        <v>0</v>
      </c>
      <c r="H31" s="27">
        <v>0</v>
      </c>
      <c r="I31" s="27">
        <v>0</v>
      </c>
    </row>
    <row r="32" spans="1:9" x14ac:dyDescent="0.25">
      <c r="A32" s="22" t="s">
        <v>57</v>
      </c>
      <c r="B32" s="20" t="s">
        <v>498</v>
      </c>
      <c r="C32" s="20" t="s">
        <v>499</v>
      </c>
      <c r="D32" s="20" t="s">
        <v>500</v>
      </c>
      <c r="E32" s="27">
        <v>0</v>
      </c>
      <c r="F32" s="27">
        <v>0</v>
      </c>
      <c r="G32" s="27">
        <v>0</v>
      </c>
      <c r="H32" s="27">
        <v>1</v>
      </c>
      <c r="I32" s="27">
        <v>0</v>
      </c>
    </row>
    <row r="33" spans="1:9" x14ac:dyDescent="0.25">
      <c r="A33" s="22" t="s">
        <v>57</v>
      </c>
      <c r="B33" s="20" t="s">
        <v>501</v>
      </c>
      <c r="C33" s="20" t="s">
        <v>502</v>
      </c>
      <c r="D33" s="20" t="s">
        <v>503</v>
      </c>
      <c r="E33" s="27">
        <v>1</v>
      </c>
      <c r="F33" s="27">
        <v>0</v>
      </c>
      <c r="G33" s="27">
        <v>0</v>
      </c>
      <c r="H33" s="27">
        <v>0</v>
      </c>
      <c r="I33" s="27">
        <v>0</v>
      </c>
    </row>
    <row r="34" spans="1:9" x14ac:dyDescent="0.25">
      <c r="A34" s="22" t="s">
        <v>57</v>
      </c>
      <c r="B34" s="20" t="s">
        <v>504</v>
      </c>
      <c r="C34" s="20" t="s">
        <v>505</v>
      </c>
      <c r="D34" s="20" t="s">
        <v>506</v>
      </c>
      <c r="E34" s="27">
        <v>0</v>
      </c>
      <c r="F34" s="27">
        <v>0</v>
      </c>
      <c r="G34" s="27">
        <v>1</v>
      </c>
      <c r="H34" s="27">
        <v>0</v>
      </c>
      <c r="I34" s="27">
        <v>1</v>
      </c>
    </row>
    <row r="35" spans="1:9" x14ac:dyDescent="0.25">
      <c r="A35" s="19" t="s">
        <v>507</v>
      </c>
      <c r="B35" s="7" t="s">
        <v>508</v>
      </c>
      <c r="C35" s="20" t="s">
        <v>509</v>
      </c>
      <c r="D35" s="8" t="s">
        <v>510</v>
      </c>
      <c r="E35" s="21" t="s">
        <v>511</v>
      </c>
      <c r="F35" s="21" t="s">
        <v>512</v>
      </c>
      <c r="G35" s="21" t="s">
        <v>513</v>
      </c>
      <c r="H35" s="21" t="s">
        <v>514</v>
      </c>
      <c r="I35" s="21" t="s">
        <v>515</v>
      </c>
    </row>
    <row r="36" spans="1:9" x14ac:dyDescent="0.25">
      <c r="A36" s="19" t="s">
        <v>516</v>
      </c>
      <c r="B36" s="7" t="s">
        <v>517</v>
      </c>
      <c r="C36" s="20" t="s">
        <v>518</v>
      </c>
      <c r="D36" s="24" t="s">
        <v>519</v>
      </c>
      <c r="E36" s="21" t="s">
        <v>520</v>
      </c>
      <c r="F36" s="21" t="s">
        <v>521</v>
      </c>
      <c r="G36" s="21" t="s">
        <v>522</v>
      </c>
      <c r="H36" s="21" t="s">
        <v>523</v>
      </c>
      <c r="I36" s="21" t="s">
        <v>524</v>
      </c>
    </row>
    <row r="37" spans="1:9" x14ac:dyDescent="0.25">
      <c r="A37" s="22" t="s">
        <v>57</v>
      </c>
      <c r="B37" s="7" t="s">
        <v>525</v>
      </c>
      <c r="C37" s="20" t="s">
        <v>526</v>
      </c>
      <c r="D37" s="8" t="s">
        <v>527</v>
      </c>
      <c r="E37" s="21" t="s">
        <v>528</v>
      </c>
      <c r="F37" s="21" t="s">
        <v>529</v>
      </c>
      <c r="G37" s="21" t="s">
        <v>530</v>
      </c>
      <c r="H37" s="21" t="s">
        <v>531</v>
      </c>
      <c r="I37" s="21" t="s">
        <v>532</v>
      </c>
    </row>
    <row r="39" ht="18" customHeight="1" spans="1:9" x14ac:dyDescent="0.25">
      <c r="A39" s="3" t="s">
        <v>533</v>
      </c>
      <c r="B39" s="3"/>
      <c r="C39" s="3"/>
      <c r="D39" s="3"/>
      <c r="E39" s="3"/>
      <c r="F39" s="3"/>
      <c r="G39" s="3"/>
      <c r="H39" s="3"/>
      <c r="I39" s="3"/>
    </row>
    <row r="40" ht="20" customHeight="1" spans="1:9" x14ac:dyDescent="0.25">
      <c r="A40" s="6" t="s">
        <v>534</v>
      </c>
      <c r="B40" s="6" t="s">
        <v>535</v>
      </c>
      <c r="C40" s="6" t="s">
        <v>379</v>
      </c>
      <c r="D40" s="6" t="s">
        <v>536</v>
      </c>
      <c r="E40" s="6" t="s">
        <v>381</v>
      </c>
      <c r="F40" s="6" t="s">
        <v>382</v>
      </c>
      <c r="G40" s="6" t="s">
        <v>383</v>
      </c>
      <c r="H40" s="6" t="s">
        <v>384</v>
      </c>
      <c r="I40" s="6" t="s">
        <v>385</v>
      </c>
    </row>
    <row r="41" spans="1:9" x14ac:dyDescent="0.25">
      <c r="A41" s="19" t="s">
        <v>410</v>
      </c>
      <c r="B41" s="20" t="s">
        <v>537</v>
      </c>
      <c r="C41" s="20" t="s">
        <v>538</v>
      </c>
      <c r="D41" s="8" t="s">
        <v>539</v>
      </c>
      <c r="E41" s="22" t="s">
        <v>540</v>
      </c>
      <c r="F41" s="22" t="s">
        <v>541</v>
      </c>
      <c r="G41" s="22" t="s">
        <v>542</v>
      </c>
      <c r="H41" s="22" t="s">
        <v>543</v>
      </c>
      <c r="I41" s="22" t="s">
        <v>544</v>
      </c>
    </row>
    <row r="42" spans="1:9" x14ac:dyDescent="0.25">
      <c r="A42" s="22" t="s">
        <v>57</v>
      </c>
      <c r="B42" s="20" t="s">
        <v>545</v>
      </c>
      <c r="C42" s="20" t="s">
        <v>546</v>
      </c>
      <c r="D42" s="8" t="s">
        <v>57</v>
      </c>
      <c r="E42" s="22" t="s">
        <v>547</v>
      </c>
      <c r="F42" s="22" t="s">
        <v>548</v>
      </c>
      <c r="G42" s="22" t="s">
        <v>549</v>
      </c>
      <c r="H42" s="22" t="s">
        <v>550</v>
      </c>
      <c r="I42" s="22" t="s">
        <v>551</v>
      </c>
    </row>
    <row r="43" spans="1:9" x14ac:dyDescent="0.25">
      <c r="A43" s="22" t="s">
        <v>57</v>
      </c>
      <c r="B43" s="20" t="s">
        <v>552</v>
      </c>
      <c r="C43" s="20" t="s">
        <v>553</v>
      </c>
      <c r="D43" s="8" t="s">
        <v>57</v>
      </c>
      <c r="E43" s="22" t="s">
        <v>554</v>
      </c>
      <c r="F43" s="22" t="s">
        <v>555</v>
      </c>
      <c r="G43" s="22" t="s">
        <v>556</v>
      </c>
      <c r="H43" s="22" t="s">
        <v>557</v>
      </c>
      <c r="I43" s="22" t="s">
        <v>558</v>
      </c>
    </row>
    <row r="44" spans="1:9" x14ac:dyDescent="0.25">
      <c r="A44" s="22" t="s">
        <v>57</v>
      </c>
      <c r="B44" s="20" t="s">
        <v>559</v>
      </c>
      <c r="C44" s="20" t="s">
        <v>560</v>
      </c>
      <c r="D44" s="8" t="s">
        <v>57</v>
      </c>
      <c r="E44" s="22" t="s">
        <v>561</v>
      </c>
      <c r="F44" s="22" t="s">
        <v>562</v>
      </c>
      <c r="G44" s="22" t="s">
        <v>563</v>
      </c>
      <c r="H44" s="22" t="s">
        <v>564</v>
      </c>
      <c r="I44" s="22" t="s">
        <v>565</v>
      </c>
    </row>
    <row r="45" spans="1:9" x14ac:dyDescent="0.25">
      <c r="A45" s="22" t="s">
        <v>57</v>
      </c>
      <c r="B45" s="20" t="s">
        <v>566</v>
      </c>
      <c r="C45" s="20" t="s">
        <v>567</v>
      </c>
      <c r="D45" s="8" t="s">
        <v>57</v>
      </c>
      <c r="E45" s="22" t="s">
        <v>568</v>
      </c>
      <c r="F45" s="22" t="s">
        <v>569</v>
      </c>
      <c r="G45" s="22" t="s">
        <v>570</v>
      </c>
      <c r="H45" s="22" t="s">
        <v>571</v>
      </c>
      <c r="I45" s="22" t="s">
        <v>572</v>
      </c>
    </row>
    <row r="46" spans="1:9" x14ac:dyDescent="0.25">
      <c r="A46" s="22" t="s">
        <v>57</v>
      </c>
      <c r="B46" s="20" t="s">
        <v>573</v>
      </c>
      <c r="C46" s="20" t="s">
        <v>574</v>
      </c>
      <c r="D46" s="8" t="s">
        <v>57</v>
      </c>
      <c r="E46" s="22" t="s">
        <v>575</v>
      </c>
      <c r="F46" s="22" t="s">
        <v>576</v>
      </c>
      <c r="G46" s="22" t="s">
        <v>577</v>
      </c>
      <c r="H46" s="22" t="s">
        <v>578</v>
      </c>
      <c r="I46" s="22" t="s">
        <v>579</v>
      </c>
    </row>
    <row r="47" spans="1:9" x14ac:dyDescent="0.25">
      <c r="A47" s="22" t="s">
        <v>57</v>
      </c>
      <c r="B47" s="22" t="s">
        <v>580</v>
      </c>
      <c r="C47" s="20" t="s">
        <v>581</v>
      </c>
      <c r="D47" s="22" t="s">
        <v>57</v>
      </c>
      <c r="E47" s="28">
        <f>COUNTIF(E41:E46,"&lt;&gt;")</f>
      </c>
      <c r="F47" s="28">
        <f>COUNTIF(F41:F46,"&lt;&gt;")</f>
      </c>
      <c r="G47" s="28">
        <f>COUNTIF(G41:G46,"&lt;&gt;")</f>
      </c>
      <c r="H47" s="28">
        <f>COUNTIF(H41:H46,"&lt;&gt;")</f>
      </c>
      <c r="I47" s="28">
        <f>COUNTIF(I41:I46,"&lt;&gt;")</f>
      </c>
    </row>
    <row r="48" spans="1:9" x14ac:dyDescent="0.25">
      <c r="A48" s="19" t="s">
        <v>418</v>
      </c>
      <c r="B48" s="20" t="s">
        <v>537</v>
      </c>
      <c r="C48" s="20" t="s">
        <v>582</v>
      </c>
      <c r="D48" s="8" t="s">
        <v>583</v>
      </c>
      <c r="E48" s="22" t="s">
        <v>584</v>
      </c>
      <c r="F48" s="22" t="s">
        <v>541</v>
      </c>
      <c r="G48" s="22" t="s">
        <v>556</v>
      </c>
      <c r="H48" s="22" t="s">
        <v>543</v>
      </c>
      <c r="I48" s="22" t="s">
        <v>558</v>
      </c>
    </row>
    <row r="49" spans="1:9" x14ac:dyDescent="0.25">
      <c r="A49" s="22" t="s">
        <v>57</v>
      </c>
      <c r="B49" s="20" t="s">
        <v>545</v>
      </c>
      <c r="C49" s="20" t="s">
        <v>585</v>
      </c>
      <c r="D49" s="8" t="s">
        <v>57</v>
      </c>
      <c r="E49" s="22" t="s">
        <v>586</v>
      </c>
      <c r="F49" s="22" t="s">
        <v>587</v>
      </c>
      <c r="G49" s="22" t="s">
        <v>588</v>
      </c>
      <c r="H49" s="22" t="s">
        <v>589</v>
      </c>
      <c r="I49" s="22" t="s">
        <v>544</v>
      </c>
    </row>
    <row r="50" spans="1:9" x14ac:dyDescent="0.25">
      <c r="A50" s="22" t="s">
        <v>57</v>
      </c>
      <c r="B50" s="20" t="s">
        <v>552</v>
      </c>
      <c r="C50" s="20" t="s">
        <v>590</v>
      </c>
      <c r="D50" s="8" t="s">
        <v>57</v>
      </c>
      <c r="E50" s="22" t="s">
        <v>591</v>
      </c>
      <c r="F50" s="22" t="s">
        <v>562</v>
      </c>
      <c r="G50" s="22" t="s">
        <v>542</v>
      </c>
      <c r="H50" s="22" t="s">
        <v>557</v>
      </c>
      <c r="I50" s="22" t="s">
        <v>579</v>
      </c>
    </row>
    <row r="51" spans="1:9" x14ac:dyDescent="0.25">
      <c r="A51" s="22" t="s">
        <v>57</v>
      </c>
      <c r="B51" s="20" t="s">
        <v>559</v>
      </c>
      <c r="C51" s="20" t="s">
        <v>592</v>
      </c>
      <c r="D51" s="8" t="s">
        <v>57</v>
      </c>
      <c r="E51" s="22" t="s">
        <v>561</v>
      </c>
      <c r="F51" s="22" t="s">
        <v>593</v>
      </c>
      <c r="G51" s="22" t="s">
        <v>594</v>
      </c>
      <c r="H51" s="22" t="s">
        <v>550</v>
      </c>
      <c r="I51" s="22" t="s">
        <v>551</v>
      </c>
    </row>
    <row r="52" spans="1:9" x14ac:dyDescent="0.25">
      <c r="A52" s="22" t="s">
        <v>57</v>
      </c>
      <c r="B52" s="20" t="s">
        <v>566</v>
      </c>
      <c r="C52" s="20" t="s">
        <v>595</v>
      </c>
      <c r="D52" s="8" t="s">
        <v>57</v>
      </c>
      <c r="E52" s="22" t="s">
        <v>554</v>
      </c>
      <c r="F52" s="22" t="s">
        <v>596</v>
      </c>
      <c r="G52" s="22" t="s">
        <v>577</v>
      </c>
      <c r="H52" s="22" t="s">
        <v>597</v>
      </c>
      <c r="I52" s="22" t="s">
        <v>598</v>
      </c>
    </row>
    <row r="53" spans="1:9" x14ac:dyDescent="0.25">
      <c r="A53" s="22" t="s">
        <v>57</v>
      </c>
      <c r="B53" s="22" t="s">
        <v>580</v>
      </c>
      <c r="C53" s="20" t="s">
        <v>599</v>
      </c>
      <c r="D53" s="22" t="s">
        <v>57</v>
      </c>
      <c r="E53" s="28">
        <f>COUNTIF(E48:E52,"&lt;&gt;")</f>
      </c>
      <c r="F53" s="28">
        <f>COUNTIF(F48:F52,"&lt;&gt;")</f>
      </c>
      <c r="G53" s="28">
        <f>COUNTIF(G48:G52,"&lt;&gt;")</f>
      </c>
      <c r="H53" s="28">
        <f>COUNTIF(H48:H52,"&lt;&gt;")</f>
      </c>
      <c r="I53" s="28">
        <f>COUNTIF(I48:I52,"&lt;&gt;")</f>
      </c>
    </row>
    <row r="54" spans="1:9" x14ac:dyDescent="0.25">
      <c r="A54" s="19" t="s">
        <v>509</v>
      </c>
      <c r="B54" s="20" t="s">
        <v>537</v>
      </c>
      <c r="C54" s="20" t="s">
        <v>600</v>
      </c>
      <c r="D54" s="8" t="s">
        <v>601</v>
      </c>
      <c r="E54" s="22" t="s">
        <v>540</v>
      </c>
      <c r="F54" s="22" t="s">
        <v>541</v>
      </c>
      <c r="G54" s="22" t="s">
        <v>556</v>
      </c>
      <c r="H54" s="22" t="s">
        <v>550</v>
      </c>
      <c r="I54" s="22" t="s">
        <v>544</v>
      </c>
    </row>
    <row r="55" spans="1:9" x14ac:dyDescent="0.25">
      <c r="A55" s="22" t="s">
        <v>57</v>
      </c>
      <c r="B55" s="20" t="s">
        <v>545</v>
      </c>
      <c r="C55" s="20" t="s">
        <v>602</v>
      </c>
      <c r="D55" s="8" t="s">
        <v>57</v>
      </c>
      <c r="E55" s="22" t="s">
        <v>554</v>
      </c>
      <c r="F55" s="22" t="s">
        <v>555</v>
      </c>
      <c r="G55" s="22" t="s">
        <v>542</v>
      </c>
      <c r="H55" s="22" t="s">
        <v>543</v>
      </c>
      <c r="I55" s="22" t="s">
        <v>551</v>
      </c>
    </row>
    <row r="56" spans="1:9" x14ac:dyDescent="0.25">
      <c r="A56" s="22" t="s">
        <v>57</v>
      </c>
      <c r="B56" s="20" t="s">
        <v>552</v>
      </c>
      <c r="C56" s="20" t="s">
        <v>603</v>
      </c>
      <c r="D56" s="8" t="s">
        <v>57</v>
      </c>
      <c r="E56" s="22" t="s">
        <v>575</v>
      </c>
      <c r="F56" s="22" t="s">
        <v>593</v>
      </c>
      <c r="G56" s="22" t="s">
        <v>549</v>
      </c>
      <c r="H56" s="22" t="s">
        <v>564</v>
      </c>
      <c r="I56" s="22" t="s">
        <v>565</v>
      </c>
    </row>
    <row r="57" spans="1:9" x14ac:dyDescent="0.25">
      <c r="A57" s="22" t="s">
        <v>57</v>
      </c>
      <c r="B57" s="20" t="s">
        <v>559</v>
      </c>
      <c r="C57" s="20" t="s">
        <v>604</v>
      </c>
      <c r="D57" s="8" t="s">
        <v>57</v>
      </c>
      <c r="E57" s="22" t="s">
        <v>568</v>
      </c>
      <c r="F57" s="22" t="s">
        <v>562</v>
      </c>
      <c r="G57" s="22" t="s">
        <v>563</v>
      </c>
      <c r="H57" s="22" t="s">
        <v>557</v>
      </c>
      <c r="I57" s="22" t="s">
        <v>579</v>
      </c>
    </row>
    <row r="58" spans="1:9" x14ac:dyDescent="0.25">
      <c r="A58" s="22" t="s">
        <v>57</v>
      </c>
      <c r="B58" s="20" t="s">
        <v>566</v>
      </c>
      <c r="C58" s="20" t="s">
        <v>605</v>
      </c>
      <c r="D58" s="8" t="s">
        <v>57</v>
      </c>
      <c r="E58" s="22" t="s">
        <v>606</v>
      </c>
      <c r="F58" s="22" t="s">
        <v>607</v>
      </c>
      <c r="G58" s="22" t="s">
        <v>608</v>
      </c>
      <c r="H58" s="22" t="s">
        <v>578</v>
      </c>
      <c r="I58" s="22" t="s">
        <v>572</v>
      </c>
    </row>
    <row r="59" spans="1:9" x14ac:dyDescent="0.25">
      <c r="A59" s="22" t="s">
        <v>57</v>
      </c>
      <c r="B59" s="20" t="s">
        <v>573</v>
      </c>
      <c r="C59" s="20" t="s">
        <v>609</v>
      </c>
      <c r="D59" s="8" t="s">
        <v>57</v>
      </c>
      <c r="E59" s="22" t="s">
        <v>586</v>
      </c>
      <c r="F59" s="22" t="s">
        <v>610</v>
      </c>
      <c r="G59" s="22" t="s">
        <v>611</v>
      </c>
      <c r="H59" s="22" t="s">
        <v>612</v>
      </c>
      <c r="I59" s="22" t="s">
        <v>613</v>
      </c>
    </row>
    <row r="60" spans="1:9" x14ac:dyDescent="0.25">
      <c r="A60" s="22" t="s">
        <v>57</v>
      </c>
      <c r="B60" s="22" t="s">
        <v>580</v>
      </c>
      <c r="C60" s="20" t="s">
        <v>614</v>
      </c>
      <c r="D60" s="22" t="s">
        <v>57</v>
      </c>
      <c r="E60" s="28">
        <f>COUNTIF(E54:E59,"&lt;&gt;")</f>
      </c>
      <c r="F60" s="28">
        <f>COUNTIF(F54:F59,"&lt;&gt;")</f>
      </c>
      <c r="G60" s="28">
        <f>COUNTIF(G54:G59,"&lt;&gt;")</f>
      </c>
      <c r="H60" s="28">
        <f>COUNTIF(H54:H59,"&lt;&gt;")</f>
      </c>
      <c r="I60" s="28">
        <f>COUNTIF(I54:I59,"&lt;&gt;")</f>
      </c>
    </row>
  </sheetData>
  <mergeCells count="3">
    <mergeCell ref="A1:I1"/>
    <mergeCell ref="A2:I2"/>
    <mergeCell ref="A39:I3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9"/>
  <sheetViews>
    <sheetView workbookViewId="0">
      <pane xSplit="4" ySplit="5" topLeftCell="E6" activePane="bottomRight" state="frozen"/>
      <selection pane="bottomRight"/>
    </sheetView>
  </sheetViews>
  <sheetFormatPr defaultRowHeight="15" outlineLevelRow="0" outlineLevelCol="0" x14ac:dyDescent="55"/>
  <cols>
    <col min="2" max="4" width="20" customWidth="1"/>
    <col min="5" max="5" width="11" customWidth="1"/>
    <col min="6" max="6" width="16" customWidth="1"/>
    <col min="7" max="7" width="13" customWidth="1"/>
    <col min="8" max="8" width="11" customWidth="1"/>
    <col min="10" max="10" width="24" customWidth="1"/>
    <col min="11" max="11" width="14" customWidth="1"/>
    <col min="12" max="12" width="13" customWidth="1"/>
    <col min="13" max="13" width="16" customWidth="1"/>
    <col min="14" max="14" width="30" customWidth="1"/>
    <col min="15" max="15" width="40" customWidth="1"/>
    <col min="16" max="18" width="12" customWidth="1"/>
    <col min="19" max="19" width="40" customWidth="1"/>
    <col min="20" max="20" width="60" customWidth="1"/>
    <col min="21" max="21" width="46" customWidth="1"/>
    <col min="22" max="26" width="11" customWidth="1"/>
    <col min="27" max="28" width="10" customWidth="1"/>
    <col min="29" max="29" width="12" customWidth="1"/>
    <col min="30" max="30" width="14" customWidth="1"/>
    <col min="31" max="32" width="12" customWidth="1"/>
    <col min="33" max="33" width="14" customWidth="1"/>
    <col min="34" max="34" width="11" customWidth="1"/>
    <col min="35" max="35" width="14" customWidth="1"/>
    <col min="36" max="36" width="11" customWidth="1"/>
    <col min="37" max="37" width="14" customWidth="1"/>
    <col min="38" max="39" width="11" customWidth="1"/>
    <col min="40" max="40" width="12" customWidth="1"/>
    <col min="41" max="58" width="13" customWidth="1"/>
    <col min="59" max="59" width="12" customWidth="1"/>
    <col min="60" max="60" width="34" customWidth="1"/>
    <col min="61" max="63" width="13" customWidth="1"/>
    <col min="64" max="65" width="11" customWidth="1"/>
    <col min="66" max="67" width="12" customWidth="1"/>
    <col min="68" max="68" width="13" customWidth="1"/>
    <col min="69" max="69" width="11" customWidth="1"/>
    <col min="70" max="71" width="12" customWidth="1"/>
    <col min="72" max="72" width="11" customWidth="1"/>
    <col min="73" max="74" width="12" customWidth="1"/>
    <col min="75" max="76" width="13" customWidth="1"/>
    <col min="77" max="77" width="52" customWidth="1"/>
  </cols>
  <sheetData>
    <row r="1" ht="24" customHeight="1" spans="1:77" x14ac:dyDescent="0.25">
      <c r="A1" s="1" t="s">
        <v>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row>
    <row r="2" ht="30" customHeight="1" spans="1:77" x14ac:dyDescent="0.25">
      <c r="A2" s="2" t="s">
        <v>86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row>
    <row r="4" spans="1:77" x14ac:dyDescent="0.25">
      <c r="A4" s="9" t="s">
        <v>87</v>
      </c>
      <c r="B4" s="9"/>
      <c r="C4" s="9"/>
      <c r="D4" s="9"/>
      <c r="E4" s="9"/>
      <c r="F4" s="9"/>
      <c r="G4" s="9"/>
      <c r="H4" s="9"/>
      <c r="I4" s="9"/>
      <c r="J4" s="9" t="s">
        <v>88</v>
      </c>
      <c r="K4" s="9"/>
      <c r="L4" s="9"/>
      <c r="M4" s="9"/>
      <c r="N4" s="9"/>
      <c r="O4" s="9"/>
      <c r="P4" s="9"/>
      <c r="Q4" s="9"/>
      <c r="R4" s="9"/>
      <c r="S4" s="9"/>
      <c r="T4" s="9"/>
      <c r="U4" s="9"/>
      <c r="V4" s="9" t="s">
        <v>89</v>
      </c>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t="s">
        <v>90</v>
      </c>
      <c r="BH4" s="9"/>
      <c r="BI4" s="9"/>
      <c r="BJ4" s="9"/>
      <c r="BK4" s="9"/>
      <c r="BL4" s="9"/>
      <c r="BM4" s="9"/>
      <c r="BN4" s="9"/>
      <c r="BO4" s="9"/>
      <c r="BP4" s="9"/>
      <c r="BQ4" s="9"/>
      <c r="BR4" s="9"/>
      <c r="BS4" s="9" t="s">
        <v>91</v>
      </c>
      <c r="BT4" s="9"/>
      <c r="BU4" s="9"/>
      <c r="BV4" s="9"/>
      <c r="BW4" s="9" t="s">
        <v>92</v>
      </c>
      <c r="BX4" s="9"/>
      <c r="BY4" s="9"/>
    </row>
    <row r="5" ht="44" customHeight="1" spans="1:77" x14ac:dyDescent="0.25">
      <c r="A5" s="6" t="s">
        <v>93</v>
      </c>
      <c r="B5" s="6" t="s">
        <v>94</v>
      </c>
      <c r="C5" s="6" t="s">
        <v>95</v>
      </c>
      <c r="D5" s="6" t="s">
        <v>96</v>
      </c>
      <c r="E5" s="6" t="s">
        <v>97</v>
      </c>
      <c r="F5" s="6" t="s">
        <v>98</v>
      </c>
      <c r="G5" s="6" t="s">
        <v>99</v>
      </c>
      <c r="H5" s="6" t="s">
        <v>100</v>
      </c>
      <c r="I5" s="6" t="s">
        <v>101</v>
      </c>
      <c r="J5" s="6" t="s">
        <v>102</v>
      </c>
      <c r="K5" s="6" t="s">
        <v>103</v>
      </c>
      <c r="L5" s="6" t="s">
        <v>104</v>
      </c>
      <c r="M5" s="6" t="s">
        <v>105</v>
      </c>
      <c r="N5" s="6" t="s">
        <v>106</v>
      </c>
      <c r="O5" s="6" t="s">
        <v>107</v>
      </c>
      <c r="P5" s="6" t="s">
        <v>108</v>
      </c>
      <c r="Q5" s="6" t="s">
        <v>109</v>
      </c>
      <c r="R5" s="6" t="s">
        <v>110</v>
      </c>
      <c r="S5" s="6" t="s">
        <v>111</v>
      </c>
      <c r="T5" s="6" t="s">
        <v>112</v>
      </c>
      <c r="U5" s="6" t="s">
        <v>113</v>
      </c>
      <c r="V5" s="6" t="s">
        <v>114</v>
      </c>
      <c r="W5" s="6" t="s">
        <v>115</v>
      </c>
      <c r="X5" s="6" t="s">
        <v>116</v>
      </c>
      <c r="Y5" s="6" t="s">
        <v>117</v>
      </c>
      <c r="Z5" s="6" t="s">
        <v>118</v>
      </c>
      <c r="AA5" s="6" t="s">
        <v>119</v>
      </c>
      <c r="AB5" s="6" t="s">
        <v>120</v>
      </c>
      <c r="AC5" s="6" t="s">
        <v>121</v>
      </c>
      <c r="AD5" s="6" t="s">
        <v>122</v>
      </c>
      <c r="AE5" s="6" t="s">
        <v>123</v>
      </c>
      <c r="AF5" s="6" t="s">
        <v>124</v>
      </c>
      <c r="AG5" s="6" t="s">
        <v>125</v>
      </c>
      <c r="AH5" s="6" t="s">
        <v>126</v>
      </c>
      <c r="AI5" s="6" t="s">
        <v>127</v>
      </c>
      <c r="AJ5" s="6" t="s">
        <v>128</v>
      </c>
      <c r="AK5" s="6" t="s">
        <v>129</v>
      </c>
      <c r="AL5" s="6" t="s">
        <v>130</v>
      </c>
      <c r="AM5" s="6" t="s">
        <v>131</v>
      </c>
      <c r="AN5" s="6" t="s">
        <v>132</v>
      </c>
      <c r="AO5" s="6" t="s">
        <v>133</v>
      </c>
      <c r="AP5" s="6" t="s">
        <v>134</v>
      </c>
      <c r="AQ5" s="6" t="s">
        <v>135</v>
      </c>
      <c r="AR5" s="6" t="s">
        <v>136</v>
      </c>
      <c r="AS5" s="6" t="s">
        <v>137</v>
      </c>
      <c r="AT5" s="6" t="s">
        <v>138</v>
      </c>
      <c r="AU5" s="6" t="s">
        <v>139</v>
      </c>
      <c r="AV5" s="6" t="s">
        <v>140</v>
      </c>
      <c r="AW5" s="6" t="s">
        <v>141</v>
      </c>
      <c r="AX5" s="6" t="s">
        <v>142</v>
      </c>
      <c r="AY5" s="6" t="s">
        <v>143</v>
      </c>
      <c r="AZ5" s="6" t="s">
        <v>144</v>
      </c>
      <c r="BA5" s="6" t="s">
        <v>145</v>
      </c>
      <c r="BB5" s="6" t="s">
        <v>146</v>
      </c>
      <c r="BC5" s="6" t="s">
        <v>147</v>
      </c>
      <c r="BD5" s="6" t="s">
        <v>148</v>
      </c>
      <c r="BE5" s="6" t="s">
        <v>149</v>
      </c>
      <c r="BF5" s="6" t="s">
        <v>150</v>
      </c>
      <c r="BG5" s="6" t="s">
        <v>151</v>
      </c>
      <c r="BH5" s="6" t="s">
        <v>152</v>
      </c>
      <c r="BI5" s="6" t="s">
        <v>153</v>
      </c>
      <c r="BJ5" s="6" t="s">
        <v>154</v>
      </c>
      <c r="BK5" s="6" t="s">
        <v>155</v>
      </c>
      <c r="BL5" s="6" t="s">
        <v>156</v>
      </c>
      <c r="BM5" s="6" t="s">
        <v>157</v>
      </c>
      <c r="BN5" s="6" t="s">
        <v>158</v>
      </c>
      <c r="BO5" s="6" t="s">
        <v>159</v>
      </c>
      <c r="BP5" s="6" t="s">
        <v>160</v>
      </c>
      <c r="BQ5" s="6" t="s">
        <v>161</v>
      </c>
      <c r="BR5" s="6" t="s">
        <v>162</v>
      </c>
      <c r="BS5" s="6" t="s">
        <v>163</v>
      </c>
      <c r="BT5" s="6" t="s">
        <v>164</v>
      </c>
      <c r="BU5" s="6" t="s">
        <v>165</v>
      </c>
      <c r="BV5" s="6" t="s">
        <v>166</v>
      </c>
      <c r="BW5" s="6" t="s">
        <v>167</v>
      </c>
      <c r="BX5" s="6" t="s">
        <v>168</v>
      </c>
      <c r="BY5" s="6" t="s">
        <v>169</v>
      </c>
    </row>
    <row r="6" spans="1:77" x14ac:dyDescent="0.25">
      <c r="A6" s="10" t="s">
        <v>170</v>
      </c>
      <c r="B6" s="11" t="s">
        <v>171</v>
      </c>
      <c r="C6" s="11" t="s">
        <v>171</v>
      </c>
      <c r="D6" s="11" t="s">
        <v>172</v>
      </c>
      <c r="E6" s="11" t="s">
        <v>173</v>
      </c>
      <c r="F6" s="11" t="s">
        <v>174</v>
      </c>
      <c r="G6" s="12">
        <v>685896635</v>
      </c>
      <c r="H6" s="11">
        <f>IFERROR(INDEX(Lookup_Lists!$A$96:$A$100,MATCH(KOL_Source_Data!$G$6,Lookup_Lists!$B$96:$B$100,1)),"N/A")</f>
      </c>
      <c r="I6" s="11" t="s">
        <v>175</v>
      </c>
      <c r="J6" s="11" t="s">
        <v>176</v>
      </c>
      <c r="K6" s="11" t="s">
        <v>177</v>
      </c>
      <c r="L6" s="11" t="s">
        <v>178</v>
      </c>
      <c r="M6" s="13" t="s">
        <v>179</v>
      </c>
      <c r="N6" s="11" t="s">
        <v>180</v>
      </c>
      <c r="O6" s="11" t="s">
        <v>181</v>
      </c>
      <c r="P6" s="13" t="s">
        <v>179</v>
      </c>
      <c r="Q6" s="13" t="s">
        <v>179</v>
      </c>
      <c r="R6" s="13" t="s">
        <v>179</v>
      </c>
      <c r="S6" s="11" t="s">
        <v>182</v>
      </c>
      <c r="T6" s="11" t="s">
        <v>183</v>
      </c>
      <c r="U6" s="13" t="s">
        <v>179</v>
      </c>
      <c r="V6" s="13" t="s">
        <v>179</v>
      </c>
      <c r="W6" s="13" t="s">
        <v>179</v>
      </c>
      <c r="X6" s="13" t="s">
        <v>179</v>
      </c>
      <c r="Y6" s="13" t="s">
        <v>179</v>
      </c>
      <c r="Z6" s="13" t="s">
        <v>179</v>
      </c>
      <c r="AA6" s="13" t="s">
        <v>179</v>
      </c>
      <c r="AB6" s="13" t="s">
        <v>179</v>
      </c>
      <c r="AC6" s="13" t="s">
        <v>179</v>
      </c>
      <c r="AD6" s="13" t="s">
        <v>179</v>
      </c>
      <c r="AE6" s="13" t="s">
        <v>179</v>
      </c>
      <c r="AF6" s="13" t="s">
        <v>179</v>
      </c>
      <c r="AG6" s="13" t="s">
        <v>179</v>
      </c>
      <c r="AH6" s="13" t="s">
        <v>179</v>
      </c>
      <c r="AI6" s="13" t="s">
        <v>179</v>
      </c>
      <c r="AJ6" s="13" t="s">
        <v>179</v>
      </c>
      <c r="AK6" s="13" t="s">
        <v>179</v>
      </c>
      <c r="AL6" s="13" t="s">
        <v>179</v>
      </c>
      <c r="AM6" s="13" t="s">
        <v>179</v>
      </c>
      <c r="AN6" s="13" t="s">
        <v>179</v>
      </c>
      <c r="AO6" s="13" t="s">
        <v>179</v>
      </c>
      <c r="AP6" s="13" t="s">
        <v>179</v>
      </c>
      <c r="AQ6" s="13" t="s">
        <v>179</v>
      </c>
      <c r="AR6" s="13" t="s">
        <v>179</v>
      </c>
      <c r="AS6" s="13" t="s">
        <v>179</v>
      </c>
      <c r="AT6" s="13" t="s">
        <v>179</v>
      </c>
      <c r="AU6" s="13" t="s">
        <v>179</v>
      </c>
      <c r="AV6" s="13" t="s">
        <v>179</v>
      </c>
      <c r="AW6" s="13" t="s">
        <v>179</v>
      </c>
      <c r="AX6" s="13" t="s">
        <v>179</v>
      </c>
      <c r="AY6" s="13" t="s">
        <v>179</v>
      </c>
      <c r="AZ6" s="13" t="s">
        <v>179</v>
      </c>
      <c r="BA6" s="13" t="s">
        <v>179</v>
      </c>
      <c r="BB6" s="13" t="s">
        <v>179</v>
      </c>
      <c r="BC6" s="13" t="s">
        <v>179</v>
      </c>
      <c r="BD6" s="13" t="s">
        <v>179</v>
      </c>
      <c r="BE6" s="13" t="s">
        <v>179</v>
      </c>
      <c r="BF6" s="13" t="s">
        <v>179</v>
      </c>
      <c r="BG6" s="14">
        <v>0.07</v>
      </c>
      <c r="BH6" s="11" t="s">
        <v>184</v>
      </c>
      <c r="BI6" s="12">
        <v>136309208</v>
      </c>
      <c r="BJ6" s="12">
        <v>136309208</v>
      </c>
      <c r="BK6" s="15">
        <v>19.8731</v>
      </c>
      <c r="BL6" s="12">
        <v>1</v>
      </c>
      <c r="BM6" s="13" t="s">
        <v>179</v>
      </c>
      <c r="BN6" s="12">
        <v>0</v>
      </c>
      <c r="BO6" s="13" t="s">
        <v>179</v>
      </c>
      <c r="BP6" s="13" t="s">
        <v>179</v>
      </c>
      <c r="BQ6" s="16">
        <v>0</v>
      </c>
      <c r="BR6" s="13" t="s">
        <v>179</v>
      </c>
      <c r="BS6" s="13" t="s">
        <v>179</v>
      </c>
      <c r="BT6" s="13" t="s">
        <v>179</v>
      </c>
      <c r="BU6" s="13" t="s">
        <v>179</v>
      </c>
      <c r="BV6" s="13" t="s">
        <v>179</v>
      </c>
      <c r="BW6" s="11">
        <f>ROUND((IF(ISNUMBER(KOL_Source_Data!$K$6),1,IF(AND(ISTEXT(KOL_Source_Data!$K$6),KOL_Source_Data!$K$6&lt;&gt;"N/A"),1,0))+IF(ISNUMBER(KOL_Source_Data!$BG$6),1,IF(AND(ISTEXT(KOL_Source_Data!$BG$6),KOL_Source_Data!$BG$6&lt;&gt;"N/A"),1,0))+IF(ISNUMBER(KOL_Source_Data!$BI$6),1,IF(AND(ISTEXT(KOL_Source_Data!$BI$6),KOL_Source_Data!$BI$6&lt;&gt;"N/A"),1,0))+IF(ISNUMBER(KOL_Source_Data!$BK$6),1,IF(AND(ISTEXT(KOL_Source_Data!$BK$6),KOL_Source_Data!$BK$6&lt;&gt;"N/A"),1,0))+IF(ISNUMBER(KOL_Source_Data!$AA$6),1,IF(AND(ISTEXT(KOL_Source_Data!$AA$6),KOL_Source_Data!$AA$6&lt;&gt;"N/A"),1,0))+IF(ISNUMBER(KOL_Source_Data!$AE$6),1,IF(AND(ISTEXT(KOL_Source_Data!$AE$6),KOL_Source_Data!$AE$6&lt;&gt;"N/A"),1,0))+IF(ISNUMBER(KOL_Source_Data!$AH$6),1,IF(AND(ISTEXT(KOL_Source_Data!$AH$6),KOL_Source_Data!$AH$6&lt;&gt;"N/A"),1,0))+IF(ISNUMBER(KOL_Source_Data!$AN$6),1,IF(AND(ISTEXT(KOL_Source_Data!$AN$6),KOL_Source_Data!$AN$6&lt;&gt;"N/A"),1,0))+IF(ISNUMBER(KOL_Source_Data!$BS$6),1,IF(AND(ISTEXT(KOL_Source_Data!$BS$6),KOL_Source_Data!$BS$6&lt;&gt;"N/A"),1,0))+IF(ISNUMBER(KOL_Source_Data!$BT$6),1,IF(AND(ISTEXT(KOL_Source_Data!$BT$6),KOL_Source_Data!$BT$6&lt;&gt;"N/A"),1,0))+IF(ISNUMBER(KOL_Source_Data!$BU$6),1,IF(AND(ISTEXT(KOL_Source_Data!$BU$6),KOL_Source_Data!$BU$6&lt;&gt;"N/A"),1,0))+IF(ISNUMBER(KOL_Source_Data!$BM$6),1,IF(AND(ISTEXT(KOL_Source_Data!$BM$6),KOL_Source_Data!$BM$6&lt;&gt;"N/A"),1,0)))/12*100,0)</f>
      </c>
      <c r="BX6" s="11">
        <f>IF(KOL_Source_Data!$BW$6&gt;=Lookup_Lists!$D$159,"High",IF(KOL_Source_Data!$BW$6&gt;=Lookup_Lists!$D$160,"Medium","Limited Data"))</f>
      </c>
      <c r="BY6" s="11" t="s">
        <v>185</v>
      </c>
    </row>
    <row r="7" spans="1:77" x14ac:dyDescent="0.25">
      <c r="A7" s="10" t="s">
        <v>186</v>
      </c>
      <c r="B7" s="11" t="s">
        <v>187</v>
      </c>
      <c r="C7" s="11" t="s">
        <v>187</v>
      </c>
      <c r="D7" s="11" t="s">
        <v>188</v>
      </c>
      <c r="E7" s="11" t="s">
        <v>173</v>
      </c>
      <c r="F7" s="11" t="s">
        <v>174</v>
      </c>
      <c r="G7" s="12">
        <v>679264838</v>
      </c>
      <c r="H7" s="11">
        <f>IFERROR(INDEX(Lookup_Lists!$A$96:$A$100,MATCH(KOL_Source_Data!$G$7,Lookup_Lists!$B$96:$B$100,1)),"N/A")</f>
      </c>
      <c r="I7" s="11" t="s">
        <v>175</v>
      </c>
      <c r="J7" s="11" t="s">
        <v>189</v>
      </c>
      <c r="K7" s="11" t="s">
        <v>189</v>
      </c>
      <c r="L7" s="11" t="s">
        <v>178</v>
      </c>
      <c r="M7" s="11" t="s">
        <v>190</v>
      </c>
      <c r="N7" s="11" t="s">
        <v>191</v>
      </c>
      <c r="O7" s="11" t="s">
        <v>192</v>
      </c>
      <c r="P7" s="13" t="s">
        <v>179</v>
      </c>
      <c r="Q7" s="13" t="s">
        <v>179</v>
      </c>
      <c r="R7" s="13" t="s">
        <v>179</v>
      </c>
      <c r="S7" s="13" t="s">
        <v>179</v>
      </c>
      <c r="T7" s="11" t="s">
        <v>193</v>
      </c>
      <c r="U7" s="11" t="s">
        <v>194</v>
      </c>
      <c r="V7" s="13" t="s">
        <v>179</v>
      </c>
      <c r="W7" s="13" t="s">
        <v>179</v>
      </c>
      <c r="X7" s="13" t="s">
        <v>179</v>
      </c>
      <c r="Y7" s="13" t="s">
        <v>179</v>
      </c>
      <c r="Z7" s="13" t="s">
        <v>179</v>
      </c>
      <c r="AA7" s="16">
        <v>18.18</v>
      </c>
      <c r="AB7" s="16">
        <v>81.82</v>
      </c>
      <c r="AC7" s="16">
        <v>22</v>
      </c>
      <c r="AD7" s="13" t="s">
        <v>179</v>
      </c>
      <c r="AE7" s="13" t="s">
        <v>179</v>
      </c>
      <c r="AF7" s="16">
        <v>6</v>
      </c>
      <c r="AG7" s="13" t="s">
        <v>179</v>
      </c>
      <c r="AH7" s="13" t="s">
        <v>179</v>
      </c>
      <c r="AI7" s="13" t="s">
        <v>179</v>
      </c>
      <c r="AJ7" s="13" t="s">
        <v>179</v>
      </c>
      <c r="AK7" s="13" t="s">
        <v>179</v>
      </c>
      <c r="AL7" s="13" t="s">
        <v>179</v>
      </c>
      <c r="AM7" s="13" t="s">
        <v>179</v>
      </c>
      <c r="AN7" s="16">
        <v>16.7</v>
      </c>
      <c r="AO7" s="13" t="s">
        <v>179</v>
      </c>
      <c r="AP7" s="13" t="s">
        <v>179</v>
      </c>
      <c r="AQ7" s="13" t="s">
        <v>179</v>
      </c>
      <c r="AR7" s="16">
        <v>5.9</v>
      </c>
      <c r="AS7" s="16">
        <v>5.9</v>
      </c>
      <c r="AT7" s="16">
        <v>11.8</v>
      </c>
      <c r="AU7" s="13" t="s">
        <v>179</v>
      </c>
      <c r="AV7" s="13" t="s">
        <v>179</v>
      </c>
      <c r="AW7" s="16">
        <v>5.9</v>
      </c>
      <c r="AX7" s="16">
        <v>5.9</v>
      </c>
      <c r="AY7" s="13" t="s">
        <v>179</v>
      </c>
      <c r="AZ7" s="13" t="s">
        <v>179</v>
      </c>
      <c r="BA7" s="13" t="s">
        <v>179</v>
      </c>
      <c r="BB7" s="13" t="s">
        <v>179</v>
      </c>
      <c r="BC7" s="16">
        <v>29.4</v>
      </c>
      <c r="BD7" s="16">
        <v>29.4</v>
      </c>
      <c r="BE7" s="16">
        <v>5.9</v>
      </c>
      <c r="BF7" s="13" t="s">
        <v>179</v>
      </c>
      <c r="BG7" s="14">
        <v>2.21</v>
      </c>
      <c r="BH7" s="11" t="s">
        <v>184</v>
      </c>
      <c r="BI7" s="12">
        <v>80305356</v>
      </c>
      <c r="BJ7" s="12">
        <v>80305356</v>
      </c>
      <c r="BK7" s="13" t="s">
        <v>179</v>
      </c>
      <c r="BL7" s="12">
        <v>8</v>
      </c>
      <c r="BM7" s="14">
        <v>10</v>
      </c>
      <c r="BN7" s="12">
        <v>24</v>
      </c>
      <c r="BO7" s="11" t="s">
        <v>175</v>
      </c>
      <c r="BP7" s="17">
        <v>0.0637</v>
      </c>
      <c r="BQ7" s="16">
        <v>12.5</v>
      </c>
      <c r="BR7" s="13" t="s">
        <v>179</v>
      </c>
      <c r="BS7" s="18">
        <v>68</v>
      </c>
      <c r="BT7" s="18">
        <v>69</v>
      </c>
      <c r="BU7" s="18">
        <v>68</v>
      </c>
      <c r="BV7" s="13" t="s">
        <v>179</v>
      </c>
      <c r="BW7" s="11">
        <f>ROUND((IF(ISNUMBER(KOL_Source_Data!$K$7),1,IF(AND(ISTEXT(KOL_Source_Data!$K$7),KOL_Source_Data!$K$7&lt;&gt;"N/A"),1,0))+IF(ISNUMBER(KOL_Source_Data!$BG$7),1,IF(AND(ISTEXT(KOL_Source_Data!$BG$7),KOL_Source_Data!$BG$7&lt;&gt;"N/A"),1,0))+IF(ISNUMBER(KOL_Source_Data!$BI$7),1,IF(AND(ISTEXT(KOL_Source_Data!$BI$7),KOL_Source_Data!$BI$7&lt;&gt;"N/A"),1,0))+IF(ISNUMBER(KOL_Source_Data!$BK$7),1,IF(AND(ISTEXT(KOL_Source_Data!$BK$7),KOL_Source_Data!$BK$7&lt;&gt;"N/A"),1,0))+IF(ISNUMBER(KOL_Source_Data!$AA$7),1,IF(AND(ISTEXT(KOL_Source_Data!$AA$7),KOL_Source_Data!$AA$7&lt;&gt;"N/A"),1,0))+IF(ISNUMBER(KOL_Source_Data!$AE$7),1,IF(AND(ISTEXT(KOL_Source_Data!$AE$7),KOL_Source_Data!$AE$7&lt;&gt;"N/A"),1,0))+IF(ISNUMBER(KOL_Source_Data!$AH$7),1,IF(AND(ISTEXT(KOL_Source_Data!$AH$7),KOL_Source_Data!$AH$7&lt;&gt;"N/A"),1,0))+IF(ISNUMBER(KOL_Source_Data!$AN$7),1,IF(AND(ISTEXT(KOL_Source_Data!$AN$7),KOL_Source_Data!$AN$7&lt;&gt;"N/A"),1,0))+IF(ISNUMBER(KOL_Source_Data!$BS$7),1,IF(AND(ISTEXT(KOL_Source_Data!$BS$7),KOL_Source_Data!$BS$7&lt;&gt;"N/A"),1,0))+IF(ISNUMBER(KOL_Source_Data!$BT$7),1,IF(AND(ISTEXT(KOL_Source_Data!$BT$7),KOL_Source_Data!$BT$7&lt;&gt;"N/A"),1,0))+IF(ISNUMBER(KOL_Source_Data!$BU$7),1,IF(AND(ISTEXT(KOL_Source_Data!$BU$7),KOL_Source_Data!$BU$7&lt;&gt;"N/A"),1,0))+IF(ISNUMBER(KOL_Source_Data!$BM$7),1,IF(AND(ISTEXT(KOL_Source_Data!$BM$7),KOL_Source_Data!$BM$7&lt;&gt;"N/A"),1,0)))/12*100,0)</f>
      </c>
      <c r="BX7" s="11">
        <f>IF(KOL_Source_Data!$BW$7&gt;=Lookup_Lists!$D$159,"High",IF(KOL_Source_Data!$BW$7&gt;=Lookup_Lists!$D$160,"Medium","Limited Data"))</f>
      </c>
      <c r="BY7" s="11" t="s">
        <v>195</v>
      </c>
    </row>
    <row r="8" spans="1:77" x14ac:dyDescent="0.25">
      <c r="A8" s="10" t="s">
        <v>196</v>
      </c>
      <c r="B8" s="11" t="s">
        <v>197</v>
      </c>
      <c r="C8" s="11" t="s">
        <v>197</v>
      </c>
      <c r="D8" s="11" t="s">
        <v>198</v>
      </c>
      <c r="E8" s="11" t="s">
        <v>173</v>
      </c>
      <c r="F8" s="11" t="s">
        <v>174</v>
      </c>
      <c r="G8" s="12">
        <v>516185245</v>
      </c>
      <c r="H8" s="11">
        <f>IFERROR(INDEX(Lookup_Lists!$A$96:$A$100,MATCH(KOL_Source_Data!$G$8,Lookup_Lists!$B$96:$B$100,1)),"N/A")</f>
      </c>
      <c r="I8" s="11" t="s">
        <v>175</v>
      </c>
      <c r="J8" s="11" t="s">
        <v>199</v>
      </c>
      <c r="K8" s="13" t="s">
        <v>179</v>
      </c>
      <c r="L8" s="13" t="s">
        <v>179</v>
      </c>
      <c r="M8" s="13" t="s">
        <v>179</v>
      </c>
      <c r="N8" s="13" t="s">
        <v>179</v>
      </c>
      <c r="O8" s="13" t="s">
        <v>179</v>
      </c>
      <c r="P8" s="13" t="s">
        <v>179</v>
      </c>
      <c r="Q8" s="13" t="s">
        <v>179</v>
      </c>
      <c r="R8" s="13" t="s">
        <v>179</v>
      </c>
      <c r="S8" s="11" t="s">
        <v>200</v>
      </c>
      <c r="T8" s="11" t="s">
        <v>201</v>
      </c>
      <c r="U8" s="13" t="s">
        <v>179</v>
      </c>
      <c r="V8" s="13" t="s">
        <v>179</v>
      </c>
      <c r="W8" s="13" t="s">
        <v>179</v>
      </c>
      <c r="X8" s="13" t="s">
        <v>179</v>
      </c>
      <c r="Y8" s="13" t="s">
        <v>179</v>
      </c>
      <c r="Z8" s="13" t="s">
        <v>179</v>
      </c>
      <c r="AA8" s="16">
        <v>20</v>
      </c>
      <c r="AB8" s="16">
        <v>80</v>
      </c>
      <c r="AC8" s="16">
        <v>25</v>
      </c>
      <c r="AD8" s="13" t="s">
        <v>179</v>
      </c>
      <c r="AE8" s="13" t="s">
        <v>179</v>
      </c>
      <c r="AF8" s="16">
        <v>3</v>
      </c>
      <c r="AG8" s="13" t="s">
        <v>179</v>
      </c>
      <c r="AH8" s="13" t="s">
        <v>179</v>
      </c>
      <c r="AI8" s="13" t="s">
        <v>179</v>
      </c>
      <c r="AJ8" s="13" t="s">
        <v>179</v>
      </c>
      <c r="AK8" s="13" t="s">
        <v>179</v>
      </c>
      <c r="AL8" s="13" t="s">
        <v>179</v>
      </c>
      <c r="AM8" s="13" t="s">
        <v>179</v>
      </c>
      <c r="AN8" s="16">
        <v>18.3</v>
      </c>
      <c r="AO8" s="16">
        <v>5.3</v>
      </c>
      <c r="AP8" s="16">
        <v>5.3</v>
      </c>
      <c r="AQ8" s="13" t="s">
        <v>179</v>
      </c>
      <c r="AR8" s="16">
        <v>10.5</v>
      </c>
      <c r="AS8" s="13" t="s">
        <v>179</v>
      </c>
      <c r="AT8" s="16">
        <v>5.3</v>
      </c>
      <c r="AU8" s="13" t="s">
        <v>179</v>
      </c>
      <c r="AV8" s="16">
        <v>5.3</v>
      </c>
      <c r="AW8" s="13" t="s">
        <v>179</v>
      </c>
      <c r="AX8" s="16">
        <v>10.5</v>
      </c>
      <c r="AY8" s="16">
        <v>10.5</v>
      </c>
      <c r="AZ8" s="16">
        <v>10.5</v>
      </c>
      <c r="BA8" s="13" t="s">
        <v>179</v>
      </c>
      <c r="BB8" s="13" t="s">
        <v>179</v>
      </c>
      <c r="BC8" s="16">
        <v>21.1</v>
      </c>
      <c r="BD8" s="16">
        <v>15.8</v>
      </c>
      <c r="BE8" s="13" t="s">
        <v>179</v>
      </c>
      <c r="BF8" s="13" t="s">
        <v>179</v>
      </c>
      <c r="BG8" s="14">
        <v>2.66</v>
      </c>
      <c r="BH8" s="11" t="s">
        <v>184</v>
      </c>
      <c r="BI8" s="12">
        <v>44938781</v>
      </c>
      <c r="BJ8" s="12">
        <v>44938781</v>
      </c>
      <c r="BK8" s="13" t="s">
        <v>179</v>
      </c>
      <c r="BL8" s="12">
        <v>8</v>
      </c>
      <c r="BM8" s="14">
        <v>0.87</v>
      </c>
      <c r="BN8" s="12">
        <v>275</v>
      </c>
      <c r="BO8" s="11" t="s">
        <v>175</v>
      </c>
      <c r="BP8" s="17">
        <v>0.0191</v>
      </c>
      <c r="BQ8" s="16">
        <v>25</v>
      </c>
      <c r="BR8" s="13" t="s">
        <v>179</v>
      </c>
      <c r="BS8" s="18">
        <v>65</v>
      </c>
      <c r="BT8" s="18">
        <v>67</v>
      </c>
      <c r="BU8" s="18">
        <v>63</v>
      </c>
      <c r="BV8" s="13" t="s">
        <v>179</v>
      </c>
      <c r="BW8" s="11">
        <f>ROUND((IF(ISNUMBER(KOL_Source_Data!$K$8),1,IF(AND(ISTEXT(KOL_Source_Data!$K$8),KOL_Source_Data!$K$8&lt;&gt;"N/A"),1,0))+IF(ISNUMBER(KOL_Source_Data!$BG$8),1,IF(AND(ISTEXT(KOL_Source_Data!$BG$8),KOL_Source_Data!$BG$8&lt;&gt;"N/A"),1,0))+IF(ISNUMBER(KOL_Source_Data!$BI$8),1,IF(AND(ISTEXT(KOL_Source_Data!$BI$8),KOL_Source_Data!$BI$8&lt;&gt;"N/A"),1,0))+IF(ISNUMBER(KOL_Source_Data!$BK$8),1,IF(AND(ISTEXT(KOL_Source_Data!$BK$8),KOL_Source_Data!$BK$8&lt;&gt;"N/A"),1,0))+IF(ISNUMBER(KOL_Source_Data!$AA$8),1,IF(AND(ISTEXT(KOL_Source_Data!$AA$8),KOL_Source_Data!$AA$8&lt;&gt;"N/A"),1,0))+IF(ISNUMBER(KOL_Source_Data!$AE$8),1,IF(AND(ISTEXT(KOL_Source_Data!$AE$8),KOL_Source_Data!$AE$8&lt;&gt;"N/A"),1,0))+IF(ISNUMBER(KOL_Source_Data!$AH$8),1,IF(AND(ISTEXT(KOL_Source_Data!$AH$8),KOL_Source_Data!$AH$8&lt;&gt;"N/A"),1,0))+IF(ISNUMBER(KOL_Source_Data!$AN$8),1,IF(AND(ISTEXT(KOL_Source_Data!$AN$8),KOL_Source_Data!$AN$8&lt;&gt;"N/A"),1,0))+IF(ISNUMBER(KOL_Source_Data!$BS$8),1,IF(AND(ISTEXT(KOL_Source_Data!$BS$8),KOL_Source_Data!$BS$8&lt;&gt;"N/A"),1,0))+IF(ISNUMBER(KOL_Source_Data!$BT$8),1,IF(AND(ISTEXT(KOL_Source_Data!$BT$8),KOL_Source_Data!$BT$8&lt;&gt;"N/A"),1,0))+IF(ISNUMBER(KOL_Source_Data!$BU$8),1,IF(AND(ISTEXT(KOL_Source_Data!$BU$8),KOL_Source_Data!$BU$8&lt;&gt;"N/A"),1,0))+IF(ISNUMBER(KOL_Source_Data!$BM$8),1,IF(AND(ISTEXT(KOL_Source_Data!$BM$8),KOL_Source_Data!$BM$8&lt;&gt;"N/A"),1,0)))/12*100,0)</f>
      </c>
      <c r="BX8" s="11">
        <f>IF(KOL_Source_Data!$BW$8&gt;=Lookup_Lists!$D$159,"High",IF(KOL_Source_Data!$BW$8&gt;=Lookup_Lists!$D$160,"Medium","Limited Data"))</f>
      </c>
      <c r="BY8" s="11" t="s">
        <v>202</v>
      </c>
    </row>
    <row r="9" spans="1:77" x14ac:dyDescent="0.25">
      <c r="A9" s="10" t="s">
        <v>203</v>
      </c>
      <c r="B9" s="11" t="s">
        <v>204</v>
      </c>
      <c r="C9" s="11" t="s">
        <v>204</v>
      </c>
      <c r="D9" s="11" t="s">
        <v>205</v>
      </c>
      <c r="E9" s="11" t="s">
        <v>173</v>
      </c>
      <c r="F9" s="11" t="s">
        <v>174</v>
      </c>
      <c r="G9" s="12">
        <v>75052814</v>
      </c>
      <c r="H9" s="11">
        <f>IFERROR(INDEX(Lookup_Lists!$A$96:$A$100,MATCH(KOL_Source_Data!$G$9,Lookup_Lists!$B$96:$B$100,1)),"N/A")</f>
      </c>
      <c r="I9" s="11" t="s">
        <v>175</v>
      </c>
      <c r="J9" s="13" t="s">
        <v>179</v>
      </c>
      <c r="K9" s="11" t="s">
        <v>177</v>
      </c>
      <c r="L9" s="11" t="s">
        <v>206</v>
      </c>
      <c r="M9" s="11" t="s">
        <v>177</v>
      </c>
      <c r="N9" s="11" t="s">
        <v>207</v>
      </c>
      <c r="O9" s="11" t="s">
        <v>208</v>
      </c>
      <c r="P9" s="13" t="s">
        <v>179</v>
      </c>
      <c r="Q9" s="13" t="s">
        <v>179</v>
      </c>
      <c r="R9" s="13" t="s">
        <v>179</v>
      </c>
      <c r="S9" s="11" t="s">
        <v>209</v>
      </c>
      <c r="T9" s="11" t="s">
        <v>210</v>
      </c>
      <c r="U9" s="11" t="s">
        <v>211</v>
      </c>
      <c r="V9" s="13" t="s">
        <v>179</v>
      </c>
      <c r="W9" s="13" t="s">
        <v>179</v>
      </c>
      <c r="X9" s="13" t="s">
        <v>179</v>
      </c>
      <c r="Y9" s="13" t="s">
        <v>179</v>
      </c>
      <c r="Z9" s="13" t="s">
        <v>179</v>
      </c>
      <c r="AA9" s="16">
        <v>50</v>
      </c>
      <c r="AB9" s="16">
        <v>50</v>
      </c>
      <c r="AC9" s="16">
        <v>30</v>
      </c>
      <c r="AD9" s="11" t="s">
        <v>212</v>
      </c>
      <c r="AE9" s="16">
        <v>60</v>
      </c>
      <c r="AF9" s="16">
        <v>5</v>
      </c>
      <c r="AG9" s="13" t="s">
        <v>179</v>
      </c>
      <c r="AH9" s="13" t="s">
        <v>179</v>
      </c>
      <c r="AI9" s="13" t="s">
        <v>179</v>
      </c>
      <c r="AJ9" s="13" t="s">
        <v>179</v>
      </c>
      <c r="AK9" s="13" t="s">
        <v>179</v>
      </c>
      <c r="AL9" s="13" t="s">
        <v>179</v>
      </c>
      <c r="AM9" s="13" t="s">
        <v>179</v>
      </c>
      <c r="AN9" s="16">
        <v>8.7</v>
      </c>
      <c r="AO9" s="13" t="s">
        <v>179</v>
      </c>
      <c r="AP9" s="13" t="s">
        <v>179</v>
      </c>
      <c r="AQ9" s="16">
        <v>11.1</v>
      </c>
      <c r="AR9" s="16">
        <v>22.2</v>
      </c>
      <c r="AS9" s="16">
        <v>22.2</v>
      </c>
      <c r="AT9" s="16">
        <v>11.1</v>
      </c>
      <c r="AU9" s="13" t="s">
        <v>179</v>
      </c>
      <c r="AV9" s="13" t="s">
        <v>179</v>
      </c>
      <c r="AW9" s="13" t="s">
        <v>179</v>
      </c>
      <c r="AX9" s="13" t="s">
        <v>179</v>
      </c>
      <c r="AY9" s="16">
        <v>11.1</v>
      </c>
      <c r="AZ9" s="16">
        <v>11.1</v>
      </c>
      <c r="BA9" s="13" t="s">
        <v>179</v>
      </c>
      <c r="BB9" s="13" t="s">
        <v>179</v>
      </c>
      <c r="BC9" s="13" t="s">
        <v>179</v>
      </c>
      <c r="BD9" s="13" t="s">
        <v>179</v>
      </c>
      <c r="BE9" s="16">
        <v>11.1</v>
      </c>
      <c r="BF9" s="13" t="s">
        <v>179</v>
      </c>
      <c r="BG9" s="14">
        <v>0.52</v>
      </c>
      <c r="BH9" s="11" t="s">
        <v>184</v>
      </c>
      <c r="BI9" s="12">
        <v>1148129</v>
      </c>
      <c r="BJ9" s="12">
        <v>1148129</v>
      </c>
      <c r="BK9" s="15">
        <v>1.5298</v>
      </c>
      <c r="BL9" s="12">
        <v>6</v>
      </c>
      <c r="BM9" s="14">
        <v>0.27</v>
      </c>
      <c r="BN9" s="12">
        <v>666</v>
      </c>
      <c r="BO9" s="11" t="s">
        <v>175</v>
      </c>
      <c r="BP9" s="17">
        <v>-0.0261</v>
      </c>
      <c r="BQ9" s="16">
        <v>0</v>
      </c>
      <c r="BR9" s="13" t="s">
        <v>179</v>
      </c>
      <c r="BS9" s="18">
        <v>58</v>
      </c>
      <c r="BT9" s="18">
        <v>29</v>
      </c>
      <c r="BU9" s="18">
        <v>86</v>
      </c>
      <c r="BV9" s="13" t="s">
        <v>179</v>
      </c>
      <c r="BW9" s="11">
        <f>ROUND((IF(ISNUMBER(KOL_Source_Data!$K$9),1,IF(AND(ISTEXT(KOL_Source_Data!$K$9),KOL_Source_Data!$K$9&lt;&gt;"N/A"),1,0))+IF(ISNUMBER(KOL_Source_Data!$BG$9),1,IF(AND(ISTEXT(KOL_Source_Data!$BG$9),KOL_Source_Data!$BG$9&lt;&gt;"N/A"),1,0))+IF(ISNUMBER(KOL_Source_Data!$BI$9),1,IF(AND(ISTEXT(KOL_Source_Data!$BI$9),KOL_Source_Data!$BI$9&lt;&gt;"N/A"),1,0))+IF(ISNUMBER(KOL_Source_Data!$BK$9),1,IF(AND(ISTEXT(KOL_Source_Data!$BK$9),KOL_Source_Data!$BK$9&lt;&gt;"N/A"),1,0))+IF(ISNUMBER(KOL_Source_Data!$AA$9),1,IF(AND(ISTEXT(KOL_Source_Data!$AA$9),KOL_Source_Data!$AA$9&lt;&gt;"N/A"),1,0))+IF(ISNUMBER(KOL_Source_Data!$AE$9),1,IF(AND(ISTEXT(KOL_Source_Data!$AE$9),KOL_Source_Data!$AE$9&lt;&gt;"N/A"),1,0))+IF(ISNUMBER(KOL_Source_Data!$AH$9),1,IF(AND(ISTEXT(KOL_Source_Data!$AH$9),KOL_Source_Data!$AH$9&lt;&gt;"N/A"),1,0))+IF(ISNUMBER(KOL_Source_Data!$AN$9),1,IF(AND(ISTEXT(KOL_Source_Data!$AN$9),KOL_Source_Data!$AN$9&lt;&gt;"N/A"),1,0))+IF(ISNUMBER(KOL_Source_Data!$BS$9),1,IF(AND(ISTEXT(KOL_Source_Data!$BS$9),KOL_Source_Data!$BS$9&lt;&gt;"N/A"),1,0))+IF(ISNUMBER(KOL_Source_Data!$BT$9),1,IF(AND(ISTEXT(KOL_Source_Data!$BT$9),KOL_Source_Data!$BT$9&lt;&gt;"N/A"),1,0))+IF(ISNUMBER(KOL_Source_Data!$BU$9),1,IF(AND(ISTEXT(KOL_Source_Data!$BU$9),KOL_Source_Data!$BU$9&lt;&gt;"N/A"),1,0))+IF(ISNUMBER(KOL_Source_Data!$BM$9),1,IF(AND(ISTEXT(KOL_Source_Data!$BM$9),KOL_Source_Data!$BM$9&lt;&gt;"N/A"),1,0)))/12*100,0)</f>
      </c>
      <c r="BX9" s="11">
        <f>IF(KOL_Source_Data!$BW$9&gt;=Lookup_Lists!$D$159,"High",IF(KOL_Source_Data!$BW$9&gt;=Lookup_Lists!$D$160,"Medium","Limited Data"))</f>
      </c>
      <c r="BY9" s="11" t="s">
        <v>213</v>
      </c>
    </row>
    <row r="10" spans="1:77" x14ac:dyDescent="0.25">
      <c r="A10" s="10" t="s">
        <v>214</v>
      </c>
      <c r="B10" s="11" t="s">
        <v>215</v>
      </c>
      <c r="C10" s="11" t="s">
        <v>215</v>
      </c>
      <c r="D10" s="11" t="s">
        <v>216</v>
      </c>
      <c r="E10" s="11" t="s">
        <v>173</v>
      </c>
      <c r="F10" s="11" t="s">
        <v>174</v>
      </c>
      <c r="G10" s="12">
        <v>37961844</v>
      </c>
      <c r="H10" s="11">
        <f>IFERROR(INDEX(Lookup_Lists!$A$96:$A$100,MATCH(KOL_Source_Data!$G$10,Lookup_Lists!$B$96:$B$100,1)),"N/A")</f>
      </c>
      <c r="I10" s="11" t="s">
        <v>175</v>
      </c>
      <c r="J10" s="11" t="s">
        <v>217</v>
      </c>
      <c r="K10" s="11" t="s">
        <v>217</v>
      </c>
      <c r="L10" s="11" t="s">
        <v>178</v>
      </c>
      <c r="M10" s="13" t="s">
        <v>179</v>
      </c>
      <c r="N10" s="11" t="s">
        <v>218</v>
      </c>
      <c r="O10" s="11" t="s">
        <v>219</v>
      </c>
      <c r="P10" s="13" t="s">
        <v>179</v>
      </c>
      <c r="Q10" s="13" t="s">
        <v>179</v>
      </c>
      <c r="R10" s="13" t="s">
        <v>179</v>
      </c>
      <c r="S10" s="11" t="s">
        <v>220</v>
      </c>
      <c r="T10" s="11" t="s">
        <v>221</v>
      </c>
      <c r="U10" s="11" t="s">
        <v>222</v>
      </c>
      <c r="V10" s="13" t="s">
        <v>179</v>
      </c>
      <c r="W10" s="13" t="s">
        <v>179</v>
      </c>
      <c r="X10" s="13" t="s">
        <v>179</v>
      </c>
      <c r="Y10" s="13" t="s">
        <v>179</v>
      </c>
      <c r="Z10" s="13" t="s">
        <v>179</v>
      </c>
      <c r="AA10" s="16">
        <v>51.52</v>
      </c>
      <c r="AB10" s="16">
        <v>48.48</v>
      </c>
      <c r="AC10" s="16">
        <v>33</v>
      </c>
      <c r="AD10" s="11" t="s">
        <v>212</v>
      </c>
      <c r="AE10" s="16">
        <v>85</v>
      </c>
      <c r="AF10" s="16">
        <v>20</v>
      </c>
      <c r="AG10" s="11" t="s">
        <v>223</v>
      </c>
      <c r="AH10" s="16">
        <v>25</v>
      </c>
      <c r="AI10" s="11" t="s">
        <v>224</v>
      </c>
      <c r="AJ10" s="16">
        <v>25</v>
      </c>
      <c r="AK10" s="11" t="s">
        <v>225</v>
      </c>
      <c r="AL10" s="16">
        <v>16.7</v>
      </c>
      <c r="AM10" s="16">
        <v>100</v>
      </c>
      <c r="AN10" s="16">
        <v>25.2</v>
      </c>
      <c r="AO10" s="13" t="s">
        <v>179</v>
      </c>
      <c r="AP10" s="16">
        <v>3.6</v>
      </c>
      <c r="AQ10" s="16">
        <v>3.6</v>
      </c>
      <c r="AR10" s="16">
        <v>28.6</v>
      </c>
      <c r="AS10" s="16">
        <v>7.1</v>
      </c>
      <c r="AT10" s="16">
        <v>7.1</v>
      </c>
      <c r="AU10" s="16">
        <v>10.7</v>
      </c>
      <c r="AV10" s="13" t="s">
        <v>179</v>
      </c>
      <c r="AW10" s="16">
        <v>3.6</v>
      </c>
      <c r="AX10" s="13" t="s">
        <v>179</v>
      </c>
      <c r="AY10" s="13" t="s">
        <v>179</v>
      </c>
      <c r="AZ10" s="16">
        <v>3.6</v>
      </c>
      <c r="BA10" s="13" t="s">
        <v>179</v>
      </c>
      <c r="BB10" s="16">
        <v>3.6</v>
      </c>
      <c r="BC10" s="16">
        <v>10.7</v>
      </c>
      <c r="BD10" s="16">
        <v>3.6</v>
      </c>
      <c r="BE10" s="16">
        <v>10.7</v>
      </c>
      <c r="BF10" s="16">
        <v>3.6</v>
      </c>
      <c r="BG10" s="14">
        <v>0.03</v>
      </c>
      <c r="BH10" s="11" t="s">
        <v>184</v>
      </c>
      <c r="BI10" s="12">
        <v>383646</v>
      </c>
      <c r="BJ10" s="12">
        <v>205306</v>
      </c>
      <c r="BK10" s="15">
        <v>1.0106</v>
      </c>
      <c r="BL10" s="12">
        <v>6</v>
      </c>
      <c r="BM10" s="14">
        <v>45</v>
      </c>
      <c r="BN10" s="12">
        <v>4</v>
      </c>
      <c r="BO10" s="11" t="s">
        <v>226</v>
      </c>
      <c r="BP10" s="17">
        <v>-0.0301</v>
      </c>
      <c r="BQ10" s="16">
        <v>0</v>
      </c>
      <c r="BR10" s="13" t="s">
        <v>179</v>
      </c>
      <c r="BS10" s="18">
        <v>72</v>
      </c>
      <c r="BT10" s="18">
        <v>73</v>
      </c>
      <c r="BU10" s="18">
        <v>71</v>
      </c>
      <c r="BV10" s="13" t="s">
        <v>179</v>
      </c>
      <c r="BW10" s="11">
        <f>ROUND((IF(ISNUMBER(KOL_Source_Data!$K$10),1,IF(AND(ISTEXT(KOL_Source_Data!$K$10),KOL_Source_Data!$K$10&lt;&gt;"N/A"),1,0))+IF(ISNUMBER(KOL_Source_Data!$BG$10),1,IF(AND(ISTEXT(KOL_Source_Data!$BG$10),KOL_Source_Data!$BG$10&lt;&gt;"N/A"),1,0))+IF(ISNUMBER(KOL_Source_Data!$BI$10),1,IF(AND(ISTEXT(KOL_Source_Data!$BI$10),KOL_Source_Data!$BI$10&lt;&gt;"N/A"),1,0))+IF(ISNUMBER(KOL_Source_Data!$BK$10),1,IF(AND(ISTEXT(KOL_Source_Data!$BK$10),KOL_Source_Data!$BK$10&lt;&gt;"N/A"),1,0))+IF(ISNUMBER(KOL_Source_Data!$AA$10),1,IF(AND(ISTEXT(KOL_Source_Data!$AA$10),KOL_Source_Data!$AA$10&lt;&gt;"N/A"),1,0))+IF(ISNUMBER(KOL_Source_Data!$AE$10),1,IF(AND(ISTEXT(KOL_Source_Data!$AE$10),KOL_Source_Data!$AE$10&lt;&gt;"N/A"),1,0))+IF(ISNUMBER(KOL_Source_Data!$AH$10),1,IF(AND(ISTEXT(KOL_Source_Data!$AH$10),KOL_Source_Data!$AH$10&lt;&gt;"N/A"),1,0))+IF(ISNUMBER(KOL_Source_Data!$AN$10),1,IF(AND(ISTEXT(KOL_Source_Data!$AN$10),KOL_Source_Data!$AN$10&lt;&gt;"N/A"),1,0))+IF(ISNUMBER(KOL_Source_Data!$BS$10),1,IF(AND(ISTEXT(KOL_Source_Data!$BS$10),KOL_Source_Data!$BS$10&lt;&gt;"N/A"),1,0))+IF(ISNUMBER(KOL_Source_Data!$BT$10),1,IF(AND(ISTEXT(KOL_Source_Data!$BT$10),KOL_Source_Data!$BT$10&lt;&gt;"N/A"),1,0))+IF(ISNUMBER(KOL_Source_Data!$BU$10),1,IF(AND(ISTEXT(KOL_Source_Data!$BU$10),KOL_Source_Data!$BU$10&lt;&gt;"N/A"),1,0))+IF(ISNUMBER(KOL_Source_Data!$BM$10),1,IF(AND(ISTEXT(KOL_Source_Data!$BM$10),KOL_Source_Data!$BM$10&lt;&gt;"N/A"),1,0)))/12*100,0)</f>
      </c>
      <c r="BX10" s="11">
        <f>IF(KOL_Source_Data!$BW$10&gt;=Lookup_Lists!$D$159,"High",IF(KOL_Source_Data!$BW$10&gt;=Lookup_Lists!$D$160,"Medium","Limited Data"))</f>
      </c>
      <c r="BY10" s="11" t="s">
        <v>227</v>
      </c>
    </row>
    <row r="11" spans="1:77" x14ac:dyDescent="0.25">
      <c r="A11" s="10" t="s">
        <v>228</v>
      </c>
      <c r="B11" s="11" t="s">
        <v>229</v>
      </c>
      <c r="C11" s="11" t="s">
        <v>229</v>
      </c>
      <c r="D11" s="11" t="s">
        <v>230</v>
      </c>
      <c r="E11" s="11" t="s">
        <v>231</v>
      </c>
      <c r="F11" s="11" t="s">
        <v>174</v>
      </c>
      <c r="G11" s="12">
        <v>26200000</v>
      </c>
      <c r="H11" s="11">
        <f>IFERROR(INDEX(Lookup_Lists!$A$96:$A$100,MATCH(KOL_Source_Data!$G$11,Lookup_Lists!$B$96:$B$100,1)),"N/A")</f>
      </c>
      <c r="I11" s="11" t="s">
        <v>175</v>
      </c>
      <c r="J11" s="13" t="s">
        <v>179</v>
      </c>
      <c r="K11" s="13" t="s">
        <v>179</v>
      </c>
      <c r="L11" s="13" t="s">
        <v>179</v>
      </c>
      <c r="M11" s="13" t="s">
        <v>179</v>
      </c>
      <c r="N11" s="13" t="s">
        <v>179</v>
      </c>
      <c r="O11" s="11" t="s">
        <v>232</v>
      </c>
      <c r="P11" s="13" t="s">
        <v>179</v>
      </c>
      <c r="Q11" s="13" t="s">
        <v>179</v>
      </c>
      <c r="R11" s="13" t="s">
        <v>179</v>
      </c>
      <c r="S11" s="13" t="s">
        <v>179</v>
      </c>
      <c r="T11" s="11" t="s">
        <v>233</v>
      </c>
      <c r="U11" s="11" t="s">
        <v>234</v>
      </c>
      <c r="V11" s="13" t="s">
        <v>179</v>
      </c>
      <c r="W11" s="13" t="s">
        <v>179</v>
      </c>
      <c r="X11" s="13" t="s">
        <v>179</v>
      </c>
      <c r="Y11" s="13" t="s">
        <v>179</v>
      </c>
      <c r="Z11" s="13" t="s">
        <v>179</v>
      </c>
      <c r="AA11" s="16">
        <v>51.72</v>
      </c>
      <c r="AB11" s="16">
        <v>48.28</v>
      </c>
      <c r="AC11" s="16">
        <v>29</v>
      </c>
      <c r="AD11" s="11" t="s">
        <v>212</v>
      </c>
      <c r="AE11" s="16">
        <v>66.7</v>
      </c>
      <c r="AF11" s="16">
        <v>9</v>
      </c>
      <c r="AG11" s="13" t="s">
        <v>179</v>
      </c>
      <c r="AH11" s="13" t="s">
        <v>179</v>
      </c>
      <c r="AI11" s="13" t="s">
        <v>179</v>
      </c>
      <c r="AJ11" s="13" t="s">
        <v>179</v>
      </c>
      <c r="AK11" s="13" t="s">
        <v>179</v>
      </c>
      <c r="AL11" s="13" t="s">
        <v>179</v>
      </c>
      <c r="AM11" s="13" t="s">
        <v>179</v>
      </c>
      <c r="AN11" s="16">
        <v>11.8</v>
      </c>
      <c r="AO11" s="13" t="s">
        <v>179</v>
      </c>
      <c r="AP11" s="13" t="s">
        <v>179</v>
      </c>
      <c r="AQ11" s="16">
        <v>16.7</v>
      </c>
      <c r="AR11" s="16">
        <v>16.7</v>
      </c>
      <c r="AS11" s="13" t="s">
        <v>179</v>
      </c>
      <c r="AT11" s="16">
        <v>8.3</v>
      </c>
      <c r="AU11" s="13" t="s">
        <v>179</v>
      </c>
      <c r="AV11" s="13" t="s">
        <v>179</v>
      </c>
      <c r="AW11" s="16">
        <v>8.3</v>
      </c>
      <c r="AX11" s="13" t="s">
        <v>179</v>
      </c>
      <c r="AY11" s="16">
        <v>16.7</v>
      </c>
      <c r="AZ11" s="16">
        <v>16.7</v>
      </c>
      <c r="BA11" s="13" t="s">
        <v>179</v>
      </c>
      <c r="BB11" s="13" t="s">
        <v>179</v>
      </c>
      <c r="BC11" s="16">
        <v>8.3</v>
      </c>
      <c r="BD11" s="16">
        <v>8.3</v>
      </c>
      <c r="BE11" s="13" t="s">
        <v>179</v>
      </c>
      <c r="BF11" s="13" t="s">
        <v>179</v>
      </c>
      <c r="BG11" s="14">
        <v>0.33</v>
      </c>
      <c r="BH11" s="11" t="s">
        <v>235</v>
      </c>
      <c r="BI11" s="12">
        <v>2762680</v>
      </c>
      <c r="BJ11" s="12">
        <v>308650</v>
      </c>
      <c r="BK11" s="15">
        <v>5.5438</v>
      </c>
      <c r="BL11" s="13" t="s">
        <v>179</v>
      </c>
      <c r="BM11" s="14">
        <v>1.65</v>
      </c>
      <c r="BN11" s="12">
        <v>182</v>
      </c>
      <c r="BO11" s="11" t="s">
        <v>175</v>
      </c>
      <c r="BP11" s="17">
        <v>0.2857</v>
      </c>
      <c r="BQ11" s="16">
        <v>10</v>
      </c>
      <c r="BR11" s="13" t="s">
        <v>179</v>
      </c>
      <c r="BS11" s="18">
        <v>76</v>
      </c>
      <c r="BT11" s="18">
        <v>61</v>
      </c>
      <c r="BU11" s="18">
        <v>92</v>
      </c>
      <c r="BV11" s="13" t="s">
        <v>179</v>
      </c>
      <c r="BW11" s="11">
        <f>ROUND((IF(ISNUMBER(KOL_Source_Data!$K$11),1,IF(AND(ISTEXT(KOL_Source_Data!$K$11),KOL_Source_Data!$K$11&lt;&gt;"N/A"),1,0))+IF(ISNUMBER(KOL_Source_Data!$BG$11),1,IF(AND(ISTEXT(KOL_Source_Data!$BG$11),KOL_Source_Data!$BG$11&lt;&gt;"N/A"),1,0))+IF(ISNUMBER(KOL_Source_Data!$BI$11),1,IF(AND(ISTEXT(KOL_Source_Data!$BI$11),KOL_Source_Data!$BI$11&lt;&gt;"N/A"),1,0))+IF(ISNUMBER(KOL_Source_Data!$BK$11),1,IF(AND(ISTEXT(KOL_Source_Data!$BK$11),KOL_Source_Data!$BK$11&lt;&gt;"N/A"),1,0))+IF(ISNUMBER(KOL_Source_Data!$AA$11),1,IF(AND(ISTEXT(KOL_Source_Data!$AA$11),KOL_Source_Data!$AA$11&lt;&gt;"N/A"),1,0))+IF(ISNUMBER(KOL_Source_Data!$AE$11),1,IF(AND(ISTEXT(KOL_Source_Data!$AE$11),KOL_Source_Data!$AE$11&lt;&gt;"N/A"),1,0))+IF(ISNUMBER(KOL_Source_Data!$AH$11),1,IF(AND(ISTEXT(KOL_Source_Data!$AH$11),KOL_Source_Data!$AH$11&lt;&gt;"N/A"),1,0))+IF(ISNUMBER(KOL_Source_Data!$AN$11),1,IF(AND(ISTEXT(KOL_Source_Data!$AN$11),KOL_Source_Data!$AN$11&lt;&gt;"N/A"),1,0))+IF(ISNUMBER(KOL_Source_Data!$BS$11),1,IF(AND(ISTEXT(KOL_Source_Data!$BS$11),KOL_Source_Data!$BS$11&lt;&gt;"N/A"),1,0))+IF(ISNUMBER(KOL_Source_Data!$BT$11),1,IF(AND(ISTEXT(KOL_Source_Data!$BT$11),KOL_Source_Data!$BT$11&lt;&gt;"N/A"),1,0))+IF(ISNUMBER(KOL_Source_Data!$BU$11),1,IF(AND(ISTEXT(KOL_Source_Data!$BU$11),KOL_Source_Data!$BU$11&lt;&gt;"N/A"),1,0))+IF(ISNUMBER(KOL_Source_Data!$BM$11),1,IF(AND(ISTEXT(KOL_Source_Data!$BM$11),KOL_Source_Data!$BM$11&lt;&gt;"N/A"),1,0)))/12*100,0)</f>
      </c>
      <c r="BX11" s="11">
        <f>IF(KOL_Source_Data!$BW$11&gt;=Lookup_Lists!$D$159,"High",IF(KOL_Source_Data!$BW$11&gt;=Lookup_Lists!$D$160,"Medium","Limited Data"))</f>
      </c>
      <c r="BY11" s="11" t="s">
        <v>202</v>
      </c>
    </row>
    <row r="12" spans="1:77" x14ac:dyDescent="0.25">
      <c r="A12" s="10" t="s">
        <v>236</v>
      </c>
      <c r="B12" s="11" t="s">
        <v>237</v>
      </c>
      <c r="C12" s="11" t="s">
        <v>237</v>
      </c>
      <c r="D12" s="11" t="s">
        <v>238</v>
      </c>
      <c r="E12" s="11" t="s">
        <v>173</v>
      </c>
      <c r="F12" s="11" t="s">
        <v>174</v>
      </c>
      <c r="G12" s="12">
        <v>3997609</v>
      </c>
      <c r="H12" s="11">
        <f>IFERROR(INDEX(Lookup_Lists!$A$96:$A$100,MATCH(KOL_Source_Data!$G$12,Lookup_Lists!$B$96:$B$100,1)),"N/A")</f>
      </c>
      <c r="I12" s="11" t="s">
        <v>175</v>
      </c>
      <c r="J12" s="11" t="s">
        <v>239</v>
      </c>
      <c r="K12" s="11" t="s">
        <v>239</v>
      </c>
      <c r="L12" s="11" t="s">
        <v>178</v>
      </c>
      <c r="M12" s="13" t="s">
        <v>179</v>
      </c>
      <c r="N12" s="13" t="s">
        <v>179</v>
      </c>
      <c r="O12" s="13" t="s">
        <v>179</v>
      </c>
      <c r="P12" s="13" t="s">
        <v>179</v>
      </c>
      <c r="Q12" s="13" t="s">
        <v>179</v>
      </c>
      <c r="R12" s="13" t="s">
        <v>179</v>
      </c>
      <c r="S12" s="11" t="s">
        <v>240</v>
      </c>
      <c r="T12" s="11" t="s">
        <v>241</v>
      </c>
      <c r="U12" s="13" t="s">
        <v>179</v>
      </c>
      <c r="V12" s="13" t="s">
        <v>179</v>
      </c>
      <c r="W12" s="13" t="s">
        <v>179</v>
      </c>
      <c r="X12" s="13" t="s">
        <v>179</v>
      </c>
      <c r="Y12" s="13" t="s">
        <v>179</v>
      </c>
      <c r="Z12" s="13" t="s">
        <v>179</v>
      </c>
      <c r="AA12" s="16">
        <v>39.47</v>
      </c>
      <c r="AB12" s="16">
        <v>60.53</v>
      </c>
      <c r="AC12" s="16">
        <v>38</v>
      </c>
      <c r="AD12" s="11" t="s">
        <v>212</v>
      </c>
      <c r="AE12" s="16">
        <v>85.7</v>
      </c>
      <c r="AF12" s="16">
        <v>14</v>
      </c>
      <c r="AG12" s="11" t="s">
        <v>223</v>
      </c>
      <c r="AH12" s="16">
        <v>33.3</v>
      </c>
      <c r="AI12" s="11" t="s">
        <v>242</v>
      </c>
      <c r="AJ12" s="16">
        <v>16.7</v>
      </c>
      <c r="AK12" s="11" t="s">
        <v>243</v>
      </c>
      <c r="AL12" s="16">
        <v>16.7</v>
      </c>
      <c r="AM12" s="16">
        <v>100</v>
      </c>
      <c r="AN12" s="16">
        <v>15.2</v>
      </c>
      <c r="AO12" s="13" t="s">
        <v>179</v>
      </c>
      <c r="AP12" s="16">
        <v>6.3</v>
      </c>
      <c r="AQ12" s="16">
        <v>6.3</v>
      </c>
      <c r="AR12" s="16">
        <v>6.3</v>
      </c>
      <c r="AS12" s="16">
        <v>12.5</v>
      </c>
      <c r="AT12" s="16">
        <v>6.3</v>
      </c>
      <c r="AU12" s="13" t="s">
        <v>179</v>
      </c>
      <c r="AV12" s="13" t="s">
        <v>179</v>
      </c>
      <c r="AW12" s="16">
        <v>6.3</v>
      </c>
      <c r="AX12" s="13" t="s">
        <v>179</v>
      </c>
      <c r="AY12" s="16">
        <v>12.5</v>
      </c>
      <c r="AZ12" s="16">
        <v>12.5</v>
      </c>
      <c r="BA12" s="13" t="s">
        <v>179</v>
      </c>
      <c r="BB12" s="13" t="s">
        <v>179</v>
      </c>
      <c r="BC12" s="16">
        <v>18.8</v>
      </c>
      <c r="BD12" s="16">
        <v>12.5</v>
      </c>
      <c r="BE12" s="13" t="s">
        <v>179</v>
      </c>
      <c r="BF12" s="13" t="s">
        <v>179</v>
      </c>
      <c r="BG12" s="14">
        <v>1.46</v>
      </c>
      <c r="BH12" s="11" t="s">
        <v>184</v>
      </c>
      <c r="BI12" s="12">
        <v>1608002.14</v>
      </c>
      <c r="BJ12" s="12">
        <v>1110744</v>
      </c>
      <c r="BK12" s="15">
        <v>50.0887</v>
      </c>
      <c r="BL12" s="12">
        <v>8</v>
      </c>
      <c r="BM12" s="14">
        <v>34.29</v>
      </c>
      <c r="BN12" s="12">
        <v>7</v>
      </c>
      <c r="BO12" s="11" t="s">
        <v>226</v>
      </c>
      <c r="BP12" s="17">
        <v>0.2351</v>
      </c>
      <c r="BQ12" s="16">
        <v>0</v>
      </c>
      <c r="BR12" s="13" t="s">
        <v>179</v>
      </c>
      <c r="BS12" s="18">
        <v>63</v>
      </c>
      <c r="BT12" s="18">
        <v>77</v>
      </c>
      <c r="BU12" s="18">
        <v>49</v>
      </c>
      <c r="BV12" s="13" t="s">
        <v>179</v>
      </c>
      <c r="BW12" s="11">
        <f>ROUND((IF(ISNUMBER(KOL_Source_Data!$K$12),1,IF(AND(ISTEXT(KOL_Source_Data!$K$12),KOL_Source_Data!$K$12&lt;&gt;"N/A"),1,0))+IF(ISNUMBER(KOL_Source_Data!$BG$12),1,IF(AND(ISTEXT(KOL_Source_Data!$BG$12),KOL_Source_Data!$BG$12&lt;&gt;"N/A"),1,0))+IF(ISNUMBER(KOL_Source_Data!$BI$12),1,IF(AND(ISTEXT(KOL_Source_Data!$BI$12),KOL_Source_Data!$BI$12&lt;&gt;"N/A"),1,0))+IF(ISNUMBER(KOL_Source_Data!$BK$12),1,IF(AND(ISTEXT(KOL_Source_Data!$BK$12),KOL_Source_Data!$BK$12&lt;&gt;"N/A"),1,0))+IF(ISNUMBER(KOL_Source_Data!$AA$12),1,IF(AND(ISTEXT(KOL_Source_Data!$AA$12),KOL_Source_Data!$AA$12&lt;&gt;"N/A"),1,0))+IF(ISNUMBER(KOL_Source_Data!$AE$12),1,IF(AND(ISTEXT(KOL_Source_Data!$AE$12),KOL_Source_Data!$AE$12&lt;&gt;"N/A"),1,0))+IF(ISNUMBER(KOL_Source_Data!$AH$12),1,IF(AND(ISTEXT(KOL_Source_Data!$AH$12),KOL_Source_Data!$AH$12&lt;&gt;"N/A"),1,0))+IF(ISNUMBER(KOL_Source_Data!$AN$12),1,IF(AND(ISTEXT(KOL_Source_Data!$AN$12),KOL_Source_Data!$AN$12&lt;&gt;"N/A"),1,0))+IF(ISNUMBER(KOL_Source_Data!$BS$12),1,IF(AND(ISTEXT(KOL_Source_Data!$BS$12),KOL_Source_Data!$BS$12&lt;&gt;"N/A"),1,0))+IF(ISNUMBER(KOL_Source_Data!$BT$12),1,IF(AND(ISTEXT(KOL_Source_Data!$BT$12),KOL_Source_Data!$BT$12&lt;&gt;"N/A"),1,0))+IF(ISNUMBER(KOL_Source_Data!$BU$12),1,IF(AND(ISTEXT(KOL_Source_Data!$BU$12),KOL_Source_Data!$BU$12&lt;&gt;"N/A"),1,0))+IF(ISNUMBER(KOL_Source_Data!$BM$12),1,IF(AND(ISTEXT(KOL_Source_Data!$BM$12),KOL_Source_Data!$BM$12&lt;&gt;"N/A"),1,0)))/12*100,0)</f>
      </c>
      <c r="BX12" s="11">
        <f>IF(KOL_Source_Data!$BW$12&gt;=Lookup_Lists!$D$159,"High",IF(KOL_Source_Data!$BW$12&gt;=Lookup_Lists!$D$160,"Medium","Limited Data"))</f>
      </c>
      <c r="BY12" s="11" t="s">
        <v>244</v>
      </c>
    </row>
    <row r="13" spans="1:77" x14ac:dyDescent="0.25">
      <c r="A13" s="10" t="s">
        <v>245</v>
      </c>
      <c r="B13" s="11" t="s">
        <v>246</v>
      </c>
      <c r="C13" s="11" t="s">
        <v>246</v>
      </c>
      <c r="D13" s="11" t="s">
        <v>247</v>
      </c>
      <c r="E13" s="11" t="s">
        <v>173</v>
      </c>
      <c r="F13" s="11" t="s">
        <v>174</v>
      </c>
      <c r="G13" s="12">
        <v>20046665</v>
      </c>
      <c r="H13" s="11">
        <f>IFERROR(INDEX(Lookup_Lists!$A$96:$A$100,MATCH(KOL_Source_Data!$G$13,Lookup_Lists!$B$96:$B$100,1)),"N/A")</f>
      </c>
      <c r="I13" s="11" t="s">
        <v>175</v>
      </c>
      <c r="J13" s="13" t="s">
        <v>179</v>
      </c>
      <c r="K13" s="11" t="s">
        <v>248</v>
      </c>
      <c r="L13" s="11" t="s">
        <v>206</v>
      </c>
      <c r="M13" s="11" t="s">
        <v>248</v>
      </c>
      <c r="N13" s="11" t="s">
        <v>249</v>
      </c>
      <c r="O13" s="11" t="s">
        <v>250</v>
      </c>
      <c r="P13" s="13" t="s">
        <v>179</v>
      </c>
      <c r="Q13" s="13" t="s">
        <v>179</v>
      </c>
      <c r="R13" s="13" t="s">
        <v>179</v>
      </c>
      <c r="S13" s="11" t="s">
        <v>251</v>
      </c>
      <c r="T13" s="11" t="s">
        <v>252</v>
      </c>
      <c r="U13" s="11" t="s">
        <v>253</v>
      </c>
      <c r="V13" s="13" t="s">
        <v>179</v>
      </c>
      <c r="W13" s="13" t="s">
        <v>179</v>
      </c>
      <c r="X13" s="13" t="s">
        <v>179</v>
      </c>
      <c r="Y13" s="13" t="s">
        <v>179</v>
      </c>
      <c r="Z13" s="13" t="s">
        <v>179</v>
      </c>
      <c r="AA13" s="16">
        <v>57.5</v>
      </c>
      <c r="AB13" s="16">
        <v>42.5</v>
      </c>
      <c r="AC13" s="16">
        <v>40</v>
      </c>
      <c r="AD13" s="11" t="s">
        <v>212</v>
      </c>
      <c r="AE13" s="16">
        <v>86.7</v>
      </c>
      <c r="AF13" s="16">
        <v>15</v>
      </c>
      <c r="AG13" s="11" t="s">
        <v>224</v>
      </c>
      <c r="AH13" s="16">
        <v>18.2</v>
      </c>
      <c r="AI13" s="11" t="s">
        <v>223</v>
      </c>
      <c r="AJ13" s="16">
        <v>9.1</v>
      </c>
      <c r="AK13" s="11" t="s">
        <v>225</v>
      </c>
      <c r="AL13" s="16">
        <v>9.1</v>
      </c>
      <c r="AM13" s="16">
        <v>100</v>
      </c>
      <c r="AN13" s="16">
        <v>17.1</v>
      </c>
      <c r="AO13" s="16">
        <v>5.6</v>
      </c>
      <c r="AP13" s="13" t="s">
        <v>179</v>
      </c>
      <c r="AQ13" s="13" t="s">
        <v>179</v>
      </c>
      <c r="AR13" s="16">
        <v>27.8</v>
      </c>
      <c r="AS13" s="16">
        <v>5.6</v>
      </c>
      <c r="AT13" s="16">
        <v>5.6</v>
      </c>
      <c r="AU13" s="13" t="s">
        <v>179</v>
      </c>
      <c r="AV13" s="16">
        <v>5.6</v>
      </c>
      <c r="AW13" s="16">
        <v>11.1</v>
      </c>
      <c r="AX13" s="13" t="s">
        <v>179</v>
      </c>
      <c r="AY13" s="13" t="s">
        <v>179</v>
      </c>
      <c r="AZ13" s="16">
        <v>22.2</v>
      </c>
      <c r="BA13" s="13" t="s">
        <v>179</v>
      </c>
      <c r="BB13" s="13" t="s">
        <v>179</v>
      </c>
      <c r="BC13" s="16">
        <v>16.7</v>
      </c>
      <c r="BD13" s="13" t="s">
        <v>179</v>
      </c>
      <c r="BE13" s="13" t="s">
        <v>179</v>
      </c>
      <c r="BF13" s="13" t="s">
        <v>179</v>
      </c>
      <c r="BG13" s="14">
        <v>0.01</v>
      </c>
      <c r="BH13" s="11" t="s">
        <v>184</v>
      </c>
      <c r="BI13" s="12">
        <v>226692.67</v>
      </c>
      <c r="BJ13" s="12">
        <v>80192</v>
      </c>
      <c r="BK13" s="15">
        <v>1.1308</v>
      </c>
      <c r="BL13" s="12">
        <v>7</v>
      </c>
      <c r="BM13" s="14">
        <v>105</v>
      </c>
      <c r="BN13" s="12">
        <v>2</v>
      </c>
      <c r="BO13" s="11" t="s">
        <v>226</v>
      </c>
      <c r="BP13" s="17">
        <v>-0.0202</v>
      </c>
      <c r="BQ13" s="16">
        <v>0</v>
      </c>
      <c r="BR13" s="13" t="s">
        <v>179</v>
      </c>
      <c r="BS13" s="18">
        <v>62</v>
      </c>
      <c r="BT13" s="18">
        <v>55</v>
      </c>
      <c r="BU13" s="18">
        <v>70</v>
      </c>
      <c r="BV13" s="13" t="s">
        <v>179</v>
      </c>
      <c r="BW13" s="11">
        <f>ROUND((IF(ISNUMBER(KOL_Source_Data!$K$13),1,IF(AND(ISTEXT(KOL_Source_Data!$K$13),KOL_Source_Data!$K$13&lt;&gt;"N/A"),1,0))+IF(ISNUMBER(KOL_Source_Data!$BG$13),1,IF(AND(ISTEXT(KOL_Source_Data!$BG$13),KOL_Source_Data!$BG$13&lt;&gt;"N/A"),1,0))+IF(ISNUMBER(KOL_Source_Data!$BI$13),1,IF(AND(ISTEXT(KOL_Source_Data!$BI$13),KOL_Source_Data!$BI$13&lt;&gt;"N/A"),1,0))+IF(ISNUMBER(KOL_Source_Data!$BK$13),1,IF(AND(ISTEXT(KOL_Source_Data!$BK$13),KOL_Source_Data!$BK$13&lt;&gt;"N/A"),1,0))+IF(ISNUMBER(KOL_Source_Data!$AA$13),1,IF(AND(ISTEXT(KOL_Source_Data!$AA$13),KOL_Source_Data!$AA$13&lt;&gt;"N/A"),1,0))+IF(ISNUMBER(KOL_Source_Data!$AE$13),1,IF(AND(ISTEXT(KOL_Source_Data!$AE$13),KOL_Source_Data!$AE$13&lt;&gt;"N/A"),1,0))+IF(ISNUMBER(KOL_Source_Data!$AH$13),1,IF(AND(ISTEXT(KOL_Source_Data!$AH$13),KOL_Source_Data!$AH$13&lt;&gt;"N/A"),1,0))+IF(ISNUMBER(KOL_Source_Data!$AN$13),1,IF(AND(ISTEXT(KOL_Source_Data!$AN$13),KOL_Source_Data!$AN$13&lt;&gt;"N/A"),1,0))+IF(ISNUMBER(KOL_Source_Data!$BS$13),1,IF(AND(ISTEXT(KOL_Source_Data!$BS$13),KOL_Source_Data!$BS$13&lt;&gt;"N/A"),1,0))+IF(ISNUMBER(KOL_Source_Data!$BT$13),1,IF(AND(ISTEXT(KOL_Source_Data!$BT$13),KOL_Source_Data!$BT$13&lt;&gt;"N/A"),1,0))+IF(ISNUMBER(KOL_Source_Data!$BU$13),1,IF(AND(ISTEXT(KOL_Source_Data!$BU$13),KOL_Source_Data!$BU$13&lt;&gt;"N/A"),1,0))+IF(ISNUMBER(KOL_Source_Data!$BM$13),1,IF(AND(ISTEXT(KOL_Source_Data!$BM$13),KOL_Source_Data!$BM$13&lt;&gt;"N/A"),1,0)))/12*100,0)</f>
      </c>
      <c r="BX13" s="11">
        <f>IF(KOL_Source_Data!$BW$13&gt;=Lookup_Lists!$D$159,"High",IF(KOL_Source_Data!$BW$13&gt;=Lookup_Lists!$D$160,"Medium","Limited Data"))</f>
      </c>
      <c r="BY13" s="11" t="s">
        <v>254</v>
      </c>
    </row>
    <row r="14" spans="1:77" x14ac:dyDescent="0.25">
      <c r="A14" s="10" t="s">
        <v>255</v>
      </c>
      <c r="B14" s="11" t="s">
        <v>256</v>
      </c>
      <c r="C14" s="11" t="s">
        <v>256</v>
      </c>
      <c r="D14" s="11" t="s">
        <v>257</v>
      </c>
      <c r="E14" s="11" t="s">
        <v>173</v>
      </c>
      <c r="F14" s="11" t="s">
        <v>174</v>
      </c>
      <c r="G14" s="12">
        <v>18018065</v>
      </c>
      <c r="H14" s="11">
        <f>IFERROR(INDEX(Lookup_Lists!$A$96:$A$100,MATCH(KOL_Source_Data!$G$14,Lookup_Lists!$B$96:$B$100,1)),"N/A")</f>
      </c>
      <c r="I14" s="11" t="s">
        <v>226</v>
      </c>
      <c r="J14" s="11" t="s">
        <v>258</v>
      </c>
      <c r="K14" s="11" t="s">
        <v>258</v>
      </c>
      <c r="L14" s="11" t="s">
        <v>178</v>
      </c>
      <c r="M14" s="13" t="s">
        <v>179</v>
      </c>
      <c r="N14" s="13" t="s">
        <v>179</v>
      </c>
      <c r="O14" s="13" t="s">
        <v>179</v>
      </c>
      <c r="P14" s="13" t="s">
        <v>179</v>
      </c>
      <c r="Q14" s="13" t="s">
        <v>179</v>
      </c>
      <c r="R14" s="13" t="s">
        <v>179</v>
      </c>
      <c r="S14" s="13" t="s">
        <v>179</v>
      </c>
      <c r="T14" s="13" t="s">
        <v>179</v>
      </c>
      <c r="U14" s="13" t="s">
        <v>179</v>
      </c>
      <c r="V14" s="13" t="s">
        <v>179</v>
      </c>
      <c r="W14" s="13" t="s">
        <v>179</v>
      </c>
      <c r="X14" s="13" t="s">
        <v>179</v>
      </c>
      <c r="Y14" s="13" t="s">
        <v>179</v>
      </c>
      <c r="Z14" s="13" t="s">
        <v>179</v>
      </c>
      <c r="AA14" s="13" t="s">
        <v>179</v>
      </c>
      <c r="AB14" s="13" t="s">
        <v>179</v>
      </c>
      <c r="AC14" s="13" t="s">
        <v>179</v>
      </c>
      <c r="AD14" s="13" t="s">
        <v>179</v>
      </c>
      <c r="AE14" s="13" t="s">
        <v>179</v>
      </c>
      <c r="AF14" s="13" t="s">
        <v>179</v>
      </c>
      <c r="AG14" s="13" t="s">
        <v>179</v>
      </c>
      <c r="AH14" s="13" t="s">
        <v>179</v>
      </c>
      <c r="AI14" s="13" t="s">
        <v>179</v>
      </c>
      <c r="AJ14" s="13" t="s">
        <v>179</v>
      </c>
      <c r="AK14" s="13" t="s">
        <v>179</v>
      </c>
      <c r="AL14" s="13" t="s">
        <v>179</v>
      </c>
      <c r="AM14" s="13" t="s">
        <v>179</v>
      </c>
      <c r="AN14" s="13" t="s">
        <v>179</v>
      </c>
      <c r="AO14" s="13" t="s">
        <v>179</v>
      </c>
      <c r="AP14" s="13" t="s">
        <v>179</v>
      </c>
      <c r="AQ14" s="13" t="s">
        <v>179</v>
      </c>
      <c r="AR14" s="13" t="s">
        <v>179</v>
      </c>
      <c r="AS14" s="13" t="s">
        <v>179</v>
      </c>
      <c r="AT14" s="13" t="s">
        <v>179</v>
      </c>
      <c r="AU14" s="13" t="s">
        <v>179</v>
      </c>
      <c r="AV14" s="13" t="s">
        <v>179</v>
      </c>
      <c r="AW14" s="13" t="s">
        <v>179</v>
      </c>
      <c r="AX14" s="13" t="s">
        <v>179</v>
      </c>
      <c r="AY14" s="13" t="s">
        <v>179</v>
      </c>
      <c r="AZ14" s="13" t="s">
        <v>179</v>
      </c>
      <c r="BA14" s="13" t="s">
        <v>179</v>
      </c>
      <c r="BB14" s="13" t="s">
        <v>179</v>
      </c>
      <c r="BC14" s="13" t="s">
        <v>179</v>
      </c>
      <c r="BD14" s="13" t="s">
        <v>179</v>
      </c>
      <c r="BE14" s="13" t="s">
        <v>179</v>
      </c>
      <c r="BF14" s="13" t="s">
        <v>179</v>
      </c>
      <c r="BG14" s="13" t="s">
        <v>179</v>
      </c>
      <c r="BH14" s="13" t="s">
        <v>179</v>
      </c>
      <c r="BI14" s="13" t="s">
        <v>179</v>
      </c>
      <c r="BJ14" s="13" t="s">
        <v>179</v>
      </c>
      <c r="BK14" s="13" t="s">
        <v>179</v>
      </c>
      <c r="BL14" s="13" t="s">
        <v>179</v>
      </c>
      <c r="BM14" s="13" t="s">
        <v>179</v>
      </c>
      <c r="BN14" s="13" t="s">
        <v>179</v>
      </c>
      <c r="BO14" s="13" t="s">
        <v>179</v>
      </c>
      <c r="BP14" s="13" t="s">
        <v>179</v>
      </c>
      <c r="BQ14" s="13" t="s">
        <v>179</v>
      </c>
      <c r="BR14" s="13" t="s">
        <v>179</v>
      </c>
      <c r="BS14" s="13" t="s">
        <v>179</v>
      </c>
      <c r="BT14" s="13" t="s">
        <v>179</v>
      </c>
      <c r="BU14" s="13" t="s">
        <v>179</v>
      </c>
      <c r="BV14" s="13" t="s">
        <v>179</v>
      </c>
      <c r="BW14" s="11">
        <f>ROUND((IF(ISNUMBER(KOL_Source_Data!$K$14),1,IF(AND(ISTEXT(KOL_Source_Data!$K$14),KOL_Source_Data!$K$14&lt;&gt;"N/A"),1,0))+IF(ISNUMBER(KOL_Source_Data!$BG$14),1,IF(AND(ISTEXT(KOL_Source_Data!$BG$14),KOL_Source_Data!$BG$14&lt;&gt;"N/A"),1,0))+IF(ISNUMBER(KOL_Source_Data!$BI$14),1,IF(AND(ISTEXT(KOL_Source_Data!$BI$14),KOL_Source_Data!$BI$14&lt;&gt;"N/A"),1,0))+IF(ISNUMBER(KOL_Source_Data!$BK$14),1,IF(AND(ISTEXT(KOL_Source_Data!$BK$14),KOL_Source_Data!$BK$14&lt;&gt;"N/A"),1,0))+IF(ISNUMBER(KOL_Source_Data!$AA$14),1,IF(AND(ISTEXT(KOL_Source_Data!$AA$14),KOL_Source_Data!$AA$14&lt;&gt;"N/A"),1,0))+IF(ISNUMBER(KOL_Source_Data!$AE$14),1,IF(AND(ISTEXT(KOL_Source_Data!$AE$14),KOL_Source_Data!$AE$14&lt;&gt;"N/A"),1,0))+IF(ISNUMBER(KOL_Source_Data!$AH$14),1,IF(AND(ISTEXT(KOL_Source_Data!$AH$14),KOL_Source_Data!$AH$14&lt;&gt;"N/A"),1,0))+IF(ISNUMBER(KOL_Source_Data!$AN$14),1,IF(AND(ISTEXT(KOL_Source_Data!$AN$14),KOL_Source_Data!$AN$14&lt;&gt;"N/A"),1,0))+IF(ISNUMBER(KOL_Source_Data!$BS$14),1,IF(AND(ISTEXT(KOL_Source_Data!$BS$14),KOL_Source_Data!$BS$14&lt;&gt;"N/A"),1,0))+IF(ISNUMBER(KOL_Source_Data!$BT$14),1,IF(AND(ISTEXT(KOL_Source_Data!$BT$14),KOL_Source_Data!$BT$14&lt;&gt;"N/A"),1,0))+IF(ISNUMBER(KOL_Source_Data!$BU$14),1,IF(AND(ISTEXT(KOL_Source_Data!$BU$14),KOL_Source_Data!$BU$14&lt;&gt;"N/A"),1,0))+IF(ISNUMBER(KOL_Source_Data!$BM$14),1,IF(AND(ISTEXT(KOL_Source_Data!$BM$14),KOL_Source_Data!$BM$14&lt;&gt;"N/A"),1,0)))/12*100,0)</f>
      </c>
      <c r="BX14" s="11">
        <f>IF(KOL_Source_Data!$BW$14&gt;=Lookup_Lists!$D$159,"High",IF(KOL_Source_Data!$BW$14&gt;=Lookup_Lists!$D$160,"Medium","Limited Data"))</f>
      </c>
      <c r="BY14" s="11" t="s">
        <v>259</v>
      </c>
    </row>
    <row r="15" spans="1:77" x14ac:dyDescent="0.25">
      <c r="A15" s="10" t="s">
        <v>260</v>
      </c>
      <c r="B15" s="11" t="s">
        <v>261</v>
      </c>
      <c r="C15" s="11" t="s">
        <v>261</v>
      </c>
      <c r="D15" s="11" t="s">
        <v>262</v>
      </c>
      <c r="E15" s="11" t="s">
        <v>173</v>
      </c>
      <c r="F15" s="11" t="s">
        <v>174</v>
      </c>
      <c r="G15" s="12">
        <v>17452714</v>
      </c>
      <c r="H15" s="11">
        <f>IFERROR(INDEX(Lookup_Lists!$A$96:$A$100,MATCH(KOL_Source_Data!$G$15,Lookup_Lists!$B$96:$B$100,1)),"N/A")</f>
      </c>
      <c r="I15" s="11" t="s">
        <v>175</v>
      </c>
      <c r="J15" s="11" t="s">
        <v>177</v>
      </c>
      <c r="K15" s="11" t="s">
        <v>177</v>
      </c>
      <c r="L15" s="11" t="s">
        <v>178</v>
      </c>
      <c r="M15" s="13" t="s">
        <v>179</v>
      </c>
      <c r="N15" s="11" t="s">
        <v>263</v>
      </c>
      <c r="O15" s="11" t="s">
        <v>264</v>
      </c>
      <c r="P15" s="13" t="s">
        <v>179</v>
      </c>
      <c r="Q15" s="13" t="s">
        <v>179</v>
      </c>
      <c r="R15" s="13" t="s">
        <v>179</v>
      </c>
      <c r="S15" s="13" t="s">
        <v>179</v>
      </c>
      <c r="T15" s="11" t="s">
        <v>265</v>
      </c>
      <c r="U15" s="13" t="s">
        <v>179</v>
      </c>
      <c r="V15" s="13" t="s">
        <v>179</v>
      </c>
      <c r="W15" s="13" t="s">
        <v>179</v>
      </c>
      <c r="X15" s="13" t="s">
        <v>179</v>
      </c>
      <c r="Y15" s="13" t="s">
        <v>179</v>
      </c>
      <c r="Z15" s="13" t="s">
        <v>179</v>
      </c>
      <c r="AA15" s="16">
        <v>28.21</v>
      </c>
      <c r="AB15" s="16">
        <v>71.79</v>
      </c>
      <c r="AC15" s="16">
        <v>39</v>
      </c>
      <c r="AD15" s="11" t="s">
        <v>212</v>
      </c>
      <c r="AE15" s="16">
        <v>56.3</v>
      </c>
      <c r="AF15" s="16">
        <v>16</v>
      </c>
      <c r="AG15" s="11" t="s">
        <v>225</v>
      </c>
      <c r="AH15" s="16">
        <v>25</v>
      </c>
      <c r="AI15" s="11" t="s">
        <v>224</v>
      </c>
      <c r="AJ15" s="16">
        <v>12.5</v>
      </c>
      <c r="AK15" s="11" t="s">
        <v>266</v>
      </c>
      <c r="AL15" s="16">
        <v>12.5</v>
      </c>
      <c r="AM15" s="16">
        <v>100</v>
      </c>
      <c r="AN15" s="16">
        <v>22.2</v>
      </c>
      <c r="AO15" s="13" t="s">
        <v>179</v>
      </c>
      <c r="AP15" s="13" t="s">
        <v>179</v>
      </c>
      <c r="AQ15" s="13" t="s">
        <v>179</v>
      </c>
      <c r="AR15" s="16">
        <v>16.7</v>
      </c>
      <c r="AS15" s="13" t="s">
        <v>179</v>
      </c>
      <c r="AT15" s="16">
        <v>4.2</v>
      </c>
      <c r="AU15" s="13" t="s">
        <v>179</v>
      </c>
      <c r="AV15" s="16">
        <v>4.2</v>
      </c>
      <c r="AW15" s="16">
        <v>12.5</v>
      </c>
      <c r="AX15" s="16">
        <v>4.2</v>
      </c>
      <c r="AY15" s="16">
        <v>8.3</v>
      </c>
      <c r="AZ15" s="16">
        <v>4.2</v>
      </c>
      <c r="BA15" s="13" t="s">
        <v>179</v>
      </c>
      <c r="BB15" s="16">
        <v>12.5</v>
      </c>
      <c r="BC15" s="16">
        <v>20.8</v>
      </c>
      <c r="BD15" s="16">
        <v>4.2</v>
      </c>
      <c r="BE15" s="16">
        <v>4.2</v>
      </c>
      <c r="BF15" s="16">
        <v>4.2</v>
      </c>
      <c r="BG15" s="14">
        <v>0.28</v>
      </c>
      <c r="BH15" s="11" t="s">
        <v>184</v>
      </c>
      <c r="BI15" s="12">
        <v>577655.67</v>
      </c>
      <c r="BJ15" s="12">
        <v>557850</v>
      </c>
      <c r="BK15" s="15">
        <v>0.996</v>
      </c>
      <c r="BL15" s="12">
        <v>9</v>
      </c>
      <c r="BM15" s="14">
        <v>5.74</v>
      </c>
      <c r="BN15" s="12">
        <v>47</v>
      </c>
      <c r="BO15" s="11" t="s">
        <v>175</v>
      </c>
      <c r="BP15" s="17">
        <v>-0.022</v>
      </c>
      <c r="BQ15" s="16">
        <v>0</v>
      </c>
      <c r="BR15" s="13" t="s">
        <v>179</v>
      </c>
      <c r="BS15" s="18">
        <v>54</v>
      </c>
      <c r="BT15" s="18">
        <v>51</v>
      </c>
      <c r="BU15" s="18">
        <v>56</v>
      </c>
      <c r="BV15" s="13" t="s">
        <v>179</v>
      </c>
      <c r="BW15" s="11">
        <f>ROUND((IF(ISNUMBER(KOL_Source_Data!$K$15),1,IF(AND(ISTEXT(KOL_Source_Data!$K$15),KOL_Source_Data!$K$15&lt;&gt;"N/A"),1,0))+IF(ISNUMBER(KOL_Source_Data!$BG$15),1,IF(AND(ISTEXT(KOL_Source_Data!$BG$15),KOL_Source_Data!$BG$15&lt;&gt;"N/A"),1,0))+IF(ISNUMBER(KOL_Source_Data!$BI$15),1,IF(AND(ISTEXT(KOL_Source_Data!$BI$15),KOL_Source_Data!$BI$15&lt;&gt;"N/A"),1,0))+IF(ISNUMBER(KOL_Source_Data!$BK$15),1,IF(AND(ISTEXT(KOL_Source_Data!$BK$15),KOL_Source_Data!$BK$15&lt;&gt;"N/A"),1,0))+IF(ISNUMBER(KOL_Source_Data!$AA$15),1,IF(AND(ISTEXT(KOL_Source_Data!$AA$15),KOL_Source_Data!$AA$15&lt;&gt;"N/A"),1,0))+IF(ISNUMBER(KOL_Source_Data!$AE$15),1,IF(AND(ISTEXT(KOL_Source_Data!$AE$15),KOL_Source_Data!$AE$15&lt;&gt;"N/A"),1,0))+IF(ISNUMBER(KOL_Source_Data!$AH$15),1,IF(AND(ISTEXT(KOL_Source_Data!$AH$15),KOL_Source_Data!$AH$15&lt;&gt;"N/A"),1,0))+IF(ISNUMBER(KOL_Source_Data!$AN$15),1,IF(AND(ISTEXT(KOL_Source_Data!$AN$15),KOL_Source_Data!$AN$15&lt;&gt;"N/A"),1,0))+IF(ISNUMBER(KOL_Source_Data!$BS$15),1,IF(AND(ISTEXT(KOL_Source_Data!$BS$15),KOL_Source_Data!$BS$15&lt;&gt;"N/A"),1,0))+IF(ISNUMBER(KOL_Source_Data!$BT$15),1,IF(AND(ISTEXT(KOL_Source_Data!$BT$15),KOL_Source_Data!$BT$15&lt;&gt;"N/A"),1,0))+IF(ISNUMBER(KOL_Source_Data!$BU$15),1,IF(AND(ISTEXT(KOL_Source_Data!$BU$15),KOL_Source_Data!$BU$15&lt;&gt;"N/A"),1,0))+IF(ISNUMBER(KOL_Source_Data!$BM$15),1,IF(AND(ISTEXT(KOL_Source_Data!$BM$15),KOL_Source_Data!$BM$15&lt;&gt;"N/A"),1,0)))/12*100,0)</f>
      </c>
      <c r="BX15" s="11">
        <f>IF(KOL_Source_Data!$BW$15&gt;=Lookup_Lists!$D$159,"High",IF(KOL_Source_Data!$BW$15&gt;=Lookup_Lists!$D$160,"Medium","Limited Data"))</f>
      </c>
      <c r="BY15" s="11" t="s">
        <v>195</v>
      </c>
    </row>
    <row r="16" spans="1:77" x14ac:dyDescent="0.25">
      <c r="A16" s="10" t="s">
        <v>267</v>
      </c>
      <c r="B16" s="11" t="s">
        <v>268</v>
      </c>
      <c r="C16" s="11" t="s">
        <v>268</v>
      </c>
      <c r="D16" s="11" t="s">
        <v>269</v>
      </c>
      <c r="E16" s="11" t="s">
        <v>173</v>
      </c>
      <c r="F16" s="11" t="s">
        <v>174</v>
      </c>
      <c r="G16" s="12">
        <v>14916540</v>
      </c>
      <c r="H16" s="11">
        <f>IFERROR(INDEX(Lookup_Lists!$A$96:$A$100,MATCH(KOL_Source_Data!$G$16,Lookup_Lists!$B$96:$B$100,1)),"N/A")</f>
      </c>
      <c r="I16" s="11" t="s">
        <v>175</v>
      </c>
      <c r="J16" s="13" t="s">
        <v>179</v>
      </c>
      <c r="K16" s="13" t="s">
        <v>179</v>
      </c>
      <c r="L16" s="13" t="s">
        <v>179</v>
      </c>
      <c r="M16" s="13" t="s">
        <v>179</v>
      </c>
      <c r="N16" s="11" t="s">
        <v>270</v>
      </c>
      <c r="O16" s="11" t="s">
        <v>271</v>
      </c>
      <c r="P16" s="13" t="s">
        <v>179</v>
      </c>
      <c r="Q16" s="13" t="s">
        <v>179</v>
      </c>
      <c r="R16" s="13" t="s">
        <v>179</v>
      </c>
      <c r="S16" s="11" t="s">
        <v>272</v>
      </c>
      <c r="T16" s="11" t="s">
        <v>273</v>
      </c>
      <c r="U16" s="11" t="s">
        <v>274</v>
      </c>
      <c r="V16" s="13" t="s">
        <v>179</v>
      </c>
      <c r="W16" s="13" t="s">
        <v>179</v>
      </c>
      <c r="X16" s="13" t="s">
        <v>179</v>
      </c>
      <c r="Y16" s="13" t="s">
        <v>179</v>
      </c>
      <c r="Z16" s="13" t="s">
        <v>179</v>
      </c>
      <c r="AA16" s="16">
        <v>71.79</v>
      </c>
      <c r="AB16" s="16">
        <v>28.21</v>
      </c>
      <c r="AC16" s="16">
        <v>39</v>
      </c>
      <c r="AD16" s="11" t="s">
        <v>212</v>
      </c>
      <c r="AE16" s="16">
        <v>70</v>
      </c>
      <c r="AF16" s="16">
        <v>10</v>
      </c>
      <c r="AG16" s="11" t="s">
        <v>243</v>
      </c>
      <c r="AH16" s="16">
        <v>16.7</v>
      </c>
      <c r="AI16" s="11" t="s">
        <v>275</v>
      </c>
      <c r="AJ16" s="16">
        <v>16.7</v>
      </c>
      <c r="AK16" s="11" t="s">
        <v>276</v>
      </c>
      <c r="AL16" s="16">
        <v>16.7</v>
      </c>
      <c r="AM16" s="16">
        <v>100</v>
      </c>
      <c r="AN16" s="16">
        <v>21.7</v>
      </c>
      <c r="AO16" s="16">
        <v>4.3</v>
      </c>
      <c r="AP16" s="16">
        <v>4.3</v>
      </c>
      <c r="AQ16" s="16">
        <v>4.3</v>
      </c>
      <c r="AR16" s="16">
        <v>21.7</v>
      </c>
      <c r="AS16" s="16">
        <v>4.3</v>
      </c>
      <c r="AT16" s="16">
        <v>4.3</v>
      </c>
      <c r="AU16" s="13" t="s">
        <v>179</v>
      </c>
      <c r="AV16" s="16">
        <v>4.3</v>
      </c>
      <c r="AW16" s="16">
        <v>4.3</v>
      </c>
      <c r="AX16" s="13" t="s">
        <v>179</v>
      </c>
      <c r="AY16" s="16">
        <v>4.3</v>
      </c>
      <c r="AZ16" s="16">
        <v>8.7</v>
      </c>
      <c r="BA16" s="13" t="s">
        <v>179</v>
      </c>
      <c r="BB16" s="16">
        <v>4.3</v>
      </c>
      <c r="BC16" s="16">
        <v>17.4</v>
      </c>
      <c r="BD16" s="16">
        <v>4.3</v>
      </c>
      <c r="BE16" s="16">
        <v>8.7</v>
      </c>
      <c r="BF16" s="13" t="s">
        <v>179</v>
      </c>
      <c r="BG16" s="14">
        <v>0.25</v>
      </c>
      <c r="BH16" s="11" t="s">
        <v>184</v>
      </c>
      <c r="BI16" s="13" t="s">
        <v>179</v>
      </c>
      <c r="BJ16" s="13" t="s">
        <v>179</v>
      </c>
      <c r="BK16" s="13" t="s">
        <v>179</v>
      </c>
      <c r="BL16" s="12">
        <v>0</v>
      </c>
      <c r="BM16" s="13" t="s">
        <v>179</v>
      </c>
      <c r="BN16" s="13" t="s">
        <v>179</v>
      </c>
      <c r="BO16" s="13" t="s">
        <v>179</v>
      </c>
      <c r="BP16" s="17">
        <v>-0.0281</v>
      </c>
      <c r="BQ16" s="13" t="s">
        <v>179</v>
      </c>
      <c r="BR16" s="13" t="s">
        <v>179</v>
      </c>
      <c r="BS16" s="18">
        <v>62</v>
      </c>
      <c r="BT16" s="18">
        <v>42</v>
      </c>
      <c r="BU16" s="18">
        <v>81</v>
      </c>
      <c r="BV16" s="13" t="s">
        <v>179</v>
      </c>
      <c r="BW16" s="11">
        <f>ROUND((IF(ISNUMBER(KOL_Source_Data!$K$16),1,IF(AND(ISTEXT(KOL_Source_Data!$K$16),KOL_Source_Data!$K$16&lt;&gt;"N/A"),1,0))+IF(ISNUMBER(KOL_Source_Data!$BG$16),1,IF(AND(ISTEXT(KOL_Source_Data!$BG$16),KOL_Source_Data!$BG$16&lt;&gt;"N/A"),1,0))+IF(ISNUMBER(KOL_Source_Data!$BI$16),1,IF(AND(ISTEXT(KOL_Source_Data!$BI$16),KOL_Source_Data!$BI$16&lt;&gt;"N/A"),1,0))+IF(ISNUMBER(KOL_Source_Data!$BK$16),1,IF(AND(ISTEXT(KOL_Source_Data!$BK$16),KOL_Source_Data!$BK$16&lt;&gt;"N/A"),1,0))+IF(ISNUMBER(KOL_Source_Data!$AA$16),1,IF(AND(ISTEXT(KOL_Source_Data!$AA$16),KOL_Source_Data!$AA$16&lt;&gt;"N/A"),1,0))+IF(ISNUMBER(KOL_Source_Data!$AE$16),1,IF(AND(ISTEXT(KOL_Source_Data!$AE$16),KOL_Source_Data!$AE$16&lt;&gt;"N/A"),1,0))+IF(ISNUMBER(KOL_Source_Data!$AH$16),1,IF(AND(ISTEXT(KOL_Source_Data!$AH$16),KOL_Source_Data!$AH$16&lt;&gt;"N/A"),1,0))+IF(ISNUMBER(KOL_Source_Data!$AN$16),1,IF(AND(ISTEXT(KOL_Source_Data!$AN$16),KOL_Source_Data!$AN$16&lt;&gt;"N/A"),1,0))+IF(ISNUMBER(KOL_Source_Data!$BS$16),1,IF(AND(ISTEXT(KOL_Source_Data!$BS$16),KOL_Source_Data!$BS$16&lt;&gt;"N/A"),1,0))+IF(ISNUMBER(KOL_Source_Data!$BT$16),1,IF(AND(ISTEXT(KOL_Source_Data!$BT$16),KOL_Source_Data!$BT$16&lt;&gt;"N/A"),1,0))+IF(ISNUMBER(KOL_Source_Data!$BU$16),1,IF(AND(ISTEXT(KOL_Source_Data!$BU$16),KOL_Source_Data!$BU$16&lt;&gt;"N/A"),1,0))+IF(ISNUMBER(KOL_Source_Data!$BM$16),1,IF(AND(ISTEXT(KOL_Source_Data!$BM$16),KOL_Source_Data!$BM$16&lt;&gt;"N/A"),1,0)))/12*100,0)</f>
      </c>
      <c r="BX16" s="11">
        <f>IF(KOL_Source_Data!$BW$16&gt;=Lookup_Lists!$D$159,"High",IF(KOL_Source_Data!$BW$16&gt;=Lookup_Lists!$D$160,"Medium","Limited Data"))</f>
      </c>
      <c r="BY16" s="11" t="s">
        <v>202</v>
      </c>
    </row>
    <row r="17" spans="1:77" x14ac:dyDescent="0.25">
      <c r="A17" s="10" t="s">
        <v>277</v>
      </c>
      <c r="B17" s="11" t="s">
        <v>278</v>
      </c>
      <c r="C17" s="11" t="s">
        <v>278</v>
      </c>
      <c r="D17" s="11" t="s">
        <v>279</v>
      </c>
      <c r="E17" s="11" t="s">
        <v>173</v>
      </c>
      <c r="F17" s="11" t="s">
        <v>174</v>
      </c>
      <c r="G17" s="12">
        <v>14398391</v>
      </c>
      <c r="H17" s="11">
        <f>IFERROR(INDEX(Lookup_Lists!$A$96:$A$100,MATCH(KOL_Source_Data!$G$17,Lookup_Lists!$B$96:$B$100,1)),"N/A")</f>
      </c>
      <c r="I17" s="11" t="s">
        <v>175</v>
      </c>
      <c r="J17" s="13" t="s">
        <v>179</v>
      </c>
      <c r="K17" s="13" t="s">
        <v>179</v>
      </c>
      <c r="L17" s="13" t="s">
        <v>179</v>
      </c>
      <c r="M17" s="13" t="s">
        <v>179</v>
      </c>
      <c r="N17" s="11" t="s">
        <v>280</v>
      </c>
      <c r="O17" s="11" t="s">
        <v>281</v>
      </c>
      <c r="P17" s="13" t="s">
        <v>179</v>
      </c>
      <c r="Q17" s="13" t="s">
        <v>179</v>
      </c>
      <c r="R17" s="13" t="s">
        <v>179</v>
      </c>
      <c r="S17" s="11" t="s">
        <v>282</v>
      </c>
      <c r="T17" s="11" t="s">
        <v>283</v>
      </c>
      <c r="U17" s="11" t="s">
        <v>284</v>
      </c>
      <c r="V17" s="13" t="s">
        <v>179</v>
      </c>
      <c r="W17" s="13" t="s">
        <v>179</v>
      </c>
      <c r="X17" s="13" t="s">
        <v>179</v>
      </c>
      <c r="Y17" s="13" t="s">
        <v>179</v>
      </c>
      <c r="Z17" s="13" t="s">
        <v>179</v>
      </c>
      <c r="AA17" s="16">
        <v>71.43</v>
      </c>
      <c r="AB17" s="16">
        <v>28.57</v>
      </c>
      <c r="AC17" s="16">
        <v>21</v>
      </c>
      <c r="AD17" s="11" t="s">
        <v>212</v>
      </c>
      <c r="AE17" s="16">
        <v>80</v>
      </c>
      <c r="AF17" s="16">
        <v>5</v>
      </c>
      <c r="AG17" s="11" t="s">
        <v>285</v>
      </c>
      <c r="AH17" s="16">
        <v>50</v>
      </c>
      <c r="AI17" s="11" t="s">
        <v>286</v>
      </c>
      <c r="AJ17" s="16">
        <v>50</v>
      </c>
      <c r="AK17" s="13" t="s">
        <v>179</v>
      </c>
      <c r="AL17" s="13" t="s">
        <v>179</v>
      </c>
      <c r="AM17" s="16">
        <v>100</v>
      </c>
      <c r="AN17" s="16">
        <v>10.8</v>
      </c>
      <c r="AO17" s="13" t="s">
        <v>179</v>
      </c>
      <c r="AP17" s="13" t="s">
        <v>179</v>
      </c>
      <c r="AQ17" s="16">
        <v>9.1</v>
      </c>
      <c r="AR17" s="16">
        <v>18.2</v>
      </c>
      <c r="AS17" s="16">
        <v>9.1</v>
      </c>
      <c r="AT17" s="13" t="s">
        <v>179</v>
      </c>
      <c r="AU17" s="13" t="s">
        <v>179</v>
      </c>
      <c r="AV17" s="13" t="s">
        <v>179</v>
      </c>
      <c r="AW17" s="16">
        <v>18.2</v>
      </c>
      <c r="AX17" s="13" t="s">
        <v>179</v>
      </c>
      <c r="AY17" s="13" t="s">
        <v>179</v>
      </c>
      <c r="AZ17" s="13" t="s">
        <v>179</v>
      </c>
      <c r="BA17" s="13" t="s">
        <v>179</v>
      </c>
      <c r="BB17" s="13" t="s">
        <v>179</v>
      </c>
      <c r="BC17" s="16">
        <v>18.2</v>
      </c>
      <c r="BD17" s="16">
        <v>18.2</v>
      </c>
      <c r="BE17" s="13" t="s">
        <v>179</v>
      </c>
      <c r="BF17" s="16">
        <v>9.1</v>
      </c>
      <c r="BG17" s="14">
        <v>3.07</v>
      </c>
      <c r="BH17" s="11" t="s">
        <v>184</v>
      </c>
      <c r="BI17" s="12">
        <v>10433740.4</v>
      </c>
      <c r="BJ17" s="12">
        <v>7989419</v>
      </c>
      <c r="BK17" s="13" t="s">
        <v>179</v>
      </c>
      <c r="BL17" s="12">
        <v>6</v>
      </c>
      <c r="BM17" s="14">
        <v>6.67</v>
      </c>
      <c r="BN17" s="12">
        <v>27</v>
      </c>
      <c r="BO17" s="11" t="s">
        <v>175</v>
      </c>
      <c r="BP17" s="17">
        <v>0.0038</v>
      </c>
      <c r="BQ17" s="16">
        <v>0</v>
      </c>
      <c r="BR17" s="13" t="s">
        <v>179</v>
      </c>
      <c r="BS17" s="18">
        <v>58</v>
      </c>
      <c r="BT17" s="18">
        <v>64</v>
      </c>
      <c r="BU17" s="18">
        <v>53</v>
      </c>
      <c r="BV17" s="13" t="s">
        <v>179</v>
      </c>
      <c r="BW17" s="11">
        <f>ROUND((IF(ISNUMBER(KOL_Source_Data!$K$17),1,IF(AND(ISTEXT(KOL_Source_Data!$K$17),KOL_Source_Data!$K$17&lt;&gt;"N/A"),1,0))+IF(ISNUMBER(KOL_Source_Data!$BG$17),1,IF(AND(ISTEXT(KOL_Source_Data!$BG$17),KOL_Source_Data!$BG$17&lt;&gt;"N/A"),1,0))+IF(ISNUMBER(KOL_Source_Data!$BI$17),1,IF(AND(ISTEXT(KOL_Source_Data!$BI$17),KOL_Source_Data!$BI$17&lt;&gt;"N/A"),1,0))+IF(ISNUMBER(KOL_Source_Data!$BK$17),1,IF(AND(ISTEXT(KOL_Source_Data!$BK$17),KOL_Source_Data!$BK$17&lt;&gt;"N/A"),1,0))+IF(ISNUMBER(KOL_Source_Data!$AA$17),1,IF(AND(ISTEXT(KOL_Source_Data!$AA$17),KOL_Source_Data!$AA$17&lt;&gt;"N/A"),1,0))+IF(ISNUMBER(KOL_Source_Data!$AE$17),1,IF(AND(ISTEXT(KOL_Source_Data!$AE$17),KOL_Source_Data!$AE$17&lt;&gt;"N/A"),1,0))+IF(ISNUMBER(KOL_Source_Data!$AH$17),1,IF(AND(ISTEXT(KOL_Source_Data!$AH$17),KOL_Source_Data!$AH$17&lt;&gt;"N/A"),1,0))+IF(ISNUMBER(KOL_Source_Data!$AN$17),1,IF(AND(ISTEXT(KOL_Source_Data!$AN$17),KOL_Source_Data!$AN$17&lt;&gt;"N/A"),1,0))+IF(ISNUMBER(KOL_Source_Data!$BS$17),1,IF(AND(ISTEXT(KOL_Source_Data!$BS$17),KOL_Source_Data!$BS$17&lt;&gt;"N/A"),1,0))+IF(ISNUMBER(KOL_Source_Data!$BT$17),1,IF(AND(ISTEXT(KOL_Source_Data!$BT$17),KOL_Source_Data!$BT$17&lt;&gt;"N/A"),1,0))+IF(ISNUMBER(KOL_Source_Data!$BU$17),1,IF(AND(ISTEXT(KOL_Source_Data!$BU$17),KOL_Source_Data!$BU$17&lt;&gt;"N/A"),1,0))+IF(ISNUMBER(KOL_Source_Data!$BM$17),1,IF(AND(ISTEXT(KOL_Source_Data!$BM$17),KOL_Source_Data!$BM$17&lt;&gt;"N/A"),1,0)))/12*100,0)</f>
      </c>
      <c r="BX17" s="11">
        <f>IF(KOL_Source_Data!$BW$17&gt;=Lookup_Lists!$D$159,"High",IF(KOL_Source_Data!$BW$17&gt;=Lookup_Lists!$D$160,"Medium","Limited Data"))</f>
      </c>
      <c r="BY17" s="11" t="s">
        <v>202</v>
      </c>
    </row>
    <row r="18" spans="1:77" x14ac:dyDescent="0.25">
      <c r="A18" s="10" t="s">
        <v>287</v>
      </c>
      <c r="B18" s="11" t="s">
        <v>288</v>
      </c>
      <c r="C18" s="11" t="s">
        <v>288</v>
      </c>
      <c r="D18" s="11" t="s">
        <v>289</v>
      </c>
      <c r="E18" s="11" t="s">
        <v>173</v>
      </c>
      <c r="F18" s="11" t="s">
        <v>174</v>
      </c>
      <c r="G18" s="12">
        <v>2249679</v>
      </c>
      <c r="H18" s="11">
        <f>IFERROR(INDEX(Lookup_Lists!$A$96:$A$100,MATCH(KOL_Source_Data!$G$18,Lookup_Lists!$B$96:$B$100,1)),"N/A")</f>
      </c>
      <c r="I18" s="11" t="s">
        <v>175</v>
      </c>
      <c r="J18" s="13" t="s">
        <v>179</v>
      </c>
      <c r="K18" s="13" t="s">
        <v>179</v>
      </c>
      <c r="L18" s="13" t="s">
        <v>179</v>
      </c>
      <c r="M18" s="13" t="s">
        <v>179</v>
      </c>
      <c r="N18" s="13" t="s">
        <v>179</v>
      </c>
      <c r="O18" s="13" t="s">
        <v>179</v>
      </c>
      <c r="P18" s="13" t="s">
        <v>179</v>
      </c>
      <c r="Q18" s="13" t="s">
        <v>179</v>
      </c>
      <c r="R18" s="13" t="s">
        <v>179</v>
      </c>
      <c r="S18" s="11" t="s">
        <v>290</v>
      </c>
      <c r="T18" s="11" t="s">
        <v>291</v>
      </c>
      <c r="U18" s="11" t="s">
        <v>292</v>
      </c>
      <c r="V18" s="13" t="s">
        <v>179</v>
      </c>
      <c r="W18" s="13" t="s">
        <v>179</v>
      </c>
      <c r="X18" s="13" t="s">
        <v>179</v>
      </c>
      <c r="Y18" s="13" t="s">
        <v>179</v>
      </c>
      <c r="Z18" s="13" t="s">
        <v>179</v>
      </c>
      <c r="AA18" s="16">
        <v>20</v>
      </c>
      <c r="AB18" s="16">
        <v>80</v>
      </c>
      <c r="AC18" s="16">
        <v>30</v>
      </c>
      <c r="AD18" s="11" t="s">
        <v>212</v>
      </c>
      <c r="AE18" s="16">
        <v>55.6</v>
      </c>
      <c r="AF18" s="16">
        <v>9</v>
      </c>
      <c r="AG18" s="13" t="s">
        <v>179</v>
      </c>
      <c r="AH18" s="13" t="s">
        <v>179</v>
      </c>
      <c r="AI18" s="13" t="s">
        <v>179</v>
      </c>
      <c r="AJ18" s="13" t="s">
        <v>179</v>
      </c>
      <c r="AK18" s="13" t="s">
        <v>179</v>
      </c>
      <c r="AL18" s="13" t="s">
        <v>179</v>
      </c>
      <c r="AM18" s="13" t="s">
        <v>179</v>
      </c>
      <c r="AN18" s="16">
        <v>7</v>
      </c>
      <c r="AO18" s="13" t="s">
        <v>179</v>
      </c>
      <c r="AP18" s="13" t="s">
        <v>179</v>
      </c>
      <c r="AQ18" s="13" t="s">
        <v>179</v>
      </c>
      <c r="AR18" s="13" t="s">
        <v>179</v>
      </c>
      <c r="AS18" s="16">
        <v>14.3</v>
      </c>
      <c r="AT18" s="13" t="s">
        <v>179</v>
      </c>
      <c r="AU18" s="13" t="s">
        <v>179</v>
      </c>
      <c r="AV18" s="13" t="s">
        <v>179</v>
      </c>
      <c r="AW18" s="13" t="s">
        <v>179</v>
      </c>
      <c r="AX18" s="13" t="s">
        <v>179</v>
      </c>
      <c r="AY18" s="16">
        <v>14.3</v>
      </c>
      <c r="AZ18" s="16">
        <v>14.3</v>
      </c>
      <c r="BA18" s="13" t="s">
        <v>179</v>
      </c>
      <c r="BB18" s="13" t="s">
        <v>179</v>
      </c>
      <c r="BC18" s="16">
        <v>42.9</v>
      </c>
      <c r="BD18" s="16">
        <v>14.3</v>
      </c>
      <c r="BE18" s="13" t="s">
        <v>179</v>
      </c>
      <c r="BF18" s="13" t="s">
        <v>179</v>
      </c>
      <c r="BG18" s="14">
        <v>0.72</v>
      </c>
      <c r="BH18" s="11" t="s">
        <v>184</v>
      </c>
      <c r="BI18" s="12">
        <v>501299.75</v>
      </c>
      <c r="BJ18" s="12">
        <v>335177.5</v>
      </c>
      <c r="BK18" s="15">
        <v>24.1573</v>
      </c>
      <c r="BL18" s="12">
        <v>8</v>
      </c>
      <c r="BM18" s="14">
        <v>1.03</v>
      </c>
      <c r="BN18" s="12">
        <v>233</v>
      </c>
      <c r="BO18" s="11" t="s">
        <v>175</v>
      </c>
      <c r="BP18" s="17">
        <v>0</v>
      </c>
      <c r="BQ18" s="16">
        <v>0</v>
      </c>
      <c r="BR18" s="13" t="s">
        <v>179</v>
      </c>
      <c r="BS18" s="18">
        <v>59</v>
      </c>
      <c r="BT18" s="18">
        <v>48</v>
      </c>
      <c r="BU18" s="18">
        <v>70</v>
      </c>
      <c r="BV18" s="13" t="s">
        <v>179</v>
      </c>
      <c r="BW18" s="11">
        <f>ROUND((IF(ISNUMBER(KOL_Source_Data!$K$18),1,IF(AND(ISTEXT(KOL_Source_Data!$K$18),KOL_Source_Data!$K$18&lt;&gt;"N/A"),1,0))+IF(ISNUMBER(KOL_Source_Data!$BG$18),1,IF(AND(ISTEXT(KOL_Source_Data!$BG$18),KOL_Source_Data!$BG$18&lt;&gt;"N/A"),1,0))+IF(ISNUMBER(KOL_Source_Data!$BI$18),1,IF(AND(ISTEXT(KOL_Source_Data!$BI$18),KOL_Source_Data!$BI$18&lt;&gt;"N/A"),1,0))+IF(ISNUMBER(KOL_Source_Data!$BK$18),1,IF(AND(ISTEXT(KOL_Source_Data!$BK$18),KOL_Source_Data!$BK$18&lt;&gt;"N/A"),1,0))+IF(ISNUMBER(KOL_Source_Data!$AA$18),1,IF(AND(ISTEXT(KOL_Source_Data!$AA$18),KOL_Source_Data!$AA$18&lt;&gt;"N/A"),1,0))+IF(ISNUMBER(KOL_Source_Data!$AE$18),1,IF(AND(ISTEXT(KOL_Source_Data!$AE$18),KOL_Source_Data!$AE$18&lt;&gt;"N/A"),1,0))+IF(ISNUMBER(KOL_Source_Data!$AH$18),1,IF(AND(ISTEXT(KOL_Source_Data!$AH$18),KOL_Source_Data!$AH$18&lt;&gt;"N/A"),1,0))+IF(ISNUMBER(KOL_Source_Data!$AN$18),1,IF(AND(ISTEXT(KOL_Source_Data!$AN$18),KOL_Source_Data!$AN$18&lt;&gt;"N/A"),1,0))+IF(ISNUMBER(KOL_Source_Data!$BS$18),1,IF(AND(ISTEXT(KOL_Source_Data!$BS$18),KOL_Source_Data!$BS$18&lt;&gt;"N/A"),1,0))+IF(ISNUMBER(KOL_Source_Data!$BT$18),1,IF(AND(ISTEXT(KOL_Source_Data!$BT$18),KOL_Source_Data!$BT$18&lt;&gt;"N/A"),1,0))+IF(ISNUMBER(KOL_Source_Data!$BU$18),1,IF(AND(ISTEXT(KOL_Source_Data!$BU$18),KOL_Source_Data!$BU$18&lt;&gt;"N/A"),1,0))+IF(ISNUMBER(KOL_Source_Data!$BM$18),1,IF(AND(ISTEXT(KOL_Source_Data!$BM$18),KOL_Source_Data!$BM$18&lt;&gt;"N/A"),1,0)))/12*100,0)</f>
      </c>
      <c r="BX18" s="11">
        <f>IF(KOL_Source_Data!$BW$18&gt;=Lookup_Lists!$D$159,"High",IF(KOL_Source_Data!$BW$18&gt;=Lookup_Lists!$D$160,"Medium","Limited Data"))</f>
      </c>
      <c r="BY18" s="11" t="s">
        <v>202</v>
      </c>
    </row>
    <row r="19" spans="1:77" x14ac:dyDescent="0.25">
      <c r="A19" s="10" t="s">
        <v>293</v>
      </c>
      <c r="B19" s="11" t="s">
        <v>294</v>
      </c>
      <c r="C19" s="11" t="s">
        <v>294</v>
      </c>
      <c r="D19" s="11" t="s">
        <v>295</v>
      </c>
      <c r="E19" s="11" t="s">
        <v>231</v>
      </c>
      <c r="F19" s="11" t="s">
        <v>174</v>
      </c>
      <c r="G19" s="12">
        <v>13200000</v>
      </c>
      <c r="H19" s="11">
        <f>IFERROR(INDEX(Lookup_Lists!$A$96:$A$100,MATCH(KOL_Source_Data!$G$19,Lookup_Lists!$B$96:$B$100,1)),"N/A")</f>
      </c>
      <c r="I19" s="11" t="s">
        <v>175</v>
      </c>
      <c r="J19" s="13" t="s">
        <v>179</v>
      </c>
      <c r="K19" s="13" t="s">
        <v>179</v>
      </c>
      <c r="L19" s="13" t="s">
        <v>179</v>
      </c>
      <c r="M19" s="13" t="s">
        <v>179</v>
      </c>
      <c r="N19" s="11" t="s">
        <v>296</v>
      </c>
      <c r="O19" s="11" t="s">
        <v>297</v>
      </c>
      <c r="P19" s="13" t="s">
        <v>179</v>
      </c>
      <c r="Q19" s="13" t="s">
        <v>179</v>
      </c>
      <c r="R19" s="13" t="s">
        <v>179</v>
      </c>
      <c r="S19" s="13" t="s">
        <v>179</v>
      </c>
      <c r="T19" s="11" t="s">
        <v>298</v>
      </c>
      <c r="U19" s="11" t="s">
        <v>299</v>
      </c>
      <c r="V19" s="13" t="s">
        <v>179</v>
      </c>
      <c r="W19" s="13" t="s">
        <v>179</v>
      </c>
      <c r="X19" s="13" t="s">
        <v>179</v>
      </c>
      <c r="Y19" s="13" t="s">
        <v>179</v>
      </c>
      <c r="Z19" s="13" t="s">
        <v>179</v>
      </c>
      <c r="AA19" s="16">
        <v>69.23</v>
      </c>
      <c r="AB19" s="16">
        <v>30.77</v>
      </c>
      <c r="AC19" s="16">
        <v>26</v>
      </c>
      <c r="AD19" s="11" t="s">
        <v>212</v>
      </c>
      <c r="AE19" s="16">
        <v>40</v>
      </c>
      <c r="AF19" s="16">
        <v>10</v>
      </c>
      <c r="AG19" s="11" t="s">
        <v>300</v>
      </c>
      <c r="AH19" s="16">
        <v>100</v>
      </c>
      <c r="AI19" s="13" t="s">
        <v>179</v>
      </c>
      <c r="AJ19" s="13" t="s">
        <v>179</v>
      </c>
      <c r="AK19" s="13" t="s">
        <v>179</v>
      </c>
      <c r="AL19" s="13" t="s">
        <v>179</v>
      </c>
      <c r="AM19" s="16">
        <v>100</v>
      </c>
      <c r="AN19" s="16">
        <v>18.3</v>
      </c>
      <c r="AO19" s="16">
        <v>15.8</v>
      </c>
      <c r="AP19" s="13" t="s">
        <v>179</v>
      </c>
      <c r="AQ19" s="16">
        <v>21.1</v>
      </c>
      <c r="AR19" s="13" t="s">
        <v>179</v>
      </c>
      <c r="AS19" s="13" t="s">
        <v>179</v>
      </c>
      <c r="AT19" s="13" t="s">
        <v>179</v>
      </c>
      <c r="AU19" s="16">
        <v>10.5</v>
      </c>
      <c r="AV19" s="13" t="s">
        <v>179</v>
      </c>
      <c r="AW19" s="13" t="s">
        <v>179</v>
      </c>
      <c r="AX19" s="16">
        <v>15.8</v>
      </c>
      <c r="AY19" s="16">
        <v>5.3</v>
      </c>
      <c r="AZ19" s="16">
        <v>10.5</v>
      </c>
      <c r="BA19" s="13" t="s">
        <v>179</v>
      </c>
      <c r="BB19" s="16">
        <v>5.3</v>
      </c>
      <c r="BC19" s="16">
        <v>10.5</v>
      </c>
      <c r="BD19" s="13" t="s">
        <v>179</v>
      </c>
      <c r="BE19" s="16">
        <v>5.3</v>
      </c>
      <c r="BF19" s="13" t="s">
        <v>179</v>
      </c>
      <c r="BG19" s="14">
        <v>0.19</v>
      </c>
      <c r="BH19" s="11" t="s">
        <v>235</v>
      </c>
      <c r="BI19" s="12">
        <v>47997390</v>
      </c>
      <c r="BJ19" s="12">
        <v>354300</v>
      </c>
      <c r="BK19" s="15">
        <v>1.7595</v>
      </c>
      <c r="BL19" s="13" t="s">
        <v>179</v>
      </c>
      <c r="BM19" s="14">
        <v>0.35</v>
      </c>
      <c r="BN19" s="12">
        <v>851</v>
      </c>
      <c r="BO19" s="11" t="s">
        <v>175</v>
      </c>
      <c r="BP19" s="17">
        <v>0</v>
      </c>
      <c r="BQ19" s="16">
        <v>10</v>
      </c>
      <c r="BR19" s="13" t="s">
        <v>179</v>
      </c>
      <c r="BS19" s="18">
        <v>67</v>
      </c>
      <c r="BT19" s="18">
        <v>56</v>
      </c>
      <c r="BU19" s="18">
        <v>78</v>
      </c>
      <c r="BV19" s="13" t="s">
        <v>179</v>
      </c>
      <c r="BW19" s="11">
        <f>ROUND((IF(ISNUMBER(KOL_Source_Data!$K$19),1,IF(AND(ISTEXT(KOL_Source_Data!$K$19),KOL_Source_Data!$K$19&lt;&gt;"N/A"),1,0))+IF(ISNUMBER(KOL_Source_Data!$BG$19),1,IF(AND(ISTEXT(KOL_Source_Data!$BG$19),KOL_Source_Data!$BG$19&lt;&gt;"N/A"),1,0))+IF(ISNUMBER(KOL_Source_Data!$BI$19),1,IF(AND(ISTEXT(KOL_Source_Data!$BI$19),KOL_Source_Data!$BI$19&lt;&gt;"N/A"),1,0))+IF(ISNUMBER(KOL_Source_Data!$BK$19),1,IF(AND(ISTEXT(KOL_Source_Data!$BK$19),KOL_Source_Data!$BK$19&lt;&gt;"N/A"),1,0))+IF(ISNUMBER(KOL_Source_Data!$AA$19),1,IF(AND(ISTEXT(KOL_Source_Data!$AA$19),KOL_Source_Data!$AA$19&lt;&gt;"N/A"),1,0))+IF(ISNUMBER(KOL_Source_Data!$AE$19),1,IF(AND(ISTEXT(KOL_Source_Data!$AE$19),KOL_Source_Data!$AE$19&lt;&gt;"N/A"),1,0))+IF(ISNUMBER(KOL_Source_Data!$AH$19),1,IF(AND(ISTEXT(KOL_Source_Data!$AH$19),KOL_Source_Data!$AH$19&lt;&gt;"N/A"),1,0))+IF(ISNUMBER(KOL_Source_Data!$AN$19),1,IF(AND(ISTEXT(KOL_Source_Data!$AN$19),KOL_Source_Data!$AN$19&lt;&gt;"N/A"),1,0))+IF(ISNUMBER(KOL_Source_Data!$BS$19),1,IF(AND(ISTEXT(KOL_Source_Data!$BS$19),KOL_Source_Data!$BS$19&lt;&gt;"N/A"),1,0))+IF(ISNUMBER(KOL_Source_Data!$BT$19),1,IF(AND(ISTEXT(KOL_Source_Data!$BT$19),KOL_Source_Data!$BT$19&lt;&gt;"N/A"),1,0))+IF(ISNUMBER(KOL_Source_Data!$BU$19),1,IF(AND(ISTEXT(KOL_Source_Data!$BU$19),KOL_Source_Data!$BU$19&lt;&gt;"N/A"),1,0))+IF(ISNUMBER(KOL_Source_Data!$BM$19),1,IF(AND(ISTEXT(KOL_Source_Data!$BM$19),KOL_Source_Data!$BM$19&lt;&gt;"N/A"),1,0)))/12*100,0)</f>
      </c>
      <c r="BX19" s="11">
        <f>IF(KOL_Source_Data!$BW$19&gt;=Lookup_Lists!$D$159,"High",IF(KOL_Source_Data!$BW$19&gt;=Lookup_Lists!$D$160,"Medium","Limited Data"))</f>
      </c>
      <c r="BY19" s="11" t="s">
        <v>202</v>
      </c>
    </row>
    <row r="20" spans="1:77" x14ac:dyDescent="0.25">
      <c r="A20" s="10" t="s">
        <v>301</v>
      </c>
      <c r="B20" s="11" t="s">
        <v>302</v>
      </c>
      <c r="C20" s="11" t="s">
        <v>302</v>
      </c>
      <c r="D20" s="11" t="s">
        <v>303</v>
      </c>
      <c r="E20" s="11" t="s">
        <v>231</v>
      </c>
      <c r="F20" s="11" t="s">
        <v>174</v>
      </c>
      <c r="G20" s="12">
        <v>13100000</v>
      </c>
      <c r="H20" s="11">
        <f>IFERROR(INDEX(Lookup_Lists!$A$96:$A$100,MATCH(KOL_Source_Data!$G$20,Lookup_Lists!$B$96:$B$100,1)),"N/A")</f>
      </c>
      <c r="I20" s="11" t="s">
        <v>175</v>
      </c>
      <c r="J20" s="11" t="s">
        <v>239</v>
      </c>
      <c r="K20" s="11" t="s">
        <v>239</v>
      </c>
      <c r="L20" s="11" t="s">
        <v>178</v>
      </c>
      <c r="M20" s="13" t="s">
        <v>179</v>
      </c>
      <c r="N20" s="11" t="s">
        <v>304</v>
      </c>
      <c r="O20" s="11" t="s">
        <v>305</v>
      </c>
      <c r="P20" s="13" t="s">
        <v>179</v>
      </c>
      <c r="Q20" s="13" t="s">
        <v>179</v>
      </c>
      <c r="R20" s="13" t="s">
        <v>179</v>
      </c>
      <c r="S20" s="13" t="s">
        <v>179</v>
      </c>
      <c r="T20" s="11" t="s">
        <v>306</v>
      </c>
      <c r="U20" s="11" t="s">
        <v>307</v>
      </c>
      <c r="V20" s="13" t="s">
        <v>179</v>
      </c>
      <c r="W20" s="13" t="s">
        <v>179</v>
      </c>
      <c r="X20" s="13" t="s">
        <v>179</v>
      </c>
      <c r="Y20" s="13" t="s">
        <v>179</v>
      </c>
      <c r="Z20" s="13" t="s">
        <v>179</v>
      </c>
      <c r="AA20" s="16">
        <v>80.65</v>
      </c>
      <c r="AB20" s="16">
        <v>19.35</v>
      </c>
      <c r="AC20" s="16">
        <v>31</v>
      </c>
      <c r="AD20" s="11" t="s">
        <v>212</v>
      </c>
      <c r="AE20" s="16">
        <v>81.3</v>
      </c>
      <c r="AF20" s="16">
        <v>16</v>
      </c>
      <c r="AG20" s="11" t="s">
        <v>308</v>
      </c>
      <c r="AH20" s="16">
        <v>33.3</v>
      </c>
      <c r="AI20" s="11" t="s">
        <v>309</v>
      </c>
      <c r="AJ20" s="16">
        <v>33.3</v>
      </c>
      <c r="AK20" s="11" t="s">
        <v>310</v>
      </c>
      <c r="AL20" s="16">
        <v>33.3</v>
      </c>
      <c r="AM20" s="16">
        <v>100</v>
      </c>
      <c r="AN20" s="16">
        <v>13.9</v>
      </c>
      <c r="AO20" s="13" t="s">
        <v>179</v>
      </c>
      <c r="AP20" s="13" t="s">
        <v>179</v>
      </c>
      <c r="AQ20" s="13" t="s">
        <v>179</v>
      </c>
      <c r="AR20" s="16">
        <v>14.3</v>
      </c>
      <c r="AS20" s="16">
        <v>14.3</v>
      </c>
      <c r="AT20" s="13" t="s">
        <v>179</v>
      </c>
      <c r="AU20" s="13" t="s">
        <v>179</v>
      </c>
      <c r="AV20" s="13" t="s">
        <v>179</v>
      </c>
      <c r="AW20" s="13" t="s">
        <v>179</v>
      </c>
      <c r="AX20" s="16">
        <v>14.3</v>
      </c>
      <c r="AY20" s="13" t="s">
        <v>179</v>
      </c>
      <c r="AZ20" s="16">
        <v>21.4</v>
      </c>
      <c r="BA20" s="16">
        <v>14.3</v>
      </c>
      <c r="BB20" s="13" t="s">
        <v>179</v>
      </c>
      <c r="BC20" s="16">
        <v>14.3</v>
      </c>
      <c r="BD20" s="13" t="s">
        <v>179</v>
      </c>
      <c r="BE20" s="13" t="s">
        <v>179</v>
      </c>
      <c r="BF20" s="16">
        <v>7.1</v>
      </c>
      <c r="BG20" s="14">
        <v>0.6</v>
      </c>
      <c r="BH20" s="11" t="s">
        <v>235</v>
      </c>
      <c r="BI20" s="12">
        <v>843860</v>
      </c>
      <c r="BJ20" s="12">
        <v>495650</v>
      </c>
      <c r="BK20" s="15">
        <v>4.1775</v>
      </c>
      <c r="BL20" s="13" t="s">
        <v>179</v>
      </c>
      <c r="BM20" s="14">
        <v>50</v>
      </c>
      <c r="BN20" s="12">
        <v>6</v>
      </c>
      <c r="BO20" s="11" t="s">
        <v>226</v>
      </c>
      <c r="BP20" s="17">
        <v>0</v>
      </c>
      <c r="BQ20" s="16">
        <v>10</v>
      </c>
      <c r="BR20" s="13" t="s">
        <v>179</v>
      </c>
      <c r="BS20" s="18">
        <v>76</v>
      </c>
      <c r="BT20" s="18">
        <v>59</v>
      </c>
      <c r="BU20" s="18">
        <v>93</v>
      </c>
      <c r="BV20" s="13" t="s">
        <v>179</v>
      </c>
      <c r="BW20" s="11">
        <f>ROUND((IF(ISNUMBER(KOL_Source_Data!$K$20),1,IF(AND(ISTEXT(KOL_Source_Data!$K$20),KOL_Source_Data!$K$20&lt;&gt;"N/A"),1,0))+IF(ISNUMBER(KOL_Source_Data!$BG$20),1,IF(AND(ISTEXT(KOL_Source_Data!$BG$20),KOL_Source_Data!$BG$20&lt;&gt;"N/A"),1,0))+IF(ISNUMBER(KOL_Source_Data!$BI$20),1,IF(AND(ISTEXT(KOL_Source_Data!$BI$20),KOL_Source_Data!$BI$20&lt;&gt;"N/A"),1,0))+IF(ISNUMBER(KOL_Source_Data!$BK$20),1,IF(AND(ISTEXT(KOL_Source_Data!$BK$20),KOL_Source_Data!$BK$20&lt;&gt;"N/A"),1,0))+IF(ISNUMBER(KOL_Source_Data!$AA$20),1,IF(AND(ISTEXT(KOL_Source_Data!$AA$20),KOL_Source_Data!$AA$20&lt;&gt;"N/A"),1,0))+IF(ISNUMBER(KOL_Source_Data!$AE$20),1,IF(AND(ISTEXT(KOL_Source_Data!$AE$20),KOL_Source_Data!$AE$20&lt;&gt;"N/A"),1,0))+IF(ISNUMBER(KOL_Source_Data!$AH$20),1,IF(AND(ISTEXT(KOL_Source_Data!$AH$20),KOL_Source_Data!$AH$20&lt;&gt;"N/A"),1,0))+IF(ISNUMBER(KOL_Source_Data!$AN$20),1,IF(AND(ISTEXT(KOL_Source_Data!$AN$20),KOL_Source_Data!$AN$20&lt;&gt;"N/A"),1,0))+IF(ISNUMBER(KOL_Source_Data!$BS$20),1,IF(AND(ISTEXT(KOL_Source_Data!$BS$20),KOL_Source_Data!$BS$20&lt;&gt;"N/A"),1,0))+IF(ISNUMBER(KOL_Source_Data!$BT$20),1,IF(AND(ISTEXT(KOL_Source_Data!$BT$20),KOL_Source_Data!$BT$20&lt;&gt;"N/A"),1,0))+IF(ISNUMBER(KOL_Source_Data!$BU$20),1,IF(AND(ISTEXT(KOL_Source_Data!$BU$20),KOL_Source_Data!$BU$20&lt;&gt;"N/A"),1,0))+IF(ISNUMBER(KOL_Source_Data!$BM$20),1,IF(AND(ISTEXT(KOL_Source_Data!$BM$20),KOL_Source_Data!$BM$20&lt;&gt;"N/A"),1,0)))/12*100,0)</f>
      </c>
      <c r="BX20" s="11">
        <f>IF(KOL_Source_Data!$BW$20&gt;=Lookup_Lists!$D$159,"High",IF(KOL_Source_Data!$BW$20&gt;=Lookup_Lists!$D$160,"Medium","Limited Data"))</f>
      </c>
      <c r="BY20" s="11" t="s">
        <v>311</v>
      </c>
    </row>
    <row r="21" spans="1:77" x14ac:dyDescent="0.25">
      <c r="A21" s="10" t="s">
        <v>312</v>
      </c>
      <c r="B21" s="11" t="s">
        <v>313</v>
      </c>
      <c r="C21" s="11" t="s">
        <v>313</v>
      </c>
      <c r="D21" s="11" t="s">
        <v>314</v>
      </c>
      <c r="E21" s="11" t="s">
        <v>231</v>
      </c>
      <c r="F21" s="11" t="s">
        <v>174</v>
      </c>
      <c r="G21" s="12">
        <v>12700000</v>
      </c>
      <c r="H21" s="11">
        <f>IFERROR(INDEX(Lookup_Lists!$A$96:$A$100,MATCH(KOL_Source_Data!$G$21,Lookup_Lists!$B$96:$B$100,1)),"N/A")</f>
      </c>
      <c r="I21" s="11" t="s">
        <v>175</v>
      </c>
      <c r="J21" s="13" t="s">
        <v>179</v>
      </c>
      <c r="K21" s="13" t="s">
        <v>179</v>
      </c>
      <c r="L21" s="13" t="s">
        <v>179</v>
      </c>
      <c r="M21" s="13" t="s">
        <v>179</v>
      </c>
      <c r="N21" s="13" t="s">
        <v>179</v>
      </c>
      <c r="O21" s="11" t="s">
        <v>315</v>
      </c>
      <c r="P21" s="13" t="s">
        <v>179</v>
      </c>
      <c r="Q21" s="13" t="s">
        <v>179</v>
      </c>
      <c r="R21" s="13" t="s">
        <v>179</v>
      </c>
      <c r="S21" s="13" t="s">
        <v>179</v>
      </c>
      <c r="T21" s="11" t="s">
        <v>316</v>
      </c>
      <c r="U21" s="11" t="s">
        <v>317</v>
      </c>
      <c r="V21" s="13" t="s">
        <v>179</v>
      </c>
      <c r="W21" s="13" t="s">
        <v>179</v>
      </c>
      <c r="X21" s="13" t="s">
        <v>179</v>
      </c>
      <c r="Y21" s="13" t="s">
        <v>179</v>
      </c>
      <c r="Z21" s="13" t="s">
        <v>179</v>
      </c>
      <c r="AA21" s="16">
        <v>66.67</v>
      </c>
      <c r="AB21" s="16">
        <v>33.33</v>
      </c>
      <c r="AC21" s="16">
        <v>21</v>
      </c>
      <c r="AD21" s="11" t="s">
        <v>212</v>
      </c>
      <c r="AE21" s="16">
        <v>70</v>
      </c>
      <c r="AF21" s="16">
        <v>10</v>
      </c>
      <c r="AG21" s="11" t="s">
        <v>318</v>
      </c>
      <c r="AH21" s="16">
        <v>50</v>
      </c>
      <c r="AI21" s="11" t="s">
        <v>319</v>
      </c>
      <c r="AJ21" s="16">
        <v>50</v>
      </c>
      <c r="AK21" s="13" t="s">
        <v>179</v>
      </c>
      <c r="AL21" s="13" t="s">
        <v>179</v>
      </c>
      <c r="AM21" s="16">
        <v>100</v>
      </c>
      <c r="AN21" s="16">
        <v>12.7</v>
      </c>
      <c r="AO21" s="13" t="s">
        <v>179</v>
      </c>
      <c r="AP21" s="13" t="s">
        <v>179</v>
      </c>
      <c r="AQ21" s="16">
        <v>7.7</v>
      </c>
      <c r="AR21" s="16">
        <v>7.7</v>
      </c>
      <c r="AS21" s="13" t="s">
        <v>179</v>
      </c>
      <c r="AT21" s="16">
        <v>7.7</v>
      </c>
      <c r="AU21" s="16">
        <v>7.7</v>
      </c>
      <c r="AV21" s="13" t="s">
        <v>179</v>
      </c>
      <c r="AW21" s="13" t="s">
        <v>179</v>
      </c>
      <c r="AX21" s="16">
        <v>15.4</v>
      </c>
      <c r="AY21" s="16">
        <v>7.7</v>
      </c>
      <c r="AZ21" s="16">
        <v>23.1</v>
      </c>
      <c r="BA21" s="13" t="s">
        <v>179</v>
      </c>
      <c r="BB21" s="13" t="s">
        <v>179</v>
      </c>
      <c r="BC21" s="16">
        <v>23.1</v>
      </c>
      <c r="BD21" s="13" t="s">
        <v>179</v>
      </c>
      <c r="BE21" s="13" t="s">
        <v>179</v>
      </c>
      <c r="BF21" s="13" t="s">
        <v>179</v>
      </c>
      <c r="BG21" s="14">
        <v>0.06</v>
      </c>
      <c r="BH21" s="11" t="s">
        <v>235</v>
      </c>
      <c r="BI21" s="12">
        <v>392440</v>
      </c>
      <c r="BJ21" s="12">
        <v>286800</v>
      </c>
      <c r="BK21" s="15">
        <v>0.7763</v>
      </c>
      <c r="BL21" s="13" t="s">
        <v>179</v>
      </c>
      <c r="BM21" s="14">
        <v>5.36</v>
      </c>
      <c r="BN21" s="12">
        <v>56</v>
      </c>
      <c r="BO21" s="11" t="s">
        <v>175</v>
      </c>
      <c r="BP21" s="17">
        <v>0</v>
      </c>
      <c r="BQ21" s="16">
        <v>20</v>
      </c>
      <c r="BR21" s="13" t="s">
        <v>179</v>
      </c>
      <c r="BS21" s="18">
        <v>78</v>
      </c>
      <c r="BT21" s="18">
        <v>65</v>
      </c>
      <c r="BU21" s="18">
        <v>90</v>
      </c>
      <c r="BV21" s="13" t="s">
        <v>179</v>
      </c>
      <c r="BW21" s="11">
        <f>ROUND((IF(ISNUMBER(KOL_Source_Data!$K$21),1,IF(AND(ISTEXT(KOL_Source_Data!$K$21),KOL_Source_Data!$K$21&lt;&gt;"N/A"),1,0))+IF(ISNUMBER(KOL_Source_Data!$BG$21),1,IF(AND(ISTEXT(KOL_Source_Data!$BG$21),KOL_Source_Data!$BG$21&lt;&gt;"N/A"),1,0))+IF(ISNUMBER(KOL_Source_Data!$BI$21),1,IF(AND(ISTEXT(KOL_Source_Data!$BI$21),KOL_Source_Data!$BI$21&lt;&gt;"N/A"),1,0))+IF(ISNUMBER(KOL_Source_Data!$BK$21),1,IF(AND(ISTEXT(KOL_Source_Data!$BK$21),KOL_Source_Data!$BK$21&lt;&gt;"N/A"),1,0))+IF(ISNUMBER(KOL_Source_Data!$AA$21),1,IF(AND(ISTEXT(KOL_Source_Data!$AA$21),KOL_Source_Data!$AA$21&lt;&gt;"N/A"),1,0))+IF(ISNUMBER(KOL_Source_Data!$AE$21),1,IF(AND(ISTEXT(KOL_Source_Data!$AE$21),KOL_Source_Data!$AE$21&lt;&gt;"N/A"),1,0))+IF(ISNUMBER(KOL_Source_Data!$AH$21),1,IF(AND(ISTEXT(KOL_Source_Data!$AH$21),KOL_Source_Data!$AH$21&lt;&gt;"N/A"),1,0))+IF(ISNUMBER(KOL_Source_Data!$AN$21),1,IF(AND(ISTEXT(KOL_Source_Data!$AN$21),KOL_Source_Data!$AN$21&lt;&gt;"N/A"),1,0))+IF(ISNUMBER(KOL_Source_Data!$BS$21),1,IF(AND(ISTEXT(KOL_Source_Data!$BS$21),KOL_Source_Data!$BS$21&lt;&gt;"N/A"),1,0))+IF(ISNUMBER(KOL_Source_Data!$BT$21),1,IF(AND(ISTEXT(KOL_Source_Data!$BT$21),KOL_Source_Data!$BT$21&lt;&gt;"N/A"),1,0))+IF(ISNUMBER(KOL_Source_Data!$BU$21),1,IF(AND(ISTEXT(KOL_Source_Data!$BU$21),KOL_Source_Data!$BU$21&lt;&gt;"N/A"),1,0))+IF(ISNUMBER(KOL_Source_Data!$BM$21),1,IF(AND(ISTEXT(KOL_Source_Data!$BM$21),KOL_Source_Data!$BM$21&lt;&gt;"N/A"),1,0)))/12*100,0)</f>
      </c>
      <c r="BX21" s="11">
        <f>IF(KOL_Source_Data!$BW$21&gt;=Lookup_Lists!$D$159,"High",IF(KOL_Source_Data!$BW$21&gt;=Lookup_Lists!$D$160,"Medium","Limited Data"))</f>
      </c>
      <c r="BY21" s="11" t="s">
        <v>202</v>
      </c>
    </row>
    <row r="22" spans="1:77" x14ac:dyDescent="0.25">
      <c r="A22" s="10" t="s">
        <v>320</v>
      </c>
      <c r="B22" s="11" t="s">
        <v>321</v>
      </c>
      <c r="C22" s="11" t="s">
        <v>321</v>
      </c>
      <c r="D22" s="11" t="s">
        <v>322</v>
      </c>
      <c r="E22" s="11" t="s">
        <v>173</v>
      </c>
      <c r="F22" s="11" t="s">
        <v>174</v>
      </c>
      <c r="G22" s="12">
        <v>12292815</v>
      </c>
      <c r="H22" s="11">
        <f>IFERROR(INDEX(Lookup_Lists!$A$96:$A$100,MATCH(KOL_Source_Data!$G$22,Lookup_Lists!$B$96:$B$100,1)),"N/A")</f>
      </c>
      <c r="I22" s="11" t="s">
        <v>175</v>
      </c>
      <c r="J22" s="11" t="s">
        <v>258</v>
      </c>
      <c r="K22" s="11" t="s">
        <v>258</v>
      </c>
      <c r="L22" s="11" t="s">
        <v>178</v>
      </c>
      <c r="M22" s="13" t="s">
        <v>179</v>
      </c>
      <c r="N22" s="11" t="s">
        <v>180</v>
      </c>
      <c r="O22" s="11" t="s">
        <v>181</v>
      </c>
      <c r="P22" s="13" t="s">
        <v>179</v>
      </c>
      <c r="Q22" s="13" t="s">
        <v>179</v>
      </c>
      <c r="R22" s="13" t="s">
        <v>179</v>
      </c>
      <c r="S22" s="11" t="s">
        <v>323</v>
      </c>
      <c r="T22" s="11" t="s">
        <v>324</v>
      </c>
      <c r="U22" s="11" t="s">
        <v>325</v>
      </c>
      <c r="V22" s="13" t="s">
        <v>179</v>
      </c>
      <c r="W22" s="13" t="s">
        <v>179</v>
      </c>
      <c r="X22" s="13" t="s">
        <v>179</v>
      </c>
      <c r="Y22" s="13" t="s">
        <v>179</v>
      </c>
      <c r="Z22" s="13" t="s">
        <v>179</v>
      </c>
      <c r="AA22" s="16">
        <v>38.46</v>
      </c>
      <c r="AB22" s="16">
        <v>61.54</v>
      </c>
      <c r="AC22" s="16">
        <v>26</v>
      </c>
      <c r="AD22" s="11" t="s">
        <v>212</v>
      </c>
      <c r="AE22" s="16">
        <v>16.7</v>
      </c>
      <c r="AF22" s="16">
        <v>6</v>
      </c>
      <c r="AG22" s="13" t="s">
        <v>179</v>
      </c>
      <c r="AH22" s="13" t="s">
        <v>179</v>
      </c>
      <c r="AI22" s="13" t="s">
        <v>179</v>
      </c>
      <c r="AJ22" s="13" t="s">
        <v>179</v>
      </c>
      <c r="AK22" s="13" t="s">
        <v>179</v>
      </c>
      <c r="AL22" s="13" t="s">
        <v>179</v>
      </c>
      <c r="AM22" s="13" t="s">
        <v>179</v>
      </c>
      <c r="AN22" s="16">
        <v>16.3</v>
      </c>
      <c r="AO22" s="13" t="s">
        <v>179</v>
      </c>
      <c r="AP22" s="16">
        <v>5.9</v>
      </c>
      <c r="AQ22" s="13" t="s">
        <v>179</v>
      </c>
      <c r="AR22" s="16">
        <v>11.8</v>
      </c>
      <c r="AS22" s="16">
        <v>5.9</v>
      </c>
      <c r="AT22" s="16">
        <v>5.9</v>
      </c>
      <c r="AU22" s="13" t="s">
        <v>179</v>
      </c>
      <c r="AV22" s="16">
        <v>5.9</v>
      </c>
      <c r="AW22" s="13" t="s">
        <v>179</v>
      </c>
      <c r="AX22" s="13" t="s">
        <v>179</v>
      </c>
      <c r="AY22" s="16">
        <v>11.8</v>
      </c>
      <c r="AZ22" s="16">
        <v>11.8</v>
      </c>
      <c r="BA22" s="16">
        <v>11.8</v>
      </c>
      <c r="BB22" s="16">
        <v>5.9</v>
      </c>
      <c r="BC22" s="16">
        <v>5.9</v>
      </c>
      <c r="BD22" s="13" t="s">
        <v>179</v>
      </c>
      <c r="BE22" s="16">
        <v>11.8</v>
      </c>
      <c r="BF22" s="16">
        <v>5.9</v>
      </c>
      <c r="BG22" s="14">
        <v>0.12</v>
      </c>
      <c r="BH22" s="11" t="s">
        <v>184</v>
      </c>
      <c r="BI22" s="13" t="s">
        <v>179</v>
      </c>
      <c r="BJ22" s="13" t="s">
        <v>179</v>
      </c>
      <c r="BK22" s="13" t="s">
        <v>179</v>
      </c>
      <c r="BL22" s="12">
        <v>0</v>
      </c>
      <c r="BM22" s="13" t="s">
        <v>179</v>
      </c>
      <c r="BN22" s="13" t="s">
        <v>179</v>
      </c>
      <c r="BO22" s="13" t="s">
        <v>179</v>
      </c>
      <c r="BP22" s="17">
        <v>-0.051</v>
      </c>
      <c r="BQ22" s="13" t="s">
        <v>179</v>
      </c>
      <c r="BR22" s="13" t="s">
        <v>179</v>
      </c>
      <c r="BS22" s="18">
        <v>59</v>
      </c>
      <c r="BT22" s="18">
        <v>52</v>
      </c>
      <c r="BU22" s="18">
        <v>66</v>
      </c>
      <c r="BV22" s="13" t="s">
        <v>179</v>
      </c>
      <c r="BW22" s="11">
        <f>ROUND((IF(ISNUMBER(KOL_Source_Data!$K$22),1,IF(AND(ISTEXT(KOL_Source_Data!$K$22),KOL_Source_Data!$K$22&lt;&gt;"N/A"),1,0))+IF(ISNUMBER(KOL_Source_Data!$BG$22),1,IF(AND(ISTEXT(KOL_Source_Data!$BG$22),KOL_Source_Data!$BG$22&lt;&gt;"N/A"),1,0))+IF(ISNUMBER(KOL_Source_Data!$BI$22),1,IF(AND(ISTEXT(KOL_Source_Data!$BI$22),KOL_Source_Data!$BI$22&lt;&gt;"N/A"),1,0))+IF(ISNUMBER(KOL_Source_Data!$BK$22),1,IF(AND(ISTEXT(KOL_Source_Data!$BK$22),KOL_Source_Data!$BK$22&lt;&gt;"N/A"),1,0))+IF(ISNUMBER(KOL_Source_Data!$AA$22),1,IF(AND(ISTEXT(KOL_Source_Data!$AA$22),KOL_Source_Data!$AA$22&lt;&gt;"N/A"),1,0))+IF(ISNUMBER(KOL_Source_Data!$AE$22),1,IF(AND(ISTEXT(KOL_Source_Data!$AE$22),KOL_Source_Data!$AE$22&lt;&gt;"N/A"),1,0))+IF(ISNUMBER(KOL_Source_Data!$AH$22),1,IF(AND(ISTEXT(KOL_Source_Data!$AH$22),KOL_Source_Data!$AH$22&lt;&gt;"N/A"),1,0))+IF(ISNUMBER(KOL_Source_Data!$AN$22),1,IF(AND(ISTEXT(KOL_Source_Data!$AN$22),KOL_Source_Data!$AN$22&lt;&gt;"N/A"),1,0))+IF(ISNUMBER(KOL_Source_Data!$BS$22),1,IF(AND(ISTEXT(KOL_Source_Data!$BS$22),KOL_Source_Data!$BS$22&lt;&gt;"N/A"),1,0))+IF(ISNUMBER(KOL_Source_Data!$BT$22),1,IF(AND(ISTEXT(KOL_Source_Data!$BT$22),KOL_Source_Data!$BT$22&lt;&gt;"N/A"),1,0))+IF(ISNUMBER(KOL_Source_Data!$BU$22),1,IF(AND(ISTEXT(KOL_Source_Data!$BU$22),KOL_Source_Data!$BU$22&lt;&gt;"N/A"),1,0))+IF(ISNUMBER(KOL_Source_Data!$BM$22),1,IF(AND(ISTEXT(KOL_Source_Data!$BM$22),KOL_Source_Data!$BM$22&lt;&gt;"N/A"),1,0)))/12*100,0)</f>
      </c>
      <c r="BX22" s="11">
        <f>IF(KOL_Source_Data!$BW$22&gt;=Lookup_Lists!$D$159,"High",IF(KOL_Source_Data!$BW$22&gt;=Lookup_Lists!$D$160,"Medium","Limited Data"))</f>
      </c>
      <c r="BY22" s="11" t="s">
        <v>195</v>
      </c>
    </row>
    <row r="23" spans="1:77" x14ac:dyDescent="0.25">
      <c r="A23" s="10" t="s">
        <v>326</v>
      </c>
      <c r="B23" s="11" t="s">
        <v>327</v>
      </c>
      <c r="C23" s="11" t="s">
        <v>327</v>
      </c>
      <c r="D23" s="11" t="s">
        <v>328</v>
      </c>
      <c r="E23" s="11" t="s">
        <v>173</v>
      </c>
      <c r="F23" s="11" t="s">
        <v>174</v>
      </c>
      <c r="G23" s="12">
        <v>12163586</v>
      </c>
      <c r="H23" s="11">
        <f>IFERROR(INDEX(Lookup_Lists!$A$96:$A$100,MATCH(KOL_Source_Data!$G$23,Lookup_Lists!$B$96:$B$100,1)),"N/A")</f>
      </c>
      <c r="I23" s="11" t="s">
        <v>175</v>
      </c>
      <c r="J23" s="11" t="s">
        <v>239</v>
      </c>
      <c r="K23" s="11" t="s">
        <v>239</v>
      </c>
      <c r="L23" s="11" t="s">
        <v>178</v>
      </c>
      <c r="M23" s="13" t="s">
        <v>179</v>
      </c>
      <c r="N23" s="13" t="s">
        <v>179</v>
      </c>
      <c r="O23" s="13" t="s">
        <v>179</v>
      </c>
      <c r="P23" s="13" t="s">
        <v>179</v>
      </c>
      <c r="Q23" s="13" t="s">
        <v>179</v>
      </c>
      <c r="R23" s="13" t="s">
        <v>179</v>
      </c>
      <c r="S23" s="11" t="s">
        <v>329</v>
      </c>
      <c r="T23" s="11" t="s">
        <v>330</v>
      </c>
      <c r="U23" s="13" t="s">
        <v>179</v>
      </c>
      <c r="V23" s="13" t="s">
        <v>179</v>
      </c>
      <c r="W23" s="13" t="s">
        <v>179</v>
      </c>
      <c r="X23" s="13" t="s">
        <v>179</v>
      </c>
      <c r="Y23" s="13" t="s">
        <v>179</v>
      </c>
      <c r="Z23" s="13" t="s">
        <v>179</v>
      </c>
      <c r="AA23" s="16">
        <v>45</v>
      </c>
      <c r="AB23" s="16">
        <v>55</v>
      </c>
      <c r="AC23" s="16">
        <v>20</v>
      </c>
      <c r="AD23" s="11" t="s">
        <v>212</v>
      </c>
      <c r="AE23" s="16">
        <v>90</v>
      </c>
      <c r="AF23" s="16">
        <v>10</v>
      </c>
      <c r="AG23" s="11" t="s">
        <v>331</v>
      </c>
      <c r="AH23" s="16">
        <v>33.3</v>
      </c>
      <c r="AI23" s="11" t="s">
        <v>276</v>
      </c>
      <c r="AJ23" s="16">
        <v>33.3</v>
      </c>
      <c r="AK23" s="11" t="s">
        <v>332</v>
      </c>
      <c r="AL23" s="16">
        <v>33.3</v>
      </c>
      <c r="AM23" s="16">
        <v>100</v>
      </c>
      <c r="AN23" s="16">
        <v>15.5</v>
      </c>
      <c r="AO23" s="13" t="s">
        <v>179</v>
      </c>
      <c r="AP23" s="13" t="s">
        <v>179</v>
      </c>
      <c r="AQ23" s="16">
        <v>6.3</v>
      </c>
      <c r="AR23" s="16">
        <v>31.3</v>
      </c>
      <c r="AS23" s="16">
        <v>6.3</v>
      </c>
      <c r="AT23" s="13" t="s">
        <v>179</v>
      </c>
      <c r="AU23" s="16">
        <v>6.3</v>
      </c>
      <c r="AV23" s="13" t="s">
        <v>179</v>
      </c>
      <c r="AW23" s="13" t="s">
        <v>179</v>
      </c>
      <c r="AX23" s="16">
        <v>6.3</v>
      </c>
      <c r="AY23" s="16">
        <v>6.3</v>
      </c>
      <c r="AZ23" s="16">
        <v>12.5</v>
      </c>
      <c r="BA23" s="16">
        <v>6.3</v>
      </c>
      <c r="BB23" s="13" t="s">
        <v>179</v>
      </c>
      <c r="BC23" s="16">
        <v>12.5</v>
      </c>
      <c r="BD23" s="13" t="s">
        <v>179</v>
      </c>
      <c r="BE23" s="16">
        <v>6.3</v>
      </c>
      <c r="BF23" s="13" t="s">
        <v>179</v>
      </c>
      <c r="BG23" s="14">
        <v>0.08</v>
      </c>
      <c r="BH23" s="11" t="s">
        <v>184</v>
      </c>
      <c r="BI23" s="13" t="s">
        <v>179</v>
      </c>
      <c r="BJ23" s="13" t="s">
        <v>179</v>
      </c>
      <c r="BK23" s="13" t="s">
        <v>179</v>
      </c>
      <c r="BL23" s="12">
        <v>10</v>
      </c>
      <c r="BM23" s="14">
        <v>300</v>
      </c>
      <c r="BN23" s="12">
        <v>1</v>
      </c>
      <c r="BO23" s="11" t="s">
        <v>226</v>
      </c>
      <c r="BP23" s="17">
        <v>0.0343</v>
      </c>
      <c r="BQ23" s="16">
        <v>0</v>
      </c>
      <c r="BR23" s="13" t="s">
        <v>179</v>
      </c>
      <c r="BS23" s="18">
        <v>63</v>
      </c>
      <c r="BT23" s="18">
        <v>52</v>
      </c>
      <c r="BU23" s="18">
        <v>74</v>
      </c>
      <c r="BV23" s="13" t="s">
        <v>179</v>
      </c>
      <c r="BW23" s="11">
        <f>ROUND((IF(ISNUMBER(KOL_Source_Data!$K$23),1,IF(AND(ISTEXT(KOL_Source_Data!$K$23),KOL_Source_Data!$K$23&lt;&gt;"N/A"),1,0))+IF(ISNUMBER(KOL_Source_Data!$BG$23),1,IF(AND(ISTEXT(KOL_Source_Data!$BG$23),KOL_Source_Data!$BG$23&lt;&gt;"N/A"),1,0))+IF(ISNUMBER(KOL_Source_Data!$BI$23),1,IF(AND(ISTEXT(KOL_Source_Data!$BI$23),KOL_Source_Data!$BI$23&lt;&gt;"N/A"),1,0))+IF(ISNUMBER(KOL_Source_Data!$BK$23),1,IF(AND(ISTEXT(KOL_Source_Data!$BK$23),KOL_Source_Data!$BK$23&lt;&gt;"N/A"),1,0))+IF(ISNUMBER(KOL_Source_Data!$AA$23),1,IF(AND(ISTEXT(KOL_Source_Data!$AA$23),KOL_Source_Data!$AA$23&lt;&gt;"N/A"),1,0))+IF(ISNUMBER(KOL_Source_Data!$AE$23),1,IF(AND(ISTEXT(KOL_Source_Data!$AE$23),KOL_Source_Data!$AE$23&lt;&gt;"N/A"),1,0))+IF(ISNUMBER(KOL_Source_Data!$AH$23),1,IF(AND(ISTEXT(KOL_Source_Data!$AH$23),KOL_Source_Data!$AH$23&lt;&gt;"N/A"),1,0))+IF(ISNUMBER(KOL_Source_Data!$AN$23),1,IF(AND(ISTEXT(KOL_Source_Data!$AN$23),KOL_Source_Data!$AN$23&lt;&gt;"N/A"),1,0))+IF(ISNUMBER(KOL_Source_Data!$BS$23),1,IF(AND(ISTEXT(KOL_Source_Data!$BS$23),KOL_Source_Data!$BS$23&lt;&gt;"N/A"),1,0))+IF(ISNUMBER(KOL_Source_Data!$BT$23),1,IF(AND(ISTEXT(KOL_Source_Data!$BT$23),KOL_Source_Data!$BT$23&lt;&gt;"N/A"),1,0))+IF(ISNUMBER(KOL_Source_Data!$BU$23),1,IF(AND(ISTEXT(KOL_Source_Data!$BU$23),KOL_Source_Data!$BU$23&lt;&gt;"N/A"),1,0))+IF(ISNUMBER(KOL_Source_Data!$BM$23),1,IF(AND(ISTEXT(KOL_Source_Data!$BM$23),KOL_Source_Data!$BM$23&lt;&gt;"N/A"),1,0)))/12*100,0)</f>
      </c>
      <c r="BX23" s="11">
        <f>IF(KOL_Source_Data!$BW$23&gt;=Lookup_Lists!$D$159,"High",IF(KOL_Source_Data!$BW$23&gt;=Lookup_Lists!$D$160,"Medium","Limited Data"))</f>
      </c>
      <c r="BY23" s="11" t="s">
        <v>333</v>
      </c>
    </row>
    <row r="24" spans="1:77" x14ac:dyDescent="0.25">
      <c r="A24" s="10" t="s">
        <v>334</v>
      </c>
      <c r="B24" s="11" t="s">
        <v>335</v>
      </c>
      <c r="C24" s="11" t="s">
        <v>335</v>
      </c>
      <c r="D24" s="11" t="s">
        <v>336</v>
      </c>
      <c r="E24" s="11" t="s">
        <v>231</v>
      </c>
      <c r="F24" s="11" t="s">
        <v>174</v>
      </c>
      <c r="G24" s="12">
        <v>12100000</v>
      </c>
      <c r="H24" s="11">
        <f>IFERROR(INDEX(Lookup_Lists!$A$96:$A$100,MATCH(KOL_Source_Data!$G$24,Lookup_Lists!$B$96:$B$100,1)),"N/A")</f>
      </c>
      <c r="I24" s="11" t="s">
        <v>175</v>
      </c>
      <c r="J24" s="13" t="s">
        <v>179</v>
      </c>
      <c r="K24" s="13" t="s">
        <v>179</v>
      </c>
      <c r="L24" s="13" t="s">
        <v>179</v>
      </c>
      <c r="M24" s="13" t="s">
        <v>179</v>
      </c>
      <c r="N24" s="13" t="s">
        <v>179</v>
      </c>
      <c r="O24" s="11" t="s">
        <v>337</v>
      </c>
      <c r="P24" s="13" t="s">
        <v>179</v>
      </c>
      <c r="Q24" s="13" t="s">
        <v>179</v>
      </c>
      <c r="R24" s="13" t="s">
        <v>179</v>
      </c>
      <c r="S24" s="13" t="s">
        <v>179</v>
      </c>
      <c r="T24" s="11" t="s">
        <v>338</v>
      </c>
      <c r="U24" s="13" t="s">
        <v>179</v>
      </c>
      <c r="V24" s="13" t="s">
        <v>179</v>
      </c>
      <c r="W24" s="13" t="s">
        <v>179</v>
      </c>
      <c r="X24" s="13" t="s">
        <v>179</v>
      </c>
      <c r="Y24" s="13" t="s">
        <v>179</v>
      </c>
      <c r="Z24" s="13" t="s">
        <v>179</v>
      </c>
      <c r="AA24" s="16">
        <v>65.62</v>
      </c>
      <c r="AB24" s="16">
        <v>34.38</v>
      </c>
      <c r="AC24" s="16">
        <v>32</v>
      </c>
      <c r="AD24" s="11" t="s">
        <v>212</v>
      </c>
      <c r="AE24" s="16">
        <v>58.3</v>
      </c>
      <c r="AF24" s="16">
        <v>12</v>
      </c>
      <c r="AG24" s="13" t="s">
        <v>179</v>
      </c>
      <c r="AH24" s="13" t="s">
        <v>179</v>
      </c>
      <c r="AI24" s="13" t="s">
        <v>179</v>
      </c>
      <c r="AJ24" s="13" t="s">
        <v>179</v>
      </c>
      <c r="AK24" s="13" t="s">
        <v>179</v>
      </c>
      <c r="AL24" s="13" t="s">
        <v>179</v>
      </c>
      <c r="AM24" s="13" t="s">
        <v>179</v>
      </c>
      <c r="AN24" s="16">
        <v>7</v>
      </c>
      <c r="AO24" s="13" t="s">
        <v>179</v>
      </c>
      <c r="AP24" s="13" t="s">
        <v>179</v>
      </c>
      <c r="AQ24" s="13" t="s">
        <v>179</v>
      </c>
      <c r="AR24" s="13" t="s">
        <v>179</v>
      </c>
      <c r="AS24" s="13" t="s">
        <v>179</v>
      </c>
      <c r="AT24" s="13" t="s">
        <v>179</v>
      </c>
      <c r="AU24" s="13" t="s">
        <v>179</v>
      </c>
      <c r="AV24" s="13" t="s">
        <v>179</v>
      </c>
      <c r="AW24" s="16">
        <v>28.6</v>
      </c>
      <c r="AX24" s="13" t="s">
        <v>179</v>
      </c>
      <c r="AY24" s="13" t="s">
        <v>179</v>
      </c>
      <c r="AZ24" s="16">
        <v>14.3</v>
      </c>
      <c r="BA24" s="13" t="s">
        <v>179</v>
      </c>
      <c r="BB24" s="16">
        <v>14.3</v>
      </c>
      <c r="BC24" s="16">
        <v>42.9</v>
      </c>
      <c r="BD24" s="13" t="s">
        <v>179</v>
      </c>
      <c r="BE24" s="13" t="s">
        <v>179</v>
      </c>
      <c r="BF24" s="13" t="s">
        <v>179</v>
      </c>
      <c r="BG24" s="14">
        <v>0.06</v>
      </c>
      <c r="BH24" s="11" t="s">
        <v>235</v>
      </c>
      <c r="BI24" s="12">
        <v>96298.4</v>
      </c>
      <c r="BJ24" s="12">
        <v>66800</v>
      </c>
      <c r="BK24" s="15">
        <v>0.6463</v>
      </c>
      <c r="BL24" s="13" t="s">
        <v>179</v>
      </c>
      <c r="BM24" s="14">
        <v>150</v>
      </c>
      <c r="BN24" s="12">
        <v>2</v>
      </c>
      <c r="BO24" s="11" t="s">
        <v>226</v>
      </c>
      <c r="BP24" s="17">
        <v>0</v>
      </c>
      <c r="BQ24" s="16">
        <v>20</v>
      </c>
      <c r="BR24" s="13" t="s">
        <v>179</v>
      </c>
      <c r="BS24" s="18">
        <v>70</v>
      </c>
      <c r="BT24" s="18">
        <v>57</v>
      </c>
      <c r="BU24" s="18">
        <v>82</v>
      </c>
      <c r="BV24" s="13" t="s">
        <v>179</v>
      </c>
      <c r="BW24" s="11">
        <f>ROUND((IF(ISNUMBER(KOL_Source_Data!$K$24),1,IF(AND(ISTEXT(KOL_Source_Data!$K$24),KOL_Source_Data!$K$24&lt;&gt;"N/A"),1,0))+IF(ISNUMBER(KOL_Source_Data!$BG$24),1,IF(AND(ISTEXT(KOL_Source_Data!$BG$24),KOL_Source_Data!$BG$24&lt;&gt;"N/A"),1,0))+IF(ISNUMBER(KOL_Source_Data!$BI$24),1,IF(AND(ISTEXT(KOL_Source_Data!$BI$24),KOL_Source_Data!$BI$24&lt;&gt;"N/A"),1,0))+IF(ISNUMBER(KOL_Source_Data!$BK$24),1,IF(AND(ISTEXT(KOL_Source_Data!$BK$24),KOL_Source_Data!$BK$24&lt;&gt;"N/A"),1,0))+IF(ISNUMBER(KOL_Source_Data!$AA$24),1,IF(AND(ISTEXT(KOL_Source_Data!$AA$24),KOL_Source_Data!$AA$24&lt;&gt;"N/A"),1,0))+IF(ISNUMBER(KOL_Source_Data!$AE$24),1,IF(AND(ISTEXT(KOL_Source_Data!$AE$24),KOL_Source_Data!$AE$24&lt;&gt;"N/A"),1,0))+IF(ISNUMBER(KOL_Source_Data!$AH$24),1,IF(AND(ISTEXT(KOL_Source_Data!$AH$24),KOL_Source_Data!$AH$24&lt;&gt;"N/A"),1,0))+IF(ISNUMBER(KOL_Source_Data!$AN$24),1,IF(AND(ISTEXT(KOL_Source_Data!$AN$24),KOL_Source_Data!$AN$24&lt;&gt;"N/A"),1,0))+IF(ISNUMBER(KOL_Source_Data!$BS$24),1,IF(AND(ISTEXT(KOL_Source_Data!$BS$24),KOL_Source_Data!$BS$24&lt;&gt;"N/A"),1,0))+IF(ISNUMBER(KOL_Source_Data!$BT$24),1,IF(AND(ISTEXT(KOL_Source_Data!$BT$24),KOL_Source_Data!$BT$24&lt;&gt;"N/A"),1,0))+IF(ISNUMBER(KOL_Source_Data!$BU$24),1,IF(AND(ISTEXT(KOL_Source_Data!$BU$24),KOL_Source_Data!$BU$24&lt;&gt;"N/A"),1,0))+IF(ISNUMBER(KOL_Source_Data!$BM$24),1,IF(AND(ISTEXT(KOL_Source_Data!$BM$24),KOL_Source_Data!$BM$24&lt;&gt;"N/A"),1,0)))/12*100,0)</f>
      </c>
      <c r="BX24" s="11">
        <f>IF(KOL_Source_Data!$BW$24&gt;=Lookup_Lists!$D$159,"High",IF(KOL_Source_Data!$BW$24&gt;=Lookup_Lists!$D$160,"Medium","Limited Data"))</f>
      </c>
      <c r="BY24" s="11" t="s">
        <v>339</v>
      </c>
    </row>
    <row r="25" spans="1:77" x14ac:dyDescent="0.25">
      <c r="A25" s="10" t="s">
        <v>340</v>
      </c>
      <c r="B25" s="11" t="s">
        <v>341</v>
      </c>
      <c r="C25" s="11" t="s">
        <v>341</v>
      </c>
      <c r="D25" s="11" t="s">
        <v>342</v>
      </c>
      <c r="E25" s="11" t="s">
        <v>231</v>
      </c>
      <c r="F25" s="11" t="s">
        <v>174</v>
      </c>
      <c r="G25" s="12">
        <v>12000000</v>
      </c>
      <c r="H25" s="11">
        <f>IFERROR(INDEX(Lookup_Lists!$A$96:$A$100,MATCH(KOL_Source_Data!$G$25,Lookup_Lists!$B$96:$B$100,1)),"N/A")</f>
      </c>
      <c r="I25" s="11" t="s">
        <v>226</v>
      </c>
      <c r="J25" s="11" t="s">
        <v>239</v>
      </c>
      <c r="K25" s="11" t="s">
        <v>239</v>
      </c>
      <c r="L25" s="11" t="s">
        <v>178</v>
      </c>
      <c r="M25" s="13" t="s">
        <v>179</v>
      </c>
      <c r="N25" s="13" t="s">
        <v>179</v>
      </c>
      <c r="O25" s="13" t="s">
        <v>179</v>
      </c>
      <c r="P25" s="13" t="s">
        <v>179</v>
      </c>
      <c r="Q25" s="13" t="s">
        <v>179</v>
      </c>
      <c r="R25" s="13" t="s">
        <v>179</v>
      </c>
      <c r="S25" s="13" t="s">
        <v>179</v>
      </c>
      <c r="T25" s="11" t="s">
        <v>343</v>
      </c>
      <c r="U25" s="11" t="s">
        <v>344</v>
      </c>
      <c r="V25" s="13" t="s">
        <v>179</v>
      </c>
      <c r="W25" s="13" t="s">
        <v>179</v>
      </c>
      <c r="X25" s="13" t="s">
        <v>179</v>
      </c>
      <c r="Y25" s="13" t="s">
        <v>179</v>
      </c>
      <c r="Z25" s="13" t="s">
        <v>179</v>
      </c>
      <c r="AA25" s="16">
        <v>90</v>
      </c>
      <c r="AB25" s="16">
        <v>10</v>
      </c>
      <c r="AC25" s="16">
        <v>20</v>
      </c>
      <c r="AD25" s="11" t="s">
        <v>212</v>
      </c>
      <c r="AE25" s="16">
        <v>55.6</v>
      </c>
      <c r="AF25" s="16">
        <v>9</v>
      </c>
      <c r="AG25" s="13" t="s">
        <v>179</v>
      </c>
      <c r="AH25" s="13" t="s">
        <v>179</v>
      </c>
      <c r="AI25" s="13" t="s">
        <v>179</v>
      </c>
      <c r="AJ25" s="13" t="s">
        <v>179</v>
      </c>
      <c r="AK25" s="13" t="s">
        <v>179</v>
      </c>
      <c r="AL25" s="13" t="s">
        <v>179</v>
      </c>
      <c r="AM25" s="13" t="s">
        <v>179</v>
      </c>
      <c r="AN25" s="16">
        <v>11</v>
      </c>
      <c r="AO25" s="13" t="s">
        <v>179</v>
      </c>
      <c r="AP25" s="13" t="s">
        <v>179</v>
      </c>
      <c r="AQ25" s="13" t="s">
        <v>179</v>
      </c>
      <c r="AR25" s="13" t="s">
        <v>179</v>
      </c>
      <c r="AS25" s="13" t="s">
        <v>179</v>
      </c>
      <c r="AT25" s="13" t="s">
        <v>179</v>
      </c>
      <c r="AU25" s="13" t="s">
        <v>179</v>
      </c>
      <c r="AV25" s="13" t="s">
        <v>179</v>
      </c>
      <c r="AW25" s="16">
        <v>18.2</v>
      </c>
      <c r="AX25" s="16">
        <v>9.1</v>
      </c>
      <c r="AY25" s="16">
        <v>18.2</v>
      </c>
      <c r="AZ25" s="16">
        <v>27.3</v>
      </c>
      <c r="BA25" s="16">
        <v>9.1</v>
      </c>
      <c r="BB25" s="13" t="s">
        <v>179</v>
      </c>
      <c r="BC25" s="16">
        <v>9.1</v>
      </c>
      <c r="BD25" s="13" t="s">
        <v>179</v>
      </c>
      <c r="BE25" s="16">
        <v>9.1</v>
      </c>
      <c r="BF25" s="13" t="s">
        <v>179</v>
      </c>
      <c r="BG25" s="14">
        <v>1.81</v>
      </c>
      <c r="BH25" s="11" t="s">
        <v>235</v>
      </c>
      <c r="BI25" s="12">
        <v>2383810</v>
      </c>
      <c r="BJ25" s="12">
        <v>1700000</v>
      </c>
      <c r="BK25" s="15">
        <v>16.1074</v>
      </c>
      <c r="BL25" s="13" t="s">
        <v>179</v>
      </c>
      <c r="BM25" s="14">
        <v>42.86</v>
      </c>
      <c r="BN25" s="12">
        <v>7</v>
      </c>
      <c r="BO25" s="11" t="s">
        <v>226</v>
      </c>
      <c r="BP25" s="17">
        <v>0.6711</v>
      </c>
      <c r="BQ25" s="16">
        <v>0</v>
      </c>
      <c r="BR25" s="13" t="s">
        <v>179</v>
      </c>
      <c r="BS25" s="18">
        <v>75</v>
      </c>
      <c r="BT25" s="18">
        <v>67</v>
      </c>
      <c r="BU25" s="18">
        <v>83</v>
      </c>
      <c r="BV25" s="13" t="s">
        <v>179</v>
      </c>
      <c r="BW25" s="11">
        <f>ROUND((IF(ISNUMBER(KOL_Source_Data!$K$25),1,IF(AND(ISTEXT(KOL_Source_Data!$K$25),KOL_Source_Data!$K$25&lt;&gt;"N/A"),1,0))+IF(ISNUMBER(KOL_Source_Data!$BG$25),1,IF(AND(ISTEXT(KOL_Source_Data!$BG$25),KOL_Source_Data!$BG$25&lt;&gt;"N/A"),1,0))+IF(ISNUMBER(KOL_Source_Data!$BI$25),1,IF(AND(ISTEXT(KOL_Source_Data!$BI$25),KOL_Source_Data!$BI$25&lt;&gt;"N/A"),1,0))+IF(ISNUMBER(KOL_Source_Data!$BK$25),1,IF(AND(ISTEXT(KOL_Source_Data!$BK$25),KOL_Source_Data!$BK$25&lt;&gt;"N/A"),1,0))+IF(ISNUMBER(KOL_Source_Data!$AA$25),1,IF(AND(ISTEXT(KOL_Source_Data!$AA$25),KOL_Source_Data!$AA$25&lt;&gt;"N/A"),1,0))+IF(ISNUMBER(KOL_Source_Data!$AE$25),1,IF(AND(ISTEXT(KOL_Source_Data!$AE$25),KOL_Source_Data!$AE$25&lt;&gt;"N/A"),1,0))+IF(ISNUMBER(KOL_Source_Data!$AH$25),1,IF(AND(ISTEXT(KOL_Source_Data!$AH$25),KOL_Source_Data!$AH$25&lt;&gt;"N/A"),1,0))+IF(ISNUMBER(KOL_Source_Data!$AN$25),1,IF(AND(ISTEXT(KOL_Source_Data!$AN$25),KOL_Source_Data!$AN$25&lt;&gt;"N/A"),1,0))+IF(ISNUMBER(KOL_Source_Data!$BS$25),1,IF(AND(ISTEXT(KOL_Source_Data!$BS$25),KOL_Source_Data!$BS$25&lt;&gt;"N/A"),1,0))+IF(ISNUMBER(KOL_Source_Data!$BT$25),1,IF(AND(ISTEXT(KOL_Source_Data!$BT$25),KOL_Source_Data!$BT$25&lt;&gt;"N/A"),1,0))+IF(ISNUMBER(KOL_Source_Data!$BU$25),1,IF(AND(ISTEXT(KOL_Source_Data!$BU$25),KOL_Source_Data!$BU$25&lt;&gt;"N/A"),1,0))+IF(ISNUMBER(KOL_Source_Data!$BM$25),1,IF(AND(ISTEXT(KOL_Source_Data!$BM$25),KOL_Source_Data!$BM$25&lt;&gt;"N/A"),1,0)))/12*100,0)</f>
      </c>
      <c r="BX25" s="11">
        <f>IF(KOL_Source_Data!$BW$25&gt;=Lookup_Lists!$D$159,"High",IF(KOL_Source_Data!$BW$25&gt;=Lookup_Lists!$D$160,"Medium","Limited Data"))</f>
      </c>
      <c r="BY25" s="11" t="s">
        <v>345</v>
      </c>
    </row>
    <row r="26" spans="1:77" x14ac:dyDescent="0.25">
      <c r="A26" s="10" t="s">
        <v>346</v>
      </c>
      <c r="B26" s="11" t="s">
        <v>347</v>
      </c>
      <c r="C26" s="11" t="s">
        <v>348</v>
      </c>
      <c r="D26" s="11" t="s">
        <v>349</v>
      </c>
      <c r="E26" s="11" t="s">
        <v>231</v>
      </c>
      <c r="F26" s="11" t="s">
        <v>350</v>
      </c>
      <c r="G26" s="12">
        <v>11800000</v>
      </c>
      <c r="H26" s="11">
        <f>IFERROR(INDEX(Lookup_Lists!$A$96:$A$100,MATCH(KOL_Source_Data!$G$26,Lookup_Lists!$B$96:$B$100,1)),"N/A")</f>
      </c>
      <c r="I26" s="11" t="s">
        <v>175</v>
      </c>
      <c r="J26" s="11" t="s">
        <v>217</v>
      </c>
      <c r="K26" s="11" t="s">
        <v>217</v>
      </c>
      <c r="L26" s="11" t="s">
        <v>178</v>
      </c>
      <c r="M26" s="13" t="s">
        <v>179</v>
      </c>
      <c r="N26" s="13" t="s">
        <v>179</v>
      </c>
      <c r="O26" s="13" t="s">
        <v>179</v>
      </c>
      <c r="P26" s="13" t="s">
        <v>179</v>
      </c>
      <c r="Q26" s="13" t="s">
        <v>179</v>
      </c>
      <c r="R26" s="13" t="s">
        <v>179</v>
      </c>
      <c r="S26" s="13" t="s">
        <v>179</v>
      </c>
      <c r="T26" s="13" t="s">
        <v>179</v>
      </c>
      <c r="U26" s="13" t="s">
        <v>179</v>
      </c>
      <c r="V26" s="13" t="s">
        <v>179</v>
      </c>
      <c r="W26" s="13" t="s">
        <v>179</v>
      </c>
      <c r="X26" s="13" t="s">
        <v>179</v>
      </c>
      <c r="Y26" s="13" t="s">
        <v>179</v>
      </c>
      <c r="Z26" s="13" t="s">
        <v>179</v>
      </c>
      <c r="AA26" s="13" t="s">
        <v>179</v>
      </c>
      <c r="AB26" s="13" t="s">
        <v>179</v>
      </c>
      <c r="AC26" s="13" t="s">
        <v>179</v>
      </c>
      <c r="AD26" s="13" t="s">
        <v>179</v>
      </c>
      <c r="AE26" s="13" t="s">
        <v>179</v>
      </c>
      <c r="AF26" s="13" t="s">
        <v>179</v>
      </c>
      <c r="AG26" s="13" t="s">
        <v>179</v>
      </c>
      <c r="AH26" s="13" t="s">
        <v>179</v>
      </c>
      <c r="AI26" s="13" t="s">
        <v>179</v>
      </c>
      <c r="AJ26" s="13" t="s">
        <v>179</v>
      </c>
      <c r="AK26" s="13" t="s">
        <v>179</v>
      </c>
      <c r="AL26" s="13" t="s">
        <v>179</v>
      </c>
      <c r="AM26" s="13" t="s">
        <v>179</v>
      </c>
      <c r="AN26" s="13" t="s">
        <v>179</v>
      </c>
      <c r="AO26" s="13" t="s">
        <v>179</v>
      </c>
      <c r="AP26" s="13" t="s">
        <v>179</v>
      </c>
      <c r="AQ26" s="13" t="s">
        <v>179</v>
      </c>
      <c r="AR26" s="13" t="s">
        <v>179</v>
      </c>
      <c r="AS26" s="13" t="s">
        <v>179</v>
      </c>
      <c r="AT26" s="13" t="s">
        <v>179</v>
      </c>
      <c r="AU26" s="13" t="s">
        <v>179</v>
      </c>
      <c r="AV26" s="13" t="s">
        <v>179</v>
      </c>
      <c r="AW26" s="13" t="s">
        <v>179</v>
      </c>
      <c r="AX26" s="13" t="s">
        <v>179</v>
      </c>
      <c r="AY26" s="13" t="s">
        <v>179</v>
      </c>
      <c r="AZ26" s="13" t="s">
        <v>179</v>
      </c>
      <c r="BA26" s="13" t="s">
        <v>179</v>
      </c>
      <c r="BB26" s="13" t="s">
        <v>179</v>
      </c>
      <c r="BC26" s="13" t="s">
        <v>179</v>
      </c>
      <c r="BD26" s="13" t="s">
        <v>179</v>
      </c>
      <c r="BE26" s="13" t="s">
        <v>179</v>
      </c>
      <c r="BF26" s="13" t="s">
        <v>179</v>
      </c>
      <c r="BG26" s="13" t="s">
        <v>179</v>
      </c>
      <c r="BH26" s="13" t="s">
        <v>179</v>
      </c>
      <c r="BI26" s="13" t="s">
        <v>179</v>
      </c>
      <c r="BJ26" s="13" t="s">
        <v>179</v>
      </c>
      <c r="BK26" s="13" t="s">
        <v>179</v>
      </c>
      <c r="BL26" s="13" t="s">
        <v>179</v>
      </c>
      <c r="BM26" s="13" t="s">
        <v>179</v>
      </c>
      <c r="BN26" s="13" t="s">
        <v>179</v>
      </c>
      <c r="BO26" s="13" t="s">
        <v>179</v>
      </c>
      <c r="BP26" s="13" t="s">
        <v>179</v>
      </c>
      <c r="BQ26" s="13" t="s">
        <v>179</v>
      </c>
      <c r="BR26" s="13" t="s">
        <v>179</v>
      </c>
      <c r="BS26" s="13" t="s">
        <v>179</v>
      </c>
      <c r="BT26" s="13" t="s">
        <v>179</v>
      </c>
      <c r="BU26" s="13" t="s">
        <v>179</v>
      </c>
      <c r="BV26" s="13" t="s">
        <v>179</v>
      </c>
      <c r="BW26" s="11">
        <f>ROUND((IF(ISNUMBER(KOL_Source_Data!$K$26),1,IF(AND(ISTEXT(KOL_Source_Data!$K$26),KOL_Source_Data!$K$26&lt;&gt;"N/A"),1,0))+IF(ISNUMBER(KOL_Source_Data!$BG$26),1,IF(AND(ISTEXT(KOL_Source_Data!$BG$26),KOL_Source_Data!$BG$26&lt;&gt;"N/A"),1,0))+IF(ISNUMBER(KOL_Source_Data!$BI$26),1,IF(AND(ISTEXT(KOL_Source_Data!$BI$26),KOL_Source_Data!$BI$26&lt;&gt;"N/A"),1,0))+IF(ISNUMBER(KOL_Source_Data!$BK$26),1,IF(AND(ISTEXT(KOL_Source_Data!$BK$26),KOL_Source_Data!$BK$26&lt;&gt;"N/A"),1,0))+IF(ISNUMBER(KOL_Source_Data!$AA$26),1,IF(AND(ISTEXT(KOL_Source_Data!$AA$26),KOL_Source_Data!$AA$26&lt;&gt;"N/A"),1,0))+IF(ISNUMBER(KOL_Source_Data!$AE$26),1,IF(AND(ISTEXT(KOL_Source_Data!$AE$26),KOL_Source_Data!$AE$26&lt;&gt;"N/A"),1,0))+IF(ISNUMBER(KOL_Source_Data!$AH$26),1,IF(AND(ISTEXT(KOL_Source_Data!$AH$26),KOL_Source_Data!$AH$26&lt;&gt;"N/A"),1,0))+IF(ISNUMBER(KOL_Source_Data!$AN$26),1,IF(AND(ISTEXT(KOL_Source_Data!$AN$26),KOL_Source_Data!$AN$26&lt;&gt;"N/A"),1,0))+IF(ISNUMBER(KOL_Source_Data!$BS$26),1,IF(AND(ISTEXT(KOL_Source_Data!$BS$26),KOL_Source_Data!$BS$26&lt;&gt;"N/A"),1,0))+IF(ISNUMBER(KOL_Source_Data!$BT$26),1,IF(AND(ISTEXT(KOL_Source_Data!$BT$26),KOL_Source_Data!$BT$26&lt;&gt;"N/A"),1,0))+IF(ISNUMBER(KOL_Source_Data!$BU$26),1,IF(AND(ISTEXT(KOL_Source_Data!$BU$26),KOL_Source_Data!$BU$26&lt;&gt;"N/A"),1,0))+IF(ISNUMBER(KOL_Source_Data!$BM$26),1,IF(AND(ISTEXT(KOL_Source_Data!$BM$26),KOL_Source_Data!$BM$26&lt;&gt;"N/A"),1,0)))/12*100,0)</f>
      </c>
      <c r="BX26" s="11">
        <f>IF(KOL_Source_Data!$BW$26&gt;=Lookup_Lists!$D$159,"High",IF(KOL_Source_Data!$BW$26&gt;=Lookup_Lists!$D$160,"Medium","Limited Data"))</f>
      </c>
      <c r="BY26" s="11" t="s">
        <v>351</v>
      </c>
    </row>
    <row r="27" spans="1:77" x14ac:dyDescent="0.25">
      <c r="A27" s="10" t="s">
        <v>352</v>
      </c>
      <c r="B27" s="11" t="s">
        <v>353</v>
      </c>
      <c r="C27" s="11" t="s">
        <v>353</v>
      </c>
      <c r="D27" s="11" t="s">
        <v>354</v>
      </c>
      <c r="E27" s="11" t="s">
        <v>173</v>
      </c>
      <c r="F27" s="11" t="s">
        <v>174</v>
      </c>
      <c r="G27" s="12">
        <v>11208273</v>
      </c>
      <c r="H27" s="11">
        <f>IFERROR(INDEX(Lookup_Lists!$A$96:$A$100,MATCH(KOL_Source_Data!$G$27,Lookup_Lists!$B$96:$B$100,1)),"N/A")</f>
      </c>
      <c r="I27" s="11" t="s">
        <v>175</v>
      </c>
      <c r="J27" s="11" t="s">
        <v>177</v>
      </c>
      <c r="K27" s="11" t="s">
        <v>177</v>
      </c>
      <c r="L27" s="11" t="s">
        <v>178</v>
      </c>
      <c r="M27" s="13" t="s">
        <v>179</v>
      </c>
      <c r="N27" s="11" t="s">
        <v>355</v>
      </c>
      <c r="O27" s="11" t="s">
        <v>356</v>
      </c>
      <c r="P27" s="13" t="s">
        <v>179</v>
      </c>
      <c r="Q27" s="13" t="s">
        <v>179</v>
      </c>
      <c r="R27" s="13" t="s">
        <v>179</v>
      </c>
      <c r="S27" s="11" t="s">
        <v>357</v>
      </c>
      <c r="T27" s="11" t="s">
        <v>358</v>
      </c>
      <c r="U27" s="11" t="s">
        <v>359</v>
      </c>
      <c r="V27" s="13" t="s">
        <v>179</v>
      </c>
      <c r="W27" s="13" t="s">
        <v>179</v>
      </c>
      <c r="X27" s="13" t="s">
        <v>179</v>
      </c>
      <c r="Y27" s="13" t="s">
        <v>179</v>
      </c>
      <c r="Z27" s="13" t="s">
        <v>179</v>
      </c>
      <c r="AA27" s="16">
        <v>25.64</v>
      </c>
      <c r="AB27" s="16">
        <v>74.36</v>
      </c>
      <c r="AC27" s="16">
        <v>39</v>
      </c>
      <c r="AD27" s="11" t="s">
        <v>212</v>
      </c>
      <c r="AE27" s="16">
        <v>100</v>
      </c>
      <c r="AF27" s="16">
        <v>10</v>
      </c>
      <c r="AG27" s="11" t="s">
        <v>223</v>
      </c>
      <c r="AH27" s="16">
        <v>12.5</v>
      </c>
      <c r="AI27" s="11" t="s">
        <v>224</v>
      </c>
      <c r="AJ27" s="16">
        <v>12.5</v>
      </c>
      <c r="AK27" s="11" t="s">
        <v>360</v>
      </c>
      <c r="AL27" s="16">
        <v>12.5</v>
      </c>
      <c r="AM27" s="16">
        <v>100</v>
      </c>
      <c r="AN27" s="16">
        <v>24.5</v>
      </c>
      <c r="AO27" s="16">
        <v>3.8</v>
      </c>
      <c r="AP27" s="13" t="s">
        <v>179</v>
      </c>
      <c r="AQ27" s="16">
        <v>3.8</v>
      </c>
      <c r="AR27" s="16">
        <v>23.1</v>
      </c>
      <c r="AS27" s="13" t="s">
        <v>179</v>
      </c>
      <c r="AT27" s="13" t="s">
        <v>179</v>
      </c>
      <c r="AU27" s="16">
        <v>7.7</v>
      </c>
      <c r="AV27" s="13" t="s">
        <v>179</v>
      </c>
      <c r="AW27" s="16">
        <v>7.7</v>
      </c>
      <c r="AX27" s="13" t="s">
        <v>179</v>
      </c>
      <c r="AY27" s="16">
        <v>7.7</v>
      </c>
      <c r="AZ27" s="16">
        <v>7.7</v>
      </c>
      <c r="BA27" s="13" t="s">
        <v>179</v>
      </c>
      <c r="BB27" s="13" t="s">
        <v>179</v>
      </c>
      <c r="BC27" s="16">
        <v>38.5</v>
      </c>
      <c r="BD27" s="13" t="s">
        <v>179</v>
      </c>
      <c r="BE27" s="13" t="s">
        <v>179</v>
      </c>
      <c r="BF27" s="13" t="s">
        <v>179</v>
      </c>
      <c r="BG27" s="14">
        <v>0.6</v>
      </c>
      <c r="BH27" s="11" t="s">
        <v>184</v>
      </c>
      <c r="BI27" s="12">
        <v>230981.5</v>
      </c>
      <c r="BJ27" s="12">
        <v>230981.5</v>
      </c>
      <c r="BK27" s="15">
        <v>1.5523</v>
      </c>
      <c r="BL27" s="12">
        <v>7</v>
      </c>
      <c r="BM27" s="14">
        <v>3.44</v>
      </c>
      <c r="BN27" s="12">
        <v>61</v>
      </c>
      <c r="BO27" s="11" t="s">
        <v>175</v>
      </c>
      <c r="BP27" s="17">
        <v>-0.0271</v>
      </c>
      <c r="BQ27" s="16">
        <v>0</v>
      </c>
      <c r="BR27" s="13" t="s">
        <v>179</v>
      </c>
      <c r="BS27" s="18">
        <v>59</v>
      </c>
      <c r="BT27" s="18">
        <v>61</v>
      </c>
      <c r="BU27" s="18">
        <v>57</v>
      </c>
      <c r="BV27" s="13" t="s">
        <v>179</v>
      </c>
      <c r="BW27" s="11">
        <f>ROUND((IF(ISNUMBER(KOL_Source_Data!$K$27),1,IF(AND(ISTEXT(KOL_Source_Data!$K$27),KOL_Source_Data!$K$27&lt;&gt;"N/A"),1,0))+IF(ISNUMBER(KOL_Source_Data!$BG$27),1,IF(AND(ISTEXT(KOL_Source_Data!$BG$27),KOL_Source_Data!$BG$27&lt;&gt;"N/A"),1,0))+IF(ISNUMBER(KOL_Source_Data!$BI$27),1,IF(AND(ISTEXT(KOL_Source_Data!$BI$27),KOL_Source_Data!$BI$27&lt;&gt;"N/A"),1,0))+IF(ISNUMBER(KOL_Source_Data!$BK$27),1,IF(AND(ISTEXT(KOL_Source_Data!$BK$27),KOL_Source_Data!$BK$27&lt;&gt;"N/A"),1,0))+IF(ISNUMBER(KOL_Source_Data!$AA$27),1,IF(AND(ISTEXT(KOL_Source_Data!$AA$27),KOL_Source_Data!$AA$27&lt;&gt;"N/A"),1,0))+IF(ISNUMBER(KOL_Source_Data!$AE$27),1,IF(AND(ISTEXT(KOL_Source_Data!$AE$27),KOL_Source_Data!$AE$27&lt;&gt;"N/A"),1,0))+IF(ISNUMBER(KOL_Source_Data!$AH$27),1,IF(AND(ISTEXT(KOL_Source_Data!$AH$27),KOL_Source_Data!$AH$27&lt;&gt;"N/A"),1,0))+IF(ISNUMBER(KOL_Source_Data!$AN$27),1,IF(AND(ISTEXT(KOL_Source_Data!$AN$27),KOL_Source_Data!$AN$27&lt;&gt;"N/A"),1,0))+IF(ISNUMBER(KOL_Source_Data!$BS$27),1,IF(AND(ISTEXT(KOL_Source_Data!$BS$27),KOL_Source_Data!$BS$27&lt;&gt;"N/A"),1,0))+IF(ISNUMBER(KOL_Source_Data!$BT$27),1,IF(AND(ISTEXT(KOL_Source_Data!$BT$27),KOL_Source_Data!$BT$27&lt;&gt;"N/A"),1,0))+IF(ISNUMBER(KOL_Source_Data!$BU$27),1,IF(AND(ISTEXT(KOL_Source_Data!$BU$27),KOL_Source_Data!$BU$27&lt;&gt;"N/A"),1,0))+IF(ISNUMBER(KOL_Source_Data!$BM$27),1,IF(AND(ISTEXT(KOL_Source_Data!$BM$27),KOL_Source_Data!$BM$27&lt;&gt;"N/A"),1,0)))/12*100,0)</f>
      </c>
      <c r="BX27" s="11">
        <f>IF(KOL_Source_Data!$BW$27&gt;=Lookup_Lists!$D$159,"High",IF(KOL_Source_Data!$BW$27&gt;=Lookup_Lists!$D$160,"Medium","Limited Data"))</f>
      </c>
      <c r="BY27" s="11" t="s">
        <v>195</v>
      </c>
    </row>
    <row r="28" spans="1:77" x14ac:dyDescent="0.25">
      <c r="A28" s="10" t="s">
        <v>361</v>
      </c>
      <c r="B28" s="11" t="s">
        <v>362</v>
      </c>
      <c r="C28" s="11" t="s">
        <v>363</v>
      </c>
      <c r="D28" s="11" t="s">
        <v>364</v>
      </c>
      <c r="E28" s="11" t="s">
        <v>231</v>
      </c>
      <c r="F28" s="11" t="s">
        <v>350</v>
      </c>
      <c r="G28" s="12">
        <v>10664778</v>
      </c>
      <c r="H28" s="11">
        <f>IFERROR(INDEX(Lookup_Lists!$A$96:$A$100,MATCH(KOL_Source_Data!$G$28,Lookup_Lists!$B$96:$B$100,1)),"N/A")</f>
      </c>
      <c r="I28" s="11" t="s">
        <v>226</v>
      </c>
      <c r="J28" s="13" t="s">
        <v>179</v>
      </c>
      <c r="K28" s="13" t="s">
        <v>179</v>
      </c>
      <c r="L28" s="13" t="s">
        <v>179</v>
      </c>
      <c r="M28" s="13" t="s">
        <v>179</v>
      </c>
      <c r="N28" s="13" t="s">
        <v>179</v>
      </c>
      <c r="O28" s="13" t="s">
        <v>179</v>
      </c>
      <c r="P28" s="13" t="s">
        <v>179</v>
      </c>
      <c r="Q28" s="13" t="s">
        <v>179</v>
      </c>
      <c r="R28" s="13" t="s">
        <v>179</v>
      </c>
      <c r="S28" s="13" t="s">
        <v>179</v>
      </c>
      <c r="T28" s="13" t="s">
        <v>179</v>
      </c>
      <c r="U28" s="13" t="s">
        <v>179</v>
      </c>
      <c r="V28" s="13" t="s">
        <v>179</v>
      </c>
      <c r="W28" s="13" t="s">
        <v>179</v>
      </c>
      <c r="X28" s="13" t="s">
        <v>179</v>
      </c>
      <c r="Y28" s="13" t="s">
        <v>179</v>
      </c>
      <c r="Z28" s="13" t="s">
        <v>179</v>
      </c>
      <c r="AA28" s="13" t="s">
        <v>179</v>
      </c>
      <c r="AB28" s="13" t="s">
        <v>179</v>
      </c>
      <c r="AC28" s="13" t="s">
        <v>179</v>
      </c>
      <c r="AD28" s="13" t="s">
        <v>179</v>
      </c>
      <c r="AE28" s="13" t="s">
        <v>179</v>
      </c>
      <c r="AF28" s="13" t="s">
        <v>179</v>
      </c>
      <c r="AG28" s="13" t="s">
        <v>179</v>
      </c>
      <c r="AH28" s="13" t="s">
        <v>179</v>
      </c>
      <c r="AI28" s="13" t="s">
        <v>179</v>
      </c>
      <c r="AJ28" s="13" t="s">
        <v>179</v>
      </c>
      <c r="AK28" s="13" t="s">
        <v>179</v>
      </c>
      <c r="AL28" s="13" t="s">
        <v>179</v>
      </c>
      <c r="AM28" s="13" t="s">
        <v>179</v>
      </c>
      <c r="AN28" s="13" t="s">
        <v>179</v>
      </c>
      <c r="AO28" s="13" t="s">
        <v>179</v>
      </c>
      <c r="AP28" s="13" t="s">
        <v>179</v>
      </c>
      <c r="AQ28" s="13" t="s">
        <v>179</v>
      </c>
      <c r="AR28" s="13" t="s">
        <v>179</v>
      </c>
      <c r="AS28" s="13" t="s">
        <v>179</v>
      </c>
      <c r="AT28" s="13" t="s">
        <v>179</v>
      </c>
      <c r="AU28" s="13" t="s">
        <v>179</v>
      </c>
      <c r="AV28" s="13" t="s">
        <v>179</v>
      </c>
      <c r="AW28" s="13" t="s">
        <v>179</v>
      </c>
      <c r="AX28" s="13" t="s">
        <v>179</v>
      </c>
      <c r="AY28" s="13" t="s">
        <v>179</v>
      </c>
      <c r="AZ28" s="13" t="s">
        <v>179</v>
      </c>
      <c r="BA28" s="13" t="s">
        <v>179</v>
      </c>
      <c r="BB28" s="13" t="s">
        <v>179</v>
      </c>
      <c r="BC28" s="13" t="s">
        <v>179</v>
      </c>
      <c r="BD28" s="13" t="s">
        <v>179</v>
      </c>
      <c r="BE28" s="13" t="s">
        <v>179</v>
      </c>
      <c r="BF28" s="13" t="s">
        <v>179</v>
      </c>
      <c r="BG28" s="13" t="s">
        <v>179</v>
      </c>
      <c r="BH28" s="13" t="s">
        <v>179</v>
      </c>
      <c r="BI28" s="13" t="s">
        <v>179</v>
      </c>
      <c r="BJ28" s="13" t="s">
        <v>179</v>
      </c>
      <c r="BK28" s="13" t="s">
        <v>179</v>
      </c>
      <c r="BL28" s="13" t="s">
        <v>179</v>
      </c>
      <c r="BM28" s="13" t="s">
        <v>179</v>
      </c>
      <c r="BN28" s="13" t="s">
        <v>179</v>
      </c>
      <c r="BO28" s="13" t="s">
        <v>179</v>
      </c>
      <c r="BP28" s="13" t="s">
        <v>179</v>
      </c>
      <c r="BQ28" s="13" t="s">
        <v>179</v>
      </c>
      <c r="BR28" s="13" t="s">
        <v>179</v>
      </c>
      <c r="BS28" s="13" t="s">
        <v>179</v>
      </c>
      <c r="BT28" s="13" t="s">
        <v>179</v>
      </c>
      <c r="BU28" s="13" t="s">
        <v>179</v>
      </c>
      <c r="BV28" s="13" t="s">
        <v>179</v>
      </c>
      <c r="BW28" s="11">
        <f>ROUND((IF(ISNUMBER(KOL_Source_Data!$K$28),1,IF(AND(ISTEXT(KOL_Source_Data!$K$28),KOL_Source_Data!$K$28&lt;&gt;"N/A"),1,0))+IF(ISNUMBER(KOL_Source_Data!$BG$28),1,IF(AND(ISTEXT(KOL_Source_Data!$BG$28),KOL_Source_Data!$BG$28&lt;&gt;"N/A"),1,0))+IF(ISNUMBER(KOL_Source_Data!$BI$28),1,IF(AND(ISTEXT(KOL_Source_Data!$BI$28),KOL_Source_Data!$BI$28&lt;&gt;"N/A"),1,0))+IF(ISNUMBER(KOL_Source_Data!$BK$28),1,IF(AND(ISTEXT(KOL_Source_Data!$BK$28),KOL_Source_Data!$BK$28&lt;&gt;"N/A"),1,0))+IF(ISNUMBER(KOL_Source_Data!$AA$28),1,IF(AND(ISTEXT(KOL_Source_Data!$AA$28),KOL_Source_Data!$AA$28&lt;&gt;"N/A"),1,0))+IF(ISNUMBER(KOL_Source_Data!$AE$28),1,IF(AND(ISTEXT(KOL_Source_Data!$AE$28),KOL_Source_Data!$AE$28&lt;&gt;"N/A"),1,0))+IF(ISNUMBER(KOL_Source_Data!$AH$28),1,IF(AND(ISTEXT(KOL_Source_Data!$AH$28),KOL_Source_Data!$AH$28&lt;&gt;"N/A"),1,0))+IF(ISNUMBER(KOL_Source_Data!$AN$28),1,IF(AND(ISTEXT(KOL_Source_Data!$AN$28),KOL_Source_Data!$AN$28&lt;&gt;"N/A"),1,0))+IF(ISNUMBER(KOL_Source_Data!$BS$28),1,IF(AND(ISTEXT(KOL_Source_Data!$BS$28),KOL_Source_Data!$BS$28&lt;&gt;"N/A"),1,0))+IF(ISNUMBER(KOL_Source_Data!$BT$28),1,IF(AND(ISTEXT(KOL_Source_Data!$BT$28),KOL_Source_Data!$BT$28&lt;&gt;"N/A"),1,0))+IF(ISNUMBER(KOL_Source_Data!$BU$28),1,IF(AND(ISTEXT(KOL_Source_Data!$BU$28),KOL_Source_Data!$BU$28&lt;&gt;"N/A"),1,0))+IF(ISNUMBER(KOL_Source_Data!$BM$28),1,IF(AND(ISTEXT(KOL_Source_Data!$BM$28),KOL_Source_Data!$BM$28&lt;&gt;"N/A"),1,0)))/12*100,0)</f>
      </c>
      <c r="BX28" s="11">
        <f>IF(KOL_Source_Data!$BW$28&gt;=Lookup_Lists!$D$159,"High",IF(KOL_Source_Data!$BW$28&gt;=Lookup_Lists!$D$160,"Medium","Limited Data"))</f>
      </c>
      <c r="BY28" s="11" t="s">
        <v>365</v>
      </c>
    </row>
    <row r="29" spans="1:77" x14ac:dyDescent="0.25">
      <c r="A29" s="10" t="s">
        <v>366</v>
      </c>
      <c r="B29" s="11" t="s">
        <v>367</v>
      </c>
      <c r="C29" s="11" t="s">
        <v>367</v>
      </c>
      <c r="D29" s="11" t="s">
        <v>368</v>
      </c>
      <c r="E29" s="11" t="s">
        <v>231</v>
      </c>
      <c r="F29" s="11" t="s">
        <v>174</v>
      </c>
      <c r="G29" s="12">
        <v>10500000</v>
      </c>
      <c r="H29" s="11">
        <f>IFERROR(INDEX(Lookup_Lists!$A$96:$A$100,MATCH(KOL_Source_Data!$G$29,Lookup_Lists!$B$96:$B$100,1)),"N/A")</f>
      </c>
      <c r="I29" s="11" t="s">
        <v>175</v>
      </c>
      <c r="J29" s="13" t="s">
        <v>179</v>
      </c>
      <c r="K29" s="11" t="s">
        <v>177</v>
      </c>
      <c r="L29" s="11" t="s">
        <v>206</v>
      </c>
      <c r="M29" s="11" t="s">
        <v>177</v>
      </c>
      <c r="N29" s="11" t="s">
        <v>369</v>
      </c>
      <c r="O29" s="11" t="s">
        <v>370</v>
      </c>
      <c r="P29" s="13" t="s">
        <v>179</v>
      </c>
      <c r="Q29" s="13" t="s">
        <v>179</v>
      </c>
      <c r="R29" s="13" t="s">
        <v>179</v>
      </c>
      <c r="S29" s="13" t="s">
        <v>179</v>
      </c>
      <c r="T29" s="11" t="s">
        <v>371</v>
      </c>
      <c r="U29" s="11" t="s">
        <v>372</v>
      </c>
      <c r="V29" s="13" t="s">
        <v>179</v>
      </c>
      <c r="W29" s="13" t="s">
        <v>179</v>
      </c>
      <c r="X29" s="13" t="s">
        <v>179</v>
      </c>
      <c r="Y29" s="13" t="s">
        <v>179</v>
      </c>
      <c r="Z29" s="13" t="s">
        <v>179</v>
      </c>
      <c r="AA29" s="16">
        <v>26.67</v>
      </c>
      <c r="AB29" s="16">
        <v>73.33</v>
      </c>
      <c r="AC29" s="16">
        <v>15</v>
      </c>
      <c r="AD29" s="11" t="s">
        <v>212</v>
      </c>
      <c r="AE29" s="16">
        <v>76.9</v>
      </c>
      <c r="AF29" s="16">
        <v>13</v>
      </c>
      <c r="AG29" s="11" t="s">
        <v>225</v>
      </c>
      <c r="AH29" s="16">
        <v>25</v>
      </c>
      <c r="AI29" s="11" t="s">
        <v>243</v>
      </c>
      <c r="AJ29" s="16">
        <v>25</v>
      </c>
      <c r="AK29" s="11" t="s">
        <v>373</v>
      </c>
      <c r="AL29" s="16">
        <v>25</v>
      </c>
      <c r="AM29" s="16">
        <v>100</v>
      </c>
      <c r="AN29" s="16">
        <v>12.7</v>
      </c>
      <c r="AO29" s="13" t="s">
        <v>179</v>
      </c>
      <c r="AP29" s="16">
        <v>7.7</v>
      </c>
      <c r="AQ29" s="13" t="s">
        <v>179</v>
      </c>
      <c r="AR29" s="13" t="s">
        <v>179</v>
      </c>
      <c r="AS29" s="13" t="s">
        <v>179</v>
      </c>
      <c r="AT29" s="13" t="s">
        <v>179</v>
      </c>
      <c r="AU29" s="13" t="s">
        <v>179</v>
      </c>
      <c r="AV29" s="13" t="s">
        <v>179</v>
      </c>
      <c r="AW29" s="16">
        <v>23.1</v>
      </c>
      <c r="AX29" s="16">
        <v>15.4</v>
      </c>
      <c r="AY29" s="13" t="s">
        <v>179</v>
      </c>
      <c r="AZ29" s="16">
        <v>15.4</v>
      </c>
      <c r="BA29" s="16">
        <v>7.7</v>
      </c>
      <c r="BB29" s="13" t="s">
        <v>179</v>
      </c>
      <c r="BC29" s="16">
        <v>15.4</v>
      </c>
      <c r="BD29" s="13" t="s">
        <v>179</v>
      </c>
      <c r="BE29" s="13" t="s">
        <v>179</v>
      </c>
      <c r="BF29" s="16">
        <v>15.4</v>
      </c>
      <c r="BG29" s="14">
        <v>0.01</v>
      </c>
      <c r="BH29" s="11" t="s">
        <v>184</v>
      </c>
      <c r="BI29" s="12">
        <v>59235.9</v>
      </c>
      <c r="BJ29" s="12">
        <v>46550</v>
      </c>
      <c r="BK29" s="15">
        <v>0.5434</v>
      </c>
      <c r="BL29" s="13" t="s">
        <v>179</v>
      </c>
      <c r="BM29" s="13" t="s">
        <v>179</v>
      </c>
      <c r="BN29" s="12">
        <v>0</v>
      </c>
      <c r="BO29" s="13" t="s">
        <v>179</v>
      </c>
      <c r="BP29" s="17">
        <v>0.9174</v>
      </c>
      <c r="BQ29" s="16">
        <v>0</v>
      </c>
      <c r="BR29" s="13" t="s">
        <v>179</v>
      </c>
      <c r="BS29" s="18">
        <v>80</v>
      </c>
      <c r="BT29" s="18">
        <v>75</v>
      </c>
      <c r="BU29" s="18">
        <v>84</v>
      </c>
      <c r="BV29" s="13" t="s">
        <v>179</v>
      </c>
      <c r="BW29" s="11">
        <f>ROUND((IF(ISNUMBER(KOL_Source_Data!$K$29),1,IF(AND(ISTEXT(KOL_Source_Data!$K$29),KOL_Source_Data!$K$29&lt;&gt;"N/A"),1,0))+IF(ISNUMBER(KOL_Source_Data!$BG$29),1,IF(AND(ISTEXT(KOL_Source_Data!$BG$29),KOL_Source_Data!$BG$29&lt;&gt;"N/A"),1,0))+IF(ISNUMBER(KOL_Source_Data!$BI$29),1,IF(AND(ISTEXT(KOL_Source_Data!$BI$29),KOL_Source_Data!$BI$29&lt;&gt;"N/A"),1,0))+IF(ISNUMBER(KOL_Source_Data!$BK$29),1,IF(AND(ISTEXT(KOL_Source_Data!$BK$29),KOL_Source_Data!$BK$29&lt;&gt;"N/A"),1,0))+IF(ISNUMBER(KOL_Source_Data!$AA$29),1,IF(AND(ISTEXT(KOL_Source_Data!$AA$29),KOL_Source_Data!$AA$29&lt;&gt;"N/A"),1,0))+IF(ISNUMBER(KOL_Source_Data!$AE$29),1,IF(AND(ISTEXT(KOL_Source_Data!$AE$29),KOL_Source_Data!$AE$29&lt;&gt;"N/A"),1,0))+IF(ISNUMBER(KOL_Source_Data!$AH$29),1,IF(AND(ISTEXT(KOL_Source_Data!$AH$29),KOL_Source_Data!$AH$29&lt;&gt;"N/A"),1,0))+IF(ISNUMBER(KOL_Source_Data!$AN$29),1,IF(AND(ISTEXT(KOL_Source_Data!$AN$29),KOL_Source_Data!$AN$29&lt;&gt;"N/A"),1,0))+IF(ISNUMBER(KOL_Source_Data!$BS$29),1,IF(AND(ISTEXT(KOL_Source_Data!$BS$29),KOL_Source_Data!$BS$29&lt;&gt;"N/A"),1,0))+IF(ISNUMBER(KOL_Source_Data!$BT$29),1,IF(AND(ISTEXT(KOL_Source_Data!$BT$29),KOL_Source_Data!$BT$29&lt;&gt;"N/A"),1,0))+IF(ISNUMBER(KOL_Source_Data!$BU$29),1,IF(AND(ISTEXT(KOL_Source_Data!$BU$29),KOL_Source_Data!$BU$29&lt;&gt;"N/A"),1,0))+IF(ISNUMBER(KOL_Source_Data!$BM$29),1,IF(AND(ISTEXT(KOL_Source_Data!$BM$29),KOL_Source_Data!$BM$29&lt;&gt;"N/A"),1,0)))/12*100,0)</f>
      </c>
      <c r="BX29" s="11">
        <f>IF(KOL_Source_Data!$BW$29&gt;=Lookup_Lists!$D$159,"High",IF(KOL_Source_Data!$BW$29&gt;=Lookup_Lists!$D$160,"Medium","Limited Data"))</f>
      </c>
      <c r="BY29" s="11" t="s">
        <v>374</v>
      </c>
    </row>
  </sheetData>
  <autoFilter ref="A5:BY29"/>
  <mergeCells count="8">
    <mergeCell ref="A1:BY1"/>
    <mergeCell ref="A2:BY2"/>
    <mergeCell ref="A4:I4"/>
    <mergeCell ref="J4:U4"/>
    <mergeCell ref="V4:BF4"/>
    <mergeCell ref="BG4:BR4"/>
    <mergeCell ref="BS4:BV4"/>
    <mergeCell ref="BW4:BY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25"/>
  <sheetViews>
    <sheetView workbookViewId="0">
      <pane xSplit="5" ySplit="5" topLeftCell="F6" activePane="bottomRight" state="frozen"/>
      <selection pane="bottomRight"/>
    </sheetView>
  </sheetViews>
  <sheetFormatPr defaultRowHeight="15" outlineLevelRow="0" outlineLevelCol="0" x14ac:dyDescent="55"/>
  <cols>
    <col min="1" max="1" width="10" customWidth="1"/>
    <col min="6" max="7" width="10" customWidth="1"/>
    <col min="8" max="8" width="11" customWidth="1"/>
    <col min="9" max="9" width="20" customWidth="1"/>
    <col min="10" max="10" width="16" customWidth="1"/>
    <col min="11" max="12" width="15" customWidth="1"/>
    <col min="13" max="13" width="16" customWidth="1"/>
    <col min="14" max="14" width="20" customWidth="1"/>
    <col min="15" max="15" width="11" customWidth="1"/>
    <col min="16" max="16" width="14" customWidth="1"/>
    <col min="17" max="19" width="16" customWidth="1"/>
    <col min="20" max="22" width="20" customWidth="1"/>
    <col min="23" max="23" width="13" customWidth="1"/>
    <col min="24" max="24" width="20" customWidth="1"/>
    <col min="25" max="25" width="15" customWidth="1"/>
    <col min="26" max="27" width="19" customWidth="1"/>
    <col min="28" max="28" width="12" customWidth="1"/>
    <col min="29" max="29" width="14" customWidth="1"/>
    <col min="30" max="30" width="20" customWidth="1"/>
    <col min="31" max="31" width="19" customWidth="1"/>
    <col min="32" max="32" width="20" customWidth="1"/>
    <col min="33" max="33" width="10" customWidth="1"/>
    <col min="34" max="34" width="20" customWidth="1"/>
    <col min="35" max="35" width="19" customWidth="1"/>
    <col min="36" max="36" width="17" customWidth="1"/>
    <col min="37" max="38" width="20" customWidth="1"/>
    <col min="39" max="39" width="19" customWidth="1"/>
    <col min="40" max="43" width="20" customWidth="1"/>
    <col min="44" max="44" width="18" customWidth="1"/>
    <col min="45" max="45" width="20" customWidth="1"/>
    <col min="46" max="46" width="14" customWidth="1"/>
    <col min="47" max="47" width="18" customWidth="1"/>
    <col min="48" max="48" width="14" customWidth="1"/>
    <col min="49" max="49" width="58" customWidth="1"/>
    <col min="50" max="50" width="18" customWidth="1"/>
    <col min="51" max="51" width="19" customWidth="1"/>
    <col min="52" max="52" width="13" customWidth="1"/>
    <col min="53" max="53" width="20" customWidth="1"/>
    <col min="54" max="54" width="12" customWidth="1"/>
    <col min="55" max="55" width="10" customWidth="1"/>
    <col min="56" max="56" width="50" customWidth="1"/>
    <col min="57" max="57" width="42" customWidth="1"/>
    <col min="58" max="58" width="18" customWidth="1"/>
    <col min="59" max="59" width="11" customWidth="1"/>
  </cols>
  <sheetData>
    <row r="1" ht="24" customHeight="1" spans="1:59" x14ac:dyDescent="0.25">
      <c r="A1" s="1" t="s">
        <v>615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ht="30" customHeight="1" spans="1:59" x14ac:dyDescent="0.25">
      <c r="A2" s="2" t="s">
        <v>616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4" spans="1:59" x14ac:dyDescent="0.25">
      <c r="A4" s="9" t="s">
        <v>617</v>
      </c>
      <c r="B4" s="9"/>
      <c r="C4" s="9"/>
      <c r="D4" s="9"/>
      <c r="E4" s="9"/>
      <c r="F4" s="9"/>
      <c r="G4" s="9"/>
      <c r="H4" s="9"/>
      <c r="I4" s="9"/>
      <c r="J4" s="9" t="s">
        <v>618</v>
      </c>
      <c r="K4" s="9"/>
      <c r="L4" s="9"/>
      <c r="M4" s="9"/>
      <c r="N4" s="9"/>
      <c r="O4" s="9" t="s">
        <v>619</v>
      </c>
      <c r="P4" s="9"/>
      <c r="Q4" s="9"/>
      <c r="R4" s="9"/>
      <c r="S4" s="9"/>
      <c r="T4" s="9"/>
      <c r="U4" s="9" t="s">
        <v>620</v>
      </c>
      <c r="V4" s="9"/>
      <c r="W4" s="9"/>
      <c r="X4" s="9"/>
      <c r="Y4" s="9"/>
      <c r="Z4" s="9"/>
      <c r="AA4" s="9" t="s">
        <v>621</v>
      </c>
      <c r="AB4" s="9"/>
      <c r="AC4" s="9"/>
      <c r="AD4" s="9"/>
      <c r="AE4" s="9"/>
      <c r="AF4" s="9"/>
      <c r="AG4" s="9" t="s">
        <v>622</v>
      </c>
      <c r="AH4" s="9"/>
      <c r="AI4" s="9"/>
      <c r="AJ4" s="9"/>
      <c r="AK4" s="9"/>
      <c r="AL4" s="9"/>
      <c r="AM4" s="9"/>
      <c r="AN4" s="9"/>
      <c r="AO4" s="9" t="s">
        <v>623</v>
      </c>
      <c r="AP4" s="9"/>
      <c r="AQ4" s="9"/>
      <c r="AR4" s="9"/>
      <c r="AS4" s="9"/>
      <c r="AT4" s="9"/>
      <c r="AU4" s="9"/>
      <c r="AV4" s="9"/>
      <c r="AW4" s="9"/>
      <c r="AX4" s="9" t="s">
        <v>624</v>
      </c>
      <c r="AY4" s="9"/>
      <c r="AZ4" s="9"/>
      <c r="BA4" s="9"/>
      <c r="BB4" s="9"/>
      <c r="BC4" s="9"/>
      <c r="BD4" s="9" t="s">
        <v>625</v>
      </c>
      <c r="BE4" s="9"/>
      <c r="BF4" s="9"/>
      <c r="BG4" s="9"/>
    </row>
    <row r="5" ht="46" customHeight="1" spans="1:59" x14ac:dyDescent="0.25">
      <c r="A5" s="6" t="s">
        <v>387</v>
      </c>
      <c r="B5" s="6" t="s">
        <v>626</v>
      </c>
      <c r="C5" s="6" t="s">
        <v>93</v>
      </c>
      <c r="D5" s="6" t="s">
        <v>627</v>
      </c>
      <c r="E5" s="6" t="s">
        <v>628</v>
      </c>
      <c r="F5" s="6" t="s">
        <v>97</v>
      </c>
      <c r="G5" s="6" t="s">
        <v>103</v>
      </c>
      <c r="H5" s="6" t="s">
        <v>99</v>
      </c>
      <c r="I5" s="6" t="s">
        <v>151</v>
      </c>
      <c r="J5" s="6" t="s">
        <v>629</v>
      </c>
      <c r="K5" s="6" t="s">
        <v>630</v>
      </c>
      <c r="L5" s="6" t="s">
        <v>631</v>
      </c>
      <c r="M5" s="6" t="s">
        <v>632</v>
      </c>
      <c r="N5" s="6" t="s">
        <v>633</v>
      </c>
      <c r="O5" s="6" t="s">
        <v>634</v>
      </c>
      <c r="P5" s="6" t="s">
        <v>635</v>
      </c>
      <c r="Q5" s="6" t="s">
        <v>636</v>
      </c>
      <c r="R5" s="6" t="s">
        <v>637</v>
      </c>
      <c r="S5" s="6" t="s">
        <v>638</v>
      </c>
      <c r="T5" s="6" t="s">
        <v>639</v>
      </c>
      <c r="U5" s="6" t="s">
        <v>640</v>
      </c>
      <c r="V5" s="6" t="s">
        <v>641</v>
      </c>
      <c r="W5" s="6" t="s">
        <v>642</v>
      </c>
      <c r="X5" s="6" t="s">
        <v>643</v>
      </c>
      <c r="Y5" s="6" t="s">
        <v>644</v>
      </c>
      <c r="Z5" s="6" t="s">
        <v>645</v>
      </c>
      <c r="AA5" s="6" t="s">
        <v>646</v>
      </c>
      <c r="AB5" s="6" t="s">
        <v>647</v>
      </c>
      <c r="AC5" s="6" t="s">
        <v>648</v>
      </c>
      <c r="AD5" s="6" t="s">
        <v>649</v>
      </c>
      <c r="AE5" s="6" t="s">
        <v>650</v>
      </c>
      <c r="AF5" s="6" t="s">
        <v>651</v>
      </c>
      <c r="AG5" s="6" t="s">
        <v>652</v>
      </c>
      <c r="AH5" s="6" t="s">
        <v>653</v>
      </c>
      <c r="AI5" s="6" t="s">
        <v>654</v>
      </c>
      <c r="AJ5" s="6" t="s">
        <v>162</v>
      </c>
      <c r="AK5" s="6" t="s">
        <v>655</v>
      </c>
      <c r="AL5" s="6" t="s">
        <v>656</v>
      </c>
      <c r="AM5" s="6" t="s">
        <v>657</v>
      </c>
      <c r="AN5" s="6" t="s">
        <v>658</v>
      </c>
      <c r="AO5" s="6" t="s">
        <v>659</v>
      </c>
      <c r="AP5" s="6" t="s">
        <v>660</v>
      </c>
      <c r="AQ5" s="6" t="s">
        <v>661</v>
      </c>
      <c r="AR5" s="6" t="s">
        <v>662</v>
      </c>
      <c r="AS5" s="6" t="s">
        <v>663</v>
      </c>
      <c r="AT5" s="6" t="s">
        <v>664</v>
      </c>
      <c r="AU5" s="6" t="s">
        <v>665</v>
      </c>
      <c r="AV5" s="6" t="s">
        <v>666</v>
      </c>
      <c r="AW5" s="6" t="s">
        <v>667</v>
      </c>
      <c r="AX5" s="6" t="s">
        <v>668</v>
      </c>
      <c r="AY5" s="6" t="s">
        <v>28</v>
      </c>
      <c r="AZ5" s="6" t="s">
        <v>669</v>
      </c>
      <c r="BA5" s="6" t="s">
        <v>167</v>
      </c>
      <c r="BB5" s="6" t="s">
        <v>168</v>
      </c>
      <c r="BC5" s="6" t="s">
        <v>670</v>
      </c>
      <c r="BD5" s="6" t="s">
        <v>671</v>
      </c>
      <c r="BE5" s="6" t="s">
        <v>672</v>
      </c>
      <c r="BF5" s="6" t="s">
        <v>673</v>
      </c>
      <c r="BG5" s="6" t="s">
        <v>674</v>
      </c>
    </row>
    <row r="6" spans="1:59" x14ac:dyDescent="0.25">
      <c r="A6" s="10" t="s">
        <v>390</v>
      </c>
      <c r="B6" s="11">
        <f>Brand_Profile!$E$6</f>
      </c>
      <c r="C6" s="11">
        <f>KOL_Source_Data!$A$6</f>
      </c>
      <c r="D6" s="11">
        <f>KOL_Source_Data!$C$6</f>
      </c>
      <c r="E6" s="11">
        <f>KOL_Source_Data!$D$6</f>
      </c>
      <c r="F6" s="11">
        <f>KOL_Source_Data!$E$6</f>
      </c>
      <c r="G6" s="11">
        <f>KOL_Source_Data!$K$6</f>
      </c>
      <c r="H6" s="12">
        <f>KOL_Source_Data!$G$6</f>
      </c>
      <c r="I6" s="14">
        <f>KOL_Source_Data!$BG$6</f>
      </c>
      <c r="J6" s="18">
        <f>IF(NOT(AND(ISTEXT(KOL_Source_Data!$K$6),KOL_Source_Data!$K$6&lt;&gt;"N/A")),Lookup_Lists!$D$150,IF(Brand_Profile!$E$7=KOL_Source_Data!$K$6,100,IFERROR(INDEX(Lookup_Lists!$B$349:$J$357,MATCH(Brand_Profile!$E$7,Lookup_Lists!$A$349:$A$357,0),MATCH(KOL_Source_Data!$K$6,Lookup_Lists!$B$348:$J$348,0)),Lookup_Lists!$D$151)))</f>
      </c>
      <c r="K6" s="18">
        <f>IF(LEN(TRIM(SUBSTITUTE(Matching_Engine!$BD$6,"|","")))=0,"N/A",IF(Brand_Profile!$E$47=0,Lookup_Lists!$D$150,ROUND((IF(Brand_Profile!$E$41="",0,IF(ISNUMBER(SEARCH(Brand_Profile!$E$41,Matching_Engine!$BD$6)),1,0))+IF(Brand_Profile!$E$42="",0,IF(ISNUMBER(SEARCH(Brand_Profile!$E$42,Matching_Engine!$BD$6)),1,0))+IF(Brand_Profile!$E$43="",0,IF(ISNUMBER(SEARCH(Brand_Profile!$E$43,Matching_Engine!$BD$6)),1,0))+IF(Brand_Profile!$E$44="",0,IF(ISNUMBER(SEARCH(Brand_Profile!$E$44,Matching_Engine!$BD$6)),1,0))+IF(Brand_Profile!$E$45="",0,IF(ISNUMBER(SEARCH(Brand_Profile!$E$45,Matching_Engine!$BD$6)),1,0))+IF(Brand_Profile!$E$46="",0,IF(ISNUMBER(SEARCH(Brand_Profile!$E$46,Matching_Engine!$BD$6)),1,0)))/Brand_Profile!$E$47*100,0)))</f>
      </c>
      <c r="L6" s="18">
        <f>IF(NOT(AND(ISTEXT(KOL_Source_Data!$U$6),KOL_Source_Data!$U$6&lt;&gt;"N/A")),"N/A",IF(Brand_Profile!$E$53=0,Lookup_Lists!$D$150,ROUND((IF(Brand_Profile!$E$48="",0,IF(ISNUMBER(SEARCH(Brand_Profile!$E$48,Matching_Engine!$BF$6)),1,0))+IF(Brand_Profile!$E$49="",0,IF(ISNUMBER(SEARCH(Brand_Profile!$E$49,Matching_Engine!$BF$6)),1,0))+IF(Brand_Profile!$E$50="",0,IF(ISNUMBER(SEARCH(Brand_Profile!$E$50,Matching_Engine!$BF$6)),1,0))+IF(Brand_Profile!$E$51="",0,IF(ISNUMBER(SEARCH(Brand_Profile!$E$51,Matching_Engine!$BF$6)),1,0))+IF(Brand_Profile!$E$52="",0,IF(ISNUMBER(SEARCH(Brand_Profile!$E$52,Matching_Engine!$BF$6)),1,0)))/Brand_Profile!$E$53*100,0)))</f>
      </c>
      <c r="M6" s="29">
        <f>IF((IF(ISNUMBER(Matching_Engine!$J$6),Lookup_Lists!$D$332,0)+IF(ISNUMBER(Matching_Engine!$K$6),Lookup_Lists!$D$333,0)+IF(ISNUMBER(Matching_Engine!$L$6),Lookup_Lists!$D$334,0))=0,"N/A",ROUND((IF(ISNUMBER(Matching_Engine!$J$6),Matching_Engine!$J$6*Lookup_Lists!$D$332,0)+IF(ISNUMBER(Matching_Engine!$K$6),Matching_Engine!$K$6*Lookup_Lists!$D$333,0)+IF(ISNUMBER(Matching_Engine!$L$6),Matching_Engine!$L$6*Lookup_Lists!$D$334,0))/(IF(ISNUMBER(Matching_Engine!$J$6),Lookup_Lists!$D$332,0)+IF(ISNUMBER(Matching_Engine!$K$6),Lookup_Lists!$D$333,0)+IF(ISNUMBER(Matching_Engine!$L$6),Lookup_Lists!$D$334,0)),0))</f>
      </c>
      <c r="N6" s="11">
        <f>IF(ISNUMBER(Matching_Engine!$M$6),1,0)</f>
      </c>
      <c r="O6" s="18">
        <f>IF(NOT(ISNUMBER(IFERROR(INDEX(KOL_Source_Data!$V$6:KOL_Source_Data!$Z$6,1,MATCH(Brand_Profile!$E$11,Lookup_Lists!$F$6:$F$10,0)),""))),"N/A",MIN(100,ROUND((IFERROR(INDEX(KOL_Source_Data!$V$6:KOL_Source_Data!$Z$6,1,MATCH(Brand_Profile!$E$11,Lookup_Lists!$F$6:$F$10,0)),"")+0.5*IF(ISNUMBER(IFERROR(INDEX(KOL_Source_Data!$V$6:KOL_Source_Data!$Z$6,1,MATCH(Brand_Profile!$E$12,Lookup_Lists!$F$6:$F$10,0)),"")),IFERROR(INDEX(KOL_Source_Data!$V$6:KOL_Source_Data!$Z$6,1,MATCH(Brand_Profile!$E$12,Lookup_Lists!$F$6:$F$10,0)),""),0))/Lookup_Lists!$D$142*100,0)))</f>
      </c>
      <c r="P6" s="18">
        <f>IF(Brand_Profile!$E$13="Any",100,IF(NOT(ISNUMBER(KOL_Source_Data!$AA$6)),"N/A",IF(Brand_Profile!$E$13="Female",MIN(100,ROUND(KOL_Source_Data!$AA$6/Lookup_Lists!$D$143*100,0)),IF(Brand_Profile!$E$13="Male",MIN(100,ROUND(IF(ISNUMBER(KOL_Source_Data!$AB$6),KOL_Source_Data!$AB$6,100-KOL_Source_Data!$AA$6)/Lookup_Lists!$D$143*100,0)),MAX(0,ROUND(100-ABS(KOL_Source_Data!$AA$6-50)*2,0))))))</f>
      </c>
      <c r="Q6" s="18">
        <f>IF((IF(ISNUMBER(IF(NOT(ISNUMBER(KOL_Source_Data!$AE$6)),"N/A",IF(KOL_Source_Data!$AD$6&lt;&gt;Brand_Profile!$E$14,Lookup_Lists!$D$151,MIN(100,ROUND(KOL_Source_Data!$AE$6/Lookup_Lists!$D$316*100,0))))),Lookup_Lists!$D$118,0)+IF(ISNUMBER(IF(NOT(ISNUMBER(KOL_Source_Data!$AM$6)),"N/A",MIN(100,ROUND((IF(KOL_Source_Data!$AG$6=Brand_Profile!$E$15,IF(ISNUMBER(KOL_Source_Data!$AH$6),KOL_Source_Data!$AH$6,0),0)+IF(KOL_Source_Data!$AI$6=Brand_Profile!$E$15,IF(ISNUMBER(KOL_Source_Data!$AJ$6),KOL_Source_Data!$AJ$6,0),0)+IF(KOL_Source_Data!$AK$6=Brand_Profile!$E$15,IF(ISNUMBER(KOL_Source_Data!$AL$6),KOL_Source_Data!$AL$6,0),0))/Lookup_Lists!$D$317*100,0)))),Lookup_Lists!$D$120,0))=0,"N/A",ROUND((IF(ISNUMBER(IF(NOT(ISNUMBER(KOL_Source_Data!$AE$6)),"N/A",IF(KOL_Source_Data!$AD$6&lt;&gt;Brand_Profile!$E$14,Lookup_Lists!$D$151,MIN(100,ROUND(KOL_Source_Data!$AE$6/Lookup_Lists!$D$316*100,0))))),IF(NOT(ISNUMBER(KOL_Source_Data!$AE$6)),"N/A",IF(KOL_Source_Data!$AD$6&lt;&gt;Brand_Profile!$E$14,Lookup_Lists!$D$151,MIN(100,ROUND(KOL_Source_Data!$AE$6/Lookup_Lists!$D$316*100,0))))*Lookup_Lists!$D$118,0)+IF(ISNUMBER(IF(NOT(ISNUMBER(KOL_Source_Data!$AM$6)),"N/A",MIN(100,ROUND((IF(KOL_Source_Data!$AG$6=Brand_Profile!$E$15,IF(ISNUMBER(KOL_Source_Data!$AH$6),KOL_Source_Data!$AH$6,0),0)+IF(KOL_Source_Data!$AI$6=Brand_Profile!$E$15,IF(ISNUMBER(KOL_Source_Data!$AJ$6),KOL_Source_Data!$AJ$6,0),0)+IF(KOL_Source_Data!$AK$6=Brand_Profile!$E$15,IF(ISNUMBER(KOL_Source_Data!$AL$6),KOL_Source_Data!$AL$6,0),0))/Lookup_Lists!$D$317*100,0)))),IF(NOT(ISNUMBER(KOL_Source_Data!$AM$6)),"N/A",MIN(100,ROUND((IF(KOL_Source_Data!$AG$6=Brand_Profile!$E$15,IF(ISNUMBER(KOL_Source_Data!$AH$6),KOL_Source_Data!$AH$6,0),0)+IF(KOL_Source_Data!$AI$6=Brand_Profile!$E$15,IF(ISNUMBER(KOL_Source_Data!$AJ$6),KOL_Source_Data!$AJ$6,0),0)+IF(KOL_Source_Data!$AK$6=Brand_Profile!$E$15,IF(ISNUMBER(KOL_Source_Data!$AL$6),KOL_Source_Data!$AL$6,0),0))/Lookup_Lists!$D$317*100,0)))*Lookup_Lists!$D$120,0))/(IF(ISNUMBER(IF(NOT(ISNUMBER(KOL_Source_Data!$AE$6)),"N/A",IF(KOL_Source_Data!$AD$6&lt;&gt;Brand_Profile!$E$14,Lookup_Lists!$D$151,MIN(100,ROUND(KOL_Source_Data!$AE$6/Lookup_Lists!$D$316*100,0))))),Lookup_Lists!$D$118,0)+IF(ISNUMBER(IF(NOT(ISNUMBER(KOL_Source_Data!$AM$6)),"N/A",MIN(100,ROUND((IF(KOL_Source_Data!$AG$6=Brand_Profile!$E$15,IF(ISNUMBER(KOL_Source_Data!$AH$6),KOL_Source_Data!$AH$6,0),0)+IF(KOL_Source_Data!$AI$6=Brand_Profile!$E$15,IF(ISNUMBER(KOL_Source_Data!$AJ$6),KOL_Source_Data!$AJ$6,0),0)+IF(KOL_Source_Data!$AK$6=Brand_Profile!$E$15,IF(ISNUMBER(KOL_Source_Data!$AL$6),KOL_Source_Data!$AL$6,0),0))/Lookup_Lists!$D$317*100,0)))),Lookup_Lists!$D$120,0)),0))</f>
      </c>
      <c r="R6" s="18">
        <f>IF(NOT(ISNUMBER(KOL_Source_Data!$AN$6)),"N/A",MIN(100,ROUND((IF(ISNUMBER(KOL_Source_Data!$AO$6),KOL_Source_Data!$AO$6*Brand_Profile!$E$17,0)+IF(ISNUMBER(KOL_Source_Data!$AP$6),KOL_Source_Data!$AP$6*Brand_Profile!$E$18,0)+IF(ISNUMBER(KOL_Source_Data!$AQ$6),KOL_Source_Data!$AQ$6*Brand_Profile!$E$19,0)+IF(ISNUMBER(KOL_Source_Data!$AR$6),KOL_Source_Data!$AR$6*Brand_Profile!$E$20,0)+IF(ISNUMBER(KOL_Source_Data!$AS$6),KOL_Source_Data!$AS$6*Brand_Profile!$E$21,0)+IF(ISNUMBER(KOL_Source_Data!$AT$6),KOL_Source_Data!$AT$6*Brand_Profile!$E$22,0)+IF(ISNUMBER(KOL_Source_Data!$AU$6),KOL_Source_Data!$AU$6*Brand_Profile!$E$23,0)+IF(ISNUMBER(KOL_Source_Data!$AV$6),KOL_Source_Data!$AV$6*Brand_Profile!$E$24,0)+IF(ISNUMBER(KOL_Source_Data!$AW$6),KOL_Source_Data!$AW$6*Brand_Profile!$E$25,0)+IF(ISNUMBER(KOL_Source_Data!$AX$6),KOL_Source_Data!$AX$6*Brand_Profile!$E$26,0)+IF(ISNUMBER(KOL_Source_Data!$AY$6),KOL_Source_Data!$AY$6*Brand_Profile!$E$27,0)+IF(ISNUMBER(KOL_Source_Data!$AZ$6),KOL_Source_Data!$AZ$6*Brand_Profile!$E$28,0)+IF(ISNUMBER(KOL_Source_Data!$BA$6),KOL_Source_Data!$BA$6*Brand_Profile!$E$29,0)+IF(ISNUMBER(KOL_Source_Data!$BB$6),KOL_Source_Data!$BB$6*Brand_Profile!$E$30,0)+IF(ISNUMBER(KOL_Source_Data!$BC$6),KOL_Source_Data!$BC$6*Brand_Profile!$E$31,0)+IF(ISNUMBER(KOL_Source_Data!$BD$6),KOL_Source_Data!$BD$6*Brand_Profile!$E$32,0)+IF(ISNUMBER(KOL_Source_Data!$BE$6),KOL_Source_Data!$BE$6*Brand_Profile!$E$33,0)+IF(ISNUMBER(KOL_Source_Data!$BF$6),KOL_Source_Data!$BF$6*Brand_Profile!$E$34,0))/Lookup_Lists!$D$318*100,0)))</f>
      </c>
      <c r="S6" s="29">
        <f>IF((IF(ISNUMBER(Matching_Engine!$O$6),Lookup_Lists!$D$113,0)+IF(ISNUMBER(Matching_Engine!$P$6),Lookup_Lists!$D$114,0)+IF(ISNUMBER(Matching_Engine!$Q$6),Lookup_Lists!$D$115,0)+IF(ISNUMBER(Matching_Engine!$R$6),Lookup_Lists!$D$116,0))=0,"N/A",ROUND((IF(ISNUMBER(Matching_Engine!$O$6),Matching_Engine!$O$6*Lookup_Lists!$D$113,0)+IF(ISNUMBER(Matching_Engine!$P$6),Matching_Engine!$P$6*Lookup_Lists!$D$114,0)+IF(ISNUMBER(Matching_Engine!$Q$6),Matching_Engine!$Q$6*Lookup_Lists!$D$115,0)+IF(ISNUMBER(Matching_Engine!$R$6),Matching_Engine!$R$6*Lookup_Lists!$D$116,0))/(IF(ISNUMBER(Matching_Engine!$O$6),Lookup_Lists!$D$113,0)+IF(ISNUMBER(Matching_Engine!$P$6),Lookup_Lists!$D$114,0)+IF(ISNUMBER(Matching_Engine!$Q$6),Lookup_Lists!$D$115,0)+IF(ISNUMBER(Matching_Engine!$R$6),Lookup_Lists!$D$116,0)),0))</f>
      </c>
      <c r="T6" s="11">
        <f>IF(ISNUMBER(Matching_Engine!$S$6),1,0)</f>
      </c>
      <c r="U6" s="18">
        <f>IF(NOT(AND(ISTEXT(KOL_Source_Data!$M$6),KOL_Source_Data!$M$6&lt;&gt;"N/A")),Lookup_Lists!$D$150,IF(Brand_Profile!$E$7=KOL_Source_Data!$M$6,100,IFERROR(INDEX(Lookup_Lists!$B$349:$J$357,MATCH(Brand_Profile!$E$7,Lookup_Lists!$A$349:$A$357,0),MATCH(KOL_Source_Data!$M$6,Lookup_Lists!$B$348:$J$348,0)),Lookup_Lists!$D$151)))</f>
      </c>
      <c r="V6" s="18">
        <f>IF(NOT(AND(ISTEXT(KOL_Source_Data!$P$6),KOL_Source_Data!$P$6&lt;&gt;"N/A")),"N/A",IFERROR(INDEX(Lookup_Lists!$B$349:$J$357,MATCH(Brand_Profile!$E$7,Lookup_Lists!$A$349:$A$357,0),MATCH(KOL_Source_Data!$P$6,Lookup_Lists!$B$348:$J$348,0)),Lookup_Lists!$D$151))</f>
      </c>
      <c r="W6" s="18">
        <f>IF(LEN(TRIM(SUBSTITUTE(Matching_Engine!$BE$6,"|","")))=0,"N/A",IF(Brand_Profile!$E$60=0,Lookup_Lists!$D$150,ROUND((IF(Brand_Profile!$E$54="",0,IF(ISNUMBER(SEARCH(Brand_Profile!$E$54,Matching_Engine!$BE$6)),1,0))+IF(Brand_Profile!$E$55="",0,IF(ISNUMBER(SEARCH(Brand_Profile!$E$55,Matching_Engine!$BE$6)),1,0))+IF(Brand_Profile!$E$56="",0,IF(ISNUMBER(SEARCH(Brand_Profile!$E$56,Matching_Engine!$BE$6)),1,0))+IF(Brand_Profile!$E$57="",0,IF(ISNUMBER(SEARCH(Brand_Profile!$E$57,Matching_Engine!$BE$6)),1,0))+IF(Brand_Profile!$E$58="",0,IF(ISNUMBER(SEARCH(Brand_Profile!$E$58,Matching_Engine!$BE$6)),1,0))+IF(Brand_Profile!$E$59="",0,IF(ISNUMBER(SEARCH(Brand_Profile!$E$59,Matching_Engine!$BE$6)),1,0)))/Brand_Profile!$E$60*100,0)))</f>
      </c>
      <c r="X6" s="18">
        <f>IF(NOT(AND(ISTEXT(KOL_Source_Data!$Q$6),KOL_Source_Data!$Q$6&lt;&gt;"N/A")),"N/A",Lookup_Lists!$D$150)</f>
      </c>
      <c r="Y6" s="29">
        <f>IF((IF(ISNUMBER(Matching_Engine!$U$6),Lookup_Lists!$D$335,0)+IF(ISNUMBER(Matching_Engine!$V$6),Lookup_Lists!$D$122,0)+IF(ISNUMBER(Matching_Engine!$W$6),Lookup_Lists!$D$336,0)+IF(ISNUMBER(Matching_Engine!$X$6),Lookup_Lists!$D$124,0))=0,"N/A",ROUND((IF(ISNUMBER(Matching_Engine!$U$6),Matching_Engine!$U$6*Lookup_Lists!$D$335,0)+IF(ISNUMBER(Matching_Engine!$V$6),Matching_Engine!$V$6*Lookup_Lists!$D$122,0)+IF(ISNUMBER(Matching_Engine!$W$6),Matching_Engine!$W$6*Lookup_Lists!$D$336,0)+IF(ISNUMBER(Matching_Engine!$X$6),Matching_Engine!$X$6*Lookup_Lists!$D$124,0))/(IF(ISNUMBER(Matching_Engine!$U$6),Lookup_Lists!$D$335,0)+IF(ISNUMBER(Matching_Engine!$V$6),Lookup_Lists!$D$122,0)+IF(ISNUMBER(Matching_Engine!$W$6),Lookup_Lists!$D$336,0)+IF(ISNUMBER(Matching_Engine!$X$6),Lookup_Lists!$D$124,0)),0))</f>
      </c>
      <c r="Z6" s="11">
        <f>IF(ISNUMBER(Matching_Engine!$Y$6),1,0)</f>
      </c>
      <c r="AA6" s="18">
        <f>IF(NOT(AND(ISTEXT(KOL_Source_Data!$Q$6),KOL_Source_Data!$Q$6&lt;&gt;"N/A")),"N/A",Lookup_Lists!$D$150)</f>
      </c>
      <c r="AB6" s="18">
        <f>IF(NOT(AND(ISTEXT(KOL_Source_Data!$Q$6),KOL_Source_Data!$Q$6&lt;&gt;"N/A")),"N/A",Lookup_Lists!$D$150)</f>
      </c>
      <c r="AC6" s="18">
        <f>"N/A"</f>
      </c>
      <c r="AD6" s="18">
        <f>IF(NOT(AND(ISTEXT(KOL_Source_Data!$Q$6),KOL_Source_Data!$Q$6&lt;&gt;"N/A")),"N/A",Lookup_Lists!$D$150)</f>
      </c>
      <c r="AE6" s="29">
        <f>IF((IF(ISNUMBER(Matching_Engine!$AA$6),Lookup_Lists!$D$125,0)+IF(ISNUMBER(Matching_Engine!$AB$6),Lookup_Lists!$D$126,0)+IF(ISNUMBER(Matching_Engine!$AC$6),Lookup_Lists!$D$127,0)+IF(ISNUMBER(Matching_Engine!$AD$6),Lookup_Lists!$D$128,0))=0,"N/A",ROUND((IF(ISNUMBER(Matching_Engine!$AA$6),Matching_Engine!$AA$6*Lookup_Lists!$D$125,0)+IF(ISNUMBER(Matching_Engine!$AB$6),Matching_Engine!$AB$6*Lookup_Lists!$D$126,0)+IF(ISNUMBER(Matching_Engine!$AC$6),Matching_Engine!$AC$6*Lookup_Lists!$D$127,0)+IF(ISNUMBER(Matching_Engine!$AD$6),Matching_Engine!$AD$6*Lookup_Lists!$D$128,0))/(IF(ISNUMBER(Matching_Engine!$AA$6),Lookup_Lists!$D$125,0)+IF(ISNUMBER(Matching_Engine!$AB$6),Lookup_Lists!$D$126,0)+IF(ISNUMBER(Matching_Engine!$AC$6),Lookup_Lists!$D$127,0)+IF(ISNUMBER(Matching_Engine!$AD$6),Lookup_Lists!$D$128,0)),0))</f>
      </c>
      <c r="AF6" s="11">
        <f>IF(ISNUMBER(Matching_Engine!$AE$6),1,0)</f>
      </c>
      <c r="AG6" s="18">
        <f>IF(NOT(ISNUMBER(KOL_Source_Data!$BG$6)),"N/A",MIN(100,ROUND(KOL_Source_Data!$BG$6/IFERROR(INDEX(Lookup_Lists!$B$340:$B$344,MATCH(KOL_Source_Data!$H$6,Lookup_Lists!$A$340:$A$344,0)),Lookup_Lists!$D$141)*100,0)))</f>
      </c>
      <c r="AH6" s="18">
        <f>IF(NOT(ISNUMBER(KOL_Source_Data!$BS$6)),"N/A",MIN(100,MAX(0,KOL_Source_Data!$BS$6)))</f>
      </c>
      <c r="AI6" s="18">
        <f>IF(OR(NOT(ISNUMBER(KOL_Source_Data!$BM$6)),NOT(ISNUMBER(KOL_Source_Data!$BN$6)),KOL_Source_Data!$BN$6&lt;Lookup_Lists!$D$320),"N/A",MIN(100,ROUND(KOL_Source_Data!$BM$6/Lookup_Lists!$D$319*100,0)))</f>
      </c>
      <c r="AJ6" s="18">
        <f>IF(NOT(ISNUMBER(KOL_Source_Data!$BR$6)),"N/A",KOL_Source_Data!$BR$6)</f>
      </c>
      <c r="AK6" s="18">
        <f>IF(NOT(ISNUMBER(KOL_Source_Data!$BK$6)),"N/A",MIN(100,ROUND(KOL_Source_Data!$BK$6/Lookup_Lists!$D$321*100,0)))</f>
      </c>
      <c r="AL6" s="18">
        <f>IF(NOT(ISNUMBER(KOL_Source_Data!$BP$6)),"N/A",MIN(100,MAX(0,ROUND((KOL_Source_Data!$BP$6+2)/(Lookup_Lists!$D$145+2)*100,0))))</f>
      </c>
      <c r="AM6" s="29">
        <f>IF((IF(ISNUMBER(Matching_Engine!$AG$6),Lookup_Lists!$D$129,0)+IF(ISNUMBER(Matching_Engine!$AH$6),Lookup_Lists!$D$130,0)+IF(ISNUMBER(Matching_Engine!$AI$6),Lookup_Lists!$D$131,0)+IF(ISNUMBER(Matching_Engine!$AJ$6),Lookup_Lists!$D$132,0)+IF(ISNUMBER(Matching_Engine!$AK$6),Lookup_Lists!$D$133,0)+IF(ISNUMBER(Matching_Engine!$AL$6),Lookup_Lists!$D$134,0))=0,"N/A",ROUND((IF(ISNUMBER(Matching_Engine!$AG$6),Matching_Engine!$AG$6*Lookup_Lists!$D$129,0)+IF(ISNUMBER(Matching_Engine!$AH$6),Matching_Engine!$AH$6*Lookup_Lists!$D$130,0)+IF(ISNUMBER(Matching_Engine!$AI$6),Matching_Engine!$AI$6*Lookup_Lists!$D$131,0)+IF(ISNUMBER(Matching_Engine!$AJ$6),Matching_Engine!$AJ$6*Lookup_Lists!$D$132,0)+IF(ISNUMBER(Matching_Engine!$AK$6),Matching_Engine!$AK$6*Lookup_Lists!$D$133,0)+IF(ISNUMBER(Matching_Engine!$AL$6),Matching_Engine!$AL$6*Lookup_Lists!$D$134,0))/(IF(ISNUMBER(Matching_Engine!$AG$6),Lookup_Lists!$D$129,0)+IF(ISNUMBER(Matching_Engine!$AH$6),Lookup_Lists!$D$130,0)+IF(ISNUMBER(Matching_Engine!$AI$6),Lookup_Lists!$D$131,0)+IF(ISNUMBER(Matching_Engine!$AJ$6),Lookup_Lists!$D$132,0)+IF(ISNUMBER(Matching_Engine!$AK$6),Lookup_Lists!$D$133,0)+IF(ISNUMBER(Matching_Engine!$AL$6),Lookup_Lists!$D$134,0)),0))</f>
      </c>
      <c r="AN6" s="11">
        <f>IF(ISNUMBER(Matching_Engine!$AM$6),1,0)</f>
      </c>
      <c r="AO6" s="18">
        <f>IF(NOT(ISNUMBER(KOL_Source_Data!$BT$6)),"N/A",MIN(100,MAX(0,KOL_Source_Data!$BT$6)))</f>
      </c>
      <c r="AP6" s="18">
        <f>IF(NOT(ISNUMBER(KOL_Source_Data!$BU$6)),"N/A",MIN(100,MAX(0,KOL_Source_Data!$BU$6)))</f>
      </c>
      <c r="AQ6" s="18">
        <f>IF(KOL_Source_Data!$I$6="Yes",Lookup_Lists!$D$326,IF(KOL_Source_Data!$I$6="No",Lookup_Lists!$D$327,"N/A"))</f>
      </c>
      <c r="AR6" s="18">
        <f>IF(NOT(ISNUMBER(KOL_Source_Data!$BQ$6)),"N/A",MAX(0,ROUND(100-KOL_Source_Data!$BQ$6/Lookup_Lists!$D$328*100,0)))</f>
      </c>
      <c r="AS6" s="18">
        <f>IF(NOT(AND(ISTEXT(KOL_Source_Data!$BV$6),KOL_Source_Data!$BV$6&lt;&gt;"N/A")),"N/A",KOL_Source_Data!$BV$6)</f>
      </c>
      <c r="AT6" s="29">
        <f>IF((IF(ISNUMBER(Matching_Engine!$AO$6),Lookup_Lists!$D$322,0)+IF(ISNUMBER(Matching_Engine!$AP$6),Lookup_Lists!$D$323,0)+IF(ISNUMBER(Matching_Engine!$AQ$6),Lookup_Lists!$D$324,0)+IF(ISNUMBER(Matching_Engine!$AR$6),Lookup_Lists!$D$325,0))=0,"N/A",ROUND((IF(ISNUMBER(Matching_Engine!$AO$6),Matching_Engine!$AO$6*Lookup_Lists!$D$322,0)+IF(ISNUMBER(Matching_Engine!$AP$6),Matching_Engine!$AP$6*Lookup_Lists!$D$323,0)+IF(ISNUMBER(Matching_Engine!$AQ$6),Matching_Engine!$AQ$6*Lookup_Lists!$D$324,0)+IF(ISNUMBER(Matching_Engine!$AR$6),Matching_Engine!$AR$6*Lookup_Lists!$D$325,0))/(IF(ISNUMBER(Matching_Engine!$AO$6),Lookup_Lists!$D$322,0)+IF(ISNUMBER(Matching_Engine!$AP$6),Lookup_Lists!$D$323,0)+IF(ISNUMBER(Matching_Engine!$AQ$6),Lookup_Lists!$D$324,0)+IF(ISNUMBER(Matching_Engine!$AR$6),Lookup_Lists!$D$325,0)),0))</f>
      </c>
      <c r="AU6" s="11">
        <f>IF(ISNUMBER(Matching_Engine!$AT$6),1,0)</f>
      </c>
      <c r="AV6" s="11">
        <f>IF(NOT(ISNUMBER(Matching_Engine!$AT$6)),"Not Screened",IF(Matching_Engine!$AT$6&gt;=Lookup_Lists!$D$329,"Low Risk",IF(Matching_Engine!$AT$6&gt;=Lookup_Lists!$D$330,"Moderate Risk",IF(Matching_Engine!$AT$6&gt;=Lookup_Lists!$D$331,"Elevated Risk","High Risk"))))</f>
      </c>
      <c r="AW6" s="11">
        <f>IF(NOT(ISNUMBER(Matching_Engine!$AT$6)),"No integrity signal: no audience-analysis row for this account.","Integrity screen only — no content-risk reading exists (comments_analysis: 0 rows). "&amp;IF(ISNUMBER(Matching_Engine!$AO$6),"Authenticity "&amp;Matching_Engine!$AO$6&amp;". ","Authenticity N/A. ")&amp;IF(ISNUMBER(Matching_Engine!$AP$6),"Follower quality "&amp;Matching_Engine!$AP$6&amp;". ","Follower quality N/A. ")&amp;IF(KOL_Source_Data!$I$6="Yes","Platform-verified.","Not platform-verified."))</f>
      </c>
      <c r="AX6" s="18">
        <f>Matching_Engine!$N$6*Lookup_Lists!$D$104+Matching_Engine!$T$6*Lookup_Lists!$D$105+Matching_Engine!$Z$6*Lookup_Lists!$D$106+Matching_Engine!$AF$6*Lookup_Lists!$D$107+Matching_Engine!$AN$6*Lookup_Lists!$D$108+Matching_Engine!$AU$6*Lookup_Lists!$D$109</f>
      </c>
      <c r="AY6" s="30">
        <f>IF(Matching_Engine!$AX$6=0,"N/A",ROUND((IF(Matching_Engine!$N$6=1,Matching_Engine!$M$6*Lookup_Lists!$D$104,0)+IF(Matching_Engine!$T$6=1,Matching_Engine!$S$6*Lookup_Lists!$D$105,0)+IF(Matching_Engine!$Z$6=1,Matching_Engine!$Y$6*Lookup_Lists!$D$106,0)+IF(Matching_Engine!$AF$6=1,Matching_Engine!$AE$6*Lookup_Lists!$D$107,0)+IF(Matching_Engine!$AN$6=1,Matching_Engine!$AM$6*Lookup_Lists!$D$108,0)+IF(Matching_Engine!$AU$6=1,Matching_Engine!$AT$6*Lookup_Lists!$D$109,0))/Matching_Engine!$AX$6,0))</f>
      </c>
      <c r="AZ6" s="11">
        <f>IF(NOT(ISNUMBER(Matching_Engine!$AY$6)),"Not Scored",IF(Matching_Engine!$AY$6&gt;=Lookup_Lists!$D$152,"Excellent Match",IF(Matching_Engine!$AY$6&gt;=Lookup_Lists!$D$153,"Strong Match",IF(Matching_Engine!$AY$6&gt;=Lookup_Lists!$D$154,"Good Match",IF(Matching_Engine!$AY$6&gt;=Lookup_Lists!$D$155,"Moderate Match","Low Match")))))</f>
      </c>
      <c r="BA6" s="18">
        <f>KOL_Source_Data!$BW$6</f>
      </c>
      <c r="BB6" s="11">
        <f>KOL_Source_Data!$BX$6</f>
      </c>
      <c r="BC6" s="18">
        <f>IF(NOT(ISNUMBER(Matching_Engine!$AY$6)),-1,Matching_Engine!$AY$6*1000+24)</f>
      </c>
      <c r="BD6" s="11">
        <f>IF(AND(ISTEXT(KOL_Source_Data!$S$6),KOL_Source_Data!$S$6&lt;&gt;"N/A"),KOL_Source_Data!$S$6,"")&amp;" | "&amp;IF(AND(ISTEXT(KOL_Source_Data!$T$6),KOL_Source_Data!$T$6&lt;&gt;"N/A"),KOL_Source_Data!$T$6,"")&amp;" | "&amp;IF(AND(ISTEXT(KOL_Source_Data!$N$6),KOL_Source_Data!$N$6&lt;&gt;"N/A"),KOL_Source_Data!$N$6,"")&amp;" | "&amp;IF(AND(ISTEXT(KOL_Source_Data!$K$6),KOL_Source_Data!$K$6&lt;&gt;"N/A"),KOL_Source_Data!$K$6,"")&amp;" | "&amp;IF(AND(ISTEXT(KOL_Source_Data!$J$6),KOL_Source_Data!$J$6&lt;&gt;"N/A"),KOL_Source_Data!$J$6,"")</f>
      </c>
      <c r="BE6" s="11">
        <f>IF(AND(ISTEXT(KOL_Source_Data!$T$6),KOL_Source_Data!$T$6&lt;&gt;"N/A"),KOL_Source_Data!$T$6,"")&amp;" | "&amp;IF(AND(ISTEXT(KOL_Source_Data!$N$6),KOL_Source_Data!$N$6&lt;&gt;"N/A"),KOL_Source_Data!$N$6,"")&amp;" | "&amp;IF(AND(ISTEXT(KOL_Source_Data!$O$6),KOL_Source_Data!$O$6&lt;&gt;"N/A"),KOL_Source_Data!$O$6,"")&amp;" | "&amp;IF(AND(ISTEXT(KOL_Source_Data!$S$6),KOL_Source_Data!$S$6&lt;&gt;"N/A"),KOL_Source_Data!$S$6,"")</f>
      </c>
      <c r="BF6" s="11">
        <f>IF(AND(ISTEXT(KOL_Source_Data!$U$6),KOL_Source_Data!$U$6&lt;&gt;"N/A"),KOL_Source_Data!$U$6,"")</f>
      </c>
      <c r="BG6" s="11">
        <f>Matching_Engine!$A$6&amp;"|"&amp;Matching_Engine!$C$6</f>
      </c>
    </row>
    <row r="7" spans="1:59" x14ac:dyDescent="0.25">
      <c r="A7" s="10" t="s">
        <v>390</v>
      </c>
      <c r="B7" s="11">
        <f>Brand_Profile!$E$6</f>
      </c>
      <c r="C7" s="11">
        <f>KOL_Source_Data!$A$7</f>
      </c>
      <c r="D7" s="11">
        <f>KOL_Source_Data!$C$7</f>
      </c>
      <c r="E7" s="11">
        <f>KOL_Source_Data!$D$7</f>
      </c>
      <c r="F7" s="11">
        <f>KOL_Source_Data!$E$7</f>
      </c>
      <c r="G7" s="11">
        <f>KOL_Source_Data!$K$7</f>
      </c>
      <c r="H7" s="12">
        <f>KOL_Source_Data!$G$7</f>
      </c>
      <c r="I7" s="14">
        <f>KOL_Source_Data!$BG$7</f>
      </c>
      <c r="J7" s="18">
        <f>IF(NOT(AND(ISTEXT(KOL_Source_Data!$K$7),KOL_Source_Data!$K$7&lt;&gt;"N/A")),Lookup_Lists!$D$150,IF(Brand_Profile!$E$7=KOL_Source_Data!$K$7,100,IFERROR(INDEX(Lookup_Lists!$B$349:$J$357,MATCH(Brand_Profile!$E$7,Lookup_Lists!$A$349:$A$357,0),MATCH(KOL_Source_Data!$K$7,Lookup_Lists!$B$348:$J$348,0)),Lookup_Lists!$D$151)))</f>
      </c>
      <c r="K7" s="18">
        <f>IF(LEN(TRIM(SUBSTITUTE(Matching_Engine!$BD$7,"|","")))=0,"N/A",IF(Brand_Profile!$E$47=0,Lookup_Lists!$D$150,ROUND((IF(Brand_Profile!$E$41="",0,IF(ISNUMBER(SEARCH(Brand_Profile!$E$41,Matching_Engine!$BD$7)),1,0))+IF(Brand_Profile!$E$42="",0,IF(ISNUMBER(SEARCH(Brand_Profile!$E$42,Matching_Engine!$BD$7)),1,0))+IF(Brand_Profile!$E$43="",0,IF(ISNUMBER(SEARCH(Brand_Profile!$E$43,Matching_Engine!$BD$7)),1,0))+IF(Brand_Profile!$E$44="",0,IF(ISNUMBER(SEARCH(Brand_Profile!$E$44,Matching_Engine!$BD$7)),1,0))+IF(Brand_Profile!$E$45="",0,IF(ISNUMBER(SEARCH(Brand_Profile!$E$45,Matching_Engine!$BD$7)),1,0))+IF(Brand_Profile!$E$46="",0,IF(ISNUMBER(SEARCH(Brand_Profile!$E$46,Matching_Engine!$BD$7)),1,0)))/Brand_Profile!$E$47*100,0)))</f>
      </c>
      <c r="L7" s="18">
        <f>IF(NOT(AND(ISTEXT(KOL_Source_Data!$U$7),KOL_Source_Data!$U$7&lt;&gt;"N/A")),"N/A",IF(Brand_Profile!$E$53=0,Lookup_Lists!$D$150,ROUND((IF(Brand_Profile!$E$48="",0,IF(ISNUMBER(SEARCH(Brand_Profile!$E$48,Matching_Engine!$BF$7)),1,0))+IF(Brand_Profile!$E$49="",0,IF(ISNUMBER(SEARCH(Brand_Profile!$E$49,Matching_Engine!$BF$7)),1,0))+IF(Brand_Profile!$E$50="",0,IF(ISNUMBER(SEARCH(Brand_Profile!$E$50,Matching_Engine!$BF$7)),1,0))+IF(Brand_Profile!$E$51="",0,IF(ISNUMBER(SEARCH(Brand_Profile!$E$51,Matching_Engine!$BF$7)),1,0))+IF(Brand_Profile!$E$52="",0,IF(ISNUMBER(SEARCH(Brand_Profile!$E$52,Matching_Engine!$BF$7)),1,0)))/Brand_Profile!$E$53*100,0)))</f>
      </c>
      <c r="M7" s="29">
        <f>IF((IF(ISNUMBER(Matching_Engine!$J$7),Lookup_Lists!$D$332,0)+IF(ISNUMBER(Matching_Engine!$K$7),Lookup_Lists!$D$333,0)+IF(ISNUMBER(Matching_Engine!$L$7),Lookup_Lists!$D$334,0))=0,"N/A",ROUND((IF(ISNUMBER(Matching_Engine!$J$7),Matching_Engine!$J$7*Lookup_Lists!$D$332,0)+IF(ISNUMBER(Matching_Engine!$K$7),Matching_Engine!$K$7*Lookup_Lists!$D$333,0)+IF(ISNUMBER(Matching_Engine!$L$7),Matching_Engine!$L$7*Lookup_Lists!$D$334,0))/(IF(ISNUMBER(Matching_Engine!$J$7),Lookup_Lists!$D$332,0)+IF(ISNUMBER(Matching_Engine!$K$7),Lookup_Lists!$D$333,0)+IF(ISNUMBER(Matching_Engine!$L$7),Lookup_Lists!$D$334,0)),0))</f>
      </c>
      <c r="N7" s="11">
        <f>IF(ISNUMBER(Matching_Engine!$M$7),1,0)</f>
      </c>
      <c r="O7" s="18">
        <f>IF(NOT(ISNUMBER(IFERROR(INDEX(KOL_Source_Data!$V$7:KOL_Source_Data!$Z$7,1,MATCH(Brand_Profile!$E$11,Lookup_Lists!$F$6:$F$10,0)),""))),"N/A",MIN(100,ROUND((IFERROR(INDEX(KOL_Source_Data!$V$7:KOL_Source_Data!$Z$7,1,MATCH(Brand_Profile!$E$11,Lookup_Lists!$F$6:$F$10,0)),"")+0.5*IF(ISNUMBER(IFERROR(INDEX(KOL_Source_Data!$V$7:KOL_Source_Data!$Z$7,1,MATCH(Brand_Profile!$E$12,Lookup_Lists!$F$6:$F$10,0)),"")),IFERROR(INDEX(KOL_Source_Data!$V$7:KOL_Source_Data!$Z$7,1,MATCH(Brand_Profile!$E$12,Lookup_Lists!$F$6:$F$10,0)),""),0))/Lookup_Lists!$D$142*100,0)))</f>
      </c>
      <c r="P7" s="18">
        <f>IF(Brand_Profile!$E$13="Any",100,IF(NOT(ISNUMBER(KOL_Source_Data!$AA$7)),"N/A",IF(Brand_Profile!$E$13="Female",MIN(100,ROUND(KOL_Source_Data!$AA$7/Lookup_Lists!$D$143*100,0)),IF(Brand_Profile!$E$13="Male",MIN(100,ROUND(IF(ISNUMBER(KOL_Source_Data!$AB$7),KOL_Source_Data!$AB$7,100-KOL_Source_Data!$AA$7)/Lookup_Lists!$D$143*100,0)),MAX(0,ROUND(100-ABS(KOL_Source_Data!$AA$7-50)*2,0))))))</f>
      </c>
      <c r="Q7" s="18">
        <f>IF((IF(ISNUMBER(IF(NOT(ISNUMBER(KOL_Source_Data!$AE$7)),"N/A",IF(KOL_Source_Data!$AD$7&lt;&gt;Brand_Profile!$E$14,Lookup_Lists!$D$151,MIN(100,ROUND(KOL_Source_Data!$AE$7/Lookup_Lists!$D$316*100,0))))),Lookup_Lists!$D$118,0)+IF(ISNUMBER(IF(NOT(ISNUMBER(KOL_Source_Data!$AM$7)),"N/A",MIN(100,ROUND((IF(KOL_Source_Data!$AG$7=Brand_Profile!$E$15,IF(ISNUMBER(KOL_Source_Data!$AH$7),KOL_Source_Data!$AH$7,0),0)+IF(KOL_Source_Data!$AI$7=Brand_Profile!$E$15,IF(ISNUMBER(KOL_Source_Data!$AJ$7),KOL_Source_Data!$AJ$7,0),0)+IF(KOL_Source_Data!$AK$7=Brand_Profile!$E$15,IF(ISNUMBER(KOL_Source_Data!$AL$7),KOL_Source_Data!$AL$7,0),0))/Lookup_Lists!$D$317*100,0)))),Lookup_Lists!$D$120,0))=0,"N/A",ROUND((IF(ISNUMBER(IF(NOT(ISNUMBER(KOL_Source_Data!$AE$7)),"N/A",IF(KOL_Source_Data!$AD$7&lt;&gt;Brand_Profile!$E$14,Lookup_Lists!$D$151,MIN(100,ROUND(KOL_Source_Data!$AE$7/Lookup_Lists!$D$316*100,0))))),IF(NOT(ISNUMBER(KOL_Source_Data!$AE$7)),"N/A",IF(KOL_Source_Data!$AD$7&lt;&gt;Brand_Profile!$E$14,Lookup_Lists!$D$151,MIN(100,ROUND(KOL_Source_Data!$AE$7/Lookup_Lists!$D$316*100,0))))*Lookup_Lists!$D$118,0)+IF(ISNUMBER(IF(NOT(ISNUMBER(KOL_Source_Data!$AM$7)),"N/A",MIN(100,ROUND((IF(KOL_Source_Data!$AG$7=Brand_Profile!$E$15,IF(ISNUMBER(KOL_Source_Data!$AH$7),KOL_Source_Data!$AH$7,0),0)+IF(KOL_Source_Data!$AI$7=Brand_Profile!$E$15,IF(ISNUMBER(KOL_Source_Data!$AJ$7),KOL_Source_Data!$AJ$7,0),0)+IF(KOL_Source_Data!$AK$7=Brand_Profile!$E$15,IF(ISNUMBER(KOL_Source_Data!$AL$7),KOL_Source_Data!$AL$7,0),0))/Lookup_Lists!$D$317*100,0)))),IF(NOT(ISNUMBER(KOL_Source_Data!$AM$7)),"N/A",MIN(100,ROUND((IF(KOL_Source_Data!$AG$7=Brand_Profile!$E$15,IF(ISNUMBER(KOL_Source_Data!$AH$7),KOL_Source_Data!$AH$7,0),0)+IF(KOL_Source_Data!$AI$7=Brand_Profile!$E$15,IF(ISNUMBER(KOL_Source_Data!$AJ$7),KOL_Source_Data!$AJ$7,0),0)+IF(KOL_Source_Data!$AK$7=Brand_Profile!$E$15,IF(ISNUMBER(KOL_Source_Data!$AL$7),KOL_Source_Data!$AL$7,0),0))/Lookup_Lists!$D$317*100,0)))*Lookup_Lists!$D$120,0))/(IF(ISNUMBER(IF(NOT(ISNUMBER(KOL_Source_Data!$AE$7)),"N/A",IF(KOL_Source_Data!$AD$7&lt;&gt;Brand_Profile!$E$14,Lookup_Lists!$D$151,MIN(100,ROUND(KOL_Source_Data!$AE$7/Lookup_Lists!$D$316*100,0))))),Lookup_Lists!$D$118,0)+IF(ISNUMBER(IF(NOT(ISNUMBER(KOL_Source_Data!$AM$7)),"N/A",MIN(100,ROUND((IF(KOL_Source_Data!$AG$7=Brand_Profile!$E$15,IF(ISNUMBER(KOL_Source_Data!$AH$7),KOL_Source_Data!$AH$7,0),0)+IF(KOL_Source_Data!$AI$7=Brand_Profile!$E$15,IF(ISNUMBER(KOL_Source_Data!$AJ$7),KOL_Source_Data!$AJ$7,0),0)+IF(KOL_Source_Data!$AK$7=Brand_Profile!$E$15,IF(ISNUMBER(KOL_Source_Data!$AL$7),KOL_Source_Data!$AL$7,0),0))/Lookup_Lists!$D$317*100,0)))),Lookup_Lists!$D$120,0)),0))</f>
      </c>
      <c r="R7" s="18">
        <f>IF(NOT(ISNUMBER(KOL_Source_Data!$AN$7)),"N/A",MIN(100,ROUND((IF(ISNUMBER(KOL_Source_Data!$AO$7),KOL_Source_Data!$AO$7*Brand_Profile!$E$17,0)+IF(ISNUMBER(KOL_Source_Data!$AP$7),KOL_Source_Data!$AP$7*Brand_Profile!$E$18,0)+IF(ISNUMBER(KOL_Source_Data!$AQ$7),KOL_Source_Data!$AQ$7*Brand_Profile!$E$19,0)+IF(ISNUMBER(KOL_Source_Data!$AR$7),KOL_Source_Data!$AR$7*Brand_Profile!$E$20,0)+IF(ISNUMBER(KOL_Source_Data!$AS$7),KOL_Source_Data!$AS$7*Brand_Profile!$E$21,0)+IF(ISNUMBER(KOL_Source_Data!$AT$7),KOL_Source_Data!$AT$7*Brand_Profile!$E$22,0)+IF(ISNUMBER(KOL_Source_Data!$AU$7),KOL_Source_Data!$AU$7*Brand_Profile!$E$23,0)+IF(ISNUMBER(KOL_Source_Data!$AV$7),KOL_Source_Data!$AV$7*Brand_Profile!$E$24,0)+IF(ISNUMBER(KOL_Source_Data!$AW$7),KOL_Source_Data!$AW$7*Brand_Profile!$E$25,0)+IF(ISNUMBER(KOL_Source_Data!$AX$7),KOL_Source_Data!$AX$7*Brand_Profile!$E$26,0)+IF(ISNUMBER(KOL_Source_Data!$AY$7),KOL_Source_Data!$AY$7*Brand_Profile!$E$27,0)+IF(ISNUMBER(KOL_Source_Data!$AZ$7),KOL_Source_Data!$AZ$7*Brand_Profile!$E$28,0)+IF(ISNUMBER(KOL_Source_Data!$BA$7),KOL_Source_Data!$BA$7*Brand_Profile!$E$29,0)+IF(ISNUMBER(KOL_Source_Data!$BB$7),KOL_Source_Data!$BB$7*Brand_Profile!$E$30,0)+IF(ISNUMBER(KOL_Source_Data!$BC$7),KOL_Source_Data!$BC$7*Brand_Profile!$E$31,0)+IF(ISNUMBER(KOL_Source_Data!$BD$7),KOL_Source_Data!$BD$7*Brand_Profile!$E$32,0)+IF(ISNUMBER(KOL_Source_Data!$BE$7),KOL_Source_Data!$BE$7*Brand_Profile!$E$33,0)+IF(ISNUMBER(KOL_Source_Data!$BF$7),KOL_Source_Data!$BF$7*Brand_Profile!$E$34,0))/Lookup_Lists!$D$318*100,0)))</f>
      </c>
      <c r="S7" s="29">
        <f>IF((IF(ISNUMBER(Matching_Engine!$O$7),Lookup_Lists!$D$113,0)+IF(ISNUMBER(Matching_Engine!$P$7),Lookup_Lists!$D$114,0)+IF(ISNUMBER(Matching_Engine!$Q$7),Lookup_Lists!$D$115,0)+IF(ISNUMBER(Matching_Engine!$R$7),Lookup_Lists!$D$116,0))=0,"N/A",ROUND((IF(ISNUMBER(Matching_Engine!$O$7),Matching_Engine!$O$7*Lookup_Lists!$D$113,0)+IF(ISNUMBER(Matching_Engine!$P$7),Matching_Engine!$P$7*Lookup_Lists!$D$114,0)+IF(ISNUMBER(Matching_Engine!$Q$7),Matching_Engine!$Q$7*Lookup_Lists!$D$115,0)+IF(ISNUMBER(Matching_Engine!$R$7),Matching_Engine!$R$7*Lookup_Lists!$D$116,0))/(IF(ISNUMBER(Matching_Engine!$O$7),Lookup_Lists!$D$113,0)+IF(ISNUMBER(Matching_Engine!$P$7),Lookup_Lists!$D$114,0)+IF(ISNUMBER(Matching_Engine!$Q$7),Lookup_Lists!$D$115,0)+IF(ISNUMBER(Matching_Engine!$R$7),Lookup_Lists!$D$116,0)),0))</f>
      </c>
      <c r="T7" s="11">
        <f>IF(ISNUMBER(Matching_Engine!$S$7),1,0)</f>
      </c>
      <c r="U7" s="18">
        <f>IF(NOT(AND(ISTEXT(KOL_Source_Data!$M$7),KOL_Source_Data!$M$7&lt;&gt;"N/A")),Lookup_Lists!$D$150,IF(Brand_Profile!$E$7=KOL_Source_Data!$M$7,100,IFERROR(INDEX(Lookup_Lists!$B$349:$J$357,MATCH(Brand_Profile!$E$7,Lookup_Lists!$A$349:$A$357,0),MATCH(KOL_Source_Data!$M$7,Lookup_Lists!$B$348:$J$348,0)),Lookup_Lists!$D$151)))</f>
      </c>
      <c r="V7" s="18">
        <f>IF(NOT(AND(ISTEXT(KOL_Source_Data!$P$7),KOL_Source_Data!$P$7&lt;&gt;"N/A")),"N/A",IFERROR(INDEX(Lookup_Lists!$B$349:$J$357,MATCH(Brand_Profile!$E$7,Lookup_Lists!$A$349:$A$357,0),MATCH(KOL_Source_Data!$P$7,Lookup_Lists!$B$348:$J$348,0)),Lookup_Lists!$D$151))</f>
      </c>
      <c r="W7" s="18">
        <f>IF(LEN(TRIM(SUBSTITUTE(Matching_Engine!$BE$7,"|","")))=0,"N/A",IF(Brand_Profile!$E$60=0,Lookup_Lists!$D$150,ROUND((IF(Brand_Profile!$E$54="",0,IF(ISNUMBER(SEARCH(Brand_Profile!$E$54,Matching_Engine!$BE$7)),1,0))+IF(Brand_Profile!$E$55="",0,IF(ISNUMBER(SEARCH(Brand_Profile!$E$55,Matching_Engine!$BE$7)),1,0))+IF(Brand_Profile!$E$56="",0,IF(ISNUMBER(SEARCH(Brand_Profile!$E$56,Matching_Engine!$BE$7)),1,0))+IF(Brand_Profile!$E$57="",0,IF(ISNUMBER(SEARCH(Brand_Profile!$E$57,Matching_Engine!$BE$7)),1,0))+IF(Brand_Profile!$E$58="",0,IF(ISNUMBER(SEARCH(Brand_Profile!$E$58,Matching_Engine!$BE$7)),1,0))+IF(Brand_Profile!$E$59="",0,IF(ISNUMBER(SEARCH(Brand_Profile!$E$59,Matching_Engine!$BE$7)),1,0)))/Brand_Profile!$E$60*100,0)))</f>
      </c>
      <c r="X7" s="18">
        <f>IF(NOT(AND(ISTEXT(KOL_Source_Data!$Q$7),KOL_Source_Data!$Q$7&lt;&gt;"N/A")),"N/A",Lookup_Lists!$D$150)</f>
      </c>
      <c r="Y7" s="29">
        <f>IF((IF(ISNUMBER(Matching_Engine!$U$7),Lookup_Lists!$D$335,0)+IF(ISNUMBER(Matching_Engine!$V$7),Lookup_Lists!$D$122,0)+IF(ISNUMBER(Matching_Engine!$W$7),Lookup_Lists!$D$336,0)+IF(ISNUMBER(Matching_Engine!$X$7),Lookup_Lists!$D$124,0))=0,"N/A",ROUND((IF(ISNUMBER(Matching_Engine!$U$7),Matching_Engine!$U$7*Lookup_Lists!$D$335,0)+IF(ISNUMBER(Matching_Engine!$V$7),Matching_Engine!$V$7*Lookup_Lists!$D$122,0)+IF(ISNUMBER(Matching_Engine!$W$7),Matching_Engine!$W$7*Lookup_Lists!$D$336,0)+IF(ISNUMBER(Matching_Engine!$X$7),Matching_Engine!$X$7*Lookup_Lists!$D$124,0))/(IF(ISNUMBER(Matching_Engine!$U$7),Lookup_Lists!$D$335,0)+IF(ISNUMBER(Matching_Engine!$V$7),Lookup_Lists!$D$122,0)+IF(ISNUMBER(Matching_Engine!$W$7),Lookup_Lists!$D$336,0)+IF(ISNUMBER(Matching_Engine!$X$7),Lookup_Lists!$D$124,0)),0))</f>
      </c>
      <c r="Z7" s="11">
        <f>IF(ISNUMBER(Matching_Engine!$Y$7),1,0)</f>
      </c>
      <c r="AA7" s="18">
        <f>IF(NOT(AND(ISTEXT(KOL_Source_Data!$Q$7),KOL_Source_Data!$Q$7&lt;&gt;"N/A")),"N/A",Lookup_Lists!$D$150)</f>
      </c>
      <c r="AB7" s="18">
        <f>IF(NOT(AND(ISTEXT(KOL_Source_Data!$Q$7),KOL_Source_Data!$Q$7&lt;&gt;"N/A")),"N/A",Lookup_Lists!$D$150)</f>
      </c>
      <c r="AC7" s="18">
        <f>"N/A"</f>
      </c>
      <c r="AD7" s="18">
        <f>IF(NOT(AND(ISTEXT(KOL_Source_Data!$Q$7),KOL_Source_Data!$Q$7&lt;&gt;"N/A")),"N/A",Lookup_Lists!$D$150)</f>
      </c>
      <c r="AE7" s="29">
        <f>IF((IF(ISNUMBER(Matching_Engine!$AA$7),Lookup_Lists!$D$125,0)+IF(ISNUMBER(Matching_Engine!$AB$7),Lookup_Lists!$D$126,0)+IF(ISNUMBER(Matching_Engine!$AC$7),Lookup_Lists!$D$127,0)+IF(ISNUMBER(Matching_Engine!$AD$7),Lookup_Lists!$D$128,0))=0,"N/A",ROUND((IF(ISNUMBER(Matching_Engine!$AA$7),Matching_Engine!$AA$7*Lookup_Lists!$D$125,0)+IF(ISNUMBER(Matching_Engine!$AB$7),Matching_Engine!$AB$7*Lookup_Lists!$D$126,0)+IF(ISNUMBER(Matching_Engine!$AC$7),Matching_Engine!$AC$7*Lookup_Lists!$D$127,0)+IF(ISNUMBER(Matching_Engine!$AD$7),Matching_Engine!$AD$7*Lookup_Lists!$D$128,0))/(IF(ISNUMBER(Matching_Engine!$AA$7),Lookup_Lists!$D$125,0)+IF(ISNUMBER(Matching_Engine!$AB$7),Lookup_Lists!$D$126,0)+IF(ISNUMBER(Matching_Engine!$AC$7),Lookup_Lists!$D$127,0)+IF(ISNUMBER(Matching_Engine!$AD$7),Lookup_Lists!$D$128,0)),0))</f>
      </c>
      <c r="AF7" s="11">
        <f>IF(ISNUMBER(Matching_Engine!$AE$7),1,0)</f>
      </c>
      <c r="AG7" s="18">
        <f>IF(NOT(ISNUMBER(KOL_Source_Data!$BG$7)),"N/A",MIN(100,ROUND(KOL_Source_Data!$BG$7/IFERROR(INDEX(Lookup_Lists!$B$340:$B$344,MATCH(KOL_Source_Data!$H$7,Lookup_Lists!$A$340:$A$344,0)),Lookup_Lists!$D$141)*100,0)))</f>
      </c>
      <c r="AH7" s="18">
        <f>IF(NOT(ISNUMBER(KOL_Source_Data!$BS$7)),"N/A",MIN(100,MAX(0,KOL_Source_Data!$BS$7)))</f>
      </c>
      <c r="AI7" s="18">
        <f>IF(OR(NOT(ISNUMBER(KOL_Source_Data!$BM$7)),NOT(ISNUMBER(KOL_Source_Data!$BN$7)),KOL_Source_Data!$BN$7&lt;Lookup_Lists!$D$320),"N/A",MIN(100,ROUND(KOL_Source_Data!$BM$7/Lookup_Lists!$D$319*100,0)))</f>
      </c>
      <c r="AJ7" s="18">
        <f>IF(NOT(ISNUMBER(KOL_Source_Data!$BR$7)),"N/A",KOL_Source_Data!$BR$7)</f>
      </c>
      <c r="AK7" s="18">
        <f>IF(NOT(ISNUMBER(KOL_Source_Data!$BK$7)),"N/A",MIN(100,ROUND(KOL_Source_Data!$BK$7/Lookup_Lists!$D$321*100,0)))</f>
      </c>
      <c r="AL7" s="18">
        <f>IF(NOT(ISNUMBER(KOL_Source_Data!$BP$7)),"N/A",MIN(100,MAX(0,ROUND((KOL_Source_Data!$BP$7+2)/(Lookup_Lists!$D$145+2)*100,0))))</f>
      </c>
      <c r="AM7" s="29">
        <f>IF((IF(ISNUMBER(Matching_Engine!$AG$7),Lookup_Lists!$D$129,0)+IF(ISNUMBER(Matching_Engine!$AH$7),Lookup_Lists!$D$130,0)+IF(ISNUMBER(Matching_Engine!$AI$7),Lookup_Lists!$D$131,0)+IF(ISNUMBER(Matching_Engine!$AJ$7),Lookup_Lists!$D$132,0)+IF(ISNUMBER(Matching_Engine!$AK$7),Lookup_Lists!$D$133,0)+IF(ISNUMBER(Matching_Engine!$AL$7),Lookup_Lists!$D$134,0))=0,"N/A",ROUND((IF(ISNUMBER(Matching_Engine!$AG$7),Matching_Engine!$AG$7*Lookup_Lists!$D$129,0)+IF(ISNUMBER(Matching_Engine!$AH$7),Matching_Engine!$AH$7*Lookup_Lists!$D$130,0)+IF(ISNUMBER(Matching_Engine!$AI$7),Matching_Engine!$AI$7*Lookup_Lists!$D$131,0)+IF(ISNUMBER(Matching_Engine!$AJ$7),Matching_Engine!$AJ$7*Lookup_Lists!$D$132,0)+IF(ISNUMBER(Matching_Engine!$AK$7),Matching_Engine!$AK$7*Lookup_Lists!$D$133,0)+IF(ISNUMBER(Matching_Engine!$AL$7),Matching_Engine!$AL$7*Lookup_Lists!$D$134,0))/(IF(ISNUMBER(Matching_Engine!$AG$7),Lookup_Lists!$D$129,0)+IF(ISNUMBER(Matching_Engine!$AH$7),Lookup_Lists!$D$130,0)+IF(ISNUMBER(Matching_Engine!$AI$7),Lookup_Lists!$D$131,0)+IF(ISNUMBER(Matching_Engine!$AJ$7),Lookup_Lists!$D$132,0)+IF(ISNUMBER(Matching_Engine!$AK$7),Lookup_Lists!$D$133,0)+IF(ISNUMBER(Matching_Engine!$AL$7),Lookup_Lists!$D$134,0)),0))</f>
      </c>
      <c r="AN7" s="11">
        <f>IF(ISNUMBER(Matching_Engine!$AM$7),1,0)</f>
      </c>
      <c r="AO7" s="18">
        <f>IF(NOT(ISNUMBER(KOL_Source_Data!$BT$7)),"N/A",MIN(100,MAX(0,KOL_Source_Data!$BT$7)))</f>
      </c>
      <c r="AP7" s="18">
        <f>IF(NOT(ISNUMBER(KOL_Source_Data!$BU$7)),"N/A",MIN(100,MAX(0,KOL_Source_Data!$BU$7)))</f>
      </c>
      <c r="AQ7" s="18">
        <f>IF(KOL_Source_Data!$I$7="Yes",Lookup_Lists!$D$326,IF(KOL_Source_Data!$I$7="No",Lookup_Lists!$D$327,"N/A"))</f>
      </c>
      <c r="AR7" s="18">
        <f>IF(NOT(ISNUMBER(KOL_Source_Data!$BQ$7)),"N/A",MAX(0,ROUND(100-KOL_Source_Data!$BQ$7/Lookup_Lists!$D$328*100,0)))</f>
      </c>
      <c r="AS7" s="18">
        <f>IF(NOT(AND(ISTEXT(KOL_Source_Data!$BV$7),KOL_Source_Data!$BV$7&lt;&gt;"N/A")),"N/A",KOL_Source_Data!$BV$7)</f>
      </c>
      <c r="AT7" s="29">
        <f>IF((IF(ISNUMBER(Matching_Engine!$AO$7),Lookup_Lists!$D$322,0)+IF(ISNUMBER(Matching_Engine!$AP$7),Lookup_Lists!$D$323,0)+IF(ISNUMBER(Matching_Engine!$AQ$7),Lookup_Lists!$D$324,0)+IF(ISNUMBER(Matching_Engine!$AR$7),Lookup_Lists!$D$325,0))=0,"N/A",ROUND((IF(ISNUMBER(Matching_Engine!$AO$7),Matching_Engine!$AO$7*Lookup_Lists!$D$322,0)+IF(ISNUMBER(Matching_Engine!$AP$7),Matching_Engine!$AP$7*Lookup_Lists!$D$323,0)+IF(ISNUMBER(Matching_Engine!$AQ$7),Matching_Engine!$AQ$7*Lookup_Lists!$D$324,0)+IF(ISNUMBER(Matching_Engine!$AR$7),Matching_Engine!$AR$7*Lookup_Lists!$D$325,0))/(IF(ISNUMBER(Matching_Engine!$AO$7),Lookup_Lists!$D$322,0)+IF(ISNUMBER(Matching_Engine!$AP$7),Lookup_Lists!$D$323,0)+IF(ISNUMBER(Matching_Engine!$AQ$7),Lookup_Lists!$D$324,0)+IF(ISNUMBER(Matching_Engine!$AR$7),Lookup_Lists!$D$325,0)),0))</f>
      </c>
      <c r="AU7" s="11">
        <f>IF(ISNUMBER(Matching_Engine!$AT$7),1,0)</f>
      </c>
      <c r="AV7" s="11">
        <f>IF(NOT(ISNUMBER(Matching_Engine!$AT$7)),"Not Screened",IF(Matching_Engine!$AT$7&gt;=Lookup_Lists!$D$329,"Low Risk",IF(Matching_Engine!$AT$7&gt;=Lookup_Lists!$D$330,"Moderate Risk",IF(Matching_Engine!$AT$7&gt;=Lookup_Lists!$D$331,"Elevated Risk","High Risk"))))</f>
      </c>
      <c r="AW7" s="11">
        <f>IF(NOT(ISNUMBER(Matching_Engine!$AT$7)),"No integrity signal: no audience-analysis row for this account.","Integrity screen only — no content-risk reading exists (comments_analysis: 0 rows). "&amp;IF(ISNUMBER(Matching_Engine!$AO$7),"Authenticity "&amp;Matching_Engine!$AO$7&amp;". ","Authenticity N/A. ")&amp;IF(ISNUMBER(Matching_Engine!$AP$7),"Follower quality "&amp;Matching_Engine!$AP$7&amp;". ","Follower quality N/A. ")&amp;IF(KOL_Source_Data!$I$7="Yes","Platform-verified.","Not platform-verified."))</f>
      </c>
      <c r="AX7" s="18">
        <f>Matching_Engine!$N$7*Lookup_Lists!$D$104+Matching_Engine!$T$7*Lookup_Lists!$D$105+Matching_Engine!$Z$7*Lookup_Lists!$D$106+Matching_Engine!$AF$7*Lookup_Lists!$D$107+Matching_Engine!$AN$7*Lookup_Lists!$D$108+Matching_Engine!$AU$7*Lookup_Lists!$D$109</f>
      </c>
      <c r="AY7" s="30">
        <f>IF(Matching_Engine!$AX$7=0,"N/A",ROUND((IF(Matching_Engine!$N$7=1,Matching_Engine!$M$7*Lookup_Lists!$D$104,0)+IF(Matching_Engine!$T$7=1,Matching_Engine!$S$7*Lookup_Lists!$D$105,0)+IF(Matching_Engine!$Z$7=1,Matching_Engine!$Y$7*Lookup_Lists!$D$106,0)+IF(Matching_Engine!$AF$7=1,Matching_Engine!$AE$7*Lookup_Lists!$D$107,0)+IF(Matching_Engine!$AN$7=1,Matching_Engine!$AM$7*Lookup_Lists!$D$108,0)+IF(Matching_Engine!$AU$7=1,Matching_Engine!$AT$7*Lookup_Lists!$D$109,0))/Matching_Engine!$AX$7,0))</f>
      </c>
      <c r="AZ7" s="11">
        <f>IF(NOT(ISNUMBER(Matching_Engine!$AY$7)),"Not Scored",IF(Matching_Engine!$AY$7&gt;=Lookup_Lists!$D$152,"Excellent Match",IF(Matching_Engine!$AY$7&gt;=Lookup_Lists!$D$153,"Strong Match",IF(Matching_Engine!$AY$7&gt;=Lookup_Lists!$D$154,"Good Match",IF(Matching_Engine!$AY$7&gt;=Lookup_Lists!$D$155,"Moderate Match","Low Match")))))</f>
      </c>
      <c r="BA7" s="18">
        <f>KOL_Source_Data!$BW$7</f>
      </c>
      <c r="BB7" s="11">
        <f>KOL_Source_Data!$BX$7</f>
      </c>
      <c r="BC7" s="18">
        <f>IF(NOT(ISNUMBER(Matching_Engine!$AY$7)),-1,Matching_Engine!$AY$7*1000+23)</f>
      </c>
      <c r="BD7" s="11">
        <f>IF(AND(ISTEXT(KOL_Source_Data!$S$7),KOL_Source_Data!$S$7&lt;&gt;"N/A"),KOL_Source_Data!$S$7,"")&amp;" | "&amp;IF(AND(ISTEXT(KOL_Source_Data!$T$7),KOL_Source_Data!$T$7&lt;&gt;"N/A"),KOL_Source_Data!$T$7,"")&amp;" | "&amp;IF(AND(ISTEXT(KOL_Source_Data!$N$7),KOL_Source_Data!$N$7&lt;&gt;"N/A"),KOL_Source_Data!$N$7,"")&amp;" | "&amp;IF(AND(ISTEXT(KOL_Source_Data!$K$7),KOL_Source_Data!$K$7&lt;&gt;"N/A"),KOL_Source_Data!$K$7,"")&amp;" | "&amp;IF(AND(ISTEXT(KOL_Source_Data!$J$7),KOL_Source_Data!$J$7&lt;&gt;"N/A"),KOL_Source_Data!$J$7,"")</f>
      </c>
      <c r="BE7" s="11">
        <f>IF(AND(ISTEXT(KOL_Source_Data!$T$7),KOL_Source_Data!$T$7&lt;&gt;"N/A"),KOL_Source_Data!$T$7,"")&amp;" | "&amp;IF(AND(ISTEXT(KOL_Source_Data!$N$7),KOL_Source_Data!$N$7&lt;&gt;"N/A"),KOL_Source_Data!$N$7,"")&amp;" | "&amp;IF(AND(ISTEXT(KOL_Source_Data!$O$7),KOL_Source_Data!$O$7&lt;&gt;"N/A"),KOL_Source_Data!$O$7,"")&amp;" | "&amp;IF(AND(ISTEXT(KOL_Source_Data!$S$7),KOL_Source_Data!$S$7&lt;&gt;"N/A"),KOL_Source_Data!$S$7,"")</f>
      </c>
      <c r="BF7" s="11">
        <f>IF(AND(ISTEXT(KOL_Source_Data!$U$7),KOL_Source_Data!$U$7&lt;&gt;"N/A"),KOL_Source_Data!$U$7,"")</f>
      </c>
      <c r="BG7" s="11">
        <f>Matching_Engine!$A$7&amp;"|"&amp;Matching_Engine!$C$7</f>
      </c>
    </row>
    <row r="8" spans="1:59" x14ac:dyDescent="0.25">
      <c r="A8" s="10" t="s">
        <v>390</v>
      </c>
      <c r="B8" s="11">
        <f>Brand_Profile!$E$6</f>
      </c>
      <c r="C8" s="11">
        <f>KOL_Source_Data!$A$8</f>
      </c>
      <c r="D8" s="11">
        <f>KOL_Source_Data!$C$8</f>
      </c>
      <c r="E8" s="11">
        <f>KOL_Source_Data!$D$8</f>
      </c>
      <c r="F8" s="11">
        <f>KOL_Source_Data!$E$8</f>
      </c>
      <c r="G8" s="11">
        <f>KOL_Source_Data!$K$8</f>
      </c>
      <c r="H8" s="12">
        <f>KOL_Source_Data!$G$8</f>
      </c>
      <c r="I8" s="14">
        <f>KOL_Source_Data!$BG$8</f>
      </c>
      <c r="J8" s="18">
        <f>IF(NOT(AND(ISTEXT(KOL_Source_Data!$K$8),KOL_Source_Data!$K$8&lt;&gt;"N/A")),Lookup_Lists!$D$150,IF(Brand_Profile!$E$7=KOL_Source_Data!$K$8,100,IFERROR(INDEX(Lookup_Lists!$B$349:$J$357,MATCH(Brand_Profile!$E$7,Lookup_Lists!$A$349:$A$357,0),MATCH(KOL_Source_Data!$K$8,Lookup_Lists!$B$348:$J$348,0)),Lookup_Lists!$D$151)))</f>
      </c>
      <c r="K8" s="18">
        <f>IF(LEN(TRIM(SUBSTITUTE(Matching_Engine!$BD$8,"|","")))=0,"N/A",IF(Brand_Profile!$E$47=0,Lookup_Lists!$D$150,ROUND((IF(Brand_Profile!$E$41="",0,IF(ISNUMBER(SEARCH(Brand_Profile!$E$41,Matching_Engine!$BD$8)),1,0))+IF(Brand_Profile!$E$42="",0,IF(ISNUMBER(SEARCH(Brand_Profile!$E$42,Matching_Engine!$BD$8)),1,0))+IF(Brand_Profile!$E$43="",0,IF(ISNUMBER(SEARCH(Brand_Profile!$E$43,Matching_Engine!$BD$8)),1,0))+IF(Brand_Profile!$E$44="",0,IF(ISNUMBER(SEARCH(Brand_Profile!$E$44,Matching_Engine!$BD$8)),1,0))+IF(Brand_Profile!$E$45="",0,IF(ISNUMBER(SEARCH(Brand_Profile!$E$45,Matching_Engine!$BD$8)),1,0))+IF(Brand_Profile!$E$46="",0,IF(ISNUMBER(SEARCH(Brand_Profile!$E$46,Matching_Engine!$BD$8)),1,0)))/Brand_Profile!$E$47*100,0)))</f>
      </c>
      <c r="L8" s="18">
        <f>IF(NOT(AND(ISTEXT(KOL_Source_Data!$U$8),KOL_Source_Data!$U$8&lt;&gt;"N/A")),"N/A",IF(Brand_Profile!$E$53=0,Lookup_Lists!$D$150,ROUND((IF(Brand_Profile!$E$48="",0,IF(ISNUMBER(SEARCH(Brand_Profile!$E$48,Matching_Engine!$BF$8)),1,0))+IF(Brand_Profile!$E$49="",0,IF(ISNUMBER(SEARCH(Brand_Profile!$E$49,Matching_Engine!$BF$8)),1,0))+IF(Brand_Profile!$E$50="",0,IF(ISNUMBER(SEARCH(Brand_Profile!$E$50,Matching_Engine!$BF$8)),1,0))+IF(Brand_Profile!$E$51="",0,IF(ISNUMBER(SEARCH(Brand_Profile!$E$51,Matching_Engine!$BF$8)),1,0))+IF(Brand_Profile!$E$52="",0,IF(ISNUMBER(SEARCH(Brand_Profile!$E$52,Matching_Engine!$BF$8)),1,0)))/Brand_Profile!$E$53*100,0)))</f>
      </c>
      <c r="M8" s="29">
        <f>IF((IF(ISNUMBER(Matching_Engine!$J$8),Lookup_Lists!$D$332,0)+IF(ISNUMBER(Matching_Engine!$K$8),Lookup_Lists!$D$333,0)+IF(ISNUMBER(Matching_Engine!$L$8),Lookup_Lists!$D$334,0))=0,"N/A",ROUND((IF(ISNUMBER(Matching_Engine!$J$8),Matching_Engine!$J$8*Lookup_Lists!$D$332,0)+IF(ISNUMBER(Matching_Engine!$K$8),Matching_Engine!$K$8*Lookup_Lists!$D$333,0)+IF(ISNUMBER(Matching_Engine!$L$8),Matching_Engine!$L$8*Lookup_Lists!$D$334,0))/(IF(ISNUMBER(Matching_Engine!$J$8),Lookup_Lists!$D$332,0)+IF(ISNUMBER(Matching_Engine!$K$8),Lookup_Lists!$D$333,0)+IF(ISNUMBER(Matching_Engine!$L$8),Lookup_Lists!$D$334,0)),0))</f>
      </c>
      <c r="N8" s="11">
        <f>IF(ISNUMBER(Matching_Engine!$M$8),1,0)</f>
      </c>
      <c r="O8" s="18">
        <f>IF(NOT(ISNUMBER(IFERROR(INDEX(KOL_Source_Data!$V$8:KOL_Source_Data!$Z$8,1,MATCH(Brand_Profile!$E$11,Lookup_Lists!$F$6:$F$10,0)),""))),"N/A",MIN(100,ROUND((IFERROR(INDEX(KOL_Source_Data!$V$8:KOL_Source_Data!$Z$8,1,MATCH(Brand_Profile!$E$11,Lookup_Lists!$F$6:$F$10,0)),"")+0.5*IF(ISNUMBER(IFERROR(INDEX(KOL_Source_Data!$V$8:KOL_Source_Data!$Z$8,1,MATCH(Brand_Profile!$E$12,Lookup_Lists!$F$6:$F$10,0)),"")),IFERROR(INDEX(KOL_Source_Data!$V$8:KOL_Source_Data!$Z$8,1,MATCH(Brand_Profile!$E$12,Lookup_Lists!$F$6:$F$10,0)),""),0))/Lookup_Lists!$D$142*100,0)))</f>
      </c>
      <c r="P8" s="18">
        <f>IF(Brand_Profile!$E$13="Any",100,IF(NOT(ISNUMBER(KOL_Source_Data!$AA$8)),"N/A",IF(Brand_Profile!$E$13="Female",MIN(100,ROUND(KOL_Source_Data!$AA$8/Lookup_Lists!$D$143*100,0)),IF(Brand_Profile!$E$13="Male",MIN(100,ROUND(IF(ISNUMBER(KOL_Source_Data!$AB$8),KOL_Source_Data!$AB$8,100-KOL_Source_Data!$AA$8)/Lookup_Lists!$D$143*100,0)),MAX(0,ROUND(100-ABS(KOL_Source_Data!$AA$8-50)*2,0))))))</f>
      </c>
      <c r="Q8" s="18">
        <f>IF((IF(ISNUMBER(IF(NOT(ISNUMBER(KOL_Source_Data!$AE$8)),"N/A",IF(KOL_Source_Data!$AD$8&lt;&gt;Brand_Profile!$E$14,Lookup_Lists!$D$151,MIN(100,ROUND(KOL_Source_Data!$AE$8/Lookup_Lists!$D$316*100,0))))),Lookup_Lists!$D$118,0)+IF(ISNUMBER(IF(NOT(ISNUMBER(KOL_Source_Data!$AM$8)),"N/A",MIN(100,ROUND((IF(KOL_Source_Data!$AG$8=Brand_Profile!$E$15,IF(ISNUMBER(KOL_Source_Data!$AH$8),KOL_Source_Data!$AH$8,0),0)+IF(KOL_Source_Data!$AI$8=Brand_Profile!$E$15,IF(ISNUMBER(KOL_Source_Data!$AJ$8),KOL_Source_Data!$AJ$8,0),0)+IF(KOL_Source_Data!$AK$8=Brand_Profile!$E$15,IF(ISNUMBER(KOL_Source_Data!$AL$8),KOL_Source_Data!$AL$8,0),0))/Lookup_Lists!$D$317*100,0)))),Lookup_Lists!$D$120,0))=0,"N/A",ROUND((IF(ISNUMBER(IF(NOT(ISNUMBER(KOL_Source_Data!$AE$8)),"N/A",IF(KOL_Source_Data!$AD$8&lt;&gt;Brand_Profile!$E$14,Lookup_Lists!$D$151,MIN(100,ROUND(KOL_Source_Data!$AE$8/Lookup_Lists!$D$316*100,0))))),IF(NOT(ISNUMBER(KOL_Source_Data!$AE$8)),"N/A",IF(KOL_Source_Data!$AD$8&lt;&gt;Brand_Profile!$E$14,Lookup_Lists!$D$151,MIN(100,ROUND(KOL_Source_Data!$AE$8/Lookup_Lists!$D$316*100,0))))*Lookup_Lists!$D$118,0)+IF(ISNUMBER(IF(NOT(ISNUMBER(KOL_Source_Data!$AM$8)),"N/A",MIN(100,ROUND((IF(KOL_Source_Data!$AG$8=Brand_Profile!$E$15,IF(ISNUMBER(KOL_Source_Data!$AH$8),KOL_Source_Data!$AH$8,0),0)+IF(KOL_Source_Data!$AI$8=Brand_Profile!$E$15,IF(ISNUMBER(KOL_Source_Data!$AJ$8),KOL_Source_Data!$AJ$8,0),0)+IF(KOL_Source_Data!$AK$8=Brand_Profile!$E$15,IF(ISNUMBER(KOL_Source_Data!$AL$8),KOL_Source_Data!$AL$8,0),0))/Lookup_Lists!$D$317*100,0)))),IF(NOT(ISNUMBER(KOL_Source_Data!$AM$8)),"N/A",MIN(100,ROUND((IF(KOL_Source_Data!$AG$8=Brand_Profile!$E$15,IF(ISNUMBER(KOL_Source_Data!$AH$8),KOL_Source_Data!$AH$8,0),0)+IF(KOL_Source_Data!$AI$8=Brand_Profile!$E$15,IF(ISNUMBER(KOL_Source_Data!$AJ$8),KOL_Source_Data!$AJ$8,0),0)+IF(KOL_Source_Data!$AK$8=Brand_Profile!$E$15,IF(ISNUMBER(KOL_Source_Data!$AL$8),KOL_Source_Data!$AL$8,0),0))/Lookup_Lists!$D$317*100,0)))*Lookup_Lists!$D$120,0))/(IF(ISNUMBER(IF(NOT(ISNUMBER(KOL_Source_Data!$AE$8)),"N/A",IF(KOL_Source_Data!$AD$8&lt;&gt;Brand_Profile!$E$14,Lookup_Lists!$D$151,MIN(100,ROUND(KOL_Source_Data!$AE$8/Lookup_Lists!$D$316*100,0))))),Lookup_Lists!$D$118,0)+IF(ISNUMBER(IF(NOT(ISNUMBER(KOL_Source_Data!$AM$8)),"N/A",MIN(100,ROUND((IF(KOL_Source_Data!$AG$8=Brand_Profile!$E$15,IF(ISNUMBER(KOL_Source_Data!$AH$8),KOL_Source_Data!$AH$8,0),0)+IF(KOL_Source_Data!$AI$8=Brand_Profile!$E$15,IF(ISNUMBER(KOL_Source_Data!$AJ$8),KOL_Source_Data!$AJ$8,0),0)+IF(KOL_Source_Data!$AK$8=Brand_Profile!$E$15,IF(ISNUMBER(KOL_Source_Data!$AL$8),KOL_Source_Data!$AL$8,0),0))/Lookup_Lists!$D$317*100,0)))),Lookup_Lists!$D$120,0)),0))</f>
      </c>
      <c r="R8" s="18">
        <f>IF(NOT(ISNUMBER(KOL_Source_Data!$AN$8)),"N/A",MIN(100,ROUND((IF(ISNUMBER(KOL_Source_Data!$AO$8),KOL_Source_Data!$AO$8*Brand_Profile!$E$17,0)+IF(ISNUMBER(KOL_Source_Data!$AP$8),KOL_Source_Data!$AP$8*Brand_Profile!$E$18,0)+IF(ISNUMBER(KOL_Source_Data!$AQ$8),KOL_Source_Data!$AQ$8*Brand_Profile!$E$19,0)+IF(ISNUMBER(KOL_Source_Data!$AR$8),KOL_Source_Data!$AR$8*Brand_Profile!$E$20,0)+IF(ISNUMBER(KOL_Source_Data!$AS$8),KOL_Source_Data!$AS$8*Brand_Profile!$E$21,0)+IF(ISNUMBER(KOL_Source_Data!$AT$8),KOL_Source_Data!$AT$8*Brand_Profile!$E$22,0)+IF(ISNUMBER(KOL_Source_Data!$AU$8),KOL_Source_Data!$AU$8*Brand_Profile!$E$23,0)+IF(ISNUMBER(KOL_Source_Data!$AV$8),KOL_Source_Data!$AV$8*Brand_Profile!$E$24,0)+IF(ISNUMBER(KOL_Source_Data!$AW$8),KOL_Source_Data!$AW$8*Brand_Profile!$E$25,0)+IF(ISNUMBER(KOL_Source_Data!$AX$8),KOL_Source_Data!$AX$8*Brand_Profile!$E$26,0)+IF(ISNUMBER(KOL_Source_Data!$AY$8),KOL_Source_Data!$AY$8*Brand_Profile!$E$27,0)+IF(ISNUMBER(KOL_Source_Data!$AZ$8),KOL_Source_Data!$AZ$8*Brand_Profile!$E$28,0)+IF(ISNUMBER(KOL_Source_Data!$BA$8),KOL_Source_Data!$BA$8*Brand_Profile!$E$29,0)+IF(ISNUMBER(KOL_Source_Data!$BB$8),KOL_Source_Data!$BB$8*Brand_Profile!$E$30,0)+IF(ISNUMBER(KOL_Source_Data!$BC$8),KOL_Source_Data!$BC$8*Brand_Profile!$E$31,0)+IF(ISNUMBER(KOL_Source_Data!$BD$8),KOL_Source_Data!$BD$8*Brand_Profile!$E$32,0)+IF(ISNUMBER(KOL_Source_Data!$BE$8),KOL_Source_Data!$BE$8*Brand_Profile!$E$33,0)+IF(ISNUMBER(KOL_Source_Data!$BF$8),KOL_Source_Data!$BF$8*Brand_Profile!$E$34,0))/Lookup_Lists!$D$318*100,0)))</f>
      </c>
      <c r="S8" s="29">
        <f>IF((IF(ISNUMBER(Matching_Engine!$O$8),Lookup_Lists!$D$113,0)+IF(ISNUMBER(Matching_Engine!$P$8),Lookup_Lists!$D$114,0)+IF(ISNUMBER(Matching_Engine!$Q$8),Lookup_Lists!$D$115,0)+IF(ISNUMBER(Matching_Engine!$R$8),Lookup_Lists!$D$116,0))=0,"N/A",ROUND((IF(ISNUMBER(Matching_Engine!$O$8),Matching_Engine!$O$8*Lookup_Lists!$D$113,0)+IF(ISNUMBER(Matching_Engine!$P$8),Matching_Engine!$P$8*Lookup_Lists!$D$114,0)+IF(ISNUMBER(Matching_Engine!$Q$8),Matching_Engine!$Q$8*Lookup_Lists!$D$115,0)+IF(ISNUMBER(Matching_Engine!$R$8),Matching_Engine!$R$8*Lookup_Lists!$D$116,0))/(IF(ISNUMBER(Matching_Engine!$O$8),Lookup_Lists!$D$113,0)+IF(ISNUMBER(Matching_Engine!$P$8),Lookup_Lists!$D$114,0)+IF(ISNUMBER(Matching_Engine!$Q$8),Lookup_Lists!$D$115,0)+IF(ISNUMBER(Matching_Engine!$R$8),Lookup_Lists!$D$116,0)),0))</f>
      </c>
      <c r="T8" s="11">
        <f>IF(ISNUMBER(Matching_Engine!$S$8),1,0)</f>
      </c>
      <c r="U8" s="18">
        <f>IF(NOT(AND(ISTEXT(KOL_Source_Data!$M$8),KOL_Source_Data!$M$8&lt;&gt;"N/A")),Lookup_Lists!$D$150,IF(Brand_Profile!$E$7=KOL_Source_Data!$M$8,100,IFERROR(INDEX(Lookup_Lists!$B$349:$J$357,MATCH(Brand_Profile!$E$7,Lookup_Lists!$A$349:$A$357,0),MATCH(KOL_Source_Data!$M$8,Lookup_Lists!$B$348:$J$348,0)),Lookup_Lists!$D$151)))</f>
      </c>
      <c r="V8" s="18">
        <f>IF(NOT(AND(ISTEXT(KOL_Source_Data!$P$8),KOL_Source_Data!$P$8&lt;&gt;"N/A")),"N/A",IFERROR(INDEX(Lookup_Lists!$B$349:$J$357,MATCH(Brand_Profile!$E$7,Lookup_Lists!$A$349:$A$357,0),MATCH(KOL_Source_Data!$P$8,Lookup_Lists!$B$348:$J$348,0)),Lookup_Lists!$D$151))</f>
      </c>
      <c r="W8" s="18">
        <f>IF(LEN(TRIM(SUBSTITUTE(Matching_Engine!$BE$8,"|","")))=0,"N/A",IF(Brand_Profile!$E$60=0,Lookup_Lists!$D$150,ROUND((IF(Brand_Profile!$E$54="",0,IF(ISNUMBER(SEARCH(Brand_Profile!$E$54,Matching_Engine!$BE$8)),1,0))+IF(Brand_Profile!$E$55="",0,IF(ISNUMBER(SEARCH(Brand_Profile!$E$55,Matching_Engine!$BE$8)),1,0))+IF(Brand_Profile!$E$56="",0,IF(ISNUMBER(SEARCH(Brand_Profile!$E$56,Matching_Engine!$BE$8)),1,0))+IF(Brand_Profile!$E$57="",0,IF(ISNUMBER(SEARCH(Brand_Profile!$E$57,Matching_Engine!$BE$8)),1,0))+IF(Brand_Profile!$E$58="",0,IF(ISNUMBER(SEARCH(Brand_Profile!$E$58,Matching_Engine!$BE$8)),1,0))+IF(Brand_Profile!$E$59="",0,IF(ISNUMBER(SEARCH(Brand_Profile!$E$59,Matching_Engine!$BE$8)),1,0)))/Brand_Profile!$E$60*100,0)))</f>
      </c>
      <c r="X8" s="18">
        <f>IF(NOT(AND(ISTEXT(KOL_Source_Data!$Q$8),KOL_Source_Data!$Q$8&lt;&gt;"N/A")),"N/A",Lookup_Lists!$D$150)</f>
      </c>
      <c r="Y8" s="29">
        <f>IF((IF(ISNUMBER(Matching_Engine!$U$8),Lookup_Lists!$D$335,0)+IF(ISNUMBER(Matching_Engine!$V$8),Lookup_Lists!$D$122,0)+IF(ISNUMBER(Matching_Engine!$W$8),Lookup_Lists!$D$336,0)+IF(ISNUMBER(Matching_Engine!$X$8),Lookup_Lists!$D$124,0))=0,"N/A",ROUND((IF(ISNUMBER(Matching_Engine!$U$8),Matching_Engine!$U$8*Lookup_Lists!$D$335,0)+IF(ISNUMBER(Matching_Engine!$V$8),Matching_Engine!$V$8*Lookup_Lists!$D$122,0)+IF(ISNUMBER(Matching_Engine!$W$8),Matching_Engine!$W$8*Lookup_Lists!$D$336,0)+IF(ISNUMBER(Matching_Engine!$X$8),Matching_Engine!$X$8*Lookup_Lists!$D$124,0))/(IF(ISNUMBER(Matching_Engine!$U$8),Lookup_Lists!$D$335,0)+IF(ISNUMBER(Matching_Engine!$V$8),Lookup_Lists!$D$122,0)+IF(ISNUMBER(Matching_Engine!$W$8),Lookup_Lists!$D$336,0)+IF(ISNUMBER(Matching_Engine!$X$8),Lookup_Lists!$D$124,0)),0))</f>
      </c>
      <c r="Z8" s="11">
        <f>IF(ISNUMBER(Matching_Engine!$Y$8),1,0)</f>
      </c>
      <c r="AA8" s="18">
        <f>IF(NOT(AND(ISTEXT(KOL_Source_Data!$Q$8),KOL_Source_Data!$Q$8&lt;&gt;"N/A")),"N/A",Lookup_Lists!$D$150)</f>
      </c>
      <c r="AB8" s="18">
        <f>IF(NOT(AND(ISTEXT(KOL_Source_Data!$Q$8),KOL_Source_Data!$Q$8&lt;&gt;"N/A")),"N/A",Lookup_Lists!$D$150)</f>
      </c>
      <c r="AC8" s="18">
        <f>"N/A"</f>
      </c>
      <c r="AD8" s="18">
        <f>IF(NOT(AND(ISTEXT(KOL_Source_Data!$Q$8),KOL_Source_Data!$Q$8&lt;&gt;"N/A")),"N/A",Lookup_Lists!$D$150)</f>
      </c>
      <c r="AE8" s="29">
        <f>IF((IF(ISNUMBER(Matching_Engine!$AA$8),Lookup_Lists!$D$125,0)+IF(ISNUMBER(Matching_Engine!$AB$8),Lookup_Lists!$D$126,0)+IF(ISNUMBER(Matching_Engine!$AC$8),Lookup_Lists!$D$127,0)+IF(ISNUMBER(Matching_Engine!$AD$8),Lookup_Lists!$D$128,0))=0,"N/A",ROUND((IF(ISNUMBER(Matching_Engine!$AA$8),Matching_Engine!$AA$8*Lookup_Lists!$D$125,0)+IF(ISNUMBER(Matching_Engine!$AB$8),Matching_Engine!$AB$8*Lookup_Lists!$D$126,0)+IF(ISNUMBER(Matching_Engine!$AC$8),Matching_Engine!$AC$8*Lookup_Lists!$D$127,0)+IF(ISNUMBER(Matching_Engine!$AD$8),Matching_Engine!$AD$8*Lookup_Lists!$D$128,0))/(IF(ISNUMBER(Matching_Engine!$AA$8),Lookup_Lists!$D$125,0)+IF(ISNUMBER(Matching_Engine!$AB$8),Lookup_Lists!$D$126,0)+IF(ISNUMBER(Matching_Engine!$AC$8),Lookup_Lists!$D$127,0)+IF(ISNUMBER(Matching_Engine!$AD$8),Lookup_Lists!$D$128,0)),0))</f>
      </c>
      <c r="AF8" s="11">
        <f>IF(ISNUMBER(Matching_Engine!$AE$8),1,0)</f>
      </c>
      <c r="AG8" s="18">
        <f>IF(NOT(ISNUMBER(KOL_Source_Data!$BG$8)),"N/A",MIN(100,ROUND(KOL_Source_Data!$BG$8/IFERROR(INDEX(Lookup_Lists!$B$340:$B$344,MATCH(KOL_Source_Data!$H$8,Lookup_Lists!$A$340:$A$344,0)),Lookup_Lists!$D$141)*100,0)))</f>
      </c>
      <c r="AH8" s="18">
        <f>IF(NOT(ISNUMBER(KOL_Source_Data!$BS$8)),"N/A",MIN(100,MAX(0,KOL_Source_Data!$BS$8)))</f>
      </c>
      <c r="AI8" s="18">
        <f>IF(OR(NOT(ISNUMBER(KOL_Source_Data!$BM$8)),NOT(ISNUMBER(KOL_Source_Data!$BN$8)),KOL_Source_Data!$BN$8&lt;Lookup_Lists!$D$320),"N/A",MIN(100,ROUND(KOL_Source_Data!$BM$8/Lookup_Lists!$D$319*100,0)))</f>
      </c>
      <c r="AJ8" s="18">
        <f>IF(NOT(ISNUMBER(KOL_Source_Data!$BR$8)),"N/A",KOL_Source_Data!$BR$8)</f>
      </c>
      <c r="AK8" s="18">
        <f>IF(NOT(ISNUMBER(KOL_Source_Data!$BK$8)),"N/A",MIN(100,ROUND(KOL_Source_Data!$BK$8/Lookup_Lists!$D$321*100,0)))</f>
      </c>
      <c r="AL8" s="18">
        <f>IF(NOT(ISNUMBER(KOL_Source_Data!$BP$8)),"N/A",MIN(100,MAX(0,ROUND((KOL_Source_Data!$BP$8+2)/(Lookup_Lists!$D$145+2)*100,0))))</f>
      </c>
      <c r="AM8" s="29">
        <f>IF((IF(ISNUMBER(Matching_Engine!$AG$8),Lookup_Lists!$D$129,0)+IF(ISNUMBER(Matching_Engine!$AH$8),Lookup_Lists!$D$130,0)+IF(ISNUMBER(Matching_Engine!$AI$8),Lookup_Lists!$D$131,0)+IF(ISNUMBER(Matching_Engine!$AJ$8),Lookup_Lists!$D$132,0)+IF(ISNUMBER(Matching_Engine!$AK$8),Lookup_Lists!$D$133,0)+IF(ISNUMBER(Matching_Engine!$AL$8),Lookup_Lists!$D$134,0))=0,"N/A",ROUND((IF(ISNUMBER(Matching_Engine!$AG$8),Matching_Engine!$AG$8*Lookup_Lists!$D$129,0)+IF(ISNUMBER(Matching_Engine!$AH$8),Matching_Engine!$AH$8*Lookup_Lists!$D$130,0)+IF(ISNUMBER(Matching_Engine!$AI$8),Matching_Engine!$AI$8*Lookup_Lists!$D$131,0)+IF(ISNUMBER(Matching_Engine!$AJ$8),Matching_Engine!$AJ$8*Lookup_Lists!$D$132,0)+IF(ISNUMBER(Matching_Engine!$AK$8),Matching_Engine!$AK$8*Lookup_Lists!$D$133,0)+IF(ISNUMBER(Matching_Engine!$AL$8),Matching_Engine!$AL$8*Lookup_Lists!$D$134,0))/(IF(ISNUMBER(Matching_Engine!$AG$8),Lookup_Lists!$D$129,0)+IF(ISNUMBER(Matching_Engine!$AH$8),Lookup_Lists!$D$130,0)+IF(ISNUMBER(Matching_Engine!$AI$8),Lookup_Lists!$D$131,0)+IF(ISNUMBER(Matching_Engine!$AJ$8),Lookup_Lists!$D$132,0)+IF(ISNUMBER(Matching_Engine!$AK$8),Lookup_Lists!$D$133,0)+IF(ISNUMBER(Matching_Engine!$AL$8),Lookup_Lists!$D$134,0)),0))</f>
      </c>
      <c r="AN8" s="11">
        <f>IF(ISNUMBER(Matching_Engine!$AM$8),1,0)</f>
      </c>
      <c r="AO8" s="18">
        <f>IF(NOT(ISNUMBER(KOL_Source_Data!$BT$8)),"N/A",MIN(100,MAX(0,KOL_Source_Data!$BT$8)))</f>
      </c>
      <c r="AP8" s="18">
        <f>IF(NOT(ISNUMBER(KOL_Source_Data!$BU$8)),"N/A",MIN(100,MAX(0,KOL_Source_Data!$BU$8)))</f>
      </c>
      <c r="AQ8" s="18">
        <f>IF(KOL_Source_Data!$I$8="Yes",Lookup_Lists!$D$326,IF(KOL_Source_Data!$I$8="No",Lookup_Lists!$D$327,"N/A"))</f>
      </c>
      <c r="AR8" s="18">
        <f>IF(NOT(ISNUMBER(KOL_Source_Data!$BQ$8)),"N/A",MAX(0,ROUND(100-KOL_Source_Data!$BQ$8/Lookup_Lists!$D$328*100,0)))</f>
      </c>
      <c r="AS8" s="18">
        <f>IF(NOT(AND(ISTEXT(KOL_Source_Data!$BV$8),KOL_Source_Data!$BV$8&lt;&gt;"N/A")),"N/A",KOL_Source_Data!$BV$8)</f>
      </c>
      <c r="AT8" s="29">
        <f>IF((IF(ISNUMBER(Matching_Engine!$AO$8),Lookup_Lists!$D$322,0)+IF(ISNUMBER(Matching_Engine!$AP$8),Lookup_Lists!$D$323,0)+IF(ISNUMBER(Matching_Engine!$AQ$8),Lookup_Lists!$D$324,0)+IF(ISNUMBER(Matching_Engine!$AR$8),Lookup_Lists!$D$325,0))=0,"N/A",ROUND((IF(ISNUMBER(Matching_Engine!$AO$8),Matching_Engine!$AO$8*Lookup_Lists!$D$322,0)+IF(ISNUMBER(Matching_Engine!$AP$8),Matching_Engine!$AP$8*Lookup_Lists!$D$323,0)+IF(ISNUMBER(Matching_Engine!$AQ$8),Matching_Engine!$AQ$8*Lookup_Lists!$D$324,0)+IF(ISNUMBER(Matching_Engine!$AR$8),Matching_Engine!$AR$8*Lookup_Lists!$D$325,0))/(IF(ISNUMBER(Matching_Engine!$AO$8),Lookup_Lists!$D$322,0)+IF(ISNUMBER(Matching_Engine!$AP$8),Lookup_Lists!$D$323,0)+IF(ISNUMBER(Matching_Engine!$AQ$8),Lookup_Lists!$D$324,0)+IF(ISNUMBER(Matching_Engine!$AR$8),Lookup_Lists!$D$325,0)),0))</f>
      </c>
      <c r="AU8" s="11">
        <f>IF(ISNUMBER(Matching_Engine!$AT$8),1,0)</f>
      </c>
      <c r="AV8" s="11">
        <f>IF(NOT(ISNUMBER(Matching_Engine!$AT$8)),"Not Screened",IF(Matching_Engine!$AT$8&gt;=Lookup_Lists!$D$329,"Low Risk",IF(Matching_Engine!$AT$8&gt;=Lookup_Lists!$D$330,"Moderate Risk",IF(Matching_Engine!$AT$8&gt;=Lookup_Lists!$D$331,"Elevated Risk","High Risk"))))</f>
      </c>
      <c r="AW8" s="11">
        <f>IF(NOT(ISNUMBER(Matching_Engine!$AT$8)),"No integrity signal: no audience-analysis row for this account.","Integrity screen only — no content-risk reading exists (comments_analysis: 0 rows). "&amp;IF(ISNUMBER(Matching_Engine!$AO$8),"Authenticity "&amp;Matching_Engine!$AO$8&amp;". ","Authenticity N/A. ")&amp;IF(ISNUMBER(Matching_Engine!$AP$8),"Follower quality "&amp;Matching_Engine!$AP$8&amp;". ","Follower quality N/A. ")&amp;IF(KOL_Source_Data!$I$8="Yes","Platform-verified.","Not platform-verified."))</f>
      </c>
      <c r="AX8" s="18">
        <f>Matching_Engine!$N$8*Lookup_Lists!$D$104+Matching_Engine!$T$8*Lookup_Lists!$D$105+Matching_Engine!$Z$8*Lookup_Lists!$D$106+Matching_Engine!$AF$8*Lookup_Lists!$D$107+Matching_Engine!$AN$8*Lookup_Lists!$D$108+Matching_Engine!$AU$8*Lookup_Lists!$D$109</f>
      </c>
      <c r="AY8" s="30">
        <f>IF(Matching_Engine!$AX$8=0,"N/A",ROUND((IF(Matching_Engine!$N$8=1,Matching_Engine!$M$8*Lookup_Lists!$D$104,0)+IF(Matching_Engine!$T$8=1,Matching_Engine!$S$8*Lookup_Lists!$D$105,0)+IF(Matching_Engine!$Z$8=1,Matching_Engine!$Y$8*Lookup_Lists!$D$106,0)+IF(Matching_Engine!$AF$8=1,Matching_Engine!$AE$8*Lookup_Lists!$D$107,0)+IF(Matching_Engine!$AN$8=1,Matching_Engine!$AM$8*Lookup_Lists!$D$108,0)+IF(Matching_Engine!$AU$8=1,Matching_Engine!$AT$8*Lookup_Lists!$D$109,0))/Matching_Engine!$AX$8,0))</f>
      </c>
      <c r="AZ8" s="11">
        <f>IF(NOT(ISNUMBER(Matching_Engine!$AY$8)),"Not Scored",IF(Matching_Engine!$AY$8&gt;=Lookup_Lists!$D$152,"Excellent Match",IF(Matching_Engine!$AY$8&gt;=Lookup_Lists!$D$153,"Strong Match",IF(Matching_Engine!$AY$8&gt;=Lookup_Lists!$D$154,"Good Match",IF(Matching_Engine!$AY$8&gt;=Lookup_Lists!$D$155,"Moderate Match","Low Match")))))</f>
      </c>
      <c r="BA8" s="18">
        <f>KOL_Source_Data!$BW$8</f>
      </c>
      <c r="BB8" s="11">
        <f>KOL_Source_Data!$BX$8</f>
      </c>
      <c r="BC8" s="18">
        <f>IF(NOT(ISNUMBER(Matching_Engine!$AY$8)),-1,Matching_Engine!$AY$8*1000+22)</f>
      </c>
      <c r="BD8" s="11">
        <f>IF(AND(ISTEXT(KOL_Source_Data!$S$8),KOL_Source_Data!$S$8&lt;&gt;"N/A"),KOL_Source_Data!$S$8,"")&amp;" | "&amp;IF(AND(ISTEXT(KOL_Source_Data!$T$8),KOL_Source_Data!$T$8&lt;&gt;"N/A"),KOL_Source_Data!$T$8,"")&amp;" | "&amp;IF(AND(ISTEXT(KOL_Source_Data!$N$8),KOL_Source_Data!$N$8&lt;&gt;"N/A"),KOL_Source_Data!$N$8,"")&amp;" | "&amp;IF(AND(ISTEXT(KOL_Source_Data!$K$8),KOL_Source_Data!$K$8&lt;&gt;"N/A"),KOL_Source_Data!$K$8,"")&amp;" | "&amp;IF(AND(ISTEXT(KOL_Source_Data!$J$8),KOL_Source_Data!$J$8&lt;&gt;"N/A"),KOL_Source_Data!$J$8,"")</f>
      </c>
      <c r="BE8" s="11">
        <f>IF(AND(ISTEXT(KOL_Source_Data!$T$8),KOL_Source_Data!$T$8&lt;&gt;"N/A"),KOL_Source_Data!$T$8,"")&amp;" | "&amp;IF(AND(ISTEXT(KOL_Source_Data!$N$8),KOL_Source_Data!$N$8&lt;&gt;"N/A"),KOL_Source_Data!$N$8,"")&amp;" | "&amp;IF(AND(ISTEXT(KOL_Source_Data!$O$8),KOL_Source_Data!$O$8&lt;&gt;"N/A"),KOL_Source_Data!$O$8,"")&amp;" | "&amp;IF(AND(ISTEXT(KOL_Source_Data!$S$8),KOL_Source_Data!$S$8&lt;&gt;"N/A"),KOL_Source_Data!$S$8,"")</f>
      </c>
      <c r="BF8" s="11">
        <f>IF(AND(ISTEXT(KOL_Source_Data!$U$8),KOL_Source_Data!$U$8&lt;&gt;"N/A"),KOL_Source_Data!$U$8,"")</f>
      </c>
      <c r="BG8" s="11">
        <f>Matching_Engine!$A$8&amp;"|"&amp;Matching_Engine!$C$8</f>
      </c>
    </row>
    <row r="9" spans="1:59" x14ac:dyDescent="0.25">
      <c r="A9" s="10" t="s">
        <v>390</v>
      </c>
      <c r="B9" s="11">
        <f>Brand_Profile!$E$6</f>
      </c>
      <c r="C9" s="11">
        <f>KOL_Source_Data!$A$9</f>
      </c>
      <c r="D9" s="11">
        <f>KOL_Source_Data!$C$9</f>
      </c>
      <c r="E9" s="11">
        <f>KOL_Source_Data!$D$9</f>
      </c>
      <c r="F9" s="11">
        <f>KOL_Source_Data!$E$9</f>
      </c>
      <c r="G9" s="11">
        <f>KOL_Source_Data!$K$9</f>
      </c>
      <c r="H9" s="12">
        <f>KOL_Source_Data!$G$9</f>
      </c>
      <c r="I9" s="14">
        <f>KOL_Source_Data!$BG$9</f>
      </c>
      <c r="J9" s="18">
        <f>IF(NOT(AND(ISTEXT(KOL_Source_Data!$K$9),KOL_Source_Data!$K$9&lt;&gt;"N/A")),Lookup_Lists!$D$150,IF(Brand_Profile!$E$7=KOL_Source_Data!$K$9,100,IFERROR(INDEX(Lookup_Lists!$B$349:$J$357,MATCH(Brand_Profile!$E$7,Lookup_Lists!$A$349:$A$357,0),MATCH(KOL_Source_Data!$K$9,Lookup_Lists!$B$348:$J$348,0)),Lookup_Lists!$D$151)))</f>
      </c>
      <c r="K9" s="18">
        <f>IF(LEN(TRIM(SUBSTITUTE(Matching_Engine!$BD$9,"|","")))=0,"N/A",IF(Brand_Profile!$E$47=0,Lookup_Lists!$D$150,ROUND((IF(Brand_Profile!$E$41="",0,IF(ISNUMBER(SEARCH(Brand_Profile!$E$41,Matching_Engine!$BD$9)),1,0))+IF(Brand_Profile!$E$42="",0,IF(ISNUMBER(SEARCH(Brand_Profile!$E$42,Matching_Engine!$BD$9)),1,0))+IF(Brand_Profile!$E$43="",0,IF(ISNUMBER(SEARCH(Brand_Profile!$E$43,Matching_Engine!$BD$9)),1,0))+IF(Brand_Profile!$E$44="",0,IF(ISNUMBER(SEARCH(Brand_Profile!$E$44,Matching_Engine!$BD$9)),1,0))+IF(Brand_Profile!$E$45="",0,IF(ISNUMBER(SEARCH(Brand_Profile!$E$45,Matching_Engine!$BD$9)),1,0))+IF(Brand_Profile!$E$46="",0,IF(ISNUMBER(SEARCH(Brand_Profile!$E$46,Matching_Engine!$BD$9)),1,0)))/Brand_Profile!$E$47*100,0)))</f>
      </c>
      <c r="L9" s="18">
        <f>IF(NOT(AND(ISTEXT(KOL_Source_Data!$U$9),KOL_Source_Data!$U$9&lt;&gt;"N/A")),"N/A",IF(Brand_Profile!$E$53=0,Lookup_Lists!$D$150,ROUND((IF(Brand_Profile!$E$48="",0,IF(ISNUMBER(SEARCH(Brand_Profile!$E$48,Matching_Engine!$BF$9)),1,0))+IF(Brand_Profile!$E$49="",0,IF(ISNUMBER(SEARCH(Brand_Profile!$E$49,Matching_Engine!$BF$9)),1,0))+IF(Brand_Profile!$E$50="",0,IF(ISNUMBER(SEARCH(Brand_Profile!$E$50,Matching_Engine!$BF$9)),1,0))+IF(Brand_Profile!$E$51="",0,IF(ISNUMBER(SEARCH(Brand_Profile!$E$51,Matching_Engine!$BF$9)),1,0))+IF(Brand_Profile!$E$52="",0,IF(ISNUMBER(SEARCH(Brand_Profile!$E$52,Matching_Engine!$BF$9)),1,0)))/Brand_Profile!$E$53*100,0)))</f>
      </c>
      <c r="M9" s="29">
        <f>IF((IF(ISNUMBER(Matching_Engine!$J$9),Lookup_Lists!$D$332,0)+IF(ISNUMBER(Matching_Engine!$K$9),Lookup_Lists!$D$333,0)+IF(ISNUMBER(Matching_Engine!$L$9),Lookup_Lists!$D$334,0))=0,"N/A",ROUND((IF(ISNUMBER(Matching_Engine!$J$9),Matching_Engine!$J$9*Lookup_Lists!$D$332,0)+IF(ISNUMBER(Matching_Engine!$K$9),Matching_Engine!$K$9*Lookup_Lists!$D$333,0)+IF(ISNUMBER(Matching_Engine!$L$9),Matching_Engine!$L$9*Lookup_Lists!$D$334,0))/(IF(ISNUMBER(Matching_Engine!$J$9),Lookup_Lists!$D$332,0)+IF(ISNUMBER(Matching_Engine!$K$9),Lookup_Lists!$D$333,0)+IF(ISNUMBER(Matching_Engine!$L$9),Lookup_Lists!$D$334,0)),0))</f>
      </c>
      <c r="N9" s="11">
        <f>IF(ISNUMBER(Matching_Engine!$M$9),1,0)</f>
      </c>
      <c r="O9" s="18">
        <f>IF(NOT(ISNUMBER(IFERROR(INDEX(KOL_Source_Data!$V$9:KOL_Source_Data!$Z$9,1,MATCH(Brand_Profile!$E$11,Lookup_Lists!$F$6:$F$10,0)),""))),"N/A",MIN(100,ROUND((IFERROR(INDEX(KOL_Source_Data!$V$9:KOL_Source_Data!$Z$9,1,MATCH(Brand_Profile!$E$11,Lookup_Lists!$F$6:$F$10,0)),"")+0.5*IF(ISNUMBER(IFERROR(INDEX(KOL_Source_Data!$V$9:KOL_Source_Data!$Z$9,1,MATCH(Brand_Profile!$E$12,Lookup_Lists!$F$6:$F$10,0)),"")),IFERROR(INDEX(KOL_Source_Data!$V$9:KOL_Source_Data!$Z$9,1,MATCH(Brand_Profile!$E$12,Lookup_Lists!$F$6:$F$10,0)),""),0))/Lookup_Lists!$D$142*100,0)))</f>
      </c>
      <c r="P9" s="18">
        <f>IF(Brand_Profile!$E$13="Any",100,IF(NOT(ISNUMBER(KOL_Source_Data!$AA$9)),"N/A",IF(Brand_Profile!$E$13="Female",MIN(100,ROUND(KOL_Source_Data!$AA$9/Lookup_Lists!$D$143*100,0)),IF(Brand_Profile!$E$13="Male",MIN(100,ROUND(IF(ISNUMBER(KOL_Source_Data!$AB$9),KOL_Source_Data!$AB$9,100-KOL_Source_Data!$AA$9)/Lookup_Lists!$D$143*100,0)),MAX(0,ROUND(100-ABS(KOL_Source_Data!$AA$9-50)*2,0))))))</f>
      </c>
      <c r="Q9" s="18">
        <f>IF((IF(ISNUMBER(IF(NOT(ISNUMBER(KOL_Source_Data!$AE$9)),"N/A",IF(KOL_Source_Data!$AD$9&lt;&gt;Brand_Profile!$E$14,Lookup_Lists!$D$151,MIN(100,ROUND(KOL_Source_Data!$AE$9/Lookup_Lists!$D$316*100,0))))),Lookup_Lists!$D$118,0)+IF(ISNUMBER(IF(NOT(ISNUMBER(KOL_Source_Data!$AM$9)),"N/A",MIN(100,ROUND((IF(KOL_Source_Data!$AG$9=Brand_Profile!$E$15,IF(ISNUMBER(KOL_Source_Data!$AH$9),KOL_Source_Data!$AH$9,0),0)+IF(KOL_Source_Data!$AI$9=Brand_Profile!$E$15,IF(ISNUMBER(KOL_Source_Data!$AJ$9),KOL_Source_Data!$AJ$9,0),0)+IF(KOL_Source_Data!$AK$9=Brand_Profile!$E$15,IF(ISNUMBER(KOL_Source_Data!$AL$9),KOL_Source_Data!$AL$9,0),0))/Lookup_Lists!$D$317*100,0)))),Lookup_Lists!$D$120,0))=0,"N/A",ROUND((IF(ISNUMBER(IF(NOT(ISNUMBER(KOL_Source_Data!$AE$9)),"N/A",IF(KOL_Source_Data!$AD$9&lt;&gt;Brand_Profile!$E$14,Lookup_Lists!$D$151,MIN(100,ROUND(KOL_Source_Data!$AE$9/Lookup_Lists!$D$316*100,0))))),IF(NOT(ISNUMBER(KOL_Source_Data!$AE$9)),"N/A",IF(KOL_Source_Data!$AD$9&lt;&gt;Brand_Profile!$E$14,Lookup_Lists!$D$151,MIN(100,ROUND(KOL_Source_Data!$AE$9/Lookup_Lists!$D$316*100,0))))*Lookup_Lists!$D$118,0)+IF(ISNUMBER(IF(NOT(ISNUMBER(KOL_Source_Data!$AM$9)),"N/A",MIN(100,ROUND((IF(KOL_Source_Data!$AG$9=Brand_Profile!$E$15,IF(ISNUMBER(KOL_Source_Data!$AH$9),KOL_Source_Data!$AH$9,0),0)+IF(KOL_Source_Data!$AI$9=Brand_Profile!$E$15,IF(ISNUMBER(KOL_Source_Data!$AJ$9),KOL_Source_Data!$AJ$9,0),0)+IF(KOL_Source_Data!$AK$9=Brand_Profile!$E$15,IF(ISNUMBER(KOL_Source_Data!$AL$9),KOL_Source_Data!$AL$9,0),0))/Lookup_Lists!$D$317*100,0)))),IF(NOT(ISNUMBER(KOL_Source_Data!$AM$9)),"N/A",MIN(100,ROUND((IF(KOL_Source_Data!$AG$9=Brand_Profile!$E$15,IF(ISNUMBER(KOL_Source_Data!$AH$9),KOL_Source_Data!$AH$9,0),0)+IF(KOL_Source_Data!$AI$9=Brand_Profile!$E$15,IF(ISNUMBER(KOL_Source_Data!$AJ$9),KOL_Source_Data!$AJ$9,0),0)+IF(KOL_Source_Data!$AK$9=Brand_Profile!$E$15,IF(ISNUMBER(KOL_Source_Data!$AL$9),KOL_Source_Data!$AL$9,0),0))/Lookup_Lists!$D$317*100,0)))*Lookup_Lists!$D$120,0))/(IF(ISNUMBER(IF(NOT(ISNUMBER(KOL_Source_Data!$AE$9)),"N/A",IF(KOL_Source_Data!$AD$9&lt;&gt;Brand_Profile!$E$14,Lookup_Lists!$D$151,MIN(100,ROUND(KOL_Source_Data!$AE$9/Lookup_Lists!$D$316*100,0))))),Lookup_Lists!$D$118,0)+IF(ISNUMBER(IF(NOT(ISNUMBER(KOL_Source_Data!$AM$9)),"N/A",MIN(100,ROUND((IF(KOL_Source_Data!$AG$9=Brand_Profile!$E$15,IF(ISNUMBER(KOL_Source_Data!$AH$9),KOL_Source_Data!$AH$9,0),0)+IF(KOL_Source_Data!$AI$9=Brand_Profile!$E$15,IF(ISNUMBER(KOL_Source_Data!$AJ$9),KOL_Source_Data!$AJ$9,0),0)+IF(KOL_Source_Data!$AK$9=Brand_Profile!$E$15,IF(ISNUMBER(KOL_Source_Data!$AL$9),KOL_Source_Data!$AL$9,0),0))/Lookup_Lists!$D$317*100,0)))),Lookup_Lists!$D$120,0)),0))</f>
      </c>
      <c r="R9" s="18">
        <f>IF(NOT(ISNUMBER(KOL_Source_Data!$AN$9)),"N/A",MIN(100,ROUND((IF(ISNUMBER(KOL_Source_Data!$AO$9),KOL_Source_Data!$AO$9*Brand_Profile!$E$17,0)+IF(ISNUMBER(KOL_Source_Data!$AP$9),KOL_Source_Data!$AP$9*Brand_Profile!$E$18,0)+IF(ISNUMBER(KOL_Source_Data!$AQ$9),KOL_Source_Data!$AQ$9*Brand_Profile!$E$19,0)+IF(ISNUMBER(KOL_Source_Data!$AR$9),KOL_Source_Data!$AR$9*Brand_Profile!$E$20,0)+IF(ISNUMBER(KOL_Source_Data!$AS$9),KOL_Source_Data!$AS$9*Brand_Profile!$E$21,0)+IF(ISNUMBER(KOL_Source_Data!$AT$9),KOL_Source_Data!$AT$9*Brand_Profile!$E$22,0)+IF(ISNUMBER(KOL_Source_Data!$AU$9),KOL_Source_Data!$AU$9*Brand_Profile!$E$23,0)+IF(ISNUMBER(KOL_Source_Data!$AV$9),KOL_Source_Data!$AV$9*Brand_Profile!$E$24,0)+IF(ISNUMBER(KOL_Source_Data!$AW$9),KOL_Source_Data!$AW$9*Brand_Profile!$E$25,0)+IF(ISNUMBER(KOL_Source_Data!$AX$9),KOL_Source_Data!$AX$9*Brand_Profile!$E$26,0)+IF(ISNUMBER(KOL_Source_Data!$AY$9),KOL_Source_Data!$AY$9*Brand_Profile!$E$27,0)+IF(ISNUMBER(KOL_Source_Data!$AZ$9),KOL_Source_Data!$AZ$9*Brand_Profile!$E$28,0)+IF(ISNUMBER(KOL_Source_Data!$BA$9),KOL_Source_Data!$BA$9*Brand_Profile!$E$29,0)+IF(ISNUMBER(KOL_Source_Data!$BB$9),KOL_Source_Data!$BB$9*Brand_Profile!$E$30,0)+IF(ISNUMBER(KOL_Source_Data!$BC$9),KOL_Source_Data!$BC$9*Brand_Profile!$E$31,0)+IF(ISNUMBER(KOL_Source_Data!$BD$9),KOL_Source_Data!$BD$9*Brand_Profile!$E$32,0)+IF(ISNUMBER(KOL_Source_Data!$BE$9),KOL_Source_Data!$BE$9*Brand_Profile!$E$33,0)+IF(ISNUMBER(KOL_Source_Data!$BF$9),KOL_Source_Data!$BF$9*Brand_Profile!$E$34,0))/Lookup_Lists!$D$318*100,0)))</f>
      </c>
      <c r="S9" s="29">
        <f>IF((IF(ISNUMBER(Matching_Engine!$O$9),Lookup_Lists!$D$113,0)+IF(ISNUMBER(Matching_Engine!$P$9),Lookup_Lists!$D$114,0)+IF(ISNUMBER(Matching_Engine!$Q$9),Lookup_Lists!$D$115,0)+IF(ISNUMBER(Matching_Engine!$R$9),Lookup_Lists!$D$116,0))=0,"N/A",ROUND((IF(ISNUMBER(Matching_Engine!$O$9),Matching_Engine!$O$9*Lookup_Lists!$D$113,0)+IF(ISNUMBER(Matching_Engine!$P$9),Matching_Engine!$P$9*Lookup_Lists!$D$114,0)+IF(ISNUMBER(Matching_Engine!$Q$9),Matching_Engine!$Q$9*Lookup_Lists!$D$115,0)+IF(ISNUMBER(Matching_Engine!$R$9),Matching_Engine!$R$9*Lookup_Lists!$D$116,0))/(IF(ISNUMBER(Matching_Engine!$O$9),Lookup_Lists!$D$113,0)+IF(ISNUMBER(Matching_Engine!$P$9),Lookup_Lists!$D$114,0)+IF(ISNUMBER(Matching_Engine!$Q$9),Lookup_Lists!$D$115,0)+IF(ISNUMBER(Matching_Engine!$R$9),Lookup_Lists!$D$116,0)),0))</f>
      </c>
      <c r="T9" s="11">
        <f>IF(ISNUMBER(Matching_Engine!$S$9),1,0)</f>
      </c>
      <c r="U9" s="18">
        <f>IF(NOT(AND(ISTEXT(KOL_Source_Data!$M$9),KOL_Source_Data!$M$9&lt;&gt;"N/A")),Lookup_Lists!$D$150,IF(Brand_Profile!$E$7=KOL_Source_Data!$M$9,100,IFERROR(INDEX(Lookup_Lists!$B$349:$J$357,MATCH(Brand_Profile!$E$7,Lookup_Lists!$A$349:$A$357,0),MATCH(KOL_Source_Data!$M$9,Lookup_Lists!$B$348:$J$348,0)),Lookup_Lists!$D$151)))</f>
      </c>
      <c r="V9" s="18">
        <f>IF(NOT(AND(ISTEXT(KOL_Source_Data!$P$9),KOL_Source_Data!$P$9&lt;&gt;"N/A")),"N/A",IFERROR(INDEX(Lookup_Lists!$B$349:$J$357,MATCH(Brand_Profile!$E$7,Lookup_Lists!$A$349:$A$357,0),MATCH(KOL_Source_Data!$P$9,Lookup_Lists!$B$348:$J$348,0)),Lookup_Lists!$D$151))</f>
      </c>
      <c r="W9" s="18">
        <f>IF(LEN(TRIM(SUBSTITUTE(Matching_Engine!$BE$9,"|","")))=0,"N/A",IF(Brand_Profile!$E$60=0,Lookup_Lists!$D$150,ROUND((IF(Brand_Profile!$E$54="",0,IF(ISNUMBER(SEARCH(Brand_Profile!$E$54,Matching_Engine!$BE$9)),1,0))+IF(Brand_Profile!$E$55="",0,IF(ISNUMBER(SEARCH(Brand_Profile!$E$55,Matching_Engine!$BE$9)),1,0))+IF(Brand_Profile!$E$56="",0,IF(ISNUMBER(SEARCH(Brand_Profile!$E$56,Matching_Engine!$BE$9)),1,0))+IF(Brand_Profile!$E$57="",0,IF(ISNUMBER(SEARCH(Brand_Profile!$E$57,Matching_Engine!$BE$9)),1,0))+IF(Brand_Profile!$E$58="",0,IF(ISNUMBER(SEARCH(Brand_Profile!$E$58,Matching_Engine!$BE$9)),1,0))+IF(Brand_Profile!$E$59="",0,IF(ISNUMBER(SEARCH(Brand_Profile!$E$59,Matching_Engine!$BE$9)),1,0)))/Brand_Profile!$E$60*100,0)))</f>
      </c>
      <c r="X9" s="18">
        <f>IF(NOT(AND(ISTEXT(KOL_Source_Data!$Q$9),KOL_Source_Data!$Q$9&lt;&gt;"N/A")),"N/A",Lookup_Lists!$D$150)</f>
      </c>
      <c r="Y9" s="29">
        <f>IF((IF(ISNUMBER(Matching_Engine!$U$9),Lookup_Lists!$D$335,0)+IF(ISNUMBER(Matching_Engine!$V$9),Lookup_Lists!$D$122,0)+IF(ISNUMBER(Matching_Engine!$W$9),Lookup_Lists!$D$336,0)+IF(ISNUMBER(Matching_Engine!$X$9),Lookup_Lists!$D$124,0))=0,"N/A",ROUND((IF(ISNUMBER(Matching_Engine!$U$9),Matching_Engine!$U$9*Lookup_Lists!$D$335,0)+IF(ISNUMBER(Matching_Engine!$V$9),Matching_Engine!$V$9*Lookup_Lists!$D$122,0)+IF(ISNUMBER(Matching_Engine!$W$9),Matching_Engine!$W$9*Lookup_Lists!$D$336,0)+IF(ISNUMBER(Matching_Engine!$X$9),Matching_Engine!$X$9*Lookup_Lists!$D$124,0))/(IF(ISNUMBER(Matching_Engine!$U$9),Lookup_Lists!$D$335,0)+IF(ISNUMBER(Matching_Engine!$V$9),Lookup_Lists!$D$122,0)+IF(ISNUMBER(Matching_Engine!$W$9),Lookup_Lists!$D$336,0)+IF(ISNUMBER(Matching_Engine!$X$9),Lookup_Lists!$D$124,0)),0))</f>
      </c>
      <c r="Z9" s="11">
        <f>IF(ISNUMBER(Matching_Engine!$Y$9),1,0)</f>
      </c>
      <c r="AA9" s="18">
        <f>IF(NOT(AND(ISTEXT(KOL_Source_Data!$Q$9),KOL_Source_Data!$Q$9&lt;&gt;"N/A")),"N/A",Lookup_Lists!$D$150)</f>
      </c>
      <c r="AB9" s="18">
        <f>IF(NOT(AND(ISTEXT(KOL_Source_Data!$Q$9),KOL_Source_Data!$Q$9&lt;&gt;"N/A")),"N/A",Lookup_Lists!$D$150)</f>
      </c>
      <c r="AC9" s="18">
        <f>"N/A"</f>
      </c>
      <c r="AD9" s="18">
        <f>IF(NOT(AND(ISTEXT(KOL_Source_Data!$Q$9),KOL_Source_Data!$Q$9&lt;&gt;"N/A")),"N/A",Lookup_Lists!$D$150)</f>
      </c>
      <c r="AE9" s="29">
        <f>IF((IF(ISNUMBER(Matching_Engine!$AA$9),Lookup_Lists!$D$125,0)+IF(ISNUMBER(Matching_Engine!$AB$9),Lookup_Lists!$D$126,0)+IF(ISNUMBER(Matching_Engine!$AC$9),Lookup_Lists!$D$127,0)+IF(ISNUMBER(Matching_Engine!$AD$9),Lookup_Lists!$D$128,0))=0,"N/A",ROUND((IF(ISNUMBER(Matching_Engine!$AA$9),Matching_Engine!$AA$9*Lookup_Lists!$D$125,0)+IF(ISNUMBER(Matching_Engine!$AB$9),Matching_Engine!$AB$9*Lookup_Lists!$D$126,0)+IF(ISNUMBER(Matching_Engine!$AC$9),Matching_Engine!$AC$9*Lookup_Lists!$D$127,0)+IF(ISNUMBER(Matching_Engine!$AD$9),Matching_Engine!$AD$9*Lookup_Lists!$D$128,0))/(IF(ISNUMBER(Matching_Engine!$AA$9),Lookup_Lists!$D$125,0)+IF(ISNUMBER(Matching_Engine!$AB$9),Lookup_Lists!$D$126,0)+IF(ISNUMBER(Matching_Engine!$AC$9),Lookup_Lists!$D$127,0)+IF(ISNUMBER(Matching_Engine!$AD$9),Lookup_Lists!$D$128,0)),0))</f>
      </c>
      <c r="AF9" s="11">
        <f>IF(ISNUMBER(Matching_Engine!$AE$9),1,0)</f>
      </c>
      <c r="AG9" s="18">
        <f>IF(NOT(ISNUMBER(KOL_Source_Data!$BG$9)),"N/A",MIN(100,ROUND(KOL_Source_Data!$BG$9/IFERROR(INDEX(Lookup_Lists!$B$340:$B$344,MATCH(KOL_Source_Data!$H$9,Lookup_Lists!$A$340:$A$344,0)),Lookup_Lists!$D$141)*100,0)))</f>
      </c>
      <c r="AH9" s="18">
        <f>IF(NOT(ISNUMBER(KOL_Source_Data!$BS$9)),"N/A",MIN(100,MAX(0,KOL_Source_Data!$BS$9)))</f>
      </c>
      <c r="AI9" s="18">
        <f>IF(OR(NOT(ISNUMBER(KOL_Source_Data!$BM$9)),NOT(ISNUMBER(KOL_Source_Data!$BN$9)),KOL_Source_Data!$BN$9&lt;Lookup_Lists!$D$320),"N/A",MIN(100,ROUND(KOL_Source_Data!$BM$9/Lookup_Lists!$D$319*100,0)))</f>
      </c>
      <c r="AJ9" s="18">
        <f>IF(NOT(ISNUMBER(KOL_Source_Data!$BR$9)),"N/A",KOL_Source_Data!$BR$9)</f>
      </c>
      <c r="AK9" s="18">
        <f>IF(NOT(ISNUMBER(KOL_Source_Data!$BK$9)),"N/A",MIN(100,ROUND(KOL_Source_Data!$BK$9/Lookup_Lists!$D$321*100,0)))</f>
      </c>
      <c r="AL9" s="18">
        <f>IF(NOT(ISNUMBER(KOL_Source_Data!$BP$9)),"N/A",MIN(100,MAX(0,ROUND((KOL_Source_Data!$BP$9+2)/(Lookup_Lists!$D$145+2)*100,0))))</f>
      </c>
      <c r="AM9" s="29">
        <f>IF((IF(ISNUMBER(Matching_Engine!$AG$9),Lookup_Lists!$D$129,0)+IF(ISNUMBER(Matching_Engine!$AH$9),Lookup_Lists!$D$130,0)+IF(ISNUMBER(Matching_Engine!$AI$9),Lookup_Lists!$D$131,0)+IF(ISNUMBER(Matching_Engine!$AJ$9),Lookup_Lists!$D$132,0)+IF(ISNUMBER(Matching_Engine!$AK$9),Lookup_Lists!$D$133,0)+IF(ISNUMBER(Matching_Engine!$AL$9),Lookup_Lists!$D$134,0))=0,"N/A",ROUND((IF(ISNUMBER(Matching_Engine!$AG$9),Matching_Engine!$AG$9*Lookup_Lists!$D$129,0)+IF(ISNUMBER(Matching_Engine!$AH$9),Matching_Engine!$AH$9*Lookup_Lists!$D$130,0)+IF(ISNUMBER(Matching_Engine!$AI$9),Matching_Engine!$AI$9*Lookup_Lists!$D$131,0)+IF(ISNUMBER(Matching_Engine!$AJ$9),Matching_Engine!$AJ$9*Lookup_Lists!$D$132,0)+IF(ISNUMBER(Matching_Engine!$AK$9),Matching_Engine!$AK$9*Lookup_Lists!$D$133,0)+IF(ISNUMBER(Matching_Engine!$AL$9),Matching_Engine!$AL$9*Lookup_Lists!$D$134,0))/(IF(ISNUMBER(Matching_Engine!$AG$9),Lookup_Lists!$D$129,0)+IF(ISNUMBER(Matching_Engine!$AH$9),Lookup_Lists!$D$130,0)+IF(ISNUMBER(Matching_Engine!$AI$9),Lookup_Lists!$D$131,0)+IF(ISNUMBER(Matching_Engine!$AJ$9),Lookup_Lists!$D$132,0)+IF(ISNUMBER(Matching_Engine!$AK$9),Lookup_Lists!$D$133,0)+IF(ISNUMBER(Matching_Engine!$AL$9),Lookup_Lists!$D$134,0)),0))</f>
      </c>
      <c r="AN9" s="11">
        <f>IF(ISNUMBER(Matching_Engine!$AM$9),1,0)</f>
      </c>
      <c r="AO9" s="18">
        <f>IF(NOT(ISNUMBER(KOL_Source_Data!$BT$9)),"N/A",MIN(100,MAX(0,KOL_Source_Data!$BT$9)))</f>
      </c>
      <c r="AP9" s="18">
        <f>IF(NOT(ISNUMBER(KOL_Source_Data!$BU$9)),"N/A",MIN(100,MAX(0,KOL_Source_Data!$BU$9)))</f>
      </c>
      <c r="AQ9" s="18">
        <f>IF(KOL_Source_Data!$I$9="Yes",Lookup_Lists!$D$326,IF(KOL_Source_Data!$I$9="No",Lookup_Lists!$D$327,"N/A"))</f>
      </c>
      <c r="AR9" s="18">
        <f>IF(NOT(ISNUMBER(KOL_Source_Data!$BQ$9)),"N/A",MAX(0,ROUND(100-KOL_Source_Data!$BQ$9/Lookup_Lists!$D$328*100,0)))</f>
      </c>
      <c r="AS9" s="18">
        <f>IF(NOT(AND(ISTEXT(KOL_Source_Data!$BV$9),KOL_Source_Data!$BV$9&lt;&gt;"N/A")),"N/A",KOL_Source_Data!$BV$9)</f>
      </c>
      <c r="AT9" s="29">
        <f>IF((IF(ISNUMBER(Matching_Engine!$AO$9),Lookup_Lists!$D$322,0)+IF(ISNUMBER(Matching_Engine!$AP$9),Lookup_Lists!$D$323,0)+IF(ISNUMBER(Matching_Engine!$AQ$9),Lookup_Lists!$D$324,0)+IF(ISNUMBER(Matching_Engine!$AR$9),Lookup_Lists!$D$325,0))=0,"N/A",ROUND((IF(ISNUMBER(Matching_Engine!$AO$9),Matching_Engine!$AO$9*Lookup_Lists!$D$322,0)+IF(ISNUMBER(Matching_Engine!$AP$9),Matching_Engine!$AP$9*Lookup_Lists!$D$323,0)+IF(ISNUMBER(Matching_Engine!$AQ$9),Matching_Engine!$AQ$9*Lookup_Lists!$D$324,0)+IF(ISNUMBER(Matching_Engine!$AR$9),Matching_Engine!$AR$9*Lookup_Lists!$D$325,0))/(IF(ISNUMBER(Matching_Engine!$AO$9),Lookup_Lists!$D$322,0)+IF(ISNUMBER(Matching_Engine!$AP$9),Lookup_Lists!$D$323,0)+IF(ISNUMBER(Matching_Engine!$AQ$9),Lookup_Lists!$D$324,0)+IF(ISNUMBER(Matching_Engine!$AR$9),Lookup_Lists!$D$325,0)),0))</f>
      </c>
      <c r="AU9" s="11">
        <f>IF(ISNUMBER(Matching_Engine!$AT$9),1,0)</f>
      </c>
      <c r="AV9" s="11">
        <f>IF(NOT(ISNUMBER(Matching_Engine!$AT$9)),"Not Screened",IF(Matching_Engine!$AT$9&gt;=Lookup_Lists!$D$329,"Low Risk",IF(Matching_Engine!$AT$9&gt;=Lookup_Lists!$D$330,"Moderate Risk",IF(Matching_Engine!$AT$9&gt;=Lookup_Lists!$D$331,"Elevated Risk","High Risk"))))</f>
      </c>
      <c r="AW9" s="11">
        <f>IF(NOT(ISNUMBER(Matching_Engine!$AT$9)),"No integrity signal: no audience-analysis row for this account.","Integrity screen only — no content-risk reading exists (comments_analysis: 0 rows). "&amp;IF(ISNUMBER(Matching_Engine!$AO$9),"Authenticity "&amp;Matching_Engine!$AO$9&amp;". ","Authenticity N/A. ")&amp;IF(ISNUMBER(Matching_Engine!$AP$9),"Follower quality "&amp;Matching_Engine!$AP$9&amp;". ","Follower quality N/A. ")&amp;IF(KOL_Source_Data!$I$9="Yes","Platform-verified.","Not platform-verified."))</f>
      </c>
      <c r="AX9" s="18">
        <f>Matching_Engine!$N$9*Lookup_Lists!$D$104+Matching_Engine!$T$9*Lookup_Lists!$D$105+Matching_Engine!$Z$9*Lookup_Lists!$D$106+Matching_Engine!$AF$9*Lookup_Lists!$D$107+Matching_Engine!$AN$9*Lookup_Lists!$D$108+Matching_Engine!$AU$9*Lookup_Lists!$D$109</f>
      </c>
      <c r="AY9" s="30">
        <f>IF(Matching_Engine!$AX$9=0,"N/A",ROUND((IF(Matching_Engine!$N$9=1,Matching_Engine!$M$9*Lookup_Lists!$D$104,0)+IF(Matching_Engine!$T$9=1,Matching_Engine!$S$9*Lookup_Lists!$D$105,0)+IF(Matching_Engine!$Z$9=1,Matching_Engine!$Y$9*Lookup_Lists!$D$106,0)+IF(Matching_Engine!$AF$9=1,Matching_Engine!$AE$9*Lookup_Lists!$D$107,0)+IF(Matching_Engine!$AN$9=1,Matching_Engine!$AM$9*Lookup_Lists!$D$108,0)+IF(Matching_Engine!$AU$9=1,Matching_Engine!$AT$9*Lookup_Lists!$D$109,0))/Matching_Engine!$AX$9,0))</f>
      </c>
      <c r="AZ9" s="11">
        <f>IF(NOT(ISNUMBER(Matching_Engine!$AY$9)),"Not Scored",IF(Matching_Engine!$AY$9&gt;=Lookup_Lists!$D$152,"Excellent Match",IF(Matching_Engine!$AY$9&gt;=Lookup_Lists!$D$153,"Strong Match",IF(Matching_Engine!$AY$9&gt;=Lookup_Lists!$D$154,"Good Match",IF(Matching_Engine!$AY$9&gt;=Lookup_Lists!$D$155,"Moderate Match","Low Match")))))</f>
      </c>
      <c r="BA9" s="18">
        <f>KOL_Source_Data!$BW$9</f>
      </c>
      <c r="BB9" s="11">
        <f>KOL_Source_Data!$BX$9</f>
      </c>
      <c r="BC9" s="18">
        <f>IF(NOT(ISNUMBER(Matching_Engine!$AY$9)),-1,Matching_Engine!$AY$9*1000+21)</f>
      </c>
      <c r="BD9" s="11">
        <f>IF(AND(ISTEXT(KOL_Source_Data!$S$9),KOL_Source_Data!$S$9&lt;&gt;"N/A"),KOL_Source_Data!$S$9,"")&amp;" | "&amp;IF(AND(ISTEXT(KOL_Source_Data!$T$9),KOL_Source_Data!$T$9&lt;&gt;"N/A"),KOL_Source_Data!$T$9,"")&amp;" | "&amp;IF(AND(ISTEXT(KOL_Source_Data!$N$9),KOL_Source_Data!$N$9&lt;&gt;"N/A"),KOL_Source_Data!$N$9,"")&amp;" | "&amp;IF(AND(ISTEXT(KOL_Source_Data!$K$9),KOL_Source_Data!$K$9&lt;&gt;"N/A"),KOL_Source_Data!$K$9,"")&amp;" | "&amp;IF(AND(ISTEXT(KOL_Source_Data!$J$9),KOL_Source_Data!$J$9&lt;&gt;"N/A"),KOL_Source_Data!$J$9,"")</f>
      </c>
      <c r="BE9" s="11">
        <f>IF(AND(ISTEXT(KOL_Source_Data!$T$9),KOL_Source_Data!$T$9&lt;&gt;"N/A"),KOL_Source_Data!$T$9,"")&amp;" | "&amp;IF(AND(ISTEXT(KOL_Source_Data!$N$9),KOL_Source_Data!$N$9&lt;&gt;"N/A"),KOL_Source_Data!$N$9,"")&amp;" | "&amp;IF(AND(ISTEXT(KOL_Source_Data!$O$9),KOL_Source_Data!$O$9&lt;&gt;"N/A"),KOL_Source_Data!$O$9,"")&amp;" | "&amp;IF(AND(ISTEXT(KOL_Source_Data!$S$9),KOL_Source_Data!$S$9&lt;&gt;"N/A"),KOL_Source_Data!$S$9,"")</f>
      </c>
      <c r="BF9" s="11">
        <f>IF(AND(ISTEXT(KOL_Source_Data!$U$9),KOL_Source_Data!$U$9&lt;&gt;"N/A"),KOL_Source_Data!$U$9,"")</f>
      </c>
      <c r="BG9" s="11">
        <f>Matching_Engine!$A$9&amp;"|"&amp;Matching_Engine!$C$9</f>
      </c>
    </row>
    <row r="10" spans="1:59" x14ac:dyDescent="0.25">
      <c r="A10" s="10" t="s">
        <v>390</v>
      </c>
      <c r="B10" s="11">
        <f>Brand_Profile!$E$6</f>
      </c>
      <c r="C10" s="11">
        <f>KOL_Source_Data!$A$10</f>
      </c>
      <c r="D10" s="11">
        <f>KOL_Source_Data!$C$10</f>
      </c>
      <c r="E10" s="11">
        <f>KOL_Source_Data!$D$10</f>
      </c>
      <c r="F10" s="11">
        <f>KOL_Source_Data!$E$10</f>
      </c>
      <c r="G10" s="11">
        <f>KOL_Source_Data!$K$10</f>
      </c>
      <c r="H10" s="12">
        <f>KOL_Source_Data!$G$10</f>
      </c>
      <c r="I10" s="14">
        <f>KOL_Source_Data!$BG$10</f>
      </c>
      <c r="J10" s="18">
        <f>IF(NOT(AND(ISTEXT(KOL_Source_Data!$K$10),KOL_Source_Data!$K$10&lt;&gt;"N/A")),Lookup_Lists!$D$150,IF(Brand_Profile!$E$7=KOL_Source_Data!$K$10,100,IFERROR(INDEX(Lookup_Lists!$B$349:$J$357,MATCH(Brand_Profile!$E$7,Lookup_Lists!$A$349:$A$357,0),MATCH(KOL_Source_Data!$K$10,Lookup_Lists!$B$348:$J$348,0)),Lookup_Lists!$D$151)))</f>
      </c>
      <c r="K10" s="18">
        <f>IF(LEN(TRIM(SUBSTITUTE(Matching_Engine!$BD$10,"|","")))=0,"N/A",IF(Brand_Profile!$E$47=0,Lookup_Lists!$D$150,ROUND((IF(Brand_Profile!$E$41="",0,IF(ISNUMBER(SEARCH(Brand_Profile!$E$41,Matching_Engine!$BD$10)),1,0))+IF(Brand_Profile!$E$42="",0,IF(ISNUMBER(SEARCH(Brand_Profile!$E$42,Matching_Engine!$BD$10)),1,0))+IF(Brand_Profile!$E$43="",0,IF(ISNUMBER(SEARCH(Brand_Profile!$E$43,Matching_Engine!$BD$10)),1,0))+IF(Brand_Profile!$E$44="",0,IF(ISNUMBER(SEARCH(Brand_Profile!$E$44,Matching_Engine!$BD$10)),1,0))+IF(Brand_Profile!$E$45="",0,IF(ISNUMBER(SEARCH(Brand_Profile!$E$45,Matching_Engine!$BD$10)),1,0))+IF(Brand_Profile!$E$46="",0,IF(ISNUMBER(SEARCH(Brand_Profile!$E$46,Matching_Engine!$BD$10)),1,0)))/Brand_Profile!$E$47*100,0)))</f>
      </c>
      <c r="L10" s="18">
        <f>IF(NOT(AND(ISTEXT(KOL_Source_Data!$U$10),KOL_Source_Data!$U$10&lt;&gt;"N/A")),"N/A",IF(Brand_Profile!$E$53=0,Lookup_Lists!$D$150,ROUND((IF(Brand_Profile!$E$48="",0,IF(ISNUMBER(SEARCH(Brand_Profile!$E$48,Matching_Engine!$BF$10)),1,0))+IF(Brand_Profile!$E$49="",0,IF(ISNUMBER(SEARCH(Brand_Profile!$E$49,Matching_Engine!$BF$10)),1,0))+IF(Brand_Profile!$E$50="",0,IF(ISNUMBER(SEARCH(Brand_Profile!$E$50,Matching_Engine!$BF$10)),1,0))+IF(Brand_Profile!$E$51="",0,IF(ISNUMBER(SEARCH(Brand_Profile!$E$51,Matching_Engine!$BF$10)),1,0))+IF(Brand_Profile!$E$52="",0,IF(ISNUMBER(SEARCH(Brand_Profile!$E$52,Matching_Engine!$BF$10)),1,0)))/Brand_Profile!$E$53*100,0)))</f>
      </c>
      <c r="M10" s="29">
        <f>IF((IF(ISNUMBER(Matching_Engine!$J$10),Lookup_Lists!$D$332,0)+IF(ISNUMBER(Matching_Engine!$K$10),Lookup_Lists!$D$333,0)+IF(ISNUMBER(Matching_Engine!$L$10),Lookup_Lists!$D$334,0))=0,"N/A",ROUND((IF(ISNUMBER(Matching_Engine!$J$10),Matching_Engine!$J$10*Lookup_Lists!$D$332,0)+IF(ISNUMBER(Matching_Engine!$K$10),Matching_Engine!$K$10*Lookup_Lists!$D$333,0)+IF(ISNUMBER(Matching_Engine!$L$10),Matching_Engine!$L$10*Lookup_Lists!$D$334,0))/(IF(ISNUMBER(Matching_Engine!$J$10),Lookup_Lists!$D$332,0)+IF(ISNUMBER(Matching_Engine!$K$10),Lookup_Lists!$D$333,0)+IF(ISNUMBER(Matching_Engine!$L$10),Lookup_Lists!$D$334,0)),0))</f>
      </c>
      <c r="N10" s="11">
        <f>IF(ISNUMBER(Matching_Engine!$M$10),1,0)</f>
      </c>
      <c r="O10" s="18">
        <f>IF(NOT(ISNUMBER(IFERROR(INDEX(KOL_Source_Data!$V$10:KOL_Source_Data!$Z$10,1,MATCH(Brand_Profile!$E$11,Lookup_Lists!$F$6:$F$10,0)),""))),"N/A",MIN(100,ROUND((IFERROR(INDEX(KOL_Source_Data!$V$10:KOL_Source_Data!$Z$10,1,MATCH(Brand_Profile!$E$11,Lookup_Lists!$F$6:$F$10,0)),"")+0.5*IF(ISNUMBER(IFERROR(INDEX(KOL_Source_Data!$V$10:KOL_Source_Data!$Z$10,1,MATCH(Brand_Profile!$E$12,Lookup_Lists!$F$6:$F$10,0)),"")),IFERROR(INDEX(KOL_Source_Data!$V$10:KOL_Source_Data!$Z$10,1,MATCH(Brand_Profile!$E$12,Lookup_Lists!$F$6:$F$10,0)),""),0))/Lookup_Lists!$D$142*100,0)))</f>
      </c>
      <c r="P10" s="18">
        <f>IF(Brand_Profile!$E$13="Any",100,IF(NOT(ISNUMBER(KOL_Source_Data!$AA$10)),"N/A",IF(Brand_Profile!$E$13="Female",MIN(100,ROUND(KOL_Source_Data!$AA$10/Lookup_Lists!$D$143*100,0)),IF(Brand_Profile!$E$13="Male",MIN(100,ROUND(IF(ISNUMBER(KOL_Source_Data!$AB$10),KOL_Source_Data!$AB$10,100-KOL_Source_Data!$AA$10)/Lookup_Lists!$D$143*100,0)),MAX(0,ROUND(100-ABS(KOL_Source_Data!$AA$10-50)*2,0))))))</f>
      </c>
      <c r="Q10" s="18">
        <f>IF((IF(ISNUMBER(IF(NOT(ISNUMBER(KOL_Source_Data!$AE$10)),"N/A",IF(KOL_Source_Data!$AD$10&lt;&gt;Brand_Profile!$E$14,Lookup_Lists!$D$151,MIN(100,ROUND(KOL_Source_Data!$AE$10/Lookup_Lists!$D$316*100,0))))),Lookup_Lists!$D$118,0)+IF(ISNUMBER(IF(NOT(ISNUMBER(KOL_Source_Data!$AM$10)),"N/A",MIN(100,ROUND((IF(KOL_Source_Data!$AG$10=Brand_Profile!$E$15,IF(ISNUMBER(KOL_Source_Data!$AH$10),KOL_Source_Data!$AH$10,0),0)+IF(KOL_Source_Data!$AI$10=Brand_Profile!$E$15,IF(ISNUMBER(KOL_Source_Data!$AJ$10),KOL_Source_Data!$AJ$10,0),0)+IF(KOL_Source_Data!$AK$10=Brand_Profile!$E$15,IF(ISNUMBER(KOL_Source_Data!$AL$10),KOL_Source_Data!$AL$10,0),0))/Lookup_Lists!$D$317*100,0)))),Lookup_Lists!$D$120,0))=0,"N/A",ROUND((IF(ISNUMBER(IF(NOT(ISNUMBER(KOL_Source_Data!$AE$10)),"N/A",IF(KOL_Source_Data!$AD$10&lt;&gt;Brand_Profile!$E$14,Lookup_Lists!$D$151,MIN(100,ROUND(KOL_Source_Data!$AE$10/Lookup_Lists!$D$316*100,0))))),IF(NOT(ISNUMBER(KOL_Source_Data!$AE$10)),"N/A",IF(KOL_Source_Data!$AD$10&lt;&gt;Brand_Profile!$E$14,Lookup_Lists!$D$151,MIN(100,ROUND(KOL_Source_Data!$AE$10/Lookup_Lists!$D$316*100,0))))*Lookup_Lists!$D$118,0)+IF(ISNUMBER(IF(NOT(ISNUMBER(KOL_Source_Data!$AM$10)),"N/A",MIN(100,ROUND((IF(KOL_Source_Data!$AG$10=Brand_Profile!$E$15,IF(ISNUMBER(KOL_Source_Data!$AH$10),KOL_Source_Data!$AH$10,0),0)+IF(KOL_Source_Data!$AI$10=Brand_Profile!$E$15,IF(ISNUMBER(KOL_Source_Data!$AJ$10),KOL_Source_Data!$AJ$10,0),0)+IF(KOL_Source_Data!$AK$10=Brand_Profile!$E$15,IF(ISNUMBER(KOL_Source_Data!$AL$10),KOL_Source_Data!$AL$10,0),0))/Lookup_Lists!$D$317*100,0)))),IF(NOT(ISNUMBER(KOL_Source_Data!$AM$10)),"N/A",MIN(100,ROUND((IF(KOL_Source_Data!$AG$10=Brand_Profile!$E$15,IF(ISNUMBER(KOL_Source_Data!$AH$10),KOL_Source_Data!$AH$10,0),0)+IF(KOL_Source_Data!$AI$10=Brand_Profile!$E$15,IF(ISNUMBER(KOL_Source_Data!$AJ$10),KOL_Source_Data!$AJ$10,0),0)+IF(KOL_Source_Data!$AK$10=Brand_Profile!$E$15,IF(ISNUMBER(KOL_Source_Data!$AL$10),KOL_Source_Data!$AL$10,0),0))/Lookup_Lists!$D$317*100,0)))*Lookup_Lists!$D$120,0))/(IF(ISNUMBER(IF(NOT(ISNUMBER(KOL_Source_Data!$AE$10)),"N/A",IF(KOL_Source_Data!$AD$10&lt;&gt;Brand_Profile!$E$14,Lookup_Lists!$D$151,MIN(100,ROUND(KOL_Source_Data!$AE$10/Lookup_Lists!$D$316*100,0))))),Lookup_Lists!$D$118,0)+IF(ISNUMBER(IF(NOT(ISNUMBER(KOL_Source_Data!$AM$10)),"N/A",MIN(100,ROUND((IF(KOL_Source_Data!$AG$10=Brand_Profile!$E$15,IF(ISNUMBER(KOL_Source_Data!$AH$10),KOL_Source_Data!$AH$10,0),0)+IF(KOL_Source_Data!$AI$10=Brand_Profile!$E$15,IF(ISNUMBER(KOL_Source_Data!$AJ$10),KOL_Source_Data!$AJ$10,0),0)+IF(KOL_Source_Data!$AK$10=Brand_Profile!$E$15,IF(ISNUMBER(KOL_Source_Data!$AL$10),KOL_Source_Data!$AL$10,0),0))/Lookup_Lists!$D$317*100,0)))),Lookup_Lists!$D$120,0)),0))</f>
      </c>
      <c r="R10" s="18">
        <f>IF(NOT(ISNUMBER(KOL_Source_Data!$AN$10)),"N/A",MIN(100,ROUND((IF(ISNUMBER(KOL_Source_Data!$AO$10),KOL_Source_Data!$AO$10*Brand_Profile!$E$17,0)+IF(ISNUMBER(KOL_Source_Data!$AP$10),KOL_Source_Data!$AP$10*Brand_Profile!$E$18,0)+IF(ISNUMBER(KOL_Source_Data!$AQ$10),KOL_Source_Data!$AQ$10*Brand_Profile!$E$19,0)+IF(ISNUMBER(KOL_Source_Data!$AR$10),KOL_Source_Data!$AR$10*Brand_Profile!$E$20,0)+IF(ISNUMBER(KOL_Source_Data!$AS$10),KOL_Source_Data!$AS$10*Brand_Profile!$E$21,0)+IF(ISNUMBER(KOL_Source_Data!$AT$10),KOL_Source_Data!$AT$10*Brand_Profile!$E$22,0)+IF(ISNUMBER(KOL_Source_Data!$AU$10),KOL_Source_Data!$AU$10*Brand_Profile!$E$23,0)+IF(ISNUMBER(KOL_Source_Data!$AV$10),KOL_Source_Data!$AV$10*Brand_Profile!$E$24,0)+IF(ISNUMBER(KOL_Source_Data!$AW$10),KOL_Source_Data!$AW$10*Brand_Profile!$E$25,0)+IF(ISNUMBER(KOL_Source_Data!$AX$10),KOL_Source_Data!$AX$10*Brand_Profile!$E$26,0)+IF(ISNUMBER(KOL_Source_Data!$AY$10),KOL_Source_Data!$AY$10*Brand_Profile!$E$27,0)+IF(ISNUMBER(KOL_Source_Data!$AZ$10),KOL_Source_Data!$AZ$10*Brand_Profile!$E$28,0)+IF(ISNUMBER(KOL_Source_Data!$BA$10),KOL_Source_Data!$BA$10*Brand_Profile!$E$29,0)+IF(ISNUMBER(KOL_Source_Data!$BB$10),KOL_Source_Data!$BB$10*Brand_Profile!$E$30,0)+IF(ISNUMBER(KOL_Source_Data!$BC$10),KOL_Source_Data!$BC$10*Brand_Profile!$E$31,0)+IF(ISNUMBER(KOL_Source_Data!$BD$10),KOL_Source_Data!$BD$10*Brand_Profile!$E$32,0)+IF(ISNUMBER(KOL_Source_Data!$BE$10),KOL_Source_Data!$BE$10*Brand_Profile!$E$33,0)+IF(ISNUMBER(KOL_Source_Data!$BF$10),KOL_Source_Data!$BF$10*Brand_Profile!$E$34,0))/Lookup_Lists!$D$318*100,0)))</f>
      </c>
      <c r="S10" s="29">
        <f>IF((IF(ISNUMBER(Matching_Engine!$O$10),Lookup_Lists!$D$113,0)+IF(ISNUMBER(Matching_Engine!$P$10),Lookup_Lists!$D$114,0)+IF(ISNUMBER(Matching_Engine!$Q$10),Lookup_Lists!$D$115,0)+IF(ISNUMBER(Matching_Engine!$R$10),Lookup_Lists!$D$116,0))=0,"N/A",ROUND((IF(ISNUMBER(Matching_Engine!$O$10),Matching_Engine!$O$10*Lookup_Lists!$D$113,0)+IF(ISNUMBER(Matching_Engine!$P$10),Matching_Engine!$P$10*Lookup_Lists!$D$114,0)+IF(ISNUMBER(Matching_Engine!$Q$10),Matching_Engine!$Q$10*Lookup_Lists!$D$115,0)+IF(ISNUMBER(Matching_Engine!$R$10),Matching_Engine!$R$10*Lookup_Lists!$D$116,0))/(IF(ISNUMBER(Matching_Engine!$O$10),Lookup_Lists!$D$113,0)+IF(ISNUMBER(Matching_Engine!$P$10),Lookup_Lists!$D$114,0)+IF(ISNUMBER(Matching_Engine!$Q$10),Lookup_Lists!$D$115,0)+IF(ISNUMBER(Matching_Engine!$R$10),Lookup_Lists!$D$116,0)),0))</f>
      </c>
      <c r="T10" s="11">
        <f>IF(ISNUMBER(Matching_Engine!$S$10),1,0)</f>
      </c>
      <c r="U10" s="18">
        <f>IF(NOT(AND(ISTEXT(KOL_Source_Data!$M$10),KOL_Source_Data!$M$10&lt;&gt;"N/A")),Lookup_Lists!$D$150,IF(Brand_Profile!$E$7=KOL_Source_Data!$M$10,100,IFERROR(INDEX(Lookup_Lists!$B$349:$J$357,MATCH(Brand_Profile!$E$7,Lookup_Lists!$A$349:$A$357,0),MATCH(KOL_Source_Data!$M$10,Lookup_Lists!$B$348:$J$348,0)),Lookup_Lists!$D$151)))</f>
      </c>
      <c r="V10" s="18">
        <f>IF(NOT(AND(ISTEXT(KOL_Source_Data!$P$10),KOL_Source_Data!$P$10&lt;&gt;"N/A")),"N/A",IFERROR(INDEX(Lookup_Lists!$B$349:$J$357,MATCH(Brand_Profile!$E$7,Lookup_Lists!$A$349:$A$357,0),MATCH(KOL_Source_Data!$P$10,Lookup_Lists!$B$348:$J$348,0)),Lookup_Lists!$D$151))</f>
      </c>
      <c r="W10" s="18">
        <f>IF(LEN(TRIM(SUBSTITUTE(Matching_Engine!$BE$10,"|","")))=0,"N/A",IF(Brand_Profile!$E$60=0,Lookup_Lists!$D$150,ROUND((IF(Brand_Profile!$E$54="",0,IF(ISNUMBER(SEARCH(Brand_Profile!$E$54,Matching_Engine!$BE$10)),1,0))+IF(Brand_Profile!$E$55="",0,IF(ISNUMBER(SEARCH(Brand_Profile!$E$55,Matching_Engine!$BE$10)),1,0))+IF(Brand_Profile!$E$56="",0,IF(ISNUMBER(SEARCH(Brand_Profile!$E$56,Matching_Engine!$BE$10)),1,0))+IF(Brand_Profile!$E$57="",0,IF(ISNUMBER(SEARCH(Brand_Profile!$E$57,Matching_Engine!$BE$10)),1,0))+IF(Brand_Profile!$E$58="",0,IF(ISNUMBER(SEARCH(Brand_Profile!$E$58,Matching_Engine!$BE$10)),1,0))+IF(Brand_Profile!$E$59="",0,IF(ISNUMBER(SEARCH(Brand_Profile!$E$59,Matching_Engine!$BE$10)),1,0)))/Brand_Profile!$E$60*100,0)))</f>
      </c>
      <c r="X10" s="18">
        <f>IF(NOT(AND(ISTEXT(KOL_Source_Data!$Q$10),KOL_Source_Data!$Q$10&lt;&gt;"N/A")),"N/A",Lookup_Lists!$D$150)</f>
      </c>
      <c r="Y10" s="29">
        <f>IF((IF(ISNUMBER(Matching_Engine!$U$10),Lookup_Lists!$D$335,0)+IF(ISNUMBER(Matching_Engine!$V$10),Lookup_Lists!$D$122,0)+IF(ISNUMBER(Matching_Engine!$W$10),Lookup_Lists!$D$336,0)+IF(ISNUMBER(Matching_Engine!$X$10),Lookup_Lists!$D$124,0))=0,"N/A",ROUND((IF(ISNUMBER(Matching_Engine!$U$10),Matching_Engine!$U$10*Lookup_Lists!$D$335,0)+IF(ISNUMBER(Matching_Engine!$V$10),Matching_Engine!$V$10*Lookup_Lists!$D$122,0)+IF(ISNUMBER(Matching_Engine!$W$10),Matching_Engine!$W$10*Lookup_Lists!$D$336,0)+IF(ISNUMBER(Matching_Engine!$X$10),Matching_Engine!$X$10*Lookup_Lists!$D$124,0))/(IF(ISNUMBER(Matching_Engine!$U$10),Lookup_Lists!$D$335,0)+IF(ISNUMBER(Matching_Engine!$V$10),Lookup_Lists!$D$122,0)+IF(ISNUMBER(Matching_Engine!$W$10),Lookup_Lists!$D$336,0)+IF(ISNUMBER(Matching_Engine!$X$10),Lookup_Lists!$D$124,0)),0))</f>
      </c>
      <c r="Z10" s="11">
        <f>IF(ISNUMBER(Matching_Engine!$Y$10),1,0)</f>
      </c>
      <c r="AA10" s="18">
        <f>IF(NOT(AND(ISTEXT(KOL_Source_Data!$Q$10),KOL_Source_Data!$Q$10&lt;&gt;"N/A")),"N/A",Lookup_Lists!$D$150)</f>
      </c>
      <c r="AB10" s="18">
        <f>IF(NOT(AND(ISTEXT(KOL_Source_Data!$Q$10),KOL_Source_Data!$Q$10&lt;&gt;"N/A")),"N/A",Lookup_Lists!$D$150)</f>
      </c>
      <c r="AC10" s="18">
        <f>"N/A"</f>
      </c>
      <c r="AD10" s="18">
        <f>IF(NOT(AND(ISTEXT(KOL_Source_Data!$Q$10),KOL_Source_Data!$Q$10&lt;&gt;"N/A")),"N/A",Lookup_Lists!$D$150)</f>
      </c>
      <c r="AE10" s="29">
        <f>IF((IF(ISNUMBER(Matching_Engine!$AA$10),Lookup_Lists!$D$125,0)+IF(ISNUMBER(Matching_Engine!$AB$10),Lookup_Lists!$D$126,0)+IF(ISNUMBER(Matching_Engine!$AC$10),Lookup_Lists!$D$127,0)+IF(ISNUMBER(Matching_Engine!$AD$10),Lookup_Lists!$D$128,0))=0,"N/A",ROUND((IF(ISNUMBER(Matching_Engine!$AA$10),Matching_Engine!$AA$10*Lookup_Lists!$D$125,0)+IF(ISNUMBER(Matching_Engine!$AB$10),Matching_Engine!$AB$10*Lookup_Lists!$D$126,0)+IF(ISNUMBER(Matching_Engine!$AC$10),Matching_Engine!$AC$10*Lookup_Lists!$D$127,0)+IF(ISNUMBER(Matching_Engine!$AD$10),Matching_Engine!$AD$10*Lookup_Lists!$D$128,0))/(IF(ISNUMBER(Matching_Engine!$AA$10),Lookup_Lists!$D$125,0)+IF(ISNUMBER(Matching_Engine!$AB$10),Lookup_Lists!$D$126,0)+IF(ISNUMBER(Matching_Engine!$AC$10),Lookup_Lists!$D$127,0)+IF(ISNUMBER(Matching_Engine!$AD$10),Lookup_Lists!$D$128,0)),0))</f>
      </c>
      <c r="AF10" s="11">
        <f>IF(ISNUMBER(Matching_Engine!$AE$10),1,0)</f>
      </c>
      <c r="AG10" s="18">
        <f>IF(NOT(ISNUMBER(KOL_Source_Data!$BG$10)),"N/A",MIN(100,ROUND(KOL_Source_Data!$BG$10/IFERROR(INDEX(Lookup_Lists!$B$340:$B$344,MATCH(KOL_Source_Data!$H$10,Lookup_Lists!$A$340:$A$344,0)),Lookup_Lists!$D$141)*100,0)))</f>
      </c>
      <c r="AH10" s="18">
        <f>IF(NOT(ISNUMBER(KOL_Source_Data!$BS$10)),"N/A",MIN(100,MAX(0,KOL_Source_Data!$BS$10)))</f>
      </c>
      <c r="AI10" s="18">
        <f>IF(OR(NOT(ISNUMBER(KOL_Source_Data!$BM$10)),NOT(ISNUMBER(KOL_Source_Data!$BN$10)),KOL_Source_Data!$BN$10&lt;Lookup_Lists!$D$320),"N/A",MIN(100,ROUND(KOL_Source_Data!$BM$10/Lookup_Lists!$D$319*100,0)))</f>
      </c>
      <c r="AJ10" s="18">
        <f>IF(NOT(ISNUMBER(KOL_Source_Data!$BR$10)),"N/A",KOL_Source_Data!$BR$10)</f>
      </c>
      <c r="AK10" s="18">
        <f>IF(NOT(ISNUMBER(KOL_Source_Data!$BK$10)),"N/A",MIN(100,ROUND(KOL_Source_Data!$BK$10/Lookup_Lists!$D$321*100,0)))</f>
      </c>
      <c r="AL10" s="18">
        <f>IF(NOT(ISNUMBER(KOL_Source_Data!$BP$10)),"N/A",MIN(100,MAX(0,ROUND((KOL_Source_Data!$BP$10+2)/(Lookup_Lists!$D$145+2)*100,0))))</f>
      </c>
      <c r="AM10" s="29">
        <f>IF((IF(ISNUMBER(Matching_Engine!$AG$10),Lookup_Lists!$D$129,0)+IF(ISNUMBER(Matching_Engine!$AH$10),Lookup_Lists!$D$130,0)+IF(ISNUMBER(Matching_Engine!$AI$10),Lookup_Lists!$D$131,0)+IF(ISNUMBER(Matching_Engine!$AJ$10),Lookup_Lists!$D$132,0)+IF(ISNUMBER(Matching_Engine!$AK$10),Lookup_Lists!$D$133,0)+IF(ISNUMBER(Matching_Engine!$AL$10),Lookup_Lists!$D$134,0))=0,"N/A",ROUND((IF(ISNUMBER(Matching_Engine!$AG$10),Matching_Engine!$AG$10*Lookup_Lists!$D$129,0)+IF(ISNUMBER(Matching_Engine!$AH$10),Matching_Engine!$AH$10*Lookup_Lists!$D$130,0)+IF(ISNUMBER(Matching_Engine!$AI$10),Matching_Engine!$AI$10*Lookup_Lists!$D$131,0)+IF(ISNUMBER(Matching_Engine!$AJ$10),Matching_Engine!$AJ$10*Lookup_Lists!$D$132,0)+IF(ISNUMBER(Matching_Engine!$AK$10),Matching_Engine!$AK$10*Lookup_Lists!$D$133,0)+IF(ISNUMBER(Matching_Engine!$AL$10),Matching_Engine!$AL$10*Lookup_Lists!$D$134,0))/(IF(ISNUMBER(Matching_Engine!$AG$10),Lookup_Lists!$D$129,0)+IF(ISNUMBER(Matching_Engine!$AH$10),Lookup_Lists!$D$130,0)+IF(ISNUMBER(Matching_Engine!$AI$10),Lookup_Lists!$D$131,0)+IF(ISNUMBER(Matching_Engine!$AJ$10),Lookup_Lists!$D$132,0)+IF(ISNUMBER(Matching_Engine!$AK$10),Lookup_Lists!$D$133,0)+IF(ISNUMBER(Matching_Engine!$AL$10),Lookup_Lists!$D$134,0)),0))</f>
      </c>
      <c r="AN10" s="11">
        <f>IF(ISNUMBER(Matching_Engine!$AM$10),1,0)</f>
      </c>
      <c r="AO10" s="18">
        <f>IF(NOT(ISNUMBER(KOL_Source_Data!$BT$10)),"N/A",MIN(100,MAX(0,KOL_Source_Data!$BT$10)))</f>
      </c>
      <c r="AP10" s="18">
        <f>IF(NOT(ISNUMBER(KOL_Source_Data!$BU$10)),"N/A",MIN(100,MAX(0,KOL_Source_Data!$BU$10)))</f>
      </c>
      <c r="AQ10" s="18">
        <f>IF(KOL_Source_Data!$I$10="Yes",Lookup_Lists!$D$326,IF(KOL_Source_Data!$I$10="No",Lookup_Lists!$D$327,"N/A"))</f>
      </c>
      <c r="AR10" s="18">
        <f>IF(NOT(ISNUMBER(KOL_Source_Data!$BQ$10)),"N/A",MAX(0,ROUND(100-KOL_Source_Data!$BQ$10/Lookup_Lists!$D$328*100,0)))</f>
      </c>
      <c r="AS10" s="18">
        <f>IF(NOT(AND(ISTEXT(KOL_Source_Data!$BV$10),KOL_Source_Data!$BV$10&lt;&gt;"N/A")),"N/A",KOL_Source_Data!$BV$10)</f>
      </c>
      <c r="AT10" s="29">
        <f>IF((IF(ISNUMBER(Matching_Engine!$AO$10),Lookup_Lists!$D$322,0)+IF(ISNUMBER(Matching_Engine!$AP$10),Lookup_Lists!$D$323,0)+IF(ISNUMBER(Matching_Engine!$AQ$10),Lookup_Lists!$D$324,0)+IF(ISNUMBER(Matching_Engine!$AR$10),Lookup_Lists!$D$325,0))=0,"N/A",ROUND((IF(ISNUMBER(Matching_Engine!$AO$10),Matching_Engine!$AO$10*Lookup_Lists!$D$322,0)+IF(ISNUMBER(Matching_Engine!$AP$10),Matching_Engine!$AP$10*Lookup_Lists!$D$323,0)+IF(ISNUMBER(Matching_Engine!$AQ$10),Matching_Engine!$AQ$10*Lookup_Lists!$D$324,0)+IF(ISNUMBER(Matching_Engine!$AR$10),Matching_Engine!$AR$10*Lookup_Lists!$D$325,0))/(IF(ISNUMBER(Matching_Engine!$AO$10),Lookup_Lists!$D$322,0)+IF(ISNUMBER(Matching_Engine!$AP$10),Lookup_Lists!$D$323,0)+IF(ISNUMBER(Matching_Engine!$AQ$10),Lookup_Lists!$D$324,0)+IF(ISNUMBER(Matching_Engine!$AR$10),Lookup_Lists!$D$325,0)),0))</f>
      </c>
      <c r="AU10" s="11">
        <f>IF(ISNUMBER(Matching_Engine!$AT$10),1,0)</f>
      </c>
      <c r="AV10" s="11">
        <f>IF(NOT(ISNUMBER(Matching_Engine!$AT$10)),"Not Screened",IF(Matching_Engine!$AT$10&gt;=Lookup_Lists!$D$329,"Low Risk",IF(Matching_Engine!$AT$10&gt;=Lookup_Lists!$D$330,"Moderate Risk",IF(Matching_Engine!$AT$10&gt;=Lookup_Lists!$D$331,"Elevated Risk","High Risk"))))</f>
      </c>
      <c r="AW10" s="11">
        <f>IF(NOT(ISNUMBER(Matching_Engine!$AT$10)),"No integrity signal: no audience-analysis row for this account.","Integrity screen only — no content-risk reading exists (comments_analysis: 0 rows). "&amp;IF(ISNUMBER(Matching_Engine!$AO$10),"Authenticity "&amp;Matching_Engine!$AO$10&amp;". ","Authenticity N/A. ")&amp;IF(ISNUMBER(Matching_Engine!$AP$10),"Follower quality "&amp;Matching_Engine!$AP$10&amp;". ","Follower quality N/A. ")&amp;IF(KOL_Source_Data!$I$10="Yes","Platform-verified.","Not platform-verified."))</f>
      </c>
      <c r="AX10" s="18">
        <f>Matching_Engine!$N$10*Lookup_Lists!$D$104+Matching_Engine!$T$10*Lookup_Lists!$D$105+Matching_Engine!$Z$10*Lookup_Lists!$D$106+Matching_Engine!$AF$10*Lookup_Lists!$D$107+Matching_Engine!$AN$10*Lookup_Lists!$D$108+Matching_Engine!$AU$10*Lookup_Lists!$D$109</f>
      </c>
      <c r="AY10" s="30">
        <f>IF(Matching_Engine!$AX$10=0,"N/A",ROUND((IF(Matching_Engine!$N$10=1,Matching_Engine!$M$10*Lookup_Lists!$D$104,0)+IF(Matching_Engine!$T$10=1,Matching_Engine!$S$10*Lookup_Lists!$D$105,0)+IF(Matching_Engine!$Z$10=1,Matching_Engine!$Y$10*Lookup_Lists!$D$106,0)+IF(Matching_Engine!$AF$10=1,Matching_Engine!$AE$10*Lookup_Lists!$D$107,0)+IF(Matching_Engine!$AN$10=1,Matching_Engine!$AM$10*Lookup_Lists!$D$108,0)+IF(Matching_Engine!$AU$10=1,Matching_Engine!$AT$10*Lookup_Lists!$D$109,0))/Matching_Engine!$AX$10,0))</f>
      </c>
      <c r="AZ10" s="11">
        <f>IF(NOT(ISNUMBER(Matching_Engine!$AY$10)),"Not Scored",IF(Matching_Engine!$AY$10&gt;=Lookup_Lists!$D$152,"Excellent Match",IF(Matching_Engine!$AY$10&gt;=Lookup_Lists!$D$153,"Strong Match",IF(Matching_Engine!$AY$10&gt;=Lookup_Lists!$D$154,"Good Match",IF(Matching_Engine!$AY$10&gt;=Lookup_Lists!$D$155,"Moderate Match","Low Match")))))</f>
      </c>
      <c r="BA10" s="18">
        <f>KOL_Source_Data!$BW$10</f>
      </c>
      <c r="BB10" s="11">
        <f>KOL_Source_Data!$BX$10</f>
      </c>
      <c r="BC10" s="18">
        <f>IF(NOT(ISNUMBER(Matching_Engine!$AY$10)),-1,Matching_Engine!$AY$10*1000+20)</f>
      </c>
      <c r="BD10" s="11">
        <f>IF(AND(ISTEXT(KOL_Source_Data!$S$10),KOL_Source_Data!$S$10&lt;&gt;"N/A"),KOL_Source_Data!$S$10,"")&amp;" | "&amp;IF(AND(ISTEXT(KOL_Source_Data!$T$10),KOL_Source_Data!$T$10&lt;&gt;"N/A"),KOL_Source_Data!$T$10,"")&amp;" | "&amp;IF(AND(ISTEXT(KOL_Source_Data!$N$10),KOL_Source_Data!$N$10&lt;&gt;"N/A"),KOL_Source_Data!$N$10,"")&amp;" | "&amp;IF(AND(ISTEXT(KOL_Source_Data!$K$10),KOL_Source_Data!$K$10&lt;&gt;"N/A"),KOL_Source_Data!$K$10,"")&amp;" | "&amp;IF(AND(ISTEXT(KOL_Source_Data!$J$10),KOL_Source_Data!$J$10&lt;&gt;"N/A"),KOL_Source_Data!$J$10,"")</f>
      </c>
      <c r="BE10" s="11">
        <f>IF(AND(ISTEXT(KOL_Source_Data!$T$10),KOL_Source_Data!$T$10&lt;&gt;"N/A"),KOL_Source_Data!$T$10,"")&amp;" | "&amp;IF(AND(ISTEXT(KOL_Source_Data!$N$10),KOL_Source_Data!$N$10&lt;&gt;"N/A"),KOL_Source_Data!$N$10,"")&amp;" | "&amp;IF(AND(ISTEXT(KOL_Source_Data!$O$10),KOL_Source_Data!$O$10&lt;&gt;"N/A"),KOL_Source_Data!$O$10,"")&amp;" | "&amp;IF(AND(ISTEXT(KOL_Source_Data!$S$10),KOL_Source_Data!$S$10&lt;&gt;"N/A"),KOL_Source_Data!$S$10,"")</f>
      </c>
      <c r="BF10" s="11">
        <f>IF(AND(ISTEXT(KOL_Source_Data!$U$10),KOL_Source_Data!$U$10&lt;&gt;"N/A"),KOL_Source_Data!$U$10,"")</f>
      </c>
      <c r="BG10" s="11">
        <f>Matching_Engine!$A$10&amp;"|"&amp;Matching_Engine!$C$10</f>
      </c>
    </row>
    <row r="11" spans="1:59" x14ac:dyDescent="0.25">
      <c r="A11" s="10" t="s">
        <v>390</v>
      </c>
      <c r="B11" s="11">
        <f>Brand_Profile!$E$6</f>
      </c>
      <c r="C11" s="11">
        <f>KOL_Source_Data!$A$11</f>
      </c>
      <c r="D11" s="11">
        <f>KOL_Source_Data!$C$11</f>
      </c>
      <c r="E11" s="11">
        <f>KOL_Source_Data!$D$11</f>
      </c>
      <c r="F11" s="11">
        <f>KOL_Source_Data!$E$11</f>
      </c>
      <c r="G11" s="11">
        <f>KOL_Source_Data!$K$11</f>
      </c>
      <c r="H11" s="12">
        <f>KOL_Source_Data!$G$11</f>
      </c>
      <c r="I11" s="14">
        <f>KOL_Source_Data!$BG$11</f>
      </c>
      <c r="J11" s="18">
        <f>IF(NOT(AND(ISTEXT(KOL_Source_Data!$K$11),KOL_Source_Data!$K$11&lt;&gt;"N/A")),Lookup_Lists!$D$150,IF(Brand_Profile!$E$7=KOL_Source_Data!$K$11,100,IFERROR(INDEX(Lookup_Lists!$B$349:$J$357,MATCH(Brand_Profile!$E$7,Lookup_Lists!$A$349:$A$357,0),MATCH(KOL_Source_Data!$K$11,Lookup_Lists!$B$348:$J$348,0)),Lookup_Lists!$D$151)))</f>
      </c>
      <c r="K11" s="18">
        <f>IF(LEN(TRIM(SUBSTITUTE(Matching_Engine!$BD$11,"|","")))=0,"N/A",IF(Brand_Profile!$E$47=0,Lookup_Lists!$D$150,ROUND((IF(Brand_Profile!$E$41="",0,IF(ISNUMBER(SEARCH(Brand_Profile!$E$41,Matching_Engine!$BD$11)),1,0))+IF(Brand_Profile!$E$42="",0,IF(ISNUMBER(SEARCH(Brand_Profile!$E$42,Matching_Engine!$BD$11)),1,0))+IF(Brand_Profile!$E$43="",0,IF(ISNUMBER(SEARCH(Brand_Profile!$E$43,Matching_Engine!$BD$11)),1,0))+IF(Brand_Profile!$E$44="",0,IF(ISNUMBER(SEARCH(Brand_Profile!$E$44,Matching_Engine!$BD$11)),1,0))+IF(Brand_Profile!$E$45="",0,IF(ISNUMBER(SEARCH(Brand_Profile!$E$45,Matching_Engine!$BD$11)),1,0))+IF(Brand_Profile!$E$46="",0,IF(ISNUMBER(SEARCH(Brand_Profile!$E$46,Matching_Engine!$BD$11)),1,0)))/Brand_Profile!$E$47*100,0)))</f>
      </c>
      <c r="L11" s="18">
        <f>IF(NOT(AND(ISTEXT(KOL_Source_Data!$U$11),KOL_Source_Data!$U$11&lt;&gt;"N/A")),"N/A",IF(Brand_Profile!$E$53=0,Lookup_Lists!$D$150,ROUND((IF(Brand_Profile!$E$48="",0,IF(ISNUMBER(SEARCH(Brand_Profile!$E$48,Matching_Engine!$BF$11)),1,0))+IF(Brand_Profile!$E$49="",0,IF(ISNUMBER(SEARCH(Brand_Profile!$E$49,Matching_Engine!$BF$11)),1,0))+IF(Brand_Profile!$E$50="",0,IF(ISNUMBER(SEARCH(Brand_Profile!$E$50,Matching_Engine!$BF$11)),1,0))+IF(Brand_Profile!$E$51="",0,IF(ISNUMBER(SEARCH(Brand_Profile!$E$51,Matching_Engine!$BF$11)),1,0))+IF(Brand_Profile!$E$52="",0,IF(ISNUMBER(SEARCH(Brand_Profile!$E$52,Matching_Engine!$BF$11)),1,0)))/Brand_Profile!$E$53*100,0)))</f>
      </c>
      <c r="M11" s="29">
        <f>IF((IF(ISNUMBER(Matching_Engine!$J$11),Lookup_Lists!$D$332,0)+IF(ISNUMBER(Matching_Engine!$K$11),Lookup_Lists!$D$333,0)+IF(ISNUMBER(Matching_Engine!$L$11),Lookup_Lists!$D$334,0))=0,"N/A",ROUND((IF(ISNUMBER(Matching_Engine!$J$11),Matching_Engine!$J$11*Lookup_Lists!$D$332,0)+IF(ISNUMBER(Matching_Engine!$K$11),Matching_Engine!$K$11*Lookup_Lists!$D$333,0)+IF(ISNUMBER(Matching_Engine!$L$11),Matching_Engine!$L$11*Lookup_Lists!$D$334,0))/(IF(ISNUMBER(Matching_Engine!$J$11),Lookup_Lists!$D$332,0)+IF(ISNUMBER(Matching_Engine!$K$11),Lookup_Lists!$D$333,0)+IF(ISNUMBER(Matching_Engine!$L$11),Lookup_Lists!$D$334,0)),0))</f>
      </c>
      <c r="N11" s="11">
        <f>IF(ISNUMBER(Matching_Engine!$M$11),1,0)</f>
      </c>
      <c r="O11" s="18">
        <f>IF(NOT(ISNUMBER(IFERROR(INDEX(KOL_Source_Data!$V$11:KOL_Source_Data!$Z$11,1,MATCH(Brand_Profile!$E$11,Lookup_Lists!$F$6:$F$10,0)),""))),"N/A",MIN(100,ROUND((IFERROR(INDEX(KOL_Source_Data!$V$11:KOL_Source_Data!$Z$11,1,MATCH(Brand_Profile!$E$11,Lookup_Lists!$F$6:$F$10,0)),"")+0.5*IF(ISNUMBER(IFERROR(INDEX(KOL_Source_Data!$V$11:KOL_Source_Data!$Z$11,1,MATCH(Brand_Profile!$E$12,Lookup_Lists!$F$6:$F$10,0)),"")),IFERROR(INDEX(KOL_Source_Data!$V$11:KOL_Source_Data!$Z$11,1,MATCH(Brand_Profile!$E$12,Lookup_Lists!$F$6:$F$10,0)),""),0))/Lookup_Lists!$D$142*100,0)))</f>
      </c>
      <c r="P11" s="18">
        <f>IF(Brand_Profile!$E$13="Any",100,IF(NOT(ISNUMBER(KOL_Source_Data!$AA$11)),"N/A",IF(Brand_Profile!$E$13="Female",MIN(100,ROUND(KOL_Source_Data!$AA$11/Lookup_Lists!$D$143*100,0)),IF(Brand_Profile!$E$13="Male",MIN(100,ROUND(IF(ISNUMBER(KOL_Source_Data!$AB$11),KOL_Source_Data!$AB$11,100-KOL_Source_Data!$AA$11)/Lookup_Lists!$D$143*100,0)),MAX(0,ROUND(100-ABS(KOL_Source_Data!$AA$11-50)*2,0))))))</f>
      </c>
      <c r="Q11" s="18">
        <f>IF((IF(ISNUMBER(IF(NOT(ISNUMBER(KOL_Source_Data!$AE$11)),"N/A",IF(KOL_Source_Data!$AD$11&lt;&gt;Brand_Profile!$E$14,Lookup_Lists!$D$151,MIN(100,ROUND(KOL_Source_Data!$AE$11/Lookup_Lists!$D$316*100,0))))),Lookup_Lists!$D$118,0)+IF(ISNUMBER(IF(NOT(ISNUMBER(KOL_Source_Data!$AM$11)),"N/A",MIN(100,ROUND((IF(KOL_Source_Data!$AG$11=Brand_Profile!$E$15,IF(ISNUMBER(KOL_Source_Data!$AH$11),KOL_Source_Data!$AH$11,0),0)+IF(KOL_Source_Data!$AI$11=Brand_Profile!$E$15,IF(ISNUMBER(KOL_Source_Data!$AJ$11),KOL_Source_Data!$AJ$11,0),0)+IF(KOL_Source_Data!$AK$11=Brand_Profile!$E$15,IF(ISNUMBER(KOL_Source_Data!$AL$11),KOL_Source_Data!$AL$11,0),0))/Lookup_Lists!$D$317*100,0)))),Lookup_Lists!$D$120,0))=0,"N/A",ROUND((IF(ISNUMBER(IF(NOT(ISNUMBER(KOL_Source_Data!$AE$11)),"N/A",IF(KOL_Source_Data!$AD$11&lt;&gt;Brand_Profile!$E$14,Lookup_Lists!$D$151,MIN(100,ROUND(KOL_Source_Data!$AE$11/Lookup_Lists!$D$316*100,0))))),IF(NOT(ISNUMBER(KOL_Source_Data!$AE$11)),"N/A",IF(KOL_Source_Data!$AD$11&lt;&gt;Brand_Profile!$E$14,Lookup_Lists!$D$151,MIN(100,ROUND(KOL_Source_Data!$AE$11/Lookup_Lists!$D$316*100,0))))*Lookup_Lists!$D$118,0)+IF(ISNUMBER(IF(NOT(ISNUMBER(KOL_Source_Data!$AM$11)),"N/A",MIN(100,ROUND((IF(KOL_Source_Data!$AG$11=Brand_Profile!$E$15,IF(ISNUMBER(KOL_Source_Data!$AH$11),KOL_Source_Data!$AH$11,0),0)+IF(KOL_Source_Data!$AI$11=Brand_Profile!$E$15,IF(ISNUMBER(KOL_Source_Data!$AJ$11),KOL_Source_Data!$AJ$11,0),0)+IF(KOL_Source_Data!$AK$11=Brand_Profile!$E$15,IF(ISNUMBER(KOL_Source_Data!$AL$11),KOL_Source_Data!$AL$11,0),0))/Lookup_Lists!$D$317*100,0)))),IF(NOT(ISNUMBER(KOL_Source_Data!$AM$11)),"N/A",MIN(100,ROUND((IF(KOL_Source_Data!$AG$11=Brand_Profile!$E$15,IF(ISNUMBER(KOL_Source_Data!$AH$11),KOL_Source_Data!$AH$11,0),0)+IF(KOL_Source_Data!$AI$11=Brand_Profile!$E$15,IF(ISNUMBER(KOL_Source_Data!$AJ$11),KOL_Source_Data!$AJ$11,0),0)+IF(KOL_Source_Data!$AK$11=Brand_Profile!$E$15,IF(ISNUMBER(KOL_Source_Data!$AL$11),KOL_Source_Data!$AL$11,0),0))/Lookup_Lists!$D$317*100,0)))*Lookup_Lists!$D$120,0))/(IF(ISNUMBER(IF(NOT(ISNUMBER(KOL_Source_Data!$AE$11)),"N/A",IF(KOL_Source_Data!$AD$11&lt;&gt;Brand_Profile!$E$14,Lookup_Lists!$D$151,MIN(100,ROUND(KOL_Source_Data!$AE$11/Lookup_Lists!$D$316*100,0))))),Lookup_Lists!$D$118,0)+IF(ISNUMBER(IF(NOT(ISNUMBER(KOL_Source_Data!$AM$11)),"N/A",MIN(100,ROUND((IF(KOL_Source_Data!$AG$11=Brand_Profile!$E$15,IF(ISNUMBER(KOL_Source_Data!$AH$11),KOL_Source_Data!$AH$11,0),0)+IF(KOL_Source_Data!$AI$11=Brand_Profile!$E$15,IF(ISNUMBER(KOL_Source_Data!$AJ$11),KOL_Source_Data!$AJ$11,0),0)+IF(KOL_Source_Data!$AK$11=Brand_Profile!$E$15,IF(ISNUMBER(KOL_Source_Data!$AL$11),KOL_Source_Data!$AL$11,0),0))/Lookup_Lists!$D$317*100,0)))),Lookup_Lists!$D$120,0)),0))</f>
      </c>
      <c r="R11" s="18">
        <f>IF(NOT(ISNUMBER(KOL_Source_Data!$AN$11)),"N/A",MIN(100,ROUND((IF(ISNUMBER(KOL_Source_Data!$AO$11),KOL_Source_Data!$AO$11*Brand_Profile!$E$17,0)+IF(ISNUMBER(KOL_Source_Data!$AP$11),KOL_Source_Data!$AP$11*Brand_Profile!$E$18,0)+IF(ISNUMBER(KOL_Source_Data!$AQ$11),KOL_Source_Data!$AQ$11*Brand_Profile!$E$19,0)+IF(ISNUMBER(KOL_Source_Data!$AR$11),KOL_Source_Data!$AR$11*Brand_Profile!$E$20,0)+IF(ISNUMBER(KOL_Source_Data!$AS$11),KOL_Source_Data!$AS$11*Brand_Profile!$E$21,0)+IF(ISNUMBER(KOL_Source_Data!$AT$11),KOL_Source_Data!$AT$11*Brand_Profile!$E$22,0)+IF(ISNUMBER(KOL_Source_Data!$AU$11),KOL_Source_Data!$AU$11*Brand_Profile!$E$23,0)+IF(ISNUMBER(KOL_Source_Data!$AV$11),KOL_Source_Data!$AV$11*Brand_Profile!$E$24,0)+IF(ISNUMBER(KOL_Source_Data!$AW$11),KOL_Source_Data!$AW$11*Brand_Profile!$E$25,0)+IF(ISNUMBER(KOL_Source_Data!$AX$11),KOL_Source_Data!$AX$11*Brand_Profile!$E$26,0)+IF(ISNUMBER(KOL_Source_Data!$AY$11),KOL_Source_Data!$AY$11*Brand_Profile!$E$27,0)+IF(ISNUMBER(KOL_Source_Data!$AZ$11),KOL_Source_Data!$AZ$11*Brand_Profile!$E$28,0)+IF(ISNUMBER(KOL_Source_Data!$BA$11),KOL_Source_Data!$BA$11*Brand_Profile!$E$29,0)+IF(ISNUMBER(KOL_Source_Data!$BB$11),KOL_Source_Data!$BB$11*Brand_Profile!$E$30,0)+IF(ISNUMBER(KOL_Source_Data!$BC$11),KOL_Source_Data!$BC$11*Brand_Profile!$E$31,0)+IF(ISNUMBER(KOL_Source_Data!$BD$11),KOL_Source_Data!$BD$11*Brand_Profile!$E$32,0)+IF(ISNUMBER(KOL_Source_Data!$BE$11),KOL_Source_Data!$BE$11*Brand_Profile!$E$33,0)+IF(ISNUMBER(KOL_Source_Data!$BF$11),KOL_Source_Data!$BF$11*Brand_Profile!$E$34,0))/Lookup_Lists!$D$318*100,0)))</f>
      </c>
      <c r="S11" s="29">
        <f>IF((IF(ISNUMBER(Matching_Engine!$O$11),Lookup_Lists!$D$113,0)+IF(ISNUMBER(Matching_Engine!$P$11),Lookup_Lists!$D$114,0)+IF(ISNUMBER(Matching_Engine!$Q$11),Lookup_Lists!$D$115,0)+IF(ISNUMBER(Matching_Engine!$R$11),Lookup_Lists!$D$116,0))=0,"N/A",ROUND((IF(ISNUMBER(Matching_Engine!$O$11),Matching_Engine!$O$11*Lookup_Lists!$D$113,0)+IF(ISNUMBER(Matching_Engine!$P$11),Matching_Engine!$P$11*Lookup_Lists!$D$114,0)+IF(ISNUMBER(Matching_Engine!$Q$11),Matching_Engine!$Q$11*Lookup_Lists!$D$115,0)+IF(ISNUMBER(Matching_Engine!$R$11),Matching_Engine!$R$11*Lookup_Lists!$D$116,0))/(IF(ISNUMBER(Matching_Engine!$O$11),Lookup_Lists!$D$113,0)+IF(ISNUMBER(Matching_Engine!$P$11),Lookup_Lists!$D$114,0)+IF(ISNUMBER(Matching_Engine!$Q$11),Lookup_Lists!$D$115,0)+IF(ISNUMBER(Matching_Engine!$R$11),Lookup_Lists!$D$116,0)),0))</f>
      </c>
      <c r="T11" s="11">
        <f>IF(ISNUMBER(Matching_Engine!$S$11),1,0)</f>
      </c>
      <c r="U11" s="18">
        <f>IF(NOT(AND(ISTEXT(KOL_Source_Data!$M$11),KOL_Source_Data!$M$11&lt;&gt;"N/A")),Lookup_Lists!$D$150,IF(Brand_Profile!$E$7=KOL_Source_Data!$M$11,100,IFERROR(INDEX(Lookup_Lists!$B$349:$J$357,MATCH(Brand_Profile!$E$7,Lookup_Lists!$A$349:$A$357,0),MATCH(KOL_Source_Data!$M$11,Lookup_Lists!$B$348:$J$348,0)),Lookup_Lists!$D$151)))</f>
      </c>
      <c r="V11" s="18">
        <f>IF(NOT(AND(ISTEXT(KOL_Source_Data!$P$11),KOL_Source_Data!$P$11&lt;&gt;"N/A")),"N/A",IFERROR(INDEX(Lookup_Lists!$B$349:$J$357,MATCH(Brand_Profile!$E$7,Lookup_Lists!$A$349:$A$357,0),MATCH(KOL_Source_Data!$P$11,Lookup_Lists!$B$348:$J$348,0)),Lookup_Lists!$D$151))</f>
      </c>
      <c r="W11" s="18">
        <f>IF(LEN(TRIM(SUBSTITUTE(Matching_Engine!$BE$11,"|","")))=0,"N/A",IF(Brand_Profile!$E$60=0,Lookup_Lists!$D$150,ROUND((IF(Brand_Profile!$E$54="",0,IF(ISNUMBER(SEARCH(Brand_Profile!$E$54,Matching_Engine!$BE$11)),1,0))+IF(Brand_Profile!$E$55="",0,IF(ISNUMBER(SEARCH(Brand_Profile!$E$55,Matching_Engine!$BE$11)),1,0))+IF(Brand_Profile!$E$56="",0,IF(ISNUMBER(SEARCH(Brand_Profile!$E$56,Matching_Engine!$BE$11)),1,0))+IF(Brand_Profile!$E$57="",0,IF(ISNUMBER(SEARCH(Brand_Profile!$E$57,Matching_Engine!$BE$11)),1,0))+IF(Brand_Profile!$E$58="",0,IF(ISNUMBER(SEARCH(Brand_Profile!$E$58,Matching_Engine!$BE$11)),1,0))+IF(Brand_Profile!$E$59="",0,IF(ISNUMBER(SEARCH(Brand_Profile!$E$59,Matching_Engine!$BE$11)),1,0)))/Brand_Profile!$E$60*100,0)))</f>
      </c>
      <c r="X11" s="18">
        <f>IF(NOT(AND(ISTEXT(KOL_Source_Data!$Q$11),KOL_Source_Data!$Q$11&lt;&gt;"N/A")),"N/A",Lookup_Lists!$D$150)</f>
      </c>
      <c r="Y11" s="29">
        <f>IF((IF(ISNUMBER(Matching_Engine!$U$11),Lookup_Lists!$D$335,0)+IF(ISNUMBER(Matching_Engine!$V$11),Lookup_Lists!$D$122,0)+IF(ISNUMBER(Matching_Engine!$W$11),Lookup_Lists!$D$336,0)+IF(ISNUMBER(Matching_Engine!$X$11),Lookup_Lists!$D$124,0))=0,"N/A",ROUND((IF(ISNUMBER(Matching_Engine!$U$11),Matching_Engine!$U$11*Lookup_Lists!$D$335,0)+IF(ISNUMBER(Matching_Engine!$V$11),Matching_Engine!$V$11*Lookup_Lists!$D$122,0)+IF(ISNUMBER(Matching_Engine!$W$11),Matching_Engine!$W$11*Lookup_Lists!$D$336,0)+IF(ISNUMBER(Matching_Engine!$X$11),Matching_Engine!$X$11*Lookup_Lists!$D$124,0))/(IF(ISNUMBER(Matching_Engine!$U$11),Lookup_Lists!$D$335,0)+IF(ISNUMBER(Matching_Engine!$V$11),Lookup_Lists!$D$122,0)+IF(ISNUMBER(Matching_Engine!$W$11),Lookup_Lists!$D$336,0)+IF(ISNUMBER(Matching_Engine!$X$11),Lookup_Lists!$D$124,0)),0))</f>
      </c>
      <c r="Z11" s="11">
        <f>IF(ISNUMBER(Matching_Engine!$Y$11),1,0)</f>
      </c>
      <c r="AA11" s="18">
        <f>IF(NOT(AND(ISTEXT(KOL_Source_Data!$Q$11),KOL_Source_Data!$Q$11&lt;&gt;"N/A")),"N/A",Lookup_Lists!$D$150)</f>
      </c>
      <c r="AB11" s="18">
        <f>IF(NOT(AND(ISTEXT(KOL_Source_Data!$Q$11),KOL_Source_Data!$Q$11&lt;&gt;"N/A")),"N/A",Lookup_Lists!$D$150)</f>
      </c>
      <c r="AC11" s="18">
        <f>"N/A"</f>
      </c>
      <c r="AD11" s="18">
        <f>IF(NOT(AND(ISTEXT(KOL_Source_Data!$Q$11),KOL_Source_Data!$Q$11&lt;&gt;"N/A")),"N/A",Lookup_Lists!$D$150)</f>
      </c>
      <c r="AE11" s="29">
        <f>IF((IF(ISNUMBER(Matching_Engine!$AA$11),Lookup_Lists!$D$125,0)+IF(ISNUMBER(Matching_Engine!$AB$11),Lookup_Lists!$D$126,0)+IF(ISNUMBER(Matching_Engine!$AC$11),Lookup_Lists!$D$127,0)+IF(ISNUMBER(Matching_Engine!$AD$11),Lookup_Lists!$D$128,0))=0,"N/A",ROUND((IF(ISNUMBER(Matching_Engine!$AA$11),Matching_Engine!$AA$11*Lookup_Lists!$D$125,0)+IF(ISNUMBER(Matching_Engine!$AB$11),Matching_Engine!$AB$11*Lookup_Lists!$D$126,0)+IF(ISNUMBER(Matching_Engine!$AC$11),Matching_Engine!$AC$11*Lookup_Lists!$D$127,0)+IF(ISNUMBER(Matching_Engine!$AD$11),Matching_Engine!$AD$11*Lookup_Lists!$D$128,0))/(IF(ISNUMBER(Matching_Engine!$AA$11),Lookup_Lists!$D$125,0)+IF(ISNUMBER(Matching_Engine!$AB$11),Lookup_Lists!$D$126,0)+IF(ISNUMBER(Matching_Engine!$AC$11),Lookup_Lists!$D$127,0)+IF(ISNUMBER(Matching_Engine!$AD$11),Lookup_Lists!$D$128,0)),0))</f>
      </c>
      <c r="AF11" s="11">
        <f>IF(ISNUMBER(Matching_Engine!$AE$11),1,0)</f>
      </c>
      <c r="AG11" s="18">
        <f>IF(NOT(ISNUMBER(KOL_Source_Data!$BG$11)),"N/A",MIN(100,ROUND(KOL_Source_Data!$BG$11/IFERROR(INDEX(Lookup_Lists!$B$340:$B$344,MATCH(KOL_Source_Data!$H$11,Lookup_Lists!$A$340:$A$344,0)),Lookup_Lists!$D$141)*100,0)))</f>
      </c>
      <c r="AH11" s="18">
        <f>IF(NOT(ISNUMBER(KOL_Source_Data!$BS$11)),"N/A",MIN(100,MAX(0,KOL_Source_Data!$BS$11)))</f>
      </c>
      <c r="AI11" s="18">
        <f>IF(OR(NOT(ISNUMBER(KOL_Source_Data!$BM$11)),NOT(ISNUMBER(KOL_Source_Data!$BN$11)),KOL_Source_Data!$BN$11&lt;Lookup_Lists!$D$320),"N/A",MIN(100,ROUND(KOL_Source_Data!$BM$11/Lookup_Lists!$D$319*100,0)))</f>
      </c>
      <c r="AJ11" s="18">
        <f>IF(NOT(ISNUMBER(KOL_Source_Data!$BR$11)),"N/A",KOL_Source_Data!$BR$11)</f>
      </c>
      <c r="AK11" s="18">
        <f>IF(NOT(ISNUMBER(KOL_Source_Data!$BK$11)),"N/A",MIN(100,ROUND(KOL_Source_Data!$BK$11/Lookup_Lists!$D$321*100,0)))</f>
      </c>
      <c r="AL11" s="18">
        <f>IF(NOT(ISNUMBER(KOL_Source_Data!$BP$11)),"N/A",MIN(100,MAX(0,ROUND((KOL_Source_Data!$BP$11+2)/(Lookup_Lists!$D$145+2)*100,0))))</f>
      </c>
      <c r="AM11" s="29">
        <f>IF((IF(ISNUMBER(Matching_Engine!$AG$11),Lookup_Lists!$D$129,0)+IF(ISNUMBER(Matching_Engine!$AH$11),Lookup_Lists!$D$130,0)+IF(ISNUMBER(Matching_Engine!$AI$11),Lookup_Lists!$D$131,0)+IF(ISNUMBER(Matching_Engine!$AJ$11),Lookup_Lists!$D$132,0)+IF(ISNUMBER(Matching_Engine!$AK$11),Lookup_Lists!$D$133,0)+IF(ISNUMBER(Matching_Engine!$AL$11),Lookup_Lists!$D$134,0))=0,"N/A",ROUND((IF(ISNUMBER(Matching_Engine!$AG$11),Matching_Engine!$AG$11*Lookup_Lists!$D$129,0)+IF(ISNUMBER(Matching_Engine!$AH$11),Matching_Engine!$AH$11*Lookup_Lists!$D$130,0)+IF(ISNUMBER(Matching_Engine!$AI$11),Matching_Engine!$AI$11*Lookup_Lists!$D$131,0)+IF(ISNUMBER(Matching_Engine!$AJ$11),Matching_Engine!$AJ$11*Lookup_Lists!$D$132,0)+IF(ISNUMBER(Matching_Engine!$AK$11),Matching_Engine!$AK$11*Lookup_Lists!$D$133,0)+IF(ISNUMBER(Matching_Engine!$AL$11),Matching_Engine!$AL$11*Lookup_Lists!$D$134,0))/(IF(ISNUMBER(Matching_Engine!$AG$11),Lookup_Lists!$D$129,0)+IF(ISNUMBER(Matching_Engine!$AH$11),Lookup_Lists!$D$130,0)+IF(ISNUMBER(Matching_Engine!$AI$11),Lookup_Lists!$D$131,0)+IF(ISNUMBER(Matching_Engine!$AJ$11),Lookup_Lists!$D$132,0)+IF(ISNUMBER(Matching_Engine!$AK$11),Lookup_Lists!$D$133,0)+IF(ISNUMBER(Matching_Engine!$AL$11),Lookup_Lists!$D$134,0)),0))</f>
      </c>
      <c r="AN11" s="11">
        <f>IF(ISNUMBER(Matching_Engine!$AM$11),1,0)</f>
      </c>
      <c r="AO11" s="18">
        <f>IF(NOT(ISNUMBER(KOL_Source_Data!$BT$11)),"N/A",MIN(100,MAX(0,KOL_Source_Data!$BT$11)))</f>
      </c>
      <c r="AP11" s="18">
        <f>IF(NOT(ISNUMBER(KOL_Source_Data!$BU$11)),"N/A",MIN(100,MAX(0,KOL_Source_Data!$BU$11)))</f>
      </c>
      <c r="AQ11" s="18">
        <f>IF(KOL_Source_Data!$I$11="Yes",Lookup_Lists!$D$326,IF(KOL_Source_Data!$I$11="No",Lookup_Lists!$D$327,"N/A"))</f>
      </c>
      <c r="AR11" s="18">
        <f>IF(NOT(ISNUMBER(KOL_Source_Data!$BQ$11)),"N/A",MAX(0,ROUND(100-KOL_Source_Data!$BQ$11/Lookup_Lists!$D$328*100,0)))</f>
      </c>
      <c r="AS11" s="18">
        <f>IF(NOT(AND(ISTEXT(KOL_Source_Data!$BV$11),KOL_Source_Data!$BV$11&lt;&gt;"N/A")),"N/A",KOL_Source_Data!$BV$11)</f>
      </c>
      <c r="AT11" s="29">
        <f>IF((IF(ISNUMBER(Matching_Engine!$AO$11),Lookup_Lists!$D$322,0)+IF(ISNUMBER(Matching_Engine!$AP$11),Lookup_Lists!$D$323,0)+IF(ISNUMBER(Matching_Engine!$AQ$11),Lookup_Lists!$D$324,0)+IF(ISNUMBER(Matching_Engine!$AR$11),Lookup_Lists!$D$325,0))=0,"N/A",ROUND((IF(ISNUMBER(Matching_Engine!$AO$11),Matching_Engine!$AO$11*Lookup_Lists!$D$322,0)+IF(ISNUMBER(Matching_Engine!$AP$11),Matching_Engine!$AP$11*Lookup_Lists!$D$323,0)+IF(ISNUMBER(Matching_Engine!$AQ$11),Matching_Engine!$AQ$11*Lookup_Lists!$D$324,0)+IF(ISNUMBER(Matching_Engine!$AR$11),Matching_Engine!$AR$11*Lookup_Lists!$D$325,0))/(IF(ISNUMBER(Matching_Engine!$AO$11),Lookup_Lists!$D$322,0)+IF(ISNUMBER(Matching_Engine!$AP$11),Lookup_Lists!$D$323,0)+IF(ISNUMBER(Matching_Engine!$AQ$11),Lookup_Lists!$D$324,0)+IF(ISNUMBER(Matching_Engine!$AR$11),Lookup_Lists!$D$325,0)),0))</f>
      </c>
      <c r="AU11" s="11">
        <f>IF(ISNUMBER(Matching_Engine!$AT$11),1,0)</f>
      </c>
      <c r="AV11" s="11">
        <f>IF(NOT(ISNUMBER(Matching_Engine!$AT$11)),"Not Screened",IF(Matching_Engine!$AT$11&gt;=Lookup_Lists!$D$329,"Low Risk",IF(Matching_Engine!$AT$11&gt;=Lookup_Lists!$D$330,"Moderate Risk",IF(Matching_Engine!$AT$11&gt;=Lookup_Lists!$D$331,"Elevated Risk","High Risk"))))</f>
      </c>
      <c r="AW11" s="11">
        <f>IF(NOT(ISNUMBER(Matching_Engine!$AT$11)),"No integrity signal: no audience-analysis row for this account.","Integrity screen only — no content-risk reading exists (comments_analysis: 0 rows). "&amp;IF(ISNUMBER(Matching_Engine!$AO$11),"Authenticity "&amp;Matching_Engine!$AO$11&amp;". ","Authenticity N/A. ")&amp;IF(ISNUMBER(Matching_Engine!$AP$11),"Follower quality "&amp;Matching_Engine!$AP$11&amp;". ","Follower quality N/A. ")&amp;IF(KOL_Source_Data!$I$11="Yes","Platform-verified.","Not platform-verified."))</f>
      </c>
      <c r="AX11" s="18">
        <f>Matching_Engine!$N$11*Lookup_Lists!$D$104+Matching_Engine!$T$11*Lookup_Lists!$D$105+Matching_Engine!$Z$11*Lookup_Lists!$D$106+Matching_Engine!$AF$11*Lookup_Lists!$D$107+Matching_Engine!$AN$11*Lookup_Lists!$D$108+Matching_Engine!$AU$11*Lookup_Lists!$D$109</f>
      </c>
      <c r="AY11" s="30">
        <f>IF(Matching_Engine!$AX$11=0,"N/A",ROUND((IF(Matching_Engine!$N$11=1,Matching_Engine!$M$11*Lookup_Lists!$D$104,0)+IF(Matching_Engine!$T$11=1,Matching_Engine!$S$11*Lookup_Lists!$D$105,0)+IF(Matching_Engine!$Z$11=1,Matching_Engine!$Y$11*Lookup_Lists!$D$106,0)+IF(Matching_Engine!$AF$11=1,Matching_Engine!$AE$11*Lookup_Lists!$D$107,0)+IF(Matching_Engine!$AN$11=1,Matching_Engine!$AM$11*Lookup_Lists!$D$108,0)+IF(Matching_Engine!$AU$11=1,Matching_Engine!$AT$11*Lookup_Lists!$D$109,0))/Matching_Engine!$AX$11,0))</f>
      </c>
      <c r="AZ11" s="11">
        <f>IF(NOT(ISNUMBER(Matching_Engine!$AY$11)),"Not Scored",IF(Matching_Engine!$AY$11&gt;=Lookup_Lists!$D$152,"Excellent Match",IF(Matching_Engine!$AY$11&gt;=Lookup_Lists!$D$153,"Strong Match",IF(Matching_Engine!$AY$11&gt;=Lookup_Lists!$D$154,"Good Match",IF(Matching_Engine!$AY$11&gt;=Lookup_Lists!$D$155,"Moderate Match","Low Match")))))</f>
      </c>
      <c r="BA11" s="18">
        <f>KOL_Source_Data!$BW$11</f>
      </c>
      <c r="BB11" s="11">
        <f>KOL_Source_Data!$BX$11</f>
      </c>
      <c r="BC11" s="18">
        <f>IF(NOT(ISNUMBER(Matching_Engine!$AY$11)),-1,Matching_Engine!$AY$11*1000+19)</f>
      </c>
      <c r="BD11" s="11">
        <f>IF(AND(ISTEXT(KOL_Source_Data!$S$11),KOL_Source_Data!$S$11&lt;&gt;"N/A"),KOL_Source_Data!$S$11,"")&amp;" | "&amp;IF(AND(ISTEXT(KOL_Source_Data!$T$11),KOL_Source_Data!$T$11&lt;&gt;"N/A"),KOL_Source_Data!$T$11,"")&amp;" | "&amp;IF(AND(ISTEXT(KOL_Source_Data!$N$11),KOL_Source_Data!$N$11&lt;&gt;"N/A"),KOL_Source_Data!$N$11,"")&amp;" | "&amp;IF(AND(ISTEXT(KOL_Source_Data!$K$11),KOL_Source_Data!$K$11&lt;&gt;"N/A"),KOL_Source_Data!$K$11,"")&amp;" | "&amp;IF(AND(ISTEXT(KOL_Source_Data!$J$11),KOL_Source_Data!$J$11&lt;&gt;"N/A"),KOL_Source_Data!$J$11,"")</f>
      </c>
      <c r="BE11" s="11">
        <f>IF(AND(ISTEXT(KOL_Source_Data!$T$11),KOL_Source_Data!$T$11&lt;&gt;"N/A"),KOL_Source_Data!$T$11,"")&amp;" | "&amp;IF(AND(ISTEXT(KOL_Source_Data!$N$11),KOL_Source_Data!$N$11&lt;&gt;"N/A"),KOL_Source_Data!$N$11,"")&amp;" | "&amp;IF(AND(ISTEXT(KOL_Source_Data!$O$11),KOL_Source_Data!$O$11&lt;&gt;"N/A"),KOL_Source_Data!$O$11,"")&amp;" | "&amp;IF(AND(ISTEXT(KOL_Source_Data!$S$11),KOL_Source_Data!$S$11&lt;&gt;"N/A"),KOL_Source_Data!$S$11,"")</f>
      </c>
      <c r="BF11" s="11">
        <f>IF(AND(ISTEXT(KOL_Source_Data!$U$11),KOL_Source_Data!$U$11&lt;&gt;"N/A"),KOL_Source_Data!$U$11,"")</f>
      </c>
      <c r="BG11" s="11">
        <f>Matching_Engine!$A$11&amp;"|"&amp;Matching_Engine!$C$11</f>
      </c>
    </row>
    <row r="12" spans="1:59" x14ac:dyDescent="0.25">
      <c r="A12" s="10" t="s">
        <v>390</v>
      </c>
      <c r="B12" s="11">
        <f>Brand_Profile!$E$6</f>
      </c>
      <c r="C12" s="11">
        <f>KOL_Source_Data!$A$12</f>
      </c>
      <c r="D12" s="11">
        <f>KOL_Source_Data!$C$12</f>
      </c>
      <c r="E12" s="11">
        <f>KOL_Source_Data!$D$12</f>
      </c>
      <c r="F12" s="11">
        <f>KOL_Source_Data!$E$12</f>
      </c>
      <c r="G12" s="11">
        <f>KOL_Source_Data!$K$12</f>
      </c>
      <c r="H12" s="12">
        <f>KOL_Source_Data!$G$12</f>
      </c>
      <c r="I12" s="14">
        <f>KOL_Source_Data!$BG$12</f>
      </c>
      <c r="J12" s="18">
        <f>IF(NOT(AND(ISTEXT(KOL_Source_Data!$K$12),KOL_Source_Data!$K$12&lt;&gt;"N/A")),Lookup_Lists!$D$150,IF(Brand_Profile!$E$7=KOL_Source_Data!$K$12,100,IFERROR(INDEX(Lookup_Lists!$B$349:$J$357,MATCH(Brand_Profile!$E$7,Lookup_Lists!$A$349:$A$357,0),MATCH(KOL_Source_Data!$K$12,Lookup_Lists!$B$348:$J$348,0)),Lookup_Lists!$D$151)))</f>
      </c>
      <c r="K12" s="18">
        <f>IF(LEN(TRIM(SUBSTITUTE(Matching_Engine!$BD$12,"|","")))=0,"N/A",IF(Brand_Profile!$E$47=0,Lookup_Lists!$D$150,ROUND((IF(Brand_Profile!$E$41="",0,IF(ISNUMBER(SEARCH(Brand_Profile!$E$41,Matching_Engine!$BD$12)),1,0))+IF(Brand_Profile!$E$42="",0,IF(ISNUMBER(SEARCH(Brand_Profile!$E$42,Matching_Engine!$BD$12)),1,0))+IF(Brand_Profile!$E$43="",0,IF(ISNUMBER(SEARCH(Brand_Profile!$E$43,Matching_Engine!$BD$12)),1,0))+IF(Brand_Profile!$E$44="",0,IF(ISNUMBER(SEARCH(Brand_Profile!$E$44,Matching_Engine!$BD$12)),1,0))+IF(Brand_Profile!$E$45="",0,IF(ISNUMBER(SEARCH(Brand_Profile!$E$45,Matching_Engine!$BD$12)),1,0))+IF(Brand_Profile!$E$46="",0,IF(ISNUMBER(SEARCH(Brand_Profile!$E$46,Matching_Engine!$BD$12)),1,0)))/Brand_Profile!$E$47*100,0)))</f>
      </c>
      <c r="L12" s="18">
        <f>IF(NOT(AND(ISTEXT(KOL_Source_Data!$U$12),KOL_Source_Data!$U$12&lt;&gt;"N/A")),"N/A",IF(Brand_Profile!$E$53=0,Lookup_Lists!$D$150,ROUND((IF(Brand_Profile!$E$48="",0,IF(ISNUMBER(SEARCH(Brand_Profile!$E$48,Matching_Engine!$BF$12)),1,0))+IF(Brand_Profile!$E$49="",0,IF(ISNUMBER(SEARCH(Brand_Profile!$E$49,Matching_Engine!$BF$12)),1,0))+IF(Brand_Profile!$E$50="",0,IF(ISNUMBER(SEARCH(Brand_Profile!$E$50,Matching_Engine!$BF$12)),1,0))+IF(Brand_Profile!$E$51="",0,IF(ISNUMBER(SEARCH(Brand_Profile!$E$51,Matching_Engine!$BF$12)),1,0))+IF(Brand_Profile!$E$52="",0,IF(ISNUMBER(SEARCH(Brand_Profile!$E$52,Matching_Engine!$BF$12)),1,0)))/Brand_Profile!$E$53*100,0)))</f>
      </c>
      <c r="M12" s="29">
        <f>IF((IF(ISNUMBER(Matching_Engine!$J$12),Lookup_Lists!$D$332,0)+IF(ISNUMBER(Matching_Engine!$K$12),Lookup_Lists!$D$333,0)+IF(ISNUMBER(Matching_Engine!$L$12),Lookup_Lists!$D$334,0))=0,"N/A",ROUND((IF(ISNUMBER(Matching_Engine!$J$12),Matching_Engine!$J$12*Lookup_Lists!$D$332,0)+IF(ISNUMBER(Matching_Engine!$K$12),Matching_Engine!$K$12*Lookup_Lists!$D$333,0)+IF(ISNUMBER(Matching_Engine!$L$12),Matching_Engine!$L$12*Lookup_Lists!$D$334,0))/(IF(ISNUMBER(Matching_Engine!$J$12),Lookup_Lists!$D$332,0)+IF(ISNUMBER(Matching_Engine!$K$12),Lookup_Lists!$D$333,0)+IF(ISNUMBER(Matching_Engine!$L$12),Lookup_Lists!$D$334,0)),0))</f>
      </c>
      <c r="N12" s="11">
        <f>IF(ISNUMBER(Matching_Engine!$M$12),1,0)</f>
      </c>
      <c r="O12" s="18">
        <f>IF(NOT(ISNUMBER(IFERROR(INDEX(KOL_Source_Data!$V$12:KOL_Source_Data!$Z$12,1,MATCH(Brand_Profile!$E$11,Lookup_Lists!$F$6:$F$10,0)),""))),"N/A",MIN(100,ROUND((IFERROR(INDEX(KOL_Source_Data!$V$12:KOL_Source_Data!$Z$12,1,MATCH(Brand_Profile!$E$11,Lookup_Lists!$F$6:$F$10,0)),"")+0.5*IF(ISNUMBER(IFERROR(INDEX(KOL_Source_Data!$V$12:KOL_Source_Data!$Z$12,1,MATCH(Brand_Profile!$E$12,Lookup_Lists!$F$6:$F$10,0)),"")),IFERROR(INDEX(KOL_Source_Data!$V$12:KOL_Source_Data!$Z$12,1,MATCH(Brand_Profile!$E$12,Lookup_Lists!$F$6:$F$10,0)),""),0))/Lookup_Lists!$D$142*100,0)))</f>
      </c>
      <c r="P12" s="18">
        <f>IF(Brand_Profile!$E$13="Any",100,IF(NOT(ISNUMBER(KOL_Source_Data!$AA$12)),"N/A",IF(Brand_Profile!$E$13="Female",MIN(100,ROUND(KOL_Source_Data!$AA$12/Lookup_Lists!$D$143*100,0)),IF(Brand_Profile!$E$13="Male",MIN(100,ROUND(IF(ISNUMBER(KOL_Source_Data!$AB$12),KOL_Source_Data!$AB$12,100-KOL_Source_Data!$AA$12)/Lookup_Lists!$D$143*100,0)),MAX(0,ROUND(100-ABS(KOL_Source_Data!$AA$12-50)*2,0))))))</f>
      </c>
      <c r="Q12" s="18">
        <f>IF((IF(ISNUMBER(IF(NOT(ISNUMBER(KOL_Source_Data!$AE$12)),"N/A",IF(KOL_Source_Data!$AD$12&lt;&gt;Brand_Profile!$E$14,Lookup_Lists!$D$151,MIN(100,ROUND(KOL_Source_Data!$AE$12/Lookup_Lists!$D$316*100,0))))),Lookup_Lists!$D$118,0)+IF(ISNUMBER(IF(NOT(ISNUMBER(KOL_Source_Data!$AM$12)),"N/A",MIN(100,ROUND((IF(KOL_Source_Data!$AG$12=Brand_Profile!$E$15,IF(ISNUMBER(KOL_Source_Data!$AH$12),KOL_Source_Data!$AH$12,0),0)+IF(KOL_Source_Data!$AI$12=Brand_Profile!$E$15,IF(ISNUMBER(KOL_Source_Data!$AJ$12),KOL_Source_Data!$AJ$12,0),0)+IF(KOL_Source_Data!$AK$12=Brand_Profile!$E$15,IF(ISNUMBER(KOL_Source_Data!$AL$12),KOL_Source_Data!$AL$12,0),0))/Lookup_Lists!$D$317*100,0)))),Lookup_Lists!$D$120,0))=0,"N/A",ROUND((IF(ISNUMBER(IF(NOT(ISNUMBER(KOL_Source_Data!$AE$12)),"N/A",IF(KOL_Source_Data!$AD$12&lt;&gt;Brand_Profile!$E$14,Lookup_Lists!$D$151,MIN(100,ROUND(KOL_Source_Data!$AE$12/Lookup_Lists!$D$316*100,0))))),IF(NOT(ISNUMBER(KOL_Source_Data!$AE$12)),"N/A",IF(KOL_Source_Data!$AD$12&lt;&gt;Brand_Profile!$E$14,Lookup_Lists!$D$151,MIN(100,ROUND(KOL_Source_Data!$AE$12/Lookup_Lists!$D$316*100,0))))*Lookup_Lists!$D$118,0)+IF(ISNUMBER(IF(NOT(ISNUMBER(KOL_Source_Data!$AM$12)),"N/A",MIN(100,ROUND((IF(KOL_Source_Data!$AG$12=Brand_Profile!$E$15,IF(ISNUMBER(KOL_Source_Data!$AH$12),KOL_Source_Data!$AH$12,0),0)+IF(KOL_Source_Data!$AI$12=Brand_Profile!$E$15,IF(ISNUMBER(KOL_Source_Data!$AJ$12),KOL_Source_Data!$AJ$12,0),0)+IF(KOL_Source_Data!$AK$12=Brand_Profile!$E$15,IF(ISNUMBER(KOL_Source_Data!$AL$12),KOL_Source_Data!$AL$12,0),0))/Lookup_Lists!$D$317*100,0)))),IF(NOT(ISNUMBER(KOL_Source_Data!$AM$12)),"N/A",MIN(100,ROUND((IF(KOL_Source_Data!$AG$12=Brand_Profile!$E$15,IF(ISNUMBER(KOL_Source_Data!$AH$12),KOL_Source_Data!$AH$12,0),0)+IF(KOL_Source_Data!$AI$12=Brand_Profile!$E$15,IF(ISNUMBER(KOL_Source_Data!$AJ$12),KOL_Source_Data!$AJ$12,0),0)+IF(KOL_Source_Data!$AK$12=Brand_Profile!$E$15,IF(ISNUMBER(KOL_Source_Data!$AL$12),KOL_Source_Data!$AL$12,0),0))/Lookup_Lists!$D$317*100,0)))*Lookup_Lists!$D$120,0))/(IF(ISNUMBER(IF(NOT(ISNUMBER(KOL_Source_Data!$AE$12)),"N/A",IF(KOL_Source_Data!$AD$12&lt;&gt;Brand_Profile!$E$14,Lookup_Lists!$D$151,MIN(100,ROUND(KOL_Source_Data!$AE$12/Lookup_Lists!$D$316*100,0))))),Lookup_Lists!$D$118,0)+IF(ISNUMBER(IF(NOT(ISNUMBER(KOL_Source_Data!$AM$12)),"N/A",MIN(100,ROUND((IF(KOL_Source_Data!$AG$12=Brand_Profile!$E$15,IF(ISNUMBER(KOL_Source_Data!$AH$12),KOL_Source_Data!$AH$12,0),0)+IF(KOL_Source_Data!$AI$12=Brand_Profile!$E$15,IF(ISNUMBER(KOL_Source_Data!$AJ$12),KOL_Source_Data!$AJ$12,0),0)+IF(KOL_Source_Data!$AK$12=Brand_Profile!$E$15,IF(ISNUMBER(KOL_Source_Data!$AL$12),KOL_Source_Data!$AL$12,0),0))/Lookup_Lists!$D$317*100,0)))),Lookup_Lists!$D$120,0)),0))</f>
      </c>
      <c r="R12" s="18">
        <f>IF(NOT(ISNUMBER(KOL_Source_Data!$AN$12)),"N/A",MIN(100,ROUND((IF(ISNUMBER(KOL_Source_Data!$AO$12),KOL_Source_Data!$AO$12*Brand_Profile!$E$17,0)+IF(ISNUMBER(KOL_Source_Data!$AP$12),KOL_Source_Data!$AP$12*Brand_Profile!$E$18,0)+IF(ISNUMBER(KOL_Source_Data!$AQ$12),KOL_Source_Data!$AQ$12*Brand_Profile!$E$19,0)+IF(ISNUMBER(KOL_Source_Data!$AR$12),KOL_Source_Data!$AR$12*Brand_Profile!$E$20,0)+IF(ISNUMBER(KOL_Source_Data!$AS$12),KOL_Source_Data!$AS$12*Brand_Profile!$E$21,0)+IF(ISNUMBER(KOL_Source_Data!$AT$12),KOL_Source_Data!$AT$12*Brand_Profile!$E$22,0)+IF(ISNUMBER(KOL_Source_Data!$AU$12),KOL_Source_Data!$AU$12*Brand_Profile!$E$23,0)+IF(ISNUMBER(KOL_Source_Data!$AV$12),KOL_Source_Data!$AV$12*Brand_Profile!$E$24,0)+IF(ISNUMBER(KOL_Source_Data!$AW$12),KOL_Source_Data!$AW$12*Brand_Profile!$E$25,0)+IF(ISNUMBER(KOL_Source_Data!$AX$12),KOL_Source_Data!$AX$12*Brand_Profile!$E$26,0)+IF(ISNUMBER(KOL_Source_Data!$AY$12),KOL_Source_Data!$AY$12*Brand_Profile!$E$27,0)+IF(ISNUMBER(KOL_Source_Data!$AZ$12),KOL_Source_Data!$AZ$12*Brand_Profile!$E$28,0)+IF(ISNUMBER(KOL_Source_Data!$BA$12),KOL_Source_Data!$BA$12*Brand_Profile!$E$29,0)+IF(ISNUMBER(KOL_Source_Data!$BB$12),KOL_Source_Data!$BB$12*Brand_Profile!$E$30,0)+IF(ISNUMBER(KOL_Source_Data!$BC$12),KOL_Source_Data!$BC$12*Brand_Profile!$E$31,0)+IF(ISNUMBER(KOL_Source_Data!$BD$12),KOL_Source_Data!$BD$12*Brand_Profile!$E$32,0)+IF(ISNUMBER(KOL_Source_Data!$BE$12),KOL_Source_Data!$BE$12*Brand_Profile!$E$33,0)+IF(ISNUMBER(KOL_Source_Data!$BF$12),KOL_Source_Data!$BF$12*Brand_Profile!$E$34,0))/Lookup_Lists!$D$318*100,0)))</f>
      </c>
      <c r="S12" s="29">
        <f>IF((IF(ISNUMBER(Matching_Engine!$O$12),Lookup_Lists!$D$113,0)+IF(ISNUMBER(Matching_Engine!$P$12),Lookup_Lists!$D$114,0)+IF(ISNUMBER(Matching_Engine!$Q$12),Lookup_Lists!$D$115,0)+IF(ISNUMBER(Matching_Engine!$R$12),Lookup_Lists!$D$116,0))=0,"N/A",ROUND((IF(ISNUMBER(Matching_Engine!$O$12),Matching_Engine!$O$12*Lookup_Lists!$D$113,0)+IF(ISNUMBER(Matching_Engine!$P$12),Matching_Engine!$P$12*Lookup_Lists!$D$114,0)+IF(ISNUMBER(Matching_Engine!$Q$12),Matching_Engine!$Q$12*Lookup_Lists!$D$115,0)+IF(ISNUMBER(Matching_Engine!$R$12),Matching_Engine!$R$12*Lookup_Lists!$D$116,0))/(IF(ISNUMBER(Matching_Engine!$O$12),Lookup_Lists!$D$113,0)+IF(ISNUMBER(Matching_Engine!$P$12),Lookup_Lists!$D$114,0)+IF(ISNUMBER(Matching_Engine!$Q$12),Lookup_Lists!$D$115,0)+IF(ISNUMBER(Matching_Engine!$R$12),Lookup_Lists!$D$116,0)),0))</f>
      </c>
      <c r="T12" s="11">
        <f>IF(ISNUMBER(Matching_Engine!$S$12),1,0)</f>
      </c>
      <c r="U12" s="18">
        <f>IF(NOT(AND(ISTEXT(KOL_Source_Data!$M$12),KOL_Source_Data!$M$12&lt;&gt;"N/A")),Lookup_Lists!$D$150,IF(Brand_Profile!$E$7=KOL_Source_Data!$M$12,100,IFERROR(INDEX(Lookup_Lists!$B$349:$J$357,MATCH(Brand_Profile!$E$7,Lookup_Lists!$A$349:$A$357,0),MATCH(KOL_Source_Data!$M$12,Lookup_Lists!$B$348:$J$348,0)),Lookup_Lists!$D$151)))</f>
      </c>
      <c r="V12" s="18">
        <f>IF(NOT(AND(ISTEXT(KOL_Source_Data!$P$12),KOL_Source_Data!$P$12&lt;&gt;"N/A")),"N/A",IFERROR(INDEX(Lookup_Lists!$B$349:$J$357,MATCH(Brand_Profile!$E$7,Lookup_Lists!$A$349:$A$357,0),MATCH(KOL_Source_Data!$P$12,Lookup_Lists!$B$348:$J$348,0)),Lookup_Lists!$D$151))</f>
      </c>
      <c r="W12" s="18">
        <f>IF(LEN(TRIM(SUBSTITUTE(Matching_Engine!$BE$12,"|","")))=0,"N/A",IF(Brand_Profile!$E$60=0,Lookup_Lists!$D$150,ROUND((IF(Brand_Profile!$E$54="",0,IF(ISNUMBER(SEARCH(Brand_Profile!$E$54,Matching_Engine!$BE$12)),1,0))+IF(Brand_Profile!$E$55="",0,IF(ISNUMBER(SEARCH(Brand_Profile!$E$55,Matching_Engine!$BE$12)),1,0))+IF(Brand_Profile!$E$56="",0,IF(ISNUMBER(SEARCH(Brand_Profile!$E$56,Matching_Engine!$BE$12)),1,0))+IF(Brand_Profile!$E$57="",0,IF(ISNUMBER(SEARCH(Brand_Profile!$E$57,Matching_Engine!$BE$12)),1,0))+IF(Brand_Profile!$E$58="",0,IF(ISNUMBER(SEARCH(Brand_Profile!$E$58,Matching_Engine!$BE$12)),1,0))+IF(Brand_Profile!$E$59="",0,IF(ISNUMBER(SEARCH(Brand_Profile!$E$59,Matching_Engine!$BE$12)),1,0)))/Brand_Profile!$E$60*100,0)))</f>
      </c>
      <c r="X12" s="18">
        <f>IF(NOT(AND(ISTEXT(KOL_Source_Data!$Q$12),KOL_Source_Data!$Q$12&lt;&gt;"N/A")),"N/A",Lookup_Lists!$D$150)</f>
      </c>
      <c r="Y12" s="29">
        <f>IF((IF(ISNUMBER(Matching_Engine!$U$12),Lookup_Lists!$D$335,0)+IF(ISNUMBER(Matching_Engine!$V$12),Lookup_Lists!$D$122,0)+IF(ISNUMBER(Matching_Engine!$W$12),Lookup_Lists!$D$336,0)+IF(ISNUMBER(Matching_Engine!$X$12),Lookup_Lists!$D$124,0))=0,"N/A",ROUND((IF(ISNUMBER(Matching_Engine!$U$12),Matching_Engine!$U$12*Lookup_Lists!$D$335,0)+IF(ISNUMBER(Matching_Engine!$V$12),Matching_Engine!$V$12*Lookup_Lists!$D$122,0)+IF(ISNUMBER(Matching_Engine!$W$12),Matching_Engine!$W$12*Lookup_Lists!$D$336,0)+IF(ISNUMBER(Matching_Engine!$X$12),Matching_Engine!$X$12*Lookup_Lists!$D$124,0))/(IF(ISNUMBER(Matching_Engine!$U$12),Lookup_Lists!$D$335,0)+IF(ISNUMBER(Matching_Engine!$V$12),Lookup_Lists!$D$122,0)+IF(ISNUMBER(Matching_Engine!$W$12),Lookup_Lists!$D$336,0)+IF(ISNUMBER(Matching_Engine!$X$12),Lookup_Lists!$D$124,0)),0))</f>
      </c>
      <c r="Z12" s="11">
        <f>IF(ISNUMBER(Matching_Engine!$Y$12),1,0)</f>
      </c>
      <c r="AA12" s="18">
        <f>IF(NOT(AND(ISTEXT(KOL_Source_Data!$Q$12),KOL_Source_Data!$Q$12&lt;&gt;"N/A")),"N/A",Lookup_Lists!$D$150)</f>
      </c>
      <c r="AB12" s="18">
        <f>IF(NOT(AND(ISTEXT(KOL_Source_Data!$Q$12),KOL_Source_Data!$Q$12&lt;&gt;"N/A")),"N/A",Lookup_Lists!$D$150)</f>
      </c>
      <c r="AC12" s="18">
        <f>"N/A"</f>
      </c>
      <c r="AD12" s="18">
        <f>IF(NOT(AND(ISTEXT(KOL_Source_Data!$Q$12),KOL_Source_Data!$Q$12&lt;&gt;"N/A")),"N/A",Lookup_Lists!$D$150)</f>
      </c>
      <c r="AE12" s="29">
        <f>IF((IF(ISNUMBER(Matching_Engine!$AA$12),Lookup_Lists!$D$125,0)+IF(ISNUMBER(Matching_Engine!$AB$12),Lookup_Lists!$D$126,0)+IF(ISNUMBER(Matching_Engine!$AC$12),Lookup_Lists!$D$127,0)+IF(ISNUMBER(Matching_Engine!$AD$12),Lookup_Lists!$D$128,0))=0,"N/A",ROUND((IF(ISNUMBER(Matching_Engine!$AA$12),Matching_Engine!$AA$12*Lookup_Lists!$D$125,0)+IF(ISNUMBER(Matching_Engine!$AB$12),Matching_Engine!$AB$12*Lookup_Lists!$D$126,0)+IF(ISNUMBER(Matching_Engine!$AC$12),Matching_Engine!$AC$12*Lookup_Lists!$D$127,0)+IF(ISNUMBER(Matching_Engine!$AD$12),Matching_Engine!$AD$12*Lookup_Lists!$D$128,0))/(IF(ISNUMBER(Matching_Engine!$AA$12),Lookup_Lists!$D$125,0)+IF(ISNUMBER(Matching_Engine!$AB$12),Lookup_Lists!$D$126,0)+IF(ISNUMBER(Matching_Engine!$AC$12),Lookup_Lists!$D$127,0)+IF(ISNUMBER(Matching_Engine!$AD$12),Lookup_Lists!$D$128,0)),0))</f>
      </c>
      <c r="AF12" s="11">
        <f>IF(ISNUMBER(Matching_Engine!$AE$12),1,0)</f>
      </c>
      <c r="AG12" s="18">
        <f>IF(NOT(ISNUMBER(KOL_Source_Data!$BG$12)),"N/A",MIN(100,ROUND(KOL_Source_Data!$BG$12/IFERROR(INDEX(Lookup_Lists!$B$340:$B$344,MATCH(KOL_Source_Data!$H$12,Lookup_Lists!$A$340:$A$344,0)),Lookup_Lists!$D$141)*100,0)))</f>
      </c>
      <c r="AH12" s="18">
        <f>IF(NOT(ISNUMBER(KOL_Source_Data!$BS$12)),"N/A",MIN(100,MAX(0,KOL_Source_Data!$BS$12)))</f>
      </c>
      <c r="AI12" s="18">
        <f>IF(OR(NOT(ISNUMBER(KOL_Source_Data!$BM$12)),NOT(ISNUMBER(KOL_Source_Data!$BN$12)),KOL_Source_Data!$BN$12&lt;Lookup_Lists!$D$320),"N/A",MIN(100,ROUND(KOL_Source_Data!$BM$12/Lookup_Lists!$D$319*100,0)))</f>
      </c>
      <c r="AJ12" s="18">
        <f>IF(NOT(ISNUMBER(KOL_Source_Data!$BR$12)),"N/A",KOL_Source_Data!$BR$12)</f>
      </c>
      <c r="AK12" s="18">
        <f>IF(NOT(ISNUMBER(KOL_Source_Data!$BK$12)),"N/A",MIN(100,ROUND(KOL_Source_Data!$BK$12/Lookup_Lists!$D$321*100,0)))</f>
      </c>
      <c r="AL12" s="18">
        <f>IF(NOT(ISNUMBER(KOL_Source_Data!$BP$12)),"N/A",MIN(100,MAX(0,ROUND((KOL_Source_Data!$BP$12+2)/(Lookup_Lists!$D$145+2)*100,0))))</f>
      </c>
      <c r="AM12" s="29">
        <f>IF((IF(ISNUMBER(Matching_Engine!$AG$12),Lookup_Lists!$D$129,0)+IF(ISNUMBER(Matching_Engine!$AH$12),Lookup_Lists!$D$130,0)+IF(ISNUMBER(Matching_Engine!$AI$12),Lookup_Lists!$D$131,0)+IF(ISNUMBER(Matching_Engine!$AJ$12),Lookup_Lists!$D$132,0)+IF(ISNUMBER(Matching_Engine!$AK$12),Lookup_Lists!$D$133,0)+IF(ISNUMBER(Matching_Engine!$AL$12),Lookup_Lists!$D$134,0))=0,"N/A",ROUND((IF(ISNUMBER(Matching_Engine!$AG$12),Matching_Engine!$AG$12*Lookup_Lists!$D$129,0)+IF(ISNUMBER(Matching_Engine!$AH$12),Matching_Engine!$AH$12*Lookup_Lists!$D$130,0)+IF(ISNUMBER(Matching_Engine!$AI$12),Matching_Engine!$AI$12*Lookup_Lists!$D$131,0)+IF(ISNUMBER(Matching_Engine!$AJ$12),Matching_Engine!$AJ$12*Lookup_Lists!$D$132,0)+IF(ISNUMBER(Matching_Engine!$AK$12),Matching_Engine!$AK$12*Lookup_Lists!$D$133,0)+IF(ISNUMBER(Matching_Engine!$AL$12),Matching_Engine!$AL$12*Lookup_Lists!$D$134,0))/(IF(ISNUMBER(Matching_Engine!$AG$12),Lookup_Lists!$D$129,0)+IF(ISNUMBER(Matching_Engine!$AH$12),Lookup_Lists!$D$130,0)+IF(ISNUMBER(Matching_Engine!$AI$12),Lookup_Lists!$D$131,0)+IF(ISNUMBER(Matching_Engine!$AJ$12),Lookup_Lists!$D$132,0)+IF(ISNUMBER(Matching_Engine!$AK$12),Lookup_Lists!$D$133,0)+IF(ISNUMBER(Matching_Engine!$AL$12),Lookup_Lists!$D$134,0)),0))</f>
      </c>
      <c r="AN12" s="11">
        <f>IF(ISNUMBER(Matching_Engine!$AM$12),1,0)</f>
      </c>
      <c r="AO12" s="18">
        <f>IF(NOT(ISNUMBER(KOL_Source_Data!$BT$12)),"N/A",MIN(100,MAX(0,KOL_Source_Data!$BT$12)))</f>
      </c>
      <c r="AP12" s="18">
        <f>IF(NOT(ISNUMBER(KOL_Source_Data!$BU$12)),"N/A",MIN(100,MAX(0,KOL_Source_Data!$BU$12)))</f>
      </c>
      <c r="AQ12" s="18">
        <f>IF(KOL_Source_Data!$I$12="Yes",Lookup_Lists!$D$326,IF(KOL_Source_Data!$I$12="No",Lookup_Lists!$D$327,"N/A"))</f>
      </c>
      <c r="AR12" s="18">
        <f>IF(NOT(ISNUMBER(KOL_Source_Data!$BQ$12)),"N/A",MAX(0,ROUND(100-KOL_Source_Data!$BQ$12/Lookup_Lists!$D$328*100,0)))</f>
      </c>
      <c r="AS12" s="18">
        <f>IF(NOT(AND(ISTEXT(KOL_Source_Data!$BV$12),KOL_Source_Data!$BV$12&lt;&gt;"N/A")),"N/A",KOL_Source_Data!$BV$12)</f>
      </c>
      <c r="AT12" s="29">
        <f>IF((IF(ISNUMBER(Matching_Engine!$AO$12),Lookup_Lists!$D$322,0)+IF(ISNUMBER(Matching_Engine!$AP$12),Lookup_Lists!$D$323,0)+IF(ISNUMBER(Matching_Engine!$AQ$12),Lookup_Lists!$D$324,0)+IF(ISNUMBER(Matching_Engine!$AR$12),Lookup_Lists!$D$325,0))=0,"N/A",ROUND((IF(ISNUMBER(Matching_Engine!$AO$12),Matching_Engine!$AO$12*Lookup_Lists!$D$322,0)+IF(ISNUMBER(Matching_Engine!$AP$12),Matching_Engine!$AP$12*Lookup_Lists!$D$323,0)+IF(ISNUMBER(Matching_Engine!$AQ$12),Matching_Engine!$AQ$12*Lookup_Lists!$D$324,0)+IF(ISNUMBER(Matching_Engine!$AR$12),Matching_Engine!$AR$12*Lookup_Lists!$D$325,0))/(IF(ISNUMBER(Matching_Engine!$AO$12),Lookup_Lists!$D$322,0)+IF(ISNUMBER(Matching_Engine!$AP$12),Lookup_Lists!$D$323,0)+IF(ISNUMBER(Matching_Engine!$AQ$12),Lookup_Lists!$D$324,0)+IF(ISNUMBER(Matching_Engine!$AR$12),Lookup_Lists!$D$325,0)),0))</f>
      </c>
      <c r="AU12" s="11">
        <f>IF(ISNUMBER(Matching_Engine!$AT$12),1,0)</f>
      </c>
      <c r="AV12" s="11">
        <f>IF(NOT(ISNUMBER(Matching_Engine!$AT$12)),"Not Screened",IF(Matching_Engine!$AT$12&gt;=Lookup_Lists!$D$329,"Low Risk",IF(Matching_Engine!$AT$12&gt;=Lookup_Lists!$D$330,"Moderate Risk",IF(Matching_Engine!$AT$12&gt;=Lookup_Lists!$D$331,"Elevated Risk","High Risk"))))</f>
      </c>
      <c r="AW12" s="11">
        <f>IF(NOT(ISNUMBER(Matching_Engine!$AT$12)),"No integrity signal: no audience-analysis row for this account.","Integrity screen only — no content-risk reading exists (comments_analysis: 0 rows). "&amp;IF(ISNUMBER(Matching_Engine!$AO$12),"Authenticity "&amp;Matching_Engine!$AO$12&amp;". ","Authenticity N/A. ")&amp;IF(ISNUMBER(Matching_Engine!$AP$12),"Follower quality "&amp;Matching_Engine!$AP$12&amp;". ","Follower quality N/A. ")&amp;IF(KOL_Source_Data!$I$12="Yes","Platform-verified.","Not platform-verified."))</f>
      </c>
      <c r="AX12" s="18">
        <f>Matching_Engine!$N$12*Lookup_Lists!$D$104+Matching_Engine!$T$12*Lookup_Lists!$D$105+Matching_Engine!$Z$12*Lookup_Lists!$D$106+Matching_Engine!$AF$12*Lookup_Lists!$D$107+Matching_Engine!$AN$12*Lookup_Lists!$D$108+Matching_Engine!$AU$12*Lookup_Lists!$D$109</f>
      </c>
      <c r="AY12" s="30">
        <f>IF(Matching_Engine!$AX$12=0,"N/A",ROUND((IF(Matching_Engine!$N$12=1,Matching_Engine!$M$12*Lookup_Lists!$D$104,0)+IF(Matching_Engine!$T$12=1,Matching_Engine!$S$12*Lookup_Lists!$D$105,0)+IF(Matching_Engine!$Z$12=1,Matching_Engine!$Y$12*Lookup_Lists!$D$106,0)+IF(Matching_Engine!$AF$12=1,Matching_Engine!$AE$12*Lookup_Lists!$D$107,0)+IF(Matching_Engine!$AN$12=1,Matching_Engine!$AM$12*Lookup_Lists!$D$108,0)+IF(Matching_Engine!$AU$12=1,Matching_Engine!$AT$12*Lookup_Lists!$D$109,0))/Matching_Engine!$AX$12,0))</f>
      </c>
      <c r="AZ12" s="11">
        <f>IF(NOT(ISNUMBER(Matching_Engine!$AY$12)),"Not Scored",IF(Matching_Engine!$AY$12&gt;=Lookup_Lists!$D$152,"Excellent Match",IF(Matching_Engine!$AY$12&gt;=Lookup_Lists!$D$153,"Strong Match",IF(Matching_Engine!$AY$12&gt;=Lookup_Lists!$D$154,"Good Match",IF(Matching_Engine!$AY$12&gt;=Lookup_Lists!$D$155,"Moderate Match","Low Match")))))</f>
      </c>
      <c r="BA12" s="18">
        <f>KOL_Source_Data!$BW$12</f>
      </c>
      <c r="BB12" s="11">
        <f>KOL_Source_Data!$BX$12</f>
      </c>
      <c r="BC12" s="18">
        <f>IF(NOT(ISNUMBER(Matching_Engine!$AY$12)),-1,Matching_Engine!$AY$12*1000+18)</f>
      </c>
      <c r="BD12" s="11">
        <f>IF(AND(ISTEXT(KOL_Source_Data!$S$12),KOL_Source_Data!$S$12&lt;&gt;"N/A"),KOL_Source_Data!$S$12,"")&amp;" | "&amp;IF(AND(ISTEXT(KOL_Source_Data!$T$12),KOL_Source_Data!$T$12&lt;&gt;"N/A"),KOL_Source_Data!$T$12,"")&amp;" | "&amp;IF(AND(ISTEXT(KOL_Source_Data!$N$12),KOL_Source_Data!$N$12&lt;&gt;"N/A"),KOL_Source_Data!$N$12,"")&amp;" | "&amp;IF(AND(ISTEXT(KOL_Source_Data!$K$12),KOL_Source_Data!$K$12&lt;&gt;"N/A"),KOL_Source_Data!$K$12,"")&amp;" | "&amp;IF(AND(ISTEXT(KOL_Source_Data!$J$12),KOL_Source_Data!$J$12&lt;&gt;"N/A"),KOL_Source_Data!$J$12,"")</f>
      </c>
      <c r="BE12" s="11">
        <f>IF(AND(ISTEXT(KOL_Source_Data!$T$12),KOL_Source_Data!$T$12&lt;&gt;"N/A"),KOL_Source_Data!$T$12,"")&amp;" | "&amp;IF(AND(ISTEXT(KOL_Source_Data!$N$12),KOL_Source_Data!$N$12&lt;&gt;"N/A"),KOL_Source_Data!$N$12,"")&amp;" | "&amp;IF(AND(ISTEXT(KOL_Source_Data!$O$12),KOL_Source_Data!$O$12&lt;&gt;"N/A"),KOL_Source_Data!$O$12,"")&amp;" | "&amp;IF(AND(ISTEXT(KOL_Source_Data!$S$12),KOL_Source_Data!$S$12&lt;&gt;"N/A"),KOL_Source_Data!$S$12,"")</f>
      </c>
      <c r="BF12" s="11">
        <f>IF(AND(ISTEXT(KOL_Source_Data!$U$12),KOL_Source_Data!$U$12&lt;&gt;"N/A"),KOL_Source_Data!$U$12,"")</f>
      </c>
      <c r="BG12" s="11">
        <f>Matching_Engine!$A$12&amp;"|"&amp;Matching_Engine!$C$12</f>
      </c>
    </row>
    <row r="13" spans="1:59" x14ac:dyDescent="0.25">
      <c r="A13" s="10" t="s">
        <v>390</v>
      </c>
      <c r="B13" s="11">
        <f>Brand_Profile!$E$6</f>
      </c>
      <c r="C13" s="11">
        <f>KOL_Source_Data!$A$13</f>
      </c>
      <c r="D13" s="11">
        <f>KOL_Source_Data!$C$13</f>
      </c>
      <c r="E13" s="11">
        <f>KOL_Source_Data!$D$13</f>
      </c>
      <c r="F13" s="11">
        <f>KOL_Source_Data!$E$13</f>
      </c>
      <c r="G13" s="11">
        <f>KOL_Source_Data!$K$13</f>
      </c>
      <c r="H13" s="12">
        <f>KOL_Source_Data!$G$13</f>
      </c>
      <c r="I13" s="14">
        <f>KOL_Source_Data!$BG$13</f>
      </c>
      <c r="J13" s="18">
        <f>IF(NOT(AND(ISTEXT(KOL_Source_Data!$K$13),KOL_Source_Data!$K$13&lt;&gt;"N/A")),Lookup_Lists!$D$150,IF(Brand_Profile!$E$7=KOL_Source_Data!$K$13,100,IFERROR(INDEX(Lookup_Lists!$B$349:$J$357,MATCH(Brand_Profile!$E$7,Lookup_Lists!$A$349:$A$357,0),MATCH(KOL_Source_Data!$K$13,Lookup_Lists!$B$348:$J$348,0)),Lookup_Lists!$D$151)))</f>
      </c>
      <c r="K13" s="18">
        <f>IF(LEN(TRIM(SUBSTITUTE(Matching_Engine!$BD$13,"|","")))=0,"N/A",IF(Brand_Profile!$E$47=0,Lookup_Lists!$D$150,ROUND((IF(Brand_Profile!$E$41="",0,IF(ISNUMBER(SEARCH(Brand_Profile!$E$41,Matching_Engine!$BD$13)),1,0))+IF(Brand_Profile!$E$42="",0,IF(ISNUMBER(SEARCH(Brand_Profile!$E$42,Matching_Engine!$BD$13)),1,0))+IF(Brand_Profile!$E$43="",0,IF(ISNUMBER(SEARCH(Brand_Profile!$E$43,Matching_Engine!$BD$13)),1,0))+IF(Brand_Profile!$E$44="",0,IF(ISNUMBER(SEARCH(Brand_Profile!$E$44,Matching_Engine!$BD$13)),1,0))+IF(Brand_Profile!$E$45="",0,IF(ISNUMBER(SEARCH(Brand_Profile!$E$45,Matching_Engine!$BD$13)),1,0))+IF(Brand_Profile!$E$46="",0,IF(ISNUMBER(SEARCH(Brand_Profile!$E$46,Matching_Engine!$BD$13)),1,0)))/Brand_Profile!$E$47*100,0)))</f>
      </c>
      <c r="L13" s="18">
        <f>IF(NOT(AND(ISTEXT(KOL_Source_Data!$U$13),KOL_Source_Data!$U$13&lt;&gt;"N/A")),"N/A",IF(Brand_Profile!$E$53=0,Lookup_Lists!$D$150,ROUND((IF(Brand_Profile!$E$48="",0,IF(ISNUMBER(SEARCH(Brand_Profile!$E$48,Matching_Engine!$BF$13)),1,0))+IF(Brand_Profile!$E$49="",0,IF(ISNUMBER(SEARCH(Brand_Profile!$E$49,Matching_Engine!$BF$13)),1,0))+IF(Brand_Profile!$E$50="",0,IF(ISNUMBER(SEARCH(Brand_Profile!$E$50,Matching_Engine!$BF$13)),1,0))+IF(Brand_Profile!$E$51="",0,IF(ISNUMBER(SEARCH(Brand_Profile!$E$51,Matching_Engine!$BF$13)),1,0))+IF(Brand_Profile!$E$52="",0,IF(ISNUMBER(SEARCH(Brand_Profile!$E$52,Matching_Engine!$BF$13)),1,0)))/Brand_Profile!$E$53*100,0)))</f>
      </c>
      <c r="M13" s="29">
        <f>IF((IF(ISNUMBER(Matching_Engine!$J$13),Lookup_Lists!$D$332,0)+IF(ISNUMBER(Matching_Engine!$K$13),Lookup_Lists!$D$333,0)+IF(ISNUMBER(Matching_Engine!$L$13),Lookup_Lists!$D$334,0))=0,"N/A",ROUND((IF(ISNUMBER(Matching_Engine!$J$13),Matching_Engine!$J$13*Lookup_Lists!$D$332,0)+IF(ISNUMBER(Matching_Engine!$K$13),Matching_Engine!$K$13*Lookup_Lists!$D$333,0)+IF(ISNUMBER(Matching_Engine!$L$13),Matching_Engine!$L$13*Lookup_Lists!$D$334,0))/(IF(ISNUMBER(Matching_Engine!$J$13),Lookup_Lists!$D$332,0)+IF(ISNUMBER(Matching_Engine!$K$13),Lookup_Lists!$D$333,0)+IF(ISNUMBER(Matching_Engine!$L$13),Lookup_Lists!$D$334,0)),0))</f>
      </c>
      <c r="N13" s="11">
        <f>IF(ISNUMBER(Matching_Engine!$M$13),1,0)</f>
      </c>
      <c r="O13" s="18">
        <f>IF(NOT(ISNUMBER(IFERROR(INDEX(KOL_Source_Data!$V$13:KOL_Source_Data!$Z$13,1,MATCH(Brand_Profile!$E$11,Lookup_Lists!$F$6:$F$10,0)),""))),"N/A",MIN(100,ROUND((IFERROR(INDEX(KOL_Source_Data!$V$13:KOL_Source_Data!$Z$13,1,MATCH(Brand_Profile!$E$11,Lookup_Lists!$F$6:$F$10,0)),"")+0.5*IF(ISNUMBER(IFERROR(INDEX(KOL_Source_Data!$V$13:KOL_Source_Data!$Z$13,1,MATCH(Brand_Profile!$E$12,Lookup_Lists!$F$6:$F$10,0)),"")),IFERROR(INDEX(KOL_Source_Data!$V$13:KOL_Source_Data!$Z$13,1,MATCH(Brand_Profile!$E$12,Lookup_Lists!$F$6:$F$10,0)),""),0))/Lookup_Lists!$D$142*100,0)))</f>
      </c>
      <c r="P13" s="18">
        <f>IF(Brand_Profile!$E$13="Any",100,IF(NOT(ISNUMBER(KOL_Source_Data!$AA$13)),"N/A",IF(Brand_Profile!$E$13="Female",MIN(100,ROUND(KOL_Source_Data!$AA$13/Lookup_Lists!$D$143*100,0)),IF(Brand_Profile!$E$13="Male",MIN(100,ROUND(IF(ISNUMBER(KOL_Source_Data!$AB$13),KOL_Source_Data!$AB$13,100-KOL_Source_Data!$AA$13)/Lookup_Lists!$D$143*100,0)),MAX(0,ROUND(100-ABS(KOL_Source_Data!$AA$13-50)*2,0))))))</f>
      </c>
      <c r="Q13" s="18">
        <f>IF((IF(ISNUMBER(IF(NOT(ISNUMBER(KOL_Source_Data!$AE$13)),"N/A",IF(KOL_Source_Data!$AD$13&lt;&gt;Brand_Profile!$E$14,Lookup_Lists!$D$151,MIN(100,ROUND(KOL_Source_Data!$AE$13/Lookup_Lists!$D$316*100,0))))),Lookup_Lists!$D$118,0)+IF(ISNUMBER(IF(NOT(ISNUMBER(KOL_Source_Data!$AM$13)),"N/A",MIN(100,ROUND((IF(KOL_Source_Data!$AG$13=Brand_Profile!$E$15,IF(ISNUMBER(KOL_Source_Data!$AH$13),KOL_Source_Data!$AH$13,0),0)+IF(KOL_Source_Data!$AI$13=Brand_Profile!$E$15,IF(ISNUMBER(KOL_Source_Data!$AJ$13),KOL_Source_Data!$AJ$13,0),0)+IF(KOL_Source_Data!$AK$13=Brand_Profile!$E$15,IF(ISNUMBER(KOL_Source_Data!$AL$13),KOL_Source_Data!$AL$13,0),0))/Lookup_Lists!$D$317*100,0)))),Lookup_Lists!$D$120,0))=0,"N/A",ROUND((IF(ISNUMBER(IF(NOT(ISNUMBER(KOL_Source_Data!$AE$13)),"N/A",IF(KOL_Source_Data!$AD$13&lt;&gt;Brand_Profile!$E$14,Lookup_Lists!$D$151,MIN(100,ROUND(KOL_Source_Data!$AE$13/Lookup_Lists!$D$316*100,0))))),IF(NOT(ISNUMBER(KOL_Source_Data!$AE$13)),"N/A",IF(KOL_Source_Data!$AD$13&lt;&gt;Brand_Profile!$E$14,Lookup_Lists!$D$151,MIN(100,ROUND(KOL_Source_Data!$AE$13/Lookup_Lists!$D$316*100,0))))*Lookup_Lists!$D$118,0)+IF(ISNUMBER(IF(NOT(ISNUMBER(KOL_Source_Data!$AM$13)),"N/A",MIN(100,ROUND((IF(KOL_Source_Data!$AG$13=Brand_Profile!$E$15,IF(ISNUMBER(KOL_Source_Data!$AH$13),KOL_Source_Data!$AH$13,0),0)+IF(KOL_Source_Data!$AI$13=Brand_Profile!$E$15,IF(ISNUMBER(KOL_Source_Data!$AJ$13),KOL_Source_Data!$AJ$13,0),0)+IF(KOL_Source_Data!$AK$13=Brand_Profile!$E$15,IF(ISNUMBER(KOL_Source_Data!$AL$13),KOL_Source_Data!$AL$13,0),0))/Lookup_Lists!$D$317*100,0)))),IF(NOT(ISNUMBER(KOL_Source_Data!$AM$13)),"N/A",MIN(100,ROUND((IF(KOL_Source_Data!$AG$13=Brand_Profile!$E$15,IF(ISNUMBER(KOL_Source_Data!$AH$13),KOL_Source_Data!$AH$13,0),0)+IF(KOL_Source_Data!$AI$13=Brand_Profile!$E$15,IF(ISNUMBER(KOL_Source_Data!$AJ$13),KOL_Source_Data!$AJ$13,0),0)+IF(KOL_Source_Data!$AK$13=Brand_Profile!$E$15,IF(ISNUMBER(KOL_Source_Data!$AL$13),KOL_Source_Data!$AL$13,0),0))/Lookup_Lists!$D$317*100,0)))*Lookup_Lists!$D$120,0))/(IF(ISNUMBER(IF(NOT(ISNUMBER(KOL_Source_Data!$AE$13)),"N/A",IF(KOL_Source_Data!$AD$13&lt;&gt;Brand_Profile!$E$14,Lookup_Lists!$D$151,MIN(100,ROUND(KOL_Source_Data!$AE$13/Lookup_Lists!$D$316*100,0))))),Lookup_Lists!$D$118,0)+IF(ISNUMBER(IF(NOT(ISNUMBER(KOL_Source_Data!$AM$13)),"N/A",MIN(100,ROUND((IF(KOL_Source_Data!$AG$13=Brand_Profile!$E$15,IF(ISNUMBER(KOL_Source_Data!$AH$13),KOL_Source_Data!$AH$13,0),0)+IF(KOL_Source_Data!$AI$13=Brand_Profile!$E$15,IF(ISNUMBER(KOL_Source_Data!$AJ$13),KOL_Source_Data!$AJ$13,0),0)+IF(KOL_Source_Data!$AK$13=Brand_Profile!$E$15,IF(ISNUMBER(KOL_Source_Data!$AL$13),KOL_Source_Data!$AL$13,0),0))/Lookup_Lists!$D$317*100,0)))),Lookup_Lists!$D$120,0)),0))</f>
      </c>
      <c r="R13" s="18">
        <f>IF(NOT(ISNUMBER(KOL_Source_Data!$AN$13)),"N/A",MIN(100,ROUND((IF(ISNUMBER(KOL_Source_Data!$AO$13),KOL_Source_Data!$AO$13*Brand_Profile!$E$17,0)+IF(ISNUMBER(KOL_Source_Data!$AP$13),KOL_Source_Data!$AP$13*Brand_Profile!$E$18,0)+IF(ISNUMBER(KOL_Source_Data!$AQ$13),KOL_Source_Data!$AQ$13*Brand_Profile!$E$19,0)+IF(ISNUMBER(KOL_Source_Data!$AR$13),KOL_Source_Data!$AR$13*Brand_Profile!$E$20,0)+IF(ISNUMBER(KOL_Source_Data!$AS$13),KOL_Source_Data!$AS$13*Brand_Profile!$E$21,0)+IF(ISNUMBER(KOL_Source_Data!$AT$13),KOL_Source_Data!$AT$13*Brand_Profile!$E$22,0)+IF(ISNUMBER(KOL_Source_Data!$AU$13),KOL_Source_Data!$AU$13*Brand_Profile!$E$23,0)+IF(ISNUMBER(KOL_Source_Data!$AV$13),KOL_Source_Data!$AV$13*Brand_Profile!$E$24,0)+IF(ISNUMBER(KOL_Source_Data!$AW$13),KOL_Source_Data!$AW$13*Brand_Profile!$E$25,0)+IF(ISNUMBER(KOL_Source_Data!$AX$13),KOL_Source_Data!$AX$13*Brand_Profile!$E$26,0)+IF(ISNUMBER(KOL_Source_Data!$AY$13),KOL_Source_Data!$AY$13*Brand_Profile!$E$27,0)+IF(ISNUMBER(KOL_Source_Data!$AZ$13),KOL_Source_Data!$AZ$13*Brand_Profile!$E$28,0)+IF(ISNUMBER(KOL_Source_Data!$BA$13),KOL_Source_Data!$BA$13*Brand_Profile!$E$29,0)+IF(ISNUMBER(KOL_Source_Data!$BB$13),KOL_Source_Data!$BB$13*Brand_Profile!$E$30,0)+IF(ISNUMBER(KOL_Source_Data!$BC$13),KOL_Source_Data!$BC$13*Brand_Profile!$E$31,0)+IF(ISNUMBER(KOL_Source_Data!$BD$13),KOL_Source_Data!$BD$13*Brand_Profile!$E$32,0)+IF(ISNUMBER(KOL_Source_Data!$BE$13),KOL_Source_Data!$BE$13*Brand_Profile!$E$33,0)+IF(ISNUMBER(KOL_Source_Data!$BF$13),KOL_Source_Data!$BF$13*Brand_Profile!$E$34,0))/Lookup_Lists!$D$318*100,0)))</f>
      </c>
      <c r="S13" s="29">
        <f>IF((IF(ISNUMBER(Matching_Engine!$O$13),Lookup_Lists!$D$113,0)+IF(ISNUMBER(Matching_Engine!$P$13),Lookup_Lists!$D$114,0)+IF(ISNUMBER(Matching_Engine!$Q$13),Lookup_Lists!$D$115,0)+IF(ISNUMBER(Matching_Engine!$R$13),Lookup_Lists!$D$116,0))=0,"N/A",ROUND((IF(ISNUMBER(Matching_Engine!$O$13),Matching_Engine!$O$13*Lookup_Lists!$D$113,0)+IF(ISNUMBER(Matching_Engine!$P$13),Matching_Engine!$P$13*Lookup_Lists!$D$114,0)+IF(ISNUMBER(Matching_Engine!$Q$13),Matching_Engine!$Q$13*Lookup_Lists!$D$115,0)+IF(ISNUMBER(Matching_Engine!$R$13),Matching_Engine!$R$13*Lookup_Lists!$D$116,0))/(IF(ISNUMBER(Matching_Engine!$O$13),Lookup_Lists!$D$113,0)+IF(ISNUMBER(Matching_Engine!$P$13),Lookup_Lists!$D$114,0)+IF(ISNUMBER(Matching_Engine!$Q$13),Lookup_Lists!$D$115,0)+IF(ISNUMBER(Matching_Engine!$R$13),Lookup_Lists!$D$116,0)),0))</f>
      </c>
      <c r="T13" s="11">
        <f>IF(ISNUMBER(Matching_Engine!$S$13),1,0)</f>
      </c>
      <c r="U13" s="18">
        <f>IF(NOT(AND(ISTEXT(KOL_Source_Data!$M$13),KOL_Source_Data!$M$13&lt;&gt;"N/A")),Lookup_Lists!$D$150,IF(Brand_Profile!$E$7=KOL_Source_Data!$M$13,100,IFERROR(INDEX(Lookup_Lists!$B$349:$J$357,MATCH(Brand_Profile!$E$7,Lookup_Lists!$A$349:$A$357,0),MATCH(KOL_Source_Data!$M$13,Lookup_Lists!$B$348:$J$348,0)),Lookup_Lists!$D$151)))</f>
      </c>
      <c r="V13" s="18">
        <f>IF(NOT(AND(ISTEXT(KOL_Source_Data!$P$13),KOL_Source_Data!$P$13&lt;&gt;"N/A")),"N/A",IFERROR(INDEX(Lookup_Lists!$B$349:$J$357,MATCH(Brand_Profile!$E$7,Lookup_Lists!$A$349:$A$357,0),MATCH(KOL_Source_Data!$P$13,Lookup_Lists!$B$348:$J$348,0)),Lookup_Lists!$D$151))</f>
      </c>
      <c r="W13" s="18">
        <f>IF(LEN(TRIM(SUBSTITUTE(Matching_Engine!$BE$13,"|","")))=0,"N/A",IF(Brand_Profile!$E$60=0,Lookup_Lists!$D$150,ROUND((IF(Brand_Profile!$E$54="",0,IF(ISNUMBER(SEARCH(Brand_Profile!$E$54,Matching_Engine!$BE$13)),1,0))+IF(Brand_Profile!$E$55="",0,IF(ISNUMBER(SEARCH(Brand_Profile!$E$55,Matching_Engine!$BE$13)),1,0))+IF(Brand_Profile!$E$56="",0,IF(ISNUMBER(SEARCH(Brand_Profile!$E$56,Matching_Engine!$BE$13)),1,0))+IF(Brand_Profile!$E$57="",0,IF(ISNUMBER(SEARCH(Brand_Profile!$E$57,Matching_Engine!$BE$13)),1,0))+IF(Brand_Profile!$E$58="",0,IF(ISNUMBER(SEARCH(Brand_Profile!$E$58,Matching_Engine!$BE$13)),1,0))+IF(Brand_Profile!$E$59="",0,IF(ISNUMBER(SEARCH(Brand_Profile!$E$59,Matching_Engine!$BE$13)),1,0)))/Brand_Profile!$E$60*100,0)))</f>
      </c>
      <c r="X13" s="18">
        <f>IF(NOT(AND(ISTEXT(KOL_Source_Data!$Q$13),KOL_Source_Data!$Q$13&lt;&gt;"N/A")),"N/A",Lookup_Lists!$D$150)</f>
      </c>
      <c r="Y13" s="29">
        <f>IF((IF(ISNUMBER(Matching_Engine!$U$13),Lookup_Lists!$D$335,0)+IF(ISNUMBER(Matching_Engine!$V$13),Lookup_Lists!$D$122,0)+IF(ISNUMBER(Matching_Engine!$W$13),Lookup_Lists!$D$336,0)+IF(ISNUMBER(Matching_Engine!$X$13),Lookup_Lists!$D$124,0))=0,"N/A",ROUND((IF(ISNUMBER(Matching_Engine!$U$13),Matching_Engine!$U$13*Lookup_Lists!$D$335,0)+IF(ISNUMBER(Matching_Engine!$V$13),Matching_Engine!$V$13*Lookup_Lists!$D$122,0)+IF(ISNUMBER(Matching_Engine!$W$13),Matching_Engine!$W$13*Lookup_Lists!$D$336,0)+IF(ISNUMBER(Matching_Engine!$X$13),Matching_Engine!$X$13*Lookup_Lists!$D$124,0))/(IF(ISNUMBER(Matching_Engine!$U$13),Lookup_Lists!$D$335,0)+IF(ISNUMBER(Matching_Engine!$V$13),Lookup_Lists!$D$122,0)+IF(ISNUMBER(Matching_Engine!$W$13),Lookup_Lists!$D$336,0)+IF(ISNUMBER(Matching_Engine!$X$13),Lookup_Lists!$D$124,0)),0))</f>
      </c>
      <c r="Z13" s="11">
        <f>IF(ISNUMBER(Matching_Engine!$Y$13),1,0)</f>
      </c>
      <c r="AA13" s="18">
        <f>IF(NOT(AND(ISTEXT(KOL_Source_Data!$Q$13),KOL_Source_Data!$Q$13&lt;&gt;"N/A")),"N/A",Lookup_Lists!$D$150)</f>
      </c>
      <c r="AB13" s="18">
        <f>IF(NOT(AND(ISTEXT(KOL_Source_Data!$Q$13),KOL_Source_Data!$Q$13&lt;&gt;"N/A")),"N/A",Lookup_Lists!$D$150)</f>
      </c>
      <c r="AC13" s="18">
        <f>"N/A"</f>
      </c>
      <c r="AD13" s="18">
        <f>IF(NOT(AND(ISTEXT(KOL_Source_Data!$Q$13),KOL_Source_Data!$Q$13&lt;&gt;"N/A")),"N/A",Lookup_Lists!$D$150)</f>
      </c>
      <c r="AE13" s="29">
        <f>IF((IF(ISNUMBER(Matching_Engine!$AA$13),Lookup_Lists!$D$125,0)+IF(ISNUMBER(Matching_Engine!$AB$13),Lookup_Lists!$D$126,0)+IF(ISNUMBER(Matching_Engine!$AC$13),Lookup_Lists!$D$127,0)+IF(ISNUMBER(Matching_Engine!$AD$13),Lookup_Lists!$D$128,0))=0,"N/A",ROUND((IF(ISNUMBER(Matching_Engine!$AA$13),Matching_Engine!$AA$13*Lookup_Lists!$D$125,0)+IF(ISNUMBER(Matching_Engine!$AB$13),Matching_Engine!$AB$13*Lookup_Lists!$D$126,0)+IF(ISNUMBER(Matching_Engine!$AC$13),Matching_Engine!$AC$13*Lookup_Lists!$D$127,0)+IF(ISNUMBER(Matching_Engine!$AD$13),Matching_Engine!$AD$13*Lookup_Lists!$D$128,0))/(IF(ISNUMBER(Matching_Engine!$AA$13),Lookup_Lists!$D$125,0)+IF(ISNUMBER(Matching_Engine!$AB$13),Lookup_Lists!$D$126,0)+IF(ISNUMBER(Matching_Engine!$AC$13),Lookup_Lists!$D$127,0)+IF(ISNUMBER(Matching_Engine!$AD$13),Lookup_Lists!$D$128,0)),0))</f>
      </c>
      <c r="AF13" s="11">
        <f>IF(ISNUMBER(Matching_Engine!$AE$13),1,0)</f>
      </c>
      <c r="AG13" s="18">
        <f>IF(NOT(ISNUMBER(KOL_Source_Data!$BG$13)),"N/A",MIN(100,ROUND(KOL_Source_Data!$BG$13/IFERROR(INDEX(Lookup_Lists!$B$340:$B$344,MATCH(KOL_Source_Data!$H$13,Lookup_Lists!$A$340:$A$344,0)),Lookup_Lists!$D$141)*100,0)))</f>
      </c>
      <c r="AH13" s="18">
        <f>IF(NOT(ISNUMBER(KOL_Source_Data!$BS$13)),"N/A",MIN(100,MAX(0,KOL_Source_Data!$BS$13)))</f>
      </c>
      <c r="AI13" s="18">
        <f>IF(OR(NOT(ISNUMBER(KOL_Source_Data!$BM$13)),NOT(ISNUMBER(KOL_Source_Data!$BN$13)),KOL_Source_Data!$BN$13&lt;Lookup_Lists!$D$320),"N/A",MIN(100,ROUND(KOL_Source_Data!$BM$13/Lookup_Lists!$D$319*100,0)))</f>
      </c>
      <c r="AJ13" s="18">
        <f>IF(NOT(ISNUMBER(KOL_Source_Data!$BR$13)),"N/A",KOL_Source_Data!$BR$13)</f>
      </c>
      <c r="AK13" s="18">
        <f>IF(NOT(ISNUMBER(KOL_Source_Data!$BK$13)),"N/A",MIN(100,ROUND(KOL_Source_Data!$BK$13/Lookup_Lists!$D$321*100,0)))</f>
      </c>
      <c r="AL13" s="18">
        <f>IF(NOT(ISNUMBER(KOL_Source_Data!$BP$13)),"N/A",MIN(100,MAX(0,ROUND((KOL_Source_Data!$BP$13+2)/(Lookup_Lists!$D$145+2)*100,0))))</f>
      </c>
      <c r="AM13" s="29">
        <f>IF((IF(ISNUMBER(Matching_Engine!$AG$13),Lookup_Lists!$D$129,0)+IF(ISNUMBER(Matching_Engine!$AH$13),Lookup_Lists!$D$130,0)+IF(ISNUMBER(Matching_Engine!$AI$13),Lookup_Lists!$D$131,0)+IF(ISNUMBER(Matching_Engine!$AJ$13),Lookup_Lists!$D$132,0)+IF(ISNUMBER(Matching_Engine!$AK$13),Lookup_Lists!$D$133,0)+IF(ISNUMBER(Matching_Engine!$AL$13),Lookup_Lists!$D$134,0))=0,"N/A",ROUND((IF(ISNUMBER(Matching_Engine!$AG$13),Matching_Engine!$AG$13*Lookup_Lists!$D$129,0)+IF(ISNUMBER(Matching_Engine!$AH$13),Matching_Engine!$AH$13*Lookup_Lists!$D$130,0)+IF(ISNUMBER(Matching_Engine!$AI$13),Matching_Engine!$AI$13*Lookup_Lists!$D$131,0)+IF(ISNUMBER(Matching_Engine!$AJ$13),Matching_Engine!$AJ$13*Lookup_Lists!$D$132,0)+IF(ISNUMBER(Matching_Engine!$AK$13),Matching_Engine!$AK$13*Lookup_Lists!$D$133,0)+IF(ISNUMBER(Matching_Engine!$AL$13),Matching_Engine!$AL$13*Lookup_Lists!$D$134,0))/(IF(ISNUMBER(Matching_Engine!$AG$13),Lookup_Lists!$D$129,0)+IF(ISNUMBER(Matching_Engine!$AH$13),Lookup_Lists!$D$130,0)+IF(ISNUMBER(Matching_Engine!$AI$13),Lookup_Lists!$D$131,0)+IF(ISNUMBER(Matching_Engine!$AJ$13),Lookup_Lists!$D$132,0)+IF(ISNUMBER(Matching_Engine!$AK$13),Lookup_Lists!$D$133,0)+IF(ISNUMBER(Matching_Engine!$AL$13),Lookup_Lists!$D$134,0)),0))</f>
      </c>
      <c r="AN13" s="11">
        <f>IF(ISNUMBER(Matching_Engine!$AM$13),1,0)</f>
      </c>
      <c r="AO13" s="18">
        <f>IF(NOT(ISNUMBER(KOL_Source_Data!$BT$13)),"N/A",MIN(100,MAX(0,KOL_Source_Data!$BT$13)))</f>
      </c>
      <c r="AP13" s="18">
        <f>IF(NOT(ISNUMBER(KOL_Source_Data!$BU$13)),"N/A",MIN(100,MAX(0,KOL_Source_Data!$BU$13)))</f>
      </c>
      <c r="AQ13" s="18">
        <f>IF(KOL_Source_Data!$I$13="Yes",Lookup_Lists!$D$326,IF(KOL_Source_Data!$I$13="No",Lookup_Lists!$D$327,"N/A"))</f>
      </c>
      <c r="AR13" s="18">
        <f>IF(NOT(ISNUMBER(KOL_Source_Data!$BQ$13)),"N/A",MAX(0,ROUND(100-KOL_Source_Data!$BQ$13/Lookup_Lists!$D$328*100,0)))</f>
      </c>
      <c r="AS13" s="18">
        <f>IF(NOT(AND(ISTEXT(KOL_Source_Data!$BV$13),KOL_Source_Data!$BV$13&lt;&gt;"N/A")),"N/A",KOL_Source_Data!$BV$13)</f>
      </c>
      <c r="AT13" s="29">
        <f>IF((IF(ISNUMBER(Matching_Engine!$AO$13),Lookup_Lists!$D$322,0)+IF(ISNUMBER(Matching_Engine!$AP$13),Lookup_Lists!$D$323,0)+IF(ISNUMBER(Matching_Engine!$AQ$13),Lookup_Lists!$D$324,0)+IF(ISNUMBER(Matching_Engine!$AR$13),Lookup_Lists!$D$325,0))=0,"N/A",ROUND((IF(ISNUMBER(Matching_Engine!$AO$13),Matching_Engine!$AO$13*Lookup_Lists!$D$322,0)+IF(ISNUMBER(Matching_Engine!$AP$13),Matching_Engine!$AP$13*Lookup_Lists!$D$323,0)+IF(ISNUMBER(Matching_Engine!$AQ$13),Matching_Engine!$AQ$13*Lookup_Lists!$D$324,0)+IF(ISNUMBER(Matching_Engine!$AR$13),Matching_Engine!$AR$13*Lookup_Lists!$D$325,0))/(IF(ISNUMBER(Matching_Engine!$AO$13),Lookup_Lists!$D$322,0)+IF(ISNUMBER(Matching_Engine!$AP$13),Lookup_Lists!$D$323,0)+IF(ISNUMBER(Matching_Engine!$AQ$13),Lookup_Lists!$D$324,0)+IF(ISNUMBER(Matching_Engine!$AR$13),Lookup_Lists!$D$325,0)),0))</f>
      </c>
      <c r="AU13" s="11">
        <f>IF(ISNUMBER(Matching_Engine!$AT$13),1,0)</f>
      </c>
      <c r="AV13" s="11">
        <f>IF(NOT(ISNUMBER(Matching_Engine!$AT$13)),"Not Screened",IF(Matching_Engine!$AT$13&gt;=Lookup_Lists!$D$329,"Low Risk",IF(Matching_Engine!$AT$13&gt;=Lookup_Lists!$D$330,"Moderate Risk",IF(Matching_Engine!$AT$13&gt;=Lookup_Lists!$D$331,"Elevated Risk","High Risk"))))</f>
      </c>
      <c r="AW13" s="11">
        <f>IF(NOT(ISNUMBER(Matching_Engine!$AT$13)),"No integrity signal: no audience-analysis row for this account.","Integrity screen only — no content-risk reading exists (comments_analysis: 0 rows). "&amp;IF(ISNUMBER(Matching_Engine!$AO$13),"Authenticity "&amp;Matching_Engine!$AO$13&amp;". ","Authenticity N/A. ")&amp;IF(ISNUMBER(Matching_Engine!$AP$13),"Follower quality "&amp;Matching_Engine!$AP$13&amp;". ","Follower quality N/A. ")&amp;IF(KOL_Source_Data!$I$13="Yes","Platform-verified.","Not platform-verified."))</f>
      </c>
      <c r="AX13" s="18">
        <f>Matching_Engine!$N$13*Lookup_Lists!$D$104+Matching_Engine!$T$13*Lookup_Lists!$D$105+Matching_Engine!$Z$13*Lookup_Lists!$D$106+Matching_Engine!$AF$13*Lookup_Lists!$D$107+Matching_Engine!$AN$13*Lookup_Lists!$D$108+Matching_Engine!$AU$13*Lookup_Lists!$D$109</f>
      </c>
      <c r="AY13" s="30">
        <f>IF(Matching_Engine!$AX$13=0,"N/A",ROUND((IF(Matching_Engine!$N$13=1,Matching_Engine!$M$13*Lookup_Lists!$D$104,0)+IF(Matching_Engine!$T$13=1,Matching_Engine!$S$13*Lookup_Lists!$D$105,0)+IF(Matching_Engine!$Z$13=1,Matching_Engine!$Y$13*Lookup_Lists!$D$106,0)+IF(Matching_Engine!$AF$13=1,Matching_Engine!$AE$13*Lookup_Lists!$D$107,0)+IF(Matching_Engine!$AN$13=1,Matching_Engine!$AM$13*Lookup_Lists!$D$108,0)+IF(Matching_Engine!$AU$13=1,Matching_Engine!$AT$13*Lookup_Lists!$D$109,0))/Matching_Engine!$AX$13,0))</f>
      </c>
      <c r="AZ13" s="11">
        <f>IF(NOT(ISNUMBER(Matching_Engine!$AY$13)),"Not Scored",IF(Matching_Engine!$AY$13&gt;=Lookup_Lists!$D$152,"Excellent Match",IF(Matching_Engine!$AY$13&gt;=Lookup_Lists!$D$153,"Strong Match",IF(Matching_Engine!$AY$13&gt;=Lookup_Lists!$D$154,"Good Match",IF(Matching_Engine!$AY$13&gt;=Lookup_Lists!$D$155,"Moderate Match","Low Match")))))</f>
      </c>
      <c r="BA13" s="18">
        <f>KOL_Source_Data!$BW$13</f>
      </c>
      <c r="BB13" s="11">
        <f>KOL_Source_Data!$BX$13</f>
      </c>
      <c r="BC13" s="18">
        <f>IF(NOT(ISNUMBER(Matching_Engine!$AY$13)),-1,Matching_Engine!$AY$13*1000+17)</f>
      </c>
      <c r="BD13" s="11">
        <f>IF(AND(ISTEXT(KOL_Source_Data!$S$13),KOL_Source_Data!$S$13&lt;&gt;"N/A"),KOL_Source_Data!$S$13,"")&amp;" | "&amp;IF(AND(ISTEXT(KOL_Source_Data!$T$13),KOL_Source_Data!$T$13&lt;&gt;"N/A"),KOL_Source_Data!$T$13,"")&amp;" | "&amp;IF(AND(ISTEXT(KOL_Source_Data!$N$13),KOL_Source_Data!$N$13&lt;&gt;"N/A"),KOL_Source_Data!$N$13,"")&amp;" | "&amp;IF(AND(ISTEXT(KOL_Source_Data!$K$13),KOL_Source_Data!$K$13&lt;&gt;"N/A"),KOL_Source_Data!$K$13,"")&amp;" | "&amp;IF(AND(ISTEXT(KOL_Source_Data!$J$13),KOL_Source_Data!$J$13&lt;&gt;"N/A"),KOL_Source_Data!$J$13,"")</f>
      </c>
      <c r="BE13" s="11">
        <f>IF(AND(ISTEXT(KOL_Source_Data!$T$13),KOL_Source_Data!$T$13&lt;&gt;"N/A"),KOL_Source_Data!$T$13,"")&amp;" | "&amp;IF(AND(ISTEXT(KOL_Source_Data!$N$13),KOL_Source_Data!$N$13&lt;&gt;"N/A"),KOL_Source_Data!$N$13,"")&amp;" | "&amp;IF(AND(ISTEXT(KOL_Source_Data!$O$13),KOL_Source_Data!$O$13&lt;&gt;"N/A"),KOL_Source_Data!$O$13,"")&amp;" | "&amp;IF(AND(ISTEXT(KOL_Source_Data!$S$13),KOL_Source_Data!$S$13&lt;&gt;"N/A"),KOL_Source_Data!$S$13,"")</f>
      </c>
      <c r="BF13" s="11">
        <f>IF(AND(ISTEXT(KOL_Source_Data!$U$13),KOL_Source_Data!$U$13&lt;&gt;"N/A"),KOL_Source_Data!$U$13,"")</f>
      </c>
      <c r="BG13" s="11">
        <f>Matching_Engine!$A$13&amp;"|"&amp;Matching_Engine!$C$13</f>
      </c>
    </row>
    <row r="14" spans="1:59" x14ac:dyDescent="0.25">
      <c r="A14" s="10" t="s">
        <v>390</v>
      </c>
      <c r="B14" s="11">
        <f>Brand_Profile!$E$6</f>
      </c>
      <c r="C14" s="11">
        <f>KOL_Source_Data!$A$14</f>
      </c>
      <c r="D14" s="11">
        <f>KOL_Source_Data!$C$14</f>
      </c>
      <c r="E14" s="11">
        <f>KOL_Source_Data!$D$14</f>
      </c>
      <c r="F14" s="11">
        <f>KOL_Source_Data!$E$14</f>
      </c>
      <c r="G14" s="11">
        <f>KOL_Source_Data!$K$14</f>
      </c>
      <c r="H14" s="12">
        <f>KOL_Source_Data!$G$14</f>
      </c>
      <c r="I14" s="14">
        <f>KOL_Source_Data!$BG$14</f>
      </c>
      <c r="J14" s="18">
        <f>IF(NOT(AND(ISTEXT(KOL_Source_Data!$K$14),KOL_Source_Data!$K$14&lt;&gt;"N/A")),Lookup_Lists!$D$150,IF(Brand_Profile!$E$7=KOL_Source_Data!$K$14,100,IFERROR(INDEX(Lookup_Lists!$B$349:$J$357,MATCH(Brand_Profile!$E$7,Lookup_Lists!$A$349:$A$357,0),MATCH(KOL_Source_Data!$K$14,Lookup_Lists!$B$348:$J$348,0)),Lookup_Lists!$D$151)))</f>
      </c>
      <c r="K14" s="18">
        <f>IF(LEN(TRIM(SUBSTITUTE(Matching_Engine!$BD$14,"|","")))=0,"N/A",IF(Brand_Profile!$E$47=0,Lookup_Lists!$D$150,ROUND((IF(Brand_Profile!$E$41="",0,IF(ISNUMBER(SEARCH(Brand_Profile!$E$41,Matching_Engine!$BD$14)),1,0))+IF(Brand_Profile!$E$42="",0,IF(ISNUMBER(SEARCH(Brand_Profile!$E$42,Matching_Engine!$BD$14)),1,0))+IF(Brand_Profile!$E$43="",0,IF(ISNUMBER(SEARCH(Brand_Profile!$E$43,Matching_Engine!$BD$14)),1,0))+IF(Brand_Profile!$E$44="",0,IF(ISNUMBER(SEARCH(Brand_Profile!$E$44,Matching_Engine!$BD$14)),1,0))+IF(Brand_Profile!$E$45="",0,IF(ISNUMBER(SEARCH(Brand_Profile!$E$45,Matching_Engine!$BD$14)),1,0))+IF(Brand_Profile!$E$46="",0,IF(ISNUMBER(SEARCH(Brand_Profile!$E$46,Matching_Engine!$BD$14)),1,0)))/Brand_Profile!$E$47*100,0)))</f>
      </c>
      <c r="L14" s="18">
        <f>IF(NOT(AND(ISTEXT(KOL_Source_Data!$U$14),KOL_Source_Data!$U$14&lt;&gt;"N/A")),"N/A",IF(Brand_Profile!$E$53=0,Lookup_Lists!$D$150,ROUND((IF(Brand_Profile!$E$48="",0,IF(ISNUMBER(SEARCH(Brand_Profile!$E$48,Matching_Engine!$BF$14)),1,0))+IF(Brand_Profile!$E$49="",0,IF(ISNUMBER(SEARCH(Brand_Profile!$E$49,Matching_Engine!$BF$14)),1,0))+IF(Brand_Profile!$E$50="",0,IF(ISNUMBER(SEARCH(Brand_Profile!$E$50,Matching_Engine!$BF$14)),1,0))+IF(Brand_Profile!$E$51="",0,IF(ISNUMBER(SEARCH(Brand_Profile!$E$51,Matching_Engine!$BF$14)),1,0))+IF(Brand_Profile!$E$52="",0,IF(ISNUMBER(SEARCH(Brand_Profile!$E$52,Matching_Engine!$BF$14)),1,0)))/Brand_Profile!$E$53*100,0)))</f>
      </c>
      <c r="M14" s="29">
        <f>IF((IF(ISNUMBER(Matching_Engine!$J$14),Lookup_Lists!$D$332,0)+IF(ISNUMBER(Matching_Engine!$K$14),Lookup_Lists!$D$333,0)+IF(ISNUMBER(Matching_Engine!$L$14),Lookup_Lists!$D$334,0))=0,"N/A",ROUND((IF(ISNUMBER(Matching_Engine!$J$14),Matching_Engine!$J$14*Lookup_Lists!$D$332,0)+IF(ISNUMBER(Matching_Engine!$K$14),Matching_Engine!$K$14*Lookup_Lists!$D$333,0)+IF(ISNUMBER(Matching_Engine!$L$14),Matching_Engine!$L$14*Lookup_Lists!$D$334,0))/(IF(ISNUMBER(Matching_Engine!$J$14),Lookup_Lists!$D$332,0)+IF(ISNUMBER(Matching_Engine!$K$14),Lookup_Lists!$D$333,0)+IF(ISNUMBER(Matching_Engine!$L$14),Lookup_Lists!$D$334,0)),0))</f>
      </c>
      <c r="N14" s="11">
        <f>IF(ISNUMBER(Matching_Engine!$M$14),1,0)</f>
      </c>
      <c r="O14" s="18">
        <f>IF(NOT(ISNUMBER(IFERROR(INDEX(KOL_Source_Data!$V$14:KOL_Source_Data!$Z$14,1,MATCH(Brand_Profile!$E$11,Lookup_Lists!$F$6:$F$10,0)),""))),"N/A",MIN(100,ROUND((IFERROR(INDEX(KOL_Source_Data!$V$14:KOL_Source_Data!$Z$14,1,MATCH(Brand_Profile!$E$11,Lookup_Lists!$F$6:$F$10,0)),"")+0.5*IF(ISNUMBER(IFERROR(INDEX(KOL_Source_Data!$V$14:KOL_Source_Data!$Z$14,1,MATCH(Brand_Profile!$E$12,Lookup_Lists!$F$6:$F$10,0)),"")),IFERROR(INDEX(KOL_Source_Data!$V$14:KOL_Source_Data!$Z$14,1,MATCH(Brand_Profile!$E$12,Lookup_Lists!$F$6:$F$10,0)),""),0))/Lookup_Lists!$D$142*100,0)))</f>
      </c>
      <c r="P14" s="18">
        <f>IF(Brand_Profile!$E$13="Any",100,IF(NOT(ISNUMBER(KOL_Source_Data!$AA$14)),"N/A",IF(Brand_Profile!$E$13="Female",MIN(100,ROUND(KOL_Source_Data!$AA$14/Lookup_Lists!$D$143*100,0)),IF(Brand_Profile!$E$13="Male",MIN(100,ROUND(IF(ISNUMBER(KOL_Source_Data!$AB$14),KOL_Source_Data!$AB$14,100-KOL_Source_Data!$AA$14)/Lookup_Lists!$D$143*100,0)),MAX(0,ROUND(100-ABS(KOL_Source_Data!$AA$14-50)*2,0))))))</f>
      </c>
      <c r="Q14" s="18">
        <f>IF((IF(ISNUMBER(IF(NOT(ISNUMBER(KOL_Source_Data!$AE$14)),"N/A",IF(KOL_Source_Data!$AD$14&lt;&gt;Brand_Profile!$E$14,Lookup_Lists!$D$151,MIN(100,ROUND(KOL_Source_Data!$AE$14/Lookup_Lists!$D$316*100,0))))),Lookup_Lists!$D$118,0)+IF(ISNUMBER(IF(NOT(ISNUMBER(KOL_Source_Data!$AM$14)),"N/A",MIN(100,ROUND((IF(KOL_Source_Data!$AG$14=Brand_Profile!$E$15,IF(ISNUMBER(KOL_Source_Data!$AH$14),KOL_Source_Data!$AH$14,0),0)+IF(KOL_Source_Data!$AI$14=Brand_Profile!$E$15,IF(ISNUMBER(KOL_Source_Data!$AJ$14),KOL_Source_Data!$AJ$14,0),0)+IF(KOL_Source_Data!$AK$14=Brand_Profile!$E$15,IF(ISNUMBER(KOL_Source_Data!$AL$14),KOL_Source_Data!$AL$14,0),0))/Lookup_Lists!$D$317*100,0)))),Lookup_Lists!$D$120,0))=0,"N/A",ROUND((IF(ISNUMBER(IF(NOT(ISNUMBER(KOL_Source_Data!$AE$14)),"N/A",IF(KOL_Source_Data!$AD$14&lt;&gt;Brand_Profile!$E$14,Lookup_Lists!$D$151,MIN(100,ROUND(KOL_Source_Data!$AE$14/Lookup_Lists!$D$316*100,0))))),IF(NOT(ISNUMBER(KOL_Source_Data!$AE$14)),"N/A",IF(KOL_Source_Data!$AD$14&lt;&gt;Brand_Profile!$E$14,Lookup_Lists!$D$151,MIN(100,ROUND(KOL_Source_Data!$AE$14/Lookup_Lists!$D$316*100,0))))*Lookup_Lists!$D$118,0)+IF(ISNUMBER(IF(NOT(ISNUMBER(KOL_Source_Data!$AM$14)),"N/A",MIN(100,ROUND((IF(KOL_Source_Data!$AG$14=Brand_Profile!$E$15,IF(ISNUMBER(KOL_Source_Data!$AH$14),KOL_Source_Data!$AH$14,0),0)+IF(KOL_Source_Data!$AI$14=Brand_Profile!$E$15,IF(ISNUMBER(KOL_Source_Data!$AJ$14),KOL_Source_Data!$AJ$14,0),0)+IF(KOL_Source_Data!$AK$14=Brand_Profile!$E$15,IF(ISNUMBER(KOL_Source_Data!$AL$14),KOL_Source_Data!$AL$14,0),0))/Lookup_Lists!$D$317*100,0)))),IF(NOT(ISNUMBER(KOL_Source_Data!$AM$14)),"N/A",MIN(100,ROUND((IF(KOL_Source_Data!$AG$14=Brand_Profile!$E$15,IF(ISNUMBER(KOL_Source_Data!$AH$14),KOL_Source_Data!$AH$14,0),0)+IF(KOL_Source_Data!$AI$14=Brand_Profile!$E$15,IF(ISNUMBER(KOL_Source_Data!$AJ$14),KOL_Source_Data!$AJ$14,0),0)+IF(KOL_Source_Data!$AK$14=Brand_Profile!$E$15,IF(ISNUMBER(KOL_Source_Data!$AL$14),KOL_Source_Data!$AL$14,0),0))/Lookup_Lists!$D$317*100,0)))*Lookup_Lists!$D$120,0))/(IF(ISNUMBER(IF(NOT(ISNUMBER(KOL_Source_Data!$AE$14)),"N/A",IF(KOL_Source_Data!$AD$14&lt;&gt;Brand_Profile!$E$14,Lookup_Lists!$D$151,MIN(100,ROUND(KOL_Source_Data!$AE$14/Lookup_Lists!$D$316*100,0))))),Lookup_Lists!$D$118,0)+IF(ISNUMBER(IF(NOT(ISNUMBER(KOL_Source_Data!$AM$14)),"N/A",MIN(100,ROUND((IF(KOL_Source_Data!$AG$14=Brand_Profile!$E$15,IF(ISNUMBER(KOL_Source_Data!$AH$14),KOL_Source_Data!$AH$14,0),0)+IF(KOL_Source_Data!$AI$14=Brand_Profile!$E$15,IF(ISNUMBER(KOL_Source_Data!$AJ$14),KOL_Source_Data!$AJ$14,0),0)+IF(KOL_Source_Data!$AK$14=Brand_Profile!$E$15,IF(ISNUMBER(KOL_Source_Data!$AL$14),KOL_Source_Data!$AL$14,0),0))/Lookup_Lists!$D$317*100,0)))),Lookup_Lists!$D$120,0)),0))</f>
      </c>
      <c r="R14" s="18">
        <f>IF(NOT(ISNUMBER(KOL_Source_Data!$AN$14)),"N/A",MIN(100,ROUND((IF(ISNUMBER(KOL_Source_Data!$AO$14),KOL_Source_Data!$AO$14*Brand_Profile!$E$17,0)+IF(ISNUMBER(KOL_Source_Data!$AP$14),KOL_Source_Data!$AP$14*Brand_Profile!$E$18,0)+IF(ISNUMBER(KOL_Source_Data!$AQ$14),KOL_Source_Data!$AQ$14*Brand_Profile!$E$19,0)+IF(ISNUMBER(KOL_Source_Data!$AR$14),KOL_Source_Data!$AR$14*Brand_Profile!$E$20,0)+IF(ISNUMBER(KOL_Source_Data!$AS$14),KOL_Source_Data!$AS$14*Brand_Profile!$E$21,0)+IF(ISNUMBER(KOL_Source_Data!$AT$14),KOL_Source_Data!$AT$14*Brand_Profile!$E$22,0)+IF(ISNUMBER(KOL_Source_Data!$AU$14),KOL_Source_Data!$AU$14*Brand_Profile!$E$23,0)+IF(ISNUMBER(KOL_Source_Data!$AV$14),KOL_Source_Data!$AV$14*Brand_Profile!$E$24,0)+IF(ISNUMBER(KOL_Source_Data!$AW$14),KOL_Source_Data!$AW$14*Brand_Profile!$E$25,0)+IF(ISNUMBER(KOL_Source_Data!$AX$14),KOL_Source_Data!$AX$14*Brand_Profile!$E$26,0)+IF(ISNUMBER(KOL_Source_Data!$AY$14),KOL_Source_Data!$AY$14*Brand_Profile!$E$27,0)+IF(ISNUMBER(KOL_Source_Data!$AZ$14),KOL_Source_Data!$AZ$14*Brand_Profile!$E$28,0)+IF(ISNUMBER(KOL_Source_Data!$BA$14),KOL_Source_Data!$BA$14*Brand_Profile!$E$29,0)+IF(ISNUMBER(KOL_Source_Data!$BB$14),KOL_Source_Data!$BB$14*Brand_Profile!$E$30,0)+IF(ISNUMBER(KOL_Source_Data!$BC$14),KOL_Source_Data!$BC$14*Brand_Profile!$E$31,0)+IF(ISNUMBER(KOL_Source_Data!$BD$14),KOL_Source_Data!$BD$14*Brand_Profile!$E$32,0)+IF(ISNUMBER(KOL_Source_Data!$BE$14),KOL_Source_Data!$BE$14*Brand_Profile!$E$33,0)+IF(ISNUMBER(KOL_Source_Data!$BF$14),KOL_Source_Data!$BF$14*Brand_Profile!$E$34,0))/Lookup_Lists!$D$318*100,0)))</f>
      </c>
      <c r="S14" s="29">
        <f>IF((IF(ISNUMBER(Matching_Engine!$O$14),Lookup_Lists!$D$113,0)+IF(ISNUMBER(Matching_Engine!$P$14),Lookup_Lists!$D$114,0)+IF(ISNUMBER(Matching_Engine!$Q$14),Lookup_Lists!$D$115,0)+IF(ISNUMBER(Matching_Engine!$R$14),Lookup_Lists!$D$116,0))=0,"N/A",ROUND((IF(ISNUMBER(Matching_Engine!$O$14),Matching_Engine!$O$14*Lookup_Lists!$D$113,0)+IF(ISNUMBER(Matching_Engine!$P$14),Matching_Engine!$P$14*Lookup_Lists!$D$114,0)+IF(ISNUMBER(Matching_Engine!$Q$14),Matching_Engine!$Q$14*Lookup_Lists!$D$115,0)+IF(ISNUMBER(Matching_Engine!$R$14),Matching_Engine!$R$14*Lookup_Lists!$D$116,0))/(IF(ISNUMBER(Matching_Engine!$O$14),Lookup_Lists!$D$113,0)+IF(ISNUMBER(Matching_Engine!$P$14),Lookup_Lists!$D$114,0)+IF(ISNUMBER(Matching_Engine!$Q$14),Lookup_Lists!$D$115,0)+IF(ISNUMBER(Matching_Engine!$R$14),Lookup_Lists!$D$116,0)),0))</f>
      </c>
      <c r="T14" s="11">
        <f>IF(ISNUMBER(Matching_Engine!$S$14),1,0)</f>
      </c>
      <c r="U14" s="18">
        <f>IF(NOT(AND(ISTEXT(KOL_Source_Data!$M$14),KOL_Source_Data!$M$14&lt;&gt;"N/A")),Lookup_Lists!$D$150,IF(Brand_Profile!$E$7=KOL_Source_Data!$M$14,100,IFERROR(INDEX(Lookup_Lists!$B$349:$J$357,MATCH(Brand_Profile!$E$7,Lookup_Lists!$A$349:$A$357,0),MATCH(KOL_Source_Data!$M$14,Lookup_Lists!$B$348:$J$348,0)),Lookup_Lists!$D$151)))</f>
      </c>
      <c r="V14" s="18">
        <f>IF(NOT(AND(ISTEXT(KOL_Source_Data!$P$14),KOL_Source_Data!$P$14&lt;&gt;"N/A")),"N/A",IFERROR(INDEX(Lookup_Lists!$B$349:$J$357,MATCH(Brand_Profile!$E$7,Lookup_Lists!$A$349:$A$357,0),MATCH(KOL_Source_Data!$P$14,Lookup_Lists!$B$348:$J$348,0)),Lookup_Lists!$D$151))</f>
      </c>
      <c r="W14" s="18">
        <f>IF(LEN(TRIM(SUBSTITUTE(Matching_Engine!$BE$14,"|","")))=0,"N/A",IF(Brand_Profile!$E$60=0,Lookup_Lists!$D$150,ROUND((IF(Brand_Profile!$E$54="",0,IF(ISNUMBER(SEARCH(Brand_Profile!$E$54,Matching_Engine!$BE$14)),1,0))+IF(Brand_Profile!$E$55="",0,IF(ISNUMBER(SEARCH(Brand_Profile!$E$55,Matching_Engine!$BE$14)),1,0))+IF(Brand_Profile!$E$56="",0,IF(ISNUMBER(SEARCH(Brand_Profile!$E$56,Matching_Engine!$BE$14)),1,0))+IF(Brand_Profile!$E$57="",0,IF(ISNUMBER(SEARCH(Brand_Profile!$E$57,Matching_Engine!$BE$14)),1,0))+IF(Brand_Profile!$E$58="",0,IF(ISNUMBER(SEARCH(Brand_Profile!$E$58,Matching_Engine!$BE$14)),1,0))+IF(Brand_Profile!$E$59="",0,IF(ISNUMBER(SEARCH(Brand_Profile!$E$59,Matching_Engine!$BE$14)),1,0)))/Brand_Profile!$E$60*100,0)))</f>
      </c>
      <c r="X14" s="18">
        <f>IF(NOT(AND(ISTEXT(KOL_Source_Data!$Q$14),KOL_Source_Data!$Q$14&lt;&gt;"N/A")),"N/A",Lookup_Lists!$D$150)</f>
      </c>
      <c r="Y14" s="29">
        <f>IF((IF(ISNUMBER(Matching_Engine!$U$14),Lookup_Lists!$D$335,0)+IF(ISNUMBER(Matching_Engine!$V$14),Lookup_Lists!$D$122,0)+IF(ISNUMBER(Matching_Engine!$W$14),Lookup_Lists!$D$336,0)+IF(ISNUMBER(Matching_Engine!$X$14),Lookup_Lists!$D$124,0))=0,"N/A",ROUND((IF(ISNUMBER(Matching_Engine!$U$14),Matching_Engine!$U$14*Lookup_Lists!$D$335,0)+IF(ISNUMBER(Matching_Engine!$V$14),Matching_Engine!$V$14*Lookup_Lists!$D$122,0)+IF(ISNUMBER(Matching_Engine!$W$14),Matching_Engine!$W$14*Lookup_Lists!$D$336,0)+IF(ISNUMBER(Matching_Engine!$X$14),Matching_Engine!$X$14*Lookup_Lists!$D$124,0))/(IF(ISNUMBER(Matching_Engine!$U$14),Lookup_Lists!$D$335,0)+IF(ISNUMBER(Matching_Engine!$V$14),Lookup_Lists!$D$122,0)+IF(ISNUMBER(Matching_Engine!$W$14),Lookup_Lists!$D$336,0)+IF(ISNUMBER(Matching_Engine!$X$14),Lookup_Lists!$D$124,0)),0))</f>
      </c>
      <c r="Z14" s="11">
        <f>IF(ISNUMBER(Matching_Engine!$Y$14),1,0)</f>
      </c>
      <c r="AA14" s="18">
        <f>IF(NOT(AND(ISTEXT(KOL_Source_Data!$Q$14),KOL_Source_Data!$Q$14&lt;&gt;"N/A")),"N/A",Lookup_Lists!$D$150)</f>
      </c>
      <c r="AB14" s="18">
        <f>IF(NOT(AND(ISTEXT(KOL_Source_Data!$Q$14),KOL_Source_Data!$Q$14&lt;&gt;"N/A")),"N/A",Lookup_Lists!$D$150)</f>
      </c>
      <c r="AC14" s="18">
        <f>"N/A"</f>
      </c>
      <c r="AD14" s="18">
        <f>IF(NOT(AND(ISTEXT(KOL_Source_Data!$Q$14),KOL_Source_Data!$Q$14&lt;&gt;"N/A")),"N/A",Lookup_Lists!$D$150)</f>
      </c>
      <c r="AE14" s="29">
        <f>IF((IF(ISNUMBER(Matching_Engine!$AA$14),Lookup_Lists!$D$125,0)+IF(ISNUMBER(Matching_Engine!$AB$14),Lookup_Lists!$D$126,0)+IF(ISNUMBER(Matching_Engine!$AC$14),Lookup_Lists!$D$127,0)+IF(ISNUMBER(Matching_Engine!$AD$14),Lookup_Lists!$D$128,0))=0,"N/A",ROUND((IF(ISNUMBER(Matching_Engine!$AA$14),Matching_Engine!$AA$14*Lookup_Lists!$D$125,0)+IF(ISNUMBER(Matching_Engine!$AB$14),Matching_Engine!$AB$14*Lookup_Lists!$D$126,0)+IF(ISNUMBER(Matching_Engine!$AC$14),Matching_Engine!$AC$14*Lookup_Lists!$D$127,0)+IF(ISNUMBER(Matching_Engine!$AD$14),Matching_Engine!$AD$14*Lookup_Lists!$D$128,0))/(IF(ISNUMBER(Matching_Engine!$AA$14),Lookup_Lists!$D$125,0)+IF(ISNUMBER(Matching_Engine!$AB$14),Lookup_Lists!$D$126,0)+IF(ISNUMBER(Matching_Engine!$AC$14),Lookup_Lists!$D$127,0)+IF(ISNUMBER(Matching_Engine!$AD$14),Lookup_Lists!$D$128,0)),0))</f>
      </c>
      <c r="AF14" s="11">
        <f>IF(ISNUMBER(Matching_Engine!$AE$14),1,0)</f>
      </c>
      <c r="AG14" s="18">
        <f>IF(NOT(ISNUMBER(KOL_Source_Data!$BG$14)),"N/A",MIN(100,ROUND(KOL_Source_Data!$BG$14/IFERROR(INDEX(Lookup_Lists!$B$340:$B$344,MATCH(KOL_Source_Data!$H$14,Lookup_Lists!$A$340:$A$344,0)),Lookup_Lists!$D$141)*100,0)))</f>
      </c>
      <c r="AH14" s="18">
        <f>IF(NOT(ISNUMBER(KOL_Source_Data!$BS$14)),"N/A",MIN(100,MAX(0,KOL_Source_Data!$BS$14)))</f>
      </c>
      <c r="AI14" s="18">
        <f>IF(OR(NOT(ISNUMBER(KOL_Source_Data!$BM$14)),NOT(ISNUMBER(KOL_Source_Data!$BN$14)),KOL_Source_Data!$BN$14&lt;Lookup_Lists!$D$320),"N/A",MIN(100,ROUND(KOL_Source_Data!$BM$14/Lookup_Lists!$D$319*100,0)))</f>
      </c>
      <c r="AJ14" s="18">
        <f>IF(NOT(ISNUMBER(KOL_Source_Data!$BR$14)),"N/A",KOL_Source_Data!$BR$14)</f>
      </c>
      <c r="AK14" s="18">
        <f>IF(NOT(ISNUMBER(KOL_Source_Data!$BK$14)),"N/A",MIN(100,ROUND(KOL_Source_Data!$BK$14/Lookup_Lists!$D$321*100,0)))</f>
      </c>
      <c r="AL14" s="18">
        <f>IF(NOT(ISNUMBER(KOL_Source_Data!$BP$14)),"N/A",MIN(100,MAX(0,ROUND((KOL_Source_Data!$BP$14+2)/(Lookup_Lists!$D$145+2)*100,0))))</f>
      </c>
      <c r="AM14" s="29">
        <f>IF((IF(ISNUMBER(Matching_Engine!$AG$14),Lookup_Lists!$D$129,0)+IF(ISNUMBER(Matching_Engine!$AH$14),Lookup_Lists!$D$130,0)+IF(ISNUMBER(Matching_Engine!$AI$14),Lookup_Lists!$D$131,0)+IF(ISNUMBER(Matching_Engine!$AJ$14),Lookup_Lists!$D$132,0)+IF(ISNUMBER(Matching_Engine!$AK$14),Lookup_Lists!$D$133,0)+IF(ISNUMBER(Matching_Engine!$AL$14),Lookup_Lists!$D$134,0))=0,"N/A",ROUND((IF(ISNUMBER(Matching_Engine!$AG$14),Matching_Engine!$AG$14*Lookup_Lists!$D$129,0)+IF(ISNUMBER(Matching_Engine!$AH$14),Matching_Engine!$AH$14*Lookup_Lists!$D$130,0)+IF(ISNUMBER(Matching_Engine!$AI$14),Matching_Engine!$AI$14*Lookup_Lists!$D$131,0)+IF(ISNUMBER(Matching_Engine!$AJ$14),Matching_Engine!$AJ$14*Lookup_Lists!$D$132,0)+IF(ISNUMBER(Matching_Engine!$AK$14),Matching_Engine!$AK$14*Lookup_Lists!$D$133,0)+IF(ISNUMBER(Matching_Engine!$AL$14),Matching_Engine!$AL$14*Lookup_Lists!$D$134,0))/(IF(ISNUMBER(Matching_Engine!$AG$14),Lookup_Lists!$D$129,0)+IF(ISNUMBER(Matching_Engine!$AH$14),Lookup_Lists!$D$130,0)+IF(ISNUMBER(Matching_Engine!$AI$14),Lookup_Lists!$D$131,0)+IF(ISNUMBER(Matching_Engine!$AJ$14),Lookup_Lists!$D$132,0)+IF(ISNUMBER(Matching_Engine!$AK$14),Lookup_Lists!$D$133,0)+IF(ISNUMBER(Matching_Engine!$AL$14),Lookup_Lists!$D$134,0)),0))</f>
      </c>
      <c r="AN14" s="11">
        <f>IF(ISNUMBER(Matching_Engine!$AM$14),1,0)</f>
      </c>
      <c r="AO14" s="18">
        <f>IF(NOT(ISNUMBER(KOL_Source_Data!$BT$14)),"N/A",MIN(100,MAX(0,KOL_Source_Data!$BT$14)))</f>
      </c>
      <c r="AP14" s="18">
        <f>IF(NOT(ISNUMBER(KOL_Source_Data!$BU$14)),"N/A",MIN(100,MAX(0,KOL_Source_Data!$BU$14)))</f>
      </c>
      <c r="AQ14" s="18">
        <f>IF(KOL_Source_Data!$I$14="Yes",Lookup_Lists!$D$326,IF(KOL_Source_Data!$I$14="No",Lookup_Lists!$D$327,"N/A"))</f>
      </c>
      <c r="AR14" s="18">
        <f>IF(NOT(ISNUMBER(KOL_Source_Data!$BQ$14)),"N/A",MAX(0,ROUND(100-KOL_Source_Data!$BQ$14/Lookup_Lists!$D$328*100,0)))</f>
      </c>
      <c r="AS14" s="18">
        <f>IF(NOT(AND(ISTEXT(KOL_Source_Data!$BV$14),KOL_Source_Data!$BV$14&lt;&gt;"N/A")),"N/A",KOL_Source_Data!$BV$14)</f>
      </c>
      <c r="AT14" s="29">
        <f>IF((IF(ISNUMBER(Matching_Engine!$AO$14),Lookup_Lists!$D$322,0)+IF(ISNUMBER(Matching_Engine!$AP$14),Lookup_Lists!$D$323,0)+IF(ISNUMBER(Matching_Engine!$AQ$14),Lookup_Lists!$D$324,0)+IF(ISNUMBER(Matching_Engine!$AR$14),Lookup_Lists!$D$325,0))=0,"N/A",ROUND((IF(ISNUMBER(Matching_Engine!$AO$14),Matching_Engine!$AO$14*Lookup_Lists!$D$322,0)+IF(ISNUMBER(Matching_Engine!$AP$14),Matching_Engine!$AP$14*Lookup_Lists!$D$323,0)+IF(ISNUMBER(Matching_Engine!$AQ$14),Matching_Engine!$AQ$14*Lookup_Lists!$D$324,0)+IF(ISNUMBER(Matching_Engine!$AR$14),Matching_Engine!$AR$14*Lookup_Lists!$D$325,0))/(IF(ISNUMBER(Matching_Engine!$AO$14),Lookup_Lists!$D$322,0)+IF(ISNUMBER(Matching_Engine!$AP$14),Lookup_Lists!$D$323,0)+IF(ISNUMBER(Matching_Engine!$AQ$14),Lookup_Lists!$D$324,0)+IF(ISNUMBER(Matching_Engine!$AR$14),Lookup_Lists!$D$325,0)),0))</f>
      </c>
      <c r="AU14" s="11">
        <f>IF(ISNUMBER(Matching_Engine!$AT$14),1,0)</f>
      </c>
      <c r="AV14" s="11">
        <f>IF(NOT(ISNUMBER(Matching_Engine!$AT$14)),"Not Screened",IF(Matching_Engine!$AT$14&gt;=Lookup_Lists!$D$329,"Low Risk",IF(Matching_Engine!$AT$14&gt;=Lookup_Lists!$D$330,"Moderate Risk",IF(Matching_Engine!$AT$14&gt;=Lookup_Lists!$D$331,"Elevated Risk","High Risk"))))</f>
      </c>
      <c r="AW14" s="11">
        <f>IF(NOT(ISNUMBER(Matching_Engine!$AT$14)),"No integrity signal: no audience-analysis row for this account.","Integrity screen only — no content-risk reading exists (comments_analysis: 0 rows). "&amp;IF(ISNUMBER(Matching_Engine!$AO$14),"Authenticity "&amp;Matching_Engine!$AO$14&amp;". ","Authenticity N/A. ")&amp;IF(ISNUMBER(Matching_Engine!$AP$14),"Follower quality "&amp;Matching_Engine!$AP$14&amp;". ","Follower quality N/A. ")&amp;IF(KOL_Source_Data!$I$14="Yes","Platform-verified.","Not platform-verified."))</f>
      </c>
      <c r="AX14" s="18">
        <f>Matching_Engine!$N$14*Lookup_Lists!$D$104+Matching_Engine!$T$14*Lookup_Lists!$D$105+Matching_Engine!$Z$14*Lookup_Lists!$D$106+Matching_Engine!$AF$14*Lookup_Lists!$D$107+Matching_Engine!$AN$14*Lookup_Lists!$D$108+Matching_Engine!$AU$14*Lookup_Lists!$D$109</f>
      </c>
      <c r="AY14" s="30">
        <f>IF(Matching_Engine!$AX$14=0,"N/A",ROUND((IF(Matching_Engine!$N$14=1,Matching_Engine!$M$14*Lookup_Lists!$D$104,0)+IF(Matching_Engine!$T$14=1,Matching_Engine!$S$14*Lookup_Lists!$D$105,0)+IF(Matching_Engine!$Z$14=1,Matching_Engine!$Y$14*Lookup_Lists!$D$106,0)+IF(Matching_Engine!$AF$14=1,Matching_Engine!$AE$14*Lookup_Lists!$D$107,0)+IF(Matching_Engine!$AN$14=1,Matching_Engine!$AM$14*Lookup_Lists!$D$108,0)+IF(Matching_Engine!$AU$14=1,Matching_Engine!$AT$14*Lookup_Lists!$D$109,0))/Matching_Engine!$AX$14,0))</f>
      </c>
      <c r="AZ14" s="11">
        <f>IF(NOT(ISNUMBER(Matching_Engine!$AY$14)),"Not Scored",IF(Matching_Engine!$AY$14&gt;=Lookup_Lists!$D$152,"Excellent Match",IF(Matching_Engine!$AY$14&gt;=Lookup_Lists!$D$153,"Strong Match",IF(Matching_Engine!$AY$14&gt;=Lookup_Lists!$D$154,"Good Match",IF(Matching_Engine!$AY$14&gt;=Lookup_Lists!$D$155,"Moderate Match","Low Match")))))</f>
      </c>
      <c r="BA14" s="18">
        <f>KOL_Source_Data!$BW$14</f>
      </c>
      <c r="BB14" s="11">
        <f>KOL_Source_Data!$BX$14</f>
      </c>
      <c r="BC14" s="18">
        <f>IF(NOT(ISNUMBER(Matching_Engine!$AY$14)),-1,Matching_Engine!$AY$14*1000+16)</f>
      </c>
      <c r="BD14" s="11">
        <f>IF(AND(ISTEXT(KOL_Source_Data!$S$14),KOL_Source_Data!$S$14&lt;&gt;"N/A"),KOL_Source_Data!$S$14,"")&amp;" | "&amp;IF(AND(ISTEXT(KOL_Source_Data!$T$14),KOL_Source_Data!$T$14&lt;&gt;"N/A"),KOL_Source_Data!$T$14,"")&amp;" | "&amp;IF(AND(ISTEXT(KOL_Source_Data!$N$14),KOL_Source_Data!$N$14&lt;&gt;"N/A"),KOL_Source_Data!$N$14,"")&amp;" | "&amp;IF(AND(ISTEXT(KOL_Source_Data!$K$14),KOL_Source_Data!$K$14&lt;&gt;"N/A"),KOL_Source_Data!$K$14,"")&amp;" | "&amp;IF(AND(ISTEXT(KOL_Source_Data!$J$14),KOL_Source_Data!$J$14&lt;&gt;"N/A"),KOL_Source_Data!$J$14,"")</f>
      </c>
      <c r="BE14" s="11">
        <f>IF(AND(ISTEXT(KOL_Source_Data!$T$14),KOL_Source_Data!$T$14&lt;&gt;"N/A"),KOL_Source_Data!$T$14,"")&amp;" | "&amp;IF(AND(ISTEXT(KOL_Source_Data!$N$14),KOL_Source_Data!$N$14&lt;&gt;"N/A"),KOL_Source_Data!$N$14,"")&amp;" | "&amp;IF(AND(ISTEXT(KOL_Source_Data!$O$14),KOL_Source_Data!$O$14&lt;&gt;"N/A"),KOL_Source_Data!$O$14,"")&amp;" | "&amp;IF(AND(ISTEXT(KOL_Source_Data!$S$14),KOL_Source_Data!$S$14&lt;&gt;"N/A"),KOL_Source_Data!$S$14,"")</f>
      </c>
      <c r="BF14" s="11">
        <f>IF(AND(ISTEXT(KOL_Source_Data!$U$14),KOL_Source_Data!$U$14&lt;&gt;"N/A"),KOL_Source_Data!$U$14,"")</f>
      </c>
      <c r="BG14" s="11">
        <f>Matching_Engine!$A$14&amp;"|"&amp;Matching_Engine!$C$14</f>
      </c>
    </row>
    <row r="15" spans="1:59" x14ac:dyDescent="0.25">
      <c r="A15" s="10" t="s">
        <v>390</v>
      </c>
      <c r="B15" s="11">
        <f>Brand_Profile!$E$6</f>
      </c>
      <c r="C15" s="11">
        <f>KOL_Source_Data!$A$15</f>
      </c>
      <c r="D15" s="11">
        <f>KOL_Source_Data!$C$15</f>
      </c>
      <c r="E15" s="11">
        <f>KOL_Source_Data!$D$15</f>
      </c>
      <c r="F15" s="11">
        <f>KOL_Source_Data!$E$15</f>
      </c>
      <c r="G15" s="11">
        <f>KOL_Source_Data!$K$15</f>
      </c>
      <c r="H15" s="12">
        <f>KOL_Source_Data!$G$15</f>
      </c>
      <c r="I15" s="14">
        <f>KOL_Source_Data!$BG$15</f>
      </c>
      <c r="J15" s="18">
        <f>IF(NOT(AND(ISTEXT(KOL_Source_Data!$K$15),KOL_Source_Data!$K$15&lt;&gt;"N/A")),Lookup_Lists!$D$150,IF(Brand_Profile!$E$7=KOL_Source_Data!$K$15,100,IFERROR(INDEX(Lookup_Lists!$B$349:$J$357,MATCH(Brand_Profile!$E$7,Lookup_Lists!$A$349:$A$357,0),MATCH(KOL_Source_Data!$K$15,Lookup_Lists!$B$348:$J$348,0)),Lookup_Lists!$D$151)))</f>
      </c>
      <c r="K15" s="18">
        <f>IF(LEN(TRIM(SUBSTITUTE(Matching_Engine!$BD$15,"|","")))=0,"N/A",IF(Brand_Profile!$E$47=0,Lookup_Lists!$D$150,ROUND((IF(Brand_Profile!$E$41="",0,IF(ISNUMBER(SEARCH(Brand_Profile!$E$41,Matching_Engine!$BD$15)),1,0))+IF(Brand_Profile!$E$42="",0,IF(ISNUMBER(SEARCH(Brand_Profile!$E$42,Matching_Engine!$BD$15)),1,0))+IF(Brand_Profile!$E$43="",0,IF(ISNUMBER(SEARCH(Brand_Profile!$E$43,Matching_Engine!$BD$15)),1,0))+IF(Brand_Profile!$E$44="",0,IF(ISNUMBER(SEARCH(Brand_Profile!$E$44,Matching_Engine!$BD$15)),1,0))+IF(Brand_Profile!$E$45="",0,IF(ISNUMBER(SEARCH(Brand_Profile!$E$45,Matching_Engine!$BD$15)),1,0))+IF(Brand_Profile!$E$46="",0,IF(ISNUMBER(SEARCH(Brand_Profile!$E$46,Matching_Engine!$BD$15)),1,0)))/Brand_Profile!$E$47*100,0)))</f>
      </c>
      <c r="L15" s="18">
        <f>IF(NOT(AND(ISTEXT(KOL_Source_Data!$U$15),KOL_Source_Data!$U$15&lt;&gt;"N/A")),"N/A",IF(Brand_Profile!$E$53=0,Lookup_Lists!$D$150,ROUND((IF(Brand_Profile!$E$48="",0,IF(ISNUMBER(SEARCH(Brand_Profile!$E$48,Matching_Engine!$BF$15)),1,0))+IF(Brand_Profile!$E$49="",0,IF(ISNUMBER(SEARCH(Brand_Profile!$E$49,Matching_Engine!$BF$15)),1,0))+IF(Brand_Profile!$E$50="",0,IF(ISNUMBER(SEARCH(Brand_Profile!$E$50,Matching_Engine!$BF$15)),1,0))+IF(Brand_Profile!$E$51="",0,IF(ISNUMBER(SEARCH(Brand_Profile!$E$51,Matching_Engine!$BF$15)),1,0))+IF(Brand_Profile!$E$52="",0,IF(ISNUMBER(SEARCH(Brand_Profile!$E$52,Matching_Engine!$BF$15)),1,0)))/Brand_Profile!$E$53*100,0)))</f>
      </c>
      <c r="M15" s="29">
        <f>IF((IF(ISNUMBER(Matching_Engine!$J$15),Lookup_Lists!$D$332,0)+IF(ISNUMBER(Matching_Engine!$K$15),Lookup_Lists!$D$333,0)+IF(ISNUMBER(Matching_Engine!$L$15),Lookup_Lists!$D$334,0))=0,"N/A",ROUND((IF(ISNUMBER(Matching_Engine!$J$15),Matching_Engine!$J$15*Lookup_Lists!$D$332,0)+IF(ISNUMBER(Matching_Engine!$K$15),Matching_Engine!$K$15*Lookup_Lists!$D$333,0)+IF(ISNUMBER(Matching_Engine!$L$15),Matching_Engine!$L$15*Lookup_Lists!$D$334,0))/(IF(ISNUMBER(Matching_Engine!$J$15),Lookup_Lists!$D$332,0)+IF(ISNUMBER(Matching_Engine!$K$15),Lookup_Lists!$D$333,0)+IF(ISNUMBER(Matching_Engine!$L$15),Lookup_Lists!$D$334,0)),0))</f>
      </c>
      <c r="N15" s="11">
        <f>IF(ISNUMBER(Matching_Engine!$M$15),1,0)</f>
      </c>
      <c r="O15" s="18">
        <f>IF(NOT(ISNUMBER(IFERROR(INDEX(KOL_Source_Data!$V$15:KOL_Source_Data!$Z$15,1,MATCH(Brand_Profile!$E$11,Lookup_Lists!$F$6:$F$10,0)),""))),"N/A",MIN(100,ROUND((IFERROR(INDEX(KOL_Source_Data!$V$15:KOL_Source_Data!$Z$15,1,MATCH(Brand_Profile!$E$11,Lookup_Lists!$F$6:$F$10,0)),"")+0.5*IF(ISNUMBER(IFERROR(INDEX(KOL_Source_Data!$V$15:KOL_Source_Data!$Z$15,1,MATCH(Brand_Profile!$E$12,Lookup_Lists!$F$6:$F$10,0)),"")),IFERROR(INDEX(KOL_Source_Data!$V$15:KOL_Source_Data!$Z$15,1,MATCH(Brand_Profile!$E$12,Lookup_Lists!$F$6:$F$10,0)),""),0))/Lookup_Lists!$D$142*100,0)))</f>
      </c>
      <c r="P15" s="18">
        <f>IF(Brand_Profile!$E$13="Any",100,IF(NOT(ISNUMBER(KOL_Source_Data!$AA$15)),"N/A",IF(Brand_Profile!$E$13="Female",MIN(100,ROUND(KOL_Source_Data!$AA$15/Lookup_Lists!$D$143*100,0)),IF(Brand_Profile!$E$13="Male",MIN(100,ROUND(IF(ISNUMBER(KOL_Source_Data!$AB$15),KOL_Source_Data!$AB$15,100-KOL_Source_Data!$AA$15)/Lookup_Lists!$D$143*100,0)),MAX(0,ROUND(100-ABS(KOL_Source_Data!$AA$15-50)*2,0))))))</f>
      </c>
      <c r="Q15" s="18">
        <f>IF((IF(ISNUMBER(IF(NOT(ISNUMBER(KOL_Source_Data!$AE$15)),"N/A",IF(KOL_Source_Data!$AD$15&lt;&gt;Brand_Profile!$E$14,Lookup_Lists!$D$151,MIN(100,ROUND(KOL_Source_Data!$AE$15/Lookup_Lists!$D$316*100,0))))),Lookup_Lists!$D$118,0)+IF(ISNUMBER(IF(NOT(ISNUMBER(KOL_Source_Data!$AM$15)),"N/A",MIN(100,ROUND((IF(KOL_Source_Data!$AG$15=Brand_Profile!$E$15,IF(ISNUMBER(KOL_Source_Data!$AH$15),KOL_Source_Data!$AH$15,0),0)+IF(KOL_Source_Data!$AI$15=Brand_Profile!$E$15,IF(ISNUMBER(KOL_Source_Data!$AJ$15),KOL_Source_Data!$AJ$15,0),0)+IF(KOL_Source_Data!$AK$15=Brand_Profile!$E$15,IF(ISNUMBER(KOL_Source_Data!$AL$15),KOL_Source_Data!$AL$15,0),0))/Lookup_Lists!$D$317*100,0)))),Lookup_Lists!$D$120,0))=0,"N/A",ROUND((IF(ISNUMBER(IF(NOT(ISNUMBER(KOL_Source_Data!$AE$15)),"N/A",IF(KOL_Source_Data!$AD$15&lt;&gt;Brand_Profile!$E$14,Lookup_Lists!$D$151,MIN(100,ROUND(KOL_Source_Data!$AE$15/Lookup_Lists!$D$316*100,0))))),IF(NOT(ISNUMBER(KOL_Source_Data!$AE$15)),"N/A",IF(KOL_Source_Data!$AD$15&lt;&gt;Brand_Profile!$E$14,Lookup_Lists!$D$151,MIN(100,ROUND(KOL_Source_Data!$AE$15/Lookup_Lists!$D$316*100,0))))*Lookup_Lists!$D$118,0)+IF(ISNUMBER(IF(NOT(ISNUMBER(KOL_Source_Data!$AM$15)),"N/A",MIN(100,ROUND((IF(KOL_Source_Data!$AG$15=Brand_Profile!$E$15,IF(ISNUMBER(KOL_Source_Data!$AH$15),KOL_Source_Data!$AH$15,0),0)+IF(KOL_Source_Data!$AI$15=Brand_Profile!$E$15,IF(ISNUMBER(KOL_Source_Data!$AJ$15),KOL_Source_Data!$AJ$15,0),0)+IF(KOL_Source_Data!$AK$15=Brand_Profile!$E$15,IF(ISNUMBER(KOL_Source_Data!$AL$15),KOL_Source_Data!$AL$15,0),0))/Lookup_Lists!$D$317*100,0)))),IF(NOT(ISNUMBER(KOL_Source_Data!$AM$15)),"N/A",MIN(100,ROUND((IF(KOL_Source_Data!$AG$15=Brand_Profile!$E$15,IF(ISNUMBER(KOL_Source_Data!$AH$15),KOL_Source_Data!$AH$15,0),0)+IF(KOL_Source_Data!$AI$15=Brand_Profile!$E$15,IF(ISNUMBER(KOL_Source_Data!$AJ$15),KOL_Source_Data!$AJ$15,0),0)+IF(KOL_Source_Data!$AK$15=Brand_Profile!$E$15,IF(ISNUMBER(KOL_Source_Data!$AL$15),KOL_Source_Data!$AL$15,0),0))/Lookup_Lists!$D$317*100,0)))*Lookup_Lists!$D$120,0))/(IF(ISNUMBER(IF(NOT(ISNUMBER(KOL_Source_Data!$AE$15)),"N/A",IF(KOL_Source_Data!$AD$15&lt;&gt;Brand_Profile!$E$14,Lookup_Lists!$D$151,MIN(100,ROUND(KOL_Source_Data!$AE$15/Lookup_Lists!$D$316*100,0))))),Lookup_Lists!$D$118,0)+IF(ISNUMBER(IF(NOT(ISNUMBER(KOL_Source_Data!$AM$15)),"N/A",MIN(100,ROUND((IF(KOL_Source_Data!$AG$15=Brand_Profile!$E$15,IF(ISNUMBER(KOL_Source_Data!$AH$15),KOL_Source_Data!$AH$15,0),0)+IF(KOL_Source_Data!$AI$15=Brand_Profile!$E$15,IF(ISNUMBER(KOL_Source_Data!$AJ$15),KOL_Source_Data!$AJ$15,0),0)+IF(KOL_Source_Data!$AK$15=Brand_Profile!$E$15,IF(ISNUMBER(KOL_Source_Data!$AL$15),KOL_Source_Data!$AL$15,0),0))/Lookup_Lists!$D$317*100,0)))),Lookup_Lists!$D$120,0)),0))</f>
      </c>
      <c r="R15" s="18">
        <f>IF(NOT(ISNUMBER(KOL_Source_Data!$AN$15)),"N/A",MIN(100,ROUND((IF(ISNUMBER(KOL_Source_Data!$AO$15),KOL_Source_Data!$AO$15*Brand_Profile!$E$17,0)+IF(ISNUMBER(KOL_Source_Data!$AP$15),KOL_Source_Data!$AP$15*Brand_Profile!$E$18,0)+IF(ISNUMBER(KOL_Source_Data!$AQ$15),KOL_Source_Data!$AQ$15*Brand_Profile!$E$19,0)+IF(ISNUMBER(KOL_Source_Data!$AR$15),KOL_Source_Data!$AR$15*Brand_Profile!$E$20,0)+IF(ISNUMBER(KOL_Source_Data!$AS$15),KOL_Source_Data!$AS$15*Brand_Profile!$E$21,0)+IF(ISNUMBER(KOL_Source_Data!$AT$15),KOL_Source_Data!$AT$15*Brand_Profile!$E$22,0)+IF(ISNUMBER(KOL_Source_Data!$AU$15),KOL_Source_Data!$AU$15*Brand_Profile!$E$23,0)+IF(ISNUMBER(KOL_Source_Data!$AV$15),KOL_Source_Data!$AV$15*Brand_Profile!$E$24,0)+IF(ISNUMBER(KOL_Source_Data!$AW$15),KOL_Source_Data!$AW$15*Brand_Profile!$E$25,0)+IF(ISNUMBER(KOL_Source_Data!$AX$15),KOL_Source_Data!$AX$15*Brand_Profile!$E$26,0)+IF(ISNUMBER(KOL_Source_Data!$AY$15),KOL_Source_Data!$AY$15*Brand_Profile!$E$27,0)+IF(ISNUMBER(KOL_Source_Data!$AZ$15),KOL_Source_Data!$AZ$15*Brand_Profile!$E$28,0)+IF(ISNUMBER(KOL_Source_Data!$BA$15),KOL_Source_Data!$BA$15*Brand_Profile!$E$29,0)+IF(ISNUMBER(KOL_Source_Data!$BB$15),KOL_Source_Data!$BB$15*Brand_Profile!$E$30,0)+IF(ISNUMBER(KOL_Source_Data!$BC$15),KOL_Source_Data!$BC$15*Brand_Profile!$E$31,0)+IF(ISNUMBER(KOL_Source_Data!$BD$15),KOL_Source_Data!$BD$15*Brand_Profile!$E$32,0)+IF(ISNUMBER(KOL_Source_Data!$BE$15),KOL_Source_Data!$BE$15*Brand_Profile!$E$33,0)+IF(ISNUMBER(KOL_Source_Data!$BF$15),KOL_Source_Data!$BF$15*Brand_Profile!$E$34,0))/Lookup_Lists!$D$318*100,0)))</f>
      </c>
      <c r="S15" s="29">
        <f>IF((IF(ISNUMBER(Matching_Engine!$O$15),Lookup_Lists!$D$113,0)+IF(ISNUMBER(Matching_Engine!$P$15),Lookup_Lists!$D$114,0)+IF(ISNUMBER(Matching_Engine!$Q$15),Lookup_Lists!$D$115,0)+IF(ISNUMBER(Matching_Engine!$R$15),Lookup_Lists!$D$116,0))=0,"N/A",ROUND((IF(ISNUMBER(Matching_Engine!$O$15),Matching_Engine!$O$15*Lookup_Lists!$D$113,0)+IF(ISNUMBER(Matching_Engine!$P$15),Matching_Engine!$P$15*Lookup_Lists!$D$114,0)+IF(ISNUMBER(Matching_Engine!$Q$15),Matching_Engine!$Q$15*Lookup_Lists!$D$115,0)+IF(ISNUMBER(Matching_Engine!$R$15),Matching_Engine!$R$15*Lookup_Lists!$D$116,0))/(IF(ISNUMBER(Matching_Engine!$O$15),Lookup_Lists!$D$113,0)+IF(ISNUMBER(Matching_Engine!$P$15),Lookup_Lists!$D$114,0)+IF(ISNUMBER(Matching_Engine!$Q$15),Lookup_Lists!$D$115,0)+IF(ISNUMBER(Matching_Engine!$R$15),Lookup_Lists!$D$116,0)),0))</f>
      </c>
      <c r="T15" s="11">
        <f>IF(ISNUMBER(Matching_Engine!$S$15),1,0)</f>
      </c>
      <c r="U15" s="18">
        <f>IF(NOT(AND(ISTEXT(KOL_Source_Data!$M$15),KOL_Source_Data!$M$15&lt;&gt;"N/A")),Lookup_Lists!$D$150,IF(Brand_Profile!$E$7=KOL_Source_Data!$M$15,100,IFERROR(INDEX(Lookup_Lists!$B$349:$J$357,MATCH(Brand_Profile!$E$7,Lookup_Lists!$A$349:$A$357,0),MATCH(KOL_Source_Data!$M$15,Lookup_Lists!$B$348:$J$348,0)),Lookup_Lists!$D$151)))</f>
      </c>
      <c r="V15" s="18">
        <f>IF(NOT(AND(ISTEXT(KOL_Source_Data!$P$15),KOL_Source_Data!$P$15&lt;&gt;"N/A")),"N/A",IFERROR(INDEX(Lookup_Lists!$B$349:$J$357,MATCH(Brand_Profile!$E$7,Lookup_Lists!$A$349:$A$357,0),MATCH(KOL_Source_Data!$P$15,Lookup_Lists!$B$348:$J$348,0)),Lookup_Lists!$D$151))</f>
      </c>
      <c r="W15" s="18">
        <f>IF(LEN(TRIM(SUBSTITUTE(Matching_Engine!$BE$15,"|","")))=0,"N/A",IF(Brand_Profile!$E$60=0,Lookup_Lists!$D$150,ROUND((IF(Brand_Profile!$E$54="",0,IF(ISNUMBER(SEARCH(Brand_Profile!$E$54,Matching_Engine!$BE$15)),1,0))+IF(Brand_Profile!$E$55="",0,IF(ISNUMBER(SEARCH(Brand_Profile!$E$55,Matching_Engine!$BE$15)),1,0))+IF(Brand_Profile!$E$56="",0,IF(ISNUMBER(SEARCH(Brand_Profile!$E$56,Matching_Engine!$BE$15)),1,0))+IF(Brand_Profile!$E$57="",0,IF(ISNUMBER(SEARCH(Brand_Profile!$E$57,Matching_Engine!$BE$15)),1,0))+IF(Brand_Profile!$E$58="",0,IF(ISNUMBER(SEARCH(Brand_Profile!$E$58,Matching_Engine!$BE$15)),1,0))+IF(Brand_Profile!$E$59="",0,IF(ISNUMBER(SEARCH(Brand_Profile!$E$59,Matching_Engine!$BE$15)),1,0)))/Brand_Profile!$E$60*100,0)))</f>
      </c>
      <c r="X15" s="18">
        <f>IF(NOT(AND(ISTEXT(KOL_Source_Data!$Q$15),KOL_Source_Data!$Q$15&lt;&gt;"N/A")),"N/A",Lookup_Lists!$D$150)</f>
      </c>
      <c r="Y15" s="29">
        <f>IF((IF(ISNUMBER(Matching_Engine!$U$15),Lookup_Lists!$D$335,0)+IF(ISNUMBER(Matching_Engine!$V$15),Lookup_Lists!$D$122,0)+IF(ISNUMBER(Matching_Engine!$W$15),Lookup_Lists!$D$336,0)+IF(ISNUMBER(Matching_Engine!$X$15),Lookup_Lists!$D$124,0))=0,"N/A",ROUND((IF(ISNUMBER(Matching_Engine!$U$15),Matching_Engine!$U$15*Lookup_Lists!$D$335,0)+IF(ISNUMBER(Matching_Engine!$V$15),Matching_Engine!$V$15*Lookup_Lists!$D$122,0)+IF(ISNUMBER(Matching_Engine!$W$15),Matching_Engine!$W$15*Lookup_Lists!$D$336,0)+IF(ISNUMBER(Matching_Engine!$X$15),Matching_Engine!$X$15*Lookup_Lists!$D$124,0))/(IF(ISNUMBER(Matching_Engine!$U$15),Lookup_Lists!$D$335,0)+IF(ISNUMBER(Matching_Engine!$V$15),Lookup_Lists!$D$122,0)+IF(ISNUMBER(Matching_Engine!$W$15),Lookup_Lists!$D$336,0)+IF(ISNUMBER(Matching_Engine!$X$15),Lookup_Lists!$D$124,0)),0))</f>
      </c>
      <c r="Z15" s="11">
        <f>IF(ISNUMBER(Matching_Engine!$Y$15),1,0)</f>
      </c>
      <c r="AA15" s="18">
        <f>IF(NOT(AND(ISTEXT(KOL_Source_Data!$Q$15),KOL_Source_Data!$Q$15&lt;&gt;"N/A")),"N/A",Lookup_Lists!$D$150)</f>
      </c>
      <c r="AB15" s="18">
        <f>IF(NOT(AND(ISTEXT(KOL_Source_Data!$Q$15),KOL_Source_Data!$Q$15&lt;&gt;"N/A")),"N/A",Lookup_Lists!$D$150)</f>
      </c>
      <c r="AC15" s="18">
        <f>"N/A"</f>
      </c>
      <c r="AD15" s="18">
        <f>IF(NOT(AND(ISTEXT(KOL_Source_Data!$Q$15),KOL_Source_Data!$Q$15&lt;&gt;"N/A")),"N/A",Lookup_Lists!$D$150)</f>
      </c>
      <c r="AE15" s="29">
        <f>IF((IF(ISNUMBER(Matching_Engine!$AA$15),Lookup_Lists!$D$125,0)+IF(ISNUMBER(Matching_Engine!$AB$15),Lookup_Lists!$D$126,0)+IF(ISNUMBER(Matching_Engine!$AC$15),Lookup_Lists!$D$127,0)+IF(ISNUMBER(Matching_Engine!$AD$15),Lookup_Lists!$D$128,0))=0,"N/A",ROUND((IF(ISNUMBER(Matching_Engine!$AA$15),Matching_Engine!$AA$15*Lookup_Lists!$D$125,0)+IF(ISNUMBER(Matching_Engine!$AB$15),Matching_Engine!$AB$15*Lookup_Lists!$D$126,0)+IF(ISNUMBER(Matching_Engine!$AC$15),Matching_Engine!$AC$15*Lookup_Lists!$D$127,0)+IF(ISNUMBER(Matching_Engine!$AD$15),Matching_Engine!$AD$15*Lookup_Lists!$D$128,0))/(IF(ISNUMBER(Matching_Engine!$AA$15),Lookup_Lists!$D$125,0)+IF(ISNUMBER(Matching_Engine!$AB$15),Lookup_Lists!$D$126,0)+IF(ISNUMBER(Matching_Engine!$AC$15),Lookup_Lists!$D$127,0)+IF(ISNUMBER(Matching_Engine!$AD$15),Lookup_Lists!$D$128,0)),0))</f>
      </c>
      <c r="AF15" s="11">
        <f>IF(ISNUMBER(Matching_Engine!$AE$15),1,0)</f>
      </c>
      <c r="AG15" s="18">
        <f>IF(NOT(ISNUMBER(KOL_Source_Data!$BG$15)),"N/A",MIN(100,ROUND(KOL_Source_Data!$BG$15/IFERROR(INDEX(Lookup_Lists!$B$340:$B$344,MATCH(KOL_Source_Data!$H$15,Lookup_Lists!$A$340:$A$344,0)),Lookup_Lists!$D$141)*100,0)))</f>
      </c>
      <c r="AH15" s="18">
        <f>IF(NOT(ISNUMBER(KOL_Source_Data!$BS$15)),"N/A",MIN(100,MAX(0,KOL_Source_Data!$BS$15)))</f>
      </c>
      <c r="AI15" s="18">
        <f>IF(OR(NOT(ISNUMBER(KOL_Source_Data!$BM$15)),NOT(ISNUMBER(KOL_Source_Data!$BN$15)),KOL_Source_Data!$BN$15&lt;Lookup_Lists!$D$320),"N/A",MIN(100,ROUND(KOL_Source_Data!$BM$15/Lookup_Lists!$D$319*100,0)))</f>
      </c>
      <c r="AJ15" s="18">
        <f>IF(NOT(ISNUMBER(KOL_Source_Data!$BR$15)),"N/A",KOL_Source_Data!$BR$15)</f>
      </c>
      <c r="AK15" s="18">
        <f>IF(NOT(ISNUMBER(KOL_Source_Data!$BK$15)),"N/A",MIN(100,ROUND(KOL_Source_Data!$BK$15/Lookup_Lists!$D$321*100,0)))</f>
      </c>
      <c r="AL15" s="18">
        <f>IF(NOT(ISNUMBER(KOL_Source_Data!$BP$15)),"N/A",MIN(100,MAX(0,ROUND((KOL_Source_Data!$BP$15+2)/(Lookup_Lists!$D$145+2)*100,0))))</f>
      </c>
      <c r="AM15" s="29">
        <f>IF((IF(ISNUMBER(Matching_Engine!$AG$15),Lookup_Lists!$D$129,0)+IF(ISNUMBER(Matching_Engine!$AH$15),Lookup_Lists!$D$130,0)+IF(ISNUMBER(Matching_Engine!$AI$15),Lookup_Lists!$D$131,0)+IF(ISNUMBER(Matching_Engine!$AJ$15),Lookup_Lists!$D$132,0)+IF(ISNUMBER(Matching_Engine!$AK$15),Lookup_Lists!$D$133,0)+IF(ISNUMBER(Matching_Engine!$AL$15),Lookup_Lists!$D$134,0))=0,"N/A",ROUND((IF(ISNUMBER(Matching_Engine!$AG$15),Matching_Engine!$AG$15*Lookup_Lists!$D$129,0)+IF(ISNUMBER(Matching_Engine!$AH$15),Matching_Engine!$AH$15*Lookup_Lists!$D$130,0)+IF(ISNUMBER(Matching_Engine!$AI$15),Matching_Engine!$AI$15*Lookup_Lists!$D$131,0)+IF(ISNUMBER(Matching_Engine!$AJ$15),Matching_Engine!$AJ$15*Lookup_Lists!$D$132,0)+IF(ISNUMBER(Matching_Engine!$AK$15),Matching_Engine!$AK$15*Lookup_Lists!$D$133,0)+IF(ISNUMBER(Matching_Engine!$AL$15),Matching_Engine!$AL$15*Lookup_Lists!$D$134,0))/(IF(ISNUMBER(Matching_Engine!$AG$15),Lookup_Lists!$D$129,0)+IF(ISNUMBER(Matching_Engine!$AH$15),Lookup_Lists!$D$130,0)+IF(ISNUMBER(Matching_Engine!$AI$15),Lookup_Lists!$D$131,0)+IF(ISNUMBER(Matching_Engine!$AJ$15),Lookup_Lists!$D$132,0)+IF(ISNUMBER(Matching_Engine!$AK$15),Lookup_Lists!$D$133,0)+IF(ISNUMBER(Matching_Engine!$AL$15),Lookup_Lists!$D$134,0)),0))</f>
      </c>
      <c r="AN15" s="11">
        <f>IF(ISNUMBER(Matching_Engine!$AM$15),1,0)</f>
      </c>
      <c r="AO15" s="18">
        <f>IF(NOT(ISNUMBER(KOL_Source_Data!$BT$15)),"N/A",MIN(100,MAX(0,KOL_Source_Data!$BT$15)))</f>
      </c>
      <c r="AP15" s="18">
        <f>IF(NOT(ISNUMBER(KOL_Source_Data!$BU$15)),"N/A",MIN(100,MAX(0,KOL_Source_Data!$BU$15)))</f>
      </c>
      <c r="AQ15" s="18">
        <f>IF(KOL_Source_Data!$I$15="Yes",Lookup_Lists!$D$326,IF(KOL_Source_Data!$I$15="No",Lookup_Lists!$D$327,"N/A"))</f>
      </c>
      <c r="AR15" s="18">
        <f>IF(NOT(ISNUMBER(KOL_Source_Data!$BQ$15)),"N/A",MAX(0,ROUND(100-KOL_Source_Data!$BQ$15/Lookup_Lists!$D$328*100,0)))</f>
      </c>
      <c r="AS15" s="18">
        <f>IF(NOT(AND(ISTEXT(KOL_Source_Data!$BV$15),KOL_Source_Data!$BV$15&lt;&gt;"N/A")),"N/A",KOL_Source_Data!$BV$15)</f>
      </c>
      <c r="AT15" s="29">
        <f>IF((IF(ISNUMBER(Matching_Engine!$AO$15),Lookup_Lists!$D$322,0)+IF(ISNUMBER(Matching_Engine!$AP$15),Lookup_Lists!$D$323,0)+IF(ISNUMBER(Matching_Engine!$AQ$15),Lookup_Lists!$D$324,0)+IF(ISNUMBER(Matching_Engine!$AR$15),Lookup_Lists!$D$325,0))=0,"N/A",ROUND((IF(ISNUMBER(Matching_Engine!$AO$15),Matching_Engine!$AO$15*Lookup_Lists!$D$322,0)+IF(ISNUMBER(Matching_Engine!$AP$15),Matching_Engine!$AP$15*Lookup_Lists!$D$323,0)+IF(ISNUMBER(Matching_Engine!$AQ$15),Matching_Engine!$AQ$15*Lookup_Lists!$D$324,0)+IF(ISNUMBER(Matching_Engine!$AR$15),Matching_Engine!$AR$15*Lookup_Lists!$D$325,0))/(IF(ISNUMBER(Matching_Engine!$AO$15),Lookup_Lists!$D$322,0)+IF(ISNUMBER(Matching_Engine!$AP$15),Lookup_Lists!$D$323,0)+IF(ISNUMBER(Matching_Engine!$AQ$15),Lookup_Lists!$D$324,0)+IF(ISNUMBER(Matching_Engine!$AR$15),Lookup_Lists!$D$325,0)),0))</f>
      </c>
      <c r="AU15" s="11">
        <f>IF(ISNUMBER(Matching_Engine!$AT$15),1,0)</f>
      </c>
      <c r="AV15" s="11">
        <f>IF(NOT(ISNUMBER(Matching_Engine!$AT$15)),"Not Screened",IF(Matching_Engine!$AT$15&gt;=Lookup_Lists!$D$329,"Low Risk",IF(Matching_Engine!$AT$15&gt;=Lookup_Lists!$D$330,"Moderate Risk",IF(Matching_Engine!$AT$15&gt;=Lookup_Lists!$D$331,"Elevated Risk","High Risk"))))</f>
      </c>
      <c r="AW15" s="11">
        <f>IF(NOT(ISNUMBER(Matching_Engine!$AT$15)),"No integrity signal: no audience-analysis row for this account.","Integrity screen only — no content-risk reading exists (comments_analysis: 0 rows). "&amp;IF(ISNUMBER(Matching_Engine!$AO$15),"Authenticity "&amp;Matching_Engine!$AO$15&amp;". ","Authenticity N/A. ")&amp;IF(ISNUMBER(Matching_Engine!$AP$15),"Follower quality "&amp;Matching_Engine!$AP$15&amp;". ","Follower quality N/A. ")&amp;IF(KOL_Source_Data!$I$15="Yes","Platform-verified.","Not platform-verified."))</f>
      </c>
      <c r="AX15" s="18">
        <f>Matching_Engine!$N$15*Lookup_Lists!$D$104+Matching_Engine!$T$15*Lookup_Lists!$D$105+Matching_Engine!$Z$15*Lookup_Lists!$D$106+Matching_Engine!$AF$15*Lookup_Lists!$D$107+Matching_Engine!$AN$15*Lookup_Lists!$D$108+Matching_Engine!$AU$15*Lookup_Lists!$D$109</f>
      </c>
      <c r="AY15" s="30">
        <f>IF(Matching_Engine!$AX$15=0,"N/A",ROUND((IF(Matching_Engine!$N$15=1,Matching_Engine!$M$15*Lookup_Lists!$D$104,0)+IF(Matching_Engine!$T$15=1,Matching_Engine!$S$15*Lookup_Lists!$D$105,0)+IF(Matching_Engine!$Z$15=1,Matching_Engine!$Y$15*Lookup_Lists!$D$106,0)+IF(Matching_Engine!$AF$15=1,Matching_Engine!$AE$15*Lookup_Lists!$D$107,0)+IF(Matching_Engine!$AN$15=1,Matching_Engine!$AM$15*Lookup_Lists!$D$108,0)+IF(Matching_Engine!$AU$15=1,Matching_Engine!$AT$15*Lookup_Lists!$D$109,0))/Matching_Engine!$AX$15,0))</f>
      </c>
      <c r="AZ15" s="11">
        <f>IF(NOT(ISNUMBER(Matching_Engine!$AY$15)),"Not Scored",IF(Matching_Engine!$AY$15&gt;=Lookup_Lists!$D$152,"Excellent Match",IF(Matching_Engine!$AY$15&gt;=Lookup_Lists!$D$153,"Strong Match",IF(Matching_Engine!$AY$15&gt;=Lookup_Lists!$D$154,"Good Match",IF(Matching_Engine!$AY$15&gt;=Lookup_Lists!$D$155,"Moderate Match","Low Match")))))</f>
      </c>
      <c r="BA15" s="18">
        <f>KOL_Source_Data!$BW$15</f>
      </c>
      <c r="BB15" s="11">
        <f>KOL_Source_Data!$BX$15</f>
      </c>
      <c r="BC15" s="18">
        <f>IF(NOT(ISNUMBER(Matching_Engine!$AY$15)),-1,Matching_Engine!$AY$15*1000+15)</f>
      </c>
      <c r="BD15" s="11">
        <f>IF(AND(ISTEXT(KOL_Source_Data!$S$15),KOL_Source_Data!$S$15&lt;&gt;"N/A"),KOL_Source_Data!$S$15,"")&amp;" | "&amp;IF(AND(ISTEXT(KOL_Source_Data!$T$15),KOL_Source_Data!$T$15&lt;&gt;"N/A"),KOL_Source_Data!$T$15,"")&amp;" | "&amp;IF(AND(ISTEXT(KOL_Source_Data!$N$15),KOL_Source_Data!$N$15&lt;&gt;"N/A"),KOL_Source_Data!$N$15,"")&amp;" | "&amp;IF(AND(ISTEXT(KOL_Source_Data!$K$15),KOL_Source_Data!$K$15&lt;&gt;"N/A"),KOL_Source_Data!$K$15,"")&amp;" | "&amp;IF(AND(ISTEXT(KOL_Source_Data!$J$15),KOL_Source_Data!$J$15&lt;&gt;"N/A"),KOL_Source_Data!$J$15,"")</f>
      </c>
      <c r="BE15" s="11">
        <f>IF(AND(ISTEXT(KOL_Source_Data!$T$15),KOL_Source_Data!$T$15&lt;&gt;"N/A"),KOL_Source_Data!$T$15,"")&amp;" | "&amp;IF(AND(ISTEXT(KOL_Source_Data!$N$15),KOL_Source_Data!$N$15&lt;&gt;"N/A"),KOL_Source_Data!$N$15,"")&amp;" | "&amp;IF(AND(ISTEXT(KOL_Source_Data!$O$15),KOL_Source_Data!$O$15&lt;&gt;"N/A"),KOL_Source_Data!$O$15,"")&amp;" | "&amp;IF(AND(ISTEXT(KOL_Source_Data!$S$15),KOL_Source_Data!$S$15&lt;&gt;"N/A"),KOL_Source_Data!$S$15,"")</f>
      </c>
      <c r="BF15" s="11">
        <f>IF(AND(ISTEXT(KOL_Source_Data!$U$15),KOL_Source_Data!$U$15&lt;&gt;"N/A"),KOL_Source_Data!$U$15,"")</f>
      </c>
      <c r="BG15" s="11">
        <f>Matching_Engine!$A$15&amp;"|"&amp;Matching_Engine!$C$15</f>
      </c>
    </row>
    <row r="16" spans="1:59" x14ac:dyDescent="0.25">
      <c r="A16" s="10" t="s">
        <v>390</v>
      </c>
      <c r="B16" s="11">
        <f>Brand_Profile!$E$6</f>
      </c>
      <c r="C16" s="11">
        <f>KOL_Source_Data!$A$16</f>
      </c>
      <c r="D16" s="11">
        <f>KOL_Source_Data!$C$16</f>
      </c>
      <c r="E16" s="11">
        <f>KOL_Source_Data!$D$16</f>
      </c>
      <c r="F16" s="11">
        <f>KOL_Source_Data!$E$16</f>
      </c>
      <c r="G16" s="11">
        <f>KOL_Source_Data!$K$16</f>
      </c>
      <c r="H16" s="12">
        <f>KOL_Source_Data!$G$16</f>
      </c>
      <c r="I16" s="14">
        <f>KOL_Source_Data!$BG$16</f>
      </c>
      <c r="J16" s="18">
        <f>IF(NOT(AND(ISTEXT(KOL_Source_Data!$K$16),KOL_Source_Data!$K$16&lt;&gt;"N/A")),Lookup_Lists!$D$150,IF(Brand_Profile!$E$7=KOL_Source_Data!$K$16,100,IFERROR(INDEX(Lookup_Lists!$B$349:$J$357,MATCH(Brand_Profile!$E$7,Lookup_Lists!$A$349:$A$357,0),MATCH(KOL_Source_Data!$K$16,Lookup_Lists!$B$348:$J$348,0)),Lookup_Lists!$D$151)))</f>
      </c>
      <c r="K16" s="18">
        <f>IF(LEN(TRIM(SUBSTITUTE(Matching_Engine!$BD$16,"|","")))=0,"N/A",IF(Brand_Profile!$E$47=0,Lookup_Lists!$D$150,ROUND((IF(Brand_Profile!$E$41="",0,IF(ISNUMBER(SEARCH(Brand_Profile!$E$41,Matching_Engine!$BD$16)),1,0))+IF(Brand_Profile!$E$42="",0,IF(ISNUMBER(SEARCH(Brand_Profile!$E$42,Matching_Engine!$BD$16)),1,0))+IF(Brand_Profile!$E$43="",0,IF(ISNUMBER(SEARCH(Brand_Profile!$E$43,Matching_Engine!$BD$16)),1,0))+IF(Brand_Profile!$E$44="",0,IF(ISNUMBER(SEARCH(Brand_Profile!$E$44,Matching_Engine!$BD$16)),1,0))+IF(Brand_Profile!$E$45="",0,IF(ISNUMBER(SEARCH(Brand_Profile!$E$45,Matching_Engine!$BD$16)),1,0))+IF(Brand_Profile!$E$46="",0,IF(ISNUMBER(SEARCH(Brand_Profile!$E$46,Matching_Engine!$BD$16)),1,0)))/Brand_Profile!$E$47*100,0)))</f>
      </c>
      <c r="L16" s="18">
        <f>IF(NOT(AND(ISTEXT(KOL_Source_Data!$U$16),KOL_Source_Data!$U$16&lt;&gt;"N/A")),"N/A",IF(Brand_Profile!$E$53=0,Lookup_Lists!$D$150,ROUND((IF(Brand_Profile!$E$48="",0,IF(ISNUMBER(SEARCH(Brand_Profile!$E$48,Matching_Engine!$BF$16)),1,0))+IF(Brand_Profile!$E$49="",0,IF(ISNUMBER(SEARCH(Brand_Profile!$E$49,Matching_Engine!$BF$16)),1,0))+IF(Brand_Profile!$E$50="",0,IF(ISNUMBER(SEARCH(Brand_Profile!$E$50,Matching_Engine!$BF$16)),1,0))+IF(Brand_Profile!$E$51="",0,IF(ISNUMBER(SEARCH(Brand_Profile!$E$51,Matching_Engine!$BF$16)),1,0))+IF(Brand_Profile!$E$52="",0,IF(ISNUMBER(SEARCH(Brand_Profile!$E$52,Matching_Engine!$BF$16)),1,0)))/Brand_Profile!$E$53*100,0)))</f>
      </c>
      <c r="M16" s="29">
        <f>IF((IF(ISNUMBER(Matching_Engine!$J$16),Lookup_Lists!$D$332,0)+IF(ISNUMBER(Matching_Engine!$K$16),Lookup_Lists!$D$333,0)+IF(ISNUMBER(Matching_Engine!$L$16),Lookup_Lists!$D$334,0))=0,"N/A",ROUND((IF(ISNUMBER(Matching_Engine!$J$16),Matching_Engine!$J$16*Lookup_Lists!$D$332,0)+IF(ISNUMBER(Matching_Engine!$K$16),Matching_Engine!$K$16*Lookup_Lists!$D$333,0)+IF(ISNUMBER(Matching_Engine!$L$16),Matching_Engine!$L$16*Lookup_Lists!$D$334,0))/(IF(ISNUMBER(Matching_Engine!$J$16),Lookup_Lists!$D$332,0)+IF(ISNUMBER(Matching_Engine!$K$16),Lookup_Lists!$D$333,0)+IF(ISNUMBER(Matching_Engine!$L$16),Lookup_Lists!$D$334,0)),0))</f>
      </c>
      <c r="N16" s="11">
        <f>IF(ISNUMBER(Matching_Engine!$M$16),1,0)</f>
      </c>
      <c r="O16" s="18">
        <f>IF(NOT(ISNUMBER(IFERROR(INDEX(KOL_Source_Data!$V$16:KOL_Source_Data!$Z$16,1,MATCH(Brand_Profile!$E$11,Lookup_Lists!$F$6:$F$10,0)),""))),"N/A",MIN(100,ROUND((IFERROR(INDEX(KOL_Source_Data!$V$16:KOL_Source_Data!$Z$16,1,MATCH(Brand_Profile!$E$11,Lookup_Lists!$F$6:$F$10,0)),"")+0.5*IF(ISNUMBER(IFERROR(INDEX(KOL_Source_Data!$V$16:KOL_Source_Data!$Z$16,1,MATCH(Brand_Profile!$E$12,Lookup_Lists!$F$6:$F$10,0)),"")),IFERROR(INDEX(KOL_Source_Data!$V$16:KOL_Source_Data!$Z$16,1,MATCH(Brand_Profile!$E$12,Lookup_Lists!$F$6:$F$10,0)),""),0))/Lookup_Lists!$D$142*100,0)))</f>
      </c>
      <c r="P16" s="18">
        <f>IF(Brand_Profile!$E$13="Any",100,IF(NOT(ISNUMBER(KOL_Source_Data!$AA$16)),"N/A",IF(Brand_Profile!$E$13="Female",MIN(100,ROUND(KOL_Source_Data!$AA$16/Lookup_Lists!$D$143*100,0)),IF(Brand_Profile!$E$13="Male",MIN(100,ROUND(IF(ISNUMBER(KOL_Source_Data!$AB$16),KOL_Source_Data!$AB$16,100-KOL_Source_Data!$AA$16)/Lookup_Lists!$D$143*100,0)),MAX(0,ROUND(100-ABS(KOL_Source_Data!$AA$16-50)*2,0))))))</f>
      </c>
      <c r="Q16" s="18">
        <f>IF((IF(ISNUMBER(IF(NOT(ISNUMBER(KOL_Source_Data!$AE$16)),"N/A",IF(KOL_Source_Data!$AD$16&lt;&gt;Brand_Profile!$E$14,Lookup_Lists!$D$151,MIN(100,ROUND(KOL_Source_Data!$AE$16/Lookup_Lists!$D$316*100,0))))),Lookup_Lists!$D$118,0)+IF(ISNUMBER(IF(NOT(ISNUMBER(KOL_Source_Data!$AM$16)),"N/A",MIN(100,ROUND((IF(KOL_Source_Data!$AG$16=Brand_Profile!$E$15,IF(ISNUMBER(KOL_Source_Data!$AH$16),KOL_Source_Data!$AH$16,0),0)+IF(KOL_Source_Data!$AI$16=Brand_Profile!$E$15,IF(ISNUMBER(KOL_Source_Data!$AJ$16),KOL_Source_Data!$AJ$16,0),0)+IF(KOL_Source_Data!$AK$16=Brand_Profile!$E$15,IF(ISNUMBER(KOL_Source_Data!$AL$16),KOL_Source_Data!$AL$16,0),0))/Lookup_Lists!$D$317*100,0)))),Lookup_Lists!$D$120,0))=0,"N/A",ROUND((IF(ISNUMBER(IF(NOT(ISNUMBER(KOL_Source_Data!$AE$16)),"N/A",IF(KOL_Source_Data!$AD$16&lt;&gt;Brand_Profile!$E$14,Lookup_Lists!$D$151,MIN(100,ROUND(KOL_Source_Data!$AE$16/Lookup_Lists!$D$316*100,0))))),IF(NOT(ISNUMBER(KOL_Source_Data!$AE$16)),"N/A",IF(KOL_Source_Data!$AD$16&lt;&gt;Brand_Profile!$E$14,Lookup_Lists!$D$151,MIN(100,ROUND(KOL_Source_Data!$AE$16/Lookup_Lists!$D$316*100,0))))*Lookup_Lists!$D$118,0)+IF(ISNUMBER(IF(NOT(ISNUMBER(KOL_Source_Data!$AM$16)),"N/A",MIN(100,ROUND((IF(KOL_Source_Data!$AG$16=Brand_Profile!$E$15,IF(ISNUMBER(KOL_Source_Data!$AH$16),KOL_Source_Data!$AH$16,0),0)+IF(KOL_Source_Data!$AI$16=Brand_Profile!$E$15,IF(ISNUMBER(KOL_Source_Data!$AJ$16),KOL_Source_Data!$AJ$16,0),0)+IF(KOL_Source_Data!$AK$16=Brand_Profile!$E$15,IF(ISNUMBER(KOL_Source_Data!$AL$16),KOL_Source_Data!$AL$16,0),0))/Lookup_Lists!$D$317*100,0)))),IF(NOT(ISNUMBER(KOL_Source_Data!$AM$16)),"N/A",MIN(100,ROUND((IF(KOL_Source_Data!$AG$16=Brand_Profile!$E$15,IF(ISNUMBER(KOL_Source_Data!$AH$16),KOL_Source_Data!$AH$16,0),0)+IF(KOL_Source_Data!$AI$16=Brand_Profile!$E$15,IF(ISNUMBER(KOL_Source_Data!$AJ$16),KOL_Source_Data!$AJ$16,0),0)+IF(KOL_Source_Data!$AK$16=Brand_Profile!$E$15,IF(ISNUMBER(KOL_Source_Data!$AL$16),KOL_Source_Data!$AL$16,0),0))/Lookup_Lists!$D$317*100,0)))*Lookup_Lists!$D$120,0))/(IF(ISNUMBER(IF(NOT(ISNUMBER(KOL_Source_Data!$AE$16)),"N/A",IF(KOL_Source_Data!$AD$16&lt;&gt;Brand_Profile!$E$14,Lookup_Lists!$D$151,MIN(100,ROUND(KOL_Source_Data!$AE$16/Lookup_Lists!$D$316*100,0))))),Lookup_Lists!$D$118,0)+IF(ISNUMBER(IF(NOT(ISNUMBER(KOL_Source_Data!$AM$16)),"N/A",MIN(100,ROUND((IF(KOL_Source_Data!$AG$16=Brand_Profile!$E$15,IF(ISNUMBER(KOL_Source_Data!$AH$16),KOL_Source_Data!$AH$16,0),0)+IF(KOL_Source_Data!$AI$16=Brand_Profile!$E$15,IF(ISNUMBER(KOL_Source_Data!$AJ$16),KOL_Source_Data!$AJ$16,0),0)+IF(KOL_Source_Data!$AK$16=Brand_Profile!$E$15,IF(ISNUMBER(KOL_Source_Data!$AL$16),KOL_Source_Data!$AL$16,0),0))/Lookup_Lists!$D$317*100,0)))),Lookup_Lists!$D$120,0)),0))</f>
      </c>
      <c r="R16" s="18">
        <f>IF(NOT(ISNUMBER(KOL_Source_Data!$AN$16)),"N/A",MIN(100,ROUND((IF(ISNUMBER(KOL_Source_Data!$AO$16),KOL_Source_Data!$AO$16*Brand_Profile!$E$17,0)+IF(ISNUMBER(KOL_Source_Data!$AP$16),KOL_Source_Data!$AP$16*Brand_Profile!$E$18,0)+IF(ISNUMBER(KOL_Source_Data!$AQ$16),KOL_Source_Data!$AQ$16*Brand_Profile!$E$19,0)+IF(ISNUMBER(KOL_Source_Data!$AR$16),KOL_Source_Data!$AR$16*Brand_Profile!$E$20,0)+IF(ISNUMBER(KOL_Source_Data!$AS$16),KOL_Source_Data!$AS$16*Brand_Profile!$E$21,0)+IF(ISNUMBER(KOL_Source_Data!$AT$16),KOL_Source_Data!$AT$16*Brand_Profile!$E$22,0)+IF(ISNUMBER(KOL_Source_Data!$AU$16),KOL_Source_Data!$AU$16*Brand_Profile!$E$23,0)+IF(ISNUMBER(KOL_Source_Data!$AV$16),KOL_Source_Data!$AV$16*Brand_Profile!$E$24,0)+IF(ISNUMBER(KOL_Source_Data!$AW$16),KOL_Source_Data!$AW$16*Brand_Profile!$E$25,0)+IF(ISNUMBER(KOL_Source_Data!$AX$16),KOL_Source_Data!$AX$16*Brand_Profile!$E$26,0)+IF(ISNUMBER(KOL_Source_Data!$AY$16),KOL_Source_Data!$AY$16*Brand_Profile!$E$27,0)+IF(ISNUMBER(KOL_Source_Data!$AZ$16),KOL_Source_Data!$AZ$16*Brand_Profile!$E$28,0)+IF(ISNUMBER(KOL_Source_Data!$BA$16),KOL_Source_Data!$BA$16*Brand_Profile!$E$29,0)+IF(ISNUMBER(KOL_Source_Data!$BB$16),KOL_Source_Data!$BB$16*Brand_Profile!$E$30,0)+IF(ISNUMBER(KOL_Source_Data!$BC$16),KOL_Source_Data!$BC$16*Brand_Profile!$E$31,0)+IF(ISNUMBER(KOL_Source_Data!$BD$16),KOL_Source_Data!$BD$16*Brand_Profile!$E$32,0)+IF(ISNUMBER(KOL_Source_Data!$BE$16),KOL_Source_Data!$BE$16*Brand_Profile!$E$33,0)+IF(ISNUMBER(KOL_Source_Data!$BF$16),KOL_Source_Data!$BF$16*Brand_Profile!$E$34,0))/Lookup_Lists!$D$318*100,0)))</f>
      </c>
      <c r="S16" s="29">
        <f>IF((IF(ISNUMBER(Matching_Engine!$O$16),Lookup_Lists!$D$113,0)+IF(ISNUMBER(Matching_Engine!$P$16),Lookup_Lists!$D$114,0)+IF(ISNUMBER(Matching_Engine!$Q$16),Lookup_Lists!$D$115,0)+IF(ISNUMBER(Matching_Engine!$R$16),Lookup_Lists!$D$116,0))=0,"N/A",ROUND((IF(ISNUMBER(Matching_Engine!$O$16),Matching_Engine!$O$16*Lookup_Lists!$D$113,0)+IF(ISNUMBER(Matching_Engine!$P$16),Matching_Engine!$P$16*Lookup_Lists!$D$114,0)+IF(ISNUMBER(Matching_Engine!$Q$16),Matching_Engine!$Q$16*Lookup_Lists!$D$115,0)+IF(ISNUMBER(Matching_Engine!$R$16),Matching_Engine!$R$16*Lookup_Lists!$D$116,0))/(IF(ISNUMBER(Matching_Engine!$O$16),Lookup_Lists!$D$113,0)+IF(ISNUMBER(Matching_Engine!$P$16),Lookup_Lists!$D$114,0)+IF(ISNUMBER(Matching_Engine!$Q$16),Lookup_Lists!$D$115,0)+IF(ISNUMBER(Matching_Engine!$R$16),Lookup_Lists!$D$116,0)),0))</f>
      </c>
      <c r="T16" s="11">
        <f>IF(ISNUMBER(Matching_Engine!$S$16),1,0)</f>
      </c>
      <c r="U16" s="18">
        <f>IF(NOT(AND(ISTEXT(KOL_Source_Data!$M$16),KOL_Source_Data!$M$16&lt;&gt;"N/A")),Lookup_Lists!$D$150,IF(Brand_Profile!$E$7=KOL_Source_Data!$M$16,100,IFERROR(INDEX(Lookup_Lists!$B$349:$J$357,MATCH(Brand_Profile!$E$7,Lookup_Lists!$A$349:$A$357,0),MATCH(KOL_Source_Data!$M$16,Lookup_Lists!$B$348:$J$348,0)),Lookup_Lists!$D$151)))</f>
      </c>
      <c r="V16" s="18">
        <f>IF(NOT(AND(ISTEXT(KOL_Source_Data!$P$16),KOL_Source_Data!$P$16&lt;&gt;"N/A")),"N/A",IFERROR(INDEX(Lookup_Lists!$B$349:$J$357,MATCH(Brand_Profile!$E$7,Lookup_Lists!$A$349:$A$357,0),MATCH(KOL_Source_Data!$P$16,Lookup_Lists!$B$348:$J$348,0)),Lookup_Lists!$D$151))</f>
      </c>
      <c r="W16" s="18">
        <f>IF(LEN(TRIM(SUBSTITUTE(Matching_Engine!$BE$16,"|","")))=0,"N/A",IF(Brand_Profile!$E$60=0,Lookup_Lists!$D$150,ROUND((IF(Brand_Profile!$E$54="",0,IF(ISNUMBER(SEARCH(Brand_Profile!$E$54,Matching_Engine!$BE$16)),1,0))+IF(Brand_Profile!$E$55="",0,IF(ISNUMBER(SEARCH(Brand_Profile!$E$55,Matching_Engine!$BE$16)),1,0))+IF(Brand_Profile!$E$56="",0,IF(ISNUMBER(SEARCH(Brand_Profile!$E$56,Matching_Engine!$BE$16)),1,0))+IF(Brand_Profile!$E$57="",0,IF(ISNUMBER(SEARCH(Brand_Profile!$E$57,Matching_Engine!$BE$16)),1,0))+IF(Brand_Profile!$E$58="",0,IF(ISNUMBER(SEARCH(Brand_Profile!$E$58,Matching_Engine!$BE$16)),1,0))+IF(Brand_Profile!$E$59="",0,IF(ISNUMBER(SEARCH(Brand_Profile!$E$59,Matching_Engine!$BE$16)),1,0)))/Brand_Profile!$E$60*100,0)))</f>
      </c>
      <c r="X16" s="18">
        <f>IF(NOT(AND(ISTEXT(KOL_Source_Data!$Q$16),KOL_Source_Data!$Q$16&lt;&gt;"N/A")),"N/A",Lookup_Lists!$D$150)</f>
      </c>
      <c r="Y16" s="29">
        <f>IF((IF(ISNUMBER(Matching_Engine!$U$16),Lookup_Lists!$D$335,0)+IF(ISNUMBER(Matching_Engine!$V$16),Lookup_Lists!$D$122,0)+IF(ISNUMBER(Matching_Engine!$W$16),Lookup_Lists!$D$336,0)+IF(ISNUMBER(Matching_Engine!$X$16),Lookup_Lists!$D$124,0))=0,"N/A",ROUND((IF(ISNUMBER(Matching_Engine!$U$16),Matching_Engine!$U$16*Lookup_Lists!$D$335,0)+IF(ISNUMBER(Matching_Engine!$V$16),Matching_Engine!$V$16*Lookup_Lists!$D$122,0)+IF(ISNUMBER(Matching_Engine!$W$16),Matching_Engine!$W$16*Lookup_Lists!$D$336,0)+IF(ISNUMBER(Matching_Engine!$X$16),Matching_Engine!$X$16*Lookup_Lists!$D$124,0))/(IF(ISNUMBER(Matching_Engine!$U$16),Lookup_Lists!$D$335,0)+IF(ISNUMBER(Matching_Engine!$V$16),Lookup_Lists!$D$122,0)+IF(ISNUMBER(Matching_Engine!$W$16),Lookup_Lists!$D$336,0)+IF(ISNUMBER(Matching_Engine!$X$16),Lookup_Lists!$D$124,0)),0))</f>
      </c>
      <c r="Z16" s="11">
        <f>IF(ISNUMBER(Matching_Engine!$Y$16),1,0)</f>
      </c>
      <c r="AA16" s="18">
        <f>IF(NOT(AND(ISTEXT(KOL_Source_Data!$Q$16),KOL_Source_Data!$Q$16&lt;&gt;"N/A")),"N/A",Lookup_Lists!$D$150)</f>
      </c>
      <c r="AB16" s="18">
        <f>IF(NOT(AND(ISTEXT(KOL_Source_Data!$Q$16),KOL_Source_Data!$Q$16&lt;&gt;"N/A")),"N/A",Lookup_Lists!$D$150)</f>
      </c>
      <c r="AC16" s="18">
        <f>"N/A"</f>
      </c>
      <c r="AD16" s="18">
        <f>IF(NOT(AND(ISTEXT(KOL_Source_Data!$Q$16),KOL_Source_Data!$Q$16&lt;&gt;"N/A")),"N/A",Lookup_Lists!$D$150)</f>
      </c>
      <c r="AE16" s="29">
        <f>IF((IF(ISNUMBER(Matching_Engine!$AA$16),Lookup_Lists!$D$125,0)+IF(ISNUMBER(Matching_Engine!$AB$16),Lookup_Lists!$D$126,0)+IF(ISNUMBER(Matching_Engine!$AC$16),Lookup_Lists!$D$127,0)+IF(ISNUMBER(Matching_Engine!$AD$16),Lookup_Lists!$D$128,0))=0,"N/A",ROUND((IF(ISNUMBER(Matching_Engine!$AA$16),Matching_Engine!$AA$16*Lookup_Lists!$D$125,0)+IF(ISNUMBER(Matching_Engine!$AB$16),Matching_Engine!$AB$16*Lookup_Lists!$D$126,0)+IF(ISNUMBER(Matching_Engine!$AC$16),Matching_Engine!$AC$16*Lookup_Lists!$D$127,0)+IF(ISNUMBER(Matching_Engine!$AD$16),Matching_Engine!$AD$16*Lookup_Lists!$D$128,0))/(IF(ISNUMBER(Matching_Engine!$AA$16),Lookup_Lists!$D$125,0)+IF(ISNUMBER(Matching_Engine!$AB$16),Lookup_Lists!$D$126,0)+IF(ISNUMBER(Matching_Engine!$AC$16),Lookup_Lists!$D$127,0)+IF(ISNUMBER(Matching_Engine!$AD$16),Lookup_Lists!$D$128,0)),0))</f>
      </c>
      <c r="AF16" s="11">
        <f>IF(ISNUMBER(Matching_Engine!$AE$16),1,0)</f>
      </c>
      <c r="AG16" s="18">
        <f>IF(NOT(ISNUMBER(KOL_Source_Data!$BG$16)),"N/A",MIN(100,ROUND(KOL_Source_Data!$BG$16/IFERROR(INDEX(Lookup_Lists!$B$340:$B$344,MATCH(KOL_Source_Data!$H$16,Lookup_Lists!$A$340:$A$344,0)),Lookup_Lists!$D$141)*100,0)))</f>
      </c>
      <c r="AH16" s="18">
        <f>IF(NOT(ISNUMBER(KOL_Source_Data!$BS$16)),"N/A",MIN(100,MAX(0,KOL_Source_Data!$BS$16)))</f>
      </c>
      <c r="AI16" s="18">
        <f>IF(OR(NOT(ISNUMBER(KOL_Source_Data!$BM$16)),NOT(ISNUMBER(KOL_Source_Data!$BN$16)),KOL_Source_Data!$BN$16&lt;Lookup_Lists!$D$320),"N/A",MIN(100,ROUND(KOL_Source_Data!$BM$16/Lookup_Lists!$D$319*100,0)))</f>
      </c>
      <c r="AJ16" s="18">
        <f>IF(NOT(ISNUMBER(KOL_Source_Data!$BR$16)),"N/A",KOL_Source_Data!$BR$16)</f>
      </c>
      <c r="AK16" s="18">
        <f>IF(NOT(ISNUMBER(KOL_Source_Data!$BK$16)),"N/A",MIN(100,ROUND(KOL_Source_Data!$BK$16/Lookup_Lists!$D$321*100,0)))</f>
      </c>
      <c r="AL16" s="18">
        <f>IF(NOT(ISNUMBER(KOL_Source_Data!$BP$16)),"N/A",MIN(100,MAX(0,ROUND((KOL_Source_Data!$BP$16+2)/(Lookup_Lists!$D$145+2)*100,0))))</f>
      </c>
      <c r="AM16" s="29">
        <f>IF((IF(ISNUMBER(Matching_Engine!$AG$16),Lookup_Lists!$D$129,0)+IF(ISNUMBER(Matching_Engine!$AH$16),Lookup_Lists!$D$130,0)+IF(ISNUMBER(Matching_Engine!$AI$16),Lookup_Lists!$D$131,0)+IF(ISNUMBER(Matching_Engine!$AJ$16),Lookup_Lists!$D$132,0)+IF(ISNUMBER(Matching_Engine!$AK$16),Lookup_Lists!$D$133,0)+IF(ISNUMBER(Matching_Engine!$AL$16),Lookup_Lists!$D$134,0))=0,"N/A",ROUND((IF(ISNUMBER(Matching_Engine!$AG$16),Matching_Engine!$AG$16*Lookup_Lists!$D$129,0)+IF(ISNUMBER(Matching_Engine!$AH$16),Matching_Engine!$AH$16*Lookup_Lists!$D$130,0)+IF(ISNUMBER(Matching_Engine!$AI$16),Matching_Engine!$AI$16*Lookup_Lists!$D$131,0)+IF(ISNUMBER(Matching_Engine!$AJ$16),Matching_Engine!$AJ$16*Lookup_Lists!$D$132,0)+IF(ISNUMBER(Matching_Engine!$AK$16),Matching_Engine!$AK$16*Lookup_Lists!$D$133,0)+IF(ISNUMBER(Matching_Engine!$AL$16),Matching_Engine!$AL$16*Lookup_Lists!$D$134,0))/(IF(ISNUMBER(Matching_Engine!$AG$16),Lookup_Lists!$D$129,0)+IF(ISNUMBER(Matching_Engine!$AH$16),Lookup_Lists!$D$130,0)+IF(ISNUMBER(Matching_Engine!$AI$16),Lookup_Lists!$D$131,0)+IF(ISNUMBER(Matching_Engine!$AJ$16),Lookup_Lists!$D$132,0)+IF(ISNUMBER(Matching_Engine!$AK$16),Lookup_Lists!$D$133,0)+IF(ISNUMBER(Matching_Engine!$AL$16),Lookup_Lists!$D$134,0)),0))</f>
      </c>
      <c r="AN16" s="11">
        <f>IF(ISNUMBER(Matching_Engine!$AM$16),1,0)</f>
      </c>
      <c r="AO16" s="18">
        <f>IF(NOT(ISNUMBER(KOL_Source_Data!$BT$16)),"N/A",MIN(100,MAX(0,KOL_Source_Data!$BT$16)))</f>
      </c>
      <c r="AP16" s="18">
        <f>IF(NOT(ISNUMBER(KOL_Source_Data!$BU$16)),"N/A",MIN(100,MAX(0,KOL_Source_Data!$BU$16)))</f>
      </c>
      <c r="AQ16" s="18">
        <f>IF(KOL_Source_Data!$I$16="Yes",Lookup_Lists!$D$326,IF(KOL_Source_Data!$I$16="No",Lookup_Lists!$D$327,"N/A"))</f>
      </c>
      <c r="AR16" s="18">
        <f>IF(NOT(ISNUMBER(KOL_Source_Data!$BQ$16)),"N/A",MAX(0,ROUND(100-KOL_Source_Data!$BQ$16/Lookup_Lists!$D$328*100,0)))</f>
      </c>
      <c r="AS16" s="18">
        <f>IF(NOT(AND(ISTEXT(KOL_Source_Data!$BV$16),KOL_Source_Data!$BV$16&lt;&gt;"N/A")),"N/A",KOL_Source_Data!$BV$16)</f>
      </c>
      <c r="AT16" s="29">
        <f>IF((IF(ISNUMBER(Matching_Engine!$AO$16),Lookup_Lists!$D$322,0)+IF(ISNUMBER(Matching_Engine!$AP$16),Lookup_Lists!$D$323,0)+IF(ISNUMBER(Matching_Engine!$AQ$16),Lookup_Lists!$D$324,0)+IF(ISNUMBER(Matching_Engine!$AR$16),Lookup_Lists!$D$325,0))=0,"N/A",ROUND((IF(ISNUMBER(Matching_Engine!$AO$16),Matching_Engine!$AO$16*Lookup_Lists!$D$322,0)+IF(ISNUMBER(Matching_Engine!$AP$16),Matching_Engine!$AP$16*Lookup_Lists!$D$323,0)+IF(ISNUMBER(Matching_Engine!$AQ$16),Matching_Engine!$AQ$16*Lookup_Lists!$D$324,0)+IF(ISNUMBER(Matching_Engine!$AR$16),Matching_Engine!$AR$16*Lookup_Lists!$D$325,0))/(IF(ISNUMBER(Matching_Engine!$AO$16),Lookup_Lists!$D$322,0)+IF(ISNUMBER(Matching_Engine!$AP$16),Lookup_Lists!$D$323,0)+IF(ISNUMBER(Matching_Engine!$AQ$16),Lookup_Lists!$D$324,0)+IF(ISNUMBER(Matching_Engine!$AR$16),Lookup_Lists!$D$325,0)),0))</f>
      </c>
      <c r="AU16" s="11">
        <f>IF(ISNUMBER(Matching_Engine!$AT$16),1,0)</f>
      </c>
      <c r="AV16" s="11">
        <f>IF(NOT(ISNUMBER(Matching_Engine!$AT$16)),"Not Screened",IF(Matching_Engine!$AT$16&gt;=Lookup_Lists!$D$329,"Low Risk",IF(Matching_Engine!$AT$16&gt;=Lookup_Lists!$D$330,"Moderate Risk",IF(Matching_Engine!$AT$16&gt;=Lookup_Lists!$D$331,"Elevated Risk","High Risk"))))</f>
      </c>
      <c r="AW16" s="11">
        <f>IF(NOT(ISNUMBER(Matching_Engine!$AT$16)),"No integrity signal: no audience-analysis row for this account.","Integrity screen only — no content-risk reading exists (comments_analysis: 0 rows). "&amp;IF(ISNUMBER(Matching_Engine!$AO$16),"Authenticity "&amp;Matching_Engine!$AO$16&amp;". ","Authenticity N/A. ")&amp;IF(ISNUMBER(Matching_Engine!$AP$16),"Follower quality "&amp;Matching_Engine!$AP$16&amp;". ","Follower quality N/A. ")&amp;IF(KOL_Source_Data!$I$16="Yes","Platform-verified.","Not platform-verified."))</f>
      </c>
      <c r="AX16" s="18">
        <f>Matching_Engine!$N$16*Lookup_Lists!$D$104+Matching_Engine!$T$16*Lookup_Lists!$D$105+Matching_Engine!$Z$16*Lookup_Lists!$D$106+Matching_Engine!$AF$16*Lookup_Lists!$D$107+Matching_Engine!$AN$16*Lookup_Lists!$D$108+Matching_Engine!$AU$16*Lookup_Lists!$D$109</f>
      </c>
      <c r="AY16" s="30">
        <f>IF(Matching_Engine!$AX$16=0,"N/A",ROUND((IF(Matching_Engine!$N$16=1,Matching_Engine!$M$16*Lookup_Lists!$D$104,0)+IF(Matching_Engine!$T$16=1,Matching_Engine!$S$16*Lookup_Lists!$D$105,0)+IF(Matching_Engine!$Z$16=1,Matching_Engine!$Y$16*Lookup_Lists!$D$106,0)+IF(Matching_Engine!$AF$16=1,Matching_Engine!$AE$16*Lookup_Lists!$D$107,0)+IF(Matching_Engine!$AN$16=1,Matching_Engine!$AM$16*Lookup_Lists!$D$108,0)+IF(Matching_Engine!$AU$16=1,Matching_Engine!$AT$16*Lookup_Lists!$D$109,0))/Matching_Engine!$AX$16,0))</f>
      </c>
      <c r="AZ16" s="11">
        <f>IF(NOT(ISNUMBER(Matching_Engine!$AY$16)),"Not Scored",IF(Matching_Engine!$AY$16&gt;=Lookup_Lists!$D$152,"Excellent Match",IF(Matching_Engine!$AY$16&gt;=Lookup_Lists!$D$153,"Strong Match",IF(Matching_Engine!$AY$16&gt;=Lookup_Lists!$D$154,"Good Match",IF(Matching_Engine!$AY$16&gt;=Lookup_Lists!$D$155,"Moderate Match","Low Match")))))</f>
      </c>
      <c r="BA16" s="18">
        <f>KOL_Source_Data!$BW$16</f>
      </c>
      <c r="BB16" s="11">
        <f>KOL_Source_Data!$BX$16</f>
      </c>
      <c r="BC16" s="18">
        <f>IF(NOT(ISNUMBER(Matching_Engine!$AY$16)),-1,Matching_Engine!$AY$16*1000+14)</f>
      </c>
      <c r="BD16" s="11">
        <f>IF(AND(ISTEXT(KOL_Source_Data!$S$16),KOL_Source_Data!$S$16&lt;&gt;"N/A"),KOL_Source_Data!$S$16,"")&amp;" | "&amp;IF(AND(ISTEXT(KOL_Source_Data!$T$16),KOL_Source_Data!$T$16&lt;&gt;"N/A"),KOL_Source_Data!$T$16,"")&amp;" | "&amp;IF(AND(ISTEXT(KOL_Source_Data!$N$16),KOL_Source_Data!$N$16&lt;&gt;"N/A"),KOL_Source_Data!$N$16,"")&amp;" | "&amp;IF(AND(ISTEXT(KOL_Source_Data!$K$16),KOL_Source_Data!$K$16&lt;&gt;"N/A"),KOL_Source_Data!$K$16,"")&amp;" | "&amp;IF(AND(ISTEXT(KOL_Source_Data!$J$16),KOL_Source_Data!$J$16&lt;&gt;"N/A"),KOL_Source_Data!$J$16,"")</f>
      </c>
      <c r="BE16" s="11">
        <f>IF(AND(ISTEXT(KOL_Source_Data!$T$16),KOL_Source_Data!$T$16&lt;&gt;"N/A"),KOL_Source_Data!$T$16,"")&amp;" | "&amp;IF(AND(ISTEXT(KOL_Source_Data!$N$16),KOL_Source_Data!$N$16&lt;&gt;"N/A"),KOL_Source_Data!$N$16,"")&amp;" | "&amp;IF(AND(ISTEXT(KOL_Source_Data!$O$16),KOL_Source_Data!$O$16&lt;&gt;"N/A"),KOL_Source_Data!$O$16,"")&amp;" | "&amp;IF(AND(ISTEXT(KOL_Source_Data!$S$16),KOL_Source_Data!$S$16&lt;&gt;"N/A"),KOL_Source_Data!$S$16,"")</f>
      </c>
      <c r="BF16" s="11">
        <f>IF(AND(ISTEXT(KOL_Source_Data!$U$16),KOL_Source_Data!$U$16&lt;&gt;"N/A"),KOL_Source_Data!$U$16,"")</f>
      </c>
      <c r="BG16" s="11">
        <f>Matching_Engine!$A$16&amp;"|"&amp;Matching_Engine!$C$16</f>
      </c>
    </row>
    <row r="17" spans="1:59" x14ac:dyDescent="0.25">
      <c r="A17" s="10" t="s">
        <v>390</v>
      </c>
      <c r="B17" s="11">
        <f>Brand_Profile!$E$6</f>
      </c>
      <c r="C17" s="11">
        <f>KOL_Source_Data!$A$17</f>
      </c>
      <c r="D17" s="11">
        <f>KOL_Source_Data!$C$17</f>
      </c>
      <c r="E17" s="11">
        <f>KOL_Source_Data!$D$17</f>
      </c>
      <c r="F17" s="11">
        <f>KOL_Source_Data!$E$17</f>
      </c>
      <c r="G17" s="11">
        <f>KOL_Source_Data!$K$17</f>
      </c>
      <c r="H17" s="12">
        <f>KOL_Source_Data!$G$17</f>
      </c>
      <c r="I17" s="14">
        <f>KOL_Source_Data!$BG$17</f>
      </c>
      <c r="J17" s="18">
        <f>IF(NOT(AND(ISTEXT(KOL_Source_Data!$K$17),KOL_Source_Data!$K$17&lt;&gt;"N/A")),Lookup_Lists!$D$150,IF(Brand_Profile!$E$7=KOL_Source_Data!$K$17,100,IFERROR(INDEX(Lookup_Lists!$B$349:$J$357,MATCH(Brand_Profile!$E$7,Lookup_Lists!$A$349:$A$357,0),MATCH(KOL_Source_Data!$K$17,Lookup_Lists!$B$348:$J$348,0)),Lookup_Lists!$D$151)))</f>
      </c>
      <c r="K17" s="18">
        <f>IF(LEN(TRIM(SUBSTITUTE(Matching_Engine!$BD$17,"|","")))=0,"N/A",IF(Brand_Profile!$E$47=0,Lookup_Lists!$D$150,ROUND((IF(Brand_Profile!$E$41="",0,IF(ISNUMBER(SEARCH(Brand_Profile!$E$41,Matching_Engine!$BD$17)),1,0))+IF(Brand_Profile!$E$42="",0,IF(ISNUMBER(SEARCH(Brand_Profile!$E$42,Matching_Engine!$BD$17)),1,0))+IF(Brand_Profile!$E$43="",0,IF(ISNUMBER(SEARCH(Brand_Profile!$E$43,Matching_Engine!$BD$17)),1,0))+IF(Brand_Profile!$E$44="",0,IF(ISNUMBER(SEARCH(Brand_Profile!$E$44,Matching_Engine!$BD$17)),1,0))+IF(Brand_Profile!$E$45="",0,IF(ISNUMBER(SEARCH(Brand_Profile!$E$45,Matching_Engine!$BD$17)),1,0))+IF(Brand_Profile!$E$46="",0,IF(ISNUMBER(SEARCH(Brand_Profile!$E$46,Matching_Engine!$BD$17)),1,0)))/Brand_Profile!$E$47*100,0)))</f>
      </c>
      <c r="L17" s="18">
        <f>IF(NOT(AND(ISTEXT(KOL_Source_Data!$U$17),KOL_Source_Data!$U$17&lt;&gt;"N/A")),"N/A",IF(Brand_Profile!$E$53=0,Lookup_Lists!$D$150,ROUND((IF(Brand_Profile!$E$48="",0,IF(ISNUMBER(SEARCH(Brand_Profile!$E$48,Matching_Engine!$BF$17)),1,0))+IF(Brand_Profile!$E$49="",0,IF(ISNUMBER(SEARCH(Brand_Profile!$E$49,Matching_Engine!$BF$17)),1,0))+IF(Brand_Profile!$E$50="",0,IF(ISNUMBER(SEARCH(Brand_Profile!$E$50,Matching_Engine!$BF$17)),1,0))+IF(Brand_Profile!$E$51="",0,IF(ISNUMBER(SEARCH(Brand_Profile!$E$51,Matching_Engine!$BF$17)),1,0))+IF(Brand_Profile!$E$52="",0,IF(ISNUMBER(SEARCH(Brand_Profile!$E$52,Matching_Engine!$BF$17)),1,0)))/Brand_Profile!$E$53*100,0)))</f>
      </c>
      <c r="M17" s="29">
        <f>IF((IF(ISNUMBER(Matching_Engine!$J$17),Lookup_Lists!$D$332,0)+IF(ISNUMBER(Matching_Engine!$K$17),Lookup_Lists!$D$333,0)+IF(ISNUMBER(Matching_Engine!$L$17),Lookup_Lists!$D$334,0))=0,"N/A",ROUND((IF(ISNUMBER(Matching_Engine!$J$17),Matching_Engine!$J$17*Lookup_Lists!$D$332,0)+IF(ISNUMBER(Matching_Engine!$K$17),Matching_Engine!$K$17*Lookup_Lists!$D$333,0)+IF(ISNUMBER(Matching_Engine!$L$17),Matching_Engine!$L$17*Lookup_Lists!$D$334,0))/(IF(ISNUMBER(Matching_Engine!$J$17),Lookup_Lists!$D$332,0)+IF(ISNUMBER(Matching_Engine!$K$17),Lookup_Lists!$D$333,0)+IF(ISNUMBER(Matching_Engine!$L$17),Lookup_Lists!$D$334,0)),0))</f>
      </c>
      <c r="N17" s="11">
        <f>IF(ISNUMBER(Matching_Engine!$M$17),1,0)</f>
      </c>
      <c r="O17" s="18">
        <f>IF(NOT(ISNUMBER(IFERROR(INDEX(KOL_Source_Data!$V$17:KOL_Source_Data!$Z$17,1,MATCH(Brand_Profile!$E$11,Lookup_Lists!$F$6:$F$10,0)),""))),"N/A",MIN(100,ROUND((IFERROR(INDEX(KOL_Source_Data!$V$17:KOL_Source_Data!$Z$17,1,MATCH(Brand_Profile!$E$11,Lookup_Lists!$F$6:$F$10,0)),"")+0.5*IF(ISNUMBER(IFERROR(INDEX(KOL_Source_Data!$V$17:KOL_Source_Data!$Z$17,1,MATCH(Brand_Profile!$E$12,Lookup_Lists!$F$6:$F$10,0)),"")),IFERROR(INDEX(KOL_Source_Data!$V$17:KOL_Source_Data!$Z$17,1,MATCH(Brand_Profile!$E$12,Lookup_Lists!$F$6:$F$10,0)),""),0))/Lookup_Lists!$D$142*100,0)))</f>
      </c>
      <c r="P17" s="18">
        <f>IF(Brand_Profile!$E$13="Any",100,IF(NOT(ISNUMBER(KOL_Source_Data!$AA$17)),"N/A",IF(Brand_Profile!$E$13="Female",MIN(100,ROUND(KOL_Source_Data!$AA$17/Lookup_Lists!$D$143*100,0)),IF(Brand_Profile!$E$13="Male",MIN(100,ROUND(IF(ISNUMBER(KOL_Source_Data!$AB$17),KOL_Source_Data!$AB$17,100-KOL_Source_Data!$AA$17)/Lookup_Lists!$D$143*100,0)),MAX(0,ROUND(100-ABS(KOL_Source_Data!$AA$17-50)*2,0))))))</f>
      </c>
      <c r="Q17" s="18">
        <f>IF((IF(ISNUMBER(IF(NOT(ISNUMBER(KOL_Source_Data!$AE$17)),"N/A",IF(KOL_Source_Data!$AD$17&lt;&gt;Brand_Profile!$E$14,Lookup_Lists!$D$151,MIN(100,ROUND(KOL_Source_Data!$AE$17/Lookup_Lists!$D$316*100,0))))),Lookup_Lists!$D$118,0)+IF(ISNUMBER(IF(NOT(ISNUMBER(KOL_Source_Data!$AM$17)),"N/A",MIN(100,ROUND((IF(KOL_Source_Data!$AG$17=Brand_Profile!$E$15,IF(ISNUMBER(KOL_Source_Data!$AH$17),KOL_Source_Data!$AH$17,0),0)+IF(KOL_Source_Data!$AI$17=Brand_Profile!$E$15,IF(ISNUMBER(KOL_Source_Data!$AJ$17),KOL_Source_Data!$AJ$17,0),0)+IF(KOL_Source_Data!$AK$17=Brand_Profile!$E$15,IF(ISNUMBER(KOL_Source_Data!$AL$17),KOL_Source_Data!$AL$17,0),0))/Lookup_Lists!$D$317*100,0)))),Lookup_Lists!$D$120,0))=0,"N/A",ROUND((IF(ISNUMBER(IF(NOT(ISNUMBER(KOL_Source_Data!$AE$17)),"N/A",IF(KOL_Source_Data!$AD$17&lt;&gt;Brand_Profile!$E$14,Lookup_Lists!$D$151,MIN(100,ROUND(KOL_Source_Data!$AE$17/Lookup_Lists!$D$316*100,0))))),IF(NOT(ISNUMBER(KOL_Source_Data!$AE$17)),"N/A",IF(KOL_Source_Data!$AD$17&lt;&gt;Brand_Profile!$E$14,Lookup_Lists!$D$151,MIN(100,ROUND(KOL_Source_Data!$AE$17/Lookup_Lists!$D$316*100,0))))*Lookup_Lists!$D$118,0)+IF(ISNUMBER(IF(NOT(ISNUMBER(KOL_Source_Data!$AM$17)),"N/A",MIN(100,ROUND((IF(KOL_Source_Data!$AG$17=Brand_Profile!$E$15,IF(ISNUMBER(KOL_Source_Data!$AH$17),KOL_Source_Data!$AH$17,0),0)+IF(KOL_Source_Data!$AI$17=Brand_Profile!$E$15,IF(ISNUMBER(KOL_Source_Data!$AJ$17),KOL_Source_Data!$AJ$17,0),0)+IF(KOL_Source_Data!$AK$17=Brand_Profile!$E$15,IF(ISNUMBER(KOL_Source_Data!$AL$17),KOL_Source_Data!$AL$17,0),0))/Lookup_Lists!$D$317*100,0)))),IF(NOT(ISNUMBER(KOL_Source_Data!$AM$17)),"N/A",MIN(100,ROUND((IF(KOL_Source_Data!$AG$17=Brand_Profile!$E$15,IF(ISNUMBER(KOL_Source_Data!$AH$17),KOL_Source_Data!$AH$17,0),0)+IF(KOL_Source_Data!$AI$17=Brand_Profile!$E$15,IF(ISNUMBER(KOL_Source_Data!$AJ$17),KOL_Source_Data!$AJ$17,0),0)+IF(KOL_Source_Data!$AK$17=Brand_Profile!$E$15,IF(ISNUMBER(KOL_Source_Data!$AL$17),KOL_Source_Data!$AL$17,0),0))/Lookup_Lists!$D$317*100,0)))*Lookup_Lists!$D$120,0))/(IF(ISNUMBER(IF(NOT(ISNUMBER(KOL_Source_Data!$AE$17)),"N/A",IF(KOL_Source_Data!$AD$17&lt;&gt;Brand_Profile!$E$14,Lookup_Lists!$D$151,MIN(100,ROUND(KOL_Source_Data!$AE$17/Lookup_Lists!$D$316*100,0))))),Lookup_Lists!$D$118,0)+IF(ISNUMBER(IF(NOT(ISNUMBER(KOL_Source_Data!$AM$17)),"N/A",MIN(100,ROUND((IF(KOL_Source_Data!$AG$17=Brand_Profile!$E$15,IF(ISNUMBER(KOL_Source_Data!$AH$17),KOL_Source_Data!$AH$17,0),0)+IF(KOL_Source_Data!$AI$17=Brand_Profile!$E$15,IF(ISNUMBER(KOL_Source_Data!$AJ$17),KOL_Source_Data!$AJ$17,0),0)+IF(KOL_Source_Data!$AK$17=Brand_Profile!$E$15,IF(ISNUMBER(KOL_Source_Data!$AL$17),KOL_Source_Data!$AL$17,0),0))/Lookup_Lists!$D$317*100,0)))),Lookup_Lists!$D$120,0)),0))</f>
      </c>
      <c r="R17" s="18">
        <f>IF(NOT(ISNUMBER(KOL_Source_Data!$AN$17)),"N/A",MIN(100,ROUND((IF(ISNUMBER(KOL_Source_Data!$AO$17),KOL_Source_Data!$AO$17*Brand_Profile!$E$17,0)+IF(ISNUMBER(KOL_Source_Data!$AP$17),KOL_Source_Data!$AP$17*Brand_Profile!$E$18,0)+IF(ISNUMBER(KOL_Source_Data!$AQ$17),KOL_Source_Data!$AQ$17*Brand_Profile!$E$19,0)+IF(ISNUMBER(KOL_Source_Data!$AR$17),KOL_Source_Data!$AR$17*Brand_Profile!$E$20,0)+IF(ISNUMBER(KOL_Source_Data!$AS$17),KOL_Source_Data!$AS$17*Brand_Profile!$E$21,0)+IF(ISNUMBER(KOL_Source_Data!$AT$17),KOL_Source_Data!$AT$17*Brand_Profile!$E$22,0)+IF(ISNUMBER(KOL_Source_Data!$AU$17),KOL_Source_Data!$AU$17*Brand_Profile!$E$23,0)+IF(ISNUMBER(KOL_Source_Data!$AV$17),KOL_Source_Data!$AV$17*Brand_Profile!$E$24,0)+IF(ISNUMBER(KOL_Source_Data!$AW$17),KOL_Source_Data!$AW$17*Brand_Profile!$E$25,0)+IF(ISNUMBER(KOL_Source_Data!$AX$17),KOL_Source_Data!$AX$17*Brand_Profile!$E$26,0)+IF(ISNUMBER(KOL_Source_Data!$AY$17),KOL_Source_Data!$AY$17*Brand_Profile!$E$27,0)+IF(ISNUMBER(KOL_Source_Data!$AZ$17),KOL_Source_Data!$AZ$17*Brand_Profile!$E$28,0)+IF(ISNUMBER(KOL_Source_Data!$BA$17),KOL_Source_Data!$BA$17*Brand_Profile!$E$29,0)+IF(ISNUMBER(KOL_Source_Data!$BB$17),KOL_Source_Data!$BB$17*Brand_Profile!$E$30,0)+IF(ISNUMBER(KOL_Source_Data!$BC$17),KOL_Source_Data!$BC$17*Brand_Profile!$E$31,0)+IF(ISNUMBER(KOL_Source_Data!$BD$17),KOL_Source_Data!$BD$17*Brand_Profile!$E$32,0)+IF(ISNUMBER(KOL_Source_Data!$BE$17),KOL_Source_Data!$BE$17*Brand_Profile!$E$33,0)+IF(ISNUMBER(KOL_Source_Data!$BF$17),KOL_Source_Data!$BF$17*Brand_Profile!$E$34,0))/Lookup_Lists!$D$318*100,0)))</f>
      </c>
      <c r="S17" s="29">
        <f>IF((IF(ISNUMBER(Matching_Engine!$O$17),Lookup_Lists!$D$113,0)+IF(ISNUMBER(Matching_Engine!$P$17),Lookup_Lists!$D$114,0)+IF(ISNUMBER(Matching_Engine!$Q$17),Lookup_Lists!$D$115,0)+IF(ISNUMBER(Matching_Engine!$R$17),Lookup_Lists!$D$116,0))=0,"N/A",ROUND((IF(ISNUMBER(Matching_Engine!$O$17),Matching_Engine!$O$17*Lookup_Lists!$D$113,0)+IF(ISNUMBER(Matching_Engine!$P$17),Matching_Engine!$P$17*Lookup_Lists!$D$114,0)+IF(ISNUMBER(Matching_Engine!$Q$17),Matching_Engine!$Q$17*Lookup_Lists!$D$115,0)+IF(ISNUMBER(Matching_Engine!$R$17),Matching_Engine!$R$17*Lookup_Lists!$D$116,0))/(IF(ISNUMBER(Matching_Engine!$O$17),Lookup_Lists!$D$113,0)+IF(ISNUMBER(Matching_Engine!$P$17),Lookup_Lists!$D$114,0)+IF(ISNUMBER(Matching_Engine!$Q$17),Lookup_Lists!$D$115,0)+IF(ISNUMBER(Matching_Engine!$R$17),Lookup_Lists!$D$116,0)),0))</f>
      </c>
      <c r="T17" s="11">
        <f>IF(ISNUMBER(Matching_Engine!$S$17),1,0)</f>
      </c>
      <c r="U17" s="18">
        <f>IF(NOT(AND(ISTEXT(KOL_Source_Data!$M$17),KOL_Source_Data!$M$17&lt;&gt;"N/A")),Lookup_Lists!$D$150,IF(Brand_Profile!$E$7=KOL_Source_Data!$M$17,100,IFERROR(INDEX(Lookup_Lists!$B$349:$J$357,MATCH(Brand_Profile!$E$7,Lookup_Lists!$A$349:$A$357,0),MATCH(KOL_Source_Data!$M$17,Lookup_Lists!$B$348:$J$348,0)),Lookup_Lists!$D$151)))</f>
      </c>
      <c r="V17" s="18">
        <f>IF(NOT(AND(ISTEXT(KOL_Source_Data!$P$17),KOL_Source_Data!$P$17&lt;&gt;"N/A")),"N/A",IFERROR(INDEX(Lookup_Lists!$B$349:$J$357,MATCH(Brand_Profile!$E$7,Lookup_Lists!$A$349:$A$357,0),MATCH(KOL_Source_Data!$P$17,Lookup_Lists!$B$348:$J$348,0)),Lookup_Lists!$D$151))</f>
      </c>
      <c r="W17" s="18">
        <f>IF(LEN(TRIM(SUBSTITUTE(Matching_Engine!$BE$17,"|","")))=0,"N/A",IF(Brand_Profile!$E$60=0,Lookup_Lists!$D$150,ROUND((IF(Brand_Profile!$E$54="",0,IF(ISNUMBER(SEARCH(Brand_Profile!$E$54,Matching_Engine!$BE$17)),1,0))+IF(Brand_Profile!$E$55="",0,IF(ISNUMBER(SEARCH(Brand_Profile!$E$55,Matching_Engine!$BE$17)),1,0))+IF(Brand_Profile!$E$56="",0,IF(ISNUMBER(SEARCH(Brand_Profile!$E$56,Matching_Engine!$BE$17)),1,0))+IF(Brand_Profile!$E$57="",0,IF(ISNUMBER(SEARCH(Brand_Profile!$E$57,Matching_Engine!$BE$17)),1,0))+IF(Brand_Profile!$E$58="",0,IF(ISNUMBER(SEARCH(Brand_Profile!$E$58,Matching_Engine!$BE$17)),1,0))+IF(Brand_Profile!$E$59="",0,IF(ISNUMBER(SEARCH(Brand_Profile!$E$59,Matching_Engine!$BE$17)),1,0)))/Brand_Profile!$E$60*100,0)))</f>
      </c>
      <c r="X17" s="18">
        <f>IF(NOT(AND(ISTEXT(KOL_Source_Data!$Q$17),KOL_Source_Data!$Q$17&lt;&gt;"N/A")),"N/A",Lookup_Lists!$D$150)</f>
      </c>
      <c r="Y17" s="29">
        <f>IF((IF(ISNUMBER(Matching_Engine!$U$17),Lookup_Lists!$D$335,0)+IF(ISNUMBER(Matching_Engine!$V$17),Lookup_Lists!$D$122,0)+IF(ISNUMBER(Matching_Engine!$W$17),Lookup_Lists!$D$336,0)+IF(ISNUMBER(Matching_Engine!$X$17),Lookup_Lists!$D$124,0))=0,"N/A",ROUND((IF(ISNUMBER(Matching_Engine!$U$17),Matching_Engine!$U$17*Lookup_Lists!$D$335,0)+IF(ISNUMBER(Matching_Engine!$V$17),Matching_Engine!$V$17*Lookup_Lists!$D$122,0)+IF(ISNUMBER(Matching_Engine!$W$17),Matching_Engine!$W$17*Lookup_Lists!$D$336,0)+IF(ISNUMBER(Matching_Engine!$X$17),Matching_Engine!$X$17*Lookup_Lists!$D$124,0))/(IF(ISNUMBER(Matching_Engine!$U$17),Lookup_Lists!$D$335,0)+IF(ISNUMBER(Matching_Engine!$V$17),Lookup_Lists!$D$122,0)+IF(ISNUMBER(Matching_Engine!$W$17),Lookup_Lists!$D$336,0)+IF(ISNUMBER(Matching_Engine!$X$17),Lookup_Lists!$D$124,0)),0))</f>
      </c>
      <c r="Z17" s="11">
        <f>IF(ISNUMBER(Matching_Engine!$Y$17),1,0)</f>
      </c>
      <c r="AA17" s="18">
        <f>IF(NOT(AND(ISTEXT(KOL_Source_Data!$Q$17),KOL_Source_Data!$Q$17&lt;&gt;"N/A")),"N/A",Lookup_Lists!$D$150)</f>
      </c>
      <c r="AB17" s="18">
        <f>IF(NOT(AND(ISTEXT(KOL_Source_Data!$Q$17),KOL_Source_Data!$Q$17&lt;&gt;"N/A")),"N/A",Lookup_Lists!$D$150)</f>
      </c>
      <c r="AC17" s="18">
        <f>"N/A"</f>
      </c>
      <c r="AD17" s="18">
        <f>IF(NOT(AND(ISTEXT(KOL_Source_Data!$Q$17),KOL_Source_Data!$Q$17&lt;&gt;"N/A")),"N/A",Lookup_Lists!$D$150)</f>
      </c>
      <c r="AE17" s="29">
        <f>IF((IF(ISNUMBER(Matching_Engine!$AA$17),Lookup_Lists!$D$125,0)+IF(ISNUMBER(Matching_Engine!$AB$17),Lookup_Lists!$D$126,0)+IF(ISNUMBER(Matching_Engine!$AC$17),Lookup_Lists!$D$127,0)+IF(ISNUMBER(Matching_Engine!$AD$17),Lookup_Lists!$D$128,0))=0,"N/A",ROUND((IF(ISNUMBER(Matching_Engine!$AA$17),Matching_Engine!$AA$17*Lookup_Lists!$D$125,0)+IF(ISNUMBER(Matching_Engine!$AB$17),Matching_Engine!$AB$17*Lookup_Lists!$D$126,0)+IF(ISNUMBER(Matching_Engine!$AC$17),Matching_Engine!$AC$17*Lookup_Lists!$D$127,0)+IF(ISNUMBER(Matching_Engine!$AD$17),Matching_Engine!$AD$17*Lookup_Lists!$D$128,0))/(IF(ISNUMBER(Matching_Engine!$AA$17),Lookup_Lists!$D$125,0)+IF(ISNUMBER(Matching_Engine!$AB$17),Lookup_Lists!$D$126,0)+IF(ISNUMBER(Matching_Engine!$AC$17),Lookup_Lists!$D$127,0)+IF(ISNUMBER(Matching_Engine!$AD$17),Lookup_Lists!$D$128,0)),0))</f>
      </c>
      <c r="AF17" s="11">
        <f>IF(ISNUMBER(Matching_Engine!$AE$17),1,0)</f>
      </c>
      <c r="AG17" s="18">
        <f>IF(NOT(ISNUMBER(KOL_Source_Data!$BG$17)),"N/A",MIN(100,ROUND(KOL_Source_Data!$BG$17/IFERROR(INDEX(Lookup_Lists!$B$340:$B$344,MATCH(KOL_Source_Data!$H$17,Lookup_Lists!$A$340:$A$344,0)),Lookup_Lists!$D$141)*100,0)))</f>
      </c>
      <c r="AH17" s="18">
        <f>IF(NOT(ISNUMBER(KOL_Source_Data!$BS$17)),"N/A",MIN(100,MAX(0,KOL_Source_Data!$BS$17)))</f>
      </c>
      <c r="AI17" s="18">
        <f>IF(OR(NOT(ISNUMBER(KOL_Source_Data!$BM$17)),NOT(ISNUMBER(KOL_Source_Data!$BN$17)),KOL_Source_Data!$BN$17&lt;Lookup_Lists!$D$320),"N/A",MIN(100,ROUND(KOL_Source_Data!$BM$17/Lookup_Lists!$D$319*100,0)))</f>
      </c>
      <c r="AJ17" s="18">
        <f>IF(NOT(ISNUMBER(KOL_Source_Data!$BR$17)),"N/A",KOL_Source_Data!$BR$17)</f>
      </c>
      <c r="AK17" s="18">
        <f>IF(NOT(ISNUMBER(KOL_Source_Data!$BK$17)),"N/A",MIN(100,ROUND(KOL_Source_Data!$BK$17/Lookup_Lists!$D$321*100,0)))</f>
      </c>
      <c r="AL17" s="18">
        <f>IF(NOT(ISNUMBER(KOL_Source_Data!$BP$17)),"N/A",MIN(100,MAX(0,ROUND((KOL_Source_Data!$BP$17+2)/(Lookup_Lists!$D$145+2)*100,0))))</f>
      </c>
      <c r="AM17" s="29">
        <f>IF((IF(ISNUMBER(Matching_Engine!$AG$17),Lookup_Lists!$D$129,0)+IF(ISNUMBER(Matching_Engine!$AH$17),Lookup_Lists!$D$130,0)+IF(ISNUMBER(Matching_Engine!$AI$17),Lookup_Lists!$D$131,0)+IF(ISNUMBER(Matching_Engine!$AJ$17),Lookup_Lists!$D$132,0)+IF(ISNUMBER(Matching_Engine!$AK$17),Lookup_Lists!$D$133,0)+IF(ISNUMBER(Matching_Engine!$AL$17),Lookup_Lists!$D$134,0))=0,"N/A",ROUND((IF(ISNUMBER(Matching_Engine!$AG$17),Matching_Engine!$AG$17*Lookup_Lists!$D$129,0)+IF(ISNUMBER(Matching_Engine!$AH$17),Matching_Engine!$AH$17*Lookup_Lists!$D$130,0)+IF(ISNUMBER(Matching_Engine!$AI$17),Matching_Engine!$AI$17*Lookup_Lists!$D$131,0)+IF(ISNUMBER(Matching_Engine!$AJ$17),Matching_Engine!$AJ$17*Lookup_Lists!$D$132,0)+IF(ISNUMBER(Matching_Engine!$AK$17),Matching_Engine!$AK$17*Lookup_Lists!$D$133,0)+IF(ISNUMBER(Matching_Engine!$AL$17),Matching_Engine!$AL$17*Lookup_Lists!$D$134,0))/(IF(ISNUMBER(Matching_Engine!$AG$17),Lookup_Lists!$D$129,0)+IF(ISNUMBER(Matching_Engine!$AH$17),Lookup_Lists!$D$130,0)+IF(ISNUMBER(Matching_Engine!$AI$17),Lookup_Lists!$D$131,0)+IF(ISNUMBER(Matching_Engine!$AJ$17),Lookup_Lists!$D$132,0)+IF(ISNUMBER(Matching_Engine!$AK$17),Lookup_Lists!$D$133,0)+IF(ISNUMBER(Matching_Engine!$AL$17),Lookup_Lists!$D$134,0)),0))</f>
      </c>
      <c r="AN17" s="11">
        <f>IF(ISNUMBER(Matching_Engine!$AM$17),1,0)</f>
      </c>
      <c r="AO17" s="18">
        <f>IF(NOT(ISNUMBER(KOL_Source_Data!$BT$17)),"N/A",MIN(100,MAX(0,KOL_Source_Data!$BT$17)))</f>
      </c>
      <c r="AP17" s="18">
        <f>IF(NOT(ISNUMBER(KOL_Source_Data!$BU$17)),"N/A",MIN(100,MAX(0,KOL_Source_Data!$BU$17)))</f>
      </c>
      <c r="AQ17" s="18">
        <f>IF(KOL_Source_Data!$I$17="Yes",Lookup_Lists!$D$326,IF(KOL_Source_Data!$I$17="No",Lookup_Lists!$D$327,"N/A"))</f>
      </c>
      <c r="AR17" s="18">
        <f>IF(NOT(ISNUMBER(KOL_Source_Data!$BQ$17)),"N/A",MAX(0,ROUND(100-KOL_Source_Data!$BQ$17/Lookup_Lists!$D$328*100,0)))</f>
      </c>
      <c r="AS17" s="18">
        <f>IF(NOT(AND(ISTEXT(KOL_Source_Data!$BV$17),KOL_Source_Data!$BV$17&lt;&gt;"N/A")),"N/A",KOL_Source_Data!$BV$17)</f>
      </c>
      <c r="AT17" s="29">
        <f>IF((IF(ISNUMBER(Matching_Engine!$AO$17),Lookup_Lists!$D$322,0)+IF(ISNUMBER(Matching_Engine!$AP$17),Lookup_Lists!$D$323,0)+IF(ISNUMBER(Matching_Engine!$AQ$17),Lookup_Lists!$D$324,0)+IF(ISNUMBER(Matching_Engine!$AR$17),Lookup_Lists!$D$325,0))=0,"N/A",ROUND((IF(ISNUMBER(Matching_Engine!$AO$17),Matching_Engine!$AO$17*Lookup_Lists!$D$322,0)+IF(ISNUMBER(Matching_Engine!$AP$17),Matching_Engine!$AP$17*Lookup_Lists!$D$323,0)+IF(ISNUMBER(Matching_Engine!$AQ$17),Matching_Engine!$AQ$17*Lookup_Lists!$D$324,0)+IF(ISNUMBER(Matching_Engine!$AR$17),Matching_Engine!$AR$17*Lookup_Lists!$D$325,0))/(IF(ISNUMBER(Matching_Engine!$AO$17),Lookup_Lists!$D$322,0)+IF(ISNUMBER(Matching_Engine!$AP$17),Lookup_Lists!$D$323,0)+IF(ISNUMBER(Matching_Engine!$AQ$17),Lookup_Lists!$D$324,0)+IF(ISNUMBER(Matching_Engine!$AR$17),Lookup_Lists!$D$325,0)),0))</f>
      </c>
      <c r="AU17" s="11">
        <f>IF(ISNUMBER(Matching_Engine!$AT$17),1,0)</f>
      </c>
      <c r="AV17" s="11">
        <f>IF(NOT(ISNUMBER(Matching_Engine!$AT$17)),"Not Screened",IF(Matching_Engine!$AT$17&gt;=Lookup_Lists!$D$329,"Low Risk",IF(Matching_Engine!$AT$17&gt;=Lookup_Lists!$D$330,"Moderate Risk",IF(Matching_Engine!$AT$17&gt;=Lookup_Lists!$D$331,"Elevated Risk","High Risk"))))</f>
      </c>
      <c r="AW17" s="11">
        <f>IF(NOT(ISNUMBER(Matching_Engine!$AT$17)),"No integrity signal: no audience-analysis row for this account.","Integrity screen only — no content-risk reading exists (comments_analysis: 0 rows). "&amp;IF(ISNUMBER(Matching_Engine!$AO$17),"Authenticity "&amp;Matching_Engine!$AO$17&amp;". ","Authenticity N/A. ")&amp;IF(ISNUMBER(Matching_Engine!$AP$17),"Follower quality "&amp;Matching_Engine!$AP$17&amp;". ","Follower quality N/A. ")&amp;IF(KOL_Source_Data!$I$17="Yes","Platform-verified.","Not platform-verified."))</f>
      </c>
      <c r="AX17" s="18">
        <f>Matching_Engine!$N$17*Lookup_Lists!$D$104+Matching_Engine!$T$17*Lookup_Lists!$D$105+Matching_Engine!$Z$17*Lookup_Lists!$D$106+Matching_Engine!$AF$17*Lookup_Lists!$D$107+Matching_Engine!$AN$17*Lookup_Lists!$D$108+Matching_Engine!$AU$17*Lookup_Lists!$D$109</f>
      </c>
      <c r="AY17" s="30">
        <f>IF(Matching_Engine!$AX$17=0,"N/A",ROUND((IF(Matching_Engine!$N$17=1,Matching_Engine!$M$17*Lookup_Lists!$D$104,0)+IF(Matching_Engine!$T$17=1,Matching_Engine!$S$17*Lookup_Lists!$D$105,0)+IF(Matching_Engine!$Z$17=1,Matching_Engine!$Y$17*Lookup_Lists!$D$106,0)+IF(Matching_Engine!$AF$17=1,Matching_Engine!$AE$17*Lookup_Lists!$D$107,0)+IF(Matching_Engine!$AN$17=1,Matching_Engine!$AM$17*Lookup_Lists!$D$108,0)+IF(Matching_Engine!$AU$17=1,Matching_Engine!$AT$17*Lookup_Lists!$D$109,0))/Matching_Engine!$AX$17,0))</f>
      </c>
      <c r="AZ17" s="11">
        <f>IF(NOT(ISNUMBER(Matching_Engine!$AY$17)),"Not Scored",IF(Matching_Engine!$AY$17&gt;=Lookup_Lists!$D$152,"Excellent Match",IF(Matching_Engine!$AY$17&gt;=Lookup_Lists!$D$153,"Strong Match",IF(Matching_Engine!$AY$17&gt;=Lookup_Lists!$D$154,"Good Match",IF(Matching_Engine!$AY$17&gt;=Lookup_Lists!$D$155,"Moderate Match","Low Match")))))</f>
      </c>
      <c r="BA17" s="18">
        <f>KOL_Source_Data!$BW$17</f>
      </c>
      <c r="BB17" s="11">
        <f>KOL_Source_Data!$BX$17</f>
      </c>
      <c r="BC17" s="18">
        <f>IF(NOT(ISNUMBER(Matching_Engine!$AY$17)),-1,Matching_Engine!$AY$17*1000+13)</f>
      </c>
      <c r="BD17" s="11">
        <f>IF(AND(ISTEXT(KOL_Source_Data!$S$17),KOL_Source_Data!$S$17&lt;&gt;"N/A"),KOL_Source_Data!$S$17,"")&amp;" | "&amp;IF(AND(ISTEXT(KOL_Source_Data!$T$17),KOL_Source_Data!$T$17&lt;&gt;"N/A"),KOL_Source_Data!$T$17,"")&amp;" | "&amp;IF(AND(ISTEXT(KOL_Source_Data!$N$17),KOL_Source_Data!$N$17&lt;&gt;"N/A"),KOL_Source_Data!$N$17,"")&amp;" | "&amp;IF(AND(ISTEXT(KOL_Source_Data!$K$17),KOL_Source_Data!$K$17&lt;&gt;"N/A"),KOL_Source_Data!$K$17,"")&amp;" | "&amp;IF(AND(ISTEXT(KOL_Source_Data!$J$17),KOL_Source_Data!$J$17&lt;&gt;"N/A"),KOL_Source_Data!$J$17,"")</f>
      </c>
      <c r="BE17" s="11">
        <f>IF(AND(ISTEXT(KOL_Source_Data!$T$17),KOL_Source_Data!$T$17&lt;&gt;"N/A"),KOL_Source_Data!$T$17,"")&amp;" | "&amp;IF(AND(ISTEXT(KOL_Source_Data!$N$17),KOL_Source_Data!$N$17&lt;&gt;"N/A"),KOL_Source_Data!$N$17,"")&amp;" | "&amp;IF(AND(ISTEXT(KOL_Source_Data!$O$17),KOL_Source_Data!$O$17&lt;&gt;"N/A"),KOL_Source_Data!$O$17,"")&amp;" | "&amp;IF(AND(ISTEXT(KOL_Source_Data!$S$17),KOL_Source_Data!$S$17&lt;&gt;"N/A"),KOL_Source_Data!$S$17,"")</f>
      </c>
      <c r="BF17" s="11">
        <f>IF(AND(ISTEXT(KOL_Source_Data!$U$17),KOL_Source_Data!$U$17&lt;&gt;"N/A"),KOL_Source_Data!$U$17,"")</f>
      </c>
      <c r="BG17" s="11">
        <f>Matching_Engine!$A$17&amp;"|"&amp;Matching_Engine!$C$17</f>
      </c>
    </row>
    <row r="18" spans="1:59" x14ac:dyDescent="0.25">
      <c r="A18" s="10" t="s">
        <v>390</v>
      </c>
      <c r="B18" s="11">
        <f>Brand_Profile!$E$6</f>
      </c>
      <c r="C18" s="11">
        <f>KOL_Source_Data!$A$18</f>
      </c>
      <c r="D18" s="11">
        <f>KOL_Source_Data!$C$18</f>
      </c>
      <c r="E18" s="11">
        <f>KOL_Source_Data!$D$18</f>
      </c>
      <c r="F18" s="11">
        <f>KOL_Source_Data!$E$18</f>
      </c>
      <c r="G18" s="11">
        <f>KOL_Source_Data!$K$18</f>
      </c>
      <c r="H18" s="12">
        <f>KOL_Source_Data!$G$18</f>
      </c>
      <c r="I18" s="14">
        <f>KOL_Source_Data!$BG$18</f>
      </c>
      <c r="J18" s="18">
        <f>IF(NOT(AND(ISTEXT(KOL_Source_Data!$K$18),KOL_Source_Data!$K$18&lt;&gt;"N/A")),Lookup_Lists!$D$150,IF(Brand_Profile!$E$7=KOL_Source_Data!$K$18,100,IFERROR(INDEX(Lookup_Lists!$B$349:$J$357,MATCH(Brand_Profile!$E$7,Lookup_Lists!$A$349:$A$357,0),MATCH(KOL_Source_Data!$K$18,Lookup_Lists!$B$348:$J$348,0)),Lookup_Lists!$D$151)))</f>
      </c>
      <c r="K18" s="18">
        <f>IF(LEN(TRIM(SUBSTITUTE(Matching_Engine!$BD$18,"|","")))=0,"N/A",IF(Brand_Profile!$E$47=0,Lookup_Lists!$D$150,ROUND((IF(Brand_Profile!$E$41="",0,IF(ISNUMBER(SEARCH(Brand_Profile!$E$41,Matching_Engine!$BD$18)),1,0))+IF(Brand_Profile!$E$42="",0,IF(ISNUMBER(SEARCH(Brand_Profile!$E$42,Matching_Engine!$BD$18)),1,0))+IF(Brand_Profile!$E$43="",0,IF(ISNUMBER(SEARCH(Brand_Profile!$E$43,Matching_Engine!$BD$18)),1,0))+IF(Brand_Profile!$E$44="",0,IF(ISNUMBER(SEARCH(Brand_Profile!$E$44,Matching_Engine!$BD$18)),1,0))+IF(Brand_Profile!$E$45="",0,IF(ISNUMBER(SEARCH(Brand_Profile!$E$45,Matching_Engine!$BD$18)),1,0))+IF(Brand_Profile!$E$46="",0,IF(ISNUMBER(SEARCH(Brand_Profile!$E$46,Matching_Engine!$BD$18)),1,0)))/Brand_Profile!$E$47*100,0)))</f>
      </c>
      <c r="L18" s="18">
        <f>IF(NOT(AND(ISTEXT(KOL_Source_Data!$U$18),KOL_Source_Data!$U$18&lt;&gt;"N/A")),"N/A",IF(Brand_Profile!$E$53=0,Lookup_Lists!$D$150,ROUND((IF(Brand_Profile!$E$48="",0,IF(ISNUMBER(SEARCH(Brand_Profile!$E$48,Matching_Engine!$BF$18)),1,0))+IF(Brand_Profile!$E$49="",0,IF(ISNUMBER(SEARCH(Brand_Profile!$E$49,Matching_Engine!$BF$18)),1,0))+IF(Brand_Profile!$E$50="",0,IF(ISNUMBER(SEARCH(Brand_Profile!$E$50,Matching_Engine!$BF$18)),1,0))+IF(Brand_Profile!$E$51="",0,IF(ISNUMBER(SEARCH(Brand_Profile!$E$51,Matching_Engine!$BF$18)),1,0))+IF(Brand_Profile!$E$52="",0,IF(ISNUMBER(SEARCH(Brand_Profile!$E$52,Matching_Engine!$BF$18)),1,0)))/Brand_Profile!$E$53*100,0)))</f>
      </c>
      <c r="M18" s="29">
        <f>IF((IF(ISNUMBER(Matching_Engine!$J$18),Lookup_Lists!$D$332,0)+IF(ISNUMBER(Matching_Engine!$K$18),Lookup_Lists!$D$333,0)+IF(ISNUMBER(Matching_Engine!$L$18),Lookup_Lists!$D$334,0))=0,"N/A",ROUND((IF(ISNUMBER(Matching_Engine!$J$18),Matching_Engine!$J$18*Lookup_Lists!$D$332,0)+IF(ISNUMBER(Matching_Engine!$K$18),Matching_Engine!$K$18*Lookup_Lists!$D$333,0)+IF(ISNUMBER(Matching_Engine!$L$18),Matching_Engine!$L$18*Lookup_Lists!$D$334,0))/(IF(ISNUMBER(Matching_Engine!$J$18),Lookup_Lists!$D$332,0)+IF(ISNUMBER(Matching_Engine!$K$18),Lookup_Lists!$D$333,0)+IF(ISNUMBER(Matching_Engine!$L$18),Lookup_Lists!$D$334,0)),0))</f>
      </c>
      <c r="N18" s="11">
        <f>IF(ISNUMBER(Matching_Engine!$M$18),1,0)</f>
      </c>
      <c r="O18" s="18">
        <f>IF(NOT(ISNUMBER(IFERROR(INDEX(KOL_Source_Data!$V$18:KOL_Source_Data!$Z$18,1,MATCH(Brand_Profile!$E$11,Lookup_Lists!$F$6:$F$10,0)),""))),"N/A",MIN(100,ROUND((IFERROR(INDEX(KOL_Source_Data!$V$18:KOL_Source_Data!$Z$18,1,MATCH(Brand_Profile!$E$11,Lookup_Lists!$F$6:$F$10,0)),"")+0.5*IF(ISNUMBER(IFERROR(INDEX(KOL_Source_Data!$V$18:KOL_Source_Data!$Z$18,1,MATCH(Brand_Profile!$E$12,Lookup_Lists!$F$6:$F$10,0)),"")),IFERROR(INDEX(KOL_Source_Data!$V$18:KOL_Source_Data!$Z$18,1,MATCH(Brand_Profile!$E$12,Lookup_Lists!$F$6:$F$10,0)),""),0))/Lookup_Lists!$D$142*100,0)))</f>
      </c>
      <c r="P18" s="18">
        <f>IF(Brand_Profile!$E$13="Any",100,IF(NOT(ISNUMBER(KOL_Source_Data!$AA$18)),"N/A",IF(Brand_Profile!$E$13="Female",MIN(100,ROUND(KOL_Source_Data!$AA$18/Lookup_Lists!$D$143*100,0)),IF(Brand_Profile!$E$13="Male",MIN(100,ROUND(IF(ISNUMBER(KOL_Source_Data!$AB$18),KOL_Source_Data!$AB$18,100-KOL_Source_Data!$AA$18)/Lookup_Lists!$D$143*100,0)),MAX(0,ROUND(100-ABS(KOL_Source_Data!$AA$18-50)*2,0))))))</f>
      </c>
      <c r="Q18" s="18">
        <f>IF((IF(ISNUMBER(IF(NOT(ISNUMBER(KOL_Source_Data!$AE$18)),"N/A",IF(KOL_Source_Data!$AD$18&lt;&gt;Brand_Profile!$E$14,Lookup_Lists!$D$151,MIN(100,ROUND(KOL_Source_Data!$AE$18/Lookup_Lists!$D$316*100,0))))),Lookup_Lists!$D$118,0)+IF(ISNUMBER(IF(NOT(ISNUMBER(KOL_Source_Data!$AM$18)),"N/A",MIN(100,ROUND((IF(KOL_Source_Data!$AG$18=Brand_Profile!$E$15,IF(ISNUMBER(KOL_Source_Data!$AH$18),KOL_Source_Data!$AH$18,0),0)+IF(KOL_Source_Data!$AI$18=Brand_Profile!$E$15,IF(ISNUMBER(KOL_Source_Data!$AJ$18),KOL_Source_Data!$AJ$18,0),0)+IF(KOL_Source_Data!$AK$18=Brand_Profile!$E$15,IF(ISNUMBER(KOL_Source_Data!$AL$18),KOL_Source_Data!$AL$18,0),0))/Lookup_Lists!$D$317*100,0)))),Lookup_Lists!$D$120,0))=0,"N/A",ROUND((IF(ISNUMBER(IF(NOT(ISNUMBER(KOL_Source_Data!$AE$18)),"N/A",IF(KOL_Source_Data!$AD$18&lt;&gt;Brand_Profile!$E$14,Lookup_Lists!$D$151,MIN(100,ROUND(KOL_Source_Data!$AE$18/Lookup_Lists!$D$316*100,0))))),IF(NOT(ISNUMBER(KOL_Source_Data!$AE$18)),"N/A",IF(KOL_Source_Data!$AD$18&lt;&gt;Brand_Profile!$E$14,Lookup_Lists!$D$151,MIN(100,ROUND(KOL_Source_Data!$AE$18/Lookup_Lists!$D$316*100,0))))*Lookup_Lists!$D$118,0)+IF(ISNUMBER(IF(NOT(ISNUMBER(KOL_Source_Data!$AM$18)),"N/A",MIN(100,ROUND((IF(KOL_Source_Data!$AG$18=Brand_Profile!$E$15,IF(ISNUMBER(KOL_Source_Data!$AH$18),KOL_Source_Data!$AH$18,0),0)+IF(KOL_Source_Data!$AI$18=Brand_Profile!$E$15,IF(ISNUMBER(KOL_Source_Data!$AJ$18),KOL_Source_Data!$AJ$18,0),0)+IF(KOL_Source_Data!$AK$18=Brand_Profile!$E$15,IF(ISNUMBER(KOL_Source_Data!$AL$18),KOL_Source_Data!$AL$18,0),0))/Lookup_Lists!$D$317*100,0)))),IF(NOT(ISNUMBER(KOL_Source_Data!$AM$18)),"N/A",MIN(100,ROUND((IF(KOL_Source_Data!$AG$18=Brand_Profile!$E$15,IF(ISNUMBER(KOL_Source_Data!$AH$18),KOL_Source_Data!$AH$18,0),0)+IF(KOL_Source_Data!$AI$18=Brand_Profile!$E$15,IF(ISNUMBER(KOL_Source_Data!$AJ$18),KOL_Source_Data!$AJ$18,0),0)+IF(KOL_Source_Data!$AK$18=Brand_Profile!$E$15,IF(ISNUMBER(KOL_Source_Data!$AL$18),KOL_Source_Data!$AL$18,0),0))/Lookup_Lists!$D$317*100,0)))*Lookup_Lists!$D$120,0))/(IF(ISNUMBER(IF(NOT(ISNUMBER(KOL_Source_Data!$AE$18)),"N/A",IF(KOL_Source_Data!$AD$18&lt;&gt;Brand_Profile!$E$14,Lookup_Lists!$D$151,MIN(100,ROUND(KOL_Source_Data!$AE$18/Lookup_Lists!$D$316*100,0))))),Lookup_Lists!$D$118,0)+IF(ISNUMBER(IF(NOT(ISNUMBER(KOL_Source_Data!$AM$18)),"N/A",MIN(100,ROUND((IF(KOL_Source_Data!$AG$18=Brand_Profile!$E$15,IF(ISNUMBER(KOL_Source_Data!$AH$18),KOL_Source_Data!$AH$18,0),0)+IF(KOL_Source_Data!$AI$18=Brand_Profile!$E$15,IF(ISNUMBER(KOL_Source_Data!$AJ$18),KOL_Source_Data!$AJ$18,0),0)+IF(KOL_Source_Data!$AK$18=Brand_Profile!$E$15,IF(ISNUMBER(KOL_Source_Data!$AL$18),KOL_Source_Data!$AL$18,0),0))/Lookup_Lists!$D$317*100,0)))),Lookup_Lists!$D$120,0)),0))</f>
      </c>
      <c r="R18" s="18">
        <f>IF(NOT(ISNUMBER(KOL_Source_Data!$AN$18)),"N/A",MIN(100,ROUND((IF(ISNUMBER(KOL_Source_Data!$AO$18),KOL_Source_Data!$AO$18*Brand_Profile!$E$17,0)+IF(ISNUMBER(KOL_Source_Data!$AP$18),KOL_Source_Data!$AP$18*Brand_Profile!$E$18,0)+IF(ISNUMBER(KOL_Source_Data!$AQ$18),KOL_Source_Data!$AQ$18*Brand_Profile!$E$19,0)+IF(ISNUMBER(KOL_Source_Data!$AR$18),KOL_Source_Data!$AR$18*Brand_Profile!$E$20,0)+IF(ISNUMBER(KOL_Source_Data!$AS$18),KOL_Source_Data!$AS$18*Brand_Profile!$E$21,0)+IF(ISNUMBER(KOL_Source_Data!$AT$18),KOL_Source_Data!$AT$18*Brand_Profile!$E$22,0)+IF(ISNUMBER(KOL_Source_Data!$AU$18),KOL_Source_Data!$AU$18*Brand_Profile!$E$23,0)+IF(ISNUMBER(KOL_Source_Data!$AV$18),KOL_Source_Data!$AV$18*Brand_Profile!$E$24,0)+IF(ISNUMBER(KOL_Source_Data!$AW$18),KOL_Source_Data!$AW$18*Brand_Profile!$E$25,0)+IF(ISNUMBER(KOL_Source_Data!$AX$18),KOL_Source_Data!$AX$18*Brand_Profile!$E$26,0)+IF(ISNUMBER(KOL_Source_Data!$AY$18),KOL_Source_Data!$AY$18*Brand_Profile!$E$27,0)+IF(ISNUMBER(KOL_Source_Data!$AZ$18),KOL_Source_Data!$AZ$18*Brand_Profile!$E$28,0)+IF(ISNUMBER(KOL_Source_Data!$BA$18),KOL_Source_Data!$BA$18*Brand_Profile!$E$29,0)+IF(ISNUMBER(KOL_Source_Data!$BB$18),KOL_Source_Data!$BB$18*Brand_Profile!$E$30,0)+IF(ISNUMBER(KOL_Source_Data!$BC$18),KOL_Source_Data!$BC$18*Brand_Profile!$E$31,0)+IF(ISNUMBER(KOL_Source_Data!$BD$18),KOL_Source_Data!$BD$18*Brand_Profile!$E$32,0)+IF(ISNUMBER(KOL_Source_Data!$BE$18),KOL_Source_Data!$BE$18*Brand_Profile!$E$33,0)+IF(ISNUMBER(KOL_Source_Data!$BF$18),KOL_Source_Data!$BF$18*Brand_Profile!$E$34,0))/Lookup_Lists!$D$318*100,0)))</f>
      </c>
      <c r="S18" s="29">
        <f>IF((IF(ISNUMBER(Matching_Engine!$O$18),Lookup_Lists!$D$113,0)+IF(ISNUMBER(Matching_Engine!$P$18),Lookup_Lists!$D$114,0)+IF(ISNUMBER(Matching_Engine!$Q$18),Lookup_Lists!$D$115,0)+IF(ISNUMBER(Matching_Engine!$R$18),Lookup_Lists!$D$116,0))=0,"N/A",ROUND((IF(ISNUMBER(Matching_Engine!$O$18),Matching_Engine!$O$18*Lookup_Lists!$D$113,0)+IF(ISNUMBER(Matching_Engine!$P$18),Matching_Engine!$P$18*Lookup_Lists!$D$114,0)+IF(ISNUMBER(Matching_Engine!$Q$18),Matching_Engine!$Q$18*Lookup_Lists!$D$115,0)+IF(ISNUMBER(Matching_Engine!$R$18),Matching_Engine!$R$18*Lookup_Lists!$D$116,0))/(IF(ISNUMBER(Matching_Engine!$O$18),Lookup_Lists!$D$113,0)+IF(ISNUMBER(Matching_Engine!$P$18),Lookup_Lists!$D$114,0)+IF(ISNUMBER(Matching_Engine!$Q$18),Lookup_Lists!$D$115,0)+IF(ISNUMBER(Matching_Engine!$R$18),Lookup_Lists!$D$116,0)),0))</f>
      </c>
      <c r="T18" s="11">
        <f>IF(ISNUMBER(Matching_Engine!$S$18),1,0)</f>
      </c>
      <c r="U18" s="18">
        <f>IF(NOT(AND(ISTEXT(KOL_Source_Data!$M$18),KOL_Source_Data!$M$18&lt;&gt;"N/A")),Lookup_Lists!$D$150,IF(Brand_Profile!$E$7=KOL_Source_Data!$M$18,100,IFERROR(INDEX(Lookup_Lists!$B$349:$J$357,MATCH(Brand_Profile!$E$7,Lookup_Lists!$A$349:$A$357,0),MATCH(KOL_Source_Data!$M$18,Lookup_Lists!$B$348:$J$348,0)),Lookup_Lists!$D$151)))</f>
      </c>
      <c r="V18" s="18">
        <f>IF(NOT(AND(ISTEXT(KOL_Source_Data!$P$18),KOL_Source_Data!$P$18&lt;&gt;"N/A")),"N/A",IFERROR(INDEX(Lookup_Lists!$B$349:$J$357,MATCH(Brand_Profile!$E$7,Lookup_Lists!$A$349:$A$357,0),MATCH(KOL_Source_Data!$P$18,Lookup_Lists!$B$348:$J$348,0)),Lookup_Lists!$D$151))</f>
      </c>
      <c r="W18" s="18">
        <f>IF(LEN(TRIM(SUBSTITUTE(Matching_Engine!$BE$18,"|","")))=0,"N/A",IF(Brand_Profile!$E$60=0,Lookup_Lists!$D$150,ROUND((IF(Brand_Profile!$E$54="",0,IF(ISNUMBER(SEARCH(Brand_Profile!$E$54,Matching_Engine!$BE$18)),1,0))+IF(Brand_Profile!$E$55="",0,IF(ISNUMBER(SEARCH(Brand_Profile!$E$55,Matching_Engine!$BE$18)),1,0))+IF(Brand_Profile!$E$56="",0,IF(ISNUMBER(SEARCH(Brand_Profile!$E$56,Matching_Engine!$BE$18)),1,0))+IF(Brand_Profile!$E$57="",0,IF(ISNUMBER(SEARCH(Brand_Profile!$E$57,Matching_Engine!$BE$18)),1,0))+IF(Brand_Profile!$E$58="",0,IF(ISNUMBER(SEARCH(Brand_Profile!$E$58,Matching_Engine!$BE$18)),1,0))+IF(Brand_Profile!$E$59="",0,IF(ISNUMBER(SEARCH(Brand_Profile!$E$59,Matching_Engine!$BE$18)),1,0)))/Brand_Profile!$E$60*100,0)))</f>
      </c>
      <c r="X18" s="18">
        <f>IF(NOT(AND(ISTEXT(KOL_Source_Data!$Q$18),KOL_Source_Data!$Q$18&lt;&gt;"N/A")),"N/A",Lookup_Lists!$D$150)</f>
      </c>
      <c r="Y18" s="29">
        <f>IF((IF(ISNUMBER(Matching_Engine!$U$18),Lookup_Lists!$D$335,0)+IF(ISNUMBER(Matching_Engine!$V$18),Lookup_Lists!$D$122,0)+IF(ISNUMBER(Matching_Engine!$W$18),Lookup_Lists!$D$336,0)+IF(ISNUMBER(Matching_Engine!$X$18),Lookup_Lists!$D$124,0))=0,"N/A",ROUND((IF(ISNUMBER(Matching_Engine!$U$18),Matching_Engine!$U$18*Lookup_Lists!$D$335,0)+IF(ISNUMBER(Matching_Engine!$V$18),Matching_Engine!$V$18*Lookup_Lists!$D$122,0)+IF(ISNUMBER(Matching_Engine!$W$18),Matching_Engine!$W$18*Lookup_Lists!$D$336,0)+IF(ISNUMBER(Matching_Engine!$X$18),Matching_Engine!$X$18*Lookup_Lists!$D$124,0))/(IF(ISNUMBER(Matching_Engine!$U$18),Lookup_Lists!$D$335,0)+IF(ISNUMBER(Matching_Engine!$V$18),Lookup_Lists!$D$122,0)+IF(ISNUMBER(Matching_Engine!$W$18),Lookup_Lists!$D$336,0)+IF(ISNUMBER(Matching_Engine!$X$18),Lookup_Lists!$D$124,0)),0))</f>
      </c>
      <c r="Z18" s="11">
        <f>IF(ISNUMBER(Matching_Engine!$Y$18),1,0)</f>
      </c>
      <c r="AA18" s="18">
        <f>IF(NOT(AND(ISTEXT(KOL_Source_Data!$Q$18),KOL_Source_Data!$Q$18&lt;&gt;"N/A")),"N/A",Lookup_Lists!$D$150)</f>
      </c>
      <c r="AB18" s="18">
        <f>IF(NOT(AND(ISTEXT(KOL_Source_Data!$Q$18),KOL_Source_Data!$Q$18&lt;&gt;"N/A")),"N/A",Lookup_Lists!$D$150)</f>
      </c>
      <c r="AC18" s="18">
        <f>"N/A"</f>
      </c>
      <c r="AD18" s="18">
        <f>IF(NOT(AND(ISTEXT(KOL_Source_Data!$Q$18),KOL_Source_Data!$Q$18&lt;&gt;"N/A")),"N/A",Lookup_Lists!$D$150)</f>
      </c>
      <c r="AE18" s="29">
        <f>IF((IF(ISNUMBER(Matching_Engine!$AA$18),Lookup_Lists!$D$125,0)+IF(ISNUMBER(Matching_Engine!$AB$18),Lookup_Lists!$D$126,0)+IF(ISNUMBER(Matching_Engine!$AC$18),Lookup_Lists!$D$127,0)+IF(ISNUMBER(Matching_Engine!$AD$18),Lookup_Lists!$D$128,0))=0,"N/A",ROUND((IF(ISNUMBER(Matching_Engine!$AA$18),Matching_Engine!$AA$18*Lookup_Lists!$D$125,0)+IF(ISNUMBER(Matching_Engine!$AB$18),Matching_Engine!$AB$18*Lookup_Lists!$D$126,0)+IF(ISNUMBER(Matching_Engine!$AC$18),Matching_Engine!$AC$18*Lookup_Lists!$D$127,0)+IF(ISNUMBER(Matching_Engine!$AD$18),Matching_Engine!$AD$18*Lookup_Lists!$D$128,0))/(IF(ISNUMBER(Matching_Engine!$AA$18),Lookup_Lists!$D$125,0)+IF(ISNUMBER(Matching_Engine!$AB$18),Lookup_Lists!$D$126,0)+IF(ISNUMBER(Matching_Engine!$AC$18),Lookup_Lists!$D$127,0)+IF(ISNUMBER(Matching_Engine!$AD$18),Lookup_Lists!$D$128,0)),0))</f>
      </c>
      <c r="AF18" s="11">
        <f>IF(ISNUMBER(Matching_Engine!$AE$18),1,0)</f>
      </c>
      <c r="AG18" s="18">
        <f>IF(NOT(ISNUMBER(KOL_Source_Data!$BG$18)),"N/A",MIN(100,ROUND(KOL_Source_Data!$BG$18/IFERROR(INDEX(Lookup_Lists!$B$340:$B$344,MATCH(KOL_Source_Data!$H$18,Lookup_Lists!$A$340:$A$344,0)),Lookup_Lists!$D$141)*100,0)))</f>
      </c>
      <c r="AH18" s="18">
        <f>IF(NOT(ISNUMBER(KOL_Source_Data!$BS$18)),"N/A",MIN(100,MAX(0,KOL_Source_Data!$BS$18)))</f>
      </c>
      <c r="AI18" s="18">
        <f>IF(OR(NOT(ISNUMBER(KOL_Source_Data!$BM$18)),NOT(ISNUMBER(KOL_Source_Data!$BN$18)),KOL_Source_Data!$BN$18&lt;Lookup_Lists!$D$320),"N/A",MIN(100,ROUND(KOL_Source_Data!$BM$18/Lookup_Lists!$D$319*100,0)))</f>
      </c>
      <c r="AJ18" s="18">
        <f>IF(NOT(ISNUMBER(KOL_Source_Data!$BR$18)),"N/A",KOL_Source_Data!$BR$18)</f>
      </c>
      <c r="AK18" s="18">
        <f>IF(NOT(ISNUMBER(KOL_Source_Data!$BK$18)),"N/A",MIN(100,ROUND(KOL_Source_Data!$BK$18/Lookup_Lists!$D$321*100,0)))</f>
      </c>
      <c r="AL18" s="18">
        <f>IF(NOT(ISNUMBER(KOL_Source_Data!$BP$18)),"N/A",MIN(100,MAX(0,ROUND((KOL_Source_Data!$BP$18+2)/(Lookup_Lists!$D$145+2)*100,0))))</f>
      </c>
      <c r="AM18" s="29">
        <f>IF((IF(ISNUMBER(Matching_Engine!$AG$18),Lookup_Lists!$D$129,0)+IF(ISNUMBER(Matching_Engine!$AH$18),Lookup_Lists!$D$130,0)+IF(ISNUMBER(Matching_Engine!$AI$18),Lookup_Lists!$D$131,0)+IF(ISNUMBER(Matching_Engine!$AJ$18),Lookup_Lists!$D$132,0)+IF(ISNUMBER(Matching_Engine!$AK$18),Lookup_Lists!$D$133,0)+IF(ISNUMBER(Matching_Engine!$AL$18),Lookup_Lists!$D$134,0))=0,"N/A",ROUND((IF(ISNUMBER(Matching_Engine!$AG$18),Matching_Engine!$AG$18*Lookup_Lists!$D$129,0)+IF(ISNUMBER(Matching_Engine!$AH$18),Matching_Engine!$AH$18*Lookup_Lists!$D$130,0)+IF(ISNUMBER(Matching_Engine!$AI$18),Matching_Engine!$AI$18*Lookup_Lists!$D$131,0)+IF(ISNUMBER(Matching_Engine!$AJ$18),Matching_Engine!$AJ$18*Lookup_Lists!$D$132,0)+IF(ISNUMBER(Matching_Engine!$AK$18),Matching_Engine!$AK$18*Lookup_Lists!$D$133,0)+IF(ISNUMBER(Matching_Engine!$AL$18),Matching_Engine!$AL$18*Lookup_Lists!$D$134,0))/(IF(ISNUMBER(Matching_Engine!$AG$18),Lookup_Lists!$D$129,0)+IF(ISNUMBER(Matching_Engine!$AH$18),Lookup_Lists!$D$130,0)+IF(ISNUMBER(Matching_Engine!$AI$18),Lookup_Lists!$D$131,0)+IF(ISNUMBER(Matching_Engine!$AJ$18),Lookup_Lists!$D$132,0)+IF(ISNUMBER(Matching_Engine!$AK$18),Lookup_Lists!$D$133,0)+IF(ISNUMBER(Matching_Engine!$AL$18),Lookup_Lists!$D$134,0)),0))</f>
      </c>
      <c r="AN18" s="11">
        <f>IF(ISNUMBER(Matching_Engine!$AM$18),1,0)</f>
      </c>
      <c r="AO18" s="18">
        <f>IF(NOT(ISNUMBER(KOL_Source_Data!$BT$18)),"N/A",MIN(100,MAX(0,KOL_Source_Data!$BT$18)))</f>
      </c>
      <c r="AP18" s="18">
        <f>IF(NOT(ISNUMBER(KOL_Source_Data!$BU$18)),"N/A",MIN(100,MAX(0,KOL_Source_Data!$BU$18)))</f>
      </c>
      <c r="AQ18" s="18">
        <f>IF(KOL_Source_Data!$I$18="Yes",Lookup_Lists!$D$326,IF(KOL_Source_Data!$I$18="No",Lookup_Lists!$D$327,"N/A"))</f>
      </c>
      <c r="AR18" s="18">
        <f>IF(NOT(ISNUMBER(KOL_Source_Data!$BQ$18)),"N/A",MAX(0,ROUND(100-KOL_Source_Data!$BQ$18/Lookup_Lists!$D$328*100,0)))</f>
      </c>
      <c r="AS18" s="18">
        <f>IF(NOT(AND(ISTEXT(KOL_Source_Data!$BV$18),KOL_Source_Data!$BV$18&lt;&gt;"N/A")),"N/A",KOL_Source_Data!$BV$18)</f>
      </c>
      <c r="AT18" s="29">
        <f>IF((IF(ISNUMBER(Matching_Engine!$AO$18),Lookup_Lists!$D$322,0)+IF(ISNUMBER(Matching_Engine!$AP$18),Lookup_Lists!$D$323,0)+IF(ISNUMBER(Matching_Engine!$AQ$18),Lookup_Lists!$D$324,0)+IF(ISNUMBER(Matching_Engine!$AR$18),Lookup_Lists!$D$325,0))=0,"N/A",ROUND((IF(ISNUMBER(Matching_Engine!$AO$18),Matching_Engine!$AO$18*Lookup_Lists!$D$322,0)+IF(ISNUMBER(Matching_Engine!$AP$18),Matching_Engine!$AP$18*Lookup_Lists!$D$323,0)+IF(ISNUMBER(Matching_Engine!$AQ$18),Matching_Engine!$AQ$18*Lookup_Lists!$D$324,0)+IF(ISNUMBER(Matching_Engine!$AR$18),Matching_Engine!$AR$18*Lookup_Lists!$D$325,0))/(IF(ISNUMBER(Matching_Engine!$AO$18),Lookup_Lists!$D$322,0)+IF(ISNUMBER(Matching_Engine!$AP$18),Lookup_Lists!$D$323,0)+IF(ISNUMBER(Matching_Engine!$AQ$18),Lookup_Lists!$D$324,0)+IF(ISNUMBER(Matching_Engine!$AR$18),Lookup_Lists!$D$325,0)),0))</f>
      </c>
      <c r="AU18" s="11">
        <f>IF(ISNUMBER(Matching_Engine!$AT$18),1,0)</f>
      </c>
      <c r="AV18" s="11">
        <f>IF(NOT(ISNUMBER(Matching_Engine!$AT$18)),"Not Screened",IF(Matching_Engine!$AT$18&gt;=Lookup_Lists!$D$329,"Low Risk",IF(Matching_Engine!$AT$18&gt;=Lookup_Lists!$D$330,"Moderate Risk",IF(Matching_Engine!$AT$18&gt;=Lookup_Lists!$D$331,"Elevated Risk","High Risk"))))</f>
      </c>
      <c r="AW18" s="11">
        <f>IF(NOT(ISNUMBER(Matching_Engine!$AT$18)),"No integrity signal: no audience-analysis row for this account.","Integrity screen only — no content-risk reading exists (comments_analysis: 0 rows). "&amp;IF(ISNUMBER(Matching_Engine!$AO$18),"Authenticity "&amp;Matching_Engine!$AO$18&amp;". ","Authenticity N/A. ")&amp;IF(ISNUMBER(Matching_Engine!$AP$18),"Follower quality "&amp;Matching_Engine!$AP$18&amp;". ","Follower quality N/A. ")&amp;IF(KOL_Source_Data!$I$18="Yes","Platform-verified.","Not platform-verified."))</f>
      </c>
      <c r="AX18" s="18">
        <f>Matching_Engine!$N$18*Lookup_Lists!$D$104+Matching_Engine!$T$18*Lookup_Lists!$D$105+Matching_Engine!$Z$18*Lookup_Lists!$D$106+Matching_Engine!$AF$18*Lookup_Lists!$D$107+Matching_Engine!$AN$18*Lookup_Lists!$D$108+Matching_Engine!$AU$18*Lookup_Lists!$D$109</f>
      </c>
      <c r="AY18" s="30">
        <f>IF(Matching_Engine!$AX$18=0,"N/A",ROUND((IF(Matching_Engine!$N$18=1,Matching_Engine!$M$18*Lookup_Lists!$D$104,0)+IF(Matching_Engine!$T$18=1,Matching_Engine!$S$18*Lookup_Lists!$D$105,0)+IF(Matching_Engine!$Z$18=1,Matching_Engine!$Y$18*Lookup_Lists!$D$106,0)+IF(Matching_Engine!$AF$18=1,Matching_Engine!$AE$18*Lookup_Lists!$D$107,0)+IF(Matching_Engine!$AN$18=1,Matching_Engine!$AM$18*Lookup_Lists!$D$108,0)+IF(Matching_Engine!$AU$18=1,Matching_Engine!$AT$18*Lookup_Lists!$D$109,0))/Matching_Engine!$AX$18,0))</f>
      </c>
      <c r="AZ18" s="11">
        <f>IF(NOT(ISNUMBER(Matching_Engine!$AY$18)),"Not Scored",IF(Matching_Engine!$AY$18&gt;=Lookup_Lists!$D$152,"Excellent Match",IF(Matching_Engine!$AY$18&gt;=Lookup_Lists!$D$153,"Strong Match",IF(Matching_Engine!$AY$18&gt;=Lookup_Lists!$D$154,"Good Match",IF(Matching_Engine!$AY$18&gt;=Lookup_Lists!$D$155,"Moderate Match","Low Match")))))</f>
      </c>
      <c r="BA18" s="18">
        <f>KOL_Source_Data!$BW$18</f>
      </c>
      <c r="BB18" s="11">
        <f>KOL_Source_Data!$BX$18</f>
      </c>
      <c r="BC18" s="18">
        <f>IF(NOT(ISNUMBER(Matching_Engine!$AY$18)),-1,Matching_Engine!$AY$18*1000+12)</f>
      </c>
      <c r="BD18" s="11">
        <f>IF(AND(ISTEXT(KOL_Source_Data!$S$18),KOL_Source_Data!$S$18&lt;&gt;"N/A"),KOL_Source_Data!$S$18,"")&amp;" | "&amp;IF(AND(ISTEXT(KOL_Source_Data!$T$18),KOL_Source_Data!$T$18&lt;&gt;"N/A"),KOL_Source_Data!$T$18,"")&amp;" | "&amp;IF(AND(ISTEXT(KOL_Source_Data!$N$18),KOL_Source_Data!$N$18&lt;&gt;"N/A"),KOL_Source_Data!$N$18,"")&amp;" | "&amp;IF(AND(ISTEXT(KOL_Source_Data!$K$18),KOL_Source_Data!$K$18&lt;&gt;"N/A"),KOL_Source_Data!$K$18,"")&amp;" | "&amp;IF(AND(ISTEXT(KOL_Source_Data!$J$18),KOL_Source_Data!$J$18&lt;&gt;"N/A"),KOL_Source_Data!$J$18,"")</f>
      </c>
      <c r="BE18" s="11">
        <f>IF(AND(ISTEXT(KOL_Source_Data!$T$18),KOL_Source_Data!$T$18&lt;&gt;"N/A"),KOL_Source_Data!$T$18,"")&amp;" | "&amp;IF(AND(ISTEXT(KOL_Source_Data!$N$18),KOL_Source_Data!$N$18&lt;&gt;"N/A"),KOL_Source_Data!$N$18,"")&amp;" | "&amp;IF(AND(ISTEXT(KOL_Source_Data!$O$18),KOL_Source_Data!$O$18&lt;&gt;"N/A"),KOL_Source_Data!$O$18,"")&amp;" | "&amp;IF(AND(ISTEXT(KOL_Source_Data!$S$18),KOL_Source_Data!$S$18&lt;&gt;"N/A"),KOL_Source_Data!$S$18,"")</f>
      </c>
      <c r="BF18" s="11">
        <f>IF(AND(ISTEXT(KOL_Source_Data!$U$18),KOL_Source_Data!$U$18&lt;&gt;"N/A"),KOL_Source_Data!$U$18,"")</f>
      </c>
      <c r="BG18" s="11">
        <f>Matching_Engine!$A$18&amp;"|"&amp;Matching_Engine!$C$18</f>
      </c>
    </row>
    <row r="19" spans="1:59" x14ac:dyDescent="0.25">
      <c r="A19" s="10" t="s">
        <v>390</v>
      </c>
      <c r="B19" s="11">
        <f>Brand_Profile!$E$6</f>
      </c>
      <c r="C19" s="11">
        <f>KOL_Source_Data!$A$19</f>
      </c>
      <c r="D19" s="11">
        <f>KOL_Source_Data!$C$19</f>
      </c>
      <c r="E19" s="11">
        <f>KOL_Source_Data!$D$19</f>
      </c>
      <c r="F19" s="11">
        <f>KOL_Source_Data!$E$19</f>
      </c>
      <c r="G19" s="11">
        <f>KOL_Source_Data!$K$19</f>
      </c>
      <c r="H19" s="12">
        <f>KOL_Source_Data!$G$19</f>
      </c>
      <c r="I19" s="14">
        <f>KOL_Source_Data!$BG$19</f>
      </c>
      <c r="J19" s="18">
        <f>IF(NOT(AND(ISTEXT(KOL_Source_Data!$K$19),KOL_Source_Data!$K$19&lt;&gt;"N/A")),Lookup_Lists!$D$150,IF(Brand_Profile!$E$7=KOL_Source_Data!$K$19,100,IFERROR(INDEX(Lookup_Lists!$B$349:$J$357,MATCH(Brand_Profile!$E$7,Lookup_Lists!$A$349:$A$357,0),MATCH(KOL_Source_Data!$K$19,Lookup_Lists!$B$348:$J$348,0)),Lookup_Lists!$D$151)))</f>
      </c>
      <c r="K19" s="18">
        <f>IF(LEN(TRIM(SUBSTITUTE(Matching_Engine!$BD$19,"|","")))=0,"N/A",IF(Brand_Profile!$E$47=0,Lookup_Lists!$D$150,ROUND((IF(Brand_Profile!$E$41="",0,IF(ISNUMBER(SEARCH(Brand_Profile!$E$41,Matching_Engine!$BD$19)),1,0))+IF(Brand_Profile!$E$42="",0,IF(ISNUMBER(SEARCH(Brand_Profile!$E$42,Matching_Engine!$BD$19)),1,0))+IF(Brand_Profile!$E$43="",0,IF(ISNUMBER(SEARCH(Brand_Profile!$E$43,Matching_Engine!$BD$19)),1,0))+IF(Brand_Profile!$E$44="",0,IF(ISNUMBER(SEARCH(Brand_Profile!$E$44,Matching_Engine!$BD$19)),1,0))+IF(Brand_Profile!$E$45="",0,IF(ISNUMBER(SEARCH(Brand_Profile!$E$45,Matching_Engine!$BD$19)),1,0))+IF(Brand_Profile!$E$46="",0,IF(ISNUMBER(SEARCH(Brand_Profile!$E$46,Matching_Engine!$BD$19)),1,0)))/Brand_Profile!$E$47*100,0)))</f>
      </c>
      <c r="L19" s="18">
        <f>IF(NOT(AND(ISTEXT(KOL_Source_Data!$U$19),KOL_Source_Data!$U$19&lt;&gt;"N/A")),"N/A",IF(Brand_Profile!$E$53=0,Lookup_Lists!$D$150,ROUND((IF(Brand_Profile!$E$48="",0,IF(ISNUMBER(SEARCH(Brand_Profile!$E$48,Matching_Engine!$BF$19)),1,0))+IF(Brand_Profile!$E$49="",0,IF(ISNUMBER(SEARCH(Brand_Profile!$E$49,Matching_Engine!$BF$19)),1,0))+IF(Brand_Profile!$E$50="",0,IF(ISNUMBER(SEARCH(Brand_Profile!$E$50,Matching_Engine!$BF$19)),1,0))+IF(Brand_Profile!$E$51="",0,IF(ISNUMBER(SEARCH(Brand_Profile!$E$51,Matching_Engine!$BF$19)),1,0))+IF(Brand_Profile!$E$52="",0,IF(ISNUMBER(SEARCH(Brand_Profile!$E$52,Matching_Engine!$BF$19)),1,0)))/Brand_Profile!$E$53*100,0)))</f>
      </c>
      <c r="M19" s="29">
        <f>IF((IF(ISNUMBER(Matching_Engine!$J$19),Lookup_Lists!$D$332,0)+IF(ISNUMBER(Matching_Engine!$K$19),Lookup_Lists!$D$333,0)+IF(ISNUMBER(Matching_Engine!$L$19),Lookup_Lists!$D$334,0))=0,"N/A",ROUND((IF(ISNUMBER(Matching_Engine!$J$19),Matching_Engine!$J$19*Lookup_Lists!$D$332,0)+IF(ISNUMBER(Matching_Engine!$K$19),Matching_Engine!$K$19*Lookup_Lists!$D$333,0)+IF(ISNUMBER(Matching_Engine!$L$19),Matching_Engine!$L$19*Lookup_Lists!$D$334,0))/(IF(ISNUMBER(Matching_Engine!$J$19),Lookup_Lists!$D$332,0)+IF(ISNUMBER(Matching_Engine!$K$19),Lookup_Lists!$D$333,0)+IF(ISNUMBER(Matching_Engine!$L$19),Lookup_Lists!$D$334,0)),0))</f>
      </c>
      <c r="N19" s="11">
        <f>IF(ISNUMBER(Matching_Engine!$M$19),1,0)</f>
      </c>
      <c r="O19" s="18">
        <f>IF(NOT(ISNUMBER(IFERROR(INDEX(KOL_Source_Data!$V$19:KOL_Source_Data!$Z$19,1,MATCH(Brand_Profile!$E$11,Lookup_Lists!$F$6:$F$10,0)),""))),"N/A",MIN(100,ROUND((IFERROR(INDEX(KOL_Source_Data!$V$19:KOL_Source_Data!$Z$19,1,MATCH(Brand_Profile!$E$11,Lookup_Lists!$F$6:$F$10,0)),"")+0.5*IF(ISNUMBER(IFERROR(INDEX(KOL_Source_Data!$V$19:KOL_Source_Data!$Z$19,1,MATCH(Brand_Profile!$E$12,Lookup_Lists!$F$6:$F$10,0)),"")),IFERROR(INDEX(KOL_Source_Data!$V$19:KOL_Source_Data!$Z$19,1,MATCH(Brand_Profile!$E$12,Lookup_Lists!$F$6:$F$10,0)),""),0))/Lookup_Lists!$D$142*100,0)))</f>
      </c>
      <c r="P19" s="18">
        <f>IF(Brand_Profile!$E$13="Any",100,IF(NOT(ISNUMBER(KOL_Source_Data!$AA$19)),"N/A",IF(Brand_Profile!$E$13="Female",MIN(100,ROUND(KOL_Source_Data!$AA$19/Lookup_Lists!$D$143*100,0)),IF(Brand_Profile!$E$13="Male",MIN(100,ROUND(IF(ISNUMBER(KOL_Source_Data!$AB$19),KOL_Source_Data!$AB$19,100-KOL_Source_Data!$AA$19)/Lookup_Lists!$D$143*100,0)),MAX(0,ROUND(100-ABS(KOL_Source_Data!$AA$19-50)*2,0))))))</f>
      </c>
      <c r="Q19" s="18">
        <f>IF((IF(ISNUMBER(IF(NOT(ISNUMBER(KOL_Source_Data!$AE$19)),"N/A",IF(KOL_Source_Data!$AD$19&lt;&gt;Brand_Profile!$E$14,Lookup_Lists!$D$151,MIN(100,ROUND(KOL_Source_Data!$AE$19/Lookup_Lists!$D$316*100,0))))),Lookup_Lists!$D$118,0)+IF(ISNUMBER(IF(NOT(ISNUMBER(KOL_Source_Data!$AM$19)),"N/A",MIN(100,ROUND((IF(KOL_Source_Data!$AG$19=Brand_Profile!$E$15,IF(ISNUMBER(KOL_Source_Data!$AH$19),KOL_Source_Data!$AH$19,0),0)+IF(KOL_Source_Data!$AI$19=Brand_Profile!$E$15,IF(ISNUMBER(KOL_Source_Data!$AJ$19),KOL_Source_Data!$AJ$19,0),0)+IF(KOL_Source_Data!$AK$19=Brand_Profile!$E$15,IF(ISNUMBER(KOL_Source_Data!$AL$19),KOL_Source_Data!$AL$19,0),0))/Lookup_Lists!$D$317*100,0)))),Lookup_Lists!$D$120,0))=0,"N/A",ROUND((IF(ISNUMBER(IF(NOT(ISNUMBER(KOL_Source_Data!$AE$19)),"N/A",IF(KOL_Source_Data!$AD$19&lt;&gt;Brand_Profile!$E$14,Lookup_Lists!$D$151,MIN(100,ROUND(KOL_Source_Data!$AE$19/Lookup_Lists!$D$316*100,0))))),IF(NOT(ISNUMBER(KOL_Source_Data!$AE$19)),"N/A",IF(KOL_Source_Data!$AD$19&lt;&gt;Brand_Profile!$E$14,Lookup_Lists!$D$151,MIN(100,ROUND(KOL_Source_Data!$AE$19/Lookup_Lists!$D$316*100,0))))*Lookup_Lists!$D$118,0)+IF(ISNUMBER(IF(NOT(ISNUMBER(KOL_Source_Data!$AM$19)),"N/A",MIN(100,ROUND((IF(KOL_Source_Data!$AG$19=Brand_Profile!$E$15,IF(ISNUMBER(KOL_Source_Data!$AH$19),KOL_Source_Data!$AH$19,0),0)+IF(KOL_Source_Data!$AI$19=Brand_Profile!$E$15,IF(ISNUMBER(KOL_Source_Data!$AJ$19),KOL_Source_Data!$AJ$19,0),0)+IF(KOL_Source_Data!$AK$19=Brand_Profile!$E$15,IF(ISNUMBER(KOL_Source_Data!$AL$19),KOL_Source_Data!$AL$19,0),0))/Lookup_Lists!$D$317*100,0)))),IF(NOT(ISNUMBER(KOL_Source_Data!$AM$19)),"N/A",MIN(100,ROUND((IF(KOL_Source_Data!$AG$19=Brand_Profile!$E$15,IF(ISNUMBER(KOL_Source_Data!$AH$19),KOL_Source_Data!$AH$19,0),0)+IF(KOL_Source_Data!$AI$19=Brand_Profile!$E$15,IF(ISNUMBER(KOL_Source_Data!$AJ$19),KOL_Source_Data!$AJ$19,0),0)+IF(KOL_Source_Data!$AK$19=Brand_Profile!$E$15,IF(ISNUMBER(KOL_Source_Data!$AL$19),KOL_Source_Data!$AL$19,0),0))/Lookup_Lists!$D$317*100,0)))*Lookup_Lists!$D$120,0))/(IF(ISNUMBER(IF(NOT(ISNUMBER(KOL_Source_Data!$AE$19)),"N/A",IF(KOL_Source_Data!$AD$19&lt;&gt;Brand_Profile!$E$14,Lookup_Lists!$D$151,MIN(100,ROUND(KOL_Source_Data!$AE$19/Lookup_Lists!$D$316*100,0))))),Lookup_Lists!$D$118,0)+IF(ISNUMBER(IF(NOT(ISNUMBER(KOL_Source_Data!$AM$19)),"N/A",MIN(100,ROUND((IF(KOL_Source_Data!$AG$19=Brand_Profile!$E$15,IF(ISNUMBER(KOL_Source_Data!$AH$19),KOL_Source_Data!$AH$19,0),0)+IF(KOL_Source_Data!$AI$19=Brand_Profile!$E$15,IF(ISNUMBER(KOL_Source_Data!$AJ$19),KOL_Source_Data!$AJ$19,0),0)+IF(KOL_Source_Data!$AK$19=Brand_Profile!$E$15,IF(ISNUMBER(KOL_Source_Data!$AL$19),KOL_Source_Data!$AL$19,0),0))/Lookup_Lists!$D$317*100,0)))),Lookup_Lists!$D$120,0)),0))</f>
      </c>
      <c r="R19" s="18">
        <f>IF(NOT(ISNUMBER(KOL_Source_Data!$AN$19)),"N/A",MIN(100,ROUND((IF(ISNUMBER(KOL_Source_Data!$AO$19),KOL_Source_Data!$AO$19*Brand_Profile!$E$17,0)+IF(ISNUMBER(KOL_Source_Data!$AP$19),KOL_Source_Data!$AP$19*Brand_Profile!$E$18,0)+IF(ISNUMBER(KOL_Source_Data!$AQ$19),KOL_Source_Data!$AQ$19*Brand_Profile!$E$19,0)+IF(ISNUMBER(KOL_Source_Data!$AR$19),KOL_Source_Data!$AR$19*Brand_Profile!$E$20,0)+IF(ISNUMBER(KOL_Source_Data!$AS$19),KOL_Source_Data!$AS$19*Brand_Profile!$E$21,0)+IF(ISNUMBER(KOL_Source_Data!$AT$19),KOL_Source_Data!$AT$19*Brand_Profile!$E$22,0)+IF(ISNUMBER(KOL_Source_Data!$AU$19),KOL_Source_Data!$AU$19*Brand_Profile!$E$23,0)+IF(ISNUMBER(KOL_Source_Data!$AV$19),KOL_Source_Data!$AV$19*Brand_Profile!$E$24,0)+IF(ISNUMBER(KOL_Source_Data!$AW$19),KOL_Source_Data!$AW$19*Brand_Profile!$E$25,0)+IF(ISNUMBER(KOL_Source_Data!$AX$19),KOL_Source_Data!$AX$19*Brand_Profile!$E$26,0)+IF(ISNUMBER(KOL_Source_Data!$AY$19),KOL_Source_Data!$AY$19*Brand_Profile!$E$27,0)+IF(ISNUMBER(KOL_Source_Data!$AZ$19),KOL_Source_Data!$AZ$19*Brand_Profile!$E$28,0)+IF(ISNUMBER(KOL_Source_Data!$BA$19),KOL_Source_Data!$BA$19*Brand_Profile!$E$29,0)+IF(ISNUMBER(KOL_Source_Data!$BB$19),KOL_Source_Data!$BB$19*Brand_Profile!$E$30,0)+IF(ISNUMBER(KOL_Source_Data!$BC$19),KOL_Source_Data!$BC$19*Brand_Profile!$E$31,0)+IF(ISNUMBER(KOL_Source_Data!$BD$19),KOL_Source_Data!$BD$19*Brand_Profile!$E$32,0)+IF(ISNUMBER(KOL_Source_Data!$BE$19),KOL_Source_Data!$BE$19*Brand_Profile!$E$33,0)+IF(ISNUMBER(KOL_Source_Data!$BF$19),KOL_Source_Data!$BF$19*Brand_Profile!$E$34,0))/Lookup_Lists!$D$318*100,0)))</f>
      </c>
      <c r="S19" s="29">
        <f>IF((IF(ISNUMBER(Matching_Engine!$O$19),Lookup_Lists!$D$113,0)+IF(ISNUMBER(Matching_Engine!$P$19),Lookup_Lists!$D$114,0)+IF(ISNUMBER(Matching_Engine!$Q$19),Lookup_Lists!$D$115,0)+IF(ISNUMBER(Matching_Engine!$R$19),Lookup_Lists!$D$116,0))=0,"N/A",ROUND((IF(ISNUMBER(Matching_Engine!$O$19),Matching_Engine!$O$19*Lookup_Lists!$D$113,0)+IF(ISNUMBER(Matching_Engine!$P$19),Matching_Engine!$P$19*Lookup_Lists!$D$114,0)+IF(ISNUMBER(Matching_Engine!$Q$19),Matching_Engine!$Q$19*Lookup_Lists!$D$115,0)+IF(ISNUMBER(Matching_Engine!$R$19),Matching_Engine!$R$19*Lookup_Lists!$D$116,0))/(IF(ISNUMBER(Matching_Engine!$O$19),Lookup_Lists!$D$113,0)+IF(ISNUMBER(Matching_Engine!$P$19),Lookup_Lists!$D$114,0)+IF(ISNUMBER(Matching_Engine!$Q$19),Lookup_Lists!$D$115,0)+IF(ISNUMBER(Matching_Engine!$R$19),Lookup_Lists!$D$116,0)),0))</f>
      </c>
      <c r="T19" s="11">
        <f>IF(ISNUMBER(Matching_Engine!$S$19),1,0)</f>
      </c>
      <c r="U19" s="18">
        <f>IF(NOT(AND(ISTEXT(KOL_Source_Data!$M$19),KOL_Source_Data!$M$19&lt;&gt;"N/A")),Lookup_Lists!$D$150,IF(Brand_Profile!$E$7=KOL_Source_Data!$M$19,100,IFERROR(INDEX(Lookup_Lists!$B$349:$J$357,MATCH(Brand_Profile!$E$7,Lookup_Lists!$A$349:$A$357,0),MATCH(KOL_Source_Data!$M$19,Lookup_Lists!$B$348:$J$348,0)),Lookup_Lists!$D$151)))</f>
      </c>
      <c r="V19" s="18">
        <f>IF(NOT(AND(ISTEXT(KOL_Source_Data!$P$19),KOL_Source_Data!$P$19&lt;&gt;"N/A")),"N/A",IFERROR(INDEX(Lookup_Lists!$B$349:$J$357,MATCH(Brand_Profile!$E$7,Lookup_Lists!$A$349:$A$357,0),MATCH(KOL_Source_Data!$P$19,Lookup_Lists!$B$348:$J$348,0)),Lookup_Lists!$D$151))</f>
      </c>
      <c r="W19" s="18">
        <f>IF(LEN(TRIM(SUBSTITUTE(Matching_Engine!$BE$19,"|","")))=0,"N/A",IF(Brand_Profile!$E$60=0,Lookup_Lists!$D$150,ROUND((IF(Brand_Profile!$E$54="",0,IF(ISNUMBER(SEARCH(Brand_Profile!$E$54,Matching_Engine!$BE$19)),1,0))+IF(Brand_Profile!$E$55="",0,IF(ISNUMBER(SEARCH(Brand_Profile!$E$55,Matching_Engine!$BE$19)),1,0))+IF(Brand_Profile!$E$56="",0,IF(ISNUMBER(SEARCH(Brand_Profile!$E$56,Matching_Engine!$BE$19)),1,0))+IF(Brand_Profile!$E$57="",0,IF(ISNUMBER(SEARCH(Brand_Profile!$E$57,Matching_Engine!$BE$19)),1,0))+IF(Brand_Profile!$E$58="",0,IF(ISNUMBER(SEARCH(Brand_Profile!$E$58,Matching_Engine!$BE$19)),1,0))+IF(Brand_Profile!$E$59="",0,IF(ISNUMBER(SEARCH(Brand_Profile!$E$59,Matching_Engine!$BE$19)),1,0)))/Brand_Profile!$E$60*100,0)))</f>
      </c>
      <c r="X19" s="18">
        <f>IF(NOT(AND(ISTEXT(KOL_Source_Data!$Q$19),KOL_Source_Data!$Q$19&lt;&gt;"N/A")),"N/A",Lookup_Lists!$D$150)</f>
      </c>
      <c r="Y19" s="29">
        <f>IF((IF(ISNUMBER(Matching_Engine!$U$19),Lookup_Lists!$D$335,0)+IF(ISNUMBER(Matching_Engine!$V$19),Lookup_Lists!$D$122,0)+IF(ISNUMBER(Matching_Engine!$W$19),Lookup_Lists!$D$336,0)+IF(ISNUMBER(Matching_Engine!$X$19),Lookup_Lists!$D$124,0))=0,"N/A",ROUND((IF(ISNUMBER(Matching_Engine!$U$19),Matching_Engine!$U$19*Lookup_Lists!$D$335,0)+IF(ISNUMBER(Matching_Engine!$V$19),Matching_Engine!$V$19*Lookup_Lists!$D$122,0)+IF(ISNUMBER(Matching_Engine!$W$19),Matching_Engine!$W$19*Lookup_Lists!$D$336,0)+IF(ISNUMBER(Matching_Engine!$X$19),Matching_Engine!$X$19*Lookup_Lists!$D$124,0))/(IF(ISNUMBER(Matching_Engine!$U$19),Lookup_Lists!$D$335,0)+IF(ISNUMBER(Matching_Engine!$V$19),Lookup_Lists!$D$122,0)+IF(ISNUMBER(Matching_Engine!$W$19),Lookup_Lists!$D$336,0)+IF(ISNUMBER(Matching_Engine!$X$19),Lookup_Lists!$D$124,0)),0))</f>
      </c>
      <c r="Z19" s="11">
        <f>IF(ISNUMBER(Matching_Engine!$Y$19),1,0)</f>
      </c>
      <c r="AA19" s="18">
        <f>IF(NOT(AND(ISTEXT(KOL_Source_Data!$Q$19),KOL_Source_Data!$Q$19&lt;&gt;"N/A")),"N/A",Lookup_Lists!$D$150)</f>
      </c>
      <c r="AB19" s="18">
        <f>IF(NOT(AND(ISTEXT(KOL_Source_Data!$Q$19),KOL_Source_Data!$Q$19&lt;&gt;"N/A")),"N/A",Lookup_Lists!$D$150)</f>
      </c>
      <c r="AC19" s="18">
        <f>"N/A"</f>
      </c>
      <c r="AD19" s="18">
        <f>IF(NOT(AND(ISTEXT(KOL_Source_Data!$Q$19),KOL_Source_Data!$Q$19&lt;&gt;"N/A")),"N/A",Lookup_Lists!$D$150)</f>
      </c>
      <c r="AE19" s="29">
        <f>IF((IF(ISNUMBER(Matching_Engine!$AA$19),Lookup_Lists!$D$125,0)+IF(ISNUMBER(Matching_Engine!$AB$19),Lookup_Lists!$D$126,0)+IF(ISNUMBER(Matching_Engine!$AC$19),Lookup_Lists!$D$127,0)+IF(ISNUMBER(Matching_Engine!$AD$19),Lookup_Lists!$D$128,0))=0,"N/A",ROUND((IF(ISNUMBER(Matching_Engine!$AA$19),Matching_Engine!$AA$19*Lookup_Lists!$D$125,0)+IF(ISNUMBER(Matching_Engine!$AB$19),Matching_Engine!$AB$19*Lookup_Lists!$D$126,0)+IF(ISNUMBER(Matching_Engine!$AC$19),Matching_Engine!$AC$19*Lookup_Lists!$D$127,0)+IF(ISNUMBER(Matching_Engine!$AD$19),Matching_Engine!$AD$19*Lookup_Lists!$D$128,0))/(IF(ISNUMBER(Matching_Engine!$AA$19),Lookup_Lists!$D$125,0)+IF(ISNUMBER(Matching_Engine!$AB$19),Lookup_Lists!$D$126,0)+IF(ISNUMBER(Matching_Engine!$AC$19),Lookup_Lists!$D$127,0)+IF(ISNUMBER(Matching_Engine!$AD$19),Lookup_Lists!$D$128,0)),0))</f>
      </c>
      <c r="AF19" s="11">
        <f>IF(ISNUMBER(Matching_Engine!$AE$19),1,0)</f>
      </c>
      <c r="AG19" s="18">
        <f>IF(NOT(ISNUMBER(KOL_Source_Data!$BG$19)),"N/A",MIN(100,ROUND(KOL_Source_Data!$BG$19/IFERROR(INDEX(Lookup_Lists!$B$340:$B$344,MATCH(KOL_Source_Data!$H$19,Lookup_Lists!$A$340:$A$344,0)),Lookup_Lists!$D$141)*100,0)))</f>
      </c>
      <c r="AH19" s="18">
        <f>IF(NOT(ISNUMBER(KOL_Source_Data!$BS$19)),"N/A",MIN(100,MAX(0,KOL_Source_Data!$BS$19)))</f>
      </c>
      <c r="AI19" s="18">
        <f>IF(OR(NOT(ISNUMBER(KOL_Source_Data!$BM$19)),NOT(ISNUMBER(KOL_Source_Data!$BN$19)),KOL_Source_Data!$BN$19&lt;Lookup_Lists!$D$320),"N/A",MIN(100,ROUND(KOL_Source_Data!$BM$19/Lookup_Lists!$D$319*100,0)))</f>
      </c>
      <c r="AJ19" s="18">
        <f>IF(NOT(ISNUMBER(KOL_Source_Data!$BR$19)),"N/A",KOL_Source_Data!$BR$19)</f>
      </c>
      <c r="AK19" s="18">
        <f>IF(NOT(ISNUMBER(KOL_Source_Data!$BK$19)),"N/A",MIN(100,ROUND(KOL_Source_Data!$BK$19/Lookup_Lists!$D$321*100,0)))</f>
      </c>
      <c r="AL19" s="18">
        <f>IF(NOT(ISNUMBER(KOL_Source_Data!$BP$19)),"N/A",MIN(100,MAX(0,ROUND((KOL_Source_Data!$BP$19+2)/(Lookup_Lists!$D$145+2)*100,0))))</f>
      </c>
      <c r="AM19" s="29">
        <f>IF((IF(ISNUMBER(Matching_Engine!$AG$19),Lookup_Lists!$D$129,0)+IF(ISNUMBER(Matching_Engine!$AH$19),Lookup_Lists!$D$130,0)+IF(ISNUMBER(Matching_Engine!$AI$19),Lookup_Lists!$D$131,0)+IF(ISNUMBER(Matching_Engine!$AJ$19),Lookup_Lists!$D$132,0)+IF(ISNUMBER(Matching_Engine!$AK$19),Lookup_Lists!$D$133,0)+IF(ISNUMBER(Matching_Engine!$AL$19),Lookup_Lists!$D$134,0))=0,"N/A",ROUND((IF(ISNUMBER(Matching_Engine!$AG$19),Matching_Engine!$AG$19*Lookup_Lists!$D$129,0)+IF(ISNUMBER(Matching_Engine!$AH$19),Matching_Engine!$AH$19*Lookup_Lists!$D$130,0)+IF(ISNUMBER(Matching_Engine!$AI$19),Matching_Engine!$AI$19*Lookup_Lists!$D$131,0)+IF(ISNUMBER(Matching_Engine!$AJ$19),Matching_Engine!$AJ$19*Lookup_Lists!$D$132,0)+IF(ISNUMBER(Matching_Engine!$AK$19),Matching_Engine!$AK$19*Lookup_Lists!$D$133,0)+IF(ISNUMBER(Matching_Engine!$AL$19),Matching_Engine!$AL$19*Lookup_Lists!$D$134,0))/(IF(ISNUMBER(Matching_Engine!$AG$19),Lookup_Lists!$D$129,0)+IF(ISNUMBER(Matching_Engine!$AH$19),Lookup_Lists!$D$130,0)+IF(ISNUMBER(Matching_Engine!$AI$19),Lookup_Lists!$D$131,0)+IF(ISNUMBER(Matching_Engine!$AJ$19),Lookup_Lists!$D$132,0)+IF(ISNUMBER(Matching_Engine!$AK$19),Lookup_Lists!$D$133,0)+IF(ISNUMBER(Matching_Engine!$AL$19),Lookup_Lists!$D$134,0)),0))</f>
      </c>
      <c r="AN19" s="11">
        <f>IF(ISNUMBER(Matching_Engine!$AM$19),1,0)</f>
      </c>
      <c r="AO19" s="18">
        <f>IF(NOT(ISNUMBER(KOL_Source_Data!$BT$19)),"N/A",MIN(100,MAX(0,KOL_Source_Data!$BT$19)))</f>
      </c>
      <c r="AP19" s="18">
        <f>IF(NOT(ISNUMBER(KOL_Source_Data!$BU$19)),"N/A",MIN(100,MAX(0,KOL_Source_Data!$BU$19)))</f>
      </c>
      <c r="AQ19" s="18">
        <f>IF(KOL_Source_Data!$I$19="Yes",Lookup_Lists!$D$326,IF(KOL_Source_Data!$I$19="No",Lookup_Lists!$D$327,"N/A"))</f>
      </c>
      <c r="AR19" s="18">
        <f>IF(NOT(ISNUMBER(KOL_Source_Data!$BQ$19)),"N/A",MAX(0,ROUND(100-KOL_Source_Data!$BQ$19/Lookup_Lists!$D$328*100,0)))</f>
      </c>
      <c r="AS19" s="18">
        <f>IF(NOT(AND(ISTEXT(KOL_Source_Data!$BV$19),KOL_Source_Data!$BV$19&lt;&gt;"N/A")),"N/A",KOL_Source_Data!$BV$19)</f>
      </c>
      <c r="AT19" s="29">
        <f>IF((IF(ISNUMBER(Matching_Engine!$AO$19),Lookup_Lists!$D$322,0)+IF(ISNUMBER(Matching_Engine!$AP$19),Lookup_Lists!$D$323,0)+IF(ISNUMBER(Matching_Engine!$AQ$19),Lookup_Lists!$D$324,0)+IF(ISNUMBER(Matching_Engine!$AR$19),Lookup_Lists!$D$325,0))=0,"N/A",ROUND((IF(ISNUMBER(Matching_Engine!$AO$19),Matching_Engine!$AO$19*Lookup_Lists!$D$322,0)+IF(ISNUMBER(Matching_Engine!$AP$19),Matching_Engine!$AP$19*Lookup_Lists!$D$323,0)+IF(ISNUMBER(Matching_Engine!$AQ$19),Matching_Engine!$AQ$19*Lookup_Lists!$D$324,0)+IF(ISNUMBER(Matching_Engine!$AR$19),Matching_Engine!$AR$19*Lookup_Lists!$D$325,0))/(IF(ISNUMBER(Matching_Engine!$AO$19),Lookup_Lists!$D$322,0)+IF(ISNUMBER(Matching_Engine!$AP$19),Lookup_Lists!$D$323,0)+IF(ISNUMBER(Matching_Engine!$AQ$19),Lookup_Lists!$D$324,0)+IF(ISNUMBER(Matching_Engine!$AR$19),Lookup_Lists!$D$325,0)),0))</f>
      </c>
      <c r="AU19" s="11">
        <f>IF(ISNUMBER(Matching_Engine!$AT$19),1,0)</f>
      </c>
      <c r="AV19" s="11">
        <f>IF(NOT(ISNUMBER(Matching_Engine!$AT$19)),"Not Screened",IF(Matching_Engine!$AT$19&gt;=Lookup_Lists!$D$329,"Low Risk",IF(Matching_Engine!$AT$19&gt;=Lookup_Lists!$D$330,"Moderate Risk",IF(Matching_Engine!$AT$19&gt;=Lookup_Lists!$D$331,"Elevated Risk","High Risk"))))</f>
      </c>
      <c r="AW19" s="11">
        <f>IF(NOT(ISNUMBER(Matching_Engine!$AT$19)),"No integrity signal: no audience-analysis row for this account.","Integrity screen only — no content-risk reading exists (comments_analysis: 0 rows). "&amp;IF(ISNUMBER(Matching_Engine!$AO$19),"Authenticity "&amp;Matching_Engine!$AO$19&amp;". ","Authenticity N/A. ")&amp;IF(ISNUMBER(Matching_Engine!$AP$19),"Follower quality "&amp;Matching_Engine!$AP$19&amp;". ","Follower quality N/A. ")&amp;IF(KOL_Source_Data!$I$19="Yes","Platform-verified.","Not platform-verified."))</f>
      </c>
      <c r="AX19" s="18">
        <f>Matching_Engine!$N$19*Lookup_Lists!$D$104+Matching_Engine!$T$19*Lookup_Lists!$D$105+Matching_Engine!$Z$19*Lookup_Lists!$D$106+Matching_Engine!$AF$19*Lookup_Lists!$D$107+Matching_Engine!$AN$19*Lookup_Lists!$D$108+Matching_Engine!$AU$19*Lookup_Lists!$D$109</f>
      </c>
      <c r="AY19" s="30">
        <f>IF(Matching_Engine!$AX$19=0,"N/A",ROUND((IF(Matching_Engine!$N$19=1,Matching_Engine!$M$19*Lookup_Lists!$D$104,0)+IF(Matching_Engine!$T$19=1,Matching_Engine!$S$19*Lookup_Lists!$D$105,0)+IF(Matching_Engine!$Z$19=1,Matching_Engine!$Y$19*Lookup_Lists!$D$106,0)+IF(Matching_Engine!$AF$19=1,Matching_Engine!$AE$19*Lookup_Lists!$D$107,0)+IF(Matching_Engine!$AN$19=1,Matching_Engine!$AM$19*Lookup_Lists!$D$108,0)+IF(Matching_Engine!$AU$19=1,Matching_Engine!$AT$19*Lookup_Lists!$D$109,0))/Matching_Engine!$AX$19,0))</f>
      </c>
      <c r="AZ19" s="11">
        <f>IF(NOT(ISNUMBER(Matching_Engine!$AY$19)),"Not Scored",IF(Matching_Engine!$AY$19&gt;=Lookup_Lists!$D$152,"Excellent Match",IF(Matching_Engine!$AY$19&gt;=Lookup_Lists!$D$153,"Strong Match",IF(Matching_Engine!$AY$19&gt;=Lookup_Lists!$D$154,"Good Match",IF(Matching_Engine!$AY$19&gt;=Lookup_Lists!$D$155,"Moderate Match","Low Match")))))</f>
      </c>
      <c r="BA19" s="18">
        <f>KOL_Source_Data!$BW$19</f>
      </c>
      <c r="BB19" s="11">
        <f>KOL_Source_Data!$BX$19</f>
      </c>
      <c r="BC19" s="18">
        <f>IF(NOT(ISNUMBER(Matching_Engine!$AY$19)),-1,Matching_Engine!$AY$19*1000+11)</f>
      </c>
      <c r="BD19" s="11">
        <f>IF(AND(ISTEXT(KOL_Source_Data!$S$19),KOL_Source_Data!$S$19&lt;&gt;"N/A"),KOL_Source_Data!$S$19,"")&amp;" | "&amp;IF(AND(ISTEXT(KOL_Source_Data!$T$19),KOL_Source_Data!$T$19&lt;&gt;"N/A"),KOL_Source_Data!$T$19,"")&amp;" | "&amp;IF(AND(ISTEXT(KOL_Source_Data!$N$19),KOL_Source_Data!$N$19&lt;&gt;"N/A"),KOL_Source_Data!$N$19,"")&amp;" | "&amp;IF(AND(ISTEXT(KOL_Source_Data!$K$19),KOL_Source_Data!$K$19&lt;&gt;"N/A"),KOL_Source_Data!$K$19,"")&amp;" | "&amp;IF(AND(ISTEXT(KOL_Source_Data!$J$19),KOL_Source_Data!$J$19&lt;&gt;"N/A"),KOL_Source_Data!$J$19,"")</f>
      </c>
      <c r="BE19" s="11">
        <f>IF(AND(ISTEXT(KOL_Source_Data!$T$19),KOL_Source_Data!$T$19&lt;&gt;"N/A"),KOL_Source_Data!$T$19,"")&amp;" | "&amp;IF(AND(ISTEXT(KOL_Source_Data!$N$19),KOL_Source_Data!$N$19&lt;&gt;"N/A"),KOL_Source_Data!$N$19,"")&amp;" | "&amp;IF(AND(ISTEXT(KOL_Source_Data!$O$19),KOL_Source_Data!$O$19&lt;&gt;"N/A"),KOL_Source_Data!$O$19,"")&amp;" | "&amp;IF(AND(ISTEXT(KOL_Source_Data!$S$19),KOL_Source_Data!$S$19&lt;&gt;"N/A"),KOL_Source_Data!$S$19,"")</f>
      </c>
      <c r="BF19" s="11">
        <f>IF(AND(ISTEXT(KOL_Source_Data!$U$19),KOL_Source_Data!$U$19&lt;&gt;"N/A"),KOL_Source_Data!$U$19,"")</f>
      </c>
      <c r="BG19" s="11">
        <f>Matching_Engine!$A$19&amp;"|"&amp;Matching_Engine!$C$19</f>
      </c>
    </row>
    <row r="20" spans="1:59" x14ac:dyDescent="0.25">
      <c r="A20" s="10" t="s">
        <v>390</v>
      </c>
      <c r="B20" s="11">
        <f>Brand_Profile!$E$6</f>
      </c>
      <c r="C20" s="11">
        <f>KOL_Source_Data!$A$20</f>
      </c>
      <c r="D20" s="11">
        <f>KOL_Source_Data!$C$20</f>
      </c>
      <c r="E20" s="11">
        <f>KOL_Source_Data!$D$20</f>
      </c>
      <c r="F20" s="11">
        <f>KOL_Source_Data!$E$20</f>
      </c>
      <c r="G20" s="11">
        <f>KOL_Source_Data!$K$20</f>
      </c>
      <c r="H20" s="12">
        <f>KOL_Source_Data!$G$20</f>
      </c>
      <c r="I20" s="14">
        <f>KOL_Source_Data!$BG$20</f>
      </c>
      <c r="J20" s="18">
        <f>IF(NOT(AND(ISTEXT(KOL_Source_Data!$K$20),KOL_Source_Data!$K$20&lt;&gt;"N/A")),Lookup_Lists!$D$150,IF(Brand_Profile!$E$7=KOL_Source_Data!$K$20,100,IFERROR(INDEX(Lookup_Lists!$B$349:$J$357,MATCH(Brand_Profile!$E$7,Lookup_Lists!$A$349:$A$357,0),MATCH(KOL_Source_Data!$K$20,Lookup_Lists!$B$348:$J$348,0)),Lookup_Lists!$D$151)))</f>
      </c>
      <c r="K20" s="18">
        <f>IF(LEN(TRIM(SUBSTITUTE(Matching_Engine!$BD$20,"|","")))=0,"N/A",IF(Brand_Profile!$E$47=0,Lookup_Lists!$D$150,ROUND((IF(Brand_Profile!$E$41="",0,IF(ISNUMBER(SEARCH(Brand_Profile!$E$41,Matching_Engine!$BD$20)),1,0))+IF(Brand_Profile!$E$42="",0,IF(ISNUMBER(SEARCH(Brand_Profile!$E$42,Matching_Engine!$BD$20)),1,0))+IF(Brand_Profile!$E$43="",0,IF(ISNUMBER(SEARCH(Brand_Profile!$E$43,Matching_Engine!$BD$20)),1,0))+IF(Brand_Profile!$E$44="",0,IF(ISNUMBER(SEARCH(Brand_Profile!$E$44,Matching_Engine!$BD$20)),1,0))+IF(Brand_Profile!$E$45="",0,IF(ISNUMBER(SEARCH(Brand_Profile!$E$45,Matching_Engine!$BD$20)),1,0))+IF(Brand_Profile!$E$46="",0,IF(ISNUMBER(SEARCH(Brand_Profile!$E$46,Matching_Engine!$BD$20)),1,0)))/Brand_Profile!$E$47*100,0)))</f>
      </c>
      <c r="L20" s="18">
        <f>IF(NOT(AND(ISTEXT(KOL_Source_Data!$U$20),KOL_Source_Data!$U$20&lt;&gt;"N/A")),"N/A",IF(Brand_Profile!$E$53=0,Lookup_Lists!$D$150,ROUND((IF(Brand_Profile!$E$48="",0,IF(ISNUMBER(SEARCH(Brand_Profile!$E$48,Matching_Engine!$BF$20)),1,0))+IF(Brand_Profile!$E$49="",0,IF(ISNUMBER(SEARCH(Brand_Profile!$E$49,Matching_Engine!$BF$20)),1,0))+IF(Brand_Profile!$E$50="",0,IF(ISNUMBER(SEARCH(Brand_Profile!$E$50,Matching_Engine!$BF$20)),1,0))+IF(Brand_Profile!$E$51="",0,IF(ISNUMBER(SEARCH(Brand_Profile!$E$51,Matching_Engine!$BF$20)),1,0))+IF(Brand_Profile!$E$52="",0,IF(ISNUMBER(SEARCH(Brand_Profile!$E$52,Matching_Engine!$BF$20)),1,0)))/Brand_Profile!$E$53*100,0)))</f>
      </c>
      <c r="M20" s="29">
        <f>IF((IF(ISNUMBER(Matching_Engine!$J$20),Lookup_Lists!$D$332,0)+IF(ISNUMBER(Matching_Engine!$K$20),Lookup_Lists!$D$333,0)+IF(ISNUMBER(Matching_Engine!$L$20),Lookup_Lists!$D$334,0))=0,"N/A",ROUND((IF(ISNUMBER(Matching_Engine!$J$20),Matching_Engine!$J$20*Lookup_Lists!$D$332,0)+IF(ISNUMBER(Matching_Engine!$K$20),Matching_Engine!$K$20*Lookup_Lists!$D$333,0)+IF(ISNUMBER(Matching_Engine!$L$20),Matching_Engine!$L$20*Lookup_Lists!$D$334,0))/(IF(ISNUMBER(Matching_Engine!$J$20),Lookup_Lists!$D$332,0)+IF(ISNUMBER(Matching_Engine!$K$20),Lookup_Lists!$D$333,0)+IF(ISNUMBER(Matching_Engine!$L$20),Lookup_Lists!$D$334,0)),0))</f>
      </c>
      <c r="N20" s="11">
        <f>IF(ISNUMBER(Matching_Engine!$M$20),1,0)</f>
      </c>
      <c r="O20" s="18">
        <f>IF(NOT(ISNUMBER(IFERROR(INDEX(KOL_Source_Data!$V$20:KOL_Source_Data!$Z$20,1,MATCH(Brand_Profile!$E$11,Lookup_Lists!$F$6:$F$10,0)),""))),"N/A",MIN(100,ROUND((IFERROR(INDEX(KOL_Source_Data!$V$20:KOL_Source_Data!$Z$20,1,MATCH(Brand_Profile!$E$11,Lookup_Lists!$F$6:$F$10,0)),"")+0.5*IF(ISNUMBER(IFERROR(INDEX(KOL_Source_Data!$V$20:KOL_Source_Data!$Z$20,1,MATCH(Brand_Profile!$E$12,Lookup_Lists!$F$6:$F$10,0)),"")),IFERROR(INDEX(KOL_Source_Data!$V$20:KOL_Source_Data!$Z$20,1,MATCH(Brand_Profile!$E$12,Lookup_Lists!$F$6:$F$10,0)),""),0))/Lookup_Lists!$D$142*100,0)))</f>
      </c>
      <c r="P20" s="18">
        <f>IF(Brand_Profile!$E$13="Any",100,IF(NOT(ISNUMBER(KOL_Source_Data!$AA$20)),"N/A",IF(Brand_Profile!$E$13="Female",MIN(100,ROUND(KOL_Source_Data!$AA$20/Lookup_Lists!$D$143*100,0)),IF(Brand_Profile!$E$13="Male",MIN(100,ROUND(IF(ISNUMBER(KOL_Source_Data!$AB$20),KOL_Source_Data!$AB$20,100-KOL_Source_Data!$AA$20)/Lookup_Lists!$D$143*100,0)),MAX(0,ROUND(100-ABS(KOL_Source_Data!$AA$20-50)*2,0))))))</f>
      </c>
      <c r="Q20" s="18">
        <f>IF((IF(ISNUMBER(IF(NOT(ISNUMBER(KOL_Source_Data!$AE$20)),"N/A",IF(KOL_Source_Data!$AD$20&lt;&gt;Brand_Profile!$E$14,Lookup_Lists!$D$151,MIN(100,ROUND(KOL_Source_Data!$AE$20/Lookup_Lists!$D$316*100,0))))),Lookup_Lists!$D$118,0)+IF(ISNUMBER(IF(NOT(ISNUMBER(KOL_Source_Data!$AM$20)),"N/A",MIN(100,ROUND((IF(KOL_Source_Data!$AG$20=Brand_Profile!$E$15,IF(ISNUMBER(KOL_Source_Data!$AH$20),KOL_Source_Data!$AH$20,0),0)+IF(KOL_Source_Data!$AI$20=Brand_Profile!$E$15,IF(ISNUMBER(KOL_Source_Data!$AJ$20),KOL_Source_Data!$AJ$20,0),0)+IF(KOL_Source_Data!$AK$20=Brand_Profile!$E$15,IF(ISNUMBER(KOL_Source_Data!$AL$20),KOL_Source_Data!$AL$20,0),0))/Lookup_Lists!$D$317*100,0)))),Lookup_Lists!$D$120,0))=0,"N/A",ROUND((IF(ISNUMBER(IF(NOT(ISNUMBER(KOL_Source_Data!$AE$20)),"N/A",IF(KOL_Source_Data!$AD$20&lt;&gt;Brand_Profile!$E$14,Lookup_Lists!$D$151,MIN(100,ROUND(KOL_Source_Data!$AE$20/Lookup_Lists!$D$316*100,0))))),IF(NOT(ISNUMBER(KOL_Source_Data!$AE$20)),"N/A",IF(KOL_Source_Data!$AD$20&lt;&gt;Brand_Profile!$E$14,Lookup_Lists!$D$151,MIN(100,ROUND(KOL_Source_Data!$AE$20/Lookup_Lists!$D$316*100,0))))*Lookup_Lists!$D$118,0)+IF(ISNUMBER(IF(NOT(ISNUMBER(KOL_Source_Data!$AM$20)),"N/A",MIN(100,ROUND((IF(KOL_Source_Data!$AG$20=Brand_Profile!$E$15,IF(ISNUMBER(KOL_Source_Data!$AH$20),KOL_Source_Data!$AH$20,0),0)+IF(KOL_Source_Data!$AI$20=Brand_Profile!$E$15,IF(ISNUMBER(KOL_Source_Data!$AJ$20),KOL_Source_Data!$AJ$20,0),0)+IF(KOL_Source_Data!$AK$20=Brand_Profile!$E$15,IF(ISNUMBER(KOL_Source_Data!$AL$20),KOL_Source_Data!$AL$20,0),0))/Lookup_Lists!$D$317*100,0)))),IF(NOT(ISNUMBER(KOL_Source_Data!$AM$20)),"N/A",MIN(100,ROUND((IF(KOL_Source_Data!$AG$20=Brand_Profile!$E$15,IF(ISNUMBER(KOL_Source_Data!$AH$20),KOL_Source_Data!$AH$20,0),0)+IF(KOL_Source_Data!$AI$20=Brand_Profile!$E$15,IF(ISNUMBER(KOL_Source_Data!$AJ$20),KOL_Source_Data!$AJ$20,0),0)+IF(KOL_Source_Data!$AK$20=Brand_Profile!$E$15,IF(ISNUMBER(KOL_Source_Data!$AL$20),KOL_Source_Data!$AL$20,0),0))/Lookup_Lists!$D$317*100,0)))*Lookup_Lists!$D$120,0))/(IF(ISNUMBER(IF(NOT(ISNUMBER(KOL_Source_Data!$AE$20)),"N/A",IF(KOL_Source_Data!$AD$20&lt;&gt;Brand_Profile!$E$14,Lookup_Lists!$D$151,MIN(100,ROUND(KOL_Source_Data!$AE$20/Lookup_Lists!$D$316*100,0))))),Lookup_Lists!$D$118,0)+IF(ISNUMBER(IF(NOT(ISNUMBER(KOL_Source_Data!$AM$20)),"N/A",MIN(100,ROUND((IF(KOL_Source_Data!$AG$20=Brand_Profile!$E$15,IF(ISNUMBER(KOL_Source_Data!$AH$20),KOL_Source_Data!$AH$20,0),0)+IF(KOL_Source_Data!$AI$20=Brand_Profile!$E$15,IF(ISNUMBER(KOL_Source_Data!$AJ$20),KOL_Source_Data!$AJ$20,0),0)+IF(KOL_Source_Data!$AK$20=Brand_Profile!$E$15,IF(ISNUMBER(KOL_Source_Data!$AL$20),KOL_Source_Data!$AL$20,0),0))/Lookup_Lists!$D$317*100,0)))),Lookup_Lists!$D$120,0)),0))</f>
      </c>
      <c r="R20" s="18">
        <f>IF(NOT(ISNUMBER(KOL_Source_Data!$AN$20)),"N/A",MIN(100,ROUND((IF(ISNUMBER(KOL_Source_Data!$AO$20),KOL_Source_Data!$AO$20*Brand_Profile!$E$17,0)+IF(ISNUMBER(KOL_Source_Data!$AP$20),KOL_Source_Data!$AP$20*Brand_Profile!$E$18,0)+IF(ISNUMBER(KOL_Source_Data!$AQ$20),KOL_Source_Data!$AQ$20*Brand_Profile!$E$19,0)+IF(ISNUMBER(KOL_Source_Data!$AR$20),KOL_Source_Data!$AR$20*Brand_Profile!$E$20,0)+IF(ISNUMBER(KOL_Source_Data!$AS$20),KOL_Source_Data!$AS$20*Brand_Profile!$E$21,0)+IF(ISNUMBER(KOL_Source_Data!$AT$20),KOL_Source_Data!$AT$20*Brand_Profile!$E$22,0)+IF(ISNUMBER(KOL_Source_Data!$AU$20),KOL_Source_Data!$AU$20*Brand_Profile!$E$23,0)+IF(ISNUMBER(KOL_Source_Data!$AV$20),KOL_Source_Data!$AV$20*Brand_Profile!$E$24,0)+IF(ISNUMBER(KOL_Source_Data!$AW$20),KOL_Source_Data!$AW$20*Brand_Profile!$E$25,0)+IF(ISNUMBER(KOL_Source_Data!$AX$20),KOL_Source_Data!$AX$20*Brand_Profile!$E$26,0)+IF(ISNUMBER(KOL_Source_Data!$AY$20),KOL_Source_Data!$AY$20*Brand_Profile!$E$27,0)+IF(ISNUMBER(KOL_Source_Data!$AZ$20),KOL_Source_Data!$AZ$20*Brand_Profile!$E$28,0)+IF(ISNUMBER(KOL_Source_Data!$BA$20),KOL_Source_Data!$BA$20*Brand_Profile!$E$29,0)+IF(ISNUMBER(KOL_Source_Data!$BB$20),KOL_Source_Data!$BB$20*Brand_Profile!$E$30,0)+IF(ISNUMBER(KOL_Source_Data!$BC$20),KOL_Source_Data!$BC$20*Brand_Profile!$E$31,0)+IF(ISNUMBER(KOL_Source_Data!$BD$20),KOL_Source_Data!$BD$20*Brand_Profile!$E$32,0)+IF(ISNUMBER(KOL_Source_Data!$BE$20),KOL_Source_Data!$BE$20*Brand_Profile!$E$33,0)+IF(ISNUMBER(KOL_Source_Data!$BF$20),KOL_Source_Data!$BF$20*Brand_Profile!$E$34,0))/Lookup_Lists!$D$318*100,0)))</f>
      </c>
      <c r="S20" s="29">
        <f>IF((IF(ISNUMBER(Matching_Engine!$O$20),Lookup_Lists!$D$113,0)+IF(ISNUMBER(Matching_Engine!$P$20),Lookup_Lists!$D$114,0)+IF(ISNUMBER(Matching_Engine!$Q$20),Lookup_Lists!$D$115,0)+IF(ISNUMBER(Matching_Engine!$R$20),Lookup_Lists!$D$116,0))=0,"N/A",ROUND((IF(ISNUMBER(Matching_Engine!$O$20),Matching_Engine!$O$20*Lookup_Lists!$D$113,0)+IF(ISNUMBER(Matching_Engine!$P$20),Matching_Engine!$P$20*Lookup_Lists!$D$114,0)+IF(ISNUMBER(Matching_Engine!$Q$20),Matching_Engine!$Q$20*Lookup_Lists!$D$115,0)+IF(ISNUMBER(Matching_Engine!$R$20),Matching_Engine!$R$20*Lookup_Lists!$D$116,0))/(IF(ISNUMBER(Matching_Engine!$O$20),Lookup_Lists!$D$113,0)+IF(ISNUMBER(Matching_Engine!$P$20),Lookup_Lists!$D$114,0)+IF(ISNUMBER(Matching_Engine!$Q$20),Lookup_Lists!$D$115,0)+IF(ISNUMBER(Matching_Engine!$R$20),Lookup_Lists!$D$116,0)),0))</f>
      </c>
      <c r="T20" s="11">
        <f>IF(ISNUMBER(Matching_Engine!$S$20),1,0)</f>
      </c>
      <c r="U20" s="18">
        <f>IF(NOT(AND(ISTEXT(KOL_Source_Data!$M$20),KOL_Source_Data!$M$20&lt;&gt;"N/A")),Lookup_Lists!$D$150,IF(Brand_Profile!$E$7=KOL_Source_Data!$M$20,100,IFERROR(INDEX(Lookup_Lists!$B$349:$J$357,MATCH(Brand_Profile!$E$7,Lookup_Lists!$A$349:$A$357,0),MATCH(KOL_Source_Data!$M$20,Lookup_Lists!$B$348:$J$348,0)),Lookup_Lists!$D$151)))</f>
      </c>
      <c r="V20" s="18">
        <f>IF(NOT(AND(ISTEXT(KOL_Source_Data!$P$20),KOL_Source_Data!$P$20&lt;&gt;"N/A")),"N/A",IFERROR(INDEX(Lookup_Lists!$B$349:$J$357,MATCH(Brand_Profile!$E$7,Lookup_Lists!$A$349:$A$357,0),MATCH(KOL_Source_Data!$P$20,Lookup_Lists!$B$348:$J$348,0)),Lookup_Lists!$D$151))</f>
      </c>
      <c r="W20" s="18">
        <f>IF(LEN(TRIM(SUBSTITUTE(Matching_Engine!$BE$20,"|","")))=0,"N/A",IF(Brand_Profile!$E$60=0,Lookup_Lists!$D$150,ROUND((IF(Brand_Profile!$E$54="",0,IF(ISNUMBER(SEARCH(Brand_Profile!$E$54,Matching_Engine!$BE$20)),1,0))+IF(Brand_Profile!$E$55="",0,IF(ISNUMBER(SEARCH(Brand_Profile!$E$55,Matching_Engine!$BE$20)),1,0))+IF(Brand_Profile!$E$56="",0,IF(ISNUMBER(SEARCH(Brand_Profile!$E$56,Matching_Engine!$BE$20)),1,0))+IF(Brand_Profile!$E$57="",0,IF(ISNUMBER(SEARCH(Brand_Profile!$E$57,Matching_Engine!$BE$20)),1,0))+IF(Brand_Profile!$E$58="",0,IF(ISNUMBER(SEARCH(Brand_Profile!$E$58,Matching_Engine!$BE$20)),1,0))+IF(Brand_Profile!$E$59="",0,IF(ISNUMBER(SEARCH(Brand_Profile!$E$59,Matching_Engine!$BE$20)),1,0)))/Brand_Profile!$E$60*100,0)))</f>
      </c>
      <c r="X20" s="18">
        <f>IF(NOT(AND(ISTEXT(KOL_Source_Data!$Q$20),KOL_Source_Data!$Q$20&lt;&gt;"N/A")),"N/A",Lookup_Lists!$D$150)</f>
      </c>
      <c r="Y20" s="29">
        <f>IF((IF(ISNUMBER(Matching_Engine!$U$20),Lookup_Lists!$D$335,0)+IF(ISNUMBER(Matching_Engine!$V$20),Lookup_Lists!$D$122,0)+IF(ISNUMBER(Matching_Engine!$W$20),Lookup_Lists!$D$336,0)+IF(ISNUMBER(Matching_Engine!$X$20),Lookup_Lists!$D$124,0))=0,"N/A",ROUND((IF(ISNUMBER(Matching_Engine!$U$20),Matching_Engine!$U$20*Lookup_Lists!$D$335,0)+IF(ISNUMBER(Matching_Engine!$V$20),Matching_Engine!$V$20*Lookup_Lists!$D$122,0)+IF(ISNUMBER(Matching_Engine!$W$20),Matching_Engine!$W$20*Lookup_Lists!$D$336,0)+IF(ISNUMBER(Matching_Engine!$X$20),Matching_Engine!$X$20*Lookup_Lists!$D$124,0))/(IF(ISNUMBER(Matching_Engine!$U$20),Lookup_Lists!$D$335,0)+IF(ISNUMBER(Matching_Engine!$V$20),Lookup_Lists!$D$122,0)+IF(ISNUMBER(Matching_Engine!$W$20),Lookup_Lists!$D$336,0)+IF(ISNUMBER(Matching_Engine!$X$20),Lookup_Lists!$D$124,0)),0))</f>
      </c>
      <c r="Z20" s="11">
        <f>IF(ISNUMBER(Matching_Engine!$Y$20),1,0)</f>
      </c>
      <c r="AA20" s="18">
        <f>IF(NOT(AND(ISTEXT(KOL_Source_Data!$Q$20),KOL_Source_Data!$Q$20&lt;&gt;"N/A")),"N/A",Lookup_Lists!$D$150)</f>
      </c>
      <c r="AB20" s="18">
        <f>IF(NOT(AND(ISTEXT(KOL_Source_Data!$Q$20),KOL_Source_Data!$Q$20&lt;&gt;"N/A")),"N/A",Lookup_Lists!$D$150)</f>
      </c>
      <c r="AC20" s="18">
        <f>"N/A"</f>
      </c>
      <c r="AD20" s="18">
        <f>IF(NOT(AND(ISTEXT(KOL_Source_Data!$Q$20),KOL_Source_Data!$Q$20&lt;&gt;"N/A")),"N/A",Lookup_Lists!$D$150)</f>
      </c>
      <c r="AE20" s="29">
        <f>IF((IF(ISNUMBER(Matching_Engine!$AA$20),Lookup_Lists!$D$125,0)+IF(ISNUMBER(Matching_Engine!$AB$20),Lookup_Lists!$D$126,0)+IF(ISNUMBER(Matching_Engine!$AC$20),Lookup_Lists!$D$127,0)+IF(ISNUMBER(Matching_Engine!$AD$20),Lookup_Lists!$D$128,0))=0,"N/A",ROUND((IF(ISNUMBER(Matching_Engine!$AA$20),Matching_Engine!$AA$20*Lookup_Lists!$D$125,0)+IF(ISNUMBER(Matching_Engine!$AB$20),Matching_Engine!$AB$20*Lookup_Lists!$D$126,0)+IF(ISNUMBER(Matching_Engine!$AC$20),Matching_Engine!$AC$20*Lookup_Lists!$D$127,0)+IF(ISNUMBER(Matching_Engine!$AD$20),Matching_Engine!$AD$20*Lookup_Lists!$D$128,0))/(IF(ISNUMBER(Matching_Engine!$AA$20),Lookup_Lists!$D$125,0)+IF(ISNUMBER(Matching_Engine!$AB$20),Lookup_Lists!$D$126,0)+IF(ISNUMBER(Matching_Engine!$AC$20),Lookup_Lists!$D$127,0)+IF(ISNUMBER(Matching_Engine!$AD$20),Lookup_Lists!$D$128,0)),0))</f>
      </c>
      <c r="AF20" s="11">
        <f>IF(ISNUMBER(Matching_Engine!$AE$20),1,0)</f>
      </c>
      <c r="AG20" s="18">
        <f>IF(NOT(ISNUMBER(KOL_Source_Data!$BG$20)),"N/A",MIN(100,ROUND(KOL_Source_Data!$BG$20/IFERROR(INDEX(Lookup_Lists!$B$340:$B$344,MATCH(KOL_Source_Data!$H$20,Lookup_Lists!$A$340:$A$344,0)),Lookup_Lists!$D$141)*100,0)))</f>
      </c>
      <c r="AH20" s="18">
        <f>IF(NOT(ISNUMBER(KOL_Source_Data!$BS$20)),"N/A",MIN(100,MAX(0,KOL_Source_Data!$BS$20)))</f>
      </c>
      <c r="AI20" s="18">
        <f>IF(OR(NOT(ISNUMBER(KOL_Source_Data!$BM$20)),NOT(ISNUMBER(KOL_Source_Data!$BN$20)),KOL_Source_Data!$BN$20&lt;Lookup_Lists!$D$320),"N/A",MIN(100,ROUND(KOL_Source_Data!$BM$20/Lookup_Lists!$D$319*100,0)))</f>
      </c>
      <c r="AJ20" s="18">
        <f>IF(NOT(ISNUMBER(KOL_Source_Data!$BR$20)),"N/A",KOL_Source_Data!$BR$20)</f>
      </c>
      <c r="AK20" s="18">
        <f>IF(NOT(ISNUMBER(KOL_Source_Data!$BK$20)),"N/A",MIN(100,ROUND(KOL_Source_Data!$BK$20/Lookup_Lists!$D$321*100,0)))</f>
      </c>
      <c r="AL20" s="18">
        <f>IF(NOT(ISNUMBER(KOL_Source_Data!$BP$20)),"N/A",MIN(100,MAX(0,ROUND((KOL_Source_Data!$BP$20+2)/(Lookup_Lists!$D$145+2)*100,0))))</f>
      </c>
      <c r="AM20" s="29">
        <f>IF((IF(ISNUMBER(Matching_Engine!$AG$20),Lookup_Lists!$D$129,0)+IF(ISNUMBER(Matching_Engine!$AH$20),Lookup_Lists!$D$130,0)+IF(ISNUMBER(Matching_Engine!$AI$20),Lookup_Lists!$D$131,0)+IF(ISNUMBER(Matching_Engine!$AJ$20),Lookup_Lists!$D$132,0)+IF(ISNUMBER(Matching_Engine!$AK$20),Lookup_Lists!$D$133,0)+IF(ISNUMBER(Matching_Engine!$AL$20),Lookup_Lists!$D$134,0))=0,"N/A",ROUND((IF(ISNUMBER(Matching_Engine!$AG$20),Matching_Engine!$AG$20*Lookup_Lists!$D$129,0)+IF(ISNUMBER(Matching_Engine!$AH$20),Matching_Engine!$AH$20*Lookup_Lists!$D$130,0)+IF(ISNUMBER(Matching_Engine!$AI$20),Matching_Engine!$AI$20*Lookup_Lists!$D$131,0)+IF(ISNUMBER(Matching_Engine!$AJ$20),Matching_Engine!$AJ$20*Lookup_Lists!$D$132,0)+IF(ISNUMBER(Matching_Engine!$AK$20),Matching_Engine!$AK$20*Lookup_Lists!$D$133,0)+IF(ISNUMBER(Matching_Engine!$AL$20),Matching_Engine!$AL$20*Lookup_Lists!$D$134,0))/(IF(ISNUMBER(Matching_Engine!$AG$20),Lookup_Lists!$D$129,0)+IF(ISNUMBER(Matching_Engine!$AH$20),Lookup_Lists!$D$130,0)+IF(ISNUMBER(Matching_Engine!$AI$20),Lookup_Lists!$D$131,0)+IF(ISNUMBER(Matching_Engine!$AJ$20),Lookup_Lists!$D$132,0)+IF(ISNUMBER(Matching_Engine!$AK$20),Lookup_Lists!$D$133,0)+IF(ISNUMBER(Matching_Engine!$AL$20),Lookup_Lists!$D$134,0)),0))</f>
      </c>
      <c r="AN20" s="11">
        <f>IF(ISNUMBER(Matching_Engine!$AM$20),1,0)</f>
      </c>
      <c r="AO20" s="18">
        <f>IF(NOT(ISNUMBER(KOL_Source_Data!$BT$20)),"N/A",MIN(100,MAX(0,KOL_Source_Data!$BT$20)))</f>
      </c>
      <c r="AP20" s="18">
        <f>IF(NOT(ISNUMBER(KOL_Source_Data!$BU$20)),"N/A",MIN(100,MAX(0,KOL_Source_Data!$BU$20)))</f>
      </c>
      <c r="AQ20" s="18">
        <f>IF(KOL_Source_Data!$I$20="Yes",Lookup_Lists!$D$326,IF(KOL_Source_Data!$I$20="No",Lookup_Lists!$D$327,"N/A"))</f>
      </c>
      <c r="AR20" s="18">
        <f>IF(NOT(ISNUMBER(KOL_Source_Data!$BQ$20)),"N/A",MAX(0,ROUND(100-KOL_Source_Data!$BQ$20/Lookup_Lists!$D$328*100,0)))</f>
      </c>
      <c r="AS20" s="18">
        <f>IF(NOT(AND(ISTEXT(KOL_Source_Data!$BV$20),KOL_Source_Data!$BV$20&lt;&gt;"N/A")),"N/A",KOL_Source_Data!$BV$20)</f>
      </c>
      <c r="AT20" s="29">
        <f>IF((IF(ISNUMBER(Matching_Engine!$AO$20),Lookup_Lists!$D$322,0)+IF(ISNUMBER(Matching_Engine!$AP$20),Lookup_Lists!$D$323,0)+IF(ISNUMBER(Matching_Engine!$AQ$20),Lookup_Lists!$D$324,0)+IF(ISNUMBER(Matching_Engine!$AR$20),Lookup_Lists!$D$325,0))=0,"N/A",ROUND((IF(ISNUMBER(Matching_Engine!$AO$20),Matching_Engine!$AO$20*Lookup_Lists!$D$322,0)+IF(ISNUMBER(Matching_Engine!$AP$20),Matching_Engine!$AP$20*Lookup_Lists!$D$323,0)+IF(ISNUMBER(Matching_Engine!$AQ$20),Matching_Engine!$AQ$20*Lookup_Lists!$D$324,0)+IF(ISNUMBER(Matching_Engine!$AR$20),Matching_Engine!$AR$20*Lookup_Lists!$D$325,0))/(IF(ISNUMBER(Matching_Engine!$AO$20),Lookup_Lists!$D$322,0)+IF(ISNUMBER(Matching_Engine!$AP$20),Lookup_Lists!$D$323,0)+IF(ISNUMBER(Matching_Engine!$AQ$20),Lookup_Lists!$D$324,0)+IF(ISNUMBER(Matching_Engine!$AR$20),Lookup_Lists!$D$325,0)),0))</f>
      </c>
      <c r="AU20" s="11">
        <f>IF(ISNUMBER(Matching_Engine!$AT$20),1,0)</f>
      </c>
      <c r="AV20" s="11">
        <f>IF(NOT(ISNUMBER(Matching_Engine!$AT$20)),"Not Screened",IF(Matching_Engine!$AT$20&gt;=Lookup_Lists!$D$329,"Low Risk",IF(Matching_Engine!$AT$20&gt;=Lookup_Lists!$D$330,"Moderate Risk",IF(Matching_Engine!$AT$20&gt;=Lookup_Lists!$D$331,"Elevated Risk","High Risk"))))</f>
      </c>
      <c r="AW20" s="11">
        <f>IF(NOT(ISNUMBER(Matching_Engine!$AT$20)),"No integrity signal: no audience-analysis row for this account.","Integrity screen only — no content-risk reading exists (comments_analysis: 0 rows). "&amp;IF(ISNUMBER(Matching_Engine!$AO$20),"Authenticity "&amp;Matching_Engine!$AO$20&amp;". ","Authenticity N/A. ")&amp;IF(ISNUMBER(Matching_Engine!$AP$20),"Follower quality "&amp;Matching_Engine!$AP$20&amp;". ","Follower quality N/A. ")&amp;IF(KOL_Source_Data!$I$20="Yes","Platform-verified.","Not platform-verified."))</f>
      </c>
      <c r="AX20" s="18">
        <f>Matching_Engine!$N$20*Lookup_Lists!$D$104+Matching_Engine!$T$20*Lookup_Lists!$D$105+Matching_Engine!$Z$20*Lookup_Lists!$D$106+Matching_Engine!$AF$20*Lookup_Lists!$D$107+Matching_Engine!$AN$20*Lookup_Lists!$D$108+Matching_Engine!$AU$20*Lookup_Lists!$D$109</f>
      </c>
      <c r="AY20" s="30">
        <f>IF(Matching_Engine!$AX$20=0,"N/A",ROUND((IF(Matching_Engine!$N$20=1,Matching_Engine!$M$20*Lookup_Lists!$D$104,0)+IF(Matching_Engine!$T$20=1,Matching_Engine!$S$20*Lookup_Lists!$D$105,0)+IF(Matching_Engine!$Z$20=1,Matching_Engine!$Y$20*Lookup_Lists!$D$106,0)+IF(Matching_Engine!$AF$20=1,Matching_Engine!$AE$20*Lookup_Lists!$D$107,0)+IF(Matching_Engine!$AN$20=1,Matching_Engine!$AM$20*Lookup_Lists!$D$108,0)+IF(Matching_Engine!$AU$20=1,Matching_Engine!$AT$20*Lookup_Lists!$D$109,0))/Matching_Engine!$AX$20,0))</f>
      </c>
      <c r="AZ20" s="11">
        <f>IF(NOT(ISNUMBER(Matching_Engine!$AY$20)),"Not Scored",IF(Matching_Engine!$AY$20&gt;=Lookup_Lists!$D$152,"Excellent Match",IF(Matching_Engine!$AY$20&gt;=Lookup_Lists!$D$153,"Strong Match",IF(Matching_Engine!$AY$20&gt;=Lookup_Lists!$D$154,"Good Match",IF(Matching_Engine!$AY$20&gt;=Lookup_Lists!$D$155,"Moderate Match","Low Match")))))</f>
      </c>
      <c r="BA20" s="18">
        <f>KOL_Source_Data!$BW$20</f>
      </c>
      <c r="BB20" s="11">
        <f>KOL_Source_Data!$BX$20</f>
      </c>
      <c r="BC20" s="18">
        <f>IF(NOT(ISNUMBER(Matching_Engine!$AY$20)),-1,Matching_Engine!$AY$20*1000+10)</f>
      </c>
      <c r="BD20" s="11">
        <f>IF(AND(ISTEXT(KOL_Source_Data!$S$20),KOL_Source_Data!$S$20&lt;&gt;"N/A"),KOL_Source_Data!$S$20,"")&amp;" | "&amp;IF(AND(ISTEXT(KOL_Source_Data!$T$20),KOL_Source_Data!$T$20&lt;&gt;"N/A"),KOL_Source_Data!$T$20,"")&amp;" | "&amp;IF(AND(ISTEXT(KOL_Source_Data!$N$20),KOL_Source_Data!$N$20&lt;&gt;"N/A"),KOL_Source_Data!$N$20,"")&amp;" | "&amp;IF(AND(ISTEXT(KOL_Source_Data!$K$20),KOL_Source_Data!$K$20&lt;&gt;"N/A"),KOL_Source_Data!$K$20,"")&amp;" | "&amp;IF(AND(ISTEXT(KOL_Source_Data!$J$20),KOL_Source_Data!$J$20&lt;&gt;"N/A"),KOL_Source_Data!$J$20,"")</f>
      </c>
      <c r="BE20" s="11">
        <f>IF(AND(ISTEXT(KOL_Source_Data!$T$20),KOL_Source_Data!$T$20&lt;&gt;"N/A"),KOL_Source_Data!$T$20,"")&amp;" | "&amp;IF(AND(ISTEXT(KOL_Source_Data!$N$20),KOL_Source_Data!$N$20&lt;&gt;"N/A"),KOL_Source_Data!$N$20,"")&amp;" | "&amp;IF(AND(ISTEXT(KOL_Source_Data!$O$20),KOL_Source_Data!$O$20&lt;&gt;"N/A"),KOL_Source_Data!$O$20,"")&amp;" | "&amp;IF(AND(ISTEXT(KOL_Source_Data!$S$20),KOL_Source_Data!$S$20&lt;&gt;"N/A"),KOL_Source_Data!$S$20,"")</f>
      </c>
      <c r="BF20" s="11">
        <f>IF(AND(ISTEXT(KOL_Source_Data!$U$20),KOL_Source_Data!$U$20&lt;&gt;"N/A"),KOL_Source_Data!$U$20,"")</f>
      </c>
      <c r="BG20" s="11">
        <f>Matching_Engine!$A$20&amp;"|"&amp;Matching_Engine!$C$20</f>
      </c>
    </row>
    <row r="21" spans="1:59" x14ac:dyDescent="0.25">
      <c r="A21" s="10" t="s">
        <v>390</v>
      </c>
      <c r="B21" s="11">
        <f>Brand_Profile!$E$6</f>
      </c>
      <c r="C21" s="11">
        <f>KOL_Source_Data!$A$21</f>
      </c>
      <c r="D21" s="11">
        <f>KOL_Source_Data!$C$21</f>
      </c>
      <c r="E21" s="11">
        <f>KOL_Source_Data!$D$21</f>
      </c>
      <c r="F21" s="11">
        <f>KOL_Source_Data!$E$21</f>
      </c>
      <c r="G21" s="11">
        <f>KOL_Source_Data!$K$21</f>
      </c>
      <c r="H21" s="12">
        <f>KOL_Source_Data!$G$21</f>
      </c>
      <c r="I21" s="14">
        <f>KOL_Source_Data!$BG$21</f>
      </c>
      <c r="J21" s="18">
        <f>IF(NOT(AND(ISTEXT(KOL_Source_Data!$K$21),KOL_Source_Data!$K$21&lt;&gt;"N/A")),Lookup_Lists!$D$150,IF(Brand_Profile!$E$7=KOL_Source_Data!$K$21,100,IFERROR(INDEX(Lookup_Lists!$B$349:$J$357,MATCH(Brand_Profile!$E$7,Lookup_Lists!$A$349:$A$357,0),MATCH(KOL_Source_Data!$K$21,Lookup_Lists!$B$348:$J$348,0)),Lookup_Lists!$D$151)))</f>
      </c>
      <c r="K21" s="18">
        <f>IF(LEN(TRIM(SUBSTITUTE(Matching_Engine!$BD$21,"|","")))=0,"N/A",IF(Brand_Profile!$E$47=0,Lookup_Lists!$D$150,ROUND((IF(Brand_Profile!$E$41="",0,IF(ISNUMBER(SEARCH(Brand_Profile!$E$41,Matching_Engine!$BD$21)),1,0))+IF(Brand_Profile!$E$42="",0,IF(ISNUMBER(SEARCH(Brand_Profile!$E$42,Matching_Engine!$BD$21)),1,0))+IF(Brand_Profile!$E$43="",0,IF(ISNUMBER(SEARCH(Brand_Profile!$E$43,Matching_Engine!$BD$21)),1,0))+IF(Brand_Profile!$E$44="",0,IF(ISNUMBER(SEARCH(Brand_Profile!$E$44,Matching_Engine!$BD$21)),1,0))+IF(Brand_Profile!$E$45="",0,IF(ISNUMBER(SEARCH(Brand_Profile!$E$45,Matching_Engine!$BD$21)),1,0))+IF(Brand_Profile!$E$46="",0,IF(ISNUMBER(SEARCH(Brand_Profile!$E$46,Matching_Engine!$BD$21)),1,0)))/Brand_Profile!$E$47*100,0)))</f>
      </c>
      <c r="L21" s="18">
        <f>IF(NOT(AND(ISTEXT(KOL_Source_Data!$U$21),KOL_Source_Data!$U$21&lt;&gt;"N/A")),"N/A",IF(Brand_Profile!$E$53=0,Lookup_Lists!$D$150,ROUND((IF(Brand_Profile!$E$48="",0,IF(ISNUMBER(SEARCH(Brand_Profile!$E$48,Matching_Engine!$BF$21)),1,0))+IF(Brand_Profile!$E$49="",0,IF(ISNUMBER(SEARCH(Brand_Profile!$E$49,Matching_Engine!$BF$21)),1,0))+IF(Brand_Profile!$E$50="",0,IF(ISNUMBER(SEARCH(Brand_Profile!$E$50,Matching_Engine!$BF$21)),1,0))+IF(Brand_Profile!$E$51="",0,IF(ISNUMBER(SEARCH(Brand_Profile!$E$51,Matching_Engine!$BF$21)),1,0))+IF(Brand_Profile!$E$52="",0,IF(ISNUMBER(SEARCH(Brand_Profile!$E$52,Matching_Engine!$BF$21)),1,0)))/Brand_Profile!$E$53*100,0)))</f>
      </c>
      <c r="M21" s="29">
        <f>IF((IF(ISNUMBER(Matching_Engine!$J$21),Lookup_Lists!$D$332,0)+IF(ISNUMBER(Matching_Engine!$K$21),Lookup_Lists!$D$333,0)+IF(ISNUMBER(Matching_Engine!$L$21),Lookup_Lists!$D$334,0))=0,"N/A",ROUND((IF(ISNUMBER(Matching_Engine!$J$21),Matching_Engine!$J$21*Lookup_Lists!$D$332,0)+IF(ISNUMBER(Matching_Engine!$K$21),Matching_Engine!$K$21*Lookup_Lists!$D$333,0)+IF(ISNUMBER(Matching_Engine!$L$21),Matching_Engine!$L$21*Lookup_Lists!$D$334,0))/(IF(ISNUMBER(Matching_Engine!$J$21),Lookup_Lists!$D$332,0)+IF(ISNUMBER(Matching_Engine!$K$21),Lookup_Lists!$D$333,0)+IF(ISNUMBER(Matching_Engine!$L$21),Lookup_Lists!$D$334,0)),0))</f>
      </c>
      <c r="N21" s="11">
        <f>IF(ISNUMBER(Matching_Engine!$M$21),1,0)</f>
      </c>
      <c r="O21" s="18">
        <f>IF(NOT(ISNUMBER(IFERROR(INDEX(KOL_Source_Data!$V$21:KOL_Source_Data!$Z$21,1,MATCH(Brand_Profile!$E$11,Lookup_Lists!$F$6:$F$10,0)),""))),"N/A",MIN(100,ROUND((IFERROR(INDEX(KOL_Source_Data!$V$21:KOL_Source_Data!$Z$21,1,MATCH(Brand_Profile!$E$11,Lookup_Lists!$F$6:$F$10,0)),"")+0.5*IF(ISNUMBER(IFERROR(INDEX(KOL_Source_Data!$V$21:KOL_Source_Data!$Z$21,1,MATCH(Brand_Profile!$E$12,Lookup_Lists!$F$6:$F$10,0)),"")),IFERROR(INDEX(KOL_Source_Data!$V$21:KOL_Source_Data!$Z$21,1,MATCH(Brand_Profile!$E$12,Lookup_Lists!$F$6:$F$10,0)),""),0))/Lookup_Lists!$D$142*100,0)))</f>
      </c>
      <c r="P21" s="18">
        <f>IF(Brand_Profile!$E$13="Any",100,IF(NOT(ISNUMBER(KOL_Source_Data!$AA$21)),"N/A",IF(Brand_Profile!$E$13="Female",MIN(100,ROUND(KOL_Source_Data!$AA$21/Lookup_Lists!$D$143*100,0)),IF(Brand_Profile!$E$13="Male",MIN(100,ROUND(IF(ISNUMBER(KOL_Source_Data!$AB$21),KOL_Source_Data!$AB$21,100-KOL_Source_Data!$AA$21)/Lookup_Lists!$D$143*100,0)),MAX(0,ROUND(100-ABS(KOL_Source_Data!$AA$21-50)*2,0))))))</f>
      </c>
      <c r="Q21" s="18">
        <f>IF((IF(ISNUMBER(IF(NOT(ISNUMBER(KOL_Source_Data!$AE$21)),"N/A",IF(KOL_Source_Data!$AD$21&lt;&gt;Brand_Profile!$E$14,Lookup_Lists!$D$151,MIN(100,ROUND(KOL_Source_Data!$AE$21/Lookup_Lists!$D$316*100,0))))),Lookup_Lists!$D$118,0)+IF(ISNUMBER(IF(NOT(ISNUMBER(KOL_Source_Data!$AM$21)),"N/A",MIN(100,ROUND((IF(KOL_Source_Data!$AG$21=Brand_Profile!$E$15,IF(ISNUMBER(KOL_Source_Data!$AH$21),KOL_Source_Data!$AH$21,0),0)+IF(KOL_Source_Data!$AI$21=Brand_Profile!$E$15,IF(ISNUMBER(KOL_Source_Data!$AJ$21),KOL_Source_Data!$AJ$21,0),0)+IF(KOL_Source_Data!$AK$21=Brand_Profile!$E$15,IF(ISNUMBER(KOL_Source_Data!$AL$21),KOL_Source_Data!$AL$21,0),0))/Lookup_Lists!$D$317*100,0)))),Lookup_Lists!$D$120,0))=0,"N/A",ROUND((IF(ISNUMBER(IF(NOT(ISNUMBER(KOL_Source_Data!$AE$21)),"N/A",IF(KOL_Source_Data!$AD$21&lt;&gt;Brand_Profile!$E$14,Lookup_Lists!$D$151,MIN(100,ROUND(KOL_Source_Data!$AE$21/Lookup_Lists!$D$316*100,0))))),IF(NOT(ISNUMBER(KOL_Source_Data!$AE$21)),"N/A",IF(KOL_Source_Data!$AD$21&lt;&gt;Brand_Profile!$E$14,Lookup_Lists!$D$151,MIN(100,ROUND(KOL_Source_Data!$AE$21/Lookup_Lists!$D$316*100,0))))*Lookup_Lists!$D$118,0)+IF(ISNUMBER(IF(NOT(ISNUMBER(KOL_Source_Data!$AM$21)),"N/A",MIN(100,ROUND((IF(KOL_Source_Data!$AG$21=Brand_Profile!$E$15,IF(ISNUMBER(KOL_Source_Data!$AH$21),KOL_Source_Data!$AH$21,0),0)+IF(KOL_Source_Data!$AI$21=Brand_Profile!$E$15,IF(ISNUMBER(KOL_Source_Data!$AJ$21),KOL_Source_Data!$AJ$21,0),0)+IF(KOL_Source_Data!$AK$21=Brand_Profile!$E$15,IF(ISNUMBER(KOL_Source_Data!$AL$21),KOL_Source_Data!$AL$21,0),0))/Lookup_Lists!$D$317*100,0)))),IF(NOT(ISNUMBER(KOL_Source_Data!$AM$21)),"N/A",MIN(100,ROUND((IF(KOL_Source_Data!$AG$21=Brand_Profile!$E$15,IF(ISNUMBER(KOL_Source_Data!$AH$21),KOL_Source_Data!$AH$21,0),0)+IF(KOL_Source_Data!$AI$21=Brand_Profile!$E$15,IF(ISNUMBER(KOL_Source_Data!$AJ$21),KOL_Source_Data!$AJ$21,0),0)+IF(KOL_Source_Data!$AK$21=Brand_Profile!$E$15,IF(ISNUMBER(KOL_Source_Data!$AL$21),KOL_Source_Data!$AL$21,0),0))/Lookup_Lists!$D$317*100,0)))*Lookup_Lists!$D$120,0))/(IF(ISNUMBER(IF(NOT(ISNUMBER(KOL_Source_Data!$AE$21)),"N/A",IF(KOL_Source_Data!$AD$21&lt;&gt;Brand_Profile!$E$14,Lookup_Lists!$D$151,MIN(100,ROUND(KOL_Source_Data!$AE$21/Lookup_Lists!$D$316*100,0))))),Lookup_Lists!$D$118,0)+IF(ISNUMBER(IF(NOT(ISNUMBER(KOL_Source_Data!$AM$21)),"N/A",MIN(100,ROUND((IF(KOL_Source_Data!$AG$21=Brand_Profile!$E$15,IF(ISNUMBER(KOL_Source_Data!$AH$21),KOL_Source_Data!$AH$21,0),0)+IF(KOL_Source_Data!$AI$21=Brand_Profile!$E$15,IF(ISNUMBER(KOL_Source_Data!$AJ$21),KOL_Source_Data!$AJ$21,0),0)+IF(KOL_Source_Data!$AK$21=Brand_Profile!$E$15,IF(ISNUMBER(KOL_Source_Data!$AL$21),KOL_Source_Data!$AL$21,0),0))/Lookup_Lists!$D$317*100,0)))),Lookup_Lists!$D$120,0)),0))</f>
      </c>
      <c r="R21" s="18">
        <f>IF(NOT(ISNUMBER(KOL_Source_Data!$AN$21)),"N/A",MIN(100,ROUND((IF(ISNUMBER(KOL_Source_Data!$AO$21),KOL_Source_Data!$AO$21*Brand_Profile!$E$17,0)+IF(ISNUMBER(KOL_Source_Data!$AP$21),KOL_Source_Data!$AP$21*Brand_Profile!$E$18,0)+IF(ISNUMBER(KOL_Source_Data!$AQ$21),KOL_Source_Data!$AQ$21*Brand_Profile!$E$19,0)+IF(ISNUMBER(KOL_Source_Data!$AR$21),KOL_Source_Data!$AR$21*Brand_Profile!$E$20,0)+IF(ISNUMBER(KOL_Source_Data!$AS$21),KOL_Source_Data!$AS$21*Brand_Profile!$E$21,0)+IF(ISNUMBER(KOL_Source_Data!$AT$21),KOL_Source_Data!$AT$21*Brand_Profile!$E$22,0)+IF(ISNUMBER(KOL_Source_Data!$AU$21),KOL_Source_Data!$AU$21*Brand_Profile!$E$23,0)+IF(ISNUMBER(KOL_Source_Data!$AV$21),KOL_Source_Data!$AV$21*Brand_Profile!$E$24,0)+IF(ISNUMBER(KOL_Source_Data!$AW$21),KOL_Source_Data!$AW$21*Brand_Profile!$E$25,0)+IF(ISNUMBER(KOL_Source_Data!$AX$21),KOL_Source_Data!$AX$21*Brand_Profile!$E$26,0)+IF(ISNUMBER(KOL_Source_Data!$AY$21),KOL_Source_Data!$AY$21*Brand_Profile!$E$27,0)+IF(ISNUMBER(KOL_Source_Data!$AZ$21),KOL_Source_Data!$AZ$21*Brand_Profile!$E$28,0)+IF(ISNUMBER(KOL_Source_Data!$BA$21),KOL_Source_Data!$BA$21*Brand_Profile!$E$29,0)+IF(ISNUMBER(KOL_Source_Data!$BB$21),KOL_Source_Data!$BB$21*Brand_Profile!$E$30,0)+IF(ISNUMBER(KOL_Source_Data!$BC$21),KOL_Source_Data!$BC$21*Brand_Profile!$E$31,0)+IF(ISNUMBER(KOL_Source_Data!$BD$21),KOL_Source_Data!$BD$21*Brand_Profile!$E$32,0)+IF(ISNUMBER(KOL_Source_Data!$BE$21),KOL_Source_Data!$BE$21*Brand_Profile!$E$33,0)+IF(ISNUMBER(KOL_Source_Data!$BF$21),KOL_Source_Data!$BF$21*Brand_Profile!$E$34,0))/Lookup_Lists!$D$318*100,0)))</f>
      </c>
      <c r="S21" s="29">
        <f>IF((IF(ISNUMBER(Matching_Engine!$O$21),Lookup_Lists!$D$113,0)+IF(ISNUMBER(Matching_Engine!$P$21),Lookup_Lists!$D$114,0)+IF(ISNUMBER(Matching_Engine!$Q$21),Lookup_Lists!$D$115,0)+IF(ISNUMBER(Matching_Engine!$R$21),Lookup_Lists!$D$116,0))=0,"N/A",ROUND((IF(ISNUMBER(Matching_Engine!$O$21),Matching_Engine!$O$21*Lookup_Lists!$D$113,0)+IF(ISNUMBER(Matching_Engine!$P$21),Matching_Engine!$P$21*Lookup_Lists!$D$114,0)+IF(ISNUMBER(Matching_Engine!$Q$21),Matching_Engine!$Q$21*Lookup_Lists!$D$115,0)+IF(ISNUMBER(Matching_Engine!$R$21),Matching_Engine!$R$21*Lookup_Lists!$D$116,0))/(IF(ISNUMBER(Matching_Engine!$O$21),Lookup_Lists!$D$113,0)+IF(ISNUMBER(Matching_Engine!$P$21),Lookup_Lists!$D$114,0)+IF(ISNUMBER(Matching_Engine!$Q$21),Lookup_Lists!$D$115,0)+IF(ISNUMBER(Matching_Engine!$R$21),Lookup_Lists!$D$116,0)),0))</f>
      </c>
      <c r="T21" s="11">
        <f>IF(ISNUMBER(Matching_Engine!$S$21),1,0)</f>
      </c>
      <c r="U21" s="18">
        <f>IF(NOT(AND(ISTEXT(KOL_Source_Data!$M$21),KOL_Source_Data!$M$21&lt;&gt;"N/A")),Lookup_Lists!$D$150,IF(Brand_Profile!$E$7=KOL_Source_Data!$M$21,100,IFERROR(INDEX(Lookup_Lists!$B$349:$J$357,MATCH(Brand_Profile!$E$7,Lookup_Lists!$A$349:$A$357,0),MATCH(KOL_Source_Data!$M$21,Lookup_Lists!$B$348:$J$348,0)),Lookup_Lists!$D$151)))</f>
      </c>
      <c r="V21" s="18">
        <f>IF(NOT(AND(ISTEXT(KOL_Source_Data!$P$21),KOL_Source_Data!$P$21&lt;&gt;"N/A")),"N/A",IFERROR(INDEX(Lookup_Lists!$B$349:$J$357,MATCH(Brand_Profile!$E$7,Lookup_Lists!$A$349:$A$357,0),MATCH(KOL_Source_Data!$P$21,Lookup_Lists!$B$348:$J$348,0)),Lookup_Lists!$D$151))</f>
      </c>
      <c r="W21" s="18">
        <f>IF(LEN(TRIM(SUBSTITUTE(Matching_Engine!$BE$21,"|","")))=0,"N/A",IF(Brand_Profile!$E$60=0,Lookup_Lists!$D$150,ROUND((IF(Brand_Profile!$E$54="",0,IF(ISNUMBER(SEARCH(Brand_Profile!$E$54,Matching_Engine!$BE$21)),1,0))+IF(Brand_Profile!$E$55="",0,IF(ISNUMBER(SEARCH(Brand_Profile!$E$55,Matching_Engine!$BE$21)),1,0))+IF(Brand_Profile!$E$56="",0,IF(ISNUMBER(SEARCH(Brand_Profile!$E$56,Matching_Engine!$BE$21)),1,0))+IF(Brand_Profile!$E$57="",0,IF(ISNUMBER(SEARCH(Brand_Profile!$E$57,Matching_Engine!$BE$21)),1,0))+IF(Brand_Profile!$E$58="",0,IF(ISNUMBER(SEARCH(Brand_Profile!$E$58,Matching_Engine!$BE$21)),1,0))+IF(Brand_Profile!$E$59="",0,IF(ISNUMBER(SEARCH(Brand_Profile!$E$59,Matching_Engine!$BE$21)),1,0)))/Brand_Profile!$E$60*100,0)))</f>
      </c>
      <c r="X21" s="18">
        <f>IF(NOT(AND(ISTEXT(KOL_Source_Data!$Q$21),KOL_Source_Data!$Q$21&lt;&gt;"N/A")),"N/A",Lookup_Lists!$D$150)</f>
      </c>
      <c r="Y21" s="29">
        <f>IF((IF(ISNUMBER(Matching_Engine!$U$21),Lookup_Lists!$D$335,0)+IF(ISNUMBER(Matching_Engine!$V$21),Lookup_Lists!$D$122,0)+IF(ISNUMBER(Matching_Engine!$W$21),Lookup_Lists!$D$336,0)+IF(ISNUMBER(Matching_Engine!$X$21),Lookup_Lists!$D$124,0))=0,"N/A",ROUND((IF(ISNUMBER(Matching_Engine!$U$21),Matching_Engine!$U$21*Lookup_Lists!$D$335,0)+IF(ISNUMBER(Matching_Engine!$V$21),Matching_Engine!$V$21*Lookup_Lists!$D$122,0)+IF(ISNUMBER(Matching_Engine!$W$21),Matching_Engine!$W$21*Lookup_Lists!$D$336,0)+IF(ISNUMBER(Matching_Engine!$X$21),Matching_Engine!$X$21*Lookup_Lists!$D$124,0))/(IF(ISNUMBER(Matching_Engine!$U$21),Lookup_Lists!$D$335,0)+IF(ISNUMBER(Matching_Engine!$V$21),Lookup_Lists!$D$122,0)+IF(ISNUMBER(Matching_Engine!$W$21),Lookup_Lists!$D$336,0)+IF(ISNUMBER(Matching_Engine!$X$21),Lookup_Lists!$D$124,0)),0))</f>
      </c>
      <c r="Z21" s="11">
        <f>IF(ISNUMBER(Matching_Engine!$Y$21),1,0)</f>
      </c>
      <c r="AA21" s="18">
        <f>IF(NOT(AND(ISTEXT(KOL_Source_Data!$Q$21),KOL_Source_Data!$Q$21&lt;&gt;"N/A")),"N/A",Lookup_Lists!$D$150)</f>
      </c>
      <c r="AB21" s="18">
        <f>IF(NOT(AND(ISTEXT(KOL_Source_Data!$Q$21),KOL_Source_Data!$Q$21&lt;&gt;"N/A")),"N/A",Lookup_Lists!$D$150)</f>
      </c>
      <c r="AC21" s="18">
        <f>"N/A"</f>
      </c>
      <c r="AD21" s="18">
        <f>IF(NOT(AND(ISTEXT(KOL_Source_Data!$Q$21),KOL_Source_Data!$Q$21&lt;&gt;"N/A")),"N/A",Lookup_Lists!$D$150)</f>
      </c>
      <c r="AE21" s="29">
        <f>IF((IF(ISNUMBER(Matching_Engine!$AA$21),Lookup_Lists!$D$125,0)+IF(ISNUMBER(Matching_Engine!$AB$21),Lookup_Lists!$D$126,0)+IF(ISNUMBER(Matching_Engine!$AC$21),Lookup_Lists!$D$127,0)+IF(ISNUMBER(Matching_Engine!$AD$21),Lookup_Lists!$D$128,0))=0,"N/A",ROUND((IF(ISNUMBER(Matching_Engine!$AA$21),Matching_Engine!$AA$21*Lookup_Lists!$D$125,0)+IF(ISNUMBER(Matching_Engine!$AB$21),Matching_Engine!$AB$21*Lookup_Lists!$D$126,0)+IF(ISNUMBER(Matching_Engine!$AC$21),Matching_Engine!$AC$21*Lookup_Lists!$D$127,0)+IF(ISNUMBER(Matching_Engine!$AD$21),Matching_Engine!$AD$21*Lookup_Lists!$D$128,0))/(IF(ISNUMBER(Matching_Engine!$AA$21),Lookup_Lists!$D$125,0)+IF(ISNUMBER(Matching_Engine!$AB$21),Lookup_Lists!$D$126,0)+IF(ISNUMBER(Matching_Engine!$AC$21),Lookup_Lists!$D$127,0)+IF(ISNUMBER(Matching_Engine!$AD$21),Lookup_Lists!$D$128,0)),0))</f>
      </c>
      <c r="AF21" s="11">
        <f>IF(ISNUMBER(Matching_Engine!$AE$21),1,0)</f>
      </c>
      <c r="AG21" s="18">
        <f>IF(NOT(ISNUMBER(KOL_Source_Data!$BG$21)),"N/A",MIN(100,ROUND(KOL_Source_Data!$BG$21/IFERROR(INDEX(Lookup_Lists!$B$340:$B$344,MATCH(KOL_Source_Data!$H$21,Lookup_Lists!$A$340:$A$344,0)),Lookup_Lists!$D$141)*100,0)))</f>
      </c>
      <c r="AH21" s="18">
        <f>IF(NOT(ISNUMBER(KOL_Source_Data!$BS$21)),"N/A",MIN(100,MAX(0,KOL_Source_Data!$BS$21)))</f>
      </c>
      <c r="AI21" s="18">
        <f>IF(OR(NOT(ISNUMBER(KOL_Source_Data!$BM$21)),NOT(ISNUMBER(KOL_Source_Data!$BN$21)),KOL_Source_Data!$BN$21&lt;Lookup_Lists!$D$320),"N/A",MIN(100,ROUND(KOL_Source_Data!$BM$21/Lookup_Lists!$D$319*100,0)))</f>
      </c>
      <c r="AJ21" s="18">
        <f>IF(NOT(ISNUMBER(KOL_Source_Data!$BR$21)),"N/A",KOL_Source_Data!$BR$21)</f>
      </c>
      <c r="AK21" s="18">
        <f>IF(NOT(ISNUMBER(KOL_Source_Data!$BK$21)),"N/A",MIN(100,ROUND(KOL_Source_Data!$BK$21/Lookup_Lists!$D$321*100,0)))</f>
      </c>
      <c r="AL21" s="18">
        <f>IF(NOT(ISNUMBER(KOL_Source_Data!$BP$21)),"N/A",MIN(100,MAX(0,ROUND((KOL_Source_Data!$BP$21+2)/(Lookup_Lists!$D$145+2)*100,0))))</f>
      </c>
      <c r="AM21" s="29">
        <f>IF((IF(ISNUMBER(Matching_Engine!$AG$21),Lookup_Lists!$D$129,0)+IF(ISNUMBER(Matching_Engine!$AH$21),Lookup_Lists!$D$130,0)+IF(ISNUMBER(Matching_Engine!$AI$21),Lookup_Lists!$D$131,0)+IF(ISNUMBER(Matching_Engine!$AJ$21),Lookup_Lists!$D$132,0)+IF(ISNUMBER(Matching_Engine!$AK$21),Lookup_Lists!$D$133,0)+IF(ISNUMBER(Matching_Engine!$AL$21),Lookup_Lists!$D$134,0))=0,"N/A",ROUND((IF(ISNUMBER(Matching_Engine!$AG$21),Matching_Engine!$AG$21*Lookup_Lists!$D$129,0)+IF(ISNUMBER(Matching_Engine!$AH$21),Matching_Engine!$AH$21*Lookup_Lists!$D$130,0)+IF(ISNUMBER(Matching_Engine!$AI$21),Matching_Engine!$AI$21*Lookup_Lists!$D$131,0)+IF(ISNUMBER(Matching_Engine!$AJ$21),Matching_Engine!$AJ$21*Lookup_Lists!$D$132,0)+IF(ISNUMBER(Matching_Engine!$AK$21),Matching_Engine!$AK$21*Lookup_Lists!$D$133,0)+IF(ISNUMBER(Matching_Engine!$AL$21),Matching_Engine!$AL$21*Lookup_Lists!$D$134,0))/(IF(ISNUMBER(Matching_Engine!$AG$21),Lookup_Lists!$D$129,0)+IF(ISNUMBER(Matching_Engine!$AH$21),Lookup_Lists!$D$130,0)+IF(ISNUMBER(Matching_Engine!$AI$21),Lookup_Lists!$D$131,0)+IF(ISNUMBER(Matching_Engine!$AJ$21),Lookup_Lists!$D$132,0)+IF(ISNUMBER(Matching_Engine!$AK$21),Lookup_Lists!$D$133,0)+IF(ISNUMBER(Matching_Engine!$AL$21),Lookup_Lists!$D$134,0)),0))</f>
      </c>
      <c r="AN21" s="11">
        <f>IF(ISNUMBER(Matching_Engine!$AM$21),1,0)</f>
      </c>
      <c r="AO21" s="18">
        <f>IF(NOT(ISNUMBER(KOL_Source_Data!$BT$21)),"N/A",MIN(100,MAX(0,KOL_Source_Data!$BT$21)))</f>
      </c>
      <c r="AP21" s="18">
        <f>IF(NOT(ISNUMBER(KOL_Source_Data!$BU$21)),"N/A",MIN(100,MAX(0,KOL_Source_Data!$BU$21)))</f>
      </c>
      <c r="AQ21" s="18">
        <f>IF(KOL_Source_Data!$I$21="Yes",Lookup_Lists!$D$326,IF(KOL_Source_Data!$I$21="No",Lookup_Lists!$D$327,"N/A"))</f>
      </c>
      <c r="AR21" s="18">
        <f>IF(NOT(ISNUMBER(KOL_Source_Data!$BQ$21)),"N/A",MAX(0,ROUND(100-KOL_Source_Data!$BQ$21/Lookup_Lists!$D$328*100,0)))</f>
      </c>
      <c r="AS21" s="18">
        <f>IF(NOT(AND(ISTEXT(KOL_Source_Data!$BV$21),KOL_Source_Data!$BV$21&lt;&gt;"N/A")),"N/A",KOL_Source_Data!$BV$21)</f>
      </c>
      <c r="AT21" s="29">
        <f>IF((IF(ISNUMBER(Matching_Engine!$AO$21),Lookup_Lists!$D$322,0)+IF(ISNUMBER(Matching_Engine!$AP$21),Lookup_Lists!$D$323,0)+IF(ISNUMBER(Matching_Engine!$AQ$21),Lookup_Lists!$D$324,0)+IF(ISNUMBER(Matching_Engine!$AR$21),Lookup_Lists!$D$325,0))=0,"N/A",ROUND((IF(ISNUMBER(Matching_Engine!$AO$21),Matching_Engine!$AO$21*Lookup_Lists!$D$322,0)+IF(ISNUMBER(Matching_Engine!$AP$21),Matching_Engine!$AP$21*Lookup_Lists!$D$323,0)+IF(ISNUMBER(Matching_Engine!$AQ$21),Matching_Engine!$AQ$21*Lookup_Lists!$D$324,0)+IF(ISNUMBER(Matching_Engine!$AR$21),Matching_Engine!$AR$21*Lookup_Lists!$D$325,0))/(IF(ISNUMBER(Matching_Engine!$AO$21),Lookup_Lists!$D$322,0)+IF(ISNUMBER(Matching_Engine!$AP$21),Lookup_Lists!$D$323,0)+IF(ISNUMBER(Matching_Engine!$AQ$21),Lookup_Lists!$D$324,0)+IF(ISNUMBER(Matching_Engine!$AR$21),Lookup_Lists!$D$325,0)),0))</f>
      </c>
      <c r="AU21" s="11">
        <f>IF(ISNUMBER(Matching_Engine!$AT$21),1,0)</f>
      </c>
      <c r="AV21" s="11">
        <f>IF(NOT(ISNUMBER(Matching_Engine!$AT$21)),"Not Screened",IF(Matching_Engine!$AT$21&gt;=Lookup_Lists!$D$329,"Low Risk",IF(Matching_Engine!$AT$21&gt;=Lookup_Lists!$D$330,"Moderate Risk",IF(Matching_Engine!$AT$21&gt;=Lookup_Lists!$D$331,"Elevated Risk","High Risk"))))</f>
      </c>
      <c r="AW21" s="11">
        <f>IF(NOT(ISNUMBER(Matching_Engine!$AT$21)),"No integrity signal: no audience-analysis row for this account.","Integrity screen only — no content-risk reading exists (comments_analysis: 0 rows). "&amp;IF(ISNUMBER(Matching_Engine!$AO$21),"Authenticity "&amp;Matching_Engine!$AO$21&amp;". ","Authenticity N/A. ")&amp;IF(ISNUMBER(Matching_Engine!$AP$21),"Follower quality "&amp;Matching_Engine!$AP$21&amp;". ","Follower quality N/A. ")&amp;IF(KOL_Source_Data!$I$21="Yes","Platform-verified.","Not platform-verified."))</f>
      </c>
      <c r="AX21" s="18">
        <f>Matching_Engine!$N$21*Lookup_Lists!$D$104+Matching_Engine!$T$21*Lookup_Lists!$D$105+Matching_Engine!$Z$21*Lookup_Lists!$D$106+Matching_Engine!$AF$21*Lookup_Lists!$D$107+Matching_Engine!$AN$21*Lookup_Lists!$D$108+Matching_Engine!$AU$21*Lookup_Lists!$D$109</f>
      </c>
      <c r="AY21" s="30">
        <f>IF(Matching_Engine!$AX$21=0,"N/A",ROUND((IF(Matching_Engine!$N$21=1,Matching_Engine!$M$21*Lookup_Lists!$D$104,0)+IF(Matching_Engine!$T$21=1,Matching_Engine!$S$21*Lookup_Lists!$D$105,0)+IF(Matching_Engine!$Z$21=1,Matching_Engine!$Y$21*Lookup_Lists!$D$106,0)+IF(Matching_Engine!$AF$21=1,Matching_Engine!$AE$21*Lookup_Lists!$D$107,0)+IF(Matching_Engine!$AN$21=1,Matching_Engine!$AM$21*Lookup_Lists!$D$108,0)+IF(Matching_Engine!$AU$21=1,Matching_Engine!$AT$21*Lookup_Lists!$D$109,0))/Matching_Engine!$AX$21,0))</f>
      </c>
      <c r="AZ21" s="11">
        <f>IF(NOT(ISNUMBER(Matching_Engine!$AY$21)),"Not Scored",IF(Matching_Engine!$AY$21&gt;=Lookup_Lists!$D$152,"Excellent Match",IF(Matching_Engine!$AY$21&gt;=Lookup_Lists!$D$153,"Strong Match",IF(Matching_Engine!$AY$21&gt;=Lookup_Lists!$D$154,"Good Match",IF(Matching_Engine!$AY$21&gt;=Lookup_Lists!$D$155,"Moderate Match","Low Match")))))</f>
      </c>
      <c r="BA21" s="18">
        <f>KOL_Source_Data!$BW$21</f>
      </c>
      <c r="BB21" s="11">
        <f>KOL_Source_Data!$BX$21</f>
      </c>
      <c r="BC21" s="18">
        <f>IF(NOT(ISNUMBER(Matching_Engine!$AY$21)),-1,Matching_Engine!$AY$21*1000+9)</f>
      </c>
      <c r="BD21" s="11">
        <f>IF(AND(ISTEXT(KOL_Source_Data!$S$21),KOL_Source_Data!$S$21&lt;&gt;"N/A"),KOL_Source_Data!$S$21,"")&amp;" | "&amp;IF(AND(ISTEXT(KOL_Source_Data!$T$21),KOL_Source_Data!$T$21&lt;&gt;"N/A"),KOL_Source_Data!$T$21,"")&amp;" | "&amp;IF(AND(ISTEXT(KOL_Source_Data!$N$21),KOL_Source_Data!$N$21&lt;&gt;"N/A"),KOL_Source_Data!$N$21,"")&amp;" | "&amp;IF(AND(ISTEXT(KOL_Source_Data!$K$21),KOL_Source_Data!$K$21&lt;&gt;"N/A"),KOL_Source_Data!$K$21,"")&amp;" | "&amp;IF(AND(ISTEXT(KOL_Source_Data!$J$21),KOL_Source_Data!$J$21&lt;&gt;"N/A"),KOL_Source_Data!$J$21,"")</f>
      </c>
      <c r="BE21" s="11">
        <f>IF(AND(ISTEXT(KOL_Source_Data!$T$21),KOL_Source_Data!$T$21&lt;&gt;"N/A"),KOL_Source_Data!$T$21,"")&amp;" | "&amp;IF(AND(ISTEXT(KOL_Source_Data!$N$21),KOL_Source_Data!$N$21&lt;&gt;"N/A"),KOL_Source_Data!$N$21,"")&amp;" | "&amp;IF(AND(ISTEXT(KOL_Source_Data!$O$21),KOL_Source_Data!$O$21&lt;&gt;"N/A"),KOL_Source_Data!$O$21,"")&amp;" | "&amp;IF(AND(ISTEXT(KOL_Source_Data!$S$21),KOL_Source_Data!$S$21&lt;&gt;"N/A"),KOL_Source_Data!$S$21,"")</f>
      </c>
      <c r="BF21" s="11">
        <f>IF(AND(ISTEXT(KOL_Source_Data!$U$21),KOL_Source_Data!$U$21&lt;&gt;"N/A"),KOL_Source_Data!$U$21,"")</f>
      </c>
      <c r="BG21" s="11">
        <f>Matching_Engine!$A$21&amp;"|"&amp;Matching_Engine!$C$21</f>
      </c>
    </row>
    <row r="22" spans="1:59" x14ac:dyDescent="0.25">
      <c r="A22" s="10" t="s">
        <v>390</v>
      </c>
      <c r="B22" s="11">
        <f>Brand_Profile!$E$6</f>
      </c>
      <c r="C22" s="11">
        <f>KOL_Source_Data!$A$22</f>
      </c>
      <c r="D22" s="11">
        <f>KOL_Source_Data!$C$22</f>
      </c>
      <c r="E22" s="11">
        <f>KOL_Source_Data!$D$22</f>
      </c>
      <c r="F22" s="11">
        <f>KOL_Source_Data!$E$22</f>
      </c>
      <c r="G22" s="11">
        <f>KOL_Source_Data!$K$22</f>
      </c>
      <c r="H22" s="12">
        <f>KOL_Source_Data!$G$22</f>
      </c>
      <c r="I22" s="14">
        <f>KOL_Source_Data!$BG$22</f>
      </c>
      <c r="J22" s="18">
        <f>IF(NOT(AND(ISTEXT(KOL_Source_Data!$K$22),KOL_Source_Data!$K$22&lt;&gt;"N/A")),Lookup_Lists!$D$150,IF(Brand_Profile!$E$7=KOL_Source_Data!$K$22,100,IFERROR(INDEX(Lookup_Lists!$B$349:$J$357,MATCH(Brand_Profile!$E$7,Lookup_Lists!$A$349:$A$357,0),MATCH(KOL_Source_Data!$K$22,Lookup_Lists!$B$348:$J$348,0)),Lookup_Lists!$D$151)))</f>
      </c>
      <c r="K22" s="18">
        <f>IF(LEN(TRIM(SUBSTITUTE(Matching_Engine!$BD$22,"|","")))=0,"N/A",IF(Brand_Profile!$E$47=0,Lookup_Lists!$D$150,ROUND((IF(Brand_Profile!$E$41="",0,IF(ISNUMBER(SEARCH(Brand_Profile!$E$41,Matching_Engine!$BD$22)),1,0))+IF(Brand_Profile!$E$42="",0,IF(ISNUMBER(SEARCH(Brand_Profile!$E$42,Matching_Engine!$BD$22)),1,0))+IF(Brand_Profile!$E$43="",0,IF(ISNUMBER(SEARCH(Brand_Profile!$E$43,Matching_Engine!$BD$22)),1,0))+IF(Brand_Profile!$E$44="",0,IF(ISNUMBER(SEARCH(Brand_Profile!$E$44,Matching_Engine!$BD$22)),1,0))+IF(Brand_Profile!$E$45="",0,IF(ISNUMBER(SEARCH(Brand_Profile!$E$45,Matching_Engine!$BD$22)),1,0))+IF(Brand_Profile!$E$46="",0,IF(ISNUMBER(SEARCH(Brand_Profile!$E$46,Matching_Engine!$BD$22)),1,0)))/Brand_Profile!$E$47*100,0)))</f>
      </c>
      <c r="L22" s="18">
        <f>IF(NOT(AND(ISTEXT(KOL_Source_Data!$U$22),KOL_Source_Data!$U$22&lt;&gt;"N/A")),"N/A",IF(Brand_Profile!$E$53=0,Lookup_Lists!$D$150,ROUND((IF(Brand_Profile!$E$48="",0,IF(ISNUMBER(SEARCH(Brand_Profile!$E$48,Matching_Engine!$BF$22)),1,0))+IF(Brand_Profile!$E$49="",0,IF(ISNUMBER(SEARCH(Brand_Profile!$E$49,Matching_Engine!$BF$22)),1,0))+IF(Brand_Profile!$E$50="",0,IF(ISNUMBER(SEARCH(Brand_Profile!$E$50,Matching_Engine!$BF$22)),1,0))+IF(Brand_Profile!$E$51="",0,IF(ISNUMBER(SEARCH(Brand_Profile!$E$51,Matching_Engine!$BF$22)),1,0))+IF(Brand_Profile!$E$52="",0,IF(ISNUMBER(SEARCH(Brand_Profile!$E$52,Matching_Engine!$BF$22)),1,0)))/Brand_Profile!$E$53*100,0)))</f>
      </c>
      <c r="M22" s="29">
        <f>IF((IF(ISNUMBER(Matching_Engine!$J$22),Lookup_Lists!$D$332,0)+IF(ISNUMBER(Matching_Engine!$K$22),Lookup_Lists!$D$333,0)+IF(ISNUMBER(Matching_Engine!$L$22),Lookup_Lists!$D$334,0))=0,"N/A",ROUND((IF(ISNUMBER(Matching_Engine!$J$22),Matching_Engine!$J$22*Lookup_Lists!$D$332,0)+IF(ISNUMBER(Matching_Engine!$K$22),Matching_Engine!$K$22*Lookup_Lists!$D$333,0)+IF(ISNUMBER(Matching_Engine!$L$22),Matching_Engine!$L$22*Lookup_Lists!$D$334,0))/(IF(ISNUMBER(Matching_Engine!$J$22),Lookup_Lists!$D$332,0)+IF(ISNUMBER(Matching_Engine!$K$22),Lookup_Lists!$D$333,0)+IF(ISNUMBER(Matching_Engine!$L$22),Lookup_Lists!$D$334,0)),0))</f>
      </c>
      <c r="N22" s="11">
        <f>IF(ISNUMBER(Matching_Engine!$M$22),1,0)</f>
      </c>
      <c r="O22" s="18">
        <f>IF(NOT(ISNUMBER(IFERROR(INDEX(KOL_Source_Data!$V$22:KOL_Source_Data!$Z$22,1,MATCH(Brand_Profile!$E$11,Lookup_Lists!$F$6:$F$10,0)),""))),"N/A",MIN(100,ROUND((IFERROR(INDEX(KOL_Source_Data!$V$22:KOL_Source_Data!$Z$22,1,MATCH(Brand_Profile!$E$11,Lookup_Lists!$F$6:$F$10,0)),"")+0.5*IF(ISNUMBER(IFERROR(INDEX(KOL_Source_Data!$V$22:KOL_Source_Data!$Z$22,1,MATCH(Brand_Profile!$E$12,Lookup_Lists!$F$6:$F$10,0)),"")),IFERROR(INDEX(KOL_Source_Data!$V$22:KOL_Source_Data!$Z$22,1,MATCH(Brand_Profile!$E$12,Lookup_Lists!$F$6:$F$10,0)),""),0))/Lookup_Lists!$D$142*100,0)))</f>
      </c>
      <c r="P22" s="18">
        <f>IF(Brand_Profile!$E$13="Any",100,IF(NOT(ISNUMBER(KOL_Source_Data!$AA$22)),"N/A",IF(Brand_Profile!$E$13="Female",MIN(100,ROUND(KOL_Source_Data!$AA$22/Lookup_Lists!$D$143*100,0)),IF(Brand_Profile!$E$13="Male",MIN(100,ROUND(IF(ISNUMBER(KOL_Source_Data!$AB$22),KOL_Source_Data!$AB$22,100-KOL_Source_Data!$AA$22)/Lookup_Lists!$D$143*100,0)),MAX(0,ROUND(100-ABS(KOL_Source_Data!$AA$22-50)*2,0))))))</f>
      </c>
      <c r="Q22" s="18">
        <f>IF((IF(ISNUMBER(IF(NOT(ISNUMBER(KOL_Source_Data!$AE$22)),"N/A",IF(KOL_Source_Data!$AD$22&lt;&gt;Brand_Profile!$E$14,Lookup_Lists!$D$151,MIN(100,ROUND(KOL_Source_Data!$AE$22/Lookup_Lists!$D$316*100,0))))),Lookup_Lists!$D$118,0)+IF(ISNUMBER(IF(NOT(ISNUMBER(KOL_Source_Data!$AM$22)),"N/A",MIN(100,ROUND((IF(KOL_Source_Data!$AG$22=Brand_Profile!$E$15,IF(ISNUMBER(KOL_Source_Data!$AH$22),KOL_Source_Data!$AH$22,0),0)+IF(KOL_Source_Data!$AI$22=Brand_Profile!$E$15,IF(ISNUMBER(KOL_Source_Data!$AJ$22),KOL_Source_Data!$AJ$22,0),0)+IF(KOL_Source_Data!$AK$22=Brand_Profile!$E$15,IF(ISNUMBER(KOL_Source_Data!$AL$22),KOL_Source_Data!$AL$22,0),0))/Lookup_Lists!$D$317*100,0)))),Lookup_Lists!$D$120,0))=0,"N/A",ROUND((IF(ISNUMBER(IF(NOT(ISNUMBER(KOL_Source_Data!$AE$22)),"N/A",IF(KOL_Source_Data!$AD$22&lt;&gt;Brand_Profile!$E$14,Lookup_Lists!$D$151,MIN(100,ROUND(KOL_Source_Data!$AE$22/Lookup_Lists!$D$316*100,0))))),IF(NOT(ISNUMBER(KOL_Source_Data!$AE$22)),"N/A",IF(KOL_Source_Data!$AD$22&lt;&gt;Brand_Profile!$E$14,Lookup_Lists!$D$151,MIN(100,ROUND(KOL_Source_Data!$AE$22/Lookup_Lists!$D$316*100,0))))*Lookup_Lists!$D$118,0)+IF(ISNUMBER(IF(NOT(ISNUMBER(KOL_Source_Data!$AM$22)),"N/A",MIN(100,ROUND((IF(KOL_Source_Data!$AG$22=Brand_Profile!$E$15,IF(ISNUMBER(KOL_Source_Data!$AH$22),KOL_Source_Data!$AH$22,0),0)+IF(KOL_Source_Data!$AI$22=Brand_Profile!$E$15,IF(ISNUMBER(KOL_Source_Data!$AJ$22),KOL_Source_Data!$AJ$22,0),0)+IF(KOL_Source_Data!$AK$22=Brand_Profile!$E$15,IF(ISNUMBER(KOL_Source_Data!$AL$22),KOL_Source_Data!$AL$22,0),0))/Lookup_Lists!$D$317*100,0)))),IF(NOT(ISNUMBER(KOL_Source_Data!$AM$22)),"N/A",MIN(100,ROUND((IF(KOL_Source_Data!$AG$22=Brand_Profile!$E$15,IF(ISNUMBER(KOL_Source_Data!$AH$22),KOL_Source_Data!$AH$22,0),0)+IF(KOL_Source_Data!$AI$22=Brand_Profile!$E$15,IF(ISNUMBER(KOL_Source_Data!$AJ$22),KOL_Source_Data!$AJ$22,0),0)+IF(KOL_Source_Data!$AK$22=Brand_Profile!$E$15,IF(ISNUMBER(KOL_Source_Data!$AL$22),KOL_Source_Data!$AL$22,0),0))/Lookup_Lists!$D$317*100,0)))*Lookup_Lists!$D$120,0))/(IF(ISNUMBER(IF(NOT(ISNUMBER(KOL_Source_Data!$AE$22)),"N/A",IF(KOL_Source_Data!$AD$22&lt;&gt;Brand_Profile!$E$14,Lookup_Lists!$D$151,MIN(100,ROUND(KOL_Source_Data!$AE$22/Lookup_Lists!$D$316*100,0))))),Lookup_Lists!$D$118,0)+IF(ISNUMBER(IF(NOT(ISNUMBER(KOL_Source_Data!$AM$22)),"N/A",MIN(100,ROUND((IF(KOL_Source_Data!$AG$22=Brand_Profile!$E$15,IF(ISNUMBER(KOL_Source_Data!$AH$22),KOL_Source_Data!$AH$22,0),0)+IF(KOL_Source_Data!$AI$22=Brand_Profile!$E$15,IF(ISNUMBER(KOL_Source_Data!$AJ$22),KOL_Source_Data!$AJ$22,0),0)+IF(KOL_Source_Data!$AK$22=Brand_Profile!$E$15,IF(ISNUMBER(KOL_Source_Data!$AL$22),KOL_Source_Data!$AL$22,0),0))/Lookup_Lists!$D$317*100,0)))),Lookup_Lists!$D$120,0)),0))</f>
      </c>
      <c r="R22" s="18">
        <f>IF(NOT(ISNUMBER(KOL_Source_Data!$AN$22)),"N/A",MIN(100,ROUND((IF(ISNUMBER(KOL_Source_Data!$AO$22),KOL_Source_Data!$AO$22*Brand_Profile!$E$17,0)+IF(ISNUMBER(KOL_Source_Data!$AP$22),KOL_Source_Data!$AP$22*Brand_Profile!$E$18,0)+IF(ISNUMBER(KOL_Source_Data!$AQ$22),KOL_Source_Data!$AQ$22*Brand_Profile!$E$19,0)+IF(ISNUMBER(KOL_Source_Data!$AR$22),KOL_Source_Data!$AR$22*Brand_Profile!$E$20,0)+IF(ISNUMBER(KOL_Source_Data!$AS$22),KOL_Source_Data!$AS$22*Brand_Profile!$E$21,0)+IF(ISNUMBER(KOL_Source_Data!$AT$22),KOL_Source_Data!$AT$22*Brand_Profile!$E$22,0)+IF(ISNUMBER(KOL_Source_Data!$AU$22),KOL_Source_Data!$AU$22*Brand_Profile!$E$23,0)+IF(ISNUMBER(KOL_Source_Data!$AV$22),KOL_Source_Data!$AV$22*Brand_Profile!$E$24,0)+IF(ISNUMBER(KOL_Source_Data!$AW$22),KOL_Source_Data!$AW$22*Brand_Profile!$E$25,0)+IF(ISNUMBER(KOL_Source_Data!$AX$22),KOL_Source_Data!$AX$22*Brand_Profile!$E$26,0)+IF(ISNUMBER(KOL_Source_Data!$AY$22),KOL_Source_Data!$AY$22*Brand_Profile!$E$27,0)+IF(ISNUMBER(KOL_Source_Data!$AZ$22),KOL_Source_Data!$AZ$22*Brand_Profile!$E$28,0)+IF(ISNUMBER(KOL_Source_Data!$BA$22),KOL_Source_Data!$BA$22*Brand_Profile!$E$29,0)+IF(ISNUMBER(KOL_Source_Data!$BB$22),KOL_Source_Data!$BB$22*Brand_Profile!$E$30,0)+IF(ISNUMBER(KOL_Source_Data!$BC$22),KOL_Source_Data!$BC$22*Brand_Profile!$E$31,0)+IF(ISNUMBER(KOL_Source_Data!$BD$22),KOL_Source_Data!$BD$22*Brand_Profile!$E$32,0)+IF(ISNUMBER(KOL_Source_Data!$BE$22),KOL_Source_Data!$BE$22*Brand_Profile!$E$33,0)+IF(ISNUMBER(KOL_Source_Data!$BF$22),KOL_Source_Data!$BF$22*Brand_Profile!$E$34,0))/Lookup_Lists!$D$318*100,0)))</f>
      </c>
      <c r="S22" s="29">
        <f>IF((IF(ISNUMBER(Matching_Engine!$O$22),Lookup_Lists!$D$113,0)+IF(ISNUMBER(Matching_Engine!$P$22),Lookup_Lists!$D$114,0)+IF(ISNUMBER(Matching_Engine!$Q$22),Lookup_Lists!$D$115,0)+IF(ISNUMBER(Matching_Engine!$R$22),Lookup_Lists!$D$116,0))=0,"N/A",ROUND((IF(ISNUMBER(Matching_Engine!$O$22),Matching_Engine!$O$22*Lookup_Lists!$D$113,0)+IF(ISNUMBER(Matching_Engine!$P$22),Matching_Engine!$P$22*Lookup_Lists!$D$114,0)+IF(ISNUMBER(Matching_Engine!$Q$22),Matching_Engine!$Q$22*Lookup_Lists!$D$115,0)+IF(ISNUMBER(Matching_Engine!$R$22),Matching_Engine!$R$22*Lookup_Lists!$D$116,0))/(IF(ISNUMBER(Matching_Engine!$O$22),Lookup_Lists!$D$113,0)+IF(ISNUMBER(Matching_Engine!$P$22),Lookup_Lists!$D$114,0)+IF(ISNUMBER(Matching_Engine!$Q$22),Lookup_Lists!$D$115,0)+IF(ISNUMBER(Matching_Engine!$R$22),Lookup_Lists!$D$116,0)),0))</f>
      </c>
      <c r="T22" s="11">
        <f>IF(ISNUMBER(Matching_Engine!$S$22),1,0)</f>
      </c>
      <c r="U22" s="18">
        <f>IF(NOT(AND(ISTEXT(KOL_Source_Data!$M$22),KOL_Source_Data!$M$22&lt;&gt;"N/A")),Lookup_Lists!$D$150,IF(Brand_Profile!$E$7=KOL_Source_Data!$M$22,100,IFERROR(INDEX(Lookup_Lists!$B$349:$J$357,MATCH(Brand_Profile!$E$7,Lookup_Lists!$A$349:$A$357,0),MATCH(KOL_Source_Data!$M$22,Lookup_Lists!$B$348:$J$348,0)),Lookup_Lists!$D$151)))</f>
      </c>
      <c r="V22" s="18">
        <f>IF(NOT(AND(ISTEXT(KOL_Source_Data!$P$22),KOL_Source_Data!$P$22&lt;&gt;"N/A")),"N/A",IFERROR(INDEX(Lookup_Lists!$B$349:$J$357,MATCH(Brand_Profile!$E$7,Lookup_Lists!$A$349:$A$357,0),MATCH(KOL_Source_Data!$P$22,Lookup_Lists!$B$348:$J$348,0)),Lookup_Lists!$D$151))</f>
      </c>
      <c r="W22" s="18">
        <f>IF(LEN(TRIM(SUBSTITUTE(Matching_Engine!$BE$22,"|","")))=0,"N/A",IF(Brand_Profile!$E$60=0,Lookup_Lists!$D$150,ROUND((IF(Brand_Profile!$E$54="",0,IF(ISNUMBER(SEARCH(Brand_Profile!$E$54,Matching_Engine!$BE$22)),1,0))+IF(Brand_Profile!$E$55="",0,IF(ISNUMBER(SEARCH(Brand_Profile!$E$55,Matching_Engine!$BE$22)),1,0))+IF(Brand_Profile!$E$56="",0,IF(ISNUMBER(SEARCH(Brand_Profile!$E$56,Matching_Engine!$BE$22)),1,0))+IF(Brand_Profile!$E$57="",0,IF(ISNUMBER(SEARCH(Brand_Profile!$E$57,Matching_Engine!$BE$22)),1,0))+IF(Brand_Profile!$E$58="",0,IF(ISNUMBER(SEARCH(Brand_Profile!$E$58,Matching_Engine!$BE$22)),1,0))+IF(Brand_Profile!$E$59="",0,IF(ISNUMBER(SEARCH(Brand_Profile!$E$59,Matching_Engine!$BE$22)),1,0)))/Brand_Profile!$E$60*100,0)))</f>
      </c>
      <c r="X22" s="18">
        <f>IF(NOT(AND(ISTEXT(KOL_Source_Data!$Q$22),KOL_Source_Data!$Q$22&lt;&gt;"N/A")),"N/A",Lookup_Lists!$D$150)</f>
      </c>
      <c r="Y22" s="29">
        <f>IF((IF(ISNUMBER(Matching_Engine!$U$22),Lookup_Lists!$D$335,0)+IF(ISNUMBER(Matching_Engine!$V$22),Lookup_Lists!$D$122,0)+IF(ISNUMBER(Matching_Engine!$W$22),Lookup_Lists!$D$336,0)+IF(ISNUMBER(Matching_Engine!$X$22),Lookup_Lists!$D$124,0))=0,"N/A",ROUND((IF(ISNUMBER(Matching_Engine!$U$22),Matching_Engine!$U$22*Lookup_Lists!$D$335,0)+IF(ISNUMBER(Matching_Engine!$V$22),Matching_Engine!$V$22*Lookup_Lists!$D$122,0)+IF(ISNUMBER(Matching_Engine!$W$22),Matching_Engine!$W$22*Lookup_Lists!$D$336,0)+IF(ISNUMBER(Matching_Engine!$X$22),Matching_Engine!$X$22*Lookup_Lists!$D$124,0))/(IF(ISNUMBER(Matching_Engine!$U$22),Lookup_Lists!$D$335,0)+IF(ISNUMBER(Matching_Engine!$V$22),Lookup_Lists!$D$122,0)+IF(ISNUMBER(Matching_Engine!$W$22),Lookup_Lists!$D$336,0)+IF(ISNUMBER(Matching_Engine!$X$22),Lookup_Lists!$D$124,0)),0))</f>
      </c>
      <c r="Z22" s="11">
        <f>IF(ISNUMBER(Matching_Engine!$Y$22),1,0)</f>
      </c>
      <c r="AA22" s="18">
        <f>IF(NOT(AND(ISTEXT(KOL_Source_Data!$Q$22),KOL_Source_Data!$Q$22&lt;&gt;"N/A")),"N/A",Lookup_Lists!$D$150)</f>
      </c>
      <c r="AB22" s="18">
        <f>IF(NOT(AND(ISTEXT(KOL_Source_Data!$Q$22),KOL_Source_Data!$Q$22&lt;&gt;"N/A")),"N/A",Lookup_Lists!$D$150)</f>
      </c>
      <c r="AC22" s="18">
        <f>"N/A"</f>
      </c>
      <c r="AD22" s="18">
        <f>IF(NOT(AND(ISTEXT(KOL_Source_Data!$Q$22),KOL_Source_Data!$Q$22&lt;&gt;"N/A")),"N/A",Lookup_Lists!$D$150)</f>
      </c>
      <c r="AE22" s="29">
        <f>IF((IF(ISNUMBER(Matching_Engine!$AA$22),Lookup_Lists!$D$125,0)+IF(ISNUMBER(Matching_Engine!$AB$22),Lookup_Lists!$D$126,0)+IF(ISNUMBER(Matching_Engine!$AC$22),Lookup_Lists!$D$127,0)+IF(ISNUMBER(Matching_Engine!$AD$22),Lookup_Lists!$D$128,0))=0,"N/A",ROUND((IF(ISNUMBER(Matching_Engine!$AA$22),Matching_Engine!$AA$22*Lookup_Lists!$D$125,0)+IF(ISNUMBER(Matching_Engine!$AB$22),Matching_Engine!$AB$22*Lookup_Lists!$D$126,0)+IF(ISNUMBER(Matching_Engine!$AC$22),Matching_Engine!$AC$22*Lookup_Lists!$D$127,0)+IF(ISNUMBER(Matching_Engine!$AD$22),Matching_Engine!$AD$22*Lookup_Lists!$D$128,0))/(IF(ISNUMBER(Matching_Engine!$AA$22),Lookup_Lists!$D$125,0)+IF(ISNUMBER(Matching_Engine!$AB$22),Lookup_Lists!$D$126,0)+IF(ISNUMBER(Matching_Engine!$AC$22),Lookup_Lists!$D$127,0)+IF(ISNUMBER(Matching_Engine!$AD$22),Lookup_Lists!$D$128,0)),0))</f>
      </c>
      <c r="AF22" s="11">
        <f>IF(ISNUMBER(Matching_Engine!$AE$22),1,0)</f>
      </c>
      <c r="AG22" s="18">
        <f>IF(NOT(ISNUMBER(KOL_Source_Data!$BG$22)),"N/A",MIN(100,ROUND(KOL_Source_Data!$BG$22/IFERROR(INDEX(Lookup_Lists!$B$340:$B$344,MATCH(KOL_Source_Data!$H$22,Lookup_Lists!$A$340:$A$344,0)),Lookup_Lists!$D$141)*100,0)))</f>
      </c>
      <c r="AH22" s="18">
        <f>IF(NOT(ISNUMBER(KOL_Source_Data!$BS$22)),"N/A",MIN(100,MAX(0,KOL_Source_Data!$BS$22)))</f>
      </c>
      <c r="AI22" s="18">
        <f>IF(OR(NOT(ISNUMBER(KOL_Source_Data!$BM$22)),NOT(ISNUMBER(KOL_Source_Data!$BN$22)),KOL_Source_Data!$BN$22&lt;Lookup_Lists!$D$320),"N/A",MIN(100,ROUND(KOL_Source_Data!$BM$22/Lookup_Lists!$D$319*100,0)))</f>
      </c>
      <c r="AJ22" s="18">
        <f>IF(NOT(ISNUMBER(KOL_Source_Data!$BR$22)),"N/A",KOL_Source_Data!$BR$22)</f>
      </c>
      <c r="AK22" s="18">
        <f>IF(NOT(ISNUMBER(KOL_Source_Data!$BK$22)),"N/A",MIN(100,ROUND(KOL_Source_Data!$BK$22/Lookup_Lists!$D$321*100,0)))</f>
      </c>
      <c r="AL22" s="18">
        <f>IF(NOT(ISNUMBER(KOL_Source_Data!$BP$22)),"N/A",MIN(100,MAX(0,ROUND((KOL_Source_Data!$BP$22+2)/(Lookup_Lists!$D$145+2)*100,0))))</f>
      </c>
      <c r="AM22" s="29">
        <f>IF((IF(ISNUMBER(Matching_Engine!$AG$22),Lookup_Lists!$D$129,0)+IF(ISNUMBER(Matching_Engine!$AH$22),Lookup_Lists!$D$130,0)+IF(ISNUMBER(Matching_Engine!$AI$22),Lookup_Lists!$D$131,0)+IF(ISNUMBER(Matching_Engine!$AJ$22),Lookup_Lists!$D$132,0)+IF(ISNUMBER(Matching_Engine!$AK$22),Lookup_Lists!$D$133,0)+IF(ISNUMBER(Matching_Engine!$AL$22),Lookup_Lists!$D$134,0))=0,"N/A",ROUND((IF(ISNUMBER(Matching_Engine!$AG$22),Matching_Engine!$AG$22*Lookup_Lists!$D$129,0)+IF(ISNUMBER(Matching_Engine!$AH$22),Matching_Engine!$AH$22*Lookup_Lists!$D$130,0)+IF(ISNUMBER(Matching_Engine!$AI$22),Matching_Engine!$AI$22*Lookup_Lists!$D$131,0)+IF(ISNUMBER(Matching_Engine!$AJ$22),Matching_Engine!$AJ$22*Lookup_Lists!$D$132,0)+IF(ISNUMBER(Matching_Engine!$AK$22),Matching_Engine!$AK$22*Lookup_Lists!$D$133,0)+IF(ISNUMBER(Matching_Engine!$AL$22),Matching_Engine!$AL$22*Lookup_Lists!$D$134,0))/(IF(ISNUMBER(Matching_Engine!$AG$22),Lookup_Lists!$D$129,0)+IF(ISNUMBER(Matching_Engine!$AH$22),Lookup_Lists!$D$130,0)+IF(ISNUMBER(Matching_Engine!$AI$22),Lookup_Lists!$D$131,0)+IF(ISNUMBER(Matching_Engine!$AJ$22),Lookup_Lists!$D$132,0)+IF(ISNUMBER(Matching_Engine!$AK$22),Lookup_Lists!$D$133,0)+IF(ISNUMBER(Matching_Engine!$AL$22),Lookup_Lists!$D$134,0)),0))</f>
      </c>
      <c r="AN22" s="11">
        <f>IF(ISNUMBER(Matching_Engine!$AM$22),1,0)</f>
      </c>
      <c r="AO22" s="18">
        <f>IF(NOT(ISNUMBER(KOL_Source_Data!$BT$22)),"N/A",MIN(100,MAX(0,KOL_Source_Data!$BT$22)))</f>
      </c>
      <c r="AP22" s="18">
        <f>IF(NOT(ISNUMBER(KOL_Source_Data!$BU$22)),"N/A",MIN(100,MAX(0,KOL_Source_Data!$BU$22)))</f>
      </c>
      <c r="AQ22" s="18">
        <f>IF(KOL_Source_Data!$I$22="Yes",Lookup_Lists!$D$326,IF(KOL_Source_Data!$I$22="No",Lookup_Lists!$D$327,"N/A"))</f>
      </c>
      <c r="AR22" s="18">
        <f>IF(NOT(ISNUMBER(KOL_Source_Data!$BQ$22)),"N/A",MAX(0,ROUND(100-KOL_Source_Data!$BQ$22/Lookup_Lists!$D$328*100,0)))</f>
      </c>
      <c r="AS22" s="18">
        <f>IF(NOT(AND(ISTEXT(KOL_Source_Data!$BV$22),KOL_Source_Data!$BV$22&lt;&gt;"N/A")),"N/A",KOL_Source_Data!$BV$22)</f>
      </c>
      <c r="AT22" s="29">
        <f>IF((IF(ISNUMBER(Matching_Engine!$AO$22),Lookup_Lists!$D$322,0)+IF(ISNUMBER(Matching_Engine!$AP$22),Lookup_Lists!$D$323,0)+IF(ISNUMBER(Matching_Engine!$AQ$22),Lookup_Lists!$D$324,0)+IF(ISNUMBER(Matching_Engine!$AR$22),Lookup_Lists!$D$325,0))=0,"N/A",ROUND((IF(ISNUMBER(Matching_Engine!$AO$22),Matching_Engine!$AO$22*Lookup_Lists!$D$322,0)+IF(ISNUMBER(Matching_Engine!$AP$22),Matching_Engine!$AP$22*Lookup_Lists!$D$323,0)+IF(ISNUMBER(Matching_Engine!$AQ$22),Matching_Engine!$AQ$22*Lookup_Lists!$D$324,0)+IF(ISNUMBER(Matching_Engine!$AR$22),Matching_Engine!$AR$22*Lookup_Lists!$D$325,0))/(IF(ISNUMBER(Matching_Engine!$AO$22),Lookup_Lists!$D$322,0)+IF(ISNUMBER(Matching_Engine!$AP$22),Lookup_Lists!$D$323,0)+IF(ISNUMBER(Matching_Engine!$AQ$22),Lookup_Lists!$D$324,0)+IF(ISNUMBER(Matching_Engine!$AR$22),Lookup_Lists!$D$325,0)),0))</f>
      </c>
      <c r="AU22" s="11">
        <f>IF(ISNUMBER(Matching_Engine!$AT$22),1,0)</f>
      </c>
      <c r="AV22" s="11">
        <f>IF(NOT(ISNUMBER(Matching_Engine!$AT$22)),"Not Screened",IF(Matching_Engine!$AT$22&gt;=Lookup_Lists!$D$329,"Low Risk",IF(Matching_Engine!$AT$22&gt;=Lookup_Lists!$D$330,"Moderate Risk",IF(Matching_Engine!$AT$22&gt;=Lookup_Lists!$D$331,"Elevated Risk","High Risk"))))</f>
      </c>
      <c r="AW22" s="11">
        <f>IF(NOT(ISNUMBER(Matching_Engine!$AT$22)),"No integrity signal: no audience-analysis row for this account.","Integrity screen only — no content-risk reading exists (comments_analysis: 0 rows). "&amp;IF(ISNUMBER(Matching_Engine!$AO$22),"Authenticity "&amp;Matching_Engine!$AO$22&amp;". ","Authenticity N/A. ")&amp;IF(ISNUMBER(Matching_Engine!$AP$22),"Follower quality "&amp;Matching_Engine!$AP$22&amp;". ","Follower quality N/A. ")&amp;IF(KOL_Source_Data!$I$22="Yes","Platform-verified.","Not platform-verified."))</f>
      </c>
      <c r="AX22" s="18">
        <f>Matching_Engine!$N$22*Lookup_Lists!$D$104+Matching_Engine!$T$22*Lookup_Lists!$D$105+Matching_Engine!$Z$22*Lookup_Lists!$D$106+Matching_Engine!$AF$22*Lookup_Lists!$D$107+Matching_Engine!$AN$22*Lookup_Lists!$D$108+Matching_Engine!$AU$22*Lookup_Lists!$D$109</f>
      </c>
      <c r="AY22" s="30">
        <f>IF(Matching_Engine!$AX$22=0,"N/A",ROUND((IF(Matching_Engine!$N$22=1,Matching_Engine!$M$22*Lookup_Lists!$D$104,0)+IF(Matching_Engine!$T$22=1,Matching_Engine!$S$22*Lookup_Lists!$D$105,0)+IF(Matching_Engine!$Z$22=1,Matching_Engine!$Y$22*Lookup_Lists!$D$106,0)+IF(Matching_Engine!$AF$22=1,Matching_Engine!$AE$22*Lookup_Lists!$D$107,0)+IF(Matching_Engine!$AN$22=1,Matching_Engine!$AM$22*Lookup_Lists!$D$108,0)+IF(Matching_Engine!$AU$22=1,Matching_Engine!$AT$22*Lookup_Lists!$D$109,0))/Matching_Engine!$AX$22,0))</f>
      </c>
      <c r="AZ22" s="11">
        <f>IF(NOT(ISNUMBER(Matching_Engine!$AY$22)),"Not Scored",IF(Matching_Engine!$AY$22&gt;=Lookup_Lists!$D$152,"Excellent Match",IF(Matching_Engine!$AY$22&gt;=Lookup_Lists!$D$153,"Strong Match",IF(Matching_Engine!$AY$22&gt;=Lookup_Lists!$D$154,"Good Match",IF(Matching_Engine!$AY$22&gt;=Lookup_Lists!$D$155,"Moderate Match","Low Match")))))</f>
      </c>
      <c r="BA22" s="18">
        <f>KOL_Source_Data!$BW$22</f>
      </c>
      <c r="BB22" s="11">
        <f>KOL_Source_Data!$BX$22</f>
      </c>
      <c r="BC22" s="18">
        <f>IF(NOT(ISNUMBER(Matching_Engine!$AY$22)),-1,Matching_Engine!$AY$22*1000+8)</f>
      </c>
      <c r="BD22" s="11">
        <f>IF(AND(ISTEXT(KOL_Source_Data!$S$22),KOL_Source_Data!$S$22&lt;&gt;"N/A"),KOL_Source_Data!$S$22,"")&amp;" | "&amp;IF(AND(ISTEXT(KOL_Source_Data!$T$22),KOL_Source_Data!$T$22&lt;&gt;"N/A"),KOL_Source_Data!$T$22,"")&amp;" | "&amp;IF(AND(ISTEXT(KOL_Source_Data!$N$22),KOL_Source_Data!$N$22&lt;&gt;"N/A"),KOL_Source_Data!$N$22,"")&amp;" | "&amp;IF(AND(ISTEXT(KOL_Source_Data!$K$22),KOL_Source_Data!$K$22&lt;&gt;"N/A"),KOL_Source_Data!$K$22,"")&amp;" | "&amp;IF(AND(ISTEXT(KOL_Source_Data!$J$22),KOL_Source_Data!$J$22&lt;&gt;"N/A"),KOL_Source_Data!$J$22,"")</f>
      </c>
      <c r="BE22" s="11">
        <f>IF(AND(ISTEXT(KOL_Source_Data!$T$22),KOL_Source_Data!$T$22&lt;&gt;"N/A"),KOL_Source_Data!$T$22,"")&amp;" | "&amp;IF(AND(ISTEXT(KOL_Source_Data!$N$22),KOL_Source_Data!$N$22&lt;&gt;"N/A"),KOL_Source_Data!$N$22,"")&amp;" | "&amp;IF(AND(ISTEXT(KOL_Source_Data!$O$22),KOL_Source_Data!$O$22&lt;&gt;"N/A"),KOL_Source_Data!$O$22,"")&amp;" | "&amp;IF(AND(ISTEXT(KOL_Source_Data!$S$22),KOL_Source_Data!$S$22&lt;&gt;"N/A"),KOL_Source_Data!$S$22,"")</f>
      </c>
      <c r="BF22" s="11">
        <f>IF(AND(ISTEXT(KOL_Source_Data!$U$22),KOL_Source_Data!$U$22&lt;&gt;"N/A"),KOL_Source_Data!$U$22,"")</f>
      </c>
      <c r="BG22" s="11">
        <f>Matching_Engine!$A$22&amp;"|"&amp;Matching_Engine!$C$22</f>
      </c>
    </row>
    <row r="23" spans="1:59" x14ac:dyDescent="0.25">
      <c r="A23" s="10" t="s">
        <v>390</v>
      </c>
      <c r="B23" s="11">
        <f>Brand_Profile!$E$6</f>
      </c>
      <c r="C23" s="11">
        <f>KOL_Source_Data!$A$23</f>
      </c>
      <c r="D23" s="11">
        <f>KOL_Source_Data!$C$23</f>
      </c>
      <c r="E23" s="11">
        <f>KOL_Source_Data!$D$23</f>
      </c>
      <c r="F23" s="11">
        <f>KOL_Source_Data!$E$23</f>
      </c>
      <c r="G23" s="11">
        <f>KOL_Source_Data!$K$23</f>
      </c>
      <c r="H23" s="12">
        <f>KOL_Source_Data!$G$23</f>
      </c>
      <c r="I23" s="14">
        <f>KOL_Source_Data!$BG$23</f>
      </c>
      <c r="J23" s="18">
        <f>IF(NOT(AND(ISTEXT(KOL_Source_Data!$K$23),KOL_Source_Data!$K$23&lt;&gt;"N/A")),Lookup_Lists!$D$150,IF(Brand_Profile!$E$7=KOL_Source_Data!$K$23,100,IFERROR(INDEX(Lookup_Lists!$B$349:$J$357,MATCH(Brand_Profile!$E$7,Lookup_Lists!$A$349:$A$357,0),MATCH(KOL_Source_Data!$K$23,Lookup_Lists!$B$348:$J$348,0)),Lookup_Lists!$D$151)))</f>
      </c>
      <c r="K23" s="18">
        <f>IF(LEN(TRIM(SUBSTITUTE(Matching_Engine!$BD$23,"|","")))=0,"N/A",IF(Brand_Profile!$E$47=0,Lookup_Lists!$D$150,ROUND((IF(Brand_Profile!$E$41="",0,IF(ISNUMBER(SEARCH(Brand_Profile!$E$41,Matching_Engine!$BD$23)),1,0))+IF(Brand_Profile!$E$42="",0,IF(ISNUMBER(SEARCH(Brand_Profile!$E$42,Matching_Engine!$BD$23)),1,0))+IF(Brand_Profile!$E$43="",0,IF(ISNUMBER(SEARCH(Brand_Profile!$E$43,Matching_Engine!$BD$23)),1,0))+IF(Brand_Profile!$E$44="",0,IF(ISNUMBER(SEARCH(Brand_Profile!$E$44,Matching_Engine!$BD$23)),1,0))+IF(Brand_Profile!$E$45="",0,IF(ISNUMBER(SEARCH(Brand_Profile!$E$45,Matching_Engine!$BD$23)),1,0))+IF(Brand_Profile!$E$46="",0,IF(ISNUMBER(SEARCH(Brand_Profile!$E$46,Matching_Engine!$BD$23)),1,0)))/Brand_Profile!$E$47*100,0)))</f>
      </c>
      <c r="L23" s="18">
        <f>IF(NOT(AND(ISTEXT(KOL_Source_Data!$U$23),KOL_Source_Data!$U$23&lt;&gt;"N/A")),"N/A",IF(Brand_Profile!$E$53=0,Lookup_Lists!$D$150,ROUND((IF(Brand_Profile!$E$48="",0,IF(ISNUMBER(SEARCH(Brand_Profile!$E$48,Matching_Engine!$BF$23)),1,0))+IF(Brand_Profile!$E$49="",0,IF(ISNUMBER(SEARCH(Brand_Profile!$E$49,Matching_Engine!$BF$23)),1,0))+IF(Brand_Profile!$E$50="",0,IF(ISNUMBER(SEARCH(Brand_Profile!$E$50,Matching_Engine!$BF$23)),1,0))+IF(Brand_Profile!$E$51="",0,IF(ISNUMBER(SEARCH(Brand_Profile!$E$51,Matching_Engine!$BF$23)),1,0))+IF(Brand_Profile!$E$52="",0,IF(ISNUMBER(SEARCH(Brand_Profile!$E$52,Matching_Engine!$BF$23)),1,0)))/Brand_Profile!$E$53*100,0)))</f>
      </c>
      <c r="M23" s="29">
        <f>IF((IF(ISNUMBER(Matching_Engine!$J$23),Lookup_Lists!$D$332,0)+IF(ISNUMBER(Matching_Engine!$K$23),Lookup_Lists!$D$333,0)+IF(ISNUMBER(Matching_Engine!$L$23),Lookup_Lists!$D$334,0))=0,"N/A",ROUND((IF(ISNUMBER(Matching_Engine!$J$23),Matching_Engine!$J$23*Lookup_Lists!$D$332,0)+IF(ISNUMBER(Matching_Engine!$K$23),Matching_Engine!$K$23*Lookup_Lists!$D$333,0)+IF(ISNUMBER(Matching_Engine!$L$23),Matching_Engine!$L$23*Lookup_Lists!$D$334,0))/(IF(ISNUMBER(Matching_Engine!$J$23),Lookup_Lists!$D$332,0)+IF(ISNUMBER(Matching_Engine!$K$23),Lookup_Lists!$D$333,0)+IF(ISNUMBER(Matching_Engine!$L$23),Lookup_Lists!$D$334,0)),0))</f>
      </c>
      <c r="N23" s="11">
        <f>IF(ISNUMBER(Matching_Engine!$M$23),1,0)</f>
      </c>
      <c r="O23" s="18">
        <f>IF(NOT(ISNUMBER(IFERROR(INDEX(KOL_Source_Data!$V$23:KOL_Source_Data!$Z$23,1,MATCH(Brand_Profile!$E$11,Lookup_Lists!$F$6:$F$10,0)),""))),"N/A",MIN(100,ROUND((IFERROR(INDEX(KOL_Source_Data!$V$23:KOL_Source_Data!$Z$23,1,MATCH(Brand_Profile!$E$11,Lookup_Lists!$F$6:$F$10,0)),"")+0.5*IF(ISNUMBER(IFERROR(INDEX(KOL_Source_Data!$V$23:KOL_Source_Data!$Z$23,1,MATCH(Brand_Profile!$E$12,Lookup_Lists!$F$6:$F$10,0)),"")),IFERROR(INDEX(KOL_Source_Data!$V$23:KOL_Source_Data!$Z$23,1,MATCH(Brand_Profile!$E$12,Lookup_Lists!$F$6:$F$10,0)),""),0))/Lookup_Lists!$D$142*100,0)))</f>
      </c>
      <c r="P23" s="18">
        <f>IF(Brand_Profile!$E$13="Any",100,IF(NOT(ISNUMBER(KOL_Source_Data!$AA$23)),"N/A",IF(Brand_Profile!$E$13="Female",MIN(100,ROUND(KOL_Source_Data!$AA$23/Lookup_Lists!$D$143*100,0)),IF(Brand_Profile!$E$13="Male",MIN(100,ROUND(IF(ISNUMBER(KOL_Source_Data!$AB$23),KOL_Source_Data!$AB$23,100-KOL_Source_Data!$AA$23)/Lookup_Lists!$D$143*100,0)),MAX(0,ROUND(100-ABS(KOL_Source_Data!$AA$23-50)*2,0))))))</f>
      </c>
      <c r="Q23" s="18">
        <f>IF((IF(ISNUMBER(IF(NOT(ISNUMBER(KOL_Source_Data!$AE$23)),"N/A",IF(KOL_Source_Data!$AD$23&lt;&gt;Brand_Profile!$E$14,Lookup_Lists!$D$151,MIN(100,ROUND(KOL_Source_Data!$AE$23/Lookup_Lists!$D$316*100,0))))),Lookup_Lists!$D$118,0)+IF(ISNUMBER(IF(NOT(ISNUMBER(KOL_Source_Data!$AM$23)),"N/A",MIN(100,ROUND((IF(KOL_Source_Data!$AG$23=Brand_Profile!$E$15,IF(ISNUMBER(KOL_Source_Data!$AH$23),KOL_Source_Data!$AH$23,0),0)+IF(KOL_Source_Data!$AI$23=Brand_Profile!$E$15,IF(ISNUMBER(KOL_Source_Data!$AJ$23),KOL_Source_Data!$AJ$23,0),0)+IF(KOL_Source_Data!$AK$23=Brand_Profile!$E$15,IF(ISNUMBER(KOL_Source_Data!$AL$23),KOL_Source_Data!$AL$23,0),0))/Lookup_Lists!$D$317*100,0)))),Lookup_Lists!$D$120,0))=0,"N/A",ROUND((IF(ISNUMBER(IF(NOT(ISNUMBER(KOL_Source_Data!$AE$23)),"N/A",IF(KOL_Source_Data!$AD$23&lt;&gt;Brand_Profile!$E$14,Lookup_Lists!$D$151,MIN(100,ROUND(KOL_Source_Data!$AE$23/Lookup_Lists!$D$316*100,0))))),IF(NOT(ISNUMBER(KOL_Source_Data!$AE$23)),"N/A",IF(KOL_Source_Data!$AD$23&lt;&gt;Brand_Profile!$E$14,Lookup_Lists!$D$151,MIN(100,ROUND(KOL_Source_Data!$AE$23/Lookup_Lists!$D$316*100,0))))*Lookup_Lists!$D$118,0)+IF(ISNUMBER(IF(NOT(ISNUMBER(KOL_Source_Data!$AM$23)),"N/A",MIN(100,ROUND((IF(KOL_Source_Data!$AG$23=Brand_Profile!$E$15,IF(ISNUMBER(KOL_Source_Data!$AH$23),KOL_Source_Data!$AH$23,0),0)+IF(KOL_Source_Data!$AI$23=Brand_Profile!$E$15,IF(ISNUMBER(KOL_Source_Data!$AJ$23),KOL_Source_Data!$AJ$23,0),0)+IF(KOL_Source_Data!$AK$23=Brand_Profile!$E$15,IF(ISNUMBER(KOL_Source_Data!$AL$23),KOL_Source_Data!$AL$23,0),0))/Lookup_Lists!$D$317*100,0)))),IF(NOT(ISNUMBER(KOL_Source_Data!$AM$23)),"N/A",MIN(100,ROUND((IF(KOL_Source_Data!$AG$23=Brand_Profile!$E$15,IF(ISNUMBER(KOL_Source_Data!$AH$23),KOL_Source_Data!$AH$23,0),0)+IF(KOL_Source_Data!$AI$23=Brand_Profile!$E$15,IF(ISNUMBER(KOL_Source_Data!$AJ$23),KOL_Source_Data!$AJ$23,0),0)+IF(KOL_Source_Data!$AK$23=Brand_Profile!$E$15,IF(ISNUMBER(KOL_Source_Data!$AL$23),KOL_Source_Data!$AL$23,0),0))/Lookup_Lists!$D$317*100,0)))*Lookup_Lists!$D$120,0))/(IF(ISNUMBER(IF(NOT(ISNUMBER(KOL_Source_Data!$AE$23)),"N/A",IF(KOL_Source_Data!$AD$23&lt;&gt;Brand_Profile!$E$14,Lookup_Lists!$D$151,MIN(100,ROUND(KOL_Source_Data!$AE$23/Lookup_Lists!$D$316*100,0))))),Lookup_Lists!$D$118,0)+IF(ISNUMBER(IF(NOT(ISNUMBER(KOL_Source_Data!$AM$23)),"N/A",MIN(100,ROUND((IF(KOL_Source_Data!$AG$23=Brand_Profile!$E$15,IF(ISNUMBER(KOL_Source_Data!$AH$23),KOL_Source_Data!$AH$23,0),0)+IF(KOL_Source_Data!$AI$23=Brand_Profile!$E$15,IF(ISNUMBER(KOL_Source_Data!$AJ$23),KOL_Source_Data!$AJ$23,0),0)+IF(KOL_Source_Data!$AK$23=Brand_Profile!$E$15,IF(ISNUMBER(KOL_Source_Data!$AL$23),KOL_Source_Data!$AL$23,0),0))/Lookup_Lists!$D$317*100,0)))),Lookup_Lists!$D$120,0)),0))</f>
      </c>
      <c r="R23" s="18">
        <f>IF(NOT(ISNUMBER(KOL_Source_Data!$AN$23)),"N/A",MIN(100,ROUND((IF(ISNUMBER(KOL_Source_Data!$AO$23),KOL_Source_Data!$AO$23*Brand_Profile!$E$17,0)+IF(ISNUMBER(KOL_Source_Data!$AP$23),KOL_Source_Data!$AP$23*Brand_Profile!$E$18,0)+IF(ISNUMBER(KOL_Source_Data!$AQ$23),KOL_Source_Data!$AQ$23*Brand_Profile!$E$19,0)+IF(ISNUMBER(KOL_Source_Data!$AR$23),KOL_Source_Data!$AR$23*Brand_Profile!$E$20,0)+IF(ISNUMBER(KOL_Source_Data!$AS$23),KOL_Source_Data!$AS$23*Brand_Profile!$E$21,0)+IF(ISNUMBER(KOL_Source_Data!$AT$23),KOL_Source_Data!$AT$23*Brand_Profile!$E$22,0)+IF(ISNUMBER(KOL_Source_Data!$AU$23),KOL_Source_Data!$AU$23*Brand_Profile!$E$23,0)+IF(ISNUMBER(KOL_Source_Data!$AV$23),KOL_Source_Data!$AV$23*Brand_Profile!$E$24,0)+IF(ISNUMBER(KOL_Source_Data!$AW$23),KOL_Source_Data!$AW$23*Brand_Profile!$E$25,0)+IF(ISNUMBER(KOL_Source_Data!$AX$23),KOL_Source_Data!$AX$23*Brand_Profile!$E$26,0)+IF(ISNUMBER(KOL_Source_Data!$AY$23),KOL_Source_Data!$AY$23*Brand_Profile!$E$27,0)+IF(ISNUMBER(KOL_Source_Data!$AZ$23),KOL_Source_Data!$AZ$23*Brand_Profile!$E$28,0)+IF(ISNUMBER(KOL_Source_Data!$BA$23),KOL_Source_Data!$BA$23*Brand_Profile!$E$29,0)+IF(ISNUMBER(KOL_Source_Data!$BB$23),KOL_Source_Data!$BB$23*Brand_Profile!$E$30,0)+IF(ISNUMBER(KOL_Source_Data!$BC$23),KOL_Source_Data!$BC$23*Brand_Profile!$E$31,0)+IF(ISNUMBER(KOL_Source_Data!$BD$23),KOL_Source_Data!$BD$23*Brand_Profile!$E$32,0)+IF(ISNUMBER(KOL_Source_Data!$BE$23),KOL_Source_Data!$BE$23*Brand_Profile!$E$33,0)+IF(ISNUMBER(KOL_Source_Data!$BF$23),KOL_Source_Data!$BF$23*Brand_Profile!$E$34,0))/Lookup_Lists!$D$318*100,0)))</f>
      </c>
      <c r="S23" s="29">
        <f>IF((IF(ISNUMBER(Matching_Engine!$O$23),Lookup_Lists!$D$113,0)+IF(ISNUMBER(Matching_Engine!$P$23),Lookup_Lists!$D$114,0)+IF(ISNUMBER(Matching_Engine!$Q$23),Lookup_Lists!$D$115,0)+IF(ISNUMBER(Matching_Engine!$R$23),Lookup_Lists!$D$116,0))=0,"N/A",ROUND((IF(ISNUMBER(Matching_Engine!$O$23),Matching_Engine!$O$23*Lookup_Lists!$D$113,0)+IF(ISNUMBER(Matching_Engine!$P$23),Matching_Engine!$P$23*Lookup_Lists!$D$114,0)+IF(ISNUMBER(Matching_Engine!$Q$23),Matching_Engine!$Q$23*Lookup_Lists!$D$115,0)+IF(ISNUMBER(Matching_Engine!$R$23),Matching_Engine!$R$23*Lookup_Lists!$D$116,0))/(IF(ISNUMBER(Matching_Engine!$O$23),Lookup_Lists!$D$113,0)+IF(ISNUMBER(Matching_Engine!$P$23),Lookup_Lists!$D$114,0)+IF(ISNUMBER(Matching_Engine!$Q$23),Lookup_Lists!$D$115,0)+IF(ISNUMBER(Matching_Engine!$R$23),Lookup_Lists!$D$116,0)),0))</f>
      </c>
      <c r="T23" s="11">
        <f>IF(ISNUMBER(Matching_Engine!$S$23),1,0)</f>
      </c>
      <c r="U23" s="18">
        <f>IF(NOT(AND(ISTEXT(KOL_Source_Data!$M$23),KOL_Source_Data!$M$23&lt;&gt;"N/A")),Lookup_Lists!$D$150,IF(Brand_Profile!$E$7=KOL_Source_Data!$M$23,100,IFERROR(INDEX(Lookup_Lists!$B$349:$J$357,MATCH(Brand_Profile!$E$7,Lookup_Lists!$A$349:$A$357,0),MATCH(KOL_Source_Data!$M$23,Lookup_Lists!$B$348:$J$348,0)),Lookup_Lists!$D$151)))</f>
      </c>
      <c r="V23" s="18">
        <f>IF(NOT(AND(ISTEXT(KOL_Source_Data!$P$23),KOL_Source_Data!$P$23&lt;&gt;"N/A")),"N/A",IFERROR(INDEX(Lookup_Lists!$B$349:$J$357,MATCH(Brand_Profile!$E$7,Lookup_Lists!$A$349:$A$357,0),MATCH(KOL_Source_Data!$P$23,Lookup_Lists!$B$348:$J$348,0)),Lookup_Lists!$D$151))</f>
      </c>
      <c r="W23" s="18">
        <f>IF(LEN(TRIM(SUBSTITUTE(Matching_Engine!$BE$23,"|","")))=0,"N/A",IF(Brand_Profile!$E$60=0,Lookup_Lists!$D$150,ROUND((IF(Brand_Profile!$E$54="",0,IF(ISNUMBER(SEARCH(Brand_Profile!$E$54,Matching_Engine!$BE$23)),1,0))+IF(Brand_Profile!$E$55="",0,IF(ISNUMBER(SEARCH(Brand_Profile!$E$55,Matching_Engine!$BE$23)),1,0))+IF(Brand_Profile!$E$56="",0,IF(ISNUMBER(SEARCH(Brand_Profile!$E$56,Matching_Engine!$BE$23)),1,0))+IF(Brand_Profile!$E$57="",0,IF(ISNUMBER(SEARCH(Brand_Profile!$E$57,Matching_Engine!$BE$23)),1,0))+IF(Brand_Profile!$E$58="",0,IF(ISNUMBER(SEARCH(Brand_Profile!$E$58,Matching_Engine!$BE$23)),1,0))+IF(Brand_Profile!$E$59="",0,IF(ISNUMBER(SEARCH(Brand_Profile!$E$59,Matching_Engine!$BE$23)),1,0)))/Brand_Profile!$E$60*100,0)))</f>
      </c>
      <c r="X23" s="18">
        <f>IF(NOT(AND(ISTEXT(KOL_Source_Data!$Q$23),KOL_Source_Data!$Q$23&lt;&gt;"N/A")),"N/A",Lookup_Lists!$D$150)</f>
      </c>
      <c r="Y23" s="29">
        <f>IF((IF(ISNUMBER(Matching_Engine!$U$23),Lookup_Lists!$D$335,0)+IF(ISNUMBER(Matching_Engine!$V$23),Lookup_Lists!$D$122,0)+IF(ISNUMBER(Matching_Engine!$W$23),Lookup_Lists!$D$336,0)+IF(ISNUMBER(Matching_Engine!$X$23),Lookup_Lists!$D$124,0))=0,"N/A",ROUND((IF(ISNUMBER(Matching_Engine!$U$23),Matching_Engine!$U$23*Lookup_Lists!$D$335,0)+IF(ISNUMBER(Matching_Engine!$V$23),Matching_Engine!$V$23*Lookup_Lists!$D$122,0)+IF(ISNUMBER(Matching_Engine!$W$23),Matching_Engine!$W$23*Lookup_Lists!$D$336,0)+IF(ISNUMBER(Matching_Engine!$X$23),Matching_Engine!$X$23*Lookup_Lists!$D$124,0))/(IF(ISNUMBER(Matching_Engine!$U$23),Lookup_Lists!$D$335,0)+IF(ISNUMBER(Matching_Engine!$V$23),Lookup_Lists!$D$122,0)+IF(ISNUMBER(Matching_Engine!$W$23),Lookup_Lists!$D$336,0)+IF(ISNUMBER(Matching_Engine!$X$23),Lookup_Lists!$D$124,0)),0))</f>
      </c>
      <c r="Z23" s="11">
        <f>IF(ISNUMBER(Matching_Engine!$Y$23),1,0)</f>
      </c>
      <c r="AA23" s="18">
        <f>IF(NOT(AND(ISTEXT(KOL_Source_Data!$Q$23),KOL_Source_Data!$Q$23&lt;&gt;"N/A")),"N/A",Lookup_Lists!$D$150)</f>
      </c>
      <c r="AB23" s="18">
        <f>IF(NOT(AND(ISTEXT(KOL_Source_Data!$Q$23),KOL_Source_Data!$Q$23&lt;&gt;"N/A")),"N/A",Lookup_Lists!$D$150)</f>
      </c>
      <c r="AC23" s="18">
        <f>"N/A"</f>
      </c>
      <c r="AD23" s="18">
        <f>IF(NOT(AND(ISTEXT(KOL_Source_Data!$Q$23),KOL_Source_Data!$Q$23&lt;&gt;"N/A")),"N/A",Lookup_Lists!$D$150)</f>
      </c>
      <c r="AE23" s="29">
        <f>IF((IF(ISNUMBER(Matching_Engine!$AA$23),Lookup_Lists!$D$125,0)+IF(ISNUMBER(Matching_Engine!$AB$23),Lookup_Lists!$D$126,0)+IF(ISNUMBER(Matching_Engine!$AC$23),Lookup_Lists!$D$127,0)+IF(ISNUMBER(Matching_Engine!$AD$23),Lookup_Lists!$D$128,0))=0,"N/A",ROUND((IF(ISNUMBER(Matching_Engine!$AA$23),Matching_Engine!$AA$23*Lookup_Lists!$D$125,0)+IF(ISNUMBER(Matching_Engine!$AB$23),Matching_Engine!$AB$23*Lookup_Lists!$D$126,0)+IF(ISNUMBER(Matching_Engine!$AC$23),Matching_Engine!$AC$23*Lookup_Lists!$D$127,0)+IF(ISNUMBER(Matching_Engine!$AD$23),Matching_Engine!$AD$23*Lookup_Lists!$D$128,0))/(IF(ISNUMBER(Matching_Engine!$AA$23),Lookup_Lists!$D$125,0)+IF(ISNUMBER(Matching_Engine!$AB$23),Lookup_Lists!$D$126,0)+IF(ISNUMBER(Matching_Engine!$AC$23),Lookup_Lists!$D$127,0)+IF(ISNUMBER(Matching_Engine!$AD$23),Lookup_Lists!$D$128,0)),0))</f>
      </c>
      <c r="AF23" s="11">
        <f>IF(ISNUMBER(Matching_Engine!$AE$23),1,0)</f>
      </c>
      <c r="AG23" s="18">
        <f>IF(NOT(ISNUMBER(KOL_Source_Data!$BG$23)),"N/A",MIN(100,ROUND(KOL_Source_Data!$BG$23/IFERROR(INDEX(Lookup_Lists!$B$340:$B$344,MATCH(KOL_Source_Data!$H$23,Lookup_Lists!$A$340:$A$344,0)),Lookup_Lists!$D$141)*100,0)))</f>
      </c>
      <c r="AH23" s="18">
        <f>IF(NOT(ISNUMBER(KOL_Source_Data!$BS$23)),"N/A",MIN(100,MAX(0,KOL_Source_Data!$BS$23)))</f>
      </c>
      <c r="AI23" s="18">
        <f>IF(OR(NOT(ISNUMBER(KOL_Source_Data!$BM$23)),NOT(ISNUMBER(KOL_Source_Data!$BN$23)),KOL_Source_Data!$BN$23&lt;Lookup_Lists!$D$320),"N/A",MIN(100,ROUND(KOL_Source_Data!$BM$23/Lookup_Lists!$D$319*100,0)))</f>
      </c>
      <c r="AJ23" s="18">
        <f>IF(NOT(ISNUMBER(KOL_Source_Data!$BR$23)),"N/A",KOL_Source_Data!$BR$23)</f>
      </c>
      <c r="AK23" s="18">
        <f>IF(NOT(ISNUMBER(KOL_Source_Data!$BK$23)),"N/A",MIN(100,ROUND(KOL_Source_Data!$BK$23/Lookup_Lists!$D$321*100,0)))</f>
      </c>
      <c r="AL23" s="18">
        <f>IF(NOT(ISNUMBER(KOL_Source_Data!$BP$23)),"N/A",MIN(100,MAX(0,ROUND((KOL_Source_Data!$BP$23+2)/(Lookup_Lists!$D$145+2)*100,0))))</f>
      </c>
      <c r="AM23" s="29">
        <f>IF((IF(ISNUMBER(Matching_Engine!$AG$23),Lookup_Lists!$D$129,0)+IF(ISNUMBER(Matching_Engine!$AH$23),Lookup_Lists!$D$130,0)+IF(ISNUMBER(Matching_Engine!$AI$23),Lookup_Lists!$D$131,0)+IF(ISNUMBER(Matching_Engine!$AJ$23),Lookup_Lists!$D$132,0)+IF(ISNUMBER(Matching_Engine!$AK$23),Lookup_Lists!$D$133,0)+IF(ISNUMBER(Matching_Engine!$AL$23),Lookup_Lists!$D$134,0))=0,"N/A",ROUND((IF(ISNUMBER(Matching_Engine!$AG$23),Matching_Engine!$AG$23*Lookup_Lists!$D$129,0)+IF(ISNUMBER(Matching_Engine!$AH$23),Matching_Engine!$AH$23*Lookup_Lists!$D$130,0)+IF(ISNUMBER(Matching_Engine!$AI$23),Matching_Engine!$AI$23*Lookup_Lists!$D$131,0)+IF(ISNUMBER(Matching_Engine!$AJ$23),Matching_Engine!$AJ$23*Lookup_Lists!$D$132,0)+IF(ISNUMBER(Matching_Engine!$AK$23),Matching_Engine!$AK$23*Lookup_Lists!$D$133,0)+IF(ISNUMBER(Matching_Engine!$AL$23),Matching_Engine!$AL$23*Lookup_Lists!$D$134,0))/(IF(ISNUMBER(Matching_Engine!$AG$23),Lookup_Lists!$D$129,0)+IF(ISNUMBER(Matching_Engine!$AH$23),Lookup_Lists!$D$130,0)+IF(ISNUMBER(Matching_Engine!$AI$23),Lookup_Lists!$D$131,0)+IF(ISNUMBER(Matching_Engine!$AJ$23),Lookup_Lists!$D$132,0)+IF(ISNUMBER(Matching_Engine!$AK$23),Lookup_Lists!$D$133,0)+IF(ISNUMBER(Matching_Engine!$AL$23),Lookup_Lists!$D$134,0)),0))</f>
      </c>
      <c r="AN23" s="11">
        <f>IF(ISNUMBER(Matching_Engine!$AM$23),1,0)</f>
      </c>
      <c r="AO23" s="18">
        <f>IF(NOT(ISNUMBER(KOL_Source_Data!$BT$23)),"N/A",MIN(100,MAX(0,KOL_Source_Data!$BT$23)))</f>
      </c>
      <c r="AP23" s="18">
        <f>IF(NOT(ISNUMBER(KOL_Source_Data!$BU$23)),"N/A",MIN(100,MAX(0,KOL_Source_Data!$BU$23)))</f>
      </c>
      <c r="AQ23" s="18">
        <f>IF(KOL_Source_Data!$I$23="Yes",Lookup_Lists!$D$326,IF(KOL_Source_Data!$I$23="No",Lookup_Lists!$D$327,"N/A"))</f>
      </c>
      <c r="AR23" s="18">
        <f>IF(NOT(ISNUMBER(KOL_Source_Data!$BQ$23)),"N/A",MAX(0,ROUND(100-KOL_Source_Data!$BQ$23/Lookup_Lists!$D$328*100,0)))</f>
      </c>
      <c r="AS23" s="18">
        <f>IF(NOT(AND(ISTEXT(KOL_Source_Data!$BV$23),KOL_Source_Data!$BV$23&lt;&gt;"N/A")),"N/A",KOL_Source_Data!$BV$23)</f>
      </c>
      <c r="AT23" s="29">
        <f>IF((IF(ISNUMBER(Matching_Engine!$AO$23),Lookup_Lists!$D$322,0)+IF(ISNUMBER(Matching_Engine!$AP$23),Lookup_Lists!$D$323,0)+IF(ISNUMBER(Matching_Engine!$AQ$23),Lookup_Lists!$D$324,0)+IF(ISNUMBER(Matching_Engine!$AR$23),Lookup_Lists!$D$325,0))=0,"N/A",ROUND((IF(ISNUMBER(Matching_Engine!$AO$23),Matching_Engine!$AO$23*Lookup_Lists!$D$322,0)+IF(ISNUMBER(Matching_Engine!$AP$23),Matching_Engine!$AP$23*Lookup_Lists!$D$323,0)+IF(ISNUMBER(Matching_Engine!$AQ$23),Matching_Engine!$AQ$23*Lookup_Lists!$D$324,0)+IF(ISNUMBER(Matching_Engine!$AR$23),Matching_Engine!$AR$23*Lookup_Lists!$D$325,0))/(IF(ISNUMBER(Matching_Engine!$AO$23),Lookup_Lists!$D$322,0)+IF(ISNUMBER(Matching_Engine!$AP$23),Lookup_Lists!$D$323,0)+IF(ISNUMBER(Matching_Engine!$AQ$23),Lookup_Lists!$D$324,0)+IF(ISNUMBER(Matching_Engine!$AR$23),Lookup_Lists!$D$325,0)),0))</f>
      </c>
      <c r="AU23" s="11">
        <f>IF(ISNUMBER(Matching_Engine!$AT$23),1,0)</f>
      </c>
      <c r="AV23" s="11">
        <f>IF(NOT(ISNUMBER(Matching_Engine!$AT$23)),"Not Screened",IF(Matching_Engine!$AT$23&gt;=Lookup_Lists!$D$329,"Low Risk",IF(Matching_Engine!$AT$23&gt;=Lookup_Lists!$D$330,"Moderate Risk",IF(Matching_Engine!$AT$23&gt;=Lookup_Lists!$D$331,"Elevated Risk","High Risk"))))</f>
      </c>
      <c r="AW23" s="11">
        <f>IF(NOT(ISNUMBER(Matching_Engine!$AT$23)),"No integrity signal: no audience-analysis row for this account.","Integrity screen only — no content-risk reading exists (comments_analysis: 0 rows). "&amp;IF(ISNUMBER(Matching_Engine!$AO$23),"Authenticity "&amp;Matching_Engine!$AO$23&amp;". ","Authenticity N/A. ")&amp;IF(ISNUMBER(Matching_Engine!$AP$23),"Follower quality "&amp;Matching_Engine!$AP$23&amp;". ","Follower quality N/A. ")&amp;IF(KOL_Source_Data!$I$23="Yes","Platform-verified.","Not platform-verified."))</f>
      </c>
      <c r="AX23" s="18">
        <f>Matching_Engine!$N$23*Lookup_Lists!$D$104+Matching_Engine!$T$23*Lookup_Lists!$D$105+Matching_Engine!$Z$23*Lookup_Lists!$D$106+Matching_Engine!$AF$23*Lookup_Lists!$D$107+Matching_Engine!$AN$23*Lookup_Lists!$D$108+Matching_Engine!$AU$23*Lookup_Lists!$D$109</f>
      </c>
      <c r="AY23" s="30">
        <f>IF(Matching_Engine!$AX$23=0,"N/A",ROUND((IF(Matching_Engine!$N$23=1,Matching_Engine!$M$23*Lookup_Lists!$D$104,0)+IF(Matching_Engine!$T$23=1,Matching_Engine!$S$23*Lookup_Lists!$D$105,0)+IF(Matching_Engine!$Z$23=1,Matching_Engine!$Y$23*Lookup_Lists!$D$106,0)+IF(Matching_Engine!$AF$23=1,Matching_Engine!$AE$23*Lookup_Lists!$D$107,0)+IF(Matching_Engine!$AN$23=1,Matching_Engine!$AM$23*Lookup_Lists!$D$108,0)+IF(Matching_Engine!$AU$23=1,Matching_Engine!$AT$23*Lookup_Lists!$D$109,0))/Matching_Engine!$AX$23,0))</f>
      </c>
      <c r="AZ23" s="11">
        <f>IF(NOT(ISNUMBER(Matching_Engine!$AY$23)),"Not Scored",IF(Matching_Engine!$AY$23&gt;=Lookup_Lists!$D$152,"Excellent Match",IF(Matching_Engine!$AY$23&gt;=Lookup_Lists!$D$153,"Strong Match",IF(Matching_Engine!$AY$23&gt;=Lookup_Lists!$D$154,"Good Match",IF(Matching_Engine!$AY$23&gt;=Lookup_Lists!$D$155,"Moderate Match","Low Match")))))</f>
      </c>
      <c r="BA23" s="18">
        <f>KOL_Source_Data!$BW$23</f>
      </c>
      <c r="BB23" s="11">
        <f>KOL_Source_Data!$BX$23</f>
      </c>
      <c r="BC23" s="18">
        <f>IF(NOT(ISNUMBER(Matching_Engine!$AY$23)),-1,Matching_Engine!$AY$23*1000+7)</f>
      </c>
      <c r="BD23" s="11">
        <f>IF(AND(ISTEXT(KOL_Source_Data!$S$23),KOL_Source_Data!$S$23&lt;&gt;"N/A"),KOL_Source_Data!$S$23,"")&amp;" | "&amp;IF(AND(ISTEXT(KOL_Source_Data!$T$23),KOL_Source_Data!$T$23&lt;&gt;"N/A"),KOL_Source_Data!$T$23,"")&amp;" | "&amp;IF(AND(ISTEXT(KOL_Source_Data!$N$23),KOL_Source_Data!$N$23&lt;&gt;"N/A"),KOL_Source_Data!$N$23,"")&amp;" | "&amp;IF(AND(ISTEXT(KOL_Source_Data!$K$23),KOL_Source_Data!$K$23&lt;&gt;"N/A"),KOL_Source_Data!$K$23,"")&amp;" | "&amp;IF(AND(ISTEXT(KOL_Source_Data!$J$23),KOL_Source_Data!$J$23&lt;&gt;"N/A"),KOL_Source_Data!$J$23,"")</f>
      </c>
      <c r="BE23" s="11">
        <f>IF(AND(ISTEXT(KOL_Source_Data!$T$23),KOL_Source_Data!$T$23&lt;&gt;"N/A"),KOL_Source_Data!$T$23,"")&amp;" | "&amp;IF(AND(ISTEXT(KOL_Source_Data!$N$23),KOL_Source_Data!$N$23&lt;&gt;"N/A"),KOL_Source_Data!$N$23,"")&amp;" | "&amp;IF(AND(ISTEXT(KOL_Source_Data!$O$23),KOL_Source_Data!$O$23&lt;&gt;"N/A"),KOL_Source_Data!$O$23,"")&amp;" | "&amp;IF(AND(ISTEXT(KOL_Source_Data!$S$23),KOL_Source_Data!$S$23&lt;&gt;"N/A"),KOL_Source_Data!$S$23,"")</f>
      </c>
      <c r="BF23" s="11">
        <f>IF(AND(ISTEXT(KOL_Source_Data!$U$23),KOL_Source_Data!$U$23&lt;&gt;"N/A"),KOL_Source_Data!$U$23,"")</f>
      </c>
      <c r="BG23" s="11">
        <f>Matching_Engine!$A$23&amp;"|"&amp;Matching_Engine!$C$23</f>
      </c>
    </row>
    <row r="24" spans="1:59" x14ac:dyDescent="0.25">
      <c r="A24" s="10" t="s">
        <v>390</v>
      </c>
      <c r="B24" s="11">
        <f>Brand_Profile!$E$6</f>
      </c>
      <c r="C24" s="11">
        <f>KOL_Source_Data!$A$24</f>
      </c>
      <c r="D24" s="11">
        <f>KOL_Source_Data!$C$24</f>
      </c>
      <c r="E24" s="11">
        <f>KOL_Source_Data!$D$24</f>
      </c>
      <c r="F24" s="11">
        <f>KOL_Source_Data!$E$24</f>
      </c>
      <c r="G24" s="11">
        <f>KOL_Source_Data!$K$24</f>
      </c>
      <c r="H24" s="12">
        <f>KOL_Source_Data!$G$24</f>
      </c>
      <c r="I24" s="14">
        <f>KOL_Source_Data!$BG$24</f>
      </c>
      <c r="J24" s="18">
        <f>IF(NOT(AND(ISTEXT(KOL_Source_Data!$K$24),KOL_Source_Data!$K$24&lt;&gt;"N/A")),Lookup_Lists!$D$150,IF(Brand_Profile!$E$7=KOL_Source_Data!$K$24,100,IFERROR(INDEX(Lookup_Lists!$B$349:$J$357,MATCH(Brand_Profile!$E$7,Lookup_Lists!$A$349:$A$357,0),MATCH(KOL_Source_Data!$K$24,Lookup_Lists!$B$348:$J$348,0)),Lookup_Lists!$D$151)))</f>
      </c>
      <c r="K24" s="18">
        <f>IF(LEN(TRIM(SUBSTITUTE(Matching_Engine!$BD$24,"|","")))=0,"N/A",IF(Brand_Profile!$E$47=0,Lookup_Lists!$D$150,ROUND((IF(Brand_Profile!$E$41="",0,IF(ISNUMBER(SEARCH(Brand_Profile!$E$41,Matching_Engine!$BD$24)),1,0))+IF(Brand_Profile!$E$42="",0,IF(ISNUMBER(SEARCH(Brand_Profile!$E$42,Matching_Engine!$BD$24)),1,0))+IF(Brand_Profile!$E$43="",0,IF(ISNUMBER(SEARCH(Brand_Profile!$E$43,Matching_Engine!$BD$24)),1,0))+IF(Brand_Profile!$E$44="",0,IF(ISNUMBER(SEARCH(Brand_Profile!$E$44,Matching_Engine!$BD$24)),1,0))+IF(Brand_Profile!$E$45="",0,IF(ISNUMBER(SEARCH(Brand_Profile!$E$45,Matching_Engine!$BD$24)),1,0))+IF(Brand_Profile!$E$46="",0,IF(ISNUMBER(SEARCH(Brand_Profile!$E$46,Matching_Engine!$BD$24)),1,0)))/Brand_Profile!$E$47*100,0)))</f>
      </c>
      <c r="L24" s="18">
        <f>IF(NOT(AND(ISTEXT(KOL_Source_Data!$U$24),KOL_Source_Data!$U$24&lt;&gt;"N/A")),"N/A",IF(Brand_Profile!$E$53=0,Lookup_Lists!$D$150,ROUND((IF(Brand_Profile!$E$48="",0,IF(ISNUMBER(SEARCH(Brand_Profile!$E$48,Matching_Engine!$BF$24)),1,0))+IF(Brand_Profile!$E$49="",0,IF(ISNUMBER(SEARCH(Brand_Profile!$E$49,Matching_Engine!$BF$24)),1,0))+IF(Brand_Profile!$E$50="",0,IF(ISNUMBER(SEARCH(Brand_Profile!$E$50,Matching_Engine!$BF$24)),1,0))+IF(Brand_Profile!$E$51="",0,IF(ISNUMBER(SEARCH(Brand_Profile!$E$51,Matching_Engine!$BF$24)),1,0))+IF(Brand_Profile!$E$52="",0,IF(ISNUMBER(SEARCH(Brand_Profile!$E$52,Matching_Engine!$BF$24)),1,0)))/Brand_Profile!$E$53*100,0)))</f>
      </c>
      <c r="M24" s="29">
        <f>IF((IF(ISNUMBER(Matching_Engine!$J$24),Lookup_Lists!$D$332,0)+IF(ISNUMBER(Matching_Engine!$K$24),Lookup_Lists!$D$333,0)+IF(ISNUMBER(Matching_Engine!$L$24),Lookup_Lists!$D$334,0))=0,"N/A",ROUND((IF(ISNUMBER(Matching_Engine!$J$24),Matching_Engine!$J$24*Lookup_Lists!$D$332,0)+IF(ISNUMBER(Matching_Engine!$K$24),Matching_Engine!$K$24*Lookup_Lists!$D$333,0)+IF(ISNUMBER(Matching_Engine!$L$24),Matching_Engine!$L$24*Lookup_Lists!$D$334,0))/(IF(ISNUMBER(Matching_Engine!$J$24),Lookup_Lists!$D$332,0)+IF(ISNUMBER(Matching_Engine!$K$24),Lookup_Lists!$D$333,0)+IF(ISNUMBER(Matching_Engine!$L$24),Lookup_Lists!$D$334,0)),0))</f>
      </c>
      <c r="N24" s="11">
        <f>IF(ISNUMBER(Matching_Engine!$M$24),1,0)</f>
      </c>
      <c r="O24" s="18">
        <f>IF(NOT(ISNUMBER(IFERROR(INDEX(KOL_Source_Data!$V$24:KOL_Source_Data!$Z$24,1,MATCH(Brand_Profile!$E$11,Lookup_Lists!$F$6:$F$10,0)),""))),"N/A",MIN(100,ROUND((IFERROR(INDEX(KOL_Source_Data!$V$24:KOL_Source_Data!$Z$24,1,MATCH(Brand_Profile!$E$11,Lookup_Lists!$F$6:$F$10,0)),"")+0.5*IF(ISNUMBER(IFERROR(INDEX(KOL_Source_Data!$V$24:KOL_Source_Data!$Z$24,1,MATCH(Brand_Profile!$E$12,Lookup_Lists!$F$6:$F$10,0)),"")),IFERROR(INDEX(KOL_Source_Data!$V$24:KOL_Source_Data!$Z$24,1,MATCH(Brand_Profile!$E$12,Lookup_Lists!$F$6:$F$10,0)),""),0))/Lookup_Lists!$D$142*100,0)))</f>
      </c>
      <c r="P24" s="18">
        <f>IF(Brand_Profile!$E$13="Any",100,IF(NOT(ISNUMBER(KOL_Source_Data!$AA$24)),"N/A",IF(Brand_Profile!$E$13="Female",MIN(100,ROUND(KOL_Source_Data!$AA$24/Lookup_Lists!$D$143*100,0)),IF(Brand_Profile!$E$13="Male",MIN(100,ROUND(IF(ISNUMBER(KOL_Source_Data!$AB$24),KOL_Source_Data!$AB$24,100-KOL_Source_Data!$AA$24)/Lookup_Lists!$D$143*100,0)),MAX(0,ROUND(100-ABS(KOL_Source_Data!$AA$24-50)*2,0))))))</f>
      </c>
      <c r="Q24" s="18">
        <f>IF((IF(ISNUMBER(IF(NOT(ISNUMBER(KOL_Source_Data!$AE$24)),"N/A",IF(KOL_Source_Data!$AD$24&lt;&gt;Brand_Profile!$E$14,Lookup_Lists!$D$151,MIN(100,ROUND(KOL_Source_Data!$AE$24/Lookup_Lists!$D$316*100,0))))),Lookup_Lists!$D$118,0)+IF(ISNUMBER(IF(NOT(ISNUMBER(KOL_Source_Data!$AM$24)),"N/A",MIN(100,ROUND((IF(KOL_Source_Data!$AG$24=Brand_Profile!$E$15,IF(ISNUMBER(KOL_Source_Data!$AH$24),KOL_Source_Data!$AH$24,0),0)+IF(KOL_Source_Data!$AI$24=Brand_Profile!$E$15,IF(ISNUMBER(KOL_Source_Data!$AJ$24),KOL_Source_Data!$AJ$24,0),0)+IF(KOL_Source_Data!$AK$24=Brand_Profile!$E$15,IF(ISNUMBER(KOL_Source_Data!$AL$24),KOL_Source_Data!$AL$24,0),0))/Lookup_Lists!$D$317*100,0)))),Lookup_Lists!$D$120,0))=0,"N/A",ROUND((IF(ISNUMBER(IF(NOT(ISNUMBER(KOL_Source_Data!$AE$24)),"N/A",IF(KOL_Source_Data!$AD$24&lt;&gt;Brand_Profile!$E$14,Lookup_Lists!$D$151,MIN(100,ROUND(KOL_Source_Data!$AE$24/Lookup_Lists!$D$316*100,0))))),IF(NOT(ISNUMBER(KOL_Source_Data!$AE$24)),"N/A",IF(KOL_Source_Data!$AD$24&lt;&gt;Brand_Profile!$E$14,Lookup_Lists!$D$151,MIN(100,ROUND(KOL_Source_Data!$AE$24/Lookup_Lists!$D$316*100,0))))*Lookup_Lists!$D$118,0)+IF(ISNUMBER(IF(NOT(ISNUMBER(KOL_Source_Data!$AM$24)),"N/A",MIN(100,ROUND((IF(KOL_Source_Data!$AG$24=Brand_Profile!$E$15,IF(ISNUMBER(KOL_Source_Data!$AH$24),KOL_Source_Data!$AH$24,0),0)+IF(KOL_Source_Data!$AI$24=Brand_Profile!$E$15,IF(ISNUMBER(KOL_Source_Data!$AJ$24),KOL_Source_Data!$AJ$24,0),0)+IF(KOL_Source_Data!$AK$24=Brand_Profile!$E$15,IF(ISNUMBER(KOL_Source_Data!$AL$24),KOL_Source_Data!$AL$24,0),0))/Lookup_Lists!$D$317*100,0)))),IF(NOT(ISNUMBER(KOL_Source_Data!$AM$24)),"N/A",MIN(100,ROUND((IF(KOL_Source_Data!$AG$24=Brand_Profile!$E$15,IF(ISNUMBER(KOL_Source_Data!$AH$24),KOL_Source_Data!$AH$24,0),0)+IF(KOL_Source_Data!$AI$24=Brand_Profile!$E$15,IF(ISNUMBER(KOL_Source_Data!$AJ$24),KOL_Source_Data!$AJ$24,0),0)+IF(KOL_Source_Data!$AK$24=Brand_Profile!$E$15,IF(ISNUMBER(KOL_Source_Data!$AL$24),KOL_Source_Data!$AL$24,0),0))/Lookup_Lists!$D$317*100,0)))*Lookup_Lists!$D$120,0))/(IF(ISNUMBER(IF(NOT(ISNUMBER(KOL_Source_Data!$AE$24)),"N/A",IF(KOL_Source_Data!$AD$24&lt;&gt;Brand_Profile!$E$14,Lookup_Lists!$D$151,MIN(100,ROUND(KOL_Source_Data!$AE$24/Lookup_Lists!$D$316*100,0))))),Lookup_Lists!$D$118,0)+IF(ISNUMBER(IF(NOT(ISNUMBER(KOL_Source_Data!$AM$24)),"N/A",MIN(100,ROUND((IF(KOL_Source_Data!$AG$24=Brand_Profile!$E$15,IF(ISNUMBER(KOL_Source_Data!$AH$24),KOL_Source_Data!$AH$24,0),0)+IF(KOL_Source_Data!$AI$24=Brand_Profile!$E$15,IF(ISNUMBER(KOL_Source_Data!$AJ$24),KOL_Source_Data!$AJ$24,0),0)+IF(KOL_Source_Data!$AK$24=Brand_Profile!$E$15,IF(ISNUMBER(KOL_Source_Data!$AL$24),KOL_Source_Data!$AL$24,0),0))/Lookup_Lists!$D$317*100,0)))),Lookup_Lists!$D$120,0)),0))</f>
      </c>
      <c r="R24" s="18">
        <f>IF(NOT(ISNUMBER(KOL_Source_Data!$AN$24)),"N/A",MIN(100,ROUND((IF(ISNUMBER(KOL_Source_Data!$AO$24),KOL_Source_Data!$AO$24*Brand_Profile!$E$17,0)+IF(ISNUMBER(KOL_Source_Data!$AP$24),KOL_Source_Data!$AP$24*Brand_Profile!$E$18,0)+IF(ISNUMBER(KOL_Source_Data!$AQ$24),KOL_Source_Data!$AQ$24*Brand_Profile!$E$19,0)+IF(ISNUMBER(KOL_Source_Data!$AR$24),KOL_Source_Data!$AR$24*Brand_Profile!$E$20,0)+IF(ISNUMBER(KOL_Source_Data!$AS$24),KOL_Source_Data!$AS$24*Brand_Profile!$E$21,0)+IF(ISNUMBER(KOL_Source_Data!$AT$24),KOL_Source_Data!$AT$24*Brand_Profile!$E$22,0)+IF(ISNUMBER(KOL_Source_Data!$AU$24),KOL_Source_Data!$AU$24*Brand_Profile!$E$23,0)+IF(ISNUMBER(KOL_Source_Data!$AV$24),KOL_Source_Data!$AV$24*Brand_Profile!$E$24,0)+IF(ISNUMBER(KOL_Source_Data!$AW$24),KOL_Source_Data!$AW$24*Brand_Profile!$E$25,0)+IF(ISNUMBER(KOL_Source_Data!$AX$24),KOL_Source_Data!$AX$24*Brand_Profile!$E$26,0)+IF(ISNUMBER(KOL_Source_Data!$AY$24),KOL_Source_Data!$AY$24*Brand_Profile!$E$27,0)+IF(ISNUMBER(KOL_Source_Data!$AZ$24),KOL_Source_Data!$AZ$24*Brand_Profile!$E$28,0)+IF(ISNUMBER(KOL_Source_Data!$BA$24),KOL_Source_Data!$BA$24*Brand_Profile!$E$29,0)+IF(ISNUMBER(KOL_Source_Data!$BB$24),KOL_Source_Data!$BB$24*Brand_Profile!$E$30,0)+IF(ISNUMBER(KOL_Source_Data!$BC$24),KOL_Source_Data!$BC$24*Brand_Profile!$E$31,0)+IF(ISNUMBER(KOL_Source_Data!$BD$24),KOL_Source_Data!$BD$24*Brand_Profile!$E$32,0)+IF(ISNUMBER(KOL_Source_Data!$BE$24),KOL_Source_Data!$BE$24*Brand_Profile!$E$33,0)+IF(ISNUMBER(KOL_Source_Data!$BF$24),KOL_Source_Data!$BF$24*Brand_Profile!$E$34,0))/Lookup_Lists!$D$318*100,0)))</f>
      </c>
      <c r="S24" s="29">
        <f>IF((IF(ISNUMBER(Matching_Engine!$O$24),Lookup_Lists!$D$113,0)+IF(ISNUMBER(Matching_Engine!$P$24),Lookup_Lists!$D$114,0)+IF(ISNUMBER(Matching_Engine!$Q$24),Lookup_Lists!$D$115,0)+IF(ISNUMBER(Matching_Engine!$R$24),Lookup_Lists!$D$116,0))=0,"N/A",ROUND((IF(ISNUMBER(Matching_Engine!$O$24),Matching_Engine!$O$24*Lookup_Lists!$D$113,0)+IF(ISNUMBER(Matching_Engine!$P$24),Matching_Engine!$P$24*Lookup_Lists!$D$114,0)+IF(ISNUMBER(Matching_Engine!$Q$24),Matching_Engine!$Q$24*Lookup_Lists!$D$115,0)+IF(ISNUMBER(Matching_Engine!$R$24),Matching_Engine!$R$24*Lookup_Lists!$D$116,0))/(IF(ISNUMBER(Matching_Engine!$O$24),Lookup_Lists!$D$113,0)+IF(ISNUMBER(Matching_Engine!$P$24),Lookup_Lists!$D$114,0)+IF(ISNUMBER(Matching_Engine!$Q$24),Lookup_Lists!$D$115,0)+IF(ISNUMBER(Matching_Engine!$R$24),Lookup_Lists!$D$116,0)),0))</f>
      </c>
      <c r="T24" s="11">
        <f>IF(ISNUMBER(Matching_Engine!$S$24),1,0)</f>
      </c>
      <c r="U24" s="18">
        <f>IF(NOT(AND(ISTEXT(KOL_Source_Data!$M$24),KOL_Source_Data!$M$24&lt;&gt;"N/A")),Lookup_Lists!$D$150,IF(Brand_Profile!$E$7=KOL_Source_Data!$M$24,100,IFERROR(INDEX(Lookup_Lists!$B$349:$J$357,MATCH(Brand_Profile!$E$7,Lookup_Lists!$A$349:$A$357,0),MATCH(KOL_Source_Data!$M$24,Lookup_Lists!$B$348:$J$348,0)),Lookup_Lists!$D$151)))</f>
      </c>
      <c r="V24" s="18">
        <f>IF(NOT(AND(ISTEXT(KOL_Source_Data!$P$24),KOL_Source_Data!$P$24&lt;&gt;"N/A")),"N/A",IFERROR(INDEX(Lookup_Lists!$B$349:$J$357,MATCH(Brand_Profile!$E$7,Lookup_Lists!$A$349:$A$357,0),MATCH(KOL_Source_Data!$P$24,Lookup_Lists!$B$348:$J$348,0)),Lookup_Lists!$D$151))</f>
      </c>
      <c r="W24" s="18">
        <f>IF(LEN(TRIM(SUBSTITUTE(Matching_Engine!$BE$24,"|","")))=0,"N/A",IF(Brand_Profile!$E$60=0,Lookup_Lists!$D$150,ROUND((IF(Brand_Profile!$E$54="",0,IF(ISNUMBER(SEARCH(Brand_Profile!$E$54,Matching_Engine!$BE$24)),1,0))+IF(Brand_Profile!$E$55="",0,IF(ISNUMBER(SEARCH(Brand_Profile!$E$55,Matching_Engine!$BE$24)),1,0))+IF(Brand_Profile!$E$56="",0,IF(ISNUMBER(SEARCH(Brand_Profile!$E$56,Matching_Engine!$BE$24)),1,0))+IF(Brand_Profile!$E$57="",0,IF(ISNUMBER(SEARCH(Brand_Profile!$E$57,Matching_Engine!$BE$24)),1,0))+IF(Brand_Profile!$E$58="",0,IF(ISNUMBER(SEARCH(Brand_Profile!$E$58,Matching_Engine!$BE$24)),1,0))+IF(Brand_Profile!$E$59="",0,IF(ISNUMBER(SEARCH(Brand_Profile!$E$59,Matching_Engine!$BE$24)),1,0)))/Brand_Profile!$E$60*100,0)))</f>
      </c>
      <c r="X24" s="18">
        <f>IF(NOT(AND(ISTEXT(KOL_Source_Data!$Q$24),KOL_Source_Data!$Q$24&lt;&gt;"N/A")),"N/A",Lookup_Lists!$D$150)</f>
      </c>
      <c r="Y24" s="29">
        <f>IF((IF(ISNUMBER(Matching_Engine!$U$24),Lookup_Lists!$D$335,0)+IF(ISNUMBER(Matching_Engine!$V$24),Lookup_Lists!$D$122,0)+IF(ISNUMBER(Matching_Engine!$W$24),Lookup_Lists!$D$336,0)+IF(ISNUMBER(Matching_Engine!$X$24),Lookup_Lists!$D$124,0))=0,"N/A",ROUND((IF(ISNUMBER(Matching_Engine!$U$24),Matching_Engine!$U$24*Lookup_Lists!$D$335,0)+IF(ISNUMBER(Matching_Engine!$V$24),Matching_Engine!$V$24*Lookup_Lists!$D$122,0)+IF(ISNUMBER(Matching_Engine!$W$24),Matching_Engine!$W$24*Lookup_Lists!$D$336,0)+IF(ISNUMBER(Matching_Engine!$X$24),Matching_Engine!$X$24*Lookup_Lists!$D$124,0))/(IF(ISNUMBER(Matching_Engine!$U$24),Lookup_Lists!$D$335,0)+IF(ISNUMBER(Matching_Engine!$V$24),Lookup_Lists!$D$122,0)+IF(ISNUMBER(Matching_Engine!$W$24),Lookup_Lists!$D$336,0)+IF(ISNUMBER(Matching_Engine!$X$24),Lookup_Lists!$D$124,0)),0))</f>
      </c>
      <c r="Z24" s="11">
        <f>IF(ISNUMBER(Matching_Engine!$Y$24),1,0)</f>
      </c>
      <c r="AA24" s="18">
        <f>IF(NOT(AND(ISTEXT(KOL_Source_Data!$Q$24),KOL_Source_Data!$Q$24&lt;&gt;"N/A")),"N/A",Lookup_Lists!$D$150)</f>
      </c>
      <c r="AB24" s="18">
        <f>IF(NOT(AND(ISTEXT(KOL_Source_Data!$Q$24),KOL_Source_Data!$Q$24&lt;&gt;"N/A")),"N/A",Lookup_Lists!$D$150)</f>
      </c>
      <c r="AC24" s="18">
        <f>"N/A"</f>
      </c>
      <c r="AD24" s="18">
        <f>IF(NOT(AND(ISTEXT(KOL_Source_Data!$Q$24),KOL_Source_Data!$Q$24&lt;&gt;"N/A")),"N/A",Lookup_Lists!$D$150)</f>
      </c>
      <c r="AE24" s="29">
        <f>IF((IF(ISNUMBER(Matching_Engine!$AA$24),Lookup_Lists!$D$125,0)+IF(ISNUMBER(Matching_Engine!$AB$24),Lookup_Lists!$D$126,0)+IF(ISNUMBER(Matching_Engine!$AC$24),Lookup_Lists!$D$127,0)+IF(ISNUMBER(Matching_Engine!$AD$24),Lookup_Lists!$D$128,0))=0,"N/A",ROUND((IF(ISNUMBER(Matching_Engine!$AA$24),Matching_Engine!$AA$24*Lookup_Lists!$D$125,0)+IF(ISNUMBER(Matching_Engine!$AB$24),Matching_Engine!$AB$24*Lookup_Lists!$D$126,0)+IF(ISNUMBER(Matching_Engine!$AC$24),Matching_Engine!$AC$24*Lookup_Lists!$D$127,0)+IF(ISNUMBER(Matching_Engine!$AD$24),Matching_Engine!$AD$24*Lookup_Lists!$D$128,0))/(IF(ISNUMBER(Matching_Engine!$AA$24),Lookup_Lists!$D$125,0)+IF(ISNUMBER(Matching_Engine!$AB$24),Lookup_Lists!$D$126,0)+IF(ISNUMBER(Matching_Engine!$AC$24),Lookup_Lists!$D$127,0)+IF(ISNUMBER(Matching_Engine!$AD$24),Lookup_Lists!$D$128,0)),0))</f>
      </c>
      <c r="AF24" s="11">
        <f>IF(ISNUMBER(Matching_Engine!$AE$24),1,0)</f>
      </c>
      <c r="AG24" s="18">
        <f>IF(NOT(ISNUMBER(KOL_Source_Data!$BG$24)),"N/A",MIN(100,ROUND(KOL_Source_Data!$BG$24/IFERROR(INDEX(Lookup_Lists!$B$340:$B$344,MATCH(KOL_Source_Data!$H$24,Lookup_Lists!$A$340:$A$344,0)),Lookup_Lists!$D$141)*100,0)))</f>
      </c>
      <c r="AH24" s="18">
        <f>IF(NOT(ISNUMBER(KOL_Source_Data!$BS$24)),"N/A",MIN(100,MAX(0,KOL_Source_Data!$BS$24)))</f>
      </c>
      <c r="AI24" s="18">
        <f>IF(OR(NOT(ISNUMBER(KOL_Source_Data!$BM$24)),NOT(ISNUMBER(KOL_Source_Data!$BN$24)),KOL_Source_Data!$BN$24&lt;Lookup_Lists!$D$320),"N/A",MIN(100,ROUND(KOL_Source_Data!$BM$24/Lookup_Lists!$D$319*100,0)))</f>
      </c>
      <c r="AJ24" s="18">
        <f>IF(NOT(ISNUMBER(KOL_Source_Data!$BR$24)),"N/A",KOL_Source_Data!$BR$24)</f>
      </c>
      <c r="AK24" s="18">
        <f>IF(NOT(ISNUMBER(KOL_Source_Data!$BK$24)),"N/A",MIN(100,ROUND(KOL_Source_Data!$BK$24/Lookup_Lists!$D$321*100,0)))</f>
      </c>
      <c r="AL24" s="18">
        <f>IF(NOT(ISNUMBER(KOL_Source_Data!$BP$24)),"N/A",MIN(100,MAX(0,ROUND((KOL_Source_Data!$BP$24+2)/(Lookup_Lists!$D$145+2)*100,0))))</f>
      </c>
      <c r="AM24" s="29">
        <f>IF((IF(ISNUMBER(Matching_Engine!$AG$24),Lookup_Lists!$D$129,0)+IF(ISNUMBER(Matching_Engine!$AH$24),Lookup_Lists!$D$130,0)+IF(ISNUMBER(Matching_Engine!$AI$24),Lookup_Lists!$D$131,0)+IF(ISNUMBER(Matching_Engine!$AJ$24),Lookup_Lists!$D$132,0)+IF(ISNUMBER(Matching_Engine!$AK$24),Lookup_Lists!$D$133,0)+IF(ISNUMBER(Matching_Engine!$AL$24),Lookup_Lists!$D$134,0))=0,"N/A",ROUND((IF(ISNUMBER(Matching_Engine!$AG$24),Matching_Engine!$AG$24*Lookup_Lists!$D$129,0)+IF(ISNUMBER(Matching_Engine!$AH$24),Matching_Engine!$AH$24*Lookup_Lists!$D$130,0)+IF(ISNUMBER(Matching_Engine!$AI$24),Matching_Engine!$AI$24*Lookup_Lists!$D$131,0)+IF(ISNUMBER(Matching_Engine!$AJ$24),Matching_Engine!$AJ$24*Lookup_Lists!$D$132,0)+IF(ISNUMBER(Matching_Engine!$AK$24),Matching_Engine!$AK$24*Lookup_Lists!$D$133,0)+IF(ISNUMBER(Matching_Engine!$AL$24),Matching_Engine!$AL$24*Lookup_Lists!$D$134,0))/(IF(ISNUMBER(Matching_Engine!$AG$24),Lookup_Lists!$D$129,0)+IF(ISNUMBER(Matching_Engine!$AH$24),Lookup_Lists!$D$130,0)+IF(ISNUMBER(Matching_Engine!$AI$24),Lookup_Lists!$D$131,0)+IF(ISNUMBER(Matching_Engine!$AJ$24),Lookup_Lists!$D$132,0)+IF(ISNUMBER(Matching_Engine!$AK$24),Lookup_Lists!$D$133,0)+IF(ISNUMBER(Matching_Engine!$AL$24),Lookup_Lists!$D$134,0)),0))</f>
      </c>
      <c r="AN24" s="11">
        <f>IF(ISNUMBER(Matching_Engine!$AM$24),1,0)</f>
      </c>
      <c r="AO24" s="18">
        <f>IF(NOT(ISNUMBER(KOL_Source_Data!$BT$24)),"N/A",MIN(100,MAX(0,KOL_Source_Data!$BT$24)))</f>
      </c>
      <c r="AP24" s="18">
        <f>IF(NOT(ISNUMBER(KOL_Source_Data!$BU$24)),"N/A",MIN(100,MAX(0,KOL_Source_Data!$BU$24)))</f>
      </c>
      <c r="AQ24" s="18">
        <f>IF(KOL_Source_Data!$I$24="Yes",Lookup_Lists!$D$326,IF(KOL_Source_Data!$I$24="No",Lookup_Lists!$D$327,"N/A"))</f>
      </c>
      <c r="AR24" s="18">
        <f>IF(NOT(ISNUMBER(KOL_Source_Data!$BQ$24)),"N/A",MAX(0,ROUND(100-KOL_Source_Data!$BQ$24/Lookup_Lists!$D$328*100,0)))</f>
      </c>
      <c r="AS24" s="18">
        <f>IF(NOT(AND(ISTEXT(KOL_Source_Data!$BV$24),KOL_Source_Data!$BV$24&lt;&gt;"N/A")),"N/A",KOL_Source_Data!$BV$24)</f>
      </c>
      <c r="AT24" s="29">
        <f>IF((IF(ISNUMBER(Matching_Engine!$AO$24),Lookup_Lists!$D$322,0)+IF(ISNUMBER(Matching_Engine!$AP$24),Lookup_Lists!$D$323,0)+IF(ISNUMBER(Matching_Engine!$AQ$24),Lookup_Lists!$D$324,0)+IF(ISNUMBER(Matching_Engine!$AR$24),Lookup_Lists!$D$325,0))=0,"N/A",ROUND((IF(ISNUMBER(Matching_Engine!$AO$24),Matching_Engine!$AO$24*Lookup_Lists!$D$322,0)+IF(ISNUMBER(Matching_Engine!$AP$24),Matching_Engine!$AP$24*Lookup_Lists!$D$323,0)+IF(ISNUMBER(Matching_Engine!$AQ$24),Matching_Engine!$AQ$24*Lookup_Lists!$D$324,0)+IF(ISNUMBER(Matching_Engine!$AR$24),Matching_Engine!$AR$24*Lookup_Lists!$D$325,0))/(IF(ISNUMBER(Matching_Engine!$AO$24),Lookup_Lists!$D$322,0)+IF(ISNUMBER(Matching_Engine!$AP$24),Lookup_Lists!$D$323,0)+IF(ISNUMBER(Matching_Engine!$AQ$24),Lookup_Lists!$D$324,0)+IF(ISNUMBER(Matching_Engine!$AR$24),Lookup_Lists!$D$325,0)),0))</f>
      </c>
      <c r="AU24" s="11">
        <f>IF(ISNUMBER(Matching_Engine!$AT$24),1,0)</f>
      </c>
      <c r="AV24" s="11">
        <f>IF(NOT(ISNUMBER(Matching_Engine!$AT$24)),"Not Screened",IF(Matching_Engine!$AT$24&gt;=Lookup_Lists!$D$329,"Low Risk",IF(Matching_Engine!$AT$24&gt;=Lookup_Lists!$D$330,"Moderate Risk",IF(Matching_Engine!$AT$24&gt;=Lookup_Lists!$D$331,"Elevated Risk","High Risk"))))</f>
      </c>
      <c r="AW24" s="11">
        <f>IF(NOT(ISNUMBER(Matching_Engine!$AT$24)),"No integrity signal: no audience-analysis row for this account.","Integrity screen only — no content-risk reading exists (comments_analysis: 0 rows). "&amp;IF(ISNUMBER(Matching_Engine!$AO$24),"Authenticity "&amp;Matching_Engine!$AO$24&amp;". ","Authenticity N/A. ")&amp;IF(ISNUMBER(Matching_Engine!$AP$24),"Follower quality "&amp;Matching_Engine!$AP$24&amp;". ","Follower quality N/A. ")&amp;IF(KOL_Source_Data!$I$24="Yes","Platform-verified.","Not platform-verified."))</f>
      </c>
      <c r="AX24" s="18">
        <f>Matching_Engine!$N$24*Lookup_Lists!$D$104+Matching_Engine!$T$24*Lookup_Lists!$D$105+Matching_Engine!$Z$24*Lookup_Lists!$D$106+Matching_Engine!$AF$24*Lookup_Lists!$D$107+Matching_Engine!$AN$24*Lookup_Lists!$D$108+Matching_Engine!$AU$24*Lookup_Lists!$D$109</f>
      </c>
      <c r="AY24" s="30">
        <f>IF(Matching_Engine!$AX$24=0,"N/A",ROUND((IF(Matching_Engine!$N$24=1,Matching_Engine!$M$24*Lookup_Lists!$D$104,0)+IF(Matching_Engine!$T$24=1,Matching_Engine!$S$24*Lookup_Lists!$D$105,0)+IF(Matching_Engine!$Z$24=1,Matching_Engine!$Y$24*Lookup_Lists!$D$106,0)+IF(Matching_Engine!$AF$24=1,Matching_Engine!$AE$24*Lookup_Lists!$D$107,0)+IF(Matching_Engine!$AN$24=1,Matching_Engine!$AM$24*Lookup_Lists!$D$108,0)+IF(Matching_Engine!$AU$24=1,Matching_Engine!$AT$24*Lookup_Lists!$D$109,0))/Matching_Engine!$AX$24,0))</f>
      </c>
      <c r="AZ24" s="11">
        <f>IF(NOT(ISNUMBER(Matching_Engine!$AY$24)),"Not Scored",IF(Matching_Engine!$AY$24&gt;=Lookup_Lists!$D$152,"Excellent Match",IF(Matching_Engine!$AY$24&gt;=Lookup_Lists!$D$153,"Strong Match",IF(Matching_Engine!$AY$24&gt;=Lookup_Lists!$D$154,"Good Match",IF(Matching_Engine!$AY$24&gt;=Lookup_Lists!$D$155,"Moderate Match","Low Match")))))</f>
      </c>
      <c r="BA24" s="18">
        <f>KOL_Source_Data!$BW$24</f>
      </c>
      <c r="BB24" s="11">
        <f>KOL_Source_Data!$BX$24</f>
      </c>
      <c r="BC24" s="18">
        <f>IF(NOT(ISNUMBER(Matching_Engine!$AY$24)),-1,Matching_Engine!$AY$24*1000+6)</f>
      </c>
      <c r="BD24" s="11">
        <f>IF(AND(ISTEXT(KOL_Source_Data!$S$24),KOL_Source_Data!$S$24&lt;&gt;"N/A"),KOL_Source_Data!$S$24,"")&amp;" | "&amp;IF(AND(ISTEXT(KOL_Source_Data!$T$24),KOL_Source_Data!$T$24&lt;&gt;"N/A"),KOL_Source_Data!$T$24,"")&amp;" | "&amp;IF(AND(ISTEXT(KOL_Source_Data!$N$24),KOL_Source_Data!$N$24&lt;&gt;"N/A"),KOL_Source_Data!$N$24,"")&amp;" | "&amp;IF(AND(ISTEXT(KOL_Source_Data!$K$24),KOL_Source_Data!$K$24&lt;&gt;"N/A"),KOL_Source_Data!$K$24,"")&amp;" | "&amp;IF(AND(ISTEXT(KOL_Source_Data!$J$24),KOL_Source_Data!$J$24&lt;&gt;"N/A"),KOL_Source_Data!$J$24,"")</f>
      </c>
      <c r="BE24" s="11">
        <f>IF(AND(ISTEXT(KOL_Source_Data!$T$24),KOL_Source_Data!$T$24&lt;&gt;"N/A"),KOL_Source_Data!$T$24,"")&amp;" | "&amp;IF(AND(ISTEXT(KOL_Source_Data!$N$24),KOL_Source_Data!$N$24&lt;&gt;"N/A"),KOL_Source_Data!$N$24,"")&amp;" | "&amp;IF(AND(ISTEXT(KOL_Source_Data!$O$24),KOL_Source_Data!$O$24&lt;&gt;"N/A"),KOL_Source_Data!$O$24,"")&amp;" | "&amp;IF(AND(ISTEXT(KOL_Source_Data!$S$24),KOL_Source_Data!$S$24&lt;&gt;"N/A"),KOL_Source_Data!$S$24,"")</f>
      </c>
      <c r="BF24" s="11">
        <f>IF(AND(ISTEXT(KOL_Source_Data!$U$24),KOL_Source_Data!$U$24&lt;&gt;"N/A"),KOL_Source_Data!$U$24,"")</f>
      </c>
      <c r="BG24" s="11">
        <f>Matching_Engine!$A$24&amp;"|"&amp;Matching_Engine!$C$24</f>
      </c>
    </row>
    <row r="25" spans="1:59" x14ac:dyDescent="0.25">
      <c r="A25" s="10" t="s">
        <v>390</v>
      </c>
      <c r="B25" s="11">
        <f>Brand_Profile!$E$6</f>
      </c>
      <c r="C25" s="11">
        <f>KOL_Source_Data!$A$25</f>
      </c>
      <c r="D25" s="11">
        <f>KOL_Source_Data!$C$25</f>
      </c>
      <c r="E25" s="11">
        <f>KOL_Source_Data!$D$25</f>
      </c>
      <c r="F25" s="11">
        <f>KOL_Source_Data!$E$25</f>
      </c>
      <c r="G25" s="11">
        <f>KOL_Source_Data!$K$25</f>
      </c>
      <c r="H25" s="12">
        <f>KOL_Source_Data!$G$25</f>
      </c>
      <c r="I25" s="14">
        <f>KOL_Source_Data!$BG$25</f>
      </c>
      <c r="J25" s="18">
        <f>IF(NOT(AND(ISTEXT(KOL_Source_Data!$K$25),KOL_Source_Data!$K$25&lt;&gt;"N/A")),Lookup_Lists!$D$150,IF(Brand_Profile!$E$7=KOL_Source_Data!$K$25,100,IFERROR(INDEX(Lookup_Lists!$B$349:$J$357,MATCH(Brand_Profile!$E$7,Lookup_Lists!$A$349:$A$357,0),MATCH(KOL_Source_Data!$K$25,Lookup_Lists!$B$348:$J$348,0)),Lookup_Lists!$D$151)))</f>
      </c>
      <c r="K25" s="18">
        <f>IF(LEN(TRIM(SUBSTITUTE(Matching_Engine!$BD$25,"|","")))=0,"N/A",IF(Brand_Profile!$E$47=0,Lookup_Lists!$D$150,ROUND((IF(Brand_Profile!$E$41="",0,IF(ISNUMBER(SEARCH(Brand_Profile!$E$41,Matching_Engine!$BD$25)),1,0))+IF(Brand_Profile!$E$42="",0,IF(ISNUMBER(SEARCH(Brand_Profile!$E$42,Matching_Engine!$BD$25)),1,0))+IF(Brand_Profile!$E$43="",0,IF(ISNUMBER(SEARCH(Brand_Profile!$E$43,Matching_Engine!$BD$25)),1,0))+IF(Brand_Profile!$E$44="",0,IF(ISNUMBER(SEARCH(Brand_Profile!$E$44,Matching_Engine!$BD$25)),1,0))+IF(Brand_Profile!$E$45="",0,IF(ISNUMBER(SEARCH(Brand_Profile!$E$45,Matching_Engine!$BD$25)),1,0))+IF(Brand_Profile!$E$46="",0,IF(ISNUMBER(SEARCH(Brand_Profile!$E$46,Matching_Engine!$BD$25)),1,0)))/Brand_Profile!$E$47*100,0)))</f>
      </c>
      <c r="L25" s="18">
        <f>IF(NOT(AND(ISTEXT(KOL_Source_Data!$U$25),KOL_Source_Data!$U$25&lt;&gt;"N/A")),"N/A",IF(Brand_Profile!$E$53=0,Lookup_Lists!$D$150,ROUND((IF(Brand_Profile!$E$48="",0,IF(ISNUMBER(SEARCH(Brand_Profile!$E$48,Matching_Engine!$BF$25)),1,0))+IF(Brand_Profile!$E$49="",0,IF(ISNUMBER(SEARCH(Brand_Profile!$E$49,Matching_Engine!$BF$25)),1,0))+IF(Brand_Profile!$E$50="",0,IF(ISNUMBER(SEARCH(Brand_Profile!$E$50,Matching_Engine!$BF$25)),1,0))+IF(Brand_Profile!$E$51="",0,IF(ISNUMBER(SEARCH(Brand_Profile!$E$51,Matching_Engine!$BF$25)),1,0))+IF(Brand_Profile!$E$52="",0,IF(ISNUMBER(SEARCH(Brand_Profile!$E$52,Matching_Engine!$BF$25)),1,0)))/Brand_Profile!$E$53*100,0)))</f>
      </c>
      <c r="M25" s="29">
        <f>IF((IF(ISNUMBER(Matching_Engine!$J$25),Lookup_Lists!$D$332,0)+IF(ISNUMBER(Matching_Engine!$K$25),Lookup_Lists!$D$333,0)+IF(ISNUMBER(Matching_Engine!$L$25),Lookup_Lists!$D$334,0))=0,"N/A",ROUND((IF(ISNUMBER(Matching_Engine!$J$25),Matching_Engine!$J$25*Lookup_Lists!$D$332,0)+IF(ISNUMBER(Matching_Engine!$K$25),Matching_Engine!$K$25*Lookup_Lists!$D$333,0)+IF(ISNUMBER(Matching_Engine!$L$25),Matching_Engine!$L$25*Lookup_Lists!$D$334,0))/(IF(ISNUMBER(Matching_Engine!$J$25),Lookup_Lists!$D$332,0)+IF(ISNUMBER(Matching_Engine!$K$25),Lookup_Lists!$D$333,0)+IF(ISNUMBER(Matching_Engine!$L$25),Lookup_Lists!$D$334,0)),0))</f>
      </c>
      <c r="N25" s="11">
        <f>IF(ISNUMBER(Matching_Engine!$M$25),1,0)</f>
      </c>
      <c r="O25" s="18">
        <f>IF(NOT(ISNUMBER(IFERROR(INDEX(KOL_Source_Data!$V$25:KOL_Source_Data!$Z$25,1,MATCH(Brand_Profile!$E$11,Lookup_Lists!$F$6:$F$10,0)),""))),"N/A",MIN(100,ROUND((IFERROR(INDEX(KOL_Source_Data!$V$25:KOL_Source_Data!$Z$25,1,MATCH(Brand_Profile!$E$11,Lookup_Lists!$F$6:$F$10,0)),"")+0.5*IF(ISNUMBER(IFERROR(INDEX(KOL_Source_Data!$V$25:KOL_Source_Data!$Z$25,1,MATCH(Brand_Profile!$E$12,Lookup_Lists!$F$6:$F$10,0)),"")),IFERROR(INDEX(KOL_Source_Data!$V$25:KOL_Source_Data!$Z$25,1,MATCH(Brand_Profile!$E$12,Lookup_Lists!$F$6:$F$10,0)),""),0))/Lookup_Lists!$D$142*100,0)))</f>
      </c>
      <c r="P25" s="18">
        <f>IF(Brand_Profile!$E$13="Any",100,IF(NOT(ISNUMBER(KOL_Source_Data!$AA$25)),"N/A",IF(Brand_Profile!$E$13="Female",MIN(100,ROUND(KOL_Source_Data!$AA$25/Lookup_Lists!$D$143*100,0)),IF(Brand_Profile!$E$13="Male",MIN(100,ROUND(IF(ISNUMBER(KOL_Source_Data!$AB$25),KOL_Source_Data!$AB$25,100-KOL_Source_Data!$AA$25)/Lookup_Lists!$D$143*100,0)),MAX(0,ROUND(100-ABS(KOL_Source_Data!$AA$25-50)*2,0))))))</f>
      </c>
      <c r="Q25" s="18">
        <f>IF((IF(ISNUMBER(IF(NOT(ISNUMBER(KOL_Source_Data!$AE$25)),"N/A",IF(KOL_Source_Data!$AD$25&lt;&gt;Brand_Profile!$E$14,Lookup_Lists!$D$151,MIN(100,ROUND(KOL_Source_Data!$AE$25/Lookup_Lists!$D$316*100,0))))),Lookup_Lists!$D$118,0)+IF(ISNUMBER(IF(NOT(ISNUMBER(KOL_Source_Data!$AM$25)),"N/A",MIN(100,ROUND((IF(KOL_Source_Data!$AG$25=Brand_Profile!$E$15,IF(ISNUMBER(KOL_Source_Data!$AH$25),KOL_Source_Data!$AH$25,0),0)+IF(KOL_Source_Data!$AI$25=Brand_Profile!$E$15,IF(ISNUMBER(KOL_Source_Data!$AJ$25),KOL_Source_Data!$AJ$25,0),0)+IF(KOL_Source_Data!$AK$25=Brand_Profile!$E$15,IF(ISNUMBER(KOL_Source_Data!$AL$25),KOL_Source_Data!$AL$25,0),0))/Lookup_Lists!$D$317*100,0)))),Lookup_Lists!$D$120,0))=0,"N/A",ROUND((IF(ISNUMBER(IF(NOT(ISNUMBER(KOL_Source_Data!$AE$25)),"N/A",IF(KOL_Source_Data!$AD$25&lt;&gt;Brand_Profile!$E$14,Lookup_Lists!$D$151,MIN(100,ROUND(KOL_Source_Data!$AE$25/Lookup_Lists!$D$316*100,0))))),IF(NOT(ISNUMBER(KOL_Source_Data!$AE$25)),"N/A",IF(KOL_Source_Data!$AD$25&lt;&gt;Brand_Profile!$E$14,Lookup_Lists!$D$151,MIN(100,ROUND(KOL_Source_Data!$AE$25/Lookup_Lists!$D$316*100,0))))*Lookup_Lists!$D$118,0)+IF(ISNUMBER(IF(NOT(ISNUMBER(KOL_Source_Data!$AM$25)),"N/A",MIN(100,ROUND((IF(KOL_Source_Data!$AG$25=Brand_Profile!$E$15,IF(ISNUMBER(KOL_Source_Data!$AH$25),KOL_Source_Data!$AH$25,0),0)+IF(KOL_Source_Data!$AI$25=Brand_Profile!$E$15,IF(ISNUMBER(KOL_Source_Data!$AJ$25),KOL_Source_Data!$AJ$25,0),0)+IF(KOL_Source_Data!$AK$25=Brand_Profile!$E$15,IF(ISNUMBER(KOL_Source_Data!$AL$25),KOL_Source_Data!$AL$25,0),0))/Lookup_Lists!$D$317*100,0)))),IF(NOT(ISNUMBER(KOL_Source_Data!$AM$25)),"N/A",MIN(100,ROUND((IF(KOL_Source_Data!$AG$25=Brand_Profile!$E$15,IF(ISNUMBER(KOL_Source_Data!$AH$25),KOL_Source_Data!$AH$25,0),0)+IF(KOL_Source_Data!$AI$25=Brand_Profile!$E$15,IF(ISNUMBER(KOL_Source_Data!$AJ$25),KOL_Source_Data!$AJ$25,0),0)+IF(KOL_Source_Data!$AK$25=Brand_Profile!$E$15,IF(ISNUMBER(KOL_Source_Data!$AL$25),KOL_Source_Data!$AL$25,0),0))/Lookup_Lists!$D$317*100,0)))*Lookup_Lists!$D$120,0))/(IF(ISNUMBER(IF(NOT(ISNUMBER(KOL_Source_Data!$AE$25)),"N/A",IF(KOL_Source_Data!$AD$25&lt;&gt;Brand_Profile!$E$14,Lookup_Lists!$D$151,MIN(100,ROUND(KOL_Source_Data!$AE$25/Lookup_Lists!$D$316*100,0))))),Lookup_Lists!$D$118,0)+IF(ISNUMBER(IF(NOT(ISNUMBER(KOL_Source_Data!$AM$25)),"N/A",MIN(100,ROUND((IF(KOL_Source_Data!$AG$25=Brand_Profile!$E$15,IF(ISNUMBER(KOL_Source_Data!$AH$25),KOL_Source_Data!$AH$25,0),0)+IF(KOL_Source_Data!$AI$25=Brand_Profile!$E$15,IF(ISNUMBER(KOL_Source_Data!$AJ$25),KOL_Source_Data!$AJ$25,0),0)+IF(KOL_Source_Data!$AK$25=Brand_Profile!$E$15,IF(ISNUMBER(KOL_Source_Data!$AL$25),KOL_Source_Data!$AL$25,0),0))/Lookup_Lists!$D$317*100,0)))),Lookup_Lists!$D$120,0)),0))</f>
      </c>
      <c r="R25" s="18">
        <f>IF(NOT(ISNUMBER(KOL_Source_Data!$AN$25)),"N/A",MIN(100,ROUND((IF(ISNUMBER(KOL_Source_Data!$AO$25),KOL_Source_Data!$AO$25*Brand_Profile!$E$17,0)+IF(ISNUMBER(KOL_Source_Data!$AP$25),KOL_Source_Data!$AP$25*Brand_Profile!$E$18,0)+IF(ISNUMBER(KOL_Source_Data!$AQ$25),KOL_Source_Data!$AQ$25*Brand_Profile!$E$19,0)+IF(ISNUMBER(KOL_Source_Data!$AR$25),KOL_Source_Data!$AR$25*Brand_Profile!$E$20,0)+IF(ISNUMBER(KOL_Source_Data!$AS$25),KOL_Source_Data!$AS$25*Brand_Profile!$E$21,0)+IF(ISNUMBER(KOL_Source_Data!$AT$25),KOL_Source_Data!$AT$25*Brand_Profile!$E$22,0)+IF(ISNUMBER(KOL_Source_Data!$AU$25),KOL_Source_Data!$AU$25*Brand_Profile!$E$23,0)+IF(ISNUMBER(KOL_Source_Data!$AV$25),KOL_Source_Data!$AV$25*Brand_Profile!$E$24,0)+IF(ISNUMBER(KOL_Source_Data!$AW$25),KOL_Source_Data!$AW$25*Brand_Profile!$E$25,0)+IF(ISNUMBER(KOL_Source_Data!$AX$25),KOL_Source_Data!$AX$25*Brand_Profile!$E$26,0)+IF(ISNUMBER(KOL_Source_Data!$AY$25),KOL_Source_Data!$AY$25*Brand_Profile!$E$27,0)+IF(ISNUMBER(KOL_Source_Data!$AZ$25),KOL_Source_Data!$AZ$25*Brand_Profile!$E$28,0)+IF(ISNUMBER(KOL_Source_Data!$BA$25),KOL_Source_Data!$BA$25*Brand_Profile!$E$29,0)+IF(ISNUMBER(KOL_Source_Data!$BB$25),KOL_Source_Data!$BB$25*Brand_Profile!$E$30,0)+IF(ISNUMBER(KOL_Source_Data!$BC$25),KOL_Source_Data!$BC$25*Brand_Profile!$E$31,0)+IF(ISNUMBER(KOL_Source_Data!$BD$25),KOL_Source_Data!$BD$25*Brand_Profile!$E$32,0)+IF(ISNUMBER(KOL_Source_Data!$BE$25),KOL_Source_Data!$BE$25*Brand_Profile!$E$33,0)+IF(ISNUMBER(KOL_Source_Data!$BF$25),KOL_Source_Data!$BF$25*Brand_Profile!$E$34,0))/Lookup_Lists!$D$318*100,0)))</f>
      </c>
      <c r="S25" s="29">
        <f>IF((IF(ISNUMBER(Matching_Engine!$O$25),Lookup_Lists!$D$113,0)+IF(ISNUMBER(Matching_Engine!$P$25),Lookup_Lists!$D$114,0)+IF(ISNUMBER(Matching_Engine!$Q$25),Lookup_Lists!$D$115,0)+IF(ISNUMBER(Matching_Engine!$R$25),Lookup_Lists!$D$116,0))=0,"N/A",ROUND((IF(ISNUMBER(Matching_Engine!$O$25),Matching_Engine!$O$25*Lookup_Lists!$D$113,0)+IF(ISNUMBER(Matching_Engine!$P$25),Matching_Engine!$P$25*Lookup_Lists!$D$114,0)+IF(ISNUMBER(Matching_Engine!$Q$25),Matching_Engine!$Q$25*Lookup_Lists!$D$115,0)+IF(ISNUMBER(Matching_Engine!$R$25),Matching_Engine!$R$25*Lookup_Lists!$D$116,0))/(IF(ISNUMBER(Matching_Engine!$O$25),Lookup_Lists!$D$113,0)+IF(ISNUMBER(Matching_Engine!$P$25),Lookup_Lists!$D$114,0)+IF(ISNUMBER(Matching_Engine!$Q$25),Lookup_Lists!$D$115,0)+IF(ISNUMBER(Matching_Engine!$R$25),Lookup_Lists!$D$116,0)),0))</f>
      </c>
      <c r="T25" s="11">
        <f>IF(ISNUMBER(Matching_Engine!$S$25),1,0)</f>
      </c>
      <c r="U25" s="18">
        <f>IF(NOT(AND(ISTEXT(KOL_Source_Data!$M$25),KOL_Source_Data!$M$25&lt;&gt;"N/A")),Lookup_Lists!$D$150,IF(Brand_Profile!$E$7=KOL_Source_Data!$M$25,100,IFERROR(INDEX(Lookup_Lists!$B$349:$J$357,MATCH(Brand_Profile!$E$7,Lookup_Lists!$A$349:$A$357,0),MATCH(KOL_Source_Data!$M$25,Lookup_Lists!$B$348:$J$348,0)),Lookup_Lists!$D$151)))</f>
      </c>
      <c r="V25" s="18">
        <f>IF(NOT(AND(ISTEXT(KOL_Source_Data!$P$25),KOL_Source_Data!$P$25&lt;&gt;"N/A")),"N/A",IFERROR(INDEX(Lookup_Lists!$B$349:$J$357,MATCH(Brand_Profile!$E$7,Lookup_Lists!$A$349:$A$357,0),MATCH(KOL_Source_Data!$P$25,Lookup_Lists!$B$348:$J$348,0)),Lookup_Lists!$D$151))</f>
      </c>
      <c r="W25" s="18">
        <f>IF(LEN(TRIM(SUBSTITUTE(Matching_Engine!$BE$25,"|","")))=0,"N/A",IF(Brand_Profile!$E$60=0,Lookup_Lists!$D$150,ROUND((IF(Brand_Profile!$E$54="",0,IF(ISNUMBER(SEARCH(Brand_Profile!$E$54,Matching_Engine!$BE$25)),1,0))+IF(Brand_Profile!$E$55="",0,IF(ISNUMBER(SEARCH(Brand_Profile!$E$55,Matching_Engine!$BE$25)),1,0))+IF(Brand_Profile!$E$56="",0,IF(ISNUMBER(SEARCH(Brand_Profile!$E$56,Matching_Engine!$BE$25)),1,0))+IF(Brand_Profile!$E$57="",0,IF(ISNUMBER(SEARCH(Brand_Profile!$E$57,Matching_Engine!$BE$25)),1,0))+IF(Brand_Profile!$E$58="",0,IF(ISNUMBER(SEARCH(Brand_Profile!$E$58,Matching_Engine!$BE$25)),1,0))+IF(Brand_Profile!$E$59="",0,IF(ISNUMBER(SEARCH(Brand_Profile!$E$59,Matching_Engine!$BE$25)),1,0)))/Brand_Profile!$E$60*100,0)))</f>
      </c>
      <c r="X25" s="18">
        <f>IF(NOT(AND(ISTEXT(KOL_Source_Data!$Q$25),KOL_Source_Data!$Q$25&lt;&gt;"N/A")),"N/A",Lookup_Lists!$D$150)</f>
      </c>
      <c r="Y25" s="29">
        <f>IF((IF(ISNUMBER(Matching_Engine!$U$25),Lookup_Lists!$D$335,0)+IF(ISNUMBER(Matching_Engine!$V$25),Lookup_Lists!$D$122,0)+IF(ISNUMBER(Matching_Engine!$W$25),Lookup_Lists!$D$336,0)+IF(ISNUMBER(Matching_Engine!$X$25),Lookup_Lists!$D$124,0))=0,"N/A",ROUND((IF(ISNUMBER(Matching_Engine!$U$25),Matching_Engine!$U$25*Lookup_Lists!$D$335,0)+IF(ISNUMBER(Matching_Engine!$V$25),Matching_Engine!$V$25*Lookup_Lists!$D$122,0)+IF(ISNUMBER(Matching_Engine!$W$25),Matching_Engine!$W$25*Lookup_Lists!$D$336,0)+IF(ISNUMBER(Matching_Engine!$X$25),Matching_Engine!$X$25*Lookup_Lists!$D$124,0))/(IF(ISNUMBER(Matching_Engine!$U$25),Lookup_Lists!$D$335,0)+IF(ISNUMBER(Matching_Engine!$V$25),Lookup_Lists!$D$122,0)+IF(ISNUMBER(Matching_Engine!$W$25),Lookup_Lists!$D$336,0)+IF(ISNUMBER(Matching_Engine!$X$25),Lookup_Lists!$D$124,0)),0))</f>
      </c>
      <c r="Z25" s="11">
        <f>IF(ISNUMBER(Matching_Engine!$Y$25),1,0)</f>
      </c>
      <c r="AA25" s="18">
        <f>IF(NOT(AND(ISTEXT(KOL_Source_Data!$Q$25),KOL_Source_Data!$Q$25&lt;&gt;"N/A")),"N/A",Lookup_Lists!$D$150)</f>
      </c>
      <c r="AB25" s="18">
        <f>IF(NOT(AND(ISTEXT(KOL_Source_Data!$Q$25),KOL_Source_Data!$Q$25&lt;&gt;"N/A")),"N/A",Lookup_Lists!$D$150)</f>
      </c>
      <c r="AC25" s="18">
        <f>"N/A"</f>
      </c>
      <c r="AD25" s="18">
        <f>IF(NOT(AND(ISTEXT(KOL_Source_Data!$Q$25),KOL_Source_Data!$Q$25&lt;&gt;"N/A")),"N/A",Lookup_Lists!$D$150)</f>
      </c>
      <c r="AE25" s="29">
        <f>IF((IF(ISNUMBER(Matching_Engine!$AA$25),Lookup_Lists!$D$125,0)+IF(ISNUMBER(Matching_Engine!$AB$25),Lookup_Lists!$D$126,0)+IF(ISNUMBER(Matching_Engine!$AC$25),Lookup_Lists!$D$127,0)+IF(ISNUMBER(Matching_Engine!$AD$25),Lookup_Lists!$D$128,0))=0,"N/A",ROUND((IF(ISNUMBER(Matching_Engine!$AA$25),Matching_Engine!$AA$25*Lookup_Lists!$D$125,0)+IF(ISNUMBER(Matching_Engine!$AB$25),Matching_Engine!$AB$25*Lookup_Lists!$D$126,0)+IF(ISNUMBER(Matching_Engine!$AC$25),Matching_Engine!$AC$25*Lookup_Lists!$D$127,0)+IF(ISNUMBER(Matching_Engine!$AD$25),Matching_Engine!$AD$25*Lookup_Lists!$D$128,0))/(IF(ISNUMBER(Matching_Engine!$AA$25),Lookup_Lists!$D$125,0)+IF(ISNUMBER(Matching_Engine!$AB$25),Lookup_Lists!$D$126,0)+IF(ISNUMBER(Matching_Engine!$AC$25),Lookup_Lists!$D$127,0)+IF(ISNUMBER(Matching_Engine!$AD$25),Lookup_Lists!$D$128,0)),0))</f>
      </c>
      <c r="AF25" s="11">
        <f>IF(ISNUMBER(Matching_Engine!$AE$25),1,0)</f>
      </c>
      <c r="AG25" s="18">
        <f>IF(NOT(ISNUMBER(KOL_Source_Data!$BG$25)),"N/A",MIN(100,ROUND(KOL_Source_Data!$BG$25/IFERROR(INDEX(Lookup_Lists!$B$340:$B$344,MATCH(KOL_Source_Data!$H$25,Lookup_Lists!$A$340:$A$344,0)),Lookup_Lists!$D$141)*100,0)))</f>
      </c>
      <c r="AH25" s="18">
        <f>IF(NOT(ISNUMBER(KOL_Source_Data!$BS$25)),"N/A",MIN(100,MAX(0,KOL_Source_Data!$BS$25)))</f>
      </c>
      <c r="AI25" s="18">
        <f>IF(OR(NOT(ISNUMBER(KOL_Source_Data!$BM$25)),NOT(ISNUMBER(KOL_Source_Data!$BN$25)),KOL_Source_Data!$BN$25&lt;Lookup_Lists!$D$320),"N/A",MIN(100,ROUND(KOL_Source_Data!$BM$25/Lookup_Lists!$D$319*100,0)))</f>
      </c>
      <c r="AJ25" s="18">
        <f>IF(NOT(ISNUMBER(KOL_Source_Data!$BR$25)),"N/A",KOL_Source_Data!$BR$25)</f>
      </c>
      <c r="AK25" s="18">
        <f>IF(NOT(ISNUMBER(KOL_Source_Data!$BK$25)),"N/A",MIN(100,ROUND(KOL_Source_Data!$BK$25/Lookup_Lists!$D$321*100,0)))</f>
      </c>
      <c r="AL25" s="18">
        <f>IF(NOT(ISNUMBER(KOL_Source_Data!$BP$25)),"N/A",MIN(100,MAX(0,ROUND((KOL_Source_Data!$BP$25+2)/(Lookup_Lists!$D$145+2)*100,0))))</f>
      </c>
      <c r="AM25" s="29">
        <f>IF((IF(ISNUMBER(Matching_Engine!$AG$25),Lookup_Lists!$D$129,0)+IF(ISNUMBER(Matching_Engine!$AH$25),Lookup_Lists!$D$130,0)+IF(ISNUMBER(Matching_Engine!$AI$25),Lookup_Lists!$D$131,0)+IF(ISNUMBER(Matching_Engine!$AJ$25),Lookup_Lists!$D$132,0)+IF(ISNUMBER(Matching_Engine!$AK$25),Lookup_Lists!$D$133,0)+IF(ISNUMBER(Matching_Engine!$AL$25),Lookup_Lists!$D$134,0))=0,"N/A",ROUND((IF(ISNUMBER(Matching_Engine!$AG$25),Matching_Engine!$AG$25*Lookup_Lists!$D$129,0)+IF(ISNUMBER(Matching_Engine!$AH$25),Matching_Engine!$AH$25*Lookup_Lists!$D$130,0)+IF(ISNUMBER(Matching_Engine!$AI$25),Matching_Engine!$AI$25*Lookup_Lists!$D$131,0)+IF(ISNUMBER(Matching_Engine!$AJ$25),Matching_Engine!$AJ$25*Lookup_Lists!$D$132,0)+IF(ISNUMBER(Matching_Engine!$AK$25),Matching_Engine!$AK$25*Lookup_Lists!$D$133,0)+IF(ISNUMBER(Matching_Engine!$AL$25),Matching_Engine!$AL$25*Lookup_Lists!$D$134,0))/(IF(ISNUMBER(Matching_Engine!$AG$25),Lookup_Lists!$D$129,0)+IF(ISNUMBER(Matching_Engine!$AH$25),Lookup_Lists!$D$130,0)+IF(ISNUMBER(Matching_Engine!$AI$25),Lookup_Lists!$D$131,0)+IF(ISNUMBER(Matching_Engine!$AJ$25),Lookup_Lists!$D$132,0)+IF(ISNUMBER(Matching_Engine!$AK$25),Lookup_Lists!$D$133,0)+IF(ISNUMBER(Matching_Engine!$AL$25),Lookup_Lists!$D$134,0)),0))</f>
      </c>
      <c r="AN25" s="11">
        <f>IF(ISNUMBER(Matching_Engine!$AM$25),1,0)</f>
      </c>
      <c r="AO25" s="18">
        <f>IF(NOT(ISNUMBER(KOL_Source_Data!$BT$25)),"N/A",MIN(100,MAX(0,KOL_Source_Data!$BT$25)))</f>
      </c>
      <c r="AP25" s="18">
        <f>IF(NOT(ISNUMBER(KOL_Source_Data!$BU$25)),"N/A",MIN(100,MAX(0,KOL_Source_Data!$BU$25)))</f>
      </c>
      <c r="AQ25" s="18">
        <f>IF(KOL_Source_Data!$I$25="Yes",Lookup_Lists!$D$326,IF(KOL_Source_Data!$I$25="No",Lookup_Lists!$D$327,"N/A"))</f>
      </c>
      <c r="AR25" s="18">
        <f>IF(NOT(ISNUMBER(KOL_Source_Data!$BQ$25)),"N/A",MAX(0,ROUND(100-KOL_Source_Data!$BQ$25/Lookup_Lists!$D$328*100,0)))</f>
      </c>
      <c r="AS25" s="18">
        <f>IF(NOT(AND(ISTEXT(KOL_Source_Data!$BV$25),KOL_Source_Data!$BV$25&lt;&gt;"N/A")),"N/A",KOL_Source_Data!$BV$25)</f>
      </c>
      <c r="AT25" s="29">
        <f>IF((IF(ISNUMBER(Matching_Engine!$AO$25),Lookup_Lists!$D$322,0)+IF(ISNUMBER(Matching_Engine!$AP$25),Lookup_Lists!$D$323,0)+IF(ISNUMBER(Matching_Engine!$AQ$25),Lookup_Lists!$D$324,0)+IF(ISNUMBER(Matching_Engine!$AR$25),Lookup_Lists!$D$325,0))=0,"N/A",ROUND((IF(ISNUMBER(Matching_Engine!$AO$25),Matching_Engine!$AO$25*Lookup_Lists!$D$322,0)+IF(ISNUMBER(Matching_Engine!$AP$25),Matching_Engine!$AP$25*Lookup_Lists!$D$323,0)+IF(ISNUMBER(Matching_Engine!$AQ$25),Matching_Engine!$AQ$25*Lookup_Lists!$D$324,0)+IF(ISNUMBER(Matching_Engine!$AR$25),Matching_Engine!$AR$25*Lookup_Lists!$D$325,0))/(IF(ISNUMBER(Matching_Engine!$AO$25),Lookup_Lists!$D$322,0)+IF(ISNUMBER(Matching_Engine!$AP$25),Lookup_Lists!$D$323,0)+IF(ISNUMBER(Matching_Engine!$AQ$25),Lookup_Lists!$D$324,0)+IF(ISNUMBER(Matching_Engine!$AR$25),Lookup_Lists!$D$325,0)),0))</f>
      </c>
      <c r="AU25" s="11">
        <f>IF(ISNUMBER(Matching_Engine!$AT$25),1,0)</f>
      </c>
      <c r="AV25" s="11">
        <f>IF(NOT(ISNUMBER(Matching_Engine!$AT$25)),"Not Screened",IF(Matching_Engine!$AT$25&gt;=Lookup_Lists!$D$329,"Low Risk",IF(Matching_Engine!$AT$25&gt;=Lookup_Lists!$D$330,"Moderate Risk",IF(Matching_Engine!$AT$25&gt;=Lookup_Lists!$D$331,"Elevated Risk","High Risk"))))</f>
      </c>
      <c r="AW25" s="11">
        <f>IF(NOT(ISNUMBER(Matching_Engine!$AT$25)),"No integrity signal: no audience-analysis row for this account.","Integrity screen only — no content-risk reading exists (comments_analysis: 0 rows). "&amp;IF(ISNUMBER(Matching_Engine!$AO$25),"Authenticity "&amp;Matching_Engine!$AO$25&amp;". ","Authenticity N/A. ")&amp;IF(ISNUMBER(Matching_Engine!$AP$25),"Follower quality "&amp;Matching_Engine!$AP$25&amp;". ","Follower quality N/A. ")&amp;IF(KOL_Source_Data!$I$25="Yes","Platform-verified.","Not platform-verified."))</f>
      </c>
      <c r="AX25" s="18">
        <f>Matching_Engine!$N$25*Lookup_Lists!$D$104+Matching_Engine!$T$25*Lookup_Lists!$D$105+Matching_Engine!$Z$25*Lookup_Lists!$D$106+Matching_Engine!$AF$25*Lookup_Lists!$D$107+Matching_Engine!$AN$25*Lookup_Lists!$D$108+Matching_Engine!$AU$25*Lookup_Lists!$D$109</f>
      </c>
      <c r="AY25" s="30">
        <f>IF(Matching_Engine!$AX$25=0,"N/A",ROUND((IF(Matching_Engine!$N$25=1,Matching_Engine!$M$25*Lookup_Lists!$D$104,0)+IF(Matching_Engine!$T$25=1,Matching_Engine!$S$25*Lookup_Lists!$D$105,0)+IF(Matching_Engine!$Z$25=1,Matching_Engine!$Y$25*Lookup_Lists!$D$106,0)+IF(Matching_Engine!$AF$25=1,Matching_Engine!$AE$25*Lookup_Lists!$D$107,0)+IF(Matching_Engine!$AN$25=1,Matching_Engine!$AM$25*Lookup_Lists!$D$108,0)+IF(Matching_Engine!$AU$25=1,Matching_Engine!$AT$25*Lookup_Lists!$D$109,0))/Matching_Engine!$AX$25,0))</f>
      </c>
      <c r="AZ25" s="11">
        <f>IF(NOT(ISNUMBER(Matching_Engine!$AY$25)),"Not Scored",IF(Matching_Engine!$AY$25&gt;=Lookup_Lists!$D$152,"Excellent Match",IF(Matching_Engine!$AY$25&gt;=Lookup_Lists!$D$153,"Strong Match",IF(Matching_Engine!$AY$25&gt;=Lookup_Lists!$D$154,"Good Match",IF(Matching_Engine!$AY$25&gt;=Lookup_Lists!$D$155,"Moderate Match","Low Match")))))</f>
      </c>
      <c r="BA25" s="18">
        <f>KOL_Source_Data!$BW$25</f>
      </c>
      <c r="BB25" s="11">
        <f>KOL_Source_Data!$BX$25</f>
      </c>
      <c r="BC25" s="18">
        <f>IF(NOT(ISNUMBER(Matching_Engine!$AY$25)),-1,Matching_Engine!$AY$25*1000+5)</f>
      </c>
      <c r="BD25" s="11">
        <f>IF(AND(ISTEXT(KOL_Source_Data!$S$25),KOL_Source_Data!$S$25&lt;&gt;"N/A"),KOL_Source_Data!$S$25,"")&amp;" | "&amp;IF(AND(ISTEXT(KOL_Source_Data!$T$25),KOL_Source_Data!$T$25&lt;&gt;"N/A"),KOL_Source_Data!$T$25,"")&amp;" | "&amp;IF(AND(ISTEXT(KOL_Source_Data!$N$25),KOL_Source_Data!$N$25&lt;&gt;"N/A"),KOL_Source_Data!$N$25,"")&amp;" | "&amp;IF(AND(ISTEXT(KOL_Source_Data!$K$25),KOL_Source_Data!$K$25&lt;&gt;"N/A"),KOL_Source_Data!$K$25,"")&amp;" | "&amp;IF(AND(ISTEXT(KOL_Source_Data!$J$25),KOL_Source_Data!$J$25&lt;&gt;"N/A"),KOL_Source_Data!$J$25,"")</f>
      </c>
      <c r="BE25" s="11">
        <f>IF(AND(ISTEXT(KOL_Source_Data!$T$25),KOL_Source_Data!$T$25&lt;&gt;"N/A"),KOL_Source_Data!$T$25,"")&amp;" | "&amp;IF(AND(ISTEXT(KOL_Source_Data!$N$25),KOL_Source_Data!$N$25&lt;&gt;"N/A"),KOL_Source_Data!$N$25,"")&amp;" | "&amp;IF(AND(ISTEXT(KOL_Source_Data!$O$25),KOL_Source_Data!$O$25&lt;&gt;"N/A"),KOL_Source_Data!$O$25,"")&amp;" | "&amp;IF(AND(ISTEXT(KOL_Source_Data!$S$25),KOL_Source_Data!$S$25&lt;&gt;"N/A"),KOL_Source_Data!$S$25,"")</f>
      </c>
      <c r="BF25" s="11">
        <f>IF(AND(ISTEXT(KOL_Source_Data!$U$25),KOL_Source_Data!$U$25&lt;&gt;"N/A"),KOL_Source_Data!$U$25,"")</f>
      </c>
      <c r="BG25" s="11">
        <f>Matching_Engine!$A$25&amp;"|"&amp;Matching_Engine!$C$25</f>
      </c>
    </row>
    <row r="26" spans="1:59" x14ac:dyDescent="0.25">
      <c r="A26" s="10" t="s">
        <v>390</v>
      </c>
      <c r="B26" s="11">
        <f>Brand_Profile!$E$6</f>
      </c>
      <c r="C26" s="11">
        <f>KOL_Source_Data!$A$26</f>
      </c>
      <c r="D26" s="11">
        <f>KOL_Source_Data!$C$26</f>
      </c>
      <c r="E26" s="11">
        <f>KOL_Source_Data!$D$26</f>
      </c>
      <c r="F26" s="11">
        <f>KOL_Source_Data!$E$26</f>
      </c>
      <c r="G26" s="11">
        <f>KOL_Source_Data!$K$26</f>
      </c>
      <c r="H26" s="12">
        <f>KOL_Source_Data!$G$26</f>
      </c>
      <c r="I26" s="14">
        <f>KOL_Source_Data!$BG$26</f>
      </c>
      <c r="J26" s="18">
        <f>IF(NOT(AND(ISTEXT(KOL_Source_Data!$K$26),KOL_Source_Data!$K$26&lt;&gt;"N/A")),Lookup_Lists!$D$150,IF(Brand_Profile!$E$7=KOL_Source_Data!$K$26,100,IFERROR(INDEX(Lookup_Lists!$B$349:$J$357,MATCH(Brand_Profile!$E$7,Lookup_Lists!$A$349:$A$357,0),MATCH(KOL_Source_Data!$K$26,Lookup_Lists!$B$348:$J$348,0)),Lookup_Lists!$D$151)))</f>
      </c>
      <c r="K26" s="18">
        <f>IF(LEN(TRIM(SUBSTITUTE(Matching_Engine!$BD$26,"|","")))=0,"N/A",IF(Brand_Profile!$E$47=0,Lookup_Lists!$D$150,ROUND((IF(Brand_Profile!$E$41="",0,IF(ISNUMBER(SEARCH(Brand_Profile!$E$41,Matching_Engine!$BD$26)),1,0))+IF(Brand_Profile!$E$42="",0,IF(ISNUMBER(SEARCH(Brand_Profile!$E$42,Matching_Engine!$BD$26)),1,0))+IF(Brand_Profile!$E$43="",0,IF(ISNUMBER(SEARCH(Brand_Profile!$E$43,Matching_Engine!$BD$26)),1,0))+IF(Brand_Profile!$E$44="",0,IF(ISNUMBER(SEARCH(Brand_Profile!$E$44,Matching_Engine!$BD$26)),1,0))+IF(Brand_Profile!$E$45="",0,IF(ISNUMBER(SEARCH(Brand_Profile!$E$45,Matching_Engine!$BD$26)),1,0))+IF(Brand_Profile!$E$46="",0,IF(ISNUMBER(SEARCH(Brand_Profile!$E$46,Matching_Engine!$BD$26)),1,0)))/Brand_Profile!$E$47*100,0)))</f>
      </c>
      <c r="L26" s="18">
        <f>IF(NOT(AND(ISTEXT(KOL_Source_Data!$U$26),KOL_Source_Data!$U$26&lt;&gt;"N/A")),"N/A",IF(Brand_Profile!$E$53=0,Lookup_Lists!$D$150,ROUND((IF(Brand_Profile!$E$48="",0,IF(ISNUMBER(SEARCH(Brand_Profile!$E$48,Matching_Engine!$BF$26)),1,0))+IF(Brand_Profile!$E$49="",0,IF(ISNUMBER(SEARCH(Brand_Profile!$E$49,Matching_Engine!$BF$26)),1,0))+IF(Brand_Profile!$E$50="",0,IF(ISNUMBER(SEARCH(Brand_Profile!$E$50,Matching_Engine!$BF$26)),1,0))+IF(Brand_Profile!$E$51="",0,IF(ISNUMBER(SEARCH(Brand_Profile!$E$51,Matching_Engine!$BF$26)),1,0))+IF(Brand_Profile!$E$52="",0,IF(ISNUMBER(SEARCH(Brand_Profile!$E$52,Matching_Engine!$BF$26)),1,0)))/Brand_Profile!$E$53*100,0)))</f>
      </c>
      <c r="M26" s="29">
        <f>IF((IF(ISNUMBER(Matching_Engine!$J$26),Lookup_Lists!$D$332,0)+IF(ISNUMBER(Matching_Engine!$K$26),Lookup_Lists!$D$333,0)+IF(ISNUMBER(Matching_Engine!$L$26),Lookup_Lists!$D$334,0))=0,"N/A",ROUND((IF(ISNUMBER(Matching_Engine!$J$26),Matching_Engine!$J$26*Lookup_Lists!$D$332,0)+IF(ISNUMBER(Matching_Engine!$K$26),Matching_Engine!$K$26*Lookup_Lists!$D$333,0)+IF(ISNUMBER(Matching_Engine!$L$26),Matching_Engine!$L$26*Lookup_Lists!$D$334,0))/(IF(ISNUMBER(Matching_Engine!$J$26),Lookup_Lists!$D$332,0)+IF(ISNUMBER(Matching_Engine!$K$26),Lookup_Lists!$D$333,0)+IF(ISNUMBER(Matching_Engine!$L$26),Lookup_Lists!$D$334,0)),0))</f>
      </c>
      <c r="N26" s="11">
        <f>IF(ISNUMBER(Matching_Engine!$M$26),1,0)</f>
      </c>
      <c r="O26" s="18">
        <f>IF(NOT(ISNUMBER(IFERROR(INDEX(KOL_Source_Data!$V$26:KOL_Source_Data!$Z$26,1,MATCH(Brand_Profile!$E$11,Lookup_Lists!$F$6:$F$10,0)),""))),"N/A",MIN(100,ROUND((IFERROR(INDEX(KOL_Source_Data!$V$26:KOL_Source_Data!$Z$26,1,MATCH(Brand_Profile!$E$11,Lookup_Lists!$F$6:$F$10,0)),"")+0.5*IF(ISNUMBER(IFERROR(INDEX(KOL_Source_Data!$V$26:KOL_Source_Data!$Z$26,1,MATCH(Brand_Profile!$E$12,Lookup_Lists!$F$6:$F$10,0)),"")),IFERROR(INDEX(KOL_Source_Data!$V$26:KOL_Source_Data!$Z$26,1,MATCH(Brand_Profile!$E$12,Lookup_Lists!$F$6:$F$10,0)),""),0))/Lookup_Lists!$D$142*100,0)))</f>
      </c>
      <c r="P26" s="18">
        <f>IF(Brand_Profile!$E$13="Any",100,IF(NOT(ISNUMBER(KOL_Source_Data!$AA$26)),"N/A",IF(Brand_Profile!$E$13="Female",MIN(100,ROUND(KOL_Source_Data!$AA$26/Lookup_Lists!$D$143*100,0)),IF(Brand_Profile!$E$13="Male",MIN(100,ROUND(IF(ISNUMBER(KOL_Source_Data!$AB$26),KOL_Source_Data!$AB$26,100-KOL_Source_Data!$AA$26)/Lookup_Lists!$D$143*100,0)),MAX(0,ROUND(100-ABS(KOL_Source_Data!$AA$26-50)*2,0))))))</f>
      </c>
      <c r="Q26" s="18">
        <f>IF((IF(ISNUMBER(IF(NOT(ISNUMBER(KOL_Source_Data!$AE$26)),"N/A",IF(KOL_Source_Data!$AD$26&lt;&gt;Brand_Profile!$E$14,Lookup_Lists!$D$151,MIN(100,ROUND(KOL_Source_Data!$AE$26/Lookup_Lists!$D$316*100,0))))),Lookup_Lists!$D$118,0)+IF(ISNUMBER(IF(NOT(ISNUMBER(KOL_Source_Data!$AM$26)),"N/A",MIN(100,ROUND((IF(KOL_Source_Data!$AG$26=Brand_Profile!$E$15,IF(ISNUMBER(KOL_Source_Data!$AH$26),KOL_Source_Data!$AH$26,0),0)+IF(KOL_Source_Data!$AI$26=Brand_Profile!$E$15,IF(ISNUMBER(KOL_Source_Data!$AJ$26),KOL_Source_Data!$AJ$26,0),0)+IF(KOL_Source_Data!$AK$26=Brand_Profile!$E$15,IF(ISNUMBER(KOL_Source_Data!$AL$26),KOL_Source_Data!$AL$26,0),0))/Lookup_Lists!$D$317*100,0)))),Lookup_Lists!$D$120,0))=0,"N/A",ROUND((IF(ISNUMBER(IF(NOT(ISNUMBER(KOL_Source_Data!$AE$26)),"N/A",IF(KOL_Source_Data!$AD$26&lt;&gt;Brand_Profile!$E$14,Lookup_Lists!$D$151,MIN(100,ROUND(KOL_Source_Data!$AE$26/Lookup_Lists!$D$316*100,0))))),IF(NOT(ISNUMBER(KOL_Source_Data!$AE$26)),"N/A",IF(KOL_Source_Data!$AD$26&lt;&gt;Brand_Profile!$E$14,Lookup_Lists!$D$151,MIN(100,ROUND(KOL_Source_Data!$AE$26/Lookup_Lists!$D$316*100,0))))*Lookup_Lists!$D$118,0)+IF(ISNUMBER(IF(NOT(ISNUMBER(KOL_Source_Data!$AM$26)),"N/A",MIN(100,ROUND((IF(KOL_Source_Data!$AG$26=Brand_Profile!$E$15,IF(ISNUMBER(KOL_Source_Data!$AH$26),KOL_Source_Data!$AH$26,0),0)+IF(KOL_Source_Data!$AI$26=Brand_Profile!$E$15,IF(ISNUMBER(KOL_Source_Data!$AJ$26),KOL_Source_Data!$AJ$26,0),0)+IF(KOL_Source_Data!$AK$26=Brand_Profile!$E$15,IF(ISNUMBER(KOL_Source_Data!$AL$26),KOL_Source_Data!$AL$26,0),0))/Lookup_Lists!$D$317*100,0)))),IF(NOT(ISNUMBER(KOL_Source_Data!$AM$26)),"N/A",MIN(100,ROUND((IF(KOL_Source_Data!$AG$26=Brand_Profile!$E$15,IF(ISNUMBER(KOL_Source_Data!$AH$26),KOL_Source_Data!$AH$26,0),0)+IF(KOL_Source_Data!$AI$26=Brand_Profile!$E$15,IF(ISNUMBER(KOL_Source_Data!$AJ$26),KOL_Source_Data!$AJ$26,0),0)+IF(KOL_Source_Data!$AK$26=Brand_Profile!$E$15,IF(ISNUMBER(KOL_Source_Data!$AL$26),KOL_Source_Data!$AL$26,0),0))/Lookup_Lists!$D$317*100,0)))*Lookup_Lists!$D$120,0))/(IF(ISNUMBER(IF(NOT(ISNUMBER(KOL_Source_Data!$AE$26)),"N/A",IF(KOL_Source_Data!$AD$26&lt;&gt;Brand_Profile!$E$14,Lookup_Lists!$D$151,MIN(100,ROUND(KOL_Source_Data!$AE$26/Lookup_Lists!$D$316*100,0))))),Lookup_Lists!$D$118,0)+IF(ISNUMBER(IF(NOT(ISNUMBER(KOL_Source_Data!$AM$26)),"N/A",MIN(100,ROUND((IF(KOL_Source_Data!$AG$26=Brand_Profile!$E$15,IF(ISNUMBER(KOL_Source_Data!$AH$26),KOL_Source_Data!$AH$26,0),0)+IF(KOL_Source_Data!$AI$26=Brand_Profile!$E$15,IF(ISNUMBER(KOL_Source_Data!$AJ$26),KOL_Source_Data!$AJ$26,0),0)+IF(KOL_Source_Data!$AK$26=Brand_Profile!$E$15,IF(ISNUMBER(KOL_Source_Data!$AL$26),KOL_Source_Data!$AL$26,0),0))/Lookup_Lists!$D$317*100,0)))),Lookup_Lists!$D$120,0)),0))</f>
      </c>
      <c r="R26" s="18">
        <f>IF(NOT(ISNUMBER(KOL_Source_Data!$AN$26)),"N/A",MIN(100,ROUND((IF(ISNUMBER(KOL_Source_Data!$AO$26),KOL_Source_Data!$AO$26*Brand_Profile!$E$17,0)+IF(ISNUMBER(KOL_Source_Data!$AP$26),KOL_Source_Data!$AP$26*Brand_Profile!$E$18,0)+IF(ISNUMBER(KOL_Source_Data!$AQ$26),KOL_Source_Data!$AQ$26*Brand_Profile!$E$19,0)+IF(ISNUMBER(KOL_Source_Data!$AR$26),KOL_Source_Data!$AR$26*Brand_Profile!$E$20,0)+IF(ISNUMBER(KOL_Source_Data!$AS$26),KOL_Source_Data!$AS$26*Brand_Profile!$E$21,0)+IF(ISNUMBER(KOL_Source_Data!$AT$26),KOL_Source_Data!$AT$26*Brand_Profile!$E$22,0)+IF(ISNUMBER(KOL_Source_Data!$AU$26),KOL_Source_Data!$AU$26*Brand_Profile!$E$23,0)+IF(ISNUMBER(KOL_Source_Data!$AV$26),KOL_Source_Data!$AV$26*Brand_Profile!$E$24,0)+IF(ISNUMBER(KOL_Source_Data!$AW$26),KOL_Source_Data!$AW$26*Brand_Profile!$E$25,0)+IF(ISNUMBER(KOL_Source_Data!$AX$26),KOL_Source_Data!$AX$26*Brand_Profile!$E$26,0)+IF(ISNUMBER(KOL_Source_Data!$AY$26),KOL_Source_Data!$AY$26*Brand_Profile!$E$27,0)+IF(ISNUMBER(KOL_Source_Data!$AZ$26),KOL_Source_Data!$AZ$26*Brand_Profile!$E$28,0)+IF(ISNUMBER(KOL_Source_Data!$BA$26),KOL_Source_Data!$BA$26*Brand_Profile!$E$29,0)+IF(ISNUMBER(KOL_Source_Data!$BB$26),KOL_Source_Data!$BB$26*Brand_Profile!$E$30,0)+IF(ISNUMBER(KOL_Source_Data!$BC$26),KOL_Source_Data!$BC$26*Brand_Profile!$E$31,0)+IF(ISNUMBER(KOL_Source_Data!$BD$26),KOL_Source_Data!$BD$26*Brand_Profile!$E$32,0)+IF(ISNUMBER(KOL_Source_Data!$BE$26),KOL_Source_Data!$BE$26*Brand_Profile!$E$33,0)+IF(ISNUMBER(KOL_Source_Data!$BF$26),KOL_Source_Data!$BF$26*Brand_Profile!$E$34,0))/Lookup_Lists!$D$318*100,0)))</f>
      </c>
      <c r="S26" s="29">
        <f>IF((IF(ISNUMBER(Matching_Engine!$O$26),Lookup_Lists!$D$113,0)+IF(ISNUMBER(Matching_Engine!$P$26),Lookup_Lists!$D$114,0)+IF(ISNUMBER(Matching_Engine!$Q$26),Lookup_Lists!$D$115,0)+IF(ISNUMBER(Matching_Engine!$R$26),Lookup_Lists!$D$116,0))=0,"N/A",ROUND((IF(ISNUMBER(Matching_Engine!$O$26),Matching_Engine!$O$26*Lookup_Lists!$D$113,0)+IF(ISNUMBER(Matching_Engine!$P$26),Matching_Engine!$P$26*Lookup_Lists!$D$114,0)+IF(ISNUMBER(Matching_Engine!$Q$26),Matching_Engine!$Q$26*Lookup_Lists!$D$115,0)+IF(ISNUMBER(Matching_Engine!$R$26),Matching_Engine!$R$26*Lookup_Lists!$D$116,0))/(IF(ISNUMBER(Matching_Engine!$O$26),Lookup_Lists!$D$113,0)+IF(ISNUMBER(Matching_Engine!$P$26),Lookup_Lists!$D$114,0)+IF(ISNUMBER(Matching_Engine!$Q$26),Lookup_Lists!$D$115,0)+IF(ISNUMBER(Matching_Engine!$R$26),Lookup_Lists!$D$116,0)),0))</f>
      </c>
      <c r="T26" s="11">
        <f>IF(ISNUMBER(Matching_Engine!$S$26),1,0)</f>
      </c>
      <c r="U26" s="18">
        <f>IF(NOT(AND(ISTEXT(KOL_Source_Data!$M$26),KOL_Source_Data!$M$26&lt;&gt;"N/A")),Lookup_Lists!$D$150,IF(Brand_Profile!$E$7=KOL_Source_Data!$M$26,100,IFERROR(INDEX(Lookup_Lists!$B$349:$J$357,MATCH(Brand_Profile!$E$7,Lookup_Lists!$A$349:$A$357,0),MATCH(KOL_Source_Data!$M$26,Lookup_Lists!$B$348:$J$348,0)),Lookup_Lists!$D$151)))</f>
      </c>
      <c r="V26" s="18">
        <f>IF(NOT(AND(ISTEXT(KOL_Source_Data!$P$26),KOL_Source_Data!$P$26&lt;&gt;"N/A")),"N/A",IFERROR(INDEX(Lookup_Lists!$B$349:$J$357,MATCH(Brand_Profile!$E$7,Lookup_Lists!$A$349:$A$357,0),MATCH(KOL_Source_Data!$P$26,Lookup_Lists!$B$348:$J$348,0)),Lookup_Lists!$D$151))</f>
      </c>
      <c r="W26" s="18">
        <f>IF(LEN(TRIM(SUBSTITUTE(Matching_Engine!$BE$26,"|","")))=0,"N/A",IF(Brand_Profile!$E$60=0,Lookup_Lists!$D$150,ROUND((IF(Brand_Profile!$E$54="",0,IF(ISNUMBER(SEARCH(Brand_Profile!$E$54,Matching_Engine!$BE$26)),1,0))+IF(Brand_Profile!$E$55="",0,IF(ISNUMBER(SEARCH(Brand_Profile!$E$55,Matching_Engine!$BE$26)),1,0))+IF(Brand_Profile!$E$56="",0,IF(ISNUMBER(SEARCH(Brand_Profile!$E$56,Matching_Engine!$BE$26)),1,0))+IF(Brand_Profile!$E$57="",0,IF(ISNUMBER(SEARCH(Brand_Profile!$E$57,Matching_Engine!$BE$26)),1,0))+IF(Brand_Profile!$E$58="",0,IF(ISNUMBER(SEARCH(Brand_Profile!$E$58,Matching_Engine!$BE$26)),1,0))+IF(Brand_Profile!$E$59="",0,IF(ISNUMBER(SEARCH(Brand_Profile!$E$59,Matching_Engine!$BE$26)),1,0)))/Brand_Profile!$E$60*100,0)))</f>
      </c>
      <c r="X26" s="18">
        <f>IF(NOT(AND(ISTEXT(KOL_Source_Data!$Q$26),KOL_Source_Data!$Q$26&lt;&gt;"N/A")),"N/A",Lookup_Lists!$D$150)</f>
      </c>
      <c r="Y26" s="29">
        <f>IF((IF(ISNUMBER(Matching_Engine!$U$26),Lookup_Lists!$D$335,0)+IF(ISNUMBER(Matching_Engine!$V$26),Lookup_Lists!$D$122,0)+IF(ISNUMBER(Matching_Engine!$W$26),Lookup_Lists!$D$336,0)+IF(ISNUMBER(Matching_Engine!$X$26),Lookup_Lists!$D$124,0))=0,"N/A",ROUND((IF(ISNUMBER(Matching_Engine!$U$26),Matching_Engine!$U$26*Lookup_Lists!$D$335,0)+IF(ISNUMBER(Matching_Engine!$V$26),Matching_Engine!$V$26*Lookup_Lists!$D$122,0)+IF(ISNUMBER(Matching_Engine!$W$26),Matching_Engine!$W$26*Lookup_Lists!$D$336,0)+IF(ISNUMBER(Matching_Engine!$X$26),Matching_Engine!$X$26*Lookup_Lists!$D$124,0))/(IF(ISNUMBER(Matching_Engine!$U$26),Lookup_Lists!$D$335,0)+IF(ISNUMBER(Matching_Engine!$V$26),Lookup_Lists!$D$122,0)+IF(ISNUMBER(Matching_Engine!$W$26),Lookup_Lists!$D$336,0)+IF(ISNUMBER(Matching_Engine!$X$26),Lookup_Lists!$D$124,0)),0))</f>
      </c>
      <c r="Z26" s="11">
        <f>IF(ISNUMBER(Matching_Engine!$Y$26),1,0)</f>
      </c>
      <c r="AA26" s="18">
        <f>IF(NOT(AND(ISTEXT(KOL_Source_Data!$Q$26),KOL_Source_Data!$Q$26&lt;&gt;"N/A")),"N/A",Lookup_Lists!$D$150)</f>
      </c>
      <c r="AB26" s="18">
        <f>IF(NOT(AND(ISTEXT(KOL_Source_Data!$Q$26),KOL_Source_Data!$Q$26&lt;&gt;"N/A")),"N/A",Lookup_Lists!$D$150)</f>
      </c>
      <c r="AC26" s="18">
        <f>"N/A"</f>
      </c>
      <c r="AD26" s="18">
        <f>IF(NOT(AND(ISTEXT(KOL_Source_Data!$Q$26),KOL_Source_Data!$Q$26&lt;&gt;"N/A")),"N/A",Lookup_Lists!$D$150)</f>
      </c>
      <c r="AE26" s="29">
        <f>IF((IF(ISNUMBER(Matching_Engine!$AA$26),Lookup_Lists!$D$125,0)+IF(ISNUMBER(Matching_Engine!$AB$26),Lookup_Lists!$D$126,0)+IF(ISNUMBER(Matching_Engine!$AC$26),Lookup_Lists!$D$127,0)+IF(ISNUMBER(Matching_Engine!$AD$26),Lookup_Lists!$D$128,0))=0,"N/A",ROUND((IF(ISNUMBER(Matching_Engine!$AA$26),Matching_Engine!$AA$26*Lookup_Lists!$D$125,0)+IF(ISNUMBER(Matching_Engine!$AB$26),Matching_Engine!$AB$26*Lookup_Lists!$D$126,0)+IF(ISNUMBER(Matching_Engine!$AC$26),Matching_Engine!$AC$26*Lookup_Lists!$D$127,0)+IF(ISNUMBER(Matching_Engine!$AD$26),Matching_Engine!$AD$26*Lookup_Lists!$D$128,0))/(IF(ISNUMBER(Matching_Engine!$AA$26),Lookup_Lists!$D$125,0)+IF(ISNUMBER(Matching_Engine!$AB$26),Lookup_Lists!$D$126,0)+IF(ISNUMBER(Matching_Engine!$AC$26),Lookup_Lists!$D$127,0)+IF(ISNUMBER(Matching_Engine!$AD$26),Lookup_Lists!$D$128,0)),0))</f>
      </c>
      <c r="AF26" s="11">
        <f>IF(ISNUMBER(Matching_Engine!$AE$26),1,0)</f>
      </c>
      <c r="AG26" s="18">
        <f>IF(NOT(ISNUMBER(KOL_Source_Data!$BG$26)),"N/A",MIN(100,ROUND(KOL_Source_Data!$BG$26/IFERROR(INDEX(Lookup_Lists!$B$340:$B$344,MATCH(KOL_Source_Data!$H$26,Lookup_Lists!$A$340:$A$344,0)),Lookup_Lists!$D$141)*100,0)))</f>
      </c>
      <c r="AH26" s="18">
        <f>IF(NOT(ISNUMBER(KOL_Source_Data!$BS$26)),"N/A",MIN(100,MAX(0,KOL_Source_Data!$BS$26)))</f>
      </c>
      <c r="AI26" s="18">
        <f>IF(OR(NOT(ISNUMBER(KOL_Source_Data!$BM$26)),NOT(ISNUMBER(KOL_Source_Data!$BN$26)),KOL_Source_Data!$BN$26&lt;Lookup_Lists!$D$320),"N/A",MIN(100,ROUND(KOL_Source_Data!$BM$26/Lookup_Lists!$D$319*100,0)))</f>
      </c>
      <c r="AJ26" s="18">
        <f>IF(NOT(ISNUMBER(KOL_Source_Data!$BR$26)),"N/A",KOL_Source_Data!$BR$26)</f>
      </c>
      <c r="AK26" s="18">
        <f>IF(NOT(ISNUMBER(KOL_Source_Data!$BK$26)),"N/A",MIN(100,ROUND(KOL_Source_Data!$BK$26/Lookup_Lists!$D$321*100,0)))</f>
      </c>
      <c r="AL26" s="18">
        <f>IF(NOT(ISNUMBER(KOL_Source_Data!$BP$26)),"N/A",MIN(100,MAX(0,ROUND((KOL_Source_Data!$BP$26+2)/(Lookup_Lists!$D$145+2)*100,0))))</f>
      </c>
      <c r="AM26" s="29">
        <f>IF((IF(ISNUMBER(Matching_Engine!$AG$26),Lookup_Lists!$D$129,0)+IF(ISNUMBER(Matching_Engine!$AH$26),Lookup_Lists!$D$130,0)+IF(ISNUMBER(Matching_Engine!$AI$26),Lookup_Lists!$D$131,0)+IF(ISNUMBER(Matching_Engine!$AJ$26),Lookup_Lists!$D$132,0)+IF(ISNUMBER(Matching_Engine!$AK$26),Lookup_Lists!$D$133,0)+IF(ISNUMBER(Matching_Engine!$AL$26),Lookup_Lists!$D$134,0))=0,"N/A",ROUND((IF(ISNUMBER(Matching_Engine!$AG$26),Matching_Engine!$AG$26*Lookup_Lists!$D$129,0)+IF(ISNUMBER(Matching_Engine!$AH$26),Matching_Engine!$AH$26*Lookup_Lists!$D$130,0)+IF(ISNUMBER(Matching_Engine!$AI$26),Matching_Engine!$AI$26*Lookup_Lists!$D$131,0)+IF(ISNUMBER(Matching_Engine!$AJ$26),Matching_Engine!$AJ$26*Lookup_Lists!$D$132,0)+IF(ISNUMBER(Matching_Engine!$AK$26),Matching_Engine!$AK$26*Lookup_Lists!$D$133,0)+IF(ISNUMBER(Matching_Engine!$AL$26),Matching_Engine!$AL$26*Lookup_Lists!$D$134,0))/(IF(ISNUMBER(Matching_Engine!$AG$26),Lookup_Lists!$D$129,0)+IF(ISNUMBER(Matching_Engine!$AH$26),Lookup_Lists!$D$130,0)+IF(ISNUMBER(Matching_Engine!$AI$26),Lookup_Lists!$D$131,0)+IF(ISNUMBER(Matching_Engine!$AJ$26),Lookup_Lists!$D$132,0)+IF(ISNUMBER(Matching_Engine!$AK$26),Lookup_Lists!$D$133,0)+IF(ISNUMBER(Matching_Engine!$AL$26),Lookup_Lists!$D$134,0)),0))</f>
      </c>
      <c r="AN26" s="11">
        <f>IF(ISNUMBER(Matching_Engine!$AM$26),1,0)</f>
      </c>
      <c r="AO26" s="18">
        <f>IF(NOT(ISNUMBER(KOL_Source_Data!$BT$26)),"N/A",MIN(100,MAX(0,KOL_Source_Data!$BT$26)))</f>
      </c>
      <c r="AP26" s="18">
        <f>IF(NOT(ISNUMBER(KOL_Source_Data!$BU$26)),"N/A",MIN(100,MAX(0,KOL_Source_Data!$BU$26)))</f>
      </c>
      <c r="AQ26" s="18">
        <f>IF(KOL_Source_Data!$I$26="Yes",Lookup_Lists!$D$326,IF(KOL_Source_Data!$I$26="No",Lookup_Lists!$D$327,"N/A"))</f>
      </c>
      <c r="AR26" s="18">
        <f>IF(NOT(ISNUMBER(KOL_Source_Data!$BQ$26)),"N/A",MAX(0,ROUND(100-KOL_Source_Data!$BQ$26/Lookup_Lists!$D$328*100,0)))</f>
      </c>
      <c r="AS26" s="18">
        <f>IF(NOT(AND(ISTEXT(KOL_Source_Data!$BV$26),KOL_Source_Data!$BV$26&lt;&gt;"N/A")),"N/A",KOL_Source_Data!$BV$26)</f>
      </c>
      <c r="AT26" s="29">
        <f>IF((IF(ISNUMBER(Matching_Engine!$AO$26),Lookup_Lists!$D$322,0)+IF(ISNUMBER(Matching_Engine!$AP$26),Lookup_Lists!$D$323,0)+IF(ISNUMBER(Matching_Engine!$AQ$26),Lookup_Lists!$D$324,0)+IF(ISNUMBER(Matching_Engine!$AR$26),Lookup_Lists!$D$325,0))=0,"N/A",ROUND((IF(ISNUMBER(Matching_Engine!$AO$26),Matching_Engine!$AO$26*Lookup_Lists!$D$322,0)+IF(ISNUMBER(Matching_Engine!$AP$26),Matching_Engine!$AP$26*Lookup_Lists!$D$323,0)+IF(ISNUMBER(Matching_Engine!$AQ$26),Matching_Engine!$AQ$26*Lookup_Lists!$D$324,0)+IF(ISNUMBER(Matching_Engine!$AR$26),Matching_Engine!$AR$26*Lookup_Lists!$D$325,0))/(IF(ISNUMBER(Matching_Engine!$AO$26),Lookup_Lists!$D$322,0)+IF(ISNUMBER(Matching_Engine!$AP$26),Lookup_Lists!$D$323,0)+IF(ISNUMBER(Matching_Engine!$AQ$26),Lookup_Lists!$D$324,0)+IF(ISNUMBER(Matching_Engine!$AR$26),Lookup_Lists!$D$325,0)),0))</f>
      </c>
      <c r="AU26" s="11">
        <f>IF(ISNUMBER(Matching_Engine!$AT$26),1,0)</f>
      </c>
      <c r="AV26" s="11">
        <f>IF(NOT(ISNUMBER(Matching_Engine!$AT$26)),"Not Screened",IF(Matching_Engine!$AT$26&gt;=Lookup_Lists!$D$329,"Low Risk",IF(Matching_Engine!$AT$26&gt;=Lookup_Lists!$D$330,"Moderate Risk",IF(Matching_Engine!$AT$26&gt;=Lookup_Lists!$D$331,"Elevated Risk","High Risk"))))</f>
      </c>
      <c r="AW26" s="11">
        <f>IF(NOT(ISNUMBER(Matching_Engine!$AT$26)),"No integrity signal: no audience-analysis row for this account.","Integrity screen only — no content-risk reading exists (comments_analysis: 0 rows). "&amp;IF(ISNUMBER(Matching_Engine!$AO$26),"Authenticity "&amp;Matching_Engine!$AO$26&amp;". ","Authenticity N/A. ")&amp;IF(ISNUMBER(Matching_Engine!$AP$26),"Follower quality "&amp;Matching_Engine!$AP$26&amp;". ","Follower quality N/A. ")&amp;IF(KOL_Source_Data!$I$26="Yes","Platform-verified.","Not platform-verified."))</f>
      </c>
      <c r="AX26" s="18">
        <f>Matching_Engine!$N$26*Lookup_Lists!$D$104+Matching_Engine!$T$26*Lookup_Lists!$D$105+Matching_Engine!$Z$26*Lookup_Lists!$D$106+Matching_Engine!$AF$26*Lookup_Lists!$D$107+Matching_Engine!$AN$26*Lookup_Lists!$D$108+Matching_Engine!$AU$26*Lookup_Lists!$D$109</f>
      </c>
      <c r="AY26" s="30">
        <f>IF(Matching_Engine!$AX$26=0,"N/A",ROUND((IF(Matching_Engine!$N$26=1,Matching_Engine!$M$26*Lookup_Lists!$D$104,0)+IF(Matching_Engine!$T$26=1,Matching_Engine!$S$26*Lookup_Lists!$D$105,0)+IF(Matching_Engine!$Z$26=1,Matching_Engine!$Y$26*Lookup_Lists!$D$106,0)+IF(Matching_Engine!$AF$26=1,Matching_Engine!$AE$26*Lookup_Lists!$D$107,0)+IF(Matching_Engine!$AN$26=1,Matching_Engine!$AM$26*Lookup_Lists!$D$108,0)+IF(Matching_Engine!$AU$26=1,Matching_Engine!$AT$26*Lookup_Lists!$D$109,0))/Matching_Engine!$AX$26,0))</f>
      </c>
      <c r="AZ26" s="11">
        <f>IF(NOT(ISNUMBER(Matching_Engine!$AY$26)),"Not Scored",IF(Matching_Engine!$AY$26&gt;=Lookup_Lists!$D$152,"Excellent Match",IF(Matching_Engine!$AY$26&gt;=Lookup_Lists!$D$153,"Strong Match",IF(Matching_Engine!$AY$26&gt;=Lookup_Lists!$D$154,"Good Match",IF(Matching_Engine!$AY$26&gt;=Lookup_Lists!$D$155,"Moderate Match","Low Match")))))</f>
      </c>
      <c r="BA26" s="18">
        <f>KOL_Source_Data!$BW$26</f>
      </c>
      <c r="BB26" s="11">
        <f>KOL_Source_Data!$BX$26</f>
      </c>
      <c r="BC26" s="18">
        <f>IF(NOT(ISNUMBER(Matching_Engine!$AY$26)),-1,Matching_Engine!$AY$26*1000+4)</f>
      </c>
      <c r="BD26" s="11">
        <f>IF(AND(ISTEXT(KOL_Source_Data!$S$26),KOL_Source_Data!$S$26&lt;&gt;"N/A"),KOL_Source_Data!$S$26,"")&amp;" | "&amp;IF(AND(ISTEXT(KOL_Source_Data!$T$26),KOL_Source_Data!$T$26&lt;&gt;"N/A"),KOL_Source_Data!$T$26,"")&amp;" | "&amp;IF(AND(ISTEXT(KOL_Source_Data!$N$26),KOL_Source_Data!$N$26&lt;&gt;"N/A"),KOL_Source_Data!$N$26,"")&amp;" | "&amp;IF(AND(ISTEXT(KOL_Source_Data!$K$26),KOL_Source_Data!$K$26&lt;&gt;"N/A"),KOL_Source_Data!$K$26,"")&amp;" | "&amp;IF(AND(ISTEXT(KOL_Source_Data!$J$26),KOL_Source_Data!$J$26&lt;&gt;"N/A"),KOL_Source_Data!$J$26,"")</f>
      </c>
      <c r="BE26" s="11">
        <f>IF(AND(ISTEXT(KOL_Source_Data!$T$26),KOL_Source_Data!$T$26&lt;&gt;"N/A"),KOL_Source_Data!$T$26,"")&amp;" | "&amp;IF(AND(ISTEXT(KOL_Source_Data!$N$26),KOL_Source_Data!$N$26&lt;&gt;"N/A"),KOL_Source_Data!$N$26,"")&amp;" | "&amp;IF(AND(ISTEXT(KOL_Source_Data!$O$26),KOL_Source_Data!$O$26&lt;&gt;"N/A"),KOL_Source_Data!$O$26,"")&amp;" | "&amp;IF(AND(ISTEXT(KOL_Source_Data!$S$26),KOL_Source_Data!$S$26&lt;&gt;"N/A"),KOL_Source_Data!$S$26,"")</f>
      </c>
      <c r="BF26" s="11">
        <f>IF(AND(ISTEXT(KOL_Source_Data!$U$26),KOL_Source_Data!$U$26&lt;&gt;"N/A"),KOL_Source_Data!$U$26,"")</f>
      </c>
      <c r="BG26" s="11">
        <f>Matching_Engine!$A$26&amp;"|"&amp;Matching_Engine!$C$26</f>
      </c>
    </row>
    <row r="27" spans="1:59" x14ac:dyDescent="0.25">
      <c r="A27" s="10" t="s">
        <v>390</v>
      </c>
      <c r="B27" s="11">
        <f>Brand_Profile!$E$6</f>
      </c>
      <c r="C27" s="11">
        <f>KOL_Source_Data!$A$27</f>
      </c>
      <c r="D27" s="11">
        <f>KOL_Source_Data!$C$27</f>
      </c>
      <c r="E27" s="11">
        <f>KOL_Source_Data!$D$27</f>
      </c>
      <c r="F27" s="11">
        <f>KOL_Source_Data!$E$27</f>
      </c>
      <c r="G27" s="11">
        <f>KOL_Source_Data!$K$27</f>
      </c>
      <c r="H27" s="12">
        <f>KOL_Source_Data!$G$27</f>
      </c>
      <c r="I27" s="14">
        <f>KOL_Source_Data!$BG$27</f>
      </c>
      <c r="J27" s="18">
        <f>IF(NOT(AND(ISTEXT(KOL_Source_Data!$K$27),KOL_Source_Data!$K$27&lt;&gt;"N/A")),Lookup_Lists!$D$150,IF(Brand_Profile!$E$7=KOL_Source_Data!$K$27,100,IFERROR(INDEX(Lookup_Lists!$B$349:$J$357,MATCH(Brand_Profile!$E$7,Lookup_Lists!$A$349:$A$357,0),MATCH(KOL_Source_Data!$K$27,Lookup_Lists!$B$348:$J$348,0)),Lookup_Lists!$D$151)))</f>
      </c>
      <c r="K27" s="18">
        <f>IF(LEN(TRIM(SUBSTITUTE(Matching_Engine!$BD$27,"|","")))=0,"N/A",IF(Brand_Profile!$E$47=0,Lookup_Lists!$D$150,ROUND((IF(Brand_Profile!$E$41="",0,IF(ISNUMBER(SEARCH(Brand_Profile!$E$41,Matching_Engine!$BD$27)),1,0))+IF(Brand_Profile!$E$42="",0,IF(ISNUMBER(SEARCH(Brand_Profile!$E$42,Matching_Engine!$BD$27)),1,0))+IF(Brand_Profile!$E$43="",0,IF(ISNUMBER(SEARCH(Brand_Profile!$E$43,Matching_Engine!$BD$27)),1,0))+IF(Brand_Profile!$E$44="",0,IF(ISNUMBER(SEARCH(Brand_Profile!$E$44,Matching_Engine!$BD$27)),1,0))+IF(Brand_Profile!$E$45="",0,IF(ISNUMBER(SEARCH(Brand_Profile!$E$45,Matching_Engine!$BD$27)),1,0))+IF(Brand_Profile!$E$46="",0,IF(ISNUMBER(SEARCH(Brand_Profile!$E$46,Matching_Engine!$BD$27)),1,0)))/Brand_Profile!$E$47*100,0)))</f>
      </c>
      <c r="L27" s="18">
        <f>IF(NOT(AND(ISTEXT(KOL_Source_Data!$U$27),KOL_Source_Data!$U$27&lt;&gt;"N/A")),"N/A",IF(Brand_Profile!$E$53=0,Lookup_Lists!$D$150,ROUND((IF(Brand_Profile!$E$48="",0,IF(ISNUMBER(SEARCH(Brand_Profile!$E$48,Matching_Engine!$BF$27)),1,0))+IF(Brand_Profile!$E$49="",0,IF(ISNUMBER(SEARCH(Brand_Profile!$E$49,Matching_Engine!$BF$27)),1,0))+IF(Brand_Profile!$E$50="",0,IF(ISNUMBER(SEARCH(Brand_Profile!$E$50,Matching_Engine!$BF$27)),1,0))+IF(Brand_Profile!$E$51="",0,IF(ISNUMBER(SEARCH(Brand_Profile!$E$51,Matching_Engine!$BF$27)),1,0))+IF(Brand_Profile!$E$52="",0,IF(ISNUMBER(SEARCH(Brand_Profile!$E$52,Matching_Engine!$BF$27)),1,0)))/Brand_Profile!$E$53*100,0)))</f>
      </c>
      <c r="M27" s="29">
        <f>IF((IF(ISNUMBER(Matching_Engine!$J$27),Lookup_Lists!$D$332,0)+IF(ISNUMBER(Matching_Engine!$K$27),Lookup_Lists!$D$333,0)+IF(ISNUMBER(Matching_Engine!$L$27),Lookup_Lists!$D$334,0))=0,"N/A",ROUND((IF(ISNUMBER(Matching_Engine!$J$27),Matching_Engine!$J$27*Lookup_Lists!$D$332,0)+IF(ISNUMBER(Matching_Engine!$K$27),Matching_Engine!$K$27*Lookup_Lists!$D$333,0)+IF(ISNUMBER(Matching_Engine!$L$27),Matching_Engine!$L$27*Lookup_Lists!$D$334,0))/(IF(ISNUMBER(Matching_Engine!$J$27),Lookup_Lists!$D$332,0)+IF(ISNUMBER(Matching_Engine!$K$27),Lookup_Lists!$D$333,0)+IF(ISNUMBER(Matching_Engine!$L$27),Lookup_Lists!$D$334,0)),0))</f>
      </c>
      <c r="N27" s="11">
        <f>IF(ISNUMBER(Matching_Engine!$M$27),1,0)</f>
      </c>
      <c r="O27" s="18">
        <f>IF(NOT(ISNUMBER(IFERROR(INDEX(KOL_Source_Data!$V$27:KOL_Source_Data!$Z$27,1,MATCH(Brand_Profile!$E$11,Lookup_Lists!$F$6:$F$10,0)),""))),"N/A",MIN(100,ROUND((IFERROR(INDEX(KOL_Source_Data!$V$27:KOL_Source_Data!$Z$27,1,MATCH(Brand_Profile!$E$11,Lookup_Lists!$F$6:$F$10,0)),"")+0.5*IF(ISNUMBER(IFERROR(INDEX(KOL_Source_Data!$V$27:KOL_Source_Data!$Z$27,1,MATCH(Brand_Profile!$E$12,Lookup_Lists!$F$6:$F$10,0)),"")),IFERROR(INDEX(KOL_Source_Data!$V$27:KOL_Source_Data!$Z$27,1,MATCH(Brand_Profile!$E$12,Lookup_Lists!$F$6:$F$10,0)),""),0))/Lookup_Lists!$D$142*100,0)))</f>
      </c>
      <c r="P27" s="18">
        <f>IF(Brand_Profile!$E$13="Any",100,IF(NOT(ISNUMBER(KOL_Source_Data!$AA$27)),"N/A",IF(Brand_Profile!$E$13="Female",MIN(100,ROUND(KOL_Source_Data!$AA$27/Lookup_Lists!$D$143*100,0)),IF(Brand_Profile!$E$13="Male",MIN(100,ROUND(IF(ISNUMBER(KOL_Source_Data!$AB$27),KOL_Source_Data!$AB$27,100-KOL_Source_Data!$AA$27)/Lookup_Lists!$D$143*100,0)),MAX(0,ROUND(100-ABS(KOL_Source_Data!$AA$27-50)*2,0))))))</f>
      </c>
      <c r="Q27" s="18">
        <f>IF((IF(ISNUMBER(IF(NOT(ISNUMBER(KOL_Source_Data!$AE$27)),"N/A",IF(KOL_Source_Data!$AD$27&lt;&gt;Brand_Profile!$E$14,Lookup_Lists!$D$151,MIN(100,ROUND(KOL_Source_Data!$AE$27/Lookup_Lists!$D$316*100,0))))),Lookup_Lists!$D$118,0)+IF(ISNUMBER(IF(NOT(ISNUMBER(KOL_Source_Data!$AM$27)),"N/A",MIN(100,ROUND((IF(KOL_Source_Data!$AG$27=Brand_Profile!$E$15,IF(ISNUMBER(KOL_Source_Data!$AH$27),KOL_Source_Data!$AH$27,0),0)+IF(KOL_Source_Data!$AI$27=Brand_Profile!$E$15,IF(ISNUMBER(KOL_Source_Data!$AJ$27),KOL_Source_Data!$AJ$27,0),0)+IF(KOL_Source_Data!$AK$27=Brand_Profile!$E$15,IF(ISNUMBER(KOL_Source_Data!$AL$27),KOL_Source_Data!$AL$27,0),0))/Lookup_Lists!$D$317*100,0)))),Lookup_Lists!$D$120,0))=0,"N/A",ROUND((IF(ISNUMBER(IF(NOT(ISNUMBER(KOL_Source_Data!$AE$27)),"N/A",IF(KOL_Source_Data!$AD$27&lt;&gt;Brand_Profile!$E$14,Lookup_Lists!$D$151,MIN(100,ROUND(KOL_Source_Data!$AE$27/Lookup_Lists!$D$316*100,0))))),IF(NOT(ISNUMBER(KOL_Source_Data!$AE$27)),"N/A",IF(KOL_Source_Data!$AD$27&lt;&gt;Brand_Profile!$E$14,Lookup_Lists!$D$151,MIN(100,ROUND(KOL_Source_Data!$AE$27/Lookup_Lists!$D$316*100,0))))*Lookup_Lists!$D$118,0)+IF(ISNUMBER(IF(NOT(ISNUMBER(KOL_Source_Data!$AM$27)),"N/A",MIN(100,ROUND((IF(KOL_Source_Data!$AG$27=Brand_Profile!$E$15,IF(ISNUMBER(KOL_Source_Data!$AH$27),KOL_Source_Data!$AH$27,0),0)+IF(KOL_Source_Data!$AI$27=Brand_Profile!$E$15,IF(ISNUMBER(KOL_Source_Data!$AJ$27),KOL_Source_Data!$AJ$27,0),0)+IF(KOL_Source_Data!$AK$27=Brand_Profile!$E$15,IF(ISNUMBER(KOL_Source_Data!$AL$27),KOL_Source_Data!$AL$27,0),0))/Lookup_Lists!$D$317*100,0)))),IF(NOT(ISNUMBER(KOL_Source_Data!$AM$27)),"N/A",MIN(100,ROUND((IF(KOL_Source_Data!$AG$27=Brand_Profile!$E$15,IF(ISNUMBER(KOL_Source_Data!$AH$27),KOL_Source_Data!$AH$27,0),0)+IF(KOL_Source_Data!$AI$27=Brand_Profile!$E$15,IF(ISNUMBER(KOL_Source_Data!$AJ$27),KOL_Source_Data!$AJ$27,0),0)+IF(KOL_Source_Data!$AK$27=Brand_Profile!$E$15,IF(ISNUMBER(KOL_Source_Data!$AL$27),KOL_Source_Data!$AL$27,0),0))/Lookup_Lists!$D$317*100,0)))*Lookup_Lists!$D$120,0))/(IF(ISNUMBER(IF(NOT(ISNUMBER(KOL_Source_Data!$AE$27)),"N/A",IF(KOL_Source_Data!$AD$27&lt;&gt;Brand_Profile!$E$14,Lookup_Lists!$D$151,MIN(100,ROUND(KOL_Source_Data!$AE$27/Lookup_Lists!$D$316*100,0))))),Lookup_Lists!$D$118,0)+IF(ISNUMBER(IF(NOT(ISNUMBER(KOL_Source_Data!$AM$27)),"N/A",MIN(100,ROUND((IF(KOL_Source_Data!$AG$27=Brand_Profile!$E$15,IF(ISNUMBER(KOL_Source_Data!$AH$27),KOL_Source_Data!$AH$27,0),0)+IF(KOL_Source_Data!$AI$27=Brand_Profile!$E$15,IF(ISNUMBER(KOL_Source_Data!$AJ$27),KOL_Source_Data!$AJ$27,0),0)+IF(KOL_Source_Data!$AK$27=Brand_Profile!$E$15,IF(ISNUMBER(KOL_Source_Data!$AL$27),KOL_Source_Data!$AL$27,0),0))/Lookup_Lists!$D$317*100,0)))),Lookup_Lists!$D$120,0)),0))</f>
      </c>
      <c r="R27" s="18">
        <f>IF(NOT(ISNUMBER(KOL_Source_Data!$AN$27)),"N/A",MIN(100,ROUND((IF(ISNUMBER(KOL_Source_Data!$AO$27),KOL_Source_Data!$AO$27*Brand_Profile!$E$17,0)+IF(ISNUMBER(KOL_Source_Data!$AP$27),KOL_Source_Data!$AP$27*Brand_Profile!$E$18,0)+IF(ISNUMBER(KOL_Source_Data!$AQ$27),KOL_Source_Data!$AQ$27*Brand_Profile!$E$19,0)+IF(ISNUMBER(KOL_Source_Data!$AR$27),KOL_Source_Data!$AR$27*Brand_Profile!$E$20,0)+IF(ISNUMBER(KOL_Source_Data!$AS$27),KOL_Source_Data!$AS$27*Brand_Profile!$E$21,0)+IF(ISNUMBER(KOL_Source_Data!$AT$27),KOL_Source_Data!$AT$27*Brand_Profile!$E$22,0)+IF(ISNUMBER(KOL_Source_Data!$AU$27),KOL_Source_Data!$AU$27*Brand_Profile!$E$23,0)+IF(ISNUMBER(KOL_Source_Data!$AV$27),KOL_Source_Data!$AV$27*Brand_Profile!$E$24,0)+IF(ISNUMBER(KOL_Source_Data!$AW$27),KOL_Source_Data!$AW$27*Brand_Profile!$E$25,0)+IF(ISNUMBER(KOL_Source_Data!$AX$27),KOL_Source_Data!$AX$27*Brand_Profile!$E$26,0)+IF(ISNUMBER(KOL_Source_Data!$AY$27),KOL_Source_Data!$AY$27*Brand_Profile!$E$27,0)+IF(ISNUMBER(KOL_Source_Data!$AZ$27),KOL_Source_Data!$AZ$27*Brand_Profile!$E$28,0)+IF(ISNUMBER(KOL_Source_Data!$BA$27),KOL_Source_Data!$BA$27*Brand_Profile!$E$29,0)+IF(ISNUMBER(KOL_Source_Data!$BB$27),KOL_Source_Data!$BB$27*Brand_Profile!$E$30,0)+IF(ISNUMBER(KOL_Source_Data!$BC$27),KOL_Source_Data!$BC$27*Brand_Profile!$E$31,0)+IF(ISNUMBER(KOL_Source_Data!$BD$27),KOL_Source_Data!$BD$27*Brand_Profile!$E$32,0)+IF(ISNUMBER(KOL_Source_Data!$BE$27),KOL_Source_Data!$BE$27*Brand_Profile!$E$33,0)+IF(ISNUMBER(KOL_Source_Data!$BF$27),KOL_Source_Data!$BF$27*Brand_Profile!$E$34,0))/Lookup_Lists!$D$318*100,0)))</f>
      </c>
      <c r="S27" s="29">
        <f>IF((IF(ISNUMBER(Matching_Engine!$O$27),Lookup_Lists!$D$113,0)+IF(ISNUMBER(Matching_Engine!$P$27),Lookup_Lists!$D$114,0)+IF(ISNUMBER(Matching_Engine!$Q$27),Lookup_Lists!$D$115,0)+IF(ISNUMBER(Matching_Engine!$R$27),Lookup_Lists!$D$116,0))=0,"N/A",ROUND((IF(ISNUMBER(Matching_Engine!$O$27),Matching_Engine!$O$27*Lookup_Lists!$D$113,0)+IF(ISNUMBER(Matching_Engine!$P$27),Matching_Engine!$P$27*Lookup_Lists!$D$114,0)+IF(ISNUMBER(Matching_Engine!$Q$27),Matching_Engine!$Q$27*Lookup_Lists!$D$115,0)+IF(ISNUMBER(Matching_Engine!$R$27),Matching_Engine!$R$27*Lookup_Lists!$D$116,0))/(IF(ISNUMBER(Matching_Engine!$O$27),Lookup_Lists!$D$113,0)+IF(ISNUMBER(Matching_Engine!$P$27),Lookup_Lists!$D$114,0)+IF(ISNUMBER(Matching_Engine!$Q$27),Lookup_Lists!$D$115,0)+IF(ISNUMBER(Matching_Engine!$R$27),Lookup_Lists!$D$116,0)),0))</f>
      </c>
      <c r="T27" s="11">
        <f>IF(ISNUMBER(Matching_Engine!$S$27),1,0)</f>
      </c>
      <c r="U27" s="18">
        <f>IF(NOT(AND(ISTEXT(KOL_Source_Data!$M$27),KOL_Source_Data!$M$27&lt;&gt;"N/A")),Lookup_Lists!$D$150,IF(Brand_Profile!$E$7=KOL_Source_Data!$M$27,100,IFERROR(INDEX(Lookup_Lists!$B$349:$J$357,MATCH(Brand_Profile!$E$7,Lookup_Lists!$A$349:$A$357,0),MATCH(KOL_Source_Data!$M$27,Lookup_Lists!$B$348:$J$348,0)),Lookup_Lists!$D$151)))</f>
      </c>
      <c r="V27" s="18">
        <f>IF(NOT(AND(ISTEXT(KOL_Source_Data!$P$27),KOL_Source_Data!$P$27&lt;&gt;"N/A")),"N/A",IFERROR(INDEX(Lookup_Lists!$B$349:$J$357,MATCH(Brand_Profile!$E$7,Lookup_Lists!$A$349:$A$357,0),MATCH(KOL_Source_Data!$P$27,Lookup_Lists!$B$348:$J$348,0)),Lookup_Lists!$D$151))</f>
      </c>
      <c r="W27" s="18">
        <f>IF(LEN(TRIM(SUBSTITUTE(Matching_Engine!$BE$27,"|","")))=0,"N/A",IF(Brand_Profile!$E$60=0,Lookup_Lists!$D$150,ROUND((IF(Brand_Profile!$E$54="",0,IF(ISNUMBER(SEARCH(Brand_Profile!$E$54,Matching_Engine!$BE$27)),1,0))+IF(Brand_Profile!$E$55="",0,IF(ISNUMBER(SEARCH(Brand_Profile!$E$55,Matching_Engine!$BE$27)),1,0))+IF(Brand_Profile!$E$56="",0,IF(ISNUMBER(SEARCH(Brand_Profile!$E$56,Matching_Engine!$BE$27)),1,0))+IF(Brand_Profile!$E$57="",0,IF(ISNUMBER(SEARCH(Brand_Profile!$E$57,Matching_Engine!$BE$27)),1,0))+IF(Brand_Profile!$E$58="",0,IF(ISNUMBER(SEARCH(Brand_Profile!$E$58,Matching_Engine!$BE$27)),1,0))+IF(Brand_Profile!$E$59="",0,IF(ISNUMBER(SEARCH(Brand_Profile!$E$59,Matching_Engine!$BE$27)),1,0)))/Brand_Profile!$E$60*100,0)))</f>
      </c>
      <c r="X27" s="18">
        <f>IF(NOT(AND(ISTEXT(KOL_Source_Data!$Q$27),KOL_Source_Data!$Q$27&lt;&gt;"N/A")),"N/A",Lookup_Lists!$D$150)</f>
      </c>
      <c r="Y27" s="29">
        <f>IF((IF(ISNUMBER(Matching_Engine!$U$27),Lookup_Lists!$D$335,0)+IF(ISNUMBER(Matching_Engine!$V$27),Lookup_Lists!$D$122,0)+IF(ISNUMBER(Matching_Engine!$W$27),Lookup_Lists!$D$336,0)+IF(ISNUMBER(Matching_Engine!$X$27),Lookup_Lists!$D$124,0))=0,"N/A",ROUND((IF(ISNUMBER(Matching_Engine!$U$27),Matching_Engine!$U$27*Lookup_Lists!$D$335,0)+IF(ISNUMBER(Matching_Engine!$V$27),Matching_Engine!$V$27*Lookup_Lists!$D$122,0)+IF(ISNUMBER(Matching_Engine!$W$27),Matching_Engine!$W$27*Lookup_Lists!$D$336,0)+IF(ISNUMBER(Matching_Engine!$X$27),Matching_Engine!$X$27*Lookup_Lists!$D$124,0))/(IF(ISNUMBER(Matching_Engine!$U$27),Lookup_Lists!$D$335,0)+IF(ISNUMBER(Matching_Engine!$V$27),Lookup_Lists!$D$122,0)+IF(ISNUMBER(Matching_Engine!$W$27),Lookup_Lists!$D$336,0)+IF(ISNUMBER(Matching_Engine!$X$27),Lookup_Lists!$D$124,0)),0))</f>
      </c>
      <c r="Z27" s="11">
        <f>IF(ISNUMBER(Matching_Engine!$Y$27),1,0)</f>
      </c>
      <c r="AA27" s="18">
        <f>IF(NOT(AND(ISTEXT(KOL_Source_Data!$Q$27),KOL_Source_Data!$Q$27&lt;&gt;"N/A")),"N/A",Lookup_Lists!$D$150)</f>
      </c>
      <c r="AB27" s="18">
        <f>IF(NOT(AND(ISTEXT(KOL_Source_Data!$Q$27),KOL_Source_Data!$Q$27&lt;&gt;"N/A")),"N/A",Lookup_Lists!$D$150)</f>
      </c>
      <c r="AC27" s="18">
        <f>"N/A"</f>
      </c>
      <c r="AD27" s="18">
        <f>IF(NOT(AND(ISTEXT(KOL_Source_Data!$Q$27),KOL_Source_Data!$Q$27&lt;&gt;"N/A")),"N/A",Lookup_Lists!$D$150)</f>
      </c>
      <c r="AE27" s="29">
        <f>IF((IF(ISNUMBER(Matching_Engine!$AA$27),Lookup_Lists!$D$125,0)+IF(ISNUMBER(Matching_Engine!$AB$27),Lookup_Lists!$D$126,0)+IF(ISNUMBER(Matching_Engine!$AC$27),Lookup_Lists!$D$127,0)+IF(ISNUMBER(Matching_Engine!$AD$27),Lookup_Lists!$D$128,0))=0,"N/A",ROUND((IF(ISNUMBER(Matching_Engine!$AA$27),Matching_Engine!$AA$27*Lookup_Lists!$D$125,0)+IF(ISNUMBER(Matching_Engine!$AB$27),Matching_Engine!$AB$27*Lookup_Lists!$D$126,0)+IF(ISNUMBER(Matching_Engine!$AC$27),Matching_Engine!$AC$27*Lookup_Lists!$D$127,0)+IF(ISNUMBER(Matching_Engine!$AD$27),Matching_Engine!$AD$27*Lookup_Lists!$D$128,0))/(IF(ISNUMBER(Matching_Engine!$AA$27),Lookup_Lists!$D$125,0)+IF(ISNUMBER(Matching_Engine!$AB$27),Lookup_Lists!$D$126,0)+IF(ISNUMBER(Matching_Engine!$AC$27),Lookup_Lists!$D$127,0)+IF(ISNUMBER(Matching_Engine!$AD$27),Lookup_Lists!$D$128,0)),0))</f>
      </c>
      <c r="AF27" s="11">
        <f>IF(ISNUMBER(Matching_Engine!$AE$27),1,0)</f>
      </c>
      <c r="AG27" s="18">
        <f>IF(NOT(ISNUMBER(KOL_Source_Data!$BG$27)),"N/A",MIN(100,ROUND(KOL_Source_Data!$BG$27/IFERROR(INDEX(Lookup_Lists!$B$340:$B$344,MATCH(KOL_Source_Data!$H$27,Lookup_Lists!$A$340:$A$344,0)),Lookup_Lists!$D$141)*100,0)))</f>
      </c>
      <c r="AH27" s="18">
        <f>IF(NOT(ISNUMBER(KOL_Source_Data!$BS$27)),"N/A",MIN(100,MAX(0,KOL_Source_Data!$BS$27)))</f>
      </c>
      <c r="AI27" s="18">
        <f>IF(OR(NOT(ISNUMBER(KOL_Source_Data!$BM$27)),NOT(ISNUMBER(KOL_Source_Data!$BN$27)),KOL_Source_Data!$BN$27&lt;Lookup_Lists!$D$320),"N/A",MIN(100,ROUND(KOL_Source_Data!$BM$27/Lookup_Lists!$D$319*100,0)))</f>
      </c>
      <c r="AJ27" s="18">
        <f>IF(NOT(ISNUMBER(KOL_Source_Data!$BR$27)),"N/A",KOL_Source_Data!$BR$27)</f>
      </c>
      <c r="AK27" s="18">
        <f>IF(NOT(ISNUMBER(KOL_Source_Data!$BK$27)),"N/A",MIN(100,ROUND(KOL_Source_Data!$BK$27/Lookup_Lists!$D$321*100,0)))</f>
      </c>
      <c r="AL27" s="18">
        <f>IF(NOT(ISNUMBER(KOL_Source_Data!$BP$27)),"N/A",MIN(100,MAX(0,ROUND((KOL_Source_Data!$BP$27+2)/(Lookup_Lists!$D$145+2)*100,0))))</f>
      </c>
      <c r="AM27" s="29">
        <f>IF((IF(ISNUMBER(Matching_Engine!$AG$27),Lookup_Lists!$D$129,0)+IF(ISNUMBER(Matching_Engine!$AH$27),Lookup_Lists!$D$130,0)+IF(ISNUMBER(Matching_Engine!$AI$27),Lookup_Lists!$D$131,0)+IF(ISNUMBER(Matching_Engine!$AJ$27),Lookup_Lists!$D$132,0)+IF(ISNUMBER(Matching_Engine!$AK$27),Lookup_Lists!$D$133,0)+IF(ISNUMBER(Matching_Engine!$AL$27),Lookup_Lists!$D$134,0))=0,"N/A",ROUND((IF(ISNUMBER(Matching_Engine!$AG$27),Matching_Engine!$AG$27*Lookup_Lists!$D$129,0)+IF(ISNUMBER(Matching_Engine!$AH$27),Matching_Engine!$AH$27*Lookup_Lists!$D$130,0)+IF(ISNUMBER(Matching_Engine!$AI$27),Matching_Engine!$AI$27*Lookup_Lists!$D$131,0)+IF(ISNUMBER(Matching_Engine!$AJ$27),Matching_Engine!$AJ$27*Lookup_Lists!$D$132,0)+IF(ISNUMBER(Matching_Engine!$AK$27),Matching_Engine!$AK$27*Lookup_Lists!$D$133,0)+IF(ISNUMBER(Matching_Engine!$AL$27),Matching_Engine!$AL$27*Lookup_Lists!$D$134,0))/(IF(ISNUMBER(Matching_Engine!$AG$27),Lookup_Lists!$D$129,0)+IF(ISNUMBER(Matching_Engine!$AH$27),Lookup_Lists!$D$130,0)+IF(ISNUMBER(Matching_Engine!$AI$27),Lookup_Lists!$D$131,0)+IF(ISNUMBER(Matching_Engine!$AJ$27),Lookup_Lists!$D$132,0)+IF(ISNUMBER(Matching_Engine!$AK$27),Lookup_Lists!$D$133,0)+IF(ISNUMBER(Matching_Engine!$AL$27),Lookup_Lists!$D$134,0)),0))</f>
      </c>
      <c r="AN27" s="11">
        <f>IF(ISNUMBER(Matching_Engine!$AM$27),1,0)</f>
      </c>
      <c r="AO27" s="18">
        <f>IF(NOT(ISNUMBER(KOL_Source_Data!$BT$27)),"N/A",MIN(100,MAX(0,KOL_Source_Data!$BT$27)))</f>
      </c>
      <c r="AP27" s="18">
        <f>IF(NOT(ISNUMBER(KOL_Source_Data!$BU$27)),"N/A",MIN(100,MAX(0,KOL_Source_Data!$BU$27)))</f>
      </c>
      <c r="AQ27" s="18">
        <f>IF(KOL_Source_Data!$I$27="Yes",Lookup_Lists!$D$326,IF(KOL_Source_Data!$I$27="No",Lookup_Lists!$D$327,"N/A"))</f>
      </c>
      <c r="AR27" s="18">
        <f>IF(NOT(ISNUMBER(KOL_Source_Data!$BQ$27)),"N/A",MAX(0,ROUND(100-KOL_Source_Data!$BQ$27/Lookup_Lists!$D$328*100,0)))</f>
      </c>
      <c r="AS27" s="18">
        <f>IF(NOT(AND(ISTEXT(KOL_Source_Data!$BV$27),KOL_Source_Data!$BV$27&lt;&gt;"N/A")),"N/A",KOL_Source_Data!$BV$27)</f>
      </c>
      <c r="AT27" s="29">
        <f>IF((IF(ISNUMBER(Matching_Engine!$AO$27),Lookup_Lists!$D$322,0)+IF(ISNUMBER(Matching_Engine!$AP$27),Lookup_Lists!$D$323,0)+IF(ISNUMBER(Matching_Engine!$AQ$27),Lookup_Lists!$D$324,0)+IF(ISNUMBER(Matching_Engine!$AR$27),Lookup_Lists!$D$325,0))=0,"N/A",ROUND((IF(ISNUMBER(Matching_Engine!$AO$27),Matching_Engine!$AO$27*Lookup_Lists!$D$322,0)+IF(ISNUMBER(Matching_Engine!$AP$27),Matching_Engine!$AP$27*Lookup_Lists!$D$323,0)+IF(ISNUMBER(Matching_Engine!$AQ$27),Matching_Engine!$AQ$27*Lookup_Lists!$D$324,0)+IF(ISNUMBER(Matching_Engine!$AR$27),Matching_Engine!$AR$27*Lookup_Lists!$D$325,0))/(IF(ISNUMBER(Matching_Engine!$AO$27),Lookup_Lists!$D$322,0)+IF(ISNUMBER(Matching_Engine!$AP$27),Lookup_Lists!$D$323,0)+IF(ISNUMBER(Matching_Engine!$AQ$27),Lookup_Lists!$D$324,0)+IF(ISNUMBER(Matching_Engine!$AR$27),Lookup_Lists!$D$325,0)),0))</f>
      </c>
      <c r="AU27" s="11">
        <f>IF(ISNUMBER(Matching_Engine!$AT$27),1,0)</f>
      </c>
      <c r="AV27" s="11">
        <f>IF(NOT(ISNUMBER(Matching_Engine!$AT$27)),"Not Screened",IF(Matching_Engine!$AT$27&gt;=Lookup_Lists!$D$329,"Low Risk",IF(Matching_Engine!$AT$27&gt;=Lookup_Lists!$D$330,"Moderate Risk",IF(Matching_Engine!$AT$27&gt;=Lookup_Lists!$D$331,"Elevated Risk","High Risk"))))</f>
      </c>
      <c r="AW27" s="11">
        <f>IF(NOT(ISNUMBER(Matching_Engine!$AT$27)),"No integrity signal: no audience-analysis row for this account.","Integrity screen only — no content-risk reading exists (comments_analysis: 0 rows). "&amp;IF(ISNUMBER(Matching_Engine!$AO$27),"Authenticity "&amp;Matching_Engine!$AO$27&amp;". ","Authenticity N/A. ")&amp;IF(ISNUMBER(Matching_Engine!$AP$27),"Follower quality "&amp;Matching_Engine!$AP$27&amp;". ","Follower quality N/A. ")&amp;IF(KOL_Source_Data!$I$27="Yes","Platform-verified.","Not platform-verified."))</f>
      </c>
      <c r="AX27" s="18">
        <f>Matching_Engine!$N$27*Lookup_Lists!$D$104+Matching_Engine!$T$27*Lookup_Lists!$D$105+Matching_Engine!$Z$27*Lookup_Lists!$D$106+Matching_Engine!$AF$27*Lookup_Lists!$D$107+Matching_Engine!$AN$27*Lookup_Lists!$D$108+Matching_Engine!$AU$27*Lookup_Lists!$D$109</f>
      </c>
      <c r="AY27" s="30">
        <f>IF(Matching_Engine!$AX$27=0,"N/A",ROUND((IF(Matching_Engine!$N$27=1,Matching_Engine!$M$27*Lookup_Lists!$D$104,0)+IF(Matching_Engine!$T$27=1,Matching_Engine!$S$27*Lookup_Lists!$D$105,0)+IF(Matching_Engine!$Z$27=1,Matching_Engine!$Y$27*Lookup_Lists!$D$106,0)+IF(Matching_Engine!$AF$27=1,Matching_Engine!$AE$27*Lookup_Lists!$D$107,0)+IF(Matching_Engine!$AN$27=1,Matching_Engine!$AM$27*Lookup_Lists!$D$108,0)+IF(Matching_Engine!$AU$27=1,Matching_Engine!$AT$27*Lookup_Lists!$D$109,0))/Matching_Engine!$AX$27,0))</f>
      </c>
      <c r="AZ27" s="11">
        <f>IF(NOT(ISNUMBER(Matching_Engine!$AY$27)),"Not Scored",IF(Matching_Engine!$AY$27&gt;=Lookup_Lists!$D$152,"Excellent Match",IF(Matching_Engine!$AY$27&gt;=Lookup_Lists!$D$153,"Strong Match",IF(Matching_Engine!$AY$27&gt;=Lookup_Lists!$D$154,"Good Match",IF(Matching_Engine!$AY$27&gt;=Lookup_Lists!$D$155,"Moderate Match","Low Match")))))</f>
      </c>
      <c r="BA27" s="18">
        <f>KOL_Source_Data!$BW$27</f>
      </c>
      <c r="BB27" s="11">
        <f>KOL_Source_Data!$BX$27</f>
      </c>
      <c r="BC27" s="18">
        <f>IF(NOT(ISNUMBER(Matching_Engine!$AY$27)),-1,Matching_Engine!$AY$27*1000+3)</f>
      </c>
      <c r="BD27" s="11">
        <f>IF(AND(ISTEXT(KOL_Source_Data!$S$27),KOL_Source_Data!$S$27&lt;&gt;"N/A"),KOL_Source_Data!$S$27,"")&amp;" | "&amp;IF(AND(ISTEXT(KOL_Source_Data!$T$27),KOL_Source_Data!$T$27&lt;&gt;"N/A"),KOL_Source_Data!$T$27,"")&amp;" | "&amp;IF(AND(ISTEXT(KOL_Source_Data!$N$27),KOL_Source_Data!$N$27&lt;&gt;"N/A"),KOL_Source_Data!$N$27,"")&amp;" | "&amp;IF(AND(ISTEXT(KOL_Source_Data!$K$27),KOL_Source_Data!$K$27&lt;&gt;"N/A"),KOL_Source_Data!$K$27,"")&amp;" | "&amp;IF(AND(ISTEXT(KOL_Source_Data!$J$27),KOL_Source_Data!$J$27&lt;&gt;"N/A"),KOL_Source_Data!$J$27,"")</f>
      </c>
      <c r="BE27" s="11">
        <f>IF(AND(ISTEXT(KOL_Source_Data!$T$27),KOL_Source_Data!$T$27&lt;&gt;"N/A"),KOL_Source_Data!$T$27,"")&amp;" | "&amp;IF(AND(ISTEXT(KOL_Source_Data!$N$27),KOL_Source_Data!$N$27&lt;&gt;"N/A"),KOL_Source_Data!$N$27,"")&amp;" | "&amp;IF(AND(ISTEXT(KOL_Source_Data!$O$27),KOL_Source_Data!$O$27&lt;&gt;"N/A"),KOL_Source_Data!$O$27,"")&amp;" | "&amp;IF(AND(ISTEXT(KOL_Source_Data!$S$27),KOL_Source_Data!$S$27&lt;&gt;"N/A"),KOL_Source_Data!$S$27,"")</f>
      </c>
      <c r="BF27" s="11">
        <f>IF(AND(ISTEXT(KOL_Source_Data!$U$27),KOL_Source_Data!$U$27&lt;&gt;"N/A"),KOL_Source_Data!$U$27,"")</f>
      </c>
      <c r="BG27" s="11">
        <f>Matching_Engine!$A$27&amp;"|"&amp;Matching_Engine!$C$27</f>
      </c>
    </row>
    <row r="28" spans="1:59" x14ac:dyDescent="0.25">
      <c r="A28" s="10" t="s">
        <v>390</v>
      </c>
      <c r="B28" s="11">
        <f>Brand_Profile!$E$6</f>
      </c>
      <c r="C28" s="11">
        <f>KOL_Source_Data!$A$28</f>
      </c>
      <c r="D28" s="11">
        <f>KOL_Source_Data!$C$28</f>
      </c>
      <c r="E28" s="11">
        <f>KOL_Source_Data!$D$28</f>
      </c>
      <c r="F28" s="11">
        <f>KOL_Source_Data!$E$28</f>
      </c>
      <c r="G28" s="11">
        <f>KOL_Source_Data!$K$28</f>
      </c>
      <c r="H28" s="12">
        <f>KOL_Source_Data!$G$28</f>
      </c>
      <c r="I28" s="14">
        <f>KOL_Source_Data!$BG$28</f>
      </c>
      <c r="J28" s="18">
        <f>IF(NOT(AND(ISTEXT(KOL_Source_Data!$K$28),KOL_Source_Data!$K$28&lt;&gt;"N/A")),Lookup_Lists!$D$150,IF(Brand_Profile!$E$7=KOL_Source_Data!$K$28,100,IFERROR(INDEX(Lookup_Lists!$B$349:$J$357,MATCH(Brand_Profile!$E$7,Lookup_Lists!$A$349:$A$357,0),MATCH(KOL_Source_Data!$K$28,Lookup_Lists!$B$348:$J$348,0)),Lookup_Lists!$D$151)))</f>
      </c>
      <c r="K28" s="18">
        <f>IF(LEN(TRIM(SUBSTITUTE(Matching_Engine!$BD$28,"|","")))=0,"N/A",IF(Brand_Profile!$E$47=0,Lookup_Lists!$D$150,ROUND((IF(Brand_Profile!$E$41="",0,IF(ISNUMBER(SEARCH(Brand_Profile!$E$41,Matching_Engine!$BD$28)),1,0))+IF(Brand_Profile!$E$42="",0,IF(ISNUMBER(SEARCH(Brand_Profile!$E$42,Matching_Engine!$BD$28)),1,0))+IF(Brand_Profile!$E$43="",0,IF(ISNUMBER(SEARCH(Brand_Profile!$E$43,Matching_Engine!$BD$28)),1,0))+IF(Brand_Profile!$E$44="",0,IF(ISNUMBER(SEARCH(Brand_Profile!$E$44,Matching_Engine!$BD$28)),1,0))+IF(Brand_Profile!$E$45="",0,IF(ISNUMBER(SEARCH(Brand_Profile!$E$45,Matching_Engine!$BD$28)),1,0))+IF(Brand_Profile!$E$46="",0,IF(ISNUMBER(SEARCH(Brand_Profile!$E$46,Matching_Engine!$BD$28)),1,0)))/Brand_Profile!$E$47*100,0)))</f>
      </c>
      <c r="L28" s="18">
        <f>IF(NOT(AND(ISTEXT(KOL_Source_Data!$U$28),KOL_Source_Data!$U$28&lt;&gt;"N/A")),"N/A",IF(Brand_Profile!$E$53=0,Lookup_Lists!$D$150,ROUND((IF(Brand_Profile!$E$48="",0,IF(ISNUMBER(SEARCH(Brand_Profile!$E$48,Matching_Engine!$BF$28)),1,0))+IF(Brand_Profile!$E$49="",0,IF(ISNUMBER(SEARCH(Brand_Profile!$E$49,Matching_Engine!$BF$28)),1,0))+IF(Brand_Profile!$E$50="",0,IF(ISNUMBER(SEARCH(Brand_Profile!$E$50,Matching_Engine!$BF$28)),1,0))+IF(Brand_Profile!$E$51="",0,IF(ISNUMBER(SEARCH(Brand_Profile!$E$51,Matching_Engine!$BF$28)),1,0))+IF(Brand_Profile!$E$52="",0,IF(ISNUMBER(SEARCH(Brand_Profile!$E$52,Matching_Engine!$BF$28)),1,0)))/Brand_Profile!$E$53*100,0)))</f>
      </c>
      <c r="M28" s="29">
        <f>IF((IF(ISNUMBER(Matching_Engine!$J$28),Lookup_Lists!$D$332,0)+IF(ISNUMBER(Matching_Engine!$K$28),Lookup_Lists!$D$333,0)+IF(ISNUMBER(Matching_Engine!$L$28),Lookup_Lists!$D$334,0))=0,"N/A",ROUND((IF(ISNUMBER(Matching_Engine!$J$28),Matching_Engine!$J$28*Lookup_Lists!$D$332,0)+IF(ISNUMBER(Matching_Engine!$K$28),Matching_Engine!$K$28*Lookup_Lists!$D$333,0)+IF(ISNUMBER(Matching_Engine!$L$28),Matching_Engine!$L$28*Lookup_Lists!$D$334,0))/(IF(ISNUMBER(Matching_Engine!$J$28),Lookup_Lists!$D$332,0)+IF(ISNUMBER(Matching_Engine!$K$28),Lookup_Lists!$D$333,0)+IF(ISNUMBER(Matching_Engine!$L$28),Lookup_Lists!$D$334,0)),0))</f>
      </c>
      <c r="N28" s="11">
        <f>IF(ISNUMBER(Matching_Engine!$M$28),1,0)</f>
      </c>
      <c r="O28" s="18">
        <f>IF(NOT(ISNUMBER(IFERROR(INDEX(KOL_Source_Data!$V$28:KOL_Source_Data!$Z$28,1,MATCH(Brand_Profile!$E$11,Lookup_Lists!$F$6:$F$10,0)),""))),"N/A",MIN(100,ROUND((IFERROR(INDEX(KOL_Source_Data!$V$28:KOL_Source_Data!$Z$28,1,MATCH(Brand_Profile!$E$11,Lookup_Lists!$F$6:$F$10,0)),"")+0.5*IF(ISNUMBER(IFERROR(INDEX(KOL_Source_Data!$V$28:KOL_Source_Data!$Z$28,1,MATCH(Brand_Profile!$E$12,Lookup_Lists!$F$6:$F$10,0)),"")),IFERROR(INDEX(KOL_Source_Data!$V$28:KOL_Source_Data!$Z$28,1,MATCH(Brand_Profile!$E$12,Lookup_Lists!$F$6:$F$10,0)),""),0))/Lookup_Lists!$D$142*100,0)))</f>
      </c>
      <c r="P28" s="18">
        <f>IF(Brand_Profile!$E$13="Any",100,IF(NOT(ISNUMBER(KOL_Source_Data!$AA$28)),"N/A",IF(Brand_Profile!$E$13="Female",MIN(100,ROUND(KOL_Source_Data!$AA$28/Lookup_Lists!$D$143*100,0)),IF(Brand_Profile!$E$13="Male",MIN(100,ROUND(IF(ISNUMBER(KOL_Source_Data!$AB$28),KOL_Source_Data!$AB$28,100-KOL_Source_Data!$AA$28)/Lookup_Lists!$D$143*100,0)),MAX(0,ROUND(100-ABS(KOL_Source_Data!$AA$28-50)*2,0))))))</f>
      </c>
      <c r="Q28" s="18">
        <f>IF((IF(ISNUMBER(IF(NOT(ISNUMBER(KOL_Source_Data!$AE$28)),"N/A",IF(KOL_Source_Data!$AD$28&lt;&gt;Brand_Profile!$E$14,Lookup_Lists!$D$151,MIN(100,ROUND(KOL_Source_Data!$AE$28/Lookup_Lists!$D$316*100,0))))),Lookup_Lists!$D$118,0)+IF(ISNUMBER(IF(NOT(ISNUMBER(KOL_Source_Data!$AM$28)),"N/A",MIN(100,ROUND((IF(KOL_Source_Data!$AG$28=Brand_Profile!$E$15,IF(ISNUMBER(KOL_Source_Data!$AH$28),KOL_Source_Data!$AH$28,0),0)+IF(KOL_Source_Data!$AI$28=Brand_Profile!$E$15,IF(ISNUMBER(KOL_Source_Data!$AJ$28),KOL_Source_Data!$AJ$28,0),0)+IF(KOL_Source_Data!$AK$28=Brand_Profile!$E$15,IF(ISNUMBER(KOL_Source_Data!$AL$28),KOL_Source_Data!$AL$28,0),0))/Lookup_Lists!$D$317*100,0)))),Lookup_Lists!$D$120,0))=0,"N/A",ROUND((IF(ISNUMBER(IF(NOT(ISNUMBER(KOL_Source_Data!$AE$28)),"N/A",IF(KOL_Source_Data!$AD$28&lt;&gt;Brand_Profile!$E$14,Lookup_Lists!$D$151,MIN(100,ROUND(KOL_Source_Data!$AE$28/Lookup_Lists!$D$316*100,0))))),IF(NOT(ISNUMBER(KOL_Source_Data!$AE$28)),"N/A",IF(KOL_Source_Data!$AD$28&lt;&gt;Brand_Profile!$E$14,Lookup_Lists!$D$151,MIN(100,ROUND(KOL_Source_Data!$AE$28/Lookup_Lists!$D$316*100,0))))*Lookup_Lists!$D$118,0)+IF(ISNUMBER(IF(NOT(ISNUMBER(KOL_Source_Data!$AM$28)),"N/A",MIN(100,ROUND((IF(KOL_Source_Data!$AG$28=Brand_Profile!$E$15,IF(ISNUMBER(KOL_Source_Data!$AH$28),KOL_Source_Data!$AH$28,0),0)+IF(KOL_Source_Data!$AI$28=Brand_Profile!$E$15,IF(ISNUMBER(KOL_Source_Data!$AJ$28),KOL_Source_Data!$AJ$28,0),0)+IF(KOL_Source_Data!$AK$28=Brand_Profile!$E$15,IF(ISNUMBER(KOL_Source_Data!$AL$28),KOL_Source_Data!$AL$28,0),0))/Lookup_Lists!$D$317*100,0)))),IF(NOT(ISNUMBER(KOL_Source_Data!$AM$28)),"N/A",MIN(100,ROUND((IF(KOL_Source_Data!$AG$28=Brand_Profile!$E$15,IF(ISNUMBER(KOL_Source_Data!$AH$28),KOL_Source_Data!$AH$28,0),0)+IF(KOL_Source_Data!$AI$28=Brand_Profile!$E$15,IF(ISNUMBER(KOL_Source_Data!$AJ$28),KOL_Source_Data!$AJ$28,0),0)+IF(KOL_Source_Data!$AK$28=Brand_Profile!$E$15,IF(ISNUMBER(KOL_Source_Data!$AL$28),KOL_Source_Data!$AL$28,0),0))/Lookup_Lists!$D$317*100,0)))*Lookup_Lists!$D$120,0))/(IF(ISNUMBER(IF(NOT(ISNUMBER(KOL_Source_Data!$AE$28)),"N/A",IF(KOL_Source_Data!$AD$28&lt;&gt;Brand_Profile!$E$14,Lookup_Lists!$D$151,MIN(100,ROUND(KOL_Source_Data!$AE$28/Lookup_Lists!$D$316*100,0))))),Lookup_Lists!$D$118,0)+IF(ISNUMBER(IF(NOT(ISNUMBER(KOL_Source_Data!$AM$28)),"N/A",MIN(100,ROUND((IF(KOL_Source_Data!$AG$28=Brand_Profile!$E$15,IF(ISNUMBER(KOL_Source_Data!$AH$28),KOL_Source_Data!$AH$28,0),0)+IF(KOL_Source_Data!$AI$28=Brand_Profile!$E$15,IF(ISNUMBER(KOL_Source_Data!$AJ$28),KOL_Source_Data!$AJ$28,0),0)+IF(KOL_Source_Data!$AK$28=Brand_Profile!$E$15,IF(ISNUMBER(KOL_Source_Data!$AL$28),KOL_Source_Data!$AL$28,0),0))/Lookup_Lists!$D$317*100,0)))),Lookup_Lists!$D$120,0)),0))</f>
      </c>
      <c r="R28" s="18">
        <f>IF(NOT(ISNUMBER(KOL_Source_Data!$AN$28)),"N/A",MIN(100,ROUND((IF(ISNUMBER(KOL_Source_Data!$AO$28),KOL_Source_Data!$AO$28*Brand_Profile!$E$17,0)+IF(ISNUMBER(KOL_Source_Data!$AP$28),KOL_Source_Data!$AP$28*Brand_Profile!$E$18,0)+IF(ISNUMBER(KOL_Source_Data!$AQ$28),KOL_Source_Data!$AQ$28*Brand_Profile!$E$19,0)+IF(ISNUMBER(KOL_Source_Data!$AR$28),KOL_Source_Data!$AR$28*Brand_Profile!$E$20,0)+IF(ISNUMBER(KOL_Source_Data!$AS$28),KOL_Source_Data!$AS$28*Brand_Profile!$E$21,0)+IF(ISNUMBER(KOL_Source_Data!$AT$28),KOL_Source_Data!$AT$28*Brand_Profile!$E$22,0)+IF(ISNUMBER(KOL_Source_Data!$AU$28),KOL_Source_Data!$AU$28*Brand_Profile!$E$23,0)+IF(ISNUMBER(KOL_Source_Data!$AV$28),KOL_Source_Data!$AV$28*Brand_Profile!$E$24,0)+IF(ISNUMBER(KOL_Source_Data!$AW$28),KOL_Source_Data!$AW$28*Brand_Profile!$E$25,0)+IF(ISNUMBER(KOL_Source_Data!$AX$28),KOL_Source_Data!$AX$28*Brand_Profile!$E$26,0)+IF(ISNUMBER(KOL_Source_Data!$AY$28),KOL_Source_Data!$AY$28*Brand_Profile!$E$27,0)+IF(ISNUMBER(KOL_Source_Data!$AZ$28),KOL_Source_Data!$AZ$28*Brand_Profile!$E$28,0)+IF(ISNUMBER(KOL_Source_Data!$BA$28),KOL_Source_Data!$BA$28*Brand_Profile!$E$29,0)+IF(ISNUMBER(KOL_Source_Data!$BB$28),KOL_Source_Data!$BB$28*Brand_Profile!$E$30,0)+IF(ISNUMBER(KOL_Source_Data!$BC$28),KOL_Source_Data!$BC$28*Brand_Profile!$E$31,0)+IF(ISNUMBER(KOL_Source_Data!$BD$28),KOL_Source_Data!$BD$28*Brand_Profile!$E$32,0)+IF(ISNUMBER(KOL_Source_Data!$BE$28),KOL_Source_Data!$BE$28*Brand_Profile!$E$33,0)+IF(ISNUMBER(KOL_Source_Data!$BF$28),KOL_Source_Data!$BF$28*Brand_Profile!$E$34,0))/Lookup_Lists!$D$318*100,0)))</f>
      </c>
      <c r="S28" s="29">
        <f>IF((IF(ISNUMBER(Matching_Engine!$O$28),Lookup_Lists!$D$113,0)+IF(ISNUMBER(Matching_Engine!$P$28),Lookup_Lists!$D$114,0)+IF(ISNUMBER(Matching_Engine!$Q$28),Lookup_Lists!$D$115,0)+IF(ISNUMBER(Matching_Engine!$R$28),Lookup_Lists!$D$116,0))=0,"N/A",ROUND((IF(ISNUMBER(Matching_Engine!$O$28),Matching_Engine!$O$28*Lookup_Lists!$D$113,0)+IF(ISNUMBER(Matching_Engine!$P$28),Matching_Engine!$P$28*Lookup_Lists!$D$114,0)+IF(ISNUMBER(Matching_Engine!$Q$28),Matching_Engine!$Q$28*Lookup_Lists!$D$115,0)+IF(ISNUMBER(Matching_Engine!$R$28),Matching_Engine!$R$28*Lookup_Lists!$D$116,0))/(IF(ISNUMBER(Matching_Engine!$O$28),Lookup_Lists!$D$113,0)+IF(ISNUMBER(Matching_Engine!$P$28),Lookup_Lists!$D$114,0)+IF(ISNUMBER(Matching_Engine!$Q$28),Lookup_Lists!$D$115,0)+IF(ISNUMBER(Matching_Engine!$R$28),Lookup_Lists!$D$116,0)),0))</f>
      </c>
      <c r="T28" s="11">
        <f>IF(ISNUMBER(Matching_Engine!$S$28),1,0)</f>
      </c>
      <c r="U28" s="18">
        <f>IF(NOT(AND(ISTEXT(KOL_Source_Data!$M$28),KOL_Source_Data!$M$28&lt;&gt;"N/A")),Lookup_Lists!$D$150,IF(Brand_Profile!$E$7=KOL_Source_Data!$M$28,100,IFERROR(INDEX(Lookup_Lists!$B$349:$J$357,MATCH(Brand_Profile!$E$7,Lookup_Lists!$A$349:$A$357,0),MATCH(KOL_Source_Data!$M$28,Lookup_Lists!$B$348:$J$348,0)),Lookup_Lists!$D$151)))</f>
      </c>
      <c r="V28" s="18">
        <f>IF(NOT(AND(ISTEXT(KOL_Source_Data!$P$28),KOL_Source_Data!$P$28&lt;&gt;"N/A")),"N/A",IFERROR(INDEX(Lookup_Lists!$B$349:$J$357,MATCH(Brand_Profile!$E$7,Lookup_Lists!$A$349:$A$357,0),MATCH(KOL_Source_Data!$P$28,Lookup_Lists!$B$348:$J$348,0)),Lookup_Lists!$D$151))</f>
      </c>
      <c r="W28" s="18">
        <f>IF(LEN(TRIM(SUBSTITUTE(Matching_Engine!$BE$28,"|","")))=0,"N/A",IF(Brand_Profile!$E$60=0,Lookup_Lists!$D$150,ROUND((IF(Brand_Profile!$E$54="",0,IF(ISNUMBER(SEARCH(Brand_Profile!$E$54,Matching_Engine!$BE$28)),1,0))+IF(Brand_Profile!$E$55="",0,IF(ISNUMBER(SEARCH(Brand_Profile!$E$55,Matching_Engine!$BE$28)),1,0))+IF(Brand_Profile!$E$56="",0,IF(ISNUMBER(SEARCH(Brand_Profile!$E$56,Matching_Engine!$BE$28)),1,0))+IF(Brand_Profile!$E$57="",0,IF(ISNUMBER(SEARCH(Brand_Profile!$E$57,Matching_Engine!$BE$28)),1,0))+IF(Brand_Profile!$E$58="",0,IF(ISNUMBER(SEARCH(Brand_Profile!$E$58,Matching_Engine!$BE$28)),1,0))+IF(Brand_Profile!$E$59="",0,IF(ISNUMBER(SEARCH(Brand_Profile!$E$59,Matching_Engine!$BE$28)),1,0)))/Brand_Profile!$E$60*100,0)))</f>
      </c>
      <c r="X28" s="18">
        <f>IF(NOT(AND(ISTEXT(KOL_Source_Data!$Q$28),KOL_Source_Data!$Q$28&lt;&gt;"N/A")),"N/A",Lookup_Lists!$D$150)</f>
      </c>
      <c r="Y28" s="29">
        <f>IF((IF(ISNUMBER(Matching_Engine!$U$28),Lookup_Lists!$D$335,0)+IF(ISNUMBER(Matching_Engine!$V$28),Lookup_Lists!$D$122,0)+IF(ISNUMBER(Matching_Engine!$W$28),Lookup_Lists!$D$336,0)+IF(ISNUMBER(Matching_Engine!$X$28),Lookup_Lists!$D$124,0))=0,"N/A",ROUND((IF(ISNUMBER(Matching_Engine!$U$28),Matching_Engine!$U$28*Lookup_Lists!$D$335,0)+IF(ISNUMBER(Matching_Engine!$V$28),Matching_Engine!$V$28*Lookup_Lists!$D$122,0)+IF(ISNUMBER(Matching_Engine!$W$28),Matching_Engine!$W$28*Lookup_Lists!$D$336,0)+IF(ISNUMBER(Matching_Engine!$X$28),Matching_Engine!$X$28*Lookup_Lists!$D$124,0))/(IF(ISNUMBER(Matching_Engine!$U$28),Lookup_Lists!$D$335,0)+IF(ISNUMBER(Matching_Engine!$V$28),Lookup_Lists!$D$122,0)+IF(ISNUMBER(Matching_Engine!$W$28),Lookup_Lists!$D$336,0)+IF(ISNUMBER(Matching_Engine!$X$28),Lookup_Lists!$D$124,0)),0))</f>
      </c>
      <c r="Z28" s="11">
        <f>IF(ISNUMBER(Matching_Engine!$Y$28),1,0)</f>
      </c>
      <c r="AA28" s="18">
        <f>IF(NOT(AND(ISTEXT(KOL_Source_Data!$Q$28),KOL_Source_Data!$Q$28&lt;&gt;"N/A")),"N/A",Lookup_Lists!$D$150)</f>
      </c>
      <c r="AB28" s="18">
        <f>IF(NOT(AND(ISTEXT(KOL_Source_Data!$Q$28),KOL_Source_Data!$Q$28&lt;&gt;"N/A")),"N/A",Lookup_Lists!$D$150)</f>
      </c>
      <c r="AC28" s="18">
        <f>"N/A"</f>
      </c>
      <c r="AD28" s="18">
        <f>IF(NOT(AND(ISTEXT(KOL_Source_Data!$Q$28),KOL_Source_Data!$Q$28&lt;&gt;"N/A")),"N/A",Lookup_Lists!$D$150)</f>
      </c>
      <c r="AE28" s="29">
        <f>IF((IF(ISNUMBER(Matching_Engine!$AA$28),Lookup_Lists!$D$125,0)+IF(ISNUMBER(Matching_Engine!$AB$28),Lookup_Lists!$D$126,0)+IF(ISNUMBER(Matching_Engine!$AC$28),Lookup_Lists!$D$127,0)+IF(ISNUMBER(Matching_Engine!$AD$28),Lookup_Lists!$D$128,0))=0,"N/A",ROUND((IF(ISNUMBER(Matching_Engine!$AA$28),Matching_Engine!$AA$28*Lookup_Lists!$D$125,0)+IF(ISNUMBER(Matching_Engine!$AB$28),Matching_Engine!$AB$28*Lookup_Lists!$D$126,0)+IF(ISNUMBER(Matching_Engine!$AC$28),Matching_Engine!$AC$28*Lookup_Lists!$D$127,0)+IF(ISNUMBER(Matching_Engine!$AD$28),Matching_Engine!$AD$28*Lookup_Lists!$D$128,0))/(IF(ISNUMBER(Matching_Engine!$AA$28),Lookup_Lists!$D$125,0)+IF(ISNUMBER(Matching_Engine!$AB$28),Lookup_Lists!$D$126,0)+IF(ISNUMBER(Matching_Engine!$AC$28),Lookup_Lists!$D$127,0)+IF(ISNUMBER(Matching_Engine!$AD$28),Lookup_Lists!$D$128,0)),0))</f>
      </c>
      <c r="AF28" s="11">
        <f>IF(ISNUMBER(Matching_Engine!$AE$28),1,0)</f>
      </c>
      <c r="AG28" s="18">
        <f>IF(NOT(ISNUMBER(KOL_Source_Data!$BG$28)),"N/A",MIN(100,ROUND(KOL_Source_Data!$BG$28/IFERROR(INDEX(Lookup_Lists!$B$340:$B$344,MATCH(KOL_Source_Data!$H$28,Lookup_Lists!$A$340:$A$344,0)),Lookup_Lists!$D$141)*100,0)))</f>
      </c>
      <c r="AH28" s="18">
        <f>IF(NOT(ISNUMBER(KOL_Source_Data!$BS$28)),"N/A",MIN(100,MAX(0,KOL_Source_Data!$BS$28)))</f>
      </c>
      <c r="AI28" s="18">
        <f>IF(OR(NOT(ISNUMBER(KOL_Source_Data!$BM$28)),NOT(ISNUMBER(KOL_Source_Data!$BN$28)),KOL_Source_Data!$BN$28&lt;Lookup_Lists!$D$320),"N/A",MIN(100,ROUND(KOL_Source_Data!$BM$28/Lookup_Lists!$D$319*100,0)))</f>
      </c>
      <c r="AJ28" s="18">
        <f>IF(NOT(ISNUMBER(KOL_Source_Data!$BR$28)),"N/A",KOL_Source_Data!$BR$28)</f>
      </c>
      <c r="AK28" s="18">
        <f>IF(NOT(ISNUMBER(KOL_Source_Data!$BK$28)),"N/A",MIN(100,ROUND(KOL_Source_Data!$BK$28/Lookup_Lists!$D$321*100,0)))</f>
      </c>
      <c r="AL28" s="18">
        <f>IF(NOT(ISNUMBER(KOL_Source_Data!$BP$28)),"N/A",MIN(100,MAX(0,ROUND((KOL_Source_Data!$BP$28+2)/(Lookup_Lists!$D$145+2)*100,0))))</f>
      </c>
      <c r="AM28" s="29">
        <f>IF((IF(ISNUMBER(Matching_Engine!$AG$28),Lookup_Lists!$D$129,0)+IF(ISNUMBER(Matching_Engine!$AH$28),Lookup_Lists!$D$130,0)+IF(ISNUMBER(Matching_Engine!$AI$28),Lookup_Lists!$D$131,0)+IF(ISNUMBER(Matching_Engine!$AJ$28),Lookup_Lists!$D$132,0)+IF(ISNUMBER(Matching_Engine!$AK$28),Lookup_Lists!$D$133,0)+IF(ISNUMBER(Matching_Engine!$AL$28),Lookup_Lists!$D$134,0))=0,"N/A",ROUND((IF(ISNUMBER(Matching_Engine!$AG$28),Matching_Engine!$AG$28*Lookup_Lists!$D$129,0)+IF(ISNUMBER(Matching_Engine!$AH$28),Matching_Engine!$AH$28*Lookup_Lists!$D$130,0)+IF(ISNUMBER(Matching_Engine!$AI$28),Matching_Engine!$AI$28*Lookup_Lists!$D$131,0)+IF(ISNUMBER(Matching_Engine!$AJ$28),Matching_Engine!$AJ$28*Lookup_Lists!$D$132,0)+IF(ISNUMBER(Matching_Engine!$AK$28),Matching_Engine!$AK$28*Lookup_Lists!$D$133,0)+IF(ISNUMBER(Matching_Engine!$AL$28),Matching_Engine!$AL$28*Lookup_Lists!$D$134,0))/(IF(ISNUMBER(Matching_Engine!$AG$28),Lookup_Lists!$D$129,0)+IF(ISNUMBER(Matching_Engine!$AH$28),Lookup_Lists!$D$130,0)+IF(ISNUMBER(Matching_Engine!$AI$28),Lookup_Lists!$D$131,0)+IF(ISNUMBER(Matching_Engine!$AJ$28),Lookup_Lists!$D$132,0)+IF(ISNUMBER(Matching_Engine!$AK$28),Lookup_Lists!$D$133,0)+IF(ISNUMBER(Matching_Engine!$AL$28),Lookup_Lists!$D$134,0)),0))</f>
      </c>
      <c r="AN28" s="11">
        <f>IF(ISNUMBER(Matching_Engine!$AM$28),1,0)</f>
      </c>
      <c r="AO28" s="18">
        <f>IF(NOT(ISNUMBER(KOL_Source_Data!$BT$28)),"N/A",MIN(100,MAX(0,KOL_Source_Data!$BT$28)))</f>
      </c>
      <c r="AP28" s="18">
        <f>IF(NOT(ISNUMBER(KOL_Source_Data!$BU$28)),"N/A",MIN(100,MAX(0,KOL_Source_Data!$BU$28)))</f>
      </c>
      <c r="AQ28" s="18">
        <f>IF(KOL_Source_Data!$I$28="Yes",Lookup_Lists!$D$326,IF(KOL_Source_Data!$I$28="No",Lookup_Lists!$D$327,"N/A"))</f>
      </c>
      <c r="AR28" s="18">
        <f>IF(NOT(ISNUMBER(KOL_Source_Data!$BQ$28)),"N/A",MAX(0,ROUND(100-KOL_Source_Data!$BQ$28/Lookup_Lists!$D$328*100,0)))</f>
      </c>
      <c r="AS28" s="18">
        <f>IF(NOT(AND(ISTEXT(KOL_Source_Data!$BV$28),KOL_Source_Data!$BV$28&lt;&gt;"N/A")),"N/A",KOL_Source_Data!$BV$28)</f>
      </c>
      <c r="AT28" s="29">
        <f>IF((IF(ISNUMBER(Matching_Engine!$AO$28),Lookup_Lists!$D$322,0)+IF(ISNUMBER(Matching_Engine!$AP$28),Lookup_Lists!$D$323,0)+IF(ISNUMBER(Matching_Engine!$AQ$28),Lookup_Lists!$D$324,0)+IF(ISNUMBER(Matching_Engine!$AR$28),Lookup_Lists!$D$325,0))=0,"N/A",ROUND((IF(ISNUMBER(Matching_Engine!$AO$28),Matching_Engine!$AO$28*Lookup_Lists!$D$322,0)+IF(ISNUMBER(Matching_Engine!$AP$28),Matching_Engine!$AP$28*Lookup_Lists!$D$323,0)+IF(ISNUMBER(Matching_Engine!$AQ$28),Matching_Engine!$AQ$28*Lookup_Lists!$D$324,0)+IF(ISNUMBER(Matching_Engine!$AR$28),Matching_Engine!$AR$28*Lookup_Lists!$D$325,0))/(IF(ISNUMBER(Matching_Engine!$AO$28),Lookup_Lists!$D$322,0)+IF(ISNUMBER(Matching_Engine!$AP$28),Lookup_Lists!$D$323,0)+IF(ISNUMBER(Matching_Engine!$AQ$28),Lookup_Lists!$D$324,0)+IF(ISNUMBER(Matching_Engine!$AR$28),Lookup_Lists!$D$325,0)),0))</f>
      </c>
      <c r="AU28" s="11">
        <f>IF(ISNUMBER(Matching_Engine!$AT$28),1,0)</f>
      </c>
      <c r="AV28" s="11">
        <f>IF(NOT(ISNUMBER(Matching_Engine!$AT$28)),"Not Screened",IF(Matching_Engine!$AT$28&gt;=Lookup_Lists!$D$329,"Low Risk",IF(Matching_Engine!$AT$28&gt;=Lookup_Lists!$D$330,"Moderate Risk",IF(Matching_Engine!$AT$28&gt;=Lookup_Lists!$D$331,"Elevated Risk","High Risk"))))</f>
      </c>
      <c r="AW28" s="11">
        <f>IF(NOT(ISNUMBER(Matching_Engine!$AT$28)),"No integrity signal: no audience-analysis row for this account.","Integrity screen only — no content-risk reading exists (comments_analysis: 0 rows). "&amp;IF(ISNUMBER(Matching_Engine!$AO$28),"Authenticity "&amp;Matching_Engine!$AO$28&amp;". ","Authenticity N/A. ")&amp;IF(ISNUMBER(Matching_Engine!$AP$28),"Follower quality "&amp;Matching_Engine!$AP$28&amp;". ","Follower quality N/A. ")&amp;IF(KOL_Source_Data!$I$28="Yes","Platform-verified.","Not platform-verified."))</f>
      </c>
      <c r="AX28" s="18">
        <f>Matching_Engine!$N$28*Lookup_Lists!$D$104+Matching_Engine!$T$28*Lookup_Lists!$D$105+Matching_Engine!$Z$28*Lookup_Lists!$D$106+Matching_Engine!$AF$28*Lookup_Lists!$D$107+Matching_Engine!$AN$28*Lookup_Lists!$D$108+Matching_Engine!$AU$28*Lookup_Lists!$D$109</f>
      </c>
      <c r="AY28" s="30">
        <f>IF(Matching_Engine!$AX$28=0,"N/A",ROUND((IF(Matching_Engine!$N$28=1,Matching_Engine!$M$28*Lookup_Lists!$D$104,0)+IF(Matching_Engine!$T$28=1,Matching_Engine!$S$28*Lookup_Lists!$D$105,0)+IF(Matching_Engine!$Z$28=1,Matching_Engine!$Y$28*Lookup_Lists!$D$106,0)+IF(Matching_Engine!$AF$28=1,Matching_Engine!$AE$28*Lookup_Lists!$D$107,0)+IF(Matching_Engine!$AN$28=1,Matching_Engine!$AM$28*Lookup_Lists!$D$108,0)+IF(Matching_Engine!$AU$28=1,Matching_Engine!$AT$28*Lookup_Lists!$D$109,0))/Matching_Engine!$AX$28,0))</f>
      </c>
      <c r="AZ28" s="11">
        <f>IF(NOT(ISNUMBER(Matching_Engine!$AY$28)),"Not Scored",IF(Matching_Engine!$AY$28&gt;=Lookup_Lists!$D$152,"Excellent Match",IF(Matching_Engine!$AY$28&gt;=Lookup_Lists!$D$153,"Strong Match",IF(Matching_Engine!$AY$28&gt;=Lookup_Lists!$D$154,"Good Match",IF(Matching_Engine!$AY$28&gt;=Lookup_Lists!$D$155,"Moderate Match","Low Match")))))</f>
      </c>
      <c r="BA28" s="18">
        <f>KOL_Source_Data!$BW$28</f>
      </c>
      <c r="BB28" s="11">
        <f>KOL_Source_Data!$BX$28</f>
      </c>
      <c r="BC28" s="18">
        <f>IF(NOT(ISNUMBER(Matching_Engine!$AY$28)),-1,Matching_Engine!$AY$28*1000+2)</f>
      </c>
      <c r="BD28" s="11">
        <f>IF(AND(ISTEXT(KOL_Source_Data!$S$28),KOL_Source_Data!$S$28&lt;&gt;"N/A"),KOL_Source_Data!$S$28,"")&amp;" | "&amp;IF(AND(ISTEXT(KOL_Source_Data!$T$28),KOL_Source_Data!$T$28&lt;&gt;"N/A"),KOL_Source_Data!$T$28,"")&amp;" | "&amp;IF(AND(ISTEXT(KOL_Source_Data!$N$28),KOL_Source_Data!$N$28&lt;&gt;"N/A"),KOL_Source_Data!$N$28,"")&amp;" | "&amp;IF(AND(ISTEXT(KOL_Source_Data!$K$28),KOL_Source_Data!$K$28&lt;&gt;"N/A"),KOL_Source_Data!$K$28,"")&amp;" | "&amp;IF(AND(ISTEXT(KOL_Source_Data!$J$28),KOL_Source_Data!$J$28&lt;&gt;"N/A"),KOL_Source_Data!$J$28,"")</f>
      </c>
      <c r="BE28" s="11">
        <f>IF(AND(ISTEXT(KOL_Source_Data!$T$28),KOL_Source_Data!$T$28&lt;&gt;"N/A"),KOL_Source_Data!$T$28,"")&amp;" | "&amp;IF(AND(ISTEXT(KOL_Source_Data!$N$28),KOL_Source_Data!$N$28&lt;&gt;"N/A"),KOL_Source_Data!$N$28,"")&amp;" | "&amp;IF(AND(ISTEXT(KOL_Source_Data!$O$28),KOL_Source_Data!$O$28&lt;&gt;"N/A"),KOL_Source_Data!$O$28,"")&amp;" | "&amp;IF(AND(ISTEXT(KOL_Source_Data!$S$28),KOL_Source_Data!$S$28&lt;&gt;"N/A"),KOL_Source_Data!$S$28,"")</f>
      </c>
      <c r="BF28" s="11">
        <f>IF(AND(ISTEXT(KOL_Source_Data!$U$28),KOL_Source_Data!$U$28&lt;&gt;"N/A"),KOL_Source_Data!$U$28,"")</f>
      </c>
      <c r="BG28" s="11">
        <f>Matching_Engine!$A$28&amp;"|"&amp;Matching_Engine!$C$28</f>
      </c>
    </row>
    <row r="29" spans="1:59" x14ac:dyDescent="0.25">
      <c r="A29" s="10" t="s">
        <v>390</v>
      </c>
      <c r="B29" s="11">
        <f>Brand_Profile!$E$6</f>
      </c>
      <c r="C29" s="11">
        <f>KOL_Source_Data!$A$29</f>
      </c>
      <c r="D29" s="11">
        <f>KOL_Source_Data!$C$29</f>
      </c>
      <c r="E29" s="11">
        <f>KOL_Source_Data!$D$29</f>
      </c>
      <c r="F29" s="11">
        <f>KOL_Source_Data!$E$29</f>
      </c>
      <c r="G29" s="11">
        <f>KOL_Source_Data!$K$29</f>
      </c>
      <c r="H29" s="12">
        <f>KOL_Source_Data!$G$29</f>
      </c>
      <c r="I29" s="14">
        <f>KOL_Source_Data!$BG$29</f>
      </c>
      <c r="J29" s="18">
        <f>IF(NOT(AND(ISTEXT(KOL_Source_Data!$K$29),KOL_Source_Data!$K$29&lt;&gt;"N/A")),Lookup_Lists!$D$150,IF(Brand_Profile!$E$7=KOL_Source_Data!$K$29,100,IFERROR(INDEX(Lookup_Lists!$B$349:$J$357,MATCH(Brand_Profile!$E$7,Lookup_Lists!$A$349:$A$357,0),MATCH(KOL_Source_Data!$K$29,Lookup_Lists!$B$348:$J$348,0)),Lookup_Lists!$D$151)))</f>
      </c>
      <c r="K29" s="18">
        <f>IF(LEN(TRIM(SUBSTITUTE(Matching_Engine!$BD$29,"|","")))=0,"N/A",IF(Brand_Profile!$E$47=0,Lookup_Lists!$D$150,ROUND((IF(Brand_Profile!$E$41="",0,IF(ISNUMBER(SEARCH(Brand_Profile!$E$41,Matching_Engine!$BD$29)),1,0))+IF(Brand_Profile!$E$42="",0,IF(ISNUMBER(SEARCH(Brand_Profile!$E$42,Matching_Engine!$BD$29)),1,0))+IF(Brand_Profile!$E$43="",0,IF(ISNUMBER(SEARCH(Brand_Profile!$E$43,Matching_Engine!$BD$29)),1,0))+IF(Brand_Profile!$E$44="",0,IF(ISNUMBER(SEARCH(Brand_Profile!$E$44,Matching_Engine!$BD$29)),1,0))+IF(Brand_Profile!$E$45="",0,IF(ISNUMBER(SEARCH(Brand_Profile!$E$45,Matching_Engine!$BD$29)),1,0))+IF(Brand_Profile!$E$46="",0,IF(ISNUMBER(SEARCH(Brand_Profile!$E$46,Matching_Engine!$BD$29)),1,0)))/Brand_Profile!$E$47*100,0)))</f>
      </c>
      <c r="L29" s="18">
        <f>IF(NOT(AND(ISTEXT(KOL_Source_Data!$U$29),KOL_Source_Data!$U$29&lt;&gt;"N/A")),"N/A",IF(Brand_Profile!$E$53=0,Lookup_Lists!$D$150,ROUND((IF(Brand_Profile!$E$48="",0,IF(ISNUMBER(SEARCH(Brand_Profile!$E$48,Matching_Engine!$BF$29)),1,0))+IF(Brand_Profile!$E$49="",0,IF(ISNUMBER(SEARCH(Brand_Profile!$E$49,Matching_Engine!$BF$29)),1,0))+IF(Brand_Profile!$E$50="",0,IF(ISNUMBER(SEARCH(Brand_Profile!$E$50,Matching_Engine!$BF$29)),1,0))+IF(Brand_Profile!$E$51="",0,IF(ISNUMBER(SEARCH(Brand_Profile!$E$51,Matching_Engine!$BF$29)),1,0))+IF(Brand_Profile!$E$52="",0,IF(ISNUMBER(SEARCH(Brand_Profile!$E$52,Matching_Engine!$BF$29)),1,0)))/Brand_Profile!$E$53*100,0)))</f>
      </c>
      <c r="M29" s="29">
        <f>IF((IF(ISNUMBER(Matching_Engine!$J$29),Lookup_Lists!$D$332,0)+IF(ISNUMBER(Matching_Engine!$K$29),Lookup_Lists!$D$333,0)+IF(ISNUMBER(Matching_Engine!$L$29),Lookup_Lists!$D$334,0))=0,"N/A",ROUND((IF(ISNUMBER(Matching_Engine!$J$29),Matching_Engine!$J$29*Lookup_Lists!$D$332,0)+IF(ISNUMBER(Matching_Engine!$K$29),Matching_Engine!$K$29*Lookup_Lists!$D$333,0)+IF(ISNUMBER(Matching_Engine!$L$29),Matching_Engine!$L$29*Lookup_Lists!$D$334,0))/(IF(ISNUMBER(Matching_Engine!$J$29),Lookup_Lists!$D$332,0)+IF(ISNUMBER(Matching_Engine!$K$29),Lookup_Lists!$D$333,0)+IF(ISNUMBER(Matching_Engine!$L$29),Lookup_Lists!$D$334,0)),0))</f>
      </c>
      <c r="N29" s="11">
        <f>IF(ISNUMBER(Matching_Engine!$M$29),1,0)</f>
      </c>
      <c r="O29" s="18">
        <f>IF(NOT(ISNUMBER(IFERROR(INDEX(KOL_Source_Data!$V$29:KOL_Source_Data!$Z$29,1,MATCH(Brand_Profile!$E$11,Lookup_Lists!$F$6:$F$10,0)),""))),"N/A",MIN(100,ROUND((IFERROR(INDEX(KOL_Source_Data!$V$29:KOL_Source_Data!$Z$29,1,MATCH(Brand_Profile!$E$11,Lookup_Lists!$F$6:$F$10,0)),"")+0.5*IF(ISNUMBER(IFERROR(INDEX(KOL_Source_Data!$V$29:KOL_Source_Data!$Z$29,1,MATCH(Brand_Profile!$E$12,Lookup_Lists!$F$6:$F$10,0)),"")),IFERROR(INDEX(KOL_Source_Data!$V$29:KOL_Source_Data!$Z$29,1,MATCH(Brand_Profile!$E$12,Lookup_Lists!$F$6:$F$10,0)),""),0))/Lookup_Lists!$D$142*100,0)))</f>
      </c>
      <c r="P29" s="18">
        <f>IF(Brand_Profile!$E$13="Any",100,IF(NOT(ISNUMBER(KOL_Source_Data!$AA$29)),"N/A",IF(Brand_Profile!$E$13="Female",MIN(100,ROUND(KOL_Source_Data!$AA$29/Lookup_Lists!$D$143*100,0)),IF(Brand_Profile!$E$13="Male",MIN(100,ROUND(IF(ISNUMBER(KOL_Source_Data!$AB$29),KOL_Source_Data!$AB$29,100-KOL_Source_Data!$AA$29)/Lookup_Lists!$D$143*100,0)),MAX(0,ROUND(100-ABS(KOL_Source_Data!$AA$29-50)*2,0))))))</f>
      </c>
      <c r="Q29" s="18">
        <f>IF((IF(ISNUMBER(IF(NOT(ISNUMBER(KOL_Source_Data!$AE$29)),"N/A",IF(KOL_Source_Data!$AD$29&lt;&gt;Brand_Profile!$E$14,Lookup_Lists!$D$151,MIN(100,ROUND(KOL_Source_Data!$AE$29/Lookup_Lists!$D$316*100,0))))),Lookup_Lists!$D$118,0)+IF(ISNUMBER(IF(NOT(ISNUMBER(KOL_Source_Data!$AM$29)),"N/A",MIN(100,ROUND((IF(KOL_Source_Data!$AG$29=Brand_Profile!$E$15,IF(ISNUMBER(KOL_Source_Data!$AH$29),KOL_Source_Data!$AH$29,0),0)+IF(KOL_Source_Data!$AI$29=Brand_Profile!$E$15,IF(ISNUMBER(KOL_Source_Data!$AJ$29),KOL_Source_Data!$AJ$29,0),0)+IF(KOL_Source_Data!$AK$29=Brand_Profile!$E$15,IF(ISNUMBER(KOL_Source_Data!$AL$29),KOL_Source_Data!$AL$29,0),0))/Lookup_Lists!$D$317*100,0)))),Lookup_Lists!$D$120,0))=0,"N/A",ROUND((IF(ISNUMBER(IF(NOT(ISNUMBER(KOL_Source_Data!$AE$29)),"N/A",IF(KOL_Source_Data!$AD$29&lt;&gt;Brand_Profile!$E$14,Lookup_Lists!$D$151,MIN(100,ROUND(KOL_Source_Data!$AE$29/Lookup_Lists!$D$316*100,0))))),IF(NOT(ISNUMBER(KOL_Source_Data!$AE$29)),"N/A",IF(KOL_Source_Data!$AD$29&lt;&gt;Brand_Profile!$E$14,Lookup_Lists!$D$151,MIN(100,ROUND(KOL_Source_Data!$AE$29/Lookup_Lists!$D$316*100,0))))*Lookup_Lists!$D$118,0)+IF(ISNUMBER(IF(NOT(ISNUMBER(KOL_Source_Data!$AM$29)),"N/A",MIN(100,ROUND((IF(KOL_Source_Data!$AG$29=Brand_Profile!$E$15,IF(ISNUMBER(KOL_Source_Data!$AH$29),KOL_Source_Data!$AH$29,0),0)+IF(KOL_Source_Data!$AI$29=Brand_Profile!$E$15,IF(ISNUMBER(KOL_Source_Data!$AJ$29),KOL_Source_Data!$AJ$29,0),0)+IF(KOL_Source_Data!$AK$29=Brand_Profile!$E$15,IF(ISNUMBER(KOL_Source_Data!$AL$29),KOL_Source_Data!$AL$29,0),0))/Lookup_Lists!$D$317*100,0)))),IF(NOT(ISNUMBER(KOL_Source_Data!$AM$29)),"N/A",MIN(100,ROUND((IF(KOL_Source_Data!$AG$29=Brand_Profile!$E$15,IF(ISNUMBER(KOL_Source_Data!$AH$29),KOL_Source_Data!$AH$29,0),0)+IF(KOL_Source_Data!$AI$29=Brand_Profile!$E$15,IF(ISNUMBER(KOL_Source_Data!$AJ$29),KOL_Source_Data!$AJ$29,0),0)+IF(KOL_Source_Data!$AK$29=Brand_Profile!$E$15,IF(ISNUMBER(KOL_Source_Data!$AL$29),KOL_Source_Data!$AL$29,0),0))/Lookup_Lists!$D$317*100,0)))*Lookup_Lists!$D$120,0))/(IF(ISNUMBER(IF(NOT(ISNUMBER(KOL_Source_Data!$AE$29)),"N/A",IF(KOL_Source_Data!$AD$29&lt;&gt;Brand_Profile!$E$14,Lookup_Lists!$D$151,MIN(100,ROUND(KOL_Source_Data!$AE$29/Lookup_Lists!$D$316*100,0))))),Lookup_Lists!$D$118,0)+IF(ISNUMBER(IF(NOT(ISNUMBER(KOL_Source_Data!$AM$29)),"N/A",MIN(100,ROUND((IF(KOL_Source_Data!$AG$29=Brand_Profile!$E$15,IF(ISNUMBER(KOL_Source_Data!$AH$29),KOL_Source_Data!$AH$29,0),0)+IF(KOL_Source_Data!$AI$29=Brand_Profile!$E$15,IF(ISNUMBER(KOL_Source_Data!$AJ$29),KOL_Source_Data!$AJ$29,0),0)+IF(KOL_Source_Data!$AK$29=Brand_Profile!$E$15,IF(ISNUMBER(KOL_Source_Data!$AL$29),KOL_Source_Data!$AL$29,0),0))/Lookup_Lists!$D$317*100,0)))),Lookup_Lists!$D$120,0)),0))</f>
      </c>
      <c r="R29" s="18">
        <f>IF(NOT(ISNUMBER(KOL_Source_Data!$AN$29)),"N/A",MIN(100,ROUND((IF(ISNUMBER(KOL_Source_Data!$AO$29),KOL_Source_Data!$AO$29*Brand_Profile!$E$17,0)+IF(ISNUMBER(KOL_Source_Data!$AP$29),KOL_Source_Data!$AP$29*Brand_Profile!$E$18,0)+IF(ISNUMBER(KOL_Source_Data!$AQ$29),KOL_Source_Data!$AQ$29*Brand_Profile!$E$19,0)+IF(ISNUMBER(KOL_Source_Data!$AR$29),KOL_Source_Data!$AR$29*Brand_Profile!$E$20,0)+IF(ISNUMBER(KOL_Source_Data!$AS$29),KOL_Source_Data!$AS$29*Brand_Profile!$E$21,0)+IF(ISNUMBER(KOL_Source_Data!$AT$29),KOL_Source_Data!$AT$29*Brand_Profile!$E$22,0)+IF(ISNUMBER(KOL_Source_Data!$AU$29),KOL_Source_Data!$AU$29*Brand_Profile!$E$23,0)+IF(ISNUMBER(KOL_Source_Data!$AV$29),KOL_Source_Data!$AV$29*Brand_Profile!$E$24,0)+IF(ISNUMBER(KOL_Source_Data!$AW$29),KOL_Source_Data!$AW$29*Brand_Profile!$E$25,0)+IF(ISNUMBER(KOL_Source_Data!$AX$29),KOL_Source_Data!$AX$29*Brand_Profile!$E$26,0)+IF(ISNUMBER(KOL_Source_Data!$AY$29),KOL_Source_Data!$AY$29*Brand_Profile!$E$27,0)+IF(ISNUMBER(KOL_Source_Data!$AZ$29),KOL_Source_Data!$AZ$29*Brand_Profile!$E$28,0)+IF(ISNUMBER(KOL_Source_Data!$BA$29),KOL_Source_Data!$BA$29*Brand_Profile!$E$29,0)+IF(ISNUMBER(KOL_Source_Data!$BB$29),KOL_Source_Data!$BB$29*Brand_Profile!$E$30,0)+IF(ISNUMBER(KOL_Source_Data!$BC$29),KOL_Source_Data!$BC$29*Brand_Profile!$E$31,0)+IF(ISNUMBER(KOL_Source_Data!$BD$29),KOL_Source_Data!$BD$29*Brand_Profile!$E$32,0)+IF(ISNUMBER(KOL_Source_Data!$BE$29),KOL_Source_Data!$BE$29*Brand_Profile!$E$33,0)+IF(ISNUMBER(KOL_Source_Data!$BF$29),KOL_Source_Data!$BF$29*Brand_Profile!$E$34,0))/Lookup_Lists!$D$318*100,0)))</f>
      </c>
      <c r="S29" s="29">
        <f>IF((IF(ISNUMBER(Matching_Engine!$O$29),Lookup_Lists!$D$113,0)+IF(ISNUMBER(Matching_Engine!$P$29),Lookup_Lists!$D$114,0)+IF(ISNUMBER(Matching_Engine!$Q$29),Lookup_Lists!$D$115,0)+IF(ISNUMBER(Matching_Engine!$R$29),Lookup_Lists!$D$116,0))=0,"N/A",ROUND((IF(ISNUMBER(Matching_Engine!$O$29),Matching_Engine!$O$29*Lookup_Lists!$D$113,0)+IF(ISNUMBER(Matching_Engine!$P$29),Matching_Engine!$P$29*Lookup_Lists!$D$114,0)+IF(ISNUMBER(Matching_Engine!$Q$29),Matching_Engine!$Q$29*Lookup_Lists!$D$115,0)+IF(ISNUMBER(Matching_Engine!$R$29),Matching_Engine!$R$29*Lookup_Lists!$D$116,0))/(IF(ISNUMBER(Matching_Engine!$O$29),Lookup_Lists!$D$113,0)+IF(ISNUMBER(Matching_Engine!$P$29),Lookup_Lists!$D$114,0)+IF(ISNUMBER(Matching_Engine!$Q$29),Lookup_Lists!$D$115,0)+IF(ISNUMBER(Matching_Engine!$R$29),Lookup_Lists!$D$116,0)),0))</f>
      </c>
      <c r="T29" s="11">
        <f>IF(ISNUMBER(Matching_Engine!$S$29),1,0)</f>
      </c>
      <c r="U29" s="18">
        <f>IF(NOT(AND(ISTEXT(KOL_Source_Data!$M$29),KOL_Source_Data!$M$29&lt;&gt;"N/A")),Lookup_Lists!$D$150,IF(Brand_Profile!$E$7=KOL_Source_Data!$M$29,100,IFERROR(INDEX(Lookup_Lists!$B$349:$J$357,MATCH(Brand_Profile!$E$7,Lookup_Lists!$A$349:$A$357,0),MATCH(KOL_Source_Data!$M$29,Lookup_Lists!$B$348:$J$348,0)),Lookup_Lists!$D$151)))</f>
      </c>
      <c r="V29" s="18">
        <f>IF(NOT(AND(ISTEXT(KOL_Source_Data!$P$29),KOL_Source_Data!$P$29&lt;&gt;"N/A")),"N/A",IFERROR(INDEX(Lookup_Lists!$B$349:$J$357,MATCH(Brand_Profile!$E$7,Lookup_Lists!$A$349:$A$357,0),MATCH(KOL_Source_Data!$P$29,Lookup_Lists!$B$348:$J$348,0)),Lookup_Lists!$D$151))</f>
      </c>
      <c r="W29" s="18">
        <f>IF(LEN(TRIM(SUBSTITUTE(Matching_Engine!$BE$29,"|","")))=0,"N/A",IF(Brand_Profile!$E$60=0,Lookup_Lists!$D$150,ROUND((IF(Brand_Profile!$E$54="",0,IF(ISNUMBER(SEARCH(Brand_Profile!$E$54,Matching_Engine!$BE$29)),1,0))+IF(Brand_Profile!$E$55="",0,IF(ISNUMBER(SEARCH(Brand_Profile!$E$55,Matching_Engine!$BE$29)),1,0))+IF(Brand_Profile!$E$56="",0,IF(ISNUMBER(SEARCH(Brand_Profile!$E$56,Matching_Engine!$BE$29)),1,0))+IF(Brand_Profile!$E$57="",0,IF(ISNUMBER(SEARCH(Brand_Profile!$E$57,Matching_Engine!$BE$29)),1,0))+IF(Brand_Profile!$E$58="",0,IF(ISNUMBER(SEARCH(Brand_Profile!$E$58,Matching_Engine!$BE$29)),1,0))+IF(Brand_Profile!$E$59="",0,IF(ISNUMBER(SEARCH(Brand_Profile!$E$59,Matching_Engine!$BE$29)),1,0)))/Brand_Profile!$E$60*100,0)))</f>
      </c>
      <c r="X29" s="18">
        <f>IF(NOT(AND(ISTEXT(KOL_Source_Data!$Q$29),KOL_Source_Data!$Q$29&lt;&gt;"N/A")),"N/A",Lookup_Lists!$D$150)</f>
      </c>
      <c r="Y29" s="29">
        <f>IF((IF(ISNUMBER(Matching_Engine!$U$29),Lookup_Lists!$D$335,0)+IF(ISNUMBER(Matching_Engine!$V$29),Lookup_Lists!$D$122,0)+IF(ISNUMBER(Matching_Engine!$W$29),Lookup_Lists!$D$336,0)+IF(ISNUMBER(Matching_Engine!$X$29),Lookup_Lists!$D$124,0))=0,"N/A",ROUND((IF(ISNUMBER(Matching_Engine!$U$29),Matching_Engine!$U$29*Lookup_Lists!$D$335,0)+IF(ISNUMBER(Matching_Engine!$V$29),Matching_Engine!$V$29*Lookup_Lists!$D$122,0)+IF(ISNUMBER(Matching_Engine!$W$29),Matching_Engine!$W$29*Lookup_Lists!$D$336,0)+IF(ISNUMBER(Matching_Engine!$X$29),Matching_Engine!$X$29*Lookup_Lists!$D$124,0))/(IF(ISNUMBER(Matching_Engine!$U$29),Lookup_Lists!$D$335,0)+IF(ISNUMBER(Matching_Engine!$V$29),Lookup_Lists!$D$122,0)+IF(ISNUMBER(Matching_Engine!$W$29),Lookup_Lists!$D$336,0)+IF(ISNUMBER(Matching_Engine!$X$29),Lookup_Lists!$D$124,0)),0))</f>
      </c>
      <c r="Z29" s="11">
        <f>IF(ISNUMBER(Matching_Engine!$Y$29),1,0)</f>
      </c>
      <c r="AA29" s="18">
        <f>IF(NOT(AND(ISTEXT(KOL_Source_Data!$Q$29),KOL_Source_Data!$Q$29&lt;&gt;"N/A")),"N/A",Lookup_Lists!$D$150)</f>
      </c>
      <c r="AB29" s="18">
        <f>IF(NOT(AND(ISTEXT(KOL_Source_Data!$Q$29),KOL_Source_Data!$Q$29&lt;&gt;"N/A")),"N/A",Lookup_Lists!$D$150)</f>
      </c>
      <c r="AC29" s="18">
        <f>"N/A"</f>
      </c>
      <c r="AD29" s="18">
        <f>IF(NOT(AND(ISTEXT(KOL_Source_Data!$Q$29),KOL_Source_Data!$Q$29&lt;&gt;"N/A")),"N/A",Lookup_Lists!$D$150)</f>
      </c>
      <c r="AE29" s="29">
        <f>IF((IF(ISNUMBER(Matching_Engine!$AA$29),Lookup_Lists!$D$125,0)+IF(ISNUMBER(Matching_Engine!$AB$29),Lookup_Lists!$D$126,0)+IF(ISNUMBER(Matching_Engine!$AC$29),Lookup_Lists!$D$127,0)+IF(ISNUMBER(Matching_Engine!$AD$29),Lookup_Lists!$D$128,0))=0,"N/A",ROUND((IF(ISNUMBER(Matching_Engine!$AA$29),Matching_Engine!$AA$29*Lookup_Lists!$D$125,0)+IF(ISNUMBER(Matching_Engine!$AB$29),Matching_Engine!$AB$29*Lookup_Lists!$D$126,0)+IF(ISNUMBER(Matching_Engine!$AC$29),Matching_Engine!$AC$29*Lookup_Lists!$D$127,0)+IF(ISNUMBER(Matching_Engine!$AD$29),Matching_Engine!$AD$29*Lookup_Lists!$D$128,0))/(IF(ISNUMBER(Matching_Engine!$AA$29),Lookup_Lists!$D$125,0)+IF(ISNUMBER(Matching_Engine!$AB$29),Lookup_Lists!$D$126,0)+IF(ISNUMBER(Matching_Engine!$AC$29),Lookup_Lists!$D$127,0)+IF(ISNUMBER(Matching_Engine!$AD$29),Lookup_Lists!$D$128,0)),0))</f>
      </c>
      <c r="AF29" s="11">
        <f>IF(ISNUMBER(Matching_Engine!$AE$29),1,0)</f>
      </c>
      <c r="AG29" s="18">
        <f>IF(NOT(ISNUMBER(KOL_Source_Data!$BG$29)),"N/A",MIN(100,ROUND(KOL_Source_Data!$BG$29/IFERROR(INDEX(Lookup_Lists!$B$340:$B$344,MATCH(KOL_Source_Data!$H$29,Lookup_Lists!$A$340:$A$344,0)),Lookup_Lists!$D$141)*100,0)))</f>
      </c>
      <c r="AH29" s="18">
        <f>IF(NOT(ISNUMBER(KOL_Source_Data!$BS$29)),"N/A",MIN(100,MAX(0,KOL_Source_Data!$BS$29)))</f>
      </c>
      <c r="AI29" s="18">
        <f>IF(OR(NOT(ISNUMBER(KOL_Source_Data!$BM$29)),NOT(ISNUMBER(KOL_Source_Data!$BN$29)),KOL_Source_Data!$BN$29&lt;Lookup_Lists!$D$320),"N/A",MIN(100,ROUND(KOL_Source_Data!$BM$29/Lookup_Lists!$D$319*100,0)))</f>
      </c>
      <c r="AJ29" s="18">
        <f>IF(NOT(ISNUMBER(KOL_Source_Data!$BR$29)),"N/A",KOL_Source_Data!$BR$29)</f>
      </c>
      <c r="AK29" s="18">
        <f>IF(NOT(ISNUMBER(KOL_Source_Data!$BK$29)),"N/A",MIN(100,ROUND(KOL_Source_Data!$BK$29/Lookup_Lists!$D$321*100,0)))</f>
      </c>
      <c r="AL29" s="18">
        <f>IF(NOT(ISNUMBER(KOL_Source_Data!$BP$29)),"N/A",MIN(100,MAX(0,ROUND((KOL_Source_Data!$BP$29+2)/(Lookup_Lists!$D$145+2)*100,0))))</f>
      </c>
      <c r="AM29" s="29">
        <f>IF((IF(ISNUMBER(Matching_Engine!$AG$29),Lookup_Lists!$D$129,0)+IF(ISNUMBER(Matching_Engine!$AH$29),Lookup_Lists!$D$130,0)+IF(ISNUMBER(Matching_Engine!$AI$29),Lookup_Lists!$D$131,0)+IF(ISNUMBER(Matching_Engine!$AJ$29),Lookup_Lists!$D$132,0)+IF(ISNUMBER(Matching_Engine!$AK$29),Lookup_Lists!$D$133,0)+IF(ISNUMBER(Matching_Engine!$AL$29),Lookup_Lists!$D$134,0))=0,"N/A",ROUND((IF(ISNUMBER(Matching_Engine!$AG$29),Matching_Engine!$AG$29*Lookup_Lists!$D$129,0)+IF(ISNUMBER(Matching_Engine!$AH$29),Matching_Engine!$AH$29*Lookup_Lists!$D$130,0)+IF(ISNUMBER(Matching_Engine!$AI$29),Matching_Engine!$AI$29*Lookup_Lists!$D$131,0)+IF(ISNUMBER(Matching_Engine!$AJ$29),Matching_Engine!$AJ$29*Lookup_Lists!$D$132,0)+IF(ISNUMBER(Matching_Engine!$AK$29),Matching_Engine!$AK$29*Lookup_Lists!$D$133,0)+IF(ISNUMBER(Matching_Engine!$AL$29),Matching_Engine!$AL$29*Lookup_Lists!$D$134,0))/(IF(ISNUMBER(Matching_Engine!$AG$29),Lookup_Lists!$D$129,0)+IF(ISNUMBER(Matching_Engine!$AH$29),Lookup_Lists!$D$130,0)+IF(ISNUMBER(Matching_Engine!$AI$29),Lookup_Lists!$D$131,0)+IF(ISNUMBER(Matching_Engine!$AJ$29),Lookup_Lists!$D$132,0)+IF(ISNUMBER(Matching_Engine!$AK$29),Lookup_Lists!$D$133,0)+IF(ISNUMBER(Matching_Engine!$AL$29),Lookup_Lists!$D$134,0)),0))</f>
      </c>
      <c r="AN29" s="11">
        <f>IF(ISNUMBER(Matching_Engine!$AM$29),1,0)</f>
      </c>
      <c r="AO29" s="18">
        <f>IF(NOT(ISNUMBER(KOL_Source_Data!$BT$29)),"N/A",MIN(100,MAX(0,KOL_Source_Data!$BT$29)))</f>
      </c>
      <c r="AP29" s="18">
        <f>IF(NOT(ISNUMBER(KOL_Source_Data!$BU$29)),"N/A",MIN(100,MAX(0,KOL_Source_Data!$BU$29)))</f>
      </c>
      <c r="AQ29" s="18">
        <f>IF(KOL_Source_Data!$I$29="Yes",Lookup_Lists!$D$326,IF(KOL_Source_Data!$I$29="No",Lookup_Lists!$D$327,"N/A"))</f>
      </c>
      <c r="AR29" s="18">
        <f>IF(NOT(ISNUMBER(KOL_Source_Data!$BQ$29)),"N/A",MAX(0,ROUND(100-KOL_Source_Data!$BQ$29/Lookup_Lists!$D$328*100,0)))</f>
      </c>
      <c r="AS29" s="18">
        <f>IF(NOT(AND(ISTEXT(KOL_Source_Data!$BV$29),KOL_Source_Data!$BV$29&lt;&gt;"N/A")),"N/A",KOL_Source_Data!$BV$29)</f>
      </c>
      <c r="AT29" s="29">
        <f>IF((IF(ISNUMBER(Matching_Engine!$AO$29),Lookup_Lists!$D$322,0)+IF(ISNUMBER(Matching_Engine!$AP$29),Lookup_Lists!$D$323,0)+IF(ISNUMBER(Matching_Engine!$AQ$29),Lookup_Lists!$D$324,0)+IF(ISNUMBER(Matching_Engine!$AR$29),Lookup_Lists!$D$325,0))=0,"N/A",ROUND((IF(ISNUMBER(Matching_Engine!$AO$29),Matching_Engine!$AO$29*Lookup_Lists!$D$322,0)+IF(ISNUMBER(Matching_Engine!$AP$29),Matching_Engine!$AP$29*Lookup_Lists!$D$323,0)+IF(ISNUMBER(Matching_Engine!$AQ$29),Matching_Engine!$AQ$29*Lookup_Lists!$D$324,0)+IF(ISNUMBER(Matching_Engine!$AR$29),Matching_Engine!$AR$29*Lookup_Lists!$D$325,0))/(IF(ISNUMBER(Matching_Engine!$AO$29),Lookup_Lists!$D$322,0)+IF(ISNUMBER(Matching_Engine!$AP$29),Lookup_Lists!$D$323,0)+IF(ISNUMBER(Matching_Engine!$AQ$29),Lookup_Lists!$D$324,0)+IF(ISNUMBER(Matching_Engine!$AR$29),Lookup_Lists!$D$325,0)),0))</f>
      </c>
      <c r="AU29" s="11">
        <f>IF(ISNUMBER(Matching_Engine!$AT$29),1,0)</f>
      </c>
      <c r="AV29" s="11">
        <f>IF(NOT(ISNUMBER(Matching_Engine!$AT$29)),"Not Screened",IF(Matching_Engine!$AT$29&gt;=Lookup_Lists!$D$329,"Low Risk",IF(Matching_Engine!$AT$29&gt;=Lookup_Lists!$D$330,"Moderate Risk",IF(Matching_Engine!$AT$29&gt;=Lookup_Lists!$D$331,"Elevated Risk","High Risk"))))</f>
      </c>
      <c r="AW29" s="11">
        <f>IF(NOT(ISNUMBER(Matching_Engine!$AT$29)),"No integrity signal: no audience-analysis row for this account.","Integrity screen only — no content-risk reading exists (comments_analysis: 0 rows). "&amp;IF(ISNUMBER(Matching_Engine!$AO$29),"Authenticity "&amp;Matching_Engine!$AO$29&amp;". ","Authenticity N/A. ")&amp;IF(ISNUMBER(Matching_Engine!$AP$29),"Follower quality "&amp;Matching_Engine!$AP$29&amp;". ","Follower quality N/A. ")&amp;IF(KOL_Source_Data!$I$29="Yes","Platform-verified.","Not platform-verified."))</f>
      </c>
      <c r="AX29" s="18">
        <f>Matching_Engine!$N$29*Lookup_Lists!$D$104+Matching_Engine!$T$29*Lookup_Lists!$D$105+Matching_Engine!$Z$29*Lookup_Lists!$D$106+Matching_Engine!$AF$29*Lookup_Lists!$D$107+Matching_Engine!$AN$29*Lookup_Lists!$D$108+Matching_Engine!$AU$29*Lookup_Lists!$D$109</f>
      </c>
      <c r="AY29" s="30">
        <f>IF(Matching_Engine!$AX$29=0,"N/A",ROUND((IF(Matching_Engine!$N$29=1,Matching_Engine!$M$29*Lookup_Lists!$D$104,0)+IF(Matching_Engine!$T$29=1,Matching_Engine!$S$29*Lookup_Lists!$D$105,0)+IF(Matching_Engine!$Z$29=1,Matching_Engine!$Y$29*Lookup_Lists!$D$106,0)+IF(Matching_Engine!$AF$29=1,Matching_Engine!$AE$29*Lookup_Lists!$D$107,0)+IF(Matching_Engine!$AN$29=1,Matching_Engine!$AM$29*Lookup_Lists!$D$108,0)+IF(Matching_Engine!$AU$29=1,Matching_Engine!$AT$29*Lookup_Lists!$D$109,0))/Matching_Engine!$AX$29,0))</f>
      </c>
      <c r="AZ29" s="11">
        <f>IF(NOT(ISNUMBER(Matching_Engine!$AY$29)),"Not Scored",IF(Matching_Engine!$AY$29&gt;=Lookup_Lists!$D$152,"Excellent Match",IF(Matching_Engine!$AY$29&gt;=Lookup_Lists!$D$153,"Strong Match",IF(Matching_Engine!$AY$29&gt;=Lookup_Lists!$D$154,"Good Match",IF(Matching_Engine!$AY$29&gt;=Lookup_Lists!$D$155,"Moderate Match","Low Match")))))</f>
      </c>
      <c r="BA29" s="18">
        <f>KOL_Source_Data!$BW$29</f>
      </c>
      <c r="BB29" s="11">
        <f>KOL_Source_Data!$BX$29</f>
      </c>
      <c r="BC29" s="18">
        <f>IF(NOT(ISNUMBER(Matching_Engine!$AY$29)),-1,Matching_Engine!$AY$29*1000+1)</f>
      </c>
      <c r="BD29" s="11">
        <f>IF(AND(ISTEXT(KOL_Source_Data!$S$29),KOL_Source_Data!$S$29&lt;&gt;"N/A"),KOL_Source_Data!$S$29,"")&amp;" | "&amp;IF(AND(ISTEXT(KOL_Source_Data!$T$29),KOL_Source_Data!$T$29&lt;&gt;"N/A"),KOL_Source_Data!$T$29,"")&amp;" | "&amp;IF(AND(ISTEXT(KOL_Source_Data!$N$29),KOL_Source_Data!$N$29&lt;&gt;"N/A"),KOL_Source_Data!$N$29,"")&amp;" | "&amp;IF(AND(ISTEXT(KOL_Source_Data!$K$29),KOL_Source_Data!$K$29&lt;&gt;"N/A"),KOL_Source_Data!$K$29,"")&amp;" | "&amp;IF(AND(ISTEXT(KOL_Source_Data!$J$29),KOL_Source_Data!$J$29&lt;&gt;"N/A"),KOL_Source_Data!$J$29,"")</f>
      </c>
      <c r="BE29" s="11">
        <f>IF(AND(ISTEXT(KOL_Source_Data!$T$29),KOL_Source_Data!$T$29&lt;&gt;"N/A"),KOL_Source_Data!$T$29,"")&amp;" | "&amp;IF(AND(ISTEXT(KOL_Source_Data!$N$29),KOL_Source_Data!$N$29&lt;&gt;"N/A"),KOL_Source_Data!$N$29,"")&amp;" | "&amp;IF(AND(ISTEXT(KOL_Source_Data!$O$29),KOL_Source_Data!$O$29&lt;&gt;"N/A"),KOL_Source_Data!$O$29,"")&amp;" | "&amp;IF(AND(ISTEXT(KOL_Source_Data!$S$29),KOL_Source_Data!$S$29&lt;&gt;"N/A"),KOL_Source_Data!$S$29,"")</f>
      </c>
      <c r="BF29" s="11">
        <f>IF(AND(ISTEXT(KOL_Source_Data!$U$29),KOL_Source_Data!$U$29&lt;&gt;"N/A"),KOL_Source_Data!$U$29,"")</f>
      </c>
      <c r="BG29" s="11">
        <f>Matching_Engine!$A$29&amp;"|"&amp;Matching_Engine!$C$29</f>
      </c>
    </row>
    <row r="30" spans="1:59" x14ac:dyDescent="0.25">
      <c r="A30" s="10" t="s">
        <v>391</v>
      </c>
      <c r="B30" s="11">
        <f>Brand_Profile!$F$6</f>
      </c>
      <c r="C30" s="11">
        <f>KOL_Source_Data!$A$6</f>
      </c>
      <c r="D30" s="11">
        <f>KOL_Source_Data!$C$6</f>
      </c>
      <c r="E30" s="11">
        <f>KOL_Source_Data!$D$6</f>
      </c>
      <c r="F30" s="11">
        <f>KOL_Source_Data!$E$6</f>
      </c>
      <c r="G30" s="11">
        <f>KOL_Source_Data!$K$6</f>
      </c>
      <c r="H30" s="12">
        <f>KOL_Source_Data!$G$6</f>
      </c>
      <c r="I30" s="14">
        <f>KOL_Source_Data!$BG$6</f>
      </c>
      <c r="J30" s="18">
        <f>IF(NOT(AND(ISTEXT(KOL_Source_Data!$K$6),KOL_Source_Data!$K$6&lt;&gt;"N/A")),Lookup_Lists!$D$150,IF(Brand_Profile!$F$7=KOL_Source_Data!$K$6,100,IFERROR(INDEX(Lookup_Lists!$B$349:$J$357,MATCH(Brand_Profile!$F$7,Lookup_Lists!$A$349:$A$357,0),MATCH(KOL_Source_Data!$K$6,Lookup_Lists!$B$348:$J$348,0)),Lookup_Lists!$D$151)))</f>
      </c>
      <c r="K30" s="18">
        <f>IF(LEN(TRIM(SUBSTITUTE(Matching_Engine!$BD$30,"|","")))=0,"N/A",IF(Brand_Profile!$F$47=0,Lookup_Lists!$D$150,ROUND((IF(Brand_Profile!$F$41="",0,IF(ISNUMBER(SEARCH(Brand_Profile!$F$41,Matching_Engine!$BD$30)),1,0))+IF(Brand_Profile!$F$42="",0,IF(ISNUMBER(SEARCH(Brand_Profile!$F$42,Matching_Engine!$BD$30)),1,0))+IF(Brand_Profile!$F$43="",0,IF(ISNUMBER(SEARCH(Brand_Profile!$F$43,Matching_Engine!$BD$30)),1,0))+IF(Brand_Profile!$F$44="",0,IF(ISNUMBER(SEARCH(Brand_Profile!$F$44,Matching_Engine!$BD$30)),1,0))+IF(Brand_Profile!$F$45="",0,IF(ISNUMBER(SEARCH(Brand_Profile!$F$45,Matching_Engine!$BD$30)),1,0))+IF(Brand_Profile!$F$46="",0,IF(ISNUMBER(SEARCH(Brand_Profile!$F$46,Matching_Engine!$BD$30)),1,0)))/Brand_Profile!$F$47*100,0)))</f>
      </c>
      <c r="L30" s="18">
        <f>IF(NOT(AND(ISTEXT(KOL_Source_Data!$U$6),KOL_Source_Data!$U$6&lt;&gt;"N/A")),"N/A",IF(Brand_Profile!$F$53=0,Lookup_Lists!$D$150,ROUND((IF(Brand_Profile!$F$48="",0,IF(ISNUMBER(SEARCH(Brand_Profile!$F$48,Matching_Engine!$BF$30)),1,0))+IF(Brand_Profile!$F$49="",0,IF(ISNUMBER(SEARCH(Brand_Profile!$F$49,Matching_Engine!$BF$30)),1,0))+IF(Brand_Profile!$F$50="",0,IF(ISNUMBER(SEARCH(Brand_Profile!$F$50,Matching_Engine!$BF$30)),1,0))+IF(Brand_Profile!$F$51="",0,IF(ISNUMBER(SEARCH(Brand_Profile!$F$51,Matching_Engine!$BF$30)),1,0))+IF(Brand_Profile!$F$52="",0,IF(ISNUMBER(SEARCH(Brand_Profile!$F$52,Matching_Engine!$BF$30)),1,0)))/Brand_Profile!$F$53*100,0)))</f>
      </c>
      <c r="M30" s="29">
        <f>IF((IF(ISNUMBER(Matching_Engine!$J$30),Lookup_Lists!$D$332,0)+IF(ISNUMBER(Matching_Engine!$K$30),Lookup_Lists!$D$333,0)+IF(ISNUMBER(Matching_Engine!$L$30),Lookup_Lists!$D$334,0))=0,"N/A",ROUND((IF(ISNUMBER(Matching_Engine!$J$30),Matching_Engine!$J$30*Lookup_Lists!$D$332,0)+IF(ISNUMBER(Matching_Engine!$K$30),Matching_Engine!$K$30*Lookup_Lists!$D$333,0)+IF(ISNUMBER(Matching_Engine!$L$30),Matching_Engine!$L$30*Lookup_Lists!$D$334,0))/(IF(ISNUMBER(Matching_Engine!$J$30),Lookup_Lists!$D$332,0)+IF(ISNUMBER(Matching_Engine!$K$30),Lookup_Lists!$D$333,0)+IF(ISNUMBER(Matching_Engine!$L$30),Lookup_Lists!$D$334,0)),0))</f>
      </c>
      <c r="N30" s="11">
        <f>IF(ISNUMBER(Matching_Engine!$M$30),1,0)</f>
      </c>
      <c r="O30" s="18">
        <f>IF(NOT(ISNUMBER(IFERROR(INDEX(KOL_Source_Data!$V$6:KOL_Source_Data!$Z$6,1,MATCH(Brand_Profile!$F$11,Lookup_Lists!$F$6:$F$10,0)),""))),"N/A",MIN(100,ROUND((IFERROR(INDEX(KOL_Source_Data!$V$6:KOL_Source_Data!$Z$6,1,MATCH(Brand_Profile!$F$11,Lookup_Lists!$F$6:$F$10,0)),"")+0.5*IF(ISNUMBER(IFERROR(INDEX(KOL_Source_Data!$V$6:KOL_Source_Data!$Z$6,1,MATCH(Brand_Profile!$F$12,Lookup_Lists!$F$6:$F$10,0)),"")),IFERROR(INDEX(KOL_Source_Data!$V$6:KOL_Source_Data!$Z$6,1,MATCH(Brand_Profile!$F$12,Lookup_Lists!$F$6:$F$10,0)),""),0))/Lookup_Lists!$D$142*100,0)))</f>
      </c>
      <c r="P30" s="18">
        <f>IF(Brand_Profile!$F$13="Any",100,IF(NOT(ISNUMBER(KOL_Source_Data!$AA$6)),"N/A",IF(Brand_Profile!$F$13="Female",MIN(100,ROUND(KOL_Source_Data!$AA$6/Lookup_Lists!$D$143*100,0)),IF(Brand_Profile!$F$13="Male",MIN(100,ROUND(IF(ISNUMBER(KOL_Source_Data!$AB$6),KOL_Source_Data!$AB$6,100-KOL_Source_Data!$AA$6)/Lookup_Lists!$D$143*100,0)),MAX(0,ROUND(100-ABS(KOL_Source_Data!$AA$6-50)*2,0))))))</f>
      </c>
      <c r="Q30" s="18">
        <f>IF((IF(ISNUMBER(IF(NOT(ISNUMBER(KOL_Source_Data!$AE$6)),"N/A",IF(KOL_Source_Data!$AD$6&lt;&gt;Brand_Profile!$F$14,Lookup_Lists!$D$151,MIN(100,ROUND(KOL_Source_Data!$AE$6/Lookup_Lists!$D$316*100,0))))),Lookup_Lists!$D$118,0)+IF(ISNUMBER(IF(NOT(ISNUMBER(KOL_Source_Data!$AM$6)),"N/A",MIN(100,ROUND((IF(KOL_Source_Data!$AG$6=Brand_Profile!$F$15,IF(ISNUMBER(KOL_Source_Data!$AH$6),KOL_Source_Data!$AH$6,0),0)+IF(KOL_Source_Data!$AI$6=Brand_Profile!$F$15,IF(ISNUMBER(KOL_Source_Data!$AJ$6),KOL_Source_Data!$AJ$6,0),0)+IF(KOL_Source_Data!$AK$6=Brand_Profile!$F$15,IF(ISNUMBER(KOL_Source_Data!$AL$6),KOL_Source_Data!$AL$6,0),0))/Lookup_Lists!$D$317*100,0)))),Lookup_Lists!$D$120,0))=0,"N/A",ROUND((IF(ISNUMBER(IF(NOT(ISNUMBER(KOL_Source_Data!$AE$6)),"N/A",IF(KOL_Source_Data!$AD$6&lt;&gt;Brand_Profile!$F$14,Lookup_Lists!$D$151,MIN(100,ROUND(KOL_Source_Data!$AE$6/Lookup_Lists!$D$316*100,0))))),IF(NOT(ISNUMBER(KOL_Source_Data!$AE$6)),"N/A",IF(KOL_Source_Data!$AD$6&lt;&gt;Brand_Profile!$F$14,Lookup_Lists!$D$151,MIN(100,ROUND(KOL_Source_Data!$AE$6/Lookup_Lists!$D$316*100,0))))*Lookup_Lists!$D$118,0)+IF(ISNUMBER(IF(NOT(ISNUMBER(KOL_Source_Data!$AM$6)),"N/A",MIN(100,ROUND((IF(KOL_Source_Data!$AG$6=Brand_Profile!$F$15,IF(ISNUMBER(KOL_Source_Data!$AH$6),KOL_Source_Data!$AH$6,0),0)+IF(KOL_Source_Data!$AI$6=Brand_Profile!$F$15,IF(ISNUMBER(KOL_Source_Data!$AJ$6),KOL_Source_Data!$AJ$6,0),0)+IF(KOL_Source_Data!$AK$6=Brand_Profile!$F$15,IF(ISNUMBER(KOL_Source_Data!$AL$6),KOL_Source_Data!$AL$6,0),0))/Lookup_Lists!$D$317*100,0)))),IF(NOT(ISNUMBER(KOL_Source_Data!$AM$6)),"N/A",MIN(100,ROUND((IF(KOL_Source_Data!$AG$6=Brand_Profile!$F$15,IF(ISNUMBER(KOL_Source_Data!$AH$6),KOL_Source_Data!$AH$6,0),0)+IF(KOL_Source_Data!$AI$6=Brand_Profile!$F$15,IF(ISNUMBER(KOL_Source_Data!$AJ$6),KOL_Source_Data!$AJ$6,0),0)+IF(KOL_Source_Data!$AK$6=Brand_Profile!$F$15,IF(ISNUMBER(KOL_Source_Data!$AL$6),KOL_Source_Data!$AL$6,0),0))/Lookup_Lists!$D$317*100,0)))*Lookup_Lists!$D$120,0))/(IF(ISNUMBER(IF(NOT(ISNUMBER(KOL_Source_Data!$AE$6)),"N/A",IF(KOL_Source_Data!$AD$6&lt;&gt;Brand_Profile!$F$14,Lookup_Lists!$D$151,MIN(100,ROUND(KOL_Source_Data!$AE$6/Lookup_Lists!$D$316*100,0))))),Lookup_Lists!$D$118,0)+IF(ISNUMBER(IF(NOT(ISNUMBER(KOL_Source_Data!$AM$6)),"N/A",MIN(100,ROUND((IF(KOL_Source_Data!$AG$6=Brand_Profile!$F$15,IF(ISNUMBER(KOL_Source_Data!$AH$6),KOL_Source_Data!$AH$6,0),0)+IF(KOL_Source_Data!$AI$6=Brand_Profile!$F$15,IF(ISNUMBER(KOL_Source_Data!$AJ$6),KOL_Source_Data!$AJ$6,0),0)+IF(KOL_Source_Data!$AK$6=Brand_Profile!$F$15,IF(ISNUMBER(KOL_Source_Data!$AL$6),KOL_Source_Data!$AL$6,0),0))/Lookup_Lists!$D$317*100,0)))),Lookup_Lists!$D$120,0)),0))</f>
      </c>
      <c r="R30" s="18">
        <f>IF(NOT(ISNUMBER(KOL_Source_Data!$AN$6)),"N/A",MIN(100,ROUND((IF(ISNUMBER(KOL_Source_Data!$AO$6),KOL_Source_Data!$AO$6*Brand_Profile!$F$17,0)+IF(ISNUMBER(KOL_Source_Data!$AP$6),KOL_Source_Data!$AP$6*Brand_Profile!$F$18,0)+IF(ISNUMBER(KOL_Source_Data!$AQ$6),KOL_Source_Data!$AQ$6*Brand_Profile!$F$19,0)+IF(ISNUMBER(KOL_Source_Data!$AR$6),KOL_Source_Data!$AR$6*Brand_Profile!$F$20,0)+IF(ISNUMBER(KOL_Source_Data!$AS$6),KOL_Source_Data!$AS$6*Brand_Profile!$F$21,0)+IF(ISNUMBER(KOL_Source_Data!$AT$6),KOL_Source_Data!$AT$6*Brand_Profile!$F$22,0)+IF(ISNUMBER(KOL_Source_Data!$AU$6),KOL_Source_Data!$AU$6*Brand_Profile!$F$23,0)+IF(ISNUMBER(KOL_Source_Data!$AV$6),KOL_Source_Data!$AV$6*Brand_Profile!$F$24,0)+IF(ISNUMBER(KOL_Source_Data!$AW$6),KOL_Source_Data!$AW$6*Brand_Profile!$F$25,0)+IF(ISNUMBER(KOL_Source_Data!$AX$6),KOL_Source_Data!$AX$6*Brand_Profile!$F$26,0)+IF(ISNUMBER(KOL_Source_Data!$AY$6),KOL_Source_Data!$AY$6*Brand_Profile!$F$27,0)+IF(ISNUMBER(KOL_Source_Data!$AZ$6),KOL_Source_Data!$AZ$6*Brand_Profile!$F$28,0)+IF(ISNUMBER(KOL_Source_Data!$BA$6),KOL_Source_Data!$BA$6*Brand_Profile!$F$29,0)+IF(ISNUMBER(KOL_Source_Data!$BB$6),KOL_Source_Data!$BB$6*Brand_Profile!$F$30,0)+IF(ISNUMBER(KOL_Source_Data!$BC$6),KOL_Source_Data!$BC$6*Brand_Profile!$F$31,0)+IF(ISNUMBER(KOL_Source_Data!$BD$6),KOL_Source_Data!$BD$6*Brand_Profile!$F$32,0)+IF(ISNUMBER(KOL_Source_Data!$BE$6),KOL_Source_Data!$BE$6*Brand_Profile!$F$33,0)+IF(ISNUMBER(KOL_Source_Data!$BF$6),KOL_Source_Data!$BF$6*Brand_Profile!$F$34,0))/Lookup_Lists!$D$318*100,0)))</f>
      </c>
      <c r="S30" s="29">
        <f>IF((IF(ISNUMBER(Matching_Engine!$O$30),Lookup_Lists!$D$113,0)+IF(ISNUMBER(Matching_Engine!$P$30),Lookup_Lists!$D$114,0)+IF(ISNUMBER(Matching_Engine!$Q$30),Lookup_Lists!$D$115,0)+IF(ISNUMBER(Matching_Engine!$R$30),Lookup_Lists!$D$116,0))=0,"N/A",ROUND((IF(ISNUMBER(Matching_Engine!$O$30),Matching_Engine!$O$30*Lookup_Lists!$D$113,0)+IF(ISNUMBER(Matching_Engine!$P$30),Matching_Engine!$P$30*Lookup_Lists!$D$114,0)+IF(ISNUMBER(Matching_Engine!$Q$30),Matching_Engine!$Q$30*Lookup_Lists!$D$115,0)+IF(ISNUMBER(Matching_Engine!$R$30),Matching_Engine!$R$30*Lookup_Lists!$D$116,0))/(IF(ISNUMBER(Matching_Engine!$O$30),Lookup_Lists!$D$113,0)+IF(ISNUMBER(Matching_Engine!$P$30),Lookup_Lists!$D$114,0)+IF(ISNUMBER(Matching_Engine!$Q$30),Lookup_Lists!$D$115,0)+IF(ISNUMBER(Matching_Engine!$R$30),Lookup_Lists!$D$116,0)),0))</f>
      </c>
      <c r="T30" s="11">
        <f>IF(ISNUMBER(Matching_Engine!$S$30),1,0)</f>
      </c>
      <c r="U30" s="18">
        <f>IF(NOT(AND(ISTEXT(KOL_Source_Data!$M$6),KOL_Source_Data!$M$6&lt;&gt;"N/A")),Lookup_Lists!$D$150,IF(Brand_Profile!$F$7=KOL_Source_Data!$M$6,100,IFERROR(INDEX(Lookup_Lists!$B$349:$J$357,MATCH(Brand_Profile!$F$7,Lookup_Lists!$A$349:$A$357,0),MATCH(KOL_Source_Data!$M$6,Lookup_Lists!$B$348:$J$348,0)),Lookup_Lists!$D$151)))</f>
      </c>
      <c r="V30" s="18">
        <f>IF(NOT(AND(ISTEXT(KOL_Source_Data!$P$6),KOL_Source_Data!$P$6&lt;&gt;"N/A")),"N/A",IFERROR(INDEX(Lookup_Lists!$B$349:$J$357,MATCH(Brand_Profile!$F$7,Lookup_Lists!$A$349:$A$357,0),MATCH(KOL_Source_Data!$P$6,Lookup_Lists!$B$348:$J$348,0)),Lookup_Lists!$D$151))</f>
      </c>
      <c r="W30" s="18">
        <f>IF(LEN(TRIM(SUBSTITUTE(Matching_Engine!$BE$30,"|","")))=0,"N/A",IF(Brand_Profile!$F$60=0,Lookup_Lists!$D$150,ROUND((IF(Brand_Profile!$F$54="",0,IF(ISNUMBER(SEARCH(Brand_Profile!$F$54,Matching_Engine!$BE$30)),1,0))+IF(Brand_Profile!$F$55="",0,IF(ISNUMBER(SEARCH(Brand_Profile!$F$55,Matching_Engine!$BE$30)),1,0))+IF(Brand_Profile!$F$56="",0,IF(ISNUMBER(SEARCH(Brand_Profile!$F$56,Matching_Engine!$BE$30)),1,0))+IF(Brand_Profile!$F$57="",0,IF(ISNUMBER(SEARCH(Brand_Profile!$F$57,Matching_Engine!$BE$30)),1,0))+IF(Brand_Profile!$F$58="",0,IF(ISNUMBER(SEARCH(Brand_Profile!$F$58,Matching_Engine!$BE$30)),1,0))+IF(Brand_Profile!$F$59="",0,IF(ISNUMBER(SEARCH(Brand_Profile!$F$59,Matching_Engine!$BE$30)),1,0)))/Brand_Profile!$F$60*100,0)))</f>
      </c>
      <c r="X30" s="18">
        <f>IF(NOT(AND(ISTEXT(KOL_Source_Data!$Q$6),KOL_Source_Data!$Q$6&lt;&gt;"N/A")),"N/A",Lookup_Lists!$D$150)</f>
      </c>
      <c r="Y30" s="29">
        <f>IF((IF(ISNUMBER(Matching_Engine!$U$30),Lookup_Lists!$D$335,0)+IF(ISNUMBER(Matching_Engine!$V$30),Lookup_Lists!$D$122,0)+IF(ISNUMBER(Matching_Engine!$W$30),Lookup_Lists!$D$336,0)+IF(ISNUMBER(Matching_Engine!$X$30),Lookup_Lists!$D$124,0))=0,"N/A",ROUND((IF(ISNUMBER(Matching_Engine!$U$30),Matching_Engine!$U$30*Lookup_Lists!$D$335,0)+IF(ISNUMBER(Matching_Engine!$V$30),Matching_Engine!$V$30*Lookup_Lists!$D$122,0)+IF(ISNUMBER(Matching_Engine!$W$30),Matching_Engine!$W$30*Lookup_Lists!$D$336,0)+IF(ISNUMBER(Matching_Engine!$X$30),Matching_Engine!$X$30*Lookup_Lists!$D$124,0))/(IF(ISNUMBER(Matching_Engine!$U$30),Lookup_Lists!$D$335,0)+IF(ISNUMBER(Matching_Engine!$V$30),Lookup_Lists!$D$122,0)+IF(ISNUMBER(Matching_Engine!$W$30),Lookup_Lists!$D$336,0)+IF(ISNUMBER(Matching_Engine!$X$30),Lookup_Lists!$D$124,0)),0))</f>
      </c>
      <c r="Z30" s="11">
        <f>IF(ISNUMBER(Matching_Engine!$Y$30),1,0)</f>
      </c>
      <c r="AA30" s="18">
        <f>IF(NOT(AND(ISTEXT(KOL_Source_Data!$Q$6),KOL_Source_Data!$Q$6&lt;&gt;"N/A")),"N/A",Lookup_Lists!$D$150)</f>
      </c>
      <c r="AB30" s="18">
        <f>IF(NOT(AND(ISTEXT(KOL_Source_Data!$Q$6),KOL_Source_Data!$Q$6&lt;&gt;"N/A")),"N/A",Lookup_Lists!$D$150)</f>
      </c>
      <c r="AC30" s="18">
        <f>"N/A"</f>
      </c>
      <c r="AD30" s="18">
        <f>IF(NOT(AND(ISTEXT(KOL_Source_Data!$Q$6),KOL_Source_Data!$Q$6&lt;&gt;"N/A")),"N/A",Lookup_Lists!$D$150)</f>
      </c>
      <c r="AE30" s="29">
        <f>IF((IF(ISNUMBER(Matching_Engine!$AA$30),Lookup_Lists!$D$125,0)+IF(ISNUMBER(Matching_Engine!$AB$30),Lookup_Lists!$D$126,0)+IF(ISNUMBER(Matching_Engine!$AC$30),Lookup_Lists!$D$127,0)+IF(ISNUMBER(Matching_Engine!$AD$30),Lookup_Lists!$D$128,0))=0,"N/A",ROUND((IF(ISNUMBER(Matching_Engine!$AA$30),Matching_Engine!$AA$30*Lookup_Lists!$D$125,0)+IF(ISNUMBER(Matching_Engine!$AB$30),Matching_Engine!$AB$30*Lookup_Lists!$D$126,0)+IF(ISNUMBER(Matching_Engine!$AC$30),Matching_Engine!$AC$30*Lookup_Lists!$D$127,0)+IF(ISNUMBER(Matching_Engine!$AD$30),Matching_Engine!$AD$30*Lookup_Lists!$D$128,0))/(IF(ISNUMBER(Matching_Engine!$AA$30),Lookup_Lists!$D$125,0)+IF(ISNUMBER(Matching_Engine!$AB$30),Lookup_Lists!$D$126,0)+IF(ISNUMBER(Matching_Engine!$AC$30),Lookup_Lists!$D$127,0)+IF(ISNUMBER(Matching_Engine!$AD$30),Lookup_Lists!$D$128,0)),0))</f>
      </c>
      <c r="AF30" s="11">
        <f>IF(ISNUMBER(Matching_Engine!$AE$30),1,0)</f>
      </c>
      <c r="AG30" s="18">
        <f>IF(NOT(ISNUMBER(KOL_Source_Data!$BG$6)),"N/A",MIN(100,ROUND(KOL_Source_Data!$BG$6/IFERROR(INDEX(Lookup_Lists!$B$340:$B$344,MATCH(KOL_Source_Data!$H$6,Lookup_Lists!$A$340:$A$344,0)),Lookup_Lists!$D$141)*100,0)))</f>
      </c>
      <c r="AH30" s="18">
        <f>IF(NOT(ISNUMBER(KOL_Source_Data!$BS$6)),"N/A",MIN(100,MAX(0,KOL_Source_Data!$BS$6)))</f>
      </c>
      <c r="AI30" s="18">
        <f>IF(OR(NOT(ISNUMBER(KOL_Source_Data!$BM$6)),NOT(ISNUMBER(KOL_Source_Data!$BN$6)),KOL_Source_Data!$BN$6&lt;Lookup_Lists!$D$320),"N/A",MIN(100,ROUND(KOL_Source_Data!$BM$6/Lookup_Lists!$D$319*100,0)))</f>
      </c>
      <c r="AJ30" s="18">
        <f>IF(NOT(ISNUMBER(KOL_Source_Data!$BR$6)),"N/A",KOL_Source_Data!$BR$6)</f>
      </c>
      <c r="AK30" s="18">
        <f>IF(NOT(ISNUMBER(KOL_Source_Data!$BK$6)),"N/A",MIN(100,ROUND(KOL_Source_Data!$BK$6/Lookup_Lists!$D$321*100,0)))</f>
      </c>
      <c r="AL30" s="18">
        <f>IF(NOT(ISNUMBER(KOL_Source_Data!$BP$6)),"N/A",MIN(100,MAX(0,ROUND((KOL_Source_Data!$BP$6+2)/(Lookup_Lists!$D$145+2)*100,0))))</f>
      </c>
      <c r="AM30" s="29">
        <f>IF((IF(ISNUMBER(Matching_Engine!$AG$30),Lookup_Lists!$D$129,0)+IF(ISNUMBER(Matching_Engine!$AH$30),Lookup_Lists!$D$130,0)+IF(ISNUMBER(Matching_Engine!$AI$30),Lookup_Lists!$D$131,0)+IF(ISNUMBER(Matching_Engine!$AJ$30),Lookup_Lists!$D$132,0)+IF(ISNUMBER(Matching_Engine!$AK$30),Lookup_Lists!$D$133,0)+IF(ISNUMBER(Matching_Engine!$AL$30),Lookup_Lists!$D$134,0))=0,"N/A",ROUND((IF(ISNUMBER(Matching_Engine!$AG$30),Matching_Engine!$AG$30*Lookup_Lists!$D$129,0)+IF(ISNUMBER(Matching_Engine!$AH$30),Matching_Engine!$AH$30*Lookup_Lists!$D$130,0)+IF(ISNUMBER(Matching_Engine!$AI$30),Matching_Engine!$AI$30*Lookup_Lists!$D$131,0)+IF(ISNUMBER(Matching_Engine!$AJ$30),Matching_Engine!$AJ$30*Lookup_Lists!$D$132,0)+IF(ISNUMBER(Matching_Engine!$AK$30),Matching_Engine!$AK$30*Lookup_Lists!$D$133,0)+IF(ISNUMBER(Matching_Engine!$AL$30),Matching_Engine!$AL$30*Lookup_Lists!$D$134,0))/(IF(ISNUMBER(Matching_Engine!$AG$30),Lookup_Lists!$D$129,0)+IF(ISNUMBER(Matching_Engine!$AH$30),Lookup_Lists!$D$130,0)+IF(ISNUMBER(Matching_Engine!$AI$30),Lookup_Lists!$D$131,0)+IF(ISNUMBER(Matching_Engine!$AJ$30),Lookup_Lists!$D$132,0)+IF(ISNUMBER(Matching_Engine!$AK$30),Lookup_Lists!$D$133,0)+IF(ISNUMBER(Matching_Engine!$AL$30),Lookup_Lists!$D$134,0)),0))</f>
      </c>
      <c r="AN30" s="11">
        <f>IF(ISNUMBER(Matching_Engine!$AM$30),1,0)</f>
      </c>
      <c r="AO30" s="18">
        <f>IF(NOT(ISNUMBER(KOL_Source_Data!$BT$6)),"N/A",MIN(100,MAX(0,KOL_Source_Data!$BT$6)))</f>
      </c>
      <c r="AP30" s="18">
        <f>IF(NOT(ISNUMBER(KOL_Source_Data!$BU$6)),"N/A",MIN(100,MAX(0,KOL_Source_Data!$BU$6)))</f>
      </c>
      <c r="AQ30" s="18">
        <f>IF(KOL_Source_Data!$I$6="Yes",Lookup_Lists!$D$326,IF(KOL_Source_Data!$I$6="No",Lookup_Lists!$D$327,"N/A"))</f>
      </c>
      <c r="AR30" s="18">
        <f>IF(NOT(ISNUMBER(KOL_Source_Data!$BQ$6)),"N/A",MAX(0,ROUND(100-KOL_Source_Data!$BQ$6/Lookup_Lists!$D$328*100,0)))</f>
      </c>
      <c r="AS30" s="18">
        <f>IF(NOT(AND(ISTEXT(KOL_Source_Data!$BV$6),KOL_Source_Data!$BV$6&lt;&gt;"N/A")),"N/A",KOL_Source_Data!$BV$6)</f>
      </c>
      <c r="AT30" s="29">
        <f>IF((IF(ISNUMBER(Matching_Engine!$AO$30),Lookup_Lists!$D$322,0)+IF(ISNUMBER(Matching_Engine!$AP$30),Lookup_Lists!$D$323,0)+IF(ISNUMBER(Matching_Engine!$AQ$30),Lookup_Lists!$D$324,0)+IF(ISNUMBER(Matching_Engine!$AR$30),Lookup_Lists!$D$325,0))=0,"N/A",ROUND((IF(ISNUMBER(Matching_Engine!$AO$30),Matching_Engine!$AO$30*Lookup_Lists!$D$322,0)+IF(ISNUMBER(Matching_Engine!$AP$30),Matching_Engine!$AP$30*Lookup_Lists!$D$323,0)+IF(ISNUMBER(Matching_Engine!$AQ$30),Matching_Engine!$AQ$30*Lookup_Lists!$D$324,0)+IF(ISNUMBER(Matching_Engine!$AR$30),Matching_Engine!$AR$30*Lookup_Lists!$D$325,0))/(IF(ISNUMBER(Matching_Engine!$AO$30),Lookup_Lists!$D$322,0)+IF(ISNUMBER(Matching_Engine!$AP$30),Lookup_Lists!$D$323,0)+IF(ISNUMBER(Matching_Engine!$AQ$30),Lookup_Lists!$D$324,0)+IF(ISNUMBER(Matching_Engine!$AR$30),Lookup_Lists!$D$325,0)),0))</f>
      </c>
      <c r="AU30" s="11">
        <f>IF(ISNUMBER(Matching_Engine!$AT$30),1,0)</f>
      </c>
      <c r="AV30" s="11">
        <f>IF(NOT(ISNUMBER(Matching_Engine!$AT$30)),"Not Screened",IF(Matching_Engine!$AT$30&gt;=Lookup_Lists!$D$329,"Low Risk",IF(Matching_Engine!$AT$30&gt;=Lookup_Lists!$D$330,"Moderate Risk",IF(Matching_Engine!$AT$30&gt;=Lookup_Lists!$D$331,"Elevated Risk","High Risk"))))</f>
      </c>
      <c r="AW30" s="11">
        <f>IF(NOT(ISNUMBER(Matching_Engine!$AT$30)),"No integrity signal: no audience-analysis row for this account.","Integrity screen only — no content-risk reading exists (comments_analysis: 0 rows). "&amp;IF(ISNUMBER(Matching_Engine!$AO$30),"Authenticity "&amp;Matching_Engine!$AO$30&amp;". ","Authenticity N/A. ")&amp;IF(ISNUMBER(Matching_Engine!$AP$30),"Follower quality "&amp;Matching_Engine!$AP$30&amp;". ","Follower quality N/A. ")&amp;IF(KOL_Source_Data!$I$6="Yes","Platform-verified.","Not platform-verified."))</f>
      </c>
      <c r="AX30" s="18">
        <f>Matching_Engine!$N$30*Lookup_Lists!$D$104+Matching_Engine!$T$30*Lookup_Lists!$D$105+Matching_Engine!$Z$30*Lookup_Lists!$D$106+Matching_Engine!$AF$30*Lookup_Lists!$D$107+Matching_Engine!$AN$30*Lookup_Lists!$D$108+Matching_Engine!$AU$30*Lookup_Lists!$D$109</f>
      </c>
      <c r="AY30" s="30">
        <f>IF(Matching_Engine!$AX$30=0,"N/A",ROUND((IF(Matching_Engine!$N$30=1,Matching_Engine!$M$30*Lookup_Lists!$D$104,0)+IF(Matching_Engine!$T$30=1,Matching_Engine!$S$30*Lookup_Lists!$D$105,0)+IF(Matching_Engine!$Z$30=1,Matching_Engine!$Y$30*Lookup_Lists!$D$106,0)+IF(Matching_Engine!$AF$30=1,Matching_Engine!$AE$30*Lookup_Lists!$D$107,0)+IF(Matching_Engine!$AN$30=1,Matching_Engine!$AM$30*Lookup_Lists!$D$108,0)+IF(Matching_Engine!$AU$30=1,Matching_Engine!$AT$30*Lookup_Lists!$D$109,0))/Matching_Engine!$AX$30,0))</f>
      </c>
      <c r="AZ30" s="11">
        <f>IF(NOT(ISNUMBER(Matching_Engine!$AY$30)),"Not Scored",IF(Matching_Engine!$AY$30&gt;=Lookup_Lists!$D$152,"Excellent Match",IF(Matching_Engine!$AY$30&gt;=Lookup_Lists!$D$153,"Strong Match",IF(Matching_Engine!$AY$30&gt;=Lookup_Lists!$D$154,"Good Match",IF(Matching_Engine!$AY$30&gt;=Lookup_Lists!$D$155,"Moderate Match","Low Match")))))</f>
      </c>
      <c r="BA30" s="18">
        <f>KOL_Source_Data!$BW$6</f>
      </c>
      <c r="BB30" s="11">
        <f>KOL_Source_Data!$BX$6</f>
      </c>
      <c r="BC30" s="18">
        <f>IF(NOT(ISNUMBER(Matching_Engine!$AY$30)),-1,Matching_Engine!$AY$30*1000+24)</f>
      </c>
      <c r="BD30" s="11">
        <f>IF(AND(ISTEXT(KOL_Source_Data!$S$6),KOL_Source_Data!$S$6&lt;&gt;"N/A"),KOL_Source_Data!$S$6,"")&amp;" | "&amp;IF(AND(ISTEXT(KOL_Source_Data!$T$6),KOL_Source_Data!$T$6&lt;&gt;"N/A"),KOL_Source_Data!$T$6,"")&amp;" | "&amp;IF(AND(ISTEXT(KOL_Source_Data!$N$6),KOL_Source_Data!$N$6&lt;&gt;"N/A"),KOL_Source_Data!$N$6,"")&amp;" | "&amp;IF(AND(ISTEXT(KOL_Source_Data!$K$6),KOL_Source_Data!$K$6&lt;&gt;"N/A"),KOL_Source_Data!$K$6,"")&amp;" | "&amp;IF(AND(ISTEXT(KOL_Source_Data!$J$6),KOL_Source_Data!$J$6&lt;&gt;"N/A"),KOL_Source_Data!$J$6,"")</f>
      </c>
      <c r="BE30" s="11">
        <f>IF(AND(ISTEXT(KOL_Source_Data!$T$6),KOL_Source_Data!$T$6&lt;&gt;"N/A"),KOL_Source_Data!$T$6,"")&amp;" | "&amp;IF(AND(ISTEXT(KOL_Source_Data!$N$6),KOL_Source_Data!$N$6&lt;&gt;"N/A"),KOL_Source_Data!$N$6,"")&amp;" | "&amp;IF(AND(ISTEXT(KOL_Source_Data!$O$6),KOL_Source_Data!$O$6&lt;&gt;"N/A"),KOL_Source_Data!$O$6,"")&amp;" | "&amp;IF(AND(ISTEXT(KOL_Source_Data!$S$6),KOL_Source_Data!$S$6&lt;&gt;"N/A"),KOL_Source_Data!$S$6,"")</f>
      </c>
      <c r="BF30" s="11">
        <f>IF(AND(ISTEXT(KOL_Source_Data!$U$6),KOL_Source_Data!$U$6&lt;&gt;"N/A"),KOL_Source_Data!$U$6,"")</f>
      </c>
      <c r="BG30" s="11">
        <f>Matching_Engine!$A$30&amp;"|"&amp;Matching_Engine!$C$30</f>
      </c>
    </row>
    <row r="31" spans="1:59" x14ac:dyDescent="0.25">
      <c r="A31" s="10" t="s">
        <v>391</v>
      </c>
      <c r="B31" s="11">
        <f>Brand_Profile!$F$6</f>
      </c>
      <c r="C31" s="11">
        <f>KOL_Source_Data!$A$7</f>
      </c>
      <c r="D31" s="11">
        <f>KOL_Source_Data!$C$7</f>
      </c>
      <c r="E31" s="11">
        <f>KOL_Source_Data!$D$7</f>
      </c>
      <c r="F31" s="11">
        <f>KOL_Source_Data!$E$7</f>
      </c>
      <c r="G31" s="11">
        <f>KOL_Source_Data!$K$7</f>
      </c>
      <c r="H31" s="12">
        <f>KOL_Source_Data!$G$7</f>
      </c>
      <c r="I31" s="14">
        <f>KOL_Source_Data!$BG$7</f>
      </c>
      <c r="J31" s="18">
        <f>IF(NOT(AND(ISTEXT(KOL_Source_Data!$K$7),KOL_Source_Data!$K$7&lt;&gt;"N/A")),Lookup_Lists!$D$150,IF(Brand_Profile!$F$7=KOL_Source_Data!$K$7,100,IFERROR(INDEX(Lookup_Lists!$B$349:$J$357,MATCH(Brand_Profile!$F$7,Lookup_Lists!$A$349:$A$357,0),MATCH(KOL_Source_Data!$K$7,Lookup_Lists!$B$348:$J$348,0)),Lookup_Lists!$D$151)))</f>
      </c>
      <c r="K31" s="18">
        <f>IF(LEN(TRIM(SUBSTITUTE(Matching_Engine!$BD$31,"|","")))=0,"N/A",IF(Brand_Profile!$F$47=0,Lookup_Lists!$D$150,ROUND((IF(Brand_Profile!$F$41="",0,IF(ISNUMBER(SEARCH(Brand_Profile!$F$41,Matching_Engine!$BD$31)),1,0))+IF(Brand_Profile!$F$42="",0,IF(ISNUMBER(SEARCH(Brand_Profile!$F$42,Matching_Engine!$BD$31)),1,0))+IF(Brand_Profile!$F$43="",0,IF(ISNUMBER(SEARCH(Brand_Profile!$F$43,Matching_Engine!$BD$31)),1,0))+IF(Brand_Profile!$F$44="",0,IF(ISNUMBER(SEARCH(Brand_Profile!$F$44,Matching_Engine!$BD$31)),1,0))+IF(Brand_Profile!$F$45="",0,IF(ISNUMBER(SEARCH(Brand_Profile!$F$45,Matching_Engine!$BD$31)),1,0))+IF(Brand_Profile!$F$46="",0,IF(ISNUMBER(SEARCH(Brand_Profile!$F$46,Matching_Engine!$BD$31)),1,0)))/Brand_Profile!$F$47*100,0)))</f>
      </c>
      <c r="L31" s="18">
        <f>IF(NOT(AND(ISTEXT(KOL_Source_Data!$U$7),KOL_Source_Data!$U$7&lt;&gt;"N/A")),"N/A",IF(Brand_Profile!$F$53=0,Lookup_Lists!$D$150,ROUND((IF(Brand_Profile!$F$48="",0,IF(ISNUMBER(SEARCH(Brand_Profile!$F$48,Matching_Engine!$BF$31)),1,0))+IF(Brand_Profile!$F$49="",0,IF(ISNUMBER(SEARCH(Brand_Profile!$F$49,Matching_Engine!$BF$31)),1,0))+IF(Brand_Profile!$F$50="",0,IF(ISNUMBER(SEARCH(Brand_Profile!$F$50,Matching_Engine!$BF$31)),1,0))+IF(Brand_Profile!$F$51="",0,IF(ISNUMBER(SEARCH(Brand_Profile!$F$51,Matching_Engine!$BF$31)),1,0))+IF(Brand_Profile!$F$52="",0,IF(ISNUMBER(SEARCH(Brand_Profile!$F$52,Matching_Engine!$BF$31)),1,0)))/Brand_Profile!$F$53*100,0)))</f>
      </c>
      <c r="M31" s="29">
        <f>IF((IF(ISNUMBER(Matching_Engine!$J$31),Lookup_Lists!$D$332,0)+IF(ISNUMBER(Matching_Engine!$K$31),Lookup_Lists!$D$333,0)+IF(ISNUMBER(Matching_Engine!$L$31),Lookup_Lists!$D$334,0))=0,"N/A",ROUND((IF(ISNUMBER(Matching_Engine!$J$31),Matching_Engine!$J$31*Lookup_Lists!$D$332,0)+IF(ISNUMBER(Matching_Engine!$K$31),Matching_Engine!$K$31*Lookup_Lists!$D$333,0)+IF(ISNUMBER(Matching_Engine!$L$31),Matching_Engine!$L$31*Lookup_Lists!$D$334,0))/(IF(ISNUMBER(Matching_Engine!$J$31),Lookup_Lists!$D$332,0)+IF(ISNUMBER(Matching_Engine!$K$31),Lookup_Lists!$D$333,0)+IF(ISNUMBER(Matching_Engine!$L$31),Lookup_Lists!$D$334,0)),0))</f>
      </c>
      <c r="N31" s="11">
        <f>IF(ISNUMBER(Matching_Engine!$M$31),1,0)</f>
      </c>
      <c r="O31" s="18">
        <f>IF(NOT(ISNUMBER(IFERROR(INDEX(KOL_Source_Data!$V$7:KOL_Source_Data!$Z$7,1,MATCH(Brand_Profile!$F$11,Lookup_Lists!$F$6:$F$10,0)),""))),"N/A",MIN(100,ROUND((IFERROR(INDEX(KOL_Source_Data!$V$7:KOL_Source_Data!$Z$7,1,MATCH(Brand_Profile!$F$11,Lookup_Lists!$F$6:$F$10,0)),"")+0.5*IF(ISNUMBER(IFERROR(INDEX(KOL_Source_Data!$V$7:KOL_Source_Data!$Z$7,1,MATCH(Brand_Profile!$F$12,Lookup_Lists!$F$6:$F$10,0)),"")),IFERROR(INDEX(KOL_Source_Data!$V$7:KOL_Source_Data!$Z$7,1,MATCH(Brand_Profile!$F$12,Lookup_Lists!$F$6:$F$10,0)),""),0))/Lookup_Lists!$D$142*100,0)))</f>
      </c>
      <c r="P31" s="18">
        <f>IF(Brand_Profile!$F$13="Any",100,IF(NOT(ISNUMBER(KOL_Source_Data!$AA$7)),"N/A",IF(Brand_Profile!$F$13="Female",MIN(100,ROUND(KOL_Source_Data!$AA$7/Lookup_Lists!$D$143*100,0)),IF(Brand_Profile!$F$13="Male",MIN(100,ROUND(IF(ISNUMBER(KOL_Source_Data!$AB$7),KOL_Source_Data!$AB$7,100-KOL_Source_Data!$AA$7)/Lookup_Lists!$D$143*100,0)),MAX(0,ROUND(100-ABS(KOL_Source_Data!$AA$7-50)*2,0))))))</f>
      </c>
      <c r="Q31" s="18">
        <f>IF((IF(ISNUMBER(IF(NOT(ISNUMBER(KOL_Source_Data!$AE$7)),"N/A",IF(KOL_Source_Data!$AD$7&lt;&gt;Brand_Profile!$F$14,Lookup_Lists!$D$151,MIN(100,ROUND(KOL_Source_Data!$AE$7/Lookup_Lists!$D$316*100,0))))),Lookup_Lists!$D$118,0)+IF(ISNUMBER(IF(NOT(ISNUMBER(KOL_Source_Data!$AM$7)),"N/A",MIN(100,ROUND((IF(KOL_Source_Data!$AG$7=Brand_Profile!$F$15,IF(ISNUMBER(KOL_Source_Data!$AH$7),KOL_Source_Data!$AH$7,0),0)+IF(KOL_Source_Data!$AI$7=Brand_Profile!$F$15,IF(ISNUMBER(KOL_Source_Data!$AJ$7),KOL_Source_Data!$AJ$7,0),0)+IF(KOL_Source_Data!$AK$7=Brand_Profile!$F$15,IF(ISNUMBER(KOL_Source_Data!$AL$7),KOL_Source_Data!$AL$7,0),0))/Lookup_Lists!$D$317*100,0)))),Lookup_Lists!$D$120,0))=0,"N/A",ROUND((IF(ISNUMBER(IF(NOT(ISNUMBER(KOL_Source_Data!$AE$7)),"N/A",IF(KOL_Source_Data!$AD$7&lt;&gt;Brand_Profile!$F$14,Lookup_Lists!$D$151,MIN(100,ROUND(KOL_Source_Data!$AE$7/Lookup_Lists!$D$316*100,0))))),IF(NOT(ISNUMBER(KOL_Source_Data!$AE$7)),"N/A",IF(KOL_Source_Data!$AD$7&lt;&gt;Brand_Profile!$F$14,Lookup_Lists!$D$151,MIN(100,ROUND(KOL_Source_Data!$AE$7/Lookup_Lists!$D$316*100,0))))*Lookup_Lists!$D$118,0)+IF(ISNUMBER(IF(NOT(ISNUMBER(KOL_Source_Data!$AM$7)),"N/A",MIN(100,ROUND((IF(KOL_Source_Data!$AG$7=Brand_Profile!$F$15,IF(ISNUMBER(KOL_Source_Data!$AH$7),KOL_Source_Data!$AH$7,0),0)+IF(KOL_Source_Data!$AI$7=Brand_Profile!$F$15,IF(ISNUMBER(KOL_Source_Data!$AJ$7),KOL_Source_Data!$AJ$7,0),0)+IF(KOL_Source_Data!$AK$7=Brand_Profile!$F$15,IF(ISNUMBER(KOL_Source_Data!$AL$7),KOL_Source_Data!$AL$7,0),0))/Lookup_Lists!$D$317*100,0)))),IF(NOT(ISNUMBER(KOL_Source_Data!$AM$7)),"N/A",MIN(100,ROUND((IF(KOL_Source_Data!$AG$7=Brand_Profile!$F$15,IF(ISNUMBER(KOL_Source_Data!$AH$7),KOL_Source_Data!$AH$7,0),0)+IF(KOL_Source_Data!$AI$7=Brand_Profile!$F$15,IF(ISNUMBER(KOL_Source_Data!$AJ$7),KOL_Source_Data!$AJ$7,0),0)+IF(KOL_Source_Data!$AK$7=Brand_Profile!$F$15,IF(ISNUMBER(KOL_Source_Data!$AL$7),KOL_Source_Data!$AL$7,0),0))/Lookup_Lists!$D$317*100,0)))*Lookup_Lists!$D$120,0))/(IF(ISNUMBER(IF(NOT(ISNUMBER(KOL_Source_Data!$AE$7)),"N/A",IF(KOL_Source_Data!$AD$7&lt;&gt;Brand_Profile!$F$14,Lookup_Lists!$D$151,MIN(100,ROUND(KOL_Source_Data!$AE$7/Lookup_Lists!$D$316*100,0))))),Lookup_Lists!$D$118,0)+IF(ISNUMBER(IF(NOT(ISNUMBER(KOL_Source_Data!$AM$7)),"N/A",MIN(100,ROUND((IF(KOL_Source_Data!$AG$7=Brand_Profile!$F$15,IF(ISNUMBER(KOL_Source_Data!$AH$7),KOL_Source_Data!$AH$7,0),0)+IF(KOL_Source_Data!$AI$7=Brand_Profile!$F$15,IF(ISNUMBER(KOL_Source_Data!$AJ$7),KOL_Source_Data!$AJ$7,0),0)+IF(KOL_Source_Data!$AK$7=Brand_Profile!$F$15,IF(ISNUMBER(KOL_Source_Data!$AL$7),KOL_Source_Data!$AL$7,0),0))/Lookup_Lists!$D$317*100,0)))),Lookup_Lists!$D$120,0)),0))</f>
      </c>
      <c r="R31" s="18">
        <f>IF(NOT(ISNUMBER(KOL_Source_Data!$AN$7)),"N/A",MIN(100,ROUND((IF(ISNUMBER(KOL_Source_Data!$AO$7),KOL_Source_Data!$AO$7*Brand_Profile!$F$17,0)+IF(ISNUMBER(KOL_Source_Data!$AP$7),KOL_Source_Data!$AP$7*Brand_Profile!$F$18,0)+IF(ISNUMBER(KOL_Source_Data!$AQ$7),KOL_Source_Data!$AQ$7*Brand_Profile!$F$19,0)+IF(ISNUMBER(KOL_Source_Data!$AR$7),KOL_Source_Data!$AR$7*Brand_Profile!$F$20,0)+IF(ISNUMBER(KOL_Source_Data!$AS$7),KOL_Source_Data!$AS$7*Brand_Profile!$F$21,0)+IF(ISNUMBER(KOL_Source_Data!$AT$7),KOL_Source_Data!$AT$7*Brand_Profile!$F$22,0)+IF(ISNUMBER(KOL_Source_Data!$AU$7),KOL_Source_Data!$AU$7*Brand_Profile!$F$23,0)+IF(ISNUMBER(KOL_Source_Data!$AV$7),KOL_Source_Data!$AV$7*Brand_Profile!$F$24,0)+IF(ISNUMBER(KOL_Source_Data!$AW$7),KOL_Source_Data!$AW$7*Brand_Profile!$F$25,0)+IF(ISNUMBER(KOL_Source_Data!$AX$7),KOL_Source_Data!$AX$7*Brand_Profile!$F$26,0)+IF(ISNUMBER(KOL_Source_Data!$AY$7),KOL_Source_Data!$AY$7*Brand_Profile!$F$27,0)+IF(ISNUMBER(KOL_Source_Data!$AZ$7),KOL_Source_Data!$AZ$7*Brand_Profile!$F$28,0)+IF(ISNUMBER(KOL_Source_Data!$BA$7),KOL_Source_Data!$BA$7*Brand_Profile!$F$29,0)+IF(ISNUMBER(KOL_Source_Data!$BB$7),KOL_Source_Data!$BB$7*Brand_Profile!$F$30,0)+IF(ISNUMBER(KOL_Source_Data!$BC$7),KOL_Source_Data!$BC$7*Brand_Profile!$F$31,0)+IF(ISNUMBER(KOL_Source_Data!$BD$7),KOL_Source_Data!$BD$7*Brand_Profile!$F$32,0)+IF(ISNUMBER(KOL_Source_Data!$BE$7),KOL_Source_Data!$BE$7*Brand_Profile!$F$33,0)+IF(ISNUMBER(KOL_Source_Data!$BF$7),KOL_Source_Data!$BF$7*Brand_Profile!$F$34,0))/Lookup_Lists!$D$318*100,0)))</f>
      </c>
      <c r="S31" s="29">
        <f>IF((IF(ISNUMBER(Matching_Engine!$O$31),Lookup_Lists!$D$113,0)+IF(ISNUMBER(Matching_Engine!$P$31),Lookup_Lists!$D$114,0)+IF(ISNUMBER(Matching_Engine!$Q$31),Lookup_Lists!$D$115,0)+IF(ISNUMBER(Matching_Engine!$R$31),Lookup_Lists!$D$116,0))=0,"N/A",ROUND((IF(ISNUMBER(Matching_Engine!$O$31),Matching_Engine!$O$31*Lookup_Lists!$D$113,0)+IF(ISNUMBER(Matching_Engine!$P$31),Matching_Engine!$P$31*Lookup_Lists!$D$114,0)+IF(ISNUMBER(Matching_Engine!$Q$31),Matching_Engine!$Q$31*Lookup_Lists!$D$115,0)+IF(ISNUMBER(Matching_Engine!$R$31),Matching_Engine!$R$31*Lookup_Lists!$D$116,0))/(IF(ISNUMBER(Matching_Engine!$O$31),Lookup_Lists!$D$113,0)+IF(ISNUMBER(Matching_Engine!$P$31),Lookup_Lists!$D$114,0)+IF(ISNUMBER(Matching_Engine!$Q$31),Lookup_Lists!$D$115,0)+IF(ISNUMBER(Matching_Engine!$R$31),Lookup_Lists!$D$116,0)),0))</f>
      </c>
      <c r="T31" s="11">
        <f>IF(ISNUMBER(Matching_Engine!$S$31),1,0)</f>
      </c>
      <c r="U31" s="18">
        <f>IF(NOT(AND(ISTEXT(KOL_Source_Data!$M$7),KOL_Source_Data!$M$7&lt;&gt;"N/A")),Lookup_Lists!$D$150,IF(Brand_Profile!$F$7=KOL_Source_Data!$M$7,100,IFERROR(INDEX(Lookup_Lists!$B$349:$J$357,MATCH(Brand_Profile!$F$7,Lookup_Lists!$A$349:$A$357,0),MATCH(KOL_Source_Data!$M$7,Lookup_Lists!$B$348:$J$348,0)),Lookup_Lists!$D$151)))</f>
      </c>
      <c r="V31" s="18">
        <f>IF(NOT(AND(ISTEXT(KOL_Source_Data!$P$7),KOL_Source_Data!$P$7&lt;&gt;"N/A")),"N/A",IFERROR(INDEX(Lookup_Lists!$B$349:$J$357,MATCH(Brand_Profile!$F$7,Lookup_Lists!$A$349:$A$357,0),MATCH(KOL_Source_Data!$P$7,Lookup_Lists!$B$348:$J$348,0)),Lookup_Lists!$D$151))</f>
      </c>
      <c r="W31" s="18">
        <f>IF(LEN(TRIM(SUBSTITUTE(Matching_Engine!$BE$31,"|","")))=0,"N/A",IF(Brand_Profile!$F$60=0,Lookup_Lists!$D$150,ROUND((IF(Brand_Profile!$F$54="",0,IF(ISNUMBER(SEARCH(Brand_Profile!$F$54,Matching_Engine!$BE$31)),1,0))+IF(Brand_Profile!$F$55="",0,IF(ISNUMBER(SEARCH(Brand_Profile!$F$55,Matching_Engine!$BE$31)),1,0))+IF(Brand_Profile!$F$56="",0,IF(ISNUMBER(SEARCH(Brand_Profile!$F$56,Matching_Engine!$BE$31)),1,0))+IF(Brand_Profile!$F$57="",0,IF(ISNUMBER(SEARCH(Brand_Profile!$F$57,Matching_Engine!$BE$31)),1,0))+IF(Brand_Profile!$F$58="",0,IF(ISNUMBER(SEARCH(Brand_Profile!$F$58,Matching_Engine!$BE$31)),1,0))+IF(Brand_Profile!$F$59="",0,IF(ISNUMBER(SEARCH(Brand_Profile!$F$59,Matching_Engine!$BE$31)),1,0)))/Brand_Profile!$F$60*100,0)))</f>
      </c>
      <c r="X31" s="18">
        <f>IF(NOT(AND(ISTEXT(KOL_Source_Data!$Q$7),KOL_Source_Data!$Q$7&lt;&gt;"N/A")),"N/A",Lookup_Lists!$D$150)</f>
      </c>
      <c r="Y31" s="29">
        <f>IF((IF(ISNUMBER(Matching_Engine!$U$31),Lookup_Lists!$D$335,0)+IF(ISNUMBER(Matching_Engine!$V$31),Lookup_Lists!$D$122,0)+IF(ISNUMBER(Matching_Engine!$W$31),Lookup_Lists!$D$336,0)+IF(ISNUMBER(Matching_Engine!$X$31),Lookup_Lists!$D$124,0))=0,"N/A",ROUND((IF(ISNUMBER(Matching_Engine!$U$31),Matching_Engine!$U$31*Lookup_Lists!$D$335,0)+IF(ISNUMBER(Matching_Engine!$V$31),Matching_Engine!$V$31*Lookup_Lists!$D$122,0)+IF(ISNUMBER(Matching_Engine!$W$31),Matching_Engine!$W$31*Lookup_Lists!$D$336,0)+IF(ISNUMBER(Matching_Engine!$X$31),Matching_Engine!$X$31*Lookup_Lists!$D$124,0))/(IF(ISNUMBER(Matching_Engine!$U$31),Lookup_Lists!$D$335,0)+IF(ISNUMBER(Matching_Engine!$V$31),Lookup_Lists!$D$122,0)+IF(ISNUMBER(Matching_Engine!$W$31),Lookup_Lists!$D$336,0)+IF(ISNUMBER(Matching_Engine!$X$31),Lookup_Lists!$D$124,0)),0))</f>
      </c>
      <c r="Z31" s="11">
        <f>IF(ISNUMBER(Matching_Engine!$Y$31),1,0)</f>
      </c>
      <c r="AA31" s="18">
        <f>IF(NOT(AND(ISTEXT(KOL_Source_Data!$Q$7),KOL_Source_Data!$Q$7&lt;&gt;"N/A")),"N/A",Lookup_Lists!$D$150)</f>
      </c>
      <c r="AB31" s="18">
        <f>IF(NOT(AND(ISTEXT(KOL_Source_Data!$Q$7),KOL_Source_Data!$Q$7&lt;&gt;"N/A")),"N/A",Lookup_Lists!$D$150)</f>
      </c>
      <c r="AC31" s="18">
        <f>"N/A"</f>
      </c>
      <c r="AD31" s="18">
        <f>IF(NOT(AND(ISTEXT(KOL_Source_Data!$Q$7),KOL_Source_Data!$Q$7&lt;&gt;"N/A")),"N/A",Lookup_Lists!$D$150)</f>
      </c>
      <c r="AE31" s="29">
        <f>IF((IF(ISNUMBER(Matching_Engine!$AA$31),Lookup_Lists!$D$125,0)+IF(ISNUMBER(Matching_Engine!$AB$31),Lookup_Lists!$D$126,0)+IF(ISNUMBER(Matching_Engine!$AC$31),Lookup_Lists!$D$127,0)+IF(ISNUMBER(Matching_Engine!$AD$31),Lookup_Lists!$D$128,0))=0,"N/A",ROUND((IF(ISNUMBER(Matching_Engine!$AA$31),Matching_Engine!$AA$31*Lookup_Lists!$D$125,0)+IF(ISNUMBER(Matching_Engine!$AB$31),Matching_Engine!$AB$31*Lookup_Lists!$D$126,0)+IF(ISNUMBER(Matching_Engine!$AC$31),Matching_Engine!$AC$31*Lookup_Lists!$D$127,0)+IF(ISNUMBER(Matching_Engine!$AD$31),Matching_Engine!$AD$31*Lookup_Lists!$D$128,0))/(IF(ISNUMBER(Matching_Engine!$AA$31),Lookup_Lists!$D$125,0)+IF(ISNUMBER(Matching_Engine!$AB$31),Lookup_Lists!$D$126,0)+IF(ISNUMBER(Matching_Engine!$AC$31),Lookup_Lists!$D$127,0)+IF(ISNUMBER(Matching_Engine!$AD$31),Lookup_Lists!$D$128,0)),0))</f>
      </c>
      <c r="AF31" s="11">
        <f>IF(ISNUMBER(Matching_Engine!$AE$31),1,0)</f>
      </c>
      <c r="AG31" s="18">
        <f>IF(NOT(ISNUMBER(KOL_Source_Data!$BG$7)),"N/A",MIN(100,ROUND(KOL_Source_Data!$BG$7/IFERROR(INDEX(Lookup_Lists!$B$340:$B$344,MATCH(KOL_Source_Data!$H$7,Lookup_Lists!$A$340:$A$344,0)),Lookup_Lists!$D$141)*100,0)))</f>
      </c>
      <c r="AH31" s="18">
        <f>IF(NOT(ISNUMBER(KOL_Source_Data!$BS$7)),"N/A",MIN(100,MAX(0,KOL_Source_Data!$BS$7)))</f>
      </c>
      <c r="AI31" s="18">
        <f>IF(OR(NOT(ISNUMBER(KOL_Source_Data!$BM$7)),NOT(ISNUMBER(KOL_Source_Data!$BN$7)),KOL_Source_Data!$BN$7&lt;Lookup_Lists!$D$320),"N/A",MIN(100,ROUND(KOL_Source_Data!$BM$7/Lookup_Lists!$D$319*100,0)))</f>
      </c>
      <c r="AJ31" s="18">
        <f>IF(NOT(ISNUMBER(KOL_Source_Data!$BR$7)),"N/A",KOL_Source_Data!$BR$7)</f>
      </c>
      <c r="AK31" s="18">
        <f>IF(NOT(ISNUMBER(KOL_Source_Data!$BK$7)),"N/A",MIN(100,ROUND(KOL_Source_Data!$BK$7/Lookup_Lists!$D$321*100,0)))</f>
      </c>
      <c r="AL31" s="18">
        <f>IF(NOT(ISNUMBER(KOL_Source_Data!$BP$7)),"N/A",MIN(100,MAX(0,ROUND((KOL_Source_Data!$BP$7+2)/(Lookup_Lists!$D$145+2)*100,0))))</f>
      </c>
      <c r="AM31" s="29">
        <f>IF((IF(ISNUMBER(Matching_Engine!$AG$31),Lookup_Lists!$D$129,0)+IF(ISNUMBER(Matching_Engine!$AH$31),Lookup_Lists!$D$130,0)+IF(ISNUMBER(Matching_Engine!$AI$31),Lookup_Lists!$D$131,0)+IF(ISNUMBER(Matching_Engine!$AJ$31),Lookup_Lists!$D$132,0)+IF(ISNUMBER(Matching_Engine!$AK$31),Lookup_Lists!$D$133,0)+IF(ISNUMBER(Matching_Engine!$AL$31),Lookup_Lists!$D$134,0))=0,"N/A",ROUND((IF(ISNUMBER(Matching_Engine!$AG$31),Matching_Engine!$AG$31*Lookup_Lists!$D$129,0)+IF(ISNUMBER(Matching_Engine!$AH$31),Matching_Engine!$AH$31*Lookup_Lists!$D$130,0)+IF(ISNUMBER(Matching_Engine!$AI$31),Matching_Engine!$AI$31*Lookup_Lists!$D$131,0)+IF(ISNUMBER(Matching_Engine!$AJ$31),Matching_Engine!$AJ$31*Lookup_Lists!$D$132,0)+IF(ISNUMBER(Matching_Engine!$AK$31),Matching_Engine!$AK$31*Lookup_Lists!$D$133,0)+IF(ISNUMBER(Matching_Engine!$AL$31),Matching_Engine!$AL$31*Lookup_Lists!$D$134,0))/(IF(ISNUMBER(Matching_Engine!$AG$31),Lookup_Lists!$D$129,0)+IF(ISNUMBER(Matching_Engine!$AH$31),Lookup_Lists!$D$130,0)+IF(ISNUMBER(Matching_Engine!$AI$31),Lookup_Lists!$D$131,0)+IF(ISNUMBER(Matching_Engine!$AJ$31),Lookup_Lists!$D$132,0)+IF(ISNUMBER(Matching_Engine!$AK$31),Lookup_Lists!$D$133,0)+IF(ISNUMBER(Matching_Engine!$AL$31),Lookup_Lists!$D$134,0)),0))</f>
      </c>
      <c r="AN31" s="11">
        <f>IF(ISNUMBER(Matching_Engine!$AM$31),1,0)</f>
      </c>
      <c r="AO31" s="18">
        <f>IF(NOT(ISNUMBER(KOL_Source_Data!$BT$7)),"N/A",MIN(100,MAX(0,KOL_Source_Data!$BT$7)))</f>
      </c>
      <c r="AP31" s="18">
        <f>IF(NOT(ISNUMBER(KOL_Source_Data!$BU$7)),"N/A",MIN(100,MAX(0,KOL_Source_Data!$BU$7)))</f>
      </c>
      <c r="AQ31" s="18">
        <f>IF(KOL_Source_Data!$I$7="Yes",Lookup_Lists!$D$326,IF(KOL_Source_Data!$I$7="No",Lookup_Lists!$D$327,"N/A"))</f>
      </c>
      <c r="AR31" s="18">
        <f>IF(NOT(ISNUMBER(KOL_Source_Data!$BQ$7)),"N/A",MAX(0,ROUND(100-KOL_Source_Data!$BQ$7/Lookup_Lists!$D$328*100,0)))</f>
      </c>
      <c r="AS31" s="18">
        <f>IF(NOT(AND(ISTEXT(KOL_Source_Data!$BV$7),KOL_Source_Data!$BV$7&lt;&gt;"N/A")),"N/A",KOL_Source_Data!$BV$7)</f>
      </c>
      <c r="AT31" s="29">
        <f>IF((IF(ISNUMBER(Matching_Engine!$AO$31),Lookup_Lists!$D$322,0)+IF(ISNUMBER(Matching_Engine!$AP$31),Lookup_Lists!$D$323,0)+IF(ISNUMBER(Matching_Engine!$AQ$31),Lookup_Lists!$D$324,0)+IF(ISNUMBER(Matching_Engine!$AR$31),Lookup_Lists!$D$325,0))=0,"N/A",ROUND((IF(ISNUMBER(Matching_Engine!$AO$31),Matching_Engine!$AO$31*Lookup_Lists!$D$322,0)+IF(ISNUMBER(Matching_Engine!$AP$31),Matching_Engine!$AP$31*Lookup_Lists!$D$323,0)+IF(ISNUMBER(Matching_Engine!$AQ$31),Matching_Engine!$AQ$31*Lookup_Lists!$D$324,0)+IF(ISNUMBER(Matching_Engine!$AR$31),Matching_Engine!$AR$31*Lookup_Lists!$D$325,0))/(IF(ISNUMBER(Matching_Engine!$AO$31),Lookup_Lists!$D$322,0)+IF(ISNUMBER(Matching_Engine!$AP$31),Lookup_Lists!$D$323,0)+IF(ISNUMBER(Matching_Engine!$AQ$31),Lookup_Lists!$D$324,0)+IF(ISNUMBER(Matching_Engine!$AR$31),Lookup_Lists!$D$325,0)),0))</f>
      </c>
      <c r="AU31" s="11">
        <f>IF(ISNUMBER(Matching_Engine!$AT$31),1,0)</f>
      </c>
      <c r="AV31" s="11">
        <f>IF(NOT(ISNUMBER(Matching_Engine!$AT$31)),"Not Screened",IF(Matching_Engine!$AT$31&gt;=Lookup_Lists!$D$329,"Low Risk",IF(Matching_Engine!$AT$31&gt;=Lookup_Lists!$D$330,"Moderate Risk",IF(Matching_Engine!$AT$31&gt;=Lookup_Lists!$D$331,"Elevated Risk","High Risk"))))</f>
      </c>
      <c r="AW31" s="11">
        <f>IF(NOT(ISNUMBER(Matching_Engine!$AT$31)),"No integrity signal: no audience-analysis row for this account.","Integrity screen only — no content-risk reading exists (comments_analysis: 0 rows). "&amp;IF(ISNUMBER(Matching_Engine!$AO$31),"Authenticity "&amp;Matching_Engine!$AO$31&amp;". ","Authenticity N/A. ")&amp;IF(ISNUMBER(Matching_Engine!$AP$31),"Follower quality "&amp;Matching_Engine!$AP$31&amp;". ","Follower quality N/A. ")&amp;IF(KOL_Source_Data!$I$7="Yes","Platform-verified.","Not platform-verified."))</f>
      </c>
      <c r="AX31" s="18">
        <f>Matching_Engine!$N$31*Lookup_Lists!$D$104+Matching_Engine!$T$31*Lookup_Lists!$D$105+Matching_Engine!$Z$31*Lookup_Lists!$D$106+Matching_Engine!$AF$31*Lookup_Lists!$D$107+Matching_Engine!$AN$31*Lookup_Lists!$D$108+Matching_Engine!$AU$31*Lookup_Lists!$D$109</f>
      </c>
      <c r="AY31" s="30">
        <f>IF(Matching_Engine!$AX$31=0,"N/A",ROUND((IF(Matching_Engine!$N$31=1,Matching_Engine!$M$31*Lookup_Lists!$D$104,0)+IF(Matching_Engine!$T$31=1,Matching_Engine!$S$31*Lookup_Lists!$D$105,0)+IF(Matching_Engine!$Z$31=1,Matching_Engine!$Y$31*Lookup_Lists!$D$106,0)+IF(Matching_Engine!$AF$31=1,Matching_Engine!$AE$31*Lookup_Lists!$D$107,0)+IF(Matching_Engine!$AN$31=1,Matching_Engine!$AM$31*Lookup_Lists!$D$108,0)+IF(Matching_Engine!$AU$31=1,Matching_Engine!$AT$31*Lookup_Lists!$D$109,0))/Matching_Engine!$AX$31,0))</f>
      </c>
      <c r="AZ31" s="11">
        <f>IF(NOT(ISNUMBER(Matching_Engine!$AY$31)),"Not Scored",IF(Matching_Engine!$AY$31&gt;=Lookup_Lists!$D$152,"Excellent Match",IF(Matching_Engine!$AY$31&gt;=Lookup_Lists!$D$153,"Strong Match",IF(Matching_Engine!$AY$31&gt;=Lookup_Lists!$D$154,"Good Match",IF(Matching_Engine!$AY$31&gt;=Lookup_Lists!$D$155,"Moderate Match","Low Match")))))</f>
      </c>
      <c r="BA31" s="18">
        <f>KOL_Source_Data!$BW$7</f>
      </c>
      <c r="BB31" s="11">
        <f>KOL_Source_Data!$BX$7</f>
      </c>
      <c r="BC31" s="18">
        <f>IF(NOT(ISNUMBER(Matching_Engine!$AY$31)),-1,Matching_Engine!$AY$31*1000+23)</f>
      </c>
      <c r="BD31" s="11">
        <f>IF(AND(ISTEXT(KOL_Source_Data!$S$7),KOL_Source_Data!$S$7&lt;&gt;"N/A"),KOL_Source_Data!$S$7,"")&amp;" | "&amp;IF(AND(ISTEXT(KOL_Source_Data!$T$7),KOL_Source_Data!$T$7&lt;&gt;"N/A"),KOL_Source_Data!$T$7,"")&amp;" | "&amp;IF(AND(ISTEXT(KOL_Source_Data!$N$7),KOL_Source_Data!$N$7&lt;&gt;"N/A"),KOL_Source_Data!$N$7,"")&amp;" | "&amp;IF(AND(ISTEXT(KOL_Source_Data!$K$7),KOL_Source_Data!$K$7&lt;&gt;"N/A"),KOL_Source_Data!$K$7,"")&amp;" | "&amp;IF(AND(ISTEXT(KOL_Source_Data!$J$7),KOL_Source_Data!$J$7&lt;&gt;"N/A"),KOL_Source_Data!$J$7,"")</f>
      </c>
      <c r="BE31" s="11">
        <f>IF(AND(ISTEXT(KOL_Source_Data!$T$7),KOL_Source_Data!$T$7&lt;&gt;"N/A"),KOL_Source_Data!$T$7,"")&amp;" | "&amp;IF(AND(ISTEXT(KOL_Source_Data!$N$7),KOL_Source_Data!$N$7&lt;&gt;"N/A"),KOL_Source_Data!$N$7,"")&amp;" | "&amp;IF(AND(ISTEXT(KOL_Source_Data!$O$7),KOL_Source_Data!$O$7&lt;&gt;"N/A"),KOL_Source_Data!$O$7,"")&amp;" | "&amp;IF(AND(ISTEXT(KOL_Source_Data!$S$7),KOL_Source_Data!$S$7&lt;&gt;"N/A"),KOL_Source_Data!$S$7,"")</f>
      </c>
      <c r="BF31" s="11">
        <f>IF(AND(ISTEXT(KOL_Source_Data!$U$7),KOL_Source_Data!$U$7&lt;&gt;"N/A"),KOL_Source_Data!$U$7,"")</f>
      </c>
      <c r="BG31" s="11">
        <f>Matching_Engine!$A$31&amp;"|"&amp;Matching_Engine!$C$31</f>
      </c>
    </row>
    <row r="32" spans="1:59" x14ac:dyDescent="0.25">
      <c r="A32" s="10" t="s">
        <v>391</v>
      </c>
      <c r="B32" s="11">
        <f>Brand_Profile!$F$6</f>
      </c>
      <c r="C32" s="11">
        <f>KOL_Source_Data!$A$8</f>
      </c>
      <c r="D32" s="11">
        <f>KOL_Source_Data!$C$8</f>
      </c>
      <c r="E32" s="11">
        <f>KOL_Source_Data!$D$8</f>
      </c>
      <c r="F32" s="11">
        <f>KOL_Source_Data!$E$8</f>
      </c>
      <c r="G32" s="11">
        <f>KOL_Source_Data!$K$8</f>
      </c>
      <c r="H32" s="12">
        <f>KOL_Source_Data!$G$8</f>
      </c>
      <c r="I32" s="14">
        <f>KOL_Source_Data!$BG$8</f>
      </c>
      <c r="J32" s="18">
        <f>IF(NOT(AND(ISTEXT(KOL_Source_Data!$K$8),KOL_Source_Data!$K$8&lt;&gt;"N/A")),Lookup_Lists!$D$150,IF(Brand_Profile!$F$7=KOL_Source_Data!$K$8,100,IFERROR(INDEX(Lookup_Lists!$B$349:$J$357,MATCH(Brand_Profile!$F$7,Lookup_Lists!$A$349:$A$357,0),MATCH(KOL_Source_Data!$K$8,Lookup_Lists!$B$348:$J$348,0)),Lookup_Lists!$D$151)))</f>
      </c>
      <c r="K32" s="18">
        <f>IF(LEN(TRIM(SUBSTITUTE(Matching_Engine!$BD$32,"|","")))=0,"N/A",IF(Brand_Profile!$F$47=0,Lookup_Lists!$D$150,ROUND((IF(Brand_Profile!$F$41="",0,IF(ISNUMBER(SEARCH(Brand_Profile!$F$41,Matching_Engine!$BD$32)),1,0))+IF(Brand_Profile!$F$42="",0,IF(ISNUMBER(SEARCH(Brand_Profile!$F$42,Matching_Engine!$BD$32)),1,0))+IF(Brand_Profile!$F$43="",0,IF(ISNUMBER(SEARCH(Brand_Profile!$F$43,Matching_Engine!$BD$32)),1,0))+IF(Brand_Profile!$F$44="",0,IF(ISNUMBER(SEARCH(Brand_Profile!$F$44,Matching_Engine!$BD$32)),1,0))+IF(Brand_Profile!$F$45="",0,IF(ISNUMBER(SEARCH(Brand_Profile!$F$45,Matching_Engine!$BD$32)),1,0))+IF(Brand_Profile!$F$46="",0,IF(ISNUMBER(SEARCH(Brand_Profile!$F$46,Matching_Engine!$BD$32)),1,0)))/Brand_Profile!$F$47*100,0)))</f>
      </c>
      <c r="L32" s="18">
        <f>IF(NOT(AND(ISTEXT(KOL_Source_Data!$U$8),KOL_Source_Data!$U$8&lt;&gt;"N/A")),"N/A",IF(Brand_Profile!$F$53=0,Lookup_Lists!$D$150,ROUND((IF(Brand_Profile!$F$48="",0,IF(ISNUMBER(SEARCH(Brand_Profile!$F$48,Matching_Engine!$BF$32)),1,0))+IF(Brand_Profile!$F$49="",0,IF(ISNUMBER(SEARCH(Brand_Profile!$F$49,Matching_Engine!$BF$32)),1,0))+IF(Brand_Profile!$F$50="",0,IF(ISNUMBER(SEARCH(Brand_Profile!$F$50,Matching_Engine!$BF$32)),1,0))+IF(Brand_Profile!$F$51="",0,IF(ISNUMBER(SEARCH(Brand_Profile!$F$51,Matching_Engine!$BF$32)),1,0))+IF(Brand_Profile!$F$52="",0,IF(ISNUMBER(SEARCH(Brand_Profile!$F$52,Matching_Engine!$BF$32)),1,0)))/Brand_Profile!$F$53*100,0)))</f>
      </c>
      <c r="M32" s="29">
        <f>IF((IF(ISNUMBER(Matching_Engine!$J$32),Lookup_Lists!$D$332,0)+IF(ISNUMBER(Matching_Engine!$K$32),Lookup_Lists!$D$333,0)+IF(ISNUMBER(Matching_Engine!$L$32),Lookup_Lists!$D$334,0))=0,"N/A",ROUND((IF(ISNUMBER(Matching_Engine!$J$32),Matching_Engine!$J$32*Lookup_Lists!$D$332,0)+IF(ISNUMBER(Matching_Engine!$K$32),Matching_Engine!$K$32*Lookup_Lists!$D$333,0)+IF(ISNUMBER(Matching_Engine!$L$32),Matching_Engine!$L$32*Lookup_Lists!$D$334,0))/(IF(ISNUMBER(Matching_Engine!$J$32),Lookup_Lists!$D$332,0)+IF(ISNUMBER(Matching_Engine!$K$32),Lookup_Lists!$D$333,0)+IF(ISNUMBER(Matching_Engine!$L$32),Lookup_Lists!$D$334,0)),0))</f>
      </c>
      <c r="N32" s="11">
        <f>IF(ISNUMBER(Matching_Engine!$M$32),1,0)</f>
      </c>
      <c r="O32" s="18">
        <f>IF(NOT(ISNUMBER(IFERROR(INDEX(KOL_Source_Data!$V$8:KOL_Source_Data!$Z$8,1,MATCH(Brand_Profile!$F$11,Lookup_Lists!$F$6:$F$10,0)),""))),"N/A",MIN(100,ROUND((IFERROR(INDEX(KOL_Source_Data!$V$8:KOL_Source_Data!$Z$8,1,MATCH(Brand_Profile!$F$11,Lookup_Lists!$F$6:$F$10,0)),"")+0.5*IF(ISNUMBER(IFERROR(INDEX(KOL_Source_Data!$V$8:KOL_Source_Data!$Z$8,1,MATCH(Brand_Profile!$F$12,Lookup_Lists!$F$6:$F$10,0)),"")),IFERROR(INDEX(KOL_Source_Data!$V$8:KOL_Source_Data!$Z$8,1,MATCH(Brand_Profile!$F$12,Lookup_Lists!$F$6:$F$10,0)),""),0))/Lookup_Lists!$D$142*100,0)))</f>
      </c>
      <c r="P32" s="18">
        <f>IF(Brand_Profile!$F$13="Any",100,IF(NOT(ISNUMBER(KOL_Source_Data!$AA$8)),"N/A",IF(Brand_Profile!$F$13="Female",MIN(100,ROUND(KOL_Source_Data!$AA$8/Lookup_Lists!$D$143*100,0)),IF(Brand_Profile!$F$13="Male",MIN(100,ROUND(IF(ISNUMBER(KOL_Source_Data!$AB$8),KOL_Source_Data!$AB$8,100-KOL_Source_Data!$AA$8)/Lookup_Lists!$D$143*100,0)),MAX(0,ROUND(100-ABS(KOL_Source_Data!$AA$8-50)*2,0))))))</f>
      </c>
      <c r="Q32" s="18">
        <f>IF((IF(ISNUMBER(IF(NOT(ISNUMBER(KOL_Source_Data!$AE$8)),"N/A",IF(KOL_Source_Data!$AD$8&lt;&gt;Brand_Profile!$F$14,Lookup_Lists!$D$151,MIN(100,ROUND(KOL_Source_Data!$AE$8/Lookup_Lists!$D$316*100,0))))),Lookup_Lists!$D$118,0)+IF(ISNUMBER(IF(NOT(ISNUMBER(KOL_Source_Data!$AM$8)),"N/A",MIN(100,ROUND((IF(KOL_Source_Data!$AG$8=Brand_Profile!$F$15,IF(ISNUMBER(KOL_Source_Data!$AH$8),KOL_Source_Data!$AH$8,0),0)+IF(KOL_Source_Data!$AI$8=Brand_Profile!$F$15,IF(ISNUMBER(KOL_Source_Data!$AJ$8),KOL_Source_Data!$AJ$8,0),0)+IF(KOL_Source_Data!$AK$8=Brand_Profile!$F$15,IF(ISNUMBER(KOL_Source_Data!$AL$8),KOL_Source_Data!$AL$8,0),0))/Lookup_Lists!$D$317*100,0)))),Lookup_Lists!$D$120,0))=0,"N/A",ROUND((IF(ISNUMBER(IF(NOT(ISNUMBER(KOL_Source_Data!$AE$8)),"N/A",IF(KOL_Source_Data!$AD$8&lt;&gt;Brand_Profile!$F$14,Lookup_Lists!$D$151,MIN(100,ROUND(KOL_Source_Data!$AE$8/Lookup_Lists!$D$316*100,0))))),IF(NOT(ISNUMBER(KOL_Source_Data!$AE$8)),"N/A",IF(KOL_Source_Data!$AD$8&lt;&gt;Brand_Profile!$F$14,Lookup_Lists!$D$151,MIN(100,ROUND(KOL_Source_Data!$AE$8/Lookup_Lists!$D$316*100,0))))*Lookup_Lists!$D$118,0)+IF(ISNUMBER(IF(NOT(ISNUMBER(KOL_Source_Data!$AM$8)),"N/A",MIN(100,ROUND((IF(KOL_Source_Data!$AG$8=Brand_Profile!$F$15,IF(ISNUMBER(KOL_Source_Data!$AH$8),KOL_Source_Data!$AH$8,0),0)+IF(KOL_Source_Data!$AI$8=Brand_Profile!$F$15,IF(ISNUMBER(KOL_Source_Data!$AJ$8),KOL_Source_Data!$AJ$8,0),0)+IF(KOL_Source_Data!$AK$8=Brand_Profile!$F$15,IF(ISNUMBER(KOL_Source_Data!$AL$8),KOL_Source_Data!$AL$8,0),0))/Lookup_Lists!$D$317*100,0)))),IF(NOT(ISNUMBER(KOL_Source_Data!$AM$8)),"N/A",MIN(100,ROUND((IF(KOL_Source_Data!$AG$8=Brand_Profile!$F$15,IF(ISNUMBER(KOL_Source_Data!$AH$8),KOL_Source_Data!$AH$8,0),0)+IF(KOL_Source_Data!$AI$8=Brand_Profile!$F$15,IF(ISNUMBER(KOL_Source_Data!$AJ$8),KOL_Source_Data!$AJ$8,0),0)+IF(KOL_Source_Data!$AK$8=Brand_Profile!$F$15,IF(ISNUMBER(KOL_Source_Data!$AL$8),KOL_Source_Data!$AL$8,0),0))/Lookup_Lists!$D$317*100,0)))*Lookup_Lists!$D$120,0))/(IF(ISNUMBER(IF(NOT(ISNUMBER(KOL_Source_Data!$AE$8)),"N/A",IF(KOL_Source_Data!$AD$8&lt;&gt;Brand_Profile!$F$14,Lookup_Lists!$D$151,MIN(100,ROUND(KOL_Source_Data!$AE$8/Lookup_Lists!$D$316*100,0))))),Lookup_Lists!$D$118,0)+IF(ISNUMBER(IF(NOT(ISNUMBER(KOL_Source_Data!$AM$8)),"N/A",MIN(100,ROUND((IF(KOL_Source_Data!$AG$8=Brand_Profile!$F$15,IF(ISNUMBER(KOL_Source_Data!$AH$8),KOL_Source_Data!$AH$8,0),0)+IF(KOL_Source_Data!$AI$8=Brand_Profile!$F$15,IF(ISNUMBER(KOL_Source_Data!$AJ$8),KOL_Source_Data!$AJ$8,0),0)+IF(KOL_Source_Data!$AK$8=Brand_Profile!$F$15,IF(ISNUMBER(KOL_Source_Data!$AL$8),KOL_Source_Data!$AL$8,0),0))/Lookup_Lists!$D$317*100,0)))),Lookup_Lists!$D$120,0)),0))</f>
      </c>
      <c r="R32" s="18">
        <f>IF(NOT(ISNUMBER(KOL_Source_Data!$AN$8)),"N/A",MIN(100,ROUND((IF(ISNUMBER(KOL_Source_Data!$AO$8),KOL_Source_Data!$AO$8*Brand_Profile!$F$17,0)+IF(ISNUMBER(KOL_Source_Data!$AP$8),KOL_Source_Data!$AP$8*Brand_Profile!$F$18,0)+IF(ISNUMBER(KOL_Source_Data!$AQ$8),KOL_Source_Data!$AQ$8*Brand_Profile!$F$19,0)+IF(ISNUMBER(KOL_Source_Data!$AR$8),KOL_Source_Data!$AR$8*Brand_Profile!$F$20,0)+IF(ISNUMBER(KOL_Source_Data!$AS$8),KOL_Source_Data!$AS$8*Brand_Profile!$F$21,0)+IF(ISNUMBER(KOL_Source_Data!$AT$8),KOL_Source_Data!$AT$8*Brand_Profile!$F$22,0)+IF(ISNUMBER(KOL_Source_Data!$AU$8),KOL_Source_Data!$AU$8*Brand_Profile!$F$23,0)+IF(ISNUMBER(KOL_Source_Data!$AV$8),KOL_Source_Data!$AV$8*Brand_Profile!$F$24,0)+IF(ISNUMBER(KOL_Source_Data!$AW$8),KOL_Source_Data!$AW$8*Brand_Profile!$F$25,0)+IF(ISNUMBER(KOL_Source_Data!$AX$8),KOL_Source_Data!$AX$8*Brand_Profile!$F$26,0)+IF(ISNUMBER(KOL_Source_Data!$AY$8),KOL_Source_Data!$AY$8*Brand_Profile!$F$27,0)+IF(ISNUMBER(KOL_Source_Data!$AZ$8),KOL_Source_Data!$AZ$8*Brand_Profile!$F$28,0)+IF(ISNUMBER(KOL_Source_Data!$BA$8),KOL_Source_Data!$BA$8*Brand_Profile!$F$29,0)+IF(ISNUMBER(KOL_Source_Data!$BB$8),KOL_Source_Data!$BB$8*Brand_Profile!$F$30,0)+IF(ISNUMBER(KOL_Source_Data!$BC$8),KOL_Source_Data!$BC$8*Brand_Profile!$F$31,0)+IF(ISNUMBER(KOL_Source_Data!$BD$8),KOL_Source_Data!$BD$8*Brand_Profile!$F$32,0)+IF(ISNUMBER(KOL_Source_Data!$BE$8),KOL_Source_Data!$BE$8*Brand_Profile!$F$33,0)+IF(ISNUMBER(KOL_Source_Data!$BF$8),KOL_Source_Data!$BF$8*Brand_Profile!$F$34,0))/Lookup_Lists!$D$318*100,0)))</f>
      </c>
      <c r="S32" s="29">
        <f>IF((IF(ISNUMBER(Matching_Engine!$O$32),Lookup_Lists!$D$113,0)+IF(ISNUMBER(Matching_Engine!$P$32),Lookup_Lists!$D$114,0)+IF(ISNUMBER(Matching_Engine!$Q$32),Lookup_Lists!$D$115,0)+IF(ISNUMBER(Matching_Engine!$R$32),Lookup_Lists!$D$116,0))=0,"N/A",ROUND((IF(ISNUMBER(Matching_Engine!$O$32),Matching_Engine!$O$32*Lookup_Lists!$D$113,0)+IF(ISNUMBER(Matching_Engine!$P$32),Matching_Engine!$P$32*Lookup_Lists!$D$114,0)+IF(ISNUMBER(Matching_Engine!$Q$32),Matching_Engine!$Q$32*Lookup_Lists!$D$115,0)+IF(ISNUMBER(Matching_Engine!$R$32),Matching_Engine!$R$32*Lookup_Lists!$D$116,0))/(IF(ISNUMBER(Matching_Engine!$O$32),Lookup_Lists!$D$113,0)+IF(ISNUMBER(Matching_Engine!$P$32),Lookup_Lists!$D$114,0)+IF(ISNUMBER(Matching_Engine!$Q$32),Lookup_Lists!$D$115,0)+IF(ISNUMBER(Matching_Engine!$R$32),Lookup_Lists!$D$116,0)),0))</f>
      </c>
      <c r="T32" s="11">
        <f>IF(ISNUMBER(Matching_Engine!$S$32),1,0)</f>
      </c>
      <c r="U32" s="18">
        <f>IF(NOT(AND(ISTEXT(KOL_Source_Data!$M$8),KOL_Source_Data!$M$8&lt;&gt;"N/A")),Lookup_Lists!$D$150,IF(Brand_Profile!$F$7=KOL_Source_Data!$M$8,100,IFERROR(INDEX(Lookup_Lists!$B$349:$J$357,MATCH(Brand_Profile!$F$7,Lookup_Lists!$A$349:$A$357,0),MATCH(KOL_Source_Data!$M$8,Lookup_Lists!$B$348:$J$348,0)),Lookup_Lists!$D$151)))</f>
      </c>
      <c r="V32" s="18">
        <f>IF(NOT(AND(ISTEXT(KOL_Source_Data!$P$8),KOL_Source_Data!$P$8&lt;&gt;"N/A")),"N/A",IFERROR(INDEX(Lookup_Lists!$B$349:$J$357,MATCH(Brand_Profile!$F$7,Lookup_Lists!$A$349:$A$357,0),MATCH(KOL_Source_Data!$P$8,Lookup_Lists!$B$348:$J$348,0)),Lookup_Lists!$D$151))</f>
      </c>
      <c r="W32" s="18">
        <f>IF(LEN(TRIM(SUBSTITUTE(Matching_Engine!$BE$32,"|","")))=0,"N/A",IF(Brand_Profile!$F$60=0,Lookup_Lists!$D$150,ROUND((IF(Brand_Profile!$F$54="",0,IF(ISNUMBER(SEARCH(Brand_Profile!$F$54,Matching_Engine!$BE$32)),1,0))+IF(Brand_Profile!$F$55="",0,IF(ISNUMBER(SEARCH(Brand_Profile!$F$55,Matching_Engine!$BE$32)),1,0))+IF(Brand_Profile!$F$56="",0,IF(ISNUMBER(SEARCH(Brand_Profile!$F$56,Matching_Engine!$BE$32)),1,0))+IF(Brand_Profile!$F$57="",0,IF(ISNUMBER(SEARCH(Brand_Profile!$F$57,Matching_Engine!$BE$32)),1,0))+IF(Brand_Profile!$F$58="",0,IF(ISNUMBER(SEARCH(Brand_Profile!$F$58,Matching_Engine!$BE$32)),1,0))+IF(Brand_Profile!$F$59="",0,IF(ISNUMBER(SEARCH(Brand_Profile!$F$59,Matching_Engine!$BE$32)),1,0)))/Brand_Profile!$F$60*100,0)))</f>
      </c>
      <c r="X32" s="18">
        <f>IF(NOT(AND(ISTEXT(KOL_Source_Data!$Q$8),KOL_Source_Data!$Q$8&lt;&gt;"N/A")),"N/A",Lookup_Lists!$D$150)</f>
      </c>
      <c r="Y32" s="29">
        <f>IF((IF(ISNUMBER(Matching_Engine!$U$32),Lookup_Lists!$D$335,0)+IF(ISNUMBER(Matching_Engine!$V$32),Lookup_Lists!$D$122,0)+IF(ISNUMBER(Matching_Engine!$W$32),Lookup_Lists!$D$336,0)+IF(ISNUMBER(Matching_Engine!$X$32),Lookup_Lists!$D$124,0))=0,"N/A",ROUND((IF(ISNUMBER(Matching_Engine!$U$32),Matching_Engine!$U$32*Lookup_Lists!$D$335,0)+IF(ISNUMBER(Matching_Engine!$V$32),Matching_Engine!$V$32*Lookup_Lists!$D$122,0)+IF(ISNUMBER(Matching_Engine!$W$32),Matching_Engine!$W$32*Lookup_Lists!$D$336,0)+IF(ISNUMBER(Matching_Engine!$X$32),Matching_Engine!$X$32*Lookup_Lists!$D$124,0))/(IF(ISNUMBER(Matching_Engine!$U$32),Lookup_Lists!$D$335,0)+IF(ISNUMBER(Matching_Engine!$V$32),Lookup_Lists!$D$122,0)+IF(ISNUMBER(Matching_Engine!$W$32),Lookup_Lists!$D$336,0)+IF(ISNUMBER(Matching_Engine!$X$32),Lookup_Lists!$D$124,0)),0))</f>
      </c>
      <c r="Z32" s="11">
        <f>IF(ISNUMBER(Matching_Engine!$Y$32),1,0)</f>
      </c>
      <c r="AA32" s="18">
        <f>IF(NOT(AND(ISTEXT(KOL_Source_Data!$Q$8),KOL_Source_Data!$Q$8&lt;&gt;"N/A")),"N/A",Lookup_Lists!$D$150)</f>
      </c>
      <c r="AB32" s="18">
        <f>IF(NOT(AND(ISTEXT(KOL_Source_Data!$Q$8),KOL_Source_Data!$Q$8&lt;&gt;"N/A")),"N/A",Lookup_Lists!$D$150)</f>
      </c>
      <c r="AC32" s="18">
        <f>"N/A"</f>
      </c>
      <c r="AD32" s="18">
        <f>IF(NOT(AND(ISTEXT(KOL_Source_Data!$Q$8),KOL_Source_Data!$Q$8&lt;&gt;"N/A")),"N/A",Lookup_Lists!$D$150)</f>
      </c>
      <c r="AE32" s="29">
        <f>IF((IF(ISNUMBER(Matching_Engine!$AA$32),Lookup_Lists!$D$125,0)+IF(ISNUMBER(Matching_Engine!$AB$32),Lookup_Lists!$D$126,0)+IF(ISNUMBER(Matching_Engine!$AC$32),Lookup_Lists!$D$127,0)+IF(ISNUMBER(Matching_Engine!$AD$32),Lookup_Lists!$D$128,0))=0,"N/A",ROUND((IF(ISNUMBER(Matching_Engine!$AA$32),Matching_Engine!$AA$32*Lookup_Lists!$D$125,0)+IF(ISNUMBER(Matching_Engine!$AB$32),Matching_Engine!$AB$32*Lookup_Lists!$D$126,0)+IF(ISNUMBER(Matching_Engine!$AC$32),Matching_Engine!$AC$32*Lookup_Lists!$D$127,0)+IF(ISNUMBER(Matching_Engine!$AD$32),Matching_Engine!$AD$32*Lookup_Lists!$D$128,0))/(IF(ISNUMBER(Matching_Engine!$AA$32),Lookup_Lists!$D$125,0)+IF(ISNUMBER(Matching_Engine!$AB$32),Lookup_Lists!$D$126,0)+IF(ISNUMBER(Matching_Engine!$AC$32),Lookup_Lists!$D$127,0)+IF(ISNUMBER(Matching_Engine!$AD$32),Lookup_Lists!$D$128,0)),0))</f>
      </c>
      <c r="AF32" s="11">
        <f>IF(ISNUMBER(Matching_Engine!$AE$32),1,0)</f>
      </c>
      <c r="AG32" s="18">
        <f>IF(NOT(ISNUMBER(KOL_Source_Data!$BG$8)),"N/A",MIN(100,ROUND(KOL_Source_Data!$BG$8/IFERROR(INDEX(Lookup_Lists!$B$340:$B$344,MATCH(KOL_Source_Data!$H$8,Lookup_Lists!$A$340:$A$344,0)),Lookup_Lists!$D$141)*100,0)))</f>
      </c>
      <c r="AH32" s="18">
        <f>IF(NOT(ISNUMBER(KOL_Source_Data!$BS$8)),"N/A",MIN(100,MAX(0,KOL_Source_Data!$BS$8)))</f>
      </c>
      <c r="AI32" s="18">
        <f>IF(OR(NOT(ISNUMBER(KOL_Source_Data!$BM$8)),NOT(ISNUMBER(KOL_Source_Data!$BN$8)),KOL_Source_Data!$BN$8&lt;Lookup_Lists!$D$320),"N/A",MIN(100,ROUND(KOL_Source_Data!$BM$8/Lookup_Lists!$D$319*100,0)))</f>
      </c>
      <c r="AJ32" s="18">
        <f>IF(NOT(ISNUMBER(KOL_Source_Data!$BR$8)),"N/A",KOL_Source_Data!$BR$8)</f>
      </c>
      <c r="AK32" s="18">
        <f>IF(NOT(ISNUMBER(KOL_Source_Data!$BK$8)),"N/A",MIN(100,ROUND(KOL_Source_Data!$BK$8/Lookup_Lists!$D$321*100,0)))</f>
      </c>
      <c r="AL32" s="18">
        <f>IF(NOT(ISNUMBER(KOL_Source_Data!$BP$8)),"N/A",MIN(100,MAX(0,ROUND((KOL_Source_Data!$BP$8+2)/(Lookup_Lists!$D$145+2)*100,0))))</f>
      </c>
      <c r="AM32" s="29">
        <f>IF((IF(ISNUMBER(Matching_Engine!$AG$32),Lookup_Lists!$D$129,0)+IF(ISNUMBER(Matching_Engine!$AH$32),Lookup_Lists!$D$130,0)+IF(ISNUMBER(Matching_Engine!$AI$32),Lookup_Lists!$D$131,0)+IF(ISNUMBER(Matching_Engine!$AJ$32),Lookup_Lists!$D$132,0)+IF(ISNUMBER(Matching_Engine!$AK$32),Lookup_Lists!$D$133,0)+IF(ISNUMBER(Matching_Engine!$AL$32),Lookup_Lists!$D$134,0))=0,"N/A",ROUND((IF(ISNUMBER(Matching_Engine!$AG$32),Matching_Engine!$AG$32*Lookup_Lists!$D$129,0)+IF(ISNUMBER(Matching_Engine!$AH$32),Matching_Engine!$AH$32*Lookup_Lists!$D$130,0)+IF(ISNUMBER(Matching_Engine!$AI$32),Matching_Engine!$AI$32*Lookup_Lists!$D$131,0)+IF(ISNUMBER(Matching_Engine!$AJ$32),Matching_Engine!$AJ$32*Lookup_Lists!$D$132,0)+IF(ISNUMBER(Matching_Engine!$AK$32),Matching_Engine!$AK$32*Lookup_Lists!$D$133,0)+IF(ISNUMBER(Matching_Engine!$AL$32),Matching_Engine!$AL$32*Lookup_Lists!$D$134,0))/(IF(ISNUMBER(Matching_Engine!$AG$32),Lookup_Lists!$D$129,0)+IF(ISNUMBER(Matching_Engine!$AH$32),Lookup_Lists!$D$130,0)+IF(ISNUMBER(Matching_Engine!$AI$32),Lookup_Lists!$D$131,0)+IF(ISNUMBER(Matching_Engine!$AJ$32),Lookup_Lists!$D$132,0)+IF(ISNUMBER(Matching_Engine!$AK$32),Lookup_Lists!$D$133,0)+IF(ISNUMBER(Matching_Engine!$AL$32),Lookup_Lists!$D$134,0)),0))</f>
      </c>
      <c r="AN32" s="11">
        <f>IF(ISNUMBER(Matching_Engine!$AM$32),1,0)</f>
      </c>
      <c r="AO32" s="18">
        <f>IF(NOT(ISNUMBER(KOL_Source_Data!$BT$8)),"N/A",MIN(100,MAX(0,KOL_Source_Data!$BT$8)))</f>
      </c>
      <c r="AP32" s="18">
        <f>IF(NOT(ISNUMBER(KOL_Source_Data!$BU$8)),"N/A",MIN(100,MAX(0,KOL_Source_Data!$BU$8)))</f>
      </c>
      <c r="AQ32" s="18">
        <f>IF(KOL_Source_Data!$I$8="Yes",Lookup_Lists!$D$326,IF(KOL_Source_Data!$I$8="No",Lookup_Lists!$D$327,"N/A"))</f>
      </c>
      <c r="AR32" s="18">
        <f>IF(NOT(ISNUMBER(KOL_Source_Data!$BQ$8)),"N/A",MAX(0,ROUND(100-KOL_Source_Data!$BQ$8/Lookup_Lists!$D$328*100,0)))</f>
      </c>
      <c r="AS32" s="18">
        <f>IF(NOT(AND(ISTEXT(KOL_Source_Data!$BV$8),KOL_Source_Data!$BV$8&lt;&gt;"N/A")),"N/A",KOL_Source_Data!$BV$8)</f>
      </c>
      <c r="AT32" s="29">
        <f>IF((IF(ISNUMBER(Matching_Engine!$AO$32),Lookup_Lists!$D$322,0)+IF(ISNUMBER(Matching_Engine!$AP$32),Lookup_Lists!$D$323,0)+IF(ISNUMBER(Matching_Engine!$AQ$32),Lookup_Lists!$D$324,0)+IF(ISNUMBER(Matching_Engine!$AR$32),Lookup_Lists!$D$325,0))=0,"N/A",ROUND((IF(ISNUMBER(Matching_Engine!$AO$32),Matching_Engine!$AO$32*Lookup_Lists!$D$322,0)+IF(ISNUMBER(Matching_Engine!$AP$32),Matching_Engine!$AP$32*Lookup_Lists!$D$323,0)+IF(ISNUMBER(Matching_Engine!$AQ$32),Matching_Engine!$AQ$32*Lookup_Lists!$D$324,0)+IF(ISNUMBER(Matching_Engine!$AR$32),Matching_Engine!$AR$32*Lookup_Lists!$D$325,0))/(IF(ISNUMBER(Matching_Engine!$AO$32),Lookup_Lists!$D$322,0)+IF(ISNUMBER(Matching_Engine!$AP$32),Lookup_Lists!$D$323,0)+IF(ISNUMBER(Matching_Engine!$AQ$32),Lookup_Lists!$D$324,0)+IF(ISNUMBER(Matching_Engine!$AR$32),Lookup_Lists!$D$325,0)),0))</f>
      </c>
      <c r="AU32" s="11">
        <f>IF(ISNUMBER(Matching_Engine!$AT$32),1,0)</f>
      </c>
      <c r="AV32" s="11">
        <f>IF(NOT(ISNUMBER(Matching_Engine!$AT$32)),"Not Screened",IF(Matching_Engine!$AT$32&gt;=Lookup_Lists!$D$329,"Low Risk",IF(Matching_Engine!$AT$32&gt;=Lookup_Lists!$D$330,"Moderate Risk",IF(Matching_Engine!$AT$32&gt;=Lookup_Lists!$D$331,"Elevated Risk","High Risk"))))</f>
      </c>
      <c r="AW32" s="11">
        <f>IF(NOT(ISNUMBER(Matching_Engine!$AT$32)),"No integrity signal: no audience-analysis row for this account.","Integrity screen only — no content-risk reading exists (comments_analysis: 0 rows). "&amp;IF(ISNUMBER(Matching_Engine!$AO$32),"Authenticity "&amp;Matching_Engine!$AO$32&amp;". ","Authenticity N/A. ")&amp;IF(ISNUMBER(Matching_Engine!$AP$32),"Follower quality "&amp;Matching_Engine!$AP$32&amp;". ","Follower quality N/A. ")&amp;IF(KOL_Source_Data!$I$8="Yes","Platform-verified.","Not platform-verified."))</f>
      </c>
      <c r="AX32" s="18">
        <f>Matching_Engine!$N$32*Lookup_Lists!$D$104+Matching_Engine!$T$32*Lookup_Lists!$D$105+Matching_Engine!$Z$32*Lookup_Lists!$D$106+Matching_Engine!$AF$32*Lookup_Lists!$D$107+Matching_Engine!$AN$32*Lookup_Lists!$D$108+Matching_Engine!$AU$32*Lookup_Lists!$D$109</f>
      </c>
      <c r="AY32" s="30">
        <f>IF(Matching_Engine!$AX$32=0,"N/A",ROUND((IF(Matching_Engine!$N$32=1,Matching_Engine!$M$32*Lookup_Lists!$D$104,0)+IF(Matching_Engine!$T$32=1,Matching_Engine!$S$32*Lookup_Lists!$D$105,0)+IF(Matching_Engine!$Z$32=1,Matching_Engine!$Y$32*Lookup_Lists!$D$106,0)+IF(Matching_Engine!$AF$32=1,Matching_Engine!$AE$32*Lookup_Lists!$D$107,0)+IF(Matching_Engine!$AN$32=1,Matching_Engine!$AM$32*Lookup_Lists!$D$108,0)+IF(Matching_Engine!$AU$32=1,Matching_Engine!$AT$32*Lookup_Lists!$D$109,0))/Matching_Engine!$AX$32,0))</f>
      </c>
      <c r="AZ32" s="11">
        <f>IF(NOT(ISNUMBER(Matching_Engine!$AY$32)),"Not Scored",IF(Matching_Engine!$AY$32&gt;=Lookup_Lists!$D$152,"Excellent Match",IF(Matching_Engine!$AY$32&gt;=Lookup_Lists!$D$153,"Strong Match",IF(Matching_Engine!$AY$32&gt;=Lookup_Lists!$D$154,"Good Match",IF(Matching_Engine!$AY$32&gt;=Lookup_Lists!$D$155,"Moderate Match","Low Match")))))</f>
      </c>
      <c r="BA32" s="18">
        <f>KOL_Source_Data!$BW$8</f>
      </c>
      <c r="BB32" s="11">
        <f>KOL_Source_Data!$BX$8</f>
      </c>
      <c r="BC32" s="18">
        <f>IF(NOT(ISNUMBER(Matching_Engine!$AY$32)),-1,Matching_Engine!$AY$32*1000+22)</f>
      </c>
      <c r="BD32" s="11">
        <f>IF(AND(ISTEXT(KOL_Source_Data!$S$8),KOL_Source_Data!$S$8&lt;&gt;"N/A"),KOL_Source_Data!$S$8,"")&amp;" | "&amp;IF(AND(ISTEXT(KOL_Source_Data!$T$8),KOL_Source_Data!$T$8&lt;&gt;"N/A"),KOL_Source_Data!$T$8,"")&amp;" | "&amp;IF(AND(ISTEXT(KOL_Source_Data!$N$8),KOL_Source_Data!$N$8&lt;&gt;"N/A"),KOL_Source_Data!$N$8,"")&amp;" | "&amp;IF(AND(ISTEXT(KOL_Source_Data!$K$8),KOL_Source_Data!$K$8&lt;&gt;"N/A"),KOL_Source_Data!$K$8,"")&amp;" | "&amp;IF(AND(ISTEXT(KOL_Source_Data!$J$8),KOL_Source_Data!$J$8&lt;&gt;"N/A"),KOL_Source_Data!$J$8,"")</f>
      </c>
      <c r="BE32" s="11">
        <f>IF(AND(ISTEXT(KOL_Source_Data!$T$8),KOL_Source_Data!$T$8&lt;&gt;"N/A"),KOL_Source_Data!$T$8,"")&amp;" | "&amp;IF(AND(ISTEXT(KOL_Source_Data!$N$8),KOL_Source_Data!$N$8&lt;&gt;"N/A"),KOL_Source_Data!$N$8,"")&amp;" | "&amp;IF(AND(ISTEXT(KOL_Source_Data!$O$8),KOL_Source_Data!$O$8&lt;&gt;"N/A"),KOL_Source_Data!$O$8,"")&amp;" | "&amp;IF(AND(ISTEXT(KOL_Source_Data!$S$8),KOL_Source_Data!$S$8&lt;&gt;"N/A"),KOL_Source_Data!$S$8,"")</f>
      </c>
      <c r="BF32" s="11">
        <f>IF(AND(ISTEXT(KOL_Source_Data!$U$8),KOL_Source_Data!$U$8&lt;&gt;"N/A"),KOL_Source_Data!$U$8,"")</f>
      </c>
      <c r="BG32" s="11">
        <f>Matching_Engine!$A$32&amp;"|"&amp;Matching_Engine!$C$32</f>
      </c>
    </row>
    <row r="33" spans="1:59" x14ac:dyDescent="0.25">
      <c r="A33" s="10" t="s">
        <v>391</v>
      </c>
      <c r="B33" s="11">
        <f>Brand_Profile!$F$6</f>
      </c>
      <c r="C33" s="11">
        <f>KOL_Source_Data!$A$9</f>
      </c>
      <c r="D33" s="11">
        <f>KOL_Source_Data!$C$9</f>
      </c>
      <c r="E33" s="11">
        <f>KOL_Source_Data!$D$9</f>
      </c>
      <c r="F33" s="11">
        <f>KOL_Source_Data!$E$9</f>
      </c>
      <c r="G33" s="11">
        <f>KOL_Source_Data!$K$9</f>
      </c>
      <c r="H33" s="12">
        <f>KOL_Source_Data!$G$9</f>
      </c>
      <c r="I33" s="14">
        <f>KOL_Source_Data!$BG$9</f>
      </c>
      <c r="J33" s="18">
        <f>IF(NOT(AND(ISTEXT(KOL_Source_Data!$K$9),KOL_Source_Data!$K$9&lt;&gt;"N/A")),Lookup_Lists!$D$150,IF(Brand_Profile!$F$7=KOL_Source_Data!$K$9,100,IFERROR(INDEX(Lookup_Lists!$B$349:$J$357,MATCH(Brand_Profile!$F$7,Lookup_Lists!$A$349:$A$357,0),MATCH(KOL_Source_Data!$K$9,Lookup_Lists!$B$348:$J$348,0)),Lookup_Lists!$D$151)))</f>
      </c>
      <c r="K33" s="18">
        <f>IF(LEN(TRIM(SUBSTITUTE(Matching_Engine!$BD$33,"|","")))=0,"N/A",IF(Brand_Profile!$F$47=0,Lookup_Lists!$D$150,ROUND((IF(Brand_Profile!$F$41="",0,IF(ISNUMBER(SEARCH(Brand_Profile!$F$41,Matching_Engine!$BD$33)),1,0))+IF(Brand_Profile!$F$42="",0,IF(ISNUMBER(SEARCH(Brand_Profile!$F$42,Matching_Engine!$BD$33)),1,0))+IF(Brand_Profile!$F$43="",0,IF(ISNUMBER(SEARCH(Brand_Profile!$F$43,Matching_Engine!$BD$33)),1,0))+IF(Brand_Profile!$F$44="",0,IF(ISNUMBER(SEARCH(Brand_Profile!$F$44,Matching_Engine!$BD$33)),1,0))+IF(Brand_Profile!$F$45="",0,IF(ISNUMBER(SEARCH(Brand_Profile!$F$45,Matching_Engine!$BD$33)),1,0))+IF(Brand_Profile!$F$46="",0,IF(ISNUMBER(SEARCH(Brand_Profile!$F$46,Matching_Engine!$BD$33)),1,0)))/Brand_Profile!$F$47*100,0)))</f>
      </c>
      <c r="L33" s="18">
        <f>IF(NOT(AND(ISTEXT(KOL_Source_Data!$U$9),KOL_Source_Data!$U$9&lt;&gt;"N/A")),"N/A",IF(Brand_Profile!$F$53=0,Lookup_Lists!$D$150,ROUND((IF(Brand_Profile!$F$48="",0,IF(ISNUMBER(SEARCH(Brand_Profile!$F$48,Matching_Engine!$BF$33)),1,0))+IF(Brand_Profile!$F$49="",0,IF(ISNUMBER(SEARCH(Brand_Profile!$F$49,Matching_Engine!$BF$33)),1,0))+IF(Brand_Profile!$F$50="",0,IF(ISNUMBER(SEARCH(Brand_Profile!$F$50,Matching_Engine!$BF$33)),1,0))+IF(Brand_Profile!$F$51="",0,IF(ISNUMBER(SEARCH(Brand_Profile!$F$51,Matching_Engine!$BF$33)),1,0))+IF(Brand_Profile!$F$52="",0,IF(ISNUMBER(SEARCH(Brand_Profile!$F$52,Matching_Engine!$BF$33)),1,0)))/Brand_Profile!$F$53*100,0)))</f>
      </c>
      <c r="M33" s="29">
        <f>IF((IF(ISNUMBER(Matching_Engine!$J$33),Lookup_Lists!$D$332,0)+IF(ISNUMBER(Matching_Engine!$K$33),Lookup_Lists!$D$333,0)+IF(ISNUMBER(Matching_Engine!$L$33),Lookup_Lists!$D$334,0))=0,"N/A",ROUND((IF(ISNUMBER(Matching_Engine!$J$33),Matching_Engine!$J$33*Lookup_Lists!$D$332,0)+IF(ISNUMBER(Matching_Engine!$K$33),Matching_Engine!$K$33*Lookup_Lists!$D$333,0)+IF(ISNUMBER(Matching_Engine!$L$33),Matching_Engine!$L$33*Lookup_Lists!$D$334,0))/(IF(ISNUMBER(Matching_Engine!$J$33),Lookup_Lists!$D$332,0)+IF(ISNUMBER(Matching_Engine!$K$33),Lookup_Lists!$D$333,0)+IF(ISNUMBER(Matching_Engine!$L$33),Lookup_Lists!$D$334,0)),0))</f>
      </c>
      <c r="N33" s="11">
        <f>IF(ISNUMBER(Matching_Engine!$M$33),1,0)</f>
      </c>
      <c r="O33" s="18">
        <f>IF(NOT(ISNUMBER(IFERROR(INDEX(KOL_Source_Data!$V$9:KOL_Source_Data!$Z$9,1,MATCH(Brand_Profile!$F$11,Lookup_Lists!$F$6:$F$10,0)),""))),"N/A",MIN(100,ROUND((IFERROR(INDEX(KOL_Source_Data!$V$9:KOL_Source_Data!$Z$9,1,MATCH(Brand_Profile!$F$11,Lookup_Lists!$F$6:$F$10,0)),"")+0.5*IF(ISNUMBER(IFERROR(INDEX(KOL_Source_Data!$V$9:KOL_Source_Data!$Z$9,1,MATCH(Brand_Profile!$F$12,Lookup_Lists!$F$6:$F$10,0)),"")),IFERROR(INDEX(KOL_Source_Data!$V$9:KOL_Source_Data!$Z$9,1,MATCH(Brand_Profile!$F$12,Lookup_Lists!$F$6:$F$10,0)),""),0))/Lookup_Lists!$D$142*100,0)))</f>
      </c>
      <c r="P33" s="18">
        <f>IF(Brand_Profile!$F$13="Any",100,IF(NOT(ISNUMBER(KOL_Source_Data!$AA$9)),"N/A",IF(Brand_Profile!$F$13="Female",MIN(100,ROUND(KOL_Source_Data!$AA$9/Lookup_Lists!$D$143*100,0)),IF(Brand_Profile!$F$13="Male",MIN(100,ROUND(IF(ISNUMBER(KOL_Source_Data!$AB$9),KOL_Source_Data!$AB$9,100-KOL_Source_Data!$AA$9)/Lookup_Lists!$D$143*100,0)),MAX(0,ROUND(100-ABS(KOL_Source_Data!$AA$9-50)*2,0))))))</f>
      </c>
      <c r="Q33" s="18">
        <f>IF((IF(ISNUMBER(IF(NOT(ISNUMBER(KOL_Source_Data!$AE$9)),"N/A",IF(KOL_Source_Data!$AD$9&lt;&gt;Brand_Profile!$F$14,Lookup_Lists!$D$151,MIN(100,ROUND(KOL_Source_Data!$AE$9/Lookup_Lists!$D$316*100,0))))),Lookup_Lists!$D$118,0)+IF(ISNUMBER(IF(NOT(ISNUMBER(KOL_Source_Data!$AM$9)),"N/A",MIN(100,ROUND((IF(KOL_Source_Data!$AG$9=Brand_Profile!$F$15,IF(ISNUMBER(KOL_Source_Data!$AH$9),KOL_Source_Data!$AH$9,0),0)+IF(KOL_Source_Data!$AI$9=Brand_Profile!$F$15,IF(ISNUMBER(KOL_Source_Data!$AJ$9),KOL_Source_Data!$AJ$9,0),0)+IF(KOL_Source_Data!$AK$9=Brand_Profile!$F$15,IF(ISNUMBER(KOL_Source_Data!$AL$9),KOL_Source_Data!$AL$9,0),0))/Lookup_Lists!$D$317*100,0)))),Lookup_Lists!$D$120,0))=0,"N/A",ROUND((IF(ISNUMBER(IF(NOT(ISNUMBER(KOL_Source_Data!$AE$9)),"N/A",IF(KOL_Source_Data!$AD$9&lt;&gt;Brand_Profile!$F$14,Lookup_Lists!$D$151,MIN(100,ROUND(KOL_Source_Data!$AE$9/Lookup_Lists!$D$316*100,0))))),IF(NOT(ISNUMBER(KOL_Source_Data!$AE$9)),"N/A",IF(KOL_Source_Data!$AD$9&lt;&gt;Brand_Profile!$F$14,Lookup_Lists!$D$151,MIN(100,ROUND(KOL_Source_Data!$AE$9/Lookup_Lists!$D$316*100,0))))*Lookup_Lists!$D$118,0)+IF(ISNUMBER(IF(NOT(ISNUMBER(KOL_Source_Data!$AM$9)),"N/A",MIN(100,ROUND((IF(KOL_Source_Data!$AG$9=Brand_Profile!$F$15,IF(ISNUMBER(KOL_Source_Data!$AH$9),KOL_Source_Data!$AH$9,0),0)+IF(KOL_Source_Data!$AI$9=Brand_Profile!$F$15,IF(ISNUMBER(KOL_Source_Data!$AJ$9),KOL_Source_Data!$AJ$9,0),0)+IF(KOL_Source_Data!$AK$9=Brand_Profile!$F$15,IF(ISNUMBER(KOL_Source_Data!$AL$9),KOL_Source_Data!$AL$9,0),0))/Lookup_Lists!$D$317*100,0)))),IF(NOT(ISNUMBER(KOL_Source_Data!$AM$9)),"N/A",MIN(100,ROUND((IF(KOL_Source_Data!$AG$9=Brand_Profile!$F$15,IF(ISNUMBER(KOL_Source_Data!$AH$9),KOL_Source_Data!$AH$9,0),0)+IF(KOL_Source_Data!$AI$9=Brand_Profile!$F$15,IF(ISNUMBER(KOL_Source_Data!$AJ$9),KOL_Source_Data!$AJ$9,0),0)+IF(KOL_Source_Data!$AK$9=Brand_Profile!$F$15,IF(ISNUMBER(KOL_Source_Data!$AL$9),KOL_Source_Data!$AL$9,0),0))/Lookup_Lists!$D$317*100,0)))*Lookup_Lists!$D$120,0))/(IF(ISNUMBER(IF(NOT(ISNUMBER(KOL_Source_Data!$AE$9)),"N/A",IF(KOL_Source_Data!$AD$9&lt;&gt;Brand_Profile!$F$14,Lookup_Lists!$D$151,MIN(100,ROUND(KOL_Source_Data!$AE$9/Lookup_Lists!$D$316*100,0))))),Lookup_Lists!$D$118,0)+IF(ISNUMBER(IF(NOT(ISNUMBER(KOL_Source_Data!$AM$9)),"N/A",MIN(100,ROUND((IF(KOL_Source_Data!$AG$9=Brand_Profile!$F$15,IF(ISNUMBER(KOL_Source_Data!$AH$9),KOL_Source_Data!$AH$9,0),0)+IF(KOL_Source_Data!$AI$9=Brand_Profile!$F$15,IF(ISNUMBER(KOL_Source_Data!$AJ$9),KOL_Source_Data!$AJ$9,0),0)+IF(KOL_Source_Data!$AK$9=Brand_Profile!$F$15,IF(ISNUMBER(KOL_Source_Data!$AL$9),KOL_Source_Data!$AL$9,0),0))/Lookup_Lists!$D$317*100,0)))),Lookup_Lists!$D$120,0)),0))</f>
      </c>
      <c r="R33" s="18">
        <f>IF(NOT(ISNUMBER(KOL_Source_Data!$AN$9)),"N/A",MIN(100,ROUND((IF(ISNUMBER(KOL_Source_Data!$AO$9),KOL_Source_Data!$AO$9*Brand_Profile!$F$17,0)+IF(ISNUMBER(KOL_Source_Data!$AP$9),KOL_Source_Data!$AP$9*Brand_Profile!$F$18,0)+IF(ISNUMBER(KOL_Source_Data!$AQ$9),KOL_Source_Data!$AQ$9*Brand_Profile!$F$19,0)+IF(ISNUMBER(KOL_Source_Data!$AR$9),KOL_Source_Data!$AR$9*Brand_Profile!$F$20,0)+IF(ISNUMBER(KOL_Source_Data!$AS$9),KOL_Source_Data!$AS$9*Brand_Profile!$F$21,0)+IF(ISNUMBER(KOL_Source_Data!$AT$9),KOL_Source_Data!$AT$9*Brand_Profile!$F$22,0)+IF(ISNUMBER(KOL_Source_Data!$AU$9),KOL_Source_Data!$AU$9*Brand_Profile!$F$23,0)+IF(ISNUMBER(KOL_Source_Data!$AV$9),KOL_Source_Data!$AV$9*Brand_Profile!$F$24,0)+IF(ISNUMBER(KOL_Source_Data!$AW$9),KOL_Source_Data!$AW$9*Brand_Profile!$F$25,0)+IF(ISNUMBER(KOL_Source_Data!$AX$9),KOL_Source_Data!$AX$9*Brand_Profile!$F$26,0)+IF(ISNUMBER(KOL_Source_Data!$AY$9),KOL_Source_Data!$AY$9*Brand_Profile!$F$27,0)+IF(ISNUMBER(KOL_Source_Data!$AZ$9),KOL_Source_Data!$AZ$9*Brand_Profile!$F$28,0)+IF(ISNUMBER(KOL_Source_Data!$BA$9),KOL_Source_Data!$BA$9*Brand_Profile!$F$29,0)+IF(ISNUMBER(KOL_Source_Data!$BB$9),KOL_Source_Data!$BB$9*Brand_Profile!$F$30,0)+IF(ISNUMBER(KOL_Source_Data!$BC$9),KOL_Source_Data!$BC$9*Brand_Profile!$F$31,0)+IF(ISNUMBER(KOL_Source_Data!$BD$9),KOL_Source_Data!$BD$9*Brand_Profile!$F$32,0)+IF(ISNUMBER(KOL_Source_Data!$BE$9),KOL_Source_Data!$BE$9*Brand_Profile!$F$33,0)+IF(ISNUMBER(KOL_Source_Data!$BF$9),KOL_Source_Data!$BF$9*Brand_Profile!$F$34,0))/Lookup_Lists!$D$318*100,0)))</f>
      </c>
      <c r="S33" s="29">
        <f>IF((IF(ISNUMBER(Matching_Engine!$O$33),Lookup_Lists!$D$113,0)+IF(ISNUMBER(Matching_Engine!$P$33),Lookup_Lists!$D$114,0)+IF(ISNUMBER(Matching_Engine!$Q$33),Lookup_Lists!$D$115,0)+IF(ISNUMBER(Matching_Engine!$R$33),Lookup_Lists!$D$116,0))=0,"N/A",ROUND((IF(ISNUMBER(Matching_Engine!$O$33),Matching_Engine!$O$33*Lookup_Lists!$D$113,0)+IF(ISNUMBER(Matching_Engine!$P$33),Matching_Engine!$P$33*Lookup_Lists!$D$114,0)+IF(ISNUMBER(Matching_Engine!$Q$33),Matching_Engine!$Q$33*Lookup_Lists!$D$115,0)+IF(ISNUMBER(Matching_Engine!$R$33),Matching_Engine!$R$33*Lookup_Lists!$D$116,0))/(IF(ISNUMBER(Matching_Engine!$O$33),Lookup_Lists!$D$113,0)+IF(ISNUMBER(Matching_Engine!$P$33),Lookup_Lists!$D$114,0)+IF(ISNUMBER(Matching_Engine!$Q$33),Lookup_Lists!$D$115,0)+IF(ISNUMBER(Matching_Engine!$R$33),Lookup_Lists!$D$116,0)),0))</f>
      </c>
      <c r="T33" s="11">
        <f>IF(ISNUMBER(Matching_Engine!$S$33),1,0)</f>
      </c>
      <c r="U33" s="18">
        <f>IF(NOT(AND(ISTEXT(KOL_Source_Data!$M$9),KOL_Source_Data!$M$9&lt;&gt;"N/A")),Lookup_Lists!$D$150,IF(Brand_Profile!$F$7=KOL_Source_Data!$M$9,100,IFERROR(INDEX(Lookup_Lists!$B$349:$J$357,MATCH(Brand_Profile!$F$7,Lookup_Lists!$A$349:$A$357,0),MATCH(KOL_Source_Data!$M$9,Lookup_Lists!$B$348:$J$348,0)),Lookup_Lists!$D$151)))</f>
      </c>
      <c r="V33" s="18">
        <f>IF(NOT(AND(ISTEXT(KOL_Source_Data!$P$9),KOL_Source_Data!$P$9&lt;&gt;"N/A")),"N/A",IFERROR(INDEX(Lookup_Lists!$B$349:$J$357,MATCH(Brand_Profile!$F$7,Lookup_Lists!$A$349:$A$357,0),MATCH(KOL_Source_Data!$P$9,Lookup_Lists!$B$348:$J$348,0)),Lookup_Lists!$D$151))</f>
      </c>
      <c r="W33" s="18">
        <f>IF(LEN(TRIM(SUBSTITUTE(Matching_Engine!$BE$33,"|","")))=0,"N/A",IF(Brand_Profile!$F$60=0,Lookup_Lists!$D$150,ROUND((IF(Brand_Profile!$F$54="",0,IF(ISNUMBER(SEARCH(Brand_Profile!$F$54,Matching_Engine!$BE$33)),1,0))+IF(Brand_Profile!$F$55="",0,IF(ISNUMBER(SEARCH(Brand_Profile!$F$55,Matching_Engine!$BE$33)),1,0))+IF(Brand_Profile!$F$56="",0,IF(ISNUMBER(SEARCH(Brand_Profile!$F$56,Matching_Engine!$BE$33)),1,0))+IF(Brand_Profile!$F$57="",0,IF(ISNUMBER(SEARCH(Brand_Profile!$F$57,Matching_Engine!$BE$33)),1,0))+IF(Brand_Profile!$F$58="",0,IF(ISNUMBER(SEARCH(Brand_Profile!$F$58,Matching_Engine!$BE$33)),1,0))+IF(Brand_Profile!$F$59="",0,IF(ISNUMBER(SEARCH(Brand_Profile!$F$59,Matching_Engine!$BE$33)),1,0)))/Brand_Profile!$F$60*100,0)))</f>
      </c>
      <c r="X33" s="18">
        <f>IF(NOT(AND(ISTEXT(KOL_Source_Data!$Q$9),KOL_Source_Data!$Q$9&lt;&gt;"N/A")),"N/A",Lookup_Lists!$D$150)</f>
      </c>
      <c r="Y33" s="29">
        <f>IF((IF(ISNUMBER(Matching_Engine!$U$33),Lookup_Lists!$D$335,0)+IF(ISNUMBER(Matching_Engine!$V$33),Lookup_Lists!$D$122,0)+IF(ISNUMBER(Matching_Engine!$W$33),Lookup_Lists!$D$336,0)+IF(ISNUMBER(Matching_Engine!$X$33),Lookup_Lists!$D$124,0))=0,"N/A",ROUND((IF(ISNUMBER(Matching_Engine!$U$33),Matching_Engine!$U$33*Lookup_Lists!$D$335,0)+IF(ISNUMBER(Matching_Engine!$V$33),Matching_Engine!$V$33*Lookup_Lists!$D$122,0)+IF(ISNUMBER(Matching_Engine!$W$33),Matching_Engine!$W$33*Lookup_Lists!$D$336,0)+IF(ISNUMBER(Matching_Engine!$X$33),Matching_Engine!$X$33*Lookup_Lists!$D$124,0))/(IF(ISNUMBER(Matching_Engine!$U$33),Lookup_Lists!$D$335,0)+IF(ISNUMBER(Matching_Engine!$V$33),Lookup_Lists!$D$122,0)+IF(ISNUMBER(Matching_Engine!$W$33),Lookup_Lists!$D$336,0)+IF(ISNUMBER(Matching_Engine!$X$33),Lookup_Lists!$D$124,0)),0))</f>
      </c>
      <c r="Z33" s="11">
        <f>IF(ISNUMBER(Matching_Engine!$Y$33),1,0)</f>
      </c>
      <c r="AA33" s="18">
        <f>IF(NOT(AND(ISTEXT(KOL_Source_Data!$Q$9),KOL_Source_Data!$Q$9&lt;&gt;"N/A")),"N/A",Lookup_Lists!$D$150)</f>
      </c>
      <c r="AB33" s="18">
        <f>IF(NOT(AND(ISTEXT(KOL_Source_Data!$Q$9),KOL_Source_Data!$Q$9&lt;&gt;"N/A")),"N/A",Lookup_Lists!$D$150)</f>
      </c>
      <c r="AC33" s="18">
        <f>"N/A"</f>
      </c>
      <c r="AD33" s="18">
        <f>IF(NOT(AND(ISTEXT(KOL_Source_Data!$Q$9),KOL_Source_Data!$Q$9&lt;&gt;"N/A")),"N/A",Lookup_Lists!$D$150)</f>
      </c>
      <c r="AE33" s="29">
        <f>IF((IF(ISNUMBER(Matching_Engine!$AA$33),Lookup_Lists!$D$125,0)+IF(ISNUMBER(Matching_Engine!$AB$33),Lookup_Lists!$D$126,0)+IF(ISNUMBER(Matching_Engine!$AC$33),Lookup_Lists!$D$127,0)+IF(ISNUMBER(Matching_Engine!$AD$33),Lookup_Lists!$D$128,0))=0,"N/A",ROUND((IF(ISNUMBER(Matching_Engine!$AA$33),Matching_Engine!$AA$33*Lookup_Lists!$D$125,0)+IF(ISNUMBER(Matching_Engine!$AB$33),Matching_Engine!$AB$33*Lookup_Lists!$D$126,0)+IF(ISNUMBER(Matching_Engine!$AC$33),Matching_Engine!$AC$33*Lookup_Lists!$D$127,0)+IF(ISNUMBER(Matching_Engine!$AD$33),Matching_Engine!$AD$33*Lookup_Lists!$D$128,0))/(IF(ISNUMBER(Matching_Engine!$AA$33),Lookup_Lists!$D$125,0)+IF(ISNUMBER(Matching_Engine!$AB$33),Lookup_Lists!$D$126,0)+IF(ISNUMBER(Matching_Engine!$AC$33),Lookup_Lists!$D$127,0)+IF(ISNUMBER(Matching_Engine!$AD$33),Lookup_Lists!$D$128,0)),0))</f>
      </c>
      <c r="AF33" s="11">
        <f>IF(ISNUMBER(Matching_Engine!$AE$33),1,0)</f>
      </c>
      <c r="AG33" s="18">
        <f>IF(NOT(ISNUMBER(KOL_Source_Data!$BG$9)),"N/A",MIN(100,ROUND(KOL_Source_Data!$BG$9/IFERROR(INDEX(Lookup_Lists!$B$340:$B$344,MATCH(KOL_Source_Data!$H$9,Lookup_Lists!$A$340:$A$344,0)),Lookup_Lists!$D$141)*100,0)))</f>
      </c>
      <c r="AH33" s="18">
        <f>IF(NOT(ISNUMBER(KOL_Source_Data!$BS$9)),"N/A",MIN(100,MAX(0,KOL_Source_Data!$BS$9)))</f>
      </c>
      <c r="AI33" s="18">
        <f>IF(OR(NOT(ISNUMBER(KOL_Source_Data!$BM$9)),NOT(ISNUMBER(KOL_Source_Data!$BN$9)),KOL_Source_Data!$BN$9&lt;Lookup_Lists!$D$320),"N/A",MIN(100,ROUND(KOL_Source_Data!$BM$9/Lookup_Lists!$D$319*100,0)))</f>
      </c>
      <c r="AJ33" s="18">
        <f>IF(NOT(ISNUMBER(KOL_Source_Data!$BR$9)),"N/A",KOL_Source_Data!$BR$9)</f>
      </c>
      <c r="AK33" s="18">
        <f>IF(NOT(ISNUMBER(KOL_Source_Data!$BK$9)),"N/A",MIN(100,ROUND(KOL_Source_Data!$BK$9/Lookup_Lists!$D$321*100,0)))</f>
      </c>
      <c r="AL33" s="18">
        <f>IF(NOT(ISNUMBER(KOL_Source_Data!$BP$9)),"N/A",MIN(100,MAX(0,ROUND((KOL_Source_Data!$BP$9+2)/(Lookup_Lists!$D$145+2)*100,0))))</f>
      </c>
      <c r="AM33" s="29">
        <f>IF((IF(ISNUMBER(Matching_Engine!$AG$33),Lookup_Lists!$D$129,0)+IF(ISNUMBER(Matching_Engine!$AH$33),Lookup_Lists!$D$130,0)+IF(ISNUMBER(Matching_Engine!$AI$33),Lookup_Lists!$D$131,0)+IF(ISNUMBER(Matching_Engine!$AJ$33),Lookup_Lists!$D$132,0)+IF(ISNUMBER(Matching_Engine!$AK$33),Lookup_Lists!$D$133,0)+IF(ISNUMBER(Matching_Engine!$AL$33),Lookup_Lists!$D$134,0))=0,"N/A",ROUND((IF(ISNUMBER(Matching_Engine!$AG$33),Matching_Engine!$AG$33*Lookup_Lists!$D$129,0)+IF(ISNUMBER(Matching_Engine!$AH$33),Matching_Engine!$AH$33*Lookup_Lists!$D$130,0)+IF(ISNUMBER(Matching_Engine!$AI$33),Matching_Engine!$AI$33*Lookup_Lists!$D$131,0)+IF(ISNUMBER(Matching_Engine!$AJ$33),Matching_Engine!$AJ$33*Lookup_Lists!$D$132,0)+IF(ISNUMBER(Matching_Engine!$AK$33),Matching_Engine!$AK$33*Lookup_Lists!$D$133,0)+IF(ISNUMBER(Matching_Engine!$AL$33),Matching_Engine!$AL$33*Lookup_Lists!$D$134,0))/(IF(ISNUMBER(Matching_Engine!$AG$33),Lookup_Lists!$D$129,0)+IF(ISNUMBER(Matching_Engine!$AH$33),Lookup_Lists!$D$130,0)+IF(ISNUMBER(Matching_Engine!$AI$33),Lookup_Lists!$D$131,0)+IF(ISNUMBER(Matching_Engine!$AJ$33),Lookup_Lists!$D$132,0)+IF(ISNUMBER(Matching_Engine!$AK$33),Lookup_Lists!$D$133,0)+IF(ISNUMBER(Matching_Engine!$AL$33),Lookup_Lists!$D$134,0)),0))</f>
      </c>
      <c r="AN33" s="11">
        <f>IF(ISNUMBER(Matching_Engine!$AM$33),1,0)</f>
      </c>
      <c r="AO33" s="18">
        <f>IF(NOT(ISNUMBER(KOL_Source_Data!$BT$9)),"N/A",MIN(100,MAX(0,KOL_Source_Data!$BT$9)))</f>
      </c>
      <c r="AP33" s="18">
        <f>IF(NOT(ISNUMBER(KOL_Source_Data!$BU$9)),"N/A",MIN(100,MAX(0,KOL_Source_Data!$BU$9)))</f>
      </c>
      <c r="AQ33" s="18">
        <f>IF(KOL_Source_Data!$I$9="Yes",Lookup_Lists!$D$326,IF(KOL_Source_Data!$I$9="No",Lookup_Lists!$D$327,"N/A"))</f>
      </c>
      <c r="AR33" s="18">
        <f>IF(NOT(ISNUMBER(KOL_Source_Data!$BQ$9)),"N/A",MAX(0,ROUND(100-KOL_Source_Data!$BQ$9/Lookup_Lists!$D$328*100,0)))</f>
      </c>
      <c r="AS33" s="18">
        <f>IF(NOT(AND(ISTEXT(KOL_Source_Data!$BV$9),KOL_Source_Data!$BV$9&lt;&gt;"N/A")),"N/A",KOL_Source_Data!$BV$9)</f>
      </c>
      <c r="AT33" s="29">
        <f>IF((IF(ISNUMBER(Matching_Engine!$AO$33),Lookup_Lists!$D$322,0)+IF(ISNUMBER(Matching_Engine!$AP$33),Lookup_Lists!$D$323,0)+IF(ISNUMBER(Matching_Engine!$AQ$33),Lookup_Lists!$D$324,0)+IF(ISNUMBER(Matching_Engine!$AR$33),Lookup_Lists!$D$325,0))=0,"N/A",ROUND((IF(ISNUMBER(Matching_Engine!$AO$33),Matching_Engine!$AO$33*Lookup_Lists!$D$322,0)+IF(ISNUMBER(Matching_Engine!$AP$33),Matching_Engine!$AP$33*Lookup_Lists!$D$323,0)+IF(ISNUMBER(Matching_Engine!$AQ$33),Matching_Engine!$AQ$33*Lookup_Lists!$D$324,0)+IF(ISNUMBER(Matching_Engine!$AR$33),Matching_Engine!$AR$33*Lookup_Lists!$D$325,0))/(IF(ISNUMBER(Matching_Engine!$AO$33),Lookup_Lists!$D$322,0)+IF(ISNUMBER(Matching_Engine!$AP$33),Lookup_Lists!$D$323,0)+IF(ISNUMBER(Matching_Engine!$AQ$33),Lookup_Lists!$D$324,0)+IF(ISNUMBER(Matching_Engine!$AR$33),Lookup_Lists!$D$325,0)),0))</f>
      </c>
      <c r="AU33" s="11">
        <f>IF(ISNUMBER(Matching_Engine!$AT$33),1,0)</f>
      </c>
      <c r="AV33" s="11">
        <f>IF(NOT(ISNUMBER(Matching_Engine!$AT$33)),"Not Screened",IF(Matching_Engine!$AT$33&gt;=Lookup_Lists!$D$329,"Low Risk",IF(Matching_Engine!$AT$33&gt;=Lookup_Lists!$D$330,"Moderate Risk",IF(Matching_Engine!$AT$33&gt;=Lookup_Lists!$D$331,"Elevated Risk","High Risk"))))</f>
      </c>
      <c r="AW33" s="11">
        <f>IF(NOT(ISNUMBER(Matching_Engine!$AT$33)),"No integrity signal: no audience-analysis row for this account.","Integrity screen only — no content-risk reading exists (comments_analysis: 0 rows). "&amp;IF(ISNUMBER(Matching_Engine!$AO$33),"Authenticity "&amp;Matching_Engine!$AO$33&amp;". ","Authenticity N/A. ")&amp;IF(ISNUMBER(Matching_Engine!$AP$33),"Follower quality "&amp;Matching_Engine!$AP$33&amp;". ","Follower quality N/A. ")&amp;IF(KOL_Source_Data!$I$9="Yes","Platform-verified.","Not platform-verified."))</f>
      </c>
      <c r="AX33" s="18">
        <f>Matching_Engine!$N$33*Lookup_Lists!$D$104+Matching_Engine!$T$33*Lookup_Lists!$D$105+Matching_Engine!$Z$33*Lookup_Lists!$D$106+Matching_Engine!$AF$33*Lookup_Lists!$D$107+Matching_Engine!$AN$33*Lookup_Lists!$D$108+Matching_Engine!$AU$33*Lookup_Lists!$D$109</f>
      </c>
      <c r="AY33" s="30">
        <f>IF(Matching_Engine!$AX$33=0,"N/A",ROUND((IF(Matching_Engine!$N$33=1,Matching_Engine!$M$33*Lookup_Lists!$D$104,0)+IF(Matching_Engine!$T$33=1,Matching_Engine!$S$33*Lookup_Lists!$D$105,0)+IF(Matching_Engine!$Z$33=1,Matching_Engine!$Y$33*Lookup_Lists!$D$106,0)+IF(Matching_Engine!$AF$33=1,Matching_Engine!$AE$33*Lookup_Lists!$D$107,0)+IF(Matching_Engine!$AN$33=1,Matching_Engine!$AM$33*Lookup_Lists!$D$108,0)+IF(Matching_Engine!$AU$33=1,Matching_Engine!$AT$33*Lookup_Lists!$D$109,0))/Matching_Engine!$AX$33,0))</f>
      </c>
      <c r="AZ33" s="11">
        <f>IF(NOT(ISNUMBER(Matching_Engine!$AY$33)),"Not Scored",IF(Matching_Engine!$AY$33&gt;=Lookup_Lists!$D$152,"Excellent Match",IF(Matching_Engine!$AY$33&gt;=Lookup_Lists!$D$153,"Strong Match",IF(Matching_Engine!$AY$33&gt;=Lookup_Lists!$D$154,"Good Match",IF(Matching_Engine!$AY$33&gt;=Lookup_Lists!$D$155,"Moderate Match","Low Match")))))</f>
      </c>
      <c r="BA33" s="18">
        <f>KOL_Source_Data!$BW$9</f>
      </c>
      <c r="BB33" s="11">
        <f>KOL_Source_Data!$BX$9</f>
      </c>
      <c r="BC33" s="18">
        <f>IF(NOT(ISNUMBER(Matching_Engine!$AY$33)),-1,Matching_Engine!$AY$33*1000+21)</f>
      </c>
      <c r="BD33" s="11">
        <f>IF(AND(ISTEXT(KOL_Source_Data!$S$9),KOL_Source_Data!$S$9&lt;&gt;"N/A"),KOL_Source_Data!$S$9,"")&amp;" | "&amp;IF(AND(ISTEXT(KOL_Source_Data!$T$9),KOL_Source_Data!$T$9&lt;&gt;"N/A"),KOL_Source_Data!$T$9,"")&amp;" | "&amp;IF(AND(ISTEXT(KOL_Source_Data!$N$9),KOL_Source_Data!$N$9&lt;&gt;"N/A"),KOL_Source_Data!$N$9,"")&amp;" | "&amp;IF(AND(ISTEXT(KOL_Source_Data!$K$9),KOL_Source_Data!$K$9&lt;&gt;"N/A"),KOL_Source_Data!$K$9,"")&amp;" | "&amp;IF(AND(ISTEXT(KOL_Source_Data!$J$9),KOL_Source_Data!$J$9&lt;&gt;"N/A"),KOL_Source_Data!$J$9,"")</f>
      </c>
      <c r="BE33" s="11">
        <f>IF(AND(ISTEXT(KOL_Source_Data!$T$9),KOL_Source_Data!$T$9&lt;&gt;"N/A"),KOL_Source_Data!$T$9,"")&amp;" | "&amp;IF(AND(ISTEXT(KOL_Source_Data!$N$9),KOL_Source_Data!$N$9&lt;&gt;"N/A"),KOL_Source_Data!$N$9,"")&amp;" | "&amp;IF(AND(ISTEXT(KOL_Source_Data!$O$9),KOL_Source_Data!$O$9&lt;&gt;"N/A"),KOL_Source_Data!$O$9,"")&amp;" | "&amp;IF(AND(ISTEXT(KOL_Source_Data!$S$9),KOL_Source_Data!$S$9&lt;&gt;"N/A"),KOL_Source_Data!$S$9,"")</f>
      </c>
      <c r="BF33" s="11">
        <f>IF(AND(ISTEXT(KOL_Source_Data!$U$9),KOL_Source_Data!$U$9&lt;&gt;"N/A"),KOL_Source_Data!$U$9,"")</f>
      </c>
      <c r="BG33" s="11">
        <f>Matching_Engine!$A$33&amp;"|"&amp;Matching_Engine!$C$33</f>
      </c>
    </row>
    <row r="34" spans="1:59" x14ac:dyDescent="0.25">
      <c r="A34" s="10" t="s">
        <v>391</v>
      </c>
      <c r="B34" s="11">
        <f>Brand_Profile!$F$6</f>
      </c>
      <c r="C34" s="11">
        <f>KOL_Source_Data!$A$10</f>
      </c>
      <c r="D34" s="11">
        <f>KOL_Source_Data!$C$10</f>
      </c>
      <c r="E34" s="11">
        <f>KOL_Source_Data!$D$10</f>
      </c>
      <c r="F34" s="11">
        <f>KOL_Source_Data!$E$10</f>
      </c>
      <c r="G34" s="11">
        <f>KOL_Source_Data!$K$10</f>
      </c>
      <c r="H34" s="12">
        <f>KOL_Source_Data!$G$10</f>
      </c>
      <c r="I34" s="14">
        <f>KOL_Source_Data!$BG$10</f>
      </c>
      <c r="J34" s="18">
        <f>IF(NOT(AND(ISTEXT(KOL_Source_Data!$K$10),KOL_Source_Data!$K$10&lt;&gt;"N/A")),Lookup_Lists!$D$150,IF(Brand_Profile!$F$7=KOL_Source_Data!$K$10,100,IFERROR(INDEX(Lookup_Lists!$B$349:$J$357,MATCH(Brand_Profile!$F$7,Lookup_Lists!$A$349:$A$357,0),MATCH(KOL_Source_Data!$K$10,Lookup_Lists!$B$348:$J$348,0)),Lookup_Lists!$D$151)))</f>
      </c>
      <c r="K34" s="18">
        <f>IF(LEN(TRIM(SUBSTITUTE(Matching_Engine!$BD$34,"|","")))=0,"N/A",IF(Brand_Profile!$F$47=0,Lookup_Lists!$D$150,ROUND((IF(Brand_Profile!$F$41="",0,IF(ISNUMBER(SEARCH(Brand_Profile!$F$41,Matching_Engine!$BD$34)),1,0))+IF(Brand_Profile!$F$42="",0,IF(ISNUMBER(SEARCH(Brand_Profile!$F$42,Matching_Engine!$BD$34)),1,0))+IF(Brand_Profile!$F$43="",0,IF(ISNUMBER(SEARCH(Brand_Profile!$F$43,Matching_Engine!$BD$34)),1,0))+IF(Brand_Profile!$F$44="",0,IF(ISNUMBER(SEARCH(Brand_Profile!$F$44,Matching_Engine!$BD$34)),1,0))+IF(Brand_Profile!$F$45="",0,IF(ISNUMBER(SEARCH(Brand_Profile!$F$45,Matching_Engine!$BD$34)),1,0))+IF(Brand_Profile!$F$46="",0,IF(ISNUMBER(SEARCH(Brand_Profile!$F$46,Matching_Engine!$BD$34)),1,0)))/Brand_Profile!$F$47*100,0)))</f>
      </c>
      <c r="L34" s="18">
        <f>IF(NOT(AND(ISTEXT(KOL_Source_Data!$U$10),KOL_Source_Data!$U$10&lt;&gt;"N/A")),"N/A",IF(Brand_Profile!$F$53=0,Lookup_Lists!$D$150,ROUND((IF(Brand_Profile!$F$48="",0,IF(ISNUMBER(SEARCH(Brand_Profile!$F$48,Matching_Engine!$BF$34)),1,0))+IF(Brand_Profile!$F$49="",0,IF(ISNUMBER(SEARCH(Brand_Profile!$F$49,Matching_Engine!$BF$34)),1,0))+IF(Brand_Profile!$F$50="",0,IF(ISNUMBER(SEARCH(Brand_Profile!$F$50,Matching_Engine!$BF$34)),1,0))+IF(Brand_Profile!$F$51="",0,IF(ISNUMBER(SEARCH(Brand_Profile!$F$51,Matching_Engine!$BF$34)),1,0))+IF(Brand_Profile!$F$52="",0,IF(ISNUMBER(SEARCH(Brand_Profile!$F$52,Matching_Engine!$BF$34)),1,0)))/Brand_Profile!$F$53*100,0)))</f>
      </c>
      <c r="M34" s="29">
        <f>IF((IF(ISNUMBER(Matching_Engine!$J$34),Lookup_Lists!$D$332,0)+IF(ISNUMBER(Matching_Engine!$K$34),Lookup_Lists!$D$333,0)+IF(ISNUMBER(Matching_Engine!$L$34),Lookup_Lists!$D$334,0))=0,"N/A",ROUND((IF(ISNUMBER(Matching_Engine!$J$34),Matching_Engine!$J$34*Lookup_Lists!$D$332,0)+IF(ISNUMBER(Matching_Engine!$K$34),Matching_Engine!$K$34*Lookup_Lists!$D$333,0)+IF(ISNUMBER(Matching_Engine!$L$34),Matching_Engine!$L$34*Lookup_Lists!$D$334,0))/(IF(ISNUMBER(Matching_Engine!$J$34),Lookup_Lists!$D$332,0)+IF(ISNUMBER(Matching_Engine!$K$34),Lookup_Lists!$D$333,0)+IF(ISNUMBER(Matching_Engine!$L$34),Lookup_Lists!$D$334,0)),0))</f>
      </c>
      <c r="N34" s="11">
        <f>IF(ISNUMBER(Matching_Engine!$M$34),1,0)</f>
      </c>
      <c r="O34" s="18">
        <f>IF(NOT(ISNUMBER(IFERROR(INDEX(KOL_Source_Data!$V$10:KOL_Source_Data!$Z$10,1,MATCH(Brand_Profile!$F$11,Lookup_Lists!$F$6:$F$10,0)),""))),"N/A",MIN(100,ROUND((IFERROR(INDEX(KOL_Source_Data!$V$10:KOL_Source_Data!$Z$10,1,MATCH(Brand_Profile!$F$11,Lookup_Lists!$F$6:$F$10,0)),"")+0.5*IF(ISNUMBER(IFERROR(INDEX(KOL_Source_Data!$V$10:KOL_Source_Data!$Z$10,1,MATCH(Brand_Profile!$F$12,Lookup_Lists!$F$6:$F$10,0)),"")),IFERROR(INDEX(KOL_Source_Data!$V$10:KOL_Source_Data!$Z$10,1,MATCH(Brand_Profile!$F$12,Lookup_Lists!$F$6:$F$10,0)),""),0))/Lookup_Lists!$D$142*100,0)))</f>
      </c>
      <c r="P34" s="18">
        <f>IF(Brand_Profile!$F$13="Any",100,IF(NOT(ISNUMBER(KOL_Source_Data!$AA$10)),"N/A",IF(Brand_Profile!$F$13="Female",MIN(100,ROUND(KOL_Source_Data!$AA$10/Lookup_Lists!$D$143*100,0)),IF(Brand_Profile!$F$13="Male",MIN(100,ROUND(IF(ISNUMBER(KOL_Source_Data!$AB$10),KOL_Source_Data!$AB$10,100-KOL_Source_Data!$AA$10)/Lookup_Lists!$D$143*100,0)),MAX(0,ROUND(100-ABS(KOL_Source_Data!$AA$10-50)*2,0))))))</f>
      </c>
      <c r="Q34" s="18">
        <f>IF((IF(ISNUMBER(IF(NOT(ISNUMBER(KOL_Source_Data!$AE$10)),"N/A",IF(KOL_Source_Data!$AD$10&lt;&gt;Brand_Profile!$F$14,Lookup_Lists!$D$151,MIN(100,ROUND(KOL_Source_Data!$AE$10/Lookup_Lists!$D$316*100,0))))),Lookup_Lists!$D$118,0)+IF(ISNUMBER(IF(NOT(ISNUMBER(KOL_Source_Data!$AM$10)),"N/A",MIN(100,ROUND((IF(KOL_Source_Data!$AG$10=Brand_Profile!$F$15,IF(ISNUMBER(KOL_Source_Data!$AH$10),KOL_Source_Data!$AH$10,0),0)+IF(KOL_Source_Data!$AI$10=Brand_Profile!$F$15,IF(ISNUMBER(KOL_Source_Data!$AJ$10),KOL_Source_Data!$AJ$10,0),0)+IF(KOL_Source_Data!$AK$10=Brand_Profile!$F$15,IF(ISNUMBER(KOL_Source_Data!$AL$10),KOL_Source_Data!$AL$10,0),0))/Lookup_Lists!$D$317*100,0)))),Lookup_Lists!$D$120,0))=0,"N/A",ROUND((IF(ISNUMBER(IF(NOT(ISNUMBER(KOL_Source_Data!$AE$10)),"N/A",IF(KOL_Source_Data!$AD$10&lt;&gt;Brand_Profile!$F$14,Lookup_Lists!$D$151,MIN(100,ROUND(KOL_Source_Data!$AE$10/Lookup_Lists!$D$316*100,0))))),IF(NOT(ISNUMBER(KOL_Source_Data!$AE$10)),"N/A",IF(KOL_Source_Data!$AD$10&lt;&gt;Brand_Profile!$F$14,Lookup_Lists!$D$151,MIN(100,ROUND(KOL_Source_Data!$AE$10/Lookup_Lists!$D$316*100,0))))*Lookup_Lists!$D$118,0)+IF(ISNUMBER(IF(NOT(ISNUMBER(KOL_Source_Data!$AM$10)),"N/A",MIN(100,ROUND((IF(KOL_Source_Data!$AG$10=Brand_Profile!$F$15,IF(ISNUMBER(KOL_Source_Data!$AH$10),KOL_Source_Data!$AH$10,0),0)+IF(KOL_Source_Data!$AI$10=Brand_Profile!$F$15,IF(ISNUMBER(KOL_Source_Data!$AJ$10),KOL_Source_Data!$AJ$10,0),0)+IF(KOL_Source_Data!$AK$10=Brand_Profile!$F$15,IF(ISNUMBER(KOL_Source_Data!$AL$10),KOL_Source_Data!$AL$10,0),0))/Lookup_Lists!$D$317*100,0)))),IF(NOT(ISNUMBER(KOL_Source_Data!$AM$10)),"N/A",MIN(100,ROUND((IF(KOL_Source_Data!$AG$10=Brand_Profile!$F$15,IF(ISNUMBER(KOL_Source_Data!$AH$10),KOL_Source_Data!$AH$10,0),0)+IF(KOL_Source_Data!$AI$10=Brand_Profile!$F$15,IF(ISNUMBER(KOL_Source_Data!$AJ$10),KOL_Source_Data!$AJ$10,0),0)+IF(KOL_Source_Data!$AK$10=Brand_Profile!$F$15,IF(ISNUMBER(KOL_Source_Data!$AL$10),KOL_Source_Data!$AL$10,0),0))/Lookup_Lists!$D$317*100,0)))*Lookup_Lists!$D$120,0))/(IF(ISNUMBER(IF(NOT(ISNUMBER(KOL_Source_Data!$AE$10)),"N/A",IF(KOL_Source_Data!$AD$10&lt;&gt;Brand_Profile!$F$14,Lookup_Lists!$D$151,MIN(100,ROUND(KOL_Source_Data!$AE$10/Lookup_Lists!$D$316*100,0))))),Lookup_Lists!$D$118,0)+IF(ISNUMBER(IF(NOT(ISNUMBER(KOL_Source_Data!$AM$10)),"N/A",MIN(100,ROUND((IF(KOL_Source_Data!$AG$10=Brand_Profile!$F$15,IF(ISNUMBER(KOL_Source_Data!$AH$10),KOL_Source_Data!$AH$10,0),0)+IF(KOL_Source_Data!$AI$10=Brand_Profile!$F$15,IF(ISNUMBER(KOL_Source_Data!$AJ$10),KOL_Source_Data!$AJ$10,0),0)+IF(KOL_Source_Data!$AK$10=Brand_Profile!$F$15,IF(ISNUMBER(KOL_Source_Data!$AL$10),KOL_Source_Data!$AL$10,0),0))/Lookup_Lists!$D$317*100,0)))),Lookup_Lists!$D$120,0)),0))</f>
      </c>
      <c r="R34" s="18">
        <f>IF(NOT(ISNUMBER(KOL_Source_Data!$AN$10)),"N/A",MIN(100,ROUND((IF(ISNUMBER(KOL_Source_Data!$AO$10),KOL_Source_Data!$AO$10*Brand_Profile!$F$17,0)+IF(ISNUMBER(KOL_Source_Data!$AP$10),KOL_Source_Data!$AP$10*Brand_Profile!$F$18,0)+IF(ISNUMBER(KOL_Source_Data!$AQ$10),KOL_Source_Data!$AQ$10*Brand_Profile!$F$19,0)+IF(ISNUMBER(KOL_Source_Data!$AR$10),KOL_Source_Data!$AR$10*Brand_Profile!$F$20,0)+IF(ISNUMBER(KOL_Source_Data!$AS$10),KOL_Source_Data!$AS$10*Brand_Profile!$F$21,0)+IF(ISNUMBER(KOL_Source_Data!$AT$10),KOL_Source_Data!$AT$10*Brand_Profile!$F$22,0)+IF(ISNUMBER(KOL_Source_Data!$AU$10),KOL_Source_Data!$AU$10*Brand_Profile!$F$23,0)+IF(ISNUMBER(KOL_Source_Data!$AV$10),KOL_Source_Data!$AV$10*Brand_Profile!$F$24,0)+IF(ISNUMBER(KOL_Source_Data!$AW$10),KOL_Source_Data!$AW$10*Brand_Profile!$F$25,0)+IF(ISNUMBER(KOL_Source_Data!$AX$10),KOL_Source_Data!$AX$10*Brand_Profile!$F$26,0)+IF(ISNUMBER(KOL_Source_Data!$AY$10),KOL_Source_Data!$AY$10*Brand_Profile!$F$27,0)+IF(ISNUMBER(KOL_Source_Data!$AZ$10),KOL_Source_Data!$AZ$10*Brand_Profile!$F$28,0)+IF(ISNUMBER(KOL_Source_Data!$BA$10),KOL_Source_Data!$BA$10*Brand_Profile!$F$29,0)+IF(ISNUMBER(KOL_Source_Data!$BB$10),KOL_Source_Data!$BB$10*Brand_Profile!$F$30,0)+IF(ISNUMBER(KOL_Source_Data!$BC$10),KOL_Source_Data!$BC$10*Brand_Profile!$F$31,0)+IF(ISNUMBER(KOL_Source_Data!$BD$10),KOL_Source_Data!$BD$10*Brand_Profile!$F$32,0)+IF(ISNUMBER(KOL_Source_Data!$BE$10),KOL_Source_Data!$BE$10*Brand_Profile!$F$33,0)+IF(ISNUMBER(KOL_Source_Data!$BF$10),KOL_Source_Data!$BF$10*Brand_Profile!$F$34,0))/Lookup_Lists!$D$318*100,0)))</f>
      </c>
      <c r="S34" s="29">
        <f>IF((IF(ISNUMBER(Matching_Engine!$O$34),Lookup_Lists!$D$113,0)+IF(ISNUMBER(Matching_Engine!$P$34),Lookup_Lists!$D$114,0)+IF(ISNUMBER(Matching_Engine!$Q$34),Lookup_Lists!$D$115,0)+IF(ISNUMBER(Matching_Engine!$R$34),Lookup_Lists!$D$116,0))=0,"N/A",ROUND((IF(ISNUMBER(Matching_Engine!$O$34),Matching_Engine!$O$34*Lookup_Lists!$D$113,0)+IF(ISNUMBER(Matching_Engine!$P$34),Matching_Engine!$P$34*Lookup_Lists!$D$114,0)+IF(ISNUMBER(Matching_Engine!$Q$34),Matching_Engine!$Q$34*Lookup_Lists!$D$115,0)+IF(ISNUMBER(Matching_Engine!$R$34),Matching_Engine!$R$34*Lookup_Lists!$D$116,0))/(IF(ISNUMBER(Matching_Engine!$O$34),Lookup_Lists!$D$113,0)+IF(ISNUMBER(Matching_Engine!$P$34),Lookup_Lists!$D$114,0)+IF(ISNUMBER(Matching_Engine!$Q$34),Lookup_Lists!$D$115,0)+IF(ISNUMBER(Matching_Engine!$R$34),Lookup_Lists!$D$116,0)),0))</f>
      </c>
      <c r="T34" s="11">
        <f>IF(ISNUMBER(Matching_Engine!$S$34),1,0)</f>
      </c>
      <c r="U34" s="18">
        <f>IF(NOT(AND(ISTEXT(KOL_Source_Data!$M$10),KOL_Source_Data!$M$10&lt;&gt;"N/A")),Lookup_Lists!$D$150,IF(Brand_Profile!$F$7=KOL_Source_Data!$M$10,100,IFERROR(INDEX(Lookup_Lists!$B$349:$J$357,MATCH(Brand_Profile!$F$7,Lookup_Lists!$A$349:$A$357,0),MATCH(KOL_Source_Data!$M$10,Lookup_Lists!$B$348:$J$348,0)),Lookup_Lists!$D$151)))</f>
      </c>
      <c r="V34" s="18">
        <f>IF(NOT(AND(ISTEXT(KOL_Source_Data!$P$10),KOL_Source_Data!$P$10&lt;&gt;"N/A")),"N/A",IFERROR(INDEX(Lookup_Lists!$B$349:$J$357,MATCH(Brand_Profile!$F$7,Lookup_Lists!$A$349:$A$357,0),MATCH(KOL_Source_Data!$P$10,Lookup_Lists!$B$348:$J$348,0)),Lookup_Lists!$D$151))</f>
      </c>
      <c r="W34" s="18">
        <f>IF(LEN(TRIM(SUBSTITUTE(Matching_Engine!$BE$34,"|","")))=0,"N/A",IF(Brand_Profile!$F$60=0,Lookup_Lists!$D$150,ROUND((IF(Brand_Profile!$F$54="",0,IF(ISNUMBER(SEARCH(Brand_Profile!$F$54,Matching_Engine!$BE$34)),1,0))+IF(Brand_Profile!$F$55="",0,IF(ISNUMBER(SEARCH(Brand_Profile!$F$55,Matching_Engine!$BE$34)),1,0))+IF(Brand_Profile!$F$56="",0,IF(ISNUMBER(SEARCH(Brand_Profile!$F$56,Matching_Engine!$BE$34)),1,0))+IF(Brand_Profile!$F$57="",0,IF(ISNUMBER(SEARCH(Brand_Profile!$F$57,Matching_Engine!$BE$34)),1,0))+IF(Brand_Profile!$F$58="",0,IF(ISNUMBER(SEARCH(Brand_Profile!$F$58,Matching_Engine!$BE$34)),1,0))+IF(Brand_Profile!$F$59="",0,IF(ISNUMBER(SEARCH(Brand_Profile!$F$59,Matching_Engine!$BE$34)),1,0)))/Brand_Profile!$F$60*100,0)))</f>
      </c>
      <c r="X34" s="18">
        <f>IF(NOT(AND(ISTEXT(KOL_Source_Data!$Q$10),KOL_Source_Data!$Q$10&lt;&gt;"N/A")),"N/A",Lookup_Lists!$D$150)</f>
      </c>
      <c r="Y34" s="29">
        <f>IF((IF(ISNUMBER(Matching_Engine!$U$34),Lookup_Lists!$D$335,0)+IF(ISNUMBER(Matching_Engine!$V$34),Lookup_Lists!$D$122,0)+IF(ISNUMBER(Matching_Engine!$W$34),Lookup_Lists!$D$336,0)+IF(ISNUMBER(Matching_Engine!$X$34),Lookup_Lists!$D$124,0))=0,"N/A",ROUND((IF(ISNUMBER(Matching_Engine!$U$34),Matching_Engine!$U$34*Lookup_Lists!$D$335,0)+IF(ISNUMBER(Matching_Engine!$V$34),Matching_Engine!$V$34*Lookup_Lists!$D$122,0)+IF(ISNUMBER(Matching_Engine!$W$34),Matching_Engine!$W$34*Lookup_Lists!$D$336,0)+IF(ISNUMBER(Matching_Engine!$X$34),Matching_Engine!$X$34*Lookup_Lists!$D$124,0))/(IF(ISNUMBER(Matching_Engine!$U$34),Lookup_Lists!$D$335,0)+IF(ISNUMBER(Matching_Engine!$V$34),Lookup_Lists!$D$122,0)+IF(ISNUMBER(Matching_Engine!$W$34),Lookup_Lists!$D$336,0)+IF(ISNUMBER(Matching_Engine!$X$34),Lookup_Lists!$D$124,0)),0))</f>
      </c>
      <c r="Z34" s="11">
        <f>IF(ISNUMBER(Matching_Engine!$Y$34),1,0)</f>
      </c>
      <c r="AA34" s="18">
        <f>IF(NOT(AND(ISTEXT(KOL_Source_Data!$Q$10),KOL_Source_Data!$Q$10&lt;&gt;"N/A")),"N/A",Lookup_Lists!$D$150)</f>
      </c>
      <c r="AB34" s="18">
        <f>IF(NOT(AND(ISTEXT(KOL_Source_Data!$Q$10),KOL_Source_Data!$Q$10&lt;&gt;"N/A")),"N/A",Lookup_Lists!$D$150)</f>
      </c>
      <c r="AC34" s="18">
        <f>"N/A"</f>
      </c>
      <c r="AD34" s="18">
        <f>IF(NOT(AND(ISTEXT(KOL_Source_Data!$Q$10),KOL_Source_Data!$Q$10&lt;&gt;"N/A")),"N/A",Lookup_Lists!$D$150)</f>
      </c>
      <c r="AE34" s="29">
        <f>IF((IF(ISNUMBER(Matching_Engine!$AA$34),Lookup_Lists!$D$125,0)+IF(ISNUMBER(Matching_Engine!$AB$34),Lookup_Lists!$D$126,0)+IF(ISNUMBER(Matching_Engine!$AC$34),Lookup_Lists!$D$127,0)+IF(ISNUMBER(Matching_Engine!$AD$34),Lookup_Lists!$D$128,0))=0,"N/A",ROUND((IF(ISNUMBER(Matching_Engine!$AA$34),Matching_Engine!$AA$34*Lookup_Lists!$D$125,0)+IF(ISNUMBER(Matching_Engine!$AB$34),Matching_Engine!$AB$34*Lookup_Lists!$D$126,0)+IF(ISNUMBER(Matching_Engine!$AC$34),Matching_Engine!$AC$34*Lookup_Lists!$D$127,0)+IF(ISNUMBER(Matching_Engine!$AD$34),Matching_Engine!$AD$34*Lookup_Lists!$D$128,0))/(IF(ISNUMBER(Matching_Engine!$AA$34),Lookup_Lists!$D$125,0)+IF(ISNUMBER(Matching_Engine!$AB$34),Lookup_Lists!$D$126,0)+IF(ISNUMBER(Matching_Engine!$AC$34),Lookup_Lists!$D$127,0)+IF(ISNUMBER(Matching_Engine!$AD$34),Lookup_Lists!$D$128,0)),0))</f>
      </c>
      <c r="AF34" s="11">
        <f>IF(ISNUMBER(Matching_Engine!$AE$34),1,0)</f>
      </c>
      <c r="AG34" s="18">
        <f>IF(NOT(ISNUMBER(KOL_Source_Data!$BG$10)),"N/A",MIN(100,ROUND(KOL_Source_Data!$BG$10/IFERROR(INDEX(Lookup_Lists!$B$340:$B$344,MATCH(KOL_Source_Data!$H$10,Lookup_Lists!$A$340:$A$344,0)),Lookup_Lists!$D$141)*100,0)))</f>
      </c>
      <c r="AH34" s="18">
        <f>IF(NOT(ISNUMBER(KOL_Source_Data!$BS$10)),"N/A",MIN(100,MAX(0,KOL_Source_Data!$BS$10)))</f>
      </c>
      <c r="AI34" s="18">
        <f>IF(OR(NOT(ISNUMBER(KOL_Source_Data!$BM$10)),NOT(ISNUMBER(KOL_Source_Data!$BN$10)),KOL_Source_Data!$BN$10&lt;Lookup_Lists!$D$320),"N/A",MIN(100,ROUND(KOL_Source_Data!$BM$10/Lookup_Lists!$D$319*100,0)))</f>
      </c>
      <c r="AJ34" s="18">
        <f>IF(NOT(ISNUMBER(KOL_Source_Data!$BR$10)),"N/A",KOL_Source_Data!$BR$10)</f>
      </c>
      <c r="AK34" s="18">
        <f>IF(NOT(ISNUMBER(KOL_Source_Data!$BK$10)),"N/A",MIN(100,ROUND(KOL_Source_Data!$BK$10/Lookup_Lists!$D$321*100,0)))</f>
      </c>
      <c r="AL34" s="18">
        <f>IF(NOT(ISNUMBER(KOL_Source_Data!$BP$10)),"N/A",MIN(100,MAX(0,ROUND((KOL_Source_Data!$BP$10+2)/(Lookup_Lists!$D$145+2)*100,0))))</f>
      </c>
      <c r="AM34" s="29">
        <f>IF((IF(ISNUMBER(Matching_Engine!$AG$34),Lookup_Lists!$D$129,0)+IF(ISNUMBER(Matching_Engine!$AH$34),Lookup_Lists!$D$130,0)+IF(ISNUMBER(Matching_Engine!$AI$34),Lookup_Lists!$D$131,0)+IF(ISNUMBER(Matching_Engine!$AJ$34),Lookup_Lists!$D$132,0)+IF(ISNUMBER(Matching_Engine!$AK$34),Lookup_Lists!$D$133,0)+IF(ISNUMBER(Matching_Engine!$AL$34),Lookup_Lists!$D$134,0))=0,"N/A",ROUND((IF(ISNUMBER(Matching_Engine!$AG$34),Matching_Engine!$AG$34*Lookup_Lists!$D$129,0)+IF(ISNUMBER(Matching_Engine!$AH$34),Matching_Engine!$AH$34*Lookup_Lists!$D$130,0)+IF(ISNUMBER(Matching_Engine!$AI$34),Matching_Engine!$AI$34*Lookup_Lists!$D$131,0)+IF(ISNUMBER(Matching_Engine!$AJ$34),Matching_Engine!$AJ$34*Lookup_Lists!$D$132,0)+IF(ISNUMBER(Matching_Engine!$AK$34),Matching_Engine!$AK$34*Lookup_Lists!$D$133,0)+IF(ISNUMBER(Matching_Engine!$AL$34),Matching_Engine!$AL$34*Lookup_Lists!$D$134,0))/(IF(ISNUMBER(Matching_Engine!$AG$34),Lookup_Lists!$D$129,0)+IF(ISNUMBER(Matching_Engine!$AH$34),Lookup_Lists!$D$130,0)+IF(ISNUMBER(Matching_Engine!$AI$34),Lookup_Lists!$D$131,0)+IF(ISNUMBER(Matching_Engine!$AJ$34),Lookup_Lists!$D$132,0)+IF(ISNUMBER(Matching_Engine!$AK$34),Lookup_Lists!$D$133,0)+IF(ISNUMBER(Matching_Engine!$AL$34),Lookup_Lists!$D$134,0)),0))</f>
      </c>
      <c r="AN34" s="11">
        <f>IF(ISNUMBER(Matching_Engine!$AM$34),1,0)</f>
      </c>
      <c r="AO34" s="18">
        <f>IF(NOT(ISNUMBER(KOL_Source_Data!$BT$10)),"N/A",MIN(100,MAX(0,KOL_Source_Data!$BT$10)))</f>
      </c>
      <c r="AP34" s="18">
        <f>IF(NOT(ISNUMBER(KOL_Source_Data!$BU$10)),"N/A",MIN(100,MAX(0,KOL_Source_Data!$BU$10)))</f>
      </c>
      <c r="AQ34" s="18">
        <f>IF(KOL_Source_Data!$I$10="Yes",Lookup_Lists!$D$326,IF(KOL_Source_Data!$I$10="No",Lookup_Lists!$D$327,"N/A"))</f>
      </c>
      <c r="AR34" s="18">
        <f>IF(NOT(ISNUMBER(KOL_Source_Data!$BQ$10)),"N/A",MAX(0,ROUND(100-KOL_Source_Data!$BQ$10/Lookup_Lists!$D$328*100,0)))</f>
      </c>
      <c r="AS34" s="18">
        <f>IF(NOT(AND(ISTEXT(KOL_Source_Data!$BV$10),KOL_Source_Data!$BV$10&lt;&gt;"N/A")),"N/A",KOL_Source_Data!$BV$10)</f>
      </c>
      <c r="AT34" s="29">
        <f>IF((IF(ISNUMBER(Matching_Engine!$AO$34),Lookup_Lists!$D$322,0)+IF(ISNUMBER(Matching_Engine!$AP$34),Lookup_Lists!$D$323,0)+IF(ISNUMBER(Matching_Engine!$AQ$34),Lookup_Lists!$D$324,0)+IF(ISNUMBER(Matching_Engine!$AR$34),Lookup_Lists!$D$325,0))=0,"N/A",ROUND((IF(ISNUMBER(Matching_Engine!$AO$34),Matching_Engine!$AO$34*Lookup_Lists!$D$322,0)+IF(ISNUMBER(Matching_Engine!$AP$34),Matching_Engine!$AP$34*Lookup_Lists!$D$323,0)+IF(ISNUMBER(Matching_Engine!$AQ$34),Matching_Engine!$AQ$34*Lookup_Lists!$D$324,0)+IF(ISNUMBER(Matching_Engine!$AR$34),Matching_Engine!$AR$34*Lookup_Lists!$D$325,0))/(IF(ISNUMBER(Matching_Engine!$AO$34),Lookup_Lists!$D$322,0)+IF(ISNUMBER(Matching_Engine!$AP$34),Lookup_Lists!$D$323,0)+IF(ISNUMBER(Matching_Engine!$AQ$34),Lookup_Lists!$D$324,0)+IF(ISNUMBER(Matching_Engine!$AR$34),Lookup_Lists!$D$325,0)),0))</f>
      </c>
      <c r="AU34" s="11">
        <f>IF(ISNUMBER(Matching_Engine!$AT$34),1,0)</f>
      </c>
      <c r="AV34" s="11">
        <f>IF(NOT(ISNUMBER(Matching_Engine!$AT$34)),"Not Screened",IF(Matching_Engine!$AT$34&gt;=Lookup_Lists!$D$329,"Low Risk",IF(Matching_Engine!$AT$34&gt;=Lookup_Lists!$D$330,"Moderate Risk",IF(Matching_Engine!$AT$34&gt;=Lookup_Lists!$D$331,"Elevated Risk","High Risk"))))</f>
      </c>
      <c r="AW34" s="11">
        <f>IF(NOT(ISNUMBER(Matching_Engine!$AT$34)),"No integrity signal: no audience-analysis row for this account.","Integrity screen only — no content-risk reading exists (comments_analysis: 0 rows). "&amp;IF(ISNUMBER(Matching_Engine!$AO$34),"Authenticity "&amp;Matching_Engine!$AO$34&amp;". ","Authenticity N/A. ")&amp;IF(ISNUMBER(Matching_Engine!$AP$34),"Follower quality "&amp;Matching_Engine!$AP$34&amp;". ","Follower quality N/A. ")&amp;IF(KOL_Source_Data!$I$10="Yes","Platform-verified.","Not platform-verified."))</f>
      </c>
      <c r="AX34" s="18">
        <f>Matching_Engine!$N$34*Lookup_Lists!$D$104+Matching_Engine!$T$34*Lookup_Lists!$D$105+Matching_Engine!$Z$34*Lookup_Lists!$D$106+Matching_Engine!$AF$34*Lookup_Lists!$D$107+Matching_Engine!$AN$34*Lookup_Lists!$D$108+Matching_Engine!$AU$34*Lookup_Lists!$D$109</f>
      </c>
      <c r="AY34" s="30">
        <f>IF(Matching_Engine!$AX$34=0,"N/A",ROUND((IF(Matching_Engine!$N$34=1,Matching_Engine!$M$34*Lookup_Lists!$D$104,0)+IF(Matching_Engine!$T$34=1,Matching_Engine!$S$34*Lookup_Lists!$D$105,0)+IF(Matching_Engine!$Z$34=1,Matching_Engine!$Y$34*Lookup_Lists!$D$106,0)+IF(Matching_Engine!$AF$34=1,Matching_Engine!$AE$34*Lookup_Lists!$D$107,0)+IF(Matching_Engine!$AN$34=1,Matching_Engine!$AM$34*Lookup_Lists!$D$108,0)+IF(Matching_Engine!$AU$34=1,Matching_Engine!$AT$34*Lookup_Lists!$D$109,0))/Matching_Engine!$AX$34,0))</f>
      </c>
      <c r="AZ34" s="11">
        <f>IF(NOT(ISNUMBER(Matching_Engine!$AY$34)),"Not Scored",IF(Matching_Engine!$AY$34&gt;=Lookup_Lists!$D$152,"Excellent Match",IF(Matching_Engine!$AY$34&gt;=Lookup_Lists!$D$153,"Strong Match",IF(Matching_Engine!$AY$34&gt;=Lookup_Lists!$D$154,"Good Match",IF(Matching_Engine!$AY$34&gt;=Lookup_Lists!$D$155,"Moderate Match","Low Match")))))</f>
      </c>
      <c r="BA34" s="18">
        <f>KOL_Source_Data!$BW$10</f>
      </c>
      <c r="BB34" s="11">
        <f>KOL_Source_Data!$BX$10</f>
      </c>
      <c r="BC34" s="18">
        <f>IF(NOT(ISNUMBER(Matching_Engine!$AY$34)),-1,Matching_Engine!$AY$34*1000+20)</f>
      </c>
      <c r="BD34" s="11">
        <f>IF(AND(ISTEXT(KOL_Source_Data!$S$10),KOL_Source_Data!$S$10&lt;&gt;"N/A"),KOL_Source_Data!$S$10,"")&amp;" | "&amp;IF(AND(ISTEXT(KOL_Source_Data!$T$10),KOL_Source_Data!$T$10&lt;&gt;"N/A"),KOL_Source_Data!$T$10,"")&amp;" | "&amp;IF(AND(ISTEXT(KOL_Source_Data!$N$10),KOL_Source_Data!$N$10&lt;&gt;"N/A"),KOL_Source_Data!$N$10,"")&amp;" | "&amp;IF(AND(ISTEXT(KOL_Source_Data!$K$10),KOL_Source_Data!$K$10&lt;&gt;"N/A"),KOL_Source_Data!$K$10,"")&amp;" | "&amp;IF(AND(ISTEXT(KOL_Source_Data!$J$10),KOL_Source_Data!$J$10&lt;&gt;"N/A"),KOL_Source_Data!$J$10,"")</f>
      </c>
      <c r="BE34" s="11">
        <f>IF(AND(ISTEXT(KOL_Source_Data!$T$10),KOL_Source_Data!$T$10&lt;&gt;"N/A"),KOL_Source_Data!$T$10,"")&amp;" | "&amp;IF(AND(ISTEXT(KOL_Source_Data!$N$10),KOL_Source_Data!$N$10&lt;&gt;"N/A"),KOL_Source_Data!$N$10,"")&amp;" | "&amp;IF(AND(ISTEXT(KOL_Source_Data!$O$10),KOL_Source_Data!$O$10&lt;&gt;"N/A"),KOL_Source_Data!$O$10,"")&amp;" | "&amp;IF(AND(ISTEXT(KOL_Source_Data!$S$10),KOL_Source_Data!$S$10&lt;&gt;"N/A"),KOL_Source_Data!$S$10,"")</f>
      </c>
      <c r="BF34" s="11">
        <f>IF(AND(ISTEXT(KOL_Source_Data!$U$10),KOL_Source_Data!$U$10&lt;&gt;"N/A"),KOL_Source_Data!$U$10,"")</f>
      </c>
      <c r="BG34" s="11">
        <f>Matching_Engine!$A$34&amp;"|"&amp;Matching_Engine!$C$34</f>
      </c>
    </row>
    <row r="35" spans="1:59" x14ac:dyDescent="0.25">
      <c r="A35" s="10" t="s">
        <v>391</v>
      </c>
      <c r="B35" s="11">
        <f>Brand_Profile!$F$6</f>
      </c>
      <c r="C35" s="11">
        <f>KOL_Source_Data!$A$11</f>
      </c>
      <c r="D35" s="11">
        <f>KOL_Source_Data!$C$11</f>
      </c>
      <c r="E35" s="11">
        <f>KOL_Source_Data!$D$11</f>
      </c>
      <c r="F35" s="11">
        <f>KOL_Source_Data!$E$11</f>
      </c>
      <c r="G35" s="11">
        <f>KOL_Source_Data!$K$11</f>
      </c>
      <c r="H35" s="12">
        <f>KOL_Source_Data!$G$11</f>
      </c>
      <c r="I35" s="14">
        <f>KOL_Source_Data!$BG$11</f>
      </c>
      <c r="J35" s="18">
        <f>IF(NOT(AND(ISTEXT(KOL_Source_Data!$K$11),KOL_Source_Data!$K$11&lt;&gt;"N/A")),Lookup_Lists!$D$150,IF(Brand_Profile!$F$7=KOL_Source_Data!$K$11,100,IFERROR(INDEX(Lookup_Lists!$B$349:$J$357,MATCH(Brand_Profile!$F$7,Lookup_Lists!$A$349:$A$357,0),MATCH(KOL_Source_Data!$K$11,Lookup_Lists!$B$348:$J$348,0)),Lookup_Lists!$D$151)))</f>
      </c>
      <c r="K35" s="18">
        <f>IF(LEN(TRIM(SUBSTITUTE(Matching_Engine!$BD$35,"|","")))=0,"N/A",IF(Brand_Profile!$F$47=0,Lookup_Lists!$D$150,ROUND((IF(Brand_Profile!$F$41="",0,IF(ISNUMBER(SEARCH(Brand_Profile!$F$41,Matching_Engine!$BD$35)),1,0))+IF(Brand_Profile!$F$42="",0,IF(ISNUMBER(SEARCH(Brand_Profile!$F$42,Matching_Engine!$BD$35)),1,0))+IF(Brand_Profile!$F$43="",0,IF(ISNUMBER(SEARCH(Brand_Profile!$F$43,Matching_Engine!$BD$35)),1,0))+IF(Brand_Profile!$F$44="",0,IF(ISNUMBER(SEARCH(Brand_Profile!$F$44,Matching_Engine!$BD$35)),1,0))+IF(Brand_Profile!$F$45="",0,IF(ISNUMBER(SEARCH(Brand_Profile!$F$45,Matching_Engine!$BD$35)),1,0))+IF(Brand_Profile!$F$46="",0,IF(ISNUMBER(SEARCH(Brand_Profile!$F$46,Matching_Engine!$BD$35)),1,0)))/Brand_Profile!$F$47*100,0)))</f>
      </c>
      <c r="L35" s="18">
        <f>IF(NOT(AND(ISTEXT(KOL_Source_Data!$U$11),KOL_Source_Data!$U$11&lt;&gt;"N/A")),"N/A",IF(Brand_Profile!$F$53=0,Lookup_Lists!$D$150,ROUND((IF(Brand_Profile!$F$48="",0,IF(ISNUMBER(SEARCH(Brand_Profile!$F$48,Matching_Engine!$BF$35)),1,0))+IF(Brand_Profile!$F$49="",0,IF(ISNUMBER(SEARCH(Brand_Profile!$F$49,Matching_Engine!$BF$35)),1,0))+IF(Brand_Profile!$F$50="",0,IF(ISNUMBER(SEARCH(Brand_Profile!$F$50,Matching_Engine!$BF$35)),1,0))+IF(Brand_Profile!$F$51="",0,IF(ISNUMBER(SEARCH(Brand_Profile!$F$51,Matching_Engine!$BF$35)),1,0))+IF(Brand_Profile!$F$52="",0,IF(ISNUMBER(SEARCH(Brand_Profile!$F$52,Matching_Engine!$BF$35)),1,0)))/Brand_Profile!$F$53*100,0)))</f>
      </c>
      <c r="M35" s="29">
        <f>IF((IF(ISNUMBER(Matching_Engine!$J$35),Lookup_Lists!$D$332,0)+IF(ISNUMBER(Matching_Engine!$K$35),Lookup_Lists!$D$333,0)+IF(ISNUMBER(Matching_Engine!$L$35),Lookup_Lists!$D$334,0))=0,"N/A",ROUND((IF(ISNUMBER(Matching_Engine!$J$35),Matching_Engine!$J$35*Lookup_Lists!$D$332,0)+IF(ISNUMBER(Matching_Engine!$K$35),Matching_Engine!$K$35*Lookup_Lists!$D$333,0)+IF(ISNUMBER(Matching_Engine!$L$35),Matching_Engine!$L$35*Lookup_Lists!$D$334,0))/(IF(ISNUMBER(Matching_Engine!$J$35),Lookup_Lists!$D$332,0)+IF(ISNUMBER(Matching_Engine!$K$35),Lookup_Lists!$D$333,0)+IF(ISNUMBER(Matching_Engine!$L$35),Lookup_Lists!$D$334,0)),0))</f>
      </c>
      <c r="N35" s="11">
        <f>IF(ISNUMBER(Matching_Engine!$M$35),1,0)</f>
      </c>
      <c r="O35" s="18">
        <f>IF(NOT(ISNUMBER(IFERROR(INDEX(KOL_Source_Data!$V$11:KOL_Source_Data!$Z$11,1,MATCH(Brand_Profile!$F$11,Lookup_Lists!$F$6:$F$10,0)),""))),"N/A",MIN(100,ROUND((IFERROR(INDEX(KOL_Source_Data!$V$11:KOL_Source_Data!$Z$11,1,MATCH(Brand_Profile!$F$11,Lookup_Lists!$F$6:$F$10,0)),"")+0.5*IF(ISNUMBER(IFERROR(INDEX(KOL_Source_Data!$V$11:KOL_Source_Data!$Z$11,1,MATCH(Brand_Profile!$F$12,Lookup_Lists!$F$6:$F$10,0)),"")),IFERROR(INDEX(KOL_Source_Data!$V$11:KOL_Source_Data!$Z$11,1,MATCH(Brand_Profile!$F$12,Lookup_Lists!$F$6:$F$10,0)),""),0))/Lookup_Lists!$D$142*100,0)))</f>
      </c>
      <c r="P35" s="18">
        <f>IF(Brand_Profile!$F$13="Any",100,IF(NOT(ISNUMBER(KOL_Source_Data!$AA$11)),"N/A",IF(Brand_Profile!$F$13="Female",MIN(100,ROUND(KOL_Source_Data!$AA$11/Lookup_Lists!$D$143*100,0)),IF(Brand_Profile!$F$13="Male",MIN(100,ROUND(IF(ISNUMBER(KOL_Source_Data!$AB$11),KOL_Source_Data!$AB$11,100-KOL_Source_Data!$AA$11)/Lookup_Lists!$D$143*100,0)),MAX(0,ROUND(100-ABS(KOL_Source_Data!$AA$11-50)*2,0))))))</f>
      </c>
      <c r="Q35" s="18">
        <f>IF((IF(ISNUMBER(IF(NOT(ISNUMBER(KOL_Source_Data!$AE$11)),"N/A",IF(KOL_Source_Data!$AD$11&lt;&gt;Brand_Profile!$F$14,Lookup_Lists!$D$151,MIN(100,ROUND(KOL_Source_Data!$AE$11/Lookup_Lists!$D$316*100,0))))),Lookup_Lists!$D$118,0)+IF(ISNUMBER(IF(NOT(ISNUMBER(KOL_Source_Data!$AM$11)),"N/A",MIN(100,ROUND((IF(KOL_Source_Data!$AG$11=Brand_Profile!$F$15,IF(ISNUMBER(KOL_Source_Data!$AH$11),KOL_Source_Data!$AH$11,0),0)+IF(KOL_Source_Data!$AI$11=Brand_Profile!$F$15,IF(ISNUMBER(KOL_Source_Data!$AJ$11),KOL_Source_Data!$AJ$11,0),0)+IF(KOL_Source_Data!$AK$11=Brand_Profile!$F$15,IF(ISNUMBER(KOL_Source_Data!$AL$11),KOL_Source_Data!$AL$11,0),0))/Lookup_Lists!$D$317*100,0)))),Lookup_Lists!$D$120,0))=0,"N/A",ROUND((IF(ISNUMBER(IF(NOT(ISNUMBER(KOL_Source_Data!$AE$11)),"N/A",IF(KOL_Source_Data!$AD$11&lt;&gt;Brand_Profile!$F$14,Lookup_Lists!$D$151,MIN(100,ROUND(KOL_Source_Data!$AE$11/Lookup_Lists!$D$316*100,0))))),IF(NOT(ISNUMBER(KOL_Source_Data!$AE$11)),"N/A",IF(KOL_Source_Data!$AD$11&lt;&gt;Brand_Profile!$F$14,Lookup_Lists!$D$151,MIN(100,ROUND(KOL_Source_Data!$AE$11/Lookup_Lists!$D$316*100,0))))*Lookup_Lists!$D$118,0)+IF(ISNUMBER(IF(NOT(ISNUMBER(KOL_Source_Data!$AM$11)),"N/A",MIN(100,ROUND((IF(KOL_Source_Data!$AG$11=Brand_Profile!$F$15,IF(ISNUMBER(KOL_Source_Data!$AH$11),KOL_Source_Data!$AH$11,0),0)+IF(KOL_Source_Data!$AI$11=Brand_Profile!$F$15,IF(ISNUMBER(KOL_Source_Data!$AJ$11),KOL_Source_Data!$AJ$11,0),0)+IF(KOL_Source_Data!$AK$11=Brand_Profile!$F$15,IF(ISNUMBER(KOL_Source_Data!$AL$11),KOL_Source_Data!$AL$11,0),0))/Lookup_Lists!$D$317*100,0)))),IF(NOT(ISNUMBER(KOL_Source_Data!$AM$11)),"N/A",MIN(100,ROUND((IF(KOL_Source_Data!$AG$11=Brand_Profile!$F$15,IF(ISNUMBER(KOL_Source_Data!$AH$11),KOL_Source_Data!$AH$11,0),0)+IF(KOL_Source_Data!$AI$11=Brand_Profile!$F$15,IF(ISNUMBER(KOL_Source_Data!$AJ$11),KOL_Source_Data!$AJ$11,0),0)+IF(KOL_Source_Data!$AK$11=Brand_Profile!$F$15,IF(ISNUMBER(KOL_Source_Data!$AL$11),KOL_Source_Data!$AL$11,0),0))/Lookup_Lists!$D$317*100,0)))*Lookup_Lists!$D$120,0))/(IF(ISNUMBER(IF(NOT(ISNUMBER(KOL_Source_Data!$AE$11)),"N/A",IF(KOL_Source_Data!$AD$11&lt;&gt;Brand_Profile!$F$14,Lookup_Lists!$D$151,MIN(100,ROUND(KOL_Source_Data!$AE$11/Lookup_Lists!$D$316*100,0))))),Lookup_Lists!$D$118,0)+IF(ISNUMBER(IF(NOT(ISNUMBER(KOL_Source_Data!$AM$11)),"N/A",MIN(100,ROUND((IF(KOL_Source_Data!$AG$11=Brand_Profile!$F$15,IF(ISNUMBER(KOL_Source_Data!$AH$11),KOL_Source_Data!$AH$11,0),0)+IF(KOL_Source_Data!$AI$11=Brand_Profile!$F$15,IF(ISNUMBER(KOL_Source_Data!$AJ$11),KOL_Source_Data!$AJ$11,0),0)+IF(KOL_Source_Data!$AK$11=Brand_Profile!$F$15,IF(ISNUMBER(KOL_Source_Data!$AL$11),KOL_Source_Data!$AL$11,0),0))/Lookup_Lists!$D$317*100,0)))),Lookup_Lists!$D$120,0)),0))</f>
      </c>
      <c r="R35" s="18">
        <f>IF(NOT(ISNUMBER(KOL_Source_Data!$AN$11)),"N/A",MIN(100,ROUND((IF(ISNUMBER(KOL_Source_Data!$AO$11),KOL_Source_Data!$AO$11*Brand_Profile!$F$17,0)+IF(ISNUMBER(KOL_Source_Data!$AP$11),KOL_Source_Data!$AP$11*Brand_Profile!$F$18,0)+IF(ISNUMBER(KOL_Source_Data!$AQ$11),KOL_Source_Data!$AQ$11*Brand_Profile!$F$19,0)+IF(ISNUMBER(KOL_Source_Data!$AR$11),KOL_Source_Data!$AR$11*Brand_Profile!$F$20,0)+IF(ISNUMBER(KOL_Source_Data!$AS$11),KOL_Source_Data!$AS$11*Brand_Profile!$F$21,0)+IF(ISNUMBER(KOL_Source_Data!$AT$11),KOL_Source_Data!$AT$11*Brand_Profile!$F$22,0)+IF(ISNUMBER(KOL_Source_Data!$AU$11),KOL_Source_Data!$AU$11*Brand_Profile!$F$23,0)+IF(ISNUMBER(KOL_Source_Data!$AV$11),KOL_Source_Data!$AV$11*Brand_Profile!$F$24,0)+IF(ISNUMBER(KOL_Source_Data!$AW$11),KOL_Source_Data!$AW$11*Brand_Profile!$F$25,0)+IF(ISNUMBER(KOL_Source_Data!$AX$11),KOL_Source_Data!$AX$11*Brand_Profile!$F$26,0)+IF(ISNUMBER(KOL_Source_Data!$AY$11),KOL_Source_Data!$AY$11*Brand_Profile!$F$27,0)+IF(ISNUMBER(KOL_Source_Data!$AZ$11),KOL_Source_Data!$AZ$11*Brand_Profile!$F$28,0)+IF(ISNUMBER(KOL_Source_Data!$BA$11),KOL_Source_Data!$BA$11*Brand_Profile!$F$29,0)+IF(ISNUMBER(KOL_Source_Data!$BB$11),KOL_Source_Data!$BB$11*Brand_Profile!$F$30,0)+IF(ISNUMBER(KOL_Source_Data!$BC$11),KOL_Source_Data!$BC$11*Brand_Profile!$F$31,0)+IF(ISNUMBER(KOL_Source_Data!$BD$11),KOL_Source_Data!$BD$11*Brand_Profile!$F$32,0)+IF(ISNUMBER(KOL_Source_Data!$BE$11),KOL_Source_Data!$BE$11*Brand_Profile!$F$33,0)+IF(ISNUMBER(KOL_Source_Data!$BF$11),KOL_Source_Data!$BF$11*Brand_Profile!$F$34,0))/Lookup_Lists!$D$318*100,0)))</f>
      </c>
      <c r="S35" s="29">
        <f>IF((IF(ISNUMBER(Matching_Engine!$O$35),Lookup_Lists!$D$113,0)+IF(ISNUMBER(Matching_Engine!$P$35),Lookup_Lists!$D$114,0)+IF(ISNUMBER(Matching_Engine!$Q$35),Lookup_Lists!$D$115,0)+IF(ISNUMBER(Matching_Engine!$R$35),Lookup_Lists!$D$116,0))=0,"N/A",ROUND((IF(ISNUMBER(Matching_Engine!$O$35),Matching_Engine!$O$35*Lookup_Lists!$D$113,0)+IF(ISNUMBER(Matching_Engine!$P$35),Matching_Engine!$P$35*Lookup_Lists!$D$114,0)+IF(ISNUMBER(Matching_Engine!$Q$35),Matching_Engine!$Q$35*Lookup_Lists!$D$115,0)+IF(ISNUMBER(Matching_Engine!$R$35),Matching_Engine!$R$35*Lookup_Lists!$D$116,0))/(IF(ISNUMBER(Matching_Engine!$O$35),Lookup_Lists!$D$113,0)+IF(ISNUMBER(Matching_Engine!$P$35),Lookup_Lists!$D$114,0)+IF(ISNUMBER(Matching_Engine!$Q$35),Lookup_Lists!$D$115,0)+IF(ISNUMBER(Matching_Engine!$R$35),Lookup_Lists!$D$116,0)),0))</f>
      </c>
      <c r="T35" s="11">
        <f>IF(ISNUMBER(Matching_Engine!$S$35),1,0)</f>
      </c>
      <c r="U35" s="18">
        <f>IF(NOT(AND(ISTEXT(KOL_Source_Data!$M$11),KOL_Source_Data!$M$11&lt;&gt;"N/A")),Lookup_Lists!$D$150,IF(Brand_Profile!$F$7=KOL_Source_Data!$M$11,100,IFERROR(INDEX(Lookup_Lists!$B$349:$J$357,MATCH(Brand_Profile!$F$7,Lookup_Lists!$A$349:$A$357,0),MATCH(KOL_Source_Data!$M$11,Lookup_Lists!$B$348:$J$348,0)),Lookup_Lists!$D$151)))</f>
      </c>
      <c r="V35" s="18">
        <f>IF(NOT(AND(ISTEXT(KOL_Source_Data!$P$11),KOL_Source_Data!$P$11&lt;&gt;"N/A")),"N/A",IFERROR(INDEX(Lookup_Lists!$B$349:$J$357,MATCH(Brand_Profile!$F$7,Lookup_Lists!$A$349:$A$357,0),MATCH(KOL_Source_Data!$P$11,Lookup_Lists!$B$348:$J$348,0)),Lookup_Lists!$D$151))</f>
      </c>
      <c r="W35" s="18">
        <f>IF(LEN(TRIM(SUBSTITUTE(Matching_Engine!$BE$35,"|","")))=0,"N/A",IF(Brand_Profile!$F$60=0,Lookup_Lists!$D$150,ROUND((IF(Brand_Profile!$F$54="",0,IF(ISNUMBER(SEARCH(Brand_Profile!$F$54,Matching_Engine!$BE$35)),1,0))+IF(Brand_Profile!$F$55="",0,IF(ISNUMBER(SEARCH(Brand_Profile!$F$55,Matching_Engine!$BE$35)),1,0))+IF(Brand_Profile!$F$56="",0,IF(ISNUMBER(SEARCH(Brand_Profile!$F$56,Matching_Engine!$BE$35)),1,0))+IF(Brand_Profile!$F$57="",0,IF(ISNUMBER(SEARCH(Brand_Profile!$F$57,Matching_Engine!$BE$35)),1,0))+IF(Brand_Profile!$F$58="",0,IF(ISNUMBER(SEARCH(Brand_Profile!$F$58,Matching_Engine!$BE$35)),1,0))+IF(Brand_Profile!$F$59="",0,IF(ISNUMBER(SEARCH(Brand_Profile!$F$59,Matching_Engine!$BE$35)),1,0)))/Brand_Profile!$F$60*100,0)))</f>
      </c>
      <c r="X35" s="18">
        <f>IF(NOT(AND(ISTEXT(KOL_Source_Data!$Q$11),KOL_Source_Data!$Q$11&lt;&gt;"N/A")),"N/A",Lookup_Lists!$D$150)</f>
      </c>
      <c r="Y35" s="29">
        <f>IF((IF(ISNUMBER(Matching_Engine!$U$35),Lookup_Lists!$D$335,0)+IF(ISNUMBER(Matching_Engine!$V$35),Lookup_Lists!$D$122,0)+IF(ISNUMBER(Matching_Engine!$W$35),Lookup_Lists!$D$336,0)+IF(ISNUMBER(Matching_Engine!$X$35),Lookup_Lists!$D$124,0))=0,"N/A",ROUND((IF(ISNUMBER(Matching_Engine!$U$35),Matching_Engine!$U$35*Lookup_Lists!$D$335,0)+IF(ISNUMBER(Matching_Engine!$V$35),Matching_Engine!$V$35*Lookup_Lists!$D$122,0)+IF(ISNUMBER(Matching_Engine!$W$35),Matching_Engine!$W$35*Lookup_Lists!$D$336,0)+IF(ISNUMBER(Matching_Engine!$X$35),Matching_Engine!$X$35*Lookup_Lists!$D$124,0))/(IF(ISNUMBER(Matching_Engine!$U$35),Lookup_Lists!$D$335,0)+IF(ISNUMBER(Matching_Engine!$V$35),Lookup_Lists!$D$122,0)+IF(ISNUMBER(Matching_Engine!$W$35),Lookup_Lists!$D$336,0)+IF(ISNUMBER(Matching_Engine!$X$35),Lookup_Lists!$D$124,0)),0))</f>
      </c>
      <c r="Z35" s="11">
        <f>IF(ISNUMBER(Matching_Engine!$Y$35),1,0)</f>
      </c>
      <c r="AA35" s="18">
        <f>IF(NOT(AND(ISTEXT(KOL_Source_Data!$Q$11),KOL_Source_Data!$Q$11&lt;&gt;"N/A")),"N/A",Lookup_Lists!$D$150)</f>
      </c>
      <c r="AB35" s="18">
        <f>IF(NOT(AND(ISTEXT(KOL_Source_Data!$Q$11),KOL_Source_Data!$Q$11&lt;&gt;"N/A")),"N/A",Lookup_Lists!$D$150)</f>
      </c>
      <c r="AC35" s="18">
        <f>"N/A"</f>
      </c>
      <c r="AD35" s="18">
        <f>IF(NOT(AND(ISTEXT(KOL_Source_Data!$Q$11),KOL_Source_Data!$Q$11&lt;&gt;"N/A")),"N/A",Lookup_Lists!$D$150)</f>
      </c>
      <c r="AE35" s="29">
        <f>IF((IF(ISNUMBER(Matching_Engine!$AA$35),Lookup_Lists!$D$125,0)+IF(ISNUMBER(Matching_Engine!$AB$35),Lookup_Lists!$D$126,0)+IF(ISNUMBER(Matching_Engine!$AC$35),Lookup_Lists!$D$127,0)+IF(ISNUMBER(Matching_Engine!$AD$35),Lookup_Lists!$D$128,0))=0,"N/A",ROUND((IF(ISNUMBER(Matching_Engine!$AA$35),Matching_Engine!$AA$35*Lookup_Lists!$D$125,0)+IF(ISNUMBER(Matching_Engine!$AB$35),Matching_Engine!$AB$35*Lookup_Lists!$D$126,0)+IF(ISNUMBER(Matching_Engine!$AC$35),Matching_Engine!$AC$35*Lookup_Lists!$D$127,0)+IF(ISNUMBER(Matching_Engine!$AD$35),Matching_Engine!$AD$35*Lookup_Lists!$D$128,0))/(IF(ISNUMBER(Matching_Engine!$AA$35),Lookup_Lists!$D$125,0)+IF(ISNUMBER(Matching_Engine!$AB$35),Lookup_Lists!$D$126,0)+IF(ISNUMBER(Matching_Engine!$AC$35),Lookup_Lists!$D$127,0)+IF(ISNUMBER(Matching_Engine!$AD$35),Lookup_Lists!$D$128,0)),0))</f>
      </c>
      <c r="AF35" s="11">
        <f>IF(ISNUMBER(Matching_Engine!$AE$35),1,0)</f>
      </c>
      <c r="AG35" s="18">
        <f>IF(NOT(ISNUMBER(KOL_Source_Data!$BG$11)),"N/A",MIN(100,ROUND(KOL_Source_Data!$BG$11/IFERROR(INDEX(Lookup_Lists!$B$340:$B$344,MATCH(KOL_Source_Data!$H$11,Lookup_Lists!$A$340:$A$344,0)),Lookup_Lists!$D$141)*100,0)))</f>
      </c>
      <c r="AH35" s="18">
        <f>IF(NOT(ISNUMBER(KOL_Source_Data!$BS$11)),"N/A",MIN(100,MAX(0,KOL_Source_Data!$BS$11)))</f>
      </c>
      <c r="AI35" s="18">
        <f>IF(OR(NOT(ISNUMBER(KOL_Source_Data!$BM$11)),NOT(ISNUMBER(KOL_Source_Data!$BN$11)),KOL_Source_Data!$BN$11&lt;Lookup_Lists!$D$320),"N/A",MIN(100,ROUND(KOL_Source_Data!$BM$11/Lookup_Lists!$D$319*100,0)))</f>
      </c>
      <c r="AJ35" s="18">
        <f>IF(NOT(ISNUMBER(KOL_Source_Data!$BR$11)),"N/A",KOL_Source_Data!$BR$11)</f>
      </c>
      <c r="AK35" s="18">
        <f>IF(NOT(ISNUMBER(KOL_Source_Data!$BK$11)),"N/A",MIN(100,ROUND(KOL_Source_Data!$BK$11/Lookup_Lists!$D$321*100,0)))</f>
      </c>
      <c r="AL35" s="18">
        <f>IF(NOT(ISNUMBER(KOL_Source_Data!$BP$11)),"N/A",MIN(100,MAX(0,ROUND((KOL_Source_Data!$BP$11+2)/(Lookup_Lists!$D$145+2)*100,0))))</f>
      </c>
      <c r="AM35" s="29">
        <f>IF((IF(ISNUMBER(Matching_Engine!$AG$35),Lookup_Lists!$D$129,0)+IF(ISNUMBER(Matching_Engine!$AH$35),Lookup_Lists!$D$130,0)+IF(ISNUMBER(Matching_Engine!$AI$35),Lookup_Lists!$D$131,0)+IF(ISNUMBER(Matching_Engine!$AJ$35),Lookup_Lists!$D$132,0)+IF(ISNUMBER(Matching_Engine!$AK$35),Lookup_Lists!$D$133,0)+IF(ISNUMBER(Matching_Engine!$AL$35),Lookup_Lists!$D$134,0))=0,"N/A",ROUND((IF(ISNUMBER(Matching_Engine!$AG$35),Matching_Engine!$AG$35*Lookup_Lists!$D$129,0)+IF(ISNUMBER(Matching_Engine!$AH$35),Matching_Engine!$AH$35*Lookup_Lists!$D$130,0)+IF(ISNUMBER(Matching_Engine!$AI$35),Matching_Engine!$AI$35*Lookup_Lists!$D$131,0)+IF(ISNUMBER(Matching_Engine!$AJ$35),Matching_Engine!$AJ$35*Lookup_Lists!$D$132,0)+IF(ISNUMBER(Matching_Engine!$AK$35),Matching_Engine!$AK$35*Lookup_Lists!$D$133,0)+IF(ISNUMBER(Matching_Engine!$AL$35),Matching_Engine!$AL$35*Lookup_Lists!$D$134,0))/(IF(ISNUMBER(Matching_Engine!$AG$35),Lookup_Lists!$D$129,0)+IF(ISNUMBER(Matching_Engine!$AH$35),Lookup_Lists!$D$130,0)+IF(ISNUMBER(Matching_Engine!$AI$35),Lookup_Lists!$D$131,0)+IF(ISNUMBER(Matching_Engine!$AJ$35),Lookup_Lists!$D$132,0)+IF(ISNUMBER(Matching_Engine!$AK$35),Lookup_Lists!$D$133,0)+IF(ISNUMBER(Matching_Engine!$AL$35),Lookup_Lists!$D$134,0)),0))</f>
      </c>
      <c r="AN35" s="11">
        <f>IF(ISNUMBER(Matching_Engine!$AM$35),1,0)</f>
      </c>
      <c r="AO35" s="18">
        <f>IF(NOT(ISNUMBER(KOL_Source_Data!$BT$11)),"N/A",MIN(100,MAX(0,KOL_Source_Data!$BT$11)))</f>
      </c>
      <c r="AP35" s="18">
        <f>IF(NOT(ISNUMBER(KOL_Source_Data!$BU$11)),"N/A",MIN(100,MAX(0,KOL_Source_Data!$BU$11)))</f>
      </c>
      <c r="AQ35" s="18">
        <f>IF(KOL_Source_Data!$I$11="Yes",Lookup_Lists!$D$326,IF(KOL_Source_Data!$I$11="No",Lookup_Lists!$D$327,"N/A"))</f>
      </c>
      <c r="AR35" s="18">
        <f>IF(NOT(ISNUMBER(KOL_Source_Data!$BQ$11)),"N/A",MAX(0,ROUND(100-KOL_Source_Data!$BQ$11/Lookup_Lists!$D$328*100,0)))</f>
      </c>
      <c r="AS35" s="18">
        <f>IF(NOT(AND(ISTEXT(KOL_Source_Data!$BV$11),KOL_Source_Data!$BV$11&lt;&gt;"N/A")),"N/A",KOL_Source_Data!$BV$11)</f>
      </c>
      <c r="AT35" s="29">
        <f>IF((IF(ISNUMBER(Matching_Engine!$AO$35),Lookup_Lists!$D$322,0)+IF(ISNUMBER(Matching_Engine!$AP$35),Lookup_Lists!$D$323,0)+IF(ISNUMBER(Matching_Engine!$AQ$35),Lookup_Lists!$D$324,0)+IF(ISNUMBER(Matching_Engine!$AR$35),Lookup_Lists!$D$325,0))=0,"N/A",ROUND((IF(ISNUMBER(Matching_Engine!$AO$35),Matching_Engine!$AO$35*Lookup_Lists!$D$322,0)+IF(ISNUMBER(Matching_Engine!$AP$35),Matching_Engine!$AP$35*Lookup_Lists!$D$323,0)+IF(ISNUMBER(Matching_Engine!$AQ$35),Matching_Engine!$AQ$35*Lookup_Lists!$D$324,0)+IF(ISNUMBER(Matching_Engine!$AR$35),Matching_Engine!$AR$35*Lookup_Lists!$D$325,0))/(IF(ISNUMBER(Matching_Engine!$AO$35),Lookup_Lists!$D$322,0)+IF(ISNUMBER(Matching_Engine!$AP$35),Lookup_Lists!$D$323,0)+IF(ISNUMBER(Matching_Engine!$AQ$35),Lookup_Lists!$D$324,0)+IF(ISNUMBER(Matching_Engine!$AR$35),Lookup_Lists!$D$325,0)),0))</f>
      </c>
      <c r="AU35" s="11">
        <f>IF(ISNUMBER(Matching_Engine!$AT$35),1,0)</f>
      </c>
      <c r="AV35" s="11">
        <f>IF(NOT(ISNUMBER(Matching_Engine!$AT$35)),"Not Screened",IF(Matching_Engine!$AT$35&gt;=Lookup_Lists!$D$329,"Low Risk",IF(Matching_Engine!$AT$35&gt;=Lookup_Lists!$D$330,"Moderate Risk",IF(Matching_Engine!$AT$35&gt;=Lookup_Lists!$D$331,"Elevated Risk","High Risk"))))</f>
      </c>
      <c r="AW35" s="11">
        <f>IF(NOT(ISNUMBER(Matching_Engine!$AT$35)),"No integrity signal: no audience-analysis row for this account.","Integrity screen only — no content-risk reading exists (comments_analysis: 0 rows). "&amp;IF(ISNUMBER(Matching_Engine!$AO$35),"Authenticity "&amp;Matching_Engine!$AO$35&amp;". ","Authenticity N/A. ")&amp;IF(ISNUMBER(Matching_Engine!$AP$35),"Follower quality "&amp;Matching_Engine!$AP$35&amp;". ","Follower quality N/A. ")&amp;IF(KOL_Source_Data!$I$11="Yes","Platform-verified.","Not platform-verified."))</f>
      </c>
      <c r="AX35" s="18">
        <f>Matching_Engine!$N$35*Lookup_Lists!$D$104+Matching_Engine!$T$35*Lookup_Lists!$D$105+Matching_Engine!$Z$35*Lookup_Lists!$D$106+Matching_Engine!$AF$35*Lookup_Lists!$D$107+Matching_Engine!$AN$35*Lookup_Lists!$D$108+Matching_Engine!$AU$35*Lookup_Lists!$D$109</f>
      </c>
      <c r="AY35" s="30">
        <f>IF(Matching_Engine!$AX$35=0,"N/A",ROUND((IF(Matching_Engine!$N$35=1,Matching_Engine!$M$35*Lookup_Lists!$D$104,0)+IF(Matching_Engine!$T$35=1,Matching_Engine!$S$35*Lookup_Lists!$D$105,0)+IF(Matching_Engine!$Z$35=1,Matching_Engine!$Y$35*Lookup_Lists!$D$106,0)+IF(Matching_Engine!$AF$35=1,Matching_Engine!$AE$35*Lookup_Lists!$D$107,0)+IF(Matching_Engine!$AN$35=1,Matching_Engine!$AM$35*Lookup_Lists!$D$108,0)+IF(Matching_Engine!$AU$35=1,Matching_Engine!$AT$35*Lookup_Lists!$D$109,0))/Matching_Engine!$AX$35,0))</f>
      </c>
      <c r="AZ35" s="11">
        <f>IF(NOT(ISNUMBER(Matching_Engine!$AY$35)),"Not Scored",IF(Matching_Engine!$AY$35&gt;=Lookup_Lists!$D$152,"Excellent Match",IF(Matching_Engine!$AY$35&gt;=Lookup_Lists!$D$153,"Strong Match",IF(Matching_Engine!$AY$35&gt;=Lookup_Lists!$D$154,"Good Match",IF(Matching_Engine!$AY$35&gt;=Lookup_Lists!$D$155,"Moderate Match","Low Match")))))</f>
      </c>
      <c r="BA35" s="18">
        <f>KOL_Source_Data!$BW$11</f>
      </c>
      <c r="BB35" s="11">
        <f>KOL_Source_Data!$BX$11</f>
      </c>
      <c r="BC35" s="18">
        <f>IF(NOT(ISNUMBER(Matching_Engine!$AY$35)),-1,Matching_Engine!$AY$35*1000+19)</f>
      </c>
      <c r="BD35" s="11">
        <f>IF(AND(ISTEXT(KOL_Source_Data!$S$11),KOL_Source_Data!$S$11&lt;&gt;"N/A"),KOL_Source_Data!$S$11,"")&amp;" | "&amp;IF(AND(ISTEXT(KOL_Source_Data!$T$11),KOL_Source_Data!$T$11&lt;&gt;"N/A"),KOL_Source_Data!$T$11,"")&amp;" | "&amp;IF(AND(ISTEXT(KOL_Source_Data!$N$11),KOL_Source_Data!$N$11&lt;&gt;"N/A"),KOL_Source_Data!$N$11,"")&amp;" | "&amp;IF(AND(ISTEXT(KOL_Source_Data!$K$11),KOL_Source_Data!$K$11&lt;&gt;"N/A"),KOL_Source_Data!$K$11,"")&amp;" | "&amp;IF(AND(ISTEXT(KOL_Source_Data!$J$11),KOL_Source_Data!$J$11&lt;&gt;"N/A"),KOL_Source_Data!$J$11,"")</f>
      </c>
      <c r="BE35" s="11">
        <f>IF(AND(ISTEXT(KOL_Source_Data!$T$11),KOL_Source_Data!$T$11&lt;&gt;"N/A"),KOL_Source_Data!$T$11,"")&amp;" | "&amp;IF(AND(ISTEXT(KOL_Source_Data!$N$11),KOL_Source_Data!$N$11&lt;&gt;"N/A"),KOL_Source_Data!$N$11,"")&amp;" | "&amp;IF(AND(ISTEXT(KOL_Source_Data!$O$11),KOL_Source_Data!$O$11&lt;&gt;"N/A"),KOL_Source_Data!$O$11,"")&amp;" | "&amp;IF(AND(ISTEXT(KOL_Source_Data!$S$11),KOL_Source_Data!$S$11&lt;&gt;"N/A"),KOL_Source_Data!$S$11,"")</f>
      </c>
      <c r="BF35" s="11">
        <f>IF(AND(ISTEXT(KOL_Source_Data!$U$11),KOL_Source_Data!$U$11&lt;&gt;"N/A"),KOL_Source_Data!$U$11,"")</f>
      </c>
      <c r="BG35" s="11">
        <f>Matching_Engine!$A$35&amp;"|"&amp;Matching_Engine!$C$35</f>
      </c>
    </row>
    <row r="36" spans="1:59" x14ac:dyDescent="0.25">
      <c r="A36" s="10" t="s">
        <v>391</v>
      </c>
      <c r="B36" s="11">
        <f>Brand_Profile!$F$6</f>
      </c>
      <c r="C36" s="11">
        <f>KOL_Source_Data!$A$12</f>
      </c>
      <c r="D36" s="11">
        <f>KOL_Source_Data!$C$12</f>
      </c>
      <c r="E36" s="11">
        <f>KOL_Source_Data!$D$12</f>
      </c>
      <c r="F36" s="11">
        <f>KOL_Source_Data!$E$12</f>
      </c>
      <c r="G36" s="11">
        <f>KOL_Source_Data!$K$12</f>
      </c>
      <c r="H36" s="12">
        <f>KOL_Source_Data!$G$12</f>
      </c>
      <c r="I36" s="14">
        <f>KOL_Source_Data!$BG$12</f>
      </c>
      <c r="J36" s="18">
        <f>IF(NOT(AND(ISTEXT(KOL_Source_Data!$K$12),KOL_Source_Data!$K$12&lt;&gt;"N/A")),Lookup_Lists!$D$150,IF(Brand_Profile!$F$7=KOL_Source_Data!$K$12,100,IFERROR(INDEX(Lookup_Lists!$B$349:$J$357,MATCH(Brand_Profile!$F$7,Lookup_Lists!$A$349:$A$357,0),MATCH(KOL_Source_Data!$K$12,Lookup_Lists!$B$348:$J$348,0)),Lookup_Lists!$D$151)))</f>
      </c>
      <c r="K36" s="18">
        <f>IF(LEN(TRIM(SUBSTITUTE(Matching_Engine!$BD$36,"|","")))=0,"N/A",IF(Brand_Profile!$F$47=0,Lookup_Lists!$D$150,ROUND((IF(Brand_Profile!$F$41="",0,IF(ISNUMBER(SEARCH(Brand_Profile!$F$41,Matching_Engine!$BD$36)),1,0))+IF(Brand_Profile!$F$42="",0,IF(ISNUMBER(SEARCH(Brand_Profile!$F$42,Matching_Engine!$BD$36)),1,0))+IF(Brand_Profile!$F$43="",0,IF(ISNUMBER(SEARCH(Brand_Profile!$F$43,Matching_Engine!$BD$36)),1,0))+IF(Brand_Profile!$F$44="",0,IF(ISNUMBER(SEARCH(Brand_Profile!$F$44,Matching_Engine!$BD$36)),1,0))+IF(Brand_Profile!$F$45="",0,IF(ISNUMBER(SEARCH(Brand_Profile!$F$45,Matching_Engine!$BD$36)),1,0))+IF(Brand_Profile!$F$46="",0,IF(ISNUMBER(SEARCH(Brand_Profile!$F$46,Matching_Engine!$BD$36)),1,0)))/Brand_Profile!$F$47*100,0)))</f>
      </c>
      <c r="L36" s="18">
        <f>IF(NOT(AND(ISTEXT(KOL_Source_Data!$U$12),KOL_Source_Data!$U$12&lt;&gt;"N/A")),"N/A",IF(Brand_Profile!$F$53=0,Lookup_Lists!$D$150,ROUND((IF(Brand_Profile!$F$48="",0,IF(ISNUMBER(SEARCH(Brand_Profile!$F$48,Matching_Engine!$BF$36)),1,0))+IF(Brand_Profile!$F$49="",0,IF(ISNUMBER(SEARCH(Brand_Profile!$F$49,Matching_Engine!$BF$36)),1,0))+IF(Brand_Profile!$F$50="",0,IF(ISNUMBER(SEARCH(Brand_Profile!$F$50,Matching_Engine!$BF$36)),1,0))+IF(Brand_Profile!$F$51="",0,IF(ISNUMBER(SEARCH(Brand_Profile!$F$51,Matching_Engine!$BF$36)),1,0))+IF(Brand_Profile!$F$52="",0,IF(ISNUMBER(SEARCH(Brand_Profile!$F$52,Matching_Engine!$BF$36)),1,0)))/Brand_Profile!$F$53*100,0)))</f>
      </c>
      <c r="M36" s="29">
        <f>IF((IF(ISNUMBER(Matching_Engine!$J$36),Lookup_Lists!$D$332,0)+IF(ISNUMBER(Matching_Engine!$K$36),Lookup_Lists!$D$333,0)+IF(ISNUMBER(Matching_Engine!$L$36),Lookup_Lists!$D$334,0))=0,"N/A",ROUND((IF(ISNUMBER(Matching_Engine!$J$36),Matching_Engine!$J$36*Lookup_Lists!$D$332,0)+IF(ISNUMBER(Matching_Engine!$K$36),Matching_Engine!$K$36*Lookup_Lists!$D$333,0)+IF(ISNUMBER(Matching_Engine!$L$36),Matching_Engine!$L$36*Lookup_Lists!$D$334,0))/(IF(ISNUMBER(Matching_Engine!$J$36),Lookup_Lists!$D$332,0)+IF(ISNUMBER(Matching_Engine!$K$36),Lookup_Lists!$D$333,0)+IF(ISNUMBER(Matching_Engine!$L$36),Lookup_Lists!$D$334,0)),0))</f>
      </c>
      <c r="N36" s="11">
        <f>IF(ISNUMBER(Matching_Engine!$M$36),1,0)</f>
      </c>
      <c r="O36" s="18">
        <f>IF(NOT(ISNUMBER(IFERROR(INDEX(KOL_Source_Data!$V$12:KOL_Source_Data!$Z$12,1,MATCH(Brand_Profile!$F$11,Lookup_Lists!$F$6:$F$10,0)),""))),"N/A",MIN(100,ROUND((IFERROR(INDEX(KOL_Source_Data!$V$12:KOL_Source_Data!$Z$12,1,MATCH(Brand_Profile!$F$11,Lookup_Lists!$F$6:$F$10,0)),"")+0.5*IF(ISNUMBER(IFERROR(INDEX(KOL_Source_Data!$V$12:KOL_Source_Data!$Z$12,1,MATCH(Brand_Profile!$F$12,Lookup_Lists!$F$6:$F$10,0)),"")),IFERROR(INDEX(KOL_Source_Data!$V$12:KOL_Source_Data!$Z$12,1,MATCH(Brand_Profile!$F$12,Lookup_Lists!$F$6:$F$10,0)),""),0))/Lookup_Lists!$D$142*100,0)))</f>
      </c>
      <c r="P36" s="18">
        <f>IF(Brand_Profile!$F$13="Any",100,IF(NOT(ISNUMBER(KOL_Source_Data!$AA$12)),"N/A",IF(Brand_Profile!$F$13="Female",MIN(100,ROUND(KOL_Source_Data!$AA$12/Lookup_Lists!$D$143*100,0)),IF(Brand_Profile!$F$13="Male",MIN(100,ROUND(IF(ISNUMBER(KOL_Source_Data!$AB$12),KOL_Source_Data!$AB$12,100-KOL_Source_Data!$AA$12)/Lookup_Lists!$D$143*100,0)),MAX(0,ROUND(100-ABS(KOL_Source_Data!$AA$12-50)*2,0))))))</f>
      </c>
      <c r="Q36" s="18">
        <f>IF((IF(ISNUMBER(IF(NOT(ISNUMBER(KOL_Source_Data!$AE$12)),"N/A",IF(KOL_Source_Data!$AD$12&lt;&gt;Brand_Profile!$F$14,Lookup_Lists!$D$151,MIN(100,ROUND(KOL_Source_Data!$AE$12/Lookup_Lists!$D$316*100,0))))),Lookup_Lists!$D$118,0)+IF(ISNUMBER(IF(NOT(ISNUMBER(KOL_Source_Data!$AM$12)),"N/A",MIN(100,ROUND((IF(KOL_Source_Data!$AG$12=Brand_Profile!$F$15,IF(ISNUMBER(KOL_Source_Data!$AH$12),KOL_Source_Data!$AH$12,0),0)+IF(KOL_Source_Data!$AI$12=Brand_Profile!$F$15,IF(ISNUMBER(KOL_Source_Data!$AJ$12),KOL_Source_Data!$AJ$12,0),0)+IF(KOL_Source_Data!$AK$12=Brand_Profile!$F$15,IF(ISNUMBER(KOL_Source_Data!$AL$12),KOL_Source_Data!$AL$12,0),0))/Lookup_Lists!$D$317*100,0)))),Lookup_Lists!$D$120,0))=0,"N/A",ROUND((IF(ISNUMBER(IF(NOT(ISNUMBER(KOL_Source_Data!$AE$12)),"N/A",IF(KOL_Source_Data!$AD$12&lt;&gt;Brand_Profile!$F$14,Lookup_Lists!$D$151,MIN(100,ROUND(KOL_Source_Data!$AE$12/Lookup_Lists!$D$316*100,0))))),IF(NOT(ISNUMBER(KOL_Source_Data!$AE$12)),"N/A",IF(KOL_Source_Data!$AD$12&lt;&gt;Brand_Profile!$F$14,Lookup_Lists!$D$151,MIN(100,ROUND(KOL_Source_Data!$AE$12/Lookup_Lists!$D$316*100,0))))*Lookup_Lists!$D$118,0)+IF(ISNUMBER(IF(NOT(ISNUMBER(KOL_Source_Data!$AM$12)),"N/A",MIN(100,ROUND((IF(KOL_Source_Data!$AG$12=Brand_Profile!$F$15,IF(ISNUMBER(KOL_Source_Data!$AH$12),KOL_Source_Data!$AH$12,0),0)+IF(KOL_Source_Data!$AI$12=Brand_Profile!$F$15,IF(ISNUMBER(KOL_Source_Data!$AJ$12),KOL_Source_Data!$AJ$12,0),0)+IF(KOL_Source_Data!$AK$12=Brand_Profile!$F$15,IF(ISNUMBER(KOL_Source_Data!$AL$12),KOL_Source_Data!$AL$12,0),0))/Lookup_Lists!$D$317*100,0)))),IF(NOT(ISNUMBER(KOL_Source_Data!$AM$12)),"N/A",MIN(100,ROUND((IF(KOL_Source_Data!$AG$12=Brand_Profile!$F$15,IF(ISNUMBER(KOL_Source_Data!$AH$12),KOL_Source_Data!$AH$12,0),0)+IF(KOL_Source_Data!$AI$12=Brand_Profile!$F$15,IF(ISNUMBER(KOL_Source_Data!$AJ$12),KOL_Source_Data!$AJ$12,0),0)+IF(KOL_Source_Data!$AK$12=Brand_Profile!$F$15,IF(ISNUMBER(KOL_Source_Data!$AL$12),KOL_Source_Data!$AL$12,0),0))/Lookup_Lists!$D$317*100,0)))*Lookup_Lists!$D$120,0))/(IF(ISNUMBER(IF(NOT(ISNUMBER(KOL_Source_Data!$AE$12)),"N/A",IF(KOL_Source_Data!$AD$12&lt;&gt;Brand_Profile!$F$14,Lookup_Lists!$D$151,MIN(100,ROUND(KOL_Source_Data!$AE$12/Lookup_Lists!$D$316*100,0))))),Lookup_Lists!$D$118,0)+IF(ISNUMBER(IF(NOT(ISNUMBER(KOL_Source_Data!$AM$12)),"N/A",MIN(100,ROUND((IF(KOL_Source_Data!$AG$12=Brand_Profile!$F$15,IF(ISNUMBER(KOL_Source_Data!$AH$12),KOL_Source_Data!$AH$12,0),0)+IF(KOL_Source_Data!$AI$12=Brand_Profile!$F$15,IF(ISNUMBER(KOL_Source_Data!$AJ$12),KOL_Source_Data!$AJ$12,0),0)+IF(KOL_Source_Data!$AK$12=Brand_Profile!$F$15,IF(ISNUMBER(KOL_Source_Data!$AL$12),KOL_Source_Data!$AL$12,0),0))/Lookup_Lists!$D$317*100,0)))),Lookup_Lists!$D$120,0)),0))</f>
      </c>
      <c r="R36" s="18">
        <f>IF(NOT(ISNUMBER(KOL_Source_Data!$AN$12)),"N/A",MIN(100,ROUND((IF(ISNUMBER(KOL_Source_Data!$AO$12),KOL_Source_Data!$AO$12*Brand_Profile!$F$17,0)+IF(ISNUMBER(KOL_Source_Data!$AP$12),KOL_Source_Data!$AP$12*Brand_Profile!$F$18,0)+IF(ISNUMBER(KOL_Source_Data!$AQ$12),KOL_Source_Data!$AQ$12*Brand_Profile!$F$19,0)+IF(ISNUMBER(KOL_Source_Data!$AR$12),KOL_Source_Data!$AR$12*Brand_Profile!$F$20,0)+IF(ISNUMBER(KOL_Source_Data!$AS$12),KOL_Source_Data!$AS$12*Brand_Profile!$F$21,0)+IF(ISNUMBER(KOL_Source_Data!$AT$12),KOL_Source_Data!$AT$12*Brand_Profile!$F$22,0)+IF(ISNUMBER(KOL_Source_Data!$AU$12),KOL_Source_Data!$AU$12*Brand_Profile!$F$23,0)+IF(ISNUMBER(KOL_Source_Data!$AV$12),KOL_Source_Data!$AV$12*Brand_Profile!$F$24,0)+IF(ISNUMBER(KOL_Source_Data!$AW$12),KOL_Source_Data!$AW$12*Brand_Profile!$F$25,0)+IF(ISNUMBER(KOL_Source_Data!$AX$12),KOL_Source_Data!$AX$12*Brand_Profile!$F$26,0)+IF(ISNUMBER(KOL_Source_Data!$AY$12),KOL_Source_Data!$AY$12*Brand_Profile!$F$27,0)+IF(ISNUMBER(KOL_Source_Data!$AZ$12),KOL_Source_Data!$AZ$12*Brand_Profile!$F$28,0)+IF(ISNUMBER(KOL_Source_Data!$BA$12),KOL_Source_Data!$BA$12*Brand_Profile!$F$29,0)+IF(ISNUMBER(KOL_Source_Data!$BB$12),KOL_Source_Data!$BB$12*Brand_Profile!$F$30,0)+IF(ISNUMBER(KOL_Source_Data!$BC$12),KOL_Source_Data!$BC$12*Brand_Profile!$F$31,0)+IF(ISNUMBER(KOL_Source_Data!$BD$12),KOL_Source_Data!$BD$12*Brand_Profile!$F$32,0)+IF(ISNUMBER(KOL_Source_Data!$BE$12),KOL_Source_Data!$BE$12*Brand_Profile!$F$33,0)+IF(ISNUMBER(KOL_Source_Data!$BF$12),KOL_Source_Data!$BF$12*Brand_Profile!$F$34,0))/Lookup_Lists!$D$318*100,0)))</f>
      </c>
      <c r="S36" s="29">
        <f>IF((IF(ISNUMBER(Matching_Engine!$O$36),Lookup_Lists!$D$113,0)+IF(ISNUMBER(Matching_Engine!$P$36),Lookup_Lists!$D$114,0)+IF(ISNUMBER(Matching_Engine!$Q$36),Lookup_Lists!$D$115,0)+IF(ISNUMBER(Matching_Engine!$R$36),Lookup_Lists!$D$116,0))=0,"N/A",ROUND((IF(ISNUMBER(Matching_Engine!$O$36),Matching_Engine!$O$36*Lookup_Lists!$D$113,0)+IF(ISNUMBER(Matching_Engine!$P$36),Matching_Engine!$P$36*Lookup_Lists!$D$114,0)+IF(ISNUMBER(Matching_Engine!$Q$36),Matching_Engine!$Q$36*Lookup_Lists!$D$115,0)+IF(ISNUMBER(Matching_Engine!$R$36),Matching_Engine!$R$36*Lookup_Lists!$D$116,0))/(IF(ISNUMBER(Matching_Engine!$O$36),Lookup_Lists!$D$113,0)+IF(ISNUMBER(Matching_Engine!$P$36),Lookup_Lists!$D$114,0)+IF(ISNUMBER(Matching_Engine!$Q$36),Lookup_Lists!$D$115,0)+IF(ISNUMBER(Matching_Engine!$R$36),Lookup_Lists!$D$116,0)),0))</f>
      </c>
      <c r="T36" s="11">
        <f>IF(ISNUMBER(Matching_Engine!$S$36),1,0)</f>
      </c>
      <c r="U36" s="18">
        <f>IF(NOT(AND(ISTEXT(KOL_Source_Data!$M$12),KOL_Source_Data!$M$12&lt;&gt;"N/A")),Lookup_Lists!$D$150,IF(Brand_Profile!$F$7=KOL_Source_Data!$M$12,100,IFERROR(INDEX(Lookup_Lists!$B$349:$J$357,MATCH(Brand_Profile!$F$7,Lookup_Lists!$A$349:$A$357,0),MATCH(KOL_Source_Data!$M$12,Lookup_Lists!$B$348:$J$348,0)),Lookup_Lists!$D$151)))</f>
      </c>
      <c r="V36" s="18">
        <f>IF(NOT(AND(ISTEXT(KOL_Source_Data!$P$12),KOL_Source_Data!$P$12&lt;&gt;"N/A")),"N/A",IFERROR(INDEX(Lookup_Lists!$B$349:$J$357,MATCH(Brand_Profile!$F$7,Lookup_Lists!$A$349:$A$357,0),MATCH(KOL_Source_Data!$P$12,Lookup_Lists!$B$348:$J$348,0)),Lookup_Lists!$D$151))</f>
      </c>
      <c r="W36" s="18">
        <f>IF(LEN(TRIM(SUBSTITUTE(Matching_Engine!$BE$36,"|","")))=0,"N/A",IF(Brand_Profile!$F$60=0,Lookup_Lists!$D$150,ROUND((IF(Brand_Profile!$F$54="",0,IF(ISNUMBER(SEARCH(Brand_Profile!$F$54,Matching_Engine!$BE$36)),1,0))+IF(Brand_Profile!$F$55="",0,IF(ISNUMBER(SEARCH(Brand_Profile!$F$55,Matching_Engine!$BE$36)),1,0))+IF(Brand_Profile!$F$56="",0,IF(ISNUMBER(SEARCH(Brand_Profile!$F$56,Matching_Engine!$BE$36)),1,0))+IF(Brand_Profile!$F$57="",0,IF(ISNUMBER(SEARCH(Brand_Profile!$F$57,Matching_Engine!$BE$36)),1,0))+IF(Brand_Profile!$F$58="",0,IF(ISNUMBER(SEARCH(Brand_Profile!$F$58,Matching_Engine!$BE$36)),1,0))+IF(Brand_Profile!$F$59="",0,IF(ISNUMBER(SEARCH(Brand_Profile!$F$59,Matching_Engine!$BE$36)),1,0)))/Brand_Profile!$F$60*100,0)))</f>
      </c>
      <c r="X36" s="18">
        <f>IF(NOT(AND(ISTEXT(KOL_Source_Data!$Q$12),KOL_Source_Data!$Q$12&lt;&gt;"N/A")),"N/A",Lookup_Lists!$D$150)</f>
      </c>
      <c r="Y36" s="29">
        <f>IF((IF(ISNUMBER(Matching_Engine!$U$36),Lookup_Lists!$D$335,0)+IF(ISNUMBER(Matching_Engine!$V$36),Lookup_Lists!$D$122,0)+IF(ISNUMBER(Matching_Engine!$W$36),Lookup_Lists!$D$336,0)+IF(ISNUMBER(Matching_Engine!$X$36),Lookup_Lists!$D$124,0))=0,"N/A",ROUND((IF(ISNUMBER(Matching_Engine!$U$36),Matching_Engine!$U$36*Lookup_Lists!$D$335,0)+IF(ISNUMBER(Matching_Engine!$V$36),Matching_Engine!$V$36*Lookup_Lists!$D$122,0)+IF(ISNUMBER(Matching_Engine!$W$36),Matching_Engine!$W$36*Lookup_Lists!$D$336,0)+IF(ISNUMBER(Matching_Engine!$X$36),Matching_Engine!$X$36*Lookup_Lists!$D$124,0))/(IF(ISNUMBER(Matching_Engine!$U$36),Lookup_Lists!$D$335,0)+IF(ISNUMBER(Matching_Engine!$V$36),Lookup_Lists!$D$122,0)+IF(ISNUMBER(Matching_Engine!$W$36),Lookup_Lists!$D$336,0)+IF(ISNUMBER(Matching_Engine!$X$36),Lookup_Lists!$D$124,0)),0))</f>
      </c>
      <c r="Z36" s="11">
        <f>IF(ISNUMBER(Matching_Engine!$Y$36),1,0)</f>
      </c>
      <c r="AA36" s="18">
        <f>IF(NOT(AND(ISTEXT(KOL_Source_Data!$Q$12),KOL_Source_Data!$Q$12&lt;&gt;"N/A")),"N/A",Lookup_Lists!$D$150)</f>
      </c>
      <c r="AB36" s="18">
        <f>IF(NOT(AND(ISTEXT(KOL_Source_Data!$Q$12),KOL_Source_Data!$Q$12&lt;&gt;"N/A")),"N/A",Lookup_Lists!$D$150)</f>
      </c>
      <c r="AC36" s="18">
        <f>"N/A"</f>
      </c>
      <c r="AD36" s="18">
        <f>IF(NOT(AND(ISTEXT(KOL_Source_Data!$Q$12),KOL_Source_Data!$Q$12&lt;&gt;"N/A")),"N/A",Lookup_Lists!$D$150)</f>
      </c>
      <c r="AE36" s="29">
        <f>IF((IF(ISNUMBER(Matching_Engine!$AA$36),Lookup_Lists!$D$125,0)+IF(ISNUMBER(Matching_Engine!$AB$36),Lookup_Lists!$D$126,0)+IF(ISNUMBER(Matching_Engine!$AC$36),Lookup_Lists!$D$127,0)+IF(ISNUMBER(Matching_Engine!$AD$36),Lookup_Lists!$D$128,0))=0,"N/A",ROUND((IF(ISNUMBER(Matching_Engine!$AA$36),Matching_Engine!$AA$36*Lookup_Lists!$D$125,0)+IF(ISNUMBER(Matching_Engine!$AB$36),Matching_Engine!$AB$36*Lookup_Lists!$D$126,0)+IF(ISNUMBER(Matching_Engine!$AC$36),Matching_Engine!$AC$36*Lookup_Lists!$D$127,0)+IF(ISNUMBER(Matching_Engine!$AD$36),Matching_Engine!$AD$36*Lookup_Lists!$D$128,0))/(IF(ISNUMBER(Matching_Engine!$AA$36),Lookup_Lists!$D$125,0)+IF(ISNUMBER(Matching_Engine!$AB$36),Lookup_Lists!$D$126,0)+IF(ISNUMBER(Matching_Engine!$AC$36),Lookup_Lists!$D$127,0)+IF(ISNUMBER(Matching_Engine!$AD$36),Lookup_Lists!$D$128,0)),0))</f>
      </c>
      <c r="AF36" s="11">
        <f>IF(ISNUMBER(Matching_Engine!$AE$36),1,0)</f>
      </c>
      <c r="AG36" s="18">
        <f>IF(NOT(ISNUMBER(KOL_Source_Data!$BG$12)),"N/A",MIN(100,ROUND(KOL_Source_Data!$BG$12/IFERROR(INDEX(Lookup_Lists!$B$340:$B$344,MATCH(KOL_Source_Data!$H$12,Lookup_Lists!$A$340:$A$344,0)),Lookup_Lists!$D$141)*100,0)))</f>
      </c>
      <c r="AH36" s="18">
        <f>IF(NOT(ISNUMBER(KOL_Source_Data!$BS$12)),"N/A",MIN(100,MAX(0,KOL_Source_Data!$BS$12)))</f>
      </c>
      <c r="AI36" s="18">
        <f>IF(OR(NOT(ISNUMBER(KOL_Source_Data!$BM$12)),NOT(ISNUMBER(KOL_Source_Data!$BN$12)),KOL_Source_Data!$BN$12&lt;Lookup_Lists!$D$320),"N/A",MIN(100,ROUND(KOL_Source_Data!$BM$12/Lookup_Lists!$D$319*100,0)))</f>
      </c>
      <c r="AJ36" s="18">
        <f>IF(NOT(ISNUMBER(KOL_Source_Data!$BR$12)),"N/A",KOL_Source_Data!$BR$12)</f>
      </c>
      <c r="AK36" s="18">
        <f>IF(NOT(ISNUMBER(KOL_Source_Data!$BK$12)),"N/A",MIN(100,ROUND(KOL_Source_Data!$BK$12/Lookup_Lists!$D$321*100,0)))</f>
      </c>
      <c r="AL36" s="18">
        <f>IF(NOT(ISNUMBER(KOL_Source_Data!$BP$12)),"N/A",MIN(100,MAX(0,ROUND((KOL_Source_Data!$BP$12+2)/(Lookup_Lists!$D$145+2)*100,0))))</f>
      </c>
      <c r="AM36" s="29">
        <f>IF((IF(ISNUMBER(Matching_Engine!$AG$36),Lookup_Lists!$D$129,0)+IF(ISNUMBER(Matching_Engine!$AH$36),Lookup_Lists!$D$130,0)+IF(ISNUMBER(Matching_Engine!$AI$36),Lookup_Lists!$D$131,0)+IF(ISNUMBER(Matching_Engine!$AJ$36),Lookup_Lists!$D$132,0)+IF(ISNUMBER(Matching_Engine!$AK$36),Lookup_Lists!$D$133,0)+IF(ISNUMBER(Matching_Engine!$AL$36),Lookup_Lists!$D$134,0))=0,"N/A",ROUND((IF(ISNUMBER(Matching_Engine!$AG$36),Matching_Engine!$AG$36*Lookup_Lists!$D$129,0)+IF(ISNUMBER(Matching_Engine!$AH$36),Matching_Engine!$AH$36*Lookup_Lists!$D$130,0)+IF(ISNUMBER(Matching_Engine!$AI$36),Matching_Engine!$AI$36*Lookup_Lists!$D$131,0)+IF(ISNUMBER(Matching_Engine!$AJ$36),Matching_Engine!$AJ$36*Lookup_Lists!$D$132,0)+IF(ISNUMBER(Matching_Engine!$AK$36),Matching_Engine!$AK$36*Lookup_Lists!$D$133,0)+IF(ISNUMBER(Matching_Engine!$AL$36),Matching_Engine!$AL$36*Lookup_Lists!$D$134,0))/(IF(ISNUMBER(Matching_Engine!$AG$36),Lookup_Lists!$D$129,0)+IF(ISNUMBER(Matching_Engine!$AH$36),Lookup_Lists!$D$130,0)+IF(ISNUMBER(Matching_Engine!$AI$36),Lookup_Lists!$D$131,0)+IF(ISNUMBER(Matching_Engine!$AJ$36),Lookup_Lists!$D$132,0)+IF(ISNUMBER(Matching_Engine!$AK$36),Lookup_Lists!$D$133,0)+IF(ISNUMBER(Matching_Engine!$AL$36),Lookup_Lists!$D$134,0)),0))</f>
      </c>
      <c r="AN36" s="11">
        <f>IF(ISNUMBER(Matching_Engine!$AM$36),1,0)</f>
      </c>
      <c r="AO36" s="18">
        <f>IF(NOT(ISNUMBER(KOL_Source_Data!$BT$12)),"N/A",MIN(100,MAX(0,KOL_Source_Data!$BT$12)))</f>
      </c>
      <c r="AP36" s="18">
        <f>IF(NOT(ISNUMBER(KOL_Source_Data!$BU$12)),"N/A",MIN(100,MAX(0,KOL_Source_Data!$BU$12)))</f>
      </c>
      <c r="AQ36" s="18">
        <f>IF(KOL_Source_Data!$I$12="Yes",Lookup_Lists!$D$326,IF(KOL_Source_Data!$I$12="No",Lookup_Lists!$D$327,"N/A"))</f>
      </c>
      <c r="AR36" s="18">
        <f>IF(NOT(ISNUMBER(KOL_Source_Data!$BQ$12)),"N/A",MAX(0,ROUND(100-KOL_Source_Data!$BQ$12/Lookup_Lists!$D$328*100,0)))</f>
      </c>
      <c r="AS36" s="18">
        <f>IF(NOT(AND(ISTEXT(KOL_Source_Data!$BV$12),KOL_Source_Data!$BV$12&lt;&gt;"N/A")),"N/A",KOL_Source_Data!$BV$12)</f>
      </c>
      <c r="AT36" s="29">
        <f>IF((IF(ISNUMBER(Matching_Engine!$AO$36),Lookup_Lists!$D$322,0)+IF(ISNUMBER(Matching_Engine!$AP$36),Lookup_Lists!$D$323,0)+IF(ISNUMBER(Matching_Engine!$AQ$36),Lookup_Lists!$D$324,0)+IF(ISNUMBER(Matching_Engine!$AR$36),Lookup_Lists!$D$325,0))=0,"N/A",ROUND((IF(ISNUMBER(Matching_Engine!$AO$36),Matching_Engine!$AO$36*Lookup_Lists!$D$322,0)+IF(ISNUMBER(Matching_Engine!$AP$36),Matching_Engine!$AP$36*Lookup_Lists!$D$323,0)+IF(ISNUMBER(Matching_Engine!$AQ$36),Matching_Engine!$AQ$36*Lookup_Lists!$D$324,0)+IF(ISNUMBER(Matching_Engine!$AR$36),Matching_Engine!$AR$36*Lookup_Lists!$D$325,0))/(IF(ISNUMBER(Matching_Engine!$AO$36),Lookup_Lists!$D$322,0)+IF(ISNUMBER(Matching_Engine!$AP$36),Lookup_Lists!$D$323,0)+IF(ISNUMBER(Matching_Engine!$AQ$36),Lookup_Lists!$D$324,0)+IF(ISNUMBER(Matching_Engine!$AR$36),Lookup_Lists!$D$325,0)),0))</f>
      </c>
      <c r="AU36" s="11">
        <f>IF(ISNUMBER(Matching_Engine!$AT$36),1,0)</f>
      </c>
      <c r="AV36" s="11">
        <f>IF(NOT(ISNUMBER(Matching_Engine!$AT$36)),"Not Screened",IF(Matching_Engine!$AT$36&gt;=Lookup_Lists!$D$329,"Low Risk",IF(Matching_Engine!$AT$36&gt;=Lookup_Lists!$D$330,"Moderate Risk",IF(Matching_Engine!$AT$36&gt;=Lookup_Lists!$D$331,"Elevated Risk","High Risk"))))</f>
      </c>
      <c r="AW36" s="11">
        <f>IF(NOT(ISNUMBER(Matching_Engine!$AT$36)),"No integrity signal: no audience-analysis row for this account.","Integrity screen only — no content-risk reading exists (comments_analysis: 0 rows). "&amp;IF(ISNUMBER(Matching_Engine!$AO$36),"Authenticity "&amp;Matching_Engine!$AO$36&amp;". ","Authenticity N/A. ")&amp;IF(ISNUMBER(Matching_Engine!$AP$36),"Follower quality "&amp;Matching_Engine!$AP$36&amp;". ","Follower quality N/A. ")&amp;IF(KOL_Source_Data!$I$12="Yes","Platform-verified.","Not platform-verified."))</f>
      </c>
      <c r="AX36" s="18">
        <f>Matching_Engine!$N$36*Lookup_Lists!$D$104+Matching_Engine!$T$36*Lookup_Lists!$D$105+Matching_Engine!$Z$36*Lookup_Lists!$D$106+Matching_Engine!$AF$36*Lookup_Lists!$D$107+Matching_Engine!$AN$36*Lookup_Lists!$D$108+Matching_Engine!$AU$36*Lookup_Lists!$D$109</f>
      </c>
      <c r="AY36" s="30">
        <f>IF(Matching_Engine!$AX$36=0,"N/A",ROUND((IF(Matching_Engine!$N$36=1,Matching_Engine!$M$36*Lookup_Lists!$D$104,0)+IF(Matching_Engine!$T$36=1,Matching_Engine!$S$36*Lookup_Lists!$D$105,0)+IF(Matching_Engine!$Z$36=1,Matching_Engine!$Y$36*Lookup_Lists!$D$106,0)+IF(Matching_Engine!$AF$36=1,Matching_Engine!$AE$36*Lookup_Lists!$D$107,0)+IF(Matching_Engine!$AN$36=1,Matching_Engine!$AM$36*Lookup_Lists!$D$108,0)+IF(Matching_Engine!$AU$36=1,Matching_Engine!$AT$36*Lookup_Lists!$D$109,0))/Matching_Engine!$AX$36,0))</f>
      </c>
      <c r="AZ36" s="11">
        <f>IF(NOT(ISNUMBER(Matching_Engine!$AY$36)),"Not Scored",IF(Matching_Engine!$AY$36&gt;=Lookup_Lists!$D$152,"Excellent Match",IF(Matching_Engine!$AY$36&gt;=Lookup_Lists!$D$153,"Strong Match",IF(Matching_Engine!$AY$36&gt;=Lookup_Lists!$D$154,"Good Match",IF(Matching_Engine!$AY$36&gt;=Lookup_Lists!$D$155,"Moderate Match","Low Match")))))</f>
      </c>
      <c r="BA36" s="18">
        <f>KOL_Source_Data!$BW$12</f>
      </c>
      <c r="BB36" s="11">
        <f>KOL_Source_Data!$BX$12</f>
      </c>
      <c r="BC36" s="18">
        <f>IF(NOT(ISNUMBER(Matching_Engine!$AY$36)),-1,Matching_Engine!$AY$36*1000+18)</f>
      </c>
      <c r="BD36" s="11">
        <f>IF(AND(ISTEXT(KOL_Source_Data!$S$12),KOL_Source_Data!$S$12&lt;&gt;"N/A"),KOL_Source_Data!$S$12,"")&amp;" | "&amp;IF(AND(ISTEXT(KOL_Source_Data!$T$12),KOL_Source_Data!$T$12&lt;&gt;"N/A"),KOL_Source_Data!$T$12,"")&amp;" | "&amp;IF(AND(ISTEXT(KOL_Source_Data!$N$12),KOL_Source_Data!$N$12&lt;&gt;"N/A"),KOL_Source_Data!$N$12,"")&amp;" | "&amp;IF(AND(ISTEXT(KOL_Source_Data!$K$12),KOL_Source_Data!$K$12&lt;&gt;"N/A"),KOL_Source_Data!$K$12,"")&amp;" | "&amp;IF(AND(ISTEXT(KOL_Source_Data!$J$12),KOL_Source_Data!$J$12&lt;&gt;"N/A"),KOL_Source_Data!$J$12,"")</f>
      </c>
      <c r="BE36" s="11">
        <f>IF(AND(ISTEXT(KOL_Source_Data!$T$12),KOL_Source_Data!$T$12&lt;&gt;"N/A"),KOL_Source_Data!$T$12,"")&amp;" | "&amp;IF(AND(ISTEXT(KOL_Source_Data!$N$12),KOL_Source_Data!$N$12&lt;&gt;"N/A"),KOL_Source_Data!$N$12,"")&amp;" | "&amp;IF(AND(ISTEXT(KOL_Source_Data!$O$12),KOL_Source_Data!$O$12&lt;&gt;"N/A"),KOL_Source_Data!$O$12,"")&amp;" | "&amp;IF(AND(ISTEXT(KOL_Source_Data!$S$12),KOL_Source_Data!$S$12&lt;&gt;"N/A"),KOL_Source_Data!$S$12,"")</f>
      </c>
      <c r="BF36" s="11">
        <f>IF(AND(ISTEXT(KOL_Source_Data!$U$12),KOL_Source_Data!$U$12&lt;&gt;"N/A"),KOL_Source_Data!$U$12,"")</f>
      </c>
      <c r="BG36" s="11">
        <f>Matching_Engine!$A$36&amp;"|"&amp;Matching_Engine!$C$36</f>
      </c>
    </row>
    <row r="37" spans="1:59" x14ac:dyDescent="0.25">
      <c r="A37" s="10" t="s">
        <v>391</v>
      </c>
      <c r="B37" s="11">
        <f>Brand_Profile!$F$6</f>
      </c>
      <c r="C37" s="11">
        <f>KOL_Source_Data!$A$13</f>
      </c>
      <c r="D37" s="11">
        <f>KOL_Source_Data!$C$13</f>
      </c>
      <c r="E37" s="11">
        <f>KOL_Source_Data!$D$13</f>
      </c>
      <c r="F37" s="11">
        <f>KOL_Source_Data!$E$13</f>
      </c>
      <c r="G37" s="11">
        <f>KOL_Source_Data!$K$13</f>
      </c>
      <c r="H37" s="12">
        <f>KOL_Source_Data!$G$13</f>
      </c>
      <c r="I37" s="14">
        <f>KOL_Source_Data!$BG$13</f>
      </c>
      <c r="J37" s="18">
        <f>IF(NOT(AND(ISTEXT(KOL_Source_Data!$K$13),KOL_Source_Data!$K$13&lt;&gt;"N/A")),Lookup_Lists!$D$150,IF(Brand_Profile!$F$7=KOL_Source_Data!$K$13,100,IFERROR(INDEX(Lookup_Lists!$B$349:$J$357,MATCH(Brand_Profile!$F$7,Lookup_Lists!$A$349:$A$357,0),MATCH(KOL_Source_Data!$K$13,Lookup_Lists!$B$348:$J$348,0)),Lookup_Lists!$D$151)))</f>
      </c>
      <c r="K37" s="18">
        <f>IF(LEN(TRIM(SUBSTITUTE(Matching_Engine!$BD$37,"|","")))=0,"N/A",IF(Brand_Profile!$F$47=0,Lookup_Lists!$D$150,ROUND((IF(Brand_Profile!$F$41="",0,IF(ISNUMBER(SEARCH(Brand_Profile!$F$41,Matching_Engine!$BD$37)),1,0))+IF(Brand_Profile!$F$42="",0,IF(ISNUMBER(SEARCH(Brand_Profile!$F$42,Matching_Engine!$BD$37)),1,0))+IF(Brand_Profile!$F$43="",0,IF(ISNUMBER(SEARCH(Brand_Profile!$F$43,Matching_Engine!$BD$37)),1,0))+IF(Brand_Profile!$F$44="",0,IF(ISNUMBER(SEARCH(Brand_Profile!$F$44,Matching_Engine!$BD$37)),1,0))+IF(Brand_Profile!$F$45="",0,IF(ISNUMBER(SEARCH(Brand_Profile!$F$45,Matching_Engine!$BD$37)),1,0))+IF(Brand_Profile!$F$46="",0,IF(ISNUMBER(SEARCH(Brand_Profile!$F$46,Matching_Engine!$BD$37)),1,0)))/Brand_Profile!$F$47*100,0)))</f>
      </c>
      <c r="L37" s="18">
        <f>IF(NOT(AND(ISTEXT(KOL_Source_Data!$U$13),KOL_Source_Data!$U$13&lt;&gt;"N/A")),"N/A",IF(Brand_Profile!$F$53=0,Lookup_Lists!$D$150,ROUND((IF(Brand_Profile!$F$48="",0,IF(ISNUMBER(SEARCH(Brand_Profile!$F$48,Matching_Engine!$BF$37)),1,0))+IF(Brand_Profile!$F$49="",0,IF(ISNUMBER(SEARCH(Brand_Profile!$F$49,Matching_Engine!$BF$37)),1,0))+IF(Brand_Profile!$F$50="",0,IF(ISNUMBER(SEARCH(Brand_Profile!$F$50,Matching_Engine!$BF$37)),1,0))+IF(Brand_Profile!$F$51="",0,IF(ISNUMBER(SEARCH(Brand_Profile!$F$51,Matching_Engine!$BF$37)),1,0))+IF(Brand_Profile!$F$52="",0,IF(ISNUMBER(SEARCH(Brand_Profile!$F$52,Matching_Engine!$BF$37)),1,0)))/Brand_Profile!$F$53*100,0)))</f>
      </c>
      <c r="M37" s="29">
        <f>IF((IF(ISNUMBER(Matching_Engine!$J$37),Lookup_Lists!$D$332,0)+IF(ISNUMBER(Matching_Engine!$K$37),Lookup_Lists!$D$333,0)+IF(ISNUMBER(Matching_Engine!$L$37),Lookup_Lists!$D$334,0))=0,"N/A",ROUND((IF(ISNUMBER(Matching_Engine!$J$37),Matching_Engine!$J$37*Lookup_Lists!$D$332,0)+IF(ISNUMBER(Matching_Engine!$K$37),Matching_Engine!$K$37*Lookup_Lists!$D$333,0)+IF(ISNUMBER(Matching_Engine!$L$37),Matching_Engine!$L$37*Lookup_Lists!$D$334,0))/(IF(ISNUMBER(Matching_Engine!$J$37),Lookup_Lists!$D$332,0)+IF(ISNUMBER(Matching_Engine!$K$37),Lookup_Lists!$D$333,0)+IF(ISNUMBER(Matching_Engine!$L$37),Lookup_Lists!$D$334,0)),0))</f>
      </c>
      <c r="N37" s="11">
        <f>IF(ISNUMBER(Matching_Engine!$M$37),1,0)</f>
      </c>
      <c r="O37" s="18">
        <f>IF(NOT(ISNUMBER(IFERROR(INDEX(KOL_Source_Data!$V$13:KOL_Source_Data!$Z$13,1,MATCH(Brand_Profile!$F$11,Lookup_Lists!$F$6:$F$10,0)),""))),"N/A",MIN(100,ROUND((IFERROR(INDEX(KOL_Source_Data!$V$13:KOL_Source_Data!$Z$13,1,MATCH(Brand_Profile!$F$11,Lookup_Lists!$F$6:$F$10,0)),"")+0.5*IF(ISNUMBER(IFERROR(INDEX(KOL_Source_Data!$V$13:KOL_Source_Data!$Z$13,1,MATCH(Brand_Profile!$F$12,Lookup_Lists!$F$6:$F$10,0)),"")),IFERROR(INDEX(KOL_Source_Data!$V$13:KOL_Source_Data!$Z$13,1,MATCH(Brand_Profile!$F$12,Lookup_Lists!$F$6:$F$10,0)),""),0))/Lookup_Lists!$D$142*100,0)))</f>
      </c>
      <c r="P37" s="18">
        <f>IF(Brand_Profile!$F$13="Any",100,IF(NOT(ISNUMBER(KOL_Source_Data!$AA$13)),"N/A",IF(Brand_Profile!$F$13="Female",MIN(100,ROUND(KOL_Source_Data!$AA$13/Lookup_Lists!$D$143*100,0)),IF(Brand_Profile!$F$13="Male",MIN(100,ROUND(IF(ISNUMBER(KOL_Source_Data!$AB$13),KOL_Source_Data!$AB$13,100-KOL_Source_Data!$AA$13)/Lookup_Lists!$D$143*100,0)),MAX(0,ROUND(100-ABS(KOL_Source_Data!$AA$13-50)*2,0))))))</f>
      </c>
      <c r="Q37" s="18">
        <f>IF((IF(ISNUMBER(IF(NOT(ISNUMBER(KOL_Source_Data!$AE$13)),"N/A",IF(KOL_Source_Data!$AD$13&lt;&gt;Brand_Profile!$F$14,Lookup_Lists!$D$151,MIN(100,ROUND(KOL_Source_Data!$AE$13/Lookup_Lists!$D$316*100,0))))),Lookup_Lists!$D$118,0)+IF(ISNUMBER(IF(NOT(ISNUMBER(KOL_Source_Data!$AM$13)),"N/A",MIN(100,ROUND((IF(KOL_Source_Data!$AG$13=Brand_Profile!$F$15,IF(ISNUMBER(KOL_Source_Data!$AH$13),KOL_Source_Data!$AH$13,0),0)+IF(KOL_Source_Data!$AI$13=Brand_Profile!$F$15,IF(ISNUMBER(KOL_Source_Data!$AJ$13),KOL_Source_Data!$AJ$13,0),0)+IF(KOL_Source_Data!$AK$13=Brand_Profile!$F$15,IF(ISNUMBER(KOL_Source_Data!$AL$13),KOL_Source_Data!$AL$13,0),0))/Lookup_Lists!$D$317*100,0)))),Lookup_Lists!$D$120,0))=0,"N/A",ROUND((IF(ISNUMBER(IF(NOT(ISNUMBER(KOL_Source_Data!$AE$13)),"N/A",IF(KOL_Source_Data!$AD$13&lt;&gt;Brand_Profile!$F$14,Lookup_Lists!$D$151,MIN(100,ROUND(KOL_Source_Data!$AE$13/Lookup_Lists!$D$316*100,0))))),IF(NOT(ISNUMBER(KOL_Source_Data!$AE$13)),"N/A",IF(KOL_Source_Data!$AD$13&lt;&gt;Brand_Profile!$F$14,Lookup_Lists!$D$151,MIN(100,ROUND(KOL_Source_Data!$AE$13/Lookup_Lists!$D$316*100,0))))*Lookup_Lists!$D$118,0)+IF(ISNUMBER(IF(NOT(ISNUMBER(KOL_Source_Data!$AM$13)),"N/A",MIN(100,ROUND((IF(KOL_Source_Data!$AG$13=Brand_Profile!$F$15,IF(ISNUMBER(KOL_Source_Data!$AH$13),KOL_Source_Data!$AH$13,0),0)+IF(KOL_Source_Data!$AI$13=Brand_Profile!$F$15,IF(ISNUMBER(KOL_Source_Data!$AJ$13),KOL_Source_Data!$AJ$13,0),0)+IF(KOL_Source_Data!$AK$13=Brand_Profile!$F$15,IF(ISNUMBER(KOL_Source_Data!$AL$13),KOL_Source_Data!$AL$13,0),0))/Lookup_Lists!$D$317*100,0)))),IF(NOT(ISNUMBER(KOL_Source_Data!$AM$13)),"N/A",MIN(100,ROUND((IF(KOL_Source_Data!$AG$13=Brand_Profile!$F$15,IF(ISNUMBER(KOL_Source_Data!$AH$13),KOL_Source_Data!$AH$13,0),0)+IF(KOL_Source_Data!$AI$13=Brand_Profile!$F$15,IF(ISNUMBER(KOL_Source_Data!$AJ$13),KOL_Source_Data!$AJ$13,0),0)+IF(KOL_Source_Data!$AK$13=Brand_Profile!$F$15,IF(ISNUMBER(KOL_Source_Data!$AL$13),KOL_Source_Data!$AL$13,0),0))/Lookup_Lists!$D$317*100,0)))*Lookup_Lists!$D$120,0))/(IF(ISNUMBER(IF(NOT(ISNUMBER(KOL_Source_Data!$AE$13)),"N/A",IF(KOL_Source_Data!$AD$13&lt;&gt;Brand_Profile!$F$14,Lookup_Lists!$D$151,MIN(100,ROUND(KOL_Source_Data!$AE$13/Lookup_Lists!$D$316*100,0))))),Lookup_Lists!$D$118,0)+IF(ISNUMBER(IF(NOT(ISNUMBER(KOL_Source_Data!$AM$13)),"N/A",MIN(100,ROUND((IF(KOL_Source_Data!$AG$13=Brand_Profile!$F$15,IF(ISNUMBER(KOL_Source_Data!$AH$13),KOL_Source_Data!$AH$13,0),0)+IF(KOL_Source_Data!$AI$13=Brand_Profile!$F$15,IF(ISNUMBER(KOL_Source_Data!$AJ$13),KOL_Source_Data!$AJ$13,0),0)+IF(KOL_Source_Data!$AK$13=Brand_Profile!$F$15,IF(ISNUMBER(KOL_Source_Data!$AL$13),KOL_Source_Data!$AL$13,0),0))/Lookup_Lists!$D$317*100,0)))),Lookup_Lists!$D$120,0)),0))</f>
      </c>
      <c r="R37" s="18">
        <f>IF(NOT(ISNUMBER(KOL_Source_Data!$AN$13)),"N/A",MIN(100,ROUND((IF(ISNUMBER(KOL_Source_Data!$AO$13),KOL_Source_Data!$AO$13*Brand_Profile!$F$17,0)+IF(ISNUMBER(KOL_Source_Data!$AP$13),KOL_Source_Data!$AP$13*Brand_Profile!$F$18,0)+IF(ISNUMBER(KOL_Source_Data!$AQ$13),KOL_Source_Data!$AQ$13*Brand_Profile!$F$19,0)+IF(ISNUMBER(KOL_Source_Data!$AR$13),KOL_Source_Data!$AR$13*Brand_Profile!$F$20,0)+IF(ISNUMBER(KOL_Source_Data!$AS$13),KOL_Source_Data!$AS$13*Brand_Profile!$F$21,0)+IF(ISNUMBER(KOL_Source_Data!$AT$13),KOL_Source_Data!$AT$13*Brand_Profile!$F$22,0)+IF(ISNUMBER(KOL_Source_Data!$AU$13),KOL_Source_Data!$AU$13*Brand_Profile!$F$23,0)+IF(ISNUMBER(KOL_Source_Data!$AV$13),KOL_Source_Data!$AV$13*Brand_Profile!$F$24,0)+IF(ISNUMBER(KOL_Source_Data!$AW$13),KOL_Source_Data!$AW$13*Brand_Profile!$F$25,0)+IF(ISNUMBER(KOL_Source_Data!$AX$13),KOL_Source_Data!$AX$13*Brand_Profile!$F$26,0)+IF(ISNUMBER(KOL_Source_Data!$AY$13),KOL_Source_Data!$AY$13*Brand_Profile!$F$27,0)+IF(ISNUMBER(KOL_Source_Data!$AZ$13),KOL_Source_Data!$AZ$13*Brand_Profile!$F$28,0)+IF(ISNUMBER(KOL_Source_Data!$BA$13),KOL_Source_Data!$BA$13*Brand_Profile!$F$29,0)+IF(ISNUMBER(KOL_Source_Data!$BB$13),KOL_Source_Data!$BB$13*Brand_Profile!$F$30,0)+IF(ISNUMBER(KOL_Source_Data!$BC$13),KOL_Source_Data!$BC$13*Brand_Profile!$F$31,0)+IF(ISNUMBER(KOL_Source_Data!$BD$13),KOL_Source_Data!$BD$13*Brand_Profile!$F$32,0)+IF(ISNUMBER(KOL_Source_Data!$BE$13),KOL_Source_Data!$BE$13*Brand_Profile!$F$33,0)+IF(ISNUMBER(KOL_Source_Data!$BF$13),KOL_Source_Data!$BF$13*Brand_Profile!$F$34,0))/Lookup_Lists!$D$318*100,0)))</f>
      </c>
      <c r="S37" s="29">
        <f>IF((IF(ISNUMBER(Matching_Engine!$O$37),Lookup_Lists!$D$113,0)+IF(ISNUMBER(Matching_Engine!$P$37),Lookup_Lists!$D$114,0)+IF(ISNUMBER(Matching_Engine!$Q$37),Lookup_Lists!$D$115,0)+IF(ISNUMBER(Matching_Engine!$R$37),Lookup_Lists!$D$116,0))=0,"N/A",ROUND((IF(ISNUMBER(Matching_Engine!$O$37),Matching_Engine!$O$37*Lookup_Lists!$D$113,0)+IF(ISNUMBER(Matching_Engine!$P$37),Matching_Engine!$P$37*Lookup_Lists!$D$114,0)+IF(ISNUMBER(Matching_Engine!$Q$37),Matching_Engine!$Q$37*Lookup_Lists!$D$115,0)+IF(ISNUMBER(Matching_Engine!$R$37),Matching_Engine!$R$37*Lookup_Lists!$D$116,0))/(IF(ISNUMBER(Matching_Engine!$O$37),Lookup_Lists!$D$113,0)+IF(ISNUMBER(Matching_Engine!$P$37),Lookup_Lists!$D$114,0)+IF(ISNUMBER(Matching_Engine!$Q$37),Lookup_Lists!$D$115,0)+IF(ISNUMBER(Matching_Engine!$R$37),Lookup_Lists!$D$116,0)),0))</f>
      </c>
      <c r="T37" s="11">
        <f>IF(ISNUMBER(Matching_Engine!$S$37),1,0)</f>
      </c>
      <c r="U37" s="18">
        <f>IF(NOT(AND(ISTEXT(KOL_Source_Data!$M$13),KOL_Source_Data!$M$13&lt;&gt;"N/A")),Lookup_Lists!$D$150,IF(Brand_Profile!$F$7=KOL_Source_Data!$M$13,100,IFERROR(INDEX(Lookup_Lists!$B$349:$J$357,MATCH(Brand_Profile!$F$7,Lookup_Lists!$A$349:$A$357,0),MATCH(KOL_Source_Data!$M$13,Lookup_Lists!$B$348:$J$348,0)),Lookup_Lists!$D$151)))</f>
      </c>
      <c r="V37" s="18">
        <f>IF(NOT(AND(ISTEXT(KOL_Source_Data!$P$13),KOL_Source_Data!$P$13&lt;&gt;"N/A")),"N/A",IFERROR(INDEX(Lookup_Lists!$B$349:$J$357,MATCH(Brand_Profile!$F$7,Lookup_Lists!$A$349:$A$357,0),MATCH(KOL_Source_Data!$P$13,Lookup_Lists!$B$348:$J$348,0)),Lookup_Lists!$D$151))</f>
      </c>
      <c r="W37" s="18">
        <f>IF(LEN(TRIM(SUBSTITUTE(Matching_Engine!$BE$37,"|","")))=0,"N/A",IF(Brand_Profile!$F$60=0,Lookup_Lists!$D$150,ROUND((IF(Brand_Profile!$F$54="",0,IF(ISNUMBER(SEARCH(Brand_Profile!$F$54,Matching_Engine!$BE$37)),1,0))+IF(Brand_Profile!$F$55="",0,IF(ISNUMBER(SEARCH(Brand_Profile!$F$55,Matching_Engine!$BE$37)),1,0))+IF(Brand_Profile!$F$56="",0,IF(ISNUMBER(SEARCH(Brand_Profile!$F$56,Matching_Engine!$BE$37)),1,0))+IF(Brand_Profile!$F$57="",0,IF(ISNUMBER(SEARCH(Brand_Profile!$F$57,Matching_Engine!$BE$37)),1,0))+IF(Brand_Profile!$F$58="",0,IF(ISNUMBER(SEARCH(Brand_Profile!$F$58,Matching_Engine!$BE$37)),1,0))+IF(Brand_Profile!$F$59="",0,IF(ISNUMBER(SEARCH(Brand_Profile!$F$59,Matching_Engine!$BE$37)),1,0)))/Brand_Profile!$F$60*100,0)))</f>
      </c>
      <c r="X37" s="18">
        <f>IF(NOT(AND(ISTEXT(KOL_Source_Data!$Q$13),KOL_Source_Data!$Q$13&lt;&gt;"N/A")),"N/A",Lookup_Lists!$D$150)</f>
      </c>
      <c r="Y37" s="29">
        <f>IF((IF(ISNUMBER(Matching_Engine!$U$37),Lookup_Lists!$D$335,0)+IF(ISNUMBER(Matching_Engine!$V$37),Lookup_Lists!$D$122,0)+IF(ISNUMBER(Matching_Engine!$W$37),Lookup_Lists!$D$336,0)+IF(ISNUMBER(Matching_Engine!$X$37),Lookup_Lists!$D$124,0))=0,"N/A",ROUND((IF(ISNUMBER(Matching_Engine!$U$37),Matching_Engine!$U$37*Lookup_Lists!$D$335,0)+IF(ISNUMBER(Matching_Engine!$V$37),Matching_Engine!$V$37*Lookup_Lists!$D$122,0)+IF(ISNUMBER(Matching_Engine!$W$37),Matching_Engine!$W$37*Lookup_Lists!$D$336,0)+IF(ISNUMBER(Matching_Engine!$X$37),Matching_Engine!$X$37*Lookup_Lists!$D$124,0))/(IF(ISNUMBER(Matching_Engine!$U$37),Lookup_Lists!$D$335,0)+IF(ISNUMBER(Matching_Engine!$V$37),Lookup_Lists!$D$122,0)+IF(ISNUMBER(Matching_Engine!$W$37),Lookup_Lists!$D$336,0)+IF(ISNUMBER(Matching_Engine!$X$37),Lookup_Lists!$D$124,0)),0))</f>
      </c>
      <c r="Z37" s="11">
        <f>IF(ISNUMBER(Matching_Engine!$Y$37),1,0)</f>
      </c>
      <c r="AA37" s="18">
        <f>IF(NOT(AND(ISTEXT(KOL_Source_Data!$Q$13),KOL_Source_Data!$Q$13&lt;&gt;"N/A")),"N/A",Lookup_Lists!$D$150)</f>
      </c>
      <c r="AB37" s="18">
        <f>IF(NOT(AND(ISTEXT(KOL_Source_Data!$Q$13),KOL_Source_Data!$Q$13&lt;&gt;"N/A")),"N/A",Lookup_Lists!$D$150)</f>
      </c>
      <c r="AC37" s="18">
        <f>"N/A"</f>
      </c>
      <c r="AD37" s="18">
        <f>IF(NOT(AND(ISTEXT(KOL_Source_Data!$Q$13),KOL_Source_Data!$Q$13&lt;&gt;"N/A")),"N/A",Lookup_Lists!$D$150)</f>
      </c>
      <c r="AE37" s="29">
        <f>IF((IF(ISNUMBER(Matching_Engine!$AA$37),Lookup_Lists!$D$125,0)+IF(ISNUMBER(Matching_Engine!$AB$37),Lookup_Lists!$D$126,0)+IF(ISNUMBER(Matching_Engine!$AC$37),Lookup_Lists!$D$127,0)+IF(ISNUMBER(Matching_Engine!$AD$37),Lookup_Lists!$D$128,0))=0,"N/A",ROUND((IF(ISNUMBER(Matching_Engine!$AA$37),Matching_Engine!$AA$37*Lookup_Lists!$D$125,0)+IF(ISNUMBER(Matching_Engine!$AB$37),Matching_Engine!$AB$37*Lookup_Lists!$D$126,0)+IF(ISNUMBER(Matching_Engine!$AC$37),Matching_Engine!$AC$37*Lookup_Lists!$D$127,0)+IF(ISNUMBER(Matching_Engine!$AD$37),Matching_Engine!$AD$37*Lookup_Lists!$D$128,0))/(IF(ISNUMBER(Matching_Engine!$AA$37),Lookup_Lists!$D$125,0)+IF(ISNUMBER(Matching_Engine!$AB$37),Lookup_Lists!$D$126,0)+IF(ISNUMBER(Matching_Engine!$AC$37),Lookup_Lists!$D$127,0)+IF(ISNUMBER(Matching_Engine!$AD$37),Lookup_Lists!$D$128,0)),0))</f>
      </c>
      <c r="AF37" s="11">
        <f>IF(ISNUMBER(Matching_Engine!$AE$37),1,0)</f>
      </c>
      <c r="AG37" s="18">
        <f>IF(NOT(ISNUMBER(KOL_Source_Data!$BG$13)),"N/A",MIN(100,ROUND(KOL_Source_Data!$BG$13/IFERROR(INDEX(Lookup_Lists!$B$340:$B$344,MATCH(KOL_Source_Data!$H$13,Lookup_Lists!$A$340:$A$344,0)),Lookup_Lists!$D$141)*100,0)))</f>
      </c>
      <c r="AH37" s="18">
        <f>IF(NOT(ISNUMBER(KOL_Source_Data!$BS$13)),"N/A",MIN(100,MAX(0,KOL_Source_Data!$BS$13)))</f>
      </c>
      <c r="AI37" s="18">
        <f>IF(OR(NOT(ISNUMBER(KOL_Source_Data!$BM$13)),NOT(ISNUMBER(KOL_Source_Data!$BN$13)),KOL_Source_Data!$BN$13&lt;Lookup_Lists!$D$320),"N/A",MIN(100,ROUND(KOL_Source_Data!$BM$13/Lookup_Lists!$D$319*100,0)))</f>
      </c>
      <c r="AJ37" s="18">
        <f>IF(NOT(ISNUMBER(KOL_Source_Data!$BR$13)),"N/A",KOL_Source_Data!$BR$13)</f>
      </c>
      <c r="AK37" s="18">
        <f>IF(NOT(ISNUMBER(KOL_Source_Data!$BK$13)),"N/A",MIN(100,ROUND(KOL_Source_Data!$BK$13/Lookup_Lists!$D$321*100,0)))</f>
      </c>
      <c r="AL37" s="18">
        <f>IF(NOT(ISNUMBER(KOL_Source_Data!$BP$13)),"N/A",MIN(100,MAX(0,ROUND((KOL_Source_Data!$BP$13+2)/(Lookup_Lists!$D$145+2)*100,0))))</f>
      </c>
      <c r="AM37" s="29">
        <f>IF((IF(ISNUMBER(Matching_Engine!$AG$37),Lookup_Lists!$D$129,0)+IF(ISNUMBER(Matching_Engine!$AH$37),Lookup_Lists!$D$130,0)+IF(ISNUMBER(Matching_Engine!$AI$37),Lookup_Lists!$D$131,0)+IF(ISNUMBER(Matching_Engine!$AJ$37),Lookup_Lists!$D$132,0)+IF(ISNUMBER(Matching_Engine!$AK$37),Lookup_Lists!$D$133,0)+IF(ISNUMBER(Matching_Engine!$AL$37),Lookup_Lists!$D$134,0))=0,"N/A",ROUND((IF(ISNUMBER(Matching_Engine!$AG$37),Matching_Engine!$AG$37*Lookup_Lists!$D$129,0)+IF(ISNUMBER(Matching_Engine!$AH$37),Matching_Engine!$AH$37*Lookup_Lists!$D$130,0)+IF(ISNUMBER(Matching_Engine!$AI$37),Matching_Engine!$AI$37*Lookup_Lists!$D$131,0)+IF(ISNUMBER(Matching_Engine!$AJ$37),Matching_Engine!$AJ$37*Lookup_Lists!$D$132,0)+IF(ISNUMBER(Matching_Engine!$AK$37),Matching_Engine!$AK$37*Lookup_Lists!$D$133,0)+IF(ISNUMBER(Matching_Engine!$AL$37),Matching_Engine!$AL$37*Lookup_Lists!$D$134,0))/(IF(ISNUMBER(Matching_Engine!$AG$37),Lookup_Lists!$D$129,0)+IF(ISNUMBER(Matching_Engine!$AH$37),Lookup_Lists!$D$130,0)+IF(ISNUMBER(Matching_Engine!$AI$37),Lookup_Lists!$D$131,0)+IF(ISNUMBER(Matching_Engine!$AJ$37),Lookup_Lists!$D$132,0)+IF(ISNUMBER(Matching_Engine!$AK$37),Lookup_Lists!$D$133,0)+IF(ISNUMBER(Matching_Engine!$AL$37),Lookup_Lists!$D$134,0)),0))</f>
      </c>
      <c r="AN37" s="11">
        <f>IF(ISNUMBER(Matching_Engine!$AM$37),1,0)</f>
      </c>
      <c r="AO37" s="18">
        <f>IF(NOT(ISNUMBER(KOL_Source_Data!$BT$13)),"N/A",MIN(100,MAX(0,KOL_Source_Data!$BT$13)))</f>
      </c>
      <c r="AP37" s="18">
        <f>IF(NOT(ISNUMBER(KOL_Source_Data!$BU$13)),"N/A",MIN(100,MAX(0,KOL_Source_Data!$BU$13)))</f>
      </c>
      <c r="AQ37" s="18">
        <f>IF(KOL_Source_Data!$I$13="Yes",Lookup_Lists!$D$326,IF(KOL_Source_Data!$I$13="No",Lookup_Lists!$D$327,"N/A"))</f>
      </c>
      <c r="AR37" s="18">
        <f>IF(NOT(ISNUMBER(KOL_Source_Data!$BQ$13)),"N/A",MAX(0,ROUND(100-KOL_Source_Data!$BQ$13/Lookup_Lists!$D$328*100,0)))</f>
      </c>
      <c r="AS37" s="18">
        <f>IF(NOT(AND(ISTEXT(KOL_Source_Data!$BV$13),KOL_Source_Data!$BV$13&lt;&gt;"N/A")),"N/A",KOL_Source_Data!$BV$13)</f>
      </c>
      <c r="AT37" s="29">
        <f>IF((IF(ISNUMBER(Matching_Engine!$AO$37),Lookup_Lists!$D$322,0)+IF(ISNUMBER(Matching_Engine!$AP$37),Lookup_Lists!$D$323,0)+IF(ISNUMBER(Matching_Engine!$AQ$37),Lookup_Lists!$D$324,0)+IF(ISNUMBER(Matching_Engine!$AR$37),Lookup_Lists!$D$325,0))=0,"N/A",ROUND((IF(ISNUMBER(Matching_Engine!$AO$37),Matching_Engine!$AO$37*Lookup_Lists!$D$322,0)+IF(ISNUMBER(Matching_Engine!$AP$37),Matching_Engine!$AP$37*Lookup_Lists!$D$323,0)+IF(ISNUMBER(Matching_Engine!$AQ$37),Matching_Engine!$AQ$37*Lookup_Lists!$D$324,0)+IF(ISNUMBER(Matching_Engine!$AR$37),Matching_Engine!$AR$37*Lookup_Lists!$D$325,0))/(IF(ISNUMBER(Matching_Engine!$AO$37),Lookup_Lists!$D$322,0)+IF(ISNUMBER(Matching_Engine!$AP$37),Lookup_Lists!$D$323,0)+IF(ISNUMBER(Matching_Engine!$AQ$37),Lookup_Lists!$D$324,0)+IF(ISNUMBER(Matching_Engine!$AR$37),Lookup_Lists!$D$325,0)),0))</f>
      </c>
      <c r="AU37" s="11">
        <f>IF(ISNUMBER(Matching_Engine!$AT$37),1,0)</f>
      </c>
      <c r="AV37" s="11">
        <f>IF(NOT(ISNUMBER(Matching_Engine!$AT$37)),"Not Screened",IF(Matching_Engine!$AT$37&gt;=Lookup_Lists!$D$329,"Low Risk",IF(Matching_Engine!$AT$37&gt;=Lookup_Lists!$D$330,"Moderate Risk",IF(Matching_Engine!$AT$37&gt;=Lookup_Lists!$D$331,"Elevated Risk","High Risk"))))</f>
      </c>
      <c r="AW37" s="11">
        <f>IF(NOT(ISNUMBER(Matching_Engine!$AT$37)),"No integrity signal: no audience-analysis row for this account.","Integrity screen only — no content-risk reading exists (comments_analysis: 0 rows). "&amp;IF(ISNUMBER(Matching_Engine!$AO$37),"Authenticity "&amp;Matching_Engine!$AO$37&amp;". ","Authenticity N/A. ")&amp;IF(ISNUMBER(Matching_Engine!$AP$37),"Follower quality "&amp;Matching_Engine!$AP$37&amp;". ","Follower quality N/A. ")&amp;IF(KOL_Source_Data!$I$13="Yes","Platform-verified.","Not platform-verified."))</f>
      </c>
      <c r="AX37" s="18">
        <f>Matching_Engine!$N$37*Lookup_Lists!$D$104+Matching_Engine!$T$37*Lookup_Lists!$D$105+Matching_Engine!$Z$37*Lookup_Lists!$D$106+Matching_Engine!$AF$37*Lookup_Lists!$D$107+Matching_Engine!$AN$37*Lookup_Lists!$D$108+Matching_Engine!$AU$37*Lookup_Lists!$D$109</f>
      </c>
      <c r="AY37" s="30">
        <f>IF(Matching_Engine!$AX$37=0,"N/A",ROUND((IF(Matching_Engine!$N$37=1,Matching_Engine!$M$37*Lookup_Lists!$D$104,0)+IF(Matching_Engine!$T$37=1,Matching_Engine!$S$37*Lookup_Lists!$D$105,0)+IF(Matching_Engine!$Z$37=1,Matching_Engine!$Y$37*Lookup_Lists!$D$106,0)+IF(Matching_Engine!$AF$37=1,Matching_Engine!$AE$37*Lookup_Lists!$D$107,0)+IF(Matching_Engine!$AN$37=1,Matching_Engine!$AM$37*Lookup_Lists!$D$108,0)+IF(Matching_Engine!$AU$37=1,Matching_Engine!$AT$37*Lookup_Lists!$D$109,0))/Matching_Engine!$AX$37,0))</f>
      </c>
      <c r="AZ37" s="11">
        <f>IF(NOT(ISNUMBER(Matching_Engine!$AY$37)),"Not Scored",IF(Matching_Engine!$AY$37&gt;=Lookup_Lists!$D$152,"Excellent Match",IF(Matching_Engine!$AY$37&gt;=Lookup_Lists!$D$153,"Strong Match",IF(Matching_Engine!$AY$37&gt;=Lookup_Lists!$D$154,"Good Match",IF(Matching_Engine!$AY$37&gt;=Lookup_Lists!$D$155,"Moderate Match","Low Match")))))</f>
      </c>
      <c r="BA37" s="18">
        <f>KOL_Source_Data!$BW$13</f>
      </c>
      <c r="BB37" s="11">
        <f>KOL_Source_Data!$BX$13</f>
      </c>
      <c r="BC37" s="18">
        <f>IF(NOT(ISNUMBER(Matching_Engine!$AY$37)),-1,Matching_Engine!$AY$37*1000+17)</f>
      </c>
      <c r="BD37" s="11">
        <f>IF(AND(ISTEXT(KOL_Source_Data!$S$13),KOL_Source_Data!$S$13&lt;&gt;"N/A"),KOL_Source_Data!$S$13,"")&amp;" | "&amp;IF(AND(ISTEXT(KOL_Source_Data!$T$13),KOL_Source_Data!$T$13&lt;&gt;"N/A"),KOL_Source_Data!$T$13,"")&amp;" | "&amp;IF(AND(ISTEXT(KOL_Source_Data!$N$13),KOL_Source_Data!$N$13&lt;&gt;"N/A"),KOL_Source_Data!$N$13,"")&amp;" | "&amp;IF(AND(ISTEXT(KOL_Source_Data!$K$13),KOL_Source_Data!$K$13&lt;&gt;"N/A"),KOL_Source_Data!$K$13,"")&amp;" | "&amp;IF(AND(ISTEXT(KOL_Source_Data!$J$13),KOL_Source_Data!$J$13&lt;&gt;"N/A"),KOL_Source_Data!$J$13,"")</f>
      </c>
      <c r="BE37" s="11">
        <f>IF(AND(ISTEXT(KOL_Source_Data!$T$13),KOL_Source_Data!$T$13&lt;&gt;"N/A"),KOL_Source_Data!$T$13,"")&amp;" | "&amp;IF(AND(ISTEXT(KOL_Source_Data!$N$13),KOL_Source_Data!$N$13&lt;&gt;"N/A"),KOL_Source_Data!$N$13,"")&amp;" | "&amp;IF(AND(ISTEXT(KOL_Source_Data!$O$13),KOL_Source_Data!$O$13&lt;&gt;"N/A"),KOL_Source_Data!$O$13,"")&amp;" | "&amp;IF(AND(ISTEXT(KOL_Source_Data!$S$13),KOL_Source_Data!$S$13&lt;&gt;"N/A"),KOL_Source_Data!$S$13,"")</f>
      </c>
      <c r="BF37" s="11">
        <f>IF(AND(ISTEXT(KOL_Source_Data!$U$13),KOL_Source_Data!$U$13&lt;&gt;"N/A"),KOL_Source_Data!$U$13,"")</f>
      </c>
      <c r="BG37" s="11">
        <f>Matching_Engine!$A$37&amp;"|"&amp;Matching_Engine!$C$37</f>
      </c>
    </row>
    <row r="38" spans="1:59" x14ac:dyDescent="0.25">
      <c r="A38" s="10" t="s">
        <v>391</v>
      </c>
      <c r="B38" s="11">
        <f>Brand_Profile!$F$6</f>
      </c>
      <c r="C38" s="11">
        <f>KOL_Source_Data!$A$14</f>
      </c>
      <c r="D38" s="11">
        <f>KOL_Source_Data!$C$14</f>
      </c>
      <c r="E38" s="11">
        <f>KOL_Source_Data!$D$14</f>
      </c>
      <c r="F38" s="11">
        <f>KOL_Source_Data!$E$14</f>
      </c>
      <c r="G38" s="11">
        <f>KOL_Source_Data!$K$14</f>
      </c>
      <c r="H38" s="12">
        <f>KOL_Source_Data!$G$14</f>
      </c>
      <c r="I38" s="14">
        <f>KOL_Source_Data!$BG$14</f>
      </c>
      <c r="J38" s="18">
        <f>IF(NOT(AND(ISTEXT(KOL_Source_Data!$K$14),KOL_Source_Data!$K$14&lt;&gt;"N/A")),Lookup_Lists!$D$150,IF(Brand_Profile!$F$7=KOL_Source_Data!$K$14,100,IFERROR(INDEX(Lookup_Lists!$B$349:$J$357,MATCH(Brand_Profile!$F$7,Lookup_Lists!$A$349:$A$357,0),MATCH(KOL_Source_Data!$K$14,Lookup_Lists!$B$348:$J$348,0)),Lookup_Lists!$D$151)))</f>
      </c>
      <c r="K38" s="18">
        <f>IF(LEN(TRIM(SUBSTITUTE(Matching_Engine!$BD$38,"|","")))=0,"N/A",IF(Brand_Profile!$F$47=0,Lookup_Lists!$D$150,ROUND((IF(Brand_Profile!$F$41="",0,IF(ISNUMBER(SEARCH(Brand_Profile!$F$41,Matching_Engine!$BD$38)),1,0))+IF(Brand_Profile!$F$42="",0,IF(ISNUMBER(SEARCH(Brand_Profile!$F$42,Matching_Engine!$BD$38)),1,0))+IF(Brand_Profile!$F$43="",0,IF(ISNUMBER(SEARCH(Brand_Profile!$F$43,Matching_Engine!$BD$38)),1,0))+IF(Brand_Profile!$F$44="",0,IF(ISNUMBER(SEARCH(Brand_Profile!$F$44,Matching_Engine!$BD$38)),1,0))+IF(Brand_Profile!$F$45="",0,IF(ISNUMBER(SEARCH(Brand_Profile!$F$45,Matching_Engine!$BD$38)),1,0))+IF(Brand_Profile!$F$46="",0,IF(ISNUMBER(SEARCH(Brand_Profile!$F$46,Matching_Engine!$BD$38)),1,0)))/Brand_Profile!$F$47*100,0)))</f>
      </c>
      <c r="L38" s="18">
        <f>IF(NOT(AND(ISTEXT(KOL_Source_Data!$U$14),KOL_Source_Data!$U$14&lt;&gt;"N/A")),"N/A",IF(Brand_Profile!$F$53=0,Lookup_Lists!$D$150,ROUND((IF(Brand_Profile!$F$48="",0,IF(ISNUMBER(SEARCH(Brand_Profile!$F$48,Matching_Engine!$BF$38)),1,0))+IF(Brand_Profile!$F$49="",0,IF(ISNUMBER(SEARCH(Brand_Profile!$F$49,Matching_Engine!$BF$38)),1,0))+IF(Brand_Profile!$F$50="",0,IF(ISNUMBER(SEARCH(Brand_Profile!$F$50,Matching_Engine!$BF$38)),1,0))+IF(Brand_Profile!$F$51="",0,IF(ISNUMBER(SEARCH(Brand_Profile!$F$51,Matching_Engine!$BF$38)),1,0))+IF(Brand_Profile!$F$52="",0,IF(ISNUMBER(SEARCH(Brand_Profile!$F$52,Matching_Engine!$BF$38)),1,0)))/Brand_Profile!$F$53*100,0)))</f>
      </c>
      <c r="M38" s="29">
        <f>IF((IF(ISNUMBER(Matching_Engine!$J$38),Lookup_Lists!$D$332,0)+IF(ISNUMBER(Matching_Engine!$K$38),Lookup_Lists!$D$333,0)+IF(ISNUMBER(Matching_Engine!$L$38),Lookup_Lists!$D$334,0))=0,"N/A",ROUND((IF(ISNUMBER(Matching_Engine!$J$38),Matching_Engine!$J$38*Lookup_Lists!$D$332,0)+IF(ISNUMBER(Matching_Engine!$K$38),Matching_Engine!$K$38*Lookup_Lists!$D$333,0)+IF(ISNUMBER(Matching_Engine!$L$38),Matching_Engine!$L$38*Lookup_Lists!$D$334,0))/(IF(ISNUMBER(Matching_Engine!$J$38),Lookup_Lists!$D$332,0)+IF(ISNUMBER(Matching_Engine!$K$38),Lookup_Lists!$D$333,0)+IF(ISNUMBER(Matching_Engine!$L$38),Lookup_Lists!$D$334,0)),0))</f>
      </c>
      <c r="N38" s="11">
        <f>IF(ISNUMBER(Matching_Engine!$M$38),1,0)</f>
      </c>
      <c r="O38" s="18">
        <f>IF(NOT(ISNUMBER(IFERROR(INDEX(KOL_Source_Data!$V$14:KOL_Source_Data!$Z$14,1,MATCH(Brand_Profile!$F$11,Lookup_Lists!$F$6:$F$10,0)),""))),"N/A",MIN(100,ROUND((IFERROR(INDEX(KOL_Source_Data!$V$14:KOL_Source_Data!$Z$14,1,MATCH(Brand_Profile!$F$11,Lookup_Lists!$F$6:$F$10,0)),"")+0.5*IF(ISNUMBER(IFERROR(INDEX(KOL_Source_Data!$V$14:KOL_Source_Data!$Z$14,1,MATCH(Brand_Profile!$F$12,Lookup_Lists!$F$6:$F$10,0)),"")),IFERROR(INDEX(KOL_Source_Data!$V$14:KOL_Source_Data!$Z$14,1,MATCH(Brand_Profile!$F$12,Lookup_Lists!$F$6:$F$10,0)),""),0))/Lookup_Lists!$D$142*100,0)))</f>
      </c>
      <c r="P38" s="18">
        <f>IF(Brand_Profile!$F$13="Any",100,IF(NOT(ISNUMBER(KOL_Source_Data!$AA$14)),"N/A",IF(Brand_Profile!$F$13="Female",MIN(100,ROUND(KOL_Source_Data!$AA$14/Lookup_Lists!$D$143*100,0)),IF(Brand_Profile!$F$13="Male",MIN(100,ROUND(IF(ISNUMBER(KOL_Source_Data!$AB$14),KOL_Source_Data!$AB$14,100-KOL_Source_Data!$AA$14)/Lookup_Lists!$D$143*100,0)),MAX(0,ROUND(100-ABS(KOL_Source_Data!$AA$14-50)*2,0))))))</f>
      </c>
      <c r="Q38" s="18">
        <f>IF((IF(ISNUMBER(IF(NOT(ISNUMBER(KOL_Source_Data!$AE$14)),"N/A",IF(KOL_Source_Data!$AD$14&lt;&gt;Brand_Profile!$F$14,Lookup_Lists!$D$151,MIN(100,ROUND(KOL_Source_Data!$AE$14/Lookup_Lists!$D$316*100,0))))),Lookup_Lists!$D$118,0)+IF(ISNUMBER(IF(NOT(ISNUMBER(KOL_Source_Data!$AM$14)),"N/A",MIN(100,ROUND((IF(KOL_Source_Data!$AG$14=Brand_Profile!$F$15,IF(ISNUMBER(KOL_Source_Data!$AH$14),KOL_Source_Data!$AH$14,0),0)+IF(KOL_Source_Data!$AI$14=Brand_Profile!$F$15,IF(ISNUMBER(KOL_Source_Data!$AJ$14),KOL_Source_Data!$AJ$14,0),0)+IF(KOL_Source_Data!$AK$14=Brand_Profile!$F$15,IF(ISNUMBER(KOL_Source_Data!$AL$14),KOL_Source_Data!$AL$14,0),0))/Lookup_Lists!$D$317*100,0)))),Lookup_Lists!$D$120,0))=0,"N/A",ROUND((IF(ISNUMBER(IF(NOT(ISNUMBER(KOL_Source_Data!$AE$14)),"N/A",IF(KOL_Source_Data!$AD$14&lt;&gt;Brand_Profile!$F$14,Lookup_Lists!$D$151,MIN(100,ROUND(KOL_Source_Data!$AE$14/Lookup_Lists!$D$316*100,0))))),IF(NOT(ISNUMBER(KOL_Source_Data!$AE$14)),"N/A",IF(KOL_Source_Data!$AD$14&lt;&gt;Brand_Profile!$F$14,Lookup_Lists!$D$151,MIN(100,ROUND(KOL_Source_Data!$AE$14/Lookup_Lists!$D$316*100,0))))*Lookup_Lists!$D$118,0)+IF(ISNUMBER(IF(NOT(ISNUMBER(KOL_Source_Data!$AM$14)),"N/A",MIN(100,ROUND((IF(KOL_Source_Data!$AG$14=Brand_Profile!$F$15,IF(ISNUMBER(KOL_Source_Data!$AH$14),KOL_Source_Data!$AH$14,0),0)+IF(KOL_Source_Data!$AI$14=Brand_Profile!$F$15,IF(ISNUMBER(KOL_Source_Data!$AJ$14),KOL_Source_Data!$AJ$14,0),0)+IF(KOL_Source_Data!$AK$14=Brand_Profile!$F$15,IF(ISNUMBER(KOL_Source_Data!$AL$14),KOL_Source_Data!$AL$14,0),0))/Lookup_Lists!$D$317*100,0)))),IF(NOT(ISNUMBER(KOL_Source_Data!$AM$14)),"N/A",MIN(100,ROUND((IF(KOL_Source_Data!$AG$14=Brand_Profile!$F$15,IF(ISNUMBER(KOL_Source_Data!$AH$14),KOL_Source_Data!$AH$14,0),0)+IF(KOL_Source_Data!$AI$14=Brand_Profile!$F$15,IF(ISNUMBER(KOL_Source_Data!$AJ$14),KOL_Source_Data!$AJ$14,0),0)+IF(KOL_Source_Data!$AK$14=Brand_Profile!$F$15,IF(ISNUMBER(KOL_Source_Data!$AL$14),KOL_Source_Data!$AL$14,0),0))/Lookup_Lists!$D$317*100,0)))*Lookup_Lists!$D$120,0))/(IF(ISNUMBER(IF(NOT(ISNUMBER(KOL_Source_Data!$AE$14)),"N/A",IF(KOL_Source_Data!$AD$14&lt;&gt;Brand_Profile!$F$14,Lookup_Lists!$D$151,MIN(100,ROUND(KOL_Source_Data!$AE$14/Lookup_Lists!$D$316*100,0))))),Lookup_Lists!$D$118,0)+IF(ISNUMBER(IF(NOT(ISNUMBER(KOL_Source_Data!$AM$14)),"N/A",MIN(100,ROUND((IF(KOL_Source_Data!$AG$14=Brand_Profile!$F$15,IF(ISNUMBER(KOL_Source_Data!$AH$14),KOL_Source_Data!$AH$14,0),0)+IF(KOL_Source_Data!$AI$14=Brand_Profile!$F$15,IF(ISNUMBER(KOL_Source_Data!$AJ$14),KOL_Source_Data!$AJ$14,0),0)+IF(KOL_Source_Data!$AK$14=Brand_Profile!$F$15,IF(ISNUMBER(KOL_Source_Data!$AL$14),KOL_Source_Data!$AL$14,0),0))/Lookup_Lists!$D$317*100,0)))),Lookup_Lists!$D$120,0)),0))</f>
      </c>
      <c r="R38" s="18">
        <f>IF(NOT(ISNUMBER(KOL_Source_Data!$AN$14)),"N/A",MIN(100,ROUND((IF(ISNUMBER(KOL_Source_Data!$AO$14),KOL_Source_Data!$AO$14*Brand_Profile!$F$17,0)+IF(ISNUMBER(KOL_Source_Data!$AP$14),KOL_Source_Data!$AP$14*Brand_Profile!$F$18,0)+IF(ISNUMBER(KOL_Source_Data!$AQ$14),KOL_Source_Data!$AQ$14*Brand_Profile!$F$19,0)+IF(ISNUMBER(KOL_Source_Data!$AR$14),KOL_Source_Data!$AR$14*Brand_Profile!$F$20,0)+IF(ISNUMBER(KOL_Source_Data!$AS$14),KOL_Source_Data!$AS$14*Brand_Profile!$F$21,0)+IF(ISNUMBER(KOL_Source_Data!$AT$14),KOL_Source_Data!$AT$14*Brand_Profile!$F$22,0)+IF(ISNUMBER(KOL_Source_Data!$AU$14),KOL_Source_Data!$AU$14*Brand_Profile!$F$23,0)+IF(ISNUMBER(KOL_Source_Data!$AV$14),KOL_Source_Data!$AV$14*Brand_Profile!$F$24,0)+IF(ISNUMBER(KOL_Source_Data!$AW$14),KOL_Source_Data!$AW$14*Brand_Profile!$F$25,0)+IF(ISNUMBER(KOL_Source_Data!$AX$14),KOL_Source_Data!$AX$14*Brand_Profile!$F$26,0)+IF(ISNUMBER(KOL_Source_Data!$AY$14),KOL_Source_Data!$AY$14*Brand_Profile!$F$27,0)+IF(ISNUMBER(KOL_Source_Data!$AZ$14),KOL_Source_Data!$AZ$14*Brand_Profile!$F$28,0)+IF(ISNUMBER(KOL_Source_Data!$BA$14),KOL_Source_Data!$BA$14*Brand_Profile!$F$29,0)+IF(ISNUMBER(KOL_Source_Data!$BB$14),KOL_Source_Data!$BB$14*Brand_Profile!$F$30,0)+IF(ISNUMBER(KOL_Source_Data!$BC$14),KOL_Source_Data!$BC$14*Brand_Profile!$F$31,0)+IF(ISNUMBER(KOL_Source_Data!$BD$14),KOL_Source_Data!$BD$14*Brand_Profile!$F$32,0)+IF(ISNUMBER(KOL_Source_Data!$BE$14),KOL_Source_Data!$BE$14*Brand_Profile!$F$33,0)+IF(ISNUMBER(KOL_Source_Data!$BF$14),KOL_Source_Data!$BF$14*Brand_Profile!$F$34,0))/Lookup_Lists!$D$318*100,0)))</f>
      </c>
      <c r="S38" s="29">
        <f>IF((IF(ISNUMBER(Matching_Engine!$O$38),Lookup_Lists!$D$113,0)+IF(ISNUMBER(Matching_Engine!$P$38),Lookup_Lists!$D$114,0)+IF(ISNUMBER(Matching_Engine!$Q$38),Lookup_Lists!$D$115,0)+IF(ISNUMBER(Matching_Engine!$R$38),Lookup_Lists!$D$116,0))=0,"N/A",ROUND((IF(ISNUMBER(Matching_Engine!$O$38),Matching_Engine!$O$38*Lookup_Lists!$D$113,0)+IF(ISNUMBER(Matching_Engine!$P$38),Matching_Engine!$P$38*Lookup_Lists!$D$114,0)+IF(ISNUMBER(Matching_Engine!$Q$38),Matching_Engine!$Q$38*Lookup_Lists!$D$115,0)+IF(ISNUMBER(Matching_Engine!$R$38),Matching_Engine!$R$38*Lookup_Lists!$D$116,0))/(IF(ISNUMBER(Matching_Engine!$O$38),Lookup_Lists!$D$113,0)+IF(ISNUMBER(Matching_Engine!$P$38),Lookup_Lists!$D$114,0)+IF(ISNUMBER(Matching_Engine!$Q$38),Lookup_Lists!$D$115,0)+IF(ISNUMBER(Matching_Engine!$R$38),Lookup_Lists!$D$116,0)),0))</f>
      </c>
      <c r="T38" s="11">
        <f>IF(ISNUMBER(Matching_Engine!$S$38),1,0)</f>
      </c>
      <c r="U38" s="18">
        <f>IF(NOT(AND(ISTEXT(KOL_Source_Data!$M$14),KOL_Source_Data!$M$14&lt;&gt;"N/A")),Lookup_Lists!$D$150,IF(Brand_Profile!$F$7=KOL_Source_Data!$M$14,100,IFERROR(INDEX(Lookup_Lists!$B$349:$J$357,MATCH(Brand_Profile!$F$7,Lookup_Lists!$A$349:$A$357,0),MATCH(KOL_Source_Data!$M$14,Lookup_Lists!$B$348:$J$348,0)),Lookup_Lists!$D$151)))</f>
      </c>
      <c r="V38" s="18">
        <f>IF(NOT(AND(ISTEXT(KOL_Source_Data!$P$14),KOL_Source_Data!$P$14&lt;&gt;"N/A")),"N/A",IFERROR(INDEX(Lookup_Lists!$B$349:$J$357,MATCH(Brand_Profile!$F$7,Lookup_Lists!$A$349:$A$357,0),MATCH(KOL_Source_Data!$P$14,Lookup_Lists!$B$348:$J$348,0)),Lookup_Lists!$D$151))</f>
      </c>
      <c r="W38" s="18">
        <f>IF(LEN(TRIM(SUBSTITUTE(Matching_Engine!$BE$38,"|","")))=0,"N/A",IF(Brand_Profile!$F$60=0,Lookup_Lists!$D$150,ROUND((IF(Brand_Profile!$F$54="",0,IF(ISNUMBER(SEARCH(Brand_Profile!$F$54,Matching_Engine!$BE$38)),1,0))+IF(Brand_Profile!$F$55="",0,IF(ISNUMBER(SEARCH(Brand_Profile!$F$55,Matching_Engine!$BE$38)),1,0))+IF(Brand_Profile!$F$56="",0,IF(ISNUMBER(SEARCH(Brand_Profile!$F$56,Matching_Engine!$BE$38)),1,0))+IF(Brand_Profile!$F$57="",0,IF(ISNUMBER(SEARCH(Brand_Profile!$F$57,Matching_Engine!$BE$38)),1,0))+IF(Brand_Profile!$F$58="",0,IF(ISNUMBER(SEARCH(Brand_Profile!$F$58,Matching_Engine!$BE$38)),1,0))+IF(Brand_Profile!$F$59="",0,IF(ISNUMBER(SEARCH(Brand_Profile!$F$59,Matching_Engine!$BE$38)),1,0)))/Brand_Profile!$F$60*100,0)))</f>
      </c>
      <c r="X38" s="18">
        <f>IF(NOT(AND(ISTEXT(KOL_Source_Data!$Q$14),KOL_Source_Data!$Q$14&lt;&gt;"N/A")),"N/A",Lookup_Lists!$D$150)</f>
      </c>
      <c r="Y38" s="29">
        <f>IF((IF(ISNUMBER(Matching_Engine!$U$38),Lookup_Lists!$D$335,0)+IF(ISNUMBER(Matching_Engine!$V$38),Lookup_Lists!$D$122,0)+IF(ISNUMBER(Matching_Engine!$W$38),Lookup_Lists!$D$336,0)+IF(ISNUMBER(Matching_Engine!$X$38),Lookup_Lists!$D$124,0))=0,"N/A",ROUND((IF(ISNUMBER(Matching_Engine!$U$38),Matching_Engine!$U$38*Lookup_Lists!$D$335,0)+IF(ISNUMBER(Matching_Engine!$V$38),Matching_Engine!$V$38*Lookup_Lists!$D$122,0)+IF(ISNUMBER(Matching_Engine!$W$38),Matching_Engine!$W$38*Lookup_Lists!$D$336,0)+IF(ISNUMBER(Matching_Engine!$X$38),Matching_Engine!$X$38*Lookup_Lists!$D$124,0))/(IF(ISNUMBER(Matching_Engine!$U$38),Lookup_Lists!$D$335,0)+IF(ISNUMBER(Matching_Engine!$V$38),Lookup_Lists!$D$122,0)+IF(ISNUMBER(Matching_Engine!$W$38),Lookup_Lists!$D$336,0)+IF(ISNUMBER(Matching_Engine!$X$38),Lookup_Lists!$D$124,0)),0))</f>
      </c>
      <c r="Z38" s="11">
        <f>IF(ISNUMBER(Matching_Engine!$Y$38),1,0)</f>
      </c>
      <c r="AA38" s="18">
        <f>IF(NOT(AND(ISTEXT(KOL_Source_Data!$Q$14),KOL_Source_Data!$Q$14&lt;&gt;"N/A")),"N/A",Lookup_Lists!$D$150)</f>
      </c>
      <c r="AB38" s="18">
        <f>IF(NOT(AND(ISTEXT(KOL_Source_Data!$Q$14),KOL_Source_Data!$Q$14&lt;&gt;"N/A")),"N/A",Lookup_Lists!$D$150)</f>
      </c>
      <c r="AC38" s="18">
        <f>"N/A"</f>
      </c>
      <c r="AD38" s="18">
        <f>IF(NOT(AND(ISTEXT(KOL_Source_Data!$Q$14),KOL_Source_Data!$Q$14&lt;&gt;"N/A")),"N/A",Lookup_Lists!$D$150)</f>
      </c>
      <c r="AE38" s="29">
        <f>IF((IF(ISNUMBER(Matching_Engine!$AA$38),Lookup_Lists!$D$125,0)+IF(ISNUMBER(Matching_Engine!$AB$38),Lookup_Lists!$D$126,0)+IF(ISNUMBER(Matching_Engine!$AC$38),Lookup_Lists!$D$127,0)+IF(ISNUMBER(Matching_Engine!$AD$38),Lookup_Lists!$D$128,0))=0,"N/A",ROUND((IF(ISNUMBER(Matching_Engine!$AA$38),Matching_Engine!$AA$38*Lookup_Lists!$D$125,0)+IF(ISNUMBER(Matching_Engine!$AB$38),Matching_Engine!$AB$38*Lookup_Lists!$D$126,0)+IF(ISNUMBER(Matching_Engine!$AC$38),Matching_Engine!$AC$38*Lookup_Lists!$D$127,0)+IF(ISNUMBER(Matching_Engine!$AD$38),Matching_Engine!$AD$38*Lookup_Lists!$D$128,0))/(IF(ISNUMBER(Matching_Engine!$AA$38),Lookup_Lists!$D$125,0)+IF(ISNUMBER(Matching_Engine!$AB$38),Lookup_Lists!$D$126,0)+IF(ISNUMBER(Matching_Engine!$AC$38),Lookup_Lists!$D$127,0)+IF(ISNUMBER(Matching_Engine!$AD$38),Lookup_Lists!$D$128,0)),0))</f>
      </c>
      <c r="AF38" s="11">
        <f>IF(ISNUMBER(Matching_Engine!$AE$38),1,0)</f>
      </c>
      <c r="AG38" s="18">
        <f>IF(NOT(ISNUMBER(KOL_Source_Data!$BG$14)),"N/A",MIN(100,ROUND(KOL_Source_Data!$BG$14/IFERROR(INDEX(Lookup_Lists!$B$340:$B$344,MATCH(KOL_Source_Data!$H$14,Lookup_Lists!$A$340:$A$344,0)),Lookup_Lists!$D$141)*100,0)))</f>
      </c>
      <c r="AH38" s="18">
        <f>IF(NOT(ISNUMBER(KOL_Source_Data!$BS$14)),"N/A",MIN(100,MAX(0,KOL_Source_Data!$BS$14)))</f>
      </c>
      <c r="AI38" s="18">
        <f>IF(OR(NOT(ISNUMBER(KOL_Source_Data!$BM$14)),NOT(ISNUMBER(KOL_Source_Data!$BN$14)),KOL_Source_Data!$BN$14&lt;Lookup_Lists!$D$320),"N/A",MIN(100,ROUND(KOL_Source_Data!$BM$14/Lookup_Lists!$D$319*100,0)))</f>
      </c>
      <c r="AJ38" s="18">
        <f>IF(NOT(ISNUMBER(KOL_Source_Data!$BR$14)),"N/A",KOL_Source_Data!$BR$14)</f>
      </c>
      <c r="AK38" s="18">
        <f>IF(NOT(ISNUMBER(KOL_Source_Data!$BK$14)),"N/A",MIN(100,ROUND(KOL_Source_Data!$BK$14/Lookup_Lists!$D$321*100,0)))</f>
      </c>
      <c r="AL38" s="18">
        <f>IF(NOT(ISNUMBER(KOL_Source_Data!$BP$14)),"N/A",MIN(100,MAX(0,ROUND((KOL_Source_Data!$BP$14+2)/(Lookup_Lists!$D$145+2)*100,0))))</f>
      </c>
      <c r="AM38" s="29">
        <f>IF((IF(ISNUMBER(Matching_Engine!$AG$38),Lookup_Lists!$D$129,0)+IF(ISNUMBER(Matching_Engine!$AH$38),Lookup_Lists!$D$130,0)+IF(ISNUMBER(Matching_Engine!$AI$38),Lookup_Lists!$D$131,0)+IF(ISNUMBER(Matching_Engine!$AJ$38),Lookup_Lists!$D$132,0)+IF(ISNUMBER(Matching_Engine!$AK$38),Lookup_Lists!$D$133,0)+IF(ISNUMBER(Matching_Engine!$AL$38),Lookup_Lists!$D$134,0))=0,"N/A",ROUND((IF(ISNUMBER(Matching_Engine!$AG$38),Matching_Engine!$AG$38*Lookup_Lists!$D$129,0)+IF(ISNUMBER(Matching_Engine!$AH$38),Matching_Engine!$AH$38*Lookup_Lists!$D$130,0)+IF(ISNUMBER(Matching_Engine!$AI$38),Matching_Engine!$AI$38*Lookup_Lists!$D$131,0)+IF(ISNUMBER(Matching_Engine!$AJ$38),Matching_Engine!$AJ$38*Lookup_Lists!$D$132,0)+IF(ISNUMBER(Matching_Engine!$AK$38),Matching_Engine!$AK$38*Lookup_Lists!$D$133,0)+IF(ISNUMBER(Matching_Engine!$AL$38),Matching_Engine!$AL$38*Lookup_Lists!$D$134,0))/(IF(ISNUMBER(Matching_Engine!$AG$38),Lookup_Lists!$D$129,0)+IF(ISNUMBER(Matching_Engine!$AH$38),Lookup_Lists!$D$130,0)+IF(ISNUMBER(Matching_Engine!$AI$38),Lookup_Lists!$D$131,0)+IF(ISNUMBER(Matching_Engine!$AJ$38),Lookup_Lists!$D$132,0)+IF(ISNUMBER(Matching_Engine!$AK$38),Lookup_Lists!$D$133,0)+IF(ISNUMBER(Matching_Engine!$AL$38),Lookup_Lists!$D$134,0)),0))</f>
      </c>
      <c r="AN38" s="11">
        <f>IF(ISNUMBER(Matching_Engine!$AM$38),1,0)</f>
      </c>
      <c r="AO38" s="18">
        <f>IF(NOT(ISNUMBER(KOL_Source_Data!$BT$14)),"N/A",MIN(100,MAX(0,KOL_Source_Data!$BT$14)))</f>
      </c>
      <c r="AP38" s="18">
        <f>IF(NOT(ISNUMBER(KOL_Source_Data!$BU$14)),"N/A",MIN(100,MAX(0,KOL_Source_Data!$BU$14)))</f>
      </c>
      <c r="AQ38" s="18">
        <f>IF(KOL_Source_Data!$I$14="Yes",Lookup_Lists!$D$326,IF(KOL_Source_Data!$I$14="No",Lookup_Lists!$D$327,"N/A"))</f>
      </c>
      <c r="AR38" s="18">
        <f>IF(NOT(ISNUMBER(KOL_Source_Data!$BQ$14)),"N/A",MAX(0,ROUND(100-KOL_Source_Data!$BQ$14/Lookup_Lists!$D$328*100,0)))</f>
      </c>
      <c r="AS38" s="18">
        <f>IF(NOT(AND(ISTEXT(KOL_Source_Data!$BV$14),KOL_Source_Data!$BV$14&lt;&gt;"N/A")),"N/A",KOL_Source_Data!$BV$14)</f>
      </c>
      <c r="AT38" s="29">
        <f>IF((IF(ISNUMBER(Matching_Engine!$AO$38),Lookup_Lists!$D$322,0)+IF(ISNUMBER(Matching_Engine!$AP$38),Lookup_Lists!$D$323,0)+IF(ISNUMBER(Matching_Engine!$AQ$38),Lookup_Lists!$D$324,0)+IF(ISNUMBER(Matching_Engine!$AR$38),Lookup_Lists!$D$325,0))=0,"N/A",ROUND((IF(ISNUMBER(Matching_Engine!$AO$38),Matching_Engine!$AO$38*Lookup_Lists!$D$322,0)+IF(ISNUMBER(Matching_Engine!$AP$38),Matching_Engine!$AP$38*Lookup_Lists!$D$323,0)+IF(ISNUMBER(Matching_Engine!$AQ$38),Matching_Engine!$AQ$38*Lookup_Lists!$D$324,0)+IF(ISNUMBER(Matching_Engine!$AR$38),Matching_Engine!$AR$38*Lookup_Lists!$D$325,0))/(IF(ISNUMBER(Matching_Engine!$AO$38),Lookup_Lists!$D$322,0)+IF(ISNUMBER(Matching_Engine!$AP$38),Lookup_Lists!$D$323,0)+IF(ISNUMBER(Matching_Engine!$AQ$38),Lookup_Lists!$D$324,0)+IF(ISNUMBER(Matching_Engine!$AR$38),Lookup_Lists!$D$325,0)),0))</f>
      </c>
      <c r="AU38" s="11">
        <f>IF(ISNUMBER(Matching_Engine!$AT$38),1,0)</f>
      </c>
      <c r="AV38" s="11">
        <f>IF(NOT(ISNUMBER(Matching_Engine!$AT$38)),"Not Screened",IF(Matching_Engine!$AT$38&gt;=Lookup_Lists!$D$329,"Low Risk",IF(Matching_Engine!$AT$38&gt;=Lookup_Lists!$D$330,"Moderate Risk",IF(Matching_Engine!$AT$38&gt;=Lookup_Lists!$D$331,"Elevated Risk","High Risk"))))</f>
      </c>
      <c r="AW38" s="11">
        <f>IF(NOT(ISNUMBER(Matching_Engine!$AT$38)),"No integrity signal: no audience-analysis row for this account.","Integrity screen only — no content-risk reading exists (comments_analysis: 0 rows). "&amp;IF(ISNUMBER(Matching_Engine!$AO$38),"Authenticity "&amp;Matching_Engine!$AO$38&amp;". ","Authenticity N/A. ")&amp;IF(ISNUMBER(Matching_Engine!$AP$38),"Follower quality "&amp;Matching_Engine!$AP$38&amp;". ","Follower quality N/A. ")&amp;IF(KOL_Source_Data!$I$14="Yes","Platform-verified.","Not platform-verified."))</f>
      </c>
      <c r="AX38" s="18">
        <f>Matching_Engine!$N$38*Lookup_Lists!$D$104+Matching_Engine!$T$38*Lookup_Lists!$D$105+Matching_Engine!$Z$38*Lookup_Lists!$D$106+Matching_Engine!$AF$38*Lookup_Lists!$D$107+Matching_Engine!$AN$38*Lookup_Lists!$D$108+Matching_Engine!$AU$38*Lookup_Lists!$D$109</f>
      </c>
      <c r="AY38" s="30">
        <f>IF(Matching_Engine!$AX$38=0,"N/A",ROUND((IF(Matching_Engine!$N$38=1,Matching_Engine!$M$38*Lookup_Lists!$D$104,0)+IF(Matching_Engine!$T$38=1,Matching_Engine!$S$38*Lookup_Lists!$D$105,0)+IF(Matching_Engine!$Z$38=1,Matching_Engine!$Y$38*Lookup_Lists!$D$106,0)+IF(Matching_Engine!$AF$38=1,Matching_Engine!$AE$38*Lookup_Lists!$D$107,0)+IF(Matching_Engine!$AN$38=1,Matching_Engine!$AM$38*Lookup_Lists!$D$108,0)+IF(Matching_Engine!$AU$38=1,Matching_Engine!$AT$38*Lookup_Lists!$D$109,0))/Matching_Engine!$AX$38,0))</f>
      </c>
      <c r="AZ38" s="11">
        <f>IF(NOT(ISNUMBER(Matching_Engine!$AY$38)),"Not Scored",IF(Matching_Engine!$AY$38&gt;=Lookup_Lists!$D$152,"Excellent Match",IF(Matching_Engine!$AY$38&gt;=Lookup_Lists!$D$153,"Strong Match",IF(Matching_Engine!$AY$38&gt;=Lookup_Lists!$D$154,"Good Match",IF(Matching_Engine!$AY$38&gt;=Lookup_Lists!$D$155,"Moderate Match","Low Match")))))</f>
      </c>
      <c r="BA38" s="18">
        <f>KOL_Source_Data!$BW$14</f>
      </c>
      <c r="BB38" s="11">
        <f>KOL_Source_Data!$BX$14</f>
      </c>
      <c r="BC38" s="18">
        <f>IF(NOT(ISNUMBER(Matching_Engine!$AY$38)),-1,Matching_Engine!$AY$38*1000+16)</f>
      </c>
      <c r="BD38" s="11">
        <f>IF(AND(ISTEXT(KOL_Source_Data!$S$14),KOL_Source_Data!$S$14&lt;&gt;"N/A"),KOL_Source_Data!$S$14,"")&amp;" | "&amp;IF(AND(ISTEXT(KOL_Source_Data!$T$14),KOL_Source_Data!$T$14&lt;&gt;"N/A"),KOL_Source_Data!$T$14,"")&amp;" | "&amp;IF(AND(ISTEXT(KOL_Source_Data!$N$14),KOL_Source_Data!$N$14&lt;&gt;"N/A"),KOL_Source_Data!$N$14,"")&amp;" | "&amp;IF(AND(ISTEXT(KOL_Source_Data!$K$14),KOL_Source_Data!$K$14&lt;&gt;"N/A"),KOL_Source_Data!$K$14,"")&amp;" | "&amp;IF(AND(ISTEXT(KOL_Source_Data!$J$14),KOL_Source_Data!$J$14&lt;&gt;"N/A"),KOL_Source_Data!$J$14,"")</f>
      </c>
      <c r="BE38" s="11">
        <f>IF(AND(ISTEXT(KOL_Source_Data!$T$14),KOL_Source_Data!$T$14&lt;&gt;"N/A"),KOL_Source_Data!$T$14,"")&amp;" | "&amp;IF(AND(ISTEXT(KOL_Source_Data!$N$14),KOL_Source_Data!$N$14&lt;&gt;"N/A"),KOL_Source_Data!$N$14,"")&amp;" | "&amp;IF(AND(ISTEXT(KOL_Source_Data!$O$14),KOL_Source_Data!$O$14&lt;&gt;"N/A"),KOL_Source_Data!$O$14,"")&amp;" | "&amp;IF(AND(ISTEXT(KOL_Source_Data!$S$14),KOL_Source_Data!$S$14&lt;&gt;"N/A"),KOL_Source_Data!$S$14,"")</f>
      </c>
      <c r="BF38" s="11">
        <f>IF(AND(ISTEXT(KOL_Source_Data!$U$14),KOL_Source_Data!$U$14&lt;&gt;"N/A"),KOL_Source_Data!$U$14,"")</f>
      </c>
      <c r="BG38" s="11">
        <f>Matching_Engine!$A$38&amp;"|"&amp;Matching_Engine!$C$38</f>
      </c>
    </row>
    <row r="39" spans="1:59" x14ac:dyDescent="0.25">
      <c r="A39" s="10" t="s">
        <v>391</v>
      </c>
      <c r="B39" s="11">
        <f>Brand_Profile!$F$6</f>
      </c>
      <c r="C39" s="11">
        <f>KOL_Source_Data!$A$15</f>
      </c>
      <c r="D39" s="11">
        <f>KOL_Source_Data!$C$15</f>
      </c>
      <c r="E39" s="11">
        <f>KOL_Source_Data!$D$15</f>
      </c>
      <c r="F39" s="11">
        <f>KOL_Source_Data!$E$15</f>
      </c>
      <c r="G39" s="11">
        <f>KOL_Source_Data!$K$15</f>
      </c>
      <c r="H39" s="12">
        <f>KOL_Source_Data!$G$15</f>
      </c>
      <c r="I39" s="14">
        <f>KOL_Source_Data!$BG$15</f>
      </c>
      <c r="J39" s="18">
        <f>IF(NOT(AND(ISTEXT(KOL_Source_Data!$K$15),KOL_Source_Data!$K$15&lt;&gt;"N/A")),Lookup_Lists!$D$150,IF(Brand_Profile!$F$7=KOL_Source_Data!$K$15,100,IFERROR(INDEX(Lookup_Lists!$B$349:$J$357,MATCH(Brand_Profile!$F$7,Lookup_Lists!$A$349:$A$357,0),MATCH(KOL_Source_Data!$K$15,Lookup_Lists!$B$348:$J$348,0)),Lookup_Lists!$D$151)))</f>
      </c>
      <c r="K39" s="18">
        <f>IF(LEN(TRIM(SUBSTITUTE(Matching_Engine!$BD$39,"|","")))=0,"N/A",IF(Brand_Profile!$F$47=0,Lookup_Lists!$D$150,ROUND((IF(Brand_Profile!$F$41="",0,IF(ISNUMBER(SEARCH(Brand_Profile!$F$41,Matching_Engine!$BD$39)),1,0))+IF(Brand_Profile!$F$42="",0,IF(ISNUMBER(SEARCH(Brand_Profile!$F$42,Matching_Engine!$BD$39)),1,0))+IF(Brand_Profile!$F$43="",0,IF(ISNUMBER(SEARCH(Brand_Profile!$F$43,Matching_Engine!$BD$39)),1,0))+IF(Brand_Profile!$F$44="",0,IF(ISNUMBER(SEARCH(Brand_Profile!$F$44,Matching_Engine!$BD$39)),1,0))+IF(Brand_Profile!$F$45="",0,IF(ISNUMBER(SEARCH(Brand_Profile!$F$45,Matching_Engine!$BD$39)),1,0))+IF(Brand_Profile!$F$46="",0,IF(ISNUMBER(SEARCH(Brand_Profile!$F$46,Matching_Engine!$BD$39)),1,0)))/Brand_Profile!$F$47*100,0)))</f>
      </c>
      <c r="L39" s="18">
        <f>IF(NOT(AND(ISTEXT(KOL_Source_Data!$U$15),KOL_Source_Data!$U$15&lt;&gt;"N/A")),"N/A",IF(Brand_Profile!$F$53=0,Lookup_Lists!$D$150,ROUND((IF(Brand_Profile!$F$48="",0,IF(ISNUMBER(SEARCH(Brand_Profile!$F$48,Matching_Engine!$BF$39)),1,0))+IF(Brand_Profile!$F$49="",0,IF(ISNUMBER(SEARCH(Brand_Profile!$F$49,Matching_Engine!$BF$39)),1,0))+IF(Brand_Profile!$F$50="",0,IF(ISNUMBER(SEARCH(Brand_Profile!$F$50,Matching_Engine!$BF$39)),1,0))+IF(Brand_Profile!$F$51="",0,IF(ISNUMBER(SEARCH(Brand_Profile!$F$51,Matching_Engine!$BF$39)),1,0))+IF(Brand_Profile!$F$52="",0,IF(ISNUMBER(SEARCH(Brand_Profile!$F$52,Matching_Engine!$BF$39)),1,0)))/Brand_Profile!$F$53*100,0)))</f>
      </c>
      <c r="M39" s="29">
        <f>IF((IF(ISNUMBER(Matching_Engine!$J$39),Lookup_Lists!$D$332,0)+IF(ISNUMBER(Matching_Engine!$K$39),Lookup_Lists!$D$333,0)+IF(ISNUMBER(Matching_Engine!$L$39),Lookup_Lists!$D$334,0))=0,"N/A",ROUND((IF(ISNUMBER(Matching_Engine!$J$39),Matching_Engine!$J$39*Lookup_Lists!$D$332,0)+IF(ISNUMBER(Matching_Engine!$K$39),Matching_Engine!$K$39*Lookup_Lists!$D$333,0)+IF(ISNUMBER(Matching_Engine!$L$39),Matching_Engine!$L$39*Lookup_Lists!$D$334,0))/(IF(ISNUMBER(Matching_Engine!$J$39),Lookup_Lists!$D$332,0)+IF(ISNUMBER(Matching_Engine!$K$39),Lookup_Lists!$D$333,0)+IF(ISNUMBER(Matching_Engine!$L$39),Lookup_Lists!$D$334,0)),0))</f>
      </c>
      <c r="N39" s="11">
        <f>IF(ISNUMBER(Matching_Engine!$M$39),1,0)</f>
      </c>
      <c r="O39" s="18">
        <f>IF(NOT(ISNUMBER(IFERROR(INDEX(KOL_Source_Data!$V$15:KOL_Source_Data!$Z$15,1,MATCH(Brand_Profile!$F$11,Lookup_Lists!$F$6:$F$10,0)),""))),"N/A",MIN(100,ROUND((IFERROR(INDEX(KOL_Source_Data!$V$15:KOL_Source_Data!$Z$15,1,MATCH(Brand_Profile!$F$11,Lookup_Lists!$F$6:$F$10,0)),"")+0.5*IF(ISNUMBER(IFERROR(INDEX(KOL_Source_Data!$V$15:KOL_Source_Data!$Z$15,1,MATCH(Brand_Profile!$F$12,Lookup_Lists!$F$6:$F$10,0)),"")),IFERROR(INDEX(KOL_Source_Data!$V$15:KOL_Source_Data!$Z$15,1,MATCH(Brand_Profile!$F$12,Lookup_Lists!$F$6:$F$10,0)),""),0))/Lookup_Lists!$D$142*100,0)))</f>
      </c>
      <c r="P39" s="18">
        <f>IF(Brand_Profile!$F$13="Any",100,IF(NOT(ISNUMBER(KOL_Source_Data!$AA$15)),"N/A",IF(Brand_Profile!$F$13="Female",MIN(100,ROUND(KOL_Source_Data!$AA$15/Lookup_Lists!$D$143*100,0)),IF(Brand_Profile!$F$13="Male",MIN(100,ROUND(IF(ISNUMBER(KOL_Source_Data!$AB$15),KOL_Source_Data!$AB$15,100-KOL_Source_Data!$AA$15)/Lookup_Lists!$D$143*100,0)),MAX(0,ROUND(100-ABS(KOL_Source_Data!$AA$15-50)*2,0))))))</f>
      </c>
      <c r="Q39" s="18">
        <f>IF((IF(ISNUMBER(IF(NOT(ISNUMBER(KOL_Source_Data!$AE$15)),"N/A",IF(KOL_Source_Data!$AD$15&lt;&gt;Brand_Profile!$F$14,Lookup_Lists!$D$151,MIN(100,ROUND(KOL_Source_Data!$AE$15/Lookup_Lists!$D$316*100,0))))),Lookup_Lists!$D$118,0)+IF(ISNUMBER(IF(NOT(ISNUMBER(KOL_Source_Data!$AM$15)),"N/A",MIN(100,ROUND((IF(KOL_Source_Data!$AG$15=Brand_Profile!$F$15,IF(ISNUMBER(KOL_Source_Data!$AH$15),KOL_Source_Data!$AH$15,0),0)+IF(KOL_Source_Data!$AI$15=Brand_Profile!$F$15,IF(ISNUMBER(KOL_Source_Data!$AJ$15),KOL_Source_Data!$AJ$15,0),0)+IF(KOL_Source_Data!$AK$15=Brand_Profile!$F$15,IF(ISNUMBER(KOL_Source_Data!$AL$15),KOL_Source_Data!$AL$15,0),0))/Lookup_Lists!$D$317*100,0)))),Lookup_Lists!$D$120,0))=0,"N/A",ROUND((IF(ISNUMBER(IF(NOT(ISNUMBER(KOL_Source_Data!$AE$15)),"N/A",IF(KOL_Source_Data!$AD$15&lt;&gt;Brand_Profile!$F$14,Lookup_Lists!$D$151,MIN(100,ROUND(KOL_Source_Data!$AE$15/Lookup_Lists!$D$316*100,0))))),IF(NOT(ISNUMBER(KOL_Source_Data!$AE$15)),"N/A",IF(KOL_Source_Data!$AD$15&lt;&gt;Brand_Profile!$F$14,Lookup_Lists!$D$151,MIN(100,ROUND(KOL_Source_Data!$AE$15/Lookup_Lists!$D$316*100,0))))*Lookup_Lists!$D$118,0)+IF(ISNUMBER(IF(NOT(ISNUMBER(KOL_Source_Data!$AM$15)),"N/A",MIN(100,ROUND((IF(KOL_Source_Data!$AG$15=Brand_Profile!$F$15,IF(ISNUMBER(KOL_Source_Data!$AH$15),KOL_Source_Data!$AH$15,0),0)+IF(KOL_Source_Data!$AI$15=Brand_Profile!$F$15,IF(ISNUMBER(KOL_Source_Data!$AJ$15),KOL_Source_Data!$AJ$15,0),0)+IF(KOL_Source_Data!$AK$15=Brand_Profile!$F$15,IF(ISNUMBER(KOL_Source_Data!$AL$15),KOL_Source_Data!$AL$15,0),0))/Lookup_Lists!$D$317*100,0)))),IF(NOT(ISNUMBER(KOL_Source_Data!$AM$15)),"N/A",MIN(100,ROUND((IF(KOL_Source_Data!$AG$15=Brand_Profile!$F$15,IF(ISNUMBER(KOL_Source_Data!$AH$15),KOL_Source_Data!$AH$15,0),0)+IF(KOL_Source_Data!$AI$15=Brand_Profile!$F$15,IF(ISNUMBER(KOL_Source_Data!$AJ$15),KOL_Source_Data!$AJ$15,0),0)+IF(KOL_Source_Data!$AK$15=Brand_Profile!$F$15,IF(ISNUMBER(KOL_Source_Data!$AL$15),KOL_Source_Data!$AL$15,0),0))/Lookup_Lists!$D$317*100,0)))*Lookup_Lists!$D$120,0))/(IF(ISNUMBER(IF(NOT(ISNUMBER(KOL_Source_Data!$AE$15)),"N/A",IF(KOL_Source_Data!$AD$15&lt;&gt;Brand_Profile!$F$14,Lookup_Lists!$D$151,MIN(100,ROUND(KOL_Source_Data!$AE$15/Lookup_Lists!$D$316*100,0))))),Lookup_Lists!$D$118,0)+IF(ISNUMBER(IF(NOT(ISNUMBER(KOL_Source_Data!$AM$15)),"N/A",MIN(100,ROUND((IF(KOL_Source_Data!$AG$15=Brand_Profile!$F$15,IF(ISNUMBER(KOL_Source_Data!$AH$15),KOL_Source_Data!$AH$15,0),0)+IF(KOL_Source_Data!$AI$15=Brand_Profile!$F$15,IF(ISNUMBER(KOL_Source_Data!$AJ$15),KOL_Source_Data!$AJ$15,0),0)+IF(KOL_Source_Data!$AK$15=Brand_Profile!$F$15,IF(ISNUMBER(KOL_Source_Data!$AL$15),KOL_Source_Data!$AL$15,0),0))/Lookup_Lists!$D$317*100,0)))),Lookup_Lists!$D$120,0)),0))</f>
      </c>
      <c r="R39" s="18">
        <f>IF(NOT(ISNUMBER(KOL_Source_Data!$AN$15)),"N/A",MIN(100,ROUND((IF(ISNUMBER(KOL_Source_Data!$AO$15),KOL_Source_Data!$AO$15*Brand_Profile!$F$17,0)+IF(ISNUMBER(KOL_Source_Data!$AP$15),KOL_Source_Data!$AP$15*Brand_Profile!$F$18,0)+IF(ISNUMBER(KOL_Source_Data!$AQ$15),KOL_Source_Data!$AQ$15*Brand_Profile!$F$19,0)+IF(ISNUMBER(KOL_Source_Data!$AR$15),KOL_Source_Data!$AR$15*Brand_Profile!$F$20,0)+IF(ISNUMBER(KOL_Source_Data!$AS$15),KOL_Source_Data!$AS$15*Brand_Profile!$F$21,0)+IF(ISNUMBER(KOL_Source_Data!$AT$15),KOL_Source_Data!$AT$15*Brand_Profile!$F$22,0)+IF(ISNUMBER(KOL_Source_Data!$AU$15),KOL_Source_Data!$AU$15*Brand_Profile!$F$23,0)+IF(ISNUMBER(KOL_Source_Data!$AV$15),KOL_Source_Data!$AV$15*Brand_Profile!$F$24,0)+IF(ISNUMBER(KOL_Source_Data!$AW$15),KOL_Source_Data!$AW$15*Brand_Profile!$F$25,0)+IF(ISNUMBER(KOL_Source_Data!$AX$15),KOL_Source_Data!$AX$15*Brand_Profile!$F$26,0)+IF(ISNUMBER(KOL_Source_Data!$AY$15),KOL_Source_Data!$AY$15*Brand_Profile!$F$27,0)+IF(ISNUMBER(KOL_Source_Data!$AZ$15),KOL_Source_Data!$AZ$15*Brand_Profile!$F$28,0)+IF(ISNUMBER(KOL_Source_Data!$BA$15),KOL_Source_Data!$BA$15*Brand_Profile!$F$29,0)+IF(ISNUMBER(KOL_Source_Data!$BB$15),KOL_Source_Data!$BB$15*Brand_Profile!$F$30,0)+IF(ISNUMBER(KOL_Source_Data!$BC$15),KOL_Source_Data!$BC$15*Brand_Profile!$F$31,0)+IF(ISNUMBER(KOL_Source_Data!$BD$15),KOL_Source_Data!$BD$15*Brand_Profile!$F$32,0)+IF(ISNUMBER(KOL_Source_Data!$BE$15),KOL_Source_Data!$BE$15*Brand_Profile!$F$33,0)+IF(ISNUMBER(KOL_Source_Data!$BF$15),KOL_Source_Data!$BF$15*Brand_Profile!$F$34,0))/Lookup_Lists!$D$318*100,0)))</f>
      </c>
      <c r="S39" s="29">
        <f>IF((IF(ISNUMBER(Matching_Engine!$O$39),Lookup_Lists!$D$113,0)+IF(ISNUMBER(Matching_Engine!$P$39),Lookup_Lists!$D$114,0)+IF(ISNUMBER(Matching_Engine!$Q$39),Lookup_Lists!$D$115,0)+IF(ISNUMBER(Matching_Engine!$R$39),Lookup_Lists!$D$116,0))=0,"N/A",ROUND((IF(ISNUMBER(Matching_Engine!$O$39),Matching_Engine!$O$39*Lookup_Lists!$D$113,0)+IF(ISNUMBER(Matching_Engine!$P$39),Matching_Engine!$P$39*Lookup_Lists!$D$114,0)+IF(ISNUMBER(Matching_Engine!$Q$39),Matching_Engine!$Q$39*Lookup_Lists!$D$115,0)+IF(ISNUMBER(Matching_Engine!$R$39),Matching_Engine!$R$39*Lookup_Lists!$D$116,0))/(IF(ISNUMBER(Matching_Engine!$O$39),Lookup_Lists!$D$113,0)+IF(ISNUMBER(Matching_Engine!$P$39),Lookup_Lists!$D$114,0)+IF(ISNUMBER(Matching_Engine!$Q$39),Lookup_Lists!$D$115,0)+IF(ISNUMBER(Matching_Engine!$R$39),Lookup_Lists!$D$116,0)),0))</f>
      </c>
      <c r="T39" s="11">
        <f>IF(ISNUMBER(Matching_Engine!$S$39),1,0)</f>
      </c>
      <c r="U39" s="18">
        <f>IF(NOT(AND(ISTEXT(KOL_Source_Data!$M$15),KOL_Source_Data!$M$15&lt;&gt;"N/A")),Lookup_Lists!$D$150,IF(Brand_Profile!$F$7=KOL_Source_Data!$M$15,100,IFERROR(INDEX(Lookup_Lists!$B$349:$J$357,MATCH(Brand_Profile!$F$7,Lookup_Lists!$A$349:$A$357,0),MATCH(KOL_Source_Data!$M$15,Lookup_Lists!$B$348:$J$348,0)),Lookup_Lists!$D$151)))</f>
      </c>
      <c r="V39" s="18">
        <f>IF(NOT(AND(ISTEXT(KOL_Source_Data!$P$15),KOL_Source_Data!$P$15&lt;&gt;"N/A")),"N/A",IFERROR(INDEX(Lookup_Lists!$B$349:$J$357,MATCH(Brand_Profile!$F$7,Lookup_Lists!$A$349:$A$357,0),MATCH(KOL_Source_Data!$P$15,Lookup_Lists!$B$348:$J$348,0)),Lookup_Lists!$D$151))</f>
      </c>
      <c r="W39" s="18">
        <f>IF(LEN(TRIM(SUBSTITUTE(Matching_Engine!$BE$39,"|","")))=0,"N/A",IF(Brand_Profile!$F$60=0,Lookup_Lists!$D$150,ROUND((IF(Brand_Profile!$F$54="",0,IF(ISNUMBER(SEARCH(Brand_Profile!$F$54,Matching_Engine!$BE$39)),1,0))+IF(Brand_Profile!$F$55="",0,IF(ISNUMBER(SEARCH(Brand_Profile!$F$55,Matching_Engine!$BE$39)),1,0))+IF(Brand_Profile!$F$56="",0,IF(ISNUMBER(SEARCH(Brand_Profile!$F$56,Matching_Engine!$BE$39)),1,0))+IF(Brand_Profile!$F$57="",0,IF(ISNUMBER(SEARCH(Brand_Profile!$F$57,Matching_Engine!$BE$39)),1,0))+IF(Brand_Profile!$F$58="",0,IF(ISNUMBER(SEARCH(Brand_Profile!$F$58,Matching_Engine!$BE$39)),1,0))+IF(Brand_Profile!$F$59="",0,IF(ISNUMBER(SEARCH(Brand_Profile!$F$59,Matching_Engine!$BE$39)),1,0)))/Brand_Profile!$F$60*100,0)))</f>
      </c>
      <c r="X39" s="18">
        <f>IF(NOT(AND(ISTEXT(KOL_Source_Data!$Q$15),KOL_Source_Data!$Q$15&lt;&gt;"N/A")),"N/A",Lookup_Lists!$D$150)</f>
      </c>
      <c r="Y39" s="29">
        <f>IF((IF(ISNUMBER(Matching_Engine!$U$39),Lookup_Lists!$D$335,0)+IF(ISNUMBER(Matching_Engine!$V$39),Lookup_Lists!$D$122,0)+IF(ISNUMBER(Matching_Engine!$W$39),Lookup_Lists!$D$336,0)+IF(ISNUMBER(Matching_Engine!$X$39),Lookup_Lists!$D$124,0))=0,"N/A",ROUND((IF(ISNUMBER(Matching_Engine!$U$39),Matching_Engine!$U$39*Lookup_Lists!$D$335,0)+IF(ISNUMBER(Matching_Engine!$V$39),Matching_Engine!$V$39*Lookup_Lists!$D$122,0)+IF(ISNUMBER(Matching_Engine!$W$39),Matching_Engine!$W$39*Lookup_Lists!$D$336,0)+IF(ISNUMBER(Matching_Engine!$X$39),Matching_Engine!$X$39*Lookup_Lists!$D$124,0))/(IF(ISNUMBER(Matching_Engine!$U$39),Lookup_Lists!$D$335,0)+IF(ISNUMBER(Matching_Engine!$V$39),Lookup_Lists!$D$122,0)+IF(ISNUMBER(Matching_Engine!$W$39),Lookup_Lists!$D$336,0)+IF(ISNUMBER(Matching_Engine!$X$39),Lookup_Lists!$D$124,0)),0))</f>
      </c>
      <c r="Z39" s="11">
        <f>IF(ISNUMBER(Matching_Engine!$Y$39),1,0)</f>
      </c>
      <c r="AA39" s="18">
        <f>IF(NOT(AND(ISTEXT(KOL_Source_Data!$Q$15),KOL_Source_Data!$Q$15&lt;&gt;"N/A")),"N/A",Lookup_Lists!$D$150)</f>
      </c>
      <c r="AB39" s="18">
        <f>IF(NOT(AND(ISTEXT(KOL_Source_Data!$Q$15),KOL_Source_Data!$Q$15&lt;&gt;"N/A")),"N/A",Lookup_Lists!$D$150)</f>
      </c>
      <c r="AC39" s="18">
        <f>"N/A"</f>
      </c>
      <c r="AD39" s="18">
        <f>IF(NOT(AND(ISTEXT(KOL_Source_Data!$Q$15),KOL_Source_Data!$Q$15&lt;&gt;"N/A")),"N/A",Lookup_Lists!$D$150)</f>
      </c>
      <c r="AE39" s="29">
        <f>IF((IF(ISNUMBER(Matching_Engine!$AA$39),Lookup_Lists!$D$125,0)+IF(ISNUMBER(Matching_Engine!$AB$39),Lookup_Lists!$D$126,0)+IF(ISNUMBER(Matching_Engine!$AC$39),Lookup_Lists!$D$127,0)+IF(ISNUMBER(Matching_Engine!$AD$39),Lookup_Lists!$D$128,0))=0,"N/A",ROUND((IF(ISNUMBER(Matching_Engine!$AA$39),Matching_Engine!$AA$39*Lookup_Lists!$D$125,0)+IF(ISNUMBER(Matching_Engine!$AB$39),Matching_Engine!$AB$39*Lookup_Lists!$D$126,0)+IF(ISNUMBER(Matching_Engine!$AC$39),Matching_Engine!$AC$39*Lookup_Lists!$D$127,0)+IF(ISNUMBER(Matching_Engine!$AD$39),Matching_Engine!$AD$39*Lookup_Lists!$D$128,0))/(IF(ISNUMBER(Matching_Engine!$AA$39),Lookup_Lists!$D$125,0)+IF(ISNUMBER(Matching_Engine!$AB$39),Lookup_Lists!$D$126,0)+IF(ISNUMBER(Matching_Engine!$AC$39),Lookup_Lists!$D$127,0)+IF(ISNUMBER(Matching_Engine!$AD$39),Lookup_Lists!$D$128,0)),0))</f>
      </c>
      <c r="AF39" s="11">
        <f>IF(ISNUMBER(Matching_Engine!$AE$39),1,0)</f>
      </c>
      <c r="AG39" s="18">
        <f>IF(NOT(ISNUMBER(KOL_Source_Data!$BG$15)),"N/A",MIN(100,ROUND(KOL_Source_Data!$BG$15/IFERROR(INDEX(Lookup_Lists!$B$340:$B$344,MATCH(KOL_Source_Data!$H$15,Lookup_Lists!$A$340:$A$344,0)),Lookup_Lists!$D$141)*100,0)))</f>
      </c>
      <c r="AH39" s="18">
        <f>IF(NOT(ISNUMBER(KOL_Source_Data!$BS$15)),"N/A",MIN(100,MAX(0,KOL_Source_Data!$BS$15)))</f>
      </c>
      <c r="AI39" s="18">
        <f>IF(OR(NOT(ISNUMBER(KOL_Source_Data!$BM$15)),NOT(ISNUMBER(KOL_Source_Data!$BN$15)),KOL_Source_Data!$BN$15&lt;Lookup_Lists!$D$320),"N/A",MIN(100,ROUND(KOL_Source_Data!$BM$15/Lookup_Lists!$D$319*100,0)))</f>
      </c>
      <c r="AJ39" s="18">
        <f>IF(NOT(ISNUMBER(KOL_Source_Data!$BR$15)),"N/A",KOL_Source_Data!$BR$15)</f>
      </c>
      <c r="AK39" s="18">
        <f>IF(NOT(ISNUMBER(KOL_Source_Data!$BK$15)),"N/A",MIN(100,ROUND(KOL_Source_Data!$BK$15/Lookup_Lists!$D$321*100,0)))</f>
      </c>
      <c r="AL39" s="18">
        <f>IF(NOT(ISNUMBER(KOL_Source_Data!$BP$15)),"N/A",MIN(100,MAX(0,ROUND((KOL_Source_Data!$BP$15+2)/(Lookup_Lists!$D$145+2)*100,0))))</f>
      </c>
      <c r="AM39" s="29">
        <f>IF((IF(ISNUMBER(Matching_Engine!$AG$39),Lookup_Lists!$D$129,0)+IF(ISNUMBER(Matching_Engine!$AH$39),Lookup_Lists!$D$130,0)+IF(ISNUMBER(Matching_Engine!$AI$39),Lookup_Lists!$D$131,0)+IF(ISNUMBER(Matching_Engine!$AJ$39),Lookup_Lists!$D$132,0)+IF(ISNUMBER(Matching_Engine!$AK$39),Lookup_Lists!$D$133,0)+IF(ISNUMBER(Matching_Engine!$AL$39),Lookup_Lists!$D$134,0))=0,"N/A",ROUND((IF(ISNUMBER(Matching_Engine!$AG$39),Matching_Engine!$AG$39*Lookup_Lists!$D$129,0)+IF(ISNUMBER(Matching_Engine!$AH$39),Matching_Engine!$AH$39*Lookup_Lists!$D$130,0)+IF(ISNUMBER(Matching_Engine!$AI$39),Matching_Engine!$AI$39*Lookup_Lists!$D$131,0)+IF(ISNUMBER(Matching_Engine!$AJ$39),Matching_Engine!$AJ$39*Lookup_Lists!$D$132,0)+IF(ISNUMBER(Matching_Engine!$AK$39),Matching_Engine!$AK$39*Lookup_Lists!$D$133,0)+IF(ISNUMBER(Matching_Engine!$AL$39),Matching_Engine!$AL$39*Lookup_Lists!$D$134,0))/(IF(ISNUMBER(Matching_Engine!$AG$39),Lookup_Lists!$D$129,0)+IF(ISNUMBER(Matching_Engine!$AH$39),Lookup_Lists!$D$130,0)+IF(ISNUMBER(Matching_Engine!$AI$39),Lookup_Lists!$D$131,0)+IF(ISNUMBER(Matching_Engine!$AJ$39),Lookup_Lists!$D$132,0)+IF(ISNUMBER(Matching_Engine!$AK$39),Lookup_Lists!$D$133,0)+IF(ISNUMBER(Matching_Engine!$AL$39),Lookup_Lists!$D$134,0)),0))</f>
      </c>
      <c r="AN39" s="11">
        <f>IF(ISNUMBER(Matching_Engine!$AM$39),1,0)</f>
      </c>
      <c r="AO39" s="18">
        <f>IF(NOT(ISNUMBER(KOL_Source_Data!$BT$15)),"N/A",MIN(100,MAX(0,KOL_Source_Data!$BT$15)))</f>
      </c>
      <c r="AP39" s="18">
        <f>IF(NOT(ISNUMBER(KOL_Source_Data!$BU$15)),"N/A",MIN(100,MAX(0,KOL_Source_Data!$BU$15)))</f>
      </c>
      <c r="AQ39" s="18">
        <f>IF(KOL_Source_Data!$I$15="Yes",Lookup_Lists!$D$326,IF(KOL_Source_Data!$I$15="No",Lookup_Lists!$D$327,"N/A"))</f>
      </c>
      <c r="AR39" s="18">
        <f>IF(NOT(ISNUMBER(KOL_Source_Data!$BQ$15)),"N/A",MAX(0,ROUND(100-KOL_Source_Data!$BQ$15/Lookup_Lists!$D$328*100,0)))</f>
      </c>
      <c r="AS39" s="18">
        <f>IF(NOT(AND(ISTEXT(KOL_Source_Data!$BV$15),KOL_Source_Data!$BV$15&lt;&gt;"N/A")),"N/A",KOL_Source_Data!$BV$15)</f>
      </c>
      <c r="AT39" s="29">
        <f>IF((IF(ISNUMBER(Matching_Engine!$AO$39),Lookup_Lists!$D$322,0)+IF(ISNUMBER(Matching_Engine!$AP$39),Lookup_Lists!$D$323,0)+IF(ISNUMBER(Matching_Engine!$AQ$39),Lookup_Lists!$D$324,0)+IF(ISNUMBER(Matching_Engine!$AR$39),Lookup_Lists!$D$325,0))=0,"N/A",ROUND((IF(ISNUMBER(Matching_Engine!$AO$39),Matching_Engine!$AO$39*Lookup_Lists!$D$322,0)+IF(ISNUMBER(Matching_Engine!$AP$39),Matching_Engine!$AP$39*Lookup_Lists!$D$323,0)+IF(ISNUMBER(Matching_Engine!$AQ$39),Matching_Engine!$AQ$39*Lookup_Lists!$D$324,0)+IF(ISNUMBER(Matching_Engine!$AR$39),Matching_Engine!$AR$39*Lookup_Lists!$D$325,0))/(IF(ISNUMBER(Matching_Engine!$AO$39),Lookup_Lists!$D$322,0)+IF(ISNUMBER(Matching_Engine!$AP$39),Lookup_Lists!$D$323,0)+IF(ISNUMBER(Matching_Engine!$AQ$39),Lookup_Lists!$D$324,0)+IF(ISNUMBER(Matching_Engine!$AR$39),Lookup_Lists!$D$325,0)),0))</f>
      </c>
      <c r="AU39" s="11">
        <f>IF(ISNUMBER(Matching_Engine!$AT$39),1,0)</f>
      </c>
      <c r="AV39" s="11">
        <f>IF(NOT(ISNUMBER(Matching_Engine!$AT$39)),"Not Screened",IF(Matching_Engine!$AT$39&gt;=Lookup_Lists!$D$329,"Low Risk",IF(Matching_Engine!$AT$39&gt;=Lookup_Lists!$D$330,"Moderate Risk",IF(Matching_Engine!$AT$39&gt;=Lookup_Lists!$D$331,"Elevated Risk","High Risk"))))</f>
      </c>
      <c r="AW39" s="11">
        <f>IF(NOT(ISNUMBER(Matching_Engine!$AT$39)),"No integrity signal: no audience-analysis row for this account.","Integrity screen only — no content-risk reading exists (comments_analysis: 0 rows). "&amp;IF(ISNUMBER(Matching_Engine!$AO$39),"Authenticity "&amp;Matching_Engine!$AO$39&amp;". ","Authenticity N/A. ")&amp;IF(ISNUMBER(Matching_Engine!$AP$39),"Follower quality "&amp;Matching_Engine!$AP$39&amp;". ","Follower quality N/A. ")&amp;IF(KOL_Source_Data!$I$15="Yes","Platform-verified.","Not platform-verified."))</f>
      </c>
      <c r="AX39" s="18">
        <f>Matching_Engine!$N$39*Lookup_Lists!$D$104+Matching_Engine!$T$39*Lookup_Lists!$D$105+Matching_Engine!$Z$39*Lookup_Lists!$D$106+Matching_Engine!$AF$39*Lookup_Lists!$D$107+Matching_Engine!$AN$39*Lookup_Lists!$D$108+Matching_Engine!$AU$39*Lookup_Lists!$D$109</f>
      </c>
      <c r="AY39" s="30">
        <f>IF(Matching_Engine!$AX$39=0,"N/A",ROUND((IF(Matching_Engine!$N$39=1,Matching_Engine!$M$39*Lookup_Lists!$D$104,0)+IF(Matching_Engine!$T$39=1,Matching_Engine!$S$39*Lookup_Lists!$D$105,0)+IF(Matching_Engine!$Z$39=1,Matching_Engine!$Y$39*Lookup_Lists!$D$106,0)+IF(Matching_Engine!$AF$39=1,Matching_Engine!$AE$39*Lookup_Lists!$D$107,0)+IF(Matching_Engine!$AN$39=1,Matching_Engine!$AM$39*Lookup_Lists!$D$108,0)+IF(Matching_Engine!$AU$39=1,Matching_Engine!$AT$39*Lookup_Lists!$D$109,0))/Matching_Engine!$AX$39,0))</f>
      </c>
      <c r="AZ39" s="11">
        <f>IF(NOT(ISNUMBER(Matching_Engine!$AY$39)),"Not Scored",IF(Matching_Engine!$AY$39&gt;=Lookup_Lists!$D$152,"Excellent Match",IF(Matching_Engine!$AY$39&gt;=Lookup_Lists!$D$153,"Strong Match",IF(Matching_Engine!$AY$39&gt;=Lookup_Lists!$D$154,"Good Match",IF(Matching_Engine!$AY$39&gt;=Lookup_Lists!$D$155,"Moderate Match","Low Match")))))</f>
      </c>
      <c r="BA39" s="18">
        <f>KOL_Source_Data!$BW$15</f>
      </c>
      <c r="BB39" s="11">
        <f>KOL_Source_Data!$BX$15</f>
      </c>
      <c r="BC39" s="18">
        <f>IF(NOT(ISNUMBER(Matching_Engine!$AY$39)),-1,Matching_Engine!$AY$39*1000+15)</f>
      </c>
      <c r="BD39" s="11">
        <f>IF(AND(ISTEXT(KOL_Source_Data!$S$15),KOL_Source_Data!$S$15&lt;&gt;"N/A"),KOL_Source_Data!$S$15,"")&amp;" | "&amp;IF(AND(ISTEXT(KOL_Source_Data!$T$15),KOL_Source_Data!$T$15&lt;&gt;"N/A"),KOL_Source_Data!$T$15,"")&amp;" | "&amp;IF(AND(ISTEXT(KOL_Source_Data!$N$15),KOL_Source_Data!$N$15&lt;&gt;"N/A"),KOL_Source_Data!$N$15,"")&amp;" | "&amp;IF(AND(ISTEXT(KOL_Source_Data!$K$15),KOL_Source_Data!$K$15&lt;&gt;"N/A"),KOL_Source_Data!$K$15,"")&amp;" | "&amp;IF(AND(ISTEXT(KOL_Source_Data!$J$15),KOL_Source_Data!$J$15&lt;&gt;"N/A"),KOL_Source_Data!$J$15,"")</f>
      </c>
      <c r="BE39" s="11">
        <f>IF(AND(ISTEXT(KOL_Source_Data!$T$15),KOL_Source_Data!$T$15&lt;&gt;"N/A"),KOL_Source_Data!$T$15,"")&amp;" | "&amp;IF(AND(ISTEXT(KOL_Source_Data!$N$15),KOL_Source_Data!$N$15&lt;&gt;"N/A"),KOL_Source_Data!$N$15,"")&amp;" | "&amp;IF(AND(ISTEXT(KOL_Source_Data!$O$15),KOL_Source_Data!$O$15&lt;&gt;"N/A"),KOL_Source_Data!$O$15,"")&amp;" | "&amp;IF(AND(ISTEXT(KOL_Source_Data!$S$15),KOL_Source_Data!$S$15&lt;&gt;"N/A"),KOL_Source_Data!$S$15,"")</f>
      </c>
      <c r="BF39" s="11">
        <f>IF(AND(ISTEXT(KOL_Source_Data!$U$15),KOL_Source_Data!$U$15&lt;&gt;"N/A"),KOL_Source_Data!$U$15,"")</f>
      </c>
      <c r="BG39" s="11">
        <f>Matching_Engine!$A$39&amp;"|"&amp;Matching_Engine!$C$39</f>
      </c>
    </row>
    <row r="40" spans="1:59" x14ac:dyDescent="0.25">
      <c r="A40" s="10" t="s">
        <v>391</v>
      </c>
      <c r="B40" s="11">
        <f>Brand_Profile!$F$6</f>
      </c>
      <c r="C40" s="11">
        <f>KOL_Source_Data!$A$16</f>
      </c>
      <c r="D40" s="11">
        <f>KOL_Source_Data!$C$16</f>
      </c>
      <c r="E40" s="11">
        <f>KOL_Source_Data!$D$16</f>
      </c>
      <c r="F40" s="11">
        <f>KOL_Source_Data!$E$16</f>
      </c>
      <c r="G40" s="11">
        <f>KOL_Source_Data!$K$16</f>
      </c>
      <c r="H40" s="12">
        <f>KOL_Source_Data!$G$16</f>
      </c>
      <c r="I40" s="14">
        <f>KOL_Source_Data!$BG$16</f>
      </c>
      <c r="J40" s="18">
        <f>IF(NOT(AND(ISTEXT(KOL_Source_Data!$K$16),KOL_Source_Data!$K$16&lt;&gt;"N/A")),Lookup_Lists!$D$150,IF(Brand_Profile!$F$7=KOL_Source_Data!$K$16,100,IFERROR(INDEX(Lookup_Lists!$B$349:$J$357,MATCH(Brand_Profile!$F$7,Lookup_Lists!$A$349:$A$357,0),MATCH(KOL_Source_Data!$K$16,Lookup_Lists!$B$348:$J$348,0)),Lookup_Lists!$D$151)))</f>
      </c>
      <c r="K40" s="18">
        <f>IF(LEN(TRIM(SUBSTITUTE(Matching_Engine!$BD$40,"|","")))=0,"N/A",IF(Brand_Profile!$F$47=0,Lookup_Lists!$D$150,ROUND((IF(Brand_Profile!$F$41="",0,IF(ISNUMBER(SEARCH(Brand_Profile!$F$41,Matching_Engine!$BD$40)),1,0))+IF(Brand_Profile!$F$42="",0,IF(ISNUMBER(SEARCH(Brand_Profile!$F$42,Matching_Engine!$BD$40)),1,0))+IF(Brand_Profile!$F$43="",0,IF(ISNUMBER(SEARCH(Brand_Profile!$F$43,Matching_Engine!$BD$40)),1,0))+IF(Brand_Profile!$F$44="",0,IF(ISNUMBER(SEARCH(Brand_Profile!$F$44,Matching_Engine!$BD$40)),1,0))+IF(Brand_Profile!$F$45="",0,IF(ISNUMBER(SEARCH(Brand_Profile!$F$45,Matching_Engine!$BD$40)),1,0))+IF(Brand_Profile!$F$46="",0,IF(ISNUMBER(SEARCH(Brand_Profile!$F$46,Matching_Engine!$BD$40)),1,0)))/Brand_Profile!$F$47*100,0)))</f>
      </c>
      <c r="L40" s="18">
        <f>IF(NOT(AND(ISTEXT(KOL_Source_Data!$U$16),KOL_Source_Data!$U$16&lt;&gt;"N/A")),"N/A",IF(Brand_Profile!$F$53=0,Lookup_Lists!$D$150,ROUND((IF(Brand_Profile!$F$48="",0,IF(ISNUMBER(SEARCH(Brand_Profile!$F$48,Matching_Engine!$BF$40)),1,0))+IF(Brand_Profile!$F$49="",0,IF(ISNUMBER(SEARCH(Brand_Profile!$F$49,Matching_Engine!$BF$40)),1,0))+IF(Brand_Profile!$F$50="",0,IF(ISNUMBER(SEARCH(Brand_Profile!$F$50,Matching_Engine!$BF$40)),1,0))+IF(Brand_Profile!$F$51="",0,IF(ISNUMBER(SEARCH(Brand_Profile!$F$51,Matching_Engine!$BF$40)),1,0))+IF(Brand_Profile!$F$52="",0,IF(ISNUMBER(SEARCH(Brand_Profile!$F$52,Matching_Engine!$BF$40)),1,0)))/Brand_Profile!$F$53*100,0)))</f>
      </c>
      <c r="M40" s="29">
        <f>IF((IF(ISNUMBER(Matching_Engine!$J$40),Lookup_Lists!$D$332,0)+IF(ISNUMBER(Matching_Engine!$K$40),Lookup_Lists!$D$333,0)+IF(ISNUMBER(Matching_Engine!$L$40),Lookup_Lists!$D$334,0))=0,"N/A",ROUND((IF(ISNUMBER(Matching_Engine!$J$40),Matching_Engine!$J$40*Lookup_Lists!$D$332,0)+IF(ISNUMBER(Matching_Engine!$K$40),Matching_Engine!$K$40*Lookup_Lists!$D$333,0)+IF(ISNUMBER(Matching_Engine!$L$40),Matching_Engine!$L$40*Lookup_Lists!$D$334,0))/(IF(ISNUMBER(Matching_Engine!$J$40),Lookup_Lists!$D$332,0)+IF(ISNUMBER(Matching_Engine!$K$40),Lookup_Lists!$D$333,0)+IF(ISNUMBER(Matching_Engine!$L$40),Lookup_Lists!$D$334,0)),0))</f>
      </c>
      <c r="N40" s="11">
        <f>IF(ISNUMBER(Matching_Engine!$M$40),1,0)</f>
      </c>
      <c r="O40" s="18">
        <f>IF(NOT(ISNUMBER(IFERROR(INDEX(KOL_Source_Data!$V$16:KOL_Source_Data!$Z$16,1,MATCH(Brand_Profile!$F$11,Lookup_Lists!$F$6:$F$10,0)),""))),"N/A",MIN(100,ROUND((IFERROR(INDEX(KOL_Source_Data!$V$16:KOL_Source_Data!$Z$16,1,MATCH(Brand_Profile!$F$11,Lookup_Lists!$F$6:$F$10,0)),"")+0.5*IF(ISNUMBER(IFERROR(INDEX(KOL_Source_Data!$V$16:KOL_Source_Data!$Z$16,1,MATCH(Brand_Profile!$F$12,Lookup_Lists!$F$6:$F$10,0)),"")),IFERROR(INDEX(KOL_Source_Data!$V$16:KOL_Source_Data!$Z$16,1,MATCH(Brand_Profile!$F$12,Lookup_Lists!$F$6:$F$10,0)),""),0))/Lookup_Lists!$D$142*100,0)))</f>
      </c>
      <c r="P40" s="18">
        <f>IF(Brand_Profile!$F$13="Any",100,IF(NOT(ISNUMBER(KOL_Source_Data!$AA$16)),"N/A",IF(Brand_Profile!$F$13="Female",MIN(100,ROUND(KOL_Source_Data!$AA$16/Lookup_Lists!$D$143*100,0)),IF(Brand_Profile!$F$13="Male",MIN(100,ROUND(IF(ISNUMBER(KOL_Source_Data!$AB$16),KOL_Source_Data!$AB$16,100-KOL_Source_Data!$AA$16)/Lookup_Lists!$D$143*100,0)),MAX(0,ROUND(100-ABS(KOL_Source_Data!$AA$16-50)*2,0))))))</f>
      </c>
      <c r="Q40" s="18">
        <f>IF((IF(ISNUMBER(IF(NOT(ISNUMBER(KOL_Source_Data!$AE$16)),"N/A",IF(KOL_Source_Data!$AD$16&lt;&gt;Brand_Profile!$F$14,Lookup_Lists!$D$151,MIN(100,ROUND(KOL_Source_Data!$AE$16/Lookup_Lists!$D$316*100,0))))),Lookup_Lists!$D$118,0)+IF(ISNUMBER(IF(NOT(ISNUMBER(KOL_Source_Data!$AM$16)),"N/A",MIN(100,ROUND((IF(KOL_Source_Data!$AG$16=Brand_Profile!$F$15,IF(ISNUMBER(KOL_Source_Data!$AH$16),KOL_Source_Data!$AH$16,0),0)+IF(KOL_Source_Data!$AI$16=Brand_Profile!$F$15,IF(ISNUMBER(KOL_Source_Data!$AJ$16),KOL_Source_Data!$AJ$16,0),0)+IF(KOL_Source_Data!$AK$16=Brand_Profile!$F$15,IF(ISNUMBER(KOL_Source_Data!$AL$16),KOL_Source_Data!$AL$16,0),0))/Lookup_Lists!$D$317*100,0)))),Lookup_Lists!$D$120,0))=0,"N/A",ROUND((IF(ISNUMBER(IF(NOT(ISNUMBER(KOL_Source_Data!$AE$16)),"N/A",IF(KOL_Source_Data!$AD$16&lt;&gt;Brand_Profile!$F$14,Lookup_Lists!$D$151,MIN(100,ROUND(KOL_Source_Data!$AE$16/Lookup_Lists!$D$316*100,0))))),IF(NOT(ISNUMBER(KOL_Source_Data!$AE$16)),"N/A",IF(KOL_Source_Data!$AD$16&lt;&gt;Brand_Profile!$F$14,Lookup_Lists!$D$151,MIN(100,ROUND(KOL_Source_Data!$AE$16/Lookup_Lists!$D$316*100,0))))*Lookup_Lists!$D$118,0)+IF(ISNUMBER(IF(NOT(ISNUMBER(KOL_Source_Data!$AM$16)),"N/A",MIN(100,ROUND((IF(KOL_Source_Data!$AG$16=Brand_Profile!$F$15,IF(ISNUMBER(KOL_Source_Data!$AH$16),KOL_Source_Data!$AH$16,0),0)+IF(KOL_Source_Data!$AI$16=Brand_Profile!$F$15,IF(ISNUMBER(KOL_Source_Data!$AJ$16),KOL_Source_Data!$AJ$16,0),0)+IF(KOL_Source_Data!$AK$16=Brand_Profile!$F$15,IF(ISNUMBER(KOL_Source_Data!$AL$16),KOL_Source_Data!$AL$16,0),0))/Lookup_Lists!$D$317*100,0)))),IF(NOT(ISNUMBER(KOL_Source_Data!$AM$16)),"N/A",MIN(100,ROUND((IF(KOL_Source_Data!$AG$16=Brand_Profile!$F$15,IF(ISNUMBER(KOL_Source_Data!$AH$16),KOL_Source_Data!$AH$16,0),0)+IF(KOL_Source_Data!$AI$16=Brand_Profile!$F$15,IF(ISNUMBER(KOL_Source_Data!$AJ$16),KOL_Source_Data!$AJ$16,0),0)+IF(KOL_Source_Data!$AK$16=Brand_Profile!$F$15,IF(ISNUMBER(KOL_Source_Data!$AL$16),KOL_Source_Data!$AL$16,0),0))/Lookup_Lists!$D$317*100,0)))*Lookup_Lists!$D$120,0))/(IF(ISNUMBER(IF(NOT(ISNUMBER(KOL_Source_Data!$AE$16)),"N/A",IF(KOL_Source_Data!$AD$16&lt;&gt;Brand_Profile!$F$14,Lookup_Lists!$D$151,MIN(100,ROUND(KOL_Source_Data!$AE$16/Lookup_Lists!$D$316*100,0))))),Lookup_Lists!$D$118,0)+IF(ISNUMBER(IF(NOT(ISNUMBER(KOL_Source_Data!$AM$16)),"N/A",MIN(100,ROUND((IF(KOL_Source_Data!$AG$16=Brand_Profile!$F$15,IF(ISNUMBER(KOL_Source_Data!$AH$16),KOL_Source_Data!$AH$16,0),0)+IF(KOL_Source_Data!$AI$16=Brand_Profile!$F$15,IF(ISNUMBER(KOL_Source_Data!$AJ$16),KOL_Source_Data!$AJ$16,0),0)+IF(KOL_Source_Data!$AK$16=Brand_Profile!$F$15,IF(ISNUMBER(KOL_Source_Data!$AL$16),KOL_Source_Data!$AL$16,0),0))/Lookup_Lists!$D$317*100,0)))),Lookup_Lists!$D$120,0)),0))</f>
      </c>
      <c r="R40" s="18">
        <f>IF(NOT(ISNUMBER(KOL_Source_Data!$AN$16)),"N/A",MIN(100,ROUND((IF(ISNUMBER(KOL_Source_Data!$AO$16),KOL_Source_Data!$AO$16*Brand_Profile!$F$17,0)+IF(ISNUMBER(KOL_Source_Data!$AP$16),KOL_Source_Data!$AP$16*Brand_Profile!$F$18,0)+IF(ISNUMBER(KOL_Source_Data!$AQ$16),KOL_Source_Data!$AQ$16*Brand_Profile!$F$19,0)+IF(ISNUMBER(KOL_Source_Data!$AR$16),KOL_Source_Data!$AR$16*Brand_Profile!$F$20,0)+IF(ISNUMBER(KOL_Source_Data!$AS$16),KOL_Source_Data!$AS$16*Brand_Profile!$F$21,0)+IF(ISNUMBER(KOL_Source_Data!$AT$16),KOL_Source_Data!$AT$16*Brand_Profile!$F$22,0)+IF(ISNUMBER(KOL_Source_Data!$AU$16),KOL_Source_Data!$AU$16*Brand_Profile!$F$23,0)+IF(ISNUMBER(KOL_Source_Data!$AV$16),KOL_Source_Data!$AV$16*Brand_Profile!$F$24,0)+IF(ISNUMBER(KOL_Source_Data!$AW$16),KOL_Source_Data!$AW$16*Brand_Profile!$F$25,0)+IF(ISNUMBER(KOL_Source_Data!$AX$16),KOL_Source_Data!$AX$16*Brand_Profile!$F$26,0)+IF(ISNUMBER(KOL_Source_Data!$AY$16),KOL_Source_Data!$AY$16*Brand_Profile!$F$27,0)+IF(ISNUMBER(KOL_Source_Data!$AZ$16),KOL_Source_Data!$AZ$16*Brand_Profile!$F$28,0)+IF(ISNUMBER(KOL_Source_Data!$BA$16),KOL_Source_Data!$BA$16*Brand_Profile!$F$29,0)+IF(ISNUMBER(KOL_Source_Data!$BB$16),KOL_Source_Data!$BB$16*Brand_Profile!$F$30,0)+IF(ISNUMBER(KOL_Source_Data!$BC$16),KOL_Source_Data!$BC$16*Brand_Profile!$F$31,0)+IF(ISNUMBER(KOL_Source_Data!$BD$16),KOL_Source_Data!$BD$16*Brand_Profile!$F$32,0)+IF(ISNUMBER(KOL_Source_Data!$BE$16),KOL_Source_Data!$BE$16*Brand_Profile!$F$33,0)+IF(ISNUMBER(KOL_Source_Data!$BF$16),KOL_Source_Data!$BF$16*Brand_Profile!$F$34,0))/Lookup_Lists!$D$318*100,0)))</f>
      </c>
      <c r="S40" s="29">
        <f>IF((IF(ISNUMBER(Matching_Engine!$O$40),Lookup_Lists!$D$113,0)+IF(ISNUMBER(Matching_Engine!$P$40),Lookup_Lists!$D$114,0)+IF(ISNUMBER(Matching_Engine!$Q$40),Lookup_Lists!$D$115,0)+IF(ISNUMBER(Matching_Engine!$R$40),Lookup_Lists!$D$116,0))=0,"N/A",ROUND((IF(ISNUMBER(Matching_Engine!$O$40),Matching_Engine!$O$40*Lookup_Lists!$D$113,0)+IF(ISNUMBER(Matching_Engine!$P$40),Matching_Engine!$P$40*Lookup_Lists!$D$114,0)+IF(ISNUMBER(Matching_Engine!$Q$40),Matching_Engine!$Q$40*Lookup_Lists!$D$115,0)+IF(ISNUMBER(Matching_Engine!$R$40),Matching_Engine!$R$40*Lookup_Lists!$D$116,0))/(IF(ISNUMBER(Matching_Engine!$O$40),Lookup_Lists!$D$113,0)+IF(ISNUMBER(Matching_Engine!$P$40),Lookup_Lists!$D$114,0)+IF(ISNUMBER(Matching_Engine!$Q$40),Lookup_Lists!$D$115,0)+IF(ISNUMBER(Matching_Engine!$R$40),Lookup_Lists!$D$116,0)),0))</f>
      </c>
      <c r="T40" s="11">
        <f>IF(ISNUMBER(Matching_Engine!$S$40),1,0)</f>
      </c>
      <c r="U40" s="18">
        <f>IF(NOT(AND(ISTEXT(KOL_Source_Data!$M$16),KOL_Source_Data!$M$16&lt;&gt;"N/A")),Lookup_Lists!$D$150,IF(Brand_Profile!$F$7=KOL_Source_Data!$M$16,100,IFERROR(INDEX(Lookup_Lists!$B$349:$J$357,MATCH(Brand_Profile!$F$7,Lookup_Lists!$A$349:$A$357,0),MATCH(KOL_Source_Data!$M$16,Lookup_Lists!$B$348:$J$348,0)),Lookup_Lists!$D$151)))</f>
      </c>
      <c r="V40" s="18">
        <f>IF(NOT(AND(ISTEXT(KOL_Source_Data!$P$16),KOL_Source_Data!$P$16&lt;&gt;"N/A")),"N/A",IFERROR(INDEX(Lookup_Lists!$B$349:$J$357,MATCH(Brand_Profile!$F$7,Lookup_Lists!$A$349:$A$357,0),MATCH(KOL_Source_Data!$P$16,Lookup_Lists!$B$348:$J$348,0)),Lookup_Lists!$D$151))</f>
      </c>
      <c r="W40" s="18">
        <f>IF(LEN(TRIM(SUBSTITUTE(Matching_Engine!$BE$40,"|","")))=0,"N/A",IF(Brand_Profile!$F$60=0,Lookup_Lists!$D$150,ROUND((IF(Brand_Profile!$F$54="",0,IF(ISNUMBER(SEARCH(Brand_Profile!$F$54,Matching_Engine!$BE$40)),1,0))+IF(Brand_Profile!$F$55="",0,IF(ISNUMBER(SEARCH(Brand_Profile!$F$55,Matching_Engine!$BE$40)),1,0))+IF(Brand_Profile!$F$56="",0,IF(ISNUMBER(SEARCH(Brand_Profile!$F$56,Matching_Engine!$BE$40)),1,0))+IF(Brand_Profile!$F$57="",0,IF(ISNUMBER(SEARCH(Brand_Profile!$F$57,Matching_Engine!$BE$40)),1,0))+IF(Brand_Profile!$F$58="",0,IF(ISNUMBER(SEARCH(Brand_Profile!$F$58,Matching_Engine!$BE$40)),1,0))+IF(Brand_Profile!$F$59="",0,IF(ISNUMBER(SEARCH(Brand_Profile!$F$59,Matching_Engine!$BE$40)),1,0)))/Brand_Profile!$F$60*100,0)))</f>
      </c>
      <c r="X40" s="18">
        <f>IF(NOT(AND(ISTEXT(KOL_Source_Data!$Q$16),KOL_Source_Data!$Q$16&lt;&gt;"N/A")),"N/A",Lookup_Lists!$D$150)</f>
      </c>
      <c r="Y40" s="29">
        <f>IF((IF(ISNUMBER(Matching_Engine!$U$40),Lookup_Lists!$D$335,0)+IF(ISNUMBER(Matching_Engine!$V$40),Lookup_Lists!$D$122,0)+IF(ISNUMBER(Matching_Engine!$W$40),Lookup_Lists!$D$336,0)+IF(ISNUMBER(Matching_Engine!$X$40),Lookup_Lists!$D$124,0))=0,"N/A",ROUND((IF(ISNUMBER(Matching_Engine!$U$40),Matching_Engine!$U$40*Lookup_Lists!$D$335,0)+IF(ISNUMBER(Matching_Engine!$V$40),Matching_Engine!$V$40*Lookup_Lists!$D$122,0)+IF(ISNUMBER(Matching_Engine!$W$40),Matching_Engine!$W$40*Lookup_Lists!$D$336,0)+IF(ISNUMBER(Matching_Engine!$X$40),Matching_Engine!$X$40*Lookup_Lists!$D$124,0))/(IF(ISNUMBER(Matching_Engine!$U$40),Lookup_Lists!$D$335,0)+IF(ISNUMBER(Matching_Engine!$V$40),Lookup_Lists!$D$122,0)+IF(ISNUMBER(Matching_Engine!$W$40),Lookup_Lists!$D$336,0)+IF(ISNUMBER(Matching_Engine!$X$40),Lookup_Lists!$D$124,0)),0))</f>
      </c>
      <c r="Z40" s="11">
        <f>IF(ISNUMBER(Matching_Engine!$Y$40),1,0)</f>
      </c>
      <c r="AA40" s="18">
        <f>IF(NOT(AND(ISTEXT(KOL_Source_Data!$Q$16),KOL_Source_Data!$Q$16&lt;&gt;"N/A")),"N/A",Lookup_Lists!$D$150)</f>
      </c>
      <c r="AB40" s="18">
        <f>IF(NOT(AND(ISTEXT(KOL_Source_Data!$Q$16),KOL_Source_Data!$Q$16&lt;&gt;"N/A")),"N/A",Lookup_Lists!$D$150)</f>
      </c>
      <c r="AC40" s="18">
        <f>"N/A"</f>
      </c>
      <c r="AD40" s="18">
        <f>IF(NOT(AND(ISTEXT(KOL_Source_Data!$Q$16),KOL_Source_Data!$Q$16&lt;&gt;"N/A")),"N/A",Lookup_Lists!$D$150)</f>
      </c>
      <c r="AE40" s="29">
        <f>IF((IF(ISNUMBER(Matching_Engine!$AA$40),Lookup_Lists!$D$125,0)+IF(ISNUMBER(Matching_Engine!$AB$40),Lookup_Lists!$D$126,0)+IF(ISNUMBER(Matching_Engine!$AC$40),Lookup_Lists!$D$127,0)+IF(ISNUMBER(Matching_Engine!$AD$40),Lookup_Lists!$D$128,0))=0,"N/A",ROUND((IF(ISNUMBER(Matching_Engine!$AA$40),Matching_Engine!$AA$40*Lookup_Lists!$D$125,0)+IF(ISNUMBER(Matching_Engine!$AB$40),Matching_Engine!$AB$40*Lookup_Lists!$D$126,0)+IF(ISNUMBER(Matching_Engine!$AC$40),Matching_Engine!$AC$40*Lookup_Lists!$D$127,0)+IF(ISNUMBER(Matching_Engine!$AD$40),Matching_Engine!$AD$40*Lookup_Lists!$D$128,0))/(IF(ISNUMBER(Matching_Engine!$AA$40),Lookup_Lists!$D$125,0)+IF(ISNUMBER(Matching_Engine!$AB$40),Lookup_Lists!$D$126,0)+IF(ISNUMBER(Matching_Engine!$AC$40),Lookup_Lists!$D$127,0)+IF(ISNUMBER(Matching_Engine!$AD$40),Lookup_Lists!$D$128,0)),0))</f>
      </c>
      <c r="AF40" s="11">
        <f>IF(ISNUMBER(Matching_Engine!$AE$40),1,0)</f>
      </c>
      <c r="AG40" s="18">
        <f>IF(NOT(ISNUMBER(KOL_Source_Data!$BG$16)),"N/A",MIN(100,ROUND(KOL_Source_Data!$BG$16/IFERROR(INDEX(Lookup_Lists!$B$340:$B$344,MATCH(KOL_Source_Data!$H$16,Lookup_Lists!$A$340:$A$344,0)),Lookup_Lists!$D$141)*100,0)))</f>
      </c>
      <c r="AH40" s="18">
        <f>IF(NOT(ISNUMBER(KOL_Source_Data!$BS$16)),"N/A",MIN(100,MAX(0,KOL_Source_Data!$BS$16)))</f>
      </c>
      <c r="AI40" s="18">
        <f>IF(OR(NOT(ISNUMBER(KOL_Source_Data!$BM$16)),NOT(ISNUMBER(KOL_Source_Data!$BN$16)),KOL_Source_Data!$BN$16&lt;Lookup_Lists!$D$320),"N/A",MIN(100,ROUND(KOL_Source_Data!$BM$16/Lookup_Lists!$D$319*100,0)))</f>
      </c>
      <c r="AJ40" s="18">
        <f>IF(NOT(ISNUMBER(KOL_Source_Data!$BR$16)),"N/A",KOL_Source_Data!$BR$16)</f>
      </c>
      <c r="AK40" s="18">
        <f>IF(NOT(ISNUMBER(KOL_Source_Data!$BK$16)),"N/A",MIN(100,ROUND(KOL_Source_Data!$BK$16/Lookup_Lists!$D$321*100,0)))</f>
      </c>
      <c r="AL40" s="18">
        <f>IF(NOT(ISNUMBER(KOL_Source_Data!$BP$16)),"N/A",MIN(100,MAX(0,ROUND((KOL_Source_Data!$BP$16+2)/(Lookup_Lists!$D$145+2)*100,0))))</f>
      </c>
      <c r="AM40" s="29">
        <f>IF((IF(ISNUMBER(Matching_Engine!$AG$40),Lookup_Lists!$D$129,0)+IF(ISNUMBER(Matching_Engine!$AH$40),Lookup_Lists!$D$130,0)+IF(ISNUMBER(Matching_Engine!$AI$40),Lookup_Lists!$D$131,0)+IF(ISNUMBER(Matching_Engine!$AJ$40),Lookup_Lists!$D$132,0)+IF(ISNUMBER(Matching_Engine!$AK$40),Lookup_Lists!$D$133,0)+IF(ISNUMBER(Matching_Engine!$AL$40),Lookup_Lists!$D$134,0))=0,"N/A",ROUND((IF(ISNUMBER(Matching_Engine!$AG$40),Matching_Engine!$AG$40*Lookup_Lists!$D$129,0)+IF(ISNUMBER(Matching_Engine!$AH$40),Matching_Engine!$AH$40*Lookup_Lists!$D$130,0)+IF(ISNUMBER(Matching_Engine!$AI$40),Matching_Engine!$AI$40*Lookup_Lists!$D$131,0)+IF(ISNUMBER(Matching_Engine!$AJ$40),Matching_Engine!$AJ$40*Lookup_Lists!$D$132,0)+IF(ISNUMBER(Matching_Engine!$AK$40),Matching_Engine!$AK$40*Lookup_Lists!$D$133,0)+IF(ISNUMBER(Matching_Engine!$AL$40),Matching_Engine!$AL$40*Lookup_Lists!$D$134,0))/(IF(ISNUMBER(Matching_Engine!$AG$40),Lookup_Lists!$D$129,0)+IF(ISNUMBER(Matching_Engine!$AH$40),Lookup_Lists!$D$130,0)+IF(ISNUMBER(Matching_Engine!$AI$40),Lookup_Lists!$D$131,0)+IF(ISNUMBER(Matching_Engine!$AJ$40),Lookup_Lists!$D$132,0)+IF(ISNUMBER(Matching_Engine!$AK$40),Lookup_Lists!$D$133,0)+IF(ISNUMBER(Matching_Engine!$AL$40),Lookup_Lists!$D$134,0)),0))</f>
      </c>
      <c r="AN40" s="11">
        <f>IF(ISNUMBER(Matching_Engine!$AM$40),1,0)</f>
      </c>
      <c r="AO40" s="18">
        <f>IF(NOT(ISNUMBER(KOL_Source_Data!$BT$16)),"N/A",MIN(100,MAX(0,KOL_Source_Data!$BT$16)))</f>
      </c>
      <c r="AP40" s="18">
        <f>IF(NOT(ISNUMBER(KOL_Source_Data!$BU$16)),"N/A",MIN(100,MAX(0,KOL_Source_Data!$BU$16)))</f>
      </c>
      <c r="AQ40" s="18">
        <f>IF(KOL_Source_Data!$I$16="Yes",Lookup_Lists!$D$326,IF(KOL_Source_Data!$I$16="No",Lookup_Lists!$D$327,"N/A"))</f>
      </c>
      <c r="AR40" s="18">
        <f>IF(NOT(ISNUMBER(KOL_Source_Data!$BQ$16)),"N/A",MAX(0,ROUND(100-KOL_Source_Data!$BQ$16/Lookup_Lists!$D$328*100,0)))</f>
      </c>
      <c r="AS40" s="18">
        <f>IF(NOT(AND(ISTEXT(KOL_Source_Data!$BV$16),KOL_Source_Data!$BV$16&lt;&gt;"N/A")),"N/A",KOL_Source_Data!$BV$16)</f>
      </c>
      <c r="AT40" s="29">
        <f>IF((IF(ISNUMBER(Matching_Engine!$AO$40),Lookup_Lists!$D$322,0)+IF(ISNUMBER(Matching_Engine!$AP$40),Lookup_Lists!$D$323,0)+IF(ISNUMBER(Matching_Engine!$AQ$40),Lookup_Lists!$D$324,0)+IF(ISNUMBER(Matching_Engine!$AR$40),Lookup_Lists!$D$325,0))=0,"N/A",ROUND((IF(ISNUMBER(Matching_Engine!$AO$40),Matching_Engine!$AO$40*Lookup_Lists!$D$322,0)+IF(ISNUMBER(Matching_Engine!$AP$40),Matching_Engine!$AP$40*Lookup_Lists!$D$323,0)+IF(ISNUMBER(Matching_Engine!$AQ$40),Matching_Engine!$AQ$40*Lookup_Lists!$D$324,0)+IF(ISNUMBER(Matching_Engine!$AR$40),Matching_Engine!$AR$40*Lookup_Lists!$D$325,0))/(IF(ISNUMBER(Matching_Engine!$AO$40),Lookup_Lists!$D$322,0)+IF(ISNUMBER(Matching_Engine!$AP$40),Lookup_Lists!$D$323,0)+IF(ISNUMBER(Matching_Engine!$AQ$40),Lookup_Lists!$D$324,0)+IF(ISNUMBER(Matching_Engine!$AR$40),Lookup_Lists!$D$325,0)),0))</f>
      </c>
      <c r="AU40" s="11">
        <f>IF(ISNUMBER(Matching_Engine!$AT$40),1,0)</f>
      </c>
      <c r="AV40" s="11">
        <f>IF(NOT(ISNUMBER(Matching_Engine!$AT$40)),"Not Screened",IF(Matching_Engine!$AT$40&gt;=Lookup_Lists!$D$329,"Low Risk",IF(Matching_Engine!$AT$40&gt;=Lookup_Lists!$D$330,"Moderate Risk",IF(Matching_Engine!$AT$40&gt;=Lookup_Lists!$D$331,"Elevated Risk","High Risk"))))</f>
      </c>
      <c r="AW40" s="11">
        <f>IF(NOT(ISNUMBER(Matching_Engine!$AT$40)),"No integrity signal: no audience-analysis row for this account.","Integrity screen only — no content-risk reading exists (comments_analysis: 0 rows). "&amp;IF(ISNUMBER(Matching_Engine!$AO$40),"Authenticity "&amp;Matching_Engine!$AO$40&amp;". ","Authenticity N/A. ")&amp;IF(ISNUMBER(Matching_Engine!$AP$40),"Follower quality "&amp;Matching_Engine!$AP$40&amp;". ","Follower quality N/A. ")&amp;IF(KOL_Source_Data!$I$16="Yes","Platform-verified.","Not platform-verified."))</f>
      </c>
      <c r="AX40" s="18">
        <f>Matching_Engine!$N$40*Lookup_Lists!$D$104+Matching_Engine!$T$40*Lookup_Lists!$D$105+Matching_Engine!$Z$40*Lookup_Lists!$D$106+Matching_Engine!$AF$40*Lookup_Lists!$D$107+Matching_Engine!$AN$40*Lookup_Lists!$D$108+Matching_Engine!$AU$40*Lookup_Lists!$D$109</f>
      </c>
      <c r="AY40" s="30">
        <f>IF(Matching_Engine!$AX$40=0,"N/A",ROUND((IF(Matching_Engine!$N$40=1,Matching_Engine!$M$40*Lookup_Lists!$D$104,0)+IF(Matching_Engine!$T$40=1,Matching_Engine!$S$40*Lookup_Lists!$D$105,0)+IF(Matching_Engine!$Z$40=1,Matching_Engine!$Y$40*Lookup_Lists!$D$106,0)+IF(Matching_Engine!$AF$40=1,Matching_Engine!$AE$40*Lookup_Lists!$D$107,0)+IF(Matching_Engine!$AN$40=1,Matching_Engine!$AM$40*Lookup_Lists!$D$108,0)+IF(Matching_Engine!$AU$40=1,Matching_Engine!$AT$40*Lookup_Lists!$D$109,0))/Matching_Engine!$AX$40,0))</f>
      </c>
      <c r="AZ40" s="11">
        <f>IF(NOT(ISNUMBER(Matching_Engine!$AY$40)),"Not Scored",IF(Matching_Engine!$AY$40&gt;=Lookup_Lists!$D$152,"Excellent Match",IF(Matching_Engine!$AY$40&gt;=Lookup_Lists!$D$153,"Strong Match",IF(Matching_Engine!$AY$40&gt;=Lookup_Lists!$D$154,"Good Match",IF(Matching_Engine!$AY$40&gt;=Lookup_Lists!$D$155,"Moderate Match","Low Match")))))</f>
      </c>
      <c r="BA40" s="18">
        <f>KOL_Source_Data!$BW$16</f>
      </c>
      <c r="BB40" s="11">
        <f>KOL_Source_Data!$BX$16</f>
      </c>
      <c r="BC40" s="18">
        <f>IF(NOT(ISNUMBER(Matching_Engine!$AY$40)),-1,Matching_Engine!$AY$40*1000+14)</f>
      </c>
      <c r="BD40" s="11">
        <f>IF(AND(ISTEXT(KOL_Source_Data!$S$16),KOL_Source_Data!$S$16&lt;&gt;"N/A"),KOL_Source_Data!$S$16,"")&amp;" | "&amp;IF(AND(ISTEXT(KOL_Source_Data!$T$16),KOL_Source_Data!$T$16&lt;&gt;"N/A"),KOL_Source_Data!$T$16,"")&amp;" | "&amp;IF(AND(ISTEXT(KOL_Source_Data!$N$16),KOL_Source_Data!$N$16&lt;&gt;"N/A"),KOL_Source_Data!$N$16,"")&amp;" | "&amp;IF(AND(ISTEXT(KOL_Source_Data!$K$16),KOL_Source_Data!$K$16&lt;&gt;"N/A"),KOL_Source_Data!$K$16,"")&amp;" | "&amp;IF(AND(ISTEXT(KOL_Source_Data!$J$16),KOL_Source_Data!$J$16&lt;&gt;"N/A"),KOL_Source_Data!$J$16,"")</f>
      </c>
      <c r="BE40" s="11">
        <f>IF(AND(ISTEXT(KOL_Source_Data!$T$16),KOL_Source_Data!$T$16&lt;&gt;"N/A"),KOL_Source_Data!$T$16,"")&amp;" | "&amp;IF(AND(ISTEXT(KOL_Source_Data!$N$16),KOL_Source_Data!$N$16&lt;&gt;"N/A"),KOL_Source_Data!$N$16,"")&amp;" | "&amp;IF(AND(ISTEXT(KOL_Source_Data!$O$16),KOL_Source_Data!$O$16&lt;&gt;"N/A"),KOL_Source_Data!$O$16,"")&amp;" | "&amp;IF(AND(ISTEXT(KOL_Source_Data!$S$16),KOL_Source_Data!$S$16&lt;&gt;"N/A"),KOL_Source_Data!$S$16,"")</f>
      </c>
      <c r="BF40" s="11">
        <f>IF(AND(ISTEXT(KOL_Source_Data!$U$16),KOL_Source_Data!$U$16&lt;&gt;"N/A"),KOL_Source_Data!$U$16,"")</f>
      </c>
      <c r="BG40" s="11">
        <f>Matching_Engine!$A$40&amp;"|"&amp;Matching_Engine!$C$40</f>
      </c>
    </row>
    <row r="41" spans="1:59" x14ac:dyDescent="0.25">
      <c r="A41" s="10" t="s">
        <v>391</v>
      </c>
      <c r="B41" s="11">
        <f>Brand_Profile!$F$6</f>
      </c>
      <c r="C41" s="11">
        <f>KOL_Source_Data!$A$17</f>
      </c>
      <c r="D41" s="11">
        <f>KOL_Source_Data!$C$17</f>
      </c>
      <c r="E41" s="11">
        <f>KOL_Source_Data!$D$17</f>
      </c>
      <c r="F41" s="11">
        <f>KOL_Source_Data!$E$17</f>
      </c>
      <c r="G41" s="11">
        <f>KOL_Source_Data!$K$17</f>
      </c>
      <c r="H41" s="12">
        <f>KOL_Source_Data!$G$17</f>
      </c>
      <c r="I41" s="14">
        <f>KOL_Source_Data!$BG$17</f>
      </c>
      <c r="J41" s="18">
        <f>IF(NOT(AND(ISTEXT(KOL_Source_Data!$K$17),KOL_Source_Data!$K$17&lt;&gt;"N/A")),Lookup_Lists!$D$150,IF(Brand_Profile!$F$7=KOL_Source_Data!$K$17,100,IFERROR(INDEX(Lookup_Lists!$B$349:$J$357,MATCH(Brand_Profile!$F$7,Lookup_Lists!$A$349:$A$357,0),MATCH(KOL_Source_Data!$K$17,Lookup_Lists!$B$348:$J$348,0)),Lookup_Lists!$D$151)))</f>
      </c>
      <c r="K41" s="18">
        <f>IF(LEN(TRIM(SUBSTITUTE(Matching_Engine!$BD$41,"|","")))=0,"N/A",IF(Brand_Profile!$F$47=0,Lookup_Lists!$D$150,ROUND((IF(Brand_Profile!$F$41="",0,IF(ISNUMBER(SEARCH(Brand_Profile!$F$41,Matching_Engine!$BD$41)),1,0))+IF(Brand_Profile!$F$42="",0,IF(ISNUMBER(SEARCH(Brand_Profile!$F$42,Matching_Engine!$BD$41)),1,0))+IF(Brand_Profile!$F$43="",0,IF(ISNUMBER(SEARCH(Brand_Profile!$F$43,Matching_Engine!$BD$41)),1,0))+IF(Brand_Profile!$F$44="",0,IF(ISNUMBER(SEARCH(Brand_Profile!$F$44,Matching_Engine!$BD$41)),1,0))+IF(Brand_Profile!$F$45="",0,IF(ISNUMBER(SEARCH(Brand_Profile!$F$45,Matching_Engine!$BD$41)),1,0))+IF(Brand_Profile!$F$46="",0,IF(ISNUMBER(SEARCH(Brand_Profile!$F$46,Matching_Engine!$BD$41)),1,0)))/Brand_Profile!$F$47*100,0)))</f>
      </c>
      <c r="L41" s="18">
        <f>IF(NOT(AND(ISTEXT(KOL_Source_Data!$U$17),KOL_Source_Data!$U$17&lt;&gt;"N/A")),"N/A",IF(Brand_Profile!$F$53=0,Lookup_Lists!$D$150,ROUND((IF(Brand_Profile!$F$48="",0,IF(ISNUMBER(SEARCH(Brand_Profile!$F$48,Matching_Engine!$BF$41)),1,0))+IF(Brand_Profile!$F$49="",0,IF(ISNUMBER(SEARCH(Brand_Profile!$F$49,Matching_Engine!$BF$41)),1,0))+IF(Brand_Profile!$F$50="",0,IF(ISNUMBER(SEARCH(Brand_Profile!$F$50,Matching_Engine!$BF$41)),1,0))+IF(Brand_Profile!$F$51="",0,IF(ISNUMBER(SEARCH(Brand_Profile!$F$51,Matching_Engine!$BF$41)),1,0))+IF(Brand_Profile!$F$52="",0,IF(ISNUMBER(SEARCH(Brand_Profile!$F$52,Matching_Engine!$BF$41)),1,0)))/Brand_Profile!$F$53*100,0)))</f>
      </c>
      <c r="M41" s="29">
        <f>IF((IF(ISNUMBER(Matching_Engine!$J$41),Lookup_Lists!$D$332,0)+IF(ISNUMBER(Matching_Engine!$K$41),Lookup_Lists!$D$333,0)+IF(ISNUMBER(Matching_Engine!$L$41),Lookup_Lists!$D$334,0))=0,"N/A",ROUND((IF(ISNUMBER(Matching_Engine!$J$41),Matching_Engine!$J$41*Lookup_Lists!$D$332,0)+IF(ISNUMBER(Matching_Engine!$K$41),Matching_Engine!$K$41*Lookup_Lists!$D$333,0)+IF(ISNUMBER(Matching_Engine!$L$41),Matching_Engine!$L$41*Lookup_Lists!$D$334,0))/(IF(ISNUMBER(Matching_Engine!$J$41),Lookup_Lists!$D$332,0)+IF(ISNUMBER(Matching_Engine!$K$41),Lookup_Lists!$D$333,0)+IF(ISNUMBER(Matching_Engine!$L$41),Lookup_Lists!$D$334,0)),0))</f>
      </c>
      <c r="N41" s="11">
        <f>IF(ISNUMBER(Matching_Engine!$M$41),1,0)</f>
      </c>
      <c r="O41" s="18">
        <f>IF(NOT(ISNUMBER(IFERROR(INDEX(KOL_Source_Data!$V$17:KOL_Source_Data!$Z$17,1,MATCH(Brand_Profile!$F$11,Lookup_Lists!$F$6:$F$10,0)),""))),"N/A",MIN(100,ROUND((IFERROR(INDEX(KOL_Source_Data!$V$17:KOL_Source_Data!$Z$17,1,MATCH(Brand_Profile!$F$11,Lookup_Lists!$F$6:$F$10,0)),"")+0.5*IF(ISNUMBER(IFERROR(INDEX(KOL_Source_Data!$V$17:KOL_Source_Data!$Z$17,1,MATCH(Brand_Profile!$F$12,Lookup_Lists!$F$6:$F$10,0)),"")),IFERROR(INDEX(KOL_Source_Data!$V$17:KOL_Source_Data!$Z$17,1,MATCH(Brand_Profile!$F$12,Lookup_Lists!$F$6:$F$10,0)),""),0))/Lookup_Lists!$D$142*100,0)))</f>
      </c>
      <c r="P41" s="18">
        <f>IF(Brand_Profile!$F$13="Any",100,IF(NOT(ISNUMBER(KOL_Source_Data!$AA$17)),"N/A",IF(Brand_Profile!$F$13="Female",MIN(100,ROUND(KOL_Source_Data!$AA$17/Lookup_Lists!$D$143*100,0)),IF(Brand_Profile!$F$13="Male",MIN(100,ROUND(IF(ISNUMBER(KOL_Source_Data!$AB$17),KOL_Source_Data!$AB$17,100-KOL_Source_Data!$AA$17)/Lookup_Lists!$D$143*100,0)),MAX(0,ROUND(100-ABS(KOL_Source_Data!$AA$17-50)*2,0))))))</f>
      </c>
      <c r="Q41" s="18">
        <f>IF((IF(ISNUMBER(IF(NOT(ISNUMBER(KOL_Source_Data!$AE$17)),"N/A",IF(KOL_Source_Data!$AD$17&lt;&gt;Brand_Profile!$F$14,Lookup_Lists!$D$151,MIN(100,ROUND(KOL_Source_Data!$AE$17/Lookup_Lists!$D$316*100,0))))),Lookup_Lists!$D$118,0)+IF(ISNUMBER(IF(NOT(ISNUMBER(KOL_Source_Data!$AM$17)),"N/A",MIN(100,ROUND((IF(KOL_Source_Data!$AG$17=Brand_Profile!$F$15,IF(ISNUMBER(KOL_Source_Data!$AH$17),KOL_Source_Data!$AH$17,0),0)+IF(KOL_Source_Data!$AI$17=Brand_Profile!$F$15,IF(ISNUMBER(KOL_Source_Data!$AJ$17),KOL_Source_Data!$AJ$17,0),0)+IF(KOL_Source_Data!$AK$17=Brand_Profile!$F$15,IF(ISNUMBER(KOL_Source_Data!$AL$17),KOL_Source_Data!$AL$17,0),0))/Lookup_Lists!$D$317*100,0)))),Lookup_Lists!$D$120,0))=0,"N/A",ROUND((IF(ISNUMBER(IF(NOT(ISNUMBER(KOL_Source_Data!$AE$17)),"N/A",IF(KOL_Source_Data!$AD$17&lt;&gt;Brand_Profile!$F$14,Lookup_Lists!$D$151,MIN(100,ROUND(KOL_Source_Data!$AE$17/Lookup_Lists!$D$316*100,0))))),IF(NOT(ISNUMBER(KOL_Source_Data!$AE$17)),"N/A",IF(KOL_Source_Data!$AD$17&lt;&gt;Brand_Profile!$F$14,Lookup_Lists!$D$151,MIN(100,ROUND(KOL_Source_Data!$AE$17/Lookup_Lists!$D$316*100,0))))*Lookup_Lists!$D$118,0)+IF(ISNUMBER(IF(NOT(ISNUMBER(KOL_Source_Data!$AM$17)),"N/A",MIN(100,ROUND((IF(KOL_Source_Data!$AG$17=Brand_Profile!$F$15,IF(ISNUMBER(KOL_Source_Data!$AH$17),KOL_Source_Data!$AH$17,0),0)+IF(KOL_Source_Data!$AI$17=Brand_Profile!$F$15,IF(ISNUMBER(KOL_Source_Data!$AJ$17),KOL_Source_Data!$AJ$17,0),0)+IF(KOL_Source_Data!$AK$17=Brand_Profile!$F$15,IF(ISNUMBER(KOL_Source_Data!$AL$17),KOL_Source_Data!$AL$17,0),0))/Lookup_Lists!$D$317*100,0)))),IF(NOT(ISNUMBER(KOL_Source_Data!$AM$17)),"N/A",MIN(100,ROUND((IF(KOL_Source_Data!$AG$17=Brand_Profile!$F$15,IF(ISNUMBER(KOL_Source_Data!$AH$17),KOL_Source_Data!$AH$17,0),0)+IF(KOL_Source_Data!$AI$17=Brand_Profile!$F$15,IF(ISNUMBER(KOL_Source_Data!$AJ$17),KOL_Source_Data!$AJ$17,0),0)+IF(KOL_Source_Data!$AK$17=Brand_Profile!$F$15,IF(ISNUMBER(KOL_Source_Data!$AL$17),KOL_Source_Data!$AL$17,0),0))/Lookup_Lists!$D$317*100,0)))*Lookup_Lists!$D$120,0))/(IF(ISNUMBER(IF(NOT(ISNUMBER(KOL_Source_Data!$AE$17)),"N/A",IF(KOL_Source_Data!$AD$17&lt;&gt;Brand_Profile!$F$14,Lookup_Lists!$D$151,MIN(100,ROUND(KOL_Source_Data!$AE$17/Lookup_Lists!$D$316*100,0))))),Lookup_Lists!$D$118,0)+IF(ISNUMBER(IF(NOT(ISNUMBER(KOL_Source_Data!$AM$17)),"N/A",MIN(100,ROUND((IF(KOL_Source_Data!$AG$17=Brand_Profile!$F$15,IF(ISNUMBER(KOL_Source_Data!$AH$17),KOL_Source_Data!$AH$17,0),0)+IF(KOL_Source_Data!$AI$17=Brand_Profile!$F$15,IF(ISNUMBER(KOL_Source_Data!$AJ$17),KOL_Source_Data!$AJ$17,0),0)+IF(KOL_Source_Data!$AK$17=Brand_Profile!$F$15,IF(ISNUMBER(KOL_Source_Data!$AL$17),KOL_Source_Data!$AL$17,0),0))/Lookup_Lists!$D$317*100,0)))),Lookup_Lists!$D$120,0)),0))</f>
      </c>
      <c r="R41" s="18">
        <f>IF(NOT(ISNUMBER(KOL_Source_Data!$AN$17)),"N/A",MIN(100,ROUND((IF(ISNUMBER(KOL_Source_Data!$AO$17),KOL_Source_Data!$AO$17*Brand_Profile!$F$17,0)+IF(ISNUMBER(KOL_Source_Data!$AP$17),KOL_Source_Data!$AP$17*Brand_Profile!$F$18,0)+IF(ISNUMBER(KOL_Source_Data!$AQ$17),KOL_Source_Data!$AQ$17*Brand_Profile!$F$19,0)+IF(ISNUMBER(KOL_Source_Data!$AR$17),KOL_Source_Data!$AR$17*Brand_Profile!$F$20,0)+IF(ISNUMBER(KOL_Source_Data!$AS$17),KOL_Source_Data!$AS$17*Brand_Profile!$F$21,0)+IF(ISNUMBER(KOL_Source_Data!$AT$17),KOL_Source_Data!$AT$17*Brand_Profile!$F$22,0)+IF(ISNUMBER(KOL_Source_Data!$AU$17),KOL_Source_Data!$AU$17*Brand_Profile!$F$23,0)+IF(ISNUMBER(KOL_Source_Data!$AV$17),KOL_Source_Data!$AV$17*Brand_Profile!$F$24,0)+IF(ISNUMBER(KOL_Source_Data!$AW$17),KOL_Source_Data!$AW$17*Brand_Profile!$F$25,0)+IF(ISNUMBER(KOL_Source_Data!$AX$17),KOL_Source_Data!$AX$17*Brand_Profile!$F$26,0)+IF(ISNUMBER(KOL_Source_Data!$AY$17),KOL_Source_Data!$AY$17*Brand_Profile!$F$27,0)+IF(ISNUMBER(KOL_Source_Data!$AZ$17),KOL_Source_Data!$AZ$17*Brand_Profile!$F$28,0)+IF(ISNUMBER(KOL_Source_Data!$BA$17),KOL_Source_Data!$BA$17*Brand_Profile!$F$29,0)+IF(ISNUMBER(KOL_Source_Data!$BB$17),KOL_Source_Data!$BB$17*Brand_Profile!$F$30,0)+IF(ISNUMBER(KOL_Source_Data!$BC$17),KOL_Source_Data!$BC$17*Brand_Profile!$F$31,0)+IF(ISNUMBER(KOL_Source_Data!$BD$17),KOL_Source_Data!$BD$17*Brand_Profile!$F$32,0)+IF(ISNUMBER(KOL_Source_Data!$BE$17),KOL_Source_Data!$BE$17*Brand_Profile!$F$33,0)+IF(ISNUMBER(KOL_Source_Data!$BF$17),KOL_Source_Data!$BF$17*Brand_Profile!$F$34,0))/Lookup_Lists!$D$318*100,0)))</f>
      </c>
      <c r="S41" s="29">
        <f>IF((IF(ISNUMBER(Matching_Engine!$O$41),Lookup_Lists!$D$113,0)+IF(ISNUMBER(Matching_Engine!$P$41),Lookup_Lists!$D$114,0)+IF(ISNUMBER(Matching_Engine!$Q$41),Lookup_Lists!$D$115,0)+IF(ISNUMBER(Matching_Engine!$R$41),Lookup_Lists!$D$116,0))=0,"N/A",ROUND((IF(ISNUMBER(Matching_Engine!$O$41),Matching_Engine!$O$41*Lookup_Lists!$D$113,0)+IF(ISNUMBER(Matching_Engine!$P$41),Matching_Engine!$P$41*Lookup_Lists!$D$114,0)+IF(ISNUMBER(Matching_Engine!$Q$41),Matching_Engine!$Q$41*Lookup_Lists!$D$115,0)+IF(ISNUMBER(Matching_Engine!$R$41),Matching_Engine!$R$41*Lookup_Lists!$D$116,0))/(IF(ISNUMBER(Matching_Engine!$O$41),Lookup_Lists!$D$113,0)+IF(ISNUMBER(Matching_Engine!$P$41),Lookup_Lists!$D$114,0)+IF(ISNUMBER(Matching_Engine!$Q$41),Lookup_Lists!$D$115,0)+IF(ISNUMBER(Matching_Engine!$R$41),Lookup_Lists!$D$116,0)),0))</f>
      </c>
      <c r="T41" s="11">
        <f>IF(ISNUMBER(Matching_Engine!$S$41),1,0)</f>
      </c>
      <c r="U41" s="18">
        <f>IF(NOT(AND(ISTEXT(KOL_Source_Data!$M$17),KOL_Source_Data!$M$17&lt;&gt;"N/A")),Lookup_Lists!$D$150,IF(Brand_Profile!$F$7=KOL_Source_Data!$M$17,100,IFERROR(INDEX(Lookup_Lists!$B$349:$J$357,MATCH(Brand_Profile!$F$7,Lookup_Lists!$A$349:$A$357,0),MATCH(KOL_Source_Data!$M$17,Lookup_Lists!$B$348:$J$348,0)),Lookup_Lists!$D$151)))</f>
      </c>
      <c r="V41" s="18">
        <f>IF(NOT(AND(ISTEXT(KOL_Source_Data!$P$17),KOL_Source_Data!$P$17&lt;&gt;"N/A")),"N/A",IFERROR(INDEX(Lookup_Lists!$B$349:$J$357,MATCH(Brand_Profile!$F$7,Lookup_Lists!$A$349:$A$357,0),MATCH(KOL_Source_Data!$P$17,Lookup_Lists!$B$348:$J$348,0)),Lookup_Lists!$D$151))</f>
      </c>
      <c r="W41" s="18">
        <f>IF(LEN(TRIM(SUBSTITUTE(Matching_Engine!$BE$41,"|","")))=0,"N/A",IF(Brand_Profile!$F$60=0,Lookup_Lists!$D$150,ROUND((IF(Brand_Profile!$F$54="",0,IF(ISNUMBER(SEARCH(Brand_Profile!$F$54,Matching_Engine!$BE$41)),1,0))+IF(Brand_Profile!$F$55="",0,IF(ISNUMBER(SEARCH(Brand_Profile!$F$55,Matching_Engine!$BE$41)),1,0))+IF(Brand_Profile!$F$56="",0,IF(ISNUMBER(SEARCH(Brand_Profile!$F$56,Matching_Engine!$BE$41)),1,0))+IF(Brand_Profile!$F$57="",0,IF(ISNUMBER(SEARCH(Brand_Profile!$F$57,Matching_Engine!$BE$41)),1,0))+IF(Brand_Profile!$F$58="",0,IF(ISNUMBER(SEARCH(Brand_Profile!$F$58,Matching_Engine!$BE$41)),1,0))+IF(Brand_Profile!$F$59="",0,IF(ISNUMBER(SEARCH(Brand_Profile!$F$59,Matching_Engine!$BE$41)),1,0)))/Brand_Profile!$F$60*100,0)))</f>
      </c>
      <c r="X41" s="18">
        <f>IF(NOT(AND(ISTEXT(KOL_Source_Data!$Q$17),KOL_Source_Data!$Q$17&lt;&gt;"N/A")),"N/A",Lookup_Lists!$D$150)</f>
      </c>
      <c r="Y41" s="29">
        <f>IF((IF(ISNUMBER(Matching_Engine!$U$41),Lookup_Lists!$D$335,0)+IF(ISNUMBER(Matching_Engine!$V$41),Lookup_Lists!$D$122,0)+IF(ISNUMBER(Matching_Engine!$W$41),Lookup_Lists!$D$336,0)+IF(ISNUMBER(Matching_Engine!$X$41),Lookup_Lists!$D$124,0))=0,"N/A",ROUND((IF(ISNUMBER(Matching_Engine!$U$41),Matching_Engine!$U$41*Lookup_Lists!$D$335,0)+IF(ISNUMBER(Matching_Engine!$V$41),Matching_Engine!$V$41*Lookup_Lists!$D$122,0)+IF(ISNUMBER(Matching_Engine!$W$41),Matching_Engine!$W$41*Lookup_Lists!$D$336,0)+IF(ISNUMBER(Matching_Engine!$X$41),Matching_Engine!$X$41*Lookup_Lists!$D$124,0))/(IF(ISNUMBER(Matching_Engine!$U$41),Lookup_Lists!$D$335,0)+IF(ISNUMBER(Matching_Engine!$V$41),Lookup_Lists!$D$122,0)+IF(ISNUMBER(Matching_Engine!$W$41),Lookup_Lists!$D$336,0)+IF(ISNUMBER(Matching_Engine!$X$41),Lookup_Lists!$D$124,0)),0))</f>
      </c>
      <c r="Z41" s="11">
        <f>IF(ISNUMBER(Matching_Engine!$Y$41),1,0)</f>
      </c>
      <c r="AA41" s="18">
        <f>IF(NOT(AND(ISTEXT(KOL_Source_Data!$Q$17),KOL_Source_Data!$Q$17&lt;&gt;"N/A")),"N/A",Lookup_Lists!$D$150)</f>
      </c>
      <c r="AB41" s="18">
        <f>IF(NOT(AND(ISTEXT(KOL_Source_Data!$Q$17),KOL_Source_Data!$Q$17&lt;&gt;"N/A")),"N/A",Lookup_Lists!$D$150)</f>
      </c>
      <c r="AC41" s="18">
        <f>"N/A"</f>
      </c>
      <c r="AD41" s="18">
        <f>IF(NOT(AND(ISTEXT(KOL_Source_Data!$Q$17),KOL_Source_Data!$Q$17&lt;&gt;"N/A")),"N/A",Lookup_Lists!$D$150)</f>
      </c>
      <c r="AE41" s="29">
        <f>IF((IF(ISNUMBER(Matching_Engine!$AA$41),Lookup_Lists!$D$125,0)+IF(ISNUMBER(Matching_Engine!$AB$41),Lookup_Lists!$D$126,0)+IF(ISNUMBER(Matching_Engine!$AC$41),Lookup_Lists!$D$127,0)+IF(ISNUMBER(Matching_Engine!$AD$41),Lookup_Lists!$D$128,0))=0,"N/A",ROUND((IF(ISNUMBER(Matching_Engine!$AA$41),Matching_Engine!$AA$41*Lookup_Lists!$D$125,0)+IF(ISNUMBER(Matching_Engine!$AB$41),Matching_Engine!$AB$41*Lookup_Lists!$D$126,0)+IF(ISNUMBER(Matching_Engine!$AC$41),Matching_Engine!$AC$41*Lookup_Lists!$D$127,0)+IF(ISNUMBER(Matching_Engine!$AD$41),Matching_Engine!$AD$41*Lookup_Lists!$D$128,0))/(IF(ISNUMBER(Matching_Engine!$AA$41),Lookup_Lists!$D$125,0)+IF(ISNUMBER(Matching_Engine!$AB$41),Lookup_Lists!$D$126,0)+IF(ISNUMBER(Matching_Engine!$AC$41),Lookup_Lists!$D$127,0)+IF(ISNUMBER(Matching_Engine!$AD$41),Lookup_Lists!$D$128,0)),0))</f>
      </c>
      <c r="AF41" s="11">
        <f>IF(ISNUMBER(Matching_Engine!$AE$41),1,0)</f>
      </c>
      <c r="AG41" s="18">
        <f>IF(NOT(ISNUMBER(KOL_Source_Data!$BG$17)),"N/A",MIN(100,ROUND(KOL_Source_Data!$BG$17/IFERROR(INDEX(Lookup_Lists!$B$340:$B$344,MATCH(KOL_Source_Data!$H$17,Lookup_Lists!$A$340:$A$344,0)),Lookup_Lists!$D$141)*100,0)))</f>
      </c>
      <c r="AH41" s="18">
        <f>IF(NOT(ISNUMBER(KOL_Source_Data!$BS$17)),"N/A",MIN(100,MAX(0,KOL_Source_Data!$BS$17)))</f>
      </c>
      <c r="AI41" s="18">
        <f>IF(OR(NOT(ISNUMBER(KOL_Source_Data!$BM$17)),NOT(ISNUMBER(KOL_Source_Data!$BN$17)),KOL_Source_Data!$BN$17&lt;Lookup_Lists!$D$320),"N/A",MIN(100,ROUND(KOL_Source_Data!$BM$17/Lookup_Lists!$D$319*100,0)))</f>
      </c>
      <c r="AJ41" s="18">
        <f>IF(NOT(ISNUMBER(KOL_Source_Data!$BR$17)),"N/A",KOL_Source_Data!$BR$17)</f>
      </c>
      <c r="AK41" s="18">
        <f>IF(NOT(ISNUMBER(KOL_Source_Data!$BK$17)),"N/A",MIN(100,ROUND(KOL_Source_Data!$BK$17/Lookup_Lists!$D$321*100,0)))</f>
      </c>
      <c r="AL41" s="18">
        <f>IF(NOT(ISNUMBER(KOL_Source_Data!$BP$17)),"N/A",MIN(100,MAX(0,ROUND((KOL_Source_Data!$BP$17+2)/(Lookup_Lists!$D$145+2)*100,0))))</f>
      </c>
      <c r="AM41" s="29">
        <f>IF((IF(ISNUMBER(Matching_Engine!$AG$41),Lookup_Lists!$D$129,0)+IF(ISNUMBER(Matching_Engine!$AH$41),Lookup_Lists!$D$130,0)+IF(ISNUMBER(Matching_Engine!$AI$41),Lookup_Lists!$D$131,0)+IF(ISNUMBER(Matching_Engine!$AJ$41),Lookup_Lists!$D$132,0)+IF(ISNUMBER(Matching_Engine!$AK$41),Lookup_Lists!$D$133,0)+IF(ISNUMBER(Matching_Engine!$AL$41),Lookup_Lists!$D$134,0))=0,"N/A",ROUND((IF(ISNUMBER(Matching_Engine!$AG$41),Matching_Engine!$AG$41*Lookup_Lists!$D$129,0)+IF(ISNUMBER(Matching_Engine!$AH$41),Matching_Engine!$AH$41*Lookup_Lists!$D$130,0)+IF(ISNUMBER(Matching_Engine!$AI$41),Matching_Engine!$AI$41*Lookup_Lists!$D$131,0)+IF(ISNUMBER(Matching_Engine!$AJ$41),Matching_Engine!$AJ$41*Lookup_Lists!$D$132,0)+IF(ISNUMBER(Matching_Engine!$AK$41),Matching_Engine!$AK$41*Lookup_Lists!$D$133,0)+IF(ISNUMBER(Matching_Engine!$AL$41),Matching_Engine!$AL$41*Lookup_Lists!$D$134,0))/(IF(ISNUMBER(Matching_Engine!$AG$41),Lookup_Lists!$D$129,0)+IF(ISNUMBER(Matching_Engine!$AH$41),Lookup_Lists!$D$130,0)+IF(ISNUMBER(Matching_Engine!$AI$41),Lookup_Lists!$D$131,0)+IF(ISNUMBER(Matching_Engine!$AJ$41),Lookup_Lists!$D$132,0)+IF(ISNUMBER(Matching_Engine!$AK$41),Lookup_Lists!$D$133,0)+IF(ISNUMBER(Matching_Engine!$AL$41),Lookup_Lists!$D$134,0)),0))</f>
      </c>
      <c r="AN41" s="11">
        <f>IF(ISNUMBER(Matching_Engine!$AM$41),1,0)</f>
      </c>
      <c r="AO41" s="18">
        <f>IF(NOT(ISNUMBER(KOL_Source_Data!$BT$17)),"N/A",MIN(100,MAX(0,KOL_Source_Data!$BT$17)))</f>
      </c>
      <c r="AP41" s="18">
        <f>IF(NOT(ISNUMBER(KOL_Source_Data!$BU$17)),"N/A",MIN(100,MAX(0,KOL_Source_Data!$BU$17)))</f>
      </c>
      <c r="AQ41" s="18">
        <f>IF(KOL_Source_Data!$I$17="Yes",Lookup_Lists!$D$326,IF(KOL_Source_Data!$I$17="No",Lookup_Lists!$D$327,"N/A"))</f>
      </c>
      <c r="AR41" s="18">
        <f>IF(NOT(ISNUMBER(KOL_Source_Data!$BQ$17)),"N/A",MAX(0,ROUND(100-KOL_Source_Data!$BQ$17/Lookup_Lists!$D$328*100,0)))</f>
      </c>
      <c r="AS41" s="18">
        <f>IF(NOT(AND(ISTEXT(KOL_Source_Data!$BV$17),KOL_Source_Data!$BV$17&lt;&gt;"N/A")),"N/A",KOL_Source_Data!$BV$17)</f>
      </c>
      <c r="AT41" s="29">
        <f>IF((IF(ISNUMBER(Matching_Engine!$AO$41),Lookup_Lists!$D$322,0)+IF(ISNUMBER(Matching_Engine!$AP$41),Lookup_Lists!$D$323,0)+IF(ISNUMBER(Matching_Engine!$AQ$41),Lookup_Lists!$D$324,0)+IF(ISNUMBER(Matching_Engine!$AR$41),Lookup_Lists!$D$325,0))=0,"N/A",ROUND((IF(ISNUMBER(Matching_Engine!$AO$41),Matching_Engine!$AO$41*Lookup_Lists!$D$322,0)+IF(ISNUMBER(Matching_Engine!$AP$41),Matching_Engine!$AP$41*Lookup_Lists!$D$323,0)+IF(ISNUMBER(Matching_Engine!$AQ$41),Matching_Engine!$AQ$41*Lookup_Lists!$D$324,0)+IF(ISNUMBER(Matching_Engine!$AR$41),Matching_Engine!$AR$41*Lookup_Lists!$D$325,0))/(IF(ISNUMBER(Matching_Engine!$AO$41),Lookup_Lists!$D$322,0)+IF(ISNUMBER(Matching_Engine!$AP$41),Lookup_Lists!$D$323,0)+IF(ISNUMBER(Matching_Engine!$AQ$41),Lookup_Lists!$D$324,0)+IF(ISNUMBER(Matching_Engine!$AR$41),Lookup_Lists!$D$325,0)),0))</f>
      </c>
      <c r="AU41" s="11">
        <f>IF(ISNUMBER(Matching_Engine!$AT$41),1,0)</f>
      </c>
      <c r="AV41" s="11">
        <f>IF(NOT(ISNUMBER(Matching_Engine!$AT$41)),"Not Screened",IF(Matching_Engine!$AT$41&gt;=Lookup_Lists!$D$329,"Low Risk",IF(Matching_Engine!$AT$41&gt;=Lookup_Lists!$D$330,"Moderate Risk",IF(Matching_Engine!$AT$41&gt;=Lookup_Lists!$D$331,"Elevated Risk","High Risk"))))</f>
      </c>
      <c r="AW41" s="11">
        <f>IF(NOT(ISNUMBER(Matching_Engine!$AT$41)),"No integrity signal: no audience-analysis row for this account.","Integrity screen only — no content-risk reading exists (comments_analysis: 0 rows). "&amp;IF(ISNUMBER(Matching_Engine!$AO$41),"Authenticity "&amp;Matching_Engine!$AO$41&amp;". ","Authenticity N/A. ")&amp;IF(ISNUMBER(Matching_Engine!$AP$41),"Follower quality "&amp;Matching_Engine!$AP$41&amp;". ","Follower quality N/A. ")&amp;IF(KOL_Source_Data!$I$17="Yes","Platform-verified.","Not platform-verified."))</f>
      </c>
      <c r="AX41" s="18">
        <f>Matching_Engine!$N$41*Lookup_Lists!$D$104+Matching_Engine!$T$41*Lookup_Lists!$D$105+Matching_Engine!$Z$41*Lookup_Lists!$D$106+Matching_Engine!$AF$41*Lookup_Lists!$D$107+Matching_Engine!$AN$41*Lookup_Lists!$D$108+Matching_Engine!$AU$41*Lookup_Lists!$D$109</f>
      </c>
      <c r="AY41" s="30">
        <f>IF(Matching_Engine!$AX$41=0,"N/A",ROUND((IF(Matching_Engine!$N$41=1,Matching_Engine!$M$41*Lookup_Lists!$D$104,0)+IF(Matching_Engine!$T$41=1,Matching_Engine!$S$41*Lookup_Lists!$D$105,0)+IF(Matching_Engine!$Z$41=1,Matching_Engine!$Y$41*Lookup_Lists!$D$106,0)+IF(Matching_Engine!$AF$41=1,Matching_Engine!$AE$41*Lookup_Lists!$D$107,0)+IF(Matching_Engine!$AN$41=1,Matching_Engine!$AM$41*Lookup_Lists!$D$108,0)+IF(Matching_Engine!$AU$41=1,Matching_Engine!$AT$41*Lookup_Lists!$D$109,0))/Matching_Engine!$AX$41,0))</f>
      </c>
      <c r="AZ41" s="11">
        <f>IF(NOT(ISNUMBER(Matching_Engine!$AY$41)),"Not Scored",IF(Matching_Engine!$AY$41&gt;=Lookup_Lists!$D$152,"Excellent Match",IF(Matching_Engine!$AY$41&gt;=Lookup_Lists!$D$153,"Strong Match",IF(Matching_Engine!$AY$41&gt;=Lookup_Lists!$D$154,"Good Match",IF(Matching_Engine!$AY$41&gt;=Lookup_Lists!$D$155,"Moderate Match","Low Match")))))</f>
      </c>
      <c r="BA41" s="18">
        <f>KOL_Source_Data!$BW$17</f>
      </c>
      <c r="BB41" s="11">
        <f>KOL_Source_Data!$BX$17</f>
      </c>
      <c r="BC41" s="18">
        <f>IF(NOT(ISNUMBER(Matching_Engine!$AY$41)),-1,Matching_Engine!$AY$41*1000+13)</f>
      </c>
      <c r="BD41" s="11">
        <f>IF(AND(ISTEXT(KOL_Source_Data!$S$17),KOL_Source_Data!$S$17&lt;&gt;"N/A"),KOL_Source_Data!$S$17,"")&amp;" | "&amp;IF(AND(ISTEXT(KOL_Source_Data!$T$17),KOL_Source_Data!$T$17&lt;&gt;"N/A"),KOL_Source_Data!$T$17,"")&amp;" | "&amp;IF(AND(ISTEXT(KOL_Source_Data!$N$17),KOL_Source_Data!$N$17&lt;&gt;"N/A"),KOL_Source_Data!$N$17,"")&amp;" | "&amp;IF(AND(ISTEXT(KOL_Source_Data!$K$17),KOL_Source_Data!$K$17&lt;&gt;"N/A"),KOL_Source_Data!$K$17,"")&amp;" | "&amp;IF(AND(ISTEXT(KOL_Source_Data!$J$17),KOL_Source_Data!$J$17&lt;&gt;"N/A"),KOL_Source_Data!$J$17,"")</f>
      </c>
      <c r="BE41" s="11">
        <f>IF(AND(ISTEXT(KOL_Source_Data!$T$17),KOL_Source_Data!$T$17&lt;&gt;"N/A"),KOL_Source_Data!$T$17,"")&amp;" | "&amp;IF(AND(ISTEXT(KOL_Source_Data!$N$17),KOL_Source_Data!$N$17&lt;&gt;"N/A"),KOL_Source_Data!$N$17,"")&amp;" | "&amp;IF(AND(ISTEXT(KOL_Source_Data!$O$17),KOL_Source_Data!$O$17&lt;&gt;"N/A"),KOL_Source_Data!$O$17,"")&amp;" | "&amp;IF(AND(ISTEXT(KOL_Source_Data!$S$17),KOL_Source_Data!$S$17&lt;&gt;"N/A"),KOL_Source_Data!$S$17,"")</f>
      </c>
      <c r="BF41" s="11">
        <f>IF(AND(ISTEXT(KOL_Source_Data!$U$17),KOL_Source_Data!$U$17&lt;&gt;"N/A"),KOL_Source_Data!$U$17,"")</f>
      </c>
      <c r="BG41" s="11">
        <f>Matching_Engine!$A$41&amp;"|"&amp;Matching_Engine!$C$41</f>
      </c>
    </row>
    <row r="42" spans="1:59" x14ac:dyDescent="0.25">
      <c r="A42" s="10" t="s">
        <v>391</v>
      </c>
      <c r="B42" s="11">
        <f>Brand_Profile!$F$6</f>
      </c>
      <c r="C42" s="11">
        <f>KOL_Source_Data!$A$18</f>
      </c>
      <c r="D42" s="11">
        <f>KOL_Source_Data!$C$18</f>
      </c>
      <c r="E42" s="11">
        <f>KOL_Source_Data!$D$18</f>
      </c>
      <c r="F42" s="11">
        <f>KOL_Source_Data!$E$18</f>
      </c>
      <c r="G42" s="11">
        <f>KOL_Source_Data!$K$18</f>
      </c>
      <c r="H42" s="12">
        <f>KOL_Source_Data!$G$18</f>
      </c>
      <c r="I42" s="14">
        <f>KOL_Source_Data!$BG$18</f>
      </c>
      <c r="J42" s="18">
        <f>IF(NOT(AND(ISTEXT(KOL_Source_Data!$K$18),KOL_Source_Data!$K$18&lt;&gt;"N/A")),Lookup_Lists!$D$150,IF(Brand_Profile!$F$7=KOL_Source_Data!$K$18,100,IFERROR(INDEX(Lookup_Lists!$B$349:$J$357,MATCH(Brand_Profile!$F$7,Lookup_Lists!$A$349:$A$357,0),MATCH(KOL_Source_Data!$K$18,Lookup_Lists!$B$348:$J$348,0)),Lookup_Lists!$D$151)))</f>
      </c>
      <c r="K42" s="18">
        <f>IF(LEN(TRIM(SUBSTITUTE(Matching_Engine!$BD$42,"|","")))=0,"N/A",IF(Brand_Profile!$F$47=0,Lookup_Lists!$D$150,ROUND((IF(Brand_Profile!$F$41="",0,IF(ISNUMBER(SEARCH(Brand_Profile!$F$41,Matching_Engine!$BD$42)),1,0))+IF(Brand_Profile!$F$42="",0,IF(ISNUMBER(SEARCH(Brand_Profile!$F$42,Matching_Engine!$BD$42)),1,0))+IF(Brand_Profile!$F$43="",0,IF(ISNUMBER(SEARCH(Brand_Profile!$F$43,Matching_Engine!$BD$42)),1,0))+IF(Brand_Profile!$F$44="",0,IF(ISNUMBER(SEARCH(Brand_Profile!$F$44,Matching_Engine!$BD$42)),1,0))+IF(Brand_Profile!$F$45="",0,IF(ISNUMBER(SEARCH(Brand_Profile!$F$45,Matching_Engine!$BD$42)),1,0))+IF(Brand_Profile!$F$46="",0,IF(ISNUMBER(SEARCH(Brand_Profile!$F$46,Matching_Engine!$BD$42)),1,0)))/Brand_Profile!$F$47*100,0)))</f>
      </c>
      <c r="L42" s="18">
        <f>IF(NOT(AND(ISTEXT(KOL_Source_Data!$U$18),KOL_Source_Data!$U$18&lt;&gt;"N/A")),"N/A",IF(Brand_Profile!$F$53=0,Lookup_Lists!$D$150,ROUND((IF(Brand_Profile!$F$48="",0,IF(ISNUMBER(SEARCH(Brand_Profile!$F$48,Matching_Engine!$BF$42)),1,0))+IF(Brand_Profile!$F$49="",0,IF(ISNUMBER(SEARCH(Brand_Profile!$F$49,Matching_Engine!$BF$42)),1,0))+IF(Brand_Profile!$F$50="",0,IF(ISNUMBER(SEARCH(Brand_Profile!$F$50,Matching_Engine!$BF$42)),1,0))+IF(Brand_Profile!$F$51="",0,IF(ISNUMBER(SEARCH(Brand_Profile!$F$51,Matching_Engine!$BF$42)),1,0))+IF(Brand_Profile!$F$52="",0,IF(ISNUMBER(SEARCH(Brand_Profile!$F$52,Matching_Engine!$BF$42)),1,0)))/Brand_Profile!$F$53*100,0)))</f>
      </c>
      <c r="M42" s="29">
        <f>IF((IF(ISNUMBER(Matching_Engine!$J$42),Lookup_Lists!$D$332,0)+IF(ISNUMBER(Matching_Engine!$K$42),Lookup_Lists!$D$333,0)+IF(ISNUMBER(Matching_Engine!$L$42),Lookup_Lists!$D$334,0))=0,"N/A",ROUND((IF(ISNUMBER(Matching_Engine!$J$42),Matching_Engine!$J$42*Lookup_Lists!$D$332,0)+IF(ISNUMBER(Matching_Engine!$K$42),Matching_Engine!$K$42*Lookup_Lists!$D$333,0)+IF(ISNUMBER(Matching_Engine!$L$42),Matching_Engine!$L$42*Lookup_Lists!$D$334,0))/(IF(ISNUMBER(Matching_Engine!$J$42),Lookup_Lists!$D$332,0)+IF(ISNUMBER(Matching_Engine!$K$42),Lookup_Lists!$D$333,0)+IF(ISNUMBER(Matching_Engine!$L$42),Lookup_Lists!$D$334,0)),0))</f>
      </c>
      <c r="N42" s="11">
        <f>IF(ISNUMBER(Matching_Engine!$M$42),1,0)</f>
      </c>
      <c r="O42" s="18">
        <f>IF(NOT(ISNUMBER(IFERROR(INDEX(KOL_Source_Data!$V$18:KOL_Source_Data!$Z$18,1,MATCH(Brand_Profile!$F$11,Lookup_Lists!$F$6:$F$10,0)),""))),"N/A",MIN(100,ROUND((IFERROR(INDEX(KOL_Source_Data!$V$18:KOL_Source_Data!$Z$18,1,MATCH(Brand_Profile!$F$11,Lookup_Lists!$F$6:$F$10,0)),"")+0.5*IF(ISNUMBER(IFERROR(INDEX(KOL_Source_Data!$V$18:KOL_Source_Data!$Z$18,1,MATCH(Brand_Profile!$F$12,Lookup_Lists!$F$6:$F$10,0)),"")),IFERROR(INDEX(KOL_Source_Data!$V$18:KOL_Source_Data!$Z$18,1,MATCH(Brand_Profile!$F$12,Lookup_Lists!$F$6:$F$10,0)),""),0))/Lookup_Lists!$D$142*100,0)))</f>
      </c>
      <c r="P42" s="18">
        <f>IF(Brand_Profile!$F$13="Any",100,IF(NOT(ISNUMBER(KOL_Source_Data!$AA$18)),"N/A",IF(Brand_Profile!$F$13="Female",MIN(100,ROUND(KOL_Source_Data!$AA$18/Lookup_Lists!$D$143*100,0)),IF(Brand_Profile!$F$13="Male",MIN(100,ROUND(IF(ISNUMBER(KOL_Source_Data!$AB$18),KOL_Source_Data!$AB$18,100-KOL_Source_Data!$AA$18)/Lookup_Lists!$D$143*100,0)),MAX(0,ROUND(100-ABS(KOL_Source_Data!$AA$18-50)*2,0))))))</f>
      </c>
      <c r="Q42" s="18">
        <f>IF((IF(ISNUMBER(IF(NOT(ISNUMBER(KOL_Source_Data!$AE$18)),"N/A",IF(KOL_Source_Data!$AD$18&lt;&gt;Brand_Profile!$F$14,Lookup_Lists!$D$151,MIN(100,ROUND(KOL_Source_Data!$AE$18/Lookup_Lists!$D$316*100,0))))),Lookup_Lists!$D$118,0)+IF(ISNUMBER(IF(NOT(ISNUMBER(KOL_Source_Data!$AM$18)),"N/A",MIN(100,ROUND((IF(KOL_Source_Data!$AG$18=Brand_Profile!$F$15,IF(ISNUMBER(KOL_Source_Data!$AH$18),KOL_Source_Data!$AH$18,0),0)+IF(KOL_Source_Data!$AI$18=Brand_Profile!$F$15,IF(ISNUMBER(KOL_Source_Data!$AJ$18),KOL_Source_Data!$AJ$18,0),0)+IF(KOL_Source_Data!$AK$18=Brand_Profile!$F$15,IF(ISNUMBER(KOL_Source_Data!$AL$18),KOL_Source_Data!$AL$18,0),0))/Lookup_Lists!$D$317*100,0)))),Lookup_Lists!$D$120,0))=0,"N/A",ROUND((IF(ISNUMBER(IF(NOT(ISNUMBER(KOL_Source_Data!$AE$18)),"N/A",IF(KOL_Source_Data!$AD$18&lt;&gt;Brand_Profile!$F$14,Lookup_Lists!$D$151,MIN(100,ROUND(KOL_Source_Data!$AE$18/Lookup_Lists!$D$316*100,0))))),IF(NOT(ISNUMBER(KOL_Source_Data!$AE$18)),"N/A",IF(KOL_Source_Data!$AD$18&lt;&gt;Brand_Profile!$F$14,Lookup_Lists!$D$151,MIN(100,ROUND(KOL_Source_Data!$AE$18/Lookup_Lists!$D$316*100,0))))*Lookup_Lists!$D$118,0)+IF(ISNUMBER(IF(NOT(ISNUMBER(KOL_Source_Data!$AM$18)),"N/A",MIN(100,ROUND((IF(KOL_Source_Data!$AG$18=Brand_Profile!$F$15,IF(ISNUMBER(KOL_Source_Data!$AH$18),KOL_Source_Data!$AH$18,0),0)+IF(KOL_Source_Data!$AI$18=Brand_Profile!$F$15,IF(ISNUMBER(KOL_Source_Data!$AJ$18),KOL_Source_Data!$AJ$18,0),0)+IF(KOL_Source_Data!$AK$18=Brand_Profile!$F$15,IF(ISNUMBER(KOL_Source_Data!$AL$18),KOL_Source_Data!$AL$18,0),0))/Lookup_Lists!$D$317*100,0)))),IF(NOT(ISNUMBER(KOL_Source_Data!$AM$18)),"N/A",MIN(100,ROUND((IF(KOL_Source_Data!$AG$18=Brand_Profile!$F$15,IF(ISNUMBER(KOL_Source_Data!$AH$18),KOL_Source_Data!$AH$18,0),0)+IF(KOL_Source_Data!$AI$18=Brand_Profile!$F$15,IF(ISNUMBER(KOL_Source_Data!$AJ$18),KOL_Source_Data!$AJ$18,0),0)+IF(KOL_Source_Data!$AK$18=Brand_Profile!$F$15,IF(ISNUMBER(KOL_Source_Data!$AL$18),KOL_Source_Data!$AL$18,0),0))/Lookup_Lists!$D$317*100,0)))*Lookup_Lists!$D$120,0))/(IF(ISNUMBER(IF(NOT(ISNUMBER(KOL_Source_Data!$AE$18)),"N/A",IF(KOL_Source_Data!$AD$18&lt;&gt;Brand_Profile!$F$14,Lookup_Lists!$D$151,MIN(100,ROUND(KOL_Source_Data!$AE$18/Lookup_Lists!$D$316*100,0))))),Lookup_Lists!$D$118,0)+IF(ISNUMBER(IF(NOT(ISNUMBER(KOL_Source_Data!$AM$18)),"N/A",MIN(100,ROUND((IF(KOL_Source_Data!$AG$18=Brand_Profile!$F$15,IF(ISNUMBER(KOL_Source_Data!$AH$18),KOL_Source_Data!$AH$18,0),0)+IF(KOL_Source_Data!$AI$18=Brand_Profile!$F$15,IF(ISNUMBER(KOL_Source_Data!$AJ$18),KOL_Source_Data!$AJ$18,0),0)+IF(KOL_Source_Data!$AK$18=Brand_Profile!$F$15,IF(ISNUMBER(KOL_Source_Data!$AL$18),KOL_Source_Data!$AL$18,0),0))/Lookup_Lists!$D$317*100,0)))),Lookup_Lists!$D$120,0)),0))</f>
      </c>
      <c r="R42" s="18">
        <f>IF(NOT(ISNUMBER(KOL_Source_Data!$AN$18)),"N/A",MIN(100,ROUND((IF(ISNUMBER(KOL_Source_Data!$AO$18),KOL_Source_Data!$AO$18*Brand_Profile!$F$17,0)+IF(ISNUMBER(KOL_Source_Data!$AP$18),KOL_Source_Data!$AP$18*Brand_Profile!$F$18,0)+IF(ISNUMBER(KOL_Source_Data!$AQ$18),KOL_Source_Data!$AQ$18*Brand_Profile!$F$19,0)+IF(ISNUMBER(KOL_Source_Data!$AR$18),KOL_Source_Data!$AR$18*Brand_Profile!$F$20,0)+IF(ISNUMBER(KOL_Source_Data!$AS$18),KOL_Source_Data!$AS$18*Brand_Profile!$F$21,0)+IF(ISNUMBER(KOL_Source_Data!$AT$18),KOL_Source_Data!$AT$18*Brand_Profile!$F$22,0)+IF(ISNUMBER(KOL_Source_Data!$AU$18),KOL_Source_Data!$AU$18*Brand_Profile!$F$23,0)+IF(ISNUMBER(KOL_Source_Data!$AV$18),KOL_Source_Data!$AV$18*Brand_Profile!$F$24,0)+IF(ISNUMBER(KOL_Source_Data!$AW$18),KOL_Source_Data!$AW$18*Brand_Profile!$F$25,0)+IF(ISNUMBER(KOL_Source_Data!$AX$18),KOL_Source_Data!$AX$18*Brand_Profile!$F$26,0)+IF(ISNUMBER(KOL_Source_Data!$AY$18),KOL_Source_Data!$AY$18*Brand_Profile!$F$27,0)+IF(ISNUMBER(KOL_Source_Data!$AZ$18),KOL_Source_Data!$AZ$18*Brand_Profile!$F$28,0)+IF(ISNUMBER(KOL_Source_Data!$BA$18),KOL_Source_Data!$BA$18*Brand_Profile!$F$29,0)+IF(ISNUMBER(KOL_Source_Data!$BB$18),KOL_Source_Data!$BB$18*Brand_Profile!$F$30,0)+IF(ISNUMBER(KOL_Source_Data!$BC$18),KOL_Source_Data!$BC$18*Brand_Profile!$F$31,0)+IF(ISNUMBER(KOL_Source_Data!$BD$18),KOL_Source_Data!$BD$18*Brand_Profile!$F$32,0)+IF(ISNUMBER(KOL_Source_Data!$BE$18),KOL_Source_Data!$BE$18*Brand_Profile!$F$33,0)+IF(ISNUMBER(KOL_Source_Data!$BF$18),KOL_Source_Data!$BF$18*Brand_Profile!$F$34,0))/Lookup_Lists!$D$318*100,0)))</f>
      </c>
      <c r="S42" s="29">
        <f>IF((IF(ISNUMBER(Matching_Engine!$O$42),Lookup_Lists!$D$113,0)+IF(ISNUMBER(Matching_Engine!$P$42),Lookup_Lists!$D$114,0)+IF(ISNUMBER(Matching_Engine!$Q$42),Lookup_Lists!$D$115,0)+IF(ISNUMBER(Matching_Engine!$R$42),Lookup_Lists!$D$116,0))=0,"N/A",ROUND((IF(ISNUMBER(Matching_Engine!$O$42),Matching_Engine!$O$42*Lookup_Lists!$D$113,0)+IF(ISNUMBER(Matching_Engine!$P$42),Matching_Engine!$P$42*Lookup_Lists!$D$114,0)+IF(ISNUMBER(Matching_Engine!$Q$42),Matching_Engine!$Q$42*Lookup_Lists!$D$115,0)+IF(ISNUMBER(Matching_Engine!$R$42),Matching_Engine!$R$42*Lookup_Lists!$D$116,0))/(IF(ISNUMBER(Matching_Engine!$O$42),Lookup_Lists!$D$113,0)+IF(ISNUMBER(Matching_Engine!$P$42),Lookup_Lists!$D$114,0)+IF(ISNUMBER(Matching_Engine!$Q$42),Lookup_Lists!$D$115,0)+IF(ISNUMBER(Matching_Engine!$R$42),Lookup_Lists!$D$116,0)),0))</f>
      </c>
      <c r="T42" s="11">
        <f>IF(ISNUMBER(Matching_Engine!$S$42),1,0)</f>
      </c>
      <c r="U42" s="18">
        <f>IF(NOT(AND(ISTEXT(KOL_Source_Data!$M$18),KOL_Source_Data!$M$18&lt;&gt;"N/A")),Lookup_Lists!$D$150,IF(Brand_Profile!$F$7=KOL_Source_Data!$M$18,100,IFERROR(INDEX(Lookup_Lists!$B$349:$J$357,MATCH(Brand_Profile!$F$7,Lookup_Lists!$A$349:$A$357,0),MATCH(KOL_Source_Data!$M$18,Lookup_Lists!$B$348:$J$348,0)),Lookup_Lists!$D$151)))</f>
      </c>
      <c r="V42" s="18">
        <f>IF(NOT(AND(ISTEXT(KOL_Source_Data!$P$18),KOL_Source_Data!$P$18&lt;&gt;"N/A")),"N/A",IFERROR(INDEX(Lookup_Lists!$B$349:$J$357,MATCH(Brand_Profile!$F$7,Lookup_Lists!$A$349:$A$357,0),MATCH(KOL_Source_Data!$P$18,Lookup_Lists!$B$348:$J$348,0)),Lookup_Lists!$D$151))</f>
      </c>
      <c r="W42" s="18">
        <f>IF(LEN(TRIM(SUBSTITUTE(Matching_Engine!$BE$42,"|","")))=0,"N/A",IF(Brand_Profile!$F$60=0,Lookup_Lists!$D$150,ROUND((IF(Brand_Profile!$F$54="",0,IF(ISNUMBER(SEARCH(Brand_Profile!$F$54,Matching_Engine!$BE$42)),1,0))+IF(Brand_Profile!$F$55="",0,IF(ISNUMBER(SEARCH(Brand_Profile!$F$55,Matching_Engine!$BE$42)),1,0))+IF(Brand_Profile!$F$56="",0,IF(ISNUMBER(SEARCH(Brand_Profile!$F$56,Matching_Engine!$BE$42)),1,0))+IF(Brand_Profile!$F$57="",0,IF(ISNUMBER(SEARCH(Brand_Profile!$F$57,Matching_Engine!$BE$42)),1,0))+IF(Brand_Profile!$F$58="",0,IF(ISNUMBER(SEARCH(Brand_Profile!$F$58,Matching_Engine!$BE$42)),1,0))+IF(Brand_Profile!$F$59="",0,IF(ISNUMBER(SEARCH(Brand_Profile!$F$59,Matching_Engine!$BE$42)),1,0)))/Brand_Profile!$F$60*100,0)))</f>
      </c>
      <c r="X42" s="18">
        <f>IF(NOT(AND(ISTEXT(KOL_Source_Data!$Q$18),KOL_Source_Data!$Q$18&lt;&gt;"N/A")),"N/A",Lookup_Lists!$D$150)</f>
      </c>
      <c r="Y42" s="29">
        <f>IF((IF(ISNUMBER(Matching_Engine!$U$42),Lookup_Lists!$D$335,0)+IF(ISNUMBER(Matching_Engine!$V$42),Lookup_Lists!$D$122,0)+IF(ISNUMBER(Matching_Engine!$W$42),Lookup_Lists!$D$336,0)+IF(ISNUMBER(Matching_Engine!$X$42),Lookup_Lists!$D$124,0))=0,"N/A",ROUND((IF(ISNUMBER(Matching_Engine!$U$42),Matching_Engine!$U$42*Lookup_Lists!$D$335,0)+IF(ISNUMBER(Matching_Engine!$V$42),Matching_Engine!$V$42*Lookup_Lists!$D$122,0)+IF(ISNUMBER(Matching_Engine!$W$42),Matching_Engine!$W$42*Lookup_Lists!$D$336,0)+IF(ISNUMBER(Matching_Engine!$X$42),Matching_Engine!$X$42*Lookup_Lists!$D$124,0))/(IF(ISNUMBER(Matching_Engine!$U$42),Lookup_Lists!$D$335,0)+IF(ISNUMBER(Matching_Engine!$V$42),Lookup_Lists!$D$122,0)+IF(ISNUMBER(Matching_Engine!$W$42),Lookup_Lists!$D$336,0)+IF(ISNUMBER(Matching_Engine!$X$42),Lookup_Lists!$D$124,0)),0))</f>
      </c>
      <c r="Z42" s="11">
        <f>IF(ISNUMBER(Matching_Engine!$Y$42),1,0)</f>
      </c>
      <c r="AA42" s="18">
        <f>IF(NOT(AND(ISTEXT(KOL_Source_Data!$Q$18),KOL_Source_Data!$Q$18&lt;&gt;"N/A")),"N/A",Lookup_Lists!$D$150)</f>
      </c>
      <c r="AB42" s="18">
        <f>IF(NOT(AND(ISTEXT(KOL_Source_Data!$Q$18),KOL_Source_Data!$Q$18&lt;&gt;"N/A")),"N/A",Lookup_Lists!$D$150)</f>
      </c>
      <c r="AC42" s="18">
        <f>"N/A"</f>
      </c>
      <c r="AD42" s="18">
        <f>IF(NOT(AND(ISTEXT(KOL_Source_Data!$Q$18),KOL_Source_Data!$Q$18&lt;&gt;"N/A")),"N/A",Lookup_Lists!$D$150)</f>
      </c>
      <c r="AE42" s="29">
        <f>IF((IF(ISNUMBER(Matching_Engine!$AA$42),Lookup_Lists!$D$125,0)+IF(ISNUMBER(Matching_Engine!$AB$42),Lookup_Lists!$D$126,0)+IF(ISNUMBER(Matching_Engine!$AC$42),Lookup_Lists!$D$127,0)+IF(ISNUMBER(Matching_Engine!$AD$42),Lookup_Lists!$D$128,0))=0,"N/A",ROUND((IF(ISNUMBER(Matching_Engine!$AA$42),Matching_Engine!$AA$42*Lookup_Lists!$D$125,0)+IF(ISNUMBER(Matching_Engine!$AB$42),Matching_Engine!$AB$42*Lookup_Lists!$D$126,0)+IF(ISNUMBER(Matching_Engine!$AC$42),Matching_Engine!$AC$42*Lookup_Lists!$D$127,0)+IF(ISNUMBER(Matching_Engine!$AD$42),Matching_Engine!$AD$42*Lookup_Lists!$D$128,0))/(IF(ISNUMBER(Matching_Engine!$AA$42),Lookup_Lists!$D$125,0)+IF(ISNUMBER(Matching_Engine!$AB$42),Lookup_Lists!$D$126,0)+IF(ISNUMBER(Matching_Engine!$AC$42),Lookup_Lists!$D$127,0)+IF(ISNUMBER(Matching_Engine!$AD$42),Lookup_Lists!$D$128,0)),0))</f>
      </c>
      <c r="AF42" s="11">
        <f>IF(ISNUMBER(Matching_Engine!$AE$42),1,0)</f>
      </c>
      <c r="AG42" s="18">
        <f>IF(NOT(ISNUMBER(KOL_Source_Data!$BG$18)),"N/A",MIN(100,ROUND(KOL_Source_Data!$BG$18/IFERROR(INDEX(Lookup_Lists!$B$340:$B$344,MATCH(KOL_Source_Data!$H$18,Lookup_Lists!$A$340:$A$344,0)),Lookup_Lists!$D$141)*100,0)))</f>
      </c>
      <c r="AH42" s="18">
        <f>IF(NOT(ISNUMBER(KOL_Source_Data!$BS$18)),"N/A",MIN(100,MAX(0,KOL_Source_Data!$BS$18)))</f>
      </c>
      <c r="AI42" s="18">
        <f>IF(OR(NOT(ISNUMBER(KOL_Source_Data!$BM$18)),NOT(ISNUMBER(KOL_Source_Data!$BN$18)),KOL_Source_Data!$BN$18&lt;Lookup_Lists!$D$320),"N/A",MIN(100,ROUND(KOL_Source_Data!$BM$18/Lookup_Lists!$D$319*100,0)))</f>
      </c>
      <c r="AJ42" s="18">
        <f>IF(NOT(ISNUMBER(KOL_Source_Data!$BR$18)),"N/A",KOL_Source_Data!$BR$18)</f>
      </c>
      <c r="AK42" s="18">
        <f>IF(NOT(ISNUMBER(KOL_Source_Data!$BK$18)),"N/A",MIN(100,ROUND(KOL_Source_Data!$BK$18/Lookup_Lists!$D$321*100,0)))</f>
      </c>
      <c r="AL42" s="18">
        <f>IF(NOT(ISNUMBER(KOL_Source_Data!$BP$18)),"N/A",MIN(100,MAX(0,ROUND((KOL_Source_Data!$BP$18+2)/(Lookup_Lists!$D$145+2)*100,0))))</f>
      </c>
      <c r="AM42" s="29">
        <f>IF((IF(ISNUMBER(Matching_Engine!$AG$42),Lookup_Lists!$D$129,0)+IF(ISNUMBER(Matching_Engine!$AH$42),Lookup_Lists!$D$130,0)+IF(ISNUMBER(Matching_Engine!$AI$42),Lookup_Lists!$D$131,0)+IF(ISNUMBER(Matching_Engine!$AJ$42),Lookup_Lists!$D$132,0)+IF(ISNUMBER(Matching_Engine!$AK$42),Lookup_Lists!$D$133,0)+IF(ISNUMBER(Matching_Engine!$AL$42),Lookup_Lists!$D$134,0))=0,"N/A",ROUND((IF(ISNUMBER(Matching_Engine!$AG$42),Matching_Engine!$AG$42*Lookup_Lists!$D$129,0)+IF(ISNUMBER(Matching_Engine!$AH$42),Matching_Engine!$AH$42*Lookup_Lists!$D$130,0)+IF(ISNUMBER(Matching_Engine!$AI$42),Matching_Engine!$AI$42*Lookup_Lists!$D$131,0)+IF(ISNUMBER(Matching_Engine!$AJ$42),Matching_Engine!$AJ$42*Lookup_Lists!$D$132,0)+IF(ISNUMBER(Matching_Engine!$AK$42),Matching_Engine!$AK$42*Lookup_Lists!$D$133,0)+IF(ISNUMBER(Matching_Engine!$AL$42),Matching_Engine!$AL$42*Lookup_Lists!$D$134,0))/(IF(ISNUMBER(Matching_Engine!$AG$42),Lookup_Lists!$D$129,0)+IF(ISNUMBER(Matching_Engine!$AH$42),Lookup_Lists!$D$130,0)+IF(ISNUMBER(Matching_Engine!$AI$42),Lookup_Lists!$D$131,0)+IF(ISNUMBER(Matching_Engine!$AJ$42),Lookup_Lists!$D$132,0)+IF(ISNUMBER(Matching_Engine!$AK$42),Lookup_Lists!$D$133,0)+IF(ISNUMBER(Matching_Engine!$AL$42),Lookup_Lists!$D$134,0)),0))</f>
      </c>
      <c r="AN42" s="11">
        <f>IF(ISNUMBER(Matching_Engine!$AM$42),1,0)</f>
      </c>
      <c r="AO42" s="18">
        <f>IF(NOT(ISNUMBER(KOL_Source_Data!$BT$18)),"N/A",MIN(100,MAX(0,KOL_Source_Data!$BT$18)))</f>
      </c>
      <c r="AP42" s="18">
        <f>IF(NOT(ISNUMBER(KOL_Source_Data!$BU$18)),"N/A",MIN(100,MAX(0,KOL_Source_Data!$BU$18)))</f>
      </c>
      <c r="AQ42" s="18">
        <f>IF(KOL_Source_Data!$I$18="Yes",Lookup_Lists!$D$326,IF(KOL_Source_Data!$I$18="No",Lookup_Lists!$D$327,"N/A"))</f>
      </c>
      <c r="AR42" s="18">
        <f>IF(NOT(ISNUMBER(KOL_Source_Data!$BQ$18)),"N/A",MAX(0,ROUND(100-KOL_Source_Data!$BQ$18/Lookup_Lists!$D$328*100,0)))</f>
      </c>
      <c r="AS42" s="18">
        <f>IF(NOT(AND(ISTEXT(KOL_Source_Data!$BV$18),KOL_Source_Data!$BV$18&lt;&gt;"N/A")),"N/A",KOL_Source_Data!$BV$18)</f>
      </c>
      <c r="AT42" s="29">
        <f>IF((IF(ISNUMBER(Matching_Engine!$AO$42),Lookup_Lists!$D$322,0)+IF(ISNUMBER(Matching_Engine!$AP$42),Lookup_Lists!$D$323,0)+IF(ISNUMBER(Matching_Engine!$AQ$42),Lookup_Lists!$D$324,0)+IF(ISNUMBER(Matching_Engine!$AR$42),Lookup_Lists!$D$325,0))=0,"N/A",ROUND((IF(ISNUMBER(Matching_Engine!$AO$42),Matching_Engine!$AO$42*Lookup_Lists!$D$322,0)+IF(ISNUMBER(Matching_Engine!$AP$42),Matching_Engine!$AP$42*Lookup_Lists!$D$323,0)+IF(ISNUMBER(Matching_Engine!$AQ$42),Matching_Engine!$AQ$42*Lookup_Lists!$D$324,0)+IF(ISNUMBER(Matching_Engine!$AR$42),Matching_Engine!$AR$42*Lookup_Lists!$D$325,0))/(IF(ISNUMBER(Matching_Engine!$AO$42),Lookup_Lists!$D$322,0)+IF(ISNUMBER(Matching_Engine!$AP$42),Lookup_Lists!$D$323,0)+IF(ISNUMBER(Matching_Engine!$AQ$42),Lookup_Lists!$D$324,0)+IF(ISNUMBER(Matching_Engine!$AR$42),Lookup_Lists!$D$325,0)),0))</f>
      </c>
      <c r="AU42" s="11">
        <f>IF(ISNUMBER(Matching_Engine!$AT$42),1,0)</f>
      </c>
      <c r="AV42" s="11">
        <f>IF(NOT(ISNUMBER(Matching_Engine!$AT$42)),"Not Screened",IF(Matching_Engine!$AT$42&gt;=Lookup_Lists!$D$329,"Low Risk",IF(Matching_Engine!$AT$42&gt;=Lookup_Lists!$D$330,"Moderate Risk",IF(Matching_Engine!$AT$42&gt;=Lookup_Lists!$D$331,"Elevated Risk","High Risk"))))</f>
      </c>
      <c r="AW42" s="11">
        <f>IF(NOT(ISNUMBER(Matching_Engine!$AT$42)),"No integrity signal: no audience-analysis row for this account.","Integrity screen only — no content-risk reading exists (comments_analysis: 0 rows). "&amp;IF(ISNUMBER(Matching_Engine!$AO$42),"Authenticity "&amp;Matching_Engine!$AO$42&amp;". ","Authenticity N/A. ")&amp;IF(ISNUMBER(Matching_Engine!$AP$42),"Follower quality "&amp;Matching_Engine!$AP$42&amp;". ","Follower quality N/A. ")&amp;IF(KOL_Source_Data!$I$18="Yes","Platform-verified.","Not platform-verified."))</f>
      </c>
      <c r="AX42" s="18">
        <f>Matching_Engine!$N$42*Lookup_Lists!$D$104+Matching_Engine!$T$42*Lookup_Lists!$D$105+Matching_Engine!$Z$42*Lookup_Lists!$D$106+Matching_Engine!$AF$42*Lookup_Lists!$D$107+Matching_Engine!$AN$42*Lookup_Lists!$D$108+Matching_Engine!$AU$42*Lookup_Lists!$D$109</f>
      </c>
      <c r="AY42" s="30">
        <f>IF(Matching_Engine!$AX$42=0,"N/A",ROUND((IF(Matching_Engine!$N$42=1,Matching_Engine!$M$42*Lookup_Lists!$D$104,0)+IF(Matching_Engine!$T$42=1,Matching_Engine!$S$42*Lookup_Lists!$D$105,0)+IF(Matching_Engine!$Z$42=1,Matching_Engine!$Y$42*Lookup_Lists!$D$106,0)+IF(Matching_Engine!$AF$42=1,Matching_Engine!$AE$42*Lookup_Lists!$D$107,0)+IF(Matching_Engine!$AN$42=1,Matching_Engine!$AM$42*Lookup_Lists!$D$108,0)+IF(Matching_Engine!$AU$42=1,Matching_Engine!$AT$42*Lookup_Lists!$D$109,0))/Matching_Engine!$AX$42,0))</f>
      </c>
      <c r="AZ42" s="11">
        <f>IF(NOT(ISNUMBER(Matching_Engine!$AY$42)),"Not Scored",IF(Matching_Engine!$AY$42&gt;=Lookup_Lists!$D$152,"Excellent Match",IF(Matching_Engine!$AY$42&gt;=Lookup_Lists!$D$153,"Strong Match",IF(Matching_Engine!$AY$42&gt;=Lookup_Lists!$D$154,"Good Match",IF(Matching_Engine!$AY$42&gt;=Lookup_Lists!$D$155,"Moderate Match","Low Match")))))</f>
      </c>
      <c r="BA42" s="18">
        <f>KOL_Source_Data!$BW$18</f>
      </c>
      <c r="BB42" s="11">
        <f>KOL_Source_Data!$BX$18</f>
      </c>
      <c r="BC42" s="18">
        <f>IF(NOT(ISNUMBER(Matching_Engine!$AY$42)),-1,Matching_Engine!$AY$42*1000+12)</f>
      </c>
      <c r="BD42" s="11">
        <f>IF(AND(ISTEXT(KOL_Source_Data!$S$18),KOL_Source_Data!$S$18&lt;&gt;"N/A"),KOL_Source_Data!$S$18,"")&amp;" | "&amp;IF(AND(ISTEXT(KOL_Source_Data!$T$18),KOL_Source_Data!$T$18&lt;&gt;"N/A"),KOL_Source_Data!$T$18,"")&amp;" | "&amp;IF(AND(ISTEXT(KOL_Source_Data!$N$18),KOL_Source_Data!$N$18&lt;&gt;"N/A"),KOL_Source_Data!$N$18,"")&amp;" | "&amp;IF(AND(ISTEXT(KOL_Source_Data!$K$18),KOL_Source_Data!$K$18&lt;&gt;"N/A"),KOL_Source_Data!$K$18,"")&amp;" | "&amp;IF(AND(ISTEXT(KOL_Source_Data!$J$18),KOL_Source_Data!$J$18&lt;&gt;"N/A"),KOL_Source_Data!$J$18,"")</f>
      </c>
      <c r="BE42" s="11">
        <f>IF(AND(ISTEXT(KOL_Source_Data!$T$18),KOL_Source_Data!$T$18&lt;&gt;"N/A"),KOL_Source_Data!$T$18,"")&amp;" | "&amp;IF(AND(ISTEXT(KOL_Source_Data!$N$18),KOL_Source_Data!$N$18&lt;&gt;"N/A"),KOL_Source_Data!$N$18,"")&amp;" | "&amp;IF(AND(ISTEXT(KOL_Source_Data!$O$18),KOL_Source_Data!$O$18&lt;&gt;"N/A"),KOL_Source_Data!$O$18,"")&amp;" | "&amp;IF(AND(ISTEXT(KOL_Source_Data!$S$18),KOL_Source_Data!$S$18&lt;&gt;"N/A"),KOL_Source_Data!$S$18,"")</f>
      </c>
      <c r="BF42" s="11">
        <f>IF(AND(ISTEXT(KOL_Source_Data!$U$18),KOL_Source_Data!$U$18&lt;&gt;"N/A"),KOL_Source_Data!$U$18,"")</f>
      </c>
      <c r="BG42" s="11">
        <f>Matching_Engine!$A$42&amp;"|"&amp;Matching_Engine!$C$42</f>
      </c>
    </row>
    <row r="43" spans="1:59" x14ac:dyDescent="0.25">
      <c r="A43" s="10" t="s">
        <v>391</v>
      </c>
      <c r="B43" s="11">
        <f>Brand_Profile!$F$6</f>
      </c>
      <c r="C43" s="11">
        <f>KOL_Source_Data!$A$19</f>
      </c>
      <c r="D43" s="11">
        <f>KOL_Source_Data!$C$19</f>
      </c>
      <c r="E43" s="11">
        <f>KOL_Source_Data!$D$19</f>
      </c>
      <c r="F43" s="11">
        <f>KOL_Source_Data!$E$19</f>
      </c>
      <c r="G43" s="11">
        <f>KOL_Source_Data!$K$19</f>
      </c>
      <c r="H43" s="12">
        <f>KOL_Source_Data!$G$19</f>
      </c>
      <c r="I43" s="14">
        <f>KOL_Source_Data!$BG$19</f>
      </c>
      <c r="J43" s="18">
        <f>IF(NOT(AND(ISTEXT(KOL_Source_Data!$K$19),KOL_Source_Data!$K$19&lt;&gt;"N/A")),Lookup_Lists!$D$150,IF(Brand_Profile!$F$7=KOL_Source_Data!$K$19,100,IFERROR(INDEX(Lookup_Lists!$B$349:$J$357,MATCH(Brand_Profile!$F$7,Lookup_Lists!$A$349:$A$357,0),MATCH(KOL_Source_Data!$K$19,Lookup_Lists!$B$348:$J$348,0)),Lookup_Lists!$D$151)))</f>
      </c>
      <c r="K43" s="18">
        <f>IF(LEN(TRIM(SUBSTITUTE(Matching_Engine!$BD$43,"|","")))=0,"N/A",IF(Brand_Profile!$F$47=0,Lookup_Lists!$D$150,ROUND((IF(Brand_Profile!$F$41="",0,IF(ISNUMBER(SEARCH(Brand_Profile!$F$41,Matching_Engine!$BD$43)),1,0))+IF(Brand_Profile!$F$42="",0,IF(ISNUMBER(SEARCH(Brand_Profile!$F$42,Matching_Engine!$BD$43)),1,0))+IF(Brand_Profile!$F$43="",0,IF(ISNUMBER(SEARCH(Brand_Profile!$F$43,Matching_Engine!$BD$43)),1,0))+IF(Brand_Profile!$F$44="",0,IF(ISNUMBER(SEARCH(Brand_Profile!$F$44,Matching_Engine!$BD$43)),1,0))+IF(Brand_Profile!$F$45="",0,IF(ISNUMBER(SEARCH(Brand_Profile!$F$45,Matching_Engine!$BD$43)),1,0))+IF(Brand_Profile!$F$46="",0,IF(ISNUMBER(SEARCH(Brand_Profile!$F$46,Matching_Engine!$BD$43)),1,0)))/Brand_Profile!$F$47*100,0)))</f>
      </c>
      <c r="L43" s="18">
        <f>IF(NOT(AND(ISTEXT(KOL_Source_Data!$U$19),KOL_Source_Data!$U$19&lt;&gt;"N/A")),"N/A",IF(Brand_Profile!$F$53=0,Lookup_Lists!$D$150,ROUND((IF(Brand_Profile!$F$48="",0,IF(ISNUMBER(SEARCH(Brand_Profile!$F$48,Matching_Engine!$BF$43)),1,0))+IF(Brand_Profile!$F$49="",0,IF(ISNUMBER(SEARCH(Brand_Profile!$F$49,Matching_Engine!$BF$43)),1,0))+IF(Brand_Profile!$F$50="",0,IF(ISNUMBER(SEARCH(Brand_Profile!$F$50,Matching_Engine!$BF$43)),1,0))+IF(Brand_Profile!$F$51="",0,IF(ISNUMBER(SEARCH(Brand_Profile!$F$51,Matching_Engine!$BF$43)),1,0))+IF(Brand_Profile!$F$52="",0,IF(ISNUMBER(SEARCH(Brand_Profile!$F$52,Matching_Engine!$BF$43)),1,0)))/Brand_Profile!$F$53*100,0)))</f>
      </c>
      <c r="M43" s="29">
        <f>IF((IF(ISNUMBER(Matching_Engine!$J$43),Lookup_Lists!$D$332,0)+IF(ISNUMBER(Matching_Engine!$K$43),Lookup_Lists!$D$333,0)+IF(ISNUMBER(Matching_Engine!$L$43),Lookup_Lists!$D$334,0))=0,"N/A",ROUND((IF(ISNUMBER(Matching_Engine!$J$43),Matching_Engine!$J$43*Lookup_Lists!$D$332,0)+IF(ISNUMBER(Matching_Engine!$K$43),Matching_Engine!$K$43*Lookup_Lists!$D$333,0)+IF(ISNUMBER(Matching_Engine!$L$43),Matching_Engine!$L$43*Lookup_Lists!$D$334,0))/(IF(ISNUMBER(Matching_Engine!$J$43),Lookup_Lists!$D$332,0)+IF(ISNUMBER(Matching_Engine!$K$43),Lookup_Lists!$D$333,0)+IF(ISNUMBER(Matching_Engine!$L$43),Lookup_Lists!$D$334,0)),0))</f>
      </c>
      <c r="N43" s="11">
        <f>IF(ISNUMBER(Matching_Engine!$M$43),1,0)</f>
      </c>
      <c r="O43" s="18">
        <f>IF(NOT(ISNUMBER(IFERROR(INDEX(KOL_Source_Data!$V$19:KOL_Source_Data!$Z$19,1,MATCH(Brand_Profile!$F$11,Lookup_Lists!$F$6:$F$10,0)),""))),"N/A",MIN(100,ROUND((IFERROR(INDEX(KOL_Source_Data!$V$19:KOL_Source_Data!$Z$19,1,MATCH(Brand_Profile!$F$11,Lookup_Lists!$F$6:$F$10,0)),"")+0.5*IF(ISNUMBER(IFERROR(INDEX(KOL_Source_Data!$V$19:KOL_Source_Data!$Z$19,1,MATCH(Brand_Profile!$F$12,Lookup_Lists!$F$6:$F$10,0)),"")),IFERROR(INDEX(KOL_Source_Data!$V$19:KOL_Source_Data!$Z$19,1,MATCH(Brand_Profile!$F$12,Lookup_Lists!$F$6:$F$10,0)),""),0))/Lookup_Lists!$D$142*100,0)))</f>
      </c>
      <c r="P43" s="18">
        <f>IF(Brand_Profile!$F$13="Any",100,IF(NOT(ISNUMBER(KOL_Source_Data!$AA$19)),"N/A",IF(Brand_Profile!$F$13="Female",MIN(100,ROUND(KOL_Source_Data!$AA$19/Lookup_Lists!$D$143*100,0)),IF(Brand_Profile!$F$13="Male",MIN(100,ROUND(IF(ISNUMBER(KOL_Source_Data!$AB$19),KOL_Source_Data!$AB$19,100-KOL_Source_Data!$AA$19)/Lookup_Lists!$D$143*100,0)),MAX(0,ROUND(100-ABS(KOL_Source_Data!$AA$19-50)*2,0))))))</f>
      </c>
      <c r="Q43" s="18">
        <f>IF((IF(ISNUMBER(IF(NOT(ISNUMBER(KOL_Source_Data!$AE$19)),"N/A",IF(KOL_Source_Data!$AD$19&lt;&gt;Brand_Profile!$F$14,Lookup_Lists!$D$151,MIN(100,ROUND(KOL_Source_Data!$AE$19/Lookup_Lists!$D$316*100,0))))),Lookup_Lists!$D$118,0)+IF(ISNUMBER(IF(NOT(ISNUMBER(KOL_Source_Data!$AM$19)),"N/A",MIN(100,ROUND((IF(KOL_Source_Data!$AG$19=Brand_Profile!$F$15,IF(ISNUMBER(KOL_Source_Data!$AH$19),KOL_Source_Data!$AH$19,0),0)+IF(KOL_Source_Data!$AI$19=Brand_Profile!$F$15,IF(ISNUMBER(KOL_Source_Data!$AJ$19),KOL_Source_Data!$AJ$19,0),0)+IF(KOL_Source_Data!$AK$19=Brand_Profile!$F$15,IF(ISNUMBER(KOL_Source_Data!$AL$19),KOL_Source_Data!$AL$19,0),0))/Lookup_Lists!$D$317*100,0)))),Lookup_Lists!$D$120,0))=0,"N/A",ROUND((IF(ISNUMBER(IF(NOT(ISNUMBER(KOL_Source_Data!$AE$19)),"N/A",IF(KOL_Source_Data!$AD$19&lt;&gt;Brand_Profile!$F$14,Lookup_Lists!$D$151,MIN(100,ROUND(KOL_Source_Data!$AE$19/Lookup_Lists!$D$316*100,0))))),IF(NOT(ISNUMBER(KOL_Source_Data!$AE$19)),"N/A",IF(KOL_Source_Data!$AD$19&lt;&gt;Brand_Profile!$F$14,Lookup_Lists!$D$151,MIN(100,ROUND(KOL_Source_Data!$AE$19/Lookup_Lists!$D$316*100,0))))*Lookup_Lists!$D$118,0)+IF(ISNUMBER(IF(NOT(ISNUMBER(KOL_Source_Data!$AM$19)),"N/A",MIN(100,ROUND((IF(KOL_Source_Data!$AG$19=Brand_Profile!$F$15,IF(ISNUMBER(KOL_Source_Data!$AH$19),KOL_Source_Data!$AH$19,0),0)+IF(KOL_Source_Data!$AI$19=Brand_Profile!$F$15,IF(ISNUMBER(KOL_Source_Data!$AJ$19),KOL_Source_Data!$AJ$19,0),0)+IF(KOL_Source_Data!$AK$19=Brand_Profile!$F$15,IF(ISNUMBER(KOL_Source_Data!$AL$19),KOL_Source_Data!$AL$19,0),0))/Lookup_Lists!$D$317*100,0)))),IF(NOT(ISNUMBER(KOL_Source_Data!$AM$19)),"N/A",MIN(100,ROUND((IF(KOL_Source_Data!$AG$19=Brand_Profile!$F$15,IF(ISNUMBER(KOL_Source_Data!$AH$19),KOL_Source_Data!$AH$19,0),0)+IF(KOL_Source_Data!$AI$19=Brand_Profile!$F$15,IF(ISNUMBER(KOL_Source_Data!$AJ$19),KOL_Source_Data!$AJ$19,0),0)+IF(KOL_Source_Data!$AK$19=Brand_Profile!$F$15,IF(ISNUMBER(KOL_Source_Data!$AL$19),KOL_Source_Data!$AL$19,0),0))/Lookup_Lists!$D$317*100,0)))*Lookup_Lists!$D$120,0))/(IF(ISNUMBER(IF(NOT(ISNUMBER(KOL_Source_Data!$AE$19)),"N/A",IF(KOL_Source_Data!$AD$19&lt;&gt;Brand_Profile!$F$14,Lookup_Lists!$D$151,MIN(100,ROUND(KOL_Source_Data!$AE$19/Lookup_Lists!$D$316*100,0))))),Lookup_Lists!$D$118,0)+IF(ISNUMBER(IF(NOT(ISNUMBER(KOL_Source_Data!$AM$19)),"N/A",MIN(100,ROUND((IF(KOL_Source_Data!$AG$19=Brand_Profile!$F$15,IF(ISNUMBER(KOL_Source_Data!$AH$19),KOL_Source_Data!$AH$19,0),0)+IF(KOL_Source_Data!$AI$19=Brand_Profile!$F$15,IF(ISNUMBER(KOL_Source_Data!$AJ$19),KOL_Source_Data!$AJ$19,0),0)+IF(KOL_Source_Data!$AK$19=Brand_Profile!$F$15,IF(ISNUMBER(KOL_Source_Data!$AL$19),KOL_Source_Data!$AL$19,0),0))/Lookup_Lists!$D$317*100,0)))),Lookup_Lists!$D$120,0)),0))</f>
      </c>
      <c r="R43" s="18">
        <f>IF(NOT(ISNUMBER(KOL_Source_Data!$AN$19)),"N/A",MIN(100,ROUND((IF(ISNUMBER(KOL_Source_Data!$AO$19),KOL_Source_Data!$AO$19*Brand_Profile!$F$17,0)+IF(ISNUMBER(KOL_Source_Data!$AP$19),KOL_Source_Data!$AP$19*Brand_Profile!$F$18,0)+IF(ISNUMBER(KOL_Source_Data!$AQ$19),KOL_Source_Data!$AQ$19*Brand_Profile!$F$19,0)+IF(ISNUMBER(KOL_Source_Data!$AR$19),KOL_Source_Data!$AR$19*Brand_Profile!$F$20,0)+IF(ISNUMBER(KOL_Source_Data!$AS$19),KOL_Source_Data!$AS$19*Brand_Profile!$F$21,0)+IF(ISNUMBER(KOL_Source_Data!$AT$19),KOL_Source_Data!$AT$19*Brand_Profile!$F$22,0)+IF(ISNUMBER(KOL_Source_Data!$AU$19),KOL_Source_Data!$AU$19*Brand_Profile!$F$23,0)+IF(ISNUMBER(KOL_Source_Data!$AV$19),KOL_Source_Data!$AV$19*Brand_Profile!$F$24,0)+IF(ISNUMBER(KOL_Source_Data!$AW$19),KOL_Source_Data!$AW$19*Brand_Profile!$F$25,0)+IF(ISNUMBER(KOL_Source_Data!$AX$19),KOL_Source_Data!$AX$19*Brand_Profile!$F$26,0)+IF(ISNUMBER(KOL_Source_Data!$AY$19),KOL_Source_Data!$AY$19*Brand_Profile!$F$27,0)+IF(ISNUMBER(KOL_Source_Data!$AZ$19),KOL_Source_Data!$AZ$19*Brand_Profile!$F$28,0)+IF(ISNUMBER(KOL_Source_Data!$BA$19),KOL_Source_Data!$BA$19*Brand_Profile!$F$29,0)+IF(ISNUMBER(KOL_Source_Data!$BB$19),KOL_Source_Data!$BB$19*Brand_Profile!$F$30,0)+IF(ISNUMBER(KOL_Source_Data!$BC$19),KOL_Source_Data!$BC$19*Brand_Profile!$F$31,0)+IF(ISNUMBER(KOL_Source_Data!$BD$19),KOL_Source_Data!$BD$19*Brand_Profile!$F$32,0)+IF(ISNUMBER(KOL_Source_Data!$BE$19),KOL_Source_Data!$BE$19*Brand_Profile!$F$33,0)+IF(ISNUMBER(KOL_Source_Data!$BF$19),KOL_Source_Data!$BF$19*Brand_Profile!$F$34,0))/Lookup_Lists!$D$318*100,0)))</f>
      </c>
      <c r="S43" s="29">
        <f>IF((IF(ISNUMBER(Matching_Engine!$O$43),Lookup_Lists!$D$113,0)+IF(ISNUMBER(Matching_Engine!$P$43),Lookup_Lists!$D$114,0)+IF(ISNUMBER(Matching_Engine!$Q$43),Lookup_Lists!$D$115,0)+IF(ISNUMBER(Matching_Engine!$R$43),Lookup_Lists!$D$116,0))=0,"N/A",ROUND((IF(ISNUMBER(Matching_Engine!$O$43),Matching_Engine!$O$43*Lookup_Lists!$D$113,0)+IF(ISNUMBER(Matching_Engine!$P$43),Matching_Engine!$P$43*Lookup_Lists!$D$114,0)+IF(ISNUMBER(Matching_Engine!$Q$43),Matching_Engine!$Q$43*Lookup_Lists!$D$115,0)+IF(ISNUMBER(Matching_Engine!$R$43),Matching_Engine!$R$43*Lookup_Lists!$D$116,0))/(IF(ISNUMBER(Matching_Engine!$O$43),Lookup_Lists!$D$113,0)+IF(ISNUMBER(Matching_Engine!$P$43),Lookup_Lists!$D$114,0)+IF(ISNUMBER(Matching_Engine!$Q$43),Lookup_Lists!$D$115,0)+IF(ISNUMBER(Matching_Engine!$R$43),Lookup_Lists!$D$116,0)),0))</f>
      </c>
      <c r="T43" s="11">
        <f>IF(ISNUMBER(Matching_Engine!$S$43),1,0)</f>
      </c>
      <c r="U43" s="18">
        <f>IF(NOT(AND(ISTEXT(KOL_Source_Data!$M$19),KOL_Source_Data!$M$19&lt;&gt;"N/A")),Lookup_Lists!$D$150,IF(Brand_Profile!$F$7=KOL_Source_Data!$M$19,100,IFERROR(INDEX(Lookup_Lists!$B$349:$J$357,MATCH(Brand_Profile!$F$7,Lookup_Lists!$A$349:$A$357,0),MATCH(KOL_Source_Data!$M$19,Lookup_Lists!$B$348:$J$348,0)),Lookup_Lists!$D$151)))</f>
      </c>
      <c r="V43" s="18">
        <f>IF(NOT(AND(ISTEXT(KOL_Source_Data!$P$19),KOL_Source_Data!$P$19&lt;&gt;"N/A")),"N/A",IFERROR(INDEX(Lookup_Lists!$B$349:$J$357,MATCH(Brand_Profile!$F$7,Lookup_Lists!$A$349:$A$357,0),MATCH(KOL_Source_Data!$P$19,Lookup_Lists!$B$348:$J$348,0)),Lookup_Lists!$D$151))</f>
      </c>
      <c r="W43" s="18">
        <f>IF(LEN(TRIM(SUBSTITUTE(Matching_Engine!$BE$43,"|","")))=0,"N/A",IF(Brand_Profile!$F$60=0,Lookup_Lists!$D$150,ROUND((IF(Brand_Profile!$F$54="",0,IF(ISNUMBER(SEARCH(Brand_Profile!$F$54,Matching_Engine!$BE$43)),1,0))+IF(Brand_Profile!$F$55="",0,IF(ISNUMBER(SEARCH(Brand_Profile!$F$55,Matching_Engine!$BE$43)),1,0))+IF(Brand_Profile!$F$56="",0,IF(ISNUMBER(SEARCH(Brand_Profile!$F$56,Matching_Engine!$BE$43)),1,0))+IF(Brand_Profile!$F$57="",0,IF(ISNUMBER(SEARCH(Brand_Profile!$F$57,Matching_Engine!$BE$43)),1,0))+IF(Brand_Profile!$F$58="",0,IF(ISNUMBER(SEARCH(Brand_Profile!$F$58,Matching_Engine!$BE$43)),1,0))+IF(Brand_Profile!$F$59="",0,IF(ISNUMBER(SEARCH(Brand_Profile!$F$59,Matching_Engine!$BE$43)),1,0)))/Brand_Profile!$F$60*100,0)))</f>
      </c>
      <c r="X43" s="18">
        <f>IF(NOT(AND(ISTEXT(KOL_Source_Data!$Q$19),KOL_Source_Data!$Q$19&lt;&gt;"N/A")),"N/A",Lookup_Lists!$D$150)</f>
      </c>
      <c r="Y43" s="29">
        <f>IF((IF(ISNUMBER(Matching_Engine!$U$43),Lookup_Lists!$D$335,0)+IF(ISNUMBER(Matching_Engine!$V$43),Lookup_Lists!$D$122,0)+IF(ISNUMBER(Matching_Engine!$W$43),Lookup_Lists!$D$336,0)+IF(ISNUMBER(Matching_Engine!$X$43),Lookup_Lists!$D$124,0))=0,"N/A",ROUND((IF(ISNUMBER(Matching_Engine!$U$43),Matching_Engine!$U$43*Lookup_Lists!$D$335,0)+IF(ISNUMBER(Matching_Engine!$V$43),Matching_Engine!$V$43*Lookup_Lists!$D$122,0)+IF(ISNUMBER(Matching_Engine!$W$43),Matching_Engine!$W$43*Lookup_Lists!$D$336,0)+IF(ISNUMBER(Matching_Engine!$X$43),Matching_Engine!$X$43*Lookup_Lists!$D$124,0))/(IF(ISNUMBER(Matching_Engine!$U$43),Lookup_Lists!$D$335,0)+IF(ISNUMBER(Matching_Engine!$V$43),Lookup_Lists!$D$122,0)+IF(ISNUMBER(Matching_Engine!$W$43),Lookup_Lists!$D$336,0)+IF(ISNUMBER(Matching_Engine!$X$43),Lookup_Lists!$D$124,0)),0))</f>
      </c>
      <c r="Z43" s="11">
        <f>IF(ISNUMBER(Matching_Engine!$Y$43),1,0)</f>
      </c>
      <c r="AA43" s="18">
        <f>IF(NOT(AND(ISTEXT(KOL_Source_Data!$Q$19),KOL_Source_Data!$Q$19&lt;&gt;"N/A")),"N/A",Lookup_Lists!$D$150)</f>
      </c>
      <c r="AB43" s="18">
        <f>IF(NOT(AND(ISTEXT(KOL_Source_Data!$Q$19),KOL_Source_Data!$Q$19&lt;&gt;"N/A")),"N/A",Lookup_Lists!$D$150)</f>
      </c>
      <c r="AC43" s="18">
        <f>"N/A"</f>
      </c>
      <c r="AD43" s="18">
        <f>IF(NOT(AND(ISTEXT(KOL_Source_Data!$Q$19),KOL_Source_Data!$Q$19&lt;&gt;"N/A")),"N/A",Lookup_Lists!$D$150)</f>
      </c>
      <c r="AE43" s="29">
        <f>IF((IF(ISNUMBER(Matching_Engine!$AA$43),Lookup_Lists!$D$125,0)+IF(ISNUMBER(Matching_Engine!$AB$43),Lookup_Lists!$D$126,0)+IF(ISNUMBER(Matching_Engine!$AC$43),Lookup_Lists!$D$127,0)+IF(ISNUMBER(Matching_Engine!$AD$43),Lookup_Lists!$D$128,0))=0,"N/A",ROUND((IF(ISNUMBER(Matching_Engine!$AA$43),Matching_Engine!$AA$43*Lookup_Lists!$D$125,0)+IF(ISNUMBER(Matching_Engine!$AB$43),Matching_Engine!$AB$43*Lookup_Lists!$D$126,0)+IF(ISNUMBER(Matching_Engine!$AC$43),Matching_Engine!$AC$43*Lookup_Lists!$D$127,0)+IF(ISNUMBER(Matching_Engine!$AD$43),Matching_Engine!$AD$43*Lookup_Lists!$D$128,0))/(IF(ISNUMBER(Matching_Engine!$AA$43),Lookup_Lists!$D$125,0)+IF(ISNUMBER(Matching_Engine!$AB$43),Lookup_Lists!$D$126,0)+IF(ISNUMBER(Matching_Engine!$AC$43),Lookup_Lists!$D$127,0)+IF(ISNUMBER(Matching_Engine!$AD$43),Lookup_Lists!$D$128,0)),0))</f>
      </c>
      <c r="AF43" s="11">
        <f>IF(ISNUMBER(Matching_Engine!$AE$43),1,0)</f>
      </c>
      <c r="AG43" s="18">
        <f>IF(NOT(ISNUMBER(KOL_Source_Data!$BG$19)),"N/A",MIN(100,ROUND(KOL_Source_Data!$BG$19/IFERROR(INDEX(Lookup_Lists!$B$340:$B$344,MATCH(KOL_Source_Data!$H$19,Lookup_Lists!$A$340:$A$344,0)),Lookup_Lists!$D$141)*100,0)))</f>
      </c>
      <c r="AH43" s="18">
        <f>IF(NOT(ISNUMBER(KOL_Source_Data!$BS$19)),"N/A",MIN(100,MAX(0,KOL_Source_Data!$BS$19)))</f>
      </c>
      <c r="AI43" s="18">
        <f>IF(OR(NOT(ISNUMBER(KOL_Source_Data!$BM$19)),NOT(ISNUMBER(KOL_Source_Data!$BN$19)),KOL_Source_Data!$BN$19&lt;Lookup_Lists!$D$320),"N/A",MIN(100,ROUND(KOL_Source_Data!$BM$19/Lookup_Lists!$D$319*100,0)))</f>
      </c>
      <c r="AJ43" s="18">
        <f>IF(NOT(ISNUMBER(KOL_Source_Data!$BR$19)),"N/A",KOL_Source_Data!$BR$19)</f>
      </c>
      <c r="AK43" s="18">
        <f>IF(NOT(ISNUMBER(KOL_Source_Data!$BK$19)),"N/A",MIN(100,ROUND(KOL_Source_Data!$BK$19/Lookup_Lists!$D$321*100,0)))</f>
      </c>
      <c r="AL43" s="18">
        <f>IF(NOT(ISNUMBER(KOL_Source_Data!$BP$19)),"N/A",MIN(100,MAX(0,ROUND((KOL_Source_Data!$BP$19+2)/(Lookup_Lists!$D$145+2)*100,0))))</f>
      </c>
      <c r="AM43" s="29">
        <f>IF((IF(ISNUMBER(Matching_Engine!$AG$43),Lookup_Lists!$D$129,0)+IF(ISNUMBER(Matching_Engine!$AH$43),Lookup_Lists!$D$130,0)+IF(ISNUMBER(Matching_Engine!$AI$43),Lookup_Lists!$D$131,0)+IF(ISNUMBER(Matching_Engine!$AJ$43),Lookup_Lists!$D$132,0)+IF(ISNUMBER(Matching_Engine!$AK$43),Lookup_Lists!$D$133,0)+IF(ISNUMBER(Matching_Engine!$AL$43),Lookup_Lists!$D$134,0))=0,"N/A",ROUND((IF(ISNUMBER(Matching_Engine!$AG$43),Matching_Engine!$AG$43*Lookup_Lists!$D$129,0)+IF(ISNUMBER(Matching_Engine!$AH$43),Matching_Engine!$AH$43*Lookup_Lists!$D$130,0)+IF(ISNUMBER(Matching_Engine!$AI$43),Matching_Engine!$AI$43*Lookup_Lists!$D$131,0)+IF(ISNUMBER(Matching_Engine!$AJ$43),Matching_Engine!$AJ$43*Lookup_Lists!$D$132,0)+IF(ISNUMBER(Matching_Engine!$AK$43),Matching_Engine!$AK$43*Lookup_Lists!$D$133,0)+IF(ISNUMBER(Matching_Engine!$AL$43),Matching_Engine!$AL$43*Lookup_Lists!$D$134,0))/(IF(ISNUMBER(Matching_Engine!$AG$43),Lookup_Lists!$D$129,0)+IF(ISNUMBER(Matching_Engine!$AH$43),Lookup_Lists!$D$130,0)+IF(ISNUMBER(Matching_Engine!$AI$43),Lookup_Lists!$D$131,0)+IF(ISNUMBER(Matching_Engine!$AJ$43),Lookup_Lists!$D$132,0)+IF(ISNUMBER(Matching_Engine!$AK$43),Lookup_Lists!$D$133,0)+IF(ISNUMBER(Matching_Engine!$AL$43),Lookup_Lists!$D$134,0)),0))</f>
      </c>
      <c r="AN43" s="11">
        <f>IF(ISNUMBER(Matching_Engine!$AM$43),1,0)</f>
      </c>
      <c r="AO43" s="18">
        <f>IF(NOT(ISNUMBER(KOL_Source_Data!$BT$19)),"N/A",MIN(100,MAX(0,KOL_Source_Data!$BT$19)))</f>
      </c>
      <c r="AP43" s="18">
        <f>IF(NOT(ISNUMBER(KOL_Source_Data!$BU$19)),"N/A",MIN(100,MAX(0,KOL_Source_Data!$BU$19)))</f>
      </c>
      <c r="AQ43" s="18">
        <f>IF(KOL_Source_Data!$I$19="Yes",Lookup_Lists!$D$326,IF(KOL_Source_Data!$I$19="No",Lookup_Lists!$D$327,"N/A"))</f>
      </c>
      <c r="AR43" s="18">
        <f>IF(NOT(ISNUMBER(KOL_Source_Data!$BQ$19)),"N/A",MAX(0,ROUND(100-KOL_Source_Data!$BQ$19/Lookup_Lists!$D$328*100,0)))</f>
      </c>
      <c r="AS43" s="18">
        <f>IF(NOT(AND(ISTEXT(KOL_Source_Data!$BV$19),KOL_Source_Data!$BV$19&lt;&gt;"N/A")),"N/A",KOL_Source_Data!$BV$19)</f>
      </c>
      <c r="AT43" s="29">
        <f>IF((IF(ISNUMBER(Matching_Engine!$AO$43),Lookup_Lists!$D$322,0)+IF(ISNUMBER(Matching_Engine!$AP$43),Lookup_Lists!$D$323,0)+IF(ISNUMBER(Matching_Engine!$AQ$43),Lookup_Lists!$D$324,0)+IF(ISNUMBER(Matching_Engine!$AR$43),Lookup_Lists!$D$325,0))=0,"N/A",ROUND((IF(ISNUMBER(Matching_Engine!$AO$43),Matching_Engine!$AO$43*Lookup_Lists!$D$322,0)+IF(ISNUMBER(Matching_Engine!$AP$43),Matching_Engine!$AP$43*Lookup_Lists!$D$323,0)+IF(ISNUMBER(Matching_Engine!$AQ$43),Matching_Engine!$AQ$43*Lookup_Lists!$D$324,0)+IF(ISNUMBER(Matching_Engine!$AR$43),Matching_Engine!$AR$43*Lookup_Lists!$D$325,0))/(IF(ISNUMBER(Matching_Engine!$AO$43),Lookup_Lists!$D$322,0)+IF(ISNUMBER(Matching_Engine!$AP$43),Lookup_Lists!$D$323,0)+IF(ISNUMBER(Matching_Engine!$AQ$43),Lookup_Lists!$D$324,0)+IF(ISNUMBER(Matching_Engine!$AR$43),Lookup_Lists!$D$325,0)),0))</f>
      </c>
      <c r="AU43" s="11">
        <f>IF(ISNUMBER(Matching_Engine!$AT$43),1,0)</f>
      </c>
      <c r="AV43" s="11">
        <f>IF(NOT(ISNUMBER(Matching_Engine!$AT$43)),"Not Screened",IF(Matching_Engine!$AT$43&gt;=Lookup_Lists!$D$329,"Low Risk",IF(Matching_Engine!$AT$43&gt;=Lookup_Lists!$D$330,"Moderate Risk",IF(Matching_Engine!$AT$43&gt;=Lookup_Lists!$D$331,"Elevated Risk","High Risk"))))</f>
      </c>
      <c r="AW43" s="11">
        <f>IF(NOT(ISNUMBER(Matching_Engine!$AT$43)),"No integrity signal: no audience-analysis row for this account.","Integrity screen only — no content-risk reading exists (comments_analysis: 0 rows). "&amp;IF(ISNUMBER(Matching_Engine!$AO$43),"Authenticity "&amp;Matching_Engine!$AO$43&amp;". ","Authenticity N/A. ")&amp;IF(ISNUMBER(Matching_Engine!$AP$43),"Follower quality "&amp;Matching_Engine!$AP$43&amp;". ","Follower quality N/A. ")&amp;IF(KOL_Source_Data!$I$19="Yes","Platform-verified.","Not platform-verified."))</f>
      </c>
      <c r="AX43" s="18">
        <f>Matching_Engine!$N$43*Lookup_Lists!$D$104+Matching_Engine!$T$43*Lookup_Lists!$D$105+Matching_Engine!$Z$43*Lookup_Lists!$D$106+Matching_Engine!$AF$43*Lookup_Lists!$D$107+Matching_Engine!$AN$43*Lookup_Lists!$D$108+Matching_Engine!$AU$43*Lookup_Lists!$D$109</f>
      </c>
      <c r="AY43" s="30">
        <f>IF(Matching_Engine!$AX$43=0,"N/A",ROUND((IF(Matching_Engine!$N$43=1,Matching_Engine!$M$43*Lookup_Lists!$D$104,0)+IF(Matching_Engine!$T$43=1,Matching_Engine!$S$43*Lookup_Lists!$D$105,0)+IF(Matching_Engine!$Z$43=1,Matching_Engine!$Y$43*Lookup_Lists!$D$106,0)+IF(Matching_Engine!$AF$43=1,Matching_Engine!$AE$43*Lookup_Lists!$D$107,0)+IF(Matching_Engine!$AN$43=1,Matching_Engine!$AM$43*Lookup_Lists!$D$108,0)+IF(Matching_Engine!$AU$43=1,Matching_Engine!$AT$43*Lookup_Lists!$D$109,0))/Matching_Engine!$AX$43,0))</f>
      </c>
      <c r="AZ43" s="11">
        <f>IF(NOT(ISNUMBER(Matching_Engine!$AY$43)),"Not Scored",IF(Matching_Engine!$AY$43&gt;=Lookup_Lists!$D$152,"Excellent Match",IF(Matching_Engine!$AY$43&gt;=Lookup_Lists!$D$153,"Strong Match",IF(Matching_Engine!$AY$43&gt;=Lookup_Lists!$D$154,"Good Match",IF(Matching_Engine!$AY$43&gt;=Lookup_Lists!$D$155,"Moderate Match","Low Match")))))</f>
      </c>
      <c r="BA43" s="18">
        <f>KOL_Source_Data!$BW$19</f>
      </c>
      <c r="BB43" s="11">
        <f>KOL_Source_Data!$BX$19</f>
      </c>
      <c r="BC43" s="18">
        <f>IF(NOT(ISNUMBER(Matching_Engine!$AY$43)),-1,Matching_Engine!$AY$43*1000+11)</f>
      </c>
      <c r="BD43" s="11">
        <f>IF(AND(ISTEXT(KOL_Source_Data!$S$19),KOL_Source_Data!$S$19&lt;&gt;"N/A"),KOL_Source_Data!$S$19,"")&amp;" | "&amp;IF(AND(ISTEXT(KOL_Source_Data!$T$19),KOL_Source_Data!$T$19&lt;&gt;"N/A"),KOL_Source_Data!$T$19,"")&amp;" | "&amp;IF(AND(ISTEXT(KOL_Source_Data!$N$19),KOL_Source_Data!$N$19&lt;&gt;"N/A"),KOL_Source_Data!$N$19,"")&amp;" | "&amp;IF(AND(ISTEXT(KOL_Source_Data!$K$19),KOL_Source_Data!$K$19&lt;&gt;"N/A"),KOL_Source_Data!$K$19,"")&amp;" | "&amp;IF(AND(ISTEXT(KOL_Source_Data!$J$19),KOL_Source_Data!$J$19&lt;&gt;"N/A"),KOL_Source_Data!$J$19,"")</f>
      </c>
      <c r="BE43" s="11">
        <f>IF(AND(ISTEXT(KOL_Source_Data!$T$19),KOL_Source_Data!$T$19&lt;&gt;"N/A"),KOL_Source_Data!$T$19,"")&amp;" | "&amp;IF(AND(ISTEXT(KOL_Source_Data!$N$19),KOL_Source_Data!$N$19&lt;&gt;"N/A"),KOL_Source_Data!$N$19,"")&amp;" | "&amp;IF(AND(ISTEXT(KOL_Source_Data!$O$19),KOL_Source_Data!$O$19&lt;&gt;"N/A"),KOL_Source_Data!$O$19,"")&amp;" | "&amp;IF(AND(ISTEXT(KOL_Source_Data!$S$19),KOL_Source_Data!$S$19&lt;&gt;"N/A"),KOL_Source_Data!$S$19,"")</f>
      </c>
      <c r="BF43" s="11">
        <f>IF(AND(ISTEXT(KOL_Source_Data!$U$19),KOL_Source_Data!$U$19&lt;&gt;"N/A"),KOL_Source_Data!$U$19,"")</f>
      </c>
      <c r="BG43" s="11">
        <f>Matching_Engine!$A$43&amp;"|"&amp;Matching_Engine!$C$43</f>
      </c>
    </row>
    <row r="44" spans="1:59" x14ac:dyDescent="0.25">
      <c r="A44" s="10" t="s">
        <v>391</v>
      </c>
      <c r="B44" s="11">
        <f>Brand_Profile!$F$6</f>
      </c>
      <c r="C44" s="11">
        <f>KOL_Source_Data!$A$20</f>
      </c>
      <c r="D44" s="11">
        <f>KOL_Source_Data!$C$20</f>
      </c>
      <c r="E44" s="11">
        <f>KOL_Source_Data!$D$20</f>
      </c>
      <c r="F44" s="11">
        <f>KOL_Source_Data!$E$20</f>
      </c>
      <c r="G44" s="11">
        <f>KOL_Source_Data!$K$20</f>
      </c>
      <c r="H44" s="12">
        <f>KOL_Source_Data!$G$20</f>
      </c>
      <c r="I44" s="14">
        <f>KOL_Source_Data!$BG$20</f>
      </c>
      <c r="J44" s="18">
        <f>IF(NOT(AND(ISTEXT(KOL_Source_Data!$K$20),KOL_Source_Data!$K$20&lt;&gt;"N/A")),Lookup_Lists!$D$150,IF(Brand_Profile!$F$7=KOL_Source_Data!$K$20,100,IFERROR(INDEX(Lookup_Lists!$B$349:$J$357,MATCH(Brand_Profile!$F$7,Lookup_Lists!$A$349:$A$357,0),MATCH(KOL_Source_Data!$K$20,Lookup_Lists!$B$348:$J$348,0)),Lookup_Lists!$D$151)))</f>
      </c>
      <c r="K44" s="18">
        <f>IF(LEN(TRIM(SUBSTITUTE(Matching_Engine!$BD$44,"|","")))=0,"N/A",IF(Brand_Profile!$F$47=0,Lookup_Lists!$D$150,ROUND((IF(Brand_Profile!$F$41="",0,IF(ISNUMBER(SEARCH(Brand_Profile!$F$41,Matching_Engine!$BD$44)),1,0))+IF(Brand_Profile!$F$42="",0,IF(ISNUMBER(SEARCH(Brand_Profile!$F$42,Matching_Engine!$BD$44)),1,0))+IF(Brand_Profile!$F$43="",0,IF(ISNUMBER(SEARCH(Brand_Profile!$F$43,Matching_Engine!$BD$44)),1,0))+IF(Brand_Profile!$F$44="",0,IF(ISNUMBER(SEARCH(Brand_Profile!$F$44,Matching_Engine!$BD$44)),1,0))+IF(Brand_Profile!$F$45="",0,IF(ISNUMBER(SEARCH(Brand_Profile!$F$45,Matching_Engine!$BD$44)),1,0))+IF(Brand_Profile!$F$46="",0,IF(ISNUMBER(SEARCH(Brand_Profile!$F$46,Matching_Engine!$BD$44)),1,0)))/Brand_Profile!$F$47*100,0)))</f>
      </c>
      <c r="L44" s="18">
        <f>IF(NOT(AND(ISTEXT(KOL_Source_Data!$U$20),KOL_Source_Data!$U$20&lt;&gt;"N/A")),"N/A",IF(Brand_Profile!$F$53=0,Lookup_Lists!$D$150,ROUND((IF(Brand_Profile!$F$48="",0,IF(ISNUMBER(SEARCH(Brand_Profile!$F$48,Matching_Engine!$BF$44)),1,0))+IF(Brand_Profile!$F$49="",0,IF(ISNUMBER(SEARCH(Brand_Profile!$F$49,Matching_Engine!$BF$44)),1,0))+IF(Brand_Profile!$F$50="",0,IF(ISNUMBER(SEARCH(Brand_Profile!$F$50,Matching_Engine!$BF$44)),1,0))+IF(Brand_Profile!$F$51="",0,IF(ISNUMBER(SEARCH(Brand_Profile!$F$51,Matching_Engine!$BF$44)),1,0))+IF(Brand_Profile!$F$52="",0,IF(ISNUMBER(SEARCH(Brand_Profile!$F$52,Matching_Engine!$BF$44)),1,0)))/Brand_Profile!$F$53*100,0)))</f>
      </c>
      <c r="M44" s="29">
        <f>IF((IF(ISNUMBER(Matching_Engine!$J$44),Lookup_Lists!$D$332,0)+IF(ISNUMBER(Matching_Engine!$K$44),Lookup_Lists!$D$333,0)+IF(ISNUMBER(Matching_Engine!$L$44),Lookup_Lists!$D$334,0))=0,"N/A",ROUND((IF(ISNUMBER(Matching_Engine!$J$44),Matching_Engine!$J$44*Lookup_Lists!$D$332,0)+IF(ISNUMBER(Matching_Engine!$K$44),Matching_Engine!$K$44*Lookup_Lists!$D$333,0)+IF(ISNUMBER(Matching_Engine!$L$44),Matching_Engine!$L$44*Lookup_Lists!$D$334,0))/(IF(ISNUMBER(Matching_Engine!$J$44),Lookup_Lists!$D$332,0)+IF(ISNUMBER(Matching_Engine!$K$44),Lookup_Lists!$D$333,0)+IF(ISNUMBER(Matching_Engine!$L$44),Lookup_Lists!$D$334,0)),0))</f>
      </c>
      <c r="N44" s="11">
        <f>IF(ISNUMBER(Matching_Engine!$M$44),1,0)</f>
      </c>
      <c r="O44" s="18">
        <f>IF(NOT(ISNUMBER(IFERROR(INDEX(KOL_Source_Data!$V$20:KOL_Source_Data!$Z$20,1,MATCH(Brand_Profile!$F$11,Lookup_Lists!$F$6:$F$10,0)),""))),"N/A",MIN(100,ROUND((IFERROR(INDEX(KOL_Source_Data!$V$20:KOL_Source_Data!$Z$20,1,MATCH(Brand_Profile!$F$11,Lookup_Lists!$F$6:$F$10,0)),"")+0.5*IF(ISNUMBER(IFERROR(INDEX(KOL_Source_Data!$V$20:KOL_Source_Data!$Z$20,1,MATCH(Brand_Profile!$F$12,Lookup_Lists!$F$6:$F$10,0)),"")),IFERROR(INDEX(KOL_Source_Data!$V$20:KOL_Source_Data!$Z$20,1,MATCH(Brand_Profile!$F$12,Lookup_Lists!$F$6:$F$10,0)),""),0))/Lookup_Lists!$D$142*100,0)))</f>
      </c>
      <c r="P44" s="18">
        <f>IF(Brand_Profile!$F$13="Any",100,IF(NOT(ISNUMBER(KOL_Source_Data!$AA$20)),"N/A",IF(Brand_Profile!$F$13="Female",MIN(100,ROUND(KOL_Source_Data!$AA$20/Lookup_Lists!$D$143*100,0)),IF(Brand_Profile!$F$13="Male",MIN(100,ROUND(IF(ISNUMBER(KOL_Source_Data!$AB$20),KOL_Source_Data!$AB$20,100-KOL_Source_Data!$AA$20)/Lookup_Lists!$D$143*100,0)),MAX(0,ROUND(100-ABS(KOL_Source_Data!$AA$20-50)*2,0))))))</f>
      </c>
      <c r="Q44" s="18">
        <f>IF((IF(ISNUMBER(IF(NOT(ISNUMBER(KOL_Source_Data!$AE$20)),"N/A",IF(KOL_Source_Data!$AD$20&lt;&gt;Brand_Profile!$F$14,Lookup_Lists!$D$151,MIN(100,ROUND(KOL_Source_Data!$AE$20/Lookup_Lists!$D$316*100,0))))),Lookup_Lists!$D$118,0)+IF(ISNUMBER(IF(NOT(ISNUMBER(KOL_Source_Data!$AM$20)),"N/A",MIN(100,ROUND((IF(KOL_Source_Data!$AG$20=Brand_Profile!$F$15,IF(ISNUMBER(KOL_Source_Data!$AH$20),KOL_Source_Data!$AH$20,0),0)+IF(KOL_Source_Data!$AI$20=Brand_Profile!$F$15,IF(ISNUMBER(KOL_Source_Data!$AJ$20),KOL_Source_Data!$AJ$20,0),0)+IF(KOL_Source_Data!$AK$20=Brand_Profile!$F$15,IF(ISNUMBER(KOL_Source_Data!$AL$20),KOL_Source_Data!$AL$20,0),0))/Lookup_Lists!$D$317*100,0)))),Lookup_Lists!$D$120,0))=0,"N/A",ROUND((IF(ISNUMBER(IF(NOT(ISNUMBER(KOL_Source_Data!$AE$20)),"N/A",IF(KOL_Source_Data!$AD$20&lt;&gt;Brand_Profile!$F$14,Lookup_Lists!$D$151,MIN(100,ROUND(KOL_Source_Data!$AE$20/Lookup_Lists!$D$316*100,0))))),IF(NOT(ISNUMBER(KOL_Source_Data!$AE$20)),"N/A",IF(KOL_Source_Data!$AD$20&lt;&gt;Brand_Profile!$F$14,Lookup_Lists!$D$151,MIN(100,ROUND(KOL_Source_Data!$AE$20/Lookup_Lists!$D$316*100,0))))*Lookup_Lists!$D$118,0)+IF(ISNUMBER(IF(NOT(ISNUMBER(KOL_Source_Data!$AM$20)),"N/A",MIN(100,ROUND((IF(KOL_Source_Data!$AG$20=Brand_Profile!$F$15,IF(ISNUMBER(KOL_Source_Data!$AH$20),KOL_Source_Data!$AH$20,0),0)+IF(KOL_Source_Data!$AI$20=Brand_Profile!$F$15,IF(ISNUMBER(KOL_Source_Data!$AJ$20),KOL_Source_Data!$AJ$20,0),0)+IF(KOL_Source_Data!$AK$20=Brand_Profile!$F$15,IF(ISNUMBER(KOL_Source_Data!$AL$20),KOL_Source_Data!$AL$20,0),0))/Lookup_Lists!$D$317*100,0)))),IF(NOT(ISNUMBER(KOL_Source_Data!$AM$20)),"N/A",MIN(100,ROUND((IF(KOL_Source_Data!$AG$20=Brand_Profile!$F$15,IF(ISNUMBER(KOL_Source_Data!$AH$20),KOL_Source_Data!$AH$20,0),0)+IF(KOL_Source_Data!$AI$20=Brand_Profile!$F$15,IF(ISNUMBER(KOL_Source_Data!$AJ$20),KOL_Source_Data!$AJ$20,0),0)+IF(KOL_Source_Data!$AK$20=Brand_Profile!$F$15,IF(ISNUMBER(KOL_Source_Data!$AL$20),KOL_Source_Data!$AL$20,0),0))/Lookup_Lists!$D$317*100,0)))*Lookup_Lists!$D$120,0))/(IF(ISNUMBER(IF(NOT(ISNUMBER(KOL_Source_Data!$AE$20)),"N/A",IF(KOL_Source_Data!$AD$20&lt;&gt;Brand_Profile!$F$14,Lookup_Lists!$D$151,MIN(100,ROUND(KOL_Source_Data!$AE$20/Lookup_Lists!$D$316*100,0))))),Lookup_Lists!$D$118,0)+IF(ISNUMBER(IF(NOT(ISNUMBER(KOL_Source_Data!$AM$20)),"N/A",MIN(100,ROUND((IF(KOL_Source_Data!$AG$20=Brand_Profile!$F$15,IF(ISNUMBER(KOL_Source_Data!$AH$20),KOL_Source_Data!$AH$20,0),0)+IF(KOL_Source_Data!$AI$20=Brand_Profile!$F$15,IF(ISNUMBER(KOL_Source_Data!$AJ$20),KOL_Source_Data!$AJ$20,0),0)+IF(KOL_Source_Data!$AK$20=Brand_Profile!$F$15,IF(ISNUMBER(KOL_Source_Data!$AL$20),KOL_Source_Data!$AL$20,0),0))/Lookup_Lists!$D$317*100,0)))),Lookup_Lists!$D$120,0)),0))</f>
      </c>
      <c r="R44" s="18">
        <f>IF(NOT(ISNUMBER(KOL_Source_Data!$AN$20)),"N/A",MIN(100,ROUND((IF(ISNUMBER(KOL_Source_Data!$AO$20),KOL_Source_Data!$AO$20*Brand_Profile!$F$17,0)+IF(ISNUMBER(KOL_Source_Data!$AP$20),KOL_Source_Data!$AP$20*Brand_Profile!$F$18,0)+IF(ISNUMBER(KOL_Source_Data!$AQ$20),KOL_Source_Data!$AQ$20*Brand_Profile!$F$19,0)+IF(ISNUMBER(KOL_Source_Data!$AR$20),KOL_Source_Data!$AR$20*Brand_Profile!$F$20,0)+IF(ISNUMBER(KOL_Source_Data!$AS$20),KOL_Source_Data!$AS$20*Brand_Profile!$F$21,0)+IF(ISNUMBER(KOL_Source_Data!$AT$20),KOL_Source_Data!$AT$20*Brand_Profile!$F$22,0)+IF(ISNUMBER(KOL_Source_Data!$AU$20),KOL_Source_Data!$AU$20*Brand_Profile!$F$23,0)+IF(ISNUMBER(KOL_Source_Data!$AV$20),KOL_Source_Data!$AV$20*Brand_Profile!$F$24,0)+IF(ISNUMBER(KOL_Source_Data!$AW$20),KOL_Source_Data!$AW$20*Brand_Profile!$F$25,0)+IF(ISNUMBER(KOL_Source_Data!$AX$20),KOL_Source_Data!$AX$20*Brand_Profile!$F$26,0)+IF(ISNUMBER(KOL_Source_Data!$AY$20),KOL_Source_Data!$AY$20*Brand_Profile!$F$27,0)+IF(ISNUMBER(KOL_Source_Data!$AZ$20),KOL_Source_Data!$AZ$20*Brand_Profile!$F$28,0)+IF(ISNUMBER(KOL_Source_Data!$BA$20),KOL_Source_Data!$BA$20*Brand_Profile!$F$29,0)+IF(ISNUMBER(KOL_Source_Data!$BB$20),KOL_Source_Data!$BB$20*Brand_Profile!$F$30,0)+IF(ISNUMBER(KOL_Source_Data!$BC$20),KOL_Source_Data!$BC$20*Brand_Profile!$F$31,0)+IF(ISNUMBER(KOL_Source_Data!$BD$20),KOL_Source_Data!$BD$20*Brand_Profile!$F$32,0)+IF(ISNUMBER(KOL_Source_Data!$BE$20),KOL_Source_Data!$BE$20*Brand_Profile!$F$33,0)+IF(ISNUMBER(KOL_Source_Data!$BF$20),KOL_Source_Data!$BF$20*Brand_Profile!$F$34,0))/Lookup_Lists!$D$318*100,0)))</f>
      </c>
      <c r="S44" s="29">
        <f>IF((IF(ISNUMBER(Matching_Engine!$O$44),Lookup_Lists!$D$113,0)+IF(ISNUMBER(Matching_Engine!$P$44),Lookup_Lists!$D$114,0)+IF(ISNUMBER(Matching_Engine!$Q$44),Lookup_Lists!$D$115,0)+IF(ISNUMBER(Matching_Engine!$R$44),Lookup_Lists!$D$116,0))=0,"N/A",ROUND((IF(ISNUMBER(Matching_Engine!$O$44),Matching_Engine!$O$44*Lookup_Lists!$D$113,0)+IF(ISNUMBER(Matching_Engine!$P$44),Matching_Engine!$P$44*Lookup_Lists!$D$114,0)+IF(ISNUMBER(Matching_Engine!$Q$44),Matching_Engine!$Q$44*Lookup_Lists!$D$115,0)+IF(ISNUMBER(Matching_Engine!$R$44),Matching_Engine!$R$44*Lookup_Lists!$D$116,0))/(IF(ISNUMBER(Matching_Engine!$O$44),Lookup_Lists!$D$113,0)+IF(ISNUMBER(Matching_Engine!$P$44),Lookup_Lists!$D$114,0)+IF(ISNUMBER(Matching_Engine!$Q$44),Lookup_Lists!$D$115,0)+IF(ISNUMBER(Matching_Engine!$R$44),Lookup_Lists!$D$116,0)),0))</f>
      </c>
      <c r="T44" s="11">
        <f>IF(ISNUMBER(Matching_Engine!$S$44),1,0)</f>
      </c>
      <c r="U44" s="18">
        <f>IF(NOT(AND(ISTEXT(KOL_Source_Data!$M$20),KOL_Source_Data!$M$20&lt;&gt;"N/A")),Lookup_Lists!$D$150,IF(Brand_Profile!$F$7=KOL_Source_Data!$M$20,100,IFERROR(INDEX(Lookup_Lists!$B$349:$J$357,MATCH(Brand_Profile!$F$7,Lookup_Lists!$A$349:$A$357,0),MATCH(KOL_Source_Data!$M$20,Lookup_Lists!$B$348:$J$348,0)),Lookup_Lists!$D$151)))</f>
      </c>
      <c r="V44" s="18">
        <f>IF(NOT(AND(ISTEXT(KOL_Source_Data!$P$20),KOL_Source_Data!$P$20&lt;&gt;"N/A")),"N/A",IFERROR(INDEX(Lookup_Lists!$B$349:$J$357,MATCH(Brand_Profile!$F$7,Lookup_Lists!$A$349:$A$357,0),MATCH(KOL_Source_Data!$P$20,Lookup_Lists!$B$348:$J$348,0)),Lookup_Lists!$D$151))</f>
      </c>
      <c r="W44" s="18">
        <f>IF(LEN(TRIM(SUBSTITUTE(Matching_Engine!$BE$44,"|","")))=0,"N/A",IF(Brand_Profile!$F$60=0,Lookup_Lists!$D$150,ROUND((IF(Brand_Profile!$F$54="",0,IF(ISNUMBER(SEARCH(Brand_Profile!$F$54,Matching_Engine!$BE$44)),1,0))+IF(Brand_Profile!$F$55="",0,IF(ISNUMBER(SEARCH(Brand_Profile!$F$55,Matching_Engine!$BE$44)),1,0))+IF(Brand_Profile!$F$56="",0,IF(ISNUMBER(SEARCH(Brand_Profile!$F$56,Matching_Engine!$BE$44)),1,0))+IF(Brand_Profile!$F$57="",0,IF(ISNUMBER(SEARCH(Brand_Profile!$F$57,Matching_Engine!$BE$44)),1,0))+IF(Brand_Profile!$F$58="",0,IF(ISNUMBER(SEARCH(Brand_Profile!$F$58,Matching_Engine!$BE$44)),1,0))+IF(Brand_Profile!$F$59="",0,IF(ISNUMBER(SEARCH(Brand_Profile!$F$59,Matching_Engine!$BE$44)),1,0)))/Brand_Profile!$F$60*100,0)))</f>
      </c>
      <c r="X44" s="18">
        <f>IF(NOT(AND(ISTEXT(KOL_Source_Data!$Q$20),KOL_Source_Data!$Q$20&lt;&gt;"N/A")),"N/A",Lookup_Lists!$D$150)</f>
      </c>
      <c r="Y44" s="29">
        <f>IF((IF(ISNUMBER(Matching_Engine!$U$44),Lookup_Lists!$D$335,0)+IF(ISNUMBER(Matching_Engine!$V$44),Lookup_Lists!$D$122,0)+IF(ISNUMBER(Matching_Engine!$W$44),Lookup_Lists!$D$336,0)+IF(ISNUMBER(Matching_Engine!$X$44),Lookup_Lists!$D$124,0))=0,"N/A",ROUND((IF(ISNUMBER(Matching_Engine!$U$44),Matching_Engine!$U$44*Lookup_Lists!$D$335,0)+IF(ISNUMBER(Matching_Engine!$V$44),Matching_Engine!$V$44*Lookup_Lists!$D$122,0)+IF(ISNUMBER(Matching_Engine!$W$44),Matching_Engine!$W$44*Lookup_Lists!$D$336,0)+IF(ISNUMBER(Matching_Engine!$X$44),Matching_Engine!$X$44*Lookup_Lists!$D$124,0))/(IF(ISNUMBER(Matching_Engine!$U$44),Lookup_Lists!$D$335,0)+IF(ISNUMBER(Matching_Engine!$V$44),Lookup_Lists!$D$122,0)+IF(ISNUMBER(Matching_Engine!$W$44),Lookup_Lists!$D$336,0)+IF(ISNUMBER(Matching_Engine!$X$44),Lookup_Lists!$D$124,0)),0))</f>
      </c>
      <c r="Z44" s="11">
        <f>IF(ISNUMBER(Matching_Engine!$Y$44),1,0)</f>
      </c>
      <c r="AA44" s="18">
        <f>IF(NOT(AND(ISTEXT(KOL_Source_Data!$Q$20),KOL_Source_Data!$Q$20&lt;&gt;"N/A")),"N/A",Lookup_Lists!$D$150)</f>
      </c>
      <c r="AB44" s="18">
        <f>IF(NOT(AND(ISTEXT(KOL_Source_Data!$Q$20),KOL_Source_Data!$Q$20&lt;&gt;"N/A")),"N/A",Lookup_Lists!$D$150)</f>
      </c>
      <c r="AC44" s="18">
        <f>"N/A"</f>
      </c>
      <c r="AD44" s="18">
        <f>IF(NOT(AND(ISTEXT(KOL_Source_Data!$Q$20),KOL_Source_Data!$Q$20&lt;&gt;"N/A")),"N/A",Lookup_Lists!$D$150)</f>
      </c>
      <c r="AE44" s="29">
        <f>IF((IF(ISNUMBER(Matching_Engine!$AA$44),Lookup_Lists!$D$125,0)+IF(ISNUMBER(Matching_Engine!$AB$44),Lookup_Lists!$D$126,0)+IF(ISNUMBER(Matching_Engine!$AC$44),Lookup_Lists!$D$127,0)+IF(ISNUMBER(Matching_Engine!$AD$44),Lookup_Lists!$D$128,0))=0,"N/A",ROUND((IF(ISNUMBER(Matching_Engine!$AA$44),Matching_Engine!$AA$44*Lookup_Lists!$D$125,0)+IF(ISNUMBER(Matching_Engine!$AB$44),Matching_Engine!$AB$44*Lookup_Lists!$D$126,0)+IF(ISNUMBER(Matching_Engine!$AC$44),Matching_Engine!$AC$44*Lookup_Lists!$D$127,0)+IF(ISNUMBER(Matching_Engine!$AD$44),Matching_Engine!$AD$44*Lookup_Lists!$D$128,0))/(IF(ISNUMBER(Matching_Engine!$AA$44),Lookup_Lists!$D$125,0)+IF(ISNUMBER(Matching_Engine!$AB$44),Lookup_Lists!$D$126,0)+IF(ISNUMBER(Matching_Engine!$AC$44),Lookup_Lists!$D$127,0)+IF(ISNUMBER(Matching_Engine!$AD$44),Lookup_Lists!$D$128,0)),0))</f>
      </c>
      <c r="AF44" s="11">
        <f>IF(ISNUMBER(Matching_Engine!$AE$44),1,0)</f>
      </c>
      <c r="AG44" s="18">
        <f>IF(NOT(ISNUMBER(KOL_Source_Data!$BG$20)),"N/A",MIN(100,ROUND(KOL_Source_Data!$BG$20/IFERROR(INDEX(Lookup_Lists!$B$340:$B$344,MATCH(KOL_Source_Data!$H$20,Lookup_Lists!$A$340:$A$344,0)),Lookup_Lists!$D$141)*100,0)))</f>
      </c>
      <c r="AH44" s="18">
        <f>IF(NOT(ISNUMBER(KOL_Source_Data!$BS$20)),"N/A",MIN(100,MAX(0,KOL_Source_Data!$BS$20)))</f>
      </c>
      <c r="AI44" s="18">
        <f>IF(OR(NOT(ISNUMBER(KOL_Source_Data!$BM$20)),NOT(ISNUMBER(KOL_Source_Data!$BN$20)),KOL_Source_Data!$BN$20&lt;Lookup_Lists!$D$320),"N/A",MIN(100,ROUND(KOL_Source_Data!$BM$20/Lookup_Lists!$D$319*100,0)))</f>
      </c>
      <c r="AJ44" s="18">
        <f>IF(NOT(ISNUMBER(KOL_Source_Data!$BR$20)),"N/A",KOL_Source_Data!$BR$20)</f>
      </c>
      <c r="AK44" s="18">
        <f>IF(NOT(ISNUMBER(KOL_Source_Data!$BK$20)),"N/A",MIN(100,ROUND(KOL_Source_Data!$BK$20/Lookup_Lists!$D$321*100,0)))</f>
      </c>
      <c r="AL44" s="18">
        <f>IF(NOT(ISNUMBER(KOL_Source_Data!$BP$20)),"N/A",MIN(100,MAX(0,ROUND((KOL_Source_Data!$BP$20+2)/(Lookup_Lists!$D$145+2)*100,0))))</f>
      </c>
      <c r="AM44" s="29">
        <f>IF((IF(ISNUMBER(Matching_Engine!$AG$44),Lookup_Lists!$D$129,0)+IF(ISNUMBER(Matching_Engine!$AH$44),Lookup_Lists!$D$130,0)+IF(ISNUMBER(Matching_Engine!$AI$44),Lookup_Lists!$D$131,0)+IF(ISNUMBER(Matching_Engine!$AJ$44),Lookup_Lists!$D$132,0)+IF(ISNUMBER(Matching_Engine!$AK$44),Lookup_Lists!$D$133,0)+IF(ISNUMBER(Matching_Engine!$AL$44),Lookup_Lists!$D$134,0))=0,"N/A",ROUND((IF(ISNUMBER(Matching_Engine!$AG$44),Matching_Engine!$AG$44*Lookup_Lists!$D$129,0)+IF(ISNUMBER(Matching_Engine!$AH$44),Matching_Engine!$AH$44*Lookup_Lists!$D$130,0)+IF(ISNUMBER(Matching_Engine!$AI$44),Matching_Engine!$AI$44*Lookup_Lists!$D$131,0)+IF(ISNUMBER(Matching_Engine!$AJ$44),Matching_Engine!$AJ$44*Lookup_Lists!$D$132,0)+IF(ISNUMBER(Matching_Engine!$AK$44),Matching_Engine!$AK$44*Lookup_Lists!$D$133,0)+IF(ISNUMBER(Matching_Engine!$AL$44),Matching_Engine!$AL$44*Lookup_Lists!$D$134,0))/(IF(ISNUMBER(Matching_Engine!$AG$44),Lookup_Lists!$D$129,0)+IF(ISNUMBER(Matching_Engine!$AH$44),Lookup_Lists!$D$130,0)+IF(ISNUMBER(Matching_Engine!$AI$44),Lookup_Lists!$D$131,0)+IF(ISNUMBER(Matching_Engine!$AJ$44),Lookup_Lists!$D$132,0)+IF(ISNUMBER(Matching_Engine!$AK$44),Lookup_Lists!$D$133,0)+IF(ISNUMBER(Matching_Engine!$AL$44),Lookup_Lists!$D$134,0)),0))</f>
      </c>
      <c r="AN44" s="11">
        <f>IF(ISNUMBER(Matching_Engine!$AM$44),1,0)</f>
      </c>
      <c r="AO44" s="18">
        <f>IF(NOT(ISNUMBER(KOL_Source_Data!$BT$20)),"N/A",MIN(100,MAX(0,KOL_Source_Data!$BT$20)))</f>
      </c>
      <c r="AP44" s="18">
        <f>IF(NOT(ISNUMBER(KOL_Source_Data!$BU$20)),"N/A",MIN(100,MAX(0,KOL_Source_Data!$BU$20)))</f>
      </c>
      <c r="AQ44" s="18">
        <f>IF(KOL_Source_Data!$I$20="Yes",Lookup_Lists!$D$326,IF(KOL_Source_Data!$I$20="No",Lookup_Lists!$D$327,"N/A"))</f>
      </c>
      <c r="AR44" s="18">
        <f>IF(NOT(ISNUMBER(KOL_Source_Data!$BQ$20)),"N/A",MAX(0,ROUND(100-KOL_Source_Data!$BQ$20/Lookup_Lists!$D$328*100,0)))</f>
      </c>
      <c r="AS44" s="18">
        <f>IF(NOT(AND(ISTEXT(KOL_Source_Data!$BV$20),KOL_Source_Data!$BV$20&lt;&gt;"N/A")),"N/A",KOL_Source_Data!$BV$20)</f>
      </c>
      <c r="AT44" s="29">
        <f>IF((IF(ISNUMBER(Matching_Engine!$AO$44),Lookup_Lists!$D$322,0)+IF(ISNUMBER(Matching_Engine!$AP$44),Lookup_Lists!$D$323,0)+IF(ISNUMBER(Matching_Engine!$AQ$44),Lookup_Lists!$D$324,0)+IF(ISNUMBER(Matching_Engine!$AR$44),Lookup_Lists!$D$325,0))=0,"N/A",ROUND((IF(ISNUMBER(Matching_Engine!$AO$44),Matching_Engine!$AO$44*Lookup_Lists!$D$322,0)+IF(ISNUMBER(Matching_Engine!$AP$44),Matching_Engine!$AP$44*Lookup_Lists!$D$323,0)+IF(ISNUMBER(Matching_Engine!$AQ$44),Matching_Engine!$AQ$44*Lookup_Lists!$D$324,0)+IF(ISNUMBER(Matching_Engine!$AR$44),Matching_Engine!$AR$44*Lookup_Lists!$D$325,0))/(IF(ISNUMBER(Matching_Engine!$AO$44),Lookup_Lists!$D$322,0)+IF(ISNUMBER(Matching_Engine!$AP$44),Lookup_Lists!$D$323,0)+IF(ISNUMBER(Matching_Engine!$AQ$44),Lookup_Lists!$D$324,0)+IF(ISNUMBER(Matching_Engine!$AR$44),Lookup_Lists!$D$325,0)),0))</f>
      </c>
      <c r="AU44" s="11">
        <f>IF(ISNUMBER(Matching_Engine!$AT$44),1,0)</f>
      </c>
      <c r="AV44" s="11">
        <f>IF(NOT(ISNUMBER(Matching_Engine!$AT$44)),"Not Screened",IF(Matching_Engine!$AT$44&gt;=Lookup_Lists!$D$329,"Low Risk",IF(Matching_Engine!$AT$44&gt;=Lookup_Lists!$D$330,"Moderate Risk",IF(Matching_Engine!$AT$44&gt;=Lookup_Lists!$D$331,"Elevated Risk","High Risk"))))</f>
      </c>
      <c r="AW44" s="11">
        <f>IF(NOT(ISNUMBER(Matching_Engine!$AT$44)),"No integrity signal: no audience-analysis row for this account.","Integrity screen only — no content-risk reading exists (comments_analysis: 0 rows). "&amp;IF(ISNUMBER(Matching_Engine!$AO$44),"Authenticity "&amp;Matching_Engine!$AO$44&amp;". ","Authenticity N/A. ")&amp;IF(ISNUMBER(Matching_Engine!$AP$44),"Follower quality "&amp;Matching_Engine!$AP$44&amp;". ","Follower quality N/A. ")&amp;IF(KOL_Source_Data!$I$20="Yes","Platform-verified.","Not platform-verified."))</f>
      </c>
      <c r="AX44" s="18">
        <f>Matching_Engine!$N$44*Lookup_Lists!$D$104+Matching_Engine!$T$44*Lookup_Lists!$D$105+Matching_Engine!$Z$44*Lookup_Lists!$D$106+Matching_Engine!$AF$44*Lookup_Lists!$D$107+Matching_Engine!$AN$44*Lookup_Lists!$D$108+Matching_Engine!$AU$44*Lookup_Lists!$D$109</f>
      </c>
      <c r="AY44" s="30">
        <f>IF(Matching_Engine!$AX$44=0,"N/A",ROUND((IF(Matching_Engine!$N$44=1,Matching_Engine!$M$44*Lookup_Lists!$D$104,0)+IF(Matching_Engine!$T$44=1,Matching_Engine!$S$44*Lookup_Lists!$D$105,0)+IF(Matching_Engine!$Z$44=1,Matching_Engine!$Y$44*Lookup_Lists!$D$106,0)+IF(Matching_Engine!$AF$44=1,Matching_Engine!$AE$44*Lookup_Lists!$D$107,0)+IF(Matching_Engine!$AN$44=1,Matching_Engine!$AM$44*Lookup_Lists!$D$108,0)+IF(Matching_Engine!$AU$44=1,Matching_Engine!$AT$44*Lookup_Lists!$D$109,0))/Matching_Engine!$AX$44,0))</f>
      </c>
      <c r="AZ44" s="11">
        <f>IF(NOT(ISNUMBER(Matching_Engine!$AY$44)),"Not Scored",IF(Matching_Engine!$AY$44&gt;=Lookup_Lists!$D$152,"Excellent Match",IF(Matching_Engine!$AY$44&gt;=Lookup_Lists!$D$153,"Strong Match",IF(Matching_Engine!$AY$44&gt;=Lookup_Lists!$D$154,"Good Match",IF(Matching_Engine!$AY$44&gt;=Lookup_Lists!$D$155,"Moderate Match","Low Match")))))</f>
      </c>
      <c r="BA44" s="18">
        <f>KOL_Source_Data!$BW$20</f>
      </c>
      <c r="BB44" s="11">
        <f>KOL_Source_Data!$BX$20</f>
      </c>
      <c r="BC44" s="18">
        <f>IF(NOT(ISNUMBER(Matching_Engine!$AY$44)),-1,Matching_Engine!$AY$44*1000+10)</f>
      </c>
      <c r="BD44" s="11">
        <f>IF(AND(ISTEXT(KOL_Source_Data!$S$20),KOL_Source_Data!$S$20&lt;&gt;"N/A"),KOL_Source_Data!$S$20,"")&amp;" | "&amp;IF(AND(ISTEXT(KOL_Source_Data!$T$20),KOL_Source_Data!$T$20&lt;&gt;"N/A"),KOL_Source_Data!$T$20,"")&amp;" | "&amp;IF(AND(ISTEXT(KOL_Source_Data!$N$20),KOL_Source_Data!$N$20&lt;&gt;"N/A"),KOL_Source_Data!$N$20,"")&amp;" | "&amp;IF(AND(ISTEXT(KOL_Source_Data!$K$20),KOL_Source_Data!$K$20&lt;&gt;"N/A"),KOL_Source_Data!$K$20,"")&amp;" | "&amp;IF(AND(ISTEXT(KOL_Source_Data!$J$20),KOL_Source_Data!$J$20&lt;&gt;"N/A"),KOL_Source_Data!$J$20,"")</f>
      </c>
      <c r="BE44" s="11">
        <f>IF(AND(ISTEXT(KOL_Source_Data!$T$20),KOL_Source_Data!$T$20&lt;&gt;"N/A"),KOL_Source_Data!$T$20,"")&amp;" | "&amp;IF(AND(ISTEXT(KOL_Source_Data!$N$20),KOL_Source_Data!$N$20&lt;&gt;"N/A"),KOL_Source_Data!$N$20,"")&amp;" | "&amp;IF(AND(ISTEXT(KOL_Source_Data!$O$20),KOL_Source_Data!$O$20&lt;&gt;"N/A"),KOL_Source_Data!$O$20,"")&amp;" | "&amp;IF(AND(ISTEXT(KOL_Source_Data!$S$20),KOL_Source_Data!$S$20&lt;&gt;"N/A"),KOL_Source_Data!$S$20,"")</f>
      </c>
      <c r="BF44" s="11">
        <f>IF(AND(ISTEXT(KOL_Source_Data!$U$20),KOL_Source_Data!$U$20&lt;&gt;"N/A"),KOL_Source_Data!$U$20,"")</f>
      </c>
      <c r="BG44" s="11">
        <f>Matching_Engine!$A$44&amp;"|"&amp;Matching_Engine!$C$44</f>
      </c>
    </row>
    <row r="45" spans="1:59" x14ac:dyDescent="0.25">
      <c r="A45" s="10" t="s">
        <v>391</v>
      </c>
      <c r="B45" s="11">
        <f>Brand_Profile!$F$6</f>
      </c>
      <c r="C45" s="11">
        <f>KOL_Source_Data!$A$21</f>
      </c>
      <c r="D45" s="11">
        <f>KOL_Source_Data!$C$21</f>
      </c>
      <c r="E45" s="11">
        <f>KOL_Source_Data!$D$21</f>
      </c>
      <c r="F45" s="11">
        <f>KOL_Source_Data!$E$21</f>
      </c>
      <c r="G45" s="11">
        <f>KOL_Source_Data!$K$21</f>
      </c>
      <c r="H45" s="12">
        <f>KOL_Source_Data!$G$21</f>
      </c>
      <c r="I45" s="14">
        <f>KOL_Source_Data!$BG$21</f>
      </c>
      <c r="J45" s="18">
        <f>IF(NOT(AND(ISTEXT(KOL_Source_Data!$K$21),KOL_Source_Data!$K$21&lt;&gt;"N/A")),Lookup_Lists!$D$150,IF(Brand_Profile!$F$7=KOL_Source_Data!$K$21,100,IFERROR(INDEX(Lookup_Lists!$B$349:$J$357,MATCH(Brand_Profile!$F$7,Lookup_Lists!$A$349:$A$357,0),MATCH(KOL_Source_Data!$K$21,Lookup_Lists!$B$348:$J$348,0)),Lookup_Lists!$D$151)))</f>
      </c>
      <c r="K45" s="18">
        <f>IF(LEN(TRIM(SUBSTITUTE(Matching_Engine!$BD$45,"|","")))=0,"N/A",IF(Brand_Profile!$F$47=0,Lookup_Lists!$D$150,ROUND((IF(Brand_Profile!$F$41="",0,IF(ISNUMBER(SEARCH(Brand_Profile!$F$41,Matching_Engine!$BD$45)),1,0))+IF(Brand_Profile!$F$42="",0,IF(ISNUMBER(SEARCH(Brand_Profile!$F$42,Matching_Engine!$BD$45)),1,0))+IF(Brand_Profile!$F$43="",0,IF(ISNUMBER(SEARCH(Brand_Profile!$F$43,Matching_Engine!$BD$45)),1,0))+IF(Brand_Profile!$F$44="",0,IF(ISNUMBER(SEARCH(Brand_Profile!$F$44,Matching_Engine!$BD$45)),1,0))+IF(Brand_Profile!$F$45="",0,IF(ISNUMBER(SEARCH(Brand_Profile!$F$45,Matching_Engine!$BD$45)),1,0))+IF(Brand_Profile!$F$46="",0,IF(ISNUMBER(SEARCH(Brand_Profile!$F$46,Matching_Engine!$BD$45)),1,0)))/Brand_Profile!$F$47*100,0)))</f>
      </c>
      <c r="L45" s="18">
        <f>IF(NOT(AND(ISTEXT(KOL_Source_Data!$U$21),KOL_Source_Data!$U$21&lt;&gt;"N/A")),"N/A",IF(Brand_Profile!$F$53=0,Lookup_Lists!$D$150,ROUND((IF(Brand_Profile!$F$48="",0,IF(ISNUMBER(SEARCH(Brand_Profile!$F$48,Matching_Engine!$BF$45)),1,0))+IF(Brand_Profile!$F$49="",0,IF(ISNUMBER(SEARCH(Brand_Profile!$F$49,Matching_Engine!$BF$45)),1,0))+IF(Brand_Profile!$F$50="",0,IF(ISNUMBER(SEARCH(Brand_Profile!$F$50,Matching_Engine!$BF$45)),1,0))+IF(Brand_Profile!$F$51="",0,IF(ISNUMBER(SEARCH(Brand_Profile!$F$51,Matching_Engine!$BF$45)),1,0))+IF(Brand_Profile!$F$52="",0,IF(ISNUMBER(SEARCH(Brand_Profile!$F$52,Matching_Engine!$BF$45)),1,0)))/Brand_Profile!$F$53*100,0)))</f>
      </c>
      <c r="M45" s="29">
        <f>IF((IF(ISNUMBER(Matching_Engine!$J$45),Lookup_Lists!$D$332,0)+IF(ISNUMBER(Matching_Engine!$K$45),Lookup_Lists!$D$333,0)+IF(ISNUMBER(Matching_Engine!$L$45),Lookup_Lists!$D$334,0))=0,"N/A",ROUND((IF(ISNUMBER(Matching_Engine!$J$45),Matching_Engine!$J$45*Lookup_Lists!$D$332,0)+IF(ISNUMBER(Matching_Engine!$K$45),Matching_Engine!$K$45*Lookup_Lists!$D$333,0)+IF(ISNUMBER(Matching_Engine!$L$45),Matching_Engine!$L$45*Lookup_Lists!$D$334,0))/(IF(ISNUMBER(Matching_Engine!$J$45),Lookup_Lists!$D$332,0)+IF(ISNUMBER(Matching_Engine!$K$45),Lookup_Lists!$D$333,0)+IF(ISNUMBER(Matching_Engine!$L$45),Lookup_Lists!$D$334,0)),0))</f>
      </c>
      <c r="N45" s="11">
        <f>IF(ISNUMBER(Matching_Engine!$M$45),1,0)</f>
      </c>
      <c r="O45" s="18">
        <f>IF(NOT(ISNUMBER(IFERROR(INDEX(KOL_Source_Data!$V$21:KOL_Source_Data!$Z$21,1,MATCH(Brand_Profile!$F$11,Lookup_Lists!$F$6:$F$10,0)),""))),"N/A",MIN(100,ROUND((IFERROR(INDEX(KOL_Source_Data!$V$21:KOL_Source_Data!$Z$21,1,MATCH(Brand_Profile!$F$11,Lookup_Lists!$F$6:$F$10,0)),"")+0.5*IF(ISNUMBER(IFERROR(INDEX(KOL_Source_Data!$V$21:KOL_Source_Data!$Z$21,1,MATCH(Brand_Profile!$F$12,Lookup_Lists!$F$6:$F$10,0)),"")),IFERROR(INDEX(KOL_Source_Data!$V$21:KOL_Source_Data!$Z$21,1,MATCH(Brand_Profile!$F$12,Lookup_Lists!$F$6:$F$10,0)),""),0))/Lookup_Lists!$D$142*100,0)))</f>
      </c>
      <c r="P45" s="18">
        <f>IF(Brand_Profile!$F$13="Any",100,IF(NOT(ISNUMBER(KOL_Source_Data!$AA$21)),"N/A",IF(Brand_Profile!$F$13="Female",MIN(100,ROUND(KOL_Source_Data!$AA$21/Lookup_Lists!$D$143*100,0)),IF(Brand_Profile!$F$13="Male",MIN(100,ROUND(IF(ISNUMBER(KOL_Source_Data!$AB$21),KOL_Source_Data!$AB$21,100-KOL_Source_Data!$AA$21)/Lookup_Lists!$D$143*100,0)),MAX(0,ROUND(100-ABS(KOL_Source_Data!$AA$21-50)*2,0))))))</f>
      </c>
      <c r="Q45" s="18">
        <f>IF((IF(ISNUMBER(IF(NOT(ISNUMBER(KOL_Source_Data!$AE$21)),"N/A",IF(KOL_Source_Data!$AD$21&lt;&gt;Brand_Profile!$F$14,Lookup_Lists!$D$151,MIN(100,ROUND(KOL_Source_Data!$AE$21/Lookup_Lists!$D$316*100,0))))),Lookup_Lists!$D$118,0)+IF(ISNUMBER(IF(NOT(ISNUMBER(KOL_Source_Data!$AM$21)),"N/A",MIN(100,ROUND((IF(KOL_Source_Data!$AG$21=Brand_Profile!$F$15,IF(ISNUMBER(KOL_Source_Data!$AH$21),KOL_Source_Data!$AH$21,0),0)+IF(KOL_Source_Data!$AI$21=Brand_Profile!$F$15,IF(ISNUMBER(KOL_Source_Data!$AJ$21),KOL_Source_Data!$AJ$21,0),0)+IF(KOL_Source_Data!$AK$21=Brand_Profile!$F$15,IF(ISNUMBER(KOL_Source_Data!$AL$21),KOL_Source_Data!$AL$21,0),0))/Lookup_Lists!$D$317*100,0)))),Lookup_Lists!$D$120,0))=0,"N/A",ROUND((IF(ISNUMBER(IF(NOT(ISNUMBER(KOL_Source_Data!$AE$21)),"N/A",IF(KOL_Source_Data!$AD$21&lt;&gt;Brand_Profile!$F$14,Lookup_Lists!$D$151,MIN(100,ROUND(KOL_Source_Data!$AE$21/Lookup_Lists!$D$316*100,0))))),IF(NOT(ISNUMBER(KOL_Source_Data!$AE$21)),"N/A",IF(KOL_Source_Data!$AD$21&lt;&gt;Brand_Profile!$F$14,Lookup_Lists!$D$151,MIN(100,ROUND(KOL_Source_Data!$AE$21/Lookup_Lists!$D$316*100,0))))*Lookup_Lists!$D$118,0)+IF(ISNUMBER(IF(NOT(ISNUMBER(KOL_Source_Data!$AM$21)),"N/A",MIN(100,ROUND((IF(KOL_Source_Data!$AG$21=Brand_Profile!$F$15,IF(ISNUMBER(KOL_Source_Data!$AH$21),KOL_Source_Data!$AH$21,0),0)+IF(KOL_Source_Data!$AI$21=Brand_Profile!$F$15,IF(ISNUMBER(KOL_Source_Data!$AJ$21),KOL_Source_Data!$AJ$21,0),0)+IF(KOL_Source_Data!$AK$21=Brand_Profile!$F$15,IF(ISNUMBER(KOL_Source_Data!$AL$21),KOL_Source_Data!$AL$21,0),0))/Lookup_Lists!$D$317*100,0)))),IF(NOT(ISNUMBER(KOL_Source_Data!$AM$21)),"N/A",MIN(100,ROUND((IF(KOL_Source_Data!$AG$21=Brand_Profile!$F$15,IF(ISNUMBER(KOL_Source_Data!$AH$21),KOL_Source_Data!$AH$21,0),0)+IF(KOL_Source_Data!$AI$21=Brand_Profile!$F$15,IF(ISNUMBER(KOL_Source_Data!$AJ$21),KOL_Source_Data!$AJ$21,0),0)+IF(KOL_Source_Data!$AK$21=Brand_Profile!$F$15,IF(ISNUMBER(KOL_Source_Data!$AL$21),KOL_Source_Data!$AL$21,0),0))/Lookup_Lists!$D$317*100,0)))*Lookup_Lists!$D$120,0))/(IF(ISNUMBER(IF(NOT(ISNUMBER(KOL_Source_Data!$AE$21)),"N/A",IF(KOL_Source_Data!$AD$21&lt;&gt;Brand_Profile!$F$14,Lookup_Lists!$D$151,MIN(100,ROUND(KOL_Source_Data!$AE$21/Lookup_Lists!$D$316*100,0))))),Lookup_Lists!$D$118,0)+IF(ISNUMBER(IF(NOT(ISNUMBER(KOL_Source_Data!$AM$21)),"N/A",MIN(100,ROUND((IF(KOL_Source_Data!$AG$21=Brand_Profile!$F$15,IF(ISNUMBER(KOL_Source_Data!$AH$21),KOL_Source_Data!$AH$21,0),0)+IF(KOL_Source_Data!$AI$21=Brand_Profile!$F$15,IF(ISNUMBER(KOL_Source_Data!$AJ$21),KOL_Source_Data!$AJ$21,0),0)+IF(KOL_Source_Data!$AK$21=Brand_Profile!$F$15,IF(ISNUMBER(KOL_Source_Data!$AL$21),KOL_Source_Data!$AL$21,0),0))/Lookup_Lists!$D$317*100,0)))),Lookup_Lists!$D$120,0)),0))</f>
      </c>
      <c r="R45" s="18">
        <f>IF(NOT(ISNUMBER(KOL_Source_Data!$AN$21)),"N/A",MIN(100,ROUND((IF(ISNUMBER(KOL_Source_Data!$AO$21),KOL_Source_Data!$AO$21*Brand_Profile!$F$17,0)+IF(ISNUMBER(KOL_Source_Data!$AP$21),KOL_Source_Data!$AP$21*Brand_Profile!$F$18,0)+IF(ISNUMBER(KOL_Source_Data!$AQ$21),KOL_Source_Data!$AQ$21*Brand_Profile!$F$19,0)+IF(ISNUMBER(KOL_Source_Data!$AR$21),KOL_Source_Data!$AR$21*Brand_Profile!$F$20,0)+IF(ISNUMBER(KOL_Source_Data!$AS$21),KOL_Source_Data!$AS$21*Brand_Profile!$F$21,0)+IF(ISNUMBER(KOL_Source_Data!$AT$21),KOL_Source_Data!$AT$21*Brand_Profile!$F$22,0)+IF(ISNUMBER(KOL_Source_Data!$AU$21),KOL_Source_Data!$AU$21*Brand_Profile!$F$23,0)+IF(ISNUMBER(KOL_Source_Data!$AV$21),KOL_Source_Data!$AV$21*Brand_Profile!$F$24,0)+IF(ISNUMBER(KOL_Source_Data!$AW$21),KOL_Source_Data!$AW$21*Brand_Profile!$F$25,0)+IF(ISNUMBER(KOL_Source_Data!$AX$21),KOL_Source_Data!$AX$21*Brand_Profile!$F$26,0)+IF(ISNUMBER(KOL_Source_Data!$AY$21),KOL_Source_Data!$AY$21*Brand_Profile!$F$27,0)+IF(ISNUMBER(KOL_Source_Data!$AZ$21),KOL_Source_Data!$AZ$21*Brand_Profile!$F$28,0)+IF(ISNUMBER(KOL_Source_Data!$BA$21),KOL_Source_Data!$BA$21*Brand_Profile!$F$29,0)+IF(ISNUMBER(KOL_Source_Data!$BB$21),KOL_Source_Data!$BB$21*Brand_Profile!$F$30,0)+IF(ISNUMBER(KOL_Source_Data!$BC$21),KOL_Source_Data!$BC$21*Brand_Profile!$F$31,0)+IF(ISNUMBER(KOL_Source_Data!$BD$21),KOL_Source_Data!$BD$21*Brand_Profile!$F$32,0)+IF(ISNUMBER(KOL_Source_Data!$BE$21),KOL_Source_Data!$BE$21*Brand_Profile!$F$33,0)+IF(ISNUMBER(KOL_Source_Data!$BF$21),KOL_Source_Data!$BF$21*Brand_Profile!$F$34,0))/Lookup_Lists!$D$318*100,0)))</f>
      </c>
      <c r="S45" s="29">
        <f>IF((IF(ISNUMBER(Matching_Engine!$O$45),Lookup_Lists!$D$113,0)+IF(ISNUMBER(Matching_Engine!$P$45),Lookup_Lists!$D$114,0)+IF(ISNUMBER(Matching_Engine!$Q$45),Lookup_Lists!$D$115,0)+IF(ISNUMBER(Matching_Engine!$R$45),Lookup_Lists!$D$116,0))=0,"N/A",ROUND((IF(ISNUMBER(Matching_Engine!$O$45),Matching_Engine!$O$45*Lookup_Lists!$D$113,0)+IF(ISNUMBER(Matching_Engine!$P$45),Matching_Engine!$P$45*Lookup_Lists!$D$114,0)+IF(ISNUMBER(Matching_Engine!$Q$45),Matching_Engine!$Q$45*Lookup_Lists!$D$115,0)+IF(ISNUMBER(Matching_Engine!$R$45),Matching_Engine!$R$45*Lookup_Lists!$D$116,0))/(IF(ISNUMBER(Matching_Engine!$O$45),Lookup_Lists!$D$113,0)+IF(ISNUMBER(Matching_Engine!$P$45),Lookup_Lists!$D$114,0)+IF(ISNUMBER(Matching_Engine!$Q$45),Lookup_Lists!$D$115,0)+IF(ISNUMBER(Matching_Engine!$R$45),Lookup_Lists!$D$116,0)),0))</f>
      </c>
      <c r="T45" s="11">
        <f>IF(ISNUMBER(Matching_Engine!$S$45),1,0)</f>
      </c>
      <c r="U45" s="18">
        <f>IF(NOT(AND(ISTEXT(KOL_Source_Data!$M$21),KOL_Source_Data!$M$21&lt;&gt;"N/A")),Lookup_Lists!$D$150,IF(Brand_Profile!$F$7=KOL_Source_Data!$M$21,100,IFERROR(INDEX(Lookup_Lists!$B$349:$J$357,MATCH(Brand_Profile!$F$7,Lookup_Lists!$A$349:$A$357,0),MATCH(KOL_Source_Data!$M$21,Lookup_Lists!$B$348:$J$348,0)),Lookup_Lists!$D$151)))</f>
      </c>
      <c r="V45" s="18">
        <f>IF(NOT(AND(ISTEXT(KOL_Source_Data!$P$21),KOL_Source_Data!$P$21&lt;&gt;"N/A")),"N/A",IFERROR(INDEX(Lookup_Lists!$B$349:$J$357,MATCH(Brand_Profile!$F$7,Lookup_Lists!$A$349:$A$357,0),MATCH(KOL_Source_Data!$P$21,Lookup_Lists!$B$348:$J$348,0)),Lookup_Lists!$D$151))</f>
      </c>
      <c r="W45" s="18">
        <f>IF(LEN(TRIM(SUBSTITUTE(Matching_Engine!$BE$45,"|","")))=0,"N/A",IF(Brand_Profile!$F$60=0,Lookup_Lists!$D$150,ROUND((IF(Brand_Profile!$F$54="",0,IF(ISNUMBER(SEARCH(Brand_Profile!$F$54,Matching_Engine!$BE$45)),1,0))+IF(Brand_Profile!$F$55="",0,IF(ISNUMBER(SEARCH(Brand_Profile!$F$55,Matching_Engine!$BE$45)),1,0))+IF(Brand_Profile!$F$56="",0,IF(ISNUMBER(SEARCH(Brand_Profile!$F$56,Matching_Engine!$BE$45)),1,0))+IF(Brand_Profile!$F$57="",0,IF(ISNUMBER(SEARCH(Brand_Profile!$F$57,Matching_Engine!$BE$45)),1,0))+IF(Brand_Profile!$F$58="",0,IF(ISNUMBER(SEARCH(Brand_Profile!$F$58,Matching_Engine!$BE$45)),1,0))+IF(Brand_Profile!$F$59="",0,IF(ISNUMBER(SEARCH(Brand_Profile!$F$59,Matching_Engine!$BE$45)),1,0)))/Brand_Profile!$F$60*100,0)))</f>
      </c>
      <c r="X45" s="18">
        <f>IF(NOT(AND(ISTEXT(KOL_Source_Data!$Q$21),KOL_Source_Data!$Q$21&lt;&gt;"N/A")),"N/A",Lookup_Lists!$D$150)</f>
      </c>
      <c r="Y45" s="29">
        <f>IF((IF(ISNUMBER(Matching_Engine!$U$45),Lookup_Lists!$D$335,0)+IF(ISNUMBER(Matching_Engine!$V$45),Lookup_Lists!$D$122,0)+IF(ISNUMBER(Matching_Engine!$W$45),Lookup_Lists!$D$336,0)+IF(ISNUMBER(Matching_Engine!$X$45),Lookup_Lists!$D$124,0))=0,"N/A",ROUND((IF(ISNUMBER(Matching_Engine!$U$45),Matching_Engine!$U$45*Lookup_Lists!$D$335,0)+IF(ISNUMBER(Matching_Engine!$V$45),Matching_Engine!$V$45*Lookup_Lists!$D$122,0)+IF(ISNUMBER(Matching_Engine!$W$45),Matching_Engine!$W$45*Lookup_Lists!$D$336,0)+IF(ISNUMBER(Matching_Engine!$X$45),Matching_Engine!$X$45*Lookup_Lists!$D$124,0))/(IF(ISNUMBER(Matching_Engine!$U$45),Lookup_Lists!$D$335,0)+IF(ISNUMBER(Matching_Engine!$V$45),Lookup_Lists!$D$122,0)+IF(ISNUMBER(Matching_Engine!$W$45),Lookup_Lists!$D$336,0)+IF(ISNUMBER(Matching_Engine!$X$45),Lookup_Lists!$D$124,0)),0))</f>
      </c>
      <c r="Z45" s="11">
        <f>IF(ISNUMBER(Matching_Engine!$Y$45),1,0)</f>
      </c>
      <c r="AA45" s="18">
        <f>IF(NOT(AND(ISTEXT(KOL_Source_Data!$Q$21),KOL_Source_Data!$Q$21&lt;&gt;"N/A")),"N/A",Lookup_Lists!$D$150)</f>
      </c>
      <c r="AB45" s="18">
        <f>IF(NOT(AND(ISTEXT(KOL_Source_Data!$Q$21),KOL_Source_Data!$Q$21&lt;&gt;"N/A")),"N/A",Lookup_Lists!$D$150)</f>
      </c>
      <c r="AC45" s="18">
        <f>"N/A"</f>
      </c>
      <c r="AD45" s="18">
        <f>IF(NOT(AND(ISTEXT(KOL_Source_Data!$Q$21),KOL_Source_Data!$Q$21&lt;&gt;"N/A")),"N/A",Lookup_Lists!$D$150)</f>
      </c>
      <c r="AE45" s="29">
        <f>IF((IF(ISNUMBER(Matching_Engine!$AA$45),Lookup_Lists!$D$125,0)+IF(ISNUMBER(Matching_Engine!$AB$45),Lookup_Lists!$D$126,0)+IF(ISNUMBER(Matching_Engine!$AC$45),Lookup_Lists!$D$127,0)+IF(ISNUMBER(Matching_Engine!$AD$45),Lookup_Lists!$D$128,0))=0,"N/A",ROUND((IF(ISNUMBER(Matching_Engine!$AA$45),Matching_Engine!$AA$45*Lookup_Lists!$D$125,0)+IF(ISNUMBER(Matching_Engine!$AB$45),Matching_Engine!$AB$45*Lookup_Lists!$D$126,0)+IF(ISNUMBER(Matching_Engine!$AC$45),Matching_Engine!$AC$45*Lookup_Lists!$D$127,0)+IF(ISNUMBER(Matching_Engine!$AD$45),Matching_Engine!$AD$45*Lookup_Lists!$D$128,0))/(IF(ISNUMBER(Matching_Engine!$AA$45),Lookup_Lists!$D$125,0)+IF(ISNUMBER(Matching_Engine!$AB$45),Lookup_Lists!$D$126,0)+IF(ISNUMBER(Matching_Engine!$AC$45),Lookup_Lists!$D$127,0)+IF(ISNUMBER(Matching_Engine!$AD$45),Lookup_Lists!$D$128,0)),0))</f>
      </c>
      <c r="AF45" s="11">
        <f>IF(ISNUMBER(Matching_Engine!$AE$45),1,0)</f>
      </c>
      <c r="AG45" s="18">
        <f>IF(NOT(ISNUMBER(KOL_Source_Data!$BG$21)),"N/A",MIN(100,ROUND(KOL_Source_Data!$BG$21/IFERROR(INDEX(Lookup_Lists!$B$340:$B$344,MATCH(KOL_Source_Data!$H$21,Lookup_Lists!$A$340:$A$344,0)),Lookup_Lists!$D$141)*100,0)))</f>
      </c>
      <c r="AH45" s="18">
        <f>IF(NOT(ISNUMBER(KOL_Source_Data!$BS$21)),"N/A",MIN(100,MAX(0,KOL_Source_Data!$BS$21)))</f>
      </c>
      <c r="AI45" s="18">
        <f>IF(OR(NOT(ISNUMBER(KOL_Source_Data!$BM$21)),NOT(ISNUMBER(KOL_Source_Data!$BN$21)),KOL_Source_Data!$BN$21&lt;Lookup_Lists!$D$320),"N/A",MIN(100,ROUND(KOL_Source_Data!$BM$21/Lookup_Lists!$D$319*100,0)))</f>
      </c>
      <c r="AJ45" s="18">
        <f>IF(NOT(ISNUMBER(KOL_Source_Data!$BR$21)),"N/A",KOL_Source_Data!$BR$21)</f>
      </c>
      <c r="AK45" s="18">
        <f>IF(NOT(ISNUMBER(KOL_Source_Data!$BK$21)),"N/A",MIN(100,ROUND(KOL_Source_Data!$BK$21/Lookup_Lists!$D$321*100,0)))</f>
      </c>
      <c r="AL45" s="18">
        <f>IF(NOT(ISNUMBER(KOL_Source_Data!$BP$21)),"N/A",MIN(100,MAX(0,ROUND((KOL_Source_Data!$BP$21+2)/(Lookup_Lists!$D$145+2)*100,0))))</f>
      </c>
      <c r="AM45" s="29">
        <f>IF((IF(ISNUMBER(Matching_Engine!$AG$45),Lookup_Lists!$D$129,0)+IF(ISNUMBER(Matching_Engine!$AH$45),Lookup_Lists!$D$130,0)+IF(ISNUMBER(Matching_Engine!$AI$45),Lookup_Lists!$D$131,0)+IF(ISNUMBER(Matching_Engine!$AJ$45),Lookup_Lists!$D$132,0)+IF(ISNUMBER(Matching_Engine!$AK$45),Lookup_Lists!$D$133,0)+IF(ISNUMBER(Matching_Engine!$AL$45),Lookup_Lists!$D$134,0))=0,"N/A",ROUND((IF(ISNUMBER(Matching_Engine!$AG$45),Matching_Engine!$AG$45*Lookup_Lists!$D$129,0)+IF(ISNUMBER(Matching_Engine!$AH$45),Matching_Engine!$AH$45*Lookup_Lists!$D$130,0)+IF(ISNUMBER(Matching_Engine!$AI$45),Matching_Engine!$AI$45*Lookup_Lists!$D$131,0)+IF(ISNUMBER(Matching_Engine!$AJ$45),Matching_Engine!$AJ$45*Lookup_Lists!$D$132,0)+IF(ISNUMBER(Matching_Engine!$AK$45),Matching_Engine!$AK$45*Lookup_Lists!$D$133,0)+IF(ISNUMBER(Matching_Engine!$AL$45),Matching_Engine!$AL$45*Lookup_Lists!$D$134,0))/(IF(ISNUMBER(Matching_Engine!$AG$45),Lookup_Lists!$D$129,0)+IF(ISNUMBER(Matching_Engine!$AH$45),Lookup_Lists!$D$130,0)+IF(ISNUMBER(Matching_Engine!$AI$45),Lookup_Lists!$D$131,0)+IF(ISNUMBER(Matching_Engine!$AJ$45),Lookup_Lists!$D$132,0)+IF(ISNUMBER(Matching_Engine!$AK$45),Lookup_Lists!$D$133,0)+IF(ISNUMBER(Matching_Engine!$AL$45),Lookup_Lists!$D$134,0)),0))</f>
      </c>
      <c r="AN45" s="11">
        <f>IF(ISNUMBER(Matching_Engine!$AM$45),1,0)</f>
      </c>
      <c r="AO45" s="18">
        <f>IF(NOT(ISNUMBER(KOL_Source_Data!$BT$21)),"N/A",MIN(100,MAX(0,KOL_Source_Data!$BT$21)))</f>
      </c>
      <c r="AP45" s="18">
        <f>IF(NOT(ISNUMBER(KOL_Source_Data!$BU$21)),"N/A",MIN(100,MAX(0,KOL_Source_Data!$BU$21)))</f>
      </c>
      <c r="AQ45" s="18">
        <f>IF(KOL_Source_Data!$I$21="Yes",Lookup_Lists!$D$326,IF(KOL_Source_Data!$I$21="No",Lookup_Lists!$D$327,"N/A"))</f>
      </c>
      <c r="AR45" s="18">
        <f>IF(NOT(ISNUMBER(KOL_Source_Data!$BQ$21)),"N/A",MAX(0,ROUND(100-KOL_Source_Data!$BQ$21/Lookup_Lists!$D$328*100,0)))</f>
      </c>
      <c r="AS45" s="18">
        <f>IF(NOT(AND(ISTEXT(KOL_Source_Data!$BV$21),KOL_Source_Data!$BV$21&lt;&gt;"N/A")),"N/A",KOL_Source_Data!$BV$21)</f>
      </c>
      <c r="AT45" s="29">
        <f>IF((IF(ISNUMBER(Matching_Engine!$AO$45),Lookup_Lists!$D$322,0)+IF(ISNUMBER(Matching_Engine!$AP$45),Lookup_Lists!$D$323,0)+IF(ISNUMBER(Matching_Engine!$AQ$45),Lookup_Lists!$D$324,0)+IF(ISNUMBER(Matching_Engine!$AR$45),Lookup_Lists!$D$325,0))=0,"N/A",ROUND((IF(ISNUMBER(Matching_Engine!$AO$45),Matching_Engine!$AO$45*Lookup_Lists!$D$322,0)+IF(ISNUMBER(Matching_Engine!$AP$45),Matching_Engine!$AP$45*Lookup_Lists!$D$323,0)+IF(ISNUMBER(Matching_Engine!$AQ$45),Matching_Engine!$AQ$45*Lookup_Lists!$D$324,0)+IF(ISNUMBER(Matching_Engine!$AR$45),Matching_Engine!$AR$45*Lookup_Lists!$D$325,0))/(IF(ISNUMBER(Matching_Engine!$AO$45),Lookup_Lists!$D$322,0)+IF(ISNUMBER(Matching_Engine!$AP$45),Lookup_Lists!$D$323,0)+IF(ISNUMBER(Matching_Engine!$AQ$45),Lookup_Lists!$D$324,0)+IF(ISNUMBER(Matching_Engine!$AR$45),Lookup_Lists!$D$325,0)),0))</f>
      </c>
      <c r="AU45" s="11">
        <f>IF(ISNUMBER(Matching_Engine!$AT$45),1,0)</f>
      </c>
      <c r="AV45" s="11">
        <f>IF(NOT(ISNUMBER(Matching_Engine!$AT$45)),"Not Screened",IF(Matching_Engine!$AT$45&gt;=Lookup_Lists!$D$329,"Low Risk",IF(Matching_Engine!$AT$45&gt;=Lookup_Lists!$D$330,"Moderate Risk",IF(Matching_Engine!$AT$45&gt;=Lookup_Lists!$D$331,"Elevated Risk","High Risk"))))</f>
      </c>
      <c r="AW45" s="11">
        <f>IF(NOT(ISNUMBER(Matching_Engine!$AT$45)),"No integrity signal: no audience-analysis row for this account.","Integrity screen only — no content-risk reading exists (comments_analysis: 0 rows). "&amp;IF(ISNUMBER(Matching_Engine!$AO$45),"Authenticity "&amp;Matching_Engine!$AO$45&amp;". ","Authenticity N/A. ")&amp;IF(ISNUMBER(Matching_Engine!$AP$45),"Follower quality "&amp;Matching_Engine!$AP$45&amp;". ","Follower quality N/A. ")&amp;IF(KOL_Source_Data!$I$21="Yes","Platform-verified.","Not platform-verified."))</f>
      </c>
      <c r="AX45" s="18">
        <f>Matching_Engine!$N$45*Lookup_Lists!$D$104+Matching_Engine!$T$45*Lookup_Lists!$D$105+Matching_Engine!$Z$45*Lookup_Lists!$D$106+Matching_Engine!$AF$45*Lookup_Lists!$D$107+Matching_Engine!$AN$45*Lookup_Lists!$D$108+Matching_Engine!$AU$45*Lookup_Lists!$D$109</f>
      </c>
      <c r="AY45" s="30">
        <f>IF(Matching_Engine!$AX$45=0,"N/A",ROUND((IF(Matching_Engine!$N$45=1,Matching_Engine!$M$45*Lookup_Lists!$D$104,0)+IF(Matching_Engine!$T$45=1,Matching_Engine!$S$45*Lookup_Lists!$D$105,0)+IF(Matching_Engine!$Z$45=1,Matching_Engine!$Y$45*Lookup_Lists!$D$106,0)+IF(Matching_Engine!$AF$45=1,Matching_Engine!$AE$45*Lookup_Lists!$D$107,0)+IF(Matching_Engine!$AN$45=1,Matching_Engine!$AM$45*Lookup_Lists!$D$108,0)+IF(Matching_Engine!$AU$45=1,Matching_Engine!$AT$45*Lookup_Lists!$D$109,0))/Matching_Engine!$AX$45,0))</f>
      </c>
      <c r="AZ45" s="11">
        <f>IF(NOT(ISNUMBER(Matching_Engine!$AY$45)),"Not Scored",IF(Matching_Engine!$AY$45&gt;=Lookup_Lists!$D$152,"Excellent Match",IF(Matching_Engine!$AY$45&gt;=Lookup_Lists!$D$153,"Strong Match",IF(Matching_Engine!$AY$45&gt;=Lookup_Lists!$D$154,"Good Match",IF(Matching_Engine!$AY$45&gt;=Lookup_Lists!$D$155,"Moderate Match","Low Match")))))</f>
      </c>
      <c r="BA45" s="18">
        <f>KOL_Source_Data!$BW$21</f>
      </c>
      <c r="BB45" s="11">
        <f>KOL_Source_Data!$BX$21</f>
      </c>
      <c r="BC45" s="18">
        <f>IF(NOT(ISNUMBER(Matching_Engine!$AY$45)),-1,Matching_Engine!$AY$45*1000+9)</f>
      </c>
      <c r="BD45" s="11">
        <f>IF(AND(ISTEXT(KOL_Source_Data!$S$21),KOL_Source_Data!$S$21&lt;&gt;"N/A"),KOL_Source_Data!$S$21,"")&amp;" | "&amp;IF(AND(ISTEXT(KOL_Source_Data!$T$21),KOL_Source_Data!$T$21&lt;&gt;"N/A"),KOL_Source_Data!$T$21,"")&amp;" | "&amp;IF(AND(ISTEXT(KOL_Source_Data!$N$21),KOL_Source_Data!$N$21&lt;&gt;"N/A"),KOL_Source_Data!$N$21,"")&amp;" | "&amp;IF(AND(ISTEXT(KOL_Source_Data!$K$21),KOL_Source_Data!$K$21&lt;&gt;"N/A"),KOL_Source_Data!$K$21,"")&amp;" | "&amp;IF(AND(ISTEXT(KOL_Source_Data!$J$21),KOL_Source_Data!$J$21&lt;&gt;"N/A"),KOL_Source_Data!$J$21,"")</f>
      </c>
      <c r="BE45" s="11">
        <f>IF(AND(ISTEXT(KOL_Source_Data!$T$21),KOL_Source_Data!$T$21&lt;&gt;"N/A"),KOL_Source_Data!$T$21,"")&amp;" | "&amp;IF(AND(ISTEXT(KOL_Source_Data!$N$21),KOL_Source_Data!$N$21&lt;&gt;"N/A"),KOL_Source_Data!$N$21,"")&amp;" | "&amp;IF(AND(ISTEXT(KOL_Source_Data!$O$21),KOL_Source_Data!$O$21&lt;&gt;"N/A"),KOL_Source_Data!$O$21,"")&amp;" | "&amp;IF(AND(ISTEXT(KOL_Source_Data!$S$21),KOL_Source_Data!$S$21&lt;&gt;"N/A"),KOL_Source_Data!$S$21,"")</f>
      </c>
      <c r="BF45" s="11">
        <f>IF(AND(ISTEXT(KOL_Source_Data!$U$21),KOL_Source_Data!$U$21&lt;&gt;"N/A"),KOL_Source_Data!$U$21,"")</f>
      </c>
      <c r="BG45" s="11">
        <f>Matching_Engine!$A$45&amp;"|"&amp;Matching_Engine!$C$45</f>
      </c>
    </row>
    <row r="46" spans="1:59" x14ac:dyDescent="0.25">
      <c r="A46" s="10" t="s">
        <v>391</v>
      </c>
      <c r="B46" s="11">
        <f>Brand_Profile!$F$6</f>
      </c>
      <c r="C46" s="11">
        <f>KOL_Source_Data!$A$22</f>
      </c>
      <c r="D46" s="11">
        <f>KOL_Source_Data!$C$22</f>
      </c>
      <c r="E46" s="11">
        <f>KOL_Source_Data!$D$22</f>
      </c>
      <c r="F46" s="11">
        <f>KOL_Source_Data!$E$22</f>
      </c>
      <c r="G46" s="11">
        <f>KOL_Source_Data!$K$22</f>
      </c>
      <c r="H46" s="12">
        <f>KOL_Source_Data!$G$22</f>
      </c>
      <c r="I46" s="14">
        <f>KOL_Source_Data!$BG$22</f>
      </c>
      <c r="J46" s="18">
        <f>IF(NOT(AND(ISTEXT(KOL_Source_Data!$K$22),KOL_Source_Data!$K$22&lt;&gt;"N/A")),Lookup_Lists!$D$150,IF(Brand_Profile!$F$7=KOL_Source_Data!$K$22,100,IFERROR(INDEX(Lookup_Lists!$B$349:$J$357,MATCH(Brand_Profile!$F$7,Lookup_Lists!$A$349:$A$357,0),MATCH(KOL_Source_Data!$K$22,Lookup_Lists!$B$348:$J$348,0)),Lookup_Lists!$D$151)))</f>
      </c>
      <c r="K46" s="18">
        <f>IF(LEN(TRIM(SUBSTITUTE(Matching_Engine!$BD$46,"|","")))=0,"N/A",IF(Brand_Profile!$F$47=0,Lookup_Lists!$D$150,ROUND((IF(Brand_Profile!$F$41="",0,IF(ISNUMBER(SEARCH(Brand_Profile!$F$41,Matching_Engine!$BD$46)),1,0))+IF(Brand_Profile!$F$42="",0,IF(ISNUMBER(SEARCH(Brand_Profile!$F$42,Matching_Engine!$BD$46)),1,0))+IF(Brand_Profile!$F$43="",0,IF(ISNUMBER(SEARCH(Brand_Profile!$F$43,Matching_Engine!$BD$46)),1,0))+IF(Brand_Profile!$F$44="",0,IF(ISNUMBER(SEARCH(Brand_Profile!$F$44,Matching_Engine!$BD$46)),1,0))+IF(Brand_Profile!$F$45="",0,IF(ISNUMBER(SEARCH(Brand_Profile!$F$45,Matching_Engine!$BD$46)),1,0))+IF(Brand_Profile!$F$46="",0,IF(ISNUMBER(SEARCH(Brand_Profile!$F$46,Matching_Engine!$BD$46)),1,0)))/Brand_Profile!$F$47*100,0)))</f>
      </c>
      <c r="L46" s="18">
        <f>IF(NOT(AND(ISTEXT(KOL_Source_Data!$U$22),KOL_Source_Data!$U$22&lt;&gt;"N/A")),"N/A",IF(Brand_Profile!$F$53=0,Lookup_Lists!$D$150,ROUND((IF(Brand_Profile!$F$48="",0,IF(ISNUMBER(SEARCH(Brand_Profile!$F$48,Matching_Engine!$BF$46)),1,0))+IF(Brand_Profile!$F$49="",0,IF(ISNUMBER(SEARCH(Brand_Profile!$F$49,Matching_Engine!$BF$46)),1,0))+IF(Brand_Profile!$F$50="",0,IF(ISNUMBER(SEARCH(Brand_Profile!$F$50,Matching_Engine!$BF$46)),1,0))+IF(Brand_Profile!$F$51="",0,IF(ISNUMBER(SEARCH(Brand_Profile!$F$51,Matching_Engine!$BF$46)),1,0))+IF(Brand_Profile!$F$52="",0,IF(ISNUMBER(SEARCH(Brand_Profile!$F$52,Matching_Engine!$BF$46)),1,0)))/Brand_Profile!$F$53*100,0)))</f>
      </c>
      <c r="M46" s="29">
        <f>IF((IF(ISNUMBER(Matching_Engine!$J$46),Lookup_Lists!$D$332,0)+IF(ISNUMBER(Matching_Engine!$K$46),Lookup_Lists!$D$333,0)+IF(ISNUMBER(Matching_Engine!$L$46),Lookup_Lists!$D$334,0))=0,"N/A",ROUND((IF(ISNUMBER(Matching_Engine!$J$46),Matching_Engine!$J$46*Lookup_Lists!$D$332,0)+IF(ISNUMBER(Matching_Engine!$K$46),Matching_Engine!$K$46*Lookup_Lists!$D$333,0)+IF(ISNUMBER(Matching_Engine!$L$46),Matching_Engine!$L$46*Lookup_Lists!$D$334,0))/(IF(ISNUMBER(Matching_Engine!$J$46),Lookup_Lists!$D$332,0)+IF(ISNUMBER(Matching_Engine!$K$46),Lookup_Lists!$D$333,0)+IF(ISNUMBER(Matching_Engine!$L$46),Lookup_Lists!$D$334,0)),0))</f>
      </c>
      <c r="N46" s="11">
        <f>IF(ISNUMBER(Matching_Engine!$M$46),1,0)</f>
      </c>
      <c r="O46" s="18">
        <f>IF(NOT(ISNUMBER(IFERROR(INDEX(KOL_Source_Data!$V$22:KOL_Source_Data!$Z$22,1,MATCH(Brand_Profile!$F$11,Lookup_Lists!$F$6:$F$10,0)),""))),"N/A",MIN(100,ROUND((IFERROR(INDEX(KOL_Source_Data!$V$22:KOL_Source_Data!$Z$22,1,MATCH(Brand_Profile!$F$11,Lookup_Lists!$F$6:$F$10,0)),"")+0.5*IF(ISNUMBER(IFERROR(INDEX(KOL_Source_Data!$V$22:KOL_Source_Data!$Z$22,1,MATCH(Brand_Profile!$F$12,Lookup_Lists!$F$6:$F$10,0)),"")),IFERROR(INDEX(KOL_Source_Data!$V$22:KOL_Source_Data!$Z$22,1,MATCH(Brand_Profile!$F$12,Lookup_Lists!$F$6:$F$10,0)),""),0))/Lookup_Lists!$D$142*100,0)))</f>
      </c>
      <c r="P46" s="18">
        <f>IF(Brand_Profile!$F$13="Any",100,IF(NOT(ISNUMBER(KOL_Source_Data!$AA$22)),"N/A",IF(Brand_Profile!$F$13="Female",MIN(100,ROUND(KOL_Source_Data!$AA$22/Lookup_Lists!$D$143*100,0)),IF(Brand_Profile!$F$13="Male",MIN(100,ROUND(IF(ISNUMBER(KOL_Source_Data!$AB$22),KOL_Source_Data!$AB$22,100-KOL_Source_Data!$AA$22)/Lookup_Lists!$D$143*100,0)),MAX(0,ROUND(100-ABS(KOL_Source_Data!$AA$22-50)*2,0))))))</f>
      </c>
      <c r="Q46" s="18">
        <f>IF((IF(ISNUMBER(IF(NOT(ISNUMBER(KOL_Source_Data!$AE$22)),"N/A",IF(KOL_Source_Data!$AD$22&lt;&gt;Brand_Profile!$F$14,Lookup_Lists!$D$151,MIN(100,ROUND(KOL_Source_Data!$AE$22/Lookup_Lists!$D$316*100,0))))),Lookup_Lists!$D$118,0)+IF(ISNUMBER(IF(NOT(ISNUMBER(KOL_Source_Data!$AM$22)),"N/A",MIN(100,ROUND((IF(KOL_Source_Data!$AG$22=Brand_Profile!$F$15,IF(ISNUMBER(KOL_Source_Data!$AH$22),KOL_Source_Data!$AH$22,0),0)+IF(KOL_Source_Data!$AI$22=Brand_Profile!$F$15,IF(ISNUMBER(KOL_Source_Data!$AJ$22),KOL_Source_Data!$AJ$22,0),0)+IF(KOL_Source_Data!$AK$22=Brand_Profile!$F$15,IF(ISNUMBER(KOL_Source_Data!$AL$22),KOL_Source_Data!$AL$22,0),0))/Lookup_Lists!$D$317*100,0)))),Lookup_Lists!$D$120,0))=0,"N/A",ROUND((IF(ISNUMBER(IF(NOT(ISNUMBER(KOL_Source_Data!$AE$22)),"N/A",IF(KOL_Source_Data!$AD$22&lt;&gt;Brand_Profile!$F$14,Lookup_Lists!$D$151,MIN(100,ROUND(KOL_Source_Data!$AE$22/Lookup_Lists!$D$316*100,0))))),IF(NOT(ISNUMBER(KOL_Source_Data!$AE$22)),"N/A",IF(KOL_Source_Data!$AD$22&lt;&gt;Brand_Profile!$F$14,Lookup_Lists!$D$151,MIN(100,ROUND(KOL_Source_Data!$AE$22/Lookup_Lists!$D$316*100,0))))*Lookup_Lists!$D$118,0)+IF(ISNUMBER(IF(NOT(ISNUMBER(KOL_Source_Data!$AM$22)),"N/A",MIN(100,ROUND((IF(KOL_Source_Data!$AG$22=Brand_Profile!$F$15,IF(ISNUMBER(KOL_Source_Data!$AH$22),KOL_Source_Data!$AH$22,0),0)+IF(KOL_Source_Data!$AI$22=Brand_Profile!$F$15,IF(ISNUMBER(KOL_Source_Data!$AJ$22),KOL_Source_Data!$AJ$22,0),0)+IF(KOL_Source_Data!$AK$22=Brand_Profile!$F$15,IF(ISNUMBER(KOL_Source_Data!$AL$22),KOL_Source_Data!$AL$22,0),0))/Lookup_Lists!$D$317*100,0)))),IF(NOT(ISNUMBER(KOL_Source_Data!$AM$22)),"N/A",MIN(100,ROUND((IF(KOL_Source_Data!$AG$22=Brand_Profile!$F$15,IF(ISNUMBER(KOL_Source_Data!$AH$22),KOL_Source_Data!$AH$22,0),0)+IF(KOL_Source_Data!$AI$22=Brand_Profile!$F$15,IF(ISNUMBER(KOL_Source_Data!$AJ$22),KOL_Source_Data!$AJ$22,0),0)+IF(KOL_Source_Data!$AK$22=Brand_Profile!$F$15,IF(ISNUMBER(KOL_Source_Data!$AL$22),KOL_Source_Data!$AL$22,0),0))/Lookup_Lists!$D$317*100,0)))*Lookup_Lists!$D$120,0))/(IF(ISNUMBER(IF(NOT(ISNUMBER(KOL_Source_Data!$AE$22)),"N/A",IF(KOL_Source_Data!$AD$22&lt;&gt;Brand_Profile!$F$14,Lookup_Lists!$D$151,MIN(100,ROUND(KOL_Source_Data!$AE$22/Lookup_Lists!$D$316*100,0))))),Lookup_Lists!$D$118,0)+IF(ISNUMBER(IF(NOT(ISNUMBER(KOL_Source_Data!$AM$22)),"N/A",MIN(100,ROUND((IF(KOL_Source_Data!$AG$22=Brand_Profile!$F$15,IF(ISNUMBER(KOL_Source_Data!$AH$22),KOL_Source_Data!$AH$22,0),0)+IF(KOL_Source_Data!$AI$22=Brand_Profile!$F$15,IF(ISNUMBER(KOL_Source_Data!$AJ$22),KOL_Source_Data!$AJ$22,0),0)+IF(KOL_Source_Data!$AK$22=Brand_Profile!$F$15,IF(ISNUMBER(KOL_Source_Data!$AL$22),KOL_Source_Data!$AL$22,0),0))/Lookup_Lists!$D$317*100,0)))),Lookup_Lists!$D$120,0)),0))</f>
      </c>
      <c r="R46" s="18">
        <f>IF(NOT(ISNUMBER(KOL_Source_Data!$AN$22)),"N/A",MIN(100,ROUND((IF(ISNUMBER(KOL_Source_Data!$AO$22),KOL_Source_Data!$AO$22*Brand_Profile!$F$17,0)+IF(ISNUMBER(KOL_Source_Data!$AP$22),KOL_Source_Data!$AP$22*Brand_Profile!$F$18,0)+IF(ISNUMBER(KOL_Source_Data!$AQ$22),KOL_Source_Data!$AQ$22*Brand_Profile!$F$19,0)+IF(ISNUMBER(KOL_Source_Data!$AR$22),KOL_Source_Data!$AR$22*Brand_Profile!$F$20,0)+IF(ISNUMBER(KOL_Source_Data!$AS$22),KOL_Source_Data!$AS$22*Brand_Profile!$F$21,0)+IF(ISNUMBER(KOL_Source_Data!$AT$22),KOL_Source_Data!$AT$22*Brand_Profile!$F$22,0)+IF(ISNUMBER(KOL_Source_Data!$AU$22),KOL_Source_Data!$AU$22*Brand_Profile!$F$23,0)+IF(ISNUMBER(KOL_Source_Data!$AV$22),KOL_Source_Data!$AV$22*Brand_Profile!$F$24,0)+IF(ISNUMBER(KOL_Source_Data!$AW$22),KOL_Source_Data!$AW$22*Brand_Profile!$F$25,0)+IF(ISNUMBER(KOL_Source_Data!$AX$22),KOL_Source_Data!$AX$22*Brand_Profile!$F$26,0)+IF(ISNUMBER(KOL_Source_Data!$AY$22),KOL_Source_Data!$AY$22*Brand_Profile!$F$27,0)+IF(ISNUMBER(KOL_Source_Data!$AZ$22),KOL_Source_Data!$AZ$22*Brand_Profile!$F$28,0)+IF(ISNUMBER(KOL_Source_Data!$BA$22),KOL_Source_Data!$BA$22*Brand_Profile!$F$29,0)+IF(ISNUMBER(KOL_Source_Data!$BB$22),KOL_Source_Data!$BB$22*Brand_Profile!$F$30,0)+IF(ISNUMBER(KOL_Source_Data!$BC$22),KOL_Source_Data!$BC$22*Brand_Profile!$F$31,0)+IF(ISNUMBER(KOL_Source_Data!$BD$22),KOL_Source_Data!$BD$22*Brand_Profile!$F$32,0)+IF(ISNUMBER(KOL_Source_Data!$BE$22),KOL_Source_Data!$BE$22*Brand_Profile!$F$33,0)+IF(ISNUMBER(KOL_Source_Data!$BF$22),KOL_Source_Data!$BF$22*Brand_Profile!$F$34,0))/Lookup_Lists!$D$318*100,0)))</f>
      </c>
      <c r="S46" s="29">
        <f>IF((IF(ISNUMBER(Matching_Engine!$O$46),Lookup_Lists!$D$113,0)+IF(ISNUMBER(Matching_Engine!$P$46),Lookup_Lists!$D$114,0)+IF(ISNUMBER(Matching_Engine!$Q$46),Lookup_Lists!$D$115,0)+IF(ISNUMBER(Matching_Engine!$R$46),Lookup_Lists!$D$116,0))=0,"N/A",ROUND((IF(ISNUMBER(Matching_Engine!$O$46),Matching_Engine!$O$46*Lookup_Lists!$D$113,0)+IF(ISNUMBER(Matching_Engine!$P$46),Matching_Engine!$P$46*Lookup_Lists!$D$114,0)+IF(ISNUMBER(Matching_Engine!$Q$46),Matching_Engine!$Q$46*Lookup_Lists!$D$115,0)+IF(ISNUMBER(Matching_Engine!$R$46),Matching_Engine!$R$46*Lookup_Lists!$D$116,0))/(IF(ISNUMBER(Matching_Engine!$O$46),Lookup_Lists!$D$113,0)+IF(ISNUMBER(Matching_Engine!$P$46),Lookup_Lists!$D$114,0)+IF(ISNUMBER(Matching_Engine!$Q$46),Lookup_Lists!$D$115,0)+IF(ISNUMBER(Matching_Engine!$R$46),Lookup_Lists!$D$116,0)),0))</f>
      </c>
      <c r="T46" s="11">
        <f>IF(ISNUMBER(Matching_Engine!$S$46),1,0)</f>
      </c>
      <c r="U46" s="18">
        <f>IF(NOT(AND(ISTEXT(KOL_Source_Data!$M$22),KOL_Source_Data!$M$22&lt;&gt;"N/A")),Lookup_Lists!$D$150,IF(Brand_Profile!$F$7=KOL_Source_Data!$M$22,100,IFERROR(INDEX(Lookup_Lists!$B$349:$J$357,MATCH(Brand_Profile!$F$7,Lookup_Lists!$A$349:$A$357,0),MATCH(KOL_Source_Data!$M$22,Lookup_Lists!$B$348:$J$348,0)),Lookup_Lists!$D$151)))</f>
      </c>
      <c r="V46" s="18">
        <f>IF(NOT(AND(ISTEXT(KOL_Source_Data!$P$22),KOL_Source_Data!$P$22&lt;&gt;"N/A")),"N/A",IFERROR(INDEX(Lookup_Lists!$B$349:$J$357,MATCH(Brand_Profile!$F$7,Lookup_Lists!$A$349:$A$357,0),MATCH(KOL_Source_Data!$P$22,Lookup_Lists!$B$348:$J$348,0)),Lookup_Lists!$D$151))</f>
      </c>
      <c r="W46" s="18">
        <f>IF(LEN(TRIM(SUBSTITUTE(Matching_Engine!$BE$46,"|","")))=0,"N/A",IF(Brand_Profile!$F$60=0,Lookup_Lists!$D$150,ROUND((IF(Brand_Profile!$F$54="",0,IF(ISNUMBER(SEARCH(Brand_Profile!$F$54,Matching_Engine!$BE$46)),1,0))+IF(Brand_Profile!$F$55="",0,IF(ISNUMBER(SEARCH(Brand_Profile!$F$55,Matching_Engine!$BE$46)),1,0))+IF(Brand_Profile!$F$56="",0,IF(ISNUMBER(SEARCH(Brand_Profile!$F$56,Matching_Engine!$BE$46)),1,0))+IF(Brand_Profile!$F$57="",0,IF(ISNUMBER(SEARCH(Brand_Profile!$F$57,Matching_Engine!$BE$46)),1,0))+IF(Brand_Profile!$F$58="",0,IF(ISNUMBER(SEARCH(Brand_Profile!$F$58,Matching_Engine!$BE$46)),1,0))+IF(Brand_Profile!$F$59="",0,IF(ISNUMBER(SEARCH(Brand_Profile!$F$59,Matching_Engine!$BE$46)),1,0)))/Brand_Profile!$F$60*100,0)))</f>
      </c>
      <c r="X46" s="18">
        <f>IF(NOT(AND(ISTEXT(KOL_Source_Data!$Q$22),KOL_Source_Data!$Q$22&lt;&gt;"N/A")),"N/A",Lookup_Lists!$D$150)</f>
      </c>
      <c r="Y46" s="29">
        <f>IF((IF(ISNUMBER(Matching_Engine!$U$46),Lookup_Lists!$D$335,0)+IF(ISNUMBER(Matching_Engine!$V$46),Lookup_Lists!$D$122,0)+IF(ISNUMBER(Matching_Engine!$W$46),Lookup_Lists!$D$336,0)+IF(ISNUMBER(Matching_Engine!$X$46),Lookup_Lists!$D$124,0))=0,"N/A",ROUND((IF(ISNUMBER(Matching_Engine!$U$46),Matching_Engine!$U$46*Lookup_Lists!$D$335,0)+IF(ISNUMBER(Matching_Engine!$V$46),Matching_Engine!$V$46*Lookup_Lists!$D$122,0)+IF(ISNUMBER(Matching_Engine!$W$46),Matching_Engine!$W$46*Lookup_Lists!$D$336,0)+IF(ISNUMBER(Matching_Engine!$X$46),Matching_Engine!$X$46*Lookup_Lists!$D$124,0))/(IF(ISNUMBER(Matching_Engine!$U$46),Lookup_Lists!$D$335,0)+IF(ISNUMBER(Matching_Engine!$V$46),Lookup_Lists!$D$122,0)+IF(ISNUMBER(Matching_Engine!$W$46),Lookup_Lists!$D$336,0)+IF(ISNUMBER(Matching_Engine!$X$46),Lookup_Lists!$D$124,0)),0))</f>
      </c>
      <c r="Z46" s="11">
        <f>IF(ISNUMBER(Matching_Engine!$Y$46),1,0)</f>
      </c>
      <c r="AA46" s="18">
        <f>IF(NOT(AND(ISTEXT(KOL_Source_Data!$Q$22),KOL_Source_Data!$Q$22&lt;&gt;"N/A")),"N/A",Lookup_Lists!$D$150)</f>
      </c>
      <c r="AB46" s="18">
        <f>IF(NOT(AND(ISTEXT(KOL_Source_Data!$Q$22),KOL_Source_Data!$Q$22&lt;&gt;"N/A")),"N/A",Lookup_Lists!$D$150)</f>
      </c>
      <c r="AC46" s="18">
        <f>"N/A"</f>
      </c>
      <c r="AD46" s="18">
        <f>IF(NOT(AND(ISTEXT(KOL_Source_Data!$Q$22),KOL_Source_Data!$Q$22&lt;&gt;"N/A")),"N/A",Lookup_Lists!$D$150)</f>
      </c>
      <c r="AE46" s="29">
        <f>IF((IF(ISNUMBER(Matching_Engine!$AA$46),Lookup_Lists!$D$125,0)+IF(ISNUMBER(Matching_Engine!$AB$46),Lookup_Lists!$D$126,0)+IF(ISNUMBER(Matching_Engine!$AC$46),Lookup_Lists!$D$127,0)+IF(ISNUMBER(Matching_Engine!$AD$46),Lookup_Lists!$D$128,0))=0,"N/A",ROUND((IF(ISNUMBER(Matching_Engine!$AA$46),Matching_Engine!$AA$46*Lookup_Lists!$D$125,0)+IF(ISNUMBER(Matching_Engine!$AB$46),Matching_Engine!$AB$46*Lookup_Lists!$D$126,0)+IF(ISNUMBER(Matching_Engine!$AC$46),Matching_Engine!$AC$46*Lookup_Lists!$D$127,0)+IF(ISNUMBER(Matching_Engine!$AD$46),Matching_Engine!$AD$46*Lookup_Lists!$D$128,0))/(IF(ISNUMBER(Matching_Engine!$AA$46),Lookup_Lists!$D$125,0)+IF(ISNUMBER(Matching_Engine!$AB$46),Lookup_Lists!$D$126,0)+IF(ISNUMBER(Matching_Engine!$AC$46),Lookup_Lists!$D$127,0)+IF(ISNUMBER(Matching_Engine!$AD$46),Lookup_Lists!$D$128,0)),0))</f>
      </c>
      <c r="AF46" s="11">
        <f>IF(ISNUMBER(Matching_Engine!$AE$46),1,0)</f>
      </c>
      <c r="AG46" s="18">
        <f>IF(NOT(ISNUMBER(KOL_Source_Data!$BG$22)),"N/A",MIN(100,ROUND(KOL_Source_Data!$BG$22/IFERROR(INDEX(Lookup_Lists!$B$340:$B$344,MATCH(KOL_Source_Data!$H$22,Lookup_Lists!$A$340:$A$344,0)),Lookup_Lists!$D$141)*100,0)))</f>
      </c>
      <c r="AH46" s="18">
        <f>IF(NOT(ISNUMBER(KOL_Source_Data!$BS$22)),"N/A",MIN(100,MAX(0,KOL_Source_Data!$BS$22)))</f>
      </c>
      <c r="AI46" s="18">
        <f>IF(OR(NOT(ISNUMBER(KOL_Source_Data!$BM$22)),NOT(ISNUMBER(KOL_Source_Data!$BN$22)),KOL_Source_Data!$BN$22&lt;Lookup_Lists!$D$320),"N/A",MIN(100,ROUND(KOL_Source_Data!$BM$22/Lookup_Lists!$D$319*100,0)))</f>
      </c>
      <c r="AJ46" s="18">
        <f>IF(NOT(ISNUMBER(KOL_Source_Data!$BR$22)),"N/A",KOL_Source_Data!$BR$22)</f>
      </c>
      <c r="AK46" s="18">
        <f>IF(NOT(ISNUMBER(KOL_Source_Data!$BK$22)),"N/A",MIN(100,ROUND(KOL_Source_Data!$BK$22/Lookup_Lists!$D$321*100,0)))</f>
      </c>
      <c r="AL46" s="18">
        <f>IF(NOT(ISNUMBER(KOL_Source_Data!$BP$22)),"N/A",MIN(100,MAX(0,ROUND((KOL_Source_Data!$BP$22+2)/(Lookup_Lists!$D$145+2)*100,0))))</f>
      </c>
      <c r="AM46" s="29">
        <f>IF((IF(ISNUMBER(Matching_Engine!$AG$46),Lookup_Lists!$D$129,0)+IF(ISNUMBER(Matching_Engine!$AH$46),Lookup_Lists!$D$130,0)+IF(ISNUMBER(Matching_Engine!$AI$46),Lookup_Lists!$D$131,0)+IF(ISNUMBER(Matching_Engine!$AJ$46),Lookup_Lists!$D$132,0)+IF(ISNUMBER(Matching_Engine!$AK$46),Lookup_Lists!$D$133,0)+IF(ISNUMBER(Matching_Engine!$AL$46),Lookup_Lists!$D$134,0))=0,"N/A",ROUND((IF(ISNUMBER(Matching_Engine!$AG$46),Matching_Engine!$AG$46*Lookup_Lists!$D$129,0)+IF(ISNUMBER(Matching_Engine!$AH$46),Matching_Engine!$AH$46*Lookup_Lists!$D$130,0)+IF(ISNUMBER(Matching_Engine!$AI$46),Matching_Engine!$AI$46*Lookup_Lists!$D$131,0)+IF(ISNUMBER(Matching_Engine!$AJ$46),Matching_Engine!$AJ$46*Lookup_Lists!$D$132,0)+IF(ISNUMBER(Matching_Engine!$AK$46),Matching_Engine!$AK$46*Lookup_Lists!$D$133,0)+IF(ISNUMBER(Matching_Engine!$AL$46),Matching_Engine!$AL$46*Lookup_Lists!$D$134,0))/(IF(ISNUMBER(Matching_Engine!$AG$46),Lookup_Lists!$D$129,0)+IF(ISNUMBER(Matching_Engine!$AH$46),Lookup_Lists!$D$130,0)+IF(ISNUMBER(Matching_Engine!$AI$46),Lookup_Lists!$D$131,0)+IF(ISNUMBER(Matching_Engine!$AJ$46),Lookup_Lists!$D$132,0)+IF(ISNUMBER(Matching_Engine!$AK$46),Lookup_Lists!$D$133,0)+IF(ISNUMBER(Matching_Engine!$AL$46),Lookup_Lists!$D$134,0)),0))</f>
      </c>
      <c r="AN46" s="11">
        <f>IF(ISNUMBER(Matching_Engine!$AM$46),1,0)</f>
      </c>
      <c r="AO46" s="18">
        <f>IF(NOT(ISNUMBER(KOL_Source_Data!$BT$22)),"N/A",MIN(100,MAX(0,KOL_Source_Data!$BT$22)))</f>
      </c>
      <c r="AP46" s="18">
        <f>IF(NOT(ISNUMBER(KOL_Source_Data!$BU$22)),"N/A",MIN(100,MAX(0,KOL_Source_Data!$BU$22)))</f>
      </c>
      <c r="AQ46" s="18">
        <f>IF(KOL_Source_Data!$I$22="Yes",Lookup_Lists!$D$326,IF(KOL_Source_Data!$I$22="No",Lookup_Lists!$D$327,"N/A"))</f>
      </c>
      <c r="AR46" s="18">
        <f>IF(NOT(ISNUMBER(KOL_Source_Data!$BQ$22)),"N/A",MAX(0,ROUND(100-KOL_Source_Data!$BQ$22/Lookup_Lists!$D$328*100,0)))</f>
      </c>
      <c r="AS46" s="18">
        <f>IF(NOT(AND(ISTEXT(KOL_Source_Data!$BV$22),KOL_Source_Data!$BV$22&lt;&gt;"N/A")),"N/A",KOL_Source_Data!$BV$22)</f>
      </c>
      <c r="AT46" s="29">
        <f>IF((IF(ISNUMBER(Matching_Engine!$AO$46),Lookup_Lists!$D$322,0)+IF(ISNUMBER(Matching_Engine!$AP$46),Lookup_Lists!$D$323,0)+IF(ISNUMBER(Matching_Engine!$AQ$46),Lookup_Lists!$D$324,0)+IF(ISNUMBER(Matching_Engine!$AR$46),Lookup_Lists!$D$325,0))=0,"N/A",ROUND((IF(ISNUMBER(Matching_Engine!$AO$46),Matching_Engine!$AO$46*Lookup_Lists!$D$322,0)+IF(ISNUMBER(Matching_Engine!$AP$46),Matching_Engine!$AP$46*Lookup_Lists!$D$323,0)+IF(ISNUMBER(Matching_Engine!$AQ$46),Matching_Engine!$AQ$46*Lookup_Lists!$D$324,0)+IF(ISNUMBER(Matching_Engine!$AR$46),Matching_Engine!$AR$46*Lookup_Lists!$D$325,0))/(IF(ISNUMBER(Matching_Engine!$AO$46),Lookup_Lists!$D$322,0)+IF(ISNUMBER(Matching_Engine!$AP$46),Lookup_Lists!$D$323,0)+IF(ISNUMBER(Matching_Engine!$AQ$46),Lookup_Lists!$D$324,0)+IF(ISNUMBER(Matching_Engine!$AR$46),Lookup_Lists!$D$325,0)),0))</f>
      </c>
      <c r="AU46" s="11">
        <f>IF(ISNUMBER(Matching_Engine!$AT$46),1,0)</f>
      </c>
      <c r="AV46" s="11">
        <f>IF(NOT(ISNUMBER(Matching_Engine!$AT$46)),"Not Screened",IF(Matching_Engine!$AT$46&gt;=Lookup_Lists!$D$329,"Low Risk",IF(Matching_Engine!$AT$46&gt;=Lookup_Lists!$D$330,"Moderate Risk",IF(Matching_Engine!$AT$46&gt;=Lookup_Lists!$D$331,"Elevated Risk","High Risk"))))</f>
      </c>
      <c r="AW46" s="11">
        <f>IF(NOT(ISNUMBER(Matching_Engine!$AT$46)),"No integrity signal: no audience-analysis row for this account.","Integrity screen only — no content-risk reading exists (comments_analysis: 0 rows). "&amp;IF(ISNUMBER(Matching_Engine!$AO$46),"Authenticity "&amp;Matching_Engine!$AO$46&amp;". ","Authenticity N/A. ")&amp;IF(ISNUMBER(Matching_Engine!$AP$46),"Follower quality "&amp;Matching_Engine!$AP$46&amp;". ","Follower quality N/A. ")&amp;IF(KOL_Source_Data!$I$22="Yes","Platform-verified.","Not platform-verified."))</f>
      </c>
      <c r="AX46" s="18">
        <f>Matching_Engine!$N$46*Lookup_Lists!$D$104+Matching_Engine!$T$46*Lookup_Lists!$D$105+Matching_Engine!$Z$46*Lookup_Lists!$D$106+Matching_Engine!$AF$46*Lookup_Lists!$D$107+Matching_Engine!$AN$46*Lookup_Lists!$D$108+Matching_Engine!$AU$46*Lookup_Lists!$D$109</f>
      </c>
      <c r="AY46" s="30">
        <f>IF(Matching_Engine!$AX$46=0,"N/A",ROUND((IF(Matching_Engine!$N$46=1,Matching_Engine!$M$46*Lookup_Lists!$D$104,0)+IF(Matching_Engine!$T$46=1,Matching_Engine!$S$46*Lookup_Lists!$D$105,0)+IF(Matching_Engine!$Z$46=1,Matching_Engine!$Y$46*Lookup_Lists!$D$106,0)+IF(Matching_Engine!$AF$46=1,Matching_Engine!$AE$46*Lookup_Lists!$D$107,0)+IF(Matching_Engine!$AN$46=1,Matching_Engine!$AM$46*Lookup_Lists!$D$108,0)+IF(Matching_Engine!$AU$46=1,Matching_Engine!$AT$46*Lookup_Lists!$D$109,0))/Matching_Engine!$AX$46,0))</f>
      </c>
      <c r="AZ46" s="11">
        <f>IF(NOT(ISNUMBER(Matching_Engine!$AY$46)),"Not Scored",IF(Matching_Engine!$AY$46&gt;=Lookup_Lists!$D$152,"Excellent Match",IF(Matching_Engine!$AY$46&gt;=Lookup_Lists!$D$153,"Strong Match",IF(Matching_Engine!$AY$46&gt;=Lookup_Lists!$D$154,"Good Match",IF(Matching_Engine!$AY$46&gt;=Lookup_Lists!$D$155,"Moderate Match","Low Match")))))</f>
      </c>
      <c r="BA46" s="18">
        <f>KOL_Source_Data!$BW$22</f>
      </c>
      <c r="BB46" s="11">
        <f>KOL_Source_Data!$BX$22</f>
      </c>
      <c r="BC46" s="18">
        <f>IF(NOT(ISNUMBER(Matching_Engine!$AY$46)),-1,Matching_Engine!$AY$46*1000+8)</f>
      </c>
      <c r="BD46" s="11">
        <f>IF(AND(ISTEXT(KOL_Source_Data!$S$22),KOL_Source_Data!$S$22&lt;&gt;"N/A"),KOL_Source_Data!$S$22,"")&amp;" | "&amp;IF(AND(ISTEXT(KOL_Source_Data!$T$22),KOL_Source_Data!$T$22&lt;&gt;"N/A"),KOL_Source_Data!$T$22,"")&amp;" | "&amp;IF(AND(ISTEXT(KOL_Source_Data!$N$22),KOL_Source_Data!$N$22&lt;&gt;"N/A"),KOL_Source_Data!$N$22,"")&amp;" | "&amp;IF(AND(ISTEXT(KOL_Source_Data!$K$22),KOL_Source_Data!$K$22&lt;&gt;"N/A"),KOL_Source_Data!$K$22,"")&amp;" | "&amp;IF(AND(ISTEXT(KOL_Source_Data!$J$22),KOL_Source_Data!$J$22&lt;&gt;"N/A"),KOL_Source_Data!$J$22,"")</f>
      </c>
      <c r="BE46" s="11">
        <f>IF(AND(ISTEXT(KOL_Source_Data!$T$22),KOL_Source_Data!$T$22&lt;&gt;"N/A"),KOL_Source_Data!$T$22,"")&amp;" | "&amp;IF(AND(ISTEXT(KOL_Source_Data!$N$22),KOL_Source_Data!$N$22&lt;&gt;"N/A"),KOL_Source_Data!$N$22,"")&amp;" | "&amp;IF(AND(ISTEXT(KOL_Source_Data!$O$22),KOL_Source_Data!$O$22&lt;&gt;"N/A"),KOL_Source_Data!$O$22,"")&amp;" | "&amp;IF(AND(ISTEXT(KOL_Source_Data!$S$22),KOL_Source_Data!$S$22&lt;&gt;"N/A"),KOL_Source_Data!$S$22,"")</f>
      </c>
      <c r="BF46" s="11">
        <f>IF(AND(ISTEXT(KOL_Source_Data!$U$22),KOL_Source_Data!$U$22&lt;&gt;"N/A"),KOL_Source_Data!$U$22,"")</f>
      </c>
      <c r="BG46" s="11">
        <f>Matching_Engine!$A$46&amp;"|"&amp;Matching_Engine!$C$46</f>
      </c>
    </row>
    <row r="47" spans="1:59" x14ac:dyDescent="0.25">
      <c r="A47" s="10" t="s">
        <v>391</v>
      </c>
      <c r="B47" s="11">
        <f>Brand_Profile!$F$6</f>
      </c>
      <c r="C47" s="11">
        <f>KOL_Source_Data!$A$23</f>
      </c>
      <c r="D47" s="11">
        <f>KOL_Source_Data!$C$23</f>
      </c>
      <c r="E47" s="11">
        <f>KOL_Source_Data!$D$23</f>
      </c>
      <c r="F47" s="11">
        <f>KOL_Source_Data!$E$23</f>
      </c>
      <c r="G47" s="11">
        <f>KOL_Source_Data!$K$23</f>
      </c>
      <c r="H47" s="12">
        <f>KOL_Source_Data!$G$23</f>
      </c>
      <c r="I47" s="14">
        <f>KOL_Source_Data!$BG$23</f>
      </c>
      <c r="J47" s="18">
        <f>IF(NOT(AND(ISTEXT(KOL_Source_Data!$K$23),KOL_Source_Data!$K$23&lt;&gt;"N/A")),Lookup_Lists!$D$150,IF(Brand_Profile!$F$7=KOL_Source_Data!$K$23,100,IFERROR(INDEX(Lookup_Lists!$B$349:$J$357,MATCH(Brand_Profile!$F$7,Lookup_Lists!$A$349:$A$357,0),MATCH(KOL_Source_Data!$K$23,Lookup_Lists!$B$348:$J$348,0)),Lookup_Lists!$D$151)))</f>
      </c>
      <c r="K47" s="18">
        <f>IF(LEN(TRIM(SUBSTITUTE(Matching_Engine!$BD$47,"|","")))=0,"N/A",IF(Brand_Profile!$F$47=0,Lookup_Lists!$D$150,ROUND((IF(Brand_Profile!$F$41="",0,IF(ISNUMBER(SEARCH(Brand_Profile!$F$41,Matching_Engine!$BD$47)),1,0))+IF(Brand_Profile!$F$42="",0,IF(ISNUMBER(SEARCH(Brand_Profile!$F$42,Matching_Engine!$BD$47)),1,0))+IF(Brand_Profile!$F$43="",0,IF(ISNUMBER(SEARCH(Brand_Profile!$F$43,Matching_Engine!$BD$47)),1,0))+IF(Brand_Profile!$F$44="",0,IF(ISNUMBER(SEARCH(Brand_Profile!$F$44,Matching_Engine!$BD$47)),1,0))+IF(Brand_Profile!$F$45="",0,IF(ISNUMBER(SEARCH(Brand_Profile!$F$45,Matching_Engine!$BD$47)),1,0))+IF(Brand_Profile!$F$46="",0,IF(ISNUMBER(SEARCH(Brand_Profile!$F$46,Matching_Engine!$BD$47)),1,0)))/Brand_Profile!$F$47*100,0)))</f>
      </c>
      <c r="L47" s="18">
        <f>IF(NOT(AND(ISTEXT(KOL_Source_Data!$U$23),KOL_Source_Data!$U$23&lt;&gt;"N/A")),"N/A",IF(Brand_Profile!$F$53=0,Lookup_Lists!$D$150,ROUND((IF(Brand_Profile!$F$48="",0,IF(ISNUMBER(SEARCH(Brand_Profile!$F$48,Matching_Engine!$BF$47)),1,0))+IF(Brand_Profile!$F$49="",0,IF(ISNUMBER(SEARCH(Brand_Profile!$F$49,Matching_Engine!$BF$47)),1,0))+IF(Brand_Profile!$F$50="",0,IF(ISNUMBER(SEARCH(Brand_Profile!$F$50,Matching_Engine!$BF$47)),1,0))+IF(Brand_Profile!$F$51="",0,IF(ISNUMBER(SEARCH(Brand_Profile!$F$51,Matching_Engine!$BF$47)),1,0))+IF(Brand_Profile!$F$52="",0,IF(ISNUMBER(SEARCH(Brand_Profile!$F$52,Matching_Engine!$BF$47)),1,0)))/Brand_Profile!$F$53*100,0)))</f>
      </c>
      <c r="M47" s="29">
        <f>IF((IF(ISNUMBER(Matching_Engine!$J$47),Lookup_Lists!$D$332,0)+IF(ISNUMBER(Matching_Engine!$K$47),Lookup_Lists!$D$333,0)+IF(ISNUMBER(Matching_Engine!$L$47),Lookup_Lists!$D$334,0))=0,"N/A",ROUND((IF(ISNUMBER(Matching_Engine!$J$47),Matching_Engine!$J$47*Lookup_Lists!$D$332,0)+IF(ISNUMBER(Matching_Engine!$K$47),Matching_Engine!$K$47*Lookup_Lists!$D$333,0)+IF(ISNUMBER(Matching_Engine!$L$47),Matching_Engine!$L$47*Lookup_Lists!$D$334,0))/(IF(ISNUMBER(Matching_Engine!$J$47),Lookup_Lists!$D$332,0)+IF(ISNUMBER(Matching_Engine!$K$47),Lookup_Lists!$D$333,0)+IF(ISNUMBER(Matching_Engine!$L$47),Lookup_Lists!$D$334,0)),0))</f>
      </c>
      <c r="N47" s="11">
        <f>IF(ISNUMBER(Matching_Engine!$M$47),1,0)</f>
      </c>
      <c r="O47" s="18">
        <f>IF(NOT(ISNUMBER(IFERROR(INDEX(KOL_Source_Data!$V$23:KOL_Source_Data!$Z$23,1,MATCH(Brand_Profile!$F$11,Lookup_Lists!$F$6:$F$10,0)),""))),"N/A",MIN(100,ROUND((IFERROR(INDEX(KOL_Source_Data!$V$23:KOL_Source_Data!$Z$23,1,MATCH(Brand_Profile!$F$11,Lookup_Lists!$F$6:$F$10,0)),"")+0.5*IF(ISNUMBER(IFERROR(INDEX(KOL_Source_Data!$V$23:KOL_Source_Data!$Z$23,1,MATCH(Brand_Profile!$F$12,Lookup_Lists!$F$6:$F$10,0)),"")),IFERROR(INDEX(KOL_Source_Data!$V$23:KOL_Source_Data!$Z$23,1,MATCH(Brand_Profile!$F$12,Lookup_Lists!$F$6:$F$10,0)),""),0))/Lookup_Lists!$D$142*100,0)))</f>
      </c>
      <c r="P47" s="18">
        <f>IF(Brand_Profile!$F$13="Any",100,IF(NOT(ISNUMBER(KOL_Source_Data!$AA$23)),"N/A",IF(Brand_Profile!$F$13="Female",MIN(100,ROUND(KOL_Source_Data!$AA$23/Lookup_Lists!$D$143*100,0)),IF(Brand_Profile!$F$13="Male",MIN(100,ROUND(IF(ISNUMBER(KOL_Source_Data!$AB$23),KOL_Source_Data!$AB$23,100-KOL_Source_Data!$AA$23)/Lookup_Lists!$D$143*100,0)),MAX(0,ROUND(100-ABS(KOL_Source_Data!$AA$23-50)*2,0))))))</f>
      </c>
      <c r="Q47" s="18">
        <f>IF((IF(ISNUMBER(IF(NOT(ISNUMBER(KOL_Source_Data!$AE$23)),"N/A",IF(KOL_Source_Data!$AD$23&lt;&gt;Brand_Profile!$F$14,Lookup_Lists!$D$151,MIN(100,ROUND(KOL_Source_Data!$AE$23/Lookup_Lists!$D$316*100,0))))),Lookup_Lists!$D$118,0)+IF(ISNUMBER(IF(NOT(ISNUMBER(KOL_Source_Data!$AM$23)),"N/A",MIN(100,ROUND((IF(KOL_Source_Data!$AG$23=Brand_Profile!$F$15,IF(ISNUMBER(KOL_Source_Data!$AH$23),KOL_Source_Data!$AH$23,0),0)+IF(KOL_Source_Data!$AI$23=Brand_Profile!$F$15,IF(ISNUMBER(KOL_Source_Data!$AJ$23),KOL_Source_Data!$AJ$23,0),0)+IF(KOL_Source_Data!$AK$23=Brand_Profile!$F$15,IF(ISNUMBER(KOL_Source_Data!$AL$23),KOL_Source_Data!$AL$23,0),0))/Lookup_Lists!$D$317*100,0)))),Lookup_Lists!$D$120,0))=0,"N/A",ROUND((IF(ISNUMBER(IF(NOT(ISNUMBER(KOL_Source_Data!$AE$23)),"N/A",IF(KOL_Source_Data!$AD$23&lt;&gt;Brand_Profile!$F$14,Lookup_Lists!$D$151,MIN(100,ROUND(KOL_Source_Data!$AE$23/Lookup_Lists!$D$316*100,0))))),IF(NOT(ISNUMBER(KOL_Source_Data!$AE$23)),"N/A",IF(KOL_Source_Data!$AD$23&lt;&gt;Brand_Profile!$F$14,Lookup_Lists!$D$151,MIN(100,ROUND(KOL_Source_Data!$AE$23/Lookup_Lists!$D$316*100,0))))*Lookup_Lists!$D$118,0)+IF(ISNUMBER(IF(NOT(ISNUMBER(KOL_Source_Data!$AM$23)),"N/A",MIN(100,ROUND((IF(KOL_Source_Data!$AG$23=Brand_Profile!$F$15,IF(ISNUMBER(KOL_Source_Data!$AH$23),KOL_Source_Data!$AH$23,0),0)+IF(KOL_Source_Data!$AI$23=Brand_Profile!$F$15,IF(ISNUMBER(KOL_Source_Data!$AJ$23),KOL_Source_Data!$AJ$23,0),0)+IF(KOL_Source_Data!$AK$23=Brand_Profile!$F$15,IF(ISNUMBER(KOL_Source_Data!$AL$23),KOL_Source_Data!$AL$23,0),0))/Lookup_Lists!$D$317*100,0)))),IF(NOT(ISNUMBER(KOL_Source_Data!$AM$23)),"N/A",MIN(100,ROUND((IF(KOL_Source_Data!$AG$23=Brand_Profile!$F$15,IF(ISNUMBER(KOL_Source_Data!$AH$23),KOL_Source_Data!$AH$23,0),0)+IF(KOL_Source_Data!$AI$23=Brand_Profile!$F$15,IF(ISNUMBER(KOL_Source_Data!$AJ$23),KOL_Source_Data!$AJ$23,0),0)+IF(KOL_Source_Data!$AK$23=Brand_Profile!$F$15,IF(ISNUMBER(KOL_Source_Data!$AL$23),KOL_Source_Data!$AL$23,0),0))/Lookup_Lists!$D$317*100,0)))*Lookup_Lists!$D$120,0))/(IF(ISNUMBER(IF(NOT(ISNUMBER(KOL_Source_Data!$AE$23)),"N/A",IF(KOL_Source_Data!$AD$23&lt;&gt;Brand_Profile!$F$14,Lookup_Lists!$D$151,MIN(100,ROUND(KOL_Source_Data!$AE$23/Lookup_Lists!$D$316*100,0))))),Lookup_Lists!$D$118,0)+IF(ISNUMBER(IF(NOT(ISNUMBER(KOL_Source_Data!$AM$23)),"N/A",MIN(100,ROUND((IF(KOL_Source_Data!$AG$23=Brand_Profile!$F$15,IF(ISNUMBER(KOL_Source_Data!$AH$23),KOL_Source_Data!$AH$23,0),0)+IF(KOL_Source_Data!$AI$23=Brand_Profile!$F$15,IF(ISNUMBER(KOL_Source_Data!$AJ$23),KOL_Source_Data!$AJ$23,0),0)+IF(KOL_Source_Data!$AK$23=Brand_Profile!$F$15,IF(ISNUMBER(KOL_Source_Data!$AL$23),KOL_Source_Data!$AL$23,0),0))/Lookup_Lists!$D$317*100,0)))),Lookup_Lists!$D$120,0)),0))</f>
      </c>
      <c r="R47" s="18">
        <f>IF(NOT(ISNUMBER(KOL_Source_Data!$AN$23)),"N/A",MIN(100,ROUND((IF(ISNUMBER(KOL_Source_Data!$AO$23),KOL_Source_Data!$AO$23*Brand_Profile!$F$17,0)+IF(ISNUMBER(KOL_Source_Data!$AP$23),KOL_Source_Data!$AP$23*Brand_Profile!$F$18,0)+IF(ISNUMBER(KOL_Source_Data!$AQ$23),KOL_Source_Data!$AQ$23*Brand_Profile!$F$19,0)+IF(ISNUMBER(KOL_Source_Data!$AR$23),KOL_Source_Data!$AR$23*Brand_Profile!$F$20,0)+IF(ISNUMBER(KOL_Source_Data!$AS$23),KOL_Source_Data!$AS$23*Brand_Profile!$F$21,0)+IF(ISNUMBER(KOL_Source_Data!$AT$23),KOL_Source_Data!$AT$23*Brand_Profile!$F$22,0)+IF(ISNUMBER(KOL_Source_Data!$AU$23),KOL_Source_Data!$AU$23*Brand_Profile!$F$23,0)+IF(ISNUMBER(KOL_Source_Data!$AV$23),KOL_Source_Data!$AV$23*Brand_Profile!$F$24,0)+IF(ISNUMBER(KOL_Source_Data!$AW$23),KOL_Source_Data!$AW$23*Brand_Profile!$F$25,0)+IF(ISNUMBER(KOL_Source_Data!$AX$23),KOL_Source_Data!$AX$23*Brand_Profile!$F$26,0)+IF(ISNUMBER(KOL_Source_Data!$AY$23),KOL_Source_Data!$AY$23*Brand_Profile!$F$27,0)+IF(ISNUMBER(KOL_Source_Data!$AZ$23),KOL_Source_Data!$AZ$23*Brand_Profile!$F$28,0)+IF(ISNUMBER(KOL_Source_Data!$BA$23),KOL_Source_Data!$BA$23*Brand_Profile!$F$29,0)+IF(ISNUMBER(KOL_Source_Data!$BB$23),KOL_Source_Data!$BB$23*Brand_Profile!$F$30,0)+IF(ISNUMBER(KOL_Source_Data!$BC$23),KOL_Source_Data!$BC$23*Brand_Profile!$F$31,0)+IF(ISNUMBER(KOL_Source_Data!$BD$23),KOL_Source_Data!$BD$23*Brand_Profile!$F$32,0)+IF(ISNUMBER(KOL_Source_Data!$BE$23),KOL_Source_Data!$BE$23*Brand_Profile!$F$33,0)+IF(ISNUMBER(KOL_Source_Data!$BF$23),KOL_Source_Data!$BF$23*Brand_Profile!$F$34,0))/Lookup_Lists!$D$318*100,0)))</f>
      </c>
      <c r="S47" s="29">
        <f>IF((IF(ISNUMBER(Matching_Engine!$O$47),Lookup_Lists!$D$113,0)+IF(ISNUMBER(Matching_Engine!$P$47),Lookup_Lists!$D$114,0)+IF(ISNUMBER(Matching_Engine!$Q$47),Lookup_Lists!$D$115,0)+IF(ISNUMBER(Matching_Engine!$R$47),Lookup_Lists!$D$116,0))=0,"N/A",ROUND((IF(ISNUMBER(Matching_Engine!$O$47),Matching_Engine!$O$47*Lookup_Lists!$D$113,0)+IF(ISNUMBER(Matching_Engine!$P$47),Matching_Engine!$P$47*Lookup_Lists!$D$114,0)+IF(ISNUMBER(Matching_Engine!$Q$47),Matching_Engine!$Q$47*Lookup_Lists!$D$115,0)+IF(ISNUMBER(Matching_Engine!$R$47),Matching_Engine!$R$47*Lookup_Lists!$D$116,0))/(IF(ISNUMBER(Matching_Engine!$O$47),Lookup_Lists!$D$113,0)+IF(ISNUMBER(Matching_Engine!$P$47),Lookup_Lists!$D$114,0)+IF(ISNUMBER(Matching_Engine!$Q$47),Lookup_Lists!$D$115,0)+IF(ISNUMBER(Matching_Engine!$R$47),Lookup_Lists!$D$116,0)),0))</f>
      </c>
      <c r="T47" s="11">
        <f>IF(ISNUMBER(Matching_Engine!$S$47),1,0)</f>
      </c>
      <c r="U47" s="18">
        <f>IF(NOT(AND(ISTEXT(KOL_Source_Data!$M$23),KOL_Source_Data!$M$23&lt;&gt;"N/A")),Lookup_Lists!$D$150,IF(Brand_Profile!$F$7=KOL_Source_Data!$M$23,100,IFERROR(INDEX(Lookup_Lists!$B$349:$J$357,MATCH(Brand_Profile!$F$7,Lookup_Lists!$A$349:$A$357,0),MATCH(KOL_Source_Data!$M$23,Lookup_Lists!$B$348:$J$348,0)),Lookup_Lists!$D$151)))</f>
      </c>
      <c r="V47" s="18">
        <f>IF(NOT(AND(ISTEXT(KOL_Source_Data!$P$23),KOL_Source_Data!$P$23&lt;&gt;"N/A")),"N/A",IFERROR(INDEX(Lookup_Lists!$B$349:$J$357,MATCH(Brand_Profile!$F$7,Lookup_Lists!$A$349:$A$357,0),MATCH(KOL_Source_Data!$P$23,Lookup_Lists!$B$348:$J$348,0)),Lookup_Lists!$D$151))</f>
      </c>
      <c r="W47" s="18">
        <f>IF(LEN(TRIM(SUBSTITUTE(Matching_Engine!$BE$47,"|","")))=0,"N/A",IF(Brand_Profile!$F$60=0,Lookup_Lists!$D$150,ROUND((IF(Brand_Profile!$F$54="",0,IF(ISNUMBER(SEARCH(Brand_Profile!$F$54,Matching_Engine!$BE$47)),1,0))+IF(Brand_Profile!$F$55="",0,IF(ISNUMBER(SEARCH(Brand_Profile!$F$55,Matching_Engine!$BE$47)),1,0))+IF(Brand_Profile!$F$56="",0,IF(ISNUMBER(SEARCH(Brand_Profile!$F$56,Matching_Engine!$BE$47)),1,0))+IF(Brand_Profile!$F$57="",0,IF(ISNUMBER(SEARCH(Brand_Profile!$F$57,Matching_Engine!$BE$47)),1,0))+IF(Brand_Profile!$F$58="",0,IF(ISNUMBER(SEARCH(Brand_Profile!$F$58,Matching_Engine!$BE$47)),1,0))+IF(Brand_Profile!$F$59="",0,IF(ISNUMBER(SEARCH(Brand_Profile!$F$59,Matching_Engine!$BE$47)),1,0)))/Brand_Profile!$F$60*100,0)))</f>
      </c>
      <c r="X47" s="18">
        <f>IF(NOT(AND(ISTEXT(KOL_Source_Data!$Q$23),KOL_Source_Data!$Q$23&lt;&gt;"N/A")),"N/A",Lookup_Lists!$D$150)</f>
      </c>
      <c r="Y47" s="29">
        <f>IF((IF(ISNUMBER(Matching_Engine!$U$47),Lookup_Lists!$D$335,0)+IF(ISNUMBER(Matching_Engine!$V$47),Lookup_Lists!$D$122,0)+IF(ISNUMBER(Matching_Engine!$W$47),Lookup_Lists!$D$336,0)+IF(ISNUMBER(Matching_Engine!$X$47),Lookup_Lists!$D$124,0))=0,"N/A",ROUND((IF(ISNUMBER(Matching_Engine!$U$47),Matching_Engine!$U$47*Lookup_Lists!$D$335,0)+IF(ISNUMBER(Matching_Engine!$V$47),Matching_Engine!$V$47*Lookup_Lists!$D$122,0)+IF(ISNUMBER(Matching_Engine!$W$47),Matching_Engine!$W$47*Lookup_Lists!$D$336,0)+IF(ISNUMBER(Matching_Engine!$X$47),Matching_Engine!$X$47*Lookup_Lists!$D$124,0))/(IF(ISNUMBER(Matching_Engine!$U$47),Lookup_Lists!$D$335,0)+IF(ISNUMBER(Matching_Engine!$V$47),Lookup_Lists!$D$122,0)+IF(ISNUMBER(Matching_Engine!$W$47),Lookup_Lists!$D$336,0)+IF(ISNUMBER(Matching_Engine!$X$47),Lookup_Lists!$D$124,0)),0))</f>
      </c>
      <c r="Z47" s="11">
        <f>IF(ISNUMBER(Matching_Engine!$Y$47),1,0)</f>
      </c>
      <c r="AA47" s="18">
        <f>IF(NOT(AND(ISTEXT(KOL_Source_Data!$Q$23),KOL_Source_Data!$Q$23&lt;&gt;"N/A")),"N/A",Lookup_Lists!$D$150)</f>
      </c>
      <c r="AB47" s="18">
        <f>IF(NOT(AND(ISTEXT(KOL_Source_Data!$Q$23),KOL_Source_Data!$Q$23&lt;&gt;"N/A")),"N/A",Lookup_Lists!$D$150)</f>
      </c>
      <c r="AC47" s="18">
        <f>"N/A"</f>
      </c>
      <c r="AD47" s="18">
        <f>IF(NOT(AND(ISTEXT(KOL_Source_Data!$Q$23),KOL_Source_Data!$Q$23&lt;&gt;"N/A")),"N/A",Lookup_Lists!$D$150)</f>
      </c>
      <c r="AE47" s="29">
        <f>IF((IF(ISNUMBER(Matching_Engine!$AA$47),Lookup_Lists!$D$125,0)+IF(ISNUMBER(Matching_Engine!$AB$47),Lookup_Lists!$D$126,0)+IF(ISNUMBER(Matching_Engine!$AC$47),Lookup_Lists!$D$127,0)+IF(ISNUMBER(Matching_Engine!$AD$47),Lookup_Lists!$D$128,0))=0,"N/A",ROUND((IF(ISNUMBER(Matching_Engine!$AA$47),Matching_Engine!$AA$47*Lookup_Lists!$D$125,0)+IF(ISNUMBER(Matching_Engine!$AB$47),Matching_Engine!$AB$47*Lookup_Lists!$D$126,0)+IF(ISNUMBER(Matching_Engine!$AC$47),Matching_Engine!$AC$47*Lookup_Lists!$D$127,0)+IF(ISNUMBER(Matching_Engine!$AD$47),Matching_Engine!$AD$47*Lookup_Lists!$D$128,0))/(IF(ISNUMBER(Matching_Engine!$AA$47),Lookup_Lists!$D$125,0)+IF(ISNUMBER(Matching_Engine!$AB$47),Lookup_Lists!$D$126,0)+IF(ISNUMBER(Matching_Engine!$AC$47),Lookup_Lists!$D$127,0)+IF(ISNUMBER(Matching_Engine!$AD$47),Lookup_Lists!$D$128,0)),0))</f>
      </c>
      <c r="AF47" s="11">
        <f>IF(ISNUMBER(Matching_Engine!$AE$47),1,0)</f>
      </c>
      <c r="AG47" s="18">
        <f>IF(NOT(ISNUMBER(KOL_Source_Data!$BG$23)),"N/A",MIN(100,ROUND(KOL_Source_Data!$BG$23/IFERROR(INDEX(Lookup_Lists!$B$340:$B$344,MATCH(KOL_Source_Data!$H$23,Lookup_Lists!$A$340:$A$344,0)),Lookup_Lists!$D$141)*100,0)))</f>
      </c>
      <c r="AH47" s="18">
        <f>IF(NOT(ISNUMBER(KOL_Source_Data!$BS$23)),"N/A",MIN(100,MAX(0,KOL_Source_Data!$BS$23)))</f>
      </c>
      <c r="AI47" s="18">
        <f>IF(OR(NOT(ISNUMBER(KOL_Source_Data!$BM$23)),NOT(ISNUMBER(KOL_Source_Data!$BN$23)),KOL_Source_Data!$BN$23&lt;Lookup_Lists!$D$320),"N/A",MIN(100,ROUND(KOL_Source_Data!$BM$23/Lookup_Lists!$D$319*100,0)))</f>
      </c>
      <c r="AJ47" s="18">
        <f>IF(NOT(ISNUMBER(KOL_Source_Data!$BR$23)),"N/A",KOL_Source_Data!$BR$23)</f>
      </c>
      <c r="AK47" s="18">
        <f>IF(NOT(ISNUMBER(KOL_Source_Data!$BK$23)),"N/A",MIN(100,ROUND(KOL_Source_Data!$BK$23/Lookup_Lists!$D$321*100,0)))</f>
      </c>
      <c r="AL47" s="18">
        <f>IF(NOT(ISNUMBER(KOL_Source_Data!$BP$23)),"N/A",MIN(100,MAX(0,ROUND((KOL_Source_Data!$BP$23+2)/(Lookup_Lists!$D$145+2)*100,0))))</f>
      </c>
      <c r="AM47" s="29">
        <f>IF((IF(ISNUMBER(Matching_Engine!$AG$47),Lookup_Lists!$D$129,0)+IF(ISNUMBER(Matching_Engine!$AH$47),Lookup_Lists!$D$130,0)+IF(ISNUMBER(Matching_Engine!$AI$47),Lookup_Lists!$D$131,0)+IF(ISNUMBER(Matching_Engine!$AJ$47),Lookup_Lists!$D$132,0)+IF(ISNUMBER(Matching_Engine!$AK$47),Lookup_Lists!$D$133,0)+IF(ISNUMBER(Matching_Engine!$AL$47),Lookup_Lists!$D$134,0))=0,"N/A",ROUND((IF(ISNUMBER(Matching_Engine!$AG$47),Matching_Engine!$AG$47*Lookup_Lists!$D$129,0)+IF(ISNUMBER(Matching_Engine!$AH$47),Matching_Engine!$AH$47*Lookup_Lists!$D$130,0)+IF(ISNUMBER(Matching_Engine!$AI$47),Matching_Engine!$AI$47*Lookup_Lists!$D$131,0)+IF(ISNUMBER(Matching_Engine!$AJ$47),Matching_Engine!$AJ$47*Lookup_Lists!$D$132,0)+IF(ISNUMBER(Matching_Engine!$AK$47),Matching_Engine!$AK$47*Lookup_Lists!$D$133,0)+IF(ISNUMBER(Matching_Engine!$AL$47),Matching_Engine!$AL$47*Lookup_Lists!$D$134,0))/(IF(ISNUMBER(Matching_Engine!$AG$47),Lookup_Lists!$D$129,0)+IF(ISNUMBER(Matching_Engine!$AH$47),Lookup_Lists!$D$130,0)+IF(ISNUMBER(Matching_Engine!$AI$47),Lookup_Lists!$D$131,0)+IF(ISNUMBER(Matching_Engine!$AJ$47),Lookup_Lists!$D$132,0)+IF(ISNUMBER(Matching_Engine!$AK$47),Lookup_Lists!$D$133,0)+IF(ISNUMBER(Matching_Engine!$AL$47),Lookup_Lists!$D$134,0)),0))</f>
      </c>
      <c r="AN47" s="11">
        <f>IF(ISNUMBER(Matching_Engine!$AM$47),1,0)</f>
      </c>
      <c r="AO47" s="18">
        <f>IF(NOT(ISNUMBER(KOL_Source_Data!$BT$23)),"N/A",MIN(100,MAX(0,KOL_Source_Data!$BT$23)))</f>
      </c>
      <c r="AP47" s="18">
        <f>IF(NOT(ISNUMBER(KOL_Source_Data!$BU$23)),"N/A",MIN(100,MAX(0,KOL_Source_Data!$BU$23)))</f>
      </c>
      <c r="AQ47" s="18">
        <f>IF(KOL_Source_Data!$I$23="Yes",Lookup_Lists!$D$326,IF(KOL_Source_Data!$I$23="No",Lookup_Lists!$D$327,"N/A"))</f>
      </c>
      <c r="AR47" s="18">
        <f>IF(NOT(ISNUMBER(KOL_Source_Data!$BQ$23)),"N/A",MAX(0,ROUND(100-KOL_Source_Data!$BQ$23/Lookup_Lists!$D$328*100,0)))</f>
      </c>
      <c r="AS47" s="18">
        <f>IF(NOT(AND(ISTEXT(KOL_Source_Data!$BV$23),KOL_Source_Data!$BV$23&lt;&gt;"N/A")),"N/A",KOL_Source_Data!$BV$23)</f>
      </c>
      <c r="AT47" s="29">
        <f>IF((IF(ISNUMBER(Matching_Engine!$AO$47),Lookup_Lists!$D$322,0)+IF(ISNUMBER(Matching_Engine!$AP$47),Lookup_Lists!$D$323,0)+IF(ISNUMBER(Matching_Engine!$AQ$47),Lookup_Lists!$D$324,0)+IF(ISNUMBER(Matching_Engine!$AR$47),Lookup_Lists!$D$325,0))=0,"N/A",ROUND((IF(ISNUMBER(Matching_Engine!$AO$47),Matching_Engine!$AO$47*Lookup_Lists!$D$322,0)+IF(ISNUMBER(Matching_Engine!$AP$47),Matching_Engine!$AP$47*Lookup_Lists!$D$323,0)+IF(ISNUMBER(Matching_Engine!$AQ$47),Matching_Engine!$AQ$47*Lookup_Lists!$D$324,0)+IF(ISNUMBER(Matching_Engine!$AR$47),Matching_Engine!$AR$47*Lookup_Lists!$D$325,0))/(IF(ISNUMBER(Matching_Engine!$AO$47),Lookup_Lists!$D$322,0)+IF(ISNUMBER(Matching_Engine!$AP$47),Lookup_Lists!$D$323,0)+IF(ISNUMBER(Matching_Engine!$AQ$47),Lookup_Lists!$D$324,0)+IF(ISNUMBER(Matching_Engine!$AR$47),Lookup_Lists!$D$325,0)),0))</f>
      </c>
      <c r="AU47" s="11">
        <f>IF(ISNUMBER(Matching_Engine!$AT$47),1,0)</f>
      </c>
      <c r="AV47" s="11">
        <f>IF(NOT(ISNUMBER(Matching_Engine!$AT$47)),"Not Screened",IF(Matching_Engine!$AT$47&gt;=Lookup_Lists!$D$329,"Low Risk",IF(Matching_Engine!$AT$47&gt;=Lookup_Lists!$D$330,"Moderate Risk",IF(Matching_Engine!$AT$47&gt;=Lookup_Lists!$D$331,"Elevated Risk","High Risk"))))</f>
      </c>
      <c r="AW47" s="11">
        <f>IF(NOT(ISNUMBER(Matching_Engine!$AT$47)),"No integrity signal: no audience-analysis row for this account.","Integrity screen only — no content-risk reading exists (comments_analysis: 0 rows). "&amp;IF(ISNUMBER(Matching_Engine!$AO$47),"Authenticity "&amp;Matching_Engine!$AO$47&amp;". ","Authenticity N/A. ")&amp;IF(ISNUMBER(Matching_Engine!$AP$47),"Follower quality "&amp;Matching_Engine!$AP$47&amp;". ","Follower quality N/A. ")&amp;IF(KOL_Source_Data!$I$23="Yes","Platform-verified.","Not platform-verified."))</f>
      </c>
      <c r="AX47" s="18">
        <f>Matching_Engine!$N$47*Lookup_Lists!$D$104+Matching_Engine!$T$47*Lookup_Lists!$D$105+Matching_Engine!$Z$47*Lookup_Lists!$D$106+Matching_Engine!$AF$47*Lookup_Lists!$D$107+Matching_Engine!$AN$47*Lookup_Lists!$D$108+Matching_Engine!$AU$47*Lookup_Lists!$D$109</f>
      </c>
      <c r="AY47" s="30">
        <f>IF(Matching_Engine!$AX$47=0,"N/A",ROUND((IF(Matching_Engine!$N$47=1,Matching_Engine!$M$47*Lookup_Lists!$D$104,0)+IF(Matching_Engine!$T$47=1,Matching_Engine!$S$47*Lookup_Lists!$D$105,0)+IF(Matching_Engine!$Z$47=1,Matching_Engine!$Y$47*Lookup_Lists!$D$106,0)+IF(Matching_Engine!$AF$47=1,Matching_Engine!$AE$47*Lookup_Lists!$D$107,0)+IF(Matching_Engine!$AN$47=1,Matching_Engine!$AM$47*Lookup_Lists!$D$108,0)+IF(Matching_Engine!$AU$47=1,Matching_Engine!$AT$47*Lookup_Lists!$D$109,0))/Matching_Engine!$AX$47,0))</f>
      </c>
      <c r="AZ47" s="11">
        <f>IF(NOT(ISNUMBER(Matching_Engine!$AY$47)),"Not Scored",IF(Matching_Engine!$AY$47&gt;=Lookup_Lists!$D$152,"Excellent Match",IF(Matching_Engine!$AY$47&gt;=Lookup_Lists!$D$153,"Strong Match",IF(Matching_Engine!$AY$47&gt;=Lookup_Lists!$D$154,"Good Match",IF(Matching_Engine!$AY$47&gt;=Lookup_Lists!$D$155,"Moderate Match","Low Match")))))</f>
      </c>
      <c r="BA47" s="18">
        <f>KOL_Source_Data!$BW$23</f>
      </c>
      <c r="BB47" s="11">
        <f>KOL_Source_Data!$BX$23</f>
      </c>
      <c r="BC47" s="18">
        <f>IF(NOT(ISNUMBER(Matching_Engine!$AY$47)),-1,Matching_Engine!$AY$47*1000+7)</f>
      </c>
      <c r="BD47" s="11">
        <f>IF(AND(ISTEXT(KOL_Source_Data!$S$23),KOL_Source_Data!$S$23&lt;&gt;"N/A"),KOL_Source_Data!$S$23,"")&amp;" | "&amp;IF(AND(ISTEXT(KOL_Source_Data!$T$23),KOL_Source_Data!$T$23&lt;&gt;"N/A"),KOL_Source_Data!$T$23,"")&amp;" | "&amp;IF(AND(ISTEXT(KOL_Source_Data!$N$23),KOL_Source_Data!$N$23&lt;&gt;"N/A"),KOL_Source_Data!$N$23,"")&amp;" | "&amp;IF(AND(ISTEXT(KOL_Source_Data!$K$23),KOL_Source_Data!$K$23&lt;&gt;"N/A"),KOL_Source_Data!$K$23,"")&amp;" | "&amp;IF(AND(ISTEXT(KOL_Source_Data!$J$23),KOL_Source_Data!$J$23&lt;&gt;"N/A"),KOL_Source_Data!$J$23,"")</f>
      </c>
      <c r="BE47" s="11">
        <f>IF(AND(ISTEXT(KOL_Source_Data!$T$23),KOL_Source_Data!$T$23&lt;&gt;"N/A"),KOL_Source_Data!$T$23,"")&amp;" | "&amp;IF(AND(ISTEXT(KOL_Source_Data!$N$23),KOL_Source_Data!$N$23&lt;&gt;"N/A"),KOL_Source_Data!$N$23,"")&amp;" | "&amp;IF(AND(ISTEXT(KOL_Source_Data!$O$23),KOL_Source_Data!$O$23&lt;&gt;"N/A"),KOL_Source_Data!$O$23,"")&amp;" | "&amp;IF(AND(ISTEXT(KOL_Source_Data!$S$23),KOL_Source_Data!$S$23&lt;&gt;"N/A"),KOL_Source_Data!$S$23,"")</f>
      </c>
      <c r="BF47" s="11">
        <f>IF(AND(ISTEXT(KOL_Source_Data!$U$23),KOL_Source_Data!$U$23&lt;&gt;"N/A"),KOL_Source_Data!$U$23,"")</f>
      </c>
      <c r="BG47" s="11">
        <f>Matching_Engine!$A$47&amp;"|"&amp;Matching_Engine!$C$47</f>
      </c>
    </row>
    <row r="48" spans="1:59" x14ac:dyDescent="0.25">
      <c r="A48" s="10" t="s">
        <v>391</v>
      </c>
      <c r="B48" s="11">
        <f>Brand_Profile!$F$6</f>
      </c>
      <c r="C48" s="11">
        <f>KOL_Source_Data!$A$24</f>
      </c>
      <c r="D48" s="11">
        <f>KOL_Source_Data!$C$24</f>
      </c>
      <c r="E48" s="11">
        <f>KOL_Source_Data!$D$24</f>
      </c>
      <c r="F48" s="11">
        <f>KOL_Source_Data!$E$24</f>
      </c>
      <c r="G48" s="11">
        <f>KOL_Source_Data!$K$24</f>
      </c>
      <c r="H48" s="12">
        <f>KOL_Source_Data!$G$24</f>
      </c>
      <c r="I48" s="14">
        <f>KOL_Source_Data!$BG$24</f>
      </c>
      <c r="J48" s="18">
        <f>IF(NOT(AND(ISTEXT(KOL_Source_Data!$K$24),KOL_Source_Data!$K$24&lt;&gt;"N/A")),Lookup_Lists!$D$150,IF(Brand_Profile!$F$7=KOL_Source_Data!$K$24,100,IFERROR(INDEX(Lookup_Lists!$B$349:$J$357,MATCH(Brand_Profile!$F$7,Lookup_Lists!$A$349:$A$357,0),MATCH(KOL_Source_Data!$K$24,Lookup_Lists!$B$348:$J$348,0)),Lookup_Lists!$D$151)))</f>
      </c>
      <c r="K48" s="18">
        <f>IF(LEN(TRIM(SUBSTITUTE(Matching_Engine!$BD$48,"|","")))=0,"N/A",IF(Brand_Profile!$F$47=0,Lookup_Lists!$D$150,ROUND((IF(Brand_Profile!$F$41="",0,IF(ISNUMBER(SEARCH(Brand_Profile!$F$41,Matching_Engine!$BD$48)),1,0))+IF(Brand_Profile!$F$42="",0,IF(ISNUMBER(SEARCH(Brand_Profile!$F$42,Matching_Engine!$BD$48)),1,0))+IF(Brand_Profile!$F$43="",0,IF(ISNUMBER(SEARCH(Brand_Profile!$F$43,Matching_Engine!$BD$48)),1,0))+IF(Brand_Profile!$F$44="",0,IF(ISNUMBER(SEARCH(Brand_Profile!$F$44,Matching_Engine!$BD$48)),1,0))+IF(Brand_Profile!$F$45="",0,IF(ISNUMBER(SEARCH(Brand_Profile!$F$45,Matching_Engine!$BD$48)),1,0))+IF(Brand_Profile!$F$46="",0,IF(ISNUMBER(SEARCH(Brand_Profile!$F$46,Matching_Engine!$BD$48)),1,0)))/Brand_Profile!$F$47*100,0)))</f>
      </c>
      <c r="L48" s="18">
        <f>IF(NOT(AND(ISTEXT(KOL_Source_Data!$U$24),KOL_Source_Data!$U$24&lt;&gt;"N/A")),"N/A",IF(Brand_Profile!$F$53=0,Lookup_Lists!$D$150,ROUND((IF(Brand_Profile!$F$48="",0,IF(ISNUMBER(SEARCH(Brand_Profile!$F$48,Matching_Engine!$BF$48)),1,0))+IF(Brand_Profile!$F$49="",0,IF(ISNUMBER(SEARCH(Brand_Profile!$F$49,Matching_Engine!$BF$48)),1,0))+IF(Brand_Profile!$F$50="",0,IF(ISNUMBER(SEARCH(Brand_Profile!$F$50,Matching_Engine!$BF$48)),1,0))+IF(Brand_Profile!$F$51="",0,IF(ISNUMBER(SEARCH(Brand_Profile!$F$51,Matching_Engine!$BF$48)),1,0))+IF(Brand_Profile!$F$52="",0,IF(ISNUMBER(SEARCH(Brand_Profile!$F$52,Matching_Engine!$BF$48)),1,0)))/Brand_Profile!$F$53*100,0)))</f>
      </c>
      <c r="M48" s="29">
        <f>IF((IF(ISNUMBER(Matching_Engine!$J$48),Lookup_Lists!$D$332,0)+IF(ISNUMBER(Matching_Engine!$K$48),Lookup_Lists!$D$333,0)+IF(ISNUMBER(Matching_Engine!$L$48),Lookup_Lists!$D$334,0))=0,"N/A",ROUND((IF(ISNUMBER(Matching_Engine!$J$48),Matching_Engine!$J$48*Lookup_Lists!$D$332,0)+IF(ISNUMBER(Matching_Engine!$K$48),Matching_Engine!$K$48*Lookup_Lists!$D$333,0)+IF(ISNUMBER(Matching_Engine!$L$48),Matching_Engine!$L$48*Lookup_Lists!$D$334,0))/(IF(ISNUMBER(Matching_Engine!$J$48),Lookup_Lists!$D$332,0)+IF(ISNUMBER(Matching_Engine!$K$48),Lookup_Lists!$D$333,0)+IF(ISNUMBER(Matching_Engine!$L$48),Lookup_Lists!$D$334,0)),0))</f>
      </c>
      <c r="N48" s="11">
        <f>IF(ISNUMBER(Matching_Engine!$M$48),1,0)</f>
      </c>
      <c r="O48" s="18">
        <f>IF(NOT(ISNUMBER(IFERROR(INDEX(KOL_Source_Data!$V$24:KOL_Source_Data!$Z$24,1,MATCH(Brand_Profile!$F$11,Lookup_Lists!$F$6:$F$10,0)),""))),"N/A",MIN(100,ROUND((IFERROR(INDEX(KOL_Source_Data!$V$24:KOL_Source_Data!$Z$24,1,MATCH(Brand_Profile!$F$11,Lookup_Lists!$F$6:$F$10,0)),"")+0.5*IF(ISNUMBER(IFERROR(INDEX(KOL_Source_Data!$V$24:KOL_Source_Data!$Z$24,1,MATCH(Brand_Profile!$F$12,Lookup_Lists!$F$6:$F$10,0)),"")),IFERROR(INDEX(KOL_Source_Data!$V$24:KOL_Source_Data!$Z$24,1,MATCH(Brand_Profile!$F$12,Lookup_Lists!$F$6:$F$10,0)),""),0))/Lookup_Lists!$D$142*100,0)))</f>
      </c>
      <c r="P48" s="18">
        <f>IF(Brand_Profile!$F$13="Any",100,IF(NOT(ISNUMBER(KOL_Source_Data!$AA$24)),"N/A",IF(Brand_Profile!$F$13="Female",MIN(100,ROUND(KOL_Source_Data!$AA$24/Lookup_Lists!$D$143*100,0)),IF(Brand_Profile!$F$13="Male",MIN(100,ROUND(IF(ISNUMBER(KOL_Source_Data!$AB$24),KOL_Source_Data!$AB$24,100-KOL_Source_Data!$AA$24)/Lookup_Lists!$D$143*100,0)),MAX(0,ROUND(100-ABS(KOL_Source_Data!$AA$24-50)*2,0))))))</f>
      </c>
      <c r="Q48" s="18">
        <f>IF((IF(ISNUMBER(IF(NOT(ISNUMBER(KOL_Source_Data!$AE$24)),"N/A",IF(KOL_Source_Data!$AD$24&lt;&gt;Brand_Profile!$F$14,Lookup_Lists!$D$151,MIN(100,ROUND(KOL_Source_Data!$AE$24/Lookup_Lists!$D$316*100,0))))),Lookup_Lists!$D$118,0)+IF(ISNUMBER(IF(NOT(ISNUMBER(KOL_Source_Data!$AM$24)),"N/A",MIN(100,ROUND((IF(KOL_Source_Data!$AG$24=Brand_Profile!$F$15,IF(ISNUMBER(KOL_Source_Data!$AH$24),KOL_Source_Data!$AH$24,0),0)+IF(KOL_Source_Data!$AI$24=Brand_Profile!$F$15,IF(ISNUMBER(KOL_Source_Data!$AJ$24),KOL_Source_Data!$AJ$24,0),0)+IF(KOL_Source_Data!$AK$24=Brand_Profile!$F$15,IF(ISNUMBER(KOL_Source_Data!$AL$24),KOL_Source_Data!$AL$24,0),0))/Lookup_Lists!$D$317*100,0)))),Lookup_Lists!$D$120,0))=0,"N/A",ROUND((IF(ISNUMBER(IF(NOT(ISNUMBER(KOL_Source_Data!$AE$24)),"N/A",IF(KOL_Source_Data!$AD$24&lt;&gt;Brand_Profile!$F$14,Lookup_Lists!$D$151,MIN(100,ROUND(KOL_Source_Data!$AE$24/Lookup_Lists!$D$316*100,0))))),IF(NOT(ISNUMBER(KOL_Source_Data!$AE$24)),"N/A",IF(KOL_Source_Data!$AD$24&lt;&gt;Brand_Profile!$F$14,Lookup_Lists!$D$151,MIN(100,ROUND(KOL_Source_Data!$AE$24/Lookup_Lists!$D$316*100,0))))*Lookup_Lists!$D$118,0)+IF(ISNUMBER(IF(NOT(ISNUMBER(KOL_Source_Data!$AM$24)),"N/A",MIN(100,ROUND((IF(KOL_Source_Data!$AG$24=Brand_Profile!$F$15,IF(ISNUMBER(KOL_Source_Data!$AH$24),KOL_Source_Data!$AH$24,0),0)+IF(KOL_Source_Data!$AI$24=Brand_Profile!$F$15,IF(ISNUMBER(KOL_Source_Data!$AJ$24),KOL_Source_Data!$AJ$24,0),0)+IF(KOL_Source_Data!$AK$24=Brand_Profile!$F$15,IF(ISNUMBER(KOL_Source_Data!$AL$24),KOL_Source_Data!$AL$24,0),0))/Lookup_Lists!$D$317*100,0)))),IF(NOT(ISNUMBER(KOL_Source_Data!$AM$24)),"N/A",MIN(100,ROUND((IF(KOL_Source_Data!$AG$24=Brand_Profile!$F$15,IF(ISNUMBER(KOL_Source_Data!$AH$24),KOL_Source_Data!$AH$24,0),0)+IF(KOL_Source_Data!$AI$24=Brand_Profile!$F$15,IF(ISNUMBER(KOL_Source_Data!$AJ$24),KOL_Source_Data!$AJ$24,0),0)+IF(KOL_Source_Data!$AK$24=Brand_Profile!$F$15,IF(ISNUMBER(KOL_Source_Data!$AL$24),KOL_Source_Data!$AL$24,0),0))/Lookup_Lists!$D$317*100,0)))*Lookup_Lists!$D$120,0))/(IF(ISNUMBER(IF(NOT(ISNUMBER(KOL_Source_Data!$AE$24)),"N/A",IF(KOL_Source_Data!$AD$24&lt;&gt;Brand_Profile!$F$14,Lookup_Lists!$D$151,MIN(100,ROUND(KOL_Source_Data!$AE$24/Lookup_Lists!$D$316*100,0))))),Lookup_Lists!$D$118,0)+IF(ISNUMBER(IF(NOT(ISNUMBER(KOL_Source_Data!$AM$24)),"N/A",MIN(100,ROUND((IF(KOL_Source_Data!$AG$24=Brand_Profile!$F$15,IF(ISNUMBER(KOL_Source_Data!$AH$24),KOL_Source_Data!$AH$24,0),0)+IF(KOL_Source_Data!$AI$24=Brand_Profile!$F$15,IF(ISNUMBER(KOL_Source_Data!$AJ$24),KOL_Source_Data!$AJ$24,0),0)+IF(KOL_Source_Data!$AK$24=Brand_Profile!$F$15,IF(ISNUMBER(KOL_Source_Data!$AL$24),KOL_Source_Data!$AL$24,0),0))/Lookup_Lists!$D$317*100,0)))),Lookup_Lists!$D$120,0)),0))</f>
      </c>
      <c r="R48" s="18">
        <f>IF(NOT(ISNUMBER(KOL_Source_Data!$AN$24)),"N/A",MIN(100,ROUND((IF(ISNUMBER(KOL_Source_Data!$AO$24),KOL_Source_Data!$AO$24*Brand_Profile!$F$17,0)+IF(ISNUMBER(KOL_Source_Data!$AP$24),KOL_Source_Data!$AP$24*Brand_Profile!$F$18,0)+IF(ISNUMBER(KOL_Source_Data!$AQ$24),KOL_Source_Data!$AQ$24*Brand_Profile!$F$19,0)+IF(ISNUMBER(KOL_Source_Data!$AR$24),KOL_Source_Data!$AR$24*Brand_Profile!$F$20,0)+IF(ISNUMBER(KOL_Source_Data!$AS$24),KOL_Source_Data!$AS$24*Brand_Profile!$F$21,0)+IF(ISNUMBER(KOL_Source_Data!$AT$24),KOL_Source_Data!$AT$24*Brand_Profile!$F$22,0)+IF(ISNUMBER(KOL_Source_Data!$AU$24),KOL_Source_Data!$AU$24*Brand_Profile!$F$23,0)+IF(ISNUMBER(KOL_Source_Data!$AV$24),KOL_Source_Data!$AV$24*Brand_Profile!$F$24,0)+IF(ISNUMBER(KOL_Source_Data!$AW$24),KOL_Source_Data!$AW$24*Brand_Profile!$F$25,0)+IF(ISNUMBER(KOL_Source_Data!$AX$24),KOL_Source_Data!$AX$24*Brand_Profile!$F$26,0)+IF(ISNUMBER(KOL_Source_Data!$AY$24),KOL_Source_Data!$AY$24*Brand_Profile!$F$27,0)+IF(ISNUMBER(KOL_Source_Data!$AZ$24),KOL_Source_Data!$AZ$24*Brand_Profile!$F$28,0)+IF(ISNUMBER(KOL_Source_Data!$BA$24),KOL_Source_Data!$BA$24*Brand_Profile!$F$29,0)+IF(ISNUMBER(KOL_Source_Data!$BB$24),KOL_Source_Data!$BB$24*Brand_Profile!$F$30,0)+IF(ISNUMBER(KOL_Source_Data!$BC$24),KOL_Source_Data!$BC$24*Brand_Profile!$F$31,0)+IF(ISNUMBER(KOL_Source_Data!$BD$24),KOL_Source_Data!$BD$24*Brand_Profile!$F$32,0)+IF(ISNUMBER(KOL_Source_Data!$BE$24),KOL_Source_Data!$BE$24*Brand_Profile!$F$33,0)+IF(ISNUMBER(KOL_Source_Data!$BF$24),KOL_Source_Data!$BF$24*Brand_Profile!$F$34,0))/Lookup_Lists!$D$318*100,0)))</f>
      </c>
      <c r="S48" s="29">
        <f>IF((IF(ISNUMBER(Matching_Engine!$O$48),Lookup_Lists!$D$113,0)+IF(ISNUMBER(Matching_Engine!$P$48),Lookup_Lists!$D$114,0)+IF(ISNUMBER(Matching_Engine!$Q$48),Lookup_Lists!$D$115,0)+IF(ISNUMBER(Matching_Engine!$R$48),Lookup_Lists!$D$116,0))=0,"N/A",ROUND((IF(ISNUMBER(Matching_Engine!$O$48),Matching_Engine!$O$48*Lookup_Lists!$D$113,0)+IF(ISNUMBER(Matching_Engine!$P$48),Matching_Engine!$P$48*Lookup_Lists!$D$114,0)+IF(ISNUMBER(Matching_Engine!$Q$48),Matching_Engine!$Q$48*Lookup_Lists!$D$115,0)+IF(ISNUMBER(Matching_Engine!$R$48),Matching_Engine!$R$48*Lookup_Lists!$D$116,0))/(IF(ISNUMBER(Matching_Engine!$O$48),Lookup_Lists!$D$113,0)+IF(ISNUMBER(Matching_Engine!$P$48),Lookup_Lists!$D$114,0)+IF(ISNUMBER(Matching_Engine!$Q$48),Lookup_Lists!$D$115,0)+IF(ISNUMBER(Matching_Engine!$R$48),Lookup_Lists!$D$116,0)),0))</f>
      </c>
      <c r="T48" s="11">
        <f>IF(ISNUMBER(Matching_Engine!$S$48),1,0)</f>
      </c>
      <c r="U48" s="18">
        <f>IF(NOT(AND(ISTEXT(KOL_Source_Data!$M$24),KOL_Source_Data!$M$24&lt;&gt;"N/A")),Lookup_Lists!$D$150,IF(Brand_Profile!$F$7=KOL_Source_Data!$M$24,100,IFERROR(INDEX(Lookup_Lists!$B$349:$J$357,MATCH(Brand_Profile!$F$7,Lookup_Lists!$A$349:$A$357,0),MATCH(KOL_Source_Data!$M$24,Lookup_Lists!$B$348:$J$348,0)),Lookup_Lists!$D$151)))</f>
      </c>
      <c r="V48" s="18">
        <f>IF(NOT(AND(ISTEXT(KOL_Source_Data!$P$24),KOL_Source_Data!$P$24&lt;&gt;"N/A")),"N/A",IFERROR(INDEX(Lookup_Lists!$B$349:$J$357,MATCH(Brand_Profile!$F$7,Lookup_Lists!$A$349:$A$357,0),MATCH(KOL_Source_Data!$P$24,Lookup_Lists!$B$348:$J$348,0)),Lookup_Lists!$D$151))</f>
      </c>
      <c r="W48" s="18">
        <f>IF(LEN(TRIM(SUBSTITUTE(Matching_Engine!$BE$48,"|","")))=0,"N/A",IF(Brand_Profile!$F$60=0,Lookup_Lists!$D$150,ROUND((IF(Brand_Profile!$F$54="",0,IF(ISNUMBER(SEARCH(Brand_Profile!$F$54,Matching_Engine!$BE$48)),1,0))+IF(Brand_Profile!$F$55="",0,IF(ISNUMBER(SEARCH(Brand_Profile!$F$55,Matching_Engine!$BE$48)),1,0))+IF(Brand_Profile!$F$56="",0,IF(ISNUMBER(SEARCH(Brand_Profile!$F$56,Matching_Engine!$BE$48)),1,0))+IF(Brand_Profile!$F$57="",0,IF(ISNUMBER(SEARCH(Brand_Profile!$F$57,Matching_Engine!$BE$48)),1,0))+IF(Brand_Profile!$F$58="",0,IF(ISNUMBER(SEARCH(Brand_Profile!$F$58,Matching_Engine!$BE$48)),1,0))+IF(Brand_Profile!$F$59="",0,IF(ISNUMBER(SEARCH(Brand_Profile!$F$59,Matching_Engine!$BE$48)),1,0)))/Brand_Profile!$F$60*100,0)))</f>
      </c>
      <c r="X48" s="18">
        <f>IF(NOT(AND(ISTEXT(KOL_Source_Data!$Q$24),KOL_Source_Data!$Q$24&lt;&gt;"N/A")),"N/A",Lookup_Lists!$D$150)</f>
      </c>
      <c r="Y48" s="29">
        <f>IF((IF(ISNUMBER(Matching_Engine!$U$48),Lookup_Lists!$D$335,0)+IF(ISNUMBER(Matching_Engine!$V$48),Lookup_Lists!$D$122,0)+IF(ISNUMBER(Matching_Engine!$W$48),Lookup_Lists!$D$336,0)+IF(ISNUMBER(Matching_Engine!$X$48),Lookup_Lists!$D$124,0))=0,"N/A",ROUND((IF(ISNUMBER(Matching_Engine!$U$48),Matching_Engine!$U$48*Lookup_Lists!$D$335,0)+IF(ISNUMBER(Matching_Engine!$V$48),Matching_Engine!$V$48*Lookup_Lists!$D$122,0)+IF(ISNUMBER(Matching_Engine!$W$48),Matching_Engine!$W$48*Lookup_Lists!$D$336,0)+IF(ISNUMBER(Matching_Engine!$X$48),Matching_Engine!$X$48*Lookup_Lists!$D$124,0))/(IF(ISNUMBER(Matching_Engine!$U$48),Lookup_Lists!$D$335,0)+IF(ISNUMBER(Matching_Engine!$V$48),Lookup_Lists!$D$122,0)+IF(ISNUMBER(Matching_Engine!$W$48),Lookup_Lists!$D$336,0)+IF(ISNUMBER(Matching_Engine!$X$48),Lookup_Lists!$D$124,0)),0))</f>
      </c>
      <c r="Z48" s="11">
        <f>IF(ISNUMBER(Matching_Engine!$Y$48),1,0)</f>
      </c>
      <c r="AA48" s="18">
        <f>IF(NOT(AND(ISTEXT(KOL_Source_Data!$Q$24),KOL_Source_Data!$Q$24&lt;&gt;"N/A")),"N/A",Lookup_Lists!$D$150)</f>
      </c>
      <c r="AB48" s="18">
        <f>IF(NOT(AND(ISTEXT(KOL_Source_Data!$Q$24),KOL_Source_Data!$Q$24&lt;&gt;"N/A")),"N/A",Lookup_Lists!$D$150)</f>
      </c>
      <c r="AC48" s="18">
        <f>"N/A"</f>
      </c>
      <c r="AD48" s="18">
        <f>IF(NOT(AND(ISTEXT(KOL_Source_Data!$Q$24),KOL_Source_Data!$Q$24&lt;&gt;"N/A")),"N/A",Lookup_Lists!$D$150)</f>
      </c>
      <c r="AE48" s="29">
        <f>IF((IF(ISNUMBER(Matching_Engine!$AA$48),Lookup_Lists!$D$125,0)+IF(ISNUMBER(Matching_Engine!$AB$48),Lookup_Lists!$D$126,0)+IF(ISNUMBER(Matching_Engine!$AC$48),Lookup_Lists!$D$127,0)+IF(ISNUMBER(Matching_Engine!$AD$48),Lookup_Lists!$D$128,0))=0,"N/A",ROUND((IF(ISNUMBER(Matching_Engine!$AA$48),Matching_Engine!$AA$48*Lookup_Lists!$D$125,0)+IF(ISNUMBER(Matching_Engine!$AB$48),Matching_Engine!$AB$48*Lookup_Lists!$D$126,0)+IF(ISNUMBER(Matching_Engine!$AC$48),Matching_Engine!$AC$48*Lookup_Lists!$D$127,0)+IF(ISNUMBER(Matching_Engine!$AD$48),Matching_Engine!$AD$48*Lookup_Lists!$D$128,0))/(IF(ISNUMBER(Matching_Engine!$AA$48),Lookup_Lists!$D$125,0)+IF(ISNUMBER(Matching_Engine!$AB$48),Lookup_Lists!$D$126,0)+IF(ISNUMBER(Matching_Engine!$AC$48),Lookup_Lists!$D$127,0)+IF(ISNUMBER(Matching_Engine!$AD$48),Lookup_Lists!$D$128,0)),0))</f>
      </c>
      <c r="AF48" s="11">
        <f>IF(ISNUMBER(Matching_Engine!$AE$48),1,0)</f>
      </c>
      <c r="AG48" s="18">
        <f>IF(NOT(ISNUMBER(KOL_Source_Data!$BG$24)),"N/A",MIN(100,ROUND(KOL_Source_Data!$BG$24/IFERROR(INDEX(Lookup_Lists!$B$340:$B$344,MATCH(KOL_Source_Data!$H$24,Lookup_Lists!$A$340:$A$344,0)),Lookup_Lists!$D$141)*100,0)))</f>
      </c>
      <c r="AH48" s="18">
        <f>IF(NOT(ISNUMBER(KOL_Source_Data!$BS$24)),"N/A",MIN(100,MAX(0,KOL_Source_Data!$BS$24)))</f>
      </c>
      <c r="AI48" s="18">
        <f>IF(OR(NOT(ISNUMBER(KOL_Source_Data!$BM$24)),NOT(ISNUMBER(KOL_Source_Data!$BN$24)),KOL_Source_Data!$BN$24&lt;Lookup_Lists!$D$320),"N/A",MIN(100,ROUND(KOL_Source_Data!$BM$24/Lookup_Lists!$D$319*100,0)))</f>
      </c>
      <c r="AJ48" s="18">
        <f>IF(NOT(ISNUMBER(KOL_Source_Data!$BR$24)),"N/A",KOL_Source_Data!$BR$24)</f>
      </c>
      <c r="AK48" s="18">
        <f>IF(NOT(ISNUMBER(KOL_Source_Data!$BK$24)),"N/A",MIN(100,ROUND(KOL_Source_Data!$BK$24/Lookup_Lists!$D$321*100,0)))</f>
      </c>
      <c r="AL48" s="18">
        <f>IF(NOT(ISNUMBER(KOL_Source_Data!$BP$24)),"N/A",MIN(100,MAX(0,ROUND((KOL_Source_Data!$BP$24+2)/(Lookup_Lists!$D$145+2)*100,0))))</f>
      </c>
      <c r="AM48" s="29">
        <f>IF((IF(ISNUMBER(Matching_Engine!$AG$48),Lookup_Lists!$D$129,0)+IF(ISNUMBER(Matching_Engine!$AH$48),Lookup_Lists!$D$130,0)+IF(ISNUMBER(Matching_Engine!$AI$48),Lookup_Lists!$D$131,0)+IF(ISNUMBER(Matching_Engine!$AJ$48),Lookup_Lists!$D$132,0)+IF(ISNUMBER(Matching_Engine!$AK$48),Lookup_Lists!$D$133,0)+IF(ISNUMBER(Matching_Engine!$AL$48),Lookup_Lists!$D$134,0))=0,"N/A",ROUND((IF(ISNUMBER(Matching_Engine!$AG$48),Matching_Engine!$AG$48*Lookup_Lists!$D$129,0)+IF(ISNUMBER(Matching_Engine!$AH$48),Matching_Engine!$AH$48*Lookup_Lists!$D$130,0)+IF(ISNUMBER(Matching_Engine!$AI$48),Matching_Engine!$AI$48*Lookup_Lists!$D$131,0)+IF(ISNUMBER(Matching_Engine!$AJ$48),Matching_Engine!$AJ$48*Lookup_Lists!$D$132,0)+IF(ISNUMBER(Matching_Engine!$AK$48),Matching_Engine!$AK$48*Lookup_Lists!$D$133,0)+IF(ISNUMBER(Matching_Engine!$AL$48),Matching_Engine!$AL$48*Lookup_Lists!$D$134,0))/(IF(ISNUMBER(Matching_Engine!$AG$48),Lookup_Lists!$D$129,0)+IF(ISNUMBER(Matching_Engine!$AH$48),Lookup_Lists!$D$130,0)+IF(ISNUMBER(Matching_Engine!$AI$48),Lookup_Lists!$D$131,0)+IF(ISNUMBER(Matching_Engine!$AJ$48),Lookup_Lists!$D$132,0)+IF(ISNUMBER(Matching_Engine!$AK$48),Lookup_Lists!$D$133,0)+IF(ISNUMBER(Matching_Engine!$AL$48),Lookup_Lists!$D$134,0)),0))</f>
      </c>
      <c r="AN48" s="11">
        <f>IF(ISNUMBER(Matching_Engine!$AM$48),1,0)</f>
      </c>
      <c r="AO48" s="18">
        <f>IF(NOT(ISNUMBER(KOL_Source_Data!$BT$24)),"N/A",MIN(100,MAX(0,KOL_Source_Data!$BT$24)))</f>
      </c>
      <c r="AP48" s="18">
        <f>IF(NOT(ISNUMBER(KOL_Source_Data!$BU$24)),"N/A",MIN(100,MAX(0,KOL_Source_Data!$BU$24)))</f>
      </c>
      <c r="AQ48" s="18">
        <f>IF(KOL_Source_Data!$I$24="Yes",Lookup_Lists!$D$326,IF(KOL_Source_Data!$I$24="No",Lookup_Lists!$D$327,"N/A"))</f>
      </c>
      <c r="AR48" s="18">
        <f>IF(NOT(ISNUMBER(KOL_Source_Data!$BQ$24)),"N/A",MAX(0,ROUND(100-KOL_Source_Data!$BQ$24/Lookup_Lists!$D$328*100,0)))</f>
      </c>
      <c r="AS48" s="18">
        <f>IF(NOT(AND(ISTEXT(KOL_Source_Data!$BV$24),KOL_Source_Data!$BV$24&lt;&gt;"N/A")),"N/A",KOL_Source_Data!$BV$24)</f>
      </c>
      <c r="AT48" s="29">
        <f>IF((IF(ISNUMBER(Matching_Engine!$AO$48),Lookup_Lists!$D$322,0)+IF(ISNUMBER(Matching_Engine!$AP$48),Lookup_Lists!$D$323,0)+IF(ISNUMBER(Matching_Engine!$AQ$48),Lookup_Lists!$D$324,0)+IF(ISNUMBER(Matching_Engine!$AR$48),Lookup_Lists!$D$325,0))=0,"N/A",ROUND((IF(ISNUMBER(Matching_Engine!$AO$48),Matching_Engine!$AO$48*Lookup_Lists!$D$322,0)+IF(ISNUMBER(Matching_Engine!$AP$48),Matching_Engine!$AP$48*Lookup_Lists!$D$323,0)+IF(ISNUMBER(Matching_Engine!$AQ$48),Matching_Engine!$AQ$48*Lookup_Lists!$D$324,0)+IF(ISNUMBER(Matching_Engine!$AR$48),Matching_Engine!$AR$48*Lookup_Lists!$D$325,0))/(IF(ISNUMBER(Matching_Engine!$AO$48),Lookup_Lists!$D$322,0)+IF(ISNUMBER(Matching_Engine!$AP$48),Lookup_Lists!$D$323,0)+IF(ISNUMBER(Matching_Engine!$AQ$48),Lookup_Lists!$D$324,0)+IF(ISNUMBER(Matching_Engine!$AR$48),Lookup_Lists!$D$325,0)),0))</f>
      </c>
      <c r="AU48" s="11">
        <f>IF(ISNUMBER(Matching_Engine!$AT$48),1,0)</f>
      </c>
      <c r="AV48" s="11">
        <f>IF(NOT(ISNUMBER(Matching_Engine!$AT$48)),"Not Screened",IF(Matching_Engine!$AT$48&gt;=Lookup_Lists!$D$329,"Low Risk",IF(Matching_Engine!$AT$48&gt;=Lookup_Lists!$D$330,"Moderate Risk",IF(Matching_Engine!$AT$48&gt;=Lookup_Lists!$D$331,"Elevated Risk","High Risk"))))</f>
      </c>
      <c r="AW48" s="11">
        <f>IF(NOT(ISNUMBER(Matching_Engine!$AT$48)),"No integrity signal: no audience-analysis row for this account.","Integrity screen only — no content-risk reading exists (comments_analysis: 0 rows). "&amp;IF(ISNUMBER(Matching_Engine!$AO$48),"Authenticity "&amp;Matching_Engine!$AO$48&amp;". ","Authenticity N/A. ")&amp;IF(ISNUMBER(Matching_Engine!$AP$48),"Follower quality "&amp;Matching_Engine!$AP$48&amp;". ","Follower quality N/A. ")&amp;IF(KOL_Source_Data!$I$24="Yes","Platform-verified.","Not platform-verified."))</f>
      </c>
      <c r="AX48" s="18">
        <f>Matching_Engine!$N$48*Lookup_Lists!$D$104+Matching_Engine!$T$48*Lookup_Lists!$D$105+Matching_Engine!$Z$48*Lookup_Lists!$D$106+Matching_Engine!$AF$48*Lookup_Lists!$D$107+Matching_Engine!$AN$48*Lookup_Lists!$D$108+Matching_Engine!$AU$48*Lookup_Lists!$D$109</f>
      </c>
      <c r="AY48" s="30">
        <f>IF(Matching_Engine!$AX$48=0,"N/A",ROUND((IF(Matching_Engine!$N$48=1,Matching_Engine!$M$48*Lookup_Lists!$D$104,0)+IF(Matching_Engine!$T$48=1,Matching_Engine!$S$48*Lookup_Lists!$D$105,0)+IF(Matching_Engine!$Z$48=1,Matching_Engine!$Y$48*Lookup_Lists!$D$106,0)+IF(Matching_Engine!$AF$48=1,Matching_Engine!$AE$48*Lookup_Lists!$D$107,0)+IF(Matching_Engine!$AN$48=1,Matching_Engine!$AM$48*Lookup_Lists!$D$108,0)+IF(Matching_Engine!$AU$48=1,Matching_Engine!$AT$48*Lookup_Lists!$D$109,0))/Matching_Engine!$AX$48,0))</f>
      </c>
      <c r="AZ48" s="11">
        <f>IF(NOT(ISNUMBER(Matching_Engine!$AY$48)),"Not Scored",IF(Matching_Engine!$AY$48&gt;=Lookup_Lists!$D$152,"Excellent Match",IF(Matching_Engine!$AY$48&gt;=Lookup_Lists!$D$153,"Strong Match",IF(Matching_Engine!$AY$48&gt;=Lookup_Lists!$D$154,"Good Match",IF(Matching_Engine!$AY$48&gt;=Lookup_Lists!$D$155,"Moderate Match","Low Match")))))</f>
      </c>
      <c r="BA48" s="18">
        <f>KOL_Source_Data!$BW$24</f>
      </c>
      <c r="BB48" s="11">
        <f>KOL_Source_Data!$BX$24</f>
      </c>
      <c r="BC48" s="18">
        <f>IF(NOT(ISNUMBER(Matching_Engine!$AY$48)),-1,Matching_Engine!$AY$48*1000+6)</f>
      </c>
      <c r="BD48" s="11">
        <f>IF(AND(ISTEXT(KOL_Source_Data!$S$24),KOL_Source_Data!$S$24&lt;&gt;"N/A"),KOL_Source_Data!$S$24,"")&amp;" | "&amp;IF(AND(ISTEXT(KOL_Source_Data!$T$24),KOL_Source_Data!$T$24&lt;&gt;"N/A"),KOL_Source_Data!$T$24,"")&amp;" | "&amp;IF(AND(ISTEXT(KOL_Source_Data!$N$24),KOL_Source_Data!$N$24&lt;&gt;"N/A"),KOL_Source_Data!$N$24,"")&amp;" | "&amp;IF(AND(ISTEXT(KOL_Source_Data!$K$24),KOL_Source_Data!$K$24&lt;&gt;"N/A"),KOL_Source_Data!$K$24,"")&amp;" | "&amp;IF(AND(ISTEXT(KOL_Source_Data!$J$24),KOL_Source_Data!$J$24&lt;&gt;"N/A"),KOL_Source_Data!$J$24,"")</f>
      </c>
      <c r="BE48" s="11">
        <f>IF(AND(ISTEXT(KOL_Source_Data!$T$24),KOL_Source_Data!$T$24&lt;&gt;"N/A"),KOL_Source_Data!$T$24,"")&amp;" | "&amp;IF(AND(ISTEXT(KOL_Source_Data!$N$24),KOL_Source_Data!$N$24&lt;&gt;"N/A"),KOL_Source_Data!$N$24,"")&amp;" | "&amp;IF(AND(ISTEXT(KOL_Source_Data!$O$24),KOL_Source_Data!$O$24&lt;&gt;"N/A"),KOL_Source_Data!$O$24,"")&amp;" | "&amp;IF(AND(ISTEXT(KOL_Source_Data!$S$24),KOL_Source_Data!$S$24&lt;&gt;"N/A"),KOL_Source_Data!$S$24,"")</f>
      </c>
      <c r="BF48" s="11">
        <f>IF(AND(ISTEXT(KOL_Source_Data!$U$24),KOL_Source_Data!$U$24&lt;&gt;"N/A"),KOL_Source_Data!$U$24,"")</f>
      </c>
      <c r="BG48" s="11">
        <f>Matching_Engine!$A$48&amp;"|"&amp;Matching_Engine!$C$48</f>
      </c>
    </row>
    <row r="49" spans="1:59" x14ac:dyDescent="0.25">
      <c r="A49" s="10" t="s">
        <v>391</v>
      </c>
      <c r="B49" s="11">
        <f>Brand_Profile!$F$6</f>
      </c>
      <c r="C49" s="11">
        <f>KOL_Source_Data!$A$25</f>
      </c>
      <c r="D49" s="11">
        <f>KOL_Source_Data!$C$25</f>
      </c>
      <c r="E49" s="11">
        <f>KOL_Source_Data!$D$25</f>
      </c>
      <c r="F49" s="11">
        <f>KOL_Source_Data!$E$25</f>
      </c>
      <c r="G49" s="11">
        <f>KOL_Source_Data!$K$25</f>
      </c>
      <c r="H49" s="12">
        <f>KOL_Source_Data!$G$25</f>
      </c>
      <c r="I49" s="14">
        <f>KOL_Source_Data!$BG$25</f>
      </c>
      <c r="J49" s="18">
        <f>IF(NOT(AND(ISTEXT(KOL_Source_Data!$K$25),KOL_Source_Data!$K$25&lt;&gt;"N/A")),Lookup_Lists!$D$150,IF(Brand_Profile!$F$7=KOL_Source_Data!$K$25,100,IFERROR(INDEX(Lookup_Lists!$B$349:$J$357,MATCH(Brand_Profile!$F$7,Lookup_Lists!$A$349:$A$357,0),MATCH(KOL_Source_Data!$K$25,Lookup_Lists!$B$348:$J$348,0)),Lookup_Lists!$D$151)))</f>
      </c>
      <c r="K49" s="18">
        <f>IF(LEN(TRIM(SUBSTITUTE(Matching_Engine!$BD$49,"|","")))=0,"N/A",IF(Brand_Profile!$F$47=0,Lookup_Lists!$D$150,ROUND((IF(Brand_Profile!$F$41="",0,IF(ISNUMBER(SEARCH(Brand_Profile!$F$41,Matching_Engine!$BD$49)),1,0))+IF(Brand_Profile!$F$42="",0,IF(ISNUMBER(SEARCH(Brand_Profile!$F$42,Matching_Engine!$BD$49)),1,0))+IF(Brand_Profile!$F$43="",0,IF(ISNUMBER(SEARCH(Brand_Profile!$F$43,Matching_Engine!$BD$49)),1,0))+IF(Brand_Profile!$F$44="",0,IF(ISNUMBER(SEARCH(Brand_Profile!$F$44,Matching_Engine!$BD$49)),1,0))+IF(Brand_Profile!$F$45="",0,IF(ISNUMBER(SEARCH(Brand_Profile!$F$45,Matching_Engine!$BD$49)),1,0))+IF(Brand_Profile!$F$46="",0,IF(ISNUMBER(SEARCH(Brand_Profile!$F$46,Matching_Engine!$BD$49)),1,0)))/Brand_Profile!$F$47*100,0)))</f>
      </c>
      <c r="L49" s="18">
        <f>IF(NOT(AND(ISTEXT(KOL_Source_Data!$U$25),KOL_Source_Data!$U$25&lt;&gt;"N/A")),"N/A",IF(Brand_Profile!$F$53=0,Lookup_Lists!$D$150,ROUND((IF(Brand_Profile!$F$48="",0,IF(ISNUMBER(SEARCH(Brand_Profile!$F$48,Matching_Engine!$BF$49)),1,0))+IF(Brand_Profile!$F$49="",0,IF(ISNUMBER(SEARCH(Brand_Profile!$F$49,Matching_Engine!$BF$49)),1,0))+IF(Brand_Profile!$F$50="",0,IF(ISNUMBER(SEARCH(Brand_Profile!$F$50,Matching_Engine!$BF$49)),1,0))+IF(Brand_Profile!$F$51="",0,IF(ISNUMBER(SEARCH(Brand_Profile!$F$51,Matching_Engine!$BF$49)),1,0))+IF(Brand_Profile!$F$52="",0,IF(ISNUMBER(SEARCH(Brand_Profile!$F$52,Matching_Engine!$BF$49)),1,0)))/Brand_Profile!$F$53*100,0)))</f>
      </c>
      <c r="M49" s="29">
        <f>IF((IF(ISNUMBER(Matching_Engine!$J$49),Lookup_Lists!$D$332,0)+IF(ISNUMBER(Matching_Engine!$K$49),Lookup_Lists!$D$333,0)+IF(ISNUMBER(Matching_Engine!$L$49),Lookup_Lists!$D$334,0))=0,"N/A",ROUND((IF(ISNUMBER(Matching_Engine!$J$49),Matching_Engine!$J$49*Lookup_Lists!$D$332,0)+IF(ISNUMBER(Matching_Engine!$K$49),Matching_Engine!$K$49*Lookup_Lists!$D$333,0)+IF(ISNUMBER(Matching_Engine!$L$49),Matching_Engine!$L$49*Lookup_Lists!$D$334,0))/(IF(ISNUMBER(Matching_Engine!$J$49),Lookup_Lists!$D$332,0)+IF(ISNUMBER(Matching_Engine!$K$49),Lookup_Lists!$D$333,0)+IF(ISNUMBER(Matching_Engine!$L$49),Lookup_Lists!$D$334,0)),0))</f>
      </c>
      <c r="N49" s="11">
        <f>IF(ISNUMBER(Matching_Engine!$M$49),1,0)</f>
      </c>
      <c r="O49" s="18">
        <f>IF(NOT(ISNUMBER(IFERROR(INDEX(KOL_Source_Data!$V$25:KOL_Source_Data!$Z$25,1,MATCH(Brand_Profile!$F$11,Lookup_Lists!$F$6:$F$10,0)),""))),"N/A",MIN(100,ROUND((IFERROR(INDEX(KOL_Source_Data!$V$25:KOL_Source_Data!$Z$25,1,MATCH(Brand_Profile!$F$11,Lookup_Lists!$F$6:$F$10,0)),"")+0.5*IF(ISNUMBER(IFERROR(INDEX(KOL_Source_Data!$V$25:KOL_Source_Data!$Z$25,1,MATCH(Brand_Profile!$F$12,Lookup_Lists!$F$6:$F$10,0)),"")),IFERROR(INDEX(KOL_Source_Data!$V$25:KOL_Source_Data!$Z$25,1,MATCH(Brand_Profile!$F$12,Lookup_Lists!$F$6:$F$10,0)),""),0))/Lookup_Lists!$D$142*100,0)))</f>
      </c>
      <c r="P49" s="18">
        <f>IF(Brand_Profile!$F$13="Any",100,IF(NOT(ISNUMBER(KOL_Source_Data!$AA$25)),"N/A",IF(Brand_Profile!$F$13="Female",MIN(100,ROUND(KOL_Source_Data!$AA$25/Lookup_Lists!$D$143*100,0)),IF(Brand_Profile!$F$13="Male",MIN(100,ROUND(IF(ISNUMBER(KOL_Source_Data!$AB$25),KOL_Source_Data!$AB$25,100-KOL_Source_Data!$AA$25)/Lookup_Lists!$D$143*100,0)),MAX(0,ROUND(100-ABS(KOL_Source_Data!$AA$25-50)*2,0))))))</f>
      </c>
      <c r="Q49" s="18">
        <f>IF((IF(ISNUMBER(IF(NOT(ISNUMBER(KOL_Source_Data!$AE$25)),"N/A",IF(KOL_Source_Data!$AD$25&lt;&gt;Brand_Profile!$F$14,Lookup_Lists!$D$151,MIN(100,ROUND(KOL_Source_Data!$AE$25/Lookup_Lists!$D$316*100,0))))),Lookup_Lists!$D$118,0)+IF(ISNUMBER(IF(NOT(ISNUMBER(KOL_Source_Data!$AM$25)),"N/A",MIN(100,ROUND((IF(KOL_Source_Data!$AG$25=Brand_Profile!$F$15,IF(ISNUMBER(KOL_Source_Data!$AH$25),KOL_Source_Data!$AH$25,0),0)+IF(KOL_Source_Data!$AI$25=Brand_Profile!$F$15,IF(ISNUMBER(KOL_Source_Data!$AJ$25),KOL_Source_Data!$AJ$25,0),0)+IF(KOL_Source_Data!$AK$25=Brand_Profile!$F$15,IF(ISNUMBER(KOL_Source_Data!$AL$25),KOL_Source_Data!$AL$25,0),0))/Lookup_Lists!$D$317*100,0)))),Lookup_Lists!$D$120,0))=0,"N/A",ROUND((IF(ISNUMBER(IF(NOT(ISNUMBER(KOL_Source_Data!$AE$25)),"N/A",IF(KOL_Source_Data!$AD$25&lt;&gt;Brand_Profile!$F$14,Lookup_Lists!$D$151,MIN(100,ROUND(KOL_Source_Data!$AE$25/Lookup_Lists!$D$316*100,0))))),IF(NOT(ISNUMBER(KOL_Source_Data!$AE$25)),"N/A",IF(KOL_Source_Data!$AD$25&lt;&gt;Brand_Profile!$F$14,Lookup_Lists!$D$151,MIN(100,ROUND(KOL_Source_Data!$AE$25/Lookup_Lists!$D$316*100,0))))*Lookup_Lists!$D$118,0)+IF(ISNUMBER(IF(NOT(ISNUMBER(KOL_Source_Data!$AM$25)),"N/A",MIN(100,ROUND((IF(KOL_Source_Data!$AG$25=Brand_Profile!$F$15,IF(ISNUMBER(KOL_Source_Data!$AH$25),KOL_Source_Data!$AH$25,0),0)+IF(KOL_Source_Data!$AI$25=Brand_Profile!$F$15,IF(ISNUMBER(KOL_Source_Data!$AJ$25),KOL_Source_Data!$AJ$25,0),0)+IF(KOL_Source_Data!$AK$25=Brand_Profile!$F$15,IF(ISNUMBER(KOL_Source_Data!$AL$25),KOL_Source_Data!$AL$25,0),0))/Lookup_Lists!$D$317*100,0)))),IF(NOT(ISNUMBER(KOL_Source_Data!$AM$25)),"N/A",MIN(100,ROUND((IF(KOL_Source_Data!$AG$25=Brand_Profile!$F$15,IF(ISNUMBER(KOL_Source_Data!$AH$25),KOL_Source_Data!$AH$25,0),0)+IF(KOL_Source_Data!$AI$25=Brand_Profile!$F$15,IF(ISNUMBER(KOL_Source_Data!$AJ$25),KOL_Source_Data!$AJ$25,0),0)+IF(KOL_Source_Data!$AK$25=Brand_Profile!$F$15,IF(ISNUMBER(KOL_Source_Data!$AL$25),KOL_Source_Data!$AL$25,0),0))/Lookup_Lists!$D$317*100,0)))*Lookup_Lists!$D$120,0))/(IF(ISNUMBER(IF(NOT(ISNUMBER(KOL_Source_Data!$AE$25)),"N/A",IF(KOL_Source_Data!$AD$25&lt;&gt;Brand_Profile!$F$14,Lookup_Lists!$D$151,MIN(100,ROUND(KOL_Source_Data!$AE$25/Lookup_Lists!$D$316*100,0))))),Lookup_Lists!$D$118,0)+IF(ISNUMBER(IF(NOT(ISNUMBER(KOL_Source_Data!$AM$25)),"N/A",MIN(100,ROUND((IF(KOL_Source_Data!$AG$25=Brand_Profile!$F$15,IF(ISNUMBER(KOL_Source_Data!$AH$25),KOL_Source_Data!$AH$25,0),0)+IF(KOL_Source_Data!$AI$25=Brand_Profile!$F$15,IF(ISNUMBER(KOL_Source_Data!$AJ$25),KOL_Source_Data!$AJ$25,0),0)+IF(KOL_Source_Data!$AK$25=Brand_Profile!$F$15,IF(ISNUMBER(KOL_Source_Data!$AL$25),KOL_Source_Data!$AL$25,0),0))/Lookup_Lists!$D$317*100,0)))),Lookup_Lists!$D$120,0)),0))</f>
      </c>
      <c r="R49" s="18">
        <f>IF(NOT(ISNUMBER(KOL_Source_Data!$AN$25)),"N/A",MIN(100,ROUND((IF(ISNUMBER(KOL_Source_Data!$AO$25),KOL_Source_Data!$AO$25*Brand_Profile!$F$17,0)+IF(ISNUMBER(KOL_Source_Data!$AP$25),KOL_Source_Data!$AP$25*Brand_Profile!$F$18,0)+IF(ISNUMBER(KOL_Source_Data!$AQ$25),KOL_Source_Data!$AQ$25*Brand_Profile!$F$19,0)+IF(ISNUMBER(KOL_Source_Data!$AR$25),KOL_Source_Data!$AR$25*Brand_Profile!$F$20,0)+IF(ISNUMBER(KOL_Source_Data!$AS$25),KOL_Source_Data!$AS$25*Brand_Profile!$F$21,0)+IF(ISNUMBER(KOL_Source_Data!$AT$25),KOL_Source_Data!$AT$25*Brand_Profile!$F$22,0)+IF(ISNUMBER(KOL_Source_Data!$AU$25),KOL_Source_Data!$AU$25*Brand_Profile!$F$23,0)+IF(ISNUMBER(KOL_Source_Data!$AV$25),KOL_Source_Data!$AV$25*Brand_Profile!$F$24,0)+IF(ISNUMBER(KOL_Source_Data!$AW$25),KOL_Source_Data!$AW$25*Brand_Profile!$F$25,0)+IF(ISNUMBER(KOL_Source_Data!$AX$25),KOL_Source_Data!$AX$25*Brand_Profile!$F$26,0)+IF(ISNUMBER(KOL_Source_Data!$AY$25),KOL_Source_Data!$AY$25*Brand_Profile!$F$27,0)+IF(ISNUMBER(KOL_Source_Data!$AZ$25),KOL_Source_Data!$AZ$25*Brand_Profile!$F$28,0)+IF(ISNUMBER(KOL_Source_Data!$BA$25),KOL_Source_Data!$BA$25*Brand_Profile!$F$29,0)+IF(ISNUMBER(KOL_Source_Data!$BB$25),KOL_Source_Data!$BB$25*Brand_Profile!$F$30,0)+IF(ISNUMBER(KOL_Source_Data!$BC$25),KOL_Source_Data!$BC$25*Brand_Profile!$F$31,0)+IF(ISNUMBER(KOL_Source_Data!$BD$25),KOL_Source_Data!$BD$25*Brand_Profile!$F$32,0)+IF(ISNUMBER(KOL_Source_Data!$BE$25),KOL_Source_Data!$BE$25*Brand_Profile!$F$33,0)+IF(ISNUMBER(KOL_Source_Data!$BF$25),KOL_Source_Data!$BF$25*Brand_Profile!$F$34,0))/Lookup_Lists!$D$318*100,0)))</f>
      </c>
      <c r="S49" s="29">
        <f>IF((IF(ISNUMBER(Matching_Engine!$O$49),Lookup_Lists!$D$113,0)+IF(ISNUMBER(Matching_Engine!$P$49),Lookup_Lists!$D$114,0)+IF(ISNUMBER(Matching_Engine!$Q$49),Lookup_Lists!$D$115,0)+IF(ISNUMBER(Matching_Engine!$R$49),Lookup_Lists!$D$116,0))=0,"N/A",ROUND((IF(ISNUMBER(Matching_Engine!$O$49),Matching_Engine!$O$49*Lookup_Lists!$D$113,0)+IF(ISNUMBER(Matching_Engine!$P$49),Matching_Engine!$P$49*Lookup_Lists!$D$114,0)+IF(ISNUMBER(Matching_Engine!$Q$49),Matching_Engine!$Q$49*Lookup_Lists!$D$115,0)+IF(ISNUMBER(Matching_Engine!$R$49),Matching_Engine!$R$49*Lookup_Lists!$D$116,0))/(IF(ISNUMBER(Matching_Engine!$O$49),Lookup_Lists!$D$113,0)+IF(ISNUMBER(Matching_Engine!$P$49),Lookup_Lists!$D$114,0)+IF(ISNUMBER(Matching_Engine!$Q$49),Lookup_Lists!$D$115,0)+IF(ISNUMBER(Matching_Engine!$R$49),Lookup_Lists!$D$116,0)),0))</f>
      </c>
      <c r="T49" s="11">
        <f>IF(ISNUMBER(Matching_Engine!$S$49),1,0)</f>
      </c>
      <c r="U49" s="18">
        <f>IF(NOT(AND(ISTEXT(KOL_Source_Data!$M$25),KOL_Source_Data!$M$25&lt;&gt;"N/A")),Lookup_Lists!$D$150,IF(Brand_Profile!$F$7=KOL_Source_Data!$M$25,100,IFERROR(INDEX(Lookup_Lists!$B$349:$J$357,MATCH(Brand_Profile!$F$7,Lookup_Lists!$A$349:$A$357,0),MATCH(KOL_Source_Data!$M$25,Lookup_Lists!$B$348:$J$348,0)),Lookup_Lists!$D$151)))</f>
      </c>
      <c r="V49" s="18">
        <f>IF(NOT(AND(ISTEXT(KOL_Source_Data!$P$25),KOL_Source_Data!$P$25&lt;&gt;"N/A")),"N/A",IFERROR(INDEX(Lookup_Lists!$B$349:$J$357,MATCH(Brand_Profile!$F$7,Lookup_Lists!$A$349:$A$357,0),MATCH(KOL_Source_Data!$P$25,Lookup_Lists!$B$348:$J$348,0)),Lookup_Lists!$D$151))</f>
      </c>
      <c r="W49" s="18">
        <f>IF(LEN(TRIM(SUBSTITUTE(Matching_Engine!$BE$49,"|","")))=0,"N/A",IF(Brand_Profile!$F$60=0,Lookup_Lists!$D$150,ROUND((IF(Brand_Profile!$F$54="",0,IF(ISNUMBER(SEARCH(Brand_Profile!$F$54,Matching_Engine!$BE$49)),1,0))+IF(Brand_Profile!$F$55="",0,IF(ISNUMBER(SEARCH(Brand_Profile!$F$55,Matching_Engine!$BE$49)),1,0))+IF(Brand_Profile!$F$56="",0,IF(ISNUMBER(SEARCH(Brand_Profile!$F$56,Matching_Engine!$BE$49)),1,0))+IF(Brand_Profile!$F$57="",0,IF(ISNUMBER(SEARCH(Brand_Profile!$F$57,Matching_Engine!$BE$49)),1,0))+IF(Brand_Profile!$F$58="",0,IF(ISNUMBER(SEARCH(Brand_Profile!$F$58,Matching_Engine!$BE$49)),1,0))+IF(Brand_Profile!$F$59="",0,IF(ISNUMBER(SEARCH(Brand_Profile!$F$59,Matching_Engine!$BE$49)),1,0)))/Brand_Profile!$F$60*100,0)))</f>
      </c>
      <c r="X49" s="18">
        <f>IF(NOT(AND(ISTEXT(KOL_Source_Data!$Q$25),KOL_Source_Data!$Q$25&lt;&gt;"N/A")),"N/A",Lookup_Lists!$D$150)</f>
      </c>
      <c r="Y49" s="29">
        <f>IF((IF(ISNUMBER(Matching_Engine!$U$49),Lookup_Lists!$D$335,0)+IF(ISNUMBER(Matching_Engine!$V$49),Lookup_Lists!$D$122,0)+IF(ISNUMBER(Matching_Engine!$W$49),Lookup_Lists!$D$336,0)+IF(ISNUMBER(Matching_Engine!$X$49),Lookup_Lists!$D$124,0))=0,"N/A",ROUND((IF(ISNUMBER(Matching_Engine!$U$49),Matching_Engine!$U$49*Lookup_Lists!$D$335,0)+IF(ISNUMBER(Matching_Engine!$V$49),Matching_Engine!$V$49*Lookup_Lists!$D$122,0)+IF(ISNUMBER(Matching_Engine!$W$49),Matching_Engine!$W$49*Lookup_Lists!$D$336,0)+IF(ISNUMBER(Matching_Engine!$X$49),Matching_Engine!$X$49*Lookup_Lists!$D$124,0))/(IF(ISNUMBER(Matching_Engine!$U$49),Lookup_Lists!$D$335,0)+IF(ISNUMBER(Matching_Engine!$V$49),Lookup_Lists!$D$122,0)+IF(ISNUMBER(Matching_Engine!$W$49),Lookup_Lists!$D$336,0)+IF(ISNUMBER(Matching_Engine!$X$49),Lookup_Lists!$D$124,0)),0))</f>
      </c>
      <c r="Z49" s="11">
        <f>IF(ISNUMBER(Matching_Engine!$Y$49),1,0)</f>
      </c>
      <c r="AA49" s="18">
        <f>IF(NOT(AND(ISTEXT(KOL_Source_Data!$Q$25),KOL_Source_Data!$Q$25&lt;&gt;"N/A")),"N/A",Lookup_Lists!$D$150)</f>
      </c>
      <c r="AB49" s="18">
        <f>IF(NOT(AND(ISTEXT(KOL_Source_Data!$Q$25),KOL_Source_Data!$Q$25&lt;&gt;"N/A")),"N/A",Lookup_Lists!$D$150)</f>
      </c>
      <c r="AC49" s="18">
        <f>"N/A"</f>
      </c>
      <c r="AD49" s="18">
        <f>IF(NOT(AND(ISTEXT(KOL_Source_Data!$Q$25),KOL_Source_Data!$Q$25&lt;&gt;"N/A")),"N/A",Lookup_Lists!$D$150)</f>
      </c>
      <c r="AE49" s="29">
        <f>IF((IF(ISNUMBER(Matching_Engine!$AA$49),Lookup_Lists!$D$125,0)+IF(ISNUMBER(Matching_Engine!$AB$49),Lookup_Lists!$D$126,0)+IF(ISNUMBER(Matching_Engine!$AC$49),Lookup_Lists!$D$127,0)+IF(ISNUMBER(Matching_Engine!$AD$49),Lookup_Lists!$D$128,0))=0,"N/A",ROUND((IF(ISNUMBER(Matching_Engine!$AA$49),Matching_Engine!$AA$49*Lookup_Lists!$D$125,0)+IF(ISNUMBER(Matching_Engine!$AB$49),Matching_Engine!$AB$49*Lookup_Lists!$D$126,0)+IF(ISNUMBER(Matching_Engine!$AC$49),Matching_Engine!$AC$49*Lookup_Lists!$D$127,0)+IF(ISNUMBER(Matching_Engine!$AD$49),Matching_Engine!$AD$49*Lookup_Lists!$D$128,0))/(IF(ISNUMBER(Matching_Engine!$AA$49),Lookup_Lists!$D$125,0)+IF(ISNUMBER(Matching_Engine!$AB$49),Lookup_Lists!$D$126,0)+IF(ISNUMBER(Matching_Engine!$AC$49),Lookup_Lists!$D$127,0)+IF(ISNUMBER(Matching_Engine!$AD$49),Lookup_Lists!$D$128,0)),0))</f>
      </c>
      <c r="AF49" s="11">
        <f>IF(ISNUMBER(Matching_Engine!$AE$49),1,0)</f>
      </c>
      <c r="AG49" s="18">
        <f>IF(NOT(ISNUMBER(KOL_Source_Data!$BG$25)),"N/A",MIN(100,ROUND(KOL_Source_Data!$BG$25/IFERROR(INDEX(Lookup_Lists!$B$340:$B$344,MATCH(KOL_Source_Data!$H$25,Lookup_Lists!$A$340:$A$344,0)),Lookup_Lists!$D$141)*100,0)))</f>
      </c>
      <c r="AH49" s="18">
        <f>IF(NOT(ISNUMBER(KOL_Source_Data!$BS$25)),"N/A",MIN(100,MAX(0,KOL_Source_Data!$BS$25)))</f>
      </c>
      <c r="AI49" s="18">
        <f>IF(OR(NOT(ISNUMBER(KOL_Source_Data!$BM$25)),NOT(ISNUMBER(KOL_Source_Data!$BN$25)),KOL_Source_Data!$BN$25&lt;Lookup_Lists!$D$320),"N/A",MIN(100,ROUND(KOL_Source_Data!$BM$25/Lookup_Lists!$D$319*100,0)))</f>
      </c>
      <c r="AJ49" s="18">
        <f>IF(NOT(ISNUMBER(KOL_Source_Data!$BR$25)),"N/A",KOL_Source_Data!$BR$25)</f>
      </c>
      <c r="AK49" s="18">
        <f>IF(NOT(ISNUMBER(KOL_Source_Data!$BK$25)),"N/A",MIN(100,ROUND(KOL_Source_Data!$BK$25/Lookup_Lists!$D$321*100,0)))</f>
      </c>
      <c r="AL49" s="18">
        <f>IF(NOT(ISNUMBER(KOL_Source_Data!$BP$25)),"N/A",MIN(100,MAX(0,ROUND((KOL_Source_Data!$BP$25+2)/(Lookup_Lists!$D$145+2)*100,0))))</f>
      </c>
      <c r="AM49" s="29">
        <f>IF((IF(ISNUMBER(Matching_Engine!$AG$49),Lookup_Lists!$D$129,0)+IF(ISNUMBER(Matching_Engine!$AH$49),Lookup_Lists!$D$130,0)+IF(ISNUMBER(Matching_Engine!$AI$49),Lookup_Lists!$D$131,0)+IF(ISNUMBER(Matching_Engine!$AJ$49),Lookup_Lists!$D$132,0)+IF(ISNUMBER(Matching_Engine!$AK$49),Lookup_Lists!$D$133,0)+IF(ISNUMBER(Matching_Engine!$AL$49),Lookup_Lists!$D$134,0))=0,"N/A",ROUND((IF(ISNUMBER(Matching_Engine!$AG$49),Matching_Engine!$AG$49*Lookup_Lists!$D$129,0)+IF(ISNUMBER(Matching_Engine!$AH$49),Matching_Engine!$AH$49*Lookup_Lists!$D$130,0)+IF(ISNUMBER(Matching_Engine!$AI$49),Matching_Engine!$AI$49*Lookup_Lists!$D$131,0)+IF(ISNUMBER(Matching_Engine!$AJ$49),Matching_Engine!$AJ$49*Lookup_Lists!$D$132,0)+IF(ISNUMBER(Matching_Engine!$AK$49),Matching_Engine!$AK$49*Lookup_Lists!$D$133,0)+IF(ISNUMBER(Matching_Engine!$AL$49),Matching_Engine!$AL$49*Lookup_Lists!$D$134,0))/(IF(ISNUMBER(Matching_Engine!$AG$49),Lookup_Lists!$D$129,0)+IF(ISNUMBER(Matching_Engine!$AH$49),Lookup_Lists!$D$130,0)+IF(ISNUMBER(Matching_Engine!$AI$49),Lookup_Lists!$D$131,0)+IF(ISNUMBER(Matching_Engine!$AJ$49),Lookup_Lists!$D$132,0)+IF(ISNUMBER(Matching_Engine!$AK$49),Lookup_Lists!$D$133,0)+IF(ISNUMBER(Matching_Engine!$AL$49),Lookup_Lists!$D$134,0)),0))</f>
      </c>
      <c r="AN49" s="11">
        <f>IF(ISNUMBER(Matching_Engine!$AM$49),1,0)</f>
      </c>
      <c r="AO49" s="18">
        <f>IF(NOT(ISNUMBER(KOL_Source_Data!$BT$25)),"N/A",MIN(100,MAX(0,KOL_Source_Data!$BT$25)))</f>
      </c>
      <c r="AP49" s="18">
        <f>IF(NOT(ISNUMBER(KOL_Source_Data!$BU$25)),"N/A",MIN(100,MAX(0,KOL_Source_Data!$BU$25)))</f>
      </c>
      <c r="AQ49" s="18">
        <f>IF(KOL_Source_Data!$I$25="Yes",Lookup_Lists!$D$326,IF(KOL_Source_Data!$I$25="No",Lookup_Lists!$D$327,"N/A"))</f>
      </c>
      <c r="AR49" s="18">
        <f>IF(NOT(ISNUMBER(KOL_Source_Data!$BQ$25)),"N/A",MAX(0,ROUND(100-KOL_Source_Data!$BQ$25/Lookup_Lists!$D$328*100,0)))</f>
      </c>
      <c r="AS49" s="18">
        <f>IF(NOT(AND(ISTEXT(KOL_Source_Data!$BV$25),KOL_Source_Data!$BV$25&lt;&gt;"N/A")),"N/A",KOL_Source_Data!$BV$25)</f>
      </c>
      <c r="AT49" s="29">
        <f>IF((IF(ISNUMBER(Matching_Engine!$AO$49),Lookup_Lists!$D$322,0)+IF(ISNUMBER(Matching_Engine!$AP$49),Lookup_Lists!$D$323,0)+IF(ISNUMBER(Matching_Engine!$AQ$49),Lookup_Lists!$D$324,0)+IF(ISNUMBER(Matching_Engine!$AR$49),Lookup_Lists!$D$325,0))=0,"N/A",ROUND((IF(ISNUMBER(Matching_Engine!$AO$49),Matching_Engine!$AO$49*Lookup_Lists!$D$322,0)+IF(ISNUMBER(Matching_Engine!$AP$49),Matching_Engine!$AP$49*Lookup_Lists!$D$323,0)+IF(ISNUMBER(Matching_Engine!$AQ$49),Matching_Engine!$AQ$49*Lookup_Lists!$D$324,0)+IF(ISNUMBER(Matching_Engine!$AR$49),Matching_Engine!$AR$49*Lookup_Lists!$D$325,0))/(IF(ISNUMBER(Matching_Engine!$AO$49),Lookup_Lists!$D$322,0)+IF(ISNUMBER(Matching_Engine!$AP$49),Lookup_Lists!$D$323,0)+IF(ISNUMBER(Matching_Engine!$AQ$49),Lookup_Lists!$D$324,0)+IF(ISNUMBER(Matching_Engine!$AR$49),Lookup_Lists!$D$325,0)),0))</f>
      </c>
      <c r="AU49" s="11">
        <f>IF(ISNUMBER(Matching_Engine!$AT$49),1,0)</f>
      </c>
      <c r="AV49" s="11">
        <f>IF(NOT(ISNUMBER(Matching_Engine!$AT$49)),"Not Screened",IF(Matching_Engine!$AT$49&gt;=Lookup_Lists!$D$329,"Low Risk",IF(Matching_Engine!$AT$49&gt;=Lookup_Lists!$D$330,"Moderate Risk",IF(Matching_Engine!$AT$49&gt;=Lookup_Lists!$D$331,"Elevated Risk","High Risk"))))</f>
      </c>
      <c r="AW49" s="11">
        <f>IF(NOT(ISNUMBER(Matching_Engine!$AT$49)),"No integrity signal: no audience-analysis row for this account.","Integrity screen only — no content-risk reading exists (comments_analysis: 0 rows). "&amp;IF(ISNUMBER(Matching_Engine!$AO$49),"Authenticity "&amp;Matching_Engine!$AO$49&amp;". ","Authenticity N/A. ")&amp;IF(ISNUMBER(Matching_Engine!$AP$49),"Follower quality "&amp;Matching_Engine!$AP$49&amp;". ","Follower quality N/A. ")&amp;IF(KOL_Source_Data!$I$25="Yes","Platform-verified.","Not platform-verified."))</f>
      </c>
      <c r="AX49" s="18">
        <f>Matching_Engine!$N$49*Lookup_Lists!$D$104+Matching_Engine!$T$49*Lookup_Lists!$D$105+Matching_Engine!$Z$49*Lookup_Lists!$D$106+Matching_Engine!$AF$49*Lookup_Lists!$D$107+Matching_Engine!$AN$49*Lookup_Lists!$D$108+Matching_Engine!$AU$49*Lookup_Lists!$D$109</f>
      </c>
      <c r="AY49" s="30">
        <f>IF(Matching_Engine!$AX$49=0,"N/A",ROUND((IF(Matching_Engine!$N$49=1,Matching_Engine!$M$49*Lookup_Lists!$D$104,0)+IF(Matching_Engine!$T$49=1,Matching_Engine!$S$49*Lookup_Lists!$D$105,0)+IF(Matching_Engine!$Z$49=1,Matching_Engine!$Y$49*Lookup_Lists!$D$106,0)+IF(Matching_Engine!$AF$49=1,Matching_Engine!$AE$49*Lookup_Lists!$D$107,0)+IF(Matching_Engine!$AN$49=1,Matching_Engine!$AM$49*Lookup_Lists!$D$108,0)+IF(Matching_Engine!$AU$49=1,Matching_Engine!$AT$49*Lookup_Lists!$D$109,0))/Matching_Engine!$AX$49,0))</f>
      </c>
      <c r="AZ49" s="11">
        <f>IF(NOT(ISNUMBER(Matching_Engine!$AY$49)),"Not Scored",IF(Matching_Engine!$AY$49&gt;=Lookup_Lists!$D$152,"Excellent Match",IF(Matching_Engine!$AY$49&gt;=Lookup_Lists!$D$153,"Strong Match",IF(Matching_Engine!$AY$49&gt;=Lookup_Lists!$D$154,"Good Match",IF(Matching_Engine!$AY$49&gt;=Lookup_Lists!$D$155,"Moderate Match","Low Match")))))</f>
      </c>
      <c r="BA49" s="18">
        <f>KOL_Source_Data!$BW$25</f>
      </c>
      <c r="BB49" s="11">
        <f>KOL_Source_Data!$BX$25</f>
      </c>
      <c r="BC49" s="18">
        <f>IF(NOT(ISNUMBER(Matching_Engine!$AY$49)),-1,Matching_Engine!$AY$49*1000+5)</f>
      </c>
      <c r="BD49" s="11">
        <f>IF(AND(ISTEXT(KOL_Source_Data!$S$25),KOL_Source_Data!$S$25&lt;&gt;"N/A"),KOL_Source_Data!$S$25,"")&amp;" | "&amp;IF(AND(ISTEXT(KOL_Source_Data!$T$25),KOL_Source_Data!$T$25&lt;&gt;"N/A"),KOL_Source_Data!$T$25,"")&amp;" | "&amp;IF(AND(ISTEXT(KOL_Source_Data!$N$25),KOL_Source_Data!$N$25&lt;&gt;"N/A"),KOL_Source_Data!$N$25,"")&amp;" | "&amp;IF(AND(ISTEXT(KOL_Source_Data!$K$25),KOL_Source_Data!$K$25&lt;&gt;"N/A"),KOL_Source_Data!$K$25,"")&amp;" | "&amp;IF(AND(ISTEXT(KOL_Source_Data!$J$25),KOL_Source_Data!$J$25&lt;&gt;"N/A"),KOL_Source_Data!$J$25,"")</f>
      </c>
      <c r="BE49" s="11">
        <f>IF(AND(ISTEXT(KOL_Source_Data!$T$25),KOL_Source_Data!$T$25&lt;&gt;"N/A"),KOL_Source_Data!$T$25,"")&amp;" | "&amp;IF(AND(ISTEXT(KOL_Source_Data!$N$25),KOL_Source_Data!$N$25&lt;&gt;"N/A"),KOL_Source_Data!$N$25,"")&amp;" | "&amp;IF(AND(ISTEXT(KOL_Source_Data!$O$25),KOL_Source_Data!$O$25&lt;&gt;"N/A"),KOL_Source_Data!$O$25,"")&amp;" | "&amp;IF(AND(ISTEXT(KOL_Source_Data!$S$25),KOL_Source_Data!$S$25&lt;&gt;"N/A"),KOL_Source_Data!$S$25,"")</f>
      </c>
      <c r="BF49" s="11">
        <f>IF(AND(ISTEXT(KOL_Source_Data!$U$25),KOL_Source_Data!$U$25&lt;&gt;"N/A"),KOL_Source_Data!$U$25,"")</f>
      </c>
      <c r="BG49" s="11">
        <f>Matching_Engine!$A$49&amp;"|"&amp;Matching_Engine!$C$49</f>
      </c>
    </row>
    <row r="50" spans="1:59" x14ac:dyDescent="0.25">
      <c r="A50" s="10" t="s">
        <v>391</v>
      </c>
      <c r="B50" s="11">
        <f>Brand_Profile!$F$6</f>
      </c>
      <c r="C50" s="11">
        <f>KOL_Source_Data!$A$26</f>
      </c>
      <c r="D50" s="11">
        <f>KOL_Source_Data!$C$26</f>
      </c>
      <c r="E50" s="11">
        <f>KOL_Source_Data!$D$26</f>
      </c>
      <c r="F50" s="11">
        <f>KOL_Source_Data!$E$26</f>
      </c>
      <c r="G50" s="11">
        <f>KOL_Source_Data!$K$26</f>
      </c>
      <c r="H50" s="12">
        <f>KOL_Source_Data!$G$26</f>
      </c>
      <c r="I50" s="14">
        <f>KOL_Source_Data!$BG$26</f>
      </c>
      <c r="J50" s="18">
        <f>IF(NOT(AND(ISTEXT(KOL_Source_Data!$K$26),KOL_Source_Data!$K$26&lt;&gt;"N/A")),Lookup_Lists!$D$150,IF(Brand_Profile!$F$7=KOL_Source_Data!$K$26,100,IFERROR(INDEX(Lookup_Lists!$B$349:$J$357,MATCH(Brand_Profile!$F$7,Lookup_Lists!$A$349:$A$357,0),MATCH(KOL_Source_Data!$K$26,Lookup_Lists!$B$348:$J$348,0)),Lookup_Lists!$D$151)))</f>
      </c>
      <c r="K50" s="18">
        <f>IF(LEN(TRIM(SUBSTITUTE(Matching_Engine!$BD$50,"|","")))=0,"N/A",IF(Brand_Profile!$F$47=0,Lookup_Lists!$D$150,ROUND((IF(Brand_Profile!$F$41="",0,IF(ISNUMBER(SEARCH(Brand_Profile!$F$41,Matching_Engine!$BD$50)),1,0))+IF(Brand_Profile!$F$42="",0,IF(ISNUMBER(SEARCH(Brand_Profile!$F$42,Matching_Engine!$BD$50)),1,0))+IF(Brand_Profile!$F$43="",0,IF(ISNUMBER(SEARCH(Brand_Profile!$F$43,Matching_Engine!$BD$50)),1,0))+IF(Brand_Profile!$F$44="",0,IF(ISNUMBER(SEARCH(Brand_Profile!$F$44,Matching_Engine!$BD$50)),1,0))+IF(Brand_Profile!$F$45="",0,IF(ISNUMBER(SEARCH(Brand_Profile!$F$45,Matching_Engine!$BD$50)),1,0))+IF(Brand_Profile!$F$46="",0,IF(ISNUMBER(SEARCH(Brand_Profile!$F$46,Matching_Engine!$BD$50)),1,0)))/Brand_Profile!$F$47*100,0)))</f>
      </c>
      <c r="L50" s="18">
        <f>IF(NOT(AND(ISTEXT(KOL_Source_Data!$U$26),KOL_Source_Data!$U$26&lt;&gt;"N/A")),"N/A",IF(Brand_Profile!$F$53=0,Lookup_Lists!$D$150,ROUND((IF(Brand_Profile!$F$48="",0,IF(ISNUMBER(SEARCH(Brand_Profile!$F$48,Matching_Engine!$BF$50)),1,0))+IF(Brand_Profile!$F$49="",0,IF(ISNUMBER(SEARCH(Brand_Profile!$F$49,Matching_Engine!$BF$50)),1,0))+IF(Brand_Profile!$F$50="",0,IF(ISNUMBER(SEARCH(Brand_Profile!$F$50,Matching_Engine!$BF$50)),1,0))+IF(Brand_Profile!$F$51="",0,IF(ISNUMBER(SEARCH(Brand_Profile!$F$51,Matching_Engine!$BF$50)),1,0))+IF(Brand_Profile!$F$52="",0,IF(ISNUMBER(SEARCH(Brand_Profile!$F$52,Matching_Engine!$BF$50)),1,0)))/Brand_Profile!$F$53*100,0)))</f>
      </c>
      <c r="M50" s="29">
        <f>IF((IF(ISNUMBER(Matching_Engine!$J$50),Lookup_Lists!$D$332,0)+IF(ISNUMBER(Matching_Engine!$K$50),Lookup_Lists!$D$333,0)+IF(ISNUMBER(Matching_Engine!$L$50),Lookup_Lists!$D$334,0))=0,"N/A",ROUND((IF(ISNUMBER(Matching_Engine!$J$50),Matching_Engine!$J$50*Lookup_Lists!$D$332,0)+IF(ISNUMBER(Matching_Engine!$K$50),Matching_Engine!$K$50*Lookup_Lists!$D$333,0)+IF(ISNUMBER(Matching_Engine!$L$50),Matching_Engine!$L$50*Lookup_Lists!$D$334,0))/(IF(ISNUMBER(Matching_Engine!$J$50),Lookup_Lists!$D$332,0)+IF(ISNUMBER(Matching_Engine!$K$50),Lookup_Lists!$D$333,0)+IF(ISNUMBER(Matching_Engine!$L$50),Lookup_Lists!$D$334,0)),0))</f>
      </c>
      <c r="N50" s="11">
        <f>IF(ISNUMBER(Matching_Engine!$M$50),1,0)</f>
      </c>
      <c r="O50" s="18">
        <f>IF(NOT(ISNUMBER(IFERROR(INDEX(KOL_Source_Data!$V$26:KOL_Source_Data!$Z$26,1,MATCH(Brand_Profile!$F$11,Lookup_Lists!$F$6:$F$10,0)),""))),"N/A",MIN(100,ROUND((IFERROR(INDEX(KOL_Source_Data!$V$26:KOL_Source_Data!$Z$26,1,MATCH(Brand_Profile!$F$11,Lookup_Lists!$F$6:$F$10,0)),"")+0.5*IF(ISNUMBER(IFERROR(INDEX(KOL_Source_Data!$V$26:KOL_Source_Data!$Z$26,1,MATCH(Brand_Profile!$F$12,Lookup_Lists!$F$6:$F$10,0)),"")),IFERROR(INDEX(KOL_Source_Data!$V$26:KOL_Source_Data!$Z$26,1,MATCH(Brand_Profile!$F$12,Lookup_Lists!$F$6:$F$10,0)),""),0))/Lookup_Lists!$D$142*100,0)))</f>
      </c>
      <c r="P50" s="18">
        <f>IF(Brand_Profile!$F$13="Any",100,IF(NOT(ISNUMBER(KOL_Source_Data!$AA$26)),"N/A",IF(Brand_Profile!$F$13="Female",MIN(100,ROUND(KOL_Source_Data!$AA$26/Lookup_Lists!$D$143*100,0)),IF(Brand_Profile!$F$13="Male",MIN(100,ROUND(IF(ISNUMBER(KOL_Source_Data!$AB$26),KOL_Source_Data!$AB$26,100-KOL_Source_Data!$AA$26)/Lookup_Lists!$D$143*100,0)),MAX(0,ROUND(100-ABS(KOL_Source_Data!$AA$26-50)*2,0))))))</f>
      </c>
      <c r="Q50" s="18">
        <f>IF((IF(ISNUMBER(IF(NOT(ISNUMBER(KOL_Source_Data!$AE$26)),"N/A",IF(KOL_Source_Data!$AD$26&lt;&gt;Brand_Profile!$F$14,Lookup_Lists!$D$151,MIN(100,ROUND(KOL_Source_Data!$AE$26/Lookup_Lists!$D$316*100,0))))),Lookup_Lists!$D$118,0)+IF(ISNUMBER(IF(NOT(ISNUMBER(KOL_Source_Data!$AM$26)),"N/A",MIN(100,ROUND((IF(KOL_Source_Data!$AG$26=Brand_Profile!$F$15,IF(ISNUMBER(KOL_Source_Data!$AH$26),KOL_Source_Data!$AH$26,0),0)+IF(KOL_Source_Data!$AI$26=Brand_Profile!$F$15,IF(ISNUMBER(KOL_Source_Data!$AJ$26),KOL_Source_Data!$AJ$26,0),0)+IF(KOL_Source_Data!$AK$26=Brand_Profile!$F$15,IF(ISNUMBER(KOL_Source_Data!$AL$26),KOL_Source_Data!$AL$26,0),0))/Lookup_Lists!$D$317*100,0)))),Lookup_Lists!$D$120,0))=0,"N/A",ROUND((IF(ISNUMBER(IF(NOT(ISNUMBER(KOL_Source_Data!$AE$26)),"N/A",IF(KOL_Source_Data!$AD$26&lt;&gt;Brand_Profile!$F$14,Lookup_Lists!$D$151,MIN(100,ROUND(KOL_Source_Data!$AE$26/Lookup_Lists!$D$316*100,0))))),IF(NOT(ISNUMBER(KOL_Source_Data!$AE$26)),"N/A",IF(KOL_Source_Data!$AD$26&lt;&gt;Brand_Profile!$F$14,Lookup_Lists!$D$151,MIN(100,ROUND(KOL_Source_Data!$AE$26/Lookup_Lists!$D$316*100,0))))*Lookup_Lists!$D$118,0)+IF(ISNUMBER(IF(NOT(ISNUMBER(KOL_Source_Data!$AM$26)),"N/A",MIN(100,ROUND((IF(KOL_Source_Data!$AG$26=Brand_Profile!$F$15,IF(ISNUMBER(KOL_Source_Data!$AH$26),KOL_Source_Data!$AH$26,0),0)+IF(KOL_Source_Data!$AI$26=Brand_Profile!$F$15,IF(ISNUMBER(KOL_Source_Data!$AJ$26),KOL_Source_Data!$AJ$26,0),0)+IF(KOL_Source_Data!$AK$26=Brand_Profile!$F$15,IF(ISNUMBER(KOL_Source_Data!$AL$26),KOL_Source_Data!$AL$26,0),0))/Lookup_Lists!$D$317*100,0)))),IF(NOT(ISNUMBER(KOL_Source_Data!$AM$26)),"N/A",MIN(100,ROUND((IF(KOL_Source_Data!$AG$26=Brand_Profile!$F$15,IF(ISNUMBER(KOL_Source_Data!$AH$26),KOL_Source_Data!$AH$26,0),0)+IF(KOL_Source_Data!$AI$26=Brand_Profile!$F$15,IF(ISNUMBER(KOL_Source_Data!$AJ$26),KOL_Source_Data!$AJ$26,0),0)+IF(KOL_Source_Data!$AK$26=Brand_Profile!$F$15,IF(ISNUMBER(KOL_Source_Data!$AL$26),KOL_Source_Data!$AL$26,0),0))/Lookup_Lists!$D$317*100,0)))*Lookup_Lists!$D$120,0))/(IF(ISNUMBER(IF(NOT(ISNUMBER(KOL_Source_Data!$AE$26)),"N/A",IF(KOL_Source_Data!$AD$26&lt;&gt;Brand_Profile!$F$14,Lookup_Lists!$D$151,MIN(100,ROUND(KOL_Source_Data!$AE$26/Lookup_Lists!$D$316*100,0))))),Lookup_Lists!$D$118,0)+IF(ISNUMBER(IF(NOT(ISNUMBER(KOL_Source_Data!$AM$26)),"N/A",MIN(100,ROUND((IF(KOL_Source_Data!$AG$26=Brand_Profile!$F$15,IF(ISNUMBER(KOL_Source_Data!$AH$26),KOL_Source_Data!$AH$26,0),0)+IF(KOL_Source_Data!$AI$26=Brand_Profile!$F$15,IF(ISNUMBER(KOL_Source_Data!$AJ$26),KOL_Source_Data!$AJ$26,0),0)+IF(KOL_Source_Data!$AK$26=Brand_Profile!$F$15,IF(ISNUMBER(KOL_Source_Data!$AL$26),KOL_Source_Data!$AL$26,0),0))/Lookup_Lists!$D$317*100,0)))),Lookup_Lists!$D$120,0)),0))</f>
      </c>
      <c r="R50" s="18">
        <f>IF(NOT(ISNUMBER(KOL_Source_Data!$AN$26)),"N/A",MIN(100,ROUND((IF(ISNUMBER(KOL_Source_Data!$AO$26),KOL_Source_Data!$AO$26*Brand_Profile!$F$17,0)+IF(ISNUMBER(KOL_Source_Data!$AP$26),KOL_Source_Data!$AP$26*Brand_Profile!$F$18,0)+IF(ISNUMBER(KOL_Source_Data!$AQ$26),KOL_Source_Data!$AQ$26*Brand_Profile!$F$19,0)+IF(ISNUMBER(KOL_Source_Data!$AR$26),KOL_Source_Data!$AR$26*Brand_Profile!$F$20,0)+IF(ISNUMBER(KOL_Source_Data!$AS$26),KOL_Source_Data!$AS$26*Brand_Profile!$F$21,0)+IF(ISNUMBER(KOL_Source_Data!$AT$26),KOL_Source_Data!$AT$26*Brand_Profile!$F$22,0)+IF(ISNUMBER(KOL_Source_Data!$AU$26),KOL_Source_Data!$AU$26*Brand_Profile!$F$23,0)+IF(ISNUMBER(KOL_Source_Data!$AV$26),KOL_Source_Data!$AV$26*Brand_Profile!$F$24,0)+IF(ISNUMBER(KOL_Source_Data!$AW$26),KOL_Source_Data!$AW$26*Brand_Profile!$F$25,0)+IF(ISNUMBER(KOL_Source_Data!$AX$26),KOL_Source_Data!$AX$26*Brand_Profile!$F$26,0)+IF(ISNUMBER(KOL_Source_Data!$AY$26),KOL_Source_Data!$AY$26*Brand_Profile!$F$27,0)+IF(ISNUMBER(KOL_Source_Data!$AZ$26),KOL_Source_Data!$AZ$26*Brand_Profile!$F$28,0)+IF(ISNUMBER(KOL_Source_Data!$BA$26),KOL_Source_Data!$BA$26*Brand_Profile!$F$29,0)+IF(ISNUMBER(KOL_Source_Data!$BB$26),KOL_Source_Data!$BB$26*Brand_Profile!$F$30,0)+IF(ISNUMBER(KOL_Source_Data!$BC$26),KOL_Source_Data!$BC$26*Brand_Profile!$F$31,0)+IF(ISNUMBER(KOL_Source_Data!$BD$26),KOL_Source_Data!$BD$26*Brand_Profile!$F$32,0)+IF(ISNUMBER(KOL_Source_Data!$BE$26),KOL_Source_Data!$BE$26*Brand_Profile!$F$33,0)+IF(ISNUMBER(KOL_Source_Data!$BF$26),KOL_Source_Data!$BF$26*Brand_Profile!$F$34,0))/Lookup_Lists!$D$318*100,0)))</f>
      </c>
      <c r="S50" s="29">
        <f>IF((IF(ISNUMBER(Matching_Engine!$O$50),Lookup_Lists!$D$113,0)+IF(ISNUMBER(Matching_Engine!$P$50),Lookup_Lists!$D$114,0)+IF(ISNUMBER(Matching_Engine!$Q$50),Lookup_Lists!$D$115,0)+IF(ISNUMBER(Matching_Engine!$R$50),Lookup_Lists!$D$116,0))=0,"N/A",ROUND((IF(ISNUMBER(Matching_Engine!$O$50),Matching_Engine!$O$50*Lookup_Lists!$D$113,0)+IF(ISNUMBER(Matching_Engine!$P$50),Matching_Engine!$P$50*Lookup_Lists!$D$114,0)+IF(ISNUMBER(Matching_Engine!$Q$50),Matching_Engine!$Q$50*Lookup_Lists!$D$115,0)+IF(ISNUMBER(Matching_Engine!$R$50),Matching_Engine!$R$50*Lookup_Lists!$D$116,0))/(IF(ISNUMBER(Matching_Engine!$O$50),Lookup_Lists!$D$113,0)+IF(ISNUMBER(Matching_Engine!$P$50),Lookup_Lists!$D$114,0)+IF(ISNUMBER(Matching_Engine!$Q$50),Lookup_Lists!$D$115,0)+IF(ISNUMBER(Matching_Engine!$R$50),Lookup_Lists!$D$116,0)),0))</f>
      </c>
      <c r="T50" s="11">
        <f>IF(ISNUMBER(Matching_Engine!$S$50),1,0)</f>
      </c>
      <c r="U50" s="18">
        <f>IF(NOT(AND(ISTEXT(KOL_Source_Data!$M$26),KOL_Source_Data!$M$26&lt;&gt;"N/A")),Lookup_Lists!$D$150,IF(Brand_Profile!$F$7=KOL_Source_Data!$M$26,100,IFERROR(INDEX(Lookup_Lists!$B$349:$J$357,MATCH(Brand_Profile!$F$7,Lookup_Lists!$A$349:$A$357,0),MATCH(KOL_Source_Data!$M$26,Lookup_Lists!$B$348:$J$348,0)),Lookup_Lists!$D$151)))</f>
      </c>
      <c r="V50" s="18">
        <f>IF(NOT(AND(ISTEXT(KOL_Source_Data!$P$26),KOL_Source_Data!$P$26&lt;&gt;"N/A")),"N/A",IFERROR(INDEX(Lookup_Lists!$B$349:$J$357,MATCH(Brand_Profile!$F$7,Lookup_Lists!$A$349:$A$357,0),MATCH(KOL_Source_Data!$P$26,Lookup_Lists!$B$348:$J$348,0)),Lookup_Lists!$D$151))</f>
      </c>
      <c r="W50" s="18">
        <f>IF(LEN(TRIM(SUBSTITUTE(Matching_Engine!$BE$50,"|","")))=0,"N/A",IF(Brand_Profile!$F$60=0,Lookup_Lists!$D$150,ROUND((IF(Brand_Profile!$F$54="",0,IF(ISNUMBER(SEARCH(Brand_Profile!$F$54,Matching_Engine!$BE$50)),1,0))+IF(Brand_Profile!$F$55="",0,IF(ISNUMBER(SEARCH(Brand_Profile!$F$55,Matching_Engine!$BE$50)),1,0))+IF(Brand_Profile!$F$56="",0,IF(ISNUMBER(SEARCH(Brand_Profile!$F$56,Matching_Engine!$BE$50)),1,0))+IF(Brand_Profile!$F$57="",0,IF(ISNUMBER(SEARCH(Brand_Profile!$F$57,Matching_Engine!$BE$50)),1,0))+IF(Brand_Profile!$F$58="",0,IF(ISNUMBER(SEARCH(Brand_Profile!$F$58,Matching_Engine!$BE$50)),1,0))+IF(Brand_Profile!$F$59="",0,IF(ISNUMBER(SEARCH(Brand_Profile!$F$59,Matching_Engine!$BE$50)),1,0)))/Brand_Profile!$F$60*100,0)))</f>
      </c>
      <c r="X50" s="18">
        <f>IF(NOT(AND(ISTEXT(KOL_Source_Data!$Q$26),KOL_Source_Data!$Q$26&lt;&gt;"N/A")),"N/A",Lookup_Lists!$D$150)</f>
      </c>
      <c r="Y50" s="29">
        <f>IF((IF(ISNUMBER(Matching_Engine!$U$50),Lookup_Lists!$D$335,0)+IF(ISNUMBER(Matching_Engine!$V$50),Lookup_Lists!$D$122,0)+IF(ISNUMBER(Matching_Engine!$W$50),Lookup_Lists!$D$336,0)+IF(ISNUMBER(Matching_Engine!$X$50),Lookup_Lists!$D$124,0))=0,"N/A",ROUND((IF(ISNUMBER(Matching_Engine!$U$50),Matching_Engine!$U$50*Lookup_Lists!$D$335,0)+IF(ISNUMBER(Matching_Engine!$V$50),Matching_Engine!$V$50*Lookup_Lists!$D$122,0)+IF(ISNUMBER(Matching_Engine!$W$50),Matching_Engine!$W$50*Lookup_Lists!$D$336,0)+IF(ISNUMBER(Matching_Engine!$X$50),Matching_Engine!$X$50*Lookup_Lists!$D$124,0))/(IF(ISNUMBER(Matching_Engine!$U$50),Lookup_Lists!$D$335,0)+IF(ISNUMBER(Matching_Engine!$V$50),Lookup_Lists!$D$122,0)+IF(ISNUMBER(Matching_Engine!$W$50),Lookup_Lists!$D$336,0)+IF(ISNUMBER(Matching_Engine!$X$50),Lookup_Lists!$D$124,0)),0))</f>
      </c>
      <c r="Z50" s="11">
        <f>IF(ISNUMBER(Matching_Engine!$Y$50),1,0)</f>
      </c>
      <c r="AA50" s="18">
        <f>IF(NOT(AND(ISTEXT(KOL_Source_Data!$Q$26),KOL_Source_Data!$Q$26&lt;&gt;"N/A")),"N/A",Lookup_Lists!$D$150)</f>
      </c>
      <c r="AB50" s="18">
        <f>IF(NOT(AND(ISTEXT(KOL_Source_Data!$Q$26),KOL_Source_Data!$Q$26&lt;&gt;"N/A")),"N/A",Lookup_Lists!$D$150)</f>
      </c>
      <c r="AC50" s="18">
        <f>"N/A"</f>
      </c>
      <c r="AD50" s="18">
        <f>IF(NOT(AND(ISTEXT(KOL_Source_Data!$Q$26),KOL_Source_Data!$Q$26&lt;&gt;"N/A")),"N/A",Lookup_Lists!$D$150)</f>
      </c>
      <c r="AE50" s="29">
        <f>IF((IF(ISNUMBER(Matching_Engine!$AA$50),Lookup_Lists!$D$125,0)+IF(ISNUMBER(Matching_Engine!$AB$50),Lookup_Lists!$D$126,0)+IF(ISNUMBER(Matching_Engine!$AC$50),Lookup_Lists!$D$127,0)+IF(ISNUMBER(Matching_Engine!$AD$50),Lookup_Lists!$D$128,0))=0,"N/A",ROUND((IF(ISNUMBER(Matching_Engine!$AA$50),Matching_Engine!$AA$50*Lookup_Lists!$D$125,0)+IF(ISNUMBER(Matching_Engine!$AB$50),Matching_Engine!$AB$50*Lookup_Lists!$D$126,0)+IF(ISNUMBER(Matching_Engine!$AC$50),Matching_Engine!$AC$50*Lookup_Lists!$D$127,0)+IF(ISNUMBER(Matching_Engine!$AD$50),Matching_Engine!$AD$50*Lookup_Lists!$D$128,0))/(IF(ISNUMBER(Matching_Engine!$AA$50),Lookup_Lists!$D$125,0)+IF(ISNUMBER(Matching_Engine!$AB$50),Lookup_Lists!$D$126,0)+IF(ISNUMBER(Matching_Engine!$AC$50),Lookup_Lists!$D$127,0)+IF(ISNUMBER(Matching_Engine!$AD$50),Lookup_Lists!$D$128,0)),0))</f>
      </c>
      <c r="AF50" s="11">
        <f>IF(ISNUMBER(Matching_Engine!$AE$50),1,0)</f>
      </c>
      <c r="AG50" s="18">
        <f>IF(NOT(ISNUMBER(KOL_Source_Data!$BG$26)),"N/A",MIN(100,ROUND(KOL_Source_Data!$BG$26/IFERROR(INDEX(Lookup_Lists!$B$340:$B$344,MATCH(KOL_Source_Data!$H$26,Lookup_Lists!$A$340:$A$344,0)),Lookup_Lists!$D$141)*100,0)))</f>
      </c>
      <c r="AH50" s="18">
        <f>IF(NOT(ISNUMBER(KOL_Source_Data!$BS$26)),"N/A",MIN(100,MAX(0,KOL_Source_Data!$BS$26)))</f>
      </c>
      <c r="AI50" s="18">
        <f>IF(OR(NOT(ISNUMBER(KOL_Source_Data!$BM$26)),NOT(ISNUMBER(KOL_Source_Data!$BN$26)),KOL_Source_Data!$BN$26&lt;Lookup_Lists!$D$320),"N/A",MIN(100,ROUND(KOL_Source_Data!$BM$26/Lookup_Lists!$D$319*100,0)))</f>
      </c>
      <c r="AJ50" s="18">
        <f>IF(NOT(ISNUMBER(KOL_Source_Data!$BR$26)),"N/A",KOL_Source_Data!$BR$26)</f>
      </c>
      <c r="AK50" s="18">
        <f>IF(NOT(ISNUMBER(KOL_Source_Data!$BK$26)),"N/A",MIN(100,ROUND(KOL_Source_Data!$BK$26/Lookup_Lists!$D$321*100,0)))</f>
      </c>
      <c r="AL50" s="18">
        <f>IF(NOT(ISNUMBER(KOL_Source_Data!$BP$26)),"N/A",MIN(100,MAX(0,ROUND((KOL_Source_Data!$BP$26+2)/(Lookup_Lists!$D$145+2)*100,0))))</f>
      </c>
      <c r="AM50" s="29">
        <f>IF((IF(ISNUMBER(Matching_Engine!$AG$50),Lookup_Lists!$D$129,0)+IF(ISNUMBER(Matching_Engine!$AH$50),Lookup_Lists!$D$130,0)+IF(ISNUMBER(Matching_Engine!$AI$50),Lookup_Lists!$D$131,0)+IF(ISNUMBER(Matching_Engine!$AJ$50),Lookup_Lists!$D$132,0)+IF(ISNUMBER(Matching_Engine!$AK$50),Lookup_Lists!$D$133,0)+IF(ISNUMBER(Matching_Engine!$AL$50),Lookup_Lists!$D$134,0))=0,"N/A",ROUND((IF(ISNUMBER(Matching_Engine!$AG$50),Matching_Engine!$AG$50*Lookup_Lists!$D$129,0)+IF(ISNUMBER(Matching_Engine!$AH$50),Matching_Engine!$AH$50*Lookup_Lists!$D$130,0)+IF(ISNUMBER(Matching_Engine!$AI$50),Matching_Engine!$AI$50*Lookup_Lists!$D$131,0)+IF(ISNUMBER(Matching_Engine!$AJ$50),Matching_Engine!$AJ$50*Lookup_Lists!$D$132,0)+IF(ISNUMBER(Matching_Engine!$AK$50),Matching_Engine!$AK$50*Lookup_Lists!$D$133,0)+IF(ISNUMBER(Matching_Engine!$AL$50),Matching_Engine!$AL$50*Lookup_Lists!$D$134,0))/(IF(ISNUMBER(Matching_Engine!$AG$50),Lookup_Lists!$D$129,0)+IF(ISNUMBER(Matching_Engine!$AH$50),Lookup_Lists!$D$130,0)+IF(ISNUMBER(Matching_Engine!$AI$50),Lookup_Lists!$D$131,0)+IF(ISNUMBER(Matching_Engine!$AJ$50),Lookup_Lists!$D$132,0)+IF(ISNUMBER(Matching_Engine!$AK$50),Lookup_Lists!$D$133,0)+IF(ISNUMBER(Matching_Engine!$AL$50),Lookup_Lists!$D$134,0)),0))</f>
      </c>
      <c r="AN50" s="11">
        <f>IF(ISNUMBER(Matching_Engine!$AM$50),1,0)</f>
      </c>
      <c r="AO50" s="18">
        <f>IF(NOT(ISNUMBER(KOL_Source_Data!$BT$26)),"N/A",MIN(100,MAX(0,KOL_Source_Data!$BT$26)))</f>
      </c>
      <c r="AP50" s="18">
        <f>IF(NOT(ISNUMBER(KOL_Source_Data!$BU$26)),"N/A",MIN(100,MAX(0,KOL_Source_Data!$BU$26)))</f>
      </c>
      <c r="AQ50" s="18">
        <f>IF(KOL_Source_Data!$I$26="Yes",Lookup_Lists!$D$326,IF(KOL_Source_Data!$I$26="No",Lookup_Lists!$D$327,"N/A"))</f>
      </c>
      <c r="AR50" s="18">
        <f>IF(NOT(ISNUMBER(KOL_Source_Data!$BQ$26)),"N/A",MAX(0,ROUND(100-KOL_Source_Data!$BQ$26/Lookup_Lists!$D$328*100,0)))</f>
      </c>
      <c r="AS50" s="18">
        <f>IF(NOT(AND(ISTEXT(KOL_Source_Data!$BV$26),KOL_Source_Data!$BV$26&lt;&gt;"N/A")),"N/A",KOL_Source_Data!$BV$26)</f>
      </c>
      <c r="AT50" s="29">
        <f>IF((IF(ISNUMBER(Matching_Engine!$AO$50),Lookup_Lists!$D$322,0)+IF(ISNUMBER(Matching_Engine!$AP$50),Lookup_Lists!$D$323,0)+IF(ISNUMBER(Matching_Engine!$AQ$50),Lookup_Lists!$D$324,0)+IF(ISNUMBER(Matching_Engine!$AR$50),Lookup_Lists!$D$325,0))=0,"N/A",ROUND((IF(ISNUMBER(Matching_Engine!$AO$50),Matching_Engine!$AO$50*Lookup_Lists!$D$322,0)+IF(ISNUMBER(Matching_Engine!$AP$50),Matching_Engine!$AP$50*Lookup_Lists!$D$323,0)+IF(ISNUMBER(Matching_Engine!$AQ$50),Matching_Engine!$AQ$50*Lookup_Lists!$D$324,0)+IF(ISNUMBER(Matching_Engine!$AR$50),Matching_Engine!$AR$50*Lookup_Lists!$D$325,0))/(IF(ISNUMBER(Matching_Engine!$AO$50),Lookup_Lists!$D$322,0)+IF(ISNUMBER(Matching_Engine!$AP$50),Lookup_Lists!$D$323,0)+IF(ISNUMBER(Matching_Engine!$AQ$50),Lookup_Lists!$D$324,0)+IF(ISNUMBER(Matching_Engine!$AR$50),Lookup_Lists!$D$325,0)),0))</f>
      </c>
      <c r="AU50" s="11">
        <f>IF(ISNUMBER(Matching_Engine!$AT$50),1,0)</f>
      </c>
      <c r="AV50" s="11">
        <f>IF(NOT(ISNUMBER(Matching_Engine!$AT$50)),"Not Screened",IF(Matching_Engine!$AT$50&gt;=Lookup_Lists!$D$329,"Low Risk",IF(Matching_Engine!$AT$50&gt;=Lookup_Lists!$D$330,"Moderate Risk",IF(Matching_Engine!$AT$50&gt;=Lookup_Lists!$D$331,"Elevated Risk","High Risk"))))</f>
      </c>
      <c r="AW50" s="11">
        <f>IF(NOT(ISNUMBER(Matching_Engine!$AT$50)),"No integrity signal: no audience-analysis row for this account.","Integrity screen only — no content-risk reading exists (comments_analysis: 0 rows). "&amp;IF(ISNUMBER(Matching_Engine!$AO$50),"Authenticity "&amp;Matching_Engine!$AO$50&amp;". ","Authenticity N/A. ")&amp;IF(ISNUMBER(Matching_Engine!$AP$50),"Follower quality "&amp;Matching_Engine!$AP$50&amp;". ","Follower quality N/A. ")&amp;IF(KOL_Source_Data!$I$26="Yes","Platform-verified.","Not platform-verified."))</f>
      </c>
      <c r="AX50" s="18">
        <f>Matching_Engine!$N$50*Lookup_Lists!$D$104+Matching_Engine!$T$50*Lookup_Lists!$D$105+Matching_Engine!$Z$50*Lookup_Lists!$D$106+Matching_Engine!$AF$50*Lookup_Lists!$D$107+Matching_Engine!$AN$50*Lookup_Lists!$D$108+Matching_Engine!$AU$50*Lookup_Lists!$D$109</f>
      </c>
      <c r="AY50" s="30">
        <f>IF(Matching_Engine!$AX$50=0,"N/A",ROUND((IF(Matching_Engine!$N$50=1,Matching_Engine!$M$50*Lookup_Lists!$D$104,0)+IF(Matching_Engine!$T$50=1,Matching_Engine!$S$50*Lookup_Lists!$D$105,0)+IF(Matching_Engine!$Z$50=1,Matching_Engine!$Y$50*Lookup_Lists!$D$106,0)+IF(Matching_Engine!$AF$50=1,Matching_Engine!$AE$50*Lookup_Lists!$D$107,0)+IF(Matching_Engine!$AN$50=1,Matching_Engine!$AM$50*Lookup_Lists!$D$108,0)+IF(Matching_Engine!$AU$50=1,Matching_Engine!$AT$50*Lookup_Lists!$D$109,0))/Matching_Engine!$AX$50,0))</f>
      </c>
      <c r="AZ50" s="11">
        <f>IF(NOT(ISNUMBER(Matching_Engine!$AY$50)),"Not Scored",IF(Matching_Engine!$AY$50&gt;=Lookup_Lists!$D$152,"Excellent Match",IF(Matching_Engine!$AY$50&gt;=Lookup_Lists!$D$153,"Strong Match",IF(Matching_Engine!$AY$50&gt;=Lookup_Lists!$D$154,"Good Match",IF(Matching_Engine!$AY$50&gt;=Lookup_Lists!$D$155,"Moderate Match","Low Match")))))</f>
      </c>
      <c r="BA50" s="18">
        <f>KOL_Source_Data!$BW$26</f>
      </c>
      <c r="BB50" s="11">
        <f>KOL_Source_Data!$BX$26</f>
      </c>
      <c r="BC50" s="18">
        <f>IF(NOT(ISNUMBER(Matching_Engine!$AY$50)),-1,Matching_Engine!$AY$50*1000+4)</f>
      </c>
      <c r="BD50" s="11">
        <f>IF(AND(ISTEXT(KOL_Source_Data!$S$26),KOL_Source_Data!$S$26&lt;&gt;"N/A"),KOL_Source_Data!$S$26,"")&amp;" | "&amp;IF(AND(ISTEXT(KOL_Source_Data!$T$26),KOL_Source_Data!$T$26&lt;&gt;"N/A"),KOL_Source_Data!$T$26,"")&amp;" | "&amp;IF(AND(ISTEXT(KOL_Source_Data!$N$26),KOL_Source_Data!$N$26&lt;&gt;"N/A"),KOL_Source_Data!$N$26,"")&amp;" | "&amp;IF(AND(ISTEXT(KOL_Source_Data!$K$26),KOL_Source_Data!$K$26&lt;&gt;"N/A"),KOL_Source_Data!$K$26,"")&amp;" | "&amp;IF(AND(ISTEXT(KOL_Source_Data!$J$26),KOL_Source_Data!$J$26&lt;&gt;"N/A"),KOL_Source_Data!$J$26,"")</f>
      </c>
      <c r="BE50" s="11">
        <f>IF(AND(ISTEXT(KOL_Source_Data!$T$26),KOL_Source_Data!$T$26&lt;&gt;"N/A"),KOL_Source_Data!$T$26,"")&amp;" | "&amp;IF(AND(ISTEXT(KOL_Source_Data!$N$26),KOL_Source_Data!$N$26&lt;&gt;"N/A"),KOL_Source_Data!$N$26,"")&amp;" | "&amp;IF(AND(ISTEXT(KOL_Source_Data!$O$26),KOL_Source_Data!$O$26&lt;&gt;"N/A"),KOL_Source_Data!$O$26,"")&amp;" | "&amp;IF(AND(ISTEXT(KOL_Source_Data!$S$26),KOL_Source_Data!$S$26&lt;&gt;"N/A"),KOL_Source_Data!$S$26,"")</f>
      </c>
      <c r="BF50" s="11">
        <f>IF(AND(ISTEXT(KOL_Source_Data!$U$26),KOL_Source_Data!$U$26&lt;&gt;"N/A"),KOL_Source_Data!$U$26,"")</f>
      </c>
      <c r="BG50" s="11">
        <f>Matching_Engine!$A$50&amp;"|"&amp;Matching_Engine!$C$50</f>
      </c>
    </row>
    <row r="51" spans="1:59" x14ac:dyDescent="0.25">
      <c r="A51" s="10" t="s">
        <v>391</v>
      </c>
      <c r="B51" s="11">
        <f>Brand_Profile!$F$6</f>
      </c>
      <c r="C51" s="11">
        <f>KOL_Source_Data!$A$27</f>
      </c>
      <c r="D51" s="11">
        <f>KOL_Source_Data!$C$27</f>
      </c>
      <c r="E51" s="11">
        <f>KOL_Source_Data!$D$27</f>
      </c>
      <c r="F51" s="11">
        <f>KOL_Source_Data!$E$27</f>
      </c>
      <c r="G51" s="11">
        <f>KOL_Source_Data!$K$27</f>
      </c>
      <c r="H51" s="12">
        <f>KOL_Source_Data!$G$27</f>
      </c>
      <c r="I51" s="14">
        <f>KOL_Source_Data!$BG$27</f>
      </c>
      <c r="J51" s="18">
        <f>IF(NOT(AND(ISTEXT(KOL_Source_Data!$K$27),KOL_Source_Data!$K$27&lt;&gt;"N/A")),Lookup_Lists!$D$150,IF(Brand_Profile!$F$7=KOL_Source_Data!$K$27,100,IFERROR(INDEX(Lookup_Lists!$B$349:$J$357,MATCH(Brand_Profile!$F$7,Lookup_Lists!$A$349:$A$357,0),MATCH(KOL_Source_Data!$K$27,Lookup_Lists!$B$348:$J$348,0)),Lookup_Lists!$D$151)))</f>
      </c>
      <c r="K51" s="18">
        <f>IF(LEN(TRIM(SUBSTITUTE(Matching_Engine!$BD$51,"|","")))=0,"N/A",IF(Brand_Profile!$F$47=0,Lookup_Lists!$D$150,ROUND((IF(Brand_Profile!$F$41="",0,IF(ISNUMBER(SEARCH(Brand_Profile!$F$41,Matching_Engine!$BD$51)),1,0))+IF(Brand_Profile!$F$42="",0,IF(ISNUMBER(SEARCH(Brand_Profile!$F$42,Matching_Engine!$BD$51)),1,0))+IF(Brand_Profile!$F$43="",0,IF(ISNUMBER(SEARCH(Brand_Profile!$F$43,Matching_Engine!$BD$51)),1,0))+IF(Brand_Profile!$F$44="",0,IF(ISNUMBER(SEARCH(Brand_Profile!$F$44,Matching_Engine!$BD$51)),1,0))+IF(Brand_Profile!$F$45="",0,IF(ISNUMBER(SEARCH(Brand_Profile!$F$45,Matching_Engine!$BD$51)),1,0))+IF(Brand_Profile!$F$46="",0,IF(ISNUMBER(SEARCH(Brand_Profile!$F$46,Matching_Engine!$BD$51)),1,0)))/Brand_Profile!$F$47*100,0)))</f>
      </c>
      <c r="L51" s="18">
        <f>IF(NOT(AND(ISTEXT(KOL_Source_Data!$U$27),KOL_Source_Data!$U$27&lt;&gt;"N/A")),"N/A",IF(Brand_Profile!$F$53=0,Lookup_Lists!$D$150,ROUND((IF(Brand_Profile!$F$48="",0,IF(ISNUMBER(SEARCH(Brand_Profile!$F$48,Matching_Engine!$BF$51)),1,0))+IF(Brand_Profile!$F$49="",0,IF(ISNUMBER(SEARCH(Brand_Profile!$F$49,Matching_Engine!$BF$51)),1,0))+IF(Brand_Profile!$F$50="",0,IF(ISNUMBER(SEARCH(Brand_Profile!$F$50,Matching_Engine!$BF$51)),1,0))+IF(Brand_Profile!$F$51="",0,IF(ISNUMBER(SEARCH(Brand_Profile!$F$51,Matching_Engine!$BF$51)),1,0))+IF(Brand_Profile!$F$52="",0,IF(ISNUMBER(SEARCH(Brand_Profile!$F$52,Matching_Engine!$BF$51)),1,0)))/Brand_Profile!$F$53*100,0)))</f>
      </c>
      <c r="M51" s="29">
        <f>IF((IF(ISNUMBER(Matching_Engine!$J$51),Lookup_Lists!$D$332,0)+IF(ISNUMBER(Matching_Engine!$K$51),Lookup_Lists!$D$333,0)+IF(ISNUMBER(Matching_Engine!$L$51),Lookup_Lists!$D$334,0))=0,"N/A",ROUND((IF(ISNUMBER(Matching_Engine!$J$51),Matching_Engine!$J$51*Lookup_Lists!$D$332,0)+IF(ISNUMBER(Matching_Engine!$K$51),Matching_Engine!$K$51*Lookup_Lists!$D$333,0)+IF(ISNUMBER(Matching_Engine!$L$51),Matching_Engine!$L$51*Lookup_Lists!$D$334,0))/(IF(ISNUMBER(Matching_Engine!$J$51),Lookup_Lists!$D$332,0)+IF(ISNUMBER(Matching_Engine!$K$51),Lookup_Lists!$D$333,0)+IF(ISNUMBER(Matching_Engine!$L$51),Lookup_Lists!$D$334,0)),0))</f>
      </c>
      <c r="N51" s="11">
        <f>IF(ISNUMBER(Matching_Engine!$M$51),1,0)</f>
      </c>
      <c r="O51" s="18">
        <f>IF(NOT(ISNUMBER(IFERROR(INDEX(KOL_Source_Data!$V$27:KOL_Source_Data!$Z$27,1,MATCH(Brand_Profile!$F$11,Lookup_Lists!$F$6:$F$10,0)),""))),"N/A",MIN(100,ROUND((IFERROR(INDEX(KOL_Source_Data!$V$27:KOL_Source_Data!$Z$27,1,MATCH(Brand_Profile!$F$11,Lookup_Lists!$F$6:$F$10,0)),"")+0.5*IF(ISNUMBER(IFERROR(INDEX(KOL_Source_Data!$V$27:KOL_Source_Data!$Z$27,1,MATCH(Brand_Profile!$F$12,Lookup_Lists!$F$6:$F$10,0)),"")),IFERROR(INDEX(KOL_Source_Data!$V$27:KOL_Source_Data!$Z$27,1,MATCH(Brand_Profile!$F$12,Lookup_Lists!$F$6:$F$10,0)),""),0))/Lookup_Lists!$D$142*100,0)))</f>
      </c>
      <c r="P51" s="18">
        <f>IF(Brand_Profile!$F$13="Any",100,IF(NOT(ISNUMBER(KOL_Source_Data!$AA$27)),"N/A",IF(Brand_Profile!$F$13="Female",MIN(100,ROUND(KOL_Source_Data!$AA$27/Lookup_Lists!$D$143*100,0)),IF(Brand_Profile!$F$13="Male",MIN(100,ROUND(IF(ISNUMBER(KOL_Source_Data!$AB$27),KOL_Source_Data!$AB$27,100-KOL_Source_Data!$AA$27)/Lookup_Lists!$D$143*100,0)),MAX(0,ROUND(100-ABS(KOL_Source_Data!$AA$27-50)*2,0))))))</f>
      </c>
      <c r="Q51" s="18">
        <f>IF((IF(ISNUMBER(IF(NOT(ISNUMBER(KOL_Source_Data!$AE$27)),"N/A",IF(KOL_Source_Data!$AD$27&lt;&gt;Brand_Profile!$F$14,Lookup_Lists!$D$151,MIN(100,ROUND(KOL_Source_Data!$AE$27/Lookup_Lists!$D$316*100,0))))),Lookup_Lists!$D$118,0)+IF(ISNUMBER(IF(NOT(ISNUMBER(KOL_Source_Data!$AM$27)),"N/A",MIN(100,ROUND((IF(KOL_Source_Data!$AG$27=Brand_Profile!$F$15,IF(ISNUMBER(KOL_Source_Data!$AH$27),KOL_Source_Data!$AH$27,0),0)+IF(KOL_Source_Data!$AI$27=Brand_Profile!$F$15,IF(ISNUMBER(KOL_Source_Data!$AJ$27),KOL_Source_Data!$AJ$27,0),0)+IF(KOL_Source_Data!$AK$27=Brand_Profile!$F$15,IF(ISNUMBER(KOL_Source_Data!$AL$27),KOL_Source_Data!$AL$27,0),0))/Lookup_Lists!$D$317*100,0)))),Lookup_Lists!$D$120,0))=0,"N/A",ROUND((IF(ISNUMBER(IF(NOT(ISNUMBER(KOL_Source_Data!$AE$27)),"N/A",IF(KOL_Source_Data!$AD$27&lt;&gt;Brand_Profile!$F$14,Lookup_Lists!$D$151,MIN(100,ROUND(KOL_Source_Data!$AE$27/Lookup_Lists!$D$316*100,0))))),IF(NOT(ISNUMBER(KOL_Source_Data!$AE$27)),"N/A",IF(KOL_Source_Data!$AD$27&lt;&gt;Brand_Profile!$F$14,Lookup_Lists!$D$151,MIN(100,ROUND(KOL_Source_Data!$AE$27/Lookup_Lists!$D$316*100,0))))*Lookup_Lists!$D$118,0)+IF(ISNUMBER(IF(NOT(ISNUMBER(KOL_Source_Data!$AM$27)),"N/A",MIN(100,ROUND((IF(KOL_Source_Data!$AG$27=Brand_Profile!$F$15,IF(ISNUMBER(KOL_Source_Data!$AH$27),KOL_Source_Data!$AH$27,0),0)+IF(KOL_Source_Data!$AI$27=Brand_Profile!$F$15,IF(ISNUMBER(KOL_Source_Data!$AJ$27),KOL_Source_Data!$AJ$27,0),0)+IF(KOL_Source_Data!$AK$27=Brand_Profile!$F$15,IF(ISNUMBER(KOL_Source_Data!$AL$27),KOL_Source_Data!$AL$27,0),0))/Lookup_Lists!$D$317*100,0)))),IF(NOT(ISNUMBER(KOL_Source_Data!$AM$27)),"N/A",MIN(100,ROUND((IF(KOL_Source_Data!$AG$27=Brand_Profile!$F$15,IF(ISNUMBER(KOL_Source_Data!$AH$27),KOL_Source_Data!$AH$27,0),0)+IF(KOL_Source_Data!$AI$27=Brand_Profile!$F$15,IF(ISNUMBER(KOL_Source_Data!$AJ$27),KOL_Source_Data!$AJ$27,0),0)+IF(KOL_Source_Data!$AK$27=Brand_Profile!$F$15,IF(ISNUMBER(KOL_Source_Data!$AL$27),KOL_Source_Data!$AL$27,0),0))/Lookup_Lists!$D$317*100,0)))*Lookup_Lists!$D$120,0))/(IF(ISNUMBER(IF(NOT(ISNUMBER(KOL_Source_Data!$AE$27)),"N/A",IF(KOL_Source_Data!$AD$27&lt;&gt;Brand_Profile!$F$14,Lookup_Lists!$D$151,MIN(100,ROUND(KOL_Source_Data!$AE$27/Lookup_Lists!$D$316*100,0))))),Lookup_Lists!$D$118,0)+IF(ISNUMBER(IF(NOT(ISNUMBER(KOL_Source_Data!$AM$27)),"N/A",MIN(100,ROUND((IF(KOL_Source_Data!$AG$27=Brand_Profile!$F$15,IF(ISNUMBER(KOL_Source_Data!$AH$27),KOL_Source_Data!$AH$27,0),0)+IF(KOL_Source_Data!$AI$27=Brand_Profile!$F$15,IF(ISNUMBER(KOL_Source_Data!$AJ$27),KOL_Source_Data!$AJ$27,0),0)+IF(KOL_Source_Data!$AK$27=Brand_Profile!$F$15,IF(ISNUMBER(KOL_Source_Data!$AL$27),KOL_Source_Data!$AL$27,0),0))/Lookup_Lists!$D$317*100,0)))),Lookup_Lists!$D$120,0)),0))</f>
      </c>
      <c r="R51" s="18">
        <f>IF(NOT(ISNUMBER(KOL_Source_Data!$AN$27)),"N/A",MIN(100,ROUND((IF(ISNUMBER(KOL_Source_Data!$AO$27),KOL_Source_Data!$AO$27*Brand_Profile!$F$17,0)+IF(ISNUMBER(KOL_Source_Data!$AP$27),KOL_Source_Data!$AP$27*Brand_Profile!$F$18,0)+IF(ISNUMBER(KOL_Source_Data!$AQ$27),KOL_Source_Data!$AQ$27*Brand_Profile!$F$19,0)+IF(ISNUMBER(KOL_Source_Data!$AR$27),KOL_Source_Data!$AR$27*Brand_Profile!$F$20,0)+IF(ISNUMBER(KOL_Source_Data!$AS$27),KOL_Source_Data!$AS$27*Brand_Profile!$F$21,0)+IF(ISNUMBER(KOL_Source_Data!$AT$27),KOL_Source_Data!$AT$27*Brand_Profile!$F$22,0)+IF(ISNUMBER(KOL_Source_Data!$AU$27),KOL_Source_Data!$AU$27*Brand_Profile!$F$23,0)+IF(ISNUMBER(KOL_Source_Data!$AV$27),KOL_Source_Data!$AV$27*Brand_Profile!$F$24,0)+IF(ISNUMBER(KOL_Source_Data!$AW$27),KOL_Source_Data!$AW$27*Brand_Profile!$F$25,0)+IF(ISNUMBER(KOL_Source_Data!$AX$27),KOL_Source_Data!$AX$27*Brand_Profile!$F$26,0)+IF(ISNUMBER(KOL_Source_Data!$AY$27),KOL_Source_Data!$AY$27*Brand_Profile!$F$27,0)+IF(ISNUMBER(KOL_Source_Data!$AZ$27),KOL_Source_Data!$AZ$27*Brand_Profile!$F$28,0)+IF(ISNUMBER(KOL_Source_Data!$BA$27),KOL_Source_Data!$BA$27*Brand_Profile!$F$29,0)+IF(ISNUMBER(KOL_Source_Data!$BB$27),KOL_Source_Data!$BB$27*Brand_Profile!$F$30,0)+IF(ISNUMBER(KOL_Source_Data!$BC$27),KOL_Source_Data!$BC$27*Brand_Profile!$F$31,0)+IF(ISNUMBER(KOL_Source_Data!$BD$27),KOL_Source_Data!$BD$27*Brand_Profile!$F$32,0)+IF(ISNUMBER(KOL_Source_Data!$BE$27),KOL_Source_Data!$BE$27*Brand_Profile!$F$33,0)+IF(ISNUMBER(KOL_Source_Data!$BF$27),KOL_Source_Data!$BF$27*Brand_Profile!$F$34,0))/Lookup_Lists!$D$318*100,0)))</f>
      </c>
      <c r="S51" s="29">
        <f>IF((IF(ISNUMBER(Matching_Engine!$O$51),Lookup_Lists!$D$113,0)+IF(ISNUMBER(Matching_Engine!$P$51),Lookup_Lists!$D$114,0)+IF(ISNUMBER(Matching_Engine!$Q$51),Lookup_Lists!$D$115,0)+IF(ISNUMBER(Matching_Engine!$R$51),Lookup_Lists!$D$116,0))=0,"N/A",ROUND((IF(ISNUMBER(Matching_Engine!$O$51),Matching_Engine!$O$51*Lookup_Lists!$D$113,0)+IF(ISNUMBER(Matching_Engine!$P$51),Matching_Engine!$P$51*Lookup_Lists!$D$114,0)+IF(ISNUMBER(Matching_Engine!$Q$51),Matching_Engine!$Q$51*Lookup_Lists!$D$115,0)+IF(ISNUMBER(Matching_Engine!$R$51),Matching_Engine!$R$51*Lookup_Lists!$D$116,0))/(IF(ISNUMBER(Matching_Engine!$O$51),Lookup_Lists!$D$113,0)+IF(ISNUMBER(Matching_Engine!$P$51),Lookup_Lists!$D$114,0)+IF(ISNUMBER(Matching_Engine!$Q$51),Lookup_Lists!$D$115,0)+IF(ISNUMBER(Matching_Engine!$R$51),Lookup_Lists!$D$116,0)),0))</f>
      </c>
      <c r="T51" s="11">
        <f>IF(ISNUMBER(Matching_Engine!$S$51),1,0)</f>
      </c>
      <c r="U51" s="18">
        <f>IF(NOT(AND(ISTEXT(KOL_Source_Data!$M$27),KOL_Source_Data!$M$27&lt;&gt;"N/A")),Lookup_Lists!$D$150,IF(Brand_Profile!$F$7=KOL_Source_Data!$M$27,100,IFERROR(INDEX(Lookup_Lists!$B$349:$J$357,MATCH(Brand_Profile!$F$7,Lookup_Lists!$A$349:$A$357,0),MATCH(KOL_Source_Data!$M$27,Lookup_Lists!$B$348:$J$348,0)),Lookup_Lists!$D$151)))</f>
      </c>
      <c r="V51" s="18">
        <f>IF(NOT(AND(ISTEXT(KOL_Source_Data!$P$27),KOL_Source_Data!$P$27&lt;&gt;"N/A")),"N/A",IFERROR(INDEX(Lookup_Lists!$B$349:$J$357,MATCH(Brand_Profile!$F$7,Lookup_Lists!$A$349:$A$357,0),MATCH(KOL_Source_Data!$P$27,Lookup_Lists!$B$348:$J$348,0)),Lookup_Lists!$D$151))</f>
      </c>
      <c r="W51" s="18">
        <f>IF(LEN(TRIM(SUBSTITUTE(Matching_Engine!$BE$51,"|","")))=0,"N/A",IF(Brand_Profile!$F$60=0,Lookup_Lists!$D$150,ROUND((IF(Brand_Profile!$F$54="",0,IF(ISNUMBER(SEARCH(Brand_Profile!$F$54,Matching_Engine!$BE$51)),1,0))+IF(Brand_Profile!$F$55="",0,IF(ISNUMBER(SEARCH(Brand_Profile!$F$55,Matching_Engine!$BE$51)),1,0))+IF(Brand_Profile!$F$56="",0,IF(ISNUMBER(SEARCH(Brand_Profile!$F$56,Matching_Engine!$BE$51)),1,0))+IF(Brand_Profile!$F$57="",0,IF(ISNUMBER(SEARCH(Brand_Profile!$F$57,Matching_Engine!$BE$51)),1,0))+IF(Brand_Profile!$F$58="",0,IF(ISNUMBER(SEARCH(Brand_Profile!$F$58,Matching_Engine!$BE$51)),1,0))+IF(Brand_Profile!$F$59="",0,IF(ISNUMBER(SEARCH(Brand_Profile!$F$59,Matching_Engine!$BE$51)),1,0)))/Brand_Profile!$F$60*100,0)))</f>
      </c>
      <c r="X51" s="18">
        <f>IF(NOT(AND(ISTEXT(KOL_Source_Data!$Q$27),KOL_Source_Data!$Q$27&lt;&gt;"N/A")),"N/A",Lookup_Lists!$D$150)</f>
      </c>
      <c r="Y51" s="29">
        <f>IF((IF(ISNUMBER(Matching_Engine!$U$51),Lookup_Lists!$D$335,0)+IF(ISNUMBER(Matching_Engine!$V$51),Lookup_Lists!$D$122,0)+IF(ISNUMBER(Matching_Engine!$W$51),Lookup_Lists!$D$336,0)+IF(ISNUMBER(Matching_Engine!$X$51),Lookup_Lists!$D$124,0))=0,"N/A",ROUND((IF(ISNUMBER(Matching_Engine!$U$51),Matching_Engine!$U$51*Lookup_Lists!$D$335,0)+IF(ISNUMBER(Matching_Engine!$V$51),Matching_Engine!$V$51*Lookup_Lists!$D$122,0)+IF(ISNUMBER(Matching_Engine!$W$51),Matching_Engine!$W$51*Lookup_Lists!$D$336,0)+IF(ISNUMBER(Matching_Engine!$X$51),Matching_Engine!$X$51*Lookup_Lists!$D$124,0))/(IF(ISNUMBER(Matching_Engine!$U$51),Lookup_Lists!$D$335,0)+IF(ISNUMBER(Matching_Engine!$V$51),Lookup_Lists!$D$122,0)+IF(ISNUMBER(Matching_Engine!$W$51),Lookup_Lists!$D$336,0)+IF(ISNUMBER(Matching_Engine!$X$51),Lookup_Lists!$D$124,0)),0))</f>
      </c>
      <c r="Z51" s="11">
        <f>IF(ISNUMBER(Matching_Engine!$Y$51),1,0)</f>
      </c>
      <c r="AA51" s="18">
        <f>IF(NOT(AND(ISTEXT(KOL_Source_Data!$Q$27),KOL_Source_Data!$Q$27&lt;&gt;"N/A")),"N/A",Lookup_Lists!$D$150)</f>
      </c>
      <c r="AB51" s="18">
        <f>IF(NOT(AND(ISTEXT(KOL_Source_Data!$Q$27),KOL_Source_Data!$Q$27&lt;&gt;"N/A")),"N/A",Lookup_Lists!$D$150)</f>
      </c>
      <c r="AC51" s="18">
        <f>"N/A"</f>
      </c>
      <c r="AD51" s="18">
        <f>IF(NOT(AND(ISTEXT(KOL_Source_Data!$Q$27),KOL_Source_Data!$Q$27&lt;&gt;"N/A")),"N/A",Lookup_Lists!$D$150)</f>
      </c>
      <c r="AE51" s="29">
        <f>IF((IF(ISNUMBER(Matching_Engine!$AA$51),Lookup_Lists!$D$125,0)+IF(ISNUMBER(Matching_Engine!$AB$51),Lookup_Lists!$D$126,0)+IF(ISNUMBER(Matching_Engine!$AC$51),Lookup_Lists!$D$127,0)+IF(ISNUMBER(Matching_Engine!$AD$51),Lookup_Lists!$D$128,0))=0,"N/A",ROUND((IF(ISNUMBER(Matching_Engine!$AA$51),Matching_Engine!$AA$51*Lookup_Lists!$D$125,0)+IF(ISNUMBER(Matching_Engine!$AB$51),Matching_Engine!$AB$51*Lookup_Lists!$D$126,0)+IF(ISNUMBER(Matching_Engine!$AC$51),Matching_Engine!$AC$51*Lookup_Lists!$D$127,0)+IF(ISNUMBER(Matching_Engine!$AD$51),Matching_Engine!$AD$51*Lookup_Lists!$D$128,0))/(IF(ISNUMBER(Matching_Engine!$AA$51),Lookup_Lists!$D$125,0)+IF(ISNUMBER(Matching_Engine!$AB$51),Lookup_Lists!$D$126,0)+IF(ISNUMBER(Matching_Engine!$AC$51),Lookup_Lists!$D$127,0)+IF(ISNUMBER(Matching_Engine!$AD$51),Lookup_Lists!$D$128,0)),0))</f>
      </c>
      <c r="AF51" s="11">
        <f>IF(ISNUMBER(Matching_Engine!$AE$51),1,0)</f>
      </c>
      <c r="AG51" s="18">
        <f>IF(NOT(ISNUMBER(KOL_Source_Data!$BG$27)),"N/A",MIN(100,ROUND(KOL_Source_Data!$BG$27/IFERROR(INDEX(Lookup_Lists!$B$340:$B$344,MATCH(KOL_Source_Data!$H$27,Lookup_Lists!$A$340:$A$344,0)),Lookup_Lists!$D$141)*100,0)))</f>
      </c>
      <c r="AH51" s="18">
        <f>IF(NOT(ISNUMBER(KOL_Source_Data!$BS$27)),"N/A",MIN(100,MAX(0,KOL_Source_Data!$BS$27)))</f>
      </c>
      <c r="AI51" s="18">
        <f>IF(OR(NOT(ISNUMBER(KOL_Source_Data!$BM$27)),NOT(ISNUMBER(KOL_Source_Data!$BN$27)),KOL_Source_Data!$BN$27&lt;Lookup_Lists!$D$320),"N/A",MIN(100,ROUND(KOL_Source_Data!$BM$27/Lookup_Lists!$D$319*100,0)))</f>
      </c>
      <c r="AJ51" s="18">
        <f>IF(NOT(ISNUMBER(KOL_Source_Data!$BR$27)),"N/A",KOL_Source_Data!$BR$27)</f>
      </c>
      <c r="AK51" s="18">
        <f>IF(NOT(ISNUMBER(KOL_Source_Data!$BK$27)),"N/A",MIN(100,ROUND(KOL_Source_Data!$BK$27/Lookup_Lists!$D$321*100,0)))</f>
      </c>
      <c r="AL51" s="18">
        <f>IF(NOT(ISNUMBER(KOL_Source_Data!$BP$27)),"N/A",MIN(100,MAX(0,ROUND((KOL_Source_Data!$BP$27+2)/(Lookup_Lists!$D$145+2)*100,0))))</f>
      </c>
      <c r="AM51" s="29">
        <f>IF((IF(ISNUMBER(Matching_Engine!$AG$51),Lookup_Lists!$D$129,0)+IF(ISNUMBER(Matching_Engine!$AH$51),Lookup_Lists!$D$130,0)+IF(ISNUMBER(Matching_Engine!$AI$51),Lookup_Lists!$D$131,0)+IF(ISNUMBER(Matching_Engine!$AJ$51),Lookup_Lists!$D$132,0)+IF(ISNUMBER(Matching_Engine!$AK$51),Lookup_Lists!$D$133,0)+IF(ISNUMBER(Matching_Engine!$AL$51),Lookup_Lists!$D$134,0))=0,"N/A",ROUND((IF(ISNUMBER(Matching_Engine!$AG$51),Matching_Engine!$AG$51*Lookup_Lists!$D$129,0)+IF(ISNUMBER(Matching_Engine!$AH$51),Matching_Engine!$AH$51*Lookup_Lists!$D$130,0)+IF(ISNUMBER(Matching_Engine!$AI$51),Matching_Engine!$AI$51*Lookup_Lists!$D$131,0)+IF(ISNUMBER(Matching_Engine!$AJ$51),Matching_Engine!$AJ$51*Lookup_Lists!$D$132,0)+IF(ISNUMBER(Matching_Engine!$AK$51),Matching_Engine!$AK$51*Lookup_Lists!$D$133,0)+IF(ISNUMBER(Matching_Engine!$AL$51),Matching_Engine!$AL$51*Lookup_Lists!$D$134,0))/(IF(ISNUMBER(Matching_Engine!$AG$51),Lookup_Lists!$D$129,0)+IF(ISNUMBER(Matching_Engine!$AH$51),Lookup_Lists!$D$130,0)+IF(ISNUMBER(Matching_Engine!$AI$51),Lookup_Lists!$D$131,0)+IF(ISNUMBER(Matching_Engine!$AJ$51),Lookup_Lists!$D$132,0)+IF(ISNUMBER(Matching_Engine!$AK$51),Lookup_Lists!$D$133,0)+IF(ISNUMBER(Matching_Engine!$AL$51),Lookup_Lists!$D$134,0)),0))</f>
      </c>
      <c r="AN51" s="11">
        <f>IF(ISNUMBER(Matching_Engine!$AM$51),1,0)</f>
      </c>
      <c r="AO51" s="18">
        <f>IF(NOT(ISNUMBER(KOL_Source_Data!$BT$27)),"N/A",MIN(100,MAX(0,KOL_Source_Data!$BT$27)))</f>
      </c>
      <c r="AP51" s="18">
        <f>IF(NOT(ISNUMBER(KOL_Source_Data!$BU$27)),"N/A",MIN(100,MAX(0,KOL_Source_Data!$BU$27)))</f>
      </c>
      <c r="AQ51" s="18">
        <f>IF(KOL_Source_Data!$I$27="Yes",Lookup_Lists!$D$326,IF(KOL_Source_Data!$I$27="No",Lookup_Lists!$D$327,"N/A"))</f>
      </c>
      <c r="AR51" s="18">
        <f>IF(NOT(ISNUMBER(KOL_Source_Data!$BQ$27)),"N/A",MAX(0,ROUND(100-KOL_Source_Data!$BQ$27/Lookup_Lists!$D$328*100,0)))</f>
      </c>
      <c r="AS51" s="18">
        <f>IF(NOT(AND(ISTEXT(KOL_Source_Data!$BV$27),KOL_Source_Data!$BV$27&lt;&gt;"N/A")),"N/A",KOL_Source_Data!$BV$27)</f>
      </c>
      <c r="AT51" s="29">
        <f>IF((IF(ISNUMBER(Matching_Engine!$AO$51),Lookup_Lists!$D$322,0)+IF(ISNUMBER(Matching_Engine!$AP$51),Lookup_Lists!$D$323,0)+IF(ISNUMBER(Matching_Engine!$AQ$51),Lookup_Lists!$D$324,0)+IF(ISNUMBER(Matching_Engine!$AR$51),Lookup_Lists!$D$325,0))=0,"N/A",ROUND((IF(ISNUMBER(Matching_Engine!$AO$51),Matching_Engine!$AO$51*Lookup_Lists!$D$322,0)+IF(ISNUMBER(Matching_Engine!$AP$51),Matching_Engine!$AP$51*Lookup_Lists!$D$323,0)+IF(ISNUMBER(Matching_Engine!$AQ$51),Matching_Engine!$AQ$51*Lookup_Lists!$D$324,0)+IF(ISNUMBER(Matching_Engine!$AR$51),Matching_Engine!$AR$51*Lookup_Lists!$D$325,0))/(IF(ISNUMBER(Matching_Engine!$AO$51),Lookup_Lists!$D$322,0)+IF(ISNUMBER(Matching_Engine!$AP$51),Lookup_Lists!$D$323,0)+IF(ISNUMBER(Matching_Engine!$AQ$51),Lookup_Lists!$D$324,0)+IF(ISNUMBER(Matching_Engine!$AR$51),Lookup_Lists!$D$325,0)),0))</f>
      </c>
      <c r="AU51" s="11">
        <f>IF(ISNUMBER(Matching_Engine!$AT$51),1,0)</f>
      </c>
      <c r="AV51" s="11">
        <f>IF(NOT(ISNUMBER(Matching_Engine!$AT$51)),"Not Screened",IF(Matching_Engine!$AT$51&gt;=Lookup_Lists!$D$329,"Low Risk",IF(Matching_Engine!$AT$51&gt;=Lookup_Lists!$D$330,"Moderate Risk",IF(Matching_Engine!$AT$51&gt;=Lookup_Lists!$D$331,"Elevated Risk","High Risk"))))</f>
      </c>
      <c r="AW51" s="11">
        <f>IF(NOT(ISNUMBER(Matching_Engine!$AT$51)),"No integrity signal: no audience-analysis row for this account.","Integrity screen only — no content-risk reading exists (comments_analysis: 0 rows). "&amp;IF(ISNUMBER(Matching_Engine!$AO$51),"Authenticity "&amp;Matching_Engine!$AO$51&amp;". ","Authenticity N/A. ")&amp;IF(ISNUMBER(Matching_Engine!$AP$51),"Follower quality "&amp;Matching_Engine!$AP$51&amp;". ","Follower quality N/A. ")&amp;IF(KOL_Source_Data!$I$27="Yes","Platform-verified.","Not platform-verified."))</f>
      </c>
      <c r="AX51" s="18">
        <f>Matching_Engine!$N$51*Lookup_Lists!$D$104+Matching_Engine!$T$51*Lookup_Lists!$D$105+Matching_Engine!$Z$51*Lookup_Lists!$D$106+Matching_Engine!$AF$51*Lookup_Lists!$D$107+Matching_Engine!$AN$51*Lookup_Lists!$D$108+Matching_Engine!$AU$51*Lookup_Lists!$D$109</f>
      </c>
      <c r="AY51" s="30">
        <f>IF(Matching_Engine!$AX$51=0,"N/A",ROUND((IF(Matching_Engine!$N$51=1,Matching_Engine!$M$51*Lookup_Lists!$D$104,0)+IF(Matching_Engine!$T$51=1,Matching_Engine!$S$51*Lookup_Lists!$D$105,0)+IF(Matching_Engine!$Z$51=1,Matching_Engine!$Y$51*Lookup_Lists!$D$106,0)+IF(Matching_Engine!$AF$51=1,Matching_Engine!$AE$51*Lookup_Lists!$D$107,0)+IF(Matching_Engine!$AN$51=1,Matching_Engine!$AM$51*Lookup_Lists!$D$108,0)+IF(Matching_Engine!$AU$51=1,Matching_Engine!$AT$51*Lookup_Lists!$D$109,0))/Matching_Engine!$AX$51,0))</f>
      </c>
      <c r="AZ51" s="11">
        <f>IF(NOT(ISNUMBER(Matching_Engine!$AY$51)),"Not Scored",IF(Matching_Engine!$AY$51&gt;=Lookup_Lists!$D$152,"Excellent Match",IF(Matching_Engine!$AY$51&gt;=Lookup_Lists!$D$153,"Strong Match",IF(Matching_Engine!$AY$51&gt;=Lookup_Lists!$D$154,"Good Match",IF(Matching_Engine!$AY$51&gt;=Lookup_Lists!$D$155,"Moderate Match","Low Match")))))</f>
      </c>
      <c r="BA51" s="18">
        <f>KOL_Source_Data!$BW$27</f>
      </c>
      <c r="BB51" s="11">
        <f>KOL_Source_Data!$BX$27</f>
      </c>
      <c r="BC51" s="18">
        <f>IF(NOT(ISNUMBER(Matching_Engine!$AY$51)),-1,Matching_Engine!$AY$51*1000+3)</f>
      </c>
      <c r="BD51" s="11">
        <f>IF(AND(ISTEXT(KOL_Source_Data!$S$27),KOL_Source_Data!$S$27&lt;&gt;"N/A"),KOL_Source_Data!$S$27,"")&amp;" | "&amp;IF(AND(ISTEXT(KOL_Source_Data!$T$27),KOL_Source_Data!$T$27&lt;&gt;"N/A"),KOL_Source_Data!$T$27,"")&amp;" | "&amp;IF(AND(ISTEXT(KOL_Source_Data!$N$27),KOL_Source_Data!$N$27&lt;&gt;"N/A"),KOL_Source_Data!$N$27,"")&amp;" | "&amp;IF(AND(ISTEXT(KOL_Source_Data!$K$27),KOL_Source_Data!$K$27&lt;&gt;"N/A"),KOL_Source_Data!$K$27,"")&amp;" | "&amp;IF(AND(ISTEXT(KOL_Source_Data!$J$27),KOL_Source_Data!$J$27&lt;&gt;"N/A"),KOL_Source_Data!$J$27,"")</f>
      </c>
      <c r="BE51" s="11">
        <f>IF(AND(ISTEXT(KOL_Source_Data!$T$27),KOL_Source_Data!$T$27&lt;&gt;"N/A"),KOL_Source_Data!$T$27,"")&amp;" | "&amp;IF(AND(ISTEXT(KOL_Source_Data!$N$27),KOL_Source_Data!$N$27&lt;&gt;"N/A"),KOL_Source_Data!$N$27,"")&amp;" | "&amp;IF(AND(ISTEXT(KOL_Source_Data!$O$27),KOL_Source_Data!$O$27&lt;&gt;"N/A"),KOL_Source_Data!$O$27,"")&amp;" | "&amp;IF(AND(ISTEXT(KOL_Source_Data!$S$27),KOL_Source_Data!$S$27&lt;&gt;"N/A"),KOL_Source_Data!$S$27,"")</f>
      </c>
      <c r="BF51" s="11">
        <f>IF(AND(ISTEXT(KOL_Source_Data!$U$27),KOL_Source_Data!$U$27&lt;&gt;"N/A"),KOL_Source_Data!$U$27,"")</f>
      </c>
      <c r="BG51" s="11">
        <f>Matching_Engine!$A$51&amp;"|"&amp;Matching_Engine!$C$51</f>
      </c>
    </row>
    <row r="52" spans="1:59" x14ac:dyDescent="0.25">
      <c r="A52" s="10" t="s">
        <v>391</v>
      </c>
      <c r="B52" s="11">
        <f>Brand_Profile!$F$6</f>
      </c>
      <c r="C52" s="11">
        <f>KOL_Source_Data!$A$28</f>
      </c>
      <c r="D52" s="11">
        <f>KOL_Source_Data!$C$28</f>
      </c>
      <c r="E52" s="11">
        <f>KOL_Source_Data!$D$28</f>
      </c>
      <c r="F52" s="11">
        <f>KOL_Source_Data!$E$28</f>
      </c>
      <c r="G52" s="11">
        <f>KOL_Source_Data!$K$28</f>
      </c>
      <c r="H52" s="12">
        <f>KOL_Source_Data!$G$28</f>
      </c>
      <c r="I52" s="14">
        <f>KOL_Source_Data!$BG$28</f>
      </c>
      <c r="J52" s="18">
        <f>IF(NOT(AND(ISTEXT(KOL_Source_Data!$K$28),KOL_Source_Data!$K$28&lt;&gt;"N/A")),Lookup_Lists!$D$150,IF(Brand_Profile!$F$7=KOL_Source_Data!$K$28,100,IFERROR(INDEX(Lookup_Lists!$B$349:$J$357,MATCH(Brand_Profile!$F$7,Lookup_Lists!$A$349:$A$357,0),MATCH(KOL_Source_Data!$K$28,Lookup_Lists!$B$348:$J$348,0)),Lookup_Lists!$D$151)))</f>
      </c>
      <c r="K52" s="18">
        <f>IF(LEN(TRIM(SUBSTITUTE(Matching_Engine!$BD$52,"|","")))=0,"N/A",IF(Brand_Profile!$F$47=0,Lookup_Lists!$D$150,ROUND((IF(Brand_Profile!$F$41="",0,IF(ISNUMBER(SEARCH(Brand_Profile!$F$41,Matching_Engine!$BD$52)),1,0))+IF(Brand_Profile!$F$42="",0,IF(ISNUMBER(SEARCH(Brand_Profile!$F$42,Matching_Engine!$BD$52)),1,0))+IF(Brand_Profile!$F$43="",0,IF(ISNUMBER(SEARCH(Brand_Profile!$F$43,Matching_Engine!$BD$52)),1,0))+IF(Brand_Profile!$F$44="",0,IF(ISNUMBER(SEARCH(Brand_Profile!$F$44,Matching_Engine!$BD$52)),1,0))+IF(Brand_Profile!$F$45="",0,IF(ISNUMBER(SEARCH(Brand_Profile!$F$45,Matching_Engine!$BD$52)),1,0))+IF(Brand_Profile!$F$46="",0,IF(ISNUMBER(SEARCH(Brand_Profile!$F$46,Matching_Engine!$BD$52)),1,0)))/Brand_Profile!$F$47*100,0)))</f>
      </c>
      <c r="L52" s="18">
        <f>IF(NOT(AND(ISTEXT(KOL_Source_Data!$U$28),KOL_Source_Data!$U$28&lt;&gt;"N/A")),"N/A",IF(Brand_Profile!$F$53=0,Lookup_Lists!$D$150,ROUND((IF(Brand_Profile!$F$48="",0,IF(ISNUMBER(SEARCH(Brand_Profile!$F$48,Matching_Engine!$BF$52)),1,0))+IF(Brand_Profile!$F$49="",0,IF(ISNUMBER(SEARCH(Brand_Profile!$F$49,Matching_Engine!$BF$52)),1,0))+IF(Brand_Profile!$F$50="",0,IF(ISNUMBER(SEARCH(Brand_Profile!$F$50,Matching_Engine!$BF$52)),1,0))+IF(Brand_Profile!$F$51="",0,IF(ISNUMBER(SEARCH(Brand_Profile!$F$51,Matching_Engine!$BF$52)),1,0))+IF(Brand_Profile!$F$52="",0,IF(ISNUMBER(SEARCH(Brand_Profile!$F$52,Matching_Engine!$BF$52)),1,0)))/Brand_Profile!$F$53*100,0)))</f>
      </c>
      <c r="M52" s="29">
        <f>IF((IF(ISNUMBER(Matching_Engine!$J$52),Lookup_Lists!$D$332,0)+IF(ISNUMBER(Matching_Engine!$K$52),Lookup_Lists!$D$333,0)+IF(ISNUMBER(Matching_Engine!$L$52),Lookup_Lists!$D$334,0))=0,"N/A",ROUND((IF(ISNUMBER(Matching_Engine!$J$52),Matching_Engine!$J$52*Lookup_Lists!$D$332,0)+IF(ISNUMBER(Matching_Engine!$K$52),Matching_Engine!$K$52*Lookup_Lists!$D$333,0)+IF(ISNUMBER(Matching_Engine!$L$52),Matching_Engine!$L$52*Lookup_Lists!$D$334,0))/(IF(ISNUMBER(Matching_Engine!$J$52),Lookup_Lists!$D$332,0)+IF(ISNUMBER(Matching_Engine!$K$52),Lookup_Lists!$D$333,0)+IF(ISNUMBER(Matching_Engine!$L$52),Lookup_Lists!$D$334,0)),0))</f>
      </c>
      <c r="N52" s="11">
        <f>IF(ISNUMBER(Matching_Engine!$M$52),1,0)</f>
      </c>
      <c r="O52" s="18">
        <f>IF(NOT(ISNUMBER(IFERROR(INDEX(KOL_Source_Data!$V$28:KOL_Source_Data!$Z$28,1,MATCH(Brand_Profile!$F$11,Lookup_Lists!$F$6:$F$10,0)),""))),"N/A",MIN(100,ROUND((IFERROR(INDEX(KOL_Source_Data!$V$28:KOL_Source_Data!$Z$28,1,MATCH(Brand_Profile!$F$11,Lookup_Lists!$F$6:$F$10,0)),"")+0.5*IF(ISNUMBER(IFERROR(INDEX(KOL_Source_Data!$V$28:KOL_Source_Data!$Z$28,1,MATCH(Brand_Profile!$F$12,Lookup_Lists!$F$6:$F$10,0)),"")),IFERROR(INDEX(KOL_Source_Data!$V$28:KOL_Source_Data!$Z$28,1,MATCH(Brand_Profile!$F$12,Lookup_Lists!$F$6:$F$10,0)),""),0))/Lookup_Lists!$D$142*100,0)))</f>
      </c>
      <c r="P52" s="18">
        <f>IF(Brand_Profile!$F$13="Any",100,IF(NOT(ISNUMBER(KOL_Source_Data!$AA$28)),"N/A",IF(Brand_Profile!$F$13="Female",MIN(100,ROUND(KOL_Source_Data!$AA$28/Lookup_Lists!$D$143*100,0)),IF(Brand_Profile!$F$13="Male",MIN(100,ROUND(IF(ISNUMBER(KOL_Source_Data!$AB$28),KOL_Source_Data!$AB$28,100-KOL_Source_Data!$AA$28)/Lookup_Lists!$D$143*100,0)),MAX(0,ROUND(100-ABS(KOL_Source_Data!$AA$28-50)*2,0))))))</f>
      </c>
      <c r="Q52" s="18">
        <f>IF((IF(ISNUMBER(IF(NOT(ISNUMBER(KOL_Source_Data!$AE$28)),"N/A",IF(KOL_Source_Data!$AD$28&lt;&gt;Brand_Profile!$F$14,Lookup_Lists!$D$151,MIN(100,ROUND(KOL_Source_Data!$AE$28/Lookup_Lists!$D$316*100,0))))),Lookup_Lists!$D$118,0)+IF(ISNUMBER(IF(NOT(ISNUMBER(KOL_Source_Data!$AM$28)),"N/A",MIN(100,ROUND((IF(KOL_Source_Data!$AG$28=Brand_Profile!$F$15,IF(ISNUMBER(KOL_Source_Data!$AH$28),KOL_Source_Data!$AH$28,0),0)+IF(KOL_Source_Data!$AI$28=Brand_Profile!$F$15,IF(ISNUMBER(KOL_Source_Data!$AJ$28),KOL_Source_Data!$AJ$28,0),0)+IF(KOL_Source_Data!$AK$28=Brand_Profile!$F$15,IF(ISNUMBER(KOL_Source_Data!$AL$28),KOL_Source_Data!$AL$28,0),0))/Lookup_Lists!$D$317*100,0)))),Lookup_Lists!$D$120,0))=0,"N/A",ROUND((IF(ISNUMBER(IF(NOT(ISNUMBER(KOL_Source_Data!$AE$28)),"N/A",IF(KOL_Source_Data!$AD$28&lt;&gt;Brand_Profile!$F$14,Lookup_Lists!$D$151,MIN(100,ROUND(KOL_Source_Data!$AE$28/Lookup_Lists!$D$316*100,0))))),IF(NOT(ISNUMBER(KOL_Source_Data!$AE$28)),"N/A",IF(KOL_Source_Data!$AD$28&lt;&gt;Brand_Profile!$F$14,Lookup_Lists!$D$151,MIN(100,ROUND(KOL_Source_Data!$AE$28/Lookup_Lists!$D$316*100,0))))*Lookup_Lists!$D$118,0)+IF(ISNUMBER(IF(NOT(ISNUMBER(KOL_Source_Data!$AM$28)),"N/A",MIN(100,ROUND((IF(KOL_Source_Data!$AG$28=Brand_Profile!$F$15,IF(ISNUMBER(KOL_Source_Data!$AH$28),KOL_Source_Data!$AH$28,0),0)+IF(KOL_Source_Data!$AI$28=Brand_Profile!$F$15,IF(ISNUMBER(KOL_Source_Data!$AJ$28),KOL_Source_Data!$AJ$28,0),0)+IF(KOL_Source_Data!$AK$28=Brand_Profile!$F$15,IF(ISNUMBER(KOL_Source_Data!$AL$28),KOL_Source_Data!$AL$28,0),0))/Lookup_Lists!$D$317*100,0)))),IF(NOT(ISNUMBER(KOL_Source_Data!$AM$28)),"N/A",MIN(100,ROUND((IF(KOL_Source_Data!$AG$28=Brand_Profile!$F$15,IF(ISNUMBER(KOL_Source_Data!$AH$28),KOL_Source_Data!$AH$28,0),0)+IF(KOL_Source_Data!$AI$28=Brand_Profile!$F$15,IF(ISNUMBER(KOL_Source_Data!$AJ$28),KOL_Source_Data!$AJ$28,0),0)+IF(KOL_Source_Data!$AK$28=Brand_Profile!$F$15,IF(ISNUMBER(KOL_Source_Data!$AL$28),KOL_Source_Data!$AL$28,0),0))/Lookup_Lists!$D$317*100,0)))*Lookup_Lists!$D$120,0))/(IF(ISNUMBER(IF(NOT(ISNUMBER(KOL_Source_Data!$AE$28)),"N/A",IF(KOL_Source_Data!$AD$28&lt;&gt;Brand_Profile!$F$14,Lookup_Lists!$D$151,MIN(100,ROUND(KOL_Source_Data!$AE$28/Lookup_Lists!$D$316*100,0))))),Lookup_Lists!$D$118,0)+IF(ISNUMBER(IF(NOT(ISNUMBER(KOL_Source_Data!$AM$28)),"N/A",MIN(100,ROUND((IF(KOL_Source_Data!$AG$28=Brand_Profile!$F$15,IF(ISNUMBER(KOL_Source_Data!$AH$28),KOL_Source_Data!$AH$28,0),0)+IF(KOL_Source_Data!$AI$28=Brand_Profile!$F$15,IF(ISNUMBER(KOL_Source_Data!$AJ$28),KOL_Source_Data!$AJ$28,0),0)+IF(KOL_Source_Data!$AK$28=Brand_Profile!$F$15,IF(ISNUMBER(KOL_Source_Data!$AL$28),KOL_Source_Data!$AL$28,0),0))/Lookup_Lists!$D$317*100,0)))),Lookup_Lists!$D$120,0)),0))</f>
      </c>
      <c r="R52" s="18">
        <f>IF(NOT(ISNUMBER(KOL_Source_Data!$AN$28)),"N/A",MIN(100,ROUND((IF(ISNUMBER(KOL_Source_Data!$AO$28),KOL_Source_Data!$AO$28*Brand_Profile!$F$17,0)+IF(ISNUMBER(KOL_Source_Data!$AP$28),KOL_Source_Data!$AP$28*Brand_Profile!$F$18,0)+IF(ISNUMBER(KOL_Source_Data!$AQ$28),KOL_Source_Data!$AQ$28*Brand_Profile!$F$19,0)+IF(ISNUMBER(KOL_Source_Data!$AR$28),KOL_Source_Data!$AR$28*Brand_Profile!$F$20,0)+IF(ISNUMBER(KOL_Source_Data!$AS$28),KOL_Source_Data!$AS$28*Brand_Profile!$F$21,0)+IF(ISNUMBER(KOL_Source_Data!$AT$28),KOL_Source_Data!$AT$28*Brand_Profile!$F$22,0)+IF(ISNUMBER(KOL_Source_Data!$AU$28),KOL_Source_Data!$AU$28*Brand_Profile!$F$23,0)+IF(ISNUMBER(KOL_Source_Data!$AV$28),KOL_Source_Data!$AV$28*Brand_Profile!$F$24,0)+IF(ISNUMBER(KOL_Source_Data!$AW$28),KOL_Source_Data!$AW$28*Brand_Profile!$F$25,0)+IF(ISNUMBER(KOL_Source_Data!$AX$28),KOL_Source_Data!$AX$28*Brand_Profile!$F$26,0)+IF(ISNUMBER(KOL_Source_Data!$AY$28),KOL_Source_Data!$AY$28*Brand_Profile!$F$27,0)+IF(ISNUMBER(KOL_Source_Data!$AZ$28),KOL_Source_Data!$AZ$28*Brand_Profile!$F$28,0)+IF(ISNUMBER(KOL_Source_Data!$BA$28),KOL_Source_Data!$BA$28*Brand_Profile!$F$29,0)+IF(ISNUMBER(KOL_Source_Data!$BB$28),KOL_Source_Data!$BB$28*Brand_Profile!$F$30,0)+IF(ISNUMBER(KOL_Source_Data!$BC$28),KOL_Source_Data!$BC$28*Brand_Profile!$F$31,0)+IF(ISNUMBER(KOL_Source_Data!$BD$28),KOL_Source_Data!$BD$28*Brand_Profile!$F$32,0)+IF(ISNUMBER(KOL_Source_Data!$BE$28),KOL_Source_Data!$BE$28*Brand_Profile!$F$33,0)+IF(ISNUMBER(KOL_Source_Data!$BF$28),KOL_Source_Data!$BF$28*Brand_Profile!$F$34,0))/Lookup_Lists!$D$318*100,0)))</f>
      </c>
      <c r="S52" s="29">
        <f>IF((IF(ISNUMBER(Matching_Engine!$O$52),Lookup_Lists!$D$113,0)+IF(ISNUMBER(Matching_Engine!$P$52),Lookup_Lists!$D$114,0)+IF(ISNUMBER(Matching_Engine!$Q$52),Lookup_Lists!$D$115,0)+IF(ISNUMBER(Matching_Engine!$R$52),Lookup_Lists!$D$116,0))=0,"N/A",ROUND((IF(ISNUMBER(Matching_Engine!$O$52),Matching_Engine!$O$52*Lookup_Lists!$D$113,0)+IF(ISNUMBER(Matching_Engine!$P$52),Matching_Engine!$P$52*Lookup_Lists!$D$114,0)+IF(ISNUMBER(Matching_Engine!$Q$52),Matching_Engine!$Q$52*Lookup_Lists!$D$115,0)+IF(ISNUMBER(Matching_Engine!$R$52),Matching_Engine!$R$52*Lookup_Lists!$D$116,0))/(IF(ISNUMBER(Matching_Engine!$O$52),Lookup_Lists!$D$113,0)+IF(ISNUMBER(Matching_Engine!$P$52),Lookup_Lists!$D$114,0)+IF(ISNUMBER(Matching_Engine!$Q$52),Lookup_Lists!$D$115,0)+IF(ISNUMBER(Matching_Engine!$R$52),Lookup_Lists!$D$116,0)),0))</f>
      </c>
      <c r="T52" s="11">
        <f>IF(ISNUMBER(Matching_Engine!$S$52),1,0)</f>
      </c>
      <c r="U52" s="18">
        <f>IF(NOT(AND(ISTEXT(KOL_Source_Data!$M$28),KOL_Source_Data!$M$28&lt;&gt;"N/A")),Lookup_Lists!$D$150,IF(Brand_Profile!$F$7=KOL_Source_Data!$M$28,100,IFERROR(INDEX(Lookup_Lists!$B$349:$J$357,MATCH(Brand_Profile!$F$7,Lookup_Lists!$A$349:$A$357,0),MATCH(KOL_Source_Data!$M$28,Lookup_Lists!$B$348:$J$348,0)),Lookup_Lists!$D$151)))</f>
      </c>
      <c r="V52" s="18">
        <f>IF(NOT(AND(ISTEXT(KOL_Source_Data!$P$28),KOL_Source_Data!$P$28&lt;&gt;"N/A")),"N/A",IFERROR(INDEX(Lookup_Lists!$B$349:$J$357,MATCH(Brand_Profile!$F$7,Lookup_Lists!$A$349:$A$357,0),MATCH(KOL_Source_Data!$P$28,Lookup_Lists!$B$348:$J$348,0)),Lookup_Lists!$D$151))</f>
      </c>
      <c r="W52" s="18">
        <f>IF(LEN(TRIM(SUBSTITUTE(Matching_Engine!$BE$52,"|","")))=0,"N/A",IF(Brand_Profile!$F$60=0,Lookup_Lists!$D$150,ROUND((IF(Brand_Profile!$F$54="",0,IF(ISNUMBER(SEARCH(Brand_Profile!$F$54,Matching_Engine!$BE$52)),1,0))+IF(Brand_Profile!$F$55="",0,IF(ISNUMBER(SEARCH(Brand_Profile!$F$55,Matching_Engine!$BE$52)),1,0))+IF(Brand_Profile!$F$56="",0,IF(ISNUMBER(SEARCH(Brand_Profile!$F$56,Matching_Engine!$BE$52)),1,0))+IF(Brand_Profile!$F$57="",0,IF(ISNUMBER(SEARCH(Brand_Profile!$F$57,Matching_Engine!$BE$52)),1,0))+IF(Brand_Profile!$F$58="",0,IF(ISNUMBER(SEARCH(Brand_Profile!$F$58,Matching_Engine!$BE$52)),1,0))+IF(Brand_Profile!$F$59="",0,IF(ISNUMBER(SEARCH(Brand_Profile!$F$59,Matching_Engine!$BE$52)),1,0)))/Brand_Profile!$F$60*100,0)))</f>
      </c>
      <c r="X52" s="18">
        <f>IF(NOT(AND(ISTEXT(KOL_Source_Data!$Q$28),KOL_Source_Data!$Q$28&lt;&gt;"N/A")),"N/A",Lookup_Lists!$D$150)</f>
      </c>
      <c r="Y52" s="29">
        <f>IF((IF(ISNUMBER(Matching_Engine!$U$52),Lookup_Lists!$D$335,0)+IF(ISNUMBER(Matching_Engine!$V$52),Lookup_Lists!$D$122,0)+IF(ISNUMBER(Matching_Engine!$W$52),Lookup_Lists!$D$336,0)+IF(ISNUMBER(Matching_Engine!$X$52),Lookup_Lists!$D$124,0))=0,"N/A",ROUND((IF(ISNUMBER(Matching_Engine!$U$52),Matching_Engine!$U$52*Lookup_Lists!$D$335,0)+IF(ISNUMBER(Matching_Engine!$V$52),Matching_Engine!$V$52*Lookup_Lists!$D$122,0)+IF(ISNUMBER(Matching_Engine!$W$52),Matching_Engine!$W$52*Lookup_Lists!$D$336,0)+IF(ISNUMBER(Matching_Engine!$X$52),Matching_Engine!$X$52*Lookup_Lists!$D$124,0))/(IF(ISNUMBER(Matching_Engine!$U$52),Lookup_Lists!$D$335,0)+IF(ISNUMBER(Matching_Engine!$V$52),Lookup_Lists!$D$122,0)+IF(ISNUMBER(Matching_Engine!$W$52),Lookup_Lists!$D$336,0)+IF(ISNUMBER(Matching_Engine!$X$52),Lookup_Lists!$D$124,0)),0))</f>
      </c>
      <c r="Z52" s="11">
        <f>IF(ISNUMBER(Matching_Engine!$Y$52),1,0)</f>
      </c>
      <c r="AA52" s="18">
        <f>IF(NOT(AND(ISTEXT(KOL_Source_Data!$Q$28),KOL_Source_Data!$Q$28&lt;&gt;"N/A")),"N/A",Lookup_Lists!$D$150)</f>
      </c>
      <c r="AB52" s="18">
        <f>IF(NOT(AND(ISTEXT(KOL_Source_Data!$Q$28),KOL_Source_Data!$Q$28&lt;&gt;"N/A")),"N/A",Lookup_Lists!$D$150)</f>
      </c>
      <c r="AC52" s="18">
        <f>"N/A"</f>
      </c>
      <c r="AD52" s="18">
        <f>IF(NOT(AND(ISTEXT(KOL_Source_Data!$Q$28),KOL_Source_Data!$Q$28&lt;&gt;"N/A")),"N/A",Lookup_Lists!$D$150)</f>
      </c>
      <c r="AE52" s="29">
        <f>IF((IF(ISNUMBER(Matching_Engine!$AA$52),Lookup_Lists!$D$125,0)+IF(ISNUMBER(Matching_Engine!$AB$52),Lookup_Lists!$D$126,0)+IF(ISNUMBER(Matching_Engine!$AC$52),Lookup_Lists!$D$127,0)+IF(ISNUMBER(Matching_Engine!$AD$52),Lookup_Lists!$D$128,0))=0,"N/A",ROUND((IF(ISNUMBER(Matching_Engine!$AA$52),Matching_Engine!$AA$52*Lookup_Lists!$D$125,0)+IF(ISNUMBER(Matching_Engine!$AB$52),Matching_Engine!$AB$52*Lookup_Lists!$D$126,0)+IF(ISNUMBER(Matching_Engine!$AC$52),Matching_Engine!$AC$52*Lookup_Lists!$D$127,0)+IF(ISNUMBER(Matching_Engine!$AD$52),Matching_Engine!$AD$52*Lookup_Lists!$D$128,0))/(IF(ISNUMBER(Matching_Engine!$AA$52),Lookup_Lists!$D$125,0)+IF(ISNUMBER(Matching_Engine!$AB$52),Lookup_Lists!$D$126,0)+IF(ISNUMBER(Matching_Engine!$AC$52),Lookup_Lists!$D$127,0)+IF(ISNUMBER(Matching_Engine!$AD$52),Lookup_Lists!$D$128,0)),0))</f>
      </c>
      <c r="AF52" s="11">
        <f>IF(ISNUMBER(Matching_Engine!$AE$52),1,0)</f>
      </c>
      <c r="AG52" s="18">
        <f>IF(NOT(ISNUMBER(KOL_Source_Data!$BG$28)),"N/A",MIN(100,ROUND(KOL_Source_Data!$BG$28/IFERROR(INDEX(Lookup_Lists!$B$340:$B$344,MATCH(KOL_Source_Data!$H$28,Lookup_Lists!$A$340:$A$344,0)),Lookup_Lists!$D$141)*100,0)))</f>
      </c>
      <c r="AH52" s="18">
        <f>IF(NOT(ISNUMBER(KOL_Source_Data!$BS$28)),"N/A",MIN(100,MAX(0,KOL_Source_Data!$BS$28)))</f>
      </c>
      <c r="AI52" s="18">
        <f>IF(OR(NOT(ISNUMBER(KOL_Source_Data!$BM$28)),NOT(ISNUMBER(KOL_Source_Data!$BN$28)),KOL_Source_Data!$BN$28&lt;Lookup_Lists!$D$320),"N/A",MIN(100,ROUND(KOL_Source_Data!$BM$28/Lookup_Lists!$D$319*100,0)))</f>
      </c>
      <c r="AJ52" s="18">
        <f>IF(NOT(ISNUMBER(KOL_Source_Data!$BR$28)),"N/A",KOL_Source_Data!$BR$28)</f>
      </c>
      <c r="AK52" s="18">
        <f>IF(NOT(ISNUMBER(KOL_Source_Data!$BK$28)),"N/A",MIN(100,ROUND(KOL_Source_Data!$BK$28/Lookup_Lists!$D$321*100,0)))</f>
      </c>
      <c r="AL52" s="18">
        <f>IF(NOT(ISNUMBER(KOL_Source_Data!$BP$28)),"N/A",MIN(100,MAX(0,ROUND((KOL_Source_Data!$BP$28+2)/(Lookup_Lists!$D$145+2)*100,0))))</f>
      </c>
      <c r="AM52" s="29">
        <f>IF((IF(ISNUMBER(Matching_Engine!$AG$52),Lookup_Lists!$D$129,0)+IF(ISNUMBER(Matching_Engine!$AH$52),Lookup_Lists!$D$130,0)+IF(ISNUMBER(Matching_Engine!$AI$52),Lookup_Lists!$D$131,0)+IF(ISNUMBER(Matching_Engine!$AJ$52),Lookup_Lists!$D$132,0)+IF(ISNUMBER(Matching_Engine!$AK$52),Lookup_Lists!$D$133,0)+IF(ISNUMBER(Matching_Engine!$AL$52),Lookup_Lists!$D$134,0))=0,"N/A",ROUND((IF(ISNUMBER(Matching_Engine!$AG$52),Matching_Engine!$AG$52*Lookup_Lists!$D$129,0)+IF(ISNUMBER(Matching_Engine!$AH$52),Matching_Engine!$AH$52*Lookup_Lists!$D$130,0)+IF(ISNUMBER(Matching_Engine!$AI$52),Matching_Engine!$AI$52*Lookup_Lists!$D$131,0)+IF(ISNUMBER(Matching_Engine!$AJ$52),Matching_Engine!$AJ$52*Lookup_Lists!$D$132,0)+IF(ISNUMBER(Matching_Engine!$AK$52),Matching_Engine!$AK$52*Lookup_Lists!$D$133,0)+IF(ISNUMBER(Matching_Engine!$AL$52),Matching_Engine!$AL$52*Lookup_Lists!$D$134,0))/(IF(ISNUMBER(Matching_Engine!$AG$52),Lookup_Lists!$D$129,0)+IF(ISNUMBER(Matching_Engine!$AH$52),Lookup_Lists!$D$130,0)+IF(ISNUMBER(Matching_Engine!$AI$52),Lookup_Lists!$D$131,0)+IF(ISNUMBER(Matching_Engine!$AJ$52),Lookup_Lists!$D$132,0)+IF(ISNUMBER(Matching_Engine!$AK$52),Lookup_Lists!$D$133,0)+IF(ISNUMBER(Matching_Engine!$AL$52),Lookup_Lists!$D$134,0)),0))</f>
      </c>
      <c r="AN52" s="11">
        <f>IF(ISNUMBER(Matching_Engine!$AM$52),1,0)</f>
      </c>
      <c r="AO52" s="18">
        <f>IF(NOT(ISNUMBER(KOL_Source_Data!$BT$28)),"N/A",MIN(100,MAX(0,KOL_Source_Data!$BT$28)))</f>
      </c>
      <c r="AP52" s="18">
        <f>IF(NOT(ISNUMBER(KOL_Source_Data!$BU$28)),"N/A",MIN(100,MAX(0,KOL_Source_Data!$BU$28)))</f>
      </c>
      <c r="AQ52" s="18">
        <f>IF(KOL_Source_Data!$I$28="Yes",Lookup_Lists!$D$326,IF(KOL_Source_Data!$I$28="No",Lookup_Lists!$D$327,"N/A"))</f>
      </c>
      <c r="AR52" s="18">
        <f>IF(NOT(ISNUMBER(KOL_Source_Data!$BQ$28)),"N/A",MAX(0,ROUND(100-KOL_Source_Data!$BQ$28/Lookup_Lists!$D$328*100,0)))</f>
      </c>
      <c r="AS52" s="18">
        <f>IF(NOT(AND(ISTEXT(KOL_Source_Data!$BV$28),KOL_Source_Data!$BV$28&lt;&gt;"N/A")),"N/A",KOL_Source_Data!$BV$28)</f>
      </c>
      <c r="AT52" s="29">
        <f>IF((IF(ISNUMBER(Matching_Engine!$AO$52),Lookup_Lists!$D$322,0)+IF(ISNUMBER(Matching_Engine!$AP$52),Lookup_Lists!$D$323,0)+IF(ISNUMBER(Matching_Engine!$AQ$52),Lookup_Lists!$D$324,0)+IF(ISNUMBER(Matching_Engine!$AR$52),Lookup_Lists!$D$325,0))=0,"N/A",ROUND((IF(ISNUMBER(Matching_Engine!$AO$52),Matching_Engine!$AO$52*Lookup_Lists!$D$322,0)+IF(ISNUMBER(Matching_Engine!$AP$52),Matching_Engine!$AP$52*Lookup_Lists!$D$323,0)+IF(ISNUMBER(Matching_Engine!$AQ$52),Matching_Engine!$AQ$52*Lookup_Lists!$D$324,0)+IF(ISNUMBER(Matching_Engine!$AR$52),Matching_Engine!$AR$52*Lookup_Lists!$D$325,0))/(IF(ISNUMBER(Matching_Engine!$AO$52),Lookup_Lists!$D$322,0)+IF(ISNUMBER(Matching_Engine!$AP$52),Lookup_Lists!$D$323,0)+IF(ISNUMBER(Matching_Engine!$AQ$52),Lookup_Lists!$D$324,0)+IF(ISNUMBER(Matching_Engine!$AR$52),Lookup_Lists!$D$325,0)),0))</f>
      </c>
      <c r="AU52" s="11">
        <f>IF(ISNUMBER(Matching_Engine!$AT$52),1,0)</f>
      </c>
      <c r="AV52" s="11">
        <f>IF(NOT(ISNUMBER(Matching_Engine!$AT$52)),"Not Screened",IF(Matching_Engine!$AT$52&gt;=Lookup_Lists!$D$329,"Low Risk",IF(Matching_Engine!$AT$52&gt;=Lookup_Lists!$D$330,"Moderate Risk",IF(Matching_Engine!$AT$52&gt;=Lookup_Lists!$D$331,"Elevated Risk","High Risk"))))</f>
      </c>
      <c r="AW52" s="11">
        <f>IF(NOT(ISNUMBER(Matching_Engine!$AT$52)),"No integrity signal: no audience-analysis row for this account.","Integrity screen only — no content-risk reading exists (comments_analysis: 0 rows). "&amp;IF(ISNUMBER(Matching_Engine!$AO$52),"Authenticity "&amp;Matching_Engine!$AO$52&amp;". ","Authenticity N/A. ")&amp;IF(ISNUMBER(Matching_Engine!$AP$52),"Follower quality "&amp;Matching_Engine!$AP$52&amp;". ","Follower quality N/A. ")&amp;IF(KOL_Source_Data!$I$28="Yes","Platform-verified.","Not platform-verified."))</f>
      </c>
      <c r="AX52" s="18">
        <f>Matching_Engine!$N$52*Lookup_Lists!$D$104+Matching_Engine!$T$52*Lookup_Lists!$D$105+Matching_Engine!$Z$52*Lookup_Lists!$D$106+Matching_Engine!$AF$52*Lookup_Lists!$D$107+Matching_Engine!$AN$52*Lookup_Lists!$D$108+Matching_Engine!$AU$52*Lookup_Lists!$D$109</f>
      </c>
      <c r="AY52" s="30">
        <f>IF(Matching_Engine!$AX$52=0,"N/A",ROUND((IF(Matching_Engine!$N$52=1,Matching_Engine!$M$52*Lookup_Lists!$D$104,0)+IF(Matching_Engine!$T$52=1,Matching_Engine!$S$52*Lookup_Lists!$D$105,0)+IF(Matching_Engine!$Z$52=1,Matching_Engine!$Y$52*Lookup_Lists!$D$106,0)+IF(Matching_Engine!$AF$52=1,Matching_Engine!$AE$52*Lookup_Lists!$D$107,0)+IF(Matching_Engine!$AN$52=1,Matching_Engine!$AM$52*Lookup_Lists!$D$108,0)+IF(Matching_Engine!$AU$52=1,Matching_Engine!$AT$52*Lookup_Lists!$D$109,0))/Matching_Engine!$AX$52,0))</f>
      </c>
      <c r="AZ52" s="11">
        <f>IF(NOT(ISNUMBER(Matching_Engine!$AY$52)),"Not Scored",IF(Matching_Engine!$AY$52&gt;=Lookup_Lists!$D$152,"Excellent Match",IF(Matching_Engine!$AY$52&gt;=Lookup_Lists!$D$153,"Strong Match",IF(Matching_Engine!$AY$52&gt;=Lookup_Lists!$D$154,"Good Match",IF(Matching_Engine!$AY$52&gt;=Lookup_Lists!$D$155,"Moderate Match","Low Match")))))</f>
      </c>
      <c r="BA52" s="18">
        <f>KOL_Source_Data!$BW$28</f>
      </c>
      <c r="BB52" s="11">
        <f>KOL_Source_Data!$BX$28</f>
      </c>
      <c r="BC52" s="18">
        <f>IF(NOT(ISNUMBER(Matching_Engine!$AY$52)),-1,Matching_Engine!$AY$52*1000+2)</f>
      </c>
      <c r="BD52" s="11">
        <f>IF(AND(ISTEXT(KOL_Source_Data!$S$28),KOL_Source_Data!$S$28&lt;&gt;"N/A"),KOL_Source_Data!$S$28,"")&amp;" | "&amp;IF(AND(ISTEXT(KOL_Source_Data!$T$28),KOL_Source_Data!$T$28&lt;&gt;"N/A"),KOL_Source_Data!$T$28,"")&amp;" | "&amp;IF(AND(ISTEXT(KOL_Source_Data!$N$28),KOL_Source_Data!$N$28&lt;&gt;"N/A"),KOL_Source_Data!$N$28,"")&amp;" | "&amp;IF(AND(ISTEXT(KOL_Source_Data!$K$28),KOL_Source_Data!$K$28&lt;&gt;"N/A"),KOL_Source_Data!$K$28,"")&amp;" | "&amp;IF(AND(ISTEXT(KOL_Source_Data!$J$28),KOL_Source_Data!$J$28&lt;&gt;"N/A"),KOL_Source_Data!$J$28,"")</f>
      </c>
      <c r="BE52" s="11">
        <f>IF(AND(ISTEXT(KOL_Source_Data!$T$28),KOL_Source_Data!$T$28&lt;&gt;"N/A"),KOL_Source_Data!$T$28,"")&amp;" | "&amp;IF(AND(ISTEXT(KOL_Source_Data!$N$28),KOL_Source_Data!$N$28&lt;&gt;"N/A"),KOL_Source_Data!$N$28,"")&amp;" | "&amp;IF(AND(ISTEXT(KOL_Source_Data!$O$28),KOL_Source_Data!$O$28&lt;&gt;"N/A"),KOL_Source_Data!$O$28,"")&amp;" | "&amp;IF(AND(ISTEXT(KOL_Source_Data!$S$28),KOL_Source_Data!$S$28&lt;&gt;"N/A"),KOL_Source_Data!$S$28,"")</f>
      </c>
      <c r="BF52" s="11">
        <f>IF(AND(ISTEXT(KOL_Source_Data!$U$28),KOL_Source_Data!$U$28&lt;&gt;"N/A"),KOL_Source_Data!$U$28,"")</f>
      </c>
      <c r="BG52" s="11">
        <f>Matching_Engine!$A$52&amp;"|"&amp;Matching_Engine!$C$52</f>
      </c>
    </row>
    <row r="53" spans="1:59" x14ac:dyDescent="0.25">
      <c r="A53" s="10" t="s">
        <v>391</v>
      </c>
      <c r="B53" s="11">
        <f>Brand_Profile!$F$6</f>
      </c>
      <c r="C53" s="11">
        <f>KOL_Source_Data!$A$29</f>
      </c>
      <c r="D53" s="11">
        <f>KOL_Source_Data!$C$29</f>
      </c>
      <c r="E53" s="11">
        <f>KOL_Source_Data!$D$29</f>
      </c>
      <c r="F53" s="11">
        <f>KOL_Source_Data!$E$29</f>
      </c>
      <c r="G53" s="11">
        <f>KOL_Source_Data!$K$29</f>
      </c>
      <c r="H53" s="12">
        <f>KOL_Source_Data!$G$29</f>
      </c>
      <c r="I53" s="14">
        <f>KOL_Source_Data!$BG$29</f>
      </c>
      <c r="J53" s="18">
        <f>IF(NOT(AND(ISTEXT(KOL_Source_Data!$K$29),KOL_Source_Data!$K$29&lt;&gt;"N/A")),Lookup_Lists!$D$150,IF(Brand_Profile!$F$7=KOL_Source_Data!$K$29,100,IFERROR(INDEX(Lookup_Lists!$B$349:$J$357,MATCH(Brand_Profile!$F$7,Lookup_Lists!$A$349:$A$357,0),MATCH(KOL_Source_Data!$K$29,Lookup_Lists!$B$348:$J$348,0)),Lookup_Lists!$D$151)))</f>
      </c>
      <c r="K53" s="18">
        <f>IF(LEN(TRIM(SUBSTITUTE(Matching_Engine!$BD$53,"|","")))=0,"N/A",IF(Brand_Profile!$F$47=0,Lookup_Lists!$D$150,ROUND((IF(Brand_Profile!$F$41="",0,IF(ISNUMBER(SEARCH(Brand_Profile!$F$41,Matching_Engine!$BD$53)),1,0))+IF(Brand_Profile!$F$42="",0,IF(ISNUMBER(SEARCH(Brand_Profile!$F$42,Matching_Engine!$BD$53)),1,0))+IF(Brand_Profile!$F$43="",0,IF(ISNUMBER(SEARCH(Brand_Profile!$F$43,Matching_Engine!$BD$53)),1,0))+IF(Brand_Profile!$F$44="",0,IF(ISNUMBER(SEARCH(Brand_Profile!$F$44,Matching_Engine!$BD$53)),1,0))+IF(Brand_Profile!$F$45="",0,IF(ISNUMBER(SEARCH(Brand_Profile!$F$45,Matching_Engine!$BD$53)),1,0))+IF(Brand_Profile!$F$46="",0,IF(ISNUMBER(SEARCH(Brand_Profile!$F$46,Matching_Engine!$BD$53)),1,0)))/Brand_Profile!$F$47*100,0)))</f>
      </c>
      <c r="L53" s="18">
        <f>IF(NOT(AND(ISTEXT(KOL_Source_Data!$U$29),KOL_Source_Data!$U$29&lt;&gt;"N/A")),"N/A",IF(Brand_Profile!$F$53=0,Lookup_Lists!$D$150,ROUND((IF(Brand_Profile!$F$48="",0,IF(ISNUMBER(SEARCH(Brand_Profile!$F$48,Matching_Engine!$BF$53)),1,0))+IF(Brand_Profile!$F$49="",0,IF(ISNUMBER(SEARCH(Brand_Profile!$F$49,Matching_Engine!$BF$53)),1,0))+IF(Brand_Profile!$F$50="",0,IF(ISNUMBER(SEARCH(Brand_Profile!$F$50,Matching_Engine!$BF$53)),1,0))+IF(Brand_Profile!$F$51="",0,IF(ISNUMBER(SEARCH(Brand_Profile!$F$51,Matching_Engine!$BF$53)),1,0))+IF(Brand_Profile!$F$52="",0,IF(ISNUMBER(SEARCH(Brand_Profile!$F$52,Matching_Engine!$BF$53)),1,0)))/Brand_Profile!$F$53*100,0)))</f>
      </c>
      <c r="M53" s="29">
        <f>IF((IF(ISNUMBER(Matching_Engine!$J$53),Lookup_Lists!$D$332,0)+IF(ISNUMBER(Matching_Engine!$K$53),Lookup_Lists!$D$333,0)+IF(ISNUMBER(Matching_Engine!$L$53),Lookup_Lists!$D$334,0))=0,"N/A",ROUND((IF(ISNUMBER(Matching_Engine!$J$53),Matching_Engine!$J$53*Lookup_Lists!$D$332,0)+IF(ISNUMBER(Matching_Engine!$K$53),Matching_Engine!$K$53*Lookup_Lists!$D$333,0)+IF(ISNUMBER(Matching_Engine!$L$53),Matching_Engine!$L$53*Lookup_Lists!$D$334,0))/(IF(ISNUMBER(Matching_Engine!$J$53),Lookup_Lists!$D$332,0)+IF(ISNUMBER(Matching_Engine!$K$53),Lookup_Lists!$D$333,0)+IF(ISNUMBER(Matching_Engine!$L$53),Lookup_Lists!$D$334,0)),0))</f>
      </c>
      <c r="N53" s="11">
        <f>IF(ISNUMBER(Matching_Engine!$M$53),1,0)</f>
      </c>
      <c r="O53" s="18">
        <f>IF(NOT(ISNUMBER(IFERROR(INDEX(KOL_Source_Data!$V$29:KOL_Source_Data!$Z$29,1,MATCH(Brand_Profile!$F$11,Lookup_Lists!$F$6:$F$10,0)),""))),"N/A",MIN(100,ROUND((IFERROR(INDEX(KOL_Source_Data!$V$29:KOL_Source_Data!$Z$29,1,MATCH(Brand_Profile!$F$11,Lookup_Lists!$F$6:$F$10,0)),"")+0.5*IF(ISNUMBER(IFERROR(INDEX(KOL_Source_Data!$V$29:KOL_Source_Data!$Z$29,1,MATCH(Brand_Profile!$F$12,Lookup_Lists!$F$6:$F$10,0)),"")),IFERROR(INDEX(KOL_Source_Data!$V$29:KOL_Source_Data!$Z$29,1,MATCH(Brand_Profile!$F$12,Lookup_Lists!$F$6:$F$10,0)),""),0))/Lookup_Lists!$D$142*100,0)))</f>
      </c>
      <c r="P53" s="18">
        <f>IF(Brand_Profile!$F$13="Any",100,IF(NOT(ISNUMBER(KOL_Source_Data!$AA$29)),"N/A",IF(Brand_Profile!$F$13="Female",MIN(100,ROUND(KOL_Source_Data!$AA$29/Lookup_Lists!$D$143*100,0)),IF(Brand_Profile!$F$13="Male",MIN(100,ROUND(IF(ISNUMBER(KOL_Source_Data!$AB$29),KOL_Source_Data!$AB$29,100-KOL_Source_Data!$AA$29)/Lookup_Lists!$D$143*100,0)),MAX(0,ROUND(100-ABS(KOL_Source_Data!$AA$29-50)*2,0))))))</f>
      </c>
      <c r="Q53" s="18">
        <f>IF((IF(ISNUMBER(IF(NOT(ISNUMBER(KOL_Source_Data!$AE$29)),"N/A",IF(KOL_Source_Data!$AD$29&lt;&gt;Brand_Profile!$F$14,Lookup_Lists!$D$151,MIN(100,ROUND(KOL_Source_Data!$AE$29/Lookup_Lists!$D$316*100,0))))),Lookup_Lists!$D$118,0)+IF(ISNUMBER(IF(NOT(ISNUMBER(KOL_Source_Data!$AM$29)),"N/A",MIN(100,ROUND((IF(KOL_Source_Data!$AG$29=Brand_Profile!$F$15,IF(ISNUMBER(KOL_Source_Data!$AH$29),KOL_Source_Data!$AH$29,0),0)+IF(KOL_Source_Data!$AI$29=Brand_Profile!$F$15,IF(ISNUMBER(KOL_Source_Data!$AJ$29),KOL_Source_Data!$AJ$29,0),0)+IF(KOL_Source_Data!$AK$29=Brand_Profile!$F$15,IF(ISNUMBER(KOL_Source_Data!$AL$29),KOL_Source_Data!$AL$29,0),0))/Lookup_Lists!$D$317*100,0)))),Lookup_Lists!$D$120,0))=0,"N/A",ROUND((IF(ISNUMBER(IF(NOT(ISNUMBER(KOL_Source_Data!$AE$29)),"N/A",IF(KOL_Source_Data!$AD$29&lt;&gt;Brand_Profile!$F$14,Lookup_Lists!$D$151,MIN(100,ROUND(KOL_Source_Data!$AE$29/Lookup_Lists!$D$316*100,0))))),IF(NOT(ISNUMBER(KOL_Source_Data!$AE$29)),"N/A",IF(KOL_Source_Data!$AD$29&lt;&gt;Brand_Profile!$F$14,Lookup_Lists!$D$151,MIN(100,ROUND(KOL_Source_Data!$AE$29/Lookup_Lists!$D$316*100,0))))*Lookup_Lists!$D$118,0)+IF(ISNUMBER(IF(NOT(ISNUMBER(KOL_Source_Data!$AM$29)),"N/A",MIN(100,ROUND((IF(KOL_Source_Data!$AG$29=Brand_Profile!$F$15,IF(ISNUMBER(KOL_Source_Data!$AH$29),KOL_Source_Data!$AH$29,0),0)+IF(KOL_Source_Data!$AI$29=Brand_Profile!$F$15,IF(ISNUMBER(KOL_Source_Data!$AJ$29),KOL_Source_Data!$AJ$29,0),0)+IF(KOL_Source_Data!$AK$29=Brand_Profile!$F$15,IF(ISNUMBER(KOL_Source_Data!$AL$29),KOL_Source_Data!$AL$29,0),0))/Lookup_Lists!$D$317*100,0)))),IF(NOT(ISNUMBER(KOL_Source_Data!$AM$29)),"N/A",MIN(100,ROUND((IF(KOL_Source_Data!$AG$29=Brand_Profile!$F$15,IF(ISNUMBER(KOL_Source_Data!$AH$29),KOL_Source_Data!$AH$29,0),0)+IF(KOL_Source_Data!$AI$29=Brand_Profile!$F$15,IF(ISNUMBER(KOL_Source_Data!$AJ$29),KOL_Source_Data!$AJ$29,0),0)+IF(KOL_Source_Data!$AK$29=Brand_Profile!$F$15,IF(ISNUMBER(KOL_Source_Data!$AL$29),KOL_Source_Data!$AL$29,0),0))/Lookup_Lists!$D$317*100,0)))*Lookup_Lists!$D$120,0))/(IF(ISNUMBER(IF(NOT(ISNUMBER(KOL_Source_Data!$AE$29)),"N/A",IF(KOL_Source_Data!$AD$29&lt;&gt;Brand_Profile!$F$14,Lookup_Lists!$D$151,MIN(100,ROUND(KOL_Source_Data!$AE$29/Lookup_Lists!$D$316*100,0))))),Lookup_Lists!$D$118,0)+IF(ISNUMBER(IF(NOT(ISNUMBER(KOL_Source_Data!$AM$29)),"N/A",MIN(100,ROUND((IF(KOL_Source_Data!$AG$29=Brand_Profile!$F$15,IF(ISNUMBER(KOL_Source_Data!$AH$29),KOL_Source_Data!$AH$29,0),0)+IF(KOL_Source_Data!$AI$29=Brand_Profile!$F$15,IF(ISNUMBER(KOL_Source_Data!$AJ$29),KOL_Source_Data!$AJ$29,0),0)+IF(KOL_Source_Data!$AK$29=Brand_Profile!$F$15,IF(ISNUMBER(KOL_Source_Data!$AL$29),KOL_Source_Data!$AL$29,0),0))/Lookup_Lists!$D$317*100,0)))),Lookup_Lists!$D$120,0)),0))</f>
      </c>
      <c r="R53" s="18">
        <f>IF(NOT(ISNUMBER(KOL_Source_Data!$AN$29)),"N/A",MIN(100,ROUND((IF(ISNUMBER(KOL_Source_Data!$AO$29),KOL_Source_Data!$AO$29*Brand_Profile!$F$17,0)+IF(ISNUMBER(KOL_Source_Data!$AP$29),KOL_Source_Data!$AP$29*Brand_Profile!$F$18,0)+IF(ISNUMBER(KOL_Source_Data!$AQ$29),KOL_Source_Data!$AQ$29*Brand_Profile!$F$19,0)+IF(ISNUMBER(KOL_Source_Data!$AR$29),KOL_Source_Data!$AR$29*Brand_Profile!$F$20,0)+IF(ISNUMBER(KOL_Source_Data!$AS$29),KOL_Source_Data!$AS$29*Brand_Profile!$F$21,0)+IF(ISNUMBER(KOL_Source_Data!$AT$29),KOL_Source_Data!$AT$29*Brand_Profile!$F$22,0)+IF(ISNUMBER(KOL_Source_Data!$AU$29),KOL_Source_Data!$AU$29*Brand_Profile!$F$23,0)+IF(ISNUMBER(KOL_Source_Data!$AV$29),KOL_Source_Data!$AV$29*Brand_Profile!$F$24,0)+IF(ISNUMBER(KOL_Source_Data!$AW$29),KOL_Source_Data!$AW$29*Brand_Profile!$F$25,0)+IF(ISNUMBER(KOL_Source_Data!$AX$29),KOL_Source_Data!$AX$29*Brand_Profile!$F$26,0)+IF(ISNUMBER(KOL_Source_Data!$AY$29),KOL_Source_Data!$AY$29*Brand_Profile!$F$27,0)+IF(ISNUMBER(KOL_Source_Data!$AZ$29),KOL_Source_Data!$AZ$29*Brand_Profile!$F$28,0)+IF(ISNUMBER(KOL_Source_Data!$BA$29),KOL_Source_Data!$BA$29*Brand_Profile!$F$29,0)+IF(ISNUMBER(KOL_Source_Data!$BB$29),KOL_Source_Data!$BB$29*Brand_Profile!$F$30,0)+IF(ISNUMBER(KOL_Source_Data!$BC$29),KOL_Source_Data!$BC$29*Brand_Profile!$F$31,0)+IF(ISNUMBER(KOL_Source_Data!$BD$29),KOL_Source_Data!$BD$29*Brand_Profile!$F$32,0)+IF(ISNUMBER(KOL_Source_Data!$BE$29),KOL_Source_Data!$BE$29*Brand_Profile!$F$33,0)+IF(ISNUMBER(KOL_Source_Data!$BF$29),KOL_Source_Data!$BF$29*Brand_Profile!$F$34,0))/Lookup_Lists!$D$318*100,0)))</f>
      </c>
      <c r="S53" s="29">
        <f>IF((IF(ISNUMBER(Matching_Engine!$O$53),Lookup_Lists!$D$113,0)+IF(ISNUMBER(Matching_Engine!$P$53),Lookup_Lists!$D$114,0)+IF(ISNUMBER(Matching_Engine!$Q$53),Lookup_Lists!$D$115,0)+IF(ISNUMBER(Matching_Engine!$R$53),Lookup_Lists!$D$116,0))=0,"N/A",ROUND((IF(ISNUMBER(Matching_Engine!$O$53),Matching_Engine!$O$53*Lookup_Lists!$D$113,0)+IF(ISNUMBER(Matching_Engine!$P$53),Matching_Engine!$P$53*Lookup_Lists!$D$114,0)+IF(ISNUMBER(Matching_Engine!$Q$53),Matching_Engine!$Q$53*Lookup_Lists!$D$115,0)+IF(ISNUMBER(Matching_Engine!$R$53),Matching_Engine!$R$53*Lookup_Lists!$D$116,0))/(IF(ISNUMBER(Matching_Engine!$O$53),Lookup_Lists!$D$113,0)+IF(ISNUMBER(Matching_Engine!$P$53),Lookup_Lists!$D$114,0)+IF(ISNUMBER(Matching_Engine!$Q$53),Lookup_Lists!$D$115,0)+IF(ISNUMBER(Matching_Engine!$R$53),Lookup_Lists!$D$116,0)),0))</f>
      </c>
      <c r="T53" s="11">
        <f>IF(ISNUMBER(Matching_Engine!$S$53),1,0)</f>
      </c>
      <c r="U53" s="18">
        <f>IF(NOT(AND(ISTEXT(KOL_Source_Data!$M$29),KOL_Source_Data!$M$29&lt;&gt;"N/A")),Lookup_Lists!$D$150,IF(Brand_Profile!$F$7=KOL_Source_Data!$M$29,100,IFERROR(INDEX(Lookup_Lists!$B$349:$J$357,MATCH(Brand_Profile!$F$7,Lookup_Lists!$A$349:$A$357,0),MATCH(KOL_Source_Data!$M$29,Lookup_Lists!$B$348:$J$348,0)),Lookup_Lists!$D$151)))</f>
      </c>
      <c r="V53" s="18">
        <f>IF(NOT(AND(ISTEXT(KOL_Source_Data!$P$29),KOL_Source_Data!$P$29&lt;&gt;"N/A")),"N/A",IFERROR(INDEX(Lookup_Lists!$B$349:$J$357,MATCH(Brand_Profile!$F$7,Lookup_Lists!$A$349:$A$357,0),MATCH(KOL_Source_Data!$P$29,Lookup_Lists!$B$348:$J$348,0)),Lookup_Lists!$D$151))</f>
      </c>
      <c r="W53" s="18">
        <f>IF(LEN(TRIM(SUBSTITUTE(Matching_Engine!$BE$53,"|","")))=0,"N/A",IF(Brand_Profile!$F$60=0,Lookup_Lists!$D$150,ROUND((IF(Brand_Profile!$F$54="",0,IF(ISNUMBER(SEARCH(Brand_Profile!$F$54,Matching_Engine!$BE$53)),1,0))+IF(Brand_Profile!$F$55="",0,IF(ISNUMBER(SEARCH(Brand_Profile!$F$55,Matching_Engine!$BE$53)),1,0))+IF(Brand_Profile!$F$56="",0,IF(ISNUMBER(SEARCH(Brand_Profile!$F$56,Matching_Engine!$BE$53)),1,0))+IF(Brand_Profile!$F$57="",0,IF(ISNUMBER(SEARCH(Brand_Profile!$F$57,Matching_Engine!$BE$53)),1,0))+IF(Brand_Profile!$F$58="",0,IF(ISNUMBER(SEARCH(Brand_Profile!$F$58,Matching_Engine!$BE$53)),1,0))+IF(Brand_Profile!$F$59="",0,IF(ISNUMBER(SEARCH(Brand_Profile!$F$59,Matching_Engine!$BE$53)),1,0)))/Brand_Profile!$F$60*100,0)))</f>
      </c>
      <c r="X53" s="18">
        <f>IF(NOT(AND(ISTEXT(KOL_Source_Data!$Q$29),KOL_Source_Data!$Q$29&lt;&gt;"N/A")),"N/A",Lookup_Lists!$D$150)</f>
      </c>
      <c r="Y53" s="29">
        <f>IF((IF(ISNUMBER(Matching_Engine!$U$53),Lookup_Lists!$D$335,0)+IF(ISNUMBER(Matching_Engine!$V$53),Lookup_Lists!$D$122,0)+IF(ISNUMBER(Matching_Engine!$W$53),Lookup_Lists!$D$336,0)+IF(ISNUMBER(Matching_Engine!$X$53),Lookup_Lists!$D$124,0))=0,"N/A",ROUND((IF(ISNUMBER(Matching_Engine!$U$53),Matching_Engine!$U$53*Lookup_Lists!$D$335,0)+IF(ISNUMBER(Matching_Engine!$V$53),Matching_Engine!$V$53*Lookup_Lists!$D$122,0)+IF(ISNUMBER(Matching_Engine!$W$53),Matching_Engine!$W$53*Lookup_Lists!$D$336,0)+IF(ISNUMBER(Matching_Engine!$X$53),Matching_Engine!$X$53*Lookup_Lists!$D$124,0))/(IF(ISNUMBER(Matching_Engine!$U$53),Lookup_Lists!$D$335,0)+IF(ISNUMBER(Matching_Engine!$V$53),Lookup_Lists!$D$122,0)+IF(ISNUMBER(Matching_Engine!$W$53),Lookup_Lists!$D$336,0)+IF(ISNUMBER(Matching_Engine!$X$53),Lookup_Lists!$D$124,0)),0))</f>
      </c>
      <c r="Z53" s="11">
        <f>IF(ISNUMBER(Matching_Engine!$Y$53),1,0)</f>
      </c>
      <c r="AA53" s="18">
        <f>IF(NOT(AND(ISTEXT(KOL_Source_Data!$Q$29),KOL_Source_Data!$Q$29&lt;&gt;"N/A")),"N/A",Lookup_Lists!$D$150)</f>
      </c>
      <c r="AB53" s="18">
        <f>IF(NOT(AND(ISTEXT(KOL_Source_Data!$Q$29),KOL_Source_Data!$Q$29&lt;&gt;"N/A")),"N/A",Lookup_Lists!$D$150)</f>
      </c>
      <c r="AC53" s="18">
        <f>"N/A"</f>
      </c>
      <c r="AD53" s="18">
        <f>IF(NOT(AND(ISTEXT(KOL_Source_Data!$Q$29),KOL_Source_Data!$Q$29&lt;&gt;"N/A")),"N/A",Lookup_Lists!$D$150)</f>
      </c>
      <c r="AE53" s="29">
        <f>IF((IF(ISNUMBER(Matching_Engine!$AA$53),Lookup_Lists!$D$125,0)+IF(ISNUMBER(Matching_Engine!$AB$53),Lookup_Lists!$D$126,0)+IF(ISNUMBER(Matching_Engine!$AC$53),Lookup_Lists!$D$127,0)+IF(ISNUMBER(Matching_Engine!$AD$53),Lookup_Lists!$D$128,0))=0,"N/A",ROUND((IF(ISNUMBER(Matching_Engine!$AA$53),Matching_Engine!$AA$53*Lookup_Lists!$D$125,0)+IF(ISNUMBER(Matching_Engine!$AB$53),Matching_Engine!$AB$53*Lookup_Lists!$D$126,0)+IF(ISNUMBER(Matching_Engine!$AC$53),Matching_Engine!$AC$53*Lookup_Lists!$D$127,0)+IF(ISNUMBER(Matching_Engine!$AD$53),Matching_Engine!$AD$53*Lookup_Lists!$D$128,0))/(IF(ISNUMBER(Matching_Engine!$AA$53),Lookup_Lists!$D$125,0)+IF(ISNUMBER(Matching_Engine!$AB$53),Lookup_Lists!$D$126,0)+IF(ISNUMBER(Matching_Engine!$AC$53),Lookup_Lists!$D$127,0)+IF(ISNUMBER(Matching_Engine!$AD$53),Lookup_Lists!$D$128,0)),0))</f>
      </c>
      <c r="AF53" s="11">
        <f>IF(ISNUMBER(Matching_Engine!$AE$53),1,0)</f>
      </c>
      <c r="AG53" s="18">
        <f>IF(NOT(ISNUMBER(KOL_Source_Data!$BG$29)),"N/A",MIN(100,ROUND(KOL_Source_Data!$BG$29/IFERROR(INDEX(Lookup_Lists!$B$340:$B$344,MATCH(KOL_Source_Data!$H$29,Lookup_Lists!$A$340:$A$344,0)),Lookup_Lists!$D$141)*100,0)))</f>
      </c>
      <c r="AH53" s="18">
        <f>IF(NOT(ISNUMBER(KOL_Source_Data!$BS$29)),"N/A",MIN(100,MAX(0,KOL_Source_Data!$BS$29)))</f>
      </c>
      <c r="AI53" s="18">
        <f>IF(OR(NOT(ISNUMBER(KOL_Source_Data!$BM$29)),NOT(ISNUMBER(KOL_Source_Data!$BN$29)),KOL_Source_Data!$BN$29&lt;Lookup_Lists!$D$320),"N/A",MIN(100,ROUND(KOL_Source_Data!$BM$29/Lookup_Lists!$D$319*100,0)))</f>
      </c>
      <c r="AJ53" s="18">
        <f>IF(NOT(ISNUMBER(KOL_Source_Data!$BR$29)),"N/A",KOL_Source_Data!$BR$29)</f>
      </c>
      <c r="AK53" s="18">
        <f>IF(NOT(ISNUMBER(KOL_Source_Data!$BK$29)),"N/A",MIN(100,ROUND(KOL_Source_Data!$BK$29/Lookup_Lists!$D$321*100,0)))</f>
      </c>
      <c r="AL53" s="18">
        <f>IF(NOT(ISNUMBER(KOL_Source_Data!$BP$29)),"N/A",MIN(100,MAX(0,ROUND((KOL_Source_Data!$BP$29+2)/(Lookup_Lists!$D$145+2)*100,0))))</f>
      </c>
      <c r="AM53" s="29">
        <f>IF((IF(ISNUMBER(Matching_Engine!$AG$53),Lookup_Lists!$D$129,0)+IF(ISNUMBER(Matching_Engine!$AH$53),Lookup_Lists!$D$130,0)+IF(ISNUMBER(Matching_Engine!$AI$53),Lookup_Lists!$D$131,0)+IF(ISNUMBER(Matching_Engine!$AJ$53),Lookup_Lists!$D$132,0)+IF(ISNUMBER(Matching_Engine!$AK$53),Lookup_Lists!$D$133,0)+IF(ISNUMBER(Matching_Engine!$AL$53),Lookup_Lists!$D$134,0))=0,"N/A",ROUND((IF(ISNUMBER(Matching_Engine!$AG$53),Matching_Engine!$AG$53*Lookup_Lists!$D$129,0)+IF(ISNUMBER(Matching_Engine!$AH$53),Matching_Engine!$AH$53*Lookup_Lists!$D$130,0)+IF(ISNUMBER(Matching_Engine!$AI$53),Matching_Engine!$AI$53*Lookup_Lists!$D$131,0)+IF(ISNUMBER(Matching_Engine!$AJ$53),Matching_Engine!$AJ$53*Lookup_Lists!$D$132,0)+IF(ISNUMBER(Matching_Engine!$AK$53),Matching_Engine!$AK$53*Lookup_Lists!$D$133,0)+IF(ISNUMBER(Matching_Engine!$AL$53),Matching_Engine!$AL$53*Lookup_Lists!$D$134,0))/(IF(ISNUMBER(Matching_Engine!$AG$53),Lookup_Lists!$D$129,0)+IF(ISNUMBER(Matching_Engine!$AH$53),Lookup_Lists!$D$130,0)+IF(ISNUMBER(Matching_Engine!$AI$53),Lookup_Lists!$D$131,0)+IF(ISNUMBER(Matching_Engine!$AJ$53),Lookup_Lists!$D$132,0)+IF(ISNUMBER(Matching_Engine!$AK$53),Lookup_Lists!$D$133,0)+IF(ISNUMBER(Matching_Engine!$AL$53),Lookup_Lists!$D$134,0)),0))</f>
      </c>
      <c r="AN53" s="11">
        <f>IF(ISNUMBER(Matching_Engine!$AM$53),1,0)</f>
      </c>
      <c r="AO53" s="18">
        <f>IF(NOT(ISNUMBER(KOL_Source_Data!$BT$29)),"N/A",MIN(100,MAX(0,KOL_Source_Data!$BT$29)))</f>
      </c>
      <c r="AP53" s="18">
        <f>IF(NOT(ISNUMBER(KOL_Source_Data!$BU$29)),"N/A",MIN(100,MAX(0,KOL_Source_Data!$BU$29)))</f>
      </c>
      <c r="AQ53" s="18">
        <f>IF(KOL_Source_Data!$I$29="Yes",Lookup_Lists!$D$326,IF(KOL_Source_Data!$I$29="No",Lookup_Lists!$D$327,"N/A"))</f>
      </c>
      <c r="AR53" s="18">
        <f>IF(NOT(ISNUMBER(KOL_Source_Data!$BQ$29)),"N/A",MAX(0,ROUND(100-KOL_Source_Data!$BQ$29/Lookup_Lists!$D$328*100,0)))</f>
      </c>
      <c r="AS53" s="18">
        <f>IF(NOT(AND(ISTEXT(KOL_Source_Data!$BV$29),KOL_Source_Data!$BV$29&lt;&gt;"N/A")),"N/A",KOL_Source_Data!$BV$29)</f>
      </c>
      <c r="AT53" s="29">
        <f>IF((IF(ISNUMBER(Matching_Engine!$AO$53),Lookup_Lists!$D$322,0)+IF(ISNUMBER(Matching_Engine!$AP$53),Lookup_Lists!$D$323,0)+IF(ISNUMBER(Matching_Engine!$AQ$53),Lookup_Lists!$D$324,0)+IF(ISNUMBER(Matching_Engine!$AR$53),Lookup_Lists!$D$325,0))=0,"N/A",ROUND((IF(ISNUMBER(Matching_Engine!$AO$53),Matching_Engine!$AO$53*Lookup_Lists!$D$322,0)+IF(ISNUMBER(Matching_Engine!$AP$53),Matching_Engine!$AP$53*Lookup_Lists!$D$323,0)+IF(ISNUMBER(Matching_Engine!$AQ$53),Matching_Engine!$AQ$53*Lookup_Lists!$D$324,0)+IF(ISNUMBER(Matching_Engine!$AR$53),Matching_Engine!$AR$53*Lookup_Lists!$D$325,0))/(IF(ISNUMBER(Matching_Engine!$AO$53),Lookup_Lists!$D$322,0)+IF(ISNUMBER(Matching_Engine!$AP$53),Lookup_Lists!$D$323,0)+IF(ISNUMBER(Matching_Engine!$AQ$53),Lookup_Lists!$D$324,0)+IF(ISNUMBER(Matching_Engine!$AR$53),Lookup_Lists!$D$325,0)),0))</f>
      </c>
      <c r="AU53" s="11">
        <f>IF(ISNUMBER(Matching_Engine!$AT$53),1,0)</f>
      </c>
      <c r="AV53" s="11">
        <f>IF(NOT(ISNUMBER(Matching_Engine!$AT$53)),"Not Screened",IF(Matching_Engine!$AT$53&gt;=Lookup_Lists!$D$329,"Low Risk",IF(Matching_Engine!$AT$53&gt;=Lookup_Lists!$D$330,"Moderate Risk",IF(Matching_Engine!$AT$53&gt;=Lookup_Lists!$D$331,"Elevated Risk","High Risk"))))</f>
      </c>
      <c r="AW53" s="11">
        <f>IF(NOT(ISNUMBER(Matching_Engine!$AT$53)),"No integrity signal: no audience-analysis row for this account.","Integrity screen only — no content-risk reading exists (comments_analysis: 0 rows). "&amp;IF(ISNUMBER(Matching_Engine!$AO$53),"Authenticity "&amp;Matching_Engine!$AO$53&amp;". ","Authenticity N/A. ")&amp;IF(ISNUMBER(Matching_Engine!$AP$53),"Follower quality "&amp;Matching_Engine!$AP$53&amp;". ","Follower quality N/A. ")&amp;IF(KOL_Source_Data!$I$29="Yes","Platform-verified.","Not platform-verified."))</f>
      </c>
      <c r="AX53" s="18">
        <f>Matching_Engine!$N$53*Lookup_Lists!$D$104+Matching_Engine!$T$53*Lookup_Lists!$D$105+Matching_Engine!$Z$53*Lookup_Lists!$D$106+Matching_Engine!$AF$53*Lookup_Lists!$D$107+Matching_Engine!$AN$53*Lookup_Lists!$D$108+Matching_Engine!$AU$53*Lookup_Lists!$D$109</f>
      </c>
      <c r="AY53" s="30">
        <f>IF(Matching_Engine!$AX$53=0,"N/A",ROUND((IF(Matching_Engine!$N$53=1,Matching_Engine!$M$53*Lookup_Lists!$D$104,0)+IF(Matching_Engine!$T$53=1,Matching_Engine!$S$53*Lookup_Lists!$D$105,0)+IF(Matching_Engine!$Z$53=1,Matching_Engine!$Y$53*Lookup_Lists!$D$106,0)+IF(Matching_Engine!$AF$53=1,Matching_Engine!$AE$53*Lookup_Lists!$D$107,0)+IF(Matching_Engine!$AN$53=1,Matching_Engine!$AM$53*Lookup_Lists!$D$108,0)+IF(Matching_Engine!$AU$53=1,Matching_Engine!$AT$53*Lookup_Lists!$D$109,0))/Matching_Engine!$AX$53,0))</f>
      </c>
      <c r="AZ53" s="11">
        <f>IF(NOT(ISNUMBER(Matching_Engine!$AY$53)),"Not Scored",IF(Matching_Engine!$AY$53&gt;=Lookup_Lists!$D$152,"Excellent Match",IF(Matching_Engine!$AY$53&gt;=Lookup_Lists!$D$153,"Strong Match",IF(Matching_Engine!$AY$53&gt;=Lookup_Lists!$D$154,"Good Match",IF(Matching_Engine!$AY$53&gt;=Lookup_Lists!$D$155,"Moderate Match","Low Match")))))</f>
      </c>
      <c r="BA53" s="18">
        <f>KOL_Source_Data!$BW$29</f>
      </c>
      <c r="BB53" s="11">
        <f>KOL_Source_Data!$BX$29</f>
      </c>
      <c r="BC53" s="18">
        <f>IF(NOT(ISNUMBER(Matching_Engine!$AY$53)),-1,Matching_Engine!$AY$53*1000+1)</f>
      </c>
      <c r="BD53" s="11">
        <f>IF(AND(ISTEXT(KOL_Source_Data!$S$29),KOL_Source_Data!$S$29&lt;&gt;"N/A"),KOL_Source_Data!$S$29,"")&amp;" | "&amp;IF(AND(ISTEXT(KOL_Source_Data!$T$29),KOL_Source_Data!$T$29&lt;&gt;"N/A"),KOL_Source_Data!$T$29,"")&amp;" | "&amp;IF(AND(ISTEXT(KOL_Source_Data!$N$29),KOL_Source_Data!$N$29&lt;&gt;"N/A"),KOL_Source_Data!$N$29,"")&amp;" | "&amp;IF(AND(ISTEXT(KOL_Source_Data!$K$29),KOL_Source_Data!$K$29&lt;&gt;"N/A"),KOL_Source_Data!$K$29,"")&amp;" | "&amp;IF(AND(ISTEXT(KOL_Source_Data!$J$29),KOL_Source_Data!$J$29&lt;&gt;"N/A"),KOL_Source_Data!$J$29,"")</f>
      </c>
      <c r="BE53" s="11">
        <f>IF(AND(ISTEXT(KOL_Source_Data!$T$29),KOL_Source_Data!$T$29&lt;&gt;"N/A"),KOL_Source_Data!$T$29,"")&amp;" | "&amp;IF(AND(ISTEXT(KOL_Source_Data!$N$29),KOL_Source_Data!$N$29&lt;&gt;"N/A"),KOL_Source_Data!$N$29,"")&amp;" | "&amp;IF(AND(ISTEXT(KOL_Source_Data!$O$29),KOL_Source_Data!$O$29&lt;&gt;"N/A"),KOL_Source_Data!$O$29,"")&amp;" | "&amp;IF(AND(ISTEXT(KOL_Source_Data!$S$29),KOL_Source_Data!$S$29&lt;&gt;"N/A"),KOL_Source_Data!$S$29,"")</f>
      </c>
      <c r="BF53" s="11">
        <f>IF(AND(ISTEXT(KOL_Source_Data!$U$29),KOL_Source_Data!$U$29&lt;&gt;"N/A"),KOL_Source_Data!$U$29,"")</f>
      </c>
      <c r="BG53" s="11">
        <f>Matching_Engine!$A$53&amp;"|"&amp;Matching_Engine!$C$53</f>
      </c>
    </row>
    <row r="54" spans="1:59" x14ac:dyDescent="0.25">
      <c r="A54" s="10" t="s">
        <v>392</v>
      </c>
      <c r="B54" s="11">
        <f>Brand_Profile!$G$6</f>
      </c>
      <c r="C54" s="11">
        <f>KOL_Source_Data!$A$6</f>
      </c>
      <c r="D54" s="11">
        <f>KOL_Source_Data!$C$6</f>
      </c>
      <c r="E54" s="11">
        <f>KOL_Source_Data!$D$6</f>
      </c>
      <c r="F54" s="11">
        <f>KOL_Source_Data!$E$6</f>
      </c>
      <c r="G54" s="11">
        <f>KOL_Source_Data!$K$6</f>
      </c>
      <c r="H54" s="12">
        <f>KOL_Source_Data!$G$6</f>
      </c>
      <c r="I54" s="14">
        <f>KOL_Source_Data!$BG$6</f>
      </c>
      <c r="J54" s="18">
        <f>IF(NOT(AND(ISTEXT(KOL_Source_Data!$K$6),KOL_Source_Data!$K$6&lt;&gt;"N/A")),Lookup_Lists!$D$150,IF(Brand_Profile!$G$7=KOL_Source_Data!$K$6,100,IFERROR(INDEX(Lookup_Lists!$B$349:$J$357,MATCH(Brand_Profile!$G$7,Lookup_Lists!$A$349:$A$357,0),MATCH(KOL_Source_Data!$K$6,Lookup_Lists!$B$348:$J$348,0)),Lookup_Lists!$D$151)))</f>
      </c>
      <c r="K54" s="18">
        <f>IF(LEN(TRIM(SUBSTITUTE(Matching_Engine!$BD$54,"|","")))=0,"N/A",IF(Brand_Profile!$G$47=0,Lookup_Lists!$D$150,ROUND((IF(Brand_Profile!$G$41="",0,IF(ISNUMBER(SEARCH(Brand_Profile!$G$41,Matching_Engine!$BD$54)),1,0))+IF(Brand_Profile!$G$42="",0,IF(ISNUMBER(SEARCH(Brand_Profile!$G$42,Matching_Engine!$BD$54)),1,0))+IF(Brand_Profile!$G$43="",0,IF(ISNUMBER(SEARCH(Brand_Profile!$G$43,Matching_Engine!$BD$54)),1,0))+IF(Brand_Profile!$G$44="",0,IF(ISNUMBER(SEARCH(Brand_Profile!$G$44,Matching_Engine!$BD$54)),1,0))+IF(Brand_Profile!$G$45="",0,IF(ISNUMBER(SEARCH(Brand_Profile!$G$45,Matching_Engine!$BD$54)),1,0))+IF(Brand_Profile!$G$46="",0,IF(ISNUMBER(SEARCH(Brand_Profile!$G$46,Matching_Engine!$BD$54)),1,0)))/Brand_Profile!$G$47*100,0)))</f>
      </c>
      <c r="L54" s="18">
        <f>IF(NOT(AND(ISTEXT(KOL_Source_Data!$U$6),KOL_Source_Data!$U$6&lt;&gt;"N/A")),"N/A",IF(Brand_Profile!$G$53=0,Lookup_Lists!$D$150,ROUND((IF(Brand_Profile!$G$48="",0,IF(ISNUMBER(SEARCH(Brand_Profile!$G$48,Matching_Engine!$BF$54)),1,0))+IF(Brand_Profile!$G$49="",0,IF(ISNUMBER(SEARCH(Brand_Profile!$G$49,Matching_Engine!$BF$54)),1,0))+IF(Brand_Profile!$G$50="",0,IF(ISNUMBER(SEARCH(Brand_Profile!$G$50,Matching_Engine!$BF$54)),1,0))+IF(Brand_Profile!$G$51="",0,IF(ISNUMBER(SEARCH(Brand_Profile!$G$51,Matching_Engine!$BF$54)),1,0))+IF(Brand_Profile!$G$52="",0,IF(ISNUMBER(SEARCH(Brand_Profile!$G$52,Matching_Engine!$BF$54)),1,0)))/Brand_Profile!$G$53*100,0)))</f>
      </c>
      <c r="M54" s="29">
        <f>IF((IF(ISNUMBER(Matching_Engine!$J$54),Lookup_Lists!$D$332,0)+IF(ISNUMBER(Matching_Engine!$K$54),Lookup_Lists!$D$333,0)+IF(ISNUMBER(Matching_Engine!$L$54),Lookup_Lists!$D$334,0))=0,"N/A",ROUND((IF(ISNUMBER(Matching_Engine!$J$54),Matching_Engine!$J$54*Lookup_Lists!$D$332,0)+IF(ISNUMBER(Matching_Engine!$K$54),Matching_Engine!$K$54*Lookup_Lists!$D$333,0)+IF(ISNUMBER(Matching_Engine!$L$54),Matching_Engine!$L$54*Lookup_Lists!$D$334,0))/(IF(ISNUMBER(Matching_Engine!$J$54),Lookup_Lists!$D$332,0)+IF(ISNUMBER(Matching_Engine!$K$54),Lookup_Lists!$D$333,0)+IF(ISNUMBER(Matching_Engine!$L$54),Lookup_Lists!$D$334,0)),0))</f>
      </c>
      <c r="N54" s="11">
        <f>IF(ISNUMBER(Matching_Engine!$M$54),1,0)</f>
      </c>
      <c r="O54" s="18">
        <f>IF(NOT(ISNUMBER(IFERROR(INDEX(KOL_Source_Data!$V$6:KOL_Source_Data!$Z$6,1,MATCH(Brand_Profile!$G$11,Lookup_Lists!$F$6:$F$10,0)),""))),"N/A",MIN(100,ROUND((IFERROR(INDEX(KOL_Source_Data!$V$6:KOL_Source_Data!$Z$6,1,MATCH(Brand_Profile!$G$11,Lookup_Lists!$F$6:$F$10,0)),"")+0.5*IF(ISNUMBER(IFERROR(INDEX(KOL_Source_Data!$V$6:KOL_Source_Data!$Z$6,1,MATCH(Brand_Profile!$G$12,Lookup_Lists!$F$6:$F$10,0)),"")),IFERROR(INDEX(KOL_Source_Data!$V$6:KOL_Source_Data!$Z$6,1,MATCH(Brand_Profile!$G$12,Lookup_Lists!$F$6:$F$10,0)),""),0))/Lookup_Lists!$D$142*100,0)))</f>
      </c>
      <c r="P54" s="18">
        <f>IF(Brand_Profile!$G$13="Any",100,IF(NOT(ISNUMBER(KOL_Source_Data!$AA$6)),"N/A",IF(Brand_Profile!$G$13="Female",MIN(100,ROUND(KOL_Source_Data!$AA$6/Lookup_Lists!$D$143*100,0)),IF(Brand_Profile!$G$13="Male",MIN(100,ROUND(IF(ISNUMBER(KOL_Source_Data!$AB$6),KOL_Source_Data!$AB$6,100-KOL_Source_Data!$AA$6)/Lookup_Lists!$D$143*100,0)),MAX(0,ROUND(100-ABS(KOL_Source_Data!$AA$6-50)*2,0))))))</f>
      </c>
      <c r="Q54" s="18">
        <f>IF((IF(ISNUMBER(IF(NOT(ISNUMBER(KOL_Source_Data!$AE$6)),"N/A",IF(KOL_Source_Data!$AD$6&lt;&gt;Brand_Profile!$G$14,Lookup_Lists!$D$151,MIN(100,ROUND(KOL_Source_Data!$AE$6/Lookup_Lists!$D$316*100,0))))),Lookup_Lists!$D$118,0)+IF(ISNUMBER(IF(NOT(ISNUMBER(KOL_Source_Data!$AM$6)),"N/A",MIN(100,ROUND((IF(KOL_Source_Data!$AG$6=Brand_Profile!$G$15,IF(ISNUMBER(KOL_Source_Data!$AH$6),KOL_Source_Data!$AH$6,0),0)+IF(KOL_Source_Data!$AI$6=Brand_Profile!$G$15,IF(ISNUMBER(KOL_Source_Data!$AJ$6),KOL_Source_Data!$AJ$6,0),0)+IF(KOL_Source_Data!$AK$6=Brand_Profile!$G$15,IF(ISNUMBER(KOL_Source_Data!$AL$6),KOL_Source_Data!$AL$6,0),0))/Lookup_Lists!$D$317*100,0)))),Lookup_Lists!$D$120,0))=0,"N/A",ROUND((IF(ISNUMBER(IF(NOT(ISNUMBER(KOL_Source_Data!$AE$6)),"N/A",IF(KOL_Source_Data!$AD$6&lt;&gt;Brand_Profile!$G$14,Lookup_Lists!$D$151,MIN(100,ROUND(KOL_Source_Data!$AE$6/Lookup_Lists!$D$316*100,0))))),IF(NOT(ISNUMBER(KOL_Source_Data!$AE$6)),"N/A",IF(KOL_Source_Data!$AD$6&lt;&gt;Brand_Profile!$G$14,Lookup_Lists!$D$151,MIN(100,ROUND(KOL_Source_Data!$AE$6/Lookup_Lists!$D$316*100,0))))*Lookup_Lists!$D$118,0)+IF(ISNUMBER(IF(NOT(ISNUMBER(KOL_Source_Data!$AM$6)),"N/A",MIN(100,ROUND((IF(KOL_Source_Data!$AG$6=Brand_Profile!$G$15,IF(ISNUMBER(KOL_Source_Data!$AH$6),KOL_Source_Data!$AH$6,0),0)+IF(KOL_Source_Data!$AI$6=Brand_Profile!$G$15,IF(ISNUMBER(KOL_Source_Data!$AJ$6),KOL_Source_Data!$AJ$6,0),0)+IF(KOL_Source_Data!$AK$6=Brand_Profile!$G$15,IF(ISNUMBER(KOL_Source_Data!$AL$6),KOL_Source_Data!$AL$6,0),0))/Lookup_Lists!$D$317*100,0)))),IF(NOT(ISNUMBER(KOL_Source_Data!$AM$6)),"N/A",MIN(100,ROUND((IF(KOL_Source_Data!$AG$6=Brand_Profile!$G$15,IF(ISNUMBER(KOL_Source_Data!$AH$6),KOL_Source_Data!$AH$6,0),0)+IF(KOL_Source_Data!$AI$6=Brand_Profile!$G$15,IF(ISNUMBER(KOL_Source_Data!$AJ$6),KOL_Source_Data!$AJ$6,0),0)+IF(KOL_Source_Data!$AK$6=Brand_Profile!$G$15,IF(ISNUMBER(KOL_Source_Data!$AL$6),KOL_Source_Data!$AL$6,0),0))/Lookup_Lists!$D$317*100,0)))*Lookup_Lists!$D$120,0))/(IF(ISNUMBER(IF(NOT(ISNUMBER(KOL_Source_Data!$AE$6)),"N/A",IF(KOL_Source_Data!$AD$6&lt;&gt;Brand_Profile!$G$14,Lookup_Lists!$D$151,MIN(100,ROUND(KOL_Source_Data!$AE$6/Lookup_Lists!$D$316*100,0))))),Lookup_Lists!$D$118,0)+IF(ISNUMBER(IF(NOT(ISNUMBER(KOL_Source_Data!$AM$6)),"N/A",MIN(100,ROUND((IF(KOL_Source_Data!$AG$6=Brand_Profile!$G$15,IF(ISNUMBER(KOL_Source_Data!$AH$6),KOL_Source_Data!$AH$6,0),0)+IF(KOL_Source_Data!$AI$6=Brand_Profile!$G$15,IF(ISNUMBER(KOL_Source_Data!$AJ$6),KOL_Source_Data!$AJ$6,0),0)+IF(KOL_Source_Data!$AK$6=Brand_Profile!$G$15,IF(ISNUMBER(KOL_Source_Data!$AL$6),KOL_Source_Data!$AL$6,0),0))/Lookup_Lists!$D$317*100,0)))),Lookup_Lists!$D$120,0)),0))</f>
      </c>
      <c r="R54" s="18">
        <f>IF(NOT(ISNUMBER(KOL_Source_Data!$AN$6)),"N/A",MIN(100,ROUND((IF(ISNUMBER(KOL_Source_Data!$AO$6),KOL_Source_Data!$AO$6*Brand_Profile!$G$17,0)+IF(ISNUMBER(KOL_Source_Data!$AP$6),KOL_Source_Data!$AP$6*Brand_Profile!$G$18,0)+IF(ISNUMBER(KOL_Source_Data!$AQ$6),KOL_Source_Data!$AQ$6*Brand_Profile!$G$19,0)+IF(ISNUMBER(KOL_Source_Data!$AR$6),KOL_Source_Data!$AR$6*Brand_Profile!$G$20,0)+IF(ISNUMBER(KOL_Source_Data!$AS$6),KOL_Source_Data!$AS$6*Brand_Profile!$G$21,0)+IF(ISNUMBER(KOL_Source_Data!$AT$6),KOL_Source_Data!$AT$6*Brand_Profile!$G$22,0)+IF(ISNUMBER(KOL_Source_Data!$AU$6),KOL_Source_Data!$AU$6*Brand_Profile!$G$23,0)+IF(ISNUMBER(KOL_Source_Data!$AV$6),KOL_Source_Data!$AV$6*Brand_Profile!$G$24,0)+IF(ISNUMBER(KOL_Source_Data!$AW$6),KOL_Source_Data!$AW$6*Brand_Profile!$G$25,0)+IF(ISNUMBER(KOL_Source_Data!$AX$6),KOL_Source_Data!$AX$6*Brand_Profile!$G$26,0)+IF(ISNUMBER(KOL_Source_Data!$AY$6),KOL_Source_Data!$AY$6*Brand_Profile!$G$27,0)+IF(ISNUMBER(KOL_Source_Data!$AZ$6),KOL_Source_Data!$AZ$6*Brand_Profile!$G$28,0)+IF(ISNUMBER(KOL_Source_Data!$BA$6),KOL_Source_Data!$BA$6*Brand_Profile!$G$29,0)+IF(ISNUMBER(KOL_Source_Data!$BB$6),KOL_Source_Data!$BB$6*Brand_Profile!$G$30,0)+IF(ISNUMBER(KOL_Source_Data!$BC$6),KOL_Source_Data!$BC$6*Brand_Profile!$G$31,0)+IF(ISNUMBER(KOL_Source_Data!$BD$6),KOL_Source_Data!$BD$6*Brand_Profile!$G$32,0)+IF(ISNUMBER(KOL_Source_Data!$BE$6),KOL_Source_Data!$BE$6*Brand_Profile!$G$33,0)+IF(ISNUMBER(KOL_Source_Data!$BF$6),KOL_Source_Data!$BF$6*Brand_Profile!$G$34,0))/Lookup_Lists!$D$318*100,0)))</f>
      </c>
      <c r="S54" s="29">
        <f>IF((IF(ISNUMBER(Matching_Engine!$O$54),Lookup_Lists!$D$113,0)+IF(ISNUMBER(Matching_Engine!$P$54),Lookup_Lists!$D$114,0)+IF(ISNUMBER(Matching_Engine!$Q$54),Lookup_Lists!$D$115,0)+IF(ISNUMBER(Matching_Engine!$R$54),Lookup_Lists!$D$116,0))=0,"N/A",ROUND((IF(ISNUMBER(Matching_Engine!$O$54),Matching_Engine!$O$54*Lookup_Lists!$D$113,0)+IF(ISNUMBER(Matching_Engine!$P$54),Matching_Engine!$P$54*Lookup_Lists!$D$114,0)+IF(ISNUMBER(Matching_Engine!$Q$54),Matching_Engine!$Q$54*Lookup_Lists!$D$115,0)+IF(ISNUMBER(Matching_Engine!$R$54),Matching_Engine!$R$54*Lookup_Lists!$D$116,0))/(IF(ISNUMBER(Matching_Engine!$O$54),Lookup_Lists!$D$113,0)+IF(ISNUMBER(Matching_Engine!$P$54),Lookup_Lists!$D$114,0)+IF(ISNUMBER(Matching_Engine!$Q$54),Lookup_Lists!$D$115,0)+IF(ISNUMBER(Matching_Engine!$R$54),Lookup_Lists!$D$116,0)),0))</f>
      </c>
      <c r="T54" s="11">
        <f>IF(ISNUMBER(Matching_Engine!$S$54),1,0)</f>
      </c>
      <c r="U54" s="18">
        <f>IF(NOT(AND(ISTEXT(KOL_Source_Data!$M$6),KOL_Source_Data!$M$6&lt;&gt;"N/A")),Lookup_Lists!$D$150,IF(Brand_Profile!$G$7=KOL_Source_Data!$M$6,100,IFERROR(INDEX(Lookup_Lists!$B$349:$J$357,MATCH(Brand_Profile!$G$7,Lookup_Lists!$A$349:$A$357,0),MATCH(KOL_Source_Data!$M$6,Lookup_Lists!$B$348:$J$348,0)),Lookup_Lists!$D$151)))</f>
      </c>
      <c r="V54" s="18">
        <f>IF(NOT(AND(ISTEXT(KOL_Source_Data!$P$6),KOL_Source_Data!$P$6&lt;&gt;"N/A")),"N/A",IFERROR(INDEX(Lookup_Lists!$B$349:$J$357,MATCH(Brand_Profile!$G$7,Lookup_Lists!$A$349:$A$357,0),MATCH(KOL_Source_Data!$P$6,Lookup_Lists!$B$348:$J$348,0)),Lookup_Lists!$D$151))</f>
      </c>
      <c r="W54" s="18">
        <f>IF(LEN(TRIM(SUBSTITUTE(Matching_Engine!$BE$54,"|","")))=0,"N/A",IF(Brand_Profile!$G$60=0,Lookup_Lists!$D$150,ROUND((IF(Brand_Profile!$G$54="",0,IF(ISNUMBER(SEARCH(Brand_Profile!$G$54,Matching_Engine!$BE$54)),1,0))+IF(Brand_Profile!$G$55="",0,IF(ISNUMBER(SEARCH(Brand_Profile!$G$55,Matching_Engine!$BE$54)),1,0))+IF(Brand_Profile!$G$56="",0,IF(ISNUMBER(SEARCH(Brand_Profile!$G$56,Matching_Engine!$BE$54)),1,0))+IF(Brand_Profile!$G$57="",0,IF(ISNUMBER(SEARCH(Brand_Profile!$G$57,Matching_Engine!$BE$54)),1,0))+IF(Brand_Profile!$G$58="",0,IF(ISNUMBER(SEARCH(Brand_Profile!$G$58,Matching_Engine!$BE$54)),1,0))+IF(Brand_Profile!$G$59="",0,IF(ISNUMBER(SEARCH(Brand_Profile!$G$59,Matching_Engine!$BE$54)),1,0)))/Brand_Profile!$G$60*100,0)))</f>
      </c>
      <c r="X54" s="18">
        <f>IF(NOT(AND(ISTEXT(KOL_Source_Data!$Q$6),KOL_Source_Data!$Q$6&lt;&gt;"N/A")),"N/A",Lookup_Lists!$D$150)</f>
      </c>
      <c r="Y54" s="29">
        <f>IF((IF(ISNUMBER(Matching_Engine!$U$54),Lookup_Lists!$D$335,0)+IF(ISNUMBER(Matching_Engine!$V$54),Lookup_Lists!$D$122,0)+IF(ISNUMBER(Matching_Engine!$W$54),Lookup_Lists!$D$336,0)+IF(ISNUMBER(Matching_Engine!$X$54),Lookup_Lists!$D$124,0))=0,"N/A",ROUND((IF(ISNUMBER(Matching_Engine!$U$54),Matching_Engine!$U$54*Lookup_Lists!$D$335,0)+IF(ISNUMBER(Matching_Engine!$V$54),Matching_Engine!$V$54*Lookup_Lists!$D$122,0)+IF(ISNUMBER(Matching_Engine!$W$54),Matching_Engine!$W$54*Lookup_Lists!$D$336,0)+IF(ISNUMBER(Matching_Engine!$X$54),Matching_Engine!$X$54*Lookup_Lists!$D$124,0))/(IF(ISNUMBER(Matching_Engine!$U$54),Lookup_Lists!$D$335,0)+IF(ISNUMBER(Matching_Engine!$V$54),Lookup_Lists!$D$122,0)+IF(ISNUMBER(Matching_Engine!$W$54),Lookup_Lists!$D$336,0)+IF(ISNUMBER(Matching_Engine!$X$54),Lookup_Lists!$D$124,0)),0))</f>
      </c>
      <c r="Z54" s="11">
        <f>IF(ISNUMBER(Matching_Engine!$Y$54),1,0)</f>
      </c>
      <c r="AA54" s="18">
        <f>IF(NOT(AND(ISTEXT(KOL_Source_Data!$Q$6),KOL_Source_Data!$Q$6&lt;&gt;"N/A")),"N/A",Lookup_Lists!$D$150)</f>
      </c>
      <c r="AB54" s="18">
        <f>IF(NOT(AND(ISTEXT(KOL_Source_Data!$Q$6),KOL_Source_Data!$Q$6&lt;&gt;"N/A")),"N/A",Lookup_Lists!$D$150)</f>
      </c>
      <c r="AC54" s="18">
        <f>"N/A"</f>
      </c>
      <c r="AD54" s="18">
        <f>IF(NOT(AND(ISTEXT(KOL_Source_Data!$Q$6),KOL_Source_Data!$Q$6&lt;&gt;"N/A")),"N/A",Lookup_Lists!$D$150)</f>
      </c>
      <c r="AE54" s="29">
        <f>IF((IF(ISNUMBER(Matching_Engine!$AA$54),Lookup_Lists!$D$125,0)+IF(ISNUMBER(Matching_Engine!$AB$54),Lookup_Lists!$D$126,0)+IF(ISNUMBER(Matching_Engine!$AC$54),Lookup_Lists!$D$127,0)+IF(ISNUMBER(Matching_Engine!$AD$54),Lookup_Lists!$D$128,0))=0,"N/A",ROUND((IF(ISNUMBER(Matching_Engine!$AA$54),Matching_Engine!$AA$54*Lookup_Lists!$D$125,0)+IF(ISNUMBER(Matching_Engine!$AB$54),Matching_Engine!$AB$54*Lookup_Lists!$D$126,0)+IF(ISNUMBER(Matching_Engine!$AC$54),Matching_Engine!$AC$54*Lookup_Lists!$D$127,0)+IF(ISNUMBER(Matching_Engine!$AD$54),Matching_Engine!$AD$54*Lookup_Lists!$D$128,0))/(IF(ISNUMBER(Matching_Engine!$AA$54),Lookup_Lists!$D$125,0)+IF(ISNUMBER(Matching_Engine!$AB$54),Lookup_Lists!$D$126,0)+IF(ISNUMBER(Matching_Engine!$AC$54),Lookup_Lists!$D$127,0)+IF(ISNUMBER(Matching_Engine!$AD$54),Lookup_Lists!$D$128,0)),0))</f>
      </c>
      <c r="AF54" s="11">
        <f>IF(ISNUMBER(Matching_Engine!$AE$54),1,0)</f>
      </c>
      <c r="AG54" s="18">
        <f>IF(NOT(ISNUMBER(KOL_Source_Data!$BG$6)),"N/A",MIN(100,ROUND(KOL_Source_Data!$BG$6/IFERROR(INDEX(Lookup_Lists!$B$340:$B$344,MATCH(KOL_Source_Data!$H$6,Lookup_Lists!$A$340:$A$344,0)),Lookup_Lists!$D$141)*100,0)))</f>
      </c>
      <c r="AH54" s="18">
        <f>IF(NOT(ISNUMBER(KOL_Source_Data!$BS$6)),"N/A",MIN(100,MAX(0,KOL_Source_Data!$BS$6)))</f>
      </c>
      <c r="AI54" s="18">
        <f>IF(OR(NOT(ISNUMBER(KOL_Source_Data!$BM$6)),NOT(ISNUMBER(KOL_Source_Data!$BN$6)),KOL_Source_Data!$BN$6&lt;Lookup_Lists!$D$320),"N/A",MIN(100,ROUND(KOL_Source_Data!$BM$6/Lookup_Lists!$D$319*100,0)))</f>
      </c>
      <c r="AJ54" s="18">
        <f>IF(NOT(ISNUMBER(KOL_Source_Data!$BR$6)),"N/A",KOL_Source_Data!$BR$6)</f>
      </c>
      <c r="AK54" s="18">
        <f>IF(NOT(ISNUMBER(KOL_Source_Data!$BK$6)),"N/A",MIN(100,ROUND(KOL_Source_Data!$BK$6/Lookup_Lists!$D$321*100,0)))</f>
      </c>
      <c r="AL54" s="18">
        <f>IF(NOT(ISNUMBER(KOL_Source_Data!$BP$6)),"N/A",MIN(100,MAX(0,ROUND((KOL_Source_Data!$BP$6+2)/(Lookup_Lists!$D$145+2)*100,0))))</f>
      </c>
      <c r="AM54" s="29">
        <f>IF((IF(ISNUMBER(Matching_Engine!$AG$54),Lookup_Lists!$D$129,0)+IF(ISNUMBER(Matching_Engine!$AH$54),Lookup_Lists!$D$130,0)+IF(ISNUMBER(Matching_Engine!$AI$54),Lookup_Lists!$D$131,0)+IF(ISNUMBER(Matching_Engine!$AJ$54),Lookup_Lists!$D$132,0)+IF(ISNUMBER(Matching_Engine!$AK$54),Lookup_Lists!$D$133,0)+IF(ISNUMBER(Matching_Engine!$AL$54),Lookup_Lists!$D$134,0))=0,"N/A",ROUND((IF(ISNUMBER(Matching_Engine!$AG$54),Matching_Engine!$AG$54*Lookup_Lists!$D$129,0)+IF(ISNUMBER(Matching_Engine!$AH$54),Matching_Engine!$AH$54*Lookup_Lists!$D$130,0)+IF(ISNUMBER(Matching_Engine!$AI$54),Matching_Engine!$AI$54*Lookup_Lists!$D$131,0)+IF(ISNUMBER(Matching_Engine!$AJ$54),Matching_Engine!$AJ$54*Lookup_Lists!$D$132,0)+IF(ISNUMBER(Matching_Engine!$AK$54),Matching_Engine!$AK$54*Lookup_Lists!$D$133,0)+IF(ISNUMBER(Matching_Engine!$AL$54),Matching_Engine!$AL$54*Lookup_Lists!$D$134,0))/(IF(ISNUMBER(Matching_Engine!$AG$54),Lookup_Lists!$D$129,0)+IF(ISNUMBER(Matching_Engine!$AH$54),Lookup_Lists!$D$130,0)+IF(ISNUMBER(Matching_Engine!$AI$54),Lookup_Lists!$D$131,0)+IF(ISNUMBER(Matching_Engine!$AJ$54),Lookup_Lists!$D$132,0)+IF(ISNUMBER(Matching_Engine!$AK$54),Lookup_Lists!$D$133,0)+IF(ISNUMBER(Matching_Engine!$AL$54),Lookup_Lists!$D$134,0)),0))</f>
      </c>
      <c r="AN54" s="11">
        <f>IF(ISNUMBER(Matching_Engine!$AM$54),1,0)</f>
      </c>
      <c r="AO54" s="18">
        <f>IF(NOT(ISNUMBER(KOL_Source_Data!$BT$6)),"N/A",MIN(100,MAX(0,KOL_Source_Data!$BT$6)))</f>
      </c>
      <c r="AP54" s="18">
        <f>IF(NOT(ISNUMBER(KOL_Source_Data!$BU$6)),"N/A",MIN(100,MAX(0,KOL_Source_Data!$BU$6)))</f>
      </c>
      <c r="AQ54" s="18">
        <f>IF(KOL_Source_Data!$I$6="Yes",Lookup_Lists!$D$326,IF(KOL_Source_Data!$I$6="No",Lookup_Lists!$D$327,"N/A"))</f>
      </c>
      <c r="AR54" s="18">
        <f>IF(NOT(ISNUMBER(KOL_Source_Data!$BQ$6)),"N/A",MAX(0,ROUND(100-KOL_Source_Data!$BQ$6/Lookup_Lists!$D$328*100,0)))</f>
      </c>
      <c r="AS54" s="18">
        <f>IF(NOT(AND(ISTEXT(KOL_Source_Data!$BV$6),KOL_Source_Data!$BV$6&lt;&gt;"N/A")),"N/A",KOL_Source_Data!$BV$6)</f>
      </c>
      <c r="AT54" s="29">
        <f>IF((IF(ISNUMBER(Matching_Engine!$AO$54),Lookup_Lists!$D$322,0)+IF(ISNUMBER(Matching_Engine!$AP$54),Lookup_Lists!$D$323,0)+IF(ISNUMBER(Matching_Engine!$AQ$54),Lookup_Lists!$D$324,0)+IF(ISNUMBER(Matching_Engine!$AR$54),Lookup_Lists!$D$325,0))=0,"N/A",ROUND((IF(ISNUMBER(Matching_Engine!$AO$54),Matching_Engine!$AO$54*Lookup_Lists!$D$322,0)+IF(ISNUMBER(Matching_Engine!$AP$54),Matching_Engine!$AP$54*Lookup_Lists!$D$323,0)+IF(ISNUMBER(Matching_Engine!$AQ$54),Matching_Engine!$AQ$54*Lookup_Lists!$D$324,0)+IF(ISNUMBER(Matching_Engine!$AR$54),Matching_Engine!$AR$54*Lookup_Lists!$D$325,0))/(IF(ISNUMBER(Matching_Engine!$AO$54),Lookup_Lists!$D$322,0)+IF(ISNUMBER(Matching_Engine!$AP$54),Lookup_Lists!$D$323,0)+IF(ISNUMBER(Matching_Engine!$AQ$54),Lookup_Lists!$D$324,0)+IF(ISNUMBER(Matching_Engine!$AR$54),Lookup_Lists!$D$325,0)),0))</f>
      </c>
      <c r="AU54" s="11">
        <f>IF(ISNUMBER(Matching_Engine!$AT$54),1,0)</f>
      </c>
      <c r="AV54" s="11">
        <f>IF(NOT(ISNUMBER(Matching_Engine!$AT$54)),"Not Screened",IF(Matching_Engine!$AT$54&gt;=Lookup_Lists!$D$329,"Low Risk",IF(Matching_Engine!$AT$54&gt;=Lookup_Lists!$D$330,"Moderate Risk",IF(Matching_Engine!$AT$54&gt;=Lookup_Lists!$D$331,"Elevated Risk","High Risk"))))</f>
      </c>
      <c r="AW54" s="11">
        <f>IF(NOT(ISNUMBER(Matching_Engine!$AT$54)),"No integrity signal: no audience-analysis row for this account.","Integrity screen only — no content-risk reading exists (comments_analysis: 0 rows). "&amp;IF(ISNUMBER(Matching_Engine!$AO$54),"Authenticity "&amp;Matching_Engine!$AO$54&amp;". ","Authenticity N/A. ")&amp;IF(ISNUMBER(Matching_Engine!$AP$54),"Follower quality "&amp;Matching_Engine!$AP$54&amp;". ","Follower quality N/A. ")&amp;IF(KOL_Source_Data!$I$6="Yes","Platform-verified.","Not platform-verified."))</f>
      </c>
      <c r="AX54" s="18">
        <f>Matching_Engine!$N$54*Lookup_Lists!$D$104+Matching_Engine!$T$54*Lookup_Lists!$D$105+Matching_Engine!$Z$54*Lookup_Lists!$D$106+Matching_Engine!$AF$54*Lookup_Lists!$D$107+Matching_Engine!$AN$54*Lookup_Lists!$D$108+Matching_Engine!$AU$54*Lookup_Lists!$D$109</f>
      </c>
      <c r="AY54" s="30">
        <f>IF(Matching_Engine!$AX$54=0,"N/A",ROUND((IF(Matching_Engine!$N$54=1,Matching_Engine!$M$54*Lookup_Lists!$D$104,0)+IF(Matching_Engine!$T$54=1,Matching_Engine!$S$54*Lookup_Lists!$D$105,0)+IF(Matching_Engine!$Z$54=1,Matching_Engine!$Y$54*Lookup_Lists!$D$106,0)+IF(Matching_Engine!$AF$54=1,Matching_Engine!$AE$54*Lookup_Lists!$D$107,0)+IF(Matching_Engine!$AN$54=1,Matching_Engine!$AM$54*Lookup_Lists!$D$108,0)+IF(Matching_Engine!$AU$54=1,Matching_Engine!$AT$54*Lookup_Lists!$D$109,0))/Matching_Engine!$AX$54,0))</f>
      </c>
      <c r="AZ54" s="11">
        <f>IF(NOT(ISNUMBER(Matching_Engine!$AY$54)),"Not Scored",IF(Matching_Engine!$AY$54&gt;=Lookup_Lists!$D$152,"Excellent Match",IF(Matching_Engine!$AY$54&gt;=Lookup_Lists!$D$153,"Strong Match",IF(Matching_Engine!$AY$54&gt;=Lookup_Lists!$D$154,"Good Match",IF(Matching_Engine!$AY$54&gt;=Lookup_Lists!$D$155,"Moderate Match","Low Match")))))</f>
      </c>
      <c r="BA54" s="18">
        <f>KOL_Source_Data!$BW$6</f>
      </c>
      <c r="BB54" s="11">
        <f>KOL_Source_Data!$BX$6</f>
      </c>
      <c r="BC54" s="18">
        <f>IF(NOT(ISNUMBER(Matching_Engine!$AY$54)),-1,Matching_Engine!$AY$54*1000+24)</f>
      </c>
      <c r="BD54" s="11">
        <f>IF(AND(ISTEXT(KOL_Source_Data!$S$6),KOL_Source_Data!$S$6&lt;&gt;"N/A"),KOL_Source_Data!$S$6,"")&amp;" | "&amp;IF(AND(ISTEXT(KOL_Source_Data!$T$6),KOL_Source_Data!$T$6&lt;&gt;"N/A"),KOL_Source_Data!$T$6,"")&amp;" | "&amp;IF(AND(ISTEXT(KOL_Source_Data!$N$6),KOL_Source_Data!$N$6&lt;&gt;"N/A"),KOL_Source_Data!$N$6,"")&amp;" | "&amp;IF(AND(ISTEXT(KOL_Source_Data!$K$6),KOL_Source_Data!$K$6&lt;&gt;"N/A"),KOL_Source_Data!$K$6,"")&amp;" | "&amp;IF(AND(ISTEXT(KOL_Source_Data!$J$6),KOL_Source_Data!$J$6&lt;&gt;"N/A"),KOL_Source_Data!$J$6,"")</f>
      </c>
      <c r="BE54" s="11">
        <f>IF(AND(ISTEXT(KOL_Source_Data!$T$6),KOL_Source_Data!$T$6&lt;&gt;"N/A"),KOL_Source_Data!$T$6,"")&amp;" | "&amp;IF(AND(ISTEXT(KOL_Source_Data!$N$6),KOL_Source_Data!$N$6&lt;&gt;"N/A"),KOL_Source_Data!$N$6,"")&amp;" | "&amp;IF(AND(ISTEXT(KOL_Source_Data!$O$6),KOL_Source_Data!$O$6&lt;&gt;"N/A"),KOL_Source_Data!$O$6,"")&amp;" | "&amp;IF(AND(ISTEXT(KOL_Source_Data!$S$6),KOL_Source_Data!$S$6&lt;&gt;"N/A"),KOL_Source_Data!$S$6,"")</f>
      </c>
      <c r="BF54" s="11">
        <f>IF(AND(ISTEXT(KOL_Source_Data!$U$6),KOL_Source_Data!$U$6&lt;&gt;"N/A"),KOL_Source_Data!$U$6,"")</f>
      </c>
      <c r="BG54" s="11">
        <f>Matching_Engine!$A$54&amp;"|"&amp;Matching_Engine!$C$54</f>
      </c>
    </row>
    <row r="55" spans="1:59" x14ac:dyDescent="0.25">
      <c r="A55" s="10" t="s">
        <v>392</v>
      </c>
      <c r="B55" s="11">
        <f>Brand_Profile!$G$6</f>
      </c>
      <c r="C55" s="11">
        <f>KOL_Source_Data!$A$7</f>
      </c>
      <c r="D55" s="11">
        <f>KOL_Source_Data!$C$7</f>
      </c>
      <c r="E55" s="11">
        <f>KOL_Source_Data!$D$7</f>
      </c>
      <c r="F55" s="11">
        <f>KOL_Source_Data!$E$7</f>
      </c>
      <c r="G55" s="11">
        <f>KOL_Source_Data!$K$7</f>
      </c>
      <c r="H55" s="12">
        <f>KOL_Source_Data!$G$7</f>
      </c>
      <c r="I55" s="14">
        <f>KOL_Source_Data!$BG$7</f>
      </c>
      <c r="J55" s="18">
        <f>IF(NOT(AND(ISTEXT(KOL_Source_Data!$K$7),KOL_Source_Data!$K$7&lt;&gt;"N/A")),Lookup_Lists!$D$150,IF(Brand_Profile!$G$7=KOL_Source_Data!$K$7,100,IFERROR(INDEX(Lookup_Lists!$B$349:$J$357,MATCH(Brand_Profile!$G$7,Lookup_Lists!$A$349:$A$357,0),MATCH(KOL_Source_Data!$K$7,Lookup_Lists!$B$348:$J$348,0)),Lookup_Lists!$D$151)))</f>
      </c>
      <c r="K55" s="18">
        <f>IF(LEN(TRIM(SUBSTITUTE(Matching_Engine!$BD$55,"|","")))=0,"N/A",IF(Brand_Profile!$G$47=0,Lookup_Lists!$D$150,ROUND((IF(Brand_Profile!$G$41="",0,IF(ISNUMBER(SEARCH(Brand_Profile!$G$41,Matching_Engine!$BD$55)),1,0))+IF(Brand_Profile!$G$42="",0,IF(ISNUMBER(SEARCH(Brand_Profile!$G$42,Matching_Engine!$BD$55)),1,0))+IF(Brand_Profile!$G$43="",0,IF(ISNUMBER(SEARCH(Brand_Profile!$G$43,Matching_Engine!$BD$55)),1,0))+IF(Brand_Profile!$G$44="",0,IF(ISNUMBER(SEARCH(Brand_Profile!$G$44,Matching_Engine!$BD$55)),1,0))+IF(Brand_Profile!$G$45="",0,IF(ISNUMBER(SEARCH(Brand_Profile!$G$45,Matching_Engine!$BD$55)),1,0))+IF(Brand_Profile!$G$46="",0,IF(ISNUMBER(SEARCH(Brand_Profile!$G$46,Matching_Engine!$BD$55)),1,0)))/Brand_Profile!$G$47*100,0)))</f>
      </c>
      <c r="L55" s="18">
        <f>IF(NOT(AND(ISTEXT(KOL_Source_Data!$U$7),KOL_Source_Data!$U$7&lt;&gt;"N/A")),"N/A",IF(Brand_Profile!$G$53=0,Lookup_Lists!$D$150,ROUND((IF(Brand_Profile!$G$48="",0,IF(ISNUMBER(SEARCH(Brand_Profile!$G$48,Matching_Engine!$BF$55)),1,0))+IF(Brand_Profile!$G$49="",0,IF(ISNUMBER(SEARCH(Brand_Profile!$G$49,Matching_Engine!$BF$55)),1,0))+IF(Brand_Profile!$G$50="",0,IF(ISNUMBER(SEARCH(Brand_Profile!$G$50,Matching_Engine!$BF$55)),1,0))+IF(Brand_Profile!$G$51="",0,IF(ISNUMBER(SEARCH(Brand_Profile!$G$51,Matching_Engine!$BF$55)),1,0))+IF(Brand_Profile!$G$52="",0,IF(ISNUMBER(SEARCH(Brand_Profile!$G$52,Matching_Engine!$BF$55)),1,0)))/Brand_Profile!$G$53*100,0)))</f>
      </c>
      <c r="M55" s="29">
        <f>IF((IF(ISNUMBER(Matching_Engine!$J$55),Lookup_Lists!$D$332,0)+IF(ISNUMBER(Matching_Engine!$K$55),Lookup_Lists!$D$333,0)+IF(ISNUMBER(Matching_Engine!$L$55),Lookup_Lists!$D$334,0))=0,"N/A",ROUND((IF(ISNUMBER(Matching_Engine!$J$55),Matching_Engine!$J$55*Lookup_Lists!$D$332,0)+IF(ISNUMBER(Matching_Engine!$K$55),Matching_Engine!$K$55*Lookup_Lists!$D$333,0)+IF(ISNUMBER(Matching_Engine!$L$55),Matching_Engine!$L$55*Lookup_Lists!$D$334,0))/(IF(ISNUMBER(Matching_Engine!$J$55),Lookup_Lists!$D$332,0)+IF(ISNUMBER(Matching_Engine!$K$55),Lookup_Lists!$D$333,0)+IF(ISNUMBER(Matching_Engine!$L$55),Lookup_Lists!$D$334,0)),0))</f>
      </c>
      <c r="N55" s="11">
        <f>IF(ISNUMBER(Matching_Engine!$M$55),1,0)</f>
      </c>
      <c r="O55" s="18">
        <f>IF(NOT(ISNUMBER(IFERROR(INDEX(KOL_Source_Data!$V$7:KOL_Source_Data!$Z$7,1,MATCH(Brand_Profile!$G$11,Lookup_Lists!$F$6:$F$10,0)),""))),"N/A",MIN(100,ROUND((IFERROR(INDEX(KOL_Source_Data!$V$7:KOL_Source_Data!$Z$7,1,MATCH(Brand_Profile!$G$11,Lookup_Lists!$F$6:$F$10,0)),"")+0.5*IF(ISNUMBER(IFERROR(INDEX(KOL_Source_Data!$V$7:KOL_Source_Data!$Z$7,1,MATCH(Brand_Profile!$G$12,Lookup_Lists!$F$6:$F$10,0)),"")),IFERROR(INDEX(KOL_Source_Data!$V$7:KOL_Source_Data!$Z$7,1,MATCH(Brand_Profile!$G$12,Lookup_Lists!$F$6:$F$10,0)),""),0))/Lookup_Lists!$D$142*100,0)))</f>
      </c>
      <c r="P55" s="18">
        <f>IF(Brand_Profile!$G$13="Any",100,IF(NOT(ISNUMBER(KOL_Source_Data!$AA$7)),"N/A",IF(Brand_Profile!$G$13="Female",MIN(100,ROUND(KOL_Source_Data!$AA$7/Lookup_Lists!$D$143*100,0)),IF(Brand_Profile!$G$13="Male",MIN(100,ROUND(IF(ISNUMBER(KOL_Source_Data!$AB$7),KOL_Source_Data!$AB$7,100-KOL_Source_Data!$AA$7)/Lookup_Lists!$D$143*100,0)),MAX(0,ROUND(100-ABS(KOL_Source_Data!$AA$7-50)*2,0))))))</f>
      </c>
      <c r="Q55" s="18">
        <f>IF((IF(ISNUMBER(IF(NOT(ISNUMBER(KOL_Source_Data!$AE$7)),"N/A",IF(KOL_Source_Data!$AD$7&lt;&gt;Brand_Profile!$G$14,Lookup_Lists!$D$151,MIN(100,ROUND(KOL_Source_Data!$AE$7/Lookup_Lists!$D$316*100,0))))),Lookup_Lists!$D$118,0)+IF(ISNUMBER(IF(NOT(ISNUMBER(KOL_Source_Data!$AM$7)),"N/A",MIN(100,ROUND((IF(KOL_Source_Data!$AG$7=Brand_Profile!$G$15,IF(ISNUMBER(KOL_Source_Data!$AH$7),KOL_Source_Data!$AH$7,0),0)+IF(KOL_Source_Data!$AI$7=Brand_Profile!$G$15,IF(ISNUMBER(KOL_Source_Data!$AJ$7),KOL_Source_Data!$AJ$7,0),0)+IF(KOL_Source_Data!$AK$7=Brand_Profile!$G$15,IF(ISNUMBER(KOL_Source_Data!$AL$7),KOL_Source_Data!$AL$7,0),0))/Lookup_Lists!$D$317*100,0)))),Lookup_Lists!$D$120,0))=0,"N/A",ROUND((IF(ISNUMBER(IF(NOT(ISNUMBER(KOL_Source_Data!$AE$7)),"N/A",IF(KOL_Source_Data!$AD$7&lt;&gt;Brand_Profile!$G$14,Lookup_Lists!$D$151,MIN(100,ROUND(KOL_Source_Data!$AE$7/Lookup_Lists!$D$316*100,0))))),IF(NOT(ISNUMBER(KOL_Source_Data!$AE$7)),"N/A",IF(KOL_Source_Data!$AD$7&lt;&gt;Brand_Profile!$G$14,Lookup_Lists!$D$151,MIN(100,ROUND(KOL_Source_Data!$AE$7/Lookup_Lists!$D$316*100,0))))*Lookup_Lists!$D$118,0)+IF(ISNUMBER(IF(NOT(ISNUMBER(KOL_Source_Data!$AM$7)),"N/A",MIN(100,ROUND((IF(KOL_Source_Data!$AG$7=Brand_Profile!$G$15,IF(ISNUMBER(KOL_Source_Data!$AH$7),KOL_Source_Data!$AH$7,0),0)+IF(KOL_Source_Data!$AI$7=Brand_Profile!$G$15,IF(ISNUMBER(KOL_Source_Data!$AJ$7),KOL_Source_Data!$AJ$7,0),0)+IF(KOL_Source_Data!$AK$7=Brand_Profile!$G$15,IF(ISNUMBER(KOL_Source_Data!$AL$7),KOL_Source_Data!$AL$7,0),0))/Lookup_Lists!$D$317*100,0)))),IF(NOT(ISNUMBER(KOL_Source_Data!$AM$7)),"N/A",MIN(100,ROUND((IF(KOL_Source_Data!$AG$7=Brand_Profile!$G$15,IF(ISNUMBER(KOL_Source_Data!$AH$7),KOL_Source_Data!$AH$7,0),0)+IF(KOL_Source_Data!$AI$7=Brand_Profile!$G$15,IF(ISNUMBER(KOL_Source_Data!$AJ$7),KOL_Source_Data!$AJ$7,0),0)+IF(KOL_Source_Data!$AK$7=Brand_Profile!$G$15,IF(ISNUMBER(KOL_Source_Data!$AL$7),KOL_Source_Data!$AL$7,0),0))/Lookup_Lists!$D$317*100,0)))*Lookup_Lists!$D$120,0))/(IF(ISNUMBER(IF(NOT(ISNUMBER(KOL_Source_Data!$AE$7)),"N/A",IF(KOL_Source_Data!$AD$7&lt;&gt;Brand_Profile!$G$14,Lookup_Lists!$D$151,MIN(100,ROUND(KOL_Source_Data!$AE$7/Lookup_Lists!$D$316*100,0))))),Lookup_Lists!$D$118,0)+IF(ISNUMBER(IF(NOT(ISNUMBER(KOL_Source_Data!$AM$7)),"N/A",MIN(100,ROUND((IF(KOL_Source_Data!$AG$7=Brand_Profile!$G$15,IF(ISNUMBER(KOL_Source_Data!$AH$7),KOL_Source_Data!$AH$7,0),0)+IF(KOL_Source_Data!$AI$7=Brand_Profile!$G$15,IF(ISNUMBER(KOL_Source_Data!$AJ$7),KOL_Source_Data!$AJ$7,0),0)+IF(KOL_Source_Data!$AK$7=Brand_Profile!$G$15,IF(ISNUMBER(KOL_Source_Data!$AL$7),KOL_Source_Data!$AL$7,0),0))/Lookup_Lists!$D$317*100,0)))),Lookup_Lists!$D$120,0)),0))</f>
      </c>
      <c r="R55" s="18">
        <f>IF(NOT(ISNUMBER(KOL_Source_Data!$AN$7)),"N/A",MIN(100,ROUND((IF(ISNUMBER(KOL_Source_Data!$AO$7),KOL_Source_Data!$AO$7*Brand_Profile!$G$17,0)+IF(ISNUMBER(KOL_Source_Data!$AP$7),KOL_Source_Data!$AP$7*Brand_Profile!$G$18,0)+IF(ISNUMBER(KOL_Source_Data!$AQ$7),KOL_Source_Data!$AQ$7*Brand_Profile!$G$19,0)+IF(ISNUMBER(KOL_Source_Data!$AR$7),KOL_Source_Data!$AR$7*Brand_Profile!$G$20,0)+IF(ISNUMBER(KOL_Source_Data!$AS$7),KOL_Source_Data!$AS$7*Brand_Profile!$G$21,0)+IF(ISNUMBER(KOL_Source_Data!$AT$7),KOL_Source_Data!$AT$7*Brand_Profile!$G$22,0)+IF(ISNUMBER(KOL_Source_Data!$AU$7),KOL_Source_Data!$AU$7*Brand_Profile!$G$23,0)+IF(ISNUMBER(KOL_Source_Data!$AV$7),KOL_Source_Data!$AV$7*Brand_Profile!$G$24,0)+IF(ISNUMBER(KOL_Source_Data!$AW$7),KOL_Source_Data!$AW$7*Brand_Profile!$G$25,0)+IF(ISNUMBER(KOL_Source_Data!$AX$7),KOL_Source_Data!$AX$7*Brand_Profile!$G$26,0)+IF(ISNUMBER(KOL_Source_Data!$AY$7),KOL_Source_Data!$AY$7*Brand_Profile!$G$27,0)+IF(ISNUMBER(KOL_Source_Data!$AZ$7),KOL_Source_Data!$AZ$7*Brand_Profile!$G$28,0)+IF(ISNUMBER(KOL_Source_Data!$BA$7),KOL_Source_Data!$BA$7*Brand_Profile!$G$29,0)+IF(ISNUMBER(KOL_Source_Data!$BB$7),KOL_Source_Data!$BB$7*Brand_Profile!$G$30,0)+IF(ISNUMBER(KOL_Source_Data!$BC$7),KOL_Source_Data!$BC$7*Brand_Profile!$G$31,0)+IF(ISNUMBER(KOL_Source_Data!$BD$7),KOL_Source_Data!$BD$7*Brand_Profile!$G$32,0)+IF(ISNUMBER(KOL_Source_Data!$BE$7),KOL_Source_Data!$BE$7*Brand_Profile!$G$33,0)+IF(ISNUMBER(KOL_Source_Data!$BF$7),KOL_Source_Data!$BF$7*Brand_Profile!$G$34,0))/Lookup_Lists!$D$318*100,0)))</f>
      </c>
      <c r="S55" s="29">
        <f>IF((IF(ISNUMBER(Matching_Engine!$O$55),Lookup_Lists!$D$113,0)+IF(ISNUMBER(Matching_Engine!$P$55),Lookup_Lists!$D$114,0)+IF(ISNUMBER(Matching_Engine!$Q$55),Lookup_Lists!$D$115,0)+IF(ISNUMBER(Matching_Engine!$R$55),Lookup_Lists!$D$116,0))=0,"N/A",ROUND((IF(ISNUMBER(Matching_Engine!$O$55),Matching_Engine!$O$55*Lookup_Lists!$D$113,0)+IF(ISNUMBER(Matching_Engine!$P$55),Matching_Engine!$P$55*Lookup_Lists!$D$114,0)+IF(ISNUMBER(Matching_Engine!$Q$55),Matching_Engine!$Q$55*Lookup_Lists!$D$115,0)+IF(ISNUMBER(Matching_Engine!$R$55),Matching_Engine!$R$55*Lookup_Lists!$D$116,0))/(IF(ISNUMBER(Matching_Engine!$O$55),Lookup_Lists!$D$113,0)+IF(ISNUMBER(Matching_Engine!$P$55),Lookup_Lists!$D$114,0)+IF(ISNUMBER(Matching_Engine!$Q$55),Lookup_Lists!$D$115,0)+IF(ISNUMBER(Matching_Engine!$R$55),Lookup_Lists!$D$116,0)),0))</f>
      </c>
      <c r="T55" s="11">
        <f>IF(ISNUMBER(Matching_Engine!$S$55),1,0)</f>
      </c>
      <c r="U55" s="18">
        <f>IF(NOT(AND(ISTEXT(KOL_Source_Data!$M$7),KOL_Source_Data!$M$7&lt;&gt;"N/A")),Lookup_Lists!$D$150,IF(Brand_Profile!$G$7=KOL_Source_Data!$M$7,100,IFERROR(INDEX(Lookup_Lists!$B$349:$J$357,MATCH(Brand_Profile!$G$7,Lookup_Lists!$A$349:$A$357,0),MATCH(KOL_Source_Data!$M$7,Lookup_Lists!$B$348:$J$348,0)),Lookup_Lists!$D$151)))</f>
      </c>
      <c r="V55" s="18">
        <f>IF(NOT(AND(ISTEXT(KOL_Source_Data!$P$7),KOL_Source_Data!$P$7&lt;&gt;"N/A")),"N/A",IFERROR(INDEX(Lookup_Lists!$B$349:$J$357,MATCH(Brand_Profile!$G$7,Lookup_Lists!$A$349:$A$357,0),MATCH(KOL_Source_Data!$P$7,Lookup_Lists!$B$348:$J$348,0)),Lookup_Lists!$D$151))</f>
      </c>
      <c r="W55" s="18">
        <f>IF(LEN(TRIM(SUBSTITUTE(Matching_Engine!$BE$55,"|","")))=0,"N/A",IF(Brand_Profile!$G$60=0,Lookup_Lists!$D$150,ROUND((IF(Brand_Profile!$G$54="",0,IF(ISNUMBER(SEARCH(Brand_Profile!$G$54,Matching_Engine!$BE$55)),1,0))+IF(Brand_Profile!$G$55="",0,IF(ISNUMBER(SEARCH(Brand_Profile!$G$55,Matching_Engine!$BE$55)),1,0))+IF(Brand_Profile!$G$56="",0,IF(ISNUMBER(SEARCH(Brand_Profile!$G$56,Matching_Engine!$BE$55)),1,0))+IF(Brand_Profile!$G$57="",0,IF(ISNUMBER(SEARCH(Brand_Profile!$G$57,Matching_Engine!$BE$55)),1,0))+IF(Brand_Profile!$G$58="",0,IF(ISNUMBER(SEARCH(Brand_Profile!$G$58,Matching_Engine!$BE$55)),1,0))+IF(Brand_Profile!$G$59="",0,IF(ISNUMBER(SEARCH(Brand_Profile!$G$59,Matching_Engine!$BE$55)),1,0)))/Brand_Profile!$G$60*100,0)))</f>
      </c>
      <c r="X55" s="18">
        <f>IF(NOT(AND(ISTEXT(KOL_Source_Data!$Q$7),KOL_Source_Data!$Q$7&lt;&gt;"N/A")),"N/A",Lookup_Lists!$D$150)</f>
      </c>
      <c r="Y55" s="29">
        <f>IF((IF(ISNUMBER(Matching_Engine!$U$55),Lookup_Lists!$D$335,0)+IF(ISNUMBER(Matching_Engine!$V$55),Lookup_Lists!$D$122,0)+IF(ISNUMBER(Matching_Engine!$W$55),Lookup_Lists!$D$336,0)+IF(ISNUMBER(Matching_Engine!$X$55),Lookup_Lists!$D$124,0))=0,"N/A",ROUND((IF(ISNUMBER(Matching_Engine!$U$55),Matching_Engine!$U$55*Lookup_Lists!$D$335,0)+IF(ISNUMBER(Matching_Engine!$V$55),Matching_Engine!$V$55*Lookup_Lists!$D$122,0)+IF(ISNUMBER(Matching_Engine!$W$55),Matching_Engine!$W$55*Lookup_Lists!$D$336,0)+IF(ISNUMBER(Matching_Engine!$X$55),Matching_Engine!$X$55*Lookup_Lists!$D$124,0))/(IF(ISNUMBER(Matching_Engine!$U$55),Lookup_Lists!$D$335,0)+IF(ISNUMBER(Matching_Engine!$V$55),Lookup_Lists!$D$122,0)+IF(ISNUMBER(Matching_Engine!$W$55),Lookup_Lists!$D$336,0)+IF(ISNUMBER(Matching_Engine!$X$55),Lookup_Lists!$D$124,0)),0))</f>
      </c>
      <c r="Z55" s="11">
        <f>IF(ISNUMBER(Matching_Engine!$Y$55),1,0)</f>
      </c>
      <c r="AA55" s="18">
        <f>IF(NOT(AND(ISTEXT(KOL_Source_Data!$Q$7),KOL_Source_Data!$Q$7&lt;&gt;"N/A")),"N/A",Lookup_Lists!$D$150)</f>
      </c>
      <c r="AB55" s="18">
        <f>IF(NOT(AND(ISTEXT(KOL_Source_Data!$Q$7),KOL_Source_Data!$Q$7&lt;&gt;"N/A")),"N/A",Lookup_Lists!$D$150)</f>
      </c>
      <c r="AC55" s="18">
        <f>"N/A"</f>
      </c>
      <c r="AD55" s="18">
        <f>IF(NOT(AND(ISTEXT(KOL_Source_Data!$Q$7),KOL_Source_Data!$Q$7&lt;&gt;"N/A")),"N/A",Lookup_Lists!$D$150)</f>
      </c>
      <c r="AE55" s="29">
        <f>IF((IF(ISNUMBER(Matching_Engine!$AA$55),Lookup_Lists!$D$125,0)+IF(ISNUMBER(Matching_Engine!$AB$55),Lookup_Lists!$D$126,0)+IF(ISNUMBER(Matching_Engine!$AC$55),Lookup_Lists!$D$127,0)+IF(ISNUMBER(Matching_Engine!$AD$55),Lookup_Lists!$D$128,0))=0,"N/A",ROUND((IF(ISNUMBER(Matching_Engine!$AA$55),Matching_Engine!$AA$55*Lookup_Lists!$D$125,0)+IF(ISNUMBER(Matching_Engine!$AB$55),Matching_Engine!$AB$55*Lookup_Lists!$D$126,0)+IF(ISNUMBER(Matching_Engine!$AC$55),Matching_Engine!$AC$55*Lookup_Lists!$D$127,0)+IF(ISNUMBER(Matching_Engine!$AD$55),Matching_Engine!$AD$55*Lookup_Lists!$D$128,0))/(IF(ISNUMBER(Matching_Engine!$AA$55),Lookup_Lists!$D$125,0)+IF(ISNUMBER(Matching_Engine!$AB$55),Lookup_Lists!$D$126,0)+IF(ISNUMBER(Matching_Engine!$AC$55),Lookup_Lists!$D$127,0)+IF(ISNUMBER(Matching_Engine!$AD$55),Lookup_Lists!$D$128,0)),0))</f>
      </c>
      <c r="AF55" s="11">
        <f>IF(ISNUMBER(Matching_Engine!$AE$55),1,0)</f>
      </c>
      <c r="AG55" s="18">
        <f>IF(NOT(ISNUMBER(KOL_Source_Data!$BG$7)),"N/A",MIN(100,ROUND(KOL_Source_Data!$BG$7/IFERROR(INDEX(Lookup_Lists!$B$340:$B$344,MATCH(KOL_Source_Data!$H$7,Lookup_Lists!$A$340:$A$344,0)),Lookup_Lists!$D$141)*100,0)))</f>
      </c>
      <c r="AH55" s="18">
        <f>IF(NOT(ISNUMBER(KOL_Source_Data!$BS$7)),"N/A",MIN(100,MAX(0,KOL_Source_Data!$BS$7)))</f>
      </c>
      <c r="AI55" s="18">
        <f>IF(OR(NOT(ISNUMBER(KOL_Source_Data!$BM$7)),NOT(ISNUMBER(KOL_Source_Data!$BN$7)),KOL_Source_Data!$BN$7&lt;Lookup_Lists!$D$320),"N/A",MIN(100,ROUND(KOL_Source_Data!$BM$7/Lookup_Lists!$D$319*100,0)))</f>
      </c>
      <c r="AJ55" s="18">
        <f>IF(NOT(ISNUMBER(KOL_Source_Data!$BR$7)),"N/A",KOL_Source_Data!$BR$7)</f>
      </c>
      <c r="AK55" s="18">
        <f>IF(NOT(ISNUMBER(KOL_Source_Data!$BK$7)),"N/A",MIN(100,ROUND(KOL_Source_Data!$BK$7/Lookup_Lists!$D$321*100,0)))</f>
      </c>
      <c r="AL55" s="18">
        <f>IF(NOT(ISNUMBER(KOL_Source_Data!$BP$7)),"N/A",MIN(100,MAX(0,ROUND((KOL_Source_Data!$BP$7+2)/(Lookup_Lists!$D$145+2)*100,0))))</f>
      </c>
      <c r="AM55" s="29">
        <f>IF((IF(ISNUMBER(Matching_Engine!$AG$55),Lookup_Lists!$D$129,0)+IF(ISNUMBER(Matching_Engine!$AH$55),Lookup_Lists!$D$130,0)+IF(ISNUMBER(Matching_Engine!$AI$55),Lookup_Lists!$D$131,0)+IF(ISNUMBER(Matching_Engine!$AJ$55),Lookup_Lists!$D$132,0)+IF(ISNUMBER(Matching_Engine!$AK$55),Lookup_Lists!$D$133,0)+IF(ISNUMBER(Matching_Engine!$AL$55),Lookup_Lists!$D$134,0))=0,"N/A",ROUND((IF(ISNUMBER(Matching_Engine!$AG$55),Matching_Engine!$AG$55*Lookup_Lists!$D$129,0)+IF(ISNUMBER(Matching_Engine!$AH$55),Matching_Engine!$AH$55*Lookup_Lists!$D$130,0)+IF(ISNUMBER(Matching_Engine!$AI$55),Matching_Engine!$AI$55*Lookup_Lists!$D$131,0)+IF(ISNUMBER(Matching_Engine!$AJ$55),Matching_Engine!$AJ$55*Lookup_Lists!$D$132,0)+IF(ISNUMBER(Matching_Engine!$AK$55),Matching_Engine!$AK$55*Lookup_Lists!$D$133,0)+IF(ISNUMBER(Matching_Engine!$AL$55),Matching_Engine!$AL$55*Lookup_Lists!$D$134,0))/(IF(ISNUMBER(Matching_Engine!$AG$55),Lookup_Lists!$D$129,0)+IF(ISNUMBER(Matching_Engine!$AH$55),Lookup_Lists!$D$130,0)+IF(ISNUMBER(Matching_Engine!$AI$55),Lookup_Lists!$D$131,0)+IF(ISNUMBER(Matching_Engine!$AJ$55),Lookup_Lists!$D$132,0)+IF(ISNUMBER(Matching_Engine!$AK$55),Lookup_Lists!$D$133,0)+IF(ISNUMBER(Matching_Engine!$AL$55),Lookup_Lists!$D$134,0)),0))</f>
      </c>
      <c r="AN55" s="11">
        <f>IF(ISNUMBER(Matching_Engine!$AM$55),1,0)</f>
      </c>
      <c r="AO55" s="18">
        <f>IF(NOT(ISNUMBER(KOL_Source_Data!$BT$7)),"N/A",MIN(100,MAX(0,KOL_Source_Data!$BT$7)))</f>
      </c>
      <c r="AP55" s="18">
        <f>IF(NOT(ISNUMBER(KOL_Source_Data!$BU$7)),"N/A",MIN(100,MAX(0,KOL_Source_Data!$BU$7)))</f>
      </c>
      <c r="AQ55" s="18">
        <f>IF(KOL_Source_Data!$I$7="Yes",Lookup_Lists!$D$326,IF(KOL_Source_Data!$I$7="No",Lookup_Lists!$D$327,"N/A"))</f>
      </c>
      <c r="AR55" s="18">
        <f>IF(NOT(ISNUMBER(KOL_Source_Data!$BQ$7)),"N/A",MAX(0,ROUND(100-KOL_Source_Data!$BQ$7/Lookup_Lists!$D$328*100,0)))</f>
      </c>
      <c r="AS55" s="18">
        <f>IF(NOT(AND(ISTEXT(KOL_Source_Data!$BV$7),KOL_Source_Data!$BV$7&lt;&gt;"N/A")),"N/A",KOL_Source_Data!$BV$7)</f>
      </c>
      <c r="AT55" s="29">
        <f>IF((IF(ISNUMBER(Matching_Engine!$AO$55),Lookup_Lists!$D$322,0)+IF(ISNUMBER(Matching_Engine!$AP$55),Lookup_Lists!$D$323,0)+IF(ISNUMBER(Matching_Engine!$AQ$55),Lookup_Lists!$D$324,0)+IF(ISNUMBER(Matching_Engine!$AR$55),Lookup_Lists!$D$325,0))=0,"N/A",ROUND((IF(ISNUMBER(Matching_Engine!$AO$55),Matching_Engine!$AO$55*Lookup_Lists!$D$322,0)+IF(ISNUMBER(Matching_Engine!$AP$55),Matching_Engine!$AP$55*Lookup_Lists!$D$323,0)+IF(ISNUMBER(Matching_Engine!$AQ$55),Matching_Engine!$AQ$55*Lookup_Lists!$D$324,0)+IF(ISNUMBER(Matching_Engine!$AR$55),Matching_Engine!$AR$55*Lookup_Lists!$D$325,0))/(IF(ISNUMBER(Matching_Engine!$AO$55),Lookup_Lists!$D$322,0)+IF(ISNUMBER(Matching_Engine!$AP$55),Lookup_Lists!$D$323,0)+IF(ISNUMBER(Matching_Engine!$AQ$55),Lookup_Lists!$D$324,0)+IF(ISNUMBER(Matching_Engine!$AR$55),Lookup_Lists!$D$325,0)),0))</f>
      </c>
      <c r="AU55" s="11">
        <f>IF(ISNUMBER(Matching_Engine!$AT$55),1,0)</f>
      </c>
      <c r="AV55" s="11">
        <f>IF(NOT(ISNUMBER(Matching_Engine!$AT$55)),"Not Screened",IF(Matching_Engine!$AT$55&gt;=Lookup_Lists!$D$329,"Low Risk",IF(Matching_Engine!$AT$55&gt;=Lookup_Lists!$D$330,"Moderate Risk",IF(Matching_Engine!$AT$55&gt;=Lookup_Lists!$D$331,"Elevated Risk","High Risk"))))</f>
      </c>
      <c r="AW55" s="11">
        <f>IF(NOT(ISNUMBER(Matching_Engine!$AT$55)),"No integrity signal: no audience-analysis row for this account.","Integrity screen only — no content-risk reading exists (comments_analysis: 0 rows). "&amp;IF(ISNUMBER(Matching_Engine!$AO$55),"Authenticity "&amp;Matching_Engine!$AO$55&amp;". ","Authenticity N/A. ")&amp;IF(ISNUMBER(Matching_Engine!$AP$55),"Follower quality "&amp;Matching_Engine!$AP$55&amp;". ","Follower quality N/A. ")&amp;IF(KOL_Source_Data!$I$7="Yes","Platform-verified.","Not platform-verified."))</f>
      </c>
      <c r="AX55" s="18">
        <f>Matching_Engine!$N$55*Lookup_Lists!$D$104+Matching_Engine!$T$55*Lookup_Lists!$D$105+Matching_Engine!$Z$55*Lookup_Lists!$D$106+Matching_Engine!$AF$55*Lookup_Lists!$D$107+Matching_Engine!$AN$55*Lookup_Lists!$D$108+Matching_Engine!$AU$55*Lookup_Lists!$D$109</f>
      </c>
      <c r="AY55" s="30">
        <f>IF(Matching_Engine!$AX$55=0,"N/A",ROUND((IF(Matching_Engine!$N$55=1,Matching_Engine!$M$55*Lookup_Lists!$D$104,0)+IF(Matching_Engine!$T$55=1,Matching_Engine!$S$55*Lookup_Lists!$D$105,0)+IF(Matching_Engine!$Z$55=1,Matching_Engine!$Y$55*Lookup_Lists!$D$106,0)+IF(Matching_Engine!$AF$55=1,Matching_Engine!$AE$55*Lookup_Lists!$D$107,0)+IF(Matching_Engine!$AN$55=1,Matching_Engine!$AM$55*Lookup_Lists!$D$108,0)+IF(Matching_Engine!$AU$55=1,Matching_Engine!$AT$55*Lookup_Lists!$D$109,0))/Matching_Engine!$AX$55,0))</f>
      </c>
      <c r="AZ55" s="11">
        <f>IF(NOT(ISNUMBER(Matching_Engine!$AY$55)),"Not Scored",IF(Matching_Engine!$AY$55&gt;=Lookup_Lists!$D$152,"Excellent Match",IF(Matching_Engine!$AY$55&gt;=Lookup_Lists!$D$153,"Strong Match",IF(Matching_Engine!$AY$55&gt;=Lookup_Lists!$D$154,"Good Match",IF(Matching_Engine!$AY$55&gt;=Lookup_Lists!$D$155,"Moderate Match","Low Match")))))</f>
      </c>
      <c r="BA55" s="18">
        <f>KOL_Source_Data!$BW$7</f>
      </c>
      <c r="BB55" s="11">
        <f>KOL_Source_Data!$BX$7</f>
      </c>
      <c r="BC55" s="18">
        <f>IF(NOT(ISNUMBER(Matching_Engine!$AY$55)),-1,Matching_Engine!$AY$55*1000+23)</f>
      </c>
      <c r="BD55" s="11">
        <f>IF(AND(ISTEXT(KOL_Source_Data!$S$7),KOL_Source_Data!$S$7&lt;&gt;"N/A"),KOL_Source_Data!$S$7,"")&amp;" | "&amp;IF(AND(ISTEXT(KOL_Source_Data!$T$7),KOL_Source_Data!$T$7&lt;&gt;"N/A"),KOL_Source_Data!$T$7,"")&amp;" | "&amp;IF(AND(ISTEXT(KOL_Source_Data!$N$7),KOL_Source_Data!$N$7&lt;&gt;"N/A"),KOL_Source_Data!$N$7,"")&amp;" | "&amp;IF(AND(ISTEXT(KOL_Source_Data!$K$7),KOL_Source_Data!$K$7&lt;&gt;"N/A"),KOL_Source_Data!$K$7,"")&amp;" | "&amp;IF(AND(ISTEXT(KOL_Source_Data!$J$7),KOL_Source_Data!$J$7&lt;&gt;"N/A"),KOL_Source_Data!$J$7,"")</f>
      </c>
      <c r="BE55" s="11">
        <f>IF(AND(ISTEXT(KOL_Source_Data!$T$7),KOL_Source_Data!$T$7&lt;&gt;"N/A"),KOL_Source_Data!$T$7,"")&amp;" | "&amp;IF(AND(ISTEXT(KOL_Source_Data!$N$7),KOL_Source_Data!$N$7&lt;&gt;"N/A"),KOL_Source_Data!$N$7,"")&amp;" | "&amp;IF(AND(ISTEXT(KOL_Source_Data!$O$7),KOL_Source_Data!$O$7&lt;&gt;"N/A"),KOL_Source_Data!$O$7,"")&amp;" | "&amp;IF(AND(ISTEXT(KOL_Source_Data!$S$7),KOL_Source_Data!$S$7&lt;&gt;"N/A"),KOL_Source_Data!$S$7,"")</f>
      </c>
      <c r="BF55" s="11">
        <f>IF(AND(ISTEXT(KOL_Source_Data!$U$7),KOL_Source_Data!$U$7&lt;&gt;"N/A"),KOL_Source_Data!$U$7,"")</f>
      </c>
      <c r="BG55" s="11">
        <f>Matching_Engine!$A$55&amp;"|"&amp;Matching_Engine!$C$55</f>
      </c>
    </row>
    <row r="56" spans="1:59" x14ac:dyDescent="0.25">
      <c r="A56" s="10" t="s">
        <v>392</v>
      </c>
      <c r="B56" s="11">
        <f>Brand_Profile!$G$6</f>
      </c>
      <c r="C56" s="11">
        <f>KOL_Source_Data!$A$8</f>
      </c>
      <c r="D56" s="11">
        <f>KOL_Source_Data!$C$8</f>
      </c>
      <c r="E56" s="11">
        <f>KOL_Source_Data!$D$8</f>
      </c>
      <c r="F56" s="11">
        <f>KOL_Source_Data!$E$8</f>
      </c>
      <c r="G56" s="11">
        <f>KOL_Source_Data!$K$8</f>
      </c>
      <c r="H56" s="12">
        <f>KOL_Source_Data!$G$8</f>
      </c>
      <c r="I56" s="14">
        <f>KOL_Source_Data!$BG$8</f>
      </c>
      <c r="J56" s="18">
        <f>IF(NOT(AND(ISTEXT(KOL_Source_Data!$K$8),KOL_Source_Data!$K$8&lt;&gt;"N/A")),Lookup_Lists!$D$150,IF(Brand_Profile!$G$7=KOL_Source_Data!$K$8,100,IFERROR(INDEX(Lookup_Lists!$B$349:$J$357,MATCH(Brand_Profile!$G$7,Lookup_Lists!$A$349:$A$357,0),MATCH(KOL_Source_Data!$K$8,Lookup_Lists!$B$348:$J$348,0)),Lookup_Lists!$D$151)))</f>
      </c>
      <c r="K56" s="18">
        <f>IF(LEN(TRIM(SUBSTITUTE(Matching_Engine!$BD$56,"|","")))=0,"N/A",IF(Brand_Profile!$G$47=0,Lookup_Lists!$D$150,ROUND((IF(Brand_Profile!$G$41="",0,IF(ISNUMBER(SEARCH(Brand_Profile!$G$41,Matching_Engine!$BD$56)),1,0))+IF(Brand_Profile!$G$42="",0,IF(ISNUMBER(SEARCH(Brand_Profile!$G$42,Matching_Engine!$BD$56)),1,0))+IF(Brand_Profile!$G$43="",0,IF(ISNUMBER(SEARCH(Brand_Profile!$G$43,Matching_Engine!$BD$56)),1,0))+IF(Brand_Profile!$G$44="",0,IF(ISNUMBER(SEARCH(Brand_Profile!$G$44,Matching_Engine!$BD$56)),1,0))+IF(Brand_Profile!$G$45="",0,IF(ISNUMBER(SEARCH(Brand_Profile!$G$45,Matching_Engine!$BD$56)),1,0))+IF(Brand_Profile!$G$46="",0,IF(ISNUMBER(SEARCH(Brand_Profile!$G$46,Matching_Engine!$BD$56)),1,0)))/Brand_Profile!$G$47*100,0)))</f>
      </c>
      <c r="L56" s="18">
        <f>IF(NOT(AND(ISTEXT(KOL_Source_Data!$U$8),KOL_Source_Data!$U$8&lt;&gt;"N/A")),"N/A",IF(Brand_Profile!$G$53=0,Lookup_Lists!$D$150,ROUND((IF(Brand_Profile!$G$48="",0,IF(ISNUMBER(SEARCH(Brand_Profile!$G$48,Matching_Engine!$BF$56)),1,0))+IF(Brand_Profile!$G$49="",0,IF(ISNUMBER(SEARCH(Brand_Profile!$G$49,Matching_Engine!$BF$56)),1,0))+IF(Brand_Profile!$G$50="",0,IF(ISNUMBER(SEARCH(Brand_Profile!$G$50,Matching_Engine!$BF$56)),1,0))+IF(Brand_Profile!$G$51="",0,IF(ISNUMBER(SEARCH(Brand_Profile!$G$51,Matching_Engine!$BF$56)),1,0))+IF(Brand_Profile!$G$52="",0,IF(ISNUMBER(SEARCH(Brand_Profile!$G$52,Matching_Engine!$BF$56)),1,0)))/Brand_Profile!$G$53*100,0)))</f>
      </c>
      <c r="M56" s="29">
        <f>IF((IF(ISNUMBER(Matching_Engine!$J$56),Lookup_Lists!$D$332,0)+IF(ISNUMBER(Matching_Engine!$K$56),Lookup_Lists!$D$333,0)+IF(ISNUMBER(Matching_Engine!$L$56),Lookup_Lists!$D$334,0))=0,"N/A",ROUND((IF(ISNUMBER(Matching_Engine!$J$56),Matching_Engine!$J$56*Lookup_Lists!$D$332,0)+IF(ISNUMBER(Matching_Engine!$K$56),Matching_Engine!$K$56*Lookup_Lists!$D$333,0)+IF(ISNUMBER(Matching_Engine!$L$56),Matching_Engine!$L$56*Lookup_Lists!$D$334,0))/(IF(ISNUMBER(Matching_Engine!$J$56),Lookup_Lists!$D$332,0)+IF(ISNUMBER(Matching_Engine!$K$56),Lookup_Lists!$D$333,0)+IF(ISNUMBER(Matching_Engine!$L$56),Lookup_Lists!$D$334,0)),0))</f>
      </c>
      <c r="N56" s="11">
        <f>IF(ISNUMBER(Matching_Engine!$M$56),1,0)</f>
      </c>
      <c r="O56" s="18">
        <f>IF(NOT(ISNUMBER(IFERROR(INDEX(KOL_Source_Data!$V$8:KOL_Source_Data!$Z$8,1,MATCH(Brand_Profile!$G$11,Lookup_Lists!$F$6:$F$10,0)),""))),"N/A",MIN(100,ROUND((IFERROR(INDEX(KOL_Source_Data!$V$8:KOL_Source_Data!$Z$8,1,MATCH(Brand_Profile!$G$11,Lookup_Lists!$F$6:$F$10,0)),"")+0.5*IF(ISNUMBER(IFERROR(INDEX(KOL_Source_Data!$V$8:KOL_Source_Data!$Z$8,1,MATCH(Brand_Profile!$G$12,Lookup_Lists!$F$6:$F$10,0)),"")),IFERROR(INDEX(KOL_Source_Data!$V$8:KOL_Source_Data!$Z$8,1,MATCH(Brand_Profile!$G$12,Lookup_Lists!$F$6:$F$10,0)),""),0))/Lookup_Lists!$D$142*100,0)))</f>
      </c>
      <c r="P56" s="18">
        <f>IF(Brand_Profile!$G$13="Any",100,IF(NOT(ISNUMBER(KOL_Source_Data!$AA$8)),"N/A",IF(Brand_Profile!$G$13="Female",MIN(100,ROUND(KOL_Source_Data!$AA$8/Lookup_Lists!$D$143*100,0)),IF(Brand_Profile!$G$13="Male",MIN(100,ROUND(IF(ISNUMBER(KOL_Source_Data!$AB$8),KOL_Source_Data!$AB$8,100-KOL_Source_Data!$AA$8)/Lookup_Lists!$D$143*100,0)),MAX(0,ROUND(100-ABS(KOL_Source_Data!$AA$8-50)*2,0))))))</f>
      </c>
      <c r="Q56" s="18">
        <f>IF((IF(ISNUMBER(IF(NOT(ISNUMBER(KOL_Source_Data!$AE$8)),"N/A",IF(KOL_Source_Data!$AD$8&lt;&gt;Brand_Profile!$G$14,Lookup_Lists!$D$151,MIN(100,ROUND(KOL_Source_Data!$AE$8/Lookup_Lists!$D$316*100,0))))),Lookup_Lists!$D$118,0)+IF(ISNUMBER(IF(NOT(ISNUMBER(KOL_Source_Data!$AM$8)),"N/A",MIN(100,ROUND((IF(KOL_Source_Data!$AG$8=Brand_Profile!$G$15,IF(ISNUMBER(KOL_Source_Data!$AH$8),KOL_Source_Data!$AH$8,0),0)+IF(KOL_Source_Data!$AI$8=Brand_Profile!$G$15,IF(ISNUMBER(KOL_Source_Data!$AJ$8),KOL_Source_Data!$AJ$8,0),0)+IF(KOL_Source_Data!$AK$8=Brand_Profile!$G$15,IF(ISNUMBER(KOL_Source_Data!$AL$8),KOL_Source_Data!$AL$8,0),0))/Lookup_Lists!$D$317*100,0)))),Lookup_Lists!$D$120,0))=0,"N/A",ROUND((IF(ISNUMBER(IF(NOT(ISNUMBER(KOL_Source_Data!$AE$8)),"N/A",IF(KOL_Source_Data!$AD$8&lt;&gt;Brand_Profile!$G$14,Lookup_Lists!$D$151,MIN(100,ROUND(KOL_Source_Data!$AE$8/Lookup_Lists!$D$316*100,0))))),IF(NOT(ISNUMBER(KOL_Source_Data!$AE$8)),"N/A",IF(KOL_Source_Data!$AD$8&lt;&gt;Brand_Profile!$G$14,Lookup_Lists!$D$151,MIN(100,ROUND(KOL_Source_Data!$AE$8/Lookup_Lists!$D$316*100,0))))*Lookup_Lists!$D$118,0)+IF(ISNUMBER(IF(NOT(ISNUMBER(KOL_Source_Data!$AM$8)),"N/A",MIN(100,ROUND((IF(KOL_Source_Data!$AG$8=Brand_Profile!$G$15,IF(ISNUMBER(KOL_Source_Data!$AH$8),KOL_Source_Data!$AH$8,0),0)+IF(KOL_Source_Data!$AI$8=Brand_Profile!$G$15,IF(ISNUMBER(KOL_Source_Data!$AJ$8),KOL_Source_Data!$AJ$8,0),0)+IF(KOL_Source_Data!$AK$8=Brand_Profile!$G$15,IF(ISNUMBER(KOL_Source_Data!$AL$8),KOL_Source_Data!$AL$8,0),0))/Lookup_Lists!$D$317*100,0)))),IF(NOT(ISNUMBER(KOL_Source_Data!$AM$8)),"N/A",MIN(100,ROUND((IF(KOL_Source_Data!$AG$8=Brand_Profile!$G$15,IF(ISNUMBER(KOL_Source_Data!$AH$8),KOL_Source_Data!$AH$8,0),0)+IF(KOL_Source_Data!$AI$8=Brand_Profile!$G$15,IF(ISNUMBER(KOL_Source_Data!$AJ$8),KOL_Source_Data!$AJ$8,0),0)+IF(KOL_Source_Data!$AK$8=Brand_Profile!$G$15,IF(ISNUMBER(KOL_Source_Data!$AL$8),KOL_Source_Data!$AL$8,0),0))/Lookup_Lists!$D$317*100,0)))*Lookup_Lists!$D$120,0))/(IF(ISNUMBER(IF(NOT(ISNUMBER(KOL_Source_Data!$AE$8)),"N/A",IF(KOL_Source_Data!$AD$8&lt;&gt;Brand_Profile!$G$14,Lookup_Lists!$D$151,MIN(100,ROUND(KOL_Source_Data!$AE$8/Lookup_Lists!$D$316*100,0))))),Lookup_Lists!$D$118,0)+IF(ISNUMBER(IF(NOT(ISNUMBER(KOL_Source_Data!$AM$8)),"N/A",MIN(100,ROUND((IF(KOL_Source_Data!$AG$8=Brand_Profile!$G$15,IF(ISNUMBER(KOL_Source_Data!$AH$8),KOL_Source_Data!$AH$8,0),0)+IF(KOL_Source_Data!$AI$8=Brand_Profile!$G$15,IF(ISNUMBER(KOL_Source_Data!$AJ$8),KOL_Source_Data!$AJ$8,0),0)+IF(KOL_Source_Data!$AK$8=Brand_Profile!$G$15,IF(ISNUMBER(KOL_Source_Data!$AL$8),KOL_Source_Data!$AL$8,0),0))/Lookup_Lists!$D$317*100,0)))),Lookup_Lists!$D$120,0)),0))</f>
      </c>
      <c r="R56" s="18">
        <f>IF(NOT(ISNUMBER(KOL_Source_Data!$AN$8)),"N/A",MIN(100,ROUND((IF(ISNUMBER(KOL_Source_Data!$AO$8),KOL_Source_Data!$AO$8*Brand_Profile!$G$17,0)+IF(ISNUMBER(KOL_Source_Data!$AP$8),KOL_Source_Data!$AP$8*Brand_Profile!$G$18,0)+IF(ISNUMBER(KOL_Source_Data!$AQ$8),KOL_Source_Data!$AQ$8*Brand_Profile!$G$19,0)+IF(ISNUMBER(KOL_Source_Data!$AR$8),KOL_Source_Data!$AR$8*Brand_Profile!$G$20,0)+IF(ISNUMBER(KOL_Source_Data!$AS$8),KOL_Source_Data!$AS$8*Brand_Profile!$G$21,0)+IF(ISNUMBER(KOL_Source_Data!$AT$8),KOL_Source_Data!$AT$8*Brand_Profile!$G$22,0)+IF(ISNUMBER(KOL_Source_Data!$AU$8),KOL_Source_Data!$AU$8*Brand_Profile!$G$23,0)+IF(ISNUMBER(KOL_Source_Data!$AV$8),KOL_Source_Data!$AV$8*Brand_Profile!$G$24,0)+IF(ISNUMBER(KOL_Source_Data!$AW$8),KOL_Source_Data!$AW$8*Brand_Profile!$G$25,0)+IF(ISNUMBER(KOL_Source_Data!$AX$8),KOL_Source_Data!$AX$8*Brand_Profile!$G$26,0)+IF(ISNUMBER(KOL_Source_Data!$AY$8),KOL_Source_Data!$AY$8*Brand_Profile!$G$27,0)+IF(ISNUMBER(KOL_Source_Data!$AZ$8),KOL_Source_Data!$AZ$8*Brand_Profile!$G$28,0)+IF(ISNUMBER(KOL_Source_Data!$BA$8),KOL_Source_Data!$BA$8*Brand_Profile!$G$29,0)+IF(ISNUMBER(KOL_Source_Data!$BB$8),KOL_Source_Data!$BB$8*Brand_Profile!$G$30,0)+IF(ISNUMBER(KOL_Source_Data!$BC$8),KOL_Source_Data!$BC$8*Brand_Profile!$G$31,0)+IF(ISNUMBER(KOL_Source_Data!$BD$8),KOL_Source_Data!$BD$8*Brand_Profile!$G$32,0)+IF(ISNUMBER(KOL_Source_Data!$BE$8),KOL_Source_Data!$BE$8*Brand_Profile!$G$33,0)+IF(ISNUMBER(KOL_Source_Data!$BF$8),KOL_Source_Data!$BF$8*Brand_Profile!$G$34,0))/Lookup_Lists!$D$318*100,0)))</f>
      </c>
      <c r="S56" s="29">
        <f>IF((IF(ISNUMBER(Matching_Engine!$O$56),Lookup_Lists!$D$113,0)+IF(ISNUMBER(Matching_Engine!$P$56),Lookup_Lists!$D$114,0)+IF(ISNUMBER(Matching_Engine!$Q$56),Lookup_Lists!$D$115,0)+IF(ISNUMBER(Matching_Engine!$R$56),Lookup_Lists!$D$116,0))=0,"N/A",ROUND((IF(ISNUMBER(Matching_Engine!$O$56),Matching_Engine!$O$56*Lookup_Lists!$D$113,0)+IF(ISNUMBER(Matching_Engine!$P$56),Matching_Engine!$P$56*Lookup_Lists!$D$114,0)+IF(ISNUMBER(Matching_Engine!$Q$56),Matching_Engine!$Q$56*Lookup_Lists!$D$115,0)+IF(ISNUMBER(Matching_Engine!$R$56),Matching_Engine!$R$56*Lookup_Lists!$D$116,0))/(IF(ISNUMBER(Matching_Engine!$O$56),Lookup_Lists!$D$113,0)+IF(ISNUMBER(Matching_Engine!$P$56),Lookup_Lists!$D$114,0)+IF(ISNUMBER(Matching_Engine!$Q$56),Lookup_Lists!$D$115,0)+IF(ISNUMBER(Matching_Engine!$R$56),Lookup_Lists!$D$116,0)),0))</f>
      </c>
      <c r="T56" s="11">
        <f>IF(ISNUMBER(Matching_Engine!$S$56),1,0)</f>
      </c>
      <c r="U56" s="18">
        <f>IF(NOT(AND(ISTEXT(KOL_Source_Data!$M$8),KOL_Source_Data!$M$8&lt;&gt;"N/A")),Lookup_Lists!$D$150,IF(Brand_Profile!$G$7=KOL_Source_Data!$M$8,100,IFERROR(INDEX(Lookup_Lists!$B$349:$J$357,MATCH(Brand_Profile!$G$7,Lookup_Lists!$A$349:$A$357,0),MATCH(KOL_Source_Data!$M$8,Lookup_Lists!$B$348:$J$348,0)),Lookup_Lists!$D$151)))</f>
      </c>
      <c r="V56" s="18">
        <f>IF(NOT(AND(ISTEXT(KOL_Source_Data!$P$8),KOL_Source_Data!$P$8&lt;&gt;"N/A")),"N/A",IFERROR(INDEX(Lookup_Lists!$B$349:$J$357,MATCH(Brand_Profile!$G$7,Lookup_Lists!$A$349:$A$357,0),MATCH(KOL_Source_Data!$P$8,Lookup_Lists!$B$348:$J$348,0)),Lookup_Lists!$D$151))</f>
      </c>
      <c r="W56" s="18">
        <f>IF(LEN(TRIM(SUBSTITUTE(Matching_Engine!$BE$56,"|","")))=0,"N/A",IF(Brand_Profile!$G$60=0,Lookup_Lists!$D$150,ROUND((IF(Brand_Profile!$G$54="",0,IF(ISNUMBER(SEARCH(Brand_Profile!$G$54,Matching_Engine!$BE$56)),1,0))+IF(Brand_Profile!$G$55="",0,IF(ISNUMBER(SEARCH(Brand_Profile!$G$55,Matching_Engine!$BE$56)),1,0))+IF(Brand_Profile!$G$56="",0,IF(ISNUMBER(SEARCH(Brand_Profile!$G$56,Matching_Engine!$BE$56)),1,0))+IF(Brand_Profile!$G$57="",0,IF(ISNUMBER(SEARCH(Brand_Profile!$G$57,Matching_Engine!$BE$56)),1,0))+IF(Brand_Profile!$G$58="",0,IF(ISNUMBER(SEARCH(Brand_Profile!$G$58,Matching_Engine!$BE$56)),1,0))+IF(Brand_Profile!$G$59="",0,IF(ISNUMBER(SEARCH(Brand_Profile!$G$59,Matching_Engine!$BE$56)),1,0)))/Brand_Profile!$G$60*100,0)))</f>
      </c>
      <c r="X56" s="18">
        <f>IF(NOT(AND(ISTEXT(KOL_Source_Data!$Q$8),KOL_Source_Data!$Q$8&lt;&gt;"N/A")),"N/A",Lookup_Lists!$D$150)</f>
      </c>
      <c r="Y56" s="29">
        <f>IF((IF(ISNUMBER(Matching_Engine!$U$56),Lookup_Lists!$D$335,0)+IF(ISNUMBER(Matching_Engine!$V$56),Lookup_Lists!$D$122,0)+IF(ISNUMBER(Matching_Engine!$W$56),Lookup_Lists!$D$336,0)+IF(ISNUMBER(Matching_Engine!$X$56),Lookup_Lists!$D$124,0))=0,"N/A",ROUND((IF(ISNUMBER(Matching_Engine!$U$56),Matching_Engine!$U$56*Lookup_Lists!$D$335,0)+IF(ISNUMBER(Matching_Engine!$V$56),Matching_Engine!$V$56*Lookup_Lists!$D$122,0)+IF(ISNUMBER(Matching_Engine!$W$56),Matching_Engine!$W$56*Lookup_Lists!$D$336,0)+IF(ISNUMBER(Matching_Engine!$X$56),Matching_Engine!$X$56*Lookup_Lists!$D$124,0))/(IF(ISNUMBER(Matching_Engine!$U$56),Lookup_Lists!$D$335,0)+IF(ISNUMBER(Matching_Engine!$V$56),Lookup_Lists!$D$122,0)+IF(ISNUMBER(Matching_Engine!$W$56),Lookup_Lists!$D$336,0)+IF(ISNUMBER(Matching_Engine!$X$56),Lookup_Lists!$D$124,0)),0))</f>
      </c>
      <c r="Z56" s="11">
        <f>IF(ISNUMBER(Matching_Engine!$Y$56),1,0)</f>
      </c>
      <c r="AA56" s="18">
        <f>IF(NOT(AND(ISTEXT(KOL_Source_Data!$Q$8),KOL_Source_Data!$Q$8&lt;&gt;"N/A")),"N/A",Lookup_Lists!$D$150)</f>
      </c>
      <c r="AB56" s="18">
        <f>IF(NOT(AND(ISTEXT(KOL_Source_Data!$Q$8),KOL_Source_Data!$Q$8&lt;&gt;"N/A")),"N/A",Lookup_Lists!$D$150)</f>
      </c>
      <c r="AC56" s="18">
        <f>"N/A"</f>
      </c>
      <c r="AD56" s="18">
        <f>IF(NOT(AND(ISTEXT(KOL_Source_Data!$Q$8),KOL_Source_Data!$Q$8&lt;&gt;"N/A")),"N/A",Lookup_Lists!$D$150)</f>
      </c>
      <c r="AE56" s="29">
        <f>IF((IF(ISNUMBER(Matching_Engine!$AA$56),Lookup_Lists!$D$125,0)+IF(ISNUMBER(Matching_Engine!$AB$56),Lookup_Lists!$D$126,0)+IF(ISNUMBER(Matching_Engine!$AC$56),Lookup_Lists!$D$127,0)+IF(ISNUMBER(Matching_Engine!$AD$56),Lookup_Lists!$D$128,0))=0,"N/A",ROUND((IF(ISNUMBER(Matching_Engine!$AA$56),Matching_Engine!$AA$56*Lookup_Lists!$D$125,0)+IF(ISNUMBER(Matching_Engine!$AB$56),Matching_Engine!$AB$56*Lookup_Lists!$D$126,0)+IF(ISNUMBER(Matching_Engine!$AC$56),Matching_Engine!$AC$56*Lookup_Lists!$D$127,0)+IF(ISNUMBER(Matching_Engine!$AD$56),Matching_Engine!$AD$56*Lookup_Lists!$D$128,0))/(IF(ISNUMBER(Matching_Engine!$AA$56),Lookup_Lists!$D$125,0)+IF(ISNUMBER(Matching_Engine!$AB$56),Lookup_Lists!$D$126,0)+IF(ISNUMBER(Matching_Engine!$AC$56),Lookup_Lists!$D$127,0)+IF(ISNUMBER(Matching_Engine!$AD$56),Lookup_Lists!$D$128,0)),0))</f>
      </c>
      <c r="AF56" s="11">
        <f>IF(ISNUMBER(Matching_Engine!$AE$56),1,0)</f>
      </c>
      <c r="AG56" s="18">
        <f>IF(NOT(ISNUMBER(KOL_Source_Data!$BG$8)),"N/A",MIN(100,ROUND(KOL_Source_Data!$BG$8/IFERROR(INDEX(Lookup_Lists!$B$340:$B$344,MATCH(KOL_Source_Data!$H$8,Lookup_Lists!$A$340:$A$344,0)),Lookup_Lists!$D$141)*100,0)))</f>
      </c>
      <c r="AH56" s="18">
        <f>IF(NOT(ISNUMBER(KOL_Source_Data!$BS$8)),"N/A",MIN(100,MAX(0,KOL_Source_Data!$BS$8)))</f>
      </c>
      <c r="AI56" s="18">
        <f>IF(OR(NOT(ISNUMBER(KOL_Source_Data!$BM$8)),NOT(ISNUMBER(KOL_Source_Data!$BN$8)),KOL_Source_Data!$BN$8&lt;Lookup_Lists!$D$320),"N/A",MIN(100,ROUND(KOL_Source_Data!$BM$8/Lookup_Lists!$D$319*100,0)))</f>
      </c>
      <c r="AJ56" s="18">
        <f>IF(NOT(ISNUMBER(KOL_Source_Data!$BR$8)),"N/A",KOL_Source_Data!$BR$8)</f>
      </c>
      <c r="AK56" s="18">
        <f>IF(NOT(ISNUMBER(KOL_Source_Data!$BK$8)),"N/A",MIN(100,ROUND(KOL_Source_Data!$BK$8/Lookup_Lists!$D$321*100,0)))</f>
      </c>
      <c r="AL56" s="18">
        <f>IF(NOT(ISNUMBER(KOL_Source_Data!$BP$8)),"N/A",MIN(100,MAX(0,ROUND((KOL_Source_Data!$BP$8+2)/(Lookup_Lists!$D$145+2)*100,0))))</f>
      </c>
      <c r="AM56" s="29">
        <f>IF((IF(ISNUMBER(Matching_Engine!$AG$56),Lookup_Lists!$D$129,0)+IF(ISNUMBER(Matching_Engine!$AH$56),Lookup_Lists!$D$130,0)+IF(ISNUMBER(Matching_Engine!$AI$56),Lookup_Lists!$D$131,0)+IF(ISNUMBER(Matching_Engine!$AJ$56),Lookup_Lists!$D$132,0)+IF(ISNUMBER(Matching_Engine!$AK$56),Lookup_Lists!$D$133,0)+IF(ISNUMBER(Matching_Engine!$AL$56),Lookup_Lists!$D$134,0))=0,"N/A",ROUND((IF(ISNUMBER(Matching_Engine!$AG$56),Matching_Engine!$AG$56*Lookup_Lists!$D$129,0)+IF(ISNUMBER(Matching_Engine!$AH$56),Matching_Engine!$AH$56*Lookup_Lists!$D$130,0)+IF(ISNUMBER(Matching_Engine!$AI$56),Matching_Engine!$AI$56*Lookup_Lists!$D$131,0)+IF(ISNUMBER(Matching_Engine!$AJ$56),Matching_Engine!$AJ$56*Lookup_Lists!$D$132,0)+IF(ISNUMBER(Matching_Engine!$AK$56),Matching_Engine!$AK$56*Lookup_Lists!$D$133,0)+IF(ISNUMBER(Matching_Engine!$AL$56),Matching_Engine!$AL$56*Lookup_Lists!$D$134,0))/(IF(ISNUMBER(Matching_Engine!$AG$56),Lookup_Lists!$D$129,0)+IF(ISNUMBER(Matching_Engine!$AH$56),Lookup_Lists!$D$130,0)+IF(ISNUMBER(Matching_Engine!$AI$56),Lookup_Lists!$D$131,0)+IF(ISNUMBER(Matching_Engine!$AJ$56),Lookup_Lists!$D$132,0)+IF(ISNUMBER(Matching_Engine!$AK$56),Lookup_Lists!$D$133,0)+IF(ISNUMBER(Matching_Engine!$AL$56),Lookup_Lists!$D$134,0)),0))</f>
      </c>
      <c r="AN56" s="11">
        <f>IF(ISNUMBER(Matching_Engine!$AM$56),1,0)</f>
      </c>
      <c r="AO56" s="18">
        <f>IF(NOT(ISNUMBER(KOL_Source_Data!$BT$8)),"N/A",MIN(100,MAX(0,KOL_Source_Data!$BT$8)))</f>
      </c>
      <c r="AP56" s="18">
        <f>IF(NOT(ISNUMBER(KOL_Source_Data!$BU$8)),"N/A",MIN(100,MAX(0,KOL_Source_Data!$BU$8)))</f>
      </c>
      <c r="AQ56" s="18">
        <f>IF(KOL_Source_Data!$I$8="Yes",Lookup_Lists!$D$326,IF(KOL_Source_Data!$I$8="No",Lookup_Lists!$D$327,"N/A"))</f>
      </c>
      <c r="AR56" s="18">
        <f>IF(NOT(ISNUMBER(KOL_Source_Data!$BQ$8)),"N/A",MAX(0,ROUND(100-KOL_Source_Data!$BQ$8/Lookup_Lists!$D$328*100,0)))</f>
      </c>
      <c r="AS56" s="18">
        <f>IF(NOT(AND(ISTEXT(KOL_Source_Data!$BV$8),KOL_Source_Data!$BV$8&lt;&gt;"N/A")),"N/A",KOL_Source_Data!$BV$8)</f>
      </c>
      <c r="AT56" s="29">
        <f>IF((IF(ISNUMBER(Matching_Engine!$AO$56),Lookup_Lists!$D$322,0)+IF(ISNUMBER(Matching_Engine!$AP$56),Lookup_Lists!$D$323,0)+IF(ISNUMBER(Matching_Engine!$AQ$56),Lookup_Lists!$D$324,0)+IF(ISNUMBER(Matching_Engine!$AR$56),Lookup_Lists!$D$325,0))=0,"N/A",ROUND((IF(ISNUMBER(Matching_Engine!$AO$56),Matching_Engine!$AO$56*Lookup_Lists!$D$322,0)+IF(ISNUMBER(Matching_Engine!$AP$56),Matching_Engine!$AP$56*Lookup_Lists!$D$323,0)+IF(ISNUMBER(Matching_Engine!$AQ$56),Matching_Engine!$AQ$56*Lookup_Lists!$D$324,0)+IF(ISNUMBER(Matching_Engine!$AR$56),Matching_Engine!$AR$56*Lookup_Lists!$D$325,0))/(IF(ISNUMBER(Matching_Engine!$AO$56),Lookup_Lists!$D$322,0)+IF(ISNUMBER(Matching_Engine!$AP$56),Lookup_Lists!$D$323,0)+IF(ISNUMBER(Matching_Engine!$AQ$56),Lookup_Lists!$D$324,0)+IF(ISNUMBER(Matching_Engine!$AR$56),Lookup_Lists!$D$325,0)),0))</f>
      </c>
      <c r="AU56" s="11">
        <f>IF(ISNUMBER(Matching_Engine!$AT$56),1,0)</f>
      </c>
      <c r="AV56" s="11">
        <f>IF(NOT(ISNUMBER(Matching_Engine!$AT$56)),"Not Screened",IF(Matching_Engine!$AT$56&gt;=Lookup_Lists!$D$329,"Low Risk",IF(Matching_Engine!$AT$56&gt;=Lookup_Lists!$D$330,"Moderate Risk",IF(Matching_Engine!$AT$56&gt;=Lookup_Lists!$D$331,"Elevated Risk","High Risk"))))</f>
      </c>
      <c r="AW56" s="11">
        <f>IF(NOT(ISNUMBER(Matching_Engine!$AT$56)),"No integrity signal: no audience-analysis row for this account.","Integrity screen only — no content-risk reading exists (comments_analysis: 0 rows). "&amp;IF(ISNUMBER(Matching_Engine!$AO$56),"Authenticity "&amp;Matching_Engine!$AO$56&amp;". ","Authenticity N/A. ")&amp;IF(ISNUMBER(Matching_Engine!$AP$56),"Follower quality "&amp;Matching_Engine!$AP$56&amp;". ","Follower quality N/A. ")&amp;IF(KOL_Source_Data!$I$8="Yes","Platform-verified.","Not platform-verified."))</f>
      </c>
      <c r="AX56" s="18">
        <f>Matching_Engine!$N$56*Lookup_Lists!$D$104+Matching_Engine!$T$56*Lookup_Lists!$D$105+Matching_Engine!$Z$56*Lookup_Lists!$D$106+Matching_Engine!$AF$56*Lookup_Lists!$D$107+Matching_Engine!$AN$56*Lookup_Lists!$D$108+Matching_Engine!$AU$56*Lookup_Lists!$D$109</f>
      </c>
      <c r="AY56" s="30">
        <f>IF(Matching_Engine!$AX$56=0,"N/A",ROUND((IF(Matching_Engine!$N$56=1,Matching_Engine!$M$56*Lookup_Lists!$D$104,0)+IF(Matching_Engine!$T$56=1,Matching_Engine!$S$56*Lookup_Lists!$D$105,0)+IF(Matching_Engine!$Z$56=1,Matching_Engine!$Y$56*Lookup_Lists!$D$106,0)+IF(Matching_Engine!$AF$56=1,Matching_Engine!$AE$56*Lookup_Lists!$D$107,0)+IF(Matching_Engine!$AN$56=1,Matching_Engine!$AM$56*Lookup_Lists!$D$108,0)+IF(Matching_Engine!$AU$56=1,Matching_Engine!$AT$56*Lookup_Lists!$D$109,0))/Matching_Engine!$AX$56,0))</f>
      </c>
      <c r="AZ56" s="11">
        <f>IF(NOT(ISNUMBER(Matching_Engine!$AY$56)),"Not Scored",IF(Matching_Engine!$AY$56&gt;=Lookup_Lists!$D$152,"Excellent Match",IF(Matching_Engine!$AY$56&gt;=Lookup_Lists!$D$153,"Strong Match",IF(Matching_Engine!$AY$56&gt;=Lookup_Lists!$D$154,"Good Match",IF(Matching_Engine!$AY$56&gt;=Lookup_Lists!$D$155,"Moderate Match","Low Match")))))</f>
      </c>
      <c r="BA56" s="18">
        <f>KOL_Source_Data!$BW$8</f>
      </c>
      <c r="BB56" s="11">
        <f>KOL_Source_Data!$BX$8</f>
      </c>
      <c r="BC56" s="18">
        <f>IF(NOT(ISNUMBER(Matching_Engine!$AY$56)),-1,Matching_Engine!$AY$56*1000+22)</f>
      </c>
      <c r="BD56" s="11">
        <f>IF(AND(ISTEXT(KOL_Source_Data!$S$8),KOL_Source_Data!$S$8&lt;&gt;"N/A"),KOL_Source_Data!$S$8,"")&amp;" | "&amp;IF(AND(ISTEXT(KOL_Source_Data!$T$8),KOL_Source_Data!$T$8&lt;&gt;"N/A"),KOL_Source_Data!$T$8,"")&amp;" | "&amp;IF(AND(ISTEXT(KOL_Source_Data!$N$8),KOL_Source_Data!$N$8&lt;&gt;"N/A"),KOL_Source_Data!$N$8,"")&amp;" | "&amp;IF(AND(ISTEXT(KOL_Source_Data!$K$8),KOL_Source_Data!$K$8&lt;&gt;"N/A"),KOL_Source_Data!$K$8,"")&amp;" | "&amp;IF(AND(ISTEXT(KOL_Source_Data!$J$8),KOL_Source_Data!$J$8&lt;&gt;"N/A"),KOL_Source_Data!$J$8,"")</f>
      </c>
      <c r="BE56" s="11">
        <f>IF(AND(ISTEXT(KOL_Source_Data!$T$8),KOL_Source_Data!$T$8&lt;&gt;"N/A"),KOL_Source_Data!$T$8,"")&amp;" | "&amp;IF(AND(ISTEXT(KOL_Source_Data!$N$8),KOL_Source_Data!$N$8&lt;&gt;"N/A"),KOL_Source_Data!$N$8,"")&amp;" | "&amp;IF(AND(ISTEXT(KOL_Source_Data!$O$8),KOL_Source_Data!$O$8&lt;&gt;"N/A"),KOL_Source_Data!$O$8,"")&amp;" | "&amp;IF(AND(ISTEXT(KOL_Source_Data!$S$8),KOL_Source_Data!$S$8&lt;&gt;"N/A"),KOL_Source_Data!$S$8,"")</f>
      </c>
      <c r="BF56" s="11">
        <f>IF(AND(ISTEXT(KOL_Source_Data!$U$8),KOL_Source_Data!$U$8&lt;&gt;"N/A"),KOL_Source_Data!$U$8,"")</f>
      </c>
      <c r="BG56" s="11">
        <f>Matching_Engine!$A$56&amp;"|"&amp;Matching_Engine!$C$56</f>
      </c>
    </row>
    <row r="57" spans="1:59" x14ac:dyDescent="0.25">
      <c r="A57" s="10" t="s">
        <v>392</v>
      </c>
      <c r="B57" s="11">
        <f>Brand_Profile!$G$6</f>
      </c>
      <c r="C57" s="11">
        <f>KOL_Source_Data!$A$9</f>
      </c>
      <c r="D57" s="11">
        <f>KOL_Source_Data!$C$9</f>
      </c>
      <c r="E57" s="11">
        <f>KOL_Source_Data!$D$9</f>
      </c>
      <c r="F57" s="11">
        <f>KOL_Source_Data!$E$9</f>
      </c>
      <c r="G57" s="11">
        <f>KOL_Source_Data!$K$9</f>
      </c>
      <c r="H57" s="12">
        <f>KOL_Source_Data!$G$9</f>
      </c>
      <c r="I57" s="14">
        <f>KOL_Source_Data!$BG$9</f>
      </c>
      <c r="J57" s="18">
        <f>IF(NOT(AND(ISTEXT(KOL_Source_Data!$K$9),KOL_Source_Data!$K$9&lt;&gt;"N/A")),Lookup_Lists!$D$150,IF(Brand_Profile!$G$7=KOL_Source_Data!$K$9,100,IFERROR(INDEX(Lookup_Lists!$B$349:$J$357,MATCH(Brand_Profile!$G$7,Lookup_Lists!$A$349:$A$357,0),MATCH(KOL_Source_Data!$K$9,Lookup_Lists!$B$348:$J$348,0)),Lookup_Lists!$D$151)))</f>
      </c>
      <c r="K57" s="18">
        <f>IF(LEN(TRIM(SUBSTITUTE(Matching_Engine!$BD$57,"|","")))=0,"N/A",IF(Brand_Profile!$G$47=0,Lookup_Lists!$D$150,ROUND((IF(Brand_Profile!$G$41="",0,IF(ISNUMBER(SEARCH(Brand_Profile!$G$41,Matching_Engine!$BD$57)),1,0))+IF(Brand_Profile!$G$42="",0,IF(ISNUMBER(SEARCH(Brand_Profile!$G$42,Matching_Engine!$BD$57)),1,0))+IF(Brand_Profile!$G$43="",0,IF(ISNUMBER(SEARCH(Brand_Profile!$G$43,Matching_Engine!$BD$57)),1,0))+IF(Brand_Profile!$G$44="",0,IF(ISNUMBER(SEARCH(Brand_Profile!$G$44,Matching_Engine!$BD$57)),1,0))+IF(Brand_Profile!$G$45="",0,IF(ISNUMBER(SEARCH(Brand_Profile!$G$45,Matching_Engine!$BD$57)),1,0))+IF(Brand_Profile!$G$46="",0,IF(ISNUMBER(SEARCH(Brand_Profile!$G$46,Matching_Engine!$BD$57)),1,0)))/Brand_Profile!$G$47*100,0)))</f>
      </c>
      <c r="L57" s="18">
        <f>IF(NOT(AND(ISTEXT(KOL_Source_Data!$U$9),KOL_Source_Data!$U$9&lt;&gt;"N/A")),"N/A",IF(Brand_Profile!$G$53=0,Lookup_Lists!$D$150,ROUND((IF(Brand_Profile!$G$48="",0,IF(ISNUMBER(SEARCH(Brand_Profile!$G$48,Matching_Engine!$BF$57)),1,0))+IF(Brand_Profile!$G$49="",0,IF(ISNUMBER(SEARCH(Brand_Profile!$G$49,Matching_Engine!$BF$57)),1,0))+IF(Brand_Profile!$G$50="",0,IF(ISNUMBER(SEARCH(Brand_Profile!$G$50,Matching_Engine!$BF$57)),1,0))+IF(Brand_Profile!$G$51="",0,IF(ISNUMBER(SEARCH(Brand_Profile!$G$51,Matching_Engine!$BF$57)),1,0))+IF(Brand_Profile!$G$52="",0,IF(ISNUMBER(SEARCH(Brand_Profile!$G$52,Matching_Engine!$BF$57)),1,0)))/Brand_Profile!$G$53*100,0)))</f>
      </c>
      <c r="M57" s="29">
        <f>IF((IF(ISNUMBER(Matching_Engine!$J$57),Lookup_Lists!$D$332,0)+IF(ISNUMBER(Matching_Engine!$K$57),Lookup_Lists!$D$333,0)+IF(ISNUMBER(Matching_Engine!$L$57),Lookup_Lists!$D$334,0))=0,"N/A",ROUND((IF(ISNUMBER(Matching_Engine!$J$57),Matching_Engine!$J$57*Lookup_Lists!$D$332,0)+IF(ISNUMBER(Matching_Engine!$K$57),Matching_Engine!$K$57*Lookup_Lists!$D$333,0)+IF(ISNUMBER(Matching_Engine!$L$57),Matching_Engine!$L$57*Lookup_Lists!$D$334,0))/(IF(ISNUMBER(Matching_Engine!$J$57),Lookup_Lists!$D$332,0)+IF(ISNUMBER(Matching_Engine!$K$57),Lookup_Lists!$D$333,0)+IF(ISNUMBER(Matching_Engine!$L$57),Lookup_Lists!$D$334,0)),0))</f>
      </c>
      <c r="N57" s="11">
        <f>IF(ISNUMBER(Matching_Engine!$M$57),1,0)</f>
      </c>
      <c r="O57" s="18">
        <f>IF(NOT(ISNUMBER(IFERROR(INDEX(KOL_Source_Data!$V$9:KOL_Source_Data!$Z$9,1,MATCH(Brand_Profile!$G$11,Lookup_Lists!$F$6:$F$10,0)),""))),"N/A",MIN(100,ROUND((IFERROR(INDEX(KOL_Source_Data!$V$9:KOL_Source_Data!$Z$9,1,MATCH(Brand_Profile!$G$11,Lookup_Lists!$F$6:$F$10,0)),"")+0.5*IF(ISNUMBER(IFERROR(INDEX(KOL_Source_Data!$V$9:KOL_Source_Data!$Z$9,1,MATCH(Brand_Profile!$G$12,Lookup_Lists!$F$6:$F$10,0)),"")),IFERROR(INDEX(KOL_Source_Data!$V$9:KOL_Source_Data!$Z$9,1,MATCH(Brand_Profile!$G$12,Lookup_Lists!$F$6:$F$10,0)),""),0))/Lookup_Lists!$D$142*100,0)))</f>
      </c>
      <c r="P57" s="18">
        <f>IF(Brand_Profile!$G$13="Any",100,IF(NOT(ISNUMBER(KOL_Source_Data!$AA$9)),"N/A",IF(Brand_Profile!$G$13="Female",MIN(100,ROUND(KOL_Source_Data!$AA$9/Lookup_Lists!$D$143*100,0)),IF(Brand_Profile!$G$13="Male",MIN(100,ROUND(IF(ISNUMBER(KOL_Source_Data!$AB$9),KOL_Source_Data!$AB$9,100-KOL_Source_Data!$AA$9)/Lookup_Lists!$D$143*100,0)),MAX(0,ROUND(100-ABS(KOL_Source_Data!$AA$9-50)*2,0))))))</f>
      </c>
      <c r="Q57" s="18">
        <f>IF((IF(ISNUMBER(IF(NOT(ISNUMBER(KOL_Source_Data!$AE$9)),"N/A",IF(KOL_Source_Data!$AD$9&lt;&gt;Brand_Profile!$G$14,Lookup_Lists!$D$151,MIN(100,ROUND(KOL_Source_Data!$AE$9/Lookup_Lists!$D$316*100,0))))),Lookup_Lists!$D$118,0)+IF(ISNUMBER(IF(NOT(ISNUMBER(KOL_Source_Data!$AM$9)),"N/A",MIN(100,ROUND((IF(KOL_Source_Data!$AG$9=Brand_Profile!$G$15,IF(ISNUMBER(KOL_Source_Data!$AH$9),KOL_Source_Data!$AH$9,0),0)+IF(KOL_Source_Data!$AI$9=Brand_Profile!$G$15,IF(ISNUMBER(KOL_Source_Data!$AJ$9),KOL_Source_Data!$AJ$9,0),0)+IF(KOL_Source_Data!$AK$9=Brand_Profile!$G$15,IF(ISNUMBER(KOL_Source_Data!$AL$9),KOL_Source_Data!$AL$9,0),0))/Lookup_Lists!$D$317*100,0)))),Lookup_Lists!$D$120,0))=0,"N/A",ROUND((IF(ISNUMBER(IF(NOT(ISNUMBER(KOL_Source_Data!$AE$9)),"N/A",IF(KOL_Source_Data!$AD$9&lt;&gt;Brand_Profile!$G$14,Lookup_Lists!$D$151,MIN(100,ROUND(KOL_Source_Data!$AE$9/Lookup_Lists!$D$316*100,0))))),IF(NOT(ISNUMBER(KOL_Source_Data!$AE$9)),"N/A",IF(KOL_Source_Data!$AD$9&lt;&gt;Brand_Profile!$G$14,Lookup_Lists!$D$151,MIN(100,ROUND(KOL_Source_Data!$AE$9/Lookup_Lists!$D$316*100,0))))*Lookup_Lists!$D$118,0)+IF(ISNUMBER(IF(NOT(ISNUMBER(KOL_Source_Data!$AM$9)),"N/A",MIN(100,ROUND((IF(KOL_Source_Data!$AG$9=Brand_Profile!$G$15,IF(ISNUMBER(KOL_Source_Data!$AH$9),KOL_Source_Data!$AH$9,0),0)+IF(KOL_Source_Data!$AI$9=Brand_Profile!$G$15,IF(ISNUMBER(KOL_Source_Data!$AJ$9),KOL_Source_Data!$AJ$9,0),0)+IF(KOL_Source_Data!$AK$9=Brand_Profile!$G$15,IF(ISNUMBER(KOL_Source_Data!$AL$9),KOL_Source_Data!$AL$9,0),0))/Lookup_Lists!$D$317*100,0)))),IF(NOT(ISNUMBER(KOL_Source_Data!$AM$9)),"N/A",MIN(100,ROUND((IF(KOL_Source_Data!$AG$9=Brand_Profile!$G$15,IF(ISNUMBER(KOL_Source_Data!$AH$9),KOL_Source_Data!$AH$9,0),0)+IF(KOL_Source_Data!$AI$9=Brand_Profile!$G$15,IF(ISNUMBER(KOL_Source_Data!$AJ$9),KOL_Source_Data!$AJ$9,0),0)+IF(KOL_Source_Data!$AK$9=Brand_Profile!$G$15,IF(ISNUMBER(KOL_Source_Data!$AL$9),KOL_Source_Data!$AL$9,0),0))/Lookup_Lists!$D$317*100,0)))*Lookup_Lists!$D$120,0))/(IF(ISNUMBER(IF(NOT(ISNUMBER(KOL_Source_Data!$AE$9)),"N/A",IF(KOL_Source_Data!$AD$9&lt;&gt;Brand_Profile!$G$14,Lookup_Lists!$D$151,MIN(100,ROUND(KOL_Source_Data!$AE$9/Lookup_Lists!$D$316*100,0))))),Lookup_Lists!$D$118,0)+IF(ISNUMBER(IF(NOT(ISNUMBER(KOL_Source_Data!$AM$9)),"N/A",MIN(100,ROUND((IF(KOL_Source_Data!$AG$9=Brand_Profile!$G$15,IF(ISNUMBER(KOL_Source_Data!$AH$9),KOL_Source_Data!$AH$9,0),0)+IF(KOL_Source_Data!$AI$9=Brand_Profile!$G$15,IF(ISNUMBER(KOL_Source_Data!$AJ$9),KOL_Source_Data!$AJ$9,0),0)+IF(KOL_Source_Data!$AK$9=Brand_Profile!$G$15,IF(ISNUMBER(KOL_Source_Data!$AL$9),KOL_Source_Data!$AL$9,0),0))/Lookup_Lists!$D$317*100,0)))),Lookup_Lists!$D$120,0)),0))</f>
      </c>
      <c r="R57" s="18">
        <f>IF(NOT(ISNUMBER(KOL_Source_Data!$AN$9)),"N/A",MIN(100,ROUND((IF(ISNUMBER(KOL_Source_Data!$AO$9),KOL_Source_Data!$AO$9*Brand_Profile!$G$17,0)+IF(ISNUMBER(KOL_Source_Data!$AP$9),KOL_Source_Data!$AP$9*Brand_Profile!$G$18,0)+IF(ISNUMBER(KOL_Source_Data!$AQ$9),KOL_Source_Data!$AQ$9*Brand_Profile!$G$19,0)+IF(ISNUMBER(KOL_Source_Data!$AR$9),KOL_Source_Data!$AR$9*Brand_Profile!$G$20,0)+IF(ISNUMBER(KOL_Source_Data!$AS$9),KOL_Source_Data!$AS$9*Brand_Profile!$G$21,0)+IF(ISNUMBER(KOL_Source_Data!$AT$9),KOL_Source_Data!$AT$9*Brand_Profile!$G$22,0)+IF(ISNUMBER(KOL_Source_Data!$AU$9),KOL_Source_Data!$AU$9*Brand_Profile!$G$23,0)+IF(ISNUMBER(KOL_Source_Data!$AV$9),KOL_Source_Data!$AV$9*Brand_Profile!$G$24,0)+IF(ISNUMBER(KOL_Source_Data!$AW$9),KOL_Source_Data!$AW$9*Brand_Profile!$G$25,0)+IF(ISNUMBER(KOL_Source_Data!$AX$9),KOL_Source_Data!$AX$9*Brand_Profile!$G$26,0)+IF(ISNUMBER(KOL_Source_Data!$AY$9),KOL_Source_Data!$AY$9*Brand_Profile!$G$27,0)+IF(ISNUMBER(KOL_Source_Data!$AZ$9),KOL_Source_Data!$AZ$9*Brand_Profile!$G$28,0)+IF(ISNUMBER(KOL_Source_Data!$BA$9),KOL_Source_Data!$BA$9*Brand_Profile!$G$29,0)+IF(ISNUMBER(KOL_Source_Data!$BB$9),KOL_Source_Data!$BB$9*Brand_Profile!$G$30,0)+IF(ISNUMBER(KOL_Source_Data!$BC$9),KOL_Source_Data!$BC$9*Brand_Profile!$G$31,0)+IF(ISNUMBER(KOL_Source_Data!$BD$9),KOL_Source_Data!$BD$9*Brand_Profile!$G$32,0)+IF(ISNUMBER(KOL_Source_Data!$BE$9),KOL_Source_Data!$BE$9*Brand_Profile!$G$33,0)+IF(ISNUMBER(KOL_Source_Data!$BF$9),KOL_Source_Data!$BF$9*Brand_Profile!$G$34,0))/Lookup_Lists!$D$318*100,0)))</f>
      </c>
      <c r="S57" s="29">
        <f>IF((IF(ISNUMBER(Matching_Engine!$O$57),Lookup_Lists!$D$113,0)+IF(ISNUMBER(Matching_Engine!$P$57),Lookup_Lists!$D$114,0)+IF(ISNUMBER(Matching_Engine!$Q$57),Lookup_Lists!$D$115,0)+IF(ISNUMBER(Matching_Engine!$R$57),Lookup_Lists!$D$116,0))=0,"N/A",ROUND((IF(ISNUMBER(Matching_Engine!$O$57),Matching_Engine!$O$57*Lookup_Lists!$D$113,0)+IF(ISNUMBER(Matching_Engine!$P$57),Matching_Engine!$P$57*Lookup_Lists!$D$114,0)+IF(ISNUMBER(Matching_Engine!$Q$57),Matching_Engine!$Q$57*Lookup_Lists!$D$115,0)+IF(ISNUMBER(Matching_Engine!$R$57),Matching_Engine!$R$57*Lookup_Lists!$D$116,0))/(IF(ISNUMBER(Matching_Engine!$O$57),Lookup_Lists!$D$113,0)+IF(ISNUMBER(Matching_Engine!$P$57),Lookup_Lists!$D$114,0)+IF(ISNUMBER(Matching_Engine!$Q$57),Lookup_Lists!$D$115,0)+IF(ISNUMBER(Matching_Engine!$R$57),Lookup_Lists!$D$116,0)),0))</f>
      </c>
      <c r="T57" s="11">
        <f>IF(ISNUMBER(Matching_Engine!$S$57),1,0)</f>
      </c>
      <c r="U57" s="18">
        <f>IF(NOT(AND(ISTEXT(KOL_Source_Data!$M$9),KOL_Source_Data!$M$9&lt;&gt;"N/A")),Lookup_Lists!$D$150,IF(Brand_Profile!$G$7=KOL_Source_Data!$M$9,100,IFERROR(INDEX(Lookup_Lists!$B$349:$J$357,MATCH(Brand_Profile!$G$7,Lookup_Lists!$A$349:$A$357,0),MATCH(KOL_Source_Data!$M$9,Lookup_Lists!$B$348:$J$348,0)),Lookup_Lists!$D$151)))</f>
      </c>
      <c r="V57" s="18">
        <f>IF(NOT(AND(ISTEXT(KOL_Source_Data!$P$9),KOL_Source_Data!$P$9&lt;&gt;"N/A")),"N/A",IFERROR(INDEX(Lookup_Lists!$B$349:$J$357,MATCH(Brand_Profile!$G$7,Lookup_Lists!$A$349:$A$357,0),MATCH(KOL_Source_Data!$P$9,Lookup_Lists!$B$348:$J$348,0)),Lookup_Lists!$D$151))</f>
      </c>
      <c r="W57" s="18">
        <f>IF(LEN(TRIM(SUBSTITUTE(Matching_Engine!$BE$57,"|","")))=0,"N/A",IF(Brand_Profile!$G$60=0,Lookup_Lists!$D$150,ROUND((IF(Brand_Profile!$G$54="",0,IF(ISNUMBER(SEARCH(Brand_Profile!$G$54,Matching_Engine!$BE$57)),1,0))+IF(Brand_Profile!$G$55="",0,IF(ISNUMBER(SEARCH(Brand_Profile!$G$55,Matching_Engine!$BE$57)),1,0))+IF(Brand_Profile!$G$56="",0,IF(ISNUMBER(SEARCH(Brand_Profile!$G$56,Matching_Engine!$BE$57)),1,0))+IF(Brand_Profile!$G$57="",0,IF(ISNUMBER(SEARCH(Brand_Profile!$G$57,Matching_Engine!$BE$57)),1,0))+IF(Brand_Profile!$G$58="",0,IF(ISNUMBER(SEARCH(Brand_Profile!$G$58,Matching_Engine!$BE$57)),1,0))+IF(Brand_Profile!$G$59="",0,IF(ISNUMBER(SEARCH(Brand_Profile!$G$59,Matching_Engine!$BE$57)),1,0)))/Brand_Profile!$G$60*100,0)))</f>
      </c>
      <c r="X57" s="18">
        <f>IF(NOT(AND(ISTEXT(KOL_Source_Data!$Q$9),KOL_Source_Data!$Q$9&lt;&gt;"N/A")),"N/A",Lookup_Lists!$D$150)</f>
      </c>
      <c r="Y57" s="29">
        <f>IF((IF(ISNUMBER(Matching_Engine!$U$57),Lookup_Lists!$D$335,0)+IF(ISNUMBER(Matching_Engine!$V$57),Lookup_Lists!$D$122,0)+IF(ISNUMBER(Matching_Engine!$W$57),Lookup_Lists!$D$336,0)+IF(ISNUMBER(Matching_Engine!$X$57),Lookup_Lists!$D$124,0))=0,"N/A",ROUND((IF(ISNUMBER(Matching_Engine!$U$57),Matching_Engine!$U$57*Lookup_Lists!$D$335,0)+IF(ISNUMBER(Matching_Engine!$V$57),Matching_Engine!$V$57*Lookup_Lists!$D$122,0)+IF(ISNUMBER(Matching_Engine!$W$57),Matching_Engine!$W$57*Lookup_Lists!$D$336,0)+IF(ISNUMBER(Matching_Engine!$X$57),Matching_Engine!$X$57*Lookup_Lists!$D$124,0))/(IF(ISNUMBER(Matching_Engine!$U$57),Lookup_Lists!$D$335,0)+IF(ISNUMBER(Matching_Engine!$V$57),Lookup_Lists!$D$122,0)+IF(ISNUMBER(Matching_Engine!$W$57),Lookup_Lists!$D$336,0)+IF(ISNUMBER(Matching_Engine!$X$57),Lookup_Lists!$D$124,0)),0))</f>
      </c>
      <c r="Z57" s="11">
        <f>IF(ISNUMBER(Matching_Engine!$Y$57),1,0)</f>
      </c>
      <c r="AA57" s="18">
        <f>IF(NOT(AND(ISTEXT(KOL_Source_Data!$Q$9),KOL_Source_Data!$Q$9&lt;&gt;"N/A")),"N/A",Lookup_Lists!$D$150)</f>
      </c>
      <c r="AB57" s="18">
        <f>IF(NOT(AND(ISTEXT(KOL_Source_Data!$Q$9),KOL_Source_Data!$Q$9&lt;&gt;"N/A")),"N/A",Lookup_Lists!$D$150)</f>
      </c>
      <c r="AC57" s="18">
        <f>"N/A"</f>
      </c>
      <c r="AD57" s="18">
        <f>IF(NOT(AND(ISTEXT(KOL_Source_Data!$Q$9),KOL_Source_Data!$Q$9&lt;&gt;"N/A")),"N/A",Lookup_Lists!$D$150)</f>
      </c>
      <c r="AE57" s="29">
        <f>IF((IF(ISNUMBER(Matching_Engine!$AA$57),Lookup_Lists!$D$125,0)+IF(ISNUMBER(Matching_Engine!$AB$57),Lookup_Lists!$D$126,0)+IF(ISNUMBER(Matching_Engine!$AC$57),Lookup_Lists!$D$127,0)+IF(ISNUMBER(Matching_Engine!$AD$57),Lookup_Lists!$D$128,0))=0,"N/A",ROUND((IF(ISNUMBER(Matching_Engine!$AA$57),Matching_Engine!$AA$57*Lookup_Lists!$D$125,0)+IF(ISNUMBER(Matching_Engine!$AB$57),Matching_Engine!$AB$57*Lookup_Lists!$D$126,0)+IF(ISNUMBER(Matching_Engine!$AC$57),Matching_Engine!$AC$57*Lookup_Lists!$D$127,0)+IF(ISNUMBER(Matching_Engine!$AD$57),Matching_Engine!$AD$57*Lookup_Lists!$D$128,0))/(IF(ISNUMBER(Matching_Engine!$AA$57),Lookup_Lists!$D$125,0)+IF(ISNUMBER(Matching_Engine!$AB$57),Lookup_Lists!$D$126,0)+IF(ISNUMBER(Matching_Engine!$AC$57),Lookup_Lists!$D$127,0)+IF(ISNUMBER(Matching_Engine!$AD$57),Lookup_Lists!$D$128,0)),0))</f>
      </c>
      <c r="AF57" s="11">
        <f>IF(ISNUMBER(Matching_Engine!$AE$57),1,0)</f>
      </c>
      <c r="AG57" s="18">
        <f>IF(NOT(ISNUMBER(KOL_Source_Data!$BG$9)),"N/A",MIN(100,ROUND(KOL_Source_Data!$BG$9/IFERROR(INDEX(Lookup_Lists!$B$340:$B$344,MATCH(KOL_Source_Data!$H$9,Lookup_Lists!$A$340:$A$344,0)),Lookup_Lists!$D$141)*100,0)))</f>
      </c>
      <c r="AH57" s="18">
        <f>IF(NOT(ISNUMBER(KOL_Source_Data!$BS$9)),"N/A",MIN(100,MAX(0,KOL_Source_Data!$BS$9)))</f>
      </c>
      <c r="AI57" s="18">
        <f>IF(OR(NOT(ISNUMBER(KOL_Source_Data!$BM$9)),NOT(ISNUMBER(KOL_Source_Data!$BN$9)),KOL_Source_Data!$BN$9&lt;Lookup_Lists!$D$320),"N/A",MIN(100,ROUND(KOL_Source_Data!$BM$9/Lookup_Lists!$D$319*100,0)))</f>
      </c>
      <c r="AJ57" s="18">
        <f>IF(NOT(ISNUMBER(KOL_Source_Data!$BR$9)),"N/A",KOL_Source_Data!$BR$9)</f>
      </c>
      <c r="AK57" s="18">
        <f>IF(NOT(ISNUMBER(KOL_Source_Data!$BK$9)),"N/A",MIN(100,ROUND(KOL_Source_Data!$BK$9/Lookup_Lists!$D$321*100,0)))</f>
      </c>
      <c r="AL57" s="18">
        <f>IF(NOT(ISNUMBER(KOL_Source_Data!$BP$9)),"N/A",MIN(100,MAX(0,ROUND((KOL_Source_Data!$BP$9+2)/(Lookup_Lists!$D$145+2)*100,0))))</f>
      </c>
      <c r="AM57" s="29">
        <f>IF((IF(ISNUMBER(Matching_Engine!$AG$57),Lookup_Lists!$D$129,0)+IF(ISNUMBER(Matching_Engine!$AH$57),Lookup_Lists!$D$130,0)+IF(ISNUMBER(Matching_Engine!$AI$57),Lookup_Lists!$D$131,0)+IF(ISNUMBER(Matching_Engine!$AJ$57),Lookup_Lists!$D$132,0)+IF(ISNUMBER(Matching_Engine!$AK$57),Lookup_Lists!$D$133,0)+IF(ISNUMBER(Matching_Engine!$AL$57),Lookup_Lists!$D$134,0))=0,"N/A",ROUND((IF(ISNUMBER(Matching_Engine!$AG$57),Matching_Engine!$AG$57*Lookup_Lists!$D$129,0)+IF(ISNUMBER(Matching_Engine!$AH$57),Matching_Engine!$AH$57*Lookup_Lists!$D$130,0)+IF(ISNUMBER(Matching_Engine!$AI$57),Matching_Engine!$AI$57*Lookup_Lists!$D$131,0)+IF(ISNUMBER(Matching_Engine!$AJ$57),Matching_Engine!$AJ$57*Lookup_Lists!$D$132,0)+IF(ISNUMBER(Matching_Engine!$AK$57),Matching_Engine!$AK$57*Lookup_Lists!$D$133,0)+IF(ISNUMBER(Matching_Engine!$AL$57),Matching_Engine!$AL$57*Lookup_Lists!$D$134,0))/(IF(ISNUMBER(Matching_Engine!$AG$57),Lookup_Lists!$D$129,0)+IF(ISNUMBER(Matching_Engine!$AH$57),Lookup_Lists!$D$130,0)+IF(ISNUMBER(Matching_Engine!$AI$57),Lookup_Lists!$D$131,0)+IF(ISNUMBER(Matching_Engine!$AJ$57),Lookup_Lists!$D$132,0)+IF(ISNUMBER(Matching_Engine!$AK$57),Lookup_Lists!$D$133,0)+IF(ISNUMBER(Matching_Engine!$AL$57),Lookup_Lists!$D$134,0)),0))</f>
      </c>
      <c r="AN57" s="11">
        <f>IF(ISNUMBER(Matching_Engine!$AM$57),1,0)</f>
      </c>
      <c r="AO57" s="18">
        <f>IF(NOT(ISNUMBER(KOL_Source_Data!$BT$9)),"N/A",MIN(100,MAX(0,KOL_Source_Data!$BT$9)))</f>
      </c>
      <c r="AP57" s="18">
        <f>IF(NOT(ISNUMBER(KOL_Source_Data!$BU$9)),"N/A",MIN(100,MAX(0,KOL_Source_Data!$BU$9)))</f>
      </c>
      <c r="AQ57" s="18">
        <f>IF(KOL_Source_Data!$I$9="Yes",Lookup_Lists!$D$326,IF(KOL_Source_Data!$I$9="No",Lookup_Lists!$D$327,"N/A"))</f>
      </c>
      <c r="AR57" s="18">
        <f>IF(NOT(ISNUMBER(KOL_Source_Data!$BQ$9)),"N/A",MAX(0,ROUND(100-KOL_Source_Data!$BQ$9/Lookup_Lists!$D$328*100,0)))</f>
      </c>
      <c r="AS57" s="18">
        <f>IF(NOT(AND(ISTEXT(KOL_Source_Data!$BV$9),KOL_Source_Data!$BV$9&lt;&gt;"N/A")),"N/A",KOL_Source_Data!$BV$9)</f>
      </c>
      <c r="AT57" s="29">
        <f>IF((IF(ISNUMBER(Matching_Engine!$AO$57),Lookup_Lists!$D$322,0)+IF(ISNUMBER(Matching_Engine!$AP$57),Lookup_Lists!$D$323,0)+IF(ISNUMBER(Matching_Engine!$AQ$57),Lookup_Lists!$D$324,0)+IF(ISNUMBER(Matching_Engine!$AR$57),Lookup_Lists!$D$325,0))=0,"N/A",ROUND((IF(ISNUMBER(Matching_Engine!$AO$57),Matching_Engine!$AO$57*Lookup_Lists!$D$322,0)+IF(ISNUMBER(Matching_Engine!$AP$57),Matching_Engine!$AP$57*Lookup_Lists!$D$323,0)+IF(ISNUMBER(Matching_Engine!$AQ$57),Matching_Engine!$AQ$57*Lookup_Lists!$D$324,0)+IF(ISNUMBER(Matching_Engine!$AR$57),Matching_Engine!$AR$57*Lookup_Lists!$D$325,0))/(IF(ISNUMBER(Matching_Engine!$AO$57),Lookup_Lists!$D$322,0)+IF(ISNUMBER(Matching_Engine!$AP$57),Lookup_Lists!$D$323,0)+IF(ISNUMBER(Matching_Engine!$AQ$57),Lookup_Lists!$D$324,0)+IF(ISNUMBER(Matching_Engine!$AR$57),Lookup_Lists!$D$325,0)),0))</f>
      </c>
      <c r="AU57" s="11">
        <f>IF(ISNUMBER(Matching_Engine!$AT$57),1,0)</f>
      </c>
      <c r="AV57" s="11">
        <f>IF(NOT(ISNUMBER(Matching_Engine!$AT$57)),"Not Screened",IF(Matching_Engine!$AT$57&gt;=Lookup_Lists!$D$329,"Low Risk",IF(Matching_Engine!$AT$57&gt;=Lookup_Lists!$D$330,"Moderate Risk",IF(Matching_Engine!$AT$57&gt;=Lookup_Lists!$D$331,"Elevated Risk","High Risk"))))</f>
      </c>
      <c r="AW57" s="11">
        <f>IF(NOT(ISNUMBER(Matching_Engine!$AT$57)),"No integrity signal: no audience-analysis row for this account.","Integrity screen only — no content-risk reading exists (comments_analysis: 0 rows). "&amp;IF(ISNUMBER(Matching_Engine!$AO$57),"Authenticity "&amp;Matching_Engine!$AO$57&amp;". ","Authenticity N/A. ")&amp;IF(ISNUMBER(Matching_Engine!$AP$57),"Follower quality "&amp;Matching_Engine!$AP$57&amp;". ","Follower quality N/A. ")&amp;IF(KOL_Source_Data!$I$9="Yes","Platform-verified.","Not platform-verified."))</f>
      </c>
      <c r="AX57" s="18">
        <f>Matching_Engine!$N$57*Lookup_Lists!$D$104+Matching_Engine!$T$57*Lookup_Lists!$D$105+Matching_Engine!$Z$57*Lookup_Lists!$D$106+Matching_Engine!$AF$57*Lookup_Lists!$D$107+Matching_Engine!$AN$57*Lookup_Lists!$D$108+Matching_Engine!$AU$57*Lookup_Lists!$D$109</f>
      </c>
      <c r="AY57" s="30">
        <f>IF(Matching_Engine!$AX$57=0,"N/A",ROUND((IF(Matching_Engine!$N$57=1,Matching_Engine!$M$57*Lookup_Lists!$D$104,0)+IF(Matching_Engine!$T$57=1,Matching_Engine!$S$57*Lookup_Lists!$D$105,0)+IF(Matching_Engine!$Z$57=1,Matching_Engine!$Y$57*Lookup_Lists!$D$106,0)+IF(Matching_Engine!$AF$57=1,Matching_Engine!$AE$57*Lookup_Lists!$D$107,0)+IF(Matching_Engine!$AN$57=1,Matching_Engine!$AM$57*Lookup_Lists!$D$108,0)+IF(Matching_Engine!$AU$57=1,Matching_Engine!$AT$57*Lookup_Lists!$D$109,0))/Matching_Engine!$AX$57,0))</f>
      </c>
      <c r="AZ57" s="11">
        <f>IF(NOT(ISNUMBER(Matching_Engine!$AY$57)),"Not Scored",IF(Matching_Engine!$AY$57&gt;=Lookup_Lists!$D$152,"Excellent Match",IF(Matching_Engine!$AY$57&gt;=Lookup_Lists!$D$153,"Strong Match",IF(Matching_Engine!$AY$57&gt;=Lookup_Lists!$D$154,"Good Match",IF(Matching_Engine!$AY$57&gt;=Lookup_Lists!$D$155,"Moderate Match","Low Match")))))</f>
      </c>
      <c r="BA57" s="18">
        <f>KOL_Source_Data!$BW$9</f>
      </c>
      <c r="BB57" s="11">
        <f>KOL_Source_Data!$BX$9</f>
      </c>
      <c r="BC57" s="18">
        <f>IF(NOT(ISNUMBER(Matching_Engine!$AY$57)),-1,Matching_Engine!$AY$57*1000+21)</f>
      </c>
      <c r="BD57" s="11">
        <f>IF(AND(ISTEXT(KOL_Source_Data!$S$9),KOL_Source_Data!$S$9&lt;&gt;"N/A"),KOL_Source_Data!$S$9,"")&amp;" | "&amp;IF(AND(ISTEXT(KOL_Source_Data!$T$9),KOL_Source_Data!$T$9&lt;&gt;"N/A"),KOL_Source_Data!$T$9,"")&amp;" | "&amp;IF(AND(ISTEXT(KOL_Source_Data!$N$9),KOL_Source_Data!$N$9&lt;&gt;"N/A"),KOL_Source_Data!$N$9,"")&amp;" | "&amp;IF(AND(ISTEXT(KOL_Source_Data!$K$9),KOL_Source_Data!$K$9&lt;&gt;"N/A"),KOL_Source_Data!$K$9,"")&amp;" | "&amp;IF(AND(ISTEXT(KOL_Source_Data!$J$9),KOL_Source_Data!$J$9&lt;&gt;"N/A"),KOL_Source_Data!$J$9,"")</f>
      </c>
      <c r="BE57" s="11">
        <f>IF(AND(ISTEXT(KOL_Source_Data!$T$9),KOL_Source_Data!$T$9&lt;&gt;"N/A"),KOL_Source_Data!$T$9,"")&amp;" | "&amp;IF(AND(ISTEXT(KOL_Source_Data!$N$9),KOL_Source_Data!$N$9&lt;&gt;"N/A"),KOL_Source_Data!$N$9,"")&amp;" | "&amp;IF(AND(ISTEXT(KOL_Source_Data!$O$9),KOL_Source_Data!$O$9&lt;&gt;"N/A"),KOL_Source_Data!$O$9,"")&amp;" | "&amp;IF(AND(ISTEXT(KOL_Source_Data!$S$9),KOL_Source_Data!$S$9&lt;&gt;"N/A"),KOL_Source_Data!$S$9,"")</f>
      </c>
      <c r="BF57" s="11">
        <f>IF(AND(ISTEXT(KOL_Source_Data!$U$9),KOL_Source_Data!$U$9&lt;&gt;"N/A"),KOL_Source_Data!$U$9,"")</f>
      </c>
      <c r="BG57" s="11">
        <f>Matching_Engine!$A$57&amp;"|"&amp;Matching_Engine!$C$57</f>
      </c>
    </row>
    <row r="58" spans="1:59" x14ac:dyDescent="0.25">
      <c r="A58" s="10" t="s">
        <v>392</v>
      </c>
      <c r="B58" s="11">
        <f>Brand_Profile!$G$6</f>
      </c>
      <c r="C58" s="11">
        <f>KOL_Source_Data!$A$10</f>
      </c>
      <c r="D58" s="11">
        <f>KOL_Source_Data!$C$10</f>
      </c>
      <c r="E58" s="11">
        <f>KOL_Source_Data!$D$10</f>
      </c>
      <c r="F58" s="11">
        <f>KOL_Source_Data!$E$10</f>
      </c>
      <c r="G58" s="11">
        <f>KOL_Source_Data!$K$10</f>
      </c>
      <c r="H58" s="12">
        <f>KOL_Source_Data!$G$10</f>
      </c>
      <c r="I58" s="14">
        <f>KOL_Source_Data!$BG$10</f>
      </c>
      <c r="J58" s="18">
        <f>IF(NOT(AND(ISTEXT(KOL_Source_Data!$K$10),KOL_Source_Data!$K$10&lt;&gt;"N/A")),Lookup_Lists!$D$150,IF(Brand_Profile!$G$7=KOL_Source_Data!$K$10,100,IFERROR(INDEX(Lookup_Lists!$B$349:$J$357,MATCH(Brand_Profile!$G$7,Lookup_Lists!$A$349:$A$357,0),MATCH(KOL_Source_Data!$K$10,Lookup_Lists!$B$348:$J$348,0)),Lookup_Lists!$D$151)))</f>
      </c>
      <c r="K58" s="18">
        <f>IF(LEN(TRIM(SUBSTITUTE(Matching_Engine!$BD$58,"|","")))=0,"N/A",IF(Brand_Profile!$G$47=0,Lookup_Lists!$D$150,ROUND((IF(Brand_Profile!$G$41="",0,IF(ISNUMBER(SEARCH(Brand_Profile!$G$41,Matching_Engine!$BD$58)),1,0))+IF(Brand_Profile!$G$42="",0,IF(ISNUMBER(SEARCH(Brand_Profile!$G$42,Matching_Engine!$BD$58)),1,0))+IF(Brand_Profile!$G$43="",0,IF(ISNUMBER(SEARCH(Brand_Profile!$G$43,Matching_Engine!$BD$58)),1,0))+IF(Brand_Profile!$G$44="",0,IF(ISNUMBER(SEARCH(Brand_Profile!$G$44,Matching_Engine!$BD$58)),1,0))+IF(Brand_Profile!$G$45="",0,IF(ISNUMBER(SEARCH(Brand_Profile!$G$45,Matching_Engine!$BD$58)),1,0))+IF(Brand_Profile!$G$46="",0,IF(ISNUMBER(SEARCH(Brand_Profile!$G$46,Matching_Engine!$BD$58)),1,0)))/Brand_Profile!$G$47*100,0)))</f>
      </c>
      <c r="L58" s="18">
        <f>IF(NOT(AND(ISTEXT(KOL_Source_Data!$U$10),KOL_Source_Data!$U$10&lt;&gt;"N/A")),"N/A",IF(Brand_Profile!$G$53=0,Lookup_Lists!$D$150,ROUND((IF(Brand_Profile!$G$48="",0,IF(ISNUMBER(SEARCH(Brand_Profile!$G$48,Matching_Engine!$BF$58)),1,0))+IF(Brand_Profile!$G$49="",0,IF(ISNUMBER(SEARCH(Brand_Profile!$G$49,Matching_Engine!$BF$58)),1,0))+IF(Brand_Profile!$G$50="",0,IF(ISNUMBER(SEARCH(Brand_Profile!$G$50,Matching_Engine!$BF$58)),1,0))+IF(Brand_Profile!$G$51="",0,IF(ISNUMBER(SEARCH(Brand_Profile!$G$51,Matching_Engine!$BF$58)),1,0))+IF(Brand_Profile!$G$52="",0,IF(ISNUMBER(SEARCH(Brand_Profile!$G$52,Matching_Engine!$BF$58)),1,0)))/Brand_Profile!$G$53*100,0)))</f>
      </c>
      <c r="M58" s="29">
        <f>IF((IF(ISNUMBER(Matching_Engine!$J$58),Lookup_Lists!$D$332,0)+IF(ISNUMBER(Matching_Engine!$K$58),Lookup_Lists!$D$333,0)+IF(ISNUMBER(Matching_Engine!$L$58),Lookup_Lists!$D$334,0))=0,"N/A",ROUND((IF(ISNUMBER(Matching_Engine!$J$58),Matching_Engine!$J$58*Lookup_Lists!$D$332,0)+IF(ISNUMBER(Matching_Engine!$K$58),Matching_Engine!$K$58*Lookup_Lists!$D$333,0)+IF(ISNUMBER(Matching_Engine!$L$58),Matching_Engine!$L$58*Lookup_Lists!$D$334,0))/(IF(ISNUMBER(Matching_Engine!$J$58),Lookup_Lists!$D$332,0)+IF(ISNUMBER(Matching_Engine!$K$58),Lookup_Lists!$D$333,0)+IF(ISNUMBER(Matching_Engine!$L$58),Lookup_Lists!$D$334,0)),0))</f>
      </c>
      <c r="N58" s="11">
        <f>IF(ISNUMBER(Matching_Engine!$M$58),1,0)</f>
      </c>
      <c r="O58" s="18">
        <f>IF(NOT(ISNUMBER(IFERROR(INDEX(KOL_Source_Data!$V$10:KOL_Source_Data!$Z$10,1,MATCH(Brand_Profile!$G$11,Lookup_Lists!$F$6:$F$10,0)),""))),"N/A",MIN(100,ROUND((IFERROR(INDEX(KOL_Source_Data!$V$10:KOL_Source_Data!$Z$10,1,MATCH(Brand_Profile!$G$11,Lookup_Lists!$F$6:$F$10,0)),"")+0.5*IF(ISNUMBER(IFERROR(INDEX(KOL_Source_Data!$V$10:KOL_Source_Data!$Z$10,1,MATCH(Brand_Profile!$G$12,Lookup_Lists!$F$6:$F$10,0)),"")),IFERROR(INDEX(KOL_Source_Data!$V$10:KOL_Source_Data!$Z$10,1,MATCH(Brand_Profile!$G$12,Lookup_Lists!$F$6:$F$10,0)),""),0))/Lookup_Lists!$D$142*100,0)))</f>
      </c>
      <c r="P58" s="18">
        <f>IF(Brand_Profile!$G$13="Any",100,IF(NOT(ISNUMBER(KOL_Source_Data!$AA$10)),"N/A",IF(Brand_Profile!$G$13="Female",MIN(100,ROUND(KOL_Source_Data!$AA$10/Lookup_Lists!$D$143*100,0)),IF(Brand_Profile!$G$13="Male",MIN(100,ROUND(IF(ISNUMBER(KOL_Source_Data!$AB$10),KOL_Source_Data!$AB$10,100-KOL_Source_Data!$AA$10)/Lookup_Lists!$D$143*100,0)),MAX(0,ROUND(100-ABS(KOL_Source_Data!$AA$10-50)*2,0))))))</f>
      </c>
      <c r="Q58" s="18">
        <f>IF((IF(ISNUMBER(IF(NOT(ISNUMBER(KOL_Source_Data!$AE$10)),"N/A",IF(KOL_Source_Data!$AD$10&lt;&gt;Brand_Profile!$G$14,Lookup_Lists!$D$151,MIN(100,ROUND(KOL_Source_Data!$AE$10/Lookup_Lists!$D$316*100,0))))),Lookup_Lists!$D$118,0)+IF(ISNUMBER(IF(NOT(ISNUMBER(KOL_Source_Data!$AM$10)),"N/A",MIN(100,ROUND((IF(KOL_Source_Data!$AG$10=Brand_Profile!$G$15,IF(ISNUMBER(KOL_Source_Data!$AH$10),KOL_Source_Data!$AH$10,0),0)+IF(KOL_Source_Data!$AI$10=Brand_Profile!$G$15,IF(ISNUMBER(KOL_Source_Data!$AJ$10),KOL_Source_Data!$AJ$10,0),0)+IF(KOL_Source_Data!$AK$10=Brand_Profile!$G$15,IF(ISNUMBER(KOL_Source_Data!$AL$10),KOL_Source_Data!$AL$10,0),0))/Lookup_Lists!$D$317*100,0)))),Lookup_Lists!$D$120,0))=0,"N/A",ROUND((IF(ISNUMBER(IF(NOT(ISNUMBER(KOL_Source_Data!$AE$10)),"N/A",IF(KOL_Source_Data!$AD$10&lt;&gt;Brand_Profile!$G$14,Lookup_Lists!$D$151,MIN(100,ROUND(KOL_Source_Data!$AE$10/Lookup_Lists!$D$316*100,0))))),IF(NOT(ISNUMBER(KOL_Source_Data!$AE$10)),"N/A",IF(KOL_Source_Data!$AD$10&lt;&gt;Brand_Profile!$G$14,Lookup_Lists!$D$151,MIN(100,ROUND(KOL_Source_Data!$AE$10/Lookup_Lists!$D$316*100,0))))*Lookup_Lists!$D$118,0)+IF(ISNUMBER(IF(NOT(ISNUMBER(KOL_Source_Data!$AM$10)),"N/A",MIN(100,ROUND((IF(KOL_Source_Data!$AG$10=Brand_Profile!$G$15,IF(ISNUMBER(KOL_Source_Data!$AH$10),KOL_Source_Data!$AH$10,0),0)+IF(KOL_Source_Data!$AI$10=Brand_Profile!$G$15,IF(ISNUMBER(KOL_Source_Data!$AJ$10),KOL_Source_Data!$AJ$10,0),0)+IF(KOL_Source_Data!$AK$10=Brand_Profile!$G$15,IF(ISNUMBER(KOL_Source_Data!$AL$10),KOL_Source_Data!$AL$10,0),0))/Lookup_Lists!$D$317*100,0)))),IF(NOT(ISNUMBER(KOL_Source_Data!$AM$10)),"N/A",MIN(100,ROUND((IF(KOL_Source_Data!$AG$10=Brand_Profile!$G$15,IF(ISNUMBER(KOL_Source_Data!$AH$10),KOL_Source_Data!$AH$10,0),0)+IF(KOL_Source_Data!$AI$10=Brand_Profile!$G$15,IF(ISNUMBER(KOL_Source_Data!$AJ$10),KOL_Source_Data!$AJ$10,0),0)+IF(KOL_Source_Data!$AK$10=Brand_Profile!$G$15,IF(ISNUMBER(KOL_Source_Data!$AL$10),KOL_Source_Data!$AL$10,0),0))/Lookup_Lists!$D$317*100,0)))*Lookup_Lists!$D$120,0))/(IF(ISNUMBER(IF(NOT(ISNUMBER(KOL_Source_Data!$AE$10)),"N/A",IF(KOL_Source_Data!$AD$10&lt;&gt;Brand_Profile!$G$14,Lookup_Lists!$D$151,MIN(100,ROUND(KOL_Source_Data!$AE$10/Lookup_Lists!$D$316*100,0))))),Lookup_Lists!$D$118,0)+IF(ISNUMBER(IF(NOT(ISNUMBER(KOL_Source_Data!$AM$10)),"N/A",MIN(100,ROUND((IF(KOL_Source_Data!$AG$10=Brand_Profile!$G$15,IF(ISNUMBER(KOL_Source_Data!$AH$10),KOL_Source_Data!$AH$10,0),0)+IF(KOL_Source_Data!$AI$10=Brand_Profile!$G$15,IF(ISNUMBER(KOL_Source_Data!$AJ$10),KOL_Source_Data!$AJ$10,0),0)+IF(KOL_Source_Data!$AK$10=Brand_Profile!$G$15,IF(ISNUMBER(KOL_Source_Data!$AL$10),KOL_Source_Data!$AL$10,0),0))/Lookup_Lists!$D$317*100,0)))),Lookup_Lists!$D$120,0)),0))</f>
      </c>
      <c r="R58" s="18">
        <f>IF(NOT(ISNUMBER(KOL_Source_Data!$AN$10)),"N/A",MIN(100,ROUND((IF(ISNUMBER(KOL_Source_Data!$AO$10),KOL_Source_Data!$AO$10*Brand_Profile!$G$17,0)+IF(ISNUMBER(KOL_Source_Data!$AP$10),KOL_Source_Data!$AP$10*Brand_Profile!$G$18,0)+IF(ISNUMBER(KOL_Source_Data!$AQ$10),KOL_Source_Data!$AQ$10*Brand_Profile!$G$19,0)+IF(ISNUMBER(KOL_Source_Data!$AR$10),KOL_Source_Data!$AR$10*Brand_Profile!$G$20,0)+IF(ISNUMBER(KOL_Source_Data!$AS$10),KOL_Source_Data!$AS$10*Brand_Profile!$G$21,0)+IF(ISNUMBER(KOL_Source_Data!$AT$10),KOL_Source_Data!$AT$10*Brand_Profile!$G$22,0)+IF(ISNUMBER(KOL_Source_Data!$AU$10),KOL_Source_Data!$AU$10*Brand_Profile!$G$23,0)+IF(ISNUMBER(KOL_Source_Data!$AV$10),KOL_Source_Data!$AV$10*Brand_Profile!$G$24,0)+IF(ISNUMBER(KOL_Source_Data!$AW$10),KOL_Source_Data!$AW$10*Brand_Profile!$G$25,0)+IF(ISNUMBER(KOL_Source_Data!$AX$10),KOL_Source_Data!$AX$10*Brand_Profile!$G$26,0)+IF(ISNUMBER(KOL_Source_Data!$AY$10),KOL_Source_Data!$AY$10*Brand_Profile!$G$27,0)+IF(ISNUMBER(KOL_Source_Data!$AZ$10),KOL_Source_Data!$AZ$10*Brand_Profile!$G$28,0)+IF(ISNUMBER(KOL_Source_Data!$BA$10),KOL_Source_Data!$BA$10*Brand_Profile!$G$29,0)+IF(ISNUMBER(KOL_Source_Data!$BB$10),KOL_Source_Data!$BB$10*Brand_Profile!$G$30,0)+IF(ISNUMBER(KOL_Source_Data!$BC$10),KOL_Source_Data!$BC$10*Brand_Profile!$G$31,0)+IF(ISNUMBER(KOL_Source_Data!$BD$10),KOL_Source_Data!$BD$10*Brand_Profile!$G$32,0)+IF(ISNUMBER(KOL_Source_Data!$BE$10),KOL_Source_Data!$BE$10*Brand_Profile!$G$33,0)+IF(ISNUMBER(KOL_Source_Data!$BF$10),KOL_Source_Data!$BF$10*Brand_Profile!$G$34,0))/Lookup_Lists!$D$318*100,0)))</f>
      </c>
      <c r="S58" s="29">
        <f>IF((IF(ISNUMBER(Matching_Engine!$O$58),Lookup_Lists!$D$113,0)+IF(ISNUMBER(Matching_Engine!$P$58),Lookup_Lists!$D$114,0)+IF(ISNUMBER(Matching_Engine!$Q$58),Lookup_Lists!$D$115,0)+IF(ISNUMBER(Matching_Engine!$R$58),Lookup_Lists!$D$116,0))=0,"N/A",ROUND((IF(ISNUMBER(Matching_Engine!$O$58),Matching_Engine!$O$58*Lookup_Lists!$D$113,0)+IF(ISNUMBER(Matching_Engine!$P$58),Matching_Engine!$P$58*Lookup_Lists!$D$114,0)+IF(ISNUMBER(Matching_Engine!$Q$58),Matching_Engine!$Q$58*Lookup_Lists!$D$115,0)+IF(ISNUMBER(Matching_Engine!$R$58),Matching_Engine!$R$58*Lookup_Lists!$D$116,0))/(IF(ISNUMBER(Matching_Engine!$O$58),Lookup_Lists!$D$113,0)+IF(ISNUMBER(Matching_Engine!$P$58),Lookup_Lists!$D$114,0)+IF(ISNUMBER(Matching_Engine!$Q$58),Lookup_Lists!$D$115,0)+IF(ISNUMBER(Matching_Engine!$R$58),Lookup_Lists!$D$116,0)),0))</f>
      </c>
      <c r="T58" s="11">
        <f>IF(ISNUMBER(Matching_Engine!$S$58),1,0)</f>
      </c>
      <c r="U58" s="18">
        <f>IF(NOT(AND(ISTEXT(KOL_Source_Data!$M$10),KOL_Source_Data!$M$10&lt;&gt;"N/A")),Lookup_Lists!$D$150,IF(Brand_Profile!$G$7=KOL_Source_Data!$M$10,100,IFERROR(INDEX(Lookup_Lists!$B$349:$J$357,MATCH(Brand_Profile!$G$7,Lookup_Lists!$A$349:$A$357,0),MATCH(KOL_Source_Data!$M$10,Lookup_Lists!$B$348:$J$348,0)),Lookup_Lists!$D$151)))</f>
      </c>
      <c r="V58" s="18">
        <f>IF(NOT(AND(ISTEXT(KOL_Source_Data!$P$10),KOL_Source_Data!$P$10&lt;&gt;"N/A")),"N/A",IFERROR(INDEX(Lookup_Lists!$B$349:$J$357,MATCH(Brand_Profile!$G$7,Lookup_Lists!$A$349:$A$357,0),MATCH(KOL_Source_Data!$P$10,Lookup_Lists!$B$348:$J$348,0)),Lookup_Lists!$D$151))</f>
      </c>
      <c r="W58" s="18">
        <f>IF(LEN(TRIM(SUBSTITUTE(Matching_Engine!$BE$58,"|","")))=0,"N/A",IF(Brand_Profile!$G$60=0,Lookup_Lists!$D$150,ROUND((IF(Brand_Profile!$G$54="",0,IF(ISNUMBER(SEARCH(Brand_Profile!$G$54,Matching_Engine!$BE$58)),1,0))+IF(Brand_Profile!$G$55="",0,IF(ISNUMBER(SEARCH(Brand_Profile!$G$55,Matching_Engine!$BE$58)),1,0))+IF(Brand_Profile!$G$56="",0,IF(ISNUMBER(SEARCH(Brand_Profile!$G$56,Matching_Engine!$BE$58)),1,0))+IF(Brand_Profile!$G$57="",0,IF(ISNUMBER(SEARCH(Brand_Profile!$G$57,Matching_Engine!$BE$58)),1,0))+IF(Brand_Profile!$G$58="",0,IF(ISNUMBER(SEARCH(Brand_Profile!$G$58,Matching_Engine!$BE$58)),1,0))+IF(Brand_Profile!$G$59="",0,IF(ISNUMBER(SEARCH(Brand_Profile!$G$59,Matching_Engine!$BE$58)),1,0)))/Brand_Profile!$G$60*100,0)))</f>
      </c>
      <c r="X58" s="18">
        <f>IF(NOT(AND(ISTEXT(KOL_Source_Data!$Q$10),KOL_Source_Data!$Q$10&lt;&gt;"N/A")),"N/A",Lookup_Lists!$D$150)</f>
      </c>
      <c r="Y58" s="29">
        <f>IF((IF(ISNUMBER(Matching_Engine!$U$58),Lookup_Lists!$D$335,0)+IF(ISNUMBER(Matching_Engine!$V$58),Lookup_Lists!$D$122,0)+IF(ISNUMBER(Matching_Engine!$W$58),Lookup_Lists!$D$336,0)+IF(ISNUMBER(Matching_Engine!$X$58),Lookup_Lists!$D$124,0))=0,"N/A",ROUND((IF(ISNUMBER(Matching_Engine!$U$58),Matching_Engine!$U$58*Lookup_Lists!$D$335,0)+IF(ISNUMBER(Matching_Engine!$V$58),Matching_Engine!$V$58*Lookup_Lists!$D$122,0)+IF(ISNUMBER(Matching_Engine!$W$58),Matching_Engine!$W$58*Lookup_Lists!$D$336,0)+IF(ISNUMBER(Matching_Engine!$X$58),Matching_Engine!$X$58*Lookup_Lists!$D$124,0))/(IF(ISNUMBER(Matching_Engine!$U$58),Lookup_Lists!$D$335,0)+IF(ISNUMBER(Matching_Engine!$V$58),Lookup_Lists!$D$122,0)+IF(ISNUMBER(Matching_Engine!$W$58),Lookup_Lists!$D$336,0)+IF(ISNUMBER(Matching_Engine!$X$58),Lookup_Lists!$D$124,0)),0))</f>
      </c>
      <c r="Z58" s="11">
        <f>IF(ISNUMBER(Matching_Engine!$Y$58),1,0)</f>
      </c>
      <c r="AA58" s="18">
        <f>IF(NOT(AND(ISTEXT(KOL_Source_Data!$Q$10),KOL_Source_Data!$Q$10&lt;&gt;"N/A")),"N/A",Lookup_Lists!$D$150)</f>
      </c>
      <c r="AB58" s="18">
        <f>IF(NOT(AND(ISTEXT(KOL_Source_Data!$Q$10),KOL_Source_Data!$Q$10&lt;&gt;"N/A")),"N/A",Lookup_Lists!$D$150)</f>
      </c>
      <c r="AC58" s="18">
        <f>"N/A"</f>
      </c>
      <c r="AD58" s="18">
        <f>IF(NOT(AND(ISTEXT(KOL_Source_Data!$Q$10),KOL_Source_Data!$Q$10&lt;&gt;"N/A")),"N/A",Lookup_Lists!$D$150)</f>
      </c>
      <c r="AE58" s="29">
        <f>IF((IF(ISNUMBER(Matching_Engine!$AA$58),Lookup_Lists!$D$125,0)+IF(ISNUMBER(Matching_Engine!$AB$58),Lookup_Lists!$D$126,0)+IF(ISNUMBER(Matching_Engine!$AC$58),Lookup_Lists!$D$127,0)+IF(ISNUMBER(Matching_Engine!$AD$58),Lookup_Lists!$D$128,0))=0,"N/A",ROUND((IF(ISNUMBER(Matching_Engine!$AA$58),Matching_Engine!$AA$58*Lookup_Lists!$D$125,0)+IF(ISNUMBER(Matching_Engine!$AB$58),Matching_Engine!$AB$58*Lookup_Lists!$D$126,0)+IF(ISNUMBER(Matching_Engine!$AC$58),Matching_Engine!$AC$58*Lookup_Lists!$D$127,0)+IF(ISNUMBER(Matching_Engine!$AD$58),Matching_Engine!$AD$58*Lookup_Lists!$D$128,0))/(IF(ISNUMBER(Matching_Engine!$AA$58),Lookup_Lists!$D$125,0)+IF(ISNUMBER(Matching_Engine!$AB$58),Lookup_Lists!$D$126,0)+IF(ISNUMBER(Matching_Engine!$AC$58),Lookup_Lists!$D$127,0)+IF(ISNUMBER(Matching_Engine!$AD$58),Lookup_Lists!$D$128,0)),0))</f>
      </c>
      <c r="AF58" s="11">
        <f>IF(ISNUMBER(Matching_Engine!$AE$58),1,0)</f>
      </c>
      <c r="AG58" s="18">
        <f>IF(NOT(ISNUMBER(KOL_Source_Data!$BG$10)),"N/A",MIN(100,ROUND(KOL_Source_Data!$BG$10/IFERROR(INDEX(Lookup_Lists!$B$340:$B$344,MATCH(KOL_Source_Data!$H$10,Lookup_Lists!$A$340:$A$344,0)),Lookup_Lists!$D$141)*100,0)))</f>
      </c>
      <c r="AH58" s="18">
        <f>IF(NOT(ISNUMBER(KOL_Source_Data!$BS$10)),"N/A",MIN(100,MAX(0,KOL_Source_Data!$BS$10)))</f>
      </c>
      <c r="AI58" s="18">
        <f>IF(OR(NOT(ISNUMBER(KOL_Source_Data!$BM$10)),NOT(ISNUMBER(KOL_Source_Data!$BN$10)),KOL_Source_Data!$BN$10&lt;Lookup_Lists!$D$320),"N/A",MIN(100,ROUND(KOL_Source_Data!$BM$10/Lookup_Lists!$D$319*100,0)))</f>
      </c>
      <c r="AJ58" s="18">
        <f>IF(NOT(ISNUMBER(KOL_Source_Data!$BR$10)),"N/A",KOL_Source_Data!$BR$10)</f>
      </c>
      <c r="AK58" s="18">
        <f>IF(NOT(ISNUMBER(KOL_Source_Data!$BK$10)),"N/A",MIN(100,ROUND(KOL_Source_Data!$BK$10/Lookup_Lists!$D$321*100,0)))</f>
      </c>
      <c r="AL58" s="18">
        <f>IF(NOT(ISNUMBER(KOL_Source_Data!$BP$10)),"N/A",MIN(100,MAX(0,ROUND((KOL_Source_Data!$BP$10+2)/(Lookup_Lists!$D$145+2)*100,0))))</f>
      </c>
      <c r="AM58" s="29">
        <f>IF((IF(ISNUMBER(Matching_Engine!$AG$58),Lookup_Lists!$D$129,0)+IF(ISNUMBER(Matching_Engine!$AH$58),Lookup_Lists!$D$130,0)+IF(ISNUMBER(Matching_Engine!$AI$58),Lookup_Lists!$D$131,0)+IF(ISNUMBER(Matching_Engine!$AJ$58),Lookup_Lists!$D$132,0)+IF(ISNUMBER(Matching_Engine!$AK$58),Lookup_Lists!$D$133,0)+IF(ISNUMBER(Matching_Engine!$AL$58),Lookup_Lists!$D$134,0))=0,"N/A",ROUND((IF(ISNUMBER(Matching_Engine!$AG$58),Matching_Engine!$AG$58*Lookup_Lists!$D$129,0)+IF(ISNUMBER(Matching_Engine!$AH$58),Matching_Engine!$AH$58*Lookup_Lists!$D$130,0)+IF(ISNUMBER(Matching_Engine!$AI$58),Matching_Engine!$AI$58*Lookup_Lists!$D$131,0)+IF(ISNUMBER(Matching_Engine!$AJ$58),Matching_Engine!$AJ$58*Lookup_Lists!$D$132,0)+IF(ISNUMBER(Matching_Engine!$AK$58),Matching_Engine!$AK$58*Lookup_Lists!$D$133,0)+IF(ISNUMBER(Matching_Engine!$AL$58),Matching_Engine!$AL$58*Lookup_Lists!$D$134,0))/(IF(ISNUMBER(Matching_Engine!$AG$58),Lookup_Lists!$D$129,0)+IF(ISNUMBER(Matching_Engine!$AH$58),Lookup_Lists!$D$130,0)+IF(ISNUMBER(Matching_Engine!$AI$58),Lookup_Lists!$D$131,0)+IF(ISNUMBER(Matching_Engine!$AJ$58),Lookup_Lists!$D$132,0)+IF(ISNUMBER(Matching_Engine!$AK$58),Lookup_Lists!$D$133,0)+IF(ISNUMBER(Matching_Engine!$AL$58),Lookup_Lists!$D$134,0)),0))</f>
      </c>
      <c r="AN58" s="11">
        <f>IF(ISNUMBER(Matching_Engine!$AM$58),1,0)</f>
      </c>
      <c r="AO58" s="18">
        <f>IF(NOT(ISNUMBER(KOL_Source_Data!$BT$10)),"N/A",MIN(100,MAX(0,KOL_Source_Data!$BT$10)))</f>
      </c>
      <c r="AP58" s="18">
        <f>IF(NOT(ISNUMBER(KOL_Source_Data!$BU$10)),"N/A",MIN(100,MAX(0,KOL_Source_Data!$BU$10)))</f>
      </c>
      <c r="AQ58" s="18">
        <f>IF(KOL_Source_Data!$I$10="Yes",Lookup_Lists!$D$326,IF(KOL_Source_Data!$I$10="No",Lookup_Lists!$D$327,"N/A"))</f>
      </c>
      <c r="AR58" s="18">
        <f>IF(NOT(ISNUMBER(KOL_Source_Data!$BQ$10)),"N/A",MAX(0,ROUND(100-KOL_Source_Data!$BQ$10/Lookup_Lists!$D$328*100,0)))</f>
      </c>
      <c r="AS58" s="18">
        <f>IF(NOT(AND(ISTEXT(KOL_Source_Data!$BV$10),KOL_Source_Data!$BV$10&lt;&gt;"N/A")),"N/A",KOL_Source_Data!$BV$10)</f>
      </c>
      <c r="AT58" s="29">
        <f>IF((IF(ISNUMBER(Matching_Engine!$AO$58),Lookup_Lists!$D$322,0)+IF(ISNUMBER(Matching_Engine!$AP$58),Lookup_Lists!$D$323,0)+IF(ISNUMBER(Matching_Engine!$AQ$58),Lookup_Lists!$D$324,0)+IF(ISNUMBER(Matching_Engine!$AR$58),Lookup_Lists!$D$325,0))=0,"N/A",ROUND((IF(ISNUMBER(Matching_Engine!$AO$58),Matching_Engine!$AO$58*Lookup_Lists!$D$322,0)+IF(ISNUMBER(Matching_Engine!$AP$58),Matching_Engine!$AP$58*Lookup_Lists!$D$323,0)+IF(ISNUMBER(Matching_Engine!$AQ$58),Matching_Engine!$AQ$58*Lookup_Lists!$D$324,0)+IF(ISNUMBER(Matching_Engine!$AR$58),Matching_Engine!$AR$58*Lookup_Lists!$D$325,0))/(IF(ISNUMBER(Matching_Engine!$AO$58),Lookup_Lists!$D$322,0)+IF(ISNUMBER(Matching_Engine!$AP$58),Lookup_Lists!$D$323,0)+IF(ISNUMBER(Matching_Engine!$AQ$58),Lookup_Lists!$D$324,0)+IF(ISNUMBER(Matching_Engine!$AR$58),Lookup_Lists!$D$325,0)),0))</f>
      </c>
      <c r="AU58" s="11">
        <f>IF(ISNUMBER(Matching_Engine!$AT$58),1,0)</f>
      </c>
      <c r="AV58" s="11">
        <f>IF(NOT(ISNUMBER(Matching_Engine!$AT$58)),"Not Screened",IF(Matching_Engine!$AT$58&gt;=Lookup_Lists!$D$329,"Low Risk",IF(Matching_Engine!$AT$58&gt;=Lookup_Lists!$D$330,"Moderate Risk",IF(Matching_Engine!$AT$58&gt;=Lookup_Lists!$D$331,"Elevated Risk","High Risk"))))</f>
      </c>
      <c r="AW58" s="11">
        <f>IF(NOT(ISNUMBER(Matching_Engine!$AT$58)),"No integrity signal: no audience-analysis row for this account.","Integrity screen only — no content-risk reading exists (comments_analysis: 0 rows). "&amp;IF(ISNUMBER(Matching_Engine!$AO$58),"Authenticity "&amp;Matching_Engine!$AO$58&amp;". ","Authenticity N/A. ")&amp;IF(ISNUMBER(Matching_Engine!$AP$58),"Follower quality "&amp;Matching_Engine!$AP$58&amp;". ","Follower quality N/A. ")&amp;IF(KOL_Source_Data!$I$10="Yes","Platform-verified.","Not platform-verified."))</f>
      </c>
      <c r="AX58" s="18">
        <f>Matching_Engine!$N$58*Lookup_Lists!$D$104+Matching_Engine!$T$58*Lookup_Lists!$D$105+Matching_Engine!$Z$58*Lookup_Lists!$D$106+Matching_Engine!$AF$58*Lookup_Lists!$D$107+Matching_Engine!$AN$58*Lookup_Lists!$D$108+Matching_Engine!$AU$58*Lookup_Lists!$D$109</f>
      </c>
      <c r="AY58" s="30">
        <f>IF(Matching_Engine!$AX$58=0,"N/A",ROUND((IF(Matching_Engine!$N$58=1,Matching_Engine!$M$58*Lookup_Lists!$D$104,0)+IF(Matching_Engine!$T$58=1,Matching_Engine!$S$58*Lookup_Lists!$D$105,0)+IF(Matching_Engine!$Z$58=1,Matching_Engine!$Y$58*Lookup_Lists!$D$106,0)+IF(Matching_Engine!$AF$58=1,Matching_Engine!$AE$58*Lookup_Lists!$D$107,0)+IF(Matching_Engine!$AN$58=1,Matching_Engine!$AM$58*Lookup_Lists!$D$108,0)+IF(Matching_Engine!$AU$58=1,Matching_Engine!$AT$58*Lookup_Lists!$D$109,0))/Matching_Engine!$AX$58,0))</f>
      </c>
      <c r="AZ58" s="11">
        <f>IF(NOT(ISNUMBER(Matching_Engine!$AY$58)),"Not Scored",IF(Matching_Engine!$AY$58&gt;=Lookup_Lists!$D$152,"Excellent Match",IF(Matching_Engine!$AY$58&gt;=Lookup_Lists!$D$153,"Strong Match",IF(Matching_Engine!$AY$58&gt;=Lookup_Lists!$D$154,"Good Match",IF(Matching_Engine!$AY$58&gt;=Lookup_Lists!$D$155,"Moderate Match","Low Match")))))</f>
      </c>
      <c r="BA58" s="18">
        <f>KOL_Source_Data!$BW$10</f>
      </c>
      <c r="BB58" s="11">
        <f>KOL_Source_Data!$BX$10</f>
      </c>
      <c r="BC58" s="18">
        <f>IF(NOT(ISNUMBER(Matching_Engine!$AY$58)),-1,Matching_Engine!$AY$58*1000+20)</f>
      </c>
      <c r="BD58" s="11">
        <f>IF(AND(ISTEXT(KOL_Source_Data!$S$10),KOL_Source_Data!$S$10&lt;&gt;"N/A"),KOL_Source_Data!$S$10,"")&amp;" | "&amp;IF(AND(ISTEXT(KOL_Source_Data!$T$10),KOL_Source_Data!$T$10&lt;&gt;"N/A"),KOL_Source_Data!$T$10,"")&amp;" | "&amp;IF(AND(ISTEXT(KOL_Source_Data!$N$10),KOL_Source_Data!$N$10&lt;&gt;"N/A"),KOL_Source_Data!$N$10,"")&amp;" | "&amp;IF(AND(ISTEXT(KOL_Source_Data!$K$10),KOL_Source_Data!$K$10&lt;&gt;"N/A"),KOL_Source_Data!$K$10,"")&amp;" | "&amp;IF(AND(ISTEXT(KOL_Source_Data!$J$10),KOL_Source_Data!$J$10&lt;&gt;"N/A"),KOL_Source_Data!$J$10,"")</f>
      </c>
      <c r="BE58" s="11">
        <f>IF(AND(ISTEXT(KOL_Source_Data!$T$10),KOL_Source_Data!$T$10&lt;&gt;"N/A"),KOL_Source_Data!$T$10,"")&amp;" | "&amp;IF(AND(ISTEXT(KOL_Source_Data!$N$10),KOL_Source_Data!$N$10&lt;&gt;"N/A"),KOL_Source_Data!$N$10,"")&amp;" | "&amp;IF(AND(ISTEXT(KOL_Source_Data!$O$10),KOL_Source_Data!$O$10&lt;&gt;"N/A"),KOL_Source_Data!$O$10,"")&amp;" | "&amp;IF(AND(ISTEXT(KOL_Source_Data!$S$10),KOL_Source_Data!$S$10&lt;&gt;"N/A"),KOL_Source_Data!$S$10,"")</f>
      </c>
      <c r="BF58" s="11">
        <f>IF(AND(ISTEXT(KOL_Source_Data!$U$10),KOL_Source_Data!$U$10&lt;&gt;"N/A"),KOL_Source_Data!$U$10,"")</f>
      </c>
      <c r="BG58" s="11">
        <f>Matching_Engine!$A$58&amp;"|"&amp;Matching_Engine!$C$58</f>
      </c>
    </row>
    <row r="59" spans="1:59" x14ac:dyDescent="0.25">
      <c r="A59" s="10" t="s">
        <v>392</v>
      </c>
      <c r="B59" s="11">
        <f>Brand_Profile!$G$6</f>
      </c>
      <c r="C59" s="11">
        <f>KOL_Source_Data!$A$11</f>
      </c>
      <c r="D59" s="11">
        <f>KOL_Source_Data!$C$11</f>
      </c>
      <c r="E59" s="11">
        <f>KOL_Source_Data!$D$11</f>
      </c>
      <c r="F59" s="11">
        <f>KOL_Source_Data!$E$11</f>
      </c>
      <c r="G59" s="11">
        <f>KOL_Source_Data!$K$11</f>
      </c>
      <c r="H59" s="12">
        <f>KOL_Source_Data!$G$11</f>
      </c>
      <c r="I59" s="14">
        <f>KOL_Source_Data!$BG$11</f>
      </c>
      <c r="J59" s="18">
        <f>IF(NOT(AND(ISTEXT(KOL_Source_Data!$K$11),KOL_Source_Data!$K$11&lt;&gt;"N/A")),Lookup_Lists!$D$150,IF(Brand_Profile!$G$7=KOL_Source_Data!$K$11,100,IFERROR(INDEX(Lookup_Lists!$B$349:$J$357,MATCH(Brand_Profile!$G$7,Lookup_Lists!$A$349:$A$357,0),MATCH(KOL_Source_Data!$K$11,Lookup_Lists!$B$348:$J$348,0)),Lookup_Lists!$D$151)))</f>
      </c>
      <c r="K59" s="18">
        <f>IF(LEN(TRIM(SUBSTITUTE(Matching_Engine!$BD$59,"|","")))=0,"N/A",IF(Brand_Profile!$G$47=0,Lookup_Lists!$D$150,ROUND((IF(Brand_Profile!$G$41="",0,IF(ISNUMBER(SEARCH(Brand_Profile!$G$41,Matching_Engine!$BD$59)),1,0))+IF(Brand_Profile!$G$42="",0,IF(ISNUMBER(SEARCH(Brand_Profile!$G$42,Matching_Engine!$BD$59)),1,0))+IF(Brand_Profile!$G$43="",0,IF(ISNUMBER(SEARCH(Brand_Profile!$G$43,Matching_Engine!$BD$59)),1,0))+IF(Brand_Profile!$G$44="",0,IF(ISNUMBER(SEARCH(Brand_Profile!$G$44,Matching_Engine!$BD$59)),1,0))+IF(Brand_Profile!$G$45="",0,IF(ISNUMBER(SEARCH(Brand_Profile!$G$45,Matching_Engine!$BD$59)),1,0))+IF(Brand_Profile!$G$46="",0,IF(ISNUMBER(SEARCH(Brand_Profile!$G$46,Matching_Engine!$BD$59)),1,0)))/Brand_Profile!$G$47*100,0)))</f>
      </c>
      <c r="L59" s="18">
        <f>IF(NOT(AND(ISTEXT(KOL_Source_Data!$U$11),KOL_Source_Data!$U$11&lt;&gt;"N/A")),"N/A",IF(Brand_Profile!$G$53=0,Lookup_Lists!$D$150,ROUND((IF(Brand_Profile!$G$48="",0,IF(ISNUMBER(SEARCH(Brand_Profile!$G$48,Matching_Engine!$BF$59)),1,0))+IF(Brand_Profile!$G$49="",0,IF(ISNUMBER(SEARCH(Brand_Profile!$G$49,Matching_Engine!$BF$59)),1,0))+IF(Brand_Profile!$G$50="",0,IF(ISNUMBER(SEARCH(Brand_Profile!$G$50,Matching_Engine!$BF$59)),1,0))+IF(Brand_Profile!$G$51="",0,IF(ISNUMBER(SEARCH(Brand_Profile!$G$51,Matching_Engine!$BF$59)),1,0))+IF(Brand_Profile!$G$52="",0,IF(ISNUMBER(SEARCH(Brand_Profile!$G$52,Matching_Engine!$BF$59)),1,0)))/Brand_Profile!$G$53*100,0)))</f>
      </c>
      <c r="M59" s="29">
        <f>IF((IF(ISNUMBER(Matching_Engine!$J$59),Lookup_Lists!$D$332,0)+IF(ISNUMBER(Matching_Engine!$K$59),Lookup_Lists!$D$333,0)+IF(ISNUMBER(Matching_Engine!$L$59),Lookup_Lists!$D$334,0))=0,"N/A",ROUND((IF(ISNUMBER(Matching_Engine!$J$59),Matching_Engine!$J$59*Lookup_Lists!$D$332,0)+IF(ISNUMBER(Matching_Engine!$K$59),Matching_Engine!$K$59*Lookup_Lists!$D$333,0)+IF(ISNUMBER(Matching_Engine!$L$59),Matching_Engine!$L$59*Lookup_Lists!$D$334,0))/(IF(ISNUMBER(Matching_Engine!$J$59),Lookup_Lists!$D$332,0)+IF(ISNUMBER(Matching_Engine!$K$59),Lookup_Lists!$D$333,0)+IF(ISNUMBER(Matching_Engine!$L$59),Lookup_Lists!$D$334,0)),0))</f>
      </c>
      <c r="N59" s="11">
        <f>IF(ISNUMBER(Matching_Engine!$M$59),1,0)</f>
      </c>
      <c r="O59" s="18">
        <f>IF(NOT(ISNUMBER(IFERROR(INDEX(KOL_Source_Data!$V$11:KOL_Source_Data!$Z$11,1,MATCH(Brand_Profile!$G$11,Lookup_Lists!$F$6:$F$10,0)),""))),"N/A",MIN(100,ROUND((IFERROR(INDEX(KOL_Source_Data!$V$11:KOL_Source_Data!$Z$11,1,MATCH(Brand_Profile!$G$11,Lookup_Lists!$F$6:$F$10,0)),"")+0.5*IF(ISNUMBER(IFERROR(INDEX(KOL_Source_Data!$V$11:KOL_Source_Data!$Z$11,1,MATCH(Brand_Profile!$G$12,Lookup_Lists!$F$6:$F$10,0)),"")),IFERROR(INDEX(KOL_Source_Data!$V$11:KOL_Source_Data!$Z$11,1,MATCH(Brand_Profile!$G$12,Lookup_Lists!$F$6:$F$10,0)),""),0))/Lookup_Lists!$D$142*100,0)))</f>
      </c>
      <c r="P59" s="18">
        <f>IF(Brand_Profile!$G$13="Any",100,IF(NOT(ISNUMBER(KOL_Source_Data!$AA$11)),"N/A",IF(Brand_Profile!$G$13="Female",MIN(100,ROUND(KOL_Source_Data!$AA$11/Lookup_Lists!$D$143*100,0)),IF(Brand_Profile!$G$13="Male",MIN(100,ROUND(IF(ISNUMBER(KOL_Source_Data!$AB$11),KOL_Source_Data!$AB$11,100-KOL_Source_Data!$AA$11)/Lookup_Lists!$D$143*100,0)),MAX(0,ROUND(100-ABS(KOL_Source_Data!$AA$11-50)*2,0))))))</f>
      </c>
      <c r="Q59" s="18">
        <f>IF((IF(ISNUMBER(IF(NOT(ISNUMBER(KOL_Source_Data!$AE$11)),"N/A",IF(KOL_Source_Data!$AD$11&lt;&gt;Brand_Profile!$G$14,Lookup_Lists!$D$151,MIN(100,ROUND(KOL_Source_Data!$AE$11/Lookup_Lists!$D$316*100,0))))),Lookup_Lists!$D$118,0)+IF(ISNUMBER(IF(NOT(ISNUMBER(KOL_Source_Data!$AM$11)),"N/A",MIN(100,ROUND((IF(KOL_Source_Data!$AG$11=Brand_Profile!$G$15,IF(ISNUMBER(KOL_Source_Data!$AH$11),KOL_Source_Data!$AH$11,0),0)+IF(KOL_Source_Data!$AI$11=Brand_Profile!$G$15,IF(ISNUMBER(KOL_Source_Data!$AJ$11),KOL_Source_Data!$AJ$11,0),0)+IF(KOL_Source_Data!$AK$11=Brand_Profile!$G$15,IF(ISNUMBER(KOL_Source_Data!$AL$11),KOL_Source_Data!$AL$11,0),0))/Lookup_Lists!$D$317*100,0)))),Lookup_Lists!$D$120,0))=0,"N/A",ROUND((IF(ISNUMBER(IF(NOT(ISNUMBER(KOL_Source_Data!$AE$11)),"N/A",IF(KOL_Source_Data!$AD$11&lt;&gt;Brand_Profile!$G$14,Lookup_Lists!$D$151,MIN(100,ROUND(KOL_Source_Data!$AE$11/Lookup_Lists!$D$316*100,0))))),IF(NOT(ISNUMBER(KOL_Source_Data!$AE$11)),"N/A",IF(KOL_Source_Data!$AD$11&lt;&gt;Brand_Profile!$G$14,Lookup_Lists!$D$151,MIN(100,ROUND(KOL_Source_Data!$AE$11/Lookup_Lists!$D$316*100,0))))*Lookup_Lists!$D$118,0)+IF(ISNUMBER(IF(NOT(ISNUMBER(KOL_Source_Data!$AM$11)),"N/A",MIN(100,ROUND((IF(KOL_Source_Data!$AG$11=Brand_Profile!$G$15,IF(ISNUMBER(KOL_Source_Data!$AH$11),KOL_Source_Data!$AH$11,0),0)+IF(KOL_Source_Data!$AI$11=Brand_Profile!$G$15,IF(ISNUMBER(KOL_Source_Data!$AJ$11),KOL_Source_Data!$AJ$11,0),0)+IF(KOL_Source_Data!$AK$11=Brand_Profile!$G$15,IF(ISNUMBER(KOL_Source_Data!$AL$11),KOL_Source_Data!$AL$11,0),0))/Lookup_Lists!$D$317*100,0)))),IF(NOT(ISNUMBER(KOL_Source_Data!$AM$11)),"N/A",MIN(100,ROUND((IF(KOL_Source_Data!$AG$11=Brand_Profile!$G$15,IF(ISNUMBER(KOL_Source_Data!$AH$11),KOL_Source_Data!$AH$11,0),0)+IF(KOL_Source_Data!$AI$11=Brand_Profile!$G$15,IF(ISNUMBER(KOL_Source_Data!$AJ$11),KOL_Source_Data!$AJ$11,0),0)+IF(KOL_Source_Data!$AK$11=Brand_Profile!$G$15,IF(ISNUMBER(KOL_Source_Data!$AL$11),KOL_Source_Data!$AL$11,0),0))/Lookup_Lists!$D$317*100,0)))*Lookup_Lists!$D$120,0))/(IF(ISNUMBER(IF(NOT(ISNUMBER(KOL_Source_Data!$AE$11)),"N/A",IF(KOL_Source_Data!$AD$11&lt;&gt;Brand_Profile!$G$14,Lookup_Lists!$D$151,MIN(100,ROUND(KOL_Source_Data!$AE$11/Lookup_Lists!$D$316*100,0))))),Lookup_Lists!$D$118,0)+IF(ISNUMBER(IF(NOT(ISNUMBER(KOL_Source_Data!$AM$11)),"N/A",MIN(100,ROUND((IF(KOL_Source_Data!$AG$11=Brand_Profile!$G$15,IF(ISNUMBER(KOL_Source_Data!$AH$11),KOL_Source_Data!$AH$11,0),0)+IF(KOL_Source_Data!$AI$11=Brand_Profile!$G$15,IF(ISNUMBER(KOL_Source_Data!$AJ$11),KOL_Source_Data!$AJ$11,0),0)+IF(KOL_Source_Data!$AK$11=Brand_Profile!$G$15,IF(ISNUMBER(KOL_Source_Data!$AL$11),KOL_Source_Data!$AL$11,0),0))/Lookup_Lists!$D$317*100,0)))),Lookup_Lists!$D$120,0)),0))</f>
      </c>
      <c r="R59" s="18">
        <f>IF(NOT(ISNUMBER(KOL_Source_Data!$AN$11)),"N/A",MIN(100,ROUND((IF(ISNUMBER(KOL_Source_Data!$AO$11),KOL_Source_Data!$AO$11*Brand_Profile!$G$17,0)+IF(ISNUMBER(KOL_Source_Data!$AP$11),KOL_Source_Data!$AP$11*Brand_Profile!$G$18,0)+IF(ISNUMBER(KOL_Source_Data!$AQ$11),KOL_Source_Data!$AQ$11*Brand_Profile!$G$19,0)+IF(ISNUMBER(KOL_Source_Data!$AR$11),KOL_Source_Data!$AR$11*Brand_Profile!$G$20,0)+IF(ISNUMBER(KOL_Source_Data!$AS$11),KOL_Source_Data!$AS$11*Brand_Profile!$G$21,0)+IF(ISNUMBER(KOL_Source_Data!$AT$11),KOL_Source_Data!$AT$11*Brand_Profile!$G$22,0)+IF(ISNUMBER(KOL_Source_Data!$AU$11),KOL_Source_Data!$AU$11*Brand_Profile!$G$23,0)+IF(ISNUMBER(KOL_Source_Data!$AV$11),KOL_Source_Data!$AV$11*Brand_Profile!$G$24,0)+IF(ISNUMBER(KOL_Source_Data!$AW$11),KOL_Source_Data!$AW$11*Brand_Profile!$G$25,0)+IF(ISNUMBER(KOL_Source_Data!$AX$11),KOL_Source_Data!$AX$11*Brand_Profile!$G$26,0)+IF(ISNUMBER(KOL_Source_Data!$AY$11),KOL_Source_Data!$AY$11*Brand_Profile!$G$27,0)+IF(ISNUMBER(KOL_Source_Data!$AZ$11),KOL_Source_Data!$AZ$11*Brand_Profile!$G$28,0)+IF(ISNUMBER(KOL_Source_Data!$BA$11),KOL_Source_Data!$BA$11*Brand_Profile!$G$29,0)+IF(ISNUMBER(KOL_Source_Data!$BB$11),KOL_Source_Data!$BB$11*Brand_Profile!$G$30,0)+IF(ISNUMBER(KOL_Source_Data!$BC$11),KOL_Source_Data!$BC$11*Brand_Profile!$G$31,0)+IF(ISNUMBER(KOL_Source_Data!$BD$11),KOL_Source_Data!$BD$11*Brand_Profile!$G$32,0)+IF(ISNUMBER(KOL_Source_Data!$BE$11),KOL_Source_Data!$BE$11*Brand_Profile!$G$33,0)+IF(ISNUMBER(KOL_Source_Data!$BF$11),KOL_Source_Data!$BF$11*Brand_Profile!$G$34,0))/Lookup_Lists!$D$318*100,0)))</f>
      </c>
      <c r="S59" s="29">
        <f>IF((IF(ISNUMBER(Matching_Engine!$O$59),Lookup_Lists!$D$113,0)+IF(ISNUMBER(Matching_Engine!$P$59),Lookup_Lists!$D$114,0)+IF(ISNUMBER(Matching_Engine!$Q$59),Lookup_Lists!$D$115,0)+IF(ISNUMBER(Matching_Engine!$R$59),Lookup_Lists!$D$116,0))=0,"N/A",ROUND((IF(ISNUMBER(Matching_Engine!$O$59),Matching_Engine!$O$59*Lookup_Lists!$D$113,0)+IF(ISNUMBER(Matching_Engine!$P$59),Matching_Engine!$P$59*Lookup_Lists!$D$114,0)+IF(ISNUMBER(Matching_Engine!$Q$59),Matching_Engine!$Q$59*Lookup_Lists!$D$115,0)+IF(ISNUMBER(Matching_Engine!$R$59),Matching_Engine!$R$59*Lookup_Lists!$D$116,0))/(IF(ISNUMBER(Matching_Engine!$O$59),Lookup_Lists!$D$113,0)+IF(ISNUMBER(Matching_Engine!$P$59),Lookup_Lists!$D$114,0)+IF(ISNUMBER(Matching_Engine!$Q$59),Lookup_Lists!$D$115,0)+IF(ISNUMBER(Matching_Engine!$R$59),Lookup_Lists!$D$116,0)),0))</f>
      </c>
      <c r="T59" s="11">
        <f>IF(ISNUMBER(Matching_Engine!$S$59),1,0)</f>
      </c>
      <c r="U59" s="18">
        <f>IF(NOT(AND(ISTEXT(KOL_Source_Data!$M$11),KOL_Source_Data!$M$11&lt;&gt;"N/A")),Lookup_Lists!$D$150,IF(Brand_Profile!$G$7=KOL_Source_Data!$M$11,100,IFERROR(INDEX(Lookup_Lists!$B$349:$J$357,MATCH(Brand_Profile!$G$7,Lookup_Lists!$A$349:$A$357,0),MATCH(KOL_Source_Data!$M$11,Lookup_Lists!$B$348:$J$348,0)),Lookup_Lists!$D$151)))</f>
      </c>
      <c r="V59" s="18">
        <f>IF(NOT(AND(ISTEXT(KOL_Source_Data!$P$11),KOL_Source_Data!$P$11&lt;&gt;"N/A")),"N/A",IFERROR(INDEX(Lookup_Lists!$B$349:$J$357,MATCH(Brand_Profile!$G$7,Lookup_Lists!$A$349:$A$357,0),MATCH(KOL_Source_Data!$P$11,Lookup_Lists!$B$348:$J$348,0)),Lookup_Lists!$D$151))</f>
      </c>
      <c r="W59" s="18">
        <f>IF(LEN(TRIM(SUBSTITUTE(Matching_Engine!$BE$59,"|","")))=0,"N/A",IF(Brand_Profile!$G$60=0,Lookup_Lists!$D$150,ROUND((IF(Brand_Profile!$G$54="",0,IF(ISNUMBER(SEARCH(Brand_Profile!$G$54,Matching_Engine!$BE$59)),1,0))+IF(Brand_Profile!$G$55="",0,IF(ISNUMBER(SEARCH(Brand_Profile!$G$55,Matching_Engine!$BE$59)),1,0))+IF(Brand_Profile!$G$56="",0,IF(ISNUMBER(SEARCH(Brand_Profile!$G$56,Matching_Engine!$BE$59)),1,0))+IF(Brand_Profile!$G$57="",0,IF(ISNUMBER(SEARCH(Brand_Profile!$G$57,Matching_Engine!$BE$59)),1,0))+IF(Brand_Profile!$G$58="",0,IF(ISNUMBER(SEARCH(Brand_Profile!$G$58,Matching_Engine!$BE$59)),1,0))+IF(Brand_Profile!$G$59="",0,IF(ISNUMBER(SEARCH(Brand_Profile!$G$59,Matching_Engine!$BE$59)),1,0)))/Brand_Profile!$G$60*100,0)))</f>
      </c>
      <c r="X59" s="18">
        <f>IF(NOT(AND(ISTEXT(KOL_Source_Data!$Q$11),KOL_Source_Data!$Q$11&lt;&gt;"N/A")),"N/A",Lookup_Lists!$D$150)</f>
      </c>
      <c r="Y59" s="29">
        <f>IF((IF(ISNUMBER(Matching_Engine!$U$59),Lookup_Lists!$D$335,0)+IF(ISNUMBER(Matching_Engine!$V$59),Lookup_Lists!$D$122,0)+IF(ISNUMBER(Matching_Engine!$W$59),Lookup_Lists!$D$336,0)+IF(ISNUMBER(Matching_Engine!$X$59),Lookup_Lists!$D$124,0))=0,"N/A",ROUND((IF(ISNUMBER(Matching_Engine!$U$59),Matching_Engine!$U$59*Lookup_Lists!$D$335,0)+IF(ISNUMBER(Matching_Engine!$V$59),Matching_Engine!$V$59*Lookup_Lists!$D$122,0)+IF(ISNUMBER(Matching_Engine!$W$59),Matching_Engine!$W$59*Lookup_Lists!$D$336,0)+IF(ISNUMBER(Matching_Engine!$X$59),Matching_Engine!$X$59*Lookup_Lists!$D$124,0))/(IF(ISNUMBER(Matching_Engine!$U$59),Lookup_Lists!$D$335,0)+IF(ISNUMBER(Matching_Engine!$V$59),Lookup_Lists!$D$122,0)+IF(ISNUMBER(Matching_Engine!$W$59),Lookup_Lists!$D$336,0)+IF(ISNUMBER(Matching_Engine!$X$59),Lookup_Lists!$D$124,0)),0))</f>
      </c>
      <c r="Z59" s="11">
        <f>IF(ISNUMBER(Matching_Engine!$Y$59),1,0)</f>
      </c>
      <c r="AA59" s="18">
        <f>IF(NOT(AND(ISTEXT(KOL_Source_Data!$Q$11),KOL_Source_Data!$Q$11&lt;&gt;"N/A")),"N/A",Lookup_Lists!$D$150)</f>
      </c>
      <c r="AB59" s="18">
        <f>IF(NOT(AND(ISTEXT(KOL_Source_Data!$Q$11),KOL_Source_Data!$Q$11&lt;&gt;"N/A")),"N/A",Lookup_Lists!$D$150)</f>
      </c>
      <c r="AC59" s="18">
        <f>"N/A"</f>
      </c>
      <c r="AD59" s="18">
        <f>IF(NOT(AND(ISTEXT(KOL_Source_Data!$Q$11),KOL_Source_Data!$Q$11&lt;&gt;"N/A")),"N/A",Lookup_Lists!$D$150)</f>
      </c>
      <c r="AE59" s="29">
        <f>IF((IF(ISNUMBER(Matching_Engine!$AA$59),Lookup_Lists!$D$125,0)+IF(ISNUMBER(Matching_Engine!$AB$59),Lookup_Lists!$D$126,0)+IF(ISNUMBER(Matching_Engine!$AC$59),Lookup_Lists!$D$127,0)+IF(ISNUMBER(Matching_Engine!$AD$59),Lookup_Lists!$D$128,0))=0,"N/A",ROUND((IF(ISNUMBER(Matching_Engine!$AA$59),Matching_Engine!$AA$59*Lookup_Lists!$D$125,0)+IF(ISNUMBER(Matching_Engine!$AB$59),Matching_Engine!$AB$59*Lookup_Lists!$D$126,0)+IF(ISNUMBER(Matching_Engine!$AC$59),Matching_Engine!$AC$59*Lookup_Lists!$D$127,0)+IF(ISNUMBER(Matching_Engine!$AD$59),Matching_Engine!$AD$59*Lookup_Lists!$D$128,0))/(IF(ISNUMBER(Matching_Engine!$AA$59),Lookup_Lists!$D$125,0)+IF(ISNUMBER(Matching_Engine!$AB$59),Lookup_Lists!$D$126,0)+IF(ISNUMBER(Matching_Engine!$AC$59),Lookup_Lists!$D$127,0)+IF(ISNUMBER(Matching_Engine!$AD$59),Lookup_Lists!$D$128,0)),0))</f>
      </c>
      <c r="AF59" s="11">
        <f>IF(ISNUMBER(Matching_Engine!$AE$59),1,0)</f>
      </c>
      <c r="AG59" s="18">
        <f>IF(NOT(ISNUMBER(KOL_Source_Data!$BG$11)),"N/A",MIN(100,ROUND(KOL_Source_Data!$BG$11/IFERROR(INDEX(Lookup_Lists!$B$340:$B$344,MATCH(KOL_Source_Data!$H$11,Lookup_Lists!$A$340:$A$344,0)),Lookup_Lists!$D$141)*100,0)))</f>
      </c>
      <c r="AH59" s="18">
        <f>IF(NOT(ISNUMBER(KOL_Source_Data!$BS$11)),"N/A",MIN(100,MAX(0,KOL_Source_Data!$BS$11)))</f>
      </c>
      <c r="AI59" s="18">
        <f>IF(OR(NOT(ISNUMBER(KOL_Source_Data!$BM$11)),NOT(ISNUMBER(KOL_Source_Data!$BN$11)),KOL_Source_Data!$BN$11&lt;Lookup_Lists!$D$320),"N/A",MIN(100,ROUND(KOL_Source_Data!$BM$11/Lookup_Lists!$D$319*100,0)))</f>
      </c>
      <c r="AJ59" s="18">
        <f>IF(NOT(ISNUMBER(KOL_Source_Data!$BR$11)),"N/A",KOL_Source_Data!$BR$11)</f>
      </c>
      <c r="AK59" s="18">
        <f>IF(NOT(ISNUMBER(KOL_Source_Data!$BK$11)),"N/A",MIN(100,ROUND(KOL_Source_Data!$BK$11/Lookup_Lists!$D$321*100,0)))</f>
      </c>
      <c r="AL59" s="18">
        <f>IF(NOT(ISNUMBER(KOL_Source_Data!$BP$11)),"N/A",MIN(100,MAX(0,ROUND((KOL_Source_Data!$BP$11+2)/(Lookup_Lists!$D$145+2)*100,0))))</f>
      </c>
      <c r="AM59" s="29">
        <f>IF((IF(ISNUMBER(Matching_Engine!$AG$59),Lookup_Lists!$D$129,0)+IF(ISNUMBER(Matching_Engine!$AH$59),Lookup_Lists!$D$130,0)+IF(ISNUMBER(Matching_Engine!$AI$59),Lookup_Lists!$D$131,0)+IF(ISNUMBER(Matching_Engine!$AJ$59),Lookup_Lists!$D$132,0)+IF(ISNUMBER(Matching_Engine!$AK$59),Lookup_Lists!$D$133,0)+IF(ISNUMBER(Matching_Engine!$AL$59),Lookup_Lists!$D$134,0))=0,"N/A",ROUND((IF(ISNUMBER(Matching_Engine!$AG$59),Matching_Engine!$AG$59*Lookup_Lists!$D$129,0)+IF(ISNUMBER(Matching_Engine!$AH$59),Matching_Engine!$AH$59*Lookup_Lists!$D$130,0)+IF(ISNUMBER(Matching_Engine!$AI$59),Matching_Engine!$AI$59*Lookup_Lists!$D$131,0)+IF(ISNUMBER(Matching_Engine!$AJ$59),Matching_Engine!$AJ$59*Lookup_Lists!$D$132,0)+IF(ISNUMBER(Matching_Engine!$AK$59),Matching_Engine!$AK$59*Lookup_Lists!$D$133,0)+IF(ISNUMBER(Matching_Engine!$AL$59),Matching_Engine!$AL$59*Lookup_Lists!$D$134,0))/(IF(ISNUMBER(Matching_Engine!$AG$59),Lookup_Lists!$D$129,0)+IF(ISNUMBER(Matching_Engine!$AH$59),Lookup_Lists!$D$130,0)+IF(ISNUMBER(Matching_Engine!$AI$59),Lookup_Lists!$D$131,0)+IF(ISNUMBER(Matching_Engine!$AJ$59),Lookup_Lists!$D$132,0)+IF(ISNUMBER(Matching_Engine!$AK$59),Lookup_Lists!$D$133,0)+IF(ISNUMBER(Matching_Engine!$AL$59),Lookup_Lists!$D$134,0)),0))</f>
      </c>
      <c r="AN59" s="11">
        <f>IF(ISNUMBER(Matching_Engine!$AM$59),1,0)</f>
      </c>
      <c r="AO59" s="18">
        <f>IF(NOT(ISNUMBER(KOL_Source_Data!$BT$11)),"N/A",MIN(100,MAX(0,KOL_Source_Data!$BT$11)))</f>
      </c>
      <c r="AP59" s="18">
        <f>IF(NOT(ISNUMBER(KOL_Source_Data!$BU$11)),"N/A",MIN(100,MAX(0,KOL_Source_Data!$BU$11)))</f>
      </c>
      <c r="AQ59" s="18">
        <f>IF(KOL_Source_Data!$I$11="Yes",Lookup_Lists!$D$326,IF(KOL_Source_Data!$I$11="No",Lookup_Lists!$D$327,"N/A"))</f>
      </c>
      <c r="AR59" s="18">
        <f>IF(NOT(ISNUMBER(KOL_Source_Data!$BQ$11)),"N/A",MAX(0,ROUND(100-KOL_Source_Data!$BQ$11/Lookup_Lists!$D$328*100,0)))</f>
      </c>
      <c r="AS59" s="18">
        <f>IF(NOT(AND(ISTEXT(KOL_Source_Data!$BV$11),KOL_Source_Data!$BV$11&lt;&gt;"N/A")),"N/A",KOL_Source_Data!$BV$11)</f>
      </c>
      <c r="AT59" s="29">
        <f>IF((IF(ISNUMBER(Matching_Engine!$AO$59),Lookup_Lists!$D$322,0)+IF(ISNUMBER(Matching_Engine!$AP$59),Lookup_Lists!$D$323,0)+IF(ISNUMBER(Matching_Engine!$AQ$59),Lookup_Lists!$D$324,0)+IF(ISNUMBER(Matching_Engine!$AR$59),Lookup_Lists!$D$325,0))=0,"N/A",ROUND((IF(ISNUMBER(Matching_Engine!$AO$59),Matching_Engine!$AO$59*Lookup_Lists!$D$322,0)+IF(ISNUMBER(Matching_Engine!$AP$59),Matching_Engine!$AP$59*Lookup_Lists!$D$323,0)+IF(ISNUMBER(Matching_Engine!$AQ$59),Matching_Engine!$AQ$59*Lookup_Lists!$D$324,0)+IF(ISNUMBER(Matching_Engine!$AR$59),Matching_Engine!$AR$59*Lookup_Lists!$D$325,0))/(IF(ISNUMBER(Matching_Engine!$AO$59),Lookup_Lists!$D$322,0)+IF(ISNUMBER(Matching_Engine!$AP$59),Lookup_Lists!$D$323,0)+IF(ISNUMBER(Matching_Engine!$AQ$59),Lookup_Lists!$D$324,0)+IF(ISNUMBER(Matching_Engine!$AR$59),Lookup_Lists!$D$325,0)),0))</f>
      </c>
      <c r="AU59" s="11">
        <f>IF(ISNUMBER(Matching_Engine!$AT$59),1,0)</f>
      </c>
      <c r="AV59" s="11">
        <f>IF(NOT(ISNUMBER(Matching_Engine!$AT$59)),"Not Screened",IF(Matching_Engine!$AT$59&gt;=Lookup_Lists!$D$329,"Low Risk",IF(Matching_Engine!$AT$59&gt;=Lookup_Lists!$D$330,"Moderate Risk",IF(Matching_Engine!$AT$59&gt;=Lookup_Lists!$D$331,"Elevated Risk","High Risk"))))</f>
      </c>
      <c r="AW59" s="11">
        <f>IF(NOT(ISNUMBER(Matching_Engine!$AT$59)),"No integrity signal: no audience-analysis row for this account.","Integrity screen only — no content-risk reading exists (comments_analysis: 0 rows). "&amp;IF(ISNUMBER(Matching_Engine!$AO$59),"Authenticity "&amp;Matching_Engine!$AO$59&amp;". ","Authenticity N/A. ")&amp;IF(ISNUMBER(Matching_Engine!$AP$59),"Follower quality "&amp;Matching_Engine!$AP$59&amp;". ","Follower quality N/A. ")&amp;IF(KOL_Source_Data!$I$11="Yes","Platform-verified.","Not platform-verified."))</f>
      </c>
      <c r="AX59" s="18">
        <f>Matching_Engine!$N$59*Lookup_Lists!$D$104+Matching_Engine!$T$59*Lookup_Lists!$D$105+Matching_Engine!$Z$59*Lookup_Lists!$D$106+Matching_Engine!$AF$59*Lookup_Lists!$D$107+Matching_Engine!$AN$59*Lookup_Lists!$D$108+Matching_Engine!$AU$59*Lookup_Lists!$D$109</f>
      </c>
      <c r="AY59" s="30">
        <f>IF(Matching_Engine!$AX$59=0,"N/A",ROUND((IF(Matching_Engine!$N$59=1,Matching_Engine!$M$59*Lookup_Lists!$D$104,0)+IF(Matching_Engine!$T$59=1,Matching_Engine!$S$59*Lookup_Lists!$D$105,0)+IF(Matching_Engine!$Z$59=1,Matching_Engine!$Y$59*Lookup_Lists!$D$106,0)+IF(Matching_Engine!$AF$59=1,Matching_Engine!$AE$59*Lookup_Lists!$D$107,0)+IF(Matching_Engine!$AN$59=1,Matching_Engine!$AM$59*Lookup_Lists!$D$108,0)+IF(Matching_Engine!$AU$59=1,Matching_Engine!$AT$59*Lookup_Lists!$D$109,0))/Matching_Engine!$AX$59,0))</f>
      </c>
      <c r="AZ59" s="11">
        <f>IF(NOT(ISNUMBER(Matching_Engine!$AY$59)),"Not Scored",IF(Matching_Engine!$AY$59&gt;=Lookup_Lists!$D$152,"Excellent Match",IF(Matching_Engine!$AY$59&gt;=Lookup_Lists!$D$153,"Strong Match",IF(Matching_Engine!$AY$59&gt;=Lookup_Lists!$D$154,"Good Match",IF(Matching_Engine!$AY$59&gt;=Lookup_Lists!$D$155,"Moderate Match","Low Match")))))</f>
      </c>
      <c r="BA59" s="18">
        <f>KOL_Source_Data!$BW$11</f>
      </c>
      <c r="BB59" s="11">
        <f>KOL_Source_Data!$BX$11</f>
      </c>
      <c r="BC59" s="18">
        <f>IF(NOT(ISNUMBER(Matching_Engine!$AY$59)),-1,Matching_Engine!$AY$59*1000+19)</f>
      </c>
      <c r="BD59" s="11">
        <f>IF(AND(ISTEXT(KOL_Source_Data!$S$11),KOL_Source_Data!$S$11&lt;&gt;"N/A"),KOL_Source_Data!$S$11,"")&amp;" | "&amp;IF(AND(ISTEXT(KOL_Source_Data!$T$11),KOL_Source_Data!$T$11&lt;&gt;"N/A"),KOL_Source_Data!$T$11,"")&amp;" | "&amp;IF(AND(ISTEXT(KOL_Source_Data!$N$11),KOL_Source_Data!$N$11&lt;&gt;"N/A"),KOL_Source_Data!$N$11,"")&amp;" | "&amp;IF(AND(ISTEXT(KOL_Source_Data!$K$11),KOL_Source_Data!$K$11&lt;&gt;"N/A"),KOL_Source_Data!$K$11,"")&amp;" | "&amp;IF(AND(ISTEXT(KOL_Source_Data!$J$11),KOL_Source_Data!$J$11&lt;&gt;"N/A"),KOL_Source_Data!$J$11,"")</f>
      </c>
      <c r="BE59" s="11">
        <f>IF(AND(ISTEXT(KOL_Source_Data!$T$11),KOL_Source_Data!$T$11&lt;&gt;"N/A"),KOL_Source_Data!$T$11,"")&amp;" | "&amp;IF(AND(ISTEXT(KOL_Source_Data!$N$11),KOL_Source_Data!$N$11&lt;&gt;"N/A"),KOL_Source_Data!$N$11,"")&amp;" | "&amp;IF(AND(ISTEXT(KOL_Source_Data!$O$11),KOL_Source_Data!$O$11&lt;&gt;"N/A"),KOL_Source_Data!$O$11,"")&amp;" | "&amp;IF(AND(ISTEXT(KOL_Source_Data!$S$11),KOL_Source_Data!$S$11&lt;&gt;"N/A"),KOL_Source_Data!$S$11,"")</f>
      </c>
      <c r="BF59" s="11">
        <f>IF(AND(ISTEXT(KOL_Source_Data!$U$11),KOL_Source_Data!$U$11&lt;&gt;"N/A"),KOL_Source_Data!$U$11,"")</f>
      </c>
      <c r="BG59" s="11">
        <f>Matching_Engine!$A$59&amp;"|"&amp;Matching_Engine!$C$59</f>
      </c>
    </row>
    <row r="60" spans="1:59" x14ac:dyDescent="0.25">
      <c r="A60" s="10" t="s">
        <v>392</v>
      </c>
      <c r="B60" s="11">
        <f>Brand_Profile!$G$6</f>
      </c>
      <c r="C60" s="11">
        <f>KOL_Source_Data!$A$12</f>
      </c>
      <c r="D60" s="11">
        <f>KOL_Source_Data!$C$12</f>
      </c>
      <c r="E60" s="11">
        <f>KOL_Source_Data!$D$12</f>
      </c>
      <c r="F60" s="11">
        <f>KOL_Source_Data!$E$12</f>
      </c>
      <c r="G60" s="11">
        <f>KOL_Source_Data!$K$12</f>
      </c>
      <c r="H60" s="12">
        <f>KOL_Source_Data!$G$12</f>
      </c>
      <c r="I60" s="14">
        <f>KOL_Source_Data!$BG$12</f>
      </c>
      <c r="J60" s="18">
        <f>IF(NOT(AND(ISTEXT(KOL_Source_Data!$K$12),KOL_Source_Data!$K$12&lt;&gt;"N/A")),Lookup_Lists!$D$150,IF(Brand_Profile!$G$7=KOL_Source_Data!$K$12,100,IFERROR(INDEX(Lookup_Lists!$B$349:$J$357,MATCH(Brand_Profile!$G$7,Lookup_Lists!$A$349:$A$357,0),MATCH(KOL_Source_Data!$K$12,Lookup_Lists!$B$348:$J$348,0)),Lookup_Lists!$D$151)))</f>
      </c>
      <c r="K60" s="18">
        <f>IF(LEN(TRIM(SUBSTITUTE(Matching_Engine!$BD$60,"|","")))=0,"N/A",IF(Brand_Profile!$G$47=0,Lookup_Lists!$D$150,ROUND((IF(Brand_Profile!$G$41="",0,IF(ISNUMBER(SEARCH(Brand_Profile!$G$41,Matching_Engine!$BD$60)),1,0))+IF(Brand_Profile!$G$42="",0,IF(ISNUMBER(SEARCH(Brand_Profile!$G$42,Matching_Engine!$BD$60)),1,0))+IF(Brand_Profile!$G$43="",0,IF(ISNUMBER(SEARCH(Brand_Profile!$G$43,Matching_Engine!$BD$60)),1,0))+IF(Brand_Profile!$G$44="",0,IF(ISNUMBER(SEARCH(Brand_Profile!$G$44,Matching_Engine!$BD$60)),1,0))+IF(Brand_Profile!$G$45="",0,IF(ISNUMBER(SEARCH(Brand_Profile!$G$45,Matching_Engine!$BD$60)),1,0))+IF(Brand_Profile!$G$46="",0,IF(ISNUMBER(SEARCH(Brand_Profile!$G$46,Matching_Engine!$BD$60)),1,0)))/Brand_Profile!$G$47*100,0)))</f>
      </c>
      <c r="L60" s="18">
        <f>IF(NOT(AND(ISTEXT(KOL_Source_Data!$U$12),KOL_Source_Data!$U$12&lt;&gt;"N/A")),"N/A",IF(Brand_Profile!$G$53=0,Lookup_Lists!$D$150,ROUND((IF(Brand_Profile!$G$48="",0,IF(ISNUMBER(SEARCH(Brand_Profile!$G$48,Matching_Engine!$BF$60)),1,0))+IF(Brand_Profile!$G$49="",0,IF(ISNUMBER(SEARCH(Brand_Profile!$G$49,Matching_Engine!$BF$60)),1,0))+IF(Brand_Profile!$G$50="",0,IF(ISNUMBER(SEARCH(Brand_Profile!$G$50,Matching_Engine!$BF$60)),1,0))+IF(Brand_Profile!$G$51="",0,IF(ISNUMBER(SEARCH(Brand_Profile!$G$51,Matching_Engine!$BF$60)),1,0))+IF(Brand_Profile!$G$52="",0,IF(ISNUMBER(SEARCH(Brand_Profile!$G$52,Matching_Engine!$BF$60)),1,0)))/Brand_Profile!$G$53*100,0)))</f>
      </c>
      <c r="M60" s="29">
        <f>IF((IF(ISNUMBER(Matching_Engine!$J$60),Lookup_Lists!$D$332,0)+IF(ISNUMBER(Matching_Engine!$K$60),Lookup_Lists!$D$333,0)+IF(ISNUMBER(Matching_Engine!$L$60),Lookup_Lists!$D$334,0))=0,"N/A",ROUND((IF(ISNUMBER(Matching_Engine!$J$60),Matching_Engine!$J$60*Lookup_Lists!$D$332,0)+IF(ISNUMBER(Matching_Engine!$K$60),Matching_Engine!$K$60*Lookup_Lists!$D$333,0)+IF(ISNUMBER(Matching_Engine!$L$60),Matching_Engine!$L$60*Lookup_Lists!$D$334,0))/(IF(ISNUMBER(Matching_Engine!$J$60),Lookup_Lists!$D$332,0)+IF(ISNUMBER(Matching_Engine!$K$60),Lookup_Lists!$D$333,0)+IF(ISNUMBER(Matching_Engine!$L$60),Lookup_Lists!$D$334,0)),0))</f>
      </c>
      <c r="N60" s="11">
        <f>IF(ISNUMBER(Matching_Engine!$M$60),1,0)</f>
      </c>
      <c r="O60" s="18">
        <f>IF(NOT(ISNUMBER(IFERROR(INDEX(KOL_Source_Data!$V$12:KOL_Source_Data!$Z$12,1,MATCH(Brand_Profile!$G$11,Lookup_Lists!$F$6:$F$10,0)),""))),"N/A",MIN(100,ROUND((IFERROR(INDEX(KOL_Source_Data!$V$12:KOL_Source_Data!$Z$12,1,MATCH(Brand_Profile!$G$11,Lookup_Lists!$F$6:$F$10,0)),"")+0.5*IF(ISNUMBER(IFERROR(INDEX(KOL_Source_Data!$V$12:KOL_Source_Data!$Z$12,1,MATCH(Brand_Profile!$G$12,Lookup_Lists!$F$6:$F$10,0)),"")),IFERROR(INDEX(KOL_Source_Data!$V$12:KOL_Source_Data!$Z$12,1,MATCH(Brand_Profile!$G$12,Lookup_Lists!$F$6:$F$10,0)),""),0))/Lookup_Lists!$D$142*100,0)))</f>
      </c>
      <c r="P60" s="18">
        <f>IF(Brand_Profile!$G$13="Any",100,IF(NOT(ISNUMBER(KOL_Source_Data!$AA$12)),"N/A",IF(Brand_Profile!$G$13="Female",MIN(100,ROUND(KOL_Source_Data!$AA$12/Lookup_Lists!$D$143*100,0)),IF(Brand_Profile!$G$13="Male",MIN(100,ROUND(IF(ISNUMBER(KOL_Source_Data!$AB$12),KOL_Source_Data!$AB$12,100-KOL_Source_Data!$AA$12)/Lookup_Lists!$D$143*100,0)),MAX(0,ROUND(100-ABS(KOL_Source_Data!$AA$12-50)*2,0))))))</f>
      </c>
      <c r="Q60" s="18">
        <f>IF((IF(ISNUMBER(IF(NOT(ISNUMBER(KOL_Source_Data!$AE$12)),"N/A",IF(KOL_Source_Data!$AD$12&lt;&gt;Brand_Profile!$G$14,Lookup_Lists!$D$151,MIN(100,ROUND(KOL_Source_Data!$AE$12/Lookup_Lists!$D$316*100,0))))),Lookup_Lists!$D$118,0)+IF(ISNUMBER(IF(NOT(ISNUMBER(KOL_Source_Data!$AM$12)),"N/A",MIN(100,ROUND((IF(KOL_Source_Data!$AG$12=Brand_Profile!$G$15,IF(ISNUMBER(KOL_Source_Data!$AH$12),KOL_Source_Data!$AH$12,0),0)+IF(KOL_Source_Data!$AI$12=Brand_Profile!$G$15,IF(ISNUMBER(KOL_Source_Data!$AJ$12),KOL_Source_Data!$AJ$12,0),0)+IF(KOL_Source_Data!$AK$12=Brand_Profile!$G$15,IF(ISNUMBER(KOL_Source_Data!$AL$12),KOL_Source_Data!$AL$12,0),0))/Lookup_Lists!$D$317*100,0)))),Lookup_Lists!$D$120,0))=0,"N/A",ROUND((IF(ISNUMBER(IF(NOT(ISNUMBER(KOL_Source_Data!$AE$12)),"N/A",IF(KOL_Source_Data!$AD$12&lt;&gt;Brand_Profile!$G$14,Lookup_Lists!$D$151,MIN(100,ROUND(KOL_Source_Data!$AE$12/Lookup_Lists!$D$316*100,0))))),IF(NOT(ISNUMBER(KOL_Source_Data!$AE$12)),"N/A",IF(KOL_Source_Data!$AD$12&lt;&gt;Brand_Profile!$G$14,Lookup_Lists!$D$151,MIN(100,ROUND(KOL_Source_Data!$AE$12/Lookup_Lists!$D$316*100,0))))*Lookup_Lists!$D$118,0)+IF(ISNUMBER(IF(NOT(ISNUMBER(KOL_Source_Data!$AM$12)),"N/A",MIN(100,ROUND((IF(KOL_Source_Data!$AG$12=Brand_Profile!$G$15,IF(ISNUMBER(KOL_Source_Data!$AH$12),KOL_Source_Data!$AH$12,0),0)+IF(KOL_Source_Data!$AI$12=Brand_Profile!$G$15,IF(ISNUMBER(KOL_Source_Data!$AJ$12),KOL_Source_Data!$AJ$12,0),0)+IF(KOL_Source_Data!$AK$12=Brand_Profile!$G$15,IF(ISNUMBER(KOL_Source_Data!$AL$12),KOL_Source_Data!$AL$12,0),0))/Lookup_Lists!$D$317*100,0)))),IF(NOT(ISNUMBER(KOL_Source_Data!$AM$12)),"N/A",MIN(100,ROUND((IF(KOL_Source_Data!$AG$12=Brand_Profile!$G$15,IF(ISNUMBER(KOL_Source_Data!$AH$12),KOL_Source_Data!$AH$12,0),0)+IF(KOL_Source_Data!$AI$12=Brand_Profile!$G$15,IF(ISNUMBER(KOL_Source_Data!$AJ$12),KOL_Source_Data!$AJ$12,0),0)+IF(KOL_Source_Data!$AK$12=Brand_Profile!$G$15,IF(ISNUMBER(KOL_Source_Data!$AL$12),KOL_Source_Data!$AL$12,0),0))/Lookup_Lists!$D$317*100,0)))*Lookup_Lists!$D$120,0))/(IF(ISNUMBER(IF(NOT(ISNUMBER(KOL_Source_Data!$AE$12)),"N/A",IF(KOL_Source_Data!$AD$12&lt;&gt;Brand_Profile!$G$14,Lookup_Lists!$D$151,MIN(100,ROUND(KOL_Source_Data!$AE$12/Lookup_Lists!$D$316*100,0))))),Lookup_Lists!$D$118,0)+IF(ISNUMBER(IF(NOT(ISNUMBER(KOL_Source_Data!$AM$12)),"N/A",MIN(100,ROUND((IF(KOL_Source_Data!$AG$12=Brand_Profile!$G$15,IF(ISNUMBER(KOL_Source_Data!$AH$12),KOL_Source_Data!$AH$12,0),0)+IF(KOL_Source_Data!$AI$12=Brand_Profile!$G$15,IF(ISNUMBER(KOL_Source_Data!$AJ$12),KOL_Source_Data!$AJ$12,0),0)+IF(KOL_Source_Data!$AK$12=Brand_Profile!$G$15,IF(ISNUMBER(KOL_Source_Data!$AL$12),KOL_Source_Data!$AL$12,0),0))/Lookup_Lists!$D$317*100,0)))),Lookup_Lists!$D$120,0)),0))</f>
      </c>
      <c r="R60" s="18">
        <f>IF(NOT(ISNUMBER(KOL_Source_Data!$AN$12)),"N/A",MIN(100,ROUND((IF(ISNUMBER(KOL_Source_Data!$AO$12),KOL_Source_Data!$AO$12*Brand_Profile!$G$17,0)+IF(ISNUMBER(KOL_Source_Data!$AP$12),KOL_Source_Data!$AP$12*Brand_Profile!$G$18,0)+IF(ISNUMBER(KOL_Source_Data!$AQ$12),KOL_Source_Data!$AQ$12*Brand_Profile!$G$19,0)+IF(ISNUMBER(KOL_Source_Data!$AR$12),KOL_Source_Data!$AR$12*Brand_Profile!$G$20,0)+IF(ISNUMBER(KOL_Source_Data!$AS$12),KOL_Source_Data!$AS$12*Brand_Profile!$G$21,0)+IF(ISNUMBER(KOL_Source_Data!$AT$12),KOL_Source_Data!$AT$12*Brand_Profile!$G$22,0)+IF(ISNUMBER(KOL_Source_Data!$AU$12),KOL_Source_Data!$AU$12*Brand_Profile!$G$23,0)+IF(ISNUMBER(KOL_Source_Data!$AV$12),KOL_Source_Data!$AV$12*Brand_Profile!$G$24,0)+IF(ISNUMBER(KOL_Source_Data!$AW$12),KOL_Source_Data!$AW$12*Brand_Profile!$G$25,0)+IF(ISNUMBER(KOL_Source_Data!$AX$12),KOL_Source_Data!$AX$12*Brand_Profile!$G$26,0)+IF(ISNUMBER(KOL_Source_Data!$AY$12),KOL_Source_Data!$AY$12*Brand_Profile!$G$27,0)+IF(ISNUMBER(KOL_Source_Data!$AZ$12),KOL_Source_Data!$AZ$12*Brand_Profile!$G$28,0)+IF(ISNUMBER(KOL_Source_Data!$BA$12),KOL_Source_Data!$BA$12*Brand_Profile!$G$29,0)+IF(ISNUMBER(KOL_Source_Data!$BB$12),KOL_Source_Data!$BB$12*Brand_Profile!$G$30,0)+IF(ISNUMBER(KOL_Source_Data!$BC$12),KOL_Source_Data!$BC$12*Brand_Profile!$G$31,0)+IF(ISNUMBER(KOL_Source_Data!$BD$12),KOL_Source_Data!$BD$12*Brand_Profile!$G$32,0)+IF(ISNUMBER(KOL_Source_Data!$BE$12),KOL_Source_Data!$BE$12*Brand_Profile!$G$33,0)+IF(ISNUMBER(KOL_Source_Data!$BF$12),KOL_Source_Data!$BF$12*Brand_Profile!$G$34,0))/Lookup_Lists!$D$318*100,0)))</f>
      </c>
      <c r="S60" s="29">
        <f>IF((IF(ISNUMBER(Matching_Engine!$O$60),Lookup_Lists!$D$113,0)+IF(ISNUMBER(Matching_Engine!$P$60),Lookup_Lists!$D$114,0)+IF(ISNUMBER(Matching_Engine!$Q$60),Lookup_Lists!$D$115,0)+IF(ISNUMBER(Matching_Engine!$R$60),Lookup_Lists!$D$116,0))=0,"N/A",ROUND((IF(ISNUMBER(Matching_Engine!$O$60),Matching_Engine!$O$60*Lookup_Lists!$D$113,0)+IF(ISNUMBER(Matching_Engine!$P$60),Matching_Engine!$P$60*Lookup_Lists!$D$114,0)+IF(ISNUMBER(Matching_Engine!$Q$60),Matching_Engine!$Q$60*Lookup_Lists!$D$115,0)+IF(ISNUMBER(Matching_Engine!$R$60),Matching_Engine!$R$60*Lookup_Lists!$D$116,0))/(IF(ISNUMBER(Matching_Engine!$O$60),Lookup_Lists!$D$113,0)+IF(ISNUMBER(Matching_Engine!$P$60),Lookup_Lists!$D$114,0)+IF(ISNUMBER(Matching_Engine!$Q$60),Lookup_Lists!$D$115,0)+IF(ISNUMBER(Matching_Engine!$R$60),Lookup_Lists!$D$116,0)),0))</f>
      </c>
      <c r="T60" s="11">
        <f>IF(ISNUMBER(Matching_Engine!$S$60),1,0)</f>
      </c>
      <c r="U60" s="18">
        <f>IF(NOT(AND(ISTEXT(KOL_Source_Data!$M$12),KOL_Source_Data!$M$12&lt;&gt;"N/A")),Lookup_Lists!$D$150,IF(Brand_Profile!$G$7=KOL_Source_Data!$M$12,100,IFERROR(INDEX(Lookup_Lists!$B$349:$J$357,MATCH(Brand_Profile!$G$7,Lookup_Lists!$A$349:$A$357,0),MATCH(KOL_Source_Data!$M$12,Lookup_Lists!$B$348:$J$348,0)),Lookup_Lists!$D$151)))</f>
      </c>
      <c r="V60" s="18">
        <f>IF(NOT(AND(ISTEXT(KOL_Source_Data!$P$12),KOL_Source_Data!$P$12&lt;&gt;"N/A")),"N/A",IFERROR(INDEX(Lookup_Lists!$B$349:$J$357,MATCH(Brand_Profile!$G$7,Lookup_Lists!$A$349:$A$357,0),MATCH(KOL_Source_Data!$P$12,Lookup_Lists!$B$348:$J$348,0)),Lookup_Lists!$D$151))</f>
      </c>
      <c r="W60" s="18">
        <f>IF(LEN(TRIM(SUBSTITUTE(Matching_Engine!$BE$60,"|","")))=0,"N/A",IF(Brand_Profile!$G$60=0,Lookup_Lists!$D$150,ROUND((IF(Brand_Profile!$G$54="",0,IF(ISNUMBER(SEARCH(Brand_Profile!$G$54,Matching_Engine!$BE$60)),1,0))+IF(Brand_Profile!$G$55="",0,IF(ISNUMBER(SEARCH(Brand_Profile!$G$55,Matching_Engine!$BE$60)),1,0))+IF(Brand_Profile!$G$56="",0,IF(ISNUMBER(SEARCH(Brand_Profile!$G$56,Matching_Engine!$BE$60)),1,0))+IF(Brand_Profile!$G$57="",0,IF(ISNUMBER(SEARCH(Brand_Profile!$G$57,Matching_Engine!$BE$60)),1,0))+IF(Brand_Profile!$G$58="",0,IF(ISNUMBER(SEARCH(Brand_Profile!$G$58,Matching_Engine!$BE$60)),1,0))+IF(Brand_Profile!$G$59="",0,IF(ISNUMBER(SEARCH(Brand_Profile!$G$59,Matching_Engine!$BE$60)),1,0)))/Brand_Profile!$G$60*100,0)))</f>
      </c>
      <c r="X60" s="18">
        <f>IF(NOT(AND(ISTEXT(KOL_Source_Data!$Q$12),KOL_Source_Data!$Q$12&lt;&gt;"N/A")),"N/A",Lookup_Lists!$D$150)</f>
      </c>
      <c r="Y60" s="29">
        <f>IF((IF(ISNUMBER(Matching_Engine!$U$60),Lookup_Lists!$D$335,0)+IF(ISNUMBER(Matching_Engine!$V$60),Lookup_Lists!$D$122,0)+IF(ISNUMBER(Matching_Engine!$W$60),Lookup_Lists!$D$336,0)+IF(ISNUMBER(Matching_Engine!$X$60),Lookup_Lists!$D$124,0))=0,"N/A",ROUND((IF(ISNUMBER(Matching_Engine!$U$60),Matching_Engine!$U$60*Lookup_Lists!$D$335,0)+IF(ISNUMBER(Matching_Engine!$V$60),Matching_Engine!$V$60*Lookup_Lists!$D$122,0)+IF(ISNUMBER(Matching_Engine!$W$60),Matching_Engine!$W$60*Lookup_Lists!$D$336,0)+IF(ISNUMBER(Matching_Engine!$X$60),Matching_Engine!$X$60*Lookup_Lists!$D$124,0))/(IF(ISNUMBER(Matching_Engine!$U$60),Lookup_Lists!$D$335,0)+IF(ISNUMBER(Matching_Engine!$V$60),Lookup_Lists!$D$122,0)+IF(ISNUMBER(Matching_Engine!$W$60),Lookup_Lists!$D$336,0)+IF(ISNUMBER(Matching_Engine!$X$60),Lookup_Lists!$D$124,0)),0))</f>
      </c>
      <c r="Z60" s="11">
        <f>IF(ISNUMBER(Matching_Engine!$Y$60),1,0)</f>
      </c>
      <c r="AA60" s="18">
        <f>IF(NOT(AND(ISTEXT(KOL_Source_Data!$Q$12),KOL_Source_Data!$Q$12&lt;&gt;"N/A")),"N/A",Lookup_Lists!$D$150)</f>
      </c>
      <c r="AB60" s="18">
        <f>IF(NOT(AND(ISTEXT(KOL_Source_Data!$Q$12),KOL_Source_Data!$Q$12&lt;&gt;"N/A")),"N/A",Lookup_Lists!$D$150)</f>
      </c>
      <c r="AC60" s="18">
        <f>"N/A"</f>
      </c>
      <c r="AD60" s="18">
        <f>IF(NOT(AND(ISTEXT(KOL_Source_Data!$Q$12),KOL_Source_Data!$Q$12&lt;&gt;"N/A")),"N/A",Lookup_Lists!$D$150)</f>
      </c>
      <c r="AE60" s="29">
        <f>IF((IF(ISNUMBER(Matching_Engine!$AA$60),Lookup_Lists!$D$125,0)+IF(ISNUMBER(Matching_Engine!$AB$60),Lookup_Lists!$D$126,0)+IF(ISNUMBER(Matching_Engine!$AC$60),Lookup_Lists!$D$127,0)+IF(ISNUMBER(Matching_Engine!$AD$60),Lookup_Lists!$D$128,0))=0,"N/A",ROUND((IF(ISNUMBER(Matching_Engine!$AA$60),Matching_Engine!$AA$60*Lookup_Lists!$D$125,0)+IF(ISNUMBER(Matching_Engine!$AB$60),Matching_Engine!$AB$60*Lookup_Lists!$D$126,0)+IF(ISNUMBER(Matching_Engine!$AC$60),Matching_Engine!$AC$60*Lookup_Lists!$D$127,0)+IF(ISNUMBER(Matching_Engine!$AD$60),Matching_Engine!$AD$60*Lookup_Lists!$D$128,0))/(IF(ISNUMBER(Matching_Engine!$AA$60),Lookup_Lists!$D$125,0)+IF(ISNUMBER(Matching_Engine!$AB$60),Lookup_Lists!$D$126,0)+IF(ISNUMBER(Matching_Engine!$AC$60),Lookup_Lists!$D$127,0)+IF(ISNUMBER(Matching_Engine!$AD$60),Lookup_Lists!$D$128,0)),0))</f>
      </c>
      <c r="AF60" s="11">
        <f>IF(ISNUMBER(Matching_Engine!$AE$60),1,0)</f>
      </c>
      <c r="AG60" s="18">
        <f>IF(NOT(ISNUMBER(KOL_Source_Data!$BG$12)),"N/A",MIN(100,ROUND(KOL_Source_Data!$BG$12/IFERROR(INDEX(Lookup_Lists!$B$340:$B$344,MATCH(KOL_Source_Data!$H$12,Lookup_Lists!$A$340:$A$344,0)),Lookup_Lists!$D$141)*100,0)))</f>
      </c>
      <c r="AH60" s="18">
        <f>IF(NOT(ISNUMBER(KOL_Source_Data!$BS$12)),"N/A",MIN(100,MAX(0,KOL_Source_Data!$BS$12)))</f>
      </c>
      <c r="AI60" s="18">
        <f>IF(OR(NOT(ISNUMBER(KOL_Source_Data!$BM$12)),NOT(ISNUMBER(KOL_Source_Data!$BN$12)),KOL_Source_Data!$BN$12&lt;Lookup_Lists!$D$320),"N/A",MIN(100,ROUND(KOL_Source_Data!$BM$12/Lookup_Lists!$D$319*100,0)))</f>
      </c>
      <c r="AJ60" s="18">
        <f>IF(NOT(ISNUMBER(KOL_Source_Data!$BR$12)),"N/A",KOL_Source_Data!$BR$12)</f>
      </c>
      <c r="AK60" s="18">
        <f>IF(NOT(ISNUMBER(KOL_Source_Data!$BK$12)),"N/A",MIN(100,ROUND(KOL_Source_Data!$BK$12/Lookup_Lists!$D$321*100,0)))</f>
      </c>
      <c r="AL60" s="18">
        <f>IF(NOT(ISNUMBER(KOL_Source_Data!$BP$12)),"N/A",MIN(100,MAX(0,ROUND((KOL_Source_Data!$BP$12+2)/(Lookup_Lists!$D$145+2)*100,0))))</f>
      </c>
      <c r="AM60" s="29">
        <f>IF((IF(ISNUMBER(Matching_Engine!$AG$60),Lookup_Lists!$D$129,0)+IF(ISNUMBER(Matching_Engine!$AH$60),Lookup_Lists!$D$130,0)+IF(ISNUMBER(Matching_Engine!$AI$60),Lookup_Lists!$D$131,0)+IF(ISNUMBER(Matching_Engine!$AJ$60),Lookup_Lists!$D$132,0)+IF(ISNUMBER(Matching_Engine!$AK$60),Lookup_Lists!$D$133,0)+IF(ISNUMBER(Matching_Engine!$AL$60),Lookup_Lists!$D$134,0))=0,"N/A",ROUND((IF(ISNUMBER(Matching_Engine!$AG$60),Matching_Engine!$AG$60*Lookup_Lists!$D$129,0)+IF(ISNUMBER(Matching_Engine!$AH$60),Matching_Engine!$AH$60*Lookup_Lists!$D$130,0)+IF(ISNUMBER(Matching_Engine!$AI$60),Matching_Engine!$AI$60*Lookup_Lists!$D$131,0)+IF(ISNUMBER(Matching_Engine!$AJ$60),Matching_Engine!$AJ$60*Lookup_Lists!$D$132,0)+IF(ISNUMBER(Matching_Engine!$AK$60),Matching_Engine!$AK$60*Lookup_Lists!$D$133,0)+IF(ISNUMBER(Matching_Engine!$AL$60),Matching_Engine!$AL$60*Lookup_Lists!$D$134,0))/(IF(ISNUMBER(Matching_Engine!$AG$60),Lookup_Lists!$D$129,0)+IF(ISNUMBER(Matching_Engine!$AH$60),Lookup_Lists!$D$130,0)+IF(ISNUMBER(Matching_Engine!$AI$60),Lookup_Lists!$D$131,0)+IF(ISNUMBER(Matching_Engine!$AJ$60),Lookup_Lists!$D$132,0)+IF(ISNUMBER(Matching_Engine!$AK$60),Lookup_Lists!$D$133,0)+IF(ISNUMBER(Matching_Engine!$AL$60),Lookup_Lists!$D$134,0)),0))</f>
      </c>
      <c r="AN60" s="11">
        <f>IF(ISNUMBER(Matching_Engine!$AM$60),1,0)</f>
      </c>
      <c r="AO60" s="18">
        <f>IF(NOT(ISNUMBER(KOL_Source_Data!$BT$12)),"N/A",MIN(100,MAX(0,KOL_Source_Data!$BT$12)))</f>
      </c>
      <c r="AP60" s="18">
        <f>IF(NOT(ISNUMBER(KOL_Source_Data!$BU$12)),"N/A",MIN(100,MAX(0,KOL_Source_Data!$BU$12)))</f>
      </c>
      <c r="AQ60" s="18">
        <f>IF(KOL_Source_Data!$I$12="Yes",Lookup_Lists!$D$326,IF(KOL_Source_Data!$I$12="No",Lookup_Lists!$D$327,"N/A"))</f>
      </c>
      <c r="AR60" s="18">
        <f>IF(NOT(ISNUMBER(KOL_Source_Data!$BQ$12)),"N/A",MAX(0,ROUND(100-KOL_Source_Data!$BQ$12/Lookup_Lists!$D$328*100,0)))</f>
      </c>
      <c r="AS60" s="18">
        <f>IF(NOT(AND(ISTEXT(KOL_Source_Data!$BV$12),KOL_Source_Data!$BV$12&lt;&gt;"N/A")),"N/A",KOL_Source_Data!$BV$12)</f>
      </c>
      <c r="AT60" s="29">
        <f>IF((IF(ISNUMBER(Matching_Engine!$AO$60),Lookup_Lists!$D$322,0)+IF(ISNUMBER(Matching_Engine!$AP$60),Lookup_Lists!$D$323,0)+IF(ISNUMBER(Matching_Engine!$AQ$60),Lookup_Lists!$D$324,0)+IF(ISNUMBER(Matching_Engine!$AR$60),Lookup_Lists!$D$325,0))=0,"N/A",ROUND((IF(ISNUMBER(Matching_Engine!$AO$60),Matching_Engine!$AO$60*Lookup_Lists!$D$322,0)+IF(ISNUMBER(Matching_Engine!$AP$60),Matching_Engine!$AP$60*Lookup_Lists!$D$323,0)+IF(ISNUMBER(Matching_Engine!$AQ$60),Matching_Engine!$AQ$60*Lookup_Lists!$D$324,0)+IF(ISNUMBER(Matching_Engine!$AR$60),Matching_Engine!$AR$60*Lookup_Lists!$D$325,0))/(IF(ISNUMBER(Matching_Engine!$AO$60),Lookup_Lists!$D$322,0)+IF(ISNUMBER(Matching_Engine!$AP$60),Lookup_Lists!$D$323,0)+IF(ISNUMBER(Matching_Engine!$AQ$60),Lookup_Lists!$D$324,0)+IF(ISNUMBER(Matching_Engine!$AR$60),Lookup_Lists!$D$325,0)),0))</f>
      </c>
      <c r="AU60" s="11">
        <f>IF(ISNUMBER(Matching_Engine!$AT$60),1,0)</f>
      </c>
      <c r="AV60" s="11">
        <f>IF(NOT(ISNUMBER(Matching_Engine!$AT$60)),"Not Screened",IF(Matching_Engine!$AT$60&gt;=Lookup_Lists!$D$329,"Low Risk",IF(Matching_Engine!$AT$60&gt;=Lookup_Lists!$D$330,"Moderate Risk",IF(Matching_Engine!$AT$60&gt;=Lookup_Lists!$D$331,"Elevated Risk","High Risk"))))</f>
      </c>
      <c r="AW60" s="11">
        <f>IF(NOT(ISNUMBER(Matching_Engine!$AT$60)),"No integrity signal: no audience-analysis row for this account.","Integrity screen only — no content-risk reading exists (comments_analysis: 0 rows). "&amp;IF(ISNUMBER(Matching_Engine!$AO$60),"Authenticity "&amp;Matching_Engine!$AO$60&amp;". ","Authenticity N/A. ")&amp;IF(ISNUMBER(Matching_Engine!$AP$60),"Follower quality "&amp;Matching_Engine!$AP$60&amp;". ","Follower quality N/A. ")&amp;IF(KOL_Source_Data!$I$12="Yes","Platform-verified.","Not platform-verified."))</f>
      </c>
      <c r="AX60" s="18">
        <f>Matching_Engine!$N$60*Lookup_Lists!$D$104+Matching_Engine!$T$60*Lookup_Lists!$D$105+Matching_Engine!$Z$60*Lookup_Lists!$D$106+Matching_Engine!$AF$60*Lookup_Lists!$D$107+Matching_Engine!$AN$60*Lookup_Lists!$D$108+Matching_Engine!$AU$60*Lookup_Lists!$D$109</f>
      </c>
      <c r="AY60" s="30">
        <f>IF(Matching_Engine!$AX$60=0,"N/A",ROUND((IF(Matching_Engine!$N$60=1,Matching_Engine!$M$60*Lookup_Lists!$D$104,0)+IF(Matching_Engine!$T$60=1,Matching_Engine!$S$60*Lookup_Lists!$D$105,0)+IF(Matching_Engine!$Z$60=1,Matching_Engine!$Y$60*Lookup_Lists!$D$106,0)+IF(Matching_Engine!$AF$60=1,Matching_Engine!$AE$60*Lookup_Lists!$D$107,0)+IF(Matching_Engine!$AN$60=1,Matching_Engine!$AM$60*Lookup_Lists!$D$108,0)+IF(Matching_Engine!$AU$60=1,Matching_Engine!$AT$60*Lookup_Lists!$D$109,0))/Matching_Engine!$AX$60,0))</f>
      </c>
      <c r="AZ60" s="11">
        <f>IF(NOT(ISNUMBER(Matching_Engine!$AY$60)),"Not Scored",IF(Matching_Engine!$AY$60&gt;=Lookup_Lists!$D$152,"Excellent Match",IF(Matching_Engine!$AY$60&gt;=Lookup_Lists!$D$153,"Strong Match",IF(Matching_Engine!$AY$60&gt;=Lookup_Lists!$D$154,"Good Match",IF(Matching_Engine!$AY$60&gt;=Lookup_Lists!$D$155,"Moderate Match","Low Match")))))</f>
      </c>
      <c r="BA60" s="18">
        <f>KOL_Source_Data!$BW$12</f>
      </c>
      <c r="BB60" s="11">
        <f>KOL_Source_Data!$BX$12</f>
      </c>
      <c r="BC60" s="18">
        <f>IF(NOT(ISNUMBER(Matching_Engine!$AY$60)),-1,Matching_Engine!$AY$60*1000+18)</f>
      </c>
      <c r="BD60" s="11">
        <f>IF(AND(ISTEXT(KOL_Source_Data!$S$12),KOL_Source_Data!$S$12&lt;&gt;"N/A"),KOL_Source_Data!$S$12,"")&amp;" | "&amp;IF(AND(ISTEXT(KOL_Source_Data!$T$12),KOL_Source_Data!$T$12&lt;&gt;"N/A"),KOL_Source_Data!$T$12,"")&amp;" | "&amp;IF(AND(ISTEXT(KOL_Source_Data!$N$12),KOL_Source_Data!$N$12&lt;&gt;"N/A"),KOL_Source_Data!$N$12,"")&amp;" | "&amp;IF(AND(ISTEXT(KOL_Source_Data!$K$12),KOL_Source_Data!$K$12&lt;&gt;"N/A"),KOL_Source_Data!$K$12,"")&amp;" | "&amp;IF(AND(ISTEXT(KOL_Source_Data!$J$12),KOL_Source_Data!$J$12&lt;&gt;"N/A"),KOL_Source_Data!$J$12,"")</f>
      </c>
      <c r="BE60" s="11">
        <f>IF(AND(ISTEXT(KOL_Source_Data!$T$12),KOL_Source_Data!$T$12&lt;&gt;"N/A"),KOL_Source_Data!$T$12,"")&amp;" | "&amp;IF(AND(ISTEXT(KOL_Source_Data!$N$12),KOL_Source_Data!$N$12&lt;&gt;"N/A"),KOL_Source_Data!$N$12,"")&amp;" | "&amp;IF(AND(ISTEXT(KOL_Source_Data!$O$12),KOL_Source_Data!$O$12&lt;&gt;"N/A"),KOL_Source_Data!$O$12,"")&amp;" | "&amp;IF(AND(ISTEXT(KOL_Source_Data!$S$12),KOL_Source_Data!$S$12&lt;&gt;"N/A"),KOL_Source_Data!$S$12,"")</f>
      </c>
      <c r="BF60" s="11">
        <f>IF(AND(ISTEXT(KOL_Source_Data!$U$12),KOL_Source_Data!$U$12&lt;&gt;"N/A"),KOL_Source_Data!$U$12,"")</f>
      </c>
      <c r="BG60" s="11">
        <f>Matching_Engine!$A$60&amp;"|"&amp;Matching_Engine!$C$60</f>
      </c>
    </row>
    <row r="61" spans="1:59" x14ac:dyDescent="0.25">
      <c r="A61" s="10" t="s">
        <v>392</v>
      </c>
      <c r="B61" s="11">
        <f>Brand_Profile!$G$6</f>
      </c>
      <c r="C61" s="11">
        <f>KOL_Source_Data!$A$13</f>
      </c>
      <c r="D61" s="11">
        <f>KOL_Source_Data!$C$13</f>
      </c>
      <c r="E61" s="11">
        <f>KOL_Source_Data!$D$13</f>
      </c>
      <c r="F61" s="11">
        <f>KOL_Source_Data!$E$13</f>
      </c>
      <c r="G61" s="11">
        <f>KOL_Source_Data!$K$13</f>
      </c>
      <c r="H61" s="12">
        <f>KOL_Source_Data!$G$13</f>
      </c>
      <c r="I61" s="14">
        <f>KOL_Source_Data!$BG$13</f>
      </c>
      <c r="J61" s="18">
        <f>IF(NOT(AND(ISTEXT(KOL_Source_Data!$K$13),KOL_Source_Data!$K$13&lt;&gt;"N/A")),Lookup_Lists!$D$150,IF(Brand_Profile!$G$7=KOL_Source_Data!$K$13,100,IFERROR(INDEX(Lookup_Lists!$B$349:$J$357,MATCH(Brand_Profile!$G$7,Lookup_Lists!$A$349:$A$357,0),MATCH(KOL_Source_Data!$K$13,Lookup_Lists!$B$348:$J$348,0)),Lookup_Lists!$D$151)))</f>
      </c>
      <c r="K61" s="18">
        <f>IF(LEN(TRIM(SUBSTITUTE(Matching_Engine!$BD$61,"|","")))=0,"N/A",IF(Brand_Profile!$G$47=0,Lookup_Lists!$D$150,ROUND((IF(Brand_Profile!$G$41="",0,IF(ISNUMBER(SEARCH(Brand_Profile!$G$41,Matching_Engine!$BD$61)),1,0))+IF(Brand_Profile!$G$42="",0,IF(ISNUMBER(SEARCH(Brand_Profile!$G$42,Matching_Engine!$BD$61)),1,0))+IF(Brand_Profile!$G$43="",0,IF(ISNUMBER(SEARCH(Brand_Profile!$G$43,Matching_Engine!$BD$61)),1,0))+IF(Brand_Profile!$G$44="",0,IF(ISNUMBER(SEARCH(Brand_Profile!$G$44,Matching_Engine!$BD$61)),1,0))+IF(Brand_Profile!$G$45="",0,IF(ISNUMBER(SEARCH(Brand_Profile!$G$45,Matching_Engine!$BD$61)),1,0))+IF(Brand_Profile!$G$46="",0,IF(ISNUMBER(SEARCH(Brand_Profile!$G$46,Matching_Engine!$BD$61)),1,0)))/Brand_Profile!$G$47*100,0)))</f>
      </c>
      <c r="L61" s="18">
        <f>IF(NOT(AND(ISTEXT(KOL_Source_Data!$U$13),KOL_Source_Data!$U$13&lt;&gt;"N/A")),"N/A",IF(Brand_Profile!$G$53=0,Lookup_Lists!$D$150,ROUND((IF(Brand_Profile!$G$48="",0,IF(ISNUMBER(SEARCH(Brand_Profile!$G$48,Matching_Engine!$BF$61)),1,0))+IF(Brand_Profile!$G$49="",0,IF(ISNUMBER(SEARCH(Brand_Profile!$G$49,Matching_Engine!$BF$61)),1,0))+IF(Brand_Profile!$G$50="",0,IF(ISNUMBER(SEARCH(Brand_Profile!$G$50,Matching_Engine!$BF$61)),1,0))+IF(Brand_Profile!$G$51="",0,IF(ISNUMBER(SEARCH(Brand_Profile!$G$51,Matching_Engine!$BF$61)),1,0))+IF(Brand_Profile!$G$52="",0,IF(ISNUMBER(SEARCH(Brand_Profile!$G$52,Matching_Engine!$BF$61)),1,0)))/Brand_Profile!$G$53*100,0)))</f>
      </c>
      <c r="M61" s="29">
        <f>IF((IF(ISNUMBER(Matching_Engine!$J$61),Lookup_Lists!$D$332,0)+IF(ISNUMBER(Matching_Engine!$K$61),Lookup_Lists!$D$333,0)+IF(ISNUMBER(Matching_Engine!$L$61),Lookup_Lists!$D$334,0))=0,"N/A",ROUND((IF(ISNUMBER(Matching_Engine!$J$61),Matching_Engine!$J$61*Lookup_Lists!$D$332,0)+IF(ISNUMBER(Matching_Engine!$K$61),Matching_Engine!$K$61*Lookup_Lists!$D$333,0)+IF(ISNUMBER(Matching_Engine!$L$61),Matching_Engine!$L$61*Lookup_Lists!$D$334,0))/(IF(ISNUMBER(Matching_Engine!$J$61),Lookup_Lists!$D$332,0)+IF(ISNUMBER(Matching_Engine!$K$61),Lookup_Lists!$D$333,0)+IF(ISNUMBER(Matching_Engine!$L$61),Lookup_Lists!$D$334,0)),0))</f>
      </c>
      <c r="N61" s="11">
        <f>IF(ISNUMBER(Matching_Engine!$M$61),1,0)</f>
      </c>
      <c r="O61" s="18">
        <f>IF(NOT(ISNUMBER(IFERROR(INDEX(KOL_Source_Data!$V$13:KOL_Source_Data!$Z$13,1,MATCH(Brand_Profile!$G$11,Lookup_Lists!$F$6:$F$10,0)),""))),"N/A",MIN(100,ROUND((IFERROR(INDEX(KOL_Source_Data!$V$13:KOL_Source_Data!$Z$13,1,MATCH(Brand_Profile!$G$11,Lookup_Lists!$F$6:$F$10,0)),"")+0.5*IF(ISNUMBER(IFERROR(INDEX(KOL_Source_Data!$V$13:KOL_Source_Data!$Z$13,1,MATCH(Brand_Profile!$G$12,Lookup_Lists!$F$6:$F$10,0)),"")),IFERROR(INDEX(KOL_Source_Data!$V$13:KOL_Source_Data!$Z$13,1,MATCH(Brand_Profile!$G$12,Lookup_Lists!$F$6:$F$10,0)),""),0))/Lookup_Lists!$D$142*100,0)))</f>
      </c>
      <c r="P61" s="18">
        <f>IF(Brand_Profile!$G$13="Any",100,IF(NOT(ISNUMBER(KOL_Source_Data!$AA$13)),"N/A",IF(Brand_Profile!$G$13="Female",MIN(100,ROUND(KOL_Source_Data!$AA$13/Lookup_Lists!$D$143*100,0)),IF(Brand_Profile!$G$13="Male",MIN(100,ROUND(IF(ISNUMBER(KOL_Source_Data!$AB$13),KOL_Source_Data!$AB$13,100-KOL_Source_Data!$AA$13)/Lookup_Lists!$D$143*100,0)),MAX(0,ROUND(100-ABS(KOL_Source_Data!$AA$13-50)*2,0))))))</f>
      </c>
      <c r="Q61" s="18">
        <f>IF((IF(ISNUMBER(IF(NOT(ISNUMBER(KOL_Source_Data!$AE$13)),"N/A",IF(KOL_Source_Data!$AD$13&lt;&gt;Brand_Profile!$G$14,Lookup_Lists!$D$151,MIN(100,ROUND(KOL_Source_Data!$AE$13/Lookup_Lists!$D$316*100,0))))),Lookup_Lists!$D$118,0)+IF(ISNUMBER(IF(NOT(ISNUMBER(KOL_Source_Data!$AM$13)),"N/A",MIN(100,ROUND((IF(KOL_Source_Data!$AG$13=Brand_Profile!$G$15,IF(ISNUMBER(KOL_Source_Data!$AH$13),KOL_Source_Data!$AH$13,0),0)+IF(KOL_Source_Data!$AI$13=Brand_Profile!$G$15,IF(ISNUMBER(KOL_Source_Data!$AJ$13),KOL_Source_Data!$AJ$13,0),0)+IF(KOL_Source_Data!$AK$13=Brand_Profile!$G$15,IF(ISNUMBER(KOL_Source_Data!$AL$13),KOL_Source_Data!$AL$13,0),0))/Lookup_Lists!$D$317*100,0)))),Lookup_Lists!$D$120,0))=0,"N/A",ROUND((IF(ISNUMBER(IF(NOT(ISNUMBER(KOL_Source_Data!$AE$13)),"N/A",IF(KOL_Source_Data!$AD$13&lt;&gt;Brand_Profile!$G$14,Lookup_Lists!$D$151,MIN(100,ROUND(KOL_Source_Data!$AE$13/Lookup_Lists!$D$316*100,0))))),IF(NOT(ISNUMBER(KOL_Source_Data!$AE$13)),"N/A",IF(KOL_Source_Data!$AD$13&lt;&gt;Brand_Profile!$G$14,Lookup_Lists!$D$151,MIN(100,ROUND(KOL_Source_Data!$AE$13/Lookup_Lists!$D$316*100,0))))*Lookup_Lists!$D$118,0)+IF(ISNUMBER(IF(NOT(ISNUMBER(KOL_Source_Data!$AM$13)),"N/A",MIN(100,ROUND((IF(KOL_Source_Data!$AG$13=Brand_Profile!$G$15,IF(ISNUMBER(KOL_Source_Data!$AH$13),KOL_Source_Data!$AH$13,0),0)+IF(KOL_Source_Data!$AI$13=Brand_Profile!$G$15,IF(ISNUMBER(KOL_Source_Data!$AJ$13),KOL_Source_Data!$AJ$13,0),0)+IF(KOL_Source_Data!$AK$13=Brand_Profile!$G$15,IF(ISNUMBER(KOL_Source_Data!$AL$13),KOL_Source_Data!$AL$13,0),0))/Lookup_Lists!$D$317*100,0)))),IF(NOT(ISNUMBER(KOL_Source_Data!$AM$13)),"N/A",MIN(100,ROUND((IF(KOL_Source_Data!$AG$13=Brand_Profile!$G$15,IF(ISNUMBER(KOL_Source_Data!$AH$13),KOL_Source_Data!$AH$13,0),0)+IF(KOL_Source_Data!$AI$13=Brand_Profile!$G$15,IF(ISNUMBER(KOL_Source_Data!$AJ$13),KOL_Source_Data!$AJ$13,0),0)+IF(KOL_Source_Data!$AK$13=Brand_Profile!$G$15,IF(ISNUMBER(KOL_Source_Data!$AL$13),KOL_Source_Data!$AL$13,0),0))/Lookup_Lists!$D$317*100,0)))*Lookup_Lists!$D$120,0))/(IF(ISNUMBER(IF(NOT(ISNUMBER(KOL_Source_Data!$AE$13)),"N/A",IF(KOL_Source_Data!$AD$13&lt;&gt;Brand_Profile!$G$14,Lookup_Lists!$D$151,MIN(100,ROUND(KOL_Source_Data!$AE$13/Lookup_Lists!$D$316*100,0))))),Lookup_Lists!$D$118,0)+IF(ISNUMBER(IF(NOT(ISNUMBER(KOL_Source_Data!$AM$13)),"N/A",MIN(100,ROUND((IF(KOL_Source_Data!$AG$13=Brand_Profile!$G$15,IF(ISNUMBER(KOL_Source_Data!$AH$13),KOL_Source_Data!$AH$13,0),0)+IF(KOL_Source_Data!$AI$13=Brand_Profile!$G$15,IF(ISNUMBER(KOL_Source_Data!$AJ$13),KOL_Source_Data!$AJ$13,0),0)+IF(KOL_Source_Data!$AK$13=Brand_Profile!$G$15,IF(ISNUMBER(KOL_Source_Data!$AL$13),KOL_Source_Data!$AL$13,0),0))/Lookup_Lists!$D$317*100,0)))),Lookup_Lists!$D$120,0)),0))</f>
      </c>
      <c r="R61" s="18">
        <f>IF(NOT(ISNUMBER(KOL_Source_Data!$AN$13)),"N/A",MIN(100,ROUND((IF(ISNUMBER(KOL_Source_Data!$AO$13),KOL_Source_Data!$AO$13*Brand_Profile!$G$17,0)+IF(ISNUMBER(KOL_Source_Data!$AP$13),KOL_Source_Data!$AP$13*Brand_Profile!$G$18,0)+IF(ISNUMBER(KOL_Source_Data!$AQ$13),KOL_Source_Data!$AQ$13*Brand_Profile!$G$19,0)+IF(ISNUMBER(KOL_Source_Data!$AR$13),KOL_Source_Data!$AR$13*Brand_Profile!$G$20,0)+IF(ISNUMBER(KOL_Source_Data!$AS$13),KOL_Source_Data!$AS$13*Brand_Profile!$G$21,0)+IF(ISNUMBER(KOL_Source_Data!$AT$13),KOL_Source_Data!$AT$13*Brand_Profile!$G$22,0)+IF(ISNUMBER(KOL_Source_Data!$AU$13),KOL_Source_Data!$AU$13*Brand_Profile!$G$23,0)+IF(ISNUMBER(KOL_Source_Data!$AV$13),KOL_Source_Data!$AV$13*Brand_Profile!$G$24,0)+IF(ISNUMBER(KOL_Source_Data!$AW$13),KOL_Source_Data!$AW$13*Brand_Profile!$G$25,0)+IF(ISNUMBER(KOL_Source_Data!$AX$13),KOL_Source_Data!$AX$13*Brand_Profile!$G$26,0)+IF(ISNUMBER(KOL_Source_Data!$AY$13),KOL_Source_Data!$AY$13*Brand_Profile!$G$27,0)+IF(ISNUMBER(KOL_Source_Data!$AZ$13),KOL_Source_Data!$AZ$13*Brand_Profile!$G$28,0)+IF(ISNUMBER(KOL_Source_Data!$BA$13),KOL_Source_Data!$BA$13*Brand_Profile!$G$29,0)+IF(ISNUMBER(KOL_Source_Data!$BB$13),KOL_Source_Data!$BB$13*Brand_Profile!$G$30,0)+IF(ISNUMBER(KOL_Source_Data!$BC$13),KOL_Source_Data!$BC$13*Brand_Profile!$G$31,0)+IF(ISNUMBER(KOL_Source_Data!$BD$13),KOL_Source_Data!$BD$13*Brand_Profile!$G$32,0)+IF(ISNUMBER(KOL_Source_Data!$BE$13),KOL_Source_Data!$BE$13*Brand_Profile!$G$33,0)+IF(ISNUMBER(KOL_Source_Data!$BF$13),KOL_Source_Data!$BF$13*Brand_Profile!$G$34,0))/Lookup_Lists!$D$318*100,0)))</f>
      </c>
      <c r="S61" s="29">
        <f>IF((IF(ISNUMBER(Matching_Engine!$O$61),Lookup_Lists!$D$113,0)+IF(ISNUMBER(Matching_Engine!$P$61),Lookup_Lists!$D$114,0)+IF(ISNUMBER(Matching_Engine!$Q$61),Lookup_Lists!$D$115,0)+IF(ISNUMBER(Matching_Engine!$R$61),Lookup_Lists!$D$116,0))=0,"N/A",ROUND((IF(ISNUMBER(Matching_Engine!$O$61),Matching_Engine!$O$61*Lookup_Lists!$D$113,0)+IF(ISNUMBER(Matching_Engine!$P$61),Matching_Engine!$P$61*Lookup_Lists!$D$114,0)+IF(ISNUMBER(Matching_Engine!$Q$61),Matching_Engine!$Q$61*Lookup_Lists!$D$115,0)+IF(ISNUMBER(Matching_Engine!$R$61),Matching_Engine!$R$61*Lookup_Lists!$D$116,0))/(IF(ISNUMBER(Matching_Engine!$O$61),Lookup_Lists!$D$113,0)+IF(ISNUMBER(Matching_Engine!$P$61),Lookup_Lists!$D$114,0)+IF(ISNUMBER(Matching_Engine!$Q$61),Lookup_Lists!$D$115,0)+IF(ISNUMBER(Matching_Engine!$R$61),Lookup_Lists!$D$116,0)),0))</f>
      </c>
      <c r="T61" s="11">
        <f>IF(ISNUMBER(Matching_Engine!$S$61),1,0)</f>
      </c>
      <c r="U61" s="18">
        <f>IF(NOT(AND(ISTEXT(KOL_Source_Data!$M$13),KOL_Source_Data!$M$13&lt;&gt;"N/A")),Lookup_Lists!$D$150,IF(Brand_Profile!$G$7=KOL_Source_Data!$M$13,100,IFERROR(INDEX(Lookup_Lists!$B$349:$J$357,MATCH(Brand_Profile!$G$7,Lookup_Lists!$A$349:$A$357,0),MATCH(KOL_Source_Data!$M$13,Lookup_Lists!$B$348:$J$348,0)),Lookup_Lists!$D$151)))</f>
      </c>
      <c r="V61" s="18">
        <f>IF(NOT(AND(ISTEXT(KOL_Source_Data!$P$13),KOL_Source_Data!$P$13&lt;&gt;"N/A")),"N/A",IFERROR(INDEX(Lookup_Lists!$B$349:$J$357,MATCH(Brand_Profile!$G$7,Lookup_Lists!$A$349:$A$357,0),MATCH(KOL_Source_Data!$P$13,Lookup_Lists!$B$348:$J$348,0)),Lookup_Lists!$D$151))</f>
      </c>
      <c r="W61" s="18">
        <f>IF(LEN(TRIM(SUBSTITUTE(Matching_Engine!$BE$61,"|","")))=0,"N/A",IF(Brand_Profile!$G$60=0,Lookup_Lists!$D$150,ROUND((IF(Brand_Profile!$G$54="",0,IF(ISNUMBER(SEARCH(Brand_Profile!$G$54,Matching_Engine!$BE$61)),1,0))+IF(Brand_Profile!$G$55="",0,IF(ISNUMBER(SEARCH(Brand_Profile!$G$55,Matching_Engine!$BE$61)),1,0))+IF(Brand_Profile!$G$56="",0,IF(ISNUMBER(SEARCH(Brand_Profile!$G$56,Matching_Engine!$BE$61)),1,0))+IF(Brand_Profile!$G$57="",0,IF(ISNUMBER(SEARCH(Brand_Profile!$G$57,Matching_Engine!$BE$61)),1,0))+IF(Brand_Profile!$G$58="",0,IF(ISNUMBER(SEARCH(Brand_Profile!$G$58,Matching_Engine!$BE$61)),1,0))+IF(Brand_Profile!$G$59="",0,IF(ISNUMBER(SEARCH(Brand_Profile!$G$59,Matching_Engine!$BE$61)),1,0)))/Brand_Profile!$G$60*100,0)))</f>
      </c>
      <c r="X61" s="18">
        <f>IF(NOT(AND(ISTEXT(KOL_Source_Data!$Q$13),KOL_Source_Data!$Q$13&lt;&gt;"N/A")),"N/A",Lookup_Lists!$D$150)</f>
      </c>
      <c r="Y61" s="29">
        <f>IF((IF(ISNUMBER(Matching_Engine!$U$61),Lookup_Lists!$D$335,0)+IF(ISNUMBER(Matching_Engine!$V$61),Lookup_Lists!$D$122,0)+IF(ISNUMBER(Matching_Engine!$W$61),Lookup_Lists!$D$336,0)+IF(ISNUMBER(Matching_Engine!$X$61),Lookup_Lists!$D$124,0))=0,"N/A",ROUND((IF(ISNUMBER(Matching_Engine!$U$61),Matching_Engine!$U$61*Lookup_Lists!$D$335,0)+IF(ISNUMBER(Matching_Engine!$V$61),Matching_Engine!$V$61*Lookup_Lists!$D$122,0)+IF(ISNUMBER(Matching_Engine!$W$61),Matching_Engine!$W$61*Lookup_Lists!$D$336,0)+IF(ISNUMBER(Matching_Engine!$X$61),Matching_Engine!$X$61*Lookup_Lists!$D$124,0))/(IF(ISNUMBER(Matching_Engine!$U$61),Lookup_Lists!$D$335,0)+IF(ISNUMBER(Matching_Engine!$V$61),Lookup_Lists!$D$122,0)+IF(ISNUMBER(Matching_Engine!$W$61),Lookup_Lists!$D$336,0)+IF(ISNUMBER(Matching_Engine!$X$61),Lookup_Lists!$D$124,0)),0))</f>
      </c>
      <c r="Z61" s="11">
        <f>IF(ISNUMBER(Matching_Engine!$Y$61),1,0)</f>
      </c>
      <c r="AA61" s="18">
        <f>IF(NOT(AND(ISTEXT(KOL_Source_Data!$Q$13),KOL_Source_Data!$Q$13&lt;&gt;"N/A")),"N/A",Lookup_Lists!$D$150)</f>
      </c>
      <c r="AB61" s="18">
        <f>IF(NOT(AND(ISTEXT(KOL_Source_Data!$Q$13),KOL_Source_Data!$Q$13&lt;&gt;"N/A")),"N/A",Lookup_Lists!$D$150)</f>
      </c>
      <c r="AC61" s="18">
        <f>"N/A"</f>
      </c>
      <c r="AD61" s="18">
        <f>IF(NOT(AND(ISTEXT(KOL_Source_Data!$Q$13),KOL_Source_Data!$Q$13&lt;&gt;"N/A")),"N/A",Lookup_Lists!$D$150)</f>
      </c>
      <c r="AE61" s="29">
        <f>IF((IF(ISNUMBER(Matching_Engine!$AA$61),Lookup_Lists!$D$125,0)+IF(ISNUMBER(Matching_Engine!$AB$61),Lookup_Lists!$D$126,0)+IF(ISNUMBER(Matching_Engine!$AC$61),Lookup_Lists!$D$127,0)+IF(ISNUMBER(Matching_Engine!$AD$61),Lookup_Lists!$D$128,0))=0,"N/A",ROUND((IF(ISNUMBER(Matching_Engine!$AA$61),Matching_Engine!$AA$61*Lookup_Lists!$D$125,0)+IF(ISNUMBER(Matching_Engine!$AB$61),Matching_Engine!$AB$61*Lookup_Lists!$D$126,0)+IF(ISNUMBER(Matching_Engine!$AC$61),Matching_Engine!$AC$61*Lookup_Lists!$D$127,0)+IF(ISNUMBER(Matching_Engine!$AD$61),Matching_Engine!$AD$61*Lookup_Lists!$D$128,0))/(IF(ISNUMBER(Matching_Engine!$AA$61),Lookup_Lists!$D$125,0)+IF(ISNUMBER(Matching_Engine!$AB$61),Lookup_Lists!$D$126,0)+IF(ISNUMBER(Matching_Engine!$AC$61),Lookup_Lists!$D$127,0)+IF(ISNUMBER(Matching_Engine!$AD$61),Lookup_Lists!$D$128,0)),0))</f>
      </c>
      <c r="AF61" s="11">
        <f>IF(ISNUMBER(Matching_Engine!$AE$61),1,0)</f>
      </c>
      <c r="AG61" s="18">
        <f>IF(NOT(ISNUMBER(KOL_Source_Data!$BG$13)),"N/A",MIN(100,ROUND(KOL_Source_Data!$BG$13/IFERROR(INDEX(Lookup_Lists!$B$340:$B$344,MATCH(KOL_Source_Data!$H$13,Lookup_Lists!$A$340:$A$344,0)),Lookup_Lists!$D$141)*100,0)))</f>
      </c>
      <c r="AH61" s="18">
        <f>IF(NOT(ISNUMBER(KOL_Source_Data!$BS$13)),"N/A",MIN(100,MAX(0,KOL_Source_Data!$BS$13)))</f>
      </c>
      <c r="AI61" s="18">
        <f>IF(OR(NOT(ISNUMBER(KOL_Source_Data!$BM$13)),NOT(ISNUMBER(KOL_Source_Data!$BN$13)),KOL_Source_Data!$BN$13&lt;Lookup_Lists!$D$320),"N/A",MIN(100,ROUND(KOL_Source_Data!$BM$13/Lookup_Lists!$D$319*100,0)))</f>
      </c>
      <c r="AJ61" s="18">
        <f>IF(NOT(ISNUMBER(KOL_Source_Data!$BR$13)),"N/A",KOL_Source_Data!$BR$13)</f>
      </c>
      <c r="AK61" s="18">
        <f>IF(NOT(ISNUMBER(KOL_Source_Data!$BK$13)),"N/A",MIN(100,ROUND(KOL_Source_Data!$BK$13/Lookup_Lists!$D$321*100,0)))</f>
      </c>
      <c r="AL61" s="18">
        <f>IF(NOT(ISNUMBER(KOL_Source_Data!$BP$13)),"N/A",MIN(100,MAX(0,ROUND((KOL_Source_Data!$BP$13+2)/(Lookup_Lists!$D$145+2)*100,0))))</f>
      </c>
      <c r="AM61" s="29">
        <f>IF((IF(ISNUMBER(Matching_Engine!$AG$61),Lookup_Lists!$D$129,0)+IF(ISNUMBER(Matching_Engine!$AH$61),Lookup_Lists!$D$130,0)+IF(ISNUMBER(Matching_Engine!$AI$61),Lookup_Lists!$D$131,0)+IF(ISNUMBER(Matching_Engine!$AJ$61),Lookup_Lists!$D$132,0)+IF(ISNUMBER(Matching_Engine!$AK$61),Lookup_Lists!$D$133,0)+IF(ISNUMBER(Matching_Engine!$AL$61),Lookup_Lists!$D$134,0))=0,"N/A",ROUND((IF(ISNUMBER(Matching_Engine!$AG$61),Matching_Engine!$AG$61*Lookup_Lists!$D$129,0)+IF(ISNUMBER(Matching_Engine!$AH$61),Matching_Engine!$AH$61*Lookup_Lists!$D$130,0)+IF(ISNUMBER(Matching_Engine!$AI$61),Matching_Engine!$AI$61*Lookup_Lists!$D$131,0)+IF(ISNUMBER(Matching_Engine!$AJ$61),Matching_Engine!$AJ$61*Lookup_Lists!$D$132,0)+IF(ISNUMBER(Matching_Engine!$AK$61),Matching_Engine!$AK$61*Lookup_Lists!$D$133,0)+IF(ISNUMBER(Matching_Engine!$AL$61),Matching_Engine!$AL$61*Lookup_Lists!$D$134,0))/(IF(ISNUMBER(Matching_Engine!$AG$61),Lookup_Lists!$D$129,0)+IF(ISNUMBER(Matching_Engine!$AH$61),Lookup_Lists!$D$130,0)+IF(ISNUMBER(Matching_Engine!$AI$61),Lookup_Lists!$D$131,0)+IF(ISNUMBER(Matching_Engine!$AJ$61),Lookup_Lists!$D$132,0)+IF(ISNUMBER(Matching_Engine!$AK$61),Lookup_Lists!$D$133,0)+IF(ISNUMBER(Matching_Engine!$AL$61),Lookup_Lists!$D$134,0)),0))</f>
      </c>
      <c r="AN61" s="11">
        <f>IF(ISNUMBER(Matching_Engine!$AM$61),1,0)</f>
      </c>
      <c r="AO61" s="18">
        <f>IF(NOT(ISNUMBER(KOL_Source_Data!$BT$13)),"N/A",MIN(100,MAX(0,KOL_Source_Data!$BT$13)))</f>
      </c>
      <c r="AP61" s="18">
        <f>IF(NOT(ISNUMBER(KOL_Source_Data!$BU$13)),"N/A",MIN(100,MAX(0,KOL_Source_Data!$BU$13)))</f>
      </c>
      <c r="AQ61" s="18">
        <f>IF(KOL_Source_Data!$I$13="Yes",Lookup_Lists!$D$326,IF(KOL_Source_Data!$I$13="No",Lookup_Lists!$D$327,"N/A"))</f>
      </c>
      <c r="AR61" s="18">
        <f>IF(NOT(ISNUMBER(KOL_Source_Data!$BQ$13)),"N/A",MAX(0,ROUND(100-KOL_Source_Data!$BQ$13/Lookup_Lists!$D$328*100,0)))</f>
      </c>
      <c r="AS61" s="18">
        <f>IF(NOT(AND(ISTEXT(KOL_Source_Data!$BV$13),KOL_Source_Data!$BV$13&lt;&gt;"N/A")),"N/A",KOL_Source_Data!$BV$13)</f>
      </c>
      <c r="AT61" s="29">
        <f>IF((IF(ISNUMBER(Matching_Engine!$AO$61),Lookup_Lists!$D$322,0)+IF(ISNUMBER(Matching_Engine!$AP$61),Lookup_Lists!$D$323,0)+IF(ISNUMBER(Matching_Engine!$AQ$61),Lookup_Lists!$D$324,0)+IF(ISNUMBER(Matching_Engine!$AR$61),Lookup_Lists!$D$325,0))=0,"N/A",ROUND((IF(ISNUMBER(Matching_Engine!$AO$61),Matching_Engine!$AO$61*Lookup_Lists!$D$322,0)+IF(ISNUMBER(Matching_Engine!$AP$61),Matching_Engine!$AP$61*Lookup_Lists!$D$323,0)+IF(ISNUMBER(Matching_Engine!$AQ$61),Matching_Engine!$AQ$61*Lookup_Lists!$D$324,0)+IF(ISNUMBER(Matching_Engine!$AR$61),Matching_Engine!$AR$61*Lookup_Lists!$D$325,0))/(IF(ISNUMBER(Matching_Engine!$AO$61),Lookup_Lists!$D$322,0)+IF(ISNUMBER(Matching_Engine!$AP$61),Lookup_Lists!$D$323,0)+IF(ISNUMBER(Matching_Engine!$AQ$61),Lookup_Lists!$D$324,0)+IF(ISNUMBER(Matching_Engine!$AR$61),Lookup_Lists!$D$325,0)),0))</f>
      </c>
      <c r="AU61" s="11">
        <f>IF(ISNUMBER(Matching_Engine!$AT$61),1,0)</f>
      </c>
      <c r="AV61" s="11">
        <f>IF(NOT(ISNUMBER(Matching_Engine!$AT$61)),"Not Screened",IF(Matching_Engine!$AT$61&gt;=Lookup_Lists!$D$329,"Low Risk",IF(Matching_Engine!$AT$61&gt;=Lookup_Lists!$D$330,"Moderate Risk",IF(Matching_Engine!$AT$61&gt;=Lookup_Lists!$D$331,"Elevated Risk","High Risk"))))</f>
      </c>
      <c r="AW61" s="11">
        <f>IF(NOT(ISNUMBER(Matching_Engine!$AT$61)),"No integrity signal: no audience-analysis row for this account.","Integrity screen only — no content-risk reading exists (comments_analysis: 0 rows). "&amp;IF(ISNUMBER(Matching_Engine!$AO$61),"Authenticity "&amp;Matching_Engine!$AO$61&amp;". ","Authenticity N/A. ")&amp;IF(ISNUMBER(Matching_Engine!$AP$61),"Follower quality "&amp;Matching_Engine!$AP$61&amp;". ","Follower quality N/A. ")&amp;IF(KOL_Source_Data!$I$13="Yes","Platform-verified.","Not platform-verified."))</f>
      </c>
      <c r="AX61" s="18">
        <f>Matching_Engine!$N$61*Lookup_Lists!$D$104+Matching_Engine!$T$61*Lookup_Lists!$D$105+Matching_Engine!$Z$61*Lookup_Lists!$D$106+Matching_Engine!$AF$61*Lookup_Lists!$D$107+Matching_Engine!$AN$61*Lookup_Lists!$D$108+Matching_Engine!$AU$61*Lookup_Lists!$D$109</f>
      </c>
      <c r="AY61" s="30">
        <f>IF(Matching_Engine!$AX$61=0,"N/A",ROUND((IF(Matching_Engine!$N$61=1,Matching_Engine!$M$61*Lookup_Lists!$D$104,0)+IF(Matching_Engine!$T$61=1,Matching_Engine!$S$61*Lookup_Lists!$D$105,0)+IF(Matching_Engine!$Z$61=1,Matching_Engine!$Y$61*Lookup_Lists!$D$106,0)+IF(Matching_Engine!$AF$61=1,Matching_Engine!$AE$61*Lookup_Lists!$D$107,0)+IF(Matching_Engine!$AN$61=1,Matching_Engine!$AM$61*Lookup_Lists!$D$108,0)+IF(Matching_Engine!$AU$61=1,Matching_Engine!$AT$61*Lookup_Lists!$D$109,0))/Matching_Engine!$AX$61,0))</f>
      </c>
      <c r="AZ61" s="11">
        <f>IF(NOT(ISNUMBER(Matching_Engine!$AY$61)),"Not Scored",IF(Matching_Engine!$AY$61&gt;=Lookup_Lists!$D$152,"Excellent Match",IF(Matching_Engine!$AY$61&gt;=Lookup_Lists!$D$153,"Strong Match",IF(Matching_Engine!$AY$61&gt;=Lookup_Lists!$D$154,"Good Match",IF(Matching_Engine!$AY$61&gt;=Lookup_Lists!$D$155,"Moderate Match","Low Match")))))</f>
      </c>
      <c r="BA61" s="18">
        <f>KOL_Source_Data!$BW$13</f>
      </c>
      <c r="BB61" s="11">
        <f>KOL_Source_Data!$BX$13</f>
      </c>
      <c r="BC61" s="18">
        <f>IF(NOT(ISNUMBER(Matching_Engine!$AY$61)),-1,Matching_Engine!$AY$61*1000+17)</f>
      </c>
      <c r="BD61" s="11">
        <f>IF(AND(ISTEXT(KOL_Source_Data!$S$13),KOL_Source_Data!$S$13&lt;&gt;"N/A"),KOL_Source_Data!$S$13,"")&amp;" | "&amp;IF(AND(ISTEXT(KOL_Source_Data!$T$13),KOL_Source_Data!$T$13&lt;&gt;"N/A"),KOL_Source_Data!$T$13,"")&amp;" | "&amp;IF(AND(ISTEXT(KOL_Source_Data!$N$13),KOL_Source_Data!$N$13&lt;&gt;"N/A"),KOL_Source_Data!$N$13,"")&amp;" | "&amp;IF(AND(ISTEXT(KOL_Source_Data!$K$13),KOL_Source_Data!$K$13&lt;&gt;"N/A"),KOL_Source_Data!$K$13,"")&amp;" | "&amp;IF(AND(ISTEXT(KOL_Source_Data!$J$13),KOL_Source_Data!$J$13&lt;&gt;"N/A"),KOL_Source_Data!$J$13,"")</f>
      </c>
      <c r="BE61" s="11">
        <f>IF(AND(ISTEXT(KOL_Source_Data!$T$13),KOL_Source_Data!$T$13&lt;&gt;"N/A"),KOL_Source_Data!$T$13,"")&amp;" | "&amp;IF(AND(ISTEXT(KOL_Source_Data!$N$13),KOL_Source_Data!$N$13&lt;&gt;"N/A"),KOL_Source_Data!$N$13,"")&amp;" | "&amp;IF(AND(ISTEXT(KOL_Source_Data!$O$13),KOL_Source_Data!$O$13&lt;&gt;"N/A"),KOL_Source_Data!$O$13,"")&amp;" | "&amp;IF(AND(ISTEXT(KOL_Source_Data!$S$13),KOL_Source_Data!$S$13&lt;&gt;"N/A"),KOL_Source_Data!$S$13,"")</f>
      </c>
      <c r="BF61" s="11">
        <f>IF(AND(ISTEXT(KOL_Source_Data!$U$13),KOL_Source_Data!$U$13&lt;&gt;"N/A"),KOL_Source_Data!$U$13,"")</f>
      </c>
      <c r="BG61" s="11">
        <f>Matching_Engine!$A$61&amp;"|"&amp;Matching_Engine!$C$61</f>
      </c>
    </row>
    <row r="62" spans="1:59" x14ac:dyDescent="0.25">
      <c r="A62" s="10" t="s">
        <v>392</v>
      </c>
      <c r="B62" s="11">
        <f>Brand_Profile!$G$6</f>
      </c>
      <c r="C62" s="11">
        <f>KOL_Source_Data!$A$14</f>
      </c>
      <c r="D62" s="11">
        <f>KOL_Source_Data!$C$14</f>
      </c>
      <c r="E62" s="11">
        <f>KOL_Source_Data!$D$14</f>
      </c>
      <c r="F62" s="11">
        <f>KOL_Source_Data!$E$14</f>
      </c>
      <c r="G62" s="11">
        <f>KOL_Source_Data!$K$14</f>
      </c>
      <c r="H62" s="12">
        <f>KOL_Source_Data!$G$14</f>
      </c>
      <c r="I62" s="14">
        <f>KOL_Source_Data!$BG$14</f>
      </c>
      <c r="J62" s="18">
        <f>IF(NOT(AND(ISTEXT(KOL_Source_Data!$K$14),KOL_Source_Data!$K$14&lt;&gt;"N/A")),Lookup_Lists!$D$150,IF(Brand_Profile!$G$7=KOL_Source_Data!$K$14,100,IFERROR(INDEX(Lookup_Lists!$B$349:$J$357,MATCH(Brand_Profile!$G$7,Lookup_Lists!$A$349:$A$357,0),MATCH(KOL_Source_Data!$K$14,Lookup_Lists!$B$348:$J$348,0)),Lookup_Lists!$D$151)))</f>
      </c>
      <c r="K62" s="18">
        <f>IF(LEN(TRIM(SUBSTITUTE(Matching_Engine!$BD$62,"|","")))=0,"N/A",IF(Brand_Profile!$G$47=0,Lookup_Lists!$D$150,ROUND((IF(Brand_Profile!$G$41="",0,IF(ISNUMBER(SEARCH(Brand_Profile!$G$41,Matching_Engine!$BD$62)),1,0))+IF(Brand_Profile!$G$42="",0,IF(ISNUMBER(SEARCH(Brand_Profile!$G$42,Matching_Engine!$BD$62)),1,0))+IF(Brand_Profile!$G$43="",0,IF(ISNUMBER(SEARCH(Brand_Profile!$G$43,Matching_Engine!$BD$62)),1,0))+IF(Brand_Profile!$G$44="",0,IF(ISNUMBER(SEARCH(Brand_Profile!$G$44,Matching_Engine!$BD$62)),1,0))+IF(Brand_Profile!$G$45="",0,IF(ISNUMBER(SEARCH(Brand_Profile!$G$45,Matching_Engine!$BD$62)),1,0))+IF(Brand_Profile!$G$46="",0,IF(ISNUMBER(SEARCH(Brand_Profile!$G$46,Matching_Engine!$BD$62)),1,0)))/Brand_Profile!$G$47*100,0)))</f>
      </c>
      <c r="L62" s="18">
        <f>IF(NOT(AND(ISTEXT(KOL_Source_Data!$U$14),KOL_Source_Data!$U$14&lt;&gt;"N/A")),"N/A",IF(Brand_Profile!$G$53=0,Lookup_Lists!$D$150,ROUND((IF(Brand_Profile!$G$48="",0,IF(ISNUMBER(SEARCH(Brand_Profile!$G$48,Matching_Engine!$BF$62)),1,0))+IF(Brand_Profile!$G$49="",0,IF(ISNUMBER(SEARCH(Brand_Profile!$G$49,Matching_Engine!$BF$62)),1,0))+IF(Brand_Profile!$G$50="",0,IF(ISNUMBER(SEARCH(Brand_Profile!$G$50,Matching_Engine!$BF$62)),1,0))+IF(Brand_Profile!$G$51="",0,IF(ISNUMBER(SEARCH(Brand_Profile!$G$51,Matching_Engine!$BF$62)),1,0))+IF(Brand_Profile!$G$52="",0,IF(ISNUMBER(SEARCH(Brand_Profile!$G$52,Matching_Engine!$BF$62)),1,0)))/Brand_Profile!$G$53*100,0)))</f>
      </c>
      <c r="M62" s="29">
        <f>IF((IF(ISNUMBER(Matching_Engine!$J$62),Lookup_Lists!$D$332,0)+IF(ISNUMBER(Matching_Engine!$K$62),Lookup_Lists!$D$333,0)+IF(ISNUMBER(Matching_Engine!$L$62),Lookup_Lists!$D$334,0))=0,"N/A",ROUND((IF(ISNUMBER(Matching_Engine!$J$62),Matching_Engine!$J$62*Lookup_Lists!$D$332,0)+IF(ISNUMBER(Matching_Engine!$K$62),Matching_Engine!$K$62*Lookup_Lists!$D$333,0)+IF(ISNUMBER(Matching_Engine!$L$62),Matching_Engine!$L$62*Lookup_Lists!$D$334,0))/(IF(ISNUMBER(Matching_Engine!$J$62),Lookup_Lists!$D$332,0)+IF(ISNUMBER(Matching_Engine!$K$62),Lookup_Lists!$D$333,0)+IF(ISNUMBER(Matching_Engine!$L$62),Lookup_Lists!$D$334,0)),0))</f>
      </c>
      <c r="N62" s="11">
        <f>IF(ISNUMBER(Matching_Engine!$M$62),1,0)</f>
      </c>
      <c r="O62" s="18">
        <f>IF(NOT(ISNUMBER(IFERROR(INDEX(KOL_Source_Data!$V$14:KOL_Source_Data!$Z$14,1,MATCH(Brand_Profile!$G$11,Lookup_Lists!$F$6:$F$10,0)),""))),"N/A",MIN(100,ROUND((IFERROR(INDEX(KOL_Source_Data!$V$14:KOL_Source_Data!$Z$14,1,MATCH(Brand_Profile!$G$11,Lookup_Lists!$F$6:$F$10,0)),"")+0.5*IF(ISNUMBER(IFERROR(INDEX(KOL_Source_Data!$V$14:KOL_Source_Data!$Z$14,1,MATCH(Brand_Profile!$G$12,Lookup_Lists!$F$6:$F$10,0)),"")),IFERROR(INDEX(KOL_Source_Data!$V$14:KOL_Source_Data!$Z$14,1,MATCH(Brand_Profile!$G$12,Lookup_Lists!$F$6:$F$10,0)),""),0))/Lookup_Lists!$D$142*100,0)))</f>
      </c>
      <c r="P62" s="18">
        <f>IF(Brand_Profile!$G$13="Any",100,IF(NOT(ISNUMBER(KOL_Source_Data!$AA$14)),"N/A",IF(Brand_Profile!$G$13="Female",MIN(100,ROUND(KOL_Source_Data!$AA$14/Lookup_Lists!$D$143*100,0)),IF(Brand_Profile!$G$13="Male",MIN(100,ROUND(IF(ISNUMBER(KOL_Source_Data!$AB$14),KOL_Source_Data!$AB$14,100-KOL_Source_Data!$AA$14)/Lookup_Lists!$D$143*100,0)),MAX(0,ROUND(100-ABS(KOL_Source_Data!$AA$14-50)*2,0))))))</f>
      </c>
      <c r="Q62" s="18">
        <f>IF((IF(ISNUMBER(IF(NOT(ISNUMBER(KOL_Source_Data!$AE$14)),"N/A",IF(KOL_Source_Data!$AD$14&lt;&gt;Brand_Profile!$G$14,Lookup_Lists!$D$151,MIN(100,ROUND(KOL_Source_Data!$AE$14/Lookup_Lists!$D$316*100,0))))),Lookup_Lists!$D$118,0)+IF(ISNUMBER(IF(NOT(ISNUMBER(KOL_Source_Data!$AM$14)),"N/A",MIN(100,ROUND((IF(KOL_Source_Data!$AG$14=Brand_Profile!$G$15,IF(ISNUMBER(KOL_Source_Data!$AH$14),KOL_Source_Data!$AH$14,0),0)+IF(KOL_Source_Data!$AI$14=Brand_Profile!$G$15,IF(ISNUMBER(KOL_Source_Data!$AJ$14),KOL_Source_Data!$AJ$14,0),0)+IF(KOL_Source_Data!$AK$14=Brand_Profile!$G$15,IF(ISNUMBER(KOL_Source_Data!$AL$14),KOL_Source_Data!$AL$14,0),0))/Lookup_Lists!$D$317*100,0)))),Lookup_Lists!$D$120,0))=0,"N/A",ROUND((IF(ISNUMBER(IF(NOT(ISNUMBER(KOL_Source_Data!$AE$14)),"N/A",IF(KOL_Source_Data!$AD$14&lt;&gt;Brand_Profile!$G$14,Lookup_Lists!$D$151,MIN(100,ROUND(KOL_Source_Data!$AE$14/Lookup_Lists!$D$316*100,0))))),IF(NOT(ISNUMBER(KOL_Source_Data!$AE$14)),"N/A",IF(KOL_Source_Data!$AD$14&lt;&gt;Brand_Profile!$G$14,Lookup_Lists!$D$151,MIN(100,ROUND(KOL_Source_Data!$AE$14/Lookup_Lists!$D$316*100,0))))*Lookup_Lists!$D$118,0)+IF(ISNUMBER(IF(NOT(ISNUMBER(KOL_Source_Data!$AM$14)),"N/A",MIN(100,ROUND((IF(KOL_Source_Data!$AG$14=Brand_Profile!$G$15,IF(ISNUMBER(KOL_Source_Data!$AH$14),KOL_Source_Data!$AH$14,0),0)+IF(KOL_Source_Data!$AI$14=Brand_Profile!$G$15,IF(ISNUMBER(KOL_Source_Data!$AJ$14),KOL_Source_Data!$AJ$14,0),0)+IF(KOL_Source_Data!$AK$14=Brand_Profile!$G$15,IF(ISNUMBER(KOL_Source_Data!$AL$14),KOL_Source_Data!$AL$14,0),0))/Lookup_Lists!$D$317*100,0)))),IF(NOT(ISNUMBER(KOL_Source_Data!$AM$14)),"N/A",MIN(100,ROUND((IF(KOL_Source_Data!$AG$14=Brand_Profile!$G$15,IF(ISNUMBER(KOL_Source_Data!$AH$14),KOL_Source_Data!$AH$14,0),0)+IF(KOL_Source_Data!$AI$14=Brand_Profile!$G$15,IF(ISNUMBER(KOL_Source_Data!$AJ$14),KOL_Source_Data!$AJ$14,0),0)+IF(KOL_Source_Data!$AK$14=Brand_Profile!$G$15,IF(ISNUMBER(KOL_Source_Data!$AL$14),KOL_Source_Data!$AL$14,0),0))/Lookup_Lists!$D$317*100,0)))*Lookup_Lists!$D$120,0))/(IF(ISNUMBER(IF(NOT(ISNUMBER(KOL_Source_Data!$AE$14)),"N/A",IF(KOL_Source_Data!$AD$14&lt;&gt;Brand_Profile!$G$14,Lookup_Lists!$D$151,MIN(100,ROUND(KOL_Source_Data!$AE$14/Lookup_Lists!$D$316*100,0))))),Lookup_Lists!$D$118,0)+IF(ISNUMBER(IF(NOT(ISNUMBER(KOL_Source_Data!$AM$14)),"N/A",MIN(100,ROUND((IF(KOL_Source_Data!$AG$14=Brand_Profile!$G$15,IF(ISNUMBER(KOL_Source_Data!$AH$14),KOL_Source_Data!$AH$14,0),0)+IF(KOL_Source_Data!$AI$14=Brand_Profile!$G$15,IF(ISNUMBER(KOL_Source_Data!$AJ$14),KOL_Source_Data!$AJ$14,0),0)+IF(KOL_Source_Data!$AK$14=Brand_Profile!$G$15,IF(ISNUMBER(KOL_Source_Data!$AL$14),KOL_Source_Data!$AL$14,0),0))/Lookup_Lists!$D$317*100,0)))),Lookup_Lists!$D$120,0)),0))</f>
      </c>
      <c r="R62" s="18">
        <f>IF(NOT(ISNUMBER(KOL_Source_Data!$AN$14)),"N/A",MIN(100,ROUND((IF(ISNUMBER(KOL_Source_Data!$AO$14),KOL_Source_Data!$AO$14*Brand_Profile!$G$17,0)+IF(ISNUMBER(KOL_Source_Data!$AP$14),KOL_Source_Data!$AP$14*Brand_Profile!$G$18,0)+IF(ISNUMBER(KOL_Source_Data!$AQ$14),KOL_Source_Data!$AQ$14*Brand_Profile!$G$19,0)+IF(ISNUMBER(KOL_Source_Data!$AR$14),KOL_Source_Data!$AR$14*Brand_Profile!$G$20,0)+IF(ISNUMBER(KOL_Source_Data!$AS$14),KOL_Source_Data!$AS$14*Brand_Profile!$G$21,0)+IF(ISNUMBER(KOL_Source_Data!$AT$14),KOL_Source_Data!$AT$14*Brand_Profile!$G$22,0)+IF(ISNUMBER(KOL_Source_Data!$AU$14),KOL_Source_Data!$AU$14*Brand_Profile!$G$23,0)+IF(ISNUMBER(KOL_Source_Data!$AV$14),KOL_Source_Data!$AV$14*Brand_Profile!$G$24,0)+IF(ISNUMBER(KOL_Source_Data!$AW$14),KOL_Source_Data!$AW$14*Brand_Profile!$G$25,0)+IF(ISNUMBER(KOL_Source_Data!$AX$14),KOL_Source_Data!$AX$14*Brand_Profile!$G$26,0)+IF(ISNUMBER(KOL_Source_Data!$AY$14),KOL_Source_Data!$AY$14*Brand_Profile!$G$27,0)+IF(ISNUMBER(KOL_Source_Data!$AZ$14),KOL_Source_Data!$AZ$14*Brand_Profile!$G$28,0)+IF(ISNUMBER(KOL_Source_Data!$BA$14),KOL_Source_Data!$BA$14*Brand_Profile!$G$29,0)+IF(ISNUMBER(KOL_Source_Data!$BB$14),KOL_Source_Data!$BB$14*Brand_Profile!$G$30,0)+IF(ISNUMBER(KOL_Source_Data!$BC$14),KOL_Source_Data!$BC$14*Brand_Profile!$G$31,0)+IF(ISNUMBER(KOL_Source_Data!$BD$14),KOL_Source_Data!$BD$14*Brand_Profile!$G$32,0)+IF(ISNUMBER(KOL_Source_Data!$BE$14),KOL_Source_Data!$BE$14*Brand_Profile!$G$33,0)+IF(ISNUMBER(KOL_Source_Data!$BF$14),KOL_Source_Data!$BF$14*Brand_Profile!$G$34,0))/Lookup_Lists!$D$318*100,0)))</f>
      </c>
      <c r="S62" s="29">
        <f>IF((IF(ISNUMBER(Matching_Engine!$O$62),Lookup_Lists!$D$113,0)+IF(ISNUMBER(Matching_Engine!$P$62),Lookup_Lists!$D$114,0)+IF(ISNUMBER(Matching_Engine!$Q$62),Lookup_Lists!$D$115,0)+IF(ISNUMBER(Matching_Engine!$R$62),Lookup_Lists!$D$116,0))=0,"N/A",ROUND((IF(ISNUMBER(Matching_Engine!$O$62),Matching_Engine!$O$62*Lookup_Lists!$D$113,0)+IF(ISNUMBER(Matching_Engine!$P$62),Matching_Engine!$P$62*Lookup_Lists!$D$114,0)+IF(ISNUMBER(Matching_Engine!$Q$62),Matching_Engine!$Q$62*Lookup_Lists!$D$115,0)+IF(ISNUMBER(Matching_Engine!$R$62),Matching_Engine!$R$62*Lookup_Lists!$D$116,0))/(IF(ISNUMBER(Matching_Engine!$O$62),Lookup_Lists!$D$113,0)+IF(ISNUMBER(Matching_Engine!$P$62),Lookup_Lists!$D$114,0)+IF(ISNUMBER(Matching_Engine!$Q$62),Lookup_Lists!$D$115,0)+IF(ISNUMBER(Matching_Engine!$R$62),Lookup_Lists!$D$116,0)),0))</f>
      </c>
      <c r="T62" s="11">
        <f>IF(ISNUMBER(Matching_Engine!$S$62),1,0)</f>
      </c>
      <c r="U62" s="18">
        <f>IF(NOT(AND(ISTEXT(KOL_Source_Data!$M$14),KOL_Source_Data!$M$14&lt;&gt;"N/A")),Lookup_Lists!$D$150,IF(Brand_Profile!$G$7=KOL_Source_Data!$M$14,100,IFERROR(INDEX(Lookup_Lists!$B$349:$J$357,MATCH(Brand_Profile!$G$7,Lookup_Lists!$A$349:$A$357,0),MATCH(KOL_Source_Data!$M$14,Lookup_Lists!$B$348:$J$348,0)),Lookup_Lists!$D$151)))</f>
      </c>
      <c r="V62" s="18">
        <f>IF(NOT(AND(ISTEXT(KOL_Source_Data!$P$14),KOL_Source_Data!$P$14&lt;&gt;"N/A")),"N/A",IFERROR(INDEX(Lookup_Lists!$B$349:$J$357,MATCH(Brand_Profile!$G$7,Lookup_Lists!$A$349:$A$357,0),MATCH(KOL_Source_Data!$P$14,Lookup_Lists!$B$348:$J$348,0)),Lookup_Lists!$D$151))</f>
      </c>
      <c r="W62" s="18">
        <f>IF(LEN(TRIM(SUBSTITUTE(Matching_Engine!$BE$62,"|","")))=0,"N/A",IF(Brand_Profile!$G$60=0,Lookup_Lists!$D$150,ROUND((IF(Brand_Profile!$G$54="",0,IF(ISNUMBER(SEARCH(Brand_Profile!$G$54,Matching_Engine!$BE$62)),1,0))+IF(Brand_Profile!$G$55="",0,IF(ISNUMBER(SEARCH(Brand_Profile!$G$55,Matching_Engine!$BE$62)),1,0))+IF(Brand_Profile!$G$56="",0,IF(ISNUMBER(SEARCH(Brand_Profile!$G$56,Matching_Engine!$BE$62)),1,0))+IF(Brand_Profile!$G$57="",0,IF(ISNUMBER(SEARCH(Brand_Profile!$G$57,Matching_Engine!$BE$62)),1,0))+IF(Brand_Profile!$G$58="",0,IF(ISNUMBER(SEARCH(Brand_Profile!$G$58,Matching_Engine!$BE$62)),1,0))+IF(Brand_Profile!$G$59="",0,IF(ISNUMBER(SEARCH(Brand_Profile!$G$59,Matching_Engine!$BE$62)),1,0)))/Brand_Profile!$G$60*100,0)))</f>
      </c>
      <c r="X62" s="18">
        <f>IF(NOT(AND(ISTEXT(KOL_Source_Data!$Q$14),KOL_Source_Data!$Q$14&lt;&gt;"N/A")),"N/A",Lookup_Lists!$D$150)</f>
      </c>
      <c r="Y62" s="29">
        <f>IF((IF(ISNUMBER(Matching_Engine!$U$62),Lookup_Lists!$D$335,0)+IF(ISNUMBER(Matching_Engine!$V$62),Lookup_Lists!$D$122,0)+IF(ISNUMBER(Matching_Engine!$W$62),Lookup_Lists!$D$336,0)+IF(ISNUMBER(Matching_Engine!$X$62),Lookup_Lists!$D$124,0))=0,"N/A",ROUND((IF(ISNUMBER(Matching_Engine!$U$62),Matching_Engine!$U$62*Lookup_Lists!$D$335,0)+IF(ISNUMBER(Matching_Engine!$V$62),Matching_Engine!$V$62*Lookup_Lists!$D$122,0)+IF(ISNUMBER(Matching_Engine!$W$62),Matching_Engine!$W$62*Lookup_Lists!$D$336,0)+IF(ISNUMBER(Matching_Engine!$X$62),Matching_Engine!$X$62*Lookup_Lists!$D$124,0))/(IF(ISNUMBER(Matching_Engine!$U$62),Lookup_Lists!$D$335,0)+IF(ISNUMBER(Matching_Engine!$V$62),Lookup_Lists!$D$122,0)+IF(ISNUMBER(Matching_Engine!$W$62),Lookup_Lists!$D$336,0)+IF(ISNUMBER(Matching_Engine!$X$62),Lookup_Lists!$D$124,0)),0))</f>
      </c>
      <c r="Z62" s="11">
        <f>IF(ISNUMBER(Matching_Engine!$Y$62),1,0)</f>
      </c>
      <c r="AA62" s="18">
        <f>IF(NOT(AND(ISTEXT(KOL_Source_Data!$Q$14),KOL_Source_Data!$Q$14&lt;&gt;"N/A")),"N/A",Lookup_Lists!$D$150)</f>
      </c>
      <c r="AB62" s="18">
        <f>IF(NOT(AND(ISTEXT(KOL_Source_Data!$Q$14),KOL_Source_Data!$Q$14&lt;&gt;"N/A")),"N/A",Lookup_Lists!$D$150)</f>
      </c>
      <c r="AC62" s="18">
        <f>"N/A"</f>
      </c>
      <c r="AD62" s="18">
        <f>IF(NOT(AND(ISTEXT(KOL_Source_Data!$Q$14),KOL_Source_Data!$Q$14&lt;&gt;"N/A")),"N/A",Lookup_Lists!$D$150)</f>
      </c>
      <c r="AE62" s="29">
        <f>IF((IF(ISNUMBER(Matching_Engine!$AA$62),Lookup_Lists!$D$125,0)+IF(ISNUMBER(Matching_Engine!$AB$62),Lookup_Lists!$D$126,0)+IF(ISNUMBER(Matching_Engine!$AC$62),Lookup_Lists!$D$127,0)+IF(ISNUMBER(Matching_Engine!$AD$62),Lookup_Lists!$D$128,0))=0,"N/A",ROUND((IF(ISNUMBER(Matching_Engine!$AA$62),Matching_Engine!$AA$62*Lookup_Lists!$D$125,0)+IF(ISNUMBER(Matching_Engine!$AB$62),Matching_Engine!$AB$62*Lookup_Lists!$D$126,0)+IF(ISNUMBER(Matching_Engine!$AC$62),Matching_Engine!$AC$62*Lookup_Lists!$D$127,0)+IF(ISNUMBER(Matching_Engine!$AD$62),Matching_Engine!$AD$62*Lookup_Lists!$D$128,0))/(IF(ISNUMBER(Matching_Engine!$AA$62),Lookup_Lists!$D$125,0)+IF(ISNUMBER(Matching_Engine!$AB$62),Lookup_Lists!$D$126,0)+IF(ISNUMBER(Matching_Engine!$AC$62),Lookup_Lists!$D$127,0)+IF(ISNUMBER(Matching_Engine!$AD$62),Lookup_Lists!$D$128,0)),0))</f>
      </c>
      <c r="AF62" s="11">
        <f>IF(ISNUMBER(Matching_Engine!$AE$62),1,0)</f>
      </c>
      <c r="AG62" s="18">
        <f>IF(NOT(ISNUMBER(KOL_Source_Data!$BG$14)),"N/A",MIN(100,ROUND(KOL_Source_Data!$BG$14/IFERROR(INDEX(Lookup_Lists!$B$340:$B$344,MATCH(KOL_Source_Data!$H$14,Lookup_Lists!$A$340:$A$344,0)),Lookup_Lists!$D$141)*100,0)))</f>
      </c>
      <c r="AH62" s="18">
        <f>IF(NOT(ISNUMBER(KOL_Source_Data!$BS$14)),"N/A",MIN(100,MAX(0,KOL_Source_Data!$BS$14)))</f>
      </c>
      <c r="AI62" s="18">
        <f>IF(OR(NOT(ISNUMBER(KOL_Source_Data!$BM$14)),NOT(ISNUMBER(KOL_Source_Data!$BN$14)),KOL_Source_Data!$BN$14&lt;Lookup_Lists!$D$320),"N/A",MIN(100,ROUND(KOL_Source_Data!$BM$14/Lookup_Lists!$D$319*100,0)))</f>
      </c>
      <c r="AJ62" s="18">
        <f>IF(NOT(ISNUMBER(KOL_Source_Data!$BR$14)),"N/A",KOL_Source_Data!$BR$14)</f>
      </c>
      <c r="AK62" s="18">
        <f>IF(NOT(ISNUMBER(KOL_Source_Data!$BK$14)),"N/A",MIN(100,ROUND(KOL_Source_Data!$BK$14/Lookup_Lists!$D$321*100,0)))</f>
      </c>
      <c r="AL62" s="18">
        <f>IF(NOT(ISNUMBER(KOL_Source_Data!$BP$14)),"N/A",MIN(100,MAX(0,ROUND((KOL_Source_Data!$BP$14+2)/(Lookup_Lists!$D$145+2)*100,0))))</f>
      </c>
      <c r="AM62" s="29">
        <f>IF((IF(ISNUMBER(Matching_Engine!$AG$62),Lookup_Lists!$D$129,0)+IF(ISNUMBER(Matching_Engine!$AH$62),Lookup_Lists!$D$130,0)+IF(ISNUMBER(Matching_Engine!$AI$62),Lookup_Lists!$D$131,0)+IF(ISNUMBER(Matching_Engine!$AJ$62),Lookup_Lists!$D$132,0)+IF(ISNUMBER(Matching_Engine!$AK$62),Lookup_Lists!$D$133,0)+IF(ISNUMBER(Matching_Engine!$AL$62),Lookup_Lists!$D$134,0))=0,"N/A",ROUND((IF(ISNUMBER(Matching_Engine!$AG$62),Matching_Engine!$AG$62*Lookup_Lists!$D$129,0)+IF(ISNUMBER(Matching_Engine!$AH$62),Matching_Engine!$AH$62*Lookup_Lists!$D$130,0)+IF(ISNUMBER(Matching_Engine!$AI$62),Matching_Engine!$AI$62*Lookup_Lists!$D$131,0)+IF(ISNUMBER(Matching_Engine!$AJ$62),Matching_Engine!$AJ$62*Lookup_Lists!$D$132,0)+IF(ISNUMBER(Matching_Engine!$AK$62),Matching_Engine!$AK$62*Lookup_Lists!$D$133,0)+IF(ISNUMBER(Matching_Engine!$AL$62),Matching_Engine!$AL$62*Lookup_Lists!$D$134,0))/(IF(ISNUMBER(Matching_Engine!$AG$62),Lookup_Lists!$D$129,0)+IF(ISNUMBER(Matching_Engine!$AH$62),Lookup_Lists!$D$130,0)+IF(ISNUMBER(Matching_Engine!$AI$62),Lookup_Lists!$D$131,0)+IF(ISNUMBER(Matching_Engine!$AJ$62),Lookup_Lists!$D$132,0)+IF(ISNUMBER(Matching_Engine!$AK$62),Lookup_Lists!$D$133,0)+IF(ISNUMBER(Matching_Engine!$AL$62),Lookup_Lists!$D$134,0)),0))</f>
      </c>
      <c r="AN62" s="11">
        <f>IF(ISNUMBER(Matching_Engine!$AM$62),1,0)</f>
      </c>
      <c r="AO62" s="18">
        <f>IF(NOT(ISNUMBER(KOL_Source_Data!$BT$14)),"N/A",MIN(100,MAX(0,KOL_Source_Data!$BT$14)))</f>
      </c>
      <c r="AP62" s="18">
        <f>IF(NOT(ISNUMBER(KOL_Source_Data!$BU$14)),"N/A",MIN(100,MAX(0,KOL_Source_Data!$BU$14)))</f>
      </c>
      <c r="AQ62" s="18">
        <f>IF(KOL_Source_Data!$I$14="Yes",Lookup_Lists!$D$326,IF(KOL_Source_Data!$I$14="No",Lookup_Lists!$D$327,"N/A"))</f>
      </c>
      <c r="AR62" s="18">
        <f>IF(NOT(ISNUMBER(KOL_Source_Data!$BQ$14)),"N/A",MAX(0,ROUND(100-KOL_Source_Data!$BQ$14/Lookup_Lists!$D$328*100,0)))</f>
      </c>
      <c r="AS62" s="18">
        <f>IF(NOT(AND(ISTEXT(KOL_Source_Data!$BV$14),KOL_Source_Data!$BV$14&lt;&gt;"N/A")),"N/A",KOL_Source_Data!$BV$14)</f>
      </c>
      <c r="AT62" s="29">
        <f>IF((IF(ISNUMBER(Matching_Engine!$AO$62),Lookup_Lists!$D$322,0)+IF(ISNUMBER(Matching_Engine!$AP$62),Lookup_Lists!$D$323,0)+IF(ISNUMBER(Matching_Engine!$AQ$62),Lookup_Lists!$D$324,0)+IF(ISNUMBER(Matching_Engine!$AR$62),Lookup_Lists!$D$325,0))=0,"N/A",ROUND((IF(ISNUMBER(Matching_Engine!$AO$62),Matching_Engine!$AO$62*Lookup_Lists!$D$322,0)+IF(ISNUMBER(Matching_Engine!$AP$62),Matching_Engine!$AP$62*Lookup_Lists!$D$323,0)+IF(ISNUMBER(Matching_Engine!$AQ$62),Matching_Engine!$AQ$62*Lookup_Lists!$D$324,0)+IF(ISNUMBER(Matching_Engine!$AR$62),Matching_Engine!$AR$62*Lookup_Lists!$D$325,0))/(IF(ISNUMBER(Matching_Engine!$AO$62),Lookup_Lists!$D$322,0)+IF(ISNUMBER(Matching_Engine!$AP$62),Lookup_Lists!$D$323,0)+IF(ISNUMBER(Matching_Engine!$AQ$62),Lookup_Lists!$D$324,0)+IF(ISNUMBER(Matching_Engine!$AR$62),Lookup_Lists!$D$325,0)),0))</f>
      </c>
      <c r="AU62" s="11">
        <f>IF(ISNUMBER(Matching_Engine!$AT$62),1,0)</f>
      </c>
      <c r="AV62" s="11">
        <f>IF(NOT(ISNUMBER(Matching_Engine!$AT$62)),"Not Screened",IF(Matching_Engine!$AT$62&gt;=Lookup_Lists!$D$329,"Low Risk",IF(Matching_Engine!$AT$62&gt;=Lookup_Lists!$D$330,"Moderate Risk",IF(Matching_Engine!$AT$62&gt;=Lookup_Lists!$D$331,"Elevated Risk","High Risk"))))</f>
      </c>
      <c r="AW62" s="11">
        <f>IF(NOT(ISNUMBER(Matching_Engine!$AT$62)),"No integrity signal: no audience-analysis row for this account.","Integrity screen only — no content-risk reading exists (comments_analysis: 0 rows). "&amp;IF(ISNUMBER(Matching_Engine!$AO$62),"Authenticity "&amp;Matching_Engine!$AO$62&amp;". ","Authenticity N/A. ")&amp;IF(ISNUMBER(Matching_Engine!$AP$62),"Follower quality "&amp;Matching_Engine!$AP$62&amp;". ","Follower quality N/A. ")&amp;IF(KOL_Source_Data!$I$14="Yes","Platform-verified.","Not platform-verified."))</f>
      </c>
      <c r="AX62" s="18">
        <f>Matching_Engine!$N$62*Lookup_Lists!$D$104+Matching_Engine!$T$62*Lookup_Lists!$D$105+Matching_Engine!$Z$62*Lookup_Lists!$D$106+Matching_Engine!$AF$62*Lookup_Lists!$D$107+Matching_Engine!$AN$62*Lookup_Lists!$D$108+Matching_Engine!$AU$62*Lookup_Lists!$D$109</f>
      </c>
      <c r="AY62" s="30">
        <f>IF(Matching_Engine!$AX$62=0,"N/A",ROUND((IF(Matching_Engine!$N$62=1,Matching_Engine!$M$62*Lookup_Lists!$D$104,0)+IF(Matching_Engine!$T$62=1,Matching_Engine!$S$62*Lookup_Lists!$D$105,0)+IF(Matching_Engine!$Z$62=1,Matching_Engine!$Y$62*Lookup_Lists!$D$106,0)+IF(Matching_Engine!$AF$62=1,Matching_Engine!$AE$62*Lookup_Lists!$D$107,0)+IF(Matching_Engine!$AN$62=1,Matching_Engine!$AM$62*Lookup_Lists!$D$108,0)+IF(Matching_Engine!$AU$62=1,Matching_Engine!$AT$62*Lookup_Lists!$D$109,0))/Matching_Engine!$AX$62,0))</f>
      </c>
      <c r="AZ62" s="11">
        <f>IF(NOT(ISNUMBER(Matching_Engine!$AY$62)),"Not Scored",IF(Matching_Engine!$AY$62&gt;=Lookup_Lists!$D$152,"Excellent Match",IF(Matching_Engine!$AY$62&gt;=Lookup_Lists!$D$153,"Strong Match",IF(Matching_Engine!$AY$62&gt;=Lookup_Lists!$D$154,"Good Match",IF(Matching_Engine!$AY$62&gt;=Lookup_Lists!$D$155,"Moderate Match","Low Match")))))</f>
      </c>
      <c r="BA62" s="18">
        <f>KOL_Source_Data!$BW$14</f>
      </c>
      <c r="BB62" s="11">
        <f>KOL_Source_Data!$BX$14</f>
      </c>
      <c r="BC62" s="18">
        <f>IF(NOT(ISNUMBER(Matching_Engine!$AY$62)),-1,Matching_Engine!$AY$62*1000+16)</f>
      </c>
      <c r="BD62" s="11">
        <f>IF(AND(ISTEXT(KOL_Source_Data!$S$14),KOL_Source_Data!$S$14&lt;&gt;"N/A"),KOL_Source_Data!$S$14,"")&amp;" | "&amp;IF(AND(ISTEXT(KOL_Source_Data!$T$14),KOL_Source_Data!$T$14&lt;&gt;"N/A"),KOL_Source_Data!$T$14,"")&amp;" | "&amp;IF(AND(ISTEXT(KOL_Source_Data!$N$14),KOL_Source_Data!$N$14&lt;&gt;"N/A"),KOL_Source_Data!$N$14,"")&amp;" | "&amp;IF(AND(ISTEXT(KOL_Source_Data!$K$14),KOL_Source_Data!$K$14&lt;&gt;"N/A"),KOL_Source_Data!$K$14,"")&amp;" | "&amp;IF(AND(ISTEXT(KOL_Source_Data!$J$14),KOL_Source_Data!$J$14&lt;&gt;"N/A"),KOL_Source_Data!$J$14,"")</f>
      </c>
      <c r="BE62" s="11">
        <f>IF(AND(ISTEXT(KOL_Source_Data!$T$14),KOL_Source_Data!$T$14&lt;&gt;"N/A"),KOL_Source_Data!$T$14,"")&amp;" | "&amp;IF(AND(ISTEXT(KOL_Source_Data!$N$14),KOL_Source_Data!$N$14&lt;&gt;"N/A"),KOL_Source_Data!$N$14,"")&amp;" | "&amp;IF(AND(ISTEXT(KOL_Source_Data!$O$14),KOL_Source_Data!$O$14&lt;&gt;"N/A"),KOL_Source_Data!$O$14,"")&amp;" | "&amp;IF(AND(ISTEXT(KOL_Source_Data!$S$14),KOL_Source_Data!$S$14&lt;&gt;"N/A"),KOL_Source_Data!$S$14,"")</f>
      </c>
      <c r="BF62" s="11">
        <f>IF(AND(ISTEXT(KOL_Source_Data!$U$14),KOL_Source_Data!$U$14&lt;&gt;"N/A"),KOL_Source_Data!$U$14,"")</f>
      </c>
      <c r="BG62" s="11">
        <f>Matching_Engine!$A$62&amp;"|"&amp;Matching_Engine!$C$62</f>
      </c>
    </row>
    <row r="63" spans="1:59" x14ac:dyDescent="0.25">
      <c r="A63" s="10" t="s">
        <v>392</v>
      </c>
      <c r="B63" s="11">
        <f>Brand_Profile!$G$6</f>
      </c>
      <c r="C63" s="11">
        <f>KOL_Source_Data!$A$15</f>
      </c>
      <c r="D63" s="11">
        <f>KOL_Source_Data!$C$15</f>
      </c>
      <c r="E63" s="11">
        <f>KOL_Source_Data!$D$15</f>
      </c>
      <c r="F63" s="11">
        <f>KOL_Source_Data!$E$15</f>
      </c>
      <c r="G63" s="11">
        <f>KOL_Source_Data!$K$15</f>
      </c>
      <c r="H63" s="12">
        <f>KOL_Source_Data!$G$15</f>
      </c>
      <c r="I63" s="14">
        <f>KOL_Source_Data!$BG$15</f>
      </c>
      <c r="J63" s="18">
        <f>IF(NOT(AND(ISTEXT(KOL_Source_Data!$K$15),KOL_Source_Data!$K$15&lt;&gt;"N/A")),Lookup_Lists!$D$150,IF(Brand_Profile!$G$7=KOL_Source_Data!$K$15,100,IFERROR(INDEX(Lookup_Lists!$B$349:$J$357,MATCH(Brand_Profile!$G$7,Lookup_Lists!$A$349:$A$357,0),MATCH(KOL_Source_Data!$K$15,Lookup_Lists!$B$348:$J$348,0)),Lookup_Lists!$D$151)))</f>
      </c>
      <c r="K63" s="18">
        <f>IF(LEN(TRIM(SUBSTITUTE(Matching_Engine!$BD$63,"|","")))=0,"N/A",IF(Brand_Profile!$G$47=0,Lookup_Lists!$D$150,ROUND((IF(Brand_Profile!$G$41="",0,IF(ISNUMBER(SEARCH(Brand_Profile!$G$41,Matching_Engine!$BD$63)),1,0))+IF(Brand_Profile!$G$42="",0,IF(ISNUMBER(SEARCH(Brand_Profile!$G$42,Matching_Engine!$BD$63)),1,0))+IF(Brand_Profile!$G$43="",0,IF(ISNUMBER(SEARCH(Brand_Profile!$G$43,Matching_Engine!$BD$63)),1,0))+IF(Brand_Profile!$G$44="",0,IF(ISNUMBER(SEARCH(Brand_Profile!$G$44,Matching_Engine!$BD$63)),1,0))+IF(Brand_Profile!$G$45="",0,IF(ISNUMBER(SEARCH(Brand_Profile!$G$45,Matching_Engine!$BD$63)),1,0))+IF(Brand_Profile!$G$46="",0,IF(ISNUMBER(SEARCH(Brand_Profile!$G$46,Matching_Engine!$BD$63)),1,0)))/Brand_Profile!$G$47*100,0)))</f>
      </c>
      <c r="L63" s="18">
        <f>IF(NOT(AND(ISTEXT(KOL_Source_Data!$U$15),KOL_Source_Data!$U$15&lt;&gt;"N/A")),"N/A",IF(Brand_Profile!$G$53=0,Lookup_Lists!$D$150,ROUND((IF(Brand_Profile!$G$48="",0,IF(ISNUMBER(SEARCH(Brand_Profile!$G$48,Matching_Engine!$BF$63)),1,0))+IF(Brand_Profile!$G$49="",0,IF(ISNUMBER(SEARCH(Brand_Profile!$G$49,Matching_Engine!$BF$63)),1,0))+IF(Brand_Profile!$G$50="",0,IF(ISNUMBER(SEARCH(Brand_Profile!$G$50,Matching_Engine!$BF$63)),1,0))+IF(Brand_Profile!$G$51="",0,IF(ISNUMBER(SEARCH(Brand_Profile!$G$51,Matching_Engine!$BF$63)),1,0))+IF(Brand_Profile!$G$52="",0,IF(ISNUMBER(SEARCH(Brand_Profile!$G$52,Matching_Engine!$BF$63)),1,0)))/Brand_Profile!$G$53*100,0)))</f>
      </c>
      <c r="M63" s="29">
        <f>IF((IF(ISNUMBER(Matching_Engine!$J$63),Lookup_Lists!$D$332,0)+IF(ISNUMBER(Matching_Engine!$K$63),Lookup_Lists!$D$333,0)+IF(ISNUMBER(Matching_Engine!$L$63),Lookup_Lists!$D$334,0))=0,"N/A",ROUND((IF(ISNUMBER(Matching_Engine!$J$63),Matching_Engine!$J$63*Lookup_Lists!$D$332,0)+IF(ISNUMBER(Matching_Engine!$K$63),Matching_Engine!$K$63*Lookup_Lists!$D$333,0)+IF(ISNUMBER(Matching_Engine!$L$63),Matching_Engine!$L$63*Lookup_Lists!$D$334,0))/(IF(ISNUMBER(Matching_Engine!$J$63),Lookup_Lists!$D$332,0)+IF(ISNUMBER(Matching_Engine!$K$63),Lookup_Lists!$D$333,0)+IF(ISNUMBER(Matching_Engine!$L$63),Lookup_Lists!$D$334,0)),0))</f>
      </c>
      <c r="N63" s="11">
        <f>IF(ISNUMBER(Matching_Engine!$M$63),1,0)</f>
      </c>
      <c r="O63" s="18">
        <f>IF(NOT(ISNUMBER(IFERROR(INDEX(KOL_Source_Data!$V$15:KOL_Source_Data!$Z$15,1,MATCH(Brand_Profile!$G$11,Lookup_Lists!$F$6:$F$10,0)),""))),"N/A",MIN(100,ROUND((IFERROR(INDEX(KOL_Source_Data!$V$15:KOL_Source_Data!$Z$15,1,MATCH(Brand_Profile!$G$11,Lookup_Lists!$F$6:$F$10,0)),"")+0.5*IF(ISNUMBER(IFERROR(INDEX(KOL_Source_Data!$V$15:KOL_Source_Data!$Z$15,1,MATCH(Brand_Profile!$G$12,Lookup_Lists!$F$6:$F$10,0)),"")),IFERROR(INDEX(KOL_Source_Data!$V$15:KOL_Source_Data!$Z$15,1,MATCH(Brand_Profile!$G$12,Lookup_Lists!$F$6:$F$10,0)),""),0))/Lookup_Lists!$D$142*100,0)))</f>
      </c>
      <c r="P63" s="18">
        <f>IF(Brand_Profile!$G$13="Any",100,IF(NOT(ISNUMBER(KOL_Source_Data!$AA$15)),"N/A",IF(Brand_Profile!$G$13="Female",MIN(100,ROUND(KOL_Source_Data!$AA$15/Lookup_Lists!$D$143*100,0)),IF(Brand_Profile!$G$13="Male",MIN(100,ROUND(IF(ISNUMBER(KOL_Source_Data!$AB$15),KOL_Source_Data!$AB$15,100-KOL_Source_Data!$AA$15)/Lookup_Lists!$D$143*100,0)),MAX(0,ROUND(100-ABS(KOL_Source_Data!$AA$15-50)*2,0))))))</f>
      </c>
      <c r="Q63" s="18">
        <f>IF((IF(ISNUMBER(IF(NOT(ISNUMBER(KOL_Source_Data!$AE$15)),"N/A",IF(KOL_Source_Data!$AD$15&lt;&gt;Brand_Profile!$G$14,Lookup_Lists!$D$151,MIN(100,ROUND(KOL_Source_Data!$AE$15/Lookup_Lists!$D$316*100,0))))),Lookup_Lists!$D$118,0)+IF(ISNUMBER(IF(NOT(ISNUMBER(KOL_Source_Data!$AM$15)),"N/A",MIN(100,ROUND((IF(KOL_Source_Data!$AG$15=Brand_Profile!$G$15,IF(ISNUMBER(KOL_Source_Data!$AH$15),KOL_Source_Data!$AH$15,0),0)+IF(KOL_Source_Data!$AI$15=Brand_Profile!$G$15,IF(ISNUMBER(KOL_Source_Data!$AJ$15),KOL_Source_Data!$AJ$15,0),0)+IF(KOL_Source_Data!$AK$15=Brand_Profile!$G$15,IF(ISNUMBER(KOL_Source_Data!$AL$15),KOL_Source_Data!$AL$15,0),0))/Lookup_Lists!$D$317*100,0)))),Lookup_Lists!$D$120,0))=0,"N/A",ROUND((IF(ISNUMBER(IF(NOT(ISNUMBER(KOL_Source_Data!$AE$15)),"N/A",IF(KOL_Source_Data!$AD$15&lt;&gt;Brand_Profile!$G$14,Lookup_Lists!$D$151,MIN(100,ROUND(KOL_Source_Data!$AE$15/Lookup_Lists!$D$316*100,0))))),IF(NOT(ISNUMBER(KOL_Source_Data!$AE$15)),"N/A",IF(KOL_Source_Data!$AD$15&lt;&gt;Brand_Profile!$G$14,Lookup_Lists!$D$151,MIN(100,ROUND(KOL_Source_Data!$AE$15/Lookup_Lists!$D$316*100,0))))*Lookup_Lists!$D$118,0)+IF(ISNUMBER(IF(NOT(ISNUMBER(KOL_Source_Data!$AM$15)),"N/A",MIN(100,ROUND((IF(KOL_Source_Data!$AG$15=Brand_Profile!$G$15,IF(ISNUMBER(KOL_Source_Data!$AH$15),KOL_Source_Data!$AH$15,0),0)+IF(KOL_Source_Data!$AI$15=Brand_Profile!$G$15,IF(ISNUMBER(KOL_Source_Data!$AJ$15),KOL_Source_Data!$AJ$15,0),0)+IF(KOL_Source_Data!$AK$15=Brand_Profile!$G$15,IF(ISNUMBER(KOL_Source_Data!$AL$15),KOL_Source_Data!$AL$15,0),0))/Lookup_Lists!$D$317*100,0)))),IF(NOT(ISNUMBER(KOL_Source_Data!$AM$15)),"N/A",MIN(100,ROUND((IF(KOL_Source_Data!$AG$15=Brand_Profile!$G$15,IF(ISNUMBER(KOL_Source_Data!$AH$15),KOL_Source_Data!$AH$15,0),0)+IF(KOL_Source_Data!$AI$15=Brand_Profile!$G$15,IF(ISNUMBER(KOL_Source_Data!$AJ$15),KOL_Source_Data!$AJ$15,0),0)+IF(KOL_Source_Data!$AK$15=Brand_Profile!$G$15,IF(ISNUMBER(KOL_Source_Data!$AL$15),KOL_Source_Data!$AL$15,0),0))/Lookup_Lists!$D$317*100,0)))*Lookup_Lists!$D$120,0))/(IF(ISNUMBER(IF(NOT(ISNUMBER(KOL_Source_Data!$AE$15)),"N/A",IF(KOL_Source_Data!$AD$15&lt;&gt;Brand_Profile!$G$14,Lookup_Lists!$D$151,MIN(100,ROUND(KOL_Source_Data!$AE$15/Lookup_Lists!$D$316*100,0))))),Lookup_Lists!$D$118,0)+IF(ISNUMBER(IF(NOT(ISNUMBER(KOL_Source_Data!$AM$15)),"N/A",MIN(100,ROUND((IF(KOL_Source_Data!$AG$15=Brand_Profile!$G$15,IF(ISNUMBER(KOL_Source_Data!$AH$15),KOL_Source_Data!$AH$15,0),0)+IF(KOL_Source_Data!$AI$15=Brand_Profile!$G$15,IF(ISNUMBER(KOL_Source_Data!$AJ$15),KOL_Source_Data!$AJ$15,0),0)+IF(KOL_Source_Data!$AK$15=Brand_Profile!$G$15,IF(ISNUMBER(KOL_Source_Data!$AL$15),KOL_Source_Data!$AL$15,0),0))/Lookup_Lists!$D$317*100,0)))),Lookup_Lists!$D$120,0)),0))</f>
      </c>
      <c r="R63" s="18">
        <f>IF(NOT(ISNUMBER(KOL_Source_Data!$AN$15)),"N/A",MIN(100,ROUND((IF(ISNUMBER(KOL_Source_Data!$AO$15),KOL_Source_Data!$AO$15*Brand_Profile!$G$17,0)+IF(ISNUMBER(KOL_Source_Data!$AP$15),KOL_Source_Data!$AP$15*Brand_Profile!$G$18,0)+IF(ISNUMBER(KOL_Source_Data!$AQ$15),KOL_Source_Data!$AQ$15*Brand_Profile!$G$19,0)+IF(ISNUMBER(KOL_Source_Data!$AR$15),KOL_Source_Data!$AR$15*Brand_Profile!$G$20,0)+IF(ISNUMBER(KOL_Source_Data!$AS$15),KOL_Source_Data!$AS$15*Brand_Profile!$G$21,0)+IF(ISNUMBER(KOL_Source_Data!$AT$15),KOL_Source_Data!$AT$15*Brand_Profile!$G$22,0)+IF(ISNUMBER(KOL_Source_Data!$AU$15),KOL_Source_Data!$AU$15*Brand_Profile!$G$23,0)+IF(ISNUMBER(KOL_Source_Data!$AV$15),KOL_Source_Data!$AV$15*Brand_Profile!$G$24,0)+IF(ISNUMBER(KOL_Source_Data!$AW$15),KOL_Source_Data!$AW$15*Brand_Profile!$G$25,0)+IF(ISNUMBER(KOL_Source_Data!$AX$15),KOL_Source_Data!$AX$15*Brand_Profile!$G$26,0)+IF(ISNUMBER(KOL_Source_Data!$AY$15),KOL_Source_Data!$AY$15*Brand_Profile!$G$27,0)+IF(ISNUMBER(KOL_Source_Data!$AZ$15),KOL_Source_Data!$AZ$15*Brand_Profile!$G$28,0)+IF(ISNUMBER(KOL_Source_Data!$BA$15),KOL_Source_Data!$BA$15*Brand_Profile!$G$29,0)+IF(ISNUMBER(KOL_Source_Data!$BB$15),KOL_Source_Data!$BB$15*Brand_Profile!$G$30,0)+IF(ISNUMBER(KOL_Source_Data!$BC$15),KOL_Source_Data!$BC$15*Brand_Profile!$G$31,0)+IF(ISNUMBER(KOL_Source_Data!$BD$15),KOL_Source_Data!$BD$15*Brand_Profile!$G$32,0)+IF(ISNUMBER(KOL_Source_Data!$BE$15),KOL_Source_Data!$BE$15*Brand_Profile!$G$33,0)+IF(ISNUMBER(KOL_Source_Data!$BF$15),KOL_Source_Data!$BF$15*Brand_Profile!$G$34,0))/Lookup_Lists!$D$318*100,0)))</f>
      </c>
      <c r="S63" s="29">
        <f>IF((IF(ISNUMBER(Matching_Engine!$O$63),Lookup_Lists!$D$113,0)+IF(ISNUMBER(Matching_Engine!$P$63),Lookup_Lists!$D$114,0)+IF(ISNUMBER(Matching_Engine!$Q$63),Lookup_Lists!$D$115,0)+IF(ISNUMBER(Matching_Engine!$R$63),Lookup_Lists!$D$116,0))=0,"N/A",ROUND((IF(ISNUMBER(Matching_Engine!$O$63),Matching_Engine!$O$63*Lookup_Lists!$D$113,0)+IF(ISNUMBER(Matching_Engine!$P$63),Matching_Engine!$P$63*Lookup_Lists!$D$114,0)+IF(ISNUMBER(Matching_Engine!$Q$63),Matching_Engine!$Q$63*Lookup_Lists!$D$115,0)+IF(ISNUMBER(Matching_Engine!$R$63),Matching_Engine!$R$63*Lookup_Lists!$D$116,0))/(IF(ISNUMBER(Matching_Engine!$O$63),Lookup_Lists!$D$113,0)+IF(ISNUMBER(Matching_Engine!$P$63),Lookup_Lists!$D$114,0)+IF(ISNUMBER(Matching_Engine!$Q$63),Lookup_Lists!$D$115,0)+IF(ISNUMBER(Matching_Engine!$R$63),Lookup_Lists!$D$116,0)),0))</f>
      </c>
      <c r="T63" s="11">
        <f>IF(ISNUMBER(Matching_Engine!$S$63),1,0)</f>
      </c>
      <c r="U63" s="18">
        <f>IF(NOT(AND(ISTEXT(KOL_Source_Data!$M$15),KOL_Source_Data!$M$15&lt;&gt;"N/A")),Lookup_Lists!$D$150,IF(Brand_Profile!$G$7=KOL_Source_Data!$M$15,100,IFERROR(INDEX(Lookup_Lists!$B$349:$J$357,MATCH(Brand_Profile!$G$7,Lookup_Lists!$A$349:$A$357,0),MATCH(KOL_Source_Data!$M$15,Lookup_Lists!$B$348:$J$348,0)),Lookup_Lists!$D$151)))</f>
      </c>
      <c r="V63" s="18">
        <f>IF(NOT(AND(ISTEXT(KOL_Source_Data!$P$15),KOL_Source_Data!$P$15&lt;&gt;"N/A")),"N/A",IFERROR(INDEX(Lookup_Lists!$B$349:$J$357,MATCH(Brand_Profile!$G$7,Lookup_Lists!$A$349:$A$357,0),MATCH(KOL_Source_Data!$P$15,Lookup_Lists!$B$348:$J$348,0)),Lookup_Lists!$D$151))</f>
      </c>
      <c r="W63" s="18">
        <f>IF(LEN(TRIM(SUBSTITUTE(Matching_Engine!$BE$63,"|","")))=0,"N/A",IF(Brand_Profile!$G$60=0,Lookup_Lists!$D$150,ROUND((IF(Brand_Profile!$G$54="",0,IF(ISNUMBER(SEARCH(Brand_Profile!$G$54,Matching_Engine!$BE$63)),1,0))+IF(Brand_Profile!$G$55="",0,IF(ISNUMBER(SEARCH(Brand_Profile!$G$55,Matching_Engine!$BE$63)),1,0))+IF(Brand_Profile!$G$56="",0,IF(ISNUMBER(SEARCH(Brand_Profile!$G$56,Matching_Engine!$BE$63)),1,0))+IF(Brand_Profile!$G$57="",0,IF(ISNUMBER(SEARCH(Brand_Profile!$G$57,Matching_Engine!$BE$63)),1,0))+IF(Brand_Profile!$G$58="",0,IF(ISNUMBER(SEARCH(Brand_Profile!$G$58,Matching_Engine!$BE$63)),1,0))+IF(Brand_Profile!$G$59="",0,IF(ISNUMBER(SEARCH(Brand_Profile!$G$59,Matching_Engine!$BE$63)),1,0)))/Brand_Profile!$G$60*100,0)))</f>
      </c>
      <c r="X63" s="18">
        <f>IF(NOT(AND(ISTEXT(KOL_Source_Data!$Q$15),KOL_Source_Data!$Q$15&lt;&gt;"N/A")),"N/A",Lookup_Lists!$D$150)</f>
      </c>
      <c r="Y63" s="29">
        <f>IF((IF(ISNUMBER(Matching_Engine!$U$63),Lookup_Lists!$D$335,0)+IF(ISNUMBER(Matching_Engine!$V$63),Lookup_Lists!$D$122,0)+IF(ISNUMBER(Matching_Engine!$W$63),Lookup_Lists!$D$336,0)+IF(ISNUMBER(Matching_Engine!$X$63),Lookup_Lists!$D$124,0))=0,"N/A",ROUND((IF(ISNUMBER(Matching_Engine!$U$63),Matching_Engine!$U$63*Lookup_Lists!$D$335,0)+IF(ISNUMBER(Matching_Engine!$V$63),Matching_Engine!$V$63*Lookup_Lists!$D$122,0)+IF(ISNUMBER(Matching_Engine!$W$63),Matching_Engine!$W$63*Lookup_Lists!$D$336,0)+IF(ISNUMBER(Matching_Engine!$X$63),Matching_Engine!$X$63*Lookup_Lists!$D$124,0))/(IF(ISNUMBER(Matching_Engine!$U$63),Lookup_Lists!$D$335,0)+IF(ISNUMBER(Matching_Engine!$V$63),Lookup_Lists!$D$122,0)+IF(ISNUMBER(Matching_Engine!$W$63),Lookup_Lists!$D$336,0)+IF(ISNUMBER(Matching_Engine!$X$63),Lookup_Lists!$D$124,0)),0))</f>
      </c>
      <c r="Z63" s="11">
        <f>IF(ISNUMBER(Matching_Engine!$Y$63),1,0)</f>
      </c>
      <c r="AA63" s="18">
        <f>IF(NOT(AND(ISTEXT(KOL_Source_Data!$Q$15),KOL_Source_Data!$Q$15&lt;&gt;"N/A")),"N/A",Lookup_Lists!$D$150)</f>
      </c>
      <c r="AB63" s="18">
        <f>IF(NOT(AND(ISTEXT(KOL_Source_Data!$Q$15),KOL_Source_Data!$Q$15&lt;&gt;"N/A")),"N/A",Lookup_Lists!$D$150)</f>
      </c>
      <c r="AC63" s="18">
        <f>"N/A"</f>
      </c>
      <c r="AD63" s="18">
        <f>IF(NOT(AND(ISTEXT(KOL_Source_Data!$Q$15),KOL_Source_Data!$Q$15&lt;&gt;"N/A")),"N/A",Lookup_Lists!$D$150)</f>
      </c>
      <c r="AE63" s="29">
        <f>IF((IF(ISNUMBER(Matching_Engine!$AA$63),Lookup_Lists!$D$125,0)+IF(ISNUMBER(Matching_Engine!$AB$63),Lookup_Lists!$D$126,0)+IF(ISNUMBER(Matching_Engine!$AC$63),Lookup_Lists!$D$127,0)+IF(ISNUMBER(Matching_Engine!$AD$63),Lookup_Lists!$D$128,0))=0,"N/A",ROUND((IF(ISNUMBER(Matching_Engine!$AA$63),Matching_Engine!$AA$63*Lookup_Lists!$D$125,0)+IF(ISNUMBER(Matching_Engine!$AB$63),Matching_Engine!$AB$63*Lookup_Lists!$D$126,0)+IF(ISNUMBER(Matching_Engine!$AC$63),Matching_Engine!$AC$63*Lookup_Lists!$D$127,0)+IF(ISNUMBER(Matching_Engine!$AD$63),Matching_Engine!$AD$63*Lookup_Lists!$D$128,0))/(IF(ISNUMBER(Matching_Engine!$AA$63),Lookup_Lists!$D$125,0)+IF(ISNUMBER(Matching_Engine!$AB$63),Lookup_Lists!$D$126,0)+IF(ISNUMBER(Matching_Engine!$AC$63),Lookup_Lists!$D$127,0)+IF(ISNUMBER(Matching_Engine!$AD$63),Lookup_Lists!$D$128,0)),0))</f>
      </c>
      <c r="AF63" s="11">
        <f>IF(ISNUMBER(Matching_Engine!$AE$63),1,0)</f>
      </c>
      <c r="AG63" s="18">
        <f>IF(NOT(ISNUMBER(KOL_Source_Data!$BG$15)),"N/A",MIN(100,ROUND(KOL_Source_Data!$BG$15/IFERROR(INDEX(Lookup_Lists!$B$340:$B$344,MATCH(KOL_Source_Data!$H$15,Lookup_Lists!$A$340:$A$344,0)),Lookup_Lists!$D$141)*100,0)))</f>
      </c>
      <c r="AH63" s="18">
        <f>IF(NOT(ISNUMBER(KOL_Source_Data!$BS$15)),"N/A",MIN(100,MAX(0,KOL_Source_Data!$BS$15)))</f>
      </c>
      <c r="AI63" s="18">
        <f>IF(OR(NOT(ISNUMBER(KOL_Source_Data!$BM$15)),NOT(ISNUMBER(KOL_Source_Data!$BN$15)),KOL_Source_Data!$BN$15&lt;Lookup_Lists!$D$320),"N/A",MIN(100,ROUND(KOL_Source_Data!$BM$15/Lookup_Lists!$D$319*100,0)))</f>
      </c>
      <c r="AJ63" s="18">
        <f>IF(NOT(ISNUMBER(KOL_Source_Data!$BR$15)),"N/A",KOL_Source_Data!$BR$15)</f>
      </c>
      <c r="AK63" s="18">
        <f>IF(NOT(ISNUMBER(KOL_Source_Data!$BK$15)),"N/A",MIN(100,ROUND(KOL_Source_Data!$BK$15/Lookup_Lists!$D$321*100,0)))</f>
      </c>
      <c r="AL63" s="18">
        <f>IF(NOT(ISNUMBER(KOL_Source_Data!$BP$15)),"N/A",MIN(100,MAX(0,ROUND((KOL_Source_Data!$BP$15+2)/(Lookup_Lists!$D$145+2)*100,0))))</f>
      </c>
      <c r="AM63" s="29">
        <f>IF((IF(ISNUMBER(Matching_Engine!$AG$63),Lookup_Lists!$D$129,0)+IF(ISNUMBER(Matching_Engine!$AH$63),Lookup_Lists!$D$130,0)+IF(ISNUMBER(Matching_Engine!$AI$63),Lookup_Lists!$D$131,0)+IF(ISNUMBER(Matching_Engine!$AJ$63),Lookup_Lists!$D$132,0)+IF(ISNUMBER(Matching_Engine!$AK$63),Lookup_Lists!$D$133,0)+IF(ISNUMBER(Matching_Engine!$AL$63),Lookup_Lists!$D$134,0))=0,"N/A",ROUND((IF(ISNUMBER(Matching_Engine!$AG$63),Matching_Engine!$AG$63*Lookup_Lists!$D$129,0)+IF(ISNUMBER(Matching_Engine!$AH$63),Matching_Engine!$AH$63*Lookup_Lists!$D$130,0)+IF(ISNUMBER(Matching_Engine!$AI$63),Matching_Engine!$AI$63*Lookup_Lists!$D$131,0)+IF(ISNUMBER(Matching_Engine!$AJ$63),Matching_Engine!$AJ$63*Lookup_Lists!$D$132,0)+IF(ISNUMBER(Matching_Engine!$AK$63),Matching_Engine!$AK$63*Lookup_Lists!$D$133,0)+IF(ISNUMBER(Matching_Engine!$AL$63),Matching_Engine!$AL$63*Lookup_Lists!$D$134,0))/(IF(ISNUMBER(Matching_Engine!$AG$63),Lookup_Lists!$D$129,0)+IF(ISNUMBER(Matching_Engine!$AH$63),Lookup_Lists!$D$130,0)+IF(ISNUMBER(Matching_Engine!$AI$63),Lookup_Lists!$D$131,0)+IF(ISNUMBER(Matching_Engine!$AJ$63),Lookup_Lists!$D$132,0)+IF(ISNUMBER(Matching_Engine!$AK$63),Lookup_Lists!$D$133,0)+IF(ISNUMBER(Matching_Engine!$AL$63),Lookup_Lists!$D$134,0)),0))</f>
      </c>
      <c r="AN63" s="11">
        <f>IF(ISNUMBER(Matching_Engine!$AM$63),1,0)</f>
      </c>
      <c r="AO63" s="18">
        <f>IF(NOT(ISNUMBER(KOL_Source_Data!$BT$15)),"N/A",MIN(100,MAX(0,KOL_Source_Data!$BT$15)))</f>
      </c>
      <c r="AP63" s="18">
        <f>IF(NOT(ISNUMBER(KOL_Source_Data!$BU$15)),"N/A",MIN(100,MAX(0,KOL_Source_Data!$BU$15)))</f>
      </c>
      <c r="AQ63" s="18">
        <f>IF(KOL_Source_Data!$I$15="Yes",Lookup_Lists!$D$326,IF(KOL_Source_Data!$I$15="No",Lookup_Lists!$D$327,"N/A"))</f>
      </c>
      <c r="AR63" s="18">
        <f>IF(NOT(ISNUMBER(KOL_Source_Data!$BQ$15)),"N/A",MAX(0,ROUND(100-KOL_Source_Data!$BQ$15/Lookup_Lists!$D$328*100,0)))</f>
      </c>
      <c r="AS63" s="18">
        <f>IF(NOT(AND(ISTEXT(KOL_Source_Data!$BV$15),KOL_Source_Data!$BV$15&lt;&gt;"N/A")),"N/A",KOL_Source_Data!$BV$15)</f>
      </c>
      <c r="AT63" s="29">
        <f>IF((IF(ISNUMBER(Matching_Engine!$AO$63),Lookup_Lists!$D$322,0)+IF(ISNUMBER(Matching_Engine!$AP$63),Lookup_Lists!$D$323,0)+IF(ISNUMBER(Matching_Engine!$AQ$63),Lookup_Lists!$D$324,0)+IF(ISNUMBER(Matching_Engine!$AR$63),Lookup_Lists!$D$325,0))=0,"N/A",ROUND((IF(ISNUMBER(Matching_Engine!$AO$63),Matching_Engine!$AO$63*Lookup_Lists!$D$322,0)+IF(ISNUMBER(Matching_Engine!$AP$63),Matching_Engine!$AP$63*Lookup_Lists!$D$323,0)+IF(ISNUMBER(Matching_Engine!$AQ$63),Matching_Engine!$AQ$63*Lookup_Lists!$D$324,0)+IF(ISNUMBER(Matching_Engine!$AR$63),Matching_Engine!$AR$63*Lookup_Lists!$D$325,0))/(IF(ISNUMBER(Matching_Engine!$AO$63),Lookup_Lists!$D$322,0)+IF(ISNUMBER(Matching_Engine!$AP$63),Lookup_Lists!$D$323,0)+IF(ISNUMBER(Matching_Engine!$AQ$63),Lookup_Lists!$D$324,0)+IF(ISNUMBER(Matching_Engine!$AR$63),Lookup_Lists!$D$325,0)),0))</f>
      </c>
      <c r="AU63" s="11">
        <f>IF(ISNUMBER(Matching_Engine!$AT$63),1,0)</f>
      </c>
      <c r="AV63" s="11">
        <f>IF(NOT(ISNUMBER(Matching_Engine!$AT$63)),"Not Screened",IF(Matching_Engine!$AT$63&gt;=Lookup_Lists!$D$329,"Low Risk",IF(Matching_Engine!$AT$63&gt;=Lookup_Lists!$D$330,"Moderate Risk",IF(Matching_Engine!$AT$63&gt;=Lookup_Lists!$D$331,"Elevated Risk","High Risk"))))</f>
      </c>
      <c r="AW63" s="11">
        <f>IF(NOT(ISNUMBER(Matching_Engine!$AT$63)),"No integrity signal: no audience-analysis row for this account.","Integrity screen only — no content-risk reading exists (comments_analysis: 0 rows). "&amp;IF(ISNUMBER(Matching_Engine!$AO$63),"Authenticity "&amp;Matching_Engine!$AO$63&amp;". ","Authenticity N/A. ")&amp;IF(ISNUMBER(Matching_Engine!$AP$63),"Follower quality "&amp;Matching_Engine!$AP$63&amp;". ","Follower quality N/A. ")&amp;IF(KOL_Source_Data!$I$15="Yes","Platform-verified.","Not platform-verified."))</f>
      </c>
      <c r="AX63" s="18">
        <f>Matching_Engine!$N$63*Lookup_Lists!$D$104+Matching_Engine!$T$63*Lookup_Lists!$D$105+Matching_Engine!$Z$63*Lookup_Lists!$D$106+Matching_Engine!$AF$63*Lookup_Lists!$D$107+Matching_Engine!$AN$63*Lookup_Lists!$D$108+Matching_Engine!$AU$63*Lookup_Lists!$D$109</f>
      </c>
      <c r="AY63" s="30">
        <f>IF(Matching_Engine!$AX$63=0,"N/A",ROUND((IF(Matching_Engine!$N$63=1,Matching_Engine!$M$63*Lookup_Lists!$D$104,0)+IF(Matching_Engine!$T$63=1,Matching_Engine!$S$63*Lookup_Lists!$D$105,0)+IF(Matching_Engine!$Z$63=1,Matching_Engine!$Y$63*Lookup_Lists!$D$106,0)+IF(Matching_Engine!$AF$63=1,Matching_Engine!$AE$63*Lookup_Lists!$D$107,0)+IF(Matching_Engine!$AN$63=1,Matching_Engine!$AM$63*Lookup_Lists!$D$108,0)+IF(Matching_Engine!$AU$63=1,Matching_Engine!$AT$63*Lookup_Lists!$D$109,0))/Matching_Engine!$AX$63,0))</f>
      </c>
      <c r="AZ63" s="11">
        <f>IF(NOT(ISNUMBER(Matching_Engine!$AY$63)),"Not Scored",IF(Matching_Engine!$AY$63&gt;=Lookup_Lists!$D$152,"Excellent Match",IF(Matching_Engine!$AY$63&gt;=Lookup_Lists!$D$153,"Strong Match",IF(Matching_Engine!$AY$63&gt;=Lookup_Lists!$D$154,"Good Match",IF(Matching_Engine!$AY$63&gt;=Lookup_Lists!$D$155,"Moderate Match","Low Match")))))</f>
      </c>
      <c r="BA63" s="18">
        <f>KOL_Source_Data!$BW$15</f>
      </c>
      <c r="BB63" s="11">
        <f>KOL_Source_Data!$BX$15</f>
      </c>
      <c r="BC63" s="18">
        <f>IF(NOT(ISNUMBER(Matching_Engine!$AY$63)),-1,Matching_Engine!$AY$63*1000+15)</f>
      </c>
      <c r="BD63" s="11">
        <f>IF(AND(ISTEXT(KOL_Source_Data!$S$15),KOL_Source_Data!$S$15&lt;&gt;"N/A"),KOL_Source_Data!$S$15,"")&amp;" | "&amp;IF(AND(ISTEXT(KOL_Source_Data!$T$15),KOL_Source_Data!$T$15&lt;&gt;"N/A"),KOL_Source_Data!$T$15,"")&amp;" | "&amp;IF(AND(ISTEXT(KOL_Source_Data!$N$15),KOL_Source_Data!$N$15&lt;&gt;"N/A"),KOL_Source_Data!$N$15,"")&amp;" | "&amp;IF(AND(ISTEXT(KOL_Source_Data!$K$15),KOL_Source_Data!$K$15&lt;&gt;"N/A"),KOL_Source_Data!$K$15,"")&amp;" | "&amp;IF(AND(ISTEXT(KOL_Source_Data!$J$15),KOL_Source_Data!$J$15&lt;&gt;"N/A"),KOL_Source_Data!$J$15,"")</f>
      </c>
      <c r="BE63" s="11">
        <f>IF(AND(ISTEXT(KOL_Source_Data!$T$15),KOL_Source_Data!$T$15&lt;&gt;"N/A"),KOL_Source_Data!$T$15,"")&amp;" | "&amp;IF(AND(ISTEXT(KOL_Source_Data!$N$15),KOL_Source_Data!$N$15&lt;&gt;"N/A"),KOL_Source_Data!$N$15,"")&amp;" | "&amp;IF(AND(ISTEXT(KOL_Source_Data!$O$15),KOL_Source_Data!$O$15&lt;&gt;"N/A"),KOL_Source_Data!$O$15,"")&amp;" | "&amp;IF(AND(ISTEXT(KOL_Source_Data!$S$15),KOL_Source_Data!$S$15&lt;&gt;"N/A"),KOL_Source_Data!$S$15,"")</f>
      </c>
      <c r="BF63" s="11">
        <f>IF(AND(ISTEXT(KOL_Source_Data!$U$15),KOL_Source_Data!$U$15&lt;&gt;"N/A"),KOL_Source_Data!$U$15,"")</f>
      </c>
      <c r="BG63" s="11">
        <f>Matching_Engine!$A$63&amp;"|"&amp;Matching_Engine!$C$63</f>
      </c>
    </row>
    <row r="64" spans="1:59" x14ac:dyDescent="0.25">
      <c r="A64" s="10" t="s">
        <v>392</v>
      </c>
      <c r="B64" s="11">
        <f>Brand_Profile!$G$6</f>
      </c>
      <c r="C64" s="11">
        <f>KOL_Source_Data!$A$16</f>
      </c>
      <c r="D64" s="11">
        <f>KOL_Source_Data!$C$16</f>
      </c>
      <c r="E64" s="11">
        <f>KOL_Source_Data!$D$16</f>
      </c>
      <c r="F64" s="11">
        <f>KOL_Source_Data!$E$16</f>
      </c>
      <c r="G64" s="11">
        <f>KOL_Source_Data!$K$16</f>
      </c>
      <c r="H64" s="12">
        <f>KOL_Source_Data!$G$16</f>
      </c>
      <c r="I64" s="14">
        <f>KOL_Source_Data!$BG$16</f>
      </c>
      <c r="J64" s="18">
        <f>IF(NOT(AND(ISTEXT(KOL_Source_Data!$K$16),KOL_Source_Data!$K$16&lt;&gt;"N/A")),Lookup_Lists!$D$150,IF(Brand_Profile!$G$7=KOL_Source_Data!$K$16,100,IFERROR(INDEX(Lookup_Lists!$B$349:$J$357,MATCH(Brand_Profile!$G$7,Lookup_Lists!$A$349:$A$357,0),MATCH(KOL_Source_Data!$K$16,Lookup_Lists!$B$348:$J$348,0)),Lookup_Lists!$D$151)))</f>
      </c>
      <c r="K64" s="18">
        <f>IF(LEN(TRIM(SUBSTITUTE(Matching_Engine!$BD$64,"|","")))=0,"N/A",IF(Brand_Profile!$G$47=0,Lookup_Lists!$D$150,ROUND((IF(Brand_Profile!$G$41="",0,IF(ISNUMBER(SEARCH(Brand_Profile!$G$41,Matching_Engine!$BD$64)),1,0))+IF(Brand_Profile!$G$42="",0,IF(ISNUMBER(SEARCH(Brand_Profile!$G$42,Matching_Engine!$BD$64)),1,0))+IF(Brand_Profile!$G$43="",0,IF(ISNUMBER(SEARCH(Brand_Profile!$G$43,Matching_Engine!$BD$64)),1,0))+IF(Brand_Profile!$G$44="",0,IF(ISNUMBER(SEARCH(Brand_Profile!$G$44,Matching_Engine!$BD$64)),1,0))+IF(Brand_Profile!$G$45="",0,IF(ISNUMBER(SEARCH(Brand_Profile!$G$45,Matching_Engine!$BD$64)),1,0))+IF(Brand_Profile!$G$46="",0,IF(ISNUMBER(SEARCH(Brand_Profile!$G$46,Matching_Engine!$BD$64)),1,0)))/Brand_Profile!$G$47*100,0)))</f>
      </c>
      <c r="L64" s="18">
        <f>IF(NOT(AND(ISTEXT(KOL_Source_Data!$U$16),KOL_Source_Data!$U$16&lt;&gt;"N/A")),"N/A",IF(Brand_Profile!$G$53=0,Lookup_Lists!$D$150,ROUND((IF(Brand_Profile!$G$48="",0,IF(ISNUMBER(SEARCH(Brand_Profile!$G$48,Matching_Engine!$BF$64)),1,0))+IF(Brand_Profile!$G$49="",0,IF(ISNUMBER(SEARCH(Brand_Profile!$G$49,Matching_Engine!$BF$64)),1,0))+IF(Brand_Profile!$G$50="",0,IF(ISNUMBER(SEARCH(Brand_Profile!$G$50,Matching_Engine!$BF$64)),1,0))+IF(Brand_Profile!$G$51="",0,IF(ISNUMBER(SEARCH(Brand_Profile!$G$51,Matching_Engine!$BF$64)),1,0))+IF(Brand_Profile!$G$52="",0,IF(ISNUMBER(SEARCH(Brand_Profile!$G$52,Matching_Engine!$BF$64)),1,0)))/Brand_Profile!$G$53*100,0)))</f>
      </c>
      <c r="M64" s="29">
        <f>IF((IF(ISNUMBER(Matching_Engine!$J$64),Lookup_Lists!$D$332,0)+IF(ISNUMBER(Matching_Engine!$K$64),Lookup_Lists!$D$333,0)+IF(ISNUMBER(Matching_Engine!$L$64),Lookup_Lists!$D$334,0))=0,"N/A",ROUND((IF(ISNUMBER(Matching_Engine!$J$64),Matching_Engine!$J$64*Lookup_Lists!$D$332,0)+IF(ISNUMBER(Matching_Engine!$K$64),Matching_Engine!$K$64*Lookup_Lists!$D$333,0)+IF(ISNUMBER(Matching_Engine!$L$64),Matching_Engine!$L$64*Lookup_Lists!$D$334,0))/(IF(ISNUMBER(Matching_Engine!$J$64),Lookup_Lists!$D$332,0)+IF(ISNUMBER(Matching_Engine!$K$64),Lookup_Lists!$D$333,0)+IF(ISNUMBER(Matching_Engine!$L$64),Lookup_Lists!$D$334,0)),0))</f>
      </c>
      <c r="N64" s="11">
        <f>IF(ISNUMBER(Matching_Engine!$M$64),1,0)</f>
      </c>
      <c r="O64" s="18">
        <f>IF(NOT(ISNUMBER(IFERROR(INDEX(KOL_Source_Data!$V$16:KOL_Source_Data!$Z$16,1,MATCH(Brand_Profile!$G$11,Lookup_Lists!$F$6:$F$10,0)),""))),"N/A",MIN(100,ROUND((IFERROR(INDEX(KOL_Source_Data!$V$16:KOL_Source_Data!$Z$16,1,MATCH(Brand_Profile!$G$11,Lookup_Lists!$F$6:$F$10,0)),"")+0.5*IF(ISNUMBER(IFERROR(INDEX(KOL_Source_Data!$V$16:KOL_Source_Data!$Z$16,1,MATCH(Brand_Profile!$G$12,Lookup_Lists!$F$6:$F$10,0)),"")),IFERROR(INDEX(KOL_Source_Data!$V$16:KOL_Source_Data!$Z$16,1,MATCH(Brand_Profile!$G$12,Lookup_Lists!$F$6:$F$10,0)),""),0))/Lookup_Lists!$D$142*100,0)))</f>
      </c>
      <c r="P64" s="18">
        <f>IF(Brand_Profile!$G$13="Any",100,IF(NOT(ISNUMBER(KOL_Source_Data!$AA$16)),"N/A",IF(Brand_Profile!$G$13="Female",MIN(100,ROUND(KOL_Source_Data!$AA$16/Lookup_Lists!$D$143*100,0)),IF(Brand_Profile!$G$13="Male",MIN(100,ROUND(IF(ISNUMBER(KOL_Source_Data!$AB$16),KOL_Source_Data!$AB$16,100-KOL_Source_Data!$AA$16)/Lookup_Lists!$D$143*100,0)),MAX(0,ROUND(100-ABS(KOL_Source_Data!$AA$16-50)*2,0))))))</f>
      </c>
      <c r="Q64" s="18">
        <f>IF((IF(ISNUMBER(IF(NOT(ISNUMBER(KOL_Source_Data!$AE$16)),"N/A",IF(KOL_Source_Data!$AD$16&lt;&gt;Brand_Profile!$G$14,Lookup_Lists!$D$151,MIN(100,ROUND(KOL_Source_Data!$AE$16/Lookup_Lists!$D$316*100,0))))),Lookup_Lists!$D$118,0)+IF(ISNUMBER(IF(NOT(ISNUMBER(KOL_Source_Data!$AM$16)),"N/A",MIN(100,ROUND((IF(KOL_Source_Data!$AG$16=Brand_Profile!$G$15,IF(ISNUMBER(KOL_Source_Data!$AH$16),KOL_Source_Data!$AH$16,0),0)+IF(KOL_Source_Data!$AI$16=Brand_Profile!$G$15,IF(ISNUMBER(KOL_Source_Data!$AJ$16),KOL_Source_Data!$AJ$16,0),0)+IF(KOL_Source_Data!$AK$16=Brand_Profile!$G$15,IF(ISNUMBER(KOL_Source_Data!$AL$16),KOL_Source_Data!$AL$16,0),0))/Lookup_Lists!$D$317*100,0)))),Lookup_Lists!$D$120,0))=0,"N/A",ROUND((IF(ISNUMBER(IF(NOT(ISNUMBER(KOL_Source_Data!$AE$16)),"N/A",IF(KOL_Source_Data!$AD$16&lt;&gt;Brand_Profile!$G$14,Lookup_Lists!$D$151,MIN(100,ROUND(KOL_Source_Data!$AE$16/Lookup_Lists!$D$316*100,0))))),IF(NOT(ISNUMBER(KOL_Source_Data!$AE$16)),"N/A",IF(KOL_Source_Data!$AD$16&lt;&gt;Brand_Profile!$G$14,Lookup_Lists!$D$151,MIN(100,ROUND(KOL_Source_Data!$AE$16/Lookup_Lists!$D$316*100,0))))*Lookup_Lists!$D$118,0)+IF(ISNUMBER(IF(NOT(ISNUMBER(KOL_Source_Data!$AM$16)),"N/A",MIN(100,ROUND((IF(KOL_Source_Data!$AG$16=Brand_Profile!$G$15,IF(ISNUMBER(KOL_Source_Data!$AH$16),KOL_Source_Data!$AH$16,0),0)+IF(KOL_Source_Data!$AI$16=Brand_Profile!$G$15,IF(ISNUMBER(KOL_Source_Data!$AJ$16),KOL_Source_Data!$AJ$16,0),0)+IF(KOL_Source_Data!$AK$16=Brand_Profile!$G$15,IF(ISNUMBER(KOL_Source_Data!$AL$16),KOL_Source_Data!$AL$16,0),0))/Lookup_Lists!$D$317*100,0)))),IF(NOT(ISNUMBER(KOL_Source_Data!$AM$16)),"N/A",MIN(100,ROUND((IF(KOL_Source_Data!$AG$16=Brand_Profile!$G$15,IF(ISNUMBER(KOL_Source_Data!$AH$16),KOL_Source_Data!$AH$16,0),0)+IF(KOL_Source_Data!$AI$16=Brand_Profile!$G$15,IF(ISNUMBER(KOL_Source_Data!$AJ$16),KOL_Source_Data!$AJ$16,0),0)+IF(KOL_Source_Data!$AK$16=Brand_Profile!$G$15,IF(ISNUMBER(KOL_Source_Data!$AL$16),KOL_Source_Data!$AL$16,0),0))/Lookup_Lists!$D$317*100,0)))*Lookup_Lists!$D$120,0))/(IF(ISNUMBER(IF(NOT(ISNUMBER(KOL_Source_Data!$AE$16)),"N/A",IF(KOL_Source_Data!$AD$16&lt;&gt;Brand_Profile!$G$14,Lookup_Lists!$D$151,MIN(100,ROUND(KOL_Source_Data!$AE$16/Lookup_Lists!$D$316*100,0))))),Lookup_Lists!$D$118,0)+IF(ISNUMBER(IF(NOT(ISNUMBER(KOL_Source_Data!$AM$16)),"N/A",MIN(100,ROUND((IF(KOL_Source_Data!$AG$16=Brand_Profile!$G$15,IF(ISNUMBER(KOL_Source_Data!$AH$16),KOL_Source_Data!$AH$16,0),0)+IF(KOL_Source_Data!$AI$16=Brand_Profile!$G$15,IF(ISNUMBER(KOL_Source_Data!$AJ$16),KOL_Source_Data!$AJ$16,0),0)+IF(KOL_Source_Data!$AK$16=Brand_Profile!$G$15,IF(ISNUMBER(KOL_Source_Data!$AL$16),KOL_Source_Data!$AL$16,0),0))/Lookup_Lists!$D$317*100,0)))),Lookup_Lists!$D$120,0)),0))</f>
      </c>
      <c r="R64" s="18">
        <f>IF(NOT(ISNUMBER(KOL_Source_Data!$AN$16)),"N/A",MIN(100,ROUND((IF(ISNUMBER(KOL_Source_Data!$AO$16),KOL_Source_Data!$AO$16*Brand_Profile!$G$17,0)+IF(ISNUMBER(KOL_Source_Data!$AP$16),KOL_Source_Data!$AP$16*Brand_Profile!$G$18,0)+IF(ISNUMBER(KOL_Source_Data!$AQ$16),KOL_Source_Data!$AQ$16*Brand_Profile!$G$19,0)+IF(ISNUMBER(KOL_Source_Data!$AR$16),KOL_Source_Data!$AR$16*Brand_Profile!$G$20,0)+IF(ISNUMBER(KOL_Source_Data!$AS$16),KOL_Source_Data!$AS$16*Brand_Profile!$G$21,0)+IF(ISNUMBER(KOL_Source_Data!$AT$16),KOL_Source_Data!$AT$16*Brand_Profile!$G$22,0)+IF(ISNUMBER(KOL_Source_Data!$AU$16),KOL_Source_Data!$AU$16*Brand_Profile!$G$23,0)+IF(ISNUMBER(KOL_Source_Data!$AV$16),KOL_Source_Data!$AV$16*Brand_Profile!$G$24,0)+IF(ISNUMBER(KOL_Source_Data!$AW$16),KOL_Source_Data!$AW$16*Brand_Profile!$G$25,0)+IF(ISNUMBER(KOL_Source_Data!$AX$16),KOL_Source_Data!$AX$16*Brand_Profile!$G$26,0)+IF(ISNUMBER(KOL_Source_Data!$AY$16),KOL_Source_Data!$AY$16*Brand_Profile!$G$27,0)+IF(ISNUMBER(KOL_Source_Data!$AZ$16),KOL_Source_Data!$AZ$16*Brand_Profile!$G$28,0)+IF(ISNUMBER(KOL_Source_Data!$BA$16),KOL_Source_Data!$BA$16*Brand_Profile!$G$29,0)+IF(ISNUMBER(KOL_Source_Data!$BB$16),KOL_Source_Data!$BB$16*Brand_Profile!$G$30,0)+IF(ISNUMBER(KOL_Source_Data!$BC$16),KOL_Source_Data!$BC$16*Brand_Profile!$G$31,0)+IF(ISNUMBER(KOL_Source_Data!$BD$16),KOL_Source_Data!$BD$16*Brand_Profile!$G$32,0)+IF(ISNUMBER(KOL_Source_Data!$BE$16),KOL_Source_Data!$BE$16*Brand_Profile!$G$33,0)+IF(ISNUMBER(KOL_Source_Data!$BF$16),KOL_Source_Data!$BF$16*Brand_Profile!$G$34,0))/Lookup_Lists!$D$318*100,0)))</f>
      </c>
      <c r="S64" s="29">
        <f>IF((IF(ISNUMBER(Matching_Engine!$O$64),Lookup_Lists!$D$113,0)+IF(ISNUMBER(Matching_Engine!$P$64),Lookup_Lists!$D$114,0)+IF(ISNUMBER(Matching_Engine!$Q$64),Lookup_Lists!$D$115,0)+IF(ISNUMBER(Matching_Engine!$R$64),Lookup_Lists!$D$116,0))=0,"N/A",ROUND((IF(ISNUMBER(Matching_Engine!$O$64),Matching_Engine!$O$64*Lookup_Lists!$D$113,0)+IF(ISNUMBER(Matching_Engine!$P$64),Matching_Engine!$P$64*Lookup_Lists!$D$114,0)+IF(ISNUMBER(Matching_Engine!$Q$64),Matching_Engine!$Q$64*Lookup_Lists!$D$115,0)+IF(ISNUMBER(Matching_Engine!$R$64),Matching_Engine!$R$64*Lookup_Lists!$D$116,0))/(IF(ISNUMBER(Matching_Engine!$O$64),Lookup_Lists!$D$113,0)+IF(ISNUMBER(Matching_Engine!$P$64),Lookup_Lists!$D$114,0)+IF(ISNUMBER(Matching_Engine!$Q$64),Lookup_Lists!$D$115,0)+IF(ISNUMBER(Matching_Engine!$R$64),Lookup_Lists!$D$116,0)),0))</f>
      </c>
      <c r="T64" s="11">
        <f>IF(ISNUMBER(Matching_Engine!$S$64),1,0)</f>
      </c>
      <c r="U64" s="18">
        <f>IF(NOT(AND(ISTEXT(KOL_Source_Data!$M$16),KOL_Source_Data!$M$16&lt;&gt;"N/A")),Lookup_Lists!$D$150,IF(Brand_Profile!$G$7=KOL_Source_Data!$M$16,100,IFERROR(INDEX(Lookup_Lists!$B$349:$J$357,MATCH(Brand_Profile!$G$7,Lookup_Lists!$A$349:$A$357,0),MATCH(KOL_Source_Data!$M$16,Lookup_Lists!$B$348:$J$348,0)),Lookup_Lists!$D$151)))</f>
      </c>
      <c r="V64" s="18">
        <f>IF(NOT(AND(ISTEXT(KOL_Source_Data!$P$16),KOL_Source_Data!$P$16&lt;&gt;"N/A")),"N/A",IFERROR(INDEX(Lookup_Lists!$B$349:$J$357,MATCH(Brand_Profile!$G$7,Lookup_Lists!$A$349:$A$357,0),MATCH(KOL_Source_Data!$P$16,Lookup_Lists!$B$348:$J$348,0)),Lookup_Lists!$D$151))</f>
      </c>
      <c r="W64" s="18">
        <f>IF(LEN(TRIM(SUBSTITUTE(Matching_Engine!$BE$64,"|","")))=0,"N/A",IF(Brand_Profile!$G$60=0,Lookup_Lists!$D$150,ROUND((IF(Brand_Profile!$G$54="",0,IF(ISNUMBER(SEARCH(Brand_Profile!$G$54,Matching_Engine!$BE$64)),1,0))+IF(Brand_Profile!$G$55="",0,IF(ISNUMBER(SEARCH(Brand_Profile!$G$55,Matching_Engine!$BE$64)),1,0))+IF(Brand_Profile!$G$56="",0,IF(ISNUMBER(SEARCH(Brand_Profile!$G$56,Matching_Engine!$BE$64)),1,0))+IF(Brand_Profile!$G$57="",0,IF(ISNUMBER(SEARCH(Brand_Profile!$G$57,Matching_Engine!$BE$64)),1,0))+IF(Brand_Profile!$G$58="",0,IF(ISNUMBER(SEARCH(Brand_Profile!$G$58,Matching_Engine!$BE$64)),1,0))+IF(Brand_Profile!$G$59="",0,IF(ISNUMBER(SEARCH(Brand_Profile!$G$59,Matching_Engine!$BE$64)),1,0)))/Brand_Profile!$G$60*100,0)))</f>
      </c>
      <c r="X64" s="18">
        <f>IF(NOT(AND(ISTEXT(KOL_Source_Data!$Q$16),KOL_Source_Data!$Q$16&lt;&gt;"N/A")),"N/A",Lookup_Lists!$D$150)</f>
      </c>
      <c r="Y64" s="29">
        <f>IF((IF(ISNUMBER(Matching_Engine!$U$64),Lookup_Lists!$D$335,0)+IF(ISNUMBER(Matching_Engine!$V$64),Lookup_Lists!$D$122,0)+IF(ISNUMBER(Matching_Engine!$W$64),Lookup_Lists!$D$336,0)+IF(ISNUMBER(Matching_Engine!$X$64),Lookup_Lists!$D$124,0))=0,"N/A",ROUND((IF(ISNUMBER(Matching_Engine!$U$64),Matching_Engine!$U$64*Lookup_Lists!$D$335,0)+IF(ISNUMBER(Matching_Engine!$V$64),Matching_Engine!$V$64*Lookup_Lists!$D$122,0)+IF(ISNUMBER(Matching_Engine!$W$64),Matching_Engine!$W$64*Lookup_Lists!$D$336,0)+IF(ISNUMBER(Matching_Engine!$X$64),Matching_Engine!$X$64*Lookup_Lists!$D$124,0))/(IF(ISNUMBER(Matching_Engine!$U$64),Lookup_Lists!$D$335,0)+IF(ISNUMBER(Matching_Engine!$V$64),Lookup_Lists!$D$122,0)+IF(ISNUMBER(Matching_Engine!$W$64),Lookup_Lists!$D$336,0)+IF(ISNUMBER(Matching_Engine!$X$64),Lookup_Lists!$D$124,0)),0))</f>
      </c>
      <c r="Z64" s="11">
        <f>IF(ISNUMBER(Matching_Engine!$Y$64),1,0)</f>
      </c>
      <c r="AA64" s="18">
        <f>IF(NOT(AND(ISTEXT(KOL_Source_Data!$Q$16),KOL_Source_Data!$Q$16&lt;&gt;"N/A")),"N/A",Lookup_Lists!$D$150)</f>
      </c>
      <c r="AB64" s="18">
        <f>IF(NOT(AND(ISTEXT(KOL_Source_Data!$Q$16),KOL_Source_Data!$Q$16&lt;&gt;"N/A")),"N/A",Lookup_Lists!$D$150)</f>
      </c>
      <c r="AC64" s="18">
        <f>"N/A"</f>
      </c>
      <c r="AD64" s="18">
        <f>IF(NOT(AND(ISTEXT(KOL_Source_Data!$Q$16),KOL_Source_Data!$Q$16&lt;&gt;"N/A")),"N/A",Lookup_Lists!$D$150)</f>
      </c>
      <c r="AE64" s="29">
        <f>IF((IF(ISNUMBER(Matching_Engine!$AA$64),Lookup_Lists!$D$125,0)+IF(ISNUMBER(Matching_Engine!$AB$64),Lookup_Lists!$D$126,0)+IF(ISNUMBER(Matching_Engine!$AC$64),Lookup_Lists!$D$127,0)+IF(ISNUMBER(Matching_Engine!$AD$64),Lookup_Lists!$D$128,0))=0,"N/A",ROUND((IF(ISNUMBER(Matching_Engine!$AA$64),Matching_Engine!$AA$64*Lookup_Lists!$D$125,0)+IF(ISNUMBER(Matching_Engine!$AB$64),Matching_Engine!$AB$64*Lookup_Lists!$D$126,0)+IF(ISNUMBER(Matching_Engine!$AC$64),Matching_Engine!$AC$64*Lookup_Lists!$D$127,0)+IF(ISNUMBER(Matching_Engine!$AD$64),Matching_Engine!$AD$64*Lookup_Lists!$D$128,0))/(IF(ISNUMBER(Matching_Engine!$AA$64),Lookup_Lists!$D$125,0)+IF(ISNUMBER(Matching_Engine!$AB$64),Lookup_Lists!$D$126,0)+IF(ISNUMBER(Matching_Engine!$AC$64),Lookup_Lists!$D$127,0)+IF(ISNUMBER(Matching_Engine!$AD$64),Lookup_Lists!$D$128,0)),0))</f>
      </c>
      <c r="AF64" s="11">
        <f>IF(ISNUMBER(Matching_Engine!$AE$64),1,0)</f>
      </c>
      <c r="AG64" s="18">
        <f>IF(NOT(ISNUMBER(KOL_Source_Data!$BG$16)),"N/A",MIN(100,ROUND(KOL_Source_Data!$BG$16/IFERROR(INDEX(Lookup_Lists!$B$340:$B$344,MATCH(KOL_Source_Data!$H$16,Lookup_Lists!$A$340:$A$344,0)),Lookup_Lists!$D$141)*100,0)))</f>
      </c>
      <c r="AH64" s="18">
        <f>IF(NOT(ISNUMBER(KOL_Source_Data!$BS$16)),"N/A",MIN(100,MAX(0,KOL_Source_Data!$BS$16)))</f>
      </c>
      <c r="AI64" s="18">
        <f>IF(OR(NOT(ISNUMBER(KOL_Source_Data!$BM$16)),NOT(ISNUMBER(KOL_Source_Data!$BN$16)),KOL_Source_Data!$BN$16&lt;Lookup_Lists!$D$320),"N/A",MIN(100,ROUND(KOL_Source_Data!$BM$16/Lookup_Lists!$D$319*100,0)))</f>
      </c>
      <c r="AJ64" s="18">
        <f>IF(NOT(ISNUMBER(KOL_Source_Data!$BR$16)),"N/A",KOL_Source_Data!$BR$16)</f>
      </c>
      <c r="AK64" s="18">
        <f>IF(NOT(ISNUMBER(KOL_Source_Data!$BK$16)),"N/A",MIN(100,ROUND(KOL_Source_Data!$BK$16/Lookup_Lists!$D$321*100,0)))</f>
      </c>
      <c r="AL64" s="18">
        <f>IF(NOT(ISNUMBER(KOL_Source_Data!$BP$16)),"N/A",MIN(100,MAX(0,ROUND((KOL_Source_Data!$BP$16+2)/(Lookup_Lists!$D$145+2)*100,0))))</f>
      </c>
      <c r="AM64" s="29">
        <f>IF((IF(ISNUMBER(Matching_Engine!$AG$64),Lookup_Lists!$D$129,0)+IF(ISNUMBER(Matching_Engine!$AH$64),Lookup_Lists!$D$130,0)+IF(ISNUMBER(Matching_Engine!$AI$64),Lookup_Lists!$D$131,0)+IF(ISNUMBER(Matching_Engine!$AJ$64),Lookup_Lists!$D$132,0)+IF(ISNUMBER(Matching_Engine!$AK$64),Lookup_Lists!$D$133,0)+IF(ISNUMBER(Matching_Engine!$AL$64),Lookup_Lists!$D$134,0))=0,"N/A",ROUND((IF(ISNUMBER(Matching_Engine!$AG$64),Matching_Engine!$AG$64*Lookup_Lists!$D$129,0)+IF(ISNUMBER(Matching_Engine!$AH$64),Matching_Engine!$AH$64*Lookup_Lists!$D$130,0)+IF(ISNUMBER(Matching_Engine!$AI$64),Matching_Engine!$AI$64*Lookup_Lists!$D$131,0)+IF(ISNUMBER(Matching_Engine!$AJ$64),Matching_Engine!$AJ$64*Lookup_Lists!$D$132,0)+IF(ISNUMBER(Matching_Engine!$AK$64),Matching_Engine!$AK$64*Lookup_Lists!$D$133,0)+IF(ISNUMBER(Matching_Engine!$AL$64),Matching_Engine!$AL$64*Lookup_Lists!$D$134,0))/(IF(ISNUMBER(Matching_Engine!$AG$64),Lookup_Lists!$D$129,0)+IF(ISNUMBER(Matching_Engine!$AH$64),Lookup_Lists!$D$130,0)+IF(ISNUMBER(Matching_Engine!$AI$64),Lookup_Lists!$D$131,0)+IF(ISNUMBER(Matching_Engine!$AJ$64),Lookup_Lists!$D$132,0)+IF(ISNUMBER(Matching_Engine!$AK$64),Lookup_Lists!$D$133,0)+IF(ISNUMBER(Matching_Engine!$AL$64),Lookup_Lists!$D$134,0)),0))</f>
      </c>
      <c r="AN64" s="11">
        <f>IF(ISNUMBER(Matching_Engine!$AM$64),1,0)</f>
      </c>
      <c r="AO64" s="18">
        <f>IF(NOT(ISNUMBER(KOL_Source_Data!$BT$16)),"N/A",MIN(100,MAX(0,KOL_Source_Data!$BT$16)))</f>
      </c>
      <c r="AP64" s="18">
        <f>IF(NOT(ISNUMBER(KOL_Source_Data!$BU$16)),"N/A",MIN(100,MAX(0,KOL_Source_Data!$BU$16)))</f>
      </c>
      <c r="AQ64" s="18">
        <f>IF(KOL_Source_Data!$I$16="Yes",Lookup_Lists!$D$326,IF(KOL_Source_Data!$I$16="No",Lookup_Lists!$D$327,"N/A"))</f>
      </c>
      <c r="AR64" s="18">
        <f>IF(NOT(ISNUMBER(KOL_Source_Data!$BQ$16)),"N/A",MAX(0,ROUND(100-KOL_Source_Data!$BQ$16/Lookup_Lists!$D$328*100,0)))</f>
      </c>
      <c r="AS64" s="18">
        <f>IF(NOT(AND(ISTEXT(KOL_Source_Data!$BV$16),KOL_Source_Data!$BV$16&lt;&gt;"N/A")),"N/A",KOL_Source_Data!$BV$16)</f>
      </c>
      <c r="AT64" s="29">
        <f>IF((IF(ISNUMBER(Matching_Engine!$AO$64),Lookup_Lists!$D$322,0)+IF(ISNUMBER(Matching_Engine!$AP$64),Lookup_Lists!$D$323,0)+IF(ISNUMBER(Matching_Engine!$AQ$64),Lookup_Lists!$D$324,0)+IF(ISNUMBER(Matching_Engine!$AR$64),Lookup_Lists!$D$325,0))=0,"N/A",ROUND((IF(ISNUMBER(Matching_Engine!$AO$64),Matching_Engine!$AO$64*Lookup_Lists!$D$322,0)+IF(ISNUMBER(Matching_Engine!$AP$64),Matching_Engine!$AP$64*Lookup_Lists!$D$323,0)+IF(ISNUMBER(Matching_Engine!$AQ$64),Matching_Engine!$AQ$64*Lookup_Lists!$D$324,0)+IF(ISNUMBER(Matching_Engine!$AR$64),Matching_Engine!$AR$64*Lookup_Lists!$D$325,0))/(IF(ISNUMBER(Matching_Engine!$AO$64),Lookup_Lists!$D$322,0)+IF(ISNUMBER(Matching_Engine!$AP$64),Lookup_Lists!$D$323,0)+IF(ISNUMBER(Matching_Engine!$AQ$64),Lookup_Lists!$D$324,0)+IF(ISNUMBER(Matching_Engine!$AR$64),Lookup_Lists!$D$325,0)),0))</f>
      </c>
      <c r="AU64" s="11">
        <f>IF(ISNUMBER(Matching_Engine!$AT$64),1,0)</f>
      </c>
      <c r="AV64" s="11">
        <f>IF(NOT(ISNUMBER(Matching_Engine!$AT$64)),"Not Screened",IF(Matching_Engine!$AT$64&gt;=Lookup_Lists!$D$329,"Low Risk",IF(Matching_Engine!$AT$64&gt;=Lookup_Lists!$D$330,"Moderate Risk",IF(Matching_Engine!$AT$64&gt;=Lookup_Lists!$D$331,"Elevated Risk","High Risk"))))</f>
      </c>
      <c r="AW64" s="11">
        <f>IF(NOT(ISNUMBER(Matching_Engine!$AT$64)),"No integrity signal: no audience-analysis row for this account.","Integrity screen only — no content-risk reading exists (comments_analysis: 0 rows). "&amp;IF(ISNUMBER(Matching_Engine!$AO$64),"Authenticity "&amp;Matching_Engine!$AO$64&amp;". ","Authenticity N/A. ")&amp;IF(ISNUMBER(Matching_Engine!$AP$64),"Follower quality "&amp;Matching_Engine!$AP$64&amp;". ","Follower quality N/A. ")&amp;IF(KOL_Source_Data!$I$16="Yes","Platform-verified.","Not platform-verified."))</f>
      </c>
      <c r="AX64" s="18">
        <f>Matching_Engine!$N$64*Lookup_Lists!$D$104+Matching_Engine!$T$64*Lookup_Lists!$D$105+Matching_Engine!$Z$64*Lookup_Lists!$D$106+Matching_Engine!$AF$64*Lookup_Lists!$D$107+Matching_Engine!$AN$64*Lookup_Lists!$D$108+Matching_Engine!$AU$64*Lookup_Lists!$D$109</f>
      </c>
      <c r="AY64" s="30">
        <f>IF(Matching_Engine!$AX$64=0,"N/A",ROUND((IF(Matching_Engine!$N$64=1,Matching_Engine!$M$64*Lookup_Lists!$D$104,0)+IF(Matching_Engine!$T$64=1,Matching_Engine!$S$64*Lookup_Lists!$D$105,0)+IF(Matching_Engine!$Z$64=1,Matching_Engine!$Y$64*Lookup_Lists!$D$106,0)+IF(Matching_Engine!$AF$64=1,Matching_Engine!$AE$64*Lookup_Lists!$D$107,0)+IF(Matching_Engine!$AN$64=1,Matching_Engine!$AM$64*Lookup_Lists!$D$108,0)+IF(Matching_Engine!$AU$64=1,Matching_Engine!$AT$64*Lookup_Lists!$D$109,0))/Matching_Engine!$AX$64,0))</f>
      </c>
      <c r="AZ64" s="11">
        <f>IF(NOT(ISNUMBER(Matching_Engine!$AY$64)),"Not Scored",IF(Matching_Engine!$AY$64&gt;=Lookup_Lists!$D$152,"Excellent Match",IF(Matching_Engine!$AY$64&gt;=Lookup_Lists!$D$153,"Strong Match",IF(Matching_Engine!$AY$64&gt;=Lookup_Lists!$D$154,"Good Match",IF(Matching_Engine!$AY$64&gt;=Lookup_Lists!$D$155,"Moderate Match","Low Match")))))</f>
      </c>
      <c r="BA64" s="18">
        <f>KOL_Source_Data!$BW$16</f>
      </c>
      <c r="BB64" s="11">
        <f>KOL_Source_Data!$BX$16</f>
      </c>
      <c r="BC64" s="18">
        <f>IF(NOT(ISNUMBER(Matching_Engine!$AY$64)),-1,Matching_Engine!$AY$64*1000+14)</f>
      </c>
      <c r="BD64" s="11">
        <f>IF(AND(ISTEXT(KOL_Source_Data!$S$16),KOL_Source_Data!$S$16&lt;&gt;"N/A"),KOL_Source_Data!$S$16,"")&amp;" | "&amp;IF(AND(ISTEXT(KOL_Source_Data!$T$16),KOL_Source_Data!$T$16&lt;&gt;"N/A"),KOL_Source_Data!$T$16,"")&amp;" | "&amp;IF(AND(ISTEXT(KOL_Source_Data!$N$16),KOL_Source_Data!$N$16&lt;&gt;"N/A"),KOL_Source_Data!$N$16,"")&amp;" | "&amp;IF(AND(ISTEXT(KOL_Source_Data!$K$16),KOL_Source_Data!$K$16&lt;&gt;"N/A"),KOL_Source_Data!$K$16,"")&amp;" | "&amp;IF(AND(ISTEXT(KOL_Source_Data!$J$16),KOL_Source_Data!$J$16&lt;&gt;"N/A"),KOL_Source_Data!$J$16,"")</f>
      </c>
      <c r="BE64" s="11">
        <f>IF(AND(ISTEXT(KOL_Source_Data!$T$16),KOL_Source_Data!$T$16&lt;&gt;"N/A"),KOL_Source_Data!$T$16,"")&amp;" | "&amp;IF(AND(ISTEXT(KOL_Source_Data!$N$16),KOL_Source_Data!$N$16&lt;&gt;"N/A"),KOL_Source_Data!$N$16,"")&amp;" | "&amp;IF(AND(ISTEXT(KOL_Source_Data!$O$16),KOL_Source_Data!$O$16&lt;&gt;"N/A"),KOL_Source_Data!$O$16,"")&amp;" | "&amp;IF(AND(ISTEXT(KOL_Source_Data!$S$16),KOL_Source_Data!$S$16&lt;&gt;"N/A"),KOL_Source_Data!$S$16,"")</f>
      </c>
      <c r="BF64" s="11">
        <f>IF(AND(ISTEXT(KOL_Source_Data!$U$16),KOL_Source_Data!$U$16&lt;&gt;"N/A"),KOL_Source_Data!$U$16,"")</f>
      </c>
      <c r="BG64" s="11">
        <f>Matching_Engine!$A$64&amp;"|"&amp;Matching_Engine!$C$64</f>
      </c>
    </row>
    <row r="65" spans="1:59" x14ac:dyDescent="0.25">
      <c r="A65" s="10" t="s">
        <v>392</v>
      </c>
      <c r="B65" s="11">
        <f>Brand_Profile!$G$6</f>
      </c>
      <c r="C65" s="11">
        <f>KOL_Source_Data!$A$17</f>
      </c>
      <c r="D65" s="11">
        <f>KOL_Source_Data!$C$17</f>
      </c>
      <c r="E65" s="11">
        <f>KOL_Source_Data!$D$17</f>
      </c>
      <c r="F65" s="11">
        <f>KOL_Source_Data!$E$17</f>
      </c>
      <c r="G65" s="11">
        <f>KOL_Source_Data!$K$17</f>
      </c>
      <c r="H65" s="12">
        <f>KOL_Source_Data!$G$17</f>
      </c>
      <c r="I65" s="14">
        <f>KOL_Source_Data!$BG$17</f>
      </c>
      <c r="J65" s="18">
        <f>IF(NOT(AND(ISTEXT(KOL_Source_Data!$K$17),KOL_Source_Data!$K$17&lt;&gt;"N/A")),Lookup_Lists!$D$150,IF(Brand_Profile!$G$7=KOL_Source_Data!$K$17,100,IFERROR(INDEX(Lookup_Lists!$B$349:$J$357,MATCH(Brand_Profile!$G$7,Lookup_Lists!$A$349:$A$357,0),MATCH(KOL_Source_Data!$K$17,Lookup_Lists!$B$348:$J$348,0)),Lookup_Lists!$D$151)))</f>
      </c>
      <c r="K65" s="18">
        <f>IF(LEN(TRIM(SUBSTITUTE(Matching_Engine!$BD$65,"|","")))=0,"N/A",IF(Brand_Profile!$G$47=0,Lookup_Lists!$D$150,ROUND((IF(Brand_Profile!$G$41="",0,IF(ISNUMBER(SEARCH(Brand_Profile!$G$41,Matching_Engine!$BD$65)),1,0))+IF(Brand_Profile!$G$42="",0,IF(ISNUMBER(SEARCH(Brand_Profile!$G$42,Matching_Engine!$BD$65)),1,0))+IF(Brand_Profile!$G$43="",0,IF(ISNUMBER(SEARCH(Brand_Profile!$G$43,Matching_Engine!$BD$65)),1,0))+IF(Brand_Profile!$G$44="",0,IF(ISNUMBER(SEARCH(Brand_Profile!$G$44,Matching_Engine!$BD$65)),1,0))+IF(Brand_Profile!$G$45="",0,IF(ISNUMBER(SEARCH(Brand_Profile!$G$45,Matching_Engine!$BD$65)),1,0))+IF(Brand_Profile!$G$46="",0,IF(ISNUMBER(SEARCH(Brand_Profile!$G$46,Matching_Engine!$BD$65)),1,0)))/Brand_Profile!$G$47*100,0)))</f>
      </c>
      <c r="L65" s="18">
        <f>IF(NOT(AND(ISTEXT(KOL_Source_Data!$U$17),KOL_Source_Data!$U$17&lt;&gt;"N/A")),"N/A",IF(Brand_Profile!$G$53=0,Lookup_Lists!$D$150,ROUND((IF(Brand_Profile!$G$48="",0,IF(ISNUMBER(SEARCH(Brand_Profile!$G$48,Matching_Engine!$BF$65)),1,0))+IF(Brand_Profile!$G$49="",0,IF(ISNUMBER(SEARCH(Brand_Profile!$G$49,Matching_Engine!$BF$65)),1,0))+IF(Brand_Profile!$G$50="",0,IF(ISNUMBER(SEARCH(Brand_Profile!$G$50,Matching_Engine!$BF$65)),1,0))+IF(Brand_Profile!$G$51="",0,IF(ISNUMBER(SEARCH(Brand_Profile!$G$51,Matching_Engine!$BF$65)),1,0))+IF(Brand_Profile!$G$52="",0,IF(ISNUMBER(SEARCH(Brand_Profile!$G$52,Matching_Engine!$BF$65)),1,0)))/Brand_Profile!$G$53*100,0)))</f>
      </c>
      <c r="M65" s="29">
        <f>IF((IF(ISNUMBER(Matching_Engine!$J$65),Lookup_Lists!$D$332,0)+IF(ISNUMBER(Matching_Engine!$K$65),Lookup_Lists!$D$333,0)+IF(ISNUMBER(Matching_Engine!$L$65),Lookup_Lists!$D$334,0))=0,"N/A",ROUND((IF(ISNUMBER(Matching_Engine!$J$65),Matching_Engine!$J$65*Lookup_Lists!$D$332,0)+IF(ISNUMBER(Matching_Engine!$K$65),Matching_Engine!$K$65*Lookup_Lists!$D$333,0)+IF(ISNUMBER(Matching_Engine!$L$65),Matching_Engine!$L$65*Lookup_Lists!$D$334,0))/(IF(ISNUMBER(Matching_Engine!$J$65),Lookup_Lists!$D$332,0)+IF(ISNUMBER(Matching_Engine!$K$65),Lookup_Lists!$D$333,0)+IF(ISNUMBER(Matching_Engine!$L$65),Lookup_Lists!$D$334,0)),0))</f>
      </c>
      <c r="N65" s="11">
        <f>IF(ISNUMBER(Matching_Engine!$M$65),1,0)</f>
      </c>
      <c r="O65" s="18">
        <f>IF(NOT(ISNUMBER(IFERROR(INDEX(KOL_Source_Data!$V$17:KOL_Source_Data!$Z$17,1,MATCH(Brand_Profile!$G$11,Lookup_Lists!$F$6:$F$10,0)),""))),"N/A",MIN(100,ROUND((IFERROR(INDEX(KOL_Source_Data!$V$17:KOL_Source_Data!$Z$17,1,MATCH(Brand_Profile!$G$11,Lookup_Lists!$F$6:$F$10,0)),"")+0.5*IF(ISNUMBER(IFERROR(INDEX(KOL_Source_Data!$V$17:KOL_Source_Data!$Z$17,1,MATCH(Brand_Profile!$G$12,Lookup_Lists!$F$6:$F$10,0)),"")),IFERROR(INDEX(KOL_Source_Data!$V$17:KOL_Source_Data!$Z$17,1,MATCH(Brand_Profile!$G$12,Lookup_Lists!$F$6:$F$10,0)),""),0))/Lookup_Lists!$D$142*100,0)))</f>
      </c>
      <c r="P65" s="18">
        <f>IF(Brand_Profile!$G$13="Any",100,IF(NOT(ISNUMBER(KOL_Source_Data!$AA$17)),"N/A",IF(Brand_Profile!$G$13="Female",MIN(100,ROUND(KOL_Source_Data!$AA$17/Lookup_Lists!$D$143*100,0)),IF(Brand_Profile!$G$13="Male",MIN(100,ROUND(IF(ISNUMBER(KOL_Source_Data!$AB$17),KOL_Source_Data!$AB$17,100-KOL_Source_Data!$AA$17)/Lookup_Lists!$D$143*100,0)),MAX(0,ROUND(100-ABS(KOL_Source_Data!$AA$17-50)*2,0))))))</f>
      </c>
      <c r="Q65" s="18">
        <f>IF((IF(ISNUMBER(IF(NOT(ISNUMBER(KOL_Source_Data!$AE$17)),"N/A",IF(KOL_Source_Data!$AD$17&lt;&gt;Brand_Profile!$G$14,Lookup_Lists!$D$151,MIN(100,ROUND(KOL_Source_Data!$AE$17/Lookup_Lists!$D$316*100,0))))),Lookup_Lists!$D$118,0)+IF(ISNUMBER(IF(NOT(ISNUMBER(KOL_Source_Data!$AM$17)),"N/A",MIN(100,ROUND((IF(KOL_Source_Data!$AG$17=Brand_Profile!$G$15,IF(ISNUMBER(KOL_Source_Data!$AH$17),KOL_Source_Data!$AH$17,0),0)+IF(KOL_Source_Data!$AI$17=Brand_Profile!$G$15,IF(ISNUMBER(KOL_Source_Data!$AJ$17),KOL_Source_Data!$AJ$17,0),0)+IF(KOL_Source_Data!$AK$17=Brand_Profile!$G$15,IF(ISNUMBER(KOL_Source_Data!$AL$17),KOL_Source_Data!$AL$17,0),0))/Lookup_Lists!$D$317*100,0)))),Lookup_Lists!$D$120,0))=0,"N/A",ROUND((IF(ISNUMBER(IF(NOT(ISNUMBER(KOL_Source_Data!$AE$17)),"N/A",IF(KOL_Source_Data!$AD$17&lt;&gt;Brand_Profile!$G$14,Lookup_Lists!$D$151,MIN(100,ROUND(KOL_Source_Data!$AE$17/Lookup_Lists!$D$316*100,0))))),IF(NOT(ISNUMBER(KOL_Source_Data!$AE$17)),"N/A",IF(KOL_Source_Data!$AD$17&lt;&gt;Brand_Profile!$G$14,Lookup_Lists!$D$151,MIN(100,ROUND(KOL_Source_Data!$AE$17/Lookup_Lists!$D$316*100,0))))*Lookup_Lists!$D$118,0)+IF(ISNUMBER(IF(NOT(ISNUMBER(KOL_Source_Data!$AM$17)),"N/A",MIN(100,ROUND((IF(KOL_Source_Data!$AG$17=Brand_Profile!$G$15,IF(ISNUMBER(KOL_Source_Data!$AH$17),KOL_Source_Data!$AH$17,0),0)+IF(KOL_Source_Data!$AI$17=Brand_Profile!$G$15,IF(ISNUMBER(KOL_Source_Data!$AJ$17),KOL_Source_Data!$AJ$17,0),0)+IF(KOL_Source_Data!$AK$17=Brand_Profile!$G$15,IF(ISNUMBER(KOL_Source_Data!$AL$17),KOL_Source_Data!$AL$17,0),0))/Lookup_Lists!$D$317*100,0)))),IF(NOT(ISNUMBER(KOL_Source_Data!$AM$17)),"N/A",MIN(100,ROUND((IF(KOL_Source_Data!$AG$17=Brand_Profile!$G$15,IF(ISNUMBER(KOL_Source_Data!$AH$17),KOL_Source_Data!$AH$17,0),0)+IF(KOL_Source_Data!$AI$17=Brand_Profile!$G$15,IF(ISNUMBER(KOL_Source_Data!$AJ$17),KOL_Source_Data!$AJ$17,0),0)+IF(KOL_Source_Data!$AK$17=Brand_Profile!$G$15,IF(ISNUMBER(KOL_Source_Data!$AL$17),KOL_Source_Data!$AL$17,0),0))/Lookup_Lists!$D$317*100,0)))*Lookup_Lists!$D$120,0))/(IF(ISNUMBER(IF(NOT(ISNUMBER(KOL_Source_Data!$AE$17)),"N/A",IF(KOL_Source_Data!$AD$17&lt;&gt;Brand_Profile!$G$14,Lookup_Lists!$D$151,MIN(100,ROUND(KOL_Source_Data!$AE$17/Lookup_Lists!$D$316*100,0))))),Lookup_Lists!$D$118,0)+IF(ISNUMBER(IF(NOT(ISNUMBER(KOL_Source_Data!$AM$17)),"N/A",MIN(100,ROUND((IF(KOL_Source_Data!$AG$17=Brand_Profile!$G$15,IF(ISNUMBER(KOL_Source_Data!$AH$17),KOL_Source_Data!$AH$17,0),0)+IF(KOL_Source_Data!$AI$17=Brand_Profile!$G$15,IF(ISNUMBER(KOL_Source_Data!$AJ$17),KOL_Source_Data!$AJ$17,0),0)+IF(KOL_Source_Data!$AK$17=Brand_Profile!$G$15,IF(ISNUMBER(KOL_Source_Data!$AL$17),KOL_Source_Data!$AL$17,0),0))/Lookup_Lists!$D$317*100,0)))),Lookup_Lists!$D$120,0)),0))</f>
      </c>
      <c r="R65" s="18">
        <f>IF(NOT(ISNUMBER(KOL_Source_Data!$AN$17)),"N/A",MIN(100,ROUND((IF(ISNUMBER(KOL_Source_Data!$AO$17),KOL_Source_Data!$AO$17*Brand_Profile!$G$17,0)+IF(ISNUMBER(KOL_Source_Data!$AP$17),KOL_Source_Data!$AP$17*Brand_Profile!$G$18,0)+IF(ISNUMBER(KOL_Source_Data!$AQ$17),KOL_Source_Data!$AQ$17*Brand_Profile!$G$19,0)+IF(ISNUMBER(KOL_Source_Data!$AR$17),KOL_Source_Data!$AR$17*Brand_Profile!$G$20,0)+IF(ISNUMBER(KOL_Source_Data!$AS$17),KOL_Source_Data!$AS$17*Brand_Profile!$G$21,0)+IF(ISNUMBER(KOL_Source_Data!$AT$17),KOL_Source_Data!$AT$17*Brand_Profile!$G$22,0)+IF(ISNUMBER(KOL_Source_Data!$AU$17),KOL_Source_Data!$AU$17*Brand_Profile!$G$23,0)+IF(ISNUMBER(KOL_Source_Data!$AV$17),KOL_Source_Data!$AV$17*Brand_Profile!$G$24,0)+IF(ISNUMBER(KOL_Source_Data!$AW$17),KOL_Source_Data!$AW$17*Brand_Profile!$G$25,0)+IF(ISNUMBER(KOL_Source_Data!$AX$17),KOL_Source_Data!$AX$17*Brand_Profile!$G$26,0)+IF(ISNUMBER(KOL_Source_Data!$AY$17),KOL_Source_Data!$AY$17*Brand_Profile!$G$27,0)+IF(ISNUMBER(KOL_Source_Data!$AZ$17),KOL_Source_Data!$AZ$17*Brand_Profile!$G$28,0)+IF(ISNUMBER(KOL_Source_Data!$BA$17),KOL_Source_Data!$BA$17*Brand_Profile!$G$29,0)+IF(ISNUMBER(KOL_Source_Data!$BB$17),KOL_Source_Data!$BB$17*Brand_Profile!$G$30,0)+IF(ISNUMBER(KOL_Source_Data!$BC$17),KOL_Source_Data!$BC$17*Brand_Profile!$G$31,0)+IF(ISNUMBER(KOL_Source_Data!$BD$17),KOL_Source_Data!$BD$17*Brand_Profile!$G$32,0)+IF(ISNUMBER(KOL_Source_Data!$BE$17),KOL_Source_Data!$BE$17*Brand_Profile!$G$33,0)+IF(ISNUMBER(KOL_Source_Data!$BF$17),KOL_Source_Data!$BF$17*Brand_Profile!$G$34,0))/Lookup_Lists!$D$318*100,0)))</f>
      </c>
      <c r="S65" s="29">
        <f>IF((IF(ISNUMBER(Matching_Engine!$O$65),Lookup_Lists!$D$113,0)+IF(ISNUMBER(Matching_Engine!$P$65),Lookup_Lists!$D$114,0)+IF(ISNUMBER(Matching_Engine!$Q$65),Lookup_Lists!$D$115,0)+IF(ISNUMBER(Matching_Engine!$R$65),Lookup_Lists!$D$116,0))=0,"N/A",ROUND((IF(ISNUMBER(Matching_Engine!$O$65),Matching_Engine!$O$65*Lookup_Lists!$D$113,0)+IF(ISNUMBER(Matching_Engine!$P$65),Matching_Engine!$P$65*Lookup_Lists!$D$114,0)+IF(ISNUMBER(Matching_Engine!$Q$65),Matching_Engine!$Q$65*Lookup_Lists!$D$115,0)+IF(ISNUMBER(Matching_Engine!$R$65),Matching_Engine!$R$65*Lookup_Lists!$D$116,0))/(IF(ISNUMBER(Matching_Engine!$O$65),Lookup_Lists!$D$113,0)+IF(ISNUMBER(Matching_Engine!$P$65),Lookup_Lists!$D$114,0)+IF(ISNUMBER(Matching_Engine!$Q$65),Lookup_Lists!$D$115,0)+IF(ISNUMBER(Matching_Engine!$R$65),Lookup_Lists!$D$116,0)),0))</f>
      </c>
      <c r="T65" s="11">
        <f>IF(ISNUMBER(Matching_Engine!$S$65),1,0)</f>
      </c>
      <c r="U65" s="18">
        <f>IF(NOT(AND(ISTEXT(KOL_Source_Data!$M$17),KOL_Source_Data!$M$17&lt;&gt;"N/A")),Lookup_Lists!$D$150,IF(Brand_Profile!$G$7=KOL_Source_Data!$M$17,100,IFERROR(INDEX(Lookup_Lists!$B$349:$J$357,MATCH(Brand_Profile!$G$7,Lookup_Lists!$A$349:$A$357,0),MATCH(KOL_Source_Data!$M$17,Lookup_Lists!$B$348:$J$348,0)),Lookup_Lists!$D$151)))</f>
      </c>
      <c r="V65" s="18">
        <f>IF(NOT(AND(ISTEXT(KOL_Source_Data!$P$17),KOL_Source_Data!$P$17&lt;&gt;"N/A")),"N/A",IFERROR(INDEX(Lookup_Lists!$B$349:$J$357,MATCH(Brand_Profile!$G$7,Lookup_Lists!$A$349:$A$357,0),MATCH(KOL_Source_Data!$P$17,Lookup_Lists!$B$348:$J$348,0)),Lookup_Lists!$D$151))</f>
      </c>
      <c r="W65" s="18">
        <f>IF(LEN(TRIM(SUBSTITUTE(Matching_Engine!$BE$65,"|","")))=0,"N/A",IF(Brand_Profile!$G$60=0,Lookup_Lists!$D$150,ROUND((IF(Brand_Profile!$G$54="",0,IF(ISNUMBER(SEARCH(Brand_Profile!$G$54,Matching_Engine!$BE$65)),1,0))+IF(Brand_Profile!$G$55="",0,IF(ISNUMBER(SEARCH(Brand_Profile!$G$55,Matching_Engine!$BE$65)),1,0))+IF(Brand_Profile!$G$56="",0,IF(ISNUMBER(SEARCH(Brand_Profile!$G$56,Matching_Engine!$BE$65)),1,0))+IF(Brand_Profile!$G$57="",0,IF(ISNUMBER(SEARCH(Brand_Profile!$G$57,Matching_Engine!$BE$65)),1,0))+IF(Brand_Profile!$G$58="",0,IF(ISNUMBER(SEARCH(Brand_Profile!$G$58,Matching_Engine!$BE$65)),1,0))+IF(Brand_Profile!$G$59="",0,IF(ISNUMBER(SEARCH(Brand_Profile!$G$59,Matching_Engine!$BE$65)),1,0)))/Brand_Profile!$G$60*100,0)))</f>
      </c>
      <c r="X65" s="18">
        <f>IF(NOT(AND(ISTEXT(KOL_Source_Data!$Q$17),KOL_Source_Data!$Q$17&lt;&gt;"N/A")),"N/A",Lookup_Lists!$D$150)</f>
      </c>
      <c r="Y65" s="29">
        <f>IF((IF(ISNUMBER(Matching_Engine!$U$65),Lookup_Lists!$D$335,0)+IF(ISNUMBER(Matching_Engine!$V$65),Lookup_Lists!$D$122,0)+IF(ISNUMBER(Matching_Engine!$W$65),Lookup_Lists!$D$336,0)+IF(ISNUMBER(Matching_Engine!$X$65),Lookup_Lists!$D$124,0))=0,"N/A",ROUND((IF(ISNUMBER(Matching_Engine!$U$65),Matching_Engine!$U$65*Lookup_Lists!$D$335,0)+IF(ISNUMBER(Matching_Engine!$V$65),Matching_Engine!$V$65*Lookup_Lists!$D$122,0)+IF(ISNUMBER(Matching_Engine!$W$65),Matching_Engine!$W$65*Lookup_Lists!$D$336,0)+IF(ISNUMBER(Matching_Engine!$X$65),Matching_Engine!$X$65*Lookup_Lists!$D$124,0))/(IF(ISNUMBER(Matching_Engine!$U$65),Lookup_Lists!$D$335,0)+IF(ISNUMBER(Matching_Engine!$V$65),Lookup_Lists!$D$122,0)+IF(ISNUMBER(Matching_Engine!$W$65),Lookup_Lists!$D$336,0)+IF(ISNUMBER(Matching_Engine!$X$65),Lookup_Lists!$D$124,0)),0))</f>
      </c>
      <c r="Z65" s="11">
        <f>IF(ISNUMBER(Matching_Engine!$Y$65),1,0)</f>
      </c>
      <c r="AA65" s="18">
        <f>IF(NOT(AND(ISTEXT(KOL_Source_Data!$Q$17),KOL_Source_Data!$Q$17&lt;&gt;"N/A")),"N/A",Lookup_Lists!$D$150)</f>
      </c>
      <c r="AB65" s="18">
        <f>IF(NOT(AND(ISTEXT(KOL_Source_Data!$Q$17),KOL_Source_Data!$Q$17&lt;&gt;"N/A")),"N/A",Lookup_Lists!$D$150)</f>
      </c>
      <c r="AC65" s="18">
        <f>"N/A"</f>
      </c>
      <c r="AD65" s="18">
        <f>IF(NOT(AND(ISTEXT(KOL_Source_Data!$Q$17),KOL_Source_Data!$Q$17&lt;&gt;"N/A")),"N/A",Lookup_Lists!$D$150)</f>
      </c>
      <c r="AE65" s="29">
        <f>IF((IF(ISNUMBER(Matching_Engine!$AA$65),Lookup_Lists!$D$125,0)+IF(ISNUMBER(Matching_Engine!$AB$65),Lookup_Lists!$D$126,0)+IF(ISNUMBER(Matching_Engine!$AC$65),Lookup_Lists!$D$127,0)+IF(ISNUMBER(Matching_Engine!$AD$65),Lookup_Lists!$D$128,0))=0,"N/A",ROUND((IF(ISNUMBER(Matching_Engine!$AA$65),Matching_Engine!$AA$65*Lookup_Lists!$D$125,0)+IF(ISNUMBER(Matching_Engine!$AB$65),Matching_Engine!$AB$65*Lookup_Lists!$D$126,0)+IF(ISNUMBER(Matching_Engine!$AC$65),Matching_Engine!$AC$65*Lookup_Lists!$D$127,0)+IF(ISNUMBER(Matching_Engine!$AD$65),Matching_Engine!$AD$65*Lookup_Lists!$D$128,0))/(IF(ISNUMBER(Matching_Engine!$AA$65),Lookup_Lists!$D$125,0)+IF(ISNUMBER(Matching_Engine!$AB$65),Lookup_Lists!$D$126,0)+IF(ISNUMBER(Matching_Engine!$AC$65),Lookup_Lists!$D$127,0)+IF(ISNUMBER(Matching_Engine!$AD$65),Lookup_Lists!$D$128,0)),0))</f>
      </c>
      <c r="AF65" s="11">
        <f>IF(ISNUMBER(Matching_Engine!$AE$65),1,0)</f>
      </c>
      <c r="AG65" s="18">
        <f>IF(NOT(ISNUMBER(KOL_Source_Data!$BG$17)),"N/A",MIN(100,ROUND(KOL_Source_Data!$BG$17/IFERROR(INDEX(Lookup_Lists!$B$340:$B$344,MATCH(KOL_Source_Data!$H$17,Lookup_Lists!$A$340:$A$344,0)),Lookup_Lists!$D$141)*100,0)))</f>
      </c>
      <c r="AH65" s="18">
        <f>IF(NOT(ISNUMBER(KOL_Source_Data!$BS$17)),"N/A",MIN(100,MAX(0,KOL_Source_Data!$BS$17)))</f>
      </c>
      <c r="AI65" s="18">
        <f>IF(OR(NOT(ISNUMBER(KOL_Source_Data!$BM$17)),NOT(ISNUMBER(KOL_Source_Data!$BN$17)),KOL_Source_Data!$BN$17&lt;Lookup_Lists!$D$320),"N/A",MIN(100,ROUND(KOL_Source_Data!$BM$17/Lookup_Lists!$D$319*100,0)))</f>
      </c>
      <c r="AJ65" s="18">
        <f>IF(NOT(ISNUMBER(KOL_Source_Data!$BR$17)),"N/A",KOL_Source_Data!$BR$17)</f>
      </c>
      <c r="AK65" s="18">
        <f>IF(NOT(ISNUMBER(KOL_Source_Data!$BK$17)),"N/A",MIN(100,ROUND(KOL_Source_Data!$BK$17/Lookup_Lists!$D$321*100,0)))</f>
      </c>
      <c r="AL65" s="18">
        <f>IF(NOT(ISNUMBER(KOL_Source_Data!$BP$17)),"N/A",MIN(100,MAX(0,ROUND((KOL_Source_Data!$BP$17+2)/(Lookup_Lists!$D$145+2)*100,0))))</f>
      </c>
      <c r="AM65" s="29">
        <f>IF((IF(ISNUMBER(Matching_Engine!$AG$65),Lookup_Lists!$D$129,0)+IF(ISNUMBER(Matching_Engine!$AH$65),Lookup_Lists!$D$130,0)+IF(ISNUMBER(Matching_Engine!$AI$65),Lookup_Lists!$D$131,0)+IF(ISNUMBER(Matching_Engine!$AJ$65),Lookup_Lists!$D$132,0)+IF(ISNUMBER(Matching_Engine!$AK$65),Lookup_Lists!$D$133,0)+IF(ISNUMBER(Matching_Engine!$AL$65),Lookup_Lists!$D$134,0))=0,"N/A",ROUND((IF(ISNUMBER(Matching_Engine!$AG$65),Matching_Engine!$AG$65*Lookup_Lists!$D$129,0)+IF(ISNUMBER(Matching_Engine!$AH$65),Matching_Engine!$AH$65*Lookup_Lists!$D$130,0)+IF(ISNUMBER(Matching_Engine!$AI$65),Matching_Engine!$AI$65*Lookup_Lists!$D$131,0)+IF(ISNUMBER(Matching_Engine!$AJ$65),Matching_Engine!$AJ$65*Lookup_Lists!$D$132,0)+IF(ISNUMBER(Matching_Engine!$AK$65),Matching_Engine!$AK$65*Lookup_Lists!$D$133,0)+IF(ISNUMBER(Matching_Engine!$AL$65),Matching_Engine!$AL$65*Lookup_Lists!$D$134,0))/(IF(ISNUMBER(Matching_Engine!$AG$65),Lookup_Lists!$D$129,0)+IF(ISNUMBER(Matching_Engine!$AH$65),Lookup_Lists!$D$130,0)+IF(ISNUMBER(Matching_Engine!$AI$65),Lookup_Lists!$D$131,0)+IF(ISNUMBER(Matching_Engine!$AJ$65),Lookup_Lists!$D$132,0)+IF(ISNUMBER(Matching_Engine!$AK$65),Lookup_Lists!$D$133,0)+IF(ISNUMBER(Matching_Engine!$AL$65),Lookup_Lists!$D$134,0)),0))</f>
      </c>
      <c r="AN65" s="11">
        <f>IF(ISNUMBER(Matching_Engine!$AM$65),1,0)</f>
      </c>
      <c r="AO65" s="18">
        <f>IF(NOT(ISNUMBER(KOL_Source_Data!$BT$17)),"N/A",MIN(100,MAX(0,KOL_Source_Data!$BT$17)))</f>
      </c>
      <c r="AP65" s="18">
        <f>IF(NOT(ISNUMBER(KOL_Source_Data!$BU$17)),"N/A",MIN(100,MAX(0,KOL_Source_Data!$BU$17)))</f>
      </c>
      <c r="AQ65" s="18">
        <f>IF(KOL_Source_Data!$I$17="Yes",Lookup_Lists!$D$326,IF(KOL_Source_Data!$I$17="No",Lookup_Lists!$D$327,"N/A"))</f>
      </c>
      <c r="AR65" s="18">
        <f>IF(NOT(ISNUMBER(KOL_Source_Data!$BQ$17)),"N/A",MAX(0,ROUND(100-KOL_Source_Data!$BQ$17/Lookup_Lists!$D$328*100,0)))</f>
      </c>
      <c r="AS65" s="18">
        <f>IF(NOT(AND(ISTEXT(KOL_Source_Data!$BV$17),KOL_Source_Data!$BV$17&lt;&gt;"N/A")),"N/A",KOL_Source_Data!$BV$17)</f>
      </c>
      <c r="AT65" s="29">
        <f>IF((IF(ISNUMBER(Matching_Engine!$AO$65),Lookup_Lists!$D$322,0)+IF(ISNUMBER(Matching_Engine!$AP$65),Lookup_Lists!$D$323,0)+IF(ISNUMBER(Matching_Engine!$AQ$65),Lookup_Lists!$D$324,0)+IF(ISNUMBER(Matching_Engine!$AR$65),Lookup_Lists!$D$325,0))=0,"N/A",ROUND((IF(ISNUMBER(Matching_Engine!$AO$65),Matching_Engine!$AO$65*Lookup_Lists!$D$322,0)+IF(ISNUMBER(Matching_Engine!$AP$65),Matching_Engine!$AP$65*Lookup_Lists!$D$323,0)+IF(ISNUMBER(Matching_Engine!$AQ$65),Matching_Engine!$AQ$65*Lookup_Lists!$D$324,0)+IF(ISNUMBER(Matching_Engine!$AR$65),Matching_Engine!$AR$65*Lookup_Lists!$D$325,0))/(IF(ISNUMBER(Matching_Engine!$AO$65),Lookup_Lists!$D$322,0)+IF(ISNUMBER(Matching_Engine!$AP$65),Lookup_Lists!$D$323,0)+IF(ISNUMBER(Matching_Engine!$AQ$65),Lookup_Lists!$D$324,0)+IF(ISNUMBER(Matching_Engine!$AR$65),Lookup_Lists!$D$325,0)),0))</f>
      </c>
      <c r="AU65" s="11">
        <f>IF(ISNUMBER(Matching_Engine!$AT$65),1,0)</f>
      </c>
      <c r="AV65" s="11">
        <f>IF(NOT(ISNUMBER(Matching_Engine!$AT$65)),"Not Screened",IF(Matching_Engine!$AT$65&gt;=Lookup_Lists!$D$329,"Low Risk",IF(Matching_Engine!$AT$65&gt;=Lookup_Lists!$D$330,"Moderate Risk",IF(Matching_Engine!$AT$65&gt;=Lookup_Lists!$D$331,"Elevated Risk","High Risk"))))</f>
      </c>
      <c r="AW65" s="11">
        <f>IF(NOT(ISNUMBER(Matching_Engine!$AT$65)),"No integrity signal: no audience-analysis row for this account.","Integrity screen only — no content-risk reading exists (comments_analysis: 0 rows). "&amp;IF(ISNUMBER(Matching_Engine!$AO$65),"Authenticity "&amp;Matching_Engine!$AO$65&amp;". ","Authenticity N/A. ")&amp;IF(ISNUMBER(Matching_Engine!$AP$65),"Follower quality "&amp;Matching_Engine!$AP$65&amp;". ","Follower quality N/A. ")&amp;IF(KOL_Source_Data!$I$17="Yes","Platform-verified.","Not platform-verified."))</f>
      </c>
      <c r="AX65" s="18">
        <f>Matching_Engine!$N$65*Lookup_Lists!$D$104+Matching_Engine!$T$65*Lookup_Lists!$D$105+Matching_Engine!$Z$65*Lookup_Lists!$D$106+Matching_Engine!$AF$65*Lookup_Lists!$D$107+Matching_Engine!$AN$65*Lookup_Lists!$D$108+Matching_Engine!$AU$65*Lookup_Lists!$D$109</f>
      </c>
      <c r="AY65" s="30">
        <f>IF(Matching_Engine!$AX$65=0,"N/A",ROUND((IF(Matching_Engine!$N$65=1,Matching_Engine!$M$65*Lookup_Lists!$D$104,0)+IF(Matching_Engine!$T$65=1,Matching_Engine!$S$65*Lookup_Lists!$D$105,0)+IF(Matching_Engine!$Z$65=1,Matching_Engine!$Y$65*Lookup_Lists!$D$106,0)+IF(Matching_Engine!$AF$65=1,Matching_Engine!$AE$65*Lookup_Lists!$D$107,0)+IF(Matching_Engine!$AN$65=1,Matching_Engine!$AM$65*Lookup_Lists!$D$108,0)+IF(Matching_Engine!$AU$65=1,Matching_Engine!$AT$65*Lookup_Lists!$D$109,0))/Matching_Engine!$AX$65,0))</f>
      </c>
      <c r="AZ65" s="11">
        <f>IF(NOT(ISNUMBER(Matching_Engine!$AY$65)),"Not Scored",IF(Matching_Engine!$AY$65&gt;=Lookup_Lists!$D$152,"Excellent Match",IF(Matching_Engine!$AY$65&gt;=Lookup_Lists!$D$153,"Strong Match",IF(Matching_Engine!$AY$65&gt;=Lookup_Lists!$D$154,"Good Match",IF(Matching_Engine!$AY$65&gt;=Lookup_Lists!$D$155,"Moderate Match","Low Match")))))</f>
      </c>
      <c r="BA65" s="18">
        <f>KOL_Source_Data!$BW$17</f>
      </c>
      <c r="BB65" s="11">
        <f>KOL_Source_Data!$BX$17</f>
      </c>
      <c r="BC65" s="18">
        <f>IF(NOT(ISNUMBER(Matching_Engine!$AY$65)),-1,Matching_Engine!$AY$65*1000+13)</f>
      </c>
      <c r="BD65" s="11">
        <f>IF(AND(ISTEXT(KOL_Source_Data!$S$17),KOL_Source_Data!$S$17&lt;&gt;"N/A"),KOL_Source_Data!$S$17,"")&amp;" | "&amp;IF(AND(ISTEXT(KOL_Source_Data!$T$17),KOL_Source_Data!$T$17&lt;&gt;"N/A"),KOL_Source_Data!$T$17,"")&amp;" | "&amp;IF(AND(ISTEXT(KOL_Source_Data!$N$17),KOL_Source_Data!$N$17&lt;&gt;"N/A"),KOL_Source_Data!$N$17,"")&amp;" | "&amp;IF(AND(ISTEXT(KOL_Source_Data!$K$17),KOL_Source_Data!$K$17&lt;&gt;"N/A"),KOL_Source_Data!$K$17,"")&amp;" | "&amp;IF(AND(ISTEXT(KOL_Source_Data!$J$17),KOL_Source_Data!$J$17&lt;&gt;"N/A"),KOL_Source_Data!$J$17,"")</f>
      </c>
      <c r="BE65" s="11">
        <f>IF(AND(ISTEXT(KOL_Source_Data!$T$17),KOL_Source_Data!$T$17&lt;&gt;"N/A"),KOL_Source_Data!$T$17,"")&amp;" | "&amp;IF(AND(ISTEXT(KOL_Source_Data!$N$17),KOL_Source_Data!$N$17&lt;&gt;"N/A"),KOL_Source_Data!$N$17,"")&amp;" | "&amp;IF(AND(ISTEXT(KOL_Source_Data!$O$17),KOL_Source_Data!$O$17&lt;&gt;"N/A"),KOL_Source_Data!$O$17,"")&amp;" | "&amp;IF(AND(ISTEXT(KOL_Source_Data!$S$17),KOL_Source_Data!$S$17&lt;&gt;"N/A"),KOL_Source_Data!$S$17,"")</f>
      </c>
      <c r="BF65" s="11">
        <f>IF(AND(ISTEXT(KOL_Source_Data!$U$17),KOL_Source_Data!$U$17&lt;&gt;"N/A"),KOL_Source_Data!$U$17,"")</f>
      </c>
      <c r="BG65" s="11">
        <f>Matching_Engine!$A$65&amp;"|"&amp;Matching_Engine!$C$65</f>
      </c>
    </row>
    <row r="66" spans="1:59" x14ac:dyDescent="0.25">
      <c r="A66" s="10" t="s">
        <v>392</v>
      </c>
      <c r="B66" s="11">
        <f>Brand_Profile!$G$6</f>
      </c>
      <c r="C66" s="11">
        <f>KOL_Source_Data!$A$18</f>
      </c>
      <c r="D66" s="11">
        <f>KOL_Source_Data!$C$18</f>
      </c>
      <c r="E66" s="11">
        <f>KOL_Source_Data!$D$18</f>
      </c>
      <c r="F66" s="11">
        <f>KOL_Source_Data!$E$18</f>
      </c>
      <c r="G66" s="11">
        <f>KOL_Source_Data!$K$18</f>
      </c>
      <c r="H66" s="12">
        <f>KOL_Source_Data!$G$18</f>
      </c>
      <c r="I66" s="14">
        <f>KOL_Source_Data!$BG$18</f>
      </c>
      <c r="J66" s="18">
        <f>IF(NOT(AND(ISTEXT(KOL_Source_Data!$K$18),KOL_Source_Data!$K$18&lt;&gt;"N/A")),Lookup_Lists!$D$150,IF(Brand_Profile!$G$7=KOL_Source_Data!$K$18,100,IFERROR(INDEX(Lookup_Lists!$B$349:$J$357,MATCH(Brand_Profile!$G$7,Lookup_Lists!$A$349:$A$357,0),MATCH(KOL_Source_Data!$K$18,Lookup_Lists!$B$348:$J$348,0)),Lookup_Lists!$D$151)))</f>
      </c>
      <c r="K66" s="18">
        <f>IF(LEN(TRIM(SUBSTITUTE(Matching_Engine!$BD$66,"|","")))=0,"N/A",IF(Brand_Profile!$G$47=0,Lookup_Lists!$D$150,ROUND((IF(Brand_Profile!$G$41="",0,IF(ISNUMBER(SEARCH(Brand_Profile!$G$41,Matching_Engine!$BD$66)),1,0))+IF(Brand_Profile!$G$42="",0,IF(ISNUMBER(SEARCH(Brand_Profile!$G$42,Matching_Engine!$BD$66)),1,0))+IF(Brand_Profile!$G$43="",0,IF(ISNUMBER(SEARCH(Brand_Profile!$G$43,Matching_Engine!$BD$66)),1,0))+IF(Brand_Profile!$G$44="",0,IF(ISNUMBER(SEARCH(Brand_Profile!$G$44,Matching_Engine!$BD$66)),1,0))+IF(Brand_Profile!$G$45="",0,IF(ISNUMBER(SEARCH(Brand_Profile!$G$45,Matching_Engine!$BD$66)),1,0))+IF(Brand_Profile!$G$46="",0,IF(ISNUMBER(SEARCH(Brand_Profile!$G$46,Matching_Engine!$BD$66)),1,0)))/Brand_Profile!$G$47*100,0)))</f>
      </c>
      <c r="L66" s="18">
        <f>IF(NOT(AND(ISTEXT(KOL_Source_Data!$U$18),KOL_Source_Data!$U$18&lt;&gt;"N/A")),"N/A",IF(Brand_Profile!$G$53=0,Lookup_Lists!$D$150,ROUND((IF(Brand_Profile!$G$48="",0,IF(ISNUMBER(SEARCH(Brand_Profile!$G$48,Matching_Engine!$BF$66)),1,0))+IF(Brand_Profile!$G$49="",0,IF(ISNUMBER(SEARCH(Brand_Profile!$G$49,Matching_Engine!$BF$66)),1,0))+IF(Brand_Profile!$G$50="",0,IF(ISNUMBER(SEARCH(Brand_Profile!$G$50,Matching_Engine!$BF$66)),1,0))+IF(Brand_Profile!$G$51="",0,IF(ISNUMBER(SEARCH(Brand_Profile!$G$51,Matching_Engine!$BF$66)),1,0))+IF(Brand_Profile!$G$52="",0,IF(ISNUMBER(SEARCH(Brand_Profile!$G$52,Matching_Engine!$BF$66)),1,0)))/Brand_Profile!$G$53*100,0)))</f>
      </c>
      <c r="M66" s="29">
        <f>IF((IF(ISNUMBER(Matching_Engine!$J$66),Lookup_Lists!$D$332,0)+IF(ISNUMBER(Matching_Engine!$K$66),Lookup_Lists!$D$333,0)+IF(ISNUMBER(Matching_Engine!$L$66),Lookup_Lists!$D$334,0))=0,"N/A",ROUND((IF(ISNUMBER(Matching_Engine!$J$66),Matching_Engine!$J$66*Lookup_Lists!$D$332,0)+IF(ISNUMBER(Matching_Engine!$K$66),Matching_Engine!$K$66*Lookup_Lists!$D$333,0)+IF(ISNUMBER(Matching_Engine!$L$66),Matching_Engine!$L$66*Lookup_Lists!$D$334,0))/(IF(ISNUMBER(Matching_Engine!$J$66),Lookup_Lists!$D$332,0)+IF(ISNUMBER(Matching_Engine!$K$66),Lookup_Lists!$D$333,0)+IF(ISNUMBER(Matching_Engine!$L$66),Lookup_Lists!$D$334,0)),0))</f>
      </c>
      <c r="N66" s="11">
        <f>IF(ISNUMBER(Matching_Engine!$M$66),1,0)</f>
      </c>
      <c r="O66" s="18">
        <f>IF(NOT(ISNUMBER(IFERROR(INDEX(KOL_Source_Data!$V$18:KOL_Source_Data!$Z$18,1,MATCH(Brand_Profile!$G$11,Lookup_Lists!$F$6:$F$10,0)),""))),"N/A",MIN(100,ROUND((IFERROR(INDEX(KOL_Source_Data!$V$18:KOL_Source_Data!$Z$18,1,MATCH(Brand_Profile!$G$11,Lookup_Lists!$F$6:$F$10,0)),"")+0.5*IF(ISNUMBER(IFERROR(INDEX(KOL_Source_Data!$V$18:KOL_Source_Data!$Z$18,1,MATCH(Brand_Profile!$G$12,Lookup_Lists!$F$6:$F$10,0)),"")),IFERROR(INDEX(KOL_Source_Data!$V$18:KOL_Source_Data!$Z$18,1,MATCH(Brand_Profile!$G$12,Lookup_Lists!$F$6:$F$10,0)),""),0))/Lookup_Lists!$D$142*100,0)))</f>
      </c>
      <c r="P66" s="18">
        <f>IF(Brand_Profile!$G$13="Any",100,IF(NOT(ISNUMBER(KOL_Source_Data!$AA$18)),"N/A",IF(Brand_Profile!$G$13="Female",MIN(100,ROUND(KOL_Source_Data!$AA$18/Lookup_Lists!$D$143*100,0)),IF(Brand_Profile!$G$13="Male",MIN(100,ROUND(IF(ISNUMBER(KOL_Source_Data!$AB$18),KOL_Source_Data!$AB$18,100-KOL_Source_Data!$AA$18)/Lookup_Lists!$D$143*100,0)),MAX(0,ROUND(100-ABS(KOL_Source_Data!$AA$18-50)*2,0))))))</f>
      </c>
      <c r="Q66" s="18">
        <f>IF((IF(ISNUMBER(IF(NOT(ISNUMBER(KOL_Source_Data!$AE$18)),"N/A",IF(KOL_Source_Data!$AD$18&lt;&gt;Brand_Profile!$G$14,Lookup_Lists!$D$151,MIN(100,ROUND(KOL_Source_Data!$AE$18/Lookup_Lists!$D$316*100,0))))),Lookup_Lists!$D$118,0)+IF(ISNUMBER(IF(NOT(ISNUMBER(KOL_Source_Data!$AM$18)),"N/A",MIN(100,ROUND((IF(KOL_Source_Data!$AG$18=Brand_Profile!$G$15,IF(ISNUMBER(KOL_Source_Data!$AH$18),KOL_Source_Data!$AH$18,0),0)+IF(KOL_Source_Data!$AI$18=Brand_Profile!$G$15,IF(ISNUMBER(KOL_Source_Data!$AJ$18),KOL_Source_Data!$AJ$18,0),0)+IF(KOL_Source_Data!$AK$18=Brand_Profile!$G$15,IF(ISNUMBER(KOL_Source_Data!$AL$18),KOL_Source_Data!$AL$18,0),0))/Lookup_Lists!$D$317*100,0)))),Lookup_Lists!$D$120,0))=0,"N/A",ROUND((IF(ISNUMBER(IF(NOT(ISNUMBER(KOL_Source_Data!$AE$18)),"N/A",IF(KOL_Source_Data!$AD$18&lt;&gt;Brand_Profile!$G$14,Lookup_Lists!$D$151,MIN(100,ROUND(KOL_Source_Data!$AE$18/Lookup_Lists!$D$316*100,0))))),IF(NOT(ISNUMBER(KOL_Source_Data!$AE$18)),"N/A",IF(KOL_Source_Data!$AD$18&lt;&gt;Brand_Profile!$G$14,Lookup_Lists!$D$151,MIN(100,ROUND(KOL_Source_Data!$AE$18/Lookup_Lists!$D$316*100,0))))*Lookup_Lists!$D$118,0)+IF(ISNUMBER(IF(NOT(ISNUMBER(KOL_Source_Data!$AM$18)),"N/A",MIN(100,ROUND((IF(KOL_Source_Data!$AG$18=Brand_Profile!$G$15,IF(ISNUMBER(KOL_Source_Data!$AH$18),KOL_Source_Data!$AH$18,0),0)+IF(KOL_Source_Data!$AI$18=Brand_Profile!$G$15,IF(ISNUMBER(KOL_Source_Data!$AJ$18),KOL_Source_Data!$AJ$18,0),0)+IF(KOL_Source_Data!$AK$18=Brand_Profile!$G$15,IF(ISNUMBER(KOL_Source_Data!$AL$18),KOL_Source_Data!$AL$18,0),0))/Lookup_Lists!$D$317*100,0)))),IF(NOT(ISNUMBER(KOL_Source_Data!$AM$18)),"N/A",MIN(100,ROUND((IF(KOL_Source_Data!$AG$18=Brand_Profile!$G$15,IF(ISNUMBER(KOL_Source_Data!$AH$18),KOL_Source_Data!$AH$18,0),0)+IF(KOL_Source_Data!$AI$18=Brand_Profile!$G$15,IF(ISNUMBER(KOL_Source_Data!$AJ$18),KOL_Source_Data!$AJ$18,0),0)+IF(KOL_Source_Data!$AK$18=Brand_Profile!$G$15,IF(ISNUMBER(KOL_Source_Data!$AL$18),KOL_Source_Data!$AL$18,0),0))/Lookup_Lists!$D$317*100,0)))*Lookup_Lists!$D$120,0))/(IF(ISNUMBER(IF(NOT(ISNUMBER(KOL_Source_Data!$AE$18)),"N/A",IF(KOL_Source_Data!$AD$18&lt;&gt;Brand_Profile!$G$14,Lookup_Lists!$D$151,MIN(100,ROUND(KOL_Source_Data!$AE$18/Lookup_Lists!$D$316*100,0))))),Lookup_Lists!$D$118,0)+IF(ISNUMBER(IF(NOT(ISNUMBER(KOL_Source_Data!$AM$18)),"N/A",MIN(100,ROUND((IF(KOL_Source_Data!$AG$18=Brand_Profile!$G$15,IF(ISNUMBER(KOL_Source_Data!$AH$18),KOL_Source_Data!$AH$18,0),0)+IF(KOL_Source_Data!$AI$18=Brand_Profile!$G$15,IF(ISNUMBER(KOL_Source_Data!$AJ$18),KOL_Source_Data!$AJ$18,0),0)+IF(KOL_Source_Data!$AK$18=Brand_Profile!$G$15,IF(ISNUMBER(KOL_Source_Data!$AL$18),KOL_Source_Data!$AL$18,0),0))/Lookup_Lists!$D$317*100,0)))),Lookup_Lists!$D$120,0)),0))</f>
      </c>
      <c r="R66" s="18">
        <f>IF(NOT(ISNUMBER(KOL_Source_Data!$AN$18)),"N/A",MIN(100,ROUND((IF(ISNUMBER(KOL_Source_Data!$AO$18),KOL_Source_Data!$AO$18*Brand_Profile!$G$17,0)+IF(ISNUMBER(KOL_Source_Data!$AP$18),KOL_Source_Data!$AP$18*Brand_Profile!$G$18,0)+IF(ISNUMBER(KOL_Source_Data!$AQ$18),KOL_Source_Data!$AQ$18*Brand_Profile!$G$19,0)+IF(ISNUMBER(KOL_Source_Data!$AR$18),KOL_Source_Data!$AR$18*Brand_Profile!$G$20,0)+IF(ISNUMBER(KOL_Source_Data!$AS$18),KOL_Source_Data!$AS$18*Brand_Profile!$G$21,0)+IF(ISNUMBER(KOL_Source_Data!$AT$18),KOL_Source_Data!$AT$18*Brand_Profile!$G$22,0)+IF(ISNUMBER(KOL_Source_Data!$AU$18),KOL_Source_Data!$AU$18*Brand_Profile!$G$23,0)+IF(ISNUMBER(KOL_Source_Data!$AV$18),KOL_Source_Data!$AV$18*Brand_Profile!$G$24,0)+IF(ISNUMBER(KOL_Source_Data!$AW$18),KOL_Source_Data!$AW$18*Brand_Profile!$G$25,0)+IF(ISNUMBER(KOL_Source_Data!$AX$18),KOL_Source_Data!$AX$18*Brand_Profile!$G$26,0)+IF(ISNUMBER(KOL_Source_Data!$AY$18),KOL_Source_Data!$AY$18*Brand_Profile!$G$27,0)+IF(ISNUMBER(KOL_Source_Data!$AZ$18),KOL_Source_Data!$AZ$18*Brand_Profile!$G$28,0)+IF(ISNUMBER(KOL_Source_Data!$BA$18),KOL_Source_Data!$BA$18*Brand_Profile!$G$29,0)+IF(ISNUMBER(KOL_Source_Data!$BB$18),KOL_Source_Data!$BB$18*Brand_Profile!$G$30,0)+IF(ISNUMBER(KOL_Source_Data!$BC$18),KOL_Source_Data!$BC$18*Brand_Profile!$G$31,0)+IF(ISNUMBER(KOL_Source_Data!$BD$18),KOL_Source_Data!$BD$18*Brand_Profile!$G$32,0)+IF(ISNUMBER(KOL_Source_Data!$BE$18),KOL_Source_Data!$BE$18*Brand_Profile!$G$33,0)+IF(ISNUMBER(KOL_Source_Data!$BF$18),KOL_Source_Data!$BF$18*Brand_Profile!$G$34,0))/Lookup_Lists!$D$318*100,0)))</f>
      </c>
      <c r="S66" s="29">
        <f>IF((IF(ISNUMBER(Matching_Engine!$O$66),Lookup_Lists!$D$113,0)+IF(ISNUMBER(Matching_Engine!$P$66),Lookup_Lists!$D$114,0)+IF(ISNUMBER(Matching_Engine!$Q$66),Lookup_Lists!$D$115,0)+IF(ISNUMBER(Matching_Engine!$R$66),Lookup_Lists!$D$116,0))=0,"N/A",ROUND((IF(ISNUMBER(Matching_Engine!$O$66),Matching_Engine!$O$66*Lookup_Lists!$D$113,0)+IF(ISNUMBER(Matching_Engine!$P$66),Matching_Engine!$P$66*Lookup_Lists!$D$114,0)+IF(ISNUMBER(Matching_Engine!$Q$66),Matching_Engine!$Q$66*Lookup_Lists!$D$115,0)+IF(ISNUMBER(Matching_Engine!$R$66),Matching_Engine!$R$66*Lookup_Lists!$D$116,0))/(IF(ISNUMBER(Matching_Engine!$O$66),Lookup_Lists!$D$113,0)+IF(ISNUMBER(Matching_Engine!$P$66),Lookup_Lists!$D$114,0)+IF(ISNUMBER(Matching_Engine!$Q$66),Lookup_Lists!$D$115,0)+IF(ISNUMBER(Matching_Engine!$R$66),Lookup_Lists!$D$116,0)),0))</f>
      </c>
      <c r="T66" s="11">
        <f>IF(ISNUMBER(Matching_Engine!$S$66),1,0)</f>
      </c>
      <c r="U66" s="18">
        <f>IF(NOT(AND(ISTEXT(KOL_Source_Data!$M$18),KOL_Source_Data!$M$18&lt;&gt;"N/A")),Lookup_Lists!$D$150,IF(Brand_Profile!$G$7=KOL_Source_Data!$M$18,100,IFERROR(INDEX(Lookup_Lists!$B$349:$J$357,MATCH(Brand_Profile!$G$7,Lookup_Lists!$A$349:$A$357,0),MATCH(KOL_Source_Data!$M$18,Lookup_Lists!$B$348:$J$348,0)),Lookup_Lists!$D$151)))</f>
      </c>
      <c r="V66" s="18">
        <f>IF(NOT(AND(ISTEXT(KOL_Source_Data!$P$18),KOL_Source_Data!$P$18&lt;&gt;"N/A")),"N/A",IFERROR(INDEX(Lookup_Lists!$B$349:$J$357,MATCH(Brand_Profile!$G$7,Lookup_Lists!$A$349:$A$357,0),MATCH(KOL_Source_Data!$P$18,Lookup_Lists!$B$348:$J$348,0)),Lookup_Lists!$D$151))</f>
      </c>
      <c r="W66" s="18">
        <f>IF(LEN(TRIM(SUBSTITUTE(Matching_Engine!$BE$66,"|","")))=0,"N/A",IF(Brand_Profile!$G$60=0,Lookup_Lists!$D$150,ROUND((IF(Brand_Profile!$G$54="",0,IF(ISNUMBER(SEARCH(Brand_Profile!$G$54,Matching_Engine!$BE$66)),1,0))+IF(Brand_Profile!$G$55="",0,IF(ISNUMBER(SEARCH(Brand_Profile!$G$55,Matching_Engine!$BE$66)),1,0))+IF(Brand_Profile!$G$56="",0,IF(ISNUMBER(SEARCH(Brand_Profile!$G$56,Matching_Engine!$BE$66)),1,0))+IF(Brand_Profile!$G$57="",0,IF(ISNUMBER(SEARCH(Brand_Profile!$G$57,Matching_Engine!$BE$66)),1,0))+IF(Brand_Profile!$G$58="",0,IF(ISNUMBER(SEARCH(Brand_Profile!$G$58,Matching_Engine!$BE$66)),1,0))+IF(Brand_Profile!$G$59="",0,IF(ISNUMBER(SEARCH(Brand_Profile!$G$59,Matching_Engine!$BE$66)),1,0)))/Brand_Profile!$G$60*100,0)))</f>
      </c>
      <c r="X66" s="18">
        <f>IF(NOT(AND(ISTEXT(KOL_Source_Data!$Q$18),KOL_Source_Data!$Q$18&lt;&gt;"N/A")),"N/A",Lookup_Lists!$D$150)</f>
      </c>
      <c r="Y66" s="29">
        <f>IF((IF(ISNUMBER(Matching_Engine!$U$66),Lookup_Lists!$D$335,0)+IF(ISNUMBER(Matching_Engine!$V$66),Lookup_Lists!$D$122,0)+IF(ISNUMBER(Matching_Engine!$W$66),Lookup_Lists!$D$336,0)+IF(ISNUMBER(Matching_Engine!$X$66),Lookup_Lists!$D$124,0))=0,"N/A",ROUND((IF(ISNUMBER(Matching_Engine!$U$66),Matching_Engine!$U$66*Lookup_Lists!$D$335,0)+IF(ISNUMBER(Matching_Engine!$V$66),Matching_Engine!$V$66*Lookup_Lists!$D$122,0)+IF(ISNUMBER(Matching_Engine!$W$66),Matching_Engine!$W$66*Lookup_Lists!$D$336,0)+IF(ISNUMBER(Matching_Engine!$X$66),Matching_Engine!$X$66*Lookup_Lists!$D$124,0))/(IF(ISNUMBER(Matching_Engine!$U$66),Lookup_Lists!$D$335,0)+IF(ISNUMBER(Matching_Engine!$V$66),Lookup_Lists!$D$122,0)+IF(ISNUMBER(Matching_Engine!$W$66),Lookup_Lists!$D$336,0)+IF(ISNUMBER(Matching_Engine!$X$66),Lookup_Lists!$D$124,0)),0))</f>
      </c>
      <c r="Z66" s="11">
        <f>IF(ISNUMBER(Matching_Engine!$Y$66),1,0)</f>
      </c>
      <c r="AA66" s="18">
        <f>IF(NOT(AND(ISTEXT(KOL_Source_Data!$Q$18),KOL_Source_Data!$Q$18&lt;&gt;"N/A")),"N/A",Lookup_Lists!$D$150)</f>
      </c>
      <c r="AB66" s="18">
        <f>IF(NOT(AND(ISTEXT(KOL_Source_Data!$Q$18),KOL_Source_Data!$Q$18&lt;&gt;"N/A")),"N/A",Lookup_Lists!$D$150)</f>
      </c>
      <c r="AC66" s="18">
        <f>"N/A"</f>
      </c>
      <c r="AD66" s="18">
        <f>IF(NOT(AND(ISTEXT(KOL_Source_Data!$Q$18),KOL_Source_Data!$Q$18&lt;&gt;"N/A")),"N/A",Lookup_Lists!$D$150)</f>
      </c>
      <c r="AE66" s="29">
        <f>IF((IF(ISNUMBER(Matching_Engine!$AA$66),Lookup_Lists!$D$125,0)+IF(ISNUMBER(Matching_Engine!$AB$66),Lookup_Lists!$D$126,0)+IF(ISNUMBER(Matching_Engine!$AC$66),Lookup_Lists!$D$127,0)+IF(ISNUMBER(Matching_Engine!$AD$66),Lookup_Lists!$D$128,0))=0,"N/A",ROUND((IF(ISNUMBER(Matching_Engine!$AA$66),Matching_Engine!$AA$66*Lookup_Lists!$D$125,0)+IF(ISNUMBER(Matching_Engine!$AB$66),Matching_Engine!$AB$66*Lookup_Lists!$D$126,0)+IF(ISNUMBER(Matching_Engine!$AC$66),Matching_Engine!$AC$66*Lookup_Lists!$D$127,0)+IF(ISNUMBER(Matching_Engine!$AD$66),Matching_Engine!$AD$66*Lookup_Lists!$D$128,0))/(IF(ISNUMBER(Matching_Engine!$AA$66),Lookup_Lists!$D$125,0)+IF(ISNUMBER(Matching_Engine!$AB$66),Lookup_Lists!$D$126,0)+IF(ISNUMBER(Matching_Engine!$AC$66),Lookup_Lists!$D$127,0)+IF(ISNUMBER(Matching_Engine!$AD$66),Lookup_Lists!$D$128,0)),0))</f>
      </c>
      <c r="AF66" s="11">
        <f>IF(ISNUMBER(Matching_Engine!$AE$66),1,0)</f>
      </c>
      <c r="AG66" s="18">
        <f>IF(NOT(ISNUMBER(KOL_Source_Data!$BG$18)),"N/A",MIN(100,ROUND(KOL_Source_Data!$BG$18/IFERROR(INDEX(Lookup_Lists!$B$340:$B$344,MATCH(KOL_Source_Data!$H$18,Lookup_Lists!$A$340:$A$344,0)),Lookup_Lists!$D$141)*100,0)))</f>
      </c>
      <c r="AH66" s="18">
        <f>IF(NOT(ISNUMBER(KOL_Source_Data!$BS$18)),"N/A",MIN(100,MAX(0,KOL_Source_Data!$BS$18)))</f>
      </c>
      <c r="AI66" s="18">
        <f>IF(OR(NOT(ISNUMBER(KOL_Source_Data!$BM$18)),NOT(ISNUMBER(KOL_Source_Data!$BN$18)),KOL_Source_Data!$BN$18&lt;Lookup_Lists!$D$320),"N/A",MIN(100,ROUND(KOL_Source_Data!$BM$18/Lookup_Lists!$D$319*100,0)))</f>
      </c>
      <c r="AJ66" s="18">
        <f>IF(NOT(ISNUMBER(KOL_Source_Data!$BR$18)),"N/A",KOL_Source_Data!$BR$18)</f>
      </c>
      <c r="AK66" s="18">
        <f>IF(NOT(ISNUMBER(KOL_Source_Data!$BK$18)),"N/A",MIN(100,ROUND(KOL_Source_Data!$BK$18/Lookup_Lists!$D$321*100,0)))</f>
      </c>
      <c r="AL66" s="18">
        <f>IF(NOT(ISNUMBER(KOL_Source_Data!$BP$18)),"N/A",MIN(100,MAX(0,ROUND((KOL_Source_Data!$BP$18+2)/(Lookup_Lists!$D$145+2)*100,0))))</f>
      </c>
      <c r="AM66" s="29">
        <f>IF((IF(ISNUMBER(Matching_Engine!$AG$66),Lookup_Lists!$D$129,0)+IF(ISNUMBER(Matching_Engine!$AH$66),Lookup_Lists!$D$130,0)+IF(ISNUMBER(Matching_Engine!$AI$66),Lookup_Lists!$D$131,0)+IF(ISNUMBER(Matching_Engine!$AJ$66),Lookup_Lists!$D$132,0)+IF(ISNUMBER(Matching_Engine!$AK$66),Lookup_Lists!$D$133,0)+IF(ISNUMBER(Matching_Engine!$AL$66),Lookup_Lists!$D$134,0))=0,"N/A",ROUND((IF(ISNUMBER(Matching_Engine!$AG$66),Matching_Engine!$AG$66*Lookup_Lists!$D$129,0)+IF(ISNUMBER(Matching_Engine!$AH$66),Matching_Engine!$AH$66*Lookup_Lists!$D$130,0)+IF(ISNUMBER(Matching_Engine!$AI$66),Matching_Engine!$AI$66*Lookup_Lists!$D$131,0)+IF(ISNUMBER(Matching_Engine!$AJ$66),Matching_Engine!$AJ$66*Lookup_Lists!$D$132,0)+IF(ISNUMBER(Matching_Engine!$AK$66),Matching_Engine!$AK$66*Lookup_Lists!$D$133,0)+IF(ISNUMBER(Matching_Engine!$AL$66),Matching_Engine!$AL$66*Lookup_Lists!$D$134,0))/(IF(ISNUMBER(Matching_Engine!$AG$66),Lookup_Lists!$D$129,0)+IF(ISNUMBER(Matching_Engine!$AH$66),Lookup_Lists!$D$130,0)+IF(ISNUMBER(Matching_Engine!$AI$66),Lookup_Lists!$D$131,0)+IF(ISNUMBER(Matching_Engine!$AJ$66),Lookup_Lists!$D$132,0)+IF(ISNUMBER(Matching_Engine!$AK$66),Lookup_Lists!$D$133,0)+IF(ISNUMBER(Matching_Engine!$AL$66),Lookup_Lists!$D$134,0)),0))</f>
      </c>
      <c r="AN66" s="11">
        <f>IF(ISNUMBER(Matching_Engine!$AM$66),1,0)</f>
      </c>
      <c r="AO66" s="18">
        <f>IF(NOT(ISNUMBER(KOL_Source_Data!$BT$18)),"N/A",MIN(100,MAX(0,KOL_Source_Data!$BT$18)))</f>
      </c>
      <c r="AP66" s="18">
        <f>IF(NOT(ISNUMBER(KOL_Source_Data!$BU$18)),"N/A",MIN(100,MAX(0,KOL_Source_Data!$BU$18)))</f>
      </c>
      <c r="AQ66" s="18">
        <f>IF(KOL_Source_Data!$I$18="Yes",Lookup_Lists!$D$326,IF(KOL_Source_Data!$I$18="No",Lookup_Lists!$D$327,"N/A"))</f>
      </c>
      <c r="AR66" s="18">
        <f>IF(NOT(ISNUMBER(KOL_Source_Data!$BQ$18)),"N/A",MAX(0,ROUND(100-KOL_Source_Data!$BQ$18/Lookup_Lists!$D$328*100,0)))</f>
      </c>
      <c r="AS66" s="18">
        <f>IF(NOT(AND(ISTEXT(KOL_Source_Data!$BV$18),KOL_Source_Data!$BV$18&lt;&gt;"N/A")),"N/A",KOL_Source_Data!$BV$18)</f>
      </c>
      <c r="AT66" s="29">
        <f>IF((IF(ISNUMBER(Matching_Engine!$AO$66),Lookup_Lists!$D$322,0)+IF(ISNUMBER(Matching_Engine!$AP$66),Lookup_Lists!$D$323,0)+IF(ISNUMBER(Matching_Engine!$AQ$66),Lookup_Lists!$D$324,0)+IF(ISNUMBER(Matching_Engine!$AR$66),Lookup_Lists!$D$325,0))=0,"N/A",ROUND((IF(ISNUMBER(Matching_Engine!$AO$66),Matching_Engine!$AO$66*Lookup_Lists!$D$322,0)+IF(ISNUMBER(Matching_Engine!$AP$66),Matching_Engine!$AP$66*Lookup_Lists!$D$323,0)+IF(ISNUMBER(Matching_Engine!$AQ$66),Matching_Engine!$AQ$66*Lookup_Lists!$D$324,0)+IF(ISNUMBER(Matching_Engine!$AR$66),Matching_Engine!$AR$66*Lookup_Lists!$D$325,0))/(IF(ISNUMBER(Matching_Engine!$AO$66),Lookup_Lists!$D$322,0)+IF(ISNUMBER(Matching_Engine!$AP$66),Lookup_Lists!$D$323,0)+IF(ISNUMBER(Matching_Engine!$AQ$66),Lookup_Lists!$D$324,0)+IF(ISNUMBER(Matching_Engine!$AR$66),Lookup_Lists!$D$325,0)),0))</f>
      </c>
      <c r="AU66" s="11">
        <f>IF(ISNUMBER(Matching_Engine!$AT$66),1,0)</f>
      </c>
      <c r="AV66" s="11">
        <f>IF(NOT(ISNUMBER(Matching_Engine!$AT$66)),"Not Screened",IF(Matching_Engine!$AT$66&gt;=Lookup_Lists!$D$329,"Low Risk",IF(Matching_Engine!$AT$66&gt;=Lookup_Lists!$D$330,"Moderate Risk",IF(Matching_Engine!$AT$66&gt;=Lookup_Lists!$D$331,"Elevated Risk","High Risk"))))</f>
      </c>
      <c r="AW66" s="11">
        <f>IF(NOT(ISNUMBER(Matching_Engine!$AT$66)),"No integrity signal: no audience-analysis row for this account.","Integrity screen only — no content-risk reading exists (comments_analysis: 0 rows). "&amp;IF(ISNUMBER(Matching_Engine!$AO$66),"Authenticity "&amp;Matching_Engine!$AO$66&amp;". ","Authenticity N/A. ")&amp;IF(ISNUMBER(Matching_Engine!$AP$66),"Follower quality "&amp;Matching_Engine!$AP$66&amp;". ","Follower quality N/A. ")&amp;IF(KOL_Source_Data!$I$18="Yes","Platform-verified.","Not platform-verified."))</f>
      </c>
      <c r="AX66" s="18">
        <f>Matching_Engine!$N$66*Lookup_Lists!$D$104+Matching_Engine!$T$66*Lookup_Lists!$D$105+Matching_Engine!$Z$66*Lookup_Lists!$D$106+Matching_Engine!$AF$66*Lookup_Lists!$D$107+Matching_Engine!$AN$66*Lookup_Lists!$D$108+Matching_Engine!$AU$66*Lookup_Lists!$D$109</f>
      </c>
      <c r="AY66" s="30">
        <f>IF(Matching_Engine!$AX$66=0,"N/A",ROUND((IF(Matching_Engine!$N$66=1,Matching_Engine!$M$66*Lookup_Lists!$D$104,0)+IF(Matching_Engine!$T$66=1,Matching_Engine!$S$66*Lookup_Lists!$D$105,0)+IF(Matching_Engine!$Z$66=1,Matching_Engine!$Y$66*Lookup_Lists!$D$106,0)+IF(Matching_Engine!$AF$66=1,Matching_Engine!$AE$66*Lookup_Lists!$D$107,0)+IF(Matching_Engine!$AN$66=1,Matching_Engine!$AM$66*Lookup_Lists!$D$108,0)+IF(Matching_Engine!$AU$66=1,Matching_Engine!$AT$66*Lookup_Lists!$D$109,0))/Matching_Engine!$AX$66,0))</f>
      </c>
      <c r="AZ66" s="11">
        <f>IF(NOT(ISNUMBER(Matching_Engine!$AY$66)),"Not Scored",IF(Matching_Engine!$AY$66&gt;=Lookup_Lists!$D$152,"Excellent Match",IF(Matching_Engine!$AY$66&gt;=Lookup_Lists!$D$153,"Strong Match",IF(Matching_Engine!$AY$66&gt;=Lookup_Lists!$D$154,"Good Match",IF(Matching_Engine!$AY$66&gt;=Lookup_Lists!$D$155,"Moderate Match","Low Match")))))</f>
      </c>
      <c r="BA66" s="18">
        <f>KOL_Source_Data!$BW$18</f>
      </c>
      <c r="BB66" s="11">
        <f>KOL_Source_Data!$BX$18</f>
      </c>
      <c r="BC66" s="18">
        <f>IF(NOT(ISNUMBER(Matching_Engine!$AY$66)),-1,Matching_Engine!$AY$66*1000+12)</f>
      </c>
      <c r="BD66" s="11">
        <f>IF(AND(ISTEXT(KOL_Source_Data!$S$18),KOL_Source_Data!$S$18&lt;&gt;"N/A"),KOL_Source_Data!$S$18,"")&amp;" | "&amp;IF(AND(ISTEXT(KOL_Source_Data!$T$18),KOL_Source_Data!$T$18&lt;&gt;"N/A"),KOL_Source_Data!$T$18,"")&amp;" | "&amp;IF(AND(ISTEXT(KOL_Source_Data!$N$18),KOL_Source_Data!$N$18&lt;&gt;"N/A"),KOL_Source_Data!$N$18,"")&amp;" | "&amp;IF(AND(ISTEXT(KOL_Source_Data!$K$18),KOL_Source_Data!$K$18&lt;&gt;"N/A"),KOL_Source_Data!$K$18,"")&amp;" | "&amp;IF(AND(ISTEXT(KOL_Source_Data!$J$18),KOL_Source_Data!$J$18&lt;&gt;"N/A"),KOL_Source_Data!$J$18,"")</f>
      </c>
      <c r="BE66" s="11">
        <f>IF(AND(ISTEXT(KOL_Source_Data!$T$18),KOL_Source_Data!$T$18&lt;&gt;"N/A"),KOL_Source_Data!$T$18,"")&amp;" | "&amp;IF(AND(ISTEXT(KOL_Source_Data!$N$18),KOL_Source_Data!$N$18&lt;&gt;"N/A"),KOL_Source_Data!$N$18,"")&amp;" | "&amp;IF(AND(ISTEXT(KOL_Source_Data!$O$18),KOL_Source_Data!$O$18&lt;&gt;"N/A"),KOL_Source_Data!$O$18,"")&amp;" | "&amp;IF(AND(ISTEXT(KOL_Source_Data!$S$18),KOL_Source_Data!$S$18&lt;&gt;"N/A"),KOL_Source_Data!$S$18,"")</f>
      </c>
      <c r="BF66" s="11">
        <f>IF(AND(ISTEXT(KOL_Source_Data!$U$18),KOL_Source_Data!$U$18&lt;&gt;"N/A"),KOL_Source_Data!$U$18,"")</f>
      </c>
      <c r="BG66" s="11">
        <f>Matching_Engine!$A$66&amp;"|"&amp;Matching_Engine!$C$66</f>
      </c>
    </row>
    <row r="67" spans="1:59" x14ac:dyDescent="0.25">
      <c r="A67" s="10" t="s">
        <v>392</v>
      </c>
      <c r="B67" s="11">
        <f>Brand_Profile!$G$6</f>
      </c>
      <c r="C67" s="11">
        <f>KOL_Source_Data!$A$19</f>
      </c>
      <c r="D67" s="11">
        <f>KOL_Source_Data!$C$19</f>
      </c>
      <c r="E67" s="11">
        <f>KOL_Source_Data!$D$19</f>
      </c>
      <c r="F67" s="11">
        <f>KOL_Source_Data!$E$19</f>
      </c>
      <c r="G67" s="11">
        <f>KOL_Source_Data!$K$19</f>
      </c>
      <c r="H67" s="12">
        <f>KOL_Source_Data!$G$19</f>
      </c>
      <c r="I67" s="14">
        <f>KOL_Source_Data!$BG$19</f>
      </c>
      <c r="J67" s="18">
        <f>IF(NOT(AND(ISTEXT(KOL_Source_Data!$K$19),KOL_Source_Data!$K$19&lt;&gt;"N/A")),Lookup_Lists!$D$150,IF(Brand_Profile!$G$7=KOL_Source_Data!$K$19,100,IFERROR(INDEX(Lookup_Lists!$B$349:$J$357,MATCH(Brand_Profile!$G$7,Lookup_Lists!$A$349:$A$357,0),MATCH(KOL_Source_Data!$K$19,Lookup_Lists!$B$348:$J$348,0)),Lookup_Lists!$D$151)))</f>
      </c>
      <c r="K67" s="18">
        <f>IF(LEN(TRIM(SUBSTITUTE(Matching_Engine!$BD$67,"|","")))=0,"N/A",IF(Brand_Profile!$G$47=0,Lookup_Lists!$D$150,ROUND((IF(Brand_Profile!$G$41="",0,IF(ISNUMBER(SEARCH(Brand_Profile!$G$41,Matching_Engine!$BD$67)),1,0))+IF(Brand_Profile!$G$42="",0,IF(ISNUMBER(SEARCH(Brand_Profile!$G$42,Matching_Engine!$BD$67)),1,0))+IF(Brand_Profile!$G$43="",0,IF(ISNUMBER(SEARCH(Brand_Profile!$G$43,Matching_Engine!$BD$67)),1,0))+IF(Brand_Profile!$G$44="",0,IF(ISNUMBER(SEARCH(Brand_Profile!$G$44,Matching_Engine!$BD$67)),1,0))+IF(Brand_Profile!$G$45="",0,IF(ISNUMBER(SEARCH(Brand_Profile!$G$45,Matching_Engine!$BD$67)),1,0))+IF(Brand_Profile!$G$46="",0,IF(ISNUMBER(SEARCH(Brand_Profile!$G$46,Matching_Engine!$BD$67)),1,0)))/Brand_Profile!$G$47*100,0)))</f>
      </c>
      <c r="L67" s="18">
        <f>IF(NOT(AND(ISTEXT(KOL_Source_Data!$U$19),KOL_Source_Data!$U$19&lt;&gt;"N/A")),"N/A",IF(Brand_Profile!$G$53=0,Lookup_Lists!$D$150,ROUND((IF(Brand_Profile!$G$48="",0,IF(ISNUMBER(SEARCH(Brand_Profile!$G$48,Matching_Engine!$BF$67)),1,0))+IF(Brand_Profile!$G$49="",0,IF(ISNUMBER(SEARCH(Brand_Profile!$G$49,Matching_Engine!$BF$67)),1,0))+IF(Brand_Profile!$G$50="",0,IF(ISNUMBER(SEARCH(Brand_Profile!$G$50,Matching_Engine!$BF$67)),1,0))+IF(Brand_Profile!$G$51="",0,IF(ISNUMBER(SEARCH(Brand_Profile!$G$51,Matching_Engine!$BF$67)),1,0))+IF(Brand_Profile!$G$52="",0,IF(ISNUMBER(SEARCH(Brand_Profile!$G$52,Matching_Engine!$BF$67)),1,0)))/Brand_Profile!$G$53*100,0)))</f>
      </c>
      <c r="M67" s="29">
        <f>IF((IF(ISNUMBER(Matching_Engine!$J$67),Lookup_Lists!$D$332,0)+IF(ISNUMBER(Matching_Engine!$K$67),Lookup_Lists!$D$333,0)+IF(ISNUMBER(Matching_Engine!$L$67),Lookup_Lists!$D$334,0))=0,"N/A",ROUND((IF(ISNUMBER(Matching_Engine!$J$67),Matching_Engine!$J$67*Lookup_Lists!$D$332,0)+IF(ISNUMBER(Matching_Engine!$K$67),Matching_Engine!$K$67*Lookup_Lists!$D$333,0)+IF(ISNUMBER(Matching_Engine!$L$67),Matching_Engine!$L$67*Lookup_Lists!$D$334,0))/(IF(ISNUMBER(Matching_Engine!$J$67),Lookup_Lists!$D$332,0)+IF(ISNUMBER(Matching_Engine!$K$67),Lookup_Lists!$D$333,0)+IF(ISNUMBER(Matching_Engine!$L$67),Lookup_Lists!$D$334,0)),0))</f>
      </c>
      <c r="N67" s="11">
        <f>IF(ISNUMBER(Matching_Engine!$M$67),1,0)</f>
      </c>
      <c r="O67" s="18">
        <f>IF(NOT(ISNUMBER(IFERROR(INDEX(KOL_Source_Data!$V$19:KOL_Source_Data!$Z$19,1,MATCH(Brand_Profile!$G$11,Lookup_Lists!$F$6:$F$10,0)),""))),"N/A",MIN(100,ROUND((IFERROR(INDEX(KOL_Source_Data!$V$19:KOL_Source_Data!$Z$19,1,MATCH(Brand_Profile!$G$11,Lookup_Lists!$F$6:$F$10,0)),"")+0.5*IF(ISNUMBER(IFERROR(INDEX(KOL_Source_Data!$V$19:KOL_Source_Data!$Z$19,1,MATCH(Brand_Profile!$G$12,Lookup_Lists!$F$6:$F$10,0)),"")),IFERROR(INDEX(KOL_Source_Data!$V$19:KOL_Source_Data!$Z$19,1,MATCH(Brand_Profile!$G$12,Lookup_Lists!$F$6:$F$10,0)),""),0))/Lookup_Lists!$D$142*100,0)))</f>
      </c>
      <c r="P67" s="18">
        <f>IF(Brand_Profile!$G$13="Any",100,IF(NOT(ISNUMBER(KOL_Source_Data!$AA$19)),"N/A",IF(Brand_Profile!$G$13="Female",MIN(100,ROUND(KOL_Source_Data!$AA$19/Lookup_Lists!$D$143*100,0)),IF(Brand_Profile!$G$13="Male",MIN(100,ROUND(IF(ISNUMBER(KOL_Source_Data!$AB$19),KOL_Source_Data!$AB$19,100-KOL_Source_Data!$AA$19)/Lookup_Lists!$D$143*100,0)),MAX(0,ROUND(100-ABS(KOL_Source_Data!$AA$19-50)*2,0))))))</f>
      </c>
      <c r="Q67" s="18">
        <f>IF((IF(ISNUMBER(IF(NOT(ISNUMBER(KOL_Source_Data!$AE$19)),"N/A",IF(KOL_Source_Data!$AD$19&lt;&gt;Brand_Profile!$G$14,Lookup_Lists!$D$151,MIN(100,ROUND(KOL_Source_Data!$AE$19/Lookup_Lists!$D$316*100,0))))),Lookup_Lists!$D$118,0)+IF(ISNUMBER(IF(NOT(ISNUMBER(KOL_Source_Data!$AM$19)),"N/A",MIN(100,ROUND((IF(KOL_Source_Data!$AG$19=Brand_Profile!$G$15,IF(ISNUMBER(KOL_Source_Data!$AH$19),KOL_Source_Data!$AH$19,0),0)+IF(KOL_Source_Data!$AI$19=Brand_Profile!$G$15,IF(ISNUMBER(KOL_Source_Data!$AJ$19),KOL_Source_Data!$AJ$19,0),0)+IF(KOL_Source_Data!$AK$19=Brand_Profile!$G$15,IF(ISNUMBER(KOL_Source_Data!$AL$19),KOL_Source_Data!$AL$19,0),0))/Lookup_Lists!$D$317*100,0)))),Lookup_Lists!$D$120,0))=0,"N/A",ROUND((IF(ISNUMBER(IF(NOT(ISNUMBER(KOL_Source_Data!$AE$19)),"N/A",IF(KOL_Source_Data!$AD$19&lt;&gt;Brand_Profile!$G$14,Lookup_Lists!$D$151,MIN(100,ROUND(KOL_Source_Data!$AE$19/Lookup_Lists!$D$316*100,0))))),IF(NOT(ISNUMBER(KOL_Source_Data!$AE$19)),"N/A",IF(KOL_Source_Data!$AD$19&lt;&gt;Brand_Profile!$G$14,Lookup_Lists!$D$151,MIN(100,ROUND(KOL_Source_Data!$AE$19/Lookup_Lists!$D$316*100,0))))*Lookup_Lists!$D$118,0)+IF(ISNUMBER(IF(NOT(ISNUMBER(KOL_Source_Data!$AM$19)),"N/A",MIN(100,ROUND((IF(KOL_Source_Data!$AG$19=Brand_Profile!$G$15,IF(ISNUMBER(KOL_Source_Data!$AH$19),KOL_Source_Data!$AH$19,0),0)+IF(KOL_Source_Data!$AI$19=Brand_Profile!$G$15,IF(ISNUMBER(KOL_Source_Data!$AJ$19),KOL_Source_Data!$AJ$19,0),0)+IF(KOL_Source_Data!$AK$19=Brand_Profile!$G$15,IF(ISNUMBER(KOL_Source_Data!$AL$19),KOL_Source_Data!$AL$19,0),0))/Lookup_Lists!$D$317*100,0)))),IF(NOT(ISNUMBER(KOL_Source_Data!$AM$19)),"N/A",MIN(100,ROUND((IF(KOL_Source_Data!$AG$19=Brand_Profile!$G$15,IF(ISNUMBER(KOL_Source_Data!$AH$19),KOL_Source_Data!$AH$19,0),0)+IF(KOL_Source_Data!$AI$19=Brand_Profile!$G$15,IF(ISNUMBER(KOL_Source_Data!$AJ$19),KOL_Source_Data!$AJ$19,0),0)+IF(KOL_Source_Data!$AK$19=Brand_Profile!$G$15,IF(ISNUMBER(KOL_Source_Data!$AL$19),KOL_Source_Data!$AL$19,0),0))/Lookup_Lists!$D$317*100,0)))*Lookup_Lists!$D$120,0))/(IF(ISNUMBER(IF(NOT(ISNUMBER(KOL_Source_Data!$AE$19)),"N/A",IF(KOL_Source_Data!$AD$19&lt;&gt;Brand_Profile!$G$14,Lookup_Lists!$D$151,MIN(100,ROUND(KOL_Source_Data!$AE$19/Lookup_Lists!$D$316*100,0))))),Lookup_Lists!$D$118,0)+IF(ISNUMBER(IF(NOT(ISNUMBER(KOL_Source_Data!$AM$19)),"N/A",MIN(100,ROUND((IF(KOL_Source_Data!$AG$19=Brand_Profile!$G$15,IF(ISNUMBER(KOL_Source_Data!$AH$19),KOL_Source_Data!$AH$19,0),0)+IF(KOL_Source_Data!$AI$19=Brand_Profile!$G$15,IF(ISNUMBER(KOL_Source_Data!$AJ$19),KOL_Source_Data!$AJ$19,0),0)+IF(KOL_Source_Data!$AK$19=Brand_Profile!$G$15,IF(ISNUMBER(KOL_Source_Data!$AL$19),KOL_Source_Data!$AL$19,0),0))/Lookup_Lists!$D$317*100,0)))),Lookup_Lists!$D$120,0)),0))</f>
      </c>
      <c r="R67" s="18">
        <f>IF(NOT(ISNUMBER(KOL_Source_Data!$AN$19)),"N/A",MIN(100,ROUND((IF(ISNUMBER(KOL_Source_Data!$AO$19),KOL_Source_Data!$AO$19*Brand_Profile!$G$17,0)+IF(ISNUMBER(KOL_Source_Data!$AP$19),KOL_Source_Data!$AP$19*Brand_Profile!$G$18,0)+IF(ISNUMBER(KOL_Source_Data!$AQ$19),KOL_Source_Data!$AQ$19*Brand_Profile!$G$19,0)+IF(ISNUMBER(KOL_Source_Data!$AR$19),KOL_Source_Data!$AR$19*Brand_Profile!$G$20,0)+IF(ISNUMBER(KOL_Source_Data!$AS$19),KOL_Source_Data!$AS$19*Brand_Profile!$G$21,0)+IF(ISNUMBER(KOL_Source_Data!$AT$19),KOL_Source_Data!$AT$19*Brand_Profile!$G$22,0)+IF(ISNUMBER(KOL_Source_Data!$AU$19),KOL_Source_Data!$AU$19*Brand_Profile!$G$23,0)+IF(ISNUMBER(KOL_Source_Data!$AV$19),KOL_Source_Data!$AV$19*Brand_Profile!$G$24,0)+IF(ISNUMBER(KOL_Source_Data!$AW$19),KOL_Source_Data!$AW$19*Brand_Profile!$G$25,0)+IF(ISNUMBER(KOL_Source_Data!$AX$19),KOL_Source_Data!$AX$19*Brand_Profile!$G$26,0)+IF(ISNUMBER(KOL_Source_Data!$AY$19),KOL_Source_Data!$AY$19*Brand_Profile!$G$27,0)+IF(ISNUMBER(KOL_Source_Data!$AZ$19),KOL_Source_Data!$AZ$19*Brand_Profile!$G$28,0)+IF(ISNUMBER(KOL_Source_Data!$BA$19),KOL_Source_Data!$BA$19*Brand_Profile!$G$29,0)+IF(ISNUMBER(KOL_Source_Data!$BB$19),KOL_Source_Data!$BB$19*Brand_Profile!$G$30,0)+IF(ISNUMBER(KOL_Source_Data!$BC$19),KOL_Source_Data!$BC$19*Brand_Profile!$G$31,0)+IF(ISNUMBER(KOL_Source_Data!$BD$19),KOL_Source_Data!$BD$19*Brand_Profile!$G$32,0)+IF(ISNUMBER(KOL_Source_Data!$BE$19),KOL_Source_Data!$BE$19*Brand_Profile!$G$33,0)+IF(ISNUMBER(KOL_Source_Data!$BF$19),KOL_Source_Data!$BF$19*Brand_Profile!$G$34,0))/Lookup_Lists!$D$318*100,0)))</f>
      </c>
      <c r="S67" s="29">
        <f>IF((IF(ISNUMBER(Matching_Engine!$O$67),Lookup_Lists!$D$113,0)+IF(ISNUMBER(Matching_Engine!$P$67),Lookup_Lists!$D$114,0)+IF(ISNUMBER(Matching_Engine!$Q$67),Lookup_Lists!$D$115,0)+IF(ISNUMBER(Matching_Engine!$R$67),Lookup_Lists!$D$116,0))=0,"N/A",ROUND((IF(ISNUMBER(Matching_Engine!$O$67),Matching_Engine!$O$67*Lookup_Lists!$D$113,0)+IF(ISNUMBER(Matching_Engine!$P$67),Matching_Engine!$P$67*Lookup_Lists!$D$114,0)+IF(ISNUMBER(Matching_Engine!$Q$67),Matching_Engine!$Q$67*Lookup_Lists!$D$115,0)+IF(ISNUMBER(Matching_Engine!$R$67),Matching_Engine!$R$67*Lookup_Lists!$D$116,0))/(IF(ISNUMBER(Matching_Engine!$O$67),Lookup_Lists!$D$113,0)+IF(ISNUMBER(Matching_Engine!$P$67),Lookup_Lists!$D$114,0)+IF(ISNUMBER(Matching_Engine!$Q$67),Lookup_Lists!$D$115,0)+IF(ISNUMBER(Matching_Engine!$R$67),Lookup_Lists!$D$116,0)),0))</f>
      </c>
      <c r="T67" s="11">
        <f>IF(ISNUMBER(Matching_Engine!$S$67),1,0)</f>
      </c>
      <c r="U67" s="18">
        <f>IF(NOT(AND(ISTEXT(KOL_Source_Data!$M$19),KOL_Source_Data!$M$19&lt;&gt;"N/A")),Lookup_Lists!$D$150,IF(Brand_Profile!$G$7=KOL_Source_Data!$M$19,100,IFERROR(INDEX(Lookup_Lists!$B$349:$J$357,MATCH(Brand_Profile!$G$7,Lookup_Lists!$A$349:$A$357,0),MATCH(KOL_Source_Data!$M$19,Lookup_Lists!$B$348:$J$348,0)),Lookup_Lists!$D$151)))</f>
      </c>
      <c r="V67" s="18">
        <f>IF(NOT(AND(ISTEXT(KOL_Source_Data!$P$19),KOL_Source_Data!$P$19&lt;&gt;"N/A")),"N/A",IFERROR(INDEX(Lookup_Lists!$B$349:$J$357,MATCH(Brand_Profile!$G$7,Lookup_Lists!$A$349:$A$357,0),MATCH(KOL_Source_Data!$P$19,Lookup_Lists!$B$348:$J$348,0)),Lookup_Lists!$D$151))</f>
      </c>
      <c r="W67" s="18">
        <f>IF(LEN(TRIM(SUBSTITUTE(Matching_Engine!$BE$67,"|","")))=0,"N/A",IF(Brand_Profile!$G$60=0,Lookup_Lists!$D$150,ROUND((IF(Brand_Profile!$G$54="",0,IF(ISNUMBER(SEARCH(Brand_Profile!$G$54,Matching_Engine!$BE$67)),1,0))+IF(Brand_Profile!$G$55="",0,IF(ISNUMBER(SEARCH(Brand_Profile!$G$55,Matching_Engine!$BE$67)),1,0))+IF(Brand_Profile!$G$56="",0,IF(ISNUMBER(SEARCH(Brand_Profile!$G$56,Matching_Engine!$BE$67)),1,0))+IF(Brand_Profile!$G$57="",0,IF(ISNUMBER(SEARCH(Brand_Profile!$G$57,Matching_Engine!$BE$67)),1,0))+IF(Brand_Profile!$G$58="",0,IF(ISNUMBER(SEARCH(Brand_Profile!$G$58,Matching_Engine!$BE$67)),1,0))+IF(Brand_Profile!$G$59="",0,IF(ISNUMBER(SEARCH(Brand_Profile!$G$59,Matching_Engine!$BE$67)),1,0)))/Brand_Profile!$G$60*100,0)))</f>
      </c>
      <c r="X67" s="18">
        <f>IF(NOT(AND(ISTEXT(KOL_Source_Data!$Q$19),KOL_Source_Data!$Q$19&lt;&gt;"N/A")),"N/A",Lookup_Lists!$D$150)</f>
      </c>
      <c r="Y67" s="29">
        <f>IF((IF(ISNUMBER(Matching_Engine!$U$67),Lookup_Lists!$D$335,0)+IF(ISNUMBER(Matching_Engine!$V$67),Lookup_Lists!$D$122,0)+IF(ISNUMBER(Matching_Engine!$W$67),Lookup_Lists!$D$336,0)+IF(ISNUMBER(Matching_Engine!$X$67),Lookup_Lists!$D$124,0))=0,"N/A",ROUND((IF(ISNUMBER(Matching_Engine!$U$67),Matching_Engine!$U$67*Lookup_Lists!$D$335,0)+IF(ISNUMBER(Matching_Engine!$V$67),Matching_Engine!$V$67*Lookup_Lists!$D$122,0)+IF(ISNUMBER(Matching_Engine!$W$67),Matching_Engine!$W$67*Lookup_Lists!$D$336,0)+IF(ISNUMBER(Matching_Engine!$X$67),Matching_Engine!$X$67*Lookup_Lists!$D$124,0))/(IF(ISNUMBER(Matching_Engine!$U$67),Lookup_Lists!$D$335,0)+IF(ISNUMBER(Matching_Engine!$V$67),Lookup_Lists!$D$122,0)+IF(ISNUMBER(Matching_Engine!$W$67),Lookup_Lists!$D$336,0)+IF(ISNUMBER(Matching_Engine!$X$67),Lookup_Lists!$D$124,0)),0))</f>
      </c>
      <c r="Z67" s="11">
        <f>IF(ISNUMBER(Matching_Engine!$Y$67),1,0)</f>
      </c>
      <c r="AA67" s="18">
        <f>IF(NOT(AND(ISTEXT(KOL_Source_Data!$Q$19),KOL_Source_Data!$Q$19&lt;&gt;"N/A")),"N/A",Lookup_Lists!$D$150)</f>
      </c>
      <c r="AB67" s="18">
        <f>IF(NOT(AND(ISTEXT(KOL_Source_Data!$Q$19),KOL_Source_Data!$Q$19&lt;&gt;"N/A")),"N/A",Lookup_Lists!$D$150)</f>
      </c>
      <c r="AC67" s="18">
        <f>"N/A"</f>
      </c>
      <c r="AD67" s="18">
        <f>IF(NOT(AND(ISTEXT(KOL_Source_Data!$Q$19),KOL_Source_Data!$Q$19&lt;&gt;"N/A")),"N/A",Lookup_Lists!$D$150)</f>
      </c>
      <c r="AE67" s="29">
        <f>IF((IF(ISNUMBER(Matching_Engine!$AA$67),Lookup_Lists!$D$125,0)+IF(ISNUMBER(Matching_Engine!$AB$67),Lookup_Lists!$D$126,0)+IF(ISNUMBER(Matching_Engine!$AC$67),Lookup_Lists!$D$127,0)+IF(ISNUMBER(Matching_Engine!$AD$67),Lookup_Lists!$D$128,0))=0,"N/A",ROUND((IF(ISNUMBER(Matching_Engine!$AA$67),Matching_Engine!$AA$67*Lookup_Lists!$D$125,0)+IF(ISNUMBER(Matching_Engine!$AB$67),Matching_Engine!$AB$67*Lookup_Lists!$D$126,0)+IF(ISNUMBER(Matching_Engine!$AC$67),Matching_Engine!$AC$67*Lookup_Lists!$D$127,0)+IF(ISNUMBER(Matching_Engine!$AD$67),Matching_Engine!$AD$67*Lookup_Lists!$D$128,0))/(IF(ISNUMBER(Matching_Engine!$AA$67),Lookup_Lists!$D$125,0)+IF(ISNUMBER(Matching_Engine!$AB$67),Lookup_Lists!$D$126,0)+IF(ISNUMBER(Matching_Engine!$AC$67),Lookup_Lists!$D$127,0)+IF(ISNUMBER(Matching_Engine!$AD$67),Lookup_Lists!$D$128,0)),0))</f>
      </c>
      <c r="AF67" s="11">
        <f>IF(ISNUMBER(Matching_Engine!$AE$67),1,0)</f>
      </c>
      <c r="AG67" s="18">
        <f>IF(NOT(ISNUMBER(KOL_Source_Data!$BG$19)),"N/A",MIN(100,ROUND(KOL_Source_Data!$BG$19/IFERROR(INDEX(Lookup_Lists!$B$340:$B$344,MATCH(KOL_Source_Data!$H$19,Lookup_Lists!$A$340:$A$344,0)),Lookup_Lists!$D$141)*100,0)))</f>
      </c>
      <c r="AH67" s="18">
        <f>IF(NOT(ISNUMBER(KOL_Source_Data!$BS$19)),"N/A",MIN(100,MAX(0,KOL_Source_Data!$BS$19)))</f>
      </c>
      <c r="AI67" s="18">
        <f>IF(OR(NOT(ISNUMBER(KOL_Source_Data!$BM$19)),NOT(ISNUMBER(KOL_Source_Data!$BN$19)),KOL_Source_Data!$BN$19&lt;Lookup_Lists!$D$320),"N/A",MIN(100,ROUND(KOL_Source_Data!$BM$19/Lookup_Lists!$D$319*100,0)))</f>
      </c>
      <c r="AJ67" s="18">
        <f>IF(NOT(ISNUMBER(KOL_Source_Data!$BR$19)),"N/A",KOL_Source_Data!$BR$19)</f>
      </c>
      <c r="AK67" s="18">
        <f>IF(NOT(ISNUMBER(KOL_Source_Data!$BK$19)),"N/A",MIN(100,ROUND(KOL_Source_Data!$BK$19/Lookup_Lists!$D$321*100,0)))</f>
      </c>
      <c r="AL67" s="18">
        <f>IF(NOT(ISNUMBER(KOL_Source_Data!$BP$19)),"N/A",MIN(100,MAX(0,ROUND((KOL_Source_Data!$BP$19+2)/(Lookup_Lists!$D$145+2)*100,0))))</f>
      </c>
      <c r="AM67" s="29">
        <f>IF((IF(ISNUMBER(Matching_Engine!$AG$67),Lookup_Lists!$D$129,0)+IF(ISNUMBER(Matching_Engine!$AH$67),Lookup_Lists!$D$130,0)+IF(ISNUMBER(Matching_Engine!$AI$67),Lookup_Lists!$D$131,0)+IF(ISNUMBER(Matching_Engine!$AJ$67),Lookup_Lists!$D$132,0)+IF(ISNUMBER(Matching_Engine!$AK$67),Lookup_Lists!$D$133,0)+IF(ISNUMBER(Matching_Engine!$AL$67),Lookup_Lists!$D$134,0))=0,"N/A",ROUND((IF(ISNUMBER(Matching_Engine!$AG$67),Matching_Engine!$AG$67*Lookup_Lists!$D$129,0)+IF(ISNUMBER(Matching_Engine!$AH$67),Matching_Engine!$AH$67*Lookup_Lists!$D$130,0)+IF(ISNUMBER(Matching_Engine!$AI$67),Matching_Engine!$AI$67*Lookup_Lists!$D$131,0)+IF(ISNUMBER(Matching_Engine!$AJ$67),Matching_Engine!$AJ$67*Lookup_Lists!$D$132,0)+IF(ISNUMBER(Matching_Engine!$AK$67),Matching_Engine!$AK$67*Lookup_Lists!$D$133,0)+IF(ISNUMBER(Matching_Engine!$AL$67),Matching_Engine!$AL$67*Lookup_Lists!$D$134,0))/(IF(ISNUMBER(Matching_Engine!$AG$67),Lookup_Lists!$D$129,0)+IF(ISNUMBER(Matching_Engine!$AH$67),Lookup_Lists!$D$130,0)+IF(ISNUMBER(Matching_Engine!$AI$67),Lookup_Lists!$D$131,0)+IF(ISNUMBER(Matching_Engine!$AJ$67),Lookup_Lists!$D$132,0)+IF(ISNUMBER(Matching_Engine!$AK$67),Lookup_Lists!$D$133,0)+IF(ISNUMBER(Matching_Engine!$AL$67),Lookup_Lists!$D$134,0)),0))</f>
      </c>
      <c r="AN67" s="11">
        <f>IF(ISNUMBER(Matching_Engine!$AM$67),1,0)</f>
      </c>
      <c r="AO67" s="18">
        <f>IF(NOT(ISNUMBER(KOL_Source_Data!$BT$19)),"N/A",MIN(100,MAX(0,KOL_Source_Data!$BT$19)))</f>
      </c>
      <c r="AP67" s="18">
        <f>IF(NOT(ISNUMBER(KOL_Source_Data!$BU$19)),"N/A",MIN(100,MAX(0,KOL_Source_Data!$BU$19)))</f>
      </c>
      <c r="AQ67" s="18">
        <f>IF(KOL_Source_Data!$I$19="Yes",Lookup_Lists!$D$326,IF(KOL_Source_Data!$I$19="No",Lookup_Lists!$D$327,"N/A"))</f>
      </c>
      <c r="AR67" s="18">
        <f>IF(NOT(ISNUMBER(KOL_Source_Data!$BQ$19)),"N/A",MAX(0,ROUND(100-KOL_Source_Data!$BQ$19/Lookup_Lists!$D$328*100,0)))</f>
      </c>
      <c r="AS67" s="18">
        <f>IF(NOT(AND(ISTEXT(KOL_Source_Data!$BV$19),KOL_Source_Data!$BV$19&lt;&gt;"N/A")),"N/A",KOL_Source_Data!$BV$19)</f>
      </c>
      <c r="AT67" s="29">
        <f>IF((IF(ISNUMBER(Matching_Engine!$AO$67),Lookup_Lists!$D$322,0)+IF(ISNUMBER(Matching_Engine!$AP$67),Lookup_Lists!$D$323,0)+IF(ISNUMBER(Matching_Engine!$AQ$67),Lookup_Lists!$D$324,0)+IF(ISNUMBER(Matching_Engine!$AR$67),Lookup_Lists!$D$325,0))=0,"N/A",ROUND((IF(ISNUMBER(Matching_Engine!$AO$67),Matching_Engine!$AO$67*Lookup_Lists!$D$322,0)+IF(ISNUMBER(Matching_Engine!$AP$67),Matching_Engine!$AP$67*Lookup_Lists!$D$323,0)+IF(ISNUMBER(Matching_Engine!$AQ$67),Matching_Engine!$AQ$67*Lookup_Lists!$D$324,0)+IF(ISNUMBER(Matching_Engine!$AR$67),Matching_Engine!$AR$67*Lookup_Lists!$D$325,0))/(IF(ISNUMBER(Matching_Engine!$AO$67),Lookup_Lists!$D$322,0)+IF(ISNUMBER(Matching_Engine!$AP$67),Lookup_Lists!$D$323,0)+IF(ISNUMBER(Matching_Engine!$AQ$67),Lookup_Lists!$D$324,0)+IF(ISNUMBER(Matching_Engine!$AR$67),Lookup_Lists!$D$325,0)),0))</f>
      </c>
      <c r="AU67" s="11">
        <f>IF(ISNUMBER(Matching_Engine!$AT$67),1,0)</f>
      </c>
      <c r="AV67" s="11">
        <f>IF(NOT(ISNUMBER(Matching_Engine!$AT$67)),"Not Screened",IF(Matching_Engine!$AT$67&gt;=Lookup_Lists!$D$329,"Low Risk",IF(Matching_Engine!$AT$67&gt;=Lookup_Lists!$D$330,"Moderate Risk",IF(Matching_Engine!$AT$67&gt;=Lookup_Lists!$D$331,"Elevated Risk","High Risk"))))</f>
      </c>
      <c r="AW67" s="11">
        <f>IF(NOT(ISNUMBER(Matching_Engine!$AT$67)),"No integrity signal: no audience-analysis row for this account.","Integrity screen only — no content-risk reading exists (comments_analysis: 0 rows). "&amp;IF(ISNUMBER(Matching_Engine!$AO$67),"Authenticity "&amp;Matching_Engine!$AO$67&amp;". ","Authenticity N/A. ")&amp;IF(ISNUMBER(Matching_Engine!$AP$67),"Follower quality "&amp;Matching_Engine!$AP$67&amp;". ","Follower quality N/A. ")&amp;IF(KOL_Source_Data!$I$19="Yes","Platform-verified.","Not platform-verified."))</f>
      </c>
      <c r="AX67" s="18">
        <f>Matching_Engine!$N$67*Lookup_Lists!$D$104+Matching_Engine!$T$67*Lookup_Lists!$D$105+Matching_Engine!$Z$67*Lookup_Lists!$D$106+Matching_Engine!$AF$67*Lookup_Lists!$D$107+Matching_Engine!$AN$67*Lookup_Lists!$D$108+Matching_Engine!$AU$67*Lookup_Lists!$D$109</f>
      </c>
      <c r="AY67" s="30">
        <f>IF(Matching_Engine!$AX$67=0,"N/A",ROUND((IF(Matching_Engine!$N$67=1,Matching_Engine!$M$67*Lookup_Lists!$D$104,0)+IF(Matching_Engine!$T$67=1,Matching_Engine!$S$67*Lookup_Lists!$D$105,0)+IF(Matching_Engine!$Z$67=1,Matching_Engine!$Y$67*Lookup_Lists!$D$106,0)+IF(Matching_Engine!$AF$67=1,Matching_Engine!$AE$67*Lookup_Lists!$D$107,0)+IF(Matching_Engine!$AN$67=1,Matching_Engine!$AM$67*Lookup_Lists!$D$108,0)+IF(Matching_Engine!$AU$67=1,Matching_Engine!$AT$67*Lookup_Lists!$D$109,0))/Matching_Engine!$AX$67,0))</f>
      </c>
      <c r="AZ67" s="11">
        <f>IF(NOT(ISNUMBER(Matching_Engine!$AY$67)),"Not Scored",IF(Matching_Engine!$AY$67&gt;=Lookup_Lists!$D$152,"Excellent Match",IF(Matching_Engine!$AY$67&gt;=Lookup_Lists!$D$153,"Strong Match",IF(Matching_Engine!$AY$67&gt;=Lookup_Lists!$D$154,"Good Match",IF(Matching_Engine!$AY$67&gt;=Lookup_Lists!$D$155,"Moderate Match","Low Match")))))</f>
      </c>
      <c r="BA67" s="18">
        <f>KOL_Source_Data!$BW$19</f>
      </c>
      <c r="BB67" s="11">
        <f>KOL_Source_Data!$BX$19</f>
      </c>
      <c r="BC67" s="18">
        <f>IF(NOT(ISNUMBER(Matching_Engine!$AY$67)),-1,Matching_Engine!$AY$67*1000+11)</f>
      </c>
      <c r="BD67" s="11">
        <f>IF(AND(ISTEXT(KOL_Source_Data!$S$19),KOL_Source_Data!$S$19&lt;&gt;"N/A"),KOL_Source_Data!$S$19,"")&amp;" | "&amp;IF(AND(ISTEXT(KOL_Source_Data!$T$19),KOL_Source_Data!$T$19&lt;&gt;"N/A"),KOL_Source_Data!$T$19,"")&amp;" | "&amp;IF(AND(ISTEXT(KOL_Source_Data!$N$19),KOL_Source_Data!$N$19&lt;&gt;"N/A"),KOL_Source_Data!$N$19,"")&amp;" | "&amp;IF(AND(ISTEXT(KOL_Source_Data!$K$19),KOL_Source_Data!$K$19&lt;&gt;"N/A"),KOL_Source_Data!$K$19,"")&amp;" | "&amp;IF(AND(ISTEXT(KOL_Source_Data!$J$19),KOL_Source_Data!$J$19&lt;&gt;"N/A"),KOL_Source_Data!$J$19,"")</f>
      </c>
      <c r="BE67" s="11">
        <f>IF(AND(ISTEXT(KOL_Source_Data!$T$19),KOL_Source_Data!$T$19&lt;&gt;"N/A"),KOL_Source_Data!$T$19,"")&amp;" | "&amp;IF(AND(ISTEXT(KOL_Source_Data!$N$19),KOL_Source_Data!$N$19&lt;&gt;"N/A"),KOL_Source_Data!$N$19,"")&amp;" | "&amp;IF(AND(ISTEXT(KOL_Source_Data!$O$19),KOL_Source_Data!$O$19&lt;&gt;"N/A"),KOL_Source_Data!$O$19,"")&amp;" | "&amp;IF(AND(ISTEXT(KOL_Source_Data!$S$19),KOL_Source_Data!$S$19&lt;&gt;"N/A"),KOL_Source_Data!$S$19,"")</f>
      </c>
      <c r="BF67" s="11">
        <f>IF(AND(ISTEXT(KOL_Source_Data!$U$19),KOL_Source_Data!$U$19&lt;&gt;"N/A"),KOL_Source_Data!$U$19,"")</f>
      </c>
      <c r="BG67" s="11">
        <f>Matching_Engine!$A$67&amp;"|"&amp;Matching_Engine!$C$67</f>
      </c>
    </row>
    <row r="68" spans="1:59" x14ac:dyDescent="0.25">
      <c r="A68" s="10" t="s">
        <v>392</v>
      </c>
      <c r="B68" s="11">
        <f>Brand_Profile!$G$6</f>
      </c>
      <c r="C68" s="11">
        <f>KOL_Source_Data!$A$20</f>
      </c>
      <c r="D68" s="11">
        <f>KOL_Source_Data!$C$20</f>
      </c>
      <c r="E68" s="11">
        <f>KOL_Source_Data!$D$20</f>
      </c>
      <c r="F68" s="11">
        <f>KOL_Source_Data!$E$20</f>
      </c>
      <c r="G68" s="11">
        <f>KOL_Source_Data!$K$20</f>
      </c>
      <c r="H68" s="12">
        <f>KOL_Source_Data!$G$20</f>
      </c>
      <c r="I68" s="14">
        <f>KOL_Source_Data!$BG$20</f>
      </c>
      <c r="J68" s="18">
        <f>IF(NOT(AND(ISTEXT(KOL_Source_Data!$K$20),KOL_Source_Data!$K$20&lt;&gt;"N/A")),Lookup_Lists!$D$150,IF(Brand_Profile!$G$7=KOL_Source_Data!$K$20,100,IFERROR(INDEX(Lookup_Lists!$B$349:$J$357,MATCH(Brand_Profile!$G$7,Lookup_Lists!$A$349:$A$357,0),MATCH(KOL_Source_Data!$K$20,Lookup_Lists!$B$348:$J$348,0)),Lookup_Lists!$D$151)))</f>
      </c>
      <c r="K68" s="18">
        <f>IF(LEN(TRIM(SUBSTITUTE(Matching_Engine!$BD$68,"|","")))=0,"N/A",IF(Brand_Profile!$G$47=0,Lookup_Lists!$D$150,ROUND((IF(Brand_Profile!$G$41="",0,IF(ISNUMBER(SEARCH(Brand_Profile!$G$41,Matching_Engine!$BD$68)),1,0))+IF(Brand_Profile!$G$42="",0,IF(ISNUMBER(SEARCH(Brand_Profile!$G$42,Matching_Engine!$BD$68)),1,0))+IF(Brand_Profile!$G$43="",0,IF(ISNUMBER(SEARCH(Brand_Profile!$G$43,Matching_Engine!$BD$68)),1,0))+IF(Brand_Profile!$G$44="",0,IF(ISNUMBER(SEARCH(Brand_Profile!$G$44,Matching_Engine!$BD$68)),1,0))+IF(Brand_Profile!$G$45="",0,IF(ISNUMBER(SEARCH(Brand_Profile!$G$45,Matching_Engine!$BD$68)),1,0))+IF(Brand_Profile!$G$46="",0,IF(ISNUMBER(SEARCH(Brand_Profile!$G$46,Matching_Engine!$BD$68)),1,0)))/Brand_Profile!$G$47*100,0)))</f>
      </c>
      <c r="L68" s="18">
        <f>IF(NOT(AND(ISTEXT(KOL_Source_Data!$U$20),KOL_Source_Data!$U$20&lt;&gt;"N/A")),"N/A",IF(Brand_Profile!$G$53=0,Lookup_Lists!$D$150,ROUND((IF(Brand_Profile!$G$48="",0,IF(ISNUMBER(SEARCH(Brand_Profile!$G$48,Matching_Engine!$BF$68)),1,0))+IF(Brand_Profile!$G$49="",0,IF(ISNUMBER(SEARCH(Brand_Profile!$G$49,Matching_Engine!$BF$68)),1,0))+IF(Brand_Profile!$G$50="",0,IF(ISNUMBER(SEARCH(Brand_Profile!$G$50,Matching_Engine!$BF$68)),1,0))+IF(Brand_Profile!$G$51="",0,IF(ISNUMBER(SEARCH(Brand_Profile!$G$51,Matching_Engine!$BF$68)),1,0))+IF(Brand_Profile!$G$52="",0,IF(ISNUMBER(SEARCH(Brand_Profile!$G$52,Matching_Engine!$BF$68)),1,0)))/Brand_Profile!$G$53*100,0)))</f>
      </c>
      <c r="M68" s="29">
        <f>IF((IF(ISNUMBER(Matching_Engine!$J$68),Lookup_Lists!$D$332,0)+IF(ISNUMBER(Matching_Engine!$K$68),Lookup_Lists!$D$333,0)+IF(ISNUMBER(Matching_Engine!$L$68),Lookup_Lists!$D$334,0))=0,"N/A",ROUND((IF(ISNUMBER(Matching_Engine!$J$68),Matching_Engine!$J$68*Lookup_Lists!$D$332,0)+IF(ISNUMBER(Matching_Engine!$K$68),Matching_Engine!$K$68*Lookup_Lists!$D$333,0)+IF(ISNUMBER(Matching_Engine!$L$68),Matching_Engine!$L$68*Lookup_Lists!$D$334,0))/(IF(ISNUMBER(Matching_Engine!$J$68),Lookup_Lists!$D$332,0)+IF(ISNUMBER(Matching_Engine!$K$68),Lookup_Lists!$D$333,0)+IF(ISNUMBER(Matching_Engine!$L$68),Lookup_Lists!$D$334,0)),0))</f>
      </c>
      <c r="N68" s="11">
        <f>IF(ISNUMBER(Matching_Engine!$M$68),1,0)</f>
      </c>
      <c r="O68" s="18">
        <f>IF(NOT(ISNUMBER(IFERROR(INDEX(KOL_Source_Data!$V$20:KOL_Source_Data!$Z$20,1,MATCH(Brand_Profile!$G$11,Lookup_Lists!$F$6:$F$10,0)),""))),"N/A",MIN(100,ROUND((IFERROR(INDEX(KOL_Source_Data!$V$20:KOL_Source_Data!$Z$20,1,MATCH(Brand_Profile!$G$11,Lookup_Lists!$F$6:$F$10,0)),"")+0.5*IF(ISNUMBER(IFERROR(INDEX(KOL_Source_Data!$V$20:KOL_Source_Data!$Z$20,1,MATCH(Brand_Profile!$G$12,Lookup_Lists!$F$6:$F$10,0)),"")),IFERROR(INDEX(KOL_Source_Data!$V$20:KOL_Source_Data!$Z$20,1,MATCH(Brand_Profile!$G$12,Lookup_Lists!$F$6:$F$10,0)),""),0))/Lookup_Lists!$D$142*100,0)))</f>
      </c>
      <c r="P68" s="18">
        <f>IF(Brand_Profile!$G$13="Any",100,IF(NOT(ISNUMBER(KOL_Source_Data!$AA$20)),"N/A",IF(Brand_Profile!$G$13="Female",MIN(100,ROUND(KOL_Source_Data!$AA$20/Lookup_Lists!$D$143*100,0)),IF(Brand_Profile!$G$13="Male",MIN(100,ROUND(IF(ISNUMBER(KOL_Source_Data!$AB$20),KOL_Source_Data!$AB$20,100-KOL_Source_Data!$AA$20)/Lookup_Lists!$D$143*100,0)),MAX(0,ROUND(100-ABS(KOL_Source_Data!$AA$20-50)*2,0))))))</f>
      </c>
      <c r="Q68" s="18">
        <f>IF((IF(ISNUMBER(IF(NOT(ISNUMBER(KOL_Source_Data!$AE$20)),"N/A",IF(KOL_Source_Data!$AD$20&lt;&gt;Brand_Profile!$G$14,Lookup_Lists!$D$151,MIN(100,ROUND(KOL_Source_Data!$AE$20/Lookup_Lists!$D$316*100,0))))),Lookup_Lists!$D$118,0)+IF(ISNUMBER(IF(NOT(ISNUMBER(KOL_Source_Data!$AM$20)),"N/A",MIN(100,ROUND((IF(KOL_Source_Data!$AG$20=Brand_Profile!$G$15,IF(ISNUMBER(KOL_Source_Data!$AH$20),KOL_Source_Data!$AH$20,0),0)+IF(KOL_Source_Data!$AI$20=Brand_Profile!$G$15,IF(ISNUMBER(KOL_Source_Data!$AJ$20),KOL_Source_Data!$AJ$20,0),0)+IF(KOL_Source_Data!$AK$20=Brand_Profile!$G$15,IF(ISNUMBER(KOL_Source_Data!$AL$20),KOL_Source_Data!$AL$20,0),0))/Lookup_Lists!$D$317*100,0)))),Lookup_Lists!$D$120,0))=0,"N/A",ROUND((IF(ISNUMBER(IF(NOT(ISNUMBER(KOL_Source_Data!$AE$20)),"N/A",IF(KOL_Source_Data!$AD$20&lt;&gt;Brand_Profile!$G$14,Lookup_Lists!$D$151,MIN(100,ROUND(KOL_Source_Data!$AE$20/Lookup_Lists!$D$316*100,0))))),IF(NOT(ISNUMBER(KOL_Source_Data!$AE$20)),"N/A",IF(KOL_Source_Data!$AD$20&lt;&gt;Brand_Profile!$G$14,Lookup_Lists!$D$151,MIN(100,ROUND(KOL_Source_Data!$AE$20/Lookup_Lists!$D$316*100,0))))*Lookup_Lists!$D$118,0)+IF(ISNUMBER(IF(NOT(ISNUMBER(KOL_Source_Data!$AM$20)),"N/A",MIN(100,ROUND((IF(KOL_Source_Data!$AG$20=Brand_Profile!$G$15,IF(ISNUMBER(KOL_Source_Data!$AH$20),KOL_Source_Data!$AH$20,0),0)+IF(KOL_Source_Data!$AI$20=Brand_Profile!$G$15,IF(ISNUMBER(KOL_Source_Data!$AJ$20),KOL_Source_Data!$AJ$20,0),0)+IF(KOL_Source_Data!$AK$20=Brand_Profile!$G$15,IF(ISNUMBER(KOL_Source_Data!$AL$20),KOL_Source_Data!$AL$20,0),0))/Lookup_Lists!$D$317*100,0)))),IF(NOT(ISNUMBER(KOL_Source_Data!$AM$20)),"N/A",MIN(100,ROUND((IF(KOL_Source_Data!$AG$20=Brand_Profile!$G$15,IF(ISNUMBER(KOL_Source_Data!$AH$20),KOL_Source_Data!$AH$20,0),0)+IF(KOL_Source_Data!$AI$20=Brand_Profile!$G$15,IF(ISNUMBER(KOL_Source_Data!$AJ$20),KOL_Source_Data!$AJ$20,0),0)+IF(KOL_Source_Data!$AK$20=Brand_Profile!$G$15,IF(ISNUMBER(KOL_Source_Data!$AL$20),KOL_Source_Data!$AL$20,0),0))/Lookup_Lists!$D$317*100,0)))*Lookup_Lists!$D$120,0))/(IF(ISNUMBER(IF(NOT(ISNUMBER(KOL_Source_Data!$AE$20)),"N/A",IF(KOL_Source_Data!$AD$20&lt;&gt;Brand_Profile!$G$14,Lookup_Lists!$D$151,MIN(100,ROUND(KOL_Source_Data!$AE$20/Lookup_Lists!$D$316*100,0))))),Lookup_Lists!$D$118,0)+IF(ISNUMBER(IF(NOT(ISNUMBER(KOL_Source_Data!$AM$20)),"N/A",MIN(100,ROUND((IF(KOL_Source_Data!$AG$20=Brand_Profile!$G$15,IF(ISNUMBER(KOL_Source_Data!$AH$20),KOL_Source_Data!$AH$20,0),0)+IF(KOL_Source_Data!$AI$20=Brand_Profile!$G$15,IF(ISNUMBER(KOL_Source_Data!$AJ$20),KOL_Source_Data!$AJ$20,0),0)+IF(KOL_Source_Data!$AK$20=Brand_Profile!$G$15,IF(ISNUMBER(KOL_Source_Data!$AL$20),KOL_Source_Data!$AL$20,0),0))/Lookup_Lists!$D$317*100,0)))),Lookup_Lists!$D$120,0)),0))</f>
      </c>
      <c r="R68" s="18">
        <f>IF(NOT(ISNUMBER(KOL_Source_Data!$AN$20)),"N/A",MIN(100,ROUND((IF(ISNUMBER(KOL_Source_Data!$AO$20),KOL_Source_Data!$AO$20*Brand_Profile!$G$17,0)+IF(ISNUMBER(KOL_Source_Data!$AP$20),KOL_Source_Data!$AP$20*Brand_Profile!$G$18,0)+IF(ISNUMBER(KOL_Source_Data!$AQ$20),KOL_Source_Data!$AQ$20*Brand_Profile!$G$19,0)+IF(ISNUMBER(KOL_Source_Data!$AR$20),KOL_Source_Data!$AR$20*Brand_Profile!$G$20,0)+IF(ISNUMBER(KOL_Source_Data!$AS$20),KOL_Source_Data!$AS$20*Brand_Profile!$G$21,0)+IF(ISNUMBER(KOL_Source_Data!$AT$20),KOL_Source_Data!$AT$20*Brand_Profile!$G$22,0)+IF(ISNUMBER(KOL_Source_Data!$AU$20),KOL_Source_Data!$AU$20*Brand_Profile!$G$23,0)+IF(ISNUMBER(KOL_Source_Data!$AV$20),KOL_Source_Data!$AV$20*Brand_Profile!$G$24,0)+IF(ISNUMBER(KOL_Source_Data!$AW$20),KOL_Source_Data!$AW$20*Brand_Profile!$G$25,0)+IF(ISNUMBER(KOL_Source_Data!$AX$20),KOL_Source_Data!$AX$20*Brand_Profile!$G$26,0)+IF(ISNUMBER(KOL_Source_Data!$AY$20),KOL_Source_Data!$AY$20*Brand_Profile!$G$27,0)+IF(ISNUMBER(KOL_Source_Data!$AZ$20),KOL_Source_Data!$AZ$20*Brand_Profile!$G$28,0)+IF(ISNUMBER(KOL_Source_Data!$BA$20),KOL_Source_Data!$BA$20*Brand_Profile!$G$29,0)+IF(ISNUMBER(KOL_Source_Data!$BB$20),KOL_Source_Data!$BB$20*Brand_Profile!$G$30,0)+IF(ISNUMBER(KOL_Source_Data!$BC$20),KOL_Source_Data!$BC$20*Brand_Profile!$G$31,0)+IF(ISNUMBER(KOL_Source_Data!$BD$20),KOL_Source_Data!$BD$20*Brand_Profile!$G$32,0)+IF(ISNUMBER(KOL_Source_Data!$BE$20),KOL_Source_Data!$BE$20*Brand_Profile!$G$33,0)+IF(ISNUMBER(KOL_Source_Data!$BF$20),KOL_Source_Data!$BF$20*Brand_Profile!$G$34,0))/Lookup_Lists!$D$318*100,0)))</f>
      </c>
      <c r="S68" s="29">
        <f>IF((IF(ISNUMBER(Matching_Engine!$O$68),Lookup_Lists!$D$113,0)+IF(ISNUMBER(Matching_Engine!$P$68),Lookup_Lists!$D$114,0)+IF(ISNUMBER(Matching_Engine!$Q$68),Lookup_Lists!$D$115,0)+IF(ISNUMBER(Matching_Engine!$R$68),Lookup_Lists!$D$116,0))=0,"N/A",ROUND((IF(ISNUMBER(Matching_Engine!$O$68),Matching_Engine!$O$68*Lookup_Lists!$D$113,0)+IF(ISNUMBER(Matching_Engine!$P$68),Matching_Engine!$P$68*Lookup_Lists!$D$114,0)+IF(ISNUMBER(Matching_Engine!$Q$68),Matching_Engine!$Q$68*Lookup_Lists!$D$115,0)+IF(ISNUMBER(Matching_Engine!$R$68),Matching_Engine!$R$68*Lookup_Lists!$D$116,0))/(IF(ISNUMBER(Matching_Engine!$O$68),Lookup_Lists!$D$113,0)+IF(ISNUMBER(Matching_Engine!$P$68),Lookup_Lists!$D$114,0)+IF(ISNUMBER(Matching_Engine!$Q$68),Lookup_Lists!$D$115,0)+IF(ISNUMBER(Matching_Engine!$R$68),Lookup_Lists!$D$116,0)),0))</f>
      </c>
      <c r="T68" s="11">
        <f>IF(ISNUMBER(Matching_Engine!$S$68),1,0)</f>
      </c>
      <c r="U68" s="18">
        <f>IF(NOT(AND(ISTEXT(KOL_Source_Data!$M$20),KOL_Source_Data!$M$20&lt;&gt;"N/A")),Lookup_Lists!$D$150,IF(Brand_Profile!$G$7=KOL_Source_Data!$M$20,100,IFERROR(INDEX(Lookup_Lists!$B$349:$J$357,MATCH(Brand_Profile!$G$7,Lookup_Lists!$A$349:$A$357,0),MATCH(KOL_Source_Data!$M$20,Lookup_Lists!$B$348:$J$348,0)),Lookup_Lists!$D$151)))</f>
      </c>
      <c r="V68" s="18">
        <f>IF(NOT(AND(ISTEXT(KOL_Source_Data!$P$20),KOL_Source_Data!$P$20&lt;&gt;"N/A")),"N/A",IFERROR(INDEX(Lookup_Lists!$B$349:$J$357,MATCH(Brand_Profile!$G$7,Lookup_Lists!$A$349:$A$357,0),MATCH(KOL_Source_Data!$P$20,Lookup_Lists!$B$348:$J$348,0)),Lookup_Lists!$D$151))</f>
      </c>
      <c r="W68" s="18">
        <f>IF(LEN(TRIM(SUBSTITUTE(Matching_Engine!$BE$68,"|","")))=0,"N/A",IF(Brand_Profile!$G$60=0,Lookup_Lists!$D$150,ROUND((IF(Brand_Profile!$G$54="",0,IF(ISNUMBER(SEARCH(Brand_Profile!$G$54,Matching_Engine!$BE$68)),1,0))+IF(Brand_Profile!$G$55="",0,IF(ISNUMBER(SEARCH(Brand_Profile!$G$55,Matching_Engine!$BE$68)),1,0))+IF(Brand_Profile!$G$56="",0,IF(ISNUMBER(SEARCH(Brand_Profile!$G$56,Matching_Engine!$BE$68)),1,0))+IF(Brand_Profile!$G$57="",0,IF(ISNUMBER(SEARCH(Brand_Profile!$G$57,Matching_Engine!$BE$68)),1,0))+IF(Brand_Profile!$G$58="",0,IF(ISNUMBER(SEARCH(Brand_Profile!$G$58,Matching_Engine!$BE$68)),1,0))+IF(Brand_Profile!$G$59="",0,IF(ISNUMBER(SEARCH(Brand_Profile!$G$59,Matching_Engine!$BE$68)),1,0)))/Brand_Profile!$G$60*100,0)))</f>
      </c>
      <c r="X68" s="18">
        <f>IF(NOT(AND(ISTEXT(KOL_Source_Data!$Q$20),KOL_Source_Data!$Q$20&lt;&gt;"N/A")),"N/A",Lookup_Lists!$D$150)</f>
      </c>
      <c r="Y68" s="29">
        <f>IF((IF(ISNUMBER(Matching_Engine!$U$68),Lookup_Lists!$D$335,0)+IF(ISNUMBER(Matching_Engine!$V$68),Lookup_Lists!$D$122,0)+IF(ISNUMBER(Matching_Engine!$W$68),Lookup_Lists!$D$336,0)+IF(ISNUMBER(Matching_Engine!$X$68),Lookup_Lists!$D$124,0))=0,"N/A",ROUND((IF(ISNUMBER(Matching_Engine!$U$68),Matching_Engine!$U$68*Lookup_Lists!$D$335,0)+IF(ISNUMBER(Matching_Engine!$V$68),Matching_Engine!$V$68*Lookup_Lists!$D$122,0)+IF(ISNUMBER(Matching_Engine!$W$68),Matching_Engine!$W$68*Lookup_Lists!$D$336,0)+IF(ISNUMBER(Matching_Engine!$X$68),Matching_Engine!$X$68*Lookup_Lists!$D$124,0))/(IF(ISNUMBER(Matching_Engine!$U$68),Lookup_Lists!$D$335,0)+IF(ISNUMBER(Matching_Engine!$V$68),Lookup_Lists!$D$122,0)+IF(ISNUMBER(Matching_Engine!$W$68),Lookup_Lists!$D$336,0)+IF(ISNUMBER(Matching_Engine!$X$68),Lookup_Lists!$D$124,0)),0))</f>
      </c>
      <c r="Z68" s="11">
        <f>IF(ISNUMBER(Matching_Engine!$Y$68),1,0)</f>
      </c>
      <c r="AA68" s="18">
        <f>IF(NOT(AND(ISTEXT(KOL_Source_Data!$Q$20),KOL_Source_Data!$Q$20&lt;&gt;"N/A")),"N/A",Lookup_Lists!$D$150)</f>
      </c>
      <c r="AB68" s="18">
        <f>IF(NOT(AND(ISTEXT(KOL_Source_Data!$Q$20),KOL_Source_Data!$Q$20&lt;&gt;"N/A")),"N/A",Lookup_Lists!$D$150)</f>
      </c>
      <c r="AC68" s="18">
        <f>"N/A"</f>
      </c>
      <c r="AD68" s="18">
        <f>IF(NOT(AND(ISTEXT(KOL_Source_Data!$Q$20),KOL_Source_Data!$Q$20&lt;&gt;"N/A")),"N/A",Lookup_Lists!$D$150)</f>
      </c>
      <c r="AE68" s="29">
        <f>IF((IF(ISNUMBER(Matching_Engine!$AA$68),Lookup_Lists!$D$125,0)+IF(ISNUMBER(Matching_Engine!$AB$68),Lookup_Lists!$D$126,0)+IF(ISNUMBER(Matching_Engine!$AC$68),Lookup_Lists!$D$127,0)+IF(ISNUMBER(Matching_Engine!$AD$68),Lookup_Lists!$D$128,0))=0,"N/A",ROUND((IF(ISNUMBER(Matching_Engine!$AA$68),Matching_Engine!$AA$68*Lookup_Lists!$D$125,0)+IF(ISNUMBER(Matching_Engine!$AB$68),Matching_Engine!$AB$68*Lookup_Lists!$D$126,0)+IF(ISNUMBER(Matching_Engine!$AC$68),Matching_Engine!$AC$68*Lookup_Lists!$D$127,0)+IF(ISNUMBER(Matching_Engine!$AD$68),Matching_Engine!$AD$68*Lookup_Lists!$D$128,0))/(IF(ISNUMBER(Matching_Engine!$AA$68),Lookup_Lists!$D$125,0)+IF(ISNUMBER(Matching_Engine!$AB$68),Lookup_Lists!$D$126,0)+IF(ISNUMBER(Matching_Engine!$AC$68),Lookup_Lists!$D$127,0)+IF(ISNUMBER(Matching_Engine!$AD$68),Lookup_Lists!$D$128,0)),0))</f>
      </c>
      <c r="AF68" s="11">
        <f>IF(ISNUMBER(Matching_Engine!$AE$68),1,0)</f>
      </c>
      <c r="AG68" s="18">
        <f>IF(NOT(ISNUMBER(KOL_Source_Data!$BG$20)),"N/A",MIN(100,ROUND(KOL_Source_Data!$BG$20/IFERROR(INDEX(Lookup_Lists!$B$340:$B$344,MATCH(KOL_Source_Data!$H$20,Lookup_Lists!$A$340:$A$344,0)),Lookup_Lists!$D$141)*100,0)))</f>
      </c>
      <c r="AH68" s="18">
        <f>IF(NOT(ISNUMBER(KOL_Source_Data!$BS$20)),"N/A",MIN(100,MAX(0,KOL_Source_Data!$BS$20)))</f>
      </c>
      <c r="AI68" s="18">
        <f>IF(OR(NOT(ISNUMBER(KOL_Source_Data!$BM$20)),NOT(ISNUMBER(KOL_Source_Data!$BN$20)),KOL_Source_Data!$BN$20&lt;Lookup_Lists!$D$320),"N/A",MIN(100,ROUND(KOL_Source_Data!$BM$20/Lookup_Lists!$D$319*100,0)))</f>
      </c>
      <c r="AJ68" s="18">
        <f>IF(NOT(ISNUMBER(KOL_Source_Data!$BR$20)),"N/A",KOL_Source_Data!$BR$20)</f>
      </c>
      <c r="AK68" s="18">
        <f>IF(NOT(ISNUMBER(KOL_Source_Data!$BK$20)),"N/A",MIN(100,ROUND(KOL_Source_Data!$BK$20/Lookup_Lists!$D$321*100,0)))</f>
      </c>
      <c r="AL68" s="18">
        <f>IF(NOT(ISNUMBER(KOL_Source_Data!$BP$20)),"N/A",MIN(100,MAX(0,ROUND((KOL_Source_Data!$BP$20+2)/(Lookup_Lists!$D$145+2)*100,0))))</f>
      </c>
      <c r="AM68" s="29">
        <f>IF((IF(ISNUMBER(Matching_Engine!$AG$68),Lookup_Lists!$D$129,0)+IF(ISNUMBER(Matching_Engine!$AH$68),Lookup_Lists!$D$130,0)+IF(ISNUMBER(Matching_Engine!$AI$68),Lookup_Lists!$D$131,0)+IF(ISNUMBER(Matching_Engine!$AJ$68),Lookup_Lists!$D$132,0)+IF(ISNUMBER(Matching_Engine!$AK$68),Lookup_Lists!$D$133,0)+IF(ISNUMBER(Matching_Engine!$AL$68),Lookup_Lists!$D$134,0))=0,"N/A",ROUND((IF(ISNUMBER(Matching_Engine!$AG$68),Matching_Engine!$AG$68*Lookup_Lists!$D$129,0)+IF(ISNUMBER(Matching_Engine!$AH$68),Matching_Engine!$AH$68*Lookup_Lists!$D$130,0)+IF(ISNUMBER(Matching_Engine!$AI$68),Matching_Engine!$AI$68*Lookup_Lists!$D$131,0)+IF(ISNUMBER(Matching_Engine!$AJ$68),Matching_Engine!$AJ$68*Lookup_Lists!$D$132,0)+IF(ISNUMBER(Matching_Engine!$AK$68),Matching_Engine!$AK$68*Lookup_Lists!$D$133,0)+IF(ISNUMBER(Matching_Engine!$AL$68),Matching_Engine!$AL$68*Lookup_Lists!$D$134,0))/(IF(ISNUMBER(Matching_Engine!$AG$68),Lookup_Lists!$D$129,0)+IF(ISNUMBER(Matching_Engine!$AH$68),Lookup_Lists!$D$130,0)+IF(ISNUMBER(Matching_Engine!$AI$68),Lookup_Lists!$D$131,0)+IF(ISNUMBER(Matching_Engine!$AJ$68),Lookup_Lists!$D$132,0)+IF(ISNUMBER(Matching_Engine!$AK$68),Lookup_Lists!$D$133,0)+IF(ISNUMBER(Matching_Engine!$AL$68),Lookup_Lists!$D$134,0)),0))</f>
      </c>
      <c r="AN68" s="11">
        <f>IF(ISNUMBER(Matching_Engine!$AM$68),1,0)</f>
      </c>
      <c r="AO68" s="18">
        <f>IF(NOT(ISNUMBER(KOL_Source_Data!$BT$20)),"N/A",MIN(100,MAX(0,KOL_Source_Data!$BT$20)))</f>
      </c>
      <c r="AP68" s="18">
        <f>IF(NOT(ISNUMBER(KOL_Source_Data!$BU$20)),"N/A",MIN(100,MAX(0,KOL_Source_Data!$BU$20)))</f>
      </c>
      <c r="AQ68" s="18">
        <f>IF(KOL_Source_Data!$I$20="Yes",Lookup_Lists!$D$326,IF(KOL_Source_Data!$I$20="No",Lookup_Lists!$D$327,"N/A"))</f>
      </c>
      <c r="AR68" s="18">
        <f>IF(NOT(ISNUMBER(KOL_Source_Data!$BQ$20)),"N/A",MAX(0,ROUND(100-KOL_Source_Data!$BQ$20/Lookup_Lists!$D$328*100,0)))</f>
      </c>
      <c r="AS68" s="18">
        <f>IF(NOT(AND(ISTEXT(KOL_Source_Data!$BV$20),KOL_Source_Data!$BV$20&lt;&gt;"N/A")),"N/A",KOL_Source_Data!$BV$20)</f>
      </c>
      <c r="AT68" s="29">
        <f>IF((IF(ISNUMBER(Matching_Engine!$AO$68),Lookup_Lists!$D$322,0)+IF(ISNUMBER(Matching_Engine!$AP$68),Lookup_Lists!$D$323,0)+IF(ISNUMBER(Matching_Engine!$AQ$68),Lookup_Lists!$D$324,0)+IF(ISNUMBER(Matching_Engine!$AR$68),Lookup_Lists!$D$325,0))=0,"N/A",ROUND((IF(ISNUMBER(Matching_Engine!$AO$68),Matching_Engine!$AO$68*Lookup_Lists!$D$322,0)+IF(ISNUMBER(Matching_Engine!$AP$68),Matching_Engine!$AP$68*Lookup_Lists!$D$323,0)+IF(ISNUMBER(Matching_Engine!$AQ$68),Matching_Engine!$AQ$68*Lookup_Lists!$D$324,0)+IF(ISNUMBER(Matching_Engine!$AR$68),Matching_Engine!$AR$68*Lookup_Lists!$D$325,0))/(IF(ISNUMBER(Matching_Engine!$AO$68),Lookup_Lists!$D$322,0)+IF(ISNUMBER(Matching_Engine!$AP$68),Lookup_Lists!$D$323,0)+IF(ISNUMBER(Matching_Engine!$AQ$68),Lookup_Lists!$D$324,0)+IF(ISNUMBER(Matching_Engine!$AR$68),Lookup_Lists!$D$325,0)),0))</f>
      </c>
      <c r="AU68" s="11">
        <f>IF(ISNUMBER(Matching_Engine!$AT$68),1,0)</f>
      </c>
      <c r="AV68" s="11">
        <f>IF(NOT(ISNUMBER(Matching_Engine!$AT$68)),"Not Screened",IF(Matching_Engine!$AT$68&gt;=Lookup_Lists!$D$329,"Low Risk",IF(Matching_Engine!$AT$68&gt;=Lookup_Lists!$D$330,"Moderate Risk",IF(Matching_Engine!$AT$68&gt;=Lookup_Lists!$D$331,"Elevated Risk","High Risk"))))</f>
      </c>
      <c r="AW68" s="11">
        <f>IF(NOT(ISNUMBER(Matching_Engine!$AT$68)),"No integrity signal: no audience-analysis row for this account.","Integrity screen only — no content-risk reading exists (comments_analysis: 0 rows). "&amp;IF(ISNUMBER(Matching_Engine!$AO$68),"Authenticity "&amp;Matching_Engine!$AO$68&amp;". ","Authenticity N/A. ")&amp;IF(ISNUMBER(Matching_Engine!$AP$68),"Follower quality "&amp;Matching_Engine!$AP$68&amp;". ","Follower quality N/A. ")&amp;IF(KOL_Source_Data!$I$20="Yes","Platform-verified.","Not platform-verified."))</f>
      </c>
      <c r="AX68" s="18">
        <f>Matching_Engine!$N$68*Lookup_Lists!$D$104+Matching_Engine!$T$68*Lookup_Lists!$D$105+Matching_Engine!$Z$68*Lookup_Lists!$D$106+Matching_Engine!$AF$68*Lookup_Lists!$D$107+Matching_Engine!$AN$68*Lookup_Lists!$D$108+Matching_Engine!$AU$68*Lookup_Lists!$D$109</f>
      </c>
      <c r="AY68" s="30">
        <f>IF(Matching_Engine!$AX$68=0,"N/A",ROUND((IF(Matching_Engine!$N$68=1,Matching_Engine!$M$68*Lookup_Lists!$D$104,0)+IF(Matching_Engine!$T$68=1,Matching_Engine!$S$68*Lookup_Lists!$D$105,0)+IF(Matching_Engine!$Z$68=1,Matching_Engine!$Y$68*Lookup_Lists!$D$106,0)+IF(Matching_Engine!$AF$68=1,Matching_Engine!$AE$68*Lookup_Lists!$D$107,0)+IF(Matching_Engine!$AN$68=1,Matching_Engine!$AM$68*Lookup_Lists!$D$108,0)+IF(Matching_Engine!$AU$68=1,Matching_Engine!$AT$68*Lookup_Lists!$D$109,0))/Matching_Engine!$AX$68,0))</f>
      </c>
      <c r="AZ68" s="11">
        <f>IF(NOT(ISNUMBER(Matching_Engine!$AY$68)),"Not Scored",IF(Matching_Engine!$AY$68&gt;=Lookup_Lists!$D$152,"Excellent Match",IF(Matching_Engine!$AY$68&gt;=Lookup_Lists!$D$153,"Strong Match",IF(Matching_Engine!$AY$68&gt;=Lookup_Lists!$D$154,"Good Match",IF(Matching_Engine!$AY$68&gt;=Lookup_Lists!$D$155,"Moderate Match","Low Match")))))</f>
      </c>
      <c r="BA68" s="18">
        <f>KOL_Source_Data!$BW$20</f>
      </c>
      <c r="BB68" s="11">
        <f>KOL_Source_Data!$BX$20</f>
      </c>
      <c r="BC68" s="18">
        <f>IF(NOT(ISNUMBER(Matching_Engine!$AY$68)),-1,Matching_Engine!$AY$68*1000+10)</f>
      </c>
      <c r="BD68" s="11">
        <f>IF(AND(ISTEXT(KOL_Source_Data!$S$20),KOL_Source_Data!$S$20&lt;&gt;"N/A"),KOL_Source_Data!$S$20,"")&amp;" | "&amp;IF(AND(ISTEXT(KOL_Source_Data!$T$20),KOL_Source_Data!$T$20&lt;&gt;"N/A"),KOL_Source_Data!$T$20,"")&amp;" | "&amp;IF(AND(ISTEXT(KOL_Source_Data!$N$20),KOL_Source_Data!$N$20&lt;&gt;"N/A"),KOL_Source_Data!$N$20,"")&amp;" | "&amp;IF(AND(ISTEXT(KOL_Source_Data!$K$20),KOL_Source_Data!$K$20&lt;&gt;"N/A"),KOL_Source_Data!$K$20,"")&amp;" | "&amp;IF(AND(ISTEXT(KOL_Source_Data!$J$20),KOL_Source_Data!$J$20&lt;&gt;"N/A"),KOL_Source_Data!$J$20,"")</f>
      </c>
      <c r="BE68" s="11">
        <f>IF(AND(ISTEXT(KOL_Source_Data!$T$20),KOL_Source_Data!$T$20&lt;&gt;"N/A"),KOL_Source_Data!$T$20,"")&amp;" | "&amp;IF(AND(ISTEXT(KOL_Source_Data!$N$20),KOL_Source_Data!$N$20&lt;&gt;"N/A"),KOL_Source_Data!$N$20,"")&amp;" | "&amp;IF(AND(ISTEXT(KOL_Source_Data!$O$20),KOL_Source_Data!$O$20&lt;&gt;"N/A"),KOL_Source_Data!$O$20,"")&amp;" | "&amp;IF(AND(ISTEXT(KOL_Source_Data!$S$20),KOL_Source_Data!$S$20&lt;&gt;"N/A"),KOL_Source_Data!$S$20,"")</f>
      </c>
      <c r="BF68" s="11">
        <f>IF(AND(ISTEXT(KOL_Source_Data!$U$20),KOL_Source_Data!$U$20&lt;&gt;"N/A"),KOL_Source_Data!$U$20,"")</f>
      </c>
      <c r="BG68" s="11">
        <f>Matching_Engine!$A$68&amp;"|"&amp;Matching_Engine!$C$68</f>
      </c>
    </row>
    <row r="69" spans="1:59" x14ac:dyDescent="0.25">
      <c r="A69" s="10" t="s">
        <v>392</v>
      </c>
      <c r="B69" s="11">
        <f>Brand_Profile!$G$6</f>
      </c>
      <c r="C69" s="11">
        <f>KOL_Source_Data!$A$21</f>
      </c>
      <c r="D69" s="11">
        <f>KOL_Source_Data!$C$21</f>
      </c>
      <c r="E69" s="11">
        <f>KOL_Source_Data!$D$21</f>
      </c>
      <c r="F69" s="11">
        <f>KOL_Source_Data!$E$21</f>
      </c>
      <c r="G69" s="11">
        <f>KOL_Source_Data!$K$21</f>
      </c>
      <c r="H69" s="12">
        <f>KOL_Source_Data!$G$21</f>
      </c>
      <c r="I69" s="14">
        <f>KOL_Source_Data!$BG$21</f>
      </c>
      <c r="J69" s="18">
        <f>IF(NOT(AND(ISTEXT(KOL_Source_Data!$K$21),KOL_Source_Data!$K$21&lt;&gt;"N/A")),Lookup_Lists!$D$150,IF(Brand_Profile!$G$7=KOL_Source_Data!$K$21,100,IFERROR(INDEX(Lookup_Lists!$B$349:$J$357,MATCH(Brand_Profile!$G$7,Lookup_Lists!$A$349:$A$357,0),MATCH(KOL_Source_Data!$K$21,Lookup_Lists!$B$348:$J$348,0)),Lookup_Lists!$D$151)))</f>
      </c>
      <c r="K69" s="18">
        <f>IF(LEN(TRIM(SUBSTITUTE(Matching_Engine!$BD$69,"|","")))=0,"N/A",IF(Brand_Profile!$G$47=0,Lookup_Lists!$D$150,ROUND((IF(Brand_Profile!$G$41="",0,IF(ISNUMBER(SEARCH(Brand_Profile!$G$41,Matching_Engine!$BD$69)),1,0))+IF(Brand_Profile!$G$42="",0,IF(ISNUMBER(SEARCH(Brand_Profile!$G$42,Matching_Engine!$BD$69)),1,0))+IF(Brand_Profile!$G$43="",0,IF(ISNUMBER(SEARCH(Brand_Profile!$G$43,Matching_Engine!$BD$69)),1,0))+IF(Brand_Profile!$G$44="",0,IF(ISNUMBER(SEARCH(Brand_Profile!$G$44,Matching_Engine!$BD$69)),1,0))+IF(Brand_Profile!$G$45="",0,IF(ISNUMBER(SEARCH(Brand_Profile!$G$45,Matching_Engine!$BD$69)),1,0))+IF(Brand_Profile!$G$46="",0,IF(ISNUMBER(SEARCH(Brand_Profile!$G$46,Matching_Engine!$BD$69)),1,0)))/Brand_Profile!$G$47*100,0)))</f>
      </c>
      <c r="L69" s="18">
        <f>IF(NOT(AND(ISTEXT(KOL_Source_Data!$U$21),KOL_Source_Data!$U$21&lt;&gt;"N/A")),"N/A",IF(Brand_Profile!$G$53=0,Lookup_Lists!$D$150,ROUND((IF(Brand_Profile!$G$48="",0,IF(ISNUMBER(SEARCH(Brand_Profile!$G$48,Matching_Engine!$BF$69)),1,0))+IF(Brand_Profile!$G$49="",0,IF(ISNUMBER(SEARCH(Brand_Profile!$G$49,Matching_Engine!$BF$69)),1,0))+IF(Brand_Profile!$G$50="",0,IF(ISNUMBER(SEARCH(Brand_Profile!$G$50,Matching_Engine!$BF$69)),1,0))+IF(Brand_Profile!$G$51="",0,IF(ISNUMBER(SEARCH(Brand_Profile!$G$51,Matching_Engine!$BF$69)),1,0))+IF(Brand_Profile!$G$52="",0,IF(ISNUMBER(SEARCH(Brand_Profile!$G$52,Matching_Engine!$BF$69)),1,0)))/Brand_Profile!$G$53*100,0)))</f>
      </c>
      <c r="M69" s="29">
        <f>IF((IF(ISNUMBER(Matching_Engine!$J$69),Lookup_Lists!$D$332,0)+IF(ISNUMBER(Matching_Engine!$K$69),Lookup_Lists!$D$333,0)+IF(ISNUMBER(Matching_Engine!$L$69),Lookup_Lists!$D$334,0))=0,"N/A",ROUND((IF(ISNUMBER(Matching_Engine!$J$69),Matching_Engine!$J$69*Lookup_Lists!$D$332,0)+IF(ISNUMBER(Matching_Engine!$K$69),Matching_Engine!$K$69*Lookup_Lists!$D$333,0)+IF(ISNUMBER(Matching_Engine!$L$69),Matching_Engine!$L$69*Lookup_Lists!$D$334,0))/(IF(ISNUMBER(Matching_Engine!$J$69),Lookup_Lists!$D$332,0)+IF(ISNUMBER(Matching_Engine!$K$69),Lookup_Lists!$D$333,0)+IF(ISNUMBER(Matching_Engine!$L$69),Lookup_Lists!$D$334,0)),0))</f>
      </c>
      <c r="N69" s="11">
        <f>IF(ISNUMBER(Matching_Engine!$M$69),1,0)</f>
      </c>
      <c r="O69" s="18">
        <f>IF(NOT(ISNUMBER(IFERROR(INDEX(KOL_Source_Data!$V$21:KOL_Source_Data!$Z$21,1,MATCH(Brand_Profile!$G$11,Lookup_Lists!$F$6:$F$10,0)),""))),"N/A",MIN(100,ROUND((IFERROR(INDEX(KOL_Source_Data!$V$21:KOL_Source_Data!$Z$21,1,MATCH(Brand_Profile!$G$11,Lookup_Lists!$F$6:$F$10,0)),"")+0.5*IF(ISNUMBER(IFERROR(INDEX(KOL_Source_Data!$V$21:KOL_Source_Data!$Z$21,1,MATCH(Brand_Profile!$G$12,Lookup_Lists!$F$6:$F$10,0)),"")),IFERROR(INDEX(KOL_Source_Data!$V$21:KOL_Source_Data!$Z$21,1,MATCH(Brand_Profile!$G$12,Lookup_Lists!$F$6:$F$10,0)),""),0))/Lookup_Lists!$D$142*100,0)))</f>
      </c>
      <c r="P69" s="18">
        <f>IF(Brand_Profile!$G$13="Any",100,IF(NOT(ISNUMBER(KOL_Source_Data!$AA$21)),"N/A",IF(Brand_Profile!$G$13="Female",MIN(100,ROUND(KOL_Source_Data!$AA$21/Lookup_Lists!$D$143*100,0)),IF(Brand_Profile!$G$13="Male",MIN(100,ROUND(IF(ISNUMBER(KOL_Source_Data!$AB$21),KOL_Source_Data!$AB$21,100-KOL_Source_Data!$AA$21)/Lookup_Lists!$D$143*100,0)),MAX(0,ROUND(100-ABS(KOL_Source_Data!$AA$21-50)*2,0))))))</f>
      </c>
      <c r="Q69" s="18">
        <f>IF((IF(ISNUMBER(IF(NOT(ISNUMBER(KOL_Source_Data!$AE$21)),"N/A",IF(KOL_Source_Data!$AD$21&lt;&gt;Brand_Profile!$G$14,Lookup_Lists!$D$151,MIN(100,ROUND(KOL_Source_Data!$AE$21/Lookup_Lists!$D$316*100,0))))),Lookup_Lists!$D$118,0)+IF(ISNUMBER(IF(NOT(ISNUMBER(KOL_Source_Data!$AM$21)),"N/A",MIN(100,ROUND((IF(KOL_Source_Data!$AG$21=Brand_Profile!$G$15,IF(ISNUMBER(KOL_Source_Data!$AH$21),KOL_Source_Data!$AH$21,0),0)+IF(KOL_Source_Data!$AI$21=Brand_Profile!$G$15,IF(ISNUMBER(KOL_Source_Data!$AJ$21),KOL_Source_Data!$AJ$21,0),0)+IF(KOL_Source_Data!$AK$21=Brand_Profile!$G$15,IF(ISNUMBER(KOL_Source_Data!$AL$21),KOL_Source_Data!$AL$21,0),0))/Lookup_Lists!$D$317*100,0)))),Lookup_Lists!$D$120,0))=0,"N/A",ROUND((IF(ISNUMBER(IF(NOT(ISNUMBER(KOL_Source_Data!$AE$21)),"N/A",IF(KOL_Source_Data!$AD$21&lt;&gt;Brand_Profile!$G$14,Lookup_Lists!$D$151,MIN(100,ROUND(KOL_Source_Data!$AE$21/Lookup_Lists!$D$316*100,0))))),IF(NOT(ISNUMBER(KOL_Source_Data!$AE$21)),"N/A",IF(KOL_Source_Data!$AD$21&lt;&gt;Brand_Profile!$G$14,Lookup_Lists!$D$151,MIN(100,ROUND(KOL_Source_Data!$AE$21/Lookup_Lists!$D$316*100,0))))*Lookup_Lists!$D$118,0)+IF(ISNUMBER(IF(NOT(ISNUMBER(KOL_Source_Data!$AM$21)),"N/A",MIN(100,ROUND((IF(KOL_Source_Data!$AG$21=Brand_Profile!$G$15,IF(ISNUMBER(KOL_Source_Data!$AH$21),KOL_Source_Data!$AH$21,0),0)+IF(KOL_Source_Data!$AI$21=Brand_Profile!$G$15,IF(ISNUMBER(KOL_Source_Data!$AJ$21),KOL_Source_Data!$AJ$21,0),0)+IF(KOL_Source_Data!$AK$21=Brand_Profile!$G$15,IF(ISNUMBER(KOL_Source_Data!$AL$21),KOL_Source_Data!$AL$21,0),0))/Lookup_Lists!$D$317*100,0)))),IF(NOT(ISNUMBER(KOL_Source_Data!$AM$21)),"N/A",MIN(100,ROUND((IF(KOL_Source_Data!$AG$21=Brand_Profile!$G$15,IF(ISNUMBER(KOL_Source_Data!$AH$21),KOL_Source_Data!$AH$21,0),0)+IF(KOL_Source_Data!$AI$21=Brand_Profile!$G$15,IF(ISNUMBER(KOL_Source_Data!$AJ$21),KOL_Source_Data!$AJ$21,0),0)+IF(KOL_Source_Data!$AK$21=Brand_Profile!$G$15,IF(ISNUMBER(KOL_Source_Data!$AL$21),KOL_Source_Data!$AL$21,0),0))/Lookup_Lists!$D$317*100,0)))*Lookup_Lists!$D$120,0))/(IF(ISNUMBER(IF(NOT(ISNUMBER(KOL_Source_Data!$AE$21)),"N/A",IF(KOL_Source_Data!$AD$21&lt;&gt;Brand_Profile!$G$14,Lookup_Lists!$D$151,MIN(100,ROUND(KOL_Source_Data!$AE$21/Lookup_Lists!$D$316*100,0))))),Lookup_Lists!$D$118,0)+IF(ISNUMBER(IF(NOT(ISNUMBER(KOL_Source_Data!$AM$21)),"N/A",MIN(100,ROUND((IF(KOL_Source_Data!$AG$21=Brand_Profile!$G$15,IF(ISNUMBER(KOL_Source_Data!$AH$21),KOL_Source_Data!$AH$21,0),0)+IF(KOL_Source_Data!$AI$21=Brand_Profile!$G$15,IF(ISNUMBER(KOL_Source_Data!$AJ$21),KOL_Source_Data!$AJ$21,0),0)+IF(KOL_Source_Data!$AK$21=Brand_Profile!$G$15,IF(ISNUMBER(KOL_Source_Data!$AL$21),KOL_Source_Data!$AL$21,0),0))/Lookup_Lists!$D$317*100,0)))),Lookup_Lists!$D$120,0)),0))</f>
      </c>
      <c r="R69" s="18">
        <f>IF(NOT(ISNUMBER(KOL_Source_Data!$AN$21)),"N/A",MIN(100,ROUND((IF(ISNUMBER(KOL_Source_Data!$AO$21),KOL_Source_Data!$AO$21*Brand_Profile!$G$17,0)+IF(ISNUMBER(KOL_Source_Data!$AP$21),KOL_Source_Data!$AP$21*Brand_Profile!$G$18,0)+IF(ISNUMBER(KOL_Source_Data!$AQ$21),KOL_Source_Data!$AQ$21*Brand_Profile!$G$19,0)+IF(ISNUMBER(KOL_Source_Data!$AR$21),KOL_Source_Data!$AR$21*Brand_Profile!$G$20,0)+IF(ISNUMBER(KOL_Source_Data!$AS$21),KOL_Source_Data!$AS$21*Brand_Profile!$G$21,0)+IF(ISNUMBER(KOL_Source_Data!$AT$21),KOL_Source_Data!$AT$21*Brand_Profile!$G$22,0)+IF(ISNUMBER(KOL_Source_Data!$AU$21),KOL_Source_Data!$AU$21*Brand_Profile!$G$23,0)+IF(ISNUMBER(KOL_Source_Data!$AV$21),KOL_Source_Data!$AV$21*Brand_Profile!$G$24,0)+IF(ISNUMBER(KOL_Source_Data!$AW$21),KOL_Source_Data!$AW$21*Brand_Profile!$G$25,0)+IF(ISNUMBER(KOL_Source_Data!$AX$21),KOL_Source_Data!$AX$21*Brand_Profile!$G$26,0)+IF(ISNUMBER(KOL_Source_Data!$AY$21),KOL_Source_Data!$AY$21*Brand_Profile!$G$27,0)+IF(ISNUMBER(KOL_Source_Data!$AZ$21),KOL_Source_Data!$AZ$21*Brand_Profile!$G$28,0)+IF(ISNUMBER(KOL_Source_Data!$BA$21),KOL_Source_Data!$BA$21*Brand_Profile!$G$29,0)+IF(ISNUMBER(KOL_Source_Data!$BB$21),KOL_Source_Data!$BB$21*Brand_Profile!$G$30,0)+IF(ISNUMBER(KOL_Source_Data!$BC$21),KOL_Source_Data!$BC$21*Brand_Profile!$G$31,0)+IF(ISNUMBER(KOL_Source_Data!$BD$21),KOL_Source_Data!$BD$21*Brand_Profile!$G$32,0)+IF(ISNUMBER(KOL_Source_Data!$BE$21),KOL_Source_Data!$BE$21*Brand_Profile!$G$33,0)+IF(ISNUMBER(KOL_Source_Data!$BF$21),KOL_Source_Data!$BF$21*Brand_Profile!$G$34,0))/Lookup_Lists!$D$318*100,0)))</f>
      </c>
      <c r="S69" s="29">
        <f>IF((IF(ISNUMBER(Matching_Engine!$O$69),Lookup_Lists!$D$113,0)+IF(ISNUMBER(Matching_Engine!$P$69),Lookup_Lists!$D$114,0)+IF(ISNUMBER(Matching_Engine!$Q$69),Lookup_Lists!$D$115,0)+IF(ISNUMBER(Matching_Engine!$R$69),Lookup_Lists!$D$116,0))=0,"N/A",ROUND((IF(ISNUMBER(Matching_Engine!$O$69),Matching_Engine!$O$69*Lookup_Lists!$D$113,0)+IF(ISNUMBER(Matching_Engine!$P$69),Matching_Engine!$P$69*Lookup_Lists!$D$114,0)+IF(ISNUMBER(Matching_Engine!$Q$69),Matching_Engine!$Q$69*Lookup_Lists!$D$115,0)+IF(ISNUMBER(Matching_Engine!$R$69),Matching_Engine!$R$69*Lookup_Lists!$D$116,0))/(IF(ISNUMBER(Matching_Engine!$O$69),Lookup_Lists!$D$113,0)+IF(ISNUMBER(Matching_Engine!$P$69),Lookup_Lists!$D$114,0)+IF(ISNUMBER(Matching_Engine!$Q$69),Lookup_Lists!$D$115,0)+IF(ISNUMBER(Matching_Engine!$R$69),Lookup_Lists!$D$116,0)),0))</f>
      </c>
      <c r="T69" s="11">
        <f>IF(ISNUMBER(Matching_Engine!$S$69),1,0)</f>
      </c>
      <c r="U69" s="18">
        <f>IF(NOT(AND(ISTEXT(KOL_Source_Data!$M$21),KOL_Source_Data!$M$21&lt;&gt;"N/A")),Lookup_Lists!$D$150,IF(Brand_Profile!$G$7=KOL_Source_Data!$M$21,100,IFERROR(INDEX(Lookup_Lists!$B$349:$J$357,MATCH(Brand_Profile!$G$7,Lookup_Lists!$A$349:$A$357,0),MATCH(KOL_Source_Data!$M$21,Lookup_Lists!$B$348:$J$348,0)),Lookup_Lists!$D$151)))</f>
      </c>
      <c r="V69" s="18">
        <f>IF(NOT(AND(ISTEXT(KOL_Source_Data!$P$21),KOL_Source_Data!$P$21&lt;&gt;"N/A")),"N/A",IFERROR(INDEX(Lookup_Lists!$B$349:$J$357,MATCH(Brand_Profile!$G$7,Lookup_Lists!$A$349:$A$357,0),MATCH(KOL_Source_Data!$P$21,Lookup_Lists!$B$348:$J$348,0)),Lookup_Lists!$D$151))</f>
      </c>
      <c r="W69" s="18">
        <f>IF(LEN(TRIM(SUBSTITUTE(Matching_Engine!$BE$69,"|","")))=0,"N/A",IF(Brand_Profile!$G$60=0,Lookup_Lists!$D$150,ROUND((IF(Brand_Profile!$G$54="",0,IF(ISNUMBER(SEARCH(Brand_Profile!$G$54,Matching_Engine!$BE$69)),1,0))+IF(Brand_Profile!$G$55="",0,IF(ISNUMBER(SEARCH(Brand_Profile!$G$55,Matching_Engine!$BE$69)),1,0))+IF(Brand_Profile!$G$56="",0,IF(ISNUMBER(SEARCH(Brand_Profile!$G$56,Matching_Engine!$BE$69)),1,0))+IF(Brand_Profile!$G$57="",0,IF(ISNUMBER(SEARCH(Brand_Profile!$G$57,Matching_Engine!$BE$69)),1,0))+IF(Brand_Profile!$G$58="",0,IF(ISNUMBER(SEARCH(Brand_Profile!$G$58,Matching_Engine!$BE$69)),1,0))+IF(Brand_Profile!$G$59="",0,IF(ISNUMBER(SEARCH(Brand_Profile!$G$59,Matching_Engine!$BE$69)),1,0)))/Brand_Profile!$G$60*100,0)))</f>
      </c>
      <c r="X69" s="18">
        <f>IF(NOT(AND(ISTEXT(KOL_Source_Data!$Q$21),KOL_Source_Data!$Q$21&lt;&gt;"N/A")),"N/A",Lookup_Lists!$D$150)</f>
      </c>
      <c r="Y69" s="29">
        <f>IF((IF(ISNUMBER(Matching_Engine!$U$69),Lookup_Lists!$D$335,0)+IF(ISNUMBER(Matching_Engine!$V$69),Lookup_Lists!$D$122,0)+IF(ISNUMBER(Matching_Engine!$W$69),Lookup_Lists!$D$336,0)+IF(ISNUMBER(Matching_Engine!$X$69),Lookup_Lists!$D$124,0))=0,"N/A",ROUND((IF(ISNUMBER(Matching_Engine!$U$69),Matching_Engine!$U$69*Lookup_Lists!$D$335,0)+IF(ISNUMBER(Matching_Engine!$V$69),Matching_Engine!$V$69*Lookup_Lists!$D$122,0)+IF(ISNUMBER(Matching_Engine!$W$69),Matching_Engine!$W$69*Lookup_Lists!$D$336,0)+IF(ISNUMBER(Matching_Engine!$X$69),Matching_Engine!$X$69*Lookup_Lists!$D$124,0))/(IF(ISNUMBER(Matching_Engine!$U$69),Lookup_Lists!$D$335,0)+IF(ISNUMBER(Matching_Engine!$V$69),Lookup_Lists!$D$122,0)+IF(ISNUMBER(Matching_Engine!$W$69),Lookup_Lists!$D$336,0)+IF(ISNUMBER(Matching_Engine!$X$69),Lookup_Lists!$D$124,0)),0))</f>
      </c>
      <c r="Z69" s="11">
        <f>IF(ISNUMBER(Matching_Engine!$Y$69),1,0)</f>
      </c>
      <c r="AA69" s="18">
        <f>IF(NOT(AND(ISTEXT(KOL_Source_Data!$Q$21),KOL_Source_Data!$Q$21&lt;&gt;"N/A")),"N/A",Lookup_Lists!$D$150)</f>
      </c>
      <c r="AB69" s="18">
        <f>IF(NOT(AND(ISTEXT(KOL_Source_Data!$Q$21),KOL_Source_Data!$Q$21&lt;&gt;"N/A")),"N/A",Lookup_Lists!$D$150)</f>
      </c>
      <c r="AC69" s="18">
        <f>"N/A"</f>
      </c>
      <c r="AD69" s="18">
        <f>IF(NOT(AND(ISTEXT(KOL_Source_Data!$Q$21),KOL_Source_Data!$Q$21&lt;&gt;"N/A")),"N/A",Lookup_Lists!$D$150)</f>
      </c>
      <c r="AE69" s="29">
        <f>IF((IF(ISNUMBER(Matching_Engine!$AA$69),Lookup_Lists!$D$125,0)+IF(ISNUMBER(Matching_Engine!$AB$69),Lookup_Lists!$D$126,0)+IF(ISNUMBER(Matching_Engine!$AC$69),Lookup_Lists!$D$127,0)+IF(ISNUMBER(Matching_Engine!$AD$69),Lookup_Lists!$D$128,0))=0,"N/A",ROUND((IF(ISNUMBER(Matching_Engine!$AA$69),Matching_Engine!$AA$69*Lookup_Lists!$D$125,0)+IF(ISNUMBER(Matching_Engine!$AB$69),Matching_Engine!$AB$69*Lookup_Lists!$D$126,0)+IF(ISNUMBER(Matching_Engine!$AC$69),Matching_Engine!$AC$69*Lookup_Lists!$D$127,0)+IF(ISNUMBER(Matching_Engine!$AD$69),Matching_Engine!$AD$69*Lookup_Lists!$D$128,0))/(IF(ISNUMBER(Matching_Engine!$AA$69),Lookup_Lists!$D$125,0)+IF(ISNUMBER(Matching_Engine!$AB$69),Lookup_Lists!$D$126,0)+IF(ISNUMBER(Matching_Engine!$AC$69),Lookup_Lists!$D$127,0)+IF(ISNUMBER(Matching_Engine!$AD$69),Lookup_Lists!$D$128,0)),0))</f>
      </c>
      <c r="AF69" s="11">
        <f>IF(ISNUMBER(Matching_Engine!$AE$69),1,0)</f>
      </c>
      <c r="AG69" s="18">
        <f>IF(NOT(ISNUMBER(KOL_Source_Data!$BG$21)),"N/A",MIN(100,ROUND(KOL_Source_Data!$BG$21/IFERROR(INDEX(Lookup_Lists!$B$340:$B$344,MATCH(KOL_Source_Data!$H$21,Lookup_Lists!$A$340:$A$344,0)),Lookup_Lists!$D$141)*100,0)))</f>
      </c>
      <c r="AH69" s="18">
        <f>IF(NOT(ISNUMBER(KOL_Source_Data!$BS$21)),"N/A",MIN(100,MAX(0,KOL_Source_Data!$BS$21)))</f>
      </c>
      <c r="AI69" s="18">
        <f>IF(OR(NOT(ISNUMBER(KOL_Source_Data!$BM$21)),NOT(ISNUMBER(KOL_Source_Data!$BN$21)),KOL_Source_Data!$BN$21&lt;Lookup_Lists!$D$320),"N/A",MIN(100,ROUND(KOL_Source_Data!$BM$21/Lookup_Lists!$D$319*100,0)))</f>
      </c>
      <c r="AJ69" s="18">
        <f>IF(NOT(ISNUMBER(KOL_Source_Data!$BR$21)),"N/A",KOL_Source_Data!$BR$21)</f>
      </c>
      <c r="AK69" s="18">
        <f>IF(NOT(ISNUMBER(KOL_Source_Data!$BK$21)),"N/A",MIN(100,ROUND(KOL_Source_Data!$BK$21/Lookup_Lists!$D$321*100,0)))</f>
      </c>
      <c r="AL69" s="18">
        <f>IF(NOT(ISNUMBER(KOL_Source_Data!$BP$21)),"N/A",MIN(100,MAX(0,ROUND((KOL_Source_Data!$BP$21+2)/(Lookup_Lists!$D$145+2)*100,0))))</f>
      </c>
      <c r="AM69" s="29">
        <f>IF((IF(ISNUMBER(Matching_Engine!$AG$69),Lookup_Lists!$D$129,0)+IF(ISNUMBER(Matching_Engine!$AH$69),Lookup_Lists!$D$130,0)+IF(ISNUMBER(Matching_Engine!$AI$69),Lookup_Lists!$D$131,0)+IF(ISNUMBER(Matching_Engine!$AJ$69),Lookup_Lists!$D$132,0)+IF(ISNUMBER(Matching_Engine!$AK$69),Lookup_Lists!$D$133,0)+IF(ISNUMBER(Matching_Engine!$AL$69),Lookup_Lists!$D$134,0))=0,"N/A",ROUND((IF(ISNUMBER(Matching_Engine!$AG$69),Matching_Engine!$AG$69*Lookup_Lists!$D$129,0)+IF(ISNUMBER(Matching_Engine!$AH$69),Matching_Engine!$AH$69*Lookup_Lists!$D$130,0)+IF(ISNUMBER(Matching_Engine!$AI$69),Matching_Engine!$AI$69*Lookup_Lists!$D$131,0)+IF(ISNUMBER(Matching_Engine!$AJ$69),Matching_Engine!$AJ$69*Lookup_Lists!$D$132,0)+IF(ISNUMBER(Matching_Engine!$AK$69),Matching_Engine!$AK$69*Lookup_Lists!$D$133,0)+IF(ISNUMBER(Matching_Engine!$AL$69),Matching_Engine!$AL$69*Lookup_Lists!$D$134,0))/(IF(ISNUMBER(Matching_Engine!$AG$69),Lookup_Lists!$D$129,0)+IF(ISNUMBER(Matching_Engine!$AH$69),Lookup_Lists!$D$130,0)+IF(ISNUMBER(Matching_Engine!$AI$69),Lookup_Lists!$D$131,0)+IF(ISNUMBER(Matching_Engine!$AJ$69),Lookup_Lists!$D$132,0)+IF(ISNUMBER(Matching_Engine!$AK$69),Lookup_Lists!$D$133,0)+IF(ISNUMBER(Matching_Engine!$AL$69),Lookup_Lists!$D$134,0)),0))</f>
      </c>
      <c r="AN69" s="11">
        <f>IF(ISNUMBER(Matching_Engine!$AM$69),1,0)</f>
      </c>
      <c r="AO69" s="18">
        <f>IF(NOT(ISNUMBER(KOL_Source_Data!$BT$21)),"N/A",MIN(100,MAX(0,KOL_Source_Data!$BT$21)))</f>
      </c>
      <c r="AP69" s="18">
        <f>IF(NOT(ISNUMBER(KOL_Source_Data!$BU$21)),"N/A",MIN(100,MAX(0,KOL_Source_Data!$BU$21)))</f>
      </c>
      <c r="AQ69" s="18">
        <f>IF(KOL_Source_Data!$I$21="Yes",Lookup_Lists!$D$326,IF(KOL_Source_Data!$I$21="No",Lookup_Lists!$D$327,"N/A"))</f>
      </c>
      <c r="AR69" s="18">
        <f>IF(NOT(ISNUMBER(KOL_Source_Data!$BQ$21)),"N/A",MAX(0,ROUND(100-KOL_Source_Data!$BQ$21/Lookup_Lists!$D$328*100,0)))</f>
      </c>
      <c r="AS69" s="18">
        <f>IF(NOT(AND(ISTEXT(KOL_Source_Data!$BV$21),KOL_Source_Data!$BV$21&lt;&gt;"N/A")),"N/A",KOL_Source_Data!$BV$21)</f>
      </c>
      <c r="AT69" s="29">
        <f>IF((IF(ISNUMBER(Matching_Engine!$AO$69),Lookup_Lists!$D$322,0)+IF(ISNUMBER(Matching_Engine!$AP$69),Lookup_Lists!$D$323,0)+IF(ISNUMBER(Matching_Engine!$AQ$69),Lookup_Lists!$D$324,0)+IF(ISNUMBER(Matching_Engine!$AR$69),Lookup_Lists!$D$325,0))=0,"N/A",ROUND((IF(ISNUMBER(Matching_Engine!$AO$69),Matching_Engine!$AO$69*Lookup_Lists!$D$322,0)+IF(ISNUMBER(Matching_Engine!$AP$69),Matching_Engine!$AP$69*Lookup_Lists!$D$323,0)+IF(ISNUMBER(Matching_Engine!$AQ$69),Matching_Engine!$AQ$69*Lookup_Lists!$D$324,0)+IF(ISNUMBER(Matching_Engine!$AR$69),Matching_Engine!$AR$69*Lookup_Lists!$D$325,0))/(IF(ISNUMBER(Matching_Engine!$AO$69),Lookup_Lists!$D$322,0)+IF(ISNUMBER(Matching_Engine!$AP$69),Lookup_Lists!$D$323,0)+IF(ISNUMBER(Matching_Engine!$AQ$69),Lookup_Lists!$D$324,0)+IF(ISNUMBER(Matching_Engine!$AR$69),Lookup_Lists!$D$325,0)),0))</f>
      </c>
      <c r="AU69" s="11">
        <f>IF(ISNUMBER(Matching_Engine!$AT$69),1,0)</f>
      </c>
      <c r="AV69" s="11">
        <f>IF(NOT(ISNUMBER(Matching_Engine!$AT$69)),"Not Screened",IF(Matching_Engine!$AT$69&gt;=Lookup_Lists!$D$329,"Low Risk",IF(Matching_Engine!$AT$69&gt;=Lookup_Lists!$D$330,"Moderate Risk",IF(Matching_Engine!$AT$69&gt;=Lookup_Lists!$D$331,"Elevated Risk","High Risk"))))</f>
      </c>
      <c r="AW69" s="11">
        <f>IF(NOT(ISNUMBER(Matching_Engine!$AT$69)),"No integrity signal: no audience-analysis row for this account.","Integrity screen only — no content-risk reading exists (comments_analysis: 0 rows). "&amp;IF(ISNUMBER(Matching_Engine!$AO$69),"Authenticity "&amp;Matching_Engine!$AO$69&amp;". ","Authenticity N/A. ")&amp;IF(ISNUMBER(Matching_Engine!$AP$69),"Follower quality "&amp;Matching_Engine!$AP$69&amp;". ","Follower quality N/A. ")&amp;IF(KOL_Source_Data!$I$21="Yes","Platform-verified.","Not platform-verified."))</f>
      </c>
      <c r="AX69" s="18">
        <f>Matching_Engine!$N$69*Lookup_Lists!$D$104+Matching_Engine!$T$69*Lookup_Lists!$D$105+Matching_Engine!$Z$69*Lookup_Lists!$D$106+Matching_Engine!$AF$69*Lookup_Lists!$D$107+Matching_Engine!$AN$69*Lookup_Lists!$D$108+Matching_Engine!$AU$69*Lookup_Lists!$D$109</f>
      </c>
      <c r="AY69" s="30">
        <f>IF(Matching_Engine!$AX$69=0,"N/A",ROUND((IF(Matching_Engine!$N$69=1,Matching_Engine!$M$69*Lookup_Lists!$D$104,0)+IF(Matching_Engine!$T$69=1,Matching_Engine!$S$69*Lookup_Lists!$D$105,0)+IF(Matching_Engine!$Z$69=1,Matching_Engine!$Y$69*Lookup_Lists!$D$106,0)+IF(Matching_Engine!$AF$69=1,Matching_Engine!$AE$69*Lookup_Lists!$D$107,0)+IF(Matching_Engine!$AN$69=1,Matching_Engine!$AM$69*Lookup_Lists!$D$108,0)+IF(Matching_Engine!$AU$69=1,Matching_Engine!$AT$69*Lookup_Lists!$D$109,0))/Matching_Engine!$AX$69,0))</f>
      </c>
      <c r="AZ69" s="11">
        <f>IF(NOT(ISNUMBER(Matching_Engine!$AY$69)),"Not Scored",IF(Matching_Engine!$AY$69&gt;=Lookup_Lists!$D$152,"Excellent Match",IF(Matching_Engine!$AY$69&gt;=Lookup_Lists!$D$153,"Strong Match",IF(Matching_Engine!$AY$69&gt;=Lookup_Lists!$D$154,"Good Match",IF(Matching_Engine!$AY$69&gt;=Lookup_Lists!$D$155,"Moderate Match","Low Match")))))</f>
      </c>
      <c r="BA69" s="18">
        <f>KOL_Source_Data!$BW$21</f>
      </c>
      <c r="BB69" s="11">
        <f>KOL_Source_Data!$BX$21</f>
      </c>
      <c r="BC69" s="18">
        <f>IF(NOT(ISNUMBER(Matching_Engine!$AY$69)),-1,Matching_Engine!$AY$69*1000+9)</f>
      </c>
      <c r="BD69" s="11">
        <f>IF(AND(ISTEXT(KOL_Source_Data!$S$21),KOL_Source_Data!$S$21&lt;&gt;"N/A"),KOL_Source_Data!$S$21,"")&amp;" | "&amp;IF(AND(ISTEXT(KOL_Source_Data!$T$21),KOL_Source_Data!$T$21&lt;&gt;"N/A"),KOL_Source_Data!$T$21,"")&amp;" | "&amp;IF(AND(ISTEXT(KOL_Source_Data!$N$21),KOL_Source_Data!$N$21&lt;&gt;"N/A"),KOL_Source_Data!$N$21,"")&amp;" | "&amp;IF(AND(ISTEXT(KOL_Source_Data!$K$21),KOL_Source_Data!$K$21&lt;&gt;"N/A"),KOL_Source_Data!$K$21,"")&amp;" | "&amp;IF(AND(ISTEXT(KOL_Source_Data!$J$21),KOL_Source_Data!$J$21&lt;&gt;"N/A"),KOL_Source_Data!$J$21,"")</f>
      </c>
      <c r="BE69" s="11">
        <f>IF(AND(ISTEXT(KOL_Source_Data!$T$21),KOL_Source_Data!$T$21&lt;&gt;"N/A"),KOL_Source_Data!$T$21,"")&amp;" | "&amp;IF(AND(ISTEXT(KOL_Source_Data!$N$21),KOL_Source_Data!$N$21&lt;&gt;"N/A"),KOL_Source_Data!$N$21,"")&amp;" | "&amp;IF(AND(ISTEXT(KOL_Source_Data!$O$21),KOL_Source_Data!$O$21&lt;&gt;"N/A"),KOL_Source_Data!$O$21,"")&amp;" | "&amp;IF(AND(ISTEXT(KOL_Source_Data!$S$21),KOL_Source_Data!$S$21&lt;&gt;"N/A"),KOL_Source_Data!$S$21,"")</f>
      </c>
      <c r="BF69" s="11">
        <f>IF(AND(ISTEXT(KOL_Source_Data!$U$21),KOL_Source_Data!$U$21&lt;&gt;"N/A"),KOL_Source_Data!$U$21,"")</f>
      </c>
      <c r="BG69" s="11">
        <f>Matching_Engine!$A$69&amp;"|"&amp;Matching_Engine!$C$69</f>
      </c>
    </row>
    <row r="70" spans="1:59" x14ac:dyDescent="0.25">
      <c r="A70" s="10" t="s">
        <v>392</v>
      </c>
      <c r="B70" s="11">
        <f>Brand_Profile!$G$6</f>
      </c>
      <c r="C70" s="11">
        <f>KOL_Source_Data!$A$22</f>
      </c>
      <c r="D70" s="11">
        <f>KOL_Source_Data!$C$22</f>
      </c>
      <c r="E70" s="11">
        <f>KOL_Source_Data!$D$22</f>
      </c>
      <c r="F70" s="11">
        <f>KOL_Source_Data!$E$22</f>
      </c>
      <c r="G70" s="11">
        <f>KOL_Source_Data!$K$22</f>
      </c>
      <c r="H70" s="12">
        <f>KOL_Source_Data!$G$22</f>
      </c>
      <c r="I70" s="14">
        <f>KOL_Source_Data!$BG$22</f>
      </c>
      <c r="J70" s="18">
        <f>IF(NOT(AND(ISTEXT(KOL_Source_Data!$K$22),KOL_Source_Data!$K$22&lt;&gt;"N/A")),Lookup_Lists!$D$150,IF(Brand_Profile!$G$7=KOL_Source_Data!$K$22,100,IFERROR(INDEX(Lookup_Lists!$B$349:$J$357,MATCH(Brand_Profile!$G$7,Lookup_Lists!$A$349:$A$357,0),MATCH(KOL_Source_Data!$K$22,Lookup_Lists!$B$348:$J$348,0)),Lookup_Lists!$D$151)))</f>
      </c>
      <c r="K70" s="18">
        <f>IF(LEN(TRIM(SUBSTITUTE(Matching_Engine!$BD$70,"|","")))=0,"N/A",IF(Brand_Profile!$G$47=0,Lookup_Lists!$D$150,ROUND((IF(Brand_Profile!$G$41="",0,IF(ISNUMBER(SEARCH(Brand_Profile!$G$41,Matching_Engine!$BD$70)),1,0))+IF(Brand_Profile!$G$42="",0,IF(ISNUMBER(SEARCH(Brand_Profile!$G$42,Matching_Engine!$BD$70)),1,0))+IF(Brand_Profile!$G$43="",0,IF(ISNUMBER(SEARCH(Brand_Profile!$G$43,Matching_Engine!$BD$70)),1,0))+IF(Brand_Profile!$G$44="",0,IF(ISNUMBER(SEARCH(Brand_Profile!$G$44,Matching_Engine!$BD$70)),1,0))+IF(Brand_Profile!$G$45="",0,IF(ISNUMBER(SEARCH(Brand_Profile!$G$45,Matching_Engine!$BD$70)),1,0))+IF(Brand_Profile!$G$46="",0,IF(ISNUMBER(SEARCH(Brand_Profile!$G$46,Matching_Engine!$BD$70)),1,0)))/Brand_Profile!$G$47*100,0)))</f>
      </c>
      <c r="L70" s="18">
        <f>IF(NOT(AND(ISTEXT(KOL_Source_Data!$U$22),KOL_Source_Data!$U$22&lt;&gt;"N/A")),"N/A",IF(Brand_Profile!$G$53=0,Lookup_Lists!$D$150,ROUND((IF(Brand_Profile!$G$48="",0,IF(ISNUMBER(SEARCH(Brand_Profile!$G$48,Matching_Engine!$BF$70)),1,0))+IF(Brand_Profile!$G$49="",0,IF(ISNUMBER(SEARCH(Brand_Profile!$G$49,Matching_Engine!$BF$70)),1,0))+IF(Brand_Profile!$G$50="",0,IF(ISNUMBER(SEARCH(Brand_Profile!$G$50,Matching_Engine!$BF$70)),1,0))+IF(Brand_Profile!$G$51="",0,IF(ISNUMBER(SEARCH(Brand_Profile!$G$51,Matching_Engine!$BF$70)),1,0))+IF(Brand_Profile!$G$52="",0,IF(ISNUMBER(SEARCH(Brand_Profile!$G$52,Matching_Engine!$BF$70)),1,0)))/Brand_Profile!$G$53*100,0)))</f>
      </c>
      <c r="M70" s="29">
        <f>IF((IF(ISNUMBER(Matching_Engine!$J$70),Lookup_Lists!$D$332,0)+IF(ISNUMBER(Matching_Engine!$K$70),Lookup_Lists!$D$333,0)+IF(ISNUMBER(Matching_Engine!$L$70),Lookup_Lists!$D$334,0))=0,"N/A",ROUND((IF(ISNUMBER(Matching_Engine!$J$70),Matching_Engine!$J$70*Lookup_Lists!$D$332,0)+IF(ISNUMBER(Matching_Engine!$K$70),Matching_Engine!$K$70*Lookup_Lists!$D$333,0)+IF(ISNUMBER(Matching_Engine!$L$70),Matching_Engine!$L$70*Lookup_Lists!$D$334,0))/(IF(ISNUMBER(Matching_Engine!$J$70),Lookup_Lists!$D$332,0)+IF(ISNUMBER(Matching_Engine!$K$70),Lookup_Lists!$D$333,0)+IF(ISNUMBER(Matching_Engine!$L$70),Lookup_Lists!$D$334,0)),0))</f>
      </c>
      <c r="N70" s="11">
        <f>IF(ISNUMBER(Matching_Engine!$M$70),1,0)</f>
      </c>
      <c r="O70" s="18">
        <f>IF(NOT(ISNUMBER(IFERROR(INDEX(KOL_Source_Data!$V$22:KOL_Source_Data!$Z$22,1,MATCH(Brand_Profile!$G$11,Lookup_Lists!$F$6:$F$10,0)),""))),"N/A",MIN(100,ROUND((IFERROR(INDEX(KOL_Source_Data!$V$22:KOL_Source_Data!$Z$22,1,MATCH(Brand_Profile!$G$11,Lookup_Lists!$F$6:$F$10,0)),"")+0.5*IF(ISNUMBER(IFERROR(INDEX(KOL_Source_Data!$V$22:KOL_Source_Data!$Z$22,1,MATCH(Brand_Profile!$G$12,Lookup_Lists!$F$6:$F$10,0)),"")),IFERROR(INDEX(KOL_Source_Data!$V$22:KOL_Source_Data!$Z$22,1,MATCH(Brand_Profile!$G$12,Lookup_Lists!$F$6:$F$10,0)),""),0))/Lookup_Lists!$D$142*100,0)))</f>
      </c>
      <c r="P70" s="18">
        <f>IF(Brand_Profile!$G$13="Any",100,IF(NOT(ISNUMBER(KOL_Source_Data!$AA$22)),"N/A",IF(Brand_Profile!$G$13="Female",MIN(100,ROUND(KOL_Source_Data!$AA$22/Lookup_Lists!$D$143*100,0)),IF(Brand_Profile!$G$13="Male",MIN(100,ROUND(IF(ISNUMBER(KOL_Source_Data!$AB$22),KOL_Source_Data!$AB$22,100-KOL_Source_Data!$AA$22)/Lookup_Lists!$D$143*100,0)),MAX(0,ROUND(100-ABS(KOL_Source_Data!$AA$22-50)*2,0))))))</f>
      </c>
      <c r="Q70" s="18">
        <f>IF((IF(ISNUMBER(IF(NOT(ISNUMBER(KOL_Source_Data!$AE$22)),"N/A",IF(KOL_Source_Data!$AD$22&lt;&gt;Brand_Profile!$G$14,Lookup_Lists!$D$151,MIN(100,ROUND(KOL_Source_Data!$AE$22/Lookup_Lists!$D$316*100,0))))),Lookup_Lists!$D$118,0)+IF(ISNUMBER(IF(NOT(ISNUMBER(KOL_Source_Data!$AM$22)),"N/A",MIN(100,ROUND((IF(KOL_Source_Data!$AG$22=Brand_Profile!$G$15,IF(ISNUMBER(KOL_Source_Data!$AH$22),KOL_Source_Data!$AH$22,0),0)+IF(KOL_Source_Data!$AI$22=Brand_Profile!$G$15,IF(ISNUMBER(KOL_Source_Data!$AJ$22),KOL_Source_Data!$AJ$22,0),0)+IF(KOL_Source_Data!$AK$22=Brand_Profile!$G$15,IF(ISNUMBER(KOL_Source_Data!$AL$22),KOL_Source_Data!$AL$22,0),0))/Lookup_Lists!$D$317*100,0)))),Lookup_Lists!$D$120,0))=0,"N/A",ROUND((IF(ISNUMBER(IF(NOT(ISNUMBER(KOL_Source_Data!$AE$22)),"N/A",IF(KOL_Source_Data!$AD$22&lt;&gt;Brand_Profile!$G$14,Lookup_Lists!$D$151,MIN(100,ROUND(KOL_Source_Data!$AE$22/Lookup_Lists!$D$316*100,0))))),IF(NOT(ISNUMBER(KOL_Source_Data!$AE$22)),"N/A",IF(KOL_Source_Data!$AD$22&lt;&gt;Brand_Profile!$G$14,Lookup_Lists!$D$151,MIN(100,ROUND(KOL_Source_Data!$AE$22/Lookup_Lists!$D$316*100,0))))*Lookup_Lists!$D$118,0)+IF(ISNUMBER(IF(NOT(ISNUMBER(KOL_Source_Data!$AM$22)),"N/A",MIN(100,ROUND((IF(KOL_Source_Data!$AG$22=Brand_Profile!$G$15,IF(ISNUMBER(KOL_Source_Data!$AH$22),KOL_Source_Data!$AH$22,0),0)+IF(KOL_Source_Data!$AI$22=Brand_Profile!$G$15,IF(ISNUMBER(KOL_Source_Data!$AJ$22),KOL_Source_Data!$AJ$22,0),0)+IF(KOL_Source_Data!$AK$22=Brand_Profile!$G$15,IF(ISNUMBER(KOL_Source_Data!$AL$22),KOL_Source_Data!$AL$22,0),0))/Lookup_Lists!$D$317*100,0)))),IF(NOT(ISNUMBER(KOL_Source_Data!$AM$22)),"N/A",MIN(100,ROUND((IF(KOL_Source_Data!$AG$22=Brand_Profile!$G$15,IF(ISNUMBER(KOL_Source_Data!$AH$22),KOL_Source_Data!$AH$22,0),0)+IF(KOL_Source_Data!$AI$22=Brand_Profile!$G$15,IF(ISNUMBER(KOL_Source_Data!$AJ$22),KOL_Source_Data!$AJ$22,0),0)+IF(KOL_Source_Data!$AK$22=Brand_Profile!$G$15,IF(ISNUMBER(KOL_Source_Data!$AL$22),KOL_Source_Data!$AL$22,0),0))/Lookup_Lists!$D$317*100,0)))*Lookup_Lists!$D$120,0))/(IF(ISNUMBER(IF(NOT(ISNUMBER(KOL_Source_Data!$AE$22)),"N/A",IF(KOL_Source_Data!$AD$22&lt;&gt;Brand_Profile!$G$14,Lookup_Lists!$D$151,MIN(100,ROUND(KOL_Source_Data!$AE$22/Lookup_Lists!$D$316*100,0))))),Lookup_Lists!$D$118,0)+IF(ISNUMBER(IF(NOT(ISNUMBER(KOL_Source_Data!$AM$22)),"N/A",MIN(100,ROUND((IF(KOL_Source_Data!$AG$22=Brand_Profile!$G$15,IF(ISNUMBER(KOL_Source_Data!$AH$22),KOL_Source_Data!$AH$22,0),0)+IF(KOL_Source_Data!$AI$22=Brand_Profile!$G$15,IF(ISNUMBER(KOL_Source_Data!$AJ$22),KOL_Source_Data!$AJ$22,0),0)+IF(KOL_Source_Data!$AK$22=Brand_Profile!$G$15,IF(ISNUMBER(KOL_Source_Data!$AL$22),KOL_Source_Data!$AL$22,0),0))/Lookup_Lists!$D$317*100,0)))),Lookup_Lists!$D$120,0)),0))</f>
      </c>
      <c r="R70" s="18">
        <f>IF(NOT(ISNUMBER(KOL_Source_Data!$AN$22)),"N/A",MIN(100,ROUND((IF(ISNUMBER(KOL_Source_Data!$AO$22),KOL_Source_Data!$AO$22*Brand_Profile!$G$17,0)+IF(ISNUMBER(KOL_Source_Data!$AP$22),KOL_Source_Data!$AP$22*Brand_Profile!$G$18,0)+IF(ISNUMBER(KOL_Source_Data!$AQ$22),KOL_Source_Data!$AQ$22*Brand_Profile!$G$19,0)+IF(ISNUMBER(KOL_Source_Data!$AR$22),KOL_Source_Data!$AR$22*Brand_Profile!$G$20,0)+IF(ISNUMBER(KOL_Source_Data!$AS$22),KOL_Source_Data!$AS$22*Brand_Profile!$G$21,0)+IF(ISNUMBER(KOL_Source_Data!$AT$22),KOL_Source_Data!$AT$22*Brand_Profile!$G$22,0)+IF(ISNUMBER(KOL_Source_Data!$AU$22),KOL_Source_Data!$AU$22*Brand_Profile!$G$23,0)+IF(ISNUMBER(KOL_Source_Data!$AV$22),KOL_Source_Data!$AV$22*Brand_Profile!$G$24,0)+IF(ISNUMBER(KOL_Source_Data!$AW$22),KOL_Source_Data!$AW$22*Brand_Profile!$G$25,0)+IF(ISNUMBER(KOL_Source_Data!$AX$22),KOL_Source_Data!$AX$22*Brand_Profile!$G$26,0)+IF(ISNUMBER(KOL_Source_Data!$AY$22),KOL_Source_Data!$AY$22*Brand_Profile!$G$27,0)+IF(ISNUMBER(KOL_Source_Data!$AZ$22),KOL_Source_Data!$AZ$22*Brand_Profile!$G$28,0)+IF(ISNUMBER(KOL_Source_Data!$BA$22),KOL_Source_Data!$BA$22*Brand_Profile!$G$29,0)+IF(ISNUMBER(KOL_Source_Data!$BB$22),KOL_Source_Data!$BB$22*Brand_Profile!$G$30,0)+IF(ISNUMBER(KOL_Source_Data!$BC$22),KOL_Source_Data!$BC$22*Brand_Profile!$G$31,0)+IF(ISNUMBER(KOL_Source_Data!$BD$22),KOL_Source_Data!$BD$22*Brand_Profile!$G$32,0)+IF(ISNUMBER(KOL_Source_Data!$BE$22),KOL_Source_Data!$BE$22*Brand_Profile!$G$33,0)+IF(ISNUMBER(KOL_Source_Data!$BF$22),KOL_Source_Data!$BF$22*Brand_Profile!$G$34,0))/Lookup_Lists!$D$318*100,0)))</f>
      </c>
      <c r="S70" s="29">
        <f>IF((IF(ISNUMBER(Matching_Engine!$O$70),Lookup_Lists!$D$113,0)+IF(ISNUMBER(Matching_Engine!$P$70),Lookup_Lists!$D$114,0)+IF(ISNUMBER(Matching_Engine!$Q$70),Lookup_Lists!$D$115,0)+IF(ISNUMBER(Matching_Engine!$R$70),Lookup_Lists!$D$116,0))=0,"N/A",ROUND((IF(ISNUMBER(Matching_Engine!$O$70),Matching_Engine!$O$70*Lookup_Lists!$D$113,0)+IF(ISNUMBER(Matching_Engine!$P$70),Matching_Engine!$P$70*Lookup_Lists!$D$114,0)+IF(ISNUMBER(Matching_Engine!$Q$70),Matching_Engine!$Q$70*Lookup_Lists!$D$115,0)+IF(ISNUMBER(Matching_Engine!$R$70),Matching_Engine!$R$70*Lookup_Lists!$D$116,0))/(IF(ISNUMBER(Matching_Engine!$O$70),Lookup_Lists!$D$113,0)+IF(ISNUMBER(Matching_Engine!$P$70),Lookup_Lists!$D$114,0)+IF(ISNUMBER(Matching_Engine!$Q$70),Lookup_Lists!$D$115,0)+IF(ISNUMBER(Matching_Engine!$R$70),Lookup_Lists!$D$116,0)),0))</f>
      </c>
      <c r="T70" s="11">
        <f>IF(ISNUMBER(Matching_Engine!$S$70),1,0)</f>
      </c>
      <c r="U70" s="18">
        <f>IF(NOT(AND(ISTEXT(KOL_Source_Data!$M$22),KOL_Source_Data!$M$22&lt;&gt;"N/A")),Lookup_Lists!$D$150,IF(Brand_Profile!$G$7=KOL_Source_Data!$M$22,100,IFERROR(INDEX(Lookup_Lists!$B$349:$J$357,MATCH(Brand_Profile!$G$7,Lookup_Lists!$A$349:$A$357,0),MATCH(KOL_Source_Data!$M$22,Lookup_Lists!$B$348:$J$348,0)),Lookup_Lists!$D$151)))</f>
      </c>
      <c r="V70" s="18">
        <f>IF(NOT(AND(ISTEXT(KOL_Source_Data!$P$22),KOL_Source_Data!$P$22&lt;&gt;"N/A")),"N/A",IFERROR(INDEX(Lookup_Lists!$B$349:$J$357,MATCH(Brand_Profile!$G$7,Lookup_Lists!$A$349:$A$357,0),MATCH(KOL_Source_Data!$P$22,Lookup_Lists!$B$348:$J$348,0)),Lookup_Lists!$D$151))</f>
      </c>
      <c r="W70" s="18">
        <f>IF(LEN(TRIM(SUBSTITUTE(Matching_Engine!$BE$70,"|","")))=0,"N/A",IF(Brand_Profile!$G$60=0,Lookup_Lists!$D$150,ROUND((IF(Brand_Profile!$G$54="",0,IF(ISNUMBER(SEARCH(Brand_Profile!$G$54,Matching_Engine!$BE$70)),1,0))+IF(Brand_Profile!$G$55="",0,IF(ISNUMBER(SEARCH(Brand_Profile!$G$55,Matching_Engine!$BE$70)),1,0))+IF(Brand_Profile!$G$56="",0,IF(ISNUMBER(SEARCH(Brand_Profile!$G$56,Matching_Engine!$BE$70)),1,0))+IF(Brand_Profile!$G$57="",0,IF(ISNUMBER(SEARCH(Brand_Profile!$G$57,Matching_Engine!$BE$70)),1,0))+IF(Brand_Profile!$G$58="",0,IF(ISNUMBER(SEARCH(Brand_Profile!$G$58,Matching_Engine!$BE$70)),1,0))+IF(Brand_Profile!$G$59="",0,IF(ISNUMBER(SEARCH(Brand_Profile!$G$59,Matching_Engine!$BE$70)),1,0)))/Brand_Profile!$G$60*100,0)))</f>
      </c>
      <c r="X70" s="18">
        <f>IF(NOT(AND(ISTEXT(KOL_Source_Data!$Q$22),KOL_Source_Data!$Q$22&lt;&gt;"N/A")),"N/A",Lookup_Lists!$D$150)</f>
      </c>
      <c r="Y70" s="29">
        <f>IF((IF(ISNUMBER(Matching_Engine!$U$70),Lookup_Lists!$D$335,0)+IF(ISNUMBER(Matching_Engine!$V$70),Lookup_Lists!$D$122,0)+IF(ISNUMBER(Matching_Engine!$W$70),Lookup_Lists!$D$336,0)+IF(ISNUMBER(Matching_Engine!$X$70),Lookup_Lists!$D$124,0))=0,"N/A",ROUND((IF(ISNUMBER(Matching_Engine!$U$70),Matching_Engine!$U$70*Lookup_Lists!$D$335,0)+IF(ISNUMBER(Matching_Engine!$V$70),Matching_Engine!$V$70*Lookup_Lists!$D$122,0)+IF(ISNUMBER(Matching_Engine!$W$70),Matching_Engine!$W$70*Lookup_Lists!$D$336,0)+IF(ISNUMBER(Matching_Engine!$X$70),Matching_Engine!$X$70*Lookup_Lists!$D$124,0))/(IF(ISNUMBER(Matching_Engine!$U$70),Lookup_Lists!$D$335,0)+IF(ISNUMBER(Matching_Engine!$V$70),Lookup_Lists!$D$122,0)+IF(ISNUMBER(Matching_Engine!$W$70),Lookup_Lists!$D$336,0)+IF(ISNUMBER(Matching_Engine!$X$70),Lookup_Lists!$D$124,0)),0))</f>
      </c>
      <c r="Z70" s="11">
        <f>IF(ISNUMBER(Matching_Engine!$Y$70),1,0)</f>
      </c>
      <c r="AA70" s="18">
        <f>IF(NOT(AND(ISTEXT(KOL_Source_Data!$Q$22),KOL_Source_Data!$Q$22&lt;&gt;"N/A")),"N/A",Lookup_Lists!$D$150)</f>
      </c>
      <c r="AB70" s="18">
        <f>IF(NOT(AND(ISTEXT(KOL_Source_Data!$Q$22),KOL_Source_Data!$Q$22&lt;&gt;"N/A")),"N/A",Lookup_Lists!$D$150)</f>
      </c>
      <c r="AC70" s="18">
        <f>"N/A"</f>
      </c>
      <c r="AD70" s="18">
        <f>IF(NOT(AND(ISTEXT(KOL_Source_Data!$Q$22),KOL_Source_Data!$Q$22&lt;&gt;"N/A")),"N/A",Lookup_Lists!$D$150)</f>
      </c>
      <c r="AE70" s="29">
        <f>IF((IF(ISNUMBER(Matching_Engine!$AA$70),Lookup_Lists!$D$125,0)+IF(ISNUMBER(Matching_Engine!$AB$70),Lookup_Lists!$D$126,0)+IF(ISNUMBER(Matching_Engine!$AC$70),Lookup_Lists!$D$127,0)+IF(ISNUMBER(Matching_Engine!$AD$70),Lookup_Lists!$D$128,0))=0,"N/A",ROUND((IF(ISNUMBER(Matching_Engine!$AA$70),Matching_Engine!$AA$70*Lookup_Lists!$D$125,0)+IF(ISNUMBER(Matching_Engine!$AB$70),Matching_Engine!$AB$70*Lookup_Lists!$D$126,0)+IF(ISNUMBER(Matching_Engine!$AC$70),Matching_Engine!$AC$70*Lookup_Lists!$D$127,0)+IF(ISNUMBER(Matching_Engine!$AD$70),Matching_Engine!$AD$70*Lookup_Lists!$D$128,0))/(IF(ISNUMBER(Matching_Engine!$AA$70),Lookup_Lists!$D$125,0)+IF(ISNUMBER(Matching_Engine!$AB$70),Lookup_Lists!$D$126,0)+IF(ISNUMBER(Matching_Engine!$AC$70),Lookup_Lists!$D$127,0)+IF(ISNUMBER(Matching_Engine!$AD$70),Lookup_Lists!$D$128,0)),0))</f>
      </c>
      <c r="AF70" s="11">
        <f>IF(ISNUMBER(Matching_Engine!$AE$70),1,0)</f>
      </c>
      <c r="AG70" s="18">
        <f>IF(NOT(ISNUMBER(KOL_Source_Data!$BG$22)),"N/A",MIN(100,ROUND(KOL_Source_Data!$BG$22/IFERROR(INDEX(Lookup_Lists!$B$340:$B$344,MATCH(KOL_Source_Data!$H$22,Lookup_Lists!$A$340:$A$344,0)),Lookup_Lists!$D$141)*100,0)))</f>
      </c>
      <c r="AH70" s="18">
        <f>IF(NOT(ISNUMBER(KOL_Source_Data!$BS$22)),"N/A",MIN(100,MAX(0,KOL_Source_Data!$BS$22)))</f>
      </c>
      <c r="AI70" s="18">
        <f>IF(OR(NOT(ISNUMBER(KOL_Source_Data!$BM$22)),NOT(ISNUMBER(KOL_Source_Data!$BN$22)),KOL_Source_Data!$BN$22&lt;Lookup_Lists!$D$320),"N/A",MIN(100,ROUND(KOL_Source_Data!$BM$22/Lookup_Lists!$D$319*100,0)))</f>
      </c>
      <c r="AJ70" s="18">
        <f>IF(NOT(ISNUMBER(KOL_Source_Data!$BR$22)),"N/A",KOL_Source_Data!$BR$22)</f>
      </c>
      <c r="AK70" s="18">
        <f>IF(NOT(ISNUMBER(KOL_Source_Data!$BK$22)),"N/A",MIN(100,ROUND(KOL_Source_Data!$BK$22/Lookup_Lists!$D$321*100,0)))</f>
      </c>
      <c r="AL70" s="18">
        <f>IF(NOT(ISNUMBER(KOL_Source_Data!$BP$22)),"N/A",MIN(100,MAX(0,ROUND((KOL_Source_Data!$BP$22+2)/(Lookup_Lists!$D$145+2)*100,0))))</f>
      </c>
      <c r="AM70" s="29">
        <f>IF((IF(ISNUMBER(Matching_Engine!$AG$70),Lookup_Lists!$D$129,0)+IF(ISNUMBER(Matching_Engine!$AH$70),Lookup_Lists!$D$130,0)+IF(ISNUMBER(Matching_Engine!$AI$70),Lookup_Lists!$D$131,0)+IF(ISNUMBER(Matching_Engine!$AJ$70),Lookup_Lists!$D$132,0)+IF(ISNUMBER(Matching_Engine!$AK$70),Lookup_Lists!$D$133,0)+IF(ISNUMBER(Matching_Engine!$AL$70),Lookup_Lists!$D$134,0))=0,"N/A",ROUND((IF(ISNUMBER(Matching_Engine!$AG$70),Matching_Engine!$AG$70*Lookup_Lists!$D$129,0)+IF(ISNUMBER(Matching_Engine!$AH$70),Matching_Engine!$AH$70*Lookup_Lists!$D$130,0)+IF(ISNUMBER(Matching_Engine!$AI$70),Matching_Engine!$AI$70*Lookup_Lists!$D$131,0)+IF(ISNUMBER(Matching_Engine!$AJ$70),Matching_Engine!$AJ$70*Lookup_Lists!$D$132,0)+IF(ISNUMBER(Matching_Engine!$AK$70),Matching_Engine!$AK$70*Lookup_Lists!$D$133,0)+IF(ISNUMBER(Matching_Engine!$AL$70),Matching_Engine!$AL$70*Lookup_Lists!$D$134,0))/(IF(ISNUMBER(Matching_Engine!$AG$70),Lookup_Lists!$D$129,0)+IF(ISNUMBER(Matching_Engine!$AH$70),Lookup_Lists!$D$130,0)+IF(ISNUMBER(Matching_Engine!$AI$70),Lookup_Lists!$D$131,0)+IF(ISNUMBER(Matching_Engine!$AJ$70),Lookup_Lists!$D$132,0)+IF(ISNUMBER(Matching_Engine!$AK$70),Lookup_Lists!$D$133,0)+IF(ISNUMBER(Matching_Engine!$AL$70),Lookup_Lists!$D$134,0)),0))</f>
      </c>
      <c r="AN70" s="11">
        <f>IF(ISNUMBER(Matching_Engine!$AM$70),1,0)</f>
      </c>
      <c r="AO70" s="18">
        <f>IF(NOT(ISNUMBER(KOL_Source_Data!$BT$22)),"N/A",MIN(100,MAX(0,KOL_Source_Data!$BT$22)))</f>
      </c>
      <c r="AP70" s="18">
        <f>IF(NOT(ISNUMBER(KOL_Source_Data!$BU$22)),"N/A",MIN(100,MAX(0,KOL_Source_Data!$BU$22)))</f>
      </c>
      <c r="AQ70" s="18">
        <f>IF(KOL_Source_Data!$I$22="Yes",Lookup_Lists!$D$326,IF(KOL_Source_Data!$I$22="No",Lookup_Lists!$D$327,"N/A"))</f>
      </c>
      <c r="AR70" s="18">
        <f>IF(NOT(ISNUMBER(KOL_Source_Data!$BQ$22)),"N/A",MAX(0,ROUND(100-KOL_Source_Data!$BQ$22/Lookup_Lists!$D$328*100,0)))</f>
      </c>
      <c r="AS70" s="18">
        <f>IF(NOT(AND(ISTEXT(KOL_Source_Data!$BV$22),KOL_Source_Data!$BV$22&lt;&gt;"N/A")),"N/A",KOL_Source_Data!$BV$22)</f>
      </c>
      <c r="AT70" s="29">
        <f>IF((IF(ISNUMBER(Matching_Engine!$AO$70),Lookup_Lists!$D$322,0)+IF(ISNUMBER(Matching_Engine!$AP$70),Lookup_Lists!$D$323,0)+IF(ISNUMBER(Matching_Engine!$AQ$70),Lookup_Lists!$D$324,0)+IF(ISNUMBER(Matching_Engine!$AR$70),Lookup_Lists!$D$325,0))=0,"N/A",ROUND((IF(ISNUMBER(Matching_Engine!$AO$70),Matching_Engine!$AO$70*Lookup_Lists!$D$322,0)+IF(ISNUMBER(Matching_Engine!$AP$70),Matching_Engine!$AP$70*Lookup_Lists!$D$323,0)+IF(ISNUMBER(Matching_Engine!$AQ$70),Matching_Engine!$AQ$70*Lookup_Lists!$D$324,0)+IF(ISNUMBER(Matching_Engine!$AR$70),Matching_Engine!$AR$70*Lookup_Lists!$D$325,0))/(IF(ISNUMBER(Matching_Engine!$AO$70),Lookup_Lists!$D$322,0)+IF(ISNUMBER(Matching_Engine!$AP$70),Lookup_Lists!$D$323,0)+IF(ISNUMBER(Matching_Engine!$AQ$70),Lookup_Lists!$D$324,0)+IF(ISNUMBER(Matching_Engine!$AR$70),Lookup_Lists!$D$325,0)),0))</f>
      </c>
      <c r="AU70" s="11">
        <f>IF(ISNUMBER(Matching_Engine!$AT$70),1,0)</f>
      </c>
      <c r="AV70" s="11">
        <f>IF(NOT(ISNUMBER(Matching_Engine!$AT$70)),"Not Screened",IF(Matching_Engine!$AT$70&gt;=Lookup_Lists!$D$329,"Low Risk",IF(Matching_Engine!$AT$70&gt;=Lookup_Lists!$D$330,"Moderate Risk",IF(Matching_Engine!$AT$70&gt;=Lookup_Lists!$D$331,"Elevated Risk","High Risk"))))</f>
      </c>
      <c r="AW70" s="11">
        <f>IF(NOT(ISNUMBER(Matching_Engine!$AT$70)),"No integrity signal: no audience-analysis row for this account.","Integrity screen only — no content-risk reading exists (comments_analysis: 0 rows). "&amp;IF(ISNUMBER(Matching_Engine!$AO$70),"Authenticity "&amp;Matching_Engine!$AO$70&amp;". ","Authenticity N/A. ")&amp;IF(ISNUMBER(Matching_Engine!$AP$70),"Follower quality "&amp;Matching_Engine!$AP$70&amp;". ","Follower quality N/A. ")&amp;IF(KOL_Source_Data!$I$22="Yes","Platform-verified.","Not platform-verified."))</f>
      </c>
      <c r="AX70" s="18">
        <f>Matching_Engine!$N$70*Lookup_Lists!$D$104+Matching_Engine!$T$70*Lookup_Lists!$D$105+Matching_Engine!$Z$70*Lookup_Lists!$D$106+Matching_Engine!$AF$70*Lookup_Lists!$D$107+Matching_Engine!$AN$70*Lookup_Lists!$D$108+Matching_Engine!$AU$70*Lookup_Lists!$D$109</f>
      </c>
      <c r="AY70" s="30">
        <f>IF(Matching_Engine!$AX$70=0,"N/A",ROUND((IF(Matching_Engine!$N$70=1,Matching_Engine!$M$70*Lookup_Lists!$D$104,0)+IF(Matching_Engine!$T$70=1,Matching_Engine!$S$70*Lookup_Lists!$D$105,0)+IF(Matching_Engine!$Z$70=1,Matching_Engine!$Y$70*Lookup_Lists!$D$106,0)+IF(Matching_Engine!$AF$70=1,Matching_Engine!$AE$70*Lookup_Lists!$D$107,0)+IF(Matching_Engine!$AN$70=1,Matching_Engine!$AM$70*Lookup_Lists!$D$108,0)+IF(Matching_Engine!$AU$70=1,Matching_Engine!$AT$70*Lookup_Lists!$D$109,0))/Matching_Engine!$AX$70,0))</f>
      </c>
      <c r="AZ70" s="11">
        <f>IF(NOT(ISNUMBER(Matching_Engine!$AY$70)),"Not Scored",IF(Matching_Engine!$AY$70&gt;=Lookup_Lists!$D$152,"Excellent Match",IF(Matching_Engine!$AY$70&gt;=Lookup_Lists!$D$153,"Strong Match",IF(Matching_Engine!$AY$70&gt;=Lookup_Lists!$D$154,"Good Match",IF(Matching_Engine!$AY$70&gt;=Lookup_Lists!$D$155,"Moderate Match","Low Match")))))</f>
      </c>
      <c r="BA70" s="18">
        <f>KOL_Source_Data!$BW$22</f>
      </c>
      <c r="BB70" s="11">
        <f>KOL_Source_Data!$BX$22</f>
      </c>
      <c r="BC70" s="18">
        <f>IF(NOT(ISNUMBER(Matching_Engine!$AY$70)),-1,Matching_Engine!$AY$70*1000+8)</f>
      </c>
      <c r="BD70" s="11">
        <f>IF(AND(ISTEXT(KOL_Source_Data!$S$22),KOL_Source_Data!$S$22&lt;&gt;"N/A"),KOL_Source_Data!$S$22,"")&amp;" | "&amp;IF(AND(ISTEXT(KOL_Source_Data!$T$22),KOL_Source_Data!$T$22&lt;&gt;"N/A"),KOL_Source_Data!$T$22,"")&amp;" | "&amp;IF(AND(ISTEXT(KOL_Source_Data!$N$22),KOL_Source_Data!$N$22&lt;&gt;"N/A"),KOL_Source_Data!$N$22,"")&amp;" | "&amp;IF(AND(ISTEXT(KOL_Source_Data!$K$22),KOL_Source_Data!$K$22&lt;&gt;"N/A"),KOL_Source_Data!$K$22,"")&amp;" | "&amp;IF(AND(ISTEXT(KOL_Source_Data!$J$22),KOL_Source_Data!$J$22&lt;&gt;"N/A"),KOL_Source_Data!$J$22,"")</f>
      </c>
      <c r="BE70" s="11">
        <f>IF(AND(ISTEXT(KOL_Source_Data!$T$22),KOL_Source_Data!$T$22&lt;&gt;"N/A"),KOL_Source_Data!$T$22,"")&amp;" | "&amp;IF(AND(ISTEXT(KOL_Source_Data!$N$22),KOL_Source_Data!$N$22&lt;&gt;"N/A"),KOL_Source_Data!$N$22,"")&amp;" | "&amp;IF(AND(ISTEXT(KOL_Source_Data!$O$22),KOL_Source_Data!$O$22&lt;&gt;"N/A"),KOL_Source_Data!$O$22,"")&amp;" | "&amp;IF(AND(ISTEXT(KOL_Source_Data!$S$22),KOL_Source_Data!$S$22&lt;&gt;"N/A"),KOL_Source_Data!$S$22,"")</f>
      </c>
      <c r="BF70" s="11">
        <f>IF(AND(ISTEXT(KOL_Source_Data!$U$22),KOL_Source_Data!$U$22&lt;&gt;"N/A"),KOL_Source_Data!$U$22,"")</f>
      </c>
      <c r="BG70" s="11">
        <f>Matching_Engine!$A$70&amp;"|"&amp;Matching_Engine!$C$70</f>
      </c>
    </row>
    <row r="71" spans="1:59" x14ac:dyDescent="0.25">
      <c r="A71" s="10" t="s">
        <v>392</v>
      </c>
      <c r="B71" s="11">
        <f>Brand_Profile!$G$6</f>
      </c>
      <c r="C71" s="11">
        <f>KOL_Source_Data!$A$23</f>
      </c>
      <c r="D71" s="11">
        <f>KOL_Source_Data!$C$23</f>
      </c>
      <c r="E71" s="11">
        <f>KOL_Source_Data!$D$23</f>
      </c>
      <c r="F71" s="11">
        <f>KOL_Source_Data!$E$23</f>
      </c>
      <c r="G71" s="11">
        <f>KOL_Source_Data!$K$23</f>
      </c>
      <c r="H71" s="12">
        <f>KOL_Source_Data!$G$23</f>
      </c>
      <c r="I71" s="14">
        <f>KOL_Source_Data!$BG$23</f>
      </c>
      <c r="J71" s="18">
        <f>IF(NOT(AND(ISTEXT(KOL_Source_Data!$K$23),KOL_Source_Data!$K$23&lt;&gt;"N/A")),Lookup_Lists!$D$150,IF(Brand_Profile!$G$7=KOL_Source_Data!$K$23,100,IFERROR(INDEX(Lookup_Lists!$B$349:$J$357,MATCH(Brand_Profile!$G$7,Lookup_Lists!$A$349:$A$357,0),MATCH(KOL_Source_Data!$K$23,Lookup_Lists!$B$348:$J$348,0)),Lookup_Lists!$D$151)))</f>
      </c>
      <c r="K71" s="18">
        <f>IF(LEN(TRIM(SUBSTITUTE(Matching_Engine!$BD$71,"|","")))=0,"N/A",IF(Brand_Profile!$G$47=0,Lookup_Lists!$D$150,ROUND((IF(Brand_Profile!$G$41="",0,IF(ISNUMBER(SEARCH(Brand_Profile!$G$41,Matching_Engine!$BD$71)),1,0))+IF(Brand_Profile!$G$42="",0,IF(ISNUMBER(SEARCH(Brand_Profile!$G$42,Matching_Engine!$BD$71)),1,0))+IF(Brand_Profile!$G$43="",0,IF(ISNUMBER(SEARCH(Brand_Profile!$G$43,Matching_Engine!$BD$71)),1,0))+IF(Brand_Profile!$G$44="",0,IF(ISNUMBER(SEARCH(Brand_Profile!$G$44,Matching_Engine!$BD$71)),1,0))+IF(Brand_Profile!$G$45="",0,IF(ISNUMBER(SEARCH(Brand_Profile!$G$45,Matching_Engine!$BD$71)),1,0))+IF(Brand_Profile!$G$46="",0,IF(ISNUMBER(SEARCH(Brand_Profile!$G$46,Matching_Engine!$BD$71)),1,0)))/Brand_Profile!$G$47*100,0)))</f>
      </c>
      <c r="L71" s="18">
        <f>IF(NOT(AND(ISTEXT(KOL_Source_Data!$U$23),KOL_Source_Data!$U$23&lt;&gt;"N/A")),"N/A",IF(Brand_Profile!$G$53=0,Lookup_Lists!$D$150,ROUND((IF(Brand_Profile!$G$48="",0,IF(ISNUMBER(SEARCH(Brand_Profile!$G$48,Matching_Engine!$BF$71)),1,0))+IF(Brand_Profile!$G$49="",0,IF(ISNUMBER(SEARCH(Brand_Profile!$G$49,Matching_Engine!$BF$71)),1,0))+IF(Brand_Profile!$G$50="",0,IF(ISNUMBER(SEARCH(Brand_Profile!$G$50,Matching_Engine!$BF$71)),1,0))+IF(Brand_Profile!$G$51="",0,IF(ISNUMBER(SEARCH(Brand_Profile!$G$51,Matching_Engine!$BF$71)),1,0))+IF(Brand_Profile!$G$52="",0,IF(ISNUMBER(SEARCH(Brand_Profile!$G$52,Matching_Engine!$BF$71)),1,0)))/Brand_Profile!$G$53*100,0)))</f>
      </c>
      <c r="M71" s="29">
        <f>IF((IF(ISNUMBER(Matching_Engine!$J$71),Lookup_Lists!$D$332,0)+IF(ISNUMBER(Matching_Engine!$K$71),Lookup_Lists!$D$333,0)+IF(ISNUMBER(Matching_Engine!$L$71),Lookup_Lists!$D$334,0))=0,"N/A",ROUND((IF(ISNUMBER(Matching_Engine!$J$71),Matching_Engine!$J$71*Lookup_Lists!$D$332,0)+IF(ISNUMBER(Matching_Engine!$K$71),Matching_Engine!$K$71*Lookup_Lists!$D$333,0)+IF(ISNUMBER(Matching_Engine!$L$71),Matching_Engine!$L$71*Lookup_Lists!$D$334,0))/(IF(ISNUMBER(Matching_Engine!$J$71),Lookup_Lists!$D$332,0)+IF(ISNUMBER(Matching_Engine!$K$71),Lookup_Lists!$D$333,0)+IF(ISNUMBER(Matching_Engine!$L$71),Lookup_Lists!$D$334,0)),0))</f>
      </c>
      <c r="N71" s="11">
        <f>IF(ISNUMBER(Matching_Engine!$M$71),1,0)</f>
      </c>
      <c r="O71" s="18">
        <f>IF(NOT(ISNUMBER(IFERROR(INDEX(KOL_Source_Data!$V$23:KOL_Source_Data!$Z$23,1,MATCH(Brand_Profile!$G$11,Lookup_Lists!$F$6:$F$10,0)),""))),"N/A",MIN(100,ROUND((IFERROR(INDEX(KOL_Source_Data!$V$23:KOL_Source_Data!$Z$23,1,MATCH(Brand_Profile!$G$11,Lookup_Lists!$F$6:$F$10,0)),"")+0.5*IF(ISNUMBER(IFERROR(INDEX(KOL_Source_Data!$V$23:KOL_Source_Data!$Z$23,1,MATCH(Brand_Profile!$G$12,Lookup_Lists!$F$6:$F$10,0)),"")),IFERROR(INDEX(KOL_Source_Data!$V$23:KOL_Source_Data!$Z$23,1,MATCH(Brand_Profile!$G$12,Lookup_Lists!$F$6:$F$10,0)),""),0))/Lookup_Lists!$D$142*100,0)))</f>
      </c>
      <c r="P71" s="18">
        <f>IF(Brand_Profile!$G$13="Any",100,IF(NOT(ISNUMBER(KOL_Source_Data!$AA$23)),"N/A",IF(Brand_Profile!$G$13="Female",MIN(100,ROUND(KOL_Source_Data!$AA$23/Lookup_Lists!$D$143*100,0)),IF(Brand_Profile!$G$13="Male",MIN(100,ROUND(IF(ISNUMBER(KOL_Source_Data!$AB$23),KOL_Source_Data!$AB$23,100-KOL_Source_Data!$AA$23)/Lookup_Lists!$D$143*100,0)),MAX(0,ROUND(100-ABS(KOL_Source_Data!$AA$23-50)*2,0))))))</f>
      </c>
      <c r="Q71" s="18">
        <f>IF((IF(ISNUMBER(IF(NOT(ISNUMBER(KOL_Source_Data!$AE$23)),"N/A",IF(KOL_Source_Data!$AD$23&lt;&gt;Brand_Profile!$G$14,Lookup_Lists!$D$151,MIN(100,ROUND(KOL_Source_Data!$AE$23/Lookup_Lists!$D$316*100,0))))),Lookup_Lists!$D$118,0)+IF(ISNUMBER(IF(NOT(ISNUMBER(KOL_Source_Data!$AM$23)),"N/A",MIN(100,ROUND((IF(KOL_Source_Data!$AG$23=Brand_Profile!$G$15,IF(ISNUMBER(KOL_Source_Data!$AH$23),KOL_Source_Data!$AH$23,0),0)+IF(KOL_Source_Data!$AI$23=Brand_Profile!$G$15,IF(ISNUMBER(KOL_Source_Data!$AJ$23),KOL_Source_Data!$AJ$23,0),0)+IF(KOL_Source_Data!$AK$23=Brand_Profile!$G$15,IF(ISNUMBER(KOL_Source_Data!$AL$23),KOL_Source_Data!$AL$23,0),0))/Lookup_Lists!$D$317*100,0)))),Lookup_Lists!$D$120,0))=0,"N/A",ROUND((IF(ISNUMBER(IF(NOT(ISNUMBER(KOL_Source_Data!$AE$23)),"N/A",IF(KOL_Source_Data!$AD$23&lt;&gt;Brand_Profile!$G$14,Lookup_Lists!$D$151,MIN(100,ROUND(KOL_Source_Data!$AE$23/Lookup_Lists!$D$316*100,0))))),IF(NOT(ISNUMBER(KOL_Source_Data!$AE$23)),"N/A",IF(KOL_Source_Data!$AD$23&lt;&gt;Brand_Profile!$G$14,Lookup_Lists!$D$151,MIN(100,ROUND(KOL_Source_Data!$AE$23/Lookup_Lists!$D$316*100,0))))*Lookup_Lists!$D$118,0)+IF(ISNUMBER(IF(NOT(ISNUMBER(KOL_Source_Data!$AM$23)),"N/A",MIN(100,ROUND((IF(KOL_Source_Data!$AG$23=Brand_Profile!$G$15,IF(ISNUMBER(KOL_Source_Data!$AH$23),KOL_Source_Data!$AH$23,0),0)+IF(KOL_Source_Data!$AI$23=Brand_Profile!$G$15,IF(ISNUMBER(KOL_Source_Data!$AJ$23),KOL_Source_Data!$AJ$23,0),0)+IF(KOL_Source_Data!$AK$23=Brand_Profile!$G$15,IF(ISNUMBER(KOL_Source_Data!$AL$23),KOL_Source_Data!$AL$23,0),0))/Lookup_Lists!$D$317*100,0)))),IF(NOT(ISNUMBER(KOL_Source_Data!$AM$23)),"N/A",MIN(100,ROUND((IF(KOL_Source_Data!$AG$23=Brand_Profile!$G$15,IF(ISNUMBER(KOL_Source_Data!$AH$23),KOL_Source_Data!$AH$23,0),0)+IF(KOL_Source_Data!$AI$23=Brand_Profile!$G$15,IF(ISNUMBER(KOL_Source_Data!$AJ$23),KOL_Source_Data!$AJ$23,0),0)+IF(KOL_Source_Data!$AK$23=Brand_Profile!$G$15,IF(ISNUMBER(KOL_Source_Data!$AL$23),KOL_Source_Data!$AL$23,0),0))/Lookup_Lists!$D$317*100,0)))*Lookup_Lists!$D$120,0))/(IF(ISNUMBER(IF(NOT(ISNUMBER(KOL_Source_Data!$AE$23)),"N/A",IF(KOL_Source_Data!$AD$23&lt;&gt;Brand_Profile!$G$14,Lookup_Lists!$D$151,MIN(100,ROUND(KOL_Source_Data!$AE$23/Lookup_Lists!$D$316*100,0))))),Lookup_Lists!$D$118,0)+IF(ISNUMBER(IF(NOT(ISNUMBER(KOL_Source_Data!$AM$23)),"N/A",MIN(100,ROUND((IF(KOL_Source_Data!$AG$23=Brand_Profile!$G$15,IF(ISNUMBER(KOL_Source_Data!$AH$23),KOL_Source_Data!$AH$23,0),0)+IF(KOL_Source_Data!$AI$23=Brand_Profile!$G$15,IF(ISNUMBER(KOL_Source_Data!$AJ$23),KOL_Source_Data!$AJ$23,0),0)+IF(KOL_Source_Data!$AK$23=Brand_Profile!$G$15,IF(ISNUMBER(KOL_Source_Data!$AL$23),KOL_Source_Data!$AL$23,0),0))/Lookup_Lists!$D$317*100,0)))),Lookup_Lists!$D$120,0)),0))</f>
      </c>
      <c r="R71" s="18">
        <f>IF(NOT(ISNUMBER(KOL_Source_Data!$AN$23)),"N/A",MIN(100,ROUND((IF(ISNUMBER(KOL_Source_Data!$AO$23),KOL_Source_Data!$AO$23*Brand_Profile!$G$17,0)+IF(ISNUMBER(KOL_Source_Data!$AP$23),KOL_Source_Data!$AP$23*Brand_Profile!$G$18,0)+IF(ISNUMBER(KOL_Source_Data!$AQ$23),KOL_Source_Data!$AQ$23*Brand_Profile!$G$19,0)+IF(ISNUMBER(KOL_Source_Data!$AR$23),KOL_Source_Data!$AR$23*Brand_Profile!$G$20,0)+IF(ISNUMBER(KOL_Source_Data!$AS$23),KOL_Source_Data!$AS$23*Brand_Profile!$G$21,0)+IF(ISNUMBER(KOL_Source_Data!$AT$23),KOL_Source_Data!$AT$23*Brand_Profile!$G$22,0)+IF(ISNUMBER(KOL_Source_Data!$AU$23),KOL_Source_Data!$AU$23*Brand_Profile!$G$23,0)+IF(ISNUMBER(KOL_Source_Data!$AV$23),KOL_Source_Data!$AV$23*Brand_Profile!$G$24,0)+IF(ISNUMBER(KOL_Source_Data!$AW$23),KOL_Source_Data!$AW$23*Brand_Profile!$G$25,0)+IF(ISNUMBER(KOL_Source_Data!$AX$23),KOL_Source_Data!$AX$23*Brand_Profile!$G$26,0)+IF(ISNUMBER(KOL_Source_Data!$AY$23),KOL_Source_Data!$AY$23*Brand_Profile!$G$27,0)+IF(ISNUMBER(KOL_Source_Data!$AZ$23),KOL_Source_Data!$AZ$23*Brand_Profile!$G$28,0)+IF(ISNUMBER(KOL_Source_Data!$BA$23),KOL_Source_Data!$BA$23*Brand_Profile!$G$29,0)+IF(ISNUMBER(KOL_Source_Data!$BB$23),KOL_Source_Data!$BB$23*Brand_Profile!$G$30,0)+IF(ISNUMBER(KOL_Source_Data!$BC$23),KOL_Source_Data!$BC$23*Brand_Profile!$G$31,0)+IF(ISNUMBER(KOL_Source_Data!$BD$23),KOL_Source_Data!$BD$23*Brand_Profile!$G$32,0)+IF(ISNUMBER(KOL_Source_Data!$BE$23),KOL_Source_Data!$BE$23*Brand_Profile!$G$33,0)+IF(ISNUMBER(KOL_Source_Data!$BF$23),KOL_Source_Data!$BF$23*Brand_Profile!$G$34,0))/Lookup_Lists!$D$318*100,0)))</f>
      </c>
      <c r="S71" s="29">
        <f>IF((IF(ISNUMBER(Matching_Engine!$O$71),Lookup_Lists!$D$113,0)+IF(ISNUMBER(Matching_Engine!$P$71),Lookup_Lists!$D$114,0)+IF(ISNUMBER(Matching_Engine!$Q$71),Lookup_Lists!$D$115,0)+IF(ISNUMBER(Matching_Engine!$R$71),Lookup_Lists!$D$116,0))=0,"N/A",ROUND((IF(ISNUMBER(Matching_Engine!$O$71),Matching_Engine!$O$71*Lookup_Lists!$D$113,0)+IF(ISNUMBER(Matching_Engine!$P$71),Matching_Engine!$P$71*Lookup_Lists!$D$114,0)+IF(ISNUMBER(Matching_Engine!$Q$71),Matching_Engine!$Q$71*Lookup_Lists!$D$115,0)+IF(ISNUMBER(Matching_Engine!$R$71),Matching_Engine!$R$71*Lookup_Lists!$D$116,0))/(IF(ISNUMBER(Matching_Engine!$O$71),Lookup_Lists!$D$113,0)+IF(ISNUMBER(Matching_Engine!$P$71),Lookup_Lists!$D$114,0)+IF(ISNUMBER(Matching_Engine!$Q$71),Lookup_Lists!$D$115,0)+IF(ISNUMBER(Matching_Engine!$R$71),Lookup_Lists!$D$116,0)),0))</f>
      </c>
      <c r="T71" s="11">
        <f>IF(ISNUMBER(Matching_Engine!$S$71),1,0)</f>
      </c>
      <c r="U71" s="18">
        <f>IF(NOT(AND(ISTEXT(KOL_Source_Data!$M$23),KOL_Source_Data!$M$23&lt;&gt;"N/A")),Lookup_Lists!$D$150,IF(Brand_Profile!$G$7=KOL_Source_Data!$M$23,100,IFERROR(INDEX(Lookup_Lists!$B$349:$J$357,MATCH(Brand_Profile!$G$7,Lookup_Lists!$A$349:$A$357,0),MATCH(KOL_Source_Data!$M$23,Lookup_Lists!$B$348:$J$348,0)),Lookup_Lists!$D$151)))</f>
      </c>
      <c r="V71" s="18">
        <f>IF(NOT(AND(ISTEXT(KOL_Source_Data!$P$23),KOL_Source_Data!$P$23&lt;&gt;"N/A")),"N/A",IFERROR(INDEX(Lookup_Lists!$B$349:$J$357,MATCH(Brand_Profile!$G$7,Lookup_Lists!$A$349:$A$357,0),MATCH(KOL_Source_Data!$P$23,Lookup_Lists!$B$348:$J$348,0)),Lookup_Lists!$D$151))</f>
      </c>
      <c r="W71" s="18">
        <f>IF(LEN(TRIM(SUBSTITUTE(Matching_Engine!$BE$71,"|","")))=0,"N/A",IF(Brand_Profile!$G$60=0,Lookup_Lists!$D$150,ROUND((IF(Brand_Profile!$G$54="",0,IF(ISNUMBER(SEARCH(Brand_Profile!$G$54,Matching_Engine!$BE$71)),1,0))+IF(Brand_Profile!$G$55="",0,IF(ISNUMBER(SEARCH(Brand_Profile!$G$55,Matching_Engine!$BE$71)),1,0))+IF(Brand_Profile!$G$56="",0,IF(ISNUMBER(SEARCH(Brand_Profile!$G$56,Matching_Engine!$BE$71)),1,0))+IF(Brand_Profile!$G$57="",0,IF(ISNUMBER(SEARCH(Brand_Profile!$G$57,Matching_Engine!$BE$71)),1,0))+IF(Brand_Profile!$G$58="",0,IF(ISNUMBER(SEARCH(Brand_Profile!$G$58,Matching_Engine!$BE$71)),1,0))+IF(Brand_Profile!$G$59="",0,IF(ISNUMBER(SEARCH(Brand_Profile!$G$59,Matching_Engine!$BE$71)),1,0)))/Brand_Profile!$G$60*100,0)))</f>
      </c>
      <c r="X71" s="18">
        <f>IF(NOT(AND(ISTEXT(KOL_Source_Data!$Q$23),KOL_Source_Data!$Q$23&lt;&gt;"N/A")),"N/A",Lookup_Lists!$D$150)</f>
      </c>
      <c r="Y71" s="29">
        <f>IF((IF(ISNUMBER(Matching_Engine!$U$71),Lookup_Lists!$D$335,0)+IF(ISNUMBER(Matching_Engine!$V$71),Lookup_Lists!$D$122,0)+IF(ISNUMBER(Matching_Engine!$W$71),Lookup_Lists!$D$336,0)+IF(ISNUMBER(Matching_Engine!$X$71),Lookup_Lists!$D$124,0))=0,"N/A",ROUND((IF(ISNUMBER(Matching_Engine!$U$71),Matching_Engine!$U$71*Lookup_Lists!$D$335,0)+IF(ISNUMBER(Matching_Engine!$V$71),Matching_Engine!$V$71*Lookup_Lists!$D$122,0)+IF(ISNUMBER(Matching_Engine!$W$71),Matching_Engine!$W$71*Lookup_Lists!$D$336,0)+IF(ISNUMBER(Matching_Engine!$X$71),Matching_Engine!$X$71*Lookup_Lists!$D$124,0))/(IF(ISNUMBER(Matching_Engine!$U$71),Lookup_Lists!$D$335,0)+IF(ISNUMBER(Matching_Engine!$V$71),Lookup_Lists!$D$122,0)+IF(ISNUMBER(Matching_Engine!$W$71),Lookup_Lists!$D$336,0)+IF(ISNUMBER(Matching_Engine!$X$71),Lookup_Lists!$D$124,0)),0))</f>
      </c>
      <c r="Z71" s="11">
        <f>IF(ISNUMBER(Matching_Engine!$Y$71),1,0)</f>
      </c>
      <c r="AA71" s="18">
        <f>IF(NOT(AND(ISTEXT(KOL_Source_Data!$Q$23),KOL_Source_Data!$Q$23&lt;&gt;"N/A")),"N/A",Lookup_Lists!$D$150)</f>
      </c>
      <c r="AB71" s="18">
        <f>IF(NOT(AND(ISTEXT(KOL_Source_Data!$Q$23),KOL_Source_Data!$Q$23&lt;&gt;"N/A")),"N/A",Lookup_Lists!$D$150)</f>
      </c>
      <c r="AC71" s="18">
        <f>"N/A"</f>
      </c>
      <c r="AD71" s="18">
        <f>IF(NOT(AND(ISTEXT(KOL_Source_Data!$Q$23),KOL_Source_Data!$Q$23&lt;&gt;"N/A")),"N/A",Lookup_Lists!$D$150)</f>
      </c>
      <c r="AE71" s="29">
        <f>IF((IF(ISNUMBER(Matching_Engine!$AA$71),Lookup_Lists!$D$125,0)+IF(ISNUMBER(Matching_Engine!$AB$71),Lookup_Lists!$D$126,0)+IF(ISNUMBER(Matching_Engine!$AC$71),Lookup_Lists!$D$127,0)+IF(ISNUMBER(Matching_Engine!$AD$71),Lookup_Lists!$D$128,0))=0,"N/A",ROUND((IF(ISNUMBER(Matching_Engine!$AA$71),Matching_Engine!$AA$71*Lookup_Lists!$D$125,0)+IF(ISNUMBER(Matching_Engine!$AB$71),Matching_Engine!$AB$71*Lookup_Lists!$D$126,0)+IF(ISNUMBER(Matching_Engine!$AC$71),Matching_Engine!$AC$71*Lookup_Lists!$D$127,0)+IF(ISNUMBER(Matching_Engine!$AD$71),Matching_Engine!$AD$71*Lookup_Lists!$D$128,0))/(IF(ISNUMBER(Matching_Engine!$AA$71),Lookup_Lists!$D$125,0)+IF(ISNUMBER(Matching_Engine!$AB$71),Lookup_Lists!$D$126,0)+IF(ISNUMBER(Matching_Engine!$AC$71),Lookup_Lists!$D$127,0)+IF(ISNUMBER(Matching_Engine!$AD$71),Lookup_Lists!$D$128,0)),0))</f>
      </c>
      <c r="AF71" s="11">
        <f>IF(ISNUMBER(Matching_Engine!$AE$71),1,0)</f>
      </c>
      <c r="AG71" s="18">
        <f>IF(NOT(ISNUMBER(KOL_Source_Data!$BG$23)),"N/A",MIN(100,ROUND(KOL_Source_Data!$BG$23/IFERROR(INDEX(Lookup_Lists!$B$340:$B$344,MATCH(KOL_Source_Data!$H$23,Lookup_Lists!$A$340:$A$344,0)),Lookup_Lists!$D$141)*100,0)))</f>
      </c>
      <c r="AH71" s="18">
        <f>IF(NOT(ISNUMBER(KOL_Source_Data!$BS$23)),"N/A",MIN(100,MAX(0,KOL_Source_Data!$BS$23)))</f>
      </c>
      <c r="AI71" s="18">
        <f>IF(OR(NOT(ISNUMBER(KOL_Source_Data!$BM$23)),NOT(ISNUMBER(KOL_Source_Data!$BN$23)),KOL_Source_Data!$BN$23&lt;Lookup_Lists!$D$320),"N/A",MIN(100,ROUND(KOL_Source_Data!$BM$23/Lookup_Lists!$D$319*100,0)))</f>
      </c>
      <c r="AJ71" s="18">
        <f>IF(NOT(ISNUMBER(KOL_Source_Data!$BR$23)),"N/A",KOL_Source_Data!$BR$23)</f>
      </c>
      <c r="AK71" s="18">
        <f>IF(NOT(ISNUMBER(KOL_Source_Data!$BK$23)),"N/A",MIN(100,ROUND(KOL_Source_Data!$BK$23/Lookup_Lists!$D$321*100,0)))</f>
      </c>
      <c r="AL71" s="18">
        <f>IF(NOT(ISNUMBER(KOL_Source_Data!$BP$23)),"N/A",MIN(100,MAX(0,ROUND((KOL_Source_Data!$BP$23+2)/(Lookup_Lists!$D$145+2)*100,0))))</f>
      </c>
      <c r="AM71" s="29">
        <f>IF((IF(ISNUMBER(Matching_Engine!$AG$71),Lookup_Lists!$D$129,0)+IF(ISNUMBER(Matching_Engine!$AH$71),Lookup_Lists!$D$130,0)+IF(ISNUMBER(Matching_Engine!$AI$71),Lookup_Lists!$D$131,0)+IF(ISNUMBER(Matching_Engine!$AJ$71),Lookup_Lists!$D$132,0)+IF(ISNUMBER(Matching_Engine!$AK$71),Lookup_Lists!$D$133,0)+IF(ISNUMBER(Matching_Engine!$AL$71),Lookup_Lists!$D$134,0))=0,"N/A",ROUND((IF(ISNUMBER(Matching_Engine!$AG$71),Matching_Engine!$AG$71*Lookup_Lists!$D$129,0)+IF(ISNUMBER(Matching_Engine!$AH$71),Matching_Engine!$AH$71*Lookup_Lists!$D$130,0)+IF(ISNUMBER(Matching_Engine!$AI$71),Matching_Engine!$AI$71*Lookup_Lists!$D$131,0)+IF(ISNUMBER(Matching_Engine!$AJ$71),Matching_Engine!$AJ$71*Lookup_Lists!$D$132,0)+IF(ISNUMBER(Matching_Engine!$AK$71),Matching_Engine!$AK$71*Lookup_Lists!$D$133,0)+IF(ISNUMBER(Matching_Engine!$AL$71),Matching_Engine!$AL$71*Lookup_Lists!$D$134,0))/(IF(ISNUMBER(Matching_Engine!$AG$71),Lookup_Lists!$D$129,0)+IF(ISNUMBER(Matching_Engine!$AH$71),Lookup_Lists!$D$130,0)+IF(ISNUMBER(Matching_Engine!$AI$71),Lookup_Lists!$D$131,0)+IF(ISNUMBER(Matching_Engine!$AJ$71),Lookup_Lists!$D$132,0)+IF(ISNUMBER(Matching_Engine!$AK$71),Lookup_Lists!$D$133,0)+IF(ISNUMBER(Matching_Engine!$AL$71),Lookup_Lists!$D$134,0)),0))</f>
      </c>
      <c r="AN71" s="11">
        <f>IF(ISNUMBER(Matching_Engine!$AM$71),1,0)</f>
      </c>
      <c r="AO71" s="18">
        <f>IF(NOT(ISNUMBER(KOL_Source_Data!$BT$23)),"N/A",MIN(100,MAX(0,KOL_Source_Data!$BT$23)))</f>
      </c>
      <c r="AP71" s="18">
        <f>IF(NOT(ISNUMBER(KOL_Source_Data!$BU$23)),"N/A",MIN(100,MAX(0,KOL_Source_Data!$BU$23)))</f>
      </c>
      <c r="AQ71" s="18">
        <f>IF(KOL_Source_Data!$I$23="Yes",Lookup_Lists!$D$326,IF(KOL_Source_Data!$I$23="No",Lookup_Lists!$D$327,"N/A"))</f>
      </c>
      <c r="AR71" s="18">
        <f>IF(NOT(ISNUMBER(KOL_Source_Data!$BQ$23)),"N/A",MAX(0,ROUND(100-KOL_Source_Data!$BQ$23/Lookup_Lists!$D$328*100,0)))</f>
      </c>
      <c r="AS71" s="18">
        <f>IF(NOT(AND(ISTEXT(KOL_Source_Data!$BV$23),KOL_Source_Data!$BV$23&lt;&gt;"N/A")),"N/A",KOL_Source_Data!$BV$23)</f>
      </c>
      <c r="AT71" s="29">
        <f>IF((IF(ISNUMBER(Matching_Engine!$AO$71),Lookup_Lists!$D$322,0)+IF(ISNUMBER(Matching_Engine!$AP$71),Lookup_Lists!$D$323,0)+IF(ISNUMBER(Matching_Engine!$AQ$71),Lookup_Lists!$D$324,0)+IF(ISNUMBER(Matching_Engine!$AR$71),Lookup_Lists!$D$325,0))=0,"N/A",ROUND((IF(ISNUMBER(Matching_Engine!$AO$71),Matching_Engine!$AO$71*Lookup_Lists!$D$322,0)+IF(ISNUMBER(Matching_Engine!$AP$71),Matching_Engine!$AP$71*Lookup_Lists!$D$323,0)+IF(ISNUMBER(Matching_Engine!$AQ$71),Matching_Engine!$AQ$71*Lookup_Lists!$D$324,0)+IF(ISNUMBER(Matching_Engine!$AR$71),Matching_Engine!$AR$71*Lookup_Lists!$D$325,0))/(IF(ISNUMBER(Matching_Engine!$AO$71),Lookup_Lists!$D$322,0)+IF(ISNUMBER(Matching_Engine!$AP$71),Lookup_Lists!$D$323,0)+IF(ISNUMBER(Matching_Engine!$AQ$71),Lookup_Lists!$D$324,0)+IF(ISNUMBER(Matching_Engine!$AR$71),Lookup_Lists!$D$325,0)),0))</f>
      </c>
      <c r="AU71" s="11">
        <f>IF(ISNUMBER(Matching_Engine!$AT$71),1,0)</f>
      </c>
      <c r="AV71" s="11">
        <f>IF(NOT(ISNUMBER(Matching_Engine!$AT$71)),"Not Screened",IF(Matching_Engine!$AT$71&gt;=Lookup_Lists!$D$329,"Low Risk",IF(Matching_Engine!$AT$71&gt;=Lookup_Lists!$D$330,"Moderate Risk",IF(Matching_Engine!$AT$71&gt;=Lookup_Lists!$D$331,"Elevated Risk","High Risk"))))</f>
      </c>
      <c r="AW71" s="11">
        <f>IF(NOT(ISNUMBER(Matching_Engine!$AT$71)),"No integrity signal: no audience-analysis row for this account.","Integrity screen only — no content-risk reading exists (comments_analysis: 0 rows). "&amp;IF(ISNUMBER(Matching_Engine!$AO$71),"Authenticity "&amp;Matching_Engine!$AO$71&amp;". ","Authenticity N/A. ")&amp;IF(ISNUMBER(Matching_Engine!$AP$71),"Follower quality "&amp;Matching_Engine!$AP$71&amp;". ","Follower quality N/A. ")&amp;IF(KOL_Source_Data!$I$23="Yes","Platform-verified.","Not platform-verified."))</f>
      </c>
      <c r="AX71" s="18">
        <f>Matching_Engine!$N$71*Lookup_Lists!$D$104+Matching_Engine!$T$71*Lookup_Lists!$D$105+Matching_Engine!$Z$71*Lookup_Lists!$D$106+Matching_Engine!$AF$71*Lookup_Lists!$D$107+Matching_Engine!$AN$71*Lookup_Lists!$D$108+Matching_Engine!$AU$71*Lookup_Lists!$D$109</f>
      </c>
      <c r="AY71" s="30">
        <f>IF(Matching_Engine!$AX$71=0,"N/A",ROUND((IF(Matching_Engine!$N$71=1,Matching_Engine!$M$71*Lookup_Lists!$D$104,0)+IF(Matching_Engine!$T$71=1,Matching_Engine!$S$71*Lookup_Lists!$D$105,0)+IF(Matching_Engine!$Z$71=1,Matching_Engine!$Y$71*Lookup_Lists!$D$106,0)+IF(Matching_Engine!$AF$71=1,Matching_Engine!$AE$71*Lookup_Lists!$D$107,0)+IF(Matching_Engine!$AN$71=1,Matching_Engine!$AM$71*Lookup_Lists!$D$108,0)+IF(Matching_Engine!$AU$71=1,Matching_Engine!$AT$71*Lookup_Lists!$D$109,0))/Matching_Engine!$AX$71,0))</f>
      </c>
      <c r="AZ71" s="11">
        <f>IF(NOT(ISNUMBER(Matching_Engine!$AY$71)),"Not Scored",IF(Matching_Engine!$AY$71&gt;=Lookup_Lists!$D$152,"Excellent Match",IF(Matching_Engine!$AY$71&gt;=Lookup_Lists!$D$153,"Strong Match",IF(Matching_Engine!$AY$71&gt;=Lookup_Lists!$D$154,"Good Match",IF(Matching_Engine!$AY$71&gt;=Lookup_Lists!$D$155,"Moderate Match","Low Match")))))</f>
      </c>
      <c r="BA71" s="18">
        <f>KOL_Source_Data!$BW$23</f>
      </c>
      <c r="BB71" s="11">
        <f>KOL_Source_Data!$BX$23</f>
      </c>
      <c r="BC71" s="18">
        <f>IF(NOT(ISNUMBER(Matching_Engine!$AY$71)),-1,Matching_Engine!$AY$71*1000+7)</f>
      </c>
      <c r="BD71" s="11">
        <f>IF(AND(ISTEXT(KOL_Source_Data!$S$23),KOL_Source_Data!$S$23&lt;&gt;"N/A"),KOL_Source_Data!$S$23,"")&amp;" | "&amp;IF(AND(ISTEXT(KOL_Source_Data!$T$23),KOL_Source_Data!$T$23&lt;&gt;"N/A"),KOL_Source_Data!$T$23,"")&amp;" | "&amp;IF(AND(ISTEXT(KOL_Source_Data!$N$23),KOL_Source_Data!$N$23&lt;&gt;"N/A"),KOL_Source_Data!$N$23,"")&amp;" | "&amp;IF(AND(ISTEXT(KOL_Source_Data!$K$23),KOL_Source_Data!$K$23&lt;&gt;"N/A"),KOL_Source_Data!$K$23,"")&amp;" | "&amp;IF(AND(ISTEXT(KOL_Source_Data!$J$23),KOL_Source_Data!$J$23&lt;&gt;"N/A"),KOL_Source_Data!$J$23,"")</f>
      </c>
      <c r="BE71" s="11">
        <f>IF(AND(ISTEXT(KOL_Source_Data!$T$23),KOL_Source_Data!$T$23&lt;&gt;"N/A"),KOL_Source_Data!$T$23,"")&amp;" | "&amp;IF(AND(ISTEXT(KOL_Source_Data!$N$23),KOL_Source_Data!$N$23&lt;&gt;"N/A"),KOL_Source_Data!$N$23,"")&amp;" | "&amp;IF(AND(ISTEXT(KOL_Source_Data!$O$23),KOL_Source_Data!$O$23&lt;&gt;"N/A"),KOL_Source_Data!$O$23,"")&amp;" | "&amp;IF(AND(ISTEXT(KOL_Source_Data!$S$23),KOL_Source_Data!$S$23&lt;&gt;"N/A"),KOL_Source_Data!$S$23,"")</f>
      </c>
      <c r="BF71" s="11">
        <f>IF(AND(ISTEXT(KOL_Source_Data!$U$23),KOL_Source_Data!$U$23&lt;&gt;"N/A"),KOL_Source_Data!$U$23,"")</f>
      </c>
      <c r="BG71" s="11">
        <f>Matching_Engine!$A$71&amp;"|"&amp;Matching_Engine!$C$71</f>
      </c>
    </row>
    <row r="72" spans="1:59" x14ac:dyDescent="0.25">
      <c r="A72" s="10" t="s">
        <v>392</v>
      </c>
      <c r="B72" s="11">
        <f>Brand_Profile!$G$6</f>
      </c>
      <c r="C72" s="11">
        <f>KOL_Source_Data!$A$24</f>
      </c>
      <c r="D72" s="11">
        <f>KOL_Source_Data!$C$24</f>
      </c>
      <c r="E72" s="11">
        <f>KOL_Source_Data!$D$24</f>
      </c>
      <c r="F72" s="11">
        <f>KOL_Source_Data!$E$24</f>
      </c>
      <c r="G72" s="11">
        <f>KOL_Source_Data!$K$24</f>
      </c>
      <c r="H72" s="12">
        <f>KOL_Source_Data!$G$24</f>
      </c>
      <c r="I72" s="14">
        <f>KOL_Source_Data!$BG$24</f>
      </c>
      <c r="J72" s="18">
        <f>IF(NOT(AND(ISTEXT(KOL_Source_Data!$K$24),KOL_Source_Data!$K$24&lt;&gt;"N/A")),Lookup_Lists!$D$150,IF(Brand_Profile!$G$7=KOL_Source_Data!$K$24,100,IFERROR(INDEX(Lookup_Lists!$B$349:$J$357,MATCH(Brand_Profile!$G$7,Lookup_Lists!$A$349:$A$357,0),MATCH(KOL_Source_Data!$K$24,Lookup_Lists!$B$348:$J$348,0)),Lookup_Lists!$D$151)))</f>
      </c>
      <c r="K72" s="18">
        <f>IF(LEN(TRIM(SUBSTITUTE(Matching_Engine!$BD$72,"|","")))=0,"N/A",IF(Brand_Profile!$G$47=0,Lookup_Lists!$D$150,ROUND((IF(Brand_Profile!$G$41="",0,IF(ISNUMBER(SEARCH(Brand_Profile!$G$41,Matching_Engine!$BD$72)),1,0))+IF(Brand_Profile!$G$42="",0,IF(ISNUMBER(SEARCH(Brand_Profile!$G$42,Matching_Engine!$BD$72)),1,0))+IF(Brand_Profile!$G$43="",0,IF(ISNUMBER(SEARCH(Brand_Profile!$G$43,Matching_Engine!$BD$72)),1,0))+IF(Brand_Profile!$G$44="",0,IF(ISNUMBER(SEARCH(Brand_Profile!$G$44,Matching_Engine!$BD$72)),1,0))+IF(Brand_Profile!$G$45="",0,IF(ISNUMBER(SEARCH(Brand_Profile!$G$45,Matching_Engine!$BD$72)),1,0))+IF(Brand_Profile!$G$46="",0,IF(ISNUMBER(SEARCH(Brand_Profile!$G$46,Matching_Engine!$BD$72)),1,0)))/Brand_Profile!$G$47*100,0)))</f>
      </c>
      <c r="L72" s="18">
        <f>IF(NOT(AND(ISTEXT(KOL_Source_Data!$U$24),KOL_Source_Data!$U$24&lt;&gt;"N/A")),"N/A",IF(Brand_Profile!$G$53=0,Lookup_Lists!$D$150,ROUND((IF(Brand_Profile!$G$48="",0,IF(ISNUMBER(SEARCH(Brand_Profile!$G$48,Matching_Engine!$BF$72)),1,0))+IF(Brand_Profile!$G$49="",0,IF(ISNUMBER(SEARCH(Brand_Profile!$G$49,Matching_Engine!$BF$72)),1,0))+IF(Brand_Profile!$G$50="",0,IF(ISNUMBER(SEARCH(Brand_Profile!$G$50,Matching_Engine!$BF$72)),1,0))+IF(Brand_Profile!$G$51="",0,IF(ISNUMBER(SEARCH(Brand_Profile!$G$51,Matching_Engine!$BF$72)),1,0))+IF(Brand_Profile!$G$52="",0,IF(ISNUMBER(SEARCH(Brand_Profile!$G$52,Matching_Engine!$BF$72)),1,0)))/Brand_Profile!$G$53*100,0)))</f>
      </c>
      <c r="M72" s="29">
        <f>IF((IF(ISNUMBER(Matching_Engine!$J$72),Lookup_Lists!$D$332,0)+IF(ISNUMBER(Matching_Engine!$K$72),Lookup_Lists!$D$333,0)+IF(ISNUMBER(Matching_Engine!$L$72),Lookup_Lists!$D$334,0))=0,"N/A",ROUND((IF(ISNUMBER(Matching_Engine!$J$72),Matching_Engine!$J$72*Lookup_Lists!$D$332,0)+IF(ISNUMBER(Matching_Engine!$K$72),Matching_Engine!$K$72*Lookup_Lists!$D$333,0)+IF(ISNUMBER(Matching_Engine!$L$72),Matching_Engine!$L$72*Lookup_Lists!$D$334,0))/(IF(ISNUMBER(Matching_Engine!$J$72),Lookup_Lists!$D$332,0)+IF(ISNUMBER(Matching_Engine!$K$72),Lookup_Lists!$D$333,0)+IF(ISNUMBER(Matching_Engine!$L$72),Lookup_Lists!$D$334,0)),0))</f>
      </c>
      <c r="N72" s="11">
        <f>IF(ISNUMBER(Matching_Engine!$M$72),1,0)</f>
      </c>
      <c r="O72" s="18">
        <f>IF(NOT(ISNUMBER(IFERROR(INDEX(KOL_Source_Data!$V$24:KOL_Source_Data!$Z$24,1,MATCH(Brand_Profile!$G$11,Lookup_Lists!$F$6:$F$10,0)),""))),"N/A",MIN(100,ROUND((IFERROR(INDEX(KOL_Source_Data!$V$24:KOL_Source_Data!$Z$24,1,MATCH(Brand_Profile!$G$11,Lookup_Lists!$F$6:$F$10,0)),"")+0.5*IF(ISNUMBER(IFERROR(INDEX(KOL_Source_Data!$V$24:KOL_Source_Data!$Z$24,1,MATCH(Brand_Profile!$G$12,Lookup_Lists!$F$6:$F$10,0)),"")),IFERROR(INDEX(KOL_Source_Data!$V$24:KOL_Source_Data!$Z$24,1,MATCH(Brand_Profile!$G$12,Lookup_Lists!$F$6:$F$10,0)),""),0))/Lookup_Lists!$D$142*100,0)))</f>
      </c>
      <c r="P72" s="18">
        <f>IF(Brand_Profile!$G$13="Any",100,IF(NOT(ISNUMBER(KOL_Source_Data!$AA$24)),"N/A",IF(Brand_Profile!$G$13="Female",MIN(100,ROUND(KOL_Source_Data!$AA$24/Lookup_Lists!$D$143*100,0)),IF(Brand_Profile!$G$13="Male",MIN(100,ROUND(IF(ISNUMBER(KOL_Source_Data!$AB$24),KOL_Source_Data!$AB$24,100-KOL_Source_Data!$AA$24)/Lookup_Lists!$D$143*100,0)),MAX(0,ROUND(100-ABS(KOL_Source_Data!$AA$24-50)*2,0))))))</f>
      </c>
      <c r="Q72" s="18">
        <f>IF((IF(ISNUMBER(IF(NOT(ISNUMBER(KOL_Source_Data!$AE$24)),"N/A",IF(KOL_Source_Data!$AD$24&lt;&gt;Brand_Profile!$G$14,Lookup_Lists!$D$151,MIN(100,ROUND(KOL_Source_Data!$AE$24/Lookup_Lists!$D$316*100,0))))),Lookup_Lists!$D$118,0)+IF(ISNUMBER(IF(NOT(ISNUMBER(KOL_Source_Data!$AM$24)),"N/A",MIN(100,ROUND((IF(KOL_Source_Data!$AG$24=Brand_Profile!$G$15,IF(ISNUMBER(KOL_Source_Data!$AH$24),KOL_Source_Data!$AH$24,0),0)+IF(KOL_Source_Data!$AI$24=Brand_Profile!$G$15,IF(ISNUMBER(KOL_Source_Data!$AJ$24),KOL_Source_Data!$AJ$24,0),0)+IF(KOL_Source_Data!$AK$24=Brand_Profile!$G$15,IF(ISNUMBER(KOL_Source_Data!$AL$24),KOL_Source_Data!$AL$24,0),0))/Lookup_Lists!$D$317*100,0)))),Lookup_Lists!$D$120,0))=0,"N/A",ROUND((IF(ISNUMBER(IF(NOT(ISNUMBER(KOL_Source_Data!$AE$24)),"N/A",IF(KOL_Source_Data!$AD$24&lt;&gt;Brand_Profile!$G$14,Lookup_Lists!$D$151,MIN(100,ROUND(KOL_Source_Data!$AE$24/Lookup_Lists!$D$316*100,0))))),IF(NOT(ISNUMBER(KOL_Source_Data!$AE$24)),"N/A",IF(KOL_Source_Data!$AD$24&lt;&gt;Brand_Profile!$G$14,Lookup_Lists!$D$151,MIN(100,ROUND(KOL_Source_Data!$AE$24/Lookup_Lists!$D$316*100,0))))*Lookup_Lists!$D$118,0)+IF(ISNUMBER(IF(NOT(ISNUMBER(KOL_Source_Data!$AM$24)),"N/A",MIN(100,ROUND((IF(KOL_Source_Data!$AG$24=Brand_Profile!$G$15,IF(ISNUMBER(KOL_Source_Data!$AH$24),KOL_Source_Data!$AH$24,0),0)+IF(KOL_Source_Data!$AI$24=Brand_Profile!$G$15,IF(ISNUMBER(KOL_Source_Data!$AJ$24),KOL_Source_Data!$AJ$24,0),0)+IF(KOL_Source_Data!$AK$24=Brand_Profile!$G$15,IF(ISNUMBER(KOL_Source_Data!$AL$24),KOL_Source_Data!$AL$24,0),0))/Lookup_Lists!$D$317*100,0)))),IF(NOT(ISNUMBER(KOL_Source_Data!$AM$24)),"N/A",MIN(100,ROUND((IF(KOL_Source_Data!$AG$24=Brand_Profile!$G$15,IF(ISNUMBER(KOL_Source_Data!$AH$24),KOL_Source_Data!$AH$24,0),0)+IF(KOL_Source_Data!$AI$24=Brand_Profile!$G$15,IF(ISNUMBER(KOL_Source_Data!$AJ$24),KOL_Source_Data!$AJ$24,0),0)+IF(KOL_Source_Data!$AK$24=Brand_Profile!$G$15,IF(ISNUMBER(KOL_Source_Data!$AL$24),KOL_Source_Data!$AL$24,0),0))/Lookup_Lists!$D$317*100,0)))*Lookup_Lists!$D$120,0))/(IF(ISNUMBER(IF(NOT(ISNUMBER(KOL_Source_Data!$AE$24)),"N/A",IF(KOL_Source_Data!$AD$24&lt;&gt;Brand_Profile!$G$14,Lookup_Lists!$D$151,MIN(100,ROUND(KOL_Source_Data!$AE$24/Lookup_Lists!$D$316*100,0))))),Lookup_Lists!$D$118,0)+IF(ISNUMBER(IF(NOT(ISNUMBER(KOL_Source_Data!$AM$24)),"N/A",MIN(100,ROUND((IF(KOL_Source_Data!$AG$24=Brand_Profile!$G$15,IF(ISNUMBER(KOL_Source_Data!$AH$24),KOL_Source_Data!$AH$24,0),0)+IF(KOL_Source_Data!$AI$24=Brand_Profile!$G$15,IF(ISNUMBER(KOL_Source_Data!$AJ$24),KOL_Source_Data!$AJ$24,0),0)+IF(KOL_Source_Data!$AK$24=Brand_Profile!$G$15,IF(ISNUMBER(KOL_Source_Data!$AL$24),KOL_Source_Data!$AL$24,0),0))/Lookup_Lists!$D$317*100,0)))),Lookup_Lists!$D$120,0)),0))</f>
      </c>
      <c r="R72" s="18">
        <f>IF(NOT(ISNUMBER(KOL_Source_Data!$AN$24)),"N/A",MIN(100,ROUND((IF(ISNUMBER(KOL_Source_Data!$AO$24),KOL_Source_Data!$AO$24*Brand_Profile!$G$17,0)+IF(ISNUMBER(KOL_Source_Data!$AP$24),KOL_Source_Data!$AP$24*Brand_Profile!$G$18,0)+IF(ISNUMBER(KOL_Source_Data!$AQ$24),KOL_Source_Data!$AQ$24*Brand_Profile!$G$19,0)+IF(ISNUMBER(KOL_Source_Data!$AR$24),KOL_Source_Data!$AR$24*Brand_Profile!$G$20,0)+IF(ISNUMBER(KOL_Source_Data!$AS$24),KOL_Source_Data!$AS$24*Brand_Profile!$G$21,0)+IF(ISNUMBER(KOL_Source_Data!$AT$24),KOL_Source_Data!$AT$24*Brand_Profile!$G$22,0)+IF(ISNUMBER(KOL_Source_Data!$AU$24),KOL_Source_Data!$AU$24*Brand_Profile!$G$23,0)+IF(ISNUMBER(KOL_Source_Data!$AV$24),KOL_Source_Data!$AV$24*Brand_Profile!$G$24,0)+IF(ISNUMBER(KOL_Source_Data!$AW$24),KOL_Source_Data!$AW$24*Brand_Profile!$G$25,0)+IF(ISNUMBER(KOL_Source_Data!$AX$24),KOL_Source_Data!$AX$24*Brand_Profile!$G$26,0)+IF(ISNUMBER(KOL_Source_Data!$AY$24),KOL_Source_Data!$AY$24*Brand_Profile!$G$27,0)+IF(ISNUMBER(KOL_Source_Data!$AZ$24),KOL_Source_Data!$AZ$24*Brand_Profile!$G$28,0)+IF(ISNUMBER(KOL_Source_Data!$BA$24),KOL_Source_Data!$BA$24*Brand_Profile!$G$29,0)+IF(ISNUMBER(KOL_Source_Data!$BB$24),KOL_Source_Data!$BB$24*Brand_Profile!$G$30,0)+IF(ISNUMBER(KOL_Source_Data!$BC$24),KOL_Source_Data!$BC$24*Brand_Profile!$G$31,0)+IF(ISNUMBER(KOL_Source_Data!$BD$24),KOL_Source_Data!$BD$24*Brand_Profile!$G$32,0)+IF(ISNUMBER(KOL_Source_Data!$BE$24),KOL_Source_Data!$BE$24*Brand_Profile!$G$33,0)+IF(ISNUMBER(KOL_Source_Data!$BF$24),KOL_Source_Data!$BF$24*Brand_Profile!$G$34,0))/Lookup_Lists!$D$318*100,0)))</f>
      </c>
      <c r="S72" s="29">
        <f>IF((IF(ISNUMBER(Matching_Engine!$O$72),Lookup_Lists!$D$113,0)+IF(ISNUMBER(Matching_Engine!$P$72),Lookup_Lists!$D$114,0)+IF(ISNUMBER(Matching_Engine!$Q$72),Lookup_Lists!$D$115,0)+IF(ISNUMBER(Matching_Engine!$R$72),Lookup_Lists!$D$116,0))=0,"N/A",ROUND((IF(ISNUMBER(Matching_Engine!$O$72),Matching_Engine!$O$72*Lookup_Lists!$D$113,0)+IF(ISNUMBER(Matching_Engine!$P$72),Matching_Engine!$P$72*Lookup_Lists!$D$114,0)+IF(ISNUMBER(Matching_Engine!$Q$72),Matching_Engine!$Q$72*Lookup_Lists!$D$115,0)+IF(ISNUMBER(Matching_Engine!$R$72),Matching_Engine!$R$72*Lookup_Lists!$D$116,0))/(IF(ISNUMBER(Matching_Engine!$O$72),Lookup_Lists!$D$113,0)+IF(ISNUMBER(Matching_Engine!$P$72),Lookup_Lists!$D$114,0)+IF(ISNUMBER(Matching_Engine!$Q$72),Lookup_Lists!$D$115,0)+IF(ISNUMBER(Matching_Engine!$R$72),Lookup_Lists!$D$116,0)),0))</f>
      </c>
      <c r="T72" s="11">
        <f>IF(ISNUMBER(Matching_Engine!$S$72),1,0)</f>
      </c>
      <c r="U72" s="18">
        <f>IF(NOT(AND(ISTEXT(KOL_Source_Data!$M$24),KOL_Source_Data!$M$24&lt;&gt;"N/A")),Lookup_Lists!$D$150,IF(Brand_Profile!$G$7=KOL_Source_Data!$M$24,100,IFERROR(INDEX(Lookup_Lists!$B$349:$J$357,MATCH(Brand_Profile!$G$7,Lookup_Lists!$A$349:$A$357,0),MATCH(KOL_Source_Data!$M$24,Lookup_Lists!$B$348:$J$348,0)),Lookup_Lists!$D$151)))</f>
      </c>
      <c r="V72" s="18">
        <f>IF(NOT(AND(ISTEXT(KOL_Source_Data!$P$24),KOL_Source_Data!$P$24&lt;&gt;"N/A")),"N/A",IFERROR(INDEX(Lookup_Lists!$B$349:$J$357,MATCH(Brand_Profile!$G$7,Lookup_Lists!$A$349:$A$357,0),MATCH(KOL_Source_Data!$P$24,Lookup_Lists!$B$348:$J$348,0)),Lookup_Lists!$D$151))</f>
      </c>
      <c r="W72" s="18">
        <f>IF(LEN(TRIM(SUBSTITUTE(Matching_Engine!$BE$72,"|","")))=0,"N/A",IF(Brand_Profile!$G$60=0,Lookup_Lists!$D$150,ROUND((IF(Brand_Profile!$G$54="",0,IF(ISNUMBER(SEARCH(Brand_Profile!$G$54,Matching_Engine!$BE$72)),1,0))+IF(Brand_Profile!$G$55="",0,IF(ISNUMBER(SEARCH(Brand_Profile!$G$55,Matching_Engine!$BE$72)),1,0))+IF(Brand_Profile!$G$56="",0,IF(ISNUMBER(SEARCH(Brand_Profile!$G$56,Matching_Engine!$BE$72)),1,0))+IF(Brand_Profile!$G$57="",0,IF(ISNUMBER(SEARCH(Brand_Profile!$G$57,Matching_Engine!$BE$72)),1,0))+IF(Brand_Profile!$G$58="",0,IF(ISNUMBER(SEARCH(Brand_Profile!$G$58,Matching_Engine!$BE$72)),1,0))+IF(Brand_Profile!$G$59="",0,IF(ISNUMBER(SEARCH(Brand_Profile!$G$59,Matching_Engine!$BE$72)),1,0)))/Brand_Profile!$G$60*100,0)))</f>
      </c>
      <c r="X72" s="18">
        <f>IF(NOT(AND(ISTEXT(KOL_Source_Data!$Q$24),KOL_Source_Data!$Q$24&lt;&gt;"N/A")),"N/A",Lookup_Lists!$D$150)</f>
      </c>
      <c r="Y72" s="29">
        <f>IF((IF(ISNUMBER(Matching_Engine!$U$72),Lookup_Lists!$D$335,0)+IF(ISNUMBER(Matching_Engine!$V$72),Lookup_Lists!$D$122,0)+IF(ISNUMBER(Matching_Engine!$W$72),Lookup_Lists!$D$336,0)+IF(ISNUMBER(Matching_Engine!$X$72),Lookup_Lists!$D$124,0))=0,"N/A",ROUND((IF(ISNUMBER(Matching_Engine!$U$72),Matching_Engine!$U$72*Lookup_Lists!$D$335,0)+IF(ISNUMBER(Matching_Engine!$V$72),Matching_Engine!$V$72*Lookup_Lists!$D$122,0)+IF(ISNUMBER(Matching_Engine!$W$72),Matching_Engine!$W$72*Lookup_Lists!$D$336,0)+IF(ISNUMBER(Matching_Engine!$X$72),Matching_Engine!$X$72*Lookup_Lists!$D$124,0))/(IF(ISNUMBER(Matching_Engine!$U$72),Lookup_Lists!$D$335,0)+IF(ISNUMBER(Matching_Engine!$V$72),Lookup_Lists!$D$122,0)+IF(ISNUMBER(Matching_Engine!$W$72),Lookup_Lists!$D$336,0)+IF(ISNUMBER(Matching_Engine!$X$72),Lookup_Lists!$D$124,0)),0))</f>
      </c>
      <c r="Z72" s="11">
        <f>IF(ISNUMBER(Matching_Engine!$Y$72),1,0)</f>
      </c>
      <c r="AA72" s="18">
        <f>IF(NOT(AND(ISTEXT(KOL_Source_Data!$Q$24),KOL_Source_Data!$Q$24&lt;&gt;"N/A")),"N/A",Lookup_Lists!$D$150)</f>
      </c>
      <c r="AB72" s="18">
        <f>IF(NOT(AND(ISTEXT(KOL_Source_Data!$Q$24),KOL_Source_Data!$Q$24&lt;&gt;"N/A")),"N/A",Lookup_Lists!$D$150)</f>
      </c>
      <c r="AC72" s="18">
        <f>"N/A"</f>
      </c>
      <c r="AD72" s="18">
        <f>IF(NOT(AND(ISTEXT(KOL_Source_Data!$Q$24),KOL_Source_Data!$Q$24&lt;&gt;"N/A")),"N/A",Lookup_Lists!$D$150)</f>
      </c>
      <c r="AE72" s="29">
        <f>IF((IF(ISNUMBER(Matching_Engine!$AA$72),Lookup_Lists!$D$125,0)+IF(ISNUMBER(Matching_Engine!$AB$72),Lookup_Lists!$D$126,0)+IF(ISNUMBER(Matching_Engine!$AC$72),Lookup_Lists!$D$127,0)+IF(ISNUMBER(Matching_Engine!$AD$72),Lookup_Lists!$D$128,0))=0,"N/A",ROUND((IF(ISNUMBER(Matching_Engine!$AA$72),Matching_Engine!$AA$72*Lookup_Lists!$D$125,0)+IF(ISNUMBER(Matching_Engine!$AB$72),Matching_Engine!$AB$72*Lookup_Lists!$D$126,0)+IF(ISNUMBER(Matching_Engine!$AC$72),Matching_Engine!$AC$72*Lookup_Lists!$D$127,0)+IF(ISNUMBER(Matching_Engine!$AD$72),Matching_Engine!$AD$72*Lookup_Lists!$D$128,0))/(IF(ISNUMBER(Matching_Engine!$AA$72),Lookup_Lists!$D$125,0)+IF(ISNUMBER(Matching_Engine!$AB$72),Lookup_Lists!$D$126,0)+IF(ISNUMBER(Matching_Engine!$AC$72),Lookup_Lists!$D$127,0)+IF(ISNUMBER(Matching_Engine!$AD$72),Lookup_Lists!$D$128,0)),0))</f>
      </c>
      <c r="AF72" s="11">
        <f>IF(ISNUMBER(Matching_Engine!$AE$72),1,0)</f>
      </c>
      <c r="AG72" s="18">
        <f>IF(NOT(ISNUMBER(KOL_Source_Data!$BG$24)),"N/A",MIN(100,ROUND(KOL_Source_Data!$BG$24/IFERROR(INDEX(Lookup_Lists!$B$340:$B$344,MATCH(KOL_Source_Data!$H$24,Lookup_Lists!$A$340:$A$344,0)),Lookup_Lists!$D$141)*100,0)))</f>
      </c>
      <c r="AH72" s="18">
        <f>IF(NOT(ISNUMBER(KOL_Source_Data!$BS$24)),"N/A",MIN(100,MAX(0,KOL_Source_Data!$BS$24)))</f>
      </c>
      <c r="AI72" s="18">
        <f>IF(OR(NOT(ISNUMBER(KOL_Source_Data!$BM$24)),NOT(ISNUMBER(KOL_Source_Data!$BN$24)),KOL_Source_Data!$BN$24&lt;Lookup_Lists!$D$320),"N/A",MIN(100,ROUND(KOL_Source_Data!$BM$24/Lookup_Lists!$D$319*100,0)))</f>
      </c>
      <c r="AJ72" s="18">
        <f>IF(NOT(ISNUMBER(KOL_Source_Data!$BR$24)),"N/A",KOL_Source_Data!$BR$24)</f>
      </c>
      <c r="AK72" s="18">
        <f>IF(NOT(ISNUMBER(KOL_Source_Data!$BK$24)),"N/A",MIN(100,ROUND(KOL_Source_Data!$BK$24/Lookup_Lists!$D$321*100,0)))</f>
      </c>
      <c r="AL72" s="18">
        <f>IF(NOT(ISNUMBER(KOL_Source_Data!$BP$24)),"N/A",MIN(100,MAX(0,ROUND((KOL_Source_Data!$BP$24+2)/(Lookup_Lists!$D$145+2)*100,0))))</f>
      </c>
      <c r="AM72" s="29">
        <f>IF((IF(ISNUMBER(Matching_Engine!$AG$72),Lookup_Lists!$D$129,0)+IF(ISNUMBER(Matching_Engine!$AH$72),Lookup_Lists!$D$130,0)+IF(ISNUMBER(Matching_Engine!$AI$72),Lookup_Lists!$D$131,0)+IF(ISNUMBER(Matching_Engine!$AJ$72),Lookup_Lists!$D$132,0)+IF(ISNUMBER(Matching_Engine!$AK$72),Lookup_Lists!$D$133,0)+IF(ISNUMBER(Matching_Engine!$AL$72),Lookup_Lists!$D$134,0))=0,"N/A",ROUND((IF(ISNUMBER(Matching_Engine!$AG$72),Matching_Engine!$AG$72*Lookup_Lists!$D$129,0)+IF(ISNUMBER(Matching_Engine!$AH$72),Matching_Engine!$AH$72*Lookup_Lists!$D$130,0)+IF(ISNUMBER(Matching_Engine!$AI$72),Matching_Engine!$AI$72*Lookup_Lists!$D$131,0)+IF(ISNUMBER(Matching_Engine!$AJ$72),Matching_Engine!$AJ$72*Lookup_Lists!$D$132,0)+IF(ISNUMBER(Matching_Engine!$AK$72),Matching_Engine!$AK$72*Lookup_Lists!$D$133,0)+IF(ISNUMBER(Matching_Engine!$AL$72),Matching_Engine!$AL$72*Lookup_Lists!$D$134,0))/(IF(ISNUMBER(Matching_Engine!$AG$72),Lookup_Lists!$D$129,0)+IF(ISNUMBER(Matching_Engine!$AH$72),Lookup_Lists!$D$130,0)+IF(ISNUMBER(Matching_Engine!$AI$72),Lookup_Lists!$D$131,0)+IF(ISNUMBER(Matching_Engine!$AJ$72),Lookup_Lists!$D$132,0)+IF(ISNUMBER(Matching_Engine!$AK$72),Lookup_Lists!$D$133,0)+IF(ISNUMBER(Matching_Engine!$AL$72),Lookup_Lists!$D$134,0)),0))</f>
      </c>
      <c r="AN72" s="11">
        <f>IF(ISNUMBER(Matching_Engine!$AM$72),1,0)</f>
      </c>
      <c r="AO72" s="18">
        <f>IF(NOT(ISNUMBER(KOL_Source_Data!$BT$24)),"N/A",MIN(100,MAX(0,KOL_Source_Data!$BT$24)))</f>
      </c>
      <c r="AP72" s="18">
        <f>IF(NOT(ISNUMBER(KOL_Source_Data!$BU$24)),"N/A",MIN(100,MAX(0,KOL_Source_Data!$BU$24)))</f>
      </c>
      <c r="AQ72" s="18">
        <f>IF(KOL_Source_Data!$I$24="Yes",Lookup_Lists!$D$326,IF(KOL_Source_Data!$I$24="No",Lookup_Lists!$D$327,"N/A"))</f>
      </c>
      <c r="AR72" s="18">
        <f>IF(NOT(ISNUMBER(KOL_Source_Data!$BQ$24)),"N/A",MAX(0,ROUND(100-KOL_Source_Data!$BQ$24/Lookup_Lists!$D$328*100,0)))</f>
      </c>
      <c r="AS72" s="18">
        <f>IF(NOT(AND(ISTEXT(KOL_Source_Data!$BV$24),KOL_Source_Data!$BV$24&lt;&gt;"N/A")),"N/A",KOL_Source_Data!$BV$24)</f>
      </c>
      <c r="AT72" s="29">
        <f>IF((IF(ISNUMBER(Matching_Engine!$AO$72),Lookup_Lists!$D$322,0)+IF(ISNUMBER(Matching_Engine!$AP$72),Lookup_Lists!$D$323,0)+IF(ISNUMBER(Matching_Engine!$AQ$72),Lookup_Lists!$D$324,0)+IF(ISNUMBER(Matching_Engine!$AR$72),Lookup_Lists!$D$325,0))=0,"N/A",ROUND((IF(ISNUMBER(Matching_Engine!$AO$72),Matching_Engine!$AO$72*Lookup_Lists!$D$322,0)+IF(ISNUMBER(Matching_Engine!$AP$72),Matching_Engine!$AP$72*Lookup_Lists!$D$323,0)+IF(ISNUMBER(Matching_Engine!$AQ$72),Matching_Engine!$AQ$72*Lookup_Lists!$D$324,0)+IF(ISNUMBER(Matching_Engine!$AR$72),Matching_Engine!$AR$72*Lookup_Lists!$D$325,0))/(IF(ISNUMBER(Matching_Engine!$AO$72),Lookup_Lists!$D$322,0)+IF(ISNUMBER(Matching_Engine!$AP$72),Lookup_Lists!$D$323,0)+IF(ISNUMBER(Matching_Engine!$AQ$72),Lookup_Lists!$D$324,0)+IF(ISNUMBER(Matching_Engine!$AR$72),Lookup_Lists!$D$325,0)),0))</f>
      </c>
      <c r="AU72" s="11">
        <f>IF(ISNUMBER(Matching_Engine!$AT$72),1,0)</f>
      </c>
      <c r="AV72" s="11">
        <f>IF(NOT(ISNUMBER(Matching_Engine!$AT$72)),"Not Screened",IF(Matching_Engine!$AT$72&gt;=Lookup_Lists!$D$329,"Low Risk",IF(Matching_Engine!$AT$72&gt;=Lookup_Lists!$D$330,"Moderate Risk",IF(Matching_Engine!$AT$72&gt;=Lookup_Lists!$D$331,"Elevated Risk","High Risk"))))</f>
      </c>
      <c r="AW72" s="11">
        <f>IF(NOT(ISNUMBER(Matching_Engine!$AT$72)),"No integrity signal: no audience-analysis row for this account.","Integrity screen only — no content-risk reading exists (comments_analysis: 0 rows). "&amp;IF(ISNUMBER(Matching_Engine!$AO$72),"Authenticity "&amp;Matching_Engine!$AO$72&amp;". ","Authenticity N/A. ")&amp;IF(ISNUMBER(Matching_Engine!$AP$72),"Follower quality "&amp;Matching_Engine!$AP$72&amp;". ","Follower quality N/A. ")&amp;IF(KOL_Source_Data!$I$24="Yes","Platform-verified.","Not platform-verified."))</f>
      </c>
      <c r="AX72" s="18">
        <f>Matching_Engine!$N$72*Lookup_Lists!$D$104+Matching_Engine!$T$72*Lookup_Lists!$D$105+Matching_Engine!$Z$72*Lookup_Lists!$D$106+Matching_Engine!$AF$72*Lookup_Lists!$D$107+Matching_Engine!$AN$72*Lookup_Lists!$D$108+Matching_Engine!$AU$72*Lookup_Lists!$D$109</f>
      </c>
      <c r="AY72" s="30">
        <f>IF(Matching_Engine!$AX$72=0,"N/A",ROUND((IF(Matching_Engine!$N$72=1,Matching_Engine!$M$72*Lookup_Lists!$D$104,0)+IF(Matching_Engine!$T$72=1,Matching_Engine!$S$72*Lookup_Lists!$D$105,0)+IF(Matching_Engine!$Z$72=1,Matching_Engine!$Y$72*Lookup_Lists!$D$106,0)+IF(Matching_Engine!$AF$72=1,Matching_Engine!$AE$72*Lookup_Lists!$D$107,0)+IF(Matching_Engine!$AN$72=1,Matching_Engine!$AM$72*Lookup_Lists!$D$108,0)+IF(Matching_Engine!$AU$72=1,Matching_Engine!$AT$72*Lookup_Lists!$D$109,0))/Matching_Engine!$AX$72,0))</f>
      </c>
      <c r="AZ72" s="11">
        <f>IF(NOT(ISNUMBER(Matching_Engine!$AY$72)),"Not Scored",IF(Matching_Engine!$AY$72&gt;=Lookup_Lists!$D$152,"Excellent Match",IF(Matching_Engine!$AY$72&gt;=Lookup_Lists!$D$153,"Strong Match",IF(Matching_Engine!$AY$72&gt;=Lookup_Lists!$D$154,"Good Match",IF(Matching_Engine!$AY$72&gt;=Lookup_Lists!$D$155,"Moderate Match","Low Match")))))</f>
      </c>
      <c r="BA72" s="18">
        <f>KOL_Source_Data!$BW$24</f>
      </c>
      <c r="BB72" s="11">
        <f>KOL_Source_Data!$BX$24</f>
      </c>
      <c r="BC72" s="18">
        <f>IF(NOT(ISNUMBER(Matching_Engine!$AY$72)),-1,Matching_Engine!$AY$72*1000+6)</f>
      </c>
      <c r="BD72" s="11">
        <f>IF(AND(ISTEXT(KOL_Source_Data!$S$24),KOL_Source_Data!$S$24&lt;&gt;"N/A"),KOL_Source_Data!$S$24,"")&amp;" | "&amp;IF(AND(ISTEXT(KOL_Source_Data!$T$24),KOL_Source_Data!$T$24&lt;&gt;"N/A"),KOL_Source_Data!$T$24,"")&amp;" | "&amp;IF(AND(ISTEXT(KOL_Source_Data!$N$24),KOL_Source_Data!$N$24&lt;&gt;"N/A"),KOL_Source_Data!$N$24,"")&amp;" | "&amp;IF(AND(ISTEXT(KOL_Source_Data!$K$24),KOL_Source_Data!$K$24&lt;&gt;"N/A"),KOL_Source_Data!$K$24,"")&amp;" | "&amp;IF(AND(ISTEXT(KOL_Source_Data!$J$24),KOL_Source_Data!$J$24&lt;&gt;"N/A"),KOL_Source_Data!$J$24,"")</f>
      </c>
      <c r="BE72" s="11">
        <f>IF(AND(ISTEXT(KOL_Source_Data!$T$24),KOL_Source_Data!$T$24&lt;&gt;"N/A"),KOL_Source_Data!$T$24,"")&amp;" | "&amp;IF(AND(ISTEXT(KOL_Source_Data!$N$24),KOL_Source_Data!$N$24&lt;&gt;"N/A"),KOL_Source_Data!$N$24,"")&amp;" | "&amp;IF(AND(ISTEXT(KOL_Source_Data!$O$24),KOL_Source_Data!$O$24&lt;&gt;"N/A"),KOL_Source_Data!$O$24,"")&amp;" | "&amp;IF(AND(ISTEXT(KOL_Source_Data!$S$24),KOL_Source_Data!$S$24&lt;&gt;"N/A"),KOL_Source_Data!$S$24,"")</f>
      </c>
      <c r="BF72" s="11">
        <f>IF(AND(ISTEXT(KOL_Source_Data!$U$24),KOL_Source_Data!$U$24&lt;&gt;"N/A"),KOL_Source_Data!$U$24,"")</f>
      </c>
      <c r="BG72" s="11">
        <f>Matching_Engine!$A$72&amp;"|"&amp;Matching_Engine!$C$72</f>
      </c>
    </row>
    <row r="73" spans="1:59" x14ac:dyDescent="0.25">
      <c r="A73" s="10" t="s">
        <v>392</v>
      </c>
      <c r="B73" s="11">
        <f>Brand_Profile!$G$6</f>
      </c>
      <c r="C73" s="11">
        <f>KOL_Source_Data!$A$25</f>
      </c>
      <c r="D73" s="11">
        <f>KOL_Source_Data!$C$25</f>
      </c>
      <c r="E73" s="11">
        <f>KOL_Source_Data!$D$25</f>
      </c>
      <c r="F73" s="11">
        <f>KOL_Source_Data!$E$25</f>
      </c>
      <c r="G73" s="11">
        <f>KOL_Source_Data!$K$25</f>
      </c>
      <c r="H73" s="12">
        <f>KOL_Source_Data!$G$25</f>
      </c>
      <c r="I73" s="14">
        <f>KOL_Source_Data!$BG$25</f>
      </c>
      <c r="J73" s="18">
        <f>IF(NOT(AND(ISTEXT(KOL_Source_Data!$K$25),KOL_Source_Data!$K$25&lt;&gt;"N/A")),Lookup_Lists!$D$150,IF(Brand_Profile!$G$7=KOL_Source_Data!$K$25,100,IFERROR(INDEX(Lookup_Lists!$B$349:$J$357,MATCH(Brand_Profile!$G$7,Lookup_Lists!$A$349:$A$357,0),MATCH(KOL_Source_Data!$K$25,Lookup_Lists!$B$348:$J$348,0)),Lookup_Lists!$D$151)))</f>
      </c>
      <c r="K73" s="18">
        <f>IF(LEN(TRIM(SUBSTITUTE(Matching_Engine!$BD$73,"|","")))=0,"N/A",IF(Brand_Profile!$G$47=0,Lookup_Lists!$D$150,ROUND((IF(Brand_Profile!$G$41="",0,IF(ISNUMBER(SEARCH(Brand_Profile!$G$41,Matching_Engine!$BD$73)),1,0))+IF(Brand_Profile!$G$42="",0,IF(ISNUMBER(SEARCH(Brand_Profile!$G$42,Matching_Engine!$BD$73)),1,0))+IF(Brand_Profile!$G$43="",0,IF(ISNUMBER(SEARCH(Brand_Profile!$G$43,Matching_Engine!$BD$73)),1,0))+IF(Brand_Profile!$G$44="",0,IF(ISNUMBER(SEARCH(Brand_Profile!$G$44,Matching_Engine!$BD$73)),1,0))+IF(Brand_Profile!$G$45="",0,IF(ISNUMBER(SEARCH(Brand_Profile!$G$45,Matching_Engine!$BD$73)),1,0))+IF(Brand_Profile!$G$46="",0,IF(ISNUMBER(SEARCH(Brand_Profile!$G$46,Matching_Engine!$BD$73)),1,0)))/Brand_Profile!$G$47*100,0)))</f>
      </c>
      <c r="L73" s="18">
        <f>IF(NOT(AND(ISTEXT(KOL_Source_Data!$U$25),KOL_Source_Data!$U$25&lt;&gt;"N/A")),"N/A",IF(Brand_Profile!$G$53=0,Lookup_Lists!$D$150,ROUND((IF(Brand_Profile!$G$48="",0,IF(ISNUMBER(SEARCH(Brand_Profile!$G$48,Matching_Engine!$BF$73)),1,0))+IF(Brand_Profile!$G$49="",0,IF(ISNUMBER(SEARCH(Brand_Profile!$G$49,Matching_Engine!$BF$73)),1,0))+IF(Brand_Profile!$G$50="",0,IF(ISNUMBER(SEARCH(Brand_Profile!$G$50,Matching_Engine!$BF$73)),1,0))+IF(Brand_Profile!$G$51="",0,IF(ISNUMBER(SEARCH(Brand_Profile!$G$51,Matching_Engine!$BF$73)),1,0))+IF(Brand_Profile!$G$52="",0,IF(ISNUMBER(SEARCH(Brand_Profile!$G$52,Matching_Engine!$BF$73)),1,0)))/Brand_Profile!$G$53*100,0)))</f>
      </c>
      <c r="M73" s="29">
        <f>IF((IF(ISNUMBER(Matching_Engine!$J$73),Lookup_Lists!$D$332,0)+IF(ISNUMBER(Matching_Engine!$K$73),Lookup_Lists!$D$333,0)+IF(ISNUMBER(Matching_Engine!$L$73),Lookup_Lists!$D$334,0))=0,"N/A",ROUND((IF(ISNUMBER(Matching_Engine!$J$73),Matching_Engine!$J$73*Lookup_Lists!$D$332,0)+IF(ISNUMBER(Matching_Engine!$K$73),Matching_Engine!$K$73*Lookup_Lists!$D$333,0)+IF(ISNUMBER(Matching_Engine!$L$73),Matching_Engine!$L$73*Lookup_Lists!$D$334,0))/(IF(ISNUMBER(Matching_Engine!$J$73),Lookup_Lists!$D$332,0)+IF(ISNUMBER(Matching_Engine!$K$73),Lookup_Lists!$D$333,0)+IF(ISNUMBER(Matching_Engine!$L$73),Lookup_Lists!$D$334,0)),0))</f>
      </c>
      <c r="N73" s="11">
        <f>IF(ISNUMBER(Matching_Engine!$M$73),1,0)</f>
      </c>
      <c r="O73" s="18">
        <f>IF(NOT(ISNUMBER(IFERROR(INDEX(KOL_Source_Data!$V$25:KOL_Source_Data!$Z$25,1,MATCH(Brand_Profile!$G$11,Lookup_Lists!$F$6:$F$10,0)),""))),"N/A",MIN(100,ROUND((IFERROR(INDEX(KOL_Source_Data!$V$25:KOL_Source_Data!$Z$25,1,MATCH(Brand_Profile!$G$11,Lookup_Lists!$F$6:$F$10,0)),"")+0.5*IF(ISNUMBER(IFERROR(INDEX(KOL_Source_Data!$V$25:KOL_Source_Data!$Z$25,1,MATCH(Brand_Profile!$G$12,Lookup_Lists!$F$6:$F$10,0)),"")),IFERROR(INDEX(KOL_Source_Data!$V$25:KOL_Source_Data!$Z$25,1,MATCH(Brand_Profile!$G$12,Lookup_Lists!$F$6:$F$10,0)),""),0))/Lookup_Lists!$D$142*100,0)))</f>
      </c>
      <c r="P73" s="18">
        <f>IF(Brand_Profile!$G$13="Any",100,IF(NOT(ISNUMBER(KOL_Source_Data!$AA$25)),"N/A",IF(Brand_Profile!$G$13="Female",MIN(100,ROUND(KOL_Source_Data!$AA$25/Lookup_Lists!$D$143*100,0)),IF(Brand_Profile!$G$13="Male",MIN(100,ROUND(IF(ISNUMBER(KOL_Source_Data!$AB$25),KOL_Source_Data!$AB$25,100-KOL_Source_Data!$AA$25)/Lookup_Lists!$D$143*100,0)),MAX(0,ROUND(100-ABS(KOL_Source_Data!$AA$25-50)*2,0))))))</f>
      </c>
      <c r="Q73" s="18">
        <f>IF((IF(ISNUMBER(IF(NOT(ISNUMBER(KOL_Source_Data!$AE$25)),"N/A",IF(KOL_Source_Data!$AD$25&lt;&gt;Brand_Profile!$G$14,Lookup_Lists!$D$151,MIN(100,ROUND(KOL_Source_Data!$AE$25/Lookup_Lists!$D$316*100,0))))),Lookup_Lists!$D$118,0)+IF(ISNUMBER(IF(NOT(ISNUMBER(KOL_Source_Data!$AM$25)),"N/A",MIN(100,ROUND((IF(KOL_Source_Data!$AG$25=Brand_Profile!$G$15,IF(ISNUMBER(KOL_Source_Data!$AH$25),KOL_Source_Data!$AH$25,0),0)+IF(KOL_Source_Data!$AI$25=Brand_Profile!$G$15,IF(ISNUMBER(KOL_Source_Data!$AJ$25),KOL_Source_Data!$AJ$25,0),0)+IF(KOL_Source_Data!$AK$25=Brand_Profile!$G$15,IF(ISNUMBER(KOL_Source_Data!$AL$25),KOL_Source_Data!$AL$25,0),0))/Lookup_Lists!$D$317*100,0)))),Lookup_Lists!$D$120,0))=0,"N/A",ROUND((IF(ISNUMBER(IF(NOT(ISNUMBER(KOL_Source_Data!$AE$25)),"N/A",IF(KOL_Source_Data!$AD$25&lt;&gt;Brand_Profile!$G$14,Lookup_Lists!$D$151,MIN(100,ROUND(KOL_Source_Data!$AE$25/Lookup_Lists!$D$316*100,0))))),IF(NOT(ISNUMBER(KOL_Source_Data!$AE$25)),"N/A",IF(KOL_Source_Data!$AD$25&lt;&gt;Brand_Profile!$G$14,Lookup_Lists!$D$151,MIN(100,ROUND(KOL_Source_Data!$AE$25/Lookup_Lists!$D$316*100,0))))*Lookup_Lists!$D$118,0)+IF(ISNUMBER(IF(NOT(ISNUMBER(KOL_Source_Data!$AM$25)),"N/A",MIN(100,ROUND((IF(KOL_Source_Data!$AG$25=Brand_Profile!$G$15,IF(ISNUMBER(KOL_Source_Data!$AH$25),KOL_Source_Data!$AH$25,0),0)+IF(KOL_Source_Data!$AI$25=Brand_Profile!$G$15,IF(ISNUMBER(KOL_Source_Data!$AJ$25),KOL_Source_Data!$AJ$25,0),0)+IF(KOL_Source_Data!$AK$25=Brand_Profile!$G$15,IF(ISNUMBER(KOL_Source_Data!$AL$25),KOL_Source_Data!$AL$25,0),0))/Lookup_Lists!$D$317*100,0)))),IF(NOT(ISNUMBER(KOL_Source_Data!$AM$25)),"N/A",MIN(100,ROUND((IF(KOL_Source_Data!$AG$25=Brand_Profile!$G$15,IF(ISNUMBER(KOL_Source_Data!$AH$25),KOL_Source_Data!$AH$25,0),0)+IF(KOL_Source_Data!$AI$25=Brand_Profile!$G$15,IF(ISNUMBER(KOL_Source_Data!$AJ$25),KOL_Source_Data!$AJ$25,0),0)+IF(KOL_Source_Data!$AK$25=Brand_Profile!$G$15,IF(ISNUMBER(KOL_Source_Data!$AL$25),KOL_Source_Data!$AL$25,0),0))/Lookup_Lists!$D$317*100,0)))*Lookup_Lists!$D$120,0))/(IF(ISNUMBER(IF(NOT(ISNUMBER(KOL_Source_Data!$AE$25)),"N/A",IF(KOL_Source_Data!$AD$25&lt;&gt;Brand_Profile!$G$14,Lookup_Lists!$D$151,MIN(100,ROUND(KOL_Source_Data!$AE$25/Lookup_Lists!$D$316*100,0))))),Lookup_Lists!$D$118,0)+IF(ISNUMBER(IF(NOT(ISNUMBER(KOL_Source_Data!$AM$25)),"N/A",MIN(100,ROUND((IF(KOL_Source_Data!$AG$25=Brand_Profile!$G$15,IF(ISNUMBER(KOL_Source_Data!$AH$25),KOL_Source_Data!$AH$25,0),0)+IF(KOL_Source_Data!$AI$25=Brand_Profile!$G$15,IF(ISNUMBER(KOL_Source_Data!$AJ$25),KOL_Source_Data!$AJ$25,0),0)+IF(KOL_Source_Data!$AK$25=Brand_Profile!$G$15,IF(ISNUMBER(KOL_Source_Data!$AL$25),KOL_Source_Data!$AL$25,0),0))/Lookup_Lists!$D$317*100,0)))),Lookup_Lists!$D$120,0)),0))</f>
      </c>
      <c r="R73" s="18">
        <f>IF(NOT(ISNUMBER(KOL_Source_Data!$AN$25)),"N/A",MIN(100,ROUND((IF(ISNUMBER(KOL_Source_Data!$AO$25),KOL_Source_Data!$AO$25*Brand_Profile!$G$17,0)+IF(ISNUMBER(KOL_Source_Data!$AP$25),KOL_Source_Data!$AP$25*Brand_Profile!$G$18,0)+IF(ISNUMBER(KOL_Source_Data!$AQ$25),KOL_Source_Data!$AQ$25*Brand_Profile!$G$19,0)+IF(ISNUMBER(KOL_Source_Data!$AR$25),KOL_Source_Data!$AR$25*Brand_Profile!$G$20,0)+IF(ISNUMBER(KOL_Source_Data!$AS$25),KOL_Source_Data!$AS$25*Brand_Profile!$G$21,0)+IF(ISNUMBER(KOL_Source_Data!$AT$25),KOL_Source_Data!$AT$25*Brand_Profile!$G$22,0)+IF(ISNUMBER(KOL_Source_Data!$AU$25),KOL_Source_Data!$AU$25*Brand_Profile!$G$23,0)+IF(ISNUMBER(KOL_Source_Data!$AV$25),KOL_Source_Data!$AV$25*Brand_Profile!$G$24,0)+IF(ISNUMBER(KOL_Source_Data!$AW$25),KOL_Source_Data!$AW$25*Brand_Profile!$G$25,0)+IF(ISNUMBER(KOL_Source_Data!$AX$25),KOL_Source_Data!$AX$25*Brand_Profile!$G$26,0)+IF(ISNUMBER(KOL_Source_Data!$AY$25),KOL_Source_Data!$AY$25*Brand_Profile!$G$27,0)+IF(ISNUMBER(KOL_Source_Data!$AZ$25),KOL_Source_Data!$AZ$25*Brand_Profile!$G$28,0)+IF(ISNUMBER(KOL_Source_Data!$BA$25),KOL_Source_Data!$BA$25*Brand_Profile!$G$29,0)+IF(ISNUMBER(KOL_Source_Data!$BB$25),KOL_Source_Data!$BB$25*Brand_Profile!$G$30,0)+IF(ISNUMBER(KOL_Source_Data!$BC$25),KOL_Source_Data!$BC$25*Brand_Profile!$G$31,0)+IF(ISNUMBER(KOL_Source_Data!$BD$25),KOL_Source_Data!$BD$25*Brand_Profile!$G$32,0)+IF(ISNUMBER(KOL_Source_Data!$BE$25),KOL_Source_Data!$BE$25*Brand_Profile!$G$33,0)+IF(ISNUMBER(KOL_Source_Data!$BF$25),KOL_Source_Data!$BF$25*Brand_Profile!$G$34,0))/Lookup_Lists!$D$318*100,0)))</f>
      </c>
      <c r="S73" s="29">
        <f>IF((IF(ISNUMBER(Matching_Engine!$O$73),Lookup_Lists!$D$113,0)+IF(ISNUMBER(Matching_Engine!$P$73),Lookup_Lists!$D$114,0)+IF(ISNUMBER(Matching_Engine!$Q$73),Lookup_Lists!$D$115,0)+IF(ISNUMBER(Matching_Engine!$R$73),Lookup_Lists!$D$116,0))=0,"N/A",ROUND((IF(ISNUMBER(Matching_Engine!$O$73),Matching_Engine!$O$73*Lookup_Lists!$D$113,0)+IF(ISNUMBER(Matching_Engine!$P$73),Matching_Engine!$P$73*Lookup_Lists!$D$114,0)+IF(ISNUMBER(Matching_Engine!$Q$73),Matching_Engine!$Q$73*Lookup_Lists!$D$115,0)+IF(ISNUMBER(Matching_Engine!$R$73),Matching_Engine!$R$73*Lookup_Lists!$D$116,0))/(IF(ISNUMBER(Matching_Engine!$O$73),Lookup_Lists!$D$113,0)+IF(ISNUMBER(Matching_Engine!$P$73),Lookup_Lists!$D$114,0)+IF(ISNUMBER(Matching_Engine!$Q$73),Lookup_Lists!$D$115,0)+IF(ISNUMBER(Matching_Engine!$R$73),Lookup_Lists!$D$116,0)),0))</f>
      </c>
      <c r="T73" s="11">
        <f>IF(ISNUMBER(Matching_Engine!$S$73),1,0)</f>
      </c>
      <c r="U73" s="18">
        <f>IF(NOT(AND(ISTEXT(KOL_Source_Data!$M$25),KOL_Source_Data!$M$25&lt;&gt;"N/A")),Lookup_Lists!$D$150,IF(Brand_Profile!$G$7=KOL_Source_Data!$M$25,100,IFERROR(INDEX(Lookup_Lists!$B$349:$J$357,MATCH(Brand_Profile!$G$7,Lookup_Lists!$A$349:$A$357,0),MATCH(KOL_Source_Data!$M$25,Lookup_Lists!$B$348:$J$348,0)),Lookup_Lists!$D$151)))</f>
      </c>
      <c r="V73" s="18">
        <f>IF(NOT(AND(ISTEXT(KOL_Source_Data!$P$25),KOL_Source_Data!$P$25&lt;&gt;"N/A")),"N/A",IFERROR(INDEX(Lookup_Lists!$B$349:$J$357,MATCH(Brand_Profile!$G$7,Lookup_Lists!$A$349:$A$357,0),MATCH(KOL_Source_Data!$P$25,Lookup_Lists!$B$348:$J$348,0)),Lookup_Lists!$D$151))</f>
      </c>
      <c r="W73" s="18">
        <f>IF(LEN(TRIM(SUBSTITUTE(Matching_Engine!$BE$73,"|","")))=0,"N/A",IF(Brand_Profile!$G$60=0,Lookup_Lists!$D$150,ROUND((IF(Brand_Profile!$G$54="",0,IF(ISNUMBER(SEARCH(Brand_Profile!$G$54,Matching_Engine!$BE$73)),1,0))+IF(Brand_Profile!$G$55="",0,IF(ISNUMBER(SEARCH(Brand_Profile!$G$55,Matching_Engine!$BE$73)),1,0))+IF(Brand_Profile!$G$56="",0,IF(ISNUMBER(SEARCH(Brand_Profile!$G$56,Matching_Engine!$BE$73)),1,0))+IF(Brand_Profile!$G$57="",0,IF(ISNUMBER(SEARCH(Brand_Profile!$G$57,Matching_Engine!$BE$73)),1,0))+IF(Brand_Profile!$G$58="",0,IF(ISNUMBER(SEARCH(Brand_Profile!$G$58,Matching_Engine!$BE$73)),1,0))+IF(Brand_Profile!$G$59="",0,IF(ISNUMBER(SEARCH(Brand_Profile!$G$59,Matching_Engine!$BE$73)),1,0)))/Brand_Profile!$G$60*100,0)))</f>
      </c>
      <c r="X73" s="18">
        <f>IF(NOT(AND(ISTEXT(KOL_Source_Data!$Q$25),KOL_Source_Data!$Q$25&lt;&gt;"N/A")),"N/A",Lookup_Lists!$D$150)</f>
      </c>
      <c r="Y73" s="29">
        <f>IF((IF(ISNUMBER(Matching_Engine!$U$73),Lookup_Lists!$D$335,0)+IF(ISNUMBER(Matching_Engine!$V$73),Lookup_Lists!$D$122,0)+IF(ISNUMBER(Matching_Engine!$W$73),Lookup_Lists!$D$336,0)+IF(ISNUMBER(Matching_Engine!$X$73),Lookup_Lists!$D$124,0))=0,"N/A",ROUND((IF(ISNUMBER(Matching_Engine!$U$73),Matching_Engine!$U$73*Lookup_Lists!$D$335,0)+IF(ISNUMBER(Matching_Engine!$V$73),Matching_Engine!$V$73*Lookup_Lists!$D$122,0)+IF(ISNUMBER(Matching_Engine!$W$73),Matching_Engine!$W$73*Lookup_Lists!$D$336,0)+IF(ISNUMBER(Matching_Engine!$X$73),Matching_Engine!$X$73*Lookup_Lists!$D$124,0))/(IF(ISNUMBER(Matching_Engine!$U$73),Lookup_Lists!$D$335,0)+IF(ISNUMBER(Matching_Engine!$V$73),Lookup_Lists!$D$122,0)+IF(ISNUMBER(Matching_Engine!$W$73),Lookup_Lists!$D$336,0)+IF(ISNUMBER(Matching_Engine!$X$73),Lookup_Lists!$D$124,0)),0))</f>
      </c>
      <c r="Z73" s="11">
        <f>IF(ISNUMBER(Matching_Engine!$Y$73),1,0)</f>
      </c>
      <c r="AA73" s="18">
        <f>IF(NOT(AND(ISTEXT(KOL_Source_Data!$Q$25),KOL_Source_Data!$Q$25&lt;&gt;"N/A")),"N/A",Lookup_Lists!$D$150)</f>
      </c>
      <c r="AB73" s="18">
        <f>IF(NOT(AND(ISTEXT(KOL_Source_Data!$Q$25),KOL_Source_Data!$Q$25&lt;&gt;"N/A")),"N/A",Lookup_Lists!$D$150)</f>
      </c>
      <c r="AC73" s="18">
        <f>"N/A"</f>
      </c>
      <c r="AD73" s="18">
        <f>IF(NOT(AND(ISTEXT(KOL_Source_Data!$Q$25),KOL_Source_Data!$Q$25&lt;&gt;"N/A")),"N/A",Lookup_Lists!$D$150)</f>
      </c>
      <c r="AE73" s="29">
        <f>IF((IF(ISNUMBER(Matching_Engine!$AA$73),Lookup_Lists!$D$125,0)+IF(ISNUMBER(Matching_Engine!$AB$73),Lookup_Lists!$D$126,0)+IF(ISNUMBER(Matching_Engine!$AC$73),Lookup_Lists!$D$127,0)+IF(ISNUMBER(Matching_Engine!$AD$73),Lookup_Lists!$D$128,0))=0,"N/A",ROUND((IF(ISNUMBER(Matching_Engine!$AA$73),Matching_Engine!$AA$73*Lookup_Lists!$D$125,0)+IF(ISNUMBER(Matching_Engine!$AB$73),Matching_Engine!$AB$73*Lookup_Lists!$D$126,0)+IF(ISNUMBER(Matching_Engine!$AC$73),Matching_Engine!$AC$73*Lookup_Lists!$D$127,0)+IF(ISNUMBER(Matching_Engine!$AD$73),Matching_Engine!$AD$73*Lookup_Lists!$D$128,0))/(IF(ISNUMBER(Matching_Engine!$AA$73),Lookup_Lists!$D$125,0)+IF(ISNUMBER(Matching_Engine!$AB$73),Lookup_Lists!$D$126,0)+IF(ISNUMBER(Matching_Engine!$AC$73),Lookup_Lists!$D$127,0)+IF(ISNUMBER(Matching_Engine!$AD$73),Lookup_Lists!$D$128,0)),0))</f>
      </c>
      <c r="AF73" s="11">
        <f>IF(ISNUMBER(Matching_Engine!$AE$73),1,0)</f>
      </c>
      <c r="AG73" s="18">
        <f>IF(NOT(ISNUMBER(KOL_Source_Data!$BG$25)),"N/A",MIN(100,ROUND(KOL_Source_Data!$BG$25/IFERROR(INDEX(Lookup_Lists!$B$340:$B$344,MATCH(KOL_Source_Data!$H$25,Lookup_Lists!$A$340:$A$344,0)),Lookup_Lists!$D$141)*100,0)))</f>
      </c>
      <c r="AH73" s="18">
        <f>IF(NOT(ISNUMBER(KOL_Source_Data!$BS$25)),"N/A",MIN(100,MAX(0,KOL_Source_Data!$BS$25)))</f>
      </c>
      <c r="AI73" s="18">
        <f>IF(OR(NOT(ISNUMBER(KOL_Source_Data!$BM$25)),NOT(ISNUMBER(KOL_Source_Data!$BN$25)),KOL_Source_Data!$BN$25&lt;Lookup_Lists!$D$320),"N/A",MIN(100,ROUND(KOL_Source_Data!$BM$25/Lookup_Lists!$D$319*100,0)))</f>
      </c>
      <c r="AJ73" s="18">
        <f>IF(NOT(ISNUMBER(KOL_Source_Data!$BR$25)),"N/A",KOL_Source_Data!$BR$25)</f>
      </c>
      <c r="AK73" s="18">
        <f>IF(NOT(ISNUMBER(KOL_Source_Data!$BK$25)),"N/A",MIN(100,ROUND(KOL_Source_Data!$BK$25/Lookup_Lists!$D$321*100,0)))</f>
      </c>
      <c r="AL73" s="18">
        <f>IF(NOT(ISNUMBER(KOL_Source_Data!$BP$25)),"N/A",MIN(100,MAX(0,ROUND((KOL_Source_Data!$BP$25+2)/(Lookup_Lists!$D$145+2)*100,0))))</f>
      </c>
      <c r="AM73" s="29">
        <f>IF((IF(ISNUMBER(Matching_Engine!$AG$73),Lookup_Lists!$D$129,0)+IF(ISNUMBER(Matching_Engine!$AH$73),Lookup_Lists!$D$130,0)+IF(ISNUMBER(Matching_Engine!$AI$73),Lookup_Lists!$D$131,0)+IF(ISNUMBER(Matching_Engine!$AJ$73),Lookup_Lists!$D$132,0)+IF(ISNUMBER(Matching_Engine!$AK$73),Lookup_Lists!$D$133,0)+IF(ISNUMBER(Matching_Engine!$AL$73),Lookup_Lists!$D$134,0))=0,"N/A",ROUND((IF(ISNUMBER(Matching_Engine!$AG$73),Matching_Engine!$AG$73*Lookup_Lists!$D$129,0)+IF(ISNUMBER(Matching_Engine!$AH$73),Matching_Engine!$AH$73*Lookup_Lists!$D$130,0)+IF(ISNUMBER(Matching_Engine!$AI$73),Matching_Engine!$AI$73*Lookup_Lists!$D$131,0)+IF(ISNUMBER(Matching_Engine!$AJ$73),Matching_Engine!$AJ$73*Lookup_Lists!$D$132,0)+IF(ISNUMBER(Matching_Engine!$AK$73),Matching_Engine!$AK$73*Lookup_Lists!$D$133,0)+IF(ISNUMBER(Matching_Engine!$AL$73),Matching_Engine!$AL$73*Lookup_Lists!$D$134,0))/(IF(ISNUMBER(Matching_Engine!$AG$73),Lookup_Lists!$D$129,0)+IF(ISNUMBER(Matching_Engine!$AH$73),Lookup_Lists!$D$130,0)+IF(ISNUMBER(Matching_Engine!$AI$73),Lookup_Lists!$D$131,0)+IF(ISNUMBER(Matching_Engine!$AJ$73),Lookup_Lists!$D$132,0)+IF(ISNUMBER(Matching_Engine!$AK$73),Lookup_Lists!$D$133,0)+IF(ISNUMBER(Matching_Engine!$AL$73),Lookup_Lists!$D$134,0)),0))</f>
      </c>
      <c r="AN73" s="11">
        <f>IF(ISNUMBER(Matching_Engine!$AM$73),1,0)</f>
      </c>
      <c r="AO73" s="18">
        <f>IF(NOT(ISNUMBER(KOL_Source_Data!$BT$25)),"N/A",MIN(100,MAX(0,KOL_Source_Data!$BT$25)))</f>
      </c>
      <c r="AP73" s="18">
        <f>IF(NOT(ISNUMBER(KOL_Source_Data!$BU$25)),"N/A",MIN(100,MAX(0,KOL_Source_Data!$BU$25)))</f>
      </c>
      <c r="AQ73" s="18">
        <f>IF(KOL_Source_Data!$I$25="Yes",Lookup_Lists!$D$326,IF(KOL_Source_Data!$I$25="No",Lookup_Lists!$D$327,"N/A"))</f>
      </c>
      <c r="AR73" s="18">
        <f>IF(NOT(ISNUMBER(KOL_Source_Data!$BQ$25)),"N/A",MAX(0,ROUND(100-KOL_Source_Data!$BQ$25/Lookup_Lists!$D$328*100,0)))</f>
      </c>
      <c r="AS73" s="18">
        <f>IF(NOT(AND(ISTEXT(KOL_Source_Data!$BV$25),KOL_Source_Data!$BV$25&lt;&gt;"N/A")),"N/A",KOL_Source_Data!$BV$25)</f>
      </c>
      <c r="AT73" s="29">
        <f>IF((IF(ISNUMBER(Matching_Engine!$AO$73),Lookup_Lists!$D$322,0)+IF(ISNUMBER(Matching_Engine!$AP$73),Lookup_Lists!$D$323,0)+IF(ISNUMBER(Matching_Engine!$AQ$73),Lookup_Lists!$D$324,0)+IF(ISNUMBER(Matching_Engine!$AR$73),Lookup_Lists!$D$325,0))=0,"N/A",ROUND((IF(ISNUMBER(Matching_Engine!$AO$73),Matching_Engine!$AO$73*Lookup_Lists!$D$322,0)+IF(ISNUMBER(Matching_Engine!$AP$73),Matching_Engine!$AP$73*Lookup_Lists!$D$323,0)+IF(ISNUMBER(Matching_Engine!$AQ$73),Matching_Engine!$AQ$73*Lookup_Lists!$D$324,0)+IF(ISNUMBER(Matching_Engine!$AR$73),Matching_Engine!$AR$73*Lookup_Lists!$D$325,0))/(IF(ISNUMBER(Matching_Engine!$AO$73),Lookup_Lists!$D$322,0)+IF(ISNUMBER(Matching_Engine!$AP$73),Lookup_Lists!$D$323,0)+IF(ISNUMBER(Matching_Engine!$AQ$73),Lookup_Lists!$D$324,0)+IF(ISNUMBER(Matching_Engine!$AR$73),Lookup_Lists!$D$325,0)),0))</f>
      </c>
      <c r="AU73" s="11">
        <f>IF(ISNUMBER(Matching_Engine!$AT$73),1,0)</f>
      </c>
      <c r="AV73" s="11">
        <f>IF(NOT(ISNUMBER(Matching_Engine!$AT$73)),"Not Screened",IF(Matching_Engine!$AT$73&gt;=Lookup_Lists!$D$329,"Low Risk",IF(Matching_Engine!$AT$73&gt;=Lookup_Lists!$D$330,"Moderate Risk",IF(Matching_Engine!$AT$73&gt;=Lookup_Lists!$D$331,"Elevated Risk","High Risk"))))</f>
      </c>
      <c r="AW73" s="11">
        <f>IF(NOT(ISNUMBER(Matching_Engine!$AT$73)),"No integrity signal: no audience-analysis row for this account.","Integrity screen only — no content-risk reading exists (comments_analysis: 0 rows). "&amp;IF(ISNUMBER(Matching_Engine!$AO$73),"Authenticity "&amp;Matching_Engine!$AO$73&amp;". ","Authenticity N/A. ")&amp;IF(ISNUMBER(Matching_Engine!$AP$73),"Follower quality "&amp;Matching_Engine!$AP$73&amp;". ","Follower quality N/A. ")&amp;IF(KOL_Source_Data!$I$25="Yes","Platform-verified.","Not platform-verified."))</f>
      </c>
      <c r="AX73" s="18">
        <f>Matching_Engine!$N$73*Lookup_Lists!$D$104+Matching_Engine!$T$73*Lookup_Lists!$D$105+Matching_Engine!$Z$73*Lookup_Lists!$D$106+Matching_Engine!$AF$73*Lookup_Lists!$D$107+Matching_Engine!$AN$73*Lookup_Lists!$D$108+Matching_Engine!$AU$73*Lookup_Lists!$D$109</f>
      </c>
      <c r="AY73" s="30">
        <f>IF(Matching_Engine!$AX$73=0,"N/A",ROUND((IF(Matching_Engine!$N$73=1,Matching_Engine!$M$73*Lookup_Lists!$D$104,0)+IF(Matching_Engine!$T$73=1,Matching_Engine!$S$73*Lookup_Lists!$D$105,0)+IF(Matching_Engine!$Z$73=1,Matching_Engine!$Y$73*Lookup_Lists!$D$106,0)+IF(Matching_Engine!$AF$73=1,Matching_Engine!$AE$73*Lookup_Lists!$D$107,0)+IF(Matching_Engine!$AN$73=1,Matching_Engine!$AM$73*Lookup_Lists!$D$108,0)+IF(Matching_Engine!$AU$73=1,Matching_Engine!$AT$73*Lookup_Lists!$D$109,0))/Matching_Engine!$AX$73,0))</f>
      </c>
      <c r="AZ73" s="11">
        <f>IF(NOT(ISNUMBER(Matching_Engine!$AY$73)),"Not Scored",IF(Matching_Engine!$AY$73&gt;=Lookup_Lists!$D$152,"Excellent Match",IF(Matching_Engine!$AY$73&gt;=Lookup_Lists!$D$153,"Strong Match",IF(Matching_Engine!$AY$73&gt;=Lookup_Lists!$D$154,"Good Match",IF(Matching_Engine!$AY$73&gt;=Lookup_Lists!$D$155,"Moderate Match","Low Match")))))</f>
      </c>
      <c r="BA73" s="18">
        <f>KOL_Source_Data!$BW$25</f>
      </c>
      <c r="BB73" s="11">
        <f>KOL_Source_Data!$BX$25</f>
      </c>
      <c r="BC73" s="18">
        <f>IF(NOT(ISNUMBER(Matching_Engine!$AY$73)),-1,Matching_Engine!$AY$73*1000+5)</f>
      </c>
      <c r="BD73" s="11">
        <f>IF(AND(ISTEXT(KOL_Source_Data!$S$25),KOL_Source_Data!$S$25&lt;&gt;"N/A"),KOL_Source_Data!$S$25,"")&amp;" | "&amp;IF(AND(ISTEXT(KOL_Source_Data!$T$25),KOL_Source_Data!$T$25&lt;&gt;"N/A"),KOL_Source_Data!$T$25,"")&amp;" | "&amp;IF(AND(ISTEXT(KOL_Source_Data!$N$25),KOL_Source_Data!$N$25&lt;&gt;"N/A"),KOL_Source_Data!$N$25,"")&amp;" | "&amp;IF(AND(ISTEXT(KOL_Source_Data!$K$25),KOL_Source_Data!$K$25&lt;&gt;"N/A"),KOL_Source_Data!$K$25,"")&amp;" | "&amp;IF(AND(ISTEXT(KOL_Source_Data!$J$25),KOL_Source_Data!$J$25&lt;&gt;"N/A"),KOL_Source_Data!$J$25,"")</f>
      </c>
      <c r="BE73" s="11">
        <f>IF(AND(ISTEXT(KOL_Source_Data!$T$25),KOL_Source_Data!$T$25&lt;&gt;"N/A"),KOL_Source_Data!$T$25,"")&amp;" | "&amp;IF(AND(ISTEXT(KOL_Source_Data!$N$25),KOL_Source_Data!$N$25&lt;&gt;"N/A"),KOL_Source_Data!$N$25,"")&amp;" | "&amp;IF(AND(ISTEXT(KOL_Source_Data!$O$25),KOL_Source_Data!$O$25&lt;&gt;"N/A"),KOL_Source_Data!$O$25,"")&amp;" | "&amp;IF(AND(ISTEXT(KOL_Source_Data!$S$25),KOL_Source_Data!$S$25&lt;&gt;"N/A"),KOL_Source_Data!$S$25,"")</f>
      </c>
      <c r="BF73" s="11">
        <f>IF(AND(ISTEXT(KOL_Source_Data!$U$25),KOL_Source_Data!$U$25&lt;&gt;"N/A"),KOL_Source_Data!$U$25,"")</f>
      </c>
      <c r="BG73" s="11">
        <f>Matching_Engine!$A$73&amp;"|"&amp;Matching_Engine!$C$73</f>
      </c>
    </row>
    <row r="74" spans="1:59" x14ac:dyDescent="0.25">
      <c r="A74" s="10" t="s">
        <v>392</v>
      </c>
      <c r="B74" s="11">
        <f>Brand_Profile!$G$6</f>
      </c>
      <c r="C74" s="11">
        <f>KOL_Source_Data!$A$26</f>
      </c>
      <c r="D74" s="11">
        <f>KOL_Source_Data!$C$26</f>
      </c>
      <c r="E74" s="11">
        <f>KOL_Source_Data!$D$26</f>
      </c>
      <c r="F74" s="11">
        <f>KOL_Source_Data!$E$26</f>
      </c>
      <c r="G74" s="11">
        <f>KOL_Source_Data!$K$26</f>
      </c>
      <c r="H74" s="12">
        <f>KOL_Source_Data!$G$26</f>
      </c>
      <c r="I74" s="14">
        <f>KOL_Source_Data!$BG$26</f>
      </c>
      <c r="J74" s="18">
        <f>IF(NOT(AND(ISTEXT(KOL_Source_Data!$K$26),KOL_Source_Data!$K$26&lt;&gt;"N/A")),Lookup_Lists!$D$150,IF(Brand_Profile!$G$7=KOL_Source_Data!$K$26,100,IFERROR(INDEX(Lookup_Lists!$B$349:$J$357,MATCH(Brand_Profile!$G$7,Lookup_Lists!$A$349:$A$357,0),MATCH(KOL_Source_Data!$K$26,Lookup_Lists!$B$348:$J$348,0)),Lookup_Lists!$D$151)))</f>
      </c>
      <c r="K74" s="18">
        <f>IF(LEN(TRIM(SUBSTITUTE(Matching_Engine!$BD$74,"|","")))=0,"N/A",IF(Brand_Profile!$G$47=0,Lookup_Lists!$D$150,ROUND((IF(Brand_Profile!$G$41="",0,IF(ISNUMBER(SEARCH(Brand_Profile!$G$41,Matching_Engine!$BD$74)),1,0))+IF(Brand_Profile!$G$42="",0,IF(ISNUMBER(SEARCH(Brand_Profile!$G$42,Matching_Engine!$BD$74)),1,0))+IF(Brand_Profile!$G$43="",0,IF(ISNUMBER(SEARCH(Brand_Profile!$G$43,Matching_Engine!$BD$74)),1,0))+IF(Brand_Profile!$G$44="",0,IF(ISNUMBER(SEARCH(Brand_Profile!$G$44,Matching_Engine!$BD$74)),1,0))+IF(Brand_Profile!$G$45="",0,IF(ISNUMBER(SEARCH(Brand_Profile!$G$45,Matching_Engine!$BD$74)),1,0))+IF(Brand_Profile!$G$46="",0,IF(ISNUMBER(SEARCH(Brand_Profile!$G$46,Matching_Engine!$BD$74)),1,0)))/Brand_Profile!$G$47*100,0)))</f>
      </c>
      <c r="L74" s="18">
        <f>IF(NOT(AND(ISTEXT(KOL_Source_Data!$U$26),KOL_Source_Data!$U$26&lt;&gt;"N/A")),"N/A",IF(Brand_Profile!$G$53=0,Lookup_Lists!$D$150,ROUND((IF(Brand_Profile!$G$48="",0,IF(ISNUMBER(SEARCH(Brand_Profile!$G$48,Matching_Engine!$BF$74)),1,0))+IF(Brand_Profile!$G$49="",0,IF(ISNUMBER(SEARCH(Brand_Profile!$G$49,Matching_Engine!$BF$74)),1,0))+IF(Brand_Profile!$G$50="",0,IF(ISNUMBER(SEARCH(Brand_Profile!$G$50,Matching_Engine!$BF$74)),1,0))+IF(Brand_Profile!$G$51="",0,IF(ISNUMBER(SEARCH(Brand_Profile!$G$51,Matching_Engine!$BF$74)),1,0))+IF(Brand_Profile!$G$52="",0,IF(ISNUMBER(SEARCH(Brand_Profile!$G$52,Matching_Engine!$BF$74)),1,0)))/Brand_Profile!$G$53*100,0)))</f>
      </c>
      <c r="M74" s="29">
        <f>IF((IF(ISNUMBER(Matching_Engine!$J$74),Lookup_Lists!$D$332,0)+IF(ISNUMBER(Matching_Engine!$K$74),Lookup_Lists!$D$333,0)+IF(ISNUMBER(Matching_Engine!$L$74),Lookup_Lists!$D$334,0))=0,"N/A",ROUND((IF(ISNUMBER(Matching_Engine!$J$74),Matching_Engine!$J$74*Lookup_Lists!$D$332,0)+IF(ISNUMBER(Matching_Engine!$K$74),Matching_Engine!$K$74*Lookup_Lists!$D$333,0)+IF(ISNUMBER(Matching_Engine!$L$74),Matching_Engine!$L$74*Lookup_Lists!$D$334,0))/(IF(ISNUMBER(Matching_Engine!$J$74),Lookup_Lists!$D$332,0)+IF(ISNUMBER(Matching_Engine!$K$74),Lookup_Lists!$D$333,0)+IF(ISNUMBER(Matching_Engine!$L$74),Lookup_Lists!$D$334,0)),0))</f>
      </c>
      <c r="N74" s="11">
        <f>IF(ISNUMBER(Matching_Engine!$M$74),1,0)</f>
      </c>
      <c r="O74" s="18">
        <f>IF(NOT(ISNUMBER(IFERROR(INDEX(KOL_Source_Data!$V$26:KOL_Source_Data!$Z$26,1,MATCH(Brand_Profile!$G$11,Lookup_Lists!$F$6:$F$10,0)),""))),"N/A",MIN(100,ROUND((IFERROR(INDEX(KOL_Source_Data!$V$26:KOL_Source_Data!$Z$26,1,MATCH(Brand_Profile!$G$11,Lookup_Lists!$F$6:$F$10,0)),"")+0.5*IF(ISNUMBER(IFERROR(INDEX(KOL_Source_Data!$V$26:KOL_Source_Data!$Z$26,1,MATCH(Brand_Profile!$G$12,Lookup_Lists!$F$6:$F$10,0)),"")),IFERROR(INDEX(KOL_Source_Data!$V$26:KOL_Source_Data!$Z$26,1,MATCH(Brand_Profile!$G$12,Lookup_Lists!$F$6:$F$10,0)),""),0))/Lookup_Lists!$D$142*100,0)))</f>
      </c>
      <c r="P74" s="18">
        <f>IF(Brand_Profile!$G$13="Any",100,IF(NOT(ISNUMBER(KOL_Source_Data!$AA$26)),"N/A",IF(Brand_Profile!$G$13="Female",MIN(100,ROUND(KOL_Source_Data!$AA$26/Lookup_Lists!$D$143*100,0)),IF(Brand_Profile!$G$13="Male",MIN(100,ROUND(IF(ISNUMBER(KOL_Source_Data!$AB$26),KOL_Source_Data!$AB$26,100-KOL_Source_Data!$AA$26)/Lookup_Lists!$D$143*100,0)),MAX(0,ROUND(100-ABS(KOL_Source_Data!$AA$26-50)*2,0))))))</f>
      </c>
      <c r="Q74" s="18">
        <f>IF((IF(ISNUMBER(IF(NOT(ISNUMBER(KOL_Source_Data!$AE$26)),"N/A",IF(KOL_Source_Data!$AD$26&lt;&gt;Brand_Profile!$G$14,Lookup_Lists!$D$151,MIN(100,ROUND(KOL_Source_Data!$AE$26/Lookup_Lists!$D$316*100,0))))),Lookup_Lists!$D$118,0)+IF(ISNUMBER(IF(NOT(ISNUMBER(KOL_Source_Data!$AM$26)),"N/A",MIN(100,ROUND((IF(KOL_Source_Data!$AG$26=Brand_Profile!$G$15,IF(ISNUMBER(KOL_Source_Data!$AH$26),KOL_Source_Data!$AH$26,0),0)+IF(KOL_Source_Data!$AI$26=Brand_Profile!$G$15,IF(ISNUMBER(KOL_Source_Data!$AJ$26),KOL_Source_Data!$AJ$26,0),0)+IF(KOL_Source_Data!$AK$26=Brand_Profile!$G$15,IF(ISNUMBER(KOL_Source_Data!$AL$26),KOL_Source_Data!$AL$26,0),0))/Lookup_Lists!$D$317*100,0)))),Lookup_Lists!$D$120,0))=0,"N/A",ROUND((IF(ISNUMBER(IF(NOT(ISNUMBER(KOL_Source_Data!$AE$26)),"N/A",IF(KOL_Source_Data!$AD$26&lt;&gt;Brand_Profile!$G$14,Lookup_Lists!$D$151,MIN(100,ROUND(KOL_Source_Data!$AE$26/Lookup_Lists!$D$316*100,0))))),IF(NOT(ISNUMBER(KOL_Source_Data!$AE$26)),"N/A",IF(KOL_Source_Data!$AD$26&lt;&gt;Brand_Profile!$G$14,Lookup_Lists!$D$151,MIN(100,ROUND(KOL_Source_Data!$AE$26/Lookup_Lists!$D$316*100,0))))*Lookup_Lists!$D$118,0)+IF(ISNUMBER(IF(NOT(ISNUMBER(KOL_Source_Data!$AM$26)),"N/A",MIN(100,ROUND((IF(KOL_Source_Data!$AG$26=Brand_Profile!$G$15,IF(ISNUMBER(KOL_Source_Data!$AH$26),KOL_Source_Data!$AH$26,0),0)+IF(KOL_Source_Data!$AI$26=Brand_Profile!$G$15,IF(ISNUMBER(KOL_Source_Data!$AJ$26),KOL_Source_Data!$AJ$26,0),0)+IF(KOL_Source_Data!$AK$26=Brand_Profile!$G$15,IF(ISNUMBER(KOL_Source_Data!$AL$26),KOL_Source_Data!$AL$26,0),0))/Lookup_Lists!$D$317*100,0)))),IF(NOT(ISNUMBER(KOL_Source_Data!$AM$26)),"N/A",MIN(100,ROUND((IF(KOL_Source_Data!$AG$26=Brand_Profile!$G$15,IF(ISNUMBER(KOL_Source_Data!$AH$26),KOL_Source_Data!$AH$26,0),0)+IF(KOL_Source_Data!$AI$26=Brand_Profile!$G$15,IF(ISNUMBER(KOL_Source_Data!$AJ$26),KOL_Source_Data!$AJ$26,0),0)+IF(KOL_Source_Data!$AK$26=Brand_Profile!$G$15,IF(ISNUMBER(KOL_Source_Data!$AL$26),KOL_Source_Data!$AL$26,0),0))/Lookup_Lists!$D$317*100,0)))*Lookup_Lists!$D$120,0))/(IF(ISNUMBER(IF(NOT(ISNUMBER(KOL_Source_Data!$AE$26)),"N/A",IF(KOL_Source_Data!$AD$26&lt;&gt;Brand_Profile!$G$14,Lookup_Lists!$D$151,MIN(100,ROUND(KOL_Source_Data!$AE$26/Lookup_Lists!$D$316*100,0))))),Lookup_Lists!$D$118,0)+IF(ISNUMBER(IF(NOT(ISNUMBER(KOL_Source_Data!$AM$26)),"N/A",MIN(100,ROUND((IF(KOL_Source_Data!$AG$26=Brand_Profile!$G$15,IF(ISNUMBER(KOL_Source_Data!$AH$26),KOL_Source_Data!$AH$26,0),0)+IF(KOL_Source_Data!$AI$26=Brand_Profile!$G$15,IF(ISNUMBER(KOL_Source_Data!$AJ$26),KOL_Source_Data!$AJ$26,0),0)+IF(KOL_Source_Data!$AK$26=Brand_Profile!$G$15,IF(ISNUMBER(KOL_Source_Data!$AL$26),KOL_Source_Data!$AL$26,0),0))/Lookup_Lists!$D$317*100,0)))),Lookup_Lists!$D$120,0)),0))</f>
      </c>
      <c r="R74" s="18">
        <f>IF(NOT(ISNUMBER(KOL_Source_Data!$AN$26)),"N/A",MIN(100,ROUND((IF(ISNUMBER(KOL_Source_Data!$AO$26),KOL_Source_Data!$AO$26*Brand_Profile!$G$17,0)+IF(ISNUMBER(KOL_Source_Data!$AP$26),KOL_Source_Data!$AP$26*Brand_Profile!$G$18,0)+IF(ISNUMBER(KOL_Source_Data!$AQ$26),KOL_Source_Data!$AQ$26*Brand_Profile!$G$19,0)+IF(ISNUMBER(KOL_Source_Data!$AR$26),KOL_Source_Data!$AR$26*Brand_Profile!$G$20,0)+IF(ISNUMBER(KOL_Source_Data!$AS$26),KOL_Source_Data!$AS$26*Brand_Profile!$G$21,0)+IF(ISNUMBER(KOL_Source_Data!$AT$26),KOL_Source_Data!$AT$26*Brand_Profile!$G$22,0)+IF(ISNUMBER(KOL_Source_Data!$AU$26),KOL_Source_Data!$AU$26*Brand_Profile!$G$23,0)+IF(ISNUMBER(KOL_Source_Data!$AV$26),KOL_Source_Data!$AV$26*Brand_Profile!$G$24,0)+IF(ISNUMBER(KOL_Source_Data!$AW$26),KOL_Source_Data!$AW$26*Brand_Profile!$G$25,0)+IF(ISNUMBER(KOL_Source_Data!$AX$26),KOL_Source_Data!$AX$26*Brand_Profile!$G$26,0)+IF(ISNUMBER(KOL_Source_Data!$AY$26),KOL_Source_Data!$AY$26*Brand_Profile!$G$27,0)+IF(ISNUMBER(KOL_Source_Data!$AZ$26),KOL_Source_Data!$AZ$26*Brand_Profile!$G$28,0)+IF(ISNUMBER(KOL_Source_Data!$BA$26),KOL_Source_Data!$BA$26*Brand_Profile!$G$29,0)+IF(ISNUMBER(KOL_Source_Data!$BB$26),KOL_Source_Data!$BB$26*Brand_Profile!$G$30,0)+IF(ISNUMBER(KOL_Source_Data!$BC$26),KOL_Source_Data!$BC$26*Brand_Profile!$G$31,0)+IF(ISNUMBER(KOL_Source_Data!$BD$26),KOL_Source_Data!$BD$26*Brand_Profile!$G$32,0)+IF(ISNUMBER(KOL_Source_Data!$BE$26),KOL_Source_Data!$BE$26*Brand_Profile!$G$33,0)+IF(ISNUMBER(KOL_Source_Data!$BF$26),KOL_Source_Data!$BF$26*Brand_Profile!$G$34,0))/Lookup_Lists!$D$318*100,0)))</f>
      </c>
      <c r="S74" s="29">
        <f>IF((IF(ISNUMBER(Matching_Engine!$O$74),Lookup_Lists!$D$113,0)+IF(ISNUMBER(Matching_Engine!$P$74),Lookup_Lists!$D$114,0)+IF(ISNUMBER(Matching_Engine!$Q$74),Lookup_Lists!$D$115,0)+IF(ISNUMBER(Matching_Engine!$R$74),Lookup_Lists!$D$116,0))=0,"N/A",ROUND((IF(ISNUMBER(Matching_Engine!$O$74),Matching_Engine!$O$74*Lookup_Lists!$D$113,0)+IF(ISNUMBER(Matching_Engine!$P$74),Matching_Engine!$P$74*Lookup_Lists!$D$114,0)+IF(ISNUMBER(Matching_Engine!$Q$74),Matching_Engine!$Q$74*Lookup_Lists!$D$115,0)+IF(ISNUMBER(Matching_Engine!$R$74),Matching_Engine!$R$74*Lookup_Lists!$D$116,0))/(IF(ISNUMBER(Matching_Engine!$O$74),Lookup_Lists!$D$113,0)+IF(ISNUMBER(Matching_Engine!$P$74),Lookup_Lists!$D$114,0)+IF(ISNUMBER(Matching_Engine!$Q$74),Lookup_Lists!$D$115,0)+IF(ISNUMBER(Matching_Engine!$R$74),Lookup_Lists!$D$116,0)),0))</f>
      </c>
      <c r="T74" s="11">
        <f>IF(ISNUMBER(Matching_Engine!$S$74),1,0)</f>
      </c>
      <c r="U74" s="18">
        <f>IF(NOT(AND(ISTEXT(KOL_Source_Data!$M$26),KOL_Source_Data!$M$26&lt;&gt;"N/A")),Lookup_Lists!$D$150,IF(Brand_Profile!$G$7=KOL_Source_Data!$M$26,100,IFERROR(INDEX(Lookup_Lists!$B$349:$J$357,MATCH(Brand_Profile!$G$7,Lookup_Lists!$A$349:$A$357,0),MATCH(KOL_Source_Data!$M$26,Lookup_Lists!$B$348:$J$348,0)),Lookup_Lists!$D$151)))</f>
      </c>
      <c r="V74" s="18">
        <f>IF(NOT(AND(ISTEXT(KOL_Source_Data!$P$26),KOL_Source_Data!$P$26&lt;&gt;"N/A")),"N/A",IFERROR(INDEX(Lookup_Lists!$B$349:$J$357,MATCH(Brand_Profile!$G$7,Lookup_Lists!$A$349:$A$357,0),MATCH(KOL_Source_Data!$P$26,Lookup_Lists!$B$348:$J$348,0)),Lookup_Lists!$D$151))</f>
      </c>
      <c r="W74" s="18">
        <f>IF(LEN(TRIM(SUBSTITUTE(Matching_Engine!$BE$74,"|","")))=0,"N/A",IF(Brand_Profile!$G$60=0,Lookup_Lists!$D$150,ROUND((IF(Brand_Profile!$G$54="",0,IF(ISNUMBER(SEARCH(Brand_Profile!$G$54,Matching_Engine!$BE$74)),1,0))+IF(Brand_Profile!$G$55="",0,IF(ISNUMBER(SEARCH(Brand_Profile!$G$55,Matching_Engine!$BE$74)),1,0))+IF(Brand_Profile!$G$56="",0,IF(ISNUMBER(SEARCH(Brand_Profile!$G$56,Matching_Engine!$BE$74)),1,0))+IF(Brand_Profile!$G$57="",0,IF(ISNUMBER(SEARCH(Brand_Profile!$G$57,Matching_Engine!$BE$74)),1,0))+IF(Brand_Profile!$G$58="",0,IF(ISNUMBER(SEARCH(Brand_Profile!$G$58,Matching_Engine!$BE$74)),1,0))+IF(Brand_Profile!$G$59="",0,IF(ISNUMBER(SEARCH(Brand_Profile!$G$59,Matching_Engine!$BE$74)),1,0)))/Brand_Profile!$G$60*100,0)))</f>
      </c>
      <c r="X74" s="18">
        <f>IF(NOT(AND(ISTEXT(KOL_Source_Data!$Q$26),KOL_Source_Data!$Q$26&lt;&gt;"N/A")),"N/A",Lookup_Lists!$D$150)</f>
      </c>
      <c r="Y74" s="29">
        <f>IF((IF(ISNUMBER(Matching_Engine!$U$74),Lookup_Lists!$D$335,0)+IF(ISNUMBER(Matching_Engine!$V$74),Lookup_Lists!$D$122,0)+IF(ISNUMBER(Matching_Engine!$W$74),Lookup_Lists!$D$336,0)+IF(ISNUMBER(Matching_Engine!$X$74),Lookup_Lists!$D$124,0))=0,"N/A",ROUND((IF(ISNUMBER(Matching_Engine!$U$74),Matching_Engine!$U$74*Lookup_Lists!$D$335,0)+IF(ISNUMBER(Matching_Engine!$V$74),Matching_Engine!$V$74*Lookup_Lists!$D$122,0)+IF(ISNUMBER(Matching_Engine!$W$74),Matching_Engine!$W$74*Lookup_Lists!$D$336,0)+IF(ISNUMBER(Matching_Engine!$X$74),Matching_Engine!$X$74*Lookup_Lists!$D$124,0))/(IF(ISNUMBER(Matching_Engine!$U$74),Lookup_Lists!$D$335,0)+IF(ISNUMBER(Matching_Engine!$V$74),Lookup_Lists!$D$122,0)+IF(ISNUMBER(Matching_Engine!$W$74),Lookup_Lists!$D$336,0)+IF(ISNUMBER(Matching_Engine!$X$74),Lookup_Lists!$D$124,0)),0))</f>
      </c>
      <c r="Z74" s="11">
        <f>IF(ISNUMBER(Matching_Engine!$Y$74),1,0)</f>
      </c>
      <c r="AA74" s="18">
        <f>IF(NOT(AND(ISTEXT(KOL_Source_Data!$Q$26),KOL_Source_Data!$Q$26&lt;&gt;"N/A")),"N/A",Lookup_Lists!$D$150)</f>
      </c>
      <c r="AB74" s="18">
        <f>IF(NOT(AND(ISTEXT(KOL_Source_Data!$Q$26),KOL_Source_Data!$Q$26&lt;&gt;"N/A")),"N/A",Lookup_Lists!$D$150)</f>
      </c>
      <c r="AC74" s="18">
        <f>"N/A"</f>
      </c>
      <c r="AD74" s="18">
        <f>IF(NOT(AND(ISTEXT(KOL_Source_Data!$Q$26),KOL_Source_Data!$Q$26&lt;&gt;"N/A")),"N/A",Lookup_Lists!$D$150)</f>
      </c>
      <c r="AE74" s="29">
        <f>IF((IF(ISNUMBER(Matching_Engine!$AA$74),Lookup_Lists!$D$125,0)+IF(ISNUMBER(Matching_Engine!$AB$74),Lookup_Lists!$D$126,0)+IF(ISNUMBER(Matching_Engine!$AC$74),Lookup_Lists!$D$127,0)+IF(ISNUMBER(Matching_Engine!$AD$74),Lookup_Lists!$D$128,0))=0,"N/A",ROUND((IF(ISNUMBER(Matching_Engine!$AA$74),Matching_Engine!$AA$74*Lookup_Lists!$D$125,0)+IF(ISNUMBER(Matching_Engine!$AB$74),Matching_Engine!$AB$74*Lookup_Lists!$D$126,0)+IF(ISNUMBER(Matching_Engine!$AC$74),Matching_Engine!$AC$74*Lookup_Lists!$D$127,0)+IF(ISNUMBER(Matching_Engine!$AD$74),Matching_Engine!$AD$74*Lookup_Lists!$D$128,0))/(IF(ISNUMBER(Matching_Engine!$AA$74),Lookup_Lists!$D$125,0)+IF(ISNUMBER(Matching_Engine!$AB$74),Lookup_Lists!$D$126,0)+IF(ISNUMBER(Matching_Engine!$AC$74),Lookup_Lists!$D$127,0)+IF(ISNUMBER(Matching_Engine!$AD$74),Lookup_Lists!$D$128,0)),0))</f>
      </c>
      <c r="AF74" s="11">
        <f>IF(ISNUMBER(Matching_Engine!$AE$74),1,0)</f>
      </c>
      <c r="AG74" s="18">
        <f>IF(NOT(ISNUMBER(KOL_Source_Data!$BG$26)),"N/A",MIN(100,ROUND(KOL_Source_Data!$BG$26/IFERROR(INDEX(Lookup_Lists!$B$340:$B$344,MATCH(KOL_Source_Data!$H$26,Lookup_Lists!$A$340:$A$344,0)),Lookup_Lists!$D$141)*100,0)))</f>
      </c>
      <c r="AH74" s="18">
        <f>IF(NOT(ISNUMBER(KOL_Source_Data!$BS$26)),"N/A",MIN(100,MAX(0,KOL_Source_Data!$BS$26)))</f>
      </c>
      <c r="AI74" s="18">
        <f>IF(OR(NOT(ISNUMBER(KOL_Source_Data!$BM$26)),NOT(ISNUMBER(KOL_Source_Data!$BN$26)),KOL_Source_Data!$BN$26&lt;Lookup_Lists!$D$320),"N/A",MIN(100,ROUND(KOL_Source_Data!$BM$26/Lookup_Lists!$D$319*100,0)))</f>
      </c>
      <c r="AJ74" s="18">
        <f>IF(NOT(ISNUMBER(KOL_Source_Data!$BR$26)),"N/A",KOL_Source_Data!$BR$26)</f>
      </c>
      <c r="AK74" s="18">
        <f>IF(NOT(ISNUMBER(KOL_Source_Data!$BK$26)),"N/A",MIN(100,ROUND(KOL_Source_Data!$BK$26/Lookup_Lists!$D$321*100,0)))</f>
      </c>
      <c r="AL74" s="18">
        <f>IF(NOT(ISNUMBER(KOL_Source_Data!$BP$26)),"N/A",MIN(100,MAX(0,ROUND((KOL_Source_Data!$BP$26+2)/(Lookup_Lists!$D$145+2)*100,0))))</f>
      </c>
      <c r="AM74" s="29">
        <f>IF((IF(ISNUMBER(Matching_Engine!$AG$74),Lookup_Lists!$D$129,0)+IF(ISNUMBER(Matching_Engine!$AH$74),Lookup_Lists!$D$130,0)+IF(ISNUMBER(Matching_Engine!$AI$74),Lookup_Lists!$D$131,0)+IF(ISNUMBER(Matching_Engine!$AJ$74),Lookup_Lists!$D$132,0)+IF(ISNUMBER(Matching_Engine!$AK$74),Lookup_Lists!$D$133,0)+IF(ISNUMBER(Matching_Engine!$AL$74),Lookup_Lists!$D$134,0))=0,"N/A",ROUND((IF(ISNUMBER(Matching_Engine!$AG$74),Matching_Engine!$AG$74*Lookup_Lists!$D$129,0)+IF(ISNUMBER(Matching_Engine!$AH$74),Matching_Engine!$AH$74*Lookup_Lists!$D$130,0)+IF(ISNUMBER(Matching_Engine!$AI$74),Matching_Engine!$AI$74*Lookup_Lists!$D$131,0)+IF(ISNUMBER(Matching_Engine!$AJ$74),Matching_Engine!$AJ$74*Lookup_Lists!$D$132,0)+IF(ISNUMBER(Matching_Engine!$AK$74),Matching_Engine!$AK$74*Lookup_Lists!$D$133,0)+IF(ISNUMBER(Matching_Engine!$AL$74),Matching_Engine!$AL$74*Lookup_Lists!$D$134,0))/(IF(ISNUMBER(Matching_Engine!$AG$74),Lookup_Lists!$D$129,0)+IF(ISNUMBER(Matching_Engine!$AH$74),Lookup_Lists!$D$130,0)+IF(ISNUMBER(Matching_Engine!$AI$74),Lookup_Lists!$D$131,0)+IF(ISNUMBER(Matching_Engine!$AJ$74),Lookup_Lists!$D$132,0)+IF(ISNUMBER(Matching_Engine!$AK$74),Lookup_Lists!$D$133,0)+IF(ISNUMBER(Matching_Engine!$AL$74),Lookup_Lists!$D$134,0)),0))</f>
      </c>
      <c r="AN74" s="11">
        <f>IF(ISNUMBER(Matching_Engine!$AM$74),1,0)</f>
      </c>
      <c r="AO74" s="18">
        <f>IF(NOT(ISNUMBER(KOL_Source_Data!$BT$26)),"N/A",MIN(100,MAX(0,KOL_Source_Data!$BT$26)))</f>
      </c>
      <c r="AP74" s="18">
        <f>IF(NOT(ISNUMBER(KOL_Source_Data!$BU$26)),"N/A",MIN(100,MAX(0,KOL_Source_Data!$BU$26)))</f>
      </c>
      <c r="AQ74" s="18">
        <f>IF(KOL_Source_Data!$I$26="Yes",Lookup_Lists!$D$326,IF(KOL_Source_Data!$I$26="No",Lookup_Lists!$D$327,"N/A"))</f>
      </c>
      <c r="AR74" s="18">
        <f>IF(NOT(ISNUMBER(KOL_Source_Data!$BQ$26)),"N/A",MAX(0,ROUND(100-KOL_Source_Data!$BQ$26/Lookup_Lists!$D$328*100,0)))</f>
      </c>
      <c r="AS74" s="18">
        <f>IF(NOT(AND(ISTEXT(KOL_Source_Data!$BV$26),KOL_Source_Data!$BV$26&lt;&gt;"N/A")),"N/A",KOL_Source_Data!$BV$26)</f>
      </c>
      <c r="AT74" s="29">
        <f>IF((IF(ISNUMBER(Matching_Engine!$AO$74),Lookup_Lists!$D$322,0)+IF(ISNUMBER(Matching_Engine!$AP$74),Lookup_Lists!$D$323,0)+IF(ISNUMBER(Matching_Engine!$AQ$74),Lookup_Lists!$D$324,0)+IF(ISNUMBER(Matching_Engine!$AR$74),Lookup_Lists!$D$325,0))=0,"N/A",ROUND((IF(ISNUMBER(Matching_Engine!$AO$74),Matching_Engine!$AO$74*Lookup_Lists!$D$322,0)+IF(ISNUMBER(Matching_Engine!$AP$74),Matching_Engine!$AP$74*Lookup_Lists!$D$323,0)+IF(ISNUMBER(Matching_Engine!$AQ$74),Matching_Engine!$AQ$74*Lookup_Lists!$D$324,0)+IF(ISNUMBER(Matching_Engine!$AR$74),Matching_Engine!$AR$74*Lookup_Lists!$D$325,0))/(IF(ISNUMBER(Matching_Engine!$AO$74),Lookup_Lists!$D$322,0)+IF(ISNUMBER(Matching_Engine!$AP$74),Lookup_Lists!$D$323,0)+IF(ISNUMBER(Matching_Engine!$AQ$74),Lookup_Lists!$D$324,0)+IF(ISNUMBER(Matching_Engine!$AR$74),Lookup_Lists!$D$325,0)),0))</f>
      </c>
      <c r="AU74" s="11">
        <f>IF(ISNUMBER(Matching_Engine!$AT$74),1,0)</f>
      </c>
      <c r="AV74" s="11">
        <f>IF(NOT(ISNUMBER(Matching_Engine!$AT$74)),"Not Screened",IF(Matching_Engine!$AT$74&gt;=Lookup_Lists!$D$329,"Low Risk",IF(Matching_Engine!$AT$74&gt;=Lookup_Lists!$D$330,"Moderate Risk",IF(Matching_Engine!$AT$74&gt;=Lookup_Lists!$D$331,"Elevated Risk","High Risk"))))</f>
      </c>
      <c r="AW74" s="11">
        <f>IF(NOT(ISNUMBER(Matching_Engine!$AT$74)),"No integrity signal: no audience-analysis row for this account.","Integrity screen only — no content-risk reading exists (comments_analysis: 0 rows). "&amp;IF(ISNUMBER(Matching_Engine!$AO$74),"Authenticity "&amp;Matching_Engine!$AO$74&amp;". ","Authenticity N/A. ")&amp;IF(ISNUMBER(Matching_Engine!$AP$74),"Follower quality "&amp;Matching_Engine!$AP$74&amp;". ","Follower quality N/A. ")&amp;IF(KOL_Source_Data!$I$26="Yes","Platform-verified.","Not platform-verified."))</f>
      </c>
      <c r="AX74" s="18">
        <f>Matching_Engine!$N$74*Lookup_Lists!$D$104+Matching_Engine!$T$74*Lookup_Lists!$D$105+Matching_Engine!$Z$74*Lookup_Lists!$D$106+Matching_Engine!$AF$74*Lookup_Lists!$D$107+Matching_Engine!$AN$74*Lookup_Lists!$D$108+Matching_Engine!$AU$74*Lookup_Lists!$D$109</f>
      </c>
      <c r="AY74" s="30">
        <f>IF(Matching_Engine!$AX$74=0,"N/A",ROUND((IF(Matching_Engine!$N$74=1,Matching_Engine!$M$74*Lookup_Lists!$D$104,0)+IF(Matching_Engine!$T$74=1,Matching_Engine!$S$74*Lookup_Lists!$D$105,0)+IF(Matching_Engine!$Z$74=1,Matching_Engine!$Y$74*Lookup_Lists!$D$106,0)+IF(Matching_Engine!$AF$74=1,Matching_Engine!$AE$74*Lookup_Lists!$D$107,0)+IF(Matching_Engine!$AN$74=1,Matching_Engine!$AM$74*Lookup_Lists!$D$108,0)+IF(Matching_Engine!$AU$74=1,Matching_Engine!$AT$74*Lookup_Lists!$D$109,0))/Matching_Engine!$AX$74,0))</f>
      </c>
      <c r="AZ74" s="11">
        <f>IF(NOT(ISNUMBER(Matching_Engine!$AY$74)),"Not Scored",IF(Matching_Engine!$AY$74&gt;=Lookup_Lists!$D$152,"Excellent Match",IF(Matching_Engine!$AY$74&gt;=Lookup_Lists!$D$153,"Strong Match",IF(Matching_Engine!$AY$74&gt;=Lookup_Lists!$D$154,"Good Match",IF(Matching_Engine!$AY$74&gt;=Lookup_Lists!$D$155,"Moderate Match","Low Match")))))</f>
      </c>
      <c r="BA74" s="18">
        <f>KOL_Source_Data!$BW$26</f>
      </c>
      <c r="BB74" s="11">
        <f>KOL_Source_Data!$BX$26</f>
      </c>
      <c r="BC74" s="18">
        <f>IF(NOT(ISNUMBER(Matching_Engine!$AY$74)),-1,Matching_Engine!$AY$74*1000+4)</f>
      </c>
      <c r="BD74" s="11">
        <f>IF(AND(ISTEXT(KOL_Source_Data!$S$26),KOL_Source_Data!$S$26&lt;&gt;"N/A"),KOL_Source_Data!$S$26,"")&amp;" | "&amp;IF(AND(ISTEXT(KOL_Source_Data!$T$26),KOL_Source_Data!$T$26&lt;&gt;"N/A"),KOL_Source_Data!$T$26,"")&amp;" | "&amp;IF(AND(ISTEXT(KOL_Source_Data!$N$26),KOL_Source_Data!$N$26&lt;&gt;"N/A"),KOL_Source_Data!$N$26,"")&amp;" | "&amp;IF(AND(ISTEXT(KOL_Source_Data!$K$26),KOL_Source_Data!$K$26&lt;&gt;"N/A"),KOL_Source_Data!$K$26,"")&amp;" | "&amp;IF(AND(ISTEXT(KOL_Source_Data!$J$26),KOL_Source_Data!$J$26&lt;&gt;"N/A"),KOL_Source_Data!$J$26,"")</f>
      </c>
      <c r="BE74" s="11">
        <f>IF(AND(ISTEXT(KOL_Source_Data!$T$26),KOL_Source_Data!$T$26&lt;&gt;"N/A"),KOL_Source_Data!$T$26,"")&amp;" | "&amp;IF(AND(ISTEXT(KOL_Source_Data!$N$26),KOL_Source_Data!$N$26&lt;&gt;"N/A"),KOL_Source_Data!$N$26,"")&amp;" | "&amp;IF(AND(ISTEXT(KOL_Source_Data!$O$26),KOL_Source_Data!$O$26&lt;&gt;"N/A"),KOL_Source_Data!$O$26,"")&amp;" | "&amp;IF(AND(ISTEXT(KOL_Source_Data!$S$26),KOL_Source_Data!$S$26&lt;&gt;"N/A"),KOL_Source_Data!$S$26,"")</f>
      </c>
      <c r="BF74" s="11">
        <f>IF(AND(ISTEXT(KOL_Source_Data!$U$26),KOL_Source_Data!$U$26&lt;&gt;"N/A"),KOL_Source_Data!$U$26,"")</f>
      </c>
      <c r="BG74" s="11">
        <f>Matching_Engine!$A$74&amp;"|"&amp;Matching_Engine!$C$74</f>
      </c>
    </row>
    <row r="75" spans="1:59" x14ac:dyDescent="0.25">
      <c r="A75" s="10" t="s">
        <v>392</v>
      </c>
      <c r="B75" s="11">
        <f>Brand_Profile!$G$6</f>
      </c>
      <c r="C75" s="11">
        <f>KOL_Source_Data!$A$27</f>
      </c>
      <c r="D75" s="11">
        <f>KOL_Source_Data!$C$27</f>
      </c>
      <c r="E75" s="11">
        <f>KOL_Source_Data!$D$27</f>
      </c>
      <c r="F75" s="11">
        <f>KOL_Source_Data!$E$27</f>
      </c>
      <c r="G75" s="11">
        <f>KOL_Source_Data!$K$27</f>
      </c>
      <c r="H75" s="12">
        <f>KOL_Source_Data!$G$27</f>
      </c>
      <c r="I75" s="14">
        <f>KOL_Source_Data!$BG$27</f>
      </c>
      <c r="J75" s="18">
        <f>IF(NOT(AND(ISTEXT(KOL_Source_Data!$K$27),KOL_Source_Data!$K$27&lt;&gt;"N/A")),Lookup_Lists!$D$150,IF(Brand_Profile!$G$7=KOL_Source_Data!$K$27,100,IFERROR(INDEX(Lookup_Lists!$B$349:$J$357,MATCH(Brand_Profile!$G$7,Lookup_Lists!$A$349:$A$357,0),MATCH(KOL_Source_Data!$K$27,Lookup_Lists!$B$348:$J$348,0)),Lookup_Lists!$D$151)))</f>
      </c>
      <c r="K75" s="18">
        <f>IF(LEN(TRIM(SUBSTITUTE(Matching_Engine!$BD$75,"|","")))=0,"N/A",IF(Brand_Profile!$G$47=0,Lookup_Lists!$D$150,ROUND((IF(Brand_Profile!$G$41="",0,IF(ISNUMBER(SEARCH(Brand_Profile!$G$41,Matching_Engine!$BD$75)),1,0))+IF(Brand_Profile!$G$42="",0,IF(ISNUMBER(SEARCH(Brand_Profile!$G$42,Matching_Engine!$BD$75)),1,0))+IF(Brand_Profile!$G$43="",0,IF(ISNUMBER(SEARCH(Brand_Profile!$G$43,Matching_Engine!$BD$75)),1,0))+IF(Brand_Profile!$G$44="",0,IF(ISNUMBER(SEARCH(Brand_Profile!$G$44,Matching_Engine!$BD$75)),1,0))+IF(Brand_Profile!$G$45="",0,IF(ISNUMBER(SEARCH(Brand_Profile!$G$45,Matching_Engine!$BD$75)),1,0))+IF(Brand_Profile!$G$46="",0,IF(ISNUMBER(SEARCH(Brand_Profile!$G$46,Matching_Engine!$BD$75)),1,0)))/Brand_Profile!$G$47*100,0)))</f>
      </c>
      <c r="L75" s="18">
        <f>IF(NOT(AND(ISTEXT(KOL_Source_Data!$U$27),KOL_Source_Data!$U$27&lt;&gt;"N/A")),"N/A",IF(Brand_Profile!$G$53=0,Lookup_Lists!$D$150,ROUND((IF(Brand_Profile!$G$48="",0,IF(ISNUMBER(SEARCH(Brand_Profile!$G$48,Matching_Engine!$BF$75)),1,0))+IF(Brand_Profile!$G$49="",0,IF(ISNUMBER(SEARCH(Brand_Profile!$G$49,Matching_Engine!$BF$75)),1,0))+IF(Brand_Profile!$G$50="",0,IF(ISNUMBER(SEARCH(Brand_Profile!$G$50,Matching_Engine!$BF$75)),1,0))+IF(Brand_Profile!$G$51="",0,IF(ISNUMBER(SEARCH(Brand_Profile!$G$51,Matching_Engine!$BF$75)),1,0))+IF(Brand_Profile!$G$52="",0,IF(ISNUMBER(SEARCH(Brand_Profile!$G$52,Matching_Engine!$BF$75)),1,0)))/Brand_Profile!$G$53*100,0)))</f>
      </c>
      <c r="M75" s="29">
        <f>IF((IF(ISNUMBER(Matching_Engine!$J$75),Lookup_Lists!$D$332,0)+IF(ISNUMBER(Matching_Engine!$K$75),Lookup_Lists!$D$333,0)+IF(ISNUMBER(Matching_Engine!$L$75),Lookup_Lists!$D$334,0))=0,"N/A",ROUND((IF(ISNUMBER(Matching_Engine!$J$75),Matching_Engine!$J$75*Lookup_Lists!$D$332,0)+IF(ISNUMBER(Matching_Engine!$K$75),Matching_Engine!$K$75*Lookup_Lists!$D$333,0)+IF(ISNUMBER(Matching_Engine!$L$75),Matching_Engine!$L$75*Lookup_Lists!$D$334,0))/(IF(ISNUMBER(Matching_Engine!$J$75),Lookup_Lists!$D$332,0)+IF(ISNUMBER(Matching_Engine!$K$75),Lookup_Lists!$D$333,0)+IF(ISNUMBER(Matching_Engine!$L$75),Lookup_Lists!$D$334,0)),0))</f>
      </c>
      <c r="N75" s="11">
        <f>IF(ISNUMBER(Matching_Engine!$M$75),1,0)</f>
      </c>
      <c r="O75" s="18">
        <f>IF(NOT(ISNUMBER(IFERROR(INDEX(KOL_Source_Data!$V$27:KOL_Source_Data!$Z$27,1,MATCH(Brand_Profile!$G$11,Lookup_Lists!$F$6:$F$10,0)),""))),"N/A",MIN(100,ROUND((IFERROR(INDEX(KOL_Source_Data!$V$27:KOL_Source_Data!$Z$27,1,MATCH(Brand_Profile!$G$11,Lookup_Lists!$F$6:$F$10,0)),"")+0.5*IF(ISNUMBER(IFERROR(INDEX(KOL_Source_Data!$V$27:KOL_Source_Data!$Z$27,1,MATCH(Brand_Profile!$G$12,Lookup_Lists!$F$6:$F$10,0)),"")),IFERROR(INDEX(KOL_Source_Data!$V$27:KOL_Source_Data!$Z$27,1,MATCH(Brand_Profile!$G$12,Lookup_Lists!$F$6:$F$10,0)),""),0))/Lookup_Lists!$D$142*100,0)))</f>
      </c>
      <c r="P75" s="18">
        <f>IF(Brand_Profile!$G$13="Any",100,IF(NOT(ISNUMBER(KOL_Source_Data!$AA$27)),"N/A",IF(Brand_Profile!$G$13="Female",MIN(100,ROUND(KOL_Source_Data!$AA$27/Lookup_Lists!$D$143*100,0)),IF(Brand_Profile!$G$13="Male",MIN(100,ROUND(IF(ISNUMBER(KOL_Source_Data!$AB$27),KOL_Source_Data!$AB$27,100-KOL_Source_Data!$AA$27)/Lookup_Lists!$D$143*100,0)),MAX(0,ROUND(100-ABS(KOL_Source_Data!$AA$27-50)*2,0))))))</f>
      </c>
      <c r="Q75" s="18">
        <f>IF((IF(ISNUMBER(IF(NOT(ISNUMBER(KOL_Source_Data!$AE$27)),"N/A",IF(KOL_Source_Data!$AD$27&lt;&gt;Brand_Profile!$G$14,Lookup_Lists!$D$151,MIN(100,ROUND(KOL_Source_Data!$AE$27/Lookup_Lists!$D$316*100,0))))),Lookup_Lists!$D$118,0)+IF(ISNUMBER(IF(NOT(ISNUMBER(KOL_Source_Data!$AM$27)),"N/A",MIN(100,ROUND((IF(KOL_Source_Data!$AG$27=Brand_Profile!$G$15,IF(ISNUMBER(KOL_Source_Data!$AH$27),KOL_Source_Data!$AH$27,0),0)+IF(KOL_Source_Data!$AI$27=Brand_Profile!$G$15,IF(ISNUMBER(KOL_Source_Data!$AJ$27),KOL_Source_Data!$AJ$27,0),0)+IF(KOL_Source_Data!$AK$27=Brand_Profile!$G$15,IF(ISNUMBER(KOL_Source_Data!$AL$27),KOL_Source_Data!$AL$27,0),0))/Lookup_Lists!$D$317*100,0)))),Lookup_Lists!$D$120,0))=0,"N/A",ROUND((IF(ISNUMBER(IF(NOT(ISNUMBER(KOL_Source_Data!$AE$27)),"N/A",IF(KOL_Source_Data!$AD$27&lt;&gt;Brand_Profile!$G$14,Lookup_Lists!$D$151,MIN(100,ROUND(KOL_Source_Data!$AE$27/Lookup_Lists!$D$316*100,0))))),IF(NOT(ISNUMBER(KOL_Source_Data!$AE$27)),"N/A",IF(KOL_Source_Data!$AD$27&lt;&gt;Brand_Profile!$G$14,Lookup_Lists!$D$151,MIN(100,ROUND(KOL_Source_Data!$AE$27/Lookup_Lists!$D$316*100,0))))*Lookup_Lists!$D$118,0)+IF(ISNUMBER(IF(NOT(ISNUMBER(KOL_Source_Data!$AM$27)),"N/A",MIN(100,ROUND((IF(KOL_Source_Data!$AG$27=Brand_Profile!$G$15,IF(ISNUMBER(KOL_Source_Data!$AH$27),KOL_Source_Data!$AH$27,0),0)+IF(KOL_Source_Data!$AI$27=Brand_Profile!$G$15,IF(ISNUMBER(KOL_Source_Data!$AJ$27),KOL_Source_Data!$AJ$27,0),0)+IF(KOL_Source_Data!$AK$27=Brand_Profile!$G$15,IF(ISNUMBER(KOL_Source_Data!$AL$27),KOL_Source_Data!$AL$27,0),0))/Lookup_Lists!$D$317*100,0)))),IF(NOT(ISNUMBER(KOL_Source_Data!$AM$27)),"N/A",MIN(100,ROUND((IF(KOL_Source_Data!$AG$27=Brand_Profile!$G$15,IF(ISNUMBER(KOL_Source_Data!$AH$27),KOL_Source_Data!$AH$27,0),0)+IF(KOL_Source_Data!$AI$27=Brand_Profile!$G$15,IF(ISNUMBER(KOL_Source_Data!$AJ$27),KOL_Source_Data!$AJ$27,0),0)+IF(KOL_Source_Data!$AK$27=Brand_Profile!$G$15,IF(ISNUMBER(KOL_Source_Data!$AL$27),KOL_Source_Data!$AL$27,0),0))/Lookup_Lists!$D$317*100,0)))*Lookup_Lists!$D$120,0))/(IF(ISNUMBER(IF(NOT(ISNUMBER(KOL_Source_Data!$AE$27)),"N/A",IF(KOL_Source_Data!$AD$27&lt;&gt;Brand_Profile!$G$14,Lookup_Lists!$D$151,MIN(100,ROUND(KOL_Source_Data!$AE$27/Lookup_Lists!$D$316*100,0))))),Lookup_Lists!$D$118,0)+IF(ISNUMBER(IF(NOT(ISNUMBER(KOL_Source_Data!$AM$27)),"N/A",MIN(100,ROUND((IF(KOL_Source_Data!$AG$27=Brand_Profile!$G$15,IF(ISNUMBER(KOL_Source_Data!$AH$27),KOL_Source_Data!$AH$27,0),0)+IF(KOL_Source_Data!$AI$27=Brand_Profile!$G$15,IF(ISNUMBER(KOL_Source_Data!$AJ$27),KOL_Source_Data!$AJ$27,0),0)+IF(KOL_Source_Data!$AK$27=Brand_Profile!$G$15,IF(ISNUMBER(KOL_Source_Data!$AL$27),KOL_Source_Data!$AL$27,0),0))/Lookup_Lists!$D$317*100,0)))),Lookup_Lists!$D$120,0)),0))</f>
      </c>
      <c r="R75" s="18">
        <f>IF(NOT(ISNUMBER(KOL_Source_Data!$AN$27)),"N/A",MIN(100,ROUND((IF(ISNUMBER(KOL_Source_Data!$AO$27),KOL_Source_Data!$AO$27*Brand_Profile!$G$17,0)+IF(ISNUMBER(KOL_Source_Data!$AP$27),KOL_Source_Data!$AP$27*Brand_Profile!$G$18,0)+IF(ISNUMBER(KOL_Source_Data!$AQ$27),KOL_Source_Data!$AQ$27*Brand_Profile!$G$19,0)+IF(ISNUMBER(KOL_Source_Data!$AR$27),KOL_Source_Data!$AR$27*Brand_Profile!$G$20,0)+IF(ISNUMBER(KOL_Source_Data!$AS$27),KOL_Source_Data!$AS$27*Brand_Profile!$G$21,0)+IF(ISNUMBER(KOL_Source_Data!$AT$27),KOL_Source_Data!$AT$27*Brand_Profile!$G$22,0)+IF(ISNUMBER(KOL_Source_Data!$AU$27),KOL_Source_Data!$AU$27*Brand_Profile!$G$23,0)+IF(ISNUMBER(KOL_Source_Data!$AV$27),KOL_Source_Data!$AV$27*Brand_Profile!$G$24,0)+IF(ISNUMBER(KOL_Source_Data!$AW$27),KOL_Source_Data!$AW$27*Brand_Profile!$G$25,0)+IF(ISNUMBER(KOL_Source_Data!$AX$27),KOL_Source_Data!$AX$27*Brand_Profile!$G$26,0)+IF(ISNUMBER(KOL_Source_Data!$AY$27),KOL_Source_Data!$AY$27*Brand_Profile!$G$27,0)+IF(ISNUMBER(KOL_Source_Data!$AZ$27),KOL_Source_Data!$AZ$27*Brand_Profile!$G$28,0)+IF(ISNUMBER(KOL_Source_Data!$BA$27),KOL_Source_Data!$BA$27*Brand_Profile!$G$29,0)+IF(ISNUMBER(KOL_Source_Data!$BB$27),KOL_Source_Data!$BB$27*Brand_Profile!$G$30,0)+IF(ISNUMBER(KOL_Source_Data!$BC$27),KOL_Source_Data!$BC$27*Brand_Profile!$G$31,0)+IF(ISNUMBER(KOL_Source_Data!$BD$27),KOL_Source_Data!$BD$27*Brand_Profile!$G$32,0)+IF(ISNUMBER(KOL_Source_Data!$BE$27),KOL_Source_Data!$BE$27*Brand_Profile!$G$33,0)+IF(ISNUMBER(KOL_Source_Data!$BF$27),KOL_Source_Data!$BF$27*Brand_Profile!$G$34,0))/Lookup_Lists!$D$318*100,0)))</f>
      </c>
      <c r="S75" s="29">
        <f>IF((IF(ISNUMBER(Matching_Engine!$O$75),Lookup_Lists!$D$113,0)+IF(ISNUMBER(Matching_Engine!$P$75),Lookup_Lists!$D$114,0)+IF(ISNUMBER(Matching_Engine!$Q$75),Lookup_Lists!$D$115,0)+IF(ISNUMBER(Matching_Engine!$R$75),Lookup_Lists!$D$116,0))=0,"N/A",ROUND((IF(ISNUMBER(Matching_Engine!$O$75),Matching_Engine!$O$75*Lookup_Lists!$D$113,0)+IF(ISNUMBER(Matching_Engine!$P$75),Matching_Engine!$P$75*Lookup_Lists!$D$114,0)+IF(ISNUMBER(Matching_Engine!$Q$75),Matching_Engine!$Q$75*Lookup_Lists!$D$115,0)+IF(ISNUMBER(Matching_Engine!$R$75),Matching_Engine!$R$75*Lookup_Lists!$D$116,0))/(IF(ISNUMBER(Matching_Engine!$O$75),Lookup_Lists!$D$113,0)+IF(ISNUMBER(Matching_Engine!$P$75),Lookup_Lists!$D$114,0)+IF(ISNUMBER(Matching_Engine!$Q$75),Lookup_Lists!$D$115,0)+IF(ISNUMBER(Matching_Engine!$R$75),Lookup_Lists!$D$116,0)),0))</f>
      </c>
      <c r="T75" s="11">
        <f>IF(ISNUMBER(Matching_Engine!$S$75),1,0)</f>
      </c>
      <c r="U75" s="18">
        <f>IF(NOT(AND(ISTEXT(KOL_Source_Data!$M$27),KOL_Source_Data!$M$27&lt;&gt;"N/A")),Lookup_Lists!$D$150,IF(Brand_Profile!$G$7=KOL_Source_Data!$M$27,100,IFERROR(INDEX(Lookup_Lists!$B$349:$J$357,MATCH(Brand_Profile!$G$7,Lookup_Lists!$A$349:$A$357,0),MATCH(KOL_Source_Data!$M$27,Lookup_Lists!$B$348:$J$348,0)),Lookup_Lists!$D$151)))</f>
      </c>
      <c r="V75" s="18">
        <f>IF(NOT(AND(ISTEXT(KOL_Source_Data!$P$27),KOL_Source_Data!$P$27&lt;&gt;"N/A")),"N/A",IFERROR(INDEX(Lookup_Lists!$B$349:$J$357,MATCH(Brand_Profile!$G$7,Lookup_Lists!$A$349:$A$357,0),MATCH(KOL_Source_Data!$P$27,Lookup_Lists!$B$348:$J$348,0)),Lookup_Lists!$D$151))</f>
      </c>
      <c r="W75" s="18">
        <f>IF(LEN(TRIM(SUBSTITUTE(Matching_Engine!$BE$75,"|","")))=0,"N/A",IF(Brand_Profile!$G$60=0,Lookup_Lists!$D$150,ROUND((IF(Brand_Profile!$G$54="",0,IF(ISNUMBER(SEARCH(Brand_Profile!$G$54,Matching_Engine!$BE$75)),1,0))+IF(Brand_Profile!$G$55="",0,IF(ISNUMBER(SEARCH(Brand_Profile!$G$55,Matching_Engine!$BE$75)),1,0))+IF(Brand_Profile!$G$56="",0,IF(ISNUMBER(SEARCH(Brand_Profile!$G$56,Matching_Engine!$BE$75)),1,0))+IF(Brand_Profile!$G$57="",0,IF(ISNUMBER(SEARCH(Brand_Profile!$G$57,Matching_Engine!$BE$75)),1,0))+IF(Brand_Profile!$G$58="",0,IF(ISNUMBER(SEARCH(Brand_Profile!$G$58,Matching_Engine!$BE$75)),1,0))+IF(Brand_Profile!$G$59="",0,IF(ISNUMBER(SEARCH(Brand_Profile!$G$59,Matching_Engine!$BE$75)),1,0)))/Brand_Profile!$G$60*100,0)))</f>
      </c>
      <c r="X75" s="18">
        <f>IF(NOT(AND(ISTEXT(KOL_Source_Data!$Q$27),KOL_Source_Data!$Q$27&lt;&gt;"N/A")),"N/A",Lookup_Lists!$D$150)</f>
      </c>
      <c r="Y75" s="29">
        <f>IF((IF(ISNUMBER(Matching_Engine!$U$75),Lookup_Lists!$D$335,0)+IF(ISNUMBER(Matching_Engine!$V$75),Lookup_Lists!$D$122,0)+IF(ISNUMBER(Matching_Engine!$W$75),Lookup_Lists!$D$336,0)+IF(ISNUMBER(Matching_Engine!$X$75),Lookup_Lists!$D$124,0))=0,"N/A",ROUND((IF(ISNUMBER(Matching_Engine!$U$75),Matching_Engine!$U$75*Lookup_Lists!$D$335,0)+IF(ISNUMBER(Matching_Engine!$V$75),Matching_Engine!$V$75*Lookup_Lists!$D$122,0)+IF(ISNUMBER(Matching_Engine!$W$75),Matching_Engine!$W$75*Lookup_Lists!$D$336,0)+IF(ISNUMBER(Matching_Engine!$X$75),Matching_Engine!$X$75*Lookup_Lists!$D$124,0))/(IF(ISNUMBER(Matching_Engine!$U$75),Lookup_Lists!$D$335,0)+IF(ISNUMBER(Matching_Engine!$V$75),Lookup_Lists!$D$122,0)+IF(ISNUMBER(Matching_Engine!$W$75),Lookup_Lists!$D$336,0)+IF(ISNUMBER(Matching_Engine!$X$75),Lookup_Lists!$D$124,0)),0))</f>
      </c>
      <c r="Z75" s="11">
        <f>IF(ISNUMBER(Matching_Engine!$Y$75),1,0)</f>
      </c>
      <c r="AA75" s="18">
        <f>IF(NOT(AND(ISTEXT(KOL_Source_Data!$Q$27),KOL_Source_Data!$Q$27&lt;&gt;"N/A")),"N/A",Lookup_Lists!$D$150)</f>
      </c>
      <c r="AB75" s="18">
        <f>IF(NOT(AND(ISTEXT(KOL_Source_Data!$Q$27),KOL_Source_Data!$Q$27&lt;&gt;"N/A")),"N/A",Lookup_Lists!$D$150)</f>
      </c>
      <c r="AC75" s="18">
        <f>"N/A"</f>
      </c>
      <c r="AD75" s="18">
        <f>IF(NOT(AND(ISTEXT(KOL_Source_Data!$Q$27),KOL_Source_Data!$Q$27&lt;&gt;"N/A")),"N/A",Lookup_Lists!$D$150)</f>
      </c>
      <c r="AE75" s="29">
        <f>IF((IF(ISNUMBER(Matching_Engine!$AA$75),Lookup_Lists!$D$125,0)+IF(ISNUMBER(Matching_Engine!$AB$75),Lookup_Lists!$D$126,0)+IF(ISNUMBER(Matching_Engine!$AC$75),Lookup_Lists!$D$127,0)+IF(ISNUMBER(Matching_Engine!$AD$75),Lookup_Lists!$D$128,0))=0,"N/A",ROUND((IF(ISNUMBER(Matching_Engine!$AA$75),Matching_Engine!$AA$75*Lookup_Lists!$D$125,0)+IF(ISNUMBER(Matching_Engine!$AB$75),Matching_Engine!$AB$75*Lookup_Lists!$D$126,0)+IF(ISNUMBER(Matching_Engine!$AC$75),Matching_Engine!$AC$75*Lookup_Lists!$D$127,0)+IF(ISNUMBER(Matching_Engine!$AD$75),Matching_Engine!$AD$75*Lookup_Lists!$D$128,0))/(IF(ISNUMBER(Matching_Engine!$AA$75),Lookup_Lists!$D$125,0)+IF(ISNUMBER(Matching_Engine!$AB$75),Lookup_Lists!$D$126,0)+IF(ISNUMBER(Matching_Engine!$AC$75),Lookup_Lists!$D$127,0)+IF(ISNUMBER(Matching_Engine!$AD$75),Lookup_Lists!$D$128,0)),0))</f>
      </c>
      <c r="AF75" s="11">
        <f>IF(ISNUMBER(Matching_Engine!$AE$75),1,0)</f>
      </c>
      <c r="AG75" s="18">
        <f>IF(NOT(ISNUMBER(KOL_Source_Data!$BG$27)),"N/A",MIN(100,ROUND(KOL_Source_Data!$BG$27/IFERROR(INDEX(Lookup_Lists!$B$340:$B$344,MATCH(KOL_Source_Data!$H$27,Lookup_Lists!$A$340:$A$344,0)),Lookup_Lists!$D$141)*100,0)))</f>
      </c>
      <c r="AH75" s="18">
        <f>IF(NOT(ISNUMBER(KOL_Source_Data!$BS$27)),"N/A",MIN(100,MAX(0,KOL_Source_Data!$BS$27)))</f>
      </c>
      <c r="AI75" s="18">
        <f>IF(OR(NOT(ISNUMBER(KOL_Source_Data!$BM$27)),NOT(ISNUMBER(KOL_Source_Data!$BN$27)),KOL_Source_Data!$BN$27&lt;Lookup_Lists!$D$320),"N/A",MIN(100,ROUND(KOL_Source_Data!$BM$27/Lookup_Lists!$D$319*100,0)))</f>
      </c>
      <c r="AJ75" s="18">
        <f>IF(NOT(ISNUMBER(KOL_Source_Data!$BR$27)),"N/A",KOL_Source_Data!$BR$27)</f>
      </c>
      <c r="AK75" s="18">
        <f>IF(NOT(ISNUMBER(KOL_Source_Data!$BK$27)),"N/A",MIN(100,ROUND(KOL_Source_Data!$BK$27/Lookup_Lists!$D$321*100,0)))</f>
      </c>
      <c r="AL75" s="18">
        <f>IF(NOT(ISNUMBER(KOL_Source_Data!$BP$27)),"N/A",MIN(100,MAX(0,ROUND((KOL_Source_Data!$BP$27+2)/(Lookup_Lists!$D$145+2)*100,0))))</f>
      </c>
      <c r="AM75" s="29">
        <f>IF((IF(ISNUMBER(Matching_Engine!$AG$75),Lookup_Lists!$D$129,0)+IF(ISNUMBER(Matching_Engine!$AH$75),Lookup_Lists!$D$130,0)+IF(ISNUMBER(Matching_Engine!$AI$75),Lookup_Lists!$D$131,0)+IF(ISNUMBER(Matching_Engine!$AJ$75),Lookup_Lists!$D$132,0)+IF(ISNUMBER(Matching_Engine!$AK$75),Lookup_Lists!$D$133,0)+IF(ISNUMBER(Matching_Engine!$AL$75),Lookup_Lists!$D$134,0))=0,"N/A",ROUND((IF(ISNUMBER(Matching_Engine!$AG$75),Matching_Engine!$AG$75*Lookup_Lists!$D$129,0)+IF(ISNUMBER(Matching_Engine!$AH$75),Matching_Engine!$AH$75*Lookup_Lists!$D$130,0)+IF(ISNUMBER(Matching_Engine!$AI$75),Matching_Engine!$AI$75*Lookup_Lists!$D$131,0)+IF(ISNUMBER(Matching_Engine!$AJ$75),Matching_Engine!$AJ$75*Lookup_Lists!$D$132,0)+IF(ISNUMBER(Matching_Engine!$AK$75),Matching_Engine!$AK$75*Lookup_Lists!$D$133,0)+IF(ISNUMBER(Matching_Engine!$AL$75),Matching_Engine!$AL$75*Lookup_Lists!$D$134,0))/(IF(ISNUMBER(Matching_Engine!$AG$75),Lookup_Lists!$D$129,0)+IF(ISNUMBER(Matching_Engine!$AH$75),Lookup_Lists!$D$130,0)+IF(ISNUMBER(Matching_Engine!$AI$75),Lookup_Lists!$D$131,0)+IF(ISNUMBER(Matching_Engine!$AJ$75),Lookup_Lists!$D$132,0)+IF(ISNUMBER(Matching_Engine!$AK$75),Lookup_Lists!$D$133,0)+IF(ISNUMBER(Matching_Engine!$AL$75),Lookup_Lists!$D$134,0)),0))</f>
      </c>
      <c r="AN75" s="11">
        <f>IF(ISNUMBER(Matching_Engine!$AM$75),1,0)</f>
      </c>
      <c r="AO75" s="18">
        <f>IF(NOT(ISNUMBER(KOL_Source_Data!$BT$27)),"N/A",MIN(100,MAX(0,KOL_Source_Data!$BT$27)))</f>
      </c>
      <c r="AP75" s="18">
        <f>IF(NOT(ISNUMBER(KOL_Source_Data!$BU$27)),"N/A",MIN(100,MAX(0,KOL_Source_Data!$BU$27)))</f>
      </c>
      <c r="AQ75" s="18">
        <f>IF(KOL_Source_Data!$I$27="Yes",Lookup_Lists!$D$326,IF(KOL_Source_Data!$I$27="No",Lookup_Lists!$D$327,"N/A"))</f>
      </c>
      <c r="AR75" s="18">
        <f>IF(NOT(ISNUMBER(KOL_Source_Data!$BQ$27)),"N/A",MAX(0,ROUND(100-KOL_Source_Data!$BQ$27/Lookup_Lists!$D$328*100,0)))</f>
      </c>
      <c r="AS75" s="18">
        <f>IF(NOT(AND(ISTEXT(KOL_Source_Data!$BV$27),KOL_Source_Data!$BV$27&lt;&gt;"N/A")),"N/A",KOL_Source_Data!$BV$27)</f>
      </c>
      <c r="AT75" s="29">
        <f>IF((IF(ISNUMBER(Matching_Engine!$AO$75),Lookup_Lists!$D$322,0)+IF(ISNUMBER(Matching_Engine!$AP$75),Lookup_Lists!$D$323,0)+IF(ISNUMBER(Matching_Engine!$AQ$75),Lookup_Lists!$D$324,0)+IF(ISNUMBER(Matching_Engine!$AR$75),Lookup_Lists!$D$325,0))=0,"N/A",ROUND((IF(ISNUMBER(Matching_Engine!$AO$75),Matching_Engine!$AO$75*Lookup_Lists!$D$322,0)+IF(ISNUMBER(Matching_Engine!$AP$75),Matching_Engine!$AP$75*Lookup_Lists!$D$323,0)+IF(ISNUMBER(Matching_Engine!$AQ$75),Matching_Engine!$AQ$75*Lookup_Lists!$D$324,0)+IF(ISNUMBER(Matching_Engine!$AR$75),Matching_Engine!$AR$75*Lookup_Lists!$D$325,0))/(IF(ISNUMBER(Matching_Engine!$AO$75),Lookup_Lists!$D$322,0)+IF(ISNUMBER(Matching_Engine!$AP$75),Lookup_Lists!$D$323,0)+IF(ISNUMBER(Matching_Engine!$AQ$75),Lookup_Lists!$D$324,0)+IF(ISNUMBER(Matching_Engine!$AR$75),Lookup_Lists!$D$325,0)),0))</f>
      </c>
      <c r="AU75" s="11">
        <f>IF(ISNUMBER(Matching_Engine!$AT$75),1,0)</f>
      </c>
      <c r="AV75" s="11">
        <f>IF(NOT(ISNUMBER(Matching_Engine!$AT$75)),"Not Screened",IF(Matching_Engine!$AT$75&gt;=Lookup_Lists!$D$329,"Low Risk",IF(Matching_Engine!$AT$75&gt;=Lookup_Lists!$D$330,"Moderate Risk",IF(Matching_Engine!$AT$75&gt;=Lookup_Lists!$D$331,"Elevated Risk","High Risk"))))</f>
      </c>
      <c r="AW75" s="11">
        <f>IF(NOT(ISNUMBER(Matching_Engine!$AT$75)),"No integrity signal: no audience-analysis row for this account.","Integrity screen only — no content-risk reading exists (comments_analysis: 0 rows). "&amp;IF(ISNUMBER(Matching_Engine!$AO$75),"Authenticity "&amp;Matching_Engine!$AO$75&amp;". ","Authenticity N/A. ")&amp;IF(ISNUMBER(Matching_Engine!$AP$75),"Follower quality "&amp;Matching_Engine!$AP$75&amp;". ","Follower quality N/A. ")&amp;IF(KOL_Source_Data!$I$27="Yes","Platform-verified.","Not platform-verified."))</f>
      </c>
      <c r="AX75" s="18">
        <f>Matching_Engine!$N$75*Lookup_Lists!$D$104+Matching_Engine!$T$75*Lookup_Lists!$D$105+Matching_Engine!$Z$75*Lookup_Lists!$D$106+Matching_Engine!$AF$75*Lookup_Lists!$D$107+Matching_Engine!$AN$75*Lookup_Lists!$D$108+Matching_Engine!$AU$75*Lookup_Lists!$D$109</f>
      </c>
      <c r="AY75" s="30">
        <f>IF(Matching_Engine!$AX$75=0,"N/A",ROUND((IF(Matching_Engine!$N$75=1,Matching_Engine!$M$75*Lookup_Lists!$D$104,0)+IF(Matching_Engine!$T$75=1,Matching_Engine!$S$75*Lookup_Lists!$D$105,0)+IF(Matching_Engine!$Z$75=1,Matching_Engine!$Y$75*Lookup_Lists!$D$106,0)+IF(Matching_Engine!$AF$75=1,Matching_Engine!$AE$75*Lookup_Lists!$D$107,0)+IF(Matching_Engine!$AN$75=1,Matching_Engine!$AM$75*Lookup_Lists!$D$108,0)+IF(Matching_Engine!$AU$75=1,Matching_Engine!$AT$75*Lookup_Lists!$D$109,0))/Matching_Engine!$AX$75,0))</f>
      </c>
      <c r="AZ75" s="11">
        <f>IF(NOT(ISNUMBER(Matching_Engine!$AY$75)),"Not Scored",IF(Matching_Engine!$AY$75&gt;=Lookup_Lists!$D$152,"Excellent Match",IF(Matching_Engine!$AY$75&gt;=Lookup_Lists!$D$153,"Strong Match",IF(Matching_Engine!$AY$75&gt;=Lookup_Lists!$D$154,"Good Match",IF(Matching_Engine!$AY$75&gt;=Lookup_Lists!$D$155,"Moderate Match","Low Match")))))</f>
      </c>
      <c r="BA75" s="18">
        <f>KOL_Source_Data!$BW$27</f>
      </c>
      <c r="BB75" s="11">
        <f>KOL_Source_Data!$BX$27</f>
      </c>
      <c r="BC75" s="18">
        <f>IF(NOT(ISNUMBER(Matching_Engine!$AY$75)),-1,Matching_Engine!$AY$75*1000+3)</f>
      </c>
      <c r="BD75" s="11">
        <f>IF(AND(ISTEXT(KOL_Source_Data!$S$27),KOL_Source_Data!$S$27&lt;&gt;"N/A"),KOL_Source_Data!$S$27,"")&amp;" | "&amp;IF(AND(ISTEXT(KOL_Source_Data!$T$27),KOL_Source_Data!$T$27&lt;&gt;"N/A"),KOL_Source_Data!$T$27,"")&amp;" | "&amp;IF(AND(ISTEXT(KOL_Source_Data!$N$27),KOL_Source_Data!$N$27&lt;&gt;"N/A"),KOL_Source_Data!$N$27,"")&amp;" | "&amp;IF(AND(ISTEXT(KOL_Source_Data!$K$27),KOL_Source_Data!$K$27&lt;&gt;"N/A"),KOL_Source_Data!$K$27,"")&amp;" | "&amp;IF(AND(ISTEXT(KOL_Source_Data!$J$27),KOL_Source_Data!$J$27&lt;&gt;"N/A"),KOL_Source_Data!$J$27,"")</f>
      </c>
      <c r="BE75" s="11">
        <f>IF(AND(ISTEXT(KOL_Source_Data!$T$27),KOL_Source_Data!$T$27&lt;&gt;"N/A"),KOL_Source_Data!$T$27,"")&amp;" | "&amp;IF(AND(ISTEXT(KOL_Source_Data!$N$27),KOL_Source_Data!$N$27&lt;&gt;"N/A"),KOL_Source_Data!$N$27,"")&amp;" | "&amp;IF(AND(ISTEXT(KOL_Source_Data!$O$27),KOL_Source_Data!$O$27&lt;&gt;"N/A"),KOL_Source_Data!$O$27,"")&amp;" | "&amp;IF(AND(ISTEXT(KOL_Source_Data!$S$27),KOL_Source_Data!$S$27&lt;&gt;"N/A"),KOL_Source_Data!$S$27,"")</f>
      </c>
      <c r="BF75" s="11">
        <f>IF(AND(ISTEXT(KOL_Source_Data!$U$27),KOL_Source_Data!$U$27&lt;&gt;"N/A"),KOL_Source_Data!$U$27,"")</f>
      </c>
      <c r="BG75" s="11">
        <f>Matching_Engine!$A$75&amp;"|"&amp;Matching_Engine!$C$75</f>
      </c>
    </row>
    <row r="76" spans="1:59" x14ac:dyDescent="0.25">
      <c r="A76" s="10" t="s">
        <v>392</v>
      </c>
      <c r="B76" s="11">
        <f>Brand_Profile!$G$6</f>
      </c>
      <c r="C76" s="11">
        <f>KOL_Source_Data!$A$28</f>
      </c>
      <c r="D76" s="11">
        <f>KOL_Source_Data!$C$28</f>
      </c>
      <c r="E76" s="11">
        <f>KOL_Source_Data!$D$28</f>
      </c>
      <c r="F76" s="11">
        <f>KOL_Source_Data!$E$28</f>
      </c>
      <c r="G76" s="11">
        <f>KOL_Source_Data!$K$28</f>
      </c>
      <c r="H76" s="12">
        <f>KOL_Source_Data!$G$28</f>
      </c>
      <c r="I76" s="14">
        <f>KOL_Source_Data!$BG$28</f>
      </c>
      <c r="J76" s="18">
        <f>IF(NOT(AND(ISTEXT(KOL_Source_Data!$K$28),KOL_Source_Data!$K$28&lt;&gt;"N/A")),Lookup_Lists!$D$150,IF(Brand_Profile!$G$7=KOL_Source_Data!$K$28,100,IFERROR(INDEX(Lookup_Lists!$B$349:$J$357,MATCH(Brand_Profile!$G$7,Lookup_Lists!$A$349:$A$357,0),MATCH(KOL_Source_Data!$K$28,Lookup_Lists!$B$348:$J$348,0)),Lookup_Lists!$D$151)))</f>
      </c>
      <c r="K76" s="18">
        <f>IF(LEN(TRIM(SUBSTITUTE(Matching_Engine!$BD$76,"|","")))=0,"N/A",IF(Brand_Profile!$G$47=0,Lookup_Lists!$D$150,ROUND((IF(Brand_Profile!$G$41="",0,IF(ISNUMBER(SEARCH(Brand_Profile!$G$41,Matching_Engine!$BD$76)),1,0))+IF(Brand_Profile!$G$42="",0,IF(ISNUMBER(SEARCH(Brand_Profile!$G$42,Matching_Engine!$BD$76)),1,0))+IF(Brand_Profile!$G$43="",0,IF(ISNUMBER(SEARCH(Brand_Profile!$G$43,Matching_Engine!$BD$76)),1,0))+IF(Brand_Profile!$G$44="",0,IF(ISNUMBER(SEARCH(Brand_Profile!$G$44,Matching_Engine!$BD$76)),1,0))+IF(Brand_Profile!$G$45="",0,IF(ISNUMBER(SEARCH(Brand_Profile!$G$45,Matching_Engine!$BD$76)),1,0))+IF(Brand_Profile!$G$46="",0,IF(ISNUMBER(SEARCH(Brand_Profile!$G$46,Matching_Engine!$BD$76)),1,0)))/Brand_Profile!$G$47*100,0)))</f>
      </c>
      <c r="L76" s="18">
        <f>IF(NOT(AND(ISTEXT(KOL_Source_Data!$U$28),KOL_Source_Data!$U$28&lt;&gt;"N/A")),"N/A",IF(Brand_Profile!$G$53=0,Lookup_Lists!$D$150,ROUND((IF(Brand_Profile!$G$48="",0,IF(ISNUMBER(SEARCH(Brand_Profile!$G$48,Matching_Engine!$BF$76)),1,0))+IF(Brand_Profile!$G$49="",0,IF(ISNUMBER(SEARCH(Brand_Profile!$G$49,Matching_Engine!$BF$76)),1,0))+IF(Brand_Profile!$G$50="",0,IF(ISNUMBER(SEARCH(Brand_Profile!$G$50,Matching_Engine!$BF$76)),1,0))+IF(Brand_Profile!$G$51="",0,IF(ISNUMBER(SEARCH(Brand_Profile!$G$51,Matching_Engine!$BF$76)),1,0))+IF(Brand_Profile!$G$52="",0,IF(ISNUMBER(SEARCH(Brand_Profile!$G$52,Matching_Engine!$BF$76)),1,0)))/Brand_Profile!$G$53*100,0)))</f>
      </c>
      <c r="M76" s="29">
        <f>IF((IF(ISNUMBER(Matching_Engine!$J$76),Lookup_Lists!$D$332,0)+IF(ISNUMBER(Matching_Engine!$K$76),Lookup_Lists!$D$333,0)+IF(ISNUMBER(Matching_Engine!$L$76),Lookup_Lists!$D$334,0))=0,"N/A",ROUND((IF(ISNUMBER(Matching_Engine!$J$76),Matching_Engine!$J$76*Lookup_Lists!$D$332,0)+IF(ISNUMBER(Matching_Engine!$K$76),Matching_Engine!$K$76*Lookup_Lists!$D$333,0)+IF(ISNUMBER(Matching_Engine!$L$76),Matching_Engine!$L$76*Lookup_Lists!$D$334,0))/(IF(ISNUMBER(Matching_Engine!$J$76),Lookup_Lists!$D$332,0)+IF(ISNUMBER(Matching_Engine!$K$76),Lookup_Lists!$D$333,0)+IF(ISNUMBER(Matching_Engine!$L$76),Lookup_Lists!$D$334,0)),0))</f>
      </c>
      <c r="N76" s="11">
        <f>IF(ISNUMBER(Matching_Engine!$M$76),1,0)</f>
      </c>
      <c r="O76" s="18">
        <f>IF(NOT(ISNUMBER(IFERROR(INDEX(KOL_Source_Data!$V$28:KOL_Source_Data!$Z$28,1,MATCH(Brand_Profile!$G$11,Lookup_Lists!$F$6:$F$10,0)),""))),"N/A",MIN(100,ROUND((IFERROR(INDEX(KOL_Source_Data!$V$28:KOL_Source_Data!$Z$28,1,MATCH(Brand_Profile!$G$11,Lookup_Lists!$F$6:$F$10,0)),"")+0.5*IF(ISNUMBER(IFERROR(INDEX(KOL_Source_Data!$V$28:KOL_Source_Data!$Z$28,1,MATCH(Brand_Profile!$G$12,Lookup_Lists!$F$6:$F$10,0)),"")),IFERROR(INDEX(KOL_Source_Data!$V$28:KOL_Source_Data!$Z$28,1,MATCH(Brand_Profile!$G$12,Lookup_Lists!$F$6:$F$10,0)),""),0))/Lookup_Lists!$D$142*100,0)))</f>
      </c>
      <c r="P76" s="18">
        <f>IF(Brand_Profile!$G$13="Any",100,IF(NOT(ISNUMBER(KOL_Source_Data!$AA$28)),"N/A",IF(Brand_Profile!$G$13="Female",MIN(100,ROUND(KOL_Source_Data!$AA$28/Lookup_Lists!$D$143*100,0)),IF(Brand_Profile!$G$13="Male",MIN(100,ROUND(IF(ISNUMBER(KOL_Source_Data!$AB$28),KOL_Source_Data!$AB$28,100-KOL_Source_Data!$AA$28)/Lookup_Lists!$D$143*100,0)),MAX(0,ROUND(100-ABS(KOL_Source_Data!$AA$28-50)*2,0))))))</f>
      </c>
      <c r="Q76" s="18">
        <f>IF((IF(ISNUMBER(IF(NOT(ISNUMBER(KOL_Source_Data!$AE$28)),"N/A",IF(KOL_Source_Data!$AD$28&lt;&gt;Brand_Profile!$G$14,Lookup_Lists!$D$151,MIN(100,ROUND(KOL_Source_Data!$AE$28/Lookup_Lists!$D$316*100,0))))),Lookup_Lists!$D$118,0)+IF(ISNUMBER(IF(NOT(ISNUMBER(KOL_Source_Data!$AM$28)),"N/A",MIN(100,ROUND((IF(KOL_Source_Data!$AG$28=Brand_Profile!$G$15,IF(ISNUMBER(KOL_Source_Data!$AH$28),KOL_Source_Data!$AH$28,0),0)+IF(KOL_Source_Data!$AI$28=Brand_Profile!$G$15,IF(ISNUMBER(KOL_Source_Data!$AJ$28),KOL_Source_Data!$AJ$28,0),0)+IF(KOL_Source_Data!$AK$28=Brand_Profile!$G$15,IF(ISNUMBER(KOL_Source_Data!$AL$28),KOL_Source_Data!$AL$28,0),0))/Lookup_Lists!$D$317*100,0)))),Lookup_Lists!$D$120,0))=0,"N/A",ROUND((IF(ISNUMBER(IF(NOT(ISNUMBER(KOL_Source_Data!$AE$28)),"N/A",IF(KOL_Source_Data!$AD$28&lt;&gt;Brand_Profile!$G$14,Lookup_Lists!$D$151,MIN(100,ROUND(KOL_Source_Data!$AE$28/Lookup_Lists!$D$316*100,0))))),IF(NOT(ISNUMBER(KOL_Source_Data!$AE$28)),"N/A",IF(KOL_Source_Data!$AD$28&lt;&gt;Brand_Profile!$G$14,Lookup_Lists!$D$151,MIN(100,ROUND(KOL_Source_Data!$AE$28/Lookup_Lists!$D$316*100,0))))*Lookup_Lists!$D$118,0)+IF(ISNUMBER(IF(NOT(ISNUMBER(KOL_Source_Data!$AM$28)),"N/A",MIN(100,ROUND((IF(KOL_Source_Data!$AG$28=Brand_Profile!$G$15,IF(ISNUMBER(KOL_Source_Data!$AH$28),KOL_Source_Data!$AH$28,0),0)+IF(KOL_Source_Data!$AI$28=Brand_Profile!$G$15,IF(ISNUMBER(KOL_Source_Data!$AJ$28),KOL_Source_Data!$AJ$28,0),0)+IF(KOL_Source_Data!$AK$28=Brand_Profile!$G$15,IF(ISNUMBER(KOL_Source_Data!$AL$28),KOL_Source_Data!$AL$28,0),0))/Lookup_Lists!$D$317*100,0)))),IF(NOT(ISNUMBER(KOL_Source_Data!$AM$28)),"N/A",MIN(100,ROUND((IF(KOL_Source_Data!$AG$28=Brand_Profile!$G$15,IF(ISNUMBER(KOL_Source_Data!$AH$28),KOL_Source_Data!$AH$28,0),0)+IF(KOL_Source_Data!$AI$28=Brand_Profile!$G$15,IF(ISNUMBER(KOL_Source_Data!$AJ$28),KOL_Source_Data!$AJ$28,0),0)+IF(KOL_Source_Data!$AK$28=Brand_Profile!$G$15,IF(ISNUMBER(KOL_Source_Data!$AL$28),KOL_Source_Data!$AL$28,0),0))/Lookup_Lists!$D$317*100,0)))*Lookup_Lists!$D$120,0))/(IF(ISNUMBER(IF(NOT(ISNUMBER(KOL_Source_Data!$AE$28)),"N/A",IF(KOL_Source_Data!$AD$28&lt;&gt;Brand_Profile!$G$14,Lookup_Lists!$D$151,MIN(100,ROUND(KOL_Source_Data!$AE$28/Lookup_Lists!$D$316*100,0))))),Lookup_Lists!$D$118,0)+IF(ISNUMBER(IF(NOT(ISNUMBER(KOL_Source_Data!$AM$28)),"N/A",MIN(100,ROUND((IF(KOL_Source_Data!$AG$28=Brand_Profile!$G$15,IF(ISNUMBER(KOL_Source_Data!$AH$28),KOL_Source_Data!$AH$28,0),0)+IF(KOL_Source_Data!$AI$28=Brand_Profile!$G$15,IF(ISNUMBER(KOL_Source_Data!$AJ$28),KOL_Source_Data!$AJ$28,0),0)+IF(KOL_Source_Data!$AK$28=Brand_Profile!$G$15,IF(ISNUMBER(KOL_Source_Data!$AL$28),KOL_Source_Data!$AL$28,0),0))/Lookup_Lists!$D$317*100,0)))),Lookup_Lists!$D$120,0)),0))</f>
      </c>
      <c r="R76" s="18">
        <f>IF(NOT(ISNUMBER(KOL_Source_Data!$AN$28)),"N/A",MIN(100,ROUND((IF(ISNUMBER(KOL_Source_Data!$AO$28),KOL_Source_Data!$AO$28*Brand_Profile!$G$17,0)+IF(ISNUMBER(KOL_Source_Data!$AP$28),KOL_Source_Data!$AP$28*Brand_Profile!$G$18,0)+IF(ISNUMBER(KOL_Source_Data!$AQ$28),KOL_Source_Data!$AQ$28*Brand_Profile!$G$19,0)+IF(ISNUMBER(KOL_Source_Data!$AR$28),KOL_Source_Data!$AR$28*Brand_Profile!$G$20,0)+IF(ISNUMBER(KOL_Source_Data!$AS$28),KOL_Source_Data!$AS$28*Brand_Profile!$G$21,0)+IF(ISNUMBER(KOL_Source_Data!$AT$28),KOL_Source_Data!$AT$28*Brand_Profile!$G$22,0)+IF(ISNUMBER(KOL_Source_Data!$AU$28),KOL_Source_Data!$AU$28*Brand_Profile!$G$23,0)+IF(ISNUMBER(KOL_Source_Data!$AV$28),KOL_Source_Data!$AV$28*Brand_Profile!$G$24,0)+IF(ISNUMBER(KOL_Source_Data!$AW$28),KOL_Source_Data!$AW$28*Brand_Profile!$G$25,0)+IF(ISNUMBER(KOL_Source_Data!$AX$28),KOL_Source_Data!$AX$28*Brand_Profile!$G$26,0)+IF(ISNUMBER(KOL_Source_Data!$AY$28),KOL_Source_Data!$AY$28*Brand_Profile!$G$27,0)+IF(ISNUMBER(KOL_Source_Data!$AZ$28),KOL_Source_Data!$AZ$28*Brand_Profile!$G$28,0)+IF(ISNUMBER(KOL_Source_Data!$BA$28),KOL_Source_Data!$BA$28*Brand_Profile!$G$29,0)+IF(ISNUMBER(KOL_Source_Data!$BB$28),KOL_Source_Data!$BB$28*Brand_Profile!$G$30,0)+IF(ISNUMBER(KOL_Source_Data!$BC$28),KOL_Source_Data!$BC$28*Brand_Profile!$G$31,0)+IF(ISNUMBER(KOL_Source_Data!$BD$28),KOL_Source_Data!$BD$28*Brand_Profile!$G$32,0)+IF(ISNUMBER(KOL_Source_Data!$BE$28),KOL_Source_Data!$BE$28*Brand_Profile!$G$33,0)+IF(ISNUMBER(KOL_Source_Data!$BF$28),KOL_Source_Data!$BF$28*Brand_Profile!$G$34,0))/Lookup_Lists!$D$318*100,0)))</f>
      </c>
      <c r="S76" s="29">
        <f>IF((IF(ISNUMBER(Matching_Engine!$O$76),Lookup_Lists!$D$113,0)+IF(ISNUMBER(Matching_Engine!$P$76),Lookup_Lists!$D$114,0)+IF(ISNUMBER(Matching_Engine!$Q$76),Lookup_Lists!$D$115,0)+IF(ISNUMBER(Matching_Engine!$R$76),Lookup_Lists!$D$116,0))=0,"N/A",ROUND((IF(ISNUMBER(Matching_Engine!$O$76),Matching_Engine!$O$76*Lookup_Lists!$D$113,0)+IF(ISNUMBER(Matching_Engine!$P$76),Matching_Engine!$P$76*Lookup_Lists!$D$114,0)+IF(ISNUMBER(Matching_Engine!$Q$76),Matching_Engine!$Q$76*Lookup_Lists!$D$115,0)+IF(ISNUMBER(Matching_Engine!$R$76),Matching_Engine!$R$76*Lookup_Lists!$D$116,0))/(IF(ISNUMBER(Matching_Engine!$O$76),Lookup_Lists!$D$113,0)+IF(ISNUMBER(Matching_Engine!$P$76),Lookup_Lists!$D$114,0)+IF(ISNUMBER(Matching_Engine!$Q$76),Lookup_Lists!$D$115,0)+IF(ISNUMBER(Matching_Engine!$R$76),Lookup_Lists!$D$116,0)),0))</f>
      </c>
      <c r="T76" s="11">
        <f>IF(ISNUMBER(Matching_Engine!$S$76),1,0)</f>
      </c>
      <c r="U76" s="18">
        <f>IF(NOT(AND(ISTEXT(KOL_Source_Data!$M$28),KOL_Source_Data!$M$28&lt;&gt;"N/A")),Lookup_Lists!$D$150,IF(Brand_Profile!$G$7=KOL_Source_Data!$M$28,100,IFERROR(INDEX(Lookup_Lists!$B$349:$J$357,MATCH(Brand_Profile!$G$7,Lookup_Lists!$A$349:$A$357,0),MATCH(KOL_Source_Data!$M$28,Lookup_Lists!$B$348:$J$348,0)),Lookup_Lists!$D$151)))</f>
      </c>
      <c r="V76" s="18">
        <f>IF(NOT(AND(ISTEXT(KOL_Source_Data!$P$28),KOL_Source_Data!$P$28&lt;&gt;"N/A")),"N/A",IFERROR(INDEX(Lookup_Lists!$B$349:$J$357,MATCH(Brand_Profile!$G$7,Lookup_Lists!$A$349:$A$357,0),MATCH(KOL_Source_Data!$P$28,Lookup_Lists!$B$348:$J$348,0)),Lookup_Lists!$D$151))</f>
      </c>
      <c r="W76" s="18">
        <f>IF(LEN(TRIM(SUBSTITUTE(Matching_Engine!$BE$76,"|","")))=0,"N/A",IF(Brand_Profile!$G$60=0,Lookup_Lists!$D$150,ROUND((IF(Brand_Profile!$G$54="",0,IF(ISNUMBER(SEARCH(Brand_Profile!$G$54,Matching_Engine!$BE$76)),1,0))+IF(Brand_Profile!$G$55="",0,IF(ISNUMBER(SEARCH(Brand_Profile!$G$55,Matching_Engine!$BE$76)),1,0))+IF(Brand_Profile!$G$56="",0,IF(ISNUMBER(SEARCH(Brand_Profile!$G$56,Matching_Engine!$BE$76)),1,0))+IF(Brand_Profile!$G$57="",0,IF(ISNUMBER(SEARCH(Brand_Profile!$G$57,Matching_Engine!$BE$76)),1,0))+IF(Brand_Profile!$G$58="",0,IF(ISNUMBER(SEARCH(Brand_Profile!$G$58,Matching_Engine!$BE$76)),1,0))+IF(Brand_Profile!$G$59="",0,IF(ISNUMBER(SEARCH(Brand_Profile!$G$59,Matching_Engine!$BE$76)),1,0)))/Brand_Profile!$G$60*100,0)))</f>
      </c>
      <c r="X76" s="18">
        <f>IF(NOT(AND(ISTEXT(KOL_Source_Data!$Q$28),KOL_Source_Data!$Q$28&lt;&gt;"N/A")),"N/A",Lookup_Lists!$D$150)</f>
      </c>
      <c r="Y76" s="29">
        <f>IF((IF(ISNUMBER(Matching_Engine!$U$76),Lookup_Lists!$D$335,0)+IF(ISNUMBER(Matching_Engine!$V$76),Lookup_Lists!$D$122,0)+IF(ISNUMBER(Matching_Engine!$W$76),Lookup_Lists!$D$336,0)+IF(ISNUMBER(Matching_Engine!$X$76),Lookup_Lists!$D$124,0))=0,"N/A",ROUND((IF(ISNUMBER(Matching_Engine!$U$76),Matching_Engine!$U$76*Lookup_Lists!$D$335,0)+IF(ISNUMBER(Matching_Engine!$V$76),Matching_Engine!$V$76*Lookup_Lists!$D$122,0)+IF(ISNUMBER(Matching_Engine!$W$76),Matching_Engine!$W$76*Lookup_Lists!$D$336,0)+IF(ISNUMBER(Matching_Engine!$X$76),Matching_Engine!$X$76*Lookup_Lists!$D$124,0))/(IF(ISNUMBER(Matching_Engine!$U$76),Lookup_Lists!$D$335,0)+IF(ISNUMBER(Matching_Engine!$V$76),Lookup_Lists!$D$122,0)+IF(ISNUMBER(Matching_Engine!$W$76),Lookup_Lists!$D$336,0)+IF(ISNUMBER(Matching_Engine!$X$76),Lookup_Lists!$D$124,0)),0))</f>
      </c>
      <c r="Z76" s="11">
        <f>IF(ISNUMBER(Matching_Engine!$Y$76),1,0)</f>
      </c>
      <c r="AA76" s="18">
        <f>IF(NOT(AND(ISTEXT(KOL_Source_Data!$Q$28),KOL_Source_Data!$Q$28&lt;&gt;"N/A")),"N/A",Lookup_Lists!$D$150)</f>
      </c>
      <c r="AB76" s="18">
        <f>IF(NOT(AND(ISTEXT(KOL_Source_Data!$Q$28),KOL_Source_Data!$Q$28&lt;&gt;"N/A")),"N/A",Lookup_Lists!$D$150)</f>
      </c>
      <c r="AC76" s="18">
        <f>"N/A"</f>
      </c>
      <c r="AD76" s="18">
        <f>IF(NOT(AND(ISTEXT(KOL_Source_Data!$Q$28),KOL_Source_Data!$Q$28&lt;&gt;"N/A")),"N/A",Lookup_Lists!$D$150)</f>
      </c>
      <c r="AE76" s="29">
        <f>IF((IF(ISNUMBER(Matching_Engine!$AA$76),Lookup_Lists!$D$125,0)+IF(ISNUMBER(Matching_Engine!$AB$76),Lookup_Lists!$D$126,0)+IF(ISNUMBER(Matching_Engine!$AC$76),Lookup_Lists!$D$127,0)+IF(ISNUMBER(Matching_Engine!$AD$76),Lookup_Lists!$D$128,0))=0,"N/A",ROUND((IF(ISNUMBER(Matching_Engine!$AA$76),Matching_Engine!$AA$76*Lookup_Lists!$D$125,0)+IF(ISNUMBER(Matching_Engine!$AB$76),Matching_Engine!$AB$76*Lookup_Lists!$D$126,0)+IF(ISNUMBER(Matching_Engine!$AC$76),Matching_Engine!$AC$76*Lookup_Lists!$D$127,0)+IF(ISNUMBER(Matching_Engine!$AD$76),Matching_Engine!$AD$76*Lookup_Lists!$D$128,0))/(IF(ISNUMBER(Matching_Engine!$AA$76),Lookup_Lists!$D$125,0)+IF(ISNUMBER(Matching_Engine!$AB$76),Lookup_Lists!$D$126,0)+IF(ISNUMBER(Matching_Engine!$AC$76),Lookup_Lists!$D$127,0)+IF(ISNUMBER(Matching_Engine!$AD$76),Lookup_Lists!$D$128,0)),0))</f>
      </c>
      <c r="AF76" s="11">
        <f>IF(ISNUMBER(Matching_Engine!$AE$76),1,0)</f>
      </c>
      <c r="AG76" s="18">
        <f>IF(NOT(ISNUMBER(KOL_Source_Data!$BG$28)),"N/A",MIN(100,ROUND(KOL_Source_Data!$BG$28/IFERROR(INDEX(Lookup_Lists!$B$340:$B$344,MATCH(KOL_Source_Data!$H$28,Lookup_Lists!$A$340:$A$344,0)),Lookup_Lists!$D$141)*100,0)))</f>
      </c>
      <c r="AH76" s="18">
        <f>IF(NOT(ISNUMBER(KOL_Source_Data!$BS$28)),"N/A",MIN(100,MAX(0,KOL_Source_Data!$BS$28)))</f>
      </c>
      <c r="AI76" s="18">
        <f>IF(OR(NOT(ISNUMBER(KOL_Source_Data!$BM$28)),NOT(ISNUMBER(KOL_Source_Data!$BN$28)),KOL_Source_Data!$BN$28&lt;Lookup_Lists!$D$320),"N/A",MIN(100,ROUND(KOL_Source_Data!$BM$28/Lookup_Lists!$D$319*100,0)))</f>
      </c>
      <c r="AJ76" s="18">
        <f>IF(NOT(ISNUMBER(KOL_Source_Data!$BR$28)),"N/A",KOL_Source_Data!$BR$28)</f>
      </c>
      <c r="AK76" s="18">
        <f>IF(NOT(ISNUMBER(KOL_Source_Data!$BK$28)),"N/A",MIN(100,ROUND(KOL_Source_Data!$BK$28/Lookup_Lists!$D$321*100,0)))</f>
      </c>
      <c r="AL76" s="18">
        <f>IF(NOT(ISNUMBER(KOL_Source_Data!$BP$28)),"N/A",MIN(100,MAX(0,ROUND((KOL_Source_Data!$BP$28+2)/(Lookup_Lists!$D$145+2)*100,0))))</f>
      </c>
      <c r="AM76" s="29">
        <f>IF((IF(ISNUMBER(Matching_Engine!$AG$76),Lookup_Lists!$D$129,0)+IF(ISNUMBER(Matching_Engine!$AH$76),Lookup_Lists!$D$130,0)+IF(ISNUMBER(Matching_Engine!$AI$76),Lookup_Lists!$D$131,0)+IF(ISNUMBER(Matching_Engine!$AJ$76),Lookup_Lists!$D$132,0)+IF(ISNUMBER(Matching_Engine!$AK$76),Lookup_Lists!$D$133,0)+IF(ISNUMBER(Matching_Engine!$AL$76),Lookup_Lists!$D$134,0))=0,"N/A",ROUND((IF(ISNUMBER(Matching_Engine!$AG$76),Matching_Engine!$AG$76*Lookup_Lists!$D$129,0)+IF(ISNUMBER(Matching_Engine!$AH$76),Matching_Engine!$AH$76*Lookup_Lists!$D$130,0)+IF(ISNUMBER(Matching_Engine!$AI$76),Matching_Engine!$AI$76*Lookup_Lists!$D$131,0)+IF(ISNUMBER(Matching_Engine!$AJ$76),Matching_Engine!$AJ$76*Lookup_Lists!$D$132,0)+IF(ISNUMBER(Matching_Engine!$AK$76),Matching_Engine!$AK$76*Lookup_Lists!$D$133,0)+IF(ISNUMBER(Matching_Engine!$AL$76),Matching_Engine!$AL$76*Lookup_Lists!$D$134,0))/(IF(ISNUMBER(Matching_Engine!$AG$76),Lookup_Lists!$D$129,0)+IF(ISNUMBER(Matching_Engine!$AH$76),Lookup_Lists!$D$130,0)+IF(ISNUMBER(Matching_Engine!$AI$76),Lookup_Lists!$D$131,0)+IF(ISNUMBER(Matching_Engine!$AJ$76),Lookup_Lists!$D$132,0)+IF(ISNUMBER(Matching_Engine!$AK$76),Lookup_Lists!$D$133,0)+IF(ISNUMBER(Matching_Engine!$AL$76),Lookup_Lists!$D$134,0)),0))</f>
      </c>
      <c r="AN76" s="11">
        <f>IF(ISNUMBER(Matching_Engine!$AM$76),1,0)</f>
      </c>
      <c r="AO76" s="18">
        <f>IF(NOT(ISNUMBER(KOL_Source_Data!$BT$28)),"N/A",MIN(100,MAX(0,KOL_Source_Data!$BT$28)))</f>
      </c>
      <c r="AP76" s="18">
        <f>IF(NOT(ISNUMBER(KOL_Source_Data!$BU$28)),"N/A",MIN(100,MAX(0,KOL_Source_Data!$BU$28)))</f>
      </c>
      <c r="AQ76" s="18">
        <f>IF(KOL_Source_Data!$I$28="Yes",Lookup_Lists!$D$326,IF(KOL_Source_Data!$I$28="No",Lookup_Lists!$D$327,"N/A"))</f>
      </c>
      <c r="AR76" s="18">
        <f>IF(NOT(ISNUMBER(KOL_Source_Data!$BQ$28)),"N/A",MAX(0,ROUND(100-KOL_Source_Data!$BQ$28/Lookup_Lists!$D$328*100,0)))</f>
      </c>
      <c r="AS76" s="18">
        <f>IF(NOT(AND(ISTEXT(KOL_Source_Data!$BV$28),KOL_Source_Data!$BV$28&lt;&gt;"N/A")),"N/A",KOL_Source_Data!$BV$28)</f>
      </c>
      <c r="AT76" s="29">
        <f>IF((IF(ISNUMBER(Matching_Engine!$AO$76),Lookup_Lists!$D$322,0)+IF(ISNUMBER(Matching_Engine!$AP$76),Lookup_Lists!$D$323,0)+IF(ISNUMBER(Matching_Engine!$AQ$76),Lookup_Lists!$D$324,0)+IF(ISNUMBER(Matching_Engine!$AR$76),Lookup_Lists!$D$325,0))=0,"N/A",ROUND((IF(ISNUMBER(Matching_Engine!$AO$76),Matching_Engine!$AO$76*Lookup_Lists!$D$322,0)+IF(ISNUMBER(Matching_Engine!$AP$76),Matching_Engine!$AP$76*Lookup_Lists!$D$323,0)+IF(ISNUMBER(Matching_Engine!$AQ$76),Matching_Engine!$AQ$76*Lookup_Lists!$D$324,0)+IF(ISNUMBER(Matching_Engine!$AR$76),Matching_Engine!$AR$76*Lookup_Lists!$D$325,0))/(IF(ISNUMBER(Matching_Engine!$AO$76),Lookup_Lists!$D$322,0)+IF(ISNUMBER(Matching_Engine!$AP$76),Lookup_Lists!$D$323,0)+IF(ISNUMBER(Matching_Engine!$AQ$76),Lookup_Lists!$D$324,0)+IF(ISNUMBER(Matching_Engine!$AR$76),Lookup_Lists!$D$325,0)),0))</f>
      </c>
      <c r="AU76" s="11">
        <f>IF(ISNUMBER(Matching_Engine!$AT$76),1,0)</f>
      </c>
      <c r="AV76" s="11">
        <f>IF(NOT(ISNUMBER(Matching_Engine!$AT$76)),"Not Screened",IF(Matching_Engine!$AT$76&gt;=Lookup_Lists!$D$329,"Low Risk",IF(Matching_Engine!$AT$76&gt;=Lookup_Lists!$D$330,"Moderate Risk",IF(Matching_Engine!$AT$76&gt;=Lookup_Lists!$D$331,"Elevated Risk","High Risk"))))</f>
      </c>
      <c r="AW76" s="11">
        <f>IF(NOT(ISNUMBER(Matching_Engine!$AT$76)),"No integrity signal: no audience-analysis row for this account.","Integrity screen only — no content-risk reading exists (comments_analysis: 0 rows). "&amp;IF(ISNUMBER(Matching_Engine!$AO$76),"Authenticity "&amp;Matching_Engine!$AO$76&amp;". ","Authenticity N/A. ")&amp;IF(ISNUMBER(Matching_Engine!$AP$76),"Follower quality "&amp;Matching_Engine!$AP$76&amp;". ","Follower quality N/A. ")&amp;IF(KOL_Source_Data!$I$28="Yes","Platform-verified.","Not platform-verified."))</f>
      </c>
      <c r="AX76" s="18">
        <f>Matching_Engine!$N$76*Lookup_Lists!$D$104+Matching_Engine!$T$76*Lookup_Lists!$D$105+Matching_Engine!$Z$76*Lookup_Lists!$D$106+Matching_Engine!$AF$76*Lookup_Lists!$D$107+Matching_Engine!$AN$76*Lookup_Lists!$D$108+Matching_Engine!$AU$76*Lookup_Lists!$D$109</f>
      </c>
      <c r="AY76" s="30">
        <f>IF(Matching_Engine!$AX$76=0,"N/A",ROUND((IF(Matching_Engine!$N$76=1,Matching_Engine!$M$76*Lookup_Lists!$D$104,0)+IF(Matching_Engine!$T$76=1,Matching_Engine!$S$76*Lookup_Lists!$D$105,0)+IF(Matching_Engine!$Z$76=1,Matching_Engine!$Y$76*Lookup_Lists!$D$106,0)+IF(Matching_Engine!$AF$76=1,Matching_Engine!$AE$76*Lookup_Lists!$D$107,0)+IF(Matching_Engine!$AN$76=1,Matching_Engine!$AM$76*Lookup_Lists!$D$108,0)+IF(Matching_Engine!$AU$76=1,Matching_Engine!$AT$76*Lookup_Lists!$D$109,0))/Matching_Engine!$AX$76,0))</f>
      </c>
      <c r="AZ76" s="11">
        <f>IF(NOT(ISNUMBER(Matching_Engine!$AY$76)),"Not Scored",IF(Matching_Engine!$AY$76&gt;=Lookup_Lists!$D$152,"Excellent Match",IF(Matching_Engine!$AY$76&gt;=Lookup_Lists!$D$153,"Strong Match",IF(Matching_Engine!$AY$76&gt;=Lookup_Lists!$D$154,"Good Match",IF(Matching_Engine!$AY$76&gt;=Lookup_Lists!$D$155,"Moderate Match","Low Match")))))</f>
      </c>
      <c r="BA76" s="18">
        <f>KOL_Source_Data!$BW$28</f>
      </c>
      <c r="BB76" s="11">
        <f>KOL_Source_Data!$BX$28</f>
      </c>
      <c r="BC76" s="18">
        <f>IF(NOT(ISNUMBER(Matching_Engine!$AY$76)),-1,Matching_Engine!$AY$76*1000+2)</f>
      </c>
      <c r="BD76" s="11">
        <f>IF(AND(ISTEXT(KOL_Source_Data!$S$28),KOL_Source_Data!$S$28&lt;&gt;"N/A"),KOL_Source_Data!$S$28,"")&amp;" | "&amp;IF(AND(ISTEXT(KOL_Source_Data!$T$28),KOL_Source_Data!$T$28&lt;&gt;"N/A"),KOL_Source_Data!$T$28,"")&amp;" | "&amp;IF(AND(ISTEXT(KOL_Source_Data!$N$28),KOL_Source_Data!$N$28&lt;&gt;"N/A"),KOL_Source_Data!$N$28,"")&amp;" | "&amp;IF(AND(ISTEXT(KOL_Source_Data!$K$28),KOL_Source_Data!$K$28&lt;&gt;"N/A"),KOL_Source_Data!$K$28,"")&amp;" | "&amp;IF(AND(ISTEXT(KOL_Source_Data!$J$28),KOL_Source_Data!$J$28&lt;&gt;"N/A"),KOL_Source_Data!$J$28,"")</f>
      </c>
      <c r="BE76" s="11">
        <f>IF(AND(ISTEXT(KOL_Source_Data!$T$28),KOL_Source_Data!$T$28&lt;&gt;"N/A"),KOL_Source_Data!$T$28,"")&amp;" | "&amp;IF(AND(ISTEXT(KOL_Source_Data!$N$28),KOL_Source_Data!$N$28&lt;&gt;"N/A"),KOL_Source_Data!$N$28,"")&amp;" | "&amp;IF(AND(ISTEXT(KOL_Source_Data!$O$28),KOL_Source_Data!$O$28&lt;&gt;"N/A"),KOL_Source_Data!$O$28,"")&amp;" | "&amp;IF(AND(ISTEXT(KOL_Source_Data!$S$28),KOL_Source_Data!$S$28&lt;&gt;"N/A"),KOL_Source_Data!$S$28,"")</f>
      </c>
      <c r="BF76" s="11">
        <f>IF(AND(ISTEXT(KOL_Source_Data!$U$28),KOL_Source_Data!$U$28&lt;&gt;"N/A"),KOL_Source_Data!$U$28,"")</f>
      </c>
      <c r="BG76" s="11">
        <f>Matching_Engine!$A$76&amp;"|"&amp;Matching_Engine!$C$76</f>
      </c>
    </row>
    <row r="77" spans="1:59" x14ac:dyDescent="0.25">
      <c r="A77" s="10" t="s">
        <v>392</v>
      </c>
      <c r="B77" s="11">
        <f>Brand_Profile!$G$6</f>
      </c>
      <c r="C77" s="11">
        <f>KOL_Source_Data!$A$29</f>
      </c>
      <c r="D77" s="11">
        <f>KOL_Source_Data!$C$29</f>
      </c>
      <c r="E77" s="11">
        <f>KOL_Source_Data!$D$29</f>
      </c>
      <c r="F77" s="11">
        <f>KOL_Source_Data!$E$29</f>
      </c>
      <c r="G77" s="11">
        <f>KOL_Source_Data!$K$29</f>
      </c>
      <c r="H77" s="12">
        <f>KOL_Source_Data!$G$29</f>
      </c>
      <c r="I77" s="14">
        <f>KOL_Source_Data!$BG$29</f>
      </c>
      <c r="J77" s="18">
        <f>IF(NOT(AND(ISTEXT(KOL_Source_Data!$K$29),KOL_Source_Data!$K$29&lt;&gt;"N/A")),Lookup_Lists!$D$150,IF(Brand_Profile!$G$7=KOL_Source_Data!$K$29,100,IFERROR(INDEX(Lookup_Lists!$B$349:$J$357,MATCH(Brand_Profile!$G$7,Lookup_Lists!$A$349:$A$357,0),MATCH(KOL_Source_Data!$K$29,Lookup_Lists!$B$348:$J$348,0)),Lookup_Lists!$D$151)))</f>
      </c>
      <c r="K77" s="18">
        <f>IF(LEN(TRIM(SUBSTITUTE(Matching_Engine!$BD$77,"|","")))=0,"N/A",IF(Brand_Profile!$G$47=0,Lookup_Lists!$D$150,ROUND((IF(Brand_Profile!$G$41="",0,IF(ISNUMBER(SEARCH(Brand_Profile!$G$41,Matching_Engine!$BD$77)),1,0))+IF(Brand_Profile!$G$42="",0,IF(ISNUMBER(SEARCH(Brand_Profile!$G$42,Matching_Engine!$BD$77)),1,0))+IF(Brand_Profile!$G$43="",0,IF(ISNUMBER(SEARCH(Brand_Profile!$G$43,Matching_Engine!$BD$77)),1,0))+IF(Brand_Profile!$G$44="",0,IF(ISNUMBER(SEARCH(Brand_Profile!$G$44,Matching_Engine!$BD$77)),1,0))+IF(Brand_Profile!$G$45="",0,IF(ISNUMBER(SEARCH(Brand_Profile!$G$45,Matching_Engine!$BD$77)),1,0))+IF(Brand_Profile!$G$46="",0,IF(ISNUMBER(SEARCH(Brand_Profile!$G$46,Matching_Engine!$BD$77)),1,0)))/Brand_Profile!$G$47*100,0)))</f>
      </c>
      <c r="L77" s="18">
        <f>IF(NOT(AND(ISTEXT(KOL_Source_Data!$U$29),KOL_Source_Data!$U$29&lt;&gt;"N/A")),"N/A",IF(Brand_Profile!$G$53=0,Lookup_Lists!$D$150,ROUND((IF(Brand_Profile!$G$48="",0,IF(ISNUMBER(SEARCH(Brand_Profile!$G$48,Matching_Engine!$BF$77)),1,0))+IF(Brand_Profile!$G$49="",0,IF(ISNUMBER(SEARCH(Brand_Profile!$G$49,Matching_Engine!$BF$77)),1,0))+IF(Brand_Profile!$G$50="",0,IF(ISNUMBER(SEARCH(Brand_Profile!$G$50,Matching_Engine!$BF$77)),1,0))+IF(Brand_Profile!$G$51="",0,IF(ISNUMBER(SEARCH(Brand_Profile!$G$51,Matching_Engine!$BF$77)),1,0))+IF(Brand_Profile!$G$52="",0,IF(ISNUMBER(SEARCH(Brand_Profile!$G$52,Matching_Engine!$BF$77)),1,0)))/Brand_Profile!$G$53*100,0)))</f>
      </c>
      <c r="M77" s="29">
        <f>IF((IF(ISNUMBER(Matching_Engine!$J$77),Lookup_Lists!$D$332,0)+IF(ISNUMBER(Matching_Engine!$K$77),Lookup_Lists!$D$333,0)+IF(ISNUMBER(Matching_Engine!$L$77),Lookup_Lists!$D$334,0))=0,"N/A",ROUND((IF(ISNUMBER(Matching_Engine!$J$77),Matching_Engine!$J$77*Lookup_Lists!$D$332,0)+IF(ISNUMBER(Matching_Engine!$K$77),Matching_Engine!$K$77*Lookup_Lists!$D$333,0)+IF(ISNUMBER(Matching_Engine!$L$77),Matching_Engine!$L$77*Lookup_Lists!$D$334,0))/(IF(ISNUMBER(Matching_Engine!$J$77),Lookup_Lists!$D$332,0)+IF(ISNUMBER(Matching_Engine!$K$77),Lookup_Lists!$D$333,0)+IF(ISNUMBER(Matching_Engine!$L$77),Lookup_Lists!$D$334,0)),0))</f>
      </c>
      <c r="N77" s="11">
        <f>IF(ISNUMBER(Matching_Engine!$M$77),1,0)</f>
      </c>
      <c r="O77" s="18">
        <f>IF(NOT(ISNUMBER(IFERROR(INDEX(KOL_Source_Data!$V$29:KOL_Source_Data!$Z$29,1,MATCH(Brand_Profile!$G$11,Lookup_Lists!$F$6:$F$10,0)),""))),"N/A",MIN(100,ROUND((IFERROR(INDEX(KOL_Source_Data!$V$29:KOL_Source_Data!$Z$29,1,MATCH(Brand_Profile!$G$11,Lookup_Lists!$F$6:$F$10,0)),"")+0.5*IF(ISNUMBER(IFERROR(INDEX(KOL_Source_Data!$V$29:KOL_Source_Data!$Z$29,1,MATCH(Brand_Profile!$G$12,Lookup_Lists!$F$6:$F$10,0)),"")),IFERROR(INDEX(KOL_Source_Data!$V$29:KOL_Source_Data!$Z$29,1,MATCH(Brand_Profile!$G$12,Lookup_Lists!$F$6:$F$10,0)),""),0))/Lookup_Lists!$D$142*100,0)))</f>
      </c>
      <c r="P77" s="18">
        <f>IF(Brand_Profile!$G$13="Any",100,IF(NOT(ISNUMBER(KOL_Source_Data!$AA$29)),"N/A",IF(Brand_Profile!$G$13="Female",MIN(100,ROUND(KOL_Source_Data!$AA$29/Lookup_Lists!$D$143*100,0)),IF(Brand_Profile!$G$13="Male",MIN(100,ROUND(IF(ISNUMBER(KOL_Source_Data!$AB$29),KOL_Source_Data!$AB$29,100-KOL_Source_Data!$AA$29)/Lookup_Lists!$D$143*100,0)),MAX(0,ROUND(100-ABS(KOL_Source_Data!$AA$29-50)*2,0))))))</f>
      </c>
      <c r="Q77" s="18">
        <f>IF((IF(ISNUMBER(IF(NOT(ISNUMBER(KOL_Source_Data!$AE$29)),"N/A",IF(KOL_Source_Data!$AD$29&lt;&gt;Brand_Profile!$G$14,Lookup_Lists!$D$151,MIN(100,ROUND(KOL_Source_Data!$AE$29/Lookup_Lists!$D$316*100,0))))),Lookup_Lists!$D$118,0)+IF(ISNUMBER(IF(NOT(ISNUMBER(KOL_Source_Data!$AM$29)),"N/A",MIN(100,ROUND((IF(KOL_Source_Data!$AG$29=Brand_Profile!$G$15,IF(ISNUMBER(KOL_Source_Data!$AH$29),KOL_Source_Data!$AH$29,0),0)+IF(KOL_Source_Data!$AI$29=Brand_Profile!$G$15,IF(ISNUMBER(KOL_Source_Data!$AJ$29),KOL_Source_Data!$AJ$29,0),0)+IF(KOL_Source_Data!$AK$29=Brand_Profile!$G$15,IF(ISNUMBER(KOL_Source_Data!$AL$29),KOL_Source_Data!$AL$29,0),0))/Lookup_Lists!$D$317*100,0)))),Lookup_Lists!$D$120,0))=0,"N/A",ROUND((IF(ISNUMBER(IF(NOT(ISNUMBER(KOL_Source_Data!$AE$29)),"N/A",IF(KOL_Source_Data!$AD$29&lt;&gt;Brand_Profile!$G$14,Lookup_Lists!$D$151,MIN(100,ROUND(KOL_Source_Data!$AE$29/Lookup_Lists!$D$316*100,0))))),IF(NOT(ISNUMBER(KOL_Source_Data!$AE$29)),"N/A",IF(KOL_Source_Data!$AD$29&lt;&gt;Brand_Profile!$G$14,Lookup_Lists!$D$151,MIN(100,ROUND(KOL_Source_Data!$AE$29/Lookup_Lists!$D$316*100,0))))*Lookup_Lists!$D$118,0)+IF(ISNUMBER(IF(NOT(ISNUMBER(KOL_Source_Data!$AM$29)),"N/A",MIN(100,ROUND((IF(KOL_Source_Data!$AG$29=Brand_Profile!$G$15,IF(ISNUMBER(KOL_Source_Data!$AH$29),KOL_Source_Data!$AH$29,0),0)+IF(KOL_Source_Data!$AI$29=Brand_Profile!$G$15,IF(ISNUMBER(KOL_Source_Data!$AJ$29),KOL_Source_Data!$AJ$29,0),0)+IF(KOL_Source_Data!$AK$29=Brand_Profile!$G$15,IF(ISNUMBER(KOL_Source_Data!$AL$29),KOL_Source_Data!$AL$29,0),0))/Lookup_Lists!$D$317*100,0)))),IF(NOT(ISNUMBER(KOL_Source_Data!$AM$29)),"N/A",MIN(100,ROUND((IF(KOL_Source_Data!$AG$29=Brand_Profile!$G$15,IF(ISNUMBER(KOL_Source_Data!$AH$29),KOL_Source_Data!$AH$29,0),0)+IF(KOL_Source_Data!$AI$29=Brand_Profile!$G$15,IF(ISNUMBER(KOL_Source_Data!$AJ$29),KOL_Source_Data!$AJ$29,0),0)+IF(KOL_Source_Data!$AK$29=Brand_Profile!$G$15,IF(ISNUMBER(KOL_Source_Data!$AL$29),KOL_Source_Data!$AL$29,0),0))/Lookup_Lists!$D$317*100,0)))*Lookup_Lists!$D$120,0))/(IF(ISNUMBER(IF(NOT(ISNUMBER(KOL_Source_Data!$AE$29)),"N/A",IF(KOL_Source_Data!$AD$29&lt;&gt;Brand_Profile!$G$14,Lookup_Lists!$D$151,MIN(100,ROUND(KOL_Source_Data!$AE$29/Lookup_Lists!$D$316*100,0))))),Lookup_Lists!$D$118,0)+IF(ISNUMBER(IF(NOT(ISNUMBER(KOL_Source_Data!$AM$29)),"N/A",MIN(100,ROUND((IF(KOL_Source_Data!$AG$29=Brand_Profile!$G$15,IF(ISNUMBER(KOL_Source_Data!$AH$29),KOL_Source_Data!$AH$29,0),0)+IF(KOL_Source_Data!$AI$29=Brand_Profile!$G$15,IF(ISNUMBER(KOL_Source_Data!$AJ$29),KOL_Source_Data!$AJ$29,0),0)+IF(KOL_Source_Data!$AK$29=Brand_Profile!$G$15,IF(ISNUMBER(KOL_Source_Data!$AL$29),KOL_Source_Data!$AL$29,0),0))/Lookup_Lists!$D$317*100,0)))),Lookup_Lists!$D$120,0)),0))</f>
      </c>
      <c r="R77" s="18">
        <f>IF(NOT(ISNUMBER(KOL_Source_Data!$AN$29)),"N/A",MIN(100,ROUND((IF(ISNUMBER(KOL_Source_Data!$AO$29),KOL_Source_Data!$AO$29*Brand_Profile!$G$17,0)+IF(ISNUMBER(KOL_Source_Data!$AP$29),KOL_Source_Data!$AP$29*Brand_Profile!$G$18,0)+IF(ISNUMBER(KOL_Source_Data!$AQ$29),KOL_Source_Data!$AQ$29*Brand_Profile!$G$19,0)+IF(ISNUMBER(KOL_Source_Data!$AR$29),KOL_Source_Data!$AR$29*Brand_Profile!$G$20,0)+IF(ISNUMBER(KOL_Source_Data!$AS$29),KOL_Source_Data!$AS$29*Brand_Profile!$G$21,0)+IF(ISNUMBER(KOL_Source_Data!$AT$29),KOL_Source_Data!$AT$29*Brand_Profile!$G$22,0)+IF(ISNUMBER(KOL_Source_Data!$AU$29),KOL_Source_Data!$AU$29*Brand_Profile!$G$23,0)+IF(ISNUMBER(KOL_Source_Data!$AV$29),KOL_Source_Data!$AV$29*Brand_Profile!$G$24,0)+IF(ISNUMBER(KOL_Source_Data!$AW$29),KOL_Source_Data!$AW$29*Brand_Profile!$G$25,0)+IF(ISNUMBER(KOL_Source_Data!$AX$29),KOL_Source_Data!$AX$29*Brand_Profile!$G$26,0)+IF(ISNUMBER(KOL_Source_Data!$AY$29),KOL_Source_Data!$AY$29*Brand_Profile!$G$27,0)+IF(ISNUMBER(KOL_Source_Data!$AZ$29),KOL_Source_Data!$AZ$29*Brand_Profile!$G$28,0)+IF(ISNUMBER(KOL_Source_Data!$BA$29),KOL_Source_Data!$BA$29*Brand_Profile!$G$29,0)+IF(ISNUMBER(KOL_Source_Data!$BB$29),KOL_Source_Data!$BB$29*Brand_Profile!$G$30,0)+IF(ISNUMBER(KOL_Source_Data!$BC$29),KOL_Source_Data!$BC$29*Brand_Profile!$G$31,0)+IF(ISNUMBER(KOL_Source_Data!$BD$29),KOL_Source_Data!$BD$29*Brand_Profile!$G$32,0)+IF(ISNUMBER(KOL_Source_Data!$BE$29),KOL_Source_Data!$BE$29*Brand_Profile!$G$33,0)+IF(ISNUMBER(KOL_Source_Data!$BF$29),KOL_Source_Data!$BF$29*Brand_Profile!$G$34,0))/Lookup_Lists!$D$318*100,0)))</f>
      </c>
      <c r="S77" s="29">
        <f>IF((IF(ISNUMBER(Matching_Engine!$O$77),Lookup_Lists!$D$113,0)+IF(ISNUMBER(Matching_Engine!$P$77),Lookup_Lists!$D$114,0)+IF(ISNUMBER(Matching_Engine!$Q$77),Lookup_Lists!$D$115,0)+IF(ISNUMBER(Matching_Engine!$R$77),Lookup_Lists!$D$116,0))=0,"N/A",ROUND((IF(ISNUMBER(Matching_Engine!$O$77),Matching_Engine!$O$77*Lookup_Lists!$D$113,0)+IF(ISNUMBER(Matching_Engine!$P$77),Matching_Engine!$P$77*Lookup_Lists!$D$114,0)+IF(ISNUMBER(Matching_Engine!$Q$77),Matching_Engine!$Q$77*Lookup_Lists!$D$115,0)+IF(ISNUMBER(Matching_Engine!$R$77),Matching_Engine!$R$77*Lookup_Lists!$D$116,0))/(IF(ISNUMBER(Matching_Engine!$O$77),Lookup_Lists!$D$113,0)+IF(ISNUMBER(Matching_Engine!$P$77),Lookup_Lists!$D$114,0)+IF(ISNUMBER(Matching_Engine!$Q$77),Lookup_Lists!$D$115,0)+IF(ISNUMBER(Matching_Engine!$R$77),Lookup_Lists!$D$116,0)),0))</f>
      </c>
      <c r="T77" s="11">
        <f>IF(ISNUMBER(Matching_Engine!$S$77),1,0)</f>
      </c>
      <c r="U77" s="18">
        <f>IF(NOT(AND(ISTEXT(KOL_Source_Data!$M$29),KOL_Source_Data!$M$29&lt;&gt;"N/A")),Lookup_Lists!$D$150,IF(Brand_Profile!$G$7=KOL_Source_Data!$M$29,100,IFERROR(INDEX(Lookup_Lists!$B$349:$J$357,MATCH(Brand_Profile!$G$7,Lookup_Lists!$A$349:$A$357,0),MATCH(KOL_Source_Data!$M$29,Lookup_Lists!$B$348:$J$348,0)),Lookup_Lists!$D$151)))</f>
      </c>
      <c r="V77" s="18">
        <f>IF(NOT(AND(ISTEXT(KOL_Source_Data!$P$29),KOL_Source_Data!$P$29&lt;&gt;"N/A")),"N/A",IFERROR(INDEX(Lookup_Lists!$B$349:$J$357,MATCH(Brand_Profile!$G$7,Lookup_Lists!$A$349:$A$357,0),MATCH(KOL_Source_Data!$P$29,Lookup_Lists!$B$348:$J$348,0)),Lookup_Lists!$D$151))</f>
      </c>
      <c r="W77" s="18">
        <f>IF(LEN(TRIM(SUBSTITUTE(Matching_Engine!$BE$77,"|","")))=0,"N/A",IF(Brand_Profile!$G$60=0,Lookup_Lists!$D$150,ROUND((IF(Brand_Profile!$G$54="",0,IF(ISNUMBER(SEARCH(Brand_Profile!$G$54,Matching_Engine!$BE$77)),1,0))+IF(Brand_Profile!$G$55="",0,IF(ISNUMBER(SEARCH(Brand_Profile!$G$55,Matching_Engine!$BE$77)),1,0))+IF(Brand_Profile!$G$56="",0,IF(ISNUMBER(SEARCH(Brand_Profile!$G$56,Matching_Engine!$BE$77)),1,0))+IF(Brand_Profile!$G$57="",0,IF(ISNUMBER(SEARCH(Brand_Profile!$G$57,Matching_Engine!$BE$77)),1,0))+IF(Brand_Profile!$G$58="",0,IF(ISNUMBER(SEARCH(Brand_Profile!$G$58,Matching_Engine!$BE$77)),1,0))+IF(Brand_Profile!$G$59="",0,IF(ISNUMBER(SEARCH(Brand_Profile!$G$59,Matching_Engine!$BE$77)),1,0)))/Brand_Profile!$G$60*100,0)))</f>
      </c>
      <c r="X77" s="18">
        <f>IF(NOT(AND(ISTEXT(KOL_Source_Data!$Q$29),KOL_Source_Data!$Q$29&lt;&gt;"N/A")),"N/A",Lookup_Lists!$D$150)</f>
      </c>
      <c r="Y77" s="29">
        <f>IF((IF(ISNUMBER(Matching_Engine!$U$77),Lookup_Lists!$D$335,0)+IF(ISNUMBER(Matching_Engine!$V$77),Lookup_Lists!$D$122,0)+IF(ISNUMBER(Matching_Engine!$W$77),Lookup_Lists!$D$336,0)+IF(ISNUMBER(Matching_Engine!$X$77),Lookup_Lists!$D$124,0))=0,"N/A",ROUND((IF(ISNUMBER(Matching_Engine!$U$77),Matching_Engine!$U$77*Lookup_Lists!$D$335,0)+IF(ISNUMBER(Matching_Engine!$V$77),Matching_Engine!$V$77*Lookup_Lists!$D$122,0)+IF(ISNUMBER(Matching_Engine!$W$77),Matching_Engine!$W$77*Lookup_Lists!$D$336,0)+IF(ISNUMBER(Matching_Engine!$X$77),Matching_Engine!$X$77*Lookup_Lists!$D$124,0))/(IF(ISNUMBER(Matching_Engine!$U$77),Lookup_Lists!$D$335,0)+IF(ISNUMBER(Matching_Engine!$V$77),Lookup_Lists!$D$122,0)+IF(ISNUMBER(Matching_Engine!$W$77),Lookup_Lists!$D$336,0)+IF(ISNUMBER(Matching_Engine!$X$77),Lookup_Lists!$D$124,0)),0))</f>
      </c>
      <c r="Z77" s="11">
        <f>IF(ISNUMBER(Matching_Engine!$Y$77),1,0)</f>
      </c>
      <c r="AA77" s="18">
        <f>IF(NOT(AND(ISTEXT(KOL_Source_Data!$Q$29),KOL_Source_Data!$Q$29&lt;&gt;"N/A")),"N/A",Lookup_Lists!$D$150)</f>
      </c>
      <c r="AB77" s="18">
        <f>IF(NOT(AND(ISTEXT(KOL_Source_Data!$Q$29),KOL_Source_Data!$Q$29&lt;&gt;"N/A")),"N/A",Lookup_Lists!$D$150)</f>
      </c>
      <c r="AC77" s="18">
        <f>"N/A"</f>
      </c>
      <c r="AD77" s="18">
        <f>IF(NOT(AND(ISTEXT(KOL_Source_Data!$Q$29),KOL_Source_Data!$Q$29&lt;&gt;"N/A")),"N/A",Lookup_Lists!$D$150)</f>
      </c>
      <c r="AE77" s="29">
        <f>IF((IF(ISNUMBER(Matching_Engine!$AA$77),Lookup_Lists!$D$125,0)+IF(ISNUMBER(Matching_Engine!$AB$77),Lookup_Lists!$D$126,0)+IF(ISNUMBER(Matching_Engine!$AC$77),Lookup_Lists!$D$127,0)+IF(ISNUMBER(Matching_Engine!$AD$77),Lookup_Lists!$D$128,0))=0,"N/A",ROUND((IF(ISNUMBER(Matching_Engine!$AA$77),Matching_Engine!$AA$77*Lookup_Lists!$D$125,0)+IF(ISNUMBER(Matching_Engine!$AB$77),Matching_Engine!$AB$77*Lookup_Lists!$D$126,0)+IF(ISNUMBER(Matching_Engine!$AC$77),Matching_Engine!$AC$77*Lookup_Lists!$D$127,0)+IF(ISNUMBER(Matching_Engine!$AD$77),Matching_Engine!$AD$77*Lookup_Lists!$D$128,0))/(IF(ISNUMBER(Matching_Engine!$AA$77),Lookup_Lists!$D$125,0)+IF(ISNUMBER(Matching_Engine!$AB$77),Lookup_Lists!$D$126,0)+IF(ISNUMBER(Matching_Engine!$AC$77),Lookup_Lists!$D$127,0)+IF(ISNUMBER(Matching_Engine!$AD$77),Lookup_Lists!$D$128,0)),0))</f>
      </c>
      <c r="AF77" s="11">
        <f>IF(ISNUMBER(Matching_Engine!$AE$77),1,0)</f>
      </c>
      <c r="AG77" s="18">
        <f>IF(NOT(ISNUMBER(KOL_Source_Data!$BG$29)),"N/A",MIN(100,ROUND(KOL_Source_Data!$BG$29/IFERROR(INDEX(Lookup_Lists!$B$340:$B$344,MATCH(KOL_Source_Data!$H$29,Lookup_Lists!$A$340:$A$344,0)),Lookup_Lists!$D$141)*100,0)))</f>
      </c>
      <c r="AH77" s="18">
        <f>IF(NOT(ISNUMBER(KOL_Source_Data!$BS$29)),"N/A",MIN(100,MAX(0,KOL_Source_Data!$BS$29)))</f>
      </c>
      <c r="AI77" s="18">
        <f>IF(OR(NOT(ISNUMBER(KOL_Source_Data!$BM$29)),NOT(ISNUMBER(KOL_Source_Data!$BN$29)),KOL_Source_Data!$BN$29&lt;Lookup_Lists!$D$320),"N/A",MIN(100,ROUND(KOL_Source_Data!$BM$29/Lookup_Lists!$D$319*100,0)))</f>
      </c>
      <c r="AJ77" s="18">
        <f>IF(NOT(ISNUMBER(KOL_Source_Data!$BR$29)),"N/A",KOL_Source_Data!$BR$29)</f>
      </c>
      <c r="AK77" s="18">
        <f>IF(NOT(ISNUMBER(KOL_Source_Data!$BK$29)),"N/A",MIN(100,ROUND(KOL_Source_Data!$BK$29/Lookup_Lists!$D$321*100,0)))</f>
      </c>
      <c r="AL77" s="18">
        <f>IF(NOT(ISNUMBER(KOL_Source_Data!$BP$29)),"N/A",MIN(100,MAX(0,ROUND((KOL_Source_Data!$BP$29+2)/(Lookup_Lists!$D$145+2)*100,0))))</f>
      </c>
      <c r="AM77" s="29">
        <f>IF((IF(ISNUMBER(Matching_Engine!$AG$77),Lookup_Lists!$D$129,0)+IF(ISNUMBER(Matching_Engine!$AH$77),Lookup_Lists!$D$130,0)+IF(ISNUMBER(Matching_Engine!$AI$77),Lookup_Lists!$D$131,0)+IF(ISNUMBER(Matching_Engine!$AJ$77),Lookup_Lists!$D$132,0)+IF(ISNUMBER(Matching_Engine!$AK$77),Lookup_Lists!$D$133,0)+IF(ISNUMBER(Matching_Engine!$AL$77),Lookup_Lists!$D$134,0))=0,"N/A",ROUND((IF(ISNUMBER(Matching_Engine!$AG$77),Matching_Engine!$AG$77*Lookup_Lists!$D$129,0)+IF(ISNUMBER(Matching_Engine!$AH$77),Matching_Engine!$AH$77*Lookup_Lists!$D$130,0)+IF(ISNUMBER(Matching_Engine!$AI$77),Matching_Engine!$AI$77*Lookup_Lists!$D$131,0)+IF(ISNUMBER(Matching_Engine!$AJ$77),Matching_Engine!$AJ$77*Lookup_Lists!$D$132,0)+IF(ISNUMBER(Matching_Engine!$AK$77),Matching_Engine!$AK$77*Lookup_Lists!$D$133,0)+IF(ISNUMBER(Matching_Engine!$AL$77),Matching_Engine!$AL$77*Lookup_Lists!$D$134,0))/(IF(ISNUMBER(Matching_Engine!$AG$77),Lookup_Lists!$D$129,0)+IF(ISNUMBER(Matching_Engine!$AH$77),Lookup_Lists!$D$130,0)+IF(ISNUMBER(Matching_Engine!$AI$77),Lookup_Lists!$D$131,0)+IF(ISNUMBER(Matching_Engine!$AJ$77),Lookup_Lists!$D$132,0)+IF(ISNUMBER(Matching_Engine!$AK$77),Lookup_Lists!$D$133,0)+IF(ISNUMBER(Matching_Engine!$AL$77),Lookup_Lists!$D$134,0)),0))</f>
      </c>
      <c r="AN77" s="11">
        <f>IF(ISNUMBER(Matching_Engine!$AM$77),1,0)</f>
      </c>
      <c r="AO77" s="18">
        <f>IF(NOT(ISNUMBER(KOL_Source_Data!$BT$29)),"N/A",MIN(100,MAX(0,KOL_Source_Data!$BT$29)))</f>
      </c>
      <c r="AP77" s="18">
        <f>IF(NOT(ISNUMBER(KOL_Source_Data!$BU$29)),"N/A",MIN(100,MAX(0,KOL_Source_Data!$BU$29)))</f>
      </c>
      <c r="AQ77" s="18">
        <f>IF(KOL_Source_Data!$I$29="Yes",Lookup_Lists!$D$326,IF(KOL_Source_Data!$I$29="No",Lookup_Lists!$D$327,"N/A"))</f>
      </c>
      <c r="AR77" s="18">
        <f>IF(NOT(ISNUMBER(KOL_Source_Data!$BQ$29)),"N/A",MAX(0,ROUND(100-KOL_Source_Data!$BQ$29/Lookup_Lists!$D$328*100,0)))</f>
      </c>
      <c r="AS77" s="18">
        <f>IF(NOT(AND(ISTEXT(KOL_Source_Data!$BV$29),KOL_Source_Data!$BV$29&lt;&gt;"N/A")),"N/A",KOL_Source_Data!$BV$29)</f>
      </c>
      <c r="AT77" s="29">
        <f>IF((IF(ISNUMBER(Matching_Engine!$AO$77),Lookup_Lists!$D$322,0)+IF(ISNUMBER(Matching_Engine!$AP$77),Lookup_Lists!$D$323,0)+IF(ISNUMBER(Matching_Engine!$AQ$77),Lookup_Lists!$D$324,0)+IF(ISNUMBER(Matching_Engine!$AR$77),Lookup_Lists!$D$325,0))=0,"N/A",ROUND((IF(ISNUMBER(Matching_Engine!$AO$77),Matching_Engine!$AO$77*Lookup_Lists!$D$322,0)+IF(ISNUMBER(Matching_Engine!$AP$77),Matching_Engine!$AP$77*Lookup_Lists!$D$323,0)+IF(ISNUMBER(Matching_Engine!$AQ$77),Matching_Engine!$AQ$77*Lookup_Lists!$D$324,0)+IF(ISNUMBER(Matching_Engine!$AR$77),Matching_Engine!$AR$77*Lookup_Lists!$D$325,0))/(IF(ISNUMBER(Matching_Engine!$AO$77),Lookup_Lists!$D$322,0)+IF(ISNUMBER(Matching_Engine!$AP$77),Lookup_Lists!$D$323,0)+IF(ISNUMBER(Matching_Engine!$AQ$77),Lookup_Lists!$D$324,0)+IF(ISNUMBER(Matching_Engine!$AR$77),Lookup_Lists!$D$325,0)),0))</f>
      </c>
      <c r="AU77" s="11">
        <f>IF(ISNUMBER(Matching_Engine!$AT$77),1,0)</f>
      </c>
      <c r="AV77" s="11">
        <f>IF(NOT(ISNUMBER(Matching_Engine!$AT$77)),"Not Screened",IF(Matching_Engine!$AT$77&gt;=Lookup_Lists!$D$329,"Low Risk",IF(Matching_Engine!$AT$77&gt;=Lookup_Lists!$D$330,"Moderate Risk",IF(Matching_Engine!$AT$77&gt;=Lookup_Lists!$D$331,"Elevated Risk","High Risk"))))</f>
      </c>
      <c r="AW77" s="11">
        <f>IF(NOT(ISNUMBER(Matching_Engine!$AT$77)),"No integrity signal: no audience-analysis row for this account.","Integrity screen only — no content-risk reading exists (comments_analysis: 0 rows). "&amp;IF(ISNUMBER(Matching_Engine!$AO$77),"Authenticity "&amp;Matching_Engine!$AO$77&amp;". ","Authenticity N/A. ")&amp;IF(ISNUMBER(Matching_Engine!$AP$77),"Follower quality "&amp;Matching_Engine!$AP$77&amp;". ","Follower quality N/A. ")&amp;IF(KOL_Source_Data!$I$29="Yes","Platform-verified.","Not platform-verified."))</f>
      </c>
      <c r="AX77" s="18">
        <f>Matching_Engine!$N$77*Lookup_Lists!$D$104+Matching_Engine!$T$77*Lookup_Lists!$D$105+Matching_Engine!$Z$77*Lookup_Lists!$D$106+Matching_Engine!$AF$77*Lookup_Lists!$D$107+Matching_Engine!$AN$77*Lookup_Lists!$D$108+Matching_Engine!$AU$77*Lookup_Lists!$D$109</f>
      </c>
      <c r="AY77" s="30">
        <f>IF(Matching_Engine!$AX$77=0,"N/A",ROUND((IF(Matching_Engine!$N$77=1,Matching_Engine!$M$77*Lookup_Lists!$D$104,0)+IF(Matching_Engine!$T$77=1,Matching_Engine!$S$77*Lookup_Lists!$D$105,0)+IF(Matching_Engine!$Z$77=1,Matching_Engine!$Y$77*Lookup_Lists!$D$106,0)+IF(Matching_Engine!$AF$77=1,Matching_Engine!$AE$77*Lookup_Lists!$D$107,0)+IF(Matching_Engine!$AN$77=1,Matching_Engine!$AM$77*Lookup_Lists!$D$108,0)+IF(Matching_Engine!$AU$77=1,Matching_Engine!$AT$77*Lookup_Lists!$D$109,0))/Matching_Engine!$AX$77,0))</f>
      </c>
      <c r="AZ77" s="11">
        <f>IF(NOT(ISNUMBER(Matching_Engine!$AY$77)),"Not Scored",IF(Matching_Engine!$AY$77&gt;=Lookup_Lists!$D$152,"Excellent Match",IF(Matching_Engine!$AY$77&gt;=Lookup_Lists!$D$153,"Strong Match",IF(Matching_Engine!$AY$77&gt;=Lookup_Lists!$D$154,"Good Match",IF(Matching_Engine!$AY$77&gt;=Lookup_Lists!$D$155,"Moderate Match","Low Match")))))</f>
      </c>
      <c r="BA77" s="18">
        <f>KOL_Source_Data!$BW$29</f>
      </c>
      <c r="BB77" s="11">
        <f>KOL_Source_Data!$BX$29</f>
      </c>
      <c r="BC77" s="18">
        <f>IF(NOT(ISNUMBER(Matching_Engine!$AY$77)),-1,Matching_Engine!$AY$77*1000+1)</f>
      </c>
      <c r="BD77" s="11">
        <f>IF(AND(ISTEXT(KOL_Source_Data!$S$29),KOL_Source_Data!$S$29&lt;&gt;"N/A"),KOL_Source_Data!$S$29,"")&amp;" | "&amp;IF(AND(ISTEXT(KOL_Source_Data!$T$29),KOL_Source_Data!$T$29&lt;&gt;"N/A"),KOL_Source_Data!$T$29,"")&amp;" | "&amp;IF(AND(ISTEXT(KOL_Source_Data!$N$29),KOL_Source_Data!$N$29&lt;&gt;"N/A"),KOL_Source_Data!$N$29,"")&amp;" | "&amp;IF(AND(ISTEXT(KOL_Source_Data!$K$29),KOL_Source_Data!$K$29&lt;&gt;"N/A"),KOL_Source_Data!$K$29,"")&amp;" | "&amp;IF(AND(ISTEXT(KOL_Source_Data!$J$29),KOL_Source_Data!$J$29&lt;&gt;"N/A"),KOL_Source_Data!$J$29,"")</f>
      </c>
      <c r="BE77" s="11">
        <f>IF(AND(ISTEXT(KOL_Source_Data!$T$29),KOL_Source_Data!$T$29&lt;&gt;"N/A"),KOL_Source_Data!$T$29,"")&amp;" | "&amp;IF(AND(ISTEXT(KOL_Source_Data!$N$29),KOL_Source_Data!$N$29&lt;&gt;"N/A"),KOL_Source_Data!$N$29,"")&amp;" | "&amp;IF(AND(ISTEXT(KOL_Source_Data!$O$29),KOL_Source_Data!$O$29&lt;&gt;"N/A"),KOL_Source_Data!$O$29,"")&amp;" | "&amp;IF(AND(ISTEXT(KOL_Source_Data!$S$29),KOL_Source_Data!$S$29&lt;&gt;"N/A"),KOL_Source_Data!$S$29,"")</f>
      </c>
      <c r="BF77" s="11">
        <f>IF(AND(ISTEXT(KOL_Source_Data!$U$29),KOL_Source_Data!$U$29&lt;&gt;"N/A"),KOL_Source_Data!$U$29,"")</f>
      </c>
      <c r="BG77" s="11">
        <f>Matching_Engine!$A$77&amp;"|"&amp;Matching_Engine!$C$77</f>
      </c>
    </row>
    <row r="78" spans="1:59" x14ac:dyDescent="0.25">
      <c r="A78" s="10" t="s">
        <v>393</v>
      </c>
      <c r="B78" s="11">
        <f>Brand_Profile!$H$6</f>
      </c>
      <c r="C78" s="11">
        <f>KOL_Source_Data!$A$6</f>
      </c>
      <c r="D78" s="11">
        <f>KOL_Source_Data!$C$6</f>
      </c>
      <c r="E78" s="11">
        <f>KOL_Source_Data!$D$6</f>
      </c>
      <c r="F78" s="11">
        <f>KOL_Source_Data!$E$6</f>
      </c>
      <c r="G78" s="11">
        <f>KOL_Source_Data!$K$6</f>
      </c>
      <c r="H78" s="12">
        <f>KOL_Source_Data!$G$6</f>
      </c>
      <c r="I78" s="14">
        <f>KOL_Source_Data!$BG$6</f>
      </c>
      <c r="J78" s="18">
        <f>IF(NOT(AND(ISTEXT(KOL_Source_Data!$K$6),KOL_Source_Data!$K$6&lt;&gt;"N/A")),Lookup_Lists!$D$150,IF(Brand_Profile!$H$7=KOL_Source_Data!$K$6,100,IFERROR(INDEX(Lookup_Lists!$B$349:$J$357,MATCH(Brand_Profile!$H$7,Lookup_Lists!$A$349:$A$357,0),MATCH(KOL_Source_Data!$K$6,Lookup_Lists!$B$348:$J$348,0)),Lookup_Lists!$D$151)))</f>
      </c>
      <c r="K78" s="18">
        <f>IF(LEN(TRIM(SUBSTITUTE(Matching_Engine!$BD$78,"|","")))=0,"N/A",IF(Brand_Profile!$H$47=0,Lookup_Lists!$D$150,ROUND((IF(Brand_Profile!$H$41="",0,IF(ISNUMBER(SEARCH(Brand_Profile!$H$41,Matching_Engine!$BD$78)),1,0))+IF(Brand_Profile!$H$42="",0,IF(ISNUMBER(SEARCH(Brand_Profile!$H$42,Matching_Engine!$BD$78)),1,0))+IF(Brand_Profile!$H$43="",0,IF(ISNUMBER(SEARCH(Brand_Profile!$H$43,Matching_Engine!$BD$78)),1,0))+IF(Brand_Profile!$H$44="",0,IF(ISNUMBER(SEARCH(Brand_Profile!$H$44,Matching_Engine!$BD$78)),1,0))+IF(Brand_Profile!$H$45="",0,IF(ISNUMBER(SEARCH(Brand_Profile!$H$45,Matching_Engine!$BD$78)),1,0))+IF(Brand_Profile!$H$46="",0,IF(ISNUMBER(SEARCH(Brand_Profile!$H$46,Matching_Engine!$BD$78)),1,0)))/Brand_Profile!$H$47*100,0)))</f>
      </c>
      <c r="L78" s="18">
        <f>IF(NOT(AND(ISTEXT(KOL_Source_Data!$U$6),KOL_Source_Data!$U$6&lt;&gt;"N/A")),"N/A",IF(Brand_Profile!$H$53=0,Lookup_Lists!$D$150,ROUND((IF(Brand_Profile!$H$48="",0,IF(ISNUMBER(SEARCH(Brand_Profile!$H$48,Matching_Engine!$BF$78)),1,0))+IF(Brand_Profile!$H$49="",0,IF(ISNUMBER(SEARCH(Brand_Profile!$H$49,Matching_Engine!$BF$78)),1,0))+IF(Brand_Profile!$H$50="",0,IF(ISNUMBER(SEARCH(Brand_Profile!$H$50,Matching_Engine!$BF$78)),1,0))+IF(Brand_Profile!$H$51="",0,IF(ISNUMBER(SEARCH(Brand_Profile!$H$51,Matching_Engine!$BF$78)),1,0))+IF(Brand_Profile!$H$52="",0,IF(ISNUMBER(SEARCH(Brand_Profile!$H$52,Matching_Engine!$BF$78)),1,0)))/Brand_Profile!$H$53*100,0)))</f>
      </c>
      <c r="M78" s="29">
        <f>IF((IF(ISNUMBER(Matching_Engine!$J$78),Lookup_Lists!$D$332,0)+IF(ISNUMBER(Matching_Engine!$K$78),Lookup_Lists!$D$333,0)+IF(ISNUMBER(Matching_Engine!$L$78),Lookup_Lists!$D$334,0))=0,"N/A",ROUND((IF(ISNUMBER(Matching_Engine!$J$78),Matching_Engine!$J$78*Lookup_Lists!$D$332,0)+IF(ISNUMBER(Matching_Engine!$K$78),Matching_Engine!$K$78*Lookup_Lists!$D$333,0)+IF(ISNUMBER(Matching_Engine!$L$78),Matching_Engine!$L$78*Lookup_Lists!$D$334,0))/(IF(ISNUMBER(Matching_Engine!$J$78),Lookup_Lists!$D$332,0)+IF(ISNUMBER(Matching_Engine!$K$78),Lookup_Lists!$D$333,0)+IF(ISNUMBER(Matching_Engine!$L$78),Lookup_Lists!$D$334,0)),0))</f>
      </c>
      <c r="N78" s="11">
        <f>IF(ISNUMBER(Matching_Engine!$M$78),1,0)</f>
      </c>
      <c r="O78" s="18">
        <f>IF(NOT(ISNUMBER(IFERROR(INDEX(KOL_Source_Data!$V$6:KOL_Source_Data!$Z$6,1,MATCH(Brand_Profile!$H$11,Lookup_Lists!$F$6:$F$10,0)),""))),"N/A",MIN(100,ROUND((IFERROR(INDEX(KOL_Source_Data!$V$6:KOL_Source_Data!$Z$6,1,MATCH(Brand_Profile!$H$11,Lookup_Lists!$F$6:$F$10,0)),"")+0.5*IF(ISNUMBER(IFERROR(INDEX(KOL_Source_Data!$V$6:KOL_Source_Data!$Z$6,1,MATCH(Brand_Profile!$H$12,Lookup_Lists!$F$6:$F$10,0)),"")),IFERROR(INDEX(KOL_Source_Data!$V$6:KOL_Source_Data!$Z$6,1,MATCH(Brand_Profile!$H$12,Lookup_Lists!$F$6:$F$10,0)),""),0))/Lookup_Lists!$D$142*100,0)))</f>
      </c>
      <c r="P78" s="18">
        <f>IF(Brand_Profile!$H$13="Any",100,IF(NOT(ISNUMBER(KOL_Source_Data!$AA$6)),"N/A",IF(Brand_Profile!$H$13="Female",MIN(100,ROUND(KOL_Source_Data!$AA$6/Lookup_Lists!$D$143*100,0)),IF(Brand_Profile!$H$13="Male",MIN(100,ROUND(IF(ISNUMBER(KOL_Source_Data!$AB$6),KOL_Source_Data!$AB$6,100-KOL_Source_Data!$AA$6)/Lookup_Lists!$D$143*100,0)),MAX(0,ROUND(100-ABS(KOL_Source_Data!$AA$6-50)*2,0))))))</f>
      </c>
      <c r="Q78" s="18">
        <f>IF((IF(ISNUMBER(IF(NOT(ISNUMBER(KOL_Source_Data!$AE$6)),"N/A",IF(KOL_Source_Data!$AD$6&lt;&gt;Brand_Profile!$H$14,Lookup_Lists!$D$151,MIN(100,ROUND(KOL_Source_Data!$AE$6/Lookup_Lists!$D$316*100,0))))),Lookup_Lists!$D$118,0)+IF(ISNUMBER(IF(NOT(ISNUMBER(KOL_Source_Data!$AM$6)),"N/A",MIN(100,ROUND((IF(KOL_Source_Data!$AG$6=Brand_Profile!$H$15,IF(ISNUMBER(KOL_Source_Data!$AH$6),KOL_Source_Data!$AH$6,0),0)+IF(KOL_Source_Data!$AI$6=Brand_Profile!$H$15,IF(ISNUMBER(KOL_Source_Data!$AJ$6),KOL_Source_Data!$AJ$6,0),0)+IF(KOL_Source_Data!$AK$6=Brand_Profile!$H$15,IF(ISNUMBER(KOL_Source_Data!$AL$6),KOL_Source_Data!$AL$6,0),0))/Lookup_Lists!$D$317*100,0)))),Lookup_Lists!$D$120,0))=0,"N/A",ROUND((IF(ISNUMBER(IF(NOT(ISNUMBER(KOL_Source_Data!$AE$6)),"N/A",IF(KOL_Source_Data!$AD$6&lt;&gt;Brand_Profile!$H$14,Lookup_Lists!$D$151,MIN(100,ROUND(KOL_Source_Data!$AE$6/Lookup_Lists!$D$316*100,0))))),IF(NOT(ISNUMBER(KOL_Source_Data!$AE$6)),"N/A",IF(KOL_Source_Data!$AD$6&lt;&gt;Brand_Profile!$H$14,Lookup_Lists!$D$151,MIN(100,ROUND(KOL_Source_Data!$AE$6/Lookup_Lists!$D$316*100,0))))*Lookup_Lists!$D$118,0)+IF(ISNUMBER(IF(NOT(ISNUMBER(KOL_Source_Data!$AM$6)),"N/A",MIN(100,ROUND((IF(KOL_Source_Data!$AG$6=Brand_Profile!$H$15,IF(ISNUMBER(KOL_Source_Data!$AH$6),KOL_Source_Data!$AH$6,0),0)+IF(KOL_Source_Data!$AI$6=Brand_Profile!$H$15,IF(ISNUMBER(KOL_Source_Data!$AJ$6),KOL_Source_Data!$AJ$6,0),0)+IF(KOL_Source_Data!$AK$6=Brand_Profile!$H$15,IF(ISNUMBER(KOL_Source_Data!$AL$6),KOL_Source_Data!$AL$6,0),0))/Lookup_Lists!$D$317*100,0)))),IF(NOT(ISNUMBER(KOL_Source_Data!$AM$6)),"N/A",MIN(100,ROUND((IF(KOL_Source_Data!$AG$6=Brand_Profile!$H$15,IF(ISNUMBER(KOL_Source_Data!$AH$6),KOL_Source_Data!$AH$6,0),0)+IF(KOL_Source_Data!$AI$6=Brand_Profile!$H$15,IF(ISNUMBER(KOL_Source_Data!$AJ$6),KOL_Source_Data!$AJ$6,0),0)+IF(KOL_Source_Data!$AK$6=Brand_Profile!$H$15,IF(ISNUMBER(KOL_Source_Data!$AL$6),KOL_Source_Data!$AL$6,0),0))/Lookup_Lists!$D$317*100,0)))*Lookup_Lists!$D$120,0))/(IF(ISNUMBER(IF(NOT(ISNUMBER(KOL_Source_Data!$AE$6)),"N/A",IF(KOL_Source_Data!$AD$6&lt;&gt;Brand_Profile!$H$14,Lookup_Lists!$D$151,MIN(100,ROUND(KOL_Source_Data!$AE$6/Lookup_Lists!$D$316*100,0))))),Lookup_Lists!$D$118,0)+IF(ISNUMBER(IF(NOT(ISNUMBER(KOL_Source_Data!$AM$6)),"N/A",MIN(100,ROUND((IF(KOL_Source_Data!$AG$6=Brand_Profile!$H$15,IF(ISNUMBER(KOL_Source_Data!$AH$6),KOL_Source_Data!$AH$6,0),0)+IF(KOL_Source_Data!$AI$6=Brand_Profile!$H$15,IF(ISNUMBER(KOL_Source_Data!$AJ$6),KOL_Source_Data!$AJ$6,0),0)+IF(KOL_Source_Data!$AK$6=Brand_Profile!$H$15,IF(ISNUMBER(KOL_Source_Data!$AL$6),KOL_Source_Data!$AL$6,0),0))/Lookup_Lists!$D$317*100,0)))),Lookup_Lists!$D$120,0)),0))</f>
      </c>
      <c r="R78" s="18">
        <f>IF(NOT(ISNUMBER(KOL_Source_Data!$AN$6)),"N/A",MIN(100,ROUND((IF(ISNUMBER(KOL_Source_Data!$AO$6),KOL_Source_Data!$AO$6*Brand_Profile!$H$17,0)+IF(ISNUMBER(KOL_Source_Data!$AP$6),KOL_Source_Data!$AP$6*Brand_Profile!$H$18,0)+IF(ISNUMBER(KOL_Source_Data!$AQ$6),KOL_Source_Data!$AQ$6*Brand_Profile!$H$19,0)+IF(ISNUMBER(KOL_Source_Data!$AR$6),KOL_Source_Data!$AR$6*Brand_Profile!$H$20,0)+IF(ISNUMBER(KOL_Source_Data!$AS$6),KOL_Source_Data!$AS$6*Brand_Profile!$H$21,0)+IF(ISNUMBER(KOL_Source_Data!$AT$6),KOL_Source_Data!$AT$6*Brand_Profile!$H$22,0)+IF(ISNUMBER(KOL_Source_Data!$AU$6),KOL_Source_Data!$AU$6*Brand_Profile!$H$23,0)+IF(ISNUMBER(KOL_Source_Data!$AV$6),KOL_Source_Data!$AV$6*Brand_Profile!$H$24,0)+IF(ISNUMBER(KOL_Source_Data!$AW$6),KOL_Source_Data!$AW$6*Brand_Profile!$H$25,0)+IF(ISNUMBER(KOL_Source_Data!$AX$6),KOL_Source_Data!$AX$6*Brand_Profile!$H$26,0)+IF(ISNUMBER(KOL_Source_Data!$AY$6),KOL_Source_Data!$AY$6*Brand_Profile!$H$27,0)+IF(ISNUMBER(KOL_Source_Data!$AZ$6),KOL_Source_Data!$AZ$6*Brand_Profile!$H$28,0)+IF(ISNUMBER(KOL_Source_Data!$BA$6),KOL_Source_Data!$BA$6*Brand_Profile!$H$29,0)+IF(ISNUMBER(KOL_Source_Data!$BB$6),KOL_Source_Data!$BB$6*Brand_Profile!$H$30,0)+IF(ISNUMBER(KOL_Source_Data!$BC$6),KOL_Source_Data!$BC$6*Brand_Profile!$H$31,0)+IF(ISNUMBER(KOL_Source_Data!$BD$6),KOL_Source_Data!$BD$6*Brand_Profile!$H$32,0)+IF(ISNUMBER(KOL_Source_Data!$BE$6),KOL_Source_Data!$BE$6*Brand_Profile!$H$33,0)+IF(ISNUMBER(KOL_Source_Data!$BF$6),KOL_Source_Data!$BF$6*Brand_Profile!$H$34,0))/Lookup_Lists!$D$318*100,0)))</f>
      </c>
      <c r="S78" s="29">
        <f>IF((IF(ISNUMBER(Matching_Engine!$O$78),Lookup_Lists!$D$113,0)+IF(ISNUMBER(Matching_Engine!$P$78),Lookup_Lists!$D$114,0)+IF(ISNUMBER(Matching_Engine!$Q$78),Lookup_Lists!$D$115,0)+IF(ISNUMBER(Matching_Engine!$R$78),Lookup_Lists!$D$116,0))=0,"N/A",ROUND((IF(ISNUMBER(Matching_Engine!$O$78),Matching_Engine!$O$78*Lookup_Lists!$D$113,0)+IF(ISNUMBER(Matching_Engine!$P$78),Matching_Engine!$P$78*Lookup_Lists!$D$114,0)+IF(ISNUMBER(Matching_Engine!$Q$78),Matching_Engine!$Q$78*Lookup_Lists!$D$115,0)+IF(ISNUMBER(Matching_Engine!$R$78),Matching_Engine!$R$78*Lookup_Lists!$D$116,0))/(IF(ISNUMBER(Matching_Engine!$O$78),Lookup_Lists!$D$113,0)+IF(ISNUMBER(Matching_Engine!$P$78),Lookup_Lists!$D$114,0)+IF(ISNUMBER(Matching_Engine!$Q$78),Lookup_Lists!$D$115,0)+IF(ISNUMBER(Matching_Engine!$R$78),Lookup_Lists!$D$116,0)),0))</f>
      </c>
      <c r="T78" s="11">
        <f>IF(ISNUMBER(Matching_Engine!$S$78),1,0)</f>
      </c>
      <c r="U78" s="18">
        <f>IF(NOT(AND(ISTEXT(KOL_Source_Data!$M$6),KOL_Source_Data!$M$6&lt;&gt;"N/A")),Lookup_Lists!$D$150,IF(Brand_Profile!$H$7=KOL_Source_Data!$M$6,100,IFERROR(INDEX(Lookup_Lists!$B$349:$J$357,MATCH(Brand_Profile!$H$7,Lookup_Lists!$A$349:$A$357,0),MATCH(KOL_Source_Data!$M$6,Lookup_Lists!$B$348:$J$348,0)),Lookup_Lists!$D$151)))</f>
      </c>
      <c r="V78" s="18">
        <f>IF(NOT(AND(ISTEXT(KOL_Source_Data!$P$6),KOL_Source_Data!$P$6&lt;&gt;"N/A")),"N/A",IFERROR(INDEX(Lookup_Lists!$B$349:$J$357,MATCH(Brand_Profile!$H$7,Lookup_Lists!$A$349:$A$357,0),MATCH(KOL_Source_Data!$P$6,Lookup_Lists!$B$348:$J$348,0)),Lookup_Lists!$D$151))</f>
      </c>
      <c r="W78" s="18">
        <f>IF(LEN(TRIM(SUBSTITUTE(Matching_Engine!$BE$78,"|","")))=0,"N/A",IF(Brand_Profile!$H$60=0,Lookup_Lists!$D$150,ROUND((IF(Brand_Profile!$H$54="",0,IF(ISNUMBER(SEARCH(Brand_Profile!$H$54,Matching_Engine!$BE$78)),1,0))+IF(Brand_Profile!$H$55="",0,IF(ISNUMBER(SEARCH(Brand_Profile!$H$55,Matching_Engine!$BE$78)),1,0))+IF(Brand_Profile!$H$56="",0,IF(ISNUMBER(SEARCH(Brand_Profile!$H$56,Matching_Engine!$BE$78)),1,0))+IF(Brand_Profile!$H$57="",0,IF(ISNUMBER(SEARCH(Brand_Profile!$H$57,Matching_Engine!$BE$78)),1,0))+IF(Brand_Profile!$H$58="",0,IF(ISNUMBER(SEARCH(Brand_Profile!$H$58,Matching_Engine!$BE$78)),1,0))+IF(Brand_Profile!$H$59="",0,IF(ISNUMBER(SEARCH(Brand_Profile!$H$59,Matching_Engine!$BE$78)),1,0)))/Brand_Profile!$H$60*100,0)))</f>
      </c>
      <c r="X78" s="18">
        <f>IF(NOT(AND(ISTEXT(KOL_Source_Data!$Q$6),KOL_Source_Data!$Q$6&lt;&gt;"N/A")),"N/A",Lookup_Lists!$D$150)</f>
      </c>
      <c r="Y78" s="29">
        <f>IF((IF(ISNUMBER(Matching_Engine!$U$78),Lookup_Lists!$D$335,0)+IF(ISNUMBER(Matching_Engine!$V$78),Lookup_Lists!$D$122,0)+IF(ISNUMBER(Matching_Engine!$W$78),Lookup_Lists!$D$336,0)+IF(ISNUMBER(Matching_Engine!$X$78),Lookup_Lists!$D$124,0))=0,"N/A",ROUND((IF(ISNUMBER(Matching_Engine!$U$78),Matching_Engine!$U$78*Lookup_Lists!$D$335,0)+IF(ISNUMBER(Matching_Engine!$V$78),Matching_Engine!$V$78*Lookup_Lists!$D$122,0)+IF(ISNUMBER(Matching_Engine!$W$78),Matching_Engine!$W$78*Lookup_Lists!$D$336,0)+IF(ISNUMBER(Matching_Engine!$X$78),Matching_Engine!$X$78*Lookup_Lists!$D$124,0))/(IF(ISNUMBER(Matching_Engine!$U$78),Lookup_Lists!$D$335,0)+IF(ISNUMBER(Matching_Engine!$V$78),Lookup_Lists!$D$122,0)+IF(ISNUMBER(Matching_Engine!$W$78),Lookup_Lists!$D$336,0)+IF(ISNUMBER(Matching_Engine!$X$78),Lookup_Lists!$D$124,0)),0))</f>
      </c>
      <c r="Z78" s="11">
        <f>IF(ISNUMBER(Matching_Engine!$Y$78),1,0)</f>
      </c>
      <c r="AA78" s="18">
        <f>IF(NOT(AND(ISTEXT(KOL_Source_Data!$Q$6),KOL_Source_Data!$Q$6&lt;&gt;"N/A")),"N/A",Lookup_Lists!$D$150)</f>
      </c>
      <c r="AB78" s="18">
        <f>IF(NOT(AND(ISTEXT(KOL_Source_Data!$Q$6),KOL_Source_Data!$Q$6&lt;&gt;"N/A")),"N/A",Lookup_Lists!$D$150)</f>
      </c>
      <c r="AC78" s="18">
        <f>"N/A"</f>
      </c>
      <c r="AD78" s="18">
        <f>IF(NOT(AND(ISTEXT(KOL_Source_Data!$Q$6),KOL_Source_Data!$Q$6&lt;&gt;"N/A")),"N/A",Lookup_Lists!$D$150)</f>
      </c>
      <c r="AE78" s="29">
        <f>IF((IF(ISNUMBER(Matching_Engine!$AA$78),Lookup_Lists!$D$125,0)+IF(ISNUMBER(Matching_Engine!$AB$78),Lookup_Lists!$D$126,0)+IF(ISNUMBER(Matching_Engine!$AC$78),Lookup_Lists!$D$127,0)+IF(ISNUMBER(Matching_Engine!$AD$78),Lookup_Lists!$D$128,0))=0,"N/A",ROUND((IF(ISNUMBER(Matching_Engine!$AA$78),Matching_Engine!$AA$78*Lookup_Lists!$D$125,0)+IF(ISNUMBER(Matching_Engine!$AB$78),Matching_Engine!$AB$78*Lookup_Lists!$D$126,0)+IF(ISNUMBER(Matching_Engine!$AC$78),Matching_Engine!$AC$78*Lookup_Lists!$D$127,0)+IF(ISNUMBER(Matching_Engine!$AD$78),Matching_Engine!$AD$78*Lookup_Lists!$D$128,0))/(IF(ISNUMBER(Matching_Engine!$AA$78),Lookup_Lists!$D$125,0)+IF(ISNUMBER(Matching_Engine!$AB$78),Lookup_Lists!$D$126,0)+IF(ISNUMBER(Matching_Engine!$AC$78),Lookup_Lists!$D$127,0)+IF(ISNUMBER(Matching_Engine!$AD$78),Lookup_Lists!$D$128,0)),0))</f>
      </c>
      <c r="AF78" s="11">
        <f>IF(ISNUMBER(Matching_Engine!$AE$78),1,0)</f>
      </c>
      <c r="AG78" s="18">
        <f>IF(NOT(ISNUMBER(KOL_Source_Data!$BG$6)),"N/A",MIN(100,ROUND(KOL_Source_Data!$BG$6/IFERROR(INDEX(Lookup_Lists!$B$340:$B$344,MATCH(KOL_Source_Data!$H$6,Lookup_Lists!$A$340:$A$344,0)),Lookup_Lists!$D$141)*100,0)))</f>
      </c>
      <c r="AH78" s="18">
        <f>IF(NOT(ISNUMBER(KOL_Source_Data!$BS$6)),"N/A",MIN(100,MAX(0,KOL_Source_Data!$BS$6)))</f>
      </c>
      <c r="AI78" s="18">
        <f>IF(OR(NOT(ISNUMBER(KOL_Source_Data!$BM$6)),NOT(ISNUMBER(KOL_Source_Data!$BN$6)),KOL_Source_Data!$BN$6&lt;Lookup_Lists!$D$320),"N/A",MIN(100,ROUND(KOL_Source_Data!$BM$6/Lookup_Lists!$D$319*100,0)))</f>
      </c>
      <c r="AJ78" s="18">
        <f>IF(NOT(ISNUMBER(KOL_Source_Data!$BR$6)),"N/A",KOL_Source_Data!$BR$6)</f>
      </c>
      <c r="AK78" s="18">
        <f>IF(NOT(ISNUMBER(KOL_Source_Data!$BK$6)),"N/A",MIN(100,ROUND(KOL_Source_Data!$BK$6/Lookup_Lists!$D$321*100,0)))</f>
      </c>
      <c r="AL78" s="18">
        <f>IF(NOT(ISNUMBER(KOL_Source_Data!$BP$6)),"N/A",MIN(100,MAX(0,ROUND((KOL_Source_Data!$BP$6+2)/(Lookup_Lists!$D$145+2)*100,0))))</f>
      </c>
      <c r="AM78" s="29">
        <f>IF((IF(ISNUMBER(Matching_Engine!$AG$78),Lookup_Lists!$D$129,0)+IF(ISNUMBER(Matching_Engine!$AH$78),Lookup_Lists!$D$130,0)+IF(ISNUMBER(Matching_Engine!$AI$78),Lookup_Lists!$D$131,0)+IF(ISNUMBER(Matching_Engine!$AJ$78),Lookup_Lists!$D$132,0)+IF(ISNUMBER(Matching_Engine!$AK$78),Lookup_Lists!$D$133,0)+IF(ISNUMBER(Matching_Engine!$AL$78),Lookup_Lists!$D$134,0))=0,"N/A",ROUND((IF(ISNUMBER(Matching_Engine!$AG$78),Matching_Engine!$AG$78*Lookup_Lists!$D$129,0)+IF(ISNUMBER(Matching_Engine!$AH$78),Matching_Engine!$AH$78*Lookup_Lists!$D$130,0)+IF(ISNUMBER(Matching_Engine!$AI$78),Matching_Engine!$AI$78*Lookup_Lists!$D$131,0)+IF(ISNUMBER(Matching_Engine!$AJ$78),Matching_Engine!$AJ$78*Lookup_Lists!$D$132,0)+IF(ISNUMBER(Matching_Engine!$AK$78),Matching_Engine!$AK$78*Lookup_Lists!$D$133,0)+IF(ISNUMBER(Matching_Engine!$AL$78),Matching_Engine!$AL$78*Lookup_Lists!$D$134,0))/(IF(ISNUMBER(Matching_Engine!$AG$78),Lookup_Lists!$D$129,0)+IF(ISNUMBER(Matching_Engine!$AH$78),Lookup_Lists!$D$130,0)+IF(ISNUMBER(Matching_Engine!$AI$78),Lookup_Lists!$D$131,0)+IF(ISNUMBER(Matching_Engine!$AJ$78),Lookup_Lists!$D$132,0)+IF(ISNUMBER(Matching_Engine!$AK$78),Lookup_Lists!$D$133,0)+IF(ISNUMBER(Matching_Engine!$AL$78),Lookup_Lists!$D$134,0)),0))</f>
      </c>
      <c r="AN78" s="11">
        <f>IF(ISNUMBER(Matching_Engine!$AM$78),1,0)</f>
      </c>
      <c r="AO78" s="18">
        <f>IF(NOT(ISNUMBER(KOL_Source_Data!$BT$6)),"N/A",MIN(100,MAX(0,KOL_Source_Data!$BT$6)))</f>
      </c>
      <c r="AP78" s="18">
        <f>IF(NOT(ISNUMBER(KOL_Source_Data!$BU$6)),"N/A",MIN(100,MAX(0,KOL_Source_Data!$BU$6)))</f>
      </c>
      <c r="AQ78" s="18">
        <f>IF(KOL_Source_Data!$I$6="Yes",Lookup_Lists!$D$326,IF(KOL_Source_Data!$I$6="No",Lookup_Lists!$D$327,"N/A"))</f>
      </c>
      <c r="AR78" s="18">
        <f>IF(NOT(ISNUMBER(KOL_Source_Data!$BQ$6)),"N/A",MAX(0,ROUND(100-KOL_Source_Data!$BQ$6/Lookup_Lists!$D$328*100,0)))</f>
      </c>
      <c r="AS78" s="18">
        <f>IF(NOT(AND(ISTEXT(KOL_Source_Data!$BV$6),KOL_Source_Data!$BV$6&lt;&gt;"N/A")),"N/A",KOL_Source_Data!$BV$6)</f>
      </c>
      <c r="AT78" s="29">
        <f>IF((IF(ISNUMBER(Matching_Engine!$AO$78),Lookup_Lists!$D$322,0)+IF(ISNUMBER(Matching_Engine!$AP$78),Lookup_Lists!$D$323,0)+IF(ISNUMBER(Matching_Engine!$AQ$78),Lookup_Lists!$D$324,0)+IF(ISNUMBER(Matching_Engine!$AR$78),Lookup_Lists!$D$325,0))=0,"N/A",ROUND((IF(ISNUMBER(Matching_Engine!$AO$78),Matching_Engine!$AO$78*Lookup_Lists!$D$322,0)+IF(ISNUMBER(Matching_Engine!$AP$78),Matching_Engine!$AP$78*Lookup_Lists!$D$323,0)+IF(ISNUMBER(Matching_Engine!$AQ$78),Matching_Engine!$AQ$78*Lookup_Lists!$D$324,0)+IF(ISNUMBER(Matching_Engine!$AR$78),Matching_Engine!$AR$78*Lookup_Lists!$D$325,0))/(IF(ISNUMBER(Matching_Engine!$AO$78),Lookup_Lists!$D$322,0)+IF(ISNUMBER(Matching_Engine!$AP$78),Lookup_Lists!$D$323,0)+IF(ISNUMBER(Matching_Engine!$AQ$78),Lookup_Lists!$D$324,0)+IF(ISNUMBER(Matching_Engine!$AR$78),Lookup_Lists!$D$325,0)),0))</f>
      </c>
      <c r="AU78" s="11">
        <f>IF(ISNUMBER(Matching_Engine!$AT$78),1,0)</f>
      </c>
      <c r="AV78" s="11">
        <f>IF(NOT(ISNUMBER(Matching_Engine!$AT$78)),"Not Screened",IF(Matching_Engine!$AT$78&gt;=Lookup_Lists!$D$329,"Low Risk",IF(Matching_Engine!$AT$78&gt;=Lookup_Lists!$D$330,"Moderate Risk",IF(Matching_Engine!$AT$78&gt;=Lookup_Lists!$D$331,"Elevated Risk","High Risk"))))</f>
      </c>
      <c r="AW78" s="11">
        <f>IF(NOT(ISNUMBER(Matching_Engine!$AT$78)),"No integrity signal: no audience-analysis row for this account.","Integrity screen only — no content-risk reading exists (comments_analysis: 0 rows). "&amp;IF(ISNUMBER(Matching_Engine!$AO$78),"Authenticity "&amp;Matching_Engine!$AO$78&amp;". ","Authenticity N/A. ")&amp;IF(ISNUMBER(Matching_Engine!$AP$78),"Follower quality "&amp;Matching_Engine!$AP$78&amp;". ","Follower quality N/A. ")&amp;IF(KOL_Source_Data!$I$6="Yes","Platform-verified.","Not platform-verified."))</f>
      </c>
      <c r="AX78" s="18">
        <f>Matching_Engine!$N$78*Lookup_Lists!$D$104+Matching_Engine!$T$78*Lookup_Lists!$D$105+Matching_Engine!$Z$78*Lookup_Lists!$D$106+Matching_Engine!$AF$78*Lookup_Lists!$D$107+Matching_Engine!$AN$78*Lookup_Lists!$D$108+Matching_Engine!$AU$78*Lookup_Lists!$D$109</f>
      </c>
      <c r="AY78" s="30">
        <f>IF(Matching_Engine!$AX$78=0,"N/A",ROUND((IF(Matching_Engine!$N$78=1,Matching_Engine!$M$78*Lookup_Lists!$D$104,0)+IF(Matching_Engine!$T$78=1,Matching_Engine!$S$78*Lookup_Lists!$D$105,0)+IF(Matching_Engine!$Z$78=1,Matching_Engine!$Y$78*Lookup_Lists!$D$106,0)+IF(Matching_Engine!$AF$78=1,Matching_Engine!$AE$78*Lookup_Lists!$D$107,0)+IF(Matching_Engine!$AN$78=1,Matching_Engine!$AM$78*Lookup_Lists!$D$108,0)+IF(Matching_Engine!$AU$78=1,Matching_Engine!$AT$78*Lookup_Lists!$D$109,0))/Matching_Engine!$AX$78,0))</f>
      </c>
      <c r="AZ78" s="11">
        <f>IF(NOT(ISNUMBER(Matching_Engine!$AY$78)),"Not Scored",IF(Matching_Engine!$AY$78&gt;=Lookup_Lists!$D$152,"Excellent Match",IF(Matching_Engine!$AY$78&gt;=Lookup_Lists!$D$153,"Strong Match",IF(Matching_Engine!$AY$78&gt;=Lookup_Lists!$D$154,"Good Match",IF(Matching_Engine!$AY$78&gt;=Lookup_Lists!$D$155,"Moderate Match","Low Match")))))</f>
      </c>
      <c r="BA78" s="18">
        <f>KOL_Source_Data!$BW$6</f>
      </c>
      <c r="BB78" s="11">
        <f>KOL_Source_Data!$BX$6</f>
      </c>
      <c r="BC78" s="18">
        <f>IF(NOT(ISNUMBER(Matching_Engine!$AY$78)),-1,Matching_Engine!$AY$78*1000+24)</f>
      </c>
      <c r="BD78" s="11">
        <f>IF(AND(ISTEXT(KOL_Source_Data!$S$6),KOL_Source_Data!$S$6&lt;&gt;"N/A"),KOL_Source_Data!$S$6,"")&amp;" | "&amp;IF(AND(ISTEXT(KOL_Source_Data!$T$6),KOL_Source_Data!$T$6&lt;&gt;"N/A"),KOL_Source_Data!$T$6,"")&amp;" | "&amp;IF(AND(ISTEXT(KOL_Source_Data!$N$6),KOL_Source_Data!$N$6&lt;&gt;"N/A"),KOL_Source_Data!$N$6,"")&amp;" | "&amp;IF(AND(ISTEXT(KOL_Source_Data!$K$6),KOL_Source_Data!$K$6&lt;&gt;"N/A"),KOL_Source_Data!$K$6,"")&amp;" | "&amp;IF(AND(ISTEXT(KOL_Source_Data!$J$6),KOL_Source_Data!$J$6&lt;&gt;"N/A"),KOL_Source_Data!$J$6,"")</f>
      </c>
      <c r="BE78" s="11">
        <f>IF(AND(ISTEXT(KOL_Source_Data!$T$6),KOL_Source_Data!$T$6&lt;&gt;"N/A"),KOL_Source_Data!$T$6,"")&amp;" | "&amp;IF(AND(ISTEXT(KOL_Source_Data!$N$6),KOL_Source_Data!$N$6&lt;&gt;"N/A"),KOL_Source_Data!$N$6,"")&amp;" | "&amp;IF(AND(ISTEXT(KOL_Source_Data!$O$6),KOL_Source_Data!$O$6&lt;&gt;"N/A"),KOL_Source_Data!$O$6,"")&amp;" | "&amp;IF(AND(ISTEXT(KOL_Source_Data!$S$6),KOL_Source_Data!$S$6&lt;&gt;"N/A"),KOL_Source_Data!$S$6,"")</f>
      </c>
      <c r="BF78" s="11">
        <f>IF(AND(ISTEXT(KOL_Source_Data!$U$6),KOL_Source_Data!$U$6&lt;&gt;"N/A"),KOL_Source_Data!$U$6,"")</f>
      </c>
      <c r="BG78" s="11">
        <f>Matching_Engine!$A$78&amp;"|"&amp;Matching_Engine!$C$78</f>
      </c>
    </row>
    <row r="79" spans="1:59" x14ac:dyDescent="0.25">
      <c r="A79" s="10" t="s">
        <v>393</v>
      </c>
      <c r="B79" s="11">
        <f>Brand_Profile!$H$6</f>
      </c>
      <c r="C79" s="11">
        <f>KOL_Source_Data!$A$7</f>
      </c>
      <c r="D79" s="11">
        <f>KOL_Source_Data!$C$7</f>
      </c>
      <c r="E79" s="11">
        <f>KOL_Source_Data!$D$7</f>
      </c>
      <c r="F79" s="11">
        <f>KOL_Source_Data!$E$7</f>
      </c>
      <c r="G79" s="11">
        <f>KOL_Source_Data!$K$7</f>
      </c>
      <c r="H79" s="12">
        <f>KOL_Source_Data!$G$7</f>
      </c>
      <c r="I79" s="14">
        <f>KOL_Source_Data!$BG$7</f>
      </c>
      <c r="J79" s="18">
        <f>IF(NOT(AND(ISTEXT(KOL_Source_Data!$K$7),KOL_Source_Data!$K$7&lt;&gt;"N/A")),Lookup_Lists!$D$150,IF(Brand_Profile!$H$7=KOL_Source_Data!$K$7,100,IFERROR(INDEX(Lookup_Lists!$B$349:$J$357,MATCH(Brand_Profile!$H$7,Lookup_Lists!$A$349:$A$357,0),MATCH(KOL_Source_Data!$K$7,Lookup_Lists!$B$348:$J$348,0)),Lookup_Lists!$D$151)))</f>
      </c>
      <c r="K79" s="18">
        <f>IF(LEN(TRIM(SUBSTITUTE(Matching_Engine!$BD$79,"|","")))=0,"N/A",IF(Brand_Profile!$H$47=0,Lookup_Lists!$D$150,ROUND((IF(Brand_Profile!$H$41="",0,IF(ISNUMBER(SEARCH(Brand_Profile!$H$41,Matching_Engine!$BD$79)),1,0))+IF(Brand_Profile!$H$42="",0,IF(ISNUMBER(SEARCH(Brand_Profile!$H$42,Matching_Engine!$BD$79)),1,0))+IF(Brand_Profile!$H$43="",0,IF(ISNUMBER(SEARCH(Brand_Profile!$H$43,Matching_Engine!$BD$79)),1,0))+IF(Brand_Profile!$H$44="",0,IF(ISNUMBER(SEARCH(Brand_Profile!$H$44,Matching_Engine!$BD$79)),1,0))+IF(Brand_Profile!$H$45="",0,IF(ISNUMBER(SEARCH(Brand_Profile!$H$45,Matching_Engine!$BD$79)),1,0))+IF(Brand_Profile!$H$46="",0,IF(ISNUMBER(SEARCH(Brand_Profile!$H$46,Matching_Engine!$BD$79)),1,0)))/Brand_Profile!$H$47*100,0)))</f>
      </c>
      <c r="L79" s="18">
        <f>IF(NOT(AND(ISTEXT(KOL_Source_Data!$U$7),KOL_Source_Data!$U$7&lt;&gt;"N/A")),"N/A",IF(Brand_Profile!$H$53=0,Lookup_Lists!$D$150,ROUND((IF(Brand_Profile!$H$48="",0,IF(ISNUMBER(SEARCH(Brand_Profile!$H$48,Matching_Engine!$BF$79)),1,0))+IF(Brand_Profile!$H$49="",0,IF(ISNUMBER(SEARCH(Brand_Profile!$H$49,Matching_Engine!$BF$79)),1,0))+IF(Brand_Profile!$H$50="",0,IF(ISNUMBER(SEARCH(Brand_Profile!$H$50,Matching_Engine!$BF$79)),1,0))+IF(Brand_Profile!$H$51="",0,IF(ISNUMBER(SEARCH(Brand_Profile!$H$51,Matching_Engine!$BF$79)),1,0))+IF(Brand_Profile!$H$52="",0,IF(ISNUMBER(SEARCH(Brand_Profile!$H$52,Matching_Engine!$BF$79)),1,0)))/Brand_Profile!$H$53*100,0)))</f>
      </c>
      <c r="M79" s="29">
        <f>IF((IF(ISNUMBER(Matching_Engine!$J$79),Lookup_Lists!$D$332,0)+IF(ISNUMBER(Matching_Engine!$K$79),Lookup_Lists!$D$333,0)+IF(ISNUMBER(Matching_Engine!$L$79),Lookup_Lists!$D$334,0))=0,"N/A",ROUND((IF(ISNUMBER(Matching_Engine!$J$79),Matching_Engine!$J$79*Lookup_Lists!$D$332,0)+IF(ISNUMBER(Matching_Engine!$K$79),Matching_Engine!$K$79*Lookup_Lists!$D$333,0)+IF(ISNUMBER(Matching_Engine!$L$79),Matching_Engine!$L$79*Lookup_Lists!$D$334,0))/(IF(ISNUMBER(Matching_Engine!$J$79),Lookup_Lists!$D$332,0)+IF(ISNUMBER(Matching_Engine!$K$79),Lookup_Lists!$D$333,0)+IF(ISNUMBER(Matching_Engine!$L$79),Lookup_Lists!$D$334,0)),0))</f>
      </c>
      <c r="N79" s="11">
        <f>IF(ISNUMBER(Matching_Engine!$M$79),1,0)</f>
      </c>
      <c r="O79" s="18">
        <f>IF(NOT(ISNUMBER(IFERROR(INDEX(KOL_Source_Data!$V$7:KOL_Source_Data!$Z$7,1,MATCH(Brand_Profile!$H$11,Lookup_Lists!$F$6:$F$10,0)),""))),"N/A",MIN(100,ROUND((IFERROR(INDEX(KOL_Source_Data!$V$7:KOL_Source_Data!$Z$7,1,MATCH(Brand_Profile!$H$11,Lookup_Lists!$F$6:$F$10,0)),"")+0.5*IF(ISNUMBER(IFERROR(INDEX(KOL_Source_Data!$V$7:KOL_Source_Data!$Z$7,1,MATCH(Brand_Profile!$H$12,Lookup_Lists!$F$6:$F$10,0)),"")),IFERROR(INDEX(KOL_Source_Data!$V$7:KOL_Source_Data!$Z$7,1,MATCH(Brand_Profile!$H$12,Lookup_Lists!$F$6:$F$10,0)),""),0))/Lookup_Lists!$D$142*100,0)))</f>
      </c>
      <c r="P79" s="18">
        <f>IF(Brand_Profile!$H$13="Any",100,IF(NOT(ISNUMBER(KOL_Source_Data!$AA$7)),"N/A",IF(Brand_Profile!$H$13="Female",MIN(100,ROUND(KOL_Source_Data!$AA$7/Lookup_Lists!$D$143*100,0)),IF(Brand_Profile!$H$13="Male",MIN(100,ROUND(IF(ISNUMBER(KOL_Source_Data!$AB$7),KOL_Source_Data!$AB$7,100-KOL_Source_Data!$AA$7)/Lookup_Lists!$D$143*100,0)),MAX(0,ROUND(100-ABS(KOL_Source_Data!$AA$7-50)*2,0))))))</f>
      </c>
      <c r="Q79" s="18">
        <f>IF((IF(ISNUMBER(IF(NOT(ISNUMBER(KOL_Source_Data!$AE$7)),"N/A",IF(KOL_Source_Data!$AD$7&lt;&gt;Brand_Profile!$H$14,Lookup_Lists!$D$151,MIN(100,ROUND(KOL_Source_Data!$AE$7/Lookup_Lists!$D$316*100,0))))),Lookup_Lists!$D$118,0)+IF(ISNUMBER(IF(NOT(ISNUMBER(KOL_Source_Data!$AM$7)),"N/A",MIN(100,ROUND((IF(KOL_Source_Data!$AG$7=Brand_Profile!$H$15,IF(ISNUMBER(KOL_Source_Data!$AH$7),KOL_Source_Data!$AH$7,0),0)+IF(KOL_Source_Data!$AI$7=Brand_Profile!$H$15,IF(ISNUMBER(KOL_Source_Data!$AJ$7),KOL_Source_Data!$AJ$7,0),0)+IF(KOL_Source_Data!$AK$7=Brand_Profile!$H$15,IF(ISNUMBER(KOL_Source_Data!$AL$7),KOL_Source_Data!$AL$7,0),0))/Lookup_Lists!$D$317*100,0)))),Lookup_Lists!$D$120,0))=0,"N/A",ROUND((IF(ISNUMBER(IF(NOT(ISNUMBER(KOL_Source_Data!$AE$7)),"N/A",IF(KOL_Source_Data!$AD$7&lt;&gt;Brand_Profile!$H$14,Lookup_Lists!$D$151,MIN(100,ROUND(KOL_Source_Data!$AE$7/Lookup_Lists!$D$316*100,0))))),IF(NOT(ISNUMBER(KOL_Source_Data!$AE$7)),"N/A",IF(KOL_Source_Data!$AD$7&lt;&gt;Brand_Profile!$H$14,Lookup_Lists!$D$151,MIN(100,ROUND(KOL_Source_Data!$AE$7/Lookup_Lists!$D$316*100,0))))*Lookup_Lists!$D$118,0)+IF(ISNUMBER(IF(NOT(ISNUMBER(KOL_Source_Data!$AM$7)),"N/A",MIN(100,ROUND((IF(KOL_Source_Data!$AG$7=Brand_Profile!$H$15,IF(ISNUMBER(KOL_Source_Data!$AH$7),KOL_Source_Data!$AH$7,0),0)+IF(KOL_Source_Data!$AI$7=Brand_Profile!$H$15,IF(ISNUMBER(KOL_Source_Data!$AJ$7),KOL_Source_Data!$AJ$7,0),0)+IF(KOL_Source_Data!$AK$7=Brand_Profile!$H$15,IF(ISNUMBER(KOL_Source_Data!$AL$7),KOL_Source_Data!$AL$7,0),0))/Lookup_Lists!$D$317*100,0)))),IF(NOT(ISNUMBER(KOL_Source_Data!$AM$7)),"N/A",MIN(100,ROUND((IF(KOL_Source_Data!$AG$7=Brand_Profile!$H$15,IF(ISNUMBER(KOL_Source_Data!$AH$7),KOL_Source_Data!$AH$7,0),0)+IF(KOL_Source_Data!$AI$7=Brand_Profile!$H$15,IF(ISNUMBER(KOL_Source_Data!$AJ$7),KOL_Source_Data!$AJ$7,0),0)+IF(KOL_Source_Data!$AK$7=Brand_Profile!$H$15,IF(ISNUMBER(KOL_Source_Data!$AL$7),KOL_Source_Data!$AL$7,0),0))/Lookup_Lists!$D$317*100,0)))*Lookup_Lists!$D$120,0))/(IF(ISNUMBER(IF(NOT(ISNUMBER(KOL_Source_Data!$AE$7)),"N/A",IF(KOL_Source_Data!$AD$7&lt;&gt;Brand_Profile!$H$14,Lookup_Lists!$D$151,MIN(100,ROUND(KOL_Source_Data!$AE$7/Lookup_Lists!$D$316*100,0))))),Lookup_Lists!$D$118,0)+IF(ISNUMBER(IF(NOT(ISNUMBER(KOL_Source_Data!$AM$7)),"N/A",MIN(100,ROUND((IF(KOL_Source_Data!$AG$7=Brand_Profile!$H$15,IF(ISNUMBER(KOL_Source_Data!$AH$7),KOL_Source_Data!$AH$7,0),0)+IF(KOL_Source_Data!$AI$7=Brand_Profile!$H$15,IF(ISNUMBER(KOL_Source_Data!$AJ$7),KOL_Source_Data!$AJ$7,0),0)+IF(KOL_Source_Data!$AK$7=Brand_Profile!$H$15,IF(ISNUMBER(KOL_Source_Data!$AL$7),KOL_Source_Data!$AL$7,0),0))/Lookup_Lists!$D$317*100,0)))),Lookup_Lists!$D$120,0)),0))</f>
      </c>
      <c r="R79" s="18">
        <f>IF(NOT(ISNUMBER(KOL_Source_Data!$AN$7)),"N/A",MIN(100,ROUND((IF(ISNUMBER(KOL_Source_Data!$AO$7),KOL_Source_Data!$AO$7*Brand_Profile!$H$17,0)+IF(ISNUMBER(KOL_Source_Data!$AP$7),KOL_Source_Data!$AP$7*Brand_Profile!$H$18,0)+IF(ISNUMBER(KOL_Source_Data!$AQ$7),KOL_Source_Data!$AQ$7*Brand_Profile!$H$19,0)+IF(ISNUMBER(KOL_Source_Data!$AR$7),KOL_Source_Data!$AR$7*Brand_Profile!$H$20,0)+IF(ISNUMBER(KOL_Source_Data!$AS$7),KOL_Source_Data!$AS$7*Brand_Profile!$H$21,0)+IF(ISNUMBER(KOL_Source_Data!$AT$7),KOL_Source_Data!$AT$7*Brand_Profile!$H$22,0)+IF(ISNUMBER(KOL_Source_Data!$AU$7),KOL_Source_Data!$AU$7*Brand_Profile!$H$23,0)+IF(ISNUMBER(KOL_Source_Data!$AV$7),KOL_Source_Data!$AV$7*Brand_Profile!$H$24,0)+IF(ISNUMBER(KOL_Source_Data!$AW$7),KOL_Source_Data!$AW$7*Brand_Profile!$H$25,0)+IF(ISNUMBER(KOL_Source_Data!$AX$7),KOL_Source_Data!$AX$7*Brand_Profile!$H$26,0)+IF(ISNUMBER(KOL_Source_Data!$AY$7),KOL_Source_Data!$AY$7*Brand_Profile!$H$27,0)+IF(ISNUMBER(KOL_Source_Data!$AZ$7),KOL_Source_Data!$AZ$7*Brand_Profile!$H$28,0)+IF(ISNUMBER(KOL_Source_Data!$BA$7),KOL_Source_Data!$BA$7*Brand_Profile!$H$29,0)+IF(ISNUMBER(KOL_Source_Data!$BB$7),KOL_Source_Data!$BB$7*Brand_Profile!$H$30,0)+IF(ISNUMBER(KOL_Source_Data!$BC$7),KOL_Source_Data!$BC$7*Brand_Profile!$H$31,0)+IF(ISNUMBER(KOL_Source_Data!$BD$7),KOL_Source_Data!$BD$7*Brand_Profile!$H$32,0)+IF(ISNUMBER(KOL_Source_Data!$BE$7),KOL_Source_Data!$BE$7*Brand_Profile!$H$33,0)+IF(ISNUMBER(KOL_Source_Data!$BF$7),KOL_Source_Data!$BF$7*Brand_Profile!$H$34,0))/Lookup_Lists!$D$318*100,0)))</f>
      </c>
      <c r="S79" s="29">
        <f>IF((IF(ISNUMBER(Matching_Engine!$O$79),Lookup_Lists!$D$113,0)+IF(ISNUMBER(Matching_Engine!$P$79),Lookup_Lists!$D$114,0)+IF(ISNUMBER(Matching_Engine!$Q$79),Lookup_Lists!$D$115,0)+IF(ISNUMBER(Matching_Engine!$R$79),Lookup_Lists!$D$116,0))=0,"N/A",ROUND((IF(ISNUMBER(Matching_Engine!$O$79),Matching_Engine!$O$79*Lookup_Lists!$D$113,0)+IF(ISNUMBER(Matching_Engine!$P$79),Matching_Engine!$P$79*Lookup_Lists!$D$114,0)+IF(ISNUMBER(Matching_Engine!$Q$79),Matching_Engine!$Q$79*Lookup_Lists!$D$115,0)+IF(ISNUMBER(Matching_Engine!$R$79),Matching_Engine!$R$79*Lookup_Lists!$D$116,0))/(IF(ISNUMBER(Matching_Engine!$O$79),Lookup_Lists!$D$113,0)+IF(ISNUMBER(Matching_Engine!$P$79),Lookup_Lists!$D$114,0)+IF(ISNUMBER(Matching_Engine!$Q$79),Lookup_Lists!$D$115,0)+IF(ISNUMBER(Matching_Engine!$R$79),Lookup_Lists!$D$116,0)),0))</f>
      </c>
      <c r="T79" s="11">
        <f>IF(ISNUMBER(Matching_Engine!$S$79),1,0)</f>
      </c>
      <c r="U79" s="18">
        <f>IF(NOT(AND(ISTEXT(KOL_Source_Data!$M$7),KOL_Source_Data!$M$7&lt;&gt;"N/A")),Lookup_Lists!$D$150,IF(Brand_Profile!$H$7=KOL_Source_Data!$M$7,100,IFERROR(INDEX(Lookup_Lists!$B$349:$J$357,MATCH(Brand_Profile!$H$7,Lookup_Lists!$A$349:$A$357,0),MATCH(KOL_Source_Data!$M$7,Lookup_Lists!$B$348:$J$348,0)),Lookup_Lists!$D$151)))</f>
      </c>
      <c r="V79" s="18">
        <f>IF(NOT(AND(ISTEXT(KOL_Source_Data!$P$7),KOL_Source_Data!$P$7&lt;&gt;"N/A")),"N/A",IFERROR(INDEX(Lookup_Lists!$B$349:$J$357,MATCH(Brand_Profile!$H$7,Lookup_Lists!$A$349:$A$357,0),MATCH(KOL_Source_Data!$P$7,Lookup_Lists!$B$348:$J$348,0)),Lookup_Lists!$D$151))</f>
      </c>
      <c r="W79" s="18">
        <f>IF(LEN(TRIM(SUBSTITUTE(Matching_Engine!$BE$79,"|","")))=0,"N/A",IF(Brand_Profile!$H$60=0,Lookup_Lists!$D$150,ROUND((IF(Brand_Profile!$H$54="",0,IF(ISNUMBER(SEARCH(Brand_Profile!$H$54,Matching_Engine!$BE$79)),1,0))+IF(Brand_Profile!$H$55="",0,IF(ISNUMBER(SEARCH(Brand_Profile!$H$55,Matching_Engine!$BE$79)),1,0))+IF(Brand_Profile!$H$56="",0,IF(ISNUMBER(SEARCH(Brand_Profile!$H$56,Matching_Engine!$BE$79)),1,0))+IF(Brand_Profile!$H$57="",0,IF(ISNUMBER(SEARCH(Brand_Profile!$H$57,Matching_Engine!$BE$79)),1,0))+IF(Brand_Profile!$H$58="",0,IF(ISNUMBER(SEARCH(Brand_Profile!$H$58,Matching_Engine!$BE$79)),1,0))+IF(Brand_Profile!$H$59="",0,IF(ISNUMBER(SEARCH(Brand_Profile!$H$59,Matching_Engine!$BE$79)),1,0)))/Brand_Profile!$H$60*100,0)))</f>
      </c>
      <c r="X79" s="18">
        <f>IF(NOT(AND(ISTEXT(KOL_Source_Data!$Q$7),KOL_Source_Data!$Q$7&lt;&gt;"N/A")),"N/A",Lookup_Lists!$D$150)</f>
      </c>
      <c r="Y79" s="29">
        <f>IF((IF(ISNUMBER(Matching_Engine!$U$79),Lookup_Lists!$D$335,0)+IF(ISNUMBER(Matching_Engine!$V$79),Lookup_Lists!$D$122,0)+IF(ISNUMBER(Matching_Engine!$W$79),Lookup_Lists!$D$336,0)+IF(ISNUMBER(Matching_Engine!$X$79),Lookup_Lists!$D$124,0))=0,"N/A",ROUND((IF(ISNUMBER(Matching_Engine!$U$79),Matching_Engine!$U$79*Lookup_Lists!$D$335,0)+IF(ISNUMBER(Matching_Engine!$V$79),Matching_Engine!$V$79*Lookup_Lists!$D$122,0)+IF(ISNUMBER(Matching_Engine!$W$79),Matching_Engine!$W$79*Lookup_Lists!$D$336,0)+IF(ISNUMBER(Matching_Engine!$X$79),Matching_Engine!$X$79*Lookup_Lists!$D$124,0))/(IF(ISNUMBER(Matching_Engine!$U$79),Lookup_Lists!$D$335,0)+IF(ISNUMBER(Matching_Engine!$V$79),Lookup_Lists!$D$122,0)+IF(ISNUMBER(Matching_Engine!$W$79),Lookup_Lists!$D$336,0)+IF(ISNUMBER(Matching_Engine!$X$79),Lookup_Lists!$D$124,0)),0))</f>
      </c>
      <c r="Z79" s="11">
        <f>IF(ISNUMBER(Matching_Engine!$Y$79),1,0)</f>
      </c>
      <c r="AA79" s="18">
        <f>IF(NOT(AND(ISTEXT(KOL_Source_Data!$Q$7),KOL_Source_Data!$Q$7&lt;&gt;"N/A")),"N/A",Lookup_Lists!$D$150)</f>
      </c>
      <c r="AB79" s="18">
        <f>IF(NOT(AND(ISTEXT(KOL_Source_Data!$Q$7),KOL_Source_Data!$Q$7&lt;&gt;"N/A")),"N/A",Lookup_Lists!$D$150)</f>
      </c>
      <c r="AC79" s="18">
        <f>"N/A"</f>
      </c>
      <c r="AD79" s="18">
        <f>IF(NOT(AND(ISTEXT(KOL_Source_Data!$Q$7),KOL_Source_Data!$Q$7&lt;&gt;"N/A")),"N/A",Lookup_Lists!$D$150)</f>
      </c>
      <c r="AE79" s="29">
        <f>IF((IF(ISNUMBER(Matching_Engine!$AA$79),Lookup_Lists!$D$125,0)+IF(ISNUMBER(Matching_Engine!$AB$79),Lookup_Lists!$D$126,0)+IF(ISNUMBER(Matching_Engine!$AC$79),Lookup_Lists!$D$127,0)+IF(ISNUMBER(Matching_Engine!$AD$79),Lookup_Lists!$D$128,0))=0,"N/A",ROUND((IF(ISNUMBER(Matching_Engine!$AA$79),Matching_Engine!$AA$79*Lookup_Lists!$D$125,0)+IF(ISNUMBER(Matching_Engine!$AB$79),Matching_Engine!$AB$79*Lookup_Lists!$D$126,0)+IF(ISNUMBER(Matching_Engine!$AC$79),Matching_Engine!$AC$79*Lookup_Lists!$D$127,0)+IF(ISNUMBER(Matching_Engine!$AD$79),Matching_Engine!$AD$79*Lookup_Lists!$D$128,0))/(IF(ISNUMBER(Matching_Engine!$AA$79),Lookup_Lists!$D$125,0)+IF(ISNUMBER(Matching_Engine!$AB$79),Lookup_Lists!$D$126,0)+IF(ISNUMBER(Matching_Engine!$AC$79),Lookup_Lists!$D$127,0)+IF(ISNUMBER(Matching_Engine!$AD$79),Lookup_Lists!$D$128,0)),0))</f>
      </c>
      <c r="AF79" s="11">
        <f>IF(ISNUMBER(Matching_Engine!$AE$79),1,0)</f>
      </c>
      <c r="AG79" s="18">
        <f>IF(NOT(ISNUMBER(KOL_Source_Data!$BG$7)),"N/A",MIN(100,ROUND(KOL_Source_Data!$BG$7/IFERROR(INDEX(Lookup_Lists!$B$340:$B$344,MATCH(KOL_Source_Data!$H$7,Lookup_Lists!$A$340:$A$344,0)),Lookup_Lists!$D$141)*100,0)))</f>
      </c>
      <c r="AH79" s="18">
        <f>IF(NOT(ISNUMBER(KOL_Source_Data!$BS$7)),"N/A",MIN(100,MAX(0,KOL_Source_Data!$BS$7)))</f>
      </c>
      <c r="AI79" s="18">
        <f>IF(OR(NOT(ISNUMBER(KOL_Source_Data!$BM$7)),NOT(ISNUMBER(KOL_Source_Data!$BN$7)),KOL_Source_Data!$BN$7&lt;Lookup_Lists!$D$320),"N/A",MIN(100,ROUND(KOL_Source_Data!$BM$7/Lookup_Lists!$D$319*100,0)))</f>
      </c>
      <c r="AJ79" s="18">
        <f>IF(NOT(ISNUMBER(KOL_Source_Data!$BR$7)),"N/A",KOL_Source_Data!$BR$7)</f>
      </c>
      <c r="AK79" s="18">
        <f>IF(NOT(ISNUMBER(KOL_Source_Data!$BK$7)),"N/A",MIN(100,ROUND(KOL_Source_Data!$BK$7/Lookup_Lists!$D$321*100,0)))</f>
      </c>
      <c r="AL79" s="18">
        <f>IF(NOT(ISNUMBER(KOL_Source_Data!$BP$7)),"N/A",MIN(100,MAX(0,ROUND((KOL_Source_Data!$BP$7+2)/(Lookup_Lists!$D$145+2)*100,0))))</f>
      </c>
      <c r="AM79" s="29">
        <f>IF((IF(ISNUMBER(Matching_Engine!$AG$79),Lookup_Lists!$D$129,0)+IF(ISNUMBER(Matching_Engine!$AH$79),Lookup_Lists!$D$130,0)+IF(ISNUMBER(Matching_Engine!$AI$79),Lookup_Lists!$D$131,0)+IF(ISNUMBER(Matching_Engine!$AJ$79),Lookup_Lists!$D$132,0)+IF(ISNUMBER(Matching_Engine!$AK$79),Lookup_Lists!$D$133,0)+IF(ISNUMBER(Matching_Engine!$AL$79),Lookup_Lists!$D$134,0))=0,"N/A",ROUND((IF(ISNUMBER(Matching_Engine!$AG$79),Matching_Engine!$AG$79*Lookup_Lists!$D$129,0)+IF(ISNUMBER(Matching_Engine!$AH$79),Matching_Engine!$AH$79*Lookup_Lists!$D$130,0)+IF(ISNUMBER(Matching_Engine!$AI$79),Matching_Engine!$AI$79*Lookup_Lists!$D$131,0)+IF(ISNUMBER(Matching_Engine!$AJ$79),Matching_Engine!$AJ$79*Lookup_Lists!$D$132,0)+IF(ISNUMBER(Matching_Engine!$AK$79),Matching_Engine!$AK$79*Lookup_Lists!$D$133,0)+IF(ISNUMBER(Matching_Engine!$AL$79),Matching_Engine!$AL$79*Lookup_Lists!$D$134,0))/(IF(ISNUMBER(Matching_Engine!$AG$79),Lookup_Lists!$D$129,0)+IF(ISNUMBER(Matching_Engine!$AH$79),Lookup_Lists!$D$130,0)+IF(ISNUMBER(Matching_Engine!$AI$79),Lookup_Lists!$D$131,0)+IF(ISNUMBER(Matching_Engine!$AJ$79),Lookup_Lists!$D$132,0)+IF(ISNUMBER(Matching_Engine!$AK$79),Lookup_Lists!$D$133,0)+IF(ISNUMBER(Matching_Engine!$AL$79),Lookup_Lists!$D$134,0)),0))</f>
      </c>
      <c r="AN79" s="11">
        <f>IF(ISNUMBER(Matching_Engine!$AM$79),1,0)</f>
      </c>
      <c r="AO79" s="18">
        <f>IF(NOT(ISNUMBER(KOL_Source_Data!$BT$7)),"N/A",MIN(100,MAX(0,KOL_Source_Data!$BT$7)))</f>
      </c>
      <c r="AP79" s="18">
        <f>IF(NOT(ISNUMBER(KOL_Source_Data!$BU$7)),"N/A",MIN(100,MAX(0,KOL_Source_Data!$BU$7)))</f>
      </c>
      <c r="AQ79" s="18">
        <f>IF(KOL_Source_Data!$I$7="Yes",Lookup_Lists!$D$326,IF(KOL_Source_Data!$I$7="No",Lookup_Lists!$D$327,"N/A"))</f>
      </c>
      <c r="AR79" s="18">
        <f>IF(NOT(ISNUMBER(KOL_Source_Data!$BQ$7)),"N/A",MAX(0,ROUND(100-KOL_Source_Data!$BQ$7/Lookup_Lists!$D$328*100,0)))</f>
      </c>
      <c r="AS79" s="18">
        <f>IF(NOT(AND(ISTEXT(KOL_Source_Data!$BV$7),KOL_Source_Data!$BV$7&lt;&gt;"N/A")),"N/A",KOL_Source_Data!$BV$7)</f>
      </c>
      <c r="AT79" s="29">
        <f>IF((IF(ISNUMBER(Matching_Engine!$AO$79),Lookup_Lists!$D$322,0)+IF(ISNUMBER(Matching_Engine!$AP$79),Lookup_Lists!$D$323,0)+IF(ISNUMBER(Matching_Engine!$AQ$79),Lookup_Lists!$D$324,0)+IF(ISNUMBER(Matching_Engine!$AR$79),Lookup_Lists!$D$325,0))=0,"N/A",ROUND((IF(ISNUMBER(Matching_Engine!$AO$79),Matching_Engine!$AO$79*Lookup_Lists!$D$322,0)+IF(ISNUMBER(Matching_Engine!$AP$79),Matching_Engine!$AP$79*Lookup_Lists!$D$323,0)+IF(ISNUMBER(Matching_Engine!$AQ$79),Matching_Engine!$AQ$79*Lookup_Lists!$D$324,0)+IF(ISNUMBER(Matching_Engine!$AR$79),Matching_Engine!$AR$79*Lookup_Lists!$D$325,0))/(IF(ISNUMBER(Matching_Engine!$AO$79),Lookup_Lists!$D$322,0)+IF(ISNUMBER(Matching_Engine!$AP$79),Lookup_Lists!$D$323,0)+IF(ISNUMBER(Matching_Engine!$AQ$79),Lookup_Lists!$D$324,0)+IF(ISNUMBER(Matching_Engine!$AR$79),Lookup_Lists!$D$325,0)),0))</f>
      </c>
      <c r="AU79" s="11">
        <f>IF(ISNUMBER(Matching_Engine!$AT$79),1,0)</f>
      </c>
      <c r="AV79" s="11">
        <f>IF(NOT(ISNUMBER(Matching_Engine!$AT$79)),"Not Screened",IF(Matching_Engine!$AT$79&gt;=Lookup_Lists!$D$329,"Low Risk",IF(Matching_Engine!$AT$79&gt;=Lookup_Lists!$D$330,"Moderate Risk",IF(Matching_Engine!$AT$79&gt;=Lookup_Lists!$D$331,"Elevated Risk","High Risk"))))</f>
      </c>
      <c r="AW79" s="11">
        <f>IF(NOT(ISNUMBER(Matching_Engine!$AT$79)),"No integrity signal: no audience-analysis row for this account.","Integrity screen only — no content-risk reading exists (comments_analysis: 0 rows). "&amp;IF(ISNUMBER(Matching_Engine!$AO$79),"Authenticity "&amp;Matching_Engine!$AO$79&amp;". ","Authenticity N/A. ")&amp;IF(ISNUMBER(Matching_Engine!$AP$79),"Follower quality "&amp;Matching_Engine!$AP$79&amp;". ","Follower quality N/A. ")&amp;IF(KOL_Source_Data!$I$7="Yes","Platform-verified.","Not platform-verified."))</f>
      </c>
      <c r="AX79" s="18">
        <f>Matching_Engine!$N$79*Lookup_Lists!$D$104+Matching_Engine!$T$79*Lookup_Lists!$D$105+Matching_Engine!$Z$79*Lookup_Lists!$D$106+Matching_Engine!$AF$79*Lookup_Lists!$D$107+Matching_Engine!$AN$79*Lookup_Lists!$D$108+Matching_Engine!$AU$79*Lookup_Lists!$D$109</f>
      </c>
      <c r="AY79" s="30">
        <f>IF(Matching_Engine!$AX$79=0,"N/A",ROUND((IF(Matching_Engine!$N$79=1,Matching_Engine!$M$79*Lookup_Lists!$D$104,0)+IF(Matching_Engine!$T$79=1,Matching_Engine!$S$79*Lookup_Lists!$D$105,0)+IF(Matching_Engine!$Z$79=1,Matching_Engine!$Y$79*Lookup_Lists!$D$106,0)+IF(Matching_Engine!$AF$79=1,Matching_Engine!$AE$79*Lookup_Lists!$D$107,0)+IF(Matching_Engine!$AN$79=1,Matching_Engine!$AM$79*Lookup_Lists!$D$108,0)+IF(Matching_Engine!$AU$79=1,Matching_Engine!$AT$79*Lookup_Lists!$D$109,0))/Matching_Engine!$AX$79,0))</f>
      </c>
      <c r="AZ79" s="11">
        <f>IF(NOT(ISNUMBER(Matching_Engine!$AY$79)),"Not Scored",IF(Matching_Engine!$AY$79&gt;=Lookup_Lists!$D$152,"Excellent Match",IF(Matching_Engine!$AY$79&gt;=Lookup_Lists!$D$153,"Strong Match",IF(Matching_Engine!$AY$79&gt;=Lookup_Lists!$D$154,"Good Match",IF(Matching_Engine!$AY$79&gt;=Lookup_Lists!$D$155,"Moderate Match","Low Match")))))</f>
      </c>
      <c r="BA79" s="18">
        <f>KOL_Source_Data!$BW$7</f>
      </c>
      <c r="BB79" s="11">
        <f>KOL_Source_Data!$BX$7</f>
      </c>
      <c r="BC79" s="18">
        <f>IF(NOT(ISNUMBER(Matching_Engine!$AY$79)),-1,Matching_Engine!$AY$79*1000+23)</f>
      </c>
      <c r="BD79" s="11">
        <f>IF(AND(ISTEXT(KOL_Source_Data!$S$7),KOL_Source_Data!$S$7&lt;&gt;"N/A"),KOL_Source_Data!$S$7,"")&amp;" | "&amp;IF(AND(ISTEXT(KOL_Source_Data!$T$7),KOL_Source_Data!$T$7&lt;&gt;"N/A"),KOL_Source_Data!$T$7,"")&amp;" | "&amp;IF(AND(ISTEXT(KOL_Source_Data!$N$7),KOL_Source_Data!$N$7&lt;&gt;"N/A"),KOL_Source_Data!$N$7,"")&amp;" | "&amp;IF(AND(ISTEXT(KOL_Source_Data!$K$7),KOL_Source_Data!$K$7&lt;&gt;"N/A"),KOL_Source_Data!$K$7,"")&amp;" | "&amp;IF(AND(ISTEXT(KOL_Source_Data!$J$7),KOL_Source_Data!$J$7&lt;&gt;"N/A"),KOL_Source_Data!$J$7,"")</f>
      </c>
      <c r="BE79" s="11">
        <f>IF(AND(ISTEXT(KOL_Source_Data!$T$7),KOL_Source_Data!$T$7&lt;&gt;"N/A"),KOL_Source_Data!$T$7,"")&amp;" | "&amp;IF(AND(ISTEXT(KOL_Source_Data!$N$7),KOL_Source_Data!$N$7&lt;&gt;"N/A"),KOL_Source_Data!$N$7,"")&amp;" | "&amp;IF(AND(ISTEXT(KOL_Source_Data!$O$7),KOL_Source_Data!$O$7&lt;&gt;"N/A"),KOL_Source_Data!$O$7,"")&amp;" | "&amp;IF(AND(ISTEXT(KOL_Source_Data!$S$7),KOL_Source_Data!$S$7&lt;&gt;"N/A"),KOL_Source_Data!$S$7,"")</f>
      </c>
      <c r="BF79" s="11">
        <f>IF(AND(ISTEXT(KOL_Source_Data!$U$7),KOL_Source_Data!$U$7&lt;&gt;"N/A"),KOL_Source_Data!$U$7,"")</f>
      </c>
      <c r="BG79" s="11">
        <f>Matching_Engine!$A$79&amp;"|"&amp;Matching_Engine!$C$79</f>
      </c>
    </row>
    <row r="80" spans="1:59" x14ac:dyDescent="0.25">
      <c r="A80" s="10" t="s">
        <v>393</v>
      </c>
      <c r="B80" s="11">
        <f>Brand_Profile!$H$6</f>
      </c>
      <c r="C80" s="11">
        <f>KOL_Source_Data!$A$8</f>
      </c>
      <c r="D80" s="11">
        <f>KOL_Source_Data!$C$8</f>
      </c>
      <c r="E80" s="11">
        <f>KOL_Source_Data!$D$8</f>
      </c>
      <c r="F80" s="11">
        <f>KOL_Source_Data!$E$8</f>
      </c>
      <c r="G80" s="11">
        <f>KOL_Source_Data!$K$8</f>
      </c>
      <c r="H80" s="12">
        <f>KOL_Source_Data!$G$8</f>
      </c>
      <c r="I80" s="14">
        <f>KOL_Source_Data!$BG$8</f>
      </c>
      <c r="J80" s="18">
        <f>IF(NOT(AND(ISTEXT(KOL_Source_Data!$K$8),KOL_Source_Data!$K$8&lt;&gt;"N/A")),Lookup_Lists!$D$150,IF(Brand_Profile!$H$7=KOL_Source_Data!$K$8,100,IFERROR(INDEX(Lookup_Lists!$B$349:$J$357,MATCH(Brand_Profile!$H$7,Lookup_Lists!$A$349:$A$357,0),MATCH(KOL_Source_Data!$K$8,Lookup_Lists!$B$348:$J$348,0)),Lookup_Lists!$D$151)))</f>
      </c>
      <c r="K80" s="18">
        <f>IF(LEN(TRIM(SUBSTITUTE(Matching_Engine!$BD$80,"|","")))=0,"N/A",IF(Brand_Profile!$H$47=0,Lookup_Lists!$D$150,ROUND((IF(Brand_Profile!$H$41="",0,IF(ISNUMBER(SEARCH(Brand_Profile!$H$41,Matching_Engine!$BD$80)),1,0))+IF(Brand_Profile!$H$42="",0,IF(ISNUMBER(SEARCH(Brand_Profile!$H$42,Matching_Engine!$BD$80)),1,0))+IF(Brand_Profile!$H$43="",0,IF(ISNUMBER(SEARCH(Brand_Profile!$H$43,Matching_Engine!$BD$80)),1,0))+IF(Brand_Profile!$H$44="",0,IF(ISNUMBER(SEARCH(Brand_Profile!$H$44,Matching_Engine!$BD$80)),1,0))+IF(Brand_Profile!$H$45="",0,IF(ISNUMBER(SEARCH(Brand_Profile!$H$45,Matching_Engine!$BD$80)),1,0))+IF(Brand_Profile!$H$46="",0,IF(ISNUMBER(SEARCH(Brand_Profile!$H$46,Matching_Engine!$BD$80)),1,0)))/Brand_Profile!$H$47*100,0)))</f>
      </c>
      <c r="L80" s="18">
        <f>IF(NOT(AND(ISTEXT(KOL_Source_Data!$U$8),KOL_Source_Data!$U$8&lt;&gt;"N/A")),"N/A",IF(Brand_Profile!$H$53=0,Lookup_Lists!$D$150,ROUND((IF(Brand_Profile!$H$48="",0,IF(ISNUMBER(SEARCH(Brand_Profile!$H$48,Matching_Engine!$BF$80)),1,0))+IF(Brand_Profile!$H$49="",0,IF(ISNUMBER(SEARCH(Brand_Profile!$H$49,Matching_Engine!$BF$80)),1,0))+IF(Brand_Profile!$H$50="",0,IF(ISNUMBER(SEARCH(Brand_Profile!$H$50,Matching_Engine!$BF$80)),1,0))+IF(Brand_Profile!$H$51="",0,IF(ISNUMBER(SEARCH(Brand_Profile!$H$51,Matching_Engine!$BF$80)),1,0))+IF(Brand_Profile!$H$52="",0,IF(ISNUMBER(SEARCH(Brand_Profile!$H$52,Matching_Engine!$BF$80)),1,0)))/Brand_Profile!$H$53*100,0)))</f>
      </c>
      <c r="M80" s="29">
        <f>IF((IF(ISNUMBER(Matching_Engine!$J$80),Lookup_Lists!$D$332,0)+IF(ISNUMBER(Matching_Engine!$K$80),Lookup_Lists!$D$333,0)+IF(ISNUMBER(Matching_Engine!$L$80),Lookup_Lists!$D$334,0))=0,"N/A",ROUND((IF(ISNUMBER(Matching_Engine!$J$80),Matching_Engine!$J$80*Lookup_Lists!$D$332,0)+IF(ISNUMBER(Matching_Engine!$K$80),Matching_Engine!$K$80*Lookup_Lists!$D$333,0)+IF(ISNUMBER(Matching_Engine!$L$80),Matching_Engine!$L$80*Lookup_Lists!$D$334,0))/(IF(ISNUMBER(Matching_Engine!$J$80),Lookup_Lists!$D$332,0)+IF(ISNUMBER(Matching_Engine!$K$80),Lookup_Lists!$D$333,0)+IF(ISNUMBER(Matching_Engine!$L$80),Lookup_Lists!$D$334,0)),0))</f>
      </c>
      <c r="N80" s="11">
        <f>IF(ISNUMBER(Matching_Engine!$M$80),1,0)</f>
      </c>
      <c r="O80" s="18">
        <f>IF(NOT(ISNUMBER(IFERROR(INDEX(KOL_Source_Data!$V$8:KOL_Source_Data!$Z$8,1,MATCH(Brand_Profile!$H$11,Lookup_Lists!$F$6:$F$10,0)),""))),"N/A",MIN(100,ROUND((IFERROR(INDEX(KOL_Source_Data!$V$8:KOL_Source_Data!$Z$8,1,MATCH(Brand_Profile!$H$11,Lookup_Lists!$F$6:$F$10,0)),"")+0.5*IF(ISNUMBER(IFERROR(INDEX(KOL_Source_Data!$V$8:KOL_Source_Data!$Z$8,1,MATCH(Brand_Profile!$H$12,Lookup_Lists!$F$6:$F$10,0)),"")),IFERROR(INDEX(KOL_Source_Data!$V$8:KOL_Source_Data!$Z$8,1,MATCH(Brand_Profile!$H$12,Lookup_Lists!$F$6:$F$10,0)),""),0))/Lookup_Lists!$D$142*100,0)))</f>
      </c>
      <c r="P80" s="18">
        <f>IF(Brand_Profile!$H$13="Any",100,IF(NOT(ISNUMBER(KOL_Source_Data!$AA$8)),"N/A",IF(Brand_Profile!$H$13="Female",MIN(100,ROUND(KOL_Source_Data!$AA$8/Lookup_Lists!$D$143*100,0)),IF(Brand_Profile!$H$13="Male",MIN(100,ROUND(IF(ISNUMBER(KOL_Source_Data!$AB$8),KOL_Source_Data!$AB$8,100-KOL_Source_Data!$AA$8)/Lookup_Lists!$D$143*100,0)),MAX(0,ROUND(100-ABS(KOL_Source_Data!$AA$8-50)*2,0))))))</f>
      </c>
      <c r="Q80" s="18">
        <f>IF((IF(ISNUMBER(IF(NOT(ISNUMBER(KOL_Source_Data!$AE$8)),"N/A",IF(KOL_Source_Data!$AD$8&lt;&gt;Brand_Profile!$H$14,Lookup_Lists!$D$151,MIN(100,ROUND(KOL_Source_Data!$AE$8/Lookup_Lists!$D$316*100,0))))),Lookup_Lists!$D$118,0)+IF(ISNUMBER(IF(NOT(ISNUMBER(KOL_Source_Data!$AM$8)),"N/A",MIN(100,ROUND((IF(KOL_Source_Data!$AG$8=Brand_Profile!$H$15,IF(ISNUMBER(KOL_Source_Data!$AH$8),KOL_Source_Data!$AH$8,0),0)+IF(KOL_Source_Data!$AI$8=Brand_Profile!$H$15,IF(ISNUMBER(KOL_Source_Data!$AJ$8),KOL_Source_Data!$AJ$8,0),0)+IF(KOL_Source_Data!$AK$8=Brand_Profile!$H$15,IF(ISNUMBER(KOL_Source_Data!$AL$8),KOL_Source_Data!$AL$8,0),0))/Lookup_Lists!$D$317*100,0)))),Lookup_Lists!$D$120,0))=0,"N/A",ROUND((IF(ISNUMBER(IF(NOT(ISNUMBER(KOL_Source_Data!$AE$8)),"N/A",IF(KOL_Source_Data!$AD$8&lt;&gt;Brand_Profile!$H$14,Lookup_Lists!$D$151,MIN(100,ROUND(KOL_Source_Data!$AE$8/Lookup_Lists!$D$316*100,0))))),IF(NOT(ISNUMBER(KOL_Source_Data!$AE$8)),"N/A",IF(KOL_Source_Data!$AD$8&lt;&gt;Brand_Profile!$H$14,Lookup_Lists!$D$151,MIN(100,ROUND(KOL_Source_Data!$AE$8/Lookup_Lists!$D$316*100,0))))*Lookup_Lists!$D$118,0)+IF(ISNUMBER(IF(NOT(ISNUMBER(KOL_Source_Data!$AM$8)),"N/A",MIN(100,ROUND((IF(KOL_Source_Data!$AG$8=Brand_Profile!$H$15,IF(ISNUMBER(KOL_Source_Data!$AH$8),KOL_Source_Data!$AH$8,0),0)+IF(KOL_Source_Data!$AI$8=Brand_Profile!$H$15,IF(ISNUMBER(KOL_Source_Data!$AJ$8),KOL_Source_Data!$AJ$8,0),0)+IF(KOL_Source_Data!$AK$8=Brand_Profile!$H$15,IF(ISNUMBER(KOL_Source_Data!$AL$8),KOL_Source_Data!$AL$8,0),0))/Lookup_Lists!$D$317*100,0)))),IF(NOT(ISNUMBER(KOL_Source_Data!$AM$8)),"N/A",MIN(100,ROUND((IF(KOL_Source_Data!$AG$8=Brand_Profile!$H$15,IF(ISNUMBER(KOL_Source_Data!$AH$8),KOL_Source_Data!$AH$8,0),0)+IF(KOL_Source_Data!$AI$8=Brand_Profile!$H$15,IF(ISNUMBER(KOL_Source_Data!$AJ$8),KOL_Source_Data!$AJ$8,0),0)+IF(KOL_Source_Data!$AK$8=Brand_Profile!$H$15,IF(ISNUMBER(KOL_Source_Data!$AL$8),KOL_Source_Data!$AL$8,0),0))/Lookup_Lists!$D$317*100,0)))*Lookup_Lists!$D$120,0))/(IF(ISNUMBER(IF(NOT(ISNUMBER(KOL_Source_Data!$AE$8)),"N/A",IF(KOL_Source_Data!$AD$8&lt;&gt;Brand_Profile!$H$14,Lookup_Lists!$D$151,MIN(100,ROUND(KOL_Source_Data!$AE$8/Lookup_Lists!$D$316*100,0))))),Lookup_Lists!$D$118,0)+IF(ISNUMBER(IF(NOT(ISNUMBER(KOL_Source_Data!$AM$8)),"N/A",MIN(100,ROUND((IF(KOL_Source_Data!$AG$8=Brand_Profile!$H$15,IF(ISNUMBER(KOL_Source_Data!$AH$8),KOL_Source_Data!$AH$8,0),0)+IF(KOL_Source_Data!$AI$8=Brand_Profile!$H$15,IF(ISNUMBER(KOL_Source_Data!$AJ$8),KOL_Source_Data!$AJ$8,0),0)+IF(KOL_Source_Data!$AK$8=Brand_Profile!$H$15,IF(ISNUMBER(KOL_Source_Data!$AL$8),KOL_Source_Data!$AL$8,0),0))/Lookup_Lists!$D$317*100,0)))),Lookup_Lists!$D$120,0)),0))</f>
      </c>
      <c r="R80" s="18">
        <f>IF(NOT(ISNUMBER(KOL_Source_Data!$AN$8)),"N/A",MIN(100,ROUND((IF(ISNUMBER(KOL_Source_Data!$AO$8),KOL_Source_Data!$AO$8*Brand_Profile!$H$17,0)+IF(ISNUMBER(KOL_Source_Data!$AP$8),KOL_Source_Data!$AP$8*Brand_Profile!$H$18,0)+IF(ISNUMBER(KOL_Source_Data!$AQ$8),KOL_Source_Data!$AQ$8*Brand_Profile!$H$19,0)+IF(ISNUMBER(KOL_Source_Data!$AR$8),KOL_Source_Data!$AR$8*Brand_Profile!$H$20,0)+IF(ISNUMBER(KOL_Source_Data!$AS$8),KOL_Source_Data!$AS$8*Brand_Profile!$H$21,0)+IF(ISNUMBER(KOL_Source_Data!$AT$8),KOL_Source_Data!$AT$8*Brand_Profile!$H$22,0)+IF(ISNUMBER(KOL_Source_Data!$AU$8),KOL_Source_Data!$AU$8*Brand_Profile!$H$23,0)+IF(ISNUMBER(KOL_Source_Data!$AV$8),KOL_Source_Data!$AV$8*Brand_Profile!$H$24,0)+IF(ISNUMBER(KOL_Source_Data!$AW$8),KOL_Source_Data!$AW$8*Brand_Profile!$H$25,0)+IF(ISNUMBER(KOL_Source_Data!$AX$8),KOL_Source_Data!$AX$8*Brand_Profile!$H$26,0)+IF(ISNUMBER(KOL_Source_Data!$AY$8),KOL_Source_Data!$AY$8*Brand_Profile!$H$27,0)+IF(ISNUMBER(KOL_Source_Data!$AZ$8),KOL_Source_Data!$AZ$8*Brand_Profile!$H$28,0)+IF(ISNUMBER(KOL_Source_Data!$BA$8),KOL_Source_Data!$BA$8*Brand_Profile!$H$29,0)+IF(ISNUMBER(KOL_Source_Data!$BB$8),KOL_Source_Data!$BB$8*Brand_Profile!$H$30,0)+IF(ISNUMBER(KOL_Source_Data!$BC$8),KOL_Source_Data!$BC$8*Brand_Profile!$H$31,0)+IF(ISNUMBER(KOL_Source_Data!$BD$8),KOL_Source_Data!$BD$8*Brand_Profile!$H$32,0)+IF(ISNUMBER(KOL_Source_Data!$BE$8),KOL_Source_Data!$BE$8*Brand_Profile!$H$33,0)+IF(ISNUMBER(KOL_Source_Data!$BF$8),KOL_Source_Data!$BF$8*Brand_Profile!$H$34,0))/Lookup_Lists!$D$318*100,0)))</f>
      </c>
      <c r="S80" s="29">
        <f>IF((IF(ISNUMBER(Matching_Engine!$O$80),Lookup_Lists!$D$113,0)+IF(ISNUMBER(Matching_Engine!$P$80),Lookup_Lists!$D$114,0)+IF(ISNUMBER(Matching_Engine!$Q$80),Lookup_Lists!$D$115,0)+IF(ISNUMBER(Matching_Engine!$R$80),Lookup_Lists!$D$116,0))=0,"N/A",ROUND((IF(ISNUMBER(Matching_Engine!$O$80),Matching_Engine!$O$80*Lookup_Lists!$D$113,0)+IF(ISNUMBER(Matching_Engine!$P$80),Matching_Engine!$P$80*Lookup_Lists!$D$114,0)+IF(ISNUMBER(Matching_Engine!$Q$80),Matching_Engine!$Q$80*Lookup_Lists!$D$115,0)+IF(ISNUMBER(Matching_Engine!$R$80),Matching_Engine!$R$80*Lookup_Lists!$D$116,0))/(IF(ISNUMBER(Matching_Engine!$O$80),Lookup_Lists!$D$113,0)+IF(ISNUMBER(Matching_Engine!$P$80),Lookup_Lists!$D$114,0)+IF(ISNUMBER(Matching_Engine!$Q$80),Lookup_Lists!$D$115,0)+IF(ISNUMBER(Matching_Engine!$R$80),Lookup_Lists!$D$116,0)),0))</f>
      </c>
      <c r="T80" s="11">
        <f>IF(ISNUMBER(Matching_Engine!$S$80),1,0)</f>
      </c>
      <c r="U80" s="18">
        <f>IF(NOT(AND(ISTEXT(KOL_Source_Data!$M$8),KOL_Source_Data!$M$8&lt;&gt;"N/A")),Lookup_Lists!$D$150,IF(Brand_Profile!$H$7=KOL_Source_Data!$M$8,100,IFERROR(INDEX(Lookup_Lists!$B$349:$J$357,MATCH(Brand_Profile!$H$7,Lookup_Lists!$A$349:$A$357,0),MATCH(KOL_Source_Data!$M$8,Lookup_Lists!$B$348:$J$348,0)),Lookup_Lists!$D$151)))</f>
      </c>
      <c r="V80" s="18">
        <f>IF(NOT(AND(ISTEXT(KOL_Source_Data!$P$8),KOL_Source_Data!$P$8&lt;&gt;"N/A")),"N/A",IFERROR(INDEX(Lookup_Lists!$B$349:$J$357,MATCH(Brand_Profile!$H$7,Lookup_Lists!$A$349:$A$357,0),MATCH(KOL_Source_Data!$P$8,Lookup_Lists!$B$348:$J$348,0)),Lookup_Lists!$D$151))</f>
      </c>
      <c r="W80" s="18">
        <f>IF(LEN(TRIM(SUBSTITUTE(Matching_Engine!$BE$80,"|","")))=0,"N/A",IF(Brand_Profile!$H$60=0,Lookup_Lists!$D$150,ROUND((IF(Brand_Profile!$H$54="",0,IF(ISNUMBER(SEARCH(Brand_Profile!$H$54,Matching_Engine!$BE$80)),1,0))+IF(Brand_Profile!$H$55="",0,IF(ISNUMBER(SEARCH(Brand_Profile!$H$55,Matching_Engine!$BE$80)),1,0))+IF(Brand_Profile!$H$56="",0,IF(ISNUMBER(SEARCH(Brand_Profile!$H$56,Matching_Engine!$BE$80)),1,0))+IF(Brand_Profile!$H$57="",0,IF(ISNUMBER(SEARCH(Brand_Profile!$H$57,Matching_Engine!$BE$80)),1,0))+IF(Brand_Profile!$H$58="",0,IF(ISNUMBER(SEARCH(Brand_Profile!$H$58,Matching_Engine!$BE$80)),1,0))+IF(Brand_Profile!$H$59="",0,IF(ISNUMBER(SEARCH(Brand_Profile!$H$59,Matching_Engine!$BE$80)),1,0)))/Brand_Profile!$H$60*100,0)))</f>
      </c>
      <c r="X80" s="18">
        <f>IF(NOT(AND(ISTEXT(KOL_Source_Data!$Q$8),KOL_Source_Data!$Q$8&lt;&gt;"N/A")),"N/A",Lookup_Lists!$D$150)</f>
      </c>
      <c r="Y80" s="29">
        <f>IF((IF(ISNUMBER(Matching_Engine!$U$80),Lookup_Lists!$D$335,0)+IF(ISNUMBER(Matching_Engine!$V$80),Lookup_Lists!$D$122,0)+IF(ISNUMBER(Matching_Engine!$W$80),Lookup_Lists!$D$336,0)+IF(ISNUMBER(Matching_Engine!$X$80),Lookup_Lists!$D$124,0))=0,"N/A",ROUND((IF(ISNUMBER(Matching_Engine!$U$80),Matching_Engine!$U$80*Lookup_Lists!$D$335,0)+IF(ISNUMBER(Matching_Engine!$V$80),Matching_Engine!$V$80*Lookup_Lists!$D$122,0)+IF(ISNUMBER(Matching_Engine!$W$80),Matching_Engine!$W$80*Lookup_Lists!$D$336,0)+IF(ISNUMBER(Matching_Engine!$X$80),Matching_Engine!$X$80*Lookup_Lists!$D$124,0))/(IF(ISNUMBER(Matching_Engine!$U$80),Lookup_Lists!$D$335,0)+IF(ISNUMBER(Matching_Engine!$V$80),Lookup_Lists!$D$122,0)+IF(ISNUMBER(Matching_Engine!$W$80),Lookup_Lists!$D$336,0)+IF(ISNUMBER(Matching_Engine!$X$80),Lookup_Lists!$D$124,0)),0))</f>
      </c>
      <c r="Z80" s="11">
        <f>IF(ISNUMBER(Matching_Engine!$Y$80),1,0)</f>
      </c>
      <c r="AA80" s="18">
        <f>IF(NOT(AND(ISTEXT(KOL_Source_Data!$Q$8),KOL_Source_Data!$Q$8&lt;&gt;"N/A")),"N/A",Lookup_Lists!$D$150)</f>
      </c>
      <c r="AB80" s="18">
        <f>IF(NOT(AND(ISTEXT(KOL_Source_Data!$Q$8),KOL_Source_Data!$Q$8&lt;&gt;"N/A")),"N/A",Lookup_Lists!$D$150)</f>
      </c>
      <c r="AC80" s="18">
        <f>"N/A"</f>
      </c>
      <c r="AD80" s="18">
        <f>IF(NOT(AND(ISTEXT(KOL_Source_Data!$Q$8),KOL_Source_Data!$Q$8&lt;&gt;"N/A")),"N/A",Lookup_Lists!$D$150)</f>
      </c>
      <c r="AE80" s="29">
        <f>IF((IF(ISNUMBER(Matching_Engine!$AA$80),Lookup_Lists!$D$125,0)+IF(ISNUMBER(Matching_Engine!$AB$80),Lookup_Lists!$D$126,0)+IF(ISNUMBER(Matching_Engine!$AC$80),Lookup_Lists!$D$127,0)+IF(ISNUMBER(Matching_Engine!$AD$80),Lookup_Lists!$D$128,0))=0,"N/A",ROUND((IF(ISNUMBER(Matching_Engine!$AA$80),Matching_Engine!$AA$80*Lookup_Lists!$D$125,0)+IF(ISNUMBER(Matching_Engine!$AB$80),Matching_Engine!$AB$80*Lookup_Lists!$D$126,0)+IF(ISNUMBER(Matching_Engine!$AC$80),Matching_Engine!$AC$80*Lookup_Lists!$D$127,0)+IF(ISNUMBER(Matching_Engine!$AD$80),Matching_Engine!$AD$80*Lookup_Lists!$D$128,0))/(IF(ISNUMBER(Matching_Engine!$AA$80),Lookup_Lists!$D$125,0)+IF(ISNUMBER(Matching_Engine!$AB$80),Lookup_Lists!$D$126,0)+IF(ISNUMBER(Matching_Engine!$AC$80),Lookup_Lists!$D$127,0)+IF(ISNUMBER(Matching_Engine!$AD$80),Lookup_Lists!$D$128,0)),0))</f>
      </c>
      <c r="AF80" s="11">
        <f>IF(ISNUMBER(Matching_Engine!$AE$80),1,0)</f>
      </c>
      <c r="AG80" s="18">
        <f>IF(NOT(ISNUMBER(KOL_Source_Data!$BG$8)),"N/A",MIN(100,ROUND(KOL_Source_Data!$BG$8/IFERROR(INDEX(Lookup_Lists!$B$340:$B$344,MATCH(KOL_Source_Data!$H$8,Lookup_Lists!$A$340:$A$344,0)),Lookup_Lists!$D$141)*100,0)))</f>
      </c>
      <c r="AH80" s="18">
        <f>IF(NOT(ISNUMBER(KOL_Source_Data!$BS$8)),"N/A",MIN(100,MAX(0,KOL_Source_Data!$BS$8)))</f>
      </c>
      <c r="AI80" s="18">
        <f>IF(OR(NOT(ISNUMBER(KOL_Source_Data!$BM$8)),NOT(ISNUMBER(KOL_Source_Data!$BN$8)),KOL_Source_Data!$BN$8&lt;Lookup_Lists!$D$320),"N/A",MIN(100,ROUND(KOL_Source_Data!$BM$8/Lookup_Lists!$D$319*100,0)))</f>
      </c>
      <c r="AJ80" s="18">
        <f>IF(NOT(ISNUMBER(KOL_Source_Data!$BR$8)),"N/A",KOL_Source_Data!$BR$8)</f>
      </c>
      <c r="AK80" s="18">
        <f>IF(NOT(ISNUMBER(KOL_Source_Data!$BK$8)),"N/A",MIN(100,ROUND(KOL_Source_Data!$BK$8/Lookup_Lists!$D$321*100,0)))</f>
      </c>
      <c r="AL80" s="18">
        <f>IF(NOT(ISNUMBER(KOL_Source_Data!$BP$8)),"N/A",MIN(100,MAX(0,ROUND((KOL_Source_Data!$BP$8+2)/(Lookup_Lists!$D$145+2)*100,0))))</f>
      </c>
      <c r="AM80" s="29">
        <f>IF((IF(ISNUMBER(Matching_Engine!$AG$80),Lookup_Lists!$D$129,0)+IF(ISNUMBER(Matching_Engine!$AH$80),Lookup_Lists!$D$130,0)+IF(ISNUMBER(Matching_Engine!$AI$80),Lookup_Lists!$D$131,0)+IF(ISNUMBER(Matching_Engine!$AJ$80),Lookup_Lists!$D$132,0)+IF(ISNUMBER(Matching_Engine!$AK$80),Lookup_Lists!$D$133,0)+IF(ISNUMBER(Matching_Engine!$AL$80),Lookup_Lists!$D$134,0))=0,"N/A",ROUND((IF(ISNUMBER(Matching_Engine!$AG$80),Matching_Engine!$AG$80*Lookup_Lists!$D$129,0)+IF(ISNUMBER(Matching_Engine!$AH$80),Matching_Engine!$AH$80*Lookup_Lists!$D$130,0)+IF(ISNUMBER(Matching_Engine!$AI$80),Matching_Engine!$AI$80*Lookup_Lists!$D$131,0)+IF(ISNUMBER(Matching_Engine!$AJ$80),Matching_Engine!$AJ$80*Lookup_Lists!$D$132,0)+IF(ISNUMBER(Matching_Engine!$AK$80),Matching_Engine!$AK$80*Lookup_Lists!$D$133,0)+IF(ISNUMBER(Matching_Engine!$AL$80),Matching_Engine!$AL$80*Lookup_Lists!$D$134,0))/(IF(ISNUMBER(Matching_Engine!$AG$80),Lookup_Lists!$D$129,0)+IF(ISNUMBER(Matching_Engine!$AH$80),Lookup_Lists!$D$130,0)+IF(ISNUMBER(Matching_Engine!$AI$80),Lookup_Lists!$D$131,0)+IF(ISNUMBER(Matching_Engine!$AJ$80),Lookup_Lists!$D$132,0)+IF(ISNUMBER(Matching_Engine!$AK$80),Lookup_Lists!$D$133,0)+IF(ISNUMBER(Matching_Engine!$AL$80),Lookup_Lists!$D$134,0)),0))</f>
      </c>
      <c r="AN80" s="11">
        <f>IF(ISNUMBER(Matching_Engine!$AM$80),1,0)</f>
      </c>
      <c r="AO80" s="18">
        <f>IF(NOT(ISNUMBER(KOL_Source_Data!$BT$8)),"N/A",MIN(100,MAX(0,KOL_Source_Data!$BT$8)))</f>
      </c>
      <c r="AP80" s="18">
        <f>IF(NOT(ISNUMBER(KOL_Source_Data!$BU$8)),"N/A",MIN(100,MAX(0,KOL_Source_Data!$BU$8)))</f>
      </c>
      <c r="AQ80" s="18">
        <f>IF(KOL_Source_Data!$I$8="Yes",Lookup_Lists!$D$326,IF(KOL_Source_Data!$I$8="No",Lookup_Lists!$D$327,"N/A"))</f>
      </c>
      <c r="AR80" s="18">
        <f>IF(NOT(ISNUMBER(KOL_Source_Data!$BQ$8)),"N/A",MAX(0,ROUND(100-KOL_Source_Data!$BQ$8/Lookup_Lists!$D$328*100,0)))</f>
      </c>
      <c r="AS80" s="18">
        <f>IF(NOT(AND(ISTEXT(KOL_Source_Data!$BV$8),KOL_Source_Data!$BV$8&lt;&gt;"N/A")),"N/A",KOL_Source_Data!$BV$8)</f>
      </c>
      <c r="AT80" s="29">
        <f>IF((IF(ISNUMBER(Matching_Engine!$AO$80),Lookup_Lists!$D$322,0)+IF(ISNUMBER(Matching_Engine!$AP$80),Lookup_Lists!$D$323,0)+IF(ISNUMBER(Matching_Engine!$AQ$80),Lookup_Lists!$D$324,0)+IF(ISNUMBER(Matching_Engine!$AR$80),Lookup_Lists!$D$325,0))=0,"N/A",ROUND((IF(ISNUMBER(Matching_Engine!$AO$80),Matching_Engine!$AO$80*Lookup_Lists!$D$322,0)+IF(ISNUMBER(Matching_Engine!$AP$80),Matching_Engine!$AP$80*Lookup_Lists!$D$323,0)+IF(ISNUMBER(Matching_Engine!$AQ$80),Matching_Engine!$AQ$80*Lookup_Lists!$D$324,0)+IF(ISNUMBER(Matching_Engine!$AR$80),Matching_Engine!$AR$80*Lookup_Lists!$D$325,0))/(IF(ISNUMBER(Matching_Engine!$AO$80),Lookup_Lists!$D$322,0)+IF(ISNUMBER(Matching_Engine!$AP$80),Lookup_Lists!$D$323,0)+IF(ISNUMBER(Matching_Engine!$AQ$80),Lookup_Lists!$D$324,0)+IF(ISNUMBER(Matching_Engine!$AR$80),Lookup_Lists!$D$325,0)),0))</f>
      </c>
      <c r="AU80" s="11">
        <f>IF(ISNUMBER(Matching_Engine!$AT$80),1,0)</f>
      </c>
      <c r="AV80" s="11">
        <f>IF(NOT(ISNUMBER(Matching_Engine!$AT$80)),"Not Screened",IF(Matching_Engine!$AT$80&gt;=Lookup_Lists!$D$329,"Low Risk",IF(Matching_Engine!$AT$80&gt;=Lookup_Lists!$D$330,"Moderate Risk",IF(Matching_Engine!$AT$80&gt;=Lookup_Lists!$D$331,"Elevated Risk","High Risk"))))</f>
      </c>
      <c r="AW80" s="11">
        <f>IF(NOT(ISNUMBER(Matching_Engine!$AT$80)),"No integrity signal: no audience-analysis row for this account.","Integrity screen only — no content-risk reading exists (comments_analysis: 0 rows). "&amp;IF(ISNUMBER(Matching_Engine!$AO$80),"Authenticity "&amp;Matching_Engine!$AO$80&amp;". ","Authenticity N/A. ")&amp;IF(ISNUMBER(Matching_Engine!$AP$80),"Follower quality "&amp;Matching_Engine!$AP$80&amp;". ","Follower quality N/A. ")&amp;IF(KOL_Source_Data!$I$8="Yes","Platform-verified.","Not platform-verified."))</f>
      </c>
      <c r="AX80" s="18">
        <f>Matching_Engine!$N$80*Lookup_Lists!$D$104+Matching_Engine!$T$80*Lookup_Lists!$D$105+Matching_Engine!$Z$80*Lookup_Lists!$D$106+Matching_Engine!$AF$80*Lookup_Lists!$D$107+Matching_Engine!$AN$80*Lookup_Lists!$D$108+Matching_Engine!$AU$80*Lookup_Lists!$D$109</f>
      </c>
      <c r="AY80" s="30">
        <f>IF(Matching_Engine!$AX$80=0,"N/A",ROUND((IF(Matching_Engine!$N$80=1,Matching_Engine!$M$80*Lookup_Lists!$D$104,0)+IF(Matching_Engine!$T$80=1,Matching_Engine!$S$80*Lookup_Lists!$D$105,0)+IF(Matching_Engine!$Z$80=1,Matching_Engine!$Y$80*Lookup_Lists!$D$106,0)+IF(Matching_Engine!$AF$80=1,Matching_Engine!$AE$80*Lookup_Lists!$D$107,0)+IF(Matching_Engine!$AN$80=1,Matching_Engine!$AM$80*Lookup_Lists!$D$108,0)+IF(Matching_Engine!$AU$80=1,Matching_Engine!$AT$80*Lookup_Lists!$D$109,0))/Matching_Engine!$AX$80,0))</f>
      </c>
      <c r="AZ80" s="11">
        <f>IF(NOT(ISNUMBER(Matching_Engine!$AY$80)),"Not Scored",IF(Matching_Engine!$AY$80&gt;=Lookup_Lists!$D$152,"Excellent Match",IF(Matching_Engine!$AY$80&gt;=Lookup_Lists!$D$153,"Strong Match",IF(Matching_Engine!$AY$80&gt;=Lookup_Lists!$D$154,"Good Match",IF(Matching_Engine!$AY$80&gt;=Lookup_Lists!$D$155,"Moderate Match","Low Match")))))</f>
      </c>
      <c r="BA80" s="18">
        <f>KOL_Source_Data!$BW$8</f>
      </c>
      <c r="BB80" s="11">
        <f>KOL_Source_Data!$BX$8</f>
      </c>
      <c r="BC80" s="18">
        <f>IF(NOT(ISNUMBER(Matching_Engine!$AY$80)),-1,Matching_Engine!$AY$80*1000+22)</f>
      </c>
      <c r="BD80" s="11">
        <f>IF(AND(ISTEXT(KOL_Source_Data!$S$8),KOL_Source_Data!$S$8&lt;&gt;"N/A"),KOL_Source_Data!$S$8,"")&amp;" | "&amp;IF(AND(ISTEXT(KOL_Source_Data!$T$8),KOL_Source_Data!$T$8&lt;&gt;"N/A"),KOL_Source_Data!$T$8,"")&amp;" | "&amp;IF(AND(ISTEXT(KOL_Source_Data!$N$8),KOL_Source_Data!$N$8&lt;&gt;"N/A"),KOL_Source_Data!$N$8,"")&amp;" | "&amp;IF(AND(ISTEXT(KOL_Source_Data!$K$8),KOL_Source_Data!$K$8&lt;&gt;"N/A"),KOL_Source_Data!$K$8,"")&amp;" | "&amp;IF(AND(ISTEXT(KOL_Source_Data!$J$8),KOL_Source_Data!$J$8&lt;&gt;"N/A"),KOL_Source_Data!$J$8,"")</f>
      </c>
      <c r="BE80" s="11">
        <f>IF(AND(ISTEXT(KOL_Source_Data!$T$8),KOL_Source_Data!$T$8&lt;&gt;"N/A"),KOL_Source_Data!$T$8,"")&amp;" | "&amp;IF(AND(ISTEXT(KOL_Source_Data!$N$8),KOL_Source_Data!$N$8&lt;&gt;"N/A"),KOL_Source_Data!$N$8,"")&amp;" | "&amp;IF(AND(ISTEXT(KOL_Source_Data!$O$8),KOL_Source_Data!$O$8&lt;&gt;"N/A"),KOL_Source_Data!$O$8,"")&amp;" | "&amp;IF(AND(ISTEXT(KOL_Source_Data!$S$8),KOL_Source_Data!$S$8&lt;&gt;"N/A"),KOL_Source_Data!$S$8,"")</f>
      </c>
      <c r="BF80" s="11">
        <f>IF(AND(ISTEXT(KOL_Source_Data!$U$8),KOL_Source_Data!$U$8&lt;&gt;"N/A"),KOL_Source_Data!$U$8,"")</f>
      </c>
      <c r="BG80" s="11">
        <f>Matching_Engine!$A$80&amp;"|"&amp;Matching_Engine!$C$80</f>
      </c>
    </row>
    <row r="81" spans="1:59" x14ac:dyDescent="0.25">
      <c r="A81" s="10" t="s">
        <v>393</v>
      </c>
      <c r="B81" s="11">
        <f>Brand_Profile!$H$6</f>
      </c>
      <c r="C81" s="11">
        <f>KOL_Source_Data!$A$9</f>
      </c>
      <c r="D81" s="11">
        <f>KOL_Source_Data!$C$9</f>
      </c>
      <c r="E81" s="11">
        <f>KOL_Source_Data!$D$9</f>
      </c>
      <c r="F81" s="11">
        <f>KOL_Source_Data!$E$9</f>
      </c>
      <c r="G81" s="11">
        <f>KOL_Source_Data!$K$9</f>
      </c>
      <c r="H81" s="12">
        <f>KOL_Source_Data!$G$9</f>
      </c>
      <c r="I81" s="14">
        <f>KOL_Source_Data!$BG$9</f>
      </c>
      <c r="J81" s="18">
        <f>IF(NOT(AND(ISTEXT(KOL_Source_Data!$K$9),KOL_Source_Data!$K$9&lt;&gt;"N/A")),Lookup_Lists!$D$150,IF(Brand_Profile!$H$7=KOL_Source_Data!$K$9,100,IFERROR(INDEX(Lookup_Lists!$B$349:$J$357,MATCH(Brand_Profile!$H$7,Lookup_Lists!$A$349:$A$357,0),MATCH(KOL_Source_Data!$K$9,Lookup_Lists!$B$348:$J$348,0)),Lookup_Lists!$D$151)))</f>
      </c>
      <c r="K81" s="18">
        <f>IF(LEN(TRIM(SUBSTITUTE(Matching_Engine!$BD$81,"|","")))=0,"N/A",IF(Brand_Profile!$H$47=0,Lookup_Lists!$D$150,ROUND((IF(Brand_Profile!$H$41="",0,IF(ISNUMBER(SEARCH(Brand_Profile!$H$41,Matching_Engine!$BD$81)),1,0))+IF(Brand_Profile!$H$42="",0,IF(ISNUMBER(SEARCH(Brand_Profile!$H$42,Matching_Engine!$BD$81)),1,0))+IF(Brand_Profile!$H$43="",0,IF(ISNUMBER(SEARCH(Brand_Profile!$H$43,Matching_Engine!$BD$81)),1,0))+IF(Brand_Profile!$H$44="",0,IF(ISNUMBER(SEARCH(Brand_Profile!$H$44,Matching_Engine!$BD$81)),1,0))+IF(Brand_Profile!$H$45="",0,IF(ISNUMBER(SEARCH(Brand_Profile!$H$45,Matching_Engine!$BD$81)),1,0))+IF(Brand_Profile!$H$46="",0,IF(ISNUMBER(SEARCH(Brand_Profile!$H$46,Matching_Engine!$BD$81)),1,0)))/Brand_Profile!$H$47*100,0)))</f>
      </c>
      <c r="L81" s="18">
        <f>IF(NOT(AND(ISTEXT(KOL_Source_Data!$U$9),KOL_Source_Data!$U$9&lt;&gt;"N/A")),"N/A",IF(Brand_Profile!$H$53=0,Lookup_Lists!$D$150,ROUND((IF(Brand_Profile!$H$48="",0,IF(ISNUMBER(SEARCH(Brand_Profile!$H$48,Matching_Engine!$BF$81)),1,0))+IF(Brand_Profile!$H$49="",0,IF(ISNUMBER(SEARCH(Brand_Profile!$H$49,Matching_Engine!$BF$81)),1,0))+IF(Brand_Profile!$H$50="",0,IF(ISNUMBER(SEARCH(Brand_Profile!$H$50,Matching_Engine!$BF$81)),1,0))+IF(Brand_Profile!$H$51="",0,IF(ISNUMBER(SEARCH(Brand_Profile!$H$51,Matching_Engine!$BF$81)),1,0))+IF(Brand_Profile!$H$52="",0,IF(ISNUMBER(SEARCH(Brand_Profile!$H$52,Matching_Engine!$BF$81)),1,0)))/Brand_Profile!$H$53*100,0)))</f>
      </c>
      <c r="M81" s="29">
        <f>IF((IF(ISNUMBER(Matching_Engine!$J$81),Lookup_Lists!$D$332,0)+IF(ISNUMBER(Matching_Engine!$K$81),Lookup_Lists!$D$333,0)+IF(ISNUMBER(Matching_Engine!$L$81),Lookup_Lists!$D$334,0))=0,"N/A",ROUND((IF(ISNUMBER(Matching_Engine!$J$81),Matching_Engine!$J$81*Lookup_Lists!$D$332,0)+IF(ISNUMBER(Matching_Engine!$K$81),Matching_Engine!$K$81*Lookup_Lists!$D$333,0)+IF(ISNUMBER(Matching_Engine!$L$81),Matching_Engine!$L$81*Lookup_Lists!$D$334,0))/(IF(ISNUMBER(Matching_Engine!$J$81),Lookup_Lists!$D$332,0)+IF(ISNUMBER(Matching_Engine!$K$81),Lookup_Lists!$D$333,0)+IF(ISNUMBER(Matching_Engine!$L$81),Lookup_Lists!$D$334,0)),0))</f>
      </c>
      <c r="N81" s="11">
        <f>IF(ISNUMBER(Matching_Engine!$M$81),1,0)</f>
      </c>
      <c r="O81" s="18">
        <f>IF(NOT(ISNUMBER(IFERROR(INDEX(KOL_Source_Data!$V$9:KOL_Source_Data!$Z$9,1,MATCH(Brand_Profile!$H$11,Lookup_Lists!$F$6:$F$10,0)),""))),"N/A",MIN(100,ROUND((IFERROR(INDEX(KOL_Source_Data!$V$9:KOL_Source_Data!$Z$9,1,MATCH(Brand_Profile!$H$11,Lookup_Lists!$F$6:$F$10,0)),"")+0.5*IF(ISNUMBER(IFERROR(INDEX(KOL_Source_Data!$V$9:KOL_Source_Data!$Z$9,1,MATCH(Brand_Profile!$H$12,Lookup_Lists!$F$6:$F$10,0)),"")),IFERROR(INDEX(KOL_Source_Data!$V$9:KOL_Source_Data!$Z$9,1,MATCH(Brand_Profile!$H$12,Lookup_Lists!$F$6:$F$10,0)),""),0))/Lookup_Lists!$D$142*100,0)))</f>
      </c>
      <c r="P81" s="18">
        <f>IF(Brand_Profile!$H$13="Any",100,IF(NOT(ISNUMBER(KOL_Source_Data!$AA$9)),"N/A",IF(Brand_Profile!$H$13="Female",MIN(100,ROUND(KOL_Source_Data!$AA$9/Lookup_Lists!$D$143*100,0)),IF(Brand_Profile!$H$13="Male",MIN(100,ROUND(IF(ISNUMBER(KOL_Source_Data!$AB$9),KOL_Source_Data!$AB$9,100-KOL_Source_Data!$AA$9)/Lookup_Lists!$D$143*100,0)),MAX(0,ROUND(100-ABS(KOL_Source_Data!$AA$9-50)*2,0))))))</f>
      </c>
      <c r="Q81" s="18">
        <f>IF((IF(ISNUMBER(IF(NOT(ISNUMBER(KOL_Source_Data!$AE$9)),"N/A",IF(KOL_Source_Data!$AD$9&lt;&gt;Brand_Profile!$H$14,Lookup_Lists!$D$151,MIN(100,ROUND(KOL_Source_Data!$AE$9/Lookup_Lists!$D$316*100,0))))),Lookup_Lists!$D$118,0)+IF(ISNUMBER(IF(NOT(ISNUMBER(KOL_Source_Data!$AM$9)),"N/A",MIN(100,ROUND((IF(KOL_Source_Data!$AG$9=Brand_Profile!$H$15,IF(ISNUMBER(KOL_Source_Data!$AH$9),KOL_Source_Data!$AH$9,0),0)+IF(KOL_Source_Data!$AI$9=Brand_Profile!$H$15,IF(ISNUMBER(KOL_Source_Data!$AJ$9),KOL_Source_Data!$AJ$9,0),0)+IF(KOL_Source_Data!$AK$9=Brand_Profile!$H$15,IF(ISNUMBER(KOL_Source_Data!$AL$9),KOL_Source_Data!$AL$9,0),0))/Lookup_Lists!$D$317*100,0)))),Lookup_Lists!$D$120,0))=0,"N/A",ROUND((IF(ISNUMBER(IF(NOT(ISNUMBER(KOL_Source_Data!$AE$9)),"N/A",IF(KOL_Source_Data!$AD$9&lt;&gt;Brand_Profile!$H$14,Lookup_Lists!$D$151,MIN(100,ROUND(KOL_Source_Data!$AE$9/Lookup_Lists!$D$316*100,0))))),IF(NOT(ISNUMBER(KOL_Source_Data!$AE$9)),"N/A",IF(KOL_Source_Data!$AD$9&lt;&gt;Brand_Profile!$H$14,Lookup_Lists!$D$151,MIN(100,ROUND(KOL_Source_Data!$AE$9/Lookup_Lists!$D$316*100,0))))*Lookup_Lists!$D$118,0)+IF(ISNUMBER(IF(NOT(ISNUMBER(KOL_Source_Data!$AM$9)),"N/A",MIN(100,ROUND((IF(KOL_Source_Data!$AG$9=Brand_Profile!$H$15,IF(ISNUMBER(KOL_Source_Data!$AH$9),KOL_Source_Data!$AH$9,0),0)+IF(KOL_Source_Data!$AI$9=Brand_Profile!$H$15,IF(ISNUMBER(KOL_Source_Data!$AJ$9),KOL_Source_Data!$AJ$9,0),0)+IF(KOL_Source_Data!$AK$9=Brand_Profile!$H$15,IF(ISNUMBER(KOL_Source_Data!$AL$9),KOL_Source_Data!$AL$9,0),0))/Lookup_Lists!$D$317*100,0)))),IF(NOT(ISNUMBER(KOL_Source_Data!$AM$9)),"N/A",MIN(100,ROUND((IF(KOL_Source_Data!$AG$9=Brand_Profile!$H$15,IF(ISNUMBER(KOL_Source_Data!$AH$9),KOL_Source_Data!$AH$9,0),0)+IF(KOL_Source_Data!$AI$9=Brand_Profile!$H$15,IF(ISNUMBER(KOL_Source_Data!$AJ$9),KOL_Source_Data!$AJ$9,0),0)+IF(KOL_Source_Data!$AK$9=Brand_Profile!$H$15,IF(ISNUMBER(KOL_Source_Data!$AL$9),KOL_Source_Data!$AL$9,0),0))/Lookup_Lists!$D$317*100,0)))*Lookup_Lists!$D$120,0))/(IF(ISNUMBER(IF(NOT(ISNUMBER(KOL_Source_Data!$AE$9)),"N/A",IF(KOL_Source_Data!$AD$9&lt;&gt;Brand_Profile!$H$14,Lookup_Lists!$D$151,MIN(100,ROUND(KOL_Source_Data!$AE$9/Lookup_Lists!$D$316*100,0))))),Lookup_Lists!$D$118,0)+IF(ISNUMBER(IF(NOT(ISNUMBER(KOL_Source_Data!$AM$9)),"N/A",MIN(100,ROUND((IF(KOL_Source_Data!$AG$9=Brand_Profile!$H$15,IF(ISNUMBER(KOL_Source_Data!$AH$9),KOL_Source_Data!$AH$9,0),0)+IF(KOL_Source_Data!$AI$9=Brand_Profile!$H$15,IF(ISNUMBER(KOL_Source_Data!$AJ$9),KOL_Source_Data!$AJ$9,0),0)+IF(KOL_Source_Data!$AK$9=Brand_Profile!$H$15,IF(ISNUMBER(KOL_Source_Data!$AL$9),KOL_Source_Data!$AL$9,0),0))/Lookup_Lists!$D$317*100,0)))),Lookup_Lists!$D$120,0)),0))</f>
      </c>
      <c r="R81" s="18">
        <f>IF(NOT(ISNUMBER(KOL_Source_Data!$AN$9)),"N/A",MIN(100,ROUND((IF(ISNUMBER(KOL_Source_Data!$AO$9),KOL_Source_Data!$AO$9*Brand_Profile!$H$17,0)+IF(ISNUMBER(KOL_Source_Data!$AP$9),KOL_Source_Data!$AP$9*Brand_Profile!$H$18,0)+IF(ISNUMBER(KOL_Source_Data!$AQ$9),KOL_Source_Data!$AQ$9*Brand_Profile!$H$19,0)+IF(ISNUMBER(KOL_Source_Data!$AR$9),KOL_Source_Data!$AR$9*Brand_Profile!$H$20,0)+IF(ISNUMBER(KOL_Source_Data!$AS$9),KOL_Source_Data!$AS$9*Brand_Profile!$H$21,0)+IF(ISNUMBER(KOL_Source_Data!$AT$9),KOL_Source_Data!$AT$9*Brand_Profile!$H$22,0)+IF(ISNUMBER(KOL_Source_Data!$AU$9),KOL_Source_Data!$AU$9*Brand_Profile!$H$23,0)+IF(ISNUMBER(KOL_Source_Data!$AV$9),KOL_Source_Data!$AV$9*Brand_Profile!$H$24,0)+IF(ISNUMBER(KOL_Source_Data!$AW$9),KOL_Source_Data!$AW$9*Brand_Profile!$H$25,0)+IF(ISNUMBER(KOL_Source_Data!$AX$9),KOL_Source_Data!$AX$9*Brand_Profile!$H$26,0)+IF(ISNUMBER(KOL_Source_Data!$AY$9),KOL_Source_Data!$AY$9*Brand_Profile!$H$27,0)+IF(ISNUMBER(KOL_Source_Data!$AZ$9),KOL_Source_Data!$AZ$9*Brand_Profile!$H$28,0)+IF(ISNUMBER(KOL_Source_Data!$BA$9),KOL_Source_Data!$BA$9*Brand_Profile!$H$29,0)+IF(ISNUMBER(KOL_Source_Data!$BB$9),KOL_Source_Data!$BB$9*Brand_Profile!$H$30,0)+IF(ISNUMBER(KOL_Source_Data!$BC$9),KOL_Source_Data!$BC$9*Brand_Profile!$H$31,0)+IF(ISNUMBER(KOL_Source_Data!$BD$9),KOL_Source_Data!$BD$9*Brand_Profile!$H$32,0)+IF(ISNUMBER(KOL_Source_Data!$BE$9),KOL_Source_Data!$BE$9*Brand_Profile!$H$33,0)+IF(ISNUMBER(KOL_Source_Data!$BF$9),KOL_Source_Data!$BF$9*Brand_Profile!$H$34,0))/Lookup_Lists!$D$318*100,0)))</f>
      </c>
      <c r="S81" s="29">
        <f>IF((IF(ISNUMBER(Matching_Engine!$O$81),Lookup_Lists!$D$113,0)+IF(ISNUMBER(Matching_Engine!$P$81),Lookup_Lists!$D$114,0)+IF(ISNUMBER(Matching_Engine!$Q$81),Lookup_Lists!$D$115,0)+IF(ISNUMBER(Matching_Engine!$R$81),Lookup_Lists!$D$116,0))=0,"N/A",ROUND((IF(ISNUMBER(Matching_Engine!$O$81),Matching_Engine!$O$81*Lookup_Lists!$D$113,0)+IF(ISNUMBER(Matching_Engine!$P$81),Matching_Engine!$P$81*Lookup_Lists!$D$114,0)+IF(ISNUMBER(Matching_Engine!$Q$81),Matching_Engine!$Q$81*Lookup_Lists!$D$115,0)+IF(ISNUMBER(Matching_Engine!$R$81),Matching_Engine!$R$81*Lookup_Lists!$D$116,0))/(IF(ISNUMBER(Matching_Engine!$O$81),Lookup_Lists!$D$113,0)+IF(ISNUMBER(Matching_Engine!$P$81),Lookup_Lists!$D$114,0)+IF(ISNUMBER(Matching_Engine!$Q$81),Lookup_Lists!$D$115,0)+IF(ISNUMBER(Matching_Engine!$R$81),Lookup_Lists!$D$116,0)),0))</f>
      </c>
      <c r="T81" s="11">
        <f>IF(ISNUMBER(Matching_Engine!$S$81),1,0)</f>
      </c>
      <c r="U81" s="18">
        <f>IF(NOT(AND(ISTEXT(KOL_Source_Data!$M$9),KOL_Source_Data!$M$9&lt;&gt;"N/A")),Lookup_Lists!$D$150,IF(Brand_Profile!$H$7=KOL_Source_Data!$M$9,100,IFERROR(INDEX(Lookup_Lists!$B$349:$J$357,MATCH(Brand_Profile!$H$7,Lookup_Lists!$A$349:$A$357,0),MATCH(KOL_Source_Data!$M$9,Lookup_Lists!$B$348:$J$348,0)),Lookup_Lists!$D$151)))</f>
      </c>
      <c r="V81" s="18">
        <f>IF(NOT(AND(ISTEXT(KOL_Source_Data!$P$9),KOL_Source_Data!$P$9&lt;&gt;"N/A")),"N/A",IFERROR(INDEX(Lookup_Lists!$B$349:$J$357,MATCH(Brand_Profile!$H$7,Lookup_Lists!$A$349:$A$357,0),MATCH(KOL_Source_Data!$P$9,Lookup_Lists!$B$348:$J$348,0)),Lookup_Lists!$D$151))</f>
      </c>
      <c r="W81" s="18">
        <f>IF(LEN(TRIM(SUBSTITUTE(Matching_Engine!$BE$81,"|","")))=0,"N/A",IF(Brand_Profile!$H$60=0,Lookup_Lists!$D$150,ROUND((IF(Brand_Profile!$H$54="",0,IF(ISNUMBER(SEARCH(Brand_Profile!$H$54,Matching_Engine!$BE$81)),1,0))+IF(Brand_Profile!$H$55="",0,IF(ISNUMBER(SEARCH(Brand_Profile!$H$55,Matching_Engine!$BE$81)),1,0))+IF(Brand_Profile!$H$56="",0,IF(ISNUMBER(SEARCH(Brand_Profile!$H$56,Matching_Engine!$BE$81)),1,0))+IF(Brand_Profile!$H$57="",0,IF(ISNUMBER(SEARCH(Brand_Profile!$H$57,Matching_Engine!$BE$81)),1,0))+IF(Brand_Profile!$H$58="",0,IF(ISNUMBER(SEARCH(Brand_Profile!$H$58,Matching_Engine!$BE$81)),1,0))+IF(Brand_Profile!$H$59="",0,IF(ISNUMBER(SEARCH(Brand_Profile!$H$59,Matching_Engine!$BE$81)),1,0)))/Brand_Profile!$H$60*100,0)))</f>
      </c>
      <c r="X81" s="18">
        <f>IF(NOT(AND(ISTEXT(KOL_Source_Data!$Q$9),KOL_Source_Data!$Q$9&lt;&gt;"N/A")),"N/A",Lookup_Lists!$D$150)</f>
      </c>
      <c r="Y81" s="29">
        <f>IF((IF(ISNUMBER(Matching_Engine!$U$81),Lookup_Lists!$D$335,0)+IF(ISNUMBER(Matching_Engine!$V$81),Lookup_Lists!$D$122,0)+IF(ISNUMBER(Matching_Engine!$W$81),Lookup_Lists!$D$336,0)+IF(ISNUMBER(Matching_Engine!$X$81),Lookup_Lists!$D$124,0))=0,"N/A",ROUND((IF(ISNUMBER(Matching_Engine!$U$81),Matching_Engine!$U$81*Lookup_Lists!$D$335,0)+IF(ISNUMBER(Matching_Engine!$V$81),Matching_Engine!$V$81*Lookup_Lists!$D$122,0)+IF(ISNUMBER(Matching_Engine!$W$81),Matching_Engine!$W$81*Lookup_Lists!$D$336,0)+IF(ISNUMBER(Matching_Engine!$X$81),Matching_Engine!$X$81*Lookup_Lists!$D$124,0))/(IF(ISNUMBER(Matching_Engine!$U$81),Lookup_Lists!$D$335,0)+IF(ISNUMBER(Matching_Engine!$V$81),Lookup_Lists!$D$122,0)+IF(ISNUMBER(Matching_Engine!$W$81),Lookup_Lists!$D$336,0)+IF(ISNUMBER(Matching_Engine!$X$81),Lookup_Lists!$D$124,0)),0))</f>
      </c>
      <c r="Z81" s="11">
        <f>IF(ISNUMBER(Matching_Engine!$Y$81),1,0)</f>
      </c>
      <c r="AA81" s="18">
        <f>IF(NOT(AND(ISTEXT(KOL_Source_Data!$Q$9),KOL_Source_Data!$Q$9&lt;&gt;"N/A")),"N/A",Lookup_Lists!$D$150)</f>
      </c>
      <c r="AB81" s="18">
        <f>IF(NOT(AND(ISTEXT(KOL_Source_Data!$Q$9),KOL_Source_Data!$Q$9&lt;&gt;"N/A")),"N/A",Lookup_Lists!$D$150)</f>
      </c>
      <c r="AC81" s="18">
        <f>"N/A"</f>
      </c>
      <c r="AD81" s="18">
        <f>IF(NOT(AND(ISTEXT(KOL_Source_Data!$Q$9),KOL_Source_Data!$Q$9&lt;&gt;"N/A")),"N/A",Lookup_Lists!$D$150)</f>
      </c>
      <c r="AE81" s="29">
        <f>IF((IF(ISNUMBER(Matching_Engine!$AA$81),Lookup_Lists!$D$125,0)+IF(ISNUMBER(Matching_Engine!$AB$81),Lookup_Lists!$D$126,0)+IF(ISNUMBER(Matching_Engine!$AC$81),Lookup_Lists!$D$127,0)+IF(ISNUMBER(Matching_Engine!$AD$81),Lookup_Lists!$D$128,0))=0,"N/A",ROUND((IF(ISNUMBER(Matching_Engine!$AA$81),Matching_Engine!$AA$81*Lookup_Lists!$D$125,0)+IF(ISNUMBER(Matching_Engine!$AB$81),Matching_Engine!$AB$81*Lookup_Lists!$D$126,0)+IF(ISNUMBER(Matching_Engine!$AC$81),Matching_Engine!$AC$81*Lookup_Lists!$D$127,0)+IF(ISNUMBER(Matching_Engine!$AD$81),Matching_Engine!$AD$81*Lookup_Lists!$D$128,0))/(IF(ISNUMBER(Matching_Engine!$AA$81),Lookup_Lists!$D$125,0)+IF(ISNUMBER(Matching_Engine!$AB$81),Lookup_Lists!$D$126,0)+IF(ISNUMBER(Matching_Engine!$AC$81),Lookup_Lists!$D$127,0)+IF(ISNUMBER(Matching_Engine!$AD$81),Lookup_Lists!$D$128,0)),0))</f>
      </c>
      <c r="AF81" s="11">
        <f>IF(ISNUMBER(Matching_Engine!$AE$81),1,0)</f>
      </c>
      <c r="AG81" s="18">
        <f>IF(NOT(ISNUMBER(KOL_Source_Data!$BG$9)),"N/A",MIN(100,ROUND(KOL_Source_Data!$BG$9/IFERROR(INDEX(Lookup_Lists!$B$340:$B$344,MATCH(KOL_Source_Data!$H$9,Lookup_Lists!$A$340:$A$344,0)),Lookup_Lists!$D$141)*100,0)))</f>
      </c>
      <c r="AH81" s="18">
        <f>IF(NOT(ISNUMBER(KOL_Source_Data!$BS$9)),"N/A",MIN(100,MAX(0,KOL_Source_Data!$BS$9)))</f>
      </c>
      <c r="AI81" s="18">
        <f>IF(OR(NOT(ISNUMBER(KOL_Source_Data!$BM$9)),NOT(ISNUMBER(KOL_Source_Data!$BN$9)),KOL_Source_Data!$BN$9&lt;Lookup_Lists!$D$320),"N/A",MIN(100,ROUND(KOL_Source_Data!$BM$9/Lookup_Lists!$D$319*100,0)))</f>
      </c>
      <c r="AJ81" s="18">
        <f>IF(NOT(ISNUMBER(KOL_Source_Data!$BR$9)),"N/A",KOL_Source_Data!$BR$9)</f>
      </c>
      <c r="AK81" s="18">
        <f>IF(NOT(ISNUMBER(KOL_Source_Data!$BK$9)),"N/A",MIN(100,ROUND(KOL_Source_Data!$BK$9/Lookup_Lists!$D$321*100,0)))</f>
      </c>
      <c r="AL81" s="18">
        <f>IF(NOT(ISNUMBER(KOL_Source_Data!$BP$9)),"N/A",MIN(100,MAX(0,ROUND((KOL_Source_Data!$BP$9+2)/(Lookup_Lists!$D$145+2)*100,0))))</f>
      </c>
      <c r="AM81" s="29">
        <f>IF((IF(ISNUMBER(Matching_Engine!$AG$81),Lookup_Lists!$D$129,0)+IF(ISNUMBER(Matching_Engine!$AH$81),Lookup_Lists!$D$130,0)+IF(ISNUMBER(Matching_Engine!$AI$81),Lookup_Lists!$D$131,0)+IF(ISNUMBER(Matching_Engine!$AJ$81),Lookup_Lists!$D$132,0)+IF(ISNUMBER(Matching_Engine!$AK$81),Lookup_Lists!$D$133,0)+IF(ISNUMBER(Matching_Engine!$AL$81),Lookup_Lists!$D$134,0))=0,"N/A",ROUND((IF(ISNUMBER(Matching_Engine!$AG$81),Matching_Engine!$AG$81*Lookup_Lists!$D$129,0)+IF(ISNUMBER(Matching_Engine!$AH$81),Matching_Engine!$AH$81*Lookup_Lists!$D$130,0)+IF(ISNUMBER(Matching_Engine!$AI$81),Matching_Engine!$AI$81*Lookup_Lists!$D$131,0)+IF(ISNUMBER(Matching_Engine!$AJ$81),Matching_Engine!$AJ$81*Lookup_Lists!$D$132,0)+IF(ISNUMBER(Matching_Engine!$AK$81),Matching_Engine!$AK$81*Lookup_Lists!$D$133,0)+IF(ISNUMBER(Matching_Engine!$AL$81),Matching_Engine!$AL$81*Lookup_Lists!$D$134,0))/(IF(ISNUMBER(Matching_Engine!$AG$81),Lookup_Lists!$D$129,0)+IF(ISNUMBER(Matching_Engine!$AH$81),Lookup_Lists!$D$130,0)+IF(ISNUMBER(Matching_Engine!$AI$81),Lookup_Lists!$D$131,0)+IF(ISNUMBER(Matching_Engine!$AJ$81),Lookup_Lists!$D$132,0)+IF(ISNUMBER(Matching_Engine!$AK$81),Lookup_Lists!$D$133,0)+IF(ISNUMBER(Matching_Engine!$AL$81),Lookup_Lists!$D$134,0)),0))</f>
      </c>
      <c r="AN81" s="11">
        <f>IF(ISNUMBER(Matching_Engine!$AM$81),1,0)</f>
      </c>
      <c r="AO81" s="18">
        <f>IF(NOT(ISNUMBER(KOL_Source_Data!$BT$9)),"N/A",MIN(100,MAX(0,KOL_Source_Data!$BT$9)))</f>
      </c>
      <c r="AP81" s="18">
        <f>IF(NOT(ISNUMBER(KOL_Source_Data!$BU$9)),"N/A",MIN(100,MAX(0,KOL_Source_Data!$BU$9)))</f>
      </c>
      <c r="AQ81" s="18">
        <f>IF(KOL_Source_Data!$I$9="Yes",Lookup_Lists!$D$326,IF(KOL_Source_Data!$I$9="No",Lookup_Lists!$D$327,"N/A"))</f>
      </c>
      <c r="AR81" s="18">
        <f>IF(NOT(ISNUMBER(KOL_Source_Data!$BQ$9)),"N/A",MAX(0,ROUND(100-KOL_Source_Data!$BQ$9/Lookup_Lists!$D$328*100,0)))</f>
      </c>
      <c r="AS81" s="18">
        <f>IF(NOT(AND(ISTEXT(KOL_Source_Data!$BV$9),KOL_Source_Data!$BV$9&lt;&gt;"N/A")),"N/A",KOL_Source_Data!$BV$9)</f>
      </c>
      <c r="AT81" s="29">
        <f>IF((IF(ISNUMBER(Matching_Engine!$AO$81),Lookup_Lists!$D$322,0)+IF(ISNUMBER(Matching_Engine!$AP$81),Lookup_Lists!$D$323,0)+IF(ISNUMBER(Matching_Engine!$AQ$81),Lookup_Lists!$D$324,0)+IF(ISNUMBER(Matching_Engine!$AR$81),Lookup_Lists!$D$325,0))=0,"N/A",ROUND((IF(ISNUMBER(Matching_Engine!$AO$81),Matching_Engine!$AO$81*Lookup_Lists!$D$322,0)+IF(ISNUMBER(Matching_Engine!$AP$81),Matching_Engine!$AP$81*Lookup_Lists!$D$323,0)+IF(ISNUMBER(Matching_Engine!$AQ$81),Matching_Engine!$AQ$81*Lookup_Lists!$D$324,0)+IF(ISNUMBER(Matching_Engine!$AR$81),Matching_Engine!$AR$81*Lookup_Lists!$D$325,0))/(IF(ISNUMBER(Matching_Engine!$AO$81),Lookup_Lists!$D$322,0)+IF(ISNUMBER(Matching_Engine!$AP$81),Lookup_Lists!$D$323,0)+IF(ISNUMBER(Matching_Engine!$AQ$81),Lookup_Lists!$D$324,0)+IF(ISNUMBER(Matching_Engine!$AR$81),Lookup_Lists!$D$325,0)),0))</f>
      </c>
      <c r="AU81" s="11">
        <f>IF(ISNUMBER(Matching_Engine!$AT$81),1,0)</f>
      </c>
      <c r="AV81" s="11">
        <f>IF(NOT(ISNUMBER(Matching_Engine!$AT$81)),"Not Screened",IF(Matching_Engine!$AT$81&gt;=Lookup_Lists!$D$329,"Low Risk",IF(Matching_Engine!$AT$81&gt;=Lookup_Lists!$D$330,"Moderate Risk",IF(Matching_Engine!$AT$81&gt;=Lookup_Lists!$D$331,"Elevated Risk","High Risk"))))</f>
      </c>
      <c r="AW81" s="11">
        <f>IF(NOT(ISNUMBER(Matching_Engine!$AT$81)),"No integrity signal: no audience-analysis row for this account.","Integrity screen only — no content-risk reading exists (comments_analysis: 0 rows). "&amp;IF(ISNUMBER(Matching_Engine!$AO$81),"Authenticity "&amp;Matching_Engine!$AO$81&amp;". ","Authenticity N/A. ")&amp;IF(ISNUMBER(Matching_Engine!$AP$81),"Follower quality "&amp;Matching_Engine!$AP$81&amp;". ","Follower quality N/A. ")&amp;IF(KOL_Source_Data!$I$9="Yes","Platform-verified.","Not platform-verified."))</f>
      </c>
      <c r="AX81" s="18">
        <f>Matching_Engine!$N$81*Lookup_Lists!$D$104+Matching_Engine!$T$81*Lookup_Lists!$D$105+Matching_Engine!$Z$81*Lookup_Lists!$D$106+Matching_Engine!$AF$81*Lookup_Lists!$D$107+Matching_Engine!$AN$81*Lookup_Lists!$D$108+Matching_Engine!$AU$81*Lookup_Lists!$D$109</f>
      </c>
      <c r="AY81" s="30">
        <f>IF(Matching_Engine!$AX$81=0,"N/A",ROUND((IF(Matching_Engine!$N$81=1,Matching_Engine!$M$81*Lookup_Lists!$D$104,0)+IF(Matching_Engine!$T$81=1,Matching_Engine!$S$81*Lookup_Lists!$D$105,0)+IF(Matching_Engine!$Z$81=1,Matching_Engine!$Y$81*Lookup_Lists!$D$106,0)+IF(Matching_Engine!$AF$81=1,Matching_Engine!$AE$81*Lookup_Lists!$D$107,0)+IF(Matching_Engine!$AN$81=1,Matching_Engine!$AM$81*Lookup_Lists!$D$108,0)+IF(Matching_Engine!$AU$81=1,Matching_Engine!$AT$81*Lookup_Lists!$D$109,0))/Matching_Engine!$AX$81,0))</f>
      </c>
      <c r="AZ81" s="11">
        <f>IF(NOT(ISNUMBER(Matching_Engine!$AY$81)),"Not Scored",IF(Matching_Engine!$AY$81&gt;=Lookup_Lists!$D$152,"Excellent Match",IF(Matching_Engine!$AY$81&gt;=Lookup_Lists!$D$153,"Strong Match",IF(Matching_Engine!$AY$81&gt;=Lookup_Lists!$D$154,"Good Match",IF(Matching_Engine!$AY$81&gt;=Lookup_Lists!$D$155,"Moderate Match","Low Match")))))</f>
      </c>
      <c r="BA81" s="18">
        <f>KOL_Source_Data!$BW$9</f>
      </c>
      <c r="BB81" s="11">
        <f>KOL_Source_Data!$BX$9</f>
      </c>
      <c r="BC81" s="18">
        <f>IF(NOT(ISNUMBER(Matching_Engine!$AY$81)),-1,Matching_Engine!$AY$81*1000+21)</f>
      </c>
      <c r="BD81" s="11">
        <f>IF(AND(ISTEXT(KOL_Source_Data!$S$9),KOL_Source_Data!$S$9&lt;&gt;"N/A"),KOL_Source_Data!$S$9,"")&amp;" | "&amp;IF(AND(ISTEXT(KOL_Source_Data!$T$9),KOL_Source_Data!$T$9&lt;&gt;"N/A"),KOL_Source_Data!$T$9,"")&amp;" | "&amp;IF(AND(ISTEXT(KOL_Source_Data!$N$9),KOL_Source_Data!$N$9&lt;&gt;"N/A"),KOL_Source_Data!$N$9,"")&amp;" | "&amp;IF(AND(ISTEXT(KOL_Source_Data!$K$9),KOL_Source_Data!$K$9&lt;&gt;"N/A"),KOL_Source_Data!$K$9,"")&amp;" | "&amp;IF(AND(ISTEXT(KOL_Source_Data!$J$9),KOL_Source_Data!$J$9&lt;&gt;"N/A"),KOL_Source_Data!$J$9,"")</f>
      </c>
      <c r="BE81" s="11">
        <f>IF(AND(ISTEXT(KOL_Source_Data!$T$9),KOL_Source_Data!$T$9&lt;&gt;"N/A"),KOL_Source_Data!$T$9,"")&amp;" | "&amp;IF(AND(ISTEXT(KOL_Source_Data!$N$9),KOL_Source_Data!$N$9&lt;&gt;"N/A"),KOL_Source_Data!$N$9,"")&amp;" | "&amp;IF(AND(ISTEXT(KOL_Source_Data!$O$9),KOL_Source_Data!$O$9&lt;&gt;"N/A"),KOL_Source_Data!$O$9,"")&amp;" | "&amp;IF(AND(ISTEXT(KOL_Source_Data!$S$9),KOL_Source_Data!$S$9&lt;&gt;"N/A"),KOL_Source_Data!$S$9,"")</f>
      </c>
      <c r="BF81" s="11">
        <f>IF(AND(ISTEXT(KOL_Source_Data!$U$9),KOL_Source_Data!$U$9&lt;&gt;"N/A"),KOL_Source_Data!$U$9,"")</f>
      </c>
      <c r="BG81" s="11">
        <f>Matching_Engine!$A$81&amp;"|"&amp;Matching_Engine!$C$81</f>
      </c>
    </row>
    <row r="82" spans="1:59" x14ac:dyDescent="0.25">
      <c r="A82" s="10" t="s">
        <v>393</v>
      </c>
      <c r="B82" s="11">
        <f>Brand_Profile!$H$6</f>
      </c>
      <c r="C82" s="11">
        <f>KOL_Source_Data!$A$10</f>
      </c>
      <c r="D82" s="11">
        <f>KOL_Source_Data!$C$10</f>
      </c>
      <c r="E82" s="11">
        <f>KOL_Source_Data!$D$10</f>
      </c>
      <c r="F82" s="11">
        <f>KOL_Source_Data!$E$10</f>
      </c>
      <c r="G82" s="11">
        <f>KOL_Source_Data!$K$10</f>
      </c>
      <c r="H82" s="12">
        <f>KOL_Source_Data!$G$10</f>
      </c>
      <c r="I82" s="14">
        <f>KOL_Source_Data!$BG$10</f>
      </c>
      <c r="J82" s="18">
        <f>IF(NOT(AND(ISTEXT(KOL_Source_Data!$K$10),KOL_Source_Data!$K$10&lt;&gt;"N/A")),Lookup_Lists!$D$150,IF(Brand_Profile!$H$7=KOL_Source_Data!$K$10,100,IFERROR(INDEX(Lookup_Lists!$B$349:$J$357,MATCH(Brand_Profile!$H$7,Lookup_Lists!$A$349:$A$357,0),MATCH(KOL_Source_Data!$K$10,Lookup_Lists!$B$348:$J$348,0)),Lookup_Lists!$D$151)))</f>
      </c>
      <c r="K82" s="18">
        <f>IF(LEN(TRIM(SUBSTITUTE(Matching_Engine!$BD$82,"|","")))=0,"N/A",IF(Brand_Profile!$H$47=0,Lookup_Lists!$D$150,ROUND((IF(Brand_Profile!$H$41="",0,IF(ISNUMBER(SEARCH(Brand_Profile!$H$41,Matching_Engine!$BD$82)),1,0))+IF(Brand_Profile!$H$42="",0,IF(ISNUMBER(SEARCH(Brand_Profile!$H$42,Matching_Engine!$BD$82)),1,0))+IF(Brand_Profile!$H$43="",0,IF(ISNUMBER(SEARCH(Brand_Profile!$H$43,Matching_Engine!$BD$82)),1,0))+IF(Brand_Profile!$H$44="",0,IF(ISNUMBER(SEARCH(Brand_Profile!$H$44,Matching_Engine!$BD$82)),1,0))+IF(Brand_Profile!$H$45="",0,IF(ISNUMBER(SEARCH(Brand_Profile!$H$45,Matching_Engine!$BD$82)),1,0))+IF(Brand_Profile!$H$46="",0,IF(ISNUMBER(SEARCH(Brand_Profile!$H$46,Matching_Engine!$BD$82)),1,0)))/Brand_Profile!$H$47*100,0)))</f>
      </c>
      <c r="L82" s="18">
        <f>IF(NOT(AND(ISTEXT(KOL_Source_Data!$U$10),KOL_Source_Data!$U$10&lt;&gt;"N/A")),"N/A",IF(Brand_Profile!$H$53=0,Lookup_Lists!$D$150,ROUND((IF(Brand_Profile!$H$48="",0,IF(ISNUMBER(SEARCH(Brand_Profile!$H$48,Matching_Engine!$BF$82)),1,0))+IF(Brand_Profile!$H$49="",0,IF(ISNUMBER(SEARCH(Brand_Profile!$H$49,Matching_Engine!$BF$82)),1,0))+IF(Brand_Profile!$H$50="",0,IF(ISNUMBER(SEARCH(Brand_Profile!$H$50,Matching_Engine!$BF$82)),1,0))+IF(Brand_Profile!$H$51="",0,IF(ISNUMBER(SEARCH(Brand_Profile!$H$51,Matching_Engine!$BF$82)),1,0))+IF(Brand_Profile!$H$52="",0,IF(ISNUMBER(SEARCH(Brand_Profile!$H$52,Matching_Engine!$BF$82)),1,0)))/Brand_Profile!$H$53*100,0)))</f>
      </c>
      <c r="M82" s="29">
        <f>IF((IF(ISNUMBER(Matching_Engine!$J$82),Lookup_Lists!$D$332,0)+IF(ISNUMBER(Matching_Engine!$K$82),Lookup_Lists!$D$333,0)+IF(ISNUMBER(Matching_Engine!$L$82),Lookup_Lists!$D$334,0))=0,"N/A",ROUND((IF(ISNUMBER(Matching_Engine!$J$82),Matching_Engine!$J$82*Lookup_Lists!$D$332,0)+IF(ISNUMBER(Matching_Engine!$K$82),Matching_Engine!$K$82*Lookup_Lists!$D$333,0)+IF(ISNUMBER(Matching_Engine!$L$82),Matching_Engine!$L$82*Lookup_Lists!$D$334,0))/(IF(ISNUMBER(Matching_Engine!$J$82),Lookup_Lists!$D$332,0)+IF(ISNUMBER(Matching_Engine!$K$82),Lookup_Lists!$D$333,0)+IF(ISNUMBER(Matching_Engine!$L$82),Lookup_Lists!$D$334,0)),0))</f>
      </c>
      <c r="N82" s="11">
        <f>IF(ISNUMBER(Matching_Engine!$M$82),1,0)</f>
      </c>
      <c r="O82" s="18">
        <f>IF(NOT(ISNUMBER(IFERROR(INDEX(KOL_Source_Data!$V$10:KOL_Source_Data!$Z$10,1,MATCH(Brand_Profile!$H$11,Lookup_Lists!$F$6:$F$10,0)),""))),"N/A",MIN(100,ROUND((IFERROR(INDEX(KOL_Source_Data!$V$10:KOL_Source_Data!$Z$10,1,MATCH(Brand_Profile!$H$11,Lookup_Lists!$F$6:$F$10,0)),"")+0.5*IF(ISNUMBER(IFERROR(INDEX(KOL_Source_Data!$V$10:KOL_Source_Data!$Z$10,1,MATCH(Brand_Profile!$H$12,Lookup_Lists!$F$6:$F$10,0)),"")),IFERROR(INDEX(KOL_Source_Data!$V$10:KOL_Source_Data!$Z$10,1,MATCH(Brand_Profile!$H$12,Lookup_Lists!$F$6:$F$10,0)),""),0))/Lookup_Lists!$D$142*100,0)))</f>
      </c>
      <c r="P82" s="18">
        <f>IF(Brand_Profile!$H$13="Any",100,IF(NOT(ISNUMBER(KOL_Source_Data!$AA$10)),"N/A",IF(Brand_Profile!$H$13="Female",MIN(100,ROUND(KOL_Source_Data!$AA$10/Lookup_Lists!$D$143*100,0)),IF(Brand_Profile!$H$13="Male",MIN(100,ROUND(IF(ISNUMBER(KOL_Source_Data!$AB$10),KOL_Source_Data!$AB$10,100-KOL_Source_Data!$AA$10)/Lookup_Lists!$D$143*100,0)),MAX(0,ROUND(100-ABS(KOL_Source_Data!$AA$10-50)*2,0))))))</f>
      </c>
      <c r="Q82" s="18">
        <f>IF((IF(ISNUMBER(IF(NOT(ISNUMBER(KOL_Source_Data!$AE$10)),"N/A",IF(KOL_Source_Data!$AD$10&lt;&gt;Brand_Profile!$H$14,Lookup_Lists!$D$151,MIN(100,ROUND(KOL_Source_Data!$AE$10/Lookup_Lists!$D$316*100,0))))),Lookup_Lists!$D$118,0)+IF(ISNUMBER(IF(NOT(ISNUMBER(KOL_Source_Data!$AM$10)),"N/A",MIN(100,ROUND((IF(KOL_Source_Data!$AG$10=Brand_Profile!$H$15,IF(ISNUMBER(KOL_Source_Data!$AH$10),KOL_Source_Data!$AH$10,0),0)+IF(KOL_Source_Data!$AI$10=Brand_Profile!$H$15,IF(ISNUMBER(KOL_Source_Data!$AJ$10),KOL_Source_Data!$AJ$10,0),0)+IF(KOL_Source_Data!$AK$10=Brand_Profile!$H$15,IF(ISNUMBER(KOL_Source_Data!$AL$10),KOL_Source_Data!$AL$10,0),0))/Lookup_Lists!$D$317*100,0)))),Lookup_Lists!$D$120,0))=0,"N/A",ROUND((IF(ISNUMBER(IF(NOT(ISNUMBER(KOL_Source_Data!$AE$10)),"N/A",IF(KOL_Source_Data!$AD$10&lt;&gt;Brand_Profile!$H$14,Lookup_Lists!$D$151,MIN(100,ROUND(KOL_Source_Data!$AE$10/Lookup_Lists!$D$316*100,0))))),IF(NOT(ISNUMBER(KOL_Source_Data!$AE$10)),"N/A",IF(KOL_Source_Data!$AD$10&lt;&gt;Brand_Profile!$H$14,Lookup_Lists!$D$151,MIN(100,ROUND(KOL_Source_Data!$AE$10/Lookup_Lists!$D$316*100,0))))*Lookup_Lists!$D$118,0)+IF(ISNUMBER(IF(NOT(ISNUMBER(KOL_Source_Data!$AM$10)),"N/A",MIN(100,ROUND((IF(KOL_Source_Data!$AG$10=Brand_Profile!$H$15,IF(ISNUMBER(KOL_Source_Data!$AH$10),KOL_Source_Data!$AH$10,0),0)+IF(KOL_Source_Data!$AI$10=Brand_Profile!$H$15,IF(ISNUMBER(KOL_Source_Data!$AJ$10),KOL_Source_Data!$AJ$10,0),0)+IF(KOL_Source_Data!$AK$10=Brand_Profile!$H$15,IF(ISNUMBER(KOL_Source_Data!$AL$10),KOL_Source_Data!$AL$10,0),0))/Lookup_Lists!$D$317*100,0)))),IF(NOT(ISNUMBER(KOL_Source_Data!$AM$10)),"N/A",MIN(100,ROUND((IF(KOL_Source_Data!$AG$10=Brand_Profile!$H$15,IF(ISNUMBER(KOL_Source_Data!$AH$10),KOL_Source_Data!$AH$10,0),0)+IF(KOL_Source_Data!$AI$10=Brand_Profile!$H$15,IF(ISNUMBER(KOL_Source_Data!$AJ$10),KOL_Source_Data!$AJ$10,0),0)+IF(KOL_Source_Data!$AK$10=Brand_Profile!$H$15,IF(ISNUMBER(KOL_Source_Data!$AL$10),KOL_Source_Data!$AL$10,0),0))/Lookup_Lists!$D$317*100,0)))*Lookup_Lists!$D$120,0))/(IF(ISNUMBER(IF(NOT(ISNUMBER(KOL_Source_Data!$AE$10)),"N/A",IF(KOL_Source_Data!$AD$10&lt;&gt;Brand_Profile!$H$14,Lookup_Lists!$D$151,MIN(100,ROUND(KOL_Source_Data!$AE$10/Lookup_Lists!$D$316*100,0))))),Lookup_Lists!$D$118,0)+IF(ISNUMBER(IF(NOT(ISNUMBER(KOL_Source_Data!$AM$10)),"N/A",MIN(100,ROUND((IF(KOL_Source_Data!$AG$10=Brand_Profile!$H$15,IF(ISNUMBER(KOL_Source_Data!$AH$10),KOL_Source_Data!$AH$10,0),0)+IF(KOL_Source_Data!$AI$10=Brand_Profile!$H$15,IF(ISNUMBER(KOL_Source_Data!$AJ$10),KOL_Source_Data!$AJ$10,0),0)+IF(KOL_Source_Data!$AK$10=Brand_Profile!$H$15,IF(ISNUMBER(KOL_Source_Data!$AL$10),KOL_Source_Data!$AL$10,0),0))/Lookup_Lists!$D$317*100,0)))),Lookup_Lists!$D$120,0)),0))</f>
      </c>
      <c r="R82" s="18">
        <f>IF(NOT(ISNUMBER(KOL_Source_Data!$AN$10)),"N/A",MIN(100,ROUND((IF(ISNUMBER(KOL_Source_Data!$AO$10),KOL_Source_Data!$AO$10*Brand_Profile!$H$17,0)+IF(ISNUMBER(KOL_Source_Data!$AP$10),KOL_Source_Data!$AP$10*Brand_Profile!$H$18,0)+IF(ISNUMBER(KOL_Source_Data!$AQ$10),KOL_Source_Data!$AQ$10*Brand_Profile!$H$19,0)+IF(ISNUMBER(KOL_Source_Data!$AR$10),KOL_Source_Data!$AR$10*Brand_Profile!$H$20,0)+IF(ISNUMBER(KOL_Source_Data!$AS$10),KOL_Source_Data!$AS$10*Brand_Profile!$H$21,0)+IF(ISNUMBER(KOL_Source_Data!$AT$10),KOL_Source_Data!$AT$10*Brand_Profile!$H$22,0)+IF(ISNUMBER(KOL_Source_Data!$AU$10),KOL_Source_Data!$AU$10*Brand_Profile!$H$23,0)+IF(ISNUMBER(KOL_Source_Data!$AV$10),KOL_Source_Data!$AV$10*Brand_Profile!$H$24,0)+IF(ISNUMBER(KOL_Source_Data!$AW$10),KOL_Source_Data!$AW$10*Brand_Profile!$H$25,0)+IF(ISNUMBER(KOL_Source_Data!$AX$10),KOL_Source_Data!$AX$10*Brand_Profile!$H$26,0)+IF(ISNUMBER(KOL_Source_Data!$AY$10),KOL_Source_Data!$AY$10*Brand_Profile!$H$27,0)+IF(ISNUMBER(KOL_Source_Data!$AZ$10),KOL_Source_Data!$AZ$10*Brand_Profile!$H$28,0)+IF(ISNUMBER(KOL_Source_Data!$BA$10),KOL_Source_Data!$BA$10*Brand_Profile!$H$29,0)+IF(ISNUMBER(KOL_Source_Data!$BB$10),KOL_Source_Data!$BB$10*Brand_Profile!$H$30,0)+IF(ISNUMBER(KOL_Source_Data!$BC$10),KOL_Source_Data!$BC$10*Brand_Profile!$H$31,0)+IF(ISNUMBER(KOL_Source_Data!$BD$10),KOL_Source_Data!$BD$10*Brand_Profile!$H$32,0)+IF(ISNUMBER(KOL_Source_Data!$BE$10),KOL_Source_Data!$BE$10*Brand_Profile!$H$33,0)+IF(ISNUMBER(KOL_Source_Data!$BF$10),KOL_Source_Data!$BF$10*Brand_Profile!$H$34,0))/Lookup_Lists!$D$318*100,0)))</f>
      </c>
      <c r="S82" s="29">
        <f>IF((IF(ISNUMBER(Matching_Engine!$O$82),Lookup_Lists!$D$113,0)+IF(ISNUMBER(Matching_Engine!$P$82),Lookup_Lists!$D$114,0)+IF(ISNUMBER(Matching_Engine!$Q$82),Lookup_Lists!$D$115,0)+IF(ISNUMBER(Matching_Engine!$R$82),Lookup_Lists!$D$116,0))=0,"N/A",ROUND((IF(ISNUMBER(Matching_Engine!$O$82),Matching_Engine!$O$82*Lookup_Lists!$D$113,0)+IF(ISNUMBER(Matching_Engine!$P$82),Matching_Engine!$P$82*Lookup_Lists!$D$114,0)+IF(ISNUMBER(Matching_Engine!$Q$82),Matching_Engine!$Q$82*Lookup_Lists!$D$115,0)+IF(ISNUMBER(Matching_Engine!$R$82),Matching_Engine!$R$82*Lookup_Lists!$D$116,0))/(IF(ISNUMBER(Matching_Engine!$O$82),Lookup_Lists!$D$113,0)+IF(ISNUMBER(Matching_Engine!$P$82),Lookup_Lists!$D$114,0)+IF(ISNUMBER(Matching_Engine!$Q$82),Lookup_Lists!$D$115,0)+IF(ISNUMBER(Matching_Engine!$R$82),Lookup_Lists!$D$116,0)),0))</f>
      </c>
      <c r="T82" s="11">
        <f>IF(ISNUMBER(Matching_Engine!$S$82),1,0)</f>
      </c>
      <c r="U82" s="18">
        <f>IF(NOT(AND(ISTEXT(KOL_Source_Data!$M$10),KOL_Source_Data!$M$10&lt;&gt;"N/A")),Lookup_Lists!$D$150,IF(Brand_Profile!$H$7=KOL_Source_Data!$M$10,100,IFERROR(INDEX(Lookup_Lists!$B$349:$J$357,MATCH(Brand_Profile!$H$7,Lookup_Lists!$A$349:$A$357,0),MATCH(KOL_Source_Data!$M$10,Lookup_Lists!$B$348:$J$348,0)),Lookup_Lists!$D$151)))</f>
      </c>
      <c r="V82" s="18">
        <f>IF(NOT(AND(ISTEXT(KOL_Source_Data!$P$10),KOL_Source_Data!$P$10&lt;&gt;"N/A")),"N/A",IFERROR(INDEX(Lookup_Lists!$B$349:$J$357,MATCH(Brand_Profile!$H$7,Lookup_Lists!$A$349:$A$357,0),MATCH(KOL_Source_Data!$P$10,Lookup_Lists!$B$348:$J$348,0)),Lookup_Lists!$D$151))</f>
      </c>
      <c r="W82" s="18">
        <f>IF(LEN(TRIM(SUBSTITUTE(Matching_Engine!$BE$82,"|","")))=0,"N/A",IF(Brand_Profile!$H$60=0,Lookup_Lists!$D$150,ROUND((IF(Brand_Profile!$H$54="",0,IF(ISNUMBER(SEARCH(Brand_Profile!$H$54,Matching_Engine!$BE$82)),1,0))+IF(Brand_Profile!$H$55="",0,IF(ISNUMBER(SEARCH(Brand_Profile!$H$55,Matching_Engine!$BE$82)),1,0))+IF(Brand_Profile!$H$56="",0,IF(ISNUMBER(SEARCH(Brand_Profile!$H$56,Matching_Engine!$BE$82)),1,0))+IF(Brand_Profile!$H$57="",0,IF(ISNUMBER(SEARCH(Brand_Profile!$H$57,Matching_Engine!$BE$82)),1,0))+IF(Brand_Profile!$H$58="",0,IF(ISNUMBER(SEARCH(Brand_Profile!$H$58,Matching_Engine!$BE$82)),1,0))+IF(Brand_Profile!$H$59="",0,IF(ISNUMBER(SEARCH(Brand_Profile!$H$59,Matching_Engine!$BE$82)),1,0)))/Brand_Profile!$H$60*100,0)))</f>
      </c>
      <c r="X82" s="18">
        <f>IF(NOT(AND(ISTEXT(KOL_Source_Data!$Q$10),KOL_Source_Data!$Q$10&lt;&gt;"N/A")),"N/A",Lookup_Lists!$D$150)</f>
      </c>
      <c r="Y82" s="29">
        <f>IF((IF(ISNUMBER(Matching_Engine!$U$82),Lookup_Lists!$D$335,0)+IF(ISNUMBER(Matching_Engine!$V$82),Lookup_Lists!$D$122,0)+IF(ISNUMBER(Matching_Engine!$W$82),Lookup_Lists!$D$336,0)+IF(ISNUMBER(Matching_Engine!$X$82),Lookup_Lists!$D$124,0))=0,"N/A",ROUND((IF(ISNUMBER(Matching_Engine!$U$82),Matching_Engine!$U$82*Lookup_Lists!$D$335,0)+IF(ISNUMBER(Matching_Engine!$V$82),Matching_Engine!$V$82*Lookup_Lists!$D$122,0)+IF(ISNUMBER(Matching_Engine!$W$82),Matching_Engine!$W$82*Lookup_Lists!$D$336,0)+IF(ISNUMBER(Matching_Engine!$X$82),Matching_Engine!$X$82*Lookup_Lists!$D$124,0))/(IF(ISNUMBER(Matching_Engine!$U$82),Lookup_Lists!$D$335,0)+IF(ISNUMBER(Matching_Engine!$V$82),Lookup_Lists!$D$122,0)+IF(ISNUMBER(Matching_Engine!$W$82),Lookup_Lists!$D$336,0)+IF(ISNUMBER(Matching_Engine!$X$82),Lookup_Lists!$D$124,0)),0))</f>
      </c>
      <c r="Z82" s="11">
        <f>IF(ISNUMBER(Matching_Engine!$Y$82),1,0)</f>
      </c>
      <c r="AA82" s="18">
        <f>IF(NOT(AND(ISTEXT(KOL_Source_Data!$Q$10),KOL_Source_Data!$Q$10&lt;&gt;"N/A")),"N/A",Lookup_Lists!$D$150)</f>
      </c>
      <c r="AB82" s="18">
        <f>IF(NOT(AND(ISTEXT(KOL_Source_Data!$Q$10),KOL_Source_Data!$Q$10&lt;&gt;"N/A")),"N/A",Lookup_Lists!$D$150)</f>
      </c>
      <c r="AC82" s="18">
        <f>"N/A"</f>
      </c>
      <c r="AD82" s="18">
        <f>IF(NOT(AND(ISTEXT(KOL_Source_Data!$Q$10),KOL_Source_Data!$Q$10&lt;&gt;"N/A")),"N/A",Lookup_Lists!$D$150)</f>
      </c>
      <c r="AE82" s="29">
        <f>IF((IF(ISNUMBER(Matching_Engine!$AA$82),Lookup_Lists!$D$125,0)+IF(ISNUMBER(Matching_Engine!$AB$82),Lookup_Lists!$D$126,0)+IF(ISNUMBER(Matching_Engine!$AC$82),Lookup_Lists!$D$127,0)+IF(ISNUMBER(Matching_Engine!$AD$82),Lookup_Lists!$D$128,0))=0,"N/A",ROUND((IF(ISNUMBER(Matching_Engine!$AA$82),Matching_Engine!$AA$82*Lookup_Lists!$D$125,0)+IF(ISNUMBER(Matching_Engine!$AB$82),Matching_Engine!$AB$82*Lookup_Lists!$D$126,0)+IF(ISNUMBER(Matching_Engine!$AC$82),Matching_Engine!$AC$82*Lookup_Lists!$D$127,0)+IF(ISNUMBER(Matching_Engine!$AD$82),Matching_Engine!$AD$82*Lookup_Lists!$D$128,0))/(IF(ISNUMBER(Matching_Engine!$AA$82),Lookup_Lists!$D$125,0)+IF(ISNUMBER(Matching_Engine!$AB$82),Lookup_Lists!$D$126,0)+IF(ISNUMBER(Matching_Engine!$AC$82),Lookup_Lists!$D$127,0)+IF(ISNUMBER(Matching_Engine!$AD$82),Lookup_Lists!$D$128,0)),0))</f>
      </c>
      <c r="AF82" s="11">
        <f>IF(ISNUMBER(Matching_Engine!$AE$82),1,0)</f>
      </c>
      <c r="AG82" s="18">
        <f>IF(NOT(ISNUMBER(KOL_Source_Data!$BG$10)),"N/A",MIN(100,ROUND(KOL_Source_Data!$BG$10/IFERROR(INDEX(Lookup_Lists!$B$340:$B$344,MATCH(KOL_Source_Data!$H$10,Lookup_Lists!$A$340:$A$344,0)),Lookup_Lists!$D$141)*100,0)))</f>
      </c>
      <c r="AH82" s="18">
        <f>IF(NOT(ISNUMBER(KOL_Source_Data!$BS$10)),"N/A",MIN(100,MAX(0,KOL_Source_Data!$BS$10)))</f>
      </c>
      <c r="AI82" s="18">
        <f>IF(OR(NOT(ISNUMBER(KOL_Source_Data!$BM$10)),NOT(ISNUMBER(KOL_Source_Data!$BN$10)),KOL_Source_Data!$BN$10&lt;Lookup_Lists!$D$320),"N/A",MIN(100,ROUND(KOL_Source_Data!$BM$10/Lookup_Lists!$D$319*100,0)))</f>
      </c>
      <c r="AJ82" s="18">
        <f>IF(NOT(ISNUMBER(KOL_Source_Data!$BR$10)),"N/A",KOL_Source_Data!$BR$10)</f>
      </c>
      <c r="AK82" s="18">
        <f>IF(NOT(ISNUMBER(KOL_Source_Data!$BK$10)),"N/A",MIN(100,ROUND(KOL_Source_Data!$BK$10/Lookup_Lists!$D$321*100,0)))</f>
      </c>
      <c r="AL82" s="18">
        <f>IF(NOT(ISNUMBER(KOL_Source_Data!$BP$10)),"N/A",MIN(100,MAX(0,ROUND((KOL_Source_Data!$BP$10+2)/(Lookup_Lists!$D$145+2)*100,0))))</f>
      </c>
      <c r="AM82" s="29">
        <f>IF((IF(ISNUMBER(Matching_Engine!$AG$82),Lookup_Lists!$D$129,0)+IF(ISNUMBER(Matching_Engine!$AH$82),Lookup_Lists!$D$130,0)+IF(ISNUMBER(Matching_Engine!$AI$82),Lookup_Lists!$D$131,0)+IF(ISNUMBER(Matching_Engine!$AJ$82),Lookup_Lists!$D$132,0)+IF(ISNUMBER(Matching_Engine!$AK$82),Lookup_Lists!$D$133,0)+IF(ISNUMBER(Matching_Engine!$AL$82),Lookup_Lists!$D$134,0))=0,"N/A",ROUND((IF(ISNUMBER(Matching_Engine!$AG$82),Matching_Engine!$AG$82*Lookup_Lists!$D$129,0)+IF(ISNUMBER(Matching_Engine!$AH$82),Matching_Engine!$AH$82*Lookup_Lists!$D$130,0)+IF(ISNUMBER(Matching_Engine!$AI$82),Matching_Engine!$AI$82*Lookup_Lists!$D$131,0)+IF(ISNUMBER(Matching_Engine!$AJ$82),Matching_Engine!$AJ$82*Lookup_Lists!$D$132,0)+IF(ISNUMBER(Matching_Engine!$AK$82),Matching_Engine!$AK$82*Lookup_Lists!$D$133,0)+IF(ISNUMBER(Matching_Engine!$AL$82),Matching_Engine!$AL$82*Lookup_Lists!$D$134,0))/(IF(ISNUMBER(Matching_Engine!$AG$82),Lookup_Lists!$D$129,0)+IF(ISNUMBER(Matching_Engine!$AH$82),Lookup_Lists!$D$130,0)+IF(ISNUMBER(Matching_Engine!$AI$82),Lookup_Lists!$D$131,0)+IF(ISNUMBER(Matching_Engine!$AJ$82),Lookup_Lists!$D$132,0)+IF(ISNUMBER(Matching_Engine!$AK$82),Lookup_Lists!$D$133,0)+IF(ISNUMBER(Matching_Engine!$AL$82),Lookup_Lists!$D$134,0)),0))</f>
      </c>
      <c r="AN82" s="11">
        <f>IF(ISNUMBER(Matching_Engine!$AM$82),1,0)</f>
      </c>
      <c r="AO82" s="18">
        <f>IF(NOT(ISNUMBER(KOL_Source_Data!$BT$10)),"N/A",MIN(100,MAX(0,KOL_Source_Data!$BT$10)))</f>
      </c>
      <c r="AP82" s="18">
        <f>IF(NOT(ISNUMBER(KOL_Source_Data!$BU$10)),"N/A",MIN(100,MAX(0,KOL_Source_Data!$BU$10)))</f>
      </c>
      <c r="AQ82" s="18">
        <f>IF(KOL_Source_Data!$I$10="Yes",Lookup_Lists!$D$326,IF(KOL_Source_Data!$I$10="No",Lookup_Lists!$D$327,"N/A"))</f>
      </c>
      <c r="AR82" s="18">
        <f>IF(NOT(ISNUMBER(KOL_Source_Data!$BQ$10)),"N/A",MAX(0,ROUND(100-KOL_Source_Data!$BQ$10/Lookup_Lists!$D$328*100,0)))</f>
      </c>
      <c r="AS82" s="18">
        <f>IF(NOT(AND(ISTEXT(KOL_Source_Data!$BV$10),KOL_Source_Data!$BV$10&lt;&gt;"N/A")),"N/A",KOL_Source_Data!$BV$10)</f>
      </c>
      <c r="AT82" s="29">
        <f>IF((IF(ISNUMBER(Matching_Engine!$AO$82),Lookup_Lists!$D$322,0)+IF(ISNUMBER(Matching_Engine!$AP$82),Lookup_Lists!$D$323,0)+IF(ISNUMBER(Matching_Engine!$AQ$82),Lookup_Lists!$D$324,0)+IF(ISNUMBER(Matching_Engine!$AR$82),Lookup_Lists!$D$325,0))=0,"N/A",ROUND((IF(ISNUMBER(Matching_Engine!$AO$82),Matching_Engine!$AO$82*Lookup_Lists!$D$322,0)+IF(ISNUMBER(Matching_Engine!$AP$82),Matching_Engine!$AP$82*Lookup_Lists!$D$323,0)+IF(ISNUMBER(Matching_Engine!$AQ$82),Matching_Engine!$AQ$82*Lookup_Lists!$D$324,0)+IF(ISNUMBER(Matching_Engine!$AR$82),Matching_Engine!$AR$82*Lookup_Lists!$D$325,0))/(IF(ISNUMBER(Matching_Engine!$AO$82),Lookup_Lists!$D$322,0)+IF(ISNUMBER(Matching_Engine!$AP$82),Lookup_Lists!$D$323,0)+IF(ISNUMBER(Matching_Engine!$AQ$82),Lookup_Lists!$D$324,0)+IF(ISNUMBER(Matching_Engine!$AR$82),Lookup_Lists!$D$325,0)),0))</f>
      </c>
      <c r="AU82" s="11">
        <f>IF(ISNUMBER(Matching_Engine!$AT$82),1,0)</f>
      </c>
      <c r="AV82" s="11">
        <f>IF(NOT(ISNUMBER(Matching_Engine!$AT$82)),"Not Screened",IF(Matching_Engine!$AT$82&gt;=Lookup_Lists!$D$329,"Low Risk",IF(Matching_Engine!$AT$82&gt;=Lookup_Lists!$D$330,"Moderate Risk",IF(Matching_Engine!$AT$82&gt;=Lookup_Lists!$D$331,"Elevated Risk","High Risk"))))</f>
      </c>
      <c r="AW82" s="11">
        <f>IF(NOT(ISNUMBER(Matching_Engine!$AT$82)),"No integrity signal: no audience-analysis row for this account.","Integrity screen only — no content-risk reading exists (comments_analysis: 0 rows). "&amp;IF(ISNUMBER(Matching_Engine!$AO$82),"Authenticity "&amp;Matching_Engine!$AO$82&amp;". ","Authenticity N/A. ")&amp;IF(ISNUMBER(Matching_Engine!$AP$82),"Follower quality "&amp;Matching_Engine!$AP$82&amp;". ","Follower quality N/A. ")&amp;IF(KOL_Source_Data!$I$10="Yes","Platform-verified.","Not platform-verified."))</f>
      </c>
      <c r="AX82" s="18">
        <f>Matching_Engine!$N$82*Lookup_Lists!$D$104+Matching_Engine!$T$82*Lookup_Lists!$D$105+Matching_Engine!$Z$82*Lookup_Lists!$D$106+Matching_Engine!$AF$82*Lookup_Lists!$D$107+Matching_Engine!$AN$82*Lookup_Lists!$D$108+Matching_Engine!$AU$82*Lookup_Lists!$D$109</f>
      </c>
      <c r="AY82" s="30">
        <f>IF(Matching_Engine!$AX$82=0,"N/A",ROUND((IF(Matching_Engine!$N$82=1,Matching_Engine!$M$82*Lookup_Lists!$D$104,0)+IF(Matching_Engine!$T$82=1,Matching_Engine!$S$82*Lookup_Lists!$D$105,0)+IF(Matching_Engine!$Z$82=1,Matching_Engine!$Y$82*Lookup_Lists!$D$106,0)+IF(Matching_Engine!$AF$82=1,Matching_Engine!$AE$82*Lookup_Lists!$D$107,0)+IF(Matching_Engine!$AN$82=1,Matching_Engine!$AM$82*Lookup_Lists!$D$108,0)+IF(Matching_Engine!$AU$82=1,Matching_Engine!$AT$82*Lookup_Lists!$D$109,0))/Matching_Engine!$AX$82,0))</f>
      </c>
      <c r="AZ82" s="11">
        <f>IF(NOT(ISNUMBER(Matching_Engine!$AY$82)),"Not Scored",IF(Matching_Engine!$AY$82&gt;=Lookup_Lists!$D$152,"Excellent Match",IF(Matching_Engine!$AY$82&gt;=Lookup_Lists!$D$153,"Strong Match",IF(Matching_Engine!$AY$82&gt;=Lookup_Lists!$D$154,"Good Match",IF(Matching_Engine!$AY$82&gt;=Lookup_Lists!$D$155,"Moderate Match","Low Match")))))</f>
      </c>
      <c r="BA82" s="18">
        <f>KOL_Source_Data!$BW$10</f>
      </c>
      <c r="BB82" s="11">
        <f>KOL_Source_Data!$BX$10</f>
      </c>
      <c r="BC82" s="18">
        <f>IF(NOT(ISNUMBER(Matching_Engine!$AY$82)),-1,Matching_Engine!$AY$82*1000+20)</f>
      </c>
      <c r="BD82" s="11">
        <f>IF(AND(ISTEXT(KOL_Source_Data!$S$10),KOL_Source_Data!$S$10&lt;&gt;"N/A"),KOL_Source_Data!$S$10,"")&amp;" | "&amp;IF(AND(ISTEXT(KOL_Source_Data!$T$10),KOL_Source_Data!$T$10&lt;&gt;"N/A"),KOL_Source_Data!$T$10,"")&amp;" | "&amp;IF(AND(ISTEXT(KOL_Source_Data!$N$10),KOL_Source_Data!$N$10&lt;&gt;"N/A"),KOL_Source_Data!$N$10,"")&amp;" | "&amp;IF(AND(ISTEXT(KOL_Source_Data!$K$10),KOL_Source_Data!$K$10&lt;&gt;"N/A"),KOL_Source_Data!$K$10,"")&amp;" | "&amp;IF(AND(ISTEXT(KOL_Source_Data!$J$10),KOL_Source_Data!$J$10&lt;&gt;"N/A"),KOL_Source_Data!$J$10,"")</f>
      </c>
      <c r="BE82" s="11">
        <f>IF(AND(ISTEXT(KOL_Source_Data!$T$10),KOL_Source_Data!$T$10&lt;&gt;"N/A"),KOL_Source_Data!$T$10,"")&amp;" | "&amp;IF(AND(ISTEXT(KOL_Source_Data!$N$10),KOL_Source_Data!$N$10&lt;&gt;"N/A"),KOL_Source_Data!$N$10,"")&amp;" | "&amp;IF(AND(ISTEXT(KOL_Source_Data!$O$10),KOL_Source_Data!$O$10&lt;&gt;"N/A"),KOL_Source_Data!$O$10,"")&amp;" | "&amp;IF(AND(ISTEXT(KOL_Source_Data!$S$10),KOL_Source_Data!$S$10&lt;&gt;"N/A"),KOL_Source_Data!$S$10,"")</f>
      </c>
      <c r="BF82" s="11">
        <f>IF(AND(ISTEXT(KOL_Source_Data!$U$10),KOL_Source_Data!$U$10&lt;&gt;"N/A"),KOL_Source_Data!$U$10,"")</f>
      </c>
      <c r="BG82" s="11">
        <f>Matching_Engine!$A$82&amp;"|"&amp;Matching_Engine!$C$82</f>
      </c>
    </row>
    <row r="83" spans="1:59" x14ac:dyDescent="0.25">
      <c r="A83" s="10" t="s">
        <v>393</v>
      </c>
      <c r="B83" s="11">
        <f>Brand_Profile!$H$6</f>
      </c>
      <c r="C83" s="11">
        <f>KOL_Source_Data!$A$11</f>
      </c>
      <c r="D83" s="11">
        <f>KOL_Source_Data!$C$11</f>
      </c>
      <c r="E83" s="11">
        <f>KOL_Source_Data!$D$11</f>
      </c>
      <c r="F83" s="11">
        <f>KOL_Source_Data!$E$11</f>
      </c>
      <c r="G83" s="11">
        <f>KOL_Source_Data!$K$11</f>
      </c>
      <c r="H83" s="12">
        <f>KOL_Source_Data!$G$11</f>
      </c>
      <c r="I83" s="14">
        <f>KOL_Source_Data!$BG$11</f>
      </c>
      <c r="J83" s="18">
        <f>IF(NOT(AND(ISTEXT(KOL_Source_Data!$K$11),KOL_Source_Data!$K$11&lt;&gt;"N/A")),Lookup_Lists!$D$150,IF(Brand_Profile!$H$7=KOL_Source_Data!$K$11,100,IFERROR(INDEX(Lookup_Lists!$B$349:$J$357,MATCH(Brand_Profile!$H$7,Lookup_Lists!$A$349:$A$357,0),MATCH(KOL_Source_Data!$K$11,Lookup_Lists!$B$348:$J$348,0)),Lookup_Lists!$D$151)))</f>
      </c>
      <c r="K83" s="18">
        <f>IF(LEN(TRIM(SUBSTITUTE(Matching_Engine!$BD$83,"|","")))=0,"N/A",IF(Brand_Profile!$H$47=0,Lookup_Lists!$D$150,ROUND((IF(Brand_Profile!$H$41="",0,IF(ISNUMBER(SEARCH(Brand_Profile!$H$41,Matching_Engine!$BD$83)),1,0))+IF(Brand_Profile!$H$42="",0,IF(ISNUMBER(SEARCH(Brand_Profile!$H$42,Matching_Engine!$BD$83)),1,0))+IF(Brand_Profile!$H$43="",0,IF(ISNUMBER(SEARCH(Brand_Profile!$H$43,Matching_Engine!$BD$83)),1,0))+IF(Brand_Profile!$H$44="",0,IF(ISNUMBER(SEARCH(Brand_Profile!$H$44,Matching_Engine!$BD$83)),1,0))+IF(Brand_Profile!$H$45="",0,IF(ISNUMBER(SEARCH(Brand_Profile!$H$45,Matching_Engine!$BD$83)),1,0))+IF(Brand_Profile!$H$46="",0,IF(ISNUMBER(SEARCH(Brand_Profile!$H$46,Matching_Engine!$BD$83)),1,0)))/Brand_Profile!$H$47*100,0)))</f>
      </c>
      <c r="L83" s="18">
        <f>IF(NOT(AND(ISTEXT(KOL_Source_Data!$U$11),KOL_Source_Data!$U$11&lt;&gt;"N/A")),"N/A",IF(Brand_Profile!$H$53=0,Lookup_Lists!$D$150,ROUND((IF(Brand_Profile!$H$48="",0,IF(ISNUMBER(SEARCH(Brand_Profile!$H$48,Matching_Engine!$BF$83)),1,0))+IF(Brand_Profile!$H$49="",0,IF(ISNUMBER(SEARCH(Brand_Profile!$H$49,Matching_Engine!$BF$83)),1,0))+IF(Brand_Profile!$H$50="",0,IF(ISNUMBER(SEARCH(Brand_Profile!$H$50,Matching_Engine!$BF$83)),1,0))+IF(Brand_Profile!$H$51="",0,IF(ISNUMBER(SEARCH(Brand_Profile!$H$51,Matching_Engine!$BF$83)),1,0))+IF(Brand_Profile!$H$52="",0,IF(ISNUMBER(SEARCH(Brand_Profile!$H$52,Matching_Engine!$BF$83)),1,0)))/Brand_Profile!$H$53*100,0)))</f>
      </c>
      <c r="M83" s="29">
        <f>IF((IF(ISNUMBER(Matching_Engine!$J$83),Lookup_Lists!$D$332,0)+IF(ISNUMBER(Matching_Engine!$K$83),Lookup_Lists!$D$333,0)+IF(ISNUMBER(Matching_Engine!$L$83),Lookup_Lists!$D$334,0))=0,"N/A",ROUND((IF(ISNUMBER(Matching_Engine!$J$83),Matching_Engine!$J$83*Lookup_Lists!$D$332,0)+IF(ISNUMBER(Matching_Engine!$K$83),Matching_Engine!$K$83*Lookup_Lists!$D$333,0)+IF(ISNUMBER(Matching_Engine!$L$83),Matching_Engine!$L$83*Lookup_Lists!$D$334,0))/(IF(ISNUMBER(Matching_Engine!$J$83),Lookup_Lists!$D$332,0)+IF(ISNUMBER(Matching_Engine!$K$83),Lookup_Lists!$D$333,0)+IF(ISNUMBER(Matching_Engine!$L$83),Lookup_Lists!$D$334,0)),0))</f>
      </c>
      <c r="N83" s="11">
        <f>IF(ISNUMBER(Matching_Engine!$M$83),1,0)</f>
      </c>
      <c r="O83" s="18">
        <f>IF(NOT(ISNUMBER(IFERROR(INDEX(KOL_Source_Data!$V$11:KOL_Source_Data!$Z$11,1,MATCH(Brand_Profile!$H$11,Lookup_Lists!$F$6:$F$10,0)),""))),"N/A",MIN(100,ROUND((IFERROR(INDEX(KOL_Source_Data!$V$11:KOL_Source_Data!$Z$11,1,MATCH(Brand_Profile!$H$11,Lookup_Lists!$F$6:$F$10,0)),"")+0.5*IF(ISNUMBER(IFERROR(INDEX(KOL_Source_Data!$V$11:KOL_Source_Data!$Z$11,1,MATCH(Brand_Profile!$H$12,Lookup_Lists!$F$6:$F$10,0)),"")),IFERROR(INDEX(KOL_Source_Data!$V$11:KOL_Source_Data!$Z$11,1,MATCH(Brand_Profile!$H$12,Lookup_Lists!$F$6:$F$10,0)),""),0))/Lookup_Lists!$D$142*100,0)))</f>
      </c>
      <c r="P83" s="18">
        <f>IF(Brand_Profile!$H$13="Any",100,IF(NOT(ISNUMBER(KOL_Source_Data!$AA$11)),"N/A",IF(Brand_Profile!$H$13="Female",MIN(100,ROUND(KOL_Source_Data!$AA$11/Lookup_Lists!$D$143*100,0)),IF(Brand_Profile!$H$13="Male",MIN(100,ROUND(IF(ISNUMBER(KOL_Source_Data!$AB$11),KOL_Source_Data!$AB$11,100-KOL_Source_Data!$AA$11)/Lookup_Lists!$D$143*100,0)),MAX(0,ROUND(100-ABS(KOL_Source_Data!$AA$11-50)*2,0))))))</f>
      </c>
      <c r="Q83" s="18">
        <f>IF((IF(ISNUMBER(IF(NOT(ISNUMBER(KOL_Source_Data!$AE$11)),"N/A",IF(KOL_Source_Data!$AD$11&lt;&gt;Brand_Profile!$H$14,Lookup_Lists!$D$151,MIN(100,ROUND(KOL_Source_Data!$AE$11/Lookup_Lists!$D$316*100,0))))),Lookup_Lists!$D$118,0)+IF(ISNUMBER(IF(NOT(ISNUMBER(KOL_Source_Data!$AM$11)),"N/A",MIN(100,ROUND((IF(KOL_Source_Data!$AG$11=Brand_Profile!$H$15,IF(ISNUMBER(KOL_Source_Data!$AH$11),KOL_Source_Data!$AH$11,0),0)+IF(KOL_Source_Data!$AI$11=Brand_Profile!$H$15,IF(ISNUMBER(KOL_Source_Data!$AJ$11),KOL_Source_Data!$AJ$11,0),0)+IF(KOL_Source_Data!$AK$11=Brand_Profile!$H$15,IF(ISNUMBER(KOL_Source_Data!$AL$11),KOL_Source_Data!$AL$11,0),0))/Lookup_Lists!$D$317*100,0)))),Lookup_Lists!$D$120,0))=0,"N/A",ROUND((IF(ISNUMBER(IF(NOT(ISNUMBER(KOL_Source_Data!$AE$11)),"N/A",IF(KOL_Source_Data!$AD$11&lt;&gt;Brand_Profile!$H$14,Lookup_Lists!$D$151,MIN(100,ROUND(KOL_Source_Data!$AE$11/Lookup_Lists!$D$316*100,0))))),IF(NOT(ISNUMBER(KOL_Source_Data!$AE$11)),"N/A",IF(KOL_Source_Data!$AD$11&lt;&gt;Brand_Profile!$H$14,Lookup_Lists!$D$151,MIN(100,ROUND(KOL_Source_Data!$AE$11/Lookup_Lists!$D$316*100,0))))*Lookup_Lists!$D$118,0)+IF(ISNUMBER(IF(NOT(ISNUMBER(KOL_Source_Data!$AM$11)),"N/A",MIN(100,ROUND((IF(KOL_Source_Data!$AG$11=Brand_Profile!$H$15,IF(ISNUMBER(KOL_Source_Data!$AH$11),KOL_Source_Data!$AH$11,0),0)+IF(KOL_Source_Data!$AI$11=Brand_Profile!$H$15,IF(ISNUMBER(KOL_Source_Data!$AJ$11),KOL_Source_Data!$AJ$11,0),0)+IF(KOL_Source_Data!$AK$11=Brand_Profile!$H$15,IF(ISNUMBER(KOL_Source_Data!$AL$11),KOL_Source_Data!$AL$11,0),0))/Lookup_Lists!$D$317*100,0)))),IF(NOT(ISNUMBER(KOL_Source_Data!$AM$11)),"N/A",MIN(100,ROUND((IF(KOL_Source_Data!$AG$11=Brand_Profile!$H$15,IF(ISNUMBER(KOL_Source_Data!$AH$11),KOL_Source_Data!$AH$11,0),0)+IF(KOL_Source_Data!$AI$11=Brand_Profile!$H$15,IF(ISNUMBER(KOL_Source_Data!$AJ$11),KOL_Source_Data!$AJ$11,0),0)+IF(KOL_Source_Data!$AK$11=Brand_Profile!$H$15,IF(ISNUMBER(KOL_Source_Data!$AL$11),KOL_Source_Data!$AL$11,0),0))/Lookup_Lists!$D$317*100,0)))*Lookup_Lists!$D$120,0))/(IF(ISNUMBER(IF(NOT(ISNUMBER(KOL_Source_Data!$AE$11)),"N/A",IF(KOL_Source_Data!$AD$11&lt;&gt;Brand_Profile!$H$14,Lookup_Lists!$D$151,MIN(100,ROUND(KOL_Source_Data!$AE$11/Lookup_Lists!$D$316*100,0))))),Lookup_Lists!$D$118,0)+IF(ISNUMBER(IF(NOT(ISNUMBER(KOL_Source_Data!$AM$11)),"N/A",MIN(100,ROUND((IF(KOL_Source_Data!$AG$11=Brand_Profile!$H$15,IF(ISNUMBER(KOL_Source_Data!$AH$11),KOL_Source_Data!$AH$11,0),0)+IF(KOL_Source_Data!$AI$11=Brand_Profile!$H$15,IF(ISNUMBER(KOL_Source_Data!$AJ$11),KOL_Source_Data!$AJ$11,0),0)+IF(KOL_Source_Data!$AK$11=Brand_Profile!$H$15,IF(ISNUMBER(KOL_Source_Data!$AL$11),KOL_Source_Data!$AL$11,0),0))/Lookup_Lists!$D$317*100,0)))),Lookup_Lists!$D$120,0)),0))</f>
      </c>
      <c r="R83" s="18">
        <f>IF(NOT(ISNUMBER(KOL_Source_Data!$AN$11)),"N/A",MIN(100,ROUND((IF(ISNUMBER(KOL_Source_Data!$AO$11),KOL_Source_Data!$AO$11*Brand_Profile!$H$17,0)+IF(ISNUMBER(KOL_Source_Data!$AP$11),KOL_Source_Data!$AP$11*Brand_Profile!$H$18,0)+IF(ISNUMBER(KOL_Source_Data!$AQ$11),KOL_Source_Data!$AQ$11*Brand_Profile!$H$19,0)+IF(ISNUMBER(KOL_Source_Data!$AR$11),KOL_Source_Data!$AR$11*Brand_Profile!$H$20,0)+IF(ISNUMBER(KOL_Source_Data!$AS$11),KOL_Source_Data!$AS$11*Brand_Profile!$H$21,0)+IF(ISNUMBER(KOL_Source_Data!$AT$11),KOL_Source_Data!$AT$11*Brand_Profile!$H$22,0)+IF(ISNUMBER(KOL_Source_Data!$AU$11),KOL_Source_Data!$AU$11*Brand_Profile!$H$23,0)+IF(ISNUMBER(KOL_Source_Data!$AV$11),KOL_Source_Data!$AV$11*Brand_Profile!$H$24,0)+IF(ISNUMBER(KOL_Source_Data!$AW$11),KOL_Source_Data!$AW$11*Brand_Profile!$H$25,0)+IF(ISNUMBER(KOL_Source_Data!$AX$11),KOL_Source_Data!$AX$11*Brand_Profile!$H$26,0)+IF(ISNUMBER(KOL_Source_Data!$AY$11),KOL_Source_Data!$AY$11*Brand_Profile!$H$27,0)+IF(ISNUMBER(KOL_Source_Data!$AZ$11),KOL_Source_Data!$AZ$11*Brand_Profile!$H$28,0)+IF(ISNUMBER(KOL_Source_Data!$BA$11),KOL_Source_Data!$BA$11*Brand_Profile!$H$29,0)+IF(ISNUMBER(KOL_Source_Data!$BB$11),KOL_Source_Data!$BB$11*Brand_Profile!$H$30,0)+IF(ISNUMBER(KOL_Source_Data!$BC$11),KOL_Source_Data!$BC$11*Brand_Profile!$H$31,0)+IF(ISNUMBER(KOL_Source_Data!$BD$11),KOL_Source_Data!$BD$11*Brand_Profile!$H$32,0)+IF(ISNUMBER(KOL_Source_Data!$BE$11),KOL_Source_Data!$BE$11*Brand_Profile!$H$33,0)+IF(ISNUMBER(KOL_Source_Data!$BF$11),KOL_Source_Data!$BF$11*Brand_Profile!$H$34,0))/Lookup_Lists!$D$318*100,0)))</f>
      </c>
      <c r="S83" s="29">
        <f>IF((IF(ISNUMBER(Matching_Engine!$O$83),Lookup_Lists!$D$113,0)+IF(ISNUMBER(Matching_Engine!$P$83),Lookup_Lists!$D$114,0)+IF(ISNUMBER(Matching_Engine!$Q$83),Lookup_Lists!$D$115,0)+IF(ISNUMBER(Matching_Engine!$R$83),Lookup_Lists!$D$116,0))=0,"N/A",ROUND((IF(ISNUMBER(Matching_Engine!$O$83),Matching_Engine!$O$83*Lookup_Lists!$D$113,0)+IF(ISNUMBER(Matching_Engine!$P$83),Matching_Engine!$P$83*Lookup_Lists!$D$114,0)+IF(ISNUMBER(Matching_Engine!$Q$83),Matching_Engine!$Q$83*Lookup_Lists!$D$115,0)+IF(ISNUMBER(Matching_Engine!$R$83),Matching_Engine!$R$83*Lookup_Lists!$D$116,0))/(IF(ISNUMBER(Matching_Engine!$O$83),Lookup_Lists!$D$113,0)+IF(ISNUMBER(Matching_Engine!$P$83),Lookup_Lists!$D$114,0)+IF(ISNUMBER(Matching_Engine!$Q$83),Lookup_Lists!$D$115,0)+IF(ISNUMBER(Matching_Engine!$R$83),Lookup_Lists!$D$116,0)),0))</f>
      </c>
      <c r="T83" s="11">
        <f>IF(ISNUMBER(Matching_Engine!$S$83),1,0)</f>
      </c>
      <c r="U83" s="18">
        <f>IF(NOT(AND(ISTEXT(KOL_Source_Data!$M$11),KOL_Source_Data!$M$11&lt;&gt;"N/A")),Lookup_Lists!$D$150,IF(Brand_Profile!$H$7=KOL_Source_Data!$M$11,100,IFERROR(INDEX(Lookup_Lists!$B$349:$J$357,MATCH(Brand_Profile!$H$7,Lookup_Lists!$A$349:$A$357,0),MATCH(KOL_Source_Data!$M$11,Lookup_Lists!$B$348:$J$348,0)),Lookup_Lists!$D$151)))</f>
      </c>
      <c r="V83" s="18">
        <f>IF(NOT(AND(ISTEXT(KOL_Source_Data!$P$11),KOL_Source_Data!$P$11&lt;&gt;"N/A")),"N/A",IFERROR(INDEX(Lookup_Lists!$B$349:$J$357,MATCH(Brand_Profile!$H$7,Lookup_Lists!$A$349:$A$357,0),MATCH(KOL_Source_Data!$P$11,Lookup_Lists!$B$348:$J$348,0)),Lookup_Lists!$D$151))</f>
      </c>
      <c r="W83" s="18">
        <f>IF(LEN(TRIM(SUBSTITUTE(Matching_Engine!$BE$83,"|","")))=0,"N/A",IF(Brand_Profile!$H$60=0,Lookup_Lists!$D$150,ROUND((IF(Brand_Profile!$H$54="",0,IF(ISNUMBER(SEARCH(Brand_Profile!$H$54,Matching_Engine!$BE$83)),1,0))+IF(Brand_Profile!$H$55="",0,IF(ISNUMBER(SEARCH(Brand_Profile!$H$55,Matching_Engine!$BE$83)),1,0))+IF(Brand_Profile!$H$56="",0,IF(ISNUMBER(SEARCH(Brand_Profile!$H$56,Matching_Engine!$BE$83)),1,0))+IF(Brand_Profile!$H$57="",0,IF(ISNUMBER(SEARCH(Brand_Profile!$H$57,Matching_Engine!$BE$83)),1,0))+IF(Brand_Profile!$H$58="",0,IF(ISNUMBER(SEARCH(Brand_Profile!$H$58,Matching_Engine!$BE$83)),1,0))+IF(Brand_Profile!$H$59="",0,IF(ISNUMBER(SEARCH(Brand_Profile!$H$59,Matching_Engine!$BE$83)),1,0)))/Brand_Profile!$H$60*100,0)))</f>
      </c>
      <c r="X83" s="18">
        <f>IF(NOT(AND(ISTEXT(KOL_Source_Data!$Q$11),KOL_Source_Data!$Q$11&lt;&gt;"N/A")),"N/A",Lookup_Lists!$D$150)</f>
      </c>
      <c r="Y83" s="29">
        <f>IF((IF(ISNUMBER(Matching_Engine!$U$83),Lookup_Lists!$D$335,0)+IF(ISNUMBER(Matching_Engine!$V$83),Lookup_Lists!$D$122,0)+IF(ISNUMBER(Matching_Engine!$W$83),Lookup_Lists!$D$336,0)+IF(ISNUMBER(Matching_Engine!$X$83),Lookup_Lists!$D$124,0))=0,"N/A",ROUND((IF(ISNUMBER(Matching_Engine!$U$83),Matching_Engine!$U$83*Lookup_Lists!$D$335,0)+IF(ISNUMBER(Matching_Engine!$V$83),Matching_Engine!$V$83*Lookup_Lists!$D$122,0)+IF(ISNUMBER(Matching_Engine!$W$83),Matching_Engine!$W$83*Lookup_Lists!$D$336,0)+IF(ISNUMBER(Matching_Engine!$X$83),Matching_Engine!$X$83*Lookup_Lists!$D$124,0))/(IF(ISNUMBER(Matching_Engine!$U$83),Lookup_Lists!$D$335,0)+IF(ISNUMBER(Matching_Engine!$V$83),Lookup_Lists!$D$122,0)+IF(ISNUMBER(Matching_Engine!$W$83),Lookup_Lists!$D$336,0)+IF(ISNUMBER(Matching_Engine!$X$83),Lookup_Lists!$D$124,0)),0))</f>
      </c>
      <c r="Z83" s="11">
        <f>IF(ISNUMBER(Matching_Engine!$Y$83),1,0)</f>
      </c>
      <c r="AA83" s="18">
        <f>IF(NOT(AND(ISTEXT(KOL_Source_Data!$Q$11),KOL_Source_Data!$Q$11&lt;&gt;"N/A")),"N/A",Lookup_Lists!$D$150)</f>
      </c>
      <c r="AB83" s="18">
        <f>IF(NOT(AND(ISTEXT(KOL_Source_Data!$Q$11),KOL_Source_Data!$Q$11&lt;&gt;"N/A")),"N/A",Lookup_Lists!$D$150)</f>
      </c>
      <c r="AC83" s="18">
        <f>"N/A"</f>
      </c>
      <c r="AD83" s="18">
        <f>IF(NOT(AND(ISTEXT(KOL_Source_Data!$Q$11),KOL_Source_Data!$Q$11&lt;&gt;"N/A")),"N/A",Lookup_Lists!$D$150)</f>
      </c>
      <c r="AE83" s="29">
        <f>IF((IF(ISNUMBER(Matching_Engine!$AA$83),Lookup_Lists!$D$125,0)+IF(ISNUMBER(Matching_Engine!$AB$83),Lookup_Lists!$D$126,0)+IF(ISNUMBER(Matching_Engine!$AC$83),Lookup_Lists!$D$127,0)+IF(ISNUMBER(Matching_Engine!$AD$83),Lookup_Lists!$D$128,0))=0,"N/A",ROUND((IF(ISNUMBER(Matching_Engine!$AA$83),Matching_Engine!$AA$83*Lookup_Lists!$D$125,0)+IF(ISNUMBER(Matching_Engine!$AB$83),Matching_Engine!$AB$83*Lookup_Lists!$D$126,0)+IF(ISNUMBER(Matching_Engine!$AC$83),Matching_Engine!$AC$83*Lookup_Lists!$D$127,0)+IF(ISNUMBER(Matching_Engine!$AD$83),Matching_Engine!$AD$83*Lookup_Lists!$D$128,0))/(IF(ISNUMBER(Matching_Engine!$AA$83),Lookup_Lists!$D$125,0)+IF(ISNUMBER(Matching_Engine!$AB$83),Lookup_Lists!$D$126,0)+IF(ISNUMBER(Matching_Engine!$AC$83),Lookup_Lists!$D$127,0)+IF(ISNUMBER(Matching_Engine!$AD$83),Lookup_Lists!$D$128,0)),0))</f>
      </c>
      <c r="AF83" s="11">
        <f>IF(ISNUMBER(Matching_Engine!$AE$83),1,0)</f>
      </c>
      <c r="AG83" s="18">
        <f>IF(NOT(ISNUMBER(KOL_Source_Data!$BG$11)),"N/A",MIN(100,ROUND(KOL_Source_Data!$BG$11/IFERROR(INDEX(Lookup_Lists!$B$340:$B$344,MATCH(KOL_Source_Data!$H$11,Lookup_Lists!$A$340:$A$344,0)),Lookup_Lists!$D$141)*100,0)))</f>
      </c>
      <c r="AH83" s="18">
        <f>IF(NOT(ISNUMBER(KOL_Source_Data!$BS$11)),"N/A",MIN(100,MAX(0,KOL_Source_Data!$BS$11)))</f>
      </c>
      <c r="AI83" s="18">
        <f>IF(OR(NOT(ISNUMBER(KOL_Source_Data!$BM$11)),NOT(ISNUMBER(KOL_Source_Data!$BN$11)),KOL_Source_Data!$BN$11&lt;Lookup_Lists!$D$320),"N/A",MIN(100,ROUND(KOL_Source_Data!$BM$11/Lookup_Lists!$D$319*100,0)))</f>
      </c>
      <c r="AJ83" s="18">
        <f>IF(NOT(ISNUMBER(KOL_Source_Data!$BR$11)),"N/A",KOL_Source_Data!$BR$11)</f>
      </c>
      <c r="AK83" s="18">
        <f>IF(NOT(ISNUMBER(KOL_Source_Data!$BK$11)),"N/A",MIN(100,ROUND(KOL_Source_Data!$BK$11/Lookup_Lists!$D$321*100,0)))</f>
      </c>
      <c r="AL83" s="18">
        <f>IF(NOT(ISNUMBER(KOL_Source_Data!$BP$11)),"N/A",MIN(100,MAX(0,ROUND((KOL_Source_Data!$BP$11+2)/(Lookup_Lists!$D$145+2)*100,0))))</f>
      </c>
      <c r="AM83" s="29">
        <f>IF((IF(ISNUMBER(Matching_Engine!$AG$83),Lookup_Lists!$D$129,0)+IF(ISNUMBER(Matching_Engine!$AH$83),Lookup_Lists!$D$130,0)+IF(ISNUMBER(Matching_Engine!$AI$83),Lookup_Lists!$D$131,0)+IF(ISNUMBER(Matching_Engine!$AJ$83),Lookup_Lists!$D$132,0)+IF(ISNUMBER(Matching_Engine!$AK$83),Lookup_Lists!$D$133,0)+IF(ISNUMBER(Matching_Engine!$AL$83),Lookup_Lists!$D$134,0))=0,"N/A",ROUND((IF(ISNUMBER(Matching_Engine!$AG$83),Matching_Engine!$AG$83*Lookup_Lists!$D$129,0)+IF(ISNUMBER(Matching_Engine!$AH$83),Matching_Engine!$AH$83*Lookup_Lists!$D$130,0)+IF(ISNUMBER(Matching_Engine!$AI$83),Matching_Engine!$AI$83*Lookup_Lists!$D$131,0)+IF(ISNUMBER(Matching_Engine!$AJ$83),Matching_Engine!$AJ$83*Lookup_Lists!$D$132,0)+IF(ISNUMBER(Matching_Engine!$AK$83),Matching_Engine!$AK$83*Lookup_Lists!$D$133,0)+IF(ISNUMBER(Matching_Engine!$AL$83),Matching_Engine!$AL$83*Lookup_Lists!$D$134,0))/(IF(ISNUMBER(Matching_Engine!$AG$83),Lookup_Lists!$D$129,0)+IF(ISNUMBER(Matching_Engine!$AH$83),Lookup_Lists!$D$130,0)+IF(ISNUMBER(Matching_Engine!$AI$83),Lookup_Lists!$D$131,0)+IF(ISNUMBER(Matching_Engine!$AJ$83),Lookup_Lists!$D$132,0)+IF(ISNUMBER(Matching_Engine!$AK$83),Lookup_Lists!$D$133,0)+IF(ISNUMBER(Matching_Engine!$AL$83),Lookup_Lists!$D$134,0)),0))</f>
      </c>
      <c r="AN83" s="11">
        <f>IF(ISNUMBER(Matching_Engine!$AM$83),1,0)</f>
      </c>
      <c r="AO83" s="18">
        <f>IF(NOT(ISNUMBER(KOL_Source_Data!$BT$11)),"N/A",MIN(100,MAX(0,KOL_Source_Data!$BT$11)))</f>
      </c>
      <c r="AP83" s="18">
        <f>IF(NOT(ISNUMBER(KOL_Source_Data!$BU$11)),"N/A",MIN(100,MAX(0,KOL_Source_Data!$BU$11)))</f>
      </c>
      <c r="AQ83" s="18">
        <f>IF(KOL_Source_Data!$I$11="Yes",Lookup_Lists!$D$326,IF(KOL_Source_Data!$I$11="No",Lookup_Lists!$D$327,"N/A"))</f>
      </c>
      <c r="AR83" s="18">
        <f>IF(NOT(ISNUMBER(KOL_Source_Data!$BQ$11)),"N/A",MAX(0,ROUND(100-KOL_Source_Data!$BQ$11/Lookup_Lists!$D$328*100,0)))</f>
      </c>
      <c r="AS83" s="18">
        <f>IF(NOT(AND(ISTEXT(KOL_Source_Data!$BV$11),KOL_Source_Data!$BV$11&lt;&gt;"N/A")),"N/A",KOL_Source_Data!$BV$11)</f>
      </c>
      <c r="AT83" s="29">
        <f>IF((IF(ISNUMBER(Matching_Engine!$AO$83),Lookup_Lists!$D$322,0)+IF(ISNUMBER(Matching_Engine!$AP$83),Lookup_Lists!$D$323,0)+IF(ISNUMBER(Matching_Engine!$AQ$83),Lookup_Lists!$D$324,0)+IF(ISNUMBER(Matching_Engine!$AR$83),Lookup_Lists!$D$325,0))=0,"N/A",ROUND((IF(ISNUMBER(Matching_Engine!$AO$83),Matching_Engine!$AO$83*Lookup_Lists!$D$322,0)+IF(ISNUMBER(Matching_Engine!$AP$83),Matching_Engine!$AP$83*Lookup_Lists!$D$323,0)+IF(ISNUMBER(Matching_Engine!$AQ$83),Matching_Engine!$AQ$83*Lookup_Lists!$D$324,0)+IF(ISNUMBER(Matching_Engine!$AR$83),Matching_Engine!$AR$83*Lookup_Lists!$D$325,0))/(IF(ISNUMBER(Matching_Engine!$AO$83),Lookup_Lists!$D$322,0)+IF(ISNUMBER(Matching_Engine!$AP$83),Lookup_Lists!$D$323,0)+IF(ISNUMBER(Matching_Engine!$AQ$83),Lookup_Lists!$D$324,0)+IF(ISNUMBER(Matching_Engine!$AR$83),Lookup_Lists!$D$325,0)),0))</f>
      </c>
      <c r="AU83" s="11">
        <f>IF(ISNUMBER(Matching_Engine!$AT$83),1,0)</f>
      </c>
      <c r="AV83" s="11">
        <f>IF(NOT(ISNUMBER(Matching_Engine!$AT$83)),"Not Screened",IF(Matching_Engine!$AT$83&gt;=Lookup_Lists!$D$329,"Low Risk",IF(Matching_Engine!$AT$83&gt;=Lookup_Lists!$D$330,"Moderate Risk",IF(Matching_Engine!$AT$83&gt;=Lookup_Lists!$D$331,"Elevated Risk","High Risk"))))</f>
      </c>
      <c r="AW83" s="11">
        <f>IF(NOT(ISNUMBER(Matching_Engine!$AT$83)),"No integrity signal: no audience-analysis row for this account.","Integrity screen only — no content-risk reading exists (comments_analysis: 0 rows). "&amp;IF(ISNUMBER(Matching_Engine!$AO$83),"Authenticity "&amp;Matching_Engine!$AO$83&amp;". ","Authenticity N/A. ")&amp;IF(ISNUMBER(Matching_Engine!$AP$83),"Follower quality "&amp;Matching_Engine!$AP$83&amp;". ","Follower quality N/A. ")&amp;IF(KOL_Source_Data!$I$11="Yes","Platform-verified.","Not platform-verified."))</f>
      </c>
      <c r="AX83" s="18">
        <f>Matching_Engine!$N$83*Lookup_Lists!$D$104+Matching_Engine!$T$83*Lookup_Lists!$D$105+Matching_Engine!$Z$83*Lookup_Lists!$D$106+Matching_Engine!$AF$83*Lookup_Lists!$D$107+Matching_Engine!$AN$83*Lookup_Lists!$D$108+Matching_Engine!$AU$83*Lookup_Lists!$D$109</f>
      </c>
      <c r="AY83" s="30">
        <f>IF(Matching_Engine!$AX$83=0,"N/A",ROUND((IF(Matching_Engine!$N$83=1,Matching_Engine!$M$83*Lookup_Lists!$D$104,0)+IF(Matching_Engine!$T$83=1,Matching_Engine!$S$83*Lookup_Lists!$D$105,0)+IF(Matching_Engine!$Z$83=1,Matching_Engine!$Y$83*Lookup_Lists!$D$106,0)+IF(Matching_Engine!$AF$83=1,Matching_Engine!$AE$83*Lookup_Lists!$D$107,0)+IF(Matching_Engine!$AN$83=1,Matching_Engine!$AM$83*Lookup_Lists!$D$108,0)+IF(Matching_Engine!$AU$83=1,Matching_Engine!$AT$83*Lookup_Lists!$D$109,0))/Matching_Engine!$AX$83,0))</f>
      </c>
      <c r="AZ83" s="11">
        <f>IF(NOT(ISNUMBER(Matching_Engine!$AY$83)),"Not Scored",IF(Matching_Engine!$AY$83&gt;=Lookup_Lists!$D$152,"Excellent Match",IF(Matching_Engine!$AY$83&gt;=Lookup_Lists!$D$153,"Strong Match",IF(Matching_Engine!$AY$83&gt;=Lookup_Lists!$D$154,"Good Match",IF(Matching_Engine!$AY$83&gt;=Lookup_Lists!$D$155,"Moderate Match","Low Match")))))</f>
      </c>
      <c r="BA83" s="18">
        <f>KOL_Source_Data!$BW$11</f>
      </c>
      <c r="BB83" s="11">
        <f>KOL_Source_Data!$BX$11</f>
      </c>
      <c r="BC83" s="18">
        <f>IF(NOT(ISNUMBER(Matching_Engine!$AY$83)),-1,Matching_Engine!$AY$83*1000+19)</f>
      </c>
      <c r="BD83" s="11">
        <f>IF(AND(ISTEXT(KOL_Source_Data!$S$11),KOL_Source_Data!$S$11&lt;&gt;"N/A"),KOL_Source_Data!$S$11,"")&amp;" | "&amp;IF(AND(ISTEXT(KOL_Source_Data!$T$11),KOL_Source_Data!$T$11&lt;&gt;"N/A"),KOL_Source_Data!$T$11,"")&amp;" | "&amp;IF(AND(ISTEXT(KOL_Source_Data!$N$11),KOL_Source_Data!$N$11&lt;&gt;"N/A"),KOL_Source_Data!$N$11,"")&amp;" | "&amp;IF(AND(ISTEXT(KOL_Source_Data!$K$11),KOL_Source_Data!$K$11&lt;&gt;"N/A"),KOL_Source_Data!$K$11,"")&amp;" | "&amp;IF(AND(ISTEXT(KOL_Source_Data!$J$11),KOL_Source_Data!$J$11&lt;&gt;"N/A"),KOL_Source_Data!$J$11,"")</f>
      </c>
      <c r="BE83" s="11">
        <f>IF(AND(ISTEXT(KOL_Source_Data!$T$11),KOL_Source_Data!$T$11&lt;&gt;"N/A"),KOL_Source_Data!$T$11,"")&amp;" | "&amp;IF(AND(ISTEXT(KOL_Source_Data!$N$11),KOL_Source_Data!$N$11&lt;&gt;"N/A"),KOL_Source_Data!$N$11,"")&amp;" | "&amp;IF(AND(ISTEXT(KOL_Source_Data!$O$11),KOL_Source_Data!$O$11&lt;&gt;"N/A"),KOL_Source_Data!$O$11,"")&amp;" | "&amp;IF(AND(ISTEXT(KOL_Source_Data!$S$11),KOL_Source_Data!$S$11&lt;&gt;"N/A"),KOL_Source_Data!$S$11,"")</f>
      </c>
      <c r="BF83" s="11">
        <f>IF(AND(ISTEXT(KOL_Source_Data!$U$11),KOL_Source_Data!$U$11&lt;&gt;"N/A"),KOL_Source_Data!$U$11,"")</f>
      </c>
      <c r="BG83" s="11">
        <f>Matching_Engine!$A$83&amp;"|"&amp;Matching_Engine!$C$83</f>
      </c>
    </row>
    <row r="84" spans="1:59" x14ac:dyDescent="0.25">
      <c r="A84" s="10" t="s">
        <v>393</v>
      </c>
      <c r="B84" s="11">
        <f>Brand_Profile!$H$6</f>
      </c>
      <c r="C84" s="11">
        <f>KOL_Source_Data!$A$12</f>
      </c>
      <c r="D84" s="11">
        <f>KOL_Source_Data!$C$12</f>
      </c>
      <c r="E84" s="11">
        <f>KOL_Source_Data!$D$12</f>
      </c>
      <c r="F84" s="11">
        <f>KOL_Source_Data!$E$12</f>
      </c>
      <c r="G84" s="11">
        <f>KOL_Source_Data!$K$12</f>
      </c>
      <c r="H84" s="12">
        <f>KOL_Source_Data!$G$12</f>
      </c>
      <c r="I84" s="14">
        <f>KOL_Source_Data!$BG$12</f>
      </c>
      <c r="J84" s="18">
        <f>IF(NOT(AND(ISTEXT(KOL_Source_Data!$K$12),KOL_Source_Data!$K$12&lt;&gt;"N/A")),Lookup_Lists!$D$150,IF(Brand_Profile!$H$7=KOL_Source_Data!$K$12,100,IFERROR(INDEX(Lookup_Lists!$B$349:$J$357,MATCH(Brand_Profile!$H$7,Lookup_Lists!$A$349:$A$357,0),MATCH(KOL_Source_Data!$K$12,Lookup_Lists!$B$348:$J$348,0)),Lookup_Lists!$D$151)))</f>
      </c>
      <c r="K84" s="18">
        <f>IF(LEN(TRIM(SUBSTITUTE(Matching_Engine!$BD$84,"|","")))=0,"N/A",IF(Brand_Profile!$H$47=0,Lookup_Lists!$D$150,ROUND((IF(Brand_Profile!$H$41="",0,IF(ISNUMBER(SEARCH(Brand_Profile!$H$41,Matching_Engine!$BD$84)),1,0))+IF(Brand_Profile!$H$42="",0,IF(ISNUMBER(SEARCH(Brand_Profile!$H$42,Matching_Engine!$BD$84)),1,0))+IF(Brand_Profile!$H$43="",0,IF(ISNUMBER(SEARCH(Brand_Profile!$H$43,Matching_Engine!$BD$84)),1,0))+IF(Brand_Profile!$H$44="",0,IF(ISNUMBER(SEARCH(Brand_Profile!$H$44,Matching_Engine!$BD$84)),1,0))+IF(Brand_Profile!$H$45="",0,IF(ISNUMBER(SEARCH(Brand_Profile!$H$45,Matching_Engine!$BD$84)),1,0))+IF(Brand_Profile!$H$46="",0,IF(ISNUMBER(SEARCH(Brand_Profile!$H$46,Matching_Engine!$BD$84)),1,0)))/Brand_Profile!$H$47*100,0)))</f>
      </c>
      <c r="L84" s="18">
        <f>IF(NOT(AND(ISTEXT(KOL_Source_Data!$U$12),KOL_Source_Data!$U$12&lt;&gt;"N/A")),"N/A",IF(Brand_Profile!$H$53=0,Lookup_Lists!$D$150,ROUND((IF(Brand_Profile!$H$48="",0,IF(ISNUMBER(SEARCH(Brand_Profile!$H$48,Matching_Engine!$BF$84)),1,0))+IF(Brand_Profile!$H$49="",0,IF(ISNUMBER(SEARCH(Brand_Profile!$H$49,Matching_Engine!$BF$84)),1,0))+IF(Brand_Profile!$H$50="",0,IF(ISNUMBER(SEARCH(Brand_Profile!$H$50,Matching_Engine!$BF$84)),1,0))+IF(Brand_Profile!$H$51="",0,IF(ISNUMBER(SEARCH(Brand_Profile!$H$51,Matching_Engine!$BF$84)),1,0))+IF(Brand_Profile!$H$52="",0,IF(ISNUMBER(SEARCH(Brand_Profile!$H$52,Matching_Engine!$BF$84)),1,0)))/Brand_Profile!$H$53*100,0)))</f>
      </c>
      <c r="M84" s="29">
        <f>IF((IF(ISNUMBER(Matching_Engine!$J$84),Lookup_Lists!$D$332,0)+IF(ISNUMBER(Matching_Engine!$K$84),Lookup_Lists!$D$333,0)+IF(ISNUMBER(Matching_Engine!$L$84),Lookup_Lists!$D$334,0))=0,"N/A",ROUND((IF(ISNUMBER(Matching_Engine!$J$84),Matching_Engine!$J$84*Lookup_Lists!$D$332,0)+IF(ISNUMBER(Matching_Engine!$K$84),Matching_Engine!$K$84*Lookup_Lists!$D$333,0)+IF(ISNUMBER(Matching_Engine!$L$84),Matching_Engine!$L$84*Lookup_Lists!$D$334,0))/(IF(ISNUMBER(Matching_Engine!$J$84),Lookup_Lists!$D$332,0)+IF(ISNUMBER(Matching_Engine!$K$84),Lookup_Lists!$D$333,0)+IF(ISNUMBER(Matching_Engine!$L$84),Lookup_Lists!$D$334,0)),0))</f>
      </c>
      <c r="N84" s="11">
        <f>IF(ISNUMBER(Matching_Engine!$M$84),1,0)</f>
      </c>
      <c r="O84" s="18">
        <f>IF(NOT(ISNUMBER(IFERROR(INDEX(KOL_Source_Data!$V$12:KOL_Source_Data!$Z$12,1,MATCH(Brand_Profile!$H$11,Lookup_Lists!$F$6:$F$10,0)),""))),"N/A",MIN(100,ROUND((IFERROR(INDEX(KOL_Source_Data!$V$12:KOL_Source_Data!$Z$12,1,MATCH(Brand_Profile!$H$11,Lookup_Lists!$F$6:$F$10,0)),"")+0.5*IF(ISNUMBER(IFERROR(INDEX(KOL_Source_Data!$V$12:KOL_Source_Data!$Z$12,1,MATCH(Brand_Profile!$H$12,Lookup_Lists!$F$6:$F$10,0)),"")),IFERROR(INDEX(KOL_Source_Data!$V$12:KOL_Source_Data!$Z$12,1,MATCH(Brand_Profile!$H$12,Lookup_Lists!$F$6:$F$10,0)),""),0))/Lookup_Lists!$D$142*100,0)))</f>
      </c>
      <c r="P84" s="18">
        <f>IF(Brand_Profile!$H$13="Any",100,IF(NOT(ISNUMBER(KOL_Source_Data!$AA$12)),"N/A",IF(Brand_Profile!$H$13="Female",MIN(100,ROUND(KOL_Source_Data!$AA$12/Lookup_Lists!$D$143*100,0)),IF(Brand_Profile!$H$13="Male",MIN(100,ROUND(IF(ISNUMBER(KOL_Source_Data!$AB$12),KOL_Source_Data!$AB$12,100-KOL_Source_Data!$AA$12)/Lookup_Lists!$D$143*100,0)),MAX(0,ROUND(100-ABS(KOL_Source_Data!$AA$12-50)*2,0))))))</f>
      </c>
      <c r="Q84" s="18">
        <f>IF((IF(ISNUMBER(IF(NOT(ISNUMBER(KOL_Source_Data!$AE$12)),"N/A",IF(KOL_Source_Data!$AD$12&lt;&gt;Brand_Profile!$H$14,Lookup_Lists!$D$151,MIN(100,ROUND(KOL_Source_Data!$AE$12/Lookup_Lists!$D$316*100,0))))),Lookup_Lists!$D$118,0)+IF(ISNUMBER(IF(NOT(ISNUMBER(KOL_Source_Data!$AM$12)),"N/A",MIN(100,ROUND((IF(KOL_Source_Data!$AG$12=Brand_Profile!$H$15,IF(ISNUMBER(KOL_Source_Data!$AH$12),KOL_Source_Data!$AH$12,0),0)+IF(KOL_Source_Data!$AI$12=Brand_Profile!$H$15,IF(ISNUMBER(KOL_Source_Data!$AJ$12),KOL_Source_Data!$AJ$12,0),0)+IF(KOL_Source_Data!$AK$12=Brand_Profile!$H$15,IF(ISNUMBER(KOL_Source_Data!$AL$12),KOL_Source_Data!$AL$12,0),0))/Lookup_Lists!$D$317*100,0)))),Lookup_Lists!$D$120,0))=0,"N/A",ROUND((IF(ISNUMBER(IF(NOT(ISNUMBER(KOL_Source_Data!$AE$12)),"N/A",IF(KOL_Source_Data!$AD$12&lt;&gt;Brand_Profile!$H$14,Lookup_Lists!$D$151,MIN(100,ROUND(KOL_Source_Data!$AE$12/Lookup_Lists!$D$316*100,0))))),IF(NOT(ISNUMBER(KOL_Source_Data!$AE$12)),"N/A",IF(KOL_Source_Data!$AD$12&lt;&gt;Brand_Profile!$H$14,Lookup_Lists!$D$151,MIN(100,ROUND(KOL_Source_Data!$AE$12/Lookup_Lists!$D$316*100,0))))*Lookup_Lists!$D$118,0)+IF(ISNUMBER(IF(NOT(ISNUMBER(KOL_Source_Data!$AM$12)),"N/A",MIN(100,ROUND((IF(KOL_Source_Data!$AG$12=Brand_Profile!$H$15,IF(ISNUMBER(KOL_Source_Data!$AH$12),KOL_Source_Data!$AH$12,0),0)+IF(KOL_Source_Data!$AI$12=Brand_Profile!$H$15,IF(ISNUMBER(KOL_Source_Data!$AJ$12),KOL_Source_Data!$AJ$12,0),0)+IF(KOL_Source_Data!$AK$12=Brand_Profile!$H$15,IF(ISNUMBER(KOL_Source_Data!$AL$12),KOL_Source_Data!$AL$12,0),0))/Lookup_Lists!$D$317*100,0)))),IF(NOT(ISNUMBER(KOL_Source_Data!$AM$12)),"N/A",MIN(100,ROUND((IF(KOL_Source_Data!$AG$12=Brand_Profile!$H$15,IF(ISNUMBER(KOL_Source_Data!$AH$12),KOL_Source_Data!$AH$12,0),0)+IF(KOL_Source_Data!$AI$12=Brand_Profile!$H$15,IF(ISNUMBER(KOL_Source_Data!$AJ$12),KOL_Source_Data!$AJ$12,0),0)+IF(KOL_Source_Data!$AK$12=Brand_Profile!$H$15,IF(ISNUMBER(KOL_Source_Data!$AL$12),KOL_Source_Data!$AL$12,0),0))/Lookup_Lists!$D$317*100,0)))*Lookup_Lists!$D$120,0))/(IF(ISNUMBER(IF(NOT(ISNUMBER(KOL_Source_Data!$AE$12)),"N/A",IF(KOL_Source_Data!$AD$12&lt;&gt;Brand_Profile!$H$14,Lookup_Lists!$D$151,MIN(100,ROUND(KOL_Source_Data!$AE$12/Lookup_Lists!$D$316*100,0))))),Lookup_Lists!$D$118,0)+IF(ISNUMBER(IF(NOT(ISNUMBER(KOL_Source_Data!$AM$12)),"N/A",MIN(100,ROUND((IF(KOL_Source_Data!$AG$12=Brand_Profile!$H$15,IF(ISNUMBER(KOL_Source_Data!$AH$12),KOL_Source_Data!$AH$12,0),0)+IF(KOL_Source_Data!$AI$12=Brand_Profile!$H$15,IF(ISNUMBER(KOL_Source_Data!$AJ$12),KOL_Source_Data!$AJ$12,0),0)+IF(KOL_Source_Data!$AK$12=Brand_Profile!$H$15,IF(ISNUMBER(KOL_Source_Data!$AL$12),KOL_Source_Data!$AL$12,0),0))/Lookup_Lists!$D$317*100,0)))),Lookup_Lists!$D$120,0)),0))</f>
      </c>
      <c r="R84" s="18">
        <f>IF(NOT(ISNUMBER(KOL_Source_Data!$AN$12)),"N/A",MIN(100,ROUND((IF(ISNUMBER(KOL_Source_Data!$AO$12),KOL_Source_Data!$AO$12*Brand_Profile!$H$17,0)+IF(ISNUMBER(KOL_Source_Data!$AP$12),KOL_Source_Data!$AP$12*Brand_Profile!$H$18,0)+IF(ISNUMBER(KOL_Source_Data!$AQ$12),KOL_Source_Data!$AQ$12*Brand_Profile!$H$19,0)+IF(ISNUMBER(KOL_Source_Data!$AR$12),KOL_Source_Data!$AR$12*Brand_Profile!$H$20,0)+IF(ISNUMBER(KOL_Source_Data!$AS$12),KOL_Source_Data!$AS$12*Brand_Profile!$H$21,0)+IF(ISNUMBER(KOL_Source_Data!$AT$12),KOL_Source_Data!$AT$12*Brand_Profile!$H$22,0)+IF(ISNUMBER(KOL_Source_Data!$AU$12),KOL_Source_Data!$AU$12*Brand_Profile!$H$23,0)+IF(ISNUMBER(KOL_Source_Data!$AV$12),KOL_Source_Data!$AV$12*Brand_Profile!$H$24,0)+IF(ISNUMBER(KOL_Source_Data!$AW$12),KOL_Source_Data!$AW$12*Brand_Profile!$H$25,0)+IF(ISNUMBER(KOL_Source_Data!$AX$12),KOL_Source_Data!$AX$12*Brand_Profile!$H$26,0)+IF(ISNUMBER(KOL_Source_Data!$AY$12),KOL_Source_Data!$AY$12*Brand_Profile!$H$27,0)+IF(ISNUMBER(KOL_Source_Data!$AZ$12),KOL_Source_Data!$AZ$12*Brand_Profile!$H$28,0)+IF(ISNUMBER(KOL_Source_Data!$BA$12),KOL_Source_Data!$BA$12*Brand_Profile!$H$29,0)+IF(ISNUMBER(KOL_Source_Data!$BB$12),KOL_Source_Data!$BB$12*Brand_Profile!$H$30,0)+IF(ISNUMBER(KOL_Source_Data!$BC$12),KOL_Source_Data!$BC$12*Brand_Profile!$H$31,0)+IF(ISNUMBER(KOL_Source_Data!$BD$12),KOL_Source_Data!$BD$12*Brand_Profile!$H$32,0)+IF(ISNUMBER(KOL_Source_Data!$BE$12),KOL_Source_Data!$BE$12*Brand_Profile!$H$33,0)+IF(ISNUMBER(KOL_Source_Data!$BF$12),KOL_Source_Data!$BF$12*Brand_Profile!$H$34,0))/Lookup_Lists!$D$318*100,0)))</f>
      </c>
      <c r="S84" s="29">
        <f>IF((IF(ISNUMBER(Matching_Engine!$O$84),Lookup_Lists!$D$113,0)+IF(ISNUMBER(Matching_Engine!$P$84),Lookup_Lists!$D$114,0)+IF(ISNUMBER(Matching_Engine!$Q$84),Lookup_Lists!$D$115,0)+IF(ISNUMBER(Matching_Engine!$R$84),Lookup_Lists!$D$116,0))=0,"N/A",ROUND((IF(ISNUMBER(Matching_Engine!$O$84),Matching_Engine!$O$84*Lookup_Lists!$D$113,0)+IF(ISNUMBER(Matching_Engine!$P$84),Matching_Engine!$P$84*Lookup_Lists!$D$114,0)+IF(ISNUMBER(Matching_Engine!$Q$84),Matching_Engine!$Q$84*Lookup_Lists!$D$115,0)+IF(ISNUMBER(Matching_Engine!$R$84),Matching_Engine!$R$84*Lookup_Lists!$D$116,0))/(IF(ISNUMBER(Matching_Engine!$O$84),Lookup_Lists!$D$113,0)+IF(ISNUMBER(Matching_Engine!$P$84),Lookup_Lists!$D$114,0)+IF(ISNUMBER(Matching_Engine!$Q$84),Lookup_Lists!$D$115,0)+IF(ISNUMBER(Matching_Engine!$R$84),Lookup_Lists!$D$116,0)),0))</f>
      </c>
      <c r="T84" s="11">
        <f>IF(ISNUMBER(Matching_Engine!$S$84),1,0)</f>
      </c>
      <c r="U84" s="18">
        <f>IF(NOT(AND(ISTEXT(KOL_Source_Data!$M$12),KOL_Source_Data!$M$12&lt;&gt;"N/A")),Lookup_Lists!$D$150,IF(Brand_Profile!$H$7=KOL_Source_Data!$M$12,100,IFERROR(INDEX(Lookup_Lists!$B$349:$J$357,MATCH(Brand_Profile!$H$7,Lookup_Lists!$A$349:$A$357,0),MATCH(KOL_Source_Data!$M$12,Lookup_Lists!$B$348:$J$348,0)),Lookup_Lists!$D$151)))</f>
      </c>
      <c r="V84" s="18">
        <f>IF(NOT(AND(ISTEXT(KOL_Source_Data!$P$12),KOL_Source_Data!$P$12&lt;&gt;"N/A")),"N/A",IFERROR(INDEX(Lookup_Lists!$B$349:$J$357,MATCH(Brand_Profile!$H$7,Lookup_Lists!$A$349:$A$357,0),MATCH(KOL_Source_Data!$P$12,Lookup_Lists!$B$348:$J$348,0)),Lookup_Lists!$D$151))</f>
      </c>
      <c r="W84" s="18">
        <f>IF(LEN(TRIM(SUBSTITUTE(Matching_Engine!$BE$84,"|","")))=0,"N/A",IF(Brand_Profile!$H$60=0,Lookup_Lists!$D$150,ROUND((IF(Brand_Profile!$H$54="",0,IF(ISNUMBER(SEARCH(Brand_Profile!$H$54,Matching_Engine!$BE$84)),1,0))+IF(Brand_Profile!$H$55="",0,IF(ISNUMBER(SEARCH(Brand_Profile!$H$55,Matching_Engine!$BE$84)),1,0))+IF(Brand_Profile!$H$56="",0,IF(ISNUMBER(SEARCH(Brand_Profile!$H$56,Matching_Engine!$BE$84)),1,0))+IF(Brand_Profile!$H$57="",0,IF(ISNUMBER(SEARCH(Brand_Profile!$H$57,Matching_Engine!$BE$84)),1,0))+IF(Brand_Profile!$H$58="",0,IF(ISNUMBER(SEARCH(Brand_Profile!$H$58,Matching_Engine!$BE$84)),1,0))+IF(Brand_Profile!$H$59="",0,IF(ISNUMBER(SEARCH(Brand_Profile!$H$59,Matching_Engine!$BE$84)),1,0)))/Brand_Profile!$H$60*100,0)))</f>
      </c>
      <c r="X84" s="18">
        <f>IF(NOT(AND(ISTEXT(KOL_Source_Data!$Q$12),KOL_Source_Data!$Q$12&lt;&gt;"N/A")),"N/A",Lookup_Lists!$D$150)</f>
      </c>
      <c r="Y84" s="29">
        <f>IF((IF(ISNUMBER(Matching_Engine!$U$84),Lookup_Lists!$D$335,0)+IF(ISNUMBER(Matching_Engine!$V$84),Lookup_Lists!$D$122,0)+IF(ISNUMBER(Matching_Engine!$W$84),Lookup_Lists!$D$336,0)+IF(ISNUMBER(Matching_Engine!$X$84),Lookup_Lists!$D$124,0))=0,"N/A",ROUND((IF(ISNUMBER(Matching_Engine!$U$84),Matching_Engine!$U$84*Lookup_Lists!$D$335,0)+IF(ISNUMBER(Matching_Engine!$V$84),Matching_Engine!$V$84*Lookup_Lists!$D$122,0)+IF(ISNUMBER(Matching_Engine!$W$84),Matching_Engine!$W$84*Lookup_Lists!$D$336,0)+IF(ISNUMBER(Matching_Engine!$X$84),Matching_Engine!$X$84*Lookup_Lists!$D$124,0))/(IF(ISNUMBER(Matching_Engine!$U$84),Lookup_Lists!$D$335,0)+IF(ISNUMBER(Matching_Engine!$V$84),Lookup_Lists!$D$122,0)+IF(ISNUMBER(Matching_Engine!$W$84),Lookup_Lists!$D$336,0)+IF(ISNUMBER(Matching_Engine!$X$84),Lookup_Lists!$D$124,0)),0))</f>
      </c>
      <c r="Z84" s="11">
        <f>IF(ISNUMBER(Matching_Engine!$Y$84),1,0)</f>
      </c>
      <c r="AA84" s="18">
        <f>IF(NOT(AND(ISTEXT(KOL_Source_Data!$Q$12),KOL_Source_Data!$Q$12&lt;&gt;"N/A")),"N/A",Lookup_Lists!$D$150)</f>
      </c>
      <c r="AB84" s="18">
        <f>IF(NOT(AND(ISTEXT(KOL_Source_Data!$Q$12),KOL_Source_Data!$Q$12&lt;&gt;"N/A")),"N/A",Lookup_Lists!$D$150)</f>
      </c>
      <c r="AC84" s="18">
        <f>"N/A"</f>
      </c>
      <c r="AD84" s="18">
        <f>IF(NOT(AND(ISTEXT(KOL_Source_Data!$Q$12),KOL_Source_Data!$Q$12&lt;&gt;"N/A")),"N/A",Lookup_Lists!$D$150)</f>
      </c>
      <c r="AE84" s="29">
        <f>IF((IF(ISNUMBER(Matching_Engine!$AA$84),Lookup_Lists!$D$125,0)+IF(ISNUMBER(Matching_Engine!$AB$84),Lookup_Lists!$D$126,0)+IF(ISNUMBER(Matching_Engine!$AC$84),Lookup_Lists!$D$127,0)+IF(ISNUMBER(Matching_Engine!$AD$84),Lookup_Lists!$D$128,0))=0,"N/A",ROUND((IF(ISNUMBER(Matching_Engine!$AA$84),Matching_Engine!$AA$84*Lookup_Lists!$D$125,0)+IF(ISNUMBER(Matching_Engine!$AB$84),Matching_Engine!$AB$84*Lookup_Lists!$D$126,0)+IF(ISNUMBER(Matching_Engine!$AC$84),Matching_Engine!$AC$84*Lookup_Lists!$D$127,0)+IF(ISNUMBER(Matching_Engine!$AD$84),Matching_Engine!$AD$84*Lookup_Lists!$D$128,0))/(IF(ISNUMBER(Matching_Engine!$AA$84),Lookup_Lists!$D$125,0)+IF(ISNUMBER(Matching_Engine!$AB$84),Lookup_Lists!$D$126,0)+IF(ISNUMBER(Matching_Engine!$AC$84),Lookup_Lists!$D$127,0)+IF(ISNUMBER(Matching_Engine!$AD$84),Lookup_Lists!$D$128,0)),0))</f>
      </c>
      <c r="AF84" s="11">
        <f>IF(ISNUMBER(Matching_Engine!$AE$84),1,0)</f>
      </c>
      <c r="AG84" s="18">
        <f>IF(NOT(ISNUMBER(KOL_Source_Data!$BG$12)),"N/A",MIN(100,ROUND(KOL_Source_Data!$BG$12/IFERROR(INDEX(Lookup_Lists!$B$340:$B$344,MATCH(KOL_Source_Data!$H$12,Lookup_Lists!$A$340:$A$344,0)),Lookup_Lists!$D$141)*100,0)))</f>
      </c>
      <c r="AH84" s="18">
        <f>IF(NOT(ISNUMBER(KOL_Source_Data!$BS$12)),"N/A",MIN(100,MAX(0,KOL_Source_Data!$BS$12)))</f>
      </c>
      <c r="AI84" s="18">
        <f>IF(OR(NOT(ISNUMBER(KOL_Source_Data!$BM$12)),NOT(ISNUMBER(KOL_Source_Data!$BN$12)),KOL_Source_Data!$BN$12&lt;Lookup_Lists!$D$320),"N/A",MIN(100,ROUND(KOL_Source_Data!$BM$12/Lookup_Lists!$D$319*100,0)))</f>
      </c>
      <c r="AJ84" s="18">
        <f>IF(NOT(ISNUMBER(KOL_Source_Data!$BR$12)),"N/A",KOL_Source_Data!$BR$12)</f>
      </c>
      <c r="AK84" s="18">
        <f>IF(NOT(ISNUMBER(KOL_Source_Data!$BK$12)),"N/A",MIN(100,ROUND(KOL_Source_Data!$BK$12/Lookup_Lists!$D$321*100,0)))</f>
      </c>
      <c r="AL84" s="18">
        <f>IF(NOT(ISNUMBER(KOL_Source_Data!$BP$12)),"N/A",MIN(100,MAX(0,ROUND((KOL_Source_Data!$BP$12+2)/(Lookup_Lists!$D$145+2)*100,0))))</f>
      </c>
      <c r="AM84" s="29">
        <f>IF((IF(ISNUMBER(Matching_Engine!$AG$84),Lookup_Lists!$D$129,0)+IF(ISNUMBER(Matching_Engine!$AH$84),Lookup_Lists!$D$130,0)+IF(ISNUMBER(Matching_Engine!$AI$84),Lookup_Lists!$D$131,0)+IF(ISNUMBER(Matching_Engine!$AJ$84),Lookup_Lists!$D$132,0)+IF(ISNUMBER(Matching_Engine!$AK$84),Lookup_Lists!$D$133,0)+IF(ISNUMBER(Matching_Engine!$AL$84),Lookup_Lists!$D$134,0))=0,"N/A",ROUND((IF(ISNUMBER(Matching_Engine!$AG$84),Matching_Engine!$AG$84*Lookup_Lists!$D$129,0)+IF(ISNUMBER(Matching_Engine!$AH$84),Matching_Engine!$AH$84*Lookup_Lists!$D$130,0)+IF(ISNUMBER(Matching_Engine!$AI$84),Matching_Engine!$AI$84*Lookup_Lists!$D$131,0)+IF(ISNUMBER(Matching_Engine!$AJ$84),Matching_Engine!$AJ$84*Lookup_Lists!$D$132,0)+IF(ISNUMBER(Matching_Engine!$AK$84),Matching_Engine!$AK$84*Lookup_Lists!$D$133,0)+IF(ISNUMBER(Matching_Engine!$AL$84),Matching_Engine!$AL$84*Lookup_Lists!$D$134,0))/(IF(ISNUMBER(Matching_Engine!$AG$84),Lookup_Lists!$D$129,0)+IF(ISNUMBER(Matching_Engine!$AH$84),Lookup_Lists!$D$130,0)+IF(ISNUMBER(Matching_Engine!$AI$84),Lookup_Lists!$D$131,0)+IF(ISNUMBER(Matching_Engine!$AJ$84),Lookup_Lists!$D$132,0)+IF(ISNUMBER(Matching_Engine!$AK$84),Lookup_Lists!$D$133,0)+IF(ISNUMBER(Matching_Engine!$AL$84),Lookup_Lists!$D$134,0)),0))</f>
      </c>
      <c r="AN84" s="11">
        <f>IF(ISNUMBER(Matching_Engine!$AM$84),1,0)</f>
      </c>
      <c r="AO84" s="18">
        <f>IF(NOT(ISNUMBER(KOL_Source_Data!$BT$12)),"N/A",MIN(100,MAX(0,KOL_Source_Data!$BT$12)))</f>
      </c>
      <c r="AP84" s="18">
        <f>IF(NOT(ISNUMBER(KOL_Source_Data!$BU$12)),"N/A",MIN(100,MAX(0,KOL_Source_Data!$BU$12)))</f>
      </c>
      <c r="AQ84" s="18">
        <f>IF(KOL_Source_Data!$I$12="Yes",Lookup_Lists!$D$326,IF(KOL_Source_Data!$I$12="No",Lookup_Lists!$D$327,"N/A"))</f>
      </c>
      <c r="AR84" s="18">
        <f>IF(NOT(ISNUMBER(KOL_Source_Data!$BQ$12)),"N/A",MAX(0,ROUND(100-KOL_Source_Data!$BQ$12/Lookup_Lists!$D$328*100,0)))</f>
      </c>
      <c r="AS84" s="18">
        <f>IF(NOT(AND(ISTEXT(KOL_Source_Data!$BV$12),KOL_Source_Data!$BV$12&lt;&gt;"N/A")),"N/A",KOL_Source_Data!$BV$12)</f>
      </c>
      <c r="AT84" s="29">
        <f>IF((IF(ISNUMBER(Matching_Engine!$AO$84),Lookup_Lists!$D$322,0)+IF(ISNUMBER(Matching_Engine!$AP$84),Lookup_Lists!$D$323,0)+IF(ISNUMBER(Matching_Engine!$AQ$84),Lookup_Lists!$D$324,0)+IF(ISNUMBER(Matching_Engine!$AR$84),Lookup_Lists!$D$325,0))=0,"N/A",ROUND((IF(ISNUMBER(Matching_Engine!$AO$84),Matching_Engine!$AO$84*Lookup_Lists!$D$322,0)+IF(ISNUMBER(Matching_Engine!$AP$84),Matching_Engine!$AP$84*Lookup_Lists!$D$323,0)+IF(ISNUMBER(Matching_Engine!$AQ$84),Matching_Engine!$AQ$84*Lookup_Lists!$D$324,0)+IF(ISNUMBER(Matching_Engine!$AR$84),Matching_Engine!$AR$84*Lookup_Lists!$D$325,0))/(IF(ISNUMBER(Matching_Engine!$AO$84),Lookup_Lists!$D$322,0)+IF(ISNUMBER(Matching_Engine!$AP$84),Lookup_Lists!$D$323,0)+IF(ISNUMBER(Matching_Engine!$AQ$84),Lookup_Lists!$D$324,0)+IF(ISNUMBER(Matching_Engine!$AR$84),Lookup_Lists!$D$325,0)),0))</f>
      </c>
      <c r="AU84" s="11">
        <f>IF(ISNUMBER(Matching_Engine!$AT$84),1,0)</f>
      </c>
      <c r="AV84" s="11">
        <f>IF(NOT(ISNUMBER(Matching_Engine!$AT$84)),"Not Screened",IF(Matching_Engine!$AT$84&gt;=Lookup_Lists!$D$329,"Low Risk",IF(Matching_Engine!$AT$84&gt;=Lookup_Lists!$D$330,"Moderate Risk",IF(Matching_Engine!$AT$84&gt;=Lookup_Lists!$D$331,"Elevated Risk","High Risk"))))</f>
      </c>
      <c r="AW84" s="11">
        <f>IF(NOT(ISNUMBER(Matching_Engine!$AT$84)),"No integrity signal: no audience-analysis row for this account.","Integrity screen only — no content-risk reading exists (comments_analysis: 0 rows). "&amp;IF(ISNUMBER(Matching_Engine!$AO$84),"Authenticity "&amp;Matching_Engine!$AO$84&amp;". ","Authenticity N/A. ")&amp;IF(ISNUMBER(Matching_Engine!$AP$84),"Follower quality "&amp;Matching_Engine!$AP$84&amp;". ","Follower quality N/A. ")&amp;IF(KOL_Source_Data!$I$12="Yes","Platform-verified.","Not platform-verified."))</f>
      </c>
      <c r="AX84" s="18">
        <f>Matching_Engine!$N$84*Lookup_Lists!$D$104+Matching_Engine!$T$84*Lookup_Lists!$D$105+Matching_Engine!$Z$84*Lookup_Lists!$D$106+Matching_Engine!$AF$84*Lookup_Lists!$D$107+Matching_Engine!$AN$84*Lookup_Lists!$D$108+Matching_Engine!$AU$84*Lookup_Lists!$D$109</f>
      </c>
      <c r="AY84" s="30">
        <f>IF(Matching_Engine!$AX$84=0,"N/A",ROUND((IF(Matching_Engine!$N$84=1,Matching_Engine!$M$84*Lookup_Lists!$D$104,0)+IF(Matching_Engine!$T$84=1,Matching_Engine!$S$84*Lookup_Lists!$D$105,0)+IF(Matching_Engine!$Z$84=1,Matching_Engine!$Y$84*Lookup_Lists!$D$106,0)+IF(Matching_Engine!$AF$84=1,Matching_Engine!$AE$84*Lookup_Lists!$D$107,0)+IF(Matching_Engine!$AN$84=1,Matching_Engine!$AM$84*Lookup_Lists!$D$108,0)+IF(Matching_Engine!$AU$84=1,Matching_Engine!$AT$84*Lookup_Lists!$D$109,0))/Matching_Engine!$AX$84,0))</f>
      </c>
      <c r="AZ84" s="11">
        <f>IF(NOT(ISNUMBER(Matching_Engine!$AY$84)),"Not Scored",IF(Matching_Engine!$AY$84&gt;=Lookup_Lists!$D$152,"Excellent Match",IF(Matching_Engine!$AY$84&gt;=Lookup_Lists!$D$153,"Strong Match",IF(Matching_Engine!$AY$84&gt;=Lookup_Lists!$D$154,"Good Match",IF(Matching_Engine!$AY$84&gt;=Lookup_Lists!$D$155,"Moderate Match","Low Match")))))</f>
      </c>
      <c r="BA84" s="18">
        <f>KOL_Source_Data!$BW$12</f>
      </c>
      <c r="BB84" s="11">
        <f>KOL_Source_Data!$BX$12</f>
      </c>
      <c r="BC84" s="18">
        <f>IF(NOT(ISNUMBER(Matching_Engine!$AY$84)),-1,Matching_Engine!$AY$84*1000+18)</f>
      </c>
      <c r="BD84" s="11">
        <f>IF(AND(ISTEXT(KOL_Source_Data!$S$12),KOL_Source_Data!$S$12&lt;&gt;"N/A"),KOL_Source_Data!$S$12,"")&amp;" | "&amp;IF(AND(ISTEXT(KOL_Source_Data!$T$12),KOL_Source_Data!$T$12&lt;&gt;"N/A"),KOL_Source_Data!$T$12,"")&amp;" | "&amp;IF(AND(ISTEXT(KOL_Source_Data!$N$12),KOL_Source_Data!$N$12&lt;&gt;"N/A"),KOL_Source_Data!$N$12,"")&amp;" | "&amp;IF(AND(ISTEXT(KOL_Source_Data!$K$12),KOL_Source_Data!$K$12&lt;&gt;"N/A"),KOL_Source_Data!$K$12,"")&amp;" | "&amp;IF(AND(ISTEXT(KOL_Source_Data!$J$12),KOL_Source_Data!$J$12&lt;&gt;"N/A"),KOL_Source_Data!$J$12,"")</f>
      </c>
      <c r="BE84" s="11">
        <f>IF(AND(ISTEXT(KOL_Source_Data!$T$12),KOL_Source_Data!$T$12&lt;&gt;"N/A"),KOL_Source_Data!$T$12,"")&amp;" | "&amp;IF(AND(ISTEXT(KOL_Source_Data!$N$12),KOL_Source_Data!$N$12&lt;&gt;"N/A"),KOL_Source_Data!$N$12,"")&amp;" | "&amp;IF(AND(ISTEXT(KOL_Source_Data!$O$12),KOL_Source_Data!$O$12&lt;&gt;"N/A"),KOL_Source_Data!$O$12,"")&amp;" | "&amp;IF(AND(ISTEXT(KOL_Source_Data!$S$12),KOL_Source_Data!$S$12&lt;&gt;"N/A"),KOL_Source_Data!$S$12,"")</f>
      </c>
      <c r="BF84" s="11">
        <f>IF(AND(ISTEXT(KOL_Source_Data!$U$12),KOL_Source_Data!$U$12&lt;&gt;"N/A"),KOL_Source_Data!$U$12,"")</f>
      </c>
      <c r="BG84" s="11">
        <f>Matching_Engine!$A$84&amp;"|"&amp;Matching_Engine!$C$84</f>
      </c>
    </row>
    <row r="85" spans="1:59" x14ac:dyDescent="0.25">
      <c r="A85" s="10" t="s">
        <v>393</v>
      </c>
      <c r="B85" s="11">
        <f>Brand_Profile!$H$6</f>
      </c>
      <c r="C85" s="11">
        <f>KOL_Source_Data!$A$13</f>
      </c>
      <c r="D85" s="11">
        <f>KOL_Source_Data!$C$13</f>
      </c>
      <c r="E85" s="11">
        <f>KOL_Source_Data!$D$13</f>
      </c>
      <c r="F85" s="11">
        <f>KOL_Source_Data!$E$13</f>
      </c>
      <c r="G85" s="11">
        <f>KOL_Source_Data!$K$13</f>
      </c>
      <c r="H85" s="12">
        <f>KOL_Source_Data!$G$13</f>
      </c>
      <c r="I85" s="14">
        <f>KOL_Source_Data!$BG$13</f>
      </c>
      <c r="J85" s="18">
        <f>IF(NOT(AND(ISTEXT(KOL_Source_Data!$K$13),KOL_Source_Data!$K$13&lt;&gt;"N/A")),Lookup_Lists!$D$150,IF(Brand_Profile!$H$7=KOL_Source_Data!$K$13,100,IFERROR(INDEX(Lookup_Lists!$B$349:$J$357,MATCH(Brand_Profile!$H$7,Lookup_Lists!$A$349:$A$357,0),MATCH(KOL_Source_Data!$K$13,Lookup_Lists!$B$348:$J$348,0)),Lookup_Lists!$D$151)))</f>
      </c>
      <c r="K85" s="18">
        <f>IF(LEN(TRIM(SUBSTITUTE(Matching_Engine!$BD$85,"|","")))=0,"N/A",IF(Brand_Profile!$H$47=0,Lookup_Lists!$D$150,ROUND((IF(Brand_Profile!$H$41="",0,IF(ISNUMBER(SEARCH(Brand_Profile!$H$41,Matching_Engine!$BD$85)),1,0))+IF(Brand_Profile!$H$42="",0,IF(ISNUMBER(SEARCH(Brand_Profile!$H$42,Matching_Engine!$BD$85)),1,0))+IF(Brand_Profile!$H$43="",0,IF(ISNUMBER(SEARCH(Brand_Profile!$H$43,Matching_Engine!$BD$85)),1,0))+IF(Brand_Profile!$H$44="",0,IF(ISNUMBER(SEARCH(Brand_Profile!$H$44,Matching_Engine!$BD$85)),1,0))+IF(Brand_Profile!$H$45="",0,IF(ISNUMBER(SEARCH(Brand_Profile!$H$45,Matching_Engine!$BD$85)),1,0))+IF(Brand_Profile!$H$46="",0,IF(ISNUMBER(SEARCH(Brand_Profile!$H$46,Matching_Engine!$BD$85)),1,0)))/Brand_Profile!$H$47*100,0)))</f>
      </c>
      <c r="L85" s="18">
        <f>IF(NOT(AND(ISTEXT(KOL_Source_Data!$U$13),KOL_Source_Data!$U$13&lt;&gt;"N/A")),"N/A",IF(Brand_Profile!$H$53=0,Lookup_Lists!$D$150,ROUND((IF(Brand_Profile!$H$48="",0,IF(ISNUMBER(SEARCH(Brand_Profile!$H$48,Matching_Engine!$BF$85)),1,0))+IF(Brand_Profile!$H$49="",0,IF(ISNUMBER(SEARCH(Brand_Profile!$H$49,Matching_Engine!$BF$85)),1,0))+IF(Brand_Profile!$H$50="",0,IF(ISNUMBER(SEARCH(Brand_Profile!$H$50,Matching_Engine!$BF$85)),1,0))+IF(Brand_Profile!$H$51="",0,IF(ISNUMBER(SEARCH(Brand_Profile!$H$51,Matching_Engine!$BF$85)),1,0))+IF(Brand_Profile!$H$52="",0,IF(ISNUMBER(SEARCH(Brand_Profile!$H$52,Matching_Engine!$BF$85)),1,0)))/Brand_Profile!$H$53*100,0)))</f>
      </c>
      <c r="M85" s="29">
        <f>IF((IF(ISNUMBER(Matching_Engine!$J$85),Lookup_Lists!$D$332,0)+IF(ISNUMBER(Matching_Engine!$K$85),Lookup_Lists!$D$333,0)+IF(ISNUMBER(Matching_Engine!$L$85),Lookup_Lists!$D$334,0))=0,"N/A",ROUND((IF(ISNUMBER(Matching_Engine!$J$85),Matching_Engine!$J$85*Lookup_Lists!$D$332,0)+IF(ISNUMBER(Matching_Engine!$K$85),Matching_Engine!$K$85*Lookup_Lists!$D$333,0)+IF(ISNUMBER(Matching_Engine!$L$85),Matching_Engine!$L$85*Lookup_Lists!$D$334,0))/(IF(ISNUMBER(Matching_Engine!$J$85),Lookup_Lists!$D$332,0)+IF(ISNUMBER(Matching_Engine!$K$85),Lookup_Lists!$D$333,0)+IF(ISNUMBER(Matching_Engine!$L$85),Lookup_Lists!$D$334,0)),0))</f>
      </c>
      <c r="N85" s="11">
        <f>IF(ISNUMBER(Matching_Engine!$M$85),1,0)</f>
      </c>
      <c r="O85" s="18">
        <f>IF(NOT(ISNUMBER(IFERROR(INDEX(KOL_Source_Data!$V$13:KOL_Source_Data!$Z$13,1,MATCH(Brand_Profile!$H$11,Lookup_Lists!$F$6:$F$10,0)),""))),"N/A",MIN(100,ROUND((IFERROR(INDEX(KOL_Source_Data!$V$13:KOL_Source_Data!$Z$13,1,MATCH(Brand_Profile!$H$11,Lookup_Lists!$F$6:$F$10,0)),"")+0.5*IF(ISNUMBER(IFERROR(INDEX(KOL_Source_Data!$V$13:KOL_Source_Data!$Z$13,1,MATCH(Brand_Profile!$H$12,Lookup_Lists!$F$6:$F$10,0)),"")),IFERROR(INDEX(KOL_Source_Data!$V$13:KOL_Source_Data!$Z$13,1,MATCH(Brand_Profile!$H$12,Lookup_Lists!$F$6:$F$10,0)),""),0))/Lookup_Lists!$D$142*100,0)))</f>
      </c>
      <c r="P85" s="18">
        <f>IF(Brand_Profile!$H$13="Any",100,IF(NOT(ISNUMBER(KOL_Source_Data!$AA$13)),"N/A",IF(Brand_Profile!$H$13="Female",MIN(100,ROUND(KOL_Source_Data!$AA$13/Lookup_Lists!$D$143*100,0)),IF(Brand_Profile!$H$13="Male",MIN(100,ROUND(IF(ISNUMBER(KOL_Source_Data!$AB$13),KOL_Source_Data!$AB$13,100-KOL_Source_Data!$AA$13)/Lookup_Lists!$D$143*100,0)),MAX(0,ROUND(100-ABS(KOL_Source_Data!$AA$13-50)*2,0))))))</f>
      </c>
      <c r="Q85" s="18">
        <f>IF((IF(ISNUMBER(IF(NOT(ISNUMBER(KOL_Source_Data!$AE$13)),"N/A",IF(KOL_Source_Data!$AD$13&lt;&gt;Brand_Profile!$H$14,Lookup_Lists!$D$151,MIN(100,ROUND(KOL_Source_Data!$AE$13/Lookup_Lists!$D$316*100,0))))),Lookup_Lists!$D$118,0)+IF(ISNUMBER(IF(NOT(ISNUMBER(KOL_Source_Data!$AM$13)),"N/A",MIN(100,ROUND((IF(KOL_Source_Data!$AG$13=Brand_Profile!$H$15,IF(ISNUMBER(KOL_Source_Data!$AH$13),KOL_Source_Data!$AH$13,0),0)+IF(KOL_Source_Data!$AI$13=Brand_Profile!$H$15,IF(ISNUMBER(KOL_Source_Data!$AJ$13),KOL_Source_Data!$AJ$13,0),0)+IF(KOL_Source_Data!$AK$13=Brand_Profile!$H$15,IF(ISNUMBER(KOL_Source_Data!$AL$13),KOL_Source_Data!$AL$13,0),0))/Lookup_Lists!$D$317*100,0)))),Lookup_Lists!$D$120,0))=0,"N/A",ROUND((IF(ISNUMBER(IF(NOT(ISNUMBER(KOL_Source_Data!$AE$13)),"N/A",IF(KOL_Source_Data!$AD$13&lt;&gt;Brand_Profile!$H$14,Lookup_Lists!$D$151,MIN(100,ROUND(KOL_Source_Data!$AE$13/Lookup_Lists!$D$316*100,0))))),IF(NOT(ISNUMBER(KOL_Source_Data!$AE$13)),"N/A",IF(KOL_Source_Data!$AD$13&lt;&gt;Brand_Profile!$H$14,Lookup_Lists!$D$151,MIN(100,ROUND(KOL_Source_Data!$AE$13/Lookup_Lists!$D$316*100,0))))*Lookup_Lists!$D$118,0)+IF(ISNUMBER(IF(NOT(ISNUMBER(KOL_Source_Data!$AM$13)),"N/A",MIN(100,ROUND((IF(KOL_Source_Data!$AG$13=Brand_Profile!$H$15,IF(ISNUMBER(KOL_Source_Data!$AH$13),KOL_Source_Data!$AH$13,0),0)+IF(KOL_Source_Data!$AI$13=Brand_Profile!$H$15,IF(ISNUMBER(KOL_Source_Data!$AJ$13),KOL_Source_Data!$AJ$13,0),0)+IF(KOL_Source_Data!$AK$13=Brand_Profile!$H$15,IF(ISNUMBER(KOL_Source_Data!$AL$13),KOL_Source_Data!$AL$13,0),0))/Lookup_Lists!$D$317*100,0)))),IF(NOT(ISNUMBER(KOL_Source_Data!$AM$13)),"N/A",MIN(100,ROUND((IF(KOL_Source_Data!$AG$13=Brand_Profile!$H$15,IF(ISNUMBER(KOL_Source_Data!$AH$13),KOL_Source_Data!$AH$13,0),0)+IF(KOL_Source_Data!$AI$13=Brand_Profile!$H$15,IF(ISNUMBER(KOL_Source_Data!$AJ$13),KOL_Source_Data!$AJ$13,0),0)+IF(KOL_Source_Data!$AK$13=Brand_Profile!$H$15,IF(ISNUMBER(KOL_Source_Data!$AL$13),KOL_Source_Data!$AL$13,0),0))/Lookup_Lists!$D$317*100,0)))*Lookup_Lists!$D$120,0))/(IF(ISNUMBER(IF(NOT(ISNUMBER(KOL_Source_Data!$AE$13)),"N/A",IF(KOL_Source_Data!$AD$13&lt;&gt;Brand_Profile!$H$14,Lookup_Lists!$D$151,MIN(100,ROUND(KOL_Source_Data!$AE$13/Lookup_Lists!$D$316*100,0))))),Lookup_Lists!$D$118,0)+IF(ISNUMBER(IF(NOT(ISNUMBER(KOL_Source_Data!$AM$13)),"N/A",MIN(100,ROUND((IF(KOL_Source_Data!$AG$13=Brand_Profile!$H$15,IF(ISNUMBER(KOL_Source_Data!$AH$13),KOL_Source_Data!$AH$13,0),0)+IF(KOL_Source_Data!$AI$13=Brand_Profile!$H$15,IF(ISNUMBER(KOL_Source_Data!$AJ$13),KOL_Source_Data!$AJ$13,0),0)+IF(KOL_Source_Data!$AK$13=Brand_Profile!$H$15,IF(ISNUMBER(KOL_Source_Data!$AL$13),KOL_Source_Data!$AL$13,0),0))/Lookup_Lists!$D$317*100,0)))),Lookup_Lists!$D$120,0)),0))</f>
      </c>
      <c r="R85" s="18">
        <f>IF(NOT(ISNUMBER(KOL_Source_Data!$AN$13)),"N/A",MIN(100,ROUND((IF(ISNUMBER(KOL_Source_Data!$AO$13),KOL_Source_Data!$AO$13*Brand_Profile!$H$17,0)+IF(ISNUMBER(KOL_Source_Data!$AP$13),KOL_Source_Data!$AP$13*Brand_Profile!$H$18,0)+IF(ISNUMBER(KOL_Source_Data!$AQ$13),KOL_Source_Data!$AQ$13*Brand_Profile!$H$19,0)+IF(ISNUMBER(KOL_Source_Data!$AR$13),KOL_Source_Data!$AR$13*Brand_Profile!$H$20,0)+IF(ISNUMBER(KOL_Source_Data!$AS$13),KOL_Source_Data!$AS$13*Brand_Profile!$H$21,0)+IF(ISNUMBER(KOL_Source_Data!$AT$13),KOL_Source_Data!$AT$13*Brand_Profile!$H$22,0)+IF(ISNUMBER(KOL_Source_Data!$AU$13),KOL_Source_Data!$AU$13*Brand_Profile!$H$23,0)+IF(ISNUMBER(KOL_Source_Data!$AV$13),KOL_Source_Data!$AV$13*Brand_Profile!$H$24,0)+IF(ISNUMBER(KOL_Source_Data!$AW$13),KOL_Source_Data!$AW$13*Brand_Profile!$H$25,0)+IF(ISNUMBER(KOL_Source_Data!$AX$13),KOL_Source_Data!$AX$13*Brand_Profile!$H$26,0)+IF(ISNUMBER(KOL_Source_Data!$AY$13),KOL_Source_Data!$AY$13*Brand_Profile!$H$27,0)+IF(ISNUMBER(KOL_Source_Data!$AZ$13),KOL_Source_Data!$AZ$13*Brand_Profile!$H$28,0)+IF(ISNUMBER(KOL_Source_Data!$BA$13),KOL_Source_Data!$BA$13*Brand_Profile!$H$29,0)+IF(ISNUMBER(KOL_Source_Data!$BB$13),KOL_Source_Data!$BB$13*Brand_Profile!$H$30,0)+IF(ISNUMBER(KOL_Source_Data!$BC$13),KOL_Source_Data!$BC$13*Brand_Profile!$H$31,0)+IF(ISNUMBER(KOL_Source_Data!$BD$13),KOL_Source_Data!$BD$13*Brand_Profile!$H$32,0)+IF(ISNUMBER(KOL_Source_Data!$BE$13),KOL_Source_Data!$BE$13*Brand_Profile!$H$33,0)+IF(ISNUMBER(KOL_Source_Data!$BF$13),KOL_Source_Data!$BF$13*Brand_Profile!$H$34,0))/Lookup_Lists!$D$318*100,0)))</f>
      </c>
      <c r="S85" s="29">
        <f>IF((IF(ISNUMBER(Matching_Engine!$O$85),Lookup_Lists!$D$113,0)+IF(ISNUMBER(Matching_Engine!$P$85),Lookup_Lists!$D$114,0)+IF(ISNUMBER(Matching_Engine!$Q$85),Lookup_Lists!$D$115,0)+IF(ISNUMBER(Matching_Engine!$R$85),Lookup_Lists!$D$116,0))=0,"N/A",ROUND((IF(ISNUMBER(Matching_Engine!$O$85),Matching_Engine!$O$85*Lookup_Lists!$D$113,0)+IF(ISNUMBER(Matching_Engine!$P$85),Matching_Engine!$P$85*Lookup_Lists!$D$114,0)+IF(ISNUMBER(Matching_Engine!$Q$85),Matching_Engine!$Q$85*Lookup_Lists!$D$115,0)+IF(ISNUMBER(Matching_Engine!$R$85),Matching_Engine!$R$85*Lookup_Lists!$D$116,0))/(IF(ISNUMBER(Matching_Engine!$O$85),Lookup_Lists!$D$113,0)+IF(ISNUMBER(Matching_Engine!$P$85),Lookup_Lists!$D$114,0)+IF(ISNUMBER(Matching_Engine!$Q$85),Lookup_Lists!$D$115,0)+IF(ISNUMBER(Matching_Engine!$R$85),Lookup_Lists!$D$116,0)),0))</f>
      </c>
      <c r="T85" s="11">
        <f>IF(ISNUMBER(Matching_Engine!$S$85),1,0)</f>
      </c>
      <c r="U85" s="18">
        <f>IF(NOT(AND(ISTEXT(KOL_Source_Data!$M$13),KOL_Source_Data!$M$13&lt;&gt;"N/A")),Lookup_Lists!$D$150,IF(Brand_Profile!$H$7=KOL_Source_Data!$M$13,100,IFERROR(INDEX(Lookup_Lists!$B$349:$J$357,MATCH(Brand_Profile!$H$7,Lookup_Lists!$A$349:$A$357,0),MATCH(KOL_Source_Data!$M$13,Lookup_Lists!$B$348:$J$348,0)),Lookup_Lists!$D$151)))</f>
      </c>
      <c r="V85" s="18">
        <f>IF(NOT(AND(ISTEXT(KOL_Source_Data!$P$13),KOL_Source_Data!$P$13&lt;&gt;"N/A")),"N/A",IFERROR(INDEX(Lookup_Lists!$B$349:$J$357,MATCH(Brand_Profile!$H$7,Lookup_Lists!$A$349:$A$357,0),MATCH(KOL_Source_Data!$P$13,Lookup_Lists!$B$348:$J$348,0)),Lookup_Lists!$D$151))</f>
      </c>
      <c r="W85" s="18">
        <f>IF(LEN(TRIM(SUBSTITUTE(Matching_Engine!$BE$85,"|","")))=0,"N/A",IF(Brand_Profile!$H$60=0,Lookup_Lists!$D$150,ROUND((IF(Brand_Profile!$H$54="",0,IF(ISNUMBER(SEARCH(Brand_Profile!$H$54,Matching_Engine!$BE$85)),1,0))+IF(Brand_Profile!$H$55="",0,IF(ISNUMBER(SEARCH(Brand_Profile!$H$55,Matching_Engine!$BE$85)),1,0))+IF(Brand_Profile!$H$56="",0,IF(ISNUMBER(SEARCH(Brand_Profile!$H$56,Matching_Engine!$BE$85)),1,0))+IF(Brand_Profile!$H$57="",0,IF(ISNUMBER(SEARCH(Brand_Profile!$H$57,Matching_Engine!$BE$85)),1,0))+IF(Brand_Profile!$H$58="",0,IF(ISNUMBER(SEARCH(Brand_Profile!$H$58,Matching_Engine!$BE$85)),1,0))+IF(Brand_Profile!$H$59="",0,IF(ISNUMBER(SEARCH(Brand_Profile!$H$59,Matching_Engine!$BE$85)),1,0)))/Brand_Profile!$H$60*100,0)))</f>
      </c>
      <c r="X85" s="18">
        <f>IF(NOT(AND(ISTEXT(KOL_Source_Data!$Q$13),KOL_Source_Data!$Q$13&lt;&gt;"N/A")),"N/A",Lookup_Lists!$D$150)</f>
      </c>
      <c r="Y85" s="29">
        <f>IF((IF(ISNUMBER(Matching_Engine!$U$85),Lookup_Lists!$D$335,0)+IF(ISNUMBER(Matching_Engine!$V$85),Lookup_Lists!$D$122,0)+IF(ISNUMBER(Matching_Engine!$W$85),Lookup_Lists!$D$336,0)+IF(ISNUMBER(Matching_Engine!$X$85),Lookup_Lists!$D$124,0))=0,"N/A",ROUND((IF(ISNUMBER(Matching_Engine!$U$85),Matching_Engine!$U$85*Lookup_Lists!$D$335,0)+IF(ISNUMBER(Matching_Engine!$V$85),Matching_Engine!$V$85*Lookup_Lists!$D$122,0)+IF(ISNUMBER(Matching_Engine!$W$85),Matching_Engine!$W$85*Lookup_Lists!$D$336,0)+IF(ISNUMBER(Matching_Engine!$X$85),Matching_Engine!$X$85*Lookup_Lists!$D$124,0))/(IF(ISNUMBER(Matching_Engine!$U$85),Lookup_Lists!$D$335,0)+IF(ISNUMBER(Matching_Engine!$V$85),Lookup_Lists!$D$122,0)+IF(ISNUMBER(Matching_Engine!$W$85),Lookup_Lists!$D$336,0)+IF(ISNUMBER(Matching_Engine!$X$85),Lookup_Lists!$D$124,0)),0))</f>
      </c>
      <c r="Z85" s="11">
        <f>IF(ISNUMBER(Matching_Engine!$Y$85),1,0)</f>
      </c>
      <c r="AA85" s="18">
        <f>IF(NOT(AND(ISTEXT(KOL_Source_Data!$Q$13),KOL_Source_Data!$Q$13&lt;&gt;"N/A")),"N/A",Lookup_Lists!$D$150)</f>
      </c>
      <c r="AB85" s="18">
        <f>IF(NOT(AND(ISTEXT(KOL_Source_Data!$Q$13),KOL_Source_Data!$Q$13&lt;&gt;"N/A")),"N/A",Lookup_Lists!$D$150)</f>
      </c>
      <c r="AC85" s="18">
        <f>"N/A"</f>
      </c>
      <c r="AD85" s="18">
        <f>IF(NOT(AND(ISTEXT(KOL_Source_Data!$Q$13),KOL_Source_Data!$Q$13&lt;&gt;"N/A")),"N/A",Lookup_Lists!$D$150)</f>
      </c>
      <c r="AE85" s="29">
        <f>IF((IF(ISNUMBER(Matching_Engine!$AA$85),Lookup_Lists!$D$125,0)+IF(ISNUMBER(Matching_Engine!$AB$85),Lookup_Lists!$D$126,0)+IF(ISNUMBER(Matching_Engine!$AC$85),Lookup_Lists!$D$127,0)+IF(ISNUMBER(Matching_Engine!$AD$85),Lookup_Lists!$D$128,0))=0,"N/A",ROUND((IF(ISNUMBER(Matching_Engine!$AA$85),Matching_Engine!$AA$85*Lookup_Lists!$D$125,0)+IF(ISNUMBER(Matching_Engine!$AB$85),Matching_Engine!$AB$85*Lookup_Lists!$D$126,0)+IF(ISNUMBER(Matching_Engine!$AC$85),Matching_Engine!$AC$85*Lookup_Lists!$D$127,0)+IF(ISNUMBER(Matching_Engine!$AD$85),Matching_Engine!$AD$85*Lookup_Lists!$D$128,0))/(IF(ISNUMBER(Matching_Engine!$AA$85),Lookup_Lists!$D$125,0)+IF(ISNUMBER(Matching_Engine!$AB$85),Lookup_Lists!$D$126,0)+IF(ISNUMBER(Matching_Engine!$AC$85),Lookup_Lists!$D$127,0)+IF(ISNUMBER(Matching_Engine!$AD$85),Lookup_Lists!$D$128,0)),0))</f>
      </c>
      <c r="AF85" s="11">
        <f>IF(ISNUMBER(Matching_Engine!$AE$85),1,0)</f>
      </c>
      <c r="AG85" s="18">
        <f>IF(NOT(ISNUMBER(KOL_Source_Data!$BG$13)),"N/A",MIN(100,ROUND(KOL_Source_Data!$BG$13/IFERROR(INDEX(Lookup_Lists!$B$340:$B$344,MATCH(KOL_Source_Data!$H$13,Lookup_Lists!$A$340:$A$344,0)),Lookup_Lists!$D$141)*100,0)))</f>
      </c>
      <c r="AH85" s="18">
        <f>IF(NOT(ISNUMBER(KOL_Source_Data!$BS$13)),"N/A",MIN(100,MAX(0,KOL_Source_Data!$BS$13)))</f>
      </c>
      <c r="AI85" s="18">
        <f>IF(OR(NOT(ISNUMBER(KOL_Source_Data!$BM$13)),NOT(ISNUMBER(KOL_Source_Data!$BN$13)),KOL_Source_Data!$BN$13&lt;Lookup_Lists!$D$320),"N/A",MIN(100,ROUND(KOL_Source_Data!$BM$13/Lookup_Lists!$D$319*100,0)))</f>
      </c>
      <c r="AJ85" s="18">
        <f>IF(NOT(ISNUMBER(KOL_Source_Data!$BR$13)),"N/A",KOL_Source_Data!$BR$13)</f>
      </c>
      <c r="AK85" s="18">
        <f>IF(NOT(ISNUMBER(KOL_Source_Data!$BK$13)),"N/A",MIN(100,ROUND(KOL_Source_Data!$BK$13/Lookup_Lists!$D$321*100,0)))</f>
      </c>
      <c r="AL85" s="18">
        <f>IF(NOT(ISNUMBER(KOL_Source_Data!$BP$13)),"N/A",MIN(100,MAX(0,ROUND((KOL_Source_Data!$BP$13+2)/(Lookup_Lists!$D$145+2)*100,0))))</f>
      </c>
      <c r="AM85" s="29">
        <f>IF((IF(ISNUMBER(Matching_Engine!$AG$85),Lookup_Lists!$D$129,0)+IF(ISNUMBER(Matching_Engine!$AH$85),Lookup_Lists!$D$130,0)+IF(ISNUMBER(Matching_Engine!$AI$85),Lookup_Lists!$D$131,0)+IF(ISNUMBER(Matching_Engine!$AJ$85),Lookup_Lists!$D$132,0)+IF(ISNUMBER(Matching_Engine!$AK$85),Lookup_Lists!$D$133,0)+IF(ISNUMBER(Matching_Engine!$AL$85),Lookup_Lists!$D$134,0))=0,"N/A",ROUND((IF(ISNUMBER(Matching_Engine!$AG$85),Matching_Engine!$AG$85*Lookup_Lists!$D$129,0)+IF(ISNUMBER(Matching_Engine!$AH$85),Matching_Engine!$AH$85*Lookup_Lists!$D$130,0)+IF(ISNUMBER(Matching_Engine!$AI$85),Matching_Engine!$AI$85*Lookup_Lists!$D$131,0)+IF(ISNUMBER(Matching_Engine!$AJ$85),Matching_Engine!$AJ$85*Lookup_Lists!$D$132,0)+IF(ISNUMBER(Matching_Engine!$AK$85),Matching_Engine!$AK$85*Lookup_Lists!$D$133,0)+IF(ISNUMBER(Matching_Engine!$AL$85),Matching_Engine!$AL$85*Lookup_Lists!$D$134,0))/(IF(ISNUMBER(Matching_Engine!$AG$85),Lookup_Lists!$D$129,0)+IF(ISNUMBER(Matching_Engine!$AH$85),Lookup_Lists!$D$130,0)+IF(ISNUMBER(Matching_Engine!$AI$85),Lookup_Lists!$D$131,0)+IF(ISNUMBER(Matching_Engine!$AJ$85),Lookup_Lists!$D$132,0)+IF(ISNUMBER(Matching_Engine!$AK$85),Lookup_Lists!$D$133,0)+IF(ISNUMBER(Matching_Engine!$AL$85),Lookup_Lists!$D$134,0)),0))</f>
      </c>
      <c r="AN85" s="11">
        <f>IF(ISNUMBER(Matching_Engine!$AM$85),1,0)</f>
      </c>
      <c r="AO85" s="18">
        <f>IF(NOT(ISNUMBER(KOL_Source_Data!$BT$13)),"N/A",MIN(100,MAX(0,KOL_Source_Data!$BT$13)))</f>
      </c>
      <c r="AP85" s="18">
        <f>IF(NOT(ISNUMBER(KOL_Source_Data!$BU$13)),"N/A",MIN(100,MAX(0,KOL_Source_Data!$BU$13)))</f>
      </c>
      <c r="AQ85" s="18">
        <f>IF(KOL_Source_Data!$I$13="Yes",Lookup_Lists!$D$326,IF(KOL_Source_Data!$I$13="No",Lookup_Lists!$D$327,"N/A"))</f>
      </c>
      <c r="AR85" s="18">
        <f>IF(NOT(ISNUMBER(KOL_Source_Data!$BQ$13)),"N/A",MAX(0,ROUND(100-KOL_Source_Data!$BQ$13/Lookup_Lists!$D$328*100,0)))</f>
      </c>
      <c r="AS85" s="18">
        <f>IF(NOT(AND(ISTEXT(KOL_Source_Data!$BV$13),KOL_Source_Data!$BV$13&lt;&gt;"N/A")),"N/A",KOL_Source_Data!$BV$13)</f>
      </c>
      <c r="AT85" s="29">
        <f>IF((IF(ISNUMBER(Matching_Engine!$AO$85),Lookup_Lists!$D$322,0)+IF(ISNUMBER(Matching_Engine!$AP$85),Lookup_Lists!$D$323,0)+IF(ISNUMBER(Matching_Engine!$AQ$85),Lookup_Lists!$D$324,0)+IF(ISNUMBER(Matching_Engine!$AR$85),Lookup_Lists!$D$325,0))=0,"N/A",ROUND((IF(ISNUMBER(Matching_Engine!$AO$85),Matching_Engine!$AO$85*Lookup_Lists!$D$322,0)+IF(ISNUMBER(Matching_Engine!$AP$85),Matching_Engine!$AP$85*Lookup_Lists!$D$323,0)+IF(ISNUMBER(Matching_Engine!$AQ$85),Matching_Engine!$AQ$85*Lookup_Lists!$D$324,0)+IF(ISNUMBER(Matching_Engine!$AR$85),Matching_Engine!$AR$85*Lookup_Lists!$D$325,0))/(IF(ISNUMBER(Matching_Engine!$AO$85),Lookup_Lists!$D$322,0)+IF(ISNUMBER(Matching_Engine!$AP$85),Lookup_Lists!$D$323,0)+IF(ISNUMBER(Matching_Engine!$AQ$85),Lookup_Lists!$D$324,0)+IF(ISNUMBER(Matching_Engine!$AR$85),Lookup_Lists!$D$325,0)),0))</f>
      </c>
      <c r="AU85" s="11">
        <f>IF(ISNUMBER(Matching_Engine!$AT$85),1,0)</f>
      </c>
      <c r="AV85" s="11">
        <f>IF(NOT(ISNUMBER(Matching_Engine!$AT$85)),"Not Screened",IF(Matching_Engine!$AT$85&gt;=Lookup_Lists!$D$329,"Low Risk",IF(Matching_Engine!$AT$85&gt;=Lookup_Lists!$D$330,"Moderate Risk",IF(Matching_Engine!$AT$85&gt;=Lookup_Lists!$D$331,"Elevated Risk","High Risk"))))</f>
      </c>
      <c r="AW85" s="11">
        <f>IF(NOT(ISNUMBER(Matching_Engine!$AT$85)),"No integrity signal: no audience-analysis row for this account.","Integrity screen only — no content-risk reading exists (comments_analysis: 0 rows). "&amp;IF(ISNUMBER(Matching_Engine!$AO$85),"Authenticity "&amp;Matching_Engine!$AO$85&amp;". ","Authenticity N/A. ")&amp;IF(ISNUMBER(Matching_Engine!$AP$85),"Follower quality "&amp;Matching_Engine!$AP$85&amp;". ","Follower quality N/A. ")&amp;IF(KOL_Source_Data!$I$13="Yes","Platform-verified.","Not platform-verified."))</f>
      </c>
      <c r="AX85" s="18">
        <f>Matching_Engine!$N$85*Lookup_Lists!$D$104+Matching_Engine!$T$85*Lookup_Lists!$D$105+Matching_Engine!$Z$85*Lookup_Lists!$D$106+Matching_Engine!$AF$85*Lookup_Lists!$D$107+Matching_Engine!$AN$85*Lookup_Lists!$D$108+Matching_Engine!$AU$85*Lookup_Lists!$D$109</f>
      </c>
      <c r="AY85" s="30">
        <f>IF(Matching_Engine!$AX$85=0,"N/A",ROUND((IF(Matching_Engine!$N$85=1,Matching_Engine!$M$85*Lookup_Lists!$D$104,0)+IF(Matching_Engine!$T$85=1,Matching_Engine!$S$85*Lookup_Lists!$D$105,0)+IF(Matching_Engine!$Z$85=1,Matching_Engine!$Y$85*Lookup_Lists!$D$106,0)+IF(Matching_Engine!$AF$85=1,Matching_Engine!$AE$85*Lookup_Lists!$D$107,0)+IF(Matching_Engine!$AN$85=1,Matching_Engine!$AM$85*Lookup_Lists!$D$108,0)+IF(Matching_Engine!$AU$85=1,Matching_Engine!$AT$85*Lookup_Lists!$D$109,0))/Matching_Engine!$AX$85,0))</f>
      </c>
      <c r="AZ85" s="11">
        <f>IF(NOT(ISNUMBER(Matching_Engine!$AY$85)),"Not Scored",IF(Matching_Engine!$AY$85&gt;=Lookup_Lists!$D$152,"Excellent Match",IF(Matching_Engine!$AY$85&gt;=Lookup_Lists!$D$153,"Strong Match",IF(Matching_Engine!$AY$85&gt;=Lookup_Lists!$D$154,"Good Match",IF(Matching_Engine!$AY$85&gt;=Lookup_Lists!$D$155,"Moderate Match","Low Match")))))</f>
      </c>
      <c r="BA85" s="18">
        <f>KOL_Source_Data!$BW$13</f>
      </c>
      <c r="BB85" s="11">
        <f>KOL_Source_Data!$BX$13</f>
      </c>
      <c r="BC85" s="18">
        <f>IF(NOT(ISNUMBER(Matching_Engine!$AY$85)),-1,Matching_Engine!$AY$85*1000+17)</f>
      </c>
      <c r="BD85" s="11">
        <f>IF(AND(ISTEXT(KOL_Source_Data!$S$13),KOL_Source_Data!$S$13&lt;&gt;"N/A"),KOL_Source_Data!$S$13,"")&amp;" | "&amp;IF(AND(ISTEXT(KOL_Source_Data!$T$13),KOL_Source_Data!$T$13&lt;&gt;"N/A"),KOL_Source_Data!$T$13,"")&amp;" | "&amp;IF(AND(ISTEXT(KOL_Source_Data!$N$13),KOL_Source_Data!$N$13&lt;&gt;"N/A"),KOL_Source_Data!$N$13,"")&amp;" | "&amp;IF(AND(ISTEXT(KOL_Source_Data!$K$13),KOL_Source_Data!$K$13&lt;&gt;"N/A"),KOL_Source_Data!$K$13,"")&amp;" | "&amp;IF(AND(ISTEXT(KOL_Source_Data!$J$13),KOL_Source_Data!$J$13&lt;&gt;"N/A"),KOL_Source_Data!$J$13,"")</f>
      </c>
      <c r="BE85" s="11">
        <f>IF(AND(ISTEXT(KOL_Source_Data!$T$13),KOL_Source_Data!$T$13&lt;&gt;"N/A"),KOL_Source_Data!$T$13,"")&amp;" | "&amp;IF(AND(ISTEXT(KOL_Source_Data!$N$13),KOL_Source_Data!$N$13&lt;&gt;"N/A"),KOL_Source_Data!$N$13,"")&amp;" | "&amp;IF(AND(ISTEXT(KOL_Source_Data!$O$13),KOL_Source_Data!$O$13&lt;&gt;"N/A"),KOL_Source_Data!$O$13,"")&amp;" | "&amp;IF(AND(ISTEXT(KOL_Source_Data!$S$13),KOL_Source_Data!$S$13&lt;&gt;"N/A"),KOL_Source_Data!$S$13,"")</f>
      </c>
      <c r="BF85" s="11">
        <f>IF(AND(ISTEXT(KOL_Source_Data!$U$13),KOL_Source_Data!$U$13&lt;&gt;"N/A"),KOL_Source_Data!$U$13,"")</f>
      </c>
      <c r="BG85" s="11">
        <f>Matching_Engine!$A$85&amp;"|"&amp;Matching_Engine!$C$85</f>
      </c>
    </row>
    <row r="86" spans="1:59" x14ac:dyDescent="0.25">
      <c r="A86" s="10" t="s">
        <v>393</v>
      </c>
      <c r="B86" s="11">
        <f>Brand_Profile!$H$6</f>
      </c>
      <c r="C86" s="11">
        <f>KOL_Source_Data!$A$14</f>
      </c>
      <c r="D86" s="11">
        <f>KOL_Source_Data!$C$14</f>
      </c>
      <c r="E86" s="11">
        <f>KOL_Source_Data!$D$14</f>
      </c>
      <c r="F86" s="11">
        <f>KOL_Source_Data!$E$14</f>
      </c>
      <c r="G86" s="11">
        <f>KOL_Source_Data!$K$14</f>
      </c>
      <c r="H86" s="12">
        <f>KOL_Source_Data!$G$14</f>
      </c>
      <c r="I86" s="14">
        <f>KOL_Source_Data!$BG$14</f>
      </c>
      <c r="J86" s="18">
        <f>IF(NOT(AND(ISTEXT(KOL_Source_Data!$K$14),KOL_Source_Data!$K$14&lt;&gt;"N/A")),Lookup_Lists!$D$150,IF(Brand_Profile!$H$7=KOL_Source_Data!$K$14,100,IFERROR(INDEX(Lookup_Lists!$B$349:$J$357,MATCH(Brand_Profile!$H$7,Lookup_Lists!$A$349:$A$357,0),MATCH(KOL_Source_Data!$K$14,Lookup_Lists!$B$348:$J$348,0)),Lookup_Lists!$D$151)))</f>
      </c>
      <c r="K86" s="18">
        <f>IF(LEN(TRIM(SUBSTITUTE(Matching_Engine!$BD$86,"|","")))=0,"N/A",IF(Brand_Profile!$H$47=0,Lookup_Lists!$D$150,ROUND((IF(Brand_Profile!$H$41="",0,IF(ISNUMBER(SEARCH(Brand_Profile!$H$41,Matching_Engine!$BD$86)),1,0))+IF(Brand_Profile!$H$42="",0,IF(ISNUMBER(SEARCH(Brand_Profile!$H$42,Matching_Engine!$BD$86)),1,0))+IF(Brand_Profile!$H$43="",0,IF(ISNUMBER(SEARCH(Brand_Profile!$H$43,Matching_Engine!$BD$86)),1,0))+IF(Brand_Profile!$H$44="",0,IF(ISNUMBER(SEARCH(Brand_Profile!$H$44,Matching_Engine!$BD$86)),1,0))+IF(Brand_Profile!$H$45="",0,IF(ISNUMBER(SEARCH(Brand_Profile!$H$45,Matching_Engine!$BD$86)),1,0))+IF(Brand_Profile!$H$46="",0,IF(ISNUMBER(SEARCH(Brand_Profile!$H$46,Matching_Engine!$BD$86)),1,0)))/Brand_Profile!$H$47*100,0)))</f>
      </c>
      <c r="L86" s="18">
        <f>IF(NOT(AND(ISTEXT(KOL_Source_Data!$U$14),KOL_Source_Data!$U$14&lt;&gt;"N/A")),"N/A",IF(Brand_Profile!$H$53=0,Lookup_Lists!$D$150,ROUND((IF(Brand_Profile!$H$48="",0,IF(ISNUMBER(SEARCH(Brand_Profile!$H$48,Matching_Engine!$BF$86)),1,0))+IF(Brand_Profile!$H$49="",0,IF(ISNUMBER(SEARCH(Brand_Profile!$H$49,Matching_Engine!$BF$86)),1,0))+IF(Brand_Profile!$H$50="",0,IF(ISNUMBER(SEARCH(Brand_Profile!$H$50,Matching_Engine!$BF$86)),1,0))+IF(Brand_Profile!$H$51="",0,IF(ISNUMBER(SEARCH(Brand_Profile!$H$51,Matching_Engine!$BF$86)),1,0))+IF(Brand_Profile!$H$52="",0,IF(ISNUMBER(SEARCH(Brand_Profile!$H$52,Matching_Engine!$BF$86)),1,0)))/Brand_Profile!$H$53*100,0)))</f>
      </c>
      <c r="M86" s="29">
        <f>IF((IF(ISNUMBER(Matching_Engine!$J$86),Lookup_Lists!$D$332,0)+IF(ISNUMBER(Matching_Engine!$K$86),Lookup_Lists!$D$333,0)+IF(ISNUMBER(Matching_Engine!$L$86),Lookup_Lists!$D$334,0))=0,"N/A",ROUND((IF(ISNUMBER(Matching_Engine!$J$86),Matching_Engine!$J$86*Lookup_Lists!$D$332,0)+IF(ISNUMBER(Matching_Engine!$K$86),Matching_Engine!$K$86*Lookup_Lists!$D$333,0)+IF(ISNUMBER(Matching_Engine!$L$86),Matching_Engine!$L$86*Lookup_Lists!$D$334,0))/(IF(ISNUMBER(Matching_Engine!$J$86),Lookup_Lists!$D$332,0)+IF(ISNUMBER(Matching_Engine!$K$86),Lookup_Lists!$D$333,0)+IF(ISNUMBER(Matching_Engine!$L$86),Lookup_Lists!$D$334,0)),0))</f>
      </c>
      <c r="N86" s="11">
        <f>IF(ISNUMBER(Matching_Engine!$M$86),1,0)</f>
      </c>
      <c r="O86" s="18">
        <f>IF(NOT(ISNUMBER(IFERROR(INDEX(KOL_Source_Data!$V$14:KOL_Source_Data!$Z$14,1,MATCH(Brand_Profile!$H$11,Lookup_Lists!$F$6:$F$10,0)),""))),"N/A",MIN(100,ROUND((IFERROR(INDEX(KOL_Source_Data!$V$14:KOL_Source_Data!$Z$14,1,MATCH(Brand_Profile!$H$11,Lookup_Lists!$F$6:$F$10,0)),"")+0.5*IF(ISNUMBER(IFERROR(INDEX(KOL_Source_Data!$V$14:KOL_Source_Data!$Z$14,1,MATCH(Brand_Profile!$H$12,Lookup_Lists!$F$6:$F$10,0)),"")),IFERROR(INDEX(KOL_Source_Data!$V$14:KOL_Source_Data!$Z$14,1,MATCH(Brand_Profile!$H$12,Lookup_Lists!$F$6:$F$10,0)),""),0))/Lookup_Lists!$D$142*100,0)))</f>
      </c>
      <c r="P86" s="18">
        <f>IF(Brand_Profile!$H$13="Any",100,IF(NOT(ISNUMBER(KOL_Source_Data!$AA$14)),"N/A",IF(Brand_Profile!$H$13="Female",MIN(100,ROUND(KOL_Source_Data!$AA$14/Lookup_Lists!$D$143*100,0)),IF(Brand_Profile!$H$13="Male",MIN(100,ROUND(IF(ISNUMBER(KOL_Source_Data!$AB$14),KOL_Source_Data!$AB$14,100-KOL_Source_Data!$AA$14)/Lookup_Lists!$D$143*100,0)),MAX(0,ROUND(100-ABS(KOL_Source_Data!$AA$14-50)*2,0))))))</f>
      </c>
      <c r="Q86" s="18">
        <f>IF((IF(ISNUMBER(IF(NOT(ISNUMBER(KOL_Source_Data!$AE$14)),"N/A",IF(KOL_Source_Data!$AD$14&lt;&gt;Brand_Profile!$H$14,Lookup_Lists!$D$151,MIN(100,ROUND(KOL_Source_Data!$AE$14/Lookup_Lists!$D$316*100,0))))),Lookup_Lists!$D$118,0)+IF(ISNUMBER(IF(NOT(ISNUMBER(KOL_Source_Data!$AM$14)),"N/A",MIN(100,ROUND((IF(KOL_Source_Data!$AG$14=Brand_Profile!$H$15,IF(ISNUMBER(KOL_Source_Data!$AH$14),KOL_Source_Data!$AH$14,0),0)+IF(KOL_Source_Data!$AI$14=Brand_Profile!$H$15,IF(ISNUMBER(KOL_Source_Data!$AJ$14),KOL_Source_Data!$AJ$14,0),0)+IF(KOL_Source_Data!$AK$14=Brand_Profile!$H$15,IF(ISNUMBER(KOL_Source_Data!$AL$14),KOL_Source_Data!$AL$14,0),0))/Lookup_Lists!$D$317*100,0)))),Lookup_Lists!$D$120,0))=0,"N/A",ROUND((IF(ISNUMBER(IF(NOT(ISNUMBER(KOL_Source_Data!$AE$14)),"N/A",IF(KOL_Source_Data!$AD$14&lt;&gt;Brand_Profile!$H$14,Lookup_Lists!$D$151,MIN(100,ROUND(KOL_Source_Data!$AE$14/Lookup_Lists!$D$316*100,0))))),IF(NOT(ISNUMBER(KOL_Source_Data!$AE$14)),"N/A",IF(KOL_Source_Data!$AD$14&lt;&gt;Brand_Profile!$H$14,Lookup_Lists!$D$151,MIN(100,ROUND(KOL_Source_Data!$AE$14/Lookup_Lists!$D$316*100,0))))*Lookup_Lists!$D$118,0)+IF(ISNUMBER(IF(NOT(ISNUMBER(KOL_Source_Data!$AM$14)),"N/A",MIN(100,ROUND((IF(KOL_Source_Data!$AG$14=Brand_Profile!$H$15,IF(ISNUMBER(KOL_Source_Data!$AH$14),KOL_Source_Data!$AH$14,0),0)+IF(KOL_Source_Data!$AI$14=Brand_Profile!$H$15,IF(ISNUMBER(KOL_Source_Data!$AJ$14),KOL_Source_Data!$AJ$14,0),0)+IF(KOL_Source_Data!$AK$14=Brand_Profile!$H$15,IF(ISNUMBER(KOL_Source_Data!$AL$14),KOL_Source_Data!$AL$14,0),0))/Lookup_Lists!$D$317*100,0)))),IF(NOT(ISNUMBER(KOL_Source_Data!$AM$14)),"N/A",MIN(100,ROUND((IF(KOL_Source_Data!$AG$14=Brand_Profile!$H$15,IF(ISNUMBER(KOL_Source_Data!$AH$14),KOL_Source_Data!$AH$14,0),0)+IF(KOL_Source_Data!$AI$14=Brand_Profile!$H$15,IF(ISNUMBER(KOL_Source_Data!$AJ$14),KOL_Source_Data!$AJ$14,0),0)+IF(KOL_Source_Data!$AK$14=Brand_Profile!$H$15,IF(ISNUMBER(KOL_Source_Data!$AL$14),KOL_Source_Data!$AL$14,0),0))/Lookup_Lists!$D$317*100,0)))*Lookup_Lists!$D$120,0))/(IF(ISNUMBER(IF(NOT(ISNUMBER(KOL_Source_Data!$AE$14)),"N/A",IF(KOL_Source_Data!$AD$14&lt;&gt;Brand_Profile!$H$14,Lookup_Lists!$D$151,MIN(100,ROUND(KOL_Source_Data!$AE$14/Lookup_Lists!$D$316*100,0))))),Lookup_Lists!$D$118,0)+IF(ISNUMBER(IF(NOT(ISNUMBER(KOL_Source_Data!$AM$14)),"N/A",MIN(100,ROUND((IF(KOL_Source_Data!$AG$14=Brand_Profile!$H$15,IF(ISNUMBER(KOL_Source_Data!$AH$14),KOL_Source_Data!$AH$14,0),0)+IF(KOL_Source_Data!$AI$14=Brand_Profile!$H$15,IF(ISNUMBER(KOL_Source_Data!$AJ$14),KOL_Source_Data!$AJ$14,0),0)+IF(KOL_Source_Data!$AK$14=Brand_Profile!$H$15,IF(ISNUMBER(KOL_Source_Data!$AL$14),KOL_Source_Data!$AL$14,0),0))/Lookup_Lists!$D$317*100,0)))),Lookup_Lists!$D$120,0)),0))</f>
      </c>
      <c r="R86" s="18">
        <f>IF(NOT(ISNUMBER(KOL_Source_Data!$AN$14)),"N/A",MIN(100,ROUND((IF(ISNUMBER(KOL_Source_Data!$AO$14),KOL_Source_Data!$AO$14*Brand_Profile!$H$17,0)+IF(ISNUMBER(KOL_Source_Data!$AP$14),KOL_Source_Data!$AP$14*Brand_Profile!$H$18,0)+IF(ISNUMBER(KOL_Source_Data!$AQ$14),KOL_Source_Data!$AQ$14*Brand_Profile!$H$19,0)+IF(ISNUMBER(KOL_Source_Data!$AR$14),KOL_Source_Data!$AR$14*Brand_Profile!$H$20,0)+IF(ISNUMBER(KOL_Source_Data!$AS$14),KOL_Source_Data!$AS$14*Brand_Profile!$H$21,0)+IF(ISNUMBER(KOL_Source_Data!$AT$14),KOL_Source_Data!$AT$14*Brand_Profile!$H$22,0)+IF(ISNUMBER(KOL_Source_Data!$AU$14),KOL_Source_Data!$AU$14*Brand_Profile!$H$23,0)+IF(ISNUMBER(KOL_Source_Data!$AV$14),KOL_Source_Data!$AV$14*Brand_Profile!$H$24,0)+IF(ISNUMBER(KOL_Source_Data!$AW$14),KOL_Source_Data!$AW$14*Brand_Profile!$H$25,0)+IF(ISNUMBER(KOL_Source_Data!$AX$14),KOL_Source_Data!$AX$14*Brand_Profile!$H$26,0)+IF(ISNUMBER(KOL_Source_Data!$AY$14),KOL_Source_Data!$AY$14*Brand_Profile!$H$27,0)+IF(ISNUMBER(KOL_Source_Data!$AZ$14),KOL_Source_Data!$AZ$14*Brand_Profile!$H$28,0)+IF(ISNUMBER(KOL_Source_Data!$BA$14),KOL_Source_Data!$BA$14*Brand_Profile!$H$29,0)+IF(ISNUMBER(KOL_Source_Data!$BB$14),KOL_Source_Data!$BB$14*Brand_Profile!$H$30,0)+IF(ISNUMBER(KOL_Source_Data!$BC$14),KOL_Source_Data!$BC$14*Brand_Profile!$H$31,0)+IF(ISNUMBER(KOL_Source_Data!$BD$14),KOL_Source_Data!$BD$14*Brand_Profile!$H$32,0)+IF(ISNUMBER(KOL_Source_Data!$BE$14),KOL_Source_Data!$BE$14*Brand_Profile!$H$33,0)+IF(ISNUMBER(KOL_Source_Data!$BF$14),KOL_Source_Data!$BF$14*Brand_Profile!$H$34,0))/Lookup_Lists!$D$318*100,0)))</f>
      </c>
      <c r="S86" s="29">
        <f>IF((IF(ISNUMBER(Matching_Engine!$O$86),Lookup_Lists!$D$113,0)+IF(ISNUMBER(Matching_Engine!$P$86),Lookup_Lists!$D$114,0)+IF(ISNUMBER(Matching_Engine!$Q$86),Lookup_Lists!$D$115,0)+IF(ISNUMBER(Matching_Engine!$R$86),Lookup_Lists!$D$116,0))=0,"N/A",ROUND((IF(ISNUMBER(Matching_Engine!$O$86),Matching_Engine!$O$86*Lookup_Lists!$D$113,0)+IF(ISNUMBER(Matching_Engine!$P$86),Matching_Engine!$P$86*Lookup_Lists!$D$114,0)+IF(ISNUMBER(Matching_Engine!$Q$86),Matching_Engine!$Q$86*Lookup_Lists!$D$115,0)+IF(ISNUMBER(Matching_Engine!$R$86),Matching_Engine!$R$86*Lookup_Lists!$D$116,0))/(IF(ISNUMBER(Matching_Engine!$O$86),Lookup_Lists!$D$113,0)+IF(ISNUMBER(Matching_Engine!$P$86),Lookup_Lists!$D$114,0)+IF(ISNUMBER(Matching_Engine!$Q$86),Lookup_Lists!$D$115,0)+IF(ISNUMBER(Matching_Engine!$R$86),Lookup_Lists!$D$116,0)),0))</f>
      </c>
      <c r="T86" s="11">
        <f>IF(ISNUMBER(Matching_Engine!$S$86),1,0)</f>
      </c>
      <c r="U86" s="18">
        <f>IF(NOT(AND(ISTEXT(KOL_Source_Data!$M$14),KOL_Source_Data!$M$14&lt;&gt;"N/A")),Lookup_Lists!$D$150,IF(Brand_Profile!$H$7=KOL_Source_Data!$M$14,100,IFERROR(INDEX(Lookup_Lists!$B$349:$J$357,MATCH(Brand_Profile!$H$7,Lookup_Lists!$A$349:$A$357,0),MATCH(KOL_Source_Data!$M$14,Lookup_Lists!$B$348:$J$348,0)),Lookup_Lists!$D$151)))</f>
      </c>
      <c r="V86" s="18">
        <f>IF(NOT(AND(ISTEXT(KOL_Source_Data!$P$14),KOL_Source_Data!$P$14&lt;&gt;"N/A")),"N/A",IFERROR(INDEX(Lookup_Lists!$B$349:$J$357,MATCH(Brand_Profile!$H$7,Lookup_Lists!$A$349:$A$357,0),MATCH(KOL_Source_Data!$P$14,Lookup_Lists!$B$348:$J$348,0)),Lookup_Lists!$D$151))</f>
      </c>
      <c r="W86" s="18">
        <f>IF(LEN(TRIM(SUBSTITUTE(Matching_Engine!$BE$86,"|","")))=0,"N/A",IF(Brand_Profile!$H$60=0,Lookup_Lists!$D$150,ROUND((IF(Brand_Profile!$H$54="",0,IF(ISNUMBER(SEARCH(Brand_Profile!$H$54,Matching_Engine!$BE$86)),1,0))+IF(Brand_Profile!$H$55="",0,IF(ISNUMBER(SEARCH(Brand_Profile!$H$55,Matching_Engine!$BE$86)),1,0))+IF(Brand_Profile!$H$56="",0,IF(ISNUMBER(SEARCH(Brand_Profile!$H$56,Matching_Engine!$BE$86)),1,0))+IF(Brand_Profile!$H$57="",0,IF(ISNUMBER(SEARCH(Brand_Profile!$H$57,Matching_Engine!$BE$86)),1,0))+IF(Brand_Profile!$H$58="",0,IF(ISNUMBER(SEARCH(Brand_Profile!$H$58,Matching_Engine!$BE$86)),1,0))+IF(Brand_Profile!$H$59="",0,IF(ISNUMBER(SEARCH(Brand_Profile!$H$59,Matching_Engine!$BE$86)),1,0)))/Brand_Profile!$H$60*100,0)))</f>
      </c>
      <c r="X86" s="18">
        <f>IF(NOT(AND(ISTEXT(KOL_Source_Data!$Q$14),KOL_Source_Data!$Q$14&lt;&gt;"N/A")),"N/A",Lookup_Lists!$D$150)</f>
      </c>
      <c r="Y86" s="29">
        <f>IF((IF(ISNUMBER(Matching_Engine!$U$86),Lookup_Lists!$D$335,0)+IF(ISNUMBER(Matching_Engine!$V$86),Lookup_Lists!$D$122,0)+IF(ISNUMBER(Matching_Engine!$W$86),Lookup_Lists!$D$336,0)+IF(ISNUMBER(Matching_Engine!$X$86),Lookup_Lists!$D$124,0))=0,"N/A",ROUND((IF(ISNUMBER(Matching_Engine!$U$86),Matching_Engine!$U$86*Lookup_Lists!$D$335,0)+IF(ISNUMBER(Matching_Engine!$V$86),Matching_Engine!$V$86*Lookup_Lists!$D$122,0)+IF(ISNUMBER(Matching_Engine!$W$86),Matching_Engine!$W$86*Lookup_Lists!$D$336,0)+IF(ISNUMBER(Matching_Engine!$X$86),Matching_Engine!$X$86*Lookup_Lists!$D$124,0))/(IF(ISNUMBER(Matching_Engine!$U$86),Lookup_Lists!$D$335,0)+IF(ISNUMBER(Matching_Engine!$V$86),Lookup_Lists!$D$122,0)+IF(ISNUMBER(Matching_Engine!$W$86),Lookup_Lists!$D$336,0)+IF(ISNUMBER(Matching_Engine!$X$86),Lookup_Lists!$D$124,0)),0))</f>
      </c>
      <c r="Z86" s="11">
        <f>IF(ISNUMBER(Matching_Engine!$Y$86),1,0)</f>
      </c>
      <c r="AA86" s="18">
        <f>IF(NOT(AND(ISTEXT(KOL_Source_Data!$Q$14),KOL_Source_Data!$Q$14&lt;&gt;"N/A")),"N/A",Lookup_Lists!$D$150)</f>
      </c>
      <c r="AB86" s="18">
        <f>IF(NOT(AND(ISTEXT(KOL_Source_Data!$Q$14),KOL_Source_Data!$Q$14&lt;&gt;"N/A")),"N/A",Lookup_Lists!$D$150)</f>
      </c>
      <c r="AC86" s="18">
        <f>"N/A"</f>
      </c>
      <c r="AD86" s="18">
        <f>IF(NOT(AND(ISTEXT(KOL_Source_Data!$Q$14),KOL_Source_Data!$Q$14&lt;&gt;"N/A")),"N/A",Lookup_Lists!$D$150)</f>
      </c>
      <c r="AE86" s="29">
        <f>IF((IF(ISNUMBER(Matching_Engine!$AA$86),Lookup_Lists!$D$125,0)+IF(ISNUMBER(Matching_Engine!$AB$86),Lookup_Lists!$D$126,0)+IF(ISNUMBER(Matching_Engine!$AC$86),Lookup_Lists!$D$127,0)+IF(ISNUMBER(Matching_Engine!$AD$86),Lookup_Lists!$D$128,0))=0,"N/A",ROUND((IF(ISNUMBER(Matching_Engine!$AA$86),Matching_Engine!$AA$86*Lookup_Lists!$D$125,0)+IF(ISNUMBER(Matching_Engine!$AB$86),Matching_Engine!$AB$86*Lookup_Lists!$D$126,0)+IF(ISNUMBER(Matching_Engine!$AC$86),Matching_Engine!$AC$86*Lookup_Lists!$D$127,0)+IF(ISNUMBER(Matching_Engine!$AD$86),Matching_Engine!$AD$86*Lookup_Lists!$D$128,0))/(IF(ISNUMBER(Matching_Engine!$AA$86),Lookup_Lists!$D$125,0)+IF(ISNUMBER(Matching_Engine!$AB$86),Lookup_Lists!$D$126,0)+IF(ISNUMBER(Matching_Engine!$AC$86),Lookup_Lists!$D$127,0)+IF(ISNUMBER(Matching_Engine!$AD$86),Lookup_Lists!$D$128,0)),0))</f>
      </c>
      <c r="AF86" s="11">
        <f>IF(ISNUMBER(Matching_Engine!$AE$86),1,0)</f>
      </c>
      <c r="AG86" s="18">
        <f>IF(NOT(ISNUMBER(KOL_Source_Data!$BG$14)),"N/A",MIN(100,ROUND(KOL_Source_Data!$BG$14/IFERROR(INDEX(Lookup_Lists!$B$340:$B$344,MATCH(KOL_Source_Data!$H$14,Lookup_Lists!$A$340:$A$344,0)),Lookup_Lists!$D$141)*100,0)))</f>
      </c>
      <c r="AH86" s="18">
        <f>IF(NOT(ISNUMBER(KOL_Source_Data!$BS$14)),"N/A",MIN(100,MAX(0,KOL_Source_Data!$BS$14)))</f>
      </c>
      <c r="AI86" s="18">
        <f>IF(OR(NOT(ISNUMBER(KOL_Source_Data!$BM$14)),NOT(ISNUMBER(KOL_Source_Data!$BN$14)),KOL_Source_Data!$BN$14&lt;Lookup_Lists!$D$320),"N/A",MIN(100,ROUND(KOL_Source_Data!$BM$14/Lookup_Lists!$D$319*100,0)))</f>
      </c>
      <c r="AJ86" s="18">
        <f>IF(NOT(ISNUMBER(KOL_Source_Data!$BR$14)),"N/A",KOL_Source_Data!$BR$14)</f>
      </c>
      <c r="AK86" s="18">
        <f>IF(NOT(ISNUMBER(KOL_Source_Data!$BK$14)),"N/A",MIN(100,ROUND(KOL_Source_Data!$BK$14/Lookup_Lists!$D$321*100,0)))</f>
      </c>
      <c r="AL86" s="18">
        <f>IF(NOT(ISNUMBER(KOL_Source_Data!$BP$14)),"N/A",MIN(100,MAX(0,ROUND((KOL_Source_Data!$BP$14+2)/(Lookup_Lists!$D$145+2)*100,0))))</f>
      </c>
      <c r="AM86" s="29">
        <f>IF((IF(ISNUMBER(Matching_Engine!$AG$86),Lookup_Lists!$D$129,0)+IF(ISNUMBER(Matching_Engine!$AH$86),Lookup_Lists!$D$130,0)+IF(ISNUMBER(Matching_Engine!$AI$86),Lookup_Lists!$D$131,0)+IF(ISNUMBER(Matching_Engine!$AJ$86),Lookup_Lists!$D$132,0)+IF(ISNUMBER(Matching_Engine!$AK$86),Lookup_Lists!$D$133,0)+IF(ISNUMBER(Matching_Engine!$AL$86),Lookup_Lists!$D$134,0))=0,"N/A",ROUND((IF(ISNUMBER(Matching_Engine!$AG$86),Matching_Engine!$AG$86*Lookup_Lists!$D$129,0)+IF(ISNUMBER(Matching_Engine!$AH$86),Matching_Engine!$AH$86*Lookup_Lists!$D$130,0)+IF(ISNUMBER(Matching_Engine!$AI$86),Matching_Engine!$AI$86*Lookup_Lists!$D$131,0)+IF(ISNUMBER(Matching_Engine!$AJ$86),Matching_Engine!$AJ$86*Lookup_Lists!$D$132,0)+IF(ISNUMBER(Matching_Engine!$AK$86),Matching_Engine!$AK$86*Lookup_Lists!$D$133,0)+IF(ISNUMBER(Matching_Engine!$AL$86),Matching_Engine!$AL$86*Lookup_Lists!$D$134,0))/(IF(ISNUMBER(Matching_Engine!$AG$86),Lookup_Lists!$D$129,0)+IF(ISNUMBER(Matching_Engine!$AH$86),Lookup_Lists!$D$130,0)+IF(ISNUMBER(Matching_Engine!$AI$86),Lookup_Lists!$D$131,0)+IF(ISNUMBER(Matching_Engine!$AJ$86),Lookup_Lists!$D$132,0)+IF(ISNUMBER(Matching_Engine!$AK$86),Lookup_Lists!$D$133,0)+IF(ISNUMBER(Matching_Engine!$AL$86),Lookup_Lists!$D$134,0)),0))</f>
      </c>
      <c r="AN86" s="11">
        <f>IF(ISNUMBER(Matching_Engine!$AM$86),1,0)</f>
      </c>
      <c r="AO86" s="18">
        <f>IF(NOT(ISNUMBER(KOL_Source_Data!$BT$14)),"N/A",MIN(100,MAX(0,KOL_Source_Data!$BT$14)))</f>
      </c>
      <c r="AP86" s="18">
        <f>IF(NOT(ISNUMBER(KOL_Source_Data!$BU$14)),"N/A",MIN(100,MAX(0,KOL_Source_Data!$BU$14)))</f>
      </c>
      <c r="AQ86" s="18">
        <f>IF(KOL_Source_Data!$I$14="Yes",Lookup_Lists!$D$326,IF(KOL_Source_Data!$I$14="No",Lookup_Lists!$D$327,"N/A"))</f>
      </c>
      <c r="AR86" s="18">
        <f>IF(NOT(ISNUMBER(KOL_Source_Data!$BQ$14)),"N/A",MAX(0,ROUND(100-KOL_Source_Data!$BQ$14/Lookup_Lists!$D$328*100,0)))</f>
      </c>
      <c r="AS86" s="18">
        <f>IF(NOT(AND(ISTEXT(KOL_Source_Data!$BV$14),KOL_Source_Data!$BV$14&lt;&gt;"N/A")),"N/A",KOL_Source_Data!$BV$14)</f>
      </c>
      <c r="AT86" s="29">
        <f>IF((IF(ISNUMBER(Matching_Engine!$AO$86),Lookup_Lists!$D$322,0)+IF(ISNUMBER(Matching_Engine!$AP$86),Lookup_Lists!$D$323,0)+IF(ISNUMBER(Matching_Engine!$AQ$86),Lookup_Lists!$D$324,0)+IF(ISNUMBER(Matching_Engine!$AR$86),Lookup_Lists!$D$325,0))=0,"N/A",ROUND((IF(ISNUMBER(Matching_Engine!$AO$86),Matching_Engine!$AO$86*Lookup_Lists!$D$322,0)+IF(ISNUMBER(Matching_Engine!$AP$86),Matching_Engine!$AP$86*Lookup_Lists!$D$323,0)+IF(ISNUMBER(Matching_Engine!$AQ$86),Matching_Engine!$AQ$86*Lookup_Lists!$D$324,0)+IF(ISNUMBER(Matching_Engine!$AR$86),Matching_Engine!$AR$86*Lookup_Lists!$D$325,0))/(IF(ISNUMBER(Matching_Engine!$AO$86),Lookup_Lists!$D$322,0)+IF(ISNUMBER(Matching_Engine!$AP$86),Lookup_Lists!$D$323,0)+IF(ISNUMBER(Matching_Engine!$AQ$86),Lookup_Lists!$D$324,0)+IF(ISNUMBER(Matching_Engine!$AR$86),Lookup_Lists!$D$325,0)),0))</f>
      </c>
      <c r="AU86" s="11">
        <f>IF(ISNUMBER(Matching_Engine!$AT$86),1,0)</f>
      </c>
      <c r="AV86" s="11">
        <f>IF(NOT(ISNUMBER(Matching_Engine!$AT$86)),"Not Screened",IF(Matching_Engine!$AT$86&gt;=Lookup_Lists!$D$329,"Low Risk",IF(Matching_Engine!$AT$86&gt;=Lookup_Lists!$D$330,"Moderate Risk",IF(Matching_Engine!$AT$86&gt;=Lookup_Lists!$D$331,"Elevated Risk","High Risk"))))</f>
      </c>
      <c r="AW86" s="11">
        <f>IF(NOT(ISNUMBER(Matching_Engine!$AT$86)),"No integrity signal: no audience-analysis row for this account.","Integrity screen only — no content-risk reading exists (comments_analysis: 0 rows). "&amp;IF(ISNUMBER(Matching_Engine!$AO$86),"Authenticity "&amp;Matching_Engine!$AO$86&amp;". ","Authenticity N/A. ")&amp;IF(ISNUMBER(Matching_Engine!$AP$86),"Follower quality "&amp;Matching_Engine!$AP$86&amp;". ","Follower quality N/A. ")&amp;IF(KOL_Source_Data!$I$14="Yes","Platform-verified.","Not platform-verified."))</f>
      </c>
      <c r="AX86" s="18">
        <f>Matching_Engine!$N$86*Lookup_Lists!$D$104+Matching_Engine!$T$86*Lookup_Lists!$D$105+Matching_Engine!$Z$86*Lookup_Lists!$D$106+Matching_Engine!$AF$86*Lookup_Lists!$D$107+Matching_Engine!$AN$86*Lookup_Lists!$D$108+Matching_Engine!$AU$86*Lookup_Lists!$D$109</f>
      </c>
      <c r="AY86" s="30">
        <f>IF(Matching_Engine!$AX$86=0,"N/A",ROUND((IF(Matching_Engine!$N$86=1,Matching_Engine!$M$86*Lookup_Lists!$D$104,0)+IF(Matching_Engine!$T$86=1,Matching_Engine!$S$86*Lookup_Lists!$D$105,0)+IF(Matching_Engine!$Z$86=1,Matching_Engine!$Y$86*Lookup_Lists!$D$106,0)+IF(Matching_Engine!$AF$86=1,Matching_Engine!$AE$86*Lookup_Lists!$D$107,0)+IF(Matching_Engine!$AN$86=1,Matching_Engine!$AM$86*Lookup_Lists!$D$108,0)+IF(Matching_Engine!$AU$86=1,Matching_Engine!$AT$86*Lookup_Lists!$D$109,0))/Matching_Engine!$AX$86,0))</f>
      </c>
      <c r="AZ86" s="11">
        <f>IF(NOT(ISNUMBER(Matching_Engine!$AY$86)),"Not Scored",IF(Matching_Engine!$AY$86&gt;=Lookup_Lists!$D$152,"Excellent Match",IF(Matching_Engine!$AY$86&gt;=Lookup_Lists!$D$153,"Strong Match",IF(Matching_Engine!$AY$86&gt;=Lookup_Lists!$D$154,"Good Match",IF(Matching_Engine!$AY$86&gt;=Lookup_Lists!$D$155,"Moderate Match","Low Match")))))</f>
      </c>
      <c r="BA86" s="18">
        <f>KOL_Source_Data!$BW$14</f>
      </c>
      <c r="BB86" s="11">
        <f>KOL_Source_Data!$BX$14</f>
      </c>
      <c r="BC86" s="18">
        <f>IF(NOT(ISNUMBER(Matching_Engine!$AY$86)),-1,Matching_Engine!$AY$86*1000+16)</f>
      </c>
      <c r="BD86" s="11">
        <f>IF(AND(ISTEXT(KOL_Source_Data!$S$14),KOL_Source_Data!$S$14&lt;&gt;"N/A"),KOL_Source_Data!$S$14,"")&amp;" | "&amp;IF(AND(ISTEXT(KOL_Source_Data!$T$14),KOL_Source_Data!$T$14&lt;&gt;"N/A"),KOL_Source_Data!$T$14,"")&amp;" | "&amp;IF(AND(ISTEXT(KOL_Source_Data!$N$14),KOL_Source_Data!$N$14&lt;&gt;"N/A"),KOL_Source_Data!$N$14,"")&amp;" | "&amp;IF(AND(ISTEXT(KOL_Source_Data!$K$14),KOL_Source_Data!$K$14&lt;&gt;"N/A"),KOL_Source_Data!$K$14,"")&amp;" | "&amp;IF(AND(ISTEXT(KOL_Source_Data!$J$14),KOL_Source_Data!$J$14&lt;&gt;"N/A"),KOL_Source_Data!$J$14,"")</f>
      </c>
      <c r="BE86" s="11">
        <f>IF(AND(ISTEXT(KOL_Source_Data!$T$14),KOL_Source_Data!$T$14&lt;&gt;"N/A"),KOL_Source_Data!$T$14,"")&amp;" | "&amp;IF(AND(ISTEXT(KOL_Source_Data!$N$14),KOL_Source_Data!$N$14&lt;&gt;"N/A"),KOL_Source_Data!$N$14,"")&amp;" | "&amp;IF(AND(ISTEXT(KOL_Source_Data!$O$14),KOL_Source_Data!$O$14&lt;&gt;"N/A"),KOL_Source_Data!$O$14,"")&amp;" | "&amp;IF(AND(ISTEXT(KOL_Source_Data!$S$14),KOL_Source_Data!$S$14&lt;&gt;"N/A"),KOL_Source_Data!$S$14,"")</f>
      </c>
      <c r="BF86" s="11">
        <f>IF(AND(ISTEXT(KOL_Source_Data!$U$14),KOL_Source_Data!$U$14&lt;&gt;"N/A"),KOL_Source_Data!$U$14,"")</f>
      </c>
      <c r="BG86" s="11">
        <f>Matching_Engine!$A$86&amp;"|"&amp;Matching_Engine!$C$86</f>
      </c>
    </row>
    <row r="87" spans="1:59" x14ac:dyDescent="0.25">
      <c r="A87" s="10" t="s">
        <v>393</v>
      </c>
      <c r="B87" s="11">
        <f>Brand_Profile!$H$6</f>
      </c>
      <c r="C87" s="11">
        <f>KOL_Source_Data!$A$15</f>
      </c>
      <c r="D87" s="11">
        <f>KOL_Source_Data!$C$15</f>
      </c>
      <c r="E87" s="11">
        <f>KOL_Source_Data!$D$15</f>
      </c>
      <c r="F87" s="11">
        <f>KOL_Source_Data!$E$15</f>
      </c>
      <c r="G87" s="11">
        <f>KOL_Source_Data!$K$15</f>
      </c>
      <c r="H87" s="12">
        <f>KOL_Source_Data!$G$15</f>
      </c>
      <c r="I87" s="14">
        <f>KOL_Source_Data!$BG$15</f>
      </c>
      <c r="J87" s="18">
        <f>IF(NOT(AND(ISTEXT(KOL_Source_Data!$K$15),KOL_Source_Data!$K$15&lt;&gt;"N/A")),Lookup_Lists!$D$150,IF(Brand_Profile!$H$7=KOL_Source_Data!$K$15,100,IFERROR(INDEX(Lookup_Lists!$B$349:$J$357,MATCH(Brand_Profile!$H$7,Lookup_Lists!$A$349:$A$357,0),MATCH(KOL_Source_Data!$K$15,Lookup_Lists!$B$348:$J$348,0)),Lookup_Lists!$D$151)))</f>
      </c>
      <c r="K87" s="18">
        <f>IF(LEN(TRIM(SUBSTITUTE(Matching_Engine!$BD$87,"|","")))=0,"N/A",IF(Brand_Profile!$H$47=0,Lookup_Lists!$D$150,ROUND((IF(Brand_Profile!$H$41="",0,IF(ISNUMBER(SEARCH(Brand_Profile!$H$41,Matching_Engine!$BD$87)),1,0))+IF(Brand_Profile!$H$42="",0,IF(ISNUMBER(SEARCH(Brand_Profile!$H$42,Matching_Engine!$BD$87)),1,0))+IF(Brand_Profile!$H$43="",0,IF(ISNUMBER(SEARCH(Brand_Profile!$H$43,Matching_Engine!$BD$87)),1,0))+IF(Brand_Profile!$H$44="",0,IF(ISNUMBER(SEARCH(Brand_Profile!$H$44,Matching_Engine!$BD$87)),1,0))+IF(Brand_Profile!$H$45="",0,IF(ISNUMBER(SEARCH(Brand_Profile!$H$45,Matching_Engine!$BD$87)),1,0))+IF(Brand_Profile!$H$46="",0,IF(ISNUMBER(SEARCH(Brand_Profile!$H$46,Matching_Engine!$BD$87)),1,0)))/Brand_Profile!$H$47*100,0)))</f>
      </c>
      <c r="L87" s="18">
        <f>IF(NOT(AND(ISTEXT(KOL_Source_Data!$U$15),KOL_Source_Data!$U$15&lt;&gt;"N/A")),"N/A",IF(Brand_Profile!$H$53=0,Lookup_Lists!$D$150,ROUND((IF(Brand_Profile!$H$48="",0,IF(ISNUMBER(SEARCH(Brand_Profile!$H$48,Matching_Engine!$BF$87)),1,0))+IF(Brand_Profile!$H$49="",0,IF(ISNUMBER(SEARCH(Brand_Profile!$H$49,Matching_Engine!$BF$87)),1,0))+IF(Brand_Profile!$H$50="",0,IF(ISNUMBER(SEARCH(Brand_Profile!$H$50,Matching_Engine!$BF$87)),1,0))+IF(Brand_Profile!$H$51="",0,IF(ISNUMBER(SEARCH(Brand_Profile!$H$51,Matching_Engine!$BF$87)),1,0))+IF(Brand_Profile!$H$52="",0,IF(ISNUMBER(SEARCH(Brand_Profile!$H$52,Matching_Engine!$BF$87)),1,0)))/Brand_Profile!$H$53*100,0)))</f>
      </c>
      <c r="M87" s="29">
        <f>IF((IF(ISNUMBER(Matching_Engine!$J$87),Lookup_Lists!$D$332,0)+IF(ISNUMBER(Matching_Engine!$K$87),Lookup_Lists!$D$333,0)+IF(ISNUMBER(Matching_Engine!$L$87),Lookup_Lists!$D$334,0))=0,"N/A",ROUND((IF(ISNUMBER(Matching_Engine!$J$87),Matching_Engine!$J$87*Lookup_Lists!$D$332,0)+IF(ISNUMBER(Matching_Engine!$K$87),Matching_Engine!$K$87*Lookup_Lists!$D$333,0)+IF(ISNUMBER(Matching_Engine!$L$87),Matching_Engine!$L$87*Lookup_Lists!$D$334,0))/(IF(ISNUMBER(Matching_Engine!$J$87),Lookup_Lists!$D$332,0)+IF(ISNUMBER(Matching_Engine!$K$87),Lookup_Lists!$D$333,0)+IF(ISNUMBER(Matching_Engine!$L$87),Lookup_Lists!$D$334,0)),0))</f>
      </c>
      <c r="N87" s="11">
        <f>IF(ISNUMBER(Matching_Engine!$M$87),1,0)</f>
      </c>
      <c r="O87" s="18">
        <f>IF(NOT(ISNUMBER(IFERROR(INDEX(KOL_Source_Data!$V$15:KOL_Source_Data!$Z$15,1,MATCH(Brand_Profile!$H$11,Lookup_Lists!$F$6:$F$10,0)),""))),"N/A",MIN(100,ROUND((IFERROR(INDEX(KOL_Source_Data!$V$15:KOL_Source_Data!$Z$15,1,MATCH(Brand_Profile!$H$11,Lookup_Lists!$F$6:$F$10,0)),"")+0.5*IF(ISNUMBER(IFERROR(INDEX(KOL_Source_Data!$V$15:KOL_Source_Data!$Z$15,1,MATCH(Brand_Profile!$H$12,Lookup_Lists!$F$6:$F$10,0)),"")),IFERROR(INDEX(KOL_Source_Data!$V$15:KOL_Source_Data!$Z$15,1,MATCH(Brand_Profile!$H$12,Lookup_Lists!$F$6:$F$10,0)),""),0))/Lookup_Lists!$D$142*100,0)))</f>
      </c>
      <c r="P87" s="18">
        <f>IF(Brand_Profile!$H$13="Any",100,IF(NOT(ISNUMBER(KOL_Source_Data!$AA$15)),"N/A",IF(Brand_Profile!$H$13="Female",MIN(100,ROUND(KOL_Source_Data!$AA$15/Lookup_Lists!$D$143*100,0)),IF(Brand_Profile!$H$13="Male",MIN(100,ROUND(IF(ISNUMBER(KOL_Source_Data!$AB$15),KOL_Source_Data!$AB$15,100-KOL_Source_Data!$AA$15)/Lookup_Lists!$D$143*100,0)),MAX(0,ROUND(100-ABS(KOL_Source_Data!$AA$15-50)*2,0))))))</f>
      </c>
      <c r="Q87" s="18">
        <f>IF((IF(ISNUMBER(IF(NOT(ISNUMBER(KOL_Source_Data!$AE$15)),"N/A",IF(KOL_Source_Data!$AD$15&lt;&gt;Brand_Profile!$H$14,Lookup_Lists!$D$151,MIN(100,ROUND(KOL_Source_Data!$AE$15/Lookup_Lists!$D$316*100,0))))),Lookup_Lists!$D$118,0)+IF(ISNUMBER(IF(NOT(ISNUMBER(KOL_Source_Data!$AM$15)),"N/A",MIN(100,ROUND((IF(KOL_Source_Data!$AG$15=Brand_Profile!$H$15,IF(ISNUMBER(KOL_Source_Data!$AH$15),KOL_Source_Data!$AH$15,0),0)+IF(KOL_Source_Data!$AI$15=Brand_Profile!$H$15,IF(ISNUMBER(KOL_Source_Data!$AJ$15),KOL_Source_Data!$AJ$15,0),0)+IF(KOL_Source_Data!$AK$15=Brand_Profile!$H$15,IF(ISNUMBER(KOL_Source_Data!$AL$15),KOL_Source_Data!$AL$15,0),0))/Lookup_Lists!$D$317*100,0)))),Lookup_Lists!$D$120,0))=0,"N/A",ROUND((IF(ISNUMBER(IF(NOT(ISNUMBER(KOL_Source_Data!$AE$15)),"N/A",IF(KOL_Source_Data!$AD$15&lt;&gt;Brand_Profile!$H$14,Lookup_Lists!$D$151,MIN(100,ROUND(KOL_Source_Data!$AE$15/Lookup_Lists!$D$316*100,0))))),IF(NOT(ISNUMBER(KOL_Source_Data!$AE$15)),"N/A",IF(KOL_Source_Data!$AD$15&lt;&gt;Brand_Profile!$H$14,Lookup_Lists!$D$151,MIN(100,ROUND(KOL_Source_Data!$AE$15/Lookup_Lists!$D$316*100,0))))*Lookup_Lists!$D$118,0)+IF(ISNUMBER(IF(NOT(ISNUMBER(KOL_Source_Data!$AM$15)),"N/A",MIN(100,ROUND((IF(KOL_Source_Data!$AG$15=Brand_Profile!$H$15,IF(ISNUMBER(KOL_Source_Data!$AH$15),KOL_Source_Data!$AH$15,0),0)+IF(KOL_Source_Data!$AI$15=Brand_Profile!$H$15,IF(ISNUMBER(KOL_Source_Data!$AJ$15),KOL_Source_Data!$AJ$15,0),0)+IF(KOL_Source_Data!$AK$15=Brand_Profile!$H$15,IF(ISNUMBER(KOL_Source_Data!$AL$15),KOL_Source_Data!$AL$15,0),0))/Lookup_Lists!$D$317*100,0)))),IF(NOT(ISNUMBER(KOL_Source_Data!$AM$15)),"N/A",MIN(100,ROUND((IF(KOL_Source_Data!$AG$15=Brand_Profile!$H$15,IF(ISNUMBER(KOL_Source_Data!$AH$15),KOL_Source_Data!$AH$15,0),0)+IF(KOL_Source_Data!$AI$15=Brand_Profile!$H$15,IF(ISNUMBER(KOL_Source_Data!$AJ$15),KOL_Source_Data!$AJ$15,0),0)+IF(KOL_Source_Data!$AK$15=Brand_Profile!$H$15,IF(ISNUMBER(KOL_Source_Data!$AL$15),KOL_Source_Data!$AL$15,0),0))/Lookup_Lists!$D$317*100,0)))*Lookup_Lists!$D$120,0))/(IF(ISNUMBER(IF(NOT(ISNUMBER(KOL_Source_Data!$AE$15)),"N/A",IF(KOL_Source_Data!$AD$15&lt;&gt;Brand_Profile!$H$14,Lookup_Lists!$D$151,MIN(100,ROUND(KOL_Source_Data!$AE$15/Lookup_Lists!$D$316*100,0))))),Lookup_Lists!$D$118,0)+IF(ISNUMBER(IF(NOT(ISNUMBER(KOL_Source_Data!$AM$15)),"N/A",MIN(100,ROUND((IF(KOL_Source_Data!$AG$15=Brand_Profile!$H$15,IF(ISNUMBER(KOL_Source_Data!$AH$15),KOL_Source_Data!$AH$15,0),0)+IF(KOL_Source_Data!$AI$15=Brand_Profile!$H$15,IF(ISNUMBER(KOL_Source_Data!$AJ$15),KOL_Source_Data!$AJ$15,0),0)+IF(KOL_Source_Data!$AK$15=Brand_Profile!$H$15,IF(ISNUMBER(KOL_Source_Data!$AL$15),KOL_Source_Data!$AL$15,0),0))/Lookup_Lists!$D$317*100,0)))),Lookup_Lists!$D$120,0)),0))</f>
      </c>
      <c r="R87" s="18">
        <f>IF(NOT(ISNUMBER(KOL_Source_Data!$AN$15)),"N/A",MIN(100,ROUND((IF(ISNUMBER(KOL_Source_Data!$AO$15),KOL_Source_Data!$AO$15*Brand_Profile!$H$17,0)+IF(ISNUMBER(KOL_Source_Data!$AP$15),KOL_Source_Data!$AP$15*Brand_Profile!$H$18,0)+IF(ISNUMBER(KOL_Source_Data!$AQ$15),KOL_Source_Data!$AQ$15*Brand_Profile!$H$19,0)+IF(ISNUMBER(KOL_Source_Data!$AR$15),KOL_Source_Data!$AR$15*Brand_Profile!$H$20,0)+IF(ISNUMBER(KOL_Source_Data!$AS$15),KOL_Source_Data!$AS$15*Brand_Profile!$H$21,0)+IF(ISNUMBER(KOL_Source_Data!$AT$15),KOL_Source_Data!$AT$15*Brand_Profile!$H$22,0)+IF(ISNUMBER(KOL_Source_Data!$AU$15),KOL_Source_Data!$AU$15*Brand_Profile!$H$23,0)+IF(ISNUMBER(KOL_Source_Data!$AV$15),KOL_Source_Data!$AV$15*Brand_Profile!$H$24,0)+IF(ISNUMBER(KOL_Source_Data!$AW$15),KOL_Source_Data!$AW$15*Brand_Profile!$H$25,0)+IF(ISNUMBER(KOL_Source_Data!$AX$15),KOL_Source_Data!$AX$15*Brand_Profile!$H$26,0)+IF(ISNUMBER(KOL_Source_Data!$AY$15),KOL_Source_Data!$AY$15*Brand_Profile!$H$27,0)+IF(ISNUMBER(KOL_Source_Data!$AZ$15),KOL_Source_Data!$AZ$15*Brand_Profile!$H$28,0)+IF(ISNUMBER(KOL_Source_Data!$BA$15),KOL_Source_Data!$BA$15*Brand_Profile!$H$29,0)+IF(ISNUMBER(KOL_Source_Data!$BB$15),KOL_Source_Data!$BB$15*Brand_Profile!$H$30,0)+IF(ISNUMBER(KOL_Source_Data!$BC$15),KOL_Source_Data!$BC$15*Brand_Profile!$H$31,0)+IF(ISNUMBER(KOL_Source_Data!$BD$15),KOL_Source_Data!$BD$15*Brand_Profile!$H$32,0)+IF(ISNUMBER(KOL_Source_Data!$BE$15),KOL_Source_Data!$BE$15*Brand_Profile!$H$33,0)+IF(ISNUMBER(KOL_Source_Data!$BF$15),KOL_Source_Data!$BF$15*Brand_Profile!$H$34,0))/Lookup_Lists!$D$318*100,0)))</f>
      </c>
      <c r="S87" s="29">
        <f>IF((IF(ISNUMBER(Matching_Engine!$O$87),Lookup_Lists!$D$113,0)+IF(ISNUMBER(Matching_Engine!$P$87),Lookup_Lists!$D$114,0)+IF(ISNUMBER(Matching_Engine!$Q$87),Lookup_Lists!$D$115,0)+IF(ISNUMBER(Matching_Engine!$R$87),Lookup_Lists!$D$116,0))=0,"N/A",ROUND((IF(ISNUMBER(Matching_Engine!$O$87),Matching_Engine!$O$87*Lookup_Lists!$D$113,0)+IF(ISNUMBER(Matching_Engine!$P$87),Matching_Engine!$P$87*Lookup_Lists!$D$114,0)+IF(ISNUMBER(Matching_Engine!$Q$87),Matching_Engine!$Q$87*Lookup_Lists!$D$115,0)+IF(ISNUMBER(Matching_Engine!$R$87),Matching_Engine!$R$87*Lookup_Lists!$D$116,0))/(IF(ISNUMBER(Matching_Engine!$O$87),Lookup_Lists!$D$113,0)+IF(ISNUMBER(Matching_Engine!$P$87),Lookup_Lists!$D$114,0)+IF(ISNUMBER(Matching_Engine!$Q$87),Lookup_Lists!$D$115,0)+IF(ISNUMBER(Matching_Engine!$R$87),Lookup_Lists!$D$116,0)),0))</f>
      </c>
      <c r="T87" s="11">
        <f>IF(ISNUMBER(Matching_Engine!$S$87),1,0)</f>
      </c>
      <c r="U87" s="18">
        <f>IF(NOT(AND(ISTEXT(KOL_Source_Data!$M$15),KOL_Source_Data!$M$15&lt;&gt;"N/A")),Lookup_Lists!$D$150,IF(Brand_Profile!$H$7=KOL_Source_Data!$M$15,100,IFERROR(INDEX(Lookup_Lists!$B$349:$J$357,MATCH(Brand_Profile!$H$7,Lookup_Lists!$A$349:$A$357,0),MATCH(KOL_Source_Data!$M$15,Lookup_Lists!$B$348:$J$348,0)),Lookup_Lists!$D$151)))</f>
      </c>
      <c r="V87" s="18">
        <f>IF(NOT(AND(ISTEXT(KOL_Source_Data!$P$15),KOL_Source_Data!$P$15&lt;&gt;"N/A")),"N/A",IFERROR(INDEX(Lookup_Lists!$B$349:$J$357,MATCH(Brand_Profile!$H$7,Lookup_Lists!$A$349:$A$357,0),MATCH(KOL_Source_Data!$P$15,Lookup_Lists!$B$348:$J$348,0)),Lookup_Lists!$D$151))</f>
      </c>
      <c r="W87" s="18">
        <f>IF(LEN(TRIM(SUBSTITUTE(Matching_Engine!$BE$87,"|","")))=0,"N/A",IF(Brand_Profile!$H$60=0,Lookup_Lists!$D$150,ROUND((IF(Brand_Profile!$H$54="",0,IF(ISNUMBER(SEARCH(Brand_Profile!$H$54,Matching_Engine!$BE$87)),1,0))+IF(Brand_Profile!$H$55="",0,IF(ISNUMBER(SEARCH(Brand_Profile!$H$55,Matching_Engine!$BE$87)),1,0))+IF(Brand_Profile!$H$56="",0,IF(ISNUMBER(SEARCH(Brand_Profile!$H$56,Matching_Engine!$BE$87)),1,0))+IF(Brand_Profile!$H$57="",0,IF(ISNUMBER(SEARCH(Brand_Profile!$H$57,Matching_Engine!$BE$87)),1,0))+IF(Brand_Profile!$H$58="",0,IF(ISNUMBER(SEARCH(Brand_Profile!$H$58,Matching_Engine!$BE$87)),1,0))+IF(Brand_Profile!$H$59="",0,IF(ISNUMBER(SEARCH(Brand_Profile!$H$59,Matching_Engine!$BE$87)),1,0)))/Brand_Profile!$H$60*100,0)))</f>
      </c>
      <c r="X87" s="18">
        <f>IF(NOT(AND(ISTEXT(KOL_Source_Data!$Q$15),KOL_Source_Data!$Q$15&lt;&gt;"N/A")),"N/A",Lookup_Lists!$D$150)</f>
      </c>
      <c r="Y87" s="29">
        <f>IF((IF(ISNUMBER(Matching_Engine!$U$87),Lookup_Lists!$D$335,0)+IF(ISNUMBER(Matching_Engine!$V$87),Lookup_Lists!$D$122,0)+IF(ISNUMBER(Matching_Engine!$W$87),Lookup_Lists!$D$336,0)+IF(ISNUMBER(Matching_Engine!$X$87),Lookup_Lists!$D$124,0))=0,"N/A",ROUND((IF(ISNUMBER(Matching_Engine!$U$87),Matching_Engine!$U$87*Lookup_Lists!$D$335,0)+IF(ISNUMBER(Matching_Engine!$V$87),Matching_Engine!$V$87*Lookup_Lists!$D$122,0)+IF(ISNUMBER(Matching_Engine!$W$87),Matching_Engine!$W$87*Lookup_Lists!$D$336,0)+IF(ISNUMBER(Matching_Engine!$X$87),Matching_Engine!$X$87*Lookup_Lists!$D$124,0))/(IF(ISNUMBER(Matching_Engine!$U$87),Lookup_Lists!$D$335,0)+IF(ISNUMBER(Matching_Engine!$V$87),Lookup_Lists!$D$122,0)+IF(ISNUMBER(Matching_Engine!$W$87),Lookup_Lists!$D$336,0)+IF(ISNUMBER(Matching_Engine!$X$87),Lookup_Lists!$D$124,0)),0))</f>
      </c>
      <c r="Z87" s="11">
        <f>IF(ISNUMBER(Matching_Engine!$Y$87),1,0)</f>
      </c>
      <c r="AA87" s="18">
        <f>IF(NOT(AND(ISTEXT(KOL_Source_Data!$Q$15),KOL_Source_Data!$Q$15&lt;&gt;"N/A")),"N/A",Lookup_Lists!$D$150)</f>
      </c>
      <c r="AB87" s="18">
        <f>IF(NOT(AND(ISTEXT(KOL_Source_Data!$Q$15),KOL_Source_Data!$Q$15&lt;&gt;"N/A")),"N/A",Lookup_Lists!$D$150)</f>
      </c>
      <c r="AC87" s="18">
        <f>"N/A"</f>
      </c>
      <c r="AD87" s="18">
        <f>IF(NOT(AND(ISTEXT(KOL_Source_Data!$Q$15),KOL_Source_Data!$Q$15&lt;&gt;"N/A")),"N/A",Lookup_Lists!$D$150)</f>
      </c>
      <c r="AE87" s="29">
        <f>IF((IF(ISNUMBER(Matching_Engine!$AA$87),Lookup_Lists!$D$125,0)+IF(ISNUMBER(Matching_Engine!$AB$87),Lookup_Lists!$D$126,0)+IF(ISNUMBER(Matching_Engine!$AC$87),Lookup_Lists!$D$127,0)+IF(ISNUMBER(Matching_Engine!$AD$87),Lookup_Lists!$D$128,0))=0,"N/A",ROUND((IF(ISNUMBER(Matching_Engine!$AA$87),Matching_Engine!$AA$87*Lookup_Lists!$D$125,0)+IF(ISNUMBER(Matching_Engine!$AB$87),Matching_Engine!$AB$87*Lookup_Lists!$D$126,0)+IF(ISNUMBER(Matching_Engine!$AC$87),Matching_Engine!$AC$87*Lookup_Lists!$D$127,0)+IF(ISNUMBER(Matching_Engine!$AD$87),Matching_Engine!$AD$87*Lookup_Lists!$D$128,0))/(IF(ISNUMBER(Matching_Engine!$AA$87),Lookup_Lists!$D$125,0)+IF(ISNUMBER(Matching_Engine!$AB$87),Lookup_Lists!$D$126,0)+IF(ISNUMBER(Matching_Engine!$AC$87),Lookup_Lists!$D$127,0)+IF(ISNUMBER(Matching_Engine!$AD$87),Lookup_Lists!$D$128,0)),0))</f>
      </c>
      <c r="AF87" s="11">
        <f>IF(ISNUMBER(Matching_Engine!$AE$87),1,0)</f>
      </c>
      <c r="AG87" s="18">
        <f>IF(NOT(ISNUMBER(KOL_Source_Data!$BG$15)),"N/A",MIN(100,ROUND(KOL_Source_Data!$BG$15/IFERROR(INDEX(Lookup_Lists!$B$340:$B$344,MATCH(KOL_Source_Data!$H$15,Lookup_Lists!$A$340:$A$344,0)),Lookup_Lists!$D$141)*100,0)))</f>
      </c>
      <c r="AH87" s="18">
        <f>IF(NOT(ISNUMBER(KOL_Source_Data!$BS$15)),"N/A",MIN(100,MAX(0,KOL_Source_Data!$BS$15)))</f>
      </c>
      <c r="AI87" s="18">
        <f>IF(OR(NOT(ISNUMBER(KOL_Source_Data!$BM$15)),NOT(ISNUMBER(KOL_Source_Data!$BN$15)),KOL_Source_Data!$BN$15&lt;Lookup_Lists!$D$320),"N/A",MIN(100,ROUND(KOL_Source_Data!$BM$15/Lookup_Lists!$D$319*100,0)))</f>
      </c>
      <c r="AJ87" s="18">
        <f>IF(NOT(ISNUMBER(KOL_Source_Data!$BR$15)),"N/A",KOL_Source_Data!$BR$15)</f>
      </c>
      <c r="AK87" s="18">
        <f>IF(NOT(ISNUMBER(KOL_Source_Data!$BK$15)),"N/A",MIN(100,ROUND(KOL_Source_Data!$BK$15/Lookup_Lists!$D$321*100,0)))</f>
      </c>
      <c r="AL87" s="18">
        <f>IF(NOT(ISNUMBER(KOL_Source_Data!$BP$15)),"N/A",MIN(100,MAX(0,ROUND((KOL_Source_Data!$BP$15+2)/(Lookup_Lists!$D$145+2)*100,0))))</f>
      </c>
      <c r="AM87" s="29">
        <f>IF((IF(ISNUMBER(Matching_Engine!$AG$87),Lookup_Lists!$D$129,0)+IF(ISNUMBER(Matching_Engine!$AH$87),Lookup_Lists!$D$130,0)+IF(ISNUMBER(Matching_Engine!$AI$87),Lookup_Lists!$D$131,0)+IF(ISNUMBER(Matching_Engine!$AJ$87),Lookup_Lists!$D$132,0)+IF(ISNUMBER(Matching_Engine!$AK$87),Lookup_Lists!$D$133,0)+IF(ISNUMBER(Matching_Engine!$AL$87),Lookup_Lists!$D$134,0))=0,"N/A",ROUND((IF(ISNUMBER(Matching_Engine!$AG$87),Matching_Engine!$AG$87*Lookup_Lists!$D$129,0)+IF(ISNUMBER(Matching_Engine!$AH$87),Matching_Engine!$AH$87*Lookup_Lists!$D$130,0)+IF(ISNUMBER(Matching_Engine!$AI$87),Matching_Engine!$AI$87*Lookup_Lists!$D$131,0)+IF(ISNUMBER(Matching_Engine!$AJ$87),Matching_Engine!$AJ$87*Lookup_Lists!$D$132,0)+IF(ISNUMBER(Matching_Engine!$AK$87),Matching_Engine!$AK$87*Lookup_Lists!$D$133,0)+IF(ISNUMBER(Matching_Engine!$AL$87),Matching_Engine!$AL$87*Lookup_Lists!$D$134,0))/(IF(ISNUMBER(Matching_Engine!$AG$87),Lookup_Lists!$D$129,0)+IF(ISNUMBER(Matching_Engine!$AH$87),Lookup_Lists!$D$130,0)+IF(ISNUMBER(Matching_Engine!$AI$87),Lookup_Lists!$D$131,0)+IF(ISNUMBER(Matching_Engine!$AJ$87),Lookup_Lists!$D$132,0)+IF(ISNUMBER(Matching_Engine!$AK$87),Lookup_Lists!$D$133,0)+IF(ISNUMBER(Matching_Engine!$AL$87),Lookup_Lists!$D$134,0)),0))</f>
      </c>
      <c r="AN87" s="11">
        <f>IF(ISNUMBER(Matching_Engine!$AM$87),1,0)</f>
      </c>
      <c r="AO87" s="18">
        <f>IF(NOT(ISNUMBER(KOL_Source_Data!$BT$15)),"N/A",MIN(100,MAX(0,KOL_Source_Data!$BT$15)))</f>
      </c>
      <c r="AP87" s="18">
        <f>IF(NOT(ISNUMBER(KOL_Source_Data!$BU$15)),"N/A",MIN(100,MAX(0,KOL_Source_Data!$BU$15)))</f>
      </c>
      <c r="AQ87" s="18">
        <f>IF(KOL_Source_Data!$I$15="Yes",Lookup_Lists!$D$326,IF(KOL_Source_Data!$I$15="No",Lookup_Lists!$D$327,"N/A"))</f>
      </c>
      <c r="AR87" s="18">
        <f>IF(NOT(ISNUMBER(KOL_Source_Data!$BQ$15)),"N/A",MAX(0,ROUND(100-KOL_Source_Data!$BQ$15/Lookup_Lists!$D$328*100,0)))</f>
      </c>
      <c r="AS87" s="18">
        <f>IF(NOT(AND(ISTEXT(KOL_Source_Data!$BV$15),KOL_Source_Data!$BV$15&lt;&gt;"N/A")),"N/A",KOL_Source_Data!$BV$15)</f>
      </c>
      <c r="AT87" s="29">
        <f>IF((IF(ISNUMBER(Matching_Engine!$AO$87),Lookup_Lists!$D$322,0)+IF(ISNUMBER(Matching_Engine!$AP$87),Lookup_Lists!$D$323,0)+IF(ISNUMBER(Matching_Engine!$AQ$87),Lookup_Lists!$D$324,0)+IF(ISNUMBER(Matching_Engine!$AR$87),Lookup_Lists!$D$325,0))=0,"N/A",ROUND((IF(ISNUMBER(Matching_Engine!$AO$87),Matching_Engine!$AO$87*Lookup_Lists!$D$322,0)+IF(ISNUMBER(Matching_Engine!$AP$87),Matching_Engine!$AP$87*Lookup_Lists!$D$323,0)+IF(ISNUMBER(Matching_Engine!$AQ$87),Matching_Engine!$AQ$87*Lookup_Lists!$D$324,0)+IF(ISNUMBER(Matching_Engine!$AR$87),Matching_Engine!$AR$87*Lookup_Lists!$D$325,0))/(IF(ISNUMBER(Matching_Engine!$AO$87),Lookup_Lists!$D$322,0)+IF(ISNUMBER(Matching_Engine!$AP$87),Lookup_Lists!$D$323,0)+IF(ISNUMBER(Matching_Engine!$AQ$87),Lookup_Lists!$D$324,0)+IF(ISNUMBER(Matching_Engine!$AR$87),Lookup_Lists!$D$325,0)),0))</f>
      </c>
      <c r="AU87" s="11">
        <f>IF(ISNUMBER(Matching_Engine!$AT$87),1,0)</f>
      </c>
      <c r="AV87" s="11">
        <f>IF(NOT(ISNUMBER(Matching_Engine!$AT$87)),"Not Screened",IF(Matching_Engine!$AT$87&gt;=Lookup_Lists!$D$329,"Low Risk",IF(Matching_Engine!$AT$87&gt;=Lookup_Lists!$D$330,"Moderate Risk",IF(Matching_Engine!$AT$87&gt;=Lookup_Lists!$D$331,"Elevated Risk","High Risk"))))</f>
      </c>
      <c r="AW87" s="11">
        <f>IF(NOT(ISNUMBER(Matching_Engine!$AT$87)),"No integrity signal: no audience-analysis row for this account.","Integrity screen only — no content-risk reading exists (comments_analysis: 0 rows). "&amp;IF(ISNUMBER(Matching_Engine!$AO$87),"Authenticity "&amp;Matching_Engine!$AO$87&amp;". ","Authenticity N/A. ")&amp;IF(ISNUMBER(Matching_Engine!$AP$87),"Follower quality "&amp;Matching_Engine!$AP$87&amp;". ","Follower quality N/A. ")&amp;IF(KOL_Source_Data!$I$15="Yes","Platform-verified.","Not platform-verified."))</f>
      </c>
      <c r="AX87" s="18">
        <f>Matching_Engine!$N$87*Lookup_Lists!$D$104+Matching_Engine!$T$87*Lookup_Lists!$D$105+Matching_Engine!$Z$87*Lookup_Lists!$D$106+Matching_Engine!$AF$87*Lookup_Lists!$D$107+Matching_Engine!$AN$87*Lookup_Lists!$D$108+Matching_Engine!$AU$87*Lookup_Lists!$D$109</f>
      </c>
      <c r="AY87" s="30">
        <f>IF(Matching_Engine!$AX$87=0,"N/A",ROUND((IF(Matching_Engine!$N$87=1,Matching_Engine!$M$87*Lookup_Lists!$D$104,0)+IF(Matching_Engine!$T$87=1,Matching_Engine!$S$87*Lookup_Lists!$D$105,0)+IF(Matching_Engine!$Z$87=1,Matching_Engine!$Y$87*Lookup_Lists!$D$106,0)+IF(Matching_Engine!$AF$87=1,Matching_Engine!$AE$87*Lookup_Lists!$D$107,0)+IF(Matching_Engine!$AN$87=1,Matching_Engine!$AM$87*Lookup_Lists!$D$108,0)+IF(Matching_Engine!$AU$87=1,Matching_Engine!$AT$87*Lookup_Lists!$D$109,0))/Matching_Engine!$AX$87,0))</f>
      </c>
      <c r="AZ87" s="11">
        <f>IF(NOT(ISNUMBER(Matching_Engine!$AY$87)),"Not Scored",IF(Matching_Engine!$AY$87&gt;=Lookup_Lists!$D$152,"Excellent Match",IF(Matching_Engine!$AY$87&gt;=Lookup_Lists!$D$153,"Strong Match",IF(Matching_Engine!$AY$87&gt;=Lookup_Lists!$D$154,"Good Match",IF(Matching_Engine!$AY$87&gt;=Lookup_Lists!$D$155,"Moderate Match","Low Match")))))</f>
      </c>
      <c r="BA87" s="18">
        <f>KOL_Source_Data!$BW$15</f>
      </c>
      <c r="BB87" s="11">
        <f>KOL_Source_Data!$BX$15</f>
      </c>
      <c r="BC87" s="18">
        <f>IF(NOT(ISNUMBER(Matching_Engine!$AY$87)),-1,Matching_Engine!$AY$87*1000+15)</f>
      </c>
      <c r="BD87" s="11">
        <f>IF(AND(ISTEXT(KOL_Source_Data!$S$15),KOL_Source_Data!$S$15&lt;&gt;"N/A"),KOL_Source_Data!$S$15,"")&amp;" | "&amp;IF(AND(ISTEXT(KOL_Source_Data!$T$15),KOL_Source_Data!$T$15&lt;&gt;"N/A"),KOL_Source_Data!$T$15,"")&amp;" | "&amp;IF(AND(ISTEXT(KOL_Source_Data!$N$15),KOL_Source_Data!$N$15&lt;&gt;"N/A"),KOL_Source_Data!$N$15,"")&amp;" | "&amp;IF(AND(ISTEXT(KOL_Source_Data!$K$15),KOL_Source_Data!$K$15&lt;&gt;"N/A"),KOL_Source_Data!$K$15,"")&amp;" | "&amp;IF(AND(ISTEXT(KOL_Source_Data!$J$15),KOL_Source_Data!$J$15&lt;&gt;"N/A"),KOL_Source_Data!$J$15,"")</f>
      </c>
      <c r="BE87" s="11">
        <f>IF(AND(ISTEXT(KOL_Source_Data!$T$15),KOL_Source_Data!$T$15&lt;&gt;"N/A"),KOL_Source_Data!$T$15,"")&amp;" | "&amp;IF(AND(ISTEXT(KOL_Source_Data!$N$15),KOL_Source_Data!$N$15&lt;&gt;"N/A"),KOL_Source_Data!$N$15,"")&amp;" | "&amp;IF(AND(ISTEXT(KOL_Source_Data!$O$15),KOL_Source_Data!$O$15&lt;&gt;"N/A"),KOL_Source_Data!$O$15,"")&amp;" | "&amp;IF(AND(ISTEXT(KOL_Source_Data!$S$15),KOL_Source_Data!$S$15&lt;&gt;"N/A"),KOL_Source_Data!$S$15,"")</f>
      </c>
      <c r="BF87" s="11">
        <f>IF(AND(ISTEXT(KOL_Source_Data!$U$15),KOL_Source_Data!$U$15&lt;&gt;"N/A"),KOL_Source_Data!$U$15,"")</f>
      </c>
      <c r="BG87" s="11">
        <f>Matching_Engine!$A$87&amp;"|"&amp;Matching_Engine!$C$87</f>
      </c>
    </row>
    <row r="88" spans="1:59" x14ac:dyDescent="0.25">
      <c r="A88" s="10" t="s">
        <v>393</v>
      </c>
      <c r="B88" s="11">
        <f>Brand_Profile!$H$6</f>
      </c>
      <c r="C88" s="11">
        <f>KOL_Source_Data!$A$16</f>
      </c>
      <c r="D88" s="11">
        <f>KOL_Source_Data!$C$16</f>
      </c>
      <c r="E88" s="11">
        <f>KOL_Source_Data!$D$16</f>
      </c>
      <c r="F88" s="11">
        <f>KOL_Source_Data!$E$16</f>
      </c>
      <c r="G88" s="11">
        <f>KOL_Source_Data!$K$16</f>
      </c>
      <c r="H88" s="12">
        <f>KOL_Source_Data!$G$16</f>
      </c>
      <c r="I88" s="14">
        <f>KOL_Source_Data!$BG$16</f>
      </c>
      <c r="J88" s="18">
        <f>IF(NOT(AND(ISTEXT(KOL_Source_Data!$K$16),KOL_Source_Data!$K$16&lt;&gt;"N/A")),Lookup_Lists!$D$150,IF(Brand_Profile!$H$7=KOL_Source_Data!$K$16,100,IFERROR(INDEX(Lookup_Lists!$B$349:$J$357,MATCH(Brand_Profile!$H$7,Lookup_Lists!$A$349:$A$357,0),MATCH(KOL_Source_Data!$K$16,Lookup_Lists!$B$348:$J$348,0)),Lookup_Lists!$D$151)))</f>
      </c>
      <c r="K88" s="18">
        <f>IF(LEN(TRIM(SUBSTITUTE(Matching_Engine!$BD$88,"|","")))=0,"N/A",IF(Brand_Profile!$H$47=0,Lookup_Lists!$D$150,ROUND((IF(Brand_Profile!$H$41="",0,IF(ISNUMBER(SEARCH(Brand_Profile!$H$41,Matching_Engine!$BD$88)),1,0))+IF(Brand_Profile!$H$42="",0,IF(ISNUMBER(SEARCH(Brand_Profile!$H$42,Matching_Engine!$BD$88)),1,0))+IF(Brand_Profile!$H$43="",0,IF(ISNUMBER(SEARCH(Brand_Profile!$H$43,Matching_Engine!$BD$88)),1,0))+IF(Brand_Profile!$H$44="",0,IF(ISNUMBER(SEARCH(Brand_Profile!$H$44,Matching_Engine!$BD$88)),1,0))+IF(Brand_Profile!$H$45="",0,IF(ISNUMBER(SEARCH(Brand_Profile!$H$45,Matching_Engine!$BD$88)),1,0))+IF(Brand_Profile!$H$46="",0,IF(ISNUMBER(SEARCH(Brand_Profile!$H$46,Matching_Engine!$BD$88)),1,0)))/Brand_Profile!$H$47*100,0)))</f>
      </c>
      <c r="L88" s="18">
        <f>IF(NOT(AND(ISTEXT(KOL_Source_Data!$U$16),KOL_Source_Data!$U$16&lt;&gt;"N/A")),"N/A",IF(Brand_Profile!$H$53=0,Lookup_Lists!$D$150,ROUND((IF(Brand_Profile!$H$48="",0,IF(ISNUMBER(SEARCH(Brand_Profile!$H$48,Matching_Engine!$BF$88)),1,0))+IF(Brand_Profile!$H$49="",0,IF(ISNUMBER(SEARCH(Brand_Profile!$H$49,Matching_Engine!$BF$88)),1,0))+IF(Brand_Profile!$H$50="",0,IF(ISNUMBER(SEARCH(Brand_Profile!$H$50,Matching_Engine!$BF$88)),1,0))+IF(Brand_Profile!$H$51="",0,IF(ISNUMBER(SEARCH(Brand_Profile!$H$51,Matching_Engine!$BF$88)),1,0))+IF(Brand_Profile!$H$52="",0,IF(ISNUMBER(SEARCH(Brand_Profile!$H$52,Matching_Engine!$BF$88)),1,0)))/Brand_Profile!$H$53*100,0)))</f>
      </c>
      <c r="M88" s="29">
        <f>IF((IF(ISNUMBER(Matching_Engine!$J$88),Lookup_Lists!$D$332,0)+IF(ISNUMBER(Matching_Engine!$K$88),Lookup_Lists!$D$333,0)+IF(ISNUMBER(Matching_Engine!$L$88),Lookup_Lists!$D$334,0))=0,"N/A",ROUND((IF(ISNUMBER(Matching_Engine!$J$88),Matching_Engine!$J$88*Lookup_Lists!$D$332,0)+IF(ISNUMBER(Matching_Engine!$K$88),Matching_Engine!$K$88*Lookup_Lists!$D$333,0)+IF(ISNUMBER(Matching_Engine!$L$88),Matching_Engine!$L$88*Lookup_Lists!$D$334,0))/(IF(ISNUMBER(Matching_Engine!$J$88),Lookup_Lists!$D$332,0)+IF(ISNUMBER(Matching_Engine!$K$88),Lookup_Lists!$D$333,0)+IF(ISNUMBER(Matching_Engine!$L$88),Lookup_Lists!$D$334,0)),0))</f>
      </c>
      <c r="N88" s="11">
        <f>IF(ISNUMBER(Matching_Engine!$M$88),1,0)</f>
      </c>
      <c r="O88" s="18">
        <f>IF(NOT(ISNUMBER(IFERROR(INDEX(KOL_Source_Data!$V$16:KOL_Source_Data!$Z$16,1,MATCH(Brand_Profile!$H$11,Lookup_Lists!$F$6:$F$10,0)),""))),"N/A",MIN(100,ROUND((IFERROR(INDEX(KOL_Source_Data!$V$16:KOL_Source_Data!$Z$16,1,MATCH(Brand_Profile!$H$11,Lookup_Lists!$F$6:$F$10,0)),"")+0.5*IF(ISNUMBER(IFERROR(INDEX(KOL_Source_Data!$V$16:KOL_Source_Data!$Z$16,1,MATCH(Brand_Profile!$H$12,Lookup_Lists!$F$6:$F$10,0)),"")),IFERROR(INDEX(KOL_Source_Data!$V$16:KOL_Source_Data!$Z$16,1,MATCH(Brand_Profile!$H$12,Lookup_Lists!$F$6:$F$10,0)),""),0))/Lookup_Lists!$D$142*100,0)))</f>
      </c>
      <c r="P88" s="18">
        <f>IF(Brand_Profile!$H$13="Any",100,IF(NOT(ISNUMBER(KOL_Source_Data!$AA$16)),"N/A",IF(Brand_Profile!$H$13="Female",MIN(100,ROUND(KOL_Source_Data!$AA$16/Lookup_Lists!$D$143*100,0)),IF(Brand_Profile!$H$13="Male",MIN(100,ROUND(IF(ISNUMBER(KOL_Source_Data!$AB$16),KOL_Source_Data!$AB$16,100-KOL_Source_Data!$AA$16)/Lookup_Lists!$D$143*100,0)),MAX(0,ROUND(100-ABS(KOL_Source_Data!$AA$16-50)*2,0))))))</f>
      </c>
      <c r="Q88" s="18">
        <f>IF((IF(ISNUMBER(IF(NOT(ISNUMBER(KOL_Source_Data!$AE$16)),"N/A",IF(KOL_Source_Data!$AD$16&lt;&gt;Brand_Profile!$H$14,Lookup_Lists!$D$151,MIN(100,ROUND(KOL_Source_Data!$AE$16/Lookup_Lists!$D$316*100,0))))),Lookup_Lists!$D$118,0)+IF(ISNUMBER(IF(NOT(ISNUMBER(KOL_Source_Data!$AM$16)),"N/A",MIN(100,ROUND((IF(KOL_Source_Data!$AG$16=Brand_Profile!$H$15,IF(ISNUMBER(KOL_Source_Data!$AH$16),KOL_Source_Data!$AH$16,0),0)+IF(KOL_Source_Data!$AI$16=Brand_Profile!$H$15,IF(ISNUMBER(KOL_Source_Data!$AJ$16),KOL_Source_Data!$AJ$16,0),0)+IF(KOL_Source_Data!$AK$16=Brand_Profile!$H$15,IF(ISNUMBER(KOL_Source_Data!$AL$16),KOL_Source_Data!$AL$16,0),0))/Lookup_Lists!$D$317*100,0)))),Lookup_Lists!$D$120,0))=0,"N/A",ROUND((IF(ISNUMBER(IF(NOT(ISNUMBER(KOL_Source_Data!$AE$16)),"N/A",IF(KOL_Source_Data!$AD$16&lt;&gt;Brand_Profile!$H$14,Lookup_Lists!$D$151,MIN(100,ROUND(KOL_Source_Data!$AE$16/Lookup_Lists!$D$316*100,0))))),IF(NOT(ISNUMBER(KOL_Source_Data!$AE$16)),"N/A",IF(KOL_Source_Data!$AD$16&lt;&gt;Brand_Profile!$H$14,Lookup_Lists!$D$151,MIN(100,ROUND(KOL_Source_Data!$AE$16/Lookup_Lists!$D$316*100,0))))*Lookup_Lists!$D$118,0)+IF(ISNUMBER(IF(NOT(ISNUMBER(KOL_Source_Data!$AM$16)),"N/A",MIN(100,ROUND((IF(KOL_Source_Data!$AG$16=Brand_Profile!$H$15,IF(ISNUMBER(KOL_Source_Data!$AH$16),KOL_Source_Data!$AH$16,0),0)+IF(KOL_Source_Data!$AI$16=Brand_Profile!$H$15,IF(ISNUMBER(KOL_Source_Data!$AJ$16),KOL_Source_Data!$AJ$16,0),0)+IF(KOL_Source_Data!$AK$16=Brand_Profile!$H$15,IF(ISNUMBER(KOL_Source_Data!$AL$16),KOL_Source_Data!$AL$16,0),0))/Lookup_Lists!$D$317*100,0)))),IF(NOT(ISNUMBER(KOL_Source_Data!$AM$16)),"N/A",MIN(100,ROUND((IF(KOL_Source_Data!$AG$16=Brand_Profile!$H$15,IF(ISNUMBER(KOL_Source_Data!$AH$16),KOL_Source_Data!$AH$16,0),0)+IF(KOL_Source_Data!$AI$16=Brand_Profile!$H$15,IF(ISNUMBER(KOL_Source_Data!$AJ$16),KOL_Source_Data!$AJ$16,0),0)+IF(KOL_Source_Data!$AK$16=Brand_Profile!$H$15,IF(ISNUMBER(KOL_Source_Data!$AL$16),KOL_Source_Data!$AL$16,0),0))/Lookup_Lists!$D$317*100,0)))*Lookup_Lists!$D$120,0))/(IF(ISNUMBER(IF(NOT(ISNUMBER(KOL_Source_Data!$AE$16)),"N/A",IF(KOL_Source_Data!$AD$16&lt;&gt;Brand_Profile!$H$14,Lookup_Lists!$D$151,MIN(100,ROUND(KOL_Source_Data!$AE$16/Lookup_Lists!$D$316*100,0))))),Lookup_Lists!$D$118,0)+IF(ISNUMBER(IF(NOT(ISNUMBER(KOL_Source_Data!$AM$16)),"N/A",MIN(100,ROUND((IF(KOL_Source_Data!$AG$16=Brand_Profile!$H$15,IF(ISNUMBER(KOL_Source_Data!$AH$16),KOL_Source_Data!$AH$16,0),0)+IF(KOL_Source_Data!$AI$16=Brand_Profile!$H$15,IF(ISNUMBER(KOL_Source_Data!$AJ$16),KOL_Source_Data!$AJ$16,0),0)+IF(KOL_Source_Data!$AK$16=Brand_Profile!$H$15,IF(ISNUMBER(KOL_Source_Data!$AL$16),KOL_Source_Data!$AL$16,0),0))/Lookup_Lists!$D$317*100,0)))),Lookup_Lists!$D$120,0)),0))</f>
      </c>
      <c r="R88" s="18">
        <f>IF(NOT(ISNUMBER(KOL_Source_Data!$AN$16)),"N/A",MIN(100,ROUND((IF(ISNUMBER(KOL_Source_Data!$AO$16),KOL_Source_Data!$AO$16*Brand_Profile!$H$17,0)+IF(ISNUMBER(KOL_Source_Data!$AP$16),KOL_Source_Data!$AP$16*Brand_Profile!$H$18,0)+IF(ISNUMBER(KOL_Source_Data!$AQ$16),KOL_Source_Data!$AQ$16*Brand_Profile!$H$19,0)+IF(ISNUMBER(KOL_Source_Data!$AR$16),KOL_Source_Data!$AR$16*Brand_Profile!$H$20,0)+IF(ISNUMBER(KOL_Source_Data!$AS$16),KOL_Source_Data!$AS$16*Brand_Profile!$H$21,0)+IF(ISNUMBER(KOL_Source_Data!$AT$16),KOL_Source_Data!$AT$16*Brand_Profile!$H$22,0)+IF(ISNUMBER(KOL_Source_Data!$AU$16),KOL_Source_Data!$AU$16*Brand_Profile!$H$23,0)+IF(ISNUMBER(KOL_Source_Data!$AV$16),KOL_Source_Data!$AV$16*Brand_Profile!$H$24,0)+IF(ISNUMBER(KOL_Source_Data!$AW$16),KOL_Source_Data!$AW$16*Brand_Profile!$H$25,0)+IF(ISNUMBER(KOL_Source_Data!$AX$16),KOL_Source_Data!$AX$16*Brand_Profile!$H$26,0)+IF(ISNUMBER(KOL_Source_Data!$AY$16),KOL_Source_Data!$AY$16*Brand_Profile!$H$27,0)+IF(ISNUMBER(KOL_Source_Data!$AZ$16),KOL_Source_Data!$AZ$16*Brand_Profile!$H$28,0)+IF(ISNUMBER(KOL_Source_Data!$BA$16),KOL_Source_Data!$BA$16*Brand_Profile!$H$29,0)+IF(ISNUMBER(KOL_Source_Data!$BB$16),KOL_Source_Data!$BB$16*Brand_Profile!$H$30,0)+IF(ISNUMBER(KOL_Source_Data!$BC$16),KOL_Source_Data!$BC$16*Brand_Profile!$H$31,0)+IF(ISNUMBER(KOL_Source_Data!$BD$16),KOL_Source_Data!$BD$16*Brand_Profile!$H$32,0)+IF(ISNUMBER(KOL_Source_Data!$BE$16),KOL_Source_Data!$BE$16*Brand_Profile!$H$33,0)+IF(ISNUMBER(KOL_Source_Data!$BF$16),KOL_Source_Data!$BF$16*Brand_Profile!$H$34,0))/Lookup_Lists!$D$318*100,0)))</f>
      </c>
      <c r="S88" s="29">
        <f>IF((IF(ISNUMBER(Matching_Engine!$O$88),Lookup_Lists!$D$113,0)+IF(ISNUMBER(Matching_Engine!$P$88),Lookup_Lists!$D$114,0)+IF(ISNUMBER(Matching_Engine!$Q$88),Lookup_Lists!$D$115,0)+IF(ISNUMBER(Matching_Engine!$R$88),Lookup_Lists!$D$116,0))=0,"N/A",ROUND((IF(ISNUMBER(Matching_Engine!$O$88),Matching_Engine!$O$88*Lookup_Lists!$D$113,0)+IF(ISNUMBER(Matching_Engine!$P$88),Matching_Engine!$P$88*Lookup_Lists!$D$114,0)+IF(ISNUMBER(Matching_Engine!$Q$88),Matching_Engine!$Q$88*Lookup_Lists!$D$115,0)+IF(ISNUMBER(Matching_Engine!$R$88),Matching_Engine!$R$88*Lookup_Lists!$D$116,0))/(IF(ISNUMBER(Matching_Engine!$O$88),Lookup_Lists!$D$113,0)+IF(ISNUMBER(Matching_Engine!$P$88),Lookup_Lists!$D$114,0)+IF(ISNUMBER(Matching_Engine!$Q$88),Lookup_Lists!$D$115,0)+IF(ISNUMBER(Matching_Engine!$R$88),Lookup_Lists!$D$116,0)),0))</f>
      </c>
      <c r="T88" s="11">
        <f>IF(ISNUMBER(Matching_Engine!$S$88),1,0)</f>
      </c>
      <c r="U88" s="18">
        <f>IF(NOT(AND(ISTEXT(KOL_Source_Data!$M$16),KOL_Source_Data!$M$16&lt;&gt;"N/A")),Lookup_Lists!$D$150,IF(Brand_Profile!$H$7=KOL_Source_Data!$M$16,100,IFERROR(INDEX(Lookup_Lists!$B$349:$J$357,MATCH(Brand_Profile!$H$7,Lookup_Lists!$A$349:$A$357,0),MATCH(KOL_Source_Data!$M$16,Lookup_Lists!$B$348:$J$348,0)),Lookup_Lists!$D$151)))</f>
      </c>
      <c r="V88" s="18">
        <f>IF(NOT(AND(ISTEXT(KOL_Source_Data!$P$16),KOL_Source_Data!$P$16&lt;&gt;"N/A")),"N/A",IFERROR(INDEX(Lookup_Lists!$B$349:$J$357,MATCH(Brand_Profile!$H$7,Lookup_Lists!$A$349:$A$357,0),MATCH(KOL_Source_Data!$P$16,Lookup_Lists!$B$348:$J$348,0)),Lookup_Lists!$D$151))</f>
      </c>
      <c r="W88" s="18">
        <f>IF(LEN(TRIM(SUBSTITUTE(Matching_Engine!$BE$88,"|","")))=0,"N/A",IF(Brand_Profile!$H$60=0,Lookup_Lists!$D$150,ROUND((IF(Brand_Profile!$H$54="",0,IF(ISNUMBER(SEARCH(Brand_Profile!$H$54,Matching_Engine!$BE$88)),1,0))+IF(Brand_Profile!$H$55="",0,IF(ISNUMBER(SEARCH(Brand_Profile!$H$55,Matching_Engine!$BE$88)),1,0))+IF(Brand_Profile!$H$56="",0,IF(ISNUMBER(SEARCH(Brand_Profile!$H$56,Matching_Engine!$BE$88)),1,0))+IF(Brand_Profile!$H$57="",0,IF(ISNUMBER(SEARCH(Brand_Profile!$H$57,Matching_Engine!$BE$88)),1,0))+IF(Brand_Profile!$H$58="",0,IF(ISNUMBER(SEARCH(Brand_Profile!$H$58,Matching_Engine!$BE$88)),1,0))+IF(Brand_Profile!$H$59="",0,IF(ISNUMBER(SEARCH(Brand_Profile!$H$59,Matching_Engine!$BE$88)),1,0)))/Brand_Profile!$H$60*100,0)))</f>
      </c>
      <c r="X88" s="18">
        <f>IF(NOT(AND(ISTEXT(KOL_Source_Data!$Q$16),KOL_Source_Data!$Q$16&lt;&gt;"N/A")),"N/A",Lookup_Lists!$D$150)</f>
      </c>
      <c r="Y88" s="29">
        <f>IF((IF(ISNUMBER(Matching_Engine!$U$88),Lookup_Lists!$D$335,0)+IF(ISNUMBER(Matching_Engine!$V$88),Lookup_Lists!$D$122,0)+IF(ISNUMBER(Matching_Engine!$W$88),Lookup_Lists!$D$336,0)+IF(ISNUMBER(Matching_Engine!$X$88),Lookup_Lists!$D$124,0))=0,"N/A",ROUND((IF(ISNUMBER(Matching_Engine!$U$88),Matching_Engine!$U$88*Lookup_Lists!$D$335,0)+IF(ISNUMBER(Matching_Engine!$V$88),Matching_Engine!$V$88*Lookup_Lists!$D$122,0)+IF(ISNUMBER(Matching_Engine!$W$88),Matching_Engine!$W$88*Lookup_Lists!$D$336,0)+IF(ISNUMBER(Matching_Engine!$X$88),Matching_Engine!$X$88*Lookup_Lists!$D$124,0))/(IF(ISNUMBER(Matching_Engine!$U$88),Lookup_Lists!$D$335,0)+IF(ISNUMBER(Matching_Engine!$V$88),Lookup_Lists!$D$122,0)+IF(ISNUMBER(Matching_Engine!$W$88),Lookup_Lists!$D$336,0)+IF(ISNUMBER(Matching_Engine!$X$88),Lookup_Lists!$D$124,0)),0))</f>
      </c>
      <c r="Z88" s="11">
        <f>IF(ISNUMBER(Matching_Engine!$Y$88),1,0)</f>
      </c>
      <c r="AA88" s="18">
        <f>IF(NOT(AND(ISTEXT(KOL_Source_Data!$Q$16),KOL_Source_Data!$Q$16&lt;&gt;"N/A")),"N/A",Lookup_Lists!$D$150)</f>
      </c>
      <c r="AB88" s="18">
        <f>IF(NOT(AND(ISTEXT(KOL_Source_Data!$Q$16),KOL_Source_Data!$Q$16&lt;&gt;"N/A")),"N/A",Lookup_Lists!$D$150)</f>
      </c>
      <c r="AC88" s="18">
        <f>"N/A"</f>
      </c>
      <c r="AD88" s="18">
        <f>IF(NOT(AND(ISTEXT(KOL_Source_Data!$Q$16),KOL_Source_Data!$Q$16&lt;&gt;"N/A")),"N/A",Lookup_Lists!$D$150)</f>
      </c>
      <c r="AE88" s="29">
        <f>IF((IF(ISNUMBER(Matching_Engine!$AA$88),Lookup_Lists!$D$125,0)+IF(ISNUMBER(Matching_Engine!$AB$88),Lookup_Lists!$D$126,0)+IF(ISNUMBER(Matching_Engine!$AC$88),Lookup_Lists!$D$127,0)+IF(ISNUMBER(Matching_Engine!$AD$88),Lookup_Lists!$D$128,0))=0,"N/A",ROUND((IF(ISNUMBER(Matching_Engine!$AA$88),Matching_Engine!$AA$88*Lookup_Lists!$D$125,0)+IF(ISNUMBER(Matching_Engine!$AB$88),Matching_Engine!$AB$88*Lookup_Lists!$D$126,0)+IF(ISNUMBER(Matching_Engine!$AC$88),Matching_Engine!$AC$88*Lookup_Lists!$D$127,0)+IF(ISNUMBER(Matching_Engine!$AD$88),Matching_Engine!$AD$88*Lookup_Lists!$D$128,0))/(IF(ISNUMBER(Matching_Engine!$AA$88),Lookup_Lists!$D$125,0)+IF(ISNUMBER(Matching_Engine!$AB$88),Lookup_Lists!$D$126,0)+IF(ISNUMBER(Matching_Engine!$AC$88),Lookup_Lists!$D$127,0)+IF(ISNUMBER(Matching_Engine!$AD$88),Lookup_Lists!$D$128,0)),0))</f>
      </c>
      <c r="AF88" s="11">
        <f>IF(ISNUMBER(Matching_Engine!$AE$88),1,0)</f>
      </c>
      <c r="AG88" s="18">
        <f>IF(NOT(ISNUMBER(KOL_Source_Data!$BG$16)),"N/A",MIN(100,ROUND(KOL_Source_Data!$BG$16/IFERROR(INDEX(Lookup_Lists!$B$340:$B$344,MATCH(KOL_Source_Data!$H$16,Lookup_Lists!$A$340:$A$344,0)),Lookup_Lists!$D$141)*100,0)))</f>
      </c>
      <c r="AH88" s="18">
        <f>IF(NOT(ISNUMBER(KOL_Source_Data!$BS$16)),"N/A",MIN(100,MAX(0,KOL_Source_Data!$BS$16)))</f>
      </c>
      <c r="AI88" s="18">
        <f>IF(OR(NOT(ISNUMBER(KOL_Source_Data!$BM$16)),NOT(ISNUMBER(KOL_Source_Data!$BN$16)),KOL_Source_Data!$BN$16&lt;Lookup_Lists!$D$320),"N/A",MIN(100,ROUND(KOL_Source_Data!$BM$16/Lookup_Lists!$D$319*100,0)))</f>
      </c>
      <c r="AJ88" s="18">
        <f>IF(NOT(ISNUMBER(KOL_Source_Data!$BR$16)),"N/A",KOL_Source_Data!$BR$16)</f>
      </c>
      <c r="AK88" s="18">
        <f>IF(NOT(ISNUMBER(KOL_Source_Data!$BK$16)),"N/A",MIN(100,ROUND(KOL_Source_Data!$BK$16/Lookup_Lists!$D$321*100,0)))</f>
      </c>
      <c r="AL88" s="18">
        <f>IF(NOT(ISNUMBER(KOL_Source_Data!$BP$16)),"N/A",MIN(100,MAX(0,ROUND((KOL_Source_Data!$BP$16+2)/(Lookup_Lists!$D$145+2)*100,0))))</f>
      </c>
      <c r="AM88" s="29">
        <f>IF((IF(ISNUMBER(Matching_Engine!$AG$88),Lookup_Lists!$D$129,0)+IF(ISNUMBER(Matching_Engine!$AH$88),Lookup_Lists!$D$130,0)+IF(ISNUMBER(Matching_Engine!$AI$88),Lookup_Lists!$D$131,0)+IF(ISNUMBER(Matching_Engine!$AJ$88),Lookup_Lists!$D$132,0)+IF(ISNUMBER(Matching_Engine!$AK$88),Lookup_Lists!$D$133,0)+IF(ISNUMBER(Matching_Engine!$AL$88),Lookup_Lists!$D$134,0))=0,"N/A",ROUND((IF(ISNUMBER(Matching_Engine!$AG$88),Matching_Engine!$AG$88*Lookup_Lists!$D$129,0)+IF(ISNUMBER(Matching_Engine!$AH$88),Matching_Engine!$AH$88*Lookup_Lists!$D$130,0)+IF(ISNUMBER(Matching_Engine!$AI$88),Matching_Engine!$AI$88*Lookup_Lists!$D$131,0)+IF(ISNUMBER(Matching_Engine!$AJ$88),Matching_Engine!$AJ$88*Lookup_Lists!$D$132,0)+IF(ISNUMBER(Matching_Engine!$AK$88),Matching_Engine!$AK$88*Lookup_Lists!$D$133,0)+IF(ISNUMBER(Matching_Engine!$AL$88),Matching_Engine!$AL$88*Lookup_Lists!$D$134,0))/(IF(ISNUMBER(Matching_Engine!$AG$88),Lookup_Lists!$D$129,0)+IF(ISNUMBER(Matching_Engine!$AH$88),Lookup_Lists!$D$130,0)+IF(ISNUMBER(Matching_Engine!$AI$88),Lookup_Lists!$D$131,0)+IF(ISNUMBER(Matching_Engine!$AJ$88),Lookup_Lists!$D$132,0)+IF(ISNUMBER(Matching_Engine!$AK$88),Lookup_Lists!$D$133,0)+IF(ISNUMBER(Matching_Engine!$AL$88),Lookup_Lists!$D$134,0)),0))</f>
      </c>
      <c r="AN88" s="11">
        <f>IF(ISNUMBER(Matching_Engine!$AM$88),1,0)</f>
      </c>
      <c r="AO88" s="18">
        <f>IF(NOT(ISNUMBER(KOL_Source_Data!$BT$16)),"N/A",MIN(100,MAX(0,KOL_Source_Data!$BT$16)))</f>
      </c>
      <c r="AP88" s="18">
        <f>IF(NOT(ISNUMBER(KOL_Source_Data!$BU$16)),"N/A",MIN(100,MAX(0,KOL_Source_Data!$BU$16)))</f>
      </c>
      <c r="AQ88" s="18">
        <f>IF(KOL_Source_Data!$I$16="Yes",Lookup_Lists!$D$326,IF(KOL_Source_Data!$I$16="No",Lookup_Lists!$D$327,"N/A"))</f>
      </c>
      <c r="AR88" s="18">
        <f>IF(NOT(ISNUMBER(KOL_Source_Data!$BQ$16)),"N/A",MAX(0,ROUND(100-KOL_Source_Data!$BQ$16/Lookup_Lists!$D$328*100,0)))</f>
      </c>
      <c r="AS88" s="18">
        <f>IF(NOT(AND(ISTEXT(KOL_Source_Data!$BV$16),KOL_Source_Data!$BV$16&lt;&gt;"N/A")),"N/A",KOL_Source_Data!$BV$16)</f>
      </c>
      <c r="AT88" s="29">
        <f>IF((IF(ISNUMBER(Matching_Engine!$AO$88),Lookup_Lists!$D$322,0)+IF(ISNUMBER(Matching_Engine!$AP$88),Lookup_Lists!$D$323,0)+IF(ISNUMBER(Matching_Engine!$AQ$88),Lookup_Lists!$D$324,0)+IF(ISNUMBER(Matching_Engine!$AR$88),Lookup_Lists!$D$325,0))=0,"N/A",ROUND((IF(ISNUMBER(Matching_Engine!$AO$88),Matching_Engine!$AO$88*Lookup_Lists!$D$322,0)+IF(ISNUMBER(Matching_Engine!$AP$88),Matching_Engine!$AP$88*Lookup_Lists!$D$323,0)+IF(ISNUMBER(Matching_Engine!$AQ$88),Matching_Engine!$AQ$88*Lookup_Lists!$D$324,0)+IF(ISNUMBER(Matching_Engine!$AR$88),Matching_Engine!$AR$88*Lookup_Lists!$D$325,0))/(IF(ISNUMBER(Matching_Engine!$AO$88),Lookup_Lists!$D$322,0)+IF(ISNUMBER(Matching_Engine!$AP$88),Lookup_Lists!$D$323,0)+IF(ISNUMBER(Matching_Engine!$AQ$88),Lookup_Lists!$D$324,0)+IF(ISNUMBER(Matching_Engine!$AR$88),Lookup_Lists!$D$325,0)),0))</f>
      </c>
      <c r="AU88" s="11">
        <f>IF(ISNUMBER(Matching_Engine!$AT$88),1,0)</f>
      </c>
      <c r="AV88" s="11">
        <f>IF(NOT(ISNUMBER(Matching_Engine!$AT$88)),"Not Screened",IF(Matching_Engine!$AT$88&gt;=Lookup_Lists!$D$329,"Low Risk",IF(Matching_Engine!$AT$88&gt;=Lookup_Lists!$D$330,"Moderate Risk",IF(Matching_Engine!$AT$88&gt;=Lookup_Lists!$D$331,"Elevated Risk","High Risk"))))</f>
      </c>
      <c r="AW88" s="11">
        <f>IF(NOT(ISNUMBER(Matching_Engine!$AT$88)),"No integrity signal: no audience-analysis row for this account.","Integrity screen only — no content-risk reading exists (comments_analysis: 0 rows). "&amp;IF(ISNUMBER(Matching_Engine!$AO$88),"Authenticity "&amp;Matching_Engine!$AO$88&amp;". ","Authenticity N/A. ")&amp;IF(ISNUMBER(Matching_Engine!$AP$88),"Follower quality "&amp;Matching_Engine!$AP$88&amp;". ","Follower quality N/A. ")&amp;IF(KOL_Source_Data!$I$16="Yes","Platform-verified.","Not platform-verified."))</f>
      </c>
      <c r="AX88" s="18">
        <f>Matching_Engine!$N$88*Lookup_Lists!$D$104+Matching_Engine!$T$88*Lookup_Lists!$D$105+Matching_Engine!$Z$88*Lookup_Lists!$D$106+Matching_Engine!$AF$88*Lookup_Lists!$D$107+Matching_Engine!$AN$88*Lookup_Lists!$D$108+Matching_Engine!$AU$88*Lookup_Lists!$D$109</f>
      </c>
      <c r="AY88" s="30">
        <f>IF(Matching_Engine!$AX$88=0,"N/A",ROUND((IF(Matching_Engine!$N$88=1,Matching_Engine!$M$88*Lookup_Lists!$D$104,0)+IF(Matching_Engine!$T$88=1,Matching_Engine!$S$88*Lookup_Lists!$D$105,0)+IF(Matching_Engine!$Z$88=1,Matching_Engine!$Y$88*Lookup_Lists!$D$106,0)+IF(Matching_Engine!$AF$88=1,Matching_Engine!$AE$88*Lookup_Lists!$D$107,0)+IF(Matching_Engine!$AN$88=1,Matching_Engine!$AM$88*Lookup_Lists!$D$108,0)+IF(Matching_Engine!$AU$88=1,Matching_Engine!$AT$88*Lookup_Lists!$D$109,0))/Matching_Engine!$AX$88,0))</f>
      </c>
      <c r="AZ88" s="11">
        <f>IF(NOT(ISNUMBER(Matching_Engine!$AY$88)),"Not Scored",IF(Matching_Engine!$AY$88&gt;=Lookup_Lists!$D$152,"Excellent Match",IF(Matching_Engine!$AY$88&gt;=Lookup_Lists!$D$153,"Strong Match",IF(Matching_Engine!$AY$88&gt;=Lookup_Lists!$D$154,"Good Match",IF(Matching_Engine!$AY$88&gt;=Lookup_Lists!$D$155,"Moderate Match","Low Match")))))</f>
      </c>
      <c r="BA88" s="18">
        <f>KOL_Source_Data!$BW$16</f>
      </c>
      <c r="BB88" s="11">
        <f>KOL_Source_Data!$BX$16</f>
      </c>
      <c r="BC88" s="18">
        <f>IF(NOT(ISNUMBER(Matching_Engine!$AY$88)),-1,Matching_Engine!$AY$88*1000+14)</f>
      </c>
      <c r="BD88" s="11">
        <f>IF(AND(ISTEXT(KOL_Source_Data!$S$16),KOL_Source_Data!$S$16&lt;&gt;"N/A"),KOL_Source_Data!$S$16,"")&amp;" | "&amp;IF(AND(ISTEXT(KOL_Source_Data!$T$16),KOL_Source_Data!$T$16&lt;&gt;"N/A"),KOL_Source_Data!$T$16,"")&amp;" | "&amp;IF(AND(ISTEXT(KOL_Source_Data!$N$16),KOL_Source_Data!$N$16&lt;&gt;"N/A"),KOL_Source_Data!$N$16,"")&amp;" | "&amp;IF(AND(ISTEXT(KOL_Source_Data!$K$16),KOL_Source_Data!$K$16&lt;&gt;"N/A"),KOL_Source_Data!$K$16,"")&amp;" | "&amp;IF(AND(ISTEXT(KOL_Source_Data!$J$16),KOL_Source_Data!$J$16&lt;&gt;"N/A"),KOL_Source_Data!$J$16,"")</f>
      </c>
      <c r="BE88" s="11">
        <f>IF(AND(ISTEXT(KOL_Source_Data!$T$16),KOL_Source_Data!$T$16&lt;&gt;"N/A"),KOL_Source_Data!$T$16,"")&amp;" | "&amp;IF(AND(ISTEXT(KOL_Source_Data!$N$16),KOL_Source_Data!$N$16&lt;&gt;"N/A"),KOL_Source_Data!$N$16,"")&amp;" | "&amp;IF(AND(ISTEXT(KOL_Source_Data!$O$16),KOL_Source_Data!$O$16&lt;&gt;"N/A"),KOL_Source_Data!$O$16,"")&amp;" | "&amp;IF(AND(ISTEXT(KOL_Source_Data!$S$16),KOL_Source_Data!$S$16&lt;&gt;"N/A"),KOL_Source_Data!$S$16,"")</f>
      </c>
      <c r="BF88" s="11">
        <f>IF(AND(ISTEXT(KOL_Source_Data!$U$16),KOL_Source_Data!$U$16&lt;&gt;"N/A"),KOL_Source_Data!$U$16,"")</f>
      </c>
      <c r="BG88" s="11">
        <f>Matching_Engine!$A$88&amp;"|"&amp;Matching_Engine!$C$88</f>
      </c>
    </row>
    <row r="89" spans="1:59" x14ac:dyDescent="0.25">
      <c r="A89" s="10" t="s">
        <v>393</v>
      </c>
      <c r="B89" s="11">
        <f>Brand_Profile!$H$6</f>
      </c>
      <c r="C89" s="11">
        <f>KOL_Source_Data!$A$17</f>
      </c>
      <c r="D89" s="11">
        <f>KOL_Source_Data!$C$17</f>
      </c>
      <c r="E89" s="11">
        <f>KOL_Source_Data!$D$17</f>
      </c>
      <c r="F89" s="11">
        <f>KOL_Source_Data!$E$17</f>
      </c>
      <c r="G89" s="11">
        <f>KOL_Source_Data!$K$17</f>
      </c>
      <c r="H89" s="12">
        <f>KOL_Source_Data!$G$17</f>
      </c>
      <c r="I89" s="14">
        <f>KOL_Source_Data!$BG$17</f>
      </c>
      <c r="J89" s="18">
        <f>IF(NOT(AND(ISTEXT(KOL_Source_Data!$K$17),KOL_Source_Data!$K$17&lt;&gt;"N/A")),Lookup_Lists!$D$150,IF(Brand_Profile!$H$7=KOL_Source_Data!$K$17,100,IFERROR(INDEX(Lookup_Lists!$B$349:$J$357,MATCH(Brand_Profile!$H$7,Lookup_Lists!$A$349:$A$357,0),MATCH(KOL_Source_Data!$K$17,Lookup_Lists!$B$348:$J$348,0)),Lookup_Lists!$D$151)))</f>
      </c>
      <c r="K89" s="18">
        <f>IF(LEN(TRIM(SUBSTITUTE(Matching_Engine!$BD$89,"|","")))=0,"N/A",IF(Brand_Profile!$H$47=0,Lookup_Lists!$D$150,ROUND((IF(Brand_Profile!$H$41="",0,IF(ISNUMBER(SEARCH(Brand_Profile!$H$41,Matching_Engine!$BD$89)),1,0))+IF(Brand_Profile!$H$42="",0,IF(ISNUMBER(SEARCH(Brand_Profile!$H$42,Matching_Engine!$BD$89)),1,0))+IF(Brand_Profile!$H$43="",0,IF(ISNUMBER(SEARCH(Brand_Profile!$H$43,Matching_Engine!$BD$89)),1,0))+IF(Brand_Profile!$H$44="",0,IF(ISNUMBER(SEARCH(Brand_Profile!$H$44,Matching_Engine!$BD$89)),1,0))+IF(Brand_Profile!$H$45="",0,IF(ISNUMBER(SEARCH(Brand_Profile!$H$45,Matching_Engine!$BD$89)),1,0))+IF(Brand_Profile!$H$46="",0,IF(ISNUMBER(SEARCH(Brand_Profile!$H$46,Matching_Engine!$BD$89)),1,0)))/Brand_Profile!$H$47*100,0)))</f>
      </c>
      <c r="L89" s="18">
        <f>IF(NOT(AND(ISTEXT(KOL_Source_Data!$U$17),KOL_Source_Data!$U$17&lt;&gt;"N/A")),"N/A",IF(Brand_Profile!$H$53=0,Lookup_Lists!$D$150,ROUND((IF(Brand_Profile!$H$48="",0,IF(ISNUMBER(SEARCH(Brand_Profile!$H$48,Matching_Engine!$BF$89)),1,0))+IF(Brand_Profile!$H$49="",0,IF(ISNUMBER(SEARCH(Brand_Profile!$H$49,Matching_Engine!$BF$89)),1,0))+IF(Brand_Profile!$H$50="",0,IF(ISNUMBER(SEARCH(Brand_Profile!$H$50,Matching_Engine!$BF$89)),1,0))+IF(Brand_Profile!$H$51="",0,IF(ISNUMBER(SEARCH(Brand_Profile!$H$51,Matching_Engine!$BF$89)),1,0))+IF(Brand_Profile!$H$52="",0,IF(ISNUMBER(SEARCH(Brand_Profile!$H$52,Matching_Engine!$BF$89)),1,0)))/Brand_Profile!$H$53*100,0)))</f>
      </c>
      <c r="M89" s="29">
        <f>IF((IF(ISNUMBER(Matching_Engine!$J$89),Lookup_Lists!$D$332,0)+IF(ISNUMBER(Matching_Engine!$K$89),Lookup_Lists!$D$333,0)+IF(ISNUMBER(Matching_Engine!$L$89),Lookup_Lists!$D$334,0))=0,"N/A",ROUND((IF(ISNUMBER(Matching_Engine!$J$89),Matching_Engine!$J$89*Lookup_Lists!$D$332,0)+IF(ISNUMBER(Matching_Engine!$K$89),Matching_Engine!$K$89*Lookup_Lists!$D$333,0)+IF(ISNUMBER(Matching_Engine!$L$89),Matching_Engine!$L$89*Lookup_Lists!$D$334,0))/(IF(ISNUMBER(Matching_Engine!$J$89),Lookup_Lists!$D$332,0)+IF(ISNUMBER(Matching_Engine!$K$89),Lookup_Lists!$D$333,0)+IF(ISNUMBER(Matching_Engine!$L$89),Lookup_Lists!$D$334,0)),0))</f>
      </c>
      <c r="N89" s="11">
        <f>IF(ISNUMBER(Matching_Engine!$M$89),1,0)</f>
      </c>
      <c r="O89" s="18">
        <f>IF(NOT(ISNUMBER(IFERROR(INDEX(KOL_Source_Data!$V$17:KOL_Source_Data!$Z$17,1,MATCH(Brand_Profile!$H$11,Lookup_Lists!$F$6:$F$10,0)),""))),"N/A",MIN(100,ROUND((IFERROR(INDEX(KOL_Source_Data!$V$17:KOL_Source_Data!$Z$17,1,MATCH(Brand_Profile!$H$11,Lookup_Lists!$F$6:$F$10,0)),"")+0.5*IF(ISNUMBER(IFERROR(INDEX(KOL_Source_Data!$V$17:KOL_Source_Data!$Z$17,1,MATCH(Brand_Profile!$H$12,Lookup_Lists!$F$6:$F$10,0)),"")),IFERROR(INDEX(KOL_Source_Data!$V$17:KOL_Source_Data!$Z$17,1,MATCH(Brand_Profile!$H$12,Lookup_Lists!$F$6:$F$10,0)),""),0))/Lookup_Lists!$D$142*100,0)))</f>
      </c>
      <c r="P89" s="18">
        <f>IF(Brand_Profile!$H$13="Any",100,IF(NOT(ISNUMBER(KOL_Source_Data!$AA$17)),"N/A",IF(Brand_Profile!$H$13="Female",MIN(100,ROUND(KOL_Source_Data!$AA$17/Lookup_Lists!$D$143*100,0)),IF(Brand_Profile!$H$13="Male",MIN(100,ROUND(IF(ISNUMBER(KOL_Source_Data!$AB$17),KOL_Source_Data!$AB$17,100-KOL_Source_Data!$AA$17)/Lookup_Lists!$D$143*100,0)),MAX(0,ROUND(100-ABS(KOL_Source_Data!$AA$17-50)*2,0))))))</f>
      </c>
      <c r="Q89" s="18">
        <f>IF((IF(ISNUMBER(IF(NOT(ISNUMBER(KOL_Source_Data!$AE$17)),"N/A",IF(KOL_Source_Data!$AD$17&lt;&gt;Brand_Profile!$H$14,Lookup_Lists!$D$151,MIN(100,ROUND(KOL_Source_Data!$AE$17/Lookup_Lists!$D$316*100,0))))),Lookup_Lists!$D$118,0)+IF(ISNUMBER(IF(NOT(ISNUMBER(KOL_Source_Data!$AM$17)),"N/A",MIN(100,ROUND((IF(KOL_Source_Data!$AG$17=Brand_Profile!$H$15,IF(ISNUMBER(KOL_Source_Data!$AH$17),KOL_Source_Data!$AH$17,0),0)+IF(KOL_Source_Data!$AI$17=Brand_Profile!$H$15,IF(ISNUMBER(KOL_Source_Data!$AJ$17),KOL_Source_Data!$AJ$17,0),0)+IF(KOL_Source_Data!$AK$17=Brand_Profile!$H$15,IF(ISNUMBER(KOL_Source_Data!$AL$17),KOL_Source_Data!$AL$17,0),0))/Lookup_Lists!$D$317*100,0)))),Lookup_Lists!$D$120,0))=0,"N/A",ROUND((IF(ISNUMBER(IF(NOT(ISNUMBER(KOL_Source_Data!$AE$17)),"N/A",IF(KOL_Source_Data!$AD$17&lt;&gt;Brand_Profile!$H$14,Lookup_Lists!$D$151,MIN(100,ROUND(KOL_Source_Data!$AE$17/Lookup_Lists!$D$316*100,0))))),IF(NOT(ISNUMBER(KOL_Source_Data!$AE$17)),"N/A",IF(KOL_Source_Data!$AD$17&lt;&gt;Brand_Profile!$H$14,Lookup_Lists!$D$151,MIN(100,ROUND(KOL_Source_Data!$AE$17/Lookup_Lists!$D$316*100,0))))*Lookup_Lists!$D$118,0)+IF(ISNUMBER(IF(NOT(ISNUMBER(KOL_Source_Data!$AM$17)),"N/A",MIN(100,ROUND((IF(KOL_Source_Data!$AG$17=Brand_Profile!$H$15,IF(ISNUMBER(KOL_Source_Data!$AH$17),KOL_Source_Data!$AH$17,0),0)+IF(KOL_Source_Data!$AI$17=Brand_Profile!$H$15,IF(ISNUMBER(KOL_Source_Data!$AJ$17),KOL_Source_Data!$AJ$17,0),0)+IF(KOL_Source_Data!$AK$17=Brand_Profile!$H$15,IF(ISNUMBER(KOL_Source_Data!$AL$17),KOL_Source_Data!$AL$17,0),0))/Lookup_Lists!$D$317*100,0)))),IF(NOT(ISNUMBER(KOL_Source_Data!$AM$17)),"N/A",MIN(100,ROUND((IF(KOL_Source_Data!$AG$17=Brand_Profile!$H$15,IF(ISNUMBER(KOL_Source_Data!$AH$17),KOL_Source_Data!$AH$17,0),0)+IF(KOL_Source_Data!$AI$17=Brand_Profile!$H$15,IF(ISNUMBER(KOL_Source_Data!$AJ$17),KOL_Source_Data!$AJ$17,0),0)+IF(KOL_Source_Data!$AK$17=Brand_Profile!$H$15,IF(ISNUMBER(KOL_Source_Data!$AL$17),KOL_Source_Data!$AL$17,0),0))/Lookup_Lists!$D$317*100,0)))*Lookup_Lists!$D$120,0))/(IF(ISNUMBER(IF(NOT(ISNUMBER(KOL_Source_Data!$AE$17)),"N/A",IF(KOL_Source_Data!$AD$17&lt;&gt;Brand_Profile!$H$14,Lookup_Lists!$D$151,MIN(100,ROUND(KOL_Source_Data!$AE$17/Lookup_Lists!$D$316*100,0))))),Lookup_Lists!$D$118,0)+IF(ISNUMBER(IF(NOT(ISNUMBER(KOL_Source_Data!$AM$17)),"N/A",MIN(100,ROUND((IF(KOL_Source_Data!$AG$17=Brand_Profile!$H$15,IF(ISNUMBER(KOL_Source_Data!$AH$17),KOL_Source_Data!$AH$17,0),0)+IF(KOL_Source_Data!$AI$17=Brand_Profile!$H$15,IF(ISNUMBER(KOL_Source_Data!$AJ$17),KOL_Source_Data!$AJ$17,0),0)+IF(KOL_Source_Data!$AK$17=Brand_Profile!$H$15,IF(ISNUMBER(KOL_Source_Data!$AL$17),KOL_Source_Data!$AL$17,0),0))/Lookup_Lists!$D$317*100,0)))),Lookup_Lists!$D$120,0)),0))</f>
      </c>
      <c r="R89" s="18">
        <f>IF(NOT(ISNUMBER(KOL_Source_Data!$AN$17)),"N/A",MIN(100,ROUND((IF(ISNUMBER(KOL_Source_Data!$AO$17),KOL_Source_Data!$AO$17*Brand_Profile!$H$17,0)+IF(ISNUMBER(KOL_Source_Data!$AP$17),KOL_Source_Data!$AP$17*Brand_Profile!$H$18,0)+IF(ISNUMBER(KOL_Source_Data!$AQ$17),KOL_Source_Data!$AQ$17*Brand_Profile!$H$19,0)+IF(ISNUMBER(KOL_Source_Data!$AR$17),KOL_Source_Data!$AR$17*Brand_Profile!$H$20,0)+IF(ISNUMBER(KOL_Source_Data!$AS$17),KOL_Source_Data!$AS$17*Brand_Profile!$H$21,0)+IF(ISNUMBER(KOL_Source_Data!$AT$17),KOL_Source_Data!$AT$17*Brand_Profile!$H$22,0)+IF(ISNUMBER(KOL_Source_Data!$AU$17),KOL_Source_Data!$AU$17*Brand_Profile!$H$23,0)+IF(ISNUMBER(KOL_Source_Data!$AV$17),KOL_Source_Data!$AV$17*Brand_Profile!$H$24,0)+IF(ISNUMBER(KOL_Source_Data!$AW$17),KOL_Source_Data!$AW$17*Brand_Profile!$H$25,0)+IF(ISNUMBER(KOL_Source_Data!$AX$17),KOL_Source_Data!$AX$17*Brand_Profile!$H$26,0)+IF(ISNUMBER(KOL_Source_Data!$AY$17),KOL_Source_Data!$AY$17*Brand_Profile!$H$27,0)+IF(ISNUMBER(KOL_Source_Data!$AZ$17),KOL_Source_Data!$AZ$17*Brand_Profile!$H$28,0)+IF(ISNUMBER(KOL_Source_Data!$BA$17),KOL_Source_Data!$BA$17*Brand_Profile!$H$29,0)+IF(ISNUMBER(KOL_Source_Data!$BB$17),KOL_Source_Data!$BB$17*Brand_Profile!$H$30,0)+IF(ISNUMBER(KOL_Source_Data!$BC$17),KOL_Source_Data!$BC$17*Brand_Profile!$H$31,0)+IF(ISNUMBER(KOL_Source_Data!$BD$17),KOL_Source_Data!$BD$17*Brand_Profile!$H$32,0)+IF(ISNUMBER(KOL_Source_Data!$BE$17),KOL_Source_Data!$BE$17*Brand_Profile!$H$33,0)+IF(ISNUMBER(KOL_Source_Data!$BF$17),KOL_Source_Data!$BF$17*Brand_Profile!$H$34,0))/Lookup_Lists!$D$318*100,0)))</f>
      </c>
      <c r="S89" s="29">
        <f>IF((IF(ISNUMBER(Matching_Engine!$O$89),Lookup_Lists!$D$113,0)+IF(ISNUMBER(Matching_Engine!$P$89),Lookup_Lists!$D$114,0)+IF(ISNUMBER(Matching_Engine!$Q$89),Lookup_Lists!$D$115,0)+IF(ISNUMBER(Matching_Engine!$R$89),Lookup_Lists!$D$116,0))=0,"N/A",ROUND((IF(ISNUMBER(Matching_Engine!$O$89),Matching_Engine!$O$89*Lookup_Lists!$D$113,0)+IF(ISNUMBER(Matching_Engine!$P$89),Matching_Engine!$P$89*Lookup_Lists!$D$114,0)+IF(ISNUMBER(Matching_Engine!$Q$89),Matching_Engine!$Q$89*Lookup_Lists!$D$115,0)+IF(ISNUMBER(Matching_Engine!$R$89),Matching_Engine!$R$89*Lookup_Lists!$D$116,0))/(IF(ISNUMBER(Matching_Engine!$O$89),Lookup_Lists!$D$113,0)+IF(ISNUMBER(Matching_Engine!$P$89),Lookup_Lists!$D$114,0)+IF(ISNUMBER(Matching_Engine!$Q$89),Lookup_Lists!$D$115,0)+IF(ISNUMBER(Matching_Engine!$R$89),Lookup_Lists!$D$116,0)),0))</f>
      </c>
      <c r="T89" s="11">
        <f>IF(ISNUMBER(Matching_Engine!$S$89),1,0)</f>
      </c>
      <c r="U89" s="18">
        <f>IF(NOT(AND(ISTEXT(KOL_Source_Data!$M$17),KOL_Source_Data!$M$17&lt;&gt;"N/A")),Lookup_Lists!$D$150,IF(Brand_Profile!$H$7=KOL_Source_Data!$M$17,100,IFERROR(INDEX(Lookup_Lists!$B$349:$J$357,MATCH(Brand_Profile!$H$7,Lookup_Lists!$A$349:$A$357,0),MATCH(KOL_Source_Data!$M$17,Lookup_Lists!$B$348:$J$348,0)),Lookup_Lists!$D$151)))</f>
      </c>
      <c r="V89" s="18">
        <f>IF(NOT(AND(ISTEXT(KOL_Source_Data!$P$17),KOL_Source_Data!$P$17&lt;&gt;"N/A")),"N/A",IFERROR(INDEX(Lookup_Lists!$B$349:$J$357,MATCH(Brand_Profile!$H$7,Lookup_Lists!$A$349:$A$357,0),MATCH(KOL_Source_Data!$P$17,Lookup_Lists!$B$348:$J$348,0)),Lookup_Lists!$D$151))</f>
      </c>
      <c r="W89" s="18">
        <f>IF(LEN(TRIM(SUBSTITUTE(Matching_Engine!$BE$89,"|","")))=0,"N/A",IF(Brand_Profile!$H$60=0,Lookup_Lists!$D$150,ROUND((IF(Brand_Profile!$H$54="",0,IF(ISNUMBER(SEARCH(Brand_Profile!$H$54,Matching_Engine!$BE$89)),1,0))+IF(Brand_Profile!$H$55="",0,IF(ISNUMBER(SEARCH(Brand_Profile!$H$55,Matching_Engine!$BE$89)),1,0))+IF(Brand_Profile!$H$56="",0,IF(ISNUMBER(SEARCH(Brand_Profile!$H$56,Matching_Engine!$BE$89)),1,0))+IF(Brand_Profile!$H$57="",0,IF(ISNUMBER(SEARCH(Brand_Profile!$H$57,Matching_Engine!$BE$89)),1,0))+IF(Brand_Profile!$H$58="",0,IF(ISNUMBER(SEARCH(Brand_Profile!$H$58,Matching_Engine!$BE$89)),1,0))+IF(Brand_Profile!$H$59="",0,IF(ISNUMBER(SEARCH(Brand_Profile!$H$59,Matching_Engine!$BE$89)),1,0)))/Brand_Profile!$H$60*100,0)))</f>
      </c>
      <c r="X89" s="18">
        <f>IF(NOT(AND(ISTEXT(KOL_Source_Data!$Q$17),KOL_Source_Data!$Q$17&lt;&gt;"N/A")),"N/A",Lookup_Lists!$D$150)</f>
      </c>
      <c r="Y89" s="29">
        <f>IF((IF(ISNUMBER(Matching_Engine!$U$89),Lookup_Lists!$D$335,0)+IF(ISNUMBER(Matching_Engine!$V$89),Lookup_Lists!$D$122,0)+IF(ISNUMBER(Matching_Engine!$W$89),Lookup_Lists!$D$336,0)+IF(ISNUMBER(Matching_Engine!$X$89),Lookup_Lists!$D$124,0))=0,"N/A",ROUND((IF(ISNUMBER(Matching_Engine!$U$89),Matching_Engine!$U$89*Lookup_Lists!$D$335,0)+IF(ISNUMBER(Matching_Engine!$V$89),Matching_Engine!$V$89*Lookup_Lists!$D$122,0)+IF(ISNUMBER(Matching_Engine!$W$89),Matching_Engine!$W$89*Lookup_Lists!$D$336,0)+IF(ISNUMBER(Matching_Engine!$X$89),Matching_Engine!$X$89*Lookup_Lists!$D$124,0))/(IF(ISNUMBER(Matching_Engine!$U$89),Lookup_Lists!$D$335,0)+IF(ISNUMBER(Matching_Engine!$V$89),Lookup_Lists!$D$122,0)+IF(ISNUMBER(Matching_Engine!$W$89),Lookup_Lists!$D$336,0)+IF(ISNUMBER(Matching_Engine!$X$89),Lookup_Lists!$D$124,0)),0))</f>
      </c>
      <c r="Z89" s="11">
        <f>IF(ISNUMBER(Matching_Engine!$Y$89),1,0)</f>
      </c>
      <c r="AA89" s="18">
        <f>IF(NOT(AND(ISTEXT(KOL_Source_Data!$Q$17),KOL_Source_Data!$Q$17&lt;&gt;"N/A")),"N/A",Lookup_Lists!$D$150)</f>
      </c>
      <c r="AB89" s="18">
        <f>IF(NOT(AND(ISTEXT(KOL_Source_Data!$Q$17),KOL_Source_Data!$Q$17&lt;&gt;"N/A")),"N/A",Lookup_Lists!$D$150)</f>
      </c>
      <c r="AC89" s="18">
        <f>"N/A"</f>
      </c>
      <c r="AD89" s="18">
        <f>IF(NOT(AND(ISTEXT(KOL_Source_Data!$Q$17),KOL_Source_Data!$Q$17&lt;&gt;"N/A")),"N/A",Lookup_Lists!$D$150)</f>
      </c>
      <c r="AE89" s="29">
        <f>IF((IF(ISNUMBER(Matching_Engine!$AA$89),Lookup_Lists!$D$125,0)+IF(ISNUMBER(Matching_Engine!$AB$89),Lookup_Lists!$D$126,0)+IF(ISNUMBER(Matching_Engine!$AC$89),Lookup_Lists!$D$127,0)+IF(ISNUMBER(Matching_Engine!$AD$89),Lookup_Lists!$D$128,0))=0,"N/A",ROUND((IF(ISNUMBER(Matching_Engine!$AA$89),Matching_Engine!$AA$89*Lookup_Lists!$D$125,0)+IF(ISNUMBER(Matching_Engine!$AB$89),Matching_Engine!$AB$89*Lookup_Lists!$D$126,0)+IF(ISNUMBER(Matching_Engine!$AC$89),Matching_Engine!$AC$89*Lookup_Lists!$D$127,0)+IF(ISNUMBER(Matching_Engine!$AD$89),Matching_Engine!$AD$89*Lookup_Lists!$D$128,0))/(IF(ISNUMBER(Matching_Engine!$AA$89),Lookup_Lists!$D$125,0)+IF(ISNUMBER(Matching_Engine!$AB$89),Lookup_Lists!$D$126,0)+IF(ISNUMBER(Matching_Engine!$AC$89),Lookup_Lists!$D$127,0)+IF(ISNUMBER(Matching_Engine!$AD$89),Lookup_Lists!$D$128,0)),0))</f>
      </c>
      <c r="AF89" s="11">
        <f>IF(ISNUMBER(Matching_Engine!$AE$89),1,0)</f>
      </c>
      <c r="AG89" s="18">
        <f>IF(NOT(ISNUMBER(KOL_Source_Data!$BG$17)),"N/A",MIN(100,ROUND(KOL_Source_Data!$BG$17/IFERROR(INDEX(Lookup_Lists!$B$340:$B$344,MATCH(KOL_Source_Data!$H$17,Lookup_Lists!$A$340:$A$344,0)),Lookup_Lists!$D$141)*100,0)))</f>
      </c>
      <c r="AH89" s="18">
        <f>IF(NOT(ISNUMBER(KOL_Source_Data!$BS$17)),"N/A",MIN(100,MAX(0,KOL_Source_Data!$BS$17)))</f>
      </c>
      <c r="AI89" s="18">
        <f>IF(OR(NOT(ISNUMBER(KOL_Source_Data!$BM$17)),NOT(ISNUMBER(KOL_Source_Data!$BN$17)),KOL_Source_Data!$BN$17&lt;Lookup_Lists!$D$320),"N/A",MIN(100,ROUND(KOL_Source_Data!$BM$17/Lookup_Lists!$D$319*100,0)))</f>
      </c>
      <c r="AJ89" s="18">
        <f>IF(NOT(ISNUMBER(KOL_Source_Data!$BR$17)),"N/A",KOL_Source_Data!$BR$17)</f>
      </c>
      <c r="AK89" s="18">
        <f>IF(NOT(ISNUMBER(KOL_Source_Data!$BK$17)),"N/A",MIN(100,ROUND(KOL_Source_Data!$BK$17/Lookup_Lists!$D$321*100,0)))</f>
      </c>
      <c r="AL89" s="18">
        <f>IF(NOT(ISNUMBER(KOL_Source_Data!$BP$17)),"N/A",MIN(100,MAX(0,ROUND((KOL_Source_Data!$BP$17+2)/(Lookup_Lists!$D$145+2)*100,0))))</f>
      </c>
      <c r="AM89" s="29">
        <f>IF((IF(ISNUMBER(Matching_Engine!$AG$89),Lookup_Lists!$D$129,0)+IF(ISNUMBER(Matching_Engine!$AH$89),Lookup_Lists!$D$130,0)+IF(ISNUMBER(Matching_Engine!$AI$89),Lookup_Lists!$D$131,0)+IF(ISNUMBER(Matching_Engine!$AJ$89),Lookup_Lists!$D$132,0)+IF(ISNUMBER(Matching_Engine!$AK$89),Lookup_Lists!$D$133,0)+IF(ISNUMBER(Matching_Engine!$AL$89),Lookup_Lists!$D$134,0))=0,"N/A",ROUND((IF(ISNUMBER(Matching_Engine!$AG$89),Matching_Engine!$AG$89*Lookup_Lists!$D$129,0)+IF(ISNUMBER(Matching_Engine!$AH$89),Matching_Engine!$AH$89*Lookup_Lists!$D$130,0)+IF(ISNUMBER(Matching_Engine!$AI$89),Matching_Engine!$AI$89*Lookup_Lists!$D$131,0)+IF(ISNUMBER(Matching_Engine!$AJ$89),Matching_Engine!$AJ$89*Lookup_Lists!$D$132,0)+IF(ISNUMBER(Matching_Engine!$AK$89),Matching_Engine!$AK$89*Lookup_Lists!$D$133,0)+IF(ISNUMBER(Matching_Engine!$AL$89),Matching_Engine!$AL$89*Lookup_Lists!$D$134,0))/(IF(ISNUMBER(Matching_Engine!$AG$89),Lookup_Lists!$D$129,0)+IF(ISNUMBER(Matching_Engine!$AH$89),Lookup_Lists!$D$130,0)+IF(ISNUMBER(Matching_Engine!$AI$89),Lookup_Lists!$D$131,0)+IF(ISNUMBER(Matching_Engine!$AJ$89),Lookup_Lists!$D$132,0)+IF(ISNUMBER(Matching_Engine!$AK$89),Lookup_Lists!$D$133,0)+IF(ISNUMBER(Matching_Engine!$AL$89),Lookup_Lists!$D$134,0)),0))</f>
      </c>
      <c r="AN89" s="11">
        <f>IF(ISNUMBER(Matching_Engine!$AM$89),1,0)</f>
      </c>
      <c r="AO89" s="18">
        <f>IF(NOT(ISNUMBER(KOL_Source_Data!$BT$17)),"N/A",MIN(100,MAX(0,KOL_Source_Data!$BT$17)))</f>
      </c>
      <c r="AP89" s="18">
        <f>IF(NOT(ISNUMBER(KOL_Source_Data!$BU$17)),"N/A",MIN(100,MAX(0,KOL_Source_Data!$BU$17)))</f>
      </c>
      <c r="AQ89" s="18">
        <f>IF(KOL_Source_Data!$I$17="Yes",Lookup_Lists!$D$326,IF(KOL_Source_Data!$I$17="No",Lookup_Lists!$D$327,"N/A"))</f>
      </c>
      <c r="AR89" s="18">
        <f>IF(NOT(ISNUMBER(KOL_Source_Data!$BQ$17)),"N/A",MAX(0,ROUND(100-KOL_Source_Data!$BQ$17/Lookup_Lists!$D$328*100,0)))</f>
      </c>
      <c r="AS89" s="18">
        <f>IF(NOT(AND(ISTEXT(KOL_Source_Data!$BV$17),KOL_Source_Data!$BV$17&lt;&gt;"N/A")),"N/A",KOL_Source_Data!$BV$17)</f>
      </c>
      <c r="AT89" s="29">
        <f>IF((IF(ISNUMBER(Matching_Engine!$AO$89),Lookup_Lists!$D$322,0)+IF(ISNUMBER(Matching_Engine!$AP$89),Lookup_Lists!$D$323,0)+IF(ISNUMBER(Matching_Engine!$AQ$89),Lookup_Lists!$D$324,0)+IF(ISNUMBER(Matching_Engine!$AR$89),Lookup_Lists!$D$325,0))=0,"N/A",ROUND((IF(ISNUMBER(Matching_Engine!$AO$89),Matching_Engine!$AO$89*Lookup_Lists!$D$322,0)+IF(ISNUMBER(Matching_Engine!$AP$89),Matching_Engine!$AP$89*Lookup_Lists!$D$323,0)+IF(ISNUMBER(Matching_Engine!$AQ$89),Matching_Engine!$AQ$89*Lookup_Lists!$D$324,0)+IF(ISNUMBER(Matching_Engine!$AR$89),Matching_Engine!$AR$89*Lookup_Lists!$D$325,0))/(IF(ISNUMBER(Matching_Engine!$AO$89),Lookup_Lists!$D$322,0)+IF(ISNUMBER(Matching_Engine!$AP$89),Lookup_Lists!$D$323,0)+IF(ISNUMBER(Matching_Engine!$AQ$89),Lookup_Lists!$D$324,0)+IF(ISNUMBER(Matching_Engine!$AR$89),Lookup_Lists!$D$325,0)),0))</f>
      </c>
      <c r="AU89" s="11">
        <f>IF(ISNUMBER(Matching_Engine!$AT$89),1,0)</f>
      </c>
      <c r="AV89" s="11">
        <f>IF(NOT(ISNUMBER(Matching_Engine!$AT$89)),"Not Screened",IF(Matching_Engine!$AT$89&gt;=Lookup_Lists!$D$329,"Low Risk",IF(Matching_Engine!$AT$89&gt;=Lookup_Lists!$D$330,"Moderate Risk",IF(Matching_Engine!$AT$89&gt;=Lookup_Lists!$D$331,"Elevated Risk","High Risk"))))</f>
      </c>
      <c r="AW89" s="11">
        <f>IF(NOT(ISNUMBER(Matching_Engine!$AT$89)),"No integrity signal: no audience-analysis row for this account.","Integrity screen only — no content-risk reading exists (comments_analysis: 0 rows). "&amp;IF(ISNUMBER(Matching_Engine!$AO$89),"Authenticity "&amp;Matching_Engine!$AO$89&amp;". ","Authenticity N/A. ")&amp;IF(ISNUMBER(Matching_Engine!$AP$89),"Follower quality "&amp;Matching_Engine!$AP$89&amp;". ","Follower quality N/A. ")&amp;IF(KOL_Source_Data!$I$17="Yes","Platform-verified.","Not platform-verified."))</f>
      </c>
      <c r="AX89" s="18">
        <f>Matching_Engine!$N$89*Lookup_Lists!$D$104+Matching_Engine!$T$89*Lookup_Lists!$D$105+Matching_Engine!$Z$89*Lookup_Lists!$D$106+Matching_Engine!$AF$89*Lookup_Lists!$D$107+Matching_Engine!$AN$89*Lookup_Lists!$D$108+Matching_Engine!$AU$89*Lookup_Lists!$D$109</f>
      </c>
      <c r="AY89" s="30">
        <f>IF(Matching_Engine!$AX$89=0,"N/A",ROUND((IF(Matching_Engine!$N$89=1,Matching_Engine!$M$89*Lookup_Lists!$D$104,0)+IF(Matching_Engine!$T$89=1,Matching_Engine!$S$89*Lookup_Lists!$D$105,0)+IF(Matching_Engine!$Z$89=1,Matching_Engine!$Y$89*Lookup_Lists!$D$106,0)+IF(Matching_Engine!$AF$89=1,Matching_Engine!$AE$89*Lookup_Lists!$D$107,0)+IF(Matching_Engine!$AN$89=1,Matching_Engine!$AM$89*Lookup_Lists!$D$108,0)+IF(Matching_Engine!$AU$89=1,Matching_Engine!$AT$89*Lookup_Lists!$D$109,0))/Matching_Engine!$AX$89,0))</f>
      </c>
      <c r="AZ89" s="11">
        <f>IF(NOT(ISNUMBER(Matching_Engine!$AY$89)),"Not Scored",IF(Matching_Engine!$AY$89&gt;=Lookup_Lists!$D$152,"Excellent Match",IF(Matching_Engine!$AY$89&gt;=Lookup_Lists!$D$153,"Strong Match",IF(Matching_Engine!$AY$89&gt;=Lookup_Lists!$D$154,"Good Match",IF(Matching_Engine!$AY$89&gt;=Lookup_Lists!$D$155,"Moderate Match","Low Match")))))</f>
      </c>
      <c r="BA89" s="18">
        <f>KOL_Source_Data!$BW$17</f>
      </c>
      <c r="BB89" s="11">
        <f>KOL_Source_Data!$BX$17</f>
      </c>
      <c r="BC89" s="18">
        <f>IF(NOT(ISNUMBER(Matching_Engine!$AY$89)),-1,Matching_Engine!$AY$89*1000+13)</f>
      </c>
      <c r="BD89" s="11">
        <f>IF(AND(ISTEXT(KOL_Source_Data!$S$17),KOL_Source_Data!$S$17&lt;&gt;"N/A"),KOL_Source_Data!$S$17,"")&amp;" | "&amp;IF(AND(ISTEXT(KOL_Source_Data!$T$17),KOL_Source_Data!$T$17&lt;&gt;"N/A"),KOL_Source_Data!$T$17,"")&amp;" | "&amp;IF(AND(ISTEXT(KOL_Source_Data!$N$17),KOL_Source_Data!$N$17&lt;&gt;"N/A"),KOL_Source_Data!$N$17,"")&amp;" | "&amp;IF(AND(ISTEXT(KOL_Source_Data!$K$17),KOL_Source_Data!$K$17&lt;&gt;"N/A"),KOL_Source_Data!$K$17,"")&amp;" | "&amp;IF(AND(ISTEXT(KOL_Source_Data!$J$17),KOL_Source_Data!$J$17&lt;&gt;"N/A"),KOL_Source_Data!$J$17,"")</f>
      </c>
      <c r="BE89" s="11">
        <f>IF(AND(ISTEXT(KOL_Source_Data!$T$17),KOL_Source_Data!$T$17&lt;&gt;"N/A"),KOL_Source_Data!$T$17,"")&amp;" | "&amp;IF(AND(ISTEXT(KOL_Source_Data!$N$17),KOL_Source_Data!$N$17&lt;&gt;"N/A"),KOL_Source_Data!$N$17,"")&amp;" | "&amp;IF(AND(ISTEXT(KOL_Source_Data!$O$17),KOL_Source_Data!$O$17&lt;&gt;"N/A"),KOL_Source_Data!$O$17,"")&amp;" | "&amp;IF(AND(ISTEXT(KOL_Source_Data!$S$17),KOL_Source_Data!$S$17&lt;&gt;"N/A"),KOL_Source_Data!$S$17,"")</f>
      </c>
      <c r="BF89" s="11">
        <f>IF(AND(ISTEXT(KOL_Source_Data!$U$17),KOL_Source_Data!$U$17&lt;&gt;"N/A"),KOL_Source_Data!$U$17,"")</f>
      </c>
      <c r="BG89" s="11">
        <f>Matching_Engine!$A$89&amp;"|"&amp;Matching_Engine!$C$89</f>
      </c>
    </row>
    <row r="90" spans="1:59" x14ac:dyDescent="0.25">
      <c r="A90" s="10" t="s">
        <v>393</v>
      </c>
      <c r="B90" s="11">
        <f>Brand_Profile!$H$6</f>
      </c>
      <c r="C90" s="11">
        <f>KOL_Source_Data!$A$18</f>
      </c>
      <c r="D90" s="11">
        <f>KOL_Source_Data!$C$18</f>
      </c>
      <c r="E90" s="11">
        <f>KOL_Source_Data!$D$18</f>
      </c>
      <c r="F90" s="11">
        <f>KOL_Source_Data!$E$18</f>
      </c>
      <c r="G90" s="11">
        <f>KOL_Source_Data!$K$18</f>
      </c>
      <c r="H90" s="12">
        <f>KOL_Source_Data!$G$18</f>
      </c>
      <c r="I90" s="14">
        <f>KOL_Source_Data!$BG$18</f>
      </c>
      <c r="J90" s="18">
        <f>IF(NOT(AND(ISTEXT(KOL_Source_Data!$K$18),KOL_Source_Data!$K$18&lt;&gt;"N/A")),Lookup_Lists!$D$150,IF(Brand_Profile!$H$7=KOL_Source_Data!$K$18,100,IFERROR(INDEX(Lookup_Lists!$B$349:$J$357,MATCH(Brand_Profile!$H$7,Lookup_Lists!$A$349:$A$357,0),MATCH(KOL_Source_Data!$K$18,Lookup_Lists!$B$348:$J$348,0)),Lookup_Lists!$D$151)))</f>
      </c>
      <c r="K90" s="18">
        <f>IF(LEN(TRIM(SUBSTITUTE(Matching_Engine!$BD$90,"|","")))=0,"N/A",IF(Brand_Profile!$H$47=0,Lookup_Lists!$D$150,ROUND((IF(Brand_Profile!$H$41="",0,IF(ISNUMBER(SEARCH(Brand_Profile!$H$41,Matching_Engine!$BD$90)),1,0))+IF(Brand_Profile!$H$42="",0,IF(ISNUMBER(SEARCH(Brand_Profile!$H$42,Matching_Engine!$BD$90)),1,0))+IF(Brand_Profile!$H$43="",0,IF(ISNUMBER(SEARCH(Brand_Profile!$H$43,Matching_Engine!$BD$90)),1,0))+IF(Brand_Profile!$H$44="",0,IF(ISNUMBER(SEARCH(Brand_Profile!$H$44,Matching_Engine!$BD$90)),1,0))+IF(Brand_Profile!$H$45="",0,IF(ISNUMBER(SEARCH(Brand_Profile!$H$45,Matching_Engine!$BD$90)),1,0))+IF(Brand_Profile!$H$46="",0,IF(ISNUMBER(SEARCH(Brand_Profile!$H$46,Matching_Engine!$BD$90)),1,0)))/Brand_Profile!$H$47*100,0)))</f>
      </c>
      <c r="L90" s="18">
        <f>IF(NOT(AND(ISTEXT(KOL_Source_Data!$U$18),KOL_Source_Data!$U$18&lt;&gt;"N/A")),"N/A",IF(Brand_Profile!$H$53=0,Lookup_Lists!$D$150,ROUND((IF(Brand_Profile!$H$48="",0,IF(ISNUMBER(SEARCH(Brand_Profile!$H$48,Matching_Engine!$BF$90)),1,0))+IF(Brand_Profile!$H$49="",0,IF(ISNUMBER(SEARCH(Brand_Profile!$H$49,Matching_Engine!$BF$90)),1,0))+IF(Brand_Profile!$H$50="",0,IF(ISNUMBER(SEARCH(Brand_Profile!$H$50,Matching_Engine!$BF$90)),1,0))+IF(Brand_Profile!$H$51="",0,IF(ISNUMBER(SEARCH(Brand_Profile!$H$51,Matching_Engine!$BF$90)),1,0))+IF(Brand_Profile!$H$52="",0,IF(ISNUMBER(SEARCH(Brand_Profile!$H$52,Matching_Engine!$BF$90)),1,0)))/Brand_Profile!$H$53*100,0)))</f>
      </c>
      <c r="M90" s="29">
        <f>IF((IF(ISNUMBER(Matching_Engine!$J$90),Lookup_Lists!$D$332,0)+IF(ISNUMBER(Matching_Engine!$K$90),Lookup_Lists!$D$333,0)+IF(ISNUMBER(Matching_Engine!$L$90),Lookup_Lists!$D$334,0))=0,"N/A",ROUND((IF(ISNUMBER(Matching_Engine!$J$90),Matching_Engine!$J$90*Lookup_Lists!$D$332,0)+IF(ISNUMBER(Matching_Engine!$K$90),Matching_Engine!$K$90*Lookup_Lists!$D$333,0)+IF(ISNUMBER(Matching_Engine!$L$90),Matching_Engine!$L$90*Lookup_Lists!$D$334,0))/(IF(ISNUMBER(Matching_Engine!$J$90),Lookup_Lists!$D$332,0)+IF(ISNUMBER(Matching_Engine!$K$90),Lookup_Lists!$D$333,0)+IF(ISNUMBER(Matching_Engine!$L$90),Lookup_Lists!$D$334,0)),0))</f>
      </c>
      <c r="N90" s="11">
        <f>IF(ISNUMBER(Matching_Engine!$M$90),1,0)</f>
      </c>
      <c r="O90" s="18">
        <f>IF(NOT(ISNUMBER(IFERROR(INDEX(KOL_Source_Data!$V$18:KOL_Source_Data!$Z$18,1,MATCH(Brand_Profile!$H$11,Lookup_Lists!$F$6:$F$10,0)),""))),"N/A",MIN(100,ROUND((IFERROR(INDEX(KOL_Source_Data!$V$18:KOL_Source_Data!$Z$18,1,MATCH(Brand_Profile!$H$11,Lookup_Lists!$F$6:$F$10,0)),"")+0.5*IF(ISNUMBER(IFERROR(INDEX(KOL_Source_Data!$V$18:KOL_Source_Data!$Z$18,1,MATCH(Brand_Profile!$H$12,Lookup_Lists!$F$6:$F$10,0)),"")),IFERROR(INDEX(KOL_Source_Data!$V$18:KOL_Source_Data!$Z$18,1,MATCH(Brand_Profile!$H$12,Lookup_Lists!$F$6:$F$10,0)),""),0))/Lookup_Lists!$D$142*100,0)))</f>
      </c>
      <c r="P90" s="18">
        <f>IF(Brand_Profile!$H$13="Any",100,IF(NOT(ISNUMBER(KOL_Source_Data!$AA$18)),"N/A",IF(Brand_Profile!$H$13="Female",MIN(100,ROUND(KOL_Source_Data!$AA$18/Lookup_Lists!$D$143*100,0)),IF(Brand_Profile!$H$13="Male",MIN(100,ROUND(IF(ISNUMBER(KOL_Source_Data!$AB$18),KOL_Source_Data!$AB$18,100-KOL_Source_Data!$AA$18)/Lookup_Lists!$D$143*100,0)),MAX(0,ROUND(100-ABS(KOL_Source_Data!$AA$18-50)*2,0))))))</f>
      </c>
      <c r="Q90" s="18">
        <f>IF((IF(ISNUMBER(IF(NOT(ISNUMBER(KOL_Source_Data!$AE$18)),"N/A",IF(KOL_Source_Data!$AD$18&lt;&gt;Brand_Profile!$H$14,Lookup_Lists!$D$151,MIN(100,ROUND(KOL_Source_Data!$AE$18/Lookup_Lists!$D$316*100,0))))),Lookup_Lists!$D$118,0)+IF(ISNUMBER(IF(NOT(ISNUMBER(KOL_Source_Data!$AM$18)),"N/A",MIN(100,ROUND((IF(KOL_Source_Data!$AG$18=Brand_Profile!$H$15,IF(ISNUMBER(KOL_Source_Data!$AH$18),KOL_Source_Data!$AH$18,0),0)+IF(KOL_Source_Data!$AI$18=Brand_Profile!$H$15,IF(ISNUMBER(KOL_Source_Data!$AJ$18),KOL_Source_Data!$AJ$18,0),0)+IF(KOL_Source_Data!$AK$18=Brand_Profile!$H$15,IF(ISNUMBER(KOL_Source_Data!$AL$18),KOL_Source_Data!$AL$18,0),0))/Lookup_Lists!$D$317*100,0)))),Lookup_Lists!$D$120,0))=0,"N/A",ROUND((IF(ISNUMBER(IF(NOT(ISNUMBER(KOL_Source_Data!$AE$18)),"N/A",IF(KOL_Source_Data!$AD$18&lt;&gt;Brand_Profile!$H$14,Lookup_Lists!$D$151,MIN(100,ROUND(KOL_Source_Data!$AE$18/Lookup_Lists!$D$316*100,0))))),IF(NOT(ISNUMBER(KOL_Source_Data!$AE$18)),"N/A",IF(KOL_Source_Data!$AD$18&lt;&gt;Brand_Profile!$H$14,Lookup_Lists!$D$151,MIN(100,ROUND(KOL_Source_Data!$AE$18/Lookup_Lists!$D$316*100,0))))*Lookup_Lists!$D$118,0)+IF(ISNUMBER(IF(NOT(ISNUMBER(KOL_Source_Data!$AM$18)),"N/A",MIN(100,ROUND((IF(KOL_Source_Data!$AG$18=Brand_Profile!$H$15,IF(ISNUMBER(KOL_Source_Data!$AH$18),KOL_Source_Data!$AH$18,0),0)+IF(KOL_Source_Data!$AI$18=Brand_Profile!$H$15,IF(ISNUMBER(KOL_Source_Data!$AJ$18),KOL_Source_Data!$AJ$18,0),0)+IF(KOL_Source_Data!$AK$18=Brand_Profile!$H$15,IF(ISNUMBER(KOL_Source_Data!$AL$18),KOL_Source_Data!$AL$18,0),0))/Lookup_Lists!$D$317*100,0)))),IF(NOT(ISNUMBER(KOL_Source_Data!$AM$18)),"N/A",MIN(100,ROUND((IF(KOL_Source_Data!$AG$18=Brand_Profile!$H$15,IF(ISNUMBER(KOL_Source_Data!$AH$18),KOL_Source_Data!$AH$18,0),0)+IF(KOL_Source_Data!$AI$18=Brand_Profile!$H$15,IF(ISNUMBER(KOL_Source_Data!$AJ$18),KOL_Source_Data!$AJ$18,0),0)+IF(KOL_Source_Data!$AK$18=Brand_Profile!$H$15,IF(ISNUMBER(KOL_Source_Data!$AL$18),KOL_Source_Data!$AL$18,0),0))/Lookup_Lists!$D$317*100,0)))*Lookup_Lists!$D$120,0))/(IF(ISNUMBER(IF(NOT(ISNUMBER(KOL_Source_Data!$AE$18)),"N/A",IF(KOL_Source_Data!$AD$18&lt;&gt;Brand_Profile!$H$14,Lookup_Lists!$D$151,MIN(100,ROUND(KOL_Source_Data!$AE$18/Lookup_Lists!$D$316*100,0))))),Lookup_Lists!$D$118,0)+IF(ISNUMBER(IF(NOT(ISNUMBER(KOL_Source_Data!$AM$18)),"N/A",MIN(100,ROUND((IF(KOL_Source_Data!$AG$18=Brand_Profile!$H$15,IF(ISNUMBER(KOL_Source_Data!$AH$18),KOL_Source_Data!$AH$18,0),0)+IF(KOL_Source_Data!$AI$18=Brand_Profile!$H$15,IF(ISNUMBER(KOL_Source_Data!$AJ$18),KOL_Source_Data!$AJ$18,0),0)+IF(KOL_Source_Data!$AK$18=Brand_Profile!$H$15,IF(ISNUMBER(KOL_Source_Data!$AL$18),KOL_Source_Data!$AL$18,0),0))/Lookup_Lists!$D$317*100,0)))),Lookup_Lists!$D$120,0)),0))</f>
      </c>
      <c r="R90" s="18">
        <f>IF(NOT(ISNUMBER(KOL_Source_Data!$AN$18)),"N/A",MIN(100,ROUND((IF(ISNUMBER(KOL_Source_Data!$AO$18),KOL_Source_Data!$AO$18*Brand_Profile!$H$17,0)+IF(ISNUMBER(KOL_Source_Data!$AP$18),KOL_Source_Data!$AP$18*Brand_Profile!$H$18,0)+IF(ISNUMBER(KOL_Source_Data!$AQ$18),KOL_Source_Data!$AQ$18*Brand_Profile!$H$19,0)+IF(ISNUMBER(KOL_Source_Data!$AR$18),KOL_Source_Data!$AR$18*Brand_Profile!$H$20,0)+IF(ISNUMBER(KOL_Source_Data!$AS$18),KOL_Source_Data!$AS$18*Brand_Profile!$H$21,0)+IF(ISNUMBER(KOL_Source_Data!$AT$18),KOL_Source_Data!$AT$18*Brand_Profile!$H$22,0)+IF(ISNUMBER(KOL_Source_Data!$AU$18),KOL_Source_Data!$AU$18*Brand_Profile!$H$23,0)+IF(ISNUMBER(KOL_Source_Data!$AV$18),KOL_Source_Data!$AV$18*Brand_Profile!$H$24,0)+IF(ISNUMBER(KOL_Source_Data!$AW$18),KOL_Source_Data!$AW$18*Brand_Profile!$H$25,0)+IF(ISNUMBER(KOL_Source_Data!$AX$18),KOL_Source_Data!$AX$18*Brand_Profile!$H$26,0)+IF(ISNUMBER(KOL_Source_Data!$AY$18),KOL_Source_Data!$AY$18*Brand_Profile!$H$27,0)+IF(ISNUMBER(KOL_Source_Data!$AZ$18),KOL_Source_Data!$AZ$18*Brand_Profile!$H$28,0)+IF(ISNUMBER(KOL_Source_Data!$BA$18),KOL_Source_Data!$BA$18*Brand_Profile!$H$29,0)+IF(ISNUMBER(KOL_Source_Data!$BB$18),KOL_Source_Data!$BB$18*Brand_Profile!$H$30,0)+IF(ISNUMBER(KOL_Source_Data!$BC$18),KOL_Source_Data!$BC$18*Brand_Profile!$H$31,0)+IF(ISNUMBER(KOL_Source_Data!$BD$18),KOL_Source_Data!$BD$18*Brand_Profile!$H$32,0)+IF(ISNUMBER(KOL_Source_Data!$BE$18),KOL_Source_Data!$BE$18*Brand_Profile!$H$33,0)+IF(ISNUMBER(KOL_Source_Data!$BF$18),KOL_Source_Data!$BF$18*Brand_Profile!$H$34,0))/Lookup_Lists!$D$318*100,0)))</f>
      </c>
      <c r="S90" s="29">
        <f>IF((IF(ISNUMBER(Matching_Engine!$O$90),Lookup_Lists!$D$113,0)+IF(ISNUMBER(Matching_Engine!$P$90),Lookup_Lists!$D$114,0)+IF(ISNUMBER(Matching_Engine!$Q$90),Lookup_Lists!$D$115,0)+IF(ISNUMBER(Matching_Engine!$R$90),Lookup_Lists!$D$116,0))=0,"N/A",ROUND((IF(ISNUMBER(Matching_Engine!$O$90),Matching_Engine!$O$90*Lookup_Lists!$D$113,0)+IF(ISNUMBER(Matching_Engine!$P$90),Matching_Engine!$P$90*Lookup_Lists!$D$114,0)+IF(ISNUMBER(Matching_Engine!$Q$90),Matching_Engine!$Q$90*Lookup_Lists!$D$115,0)+IF(ISNUMBER(Matching_Engine!$R$90),Matching_Engine!$R$90*Lookup_Lists!$D$116,0))/(IF(ISNUMBER(Matching_Engine!$O$90),Lookup_Lists!$D$113,0)+IF(ISNUMBER(Matching_Engine!$P$90),Lookup_Lists!$D$114,0)+IF(ISNUMBER(Matching_Engine!$Q$90),Lookup_Lists!$D$115,0)+IF(ISNUMBER(Matching_Engine!$R$90),Lookup_Lists!$D$116,0)),0))</f>
      </c>
      <c r="T90" s="11">
        <f>IF(ISNUMBER(Matching_Engine!$S$90),1,0)</f>
      </c>
      <c r="U90" s="18">
        <f>IF(NOT(AND(ISTEXT(KOL_Source_Data!$M$18),KOL_Source_Data!$M$18&lt;&gt;"N/A")),Lookup_Lists!$D$150,IF(Brand_Profile!$H$7=KOL_Source_Data!$M$18,100,IFERROR(INDEX(Lookup_Lists!$B$349:$J$357,MATCH(Brand_Profile!$H$7,Lookup_Lists!$A$349:$A$357,0),MATCH(KOL_Source_Data!$M$18,Lookup_Lists!$B$348:$J$348,0)),Lookup_Lists!$D$151)))</f>
      </c>
      <c r="V90" s="18">
        <f>IF(NOT(AND(ISTEXT(KOL_Source_Data!$P$18),KOL_Source_Data!$P$18&lt;&gt;"N/A")),"N/A",IFERROR(INDEX(Lookup_Lists!$B$349:$J$357,MATCH(Brand_Profile!$H$7,Lookup_Lists!$A$349:$A$357,0),MATCH(KOL_Source_Data!$P$18,Lookup_Lists!$B$348:$J$348,0)),Lookup_Lists!$D$151))</f>
      </c>
      <c r="W90" s="18">
        <f>IF(LEN(TRIM(SUBSTITUTE(Matching_Engine!$BE$90,"|","")))=0,"N/A",IF(Brand_Profile!$H$60=0,Lookup_Lists!$D$150,ROUND((IF(Brand_Profile!$H$54="",0,IF(ISNUMBER(SEARCH(Brand_Profile!$H$54,Matching_Engine!$BE$90)),1,0))+IF(Brand_Profile!$H$55="",0,IF(ISNUMBER(SEARCH(Brand_Profile!$H$55,Matching_Engine!$BE$90)),1,0))+IF(Brand_Profile!$H$56="",0,IF(ISNUMBER(SEARCH(Brand_Profile!$H$56,Matching_Engine!$BE$90)),1,0))+IF(Brand_Profile!$H$57="",0,IF(ISNUMBER(SEARCH(Brand_Profile!$H$57,Matching_Engine!$BE$90)),1,0))+IF(Brand_Profile!$H$58="",0,IF(ISNUMBER(SEARCH(Brand_Profile!$H$58,Matching_Engine!$BE$90)),1,0))+IF(Brand_Profile!$H$59="",0,IF(ISNUMBER(SEARCH(Brand_Profile!$H$59,Matching_Engine!$BE$90)),1,0)))/Brand_Profile!$H$60*100,0)))</f>
      </c>
      <c r="X90" s="18">
        <f>IF(NOT(AND(ISTEXT(KOL_Source_Data!$Q$18),KOL_Source_Data!$Q$18&lt;&gt;"N/A")),"N/A",Lookup_Lists!$D$150)</f>
      </c>
      <c r="Y90" s="29">
        <f>IF((IF(ISNUMBER(Matching_Engine!$U$90),Lookup_Lists!$D$335,0)+IF(ISNUMBER(Matching_Engine!$V$90),Lookup_Lists!$D$122,0)+IF(ISNUMBER(Matching_Engine!$W$90),Lookup_Lists!$D$336,0)+IF(ISNUMBER(Matching_Engine!$X$90),Lookup_Lists!$D$124,0))=0,"N/A",ROUND((IF(ISNUMBER(Matching_Engine!$U$90),Matching_Engine!$U$90*Lookup_Lists!$D$335,0)+IF(ISNUMBER(Matching_Engine!$V$90),Matching_Engine!$V$90*Lookup_Lists!$D$122,0)+IF(ISNUMBER(Matching_Engine!$W$90),Matching_Engine!$W$90*Lookup_Lists!$D$336,0)+IF(ISNUMBER(Matching_Engine!$X$90),Matching_Engine!$X$90*Lookup_Lists!$D$124,0))/(IF(ISNUMBER(Matching_Engine!$U$90),Lookup_Lists!$D$335,0)+IF(ISNUMBER(Matching_Engine!$V$90),Lookup_Lists!$D$122,0)+IF(ISNUMBER(Matching_Engine!$W$90),Lookup_Lists!$D$336,0)+IF(ISNUMBER(Matching_Engine!$X$90),Lookup_Lists!$D$124,0)),0))</f>
      </c>
      <c r="Z90" s="11">
        <f>IF(ISNUMBER(Matching_Engine!$Y$90),1,0)</f>
      </c>
      <c r="AA90" s="18">
        <f>IF(NOT(AND(ISTEXT(KOL_Source_Data!$Q$18),KOL_Source_Data!$Q$18&lt;&gt;"N/A")),"N/A",Lookup_Lists!$D$150)</f>
      </c>
      <c r="AB90" s="18">
        <f>IF(NOT(AND(ISTEXT(KOL_Source_Data!$Q$18),KOL_Source_Data!$Q$18&lt;&gt;"N/A")),"N/A",Lookup_Lists!$D$150)</f>
      </c>
      <c r="AC90" s="18">
        <f>"N/A"</f>
      </c>
      <c r="AD90" s="18">
        <f>IF(NOT(AND(ISTEXT(KOL_Source_Data!$Q$18),KOL_Source_Data!$Q$18&lt;&gt;"N/A")),"N/A",Lookup_Lists!$D$150)</f>
      </c>
      <c r="AE90" s="29">
        <f>IF((IF(ISNUMBER(Matching_Engine!$AA$90),Lookup_Lists!$D$125,0)+IF(ISNUMBER(Matching_Engine!$AB$90),Lookup_Lists!$D$126,0)+IF(ISNUMBER(Matching_Engine!$AC$90),Lookup_Lists!$D$127,0)+IF(ISNUMBER(Matching_Engine!$AD$90),Lookup_Lists!$D$128,0))=0,"N/A",ROUND((IF(ISNUMBER(Matching_Engine!$AA$90),Matching_Engine!$AA$90*Lookup_Lists!$D$125,0)+IF(ISNUMBER(Matching_Engine!$AB$90),Matching_Engine!$AB$90*Lookup_Lists!$D$126,0)+IF(ISNUMBER(Matching_Engine!$AC$90),Matching_Engine!$AC$90*Lookup_Lists!$D$127,0)+IF(ISNUMBER(Matching_Engine!$AD$90),Matching_Engine!$AD$90*Lookup_Lists!$D$128,0))/(IF(ISNUMBER(Matching_Engine!$AA$90),Lookup_Lists!$D$125,0)+IF(ISNUMBER(Matching_Engine!$AB$90),Lookup_Lists!$D$126,0)+IF(ISNUMBER(Matching_Engine!$AC$90),Lookup_Lists!$D$127,0)+IF(ISNUMBER(Matching_Engine!$AD$90),Lookup_Lists!$D$128,0)),0))</f>
      </c>
      <c r="AF90" s="11">
        <f>IF(ISNUMBER(Matching_Engine!$AE$90),1,0)</f>
      </c>
      <c r="AG90" s="18">
        <f>IF(NOT(ISNUMBER(KOL_Source_Data!$BG$18)),"N/A",MIN(100,ROUND(KOL_Source_Data!$BG$18/IFERROR(INDEX(Lookup_Lists!$B$340:$B$344,MATCH(KOL_Source_Data!$H$18,Lookup_Lists!$A$340:$A$344,0)),Lookup_Lists!$D$141)*100,0)))</f>
      </c>
      <c r="AH90" s="18">
        <f>IF(NOT(ISNUMBER(KOL_Source_Data!$BS$18)),"N/A",MIN(100,MAX(0,KOL_Source_Data!$BS$18)))</f>
      </c>
      <c r="AI90" s="18">
        <f>IF(OR(NOT(ISNUMBER(KOL_Source_Data!$BM$18)),NOT(ISNUMBER(KOL_Source_Data!$BN$18)),KOL_Source_Data!$BN$18&lt;Lookup_Lists!$D$320),"N/A",MIN(100,ROUND(KOL_Source_Data!$BM$18/Lookup_Lists!$D$319*100,0)))</f>
      </c>
      <c r="AJ90" s="18">
        <f>IF(NOT(ISNUMBER(KOL_Source_Data!$BR$18)),"N/A",KOL_Source_Data!$BR$18)</f>
      </c>
      <c r="AK90" s="18">
        <f>IF(NOT(ISNUMBER(KOL_Source_Data!$BK$18)),"N/A",MIN(100,ROUND(KOL_Source_Data!$BK$18/Lookup_Lists!$D$321*100,0)))</f>
      </c>
      <c r="AL90" s="18">
        <f>IF(NOT(ISNUMBER(KOL_Source_Data!$BP$18)),"N/A",MIN(100,MAX(0,ROUND((KOL_Source_Data!$BP$18+2)/(Lookup_Lists!$D$145+2)*100,0))))</f>
      </c>
      <c r="AM90" s="29">
        <f>IF((IF(ISNUMBER(Matching_Engine!$AG$90),Lookup_Lists!$D$129,0)+IF(ISNUMBER(Matching_Engine!$AH$90),Lookup_Lists!$D$130,0)+IF(ISNUMBER(Matching_Engine!$AI$90),Lookup_Lists!$D$131,0)+IF(ISNUMBER(Matching_Engine!$AJ$90),Lookup_Lists!$D$132,0)+IF(ISNUMBER(Matching_Engine!$AK$90),Lookup_Lists!$D$133,0)+IF(ISNUMBER(Matching_Engine!$AL$90),Lookup_Lists!$D$134,0))=0,"N/A",ROUND((IF(ISNUMBER(Matching_Engine!$AG$90),Matching_Engine!$AG$90*Lookup_Lists!$D$129,0)+IF(ISNUMBER(Matching_Engine!$AH$90),Matching_Engine!$AH$90*Lookup_Lists!$D$130,0)+IF(ISNUMBER(Matching_Engine!$AI$90),Matching_Engine!$AI$90*Lookup_Lists!$D$131,0)+IF(ISNUMBER(Matching_Engine!$AJ$90),Matching_Engine!$AJ$90*Lookup_Lists!$D$132,0)+IF(ISNUMBER(Matching_Engine!$AK$90),Matching_Engine!$AK$90*Lookup_Lists!$D$133,0)+IF(ISNUMBER(Matching_Engine!$AL$90),Matching_Engine!$AL$90*Lookup_Lists!$D$134,0))/(IF(ISNUMBER(Matching_Engine!$AG$90),Lookup_Lists!$D$129,0)+IF(ISNUMBER(Matching_Engine!$AH$90),Lookup_Lists!$D$130,0)+IF(ISNUMBER(Matching_Engine!$AI$90),Lookup_Lists!$D$131,0)+IF(ISNUMBER(Matching_Engine!$AJ$90),Lookup_Lists!$D$132,0)+IF(ISNUMBER(Matching_Engine!$AK$90),Lookup_Lists!$D$133,0)+IF(ISNUMBER(Matching_Engine!$AL$90),Lookup_Lists!$D$134,0)),0))</f>
      </c>
      <c r="AN90" s="11">
        <f>IF(ISNUMBER(Matching_Engine!$AM$90),1,0)</f>
      </c>
      <c r="AO90" s="18">
        <f>IF(NOT(ISNUMBER(KOL_Source_Data!$BT$18)),"N/A",MIN(100,MAX(0,KOL_Source_Data!$BT$18)))</f>
      </c>
      <c r="AP90" s="18">
        <f>IF(NOT(ISNUMBER(KOL_Source_Data!$BU$18)),"N/A",MIN(100,MAX(0,KOL_Source_Data!$BU$18)))</f>
      </c>
      <c r="AQ90" s="18">
        <f>IF(KOL_Source_Data!$I$18="Yes",Lookup_Lists!$D$326,IF(KOL_Source_Data!$I$18="No",Lookup_Lists!$D$327,"N/A"))</f>
      </c>
      <c r="AR90" s="18">
        <f>IF(NOT(ISNUMBER(KOL_Source_Data!$BQ$18)),"N/A",MAX(0,ROUND(100-KOL_Source_Data!$BQ$18/Lookup_Lists!$D$328*100,0)))</f>
      </c>
      <c r="AS90" s="18">
        <f>IF(NOT(AND(ISTEXT(KOL_Source_Data!$BV$18),KOL_Source_Data!$BV$18&lt;&gt;"N/A")),"N/A",KOL_Source_Data!$BV$18)</f>
      </c>
      <c r="AT90" s="29">
        <f>IF((IF(ISNUMBER(Matching_Engine!$AO$90),Lookup_Lists!$D$322,0)+IF(ISNUMBER(Matching_Engine!$AP$90),Lookup_Lists!$D$323,0)+IF(ISNUMBER(Matching_Engine!$AQ$90),Lookup_Lists!$D$324,0)+IF(ISNUMBER(Matching_Engine!$AR$90),Lookup_Lists!$D$325,0))=0,"N/A",ROUND((IF(ISNUMBER(Matching_Engine!$AO$90),Matching_Engine!$AO$90*Lookup_Lists!$D$322,0)+IF(ISNUMBER(Matching_Engine!$AP$90),Matching_Engine!$AP$90*Lookup_Lists!$D$323,0)+IF(ISNUMBER(Matching_Engine!$AQ$90),Matching_Engine!$AQ$90*Lookup_Lists!$D$324,0)+IF(ISNUMBER(Matching_Engine!$AR$90),Matching_Engine!$AR$90*Lookup_Lists!$D$325,0))/(IF(ISNUMBER(Matching_Engine!$AO$90),Lookup_Lists!$D$322,0)+IF(ISNUMBER(Matching_Engine!$AP$90),Lookup_Lists!$D$323,0)+IF(ISNUMBER(Matching_Engine!$AQ$90),Lookup_Lists!$D$324,0)+IF(ISNUMBER(Matching_Engine!$AR$90),Lookup_Lists!$D$325,0)),0))</f>
      </c>
      <c r="AU90" s="11">
        <f>IF(ISNUMBER(Matching_Engine!$AT$90),1,0)</f>
      </c>
      <c r="AV90" s="11">
        <f>IF(NOT(ISNUMBER(Matching_Engine!$AT$90)),"Not Screened",IF(Matching_Engine!$AT$90&gt;=Lookup_Lists!$D$329,"Low Risk",IF(Matching_Engine!$AT$90&gt;=Lookup_Lists!$D$330,"Moderate Risk",IF(Matching_Engine!$AT$90&gt;=Lookup_Lists!$D$331,"Elevated Risk","High Risk"))))</f>
      </c>
      <c r="AW90" s="11">
        <f>IF(NOT(ISNUMBER(Matching_Engine!$AT$90)),"No integrity signal: no audience-analysis row for this account.","Integrity screen only — no content-risk reading exists (comments_analysis: 0 rows). "&amp;IF(ISNUMBER(Matching_Engine!$AO$90),"Authenticity "&amp;Matching_Engine!$AO$90&amp;". ","Authenticity N/A. ")&amp;IF(ISNUMBER(Matching_Engine!$AP$90),"Follower quality "&amp;Matching_Engine!$AP$90&amp;". ","Follower quality N/A. ")&amp;IF(KOL_Source_Data!$I$18="Yes","Platform-verified.","Not platform-verified."))</f>
      </c>
      <c r="AX90" s="18">
        <f>Matching_Engine!$N$90*Lookup_Lists!$D$104+Matching_Engine!$T$90*Lookup_Lists!$D$105+Matching_Engine!$Z$90*Lookup_Lists!$D$106+Matching_Engine!$AF$90*Lookup_Lists!$D$107+Matching_Engine!$AN$90*Lookup_Lists!$D$108+Matching_Engine!$AU$90*Lookup_Lists!$D$109</f>
      </c>
      <c r="AY90" s="30">
        <f>IF(Matching_Engine!$AX$90=0,"N/A",ROUND((IF(Matching_Engine!$N$90=1,Matching_Engine!$M$90*Lookup_Lists!$D$104,0)+IF(Matching_Engine!$T$90=1,Matching_Engine!$S$90*Lookup_Lists!$D$105,0)+IF(Matching_Engine!$Z$90=1,Matching_Engine!$Y$90*Lookup_Lists!$D$106,0)+IF(Matching_Engine!$AF$90=1,Matching_Engine!$AE$90*Lookup_Lists!$D$107,0)+IF(Matching_Engine!$AN$90=1,Matching_Engine!$AM$90*Lookup_Lists!$D$108,0)+IF(Matching_Engine!$AU$90=1,Matching_Engine!$AT$90*Lookup_Lists!$D$109,0))/Matching_Engine!$AX$90,0))</f>
      </c>
      <c r="AZ90" s="11">
        <f>IF(NOT(ISNUMBER(Matching_Engine!$AY$90)),"Not Scored",IF(Matching_Engine!$AY$90&gt;=Lookup_Lists!$D$152,"Excellent Match",IF(Matching_Engine!$AY$90&gt;=Lookup_Lists!$D$153,"Strong Match",IF(Matching_Engine!$AY$90&gt;=Lookup_Lists!$D$154,"Good Match",IF(Matching_Engine!$AY$90&gt;=Lookup_Lists!$D$155,"Moderate Match","Low Match")))))</f>
      </c>
      <c r="BA90" s="18">
        <f>KOL_Source_Data!$BW$18</f>
      </c>
      <c r="BB90" s="11">
        <f>KOL_Source_Data!$BX$18</f>
      </c>
      <c r="BC90" s="18">
        <f>IF(NOT(ISNUMBER(Matching_Engine!$AY$90)),-1,Matching_Engine!$AY$90*1000+12)</f>
      </c>
      <c r="BD90" s="11">
        <f>IF(AND(ISTEXT(KOL_Source_Data!$S$18),KOL_Source_Data!$S$18&lt;&gt;"N/A"),KOL_Source_Data!$S$18,"")&amp;" | "&amp;IF(AND(ISTEXT(KOL_Source_Data!$T$18),KOL_Source_Data!$T$18&lt;&gt;"N/A"),KOL_Source_Data!$T$18,"")&amp;" | "&amp;IF(AND(ISTEXT(KOL_Source_Data!$N$18),KOL_Source_Data!$N$18&lt;&gt;"N/A"),KOL_Source_Data!$N$18,"")&amp;" | "&amp;IF(AND(ISTEXT(KOL_Source_Data!$K$18),KOL_Source_Data!$K$18&lt;&gt;"N/A"),KOL_Source_Data!$K$18,"")&amp;" | "&amp;IF(AND(ISTEXT(KOL_Source_Data!$J$18),KOL_Source_Data!$J$18&lt;&gt;"N/A"),KOL_Source_Data!$J$18,"")</f>
      </c>
      <c r="BE90" s="11">
        <f>IF(AND(ISTEXT(KOL_Source_Data!$T$18),KOL_Source_Data!$T$18&lt;&gt;"N/A"),KOL_Source_Data!$T$18,"")&amp;" | "&amp;IF(AND(ISTEXT(KOL_Source_Data!$N$18),KOL_Source_Data!$N$18&lt;&gt;"N/A"),KOL_Source_Data!$N$18,"")&amp;" | "&amp;IF(AND(ISTEXT(KOL_Source_Data!$O$18),KOL_Source_Data!$O$18&lt;&gt;"N/A"),KOL_Source_Data!$O$18,"")&amp;" | "&amp;IF(AND(ISTEXT(KOL_Source_Data!$S$18),KOL_Source_Data!$S$18&lt;&gt;"N/A"),KOL_Source_Data!$S$18,"")</f>
      </c>
      <c r="BF90" s="11">
        <f>IF(AND(ISTEXT(KOL_Source_Data!$U$18),KOL_Source_Data!$U$18&lt;&gt;"N/A"),KOL_Source_Data!$U$18,"")</f>
      </c>
      <c r="BG90" s="11">
        <f>Matching_Engine!$A$90&amp;"|"&amp;Matching_Engine!$C$90</f>
      </c>
    </row>
    <row r="91" spans="1:59" x14ac:dyDescent="0.25">
      <c r="A91" s="10" t="s">
        <v>393</v>
      </c>
      <c r="B91" s="11">
        <f>Brand_Profile!$H$6</f>
      </c>
      <c r="C91" s="11">
        <f>KOL_Source_Data!$A$19</f>
      </c>
      <c r="D91" s="11">
        <f>KOL_Source_Data!$C$19</f>
      </c>
      <c r="E91" s="11">
        <f>KOL_Source_Data!$D$19</f>
      </c>
      <c r="F91" s="11">
        <f>KOL_Source_Data!$E$19</f>
      </c>
      <c r="G91" s="11">
        <f>KOL_Source_Data!$K$19</f>
      </c>
      <c r="H91" s="12">
        <f>KOL_Source_Data!$G$19</f>
      </c>
      <c r="I91" s="14">
        <f>KOL_Source_Data!$BG$19</f>
      </c>
      <c r="J91" s="18">
        <f>IF(NOT(AND(ISTEXT(KOL_Source_Data!$K$19),KOL_Source_Data!$K$19&lt;&gt;"N/A")),Lookup_Lists!$D$150,IF(Brand_Profile!$H$7=KOL_Source_Data!$K$19,100,IFERROR(INDEX(Lookup_Lists!$B$349:$J$357,MATCH(Brand_Profile!$H$7,Lookup_Lists!$A$349:$A$357,0),MATCH(KOL_Source_Data!$K$19,Lookup_Lists!$B$348:$J$348,0)),Lookup_Lists!$D$151)))</f>
      </c>
      <c r="K91" s="18">
        <f>IF(LEN(TRIM(SUBSTITUTE(Matching_Engine!$BD$91,"|","")))=0,"N/A",IF(Brand_Profile!$H$47=0,Lookup_Lists!$D$150,ROUND((IF(Brand_Profile!$H$41="",0,IF(ISNUMBER(SEARCH(Brand_Profile!$H$41,Matching_Engine!$BD$91)),1,0))+IF(Brand_Profile!$H$42="",0,IF(ISNUMBER(SEARCH(Brand_Profile!$H$42,Matching_Engine!$BD$91)),1,0))+IF(Brand_Profile!$H$43="",0,IF(ISNUMBER(SEARCH(Brand_Profile!$H$43,Matching_Engine!$BD$91)),1,0))+IF(Brand_Profile!$H$44="",0,IF(ISNUMBER(SEARCH(Brand_Profile!$H$44,Matching_Engine!$BD$91)),1,0))+IF(Brand_Profile!$H$45="",0,IF(ISNUMBER(SEARCH(Brand_Profile!$H$45,Matching_Engine!$BD$91)),1,0))+IF(Brand_Profile!$H$46="",0,IF(ISNUMBER(SEARCH(Brand_Profile!$H$46,Matching_Engine!$BD$91)),1,0)))/Brand_Profile!$H$47*100,0)))</f>
      </c>
      <c r="L91" s="18">
        <f>IF(NOT(AND(ISTEXT(KOL_Source_Data!$U$19),KOL_Source_Data!$U$19&lt;&gt;"N/A")),"N/A",IF(Brand_Profile!$H$53=0,Lookup_Lists!$D$150,ROUND((IF(Brand_Profile!$H$48="",0,IF(ISNUMBER(SEARCH(Brand_Profile!$H$48,Matching_Engine!$BF$91)),1,0))+IF(Brand_Profile!$H$49="",0,IF(ISNUMBER(SEARCH(Brand_Profile!$H$49,Matching_Engine!$BF$91)),1,0))+IF(Brand_Profile!$H$50="",0,IF(ISNUMBER(SEARCH(Brand_Profile!$H$50,Matching_Engine!$BF$91)),1,0))+IF(Brand_Profile!$H$51="",0,IF(ISNUMBER(SEARCH(Brand_Profile!$H$51,Matching_Engine!$BF$91)),1,0))+IF(Brand_Profile!$H$52="",0,IF(ISNUMBER(SEARCH(Brand_Profile!$H$52,Matching_Engine!$BF$91)),1,0)))/Brand_Profile!$H$53*100,0)))</f>
      </c>
      <c r="M91" s="29">
        <f>IF((IF(ISNUMBER(Matching_Engine!$J$91),Lookup_Lists!$D$332,0)+IF(ISNUMBER(Matching_Engine!$K$91),Lookup_Lists!$D$333,0)+IF(ISNUMBER(Matching_Engine!$L$91),Lookup_Lists!$D$334,0))=0,"N/A",ROUND((IF(ISNUMBER(Matching_Engine!$J$91),Matching_Engine!$J$91*Lookup_Lists!$D$332,0)+IF(ISNUMBER(Matching_Engine!$K$91),Matching_Engine!$K$91*Lookup_Lists!$D$333,0)+IF(ISNUMBER(Matching_Engine!$L$91),Matching_Engine!$L$91*Lookup_Lists!$D$334,0))/(IF(ISNUMBER(Matching_Engine!$J$91),Lookup_Lists!$D$332,0)+IF(ISNUMBER(Matching_Engine!$K$91),Lookup_Lists!$D$333,0)+IF(ISNUMBER(Matching_Engine!$L$91),Lookup_Lists!$D$334,0)),0))</f>
      </c>
      <c r="N91" s="11">
        <f>IF(ISNUMBER(Matching_Engine!$M$91),1,0)</f>
      </c>
      <c r="O91" s="18">
        <f>IF(NOT(ISNUMBER(IFERROR(INDEX(KOL_Source_Data!$V$19:KOL_Source_Data!$Z$19,1,MATCH(Brand_Profile!$H$11,Lookup_Lists!$F$6:$F$10,0)),""))),"N/A",MIN(100,ROUND((IFERROR(INDEX(KOL_Source_Data!$V$19:KOL_Source_Data!$Z$19,1,MATCH(Brand_Profile!$H$11,Lookup_Lists!$F$6:$F$10,0)),"")+0.5*IF(ISNUMBER(IFERROR(INDEX(KOL_Source_Data!$V$19:KOL_Source_Data!$Z$19,1,MATCH(Brand_Profile!$H$12,Lookup_Lists!$F$6:$F$10,0)),"")),IFERROR(INDEX(KOL_Source_Data!$V$19:KOL_Source_Data!$Z$19,1,MATCH(Brand_Profile!$H$12,Lookup_Lists!$F$6:$F$10,0)),""),0))/Lookup_Lists!$D$142*100,0)))</f>
      </c>
      <c r="P91" s="18">
        <f>IF(Brand_Profile!$H$13="Any",100,IF(NOT(ISNUMBER(KOL_Source_Data!$AA$19)),"N/A",IF(Brand_Profile!$H$13="Female",MIN(100,ROUND(KOL_Source_Data!$AA$19/Lookup_Lists!$D$143*100,0)),IF(Brand_Profile!$H$13="Male",MIN(100,ROUND(IF(ISNUMBER(KOL_Source_Data!$AB$19),KOL_Source_Data!$AB$19,100-KOL_Source_Data!$AA$19)/Lookup_Lists!$D$143*100,0)),MAX(0,ROUND(100-ABS(KOL_Source_Data!$AA$19-50)*2,0))))))</f>
      </c>
      <c r="Q91" s="18">
        <f>IF((IF(ISNUMBER(IF(NOT(ISNUMBER(KOL_Source_Data!$AE$19)),"N/A",IF(KOL_Source_Data!$AD$19&lt;&gt;Brand_Profile!$H$14,Lookup_Lists!$D$151,MIN(100,ROUND(KOL_Source_Data!$AE$19/Lookup_Lists!$D$316*100,0))))),Lookup_Lists!$D$118,0)+IF(ISNUMBER(IF(NOT(ISNUMBER(KOL_Source_Data!$AM$19)),"N/A",MIN(100,ROUND((IF(KOL_Source_Data!$AG$19=Brand_Profile!$H$15,IF(ISNUMBER(KOL_Source_Data!$AH$19),KOL_Source_Data!$AH$19,0),0)+IF(KOL_Source_Data!$AI$19=Brand_Profile!$H$15,IF(ISNUMBER(KOL_Source_Data!$AJ$19),KOL_Source_Data!$AJ$19,0),0)+IF(KOL_Source_Data!$AK$19=Brand_Profile!$H$15,IF(ISNUMBER(KOL_Source_Data!$AL$19),KOL_Source_Data!$AL$19,0),0))/Lookup_Lists!$D$317*100,0)))),Lookup_Lists!$D$120,0))=0,"N/A",ROUND((IF(ISNUMBER(IF(NOT(ISNUMBER(KOL_Source_Data!$AE$19)),"N/A",IF(KOL_Source_Data!$AD$19&lt;&gt;Brand_Profile!$H$14,Lookup_Lists!$D$151,MIN(100,ROUND(KOL_Source_Data!$AE$19/Lookup_Lists!$D$316*100,0))))),IF(NOT(ISNUMBER(KOL_Source_Data!$AE$19)),"N/A",IF(KOL_Source_Data!$AD$19&lt;&gt;Brand_Profile!$H$14,Lookup_Lists!$D$151,MIN(100,ROUND(KOL_Source_Data!$AE$19/Lookup_Lists!$D$316*100,0))))*Lookup_Lists!$D$118,0)+IF(ISNUMBER(IF(NOT(ISNUMBER(KOL_Source_Data!$AM$19)),"N/A",MIN(100,ROUND((IF(KOL_Source_Data!$AG$19=Brand_Profile!$H$15,IF(ISNUMBER(KOL_Source_Data!$AH$19),KOL_Source_Data!$AH$19,0),0)+IF(KOL_Source_Data!$AI$19=Brand_Profile!$H$15,IF(ISNUMBER(KOL_Source_Data!$AJ$19),KOL_Source_Data!$AJ$19,0),0)+IF(KOL_Source_Data!$AK$19=Brand_Profile!$H$15,IF(ISNUMBER(KOL_Source_Data!$AL$19),KOL_Source_Data!$AL$19,0),0))/Lookup_Lists!$D$317*100,0)))),IF(NOT(ISNUMBER(KOL_Source_Data!$AM$19)),"N/A",MIN(100,ROUND((IF(KOL_Source_Data!$AG$19=Brand_Profile!$H$15,IF(ISNUMBER(KOL_Source_Data!$AH$19),KOL_Source_Data!$AH$19,0),0)+IF(KOL_Source_Data!$AI$19=Brand_Profile!$H$15,IF(ISNUMBER(KOL_Source_Data!$AJ$19),KOL_Source_Data!$AJ$19,0),0)+IF(KOL_Source_Data!$AK$19=Brand_Profile!$H$15,IF(ISNUMBER(KOL_Source_Data!$AL$19),KOL_Source_Data!$AL$19,0),0))/Lookup_Lists!$D$317*100,0)))*Lookup_Lists!$D$120,0))/(IF(ISNUMBER(IF(NOT(ISNUMBER(KOL_Source_Data!$AE$19)),"N/A",IF(KOL_Source_Data!$AD$19&lt;&gt;Brand_Profile!$H$14,Lookup_Lists!$D$151,MIN(100,ROUND(KOL_Source_Data!$AE$19/Lookup_Lists!$D$316*100,0))))),Lookup_Lists!$D$118,0)+IF(ISNUMBER(IF(NOT(ISNUMBER(KOL_Source_Data!$AM$19)),"N/A",MIN(100,ROUND((IF(KOL_Source_Data!$AG$19=Brand_Profile!$H$15,IF(ISNUMBER(KOL_Source_Data!$AH$19),KOL_Source_Data!$AH$19,0),0)+IF(KOL_Source_Data!$AI$19=Brand_Profile!$H$15,IF(ISNUMBER(KOL_Source_Data!$AJ$19),KOL_Source_Data!$AJ$19,0),0)+IF(KOL_Source_Data!$AK$19=Brand_Profile!$H$15,IF(ISNUMBER(KOL_Source_Data!$AL$19),KOL_Source_Data!$AL$19,0),0))/Lookup_Lists!$D$317*100,0)))),Lookup_Lists!$D$120,0)),0))</f>
      </c>
      <c r="R91" s="18">
        <f>IF(NOT(ISNUMBER(KOL_Source_Data!$AN$19)),"N/A",MIN(100,ROUND((IF(ISNUMBER(KOL_Source_Data!$AO$19),KOL_Source_Data!$AO$19*Brand_Profile!$H$17,0)+IF(ISNUMBER(KOL_Source_Data!$AP$19),KOL_Source_Data!$AP$19*Brand_Profile!$H$18,0)+IF(ISNUMBER(KOL_Source_Data!$AQ$19),KOL_Source_Data!$AQ$19*Brand_Profile!$H$19,0)+IF(ISNUMBER(KOL_Source_Data!$AR$19),KOL_Source_Data!$AR$19*Brand_Profile!$H$20,0)+IF(ISNUMBER(KOL_Source_Data!$AS$19),KOL_Source_Data!$AS$19*Brand_Profile!$H$21,0)+IF(ISNUMBER(KOL_Source_Data!$AT$19),KOL_Source_Data!$AT$19*Brand_Profile!$H$22,0)+IF(ISNUMBER(KOL_Source_Data!$AU$19),KOL_Source_Data!$AU$19*Brand_Profile!$H$23,0)+IF(ISNUMBER(KOL_Source_Data!$AV$19),KOL_Source_Data!$AV$19*Brand_Profile!$H$24,0)+IF(ISNUMBER(KOL_Source_Data!$AW$19),KOL_Source_Data!$AW$19*Brand_Profile!$H$25,0)+IF(ISNUMBER(KOL_Source_Data!$AX$19),KOL_Source_Data!$AX$19*Brand_Profile!$H$26,0)+IF(ISNUMBER(KOL_Source_Data!$AY$19),KOL_Source_Data!$AY$19*Brand_Profile!$H$27,0)+IF(ISNUMBER(KOL_Source_Data!$AZ$19),KOL_Source_Data!$AZ$19*Brand_Profile!$H$28,0)+IF(ISNUMBER(KOL_Source_Data!$BA$19),KOL_Source_Data!$BA$19*Brand_Profile!$H$29,0)+IF(ISNUMBER(KOL_Source_Data!$BB$19),KOL_Source_Data!$BB$19*Brand_Profile!$H$30,0)+IF(ISNUMBER(KOL_Source_Data!$BC$19),KOL_Source_Data!$BC$19*Brand_Profile!$H$31,0)+IF(ISNUMBER(KOL_Source_Data!$BD$19),KOL_Source_Data!$BD$19*Brand_Profile!$H$32,0)+IF(ISNUMBER(KOL_Source_Data!$BE$19),KOL_Source_Data!$BE$19*Brand_Profile!$H$33,0)+IF(ISNUMBER(KOL_Source_Data!$BF$19),KOL_Source_Data!$BF$19*Brand_Profile!$H$34,0))/Lookup_Lists!$D$318*100,0)))</f>
      </c>
      <c r="S91" s="29">
        <f>IF((IF(ISNUMBER(Matching_Engine!$O$91),Lookup_Lists!$D$113,0)+IF(ISNUMBER(Matching_Engine!$P$91),Lookup_Lists!$D$114,0)+IF(ISNUMBER(Matching_Engine!$Q$91),Lookup_Lists!$D$115,0)+IF(ISNUMBER(Matching_Engine!$R$91),Lookup_Lists!$D$116,0))=0,"N/A",ROUND((IF(ISNUMBER(Matching_Engine!$O$91),Matching_Engine!$O$91*Lookup_Lists!$D$113,0)+IF(ISNUMBER(Matching_Engine!$P$91),Matching_Engine!$P$91*Lookup_Lists!$D$114,0)+IF(ISNUMBER(Matching_Engine!$Q$91),Matching_Engine!$Q$91*Lookup_Lists!$D$115,0)+IF(ISNUMBER(Matching_Engine!$R$91),Matching_Engine!$R$91*Lookup_Lists!$D$116,0))/(IF(ISNUMBER(Matching_Engine!$O$91),Lookup_Lists!$D$113,0)+IF(ISNUMBER(Matching_Engine!$P$91),Lookup_Lists!$D$114,0)+IF(ISNUMBER(Matching_Engine!$Q$91),Lookup_Lists!$D$115,0)+IF(ISNUMBER(Matching_Engine!$R$91),Lookup_Lists!$D$116,0)),0))</f>
      </c>
      <c r="T91" s="11">
        <f>IF(ISNUMBER(Matching_Engine!$S$91),1,0)</f>
      </c>
      <c r="U91" s="18">
        <f>IF(NOT(AND(ISTEXT(KOL_Source_Data!$M$19),KOL_Source_Data!$M$19&lt;&gt;"N/A")),Lookup_Lists!$D$150,IF(Brand_Profile!$H$7=KOL_Source_Data!$M$19,100,IFERROR(INDEX(Lookup_Lists!$B$349:$J$357,MATCH(Brand_Profile!$H$7,Lookup_Lists!$A$349:$A$357,0),MATCH(KOL_Source_Data!$M$19,Lookup_Lists!$B$348:$J$348,0)),Lookup_Lists!$D$151)))</f>
      </c>
      <c r="V91" s="18">
        <f>IF(NOT(AND(ISTEXT(KOL_Source_Data!$P$19),KOL_Source_Data!$P$19&lt;&gt;"N/A")),"N/A",IFERROR(INDEX(Lookup_Lists!$B$349:$J$357,MATCH(Brand_Profile!$H$7,Lookup_Lists!$A$349:$A$357,0),MATCH(KOL_Source_Data!$P$19,Lookup_Lists!$B$348:$J$348,0)),Lookup_Lists!$D$151))</f>
      </c>
      <c r="W91" s="18">
        <f>IF(LEN(TRIM(SUBSTITUTE(Matching_Engine!$BE$91,"|","")))=0,"N/A",IF(Brand_Profile!$H$60=0,Lookup_Lists!$D$150,ROUND((IF(Brand_Profile!$H$54="",0,IF(ISNUMBER(SEARCH(Brand_Profile!$H$54,Matching_Engine!$BE$91)),1,0))+IF(Brand_Profile!$H$55="",0,IF(ISNUMBER(SEARCH(Brand_Profile!$H$55,Matching_Engine!$BE$91)),1,0))+IF(Brand_Profile!$H$56="",0,IF(ISNUMBER(SEARCH(Brand_Profile!$H$56,Matching_Engine!$BE$91)),1,0))+IF(Brand_Profile!$H$57="",0,IF(ISNUMBER(SEARCH(Brand_Profile!$H$57,Matching_Engine!$BE$91)),1,0))+IF(Brand_Profile!$H$58="",0,IF(ISNUMBER(SEARCH(Brand_Profile!$H$58,Matching_Engine!$BE$91)),1,0))+IF(Brand_Profile!$H$59="",0,IF(ISNUMBER(SEARCH(Brand_Profile!$H$59,Matching_Engine!$BE$91)),1,0)))/Brand_Profile!$H$60*100,0)))</f>
      </c>
      <c r="X91" s="18">
        <f>IF(NOT(AND(ISTEXT(KOL_Source_Data!$Q$19),KOL_Source_Data!$Q$19&lt;&gt;"N/A")),"N/A",Lookup_Lists!$D$150)</f>
      </c>
      <c r="Y91" s="29">
        <f>IF((IF(ISNUMBER(Matching_Engine!$U$91),Lookup_Lists!$D$335,0)+IF(ISNUMBER(Matching_Engine!$V$91),Lookup_Lists!$D$122,0)+IF(ISNUMBER(Matching_Engine!$W$91),Lookup_Lists!$D$336,0)+IF(ISNUMBER(Matching_Engine!$X$91),Lookup_Lists!$D$124,0))=0,"N/A",ROUND((IF(ISNUMBER(Matching_Engine!$U$91),Matching_Engine!$U$91*Lookup_Lists!$D$335,0)+IF(ISNUMBER(Matching_Engine!$V$91),Matching_Engine!$V$91*Lookup_Lists!$D$122,0)+IF(ISNUMBER(Matching_Engine!$W$91),Matching_Engine!$W$91*Lookup_Lists!$D$336,0)+IF(ISNUMBER(Matching_Engine!$X$91),Matching_Engine!$X$91*Lookup_Lists!$D$124,0))/(IF(ISNUMBER(Matching_Engine!$U$91),Lookup_Lists!$D$335,0)+IF(ISNUMBER(Matching_Engine!$V$91),Lookup_Lists!$D$122,0)+IF(ISNUMBER(Matching_Engine!$W$91),Lookup_Lists!$D$336,0)+IF(ISNUMBER(Matching_Engine!$X$91),Lookup_Lists!$D$124,0)),0))</f>
      </c>
      <c r="Z91" s="11">
        <f>IF(ISNUMBER(Matching_Engine!$Y$91),1,0)</f>
      </c>
      <c r="AA91" s="18">
        <f>IF(NOT(AND(ISTEXT(KOL_Source_Data!$Q$19),KOL_Source_Data!$Q$19&lt;&gt;"N/A")),"N/A",Lookup_Lists!$D$150)</f>
      </c>
      <c r="AB91" s="18">
        <f>IF(NOT(AND(ISTEXT(KOL_Source_Data!$Q$19),KOL_Source_Data!$Q$19&lt;&gt;"N/A")),"N/A",Lookup_Lists!$D$150)</f>
      </c>
      <c r="AC91" s="18">
        <f>"N/A"</f>
      </c>
      <c r="AD91" s="18">
        <f>IF(NOT(AND(ISTEXT(KOL_Source_Data!$Q$19),KOL_Source_Data!$Q$19&lt;&gt;"N/A")),"N/A",Lookup_Lists!$D$150)</f>
      </c>
      <c r="AE91" s="29">
        <f>IF((IF(ISNUMBER(Matching_Engine!$AA$91),Lookup_Lists!$D$125,0)+IF(ISNUMBER(Matching_Engine!$AB$91),Lookup_Lists!$D$126,0)+IF(ISNUMBER(Matching_Engine!$AC$91),Lookup_Lists!$D$127,0)+IF(ISNUMBER(Matching_Engine!$AD$91),Lookup_Lists!$D$128,0))=0,"N/A",ROUND((IF(ISNUMBER(Matching_Engine!$AA$91),Matching_Engine!$AA$91*Lookup_Lists!$D$125,0)+IF(ISNUMBER(Matching_Engine!$AB$91),Matching_Engine!$AB$91*Lookup_Lists!$D$126,0)+IF(ISNUMBER(Matching_Engine!$AC$91),Matching_Engine!$AC$91*Lookup_Lists!$D$127,0)+IF(ISNUMBER(Matching_Engine!$AD$91),Matching_Engine!$AD$91*Lookup_Lists!$D$128,0))/(IF(ISNUMBER(Matching_Engine!$AA$91),Lookup_Lists!$D$125,0)+IF(ISNUMBER(Matching_Engine!$AB$91),Lookup_Lists!$D$126,0)+IF(ISNUMBER(Matching_Engine!$AC$91),Lookup_Lists!$D$127,0)+IF(ISNUMBER(Matching_Engine!$AD$91),Lookup_Lists!$D$128,0)),0))</f>
      </c>
      <c r="AF91" s="11">
        <f>IF(ISNUMBER(Matching_Engine!$AE$91),1,0)</f>
      </c>
      <c r="AG91" s="18">
        <f>IF(NOT(ISNUMBER(KOL_Source_Data!$BG$19)),"N/A",MIN(100,ROUND(KOL_Source_Data!$BG$19/IFERROR(INDEX(Lookup_Lists!$B$340:$B$344,MATCH(KOL_Source_Data!$H$19,Lookup_Lists!$A$340:$A$344,0)),Lookup_Lists!$D$141)*100,0)))</f>
      </c>
      <c r="AH91" s="18">
        <f>IF(NOT(ISNUMBER(KOL_Source_Data!$BS$19)),"N/A",MIN(100,MAX(0,KOL_Source_Data!$BS$19)))</f>
      </c>
      <c r="AI91" s="18">
        <f>IF(OR(NOT(ISNUMBER(KOL_Source_Data!$BM$19)),NOT(ISNUMBER(KOL_Source_Data!$BN$19)),KOL_Source_Data!$BN$19&lt;Lookup_Lists!$D$320),"N/A",MIN(100,ROUND(KOL_Source_Data!$BM$19/Lookup_Lists!$D$319*100,0)))</f>
      </c>
      <c r="AJ91" s="18">
        <f>IF(NOT(ISNUMBER(KOL_Source_Data!$BR$19)),"N/A",KOL_Source_Data!$BR$19)</f>
      </c>
      <c r="AK91" s="18">
        <f>IF(NOT(ISNUMBER(KOL_Source_Data!$BK$19)),"N/A",MIN(100,ROUND(KOL_Source_Data!$BK$19/Lookup_Lists!$D$321*100,0)))</f>
      </c>
      <c r="AL91" s="18">
        <f>IF(NOT(ISNUMBER(KOL_Source_Data!$BP$19)),"N/A",MIN(100,MAX(0,ROUND((KOL_Source_Data!$BP$19+2)/(Lookup_Lists!$D$145+2)*100,0))))</f>
      </c>
      <c r="AM91" s="29">
        <f>IF((IF(ISNUMBER(Matching_Engine!$AG$91),Lookup_Lists!$D$129,0)+IF(ISNUMBER(Matching_Engine!$AH$91),Lookup_Lists!$D$130,0)+IF(ISNUMBER(Matching_Engine!$AI$91),Lookup_Lists!$D$131,0)+IF(ISNUMBER(Matching_Engine!$AJ$91),Lookup_Lists!$D$132,0)+IF(ISNUMBER(Matching_Engine!$AK$91),Lookup_Lists!$D$133,0)+IF(ISNUMBER(Matching_Engine!$AL$91),Lookup_Lists!$D$134,0))=0,"N/A",ROUND((IF(ISNUMBER(Matching_Engine!$AG$91),Matching_Engine!$AG$91*Lookup_Lists!$D$129,0)+IF(ISNUMBER(Matching_Engine!$AH$91),Matching_Engine!$AH$91*Lookup_Lists!$D$130,0)+IF(ISNUMBER(Matching_Engine!$AI$91),Matching_Engine!$AI$91*Lookup_Lists!$D$131,0)+IF(ISNUMBER(Matching_Engine!$AJ$91),Matching_Engine!$AJ$91*Lookup_Lists!$D$132,0)+IF(ISNUMBER(Matching_Engine!$AK$91),Matching_Engine!$AK$91*Lookup_Lists!$D$133,0)+IF(ISNUMBER(Matching_Engine!$AL$91),Matching_Engine!$AL$91*Lookup_Lists!$D$134,0))/(IF(ISNUMBER(Matching_Engine!$AG$91),Lookup_Lists!$D$129,0)+IF(ISNUMBER(Matching_Engine!$AH$91),Lookup_Lists!$D$130,0)+IF(ISNUMBER(Matching_Engine!$AI$91),Lookup_Lists!$D$131,0)+IF(ISNUMBER(Matching_Engine!$AJ$91),Lookup_Lists!$D$132,0)+IF(ISNUMBER(Matching_Engine!$AK$91),Lookup_Lists!$D$133,0)+IF(ISNUMBER(Matching_Engine!$AL$91),Lookup_Lists!$D$134,0)),0))</f>
      </c>
      <c r="AN91" s="11">
        <f>IF(ISNUMBER(Matching_Engine!$AM$91),1,0)</f>
      </c>
      <c r="AO91" s="18">
        <f>IF(NOT(ISNUMBER(KOL_Source_Data!$BT$19)),"N/A",MIN(100,MAX(0,KOL_Source_Data!$BT$19)))</f>
      </c>
      <c r="AP91" s="18">
        <f>IF(NOT(ISNUMBER(KOL_Source_Data!$BU$19)),"N/A",MIN(100,MAX(0,KOL_Source_Data!$BU$19)))</f>
      </c>
      <c r="AQ91" s="18">
        <f>IF(KOL_Source_Data!$I$19="Yes",Lookup_Lists!$D$326,IF(KOL_Source_Data!$I$19="No",Lookup_Lists!$D$327,"N/A"))</f>
      </c>
      <c r="AR91" s="18">
        <f>IF(NOT(ISNUMBER(KOL_Source_Data!$BQ$19)),"N/A",MAX(0,ROUND(100-KOL_Source_Data!$BQ$19/Lookup_Lists!$D$328*100,0)))</f>
      </c>
      <c r="AS91" s="18">
        <f>IF(NOT(AND(ISTEXT(KOL_Source_Data!$BV$19),KOL_Source_Data!$BV$19&lt;&gt;"N/A")),"N/A",KOL_Source_Data!$BV$19)</f>
      </c>
      <c r="AT91" s="29">
        <f>IF((IF(ISNUMBER(Matching_Engine!$AO$91),Lookup_Lists!$D$322,0)+IF(ISNUMBER(Matching_Engine!$AP$91),Lookup_Lists!$D$323,0)+IF(ISNUMBER(Matching_Engine!$AQ$91),Lookup_Lists!$D$324,0)+IF(ISNUMBER(Matching_Engine!$AR$91),Lookup_Lists!$D$325,0))=0,"N/A",ROUND((IF(ISNUMBER(Matching_Engine!$AO$91),Matching_Engine!$AO$91*Lookup_Lists!$D$322,0)+IF(ISNUMBER(Matching_Engine!$AP$91),Matching_Engine!$AP$91*Lookup_Lists!$D$323,0)+IF(ISNUMBER(Matching_Engine!$AQ$91),Matching_Engine!$AQ$91*Lookup_Lists!$D$324,0)+IF(ISNUMBER(Matching_Engine!$AR$91),Matching_Engine!$AR$91*Lookup_Lists!$D$325,0))/(IF(ISNUMBER(Matching_Engine!$AO$91),Lookup_Lists!$D$322,0)+IF(ISNUMBER(Matching_Engine!$AP$91),Lookup_Lists!$D$323,0)+IF(ISNUMBER(Matching_Engine!$AQ$91),Lookup_Lists!$D$324,0)+IF(ISNUMBER(Matching_Engine!$AR$91),Lookup_Lists!$D$325,0)),0))</f>
      </c>
      <c r="AU91" s="11">
        <f>IF(ISNUMBER(Matching_Engine!$AT$91),1,0)</f>
      </c>
      <c r="AV91" s="11">
        <f>IF(NOT(ISNUMBER(Matching_Engine!$AT$91)),"Not Screened",IF(Matching_Engine!$AT$91&gt;=Lookup_Lists!$D$329,"Low Risk",IF(Matching_Engine!$AT$91&gt;=Lookup_Lists!$D$330,"Moderate Risk",IF(Matching_Engine!$AT$91&gt;=Lookup_Lists!$D$331,"Elevated Risk","High Risk"))))</f>
      </c>
      <c r="AW91" s="11">
        <f>IF(NOT(ISNUMBER(Matching_Engine!$AT$91)),"No integrity signal: no audience-analysis row for this account.","Integrity screen only — no content-risk reading exists (comments_analysis: 0 rows). "&amp;IF(ISNUMBER(Matching_Engine!$AO$91),"Authenticity "&amp;Matching_Engine!$AO$91&amp;". ","Authenticity N/A. ")&amp;IF(ISNUMBER(Matching_Engine!$AP$91),"Follower quality "&amp;Matching_Engine!$AP$91&amp;". ","Follower quality N/A. ")&amp;IF(KOL_Source_Data!$I$19="Yes","Platform-verified.","Not platform-verified."))</f>
      </c>
      <c r="AX91" s="18">
        <f>Matching_Engine!$N$91*Lookup_Lists!$D$104+Matching_Engine!$T$91*Lookup_Lists!$D$105+Matching_Engine!$Z$91*Lookup_Lists!$D$106+Matching_Engine!$AF$91*Lookup_Lists!$D$107+Matching_Engine!$AN$91*Lookup_Lists!$D$108+Matching_Engine!$AU$91*Lookup_Lists!$D$109</f>
      </c>
      <c r="AY91" s="30">
        <f>IF(Matching_Engine!$AX$91=0,"N/A",ROUND((IF(Matching_Engine!$N$91=1,Matching_Engine!$M$91*Lookup_Lists!$D$104,0)+IF(Matching_Engine!$T$91=1,Matching_Engine!$S$91*Lookup_Lists!$D$105,0)+IF(Matching_Engine!$Z$91=1,Matching_Engine!$Y$91*Lookup_Lists!$D$106,0)+IF(Matching_Engine!$AF$91=1,Matching_Engine!$AE$91*Lookup_Lists!$D$107,0)+IF(Matching_Engine!$AN$91=1,Matching_Engine!$AM$91*Lookup_Lists!$D$108,0)+IF(Matching_Engine!$AU$91=1,Matching_Engine!$AT$91*Lookup_Lists!$D$109,0))/Matching_Engine!$AX$91,0))</f>
      </c>
      <c r="AZ91" s="11">
        <f>IF(NOT(ISNUMBER(Matching_Engine!$AY$91)),"Not Scored",IF(Matching_Engine!$AY$91&gt;=Lookup_Lists!$D$152,"Excellent Match",IF(Matching_Engine!$AY$91&gt;=Lookup_Lists!$D$153,"Strong Match",IF(Matching_Engine!$AY$91&gt;=Lookup_Lists!$D$154,"Good Match",IF(Matching_Engine!$AY$91&gt;=Lookup_Lists!$D$155,"Moderate Match","Low Match")))))</f>
      </c>
      <c r="BA91" s="18">
        <f>KOL_Source_Data!$BW$19</f>
      </c>
      <c r="BB91" s="11">
        <f>KOL_Source_Data!$BX$19</f>
      </c>
      <c r="BC91" s="18">
        <f>IF(NOT(ISNUMBER(Matching_Engine!$AY$91)),-1,Matching_Engine!$AY$91*1000+11)</f>
      </c>
      <c r="BD91" s="11">
        <f>IF(AND(ISTEXT(KOL_Source_Data!$S$19),KOL_Source_Data!$S$19&lt;&gt;"N/A"),KOL_Source_Data!$S$19,"")&amp;" | "&amp;IF(AND(ISTEXT(KOL_Source_Data!$T$19),KOL_Source_Data!$T$19&lt;&gt;"N/A"),KOL_Source_Data!$T$19,"")&amp;" | "&amp;IF(AND(ISTEXT(KOL_Source_Data!$N$19),KOL_Source_Data!$N$19&lt;&gt;"N/A"),KOL_Source_Data!$N$19,"")&amp;" | "&amp;IF(AND(ISTEXT(KOL_Source_Data!$K$19),KOL_Source_Data!$K$19&lt;&gt;"N/A"),KOL_Source_Data!$K$19,"")&amp;" | "&amp;IF(AND(ISTEXT(KOL_Source_Data!$J$19),KOL_Source_Data!$J$19&lt;&gt;"N/A"),KOL_Source_Data!$J$19,"")</f>
      </c>
      <c r="BE91" s="11">
        <f>IF(AND(ISTEXT(KOL_Source_Data!$T$19),KOL_Source_Data!$T$19&lt;&gt;"N/A"),KOL_Source_Data!$T$19,"")&amp;" | "&amp;IF(AND(ISTEXT(KOL_Source_Data!$N$19),KOL_Source_Data!$N$19&lt;&gt;"N/A"),KOL_Source_Data!$N$19,"")&amp;" | "&amp;IF(AND(ISTEXT(KOL_Source_Data!$O$19),KOL_Source_Data!$O$19&lt;&gt;"N/A"),KOL_Source_Data!$O$19,"")&amp;" | "&amp;IF(AND(ISTEXT(KOL_Source_Data!$S$19),KOL_Source_Data!$S$19&lt;&gt;"N/A"),KOL_Source_Data!$S$19,"")</f>
      </c>
      <c r="BF91" s="11">
        <f>IF(AND(ISTEXT(KOL_Source_Data!$U$19),KOL_Source_Data!$U$19&lt;&gt;"N/A"),KOL_Source_Data!$U$19,"")</f>
      </c>
      <c r="BG91" s="11">
        <f>Matching_Engine!$A$91&amp;"|"&amp;Matching_Engine!$C$91</f>
      </c>
    </row>
    <row r="92" spans="1:59" x14ac:dyDescent="0.25">
      <c r="A92" s="10" t="s">
        <v>393</v>
      </c>
      <c r="B92" s="11">
        <f>Brand_Profile!$H$6</f>
      </c>
      <c r="C92" s="11">
        <f>KOL_Source_Data!$A$20</f>
      </c>
      <c r="D92" s="11">
        <f>KOL_Source_Data!$C$20</f>
      </c>
      <c r="E92" s="11">
        <f>KOL_Source_Data!$D$20</f>
      </c>
      <c r="F92" s="11">
        <f>KOL_Source_Data!$E$20</f>
      </c>
      <c r="G92" s="11">
        <f>KOL_Source_Data!$K$20</f>
      </c>
      <c r="H92" s="12">
        <f>KOL_Source_Data!$G$20</f>
      </c>
      <c r="I92" s="14">
        <f>KOL_Source_Data!$BG$20</f>
      </c>
      <c r="J92" s="18">
        <f>IF(NOT(AND(ISTEXT(KOL_Source_Data!$K$20),KOL_Source_Data!$K$20&lt;&gt;"N/A")),Lookup_Lists!$D$150,IF(Brand_Profile!$H$7=KOL_Source_Data!$K$20,100,IFERROR(INDEX(Lookup_Lists!$B$349:$J$357,MATCH(Brand_Profile!$H$7,Lookup_Lists!$A$349:$A$357,0),MATCH(KOL_Source_Data!$K$20,Lookup_Lists!$B$348:$J$348,0)),Lookup_Lists!$D$151)))</f>
      </c>
      <c r="K92" s="18">
        <f>IF(LEN(TRIM(SUBSTITUTE(Matching_Engine!$BD$92,"|","")))=0,"N/A",IF(Brand_Profile!$H$47=0,Lookup_Lists!$D$150,ROUND((IF(Brand_Profile!$H$41="",0,IF(ISNUMBER(SEARCH(Brand_Profile!$H$41,Matching_Engine!$BD$92)),1,0))+IF(Brand_Profile!$H$42="",0,IF(ISNUMBER(SEARCH(Brand_Profile!$H$42,Matching_Engine!$BD$92)),1,0))+IF(Brand_Profile!$H$43="",0,IF(ISNUMBER(SEARCH(Brand_Profile!$H$43,Matching_Engine!$BD$92)),1,0))+IF(Brand_Profile!$H$44="",0,IF(ISNUMBER(SEARCH(Brand_Profile!$H$44,Matching_Engine!$BD$92)),1,0))+IF(Brand_Profile!$H$45="",0,IF(ISNUMBER(SEARCH(Brand_Profile!$H$45,Matching_Engine!$BD$92)),1,0))+IF(Brand_Profile!$H$46="",0,IF(ISNUMBER(SEARCH(Brand_Profile!$H$46,Matching_Engine!$BD$92)),1,0)))/Brand_Profile!$H$47*100,0)))</f>
      </c>
      <c r="L92" s="18">
        <f>IF(NOT(AND(ISTEXT(KOL_Source_Data!$U$20),KOL_Source_Data!$U$20&lt;&gt;"N/A")),"N/A",IF(Brand_Profile!$H$53=0,Lookup_Lists!$D$150,ROUND((IF(Brand_Profile!$H$48="",0,IF(ISNUMBER(SEARCH(Brand_Profile!$H$48,Matching_Engine!$BF$92)),1,0))+IF(Brand_Profile!$H$49="",0,IF(ISNUMBER(SEARCH(Brand_Profile!$H$49,Matching_Engine!$BF$92)),1,0))+IF(Brand_Profile!$H$50="",0,IF(ISNUMBER(SEARCH(Brand_Profile!$H$50,Matching_Engine!$BF$92)),1,0))+IF(Brand_Profile!$H$51="",0,IF(ISNUMBER(SEARCH(Brand_Profile!$H$51,Matching_Engine!$BF$92)),1,0))+IF(Brand_Profile!$H$52="",0,IF(ISNUMBER(SEARCH(Brand_Profile!$H$52,Matching_Engine!$BF$92)),1,0)))/Brand_Profile!$H$53*100,0)))</f>
      </c>
      <c r="M92" s="29">
        <f>IF((IF(ISNUMBER(Matching_Engine!$J$92),Lookup_Lists!$D$332,0)+IF(ISNUMBER(Matching_Engine!$K$92),Lookup_Lists!$D$333,0)+IF(ISNUMBER(Matching_Engine!$L$92),Lookup_Lists!$D$334,0))=0,"N/A",ROUND((IF(ISNUMBER(Matching_Engine!$J$92),Matching_Engine!$J$92*Lookup_Lists!$D$332,0)+IF(ISNUMBER(Matching_Engine!$K$92),Matching_Engine!$K$92*Lookup_Lists!$D$333,0)+IF(ISNUMBER(Matching_Engine!$L$92),Matching_Engine!$L$92*Lookup_Lists!$D$334,0))/(IF(ISNUMBER(Matching_Engine!$J$92),Lookup_Lists!$D$332,0)+IF(ISNUMBER(Matching_Engine!$K$92),Lookup_Lists!$D$333,0)+IF(ISNUMBER(Matching_Engine!$L$92),Lookup_Lists!$D$334,0)),0))</f>
      </c>
      <c r="N92" s="11">
        <f>IF(ISNUMBER(Matching_Engine!$M$92),1,0)</f>
      </c>
      <c r="O92" s="18">
        <f>IF(NOT(ISNUMBER(IFERROR(INDEX(KOL_Source_Data!$V$20:KOL_Source_Data!$Z$20,1,MATCH(Brand_Profile!$H$11,Lookup_Lists!$F$6:$F$10,0)),""))),"N/A",MIN(100,ROUND((IFERROR(INDEX(KOL_Source_Data!$V$20:KOL_Source_Data!$Z$20,1,MATCH(Brand_Profile!$H$11,Lookup_Lists!$F$6:$F$10,0)),"")+0.5*IF(ISNUMBER(IFERROR(INDEX(KOL_Source_Data!$V$20:KOL_Source_Data!$Z$20,1,MATCH(Brand_Profile!$H$12,Lookup_Lists!$F$6:$F$10,0)),"")),IFERROR(INDEX(KOL_Source_Data!$V$20:KOL_Source_Data!$Z$20,1,MATCH(Brand_Profile!$H$12,Lookup_Lists!$F$6:$F$10,0)),""),0))/Lookup_Lists!$D$142*100,0)))</f>
      </c>
      <c r="P92" s="18">
        <f>IF(Brand_Profile!$H$13="Any",100,IF(NOT(ISNUMBER(KOL_Source_Data!$AA$20)),"N/A",IF(Brand_Profile!$H$13="Female",MIN(100,ROUND(KOL_Source_Data!$AA$20/Lookup_Lists!$D$143*100,0)),IF(Brand_Profile!$H$13="Male",MIN(100,ROUND(IF(ISNUMBER(KOL_Source_Data!$AB$20),KOL_Source_Data!$AB$20,100-KOL_Source_Data!$AA$20)/Lookup_Lists!$D$143*100,0)),MAX(0,ROUND(100-ABS(KOL_Source_Data!$AA$20-50)*2,0))))))</f>
      </c>
      <c r="Q92" s="18">
        <f>IF((IF(ISNUMBER(IF(NOT(ISNUMBER(KOL_Source_Data!$AE$20)),"N/A",IF(KOL_Source_Data!$AD$20&lt;&gt;Brand_Profile!$H$14,Lookup_Lists!$D$151,MIN(100,ROUND(KOL_Source_Data!$AE$20/Lookup_Lists!$D$316*100,0))))),Lookup_Lists!$D$118,0)+IF(ISNUMBER(IF(NOT(ISNUMBER(KOL_Source_Data!$AM$20)),"N/A",MIN(100,ROUND((IF(KOL_Source_Data!$AG$20=Brand_Profile!$H$15,IF(ISNUMBER(KOL_Source_Data!$AH$20),KOL_Source_Data!$AH$20,0),0)+IF(KOL_Source_Data!$AI$20=Brand_Profile!$H$15,IF(ISNUMBER(KOL_Source_Data!$AJ$20),KOL_Source_Data!$AJ$20,0),0)+IF(KOL_Source_Data!$AK$20=Brand_Profile!$H$15,IF(ISNUMBER(KOL_Source_Data!$AL$20),KOL_Source_Data!$AL$20,0),0))/Lookup_Lists!$D$317*100,0)))),Lookup_Lists!$D$120,0))=0,"N/A",ROUND((IF(ISNUMBER(IF(NOT(ISNUMBER(KOL_Source_Data!$AE$20)),"N/A",IF(KOL_Source_Data!$AD$20&lt;&gt;Brand_Profile!$H$14,Lookup_Lists!$D$151,MIN(100,ROUND(KOL_Source_Data!$AE$20/Lookup_Lists!$D$316*100,0))))),IF(NOT(ISNUMBER(KOL_Source_Data!$AE$20)),"N/A",IF(KOL_Source_Data!$AD$20&lt;&gt;Brand_Profile!$H$14,Lookup_Lists!$D$151,MIN(100,ROUND(KOL_Source_Data!$AE$20/Lookup_Lists!$D$316*100,0))))*Lookup_Lists!$D$118,0)+IF(ISNUMBER(IF(NOT(ISNUMBER(KOL_Source_Data!$AM$20)),"N/A",MIN(100,ROUND((IF(KOL_Source_Data!$AG$20=Brand_Profile!$H$15,IF(ISNUMBER(KOL_Source_Data!$AH$20),KOL_Source_Data!$AH$20,0),0)+IF(KOL_Source_Data!$AI$20=Brand_Profile!$H$15,IF(ISNUMBER(KOL_Source_Data!$AJ$20),KOL_Source_Data!$AJ$20,0),0)+IF(KOL_Source_Data!$AK$20=Brand_Profile!$H$15,IF(ISNUMBER(KOL_Source_Data!$AL$20),KOL_Source_Data!$AL$20,0),0))/Lookup_Lists!$D$317*100,0)))),IF(NOT(ISNUMBER(KOL_Source_Data!$AM$20)),"N/A",MIN(100,ROUND((IF(KOL_Source_Data!$AG$20=Brand_Profile!$H$15,IF(ISNUMBER(KOL_Source_Data!$AH$20),KOL_Source_Data!$AH$20,0),0)+IF(KOL_Source_Data!$AI$20=Brand_Profile!$H$15,IF(ISNUMBER(KOL_Source_Data!$AJ$20),KOL_Source_Data!$AJ$20,0),0)+IF(KOL_Source_Data!$AK$20=Brand_Profile!$H$15,IF(ISNUMBER(KOL_Source_Data!$AL$20),KOL_Source_Data!$AL$20,0),0))/Lookup_Lists!$D$317*100,0)))*Lookup_Lists!$D$120,0))/(IF(ISNUMBER(IF(NOT(ISNUMBER(KOL_Source_Data!$AE$20)),"N/A",IF(KOL_Source_Data!$AD$20&lt;&gt;Brand_Profile!$H$14,Lookup_Lists!$D$151,MIN(100,ROUND(KOL_Source_Data!$AE$20/Lookup_Lists!$D$316*100,0))))),Lookup_Lists!$D$118,0)+IF(ISNUMBER(IF(NOT(ISNUMBER(KOL_Source_Data!$AM$20)),"N/A",MIN(100,ROUND((IF(KOL_Source_Data!$AG$20=Brand_Profile!$H$15,IF(ISNUMBER(KOL_Source_Data!$AH$20),KOL_Source_Data!$AH$20,0),0)+IF(KOL_Source_Data!$AI$20=Brand_Profile!$H$15,IF(ISNUMBER(KOL_Source_Data!$AJ$20),KOL_Source_Data!$AJ$20,0),0)+IF(KOL_Source_Data!$AK$20=Brand_Profile!$H$15,IF(ISNUMBER(KOL_Source_Data!$AL$20),KOL_Source_Data!$AL$20,0),0))/Lookup_Lists!$D$317*100,0)))),Lookup_Lists!$D$120,0)),0))</f>
      </c>
      <c r="R92" s="18">
        <f>IF(NOT(ISNUMBER(KOL_Source_Data!$AN$20)),"N/A",MIN(100,ROUND((IF(ISNUMBER(KOL_Source_Data!$AO$20),KOL_Source_Data!$AO$20*Brand_Profile!$H$17,0)+IF(ISNUMBER(KOL_Source_Data!$AP$20),KOL_Source_Data!$AP$20*Brand_Profile!$H$18,0)+IF(ISNUMBER(KOL_Source_Data!$AQ$20),KOL_Source_Data!$AQ$20*Brand_Profile!$H$19,0)+IF(ISNUMBER(KOL_Source_Data!$AR$20),KOL_Source_Data!$AR$20*Brand_Profile!$H$20,0)+IF(ISNUMBER(KOL_Source_Data!$AS$20),KOL_Source_Data!$AS$20*Brand_Profile!$H$21,0)+IF(ISNUMBER(KOL_Source_Data!$AT$20),KOL_Source_Data!$AT$20*Brand_Profile!$H$22,0)+IF(ISNUMBER(KOL_Source_Data!$AU$20),KOL_Source_Data!$AU$20*Brand_Profile!$H$23,0)+IF(ISNUMBER(KOL_Source_Data!$AV$20),KOL_Source_Data!$AV$20*Brand_Profile!$H$24,0)+IF(ISNUMBER(KOL_Source_Data!$AW$20),KOL_Source_Data!$AW$20*Brand_Profile!$H$25,0)+IF(ISNUMBER(KOL_Source_Data!$AX$20),KOL_Source_Data!$AX$20*Brand_Profile!$H$26,0)+IF(ISNUMBER(KOL_Source_Data!$AY$20),KOL_Source_Data!$AY$20*Brand_Profile!$H$27,0)+IF(ISNUMBER(KOL_Source_Data!$AZ$20),KOL_Source_Data!$AZ$20*Brand_Profile!$H$28,0)+IF(ISNUMBER(KOL_Source_Data!$BA$20),KOL_Source_Data!$BA$20*Brand_Profile!$H$29,0)+IF(ISNUMBER(KOL_Source_Data!$BB$20),KOL_Source_Data!$BB$20*Brand_Profile!$H$30,0)+IF(ISNUMBER(KOL_Source_Data!$BC$20),KOL_Source_Data!$BC$20*Brand_Profile!$H$31,0)+IF(ISNUMBER(KOL_Source_Data!$BD$20),KOL_Source_Data!$BD$20*Brand_Profile!$H$32,0)+IF(ISNUMBER(KOL_Source_Data!$BE$20),KOL_Source_Data!$BE$20*Brand_Profile!$H$33,0)+IF(ISNUMBER(KOL_Source_Data!$BF$20),KOL_Source_Data!$BF$20*Brand_Profile!$H$34,0))/Lookup_Lists!$D$318*100,0)))</f>
      </c>
      <c r="S92" s="29">
        <f>IF((IF(ISNUMBER(Matching_Engine!$O$92),Lookup_Lists!$D$113,0)+IF(ISNUMBER(Matching_Engine!$P$92),Lookup_Lists!$D$114,0)+IF(ISNUMBER(Matching_Engine!$Q$92),Lookup_Lists!$D$115,0)+IF(ISNUMBER(Matching_Engine!$R$92),Lookup_Lists!$D$116,0))=0,"N/A",ROUND((IF(ISNUMBER(Matching_Engine!$O$92),Matching_Engine!$O$92*Lookup_Lists!$D$113,0)+IF(ISNUMBER(Matching_Engine!$P$92),Matching_Engine!$P$92*Lookup_Lists!$D$114,0)+IF(ISNUMBER(Matching_Engine!$Q$92),Matching_Engine!$Q$92*Lookup_Lists!$D$115,0)+IF(ISNUMBER(Matching_Engine!$R$92),Matching_Engine!$R$92*Lookup_Lists!$D$116,0))/(IF(ISNUMBER(Matching_Engine!$O$92),Lookup_Lists!$D$113,0)+IF(ISNUMBER(Matching_Engine!$P$92),Lookup_Lists!$D$114,0)+IF(ISNUMBER(Matching_Engine!$Q$92),Lookup_Lists!$D$115,0)+IF(ISNUMBER(Matching_Engine!$R$92),Lookup_Lists!$D$116,0)),0))</f>
      </c>
      <c r="T92" s="11">
        <f>IF(ISNUMBER(Matching_Engine!$S$92),1,0)</f>
      </c>
      <c r="U92" s="18">
        <f>IF(NOT(AND(ISTEXT(KOL_Source_Data!$M$20),KOL_Source_Data!$M$20&lt;&gt;"N/A")),Lookup_Lists!$D$150,IF(Brand_Profile!$H$7=KOL_Source_Data!$M$20,100,IFERROR(INDEX(Lookup_Lists!$B$349:$J$357,MATCH(Brand_Profile!$H$7,Lookup_Lists!$A$349:$A$357,0),MATCH(KOL_Source_Data!$M$20,Lookup_Lists!$B$348:$J$348,0)),Lookup_Lists!$D$151)))</f>
      </c>
      <c r="V92" s="18">
        <f>IF(NOT(AND(ISTEXT(KOL_Source_Data!$P$20),KOL_Source_Data!$P$20&lt;&gt;"N/A")),"N/A",IFERROR(INDEX(Lookup_Lists!$B$349:$J$357,MATCH(Brand_Profile!$H$7,Lookup_Lists!$A$349:$A$357,0),MATCH(KOL_Source_Data!$P$20,Lookup_Lists!$B$348:$J$348,0)),Lookup_Lists!$D$151))</f>
      </c>
      <c r="W92" s="18">
        <f>IF(LEN(TRIM(SUBSTITUTE(Matching_Engine!$BE$92,"|","")))=0,"N/A",IF(Brand_Profile!$H$60=0,Lookup_Lists!$D$150,ROUND((IF(Brand_Profile!$H$54="",0,IF(ISNUMBER(SEARCH(Brand_Profile!$H$54,Matching_Engine!$BE$92)),1,0))+IF(Brand_Profile!$H$55="",0,IF(ISNUMBER(SEARCH(Brand_Profile!$H$55,Matching_Engine!$BE$92)),1,0))+IF(Brand_Profile!$H$56="",0,IF(ISNUMBER(SEARCH(Brand_Profile!$H$56,Matching_Engine!$BE$92)),1,0))+IF(Brand_Profile!$H$57="",0,IF(ISNUMBER(SEARCH(Brand_Profile!$H$57,Matching_Engine!$BE$92)),1,0))+IF(Brand_Profile!$H$58="",0,IF(ISNUMBER(SEARCH(Brand_Profile!$H$58,Matching_Engine!$BE$92)),1,0))+IF(Brand_Profile!$H$59="",0,IF(ISNUMBER(SEARCH(Brand_Profile!$H$59,Matching_Engine!$BE$92)),1,0)))/Brand_Profile!$H$60*100,0)))</f>
      </c>
      <c r="X92" s="18">
        <f>IF(NOT(AND(ISTEXT(KOL_Source_Data!$Q$20),KOL_Source_Data!$Q$20&lt;&gt;"N/A")),"N/A",Lookup_Lists!$D$150)</f>
      </c>
      <c r="Y92" s="29">
        <f>IF((IF(ISNUMBER(Matching_Engine!$U$92),Lookup_Lists!$D$335,0)+IF(ISNUMBER(Matching_Engine!$V$92),Lookup_Lists!$D$122,0)+IF(ISNUMBER(Matching_Engine!$W$92),Lookup_Lists!$D$336,0)+IF(ISNUMBER(Matching_Engine!$X$92),Lookup_Lists!$D$124,0))=0,"N/A",ROUND((IF(ISNUMBER(Matching_Engine!$U$92),Matching_Engine!$U$92*Lookup_Lists!$D$335,0)+IF(ISNUMBER(Matching_Engine!$V$92),Matching_Engine!$V$92*Lookup_Lists!$D$122,0)+IF(ISNUMBER(Matching_Engine!$W$92),Matching_Engine!$W$92*Lookup_Lists!$D$336,0)+IF(ISNUMBER(Matching_Engine!$X$92),Matching_Engine!$X$92*Lookup_Lists!$D$124,0))/(IF(ISNUMBER(Matching_Engine!$U$92),Lookup_Lists!$D$335,0)+IF(ISNUMBER(Matching_Engine!$V$92),Lookup_Lists!$D$122,0)+IF(ISNUMBER(Matching_Engine!$W$92),Lookup_Lists!$D$336,0)+IF(ISNUMBER(Matching_Engine!$X$92),Lookup_Lists!$D$124,0)),0))</f>
      </c>
      <c r="Z92" s="11">
        <f>IF(ISNUMBER(Matching_Engine!$Y$92),1,0)</f>
      </c>
      <c r="AA92" s="18">
        <f>IF(NOT(AND(ISTEXT(KOL_Source_Data!$Q$20),KOL_Source_Data!$Q$20&lt;&gt;"N/A")),"N/A",Lookup_Lists!$D$150)</f>
      </c>
      <c r="AB92" s="18">
        <f>IF(NOT(AND(ISTEXT(KOL_Source_Data!$Q$20),KOL_Source_Data!$Q$20&lt;&gt;"N/A")),"N/A",Lookup_Lists!$D$150)</f>
      </c>
      <c r="AC92" s="18">
        <f>"N/A"</f>
      </c>
      <c r="AD92" s="18">
        <f>IF(NOT(AND(ISTEXT(KOL_Source_Data!$Q$20),KOL_Source_Data!$Q$20&lt;&gt;"N/A")),"N/A",Lookup_Lists!$D$150)</f>
      </c>
      <c r="AE92" s="29">
        <f>IF((IF(ISNUMBER(Matching_Engine!$AA$92),Lookup_Lists!$D$125,0)+IF(ISNUMBER(Matching_Engine!$AB$92),Lookup_Lists!$D$126,0)+IF(ISNUMBER(Matching_Engine!$AC$92),Lookup_Lists!$D$127,0)+IF(ISNUMBER(Matching_Engine!$AD$92),Lookup_Lists!$D$128,0))=0,"N/A",ROUND((IF(ISNUMBER(Matching_Engine!$AA$92),Matching_Engine!$AA$92*Lookup_Lists!$D$125,0)+IF(ISNUMBER(Matching_Engine!$AB$92),Matching_Engine!$AB$92*Lookup_Lists!$D$126,0)+IF(ISNUMBER(Matching_Engine!$AC$92),Matching_Engine!$AC$92*Lookup_Lists!$D$127,0)+IF(ISNUMBER(Matching_Engine!$AD$92),Matching_Engine!$AD$92*Lookup_Lists!$D$128,0))/(IF(ISNUMBER(Matching_Engine!$AA$92),Lookup_Lists!$D$125,0)+IF(ISNUMBER(Matching_Engine!$AB$92),Lookup_Lists!$D$126,0)+IF(ISNUMBER(Matching_Engine!$AC$92),Lookup_Lists!$D$127,0)+IF(ISNUMBER(Matching_Engine!$AD$92),Lookup_Lists!$D$128,0)),0))</f>
      </c>
      <c r="AF92" s="11">
        <f>IF(ISNUMBER(Matching_Engine!$AE$92),1,0)</f>
      </c>
      <c r="AG92" s="18">
        <f>IF(NOT(ISNUMBER(KOL_Source_Data!$BG$20)),"N/A",MIN(100,ROUND(KOL_Source_Data!$BG$20/IFERROR(INDEX(Lookup_Lists!$B$340:$B$344,MATCH(KOL_Source_Data!$H$20,Lookup_Lists!$A$340:$A$344,0)),Lookup_Lists!$D$141)*100,0)))</f>
      </c>
      <c r="AH92" s="18">
        <f>IF(NOT(ISNUMBER(KOL_Source_Data!$BS$20)),"N/A",MIN(100,MAX(0,KOL_Source_Data!$BS$20)))</f>
      </c>
      <c r="AI92" s="18">
        <f>IF(OR(NOT(ISNUMBER(KOL_Source_Data!$BM$20)),NOT(ISNUMBER(KOL_Source_Data!$BN$20)),KOL_Source_Data!$BN$20&lt;Lookup_Lists!$D$320),"N/A",MIN(100,ROUND(KOL_Source_Data!$BM$20/Lookup_Lists!$D$319*100,0)))</f>
      </c>
      <c r="AJ92" s="18">
        <f>IF(NOT(ISNUMBER(KOL_Source_Data!$BR$20)),"N/A",KOL_Source_Data!$BR$20)</f>
      </c>
      <c r="AK92" s="18">
        <f>IF(NOT(ISNUMBER(KOL_Source_Data!$BK$20)),"N/A",MIN(100,ROUND(KOL_Source_Data!$BK$20/Lookup_Lists!$D$321*100,0)))</f>
      </c>
      <c r="AL92" s="18">
        <f>IF(NOT(ISNUMBER(KOL_Source_Data!$BP$20)),"N/A",MIN(100,MAX(0,ROUND((KOL_Source_Data!$BP$20+2)/(Lookup_Lists!$D$145+2)*100,0))))</f>
      </c>
      <c r="AM92" s="29">
        <f>IF((IF(ISNUMBER(Matching_Engine!$AG$92),Lookup_Lists!$D$129,0)+IF(ISNUMBER(Matching_Engine!$AH$92),Lookup_Lists!$D$130,0)+IF(ISNUMBER(Matching_Engine!$AI$92),Lookup_Lists!$D$131,0)+IF(ISNUMBER(Matching_Engine!$AJ$92),Lookup_Lists!$D$132,0)+IF(ISNUMBER(Matching_Engine!$AK$92),Lookup_Lists!$D$133,0)+IF(ISNUMBER(Matching_Engine!$AL$92),Lookup_Lists!$D$134,0))=0,"N/A",ROUND((IF(ISNUMBER(Matching_Engine!$AG$92),Matching_Engine!$AG$92*Lookup_Lists!$D$129,0)+IF(ISNUMBER(Matching_Engine!$AH$92),Matching_Engine!$AH$92*Lookup_Lists!$D$130,0)+IF(ISNUMBER(Matching_Engine!$AI$92),Matching_Engine!$AI$92*Lookup_Lists!$D$131,0)+IF(ISNUMBER(Matching_Engine!$AJ$92),Matching_Engine!$AJ$92*Lookup_Lists!$D$132,0)+IF(ISNUMBER(Matching_Engine!$AK$92),Matching_Engine!$AK$92*Lookup_Lists!$D$133,0)+IF(ISNUMBER(Matching_Engine!$AL$92),Matching_Engine!$AL$92*Lookup_Lists!$D$134,0))/(IF(ISNUMBER(Matching_Engine!$AG$92),Lookup_Lists!$D$129,0)+IF(ISNUMBER(Matching_Engine!$AH$92),Lookup_Lists!$D$130,0)+IF(ISNUMBER(Matching_Engine!$AI$92),Lookup_Lists!$D$131,0)+IF(ISNUMBER(Matching_Engine!$AJ$92),Lookup_Lists!$D$132,0)+IF(ISNUMBER(Matching_Engine!$AK$92),Lookup_Lists!$D$133,0)+IF(ISNUMBER(Matching_Engine!$AL$92),Lookup_Lists!$D$134,0)),0))</f>
      </c>
      <c r="AN92" s="11">
        <f>IF(ISNUMBER(Matching_Engine!$AM$92),1,0)</f>
      </c>
      <c r="AO92" s="18">
        <f>IF(NOT(ISNUMBER(KOL_Source_Data!$BT$20)),"N/A",MIN(100,MAX(0,KOL_Source_Data!$BT$20)))</f>
      </c>
      <c r="AP92" s="18">
        <f>IF(NOT(ISNUMBER(KOL_Source_Data!$BU$20)),"N/A",MIN(100,MAX(0,KOL_Source_Data!$BU$20)))</f>
      </c>
      <c r="AQ92" s="18">
        <f>IF(KOL_Source_Data!$I$20="Yes",Lookup_Lists!$D$326,IF(KOL_Source_Data!$I$20="No",Lookup_Lists!$D$327,"N/A"))</f>
      </c>
      <c r="AR92" s="18">
        <f>IF(NOT(ISNUMBER(KOL_Source_Data!$BQ$20)),"N/A",MAX(0,ROUND(100-KOL_Source_Data!$BQ$20/Lookup_Lists!$D$328*100,0)))</f>
      </c>
      <c r="AS92" s="18">
        <f>IF(NOT(AND(ISTEXT(KOL_Source_Data!$BV$20),KOL_Source_Data!$BV$20&lt;&gt;"N/A")),"N/A",KOL_Source_Data!$BV$20)</f>
      </c>
      <c r="AT92" s="29">
        <f>IF((IF(ISNUMBER(Matching_Engine!$AO$92),Lookup_Lists!$D$322,0)+IF(ISNUMBER(Matching_Engine!$AP$92),Lookup_Lists!$D$323,0)+IF(ISNUMBER(Matching_Engine!$AQ$92),Lookup_Lists!$D$324,0)+IF(ISNUMBER(Matching_Engine!$AR$92),Lookup_Lists!$D$325,0))=0,"N/A",ROUND((IF(ISNUMBER(Matching_Engine!$AO$92),Matching_Engine!$AO$92*Lookup_Lists!$D$322,0)+IF(ISNUMBER(Matching_Engine!$AP$92),Matching_Engine!$AP$92*Lookup_Lists!$D$323,0)+IF(ISNUMBER(Matching_Engine!$AQ$92),Matching_Engine!$AQ$92*Lookup_Lists!$D$324,0)+IF(ISNUMBER(Matching_Engine!$AR$92),Matching_Engine!$AR$92*Lookup_Lists!$D$325,0))/(IF(ISNUMBER(Matching_Engine!$AO$92),Lookup_Lists!$D$322,0)+IF(ISNUMBER(Matching_Engine!$AP$92),Lookup_Lists!$D$323,0)+IF(ISNUMBER(Matching_Engine!$AQ$92),Lookup_Lists!$D$324,0)+IF(ISNUMBER(Matching_Engine!$AR$92),Lookup_Lists!$D$325,0)),0))</f>
      </c>
      <c r="AU92" s="11">
        <f>IF(ISNUMBER(Matching_Engine!$AT$92),1,0)</f>
      </c>
      <c r="AV92" s="11">
        <f>IF(NOT(ISNUMBER(Matching_Engine!$AT$92)),"Not Screened",IF(Matching_Engine!$AT$92&gt;=Lookup_Lists!$D$329,"Low Risk",IF(Matching_Engine!$AT$92&gt;=Lookup_Lists!$D$330,"Moderate Risk",IF(Matching_Engine!$AT$92&gt;=Lookup_Lists!$D$331,"Elevated Risk","High Risk"))))</f>
      </c>
      <c r="AW92" s="11">
        <f>IF(NOT(ISNUMBER(Matching_Engine!$AT$92)),"No integrity signal: no audience-analysis row for this account.","Integrity screen only — no content-risk reading exists (comments_analysis: 0 rows). "&amp;IF(ISNUMBER(Matching_Engine!$AO$92),"Authenticity "&amp;Matching_Engine!$AO$92&amp;". ","Authenticity N/A. ")&amp;IF(ISNUMBER(Matching_Engine!$AP$92),"Follower quality "&amp;Matching_Engine!$AP$92&amp;". ","Follower quality N/A. ")&amp;IF(KOL_Source_Data!$I$20="Yes","Platform-verified.","Not platform-verified."))</f>
      </c>
      <c r="AX92" s="18">
        <f>Matching_Engine!$N$92*Lookup_Lists!$D$104+Matching_Engine!$T$92*Lookup_Lists!$D$105+Matching_Engine!$Z$92*Lookup_Lists!$D$106+Matching_Engine!$AF$92*Lookup_Lists!$D$107+Matching_Engine!$AN$92*Lookup_Lists!$D$108+Matching_Engine!$AU$92*Lookup_Lists!$D$109</f>
      </c>
      <c r="AY92" s="30">
        <f>IF(Matching_Engine!$AX$92=0,"N/A",ROUND((IF(Matching_Engine!$N$92=1,Matching_Engine!$M$92*Lookup_Lists!$D$104,0)+IF(Matching_Engine!$T$92=1,Matching_Engine!$S$92*Lookup_Lists!$D$105,0)+IF(Matching_Engine!$Z$92=1,Matching_Engine!$Y$92*Lookup_Lists!$D$106,0)+IF(Matching_Engine!$AF$92=1,Matching_Engine!$AE$92*Lookup_Lists!$D$107,0)+IF(Matching_Engine!$AN$92=1,Matching_Engine!$AM$92*Lookup_Lists!$D$108,0)+IF(Matching_Engine!$AU$92=1,Matching_Engine!$AT$92*Lookup_Lists!$D$109,0))/Matching_Engine!$AX$92,0))</f>
      </c>
      <c r="AZ92" s="11">
        <f>IF(NOT(ISNUMBER(Matching_Engine!$AY$92)),"Not Scored",IF(Matching_Engine!$AY$92&gt;=Lookup_Lists!$D$152,"Excellent Match",IF(Matching_Engine!$AY$92&gt;=Lookup_Lists!$D$153,"Strong Match",IF(Matching_Engine!$AY$92&gt;=Lookup_Lists!$D$154,"Good Match",IF(Matching_Engine!$AY$92&gt;=Lookup_Lists!$D$155,"Moderate Match","Low Match")))))</f>
      </c>
      <c r="BA92" s="18">
        <f>KOL_Source_Data!$BW$20</f>
      </c>
      <c r="BB92" s="11">
        <f>KOL_Source_Data!$BX$20</f>
      </c>
      <c r="BC92" s="18">
        <f>IF(NOT(ISNUMBER(Matching_Engine!$AY$92)),-1,Matching_Engine!$AY$92*1000+10)</f>
      </c>
      <c r="BD92" s="11">
        <f>IF(AND(ISTEXT(KOL_Source_Data!$S$20),KOL_Source_Data!$S$20&lt;&gt;"N/A"),KOL_Source_Data!$S$20,"")&amp;" | "&amp;IF(AND(ISTEXT(KOL_Source_Data!$T$20),KOL_Source_Data!$T$20&lt;&gt;"N/A"),KOL_Source_Data!$T$20,"")&amp;" | "&amp;IF(AND(ISTEXT(KOL_Source_Data!$N$20),KOL_Source_Data!$N$20&lt;&gt;"N/A"),KOL_Source_Data!$N$20,"")&amp;" | "&amp;IF(AND(ISTEXT(KOL_Source_Data!$K$20),KOL_Source_Data!$K$20&lt;&gt;"N/A"),KOL_Source_Data!$K$20,"")&amp;" | "&amp;IF(AND(ISTEXT(KOL_Source_Data!$J$20),KOL_Source_Data!$J$20&lt;&gt;"N/A"),KOL_Source_Data!$J$20,"")</f>
      </c>
      <c r="BE92" s="11">
        <f>IF(AND(ISTEXT(KOL_Source_Data!$T$20),KOL_Source_Data!$T$20&lt;&gt;"N/A"),KOL_Source_Data!$T$20,"")&amp;" | "&amp;IF(AND(ISTEXT(KOL_Source_Data!$N$20),KOL_Source_Data!$N$20&lt;&gt;"N/A"),KOL_Source_Data!$N$20,"")&amp;" | "&amp;IF(AND(ISTEXT(KOL_Source_Data!$O$20),KOL_Source_Data!$O$20&lt;&gt;"N/A"),KOL_Source_Data!$O$20,"")&amp;" | "&amp;IF(AND(ISTEXT(KOL_Source_Data!$S$20),KOL_Source_Data!$S$20&lt;&gt;"N/A"),KOL_Source_Data!$S$20,"")</f>
      </c>
      <c r="BF92" s="11">
        <f>IF(AND(ISTEXT(KOL_Source_Data!$U$20),KOL_Source_Data!$U$20&lt;&gt;"N/A"),KOL_Source_Data!$U$20,"")</f>
      </c>
      <c r="BG92" s="11">
        <f>Matching_Engine!$A$92&amp;"|"&amp;Matching_Engine!$C$92</f>
      </c>
    </row>
    <row r="93" spans="1:59" x14ac:dyDescent="0.25">
      <c r="A93" s="10" t="s">
        <v>393</v>
      </c>
      <c r="B93" s="11">
        <f>Brand_Profile!$H$6</f>
      </c>
      <c r="C93" s="11">
        <f>KOL_Source_Data!$A$21</f>
      </c>
      <c r="D93" s="11">
        <f>KOL_Source_Data!$C$21</f>
      </c>
      <c r="E93" s="11">
        <f>KOL_Source_Data!$D$21</f>
      </c>
      <c r="F93" s="11">
        <f>KOL_Source_Data!$E$21</f>
      </c>
      <c r="G93" s="11">
        <f>KOL_Source_Data!$K$21</f>
      </c>
      <c r="H93" s="12">
        <f>KOL_Source_Data!$G$21</f>
      </c>
      <c r="I93" s="14">
        <f>KOL_Source_Data!$BG$21</f>
      </c>
      <c r="J93" s="18">
        <f>IF(NOT(AND(ISTEXT(KOL_Source_Data!$K$21),KOL_Source_Data!$K$21&lt;&gt;"N/A")),Lookup_Lists!$D$150,IF(Brand_Profile!$H$7=KOL_Source_Data!$K$21,100,IFERROR(INDEX(Lookup_Lists!$B$349:$J$357,MATCH(Brand_Profile!$H$7,Lookup_Lists!$A$349:$A$357,0),MATCH(KOL_Source_Data!$K$21,Lookup_Lists!$B$348:$J$348,0)),Lookup_Lists!$D$151)))</f>
      </c>
      <c r="K93" s="18">
        <f>IF(LEN(TRIM(SUBSTITUTE(Matching_Engine!$BD$93,"|","")))=0,"N/A",IF(Brand_Profile!$H$47=0,Lookup_Lists!$D$150,ROUND((IF(Brand_Profile!$H$41="",0,IF(ISNUMBER(SEARCH(Brand_Profile!$H$41,Matching_Engine!$BD$93)),1,0))+IF(Brand_Profile!$H$42="",0,IF(ISNUMBER(SEARCH(Brand_Profile!$H$42,Matching_Engine!$BD$93)),1,0))+IF(Brand_Profile!$H$43="",0,IF(ISNUMBER(SEARCH(Brand_Profile!$H$43,Matching_Engine!$BD$93)),1,0))+IF(Brand_Profile!$H$44="",0,IF(ISNUMBER(SEARCH(Brand_Profile!$H$44,Matching_Engine!$BD$93)),1,0))+IF(Brand_Profile!$H$45="",0,IF(ISNUMBER(SEARCH(Brand_Profile!$H$45,Matching_Engine!$BD$93)),1,0))+IF(Brand_Profile!$H$46="",0,IF(ISNUMBER(SEARCH(Brand_Profile!$H$46,Matching_Engine!$BD$93)),1,0)))/Brand_Profile!$H$47*100,0)))</f>
      </c>
      <c r="L93" s="18">
        <f>IF(NOT(AND(ISTEXT(KOL_Source_Data!$U$21),KOL_Source_Data!$U$21&lt;&gt;"N/A")),"N/A",IF(Brand_Profile!$H$53=0,Lookup_Lists!$D$150,ROUND((IF(Brand_Profile!$H$48="",0,IF(ISNUMBER(SEARCH(Brand_Profile!$H$48,Matching_Engine!$BF$93)),1,0))+IF(Brand_Profile!$H$49="",0,IF(ISNUMBER(SEARCH(Brand_Profile!$H$49,Matching_Engine!$BF$93)),1,0))+IF(Brand_Profile!$H$50="",0,IF(ISNUMBER(SEARCH(Brand_Profile!$H$50,Matching_Engine!$BF$93)),1,0))+IF(Brand_Profile!$H$51="",0,IF(ISNUMBER(SEARCH(Brand_Profile!$H$51,Matching_Engine!$BF$93)),1,0))+IF(Brand_Profile!$H$52="",0,IF(ISNUMBER(SEARCH(Brand_Profile!$H$52,Matching_Engine!$BF$93)),1,0)))/Brand_Profile!$H$53*100,0)))</f>
      </c>
      <c r="M93" s="29">
        <f>IF((IF(ISNUMBER(Matching_Engine!$J$93),Lookup_Lists!$D$332,0)+IF(ISNUMBER(Matching_Engine!$K$93),Lookup_Lists!$D$333,0)+IF(ISNUMBER(Matching_Engine!$L$93),Lookup_Lists!$D$334,0))=0,"N/A",ROUND((IF(ISNUMBER(Matching_Engine!$J$93),Matching_Engine!$J$93*Lookup_Lists!$D$332,0)+IF(ISNUMBER(Matching_Engine!$K$93),Matching_Engine!$K$93*Lookup_Lists!$D$333,0)+IF(ISNUMBER(Matching_Engine!$L$93),Matching_Engine!$L$93*Lookup_Lists!$D$334,0))/(IF(ISNUMBER(Matching_Engine!$J$93),Lookup_Lists!$D$332,0)+IF(ISNUMBER(Matching_Engine!$K$93),Lookup_Lists!$D$333,0)+IF(ISNUMBER(Matching_Engine!$L$93),Lookup_Lists!$D$334,0)),0))</f>
      </c>
      <c r="N93" s="11">
        <f>IF(ISNUMBER(Matching_Engine!$M$93),1,0)</f>
      </c>
      <c r="O93" s="18">
        <f>IF(NOT(ISNUMBER(IFERROR(INDEX(KOL_Source_Data!$V$21:KOL_Source_Data!$Z$21,1,MATCH(Brand_Profile!$H$11,Lookup_Lists!$F$6:$F$10,0)),""))),"N/A",MIN(100,ROUND((IFERROR(INDEX(KOL_Source_Data!$V$21:KOL_Source_Data!$Z$21,1,MATCH(Brand_Profile!$H$11,Lookup_Lists!$F$6:$F$10,0)),"")+0.5*IF(ISNUMBER(IFERROR(INDEX(KOL_Source_Data!$V$21:KOL_Source_Data!$Z$21,1,MATCH(Brand_Profile!$H$12,Lookup_Lists!$F$6:$F$10,0)),"")),IFERROR(INDEX(KOL_Source_Data!$V$21:KOL_Source_Data!$Z$21,1,MATCH(Brand_Profile!$H$12,Lookup_Lists!$F$6:$F$10,0)),""),0))/Lookup_Lists!$D$142*100,0)))</f>
      </c>
      <c r="P93" s="18">
        <f>IF(Brand_Profile!$H$13="Any",100,IF(NOT(ISNUMBER(KOL_Source_Data!$AA$21)),"N/A",IF(Brand_Profile!$H$13="Female",MIN(100,ROUND(KOL_Source_Data!$AA$21/Lookup_Lists!$D$143*100,0)),IF(Brand_Profile!$H$13="Male",MIN(100,ROUND(IF(ISNUMBER(KOL_Source_Data!$AB$21),KOL_Source_Data!$AB$21,100-KOL_Source_Data!$AA$21)/Lookup_Lists!$D$143*100,0)),MAX(0,ROUND(100-ABS(KOL_Source_Data!$AA$21-50)*2,0))))))</f>
      </c>
      <c r="Q93" s="18">
        <f>IF((IF(ISNUMBER(IF(NOT(ISNUMBER(KOL_Source_Data!$AE$21)),"N/A",IF(KOL_Source_Data!$AD$21&lt;&gt;Brand_Profile!$H$14,Lookup_Lists!$D$151,MIN(100,ROUND(KOL_Source_Data!$AE$21/Lookup_Lists!$D$316*100,0))))),Lookup_Lists!$D$118,0)+IF(ISNUMBER(IF(NOT(ISNUMBER(KOL_Source_Data!$AM$21)),"N/A",MIN(100,ROUND((IF(KOL_Source_Data!$AG$21=Brand_Profile!$H$15,IF(ISNUMBER(KOL_Source_Data!$AH$21),KOL_Source_Data!$AH$21,0),0)+IF(KOL_Source_Data!$AI$21=Brand_Profile!$H$15,IF(ISNUMBER(KOL_Source_Data!$AJ$21),KOL_Source_Data!$AJ$21,0),0)+IF(KOL_Source_Data!$AK$21=Brand_Profile!$H$15,IF(ISNUMBER(KOL_Source_Data!$AL$21),KOL_Source_Data!$AL$21,0),0))/Lookup_Lists!$D$317*100,0)))),Lookup_Lists!$D$120,0))=0,"N/A",ROUND((IF(ISNUMBER(IF(NOT(ISNUMBER(KOL_Source_Data!$AE$21)),"N/A",IF(KOL_Source_Data!$AD$21&lt;&gt;Brand_Profile!$H$14,Lookup_Lists!$D$151,MIN(100,ROUND(KOL_Source_Data!$AE$21/Lookup_Lists!$D$316*100,0))))),IF(NOT(ISNUMBER(KOL_Source_Data!$AE$21)),"N/A",IF(KOL_Source_Data!$AD$21&lt;&gt;Brand_Profile!$H$14,Lookup_Lists!$D$151,MIN(100,ROUND(KOL_Source_Data!$AE$21/Lookup_Lists!$D$316*100,0))))*Lookup_Lists!$D$118,0)+IF(ISNUMBER(IF(NOT(ISNUMBER(KOL_Source_Data!$AM$21)),"N/A",MIN(100,ROUND((IF(KOL_Source_Data!$AG$21=Brand_Profile!$H$15,IF(ISNUMBER(KOL_Source_Data!$AH$21),KOL_Source_Data!$AH$21,0),0)+IF(KOL_Source_Data!$AI$21=Brand_Profile!$H$15,IF(ISNUMBER(KOL_Source_Data!$AJ$21),KOL_Source_Data!$AJ$21,0),0)+IF(KOL_Source_Data!$AK$21=Brand_Profile!$H$15,IF(ISNUMBER(KOL_Source_Data!$AL$21),KOL_Source_Data!$AL$21,0),0))/Lookup_Lists!$D$317*100,0)))),IF(NOT(ISNUMBER(KOL_Source_Data!$AM$21)),"N/A",MIN(100,ROUND((IF(KOL_Source_Data!$AG$21=Brand_Profile!$H$15,IF(ISNUMBER(KOL_Source_Data!$AH$21),KOL_Source_Data!$AH$21,0),0)+IF(KOL_Source_Data!$AI$21=Brand_Profile!$H$15,IF(ISNUMBER(KOL_Source_Data!$AJ$21),KOL_Source_Data!$AJ$21,0),0)+IF(KOL_Source_Data!$AK$21=Brand_Profile!$H$15,IF(ISNUMBER(KOL_Source_Data!$AL$21),KOL_Source_Data!$AL$21,0),0))/Lookup_Lists!$D$317*100,0)))*Lookup_Lists!$D$120,0))/(IF(ISNUMBER(IF(NOT(ISNUMBER(KOL_Source_Data!$AE$21)),"N/A",IF(KOL_Source_Data!$AD$21&lt;&gt;Brand_Profile!$H$14,Lookup_Lists!$D$151,MIN(100,ROUND(KOL_Source_Data!$AE$21/Lookup_Lists!$D$316*100,0))))),Lookup_Lists!$D$118,0)+IF(ISNUMBER(IF(NOT(ISNUMBER(KOL_Source_Data!$AM$21)),"N/A",MIN(100,ROUND((IF(KOL_Source_Data!$AG$21=Brand_Profile!$H$15,IF(ISNUMBER(KOL_Source_Data!$AH$21),KOL_Source_Data!$AH$21,0),0)+IF(KOL_Source_Data!$AI$21=Brand_Profile!$H$15,IF(ISNUMBER(KOL_Source_Data!$AJ$21),KOL_Source_Data!$AJ$21,0),0)+IF(KOL_Source_Data!$AK$21=Brand_Profile!$H$15,IF(ISNUMBER(KOL_Source_Data!$AL$21),KOL_Source_Data!$AL$21,0),0))/Lookup_Lists!$D$317*100,0)))),Lookup_Lists!$D$120,0)),0))</f>
      </c>
      <c r="R93" s="18">
        <f>IF(NOT(ISNUMBER(KOL_Source_Data!$AN$21)),"N/A",MIN(100,ROUND((IF(ISNUMBER(KOL_Source_Data!$AO$21),KOL_Source_Data!$AO$21*Brand_Profile!$H$17,0)+IF(ISNUMBER(KOL_Source_Data!$AP$21),KOL_Source_Data!$AP$21*Brand_Profile!$H$18,0)+IF(ISNUMBER(KOL_Source_Data!$AQ$21),KOL_Source_Data!$AQ$21*Brand_Profile!$H$19,0)+IF(ISNUMBER(KOL_Source_Data!$AR$21),KOL_Source_Data!$AR$21*Brand_Profile!$H$20,0)+IF(ISNUMBER(KOL_Source_Data!$AS$21),KOL_Source_Data!$AS$21*Brand_Profile!$H$21,0)+IF(ISNUMBER(KOL_Source_Data!$AT$21),KOL_Source_Data!$AT$21*Brand_Profile!$H$22,0)+IF(ISNUMBER(KOL_Source_Data!$AU$21),KOL_Source_Data!$AU$21*Brand_Profile!$H$23,0)+IF(ISNUMBER(KOL_Source_Data!$AV$21),KOL_Source_Data!$AV$21*Brand_Profile!$H$24,0)+IF(ISNUMBER(KOL_Source_Data!$AW$21),KOL_Source_Data!$AW$21*Brand_Profile!$H$25,0)+IF(ISNUMBER(KOL_Source_Data!$AX$21),KOL_Source_Data!$AX$21*Brand_Profile!$H$26,0)+IF(ISNUMBER(KOL_Source_Data!$AY$21),KOL_Source_Data!$AY$21*Brand_Profile!$H$27,0)+IF(ISNUMBER(KOL_Source_Data!$AZ$21),KOL_Source_Data!$AZ$21*Brand_Profile!$H$28,0)+IF(ISNUMBER(KOL_Source_Data!$BA$21),KOL_Source_Data!$BA$21*Brand_Profile!$H$29,0)+IF(ISNUMBER(KOL_Source_Data!$BB$21),KOL_Source_Data!$BB$21*Brand_Profile!$H$30,0)+IF(ISNUMBER(KOL_Source_Data!$BC$21),KOL_Source_Data!$BC$21*Brand_Profile!$H$31,0)+IF(ISNUMBER(KOL_Source_Data!$BD$21),KOL_Source_Data!$BD$21*Brand_Profile!$H$32,0)+IF(ISNUMBER(KOL_Source_Data!$BE$21),KOL_Source_Data!$BE$21*Brand_Profile!$H$33,0)+IF(ISNUMBER(KOL_Source_Data!$BF$21),KOL_Source_Data!$BF$21*Brand_Profile!$H$34,0))/Lookup_Lists!$D$318*100,0)))</f>
      </c>
      <c r="S93" s="29">
        <f>IF((IF(ISNUMBER(Matching_Engine!$O$93),Lookup_Lists!$D$113,0)+IF(ISNUMBER(Matching_Engine!$P$93),Lookup_Lists!$D$114,0)+IF(ISNUMBER(Matching_Engine!$Q$93),Lookup_Lists!$D$115,0)+IF(ISNUMBER(Matching_Engine!$R$93),Lookup_Lists!$D$116,0))=0,"N/A",ROUND((IF(ISNUMBER(Matching_Engine!$O$93),Matching_Engine!$O$93*Lookup_Lists!$D$113,0)+IF(ISNUMBER(Matching_Engine!$P$93),Matching_Engine!$P$93*Lookup_Lists!$D$114,0)+IF(ISNUMBER(Matching_Engine!$Q$93),Matching_Engine!$Q$93*Lookup_Lists!$D$115,0)+IF(ISNUMBER(Matching_Engine!$R$93),Matching_Engine!$R$93*Lookup_Lists!$D$116,0))/(IF(ISNUMBER(Matching_Engine!$O$93),Lookup_Lists!$D$113,0)+IF(ISNUMBER(Matching_Engine!$P$93),Lookup_Lists!$D$114,0)+IF(ISNUMBER(Matching_Engine!$Q$93),Lookup_Lists!$D$115,0)+IF(ISNUMBER(Matching_Engine!$R$93),Lookup_Lists!$D$116,0)),0))</f>
      </c>
      <c r="T93" s="11">
        <f>IF(ISNUMBER(Matching_Engine!$S$93),1,0)</f>
      </c>
      <c r="U93" s="18">
        <f>IF(NOT(AND(ISTEXT(KOL_Source_Data!$M$21),KOL_Source_Data!$M$21&lt;&gt;"N/A")),Lookup_Lists!$D$150,IF(Brand_Profile!$H$7=KOL_Source_Data!$M$21,100,IFERROR(INDEX(Lookup_Lists!$B$349:$J$357,MATCH(Brand_Profile!$H$7,Lookup_Lists!$A$349:$A$357,0),MATCH(KOL_Source_Data!$M$21,Lookup_Lists!$B$348:$J$348,0)),Lookup_Lists!$D$151)))</f>
      </c>
      <c r="V93" s="18">
        <f>IF(NOT(AND(ISTEXT(KOL_Source_Data!$P$21),KOL_Source_Data!$P$21&lt;&gt;"N/A")),"N/A",IFERROR(INDEX(Lookup_Lists!$B$349:$J$357,MATCH(Brand_Profile!$H$7,Lookup_Lists!$A$349:$A$357,0),MATCH(KOL_Source_Data!$P$21,Lookup_Lists!$B$348:$J$348,0)),Lookup_Lists!$D$151))</f>
      </c>
      <c r="W93" s="18">
        <f>IF(LEN(TRIM(SUBSTITUTE(Matching_Engine!$BE$93,"|","")))=0,"N/A",IF(Brand_Profile!$H$60=0,Lookup_Lists!$D$150,ROUND((IF(Brand_Profile!$H$54="",0,IF(ISNUMBER(SEARCH(Brand_Profile!$H$54,Matching_Engine!$BE$93)),1,0))+IF(Brand_Profile!$H$55="",0,IF(ISNUMBER(SEARCH(Brand_Profile!$H$55,Matching_Engine!$BE$93)),1,0))+IF(Brand_Profile!$H$56="",0,IF(ISNUMBER(SEARCH(Brand_Profile!$H$56,Matching_Engine!$BE$93)),1,0))+IF(Brand_Profile!$H$57="",0,IF(ISNUMBER(SEARCH(Brand_Profile!$H$57,Matching_Engine!$BE$93)),1,0))+IF(Brand_Profile!$H$58="",0,IF(ISNUMBER(SEARCH(Brand_Profile!$H$58,Matching_Engine!$BE$93)),1,0))+IF(Brand_Profile!$H$59="",0,IF(ISNUMBER(SEARCH(Brand_Profile!$H$59,Matching_Engine!$BE$93)),1,0)))/Brand_Profile!$H$60*100,0)))</f>
      </c>
      <c r="X93" s="18">
        <f>IF(NOT(AND(ISTEXT(KOL_Source_Data!$Q$21),KOL_Source_Data!$Q$21&lt;&gt;"N/A")),"N/A",Lookup_Lists!$D$150)</f>
      </c>
      <c r="Y93" s="29">
        <f>IF((IF(ISNUMBER(Matching_Engine!$U$93),Lookup_Lists!$D$335,0)+IF(ISNUMBER(Matching_Engine!$V$93),Lookup_Lists!$D$122,0)+IF(ISNUMBER(Matching_Engine!$W$93),Lookup_Lists!$D$336,0)+IF(ISNUMBER(Matching_Engine!$X$93),Lookup_Lists!$D$124,0))=0,"N/A",ROUND((IF(ISNUMBER(Matching_Engine!$U$93),Matching_Engine!$U$93*Lookup_Lists!$D$335,0)+IF(ISNUMBER(Matching_Engine!$V$93),Matching_Engine!$V$93*Lookup_Lists!$D$122,0)+IF(ISNUMBER(Matching_Engine!$W$93),Matching_Engine!$W$93*Lookup_Lists!$D$336,0)+IF(ISNUMBER(Matching_Engine!$X$93),Matching_Engine!$X$93*Lookup_Lists!$D$124,0))/(IF(ISNUMBER(Matching_Engine!$U$93),Lookup_Lists!$D$335,0)+IF(ISNUMBER(Matching_Engine!$V$93),Lookup_Lists!$D$122,0)+IF(ISNUMBER(Matching_Engine!$W$93),Lookup_Lists!$D$336,0)+IF(ISNUMBER(Matching_Engine!$X$93),Lookup_Lists!$D$124,0)),0))</f>
      </c>
      <c r="Z93" s="11">
        <f>IF(ISNUMBER(Matching_Engine!$Y$93),1,0)</f>
      </c>
      <c r="AA93" s="18">
        <f>IF(NOT(AND(ISTEXT(KOL_Source_Data!$Q$21),KOL_Source_Data!$Q$21&lt;&gt;"N/A")),"N/A",Lookup_Lists!$D$150)</f>
      </c>
      <c r="AB93" s="18">
        <f>IF(NOT(AND(ISTEXT(KOL_Source_Data!$Q$21),KOL_Source_Data!$Q$21&lt;&gt;"N/A")),"N/A",Lookup_Lists!$D$150)</f>
      </c>
      <c r="AC93" s="18">
        <f>"N/A"</f>
      </c>
      <c r="AD93" s="18">
        <f>IF(NOT(AND(ISTEXT(KOL_Source_Data!$Q$21),KOL_Source_Data!$Q$21&lt;&gt;"N/A")),"N/A",Lookup_Lists!$D$150)</f>
      </c>
      <c r="AE93" s="29">
        <f>IF((IF(ISNUMBER(Matching_Engine!$AA$93),Lookup_Lists!$D$125,0)+IF(ISNUMBER(Matching_Engine!$AB$93),Lookup_Lists!$D$126,0)+IF(ISNUMBER(Matching_Engine!$AC$93),Lookup_Lists!$D$127,0)+IF(ISNUMBER(Matching_Engine!$AD$93),Lookup_Lists!$D$128,0))=0,"N/A",ROUND((IF(ISNUMBER(Matching_Engine!$AA$93),Matching_Engine!$AA$93*Lookup_Lists!$D$125,0)+IF(ISNUMBER(Matching_Engine!$AB$93),Matching_Engine!$AB$93*Lookup_Lists!$D$126,0)+IF(ISNUMBER(Matching_Engine!$AC$93),Matching_Engine!$AC$93*Lookup_Lists!$D$127,0)+IF(ISNUMBER(Matching_Engine!$AD$93),Matching_Engine!$AD$93*Lookup_Lists!$D$128,0))/(IF(ISNUMBER(Matching_Engine!$AA$93),Lookup_Lists!$D$125,0)+IF(ISNUMBER(Matching_Engine!$AB$93),Lookup_Lists!$D$126,0)+IF(ISNUMBER(Matching_Engine!$AC$93),Lookup_Lists!$D$127,0)+IF(ISNUMBER(Matching_Engine!$AD$93),Lookup_Lists!$D$128,0)),0))</f>
      </c>
      <c r="AF93" s="11">
        <f>IF(ISNUMBER(Matching_Engine!$AE$93),1,0)</f>
      </c>
      <c r="AG93" s="18">
        <f>IF(NOT(ISNUMBER(KOL_Source_Data!$BG$21)),"N/A",MIN(100,ROUND(KOL_Source_Data!$BG$21/IFERROR(INDEX(Lookup_Lists!$B$340:$B$344,MATCH(KOL_Source_Data!$H$21,Lookup_Lists!$A$340:$A$344,0)),Lookup_Lists!$D$141)*100,0)))</f>
      </c>
      <c r="AH93" s="18">
        <f>IF(NOT(ISNUMBER(KOL_Source_Data!$BS$21)),"N/A",MIN(100,MAX(0,KOL_Source_Data!$BS$21)))</f>
      </c>
      <c r="AI93" s="18">
        <f>IF(OR(NOT(ISNUMBER(KOL_Source_Data!$BM$21)),NOT(ISNUMBER(KOL_Source_Data!$BN$21)),KOL_Source_Data!$BN$21&lt;Lookup_Lists!$D$320),"N/A",MIN(100,ROUND(KOL_Source_Data!$BM$21/Lookup_Lists!$D$319*100,0)))</f>
      </c>
      <c r="AJ93" s="18">
        <f>IF(NOT(ISNUMBER(KOL_Source_Data!$BR$21)),"N/A",KOL_Source_Data!$BR$21)</f>
      </c>
      <c r="AK93" s="18">
        <f>IF(NOT(ISNUMBER(KOL_Source_Data!$BK$21)),"N/A",MIN(100,ROUND(KOL_Source_Data!$BK$21/Lookup_Lists!$D$321*100,0)))</f>
      </c>
      <c r="AL93" s="18">
        <f>IF(NOT(ISNUMBER(KOL_Source_Data!$BP$21)),"N/A",MIN(100,MAX(0,ROUND((KOL_Source_Data!$BP$21+2)/(Lookup_Lists!$D$145+2)*100,0))))</f>
      </c>
      <c r="AM93" s="29">
        <f>IF((IF(ISNUMBER(Matching_Engine!$AG$93),Lookup_Lists!$D$129,0)+IF(ISNUMBER(Matching_Engine!$AH$93),Lookup_Lists!$D$130,0)+IF(ISNUMBER(Matching_Engine!$AI$93),Lookup_Lists!$D$131,0)+IF(ISNUMBER(Matching_Engine!$AJ$93),Lookup_Lists!$D$132,0)+IF(ISNUMBER(Matching_Engine!$AK$93),Lookup_Lists!$D$133,0)+IF(ISNUMBER(Matching_Engine!$AL$93),Lookup_Lists!$D$134,0))=0,"N/A",ROUND((IF(ISNUMBER(Matching_Engine!$AG$93),Matching_Engine!$AG$93*Lookup_Lists!$D$129,0)+IF(ISNUMBER(Matching_Engine!$AH$93),Matching_Engine!$AH$93*Lookup_Lists!$D$130,0)+IF(ISNUMBER(Matching_Engine!$AI$93),Matching_Engine!$AI$93*Lookup_Lists!$D$131,0)+IF(ISNUMBER(Matching_Engine!$AJ$93),Matching_Engine!$AJ$93*Lookup_Lists!$D$132,0)+IF(ISNUMBER(Matching_Engine!$AK$93),Matching_Engine!$AK$93*Lookup_Lists!$D$133,0)+IF(ISNUMBER(Matching_Engine!$AL$93),Matching_Engine!$AL$93*Lookup_Lists!$D$134,0))/(IF(ISNUMBER(Matching_Engine!$AG$93),Lookup_Lists!$D$129,0)+IF(ISNUMBER(Matching_Engine!$AH$93),Lookup_Lists!$D$130,0)+IF(ISNUMBER(Matching_Engine!$AI$93),Lookup_Lists!$D$131,0)+IF(ISNUMBER(Matching_Engine!$AJ$93),Lookup_Lists!$D$132,0)+IF(ISNUMBER(Matching_Engine!$AK$93),Lookup_Lists!$D$133,0)+IF(ISNUMBER(Matching_Engine!$AL$93),Lookup_Lists!$D$134,0)),0))</f>
      </c>
      <c r="AN93" s="11">
        <f>IF(ISNUMBER(Matching_Engine!$AM$93),1,0)</f>
      </c>
      <c r="AO93" s="18">
        <f>IF(NOT(ISNUMBER(KOL_Source_Data!$BT$21)),"N/A",MIN(100,MAX(0,KOL_Source_Data!$BT$21)))</f>
      </c>
      <c r="AP93" s="18">
        <f>IF(NOT(ISNUMBER(KOL_Source_Data!$BU$21)),"N/A",MIN(100,MAX(0,KOL_Source_Data!$BU$21)))</f>
      </c>
      <c r="AQ93" s="18">
        <f>IF(KOL_Source_Data!$I$21="Yes",Lookup_Lists!$D$326,IF(KOL_Source_Data!$I$21="No",Lookup_Lists!$D$327,"N/A"))</f>
      </c>
      <c r="AR93" s="18">
        <f>IF(NOT(ISNUMBER(KOL_Source_Data!$BQ$21)),"N/A",MAX(0,ROUND(100-KOL_Source_Data!$BQ$21/Lookup_Lists!$D$328*100,0)))</f>
      </c>
      <c r="AS93" s="18">
        <f>IF(NOT(AND(ISTEXT(KOL_Source_Data!$BV$21),KOL_Source_Data!$BV$21&lt;&gt;"N/A")),"N/A",KOL_Source_Data!$BV$21)</f>
      </c>
      <c r="AT93" s="29">
        <f>IF((IF(ISNUMBER(Matching_Engine!$AO$93),Lookup_Lists!$D$322,0)+IF(ISNUMBER(Matching_Engine!$AP$93),Lookup_Lists!$D$323,0)+IF(ISNUMBER(Matching_Engine!$AQ$93),Lookup_Lists!$D$324,0)+IF(ISNUMBER(Matching_Engine!$AR$93),Lookup_Lists!$D$325,0))=0,"N/A",ROUND((IF(ISNUMBER(Matching_Engine!$AO$93),Matching_Engine!$AO$93*Lookup_Lists!$D$322,0)+IF(ISNUMBER(Matching_Engine!$AP$93),Matching_Engine!$AP$93*Lookup_Lists!$D$323,0)+IF(ISNUMBER(Matching_Engine!$AQ$93),Matching_Engine!$AQ$93*Lookup_Lists!$D$324,0)+IF(ISNUMBER(Matching_Engine!$AR$93),Matching_Engine!$AR$93*Lookup_Lists!$D$325,0))/(IF(ISNUMBER(Matching_Engine!$AO$93),Lookup_Lists!$D$322,0)+IF(ISNUMBER(Matching_Engine!$AP$93),Lookup_Lists!$D$323,0)+IF(ISNUMBER(Matching_Engine!$AQ$93),Lookup_Lists!$D$324,0)+IF(ISNUMBER(Matching_Engine!$AR$93),Lookup_Lists!$D$325,0)),0))</f>
      </c>
      <c r="AU93" s="11">
        <f>IF(ISNUMBER(Matching_Engine!$AT$93),1,0)</f>
      </c>
      <c r="AV93" s="11">
        <f>IF(NOT(ISNUMBER(Matching_Engine!$AT$93)),"Not Screened",IF(Matching_Engine!$AT$93&gt;=Lookup_Lists!$D$329,"Low Risk",IF(Matching_Engine!$AT$93&gt;=Lookup_Lists!$D$330,"Moderate Risk",IF(Matching_Engine!$AT$93&gt;=Lookup_Lists!$D$331,"Elevated Risk","High Risk"))))</f>
      </c>
      <c r="AW93" s="11">
        <f>IF(NOT(ISNUMBER(Matching_Engine!$AT$93)),"No integrity signal: no audience-analysis row for this account.","Integrity screen only — no content-risk reading exists (comments_analysis: 0 rows). "&amp;IF(ISNUMBER(Matching_Engine!$AO$93),"Authenticity "&amp;Matching_Engine!$AO$93&amp;". ","Authenticity N/A. ")&amp;IF(ISNUMBER(Matching_Engine!$AP$93),"Follower quality "&amp;Matching_Engine!$AP$93&amp;". ","Follower quality N/A. ")&amp;IF(KOL_Source_Data!$I$21="Yes","Platform-verified.","Not platform-verified."))</f>
      </c>
      <c r="AX93" s="18">
        <f>Matching_Engine!$N$93*Lookup_Lists!$D$104+Matching_Engine!$T$93*Lookup_Lists!$D$105+Matching_Engine!$Z$93*Lookup_Lists!$D$106+Matching_Engine!$AF$93*Lookup_Lists!$D$107+Matching_Engine!$AN$93*Lookup_Lists!$D$108+Matching_Engine!$AU$93*Lookup_Lists!$D$109</f>
      </c>
      <c r="AY93" s="30">
        <f>IF(Matching_Engine!$AX$93=0,"N/A",ROUND((IF(Matching_Engine!$N$93=1,Matching_Engine!$M$93*Lookup_Lists!$D$104,0)+IF(Matching_Engine!$T$93=1,Matching_Engine!$S$93*Lookup_Lists!$D$105,0)+IF(Matching_Engine!$Z$93=1,Matching_Engine!$Y$93*Lookup_Lists!$D$106,0)+IF(Matching_Engine!$AF$93=1,Matching_Engine!$AE$93*Lookup_Lists!$D$107,0)+IF(Matching_Engine!$AN$93=1,Matching_Engine!$AM$93*Lookup_Lists!$D$108,0)+IF(Matching_Engine!$AU$93=1,Matching_Engine!$AT$93*Lookup_Lists!$D$109,0))/Matching_Engine!$AX$93,0))</f>
      </c>
      <c r="AZ93" s="11">
        <f>IF(NOT(ISNUMBER(Matching_Engine!$AY$93)),"Not Scored",IF(Matching_Engine!$AY$93&gt;=Lookup_Lists!$D$152,"Excellent Match",IF(Matching_Engine!$AY$93&gt;=Lookup_Lists!$D$153,"Strong Match",IF(Matching_Engine!$AY$93&gt;=Lookup_Lists!$D$154,"Good Match",IF(Matching_Engine!$AY$93&gt;=Lookup_Lists!$D$155,"Moderate Match","Low Match")))))</f>
      </c>
      <c r="BA93" s="18">
        <f>KOL_Source_Data!$BW$21</f>
      </c>
      <c r="BB93" s="11">
        <f>KOL_Source_Data!$BX$21</f>
      </c>
      <c r="BC93" s="18">
        <f>IF(NOT(ISNUMBER(Matching_Engine!$AY$93)),-1,Matching_Engine!$AY$93*1000+9)</f>
      </c>
      <c r="BD93" s="11">
        <f>IF(AND(ISTEXT(KOL_Source_Data!$S$21),KOL_Source_Data!$S$21&lt;&gt;"N/A"),KOL_Source_Data!$S$21,"")&amp;" | "&amp;IF(AND(ISTEXT(KOL_Source_Data!$T$21),KOL_Source_Data!$T$21&lt;&gt;"N/A"),KOL_Source_Data!$T$21,"")&amp;" | "&amp;IF(AND(ISTEXT(KOL_Source_Data!$N$21),KOL_Source_Data!$N$21&lt;&gt;"N/A"),KOL_Source_Data!$N$21,"")&amp;" | "&amp;IF(AND(ISTEXT(KOL_Source_Data!$K$21),KOL_Source_Data!$K$21&lt;&gt;"N/A"),KOL_Source_Data!$K$21,"")&amp;" | "&amp;IF(AND(ISTEXT(KOL_Source_Data!$J$21),KOL_Source_Data!$J$21&lt;&gt;"N/A"),KOL_Source_Data!$J$21,"")</f>
      </c>
      <c r="BE93" s="11">
        <f>IF(AND(ISTEXT(KOL_Source_Data!$T$21),KOL_Source_Data!$T$21&lt;&gt;"N/A"),KOL_Source_Data!$T$21,"")&amp;" | "&amp;IF(AND(ISTEXT(KOL_Source_Data!$N$21),KOL_Source_Data!$N$21&lt;&gt;"N/A"),KOL_Source_Data!$N$21,"")&amp;" | "&amp;IF(AND(ISTEXT(KOL_Source_Data!$O$21),KOL_Source_Data!$O$21&lt;&gt;"N/A"),KOL_Source_Data!$O$21,"")&amp;" | "&amp;IF(AND(ISTEXT(KOL_Source_Data!$S$21),KOL_Source_Data!$S$21&lt;&gt;"N/A"),KOL_Source_Data!$S$21,"")</f>
      </c>
      <c r="BF93" s="11">
        <f>IF(AND(ISTEXT(KOL_Source_Data!$U$21),KOL_Source_Data!$U$21&lt;&gt;"N/A"),KOL_Source_Data!$U$21,"")</f>
      </c>
      <c r="BG93" s="11">
        <f>Matching_Engine!$A$93&amp;"|"&amp;Matching_Engine!$C$93</f>
      </c>
    </row>
    <row r="94" spans="1:59" x14ac:dyDescent="0.25">
      <c r="A94" s="10" t="s">
        <v>393</v>
      </c>
      <c r="B94" s="11">
        <f>Brand_Profile!$H$6</f>
      </c>
      <c r="C94" s="11">
        <f>KOL_Source_Data!$A$22</f>
      </c>
      <c r="D94" s="11">
        <f>KOL_Source_Data!$C$22</f>
      </c>
      <c r="E94" s="11">
        <f>KOL_Source_Data!$D$22</f>
      </c>
      <c r="F94" s="11">
        <f>KOL_Source_Data!$E$22</f>
      </c>
      <c r="G94" s="11">
        <f>KOL_Source_Data!$K$22</f>
      </c>
      <c r="H94" s="12">
        <f>KOL_Source_Data!$G$22</f>
      </c>
      <c r="I94" s="14">
        <f>KOL_Source_Data!$BG$22</f>
      </c>
      <c r="J94" s="18">
        <f>IF(NOT(AND(ISTEXT(KOL_Source_Data!$K$22),KOL_Source_Data!$K$22&lt;&gt;"N/A")),Lookup_Lists!$D$150,IF(Brand_Profile!$H$7=KOL_Source_Data!$K$22,100,IFERROR(INDEX(Lookup_Lists!$B$349:$J$357,MATCH(Brand_Profile!$H$7,Lookup_Lists!$A$349:$A$357,0),MATCH(KOL_Source_Data!$K$22,Lookup_Lists!$B$348:$J$348,0)),Lookup_Lists!$D$151)))</f>
      </c>
      <c r="K94" s="18">
        <f>IF(LEN(TRIM(SUBSTITUTE(Matching_Engine!$BD$94,"|","")))=0,"N/A",IF(Brand_Profile!$H$47=0,Lookup_Lists!$D$150,ROUND((IF(Brand_Profile!$H$41="",0,IF(ISNUMBER(SEARCH(Brand_Profile!$H$41,Matching_Engine!$BD$94)),1,0))+IF(Brand_Profile!$H$42="",0,IF(ISNUMBER(SEARCH(Brand_Profile!$H$42,Matching_Engine!$BD$94)),1,0))+IF(Brand_Profile!$H$43="",0,IF(ISNUMBER(SEARCH(Brand_Profile!$H$43,Matching_Engine!$BD$94)),1,0))+IF(Brand_Profile!$H$44="",0,IF(ISNUMBER(SEARCH(Brand_Profile!$H$44,Matching_Engine!$BD$94)),1,0))+IF(Brand_Profile!$H$45="",0,IF(ISNUMBER(SEARCH(Brand_Profile!$H$45,Matching_Engine!$BD$94)),1,0))+IF(Brand_Profile!$H$46="",0,IF(ISNUMBER(SEARCH(Brand_Profile!$H$46,Matching_Engine!$BD$94)),1,0)))/Brand_Profile!$H$47*100,0)))</f>
      </c>
      <c r="L94" s="18">
        <f>IF(NOT(AND(ISTEXT(KOL_Source_Data!$U$22),KOL_Source_Data!$U$22&lt;&gt;"N/A")),"N/A",IF(Brand_Profile!$H$53=0,Lookup_Lists!$D$150,ROUND((IF(Brand_Profile!$H$48="",0,IF(ISNUMBER(SEARCH(Brand_Profile!$H$48,Matching_Engine!$BF$94)),1,0))+IF(Brand_Profile!$H$49="",0,IF(ISNUMBER(SEARCH(Brand_Profile!$H$49,Matching_Engine!$BF$94)),1,0))+IF(Brand_Profile!$H$50="",0,IF(ISNUMBER(SEARCH(Brand_Profile!$H$50,Matching_Engine!$BF$94)),1,0))+IF(Brand_Profile!$H$51="",0,IF(ISNUMBER(SEARCH(Brand_Profile!$H$51,Matching_Engine!$BF$94)),1,0))+IF(Brand_Profile!$H$52="",0,IF(ISNUMBER(SEARCH(Brand_Profile!$H$52,Matching_Engine!$BF$94)),1,0)))/Brand_Profile!$H$53*100,0)))</f>
      </c>
      <c r="M94" s="29">
        <f>IF((IF(ISNUMBER(Matching_Engine!$J$94),Lookup_Lists!$D$332,0)+IF(ISNUMBER(Matching_Engine!$K$94),Lookup_Lists!$D$333,0)+IF(ISNUMBER(Matching_Engine!$L$94),Lookup_Lists!$D$334,0))=0,"N/A",ROUND((IF(ISNUMBER(Matching_Engine!$J$94),Matching_Engine!$J$94*Lookup_Lists!$D$332,0)+IF(ISNUMBER(Matching_Engine!$K$94),Matching_Engine!$K$94*Lookup_Lists!$D$333,0)+IF(ISNUMBER(Matching_Engine!$L$94),Matching_Engine!$L$94*Lookup_Lists!$D$334,0))/(IF(ISNUMBER(Matching_Engine!$J$94),Lookup_Lists!$D$332,0)+IF(ISNUMBER(Matching_Engine!$K$94),Lookup_Lists!$D$333,0)+IF(ISNUMBER(Matching_Engine!$L$94),Lookup_Lists!$D$334,0)),0))</f>
      </c>
      <c r="N94" s="11">
        <f>IF(ISNUMBER(Matching_Engine!$M$94),1,0)</f>
      </c>
      <c r="O94" s="18">
        <f>IF(NOT(ISNUMBER(IFERROR(INDEX(KOL_Source_Data!$V$22:KOL_Source_Data!$Z$22,1,MATCH(Brand_Profile!$H$11,Lookup_Lists!$F$6:$F$10,0)),""))),"N/A",MIN(100,ROUND((IFERROR(INDEX(KOL_Source_Data!$V$22:KOL_Source_Data!$Z$22,1,MATCH(Brand_Profile!$H$11,Lookup_Lists!$F$6:$F$10,0)),"")+0.5*IF(ISNUMBER(IFERROR(INDEX(KOL_Source_Data!$V$22:KOL_Source_Data!$Z$22,1,MATCH(Brand_Profile!$H$12,Lookup_Lists!$F$6:$F$10,0)),"")),IFERROR(INDEX(KOL_Source_Data!$V$22:KOL_Source_Data!$Z$22,1,MATCH(Brand_Profile!$H$12,Lookup_Lists!$F$6:$F$10,0)),""),0))/Lookup_Lists!$D$142*100,0)))</f>
      </c>
      <c r="P94" s="18">
        <f>IF(Brand_Profile!$H$13="Any",100,IF(NOT(ISNUMBER(KOL_Source_Data!$AA$22)),"N/A",IF(Brand_Profile!$H$13="Female",MIN(100,ROUND(KOL_Source_Data!$AA$22/Lookup_Lists!$D$143*100,0)),IF(Brand_Profile!$H$13="Male",MIN(100,ROUND(IF(ISNUMBER(KOL_Source_Data!$AB$22),KOL_Source_Data!$AB$22,100-KOL_Source_Data!$AA$22)/Lookup_Lists!$D$143*100,0)),MAX(0,ROUND(100-ABS(KOL_Source_Data!$AA$22-50)*2,0))))))</f>
      </c>
      <c r="Q94" s="18">
        <f>IF((IF(ISNUMBER(IF(NOT(ISNUMBER(KOL_Source_Data!$AE$22)),"N/A",IF(KOL_Source_Data!$AD$22&lt;&gt;Brand_Profile!$H$14,Lookup_Lists!$D$151,MIN(100,ROUND(KOL_Source_Data!$AE$22/Lookup_Lists!$D$316*100,0))))),Lookup_Lists!$D$118,0)+IF(ISNUMBER(IF(NOT(ISNUMBER(KOL_Source_Data!$AM$22)),"N/A",MIN(100,ROUND((IF(KOL_Source_Data!$AG$22=Brand_Profile!$H$15,IF(ISNUMBER(KOL_Source_Data!$AH$22),KOL_Source_Data!$AH$22,0),0)+IF(KOL_Source_Data!$AI$22=Brand_Profile!$H$15,IF(ISNUMBER(KOL_Source_Data!$AJ$22),KOL_Source_Data!$AJ$22,0),0)+IF(KOL_Source_Data!$AK$22=Brand_Profile!$H$15,IF(ISNUMBER(KOL_Source_Data!$AL$22),KOL_Source_Data!$AL$22,0),0))/Lookup_Lists!$D$317*100,0)))),Lookup_Lists!$D$120,0))=0,"N/A",ROUND((IF(ISNUMBER(IF(NOT(ISNUMBER(KOL_Source_Data!$AE$22)),"N/A",IF(KOL_Source_Data!$AD$22&lt;&gt;Brand_Profile!$H$14,Lookup_Lists!$D$151,MIN(100,ROUND(KOL_Source_Data!$AE$22/Lookup_Lists!$D$316*100,0))))),IF(NOT(ISNUMBER(KOL_Source_Data!$AE$22)),"N/A",IF(KOL_Source_Data!$AD$22&lt;&gt;Brand_Profile!$H$14,Lookup_Lists!$D$151,MIN(100,ROUND(KOL_Source_Data!$AE$22/Lookup_Lists!$D$316*100,0))))*Lookup_Lists!$D$118,0)+IF(ISNUMBER(IF(NOT(ISNUMBER(KOL_Source_Data!$AM$22)),"N/A",MIN(100,ROUND((IF(KOL_Source_Data!$AG$22=Brand_Profile!$H$15,IF(ISNUMBER(KOL_Source_Data!$AH$22),KOL_Source_Data!$AH$22,0),0)+IF(KOL_Source_Data!$AI$22=Brand_Profile!$H$15,IF(ISNUMBER(KOL_Source_Data!$AJ$22),KOL_Source_Data!$AJ$22,0),0)+IF(KOL_Source_Data!$AK$22=Brand_Profile!$H$15,IF(ISNUMBER(KOL_Source_Data!$AL$22),KOL_Source_Data!$AL$22,0),0))/Lookup_Lists!$D$317*100,0)))),IF(NOT(ISNUMBER(KOL_Source_Data!$AM$22)),"N/A",MIN(100,ROUND((IF(KOL_Source_Data!$AG$22=Brand_Profile!$H$15,IF(ISNUMBER(KOL_Source_Data!$AH$22),KOL_Source_Data!$AH$22,0),0)+IF(KOL_Source_Data!$AI$22=Brand_Profile!$H$15,IF(ISNUMBER(KOL_Source_Data!$AJ$22),KOL_Source_Data!$AJ$22,0),0)+IF(KOL_Source_Data!$AK$22=Brand_Profile!$H$15,IF(ISNUMBER(KOL_Source_Data!$AL$22),KOL_Source_Data!$AL$22,0),0))/Lookup_Lists!$D$317*100,0)))*Lookup_Lists!$D$120,0))/(IF(ISNUMBER(IF(NOT(ISNUMBER(KOL_Source_Data!$AE$22)),"N/A",IF(KOL_Source_Data!$AD$22&lt;&gt;Brand_Profile!$H$14,Lookup_Lists!$D$151,MIN(100,ROUND(KOL_Source_Data!$AE$22/Lookup_Lists!$D$316*100,0))))),Lookup_Lists!$D$118,0)+IF(ISNUMBER(IF(NOT(ISNUMBER(KOL_Source_Data!$AM$22)),"N/A",MIN(100,ROUND((IF(KOL_Source_Data!$AG$22=Brand_Profile!$H$15,IF(ISNUMBER(KOL_Source_Data!$AH$22),KOL_Source_Data!$AH$22,0),0)+IF(KOL_Source_Data!$AI$22=Brand_Profile!$H$15,IF(ISNUMBER(KOL_Source_Data!$AJ$22),KOL_Source_Data!$AJ$22,0),0)+IF(KOL_Source_Data!$AK$22=Brand_Profile!$H$15,IF(ISNUMBER(KOL_Source_Data!$AL$22),KOL_Source_Data!$AL$22,0),0))/Lookup_Lists!$D$317*100,0)))),Lookup_Lists!$D$120,0)),0))</f>
      </c>
      <c r="R94" s="18">
        <f>IF(NOT(ISNUMBER(KOL_Source_Data!$AN$22)),"N/A",MIN(100,ROUND((IF(ISNUMBER(KOL_Source_Data!$AO$22),KOL_Source_Data!$AO$22*Brand_Profile!$H$17,0)+IF(ISNUMBER(KOL_Source_Data!$AP$22),KOL_Source_Data!$AP$22*Brand_Profile!$H$18,0)+IF(ISNUMBER(KOL_Source_Data!$AQ$22),KOL_Source_Data!$AQ$22*Brand_Profile!$H$19,0)+IF(ISNUMBER(KOL_Source_Data!$AR$22),KOL_Source_Data!$AR$22*Brand_Profile!$H$20,0)+IF(ISNUMBER(KOL_Source_Data!$AS$22),KOL_Source_Data!$AS$22*Brand_Profile!$H$21,0)+IF(ISNUMBER(KOL_Source_Data!$AT$22),KOL_Source_Data!$AT$22*Brand_Profile!$H$22,0)+IF(ISNUMBER(KOL_Source_Data!$AU$22),KOL_Source_Data!$AU$22*Brand_Profile!$H$23,0)+IF(ISNUMBER(KOL_Source_Data!$AV$22),KOL_Source_Data!$AV$22*Brand_Profile!$H$24,0)+IF(ISNUMBER(KOL_Source_Data!$AW$22),KOL_Source_Data!$AW$22*Brand_Profile!$H$25,0)+IF(ISNUMBER(KOL_Source_Data!$AX$22),KOL_Source_Data!$AX$22*Brand_Profile!$H$26,0)+IF(ISNUMBER(KOL_Source_Data!$AY$22),KOL_Source_Data!$AY$22*Brand_Profile!$H$27,0)+IF(ISNUMBER(KOL_Source_Data!$AZ$22),KOL_Source_Data!$AZ$22*Brand_Profile!$H$28,0)+IF(ISNUMBER(KOL_Source_Data!$BA$22),KOL_Source_Data!$BA$22*Brand_Profile!$H$29,0)+IF(ISNUMBER(KOL_Source_Data!$BB$22),KOL_Source_Data!$BB$22*Brand_Profile!$H$30,0)+IF(ISNUMBER(KOL_Source_Data!$BC$22),KOL_Source_Data!$BC$22*Brand_Profile!$H$31,0)+IF(ISNUMBER(KOL_Source_Data!$BD$22),KOL_Source_Data!$BD$22*Brand_Profile!$H$32,0)+IF(ISNUMBER(KOL_Source_Data!$BE$22),KOL_Source_Data!$BE$22*Brand_Profile!$H$33,0)+IF(ISNUMBER(KOL_Source_Data!$BF$22),KOL_Source_Data!$BF$22*Brand_Profile!$H$34,0))/Lookup_Lists!$D$318*100,0)))</f>
      </c>
      <c r="S94" s="29">
        <f>IF((IF(ISNUMBER(Matching_Engine!$O$94),Lookup_Lists!$D$113,0)+IF(ISNUMBER(Matching_Engine!$P$94),Lookup_Lists!$D$114,0)+IF(ISNUMBER(Matching_Engine!$Q$94),Lookup_Lists!$D$115,0)+IF(ISNUMBER(Matching_Engine!$R$94),Lookup_Lists!$D$116,0))=0,"N/A",ROUND((IF(ISNUMBER(Matching_Engine!$O$94),Matching_Engine!$O$94*Lookup_Lists!$D$113,0)+IF(ISNUMBER(Matching_Engine!$P$94),Matching_Engine!$P$94*Lookup_Lists!$D$114,0)+IF(ISNUMBER(Matching_Engine!$Q$94),Matching_Engine!$Q$94*Lookup_Lists!$D$115,0)+IF(ISNUMBER(Matching_Engine!$R$94),Matching_Engine!$R$94*Lookup_Lists!$D$116,0))/(IF(ISNUMBER(Matching_Engine!$O$94),Lookup_Lists!$D$113,0)+IF(ISNUMBER(Matching_Engine!$P$94),Lookup_Lists!$D$114,0)+IF(ISNUMBER(Matching_Engine!$Q$94),Lookup_Lists!$D$115,0)+IF(ISNUMBER(Matching_Engine!$R$94),Lookup_Lists!$D$116,0)),0))</f>
      </c>
      <c r="T94" s="11">
        <f>IF(ISNUMBER(Matching_Engine!$S$94),1,0)</f>
      </c>
      <c r="U94" s="18">
        <f>IF(NOT(AND(ISTEXT(KOL_Source_Data!$M$22),KOL_Source_Data!$M$22&lt;&gt;"N/A")),Lookup_Lists!$D$150,IF(Brand_Profile!$H$7=KOL_Source_Data!$M$22,100,IFERROR(INDEX(Lookup_Lists!$B$349:$J$357,MATCH(Brand_Profile!$H$7,Lookup_Lists!$A$349:$A$357,0),MATCH(KOL_Source_Data!$M$22,Lookup_Lists!$B$348:$J$348,0)),Lookup_Lists!$D$151)))</f>
      </c>
      <c r="V94" s="18">
        <f>IF(NOT(AND(ISTEXT(KOL_Source_Data!$P$22),KOL_Source_Data!$P$22&lt;&gt;"N/A")),"N/A",IFERROR(INDEX(Lookup_Lists!$B$349:$J$357,MATCH(Brand_Profile!$H$7,Lookup_Lists!$A$349:$A$357,0),MATCH(KOL_Source_Data!$P$22,Lookup_Lists!$B$348:$J$348,0)),Lookup_Lists!$D$151))</f>
      </c>
      <c r="W94" s="18">
        <f>IF(LEN(TRIM(SUBSTITUTE(Matching_Engine!$BE$94,"|","")))=0,"N/A",IF(Brand_Profile!$H$60=0,Lookup_Lists!$D$150,ROUND((IF(Brand_Profile!$H$54="",0,IF(ISNUMBER(SEARCH(Brand_Profile!$H$54,Matching_Engine!$BE$94)),1,0))+IF(Brand_Profile!$H$55="",0,IF(ISNUMBER(SEARCH(Brand_Profile!$H$55,Matching_Engine!$BE$94)),1,0))+IF(Brand_Profile!$H$56="",0,IF(ISNUMBER(SEARCH(Brand_Profile!$H$56,Matching_Engine!$BE$94)),1,0))+IF(Brand_Profile!$H$57="",0,IF(ISNUMBER(SEARCH(Brand_Profile!$H$57,Matching_Engine!$BE$94)),1,0))+IF(Brand_Profile!$H$58="",0,IF(ISNUMBER(SEARCH(Brand_Profile!$H$58,Matching_Engine!$BE$94)),1,0))+IF(Brand_Profile!$H$59="",0,IF(ISNUMBER(SEARCH(Brand_Profile!$H$59,Matching_Engine!$BE$94)),1,0)))/Brand_Profile!$H$60*100,0)))</f>
      </c>
      <c r="X94" s="18">
        <f>IF(NOT(AND(ISTEXT(KOL_Source_Data!$Q$22),KOL_Source_Data!$Q$22&lt;&gt;"N/A")),"N/A",Lookup_Lists!$D$150)</f>
      </c>
      <c r="Y94" s="29">
        <f>IF((IF(ISNUMBER(Matching_Engine!$U$94),Lookup_Lists!$D$335,0)+IF(ISNUMBER(Matching_Engine!$V$94),Lookup_Lists!$D$122,0)+IF(ISNUMBER(Matching_Engine!$W$94),Lookup_Lists!$D$336,0)+IF(ISNUMBER(Matching_Engine!$X$94),Lookup_Lists!$D$124,0))=0,"N/A",ROUND((IF(ISNUMBER(Matching_Engine!$U$94),Matching_Engine!$U$94*Lookup_Lists!$D$335,0)+IF(ISNUMBER(Matching_Engine!$V$94),Matching_Engine!$V$94*Lookup_Lists!$D$122,0)+IF(ISNUMBER(Matching_Engine!$W$94),Matching_Engine!$W$94*Lookup_Lists!$D$336,0)+IF(ISNUMBER(Matching_Engine!$X$94),Matching_Engine!$X$94*Lookup_Lists!$D$124,0))/(IF(ISNUMBER(Matching_Engine!$U$94),Lookup_Lists!$D$335,0)+IF(ISNUMBER(Matching_Engine!$V$94),Lookup_Lists!$D$122,0)+IF(ISNUMBER(Matching_Engine!$W$94),Lookup_Lists!$D$336,0)+IF(ISNUMBER(Matching_Engine!$X$94),Lookup_Lists!$D$124,0)),0))</f>
      </c>
      <c r="Z94" s="11">
        <f>IF(ISNUMBER(Matching_Engine!$Y$94),1,0)</f>
      </c>
      <c r="AA94" s="18">
        <f>IF(NOT(AND(ISTEXT(KOL_Source_Data!$Q$22),KOL_Source_Data!$Q$22&lt;&gt;"N/A")),"N/A",Lookup_Lists!$D$150)</f>
      </c>
      <c r="AB94" s="18">
        <f>IF(NOT(AND(ISTEXT(KOL_Source_Data!$Q$22),KOL_Source_Data!$Q$22&lt;&gt;"N/A")),"N/A",Lookup_Lists!$D$150)</f>
      </c>
      <c r="AC94" s="18">
        <f>"N/A"</f>
      </c>
      <c r="AD94" s="18">
        <f>IF(NOT(AND(ISTEXT(KOL_Source_Data!$Q$22),KOL_Source_Data!$Q$22&lt;&gt;"N/A")),"N/A",Lookup_Lists!$D$150)</f>
      </c>
      <c r="AE94" s="29">
        <f>IF((IF(ISNUMBER(Matching_Engine!$AA$94),Lookup_Lists!$D$125,0)+IF(ISNUMBER(Matching_Engine!$AB$94),Lookup_Lists!$D$126,0)+IF(ISNUMBER(Matching_Engine!$AC$94),Lookup_Lists!$D$127,0)+IF(ISNUMBER(Matching_Engine!$AD$94),Lookup_Lists!$D$128,0))=0,"N/A",ROUND((IF(ISNUMBER(Matching_Engine!$AA$94),Matching_Engine!$AA$94*Lookup_Lists!$D$125,0)+IF(ISNUMBER(Matching_Engine!$AB$94),Matching_Engine!$AB$94*Lookup_Lists!$D$126,0)+IF(ISNUMBER(Matching_Engine!$AC$94),Matching_Engine!$AC$94*Lookup_Lists!$D$127,0)+IF(ISNUMBER(Matching_Engine!$AD$94),Matching_Engine!$AD$94*Lookup_Lists!$D$128,0))/(IF(ISNUMBER(Matching_Engine!$AA$94),Lookup_Lists!$D$125,0)+IF(ISNUMBER(Matching_Engine!$AB$94),Lookup_Lists!$D$126,0)+IF(ISNUMBER(Matching_Engine!$AC$94),Lookup_Lists!$D$127,0)+IF(ISNUMBER(Matching_Engine!$AD$94),Lookup_Lists!$D$128,0)),0))</f>
      </c>
      <c r="AF94" s="11">
        <f>IF(ISNUMBER(Matching_Engine!$AE$94),1,0)</f>
      </c>
      <c r="AG94" s="18">
        <f>IF(NOT(ISNUMBER(KOL_Source_Data!$BG$22)),"N/A",MIN(100,ROUND(KOL_Source_Data!$BG$22/IFERROR(INDEX(Lookup_Lists!$B$340:$B$344,MATCH(KOL_Source_Data!$H$22,Lookup_Lists!$A$340:$A$344,0)),Lookup_Lists!$D$141)*100,0)))</f>
      </c>
      <c r="AH94" s="18">
        <f>IF(NOT(ISNUMBER(KOL_Source_Data!$BS$22)),"N/A",MIN(100,MAX(0,KOL_Source_Data!$BS$22)))</f>
      </c>
      <c r="AI94" s="18">
        <f>IF(OR(NOT(ISNUMBER(KOL_Source_Data!$BM$22)),NOT(ISNUMBER(KOL_Source_Data!$BN$22)),KOL_Source_Data!$BN$22&lt;Lookup_Lists!$D$320),"N/A",MIN(100,ROUND(KOL_Source_Data!$BM$22/Lookup_Lists!$D$319*100,0)))</f>
      </c>
      <c r="AJ94" s="18">
        <f>IF(NOT(ISNUMBER(KOL_Source_Data!$BR$22)),"N/A",KOL_Source_Data!$BR$22)</f>
      </c>
      <c r="AK94" s="18">
        <f>IF(NOT(ISNUMBER(KOL_Source_Data!$BK$22)),"N/A",MIN(100,ROUND(KOL_Source_Data!$BK$22/Lookup_Lists!$D$321*100,0)))</f>
      </c>
      <c r="AL94" s="18">
        <f>IF(NOT(ISNUMBER(KOL_Source_Data!$BP$22)),"N/A",MIN(100,MAX(0,ROUND((KOL_Source_Data!$BP$22+2)/(Lookup_Lists!$D$145+2)*100,0))))</f>
      </c>
      <c r="AM94" s="29">
        <f>IF((IF(ISNUMBER(Matching_Engine!$AG$94),Lookup_Lists!$D$129,0)+IF(ISNUMBER(Matching_Engine!$AH$94),Lookup_Lists!$D$130,0)+IF(ISNUMBER(Matching_Engine!$AI$94),Lookup_Lists!$D$131,0)+IF(ISNUMBER(Matching_Engine!$AJ$94),Lookup_Lists!$D$132,0)+IF(ISNUMBER(Matching_Engine!$AK$94),Lookup_Lists!$D$133,0)+IF(ISNUMBER(Matching_Engine!$AL$94),Lookup_Lists!$D$134,0))=0,"N/A",ROUND((IF(ISNUMBER(Matching_Engine!$AG$94),Matching_Engine!$AG$94*Lookup_Lists!$D$129,0)+IF(ISNUMBER(Matching_Engine!$AH$94),Matching_Engine!$AH$94*Lookup_Lists!$D$130,0)+IF(ISNUMBER(Matching_Engine!$AI$94),Matching_Engine!$AI$94*Lookup_Lists!$D$131,0)+IF(ISNUMBER(Matching_Engine!$AJ$94),Matching_Engine!$AJ$94*Lookup_Lists!$D$132,0)+IF(ISNUMBER(Matching_Engine!$AK$94),Matching_Engine!$AK$94*Lookup_Lists!$D$133,0)+IF(ISNUMBER(Matching_Engine!$AL$94),Matching_Engine!$AL$94*Lookup_Lists!$D$134,0))/(IF(ISNUMBER(Matching_Engine!$AG$94),Lookup_Lists!$D$129,0)+IF(ISNUMBER(Matching_Engine!$AH$94),Lookup_Lists!$D$130,0)+IF(ISNUMBER(Matching_Engine!$AI$94),Lookup_Lists!$D$131,0)+IF(ISNUMBER(Matching_Engine!$AJ$94),Lookup_Lists!$D$132,0)+IF(ISNUMBER(Matching_Engine!$AK$94),Lookup_Lists!$D$133,0)+IF(ISNUMBER(Matching_Engine!$AL$94),Lookup_Lists!$D$134,0)),0))</f>
      </c>
      <c r="AN94" s="11">
        <f>IF(ISNUMBER(Matching_Engine!$AM$94),1,0)</f>
      </c>
      <c r="AO94" s="18">
        <f>IF(NOT(ISNUMBER(KOL_Source_Data!$BT$22)),"N/A",MIN(100,MAX(0,KOL_Source_Data!$BT$22)))</f>
      </c>
      <c r="AP94" s="18">
        <f>IF(NOT(ISNUMBER(KOL_Source_Data!$BU$22)),"N/A",MIN(100,MAX(0,KOL_Source_Data!$BU$22)))</f>
      </c>
      <c r="AQ94" s="18">
        <f>IF(KOL_Source_Data!$I$22="Yes",Lookup_Lists!$D$326,IF(KOL_Source_Data!$I$22="No",Lookup_Lists!$D$327,"N/A"))</f>
      </c>
      <c r="AR94" s="18">
        <f>IF(NOT(ISNUMBER(KOL_Source_Data!$BQ$22)),"N/A",MAX(0,ROUND(100-KOL_Source_Data!$BQ$22/Lookup_Lists!$D$328*100,0)))</f>
      </c>
      <c r="AS94" s="18">
        <f>IF(NOT(AND(ISTEXT(KOL_Source_Data!$BV$22),KOL_Source_Data!$BV$22&lt;&gt;"N/A")),"N/A",KOL_Source_Data!$BV$22)</f>
      </c>
      <c r="AT94" s="29">
        <f>IF((IF(ISNUMBER(Matching_Engine!$AO$94),Lookup_Lists!$D$322,0)+IF(ISNUMBER(Matching_Engine!$AP$94),Lookup_Lists!$D$323,0)+IF(ISNUMBER(Matching_Engine!$AQ$94),Lookup_Lists!$D$324,0)+IF(ISNUMBER(Matching_Engine!$AR$94),Lookup_Lists!$D$325,0))=0,"N/A",ROUND((IF(ISNUMBER(Matching_Engine!$AO$94),Matching_Engine!$AO$94*Lookup_Lists!$D$322,0)+IF(ISNUMBER(Matching_Engine!$AP$94),Matching_Engine!$AP$94*Lookup_Lists!$D$323,0)+IF(ISNUMBER(Matching_Engine!$AQ$94),Matching_Engine!$AQ$94*Lookup_Lists!$D$324,0)+IF(ISNUMBER(Matching_Engine!$AR$94),Matching_Engine!$AR$94*Lookup_Lists!$D$325,0))/(IF(ISNUMBER(Matching_Engine!$AO$94),Lookup_Lists!$D$322,0)+IF(ISNUMBER(Matching_Engine!$AP$94),Lookup_Lists!$D$323,0)+IF(ISNUMBER(Matching_Engine!$AQ$94),Lookup_Lists!$D$324,0)+IF(ISNUMBER(Matching_Engine!$AR$94),Lookup_Lists!$D$325,0)),0))</f>
      </c>
      <c r="AU94" s="11">
        <f>IF(ISNUMBER(Matching_Engine!$AT$94),1,0)</f>
      </c>
      <c r="AV94" s="11">
        <f>IF(NOT(ISNUMBER(Matching_Engine!$AT$94)),"Not Screened",IF(Matching_Engine!$AT$94&gt;=Lookup_Lists!$D$329,"Low Risk",IF(Matching_Engine!$AT$94&gt;=Lookup_Lists!$D$330,"Moderate Risk",IF(Matching_Engine!$AT$94&gt;=Lookup_Lists!$D$331,"Elevated Risk","High Risk"))))</f>
      </c>
      <c r="AW94" s="11">
        <f>IF(NOT(ISNUMBER(Matching_Engine!$AT$94)),"No integrity signal: no audience-analysis row for this account.","Integrity screen only — no content-risk reading exists (comments_analysis: 0 rows). "&amp;IF(ISNUMBER(Matching_Engine!$AO$94),"Authenticity "&amp;Matching_Engine!$AO$94&amp;". ","Authenticity N/A. ")&amp;IF(ISNUMBER(Matching_Engine!$AP$94),"Follower quality "&amp;Matching_Engine!$AP$94&amp;". ","Follower quality N/A. ")&amp;IF(KOL_Source_Data!$I$22="Yes","Platform-verified.","Not platform-verified."))</f>
      </c>
      <c r="AX94" s="18">
        <f>Matching_Engine!$N$94*Lookup_Lists!$D$104+Matching_Engine!$T$94*Lookup_Lists!$D$105+Matching_Engine!$Z$94*Lookup_Lists!$D$106+Matching_Engine!$AF$94*Lookup_Lists!$D$107+Matching_Engine!$AN$94*Lookup_Lists!$D$108+Matching_Engine!$AU$94*Lookup_Lists!$D$109</f>
      </c>
      <c r="AY94" s="30">
        <f>IF(Matching_Engine!$AX$94=0,"N/A",ROUND((IF(Matching_Engine!$N$94=1,Matching_Engine!$M$94*Lookup_Lists!$D$104,0)+IF(Matching_Engine!$T$94=1,Matching_Engine!$S$94*Lookup_Lists!$D$105,0)+IF(Matching_Engine!$Z$94=1,Matching_Engine!$Y$94*Lookup_Lists!$D$106,0)+IF(Matching_Engine!$AF$94=1,Matching_Engine!$AE$94*Lookup_Lists!$D$107,0)+IF(Matching_Engine!$AN$94=1,Matching_Engine!$AM$94*Lookup_Lists!$D$108,0)+IF(Matching_Engine!$AU$94=1,Matching_Engine!$AT$94*Lookup_Lists!$D$109,0))/Matching_Engine!$AX$94,0))</f>
      </c>
      <c r="AZ94" s="11">
        <f>IF(NOT(ISNUMBER(Matching_Engine!$AY$94)),"Not Scored",IF(Matching_Engine!$AY$94&gt;=Lookup_Lists!$D$152,"Excellent Match",IF(Matching_Engine!$AY$94&gt;=Lookup_Lists!$D$153,"Strong Match",IF(Matching_Engine!$AY$94&gt;=Lookup_Lists!$D$154,"Good Match",IF(Matching_Engine!$AY$94&gt;=Lookup_Lists!$D$155,"Moderate Match","Low Match")))))</f>
      </c>
      <c r="BA94" s="18">
        <f>KOL_Source_Data!$BW$22</f>
      </c>
      <c r="BB94" s="11">
        <f>KOL_Source_Data!$BX$22</f>
      </c>
      <c r="BC94" s="18">
        <f>IF(NOT(ISNUMBER(Matching_Engine!$AY$94)),-1,Matching_Engine!$AY$94*1000+8)</f>
      </c>
      <c r="BD94" s="11">
        <f>IF(AND(ISTEXT(KOL_Source_Data!$S$22),KOL_Source_Data!$S$22&lt;&gt;"N/A"),KOL_Source_Data!$S$22,"")&amp;" | "&amp;IF(AND(ISTEXT(KOL_Source_Data!$T$22),KOL_Source_Data!$T$22&lt;&gt;"N/A"),KOL_Source_Data!$T$22,"")&amp;" | "&amp;IF(AND(ISTEXT(KOL_Source_Data!$N$22),KOL_Source_Data!$N$22&lt;&gt;"N/A"),KOL_Source_Data!$N$22,"")&amp;" | "&amp;IF(AND(ISTEXT(KOL_Source_Data!$K$22),KOL_Source_Data!$K$22&lt;&gt;"N/A"),KOL_Source_Data!$K$22,"")&amp;" | "&amp;IF(AND(ISTEXT(KOL_Source_Data!$J$22),KOL_Source_Data!$J$22&lt;&gt;"N/A"),KOL_Source_Data!$J$22,"")</f>
      </c>
      <c r="BE94" s="11">
        <f>IF(AND(ISTEXT(KOL_Source_Data!$T$22),KOL_Source_Data!$T$22&lt;&gt;"N/A"),KOL_Source_Data!$T$22,"")&amp;" | "&amp;IF(AND(ISTEXT(KOL_Source_Data!$N$22),KOL_Source_Data!$N$22&lt;&gt;"N/A"),KOL_Source_Data!$N$22,"")&amp;" | "&amp;IF(AND(ISTEXT(KOL_Source_Data!$O$22),KOL_Source_Data!$O$22&lt;&gt;"N/A"),KOL_Source_Data!$O$22,"")&amp;" | "&amp;IF(AND(ISTEXT(KOL_Source_Data!$S$22),KOL_Source_Data!$S$22&lt;&gt;"N/A"),KOL_Source_Data!$S$22,"")</f>
      </c>
      <c r="BF94" s="11">
        <f>IF(AND(ISTEXT(KOL_Source_Data!$U$22),KOL_Source_Data!$U$22&lt;&gt;"N/A"),KOL_Source_Data!$U$22,"")</f>
      </c>
      <c r="BG94" s="11">
        <f>Matching_Engine!$A$94&amp;"|"&amp;Matching_Engine!$C$94</f>
      </c>
    </row>
    <row r="95" spans="1:59" x14ac:dyDescent="0.25">
      <c r="A95" s="10" t="s">
        <v>393</v>
      </c>
      <c r="B95" s="11">
        <f>Brand_Profile!$H$6</f>
      </c>
      <c r="C95" s="11">
        <f>KOL_Source_Data!$A$23</f>
      </c>
      <c r="D95" s="11">
        <f>KOL_Source_Data!$C$23</f>
      </c>
      <c r="E95" s="11">
        <f>KOL_Source_Data!$D$23</f>
      </c>
      <c r="F95" s="11">
        <f>KOL_Source_Data!$E$23</f>
      </c>
      <c r="G95" s="11">
        <f>KOL_Source_Data!$K$23</f>
      </c>
      <c r="H95" s="12">
        <f>KOL_Source_Data!$G$23</f>
      </c>
      <c r="I95" s="14">
        <f>KOL_Source_Data!$BG$23</f>
      </c>
      <c r="J95" s="18">
        <f>IF(NOT(AND(ISTEXT(KOL_Source_Data!$K$23),KOL_Source_Data!$K$23&lt;&gt;"N/A")),Lookup_Lists!$D$150,IF(Brand_Profile!$H$7=KOL_Source_Data!$K$23,100,IFERROR(INDEX(Lookup_Lists!$B$349:$J$357,MATCH(Brand_Profile!$H$7,Lookup_Lists!$A$349:$A$357,0),MATCH(KOL_Source_Data!$K$23,Lookup_Lists!$B$348:$J$348,0)),Lookup_Lists!$D$151)))</f>
      </c>
      <c r="K95" s="18">
        <f>IF(LEN(TRIM(SUBSTITUTE(Matching_Engine!$BD$95,"|","")))=0,"N/A",IF(Brand_Profile!$H$47=0,Lookup_Lists!$D$150,ROUND((IF(Brand_Profile!$H$41="",0,IF(ISNUMBER(SEARCH(Brand_Profile!$H$41,Matching_Engine!$BD$95)),1,0))+IF(Brand_Profile!$H$42="",0,IF(ISNUMBER(SEARCH(Brand_Profile!$H$42,Matching_Engine!$BD$95)),1,0))+IF(Brand_Profile!$H$43="",0,IF(ISNUMBER(SEARCH(Brand_Profile!$H$43,Matching_Engine!$BD$95)),1,0))+IF(Brand_Profile!$H$44="",0,IF(ISNUMBER(SEARCH(Brand_Profile!$H$44,Matching_Engine!$BD$95)),1,0))+IF(Brand_Profile!$H$45="",0,IF(ISNUMBER(SEARCH(Brand_Profile!$H$45,Matching_Engine!$BD$95)),1,0))+IF(Brand_Profile!$H$46="",0,IF(ISNUMBER(SEARCH(Brand_Profile!$H$46,Matching_Engine!$BD$95)),1,0)))/Brand_Profile!$H$47*100,0)))</f>
      </c>
      <c r="L95" s="18">
        <f>IF(NOT(AND(ISTEXT(KOL_Source_Data!$U$23),KOL_Source_Data!$U$23&lt;&gt;"N/A")),"N/A",IF(Brand_Profile!$H$53=0,Lookup_Lists!$D$150,ROUND((IF(Brand_Profile!$H$48="",0,IF(ISNUMBER(SEARCH(Brand_Profile!$H$48,Matching_Engine!$BF$95)),1,0))+IF(Brand_Profile!$H$49="",0,IF(ISNUMBER(SEARCH(Brand_Profile!$H$49,Matching_Engine!$BF$95)),1,0))+IF(Brand_Profile!$H$50="",0,IF(ISNUMBER(SEARCH(Brand_Profile!$H$50,Matching_Engine!$BF$95)),1,0))+IF(Brand_Profile!$H$51="",0,IF(ISNUMBER(SEARCH(Brand_Profile!$H$51,Matching_Engine!$BF$95)),1,0))+IF(Brand_Profile!$H$52="",0,IF(ISNUMBER(SEARCH(Brand_Profile!$H$52,Matching_Engine!$BF$95)),1,0)))/Brand_Profile!$H$53*100,0)))</f>
      </c>
      <c r="M95" s="29">
        <f>IF((IF(ISNUMBER(Matching_Engine!$J$95),Lookup_Lists!$D$332,0)+IF(ISNUMBER(Matching_Engine!$K$95),Lookup_Lists!$D$333,0)+IF(ISNUMBER(Matching_Engine!$L$95),Lookup_Lists!$D$334,0))=0,"N/A",ROUND((IF(ISNUMBER(Matching_Engine!$J$95),Matching_Engine!$J$95*Lookup_Lists!$D$332,0)+IF(ISNUMBER(Matching_Engine!$K$95),Matching_Engine!$K$95*Lookup_Lists!$D$333,0)+IF(ISNUMBER(Matching_Engine!$L$95),Matching_Engine!$L$95*Lookup_Lists!$D$334,0))/(IF(ISNUMBER(Matching_Engine!$J$95),Lookup_Lists!$D$332,0)+IF(ISNUMBER(Matching_Engine!$K$95),Lookup_Lists!$D$333,0)+IF(ISNUMBER(Matching_Engine!$L$95),Lookup_Lists!$D$334,0)),0))</f>
      </c>
      <c r="N95" s="11">
        <f>IF(ISNUMBER(Matching_Engine!$M$95),1,0)</f>
      </c>
      <c r="O95" s="18">
        <f>IF(NOT(ISNUMBER(IFERROR(INDEX(KOL_Source_Data!$V$23:KOL_Source_Data!$Z$23,1,MATCH(Brand_Profile!$H$11,Lookup_Lists!$F$6:$F$10,0)),""))),"N/A",MIN(100,ROUND((IFERROR(INDEX(KOL_Source_Data!$V$23:KOL_Source_Data!$Z$23,1,MATCH(Brand_Profile!$H$11,Lookup_Lists!$F$6:$F$10,0)),"")+0.5*IF(ISNUMBER(IFERROR(INDEX(KOL_Source_Data!$V$23:KOL_Source_Data!$Z$23,1,MATCH(Brand_Profile!$H$12,Lookup_Lists!$F$6:$F$10,0)),"")),IFERROR(INDEX(KOL_Source_Data!$V$23:KOL_Source_Data!$Z$23,1,MATCH(Brand_Profile!$H$12,Lookup_Lists!$F$6:$F$10,0)),""),0))/Lookup_Lists!$D$142*100,0)))</f>
      </c>
      <c r="P95" s="18">
        <f>IF(Brand_Profile!$H$13="Any",100,IF(NOT(ISNUMBER(KOL_Source_Data!$AA$23)),"N/A",IF(Brand_Profile!$H$13="Female",MIN(100,ROUND(KOL_Source_Data!$AA$23/Lookup_Lists!$D$143*100,0)),IF(Brand_Profile!$H$13="Male",MIN(100,ROUND(IF(ISNUMBER(KOL_Source_Data!$AB$23),KOL_Source_Data!$AB$23,100-KOL_Source_Data!$AA$23)/Lookup_Lists!$D$143*100,0)),MAX(0,ROUND(100-ABS(KOL_Source_Data!$AA$23-50)*2,0))))))</f>
      </c>
      <c r="Q95" s="18">
        <f>IF((IF(ISNUMBER(IF(NOT(ISNUMBER(KOL_Source_Data!$AE$23)),"N/A",IF(KOL_Source_Data!$AD$23&lt;&gt;Brand_Profile!$H$14,Lookup_Lists!$D$151,MIN(100,ROUND(KOL_Source_Data!$AE$23/Lookup_Lists!$D$316*100,0))))),Lookup_Lists!$D$118,0)+IF(ISNUMBER(IF(NOT(ISNUMBER(KOL_Source_Data!$AM$23)),"N/A",MIN(100,ROUND((IF(KOL_Source_Data!$AG$23=Brand_Profile!$H$15,IF(ISNUMBER(KOL_Source_Data!$AH$23),KOL_Source_Data!$AH$23,0),0)+IF(KOL_Source_Data!$AI$23=Brand_Profile!$H$15,IF(ISNUMBER(KOL_Source_Data!$AJ$23),KOL_Source_Data!$AJ$23,0),0)+IF(KOL_Source_Data!$AK$23=Brand_Profile!$H$15,IF(ISNUMBER(KOL_Source_Data!$AL$23),KOL_Source_Data!$AL$23,0),0))/Lookup_Lists!$D$317*100,0)))),Lookup_Lists!$D$120,0))=0,"N/A",ROUND((IF(ISNUMBER(IF(NOT(ISNUMBER(KOL_Source_Data!$AE$23)),"N/A",IF(KOL_Source_Data!$AD$23&lt;&gt;Brand_Profile!$H$14,Lookup_Lists!$D$151,MIN(100,ROUND(KOL_Source_Data!$AE$23/Lookup_Lists!$D$316*100,0))))),IF(NOT(ISNUMBER(KOL_Source_Data!$AE$23)),"N/A",IF(KOL_Source_Data!$AD$23&lt;&gt;Brand_Profile!$H$14,Lookup_Lists!$D$151,MIN(100,ROUND(KOL_Source_Data!$AE$23/Lookup_Lists!$D$316*100,0))))*Lookup_Lists!$D$118,0)+IF(ISNUMBER(IF(NOT(ISNUMBER(KOL_Source_Data!$AM$23)),"N/A",MIN(100,ROUND((IF(KOL_Source_Data!$AG$23=Brand_Profile!$H$15,IF(ISNUMBER(KOL_Source_Data!$AH$23),KOL_Source_Data!$AH$23,0),0)+IF(KOL_Source_Data!$AI$23=Brand_Profile!$H$15,IF(ISNUMBER(KOL_Source_Data!$AJ$23),KOL_Source_Data!$AJ$23,0),0)+IF(KOL_Source_Data!$AK$23=Brand_Profile!$H$15,IF(ISNUMBER(KOL_Source_Data!$AL$23),KOL_Source_Data!$AL$23,0),0))/Lookup_Lists!$D$317*100,0)))),IF(NOT(ISNUMBER(KOL_Source_Data!$AM$23)),"N/A",MIN(100,ROUND((IF(KOL_Source_Data!$AG$23=Brand_Profile!$H$15,IF(ISNUMBER(KOL_Source_Data!$AH$23),KOL_Source_Data!$AH$23,0),0)+IF(KOL_Source_Data!$AI$23=Brand_Profile!$H$15,IF(ISNUMBER(KOL_Source_Data!$AJ$23),KOL_Source_Data!$AJ$23,0),0)+IF(KOL_Source_Data!$AK$23=Brand_Profile!$H$15,IF(ISNUMBER(KOL_Source_Data!$AL$23),KOL_Source_Data!$AL$23,0),0))/Lookup_Lists!$D$317*100,0)))*Lookup_Lists!$D$120,0))/(IF(ISNUMBER(IF(NOT(ISNUMBER(KOL_Source_Data!$AE$23)),"N/A",IF(KOL_Source_Data!$AD$23&lt;&gt;Brand_Profile!$H$14,Lookup_Lists!$D$151,MIN(100,ROUND(KOL_Source_Data!$AE$23/Lookup_Lists!$D$316*100,0))))),Lookup_Lists!$D$118,0)+IF(ISNUMBER(IF(NOT(ISNUMBER(KOL_Source_Data!$AM$23)),"N/A",MIN(100,ROUND((IF(KOL_Source_Data!$AG$23=Brand_Profile!$H$15,IF(ISNUMBER(KOL_Source_Data!$AH$23),KOL_Source_Data!$AH$23,0),0)+IF(KOL_Source_Data!$AI$23=Brand_Profile!$H$15,IF(ISNUMBER(KOL_Source_Data!$AJ$23),KOL_Source_Data!$AJ$23,0),0)+IF(KOL_Source_Data!$AK$23=Brand_Profile!$H$15,IF(ISNUMBER(KOL_Source_Data!$AL$23),KOL_Source_Data!$AL$23,0),0))/Lookup_Lists!$D$317*100,0)))),Lookup_Lists!$D$120,0)),0))</f>
      </c>
      <c r="R95" s="18">
        <f>IF(NOT(ISNUMBER(KOL_Source_Data!$AN$23)),"N/A",MIN(100,ROUND((IF(ISNUMBER(KOL_Source_Data!$AO$23),KOL_Source_Data!$AO$23*Brand_Profile!$H$17,0)+IF(ISNUMBER(KOL_Source_Data!$AP$23),KOL_Source_Data!$AP$23*Brand_Profile!$H$18,0)+IF(ISNUMBER(KOL_Source_Data!$AQ$23),KOL_Source_Data!$AQ$23*Brand_Profile!$H$19,0)+IF(ISNUMBER(KOL_Source_Data!$AR$23),KOL_Source_Data!$AR$23*Brand_Profile!$H$20,0)+IF(ISNUMBER(KOL_Source_Data!$AS$23),KOL_Source_Data!$AS$23*Brand_Profile!$H$21,0)+IF(ISNUMBER(KOL_Source_Data!$AT$23),KOL_Source_Data!$AT$23*Brand_Profile!$H$22,0)+IF(ISNUMBER(KOL_Source_Data!$AU$23),KOL_Source_Data!$AU$23*Brand_Profile!$H$23,0)+IF(ISNUMBER(KOL_Source_Data!$AV$23),KOL_Source_Data!$AV$23*Brand_Profile!$H$24,0)+IF(ISNUMBER(KOL_Source_Data!$AW$23),KOL_Source_Data!$AW$23*Brand_Profile!$H$25,0)+IF(ISNUMBER(KOL_Source_Data!$AX$23),KOL_Source_Data!$AX$23*Brand_Profile!$H$26,0)+IF(ISNUMBER(KOL_Source_Data!$AY$23),KOL_Source_Data!$AY$23*Brand_Profile!$H$27,0)+IF(ISNUMBER(KOL_Source_Data!$AZ$23),KOL_Source_Data!$AZ$23*Brand_Profile!$H$28,0)+IF(ISNUMBER(KOL_Source_Data!$BA$23),KOL_Source_Data!$BA$23*Brand_Profile!$H$29,0)+IF(ISNUMBER(KOL_Source_Data!$BB$23),KOL_Source_Data!$BB$23*Brand_Profile!$H$30,0)+IF(ISNUMBER(KOL_Source_Data!$BC$23),KOL_Source_Data!$BC$23*Brand_Profile!$H$31,0)+IF(ISNUMBER(KOL_Source_Data!$BD$23),KOL_Source_Data!$BD$23*Brand_Profile!$H$32,0)+IF(ISNUMBER(KOL_Source_Data!$BE$23),KOL_Source_Data!$BE$23*Brand_Profile!$H$33,0)+IF(ISNUMBER(KOL_Source_Data!$BF$23),KOL_Source_Data!$BF$23*Brand_Profile!$H$34,0))/Lookup_Lists!$D$318*100,0)))</f>
      </c>
      <c r="S95" s="29">
        <f>IF((IF(ISNUMBER(Matching_Engine!$O$95),Lookup_Lists!$D$113,0)+IF(ISNUMBER(Matching_Engine!$P$95),Lookup_Lists!$D$114,0)+IF(ISNUMBER(Matching_Engine!$Q$95),Lookup_Lists!$D$115,0)+IF(ISNUMBER(Matching_Engine!$R$95),Lookup_Lists!$D$116,0))=0,"N/A",ROUND((IF(ISNUMBER(Matching_Engine!$O$95),Matching_Engine!$O$95*Lookup_Lists!$D$113,0)+IF(ISNUMBER(Matching_Engine!$P$95),Matching_Engine!$P$95*Lookup_Lists!$D$114,0)+IF(ISNUMBER(Matching_Engine!$Q$95),Matching_Engine!$Q$95*Lookup_Lists!$D$115,0)+IF(ISNUMBER(Matching_Engine!$R$95),Matching_Engine!$R$95*Lookup_Lists!$D$116,0))/(IF(ISNUMBER(Matching_Engine!$O$95),Lookup_Lists!$D$113,0)+IF(ISNUMBER(Matching_Engine!$P$95),Lookup_Lists!$D$114,0)+IF(ISNUMBER(Matching_Engine!$Q$95),Lookup_Lists!$D$115,0)+IF(ISNUMBER(Matching_Engine!$R$95),Lookup_Lists!$D$116,0)),0))</f>
      </c>
      <c r="T95" s="11">
        <f>IF(ISNUMBER(Matching_Engine!$S$95),1,0)</f>
      </c>
      <c r="U95" s="18">
        <f>IF(NOT(AND(ISTEXT(KOL_Source_Data!$M$23),KOL_Source_Data!$M$23&lt;&gt;"N/A")),Lookup_Lists!$D$150,IF(Brand_Profile!$H$7=KOL_Source_Data!$M$23,100,IFERROR(INDEX(Lookup_Lists!$B$349:$J$357,MATCH(Brand_Profile!$H$7,Lookup_Lists!$A$349:$A$357,0),MATCH(KOL_Source_Data!$M$23,Lookup_Lists!$B$348:$J$348,0)),Lookup_Lists!$D$151)))</f>
      </c>
      <c r="V95" s="18">
        <f>IF(NOT(AND(ISTEXT(KOL_Source_Data!$P$23),KOL_Source_Data!$P$23&lt;&gt;"N/A")),"N/A",IFERROR(INDEX(Lookup_Lists!$B$349:$J$357,MATCH(Brand_Profile!$H$7,Lookup_Lists!$A$349:$A$357,0),MATCH(KOL_Source_Data!$P$23,Lookup_Lists!$B$348:$J$348,0)),Lookup_Lists!$D$151))</f>
      </c>
      <c r="W95" s="18">
        <f>IF(LEN(TRIM(SUBSTITUTE(Matching_Engine!$BE$95,"|","")))=0,"N/A",IF(Brand_Profile!$H$60=0,Lookup_Lists!$D$150,ROUND((IF(Brand_Profile!$H$54="",0,IF(ISNUMBER(SEARCH(Brand_Profile!$H$54,Matching_Engine!$BE$95)),1,0))+IF(Brand_Profile!$H$55="",0,IF(ISNUMBER(SEARCH(Brand_Profile!$H$55,Matching_Engine!$BE$95)),1,0))+IF(Brand_Profile!$H$56="",0,IF(ISNUMBER(SEARCH(Brand_Profile!$H$56,Matching_Engine!$BE$95)),1,0))+IF(Brand_Profile!$H$57="",0,IF(ISNUMBER(SEARCH(Brand_Profile!$H$57,Matching_Engine!$BE$95)),1,0))+IF(Brand_Profile!$H$58="",0,IF(ISNUMBER(SEARCH(Brand_Profile!$H$58,Matching_Engine!$BE$95)),1,0))+IF(Brand_Profile!$H$59="",0,IF(ISNUMBER(SEARCH(Brand_Profile!$H$59,Matching_Engine!$BE$95)),1,0)))/Brand_Profile!$H$60*100,0)))</f>
      </c>
      <c r="X95" s="18">
        <f>IF(NOT(AND(ISTEXT(KOL_Source_Data!$Q$23),KOL_Source_Data!$Q$23&lt;&gt;"N/A")),"N/A",Lookup_Lists!$D$150)</f>
      </c>
      <c r="Y95" s="29">
        <f>IF((IF(ISNUMBER(Matching_Engine!$U$95),Lookup_Lists!$D$335,0)+IF(ISNUMBER(Matching_Engine!$V$95),Lookup_Lists!$D$122,0)+IF(ISNUMBER(Matching_Engine!$W$95),Lookup_Lists!$D$336,0)+IF(ISNUMBER(Matching_Engine!$X$95),Lookup_Lists!$D$124,0))=0,"N/A",ROUND((IF(ISNUMBER(Matching_Engine!$U$95),Matching_Engine!$U$95*Lookup_Lists!$D$335,0)+IF(ISNUMBER(Matching_Engine!$V$95),Matching_Engine!$V$95*Lookup_Lists!$D$122,0)+IF(ISNUMBER(Matching_Engine!$W$95),Matching_Engine!$W$95*Lookup_Lists!$D$336,0)+IF(ISNUMBER(Matching_Engine!$X$95),Matching_Engine!$X$95*Lookup_Lists!$D$124,0))/(IF(ISNUMBER(Matching_Engine!$U$95),Lookup_Lists!$D$335,0)+IF(ISNUMBER(Matching_Engine!$V$95),Lookup_Lists!$D$122,0)+IF(ISNUMBER(Matching_Engine!$W$95),Lookup_Lists!$D$336,0)+IF(ISNUMBER(Matching_Engine!$X$95),Lookup_Lists!$D$124,0)),0))</f>
      </c>
      <c r="Z95" s="11">
        <f>IF(ISNUMBER(Matching_Engine!$Y$95),1,0)</f>
      </c>
      <c r="AA95" s="18">
        <f>IF(NOT(AND(ISTEXT(KOL_Source_Data!$Q$23),KOL_Source_Data!$Q$23&lt;&gt;"N/A")),"N/A",Lookup_Lists!$D$150)</f>
      </c>
      <c r="AB95" s="18">
        <f>IF(NOT(AND(ISTEXT(KOL_Source_Data!$Q$23),KOL_Source_Data!$Q$23&lt;&gt;"N/A")),"N/A",Lookup_Lists!$D$150)</f>
      </c>
      <c r="AC95" s="18">
        <f>"N/A"</f>
      </c>
      <c r="AD95" s="18">
        <f>IF(NOT(AND(ISTEXT(KOL_Source_Data!$Q$23),KOL_Source_Data!$Q$23&lt;&gt;"N/A")),"N/A",Lookup_Lists!$D$150)</f>
      </c>
      <c r="AE95" s="29">
        <f>IF((IF(ISNUMBER(Matching_Engine!$AA$95),Lookup_Lists!$D$125,0)+IF(ISNUMBER(Matching_Engine!$AB$95),Lookup_Lists!$D$126,0)+IF(ISNUMBER(Matching_Engine!$AC$95),Lookup_Lists!$D$127,0)+IF(ISNUMBER(Matching_Engine!$AD$95),Lookup_Lists!$D$128,0))=0,"N/A",ROUND((IF(ISNUMBER(Matching_Engine!$AA$95),Matching_Engine!$AA$95*Lookup_Lists!$D$125,0)+IF(ISNUMBER(Matching_Engine!$AB$95),Matching_Engine!$AB$95*Lookup_Lists!$D$126,0)+IF(ISNUMBER(Matching_Engine!$AC$95),Matching_Engine!$AC$95*Lookup_Lists!$D$127,0)+IF(ISNUMBER(Matching_Engine!$AD$95),Matching_Engine!$AD$95*Lookup_Lists!$D$128,0))/(IF(ISNUMBER(Matching_Engine!$AA$95),Lookup_Lists!$D$125,0)+IF(ISNUMBER(Matching_Engine!$AB$95),Lookup_Lists!$D$126,0)+IF(ISNUMBER(Matching_Engine!$AC$95),Lookup_Lists!$D$127,0)+IF(ISNUMBER(Matching_Engine!$AD$95),Lookup_Lists!$D$128,0)),0))</f>
      </c>
      <c r="AF95" s="11">
        <f>IF(ISNUMBER(Matching_Engine!$AE$95),1,0)</f>
      </c>
      <c r="AG95" s="18">
        <f>IF(NOT(ISNUMBER(KOL_Source_Data!$BG$23)),"N/A",MIN(100,ROUND(KOL_Source_Data!$BG$23/IFERROR(INDEX(Lookup_Lists!$B$340:$B$344,MATCH(KOL_Source_Data!$H$23,Lookup_Lists!$A$340:$A$344,0)),Lookup_Lists!$D$141)*100,0)))</f>
      </c>
      <c r="AH95" s="18">
        <f>IF(NOT(ISNUMBER(KOL_Source_Data!$BS$23)),"N/A",MIN(100,MAX(0,KOL_Source_Data!$BS$23)))</f>
      </c>
      <c r="AI95" s="18">
        <f>IF(OR(NOT(ISNUMBER(KOL_Source_Data!$BM$23)),NOT(ISNUMBER(KOL_Source_Data!$BN$23)),KOL_Source_Data!$BN$23&lt;Lookup_Lists!$D$320),"N/A",MIN(100,ROUND(KOL_Source_Data!$BM$23/Lookup_Lists!$D$319*100,0)))</f>
      </c>
      <c r="AJ95" s="18">
        <f>IF(NOT(ISNUMBER(KOL_Source_Data!$BR$23)),"N/A",KOL_Source_Data!$BR$23)</f>
      </c>
      <c r="AK95" s="18">
        <f>IF(NOT(ISNUMBER(KOL_Source_Data!$BK$23)),"N/A",MIN(100,ROUND(KOL_Source_Data!$BK$23/Lookup_Lists!$D$321*100,0)))</f>
      </c>
      <c r="AL95" s="18">
        <f>IF(NOT(ISNUMBER(KOL_Source_Data!$BP$23)),"N/A",MIN(100,MAX(0,ROUND((KOL_Source_Data!$BP$23+2)/(Lookup_Lists!$D$145+2)*100,0))))</f>
      </c>
      <c r="AM95" s="29">
        <f>IF((IF(ISNUMBER(Matching_Engine!$AG$95),Lookup_Lists!$D$129,0)+IF(ISNUMBER(Matching_Engine!$AH$95),Lookup_Lists!$D$130,0)+IF(ISNUMBER(Matching_Engine!$AI$95),Lookup_Lists!$D$131,0)+IF(ISNUMBER(Matching_Engine!$AJ$95),Lookup_Lists!$D$132,0)+IF(ISNUMBER(Matching_Engine!$AK$95),Lookup_Lists!$D$133,0)+IF(ISNUMBER(Matching_Engine!$AL$95),Lookup_Lists!$D$134,0))=0,"N/A",ROUND((IF(ISNUMBER(Matching_Engine!$AG$95),Matching_Engine!$AG$95*Lookup_Lists!$D$129,0)+IF(ISNUMBER(Matching_Engine!$AH$95),Matching_Engine!$AH$95*Lookup_Lists!$D$130,0)+IF(ISNUMBER(Matching_Engine!$AI$95),Matching_Engine!$AI$95*Lookup_Lists!$D$131,0)+IF(ISNUMBER(Matching_Engine!$AJ$95),Matching_Engine!$AJ$95*Lookup_Lists!$D$132,0)+IF(ISNUMBER(Matching_Engine!$AK$95),Matching_Engine!$AK$95*Lookup_Lists!$D$133,0)+IF(ISNUMBER(Matching_Engine!$AL$95),Matching_Engine!$AL$95*Lookup_Lists!$D$134,0))/(IF(ISNUMBER(Matching_Engine!$AG$95),Lookup_Lists!$D$129,0)+IF(ISNUMBER(Matching_Engine!$AH$95),Lookup_Lists!$D$130,0)+IF(ISNUMBER(Matching_Engine!$AI$95),Lookup_Lists!$D$131,0)+IF(ISNUMBER(Matching_Engine!$AJ$95),Lookup_Lists!$D$132,0)+IF(ISNUMBER(Matching_Engine!$AK$95),Lookup_Lists!$D$133,0)+IF(ISNUMBER(Matching_Engine!$AL$95),Lookup_Lists!$D$134,0)),0))</f>
      </c>
      <c r="AN95" s="11">
        <f>IF(ISNUMBER(Matching_Engine!$AM$95),1,0)</f>
      </c>
      <c r="AO95" s="18">
        <f>IF(NOT(ISNUMBER(KOL_Source_Data!$BT$23)),"N/A",MIN(100,MAX(0,KOL_Source_Data!$BT$23)))</f>
      </c>
      <c r="AP95" s="18">
        <f>IF(NOT(ISNUMBER(KOL_Source_Data!$BU$23)),"N/A",MIN(100,MAX(0,KOL_Source_Data!$BU$23)))</f>
      </c>
      <c r="AQ95" s="18">
        <f>IF(KOL_Source_Data!$I$23="Yes",Lookup_Lists!$D$326,IF(KOL_Source_Data!$I$23="No",Lookup_Lists!$D$327,"N/A"))</f>
      </c>
      <c r="AR95" s="18">
        <f>IF(NOT(ISNUMBER(KOL_Source_Data!$BQ$23)),"N/A",MAX(0,ROUND(100-KOL_Source_Data!$BQ$23/Lookup_Lists!$D$328*100,0)))</f>
      </c>
      <c r="AS95" s="18">
        <f>IF(NOT(AND(ISTEXT(KOL_Source_Data!$BV$23),KOL_Source_Data!$BV$23&lt;&gt;"N/A")),"N/A",KOL_Source_Data!$BV$23)</f>
      </c>
      <c r="AT95" s="29">
        <f>IF((IF(ISNUMBER(Matching_Engine!$AO$95),Lookup_Lists!$D$322,0)+IF(ISNUMBER(Matching_Engine!$AP$95),Lookup_Lists!$D$323,0)+IF(ISNUMBER(Matching_Engine!$AQ$95),Lookup_Lists!$D$324,0)+IF(ISNUMBER(Matching_Engine!$AR$95),Lookup_Lists!$D$325,0))=0,"N/A",ROUND((IF(ISNUMBER(Matching_Engine!$AO$95),Matching_Engine!$AO$95*Lookup_Lists!$D$322,0)+IF(ISNUMBER(Matching_Engine!$AP$95),Matching_Engine!$AP$95*Lookup_Lists!$D$323,0)+IF(ISNUMBER(Matching_Engine!$AQ$95),Matching_Engine!$AQ$95*Lookup_Lists!$D$324,0)+IF(ISNUMBER(Matching_Engine!$AR$95),Matching_Engine!$AR$95*Lookup_Lists!$D$325,0))/(IF(ISNUMBER(Matching_Engine!$AO$95),Lookup_Lists!$D$322,0)+IF(ISNUMBER(Matching_Engine!$AP$95),Lookup_Lists!$D$323,0)+IF(ISNUMBER(Matching_Engine!$AQ$95),Lookup_Lists!$D$324,0)+IF(ISNUMBER(Matching_Engine!$AR$95),Lookup_Lists!$D$325,0)),0))</f>
      </c>
      <c r="AU95" s="11">
        <f>IF(ISNUMBER(Matching_Engine!$AT$95),1,0)</f>
      </c>
      <c r="AV95" s="11">
        <f>IF(NOT(ISNUMBER(Matching_Engine!$AT$95)),"Not Screened",IF(Matching_Engine!$AT$95&gt;=Lookup_Lists!$D$329,"Low Risk",IF(Matching_Engine!$AT$95&gt;=Lookup_Lists!$D$330,"Moderate Risk",IF(Matching_Engine!$AT$95&gt;=Lookup_Lists!$D$331,"Elevated Risk","High Risk"))))</f>
      </c>
      <c r="AW95" s="11">
        <f>IF(NOT(ISNUMBER(Matching_Engine!$AT$95)),"No integrity signal: no audience-analysis row for this account.","Integrity screen only — no content-risk reading exists (comments_analysis: 0 rows). "&amp;IF(ISNUMBER(Matching_Engine!$AO$95),"Authenticity "&amp;Matching_Engine!$AO$95&amp;". ","Authenticity N/A. ")&amp;IF(ISNUMBER(Matching_Engine!$AP$95),"Follower quality "&amp;Matching_Engine!$AP$95&amp;". ","Follower quality N/A. ")&amp;IF(KOL_Source_Data!$I$23="Yes","Platform-verified.","Not platform-verified."))</f>
      </c>
      <c r="AX95" s="18">
        <f>Matching_Engine!$N$95*Lookup_Lists!$D$104+Matching_Engine!$T$95*Lookup_Lists!$D$105+Matching_Engine!$Z$95*Lookup_Lists!$D$106+Matching_Engine!$AF$95*Lookup_Lists!$D$107+Matching_Engine!$AN$95*Lookup_Lists!$D$108+Matching_Engine!$AU$95*Lookup_Lists!$D$109</f>
      </c>
      <c r="AY95" s="30">
        <f>IF(Matching_Engine!$AX$95=0,"N/A",ROUND((IF(Matching_Engine!$N$95=1,Matching_Engine!$M$95*Lookup_Lists!$D$104,0)+IF(Matching_Engine!$T$95=1,Matching_Engine!$S$95*Lookup_Lists!$D$105,0)+IF(Matching_Engine!$Z$95=1,Matching_Engine!$Y$95*Lookup_Lists!$D$106,0)+IF(Matching_Engine!$AF$95=1,Matching_Engine!$AE$95*Lookup_Lists!$D$107,0)+IF(Matching_Engine!$AN$95=1,Matching_Engine!$AM$95*Lookup_Lists!$D$108,0)+IF(Matching_Engine!$AU$95=1,Matching_Engine!$AT$95*Lookup_Lists!$D$109,0))/Matching_Engine!$AX$95,0))</f>
      </c>
      <c r="AZ95" s="11">
        <f>IF(NOT(ISNUMBER(Matching_Engine!$AY$95)),"Not Scored",IF(Matching_Engine!$AY$95&gt;=Lookup_Lists!$D$152,"Excellent Match",IF(Matching_Engine!$AY$95&gt;=Lookup_Lists!$D$153,"Strong Match",IF(Matching_Engine!$AY$95&gt;=Lookup_Lists!$D$154,"Good Match",IF(Matching_Engine!$AY$95&gt;=Lookup_Lists!$D$155,"Moderate Match","Low Match")))))</f>
      </c>
      <c r="BA95" s="18">
        <f>KOL_Source_Data!$BW$23</f>
      </c>
      <c r="BB95" s="11">
        <f>KOL_Source_Data!$BX$23</f>
      </c>
      <c r="BC95" s="18">
        <f>IF(NOT(ISNUMBER(Matching_Engine!$AY$95)),-1,Matching_Engine!$AY$95*1000+7)</f>
      </c>
      <c r="BD95" s="11">
        <f>IF(AND(ISTEXT(KOL_Source_Data!$S$23),KOL_Source_Data!$S$23&lt;&gt;"N/A"),KOL_Source_Data!$S$23,"")&amp;" | "&amp;IF(AND(ISTEXT(KOL_Source_Data!$T$23),KOL_Source_Data!$T$23&lt;&gt;"N/A"),KOL_Source_Data!$T$23,"")&amp;" | "&amp;IF(AND(ISTEXT(KOL_Source_Data!$N$23),KOL_Source_Data!$N$23&lt;&gt;"N/A"),KOL_Source_Data!$N$23,"")&amp;" | "&amp;IF(AND(ISTEXT(KOL_Source_Data!$K$23),KOL_Source_Data!$K$23&lt;&gt;"N/A"),KOL_Source_Data!$K$23,"")&amp;" | "&amp;IF(AND(ISTEXT(KOL_Source_Data!$J$23),KOL_Source_Data!$J$23&lt;&gt;"N/A"),KOL_Source_Data!$J$23,"")</f>
      </c>
      <c r="BE95" s="11">
        <f>IF(AND(ISTEXT(KOL_Source_Data!$T$23),KOL_Source_Data!$T$23&lt;&gt;"N/A"),KOL_Source_Data!$T$23,"")&amp;" | "&amp;IF(AND(ISTEXT(KOL_Source_Data!$N$23),KOL_Source_Data!$N$23&lt;&gt;"N/A"),KOL_Source_Data!$N$23,"")&amp;" | "&amp;IF(AND(ISTEXT(KOL_Source_Data!$O$23),KOL_Source_Data!$O$23&lt;&gt;"N/A"),KOL_Source_Data!$O$23,"")&amp;" | "&amp;IF(AND(ISTEXT(KOL_Source_Data!$S$23),KOL_Source_Data!$S$23&lt;&gt;"N/A"),KOL_Source_Data!$S$23,"")</f>
      </c>
      <c r="BF95" s="11">
        <f>IF(AND(ISTEXT(KOL_Source_Data!$U$23),KOL_Source_Data!$U$23&lt;&gt;"N/A"),KOL_Source_Data!$U$23,"")</f>
      </c>
      <c r="BG95" s="11">
        <f>Matching_Engine!$A$95&amp;"|"&amp;Matching_Engine!$C$95</f>
      </c>
    </row>
    <row r="96" spans="1:59" x14ac:dyDescent="0.25">
      <c r="A96" s="10" t="s">
        <v>393</v>
      </c>
      <c r="B96" s="11">
        <f>Brand_Profile!$H$6</f>
      </c>
      <c r="C96" s="11">
        <f>KOL_Source_Data!$A$24</f>
      </c>
      <c r="D96" s="11">
        <f>KOL_Source_Data!$C$24</f>
      </c>
      <c r="E96" s="11">
        <f>KOL_Source_Data!$D$24</f>
      </c>
      <c r="F96" s="11">
        <f>KOL_Source_Data!$E$24</f>
      </c>
      <c r="G96" s="11">
        <f>KOL_Source_Data!$K$24</f>
      </c>
      <c r="H96" s="12">
        <f>KOL_Source_Data!$G$24</f>
      </c>
      <c r="I96" s="14">
        <f>KOL_Source_Data!$BG$24</f>
      </c>
      <c r="J96" s="18">
        <f>IF(NOT(AND(ISTEXT(KOL_Source_Data!$K$24),KOL_Source_Data!$K$24&lt;&gt;"N/A")),Lookup_Lists!$D$150,IF(Brand_Profile!$H$7=KOL_Source_Data!$K$24,100,IFERROR(INDEX(Lookup_Lists!$B$349:$J$357,MATCH(Brand_Profile!$H$7,Lookup_Lists!$A$349:$A$357,0),MATCH(KOL_Source_Data!$K$24,Lookup_Lists!$B$348:$J$348,0)),Lookup_Lists!$D$151)))</f>
      </c>
      <c r="K96" s="18">
        <f>IF(LEN(TRIM(SUBSTITUTE(Matching_Engine!$BD$96,"|","")))=0,"N/A",IF(Brand_Profile!$H$47=0,Lookup_Lists!$D$150,ROUND((IF(Brand_Profile!$H$41="",0,IF(ISNUMBER(SEARCH(Brand_Profile!$H$41,Matching_Engine!$BD$96)),1,0))+IF(Brand_Profile!$H$42="",0,IF(ISNUMBER(SEARCH(Brand_Profile!$H$42,Matching_Engine!$BD$96)),1,0))+IF(Brand_Profile!$H$43="",0,IF(ISNUMBER(SEARCH(Brand_Profile!$H$43,Matching_Engine!$BD$96)),1,0))+IF(Brand_Profile!$H$44="",0,IF(ISNUMBER(SEARCH(Brand_Profile!$H$44,Matching_Engine!$BD$96)),1,0))+IF(Brand_Profile!$H$45="",0,IF(ISNUMBER(SEARCH(Brand_Profile!$H$45,Matching_Engine!$BD$96)),1,0))+IF(Brand_Profile!$H$46="",0,IF(ISNUMBER(SEARCH(Brand_Profile!$H$46,Matching_Engine!$BD$96)),1,0)))/Brand_Profile!$H$47*100,0)))</f>
      </c>
      <c r="L96" s="18">
        <f>IF(NOT(AND(ISTEXT(KOL_Source_Data!$U$24),KOL_Source_Data!$U$24&lt;&gt;"N/A")),"N/A",IF(Brand_Profile!$H$53=0,Lookup_Lists!$D$150,ROUND((IF(Brand_Profile!$H$48="",0,IF(ISNUMBER(SEARCH(Brand_Profile!$H$48,Matching_Engine!$BF$96)),1,0))+IF(Brand_Profile!$H$49="",0,IF(ISNUMBER(SEARCH(Brand_Profile!$H$49,Matching_Engine!$BF$96)),1,0))+IF(Brand_Profile!$H$50="",0,IF(ISNUMBER(SEARCH(Brand_Profile!$H$50,Matching_Engine!$BF$96)),1,0))+IF(Brand_Profile!$H$51="",0,IF(ISNUMBER(SEARCH(Brand_Profile!$H$51,Matching_Engine!$BF$96)),1,0))+IF(Brand_Profile!$H$52="",0,IF(ISNUMBER(SEARCH(Brand_Profile!$H$52,Matching_Engine!$BF$96)),1,0)))/Brand_Profile!$H$53*100,0)))</f>
      </c>
      <c r="M96" s="29">
        <f>IF((IF(ISNUMBER(Matching_Engine!$J$96),Lookup_Lists!$D$332,0)+IF(ISNUMBER(Matching_Engine!$K$96),Lookup_Lists!$D$333,0)+IF(ISNUMBER(Matching_Engine!$L$96),Lookup_Lists!$D$334,0))=0,"N/A",ROUND((IF(ISNUMBER(Matching_Engine!$J$96),Matching_Engine!$J$96*Lookup_Lists!$D$332,0)+IF(ISNUMBER(Matching_Engine!$K$96),Matching_Engine!$K$96*Lookup_Lists!$D$333,0)+IF(ISNUMBER(Matching_Engine!$L$96),Matching_Engine!$L$96*Lookup_Lists!$D$334,0))/(IF(ISNUMBER(Matching_Engine!$J$96),Lookup_Lists!$D$332,0)+IF(ISNUMBER(Matching_Engine!$K$96),Lookup_Lists!$D$333,0)+IF(ISNUMBER(Matching_Engine!$L$96),Lookup_Lists!$D$334,0)),0))</f>
      </c>
      <c r="N96" s="11">
        <f>IF(ISNUMBER(Matching_Engine!$M$96),1,0)</f>
      </c>
      <c r="O96" s="18">
        <f>IF(NOT(ISNUMBER(IFERROR(INDEX(KOL_Source_Data!$V$24:KOL_Source_Data!$Z$24,1,MATCH(Brand_Profile!$H$11,Lookup_Lists!$F$6:$F$10,0)),""))),"N/A",MIN(100,ROUND((IFERROR(INDEX(KOL_Source_Data!$V$24:KOL_Source_Data!$Z$24,1,MATCH(Brand_Profile!$H$11,Lookup_Lists!$F$6:$F$10,0)),"")+0.5*IF(ISNUMBER(IFERROR(INDEX(KOL_Source_Data!$V$24:KOL_Source_Data!$Z$24,1,MATCH(Brand_Profile!$H$12,Lookup_Lists!$F$6:$F$10,0)),"")),IFERROR(INDEX(KOL_Source_Data!$V$24:KOL_Source_Data!$Z$24,1,MATCH(Brand_Profile!$H$12,Lookup_Lists!$F$6:$F$10,0)),""),0))/Lookup_Lists!$D$142*100,0)))</f>
      </c>
      <c r="P96" s="18">
        <f>IF(Brand_Profile!$H$13="Any",100,IF(NOT(ISNUMBER(KOL_Source_Data!$AA$24)),"N/A",IF(Brand_Profile!$H$13="Female",MIN(100,ROUND(KOL_Source_Data!$AA$24/Lookup_Lists!$D$143*100,0)),IF(Brand_Profile!$H$13="Male",MIN(100,ROUND(IF(ISNUMBER(KOL_Source_Data!$AB$24),KOL_Source_Data!$AB$24,100-KOL_Source_Data!$AA$24)/Lookup_Lists!$D$143*100,0)),MAX(0,ROUND(100-ABS(KOL_Source_Data!$AA$24-50)*2,0))))))</f>
      </c>
      <c r="Q96" s="18">
        <f>IF((IF(ISNUMBER(IF(NOT(ISNUMBER(KOL_Source_Data!$AE$24)),"N/A",IF(KOL_Source_Data!$AD$24&lt;&gt;Brand_Profile!$H$14,Lookup_Lists!$D$151,MIN(100,ROUND(KOL_Source_Data!$AE$24/Lookup_Lists!$D$316*100,0))))),Lookup_Lists!$D$118,0)+IF(ISNUMBER(IF(NOT(ISNUMBER(KOL_Source_Data!$AM$24)),"N/A",MIN(100,ROUND((IF(KOL_Source_Data!$AG$24=Brand_Profile!$H$15,IF(ISNUMBER(KOL_Source_Data!$AH$24),KOL_Source_Data!$AH$24,0),0)+IF(KOL_Source_Data!$AI$24=Brand_Profile!$H$15,IF(ISNUMBER(KOL_Source_Data!$AJ$24),KOL_Source_Data!$AJ$24,0),0)+IF(KOL_Source_Data!$AK$24=Brand_Profile!$H$15,IF(ISNUMBER(KOL_Source_Data!$AL$24),KOL_Source_Data!$AL$24,0),0))/Lookup_Lists!$D$317*100,0)))),Lookup_Lists!$D$120,0))=0,"N/A",ROUND((IF(ISNUMBER(IF(NOT(ISNUMBER(KOL_Source_Data!$AE$24)),"N/A",IF(KOL_Source_Data!$AD$24&lt;&gt;Brand_Profile!$H$14,Lookup_Lists!$D$151,MIN(100,ROUND(KOL_Source_Data!$AE$24/Lookup_Lists!$D$316*100,0))))),IF(NOT(ISNUMBER(KOL_Source_Data!$AE$24)),"N/A",IF(KOL_Source_Data!$AD$24&lt;&gt;Brand_Profile!$H$14,Lookup_Lists!$D$151,MIN(100,ROUND(KOL_Source_Data!$AE$24/Lookup_Lists!$D$316*100,0))))*Lookup_Lists!$D$118,0)+IF(ISNUMBER(IF(NOT(ISNUMBER(KOL_Source_Data!$AM$24)),"N/A",MIN(100,ROUND((IF(KOL_Source_Data!$AG$24=Brand_Profile!$H$15,IF(ISNUMBER(KOL_Source_Data!$AH$24),KOL_Source_Data!$AH$24,0),0)+IF(KOL_Source_Data!$AI$24=Brand_Profile!$H$15,IF(ISNUMBER(KOL_Source_Data!$AJ$24),KOL_Source_Data!$AJ$24,0),0)+IF(KOL_Source_Data!$AK$24=Brand_Profile!$H$15,IF(ISNUMBER(KOL_Source_Data!$AL$24),KOL_Source_Data!$AL$24,0),0))/Lookup_Lists!$D$317*100,0)))),IF(NOT(ISNUMBER(KOL_Source_Data!$AM$24)),"N/A",MIN(100,ROUND((IF(KOL_Source_Data!$AG$24=Brand_Profile!$H$15,IF(ISNUMBER(KOL_Source_Data!$AH$24),KOL_Source_Data!$AH$24,0),0)+IF(KOL_Source_Data!$AI$24=Brand_Profile!$H$15,IF(ISNUMBER(KOL_Source_Data!$AJ$24),KOL_Source_Data!$AJ$24,0),0)+IF(KOL_Source_Data!$AK$24=Brand_Profile!$H$15,IF(ISNUMBER(KOL_Source_Data!$AL$24),KOL_Source_Data!$AL$24,0),0))/Lookup_Lists!$D$317*100,0)))*Lookup_Lists!$D$120,0))/(IF(ISNUMBER(IF(NOT(ISNUMBER(KOL_Source_Data!$AE$24)),"N/A",IF(KOL_Source_Data!$AD$24&lt;&gt;Brand_Profile!$H$14,Lookup_Lists!$D$151,MIN(100,ROUND(KOL_Source_Data!$AE$24/Lookup_Lists!$D$316*100,0))))),Lookup_Lists!$D$118,0)+IF(ISNUMBER(IF(NOT(ISNUMBER(KOL_Source_Data!$AM$24)),"N/A",MIN(100,ROUND((IF(KOL_Source_Data!$AG$24=Brand_Profile!$H$15,IF(ISNUMBER(KOL_Source_Data!$AH$24),KOL_Source_Data!$AH$24,0),0)+IF(KOL_Source_Data!$AI$24=Brand_Profile!$H$15,IF(ISNUMBER(KOL_Source_Data!$AJ$24),KOL_Source_Data!$AJ$24,0),0)+IF(KOL_Source_Data!$AK$24=Brand_Profile!$H$15,IF(ISNUMBER(KOL_Source_Data!$AL$24),KOL_Source_Data!$AL$24,0),0))/Lookup_Lists!$D$317*100,0)))),Lookup_Lists!$D$120,0)),0))</f>
      </c>
      <c r="R96" s="18">
        <f>IF(NOT(ISNUMBER(KOL_Source_Data!$AN$24)),"N/A",MIN(100,ROUND((IF(ISNUMBER(KOL_Source_Data!$AO$24),KOL_Source_Data!$AO$24*Brand_Profile!$H$17,0)+IF(ISNUMBER(KOL_Source_Data!$AP$24),KOL_Source_Data!$AP$24*Brand_Profile!$H$18,0)+IF(ISNUMBER(KOL_Source_Data!$AQ$24),KOL_Source_Data!$AQ$24*Brand_Profile!$H$19,0)+IF(ISNUMBER(KOL_Source_Data!$AR$24),KOL_Source_Data!$AR$24*Brand_Profile!$H$20,0)+IF(ISNUMBER(KOL_Source_Data!$AS$24),KOL_Source_Data!$AS$24*Brand_Profile!$H$21,0)+IF(ISNUMBER(KOL_Source_Data!$AT$24),KOL_Source_Data!$AT$24*Brand_Profile!$H$22,0)+IF(ISNUMBER(KOL_Source_Data!$AU$24),KOL_Source_Data!$AU$24*Brand_Profile!$H$23,0)+IF(ISNUMBER(KOL_Source_Data!$AV$24),KOL_Source_Data!$AV$24*Brand_Profile!$H$24,0)+IF(ISNUMBER(KOL_Source_Data!$AW$24),KOL_Source_Data!$AW$24*Brand_Profile!$H$25,0)+IF(ISNUMBER(KOL_Source_Data!$AX$24),KOL_Source_Data!$AX$24*Brand_Profile!$H$26,0)+IF(ISNUMBER(KOL_Source_Data!$AY$24),KOL_Source_Data!$AY$24*Brand_Profile!$H$27,0)+IF(ISNUMBER(KOL_Source_Data!$AZ$24),KOL_Source_Data!$AZ$24*Brand_Profile!$H$28,0)+IF(ISNUMBER(KOL_Source_Data!$BA$24),KOL_Source_Data!$BA$24*Brand_Profile!$H$29,0)+IF(ISNUMBER(KOL_Source_Data!$BB$24),KOL_Source_Data!$BB$24*Brand_Profile!$H$30,0)+IF(ISNUMBER(KOL_Source_Data!$BC$24),KOL_Source_Data!$BC$24*Brand_Profile!$H$31,0)+IF(ISNUMBER(KOL_Source_Data!$BD$24),KOL_Source_Data!$BD$24*Brand_Profile!$H$32,0)+IF(ISNUMBER(KOL_Source_Data!$BE$24),KOL_Source_Data!$BE$24*Brand_Profile!$H$33,0)+IF(ISNUMBER(KOL_Source_Data!$BF$24),KOL_Source_Data!$BF$24*Brand_Profile!$H$34,0))/Lookup_Lists!$D$318*100,0)))</f>
      </c>
      <c r="S96" s="29">
        <f>IF((IF(ISNUMBER(Matching_Engine!$O$96),Lookup_Lists!$D$113,0)+IF(ISNUMBER(Matching_Engine!$P$96),Lookup_Lists!$D$114,0)+IF(ISNUMBER(Matching_Engine!$Q$96),Lookup_Lists!$D$115,0)+IF(ISNUMBER(Matching_Engine!$R$96),Lookup_Lists!$D$116,0))=0,"N/A",ROUND((IF(ISNUMBER(Matching_Engine!$O$96),Matching_Engine!$O$96*Lookup_Lists!$D$113,0)+IF(ISNUMBER(Matching_Engine!$P$96),Matching_Engine!$P$96*Lookup_Lists!$D$114,0)+IF(ISNUMBER(Matching_Engine!$Q$96),Matching_Engine!$Q$96*Lookup_Lists!$D$115,0)+IF(ISNUMBER(Matching_Engine!$R$96),Matching_Engine!$R$96*Lookup_Lists!$D$116,0))/(IF(ISNUMBER(Matching_Engine!$O$96),Lookup_Lists!$D$113,0)+IF(ISNUMBER(Matching_Engine!$P$96),Lookup_Lists!$D$114,0)+IF(ISNUMBER(Matching_Engine!$Q$96),Lookup_Lists!$D$115,0)+IF(ISNUMBER(Matching_Engine!$R$96),Lookup_Lists!$D$116,0)),0))</f>
      </c>
      <c r="T96" s="11">
        <f>IF(ISNUMBER(Matching_Engine!$S$96),1,0)</f>
      </c>
      <c r="U96" s="18">
        <f>IF(NOT(AND(ISTEXT(KOL_Source_Data!$M$24),KOL_Source_Data!$M$24&lt;&gt;"N/A")),Lookup_Lists!$D$150,IF(Brand_Profile!$H$7=KOL_Source_Data!$M$24,100,IFERROR(INDEX(Lookup_Lists!$B$349:$J$357,MATCH(Brand_Profile!$H$7,Lookup_Lists!$A$349:$A$357,0),MATCH(KOL_Source_Data!$M$24,Lookup_Lists!$B$348:$J$348,0)),Lookup_Lists!$D$151)))</f>
      </c>
      <c r="V96" s="18">
        <f>IF(NOT(AND(ISTEXT(KOL_Source_Data!$P$24),KOL_Source_Data!$P$24&lt;&gt;"N/A")),"N/A",IFERROR(INDEX(Lookup_Lists!$B$349:$J$357,MATCH(Brand_Profile!$H$7,Lookup_Lists!$A$349:$A$357,0),MATCH(KOL_Source_Data!$P$24,Lookup_Lists!$B$348:$J$348,0)),Lookup_Lists!$D$151))</f>
      </c>
      <c r="W96" s="18">
        <f>IF(LEN(TRIM(SUBSTITUTE(Matching_Engine!$BE$96,"|","")))=0,"N/A",IF(Brand_Profile!$H$60=0,Lookup_Lists!$D$150,ROUND((IF(Brand_Profile!$H$54="",0,IF(ISNUMBER(SEARCH(Brand_Profile!$H$54,Matching_Engine!$BE$96)),1,0))+IF(Brand_Profile!$H$55="",0,IF(ISNUMBER(SEARCH(Brand_Profile!$H$55,Matching_Engine!$BE$96)),1,0))+IF(Brand_Profile!$H$56="",0,IF(ISNUMBER(SEARCH(Brand_Profile!$H$56,Matching_Engine!$BE$96)),1,0))+IF(Brand_Profile!$H$57="",0,IF(ISNUMBER(SEARCH(Brand_Profile!$H$57,Matching_Engine!$BE$96)),1,0))+IF(Brand_Profile!$H$58="",0,IF(ISNUMBER(SEARCH(Brand_Profile!$H$58,Matching_Engine!$BE$96)),1,0))+IF(Brand_Profile!$H$59="",0,IF(ISNUMBER(SEARCH(Brand_Profile!$H$59,Matching_Engine!$BE$96)),1,0)))/Brand_Profile!$H$60*100,0)))</f>
      </c>
      <c r="X96" s="18">
        <f>IF(NOT(AND(ISTEXT(KOL_Source_Data!$Q$24),KOL_Source_Data!$Q$24&lt;&gt;"N/A")),"N/A",Lookup_Lists!$D$150)</f>
      </c>
      <c r="Y96" s="29">
        <f>IF((IF(ISNUMBER(Matching_Engine!$U$96),Lookup_Lists!$D$335,0)+IF(ISNUMBER(Matching_Engine!$V$96),Lookup_Lists!$D$122,0)+IF(ISNUMBER(Matching_Engine!$W$96),Lookup_Lists!$D$336,0)+IF(ISNUMBER(Matching_Engine!$X$96),Lookup_Lists!$D$124,0))=0,"N/A",ROUND((IF(ISNUMBER(Matching_Engine!$U$96),Matching_Engine!$U$96*Lookup_Lists!$D$335,0)+IF(ISNUMBER(Matching_Engine!$V$96),Matching_Engine!$V$96*Lookup_Lists!$D$122,0)+IF(ISNUMBER(Matching_Engine!$W$96),Matching_Engine!$W$96*Lookup_Lists!$D$336,0)+IF(ISNUMBER(Matching_Engine!$X$96),Matching_Engine!$X$96*Lookup_Lists!$D$124,0))/(IF(ISNUMBER(Matching_Engine!$U$96),Lookup_Lists!$D$335,0)+IF(ISNUMBER(Matching_Engine!$V$96),Lookup_Lists!$D$122,0)+IF(ISNUMBER(Matching_Engine!$W$96),Lookup_Lists!$D$336,0)+IF(ISNUMBER(Matching_Engine!$X$96),Lookup_Lists!$D$124,0)),0))</f>
      </c>
      <c r="Z96" s="11">
        <f>IF(ISNUMBER(Matching_Engine!$Y$96),1,0)</f>
      </c>
      <c r="AA96" s="18">
        <f>IF(NOT(AND(ISTEXT(KOL_Source_Data!$Q$24),KOL_Source_Data!$Q$24&lt;&gt;"N/A")),"N/A",Lookup_Lists!$D$150)</f>
      </c>
      <c r="AB96" s="18">
        <f>IF(NOT(AND(ISTEXT(KOL_Source_Data!$Q$24),KOL_Source_Data!$Q$24&lt;&gt;"N/A")),"N/A",Lookup_Lists!$D$150)</f>
      </c>
      <c r="AC96" s="18">
        <f>"N/A"</f>
      </c>
      <c r="AD96" s="18">
        <f>IF(NOT(AND(ISTEXT(KOL_Source_Data!$Q$24),KOL_Source_Data!$Q$24&lt;&gt;"N/A")),"N/A",Lookup_Lists!$D$150)</f>
      </c>
      <c r="AE96" s="29">
        <f>IF((IF(ISNUMBER(Matching_Engine!$AA$96),Lookup_Lists!$D$125,0)+IF(ISNUMBER(Matching_Engine!$AB$96),Lookup_Lists!$D$126,0)+IF(ISNUMBER(Matching_Engine!$AC$96),Lookup_Lists!$D$127,0)+IF(ISNUMBER(Matching_Engine!$AD$96),Lookup_Lists!$D$128,0))=0,"N/A",ROUND((IF(ISNUMBER(Matching_Engine!$AA$96),Matching_Engine!$AA$96*Lookup_Lists!$D$125,0)+IF(ISNUMBER(Matching_Engine!$AB$96),Matching_Engine!$AB$96*Lookup_Lists!$D$126,0)+IF(ISNUMBER(Matching_Engine!$AC$96),Matching_Engine!$AC$96*Lookup_Lists!$D$127,0)+IF(ISNUMBER(Matching_Engine!$AD$96),Matching_Engine!$AD$96*Lookup_Lists!$D$128,0))/(IF(ISNUMBER(Matching_Engine!$AA$96),Lookup_Lists!$D$125,0)+IF(ISNUMBER(Matching_Engine!$AB$96),Lookup_Lists!$D$126,0)+IF(ISNUMBER(Matching_Engine!$AC$96),Lookup_Lists!$D$127,0)+IF(ISNUMBER(Matching_Engine!$AD$96),Lookup_Lists!$D$128,0)),0))</f>
      </c>
      <c r="AF96" s="11">
        <f>IF(ISNUMBER(Matching_Engine!$AE$96),1,0)</f>
      </c>
      <c r="AG96" s="18">
        <f>IF(NOT(ISNUMBER(KOL_Source_Data!$BG$24)),"N/A",MIN(100,ROUND(KOL_Source_Data!$BG$24/IFERROR(INDEX(Lookup_Lists!$B$340:$B$344,MATCH(KOL_Source_Data!$H$24,Lookup_Lists!$A$340:$A$344,0)),Lookup_Lists!$D$141)*100,0)))</f>
      </c>
      <c r="AH96" s="18">
        <f>IF(NOT(ISNUMBER(KOL_Source_Data!$BS$24)),"N/A",MIN(100,MAX(0,KOL_Source_Data!$BS$24)))</f>
      </c>
      <c r="AI96" s="18">
        <f>IF(OR(NOT(ISNUMBER(KOL_Source_Data!$BM$24)),NOT(ISNUMBER(KOL_Source_Data!$BN$24)),KOL_Source_Data!$BN$24&lt;Lookup_Lists!$D$320),"N/A",MIN(100,ROUND(KOL_Source_Data!$BM$24/Lookup_Lists!$D$319*100,0)))</f>
      </c>
      <c r="AJ96" s="18">
        <f>IF(NOT(ISNUMBER(KOL_Source_Data!$BR$24)),"N/A",KOL_Source_Data!$BR$24)</f>
      </c>
      <c r="AK96" s="18">
        <f>IF(NOT(ISNUMBER(KOL_Source_Data!$BK$24)),"N/A",MIN(100,ROUND(KOL_Source_Data!$BK$24/Lookup_Lists!$D$321*100,0)))</f>
      </c>
      <c r="AL96" s="18">
        <f>IF(NOT(ISNUMBER(KOL_Source_Data!$BP$24)),"N/A",MIN(100,MAX(0,ROUND((KOL_Source_Data!$BP$24+2)/(Lookup_Lists!$D$145+2)*100,0))))</f>
      </c>
      <c r="AM96" s="29">
        <f>IF((IF(ISNUMBER(Matching_Engine!$AG$96),Lookup_Lists!$D$129,0)+IF(ISNUMBER(Matching_Engine!$AH$96),Lookup_Lists!$D$130,0)+IF(ISNUMBER(Matching_Engine!$AI$96),Lookup_Lists!$D$131,0)+IF(ISNUMBER(Matching_Engine!$AJ$96),Lookup_Lists!$D$132,0)+IF(ISNUMBER(Matching_Engine!$AK$96),Lookup_Lists!$D$133,0)+IF(ISNUMBER(Matching_Engine!$AL$96),Lookup_Lists!$D$134,0))=0,"N/A",ROUND((IF(ISNUMBER(Matching_Engine!$AG$96),Matching_Engine!$AG$96*Lookup_Lists!$D$129,0)+IF(ISNUMBER(Matching_Engine!$AH$96),Matching_Engine!$AH$96*Lookup_Lists!$D$130,0)+IF(ISNUMBER(Matching_Engine!$AI$96),Matching_Engine!$AI$96*Lookup_Lists!$D$131,0)+IF(ISNUMBER(Matching_Engine!$AJ$96),Matching_Engine!$AJ$96*Lookup_Lists!$D$132,0)+IF(ISNUMBER(Matching_Engine!$AK$96),Matching_Engine!$AK$96*Lookup_Lists!$D$133,0)+IF(ISNUMBER(Matching_Engine!$AL$96),Matching_Engine!$AL$96*Lookup_Lists!$D$134,0))/(IF(ISNUMBER(Matching_Engine!$AG$96),Lookup_Lists!$D$129,0)+IF(ISNUMBER(Matching_Engine!$AH$96),Lookup_Lists!$D$130,0)+IF(ISNUMBER(Matching_Engine!$AI$96),Lookup_Lists!$D$131,0)+IF(ISNUMBER(Matching_Engine!$AJ$96),Lookup_Lists!$D$132,0)+IF(ISNUMBER(Matching_Engine!$AK$96),Lookup_Lists!$D$133,0)+IF(ISNUMBER(Matching_Engine!$AL$96),Lookup_Lists!$D$134,0)),0))</f>
      </c>
      <c r="AN96" s="11">
        <f>IF(ISNUMBER(Matching_Engine!$AM$96),1,0)</f>
      </c>
      <c r="AO96" s="18">
        <f>IF(NOT(ISNUMBER(KOL_Source_Data!$BT$24)),"N/A",MIN(100,MAX(0,KOL_Source_Data!$BT$24)))</f>
      </c>
      <c r="AP96" s="18">
        <f>IF(NOT(ISNUMBER(KOL_Source_Data!$BU$24)),"N/A",MIN(100,MAX(0,KOL_Source_Data!$BU$24)))</f>
      </c>
      <c r="AQ96" s="18">
        <f>IF(KOL_Source_Data!$I$24="Yes",Lookup_Lists!$D$326,IF(KOL_Source_Data!$I$24="No",Lookup_Lists!$D$327,"N/A"))</f>
      </c>
      <c r="AR96" s="18">
        <f>IF(NOT(ISNUMBER(KOL_Source_Data!$BQ$24)),"N/A",MAX(0,ROUND(100-KOL_Source_Data!$BQ$24/Lookup_Lists!$D$328*100,0)))</f>
      </c>
      <c r="AS96" s="18">
        <f>IF(NOT(AND(ISTEXT(KOL_Source_Data!$BV$24),KOL_Source_Data!$BV$24&lt;&gt;"N/A")),"N/A",KOL_Source_Data!$BV$24)</f>
      </c>
      <c r="AT96" s="29">
        <f>IF((IF(ISNUMBER(Matching_Engine!$AO$96),Lookup_Lists!$D$322,0)+IF(ISNUMBER(Matching_Engine!$AP$96),Lookup_Lists!$D$323,0)+IF(ISNUMBER(Matching_Engine!$AQ$96),Lookup_Lists!$D$324,0)+IF(ISNUMBER(Matching_Engine!$AR$96),Lookup_Lists!$D$325,0))=0,"N/A",ROUND((IF(ISNUMBER(Matching_Engine!$AO$96),Matching_Engine!$AO$96*Lookup_Lists!$D$322,0)+IF(ISNUMBER(Matching_Engine!$AP$96),Matching_Engine!$AP$96*Lookup_Lists!$D$323,0)+IF(ISNUMBER(Matching_Engine!$AQ$96),Matching_Engine!$AQ$96*Lookup_Lists!$D$324,0)+IF(ISNUMBER(Matching_Engine!$AR$96),Matching_Engine!$AR$96*Lookup_Lists!$D$325,0))/(IF(ISNUMBER(Matching_Engine!$AO$96),Lookup_Lists!$D$322,0)+IF(ISNUMBER(Matching_Engine!$AP$96),Lookup_Lists!$D$323,0)+IF(ISNUMBER(Matching_Engine!$AQ$96),Lookup_Lists!$D$324,0)+IF(ISNUMBER(Matching_Engine!$AR$96),Lookup_Lists!$D$325,0)),0))</f>
      </c>
      <c r="AU96" s="11">
        <f>IF(ISNUMBER(Matching_Engine!$AT$96),1,0)</f>
      </c>
      <c r="AV96" s="11">
        <f>IF(NOT(ISNUMBER(Matching_Engine!$AT$96)),"Not Screened",IF(Matching_Engine!$AT$96&gt;=Lookup_Lists!$D$329,"Low Risk",IF(Matching_Engine!$AT$96&gt;=Lookup_Lists!$D$330,"Moderate Risk",IF(Matching_Engine!$AT$96&gt;=Lookup_Lists!$D$331,"Elevated Risk","High Risk"))))</f>
      </c>
      <c r="AW96" s="11">
        <f>IF(NOT(ISNUMBER(Matching_Engine!$AT$96)),"No integrity signal: no audience-analysis row for this account.","Integrity screen only — no content-risk reading exists (comments_analysis: 0 rows). "&amp;IF(ISNUMBER(Matching_Engine!$AO$96),"Authenticity "&amp;Matching_Engine!$AO$96&amp;". ","Authenticity N/A. ")&amp;IF(ISNUMBER(Matching_Engine!$AP$96),"Follower quality "&amp;Matching_Engine!$AP$96&amp;". ","Follower quality N/A. ")&amp;IF(KOL_Source_Data!$I$24="Yes","Platform-verified.","Not platform-verified."))</f>
      </c>
      <c r="AX96" s="18">
        <f>Matching_Engine!$N$96*Lookup_Lists!$D$104+Matching_Engine!$T$96*Lookup_Lists!$D$105+Matching_Engine!$Z$96*Lookup_Lists!$D$106+Matching_Engine!$AF$96*Lookup_Lists!$D$107+Matching_Engine!$AN$96*Lookup_Lists!$D$108+Matching_Engine!$AU$96*Lookup_Lists!$D$109</f>
      </c>
      <c r="AY96" s="30">
        <f>IF(Matching_Engine!$AX$96=0,"N/A",ROUND((IF(Matching_Engine!$N$96=1,Matching_Engine!$M$96*Lookup_Lists!$D$104,0)+IF(Matching_Engine!$T$96=1,Matching_Engine!$S$96*Lookup_Lists!$D$105,0)+IF(Matching_Engine!$Z$96=1,Matching_Engine!$Y$96*Lookup_Lists!$D$106,0)+IF(Matching_Engine!$AF$96=1,Matching_Engine!$AE$96*Lookup_Lists!$D$107,0)+IF(Matching_Engine!$AN$96=1,Matching_Engine!$AM$96*Lookup_Lists!$D$108,0)+IF(Matching_Engine!$AU$96=1,Matching_Engine!$AT$96*Lookup_Lists!$D$109,0))/Matching_Engine!$AX$96,0))</f>
      </c>
      <c r="AZ96" s="11">
        <f>IF(NOT(ISNUMBER(Matching_Engine!$AY$96)),"Not Scored",IF(Matching_Engine!$AY$96&gt;=Lookup_Lists!$D$152,"Excellent Match",IF(Matching_Engine!$AY$96&gt;=Lookup_Lists!$D$153,"Strong Match",IF(Matching_Engine!$AY$96&gt;=Lookup_Lists!$D$154,"Good Match",IF(Matching_Engine!$AY$96&gt;=Lookup_Lists!$D$155,"Moderate Match","Low Match")))))</f>
      </c>
      <c r="BA96" s="18">
        <f>KOL_Source_Data!$BW$24</f>
      </c>
      <c r="BB96" s="11">
        <f>KOL_Source_Data!$BX$24</f>
      </c>
      <c r="BC96" s="18">
        <f>IF(NOT(ISNUMBER(Matching_Engine!$AY$96)),-1,Matching_Engine!$AY$96*1000+6)</f>
      </c>
      <c r="BD96" s="11">
        <f>IF(AND(ISTEXT(KOL_Source_Data!$S$24),KOL_Source_Data!$S$24&lt;&gt;"N/A"),KOL_Source_Data!$S$24,"")&amp;" | "&amp;IF(AND(ISTEXT(KOL_Source_Data!$T$24),KOL_Source_Data!$T$24&lt;&gt;"N/A"),KOL_Source_Data!$T$24,"")&amp;" | "&amp;IF(AND(ISTEXT(KOL_Source_Data!$N$24),KOL_Source_Data!$N$24&lt;&gt;"N/A"),KOL_Source_Data!$N$24,"")&amp;" | "&amp;IF(AND(ISTEXT(KOL_Source_Data!$K$24),KOL_Source_Data!$K$24&lt;&gt;"N/A"),KOL_Source_Data!$K$24,"")&amp;" | "&amp;IF(AND(ISTEXT(KOL_Source_Data!$J$24),KOL_Source_Data!$J$24&lt;&gt;"N/A"),KOL_Source_Data!$J$24,"")</f>
      </c>
      <c r="BE96" s="11">
        <f>IF(AND(ISTEXT(KOL_Source_Data!$T$24),KOL_Source_Data!$T$24&lt;&gt;"N/A"),KOL_Source_Data!$T$24,"")&amp;" | "&amp;IF(AND(ISTEXT(KOL_Source_Data!$N$24),KOL_Source_Data!$N$24&lt;&gt;"N/A"),KOL_Source_Data!$N$24,"")&amp;" | "&amp;IF(AND(ISTEXT(KOL_Source_Data!$O$24),KOL_Source_Data!$O$24&lt;&gt;"N/A"),KOL_Source_Data!$O$24,"")&amp;" | "&amp;IF(AND(ISTEXT(KOL_Source_Data!$S$24),KOL_Source_Data!$S$24&lt;&gt;"N/A"),KOL_Source_Data!$S$24,"")</f>
      </c>
      <c r="BF96" s="11">
        <f>IF(AND(ISTEXT(KOL_Source_Data!$U$24),KOL_Source_Data!$U$24&lt;&gt;"N/A"),KOL_Source_Data!$U$24,"")</f>
      </c>
      <c r="BG96" s="11">
        <f>Matching_Engine!$A$96&amp;"|"&amp;Matching_Engine!$C$96</f>
      </c>
    </row>
    <row r="97" spans="1:59" x14ac:dyDescent="0.25">
      <c r="A97" s="10" t="s">
        <v>393</v>
      </c>
      <c r="B97" s="11">
        <f>Brand_Profile!$H$6</f>
      </c>
      <c r="C97" s="11">
        <f>KOL_Source_Data!$A$25</f>
      </c>
      <c r="D97" s="11">
        <f>KOL_Source_Data!$C$25</f>
      </c>
      <c r="E97" s="11">
        <f>KOL_Source_Data!$D$25</f>
      </c>
      <c r="F97" s="11">
        <f>KOL_Source_Data!$E$25</f>
      </c>
      <c r="G97" s="11">
        <f>KOL_Source_Data!$K$25</f>
      </c>
      <c r="H97" s="12">
        <f>KOL_Source_Data!$G$25</f>
      </c>
      <c r="I97" s="14">
        <f>KOL_Source_Data!$BG$25</f>
      </c>
      <c r="J97" s="18">
        <f>IF(NOT(AND(ISTEXT(KOL_Source_Data!$K$25),KOL_Source_Data!$K$25&lt;&gt;"N/A")),Lookup_Lists!$D$150,IF(Brand_Profile!$H$7=KOL_Source_Data!$K$25,100,IFERROR(INDEX(Lookup_Lists!$B$349:$J$357,MATCH(Brand_Profile!$H$7,Lookup_Lists!$A$349:$A$357,0),MATCH(KOL_Source_Data!$K$25,Lookup_Lists!$B$348:$J$348,0)),Lookup_Lists!$D$151)))</f>
      </c>
      <c r="K97" s="18">
        <f>IF(LEN(TRIM(SUBSTITUTE(Matching_Engine!$BD$97,"|","")))=0,"N/A",IF(Brand_Profile!$H$47=0,Lookup_Lists!$D$150,ROUND((IF(Brand_Profile!$H$41="",0,IF(ISNUMBER(SEARCH(Brand_Profile!$H$41,Matching_Engine!$BD$97)),1,0))+IF(Brand_Profile!$H$42="",0,IF(ISNUMBER(SEARCH(Brand_Profile!$H$42,Matching_Engine!$BD$97)),1,0))+IF(Brand_Profile!$H$43="",0,IF(ISNUMBER(SEARCH(Brand_Profile!$H$43,Matching_Engine!$BD$97)),1,0))+IF(Brand_Profile!$H$44="",0,IF(ISNUMBER(SEARCH(Brand_Profile!$H$44,Matching_Engine!$BD$97)),1,0))+IF(Brand_Profile!$H$45="",0,IF(ISNUMBER(SEARCH(Brand_Profile!$H$45,Matching_Engine!$BD$97)),1,0))+IF(Brand_Profile!$H$46="",0,IF(ISNUMBER(SEARCH(Brand_Profile!$H$46,Matching_Engine!$BD$97)),1,0)))/Brand_Profile!$H$47*100,0)))</f>
      </c>
      <c r="L97" s="18">
        <f>IF(NOT(AND(ISTEXT(KOL_Source_Data!$U$25),KOL_Source_Data!$U$25&lt;&gt;"N/A")),"N/A",IF(Brand_Profile!$H$53=0,Lookup_Lists!$D$150,ROUND((IF(Brand_Profile!$H$48="",0,IF(ISNUMBER(SEARCH(Brand_Profile!$H$48,Matching_Engine!$BF$97)),1,0))+IF(Brand_Profile!$H$49="",0,IF(ISNUMBER(SEARCH(Brand_Profile!$H$49,Matching_Engine!$BF$97)),1,0))+IF(Brand_Profile!$H$50="",0,IF(ISNUMBER(SEARCH(Brand_Profile!$H$50,Matching_Engine!$BF$97)),1,0))+IF(Brand_Profile!$H$51="",0,IF(ISNUMBER(SEARCH(Brand_Profile!$H$51,Matching_Engine!$BF$97)),1,0))+IF(Brand_Profile!$H$52="",0,IF(ISNUMBER(SEARCH(Brand_Profile!$H$52,Matching_Engine!$BF$97)),1,0)))/Brand_Profile!$H$53*100,0)))</f>
      </c>
      <c r="M97" s="29">
        <f>IF((IF(ISNUMBER(Matching_Engine!$J$97),Lookup_Lists!$D$332,0)+IF(ISNUMBER(Matching_Engine!$K$97),Lookup_Lists!$D$333,0)+IF(ISNUMBER(Matching_Engine!$L$97),Lookup_Lists!$D$334,0))=0,"N/A",ROUND((IF(ISNUMBER(Matching_Engine!$J$97),Matching_Engine!$J$97*Lookup_Lists!$D$332,0)+IF(ISNUMBER(Matching_Engine!$K$97),Matching_Engine!$K$97*Lookup_Lists!$D$333,0)+IF(ISNUMBER(Matching_Engine!$L$97),Matching_Engine!$L$97*Lookup_Lists!$D$334,0))/(IF(ISNUMBER(Matching_Engine!$J$97),Lookup_Lists!$D$332,0)+IF(ISNUMBER(Matching_Engine!$K$97),Lookup_Lists!$D$333,0)+IF(ISNUMBER(Matching_Engine!$L$97),Lookup_Lists!$D$334,0)),0))</f>
      </c>
      <c r="N97" s="11">
        <f>IF(ISNUMBER(Matching_Engine!$M$97),1,0)</f>
      </c>
      <c r="O97" s="18">
        <f>IF(NOT(ISNUMBER(IFERROR(INDEX(KOL_Source_Data!$V$25:KOL_Source_Data!$Z$25,1,MATCH(Brand_Profile!$H$11,Lookup_Lists!$F$6:$F$10,0)),""))),"N/A",MIN(100,ROUND((IFERROR(INDEX(KOL_Source_Data!$V$25:KOL_Source_Data!$Z$25,1,MATCH(Brand_Profile!$H$11,Lookup_Lists!$F$6:$F$10,0)),"")+0.5*IF(ISNUMBER(IFERROR(INDEX(KOL_Source_Data!$V$25:KOL_Source_Data!$Z$25,1,MATCH(Brand_Profile!$H$12,Lookup_Lists!$F$6:$F$10,0)),"")),IFERROR(INDEX(KOL_Source_Data!$V$25:KOL_Source_Data!$Z$25,1,MATCH(Brand_Profile!$H$12,Lookup_Lists!$F$6:$F$10,0)),""),0))/Lookup_Lists!$D$142*100,0)))</f>
      </c>
      <c r="P97" s="18">
        <f>IF(Brand_Profile!$H$13="Any",100,IF(NOT(ISNUMBER(KOL_Source_Data!$AA$25)),"N/A",IF(Brand_Profile!$H$13="Female",MIN(100,ROUND(KOL_Source_Data!$AA$25/Lookup_Lists!$D$143*100,0)),IF(Brand_Profile!$H$13="Male",MIN(100,ROUND(IF(ISNUMBER(KOL_Source_Data!$AB$25),KOL_Source_Data!$AB$25,100-KOL_Source_Data!$AA$25)/Lookup_Lists!$D$143*100,0)),MAX(0,ROUND(100-ABS(KOL_Source_Data!$AA$25-50)*2,0))))))</f>
      </c>
      <c r="Q97" s="18">
        <f>IF((IF(ISNUMBER(IF(NOT(ISNUMBER(KOL_Source_Data!$AE$25)),"N/A",IF(KOL_Source_Data!$AD$25&lt;&gt;Brand_Profile!$H$14,Lookup_Lists!$D$151,MIN(100,ROUND(KOL_Source_Data!$AE$25/Lookup_Lists!$D$316*100,0))))),Lookup_Lists!$D$118,0)+IF(ISNUMBER(IF(NOT(ISNUMBER(KOL_Source_Data!$AM$25)),"N/A",MIN(100,ROUND((IF(KOL_Source_Data!$AG$25=Brand_Profile!$H$15,IF(ISNUMBER(KOL_Source_Data!$AH$25),KOL_Source_Data!$AH$25,0),0)+IF(KOL_Source_Data!$AI$25=Brand_Profile!$H$15,IF(ISNUMBER(KOL_Source_Data!$AJ$25),KOL_Source_Data!$AJ$25,0),0)+IF(KOL_Source_Data!$AK$25=Brand_Profile!$H$15,IF(ISNUMBER(KOL_Source_Data!$AL$25),KOL_Source_Data!$AL$25,0),0))/Lookup_Lists!$D$317*100,0)))),Lookup_Lists!$D$120,0))=0,"N/A",ROUND((IF(ISNUMBER(IF(NOT(ISNUMBER(KOL_Source_Data!$AE$25)),"N/A",IF(KOL_Source_Data!$AD$25&lt;&gt;Brand_Profile!$H$14,Lookup_Lists!$D$151,MIN(100,ROUND(KOL_Source_Data!$AE$25/Lookup_Lists!$D$316*100,0))))),IF(NOT(ISNUMBER(KOL_Source_Data!$AE$25)),"N/A",IF(KOL_Source_Data!$AD$25&lt;&gt;Brand_Profile!$H$14,Lookup_Lists!$D$151,MIN(100,ROUND(KOL_Source_Data!$AE$25/Lookup_Lists!$D$316*100,0))))*Lookup_Lists!$D$118,0)+IF(ISNUMBER(IF(NOT(ISNUMBER(KOL_Source_Data!$AM$25)),"N/A",MIN(100,ROUND((IF(KOL_Source_Data!$AG$25=Brand_Profile!$H$15,IF(ISNUMBER(KOL_Source_Data!$AH$25),KOL_Source_Data!$AH$25,0),0)+IF(KOL_Source_Data!$AI$25=Brand_Profile!$H$15,IF(ISNUMBER(KOL_Source_Data!$AJ$25),KOL_Source_Data!$AJ$25,0),0)+IF(KOL_Source_Data!$AK$25=Brand_Profile!$H$15,IF(ISNUMBER(KOL_Source_Data!$AL$25),KOL_Source_Data!$AL$25,0),0))/Lookup_Lists!$D$317*100,0)))),IF(NOT(ISNUMBER(KOL_Source_Data!$AM$25)),"N/A",MIN(100,ROUND((IF(KOL_Source_Data!$AG$25=Brand_Profile!$H$15,IF(ISNUMBER(KOL_Source_Data!$AH$25),KOL_Source_Data!$AH$25,0),0)+IF(KOL_Source_Data!$AI$25=Brand_Profile!$H$15,IF(ISNUMBER(KOL_Source_Data!$AJ$25),KOL_Source_Data!$AJ$25,0),0)+IF(KOL_Source_Data!$AK$25=Brand_Profile!$H$15,IF(ISNUMBER(KOL_Source_Data!$AL$25),KOL_Source_Data!$AL$25,0),0))/Lookup_Lists!$D$317*100,0)))*Lookup_Lists!$D$120,0))/(IF(ISNUMBER(IF(NOT(ISNUMBER(KOL_Source_Data!$AE$25)),"N/A",IF(KOL_Source_Data!$AD$25&lt;&gt;Brand_Profile!$H$14,Lookup_Lists!$D$151,MIN(100,ROUND(KOL_Source_Data!$AE$25/Lookup_Lists!$D$316*100,0))))),Lookup_Lists!$D$118,0)+IF(ISNUMBER(IF(NOT(ISNUMBER(KOL_Source_Data!$AM$25)),"N/A",MIN(100,ROUND((IF(KOL_Source_Data!$AG$25=Brand_Profile!$H$15,IF(ISNUMBER(KOL_Source_Data!$AH$25),KOL_Source_Data!$AH$25,0),0)+IF(KOL_Source_Data!$AI$25=Brand_Profile!$H$15,IF(ISNUMBER(KOL_Source_Data!$AJ$25),KOL_Source_Data!$AJ$25,0),0)+IF(KOL_Source_Data!$AK$25=Brand_Profile!$H$15,IF(ISNUMBER(KOL_Source_Data!$AL$25),KOL_Source_Data!$AL$25,0),0))/Lookup_Lists!$D$317*100,0)))),Lookup_Lists!$D$120,0)),0))</f>
      </c>
      <c r="R97" s="18">
        <f>IF(NOT(ISNUMBER(KOL_Source_Data!$AN$25)),"N/A",MIN(100,ROUND((IF(ISNUMBER(KOL_Source_Data!$AO$25),KOL_Source_Data!$AO$25*Brand_Profile!$H$17,0)+IF(ISNUMBER(KOL_Source_Data!$AP$25),KOL_Source_Data!$AP$25*Brand_Profile!$H$18,0)+IF(ISNUMBER(KOL_Source_Data!$AQ$25),KOL_Source_Data!$AQ$25*Brand_Profile!$H$19,0)+IF(ISNUMBER(KOL_Source_Data!$AR$25),KOL_Source_Data!$AR$25*Brand_Profile!$H$20,0)+IF(ISNUMBER(KOL_Source_Data!$AS$25),KOL_Source_Data!$AS$25*Brand_Profile!$H$21,0)+IF(ISNUMBER(KOL_Source_Data!$AT$25),KOL_Source_Data!$AT$25*Brand_Profile!$H$22,0)+IF(ISNUMBER(KOL_Source_Data!$AU$25),KOL_Source_Data!$AU$25*Brand_Profile!$H$23,0)+IF(ISNUMBER(KOL_Source_Data!$AV$25),KOL_Source_Data!$AV$25*Brand_Profile!$H$24,0)+IF(ISNUMBER(KOL_Source_Data!$AW$25),KOL_Source_Data!$AW$25*Brand_Profile!$H$25,0)+IF(ISNUMBER(KOL_Source_Data!$AX$25),KOL_Source_Data!$AX$25*Brand_Profile!$H$26,0)+IF(ISNUMBER(KOL_Source_Data!$AY$25),KOL_Source_Data!$AY$25*Brand_Profile!$H$27,0)+IF(ISNUMBER(KOL_Source_Data!$AZ$25),KOL_Source_Data!$AZ$25*Brand_Profile!$H$28,0)+IF(ISNUMBER(KOL_Source_Data!$BA$25),KOL_Source_Data!$BA$25*Brand_Profile!$H$29,0)+IF(ISNUMBER(KOL_Source_Data!$BB$25),KOL_Source_Data!$BB$25*Brand_Profile!$H$30,0)+IF(ISNUMBER(KOL_Source_Data!$BC$25),KOL_Source_Data!$BC$25*Brand_Profile!$H$31,0)+IF(ISNUMBER(KOL_Source_Data!$BD$25),KOL_Source_Data!$BD$25*Brand_Profile!$H$32,0)+IF(ISNUMBER(KOL_Source_Data!$BE$25),KOL_Source_Data!$BE$25*Brand_Profile!$H$33,0)+IF(ISNUMBER(KOL_Source_Data!$BF$25),KOL_Source_Data!$BF$25*Brand_Profile!$H$34,0))/Lookup_Lists!$D$318*100,0)))</f>
      </c>
      <c r="S97" s="29">
        <f>IF((IF(ISNUMBER(Matching_Engine!$O$97),Lookup_Lists!$D$113,0)+IF(ISNUMBER(Matching_Engine!$P$97),Lookup_Lists!$D$114,0)+IF(ISNUMBER(Matching_Engine!$Q$97),Lookup_Lists!$D$115,0)+IF(ISNUMBER(Matching_Engine!$R$97),Lookup_Lists!$D$116,0))=0,"N/A",ROUND((IF(ISNUMBER(Matching_Engine!$O$97),Matching_Engine!$O$97*Lookup_Lists!$D$113,0)+IF(ISNUMBER(Matching_Engine!$P$97),Matching_Engine!$P$97*Lookup_Lists!$D$114,0)+IF(ISNUMBER(Matching_Engine!$Q$97),Matching_Engine!$Q$97*Lookup_Lists!$D$115,0)+IF(ISNUMBER(Matching_Engine!$R$97),Matching_Engine!$R$97*Lookup_Lists!$D$116,0))/(IF(ISNUMBER(Matching_Engine!$O$97),Lookup_Lists!$D$113,0)+IF(ISNUMBER(Matching_Engine!$P$97),Lookup_Lists!$D$114,0)+IF(ISNUMBER(Matching_Engine!$Q$97),Lookup_Lists!$D$115,0)+IF(ISNUMBER(Matching_Engine!$R$97),Lookup_Lists!$D$116,0)),0))</f>
      </c>
      <c r="T97" s="11">
        <f>IF(ISNUMBER(Matching_Engine!$S$97),1,0)</f>
      </c>
      <c r="U97" s="18">
        <f>IF(NOT(AND(ISTEXT(KOL_Source_Data!$M$25),KOL_Source_Data!$M$25&lt;&gt;"N/A")),Lookup_Lists!$D$150,IF(Brand_Profile!$H$7=KOL_Source_Data!$M$25,100,IFERROR(INDEX(Lookup_Lists!$B$349:$J$357,MATCH(Brand_Profile!$H$7,Lookup_Lists!$A$349:$A$357,0),MATCH(KOL_Source_Data!$M$25,Lookup_Lists!$B$348:$J$348,0)),Lookup_Lists!$D$151)))</f>
      </c>
      <c r="V97" s="18">
        <f>IF(NOT(AND(ISTEXT(KOL_Source_Data!$P$25),KOL_Source_Data!$P$25&lt;&gt;"N/A")),"N/A",IFERROR(INDEX(Lookup_Lists!$B$349:$J$357,MATCH(Brand_Profile!$H$7,Lookup_Lists!$A$349:$A$357,0),MATCH(KOL_Source_Data!$P$25,Lookup_Lists!$B$348:$J$348,0)),Lookup_Lists!$D$151))</f>
      </c>
      <c r="W97" s="18">
        <f>IF(LEN(TRIM(SUBSTITUTE(Matching_Engine!$BE$97,"|","")))=0,"N/A",IF(Brand_Profile!$H$60=0,Lookup_Lists!$D$150,ROUND((IF(Brand_Profile!$H$54="",0,IF(ISNUMBER(SEARCH(Brand_Profile!$H$54,Matching_Engine!$BE$97)),1,0))+IF(Brand_Profile!$H$55="",0,IF(ISNUMBER(SEARCH(Brand_Profile!$H$55,Matching_Engine!$BE$97)),1,0))+IF(Brand_Profile!$H$56="",0,IF(ISNUMBER(SEARCH(Brand_Profile!$H$56,Matching_Engine!$BE$97)),1,0))+IF(Brand_Profile!$H$57="",0,IF(ISNUMBER(SEARCH(Brand_Profile!$H$57,Matching_Engine!$BE$97)),1,0))+IF(Brand_Profile!$H$58="",0,IF(ISNUMBER(SEARCH(Brand_Profile!$H$58,Matching_Engine!$BE$97)),1,0))+IF(Brand_Profile!$H$59="",0,IF(ISNUMBER(SEARCH(Brand_Profile!$H$59,Matching_Engine!$BE$97)),1,0)))/Brand_Profile!$H$60*100,0)))</f>
      </c>
      <c r="X97" s="18">
        <f>IF(NOT(AND(ISTEXT(KOL_Source_Data!$Q$25),KOL_Source_Data!$Q$25&lt;&gt;"N/A")),"N/A",Lookup_Lists!$D$150)</f>
      </c>
      <c r="Y97" s="29">
        <f>IF((IF(ISNUMBER(Matching_Engine!$U$97),Lookup_Lists!$D$335,0)+IF(ISNUMBER(Matching_Engine!$V$97),Lookup_Lists!$D$122,0)+IF(ISNUMBER(Matching_Engine!$W$97),Lookup_Lists!$D$336,0)+IF(ISNUMBER(Matching_Engine!$X$97),Lookup_Lists!$D$124,0))=0,"N/A",ROUND((IF(ISNUMBER(Matching_Engine!$U$97),Matching_Engine!$U$97*Lookup_Lists!$D$335,0)+IF(ISNUMBER(Matching_Engine!$V$97),Matching_Engine!$V$97*Lookup_Lists!$D$122,0)+IF(ISNUMBER(Matching_Engine!$W$97),Matching_Engine!$W$97*Lookup_Lists!$D$336,0)+IF(ISNUMBER(Matching_Engine!$X$97),Matching_Engine!$X$97*Lookup_Lists!$D$124,0))/(IF(ISNUMBER(Matching_Engine!$U$97),Lookup_Lists!$D$335,0)+IF(ISNUMBER(Matching_Engine!$V$97),Lookup_Lists!$D$122,0)+IF(ISNUMBER(Matching_Engine!$W$97),Lookup_Lists!$D$336,0)+IF(ISNUMBER(Matching_Engine!$X$97),Lookup_Lists!$D$124,0)),0))</f>
      </c>
      <c r="Z97" s="11">
        <f>IF(ISNUMBER(Matching_Engine!$Y$97),1,0)</f>
      </c>
      <c r="AA97" s="18">
        <f>IF(NOT(AND(ISTEXT(KOL_Source_Data!$Q$25),KOL_Source_Data!$Q$25&lt;&gt;"N/A")),"N/A",Lookup_Lists!$D$150)</f>
      </c>
      <c r="AB97" s="18">
        <f>IF(NOT(AND(ISTEXT(KOL_Source_Data!$Q$25),KOL_Source_Data!$Q$25&lt;&gt;"N/A")),"N/A",Lookup_Lists!$D$150)</f>
      </c>
      <c r="AC97" s="18">
        <f>"N/A"</f>
      </c>
      <c r="AD97" s="18">
        <f>IF(NOT(AND(ISTEXT(KOL_Source_Data!$Q$25),KOL_Source_Data!$Q$25&lt;&gt;"N/A")),"N/A",Lookup_Lists!$D$150)</f>
      </c>
      <c r="AE97" s="29">
        <f>IF((IF(ISNUMBER(Matching_Engine!$AA$97),Lookup_Lists!$D$125,0)+IF(ISNUMBER(Matching_Engine!$AB$97),Lookup_Lists!$D$126,0)+IF(ISNUMBER(Matching_Engine!$AC$97),Lookup_Lists!$D$127,0)+IF(ISNUMBER(Matching_Engine!$AD$97),Lookup_Lists!$D$128,0))=0,"N/A",ROUND((IF(ISNUMBER(Matching_Engine!$AA$97),Matching_Engine!$AA$97*Lookup_Lists!$D$125,0)+IF(ISNUMBER(Matching_Engine!$AB$97),Matching_Engine!$AB$97*Lookup_Lists!$D$126,0)+IF(ISNUMBER(Matching_Engine!$AC$97),Matching_Engine!$AC$97*Lookup_Lists!$D$127,0)+IF(ISNUMBER(Matching_Engine!$AD$97),Matching_Engine!$AD$97*Lookup_Lists!$D$128,0))/(IF(ISNUMBER(Matching_Engine!$AA$97),Lookup_Lists!$D$125,0)+IF(ISNUMBER(Matching_Engine!$AB$97),Lookup_Lists!$D$126,0)+IF(ISNUMBER(Matching_Engine!$AC$97),Lookup_Lists!$D$127,0)+IF(ISNUMBER(Matching_Engine!$AD$97),Lookup_Lists!$D$128,0)),0))</f>
      </c>
      <c r="AF97" s="11">
        <f>IF(ISNUMBER(Matching_Engine!$AE$97),1,0)</f>
      </c>
      <c r="AG97" s="18">
        <f>IF(NOT(ISNUMBER(KOL_Source_Data!$BG$25)),"N/A",MIN(100,ROUND(KOL_Source_Data!$BG$25/IFERROR(INDEX(Lookup_Lists!$B$340:$B$344,MATCH(KOL_Source_Data!$H$25,Lookup_Lists!$A$340:$A$344,0)),Lookup_Lists!$D$141)*100,0)))</f>
      </c>
      <c r="AH97" s="18">
        <f>IF(NOT(ISNUMBER(KOL_Source_Data!$BS$25)),"N/A",MIN(100,MAX(0,KOL_Source_Data!$BS$25)))</f>
      </c>
      <c r="AI97" s="18">
        <f>IF(OR(NOT(ISNUMBER(KOL_Source_Data!$BM$25)),NOT(ISNUMBER(KOL_Source_Data!$BN$25)),KOL_Source_Data!$BN$25&lt;Lookup_Lists!$D$320),"N/A",MIN(100,ROUND(KOL_Source_Data!$BM$25/Lookup_Lists!$D$319*100,0)))</f>
      </c>
      <c r="AJ97" s="18">
        <f>IF(NOT(ISNUMBER(KOL_Source_Data!$BR$25)),"N/A",KOL_Source_Data!$BR$25)</f>
      </c>
      <c r="AK97" s="18">
        <f>IF(NOT(ISNUMBER(KOL_Source_Data!$BK$25)),"N/A",MIN(100,ROUND(KOL_Source_Data!$BK$25/Lookup_Lists!$D$321*100,0)))</f>
      </c>
      <c r="AL97" s="18">
        <f>IF(NOT(ISNUMBER(KOL_Source_Data!$BP$25)),"N/A",MIN(100,MAX(0,ROUND((KOL_Source_Data!$BP$25+2)/(Lookup_Lists!$D$145+2)*100,0))))</f>
      </c>
      <c r="AM97" s="29">
        <f>IF((IF(ISNUMBER(Matching_Engine!$AG$97),Lookup_Lists!$D$129,0)+IF(ISNUMBER(Matching_Engine!$AH$97),Lookup_Lists!$D$130,0)+IF(ISNUMBER(Matching_Engine!$AI$97),Lookup_Lists!$D$131,0)+IF(ISNUMBER(Matching_Engine!$AJ$97),Lookup_Lists!$D$132,0)+IF(ISNUMBER(Matching_Engine!$AK$97),Lookup_Lists!$D$133,0)+IF(ISNUMBER(Matching_Engine!$AL$97),Lookup_Lists!$D$134,0))=0,"N/A",ROUND((IF(ISNUMBER(Matching_Engine!$AG$97),Matching_Engine!$AG$97*Lookup_Lists!$D$129,0)+IF(ISNUMBER(Matching_Engine!$AH$97),Matching_Engine!$AH$97*Lookup_Lists!$D$130,0)+IF(ISNUMBER(Matching_Engine!$AI$97),Matching_Engine!$AI$97*Lookup_Lists!$D$131,0)+IF(ISNUMBER(Matching_Engine!$AJ$97),Matching_Engine!$AJ$97*Lookup_Lists!$D$132,0)+IF(ISNUMBER(Matching_Engine!$AK$97),Matching_Engine!$AK$97*Lookup_Lists!$D$133,0)+IF(ISNUMBER(Matching_Engine!$AL$97),Matching_Engine!$AL$97*Lookup_Lists!$D$134,0))/(IF(ISNUMBER(Matching_Engine!$AG$97),Lookup_Lists!$D$129,0)+IF(ISNUMBER(Matching_Engine!$AH$97),Lookup_Lists!$D$130,0)+IF(ISNUMBER(Matching_Engine!$AI$97),Lookup_Lists!$D$131,0)+IF(ISNUMBER(Matching_Engine!$AJ$97),Lookup_Lists!$D$132,0)+IF(ISNUMBER(Matching_Engine!$AK$97),Lookup_Lists!$D$133,0)+IF(ISNUMBER(Matching_Engine!$AL$97),Lookup_Lists!$D$134,0)),0))</f>
      </c>
      <c r="AN97" s="11">
        <f>IF(ISNUMBER(Matching_Engine!$AM$97),1,0)</f>
      </c>
      <c r="AO97" s="18">
        <f>IF(NOT(ISNUMBER(KOL_Source_Data!$BT$25)),"N/A",MIN(100,MAX(0,KOL_Source_Data!$BT$25)))</f>
      </c>
      <c r="AP97" s="18">
        <f>IF(NOT(ISNUMBER(KOL_Source_Data!$BU$25)),"N/A",MIN(100,MAX(0,KOL_Source_Data!$BU$25)))</f>
      </c>
      <c r="AQ97" s="18">
        <f>IF(KOL_Source_Data!$I$25="Yes",Lookup_Lists!$D$326,IF(KOL_Source_Data!$I$25="No",Lookup_Lists!$D$327,"N/A"))</f>
      </c>
      <c r="AR97" s="18">
        <f>IF(NOT(ISNUMBER(KOL_Source_Data!$BQ$25)),"N/A",MAX(0,ROUND(100-KOL_Source_Data!$BQ$25/Lookup_Lists!$D$328*100,0)))</f>
      </c>
      <c r="AS97" s="18">
        <f>IF(NOT(AND(ISTEXT(KOL_Source_Data!$BV$25),KOL_Source_Data!$BV$25&lt;&gt;"N/A")),"N/A",KOL_Source_Data!$BV$25)</f>
      </c>
      <c r="AT97" s="29">
        <f>IF((IF(ISNUMBER(Matching_Engine!$AO$97),Lookup_Lists!$D$322,0)+IF(ISNUMBER(Matching_Engine!$AP$97),Lookup_Lists!$D$323,0)+IF(ISNUMBER(Matching_Engine!$AQ$97),Lookup_Lists!$D$324,0)+IF(ISNUMBER(Matching_Engine!$AR$97),Lookup_Lists!$D$325,0))=0,"N/A",ROUND((IF(ISNUMBER(Matching_Engine!$AO$97),Matching_Engine!$AO$97*Lookup_Lists!$D$322,0)+IF(ISNUMBER(Matching_Engine!$AP$97),Matching_Engine!$AP$97*Lookup_Lists!$D$323,0)+IF(ISNUMBER(Matching_Engine!$AQ$97),Matching_Engine!$AQ$97*Lookup_Lists!$D$324,0)+IF(ISNUMBER(Matching_Engine!$AR$97),Matching_Engine!$AR$97*Lookup_Lists!$D$325,0))/(IF(ISNUMBER(Matching_Engine!$AO$97),Lookup_Lists!$D$322,0)+IF(ISNUMBER(Matching_Engine!$AP$97),Lookup_Lists!$D$323,0)+IF(ISNUMBER(Matching_Engine!$AQ$97),Lookup_Lists!$D$324,0)+IF(ISNUMBER(Matching_Engine!$AR$97),Lookup_Lists!$D$325,0)),0))</f>
      </c>
      <c r="AU97" s="11">
        <f>IF(ISNUMBER(Matching_Engine!$AT$97),1,0)</f>
      </c>
      <c r="AV97" s="11">
        <f>IF(NOT(ISNUMBER(Matching_Engine!$AT$97)),"Not Screened",IF(Matching_Engine!$AT$97&gt;=Lookup_Lists!$D$329,"Low Risk",IF(Matching_Engine!$AT$97&gt;=Lookup_Lists!$D$330,"Moderate Risk",IF(Matching_Engine!$AT$97&gt;=Lookup_Lists!$D$331,"Elevated Risk","High Risk"))))</f>
      </c>
      <c r="AW97" s="11">
        <f>IF(NOT(ISNUMBER(Matching_Engine!$AT$97)),"No integrity signal: no audience-analysis row for this account.","Integrity screen only — no content-risk reading exists (comments_analysis: 0 rows). "&amp;IF(ISNUMBER(Matching_Engine!$AO$97),"Authenticity "&amp;Matching_Engine!$AO$97&amp;". ","Authenticity N/A. ")&amp;IF(ISNUMBER(Matching_Engine!$AP$97),"Follower quality "&amp;Matching_Engine!$AP$97&amp;". ","Follower quality N/A. ")&amp;IF(KOL_Source_Data!$I$25="Yes","Platform-verified.","Not platform-verified."))</f>
      </c>
      <c r="AX97" s="18">
        <f>Matching_Engine!$N$97*Lookup_Lists!$D$104+Matching_Engine!$T$97*Lookup_Lists!$D$105+Matching_Engine!$Z$97*Lookup_Lists!$D$106+Matching_Engine!$AF$97*Lookup_Lists!$D$107+Matching_Engine!$AN$97*Lookup_Lists!$D$108+Matching_Engine!$AU$97*Lookup_Lists!$D$109</f>
      </c>
      <c r="AY97" s="30">
        <f>IF(Matching_Engine!$AX$97=0,"N/A",ROUND((IF(Matching_Engine!$N$97=1,Matching_Engine!$M$97*Lookup_Lists!$D$104,0)+IF(Matching_Engine!$T$97=1,Matching_Engine!$S$97*Lookup_Lists!$D$105,0)+IF(Matching_Engine!$Z$97=1,Matching_Engine!$Y$97*Lookup_Lists!$D$106,0)+IF(Matching_Engine!$AF$97=1,Matching_Engine!$AE$97*Lookup_Lists!$D$107,0)+IF(Matching_Engine!$AN$97=1,Matching_Engine!$AM$97*Lookup_Lists!$D$108,0)+IF(Matching_Engine!$AU$97=1,Matching_Engine!$AT$97*Lookup_Lists!$D$109,0))/Matching_Engine!$AX$97,0))</f>
      </c>
      <c r="AZ97" s="11">
        <f>IF(NOT(ISNUMBER(Matching_Engine!$AY$97)),"Not Scored",IF(Matching_Engine!$AY$97&gt;=Lookup_Lists!$D$152,"Excellent Match",IF(Matching_Engine!$AY$97&gt;=Lookup_Lists!$D$153,"Strong Match",IF(Matching_Engine!$AY$97&gt;=Lookup_Lists!$D$154,"Good Match",IF(Matching_Engine!$AY$97&gt;=Lookup_Lists!$D$155,"Moderate Match","Low Match")))))</f>
      </c>
      <c r="BA97" s="18">
        <f>KOL_Source_Data!$BW$25</f>
      </c>
      <c r="BB97" s="11">
        <f>KOL_Source_Data!$BX$25</f>
      </c>
      <c r="BC97" s="18">
        <f>IF(NOT(ISNUMBER(Matching_Engine!$AY$97)),-1,Matching_Engine!$AY$97*1000+5)</f>
      </c>
      <c r="BD97" s="11">
        <f>IF(AND(ISTEXT(KOL_Source_Data!$S$25),KOL_Source_Data!$S$25&lt;&gt;"N/A"),KOL_Source_Data!$S$25,"")&amp;" | "&amp;IF(AND(ISTEXT(KOL_Source_Data!$T$25),KOL_Source_Data!$T$25&lt;&gt;"N/A"),KOL_Source_Data!$T$25,"")&amp;" | "&amp;IF(AND(ISTEXT(KOL_Source_Data!$N$25),KOL_Source_Data!$N$25&lt;&gt;"N/A"),KOL_Source_Data!$N$25,"")&amp;" | "&amp;IF(AND(ISTEXT(KOL_Source_Data!$K$25),KOL_Source_Data!$K$25&lt;&gt;"N/A"),KOL_Source_Data!$K$25,"")&amp;" | "&amp;IF(AND(ISTEXT(KOL_Source_Data!$J$25),KOL_Source_Data!$J$25&lt;&gt;"N/A"),KOL_Source_Data!$J$25,"")</f>
      </c>
      <c r="BE97" s="11">
        <f>IF(AND(ISTEXT(KOL_Source_Data!$T$25),KOL_Source_Data!$T$25&lt;&gt;"N/A"),KOL_Source_Data!$T$25,"")&amp;" | "&amp;IF(AND(ISTEXT(KOL_Source_Data!$N$25),KOL_Source_Data!$N$25&lt;&gt;"N/A"),KOL_Source_Data!$N$25,"")&amp;" | "&amp;IF(AND(ISTEXT(KOL_Source_Data!$O$25),KOL_Source_Data!$O$25&lt;&gt;"N/A"),KOL_Source_Data!$O$25,"")&amp;" | "&amp;IF(AND(ISTEXT(KOL_Source_Data!$S$25),KOL_Source_Data!$S$25&lt;&gt;"N/A"),KOL_Source_Data!$S$25,"")</f>
      </c>
      <c r="BF97" s="11">
        <f>IF(AND(ISTEXT(KOL_Source_Data!$U$25),KOL_Source_Data!$U$25&lt;&gt;"N/A"),KOL_Source_Data!$U$25,"")</f>
      </c>
      <c r="BG97" s="11">
        <f>Matching_Engine!$A$97&amp;"|"&amp;Matching_Engine!$C$97</f>
      </c>
    </row>
    <row r="98" spans="1:59" x14ac:dyDescent="0.25">
      <c r="A98" s="10" t="s">
        <v>393</v>
      </c>
      <c r="B98" s="11">
        <f>Brand_Profile!$H$6</f>
      </c>
      <c r="C98" s="11">
        <f>KOL_Source_Data!$A$26</f>
      </c>
      <c r="D98" s="11">
        <f>KOL_Source_Data!$C$26</f>
      </c>
      <c r="E98" s="11">
        <f>KOL_Source_Data!$D$26</f>
      </c>
      <c r="F98" s="11">
        <f>KOL_Source_Data!$E$26</f>
      </c>
      <c r="G98" s="11">
        <f>KOL_Source_Data!$K$26</f>
      </c>
      <c r="H98" s="12">
        <f>KOL_Source_Data!$G$26</f>
      </c>
      <c r="I98" s="14">
        <f>KOL_Source_Data!$BG$26</f>
      </c>
      <c r="J98" s="18">
        <f>IF(NOT(AND(ISTEXT(KOL_Source_Data!$K$26),KOL_Source_Data!$K$26&lt;&gt;"N/A")),Lookup_Lists!$D$150,IF(Brand_Profile!$H$7=KOL_Source_Data!$K$26,100,IFERROR(INDEX(Lookup_Lists!$B$349:$J$357,MATCH(Brand_Profile!$H$7,Lookup_Lists!$A$349:$A$357,0),MATCH(KOL_Source_Data!$K$26,Lookup_Lists!$B$348:$J$348,0)),Lookup_Lists!$D$151)))</f>
      </c>
      <c r="K98" s="18">
        <f>IF(LEN(TRIM(SUBSTITUTE(Matching_Engine!$BD$98,"|","")))=0,"N/A",IF(Brand_Profile!$H$47=0,Lookup_Lists!$D$150,ROUND((IF(Brand_Profile!$H$41="",0,IF(ISNUMBER(SEARCH(Brand_Profile!$H$41,Matching_Engine!$BD$98)),1,0))+IF(Brand_Profile!$H$42="",0,IF(ISNUMBER(SEARCH(Brand_Profile!$H$42,Matching_Engine!$BD$98)),1,0))+IF(Brand_Profile!$H$43="",0,IF(ISNUMBER(SEARCH(Brand_Profile!$H$43,Matching_Engine!$BD$98)),1,0))+IF(Brand_Profile!$H$44="",0,IF(ISNUMBER(SEARCH(Brand_Profile!$H$44,Matching_Engine!$BD$98)),1,0))+IF(Brand_Profile!$H$45="",0,IF(ISNUMBER(SEARCH(Brand_Profile!$H$45,Matching_Engine!$BD$98)),1,0))+IF(Brand_Profile!$H$46="",0,IF(ISNUMBER(SEARCH(Brand_Profile!$H$46,Matching_Engine!$BD$98)),1,0)))/Brand_Profile!$H$47*100,0)))</f>
      </c>
      <c r="L98" s="18">
        <f>IF(NOT(AND(ISTEXT(KOL_Source_Data!$U$26),KOL_Source_Data!$U$26&lt;&gt;"N/A")),"N/A",IF(Brand_Profile!$H$53=0,Lookup_Lists!$D$150,ROUND((IF(Brand_Profile!$H$48="",0,IF(ISNUMBER(SEARCH(Brand_Profile!$H$48,Matching_Engine!$BF$98)),1,0))+IF(Brand_Profile!$H$49="",0,IF(ISNUMBER(SEARCH(Brand_Profile!$H$49,Matching_Engine!$BF$98)),1,0))+IF(Brand_Profile!$H$50="",0,IF(ISNUMBER(SEARCH(Brand_Profile!$H$50,Matching_Engine!$BF$98)),1,0))+IF(Brand_Profile!$H$51="",0,IF(ISNUMBER(SEARCH(Brand_Profile!$H$51,Matching_Engine!$BF$98)),1,0))+IF(Brand_Profile!$H$52="",0,IF(ISNUMBER(SEARCH(Brand_Profile!$H$52,Matching_Engine!$BF$98)),1,0)))/Brand_Profile!$H$53*100,0)))</f>
      </c>
      <c r="M98" s="29">
        <f>IF((IF(ISNUMBER(Matching_Engine!$J$98),Lookup_Lists!$D$332,0)+IF(ISNUMBER(Matching_Engine!$K$98),Lookup_Lists!$D$333,0)+IF(ISNUMBER(Matching_Engine!$L$98),Lookup_Lists!$D$334,0))=0,"N/A",ROUND((IF(ISNUMBER(Matching_Engine!$J$98),Matching_Engine!$J$98*Lookup_Lists!$D$332,0)+IF(ISNUMBER(Matching_Engine!$K$98),Matching_Engine!$K$98*Lookup_Lists!$D$333,0)+IF(ISNUMBER(Matching_Engine!$L$98),Matching_Engine!$L$98*Lookup_Lists!$D$334,0))/(IF(ISNUMBER(Matching_Engine!$J$98),Lookup_Lists!$D$332,0)+IF(ISNUMBER(Matching_Engine!$K$98),Lookup_Lists!$D$333,0)+IF(ISNUMBER(Matching_Engine!$L$98),Lookup_Lists!$D$334,0)),0))</f>
      </c>
      <c r="N98" s="11">
        <f>IF(ISNUMBER(Matching_Engine!$M$98),1,0)</f>
      </c>
      <c r="O98" s="18">
        <f>IF(NOT(ISNUMBER(IFERROR(INDEX(KOL_Source_Data!$V$26:KOL_Source_Data!$Z$26,1,MATCH(Brand_Profile!$H$11,Lookup_Lists!$F$6:$F$10,0)),""))),"N/A",MIN(100,ROUND((IFERROR(INDEX(KOL_Source_Data!$V$26:KOL_Source_Data!$Z$26,1,MATCH(Brand_Profile!$H$11,Lookup_Lists!$F$6:$F$10,0)),"")+0.5*IF(ISNUMBER(IFERROR(INDEX(KOL_Source_Data!$V$26:KOL_Source_Data!$Z$26,1,MATCH(Brand_Profile!$H$12,Lookup_Lists!$F$6:$F$10,0)),"")),IFERROR(INDEX(KOL_Source_Data!$V$26:KOL_Source_Data!$Z$26,1,MATCH(Brand_Profile!$H$12,Lookup_Lists!$F$6:$F$10,0)),""),0))/Lookup_Lists!$D$142*100,0)))</f>
      </c>
      <c r="P98" s="18">
        <f>IF(Brand_Profile!$H$13="Any",100,IF(NOT(ISNUMBER(KOL_Source_Data!$AA$26)),"N/A",IF(Brand_Profile!$H$13="Female",MIN(100,ROUND(KOL_Source_Data!$AA$26/Lookup_Lists!$D$143*100,0)),IF(Brand_Profile!$H$13="Male",MIN(100,ROUND(IF(ISNUMBER(KOL_Source_Data!$AB$26),KOL_Source_Data!$AB$26,100-KOL_Source_Data!$AA$26)/Lookup_Lists!$D$143*100,0)),MAX(0,ROUND(100-ABS(KOL_Source_Data!$AA$26-50)*2,0))))))</f>
      </c>
      <c r="Q98" s="18">
        <f>IF((IF(ISNUMBER(IF(NOT(ISNUMBER(KOL_Source_Data!$AE$26)),"N/A",IF(KOL_Source_Data!$AD$26&lt;&gt;Brand_Profile!$H$14,Lookup_Lists!$D$151,MIN(100,ROUND(KOL_Source_Data!$AE$26/Lookup_Lists!$D$316*100,0))))),Lookup_Lists!$D$118,0)+IF(ISNUMBER(IF(NOT(ISNUMBER(KOL_Source_Data!$AM$26)),"N/A",MIN(100,ROUND((IF(KOL_Source_Data!$AG$26=Brand_Profile!$H$15,IF(ISNUMBER(KOL_Source_Data!$AH$26),KOL_Source_Data!$AH$26,0),0)+IF(KOL_Source_Data!$AI$26=Brand_Profile!$H$15,IF(ISNUMBER(KOL_Source_Data!$AJ$26),KOL_Source_Data!$AJ$26,0),0)+IF(KOL_Source_Data!$AK$26=Brand_Profile!$H$15,IF(ISNUMBER(KOL_Source_Data!$AL$26),KOL_Source_Data!$AL$26,0),0))/Lookup_Lists!$D$317*100,0)))),Lookup_Lists!$D$120,0))=0,"N/A",ROUND((IF(ISNUMBER(IF(NOT(ISNUMBER(KOL_Source_Data!$AE$26)),"N/A",IF(KOL_Source_Data!$AD$26&lt;&gt;Brand_Profile!$H$14,Lookup_Lists!$D$151,MIN(100,ROUND(KOL_Source_Data!$AE$26/Lookup_Lists!$D$316*100,0))))),IF(NOT(ISNUMBER(KOL_Source_Data!$AE$26)),"N/A",IF(KOL_Source_Data!$AD$26&lt;&gt;Brand_Profile!$H$14,Lookup_Lists!$D$151,MIN(100,ROUND(KOL_Source_Data!$AE$26/Lookup_Lists!$D$316*100,0))))*Lookup_Lists!$D$118,0)+IF(ISNUMBER(IF(NOT(ISNUMBER(KOL_Source_Data!$AM$26)),"N/A",MIN(100,ROUND((IF(KOL_Source_Data!$AG$26=Brand_Profile!$H$15,IF(ISNUMBER(KOL_Source_Data!$AH$26),KOL_Source_Data!$AH$26,0),0)+IF(KOL_Source_Data!$AI$26=Brand_Profile!$H$15,IF(ISNUMBER(KOL_Source_Data!$AJ$26),KOL_Source_Data!$AJ$26,0),0)+IF(KOL_Source_Data!$AK$26=Brand_Profile!$H$15,IF(ISNUMBER(KOL_Source_Data!$AL$26),KOL_Source_Data!$AL$26,0),0))/Lookup_Lists!$D$317*100,0)))),IF(NOT(ISNUMBER(KOL_Source_Data!$AM$26)),"N/A",MIN(100,ROUND((IF(KOL_Source_Data!$AG$26=Brand_Profile!$H$15,IF(ISNUMBER(KOL_Source_Data!$AH$26),KOL_Source_Data!$AH$26,0),0)+IF(KOL_Source_Data!$AI$26=Brand_Profile!$H$15,IF(ISNUMBER(KOL_Source_Data!$AJ$26),KOL_Source_Data!$AJ$26,0),0)+IF(KOL_Source_Data!$AK$26=Brand_Profile!$H$15,IF(ISNUMBER(KOL_Source_Data!$AL$26),KOL_Source_Data!$AL$26,0),0))/Lookup_Lists!$D$317*100,0)))*Lookup_Lists!$D$120,0))/(IF(ISNUMBER(IF(NOT(ISNUMBER(KOL_Source_Data!$AE$26)),"N/A",IF(KOL_Source_Data!$AD$26&lt;&gt;Brand_Profile!$H$14,Lookup_Lists!$D$151,MIN(100,ROUND(KOL_Source_Data!$AE$26/Lookup_Lists!$D$316*100,0))))),Lookup_Lists!$D$118,0)+IF(ISNUMBER(IF(NOT(ISNUMBER(KOL_Source_Data!$AM$26)),"N/A",MIN(100,ROUND((IF(KOL_Source_Data!$AG$26=Brand_Profile!$H$15,IF(ISNUMBER(KOL_Source_Data!$AH$26),KOL_Source_Data!$AH$26,0),0)+IF(KOL_Source_Data!$AI$26=Brand_Profile!$H$15,IF(ISNUMBER(KOL_Source_Data!$AJ$26),KOL_Source_Data!$AJ$26,0),0)+IF(KOL_Source_Data!$AK$26=Brand_Profile!$H$15,IF(ISNUMBER(KOL_Source_Data!$AL$26),KOL_Source_Data!$AL$26,0),0))/Lookup_Lists!$D$317*100,0)))),Lookup_Lists!$D$120,0)),0))</f>
      </c>
      <c r="R98" s="18">
        <f>IF(NOT(ISNUMBER(KOL_Source_Data!$AN$26)),"N/A",MIN(100,ROUND((IF(ISNUMBER(KOL_Source_Data!$AO$26),KOL_Source_Data!$AO$26*Brand_Profile!$H$17,0)+IF(ISNUMBER(KOL_Source_Data!$AP$26),KOL_Source_Data!$AP$26*Brand_Profile!$H$18,0)+IF(ISNUMBER(KOL_Source_Data!$AQ$26),KOL_Source_Data!$AQ$26*Brand_Profile!$H$19,0)+IF(ISNUMBER(KOL_Source_Data!$AR$26),KOL_Source_Data!$AR$26*Brand_Profile!$H$20,0)+IF(ISNUMBER(KOL_Source_Data!$AS$26),KOL_Source_Data!$AS$26*Brand_Profile!$H$21,0)+IF(ISNUMBER(KOL_Source_Data!$AT$26),KOL_Source_Data!$AT$26*Brand_Profile!$H$22,0)+IF(ISNUMBER(KOL_Source_Data!$AU$26),KOL_Source_Data!$AU$26*Brand_Profile!$H$23,0)+IF(ISNUMBER(KOL_Source_Data!$AV$26),KOL_Source_Data!$AV$26*Brand_Profile!$H$24,0)+IF(ISNUMBER(KOL_Source_Data!$AW$26),KOL_Source_Data!$AW$26*Brand_Profile!$H$25,0)+IF(ISNUMBER(KOL_Source_Data!$AX$26),KOL_Source_Data!$AX$26*Brand_Profile!$H$26,0)+IF(ISNUMBER(KOL_Source_Data!$AY$26),KOL_Source_Data!$AY$26*Brand_Profile!$H$27,0)+IF(ISNUMBER(KOL_Source_Data!$AZ$26),KOL_Source_Data!$AZ$26*Brand_Profile!$H$28,0)+IF(ISNUMBER(KOL_Source_Data!$BA$26),KOL_Source_Data!$BA$26*Brand_Profile!$H$29,0)+IF(ISNUMBER(KOL_Source_Data!$BB$26),KOL_Source_Data!$BB$26*Brand_Profile!$H$30,0)+IF(ISNUMBER(KOL_Source_Data!$BC$26),KOL_Source_Data!$BC$26*Brand_Profile!$H$31,0)+IF(ISNUMBER(KOL_Source_Data!$BD$26),KOL_Source_Data!$BD$26*Brand_Profile!$H$32,0)+IF(ISNUMBER(KOL_Source_Data!$BE$26),KOL_Source_Data!$BE$26*Brand_Profile!$H$33,0)+IF(ISNUMBER(KOL_Source_Data!$BF$26),KOL_Source_Data!$BF$26*Brand_Profile!$H$34,0))/Lookup_Lists!$D$318*100,0)))</f>
      </c>
      <c r="S98" s="29">
        <f>IF((IF(ISNUMBER(Matching_Engine!$O$98),Lookup_Lists!$D$113,0)+IF(ISNUMBER(Matching_Engine!$P$98),Lookup_Lists!$D$114,0)+IF(ISNUMBER(Matching_Engine!$Q$98),Lookup_Lists!$D$115,0)+IF(ISNUMBER(Matching_Engine!$R$98),Lookup_Lists!$D$116,0))=0,"N/A",ROUND((IF(ISNUMBER(Matching_Engine!$O$98),Matching_Engine!$O$98*Lookup_Lists!$D$113,0)+IF(ISNUMBER(Matching_Engine!$P$98),Matching_Engine!$P$98*Lookup_Lists!$D$114,0)+IF(ISNUMBER(Matching_Engine!$Q$98),Matching_Engine!$Q$98*Lookup_Lists!$D$115,0)+IF(ISNUMBER(Matching_Engine!$R$98),Matching_Engine!$R$98*Lookup_Lists!$D$116,0))/(IF(ISNUMBER(Matching_Engine!$O$98),Lookup_Lists!$D$113,0)+IF(ISNUMBER(Matching_Engine!$P$98),Lookup_Lists!$D$114,0)+IF(ISNUMBER(Matching_Engine!$Q$98),Lookup_Lists!$D$115,0)+IF(ISNUMBER(Matching_Engine!$R$98),Lookup_Lists!$D$116,0)),0))</f>
      </c>
      <c r="T98" s="11">
        <f>IF(ISNUMBER(Matching_Engine!$S$98),1,0)</f>
      </c>
      <c r="U98" s="18">
        <f>IF(NOT(AND(ISTEXT(KOL_Source_Data!$M$26),KOL_Source_Data!$M$26&lt;&gt;"N/A")),Lookup_Lists!$D$150,IF(Brand_Profile!$H$7=KOL_Source_Data!$M$26,100,IFERROR(INDEX(Lookup_Lists!$B$349:$J$357,MATCH(Brand_Profile!$H$7,Lookup_Lists!$A$349:$A$357,0),MATCH(KOL_Source_Data!$M$26,Lookup_Lists!$B$348:$J$348,0)),Lookup_Lists!$D$151)))</f>
      </c>
      <c r="V98" s="18">
        <f>IF(NOT(AND(ISTEXT(KOL_Source_Data!$P$26),KOL_Source_Data!$P$26&lt;&gt;"N/A")),"N/A",IFERROR(INDEX(Lookup_Lists!$B$349:$J$357,MATCH(Brand_Profile!$H$7,Lookup_Lists!$A$349:$A$357,0),MATCH(KOL_Source_Data!$P$26,Lookup_Lists!$B$348:$J$348,0)),Lookup_Lists!$D$151))</f>
      </c>
      <c r="W98" s="18">
        <f>IF(LEN(TRIM(SUBSTITUTE(Matching_Engine!$BE$98,"|","")))=0,"N/A",IF(Brand_Profile!$H$60=0,Lookup_Lists!$D$150,ROUND((IF(Brand_Profile!$H$54="",0,IF(ISNUMBER(SEARCH(Brand_Profile!$H$54,Matching_Engine!$BE$98)),1,0))+IF(Brand_Profile!$H$55="",0,IF(ISNUMBER(SEARCH(Brand_Profile!$H$55,Matching_Engine!$BE$98)),1,0))+IF(Brand_Profile!$H$56="",0,IF(ISNUMBER(SEARCH(Brand_Profile!$H$56,Matching_Engine!$BE$98)),1,0))+IF(Brand_Profile!$H$57="",0,IF(ISNUMBER(SEARCH(Brand_Profile!$H$57,Matching_Engine!$BE$98)),1,0))+IF(Brand_Profile!$H$58="",0,IF(ISNUMBER(SEARCH(Brand_Profile!$H$58,Matching_Engine!$BE$98)),1,0))+IF(Brand_Profile!$H$59="",0,IF(ISNUMBER(SEARCH(Brand_Profile!$H$59,Matching_Engine!$BE$98)),1,0)))/Brand_Profile!$H$60*100,0)))</f>
      </c>
      <c r="X98" s="18">
        <f>IF(NOT(AND(ISTEXT(KOL_Source_Data!$Q$26),KOL_Source_Data!$Q$26&lt;&gt;"N/A")),"N/A",Lookup_Lists!$D$150)</f>
      </c>
      <c r="Y98" s="29">
        <f>IF((IF(ISNUMBER(Matching_Engine!$U$98),Lookup_Lists!$D$335,0)+IF(ISNUMBER(Matching_Engine!$V$98),Lookup_Lists!$D$122,0)+IF(ISNUMBER(Matching_Engine!$W$98),Lookup_Lists!$D$336,0)+IF(ISNUMBER(Matching_Engine!$X$98),Lookup_Lists!$D$124,0))=0,"N/A",ROUND((IF(ISNUMBER(Matching_Engine!$U$98),Matching_Engine!$U$98*Lookup_Lists!$D$335,0)+IF(ISNUMBER(Matching_Engine!$V$98),Matching_Engine!$V$98*Lookup_Lists!$D$122,0)+IF(ISNUMBER(Matching_Engine!$W$98),Matching_Engine!$W$98*Lookup_Lists!$D$336,0)+IF(ISNUMBER(Matching_Engine!$X$98),Matching_Engine!$X$98*Lookup_Lists!$D$124,0))/(IF(ISNUMBER(Matching_Engine!$U$98),Lookup_Lists!$D$335,0)+IF(ISNUMBER(Matching_Engine!$V$98),Lookup_Lists!$D$122,0)+IF(ISNUMBER(Matching_Engine!$W$98),Lookup_Lists!$D$336,0)+IF(ISNUMBER(Matching_Engine!$X$98),Lookup_Lists!$D$124,0)),0))</f>
      </c>
      <c r="Z98" s="11">
        <f>IF(ISNUMBER(Matching_Engine!$Y$98),1,0)</f>
      </c>
      <c r="AA98" s="18">
        <f>IF(NOT(AND(ISTEXT(KOL_Source_Data!$Q$26),KOL_Source_Data!$Q$26&lt;&gt;"N/A")),"N/A",Lookup_Lists!$D$150)</f>
      </c>
      <c r="AB98" s="18">
        <f>IF(NOT(AND(ISTEXT(KOL_Source_Data!$Q$26),KOL_Source_Data!$Q$26&lt;&gt;"N/A")),"N/A",Lookup_Lists!$D$150)</f>
      </c>
      <c r="AC98" s="18">
        <f>"N/A"</f>
      </c>
      <c r="AD98" s="18">
        <f>IF(NOT(AND(ISTEXT(KOL_Source_Data!$Q$26),KOL_Source_Data!$Q$26&lt;&gt;"N/A")),"N/A",Lookup_Lists!$D$150)</f>
      </c>
      <c r="AE98" s="29">
        <f>IF((IF(ISNUMBER(Matching_Engine!$AA$98),Lookup_Lists!$D$125,0)+IF(ISNUMBER(Matching_Engine!$AB$98),Lookup_Lists!$D$126,0)+IF(ISNUMBER(Matching_Engine!$AC$98),Lookup_Lists!$D$127,0)+IF(ISNUMBER(Matching_Engine!$AD$98),Lookup_Lists!$D$128,0))=0,"N/A",ROUND((IF(ISNUMBER(Matching_Engine!$AA$98),Matching_Engine!$AA$98*Lookup_Lists!$D$125,0)+IF(ISNUMBER(Matching_Engine!$AB$98),Matching_Engine!$AB$98*Lookup_Lists!$D$126,0)+IF(ISNUMBER(Matching_Engine!$AC$98),Matching_Engine!$AC$98*Lookup_Lists!$D$127,0)+IF(ISNUMBER(Matching_Engine!$AD$98),Matching_Engine!$AD$98*Lookup_Lists!$D$128,0))/(IF(ISNUMBER(Matching_Engine!$AA$98),Lookup_Lists!$D$125,0)+IF(ISNUMBER(Matching_Engine!$AB$98),Lookup_Lists!$D$126,0)+IF(ISNUMBER(Matching_Engine!$AC$98),Lookup_Lists!$D$127,0)+IF(ISNUMBER(Matching_Engine!$AD$98),Lookup_Lists!$D$128,0)),0))</f>
      </c>
      <c r="AF98" s="11">
        <f>IF(ISNUMBER(Matching_Engine!$AE$98),1,0)</f>
      </c>
      <c r="AG98" s="18">
        <f>IF(NOT(ISNUMBER(KOL_Source_Data!$BG$26)),"N/A",MIN(100,ROUND(KOL_Source_Data!$BG$26/IFERROR(INDEX(Lookup_Lists!$B$340:$B$344,MATCH(KOL_Source_Data!$H$26,Lookup_Lists!$A$340:$A$344,0)),Lookup_Lists!$D$141)*100,0)))</f>
      </c>
      <c r="AH98" s="18">
        <f>IF(NOT(ISNUMBER(KOL_Source_Data!$BS$26)),"N/A",MIN(100,MAX(0,KOL_Source_Data!$BS$26)))</f>
      </c>
      <c r="AI98" s="18">
        <f>IF(OR(NOT(ISNUMBER(KOL_Source_Data!$BM$26)),NOT(ISNUMBER(KOL_Source_Data!$BN$26)),KOL_Source_Data!$BN$26&lt;Lookup_Lists!$D$320),"N/A",MIN(100,ROUND(KOL_Source_Data!$BM$26/Lookup_Lists!$D$319*100,0)))</f>
      </c>
      <c r="AJ98" s="18">
        <f>IF(NOT(ISNUMBER(KOL_Source_Data!$BR$26)),"N/A",KOL_Source_Data!$BR$26)</f>
      </c>
      <c r="AK98" s="18">
        <f>IF(NOT(ISNUMBER(KOL_Source_Data!$BK$26)),"N/A",MIN(100,ROUND(KOL_Source_Data!$BK$26/Lookup_Lists!$D$321*100,0)))</f>
      </c>
      <c r="AL98" s="18">
        <f>IF(NOT(ISNUMBER(KOL_Source_Data!$BP$26)),"N/A",MIN(100,MAX(0,ROUND((KOL_Source_Data!$BP$26+2)/(Lookup_Lists!$D$145+2)*100,0))))</f>
      </c>
      <c r="AM98" s="29">
        <f>IF((IF(ISNUMBER(Matching_Engine!$AG$98),Lookup_Lists!$D$129,0)+IF(ISNUMBER(Matching_Engine!$AH$98),Lookup_Lists!$D$130,0)+IF(ISNUMBER(Matching_Engine!$AI$98),Lookup_Lists!$D$131,0)+IF(ISNUMBER(Matching_Engine!$AJ$98),Lookup_Lists!$D$132,0)+IF(ISNUMBER(Matching_Engine!$AK$98),Lookup_Lists!$D$133,0)+IF(ISNUMBER(Matching_Engine!$AL$98),Lookup_Lists!$D$134,0))=0,"N/A",ROUND((IF(ISNUMBER(Matching_Engine!$AG$98),Matching_Engine!$AG$98*Lookup_Lists!$D$129,0)+IF(ISNUMBER(Matching_Engine!$AH$98),Matching_Engine!$AH$98*Lookup_Lists!$D$130,0)+IF(ISNUMBER(Matching_Engine!$AI$98),Matching_Engine!$AI$98*Lookup_Lists!$D$131,0)+IF(ISNUMBER(Matching_Engine!$AJ$98),Matching_Engine!$AJ$98*Lookup_Lists!$D$132,0)+IF(ISNUMBER(Matching_Engine!$AK$98),Matching_Engine!$AK$98*Lookup_Lists!$D$133,0)+IF(ISNUMBER(Matching_Engine!$AL$98),Matching_Engine!$AL$98*Lookup_Lists!$D$134,0))/(IF(ISNUMBER(Matching_Engine!$AG$98),Lookup_Lists!$D$129,0)+IF(ISNUMBER(Matching_Engine!$AH$98),Lookup_Lists!$D$130,0)+IF(ISNUMBER(Matching_Engine!$AI$98),Lookup_Lists!$D$131,0)+IF(ISNUMBER(Matching_Engine!$AJ$98),Lookup_Lists!$D$132,0)+IF(ISNUMBER(Matching_Engine!$AK$98),Lookup_Lists!$D$133,0)+IF(ISNUMBER(Matching_Engine!$AL$98),Lookup_Lists!$D$134,0)),0))</f>
      </c>
      <c r="AN98" s="11">
        <f>IF(ISNUMBER(Matching_Engine!$AM$98),1,0)</f>
      </c>
      <c r="AO98" s="18">
        <f>IF(NOT(ISNUMBER(KOL_Source_Data!$BT$26)),"N/A",MIN(100,MAX(0,KOL_Source_Data!$BT$26)))</f>
      </c>
      <c r="AP98" s="18">
        <f>IF(NOT(ISNUMBER(KOL_Source_Data!$BU$26)),"N/A",MIN(100,MAX(0,KOL_Source_Data!$BU$26)))</f>
      </c>
      <c r="AQ98" s="18">
        <f>IF(KOL_Source_Data!$I$26="Yes",Lookup_Lists!$D$326,IF(KOL_Source_Data!$I$26="No",Lookup_Lists!$D$327,"N/A"))</f>
      </c>
      <c r="AR98" s="18">
        <f>IF(NOT(ISNUMBER(KOL_Source_Data!$BQ$26)),"N/A",MAX(0,ROUND(100-KOL_Source_Data!$BQ$26/Lookup_Lists!$D$328*100,0)))</f>
      </c>
      <c r="AS98" s="18">
        <f>IF(NOT(AND(ISTEXT(KOL_Source_Data!$BV$26),KOL_Source_Data!$BV$26&lt;&gt;"N/A")),"N/A",KOL_Source_Data!$BV$26)</f>
      </c>
      <c r="AT98" s="29">
        <f>IF((IF(ISNUMBER(Matching_Engine!$AO$98),Lookup_Lists!$D$322,0)+IF(ISNUMBER(Matching_Engine!$AP$98),Lookup_Lists!$D$323,0)+IF(ISNUMBER(Matching_Engine!$AQ$98),Lookup_Lists!$D$324,0)+IF(ISNUMBER(Matching_Engine!$AR$98),Lookup_Lists!$D$325,0))=0,"N/A",ROUND((IF(ISNUMBER(Matching_Engine!$AO$98),Matching_Engine!$AO$98*Lookup_Lists!$D$322,0)+IF(ISNUMBER(Matching_Engine!$AP$98),Matching_Engine!$AP$98*Lookup_Lists!$D$323,0)+IF(ISNUMBER(Matching_Engine!$AQ$98),Matching_Engine!$AQ$98*Lookup_Lists!$D$324,0)+IF(ISNUMBER(Matching_Engine!$AR$98),Matching_Engine!$AR$98*Lookup_Lists!$D$325,0))/(IF(ISNUMBER(Matching_Engine!$AO$98),Lookup_Lists!$D$322,0)+IF(ISNUMBER(Matching_Engine!$AP$98),Lookup_Lists!$D$323,0)+IF(ISNUMBER(Matching_Engine!$AQ$98),Lookup_Lists!$D$324,0)+IF(ISNUMBER(Matching_Engine!$AR$98),Lookup_Lists!$D$325,0)),0))</f>
      </c>
      <c r="AU98" s="11">
        <f>IF(ISNUMBER(Matching_Engine!$AT$98),1,0)</f>
      </c>
      <c r="AV98" s="11">
        <f>IF(NOT(ISNUMBER(Matching_Engine!$AT$98)),"Not Screened",IF(Matching_Engine!$AT$98&gt;=Lookup_Lists!$D$329,"Low Risk",IF(Matching_Engine!$AT$98&gt;=Lookup_Lists!$D$330,"Moderate Risk",IF(Matching_Engine!$AT$98&gt;=Lookup_Lists!$D$331,"Elevated Risk","High Risk"))))</f>
      </c>
      <c r="AW98" s="11">
        <f>IF(NOT(ISNUMBER(Matching_Engine!$AT$98)),"No integrity signal: no audience-analysis row for this account.","Integrity screen only — no content-risk reading exists (comments_analysis: 0 rows). "&amp;IF(ISNUMBER(Matching_Engine!$AO$98),"Authenticity "&amp;Matching_Engine!$AO$98&amp;". ","Authenticity N/A. ")&amp;IF(ISNUMBER(Matching_Engine!$AP$98),"Follower quality "&amp;Matching_Engine!$AP$98&amp;". ","Follower quality N/A. ")&amp;IF(KOL_Source_Data!$I$26="Yes","Platform-verified.","Not platform-verified."))</f>
      </c>
      <c r="AX98" s="18">
        <f>Matching_Engine!$N$98*Lookup_Lists!$D$104+Matching_Engine!$T$98*Lookup_Lists!$D$105+Matching_Engine!$Z$98*Lookup_Lists!$D$106+Matching_Engine!$AF$98*Lookup_Lists!$D$107+Matching_Engine!$AN$98*Lookup_Lists!$D$108+Matching_Engine!$AU$98*Lookup_Lists!$D$109</f>
      </c>
      <c r="AY98" s="30">
        <f>IF(Matching_Engine!$AX$98=0,"N/A",ROUND((IF(Matching_Engine!$N$98=1,Matching_Engine!$M$98*Lookup_Lists!$D$104,0)+IF(Matching_Engine!$T$98=1,Matching_Engine!$S$98*Lookup_Lists!$D$105,0)+IF(Matching_Engine!$Z$98=1,Matching_Engine!$Y$98*Lookup_Lists!$D$106,0)+IF(Matching_Engine!$AF$98=1,Matching_Engine!$AE$98*Lookup_Lists!$D$107,0)+IF(Matching_Engine!$AN$98=1,Matching_Engine!$AM$98*Lookup_Lists!$D$108,0)+IF(Matching_Engine!$AU$98=1,Matching_Engine!$AT$98*Lookup_Lists!$D$109,0))/Matching_Engine!$AX$98,0))</f>
      </c>
      <c r="AZ98" s="11">
        <f>IF(NOT(ISNUMBER(Matching_Engine!$AY$98)),"Not Scored",IF(Matching_Engine!$AY$98&gt;=Lookup_Lists!$D$152,"Excellent Match",IF(Matching_Engine!$AY$98&gt;=Lookup_Lists!$D$153,"Strong Match",IF(Matching_Engine!$AY$98&gt;=Lookup_Lists!$D$154,"Good Match",IF(Matching_Engine!$AY$98&gt;=Lookup_Lists!$D$155,"Moderate Match","Low Match")))))</f>
      </c>
      <c r="BA98" s="18">
        <f>KOL_Source_Data!$BW$26</f>
      </c>
      <c r="BB98" s="11">
        <f>KOL_Source_Data!$BX$26</f>
      </c>
      <c r="BC98" s="18">
        <f>IF(NOT(ISNUMBER(Matching_Engine!$AY$98)),-1,Matching_Engine!$AY$98*1000+4)</f>
      </c>
      <c r="BD98" s="11">
        <f>IF(AND(ISTEXT(KOL_Source_Data!$S$26),KOL_Source_Data!$S$26&lt;&gt;"N/A"),KOL_Source_Data!$S$26,"")&amp;" | "&amp;IF(AND(ISTEXT(KOL_Source_Data!$T$26),KOL_Source_Data!$T$26&lt;&gt;"N/A"),KOL_Source_Data!$T$26,"")&amp;" | "&amp;IF(AND(ISTEXT(KOL_Source_Data!$N$26),KOL_Source_Data!$N$26&lt;&gt;"N/A"),KOL_Source_Data!$N$26,"")&amp;" | "&amp;IF(AND(ISTEXT(KOL_Source_Data!$K$26),KOL_Source_Data!$K$26&lt;&gt;"N/A"),KOL_Source_Data!$K$26,"")&amp;" | "&amp;IF(AND(ISTEXT(KOL_Source_Data!$J$26),KOL_Source_Data!$J$26&lt;&gt;"N/A"),KOL_Source_Data!$J$26,"")</f>
      </c>
      <c r="BE98" s="11">
        <f>IF(AND(ISTEXT(KOL_Source_Data!$T$26),KOL_Source_Data!$T$26&lt;&gt;"N/A"),KOL_Source_Data!$T$26,"")&amp;" | "&amp;IF(AND(ISTEXT(KOL_Source_Data!$N$26),KOL_Source_Data!$N$26&lt;&gt;"N/A"),KOL_Source_Data!$N$26,"")&amp;" | "&amp;IF(AND(ISTEXT(KOL_Source_Data!$O$26),KOL_Source_Data!$O$26&lt;&gt;"N/A"),KOL_Source_Data!$O$26,"")&amp;" | "&amp;IF(AND(ISTEXT(KOL_Source_Data!$S$26),KOL_Source_Data!$S$26&lt;&gt;"N/A"),KOL_Source_Data!$S$26,"")</f>
      </c>
      <c r="BF98" s="11">
        <f>IF(AND(ISTEXT(KOL_Source_Data!$U$26),KOL_Source_Data!$U$26&lt;&gt;"N/A"),KOL_Source_Data!$U$26,"")</f>
      </c>
      <c r="BG98" s="11">
        <f>Matching_Engine!$A$98&amp;"|"&amp;Matching_Engine!$C$98</f>
      </c>
    </row>
    <row r="99" spans="1:59" x14ac:dyDescent="0.25">
      <c r="A99" s="10" t="s">
        <v>393</v>
      </c>
      <c r="B99" s="11">
        <f>Brand_Profile!$H$6</f>
      </c>
      <c r="C99" s="11">
        <f>KOL_Source_Data!$A$27</f>
      </c>
      <c r="D99" s="11">
        <f>KOL_Source_Data!$C$27</f>
      </c>
      <c r="E99" s="11">
        <f>KOL_Source_Data!$D$27</f>
      </c>
      <c r="F99" s="11">
        <f>KOL_Source_Data!$E$27</f>
      </c>
      <c r="G99" s="11">
        <f>KOL_Source_Data!$K$27</f>
      </c>
      <c r="H99" s="12">
        <f>KOL_Source_Data!$G$27</f>
      </c>
      <c r="I99" s="14">
        <f>KOL_Source_Data!$BG$27</f>
      </c>
      <c r="J99" s="18">
        <f>IF(NOT(AND(ISTEXT(KOL_Source_Data!$K$27),KOL_Source_Data!$K$27&lt;&gt;"N/A")),Lookup_Lists!$D$150,IF(Brand_Profile!$H$7=KOL_Source_Data!$K$27,100,IFERROR(INDEX(Lookup_Lists!$B$349:$J$357,MATCH(Brand_Profile!$H$7,Lookup_Lists!$A$349:$A$357,0),MATCH(KOL_Source_Data!$K$27,Lookup_Lists!$B$348:$J$348,0)),Lookup_Lists!$D$151)))</f>
      </c>
      <c r="K99" s="18">
        <f>IF(LEN(TRIM(SUBSTITUTE(Matching_Engine!$BD$99,"|","")))=0,"N/A",IF(Brand_Profile!$H$47=0,Lookup_Lists!$D$150,ROUND((IF(Brand_Profile!$H$41="",0,IF(ISNUMBER(SEARCH(Brand_Profile!$H$41,Matching_Engine!$BD$99)),1,0))+IF(Brand_Profile!$H$42="",0,IF(ISNUMBER(SEARCH(Brand_Profile!$H$42,Matching_Engine!$BD$99)),1,0))+IF(Brand_Profile!$H$43="",0,IF(ISNUMBER(SEARCH(Brand_Profile!$H$43,Matching_Engine!$BD$99)),1,0))+IF(Brand_Profile!$H$44="",0,IF(ISNUMBER(SEARCH(Brand_Profile!$H$44,Matching_Engine!$BD$99)),1,0))+IF(Brand_Profile!$H$45="",0,IF(ISNUMBER(SEARCH(Brand_Profile!$H$45,Matching_Engine!$BD$99)),1,0))+IF(Brand_Profile!$H$46="",0,IF(ISNUMBER(SEARCH(Brand_Profile!$H$46,Matching_Engine!$BD$99)),1,0)))/Brand_Profile!$H$47*100,0)))</f>
      </c>
      <c r="L99" s="18">
        <f>IF(NOT(AND(ISTEXT(KOL_Source_Data!$U$27),KOL_Source_Data!$U$27&lt;&gt;"N/A")),"N/A",IF(Brand_Profile!$H$53=0,Lookup_Lists!$D$150,ROUND((IF(Brand_Profile!$H$48="",0,IF(ISNUMBER(SEARCH(Brand_Profile!$H$48,Matching_Engine!$BF$99)),1,0))+IF(Brand_Profile!$H$49="",0,IF(ISNUMBER(SEARCH(Brand_Profile!$H$49,Matching_Engine!$BF$99)),1,0))+IF(Brand_Profile!$H$50="",0,IF(ISNUMBER(SEARCH(Brand_Profile!$H$50,Matching_Engine!$BF$99)),1,0))+IF(Brand_Profile!$H$51="",0,IF(ISNUMBER(SEARCH(Brand_Profile!$H$51,Matching_Engine!$BF$99)),1,0))+IF(Brand_Profile!$H$52="",0,IF(ISNUMBER(SEARCH(Brand_Profile!$H$52,Matching_Engine!$BF$99)),1,0)))/Brand_Profile!$H$53*100,0)))</f>
      </c>
      <c r="M99" s="29">
        <f>IF((IF(ISNUMBER(Matching_Engine!$J$99),Lookup_Lists!$D$332,0)+IF(ISNUMBER(Matching_Engine!$K$99),Lookup_Lists!$D$333,0)+IF(ISNUMBER(Matching_Engine!$L$99),Lookup_Lists!$D$334,0))=0,"N/A",ROUND((IF(ISNUMBER(Matching_Engine!$J$99),Matching_Engine!$J$99*Lookup_Lists!$D$332,0)+IF(ISNUMBER(Matching_Engine!$K$99),Matching_Engine!$K$99*Lookup_Lists!$D$333,0)+IF(ISNUMBER(Matching_Engine!$L$99),Matching_Engine!$L$99*Lookup_Lists!$D$334,0))/(IF(ISNUMBER(Matching_Engine!$J$99),Lookup_Lists!$D$332,0)+IF(ISNUMBER(Matching_Engine!$K$99),Lookup_Lists!$D$333,0)+IF(ISNUMBER(Matching_Engine!$L$99),Lookup_Lists!$D$334,0)),0))</f>
      </c>
      <c r="N99" s="11">
        <f>IF(ISNUMBER(Matching_Engine!$M$99),1,0)</f>
      </c>
      <c r="O99" s="18">
        <f>IF(NOT(ISNUMBER(IFERROR(INDEX(KOL_Source_Data!$V$27:KOL_Source_Data!$Z$27,1,MATCH(Brand_Profile!$H$11,Lookup_Lists!$F$6:$F$10,0)),""))),"N/A",MIN(100,ROUND((IFERROR(INDEX(KOL_Source_Data!$V$27:KOL_Source_Data!$Z$27,1,MATCH(Brand_Profile!$H$11,Lookup_Lists!$F$6:$F$10,0)),"")+0.5*IF(ISNUMBER(IFERROR(INDEX(KOL_Source_Data!$V$27:KOL_Source_Data!$Z$27,1,MATCH(Brand_Profile!$H$12,Lookup_Lists!$F$6:$F$10,0)),"")),IFERROR(INDEX(KOL_Source_Data!$V$27:KOL_Source_Data!$Z$27,1,MATCH(Brand_Profile!$H$12,Lookup_Lists!$F$6:$F$10,0)),""),0))/Lookup_Lists!$D$142*100,0)))</f>
      </c>
      <c r="P99" s="18">
        <f>IF(Brand_Profile!$H$13="Any",100,IF(NOT(ISNUMBER(KOL_Source_Data!$AA$27)),"N/A",IF(Brand_Profile!$H$13="Female",MIN(100,ROUND(KOL_Source_Data!$AA$27/Lookup_Lists!$D$143*100,0)),IF(Brand_Profile!$H$13="Male",MIN(100,ROUND(IF(ISNUMBER(KOL_Source_Data!$AB$27),KOL_Source_Data!$AB$27,100-KOL_Source_Data!$AA$27)/Lookup_Lists!$D$143*100,0)),MAX(0,ROUND(100-ABS(KOL_Source_Data!$AA$27-50)*2,0))))))</f>
      </c>
      <c r="Q99" s="18">
        <f>IF((IF(ISNUMBER(IF(NOT(ISNUMBER(KOL_Source_Data!$AE$27)),"N/A",IF(KOL_Source_Data!$AD$27&lt;&gt;Brand_Profile!$H$14,Lookup_Lists!$D$151,MIN(100,ROUND(KOL_Source_Data!$AE$27/Lookup_Lists!$D$316*100,0))))),Lookup_Lists!$D$118,0)+IF(ISNUMBER(IF(NOT(ISNUMBER(KOL_Source_Data!$AM$27)),"N/A",MIN(100,ROUND((IF(KOL_Source_Data!$AG$27=Brand_Profile!$H$15,IF(ISNUMBER(KOL_Source_Data!$AH$27),KOL_Source_Data!$AH$27,0),0)+IF(KOL_Source_Data!$AI$27=Brand_Profile!$H$15,IF(ISNUMBER(KOL_Source_Data!$AJ$27),KOL_Source_Data!$AJ$27,0),0)+IF(KOL_Source_Data!$AK$27=Brand_Profile!$H$15,IF(ISNUMBER(KOL_Source_Data!$AL$27),KOL_Source_Data!$AL$27,0),0))/Lookup_Lists!$D$317*100,0)))),Lookup_Lists!$D$120,0))=0,"N/A",ROUND((IF(ISNUMBER(IF(NOT(ISNUMBER(KOL_Source_Data!$AE$27)),"N/A",IF(KOL_Source_Data!$AD$27&lt;&gt;Brand_Profile!$H$14,Lookup_Lists!$D$151,MIN(100,ROUND(KOL_Source_Data!$AE$27/Lookup_Lists!$D$316*100,0))))),IF(NOT(ISNUMBER(KOL_Source_Data!$AE$27)),"N/A",IF(KOL_Source_Data!$AD$27&lt;&gt;Brand_Profile!$H$14,Lookup_Lists!$D$151,MIN(100,ROUND(KOL_Source_Data!$AE$27/Lookup_Lists!$D$316*100,0))))*Lookup_Lists!$D$118,0)+IF(ISNUMBER(IF(NOT(ISNUMBER(KOL_Source_Data!$AM$27)),"N/A",MIN(100,ROUND((IF(KOL_Source_Data!$AG$27=Brand_Profile!$H$15,IF(ISNUMBER(KOL_Source_Data!$AH$27),KOL_Source_Data!$AH$27,0),0)+IF(KOL_Source_Data!$AI$27=Brand_Profile!$H$15,IF(ISNUMBER(KOL_Source_Data!$AJ$27),KOL_Source_Data!$AJ$27,0),0)+IF(KOL_Source_Data!$AK$27=Brand_Profile!$H$15,IF(ISNUMBER(KOL_Source_Data!$AL$27),KOL_Source_Data!$AL$27,0),0))/Lookup_Lists!$D$317*100,0)))),IF(NOT(ISNUMBER(KOL_Source_Data!$AM$27)),"N/A",MIN(100,ROUND((IF(KOL_Source_Data!$AG$27=Brand_Profile!$H$15,IF(ISNUMBER(KOL_Source_Data!$AH$27),KOL_Source_Data!$AH$27,0),0)+IF(KOL_Source_Data!$AI$27=Brand_Profile!$H$15,IF(ISNUMBER(KOL_Source_Data!$AJ$27),KOL_Source_Data!$AJ$27,0),0)+IF(KOL_Source_Data!$AK$27=Brand_Profile!$H$15,IF(ISNUMBER(KOL_Source_Data!$AL$27),KOL_Source_Data!$AL$27,0),0))/Lookup_Lists!$D$317*100,0)))*Lookup_Lists!$D$120,0))/(IF(ISNUMBER(IF(NOT(ISNUMBER(KOL_Source_Data!$AE$27)),"N/A",IF(KOL_Source_Data!$AD$27&lt;&gt;Brand_Profile!$H$14,Lookup_Lists!$D$151,MIN(100,ROUND(KOL_Source_Data!$AE$27/Lookup_Lists!$D$316*100,0))))),Lookup_Lists!$D$118,0)+IF(ISNUMBER(IF(NOT(ISNUMBER(KOL_Source_Data!$AM$27)),"N/A",MIN(100,ROUND((IF(KOL_Source_Data!$AG$27=Brand_Profile!$H$15,IF(ISNUMBER(KOL_Source_Data!$AH$27),KOL_Source_Data!$AH$27,0),0)+IF(KOL_Source_Data!$AI$27=Brand_Profile!$H$15,IF(ISNUMBER(KOL_Source_Data!$AJ$27),KOL_Source_Data!$AJ$27,0),0)+IF(KOL_Source_Data!$AK$27=Brand_Profile!$H$15,IF(ISNUMBER(KOL_Source_Data!$AL$27),KOL_Source_Data!$AL$27,0),0))/Lookup_Lists!$D$317*100,0)))),Lookup_Lists!$D$120,0)),0))</f>
      </c>
      <c r="R99" s="18">
        <f>IF(NOT(ISNUMBER(KOL_Source_Data!$AN$27)),"N/A",MIN(100,ROUND((IF(ISNUMBER(KOL_Source_Data!$AO$27),KOL_Source_Data!$AO$27*Brand_Profile!$H$17,0)+IF(ISNUMBER(KOL_Source_Data!$AP$27),KOL_Source_Data!$AP$27*Brand_Profile!$H$18,0)+IF(ISNUMBER(KOL_Source_Data!$AQ$27),KOL_Source_Data!$AQ$27*Brand_Profile!$H$19,0)+IF(ISNUMBER(KOL_Source_Data!$AR$27),KOL_Source_Data!$AR$27*Brand_Profile!$H$20,0)+IF(ISNUMBER(KOL_Source_Data!$AS$27),KOL_Source_Data!$AS$27*Brand_Profile!$H$21,0)+IF(ISNUMBER(KOL_Source_Data!$AT$27),KOL_Source_Data!$AT$27*Brand_Profile!$H$22,0)+IF(ISNUMBER(KOL_Source_Data!$AU$27),KOL_Source_Data!$AU$27*Brand_Profile!$H$23,0)+IF(ISNUMBER(KOL_Source_Data!$AV$27),KOL_Source_Data!$AV$27*Brand_Profile!$H$24,0)+IF(ISNUMBER(KOL_Source_Data!$AW$27),KOL_Source_Data!$AW$27*Brand_Profile!$H$25,0)+IF(ISNUMBER(KOL_Source_Data!$AX$27),KOL_Source_Data!$AX$27*Brand_Profile!$H$26,0)+IF(ISNUMBER(KOL_Source_Data!$AY$27),KOL_Source_Data!$AY$27*Brand_Profile!$H$27,0)+IF(ISNUMBER(KOL_Source_Data!$AZ$27),KOL_Source_Data!$AZ$27*Brand_Profile!$H$28,0)+IF(ISNUMBER(KOL_Source_Data!$BA$27),KOL_Source_Data!$BA$27*Brand_Profile!$H$29,0)+IF(ISNUMBER(KOL_Source_Data!$BB$27),KOL_Source_Data!$BB$27*Brand_Profile!$H$30,0)+IF(ISNUMBER(KOL_Source_Data!$BC$27),KOL_Source_Data!$BC$27*Brand_Profile!$H$31,0)+IF(ISNUMBER(KOL_Source_Data!$BD$27),KOL_Source_Data!$BD$27*Brand_Profile!$H$32,0)+IF(ISNUMBER(KOL_Source_Data!$BE$27),KOL_Source_Data!$BE$27*Brand_Profile!$H$33,0)+IF(ISNUMBER(KOL_Source_Data!$BF$27),KOL_Source_Data!$BF$27*Brand_Profile!$H$34,0))/Lookup_Lists!$D$318*100,0)))</f>
      </c>
      <c r="S99" s="29">
        <f>IF((IF(ISNUMBER(Matching_Engine!$O$99),Lookup_Lists!$D$113,0)+IF(ISNUMBER(Matching_Engine!$P$99),Lookup_Lists!$D$114,0)+IF(ISNUMBER(Matching_Engine!$Q$99),Lookup_Lists!$D$115,0)+IF(ISNUMBER(Matching_Engine!$R$99),Lookup_Lists!$D$116,0))=0,"N/A",ROUND((IF(ISNUMBER(Matching_Engine!$O$99),Matching_Engine!$O$99*Lookup_Lists!$D$113,0)+IF(ISNUMBER(Matching_Engine!$P$99),Matching_Engine!$P$99*Lookup_Lists!$D$114,0)+IF(ISNUMBER(Matching_Engine!$Q$99),Matching_Engine!$Q$99*Lookup_Lists!$D$115,0)+IF(ISNUMBER(Matching_Engine!$R$99),Matching_Engine!$R$99*Lookup_Lists!$D$116,0))/(IF(ISNUMBER(Matching_Engine!$O$99),Lookup_Lists!$D$113,0)+IF(ISNUMBER(Matching_Engine!$P$99),Lookup_Lists!$D$114,0)+IF(ISNUMBER(Matching_Engine!$Q$99),Lookup_Lists!$D$115,0)+IF(ISNUMBER(Matching_Engine!$R$99),Lookup_Lists!$D$116,0)),0))</f>
      </c>
      <c r="T99" s="11">
        <f>IF(ISNUMBER(Matching_Engine!$S$99),1,0)</f>
      </c>
      <c r="U99" s="18">
        <f>IF(NOT(AND(ISTEXT(KOL_Source_Data!$M$27),KOL_Source_Data!$M$27&lt;&gt;"N/A")),Lookup_Lists!$D$150,IF(Brand_Profile!$H$7=KOL_Source_Data!$M$27,100,IFERROR(INDEX(Lookup_Lists!$B$349:$J$357,MATCH(Brand_Profile!$H$7,Lookup_Lists!$A$349:$A$357,0),MATCH(KOL_Source_Data!$M$27,Lookup_Lists!$B$348:$J$348,0)),Lookup_Lists!$D$151)))</f>
      </c>
      <c r="V99" s="18">
        <f>IF(NOT(AND(ISTEXT(KOL_Source_Data!$P$27),KOL_Source_Data!$P$27&lt;&gt;"N/A")),"N/A",IFERROR(INDEX(Lookup_Lists!$B$349:$J$357,MATCH(Brand_Profile!$H$7,Lookup_Lists!$A$349:$A$357,0),MATCH(KOL_Source_Data!$P$27,Lookup_Lists!$B$348:$J$348,0)),Lookup_Lists!$D$151))</f>
      </c>
      <c r="W99" s="18">
        <f>IF(LEN(TRIM(SUBSTITUTE(Matching_Engine!$BE$99,"|","")))=0,"N/A",IF(Brand_Profile!$H$60=0,Lookup_Lists!$D$150,ROUND((IF(Brand_Profile!$H$54="",0,IF(ISNUMBER(SEARCH(Brand_Profile!$H$54,Matching_Engine!$BE$99)),1,0))+IF(Brand_Profile!$H$55="",0,IF(ISNUMBER(SEARCH(Brand_Profile!$H$55,Matching_Engine!$BE$99)),1,0))+IF(Brand_Profile!$H$56="",0,IF(ISNUMBER(SEARCH(Brand_Profile!$H$56,Matching_Engine!$BE$99)),1,0))+IF(Brand_Profile!$H$57="",0,IF(ISNUMBER(SEARCH(Brand_Profile!$H$57,Matching_Engine!$BE$99)),1,0))+IF(Brand_Profile!$H$58="",0,IF(ISNUMBER(SEARCH(Brand_Profile!$H$58,Matching_Engine!$BE$99)),1,0))+IF(Brand_Profile!$H$59="",0,IF(ISNUMBER(SEARCH(Brand_Profile!$H$59,Matching_Engine!$BE$99)),1,0)))/Brand_Profile!$H$60*100,0)))</f>
      </c>
      <c r="X99" s="18">
        <f>IF(NOT(AND(ISTEXT(KOL_Source_Data!$Q$27),KOL_Source_Data!$Q$27&lt;&gt;"N/A")),"N/A",Lookup_Lists!$D$150)</f>
      </c>
      <c r="Y99" s="29">
        <f>IF((IF(ISNUMBER(Matching_Engine!$U$99),Lookup_Lists!$D$335,0)+IF(ISNUMBER(Matching_Engine!$V$99),Lookup_Lists!$D$122,0)+IF(ISNUMBER(Matching_Engine!$W$99),Lookup_Lists!$D$336,0)+IF(ISNUMBER(Matching_Engine!$X$99),Lookup_Lists!$D$124,0))=0,"N/A",ROUND((IF(ISNUMBER(Matching_Engine!$U$99),Matching_Engine!$U$99*Lookup_Lists!$D$335,0)+IF(ISNUMBER(Matching_Engine!$V$99),Matching_Engine!$V$99*Lookup_Lists!$D$122,0)+IF(ISNUMBER(Matching_Engine!$W$99),Matching_Engine!$W$99*Lookup_Lists!$D$336,0)+IF(ISNUMBER(Matching_Engine!$X$99),Matching_Engine!$X$99*Lookup_Lists!$D$124,0))/(IF(ISNUMBER(Matching_Engine!$U$99),Lookup_Lists!$D$335,0)+IF(ISNUMBER(Matching_Engine!$V$99),Lookup_Lists!$D$122,0)+IF(ISNUMBER(Matching_Engine!$W$99),Lookup_Lists!$D$336,0)+IF(ISNUMBER(Matching_Engine!$X$99),Lookup_Lists!$D$124,0)),0))</f>
      </c>
      <c r="Z99" s="11">
        <f>IF(ISNUMBER(Matching_Engine!$Y$99),1,0)</f>
      </c>
      <c r="AA99" s="18">
        <f>IF(NOT(AND(ISTEXT(KOL_Source_Data!$Q$27),KOL_Source_Data!$Q$27&lt;&gt;"N/A")),"N/A",Lookup_Lists!$D$150)</f>
      </c>
      <c r="AB99" s="18">
        <f>IF(NOT(AND(ISTEXT(KOL_Source_Data!$Q$27),KOL_Source_Data!$Q$27&lt;&gt;"N/A")),"N/A",Lookup_Lists!$D$150)</f>
      </c>
      <c r="AC99" s="18">
        <f>"N/A"</f>
      </c>
      <c r="AD99" s="18">
        <f>IF(NOT(AND(ISTEXT(KOL_Source_Data!$Q$27),KOL_Source_Data!$Q$27&lt;&gt;"N/A")),"N/A",Lookup_Lists!$D$150)</f>
      </c>
      <c r="AE99" s="29">
        <f>IF((IF(ISNUMBER(Matching_Engine!$AA$99),Lookup_Lists!$D$125,0)+IF(ISNUMBER(Matching_Engine!$AB$99),Lookup_Lists!$D$126,0)+IF(ISNUMBER(Matching_Engine!$AC$99),Lookup_Lists!$D$127,0)+IF(ISNUMBER(Matching_Engine!$AD$99),Lookup_Lists!$D$128,0))=0,"N/A",ROUND((IF(ISNUMBER(Matching_Engine!$AA$99),Matching_Engine!$AA$99*Lookup_Lists!$D$125,0)+IF(ISNUMBER(Matching_Engine!$AB$99),Matching_Engine!$AB$99*Lookup_Lists!$D$126,0)+IF(ISNUMBER(Matching_Engine!$AC$99),Matching_Engine!$AC$99*Lookup_Lists!$D$127,0)+IF(ISNUMBER(Matching_Engine!$AD$99),Matching_Engine!$AD$99*Lookup_Lists!$D$128,0))/(IF(ISNUMBER(Matching_Engine!$AA$99),Lookup_Lists!$D$125,0)+IF(ISNUMBER(Matching_Engine!$AB$99),Lookup_Lists!$D$126,0)+IF(ISNUMBER(Matching_Engine!$AC$99),Lookup_Lists!$D$127,0)+IF(ISNUMBER(Matching_Engine!$AD$99),Lookup_Lists!$D$128,0)),0))</f>
      </c>
      <c r="AF99" s="11">
        <f>IF(ISNUMBER(Matching_Engine!$AE$99),1,0)</f>
      </c>
      <c r="AG99" s="18">
        <f>IF(NOT(ISNUMBER(KOL_Source_Data!$BG$27)),"N/A",MIN(100,ROUND(KOL_Source_Data!$BG$27/IFERROR(INDEX(Lookup_Lists!$B$340:$B$344,MATCH(KOL_Source_Data!$H$27,Lookup_Lists!$A$340:$A$344,0)),Lookup_Lists!$D$141)*100,0)))</f>
      </c>
      <c r="AH99" s="18">
        <f>IF(NOT(ISNUMBER(KOL_Source_Data!$BS$27)),"N/A",MIN(100,MAX(0,KOL_Source_Data!$BS$27)))</f>
      </c>
      <c r="AI99" s="18">
        <f>IF(OR(NOT(ISNUMBER(KOL_Source_Data!$BM$27)),NOT(ISNUMBER(KOL_Source_Data!$BN$27)),KOL_Source_Data!$BN$27&lt;Lookup_Lists!$D$320),"N/A",MIN(100,ROUND(KOL_Source_Data!$BM$27/Lookup_Lists!$D$319*100,0)))</f>
      </c>
      <c r="AJ99" s="18">
        <f>IF(NOT(ISNUMBER(KOL_Source_Data!$BR$27)),"N/A",KOL_Source_Data!$BR$27)</f>
      </c>
      <c r="AK99" s="18">
        <f>IF(NOT(ISNUMBER(KOL_Source_Data!$BK$27)),"N/A",MIN(100,ROUND(KOL_Source_Data!$BK$27/Lookup_Lists!$D$321*100,0)))</f>
      </c>
      <c r="AL99" s="18">
        <f>IF(NOT(ISNUMBER(KOL_Source_Data!$BP$27)),"N/A",MIN(100,MAX(0,ROUND((KOL_Source_Data!$BP$27+2)/(Lookup_Lists!$D$145+2)*100,0))))</f>
      </c>
      <c r="AM99" s="29">
        <f>IF((IF(ISNUMBER(Matching_Engine!$AG$99),Lookup_Lists!$D$129,0)+IF(ISNUMBER(Matching_Engine!$AH$99),Lookup_Lists!$D$130,0)+IF(ISNUMBER(Matching_Engine!$AI$99),Lookup_Lists!$D$131,0)+IF(ISNUMBER(Matching_Engine!$AJ$99),Lookup_Lists!$D$132,0)+IF(ISNUMBER(Matching_Engine!$AK$99),Lookup_Lists!$D$133,0)+IF(ISNUMBER(Matching_Engine!$AL$99),Lookup_Lists!$D$134,0))=0,"N/A",ROUND((IF(ISNUMBER(Matching_Engine!$AG$99),Matching_Engine!$AG$99*Lookup_Lists!$D$129,0)+IF(ISNUMBER(Matching_Engine!$AH$99),Matching_Engine!$AH$99*Lookup_Lists!$D$130,0)+IF(ISNUMBER(Matching_Engine!$AI$99),Matching_Engine!$AI$99*Lookup_Lists!$D$131,0)+IF(ISNUMBER(Matching_Engine!$AJ$99),Matching_Engine!$AJ$99*Lookup_Lists!$D$132,0)+IF(ISNUMBER(Matching_Engine!$AK$99),Matching_Engine!$AK$99*Lookup_Lists!$D$133,0)+IF(ISNUMBER(Matching_Engine!$AL$99),Matching_Engine!$AL$99*Lookup_Lists!$D$134,0))/(IF(ISNUMBER(Matching_Engine!$AG$99),Lookup_Lists!$D$129,0)+IF(ISNUMBER(Matching_Engine!$AH$99),Lookup_Lists!$D$130,0)+IF(ISNUMBER(Matching_Engine!$AI$99),Lookup_Lists!$D$131,0)+IF(ISNUMBER(Matching_Engine!$AJ$99),Lookup_Lists!$D$132,0)+IF(ISNUMBER(Matching_Engine!$AK$99),Lookup_Lists!$D$133,0)+IF(ISNUMBER(Matching_Engine!$AL$99),Lookup_Lists!$D$134,0)),0))</f>
      </c>
      <c r="AN99" s="11">
        <f>IF(ISNUMBER(Matching_Engine!$AM$99),1,0)</f>
      </c>
      <c r="AO99" s="18">
        <f>IF(NOT(ISNUMBER(KOL_Source_Data!$BT$27)),"N/A",MIN(100,MAX(0,KOL_Source_Data!$BT$27)))</f>
      </c>
      <c r="AP99" s="18">
        <f>IF(NOT(ISNUMBER(KOL_Source_Data!$BU$27)),"N/A",MIN(100,MAX(0,KOL_Source_Data!$BU$27)))</f>
      </c>
      <c r="AQ99" s="18">
        <f>IF(KOL_Source_Data!$I$27="Yes",Lookup_Lists!$D$326,IF(KOL_Source_Data!$I$27="No",Lookup_Lists!$D$327,"N/A"))</f>
      </c>
      <c r="AR99" s="18">
        <f>IF(NOT(ISNUMBER(KOL_Source_Data!$BQ$27)),"N/A",MAX(0,ROUND(100-KOL_Source_Data!$BQ$27/Lookup_Lists!$D$328*100,0)))</f>
      </c>
      <c r="AS99" s="18">
        <f>IF(NOT(AND(ISTEXT(KOL_Source_Data!$BV$27),KOL_Source_Data!$BV$27&lt;&gt;"N/A")),"N/A",KOL_Source_Data!$BV$27)</f>
      </c>
      <c r="AT99" s="29">
        <f>IF((IF(ISNUMBER(Matching_Engine!$AO$99),Lookup_Lists!$D$322,0)+IF(ISNUMBER(Matching_Engine!$AP$99),Lookup_Lists!$D$323,0)+IF(ISNUMBER(Matching_Engine!$AQ$99),Lookup_Lists!$D$324,0)+IF(ISNUMBER(Matching_Engine!$AR$99),Lookup_Lists!$D$325,0))=0,"N/A",ROUND((IF(ISNUMBER(Matching_Engine!$AO$99),Matching_Engine!$AO$99*Lookup_Lists!$D$322,0)+IF(ISNUMBER(Matching_Engine!$AP$99),Matching_Engine!$AP$99*Lookup_Lists!$D$323,0)+IF(ISNUMBER(Matching_Engine!$AQ$99),Matching_Engine!$AQ$99*Lookup_Lists!$D$324,0)+IF(ISNUMBER(Matching_Engine!$AR$99),Matching_Engine!$AR$99*Lookup_Lists!$D$325,0))/(IF(ISNUMBER(Matching_Engine!$AO$99),Lookup_Lists!$D$322,0)+IF(ISNUMBER(Matching_Engine!$AP$99),Lookup_Lists!$D$323,0)+IF(ISNUMBER(Matching_Engine!$AQ$99),Lookup_Lists!$D$324,0)+IF(ISNUMBER(Matching_Engine!$AR$99),Lookup_Lists!$D$325,0)),0))</f>
      </c>
      <c r="AU99" s="11">
        <f>IF(ISNUMBER(Matching_Engine!$AT$99),1,0)</f>
      </c>
      <c r="AV99" s="11">
        <f>IF(NOT(ISNUMBER(Matching_Engine!$AT$99)),"Not Screened",IF(Matching_Engine!$AT$99&gt;=Lookup_Lists!$D$329,"Low Risk",IF(Matching_Engine!$AT$99&gt;=Lookup_Lists!$D$330,"Moderate Risk",IF(Matching_Engine!$AT$99&gt;=Lookup_Lists!$D$331,"Elevated Risk","High Risk"))))</f>
      </c>
      <c r="AW99" s="11">
        <f>IF(NOT(ISNUMBER(Matching_Engine!$AT$99)),"No integrity signal: no audience-analysis row for this account.","Integrity screen only — no content-risk reading exists (comments_analysis: 0 rows). "&amp;IF(ISNUMBER(Matching_Engine!$AO$99),"Authenticity "&amp;Matching_Engine!$AO$99&amp;". ","Authenticity N/A. ")&amp;IF(ISNUMBER(Matching_Engine!$AP$99),"Follower quality "&amp;Matching_Engine!$AP$99&amp;". ","Follower quality N/A. ")&amp;IF(KOL_Source_Data!$I$27="Yes","Platform-verified.","Not platform-verified."))</f>
      </c>
      <c r="AX99" s="18">
        <f>Matching_Engine!$N$99*Lookup_Lists!$D$104+Matching_Engine!$T$99*Lookup_Lists!$D$105+Matching_Engine!$Z$99*Lookup_Lists!$D$106+Matching_Engine!$AF$99*Lookup_Lists!$D$107+Matching_Engine!$AN$99*Lookup_Lists!$D$108+Matching_Engine!$AU$99*Lookup_Lists!$D$109</f>
      </c>
      <c r="AY99" s="30">
        <f>IF(Matching_Engine!$AX$99=0,"N/A",ROUND((IF(Matching_Engine!$N$99=1,Matching_Engine!$M$99*Lookup_Lists!$D$104,0)+IF(Matching_Engine!$T$99=1,Matching_Engine!$S$99*Lookup_Lists!$D$105,0)+IF(Matching_Engine!$Z$99=1,Matching_Engine!$Y$99*Lookup_Lists!$D$106,0)+IF(Matching_Engine!$AF$99=1,Matching_Engine!$AE$99*Lookup_Lists!$D$107,0)+IF(Matching_Engine!$AN$99=1,Matching_Engine!$AM$99*Lookup_Lists!$D$108,0)+IF(Matching_Engine!$AU$99=1,Matching_Engine!$AT$99*Lookup_Lists!$D$109,0))/Matching_Engine!$AX$99,0))</f>
      </c>
      <c r="AZ99" s="11">
        <f>IF(NOT(ISNUMBER(Matching_Engine!$AY$99)),"Not Scored",IF(Matching_Engine!$AY$99&gt;=Lookup_Lists!$D$152,"Excellent Match",IF(Matching_Engine!$AY$99&gt;=Lookup_Lists!$D$153,"Strong Match",IF(Matching_Engine!$AY$99&gt;=Lookup_Lists!$D$154,"Good Match",IF(Matching_Engine!$AY$99&gt;=Lookup_Lists!$D$155,"Moderate Match","Low Match")))))</f>
      </c>
      <c r="BA99" s="18">
        <f>KOL_Source_Data!$BW$27</f>
      </c>
      <c r="BB99" s="11">
        <f>KOL_Source_Data!$BX$27</f>
      </c>
      <c r="BC99" s="18">
        <f>IF(NOT(ISNUMBER(Matching_Engine!$AY$99)),-1,Matching_Engine!$AY$99*1000+3)</f>
      </c>
      <c r="BD99" s="11">
        <f>IF(AND(ISTEXT(KOL_Source_Data!$S$27),KOL_Source_Data!$S$27&lt;&gt;"N/A"),KOL_Source_Data!$S$27,"")&amp;" | "&amp;IF(AND(ISTEXT(KOL_Source_Data!$T$27),KOL_Source_Data!$T$27&lt;&gt;"N/A"),KOL_Source_Data!$T$27,"")&amp;" | "&amp;IF(AND(ISTEXT(KOL_Source_Data!$N$27),KOL_Source_Data!$N$27&lt;&gt;"N/A"),KOL_Source_Data!$N$27,"")&amp;" | "&amp;IF(AND(ISTEXT(KOL_Source_Data!$K$27),KOL_Source_Data!$K$27&lt;&gt;"N/A"),KOL_Source_Data!$K$27,"")&amp;" | "&amp;IF(AND(ISTEXT(KOL_Source_Data!$J$27),KOL_Source_Data!$J$27&lt;&gt;"N/A"),KOL_Source_Data!$J$27,"")</f>
      </c>
      <c r="BE99" s="11">
        <f>IF(AND(ISTEXT(KOL_Source_Data!$T$27),KOL_Source_Data!$T$27&lt;&gt;"N/A"),KOL_Source_Data!$T$27,"")&amp;" | "&amp;IF(AND(ISTEXT(KOL_Source_Data!$N$27),KOL_Source_Data!$N$27&lt;&gt;"N/A"),KOL_Source_Data!$N$27,"")&amp;" | "&amp;IF(AND(ISTEXT(KOL_Source_Data!$O$27),KOL_Source_Data!$O$27&lt;&gt;"N/A"),KOL_Source_Data!$O$27,"")&amp;" | "&amp;IF(AND(ISTEXT(KOL_Source_Data!$S$27),KOL_Source_Data!$S$27&lt;&gt;"N/A"),KOL_Source_Data!$S$27,"")</f>
      </c>
      <c r="BF99" s="11">
        <f>IF(AND(ISTEXT(KOL_Source_Data!$U$27),KOL_Source_Data!$U$27&lt;&gt;"N/A"),KOL_Source_Data!$U$27,"")</f>
      </c>
      <c r="BG99" s="11">
        <f>Matching_Engine!$A$99&amp;"|"&amp;Matching_Engine!$C$99</f>
      </c>
    </row>
    <row r="100" spans="1:59" x14ac:dyDescent="0.25">
      <c r="A100" s="10" t="s">
        <v>393</v>
      </c>
      <c r="B100" s="11">
        <f>Brand_Profile!$H$6</f>
      </c>
      <c r="C100" s="11">
        <f>KOL_Source_Data!$A$28</f>
      </c>
      <c r="D100" s="11">
        <f>KOL_Source_Data!$C$28</f>
      </c>
      <c r="E100" s="11">
        <f>KOL_Source_Data!$D$28</f>
      </c>
      <c r="F100" s="11">
        <f>KOL_Source_Data!$E$28</f>
      </c>
      <c r="G100" s="11">
        <f>KOL_Source_Data!$K$28</f>
      </c>
      <c r="H100" s="12">
        <f>KOL_Source_Data!$G$28</f>
      </c>
      <c r="I100" s="14">
        <f>KOL_Source_Data!$BG$28</f>
      </c>
      <c r="J100" s="18">
        <f>IF(NOT(AND(ISTEXT(KOL_Source_Data!$K$28),KOL_Source_Data!$K$28&lt;&gt;"N/A")),Lookup_Lists!$D$150,IF(Brand_Profile!$H$7=KOL_Source_Data!$K$28,100,IFERROR(INDEX(Lookup_Lists!$B$349:$J$357,MATCH(Brand_Profile!$H$7,Lookup_Lists!$A$349:$A$357,0),MATCH(KOL_Source_Data!$K$28,Lookup_Lists!$B$348:$J$348,0)),Lookup_Lists!$D$151)))</f>
      </c>
      <c r="K100" s="18">
        <f>IF(LEN(TRIM(SUBSTITUTE(Matching_Engine!$BD$100,"|","")))=0,"N/A",IF(Brand_Profile!$H$47=0,Lookup_Lists!$D$150,ROUND((IF(Brand_Profile!$H$41="",0,IF(ISNUMBER(SEARCH(Brand_Profile!$H$41,Matching_Engine!$BD$100)),1,0))+IF(Brand_Profile!$H$42="",0,IF(ISNUMBER(SEARCH(Brand_Profile!$H$42,Matching_Engine!$BD$100)),1,0))+IF(Brand_Profile!$H$43="",0,IF(ISNUMBER(SEARCH(Brand_Profile!$H$43,Matching_Engine!$BD$100)),1,0))+IF(Brand_Profile!$H$44="",0,IF(ISNUMBER(SEARCH(Brand_Profile!$H$44,Matching_Engine!$BD$100)),1,0))+IF(Brand_Profile!$H$45="",0,IF(ISNUMBER(SEARCH(Brand_Profile!$H$45,Matching_Engine!$BD$100)),1,0))+IF(Brand_Profile!$H$46="",0,IF(ISNUMBER(SEARCH(Brand_Profile!$H$46,Matching_Engine!$BD$100)),1,0)))/Brand_Profile!$H$47*100,0)))</f>
      </c>
      <c r="L100" s="18">
        <f>IF(NOT(AND(ISTEXT(KOL_Source_Data!$U$28),KOL_Source_Data!$U$28&lt;&gt;"N/A")),"N/A",IF(Brand_Profile!$H$53=0,Lookup_Lists!$D$150,ROUND((IF(Brand_Profile!$H$48="",0,IF(ISNUMBER(SEARCH(Brand_Profile!$H$48,Matching_Engine!$BF$100)),1,0))+IF(Brand_Profile!$H$49="",0,IF(ISNUMBER(SEARCH(Brand_Profile!$H$49,Matching_Engine!$BF$100)),1,0))+IF(Brand_Profile!$H$50="",0,IF(ISNUMBER(SEARCH(Brand_Profile!$H$50,Matching_Engine!$BF$100)),1,0))+IF(Brand_Profile!$H$51="",0,IF(ISNUMBER(SEARCH(Brand_Profile!$H$51,Matching_Engine!$BF$100)),1,0))+IF(Brand_Profile!$H$52="",0,IF(ISNUMBER(SEARCH(Brand_Profile!$H$52,Matching_Engine!$BF$100)),1,0)))/Brand_Profile!$H$53*100,0)))</f>
      </c>
      <c r="M100" s="29">
        <f>IF((IF(ISNUMBER(Matching_Engine!$J$100),Lookup_Lists!$D$332,0)+IF(ISNUMBER(Matching_Engine!$K$100),Lookup_Lists!$D$333,0)+IF(ISNUMBER(Matching_Engine!$L$100),Lookup_Lists!$D$334,0))=0,"N/A",ROUND((IF(ISNUMBER(Matching_Engine!$J$100),Matching_Engine!$J$100*Lookup_Lists!$D$332,0)+IF(ISNUMBER(Matching_Engine!$K$100),Matching_Engine!$K$100*Lookup_Lists!$D$333,0)+IF(ISNUMBER(Matching_Engine!$L$100),Matching_Engine!$L$100*Lookup_Lists!$D$334,0))/(IF(ISNUMBER(Matching_Engine!$J$100),Lookup_Lists!$D$332,0)+IF(ISNUMBER(Matching_Engine!$K$100),Lookup_Lists!$D$333,0)+IF(ISNUMBER(Matching_Engine!$L$100),Lookup_Lists!$D$334,0)),0))</f>
      </c>
      <c r="N100" s="11">
        <f>IF(ISNUMBER(Matching_Engine!$M$100),1,0)</f>
      </c>
      <c r="O100" s="18">
        <f>IF(NOT(ISNUMBER(IFERROR(INDEX(KOL_Source_Data!$V$28:KOL_Source_Data!$Z$28,1,MATCH(Brand_Profile!$H$11,Lookup_Lists!$F$6:$F$10,0)),""))),"N/A",MIN(100,ROUND((IFERROR(INDEX(KOL_Source_Data!$V$28:KOL_Source_Data!$Z$28,1,MATCH(Brand_Profile!$H$11,Lookup_Lists!$F$6:$F$10,0)),"")+0.5*IF(ISNUMBER(IFERROR(INDEX(KOL_Source_Data!$V$28:KOL_Source_Data!$Z$28,1,MATCH(Brand_Profile!$H$12,Lookup_Lists!$F$6:$F$10,0)),"")),IFERROR(INDEX(KOL_Source_Data!$V$28:KOL_Source_Data!$Z$28,1,MATCH(Brand_Profile!$H$12,Lookup_Lists!$F$6:$F$10,0)),""),0))/Lookup_Lists!$D$142*100,0)))</f>
      </c>
      <c r="P100" s="18">
        <f>IF(Brand_Profile!$H$13="Any",100,IF(NOT(ISNUMBER(KOL_Source_Data!$AA$28)),"N/A",IF(Brand_Profile!$H$13="Female",MIN(100,ROUND(KOL_Source_Data!$AA$28/Lookup_Lists!$D$143*100,0)),IF(Brand_Profile!$H$13="Male",MIN(100,ROUND(IF(ISNUMBER(KOL_Source_Data!$AB$28),KOL_Source_Data!$AB$28,100-KOL_Source_Data!$AA$28)/Lookup_Lists!$D$143*100,0)),MAX(0,ROUND(100-ABS(KOL_Source_Data!$AA$28-50)*2,0))))))</f>
      </c>
      <c r="Q100" s="18">
        <f>IF((IF(ISNUMBER(IF(NOT(ISNUMBER(KOL_Source_Data!$AE$28)),"N/A",IF(KOL_Source_Data!$AD$28&lt;&gt;Brand_Profile!$H$14,Lookup_Lists!$D$151,MIN(100,ROUND(KOL_Source_Data!$AE$28/Lookup_Lists!$D$316*100,0))))),Lookup_Lists!$D$118,0)+IF(ISNUMBER(IF(NOT(ISNUMBER(KOL_Source_Data!$AM$28)),"N/A",MIN(100,ROUND((IF(KOL_Source_Data!$AG$28=Brand_Profile!$H$15,IF(ISNUMBER(KOL_Source_Data!$AH$28),KOL_Source_Data!$AH$28,0),0)+IF(KOL_Source_Data!$AI$28=Brand_Profile!$H$15,IF(ISNUMBER(KOL_Source_Data!$AJ$28),KOL_Source_Data!$AJ$28,0),0)+IF(KOL_Source_Data!$AK$28=Brand_Profile!$H$15,IF(ISNUMBER(KOL_Source_Data!$AL$28),KOL_Source_Data!$AL$28,0),0))/Lookup_Lists!$D$317*100,0)))),Lookup_Lists!$D$120,0))=0,"N/A",ROUND((IF(ISNUMBER(IF(NOT(ISNUMBER(KOL_Source_Data!$AE$28)),"N/A",IF(KOL_Source_Data!$AD$28&lt;&gt;Brand_Profile!$H$14,Lookup_Lists!$D$151,MIN(100,ROUND(KOL_Source_Data!$AE$28/Lookup_Lists!$D$316*100,0))))),IF(NOT(ISNUMBER(KOL_Source_Data!$AE$28)),"N/A",IF(KOL_Source_Data!$AD$28&lt;&gt;Brand_Profile!$H$14,Lookup_Lists!$D$151,MIN(100,ROUND(KOL_Source_Data!$AE$28/Lookup_Lists!$D$316*100,0))))*Lookup_Lists!$D$118,0)+IF(ISNUMBER(IF(NOT(ISNUMBER(KOL_Source_Data!$AM$28)),"N/A",MIN(100,ROUND((IF(KOL_Source_Data!$AG$28=Brand_Profile!$H$15,IF(ISNUMBER(KOL_Source_Data!$AH$28),KOL_Source_Data!$AH$28,0),0)+IF(KOL_Source_Data!$AI$28=Brand_Profile!$H$15,IF(ISNUMBER(KOL_Source_Data!$AJ$28),KOL_Source_Data!$AJ$28,0),0)+IF(KOL_Source_Data!$AK$28=Brand_Profile!$H$15,IF(ISNUMBER(KOL_Source_Data!$AL$28),KOL_Source_Data!$AL$28,0),0))/Lookup_Lists!$D$317*100,0)))),IF(NOT(ISNUMBER(KOL_Source_Data!$AM$28)),"N/A",MIN(100,ROUND((IF(KOL_Source_Data!$AG$28=Brand_Profile!$H$15,IF(ISNUMBER(KOL_Source_Data!$AH$28),KOL_Source_Data!$AH$28,0),0)+IF(KOL_Source_Data!$AI$28=Brand_Profile!$H$15,IF(ISNUMBER(KOL_Source_Data!$AJ$28),KOL_Source_Data!$AJ$28,0),0)+IF(KOL_Source_Data!$AK$28=Brand_Profile!$H$15,IF(ISNUMBER(KOL_Source_Data!$AL$28),KOL_Source_Data!$AL$28,0),0))/Lookup_Lists!$D$317*100,0)))*Lookup_Lists!$D$120,0))/(IF(ISNUMBER(IF(NOT(ISNUMBER(KOL_Source_Data!$AE$28)),"N/A",IF(KOL_Source_Data!$AD$28&lt;&gt;Brand_Profile!$H$14,Lookup_Lists!$D$151,MIN(100,ROUND(KOL_Source_Data!$AE$28/Lookup_Lists!$D$316*100,0))))),Lookup_Lists!$D$118,0)+IF(ISNUMBER(IF(NOT(ISNUMBER(KOL_Source_Data!$AM$28)),"N/A",MIN(100,ROUND((IF(KOL_Source_Data!$AG$28=Brand_Profile!$H$15,IF(ISNUMBER(KOL_Source_Data!$AH$28),KOL_Source_Data!$AH$28,0),0)+IF(KOL_Source_Data!$AI$28=Brand_Profile!$H$15,IF(ISNUMBER(KOL_Source_Data!$AJ$28),KOL_Source_Data!$AJ$28,0),0)+IF(KOL_Source_Data!$AK$28=Brand_Profile!$H$15,IF(ISNUMBER(KOL_Source_Data!$AL$28),KOL_Source_Data!$AL$28,0),0))/Lookup_Lists!$D$317*100,0)))),Lookup_Lists!$D$120,0)),0))</f>
      </c>
      <c r="R100" s="18">
        <f>IF(NOT(ISNUMBER(KOL_Source_Data!$AN$28)),"N/A",MIN(100,ROUND((IF(ISNUMBER(KOL_Source_Data!$AO$28),KOL_Source_Data!$AO$28*Brand_Profile!$H$17,0)+IF(ISNUMBER(KOL_Source_Data!$AP$28),KOL_Source_Data!$AP$28*Brand_Profile!$H$18,0)+IF(ISNUMBER(KOL_Source_Data!$AQ$28),KOL_Source_Data!$AQ$28*Brand_Profile!$H$19,0)+IF(ISNUMBER(KOL_Source_Data!$AR$28),KOL_Source_Data!$AR$28*Brand_Profile!$H$20,0)+IF(ISNUMBER(KOL_Source_Data!$AS$28),KOL_Source_Data!$AS$28*Brand_Profile!$H$21,0)+IF(ISNUMBER(KOL_Source_Data!$AT$28),KOL_Source_Data!$AT$28*Brand_Profile!$H$22,0)+IF(ISNUMBER(KOL_Source_Data!$AU$28),KOL_Source_Data!$AU$28*Brand_Profile!$H$23,0)+IF(ISNUMBER(KOL_Source_Data!$AV$28),KOL_Source_Data!$AV$28*Brand_Profile!$H$24,0)+IF(ISNUMBER(KOL_Source_Data!$AW$28),KOL_Source_Data!$AW$28*Brand_Profile!$H$25,0)+IF(ISNUMBER(KOL_Source_Data!$AX$28),KOL_Source_Data!$AX$28*Brand_Profile!$H$26,0)+IF(ISNUMBER(KOL_Source_Data!$AY$28),KOL_Source_Data!$AY$28*Brand_Profile!$H$27,0)+IF(ISNUMBER(KOL_Source_Data!$AZ$28),KOL_Source_Data!$AZ$28*Brand_Profile!$H$28,0)+IF(ISNUMBER(KOL_Source_Data!$BA$28),KOL_Source_Data!$BA$28*Brand_Profile!$H$29,0)+IF(ISNUMBER(KOL_Source_Data!$BB$28),KOL_Source_Data!$BB$28*Brand_Profile!$H$30,0)+IF(ISNUMBER(KOL_Source_Data!$BC$28),KOL_Source_Data!$BC$28*Brand_Profile!$H$31,0)+IF(ISNUMBER(KOL_Source_Data!$BD$28),KOL_Source_Data!$BD$28*Brand_Profile!$H$32,0)+IF(ISNUMBER(KOL_Source_Data!$BE$28),KOL_Source_Data!$BE$28*Brand_Profile!$H$33,0)+IF(ISNUMBER(KOL_Source_Data!$BF$28),KOL_Source_Data!$BF$28*Brand_Profile!$H$34,0))/Lookup_Lists!$D$318*100,0)))</f>
      </c>
      <c r="S100" s="29">
        <f>IF((IF(ISNUMBER(Matching_Engine!$O$100),Lookup_Lists!$D$113,0)+IF(ISNUMBER(Matching_Engine!$P$100),Lookup_Lists!$D$114,0)+IF(ISNUMBER(Matching_Engine!$Q$100),Lookup_Lists!$D$115,0)+IF(ISNUMBER(Matching_Engine!$R$100),Lookup_Lists!$D$116,0))=0,"N/A",ROUND((IF(ISNUMBER(Matching_Engine!$O$100),Matching_Engine!$O$100*Lookup_Lists!$D$113,0)+IF(ISNUMBER(Matching_Engine!$P$100),Matching_Engine!$P$100*Lookup_Lists!$D$114,0)+IF(ISNUMBER(Matching_Engine!$Q$100),Matching_Engine!$Q$100*Lookup_Lists!$D$115,0)+IF(ISNUMBER(Matching_Engine!$R$100),Matching_Engine!$R$100*Lookup_Lists!$D$116,0))/(IF(ISNUMBER(Matching_Engine!$O$100),Lookup_Lists!$D$113,0)+IF(ISNUMBER(Matching_Engine!$P$100),Lookup_Lists!$D$114,0)+IF(ISNUMBER(Matching_Engine!$Q$100),Lookup_Lists!$D$115,0)+IF(ISNUMBER(Matching_Engine!$R$100),Lookup_Lists!$D$116,0)),0))</f>
      </c>
      <c r="T100" s="11">
        <f>IF(ISNUMBER(Matching_Engine!$S$100),1,0)</f>
      </c>
      <c r="U100" s="18">
        <f>IF(NOT(AND(ISTEXT(KOL_Source_Data!$M$28),KOL_Source_Data!$M$28&lt;&gt;"N/A")),Lookup_Lists!$D$150,IF(Brand_Profile!$H$7=KOL_Source_Data!$M$28,100,IFERROR(INDEX(Lookup_Lists!$B$349:$J$357,MATCH(Brand_Profile!$H$7,Lookup_Lists!$A$349:$A$357,0),MATCH(KOL_Source_Data!$M$28,Lookup_Lists!$B$348:$J$348,0)),Lookup_Lists!$D$151)))</f>
      </c>
      <c r="V100" s="18">
        <f>IF(NOT(AND(ISTEXT(KOL_Source_Data!$P$28),KOL_Source_Data!$P$28&lt;&gt;"N/A")),"N/A",IFERROR(INDEX(Lookup_Lists!$B$349:$J$357,MATCH(Brand_Profile!$H$7,Lookup_Lists!$A$349:$A$357,0),MATCH(KOL_Source_Data!$P$28,Lookup_Lists!$B$348:$J$348,0)),Lookup_Lists!$D$151))</f>
      </c>
      <c r="W100" s="18">
        <f>IF(LEN(TRIM(SUBSTITUTE(Matching_Engine!$BE$100,"|","")))=0,"N/A",IF(Brand_Profile!$H$60=0,Lookup_Lists!$D$150,ROUND((IF(Brand_Profile!$H$54="",0,IF(ISNUMBER(SEARCH(Brand_Profile!$H$54,Matching_Engine!$BE$100)),1,0))+IF(Brand_Profile!$H$55="",0,IF(ISNUMBER(SEARCH(Brand_Profile!$H$55,Matching_Engine!$BE$100)),1,0))+IF(Brand_Profile!$H$56="",0,IF(ISNUMBER(SEARCH(Brand_Profile!$H$56,Matching_Engine!$BE$100)),1,0))+IF(Brand_Profile!$H$57="",0,IF(ISNUMBER(SEARCH(Brand_Profile!$H$57,Matching_Engine!$BE$100)),1,0))+IF(Brand_Profile!$H$58="",0,IF(ISNUMBER(SEARCH(Brand_Profile!$H$58,Matching_Engine!$BE$100)),1,0))+IF(Brand_Profile!$H$59="",0,IF(ISNUMBER(SEARCH(Brand_Profile!$H$59,Matching_Engine!$BE$100)),1,0)))/Brand_Profile!$H$60*100,0)))</f>
      </c>
      <c r="X100" s="18">
        <f>IF(NOT(AND(ISTEXT(KOL_Source_Data!$Q$28),KOL_Source_Data!$Q$28&lt;&gt;"N/A")),"N/A",Lookup_Lists!$D$150)</f>
      </c>
      <c r="Y100" s="29">
        <f>IF((IF(ISNUMBER(Matching_Engine!$U$100),Lookup_Lists!$D$335,0)+IF(ISNUMBER(Matching_Engine!$V$100),Lookup_Lists!$D$122,0)+IF(ISNUMBER(Matching_Engine!$W$100),Lookup_Lists!$D$336,0)+IF(ISNUMBER(Matching_Engine!$X$100),Lookup_Lists!$D$124,0))=0,"N/A",ROUND((IF(ISNUMBER(Matching_Engine!$U$100),Matching_Engine!$U$100*Lookup_Lists!$D$335,0)+IF(ISNUMBER(Matching_Engine!$V$100),Matching_Engine!$V$100*Lookup_Lists!$D$122,0)+IF(ISNUMBER(Matching_Engine!$W$100),Matching_Engine!$W$100*Lookup_Lists!$D$336,0)+IF(ISNUMBER(Matching_Engine!$X$100),Matching_Engine!$X$100*Lookup_Lists!$D$124,0))/(IF(ISNUMBER(Matching_Engine!$U$100),Lookup_Lists!$D$335,0)+IF(ISNUMBER(Matching_Engine!$V$100),Lookup_Lists!$D$122,0)+IF(ISNUMBER(Matching_Engine!$W$100),Lookup_Lists!$D$336,0)+IF(ISNUMBER(Matching_Engine!$X$100),Lookup_Lists!$D$124,0)),0))</f>
      </c>
      <c r="Z100" s="11">
        <f>IF(ISNUMBER(Matching_Engine!$Y$100),1,0)</f>
      </c>
      <c r="AA100" s="18">
        <f>IF(NOT(AND(ISTEXT(KOL_Source_Data!$Q$28),KOL_Source_Data!$Q$28&lt;&gt;"N/A")),"N/A",Lookup_Lists!$D$150)</f>
      </c>
      <c r="AB100" s="18">
        <f>IF(NOT(AND(ISTEXT(KOL_Source_Data!$Q$28),KOL_Source_Data!$Q$28&lt;&gt;"N/A")),"N/A",Lookup_Lists!$D$150)</f>
      </c>
      <c r="AC100" s="18">
        <f>"N/A"</f>
      </c>
      <c r="AD100" s="18">
        <f>IF(NOT(AND(ISTEXT(KOL_Source_Data!$Q$28),KOL_Source_Data!$Q$28&lt;&gt;"N/A")),"N/A",Lookup_Lists!$D$150)</f>
      </c>
      <c r="AE100" s="29">
        <f>IF((IF(ISNUMBER(Matching_Engine!$AA$100),Lookup_Lists!$D$125,0)+IF(ISNUMBER(Matching_Engine!$AB$100),Lookup_Lists!$D$126,0)+IF(ISNUMBER(Matching_Engine!$AC$100),Lookup_Lists!$D$127,0)+IF(ISNUMBER(Matching_Engine!$AD$100),Lookup_Lists!$D$128,0))=0,"N/A",ROUND((IF(ISNUMBER(Matching_Engine!$AA$100),Matching_Engine!$AA$100*Lookup_Lists!$D$125,0)+IF(ISNUMBER(Matching_Engine!$AB$100),Matching_Engine!$AB$100*Lookup_Lists!$D$126,0)+IF(ISNUMBER(Matching_Engine!$AC$100),Matching_Engine!$AC$100*Lookup_Lists!$D$127,0)+IF(ISNUMBER(Matching_Engine!$AD$100),Matching_Engine!$AD$100*Lookup_Lists!$D$128,0))/(IF(ISNUMBER(Matching_Engine!$AA$100),Lookup_Lists!$D$125,0)+IF(ISNUMBER(Matching_Engine!$AB$100),Lookup_Lists!$D$126,0)+IF(ISNUMBER(Matching_Engine!$AC$100),Lookup_Lists!$D$127,0)+IF(ISNUMBER(Matching_Engine!$AD$100),Lookup_Lists!$D$128,0)),0))</f>
      </c>
      <c r="AF100" s="11">
        <f>IF(ISNUMBER(Matching_Engine!$AE$100),1,0)</f>
      </c>
      <c r="AG100" s="18">
        <f>IF(NOT(ISNUMBER(KOL_Source_Data!$BG$28)),"N/A",MIN(100,ROUND(KOL_Source_Data!$BG$28/IFERROR(INDEX(Lookup_Lists!$B$340:$B$344,MATCH(KOL_Source_Data!$H$28,Lookup_Lists!$A$340:$A$344,0)),Lookup_Lists!$D$141)*100,0)))</f>
      </c>
      <c r="AH100" s="18">
        <f>IF(NOT(ISNUMBER(KOL_Source_Data!$BS$28)),"N/A",MIN(100,MAX(0,KOL_Source_Data!$BS$28)))</f>
      </c>
      <c r="AI100" s="18">
        <f>IF(OR(NOT(ISNUMBER(KOL_Source_Data!$BM$28)),NOT(ISNUMBER(KOL_Source_Data!$BN$28)),KOL_Source_Data!$BN$28&lt;Lookup_Lists!$D$320),"N/A",MIN(100,ROUND(KOL_Source_Data!$BM$28/Lookup_Lists!$D$319*100,0)))</f>
      </c>
      <c r="AJ100" s="18">
        <f>IF(NOT(ISNUMBER(KOL_Source_Data!$BR$28)),"N/A",KOL_Source_Data!$BR$28)</f>
      </c>
      <c r="AK100" s="18">
        <f>IF(NOT(ISNUMBER(KOL_Source_Data!$BK$28)),"N/A",MIN(100,ROUND(KOL_Source_Data!$BK$28/Lookup_Lists!$D$321*100,0)))</f>
      </c>
      <c r="AL100" s="18">
        <f>IF(NOT(ISNUMBER(KOL_Source_Data!$BP$28)),"N/A",MIN(100,MAX(0,ROUND((KOL_Source_Data!$BP$28+2)/(Lookup_Lists!$D$145+2)*100,0))))</f>
      </c>
      <c r="AM100" s="29">
        <f>IF((IF(ISNUMBER(Matching_Engine!$AG$100),Lookup_Lists!$D$129,0)+IF(ISNUMBER(Matching_Engine!$AH$100),Lookup_Lists!$D$130,0)+IF(ISNUMBER(Matching_Engine!$AI$100),Lookup_Lists!$D$131,0)+IF(ISNUMBER(Matching_Engine!$AJ$100),Lookup_Lists!$D$132,0)+IF(ISNUMBER(Matching_Engine!$AK$100),Lookup_Lists!$D$133,0)+IF(ISNUMBER(Matching_Engine!$AL$100),Lookup_Lists!$D$134,0))=0,"N/A",ROUND((IF(ISNUMBER(Matching_Engine!$AG$100),Matching_Engine!$AG$100*Lookup_Lists!$D$129,0)+IF(ISNUMBER(Matching_Engine!$AH$100),Matching_Engine!$AH$100*Lookup_Lists!$D$130,0)+IF(ISNUMBER(Matching_Engine!$AI$100),Matching_Engine!$AI$100*Lookup_Lists!$D$131,0)+IF(ISNUMBER(Matching_Engine!$AJ$100),Matching_Engine!$AJ$100*Lookup_Lists!$D$132,0)+IF(ISNUMBER(Matching_Engine!$AK$100),Matching_Engine!$AK$100*Lookup_Lists!$D$133,0)+IF(ISNUMBER(Matching_Engine!$AL$100),Matching_Engine!$AL$100*Lookup_Lists!$D$134,0))/(IF(ISNUMBER(Matching_Engine!$AG$100),Lookup_Lists!$D$129,0)+IF(ISNUMBER(Matching_Engine!$AH$100),Lookup_Lists!$D$130,0)+IF(ISNUMBER(Matching_Engine!$AI$100),Lookup_Lists!$D$131,0)+IF(ISNUMBER(Matching_Engine!$AJ$100),Lookup_Lists!$D$132,0)+IF(ISNUMBER(Matching_Engine!$AK$100),Lookup_Lists!$D$133,0)+IF(ISNUMBER(Matching_Engine!$AL$100),Lookup_Lists!$D$134,0)),0))</f>
      </c>
      <c r="AN100" s="11">
        <f>IF(ISNUMBER(Matching_Engine!$AM$100),1,0)</f>
      </c>
      <c r="AO100" s="18">
        <f>IF(NOT(ISNUMBER(KOL_Source_Data!$BT$28)),"N/A",MIN(100,MAX(0,KOL_Source_Data!$BT$28)))</f>
      </c>
      <c r="AP100" s="18">
        <f>IF(NOT(ISNUMBER(KOL_Source_Data!$BU$28)),"N/A",MIN(100,MAX(0,KOL_Source_Data!$BU$28)))</f>
      </c>
      <c r="AQ100" s="18">
        <f>IF(KOL_Source_Data!$I$28="Yes",Lookup_Lists!$D$326,IF(KOL_Source_Data!$I$28="No",Lookup_Lists!$D$327,"N/A"))</f>
      </c>
      <c r="AR100" s="18">
        <f>IF(NOT(ISNUMBER(KOL_Source_Data!$BQ$28)),"N/A",MAX(0,ROUND(100-KOL_Source_Data!$BQ$28/Lookup_Lists!$D$328*100,0)))</f>
      </c>
      <c r="AS100" s="18">
        <f>IF(NOT(AND(ISTEXT(KOL_Source_Data!$BV$28),KOL_Source_Data!$BV$28&lt;&gt;"N/A")),"N/A",KOL_Source_Data!$BV$28)</f>
      </c>
      <c r="AT100" s="29">
        <f>IF((IF(ISNUMBER(Matching_Engine!$AO$100),Lookup_Lists!$D$322,0)+IF(ISNUMBER(Matching_Engine!$AP$100),Lookup_Lists!$D$323,0)+IF(ISNUMBER(Matching_Engine!$AQ$100),Lookup_Lists!$D$324,0)+IF(ISNUMBER(Matching_Engine!$AR$100),Lookup_Lists!$D$325,0))=0,"N/A",ROUND((IF(ISNUMBER(Matching_Engine!$AO$100),Matching_Engine!$AO$100*Lookup_Lists!$D$322,0)+IF(ISNUMBER(Matching_Engine!$AP$100),Matching_Engine!$AP$100*Lookup_Lists!$D$323,0)+IF(ISNUMBER(Matching_Engine!$AQ$100),Matching_Engine!$AQ$100*Lookup_Lists!$D$324,0)+IF(ISNUMBER(Matching_Engine!$AR$100),Matching_Engine!$AR$100*Lookup_Lists!$D$325,0))/(IF(ISNUMBER(Matching_Engine!$AO$100),Lookup_Lists!$D$322,0)+IF(ISNUMBER(Matching_Engine!$AP$100),Lookup_Lists!$D$323,0)+IF(ISNUMBER(Matching_Engine!$AQ$100),Lookup_Lists!$D$324,0)+IF(ISNUMBER(Matching_Engine!$AR$100),Lookup_Lists!$D$325,0)),0))</f>
      </c>
      <c r="AU100" s="11">
        <f>IF(ISNUMBER(Matching_Engine!$AT$100),1,0)</f>
      </c>
      <c r="AV100" s="11">
        <f>IF(NOT(ISNUMBER(Matching_Engine!$AT$100)),"Not Screened",IF(Matching_Engine!$AT$100&gt;=Lookup_Lists!$D$329,"Low Risk",IF(Matching_Engine!$AT$100&gt;=Lookup_Lists!$D$330,"Moderate Risk",IF(Matching_Engine!$AT$100&gt;=Lookup_Lists!$D$331,"Elevated Risk","High Risk"))))</f>
      </c>
      <c r="AW100" s="11">
        <f>IF(NOT(ISNUMBER(Matching_Engine!$AT$100)),"No integrity signal: no audience-analysis row for this account.","Integrity screen only — no content-risk reading exists (comments_analysis: 0 rows). "&amp;IF(ISNUMBER(Matching_Engine!$AO$100),"Authenticity "&amp;Matching_Engine!$AO$100&amp;". ","Authenticity N/A. ")&amp;IF(ISNUMBER(Matching_Engine!$AP$100),"Follower quality "&amp;Matching_Engine!$AP$100&amp;". ","Follower quality N/A. ")&amp;IF(KOL_Source_Data!$I$28="Yes","Platform-verified.","Not platform-verified."))</f>
      </c>
      <c r="AX100" s="18">
        <f>Matching_Engine!$N$100*Lookup_Lists!$D$104+Matching_Engine!$T$100*Lookup_Lists!$D$105+Matching_Engine!$Z$100*Lookup_Lists!$D$106+Matching_Engine!$AF$100*Lookup_Lists!$D$107+Matching_Engine!$AN$100*Lookup_Lists!$D$108+Matching_Engine!$AU$100*Lookup_Lists!$D$109</f>
      </c>
      <c r="AY100" s="30">
        <f>IF(Matching_Engine!$AX$100=0,"N/A",ROUND((IF(Matching_Engine!$N$100=1,Matching_Engine!$M$100*Lookup_Lists!$D$104,0)+IF(Matching_Engine!$T$100=1,Matching_Engine!$S$100*Lookup_Lists!$D$105,0)+IF(Matching_Engine!$Z$100=1,Matching_Engine!$Y$100*Lookup_Lists!$D$106,0)+IF(Matching_Engine!$AF$100=1,Matching_Engine!$AE$100*Lookup_Lists!$D$107,0)+IF(Matching_Engine!$AN$100=1,Matching_Engine!$AM$100*Lookup_Lists!$D$108,0)+IF(Matching_Engine!$AU$100=1,Matching_Engine!$AT$100*Lookup_Lists!$D$109,0))/Matching_Engine!$AX$100,0))</f>
      </c>
      <c r="AZ100" s="11">
        <f>IF(NOT(ISNUMBER(Matching_Engine!$AY$100)),"Not Scored",IF(Matching_Engine!$AY$100&gt;=Lookup_Lists!$D$152,"Excellent Match",IF(Matching_Engine!$AY$100&gt;=Lookup_Lists!$D$153,"Strong Match",IF(Matching_Engine!$AY$100&gt;=Lookup_Lists!$D$154,"Good Match",IF(Matching_Engine!$AY$100&gt;=Lookup_Lists!$D$155,"Moderate Match","Low Match")))))</f>
      </c>
      <c r="BA100" s="18">
        <f>KOL_Source_Data!$BW$28</f>
      </c>
      <c r="BB100" s="11">
        <f>KOL_Source_Data!$BX$28</f>
      </c>
      <c r="BC100" s="18">
        <f>IF(NOT(ISNUMBER(Matching_Engine!$AY$100)),-1,Matching_Engine!$AY$100*1000+2)</f>
      </c>
      <c r="BD100" s="11">
        <f>IF(AND(ISTEXT(KOL_Source_Data!$S$28),KOL_Source_Data!$S$28&lt;&gt;"N/A"),KOL_Source_Data!$S$28,"")&amp;" | "&amp;IF(AND(ISTEXT(KOL_Source_Data!$T$28),KOL_Source_Data!$T$28&lt;&gt;"N/A"),KOL_Source_Data!$T$28,"")&amp;" | "&amp;IF(AND(ISTEXT(KOL_Source_Data!$N$28),KOL_Source_Data!$N$28&lt;&gt;"N/A"),KOL_Source_Data!$N$28,"")&amp;" | "&amp;IF(AND(ISTEXT(KOL_Source_Data!$K$28),KOL_Source_Data!$K$28&lt;&gt;"N/A"),KOL_Source_Data!$K$28,"")&amp;" | "&amp;IF(AND(ISTEXT(KOL_Source_Data!$J$28),KOL_Source_Data!$J$28&lt;&gt;"N/A"),KOL_Source_Data!$J$28,"")</f>
      </c>
      <c r="BE100" s="11">
        <f>IF(AND(ISTEXT(KOL_Source_Data!$T$28),KOL_Source_Data!$T$28&lt;&gt;"N/A"),KOL_Source_Data!$T$28,"")&amp;" | "&amp;IF(AND(ISTEXT(KOL_Source_Data!$N$28),KOL_Source_Data!$N$28&lt;&gt;"N/A"),KOL_Source_Data!$N$28,"")&amp;" | "&amp;IF(AND(ISTEXT(KOL_Source_Data!$O$28),KOL_Source_Data!$O$28&lt;&gt;"N/A"),KOL_Source_Data!$O$28,"")&amp;" | "&amp;IF(AND(ISTEXT(KOL_Source_Data!$S$28),KOL_Source_Data!$S$28&lt;&gt;"N/A"),KOL_Source_Data!$S$28,"")</f>
      </c>
      <c r="BF100" s="11">
        <f>IF(AND(ISTEXT(KOL_Source_Data!$U$28),KOL_Source_Data!$U$28&lt;&gt;"N/A"),KOL_Source_Data!$U$28,"")</f>
      </c>
      <c r="BG100" s="11">
        <f>Matching_Engine!$A$100&amp;"|"&amp;Matching_Engine!$C$100</f>
      </c>
    </row>
    <row r="101" spans="1:59" x14ac:dyDescent="0.25">
      <c r="A101" s="10" t="s">
        <v>393</v>
      </c>
      <c r="B101" s="11">
        <f>Brand_Profile!$H$6</f>
      </c>
      <c r="C101" s="11">
        <f>KOL_Source_Data!$A$29</f>
      </c>
      <c r="D101" s="11">
        <f>KOL_Source_Data!$C$29</f>
      </c>
      <c r="E101" s="11">
        <f>KOL_Source_Data!$D$29</f>
      </c>
      <c r="F101" s="11">
        <f>KOL_Source_Data!$E$29</f>
      </c>
      <c r="G101" s="11">
        <f>KOL_Source_Data!$K$29</f>
      </c>
      <c r="H101" s="12">
        <f>KOL_Source_Data!$G$29</f>
      </c>
      <c r="I101" s="14">
        <f>KOL_Source_Data!$BG$29</f>
      </c>
      <c r="J101" s="18">
        <f>IF(NOT(AND(ISTEXT(KOL_Source_Data!$K$29),KOL_Source_Data!$K$29&lt;&gt;"N/A")),Lookup_Lists!$D$150,IF(Brand_Profile!$H$7=KOL_Source_Data!$K$29,100,IFERROR(INDEX(Lookup_Lists!$B$349:$J$357,MATCH(Brand_Profile!$H$7,Lookup_Lists!$A$349:$A$357,0),MATCH(KOL_Source_Data!$K$29,Lookup_Lists!$B$348:$J$348,0)),Lookup_Lists!$D$151)))</f>
      </c>
      <c r="K101" s="18">
        <f>IF(LEN(TRIM(SUBSTITUTE(Matching_Engine!$BD$101,"|","")))=0,"N/A",IF(Brand_Profile!$H$47=0,Lookup_Lists!$D$150,ROUND((IF(Brand_Profile!$H$41="",0,IF(ISNUMBER(SEARCH(Brand_Profile!$H$41,Matching_Engine!$BD$101)),1,0))+IF(Brand_Profile!$H$42="",0,IF(ISNUMBER(SEARCH(Brand_Profile!$H$42,Matching_Engine!$BD$101)),1,0))+IF(Brand_Profile!$H$43="",0,IF(ISNUMBER(SEARCH(Brand_Profile!$H$43,Matching_Engine!$BD$101)),1,0))+IF(Brand_Profile!$H$44="",0,IF(ISNUMBER(SEARCH(Brand_Profile!$H$44,Matching_Engine!$BD$101)),1,0))+IF(Brand_Profile!$H$45="",0,IF(ISNUMBER(SEARCH(Brand_Profile!$H$45,Matching_Engine!$BD$101)),1,0))+IF(Brand_Profile!$H$46="",0,IF(ISNUMBER(SEARCH(Brand_Profile!$H$46,Matching_Engine!$BD$101)),1,0)))/Brand_Profile!$H$47*100,0)))</f>
      </c>
      <c r="L101" s="18">
        <f>IF(NOT(AND(ISTEXT(KOL_Source_Data!$U$29),KOL_Source_Data!$U$29&lt;&gt;"N/A")),"N/A",IF(Brand_Profile!$H$53=0,Lookup_Lists!$D$150,ROUND((IF(Brand_Profile!$H$48="",0,IF(ISNUMBER(SEARCH(Brand_Profile!$H$48,Matching_Engine!$BF$101)),1,0))+IF(Brand_Profile!$H$49="",0,IF(ISNUMBER(SEARCH(Brand_Profile!$H$49,Matching_Engine!$BF$101)),1,0))+IF(Brand_Profile!$H$50="",0,IF(ISNUMBER(SEARCH(Brand_Profile!$H$50,Matching_Engine!$BF$101)),1,0))+IF(Brand_Profile!$H$51="",0,IF(ISNUMBER(SEARCH(Brand_Profile!$H$51,Matching_Engine!$BF$101)),1,0))+IF(Brand_Profile!$H$52="",0,IF(ISNUMBER(SEARCH(Brand_Profile!$H$52,Matching_Engine!$BF$101)),1,0)))/Brand_Profile!$H$53*100,0)))</f>
      </c>
      <c r="M101" s="29">
        <f>IF((IF(ISNUMBER(Matching_Engine!$J$101),Lookup_Lists!$D$332,0)+IF(ISNUMBER(Matching_Engine!$K$101),Lookup_Lists!$D$333,0)+IF(ISNUMBER(Matching_Engine!$L$101),Lookup_Lists!$D$334,0))=0,"N/A",ROUND((IF(ISNUMBER(Matching_Engine!$J$101),Matching_Engine!$J$101*Lookup_Lists!$D$332,0)+IF(ISNUMBER(Matching_Engine!$K$101),Matching_Engine!$K$101*Lookup_Lists!$D$333,0)+IF(ISNUMBER(Matching_Engine!$L$101),Matching_Engine!$L$101*Lookup_Lists!$D$334,0))/(IF(ISNUMBER(Matching_Engine!$J$101),Lookup_Lists!$D$332,0)+IF(ISNUMBER(Matching_Engine!$K$101),Lookup_Lists!$D$333,0)+IF(ISNUMBER(Matching_Engine!$L$101),Lookup_Lists!$D$334,0)),0))</f>
      </c>
      <c r="N101" s="11">
        <f>IF(ISNUMBER(Matching_Engine!$M$101),1,0)</f>
      </c>
      <c r="O101" s="18">
        <f>IF(NOT(ISNUMBER(IFERROR(INDEX(KOL_Source_Data!$V$29:KOL_Source_Data!$Z$29,1,MATCH(Brand_Profile!$H$11,Lookup_Lists!$F$6:$F$10,0)),""))),"N/A",MIN(100,ROUND((IFERROR(INDEX(KOL_Source_Data!$V$29:KOL_Source_Data!$Z$29,1,MATCH(Brand_Profile!$H$11,Lookup_Lists!$F$6:$F$10,0)),"")+0.5*IF(ISNUMBER(IFERROR(INDEX(KOL_Source_Data!$V$29:KOL_Source_Data!$Z$29,1,MATCH(Brand_Profile!$H$12,Lookup_Lists!$F$6:$F$10,0)),"")),IFERROR(INDEX(KOL_Source_Data!$V$29:KOL_Source_Data!$Z$29,1,MATCH(Brand_Profile!$H$12,Lookup_Lists!$F$6:$F$10,0)),""),0))/Lookup_Lists!$D$142*100,0)))</f>
      </c>
      <c r="P101" s="18">
        <f>IF(Brand_Profile!$H$13="Any",100,IF(NOT(ISNUMBER(KOL_Source_Data!$AA$29)),"N/A",IF(Brand_Profile!$H$13="Female",MIN(100,ROUND(KOL_Source_Data!$AA$29/Lookup_Lists!$D$143*100,0)),IF(Brand_Profile!$H$13="Male",MIN(100,ROUND(IF(ISNUMBER(KOL_Source_Data!$AB$29),KOL_Source_Data!$AB$29,100-KOL_Source_Data!$AA$29)/Lookup_Lists!$D$143*100,0)),MAX(0,ROUND(100-ABS(KOL_Source_Data!$AA$29-50)*2,0))))))</f>
      </c>
      <c r="Q101" s="18">
        <f>IF((IF(ISNUMBER(IF(NOT(ISNUMBER(KOL_Source_Data!$AE$29)),"N/A",IF(KOL_Source_Data!$AD$29&lt;&gt;Brand_Profile!$H$14,Lookup_Lists!$D$151,MIN(100,ROUND(KOL_Source_Data!$AE$29/Lookup_Lists!$D$316*100,0))))),Lookup_Lists!$D$118,0)+IF(ISNUMBER(IF(NOT(ISNUMBER(KOL_Source_Data!$AM$29)),"N/A",MIN(100,ROUND((IF(KOL_Source_Data!$AG$29=Brand_Profile!$H$15,IF(ISNUMBER(KOL_Source_Data!$AH$29),KOL_Source_Data!$AH$29,0),0)+IF(KOL_Source_Data!$AI$29=Brand_Profile!$H$15,IF(ISNUMBER(KOL_Source_Data!$AJ$29),KOL_Source_Data!$AJ$29,0),0)+IF(KOL_Source_Data!$AK$29=Brand_Profile!$H$15,IF(ISNUMBER(KOL_Source_Data!$AL$29),KOL_Source_Data!$AL$29,0),0))/Lookup_Lists!$D$317*100,0)))),Lookup_Lists!$D$120,0))=0,"N/A",ROUND((IF(ISNUMBER(IF(NOT(ISNUMBER(KOL_Source_Data!$AE$29)),"N/A",IF(KOL_Source_Data!$AD$29&lt;&gt;Brand_Profile!$H$14,Lookup_Lists!$D$151,MIN(100,ROUND(KOL_Source_Data!$AE$29/Lookup_Lists!$D$316*100,0))))),IF(NOT(ISNUMBER(KOL_Source_Data!$AE$29)),"N/A",IF(KOL_Source_Data!$AD$29&lt;&gt;Brand_Profile!$H$14,Lookup_Lists!$D$151,MIN(100,ROUND(KOL_Source_Data!$AE$29/Lookup_Lists!$D$316*100,0))))*Lookup_Lists!$D$118,0)+IF(ISNUMBER(IF(NOT(ISNUMBER(KOL_Source_Data!$AM$29)),"N/A",MIN(100,ROUND((IF(KOL_Source_Data!$AG$29=Brand_Profile!$H$15,IF(ISNUMBER(KOL_Source_Data!$AH$29),KOL_Source_Data!$AH$29,0),0)+IF(KOL_Source_Data!$AI$29=Brand_Profile!$H$15,IF(ISNUMBER(KOL_Source_Data!$AJ$29),KOL_Source_Data!$AJ$29,0),0)+IF(KOL_Source_Data!$AK$29=Brand_Profile!$H$15,IF(ISNUMBER(KOL_Source_Data!$AL$29),KOL_Source_Data!$AL$29,0),0))/Lookup_Lists!$D$317*100,0)))),IF(NOT(ISNUMBER(KOL_Source_Data!$AM$29)),"N/A",MIN(100,ROUND((IF(KOL_Source_Data!$AG$29=Brand_Profile!$H$15,IF(ISNUMBER(KOL_Source_Data!$AH$29),KOL_Source_Data!$AH$29,0),0)+IF(KOL_Source_Data!$AI$29=Brand_Profile!$H$15,IF(ISNUMBER(KOL_Source_Data!$AJ$29),KOL_Source_Data!$AJ$29,0),0)+IF(KOL_Source_Data!$AK$29=Brand_Profile!$H$15,IF(ISNUMBER(KOL_Source_Data!$AL$29),KOL_Source_Data!$AL$29,0),0))/Lookup_Lists!$D$317*100,0)))*Lookup_Lists!$D$120,0))/(IF(ISNUMBER(IF(NOT(ISNUMBER(KOL_Source_Data!$AE$29)),"N/A",IF(KOL_Source_Data!$AD$29&lt;&gt;Brand_Profile!$H$14,Lookup_Lists!$D$151,MIN(100,ROUND(KOL_Source_Data!$AE$29/Lookup_Lists!$D$316*100,0))))),Lookup_Lists!$D$118,0)+IF(ISNUMBER(IF(NOT(ISNUMBER(KOL_Source_Data!$AM$29)),"N/A",MIN(100,ROUND((IF(KOL_Source_Data!$AG$29=Brand_Profile!$H$15,IF(ISNUMBER(KOL_Source_Data!$AH$29),KOL_Source_Data!$AH$29,0),0)+IF(KOL_Source_Data!$AI$29=Brand_Profile!$H$15,IF(ISNUMBER(KOL_Source_Data!$AJ$29),KOL_Source_Data!$AJ$29,0),0)+IF(KOL_Source_Data!$AK$29=Brand_Profile!$H$15,IF(ISNUMBER(KOL_Source_Data!$AL$29),KOL_Source_Data!$AL$29,0),0))/Lookup_Lists!$D$317*100,0)))),Lookup_Lists!$D$120,0)),0))</f>
      </c>
      <c r="R101" s="18">
        <f>IF(NOT(ISNUMBER(KOL_Source_Data!$AN$29)),"N/A",MIN(100,ROUND((IF(ISNUMBER(KOL_Source_Data!$AO$29),KOL_Source_Data!$AO$29*Brand_Profile!$H$17,0)+IF(ISNUMBER(KOL_Source_Data!$AP$29),KOL_Source_Data!$AP$29*Brand_Profile!$H$18,0)+IF(ISNUMBER(KOL_Source_Data!$AQ$29),KOL_Source_Data!$AQ$29*Brand_Profile!$H$19,0)+IF(ISNUMBER(KOL_Source_Data!$AR$29),KOL_Source_Data!$AR$29*Brand_Profile!$H$20,0)+IF(ISNUMBER(KOL_Source_Data!$AS$29),KOL_Source_Data!$AS$29*Brand_Profile!$H$21,0)+IF(ISNUMBER(KOL_Source_Data!$AT$29),KOL_Source_Data!$AT$29*Brand_Profile!$H$22,0)+IF(ISNUMBER(KOL_Source_Data!$AU$29),KOL_Source_Data!$AU$29*Brand_Profile!$H$23,0)+IF(ISNUMBER(KOL_Source_Data!$AV$29),KOL_Source_Data!$AV$29*Brand_Profile!$H$24,0)+IF(ISNUMBER(KOL_Source_Data!$AW$29),KOL_Source_Data!$AW$29*Brand_Profile!$H$25,0)+IF(ISNUMBER(KOL_Source_Data!$AX$29),KOL_Source_Data!$AX$29*Brand_Profile!$H$26,0)+IF(ISNUMBER(KOL_Source_Data!$AY$29),KOL_Source_Data!$AY$29*Brand_Profile!$H$27,0)+IF(ISNUMBER(KOL_Source_Data!$AZ$29),KOL_Source_Data!$AZ$29*Brand_Profile!$H$28,0)+IF(ISNUMBER(KOL_Source_Data!$BA$29),KOL_Source_Data!$BA$29*Brand_Profile!$H$29,0)+IF(ISNUMBER(KOL_Source_Data!$BB$29),KOL_Source_Data!$BB$29*Brand_Profile!$H$30,0)+IF(ISNUMBER(KOL_Source_Data!$BC$29),KOL_Source_Data!$BC$29*Brand_Profile!$H$31,0)+IF(ISNUMBER(KOL_Source_Data!$BD$29),KOL_Source_Data!$BD$29*Brand_Profile!$H$32,0)+IF(ISNUMBER(KOL_Source_Data!$BE$29),KOL_Source_Data!$BE$29*Brand_Profile!$H$33,0)+IF(ISNUMBER(KOL_Source_Data!$BF$29),KOL_Source_Data!$BF$29*Brand_Profile!$H$34,0))/Lookup_Lists!$D$318*100,0)))</f>
      </c>
      <c r="S101" s="29">
        <f>IF((IF(ISNUMBER(Matching_Engine!$O$101),Lookup_Lists!$D$113,0)+IF(ISNUMBER(Matching_Engine!$P$101),Lookup_Lists!$D$114,0)+IF(ISNUMBER(Matching_Engine!$Q$101),Lookup_Lists!$D$115,0)+IF(ISNUMBER(Matching_Engine!$R$101),Lookup_Lists!$D$116,0))=0,"N/A",ROUND((IF(ISNUMBER(Matching_Engine!$O$101),Matching_Engine!$O$101*Lookup_Lists!$D$113,0)+IF(ISNUMBER(Matching_Engine!$P$101),Matching_Engine!$P$101*Lookup_Lists!$D$114,0)+IF(ISNUMBER(Matching_Engine!$Q$101),Matching_Engine!$Q$101*Lookup_Lists!$D$115,0)+IF(ISNUMBER(Matching_Engine!$R$101),Matching_Engine!$R$101*Lookup_Lists!$D$116,0))/(IF(ISNUMBER(Matching_Engine!$O$101),Lookup_Lists!$D$113,0)+IF(ISNUMBER(Matching_Engine!$P$101),Lookup_Lists!$D$114,0)+IF(ISNUMBER(Matching_Engine!$Q$101),Lookup_Lists!$D$115,0)+IF(ISNUMBER(Matching_Engine!$R$101),Lookup_Lists!$D$116,0)),0))</f>
      </c>
      <c r="T101" s="11">
        <f>IF(ISNUMBER(Matching_Engine!$S$101),1,0)</f>
      </c>
      <c r="U101" s="18">
        <f>IF(NOT(AND(ISTEXT(KOL_Source_Data!$M$29),KOL_Source_Data!$M$29&lt;&gt;"N/A")),Lookup_Lists!$D$150,IF(Brand_Profile!$H$7=KOL_Source_Data!$M$29,100,IFERROR(INDEX(Lookup_Lists!$B$349:$J$357,MATCH(Brand_Profile!$H$7,Lookup_Lists!$A$349:$A$357,0),MATCH(KOL_Source_Data!$M$29,Lookup_Lists!$B$348:$J$348,0)),Lookup_Lists!$D$151)))</f>
      </c>
      <c r="V101" s="18">
        <f>IF(NOT(AND(ISTEXT(KOL_Source_Data!$P$29),KOL_Source_Data!$P$29&lt;&gt;"N/A")),"N/A",IFERROR(INDEX(Lookup_Lists!$B$349:$J$357,MATCH(Brand_Profile!$H$7,Lookup_Lists!$A$349:$A$357,0),MATCH(KOL_Source_Data!$P$29,Lookup_Lists!$B$348:$J$348,0)),Lookup_Lists!$D$151))</f>
      </c>
      <c r="W101" s="18">
        <f>IF(LEN(TRIM(SUBSTITUTE(Matching_Engine!$BE$101,"|","")))=0,"N/A",IF(Brand_Profile!$H$60=0,Lookup_Lists!$D$150,ROUND((IF(Brand_Profile!$H$54="",0,IF(ISNUMBER(SEARCH(Brand_Profile!$H$54,Matching_Engine!$BE$101)),1,0))+IF(Brand_Profile!$H$55="",0,IF(ISNUMBER(SEARCH(Brand_Profile!$H$55,Matching_Engine!$BE$101)),1,0))+IF(Brand_Profile!$H$56="",0,IF(ISNUMBER(SEARCH(Brand_Profile!$H$56,Matching_Engine!$BE$101)),1,0))+IF(Brand_Profile!$H$57="",0,IF(ISNUMBER(SEARCH(Brand_Profile!$H$57,Matching_Engine!$BE$101)),1,0))+IF(Brand_Profile!$H$58="",0,IF(ISNUMBER(SEARCH(Brand_Profile!$H$58,Matching_Engine!$BE$101)),1,0))+IF(Brand_Profile!$H$59="",0,IF(ISNUMBER(SEARCH(Brand_Profile!$H$59,Matching_Engine!$BE$101)),1,0)))/Brand_Profile!$H$60*100,0)))</f>
      </c>
      <c r="X101" s="18">
        <f>IF(NOT(AND(ISTEXT(KOL_Source_Data!$Q$29),KOL_Source_Data!$Q$29&lt;&gt;"N/A")),"N/A",Lookup_Lists!$D$150)</f>
      </c>
      <c r="Y101" s="29">
        <f>IF((IF(ISNUMBER(Matching_Engine!$U$101),Lookup_Lists!$D$335,0)+IF(ISNUMBER(Matching_Engine!$V$101),Lookup_Lists!$D$122,0)+IF(ISNUMBER(Matching_Engine!$W$101),Lookup_Lists!$D$336,0)+IF(ISNUMBER(Matching_Engine!$X$101),Lookup_Lists!$D$124,0))=0,"N/A",ROUND((IF(ISNUMBER(Matching_Engine!$U$101),Matching_Engine!$U$101*Lookup_Lists!$D$335,0)+IF(ISNUMBER(Matching_Engine!$V$101),Matching_Engine!$V$101*Lookup_Lists!$D$122,0)+IF(ISNUMBER(Matching_Engine!$W$101),Matching_Engine!$W$101*Lookup_Lists!$D$336,0)+IF(ISNUMBER(Matching_Engine!$X$101),Matching_Engine!$X$101*Lookup_Lists!$D$124,0))/(IF(ISNUMBER(Matching_Engine!$U$101),Lookup_Lists!$D$335,0)+IF(ISNUMBER(Matching_Engine!$V$101),Lookup_Lists!$D$122,0)+IF(ISNUMBER(Matching_Engine!$W$101),Lookup_Lists!$D$336,0)+IF(ISNUMBER(Matching_Engine!$X$101),Lookup_Lists!$D$124,0)),0))</f>
      </c>
      <c r="Z101" s="11">
        <f>IF(ISNUMBER(Matching_Engine!$Y$101),1,0)</f>
      </c>
      <c r="AA101" s="18">
        <f>IF(NOT(AND(ISTEXT(KOL_Source_Data!$Q$29),KOL_Source_Data!$Q$29&lt;&gt;"N/A")),"N/A",Lookup_Lists!$D$150)</f>
      </c>
      <c r="AB101" s="18">
        <f>IF(NOT(AND(ISTEXT(KOL_Source_Data!$Q$29),KOL_Source_Data!$Q$29&lt;&gt;"N/A")),"N/A",Lookup_Lists!$D$150)</f>
      </c>
      <c r="AC101" s="18">
        <f>"N/A"</f>
      </c>
      <c r="AD101" s="18">
        <f>IF(NOT(AND(ISTEXT(KOL_Source_Data!$Q$29),KOL_Source_Data!$Q$29&lt;&gt;"N/A")),"N/A",Lookup_Lists!$D$150)</f>
      </c>
      <c r="AE101" s="29">
        <f>IF((IF(ISNUMBER(Matching_Engine!$AA$101),Lookup_Lists!$D$125,0)+IF(ISNUMBER(Matching_Engine!$AB$101),Lookup_Lists!$D$126,0)+IF(ISNUMBER(Matching_Engine!$AC$101),Lookup_Lists!$D$127,0)+IF(ISNUMBER(Matching_Engine!$AD$101),Lookup_Lists!$D$128,0))=0,"N/A",ROUND((IF(ISNUMBER(Matching_Engine!$AA$101),Matching_Engine!$AA$101*Lookup_Lists!$D$125,0)+IF(ISNUMBER(Matching_Engine!$AB$101),Matching_Engine!$AB$101*Lookup_Lists!$D$126,0)+IF(ISNUMBER(Matching_Engine!$AC$101),Matching_Engine!$AC$101*Lookup_Lists!$D$127,0)+IF(ISNUMBER(Matching_Engine!$AD$101),Matching_Engine!$AD$101*Lookup_Lists!$D$128,0))/(IF(ISNUMBER(Matching_Engine!$AA$101),Lookup_Lists!$D$125,0)+IF(ISNUMBER(Matching_Engine!$AB$101),Lookup_Lists!$D$126,0)+IF(ISNUMBER(Matching_Engine!$AC$101),Lookup_Lists!$D$127,0)+IF(ISNUMBER(Matching_Engine!$AD$101),Lookup_Lists!$D$128,0)),0))</f>
      </c>
      <c r="AF101" s="11">
        <f>IF(ISNUMBER(Matching_Engine!$AE$101),1,0)</f>
      </c>
      <c r="AG101" s="18">
        <f>IF(NOT(ISNUMBER(KOL_Source_Data!$BG$29)),"N/A",MIN(100,ROUND(KOL_Source_Data!$BG$29/IFERROR(INDEX(Lookup_Lists!$B$340:$B$344,MATCH(KOL_Source_Data!$H$29,Lookup_Lists!$A$340:$A$344,0)),Lookup_Lists!$D$141)*100,0)))</f>
      </c>
      <c r="AH101" s="18">
        <f>IF(NOT(ISNUMBER(KOL_Source_Data!$BS$29)),"N/A",MIN(100,MAX(0,KOL_Source_Data!$BS$29)))</f>
      </c>
      <c r="AI101" s="18">
        <f>IF(OR(NOT(ISNUMBER(KOL_Source_Data!$BM$29)),NOT(ISNUMBER(KOL_Source_Data!$BN$29)),KOL_Source_Data!$BN$29&lt;Lookup_Lists!$D$320),"N/A",MIN(100,ROUND(KOL_Source_Data!$BM$29/Lookup_Lists!$D$319*100,0)))</f>
      </c>
      <c r="AJ101" s="18">
        <f>IF(NOT(ISNUMBER(KOL_Source_Data!$BR$29)),"N/A",KOL_Source_Data!$BR$29)</f>
      </c>
      <c r="AK101" s="18">
        <f>IF(NOT(ISNUMBER(KOL_Source_Data!$BK$29)),"N/A",MIN(100,ROUND(KOL_Source_Data!$BK$29/Lookup_Lists!$D$321*100,0)))</f>
      </c>
      <c r="AL101" s="18">
        <f>IF(NOT(ISNUMBER(KOL_Source_Data!$BP$29)),"N/A",MIN(100,MAX(0,ROUND((KOL_Source_Data!$BP$29+2)/(Lookup_Lists!$D$145+2)*100,0))))</f>
      </c>
      <c r="AM101" s="29">
        <f>IF((IF(ISNUMBER(Matching_Engine!$AG$101),Lookup_Lists!$D$129,0)+IF(ISNUMBER(Matching_Engine!$AH$101),Lookup_Lists!$D$130,0)+IF(ISNUMBER(Matching_Engine!$AI$101),Lookup_Lists!$D$131,0)+IF(ISNUMBER(Matching_Engine!$AJ$101),Lookup_Lists!$D$132,0)+IF(ISNUMBER(Matching_Engine!$AK$101),Lookup_Lists!$D$133,0)+IF(ISNUMBER(Matching_Engine!$AL$101),Lookup_Lists!$D$134,0))=0,"N/A",ROUND((IF(ISNUMBER(Matching_Engine!$AG$101),Matching_Engine!$AG$101*Lookup_Lists!$D$129,0)+IF(ISNUMBER(Matching_Engine!$AH$101),Matching_Engine!$AH$101*Lookup_Lists!$D$130,0)+IF(ISNUMBER(Matching_Engine!$AI$101),Matching_Engine!$AI$101*Lookup_Lists!$D$131,0)+IF(ISNUMBER(Matching_Engine!$AJ$101),Matching_Engine!$AJ$101*Lookup_Lists!$D$132,0)+IF(ISNUMBER(Matching_Engine!$AK$101),Matching_Engine!$AK$101*Lookup_Lists!$D$133,0)+IF(ISNUMBER(Matching_Engine!$AL$101),Matching_Engine!$AL$101*Lookup_Lists!$D$134,0))/(IF(ISNUMBER(Matching_Engine!$AG$101),Lookup_Lists!$D$129,0)+IF(ISNUMBER(Matching_Engine!$AH$101),Lookup_Lists!$D$130,0)+IF(ISNUMBER(Matching_Engine!$AI$101),Lookup_Lists!$D$131,0)+IF(ISNUMBER(Matching_Engine!$AJ$101),Lookup_Lists!$D$132,0)+IF(ISNUMBER(Matching_Engine!$AK$101),Lookup_Lists!$D$133,0)+IF(ISNUMBER(Matching_Engine!$AL$101),Lookup_Lists!$D$134,0)),0))</f>
      </c>
      <c r="AN101" s="11">
        <f>IF(ISNUMBER(Matching_Engine!$AM$101),1,0)</f>
      </c>
      <c r="AO101" s="18">
        <f>IF(NOT(ISNUMBER(KOL_Source_Data!$BT$29)),"N/A",MIN(100,MAX(0,KOL_Source_Data!$BT$29)))</f>
      </c>
      <c r="AP101" s="18">
        <f>IF(NOT(ISNUMBER(KOL_Source_Data!$BU$29)),"N/A",MIN(100,MAX(0,KOL_Source_Data!$BU$29)))</f>
      </c>
      <c r="AQ101" s="18">
        <f>IF(KOL_Source_Data!$I$29="Yes",Lookup_Lists!$D$326,IF(KOL_Source_Data!$I$29="No",Lookup_Lists!$D$327,"N/A"))</f>
      </c>
      <c r="AR101" s="18">
        <f>IF(NOT(ISNUMBER(KOL_Source_Data!$BQ$29)),"N/A",MAX(0,ROUND(100-KOL_Source_Data!$BQ$29/Lookup_Lists!$D$328*100,0)))</f>
      </c>
      <c r="AS101" s="18">
        <f>IF(NOT(AND(ISTEXT(KOL_Source_Data!$BV$29),KOL_Source_Data!$BV$29&lt;&gt;"N/A")),"N/A",KOL_Source_Data!$BV$29)</f>
      </c>
      <c r="AT101" s="29">
        <f>IF((IF(ISNUMBER(Matching_Engine!$AO$101),Lookup_Lists!$D$322,0)+IF(ISNUMBER(Matching_Engine!$AP$101),Lookup_Lists!$D$323,0)+IF(ISNUMBER(Matching_Engine!$AQ$101),Lookup_Lists!$D$324,0)+IF(ISNUMBER(Matching_Engine!$AR$101),Lookup_Lists!$D$325,0))=0,"N/A",ROUND((IF(ISNUMBER(Matching_Engine!$AO$101),Matching_Engine!$AO$101*Lookup_Lists!$D$322,0)+IF(ISNUMBER(Matching_Engine!$AP$101),Matching_Engine!$AP$101*Lookup_Lists!$D$323,0)+IF(ISNUMBER(Matching_Engine!$AQ$101),Matching_Engine!$AQ$101*Lookup_Lists!$D$324,0)+IF(ISNUMBER(Matching_Engine!$AR$101),Matching_Engine!$AR$101*Lookup_Lists!$D$325,0))/(IF(ISNUMBER(Matching_Engine!$AO$101),Lookup_Lists!$D$322,0)+IF(ISNUMBER(Matching_Engine!$AP$101),Lookup_Lists!$D$323,0)+IF(ISNUMBER(Matching_Engine!$AQ$101),Lookup_Lists!$D$324,0)+IF(ISNUMBER(Matching_Engine!$AR$101),Lookup_Lists!$D$325,0)),0))</f>
      </c>
      <c r="AU101" s="11">
        <f>IF(ISNUMBER(Matching_Engine!$AT$101),1,0)</f>
      </c>
      <c r="AV101" s="11">
        <f>IF(NOT(ISNUMBER(Matching_Engine!$AT$101)),"Not Screened",IF(Matching_Engine!$AT$101&gt;=Lookup_Lists!$D$329,"Low Risk",IF(Matching_Engine!$AT$101&gt;=Lookup_Lists!$D$330,"Moderate Risk",IF(Matching_Engine!$AT$101&gt;=Lookup_Lists!$D$331,"Elevated Risk","High Risk"))))</f>
      </c>
      <c r="AW101" s="11">
        <f>IF(NOT(ISNUMBER(Matching_Engine!$AT$101)),"No integrity signal: no audience-analysis row for this account.","Integrity screen only — no content-risk reading exists (comments_analysis: 0 rows). "&amp;IF(ISNUMBER(Matching_Engine!$AO$101),"Authenticity "&amp;Matching_Engine!$AO$101&amp;". ","Authenticity N/A. ")&amp;IF(ISNUMBER(Matching_Engine!$AP$101),"Follower quality "&amp;Matching_Engine!$AP$101&amp;". ","Follower quality N/A. ")&amp;IF(KOL_Source_Data!$I$29="Yes","Platform-verified.","Not platform-verified."))</f>
      </c>
      <c r="AX101" s="18">
        <f>Matching_Engine!$N$101*Lookup_Lists!$D$104+Matching_Engine!$T$101*Lookup_Lists!$D$105+Matching_Engine!$Z$101*Lookup_Lists!$D$106+Matching_Engine!$AF$101*Lookup_Lists!$D$107+Matching_Engine!$AN$101*Lookup_Lists!$D$108+Matching_Engine!$AU$101*Lookup_Lists!$D$109</f>
      </c>
      <c r="AY101" s="30">
        <f>IF(Matching_Engine!$AX$101=0,"N/A",ROUND((IF(Matching_Engine!$N$101=1,Matching_Engine!$M$101*Lookup_Lists!$D$104,0)+IF(Matching_Engine!$T$101=1,Matching_Engine!$S$101*Lookup_Lists!$D$105,0)+IF(Matching_Engine!$Z$101=1,Matching_Engine!$Y$101*Lookup_Lists!$D$106,0)+IF(Matching_Engine!$AF$101=1,Matching_Engine!$AE$101*Lookup_Lists!$D$107,0)+IF(Matching_Engine!$AN$101=1,Matching_Engine!$AM$101*Lookup_Lists!$D$108,0)+IF(Matching_Engine!$AU$101=1,Matching_Engine!$AT$101*Lookup_Lists!$D$109,0))/Matching_Engine!$AX$101,0))</f>
      </c>
      <c r="AZ101" s="11">
        <f>IF(NOT(ISNUMBER(Matching_Engine!$AY$101)),"Not Scored",IF(Matching_Engine!$AY$101&gt;=Lookup_Lists!$D$152,"Excellent Match",IF(Matching_Engine!$AY$101&gt;=Lookup_Lists!$D$153,"Strong Match",IF(Matching_Engine!$AY$101&gt;=Lookup_Lists!$D$154,"Good Match",IF(Matching_Engine!$AY$101&gt;=Lookup_Lists!$D$155,"Moderate Match","Low Match")))))</f>
      </c>
      <c r="BA101" s="18">
        <f>KOL_Source_Data!$BW$29</f>
      </c>
      <c r="BB101" s="11">
        <f>KOL_Source_Data!$BX$29</f>
      </c>
      <c r="BC101" s="18">
        <f>IF(NOT(ISNUMBER(Matching_Engine!$AY$101)),-1,Matching_Engine!$AY$101*1000+1)</f>
      </c>
      <c r="BD101" s="11">
        <f>IF(AND(ISTEXT(KOL_Source_Data!$S$29),KOL_Source_Data!$S$29&lt;&gt;"N/A"),KOL_Source_Data!$S$29,"")&amp;" | "&amp;IF(AND(ISTEXT(KOL_Source_Data!$T$29),KOL_Source_Data!$T$29&lt;&gt;"N/A"),KOL_Source_Data!$T$29,"")&amp;" | "&amp;IF(AND(ISTEXT(KOL_Source_Data!$N$29),KOL_Source_Data!$N$29&lt;&gt;"N/A"),KOL_Source_Data!$N$29,"")&amp;" | "&amp;IF(AND(ISTEXT(KOL_Source_Data!$K$29),KOL_Source_Data!$K$29&lt;&gt;"N/A"),KOL_Source_Data!$K$29,"")&amp;" | "&amp;IF(AND(ISTEXT(KOL_Source_Data!$J$29),KOL_Source_Data!$J$29&lt;&gt;"N/A"),KOL_Source_Data!$J$29,"")</f>
      </c>
      <c r="BE101" s="11">
        <f>IF(AND(ISTEXT(KOL_Source_Data!$T$29),KOL_Source_Data!$T$29&lt;&gt;"N/A"),KOL_Source_Data!$T$29,"")&amp;" | "&amp;IF(AND(ISTEXT(KOL_Source_Data!$N$29),KOL_Source_Data!$N$29&lt;&gt;"N/A"),KOL_Source_Data!$N$29,"")&amp;" | "&amp;IF(AND(ISTEXT(KOL_Source_Data!$O$29),KOL_Source_Data!$O$29&lt;&gt;"N/A"),KOL_Source_Data!$O$29,"")&amp;" | "&amp;IF(AND(ISTEXT(KOL_Source_Data!$S$29),KOL_Source_Data!$S$29&lt;&gt;"N/A"),KOL_Source_Data!$S$29,"")</f>
      </c>
      <c r="BF101" s="11">
        <f>IF(AND(ISTEXT(KOL_Source_Data!$U$29),KOL_Source_Data!$U$29&lt;&gt;"N/A"),KOL_Source_Data!$U$29,"")</f>
      </c>
      <c r="BG101" s="11">
        <f>Matching_Engine!$A$101&amp;"|"&amp;Matching_Engine!$C$101</f>
      </c>
    </row>
    <row r="102" spans="1:59" x14ac:dyDescent="0.25">
      <c r="A102" s="10" t="s">
        <v>394</v>
      </c>
      <c r="B102" s="11">
        <f>Brand_Profile!$I$6</f>
      </c>
      <c r="C102" s="11">
        <f>KOL_Source_Data!$A$6</f>
      </c>
      <c r="D102" s="11">
        <f>KOL_Source_Data!$C$6</f>
      </c>
      <c r="E102" s="11">
        <f>KOL_Source_Data!$D$6</f>
      </c>
      <c r="F102" s="11">
        <f>KOL_Source_Data!$E$6</f>
      </c>
      <c r="G102" s="11">
        <f>KOL_Source_Data!$K$6</f>
      </c>
      <c r="H102" s="12">
        <f>KOL_Source_Data!$G$6</f>
      </c>
      <c r="I102" s="14">
        <f>KOL_Source_Data!$BG$6</f>
      </c>
      <c r="J102" s="18">
        <f>IF(NOT(AND(ISTEXT(KOL_Source_Data!$K$6),KOL_Source_Data!$K$6&lt;&gt;"N/A")),Lookup_Lists!$D$150,IF(Brand_Profile!$I$7=KOL_Source_Data!$K$6,100,IFERROR(INDEX(Lookup_Lists!$B$349:$J$357,MATCH(Brand_Profile!$I$7,Lookup_Lists!$A$349:$A$357,0),MATCH(KOL_Source_Data!$K$6,Lookup_Lists!$B$348:$J$348,0)),Lookup_Lists!$D$151)))</f>
      </c>
      <c r="K102" s="18">
        <f>IF(LEN(TRIM(SUBSTITUTE(Matching_Engine!$BD$102,"|","")))=0,"N/A",IF(Brand_Profile!$I$47=0,Lookup_Lists!$D$150,ROUND((IF(Brand_Profile!$I$41="",0,IF(ISNUMBER(SEARCH(Brand_Profile!$I$41,Matching_Engine!$BD$102)),1,0))+IF(Brand_Profile!$I$42="",0,IF(ISNUMBER(SEARCH(Brand_Profile!$I$42,Matching_Engine!$BD$102)),1,0))+IF(Brand_Profile!$I$43="",0,IF(ISNUMBER(SEARCH(Brand_Profile!$I$43,Matching_Engine!$BD$102)),1,0))+IF(Brand_Profile!$I$44="",0,IF(ISNUMBER(SEARCH(Brand_Profile!$I$44,Matching_Engine!$BD$102)),1,0))+IF(Brand_Profile!$I$45="",0,IF(ISNUMBER(SEARCH(Brand_Profile!$I$45,Matching_Engine!$BD$102)),1,0))+IF(Brand_Profile!$I$46="",0,IF(ISNUMBER(SEARCH(Brand_Profile!$I$46,Matching_Engine!$BD$102)),1,0)))/Brand_Profile!$I$47*100,0)))</f>
      </c>
      <c r="L102" s="18">
        <f>IF(NOT(AND(ISTEXT(KOL_Source_Data!$U$6),KOL_Source_Data!$U$6&lt;&gt;"N/A")),"N/A",IF(Brand_Profile!$I$53=0,Lookup_Lists!$D$150,ROUND((IF(Brand_Profile!$I$48="",0,IF(ISNUMBER(SEARCH(Brand_Profile!$I$48,Matching_Engine!$BF$102)),1,0))+IF(Brand_Profile!$I$49="",0,IF(ISNUMBER(SEARCH(Brand_Profile!$I$49,Matching_Engine!$BF$102)),1,0))+IF(Brand_Profile!$I$50="",0,IF(ISNUMBER(SEARCH(Brand_Profile!$I$50,Matching_Engine!$BF$102)),1,0))+IF(Brand_Profile!$I$51="",0,IF(ISNUMBER(SEARCH(Brand_Profile!$I$51,Matching_Engine!$BF$102)),1,0))+IF(Brand_Profile!$I$52="",0,IF(ISNUMBER(SEARCH(Brand_Profile!$I$52,Matching_Engine!$BF$102)),1,0)))/Brand_Profile!$I$53*100,0)))</f>
      </c>
      <c r="M102" s="29">
        <f>IF((IF(ISNUMBER(Matching_Engine!$J$102),Lookup_Lists!$D$332,0)+IF(ISNUMBER(Matching_Engine!$K$102),Lookup_Lists!$D$333,0)+IF(ISNUMBER(Matching_Engine!$L$102),Lookup_Lists!$D$334,0))=0,"N/A",ROUND((IF(ISNUMBER(Matching_Engine!$J$102),Matching_Engine!$J$102*Lookup_Lists!$D$332,0)+IF(ISNUMBER(Matching_Engine!$K$102),Matching_Engine!$K$102*Lookup_Lists!$D$333,0)+IF(ISNUMBER(Matching_Engine!$L$102),Matching_Engine!$L$102*Lookup_Lists!$D$334,0))/(IF(ISNUMBER(Matching_Engine!$J$102),Lookup_Lists!$D$332,0)+IF(ISNUMBER(Matching_Engine!$K$102),Lookup_Lists!$D$333,0)+IF(ISNUMBER(Matching_Engine!$L$102),Lookup_Lists!$D$334,0)),0))</f>
      </c>
      <c r="N102" s="11">
        <f>IF(ISNUMBER(Matching_Engine!$M$102),1,0)</f>
      </c>
      <c r="O102" s="18">
        <f>IF(NOT(ISNUMBER(IFERROR(INDEX(KOL_Source_Data!$V$6:KOL_Source_Data!$Z$6,1,MATCH(Brand_Profile!$I$11,Lookup_Lists!$F$6:$F$10,0)),""))),"N/A",MIN(100,ROUND((IFERROR(INDEX(KOL_Source_Data!$V$6:KOL_Source_Data!$Z$6,1,MATCH(Brand_Profile!$I$11,Lookup_Lists!$F$6:$F$10,0)),"")+0.5*IF(ISNUMBER(IFERROR(INDEX(KOL_Source_Data!$V$6:KOL_Source_Data!$Z$6,1,MATCH(Brand_Profile!$I$12,Lookup_Lists!$F$6:$F$10,0)),"")),IFERROR(INDEX(KOL_Source_Data!$V$6:KOL_Source_Data!$Z$6,1,MATCH(Brand_Profile!$I$12,Lookup_Lists!$F$6:$F$10,0)),""),0))/Lookup_Lists!$D$142*100,0)))</f>
      </c>
      <c r="P102" s="18">
        <f>IF(Brand_Profile!$I$13="Any",100,IF(NOT(ISNUMBER(KOL_Source_Data!$AA$6)),"N/A",IF(Brand_Profile!$I$13="Female",MIN(100,ROUND(KOL_Source_Data!$AA$6/Lookup_Lists!$D$143*100,0)),IF(Brand_Profile!$I$13="Male",MIN(100,ROUND(IF(ISNUMBER(KOL_Source_Data!$AB$6),KOL_Source_Data!$AB$6,100-KOL_Source_Data!$AA$6)/Lookup_Lists!$D$143*100,0)),MAX(0,ROUND(100-ABS(KOL_Source_Data!$AA$6-50)*2,0))))))</f>
      </c>
      <c r="Q102" s="18">
        <f>IF((IF(ISNUMBER(IF(NOT(ISNUMBER(KOL_Source_Data!$AE$6)),"N/A",IF(KOL_Source_Data!$AD$6&lt;&gt;Brand_Profile!$I$14,Lookup_Lists!$D$151,MIN(100,ROUND(KOL_Source_Data!$AE$6/Lookup_Lists!$D$316*100,0))))),Lookup_Lists!$D$118,0)+IF(ISNUMBER(IF(NOT(ISNUMBER(KOL_Source_Data!$AM$6)),"N/A",MIN(100,ROUND((IF(KOL_Source_Data!$AG$6=Brand_Profile!$I$15,IF(ISNUMBER(KOL_Source_Data!$AH$6),KOL_Source_Data!$AH$6,0),0)+IF(KOL_Source_Data!$AI$6=Brand_Profile!$I$15,IF(ISNUMBER(KOL_Source_Data!$AJ$6),KOL_Source_Data!$AJ$6,0),0)+IF(KOL_Source_Data!$AK$6=Brand_Profile!$I$15,IF(ISNUMBER(KOL_Source_Data!$AL$6),KOL_Source_Data!$AL$6,0),0))/Lookup_Lists!$D$317*100,0)))),Lookup_Lists!$D$120,0))=0,"N/A",ROUND((IF(ISNUMBER(IF(NOT(ISNUMBER(KOL_Source_Data!$AE$6)),"N/A",IF(KOL_Source_Data!$AD$6&lt;&gt;Brand_Profile!$I$14,Lookup_Lists!$D$151,MIN(100,ROUND(KOL_Source_Data!$AE$6/Lookup_Lists!$D$316*100,0))))),IF(NOT(ISNUMBER(KOL_Source_Data!$AE$6)),"N/A",IF(KOL_Source_Data!$AD$6&lt;&gt;Brand_Profile!$I$14,Lookup_Lists!$D$151,MIN(100,ROUND(KOL_Source_Data!$AE$6/Lookup_Lists!$D$316*100,0))))*Lookup_Lists!$D$118,0)+IF(ISNUMBER(IF(NOT(ISNUMBER(KOL_Source_Data!$AM$6)),"N/A",MIN(100,ROUND((IF(KOL_Source_Data!$AG$6=Brand_Profile!$I$15,IF(ISNUMBER(KOL_Source_Data!$AH$6),KOL_Source_Data!$AH$6,0),0)+IF(KOL_Source_Data!$AI$6=Brand_Profile!$I$15,IF(ISNUMBER(KOL_Source_Data!$AJ$6),KOL_Source_Data!$AJ$6,0),0)+IF(KOL_Source_Data!$AK$6=Brand_Profile!$I$15,IF(ISNUMBER(KOL_Source_Data!$AL$6),KOL_Source_Data!$AL$6,0),0))/Lookup_Lists!$D$317*100,0)))),IF(NOT(ISNUMBER(KOL_Source_Data!$AM$6)),"N/A",MIN(100,ROUND((IF(KOL_Source_Data!$AG$6=Brand_Profile!$I$15,IF(ISNUMBER(KOL_Source_Data!$AH$6),KOL_Source_Data!$AH$6,0),0)+IF(KOL_Source_Data!$AI$6=Brand_Profile!$I$15,IF(ISNUMBER(KOL_Source_Data!$AJ$6),KOL_Source_Data!$AJ$6,0),0)+IF(KOL_Source_Data!$AK$6=Brand_Profile!$I$15,IF(ISNUMBER(KOL_Source_Data!$AL$6),KOL_Source_Data!$AL$6,0),0))/Lookup_Lists!$D$317*100,0)))*Lookup_Lists!$D$120,0))/(IF(ISNUMBER(IF(NOT(ISNUMBER(KOL_Source_Data!$AE$6)),"N/A",IF(KOL_Source_Data!$AD$6&lt;&gt;Brand_Profile!$I$14,Lookup_Lists!$D$151,MIN(100,ROUND(KOL_Source_Data!$AE$6/Lookup_Lists!$D$316*100,0))))),Lookup_Lists!$D$118,0)+IF(ISNUMBER(IF(NOT(ISNUMBER(KOL_Source_Data!$AM$6)),"N/A",MIN(100,ROUND((IF(KOL_Source_Data!$AG$6=Brand_Profile!$I$15,IF(ISNUMBER(KOL_Source_Data!$AH$6),KOL_Source_Data!$AH$6,0),0)+IF(KOL_Source_Data!$AI$6=Brand_Profile!$I$15,IF(ISNUMBER(KOL_Source_Data!$AJ$6),KOL_Source_Data!$AJ$6,0),0)+IF(KOL_Source_Data!$AK$6=Brand_Profile!$I$15,IF(ISNUMBER(KOL_Source_Data!$AL$6),KOL_Source_Data!$AL$6,0),0))/Lookup_Lists!$D$317*100,0)))),Lookup_Lists!$D$120,0)),0))</f>
      </c>
      <c r="R102" s="18">
        <f>IF(NOT(ISNUMBER(KOL_Source_Data!$AN$6)),"N/A",MIN(100,ROUND((IF(ISNUMBER(KOL_Source_Data!$AO$6),KOL_Source_Data!$AO$6*Brand_Profile!$I$17,0)+IF(ISNUMBER(KOL_Source_Data!$AP$6),KOL_Source_Data!$AP$6*Brand_Profile!$I$18,0)+IF(ISNUMBER(KOL_Source_Data!$AQ$6),KOL_Source_Data!$AQ$6*Brand_Profile!$I$19,0)+IF(ISNUMBER(KOL_Source_Data!$AR$6),KOL_Source_Data!$AR$6*Brand_Profile!$I$20,0)+IF(ISNUMBER(KOL_Source_Data!$AS$6),KOL_Source_Data!$AS$6*Brand_Profile!$I$21,0)+IF(ISNUMBER(KOL_Source_Data!$AT$6),KOL_Source_Data!$AT$6*Brand_Profile!$I$22,0)+IF(ISNUMBER(KOL_Source_Data!$AU$6),KOL_Source_Data!$AU$6*Brand_Profile!$I$23,0)+IF(ISNUMBER(KOL_Source_Data!$AV$6),KOL_Source_Data!$AV$6*Brand_Profile!$I$24,0)+IF(ISNUMBER(KOL_Source_Data!$AW$6),KOL_Source_Data!$AW$6*Brand_Profile!$I$25,0)+IF(ISNUMBER(KOL_Source_Data!$AX$6),KOL_Source_Data!$AX$6*Brand_Profile!$I$26,0)+IF(ISNUMBER(KOL_Source_Data!$AY$6),KOL_Source_Data!$AY$6*Brand_Profile!$I$27,0)+IF(ISNUMBER(KOL_Source_Data!$AZ$6),KOL_Source_Data!$AZ$6*Brand_Profile!$I$28,0)+IF(ISNUMBER(KOL_Source_Data!$BA$6),KOL_Source_Data!$BA$6*Brand_Profile!$I$29,0)+IF(ISNUMBER(KOL_Source_Data!$BB$6),KOL_Source_Data!$BB$6*Brand_Profile!$I$30,0)+IF(ISNUMBER(KOL_Source_Data!$BC$6),KOL_Source_Data!$BC$6*Brand_Profile!$I$31,0)+IF(ISNUMBER(KOL_Source_Data!$BD$6),KOL_Source_Data!$BD$6*Brand_Profile!$I$32,0)+IF(ISNUMBER(KOL_Source_Data!$BE$6),KOL_Source_Data!$BE$6*Brand_Profile!$I$33,0)+IF(ISNUMBER(KOL_Source_Data!$BF$6),KOL_Source_Data!$BF$6*Brand_Profile!$I$34,0))/Lookup_Lists!$D$318*100,0)))</f>
      </c>
      <c r="S102" s="29">
        <f>IF((IF(ISNUMBER(Matching_Engine!$O$102),Lookup_Lists!$D$113,0)+IF(ISNUMBER(Matching_Engine!$P$102),Lookup_Lists!$D$114,0)+IF(ISNUMBER(Matching_Engine!$Q$102),Lookup_Lists!$D$115,0)+IF(ISNUMBER(Matching_Engine!$R$102),Lookup_Lists!$D$116,0))=0,"N/A",ROUND((IF(ISNUMBER(Matching_Engine!$O$102),Matching_Engine!$O$102*Lookup_Lists!$D$113,0)+IF(ISNUMBER(Matching_Engine!$P$102),Matching_Engine!$P$102*Lookup_Lists!$D$114,0)+IF(ISNUMBER(Matching_Engine!$Q$102),Matching_Engine!$Q$102*Lookup_Lists!$D$115,0)+IF(ISNUMBER(Matching_Engine!$R$102),Matching_Engine!$R$102*Lookup_Lists!$D$116,0))/(IF(ISNUMBER(Matching_Engine!$O$102),Lookup_Lists!$D$113,0)+IF(ISNUMBER(Matching_Engine!$P$102),Lookup_Lists!$D$114,0)+IF(ISNUMBER(Matching_Engine!$Q$102),Lookup_Lists!$D$115,0)+IF(ISNUMBER(Matching_Engine!$R$102),Lookup_Lists!$D$116,0)),0))</f>
      </c>
      <c r="T102" s="11">
        <f>IF(ISNUMBER(Matching_Engine!$S$102),1,0)</f>
      </c>
      <c r="U102" s="18">
        <f>IF(NOT(AND(ISTEXT(KOL_Source_Data!$M$6),KOL_Source_Data!$M$6&lt;&gt;"N/A")),Lookup_Lists!$D$150,IF(Brand_Profile!$I$7=KOL_Source_Data!$M$6,100,IFERROR(INDEX(Lookup_Lists!$B$349:$J$357,MATCH(Brand_Profile!$I$7,Lookup_Lists!$A$349:$A$357,0),MATCH(KOL_Source_Data!$M$6,Lookup_Lists!$B$348:$J$348,0)),Lookup_Lists!$D$151)))</f>
      </c>
      <c r="V102" s="18">
        <f>IF(NOT(AND(ISTEXT(KOL_Source_Data!$P$6),KOL_Source_Data!$P$6&lt;&gt;"N/A")),"N/A",IFERROR(INDEX(Lookup_Lists!$B$349:$J$357,MATCH(Brand_Profile!$I$7,Lookup_Lists!$A$349:$A$357,0),MATCH(KOL_Source_Data!$P$6,Lookup_Lists!$B$348:$J$348,0)),Lookup_Lists!$D$151))</f>
      </c>
      <c r="W102" s="18">
        <f>IF(LEN(TRIM(SUBSTITUTE(Matching_Engine!$BE$102,"|","")))=0,"N/A",IF(Brand_Profile!$I$60=0,Lookup_Lists!$D$150,ROUND((IF(Brand_Profile!$I$54="",0,IF(ISNUMBER(SEARCH(Brand_Profile!$I$54,Matching_Engine!$BE$102)),1,0))+IF(Brand_Profile!$I$55="",0,IF(ISNUMBER(SEARCH(Brand_Profile!$I$55,Matching_Engine!$BE$102)),1,0))+IF(Brand_Profile!$I$56="",0,IF(ISNUMBER(SEARCH(Brand_Profile!$I$56,Matching_Engine!$BE$102)),1,0))+IF(Brand_Profile!$I$57="",0,IF(ISNUMBER(SEARCH(Brand_Profile!$I$57,Matching_Engine!$BE$102)),1,0))+IF(Brand_Profile!$I$58="",0,IF(ISNUMBER(SEARCH(Brand_Profile!$I$58,Matching_Engine!$BE$102)),1,0))+IF(Brand_Profile!$I$59="",0,IF(ISNUMBER(SEARCH(Brand_Profile!$I$59,Matching_Engine!$BE$102)),1,0)))/Brand_Profile!$I$60*100,0)))</f>
      </c>
      <c r="X102" s="18">
        <f>IF(NOT(AND(ISTEXT(KOL_Source_Data!$Q$6),KOL_Source_Data!$Q$6&lt;&gt;"N/A")),"N/A",Lookup_Lists!$D$150)</f>
      </c>
      <c r="Y102" s="29">
        <f>IF((IF(ISNUMBER(Matching_Engine!$U$102),Lookup_Lists!$D$335,0)+IF(ISNUMBER(Matching_Engine!$V$102),Lookup_Lists!$D$122,0)+IF(ISNUMBER(Matching_Engine!$W$102),Lookup_Lists!$D$336,0)+IF(ISNUMBER(Matching_Engine!$X$102),Lookup_Lists!$D$124,0))=0,"N/A",ROUND((IF(ISNUMBER(Matching_Engine!$U$102),Matching_Engine!$U$102*Lookup_Lists!$D$335,0)+IF(ISNUMBER(Matching_Engine!$V$102),Matching_Engine!$V$102*Lookup_Lists!$D$122,0)+IF(ISNUMBER(Matching_Engine!$W$102),Matching_Engine!$W$102*Lookup_Lists!$D$336,0)+IF(ISNUMBER(Matching_Engine!$X$102),Matching_Engine!$X$102*Lookup_Lists!$D$124,0))/(IF(ISNUMBER(Matching_Engine!$U$102),Lookup_Lists!$D$335,0)+IF(ISNUMBER(Matching_Engine!$V$102),Lookup_Lists!$D$122,0)+IF(ISNUMBER(Matching_Engine!$W$102),Lookup_Lists!$D$336,0)+IF(ISNUMBER(Matching_Engine!$X$102),Lookup_Lists!$D$124,0)),0))</f>
      </c>
      <c r="Z102" s="11">
        <f>IF(ISNUMBER(Matching_Engine!$Y$102),1,0)</f>
      </c>
      <c r="AA102" s="18">
        <f>IF(NOT(AND(ISTEXT(KOL_Source_Data!$Q$6),KOL_Source_Data!$Q$6&lt;&gt;"N/A")),"N/A",Lookup_Lists!$D$150)</f>
      </c>
      <c r="AB102" s="18">
        <f>IF(NOT(AND(ISTEXT(KOL_Source_Data!$Q$6),KOL_Source_Data!$Q$6&lt;&gt;"N/A")),"N/A",Lookup_Lists!$D$150)</f>
      </c>
      <c r="AC102" s="18">
        <f>"N/A"</f>
      </c>
      <c r="AD102" s="18">
        <f>IF(NOT(AND(ISTEXT(KOL_Source_Data!$Q$6),KOL_Source_Data!$Q$6&lt;&gt;"N/A")),"N/A",Lookup_Lists!$D$150)</f>
      </c>
      <c r="AE102" s="29">
        <f>IF((IF(ISNUMBER(Matching_Engine!$AA$102),Lookup_Lists!$D$125,0)+IF(ISNUMBER(Matching_Engine!$AB$102),Lookup_Lists!$D$126,0)+IF(ISNUMBER(Matching_Engine!$AC$102),Lookup_Lists!$D$127,0)+IF(ISNUMBER(Matching_Engine!$AD$102),Lookup_Lists!$D$128,0))=0,"N/A",ROUND((IF(ISNUMBER(Matching_Engine!$AA$102),Matching_Engine!$AA$102*Lookup_Lists!$D$125,0)+IF(ISNUMBER(Matching_Engine!$AB$102),Matching_Engine!$AB$102*Lookup_Lists!$D$126,0)+IF(ISNUMBER(Matching_Engine!$AC$102),Matching_Engine!$AC$102*Lookup_Lists!$D$127,0)+IF(ISNUMBER(Matching_Engine!$AD$102),Matching_Engine!$AD$102*Lookup_Lists!$D$128,0))/(IF(ISNUMBER(Matching_Engine!$AA$102),Lookup_Lists!$D$125,0)+IF(ISNUMBER(Matching_Engine!$AB$102),Lookup_Lists!$D$126,0)+IF(ISNUMBER(Matching_Engine!$AC$102),Lookup_Lists!$D$127,0)+IF(ISNUMBER(Matching_Engine!$AD$102),Lookup_Lists!$D$128,0)),0))</f>
      </c>
      <c r="AF102" s="11">
        <f>IF(ISNUMBER(Matching_Engine!$AE$102),1,0)</f>
      </c>
      <c r="AG102" s="18">
        <f>IF(NOT(ISNUMBER(KOL_Source_Data!$BG$6)),"N/A",MIN(100,ROUND(KOL_Source_Data!$BG$6/IFERROR(INDEX(Lookup_Lists!$B$340:$B$344,MATCH(KOL_Source_Data!$H$6,Lookup_Lists!$A$340:$A$344,0)),Lookup_Lists!$D$141)*100,0)))</f>
      </c>
      <c r="AH102" s="18">
        <f>IF(NOT(ISNUMBER(KOL_Source_Data!$BS$6)),"N/A",MIN(100,MAX(0,KOL_Source_Data!$BS$6)))</f>
      </c>
      <c r="AI102" s="18">
        <f>IF(OR(NOT(ISNUMBER(KOL_Source_Data!$BM$6)),NOT(ISNUMBER(KOL_Source_Data!$BN$6)),KOL_Source_Data!$BN$6&lt;Lookup_Lists!$D$320),"N/A",MIN(100,ROUND(KOL_Source_Data!$BM$6/Lookup_Lists!$D$319*100,0)))</f>
      </c>
      <c r="AJ102" s="18">
        <f>IF(NOT(ISNUMBER(KOL_Source_Data!$BR$6)),"N/A",KOL_Source_Data!$BR$6)</f>
      </c>
      <c r="AK102" s="18">
        <f>IF(NOT(ISNUMBER(KOL_Source_Data!$BK$6)),"N/A",MIN(100,ROUND(KOL_Source_Data!$BK$6/Lookup_Lists!$D$321*100,0)))</f>
      </c>
      <c r="AL102" s="18">
        <f>IF(NOT(ISNUMBER(KOL_Source_Data!$BP$6)),"N/A",MIN(100,MAX(0,ROUND((KOL_Source_Data!$BP$6+2)/(Lookup_Lists!$D$145+2)*100,0))))</f>
      </c>
      <c r="AM102" s="29">
        <f>IF((IF(ISNUMBER(Matching_Engine!$AG$102),Lookup_Lists!$D$129,0)+IF(ISNUMBER(Matching_Engine!$AH$102),Lookup_Lists!$D$130,0)+IF(ISNUMBER(Matching_Engine!$AI$102),Lookup_Lists!$D$131,0)+IF(ISNUMBER(Matching_Engine!$AJ$102),Lookup_Lists!$D$132,0)+IF(ISNUMBER(Matching_Engine!$AK$102),Lookup_Lists!$D$133,0)+IF(ISNUMBER(Matching_Engine!$AL$102),Lookup_Lists!$D$134,0))=0,"N/A",ROUND((IF(ISNUMBER(Matching_Engine!$AG$102),Matching_Engine!$AG$102*Lookup_Lists!$D$129,0)+IF(ISNUMBER(Matching_Engine!$AH$102),Matching_Engine!$AH$102*Lookup_Lists!$D$130,0)+IF(ISNUMBER(Matching_Engine!$AI$102),Matching_Engine!$AI$102*Lookup_Lists!$D$131,0)+IF(ISNUMBER(Matching_Engine!$AJ$102),Matching_Engine!$AJ$102*Lookup_Lists!$D$132,0)+IF(ISNUMBER(Matching_Engine!$AK$102),Matching_Engine!$AK$102*Lookup_Lists!$D$133,0)+IF(ISNUMBER(Matching_Engine!$AL$102),Matching_Engine!$AL$102*Lookup_Lists!$D$134,0))/(IF(ISNUMBER(Matching_Engine!$AG$102),Lookup_Lists!$D$129,0)+IF(ISNUMBER(Matching_Engine!$AH$102),Lookup_Lists!$D$130,0)+IF(ISNUMBER(Matching_Engine!$AI$102),Lookup_Lists!$D$131,0)+IF(ISNUMBER(Matching_Engine!$AJ$102),Lookup_Lists!$D$132,0)+IF(ISNUMBER(Matching_Engine!$AK$102),Lookup_Lists!$D$133,0)+IF(ISNUMBER(Matching_Engine!$AL$102),Lookup_Lists!$D$134,0)),0))</f>
      </c>
      <c r="AN102" s="11">
        <f>IF(ISNUMBER(Matching_Engine!$AM$102),1,0)</f>
      </c>
      <c r="AO102" s="18">
        <f>IF(NOT(ISNUMBER(KOL_Source_Data!$BT$6)),"N/A",MIN(100,MAX(0,KOL_Source_Data!$BT$6)))</f>
      </c>
      <c r="AP102" s="18">
        <f>IF(NOT(ISNUMBER(KOL_Source_Data!$BU$6)),"N/A",MIN(100,MAX(0,KOL_Source_Data!$BU$6)))</f>
      </c>
      <c r="AQ102" s="18">
        <f>IF(KOL_Source_Data!$I$6="Yes",Lookup_Lists!$D$326,IF(KOL_Source_Data!$I$6="No",Lookup_Lists!$D$327,"N/A"))</f>
      </c>
      <c r="AR102" s="18">
        <f>IF(NOT(ISNUMBER(KOL_Source_Data!$BQ$6)),"N/A",MAX(0,ROUND(100-KOL_Source_Data!$BQ$6/Lookup_Lists!$D$328*100,0)))</f>
      </c>
      <c r="AS102" s="18">
        <f>IF(NOT(AND(ISTEXT(KOL_Source_Data!$BV$6),KOL_Source_Data!$BV$6&lt;&gt;"N/A")),"N/A",KOL_Source_Data!$BV$6)</f>
      </c>
      <c r="AT102" s="29">
        <f>IF((IF(ISNUMBER(Matching_Engine!$AO$102),Lookup_Lists!$D$322,0)+IF(ISNUMBER(Matching_Engine!$AP$102),Lookup_Lists!$D$323,0)+IF(ISNUMBER(Matching_Engine!$AQ$102),Lookup_Lists!$D$324,0)+IF(ISNUMBER(Matching_Engine!$AR$102),Lookup_Lists!$D$325,0))=0,"N/A",ROUND((IF(ISNUMBER(Matching_Engine!$AO$102),Matching_Engine!$AO$102*Lookup_Lists!$D$322,0)+IF(ISNUMBER(Matching_Engine!$AP$102),Matching_Engine!$AP$102*Lookup_Lists!$D$323,0)+IF(ISNUMBER(Matching_Engine!$AQ$102),Matching_Engine!$AQ$102*Lookup_Lists!$D$324,0)+IF(ISNUMBER(Matching_Engine!$AR$102),Matching_Engine!$AR$102*Lookup_Lists!$D$325,0))/(IF(ISNUMBER(Matching_Engine!$AO$102),Lookup_Lists!$D$322,0)+IF(ISNUMBER(Matching_Engine!$AP$102),Lookup_Lists!$D$323,0)+IF(ISNUMBER(Matching_Engine!$AQ$102),Lookup_Lists!$D$324,0)+IF(ISNUMBER(Matching_Engine!$AR$102),Lookup_Lists!$D$325,0)),0))</f>
      </c>
      <c r="AU102" s="11">
        <f>IF(ISNUMBER(Matching_Engine!$AT$102),1,0)</f>
      </c>
      <c r="AV102" s="11">
        <f>IF(NOT(ISNUMBER(Matching_Engine!$AT$102)),"Not Screened",IF(Matching_Engine!$AT$102&gt;=Lookup_Lists!$D$329,"Low Risk",IF(Matching_Engine!$AT$102&gt;=Lookup_Lists!$D$330,"Moderate Risk",IF(Matching_Engine!$AT$102&gt;=Lookup_Lists!$D$331,"Elevated Risk","High Risk"))))</f>
      </c>
      <c r="AW102" s="11">
        <f>IF(NOT(ISNUMBER(Matching_Engine!$AT$102)),"No integrity signal: no audience-analysis row for this account.","Integrity screen only — no content-risk reading exists (comments_analysis: 0 rows). "&amp;IF(ISNUMBER(Matching_Engine!$AO$102),"Authenticity "&amp;Matching_Engine!$AO$102&amp;". ","Authenticity N/A. ")&amp;IF(ISNUMBER(Matching_Engine!$AP$102),"Follower quality "&amp;Matching_Engine!$AP$102&amp;". ","Follower quality N/A. ")&amp;IF(KOL_Source_Data!$I$6="Yes","Platform-verified.","Not platform-verified."))</f>
      </c>
      <c r="AX102" s="18">
        <f>Matching_Engine!$N$102*Lookup_Lists!$D$104+Matching_Engine!$T$102*Lookup_Lists!$D$105+Matching_Engine!$Z$102*Lookup_Lists!$D$106+Matching_Engine!$AF$102*Lookup_Lists!$D$107+Matching_Engine!$AN$102*Lookup_Lists!$D$108+Matching_Engine!$AU$102*Lookup_Lists!$D$109</f>
      </c>
      <c r="AY102" s="30">
        <f>IF(Matching_Engine!$AX$102=0,"N/A",ROUND((IF(Matching_Engine!$N$102=1,Matching_Engine!$M$102*Lookup_Lists!$D$104,0)+IF(Matching_Engine!$T$102=1,Matching_Engine!$S$102*Lookup_Lists!$D$105,0)+IF(Matching_Engine!$Z$102=1,Matching_Engine!$Y$102*Lookup_Lists!$D$106,0)+IF(Matching_Engine!$AF$102=1,Matching_Engine!$AE$102*Lookup_Lists!$D$107,0)+IF(Matching_Engine!$AN$102=1,Matching_Engine!$AM$102*Lookup_Lists!$D$108,0)+IF(Matching_Engine!$AU$102=1,Matching_Engine!$AT$102*Lookup_Lists!$D$109,0))/Matching_Engine!$AX$102,0))</f>
      </c>
      <c r="AZ102" s="11">
        <f>IF(NOT(ISNUMBER(Matching_Engine!$AY$102)),"Not Scored",IF(Matching_Engine!$AY$102&gt;=Lookup_Lists!$D$152,"Excellent Match",IF(Matching_Engine!$AY$102&gt;=Lookup_Lists!$D$153,"Strong Match",IF(Matching_Engine!$AY$102&gt;=Lookup_Lists!$D$154,"Good Match",IF(Matching_Engine!$AY$102&gt;=Lookup_Lists!$D$155,"Moderate Match","Low Match")))))</f>
      </c>
      <c r="BA102" s="18">
        <f>KOL_Source_Data!$BW$6</f>
      </c>
      <c r="BB102" s="11">
        <f>KOL_Source_Data!$BX$6</f>
      </c>
      <c r="BC102" s="18">
        <f>IF(NOT(ISNUMBER(Matching_Engine!$AY$102)),-1,Matching_Engine!$AY$102*1000+24)</f>
      </c>
      <c r="BD102" s="11">
        <f>IF(AND(ISTEXT(KOL_Source_Data!$S$6),KOL_Source_Data!$S$6&lt;&gt;"N/A"),KOL_Source_Data!$S$6,"")&amp;" | "&amp;IF(AND(ISTEXT(KOL_Source_Data!$T$6),KOL_Source_Data!$T$6&lt;&gt;"N/A"),KOL_Source_Data!$T$6,"")&amp;" | "&amp;IF(AND(ISTEXT(KOL_Source_Data!$N$6),KOL_Source_Data!$N$6&lt;&gt;"N/A"),KOL_Source_Data!$N$6,"")&amp;" | "&amp;IF(AND(ISTEXT(KOL_Source_Data!$K$6),KOL_Source_Data!$K$6&lt;&gt;"N/A"),KOL_Source_Data!$K$6,"")&amp;" | "&amp;IF(AND(ISTEXT(KOL_Source_Data!$J$6),KOL_Source_Data!$J$6&lt;&gt;"N/A"),KOL_Source_Data!$J$6,"")</f>
      </c>
      <c r="BE102" s="11">
        <f>IF(AND(ISTEXT(KOL_Source_Data!$T$6),KOL_Source_Data!$T$6&lt;&gt;"N/A"),KOL_Source_Data!$T$6,"")&amp;" | "&amp;IF(AND(ISTEXT(KOL_Source_Data!$N$6),KOL_Source_Data!$N$6&lt;&gt;"N/A"),KOL_Source_Data!$N$6,"")&amp;" | "&amp;IF(AND(ISTEXT(KOL_Source_Data!$O$6),KOL_Source_Data!$O$6&lt;&gt;"N/A"),KOL_Source_Data!$O$6,"")&amp;" | "&amp;IF(AND(ISTEXT(KOL_Source_Data!$S$6),KOL_Source_Data!$S$6&lt;&gt;"N/A"),KOL_Source_Data!$S$6,"")</f>
      </c>
      <c r="BF102" s="11">
        <f>IF(AND(ISTEXT(KOL_Source_Data!$U$6),KOL_Source_Data!$U$6&lt;&gt;"N/A"),KOL_Source_Data!$U$6,"")</f>
      </c>
      <c r="BG102" s="11">
        <f>Matching_Engine!$A$102&amp;"|"&amp;Matching_Engine!$C$102</f>
      </c>
    </row>
    <row r="103" spans="1:59" x14ac:dyDescent="0.25">
      <c r="A103" s="10" t="s">
        <v>394</v>
      </c>
      <c r="B103" s="11">
        <f>Brand_Profile!$I$6</f>
      </c>
      <c r="C103" s="11">
        <f>KOL_Source_Data!$A$7</f>
      </c>
      <c r="D103" s="11">
        <f>KOL_Source_Data!$C$7</f>
      </c>
      <c r="E103" s="11">
        <f>KOL_Source_Data!$D$7</f>
      </c>
      <c r="F103" s="11">
        <f>KOL_Source_Data!$E$7</f>
      </c>
      <c r="G103" s="11">
        <f>KOL_Source_Data!$K$7</f>
      </c>
      <c r="H103" s="12">
        <f>KOL_Source_Data!$G$7</f>
      </c>
      <c r="I103" s="14">
        <f>KOL_Source_Data!$BG$7</f>
      </c>
      <c r="J103" s="18">
        <f>IF(NOT(AND(ISTEXT(KOL_Source_Data!$K$7),KOL_Source_Data!$K$7&lt;&gt;"N/A")),Lookup_Lists!$D$150,IF(Brand_Profile!$I$7=KOL_Source_Data!$K$7,100,IFERROR(INDEX(Lookup_Lists!$B$349:$J$357,MATCH(Brand_Profile!$I$7,Lookup_Lists!$A$349:$A$357,0),MATCH(KOL_Source_Data!$K$7,Lookup_Lists!$B$348:$J$348,0)),Lookup_Lists!$D$151)))</f>
      </c>
      <c r="K103" s="18">
        <f>IF(LEN(TRIM(SUBSTITUTE(Matching_Engine!$BD$103,"|","")))=0,"N/A",IF(Brand_Profile!$I$47=0,Lookup_Lists!$D$150,ROUND((IF(Brand_Profile!$I$41="",0,IF(ISNUMBER(SEARCH(Brand_Profile!$I$41,Matching_Engine!$BD$103)),1,0))+IF(Brand_Profile!$I$42="",0,IF(ISNUMBER(SEARCH(Brand_Profile!$I$42,Matching_Engine!$BD$103)),1,0))+IF(Brand_Profile!$I$43="",0,IF(ISNUMBER(SEARCH(Brand_Profile!$I$43,Matching_Engine!$BD$103)),1,0))+IF(Brand_Profile!$I$44="",0,IF(ISNUMBER(SEARCH(Brand_Profile!$I$44,Matching_Engine!$BD$103)),1,0))+IF(Brand_Profile!$I$45="",0,IF(ISNUMBER(SEARCH(Brand_Profile!$I$45,Matching_Engine!$BD$103)),1,0))+IF(Brand_Profile!$I$46="",0,IF(ISNUMBER(SEARCH(Brand_Profile!$I$46,Matching_Engine!$BD$103)),1,0)))/Brand_Profile!$I$47*100,0)))</f>
      </c>
      <c r="L103" s="18">
        <f>IF(NOT(AND(ISTEXT(KOL_Source_Data!$U$7),KOL_Source_Data!$U$7&lt;&gt;"N/A")),"N/A",IF(Brand_Profile!$I$53=0,Lookup_Lists!$D$150,ROUND((IF(Brand_Profile!$I$48="",0,IF(ISNUMBER(SEARCH(Brand_Profile!$I$48,Matching_Engine!$BF$103)),1,0))+IF(Brand_Profile!$I$49="",0,IF(ISNUMBER(SEARCH(Brand_Profile!$I$49,Matching_Engine!$BF$103)),1,0))+IF(Brand_Profile!$I$50="",0,IF(ISNUMBER(SEARCH(Brand_Profile!$I$50,Matching_Engine!$BF$103)),1,0))+IF(Brand_Profile!$I$51="",0,IF(ISNUMBER(SEARCH(Brand_Profile!$I$51,Matching_Engine!$BF$103)),1,0))+IF(Brand_Profile!$I$52="",0,IF(ISNUMBER(SEARCH(Brand_Profile!$I$52,Matching_Engine!$BF$103)),1,0)))/Brand_Profile!$I$53*100,0)))</f>
      </c>
      <c r="M103" s="29">
        <f>IF((IF(ISNUMBER(Matching_Engine!$J$103),Lookup_Lists!$D$332,0)+IF(ISNUMBER(Matching_Engine!$K$103),Lookup_Lists!$D$333,0)+IF(ISNUMBER(Matching_Engine!$L$103),Lookup_Lists!$D$334,0))=0,"N/A",ROUND((IF(ISNUMBER(Matching_Engine!$J$103),Matching_Engine!$J$103*Lookup_Lists!$D$332,0)+IF(ISNUMBER(Matching_Engine!$K$103),Matching_Engine!$K$103*Lookup_Lists!$D$333,0)+IF(ISNUMBER(Matching_Engine!$L$103),Matching_Engine!$L$103*Lookup_Lists!$D$334,0))/(IF(ISNUMBER(Matching_Engine!$J$103),Lookup_Lists!$D$332,0)+IF(ISNUMBER(Matching_Engine!$K$103),Lookup_Lists!$D$333,0)+IF(ISNUMBER(Matching_Engine!$L$103),Lookup_Lists!$D$334,0)),0))</f>
      </c>
      <c r="N103" s="11">
        <f>IF(ISNUMBER(Matching_Engine!$M$103),1,0)</f>
      </c>
      <c r="O103" s="18">
        <f>IF(NOT(ISNUMBER(IFERROR(INDEX(KOL_Source_Data!$V$7:KOL_Source_Data!$Z$7,1,MATCH(Brand_Profile!$I$11,Lookup_Lists!$F$6:$F$10,0)),""))),"N/A",MIN(100,ROUND((IFERROR(INDEX(KOL_Source_Data!$V$7:KOL_Source_Data!$Z$7,1,MATCH(Brand_Profile!$I$11,Lookup_Lists!$F$6:$F$10,0)),"")+0.5*IF(ISNUMBER(IFERROR(INDEX(KOL_Source_Data!$V$7:KOL_Source_Data!$Z$7,1,MATCH(Brand_Profile!$I$12,Lookup_Lists!$F$6:$F$10,0)),"")),IFERROR(INDEX(KOL_Source_Data!$V$7:KOL_Source_Data!$Z$7,1,MATCH(Brand_Profile!$I$12,Lookup_Lists!$F$6:$F$10,0)),""),0))/Lookup_Lists!$D$142*100,0)))</f>
      </c>
      <c r="P103" s="18">
        <f>IF(Brand_Profile!$I$13="Any",100,IF(NOT(ISNUMBER(KOL_Source_Data!$AA$7)),"N/A",IF(Brand_Profile!$I$13="Female",MIN(100,ROUND(KOL_Source_Data!$AA$7/Lookup_Lists!$D$143*100,0)),IF(Brand_Profile!$I$13="Male",MIN(100,ROUND(IF(ISNUMBER(KOL_Source_Data!$AB$7),KOL_Source_Data!$AB$7,100-KOL_Source_Data!$AA$7)/Lookup_Lists!$D$143*100,0)),MAX(0,ROUND(100-ABS(KOL_Source_Data!$AA$7-50)*2,0))))))</f>
      </c>
      <c r="Q103" s="18">
        <f>IF((IF(ISNUMBER(IF(NOT(ISNUMBER(KOL_Source_Data!$AE$7)),"N/A",IF(KOL_Source_Data!$AD$7&lt;&gt;Brand_Profile!$I$14,Lookup_Lists!$D$151,MIN(100,ROUND(KOL_Source_Data!$AE$7/Lookup_Lists!$D$316*100,0))))),Lookup_Lists!$D$118,0)+IF(ISNUMBER(IF(NOT(ISNUMBER(KOL_Source_Data!$AM$7)),"N/A",MIN(100,ROUND((IF(KOL_Source_Data!$AG$7=Brand_Profile!$I$15,IF(ISNUMBER(KOL_Source_Data!$AH$7),KOL_Source_Data!$AH$7,0),0)+IF(KOL_Source_Data!$AI$7=Brand_Profile!$I$15,IF(ISNUMBER(KOL_Source_Data!$AJ$7),KOL_Source_Data!$AJ$7,0),0)+IF(KOL_Source_Data!$AK$7=Brand_Profile!$I$15,IF(ISNUMBER(KOL_Source_Data!$AL$7),KOL_Source_Data!$AL$7,0),0))/Lookup_Lists!$D$317*100,0)))),Lookup_Lists!$D$120,0))=0,"N/A",ROUND((IF(ISNUMBER(IF(NOT(ISNUMBER(KOL_Source_Data!$AE$7)),"N/A",IF(KOL_Source_Data!$AD$7&lt;&gt;Brand_Profile!$I$14,Lookup_Lists!$D$151,MIN(100,ROUND(KOL_Source_Data!$AE$7/Lookup_Lists!$D$316*100,0))))),IF(NOT(ISNUMBER(KOL_Source_Data!$AE$7)),"N/A",IF(KOL_Source_Data!$AD$7&lt;&gt;Brand_Profile!$I$14,Lookup_Lists!$D$151,MIN(100,ROUND(KOL_Source_Data!$AE$7/Lookup_Lists!$D$316*100,0))))*Lookup_Lists!$D$118,0)+IF(ISNUMBER(IF(NOT(ISNUMBER(KOL_Source_Data!$AM$7)),"N/A",MIN(100,ROUND((IF(KOL_Source_Data!$AG$7=Brand_Profile!$I$15,IF(ISNUMBER(KOL_Source_Data!$AH$7),KOL_Source_Data!$AH$7,0),0)+IF(KOL_Source_Data!$AI$7=Brand_Profile!$I$15,IF(ISNUMBER(KOL_Source_Data!$AJ$7),KOL_Source_Data!$AJ$7,0),0)+IF(KOL_Source_Data!$AK$7=Brand_Profile!$I$15,IF(ISNUMBER(KOL_Source_Data!$AL$7),KOL_Source_Data!$AL$7,0),0))/Lookup_Lists!$D$317*100,0)))),IF(NOT(ISNUMBER(KOL_Source_Data!$AM$7)),"N/A",MIN(100,ROUND((IF(KOL_Source_Data!$AG$7=Brand_Profile!$I$15,IF(ISNUMBER(KOL_Source_Data!$AH$7),KOL_Source_Data!$AH$7,0),0)+IF(KOL_Source_Data!$AI$7=Brand_Profile!$I$15,IF(ISNUMBER(KOL_Source_Data!$AJ$7),KOL_Source_Data!$AJ$7,0),0)+IF(KOL_Source_Data!$AK$7=Brand_Profile!$I$15,IF(ISNUMBER(KOL_Source_Data!$AL$7),KOL_Source_Data!$AL$7,0),0))/Lookup_Lists!$D$317*100,0)))*Lookup_Lists!$D$120,0))/(IF(ISNUMBER(IF(NOT(ISNUMBER(KOL_Source_Data!$AE$7)),"N/A",IF(KOL_Source_Data!$AD$7&lt;&gt;Brand_Profile!$I$14,Lookup_Lists!$D$151,MIN(100,ROUND(KOL_Source_Data!$AE$7/Lookup_Lists!$D$316*100,0))))),Lookup_Lists!$D$118,0)+IF(ISNUMBER(IF(NOT(ISNUMBER(KOL_Source_Data!$AM$7)),"N/A",MIN(100,ROUND((IF(KOL_Source_Data!$AG$7=Brand_Profile!$I$15,IF(ISNUMBER(KOL_Source_Data!$AH$7),KOL_Source_Data!$AH$7,0),0)+IF(KOL_Source_Data!$AI$7=Brand_Profile!$I$15,IF(ISNUMBER(KOL_Source_Data!$AJ$7),KOL_Source_Data!$AJ$7,0),0)+IF(KOL_Source_Data!$AK$7=Brand_Profile!$I$15,IF(ISNUMBER(KOL_Source_Data!$AL$7),KOL_Source_Data!$AL$7,0),0))/Lookup_Lists!$D$317*100,0)))),Lookup_Lists!$D$120,0)),0))</f>
      </c>
      <c r="R103" s="18">
        <f>IF(NOT(ISNUMBER(KOL_Source_Data!$AN$7)),"N/A",MIN(100,ROUND((IF(ISNUMBER(KOL_Source_Data!$AO$7),KOL_Source_Data!$AO$7*Brand_Profile!$I$17,0)+IF(ISNUMBER(KOL_Source_Data!$AP$7),KOL_Source_Data!$AP$7*Brand_Profile!$I$18,0)+IF(ISNUMBER(KOL_Source_Data!$AQ$7),KOL_Source_Data!$AQ$7*Brand_Profile!$I$19,0)+IF(ISNUMBER(KOL_Source_Data!$AR$7),KOL_Source_Data!$AR$7*Brand_Profile!$I$20,0)+IF(ISNUMBER(KOL_Source_Data!$AS$7),KOL_Source_Data!$AS$7*Brand_Profile!$I$21,0)+IF(ISNUMBER(KOL_Source_Data!$AT$7),KOL_Source_Data!$AT$7*Brand_Profile!$I$22,0)+IF(ISNUMBER(KOL_Source_Data!$AU$7),KOL_Source_Data!$AU$7*Brand_Profile!$I$23,0)+IF(ISNUMBER(KOL_Source_Data!$AV$7),KOL_Source_Data!$AV$7*Brand_Profile!$I$24,0)+IF(ISNUMBER(KOL_Source_Data!$AW$7),KOL_Source_Data!$AW$7*Brand_Profile!$I$25,0)+IF(ISNUMBER(KOL_Source_Data!$AX$7),KOL_Source_Data!$AX$7*Brand_Profile!$I$26,0)+IF(ISNUMBER(KOL_Source_Data!$AY$7),KOL_Source_Data!$AY$7*Brand_Profile!$I$27,0)+IF(ISNUMBER(KOL_Source_Data!$AZ$7),KOL_Source_Data!$AZ$7*Brand_Profile!$I$28,0)+IF(ISNUMBER(KOL_Source_Data!$BA$7),KOL_Source_Data!$BA$7*Brand_Profile!$I$29,0)+IF(ISNUMBER(KOL_Source_Data!$BB$7),KOL_Source_Data!$BB$7*Brand_Profile!$I$30,0)+IF(ISNUMBER(KOL_Source_Data!$BC$7),KOL_Source_Data!$BC$7*Brand_Profile!$I$31,0)+IF(ISNUMBER(KOL_Source_Data!$BD$7),KOL_Source_Data!$BD$7*Brand_Profile!$I$32,0)+IF(ISNUMBER(KOL_Source_Data!$BE$7),KOL_Source_Data!$BE$7*Brand_Profile!$I$33,0)+IF(ISNUMBER(KOL_Source_Data!$BF$7),KOL_Source_Data!$BF$7*Brand_Profile!$I$34,0))/Lookup_Lists!$D$318*100,0)))</f>
      </c>
      <c r="S103" s="29">
        <f>IF((IF(ISNUMBER(Matching_Engine!$O$103),Lookup_Lists!$D$113,0)+IF(ISNUMBER(Matching_Engine!$P$103),Lookup_Lists!$D$114,0)+IF(ISNUMBER(Matching_Engine!$Q$103),Lookup_Lists!$D$115,0)+IF(ISNUMBER(Matching_Engine!$R$103),Lookup_Lists!$D$116,0))=0,"N/A",ROUND((IF(ISNUMBER(Matching_Engine!$O$103),Matching_Engine!$O$103*Lookup_Lists!$D$113,0)+IF(ISNUMBER(Matching_Engine!$P$103),Matching_Engine!$P$103*Lookup_Lists!$D$114,0)+IF(ISNUMBER(Matching_Engine!$Q$103),Matching_Engine!$Q$103*Lookup_Lists!$D$115,0)+IF(ISNUMBER(Matching_Engine!$R$103),Matching_Engine!$R$103*Lookup_Lists!$D$116,0))/(IF(ISNUMBER(Matching_Engine!$O$103),Lookup_Lists!$D$113,0)+IF(ISNUMBER(Matching_Engine!$P$103),Lookup_Lists!$D$114,0)+IF(ISNUMBER(Matching_Engine!$Q$103),Lookup_Lists!$D$115,0)+IF(ISNUMBER(Matching_Engine!$R$103),Lookup_Lists!$D$116,0)),0))</f>
      </c>
      <c r="T103" s="11">
        <f>IF(ISNUMBER(Matching_Engine!$S$103),1,0)</f>
      </c>
      <c r="U103" s="18">
        <f>IF(NOT(AND(ISTEXT(KOL_Source_Data!$M$7),KOL_Source_Data!$M$7&lt;&gt;"N/A")),Lookup_Lists!$D$150,IF(Brand_Profile!$I$7=KOL_Source_Data!$M$7,100,IFERROR(INDEX(Lookup_Lists!$B$349:$J$357,MATCH(Brand_Profile!$I$7,Lookup_Lists!$A$349:$A$357,0),MATCH(KOL_Source_Data!$M$7,Lookup_Lists!$B$348:$J$348,0)),Lookup_Lists!$D$151)))</f>
      </c>
      <c r="V103" s="18">
        <f>IF(NOT(AND(ISTEXT(KOL_Source_Data!$P$7),KOL_Source_Data!$P$7&lt;&gt;"N/A")),"N/A",IFERROR(INDEX(Lookup_Lists!$B$349:$J$357,MATCH(Brand_Profile!$I$7,Lookup_Lists!$A$349:$A$357,0),MATCH(KOL_Source_Data!$P$7,Lookup_Lists!$B$348:$J$348,0)),Lookup_Lists!$D$151))</f>
      </c>
      <c r="W103" s="18">
        <f>IF(LEN(TRIM(SUBSTITUTE(Matching_Engine!$BE$103,"|","")))=0,"N/A",IF(Brand_Profile!$I$60=0,Lookup_Lists!$D$150,ROUND((IF(Brand_Profile!$I$54="",0,IF(ISNUMBER(SEARCH(Brand_Profile!$I$54,Matching_Engine!$BE$103)),1,0))+IF(Brand_Profile!$I$55="",0,IF(ISNUMBER(SEARCH(Brand_Profile!$I$55,Matching_Engine!$BE$103)),1,0))+IF(Brand_Profile!$I$56="",0,IF(ISNUMBER(SEARCH(Brand_Profile!$I$56,Matching_Engine!$BE$103)),1,0))+IF(Brand_Profile!$I$57="",0,IF(ISNUMBER(SEARCH(Brand_Profile!$I$57,Matching_Engine!$BE$103)),1,0))+IF(Brand_Profile!$I$58="",0,IF(ISNUMBER(SEARCH(Brand_Profile!$I$58,Matching_Engine!$BE$103)),1,0))+IF(Brand_Profile!$I$59="",0,IF(ISNUMBER(SEARCH(Brand_Profile!$I$59,Matching_Engine!$BE$103)),1,0)))/Brand_Profile!$I$60*100,0)))</f>
      </c>
      <c r="X103" s="18">
        <f>IF(NOT(AND(ISTEXT(KOL_Source_Data!$Q$7),KOL_Source_Data!$Q$7&lt;&gt;"N/A")),"N/A",Lookup_Lists!$D$150)</f>
      </c>
      <c r="Y103" s="29">
        <f>IF((IF(ISNUMBER(Matching_Engine!$U$103),Lookup_Lists!$D$335,0)+IF(ISNUMBER(Matching_Engine!$V$103),Lookup_Lists!$D$122,0)+IF(ISNUMBER(Matching_Engine!$W$103),Lookup_Lists!$D$336,0)+IF(ISNUMBER(Matching_Engine!$X$103),Lookup_Lists!$D$124,0))=0,"N/A",ROUND((IF(ISNUMBER(Matching_Engine!$U$103),Matching_Engine!$U$103*Lookup_Lists!$D$335,0)+IF(ISNUMBER(Matching_Engine!$V$103),Matching_Engine!$V$103*Lookup_Lists!$D$122,0)+IF(ISNUMBER(Matching_Engine!$W$103),Matching_Engine!$W$103*Lookup_Lists!$D$336,0)+IF(ISNUMBER(Matching_Engine!$X$103),Matching_Engine!$X$103*Lookup_Lists!$D$124,0))/(IF(ISNUMBER(Matching_Engine!$U$103),Lookup_Lists!$D$335,0)+IF(ISNUMBER(Matching_Engine!$V$103),Lookup_Lists!$D$122,0)+IF(ISNUMBER(Matching_Engine!$W$103),Lookup_Lists!$D$336,0)+IF(ISNUMBER(Matching_Engine!$X$103),Lookup_Lists!$D$124,0)),0))</f>
      </c>
      <c r="Z103" s="11">
        <f>IF(ISNUMBER(Matching_Engine!$Y$103),1,0)</f>
      </c>
      <c r="AA103" s="18">
        <f>IF(NOT(AND(ISTEXT(KOL_Source_Data!$Q$7),KOL_Source_Data!$Q$7&lt;&gt;"N/A")),"N/A",Lookup_Lists!$D$150)</f>
      </c>
      <c r="AB103" s="18">
        <f>IF(NOT(AND(ISTEXT(KOL_Source_Data!$Q$7),KOL_Source_Data!$Q$7&lt;&gt;"N/A")),"N/A",Lookup_Lists!$D$150)</f>
      </c>
      <c r="AC103" s="18">
        <f>"N/A"</f>
      </c>
      <c r="AD103" s="18">
        <f>IF(NOT(AND(ISTEXT(KOL_Source_Data!$Q$7),KOL_Source_Data!$Q$7&lt;&gt;"N/A")),"N/A",Lookup_Lists!$D$150)</f>
      </c>
      <c r="AE103" s="29">
        <f>IF((IF(ISNUMBER(Matching_Engine!$AA$103),Lookup_Lists!$D$125,0)+IF(ISNUMBER(Matching_Engine!$AB$103),Lookup_Lists!$D$126,0)+IF(ISNUMBER(Matching_Engine!$AC$103),Lookup_Lists!$D$127,0)+IF(ISNUMBER(Matching_Engine!$AD$103),Lookup_Lists!$D$128,0))=0,"N/A",ROUND((IF(ISNUMBER(Matching_Engine!$AA$103),Matching_Engine!$AA$103*Lookup_Lists!$D$125,0)+IF(ISNUMBER(Matching_Engine!$AB$103),Matching_Engine!$AB$103*Lookup_Lists!$D$126,0)+IF(ISNUMBER(Matching_Engine!$AC$103),Matching_Engine!$AC$103*Lookup_Lists!$D$127,0)+IF(ISNUMBER(Matching_Engine!$AD$103),Matching_Engine!$AD$103*Lookup_Lists!$D$128,0))/(IF(ISNUMBER(Matching_Engine!$AA$103),Lookup_Lists!$D$125,0)+IF(ISNUMBER(Matching_Engine!$AB$103),Lookup_Lists!$D$126,0)+IF(ISNUMBER(Matching_Engine!$AC$103),Lookup_Lists!$D$127,0)+IF(ISNUMBER(Matching_Engine!$AD$103),Lookup_Lists!$D$128,0)),0))</f>
      </c>
      <c r="AF103" s="11">
        <f>IF(ISNUMBER(Matching_Engine!$AE$103),1,0)</f>
      </c>
      <c r="AG103" s="18">
        <f>IF(NOT(ISNUMBER(KOL_Source_Data!$BG$7)),"N/A",MIN(100,ROUND(KOL_Source_Data!$BG$7/IFERROR(INDEX(Lookup_Lists!$B$340:$B$344,MATCH(KOL_Source_Data!$H$7,Lookup_Lists!$A$340:$A$344,0)),Lookup_Lists!$D$141)*100,0)))</f>
      </c>
      <c r="AH103" s="18">
        <f>IF(NOT(ISNUMBER(KOL_Source_Data!$BS$7)),"N/A",MIN(100,MAX(0,KOL_Source_Data!$BS$7)))</f>
      </c>
      <c r="AI103" s="18">
        <f>IF(OR(NOT(ISNUMBER(KOL_Source_Data!$BM$7)),NOT(ISNUMBER(KOL_Source_Data!$BN$7)),KOL_Source_Data!$BN$7&lt;Lookup_Lists!$D$320),"N/A",MIN(100,ROUND(KOL_Source_Data!$BM$7/Lookup_Lists!$D$319*100,0)))</f>
      </c>
      <c r="AJ103" s="18">
        <f>IF(NOT(ISNUMBER(KOL_Source_Data!$BR$7)),"N/A",KOL_Source_Data!$BR$7)</f>
      </c>
      <c r="AK103" s="18">
        <f>IF(NOT(ISNUMBER(KOL_Source_Data!$BK$7)),"N/A",MIN(100,ROUND(KOL_Source_Data!$BK$7/Lookup_Lists!$D$321*100,0)))</f>
      </c>
      <c r="AL103" s="18">
        <f>IF(NOT(ISNUMBER(KOL_Source_Data!$BP$7)),"N/A",MIN(100,MAX(0,ROUND((KOL_Source_Data!$BP$7+2)/(Lookup_Lists!$D$145+2)*100,0))))</f>
      </c>
      <c r="AM103" s="29">
        <f>IF((IF(ISNUMBER(Matching_Engine!$AG$103),Lookup_Lists!$D$129,0)+IF(ISNUMBER(Matching_Engine!$AH$103),Lookup_Lists!$D$130,0)+IF(ISNUMBER(Matching_Engine!$AI$103),Lookup_Lists!$D$131,0)+IF(ISNUMBER(Matching_Engine!$AJ$103),Lookup_Lists!$D$132,0)+IF(ISNUMBER(Matching_Engine!$AK$103),Lookup_Lists!$D$133,0)+IF(ISNUMBER(Matching_Engine!$AL$103),Lookup_Lists!$D$134,0))=0,"N/A",ROUND((IF(ISNUMBER(Matching_Engine!$AG$103),Matching_Engine!$AG$103*Lookup_Lists!$D$129,0)+IF(ISNUMBER(Matching_Engine!$AH$103),Matching_Engine!$AH$103*Lookup_Lists!$D$130,0)+IF(ISNUMBER(Matching_Engine!$AI$103),Matching_Engine!$AI$103*Lookup_Lists!$D$131,0)+IF(ISNUMBER(Matching_Engine!$AJ$103),Matching_Engine!$AJ$103*Lookup_Lists!$D$132,0)+IF(ISNUMBER(Matching_Engine!$AK$103),Matching_Engine!$AK$103*Lookup_Lists!$D$133,0)+IF(ISNUMBER(Matching_Engine!$AL$103),Matching_Engine!$AL$103*Lookup_Lists!$D$134,0))/(IF(ISNUMBER(Matching_Engine!$AG$103),Lookup_Lists!$D$129,0)+IF(ISNUMBER(Matching_Engine!$AH$103),Lookup_Lists!$D$130,0)+IF(ISNUMBER(Matching_Engine!$AI$103),Lookup_Lists!$D$131,0)+IF(ISNUMBER(Matching_Engine!$AJ$103),Lookup_Lists!$D$132,0)+IF(ISNUMBER(Matching_Engine!$AK$103),Lookup_Lists!$D$133,0)+IF(ISNUMBER(Matching_Engine!$AL$103),Lookup_Lists!$D$134,0)),0))</f>
      </c>
      <c r="AN103" s="11">
        <f>IF(ISNUMBER(Matching_Engine!$AM$103),1,0)</f>
      </c>
      <c r="AO103" s="18">
        <f>IF(NOT(ISNUMBER(KOL_Source_Data!$BT$7)),"N/A",MIN(100,MAX(0,KOL_Source_Data!$BT$7)))</f>
      </c>
      <c r="AP103" s="18">
        <f>IF(NOT(ISNUMBER(KOL_Source_Data!$BU$7)),"N/A",MIN(100,MAX(0,KOL_Source_Data!$BU$7)))</f>
      </c>
      <c r="AQ103" s="18">
        <f>IF(KOL_Source_Data!$I$7="Yes",Lookup_Lists!$D$326,IF(KOL_Source_Data!$I$7="No",Lookup_Lists!$D$327,"N/A"))</f>
      </c>
      <c r="AR103" s="18">
        <f>IF(NOT(ISNUMBER(KOL_Source_Data!$BQ$7)),"N/A",MAX(0,ROUND(100-KOL_Source_Data!$BQ$7/Lookup_Lists!$D$328*100,0)))</f>
      </c>
      <c r="AS103" s="18">
        <f>IF(NOT(AND(ISTEXT(KOL_Source_Data!$BV$7),KOL_Source_Data!$BV$7&lt;&gt;"N/A")),"N/A",KOL_Source_Data!$BV$7)</f>
      </c>
      <c r="AT103" s="29">
        <f>IF((IF(ISNUMBER(Matching_Engine!$AO$103),Lookup_Lists!$D$322,0)+IF(ISNUMBER(Matching_Engine!$AP$103),Lookup_Lists!$D$323,0)+IF(ISNUMBER(Matching_Engine!$AQ$103),Lookup_Lists!$D$324,0)+IF(ISNUMBER(Matching_Engine!$AR$103),Lookup_Lists!$D$325,0))=0,"N/A",ROUND((IF(ISNUMBER(Matching_Engine!$AO$103),Matching_Engine!$AO$103*Lookup_Lists!$D$322,0)+IF(ISNUMBER(Matching_Engine!$AP$103),Matching_Engine!$AP$103*Lookup_Lists!$D$323,0)+IF(ISNUMBER(Matching_Engine!$AQ$103),Matching_Engine!$AQ$103*Lookup_Lists!$D$324,0)+IF(ISNUMBER(Matching_Engine!$AR$103),Matching_Engine!$AR$103*Lookup_Lists!$D$325,0))/(IF(ISNUMBER(Matching_Engine!$AO$103),Lookup_Lists!$D$322,0)+IF(ISNUMBER(Matching_Engine!$AP$103),Lookup_Lists!$D$323,0)+IF(ISNUMBER(Matching_Engine!$AQ$103),Lookup_Lists!$D$324,0)+IF(ISNUMBER(Matching_Engine!$AR$103),Lookup_Lists!$D$325,0)),0))</f>
      </c>
      <c r="AU103" s="11">
        <f>IF(ISNUMBER(Matching_Engine!$AT$103),1,0)</f>
      </c>
      <c r="AV103" s="11">
        <f>IF(NOT(ISNUMBER(Matching_Engine!$AT$103)),"Not Screened",IF(Matching_Engine!$AT$103&gt;=Lookup_Lists!$D$329,"Low Risk",IF(Matching_Engine!$AT$103&gt;=Lookup_Lists!$D$330,"Moderate Risk",IF(Matching_Engine!$AT$103&gt;=Lookup_Lists!$D$331,"Elevated Risk","High Risk"))))</f>
      </c>
      <c r="AW103" s="11">
        <f>IF(NOT(ISNUMBER(Matching_Engine!$AT$103)),"No integrity signal: no audience-analysis row for this account.","Integrity screen only — no content-risk reading exists (comments_analysis: 0 rows). "&amp;IF(ISNUMBER(Matching_Engine!$AO$103),"Authenticity "&amp;Matching_Engine!$AO$103&amp;". ","Authenticity N/A. ")&amp;IF(ISNUMBER(Matching_Engine!$AP$103),"Follower quality "&amp;Matching_Engine!$AP$103&amp;". ","Follower quality N/A. ")&amp;IF(KOL_Source_Data!$I$7="Yes","Platform-verified.","Not platform-verified."))</f>
      </c>
      <c r="AX103" s="18">
        <f>Matching_Engine!$N$103*Lookup_Lists!$D$104+Matching_Engine!$T$103*Lookup_Lists!$D$105+Matching_Engine!$Z$103*Lookup_Lists!$D$106+Matching_Engine!$AF$103*Lookup_Lists!$D$107+Matching_Engine!$AN$103*Lookup_Lists!$D$108+Matching_Engine!$AU$103*Lookup_Lists!$D$109</f>
      </c>
      <c r="AY103" s="30">
        <f>IF(Matching_Engine!$AX$103=0,"N/A",ROUND((IF(Matching_Engine!$N$103=1,Matching_Engine!$M$103*Lookup_Lists!$D$104,0)+IF(Matching_Engine!$T$103=1,Matching_Engine!$S$103*Lookup_Lists!$D$105,0)+IF(Matching_Engine!$Z$103=1,Matching_Engine!$Y$103*Lookup_Lists!$D$106,0)+IF(Matching_Engine!$AF$103=1,Matching_Engine!$AE$103*Lookup_Lists!$D$107,0)+IF(Matching_Engine!$AN$103=1,Matching_Engine!$AM$103*Lookup_Lists!$D$108,0)+IF(Matching_Engine!$AU$103=1,Matching_Engine!$AT$103*Lookup_Lists!$D$109,0))/Matching_Engine!$AX$103,0))</f>
      </c>
      <c r="AZ103" s="11">
        <f>IF(NOT(ISNUMBER(Matching_Engine!$AY$103)),"Not Scored",IF(Matching_Engine!$AY$103&gt;=Lookup_Lists!$D$152,"Excellent Match",IF(Matching_Engine!$AY$103&gt;=Lookup_Lists!$D$153,"Strong Match",IF(Matching_Engine!$AY$103&gt;=Lookup_Lists!$D$154,"Good Match",IF(Matching_Engine!$AY$103&gt;=Lookup_Lists!$D$155,"Moderate Match","Low Match")))))</f>
      </c>
      <c r="BA103" s="18">
        <f>KOL_Source_Data!$BW$7</f>
      </c>
      <c r="BB103" s="11">
        <f>KOL_Source_Data!$BX$7</f>
      </c>
      <c r="BC103" s="18">
        <f>IF(NOT(ISNUMBER(Matching_Engine!$AY$103)),-1,Matching_Engine!$AY$103*1000+23)</f>
      </c>
      <c r="BD103" s="11">
        <f>IF(AND(ISTEXT(KOL_Source_Data!$S$7),KOL_Source_Data!$S$7&lt;&gt;"N/A"),KOL_Source_Data!$S$7,"")&amp;" | "&amp;IF(AND(ISTEXT(KOL_Source_Data!$T$7),KOL_Source_Data!$T$7&lt;&gt;"N/A"),KOL_Source_Data!$T$7,"")&amp;" | "&amp;IF(AND(ISTEXT(KOL_Source_Data!$N$7),KOL_Source_Data!$N$7&lt;&gt;"N/A"),KOL_Source_Data!$N$7,"")&amp;" | "&amp;IF(AND(ISTEXT(KOL_Source_Data!$K$7),KOL_Source_Data!$K$7&lt;&gt;"N/A"),KOL_Source_Data!$K$7,"")&amp;" | "&amp;IF(AND(ISTEXT(KOL_Source_Data!$J$7),KOL_Source_Data!$J$7&lt;&gt;"N/A"),KOL_Source_Data!$J$7,"")</f>
      </c>
      <c r="BE103" s="11">
        <f>IF(AND(ISTEXT(KOL_Source_Data!$T$7),KOL_Source_Data!$T$7&lt;&gt;"N/A"),KOL_Source_Data!$T$7,"")&amp;" | "&amp;IF(AND(ISTEXT(KOL_Source_Data!$N$7),KOL_Source_Data!$N$7&lt;&gt;"N/A"),KOL_Source_Data!$N$7,"")&amp;" | "&amp;IF(AND(ISTEXT(KOL_Source_Data!$O$7),KOL_Source_Data!$O$7&lt;&gt;"N/A"),KOL_Source_Data!$O$7,"")&amp;" | "&amp;IF(AND(ISTEXT(KOL_Source_Data!$S$7),KOL_Source_Data!$S$7&lt;&gt;"N/A"),KOL_Source_Data!$S$7,"")</f>
      </c>
      <c r="BF103" s="11">
        <f>IF(AND(ISTEXT(KOL_Source_Data!$U$7),KOL_Source_Data!$U$7&lt;&gt;"N/A"),KOL_Source_Data!$U$7,"")</f>
      </c>
      <c r="BG103" s="11">
        <f>Matching_Engine!$A$103&amp;"|"&amp;Matching_Engine!$C$103</f>
      </c>
    </row>
    <row r="104" spans="1:59" x14ac:dyDescent="0.25">
      <c r="A104" s="10" t="s">
        <v>394</v>
      </c>
      <c r="B104" s="11">
        <f>Brand_Profile!$I$6</f>
      </c>
      <c r="C104" s="11">
        <f>KOL_Source_Data!$A$8</f>
      </c>
      <c r="D104" s="11">
        <f>KOL_Source_Data!$C$8</f>
      </c>
      <c r="E104" s="11">
        <f>KOL_Source_Data!$D$8</f>
      </c>
      <c r="F104" s="11">
        <f>KOL_Source_Data!$E$8</f>
      </c>
      <c r="G104" s="11">
        <f>KOL_Source_Data!$K$8</f>
      </c>
      <c r="H104" s="12">
        <f>KOL_Source_Data!$G$8</f>
      </c>
      <c r="I104" s="14">
        <f>KOL_Source_Data!$BG$8</f>
      </c>
      <c r="J104" s="18">
        <f>IF(NOT(AND(ISTEXT(KOL_Source_Data!$K$8),KOL_Source_Data!$K$8&lt;&gt;"N/A")),Lookup_Lists!$D$150,IF(Brand_Profile!$I$7=KOL_Source_Data!$K$8,100,IFERROR(INDEX(Lookup_Lists!$B$349:$J$357,MATCH(Brand_Profile!$I$7,Lookup_Lists!$A$349:$A$357,0),MATCH(KOL_Source_Data!$K$8,Lookup_Lists!$B$348:$J$348,0)),Lookup_Lists!$D$151)))</f>
      </c>
      <c r="K104" s="18">
        <f>IF(LEN(TRIM(SUBSTITUTE(Matching_Engine!$BD$104,"|","")))=0,"N/A",IF(Brand_Profile!$I$47=0,Lookup_Lists!$D$150,ROUND((IF(Brand_Profile!$I$41="",0,IF(ISNUMBER(SEARCH(Brand_Profile!$I$41,Matching_Engine!$BD$104)),1,0))+IF(Brand_Profile!$I$42="",0,IF(ISNUMBER(SEARCH(Brand_Profile!$I$42,Matching_Engine!$BD$104)),1,0))+IF(Brand_Profile!$I$43="",0,IF(ISNUMBER(SEARCH(Brand_Profile!$I$43,Matching_Engine!$BD$104)),1,0))+IF(Brand_Profile!$I$44="",0,IF(ISNUMBER(SEARCH(Brand_Profile!$I$44,Matching_Engine!$BD$104)),1,0))+IF(Brand_Profile!$I$45="",0,IF(ISNUMBER(SEARCH(Brand_Profile!$I$45,Matching_Engine!$BD$104)),1,0))+IF(Brand_Profile!$I$46="",0,IF(ISNUMBER(SEARCH(Brand_Profile!$I$46,Matching_Engine!$BD$104)),1,0)))/Brand_Profile!$I$47*100,0)))</f>
      </c>
      <c r="L104" s="18">
        <f>IF(NOT(AND(ISTEXT(KOL_Source_Data!$U$8),KOL_Source_Data!$U$8&lt;&gt;"N/A")),"N/A",IF(Brand_Profile!$I$53=0,Lookup_Lists!$D$150,ROUND((IF(Brand_Profile!$I$48="",0,IF(ISNUMBER(SEARCH(Brand_Profile!$I$48,Matching_Engine!$BF$104)),1,0))+IF(Brand_Profile!$I$49="",0,IF(ISNUMBER(SEARCH(Brand_Profile!$I$49,Matching_Engine!$BF$104)),1,0))+IF(Brand_Profile!$I$50="",0,IF(ISNUMBER(SEARCH(Brand_Profile!$I$50,Matching_Engine!$BF$104)),1,0))+IF(Brand_Profile!$I$51="",0,IF(ISNUMBER(SEARCH(Brand_Profile!$I$51,Matching_Engine!$BF$104)),1,0))+IF(Brand_Profile!$I$52="",0,IF(ISNUMBER(SEARCH(Brand_Profile!$I$52,Matching_Engine!$BF$104)),1,0)))/Brand_Profile!$I$53*100,0)))</f>
      </c>
      <c r="M104" s="29">
        <f>IF((IF(ISNUMBER(Matching_Engine!$J$104),Lookup_Lists!$D$332,0)+IF(ISNUMBER(Matching_Engine!$K$104),Lookup_Lists!$D$333,0)+IF(ISNUMBER(Matching_Engine!$L$104),Lookup_Lists!$D$334,0))=0,"N/A",ROUND((IF(ISNUMBER(Matching_Engine!$J$104),Matching_Engine!$J$104*Lookup_Lists!$D$332,0)+IF(ISNUMBER(Matching_Engine!$K$104),Matching_Engine!$K$104*Lookup_Lists!$D$333,0)+IF(ISNUMBER(Matching_Engine!$L$104),Matching_Engine!$L$104*Lookup_Lists!$D$334,0))/(IF(ISNUMBER(Matching_Engine!$J$104),Lookup_Lists!$D$332,0)+IF(ISNUMBER(Matching_Engine!$K$104),Lookup_Lists!$D$333,0)+IF(ISNUMBER(Matching_Engine!$L$104),Lookup_Lists!$D$334,0)),0))</f>
      </c>
      <c r="N104" s="11">
        <f>IF(ISNUMBER(Matching_Engine!$M$104),1,0)</f>
      </c>
      <c r="O104" s="18">
        <f>IF(NOT(ISNUMBER(IFERROR(INDEX(KOL_Source_Data!$V$8:KOL_Source_Data!$Z$8,1,MATCH(Brand_Profile!$I$11,Lookup_Lists!$F$6:$F$10,0)),""))),"N/A",MIN(100,ROUND((IFERROR(INDEX(KOL_Source_Data!$V$8:KOL_Source_Data!$Z$8,1,MATCH(Brand_Profile!$I$11,Lookup_Lists!$F$6:$F$10,0)),"")+0.5*IF(ISNUMBER(IFERROR(INDEX(KOL_Source_Data!$V$8:KOL_Source_Data!$Z$8,1,MATCH(Brand_Profile!$I$12,Lookup_Lists!$F$6:$F$10,0)),"")),IFERROR(INDEX(KOL_Source_Data!$V$8:KOL_Source_Data!$Z$8,1,MATCH(Brand_Profile!$I$12,Lookup_Lists!$F$6:$F$10,0)),""),0))/Lookup_Lists!$D$142*100,0)))</f>
      </c>
      <c r="P104" s="18">
        <f>IF(Brand_Profile!$I$13="Any",100,IF(NOT(ISNUMBER(KOL_Source_Data!$AA$8)),"N/A",IF(Brand_Profile!$I$13="Female",MIN(100,ROUND(KOL_Source_Data!$AA$8/Lookup_Lists!$D$143*100,0)),IF(Brand_Profile!$I$13="Male",MIN(100,ROUND(IF(ISNUMBER(KOL_Source_Data!$AB$8),KOL_Source_Data!$AB$8,100-KOL_Source_Data!$AA$8)/Lookup_Lists!$D$143*100,0)),MAX(0,ROUND(100-ABS(KOL_Source_Data!$AA$8-50)*2,0))))))</f>
      </c>
      <c r="Q104" s="18">
        <f>IF((IF(ISNUMBER(IF(NOT(ISNUMBER(KOL_Source_Data!$AE$8)),"N/A",IF(KOL_Source_Data!$AD$8&lt;&gt;Brand_Profile!$I$14,Lookup_Lists!$D$151,MIN(100,ROUND(KOL_Source_Data!$AE$8/Lookup_Lists!$D$316*100,0))))),Lookup_Lists!$D$118,0)+IF(ISNUMBER(IF(NOT(ISNUMBER(KOL_Source_Data!$AM$8)),"N/A",MIN(100,ROUND((IF(KOL_Source_Data!$AG$8=Brand_Profile!$I$15,IF(ISNUMBER(KOL_Source_Data!$AH$8),KOL_Source_Data!$AH$8,0),0)+IF(KOL_Source_Data!$AI$8=Brand_Profile!$I$15,IF(ISNUMBER(KOL_Source_Data!$AJ$8),KOL_Source_Data!$AJ$8,0),0)+IF(KOL_Source_Data!$AK$8=Brand_Profile!$I$15,IF(ISNUMBER(KOL_Source_Data!$AL$8),KOL_Source_Data!$AL$8,0),0))/Lookup_Lists!$D$317*100,0)))),Lookup_Lists!$D$120,0))=0,"N/A",ROUND((IF(ISNUMBER(IF(NOT(ISNUMBER(KOL_Source_Data!$AE$8)),"N/A",IF(KOL_Source_Data!$AD$8&lt;&gt;Brand_Profile!$I$14,Lookup_Lists!$D$151,MIN(100,ROUND(KOL_Source_Data!$AE$8/Lookup_Lists!$D$316*100,0))))),IF(NOT(ISNUMBER(KOL_Source_Data!$AE$8)),"N/A",IF(KOL_Source_Data!$AD$8&lt;&gt;Brand_Profile!$I$14,Lookup_Lists!$D$151,MIN(100,ROUND(KOL_Source_Data!$AE$8/Lookup_Lists!$D$316*100,0))))*Lookup_Lists!$D$118,0)+IF(ISNUMBER(IF(NOT(ISNUMBER(KOL_Source_Data!$AM$8)),"N/A",MIN(100,ROUND((IF(KOL_Source_Data!$AG$8=Brand_Profile!$I$15,IF(ISNUMBER(KOL_Source_Data!$AH$8),KOL_Source_Data!$AH$8,0),0)+IF(KOL_Source_Data!$AI$8=Brand_Profile!$I$15,IF(ISNUMBER(KOL_Source_Data!$AJ$8),KOL_Source_Data!$AJ$8,0),0)+IF(KOL_Source_Data!$AK$8=Brand_Profile!$I$15,IF(ISNUMBER(KOL_Source_Data!$AL$8),KOL_Source_Data!$AL$8,0),0))/Lookup_Lists!$D$317*100,0)))),IF(NOT(ISNUMBER(KOL_Source_Data!$AM$8)),"N/A",MIN(100,ROUND((IF(KOL_Source_Data!$AG$8=Brand_Profile!$I$15,IF(ISNUMBER(KOL_Source_Data!$AH$8),KOL_Source_Data!$AH$8,0),0)+IF(KOL_Source_Data!$AI$8=Brand_Profile!$I$15,IF(ISNUMBER(KOL_Source_Data!$AJ$8),KOL_Source_Data!$AJ$8,0),0)+IF(KOL_Source_Data!$AK$8=Brand_Profile!$I$15,IF(ISNUMBER(KOL_Source_Data!$AL$8),KOL_Source_Data!$AL$8,0),0))/Lookup_Lists!$D$317*100,0)))*Lookup_Lists!$D$120,0))/(IF(ISNUMBER(IF(NOT(ISNUMBER(KOL_Source_Data!$AE$8)),"N/A",IF(KOL_Source_Data!$AD$8&lt;&gt;Brand_Profile!$I$14,Lookup_Lists!$D$151,MIN(100,ROUND(KOL_Source_Data!$AE$8/Lookup_Lists!$D$316*100,0))))),Lookup_Lists!$D$118,0)+IF(ISNUMBER(IF(NOT(ISNUMBER(KOL_Source_Data!$AM$8)),"N/A",MIN(100,ROUND((IF(KOL_Source_Data!$AG$8=Brand_Profile!$I$15,IF(ISNUMBER(KOL_Source_Data!$AH$8),KOL_Source_Data!$AH$8,0),0)+IF(KOL_Source_Data!$AI$8=Brand_Profile!$I$15,IF(ISNUMBER(KOL_Source_Data!$AJ$8),KOL_Source_Data!$AJ$8,0),0)+IF(KOL_Source_Data!$AK$8=Brand_Profile!$I$15,IF(ISNUMBER(KOL_Source_Data!$AL$8),KOL_Source_Data!$AL$8,0),0))/Lookup_Lists!$D$317*100,0)))),Lookup_Lists!$D$120,0)),0))</f>
      </c>
      <c r="R104" s="18">
        <f>IF(NOT(ISNUMBER(KOL_Source_Data!$AN$8)),"N/A",MIN(100,ROUND((IF(ISNUMBER(KOL_Source_Data!$AO$8),KOL_Source_Data!$AO$8*Brand_Profile!$I$17,0)+IF(ISNUMBER(KOL_Source_Data!$AP$8),KOL_Source_Data!$AP$8*Brand_Profile!$I$18,0)+IF(ISNUMBER(KOL_Source_Data!$AQ$8),KOL_Source_Data!$AQ$8*Brand_Profile!$I$19,0)+IF(ISNUMBER(KOL_Source_Data!$AR$8),KOL_Source_Data!$AR$8*Brand_Profile!$I$20,0)+IF(ISNUMBER(KOL_Source_Data!$AS$8),KOL_Source_Data!$AS$8*Brand_Profile!$I$21,0)+IF(ISNUMBER(KOL_Source_Data!$AT$8),KOL_Source_Data!$AT$8*Brand_Profile!$I$22,0)+IF(ISNUMBER(KOL_Source_Data!$AU$8),KOL_Source_Data!$AU$8*Brand_Profile!$I$23,0)+IF(ISNUMBER(KOL_Source_Data!$AV$8),KOL_Source_Data!$AV$8*Brand_Profile!$I$24,0)+IF(ISNUMBER(KOL_Source_Data!$AW$8),KOL_Source_Data!$AW$8*Brand_Profile!$I$25,0)+IF(ISNUMBER(KOL_Source_Data!$AX$8),KOL_Source_Data!$AX$8*Brand_Profile!$I$26,0)+IF(ISNUMBER(KOL_Source_Data!$AY$8),KOL_Source_Data!$AY$8*Brand_Profile!$I$27,0)+IF(ISNUMBER(KOL_Source_Data!$AZ$8),KOL_Source_Data!$AZ$8*Brand_Profile!$I$28,0)+IF(ISNUMBER(KOL_Source_Data!$BA$8),KOL_Source_Data!$BA$8*Brand_Profile!$I$29,0)+IF(ISNUMBER(KOL_Source_Data!$BB$8),KOL_Source_Data!$BB$8*Brand_Profile!$I$30,0)+IF(ISNUMBER(KOL_Source_Data!$BC$8),KOL_Source_Data!$BC$8*Brand_Profile!$I$31,0)+IF(ISNUMBER(KOL_Source_Data!$BD$8),KOL_Source_Data!$BD$8*Brand_Profile!$I$32,0)+IF(ISNUMBER(KOL_Source_Data!$BE$8),KOL_Source_Data!$BE$8*Brand_Profile!$I$33,0)+IF(ISNUMBER(KOL_Source_Data!$BF$8),KOL_Source_Data!$BF$8*Brand_Profile!$I$34,0))/Lookup_Lists!$D$318*100,0)))</f>
      </c>
      <c r="S104" s="29">
        <f>IF((IF(ISNUMBER(Matching_Engine!$O$104),Lookup_Lists!$D$113,0)+IF(ISNUMBER(Matching_Engine!$P$104),Lookup_Lists!$D$114,0)+IF(ISNUMBER(Matching_Engine!$Q$104),Lookup_Lists!$D$115,0)+IF(ISNUMBER(Matching_Engine!$R$104),Lookup_Lists!$D$116,0))=0,"N/A",ROUND((IF(ISNUMBER(Matching_Engine!$O$104),Matching_Engine!$O$104*Lookup_Lists!$D$113,0)+IF(ISNUMBER(Matching_Engine!$P$104),Matching_Engine!$P$104*Lookup_Lists!$D$114,0)+IF(ISNUMBER(Matching_Engine!$Q$104),Matching_Engine!$Q$104*Lookup_Lists!$D$115,0)+IF(ISNUMBER(Matching_Engine!$R$104),Matching_Engine!$R$104*Lookup_Lists!$D$116,0))/(IF(ISNUMBER(Matching_Engine!$O$104),Lookup_Lists!$D$113,0)+IF(ISNUMBER(Matching_Engine!$P$104),Lookup_Lists!$D$114,0)+IF(ISNUMBER(Matching_Engine!$Q$104),Lookup_Lists!$D$115,0)+IF(ISNUMBER(Matching_Engine!$R$104),Lookup_Lists!$D$116,0)),0))</f>
      </c>
      <c r="T104" s="11">
        <f>IF(ISNUMBER(Matching_Engine!$S$104),1,0)</f>
      </c>
      <c r="U104" s="18">
        <f>IF(NOT(AND(ISTEXT(KOL_Source_Data!$M$8),KOL_Source_Data!$M$8&lt;&gt;"N/A")),Lookup_Lists!$D$150,IF(Brand_Profile!$I$7=KOL_Source_Data!$M$8,100,IFERROR(INDEX(Lookup_Lists!$B$349:$J$357,MATCH(Brand_Profile!$I$7,Lookup_Lists!$A$349:$A$357,0),MATCH(KOL_Source_Data!$M$8,Lookup_Lists!$B$348:$J$348,0)),Lookup_Lists!$D$151)))</f>
      </c>
      <c r="V104" s="18">
        <f>IF(NOT(AND(ISTEXT(KOL_Source_Data!$P$8),KOL_Source_Data!$P$8&lt;&gt;"N/A")),"N/A",IFERROR(INDEX(Lookup_Lists!$B$349:$J$357,MATCH(Brand_Profile!$I$7,Lookup_Lists!$A$349:$A$357,0),MATCH(KOL_Source_Data!$P$8,Lookup_Lists!$B$348:$J$348,0)),Lookup_Lists!$D$151))</f>
      </c>
      <c r="W104" s="18">
        <f>IF(LEN(TRIM(SUBSTITUTE(Matching_Engine!$BE$104,"|","")))=0,"N/A",IF(Brand_Profile!$I$60=0,Lookup_Lists!$D$150,ROUND((IF(Brand_Profile!$I$54="",0,IF(ISNUMBER(SEARCH(Brand_Profile!$I$54,Matching_Engine!$BE$104)),1,0))+IF(Brand_Profile!$I$55="",0,IF(ISNUMBER(SEARCH(Brand_Profile!$I$55,Matching_Engine!$BE$104)),1,0))+IF(Brand_Profile!$I$56="",0,IF(ISNUMBER(SEARCH(Brand_Profile!$I$56,Matching_Engine!$BE$104)),1,0))+IF(Brand_Profile!$I$57="",0,IF(ISNUMBER(SEARCH(Brand_Profile!$I$57,Matching_Engine!$BE$104)),1,0))+IF(Brand_Profile!$I$58="",0,IF(ISNUMBER(SEARCH(Brand_Profile!$I$58,Matching_Engine!$BE$104)),1,0))+IF(Brand_Profile!$I$59="",0,IF(ISNUMBER(SEARCH(Brand_Profile!$I$59,Matching_Engine!$BE$104)),1,0)))/Brand_Profile!$I$60*100,0)))</f>
      </c>
      <c r="X104" s="18">
        <f>IF(NOT(AND(ISTEXT(KOL_Source_Data!$Q$8),KOL_Source_Data!$Q$8&lt;&gt;"N/A")),"N/A",Lookup_Lists!$D$150)</f>
      </c>
      <c r="Y104" s="29">
        <f>IF((IF(ISNUMBER(Matching_Engine!$U$104),Lookup_Lists!$D$335,0)+IF(ISNUMBER(Matching_Engine!$V$104),Lookup_Lists!$D$122,0)+IF(ISNUMBER(Matching_Engine!$W$104),Lookup_Lists!$D$336,0)+IF(ISNUMBER(Matching_Engine!$X$104),Lookup_Lists!$D$124,0))=0,"N/A",ROUND((IF(ISNUMBER(Matching_Engine!$U$104),Matching_Engine!$U$104*Lookup_Lists!$D$335,0)+IF(ISNUMBER(Matching_Engine!$V$104),Matching_Engine!$V$104*Lookup_Lists!$D$122,0)+IF(ISNUMBER(Matching_Engine!$W$104),Matching_Engine!$W$104*Lookup_Lists!$D$336,0)+IF(ISNUMBER(Matching_Engine!$X$104),Matching_Engine!$X$104*Lookup_Lists!$D$124,0))/(IF(ISNUMBER(Matching_Engine!$U$104),Lookup_Lists!$D$335,0)+IF(ISNUMBER(Matching_Engine!$V$104),Lookup_Lists!$D$122,0)+IF(ISNUMBER(Matching_Engine!$W$104),Lookup_Lists!$D$336,0)+IF(ISNUMBER(Matching_Engine!$X$104),Lookup_Lists!$D$124,0)),0))</f>
      </c>
      <c r="Z104" s="11">
        <f>IF(ISNUMBER(Matching_Engine!$Y$104),1,0)</f>
      </c>
      <c r="AA104" s="18">
        <f>IF(NOT(AND(ISTEXT(KOL_Source_Data!$Q$8),KOL_Source_Data!$Q$8&lt;&gt;"N/A")),"N/A",Lookup_Lists!$D$150)</f>
      </c>
      <c r="AB104" s="18">
        <f>IF(NOT(AND(ISTEXT(KOL_Source_Data!$Q$8),KOL_Source_Data!$Q$8&lt;&gt;"N/A")),"N/A",Lookup_Lists!$D$150)</f>
      </c>
      <c r="AC104" s="18">
        <f>"N/A"</f>
      </c>
      <c r="AD104" s="18">
        <f>IF(NOT(AND(ISTEXT(KOL_Source_Data!$Q$8),KOL_Source_Data!$Q$8&lt;&gt;"N/A")),"N/A",Lookup_Lists!$D$150)</f>
      </c>
      <c r="AE104" s="29">
        <f>IF((IF(ISNUMBER(Matching_Engine!$AA$104),Lookup_Lists!$D$125,0)+IF(ISNUMBER(Matching_Engine!$AB$104),Lookup_Lists!$D$126,0)+IF(ISNUMBER(Matching_Engine!$AC$104),Lookup_Lists!$D$127,0)+IF(ISNUMBER(Matching_Engine!$AD$104),Lookup_Lists!$D$128,0))=0,"N/A",ROUND((IF(ISNUMBER(Matching_Engine!$AA$104),Matching_Engine!$AA$104*Lookup_Lists!$D$125,0)+IF(ISNUMBER(Matching_Engine!$AB$104),Matching_Engine!$AB$104*Lookup_Lists!$D$126,0)+IF(ISNUMBER(Matching_Engine!$AC$104),Matching_Engine!$AC$104*Lookup_Lists!$D$127,0)+IF(ISNUMBER(Matching_Engine!$AD$104),Matching_Engine!$AD$104*Lookup_Lists!$D$128,0))/(IF(ISNUMBER(Matching_Engine!$AA$104),Lookup_Lists!$D$125,0)+IF(ISNUMBER(Matching_Engine!$AB$104),Lookup_Lists!$D$126,0)+IF(ISNUMBER(Matching_Engine!$AC$104),Lookup_Lists!$D$127,0)+IF(ISNUMBER(Matching_Engine!$AD$104),Lookup_Lists!$D$128,0)),0))</f>
      </c>
      <c r="AF104" s="11">
        <f>IF(ISNUMBER(Matching_Engine!$AE$104),1,0)</f>
      </c>
      <c r="AG104" s="18">
        <f>IF(NOT(ISNUMBER(KOL_Source_Data!$BG$8)),"N/A",MIN(100,ROUND(KOL_Source_Data!$BG$8/IFERROR(INDEX(Lookup_Lists!$B$340:$B$344,MATCH(KOL_Source_Data!$H$8,Lookup_Lists!$A$340:$A$344,0)),Lookup_Lists!$D$141)*100,0)))</f>
      </c>
      <c r="AH104" s="18">
        <f>IF(NOT(ISNUMBER(KOL_Source_Data!$BS$8)),"N/A",MIN(100,MAX(0,KOL_Source_Data!$BS$8)))</f>
      </c>
      <c r="AI104" s="18">
        <f>IF(OR(NOT(ISNUMBER(KOL_Source_Data!$BM$8)),NOT(ISNUMBER(KOL_Source_Data!$BN$8)),KOL_Source_Data!$BN$8&lt;Lookup_Lists!$D$320),"N/A",MIN(100,ROUND(KOL_Source_Data!$BM$8/Lookup_Lists!$D$319*100,0)))</f>
      </c>
      <c r="AJ104" s="18">
        <f>IF(NOT(ISNUMBER(KOL_Source_Data!$BR$8)),"N/A",KOL_Source_Data!$BR$8)</f>
      </c>
      <c r="AK104" s="18">
        <f>IF(NOT(ISNUMBER(KOL_Source_Data!$BK$8)),"N/A",MIN(100,ROUND(KOL_Source_Data!$BK$8/Lookup_Lists!$D$321*100,0)))</f>
      </c>
      <c r="AL104" s="18">
        <f>IF(NOT(ISNUMBER(KOL_Source_Data!$BP$8)),"N/A",MIN(100,MAX(0,ROUND((KOL_Source_Data!$BP$8+2)/(Lookup_Lists!$D$145+2)*100,0))))</f>
      </c>
      <c r="AM104" s="29">
        <f>IF((IF(ISNUMBER(Matching_Engine!$AG$104),Lookup_Lists!$D$129,0)+IF(ISNUMBER(Matching_Engine!$AH$104),Lookup_Lists!$D$130,0)+IF(ISNUMBER(Matching_Engine!$AI$104),Lookup_Lists!$D$131,0)+IF(ISNUMBER(Matching_Engine!$AJ$104),Lookup_Lists!$D$132,0)+IF(ISNUMBER(Matching_Engine!$AK$104),Lookup_Lists!$D$133,0)+IF(ISNUMBER(Matching_Engine!$AL$104),Lookup_Lists!$D$134,0))=0,"N/A",ROUND((IF(ISNUMBER(Matching_Engine!$AG$104),Matching_Engine!$AG$104*Lookup_Lists!$D$129,0)+IF(ISNUMBER(Matching_Engine!$AH$104),Matching_Engine!$AH$104*Lookup_Lists!$D$130,0)+IF(ISNUMBER(Matching_Engine!$AI$104),Matching_Engine!$AI$104*Lookup_Lists!$D$131,0)+IF(ISNUMBER(Matching_Engine!$AJ$104),Matching_Engine!$AJ$104*Lookup_Lists!$D$132,0)+IF(ISNUMBER(Matching_Engine!$AK$104),Matching_Engine!$AK$104*Lookup_Lists!$D$133,0)+IF(ISNUMBER(Matching_Engine!$AL$104),Matching_Engine!$AL$104*Lookup_Lists!$D$134,0))/(IF(ISNUMBER(Matching_Engine!$AG$104),Lookup_Lists!$D$129,0)+IF(ISNUMBER(Matching_Engine!$AH$104),Lookup_Lists!$D$130,0)+IF(ISNUMBER(Matching_Engine!$AI$104),Lookup_Lists!$D$131,0)+IF(ISNUMBER(Matching_Engine!$AJ$104),Lookup_Lists!$D$132,0)+IF(ISNUMBER(Matching_Engine!$AK$104),Lookup_Lists!$D$133,0)+IF(ISNUMBER(Matching_Engine!$AL$104),Lookup_Lists!$D$134,0)),0))</f>
      </c>
      <c r="AN104" s="11">
        <f>IF(ISNUMBER(Matching_Engine!$AM$104),1,0)</f>
      </c>
      <c r="AO104" s="18">
        <f>IF(NOT(ISNUMBER(KOL_Source_Data!$BT$8)),"N/A",MIN(100,MAX(0,KOL_Source_Data!$BT$8)))</f>
      </c>
      <c r="AP104" s="18">
        <f>IF(NOT(ISNUMBER(KOL_Source_Data!$BU$8)),"N/A",MIN(100,MAX(0,KOL_Source_Data!$BU$8)))</f>
      </c>
      <c r="AQ104" s="18">
        <f>IF(KOL_Source_Data!$I$8="Yes",Lookup_Lists!$D$326,IF(KOL_Source_Data!$I$8="No",Lookup_Lists!$D$327,"N/A"))</f>
      </c>
      <c r="AR104" s="18">
        <f>IF(NOT(ISNUMBER(KOL_Source_Data!$BQ$8)),"N/A",MAX(0,ROUND(100-KOL_Source_Data!$BQ$8/Lookup_Lists!$D$328*100,0)))</f>
      </c>
      <c r="AS104" s="18">
        <f>IF(NOT(AND(ISTEXT(KOL_Source_Data!$BV$8),KOL_Source_Data!$BV$8&lt;&gt;"N/A")),"N/A",KOL_Source_Data!$BV$8)</f>
      </c>
      <c r="AT104" s="29">
        <f>IF((IF(ISNUMBER(Matching_Engine!$AO$104),Lookup_Lists!$D$322,0)+IF(ISNUMBER(Matching_Engine!$AP$104),Lookup_Lists!$D$323,0)+IF(ISNUMBER(Matching_Engine!$AQ$104),Lookup_Lists!$D$324,0)+IF(ISNUMBER(Matching_Engine!$AR$104),Lookup_Lists!$D$325,0))=0,"N/A",ROUND((IF(ISNUMBER(Matching_Engine!$AO$104),Matching_Engine!$AO$104*Lookup_Lists!$D$322,0)+IF(ISNUMBER(Matching_Engine!$AP$104),Matching_Engine!$AP$104*Lookup_Lists!$D$323,0)+IF(ISNUMBER(Matching_Engine!$AQ$104),Matching_Engine!$AQ$104*Lookup_Lists!$D$324,0)+IF(ISNUMBER(Matching_Engine!$AR$104),Matching_Engine!$AR$104*Lookup_Lists!$D$325,0))/(IF(ISNUMBER(Matching_Engine!$AO$104),Lookup_Lists!$D$322,0)+IF(ISNUMBER(Matching_Engine!$AP$104),Lookup_Lists!$D$323,0)+IF(ISNUMBER(Matching_Engine!$AQ$104),Lookup_Lists!$D$324,0)+IF(ISNUMBER(Matching_Engine!$AR$104),Lookup_Lists!$D$325,0)),0))</f>
      </c>
      <c r="AU104" s="11">
        <f>IF(ISNUMBER(Matching_Engine!$AT$104),1,0)</f>
      </c>
      <c r="AV104" s="11">
        <f>IF(NOT(ISNUMBER(Matching_Engine!$AT$104)),"Not Screened",IF(Matching_Engine!$AT$104&gt;=Lookup_Lists!$D$329,"Low Risk",IF(Matching_Engine!$AT$104&gt;=Lookup_Lists!$D$330,"Moderate Risk",IF(Matching_Engine!$AT$104&gt;=Lookup_Lists!$D$331,"Elevated Risk","High Risk"))))</f>
      </c>
      <c r="AW104" s="11">
        <f>IF(NOT(ISNUMBER(Matching_Engine!$AT$104)),"No integrity signal: no audience-analysis row for this account.","Integrity screen only — no content-risk reading exists (comments_analysis: 0 rows). "&amp;IF(ISNUMBER(Matching_Engine!$AO$104),"Authenticity "&amp;Matching_Engine!$AO$104&amp;". ","Authenticity N/A. ")&amp;IF(ISNUMBER(Matching_Engine!$AP$104),"Follower quality "&amp;Matching_Engine!$AP$104&amp;". ","Follower quality N/A. ")&amp;IF(KOL_Source_Data!$I$8="Yes","Platform-verified.","Not platform-verified."))</f>
      </c>
      <c r="AX104" s="18">
        <f>Matching_Engine!$N$104*Lookup_Lists!$D$104+Matching_Engine!$T$104*Lookup_Lists!$D$105+Matching_Engine!$Z$104*Lookup_Lists!$D$106+Matching_Engine!$AF$104*Lookup_Lists!$D$107+Matching_Engine!$AN$104*Lookup_Lists!$D$108+Matching_Engine!$AU$104*Lookup_Lists!$D$109</f>
      </c>
      <c r="AY104" s="30">
        <f>IF(Matching_Engine!$AX$104=0,"N/A",ROUND((IF(Matching_Engine!$N$104=1,Matching_Engine!$M$104*Lookup_Lists!$D$104,0)+IF(Matching_Engine!$T$104=1,Matching_Engine!$S$104*Lookup_Lists!$D$105,0)+IF(Matching_Engine!$Z$104=1,Matching_Engine!$Y$104*Lookup_Lists!$D$106,0)+IF(Matching_Engine!$AF$104=1,Matching_Engine!$AE$104*Lookup_Lists!$D$107,0)+IF(Matching_Engine!$AN$104=1,Matching_Engine!$AM$104*Lookup_Lists!$D$108,0)+IF(Matching_Engine!$AU$104=1,Matching_Engine!$AT$104*Lookup_Lists!$D$109,0))/Matching_Engine!$AX$104,0))</f>
      </c>
      <c r="AZ104" s="11">
        <f>IF(NOT(ISNUMBER(Matching_Engine!$AY$104)),"Not Scored",IF(Matching_Engine!$AY$104&gt;=Lookup_Lists!$D$152,"Excellent Match",IF(Matching_Engine!$AY$104&gt;=Lookup_Lists!$D$153,"Strong Match",IF(Matching_Engine!$AY$104&gt;=Lookup_Lists!$D$154,"Good Match",IF(Matching_Engine!$AY$104&gt;=Lookup_Lists!$D$155,"Moderate Match","Low Match")))))</f>
      </c>
      <c r="BA104" s="18">
        <f>KOL_Source_Data!$BW$8</f>
      </c>
      <c r="BB104" s="11">
        <f>KOL_Source_Data!$BX$8</f>
      </c>
      <c r="BC104" s="18">
        <f>IF(NOT(ISNUMBER(Matching_Engine!$AY$104)),-1,Matching_Engine!$AY$104*1000+22)</f>
      </c>
      <c r="BD104" s="11">
        <f>IF(AND(ISTEXT(KOL_Source_Data!$S$8),KOL_Source_Data!$S$8&lt;&gt;"N/A"),KOL_Source_Data!$S$8,"")&amp;" | "&amp;IF(AND(ISTEXT(KOL_Source_Data!$T$8),KOL_Source_Data!$T$8&lt;&gt;"N/A"),KOL_Source_Data!$T$8,"")&amp;" | "&amp;IF(AND(ISTEXT(KOL_Source_Data!$N$8),KOL_Source_Data!$N$8&lt;&gt;"N/A"),KOL_Source_Data!$N$8,"")&amp;" | "&amp;IF(AND(ISTEXT(KOL_Source_Data!$K$8),KOL_Source_Data!$K$8&lt;&gt;"N/A"),KOL_Source_Data!$K$8,"")&amp;" | "&amp;IF(AND(ISTEXT(KOL_Source_Data!$J$8),KOL_Source_Data!$J$8&lt;&gt;"N/A"),KOL_Source_Data!$J$8,"")</f>
      </c>
      <c r="BE104" s="11">
        <f>IF(AND(ISTEXT(KOL_Source_Data!$T$8),KOL_Source_Data!$T$8&lt;&gt;"N/A"),KOL_Source_Data!$T$8,"")&amp;" | "&amp;IF(AND(ISTEXT(KOL_Source_Data!$N$8),KOL_Source_Data!$N$8&lt;&gt;"N/A"),KOL_Source_Data!$N$8,"")&amp;" | "&amp;IF(AND(ISTEXT(KOL_Source_Data!$O$8),KOL_Source_Data!$O$8&lt;&gt;"N/A"),KOL_Source_Data!$O$8,"")&amp;" | "&amp;IF(AND(ISTEXT(KOL_Source_Data!$S$8),KOL_Source_Data!$S$8&lt;&gt;"N/A"),KOL_Source_Data!$S$8,"")</f>
      </c>
      <c r="BF104" s="11">
        <f>IF(AND(ISTEXT(KOL_Source_Data!$U$8),KOL_Source_Data!$U$8&lt;&gt;"N/A"),KOL_Source_Data!$U$8,"")</f>
      </c>
      <c r="BG104" s="11">
        <f>Matching_Engine!$A$104&amp;"|"&amp;Matching_Engine!$C$104</f>
      </c>
    </row>
    <row r="105" spans="1:59" x14ac:dyDescent="0.25">
      <c r="A105" s="10" t="s">
        <v>394</v>
      </c>
      <c r="B105" s="11">
        <f>Brand_Profile!$I$6</f>
      </c>
      <c r="C105" s="11">
        <f>KOL_Source_Data!$A$9</f>
      </c>
      <c r="D105" s="11">
        <f>KOL_Source_Data!$C$9</f>
      </c>
      <c r="E105" s="11">
        <f>KOL_Source_Data!$D$9</f>
      </c>
      <c r="F105" s="11">
        <f>KOL_Source_Data!$E$9</f>
      </c>
      <c r="G105" s="11">
        <f>KOL_Source_Data!$K$9</f>
      </c>
      <c r="H105" s="12">
        <f>KOL_Source_Data!$G$9</f>
      </c>
      <c r="I105" s="14">
        <f>KOL_Source_Data!$BG$9</f>
      </c>
      <c r="J105" s="18">
        <f>IF(NOT(AND(ISTEXT(KOL_Source_Data!$K$9),KOL_Source_Data!$K$9&lt;&gt;"N/A")),Lookup_Lists!$D$150,IF(Brand_Profile!$I$7=KOL_Source_Data!$K$9,100,IFERROR(INDEX(Lookup_Lists!$B$349:$J$357,MATCH(Brand_Profile!$I$7,Lookup_Lists!$A$349:$A$357,0),MATCH(KOL_Source_Data!$K$9,Lookup_Lists!$B$348:$J$348,0)),Lookup_Lists!$D$151)))</f>
      </c>
      <c r="K105" s="18">
        <f>IF(LEN(TRIM(SUBSTITUTE(Matching_Engine!$BD$105,"|","")))=0,"N/A",IF(Brand_Profile!$I$47=0,Lookup_Lists!$D$150,ROUND((IF(Brand_Profile!$I$41="",0,IF(ISNUMBER(SEARCH(Brand_Profile!$I$41,Matching_Engine!$BD$105)),1,0))+IF(Brand_Profile!$I$42="",0,IF(ISNUMBER(SEARCH(Brand_Profile!$I$42,Matching_Engine!$BD$105)),1,0))+IF(Brand_Profile!$I$43="",0,IF(ISNUMBER(SEARCH(Brand_Profile!$I$43,Matching_Engine!$BD$105)),1,0))+IF(Brand_Profile!$I$44="",0,IF(ISNUMBER(SEARCH(Brand_Profile!$I$44,Matching_Engine!$BD$105)),1,0))+IF(Brand_Profile!$I$45="",0,IF(ISNUMBER(SEARCH(Brand_Profile!$I$45,Matching_Engine!$BD$105)),1,0))+IF(Brand_Profile!$I$46="",0,IF(ISNUMBER(SEARCH(Brand_Profile!$I$46,Matching_Engine!$BD$105)),1,0)))/Brand_Profile!$I$47*100,0)))</f>
      </c>
      <c r="L105" s="18">
        <f>IF(NOT(AND(ISTEXT(KOL_Source_Data!$U$9),KOL_Source_Data!$U$9&lt;&gt;"N/A")),"N/A",IF(Brand_Profile!$I$53=0,Lookup_Lists!$D$150,ROUND((IF(Brand_Profile!$I$48="",0,IF(ISNUMBER(SEARCH(Brand_Profile!$I$48,Matching_Engine!$BF$105)),1,0))+IF(Brand_Profile!$I$49="",0,IF(ISNUMBER(SEARCH(Brand_Profile!$I$49,Matching_Engine!$BF$105)),1,0))+IF(Brand_Profile!$I$50="",0,IF(ISNUMBER(SEARCH(Brand_Profile!$I$50,Matching_Engine!$BF$105)),1,0))+IF(Brand_Profile!$I$51="",0,IF(ISNUMBER(SEARCH(Brand_Profile!$I$51,Matching_Engine!$BF$105)),1,0))+IF(Brand_Profile!$I$52="",0,IF(ISNUMBER(SEARCH(Brand_Profile!$I$52,Matching_Engine!$BF$105)),1,0)))/Brand_Profile!$I$53*100,0)))</f>
      </c>
      <c r="M105" s="29">
        <f>IF((IF(ISNUMBER(Matching_Engine!$J$105),Lookup_Lists!$D$332,0)+IF(ISNUMBER(Matching_Engine!$K$105),Lookup_Lists!$D$333,0)+IF(ISNUMBER(Matching_Engine!$L$105),Lookup_Lists!$D$334,0))=0,"N/A",ROUND((IF(ISNUMBER(Matching_Engine!$J$105),Matching_Engine!$J$105*Lookup_Lists!$D$332,0)+IF(ISNUMBER(Matching_Engine!$K$105),Matching_Engine!$K$105*Lookup_Lists!$D$333,0)+IF(ISNUMBER(Matching_Engine!$L$105),Matching_Engine!$L$105*Lookup_Lists!$D$334,0))/(IF(ISNUMBER(Matching_Engine!$J$105),Lookup_Lists!$D$332,0)+IF(ISNUMBER(Matching_Engine!$K$105),Lookup_Lists!$D$333,0)+IF(ISNUMBER(Matching_Engine!$L$105),Lookup_Lists!$D$334,0)),0))</f>
      </c>
      <c r="N105" s="11">
        <f>IF(ISNUMBER(Matching_Engine!$M$105),1,0)</f>
      </c>
      <c r="O105" s="18">
        <f>IF(NOT(ISNUMBER(IFERROR(INDEX(KOL_Source_Data!$V$9:KOL_Source_Data!$Z$9,1,MATCH(Brand_Profile!$I$11,Lookup_Lists!$F$6:$F$10,0)),""))),"N/A",MIN(100,ROUND((IFERROR(INDEX(KOL_Source_Data!$V$9:KOL_Source_Data!$Z$9,1,MATCH(Brand_Profile!$I$11,Lookup_Lists!$F$6:$F$10,0)),"")+0.5*IF(ISNUMBER(IFERROR(INDEX(KOL_Source_Data!$V$9:KOL_Source_Data!$Z$9,1,MATCH(Brand_Profile!$I$12,Lookup_Lists!$F$6:$F$10,0)),"")),IFERROR(INDEX(KOL_Source_Data!$V$9:KOL_Source_Data!$Z$9,1,MATCH(Brand_Profile!$I$12,Lookup_Lists!$F$6:$F$10,0)),""),0))/Lookup_Lists!$D$142*100,0)))</f>
      </c>
      <c r="P105" s="18">
        <f>IF(Brand_Profile!$I$13="Any",100,IF(NOT(ISNUMBER(KOL_Source_Data!$AA$9)),"N/A",IF(Brand_Profile!$I$13="Female",MIN(100,ROUND(KOL_Source_Data!$AA$9/Lookup_Lists!$D$143*100,0)),IF(Brand_Profile!$I$13="Male",MIN(100,ROUND(IF(ISNUMBER(KOL_Source_Data!$AB$9),KOL_Source_Data!$AB$9,100-KOL_Source_Data!$AA$9)/Lookup_Lists!$D$143*100,0)),MAX(0,ROUND(100-ABS(KOL_Source_Data!$AA$9-50)*2,0))))))</f>
      </c>
      <c r="Q105" s="18">
        <f>IF((IF(ISNUMBER(IF(NOT(ISNUMBER(KOL_Source_Data!$AE$9)),"N/A",IF(KOL_Source_Data!$AD$9&lt;&gt;Brand_Profile!$I$14,Lookup_Lists!$D$151,MIN(100,ROUND(KOL_Source_Data!$AE$9/Lookup_Lists!$D$316*100,0))))),Lookup_Lists!$D$118,0)+IF(ISNUMBER(IF(NOT(ISNUMBER(KOL_Source_Data!$AM$9)),"N/A",MIN(100,ROUND((IF(KOL_Source_Data!$AG$9=Brand_Profile!$I$15,IF(ISNUMBER(KOL_Source_Data!$AH$9),KOL_Source_Data!$AH$9,0),0)+IF(KOL_Source_Data!$AI$9=Brand_Profile!$I$15,IF(ISNUMBER(KOL_Source_Data!$AJ$9),KOL_Source_Data!$AJ$9,0),0)+IF(KOL_Source_Data!$AK$9=Brand_Profile!$I$15,IF(ISNUMBER(KOL_Source_Data!$AL$9),KOL_Source_Data!$AL$9,0),0))/Lookup_Lists!$D$317*100,0)))),Lookup_Lists!$D$120,0))=0,"N/A",ROUND((IF(ISNUMBER(IF(NOT(ISNUMBER(KOL_Source_Data!$AE$9)),"N/A",IF(KOL_Source_Data!$AD$9&lt;&gt;Brand_Profile!$I$14,Lookup_Lists!$D$151,MIN(100,ROUND(KOL_Source_Data!$AE$9/Lookup_Lists!$D$316*100,0))))),IF(NOT(ISNUMBER(KOL_Source_Data!$AE$9)),"N/A",IF(KOL_Source_Data!$AD$9&lt;&gt;Brand_Profile!$I$14,Lookup_Lists!$D$151,MIN(100,ROUND(KOL_Source_Data!$AE$9/Lookup_Lists!$D$316*100,0))))*Lookup_Lists!$D$118,0)+IF(ISNUMBER(IF(NOT(ISNUMBER(KOL_Source_Data!$AM$9)),"N/A",MIN(100,ROUND((IF(KOL_Source_Data!$AG$9=Brand_Profile!$I$15,IF(ISNUMBER(KOL_Source_Data!$AH$9),KOL_Source_Data!$AH$9,0),0)+IF(KOL_Source_Data!$AI$9=Brand_Profile!$I$15,IF(ISNUMBER(KOL_Source_Data!$AJ$9),KOL_Source_Data!$AJ$9,0),0)+IF(KOL_Source_Data!$AK$9=Brand_Profile!$I$15,IF(ISNUMBER(KOL_Source_Data!$AL$9),KOL_Source_Data!$AL$9,0),0))/Lookup_Lists!$D$317*100,0)))),IF(NOT(ISNUMBER(KOL_Source_Data!$AM$9)),"N/A",MIN(100,ROUND((IF(KOL_Source_Data!$AG$9=Brand_Profile!$I$15,IF(ISNUMBER(KOL_Source_Data!$AH$9),KOL_Source_Data!$AH$9,0),0)+IF(KOL_Source_Data!$AI$9=Brand_Profile!$I$15,IF(ISNUMBER(KOL_Source_Data!$AJ$9),KOL_Source_Data!$AJ$9,0),0)+IF(KOL_Source_Data!$AK$9=Brand_Profile!$I$15,IF(ISNUMBER(KOL_Source_Data!$AL$9),KOL_Source_Data!$AL$9,0),0))/Lookup_Lists!$D$317*100,0)))*Lookup_Lists!$D$120,0))/(IF(ISNUMBER(IF(NOT(ISNUMBER(KOL_Source_Data!$AE$9)),"N/A",IF(KOL_Source_Data!$AD$9&lt;&gt;Brand_Profile!$I$14,Lookup_Lists!$D$151,MIN(100,ROUND(KOL_Source_Data!$AE$9/Lookup_Lists!$D$316*100,0))))),Lookup_Lists!$D$118,0)+IF(ISNUMBER(IF(NOT(ISNUMBER(KOL_Source_Data!$AM$9)),"N/A",MIN(100,ROUND((IF(KOL_Source_Data!$AG$9=Brand_Profile!$I$15,IF(ISNUMBER(KOL_Source_Data!$AH$9),KOL_Source_Data!$AH$9,0),0)+IF(KOL_Source_Data!$AI$9=Brand_Profile!$I$15,IF(ISNUMBER(KOL_Source_Data!$AJ$9),KOL_Source_Data!$AJ$9,0),0)+IF(KOL_Source_Data!$AK$9=Brand_Profile!$I$15,IF(ISNUMBER(KOL_Source_Data!$AL$9),KOL_Source_Data!$AL$9,0),0))/Lookup_Lists!$D$317*100,0)))),Lookup_Lists!$D$120,0)),0))</f>
      </c>
      <c r="R105" s="18">
        <f>IF(NOT(ISNUMBER(KOL_Source_Data!$AN$9)),"N/A",MIN(100,ROUND((IF(ISNUMBER(KOL_Source_Data!$AO$9),KOL_Source_Data!$AO$9*Brand_Profile!$I$17,0)+IF(ISNUMBER(KOL_Source_Data!$AP$9),KOL_Source_Data!$AP$9*Brand_Profile!$I$18,0)+IF(ISNUMBER(KOL_Source_Data!$AQ$9),KOL_Source_Data!$AQ$9*Brand_Profile!$I$19,0)+IF(ISNUMBER(KOL_Source_Data!$AR$9),KOL_Source_Data!$AR$9*Brand_Profile!$I$20,0)+IF(ISNUMBER(KOL_Source_Data!$AS$9),KOL_Source_Data!$AS$9*Brand_Profile!$I$21,0)+IF(ISNUMBER(KOL_Source_Data!$AT$9),KOL_Source_Data!$AT$9*Brand_Profile!$I$22,0)+IF(ISNUMBER(KOL_Source_Data!$AU$9),KOL_Source_Data!$AU$9*Brand_Profile!$I$23,0)+IF(ISNUMBER(KOL_Source_Data!$AV$9),KOL_Source_Data!$AV$9*Brand_Profile!$I$24,0)+IF(ISNUMBER(KOL_Source_Data!$AW$9),KOL_Source_Data!$AW$9*Brand_Profile!$I$25,0)+IF(ISNUMBER(KOL_Source_Data!$AX$9),KOL_Source_Data!$AX$9*Brand_Profile!$I$26,0)+IF(ISNUMBER(KOL_Source_Data!$AY$9),KOL_Source_Data!$AY$9*Brand_Profile!$I$27,0)+IF(ISNUMBER(KOL_Source_Data!$AZ$9),KOL_Source_Data!$AZ$9*Brand_Profile!$I$28,0)+IF(ISNUMBER(KOL_Source_Data!$BA$9),KOL_Source_Data!$BA$9*Brand_Profile!$I$29,0)+IF(ISNUMBER(KOL_Source_Data!$BB$9),KOL_Source_Data!$BB$9*Brand_Profile!$I$30,0)+IF(ISNUMBER(KOL_Source_Data!$BC$9),KOL_Source_Data!$BC$9*Brand_Profile!$I$31,0)+IF(ISNUMBER(KOL_Source_Data!$BD$9),KOL_Source_Data!$BD$9*Brand_Profile!$I$32,0)+IF(ISNUMBER(KOL_Source_Data!$BE$9),KOL_Source_Data!$BE$9*Brand_Profile!$I$33,0)+IF(ISNUMBER(KOL_Source_Data!$BF$9),KOL_Source_Data!$BF$9*Brand_Profile!$I$34,0))/Lookup_Lists!$D$318*100,0)))</f>
      </c>
      <c r="S105" s="29">
        <f>IF((IF(ISNUMBER(Matching_Engine!$O$105),Lookup_Lists!$D$113,0)+IF(ISNUMBER(Matching_Engine!$P$105),Lookup_Lists!$D$114,0)+IF(ISNUMBER(Matching_Engine!$Q$105),Lookup_Lists!$D$115,0)+IF(ISNUMBER(Matching_Engine!$R$105),Lookup_Lists!$D$116,0))=0,"N/A",ROUND((IF(ISNUMBER(Matching_Engine!$O$105),Matching_Engine!$O$105*Lookup_Lists!$D$113,0)+IF(ISNUMBER(Matching_Engine!$P$105),Matching_Engine!$P$105*Lookup_Lists!$D$114,0)+IF(ISNUMBER(Matching_Engine!$Q$105),Matching_Engine!$Q$105*Lookup_Lists!$D$115,0)+IF(ISNUMBER(Matching_Engine!$R$105),Matching_Engine!$R$105*Lookup_Lists!$D$116,0))/(IF(ISNUMBER(Matching_Engine!$O$105),Lookup_Lists!$D$113,0)+IF(ISNUMBER(Matching_Engine!$P$105),Lookup_Lists!$D$114,0)+IF(ISNUMBER(Matching_Engine!$Q$105),Lookup_Lists!$D$115,0)+IF(ISNUMBER(Matching_Engine!$R$105),Lookup_Lists!$D$116,0)),0))</f>
      </c>
      <c r="T105" s="11">
        <f>IF(ISNUMBER(Matching_Engine!$S$105),1,0)</f>
      </c>
      <c r="U105" s="18">
        <f>IF(NOT(AND(ISTEXT(KOL_Source_Data!$M$9),KOL_Source_Data!$M$9&lt;&gt;"N/A")),Lookup_Lists!$D$150,IF(Brand_Profile!$I$7=KOL_Source_Data!$M$9,100,IFERROR(INDEX(Lookup_Lists!$B$349:$J$357,MATCH(Brand_Profile!$I$7,Lookup_Lists!$A$349:$A$357,0),MATCH(KOL_Source_Data!$M$9,Lookup_Lists!$B$348:$J$348,0)),Lookup_Lists!$D$151)))</f>
      </c>
      <c r="V105" s="18">
        <f>IF(NOT(AND(ISTEXT(KOL_Source_Data!$P$9),KOL_Source_Data!$P$9&lt;&gt;"N/A")),"N/A",IFERROR(INDEX(Lookup_Lists!$B$349:$J$357,MATCH(Brand_Profile!$I$7,Lookup_Lists!$A$349:$A$357,0),MATCH(KOL_Source_Data!$P$9,Lookup_Lists!$B$348:$J$348,0)),Lookup_Lists!$D$151))</f>
      </c>
      <c r="W105" s="18">
        <f>IF(LEN(TRIM(SUBSTITUTE(Matching_Engine!$BE$105,"|","")))=0,"N/A",IF(Brand_Profile!$I$60=0,Lookup_Lists!$D$150,ROUND((IF(Brand_Profile!$I$54="",0,IF(ISNUMBER(SEARCH(Brand_Profile!$I$54,Matching_Engine!$BE$105)),1,0))+IF(Brand_Profile!$I$55="",0,IF(ISNUMBER(SEARCH(Brand_Profile!$I$55,Matching_Engine!$BE$105)),1,0))+IF(Brand_Profile!$I$56="",0,IF(ISNUMBER(SEARCH(Brand_Profile!$I$56,Matching_Engine!$BE$105)),1,0))+IF(Brand_Profile!$I$57="",0,IF(ISNUMBER(SEARCH(Brand_Profile!$I$57,Matching_Engine!$BE$105)),1,0))+IF(Brand_Profile!$I$58="",0,IF(ISNUMBER(SEARCH(Brand_Profile!$I$58,Matching_Engine!$BE$105)),1,0))+IF(Brand_Profile!$I$59="",0,IF(ISNUMBER(SEARCH(Brand_Profile!$I$59,Matching_Engine!$BE$105)),1,0)))/Brand_Profile!$I$60*100,0)))</f>
      </c>
      <c r="X105" s="18">
        <f>IF(NOT(AND(ISTEXT(KOL_Source_Data!$Q$9),KOL_Source_Data!$Q$9&lt;&gt;"N/A")),"N/A",Lookup_Lists!$D$150)</f>
      </c>
      <c r="Y105" s="29">
        <f>IF((IF(ISNUMBER(Matching_Engine!$U$105),Lookup_Lists!$D$335,0)+IF(ISNUMBER(Matching_Engine!$V$105),Lookup_Lists!$D$122,0)+IF(ISNUMBER(Matching_Engine!$W$105),Lookup_Lists!$D$336,0)+IF(ISNUMBER(Matching_Engine!$X$105),Lookup_Lists!$D$124,0))=0,"N/A",ROUND((IF(ISNUMBER(Matching_Engine!$U$105),Matching_Engine!$U$105*Lookup_Lists!$D$335,0)+IF(ISNUMBER(Matching_Engine!$V$105),Matching_Engine!$V$105*Lookup_Lists!$D$122,0)+IF(ISNUMBER(Matching_Engine!$W$105),Matching_Engine!$W$105*Lookup_Lists!$D$336,0)+IF(ISNUMBER(Matching_Engine!$X$105),Matching_Engine!$X$105*Lookup_Lists!$D$124,0))/(IF(ISNUMBER(Matching_Engine!$U$105),Lookup_Lists!$D$335,0)+IF(ISNUMBER(Matching_Engine!$V$105),Lookup_Lists!$D$122,0)+IF(ISNUMBER(Matching_Engine!$W$105),Lookup_Lists!$D$336,0)+IF(ISNUMBER(Matching_Engine!$X$105),Lookup_Lists!$D$124,0)),0))</f>
      </c>
      <c r="Z105" s="11">
        <f>IF(ISNUMBER(Matching_Engine!$Y$105),1,0)</f>
      </c>
      <c r="AA105" s="18">
        <f>IF(NOT(AND(ISTEXT(KOL_Source_Data!$Q$9),KOL_Source_Data!$Q$9&lt;&gt;"N/A")),"N/A",Lookup_Lists!$D$150)</f>
      </c>
      <c r="AB105" s="18">
        <f>IF(NOT(AND(ISTEXT(KOL_Source_Data!$Q$9),KOL_Source_Data!$Q$9&lt;&gt;"N/A")),"N/A",Lookup_Lists!$D$150)</f>
      </c>
      <c r="AC105" s="18">
        <f>"N/A"</f>
      </c>
      <c r="AD105" s="18">
        <f>IF(NOT(AND(ISTEXT(KOL_Source_Data!$Q$9),KOL_Source_Data!$Q$9&lt;&gt;"N/A")),"N/A",Lookup_Lists!$D$150)</f>
      </c>
      <c r="AE105" s="29">
        <f>IF((IF(ISNUMBER(Matching_Engine!$AA$105),Lookup_Lists!$D$125,0)+IF(ISNUMBER(Matching_Engine!$AB$105),Lookup_Lists!$D$126,0)+IF(ISNUMBER(Matching_Engine!$AC$105),Lookup_Lists!$D$127,0)+IF(ISNUMBER(Matching_Engine!$AD$105),Lookup_Lists!$D$128,0))=0,"N/A",ROUND((IF(ISNUMBER(Matching_Engine!$AA$105),Matching_Engine!$AA$105*Lookup_Lists!$D$125,0)+IF(ISNUMBER(Matching_Engine!$AB$105),Matching_Engine!$AB$105*Lookup_Lists!$D$126,0)+IF(ISNUMBER(Matching_Engine!$AC$105),Matching_Engine!$AC$105*Lookup_Lists!$D$127,0)+IF(ISNUMBER(Matching_Engine!$AD$105),Matching_Engine!$AD$105*Lookup_Lists!$D$128,0))/(IF(ISNUMBER(Matching_Engine!$AA$105),Lookup_Lists!$D$125,0)+IF(ISNUMBER(Matching_Engine!$AB$105),Lookup_Lists!$D$126,0)+IF(ISNUMBER(Matching_Engine!$AC$105),Lookup_Lists!$D$127,0)+IF(ISNUMBER(Matching_Engine!$AD$105),Lookup_Lists!$D$128,0)),0))</f>
      </c>
      <c r="AF105" s="11">
        <f>IF(ISNUMBER(Matching_Engine!$AE$105),1,0)</f>
      </c>
      <c r="AG105" s="18">
        <f>IF(NOT(ISNUMBER(KOL_Source_Data!$BG$9)),"N/A",MIN(100,ROUND(KOL_Source_Data!$BG$9/IFERROR(INDEX(Lookup_Lists!$B$340:$B$344,MATCH(KOL_Source_Data!$H$9,Lookup_Lists!$A$340:$A$344,0)),Lookup_Lists!$D$141)*100,0)))</f>
      </c>
      <c r="AH105" s="18">
        <f>IF(NOT(ISNUMBER(KOL_Source_Data!$BS$9)),"N/A",MIN(100,MAX(0,KOL_Source_Data!$BS$9)))</f>
      </c>
      <c r="AI105" s="18">
        <f>IF(OR(NOT(ISNUMBER(KOL_Source_Data!$BM$9)),NOT(ISNUMBER(KOL_Source_Data!$BN$9)),KOL_Source_Data!$BN$9&lt;Lookup_Lists!$D$320),"N/A",MIN(100,ROUND(KOL_Source_Data!$BM$9/Lookup_Lists!$D$319*100,0)))</f>
      </c>
      <c r="AJ105" s="18">
        <f>IF(NOT(ISNUMBER(KOL_Source_Data!$BR$9)),"N/A",KOL_Source_Data!$BR$9)</f>
      </c>
      <c r="AK105" s="18">
        <f>IF(NOT(ISNUMBER(KOL_Source_Data!$BK$9)),"N/A",MIN(100,ROUND(KOL_Source_Data!$BK$9/Lookup_Lists!$D$321*100,0)))</f>
      </c>
      <c r="AL105" s="18">
        <f>IF(NOT(ISNUMBER(KOL_Source_Data!$BP$9)),"N/A",MIN(100,MAX(0,ROUND((KOL_Source_Data!$BP$9+2)/(Lookup_Lists!$D$145+2)*100,0))))</f>
      </c>
      <c r="AM105" s="29">
        <f>IF((IF(ISNUMBER(Matching_Engine!$AG$105),Lookup_Lists!$D$129,0)+IF(ISNUMBER(Matching_Engine!$AH$105),Lookup_Lists!$D$130,0)+IF(ISNUMBER(Matching_Engine!$AI$105),Lookup_Lists!$D$131,0)+IF(ISNUMBER(Matching_Engine!$AJ$105),Lookup_Lists!$D$132,0)+IF(ISNUMBER(Matching_Engine!$AK$105),Lookup_Lists!$D$133,0)+IF(ISNUMBER(Matching_Engine!$AL$105),Lookup_Lists!$D$134,0))=0,"N/A",ROUND((IF(ISNUMBER(Matching_Engine!$AG$105),Matching_Engine!$AG$105*Lookup_Lists!$D$129,0)+IF(ISNUMBER(Matching_Engine!$AH$105),Matching_Engine!$AH$105*Lookup_Lists!$D$130,0)+IF(ISNUMBER(Matching_Engine!$AI$105),Matching_Engine!$AI$105*Lookup_Lists!$D$131,0)+IF(ISNUMBER(Matching_Engine!$AJ$105),Matching_Engine!$AJ$105*Lookup_Lists!$D$132,0)+IF(ISNUMBER(Matching_Engine!$AK$105),Matching_Engine!$AK$105*Lookup_Lists!$D$133,0)+IF(ISNUMBER(Matching_Engine!$AL$105),Matching_Engine!$AL$105*Lookup_Lists!$D$134,0))/(IF(ISNUMBER(Matching_Engine!$AG$105),Lookup_Lists!$D$129,0)+IF(ISNUMBER(Matching_Engine!$AH$105),Lookup_Lists!$D$130,0)+IF(ISNUMBER(Matching_Engine!$AI$105),Lookup_Lists!$D$131,0)+IF(ISNUMBER(Matching_Engine!$AJ$105),Lookup_Lists!$D$132,0)+IF(ISNUMBER(Matching_Engine!$AK$105),Lookup_Lists!$D$133,0)+IF(ISNUMBER(Matching_Engine!$AL$105),Lookup_Lists!$D$134,0)),0))</f>
      </c>
      <c r="AN105" s="11">
        <f>IF(ISNUMBER(Matching_Engine!$AM$105),1,0)</f>
      </c>
      <c r="AO105" s="18">
        <f>IF(NOT(ISNUMBER(KOL_Source_Data!$BT$9)),"N/A",MIN(100,MAX(0,KOL_Source_Data!$BT$9)))</f>
      </c>
      <c r="AP105" s="18">
        <f>IF(NOT(ISNUMBER(KOL_Source_Data!$BU$9)),"N/A",MIN(100,MAX(0,KOL_Source_Data!$BU$9)))</f>
      </c>
      <c r="AQ105" s="18">
        <f>IF(KOL_Source_Data!$I$9="Yes",Lookup_Lists!$D$326,IF(KOL_Source_Data!$I$9="No",Lookup_Lists!$D$327,"N/A"))</f>
      </c>
      <c r="AR105" s="18">
        <f>IF(NOT(ISNUMBER(KOL_Source_Data!$BQ$9)),"N/A",MAX(0,ROUND(100-KOL_Source_Data!$BQ$9/Lookup_Lists!$D$328*100,0)))</f>
      </c>
      <c r="AS105" s="18">
        <f>IF(NOT(AND(ISTEXT(KOL_Source_Data!$BV$9),KOL_Source_Data!$BV$9&lt;&gt;"N/A")),"N/A",KOL_Source_Data!$BV$9)</f>
      </c>
      <c r="AT105" s="29">
        <f>IF((IF(ISNUMBER(Matching_Engine!$AO$105),Lookup_Lists!$D$322,0)+IF(ISNUMBER(Matching_Engine!$AP$105),Lookup_Lists!$D$323,0)+IF(ISNUMBER(Matching_Engine!$AQ$105),Lookup_Lists!$D$324,0)+IF(ISNUMBER(Matching_Engine!$AR$105),Lookup_Lists!$D$325,0))=0,"N/A",ROUND((IF(ISNUMBER(Matching_Engine!$AO$105),Matching_Engine!$AO$105*Lookup_Lists!$D$322,0)+IF(ISNUMBER(Matching_Engine!$AP$105),Matching_Engine!$AP$105*Lookup_Lists!$D$323,0)+IF(ISNUMBER(Matching_Engine!$AQ$105),Matching_Engine!$AQ$105*Lookup_Lists!$D$324,0)+IF(ISNUMBER(Matching_Engine!$AR$105),Matching_Engine!$AR$105*Lookup_Lists!$D$325,0))/(IF(ISNUMBER(Matching_Engine!$AO$105),Lookup_Lists!$D$322,0)+IF(ISNUMBER(Matching_Engine!$AP$105),Lookup_Lists!$D$323,0)+IF(ISNUMBER(Matching_Engine!$AQ$105),Lookup_Lists!$D$324,0)+IF(ISNUMBER(Matching_Engine!$AR$105),Lookup_Lists!$D$325,0)),0))</f>
      </c>
      <c r="AU105" s="11">
        <f>IF(ISNUMBER(Matching_Engine!$AT$105),1,0)</f>
      </c>
      <c r="AV105" s="11">
        <f>IF(NOT(ISNUMBER(Matching_Engine!$AT$105)),"Not Screened",IF(Matching_Engine!$AT$105&gt;=Lookup_Lists!$D$329,"Low Risk",IF(Matching_Engine!$AT$105&gt;=Lookup_Lists!$D$330,"Moderate Risk",IF(Matching_Engine!$AT$105&gt;=Lookup_Lists!$D$331,"Elevated Risk","High Risk"))))</f>
      </c>
      <c r="AW105" s="11">
        <f>IF(NOT(ISNUMBER(Matching_Engine!$AT$105)),"No integrity signal: no audience-analysis row for this account.","Integrity screen only — no content-risk reading exists (comments_analysis: 0 rows). "&amp;IF(ISNUMBER(Matching_Engine!$AO$105),"Authenticity "&amp;Matching_Engine!$AO$105&amp;". ","Authenticity N/A. ")&amp;IF(ISNUMBER(Matching_Engine!$AP$105),"Follower quality "&amp;Matching_Engine!$AP$105&amp;". ","Follower quality N/A. ")&amp;IF(KOL_Source_Data!$I$9="Yes","Platform-verified.","Not platform-verified."))</f>
      </c>
      <c r="AX105" s="18">
        <f>Matching_Engine!$N$105*Lookup_Lists!$D$104+Matching_Engine!$T$105*Lookup_Lists!$D$105+Matching_Engine!$Z$105*Lookup_Lists!$D$106+Matching_Engine!$AF$105*Lookup_Lists!$D$107+Matching_Engine!$AN$105*Lookup_Lists!$D$108+Matching_Engine!$AU$105*Lookup_Lists!$D$109</f>
      </c>
      <c r="AY105" s="30">
        <f>IF(Matching_Engine!$AX$105=0,"N/A",ROUND((IF(Matching_Engine!$N$105=1,Matching_Engine!$M$105*Lookup_Lists!$D$104,0)+IF(Matching_Engine!$T$105=1,Matching_Engine!$S$105*Lookup_Lists!$D$105,0)+IF(Matching_Engine!$Z$105=1,Matching_Engine!$Y$105*Lookup_Lists!$D$106,0)+IF(Matching_Engine!$AF$105=1,Matching_Engine!$AE$105*Lookup_Lists!$D$107,0)+IF(Matching_Engine!$AN$105=1,Matching_Engine!$AM$105*Lookup_Lists!$D$108,0)+IF(Matching_Engine!$AU$105=1,Matching_Engine!$AT$105*Lookup_Lists!$D$109,0))/Matching_Engine!$AX$105,0))</f>
      </c>
      <c r="AZ105" s="11">
        <f>IF(NOT(ISNUMBER(Matching_Engine!$AY$105)),"Not Scored",IF(Matching_Engine!$AY$105&gt;=Lookup_Lists!$D$152,"Excellent Match",IF(Matching_Engine!$AY$105&gt;=Lookup_Lists!$D$153,"Strong Match",IF(Matching_Engine!$AY$105&gt;=Lookup_Lists!$D$154,"Good Match",IF(Matching_Engine!$AY$105&gt;=Lookup_Lists!$D$155,"Moderate Match","Low Match")))))</f>
      </c>
      <c r="BA105" s="18">
        <f>KOL_Source_Data!$BW$9</f>
      </c>
      <c r="BB105" s="11">
        <f>KOL_Source_Data!$BX$9</f>
      </c>
      <c r="BC105" s="18">
        <f>IF(NOT(ISNUMBER(Matching_Engine!$AY$105)),-1,Matching_Engine!$AY$105*1000+21)</f>
      </c>
      <c r="BD105" s="11">
        <f>IF(AND(ISTEXT(KOL_Source_Data!$S$9),KOL_Source_Data!$S$9&lt;&gt;"N/A"),KOL_Source_Data!$S$9,"")&amp;" | "&amp;IF(AND(ISTEXT(KOL_Source_Data!$T$9),KOL_Source_Data!$T$9&lt;&gt;"N/A"),KOL_Source_Data!$T$9,"")&amp;" | "&amp;IF(AND(ISTEXT(KOL_Source_Data!$N$9),KOL_Source_Data!$N$9&lt;&gt;"N/A"),KOL_Source_Data!$N$9,"")&amp;" | "&amp;IF(AND(ISTEXT(KOL_Source_Data!$K$9),KOL_Source_Data!$K$9&lt;&gt;"N/A"),KOL_Source_Data!$K$9,"")&amp;" | "&amp;IF(AND(ISTEXT(KOL_Source_Data!$J$9),KOL_Source_Data!$J$9&lt;&gt;"N/A"),KOL_Source_Data!$J$9,"")</f>
      </c>
      <c r="BE105" s="11">
        <f>IF(AND(ISTEXT(KOL_Source_Data!$T$9),KOL_Source_Data!$T$9&lt;&gt;"N/A"),KOL_Source_Data!$T$9,"")&amp;" | "&amp;IF(AND(ISTEXT(KOL_Source_Data!$N$9),KOL_Source_Data!$N$9&lt;&gt;"N/A"),KOL_Source_Data!$N$9,"")&amp;" | "&amp;IF(AND(ISTEXT(KOL_Source_Data!$O$9),KOL_Source_Data!$O$9&lt;&gt;"N/A"),KOL_Source_Data!$O$9,"")&amp;" | "&amp;IF(AND(ISTEXT(KOL_Source_Data!$S$9),KOL_Source_Data!$S$9&lt;&gt;"N/A"),KOL_Source_Data!$S$9,"")</f>
      </c>
      <c r="BF105" s="11">
        <f>IF(AND(ISTEXT(KOL_Source_Data!$U$9),KOL_Source_Data!$U$9&lt;&gt;"N/A"),KOL_Source_Data!$U$9,"")</f>
      </c>
      <c r="BG105" s="11">
        <f>Matching_Engine!$A$105&amp;"|"&amp;Matching_Engine!$C$105</f>
      </c>
    </row>
    <row r="106" spans="1:59" x14ac:dyDescent="0.25">
      <c r="A106" s="10" t="s">
        <v>394</v>
      </c>
      <c r="B106" s="11">
        <f>Brand_Profile!$I$6</f>
      </c>
      <c r="C106" s="11">
        <f>KOL_Source_Data!$A$10</f>
      </c>
      <c r="D106" s="11">
        <f>KOL_Source_Data!$C$10</f>
      </c>
      <c r="E106" s="11">
        <f>KOL_Source_Data!$D$10</f>
      </c>
      <c r="F106" s="11">
        <f>KOL_Source_Data!$E$10</f>
      </c>
      <c r="G106" s="11">
        <f>KOL_Source_Data!$K$10</f>
      </c>
      <c r="H106" s="12">
        <f>KOL_Source_Data!$G$10</f>
      </c>
      <c r="I106" s="14">
        <f>KOL_Source_Data!$BG$10</f>
      </c>
      <c r="J106" s="18">
        <f>IF(NOT(AND(ISTEXT(KOL_Source_Data!$K$10),KOL_Source_Data!$K$10&lt;&gt;"N/A")),Lookup_Lists!$D$150,IF(Brand_Profile!$I$7=KOL_Source_Data!$K$10,100,IFERROR(INDEX(Lookup_Lists!$B$349:$J$357,MATCH(Brand_Profile!$I$7,Lookup_Lists!$A$349:$A$357,0),MATCH(KOL_Source_Data!$K$10,Lookup_Lists!$B$348:$J$348,0)),Lookup_Lists!$D$151)))</f>
      </c>
      <c r="K106" s="18">
        <f>IF(LEN(TRIM(SUBSTITUTE(Matching_Engine!$BD$106,"|","")))=0,"N/A",IF(Brand_Profile!$I$47=0,Lookup_Lists!$D$150,ROUND((IF(Brand_Profile!$I$41="",0,IF(ISNUMBER(SEARCH(Brand_Profile!$I$41,Matching_Engine!$BD$106)),1,0))+IF(Brand_Profile!$I$42="",0,IF(ISNUMBER(SEARCH(Brand_Profile!$I$42,Matching_Engine!$BD$106)),1,0))+IF(Brand_Profile!$I$43="",0,IF(ISNUMBER(SEARCH(Brand_Profile!$I$43,Matching_Engine!$BD$106)),1,0))+IF(Brand_Profile!$I$44="",0,IF(ISNUMBER(SEARCH(Brand_Profile!$I$44,Matching_Engine!$BD$106)),1,0))+IF(Brand_Profile!$I$45="",0,IF(ISNUMBER(SEARCH(Brand_Profile!$I$45,Matching_Engine!$BD$106)),1,0))+IF(Brand_Profile!$I$46="",0,IF(ISNUMBER(SEARCH(Brand_Profile!$I$46,Matching_Engine!$BD$106)),1,0)))/Brand_Profile!$I$47*100,0)))</f>
      </c>
      <c r="L106" s="18">
        <f>IF(NOT(AND(ISTEXT(KOL_Source_Data!$U$10),KOL_Source_Data!$U$10&lt;&gt;"N/A")),"N/A",IF(Brand_Profile!$I$53=0,Lookup_Lists!$D$150,ROUND((IF(Brand_Profile!$I$48="",0,IF(ISNUMBER(SEARCH(Brand_Profile!$I$48,Matching_Engine!$BF$106)),1,0))+IF(Brand_Profile!$I$49="",0,IF(ISNUMBER(SEARCH(Brand_Profile!$I$49,Matching_Engine!$BF$106)),1,0))+IF(Brand_Profile!$I$50="",0,IF(ISNUMBER(SEARCH(Brand_Profile!$I$50,Matching_Engine!$BF$106)),1,0))+IF(Brand_Profile!$I$51="",0,IF(ISNUMBER(SEARCH(Brand_Profile!$I$51,Matching_Engine!$BF$106)),1,0))+IF(Brand_Profile!$I$52="",0,IF(ISNUMBER(SEARCH(Brand_Profile!$I$52,Matching_Engine!$BF$106)),1,0)))/Brand_Profile!$I$53*100,0)))</f>
      </c>
      <c r="M106" s="29">
        <f>IF((IF(ISNUMBER(Matching_Engine!$J$106),Lookup_Lists!$D$332,0)+IF(ISNUMBER(Matching_Engine!$K$106),Lookup_Lists!$D$333,0)+IF(ISNUMBER(Matching_Engine!$L$106),Lookup_Lists!$D$334,0))=0,"N/A",ROUND((IF(ISNUMBER(Matching_Engine!$J$106),Matching_Engine!$J$106*Lookup_Lists!$D$332,0)+IF(ISNUMBER(Matching_Engine!$K$106),Matching_Engine!$K$106*Lookup_Lists!$D$333,0)+IF(ISNUMBER(Matching_Engine!$L$106),Matching_Engine!$L$106*Lookup_Lists!$D$334,0))/(IF(ISNUMBER(Matching_Engine!$J$106),Lookup_Lists!$D$332,0)+IF(ISNUMBER(Matching_Engine!$K$106),Lookup_Lists!$D$333,0)+IF(ISNUMBER(Matching_Engine!$L$106),Lookup_Lists!$D$334,0)),0))</f>
      </c>
      <c r="N106" s="11">
        <f>IF(ISNUMBER(Matching_Engine!$M$106),1,0)</f>
      </c>
      <c r="O106" s="18">
        <f>IF(NOT(ISNUMBER(IFERROR(INDEX(KOL_Source_Data!$V$10:KOL_Source_Data!$Z$10,1,MATCH(Brand_Profile!$I$11,Lookup_Lists!$F$6:$F$10,0)),""))),"N/A",MIN(100,ROUND((IFERROR(INDEX(KOL_Source_Data!$V$10:KOL_Source_Data!$Z$10,1,MATCH(Brand_Profile!$I$11,Lookup_Lists!$F$6:$F$10,0)),"")+0.5*IF(ISNUMBER(IFERROR(INDEX(KOL_Source_Data!$V$10:KOL_Source_Data!$Z$10,1,MATCH(Brand_Profile!$I$12,Lookup_Lists!$F$6:$F$10,0)),"")),IFERROR(INDEX(KOL_Source_Data!$V$10:KOL_Source_Data!$Z$10,1,MATCH(Brand_Profile!$I$12,Lookup_Lists!$F$6:$F$10,0)),""),0))/Lookup_Lists!$D$142*100,0)))</f>
      </c>
      <c r="P106" s="18">
        <f>IF(Brand_Profile!$I$13="Any",100,IF(NOT(ISNUMBER(KOL_Source_Data!$AA$10)),"N/A",IF(Brand_Profile!$I$13="Female",MIN(100,ROUND(KOL_Source_Data!$AA$10/Lookup_Lists!$D$143*100,0)),IF(Brand_Profile!$I$13="Male",MIN(100,ROUND(IF(ISNUMBER(KOL_Source_Data!$AB$10),KOL_Source_Data!$AB$10,100-KOL_Source_Data!$AA$10)/Lookup_Lists!$D$143*100,0)),MAX(0,ROUND(100-ABS(KOL_Source_Data!$AA$10-50)*2,0))))))</f>
      </c>
      <c r="Q106" s="18">
        <f>IF((IF(ISNUMBER(IF(NOT(ISNUMBER(KOL_Source_Data!$AE$10)),"N/A",IF(KOL_Source_Data!$AD$10&lt;&gt;Brand_Profile!$I$14,Lookup_Lists!$D$151,MIN(100,ROUND(KOL_Source_Data!$AE$10/Lookup_Lists!$D$316*100,0))))),Lookup_Lists!$D$118,0)+IF(ISNUMBER(IF(NOT(ISNUMBER(KOL_Source_Data!$AM$10)),"N/A",MIN(100,ROUND((IF(KOL_Source_Data!$AG$10=Brand_Profile!$I$15,IF(ISNUMBER(KOL_Source_Data!$AH$10),KOL_Source_Data!$AH$10,0),0)+IF(KOL_Source_Data!$AI$10=Brand_Profile!$I$15,IF(ISNUMBER(KOL_Source_Data!$AJ$10),KOL_Source_Data!$AJ$10,0),0)+IF(KOL_Source_Data!$AK$10=Brand_Profile!$I$15,IF(ISNUMBER(KOL_Source_Data!$AL$10),KOL_Source_Data!$AL$10,0),0))/Lookup_Lists!$D$317*100,0)))),Lookup_Lists!$D$120,0))=0,"N/A",ROUND((IF(ISNUMBER(IF(NOT(ISNUMBER(KOL_Source_Data!$AE$10)),"N/A",IF(KOL_Source_Data!$AD$10&lt;&gt;Brand_Profile!$I$14,Lookup_Lists!$D$151,MIN(100,ROUND(KOL_Source_Data!$AE$10/Lookup_Lists!$D$316*100,0))))),IF(NOT(ISNUMBER(KOL_Source_Data!$AE$10)),"N/A",IF(KOL_Source_Data!$AD$10&lt;&gt;Brand_Profile!$I$14,Lookup_Lists!$D$151,MIN(100,ROUND(KOL_Source_Data!$AE$10/Lookup_Lists!$D$316*100,0))))*Lookup_Lists!$D$118,0)+IF(ISNUMBER(IF(NOT(ISNUMBER(KOL_Source_Data!$AM$10)),"N/A",MIN(100,ROUND((IF(KOL_Source_Data!$AG$10=Brand_Profile!$I$15,IF(ISNUMBER(KOL_Source_Data!$AH$10),KOL_Source_Data!$AH$10,0),0)+IF(KOL_Source_Data!$AI$10=Brand_Profile!$I$15,IF(ISNUMBER(KOL_Source_Data!$AJ$10),KOL_Source_Data!$AJ$10,0),0)+IF(KOL_Source_Data!$AK$10=Brand_Profile!$I$15,IF(ISNUMBER(KOL_Source_Data!$AL$10),KOL_Source_Data!$AL$10,0),0))/Lookup_Lists!$D$317*100,0)))),IF(NOT(ISNUMBER(KOL_Source_Data!$AM$10)),"N/A",MIN(100,ROUND((IF(KOL_Source_Data!$AG$10=Brand_Profile!$I$15,IF(ISNUMBER(KOL_Source_Data!$AH$10),KOL_Source_Data!$AH$10,0),0)+IF(KOL_Source_Data!$AI$10=Brand_Profile!$I$15,IF(ISNUMBER(KOL_Source_Data!$AJ$10),KOL_Source_Data!$AJ$10,0),0)+IF(KOL_Source_Data!$AK$10=Brand_Profile!$I$15,IF(ISNUMBER(KOL_Source_Data!$AL$10),KOL_Source_Data!$AL$10,0),0))/Lookup_Lists!$D$317*100,0)))*Lookup_Lists!$D$120,0))/(IF(ISNUMBER(IF(NOT(ISNUMBER(KOL_Source_Data!$AE$10)),"N/A",IF(KOL_Source_Data!$AD$10&lt;&gt;Brand_Profile!$I$14,Lookup_Lists!$D$151,MIN(100,ROUND(KOL_Source_Data!$AE$10/Lookup_Lists!$D$316*100,0))))),Lookup_Lists!$D$118,0)+IF(ISNUMBER(IF(NOT(ISNUMBER(KOL_Source_Data!$AM$10)),"N/A",MIN(100,ROUND((IF(KOL_Source_Data!$AG$10=Brand_Profile!$I$15,IF(ISNUMBER(KOL_Source_Data!$AH$10),KOL_Source_Data!$AH$10,0),0)+IF(KOL_Source_Data!$AI$10=Brand_Profile!$I$15,IF(ISNUMBER(KOL_Source_Data!$AJ$10),KOL_Source_Data!$AJ$10,0),0)+IF(KOL_Source_Data!$AK$10=Brand_Profile!$I$15,IF(ISNUMBER(KOL_Source_Data!$AL$10),KOL_Source_Data!$AL$10,0),0))/Lookup_Lists!$D$317*100,0)))),Lookup_Lists!$D$120,0)),0))</f>
      </c>
      <c r="R106" s="18">
        <f>IF(NOT(ISNUMBER(KOL_Source_Data!$AN$10)),"N/A",MIN(100,ROUND((IF(ISNUMBER(KOL_Source_Data!$AO$10),KOL_Source_Data!$AO$10*Brand_Profile!$I$17,0)+IF(ISNUMBER(KOL_Source_Data!$AP$10),KOL_Source_Data!$AP$10*Brand_Profile!$I$18,0)+IF(ISNUMBER(KOL_Source_Data!$AQ$10),KOL_Source_Data!$AQ$10*Brand_Profile!$I$19,0)+IF(ISNUMBER(KOL_Source_Data!$AR$10),KOL_Source_Data!$AR$10*Brand_Profile!$I$20,0)+IF(ISNUMBER(KOL_Source_Data!$AS$10),KOL_Source_Data!$AS$10*Brand_Profile!$I$21,0)+IF(ISNUMBER(KOL_Source_Data!$AT$10),KOL_Source_Data!$AT$10*Brand_Profile!$I$22,0)+IF(ISNUMBER(KOL_Source_Data!$AU$10),KOL_Source_Data!$AU$10*Brand_Profile!$I$23,0)+IF(ISNUMBER(KOL_Source_Data!$AV$10),KOL_Source_Data!$AV$10*Brand_Profile!$I$24,0)+IF(ISNUMBER(KOL_Source_Data!$AW$10),KOL_Source_Data!$AW$10*Brand_Profile!$I$25,0)+IF(ISNUMBER(KOL_Source_Data!$AX$10),KOL_Source_Data!$AX$10*Brand_Profile!$I$26,0)+IF(ISNUMBER(KOL_Source_Data!$AY$10),KOL_Source_Data!$AY$10*Brand_Profile!$I$27,0)+IF(ISNUMBER(KOL_Source_Data!$AZ$10),KOL_Source_Data!$AZ$10*Brand_Profile!$I$28,0)+IF(ISNUMBER(KOL_Source_Data!$BA$10),KOL_Source_Data!$BA$10*Brand_Profile!$I$29,0)+IF(ISNUMBER(KOL_Source_Data!$BB$10),KOL_Source_Data!$BB$10*Brand_Profile!$I$30,0)+IF(ISNUMBER(KOL_Source_Data!$BC$10),KOL_Source_Data!$BC$10*Brand_Profile!$I$31,0)+IF(ISNUMBER(KOL_Source_Data!$BD$10),KOL_Source_Data!$BD$10*Brand_Profile!$I$32,0)+IF(ISNUMBER(KOL_Source_Data!$BE$10),KOL_Source_Data!$BE$10*Brand_Profile!$I$33,0)+IF(ISNUMBER(KOL_Source_Data!$BF$10),KOL_Source_Data!$BF$10*Brand_Profile!$I$34,0))/Lookup_Lists!$D$318*100,0)))</f>
      </c>
      <c r="S106" s="29">
        <f>IF((IF(ISNUMBER(Matching_Engine!$O$106),Lookup_Lists!$D$113,0)+IF(ISNUMBER(Matching_Engine!$P$106),Lookup_Lists!$D$114,0)+IF(ISNUMBER(Matching_Engine!$Q$106),Lookup_Lists!$D$115,0)+IF(ISNUMBER(Matching_Engine!$R$106),Lookup_Lists!$D$116,0))=0,"N/A",ROUND((IF(ISNUMBER(Matching_Engine!$O$106),Matching_Engine!$O$106*Lookup_Lists!$D$113,0)+IF(ISNUMBER(Matching_Engine!$P$106),Matching_Engine!$P$106*Lookup_Lists!$D$114,0)+IF(ISNUMBER(Matching_Engine!$Q$106),Matching_Engine!$Q$106*Lookup_Lists!$D$115,0)+IF(ISNUMBER(Matching_Engine!$R$106),Matching_Engine!$R$106*Lookup_Lists!$D$116,0))/(IF(ISNUMBER(Matching_Engine!$O$106),Lookup_Lists!$D$113,0)+IF(ISNUMBER(Matching_Engine!$P$106),Lookup_Lists!$D$114,0)+IF(ISNUMBER(Matching_Engine!$Q$106),Lookup_Lists!$D$115,0)+IF(ISNUMBER(Matching_Engine!$R$106),Lookup_Lists!$D$116,0)),0))</f>
      </c>
      <c r="T106" s="11">
        <f>IF(ISNUMBER(Matching_Engine!$S$106),1,0)</f>
      </c>
      <c r="U106" s="18">
        <f>IF(NOT(AND(ISTEXT(KOL_Source_Data!$M$10),KOL_Source_Data!$M$10&lt;&gt;"N/A")),Lookup_Lists!$D$150,IF(Brand_Profile!$I$7=KOL_Source_Data!$M$10,100,IFERROR(INDEX(Lookup_Lists!$B$349:$J$357,MATCH(Brand_Profile!$I$7,Lookup_Lists!$A$349:$A$357,0),MATCH(KOL_Source_Data!$M$10,Lookup_Lists!$B$348:$J$348,0)),Lookup_Lists!$D$151)))</f>
      </c>
      <c r="V106" s="18">
        <f>IF(NOT(AND(ISTEXT(KOL_Source_Data!$P$10),KOL_Source_Data!$P$10&lt;&gt;"N/A")),"N/A",IFERROR(INDEX(Lookup_Lists!$B$349:$J$357,MATCH(Brand_Profile!$I$7,Lookup_Lists!$A$349:$A$357,0),MATCH(KOL_Source_Data!$P$10,Lookup_Lists!$B$348:$J$348,0)),Lookup_Lists!$D$151))</f>
      </c>
      <c r="W106" s="18">
        <f>IF(LEN(TRIM(SUBSTITUTE(Matching_Engine!$BE$106,"|","")))=0,"N/A",IF(Brand_Profile!$I$60=0,Lookup_Lists!$D$150,ROUND((IF(Brand_Profile!$I$54="",0,IF(ISNUMBER(SEARCH(Brand_Profile!$I$54,Matching_Engine!$BE$106)),1,0))+IF(Brand_Profile!$I$55="",0,IF(ISNUMBER(SEARCH(Brand_Profile!$I$55,Matching_Engine!$BE$106)),1,0))+IF(Brand_Profile!$I$56="",0,IF(ISNUMBER(SEARCH(Brand_Profile!$I$56,Matching_Engine!$BE$106)),1,0))+IF(Brand_Profile!$I$57="",0,IF(ISNUMBER(SEARCH(Brand_Profile!$I$57,Matching_Engine!$BE$106)),1,0))+IF(Brand_Profile!$I$58="",0,IF(ISNUMBER(SEARCH(Brand_Profile!$I$58,Matching_Engine!$BE$106)),1,0))+IF(Brand_Profile!$I$59="",0,IF(ISNUMBER(SEARCH(Brand_Profile!$I$59,Matching_Engine!$BE$106)),1,0)))/Brand_Profile!$I$60*100,0)))</f>
      </c>
      <c r="X106" s="18">
        <f>IF(NOT(AND(ISTEXT(KOL_Source_Data!$Q$10),KOL_Source_Data!$Q$10&lt;&gt;"N/A")),"N/A",Lookup_Lists!$D$150)</f>
      </c>
      <c r="Y106" s="29">
        <f>IF((IF(ISNUMBER(Matching_Engine!$U$106),Lookup_Lists!$D$335,0)+IF(ISNUMBER(Matching_Engine!$V$106),Lookup_Lists!$D$122,0)+IF(ISNUMBER(Matching_Engine!$W$106),Lookup_Lists!$D$336,0)+IF(ISNUMBER(Matching_Engine!$X$106),Lookup_Lists!$D$124,0))=0,"N/A",ROUND((IF(ISNUMBER(Matching_Engine!$U$106),Matching_Engine!$U$106*Lookup_Lists!$D$335,0)+IF(ISNUMBER(Matching_Engine!$V$106),Matching_Engine!$V$106*Lookup_Lists!$D$122,0)+IF(ISNUMBER(Matching_Engine!$W$106),Matching_Engine!$W$106*Lookup_Lists!$D$336,0)+IF(ISNUMBER(Matching_Engine!$X$106),Matching_Engine!$X$106*Lookup_Lists!$D$124,0))/(IF(ISNUMBER(Matching_Engine!$U$106),Lookup_Lists!$D$335,0)+IF(ISNUMBER(Matching_Engine!$V$106),Lookup_Lists!$D$122,0)+IF(ISNUMBER(Matching_Engine!$W$106),Lookup_Lists!$D$336,0)+IF(ISNUMBER(Matching_Engine!$X$106),Lookup_Lists!$D$124,0)),0))</f>
      </c>
      <c r="Z106" s="11">
        <f>IF(ISNUMBER(Matching_Engine!$Y$106),1,0)</f>
      </c>
      <c r="AA106" s="18">
        <f>IF(NOT(AND(ISTEXT(KOL_Source_Data!$Q$10),KOL_Source_Data!$Q$10&lt;&gt;"N/A")),"N/A",Lookup_Lists!$D$150)</f>
      </c>
      <c r="AB106" s="18">
        <f>IF(NOT(AND(ISTEXT(KOL_Source_Data!$Q$10),KOL_Source_Data!$Q$10&lt;&gt;"N/A")),"N/A",Lookup_Lists!$D$150)</f>
      </c>
      <c r="AC106" s="18">
        <f>"N/A"</f>
      </c>
      <c r="AD106" s="18">
        <f>IF(NOT(AND(ISTEXT(KOL_Source_Data!$Q$10),KOL_Source_Data!$Q$10&lt;&gt;"N/A")),"N/A",Lookup_Lists!$D$150)</f>
      </c>
      <c r="AE106" s="29">
        <f>IF((IF(ISNUMBER(Matching_Engine!$AA$106),Lookup_Lists!$D$125,0)+IF(ISNUMBER(Matching_Engine!$AB$106),Lookup_Lists!$D$126,0)+IF(ISNUMBER(Matching_Engine!$AC$106),Lookup_Lists!$D$127,0)+IF(ISNUMBER(Matching_Engine!$AD$106),Lookup_Lists!$D$128,0))=0,"N/A",ROUND((IF(ISNUMBER(Matching_Engine!$AA$106),Matching_Engine!$AA$106*Lookup_Lists!$D$125,0)+IF(ISNUMBER(Matching_Engine!$AB$106),Matching_Engine!$AB$106*Lookup_Lists!$D$126,0)+IF(ISNUMBER(Matching_Engine!$AC$106),Matching_Engine!$AC$106*Lookup_Lists!$D$127,0)+IF(ISNUMBER(Matching_Engine!$AD$106),Matching_Engine!$AD$106*Lookup_Lists!$D$128,0))/(IF(ISNUMBER(Matching_Engine!$AA$106),Lookup_Lists!$D$125,0)+IF(ISNUMBER(Matching_Engine!$AB$106),Lookup_Lists!$D$126,0)+IF(ISNUMBER(Matching_Engine!$AC$106),Lookup_Lists!$D$127,0)+IF(ISNUMBER(Matching_Engine!$AD$106),Lookup_Lists!$D$128,0)),0))</f>
      </c>
      <c r="AF106" s="11">
        <f>IF(ISNUMBER(Matching_Engine!$AE$106),1,0)</f>
      </c>
      <c r="AG106" s="18">
        <f>IF(NOT(ISNUMBER(KOL_Source_Data!$BG$10)),"N/A",MIN(100,ROUND(KOL_Source_Data!$BG$10/IFERROR(INDEX(Lookup_Lists!$B$340:$B$344,MATCH(KOL_Source_Data!$H$10,Lookup_Lists!$A$340:$A$344,0)),Lookup_Lists!$D$141)*100,0)))</f>
      </c>
      <c r="AH106" s="18">
        <f>IF(NOT(ISNUMBER(KOL_Source_Data!$BS$10)),"N/A",MIN(100,MAX(0,KOL_Source_Data!$BS$10)))</f>
      </c>
      <c r="AI106" s="18">
        <f>IF(OR(NOT(ISNUMBER(KOL_Source_Data!$BM$10)),NOT(ISNUMBER(KOL_Source_Data!$BN$10)),KOL_Source_Data!$BN$10&lt;Lookup_Lists!$D$320),"N/A",MIN(100,ROUND(KOL_Source_Data!$BM$10/Lookup_Lists!$D$319*100,0)))</f>
      </c>
      <c r="AJ106" s="18">
        <f>IF(NOT(ISNUMBER(KOL_Source_Data!$BR$10)),"N/A",KOL_Source_Data!$BR$10)</f>
      </c>
      <c r="AK106" s="18">
        <f>IF(NOT(ISNUMBER(KOL_Source_Data!$BK$10)),"N/A",MIN(100,ROUND(KOL_Source_Data!$BK$10/Lookup_Lists!$D$321*100,0)))</f>
      </c>
      <c r="AL106" s="18">
        <f>IF(NOT(ISNUMBER(KOL_Source_Data!$BP$10)),"N/A",MIN(100,MAX(0,ROUND((KOL_Source_Data!$BP$10+2)/(Lookup_Lists!$D$145+2)*100,0))))</f>
      </c>
      <c r="AM106" s="29">
        <f>IF((IF(ISNUMBER(Matching_Engine!$AG$106),Lookup_Lists!$D$129,0)+IF(ISNUMBER(Matching_Engine!$AH$106),Lookup_Lists!$D$130,0)+IF(ISNUMBER(Matching_Engine!$AI$106),Lookup_Lists!$D$131,0)+IF(ISNUMBER(Matching_Engine!$AJ$106),Lookup_Lists!$D$132,0)+IF(ISNUMBER(Matching_Engine!$AK$106),Lookup_Lists!$D$133,0)+IF(ISNUMBER(Matching_Engine!$AL$106),Lookup_Lists!$D$134,0))=0,"N/A",ROUND((IF(ISNUMBER(Matching_Engine!$AG$106),Matching_Engine!$AG$106*Lookup_Lists!$D$129,0)+IF(ISNUMBER(Matching_Engine!$AH$106),Matching_Engine!$AH$106*Lookup_Lists!$D$130,0)+IF(ISNUMBER(Matching_Engine!$AI$106),Matching_Engine!$AI$106*Lookup_Lists!$D$131,0)+IF(ISNUMBER(Matching_Engine!$AJ$106),Matching_Engine!$AJ$106*Lookup_Lists!$D$132,0)+IF(ISNUMBER(Matching_Engine!$AK$106),Matching_Engine!$AK$106*Lookup_Lists!$D$133,0)+IF(ISNUMBER(Matching_Engine!$AL$106),Matching_Engine!$AL$106*Lookup_Lists!$D$134,0))/(IF(ISNUMBER(Matching_Engine!$AG$106),Lookup_Lists!$D$129,0)+IF(ISNUMBER(Matching_Engine!$AH$106),Lookup_Lists!$D$130,0)+IF(ISNUMBER(Matching_Engine!$AI$106),Lookup_Lists!$D$131,0)+IF(ISNUMBER(Matching_Engine!$AJ$106),Lookup_Lists!$D$132,0)+IF(ISNUMBER(Matching_Engine!$AK$106),Lookup_Lists!$D$133,0)+IF(ISNUMBER(Matching_Engine!$AL$106),Lookup_Lists!$D$134,0)),0))</f>
      </c>
      <c r="AN106" s="11">
        <f>IF(ISNUMBER(Matching_Engine!$AM$106),1,0)</f>
      </c>
      <c r="AO106" s="18">
        <f>IF(NOT(ISNUMBER(KOL_Source_Data!$BT$10)),"N/A",MIN(100,MAX(0,KOL_Source_Data!$BT$10)))</f>
      </c>
      <c r="AP106" s="18">
        <f>IF(NOT(ISNUMBER(KOL_Source_Data!$BU$10)),"N/A",MIN(100,MAX(0,KOL_Source_Data!$BU$10)))</f>
      </c>
      <c r="AQ106" s="18">
        <f>IF(KOL_Source_Data!$I$10="Yes",Lookup_Lists!$D$326,IF(KOL_Source_Data!$I$10="No",Lookup_Lists!$D$327,"N/A"))</f>
      </c>
      <c r="AR106" s="18">
        <f>IF(NOT(ISNUMBER(KOL_Source_Data!$BQ$10)),"N/A",MAX(0,ROUND(100-KOL_Source_Data!$BQ$10/Lookup_Lists!$D$328*100,0)))</f>
      </c>
      <c r="AS106" s="18">
        <f>IF(NOT(AND(ISTEXT(KOL_Source_Data!$BV$10),KOL_Source_Data!$BV$10&lt;&gt;"N/A")),"N/A",KOL_Source_Data!$BV$10)</f>
      </c>
      <c r="AT106" s="29">
        <f>IF((IF(ISNUMBER(Matching_Engine!$AO$106),Lookup_Lists!$D$322,0)+IF(ISNUMBER(Matching_Engine!$AP$106),Lookup_Lists!$D$323,0)+IF(ISNUMBER(Matching_Engine!$AQ$106),Lookup_Lists!$D$324,0)+IF(ISNUMBER(Matching_Engine!$AR$106),Lookup_Lists!$D$325,0))=0,"N/A",ROUND((IF(ISNUMBER(Matching_Engine!$AO$106),Matching_Engine!$AO$106*Lookup_Lists!$D$322,0)+IF(ISNUMBER(Matching_Engine!$AP$106),Matching_Engine!$AP$106*Lookup_Lists!$D$323,0)+IF(ISNUMBER(Matching_Engine!$AQ$106),Matching_Engine!$AQ$106*Lookup_Lists!$D$324,0)+IF(ISNUMBER(Matching_Engine!$AR$106),Matching_Engine!$AR$106*Lookup_Lists!$D$325,0))/(IF(ISNUMBER(Matching_Engine!$AO$106),Lookup_Lists!$D$322,0)+IF(ISNUMBER(Matching_Engine!$AP$106),Lookup_Lists!$D$323,0)+IF(ISNUMBER(Matching_Engine!$AQ$106),Lookup_Lists!$D$324,0)+IF(ISNUMBER(Matching_Engine!$AR$106),Lookup_Lists!$D$325,0)),0))</f>
      </c>
      <c r="AU106" s="11">
        <f>IF(ISNUMBER(Matching_Engine!$AT$106),1,0)</f>
      </c>
      <c r="AV106" s="11">
        <f>IF(NOT(ISNUMBER(Matching_Engine!$AT$106)),"Not Screened",IF(Matching_Engine!$AT$106&gt;=Lookup_Lists!$D$329,"Low Risk",IF(Matching_Engine!$AT$106&gt;=Lookup_Lists!$D$330,"Moderate Risk",IF(Matching_Engine!$AT$106&gt;=Lookup_Lists!$D$331,"Elevated Risk","High Risk"))))</f>
      </c>
      <c r="AW106" s="11">
        <f>IF(NOT(ISNUMBER(Matching_Engine!$AT$106)),"No integrity signal: no audience-analysis row for this account.","Integrity screen only — no content-risk reading exists (comments_analysis: 0 rows). "&amp;IF(ISNUMBER(Matching_Engine!$AO$106),"Authenticity "&amp;Matching_Engine!$AO$106&amp;". ","Authenticity N/A. ")&amp;IF(ISNUMBER(Matching_Engine!$AP$106),"Follower quality "&amp;Matching_Engine!$AP$106&amp;". ","Follower quality N/A. ")&amp;IF(KOL_Source_Data!$I$10="Yes","Platform-verified.","Not platform-verified."))</f>
      </c>
      <c r="AX106" s="18">
        <f>Matching_Engine!$N$106*Lookup_Lists!$D$104+Matching_Engine!$T$106*Lookup_Lists!$D$105+Matching_Engine!$Z$106*Lookup_Lists!$D$106+Matching_Engine!$AF$106*Lookup_Lists!$D$107+Matching_Engine!$AN$106*Lookup_Lists!$D$108+Matching_Engine!$AU$106*Lookup_Lists!$D$109</f>
      </c>
      <c r="AY106" s="30">
        <f>IF(Matching_Engine!$AX$106=0,"N/A",ROUND((IF(Matching_Engine!$N$106=1,Matching_Engine!$M$106*Lookup_Lists!$D$104,0)+IF(Matching_Engine!$T$106=1,Matching_Engine!$S$106*Lookup_Lists!$D$105,0)+IF(Matching_Engine!$Z$106=1,Matching_Engine!$Y$106*Lookup_Lists!$D$106,0)+IF(Matching_Engine!$AF$106=1,Matching_Engine!$AE$106*Lookup_Lists!$D$107,0)+IF(Matching_Engine!$AN$106=1,Matching_Engine!$AM$106*Lookup_Lists!$D$108,0)+IF(Matching_Engine!$AU$106=1,Matching_Engine!$AT$106*Lookup_Lists!$D$109,0))/Matching_Engine!$AX$106,0))</f>
      </c>
      <c r="AZ106" s="11">
        <f>IF(NOT(ISNUMBER(Matching_Engine!$AY$106)),"Not Scored",IF(Matching_Engine!$AY$106&gt;=Lookup_Lists!$D$152,"Excellent Match",IF(Matching_Engine!$AY$106&gt;=Lookup_Lists!$D$153,"Strong Match",IF(Matching_Engine!$AY$106&gt;=Lookup_Lists!$D$154,"Good Match",IF(Matching_Engine!$AY$106&gt;=Lookup_Lists!$D$155,"Moderate Match","Low Match")))))</f>
      </c>
      <c r="BA106" s="18">
        <f>KOL_Source_Data!$BW$10</f>
      </c>
      <c r="BB106" s="11">
        <f>KOL_Source_Data!$BX$10</f>
      </c>
      <c r="BC106" s="18">
        <f>IF(NOT(ISNUMBER(Matching_Engine!$AY$106)),-1,Matching_Engine!$AY$106*1000+20)</f>
      </c>
      <c r="BD106" s="11">
        <f>IF(AND(ISTEXT(KOL_Source_Data!$S$10),KOL_Source_Data!$S$10&lt;&gt;"N/A"),KOL_Source_Data!$S$10,"")&amp;" | "&amp;IF(AND(ISTEXT(KOL_Source_Data!$T$10),KOL_Source_Data!$T$10&lt;&gt;"N/A"),KOL_Source_Data!$T$10,"")&amp;" | "&amp;IF(AND(ISTEXT(KOL_Source_Data!$N$10),KOL_Source_Data!$N$10&lt;&gt;"N/A"),KOL_Source_Data!$N$10,"")&amp;" | "&amp;IF(AND(ISTEXT(KOL_Source_Data!$K$10),KOL_Source_Data!$K$10&lt;&gt;"N/A"),KOL_Source_Data!$K$10,"")&amp;" | "&amp;IF(AND(ISTEXT(KOL_Source_Data!$J$10),KOL_Source_Data!$J$10&lt;&gt;"N/A"),KOL_Source_Data!$J$10,"")</f>
      </c>
      <c r="BE106" s="11">
        <f>IF(AND(ISTEXT(KOL_Source_Data!$T$10),KOL_Source_Data!$T$10&lt;&gt;"N/A"),KOL_Source_Data!$T$10,"")&amp;" | "&amp;IF(AND(ISTEXT(KOL_Source_Data!$N$10),KOL_Source_Data!$N$10&lt;&gt;"N/A"),KOL_Source_Data!$N$10,"")&amp;" | "&amp;IF(AND(ISTEXT(KOL_Source_Data!$O$10),KOL_Source_Data!$O$10&lt;&gt;"N/A"),KOL_Source_Data!$O$10,"")&amp;" | "&amp;IF(AND(ISTEXT(KOL_Source_Data!$S$10),KOL_Source_Data!$S$10&lt;&gt;"N/A"),KOL_Source_Data!$S$10,"")</f>
      </c>
      <c r="BF106" s="11">
        <f>IF(AND(ISTEXT(KOL_Source_Data!$U$10),KOL_Source_Data!$U$10&lt;&gt;"N/A"),KOL_Source_Data!$U$10,"")</f>
      </c>
      <c r="BG106" s="11">
        <f>Matching_Engine!$A$106&amp;"|"&amp;Matching_Engine!$C$106</f>
      </c>
    </row>
    <row r="107" spans="1:59" x14ac:dyDescent="0.25">
      <c r="A107" s="10" t="s">
        <v>394</v>
      </c>
      <c r="B107" s="11">
        <f>Brand_Profile!$I$6</f>
      </c>
      <c r="C107" s="11">
        <f>KOL_Source_Data!$A$11</f>
      </c>
      <c r="D107" s="11">
        <f>KOL_Source_Data!$C$11</f>
      </c>
      <c r="E107" s="11">
        <f>KOL_Source_Data!$D$11</f>
      </c>
      <c r="F107" s="11">
        <f>KOL_Source_Data!$E$11</f>
      </c>
      <c r="G107" s="11">
        <f>KOL_Source_Data!$K$11</f>
      </c>
      <c r="H107" s="12">
        <f>KOL_Source_Data!$G$11</f>
      </c>
      <c r="I107" s="14">
        <f>KOL_Source_Data!$BG$11</f>
      </c>
      <c r="J107" s="18">
        <f>IF(NOT(AND(ISTEXT(KOL_Source_Data!$K$11),KOL_Source_Data!$K$11&lt;&gt;"N/A")),Lookup_Lists!$D$150,IF(Brand_Profile!$I$7=KOL_Source_Data!$K$11,100,IFERROR(INDEX(Lookup_Lists!$B$349:$J$357,MATCH(Brand_Profile!$I$7,Lookup_Lists!$A$349:$A$357,0),MATCH(KOL_Source_Data!$K$11,Lookup_Lists!$B$348:$J$348,0)),Lookup_Lists!$D$151)))</f>
      </c>
      <c r="K107" s="18">
        <f>IF(LEN(TRIM(SUBSTITUTE(Matching_Engine!$BD$107,"|","")))=0,"N/A",IF(Brand_Profile!$I$47=0,Lookup_Lists!$D$150,ROUND((IF(Brand_Profile!$I$41="",0,IF(ISNUMBER(SEARCH(Brand_Profile!$I$41,Matching_Engine!$BD$107)),1,0))+IF(Brand_Profile!$I$42="",0,IF(ISNUMBER(SEARCH(Brand_Profile!$I$42,Matching_Engine!$BD$107)),1,0))+IF(Brand_Profile!$I$43="",0,IF(ISNUMBER(SEARCH(Brand_Profile!$I$43,Matching_Engine!$BD$107)),1,0))+IF(Brand_Profile!$I$44="",0,IF(ISNUMBER(SEARCH(Brand_Profile!$I$44,Matching_Engine!$BD$107)),1,0))+IF(Brand_Profile!$I$45="",0,IF(ISNUMBER(SEARCH(Brand_Profile!$I$45,Matching_Engine!$BD$107)),1,0))+IF(Brand_Profile!$I$46="",0,IF(ISNUMBER(SEARCH(Brand_Profile!$I$46,Matching_Engine!$BD$107)),1,0)))/Brand_Profile!$I$47*100,0)))</f>
      </c>
      <c r="L107" s="18">
        <f>IF(NOT(AND(ISTEXT(KOL_Source_Data!$U$11),KOL_Source_Data!$U$11&lt;&gt;"N/A")),"N/A",IF(Brand_Profile!$I$53=0,Lookup_Lists!$D$150,ROUND((IF(Brand_Profile!$I$48="",0,IF(ISNUMBER(SEARCH(Brand_Profile!$I$48,Matching_Engine!$BF$107)),1,0))+IF(Brand_Profile!$I$49="",0,IF(ISNUMBER(SEARCH(Brand_Profile!$I$49,Matching_Engine!$BF$107)),1,0))+IF(Brand_Profile!$I$50="",0,IF(ISNUMBER(SEARCH(Brand_Profile!$I$50,Matching_Engine!$BF$107)),1,0))+IF(Brand_Profile!$I$51="",0,IF(ISNUMBER(SEARCH(Brand_Profile!$I$51,Matching_Engine!$BF$107)),1,0))+IF(Brand_Profile!$I$52="",0,IF(ISNUMBER(SEARCH(Brand_Profile!$I$52,Matching_Engine!$BF$107)),1,0)))/Brand_Profile!$I$53*100,0)))</f>
      </c>
      <c r="M107" s="29">
        <f>IF((IF(ISNUMBER(Matching_Engine!$J$107),Lookup_Lists!$D$332,0)+IF(ISNUMBER(Matching_Engine!$K$107),Lookup_Lists!$D$333,0)+IF(ISNUMBER(Matching_Engine!$L$107),Lookup_Lists!$D$334,0))=0,"N/A",ROUND((IF(ISNUMBER(Matching_Engine!$J$107),Matching_Engine!$J$107*Lookup_Lists!$D$332,0)+IF(ISNUMBER(Matching_Engine!$K$107),Matching_Engine!$K$107*Lookup_Lists!$D$333,0)+IF(ISNUMBER(Matching_Engine!$L$107),Matching_Engine!$L$107*Lookup_Lists!$D$334,0))/(IF(ISNUMBER(Matching_Engine!$J$107),Lookup_Lists!$D$332,0)+IF(ISNUMBER(Matching_Engine!$K$107),Lookup_Lists!$D$333,0)+IF(ISNUMBER(Matching_Engine!$L$107),Lookup_Lists!$D$334,0)),0))</f>
      </c>
      <c r="N107" s="11">
        <f>IF(ISNUMBER(Matching_Engine!$M$107),1,0)</f>
      </c>
      <c r="O107" s="18">
        <f>IF(NOT(ISNUMBER(IFERROR(INDEX(KOL_Source_Data!$V$11:KOL_Source_Data!$Z$11,1,MATCH(Brand_Profile!$I$11,Lookup_Lists!$F$6:$F$10,0)),""))),"N/A",MIN(100,ROUND((IFERROR(INDEX(KOL_Source_Data!$V$11:KOL_Source_Data!$Z$11,1,MATCH(Brand_Profile!$I$11,Lookup_Lists!$F$6:$F$10,0)),"")+0.5*IF(ISNUMBER(IFERROR(INDEX(KOL_Source_Data!$V$11:KOL_Source_Data!$Z$11,1,MATCH(Brand_Profile!$I$12,Lookup_Lists!$F$6:$F$10,0)),"")),IFERROR(INDEX(KOL_Source_Data!$V$11:KOL_Source_Data!$Z$11,1,MATCH(Brand_Profile!$I$12,Lookup_Lists!$F$6:$F$10,0)),""),0))/Lookup_Lists!$D$142*100,0)))</f>
      </c>
      <c r="P107" s="18">
        <f>IF(Brand_Profile!$I$13="Any",100,IF(NOT(ISNUMBER(KOL_Source_Data!$AA$11)),"N/A",IF(Brand_Profile!$I$13="Female",MIN(100,ROUND(KOL_Source_Data!$AA$11/Lookup_Lists!$D$143*100,0)),IF(Brand_Profile!$I$13="Male",MIN(100,ROUND(IF(ISNUMBER(KOL_Source_Data!$AB$11),KOL_Source_Data!$AB$11,100-KOL_Source_Data!$AA$11)/Lookup_Lists!$D$143*100,0)),MAX(0,ROUND(100-ABS(KOL_Source_Data!$AA$11-50)*2,0))))))</f>
      </c>
      <c r="Q107" s="18">
        <f>IF((IF(ISNUMBER(IF(NOT(ISNUMBER(KOL_Source_Data!$AE$11)),"N/A",IF(KOL_Source_Data!$AD$11&lt;&gt;Brand_Profile!$I$14,Lookup_Lists!$D$151,MIN(100,ROUND(KOL_Source_Data!$AE$11/Lookup_Lists!$D$316*100,0))))),Lookup_Lists!$D$118,0)+IF(ISNUMBER(IF(NOT(ISNUMBER(KOL_Source_Data!$AM$11)),"N/A",MIN(100,ROUND((IF(KOL_Source_Data!$AG$11=Brand_Profile!$I$15,IF(ISNUMBER(KOL_Source_Data!$AH$11),KOL_Source_Data!$AH$11,0),0)+IF(KOL_Source_Data!$AI$11=Brand_Profile!$I$15,IF(ISNUMBER(KOL_Source_Data!$AJ$11),KOL_Source_Data!$AJ$11,0),0)+IF(KOL_Source_Data!$AK$11=Brand_Profile!$I$15,IF(ISNUMBER(KOL_Source_Data!$AL$11),KOL_Source_Data!$AL$11,0),0))/Lookup_Lists!$D$317*100,0)))),Lookup_Lists!$D$120,0))=0,"N/A",ROUND((IF(ISNUMBER(IF(NOT(ISNUMBER(KOL_Source_Data!$AE$11)),"N/A",IF(KOL_Source_Data!$AD$11&lt;&gt;Brand_Profile!$I$14,Lookup_Lists!$D$151,MIN(100,ROUND(KOL_Source_Data!$AE$11/Lookup_Lists!$D$316*100,0))))),IF(NOT(ISNUMBER(KOL_Source_Data!$AE$11)),"N/A",IF(KOL_Source_Data!$AD$11&lt;&gt;Brand_Profile!$I$14,Lookup_Lists!$D$151,MIN(100,ROUND(KOL_Source_Data!$AE$11/Lookup_Lists!$D$316*100,0))))*Lookup_Lists!$D$118,0)+IF(ISNUMBER(IF(NOT(ISNUMBER(KOL_Source_Data!$AM$11)),"N/A",MIN(100,ROUND((IF(KOL_Source_Data!$AG$11=Brand_Profile!$I$15,IF(ISNUMBER(KOL_Source_Data!$AH$11),KOL_Source_Data!$AH$11,0),0)+IF(KOL_Source_Data!$AI$11=Brand_Profile!$I$15,IF(ISNUMBER(KOL_Source_Data!$AJ$11),KOL_Source_Data!$AJ$11,0),0)+IF(KOL_Source_Data!$AK$11=Brand_Profile!$I$15,IF(ISNUMBER(KOL_Source_Data!$AL$11),KOL_Source_Data!$AL$11,0),0))/Lookup_Lists!$D$317*100,0)))),IF(NOT(ISNUMBER(KOL_Source_Data!$AM$11)),"N/A",MIN(100,ROUND((IF(KOL_Source_Data!$AG$11=Brand_Profile!$I$15,IF(ISNUMBER(KOL_Source_Data!$AH$11),KOL_Source_Data!$AH$11,0),0)+IF(KOL_Source_Data!$AI$11=Brand_Profile!$I$15,IF(ISNUMBER(KOL_Source_Data!$AJ$11),KOL_Source_Data!$AJ$11,0),0)+IF(KOL_Source_Data!$AK$11=Brand_Profile!$I$15,IF(ISNUMBER(KOL_Source_Data!$AL$11),KOL_Source_Data!$AL$11,0),0))/Lookup_Lists!$D$317*100,0)))*Lookup_Lists!$D$120,0))/(IF(ISNUMBER(IF(NOT(ISNUMBER(KOL_Source_Data!$AE$11)),"N/A",IF(KOL_Source_Data!$AD$11&lt;&gt;Brand_Profile!$I$14,Lookup_Lists!$D$151,MIN(100,ROUND(KOL_Source_Data!$AE$11/Lookup_Lists!$D$316*100,0))))),Lookup_Lists!$D$118,0)+IF(ISNUMBER(IF(NOT(ISNUMBER(KOL_Source_Data!$AM$11)),"N/A",MIN(100,ROUND((IF(KOL_Source_Data!$AG$11=Brand_Profile!$I$15,IF(ISNUMBER(KOL_Source_Data!$AH$11),KOL_Source_Data!$AH$11,0),0)+IF(KOL_Source_Data!$AI$11=Brand_Profile!$I$15,IF(ISNUMBER(KOL_Source_Data!$AJ$11),KOL_Source_Data!$AJ$11,0),0)+IF(KOL_Source_Data!$AK$11=Brand_Profile!$I$15,IF(ISNUMBER(KOL_Source_Data!$AL$11),KOL_Source_Data!$AL$11,0),0))/Lookup_Lists!$D$317*100,0)))),Lookup_Lists!$D$120,0)),0))</f>
      </c>
      <c r="R107" s="18">
        <f>IF(NOT(ISNUMBER(KOL_Source_Data!$AN$11)),"N/A",MIN(100,ROUND((IF(ISNUMBER(KOL_Source_Data!$AO$11),KOL_Source_Data!$AO$11*Brand_Profile!$I$17,0)+IF(ISNUMBER(KOL_Source_Data!$AP$11),KOL_Source_Data!$AP$11*Brand_Profile!$I$18,0)+IF(ISNUMBER(KOL_Source_Data!$AQ$11),KOL_Source_Data!$AQ$11*Brand_Profile!$I$19,0)+IF(ISNUMBER(KOL_Source_Data!$AR$11),KOL_Source_Data!$AR$11*Brand_Profile!$I$20,0)+IF(ISNUMBER(KOL_Source_Data!$AS$11),KOL_Source_Data!$AS$11*Brand_Profile!$I$21,0)+IF(ISNUMBER(KOL_Source_Data!$AT$11),KOL_Source_Data!$AT$11*Brand_Profile!$I$22,0)+IF(ISNUMBER(KOL_Source_Data!$AU$11),KOL_Source_Data!$AU$11*Brand_Profile!$I$23,0)+IF(ISNUMBER(KOL_Source_Data!$AV$11),KOL_Source_Data!$AV$11*Brand_Profile!$I$24,0)+IF(ISNUMBER(KOL_Source_Data!$AW$11),KOL_Source_Data!$AW$11*Brand_Profile!$I$25,0)+IF(ISNUMBER(KOL_Source_Data!$AX$11),KOL_Source_Data!$AX$11*Brand_Profile!$I$26,0)+IF(ISNUMBER(KOL_Source_Data!$AY$11),KOL_Source_Data!$AY$11*Brand_Profile!$I$27,0)+IF(ISNUMBER(KOL_Source_Data!$AZ$11),KOL_Source_Data!$AZ$11*Brand_Profile!$I$28,0)+IF(ISNUMBER(KOL_Source_Data!$BA$11),KOL_Source_Data!$BA$11*Brand_Profile!$I$29,0)+IF(ISNUMBER(KOL_Source_Data!$BB$11),KOL_Source_Data!$BB$11*Brand_Profile!$I$30,0)+IF(ISNUMBER(KOL_Source_Data!$BC$11),KOL_Source_Data!$BC$11*Brand_Profile!$I$31,0)+IF(ISNUMBER(KOL_Source_Data!$BD$11),KOL_Source_Data!$BD$11*Brand_Profile!$I$32,0)+IF(ISNUMBER(KOL_Source_Data!$BE$11),KOL_Source_Data!$BE$11*Brand_Profile!$I$33,0)+IF(ISNUMBER(KOL_Source_Data!$BF$11),KOL_Source_Data!$BF$11*Brand_Profile!$I$34,0))/Lookup_Lists!$D$318*100,0)))</f>
      </c>
      <c r="S107" s="29">
        <f>IF((IF(ISNUMBER(Matching_Engine!$O$107),Lookup_Lists!$D$113,0)+IF(ISNUMBER(Matching_Engine!$P$107),Lookup_Lists!$D$114,0)+IF(ISNUMBER(Matching_Engine!$Q$107),Lookup_Lists!$D$115,0)+IF(ISNUMBER(Matching_Engine!$R$107),Lookup_Lists!$D$116,0))=0,"N/A",ROUND((IF(ISNUMBER(Matching_Engine!$O$107),Matching_Engine!$O$107*Lookup_Lists!$D$113,0)+IF(ISNUMBER(Matching_Engine!$P$107),Matching_Engine!$P$107*Lookup_Lists!$D$114,0)+IF(ISNUMBER(Matching_Engine!$Q$107),Matching_Engine!$Q$107*Lookup_Lists!$D$115,0)+IF(ISNUMBER(Matching_Engine!$R$107),Matching_Engine!$R$107*Lookup_Lists!$D$116,0))/(IF(ISNUMBER(Matching_Engine!$O$107),Lookup_Lists!$D$113,0)+IF(ISNUMBER(Matching_Engine!$P$107),Lookup_Lists!$D$114,0)+IF(ISNUMBER(Matching_Engine!$Q$107),Lookup_Lists!$D$115,0)+IF(ISNUMBER(Matching_Engine!$R$107),Lookup_Lists!$D$116,0)),0))</f>
      </c>
      <c r="T107" s="11">
        <f>IF(ISNUMBER(Matching_Engine!$S$107),1,0)</f>
      </c>
      <c r="U107" s="18">
        <f>IF(NOT(AND(ISTEXT(KOL_Source_Data!$M$11),KOL_Source_Data!$M$11&lt;&gt;"N/A")),Lookup_Lists!$D$150,IF(Brand_Profile!$I$7=KOL_Source_Data!$M$11,100,IFERROR(INDEX(Lookup_Lists!$B$349:$J$357,MATCH(Brand_Profile!$I$7,Lookup_Lists!$A$349:$A$357,0),MATCH(KOL_Source_Data!$M$11,Lookup_Lists!$B$348:$J$348,0)),Lookup_Lists!$D$151)))</f>
      </c>
      <c r="V107" s="18">
        <f>IF(NOT(AND(ISTEXT(KOL_Source_Data!$P$11),KOL_Source_Data!$P$11&lt;&gt;"N/A")),"N/A",IFERROR(INDEX(Lookup_Lists!$B$349:$J$357,MATCH(Brand_Profile!$I$7,Lookup_Lists!$A$349:$A$357,0),MATCH(KOL_Source_Data!$P$11,Lookup_Lists!$B$348:$J$348,0)),Lookup_Lists!$D$151))</f>
      </c>
      <c r="W107" s="18">
        <f>IF(LEN(TRIM(SUBSTITUTE(Matching_Engine!$BE$107,"|","")))=0,"N/A",IF(Brand_Profile!$I$60=0,Lookup_Lists!$D$150,ROUND((IF(Brand_Profile!$I$54="",0,IF(ISNUMBER(SEARCH(Brand_Profile!$I$54,Matching_Engine!$BE$107)),1,0))+IF(Brand_Profile!$I$55="",0,IF(ISNUMBER(SEARCH(Brand_Profile!$I$55,Matching_Engine!$BE$107)),1,0))+IF(Brand_Profile!$I$56="",0,IF(ISNUMBER(SEARCH(Brand_Profile!$I$56,Matching_Engine!$BE$107)),1,0))+IF(Brand_Profile!$I$57="",0,IF(ISNUMBER(SEARCH(Brand_Profile!$I$57,Matching_Engine!$BE$107)),1,0))+IF(Brand_Profile!$I$58="",0,IF(ISNUMBER(SEARCH(Brand_Profile!$I$58,Matching_Engine!$BE$107)),1,0))+IF(Brand_Profile!$I$59="",0,IF(ISNUMBER(SEARCH(Brand_Profile!$I$59,Matching_Engine!$BE$107)),1,0)))/Brand_Profile!$I$60*100,0)))</f>
      </c>
      <c r="X107" s="18">
        <f>IF(NOT(AND(ISTEXT(KOL_Source_Data!$Q$11),KOL_Source_Data!$Q$11&lt;&gt;"N/A")),"N/A",Lookup_Lists!$D$150)</f>
      </c>
      <c r="Y107" s="29">
        <f>IF((IF(ISNUMBER(Matching_Engine!$U$107),Lookup_Lists!$D$335,0)+IF(ISNUMBER(Matching_Engine!$V$107),Lookup_Lists!$D$122,0)+IF(ISNUMBER(Matching_Engine!$W$107),Lookup_Lists!$D$336,0)+IF(ISNUMBER(Matching_Engine!$X$107),Lookup_Lists!$D$124,0))=0,"N/A",ROUND((IF(ISNUMBER(Matching_Engine!$U$107),Matching_Engine!$U$107*Lookup_Lists!$D$335,0)+IF(ISNUMBER(Matching_Engine!$V$107),Matching_Engine!$V$107*Lookup_Lists!$D$122,0)+IF(ISNUMBER(Matching_Engine!$W$107),Matching_Engine!$W$107*Lookup_Lists!$D$336,0)+IF(ISNUMBER(Matching_Engine!$X$107),Matching_Engine!$X$107*Lookup_Lists!$D$124,0))/(IF(ISNUMBER(Matching_Engine!$U$107),Lookup_Lists!$D$335,0)+IF(ISNUMBER(Matching_Engine!$V$107),Lookup_Lists!$D$122,0)+IF(ISNUMBER(Matching_Engine!$W$107),Lookup_Lists!$D$336,0)+IF(ISNUMBER(Matching_Engine!$X$107),Lookup_Lists!$D$124,0)),0))</f>
      </c>
      <c r="Z107" s="11">
        <f>IF(ISNUMBER(Matching_Engine!$Y$107),1,0)</f>
      </c>
      <c r="AA107" s="18">
        <f>IF(NOT(AND(ISTEXT(KOL_Source_Data!$Q$11),KOL_Source_Data!$Q$11&lt;&gt;"N/A")),"N/A",Lookup_Lists!$D$150)</f>
      </c>
      <c r="AB107" s="18">
        <f>IF(NOT(AND(ISTEXT(KOL_Source_Data!$Q$11),KOL_Source_Data!$Q$11&lt;&gt;"N/A")),"N/A",Lookup_Lists!$D$150)</f>
      </c>
      <c r="AC107" s="18">
        <f>"N/A"</f>
      </c>
      <c r="AD107" s="18">
        <f>IF(NOT(AND(ISTEXT(KOL_Source_Data!$Q$11),KOL_Source_Data!$Q$11&lt;&gt;"N/A")),"N/A",Lookup_Lists!$D$150)</f>
      </c>
      <c r="AE107" s="29">
        <f>IF((IF(ISNUMBER(Matching_Engine!$AA$107),Lookup_Lists!$D$125,0)+IF(ISNUMBER(Matching_Engine!$AB$107),Lookup_Lists!$D$126,0)+IF(ISNUMBER(Matching_Engine!$AC$107),Lookup_Lists!$D$127,0)+IF(ISNUMBER(Matching_Engine!$AD$107),Lookup_Lists!$D$128,0))=0,"N/A",ROUND((IF(ISNUMBER(Matching_Engine!$AA$107),Matching_Engine!$AA$107*Lookup_Lists!$D$125,0)+IF(ISNUMBER(Matching_Engine!$AB$107),Matching_Engine!$AB$107*Lookup_Lists!$D$126,0)+IF(ISNUMBER(Matching_Engine!$AC$107),Matching_Engine!$AC$107*Lookup_Lists!$D$127,0)+IF(ISNUMBER(Matching_Engine!$AD$107),Matching_Engine!$AD$107*Lookup_Lists!$D$128,0))/(IF(ISNUMBER(Matching_Engine!$AA$107),Lookup_Lists!$D$125,0)+IF(ISNUMBER(Matching_Engine!$AB$107),Lookup_Lists!$D$126,0)+IF(ISNUMBER(Matching_Engine!$AC$107),Lookup_Lists!$D$127,0)+IF(ISNUMBER(Matching_Engine!$AD$107),Lookup_Lists!$D$128,0)),0))</f>
      </c>
      <c r="AF107" s="11">
        <f>IF(ISNUMBER(Matching_Engine!$AE$107),1,0)</f>
      </c>
      <c r="AG107" s="18">
        <f>IF(NOT(ISNUMBER(KOL_Source_Data!$BG$11)),"N/A",MIN(100,ROUND(KOL_Source_Data!$BG$11/IFERROR(INDEX(Lookup_Lists!$B$340:$B$344,MATCH(KOL_Source_Data!$H$11,Lookup_Lists!$A$340:$A$344,0)),Lookup_Lists!$D$141)*100,0)))</f>
      </c>
      <c r="AH107" s="18">
        <f>IF(NOT(ISNUMBER(KOL_Source_Data!$BS$11)),"N/A",MIN(100,MAX(0,KOL_Source_Data!$BS$11)))</f>
      </c>
      <c r="AI107" s="18">
        <f>IF(OR(NOT(ISNUMBER(KOL_Source_Data!$BM$11)),NOT(ISNUMBER(KOL_Source_Data!$BN$11)),KOL_Source_Data!$BN$11&lt;Lookup_Lists!$D$320),"N/A",MIN(100,ROUND(KOL_Source_Data!$BM$11/Lookup_Lists!$D$319*100,0)))</f>
      </c>
      <c r="AJ107" s="18">
        <f>IF(NOT(ISNUMBER(KOL_Source_Data!$BR$11)),"N/A",KOL_Source_Data!$BR$11)</f>
      </c>
      <c r="AK107" s="18">
        <f>IF(NOT(ISNUMBER(KOL_Source_Data!$BK$11)),"N/A",MIN(100,ROUND(KOL_Source_Data!$BK$11/Lookup_Lists!$D$321*100,0)))</f>
      </c>
      <c r="AL107" s="18">
        <f>IF(NOT(ISNUMBER(KOL_Source_Data!$BP$11)),"N/A",MIN(100,MAX(0,ROUND((KOL_Source_Data!$BP$11+2)/(Lookup_Lists!$D$145+2)*100,0))))</f>
      </c>
      <c r="AM107" s="29">
        <f>IF((IF(ISNUMBER(Matching_Engine!$AG$107),Lookup_Lists!$D$129,0)+IF(ISNUMBER(Matching_Engine!$AH$107),Lookup_Lists!$D$130,0)+IF(ISNUMBER(Matching_Engine!$AI$107),Lookup_Lists!$D$131,0)+IF(ISNUMBER(Matching_Engine!$AJ$107),Lookup_Lists!$D$132,0)+IF(ISNUMBER(Matching_Engine!$AK$107),Lookup_Lists!$D$133,0)+IF(ISNUMBER(Matching_Engine!$AL$107),Lookup_Lists!$D$134,0))=0,"N/A",ROUND((IF(ISNUMBER(Matching_Engine!$AG$107),Matching_Engine!$AG$107*Lookup_Lists!$D$129,0)+IF(ISNUMBER(Matching_Engine!$AH$107),Matching_Engine!$AH$107*Lookup_Lists!$D$130,0)+IF(ISNUMBER(Matching_Engine!$AI$107),Matching_Engine!$AI$107*Lookup_Lists!$D$131,0)+IF(ISNUMBER(Matching_Engine!$AJ$107),Matching_Engine!$AJ$107*Lookup_Lists!$D$132,0)+IF(ISNUMBER(Matching_Engine!$AK$107),Matching_Engine!$AK$107*Lookup_Lists!$D$133,0)+IF(ISNUMBER(Matching_Engine!$AL$107),Matching_Engine!$AL$107*Lookup_Lists!$D$134,0))/(IF(ISNUMBER(Matching_Engine!$AG$107),Lookup_Lists!$D$129,0)+IF(ISNUMBER(Matching_Engine!$AH$107),Lookup_Lists!$D$130,0)+IF(ISNUMBER(Matching_Engine!$AI$107),Lookup_Lists!$D$131,0)+IF(ISNUMBER(Matching_Engine!$AJ$107),Lookup_Lists!$D$132,0)+IF(ISNUMBER(Matching_Engine!$AK$107),Lookup_Lists!$D$133,0)+IF(ISNUMBER(Matching_Engine!$AL$107),Lookup_Lists!$D$134,0)),0))</f>
      </c>
      <c r="AN107" s="11">
        <f>IF(ISNUMBER(Matching_Engine!$AM$107),1,0)</f>
      </c>
      <c r="AO107" s="18">
        <f>IF(NOT(ISNUMBER(KOL_Source_Data!$BT$11)),"N/A",MIN(100,MAX(0,KOL_Source_Data!$BT$11)))</f>
      </c>
      <c r="AP107" s="18">
        <f>IF(NOT(ISNUMBER(KOL_Source_Data!$BU$11)),"N/A",MIN(100,MAX(0,KOL_Source_Data!$BU$11)))</f>
      </c>
      <c r="AQ107" s="18">
        <f>IF(KOL_Source_Data!$I$11="Yes",Lookup_Lists!$D$326,IF(KOL_Source_Data!$I$11="No",Lookup_Lists!$D$327,"N/A"))</f>
      </c>
      <c r="AR107" s="18">
        <f>IF(NOT(ISNUMBER(KOL_Source_Data!$BQ$11)),"N/A",MAX(0,ROUND(100-KOL_Source_Data!$BQ$11/Lookup_Lists!$D$328*100,0)))</f>
      </c>
      <c r="AS107" s="18">
        <f>IF(NOT(AND(ISTEXT(KOL_Source_Data!$BV$11),KOL_Source_Data!$BV$11&lt;&gt;"N/A")),"N/A",KOL_Source_Data!$BV$11)</f>
      </c>
      <c r="AT107" s="29">
        <f>IF((IF(ISNUMBER(Matching_Engine!$AO$107),Lookup_Lists!$D$322,0)+IF(ISNUMBER(Matching_Engine!$AP$107),Lookup_Lists!$D$323,0)+IF(ISNUMBER(Matching_Engine!$AQ$107),Lookup_Lists!$D$324,0)+IF(ISNUMBER(Matching_Engine!$AR$107),Lookup_Lists!$D$325,0))=0,"N/A",ROUND((IF(ISNUMBER(Matching_Engine!$AO$107),Matching_Engine!$AO$107*Lookup_Lists!$D$322,0)+IF(ISNUMBER(Matching_Engine!$AP$107),Matching_Engine!$AP$107*Lookup_Lists!$D$323,0)+IF(ISNUMBER(Matching_Engine!$AQ$107),Matching_Engine!$AQ$107*Lookup_Lists!$D$324,0)+IF(ISNUMBER(Matching_Engine!$AR$107),Matching_Engine!$AR$107*Lookup_Lists!$D$325,0))/(IF(ISNUMBER(Matching_Engine!$AO$107),Lookup_Lists!$D$322,0)+IF(ISNUMBER(Matching_Engine!$AP$107),Lookup_Lists!$D$323,0)+IF(ISNUMBER(Matching_Engine!$AQ$107),Lookup_Lists!$D$324,0)+IF(ISNUMBER(Matching_Engine!$AR$107),Lookup_Lists!$D$325,0)),0))</f>
      </c>
      <c r="AU107" s="11">
        <f>IF(ISNUMBER(Matching_Engine!$AT$107),1,0)</f>
      </c>
      <c r="AV107" s="11">
        <f>IF(NOT(ISNUMBER(Matching_Engine!$AT$107)),"Not Screened",IF(Matching_Engine!$AT$107&gt;=Lookup_Lists!$D$329,"Low Risk",IF(Matching_Engine!$AT$107&gt;=Lookup_Lists!$D$330,"Moderate Risk",IF(Matching_Engine!$AT$107&gt;=Lookup_Lists!$D$331,"Elevated Risk","High Risk"))))</f>
      </c>
      <c r="AW107" s="11">
        <f>IF(NOT(ISNUMBER(Matching_Engine!$AT$107)),"No integrity signal: no audience-analysis row for this account.","Integrity screen only — no content-risk reading exists (comments_analysis: 0 rows). "&amp;IF(ISNUMBER(Matching_Engine!$AO$107),"Authenticity "&amp;Matching_Engine!$AO$107&amp;". ","Authenticity N/A. ")&amp;IF(ISNUMBER(Matching_Engine!$AP$107),"Follower quality "&amp;Matching_Engine!$AP$107&amp;". ","Follower quality N/A. ")&amp;IF(KOL_Source_Data!$I$11="Yes","Platform-verified.","Not platform-verified."))</f>
      </c>
      <c r="AX107" s="18">
        <f>Matching_Engine!$N$107*Lookup_Lists!$D$104+Matching_Engine!$T$107*Lookup_Lists!$D$105+Matching_Engine!$Z$107*Lookup_Lists!$D$106+Matching_Engine!$AF$107*Lookup_Lists!$D$107+Matching_Engine!$AN$107*Lookup_Lists!$D$108+Matching_Engine!$AU$107*Lookup_Lists!$D$109</f>
      </c>
      <c r="AY107" s="30">
        <f>IF(Matching_Engine!$AX$107=0,"N/A",ROUND((IF(Matching_Engine!$N$107=1,Matching_Engine!$M$107*Lookup_Lists!$D$104,0)+IF(Matching_Engine!$T$107=1,Matching_Engine!$S$107*Lookup_Lists!$D$105,0)+IF(Matching_Engine!$Z$107=1,Matching_Engine!$Y$107*Lookup_Lists!$D$106,0)+IF(Matching_Engine!$AF$107=1,Matching_Engine!$AE$107*Lookup_Lists!$D$107,0)+IF(Matching_Engine!$AN$107=1,Matching_Engine!$AM$107*Lookup_Lists!$D$108,0)+IF(Matching_Engine!$AU$107=1,Matching_Engine!$AT$107*Lookup_Lists!$D$109,0))/Matching_Engine!$AX$107,0))</f>
      </c>
      <c r="AZ107" s="11">
        <f>IF(NOT(ISNUMBER(Matching_Engine!$AY$107)),"Not Scored",IF(Matching_Engine!$AY$107&gt;=Lookup_Lists!$D$152,"Excellent Match",IF(Matching_Engine!$AY$107&gt;=Lookup_Lists!$D$153,"Strong Match",IF(Matching_Engine!$AY$107&gt;=Lookup_Lists!$D$154,"Good Match",IF(Matching_Engine!$AY$107&gt;=Lookup_Lists!$D$155,"Moderate Match","Low Match")))))</f>
      </c>
      <c r="BA107" s="18">
        <f>KOL_Source_Data!$BW$11</f>
      </c>
      <c r="BB107" s="11">
        <f>KOL_Source_Data!$BX$11</f>
      </c>
      <c r="BC107" s="18">
        <f>IF(NOT(ISNUMBER(Matching_Engine!$AY$107)),-1,Matching_Engine!$AY$107*1000+19)</f>
      </c>
      <c r="BD107" s="11">
        <f>IF(AND(ISTEXT(KOL_Source_Data!$S$11),KOL_Source_Data!$S$11&lt;&gt;"N/A"),KOL_Source_Data!$S$11,"")&amp;" | "&amp;IF(AND(ISTEXT(KOL_Source_Data!$T$11),KOL_Source_Data!$T$11&lt;&gt;"N/A"),KOL_Source_Data!$T$11,"")&amp;" | "&amp;IF(AND(ISTEXT(KOL_Source_Data!$N$11),KOL_Source_Data!$N$11&lt;&gt;"N/A"),KOL_Source_Data!$N$11,"")&amp;" | "&amp;IF(AND(ISTEXT(KOL_Source_Data!$K$11),KOL_Source_Data!$K$11&lt;&gt;"N/A"),KOL_Source_Data!$K$11,"")&amp;" | "&amp;IF(AND(ISTEXT(KOL_Source_Data!$J$11),KOL_Source_Data!$J$11&lt;&gt;"N/A"),KOL_Source_Data!$J$11,"")</f>
      </c>
      <c r="BE107" s="11">
        <f>IF(AND(ISTEXT(KOL_Source_Data!$T$11),KOL_Source_Data!$T$11&lt;&gt;"N/A"),KOL_Source_Data!$T$11,"")&amp;" | "&amp;IF(AND(ISTEXT(KOL_Source_Data!$N$11),KOL_Source_Data!$N$11&lt;&gt;"N/A"),KOL_Source_Data!$N$11,"")&amp;" | "&amp;IF(AND(ISTEXT(KOL_Source_Data!$O$11),KOL_Source_Data!$O$11&lt;&gt;"N/A"),KOL_Source_Data!$O$11,"")&amp;" | "&amp;IF(AND(ISTEXT(KOL_Source_Data!$S$11),KOL_Source_Data!$S$11&lt;&gt;"N/A"),KOL_Source_Data!$S$11,"")</f>
      </c>
      <c r="BF107" s="11">
        <f>IF(AND(ISTEXT(KOL_Source_Data!$U$11),KOL_Source_Data!$U$11&lt;&gt;"N/A"),KOL_Source_Data!$U$11,"")</f>
      </c>
      <c r="BG107" s="11">
        <f>Matching_Engine!$A$107&amp;"|"&amp;Matching_Engine!$C$107</f>
      </c>
    </row>
    <row r="108" spans="1:59" x14ac:dyDescent="0.25">
      <c r="A108" s="10" t="s">
        <v>394</v>
      </c>
      <c r="B108" s="11">
        <f>Brand_Profile!$I$6</f>
      </c>
      <c r="C108" s="11">
        <f>KOL_Source_Data!$A$12</f>
      </c>
      <c r="D108" s="11">
        <f>KOL_Source_Data!$C$12</f>
      </c>
      <c r="E108" s="11">
        <f>KOL_Source_Data!$D$12</f>
      </c>
      <c r="F108" s="11">
        <f>KOL_Source_Data!$E$12</f>
      </c>
      <c r="G108" s="11">
        <f>KOL_Source_Data!$K$12</f>
      </c>
      <c r="H108" s="12">
        <f>KOL_Source_Data!$G$12</f>
      </c>
      <c r="I108" s="14">
        <f>KOL_Source_Data!$BG$12</f>
      </c>
      <c r="J108" s="18">
        <f>IF(NOT(AND(ISTEXT(KOL_Source_Data!$K$12),KOL_Source_Data!$K$12&lt;&gt;"N/A")),Lookup_Lists!$D$150,IF(Brand_Profile!$I$7=KOL_Source_Data!$K$12,100,IFERROR(INDEX(Lookup_Lists!$B$349:$J$357,MATCH(Brand_Profile!$I$7,Lookup_Lists!$A$349:$A$357,0),MATCH(KOL_Source_Data!$K$12,Lookup_Lists!$B$348:$J$348,0)),Lookup_Lists!$D$151)))</f>
      </c>
      <c r="K108" s="18">
        <f>IF(LEN(TRIM(SUBSTITUTE(Matching_Engine!$BD$108,"|","")))=0,"N/A",IF(Brand_Profile!$I$47=0,Lookup_Lists!$D$150,ROUND((IF(Brand_Profile!$I$41="",0,IF(ISNUMBER(SEARCH(Brand_Profile!$I$41,Matching_Engine!$BD$108)),1,0))+IF(Brand_Profile!$I$42="",0,IF(ISNUMBER(SEARCH(Brand_Profile!$I$42,Matching_Engine!$BD$108)),1,0))+IF(Brand_Profile!$I$43="",0,IF(ISNUMBER(SEARCH(Brand_Profile!$I$43,Matching_Engine!$BD$108)),1,0))+IF(Brand_Profile!$I$44="",0,IF(ISNUMBER(SEARCH(Brand_Profile!$I$44,Matching_Engine!$BD$108)),1,0))+IF(Brand_Profile!$I$45="",0,IF(ISNUMBER(SEARCH(Brand_Profile!$I$45,Matching_Engine!$BD$108)),1,0))+IF(Brand_Profile!$I$46="",0,IF(ISNUMBER(SEARCH(Brand_Profile!$I$46,Matching_Engine!$BD$108)),1,0)))/Brand_Profile!$I$47*100,0)))</f>
      </c>
      <c r="L108" s="18">
        <f>IF(NOT(AND(ISTEXT(KOL_Source_Data!$U$12),KOL_Source_Data!$U$12&lt;&gt;"N/A")),"N/A",IF(Brand_Profile!$I$53=0,Lookup_Lists!$D$150,ROUND((IF(Brand_Profile!$I$48="",0,IF(ISNUMBER(SEARCH(Brand_Profile!$I$48,Matching_Engine!$BF$108)),1,0))+IF(Brand_Profile!$I$49="",0,IF(ISNUMBER(SEARCH(Brand_Profile!$I$49,Matching_Engine!$BF$108)),1,0))+IF(Brand_Profile!$I$50="",0,IF(ISNUMBER(SEARCH(Brand_Profile!$I$50,Matching_Engine!$BF$108)),1,0))+IF(Brand_Profile!$I$51="",0,IF(ISNUMBER(SEARCH(Brand_Profile!$I$51,Matching_Engine!$BF$108)),1,0))+IF(Brand_Profile!$I$52="",0,IF(ISNUMBER(SEARCH(Brand_Profile!$I$52,Matching_Engine!$BF$108)),1,0)))/Brand_Profile!$I$53*100,0)))</f>
      </c>
      <c r="M108" s="29">
        <f>IF((IF(ISNUMBER(Matching_Engine!$J$108),Lookup_Lists!$D$332,0)+IF(ISNUMBER(Matching_Engine!$K$108),Lookup_Lists!$D$333,0)+IF(ISNUMBER(Matching_Engine!$L$108),Lookup_Lists!$D$334,0))=0,"N/A",ROUND((IF(ISNUMBER(Matching_Engine!$J$108),Matching_Engine!$J$108*Lookup_Lists!$D$332,0)+IF(ISNUMBER(Matching_Engine!$K$108),Matching_Engine!$K$108*Lookup_Lists!$D$333,0)+IF(ISNUMBER(Matching_Engine!$L$108),Matching_Engine!$L$108*Lookup_Lists!$D$334,0))/(IF(ISNUMBER(Matching_Engine!$J$108),Lookup_Lists!$D$332,0)+IF(ISNUMBER(Matching_Engine!$K$108),Lookup_Lists!$D$333,0)+IF(ISNUMBER(Matching_Engine!$L$108),Lookup_Lists!$D$334,0)),0))</f>
      </c>
      <c r="N108" s="11">
        <f>IF(ISNUMBER(Matching_Engine!$M$108),1,0)</f>
      </c>
      <c r="O108" s="18">
        <f>IF(NOT(ISNUMBER(IFERROR(INDEX(KOL_Source_Data!$V$12:KOL_Source_Data!$Z$12,1,MATCH(Brand_Profile!$I$11,Lookup_Lists!$F$6:$F$10,0)),""))),"N/A",MIN(100,ROUND((IFERROR(INDEX(KOL_Source_Data!$V$12:KOL_Source_Data!$Z$12,1,MATCH(Brand_Profile!$I$11,Lookup_Lists!$F$6:$F$10,0)),"")+0.5*IF(ISNUMBER(IFERROR(INDEX(KOL_Source_Data!$V$12:KOL_Source_Data!$Z$12,1,MATCH(Brand_Profile!$I$12,Lookup_Lists!$F$6:$F$10,0)),"")),IFERROR(INDEX(KOL_Source_Data!$V$12:KOL_Source_Data!$Z$12,1,MATCH(Brand_Profile!$I$12,Lookup_Lists!$F$6:$F$10,0)),""),0))/Lookup_Lists!$D$142*100,0)))</f>
      </c>
      <c r="P108" s="18">
        <f>IF(Brand_Profile!$I$13="Any",100,IF(NOT(ISNUMBER(KOL_Source_Data!$AA$12)),"N/A",IF(Brand_Profile!$I$13="Female",MIN(100,ROUND(KOL_Source_Data!$AA$12/Lookup_Lists!$D$143*100,0)),IF(Brand_Profile!$I$13="Male",MIN(100,ROUND(IF(ISNUMBER(KOL_Source_Data!$AB$12),KOL_Source_Data!$AB$12,100-KOL_Source_Data!$AA$12)/Lookup_Lists!$D$143*100,0)),MAX(0,ROUND(100-ABS(KOL_Source_Data!$AA$12-50)*2,0))))))</f>
      </c>
      <c r="Q108" s="18">
        <f>IF((IF(ISNUMBER(IF(NOT(ISNUMBER(KOL_Source_Data!$AE$12)),"N/A",IF(KOL_Source_Data!$AD$12&lt;&gt;Brand_Profile!$I$14,Lookup_Lists!$D$151,MIN(100,ROUND(KOL_Source_Data!$AE$12/Lookup_Lists!$D$316*100,0))))),Lookup_Lists!$D$118,0)+IF(ISNUMBER(IF(NOT(ISNUMBER(KOL_Source_Data!$AM$12)),"N/A",MIN(100,ROUND((IF(KOL_Source_Data!$AG$12=Brand_Profile!$I$15,IF(ISNUMBER(KOL_Source_Data!$AH$12),KOL_Source_Data!$AH$12,0),0)+IF(KOL_Source_Data!$AI$12=Brand_Profile!$I$15,IF(ISNUMBER(KOL_Source_Data!$AJ$12),KOL_Source_Data!$AJ$12,0),0)+IF(KOL_Source_Data!$AK$12=Brand_Profile!$I$15,IF(ISNUMBER(KOL_Source_Data!$AL$12),KOL_Source_Data!$AL$12,0),0))/Lookup_Lists!$D$317*100,0)))),Lookup_Lists!$D$120,0))=0,"N/A",ROUND((IF(ISNUMBER(IF(NOT(ISNUMBER(KOL_Source_Data!$AE$12)),"N/A",IF(KOL_Source_Data!$AD$12&lt;&gt;Brand_Profile!$I$14,Lookup_Lists!$D$151,MIN(100,ROUND(KOL_Source_Data!$AE$12/Lookup_Lists!$D$316*100,0))))),IF(NOT(ISNUMBER(KOL_Source_Data!$AE$12)),"N/A",IF(KOL_Source_Data!$AD$12&lt;&gt;Brand_Profile!$I$14,Lookup_Lists!$D$151,MIN(100,ROUND(KOL_Source_Data!$AE$12/Lookup_Lists!$D$316*100,0))))*Lookup_Lists!$D$118,0)+IF(ISNUMBER(IF(NOT(ISNUMBER(KOL_Source_Data!$AM$12)),"N/A",MIN(100,ROUND((IF(KOL_Source_Data!$AG$12=Brand_Profile!$I$15,IF(ISNUMBER(KOL_Source_Data!$AH$12),KOL_Source_Data!$AH$12,0),0)+IF(KOL_Source_Data!$AI$12=Brand_Profile!$I$15,IF(ISNUMBER(KOL_Source_Data!$AJ$12),KOL_Source_Data!$AJ$12,0),0)+IF(KOL_Source_Data!$AK$12=Brand_Profile!$I$15,IF(ISNUMBER(KOL_Source_Data!$AL$12),KOL_Source_Data!$AL$12,0),0))/Lookup_Lists!$D$317*100,0)))),IF(NOT(ISNUMBER(KOL_Source_Data!$AM$12)),"N/A",MIN(100,ROUND((IF(KOL_Source_Data!$AG$12=Brand_Profile!$I$15,IF(ISNUMBER(KOL_Source_Data!$AH$12),KOL_Source_Data!$AH$12,0),0)+IF(KOL_Source_Data!$AI$12=Brand_Profile!$I$15,IF(ISNUMBER(KOL_Source_Data!$AJ$12),KOL_Source_Data!$AJ$12,0),0)+IF(KOL_Source_Data!$AK$12=Brand_Profile!$I$15,IF(ISNUMBER(KOL_Source_Data!$AL$12),KOL_Source_Data!$AL$12,0),0))/Lookup_Lists!$D$317*100,0)))*Lookup_Lists!$D$120,0))/(IF(ISNUMBER(IF(NOT(ISNUMBER(KOL_Source_Data!$AE$12)),"N/A",IF(KOL_Source_Data!$AD$12&lt;&gt;Brand_Profile!$I$14,Lookup_Lists!$D$151,MIN(100,ROUND(KOL_Source_Data!$AE$12/Lookup_Lists!$D$316*100,0))))),Lookup_Lists!$D$118,0)+IF(ISNUMBER(IF(NOT(ISNUMBER(KOL_Source_Data!$AM$12)),"N/A",MIN(100,ROUND((IF(KOL_Source_Data!$AG$12=Brand_Profile!$I$15,IF(ISNUMBER(KOL_Source_Data!$AH$12),KOL_Source_Data!$AH$12,0),0)+IF(KOL_Source_Data!$AI$12=Brand_Profile!$I$15,IF(ISNUMBER(KOL_Source_Data!$AJ$12),KOL_Source_Data!$AJ$12,0),0)+IF(KOL_Source_Data!$AK$12=Brand_Profile!$I$15,IF(ISNUMBER(KOL_Source_Data!$AL$12),KOL_Source_Data!$AL$12,0),0))/Lookup_Lists!$D$317*100,0)))),Lookup_Lists!$D$120,0)),0))</f>
      </c>
      <c r="R108" s="18">
        <f>IF(NOT(ISNUMBER(KOL_Source_Data!$AN$12)),"N/A",MIN(100,ROUND((IF(ISNUMBER(KOL_Source_Data!$AO$12),KOL_Source_Data!$AO$12*Brand_Profile!$I$17,0)+IF(ISNUMBER(KOL_Source_Data!$AP$12),KOL_Source_Data!$AP$12*Brand_Profile!$I$18,0)+IF(ISNUMBER(KOL_Source_Data!$AQ$12),KOL_Source_Data!$AQ$12*Brand_Profile!$I$19,0)+IF(ISNUMBER(KOL_Source_Data!$AR$12),KOL_Source_Data!$AR$12*Brand_Profile!$I$20,0)+IF(ISNUMBER(KOL_Source_Data!$AS$12),KOL_Source_Data!$AS$12*Brand_Profile!$I$21,0)+IF(ISNUMBER(KOL_Source_Data!$AT$12),KOL_Source_Data!$AT$12*Brand_Profile!$I$22,0)+IF(ISNUMBER(KOL_Source_Data!$AU$12),KOL_Source_Data!$AU$12*Brand_Profile!$I$23,0)+IF(ISNUMBER(KOL_Source_Data!$AV$12),KOL_Source_Data!$AV$12*Brand_Profile!$I$24,0)+IF(ISNUMBER(KOL_Source_Data!$AW$12),KOL_Source_Data!$AW$12*Brand_Profile!$I$25,0)+IF(ISNUMBER(KOL_Source_Data!$AX$12),KOL_Source_Data!$AX$12*Brand_Profile!$I$26,0)+IF(ISNUMBER(KOL_Source_Data!$AY$12),KOL_Source_Data!$AY$12*Brand_Profile!$I$27,0)+IF(ISNUMBER(KOL_Source_Data!$AZ$12),KOL_Source_Data!$AZ$12*Brand_Profile!$I$28,0)+IF(ISNUMBER(KOL_Source_Data!$BA$12),KOL_Source_Data!$BA$12*Brand_Profile!$I$29,0)+IF(ISNUMBER(KOL_Source_Data!$BB$12),KOL_Source_Data!$BB$12*Brand_Profile!$I$30,0)+IF(ISNUMBER(KOL_Source_Data!$BC$12),KOL_Source_Data!$BC$12*Brand_Profile!$I$31,0)+IF(ISNUMBER(KOL_Source_Data!$BD$12),KOL_Source_Data!$BD$12*Brand_Profile!$I$32,0)+IF(ISNUMBER(KOL_Source_Data!$BE$12),KOL_Source_Data!$BE$12*Brand_Profile!$I$33,0)+IF(ISNUMBER(KOL_Source_Data!$BF$12),KOL_Source_Data!$BF$12*Brand_Profile!$I$34,0))/Lookup_Lists!$D$318*100,0)))</f>
      </c>
      <c r="S108" s="29">
        <f>IF((IF(ISNUMBER(Matching_Engine!$O$108),Lookup_Lists!$D$113,0)+IF(ISNUMBER(Matching_Engine!$P$108),Lookup_Lists!$D$114,0)+IF(ISNUMBER(Matching_Engine!$Q$108),Lookup_Lists!$D$115,0)+IF(ISNUMBER(Matching_Engine!$R$108),Lookup_Lists!$D$116,0))=0,"N/A",ROUND((IF(ISNUMBER(Matching_Engine!$O$108),Matching_Engine!$O$108*Lookup_Lists!$D$113,0)+IF(ISNUMBER(Matching_Engine!$P$108),Matching_Engine!$P$108*Lookup_Lists!$D$114,0)+IF(ISNUMBER(Matching_Engine!$Q$108),Matching_Engine!$Q$108*Lookup_Lists!$D$115,0)+IF(ISNUMBER(Matching_Engine!$R$108),Matching_Engine!$R$108*Lookup_Lists!$D$116,0))/(IF(ISNUMBER(Matching_Engine!$O$108),Lookup_Lists!$D$113,0)+IF(ISNUMBER(Matching_Engine!$P$108),Lookup_Lists!$D$114,0)+IF(ISNUMBER(Matching_Engine!$Q$108),Lookup_Lists!$D$115,0)+IF(ISNUMBER(Matching_Engine!$R$108),Lookup_Lists!$D$116,0)),0))</f>
      </c>
      <c r="T108" s="11">
        <f>IF(ISNUMBER(Matching_Engine!$S$108),1,0)</f>
      </c>
      <c r="U108" s="18">
        <f>IF(NOT(AND(ISTEXT(KOL_Source_Data!$M$12),KOL_Source_Data!$M$12&lt;&gt;"N/A")),Lookup_Lists!$D$150,IF(Brand_Profile!$I$7=KOL_Source_Data!$M$12,100,IFERROR(INDEX(Lookup_Lists!$B$349:$J$357,MATCH(Brand_Profile!$I$7,Lookup_Lists!$A$349:$A$357,0),MATCH(KOL_Source_Data!$M$12,Lookup_Lists!$B$348:$J$348,0)),Lookup_Lists!$D$151)))</f>
      </c>
      <c r="V108" s="18">
        <f>IF(NOT(AND(ISTEXT(KOL_Source_Data!$P$12),KOL_Source_Data!$P$12&lt;&gt;"N/A")),"N/A",IFERROR(INDEX(Lookup_Lists!$B$349:$J$357,MATCH(Brand_Profile!$I$7,Lookup_Lists!$A$349:$A$357,0),MATCH(KOL_Source_Data!$P$12,Lookup_Lists!$B$348:$J$348,0)),Lookup_Lists!$D$151))</f>
      </c>
      <c r="W108" s="18">
        <f>IF(LEN(TRIM(SUBSTITUTE(Matching_Engine!$BE$108,"|","")))=0,"N/A",IF(Brand_Profile!$I$60=0,Lookup_Lists!$D$150,ROUND((IF(Brand_Profile!$I$54="",0,IF(ISNUMBER(SEARCH(Brand_Profile!$I$54,Matching_Engine!$BE$108)),1,0))+IF(Brand_Profile!$I$55="",0,IF(ISNUMBER(SEARCH(Brand_Profile!$I$55,Matching_Engine!$BE$108)),1,0))+IF(Brand_Profile!$I$56="",0,IF(ISNUMBER(SEARCH(Brand_Profile!$I$56,Matching_Engine!$BE$108)),1,0))+IF(Brand_Profile!$I$57="",0,IF(ISNUMBER(SEARCH(Brand_Profile!$I$57,Matching_Engine!$BE$108)),1,0))+IF(Brand_Profile!$I$58="",0,IF(ISNUMBER(SEARCH(Brand_Profile!$I$58,Matching_Engine!$BE$108)),1,0))+IF(Brand_Profile!$I$59="",0,IF(ISNUMBER(SEARCH(Brand_Profile!$I$59,Matching_Engine!$BE$108)),1,0)))/Brand_Profile!$I$60*100,0)))</f>
      </c>
      <c r="X108" s="18">
        <f>IF(NOT(AND(ISTEXT(KOL_Source_Data!$Q$12),KOL_Source_Data!$Q$12&lt;&gt;"N/A")),"N/A",Lookup_Lists!$D$150)</f>
      </c>
      <c r="Y108" s="29">
        <f>IF((IF(ISNUMBER(Matching_Engine!$U$108),Lookup_Lists!$D$335,0)+IF(ISNUMBER(Matching_Engine!$V$108),Lookup_Lists!$D$122,0)+IF(ISNUMBER(Matching_Engine!$W$108),Lookup_Lists!$D$336,0)+IF(ISNUMBER(Matching_Engine!$X$108),Lookup_Lists!$D$124,0))=0,"N/A",ROUND((IF(ISNUMBER(Matching_Engine!$U$108),Matching_Engine!$U$108*Lookup_Lists!$D$335,0)+IF(ISNUMBER(Matching_Engine!$V$108),Matching_Engine!$V$108*Lookup_Lists!$D$122,0)+IF(ISNUMBER(Matching_Engine!$W$108),Matching_Engine!$W$108*Lookup_Lists!$D$336,0)+IF(ISNUMBER(Matching_Engine!$X$108),Matching_Engine!$X$108*Lookup_Lists!$D$124,0))/(IF(ISNUMBER(Matching_Engine!$U$108),Lookup_Lists!$D$335,0)+IF(ISNUMBER(Matching_Engine!$V$108),Lookup_Lists!$D$122,0)+IF(ISNUMBER(Matching_Engine!$W$108),Lookup_Lists!$D$336,0)+IF(ISNUMBER(Matching_Engine!$X$108),Lookup_Lists!$D$124,0)),0))</f>
      </c>
      <c r="Z108" s="11">
        <f>IF(ISNUMBER(Matching_Engine!$Y$108),1,0)</f>
      </c>
      <c r="AA108" s="18">
        <f>IF(NOT(AND(ISTEXT(KOL_Source_Data!$Q$12),KOL_Source_Data!$Q$12&lt;&gt;"N/A")),"N/A",Lookup_Lists!$D$150)</f>
      </c>
      <c r="AB108" s="18">
        <f>IF(NOT(AND(ISTEXT(KOL_Source_Data!$Q$12),KOL_Source_Data!$Q$12&lt;&gt;"N/A")),"N/A",Lookup_Lists!$D$150)</f>
      </c>
      <c r="AC108" s="18">
        <f>"N/A"</f>
      </c>
      <c r="AD108" s="18">
        <f>IF(NOT(AND(ISTEXT(KOL_Source_Data!$Q$12),KOL_Source_Data!$Q$12&lt;&gt;"N/A")),"N/A",Lookup_Lists!$D$150)</f>
      </c>
      <c r="AE108" s="29">
        <f>IF((IF(ISNUMBER(Matching_Engine!$AA$108),Lookup_Lists!$D$125,0)+IF(ISNUMBER(Matching_Engine!$AB$108),Lookup_Lists!$D$126,0)+IF(ISNUMBER(Matching_Engine!$AC$108),Lookup_Lists!$D$127,0)+IF(ISNUMBER(Matching_Engine!$AD$108),Lookup_Lists!$D$128,0))=0,"N/A",ROUND((IF(ISNUMBER(Matching_Engine!$AA$108),Matching_Engine!$AA$108*Lookup_Lists!$D$125,0)+IF(ISNUMBER(Matching_Engine!$AB$108),Matching_Engine!$AB$108*Lookup_Lists!$D$126,0)+IF(ISNUMBER(Matching_Engine!$AC$108),Matching_Engine!$AC$108*Lookup_Lists!$D$127,0)+IF(ISNUMBER(Matching_Engine!$AD$108),Matching_Engine!$AD$108*Lookup_Lists!$D$128,0))/(IF(ISNUMBER(Matching_Engine!$AA$108),Lookup_Lists!$D$125,0)+IF(ISNUMBER(Matching_Engine!$AB$108),Lookup_Lists!$D$126,0)+IF(ISNUMBER(Matching_Engine!$AC$108),Lookup_Lists!$D$127,0)+IF(ISNUMBER(Matching_Engine!$AD$108),Lookup_Lists!$D$128,0)),0))</f>
      </c>
      <c r="AF108" s="11">
        <f>IF(ISNUMBER(Matching_Engine!$AE$108),1,0)</f>
      </c>
      <c r="AG108" s="18">
        <f>IF(NOT(ISNUMBER(KOL_Source_Data!$BG$12)),"N/A",MIN(100,ROUND(KOL_Source_Data!$BG$12/IFERROR(INDEX(Lookup_Lists!$B$340:$B$344,MATCH(KOL_Source_Data!$H$12,Lookup_Lists!$A$340:$A$344,0)),Lookup_Lists!$D$141)*100,0)))</f>
      </c>
      <c r="AH108" s="18">
        <f>IF(NOT(ISNUMBER(KOL_Source_Data!$BS$12)),"N/A",MIN(100,MAX(0,KOL_Source_Data!$BS$12)))</f>
      </c>
      <c r="AI108" s="18">
        <f>IF(OR(NOT(ISNUMBER(KOL_Source_Data!$BM$12)),NOT(ISNUMBER(KOL_Source_Data!$BN$12)),KOL_Source_Data!$BN$12&lt;Lookup_Lists!$D$320),"N/A",MIN(100,ROUND(KOL_Source_Data!$BM$12/Lookup_Lists!$D$319*100,0)))</f>
      </c>
      <c r="AJ108" s="18">
        <f>IF(NOT(ISNUMBER(KOL_Source_Data!$BR$12)),"N/A",KOL_Source_Data!$BR$12)</f>
      </c>
      <c r="AK108" s="18">
        <f>IF(NOT(ISNUMBER(KOL_Source_Data!$BK$12)),"N/A",MIN(100,ROUND(KOL_Source_Data!$BK$12/Lookup_Lists!$D$321*100,0)))</f>
      </c>
      <c r="AL108" s="18">
        <f>IF(NOT(ISNUMBER(KOL_Source_Data!$BP$12)),"N/A",MIN(100,MAX(0,ROUND((KOL_Source_Data!$BP$12+2)/(Lookup_Lists!$D$145+2)*100,0))))</f>
      </c>
      <c r="AM108" s="29">
        <f>IF((IF(ISNUMBER(Matching_Engine!$AG$108),Lookup_Lists!$D$129,0)+IF(ISNUMBER(Matching_Engine!$AH$108),Lookup_Lists!$D$130,0)+IF(ISNUMBER(Matching_Engine!$AI$108),Lookup_Lists!$D$131,0)+IF(ISNUMBER(Matching_Engine!$AJ$108),Lookup_Lists!$D$132,0)+IF(ISNUMBER(Matching_Engine!$AK$108),Lookup_Lists!$D$133,0)+IF(ISNUMBER(Matching_Engine!$AL$108),Lookup_Lists!$D$134,0))=0,"N/A",ROUND((IF(ISNUMBER(Matching_Engine!$AG$108),Matching_Engine!$AG$108*Lookup_Lists!$D$129,0)+IF(ISNUMBER(Matching_Engine!$AH$108),Matching_Engine!$AH$108*Lookup_Lists!$D$130,0)+IF(ISNUMBER(Matching_Engine!$AI$108),Matching_Engine!$AI$108*Lookup_Lists!$D$131,0)+IF(ISNUMBER(Matching_Engine!$AJ$108),Matching_Engine!$AJ$108*Lookup_Lists!$D$132,0)+IF(ISNUMBER(Matching_Engine!$AK$108),Matching_Engine!$AK$108*Lookup_Lists!$D$133,0)+IF(ISNUMBER(Matching_Engine!$AL$108),Matching_Engine!$AL$108*Lookup_Lists!$D$134,0))/(IF(ISNUMBER(Matching_Engine!$AG$108),Lookup_Lists!$D$129,0)+IF(ISNUMBER(Matching_Engine!$AH$108),Lookup_Lists!$D$130,0)+IF(ISNUMBER(Matching_Engine!$AI$108),Lookup_Lists!$D$131,0)+IF(ISNUMBER(Matching_Engine!$AJ$108),Lookup_Lists!$D$132,0)+IF(ISNUMBER(Matching_Engine!$AK$108),Lookup_Lists!$D$133,0)+IF(ISNUMBER(Matching_Engine!$AL$108),Lookup_Lists!$D$134,0)),0))</f>
      </c>
      <c r="AN108" s="11">
        <f>IF(ISNUMBER(Matching_Engine!$AM$108),1,0)</f>
      </c>
      <c r="AO108" s="18">
        <f>IF(NOT(ISNUMBER(KOL_Source_Data!$BT$12)),"N/A",MIN(100,MAX(0,KOL_Source_Data!$BT$12)))</f>
      </c>
      <c r="AP108" s="18">
        <f>IF(NOT(ISNUMBER(KOL_Source_Data!$BU$12)),"N/A",MIN(100,MAX(0,KOL_Source_Data!$BU$12)))</f>
      </c>
      <c r="AQ108" s="18">
        <f>IF(KOL_Source_Data!$I$12="Yes",Lookup_Lists!$D$326,IF(KOL_Source_Data!$I$12="No",Lookup_Lists!$D$327,"N/A"))</f>
      </c>
      <c r="AR108" s="18">
        <f>IF(NOT(ISNUMBER(KOL_Source_Data!$BQ$12)),"N/A",MAX(0,ROUND(100-KOL_Source_Data!$BQ$12/Lookup_Lists!$D$328*100,0)))</f>
      </c>
      <c r="AS108" s="18">
        <f>IF(NOT(AND(ISTEXT(KOL_Source_Data!$BV$12),KOL_Source_Data!$BV$12&lt;&gt;"N/A")),"N/A",KOL_Source_Data!$BV$12)</f>
      </c>
      <c r="AT108" s="29">
        <f>IF((IF(ISNUMBER(Matching_Engine!$AO$108),Lookup_Lists!$D$322,0)+IF(ISNUMBER(Matching_Engine!$AP$108),Lookup_Lists!$D$323,0)+IF(ISNUMBER(Matching_Engine!$AQ$108),Lookup_Lists!$D$324,0)+IF(ISNUMBER(Matching_Engine!$AR$108),Lookup_Lists!$D$325,0))=0,"N/A",ROUND((IF(ISNUMBER(Matching_Engine!$AO$108),Matching_Engine!$AO$108*Lookup_Lists!$D$322,0)+IF(ISNUMBER(Matching_Engine!$AP$108),Matching_Engine!$AP$108*Lookup_Lists!$D$323,0)+IF(ISNUMBER(Matching_Engine!$AQ$108),Matching_Engine!$AQ$108*Lookup_Lists!$D$324,0)+IF(ISNUMBER(Matching_Engine!$AR$108),Matching_Engine!$AR$108*Lookup_Lists!$D$325,0))/(IF(ISNUMBER(Matching_Engine!$AO$108),Lookup_Lists!$D$322,0)+IF(ISNUMBER(Matching_Engine!$AP$108),Lookup_Lists!$D$323,0)+IF(ISNUMBER(Matching_Engine!$AQ$108),Lookup_Lists!$D$324,0)+IF(ISNUMBER(Matching_Engine!$AR$108),Lookup_Lists!$D$325,0)),0))</f>
      </c>
      <c r="AU108" s="11">
        <f>IF(ISNUMBER(Matching_Engine!$AT$108),1,0)</f>
      </c>
      <c r="AV108" s="11">
        <f>IF(NOT(ISNUMBER(Matching_Engine!$AT$108)),"Not Screened",IF(Matching_Engine!$AT$108&gt;=Lookup_Lists!$D$329,"Low Risk",IF(Matching_Engine!$AT$108&gt;=Lookup_Lists!$D$330,"Moderate Risk",IF(Matching_Engine!$AT$108&gt;=Lookup_Lists!$D$331,"Elevated Risk","High Risk"))))</f>
      </c>
      <c r="AW108" s="11">
        <f>IF(NOT(ISNUMBER(Matching_Engine!$AT$108)),"No integrity signal: no audience-analysis row for this account.","Integrity screen only — no content-risk reading exists (comments_analysis: 0 rows). "&amp;IF(ISNUMBER(Matching_Engine!$AO$108),"Authenticity "&amp;Matching_Engine!$AO$108&amp;". ","Authenticity N/A. ")&amp;IF(ISNUMBER(Matching_Engine!$AP$108),"Follower quality "&amp;Matching_Engine!$AP$108&amp;". ","Follower quality N/A. ")&amp;IF(KOL_Source_Data!$I$12="Yes","Platform-verified.","Not platform-verified."))</f>
      </c>
      <c r="AX108" s="18">
        <f>Matching_Engine!$N$108*Lookup_Lists!$D$104+Matching_Engine!$T$108*Lookup_Lists!$D$105+Matching_Engine!$Z$108*Lookup_Lists!$D$106+Matching_Engine!$AF$108*Lookup_Lists!$D$107+Matching_Engine!$AN$108*Lookup_Lists!$D$108+Matching_Engine!$AU$108*Lookup_Lists!$D$109</f>
      </c>
      <c r="AY108" s="30">
        <f>IF(Matching_Engine!$AX$108=0,"N/A",ROUND((IF(Matching_Engine!$N$108=1,Matching_Engine!$M$108*Lookup_Lists!$D$104,0)+IF(Matching_Engine!$T$108=1,Matching_Engine!$S$108*Lookup_Lists!$D$105,0)+IF(Matching_Engine!$Z$108=1,Matching_Engine!$Y$108*Lookup_Lists!$D$106,0)+IF(Matching_Engine!$AF$108=1,Matching_Engine!$AE$108*Lookup_Lists!$D$107,0)+IF(Matching_Engine!$AN$108=1,Matching_Engine!$AM$108*Lookup_Lists!$D$108,0)+IF(Matching_Engine!$AU$108=1,Matching_Engine!$AT$108*Lookup_Lists!$D$109,0))/Matching_Engine!$AX$108,0))</f>
      </c>
      <c r="AZ108" s="11">
        <f>IF(NOT(ISNUMBER(Matching_Engine!$AY$108)),"Not Scored",IF(Matching_Engine!$AY$108&gt;=Lookup_Lists!$D$152,"Excellent Match",IF(Matching_Engine!$AY$108&gt;=Lookup_Lists!$D$153,"Strong Match",IF(Matching_Engine!$AY$108&gt;=Lookup_Lists!$D$154,"Good Match",IF(Matching_Engine!$AY$108&gt;=Lookup_Lists!$D$155,"Moderate Match","Low Match")))))</f>
      </c>
      <c r="BA108" s="18">
        <f>KOL_Source_Data!$BW$12</f>
      </c>
      <c r="BB108" s="11">
        <f>KOL_Source_Data!$BX$12</f>
      </c>
      <c r="BC108" s="18">
        <f>IF(NOT(ISNUMBER(Matching_Engine!$AY$108)),-1,Matching_Engine!$AY$108*1000+18)</f>
      </c>
      <c r="BD108" s="11">
        <f>IF(AND(ISTEXT(KOL_Source_Data!$S$12),KOL_Source_Data!$S$12&lt;&gt;"N/A"),KOL_Source_Data!$S$12,"")&amp;" | "&amp;IF(AND(ISTEXT(KOL_Source_Data!$T$12),KOL_Source_Data!$T$12&lt;&gt;"N/A"),KOL_Source_Data!$T$12,"")&amp;" | "&amp;IF(AND(ISTEXT(KOL_Source_Data!$N$12),KOL_Source_Data!$N$12&lt;&gt;"N/A"),KOL_Source_Data!$N$12,"")&amp;" | "&amp;IF(AND(ISTEXT(KOL_Source_Data!$K$12),KOL_Source_Data!$K$12&lt;&gt;"N/A"),KOL_Source_Data!$K$12,"")&amp;" | "&amp;IF(AND(ISTEXT(KOL_Source_Data!$J$12),KOL_Source_Data!$J$12&lt;&gt;"N/A"),KOL_Source_Data!$J$12,"")</f>
      </c>
      <c r="BE108" s="11">
        <f>IF(AND(ISTEXT(KOL_Source_Data!$T$12),KOL_Source_Data!$T$12&lt;&gt;"N/A"),KOL_Source_Data!$T$12,"")&amp;" | "&amp;IF(AND(ISTEXT(KOL_Source_Data!$N$12),KOL_Source_Data!$N$12&lt;&gt;"N/A"),KOL_Source_Data!$N$12,"")&amp;" | "&amp;IF(AND(ISTEXT(KOL_Source_Data!$O$12),KOL_Source_Data!$O$12&lt;&gt;"N/A"),KOL_Source_Data!$O$12,"")&amp;" | "&amp;IF(AND(ISTEXT(KOL_Source_Data!$S$12),KOL_Source_Data!$S$12&lt;&gt;"N/A"),KOL_Source_Data!$S$12,"")</f>
      </c>
      <c r="BF108" s="11">
        <f>IF(AND(ISTEXT(KOL_Source_Data!$U$12),KOL_Source_Data!$U$12&lt;&gt;"N/A"),KOL_Source_Data!$U$12,"")</f>
      </c>
      <c r="BG108" s="11">
        <f>Matching_Engine!$A$108&amp;"|"&amp;Matching_Engine!$C$108</f>
      </c>
    </row>
    <row r="109" spans="1:59" x14ac:dyDescent="0.25">
      <c r="A109" s="10" t="s">
        <v>394</v>
      </c>
      <c r="B109" s="11">
        <f>Brand_Profile!$I$6</f>
      </c>
      <c r="C109" s="11">
        <f>KOL_Source_Data!$A$13</f>
      </c>
      <c r="D109" s="11">
        <f>KOL_Source_Data!$C$13</f>
      </c>
      <c r="E109" s="11">
        <f>KOL_Source_Data!$D$13</f>
      </c>
      <c r="F109" s="11">
        <f>KOL_Source_Data!$E$13</f>
      </c>
      <c r="G109" s="11">
        <f>KOL_Source_Data!$K$13</f>
      </c>
      <c r="H109" s="12">
        <f>KOL_Source_Data!$G$13</f>
      </c>
      <c r="I109" s="14">
        <f>KOL_Source_Data!$BG$13</f>
      </c>
      <c r="J109" s="18">
        <f>IF(NOT(AND(ISTEXT(KOL_Source_Data!$K$13),KOL_Source_Data!$K$13&lt;&gt;"N/A")),Lookup_Lists!$D$150,IF(Brand_Profile!$I$7=KOL_Source_Data!$K$13,100,IFERROR(INDEX(Lookup_Lists!$B$349:$J$357,MATCH(Brand_Profile!$I$7,Lookup_Lists!$A$349:$A$357,0),MATCH(KOL_Source_Data!$K$13,Lookup_Lists!$B$348:$J$348,0)),Lookup_Lists!$D$151)))</f>
      </c>
      <c r="K109" s="18">
        <f>IF(LEN(TRIM(SUBSTITUTE(Matching_Engine!$BD$109,"|","")))=0,"N/A",IF(Brand_Profile!$I$47=0,Lookup_Lists!$D$150,ROUND((IF(Brand_Profile!$I$41="",0,IF(ISNUMBER(SEARCH(Brand_Profile!$I$41,Matching_Engine!$BD$109)),1,0))+IF(Brand_Profile!$I$42="",0,IF(ISNUMBER(SEARCH(Brand_Profile!$I$42,Matching_Engine!$BD$109)),1,0))+IF(Brand_Profile!$I$43="",0,IF(ISNUMBER(SEARCH(Brand_Profile!$I$43,Matching_Engine!$BD$109)),1,0))+IF(Brand_Profile!$I$44="",0,IF(ISNUMBER(SEARCH(Brand_Profile!$I$44,Matching_Engine!$BD$109)),1,0))+IF(Brand_Profile!$I$45="",0,IF(ISNUMBER(SEARCH(Brand_Profile!$I$45,Matching_Engine!$BD$109)),1,0))+IF(Brand_Profile!$I$46="",0,IF(ISNUMBER(SEARCH(Brand_Profile!$I$46,Matching_Engine!$BD$109)),1,0)))/Brand_Profile!$I$47*100,0)))</f>
      </c>
      <c r="L109" s="18">
        <f>IF(NOT(AND(ISTEXT(KOL_Source_Data!$U$13),KOL_Source_Data!$U$13&lt;&gt;"N/A")),"N/A",IF(Brand_Profile!$I$53=0,Lookup_Lists!$D$150,ROUND((IF(Brand_Profile!$I$48="",0,IF(ISNUMBER(SEARCH(Brand_Profile!$I$48,Matching_Engine!$BF$109)),1,0))+IF(Brand_Profile!$I$49="",0,IF(ISNUMBER(SEARCH(Brand_Profile!$I$49,Matching_Engine!$BF$109)),1,0))+IF(Brand_Profile!$I$50="",0,IF(ISNUMBER(SEARCH(Brand_Profile!$I$50,Matching_Engine!$BF$109)),1,0))+IF(Brand_Profile!$I$51="",0,IF(ISNUMBER(SEARCH(Brand_Profile!$I$51,Matching_Engine!$BF$109)),1,0))+IF(Brand_Profile!$I$52="",0,IF(ISNUMBER(SEARCH(Brand_Profile!$I$52,Matching_Engine!$BF$109)),1,0)))/Brand_Profile!$I$53*100,0)))</f>
      </c>
      <c r="M109" s="29">
        <f>IF((IF(ISNUMBER(Matching_Engine!$J$109),Lookup_Lists!$D$332,0)+IF(ISNUMBER(Matching_Engine!$K$109),Lookup_Lists!$D$333,0)+IF(ISNUMBER(Matching_Engine!$L$109),Lookup_Lists!$D$334,0))=0,"N/A",ROUND((IF(ISNUMBER(Matching_Engine!$J$109),Matching_Engine!$J$109*Lookup_Lists!$D$332,0)+IF(ISNUMBER(Matching_Engine!$K$109),Matching_Engine!$K$109*Lookup_Lists!$D$333,0)+IF(ISNUMBER(Matching_Engine!$L$109),Matching_Engine!$L$109*Lookup_Lists!$D$334,0))/(IF(ISNUMBER(Matching_Engine!$J$109),Lookup_Lists!$D$332,0)+IF(ISNUMBER(Matching_Engine!$K$109),Lookup_Lists!$D$333,0)+IF(ISNUMBER(Matching_Engine!$L$109),Lookup_Lists!$D$334,0)),0))</f>
      </c>
      <c r="N109" s="11">
        <f>IF(ISNUMBER(Matching_Engine!$M$109),1,0)</f>
      </c>
      <c r="O109" s="18">
        <f>IF(NOT(ISNUMBER(IFERROR(INDEX(KOL_Source_Data!$V$13:KOL_Source_Data!$Z$13,1,MATCH(Brand_Profile!$I$11,Lookup_Lists!$F$6:$F$10,0)),""))),"N/A",MIN(100,ROUND((IFERROR(INDEX(KOL_Source_Data!$V$13:KOL_Source_Data!$Z$13,1,MATCH(Brand_Profile!$I$11,Lookup_Lists!$F$6:$F$10,0)),"")+0.5*IF(ISNUMBER(IFERROR(INDEX(KOL_Source_Data!$V$13:KOL_Source_Data!$Z$13,1,MATCH(Brand_Profile!$I$12,Lookup_Lists!$F$6:$F$10,0)),"")),IFERROR(INDEX(KOL_Source_Data!$V$13:KOL_Source_Data!$Z$13,1,MATCH(Brand_Profile!$I$12,Lookup_Lists!$F$6:$F$10,0)),""),0))/Lookup_Lists!$D$142*100,0)))</f>
      </c>
      <c r="P109" s="18">
        <f>IF(Brand_Profile!$I$13="Any",100,IF(NOT(ISNUMBER(KOL_Source_Data!$AA$13)),"N/A",IF(Brand_Profile!$I$13="Female",MIN(100,ROUND(KOL_Source_Data!$AA$13/Lookup_Lists!$D$143*100,0)),IF(Brand_Profile!$I$13="Male",MIN(100,ROUND(IF(ISNUMBER(KOL_Source_Data!$AB$13),KOL_Source_Data!$AB$13,100-KOL_Source_Data!$AA$13)/Lookup_Lists!$D$143*100,0)),MAX(0,ROUND(100-ABS(KOL_Source_Data!$AA$13-50)*2,0))))))</f>
      </c>
      <c r="Q109" s="18">
        <f>IF((IF(ISNUMBER(IF(NOT(ISNUMBER(KOL_Source_Data!$AE$13)),"N/A",IF(KOL_Source_Data!$AD$13&lt;&gt;Brand_Profile!$I$14,Lookup_Lists!$D$151,MIN(100,ROUND(KOL_Source_Data!$AE$13/Lookup_Lists!$D$316*100,0))))),Lookup_Lists!$D$118,0)+IF(ISNUMBER(IF(NOT(ISNUMBER(KOL_Source_Data!$AM$13)),"N/A",MIN(100,ROUND((IF(KOL_Source_Data!$AG$13=Brand_Profile!$I$15,IF(ISNUMBER(KOL_Source_Data!$AH$13),KOL_Source_Data!$AH$13,0),0)+IF(KOL_Source_Data!$AI$13=Brand_Profile!$I$15,IF(ISNUMBER(KOL_Source_Data!$AJ$13),KOL_Source_Data!$AJ$13,0),0)+IF(KOL_Source_Data!$AK$13=Brand_Profile!$I$15,IF(ISNUMBER(KOL_Source_Data!$AL$13),KOL_Source_Data!$AL$13,0),0))/Lookup_Lists!$D$317*100,0)))),Lookup_Lists!$D$120,0))=0,"N/A",ROUND((IF(ISNUMBER(IF(NOT(ISNUMBER(KOL_Source_Data!$AE$13)),"N/A",IF(KOL_Source_Data!$AD$13&lt;&gt;Brand_Profile!$I$14,Lookup_Lists!$D$151,MIN(100,ROUND(KOL_Source_Data!$AE$13/Lookup_Lists!$D$316*100,0))))),IF(NOT(ISNUMBER(KOL_Source_Data!$AE$13)),"N/A",IF(KOL_Source_Data!$AD$13&lt;&gt;Brand_Profile!$I$14,Lookup_Lists!$D$151,MIN(100,ROUND(KOL_Source_Data!$AE$13/Lookup_Lists!$D$316*100,0))))*Lookup_Lists!$D$118,0)+IF(ISNUMBER(IF(NOT(ISNUMBER(KOL_Source_Data!$AM$13)),"N/A",MIN(100,ROUND((IF(KOL_Source_Data!$AG$13=Brand_Profile!$I$15,IF(ISNUMBER(KOL_Source_Data!$AH$13),KOL_Source_Data!$AH$13,0),0)+IF(KOL_Source_Data!$AI$13=Brand_Profile!$I$15,IF(ISNUMBER(KOL_Source_Data!$AJ$13),KOL_Source_Data!$AJ$13,0),0)+IF(KOL_Source_Data!$AK$13=Brand_Profile!$I$15,IF(ISNUMBER(KOL_Source_Data!$AL$13),KOL_Source_Data!$AL$13,0),0))/Lookup_Lists!$D$317*100,0)))),IF(NOT(ISNUMBER(KOL_Source_Data!$AM$13)),"N/A",MIN(100,ROUND((IF(KOL_Source_Data!$AG$13=Brand_Profile!$I$15,IF(ISNUMBER(KOL_Source_Data!$AH$13),KOL_Source_Data!$AH$13,0),0)+IF(KOL_Source_Data!$AI$13=Brand_Profile!$I$15,IF(ISNUMBER(KOL_Source_Data!$AJ$13),KOL_Source_Data!$AJ$13,0),0)+IF(KOL_Source_Data!$AK$13=Brand_Profile!$I$15,IF(ISNUMBER(KOL_Source_Data!$AL$13),KOL_Source_Data!$AL$13,0),0))/Lookup_Lists!$D$317*100,0)))*Lookup_Lists!$D$120,0))/(IF(ISNUMBER(IF(NOT(ISNUMBER(KOL_Source_Data!$AE$13)),"N/A",IF(KOL_Source_Data!$AD$13&lt;&gt;Brand_Profile!$I$14,Lookup_Lists!$D$151,MIN(100,ROUND(KOL_Source_Data!$AE$13/Lookup_Lists!$D$316*100,0))))),Lookup_Lists!$D$118,0)+IF(ISNUMBER(IF(NOT(ISNUMBER(KOL_Source_Data!$AM$13)),"N/A",MIN(100,ROUND((IF(KOL_Source_Data!$AG$13=Brand_Profile!$I$15,IF(ISNUMBER(KOL_Source_Data!$AH$13),KOL_Source_Data!$AH$13,0),0)+IF(KOL_Source_Data!$AI$13=Brand_Profile!$I$15,IF(ISNUMBER(KOL_Source_Data!$AJ$13),KOL_Source_Data!$AJ$13,0),0)+IF(KOL_Source_Data!$AK$13=Brand_Profile!$I$15,IF(ISNUMBER(KOL_Source_Data!$AL$13),KOL_Source_Data!$AL$13,0),0))/Lookup_Lists!$D$317*100,0)))),Lookup_Lists!$D$120,0)),0))</f>
      </c>
      <c r="R109" s="18">
        <f>IF(NOT(ISNUMBER(KOL_Source_Data!$AN$13)),"N/A",MIN(100,ROUND((IF(ISNUMBER(KOL_Source_Data!$AO$13),KOL_Source_Data!$AO$13*Brand_Profile!$I$17,0)+IF(ISNUMBER(KOL_Source_Data!$AP$13),KOL_Source_Data!$AP$13*Brand_Profile!$I$18,0)+IF(ISNUMBER(KOL_Source_Data!$AQ$13),KOL_Source_Data!$AQ$13*Brand_Profile!$I$19,0)+IF(ISNUMBER(KOL_Source_Data!$AR$13),KOL_Source_Data!$AR$13*Brand_Profile!$I$20,0)+IF(ISNUMBER(KOL_Source_Data!$AS$13),KOL_Source_Data!$AS$13*Brand_Profile!$I$21,0)+IF(ISNUMBER(KOL_Source_Data!$AT$13),KOL_Source_Data!$AT$13*Brand_Profile!$I$22,0)+IF(ISNUMBER(KOL_Source_Data!$AU$13),KOL_Source_Data!$AU$13*Brand_Profile!$I$23,0)+IF(ISNUMBER(KOL_Source_Data!$AV$13),KOL_Source_Data!$AV$13*Brand_Profile!$I$24,0)+IF(ISNUMBER(KOL_Source_Data!$AW$13),KOL_Source_Data!$AW$13*Brand_Profile!$I$25,0)+IF(ISNUMBER(KOL_Source_Data!$AX$13),KOL_Source_Data!$AX$13*Brand_Profile!$I$26,0)+IF(ISNUMBER(KOL_Source_Data!$AY$13),KOL_Source_Data!$AY$13*Brand_Profile!$I$27,0)+IF(ISNUMBER(KOL_Source_Data!$AZ$13),KOL_Source_Data!$AZ$13*Brand_Profile!$I$28,0)+IF(ISNUMBER(KOL_Source_Data!$BA$13),KOL_Source_Data!$BA$13*Brand_Profile!$I$29,0)+IF(ISNUMBER(KOL_Source_Data!$BB$13),KOL_Source_Data!$BB$13*Brand_Profile!$I$30,0)+IF(ISNUMBER(KOL_Source_Data!$BC$13),KOL_Source_Data!$BC$13*Brand_Profile!$I$31,0)+IF(ISNUMBER(KOL_Source_Data!$BD$13),KOL_Source_Data!$BD$13*Brand_Profile!$I$32,0)+IF(ISNUMBER(KOL_Source_Data!$BE$13),KOL_Source_Data!$BE$13*Brand_Profile!$I$33,0)+IF(ISNUMBER(KOL_Source_Data!$BF$13),KOL_Source_Data!$BF$13*Brand_Profile!$I$34,0))/Lookup_Lists!$D$318*100,0)))</f>
      </c>
      <c r="S109" s="29">
        <f>IF((IF(ISNUMBER(Matching_Engine!$O$109),Lookup_Lists!$D$113,0)+IF(ISNUMBER(Matching_Engine!$P$109),Lookup_Lists!$D$114,0)+IF(ISNUMBER(Matching_Engine!$Q$109),Lookup_Lists!$D$115,0)+IF(ISNUMBER(Matching_Engine!$R$109),Lookup_Lists!$D$116,0))=0,"N/A",ROUND((IF(ISNUMBER(Matching_Engine!$O$109),Matching_Engine!$O$109*Lookup_Lists!$D$113,0)+IF(ISNUMBER(Matching_Engine!$P$109),Matching_Engine!$P$109*Lookup_Lists!$D$114,0)+IF(ISNUMBER(Matching_Engine!$Q$109),Matching_Engine!$Q$109*Lookup_Lists!$D$115,0)+IF(ISNUMBER(Matching_Engine!$R$109),Matching_Engine!$R$109*Lookup_Lists!$D$116,0))/(IF(ISNUMBER(Matching_Engine!$O$109),Lookup_Lists!$D$113,0)+IF(ISNUMBER(Matching_Engine!$P$109),Lookup_Lists!$D$114,0)+IF(ISNUMBER(Matching_Engine!$Q$109),Lookup_Lists!$D$115,0)+IF(ISNUMBER(Matching_Engine!$R$109),Lookup_Lists!$D$116,0)),0))</f>
      </c>
      <c r="T109" s="11">
        <f>IF(ISNUMBER(Matching_Engine!$S$109),1,0)</f>
      </c>
      <c r="U109" s="18">
        <f>IF(NOT(AND(ISTEXT(KOL_Source_Data!$M$13),KOL_Source_Data!$M$13&lt;&gt;"N/A")),Lookup_Lists!$D$150,IF(Brand_Profile!$I$7=KOL_Source_Data!$M$13,100,IFERROR(INDEX(Lookup_Lists!$B$349:$J$357,MATCH(Brand_Profile!$I$7,Lookup_Lists!$A$349:$A$357,0),MATCH(KOL_Source_Data!$M$13,Lookup_Lists!$B$348:$J$348,0)),Lookup_Lists!$D$151)))</f>
      </c>
      <c r="V109" s="18">
        <f>IF(NOT(AND(ISTEXT(KOL_Source_Data!$P$13),KOL_Source_Data!$P$13&lt;&gt;"N/A")),"N/A",IFERROR(INDEX(Lookup_Lists!$B$349:$J$357,MATCH(Brand_Profile!$I$7,Lookup_Lists!$A$349:$A$357,0),MATCH(KOL_Source_Data!$P$13,Lookup_Lists!$B$348:$J$348,0)),Lookup_Lists!$D$151))</f>
      </c>
      <c r="W109" s="18">
        <f>IF(LEN(TRIM(SUBSTITUTE(Matching_Engine!$BE$109,"|","")))=0,"N/A",IF(Brand_Profile!$I$60=0,Lookup_Lists!$D$150,ROUND((IF(Brand_Profile!$I$54="",0,IF(ISNUMBER(SEARCH(Brand_Profile!$I$54,Matching_Engine!$BE$109)),1,0))+IF(Brand_Profile!$I$55="",0,IF(ISNUMBER(SEARCH(Brand_Profile!$I$55,Matching_Engine!$BE$109)),1,0))+IF(Brand_Profile!$I$56="",0,IF(ISNUMBER(SEARCH(Brand_Profile!$I$56,Matching_Engine!$BE$109)),1,0))+IF(Brand_Profile!$I$57="",0,IF(ISNUMBER(SEARCH(Brand_Profile!$I$57,Matching_Engine!$BE$109)),1,0))+IF(Brand_Profile!$I$58="",0,IF(ISNUMBER(SEARCH(Brand_Profile!$I$58,Matching_Engine!$BE$109)),1,0))+IF(Brand_Profile!$I$59="",0,IF(ISNUMBER(SEARCH(Brand_Profile!$I$59,Matching_Engine!$BE$109)),1,0)))/Brand_Profile!$I$60*100,0)))</f>
      </c>
      <c r="X109" s="18">
        <f>IF(NOT(AND(ISTEXT(KOL_Source_Data!$Q$13),KOL_Source_Data!$Q$13&lt;&gt;"N/A")),"N/A",Lookup_Lists!$D$150)</f>
      </c>
      <c r="Y109" s="29">
        <f>IF((IF(ISNUMBER(Matching_Engine!$U$109),Lookup_Lists!$D$335,0)+IF(ISNUMBER(Matching_Engine!$V$109),Lookup_Lists!$D$122,0)+IF(ISNUMBER(Matching_Engine!$W$109),Lookup_Lists!$D$336,0)+IF(ISNUMBER(Matching_Engine!$X$109),Lookup_Lists!$D$124,0))=0,"N/A",ROUND((IF(ISNUMBER(Matching_Engine!$U$109),Matching_Engine!$U$109*Lookup_Lists!$D$335,0)+IF(ISNUMBER(Matching_Engine!$V$109),Matching_Engine!$V$109*Lookup_Lists!$D$122,0)+IF(ISNUMBER(Matching_Engine!$W$109),Matching_Engine!$W$109*Lookup_Lists!$D$336,0)+IF(ISNUMBER(Matching_Engine!$X$109),Matching_Engine!$X$109*Lookup_Lists!$D$124,0))/(IF(ISNUMBER(Matching_Engine!$U$109),Lookup_Lists!$D$335,0)+IF(ISNUMBER(Matching_Engine!$V$109),Lookup_Lists!$D$122,0)+IF(ISNUMBER(Matching_Engine!$W$109),Lookup_Lists!$D$336,0)+IF(ISNUMBER(Matching_Engine!$X$109),Lookup_Lists!$D$124,0)),0))</f>
      </c>
      <c r="Z109" s="11">
        <f>IF(ISNUMBER(Matching_Engine!$Y$109),1,0)</f>
      </c>
      <c r="AA109" s="18">
        <f>IF(NOT(AND(ISTEXT(KOL_Source_Data!$Q$13),KOL_Source_Data!$Q$13&lt;&gt;"N/A")),"N/A",Lookup_Lists!$D$150)</f>
      </c>
      <c r="AB109" s="18">
        <f>IF(NOT(AND(ISTEXT(KOL_Source_Data!$Q$13),KOL_Source_Data!$Q$13&lt;&gt;"N/A")),"N/A",Lookup_Lists!$D$150)</f>
      </c>
      <c r="AC109" s="18">
        <f>"N/A"</f>
      </c>
      <c r="AD109" s="18">
        <f>IF(NOT(AND(ISTEXT(KOL_Source_Data!$Q$13),KOL_Source_Data!$Q$13&lt;&gt;"N/A")),"N/A",Lookup_Lists!$D$150)</f>
      </c>
      <c r="AE109" s="29">
        <f>IF((IF(ISNUMBER(Matching_Engine!$AA$109),Lookup_Lists!$D$125,0)+IF(ISNUMBER(Matching_Engine!$AB$109),Lookup_Lists!$D$126,0)+IF(ISNUMBER(Matching_Engine!$AC$109),Lookup_Lists!$D$127,0)+IF(ISNUMBER(Matching_Engine!$AD$109),Lookup_Lists!$D$128,0))=0,"N/A",ROUND((IF(ISNUMBER(Matching_Engine!$AA$109),Matching_Engine!$AA$109*Lookup_Lists!$D$125,0)+IF(ISNUMBER(Matching_Engine!$AB$109),Matching_Engine!$AB$109*Lookup_Lists!$D$126,0)+IF(ISNUMBER(Matching_Engine!$AC$109),Matching_Engine!$AC$109*Lookup_Lists!$D$127,0)+IF(ISNUMBER(Matching_Engine!$AD$109),Matching_Engine!$AD$109*Lookup_Lists!$D$128,0))/(IF(ISNUMBER(Matching_Engine!$AA$109),Lookup_Lists!$D$125,0)+IF(ISNUMBER(Matching_Engine!$AB$109),Lookup_Lists!$D$126,0)+IF(ISNUMBER(Matching_Engine!$AC$109),Lookup_Lists!$D$127,0)+IF(ISNUMBER(Matching_Engine!$AD$109),Lookup_Lists!$D$128,0)),0))</f>
      </c>
      <c r="AF109" s="11">
        <f>IF(ISNUMBER(Matching_Engine!$AE$109),1,0)</f>
      </c>
      <c r="AG109" s="18">
        <f>IF(NOT(ISNUMBER(KOL_Source_Data!$BG$13)),"N/A",MIN(100,ROUND(KOL_Source_Data!$BG$13/IFERROR(INDEX(Lookup_Lists!$B$340:$B$344,MATCH(KOL_Source_Data!$H$13,Lookup_Lists!$A$340:$A$344,0)),Lookup_Lists!$D$141)*100,0)))</f>
      </c>
      <c r="AH109" s="18">
        <f>IF(NOT(ISNUMBER(KOL_Source_Data!$BS$13)),"N/A",MIN(100,MAX(0,KOL_Source_Data!$BS$13)))</f>
      </c>
      <c r="AI109" s="18">
        <f>IF(OR(NOT(ISNUMBER(KOL_Source_Data!$BM$13)),NOT(ISNUMBER(KOL_Source_Data!$BN$13)),KOL_Source_Data!$BN$13&lt;Lookup_Lists!$D$320),"N/A",MIN(100,ROUND(KOL_Source_Data!$BM$13/Lookup_Lists!$D$319*100,0)))</f>
      </c>
      <c r="AJ109" s="18">
        <f>IF(NOT(ISNUMBER(KOL_Source_Data!$BR$13)),"N/A",KOL_Source_Data!$BR$13)</f>
      </c>
      <c r="AK109" s="18">
        <f>IF(NOT(ISNUMBER(KOL_Source_Data!$BK$13)),"N/A",MIN(100,ROUND(KOL_Source_Data!$BK$13/Lookup_Lists!$D$321*100,0)))</f>
      </c>
      <c r="AL109" s="18">
        <f>IF(NOT(ISNUMBER(KOL_Source_Data!$BP$13)),"N/A",MIN(100,MAX(0,ROUND((KOL_Source_Data!$BP$13+2)/(Lookup_Lists!$D$145+2)*100,0))))</f>
      </c>
      <c r="AM109" s="29">
        <f>IF((IF(ISNUMBER(Matching_Engine!$AG$109),Lookup_Lists!$D$129,0)+IF(ISNUMBER(Matching_Engine!$AH$109),Lookup_Lists!$D$130,0)+IF(ISNUMBER(Matching_Engine!$AI$109),Lookup_Lists!$D$131,0)+IF(ISNUMBER(Matching_Engine!$AJ$109),Lookup_Lists!$D$132,0)+IF(ISNUMBER(Matching_Engine!$AK$109),Lookup_Lists!$D$133,0)+IF(ISNUMBER(Matching_Engine!$AL$109),Lookup_Lists!$D$134,0))=0,"N/A",ROUND((IF(ISNUMBER(Matching_Engine!$AG$109),Matching_Engine!$AG$109*Lookup_Lists!$D$129,0)+IF(ISNUMBER(Matching_Engine!$AH$109),Matching_Engine!$AH$109*Lookup_Lists!$D$130,0)+IF(ISNUMBER(Matching_Engine!$AI$109),Matching_Engine!$AI$109*Lookup_Lists!$D$131,0)+IF(ISNUMBER(Matching_Engine!$AJ$109),Matching_Engine!$AJ$109*Lookup_Lists!$D$132,0)+IF(ISNUMBER(Matching_Engine!$AK$109),Matching_Engine!$AK$109*Lookup_Lists!$D$133,0)+IF(ISNUMBER(Matching_Engine!$AL$109),Matching_Engine!$AL$109*Lookup_Lists!$D$134,0))/(IF(ISNUMBER(Matching_Engine!$AG$109),Lookup_Lists!$D$129,0)+IF(ISNUMBER(Matching_Engine!$AH$109),Lookup_Lists!$D$130,0)+IF(ISNUMBER(Matching_Engine!$AI$109),Lookup_Lists!$D$131,0)+IF(ISNUMBER(Matching_Engine!$AJ$109),Lookup_Lists!$D$132,0)+IF(ISNUMBER(Matching_Engine!$AK$109),Lookup_Lists!$D$133,0)+IF(ISNUMBER(Matching_Engine!$AL$109),Lookup_Lists!$D$134,0)),0))</f>
      </c>
      <c r="AN109" s="11">
        <f>IF(ISNUMBER(Matching_Engine!$AM$109),1,0)</f>
      </c>
      <c r="AO109" s="18">
        <f>IF(NOT(ISNUMBER(KOL_Source_Data!$BT$13)),"N/A",MIN(100,MAX(0,KOL_Source_Data!$BT$13)))</f>
      </c>
      <c r="AP109" s="18">
        <f>IF(NOT(ISNUMBER(KOL_Source_Data!$BU$13)),"N/A",MIN(100,MAX(0,KOL_Source_Data!$BU$13)))</f>
      </c>
      <c r="AQ109" s="18">
        <f>IF(KOL_Source_Data!$I$13="Yes",Lookup_Lists!$D$326,IF(KOL_Source_Data!$I$13="No",Lookup_Lists!$D$327,"N/A"))</f>
      </c>
      <c r="AR109" s="18">
        <f>IF(NOT(ISNUMBER(KOL_Source_Data!$BQ$13)),"N/A",MAX(0,ROUND(100-KOL_Source_Data!$BQ$13/Lookup_Lists!$D$328*100,0)))</f>
      </c>
      <c r="AS109" s="18">
        <f>IF(NOT(AND(ISTEXT(KOL_Source_Data!$BV$13),KOL_Source_Data!$BV$13&lt;&gt;"N/A")),"N/A",KOL_Source_Data!$BV$13)</f>
      </c>
      <c r="AT109" s="29">
        <f>IF((IF(ISNUMBER(Matching_Engine!$AO$109),Lookup_Lists!$D$322,0)+IF(ISNUMBER(Matching_Engine!$AP$109),Lookup_Lists!$D$323,0)+IF(ISNUMBER(Matching_Engine!$AQ$109),Lookup_Lists!$D$324,0)+IF(ISNUMBER(Matching_Engine!$AR$109),Lookup_Lists!$D$325,0))=0,"N/A",ROUND((IF(ISNUMBER(Matching_Engine!$AO$109),Matching_Engine!$AO$109*Lookup_Lists!$D$322,0)+IF(ISNUMBER(Matching_Engine!$AP$109),Matching_Engine!$AP$109*Lookup_Lists!$D$323,0)+IF(ISNUMBER(Matching_Engine!$AQ$109),Matching_Engine!$AQ$109*Lookup_Lists!$D$324,0)+IF(ISNUMBER(Matching_Engine!$AR$109),Matching_Engine!$AR$109*Lookup_Lists!$D$325,0))/(IF(ISNUMBER(Matching_Engine!$AO$109),Lookup_Lists!$D$322,0)+IF(ISNUMBER(Matching_Engine!$AP$109),Lookup_Lists!$D$323,0)+IF(ISNUMBER(Matching_Engine!$AQ$109),Lookup_Lists!$D$324,0)+IF(ISNUMBER(Matching_Engine!$AR$109),Lookup_Lists!$D$325,0)),0))</f>
      </c>
      <c r="AU109" s="11">
        <f>IF(ISNUMBER(Matching_Engine!$AT$109),1,0)</f>
      </c>
      <c r="AV109" s="11">
        <f>IF(NOT(ISNUMBER(Matching_Engine!$AT$109)),"Not Screened",IF(Matching_Engine!$AT$109&gt;=Lookup_Lists!$D$329,"Low Risk",IF(Matching_Engine!$AT$109&gt;=Lookup_Lists!$D$330,"Moderate Risk",IF(Matching_Engine!$AT$109&gt;=Lookup_Lists!$D$331,"Elevated Risk","High Risk"))))</f>
      </c>
      <c r="AW109" s="11">
        <f>IF(NOT(ISNUMBER(Matching_Engine!$AT$109)),"No integrity signal: no audience-analysis row for this account.","Integrity screen only — no content-risk reading exists (comments_analysis: 0 rows). "&amp;IF(ISNUMBER(Matching_Engine!$AO$109),"Authenticity "&amp;Matching_Engine!$AO$109&amp;". ","Authenticity N/A. ")&amp;IF(ISNUMBER(Matching_Engine!$AP$109),"Follower quality "&amp;Matching_Engine!$AP$109&amp;". ","Follower quality N/A. ")&amp;IF(KOL_Source_Data!$I$13="Yes","Platform-verified.","Not platform-verified."))</f>
      </c>
      <c r="AX109" s="18">
        <f>Matching_Engine!$N$109*Lookup_Lists!$D$104+Matching_Engine!$T$109*Lookup_Lists!$D$105+Matching_Engine!$Z$109*Lookup_Lists!$D$106+Matching_Engine!$AF$109*Lookup_Lists!$D$107+Matching_Engine!$AN$109*Lookup_Lists!$D$108+Matching_Engine!$AU$109*Lookup_Lists!$D$109</f>
      </c>
      <c r="AY109" s="30">
        <f>IF(Matching_Engine!$AX$109=0,"N/A",ROUND((IF(Matching_Engine!$N$109=1,Matching_Engine!$M$109*Lookup_Lists!$D$104,0)+IF(Matching_Engine!$T$109=1,Matching_Engine!$S$109*Lookup_Lists!$D$105,0)+IF(Matching_Engine!$Z$109=1,Matching_Engine!$Y$109*Lookup_Lists!$D$106,0)+IF(Matching_Engine!$AF$109=1,Matching_Engine!$AE$109*Lookup_Lists!$D$107,0)+IF(Matching_Engine!$AN$109=1,Matching_Engine!$AM$109*Lookup_Lists!$D$108,0)+IF(Matching_Engine!$AU$109=1,Matching_Engine!$AT$109*Lookup_Lists!$D$109,0))/Matching_Engine!$AX$109,0))</f>
      </c>
      <c r="AZ109" s="11">
        <f>IF(NOT(ISNUMBER(Matching_Engine!$AY$109)),"Not Scored",IF(Matching_Engine!$AY$109&gt;=Lookup_Lists!$D$152,"Excellent Match",IF(Matching_Engine!$AY$109&gt;=Lookup_Lists!$D$153,"Strong Match",IF(Matching_Engine!$AY$109&gt;=Lookup_Lists!$D$154,"Good Match",IF(Matching_Engine!$AY$109&gt;=Lookup_Lists!$D$155,"Moderate Match","Low Match")))))</f>
      </c>
      <c r="BA109" s="18">
        <f>KOL_Source_Data!$BW$13</f>
      </c>
      <c r="BB109" s="11">
        <f>KOL_Source_Data!$BX$13</f>
      </c>
      <c r="BC109" s="18">
        <f>IF(NOT(ISNUMBER(Matching_Engine!$AY$109)),-1,Matching_Engine!$AY$109*1000+17)</f>
      </c>
      <c r="BD109" s="11">
        <f>IF(AND(ISTEXT(KOL_Source_Data!$S$13),KOL_Source_Data!$S$13&lt;&gt;"N/A"),KOL_Source_Data!$S$13,"")&amp;" | "&amp;IF(AND(ISTEXT(KOL_Source_Data!$T$13),KOL_Source_Data!$T$13&lt;&gt;"N/A"),KOL_Source_Data!$T$13,"")&amp;" | "&amp;IF(AND(ISTEXT(KOL_Source_Data!$N$13),KOL_Source_Data!$N$13&lt;&gt;"N/A"),KOL_Source_Data!$N$13,"")&amp;" | "&amp;IF(AND(ISTEXT(KOL_Source_Data!$K$13),KOL_Source_Data!$K$13&lt;&gt;"N/A"),KOL_Source_Data!$K$13,"")&amp;" | "&amp;IF(AND(ISTEXT(KOL_Source_Data!$J$13),KOL_Source_Data!$J$13&lt;&gt;"N/A"),KOL_Source_Data!$J$13,"")</f>
      </c>
      <c r="BE109" s="11">
        <f>IF(AND(ISTEXT(KOL_Source_Data!$T$13),KOL_Source_Data!$T$13&lt;&gt;"N/A"),KOL_Source_Data!$T$13,"")&amp;" | "&amp;IF(AND(ISTEXT(KOL_Source_Data!$N$13),KOL_Source_Data!$N$13&lt;&gt;"N/A"),KOL_Source_Data!$N$13,"")&amp;" | "&amp;IF(AND(ISTEXT(KOL_Source_Data!$O$13),KOL_Source_Data!$O$13&lt;&gt;"N/A"),KOL_Source_Data!$O$13,"")&amp;" | "&amp;IF(AND(ISTEXT(KOL_Source_Data!$S$13),KOL_Source_Data!$S$13&lt;&gt;"N/A"),KOL_Source_Data!$S$13,"")</f>
      </c>
      <c r="BF109" s="11">
        <f>IF(AND(ISTEXT(KOL_Source_Data!$U$13),KOL_Source_Data!$U$13&lt;&gt;"N/A"),KOL_Source_Data!$U$13,"")</f>
      </c>
      <c r="BG109" s="11">
        <f>Matching_Engine!$A$109&amp;"|"&amp;Matching_Engine!$C$109</f>
      </c>
    </row>
    <row r="110" spans="1:59" x14ac:dyDescent="0.25">
      <c r="A110" s="10" t="s">
        <v>394</v>
      </c>
      <c r="B110" s="11">
        <f>Brand_Profile!$I$6</f>
      </c>
      <c r="C110" s="11">
        <f>KOL_Source_Data!$A$14</f>
      </c>
      <c r="D110" s="11">
        <f>KOL_Source_Data!$C$14</f>
      </c>
      <c r="E110" s="11">
        <f>KOL_Source_Data!$D$14</f>
      </c>
      <c r="F110" s="11">
        <f>KOL_Source_Data!$E$14</f>
      </c>
      <c r="G110" s="11">
        <f>KOL_Source_Data!$K$14</f>
      </c>
      <c r="H110" s="12">
        <f>KOL_Source_Data!$G$14</f>
      </c>
      <c r="I110" s="14">
        <f>KOL_Source_Data!$BG$14</f>
      </c>
      <c r="J110" s="18">
        <f>IF(NOT(AND(ISTEXT(KOL_Source_Data!$K$14),KOL_Source_Data!$K$14&lt;&gt;"N/A")),Lookup_Lists!$D$150,IF(Brand_Profile!$I$7=KOL_Source_Data!$K$14,100,IFERROR(INDEX(Lookup_Lists!$B$349:$J$357,MATCH(Brand_Profile!$I$7,Lookup_Lists!$A$349:$A$357,0),MATCH(KOL_Source_Data!$K$14,Lookup_Lists!$B$348:$J$348,0)),Lookup_Lists!$D$151)))</f>
      </c>
      <c r="K110" s="18">
        <f>IF(LEN(TRIM(SUBSTITUTE(Matching_Engine!$BD$110,"|","")))=0,"N/A",IF(Brand_Profile!$I$47=0,Lookup_Lists!$D$150,ROUND((IF(Brand_Profile!$I$41="",0,IF(ISNUMBER(SEARCH(Brand_Profile!$I$41,Matching_Engine!$BD$110)),1,0))+IF(Brand_Profile!$I$42="",0,IF(ISNUMBER(SEARCH(Brand_Profile!$I$42,Matching_Engine!$BD$110)),1,0))+IF(Brand_Profile!$I$43="",0,IF(ISNUMBER(SEARCH(Brand_Profile!$I$43,Matching_Engine!$BD$110)),1,0))+IF(Brand_Profile!$I$44="",0,IF(ISNUMBER(SEARCH(Brand_Profile!$I$44,Matching_Engine!$BD$110)),1,0))+IF(Brand_Profile!$I$45="",0,IF(ISNUMBER(SEARCH(Brand_Profile!$I$45,Matching_Engine!$BD$110)),1,0))+IF(Brand_Profile!$I$46="",0,IF(ISNUMBER(SEARCH(Brand_Profile!$I$46,Matching_Engine!$BD$110)),1,0)))/Brand_Profile!$I$47*100,0)))</f>
      </c>
      <c r="L110" s="18">
        <f>IF(NOT(AND(ISTEXT(KOL_Source_Data!$U$14),KOL_Source_Data!$U$14&lt;&gt;"N/A")),"N/A",IF(Brand_Profile!$I$53=0,Lookup_Lists!$D$150,ROUND((IF(Brand_Profile!$I$48="",0,IF(ISNUMBER(SEARCH(Brand_Profile!$I$48,Matching_Engine!$BF$110)),1,0))+IF(Brand_Profile!$I$49="",0,IF(ISNUMBER(SEARCH(Brand_Profile!$I$49,Matching_Engine!$BF$110)),1,0))+IF(Brand_Profile!$I$50="",0,IF(ISNUMBER(SEARCH(Brand_Profile!$I$50,Matching_Engine!$BF$110)),1,0))+IF(Brand_Profile!$I$51="",0,IF(ISNUMBER(SEARCH(Brand_Profile!$I$51,Matching_Engine!$BF$110)),1,0))+IF(Brand_Profile!$I$52="",0,IF(ISNUMBER(SEARCH(Brand_Profile!$I$52,Matching_Engine!$BF$110)),1,0)))/Brand_Profile!$I$53*100,0)))</f>
      </c>
      <c r="M110" s="29">
        <f>IF((IF(ISNUMBER(Matching_Engine!$J$110),Lookup_Lists!$D$332,0)+IF(ISNUMBER(Matching_Engine!$K$110),Lookup_Lists!$D$333,0)+IF(ISNUMBER(Matching_Engine!$L$110),Lookup_Lists!$D$334,0))=0,"N/A",ROUND((IF(ISNUMBER(Matching_Engine!$J$110),Matching_Engine!$J$110*Lookup_Lists!$D$332,0)+IF(ISNUMBER(Matching_Engine!$K$110),Matching_Engine!$K$110*Lookup_Lists!$D$333,0)+IF(ISNUMBER(Matching_Engine!$L$110),Matching_Engine!$L$110*Lookup_Lists!$D$334,0))/(IF(ISNUMBER(Matching_Engine!$J$110),Lookup_Lists!$D$332,0)+IF(ISNUMBER(Matching_Engine!$K$110),Lookup_Lists!$D$333,0)+IF(ISNUMBER(Matching_Engine!$L$110),Lookup_Lists!$D$334,0)),0))</f>
      </c>
      <c r="N110" s="11">
        <f>IF(ISNUMBER(Matching_Engine!$M$110),1,0)</f>
      </c>
      <c r="O110" s="18">
        <f>IF(NOT(ISNUMBER(IFERROR(INDEX(KOL_Source_Data!$V$14:KOL_Source_Data!$Z$14,1,MATCH(Brand_Profile!$I$11,Lookup_Lists!$F$6:$F$10,0)),""))),"N/A",MIN(100,ROUND((IFERROR(INDEX(KOL_Source_Data!$V$14:KOL_Source_Data!$Z$14,1,MATCH(Brand_Profile!$I$11,Lookup_Lists!$F$6:$F$10,0)),"")+0.5*IF(ISNUMBER(IFERROR(INDEX(KOL_Source_Data!$V$14:KOL_Source_Data!$Z$14,1,MATCH(Brand_Profile!$I$12,Lookup_Lists!$F$6:$F$10,0)),"")),IFERROR(INDEX(KOL_Source_Data!$V$14:KOL_Source_Data!$Z$14,1,MATCH(Brand_Profile!$I$12,Lookup_Lists!$F$6:$F$10,0)),""),0))/Lookup_Lists!$D$142*100,0)))</f>
      </c>
      <c r="P110" s="18">
        <f>IF(Brand_Profile!$I$13="Any",100,IF(NOT(ISNUMBER(KOL_Source_Data!$AA$14)),"N/A",IF(Brand_Profile!$I$13="Female",MIN(100,ROUND(KOL_Source_Data!$AA$14/Lookup_Lists!$D$143*100,0)),IF(Brand_Profile!$I$13="Male",MIN(100,ROUND(IF(ISNUMBER(KOL_Source_Data!$AB$14),KOL_Source_Data!$AB$14,100-KOL_Source_Data!$AA$14)/Lookup_Lists!$D$143*100,0)),MAX(0,ROUND(100-ABS(KOL_Source_Data!$AA$14-50)*2,0))))))</f>
      </c>
      <c r="Q110" s="18">
        <f>IF((IF(ISNUMBER(IF(NOT(ISNUMBER(KOL_Source_Data!$AE$14)),"N/A",IF(KOL_Source_Data!$AD$14&lt;&gt;Brand_Profile!$I$14,Lookup_Lists!$D$151,MIN(100,ROUND(KOL_Source_Data!$AE$14/Lookup_Lists!$D$316*100,0))))),Lookup_Lists!$D$118,0)+IF(ISNUMBER(IF(NOT(ISNUMBER(KOL_Source_Data!$AM$14)),"N/A",MIN(100,ROUND((IF(KOL_Source_Data!$AG$14=Brand_Profile!$I$15,IF(ISNUMBER(KOL_Source_Data!$AH$14),KOL_Source_Data!$AH$14,0),0)+IF(KOL_Source_Data!$AI$14=Brand_Profile!$I$15,IF(ISNUMBER(KOL_Source_Data!$AJ$14),KOL_Source_Data!$AJ$14,0),0)+IF(KOL_Source_Data!$AK$14=Brand_Profile!$I$15,IF(ISNUMBER(KOL_Source_Data!$AL$14),KOL_Source_Data!$AL$14,0),0))/Lookup_Lists!$D$317*100,0)))),Lookup_Lists!$D$120,0))=0,"N/A",ROUND((IF(ISNUMBER(IF(NOT(ISNUMBER(KOL_Source_Data!$AE$14)),"N/A",IF(KOL_Source_Data!$AD$14&lt;&gt;Brand_Profile!$I$14,Lookup_Lists!$D$151,MIN(100,ROUND(KOL_Source_Data!$AE$14/Lookup_Lists!$D$316*100,0))))),IF(NOT(ISNUMBER(KOL_Source_Data!$AE$14)),"N/A",IF(KOL_Source_Data!$AD$14&lt;&gt;Brand_Profile!$I$14,Lookup_Lists!$D$151,MIN(100,ROUND(KOL_Source_Data!$AE$14/Lookup_Lists!$D$316*100,0))))*Lookup_Lists!$D$118,0)+IF(ISNUMBER(IF(NOT(ISNUMBER(KOL_Source_Data!$AM$14)),"N/A",MIN(100,ROUND((IF(KOL_Source_Data!$AG$14=Brand_Profile!$I$15,IF(ISNUMBER(KOL_Source_Data!$AH$14),KOL_Source_Data!$AH$14,0),0)+IF(KOL_Source_Data!$AI$14=Brand_Profile!$I$15,IF(ISNUMBER(KOL_Source_Data!$AJ$14),KOL_Source_Data!$AJ$14,0),0)+IF(KOL_Source_Data!$AK$14=Brand_Profile!$I$15,IF(ISNUMBER(KOL_Source_Data!$AL$14),KOL_Source_Data!$AL$14,0),0))/Lookup_Lists!$D$317*100,0)))),IF(NOT(ISNUMBER(KOL_Source_Data!$AM$14)),"N/A",MIN(100,ROUND((IF(KOL_Source_Data!$AG$14=Brand_Profile!$I$15,IF(ISNUMBER(KOL_Source_Data!$AH$14),KOL_Source_Data!$AH$14,0),0)+IF(KOL_Source_Data!$AI$14=Brand_Profile!$I$15,IF(ISNUMBER(KOL_Source_Data!$AJ$14),KOL_Source_Data!$AJ$14,0),0)+IF(KOL_Source_Data!$AK$14=Brand_Profile!$I$15,IF(ISNUMBER(KOL_Source_Data!$AL$14),KOL_Source_Data!$AL$14,0),0))/Lookup_Lists!$D$317*100,0)))*Lookup_Lists!$D$120,0))/(IF(ISNUMBER(IF(NOT(ISNUMBER(KOL_Source_Data!$AE$14)),"N/A",IF(KOL_Source_Data!$AD$14&lt;&gt;Brand_Profile!$I$14,Lookup_Lists!$D$151,MIN(100,ROUND(KOL_Source_Data!$AE$14/Lookup_Lists!$D$316*100,0))))),Lookup_Lists!$D$118,0)+IF(ISNUMBER(IF(NOT(ISNUMBER(KOL_Source_Data!$AM$14)),"N/A",MIN(100,ROUND((IF(KOL_Source_Data!$AG$14=Brand_Profile!$I$15,IF(ISNUMBER(KOL_Source_Data!$AH$14),KOL_Source_Data!$AH$14,0),0)+IF(KOL_Source_Data!$AI$14=Brand_Profile!$I$15,IF(ISNUMBER(KOL_Source_Data!$AJ$14),KOL_Source_Data!$AJ$14,0),0)+IF(KOL_Source_Data!$AK$14=Brand_Profile!$I$15,IF(ISNUMBER(KOL_Source_Data!$AL$14),KOL_Source_Data!$AL$14,0),0))/Lookup_Lists!$D$317*100,0)))),Lookup_Lists!$D$120,0)),0))</f>
      </c>
      <c r="R110" s="18">
        <f>IF(NOT(ISNUMBER(KOL_Source_Data!$AN$14)),"N/A",MIN(100,ROUND((IF(ISNUMBER(KOL_Source_Data!$AO$14),KOL_Source_Data!$AO$14*Brand_Profile!$I$17,0)+IF(ISNUMBER(KOL_Source_Data!$AP$14),KOL_Source_Data!$AP$14*Brand_Profile!$I$18,0)+IF(ISNUMBER(KOL_Source_Data!$AQ$14),KOL_Source_Data!$AQ$14*Brand_Profile!$I$19,0)+IF(ISNUMBER(KOL_Source_Data!$AR$14),KOL_Source_Data!$AR$14*Brand_Profile!$I$20,0)+IF(ISNUMBER(KOL_Source_Data!$AS$14),KOL_Source_Data!$AS$14*Brand_Profile!$I$21,0)+IF(ISNUMBER(KOL_Source_Data!$AT$14),KOL_Source_Data!$AT$14*Brand_Profile!$I$22,0)+IF(ISNUMBER(KOL_Source_Data!$AU$14),KOL_Source_Data!$AU$14*Brand_Profile!$I$23,0)+IF(ISNUMBER(KOL_Source_Data!$AV$14),KOL_Source_Data!$AV$14*Brand_Profile!$I$24,0)+IF(ISNUMBER(KOL_Source_Data!$AW$14),KOL_Source_Data!$AW$14*Brand_Profile!$I$25,0)+IF(ISNUMBER(KOL_Source_Data!$AX$14),KOL_Source_Data!$AX$14*Brand_Profile!$I$26,0)+IF(ISNUMBER(KOL_Source_Data!$AY$14),KOL_Source_Data!$AY$14*Brand_Profile!$I$27,0)+IF(ISNUMBER(KOL_Source_Data!$AZ$14),KOL_Source_Data!$AZ$14*Brand_Profile!$I$28,0)+IF(ISNUMBER(KOL_Source_Data!$BA$14),KOL_Source_Data!$BA$14*Brand_Profile!$I$29,0)+IF(ISNUMBER(KOL_Source_Data!$BB$14),KOL_Source_Data!$BB$14*Brand_Profile!$I$30,0)+IF(ISNUMBER(KOL_Source_Data!$BC$14),KOL_Source_Data!$BC$14*Brand_Profile!$I$31,0)+IF(ISNUMBER(KOL_Source_Data!$BD$14),KOL_Source_Data!$BD$14*Brand_Profile!$I$32,0)+IF(ISNUMBER(KOL_Source_Data!$BE$14),KOL_Source_Data!$BE$14*Brand_Profile!$I$33,0)+IF(ISNUMBER(KOL_Source_Data!$BF$14),KOL_Source_Data!$BF$14*Brand_Profile!$I$34,0))/Lookup_Lists!$D$318*100,0)))</f>
      </c>
      <c r="S110" s="29">
        <f>IF((IF(ISNUMBER(Matching_Engine!$O$110),Lookup_Lists!$D$113,0)+IF(ISNUMBER(Matching_Engine!$P$110),Lookup_Lists!$D$114,0)+IF(ISNUMBER(Matching_Engine!$Q$110),Lookup_Lists!$D$115,0)+IF(ISNUMBER(Matching_Engine!$R$110),Lookup_Lists!$D$116,0))=0,"N/A",ROUND((IF(ISNUMBER(Matching_Engine!$O$110),Matching_Engine!$O$110*Lookup_Lists!$D$113,0)+IF(ISNUMBER(Matching_Engine!$P$110),Matching_Engine!$P$110*Lookup_Lists!$D$114,0)+IF(ISNUMBER(Matching_Engine!$Q$110),Matching_Engine!$Q$110*Lookup_Lists!$D$115,0)+IF(ISNUMBER(Matching_Engine!$R$110),Matching_Engine!$R$110*Lookup_Lists!$D$116,0))/(IF(ISNUMBER(Matching_Engine!$O$110),Lookup_Lists!$D$113,0)+IF(ISNUMBER(Matching_Engine!$P$110),Lookup_Lists!$D$114,0)+IF(ISNUMBER(Matching_Engine!$Q$110),Lookup_Lists!$D$115,0)+IF(ISNUMBER(Matching_Engine!$R$110),Lookup_Lists!$D$116,0)),0))</f>
      </c>
      <c r="T110" s="11">
        <f>IF(ISNUMBER(Matching_Engine!$S$110),1,0)</f>
      </c>
      <c r="U110" s="18">
        <f>IF(NOT(AND(ISTEXT(KOL_Source_Data!$M$14),KOL_Source_Data!$M$14&lt;&gt;"N/A")),Lookup_Lists!$D$150,IF(Brand_Profile!$I$7=KOL_Source_Data!$M$14,100,IFERROR(INDEX(Lookup_Lists!$B$349:$J$357,MATCH(Brand_Profile!$I$7,Lookup_Lists!$A$349:$A$357,0),MATCH(KOL_Source_Data!$M$14,Lookup_Lists!$B$348:$J$348,0)),Lookup_Lists!$D$151)))</f>
      </c>
      <c r="V110" s="18">
        <f>IF(NOT(AND(ISTEXT(KOL_Source_Data!$P$14),KOL_Source_Data!$P$14&lt;&gt;"N/A")),"N/A",IFERROR(INDEX(Lookup_Lists!$B$349:$J$357,MATCH(Brand_Profile!$I$7,Lookup_Lists!$A$349:$A$357,0),MATCH(KOL_Source_Data!$P$14,Lookup_Lists!$B$348:$J$348,0)),Lookup_Lists!$D$151))</f>
      </c>
      <c r="W110" s="18">
        <f>IF(LEN(TRIM(SUBSTITUTE(Matching_Engine!$BE$110,"|","")))=0,"N/A",IF(Brand_Profile!$I$60=0,Lookup_Lists!$D$150,ROUND((IF(Brand_Profile!$I$54="",0,IF(ISNUMBER(SEARCH(Brand_Profile!$I$54,Matching_Engine!$BE$110)),1,0))+IF(Brand_Profile!$I$55="",0,IF(ISNUMBER(SEARCH(Brand_Profile!$I$55,Matching_Engine!$BE$110)),1,0))+IF(Brand_Profile!$I$56="",0,IF(ISNUMBER(SEARCH(Brand_Profile!$I$56,Matching_Engine!$BE$110)),1,0))+IF(Brand_Profile!$I$57="",0,IF(ISNUMBER(SEARCH(Brand_Profile!$I$57,Matching_Engine!$BE$110)),1,0))+IF(Brand_Profile!$I$58="",0,IF(ISNUMBER(SEARCH(Brand_Profile!$I$58,Matching_Engine!$BE$110)),1,0))+IF(Brand_Profile!$I$59="",0,IF(ISNUMBER(SEARCH(Brand_Profile!$I$59,Matching_Engine!$BE$110)),1,0)))/Brand_Profile!$I$60*100,0)))</f>
      </c>
      <c r="X110" s="18">
        <f>IF(NOT(AND(ISTEXT(KOL_Source_Data!$Q$14),KOL_Source_Data!$Q$14&lt;&gt;"N/A")),"N/A",Lookup_Lists!$D$150)</f>
      </c>
      <c r="Y110" s="29">
        <f>IF((IF(ISNUMBER(Matching_Engine!$U$110),Lookup_Lists!$D$335,0)+IF(ISNUMBER(Matching_Engine!$V$110),Lookup_Lists!$D$122,0)+IF(ISNUMBER(Matching_Engine!$W$110),Lookup_Lists!$D$336,0)+IF(ISNUMBER(Matching_Engine!$X$110),Lookup_Lists!$D$124,0))=0,"N/A",ROUND((IF(ISNUMBER(Matching_Engine!$U$110),Matching_Engine!$U$110*Lookup_Lists!$D$335,0)+IF(ISNUMBER(Matching_Engine!$V$110),Matching_Engine!$V$110*Lookup_Lists!$D$122,0)+IF(ISNUMBER(Matching_Engine!$W$110),Matching_Engine!$W$110*Lookup_Lists!$D$336,0)+IF(ISNUMBER(Matching_Engine!$X$110),Matching_Engine!$X$110*Lookup_Lists!$D$124,0))/(IF(ISNUMBER(Matching_Engine!$U$110),Lookup_Lists!$D$335,0)+IF(ISNUMBER(Matching_Engine!$V$110),Lookup_Lists!$D$122,0)+IF(ISNUMBER(Matching_Engine!$W$110),Lookup_Lists!$D$336,0)+IF(ISNUMBER(Matching_Engine!$X$110),Lookup_Lists!$D$124,0)),0))</f>
      </c>
      <c r="Z110" s="11">
        <f>IF(ISNUMBER(Matching_Engine!$Y$110),1,0)</f>
      </c>
      <c r="AA110" s="18">
        <f>IF(NOT(AND(ISTEXT(KOL_Source_Data!$Q$14),KOL_Source_Data!$Q$14&lt;&gt;"N/A")),"N/A",Lookup_Lists!$D$150)</f>
      </c>
      <c r="AB110" s="18">
        <f>IF(NOT(AND(ISTEXT(KOL_Source_Data!$Q$14),KOL_Source_Data!$Q$14&lt;&gt;"N/A")),"N/A",Lookup_Lists!$D$150)</f>
      </c>
      <c r="AC110" s="18">
        <f>"N/A"</f>
      </c>
      <c r="AD110" s="18">
        <f>IF(NOT(AND(ISTEXT(KOL_Source_Data!$Q$14),KOL_Source_Data!$Q$14&lt;&gt;"N/A")),"N/A",Lookup_Lists!$D$150)</f>
      </c>
      <c r="AE110" s="29">
        <f>IF((IF(ISNUMBER(Matching_Engine!$AA$110),Lookup_Lists!$D$125,0)+IF(ISNUMBER(Matching_Engine!$AB$110),Lookup_Lists!$D$126,0)+IF(ISNUMBER(Matching_Engine!$AC$110),Lookup_Lists!$D$127,0)+IF(ISNUMBER(Matching_Engine!$AD$110),Lookup_Lists!$D$128,0))=0,"N/A",ROUND((IF(ISNUMBER(Matching_Engine!$AA$110),Matching_Engine!$AA$110*Lookup_Lists!$D$125,0)+IF(ISNUMBER(Matching_Engine!$AB$110),Matching_Engine!$AB$110*Lookup_Lists!$D$126,0)+IF(ISNUMBER(Matching_Engine!$AC$110),Matching_Engine!$AC$110*Lookup_Lists!$D$127,0)+IF(ISNUMBER(Matching_Engine!$AD$110),Matching_Engine!$AD$110*Lookup_Lists!$D$128,0))/(IF(ISNUMBER(Matching_Engine!$AA$110),Lookup_Lists!$D$125,0)+IF(ISNUMBER(Matching_Engine!$AB$110),Lookup_Lists!$D$126,0)+IF(ISNUMBER(Matching_Engine!$AC$110),Lookup_Lists!$D$127,0)+IF(ISNUMBER(Matching_Engine!$AD$110),Lookup_Lists!$D$128,0)),0))</f>
      </c>
      <c r="AF110" s="11">
        <f>IF(ISNUMBER(Matching_Engine!$AE$110),1,0)</f>
      </c>
      <c r="AG110" s="18">
        <f>IF(NOT(ISNUMBER(KOL_Source_Data!$BG$14)),"N/A",MIN(100,ROUND(KOL_Source_Data!$BG$14/IFERROR(INDEX(Lookup_Lists!$B$340:$B$344,MATCH(KOL_Source_Data!$H$14,Lookup_Lists!$A$340:$A$344,0)),Lookup_Lists!$D$141)*100,0)))</f>
      </c>
      <c r="AH110" s="18">
        <f>IF(NOT(ISNUMBER(KOL_Source_Data!$BS$14)),"N/A",MIN(100,MAX(0,KOL_Source_Data!$BS$14)))</f>
      </c>
      <c r="AI110" s="18">
        <f>IF(OR(NOT(ISNUMBER(KOL_Source_Data!$BM$14)),NOT(ISNUMBER(KOL_Source_Data!$BN$14)),KOL_Source_Data!$BN$14&lt;Lookup_Lists!$D$320),"N/A",MIN(100,ROUND(KOL_Source_Data!$BM$14/Lookup_Lists!$D$319*100,0)))</f>
      </c>
      <c r="AJ110" s="18">
        <f>IF(NOT(ISNUMBER(KOL_Source_Data!$BR$14)),"N/A",KOL_Source_Data!$BR$14)</f>
      </c>
      <c r="AK110" s="18">
        <f>IF(NOT(ISNUMBER(KOL_Source_Data!$BK$14)),"N/A",MIN(100,ROUND(KOL_Source_Data!$BK$14/Lookup_Lists!$D$321*100,0)))</f>
      </c>
      <c r="AL110" s="18">
        <f>IF(NOT(ISNUMBER(KOL_Source_Data!$BP$14)),"N/A",MIN(100,MAX(0,ROUND((KOL_Source_Data!$BP$14+2)/(Lookup_Lists!$D$145+2)*100,0))))</f>
      </c>
      <c r="AM110" s="29">
        <f>IF((IF(ISNUMBER(Matching_Engine!$AG$110),Lookup_Lists!$D$129,0)+IF(ISNUMBER(Matching_Engine!$AH$110),Lookup_Lists!$D$130,0)+IF(ISNUMBER(Matching_Engine!$AI$110),Lookup_Lists!$D$131,0)+IF(ISNUMBER(Matching_Engine!$AJ$110),Lookup_Lists!$D$132,0)+IF(ISNUMBER(Matching_Engine!$AK$110),Lookup_Lists!$D$133,0)+IF(ISNUMBER(Matching_Engine!$AL$110),Lookup_Lists!$D$134,0))=0,"N/A",ROUND((IF(ISNUMBER(Matching_Engine!$AG$110),Matching_Engine!$AG$110*Lookup_Lists!$D$129,0)+IF(ISNUMBER(Matching_Engine!$AH$110),Matching_Engine!$AH$110*Lookup_Lists!$D$130,0)+IF(ISNUMBER(Matching_Engine!$AI$110),Matching_Engine!$AI$110*Lookup_Lists!$D$131,0)+IF(ISNUMBER(Matching_Engine!$AJ$110),Matching_Engine!$AJ$110*Lookup_Lists!$D$132,0)+IF(ISNUMBER(Matching_Engine!$AK$110),Matching_Engine!$AK$110*Lookup_Lists!$D$133,0)+IF(ISNUMBER(Matching_Engine!$AL$110),Matching_Engine!$AL$110*Lookup_Lists!$D$134,0))/(IF(ISNUMBER(Matching_Engine!$AG$110),Lookup_Lists!$D$129,0)+IF(ISNUMBER(Matching_Engine!$AH$110),Lookup_Lists!$D$130,0)+IF(ISNUMBER(Matching_Engine!$AI$110),Lookup_Lists!$D$131,0)+IF(ISNUMBER(Matching_Engine!$AJ$110),Lookup_Lists!$D$132,0)+IF(ISNUMBER(Matching_Engine!$AK$110),Lookup_Lists!$D$133,0)+IF(ISNUMBER(Matching_Engine!$AL$110),Lookup_Lists!$D$134,0)),0))</f>
      </c>
      <c r="AN110" s="11">
        <f>IF(ISNUMBER(Matching_Engine!$AM$110),1,0)</f>
      </c>
      <c r="AO110" s="18">
        <f>IF(NOT(ISNUMBER(KOL_Source_Data!$BT$14)),"N/A",MIN(100,MAX(0,KOL_Source_Data!$BT$14)))</f>
      </c>
      <c r="AP110" s="18">
        <f>IF(NOT(ISNUMBER(KOL_Source_Data!$BU$14)),"N/A",MIN(100,MAX(0,KOL_Source_Data!$BU$14)))</f>
      </c>
      <c r="AQ110" s="18">
        <f>IF(KOL_Source_Data!$I$14="Yes",Lookup_Lists!$D$326,IF(KOL_Source_Data!$I$14="No",Lookup_Lists!$D$327,"N/A"))</f>
      </c>
      <c r="AR110" s="18">
        <f>IF(NOT(ISNUMBER(KOL_Source_Data!$BQ$14)),"N/A",MAX(0,ROUND(100-KOL_Source_Data!$BQ$14/Lookup_Lists!$D$328*100,0)))</f>
      </c>
      <c r="AS110" s="18">
        <f>IF(NOT(AND(ISTEXT(KOL_Source_Data!$BV$14),KOL_Source_Data!$BV$14&lt;&gt;"N/A")),"N/A",KOL_Source_Data!$BV$14)</f>
      </c>
      <c r="AT110" s="29">
        <f>IF((IF(ISNUMBER(Matching_Engine!$AO$110),Lookup_Lists!$D$322,0)+IF(ISNUMBER(Matching_Engine!$AP$110),Lookup_Lists!$D$323,0)+IF(ISNUMBER(Matching_Engine!$AQ$110),Lookup_Lists!$D$324,0)+IF(ISNUMBER(Matching_Engine!$AR$110),Lookup_Lists!$D$325,0))=0,"N/A",ROUND((IF(ISNUMBER(Matching_Engine!$AO$110),Matching_Engine!$AO$110*Lookup_Lists!$D$322,0)+IF(ISNUMBER(Matching_Engine!$AP$110),Matching_Engine!$AP$110*Lookup_Lists!$D$323,0)+IF(ISNUMBER(Matching_Engine!$AQ$110),Matching_Engine!$AQ$110*Lookup_Lists!$D$324,0)+IF(ISNUMBER(Matching_Engine!$AR$110),Matching_Engine!$AR$110*Lookup_Lists!$D$325,0))/(IF(ISNUMBER(Matching_Engine!$AO$110),Lookup_Lists!$D$322,0)+IF(ISNUMBER(Matching_Engine!$AP$110),Lookup_Lists!$D$323,0)+IF(ISNUMBER(Matching_Engine!$AQ$110),Lookup_Lists!$D$324,0)+IF(ISNUMBER(Matching_Engine!$AR$110),Lookup_Lists!$D$325,0)),0))</f>
      </c>
      <c r="AU110" s="11">
        <f>IF(ISNUMBER(Matching_Engine!$AT$110),1,0)</f>
      </c>
      <c r="AV110" s="11">
        <f>IF(NOT(ISNUMBER(Matching_Engine!$AT$110)),"Not Screened",IF(Matching_Engine!$AT$110&gt;=Lookup_Lists!$D$329,"Low Risk",IF(Matching_Engine!$AT$110&gt;=Lookup_Lists!$D$330,"Moderate Risk",IF(Matching_Engine!$AT$110&gt;=Lookup_Lists!$D$331,"Elevated Risk","High Risk"))))</f>
      </c>
      <c r="AW110" s="11">
        <f>IF(NOT(ISNUMBER(Matching_Engine!$AT$110)),"No integrity signal: no audience-analysis row for this account.","Integrity screen only — no content-risk reading exists (comments_analysis: 0 rows). "&amp;IF(ISNUMBER(Matching_Engine!$AO$110),"Authenticity "&amp;Matching_Engine!$AO$110&amp;". ","Authenticity N/A. ")&amp;IF(ISNUMBER(Matching_Engine!$AP$110),"Follower quality "&amp;Matching_Engine!$AP$110&amp;". ","Follower quality N/A. ")&amp;IF(KOL_Source_Data!$I$14="Yes","Platform-verified.","Not platform-verified."))</f>
      </c>
      <c r="AX110" s="18">
        <f>Matching_Engine!$N$110*Lookup_Lists!$D$104+Matching_Engine!$T$110*Lookup_Lists!$D$105+Matching_Engine!$Z$110*Lookup_Lists!$D$106+Matching_Engine!$AF$110*Lookup_Lists!$D$107+Matching_Engine!$AN$110*Lookup_Lists!$D$108+Matching_Engine!$AU$110*Lookup_Lists!$D$109</f>
      </c>
      <c r="AY110" s="30">
        <f>IF(Matching_Engine!$AX$110=0,"N/A",ROUND((IF(Matching_Engine!$N$110=1,Matching_Engine!$M$110*Lookup_Lists!$D$104,0)+IF(Matching_Engine!$T$110=1,Matching_Engine!$S$110*Lookup_Lists!$D$105,0)+IF(Matching_Engine!$Z$110=1,Matching_Engine!$Y$110*Lookup_Lists!$D$106,0)+IF(Matching_Engine!$AF$110=1,Matching_Engine!$AE$110*Lookup_Lists!$D$107,0)+IF(Matching_Engine!$AN$110=1,Matching_Engine!$AM$110*Lookup_Lists!$D$108,0)+IF(Matching_Engine!$AU$110=1,Matching_Engine!$AT$110*Lookup_Lists!$D$109,0))/Matching_Engine!$AX$110,0))</f>
      </c>
      <c r="AZ110" s="11">
        <f>IF(NOT(ISNUMBER(Matching_Engine!$AY$110)),"Not Scored",IF(Matching_Engine!$AY$110&gt;=Lookup_Lists!$D$152,"Excellent Match",IF(Matching_Engine!$AY$110&gt;=Lookup_Lists!$D$153,"Strong Match",IF(Matching_Engine!$AY$110&gt;=Lookup_Lists!$D$154,"Good Match",IF(Matching_Engine!$AY$110&gt;=Lookup_Lists!$D$155,"Moderate Match","Low Match")))))</f>
      </c>
      <c r="BA110" s="18">
        <f>KOL_Source_Data!$BW$14</f>
      </c>
      <c r="BB110" s="11">
        <f>KOL_Source_Data!$BX$14</f>
      </c>
      <c r="BC110" s="18">
        <f>IF(NOT(ISNUMBER(Matching_Engine!$AY$110)),-1,Matching_Engine!$AY$110*1000+16)</f>
      </c>
      <c r="BD110" s="11">
        <f>IF(AND(ISTEXT(KOL_Source_Data!$S$14),KOL_Source_Data!$S$14&lt;&gt;"N/A"),KOL_Source_Data!$S$14,"")&amp;" | "&amp;IF(AND(ISTEXT(KOL_Source_Data!$T$14),KOL_Source_Data!$T$14&lt;&gt;"N/A"),KOL_Source_Data!$T$14,"")&amp;" | "&amp;IF(AND(ISTEXT(KOL_Source_Data!$N$14),KOL_Source_Data!$N$14&lt;&gt;"N/A"),KOL_Source_Data!$N$14,"")&amp;" | "&amp;IF(AND(ISTEXT(KOL_Source_Data!$K$14),KOL_Source_Data!$K$14&lt;&gt;"N/A"),KOL_Source_Data!$K$14,"")&amp;" | "&amp;IF(AND(ISTEXT(KOL_Source_Data!$J$14),KOL_Source_Data!$J$14&lt;&gt;"N/A"),KOL_Source_Data!$J$14,"")</f>
      </c>
      <c r="BE110" s="11">
        <f>IF(AND(ISTEXT(KOL_Source_Data!$T$14),KOL_Source_Data!$T$14&lt;&gt;"N/A"),KOL_Source_Data!$T$14,"")&amp;" | "&amp;IF(AND(ISTEXT(KOL_Source_Data!$N$14),KOL_Source_Data!$N$14&lt;&gt;"N/A"),KOL_Source_Data!$N$14,"")&amp;" | "&amp;IF(AND(ISTEXT(KOL_Source_Data!$O$14),KOL_Source_Data!$O$14&lt;&gt;"N/A"),KOL_Source_Data!$O$14,"")&amp;" | "&amp;IF(AND(ISTEXT(KOL_Source_Data!$S$14),KOL_Source_Data!$S$14&lt;&gt;"N/A"),KOL_Source_Data!$S$14,"")</f>
      </c>
      <c r="BF110" s="11">
        <f>IF(AND(ISTEXT(KOL_Source_Data!$U$14),KOL_Source_Data!$U$14&lt;&gt;"N/A"),KOL_Source_Data!$U$14,"")</f>
      </c>
      <c r="BG110" s="11">
        <f>Matching_Engine!$A$110&amp;"|"&amp;Matching_Engine!$C$110</f>
      </c>
    </row>
    <row r="111" spans="1:59" x14ac:dyDescent="0.25">
      <c r="A111" s="10" t="s">
        <v>394</v>
      </c>
      <c r="B111" s="11">
        <f>Brand_Profile!$I$6</f>
      </c>
      <c r="C111" s="11">
        <f>KOL_Source_Data!$A$15</f>
      </c>
      <c r="D111" s="11">
        <f>KOL_Source_Data!$C$15</f>
      </c>
      <c r="E111" s="11">
        <f>KOL_Source_Data!$D$15</f>
      </c>
      <c r="F111" s="11">
        <f>KOL_Source_Data!$E$15</f>
      </c>
      <c r="G111" s="11">
        <f>KOL_Source_Data!$K$15</f>
      </c>
      <c r="H111" s="12">
        <f>KOL_Source_Data!$G$15</f>
      </c>
      <c r="I111" s="14">
        <f>KOL_Source_Data!$BG$15</f>
      </c>
      <c r="J111" s="18">
        <f>IF(NOT(AND(ISTEXT(KOL_Source_Data!$K$15),KOL_Source_Data!$K$15&lt;&gt;"N/A")),Lookup_Lists!$D$150,IF(Brand_Profile!$I$7=KOL_Source_Data!$K$15,100,IFERROR(INDEX(Lookup_Lists!$B$349:$J$357,MATCH(Brand_Profile!$I$7,Lookup_Lists!$A$349:$A$357,0),MATCH(KOL_Source_Data!$K$15,Lookup_Lists!$B$348:$J$348,0)),Lookup_Lists!$D$151)))</f>
      </c>
      <c r="K111" s="18">
        <f>IF(LEN(TRIM(SUBSTITUTE(Matching_Engine!$BD$111,"|","")))=0,"N/A",IF(Brand_Profile!$I$47=0,Lookup_Lists!$D$150,ROUND((IF(Brand_Profile!$I$41="",0,IF(ISNUMBER(SEARCH(Brand_Profile!$I$41,Matching_Engine!$BD$111)),1,0))+IF(Brand_Profile!$I$42="",0,IF(ISNUMBER(SEARCH(Brand_Profile!$I$42,Matching_Engine!$BD$111)),1,0))+IF(Brand_Profile!$I$43="",0,IF(ISNUMBER(SEARCH(Brand_Profile!$I$43,Matching_Engine!$BD$111)),1,0))+IF(Brand_Profile!$I$44="",0,IF(ISNUMBER(SEARCH(Brand_Profile!$I$44,Matching_Engine!$BD$111)),1,0))+IF(Brand_Profile!$I$45="",0,IF(ISNUMBER(SEARCH(Brand_Profile!$I$45,Matching_Engine!$BD$111)),1,0))+IF(Brand_Profile!$I$46="",0,IF(ISNUMBER(SEARCH(Brand_Profile!$I$46,Matching_Engine!$BD$111)),1,0)))/Brand_Profile!$I$47*100,0)))</f>
      </c>
      <c r="L111" s="18">
        <f>IF(NOT(AND(ISTEXT(KOL_Source_Data!$U$15),KOL_Source_Data!$U$15&lt;&gt;"N/A")),"N/A",IF(Brand_Profile!$I$53=0,Lookup_Lists!$D$150,ROUND((IF(Brand_Profile!$I$48="",0,IF(ISNUMBER(SEARCH(Brand_Profile!$I$48,Matching_Engine!$BF$111)),1,0))+IF(Brand_Profile!$I$49="",0,IF(ISNUMBER(SEARCH(Brand_Profile!$I$49,Matching_Engine!$BF$111)),1,0))+IF(Brand_Profile!$I$50="",0,IF(ISNUMBER(SEARCH(Brand_Profile!$I$50,Matching_Engine!$BF$111)),1,0))+IF(Brand_Profile!$I$51="",0,IF(ISNUMBER(SEARCH(Brand_Profile!$I$51,Matching_Engine!$BF$111)),1,0))+IF(Brand_Profile!$I$52="",0,IF(ISNUMBER(SEARCH(Brand_Profile!$I$52,Matching_Engine!$BF$111)),1,0)))/Brand_Profile!$I$53*100,0)))</f>
      </c>
      <c r="M111" s="29">
        <f>IF((IF(ISNUMBER(Matching_Engine!$J$111),Lookup_Lists!$D$332,0)+IF(ISNUMBER(Matching_Engine!$K$111),Lookup_Lists!$D$333,0)+IF(ISNUMBER(Matching_Engine!$L$111),Lookup_Lists!$D$334,0))=0,"N/A",ROUND((IF(ISNUMBER(Matching_Engine!$J$111),Matching_Engine!$J$111*Lookup_Lists!$D$332,0)+IF(ISNUMBER(Matching_Engine!$K$111),Matching_Engine!$K$111*Lookup_Lists!$D$333,0)+IF(ISNUMBER(Matching_Engine!$L$111),Matching_Engine!$L$111*Lookup_Lists!$D$334,0))/(IF(ISNUMBER(Matching_Engine!$J$111),Lookup_Lists!$D$332,0)+IF(ISNUMBER(Matching_Engine!$K$111),Lookup_Lists!$D$333,0)+IF(ISNUMBER(Matching_Engine!$L$111),Lookup_Lists!$D$334,0)),0))</f>
      </c>
      <c r="N111" s="11">
        <f>IF(ISNUMBER(Matching_Engine!$M$111),1,0)</f>
      </c>
      <c r="O111" s="18">
        <f>IF(NOT(ISNUMBER(IFERROR(INDEX(KOL_Source_Data!$V$15:KOL_Source_Data!$Z$15,1,MATCH(Brand_Profile!$I$11,Lookup_Lists!$F$6:$F$10,0)),""))),"N/A",MIN(100,ROUND((IFERROR(INDEX(KOL_Source_Data!$V$15:KOL_Source_Data!$Z$15,1,MATCH(Brand_Profile!$I$11,Lookup_Lists!$F$6:$F$10,0)),"")+0.5*IF(ISNUMBER(IFERROR(INDEX(KOL_Source_Data!$V$15:KOL_Source_Data!$Z$15,1,MATCH(Brand_Profile!$I$12,Lookup_Lists!$F$6:$F$10,0)),"")),IFERROR(INDEX(KOL_Source_Data!$V$15:KOL_Source_Data!$Z$15,1,MATCH(Brand_Profile!$I$12,Lookup_Lists!$F$6:$F$10,0)),""),0))/Lookup_Lists!$D$142*100,0)))</f>
      </c>
      <c r="P111" s="18">
        <f>IF(Brand_Profile!$I$13="Any",100,IF(NOT(ISNUMBER(KOL_Source_Data!$AA$15)),"N/A",IF(Brand_Profile!$I$13="Female",MIN(100,ROUND(KOL_Source_Data!$AA$15/Lookup_Lists!$D$143*100,0)),IF(Brand_Profile!$I$13="Male",MIN(100,ROUND(IF(ISNUMBER(KOL_Source_Data!$AB$15),KOL_Source_Data!$AB$15,100-KOL_Source_Data!$AA$15)/Lookup_Lists!$D$143*100,0)),MAX(0,ROUND(100-ABS(KOL_Source_Data!$AA$15-50)*2,0))))))</f>
      </c>
      <c r="Q111" s="18">
        <f>IF((IF(ISNUMBER(IF(NOT(ISNUMBER(KOL_Source_Data!$AE$15)),"N/A",IF(KOL_Source_Data!$AD$15&lt;&gt;Brand_Profile!$I$14,Lookup_Lists!$D$151,MIN(100,ROUND(KOL_Source_Data!$AE$15/Lookup_Lists!$D$316*100,0))))),Lookup_Lists!$D$118,0)+IF(ISNUMBER(IF(NOT(ISNUMBER(KOL_Source_Data!$AM$15)),"N/A",MIN(100,ROUND((IF(KOL_Source_Data!$AG$15=Brand_Profile!$I$15,IF(ISNUMBER(KOL_Source_Data!$AH$15),KOL_Source_Data!$AH$15,0),0)+IF(KOL_Source_Data!$AI$15=Brand_Profile!$I$15,IF(ISNUMBER(KOL_Source_Data!$AJ$15),KOL_Source_Data!$AJ$15,0),0)+IF(KOL_Source_Data!$AK$15=Brand_Profile!$I$15,IF(ISNUMBER(KOL_Source_Data!$AL$15),KOL_Source_Data!$AL$15,0),0))/Lookup_Lists!$D$317*100,0)))),Lookup_Lists!$D$120,0))=0,"N/A",ROUND((IF(ISNUMBER(IF(NOT(ISNUMBER(KOL_Source_Data!$AE$15)),"N/A",IF(KOL_Source_Data!$AD$15&lt;&gt;Brand_Profile!$I$14,Lookup_Lists!$D$151,MIN(100,ROUND(KOL_Source_Data!$AE$15/Lookup_Lists!$D$316*100,0))))),IF(NOT(ISNUMBER(KOL_Source_Data!$AE$15)),"N/A",IF(KOL_Source_Data!$AD$15&lt;&gt;Brand_Profile!$I$14,Lookup_Lists!$D$151,MIN(100,ROUND(KOL_Source_Data!$AE$15/Lookup_Lists!$D$316*100,0))))*Lookup_Lists!$D$118,0)+IF(ISNUMBER(IF(NOT(ISNUMBER(KOL_Source_Data!$AM$15)),"N/A",MIN(100,ROUND((IF(KOL_Source_Data!$AG$15=Brand_Profile!$I$15,IF(ISNUMBER(KOL_Source_Data!$AH$15),KOL_Source_Data!$AH$15,0),0)+IF(KOL_Source_Data!$AI$15=Brand_Profile!$I$15,IF(ISNUMBER(KOL_Source_Data!$AJ$15),KOL_Source_Data!$AJ$15,0),0)+IF(KOL_Source_Data!$AK$15=Brand_Profile!$I$15,IF(ISNUMBER(KOL_Source_Data!$AL$15),KOL_Source_Data!$AL$15,0),0))/Lookup_Lists!$D$317*100,0)))),IF(NOT(ISNUMBER(KOL_Source_Data!$AM$15)),"N/A",MIN(100,ROUND((IF(KOL_Source_Data!$AG$15=Brand_Profile!$I$15,IF(ISNUMBER(KOL_Source_Data!$AH$15),KOL_Source_Data!$AH$15,0),0)+IF(KOL_Source_Data!$AI$15=Brand_Profile!$I$15,IF(ISNUMBER(KOL_Source_Data!$AJ$15),KOL_Source_Data!$AJ$15,0),0)+IF(KOL_Source_Data!$AK$15=Brand_Profile!$I$15,IF(ISNUMBER(KOL_Source_Data!$AL$15),KOL_Source_Data!$AL$15,0),0))/Lookup_Lists!$D$317*100,0)))*Lookup_Lists!$D$120,0))/(IF(ISNUMBER(IF(NOT(ISNUMBER(KOL_Source_Data!$AE$15)),"N/A",IF(KOL_Source_Data!$AD$15&lt;&gt;Brand_Profile!$I$14,Lookup_Lists!$D$151,MIN(100,ROUND(KOL_Source_Data!$AE$15/Lookup_Lists!$D$316*100,0))))),Lookup_Lists!$D$118,0)+IF(ISNUMBER(IF(NOT(ISNUMBER(KOL_Source_Data!$AM$15)),"N/A",MIN(100,ROUND((IF(KOL_Source_Data!$AG$15=Brand_Profile!$I$15,IF(ISNUMBER(KOL_Source_Data!$AH$15),KOL_Source_Data!$AH$15,0),0)+IF(KOL_Source_Data!$AI$15=Brand_Profile!$I$15,IF(ISNUMBER(KOL_Source_Data!$AJ$15),KOL_Source_Data!$AJ$15,0),0)+IF(KOL_Source_Data!$AK$15=Brand_Profile!$I$15,IF(ISNUMBER(KOL_Source_Data!$AL$15),KOL_Source_Data!$AL$15,0),0))/Lookup_Lists!$D$317*100,0)))),Lookup_Lists!$D$120,0)),0))</f>
      </c>
      <c r="R111" s="18">
        <f>IF(NOT(ISNUMBER(KOL_Source_Data!$AN$15)),"N/A",MIN(100,ROUND((IF(ISNUMBER(KOL_Source_Data!$AO$15),KOL_Source_Data!$AO$15*Brand_Profile!$I$17,0)+IF(ISNUMBER(KOL_Source_Data!$AP$15),KOL_Source_Data!$AP$15*Brand_Profile!$I$18,0)+IF(ISNUMBER(KOL_Source_Data!$AQ$15),KOL_Source_Data!$AQ$15*Brand_Profile!$I$19,0)+IF(ISNUMBER(KOL_Source_Data!$AR$15),KOL_Source_Data!$AR$15*Brand_Profile!$I$20,0)+IF(ISNUMBER(KOL_Source_Data!$AS$15),KOL_Source_Data!$AS$15*Brand_Profile!$I$21,0)+IF(ISNUMBER(KOL_Source_Data!$AT$15),KOL_Source_Data!$AT$15*Brand_Profile!$I$22,0)+IF(ISNUMBER(KOL_Source_Data!$AU$15),KOL_Source_Data!$AU$15*Brand_Profile!$I$23,0)+IF(ISNUMBER(KOL_Source_Data!$AV$15),KOL_Source_Data!$AV$15*Brand_Profile!$I$24,0)+IF(ISNUMBER(KOL_Source_Data!$AW$15),KOL_Source_Data!$AW$15*Brand_Profile!$I$25,0)+IF(ISNUMBER(KOL_Source_Data!$AX$15),KOL_Source_Data!$AX$15*Brand_Profile!$I$26,0)+IF(ISNUMBER(KOL_Source_Data!$AY$15),KOL_Source_Data!$AY$15*Brand_Profile!$I$27,0)+IF(ISNUMBER(KOL_Source_Data!$AZ$15),KOL_Source_Data!$AZ$15*Brand_Profile!$I$28,0)+IF(ISNUMBER(KOL_Source_Data!$BA$15),KOL_Source_Data!$BA$15*Brand_Profile!$I$29,0)+IF(ISNUMBER(KOL_Source_Data!$BB$15),KOL_Source_Data!$BB$15*Brand_Profile!$I$30,0)+IF(ISNUMBER(KOL_Source_Data!$BC$15),KOL_Source_Data!$BC$15*Brand_Profile!$I$31,0)+IF(ISNUMBER(KOL_Source_Data!$BD$15),KOL_Source_Data!$BD$15*Brand_Profile!$I$32,0)+IF(ISNUMBER(KOL_Source_Data!$BE$15),KOL_Source_Data!$BE$15*Brand_Profile!$I$33,0)+IF(ISNUMBER(KOL_Source_Data!$BF$15),KOL_Source_Data!$BF$15*Brand_Profile!$I$34,0))/Lookup_Lists!$D$318*100,0)))</f>
      </c>
      <c r="S111" s="29">
        <f>IF((IF(ISNUMBER(Matching_Engine!$O$111),Lookup_Lists!$D$113,0)+IF(ISNUMBER(Matching_Engine!$P$111),Lookup_Lists!$D$114,0)+IF(ISNUMBER(Matching_Engine!$Q$111),Lookup_Lists!$D$115,0)+IF(ISNUMBER(Matching_Engine!$R$111),Lookup_Lists!$D$116,0))=0,"N/A",ROUND((IF(ISNUMBER(Matching_Engine!$O$111),Matching_Engine!$O$111*Lookup_Lists!$D$113,0)+IF(ISNUMBER(Matching_Engine!$P$111),Matching_Engine!$P$111*Lookup_Lists!$D$114,0)+IF(ISNUMBER(Matching_Engine!$Q$111),Matching_Engine!$Q$111*Lookup_Lists!$D$115,0)+IF(ISNUMBER(Matching_Engine!$R$111),Matching_Engine!$R$111*Lookup_Lists!$D$116,0))/(IF(ISNUMBER(Matching_Engine!$O$111),Lookup_Lists!$D$113,0)+IF(ISNUMBER(Matching_Engine!$P$111),Lookup_Lists!$D$114,0)+IF(ISNUMBER(Matching_Engine!$Q$111),Lookup_Lists!$D$115,0)+IF(ISNUMBER(Matching_Engine!$R$111),Lookup_Lists!$D$116,0)),0))</f>
      </c>
      <c r="T111" s="11">
        <f>IF(ISNUMBER(Matching_Engine!$S$111),1,0)</f>
      </c>
      <c r="U111" s="18">
        <f>IF(NOT(AND(ISTEXT(KOL_Source_Data!$M$15),KOL_Source_Data!$M$15&lt;&gt;"N/A")),Lookup_Lists!$D$150,IF(Brand_Profile!$I$7=KOL_Source_Data!$M$15,100,IFERROR(INDEX(Lookup_Lists!$B$349:$J$357,MATCH(Brand_Profile!$I$7,Lookup_Lists!$A$349:$A$357,0),MATCH(KOL_Source_Data!$M$15,Lookup_Lists!$B$348:$J$348,0)),Lookup_Lists!$D$151)))</f>
      </c>
      <c r="V111" s="18">
        <f>IF(NOT(AND(ISTEXT(KOL_Source_Data!$P$15),KOL_Source_Data!$P$15&lt;&gt;"N/A")),"N/A",IFERROR(INDEX(Lookup_Lists!$B$349:$J$357,MATCH(Brand_Profile!$I$7,Lookup_Lists!$A$349:$A$357,0),MATCH(KOL_Source_Data!$P$15,Lookup_Lists!$B$348:$J$348,0)),Lookup_Lists!$D$151))</f>
      </c>
      <c r="W111" s="18">
        <f>IF(LEN(TRIM(SUBSTITUTE(Matching_Engine!$BE$111,"|","")))=0,"N/A",IF(Brand_Profile!$I$60=0,Lookup_Lists!$D$150,ROUND((IF(Brand_Profile!$I$54="",0,IF(ISNUMBER(SEARCH(Brand_Profile!$I$54,Matching_Engine!$BE$111)),1,0))+IF(Brand_Profile!$I$55="",0,IF(ISNUMBER(SEARCH(Brand_Profile!$I$55,Matching_Engine!$BE$111)),1,0))+IF(Brand_Profile!$I$56="",0,IF(ISNUMBER(SEARCH(Brand_Profile!$I$56,Matching_Engine!$BE$111)),1,0))+IF(Brand_Profile!$I$57="",0,IF(ISNUMBER(SEARCH(Brand_Profile!$I$57,Matching_Engine!$BE$111)),1,0))+IF(Brand_Profile!$I$58="",0,IF(ISNUMBER(SEARCH(Brand_Profile!$I$58,Matching_Engine!$BE$111)),1,0))+IF(Brand_Profile!$I$59="",0,IF(ISNUMBER(SEARCH(Brand_Profile!$I$59,Matching_Engine!$BE$111)),1,0)))/Brand_Profile!$I$60*100,0)))</f>
      </c>
      <c r="X111" s="18">
        <f>IF(NOT(AND(ISTEXT(KOL_Source_Data!$Q$15),KOL_Source_Data!$Q$15&lt;&gt;"N/A")),"N/A",Lookup_Lists!$D$150)</f>
      </c>
      <c r="Y111" s="29">
        <f>IF((IF(ISNUMBER(Matching_Engine!$U$111),Lookup_Lists!$D$335,0)+IF(ISNUMBER(Matching_Engine!$V$111),Lookup_Lists!$D$122,0)+IF(ISNUMBER(Matching_Engine!$W$111),Lookup_Lists!$D$336,0)+IF(ISNUMBER(Matching_Engine!$X$111),Lookup_Lists!$D$124,0))=0,"N/A",ROUND((IF(ISNUMBER(Matching_Engine!$U$111),Matching_Engine!$U$111*Lookup_Lists!$D$335,0)+IF(ISNUMBER(Matching_Engine!$V$111),Matching_Engine!$V$111*Lookup_Lists!$D$122,0)+IF(ISNUMBER(Matching_Engine!$W$111),Matching_Engine!$W$111*Lookup_Lists!$D$336,0)+IF(ISNUMBER(Matching_Engine!$X$111),Matching_Engine!$X$111*Lookup_Lists!$D$124,0))/(IF(ISNUMBER(Matching_Engine!$U$111),Lookup_Lists!$D$335,0)+IF(ISNUMBER(Matching_Engine!$V$111),Lookup_Lists!$D$122,0)+IF(ISNUMBER(Matching_Engine!$W$111),Lookup_Lists!$D$336,0)+IF(ISNUMBER(Matching_Engine!$X$111),Lookup_Lists!$D$124,0)),0))</f>
      </c>
      <c r="Z111" s="11">
        <f>IF(ISNUMBER(Matching_Engine!$Y$111),1,0)</f>
      </c>
      <c r="AA111" s="18">
        <f>IF(NOT(AND(ISTEXT(KOL_Source_Data!$Q$15),KOL_Source_Data!$Q$15&lt;&gt;"N/A")),"N/A",Lookup_Lists!$D$150)</f>
      </c>
      <c r="AB111" s="18">
        <f>IF(NOT(AND(ISTEXT(KOL_Source_Data!$Q$15),KOL_Source_Data!$Q$15&lt;&gt;"N/A")),"N/A",Lookup_Lists!$D$150)</f>
      </c>
      <c r="AC111" s="18">
        <f>"N/A"</f>
      </c>
      <c r="AD111" s="18">
        <f>IF(NOT(AND(ISTEXT(KOL_Source_Data!$Q$15),KOL_Source_Data!$Q$15&lt;&gt;"N/A")),"N/A",Lookup_Lists!$D$150)</f>
      </c>
      <c r="AE111" s="29">
        <f>IF((IF(ISNUMBER(Matching_Engine!$AA$111),Lookup_Lists!$D$125,0)+IF(ISNUMBER(Matching_Engine!$AB$111),Lookup_Lists!$D$126,0)+IF(ISNUMBER(Matching_Engine!$AC$111),Lookup_Lists!$D$127,0)+IF(ISNUMBER(Matching_Engine!$AD$111),Lookup_Lists!$D$128,0))=0,"N/A",ROUND((IF(ISNUMBER(Matching_Engine!$AA$111),Matching_Engine!$AA$111*Lookup_Lists!$D$125,0)+IF(ISNUMBER(Matching_Engine!$AB$111),Matching_Engine!$AB$111*Lookup_Lists!$D$126,0)+IF(ISNUMBER(Matching_Engine!$AC$111),Matching_Engine!$AC$111*Lookup_Lists!$D$127,0)+IF(ISNUMBER(Matching_Engine!$AD$111),Matching_Engine!$AD$111*Lookup_Lists!$D$128,0))/(IF(ISNUMBER(Matching_Engine!$AA$111),Lookup_Lists!$D$125,0)+IF(ISNUMBER(Matching_Engine!$AB$111),Lookup_Lists!$D$126,0)+IF(ISNUMBER(Matching_Engine!$AC$111),Lookup_Lists!$D$127,0)+IF(ISNUMBER(Matching_Engine!$AD$111),Lookup_Lists!$D$128,0)),0))</f>
      </c>
      <c r="AF111" s="11">
        <f>IF(ISNUMBER(Matching_Engine!$AE$111),1,0)</f>
      </c>
      <c r="AG111" s="18">
        <f>IF(NOT(ISNUMBER(KOL_Source_Data!$BG$15)),"N/A",MIN(100,ROUND(KOL_Source_Data!$BG$15/IFERROR(INDEX(Lookup_Lists!$B$340:$B$344,MATCH(KOL_Source_Data!$H$15,Lookup_Lists!$A$340:$A$344,0)),Lookup_Lists!$D$141)*100,0)))</f>
      </c>
      <c r="AH111" s="18">
        <f>IF(NOT(ISNUMBER(KOL_Source_Data!$BS$15)),"N/A",MIN(100,MAX(0,KOL_Source_Data!$BS$15)))</f>
      </c>
      <c r="AI111" s="18">
        <f>IF(OR(NOT(ISNUMBER(KOL_Source_Data!$BM$15)),NOT(ISNUMBER(KOL_Source_Data!$BN$15)),KOL_Source_Data!$BN$15&lt;Lookup_Lists!$D$320),"N/A",MIN(100,ROUND(KOL_Source_Data!$BM$15/Lookup_Lists!$D$319*100,0)))</f>
      </c>
      <c r="AJ111" s="18">
        <f>IF(NOT(ISNUMBER(KOL_Source_Data!$BR$15)),"N/A",KOL_Source_Data!$BR$15)</f>
      </c>
      <c r="AK111" s="18">
        <f>IF(NOT(ISNUMBER(KOL_Source_Data!$BK$15)),"N/A",MIN(100,ROUND(KOL_Source_Data!$BK$15/Lookup_Lists!$D$321*100,0)))</f>
      </c>
      <c r="AL111" s="18">
        <f>IF(NOT(ISNUMBER(KOL_Source_Data!$BP$15)),"N/A",MIN(100,MAX(0,ROUND((KOL_Source_Data!$BP$15+2)/(Lookup_Lists!$D$145+2)*100,0))))</f>
      </c>
      <c r="AM111" s="29">
        <f>IF((IF(ISNUMBER(Matching_Engine!$AG$111),Lookup_Lists!$D$129,0)+IF(ISNUMBER(Matching_Engine!$AH$111),Lookup_Lists!$D$130,0)+IF(ISNUMBER(Matching_Engine!$AI$111),Lookup_Lists!$D$131,0)+IF(ISNUMBER(Matching_Engine!$AJ$111),Lookup_Lists!$D$132,0)+IF(ISNUMBER(Matching_Engine!$AK$111),Lookup_Lists!$D$133,0)+IF(ISNUMBER(Matching_Engine!$AL$111),Lookup_Lists!$D$134,0))=0,"N/A",ROUND((IF(ISNUMBER(Matching_Engine!$AG$111),Matching_Engine!$AG$111*Lookup_Lists!$D$129,0)+IF(ISNUMBER(Matching_Engine!$AH$111),Matching_Engine!$AH$111*Lookup_Lists!$D$130,0)+IF(ISNUMBER(Matching_Engine!$AI$111),Matching_Engine!$AI$111*Lookup_Lists!$D$131,0)+IF(ISNUMBER(Matching_Engine!$AJ$111),Matching_Engine!$AJ$111*Lookup_Lists!$D$132,0)+IF(ISNUMBER(Matching_Engine!$AK$111),Matching_Engine!$AK$111*Lookup_Lists!$D$133,0)+IF(ISNUMBER(Matching_Engine!$AL$111),Matching_Engine!$AL$111*Lookup_Lists!$D$134,0))/(IF(ISNUMBER(Matching_Engine!$AG$111),Lookup_Lists!$D$129,0)+IF(ISNUMBER(Matching_Engine!$AH$111),Lookup_Lists!$D$130,0)+IF(ISNUMBER(Matching_Engine!$AI$111),Lookup_Lists!$D$131,0)+IF(ISNUMBER(Matching_Engine!$AJ$111),Lookup_Lists!$D$132,0)+IF(ISNUMBER(Matching_Engine!$AK$111),Lookup_Lists!$D$133,0)+IF(ISNUMBER(Matching_Engine!$AL$111),Lookup_Lists!$D$134,0)),0))</f>
      </c>
      <c r="AN111" s="11">
        <f>IF(ISNUMBER(Matching_Engine!$AM$111),1,0)</f>
      </c>
      <c r="AO111" s="18">
        <f>IF(NOT(ISNUMBER(KOL_Source_Data!$BT$15)),"N/A",MIN(100,MAX(0,KOL_Source_Data!$BT$15)))</f>
      </c>
      <c r="AP111" s="18">
        <f>IF(NOT(ISNUMBER(KOL_Source_Data!$BU$15)),"N/A",MIN(100,MAX(0,KOL_Source_Data!$BU$15)))</f>
      </c>
      <c r="AQ111" s="18">
        <f>IF(KOL_Source_Data!$I$15="Yes",Lookup_Lists!$D$326,IF(KOL_Source_Data!$I$15="No",Lookup_Lists!$D$327,"N/A"))</f>
      </c>
      <c r="AR111" s="18">
        <f>IF(NOT(ISNUMBER(KOL_Source_Data!$BQ$15)),"N/A",MAX(0,ROUND(100-KOL_Source_Data!$BQ$15/Lookup_Lists!$D$328*100,0)))</f>
      </c>
      <c r="AS111" s="18">
        <f>IF(NOT(AND(ISTEXT(KOL_Source_Data!$BV$15),KOL_Source_Data!$BV$15&lt;&gt;"N/A")),"N/A",KOL_Source_Data!$BV$15)</f>
      </c>
      <c r="AT111" s="29">
        <f>IF((IF(ISNUMBER(Matching_Engine!$AO$111),Lookup_Lists!$D$322,0)+IF(ISNUMBER(Matching_Engine!$AP$111),Lookup_Lists!$D$323,0)+IF(ISNUMBER(Matching_Engine!$AQ$111),Lookup_Lists!$D$324,0)+IF(ISNUMBER(Matching_Engine!$AR$111),Lookup_Lists!$D$325,0))=0,"N/A",ROUND((IF(ISNUMBER(Matching_Engine!$AO$111),Matching_Engine!$AO$111*Lookup_Lists!$D$322,0)+IF(ISNUMBER(Matching_Engine!$AP$111),Matching_Engine!$AP$111*Lookup_Lists!$D$323,0)+IF(ISNUMBER(Matching_Engine!$AQ$111),Matching_Engine!$AQ$111*Lookup_Lists!$D$324,0)+IF(ISNUMBER(Matching_Engine!$AR$111),Matching_Engine!$AR$111*Lookup_Lists!$D$325,0))/(IF(ISNUMBER(Matching_Engine!$AO$111),Lookup_Lists!$D$322,0)+IF(ISNUMBER(Matching_Engine!$AP$111),Lookup_Lists!$D$323,0)+IF(ISNUMBER(Matching_Engine!$AQ$111),Lookup_Lists!$D$324,0)+IF(ISNUMBER(Matching_Engine!$AR$111),Lookup_Lists!$D$325,0)),0))</f>
      </c>
      <c r="AU111" s="11">
        <f>IF(ISNUMBER(Matching_Engine!$AT$111),1,0)</f>
      </c>
      <c r="AV111" s="11">
        <f>IF(NOT(ISNUMBER(Matching_Engine!$AT$111)),"Not Screened",IF(Matching_Engine!$AT$111&gt;=Lookup_Lists!$D$329,"Low Risk",IF(Matching_Engine!$AT$111&gt;=Lookup_Lists!$D$330,"Moderate Risk",IF(Matching_Engine!$AT$111&gt;=Lookup_Lists!$D$331,"Elevated Risk","High Risk"))))</f>
      </c>
      <c r="AW111" s="11">
        <f>IF(NOT(ISNUMBER(Matching_Engine!$AT$111)),"No integrity signal: no audience-analysis row for this account.","Integrity screen only — no content-risk reading exists (comments_analysis: 0 rows). "&amp;IF(ISNUMBER(Matching_Engine!$AO$111),"Authenticity "&amp;Matching_Engine!$AO$111&amp;". ","Authenticity N/A. ")&amp;IF(ISNUMBER(Matching_Engine!$AP$111),"Follower quality "&amp;Matching_Engine!$AP$111&amp;". ","Follower quality N/A. ")&amp;IF(KOL_Source_Data!$I$15="Yes","Platform-verified.","Not platform-verified."))</f>
      </c>
      <c r="AX111" s="18">
        <f>Matching_Engine!$N$111*Lookup_Lists!$D$104+Matching_Engine!$T$111*Lookup_Lists!$D$105+Matching_Engine!$Z$111*Lookup_Lists!$D$106+Matching_Engine!$AF$111*Lookup_Lists!$D$107+Matching_Engine!$AN$111*Lookup_Lists!$D$108+Matching_Engine!$AU$111*Lookup_Lists!$D$109</f>
      </c>
      <c r="AY111" s="30">
        <f>IF(Matching_Engine!$AX$111=0,"N/A",ROUND((IF(Matching_Engine!$N$111=1,Matching_Engine!$M$111*Lookup_Lists!$D$104,0)+IF(Matching_Engine!$T$111=1,Matching_Engine!$S$111*Lookup_Lists!$D$105,0)+IF(Matching_Engine!$Z$111=1,Matching_Engine!$Y$111*Lookup_Lists!$D$106,0)+IF(Matching_Engine!$AF$111=1,Matching_Engine!$AE$111*Lookup_Lists!$D$107,0)+IF(Matching_Engine!$AN$111=1,Matching_Engine!$AM$111*Lookup_Lists!$D$108,0)+IF(Matching_Engine!$AU$111=1,Matching_Engine!$AT$111*Lookup_Lists!$D$109,0))/Matching_Engine!$AX$111,0))</f>
      </c>
      <c r="AZ111" s="11">
        <f>IF(NOT(ISNUMBER(Matching_Engine!$AY$111)),"Not Scored",IF(Matching_Engine!$AY$111&gt;=Lookup_Lists!$D$152,"Excellent Match",IF(Matching_Engine!$AY$111&gt;=Lookup_Lists!$D$153,"Strong Match",IF(Matching_Engine!$AY$111&gt;=Lookup_Lists!$D$154,"Good Match",IF(Matching_Engine!$AY$111&gt;=Lookup_Lists!$D$155,"Moderate Match","Low Match")))))</f>
      </c>
      <c r="BA111" s="18">
        <f>KOL_Source_Data!$BW$15</f>
      </c>
      <c r="BB111" s="11">
        <f>KOL_Source_Data!$BX$15</f>
      </c>
      <c r="BC111" s="18">
        <f>IF(NOT(ISNUMBER(Matching_Engine!$AY$111)),-1,Matching_Engine!$AY$111*1000+15)</f>
      </c>
      <c r="BD111" s="11">
        <f>IF(AND(ISTEXT(KOL_Source_Data!$S$15),KOL_Source_Data!$S$15&lt;&gt;"N/A"),KOL_Source_Data!$S$15,"")&amp;" | "&amp;IF(AND(ISTEXT(KOL_Source_Data!$T$15),KOL_Source_Data!$T$15&lt;&gt;"N/A"),KOL_Source_Data!$T$15,"")&amp;" | "&amp;IF(AND(ISTEXT(KOL_Source_Data!$N$15),KOL_Source_Data!$N$15&lt;&gt;"N/A"),KOL_Source_Data!$N$15,"")&amp;" | "&amp;IF(AND(ISTEXT(KOL_Source_Data!$K$15),KOL_Source_Data!$K$15&lt;&gt;"N/A"),KOL_Source_Data!$K$15,"")&amp;" | "&amp;IF(AND(ISTEXT(KOL_Source_Data!$J$15),KOL_Source_Data!$J$15&lt;&gt;"N/A"),KOL_Source_Data!$J$15,"")</f>
      </c>
      <c r="BE111" s="11">
        <f>IF(AND(ISTEXT(KOL_Source_Data!$T$15),KOL_Source_Data!$T$15&lt;&gt;"N/A"),KOL_Source_Data!$T$15,"")&amp;" | "&amp;IF(AND(ISTEXT(KOL_Source_Data!$N$15),KOL_Source_Data!$N$15&lt;&gt;"N/A"),KOL_Source_Data!$N$15,"")&amp;" | "&amp;IF(AND(ISTEXT(KOL_Source_Data!$O$15),KOL_Source_Data!$O$15&lt;&gt;"N/A"),KOL_Source_Data!$O$15,"")&amp;" | "&amp;IF(AND(ISTEXT(KOL_Source_Data!$S$15),KOL_Source_Data!$S$15&lt;&gt;"N/A"),KOL_Source_Data!$S$15,"")</f>
      </c>
      <c r="BF111" s="11">
        <f>IF(AND(ISTEXT(KOL_Source_Data!$U$15),KOL_Source_Data!$U$15&lt;&gt;"N/A"),KOL_Source_Data!$U$15,"")</f>
      </c>
      <c r="BG111" s="11">
        <f>Matching_Engine!$A$111&amp;"|"&amp;Matching_Engine!$C$111</f>
      </c>
    </row>
    <row r="112" spans="1:59" x14ac:dyDescent="0.25">
      <c r="A112" s="10" t="s">
        <v>394</v>
      </c>
      <c r="B112" s="11">
        <f>Brand_Profile!$I$6</f>
      </c>
      <c r="C112" s="11">
        <f>KOL_Source_Data!$A$16</f>
      </c>
      <c r="D112" s="11">
        <f>KOL_Source_Data!$C$16</f>
      </c>
      <c r="E112" s="11">
        <f>KOL_Source_Data!$D$16</f>
      </c>
      <c r="F112" s="11">
        <f>KOL_Source_Data!$E$16</f>
      </c>
      <c r="G112" s="11">
        <f>KOL_Source_Data!$K$16</f>
      </c>
      <c r="H112" s="12">
        <f>KOL_Source_Data!$G$16</f>
      </c>
      <c r="I112" s="14">
        <f>KOL_Source_Data!$BG$16</f>
      </c>
      <c r="J112" s="18">
        <f>IF(NOT(AND(ISTEXT(KOL_Source_Data!$K$16),KOL_Source_Data!$K$16&lt;&gt;"N/A")),Lookup_Lists!$D$150,IF(Brand_Profile!$I$7=KOL_Source_Data!$K$16,100,IFERROR(INDEX(Lookup_Lists!$B$349:$J$357,MATCH(Brand_Profile!$I$7,Lookup_Lists!$A$349:$A$357,0),MATCH(KOL_Source_Data!$K$16,Lookup_Lists!$B$348:$J$348,0)),Lookup_Lists!$D$151)))</f>
      </c>
      <c r="K112" s="18">
        <f>IF(LEN(TRIM(SUBSTITUTE(Matching_Engine!$BD$112,"|","")))=0,"N/A",IF(Brand_Profile!$I$47=0,Lookup_Lists!$D$150,ROUND((IF(Brand_Profile!$I$41="",0,IF(ISNUMBER(SEARCH(Brand_Profile!$I$41,Matching_Engine!$BD$112)),1,0))+IF(Brand_Profile!$I$42="",0,IF(ISNUMBER(SEARCH(Brand_Profile!$I$42,Matching_Engine!$BD$112)),1,0))+IF(Brand_Profile!$I$43="",0,IF(ISNUMBER(SEARCH(Brand_Profile!$I$43,Matching_Engine!$BD$112)),1,0))+IF(Brand_Profile!$I$44="",0,IF(ISNUMBER(SEARCH(Brand_Profile!$I$44,Matching_Engine!$BD$112)),1,0))+IF(Brand_Profile!$I$45="",0,IF(ISNUMBER(SEARCH(Brand_Profile!$I$45,Matching_Engine!$BD$112)),1,0))+IF(Brand_Profile!$I$46="",0,IF(ISNUMBER(SEARCH(Brand_Profile!$I$46,Matching_Engine!$BD$112)),1,0)))/Brand_Profile!$I$47*100,0)))</f>
      </c>
      <c r="L112" s="18">
        <f>IF(NOT(AND(ISTEXT(KOL_Source_Data!$U$16),KOL_Source_Data!$U$16&lt;&gt;"N/A")),"N/A",IF(Brand_Profile!$I$53=0,Lookup_Lists!$D$150,ROUND((IF(Brand_Profile!$I$48="",0,IF(ISNUMBER(SEARCH(Brand_Profile!$I$48,Matching_Engine!$BF$112)),1,0))+IF(Brand_Profile!$I$49="",0,IF(ISNUMBER(SEARCH(Brand_Profile!$I$49,Matching_Engine!$BF$112)),1,0))+IF(Brand_Profile!$I$50="",0,IF(ISNUMBER(SEARCH(Brand_Profile!$I$50,Matching_Engine!$BF$112)),1,0))+IF(Brand_Profile!$I$51="",0,IF(ISNUMBER(SEARCH(Brand_Profile!$I$51,Matching_Engine!$BF$112)),1,0))+IF(Brand_Profile!$I$52="",0,IF(ISNUMBER(SEARCH(Brand_Profile!$I$52,Matching_Engine!$BF$112)),1,0)))/Brand_Profile!$I$53*100,0)))</f>
      </c>
      <c r="M112" s="29">
        <f>IF((IF(ISNUMBER(Matching_Engine!$J$112),Lookup_Lists!$D$332,0)+IF(ISNUMBER(Matching_Engine!$K$112),Lookup_Lists!$D$333,0)+IF(ISNUMBER(Matching_Engine!$L$112),Lookup_Lists!$D$334,0))=0,"N/A",ROUND((IF(ISNUMBER(Matching_Engine!$J$112),Matching_Engine!$J$112*Lookup_Lists!$D$332,0)+IF(ISNUMBER(Matching_Engine!$K$112),Matching_Engine!$K$112*Lookup_Lists!$D$333,0)+IF(ISNUMBER(Matching_Engine!$L$112),Matching_Engine!$L$112*Lookup_Lists!$D$334,0))/(IF(ISNUMBER(Matching_Engine!$J$112),Lookup_Lists!$D$332,0)+IF(ISNUMBER(Matching_Engine!$K$112),Lookup_Lists!$D$333,0)+IF(ISNUMBER(Matching_Engine!$L$112),Lookup_Lists!$D$334,0)),0))</f>
      </c>
      <c r="N112" s="11">
        <f>IF(ISNUMBER(Matching_Engine!$M$112),1,0)</f>
      </c>
      <c r="O112" s="18">
        <f>IF(NOT(ISNUMBER(IFERROR(INDEX(KOL_Source_Data!$V$16:KOL_Source_Data!$Z$16,1,MATCH(Brand_Profile!$I$11,Lookup_Lists!$F$6:$F$10,0)),""))),"N/A",MIN(100,ROUND((IFERROR(INDEX(KOL_Source_Data!$V$16:KOL_Source_Data!$Z$16,1,MATCH(Brand_Profile!$I$11,Lookup_Lists!$F$6:$F$10,0)),"")+0.5*IF(ISNUMBER(IFERROR(INDEX(KOL_Source_Data!$V$16:KOL_Source_Data!$Z$16,1,MATCH(Brand_Profile!$I$12,Lookup_Lists!$F$6:$F$10,0)),"")),IFERROR(INDEX(KOL_Source_Data!$V$16:KOL_Source_Data!$Z$16,1,MATCH(Brand_Profile!$I$12,Lookup_Lists!$F$6:$F$10,0)),""),0))/Lookup_Lists!$D$142*100,0)))</f>
      </c>
      <c r="P112" s="18">
        <f>IF(Brand_Profile!$I$13="Any",100,IF(NOT(ISNUMBER(KOL_Source_Data!$AA$16)),"N/A",IF(Brand_Profile!$I$13="Female",MIN(100,ROUND(KOL_Source_Data!$AA$16/Lookup_Lists!$D$143*100,0)),IF(Brand_Profile!$I$13="Male",MIN(100,ROUND(IF(ISNUMBER(KOL_Source_Data!$AB$16),KOL_Source_Data!$AB$16,100-KOL_Source_Data!$AA$16)/Lookup_Lists!$D$143*100,0)),MAX(0,ROUND(100-ABS(KOL_Source_Data!$AA$16-50)*2,0))))))</f>
      </c>
      <c r="Q112" s="18">
        <f>IF((IF(ISNUMBER(IF(NOT(ISNUMBER(KOL_Source_Data!$AE$16)),"N/A",IF(KOL_Source_Data!$AD$16&lt;&gt;Brand_Profile!$I$14,Lookup_Lists!$D$151,MIN(100,ROUND(KOL_Source_Data!$AE$16/Lookup_Lists!$D$316*100,0))))),Lookup_Lists!$D$118,0)+IF(ISNUMBER(IF(NOT(ISNUMBER(KOL_Source_Data!$AM$16)),"N/A",MIN(100,ROUND((IF(KOL_Source_Data!$AG$16=Brand_Profile!$I$15,IF(ISNUMBER(KOL_Source_Data!$AH$16),KOL_Source_Data!$AH$16,0),0)+IF(KOL_Source_Data!$AI$16=Brand_Profile!$I$15,IF(ISNUMBER(KOL_Source_Data!$AJ$16),KOL_Source_Data!$AJ$16,0),0)+IF(KOL_Source_Data!$AK$16=Brand_Profile!$I$15,IF(ISNUMBER(KOL_Source_Data!$AL$16),KOL_Source_Data!$AL$16,0),0))/Lookup_Lists!$D$317*100,0)))),Lookup_Lists!$D$120,0))=0,"N/A",ROUND((IF(ISNUMBER(IF(NOT(ISNUMBER(KOL_Source_Data!$AE$16)),"N/A",IF(KOL_Source_Data!$AD$16&lt;&gt;Brand_Profile!$I$14,Lookup_Lists!$D$151,MIN(100,ROUND(KOL_Source_Data!$AE$16/Lookup_Lists!$D$316*100,0))))),IF(NOT(ISNUMBER(KOL_Source_Data!$AE$16)),"N/A",IF(KOL_Source_Data!$AD$16&lt;&gt;Brand_Profile!$I$14,Lookup_Lists!$D$151,MIN(100,ROUND(KOL_Source_Data!$AE$16/Lookup_Lists!$D$316*100,0))))*Lookup_Lists!$D$118,0)+IF(ISNUMBER(IF(NOT(ISNUMBER(KOL_Source_Data!$AM$16)),"N/A",MIN(100,ROUND((IF(KOL_Source_Data!$AG$16=Brand_Profile!$I$15,IF(ISNUMBER(KOL_Source_Data!$AH$16),KOL_Source_Data!$AH$16,0),0)+IF(KOL_Source_Data!$AI$16=Brand_Profile!$I$15,IF(ISNUMBER(KOL_Source_Data!$AJ$16),KOL_Source_Data!$AJ$16,0),0)+IF(KOL_Source_Data!$AK$16=Brand_Profile!$I$15,IF(ISNUMBER(KOL_Source_Data!$AL$16),KOL_Source_Data!$AL$16,0),0))/Lookup_Lists!$D$317*100,0)))),IF(NOT(ISNUMBER(KOL_Source_Data!$AM$16)),"N/A",MIN(100,ROUND((IF(KOL_Source_Data!$AG$16=Brand_Profile!$I$15,IF(ISNUMBER(KOL_Source_Data!$AH$16),KOL_Source_Data!$AH$16,0),0)+IF(KOL_Source_Data!$AI$16=Brand_Profile!$I$15,IF(ISNUMBER(KOL_Source_Data!$AJ$16),KOL_Source_Data!$AJ$16,0),0)+IF(KOL_Source_Data!$AK$16=Brand_Profile!$I$15,IF(ISNUMBER(KOL_Source_Data!$AL$16),KOL_Source_Data!$AL$16,0),0))/Lookup_Lists!$D$317*100,0)))*Lookup_Lists!$D$120,0))/(IF(ISNUMBER(IF(NOT(ISNUMBER(KOL_Source_Data!$AE$16)),"N/A",IF(KOL_Source_Data!$AD$16&lt;&gt;Brand_Profile!$I$14,Lookup_Lists!$D$151,MIN(100,ROUND(KOL_Source_Data!$AE$16/Lookup_Lists!$D$316*100,0))))),Lookup_Lists!$D$118,0)+IF(ISNUMBER(IF(NOT(ISNUMBER(KOL_Source_Data!$AM$16)),"N/A",MIN(100,ROUND((IF(KOL_Source_Data!$AG$16=Brand_Profile!$I$15,IF(ISNUMBER(KOL_Source_Data!$AH$16),KOL_Source_Data!$AH$16,0),0)+IF(KOL_Source_Data!$AI$16=Brand_Profile!$I$15,IF(ISNUMBER(KOL_Source_Data!$AJ$16),KOL_Source_Data!$AJ$16,0),0)+IF(KOL_Source_Data!$AK$16=Brand_Profile!$I$15,IF(ISNUMBER(KOL_Source_Data!$AL$16),KOL_Source_Data!$AL$16,0),0))/Lookup_Lists!$D$317*100,0)))),Lookup_Lists!$D$120,0)),0))</f>
      </c>
      <c r="R112" s="18">
        <f>IF(NOT(ISNUMBER(KOL_Source_Data!$AN$16)),"N/A",MIN(100,ROUND((IF(ISNUMBER(KOL_Source_Data!$AO$16),KOL_Source_Data!$AO$16*Brand_Profile!$I$17,0)+IF(ISNUMBER(KOL_Source_Data!$AP$16),KOL_Source_Data!$AP$16*Brand_Profile!$I$18,0)+IF(ISNUMBER(KOL_Source_Data!$AQ$16),KOL_Source_Data!$AQ$16*Brand_Profile!$I$19,0)+IF(ISNUMBER(KOL_Source_Data!$AR$16),KOL_Source_Data!$AR$16*Brand_Profile!$I$20,0)+IF(ISNUMBER(KOL_Source_Data!$AS$16),KOL_Source_Data!$AS$16*Brand_Profile!$I$21,0)+IF(ISNUMBER(KOL_Source_Data!$AT$16),KOL_Source_Data!$AT$16*Brand_Profile!$I$22,0)+IF(ISNUMBER(KOL_Source_Data!$AU$16),KOL_Source_Data!$AU$16*Brand_Profile!$I$23,0)+IF(ISNUMBER(KOL_Source_Data!$AV$16),KOL_Source_Data!$AV$16*Brand_Profile!$I$24,0)+IF(ISNUMBER(KOL_Source_Data!$AW$16),KOL_Source_Data!$AW$16*Brand_Profile!$I$25,0)+IF(ISNUMBER(KOL_Source_Data!$AX$16),KOL_Source_Data!$AX$16*Brand_Profile!$I$26,0)+IF(ISNUMBER(KOL_Source_Data!$AY$16),KOL_Source_Data!$AY$16*Brand_Profile!$I$27,0)+IF(ISNUMBER(KOL_Source_Data!$AZ$16),KOL_Source_Data!$AZ$16*Brand_Profile!$I$28,0)+IF(ISNUMBER(KOL_Source_Data!$BA$16),KOL_Source_Data!$BA$16*Brand_Profile!$I$29,0)+IF(ISNUMBER(KOL_Source_Data!$BB$16),KOL_Source_Data!$BB$16*Brand_Profile!$I$30,0)+IF(ISNUMBER(KOL_Source_Data!$BC$16),KOL_Source_Data!$BC$16*Brand_Profile!$I$31,0)+IF(ISNUMBER(KOL_Source_Data!$BD$16),KOL_Source_Data!$BD$16*Brand_Profile!$I$32,0)+IF(ISNUMBER(KOL_Source_Data!$BE$16),KOL_Source_Data!$BE$16*Brand_Profile!$I$33,0)+IF(ISNUMBER(KOL_Source_Data!$BF$16),KOL_Source_Data!$BF$16*Brand_Profile!$I$34,0))/Lookup_Lists!$D$318*100,0)))</f>
      </c>
      <c r="S112" s="29">
        <f>IF((IF(ISNUMBER(Matching_Engine!$O$112),Lookup_Lists!$D$113,0)+IF(ISNUMBER(Matching_Engine!$P$112),Lookup_Lists!$D$114,0)+IF(ISNUMBER(Matching_Engine!$Q$112),Lookup_Lists!$D$115,0)+IF(ISNUMBER(Matching_Engine!$R$112),Lookup_Lists!$D$116,0))=0,"N/A",ROUND((IF(ISNUMBER(Matching_Engine!$O$112),Matching_Engine!$O$112*Lookup_Lists!$D$113,0)+IF(ISNUMBER(Matching_Engine!$P$112),Matching_Engine!$P$112*Lookup_Lists!$D$114,0)+IF(ISNUMBER(Matching_Engine!$Q$112),Matching_Engine!$Q$112*Lookup_Lists!$D$115,0)+IF(ISNUMBER(Matching_Engine!$R$112),Matching_Engine!$R$112*Lookup_Lists!$D$116,0))/(IF(ISNUMBER(Matching_Engine!$O$112),Lookup_Lists!$D$113,0)+IF(ISNUMBER(Matching_Engine!$P$112),Lookup_Lists!$D$114,0)+IF(ISNUMBER(Matching_Engine!$Q$112),Lookup_Lists!$D$115,0)+IF(ISNUMBER(Matching_Engine!$R$112),Lookup_Lists!$D$116,0)),0))</f>
      </c>
      <c r="T112" s="11">
        <f>IF(ISNUMBER(Matching_Engine!$S$112),1,0)</f>
      </c>
      <c r="U112" s="18">
        <f>IF(NOT(AND(ISTEXT(KOL_Source_Data!$M$16),KOL_Source_Data!$M$16&lt;&gt;"N/A")),Lookup_Lists!$D$150,IF(Brand_Profile!$I$7=KOL_Source_Data!$M$16,100,IFERROR(INDEX(Lookup_Lists!$B$349:$J$357,MATCH(Brand_Profile!$I$7,Lookup_Lists!$A$349:$A$357,0),MATCH(KOL_Source_Data!$M$16,Lookup_Lists!$B$348:$J$348,0)),Lookup_Lists!$D$151)))</f>
      </c>
      <c r="V112" s="18">
        <f>IF(NOT(AND(ISTEXT(KOL_Source_Data!$P$16),KOL_Source_Data!$P$16&lt;&gt;"N/A")),"N/A",IFERROR(INDEX(Lookup_Lists!$B$349:$J$357,MATCH(Brand_Profile!$I$7,Lookup_Lists!$A$349:$A$357,0),MATCH(KOL_Source_Data!$P$16,Lookup_Lists!$B$348:$J$348,0)),Lookup_Lists!$D$151))</f>
      </c>
      <c r="W112" s="18">
        <f>IF(LEN(TRIM(SUBSTITUTE(Matching_Engine!$BE$112,"|","")))=0,"N/A",IF(Brand_Profile!$I$60=0,Lookup_Lists!$D$150,ROUND((IF(Brand_Profile!$I$54="",0,IF(ISNUMBER(SEARCH(Brand_Profile!$I$54,Matching_Engine!$BE$112)),1,0))+IF(Brand_Profile!$I$55="",0,IF(ISNUMBER(SEARCH(Brand_Profile!$I$55,Matching_Engine!$BE$112)),1,0))+IF(Brand_Profile!$I$56="",0,IF(ISNUMBER(SEARCH(Brand_Profile!$I$56,Matching_Engine!$BE$112)),1,0))+IF(Brand_Profile!$I$57="",0,IF(ISNUMBER(SEARCH(Brand_Profile!$I$57,Matching_Engine!$BE$112)),1,0))+IF(Brand_Profile!$I$58="",0,IF(ISNUMBER(SEARCH(Brand_Profile!$I$58,Matching_Engine!$BE$112)),1,0))+IF(Brand_Profile!$I$59="",0,IF(ISNUMBER(SEARCH(Brand_Profile!$I$59,Matching_Engine!$BE$112)),1,0)))/Brand_Profile!$I$60*100,0)))</f>
      </c>
      <c r="X112" s="18">
        <f>IF(NOT(AND(ISTEXT(KOL_Source_Data!$Q$16),KOL_Source_Data!$Q$16&lt;&gt;"N/A")),"N/A",Lookup_Lists!$D$150)</f>
      </c>
      <c r="Y112" s="29">
        <f>IF((IF(ISNUMBER(Matching_Engine!$U$112),Lookup_Lists!$D$335,0)+IF(ISNUMBER(Matching_Engine!$V$112),Lookup_Lists!$D$122,0)+IF(ISNUMBER(Matching_Engine!$W$112),Lookup_Lists!$D$336,0)+IF(ISNUMBER(Matching_Engine!$X$112),Lookup_Lists!$D$124,0))=0,"N/A",ROUND((IF(ISNUMBER(Matching_Engine!$U$112),Matching_Engine!$U$112*Lookup_Lists!$D$335,0)+IF(ISNUMBER(Matching_Engine!$V$112),Matching_Engine!$V$112*Lookup_Lists!$D$122,0)+IF(ISNUMBER(Matching_Engine!$W$112),Matching_Engine!$W$112*Lookup_Lists!$D$336,0)+IF(ISNUMBER(Matching_Engine!$X$112),Matching_Engine!$X$112*Lookup_Lists!$D$124,0))/(IF(ISNUMBER(Matching_Engine!$U$112),Lookup_Lists!$D$335,0)+IF(ISNUMBER(Matching_Engine!$V$112),Lookup_Lists!$D$122,0)+IF(ISNUMBER(Matching_Engine!$W$112),Lookup_Lists!$D$336,0)+IF(ISNUMBER(Matching_Engine!$X$112),Lookup_Lists!$D$124,0)),0))</f>
      </c>
      <c r="Z112" s="11">
        <f>IF(ISNUMBER(Matching_Engine!$Y$112),1,0)</f>
      </c>
      <c r="AA112" s="18">
        <f>IF(NOT(AND(ISTEXT(KOL_Source_Data!$Q$16),KOL_Source_Data!$Q$16&lt;&gt;"N/A")),"N/A",Lookup_Lists!$D$150)</f>
      </c>
      <c r="AB112" s="18">
        <f>IF(NOT(AND(ISTEXT(KOL_Source_Data!$Q$16),KOL_Source_Data!$Q$16&lt;&gt;"N/A")),"N/A",Lookup_Lists!$D$150)</f>
      </c>
      <c r="AC112" s="18">
        <f>"N/A"</f>
      </c>
      <c r="AD112" s="18">
        <f>IF(NOT(AND(ISTEXT(KOL_Source_Data!$Q$16),KOL_Source_Data!$Q$16&lt;&gt;"N/A")),"N/A",Lookup_Lists!$D$150)</f>
      </c>
      <c r="AE112" s="29">
        <f>IF((IF(ISNUMBER(Matching_Engine!$AA$112),Lookup_Lists!$D$125,0)+IF(ISNUMBER(Matching_Engine!$AB$112),Lookup_Lists!$D$126,0)+IF(ISNUMBER(Matching_Engine!$AC$112),Lookup_Lists!$D$127,0)+IF(ISNUMBER(Matching_Engine!$AD$112),Lookup_Lists!$D$128,0))=0,"N/A",ROUND((IF(ISNUMBER(Matching_Engine!$AA$112),Matching_Engine!$AA$112*Lookup_Lists!$D$125,0)+IF(ISNUMBER(Matching_Engine!$AB$112),Matching_Engine!$AB$112*Lookup_Lists!$D$126,0)+IF(ISNUMBER(Matching_Engine!$AC$112),Matching_Engine!$AC$112*Lookup_Lists!$D$127,0)+IF(ISNUMBER(Matching_Engine!$AD$112),Matching_Engine!$AD$112*Lookup_Lists!$D$128,0))/(IF(ISNUMBER(Matching_Engine!$AA$112),Lookup_Lists!$D$125,0)+IF(ISNUMBER(Matching_Engine!$AB$112),Lookup_Lists!$D$126,0)+IF(ISNUMBER(Matching_Engine!$AC$112),Lookup_Lists!$D$127,0)+IF(ISNUMBER(Matching_Engine!$AD$112),Lookup_Lists!$D$128,0)),0))</f>
      </c>
      <c r="AF112" s="11">
        <f>IF(ISNUMBER(Matching_Engine!$AE$112),1,0)</f>
      </c>
      <c r="AG112" s="18">
        <f>IF(NOT(ISNUMBER(KOL_Source_Data!$BG$16)),"N/A",MIN(100,ROUND(KOL_Source_Data!$BG$16/IFERROR(INDEX(Lookup_Lists!$B$340:$B$344,MATCH(KOL_Source_Data!$H$16,Lookup_Lists!$A$340:$A$344,0)),Lookup_Lists!$D$141)*100,0)))</f>
      </c>
      <c r="AH112" s="18">
        <f>IF(NOT(ISNUMBER(KOL_Source_Data!$BS$16)),"N/A",MIN(100,MAX(0,KOL_Source_Data!$BS$16)))</f>
      </c>
      <c r="AI112" s="18">
        <f>IF(OR(NOT(ISNUMBER(KOL_Source_Data!$BM$16)),NOT(ISNUMBER(KOL_Source_Data!$BN$16)),KOL_Source_Data!$BN$16&lt;Lookup_Lists!$D$320),"N/A",MIN(100,ROUND(KOL_Source_Data!$BM$16/Lookup_Lists!$D$319*100,0)))</f>
      </c>
      <c r="AJ112" s="18">
        <f>IF(NOT(ISNUMBER(KOL_Source_Data!$BR$16)),"N/A",KOL_Source_Data!$BR$16)</f>
      </c>
      <c r="AK112" s="18">
        <f>IF(NOT(ISNUMBER(KOL_Source_Data!$BK$16)),"N/A",MIN(100,ROUND(KOL_Source_Data!$BK$16/Lookup_Lists!$D$321*100,0)))</f>
      </c>
      <c r="AL112" s="18">
        <f>IF(NOT(ISNUMBER(KOL_Source_Data!$BP$16)),"N/A",MIN(100,MAX(0,ROUND((KOL_Source_Data!$BP$16+2)/(Lookup_Lists!$D$145+2)*100,0))))</f>
      </c>
      <c r="AM112" s="29">
        <f>IF((IF(ISNUMBER(Matching_Engine!$AG$112),Lookup_Lists!$D$129,0)+IF(ISNUMBER(Matching_Engine!$AH$112),Lookup_Lists!$D$130,0)+IF(ISNUMBER(Matching_Engine!$AI$112),Lookup_Lists!$D$131,0)+IF(ISNUMBER(Matching_Engine!$AJ$112),Lookup_Lists!$D$132,0)+IF(ISNUMBER(Matching_Engine!$AK$112),Lookup_Lists!$D$133,0)+IF(ISNUMBER(Matching_Engine!$AL$112),Lookup_Lists!$D$134,0))=0,"N/A",ROUND((IF(ISNUMBER(Matching_Engine!$AG$112),Matching_Engine!$AG$112*Lookup_Lists!$D$129,0)+IF(ISNUMBER(Matching_Engine!$AH$112),Matching_Engine!$AH$112*Lookup_Lists!$D$130,0)+IF(ISNUMBER(Matching_Engine!$AI$112),Matching_Engine!$AI$112*Lookup_Lists!$D$131,0)+IF(ISNUMBER(Matching_Engine!$AJ$112),Matching_Engine!$AJ$112*Lookup_Lists!$D$132,0)+IF(ISNUMBER(Matching_Engine!$AK$112),Matching_Engine!$AK$112*Lookup_Lists!$D$133,0)+IF(ISNUMBER(Matching_Engine!$AL$112),Matching_Engine!$AL$112*Lookup_Lists!$D$134,0))/(IF(ISNUMBER(Matching_Engine!$AG$112),Lookup_Lists!$D$129,0)+IF(ISNUMBER(Matching_Engine!$AH$112),Lookup_Lists!$D$130,0)+IF(ISNUMBER(Matching_Engine!$AI$112),Lookup_Lists!$D$131,0)+IF(ISNUMBER(Matching_Engine!$AJ$112),Lookup_Lists!$D$132,0)+IF(ISNUMBER(Matching_Engine!$AK$112),Lookup_Lists!$D$133,0)+IF(ISNUMBER(Matching_Engine!$AL$112),Lookup_Lists!$D$134,0)),0))</f>
      </c>
      <c r="AN112" s="11">
        <f>IF(ISNUMBER(Matching_Engine!$AM$112),1,0)</f>
      </c>
      <c r="AO112" s="18">
        <f>IF(NOT(ISNUMBER(KOL_Source_Data!$BT$16)),"N/A",MIN(100,MAX(0,KOL_Source_Data!$BT$16)))</f>
      </c>
      <c r="AP112" s="18">
        <f>IF(NOT(ISNUMBER(KOL_Source_Data!$BU$16)),"N/A",MIN(100,MAX(0,KOL_Source_Data!$BU$16)))</f>
      </c>
      <c r="AQ112" s="18">
        <f>IF(KOL_Source_Data!$I$16="Yes",Lookup_Lists!$D$326,IF(KOL_Source_Data!$I$16="No",Lookup_Lists!$D$327,"N/A"))</f>
      </c>
      <c r="AR112" s="18">
        <f>IF(NOT(ISNUMBER(KOL_Source_Data!$BQ$16)),"N/A",MAX(0,ROUND(100-KOL_Source_Data!$BQ$16/Lookup_Lists!$D$328*100,0)))</f>
      </c>
      <c r="AS112" s="18">
        <f>IF(NOT(AND(ISTEXT(KOL_Source_Data!$BV$16),KOL_Source_Data!$BV$16&lt;&gt;"N/A")),"N/A",KOL_Source_Data!$BV$16)</f>
      </c>
      <c r="AT112" s="29">
        <f>IF((IF(ISNUMBER(Matching_Engine!$AO$112),Lookup_Lists!$D$322,0)+IF(ISNUMBER(Matching_Engine!$AP$112),Lookup_Lists!$D$323,0)+IF(ISNUMBER(Matching_Engine!$AQ$112),Lookup_Lists!$D$324,0)+IF(ISNUMBER(Matching_Engine!$AR$112),Lookup_Lists!$D$325,0))=0,"N/A",ROUND((IF(ISNUMBER(Matching_Engine!$AO$112),Matching_Engine!$AO$112*Lookup_Lists!$D$322,0)+IF(ISNUMBER(Matching_Engine!$AP$112),Matching_Engine!$AP$112*Lookup_Lists!$D$323,0)+IF(ISNUMBER(Matching_Engine!$AQ$112),Matching_Engine!$AQ$112*Lookup_Lists!$D$324,0)+IF(ISNUMBER(Matching_Engine!$AR$112),Matching_Engine!$AR$112*Lookup_Lists!$D$325,0))/(IF(ISNUMBER(Matching_Engine!$AO$112),Lookup_Lists!$D$322,0)+IF(ISNUMBER(Matching_Engine!$AP$112),Lookup_Lists!$D$323,0)+IF(ISNUMBER(Matching_Engine!$AQ$112),Lookup_Lists!$D$324,0)+IF(ISNUMBER(Matching_Engine!$AR$112),Lookup_Lists!$D$325,0)),0))</f>
      </c>
      <c r="AU112" s="11">
        <f>IF(ISNUMBER(Matching_Engine!$AT$112),1,0)</f>
      </c>
      <c r="AV112" s="11">
        <f>IF(NOT(ISNUMBER(Matching_Engine!$AT$112)),"Not Screened",IF(Matching_Engine!$AT$112&gt;=Lookup_Lists!$D$329,"Low Risk",IF(Matching_Engine!$AT$112&gt;=Lookup_Lists!$D$330,"Moderate Risk",IF(Matching_Engine!$AT$112&gt;=Lookup_Lists!$D$331,"Elevated Risk","High Risk"))))</f>
      </c>
      <c r="AW112" s="11">
        <f>IF(NOT(ISNUMBER(Matching_Engine!$AT$112)),"No integrity signal: no audience-analysis row for this account.","Integrity screen only — no content-risk reading exists (comments_analysis: 0 rows). "&amp;IF(ISNUMBER(Matching_Engine!$AO$112),"Authenticity "&amp;Matching_Engine!$AO$112&amp;". ","Authenticity N/A. ")&amp;IF(ISNUMBER(Matching_Engine!$AP$112),"Follower quality "&amp;Matching_Engine!$AP$112&amp;". ","Follower quality N/A. ")&amp;IF(KOL_Source_Data!$I$16="Yes","Platform-verified.","Not platform-verified."))</f>
      </c>
      <c r="AX112" s="18">
        <f>Matching_Engine!$N$112*Lookup_Lists!$D$104+Matching_Engine!$T$112*Lookup_Lists!$D$105+Matching_Engine!$Z$112*Lookup_Lists!$D$106+Matching_Engine!$AF$112*Lookup_Lists!$D$107+Matching_Engine!$AN$112*Lookup_Lists!$D$108+Matching_Engine!$AU$112*Lookup_Lists!$D$109</f>
      </c>
      <c r="AY112" s="30">
        <f>IF(Matching_Engine!$AX$112=0,"N/A",ROUND((IF(Matching_Engine!$N$112=1,Matching_Engine!$M$112*Lookup_Lists!$D$104,0)+IF(Matching_Engine!$T$112=1,Matching_Engine!$S$112*Lookup_Lists!$D$105,0)+IF(Matching_Engine!$Z$112=1,Matching_Engine!$Y$112*Lookup_Lists!$D$106,0)+IF(Matching_Engine!$AF$112=1,Matching_Engine!$AE$112*Lookup_Lists!$D$107,0)+IF(Matching_Engine!$AN$112=1,Matching_Engine!$AM$112*Lookup_Lists!$D$108,0)+IF(Matching_Engine!$AU$112=1,Matching_Engine!$AT$112*Lookup_Lists!$D$109,0))/Matching_Engine!$AX$112,0))</f>
      </c>
      <c r="AZ112" s="11">
        <f>IF(NOT(ISNUMBER(Matching_Engine!$AY$112)),"Not Scored",IF(Matching_Engine!$AY$112&gt;=Lookup_Lists!$D$152,"Excellent Match",IF(Matching_Engine!$AY$112&gt;=Lookup_Lists!$D$153,"Strong Match",IF(Matching_Engine!$AY$112&gt;=Lookup_Lists!$D$154,"Good Match",IF(Matching_Engine!$AY$112&gt;=Lookup_Lists!$D$155,"Moderate Match","Low Match")))))</f>
      </c>
      <c r="BA112" s="18">
        <f>KOL_Source_Data!$BW$16</f>
      </c>
      <c r="BB112" s="11">
        <f>KOL_Source_Data!$BX$16</f>
      </c>
      <c r="BC112" s="18">
        <f>IF(NOT(ISNUMBER(Matching_Engine!$AY$112)),-1,Matching_Engine!$AY$112*1000+14)</f>
      </c>
      <c r="BD112" s="11">
        <f>IF(AND(ISTEXT(KOL_Source_Data!$S$16),KOL_Source_Data!$S$16&lt;&gt;"N/A"),KOL_Source_Data!$S$16,"")&amp;" | "&amp;IF(AND(ISTEXT(KOL_Source_Data!$T$16),KOL_Source_Data!$T$16&lt;&gt;"N/A"),KOL_Source_Data!$T$16,"")&amp;" | "&amp;IF(AND(ISTEXT(KOL_Source_Data!$N$16),KOL_Source_Data!$N$16&lt;&gt;"N/A"),KOL_Source_Data!$N$16,"")&amp;" | "&amp;IF(AND(ISTEXT(KOL_Source_Data!$K$16),KOL_Source_Data!$K$16&lt;&gt;"N/A"),KOL_Source_Data!$K$16,"")&amp;" | "&amp;IF(AND(ISTEXT(KOL_Source_Data!$J$16),KOL_Source_Data!$J$16&lt;&gt;"N/A"),KOL_Source_Data!$J$16,"")</f>
      </c>
      <c r="BE112" s="11">
        <f>IF(AND(ISTEXT(KOL_Source_Data!$T$16),KOL_Source_Data!$T$16&lt;&gt;"N/A"),KOL_Source_Data!$T$16,"")&amp;" | "&amp;IF(AND(ISTEXT(KOL_Source_Data!$N$16),KOL_Source_Data!$N$16&lt;&gt;"N/A"),KOL_Source_Data!$N$16,"")&amp;" | "&amp;IF(AND(ISTEXT(KOL_Source_Data!$O$16),KOL_Source_Data!$O$16&lt;&gt;"N/A"),KOL_Source_Data!$O$16,"")&amp;" | "&amp;IF(AND(ISTEXT(KOL_Source_Data!$S$16),KOL_Source_Data!$S$16&lt;&gt;"N/A"),KOL_Source_Data!$S$16,"")</f>
      </c>
      <c r="BF112" s="11">
        <f>IF(AND(ISTEXT(KOL_Source_Data!$U$16),KOL_Source_Data!$U$16&lt;&gt;"N/A"),KOL_Source_Data!$U$16,"")</f>
      </c>
      <c r="BG112" s="11">
        <f>Matching_Engine!$A$112&amp;"|"&amp;Matching_Engine!$C$112</f>
      </c>
    </row>
    <row r="113" spans="1:59" x14ac:dyDescent="0.25">
      <c r="A113" s="10" t="s">
        <v>394</v>
      </c>
      <c r="B113" s="11">
        <f>Brand_Profile!$I$6</f>
      </c>
      <c r="C113" s="11">
        <f>KOL_Source_Data!$A$17</f>
      </c>
      <c r="D113" s="11">
        <f>KOL_Source_Data!$C$17</f>
      </c>
      <c r="E113" s="11">
        <f>KOL_Source_Data!$D$17</f>
      </c>
      <c r="F113" s="11">
        <f>KOL_Source_Data!$E$17</f>
      </c>
      <c r="G113" s="11">
        <f>KOL_Source_Data!$K$17</f>
      </c>
      <c r="H113" s="12">
        <f>KOL_Source_Data!$G$17</f>
      </c>
      <c r="I113" s="14">
        <f>KOL_Source_Data!$BG$17</f>
      </c>
      <c r="J113" s="18">
        <f>IF(NOT(AND(ISTEXT(KOL_Source_Data!$K$17),KOL_Source_Data!$K$17&lt;&gt;"N/A")),Lookup_Lists!$D$150,IF(Brand_Profile!$I$7=KOL_Source_Data!$K$17,100,IFERROR(INDEX(Lookup_Lists!$B$349:$J$357,MATCH(Brand_Profile!$I$7,Lookup_Lists!$A$349:$A$357,0),MATCH(KOL_Source_Data!$K$17,Lookup_Lists!$B$348:$J$348,0)),Lookup_Lists!$D$151)))</f>
      </c>
      <c r="K113" s="18">
        <f>IF(LEN(TRIM(SUBSTITUTE(Matching_Engine!$BD$113,"|","")))=0,"N/A",IF(Brand_Profile!$I$47=0,Lookup_Lists!$D$150,ROUND((IF(Brand_Profile!$I$41="",0,IF(ISNUMBER(SEARCH(Brand_Profile!$I$41,Matching_Engine!$BD$113)),1,0))+IF(Brand_Profile!$I$42="",0,IF(ISNUMBER(SEARCH(Brand_Profile!$I$42,Matching_Engine!$BD$113)),1,0))+IF(Brand_Profile!$I$43="",0,IF(ISNUMBER(SEARCH(Brand_Profile!$I$43,Matching_Engine!$BD$113)),1,0))+IF(Brand_Profile!$I$44="",0,IF(ISNUMBER(SEARCH(Brand_Profile!$I$44,Matching_Engine!$BD$113)),1,0))+IF(Brand_Profile!$I$45="",0,IF(ISNUMBER(SEARCH(Brand_Profile!$I$45,Matching_Engine!$BD$113)),1,0))+IF(Brand_Profile!$I$46="",0,IF(ISNUMBER(SEARCH(Brand_Profile!$I$46,Matching_Engine!$BD$113)),1,0)))/Brand_Profile!$I$47*100,0)))</f>
      </c>
      <c r="L113" s="18">
        <f>IF(NOT(AND(ISTEXT(KOL_Source_Data!$U$17),KOL_Source_Data!$U$17&lt;&gt;"N/A")),"N/A",IF(Brand_Profile!$I$53=0,Lookup_Lists!$D$150,ROUND((IF(Brand_Profile!$I$48="",0,IF(ISNUMBER(SEARCH(Brand_Profile!$I$48,Matching_Engine!$BF$113)),1,0))+IF(Brand_Profile!$I$49="",0,IF(ISNUMBER(SEARCH(Brand_Profile!$I$49,Matching_Engine!$BF$113)),1,0))+IF(Brand_Profile!$I$50="",0,IF(ISNUMBER(SEARCH(Brand_Profile!$I$50,Matching_Engine!$BF$113)),1,0))+IF(Brand_Profile!$I$51="",0,IF(ISNUMBER(SEARCH(Brand_Profile!$I$51,Matching_Engine!$BF$113)),1,0))+IF(Brand_Profile!$I$52="",0,IF(ISNUMBER(SEARCH(Brand_Profile!$I$52,Matching_Engine!$BF$113)),1,0)))/Brand_Profile!$I$53*100,0)))</f>
      </c>
      <c r="M113" s="29">
        <f>IF((IF(ISNUMBER(Matching_Engine!$J$113),Lookup_Lists!$D$332,0)+IF(ISNUMBER(Matching_Engine!$K$113),Lookup_Lists!$D$333,0)+IF(ISNUMBER(Matching_Engine!$L$113),Lookup_Lists!$D$334,0))=0,"N/A",ROUND((IF(ISNUMBER(Matching_Engine!$J$113),Matching_Engine!$J$113*Lookup_Lists!$D$332,0)+IF(ISNUMBER(Matching_Engine!$K$113),Matching_Engine!$K$113*Lookup_Lists!$D$333,0)+IF(ISNUMBER(Matching_Engine!$L$113),Matching_Engine!$L$113*Lookup_Lists!$D$334,0))/(IF(ISNUMBER(Matching_Engine!$J$113),Lookup_Lists!$D$332,0)+IF(ISNUMBER(Matching_Engine!$K$113),Lookup_Lists!$D$333,0)+IF(ISNUMBER(Matching_Engine!$L$113),Lookup_Lists!$D$334,0)),0))</f>
      </c>
      <c r="N113" s="11">
        <f>IF(ISNUMBER(Matching_Engine!$M$113),1,0)</f>
      </c>
      <c r="O113" s="18">
        <f>IF(NOT(ISNUMBER(IFERROR(INDEX(KOL_Source_Data!$V$17:KOL_Source_Data!$Z$17,1,MATCH(Brand_Profile!$I$11,Lookup_Lists!$F$6:$F$10,0)),""))),"N/A",MIN(100,ROUND((IFERROR(INDEX(KOL_Source_Data!$V$17:KOL_Source_Data!$Z$17,1,MATCH(Brand_Profile!$I$11,Lookup_Lists!$F$6:$F$10,0)),"")+0.5*IF(ISNUMBER(IFERROR(INDEX(KOL_Source_Data!$V$17:KOL_Source_Data!$Z$17,1,MATCH(Brand_Profile!$I$12,Lookup_Lists!$F$6:$F$10,0)),"")),IFERROR(INDEX(KOL_Source_Data!$V$17:KOL_Source_Data!$Z$17,1,MATCH(Brand_Profile!$I$12,Lookup_Lists!$F$6:$F$10,0)),""),0))/Lookup_Lists!$D$142*100,0)))</f>
      </c>
      <c r="P113" s="18">
        <f>IF(Brand_Profile!$I$13="Any",100,IF(NOT(ISNUMBER(KOL_Source_Data!$AA$17)),"N/A",IF(Brand_Profile!$I$13="Female",MIN(100,ROUND(KOL_Source_Data!$AA$17/Lookup_Lists!$D$143*100,0)),IF(Brand_Profile!$I$13="Male",MIN(100,ROUND(IF(ISNUMBER(KOL_Source_Data!$AB$17),KOL_Source_Data!$AB$17,100-KOL_Source_Data!$AA$17)/Lookup_Lists!$D$143*100,0)),MAX(0,ROUND(100-ABS(KOL_Source_Data!$AA$17-50)*2,0))))))</f>
      </c>
      <c r="Q113" s="18">
        <f>IF((IF(ISNUMBER(IF(NOT(ISNUMBER(KOL_Source_Data!$AE$17)),"N/A",IF(KOL_Source_Data!$AD$17&lt;&gt;Brand_Profile!$I$14,Lookup_Lists!$D$151,MIN(100,ROUND(KOL_Source_Data!$AE$17/Lookup_Lists!$D$316*100,0))))),Lookup_Lists!$D$118,0)+IF(ISNUMBER(IF(NOT(ISNUMBER(KOL_Source_Data!$AM$17)),"N/A",MIN(100,ROUND((IF(KOL_Source_Data!$AG$17=Brand_Profile!$I$15,IF(ISNUMBER(KOL_Source_Data!$AH$17),KOL_Source_Data!$AH$17,0),0)+IF(KOL_Source_Data!$AI$17=Brand_Profile!$I$15,IF(ISNUMBER(KOL_Source_Data!$AJ$17),KOL_Source_Data!$AJ$17,0),0)+IF(KOL_Source_Data!$AK$17=Brand_Profile!$I$15,IF(ISNUMBER(KOL_Source_Data!$AL$17),KOL_Source_Data!$AL$17,0),0))/Lookup_Lists!$D$317*100,0)))),Lookup_Lists!$D$120,0))=0,"N/A",ROUND((IF(ISNUMBER(IF(NOT(ISNUMBER(KOL_Source_Data!$AE$17)),"N/A",IF(KOL_Source_Data!$AD$17&lt;&gt;Brand_Profile!$I$14,Lookup_Lists!$D$151,MIN(100,ROUND(KOL_Source_Data!$AE$17/Lookup_Lists!$D$316*100,0))))),IF(NOT(ISNUMBER(KOL_Source_Data!$AE$17)),"N/A",IF(KOL_Source_Data!$AD$17&lt;&gt;Brand_Profile!$I$14,Lookup_Lists!$D$151,MIN(100,ROUND(KOL_Source_Data!$AE$17/Lookup_Lists!$D$316*100,0))))*Lookup_Lists!$D$118,0)+IF(ISNUMBER(IF(NOT(ISNUMBER(KOL_Source_Data!$AM$17)),"N/A",MIN(100,ROUND((IF(KOL_Source_Data!$AG$17=Brand_Profile!$I$15,IF(ISNUMBER(KOL_Source_Data!$AH$17),KOL_Source_Data!$AH$17,0),0)+IF(KOL_Source_Data!$AI$17=Brand_Profile!$I$15,IF(ISNUMBER(KOL_Source_Data!$AJ$17),KOL_Source_Data!$AJ$17,0),0)+IF(KOL_Source_Data!$AK$17=Brand_Profile!$I$15,IF(ISNUMBER(KOL_Source_Data!$AL$17),KOL_Source_Data!$AL$17,0),0))/Lookup_Lists!$D$317*100,0)))),IF(NOT(ISNUMBER(KOL_Source_Data!$AM$17)),"N/A",MIN(100,ROUND((IF(KOL_Source_Data!$AG$17=Brand_Profile!$I$15,IF(ISNUMBER(KOL_Source_Data!$AH$17),KOL_Source_Data!$AH$17,0),0)+IF(KOL_Source_Data!$AI$17=Brand_Profile!$I$15,IF(ISNUMBER(KOL_Source_Data!$AJ$17),KOL_Source_Data!$AJ$17,0),0)+IF(KOL_Source_Data!$AK$17=Brand_Profile!$I$15,IF(ISNUMBER(KOL_Source_Data!$AL$17),KOL_Source_Data!$AL$17,0),0))/Lookup_Lists!$D$317*100,0)))*Lookup_Lists!$D$120,0))/(IF(ISNUMBER(IF(NOT(ISNUMBER(KOL_Source_Data!$AE$17)),"N/A",IF(KOL_Source_Data!$AD$17&lt;&gt;Brand_Profile!$I$14,Lookup_Lists!$D$151,MIN(100,ROUND(KOL_Source_Data!$AE$17/Lookup_Lists!$D$316*100,0))))),Lookup_Lists!$D$118,0)+IF(ISNUMBER(IF(NOT(ISNUMBER(KOL_Source_Data!$AM$17)),"N/A",MIN(100,ROUND((IF(KOL_Source_Data!$AG$17=Brand_Profile!$I$15,IF(ISNUMBER(KOL_Source_Data!$AH$17),KOL_Source_Data!$AH$17,0),0)+IF(KOL_Source_Data!$AI$17=Brand_Profile!$I$15,IF(ISNUMBER(KOL_Source_Data!$AJ$17),KOL_Source_Data!$AJ$17,0),0)+IF(KOL_Source_Data!$AK$17=Brand_Profile!$I$15,IF(ISNUMBER(KOL_Source_Data!$AL$17),KOL_Source_Data!$AL$17,0),0))/Lookup_Lists!$D$317*100,0)))),Lookup_Lists!$D$120,0)),0))</f>
      </c>
      <c r="R113" s="18">
        <f>IF(NOT(ISNUMBER(KOL_Source_Data!$AN$17)),"N/A",MIN(100,ROUND((IF(ISNUMBER(KOL_Source_Data!$AO$17),KOL_Source_Data!$AO$17*Brand_Profile!$I$17,0)+IF(ISNUMBER(KOL_Source_Data!$AP$17),KOL_Source_Data!$AP$17*Brand_Profile!$I$18,0)+IF(ISNUMBER(KOL_Source_Data!$AQ$17),KOL_Source_Data!$AQ$17*Brand_Profile!$I$19,0)+IF(ISNUMBER(KOL_Source_Data!$AR$17),KOL_Source_Data!$AR$17*Brand_Profile!$I$20,0)+IF(ISNUMBER(KOL_Source_Data!$AS$17),KOL_Source_Data!$AS$17*Brand_Profile!$I$21,0)+IF(ISNUMBER(KOL_Source_Data!$AT$17),KOL_Source_Data!$AT$17*Brand_Profile!$I$22,0)+IF(ISNUMBER(KOL_Source_Data!$AU$17),KOL_Source_Data!$AU$17*Brand_Profile!$I$23,0)+IF(ISNUMBER(KOL_Source_Data!$AV$17),KOL_Source_Data!$AV$17*Brand_Profile!$I$24,0)+IF(ISNUMBER(KOL_Source_Data!$AW$17),KOL_Source_Data!$AW$17*Brand_Profile!$I$25,0)+IF(ISNUMBER(KOL_Source_Data!$AX$17),KOL_Source_Data!$AX$17*Brand_Profile!$I$26,0)+IF(ISNUMBER(KOL_Source_Data!$AY$17),KOL_Source_Data!$AY$17*Brand_Profile!$I$27,0)+IF(ISNUMBER(KOL_Source_Data!$AZ$17),KOL_Source_Data!$AZ$17*Brand_Profile!$I$28,0)+IF(ISNUMBER(KOL_Source_Data!$BA$17),KOL_Source_Data!$BA$17*Brand_Profile!$I$29,0)+IF(ISNUMBER(KOL_Source_Data!$BB$17),KOL_Source_Data!$BB$17*Brand_Profile!$I$30,0)+IF(ISNUMBER(KOL_Source_Data!$BC$17),KOL_Source_Data!$BC$17*Brand_Profile!$I$31,0)+IF(ISNUMBER(KOL_Source_Data!$BD$17),KOL_Source_Data!$BD$17*Brand_Profile!$I$32,0)+IF(ISNUMBER(KOL_Source_Data!$BE$17),KOL_Source_Data!$BE$17*Brand_Profile!$I$33,0)+IF(ISNUMBER(KOL_Source_Data!$BF$17),KOL_Source_Data!$BF$17*Brand_Profile!$I$34,0))/Lookup_Lists!$D$318*100,0)))</f>
      </c>
      <c r="S113" s="29">
        <f>IF((IF(ISNUMBER(Matching_Engine!$O$113),Lookup_Lists!$D$113,0)+IF(ISNUMBER(Matching_Engine!$P$113),Lookup_Lists!$D$114,0)+IF(ISNUMBER(Matching_Engine!$Q$113),Lookup_Lists!$D$115,0)+IF(ISNUMBER(Matching_Engine!$R$113),Lookup_Lists!$D$116,0))=0,"N/A",ROUND((IF(ISNUMBER(Matching_Engine!$O$113),Matching_Engine!$O$113*Lookup_Lists!$D$113,0)+IF(ISNUMBER(Matching_Engine!$P$113),Matching_Engine!$P$113*Lookup_Lists!$D$114,0)+IF(ISNUMBER(Matching_Engine!$Q$113),Matching_Engine!$Q$113*Lookup_Lists!$D$115,0)+IF(ISNUMBER(Matching_Engine!$R$113),Matching_Engine!$R$113*Lookup_Lists!$D$116,0))/(IF(ISNUMBER(Matching_Engine!$O$113),Lookup_Lists!$D$113,0)+IF(ISNUMBER(Matching_Engine!$P$113),Lookup_Lists!$D$114,0)+IF(ISNUMBER(Matching_Engine!$Q$113),Lookup_Lists!$D$115,0)+IF(ISNUMBER(Matching_Engine!$R$113),Lookup_Lists!$D$116,0)),0))</f>
      </c>
      <c r="T113" s="11">
        <f>IF(ISNUMBER(Matching_Engine!$S$113),1,0)</f>
      </c>
      <c r="U113" s="18">
        <f>IF(NOT(AND(ISTEXT(KOL_Source_Data!$M$17),KOL_Source_Data!$M$17&lt;&gt;"N/A")),Lookup_Lists!$D$150,IF(Brand_Profile!$I$7=KOL_Source_Data!$M$17,100,IFERROR(INDEX(Lookup_Lists!$B$349:$J$357,MATCH(Brand_Profile!$I$7,Lookup_Lists!$A$349:$A$357,0),MATCH(KOL_Source_Data!$M$17,Lookup_Lists!$B$348:$J$348,0)),Lookup_Lists!$D$151)))</f>
      </c>
      <c r="V113" s="18">
        <f>IF(NOT(AND(ISTEXT(KOL_Source_Data!$P$17),KOL_Source_Data!$P$17&lt;&gt;"N/A")),"N/A",IFERROR(INDEX(Lookup_Lists!$B$349:$J$357,MATCH(Brand_Profile!$I$7,Lookup_Lists!$A$349:$A$357,0),MATCH(KOL_Source_Data!$P$17,Lookup_Lists!$B$348:$J$348,0)),Lookup_Lists!$D$151))</f>
      </c>
      <c r="W113" s="18">
        <f>IF(LEN(TRIM(SUBSTITUTE(Matching_Engine!$BE$113,"|","")))=0,"N/A",IF(Brand_Profile!$I$60=0,Lookup_Lists!$D$150,ROUND((IF(Brand_Profile!$I$54="",0,IF(ISNUMBER(SEARCH(Brand_Profile!$I$54,Matching_Engine!$BE$113)),1,0))+IF(Brand_Profile!$I$55="",0,IF(ISNUMBER(SEARCH(Brand_Profile!$I$55,Matching_Engine!$BE$113)),1,0))+IF(Brand_Profile!$I$56="",0,IF(ISNUMBER(SEARCH(Brand_Profile!$I$56,Matching_Engine!$BE$113)),1,0))+IF(Brand_Profile!$I$57="",0,IF(ISNUMBER(SEARCH(Brand_Profile!$I$57,Matching_Engine!$BE$113)),1,0))+IF(Brand_Profile!$I$58="",0,IF(ISNUMBER(SEARCH(Brand_Profile!$I$58,Matching_Engine!$BE$113)),1,0))+IF(Brand_Profile!$I$59="",0,IF(ISNUMBER(SEARCH(Brand_Profile!$I$59,Matching_Engine!$BE$113)),1,0)))/Brand_Profile!$I$60*100,0)))</f>
      </c>
      <c r="X113" s="18">
        <f>IF(NOT(AND(ISTEXT(KOL_Source_Data!$Q$17),KOL_Source_Data!$Q$17&lt;&gt;"N/A")),"N/A",Lookup_Lists!$D$150)</f>
      </c>
      <c r="Y113" s="29">
        <f>IF((IF(ISNUMBER(Matching_Engine!$U$113),Lookup_Lists!$D$335,0)+IF(ISNUMBER(Matching_Engine!$V$113),Lookup_Lists!$D$122,0)+IF(ISNUMBER(Matching_Engine!$W$113),Lookup_Lists!$D$336,0)+IF(ISNUMBER(Matching_Engine!$X$113),Lookup_Lists!$D$124,0))=0,"N/A",ROUND((IF(ISNUMBER(Matching_Engine!$U$113),Matching_Engine!$U$113*Lookup_Lists!$D$335,0)+IF(ISNUMBER(Matching_Engine!$V$113),Matching_Engine!$V$113*Lookup_Lists!$D$122,0)+IF(ISNUMBER(Matching_Engine!$W$113),Matching_Engine!$W$113*Lookup_Lists!$D$336,0)+IF(ISNUMBER(Matching_Engine!$X$113),Matching_Engine!$X$113*Lookup_Lists!$D$124,0))/(IF(ISNUMBER(Matching_Engine!$U$113),Lookup_Lists!$D$335,0)+IF(ISNUMBER(Matching_Engine!$V$113),Lookup_Lists!$D$122,0)+IF(ISNUMBER(Matching_Engine!$W$113),Lookup_Lists!$D$336,0)+IF(ISNUMBER(Matching_Engine!$X$113),Lookup_Lists!$D$124,0)),0))</f>
      </c>
      <c r="Z113" s="11">
        <f>IF(ISNUMBER(Matching_Engine!$Y$113),1,0)</f>
      </c>
      <c r="AA113" s="18">
        <f>IF(NOT(AND(ISTEXT(KOL_Source_Data!$Q$17),KOL_Source_Data!$Q$17&lt;&gt;"N/A")),"N/A",Lookup_Lists!$D$150)</f>
      </c>
      <c r="AB113" s="18">
        <f>IF(NOT(AND(ISTEXT(KOL_Source_Data!$Q$17),KOL_Source_Data!$Q$17&lt;&gt;"N/A")),"N/A",Lookup_Lists!$D$150)</f>
      </c>
      <c r="AC113" s="18">
        <f>"N/A"</f>
      </c>
      <c r="AD113" s="18">
        <f>IF(NOT(AND(ISTEXT(KOL_Source_Data!$Q$17),KOL_Source_Data!$Q$17&lt;&gt;"N/A")),"N/A",Lookup_Lists!$D$150)</f>
      </c>
      <c r="AE113" s="29">
        <f>IF((IF(ISNUMBER(Matching_Engine!$AA$113),Lookup_Lists!$D$125,0)+IF(ISNUMBER(Matching_Engine!$AB$113),Lookup_Lists!$D$126,0)+IF(ISNUMBER(Matching_Engine!$AC$113),Lookup_Lists!$D$127,0)+IF(ISNUMBER(Matching_Engine!$AD$113),Lookup_Lists!$D$128,0))=0,"N/A",ROUND((IF(ISNUMBER(Matching_Engine!$AA$113),Matching_Engine!$AA$113*Lookup_Lists!$D$125,0)+IF(ISNUMBER(Matching_Engine!$AB$113),Matching_Engine!$AB$113*Lookup_Lists!$D$126,0)+IF(ISNUMBER(Matching_Engine!$AC$113),Matching_Engine!$AC$113*Lookup_Lists!$D$127,0)+IF(ISNUMBER(Matching_Engine!$AD$113),Matching_Engine!$AD$113*Lookup_Lists!$D$128,0))/(IF(ISNUMBER(Matching_Engine!$AA$113),Lookup_Lists!$D$125,0)+IF(ISNUMBER(Matching_Engine!$AB$113),Lookup_Lists!$D$126,0)+IF(ISNUMBER(Matching_Engine!$AC$113),Lookup_Lists!$D$127,0)+IF(ISNUMBER(Matching_Engine!$AD$113),Lookup_Lists!$D$128,0)),0))</f>
      </c>
      <c r="AF113" s="11">
        <f>IF(ISNUMBER(Matching_Engine!$AE$113),1,0)</f>
      </c>
      <c r="AG113" s="18">
        <f>IF(NOT(ISNUMBER(KOL_Source_Data!$BG$17)),"N/A",MIN(100,ROUND(KOL_Source_Data!$BG$17/IFERROR(INDEX(Lookup_Lists!$B$340:$B$344,MATCH(KOL_Source_Data!$H$17,Lookup_Lists!$A$340:$A$344,0)),Lookup_Lists!$D$141)*100,0)))</f>
      </c>
      <c r="AH113" s="18">
        <f>IF(NOT(ISNUMBER(KOL_Source_Data!$BS$17)),"N/A",MIN(100,MAX(0,KOL_Source_Data!$BS$17)))</f>
      </c>
      <c r="AI113" s="18">
        <f>IF(OR(NOT(ISNUMBER(KOL_Source_Data!$BM$17)),NOT(ISNUMBER(KOL_Source_Data!$BN$17)),KOL_Source_Data!$BN$17&lt;Lookup_Lists!$D$320),"N/A",MIN(100,ROUND(KOL_Source_Data!$BM$17/Lookup_Lists!$D$319*100,0)))</f>
      </c>
      <c r="AJ113" s="18">
        <f>IF(NOT(ISNUMBER(KOL_Source_Data!$BR$17)),"N/A",KOL_Source_Data!$BR$17)</f>
      </c>
      <c r="AK113" s="18">
        <f>IF(NOT(ISNUMBER(KOL_Source_Data!$BK$17)),"N/A",MIN(100,ROUND(KOL_Source_Data!$BK$17/Lookup_Lists!$D$321*100,0)))</f>
      </c>
      <c r="AL113" s="18">
        <f>IF(NOT(ISNUMBER(KOL_Source_Data!$BP$17)),"N/A",MIN(100,MAX(0,ROUND((KOL_Source_Data!$BP$17+2)/(Lookup_Lists!$D$145+2)*100,0))))</f>
      </c>
      <c r="AM113" s="29">
        <f>IF((IF(ISNUMBER(Matching_Engine!$AG$113),Lookup_Lists!$D$129,0)+IF(ISNUMBER(Matching_Engine!$AH$113),Lookup_Lists!$D$130,0)+IF(ISNUMBER(Matching_Engine!$AI$113),Lookup_Lists!$D$131,0)+IF(ISNUMBER(Matching_Engine!$AJ$113),Lookup_Lists!$D$132,0)+IF(ISNUMBER(Matching_Engine!$AK$113),Lookup_Lists!$D$133,0)+IF(ISNUMBER(Matching_Engine!$AL$113),Lookup_Lists!$D$134,0))=0,"N/A",ROUND((IF(ISNUMBER(Matching_Engine!$AG$113),Matching_Engine!$AG$113*Lookup_Lists!$D$129,0)+IF(ISNUMBER(Matching_Engine!$AH$113),Matching_Engine!$AH$113*Lookup_Lists!$D$130,0)+IF(ISNUMBER(Matching_Engine!$AI$113),Matching_Engine!$AI$113*Lookup_Lists!$D$131,0)+IF(ISNUMBER(Matching_Engine!$AJ$113),Matching_Engine!$AJ$113*Lookup_Lists!$D$132,0)+IF(ISNUMBER(Matching_Engine!$AK$113),Matching_Engine!$AK$113*Lookup_Lists!$D$133,0)+IF(ISNUMBER(Matching_Engine!$AL$113),Matching_Engine!$AL$113*Lookup_Lists!$D$134,0))/(IF(ISNUMBER(Matching_Engine!$AG$113),Lookup_Lists!$D$129,0)+IF(ISNUMBER(Matching_Engine!$AH$113),Lookup_Lists!$D$130,0)+IF(ISNUMBER(Matching_Engine!$AI$113),Lookup_Lists!$D$131,0)+IF(ISNUMBER(Matching_Engine!$AJ$113),Lookup_Lists!$D$132,0)+IF(ISNUMBER(Matching_Engine!$AK$113),Lookup_Lists!$D$133,0)+IF(ISNUMBER(Matching_Engine!$AL$113),Lookup_Lists!$D$134,0)),0))</f>
      </c>
      <c r="AN113" s="11">
        <f>IF(ISNUMBER(Matching_Engine!$AM$113),1,0)</f>
      </c>
      <c r="AO113" s="18">
        <f>IF(NOT(ISNUMBER(KOL_Source_Data!$BT$17)),"N/A",MIN(100,MAX(0,KOL_Source_Data!$BT$17)))</f>
      </c>
      <c r="AP113" s="18">
        <f>IF(NOT(ISNUMBER(KOL_Source_Data!$BU$17)),"N/A",MIN(100,MAX(0,KOL_Source_Data!$BU$17)))</f>
      </c>
      <c r="AQ113" s="18">
        <f>IF(KOL_Source_Data!$I$17="Yes",Lookup_Lists!$D$326,IF(KOL_Source_Data!$I$17="No",Lookup_Lists!$D$327,"N/A"))</f>
      </c>
      <c r="AR113" s="18">
        <f>IF(NOT(ISNUMBER(KOL_Source_Data!$BQ$17)),"N/A",MAX(0,ROUND(100-KOL_Source_Data!$BQ$17/Lookup_Lists!$D$328*100,0)))</f>
      </c>
      <c r="AS113" s="18">
        <f>IF(NOT(AND(ISTEXT(KOL_Source_Data!$BV$17),KOL_Source_Data!$BV$17&lt;&gt;"N/A")),"N/A",KOL_Source_Data!$BV$17)</f>
      </c>
      <c r="AT113" s="29">
        <f>IF((IF(ISNUMBER(Matching_Engine!$AO$113),Lookup_Lists!$D$322,0)+IF(ISNUMBER(Matching_Engine!$AP$113),Lookup_Lists!$D$323,0)+IF(ISNUMBER(Matching_Engine!$AQ$113),Lookup_Lists!$D$324,0)+IF(ISNUMBER(Matching_Engine!$AR$113),Lookup_Lists!$D$325,0))=0,"N/A",ROUND((IF(ISNUMBER(Matching_Engine!$AO$113),Matching_Engine!$AO$113*Lookup_Lists!$D$322,0)+IF(ISNUMBER(Matching_Engine!$AP$113),Matching_Engine!$AP$113*Lookup_Lists!$D$323,0)+IF(ISNUMBER(Matching_Engine!$AQ$113),Matching_Engine!$AQ$113*Lookup_Lists!$D$324,0)+IF(ISNUMBER(Matching_Engine!$AR$113),Matching_Engine!$AR$113*Lookup_Lists!$D$325,0))/(IF(ISNUMBER(Matching_Engine!$AO$113),Lookup_Lists!$D$322,0)+IF(ISNUMBER(Matching_Engine!$AP$113),Lookup_Lists!$D$323,0)+IF(ISNUMBER(Matching_Engine!$AQ$113),Lookup_Lists!$D$324,0)+IF(ISNUMBER(Matching_Engine!$AR$113),Lookup_Lists!$D$325,0)),0))</f>
      </c>
      <c r="AU113" s="11">
        <f>IF(ISNUMBER(Matching_Engine!$AT$113),1,0)</f>
      </c>
      <c r="AV113" s="11">
        <f>IF(NOT(ISNUMBER(Matching_Engine!$AT$113)),"Not Screened",IF(Matching_Engine!$AT$113&gt;=Lookup_Lists!$D$329,"Low Risk",IF(Matching_Engine!$AT$113&gt;=Lookup_Lists!$D$330,"Moderate Risk",IF(Matching_Engine!$AT$113&gt;=Lookup_Lists!$D$331,"Elevated Risk","High Risk"))))</f>
      </c>
      <c r="AW113" s="11">
        <f>IF(NOT(ISNUMBER(Matching_Engine!$AT$113)),"No integrity signal: no audience-analysis row for this account.","Integrity screen only — no content-risk reading exists (comments_analysis: 0 rows). "&amp;IF(ISNUMBER(Matching_Engine!$AO$113),"Authenticity "&amp;Matching_Engine!$AO$113&amp;". ","Authenticity N/A. ")&amp;IF(ISNUMBER(Matching_Engine!$AP$113),"Follower quality "&amp;Matching_Engine!$AP$113&amp;". ","Follower quality N/A. ")&amp;IF(KOL_Source_Data!$I$17="Yes","Platform-verified.","Not platform-verified."))</f>
      </c>
      <c r="AX113" s="18">
        <f>Matching_Engine!$N$113*Lookup_Lists!$D$104+Matching_Engine!$T$113*Lookup_Lists!$D$105+Matching_Engine!$Z$113*Lookup_Lists!$D$106+Matching_Engine!$AF$113*Lookup_Lists!$D$107+Matching_Engine!$AN$113*Lookup_Lists!$D$108+Matching_Engine!$AU$113*Lookup_Lists!$D$109</f>
      </c>
      <c r="AY113" s="30">
        <f>IF(Matching_Engine!$AX$113=0,"N/A",ROUND((IF(Matching_Engine!$N$113=1,Matching_Engine!$M$113*Lookup_Lists!$D$104,0)+IF(Matching_Engine!$T$113=1,Matching_Engine!$S$113*Lookup_Lists!$D$105,0)+IF(Matching_Engine!$Z$113=1,Matching_Engine!$Y$113*Lookup_Lists!$D$106,0)+IF(Matching_Engine!$AF$113=1,Matching_Engine!$AE$113*Lookup_Lists!$D$107,0)+IF(Matching_Engine!$AN$113=1,Matching_Engine!$AM$113*Lookup_Lists!$D$108,0)+IF(Matching_Engine!$AU$113=1,Matching_Engine!$AT$113*Lookup_Lists!$D$109,0))/Matching_Engine!$AX$113,0))</f>
      </c>
      <c r="AZ113" s="11">
        <f>IF(NOT(ISNUMBER(Matching_Engine!$AY$113)),"Not Scored",IF(Matching_Engine!$AY$113&gt;=Lookup_Lists!$D$152,"Excellent Match",IF(Matching_Engine!$AY$113&gt;=Lookup_Lists!$D$153,"Strong Match",IF(Matching_Engine!$AY$113&gt;=Lookup_Lists!$D$154,"Good Match",IF(Matching_Engine!$AY$113&gt;=Lookup_Lists!$D$155,"Moderate Match","Low Match")))))</f>
      </c>
      <c r="BA113" s="18">
        <f>KOL_Source_Data!$BW$17</f>
      </c>
      <c r="BB113" s="11">
        <f>KOL_Source_Data!$BX$17</f>
      </c>
      <c r="BC113" s="18">
        <f>IF(NOT(ISNUMBER(Matching_Engine!$AY$113)),-1,Matching_Engine!$AY$113*1000+13)</f>
      </c>
      <c r="BD113" s="11">
        <f>IF(AND(ISTEXT(KOL_Source_Data!$S$17),KOL_Source_Data!$S$17&lt;&gt;"N/A"),KOL_Source_Data!$S$17,"")&amp;" | "&amp;IF(AND(ISTEXT(KOL_Source_Data!$T$17),KOL_Source_Data!$T$17&lt;&gt;"N/A"),KOL_Source_Data!$T$17,"")&amp;" | "&amp;IF(AND(ISTEXT(KOL_Source_Data!$N$17),KOL_Source_Data!$N$17&lt;&gt;"N/A"),KOL_Source_Data!$N$17,"")&amp;" | "&amp;IF(AND(ISTEXT(KOL_Source_Data!$K$17),KOL_Source_Data!$K$17&lt;&gt;"N/A"),KOL_Source_Data!$K$17,"")&amp;" | "&amp;IF(AND(ISTEXT(KOL_Source_Data!$J$17),KOL_Source_Data!$J$17&lt;&gt;"N/A"),KOL_Source_Data!$J$17,"")</f>
      </c>
      <c r="BE113" s="11">
        <f>IF(AND(ISTEXT(KOL_Source_Data!$T$17),KOL_Source_Data!$T$17&lt;&gt;"N/A"),KOL_Source_Data!$T$17,"")&amp;" | "&amp;IF(AND(ISTEXT(KOL_Source_Data!$N$17),KOL_Source_Data!$N$17&lt;&gt;"N/A"),KOL_Source_Data!$N$17,"")&amp;" | "&amp;IF(AND(ISTEXT(KOL_Source_Data!$O$17),KOL_Source_Data!$O$17&lt;&gt;"N/A"),KOL_Source_Data!$O$17,"")&amp;" | "&amp;IF(AND(ISTEXT(KOL_Source_Data!$S$17),KOL_Source_Data!$S$17&lt;&gt;"N/A"),KOL_Source_Data!$S$17,"")</f>
      </c>
      <c r="BF113" s="11">
        <f>IF(AND(ISTEXT(KOL_Source_Data!$U$17),KOL_Source_Data!$U$17&lt;&gt;"N/A"),KOL_Source_Data!$U$17,"")</f>
      </c>
      <c r="BG113" s="11">
        <f>Matching_Engine!$A$113&amp;"|"&amp;Matching_Engine!$C$113</f>
      </c>
    </row>
    <row r="114" spans="1:59" x14ac:dyDescent="0.25">
      <c r="A114" s="10" t="s">
        <v>394</v>
      </c>
      <c r="B114" s="11">
        <f>Brand_Profile!$I$6</f>
      </c>
      <c r="C114" s="11">
        <f>KOL_Source_Data!$A$18</f>
      </c>
      <c r="D114" s="11">
        <f>KOL_Source_Data!$C$18</f>
      </c>
      <c r="E114" s="11">
        <f>KOL_Source_Data!$D$18</f>
      </c>
      <c r="F114" s="11">
        <f>KOL_Source_Data!$E$18</f>
      </c>
      <c r="G114" s="11">
        <f>KOL_Source_Data!$K$18</f>
      </c>
      <c r="H114" s="12">
        <f>KOL_Source_Data!$G$18</f>
      </c>
      <c r="I114" s="14">
        <f>KOL_Source_Data!$BG$18</f>
      </c>
      <c r="J114" s="18">
        <f>IF(NOT(AND(ISTEXT(KOL_Source_Data!$K$18),KOL_Source_Data!$K$18&lt;&gt;"N/A")),Lookup_Lists!$D$150,IF(Brand_Profile!$I$7=KOL_Source_Data!$K$18,100,IFERROR(INDEX(Lookup_Lists!$B$349:$J$357,MATCH(Brand_Profile!$I$7,Lookup_Lists!$A$349:$A$357,0),MATCH(KOL_Source_Data!$K$18,Lookup_Lists!$B$348:$J$348,0)),Lookup_Lists!$D$151)))</f>
      </c>
      <c r="K114" s="18">
        <f>IF(LEN(TRIM(SUBSTITUTE(Matching_Engine!$BD$114,"|","")))=0,"N/A",IF(Brand_Profile!$I$47=0,Lookup_Lists!$D$150,ROUND((IF(Brand_Profile!$I$41="",0,IF(ISNUMBER(SEARCH(Brand_Profile!$I$41,Matching_Engine!$BD$114)),1,0))+IF(Brand_Profile!$I$42="",0,IF(ISNUMBER(SEARCH(Brand_Profile!$I$42,Matching_Engine!$BD$114)),1,0))+IF(Brand_Profile!$I$43="",0,IF(ISNUMBER(SEARCH(Brand_Profile!$I$43,Matching_Engine!$BD$114)),1,0))+IF(Brand_Profile!$I$44="",0,IF(ISNUMBER(SEARCH(Brand_Profile!$I$44,Matching_Engine!$BD$114)),1,0))+IF(Brand_Profile!$I$45="",0,IF(ISNUMBER(SEARCH(Brand_Profile!$I$45,Matching_Engine!$BD$114)),1,0))+IF(Brand_Profile!$I$46="",0,IF(ISNUMBER(SEARCH(Brand_Profile!$I$46,Matching_Engine!$BD$114)),1,0)))/Brand_Profile!$I$47*100,0)))</f>
      </c>
      <c r="L114" s="18">
        <f>IF(NOT(AND(ISTEXT(KOL_Source_Data!$U$18),KOL_Source_Data!$U$18&lt;&gt;"N/A")),"N/A",IF(Brand_Profile!$I$53=0,Lookup_Lists!$D$150,ROUND((IF(Brand_Profile!$I$48="",0,IF(ISNUMBER(SEARCH(Brand_Profile!$I$48,Matching_Engine!$BF$114)),1,0))+IF(Brand_Profile!$I$49="",0,IF(ISNUMBER(SEARCH(Brand_Profile!$I$49,Matching_Engine!$BF$114)),1,0))+IF(Brand_Profile!$I$50="",0,IF(ISNUMBER(SEARCH(Brand_Profile!$I$50,Matching_Engine!$BF$114)),1,0))+IF(Brand_Profile!$I$51="",0,IF(ISNUMBER(SEARCH(Brand_Profile!$I$51,Matching_Engine!$BF$114)),1,0))+IF(Brand_Profile!$I$52="",0,IF(ISNUMBER(SEARCH(Brand_Profile!$I$52,Matching_Engine!$BF$114)),1,0)))/Brand_Profile!$I$53*100,0)))</f>
      </c>
      <c r="M114" s="29">
        <f>IF((IF(ISNUMBER(Matching_Engine!$J$114),Lookup_Lists!$D$332,0)+IF(ISNUMBER(Matching_Engine!$K$114),Lookup_Lists!$D$333,0)+IF(ISNUMBER(Matching_Engine!$L$114),Lookup_Lists!$D$334,0))=0,"N/A",ROUND((IF(ISNUMBER(Matching_Engine!$J$114),Matching_Engine!$J$114*Lookup_Lists!$D$332,0)+IF(ISNUMBER(Matching_Engine!$K$114),Matching_Engine!$K$114*Lookup_Lists!$D$333,0)+IF(ISNUMBER(Matching_Engine!$L$114),Matching_Engine!$L$114*Lookup_Lists!$D$334,0))/(IF(ISNUMBER(Matching_Engine!$J$114),Lookup_Lists!$D$332,0)+IF(ISNUMBER(Matching_Engine!$K$114),Lookup_Lists!$D$333,0)+IF(ISNUMBER(Matching_Engine!$L$114),Lookup_Lists!$D$334,0)),0))</f>
      </c>
      <c r="N114" s="11">
        <f>IF(ISNUMBER(Matching_Engine!$M$114),1,0)</f>
      </c>
      <c r="O114" s="18">
        <f>IF(NOT(ISNUMBER(IFERROR(INDEX(KOL_Source_Data!$V$18:KOL_Source_Data!$Z$18,1,MATCH(Brand_Profile!$I$11,Lookup_Lists!$F$6:$F$10,0)),""))),"N/A",MIN(100,ROUND((IFERROR(INDEX(KOL_Source_Data!$V$18:KOL_Source_Data!$Z$18,1,MATCH(Brand_Profile!$I$11,Lookup_Lists!$F$6:$F$10,0)),"")+0.5*IF(ISNUMBER(IFERROR(INDEX(KOL_Source_Data!$V$18:KOL_Source_Data!$Z$18,1,MATCH(Brand_Profile!$I$12,Lookup_Lists!$F$6:$F$10,0)),"")),IFERROR(INDEX(KOL_Source_Data!$V$18:KOL_Source_Data!$Z$18,1,MATCH(Brand_Profile!$I$12,Lookup_Lists!$F$6:$F$10,0)),""),0))/Lookup_Lists!$D$142*100,0)))</f>
      </c>
      <c r="P114" s="18">
        <f>IF(Brand_Profile!$I$13="Any",100,IF(NOT(ISNUMBER(KOL_Source_Data!$AA$18)),"N/A",IF(Brand_Profile!$I$13="Female",MIN(100,ROUND(KOL_Source_Data!$AA$18/Lookup_Lists!$D$143*100,0)),IF(Brand_Profile!$I$13="Male",MIN(100,ROUND(IF(ISNUMBER(KOL_Source_Data!$AB$18),KOL_Source_Data!$AB$18,100-KOL_Source_Data!$AA$18)/Lookup_Lists!$D$143*100,0)),MAX(0,ROUND(100-ABS(KOL_Source_Data!$AA$18-50)*2,0))))))</f>
      </c>
      <c r="Q114" s="18">
        <f>IF((IF(ISNUMBER(IF(NOT(ISNUMBER(KOL_Source_Data!$AE$18)),"N/A",IF(KOL_Source_Data!$AD$18&lt;&gt;Brand_Profile!$I$14,Lookup_Lists!$D$151,MIN(100,ROUND(KOL_Source_Data!$AE$18/Lookup_Lists!$D$316*100,0))))),Lookup_Lists!$D$118,0)+IF(ISNUMBER(IF(NOT(ISNUMBER(KOL_Source_Data!$AM$18)),"N/A",MIN(100,ROUND((IF(KOL_Source_Data!$AG$18=Brand_Profile!$I$15,IF(ISNUMBER(KOL_Source_Data!$AH$18),KOL_Source_Data!$AH$18,0),0)+IF(KOL_Source_Data!$AI$18=Brand_Profile!$I$15,IF(ISNUMBER(KOL_Source_Data!$AJ$18),KOL_Source_Data!$AJ$18,0),0)+IF(KOL_Source_Data!$AK$18=Brand_Profile!$I$15,IF(ISNUMBER(KOL_Source_Data!$AL$18),KOL_Source_Data!$AL$18,0),0))/Lookup_Lists!$D$317*100,0)))),Lookup_Lists!$D$120,0))=0,"N/A",ROUND((IF(ISNUMBER(IF(NOT(ISNUMBER(KOL_Source_Data!$AE$18)),"N/A",IF(KOL_Source_Data!$AD$18&lt;&gt;Brand_Profile!$I$14,Lookup_Lists!$D$151,MIN(100,ROUND(KOL_Source_Data!$AE$18/Lookup_Lists!$D$316*100,0))))),IF(NOT(ISNUMBER(KOL_Source_Data!$AE$18)),"N/A",IF(KOL_Source_Data!$AD$18&lt;&gt;Brand_Profile!$I$14,Lookup_Lists!$D$151,MIN(100,ROUND(KOL_Source_Data!$AE$18/Lookup_Lists!$D$316*100,0))))*Lookup_Lists!$D$118,0)+IF(ISNUMBER(IF(NOT(ISNUMBER(KOL_Source_Data!$AM$18)),"N/A",MIN(100,ROUND((IF(KOL_Source_Data!$AG$18=Brand_Profile!$I$15,IF(ISNUMBER(KOL_Source_Data!$AH$18),KOL_Source_Data!$AH$18,0),0)+IF(KOL_Source_Data!$AI$18=Brand_Profile!$I$15,IF(ISNUMBER(KOL_Source_Data!$AJ$18),KOL_Source_Data!$AJ$18,0),0)+IF(KOL_Source_Data!$AK$18=Brand_Profile!$I$15,IF(ISNUMBER(KOL_Source_Data!$AL$18),KOL_Source_Data!$AL$18,0),0))/Lookup_Lists!$D$317*100,0)))),IF(NOT(ISNUMBER(KOL_Source_Data!$AM$18)),"N/A",MIN(100,ROUND((IF(KOL_Source_Data!$AG$18=Brand_Profile!$I$15,IF(ISNUMBER(KOL_Source_Data!$AH$18),KOL_Source_Data!$AH$18,0),0)+IF(KOL_Source_Data!$AI$18=Brand_Profile!$I$15,IF(ISNUMBER(KOL_Source_Data!$AJ$18),KOL_Source_Data!$AJ$18,0),0)+IF(KOL_Source_Data!$AK$18=Brand_Profile!$I$15,IF(ISNUMBER(KOL_Source_Data!$AL$18),KOL_Source_Data!$AL$18,0),0))/Lookup_Lists!$D$317*100,0)))*Lookup_Lists!$D$120,0))/(IF(ISNUMBER(IF(NOT(ISNUMBER(KOL_Source_Data!$AE$18)),"N/A",IF(KOL_Source_Data!$AD$18&lt;&gt;Brand_Profile!$I$14,Lookup_Lists!$D$151,MIN(100,ROUND(KOL_Source_Data!$AE$18/Lookup_Lists!$D$316*100,0))))),Lookup_Lists!$D$118,0)+IF(ISNUMBER(IF(NOT(ISNUMBER(KOL_Source_Data!$AM$18)),"N/A",MIN(100,ROUND((IF(KOL_Source_Data!$AG$18=Brand_Profile!$I$15,IF(ISNUMBER(KOL_Source_Data!$AH$18),KOL_Source_Data!$AH$18,0),0)+IF(KOL_Source_Data!$AI$18=Brand_Profile!$I$15,IF(ISNUMBER(KOL_Source_Data!$AJ$18),KOL_Source_Data!$AJ$18,0),0)+IF(KOL_Source_Data!$AK$18=Brand_Profile!$I$15,IF(ISNUMBER(KOL_Source_Data!$AL$18),KOL_Source_Data!$AL$18,0),0))/Lookup_Lists!$D$317*100,0)))),Lookup_Lists!$D$120,0)),0))</f>
      </c>
      <c r="R114" s="18">
        <f>IF(NOT(ISNUMBER(KOL_Source_Data!$AN$18)),"N/A",MIN(100,ROUND((IF(ISNUMBER(KOL_Source_Data!$AO$18),KOL_Source_Data!$AO$18*Brand_Profile!$I$17,0)+IF(ISNUMBER(KOL_Source_Data!$AP$18),KOL_Source_Data!$AP$18*Brand_Profile!$I$18,0)+IF(ISNUMBER(KOL_Source_Data!$AQ$18),KOL_Source_Data!$AQ$18*Brand_Profile!$I$19,0)+IF(ISNUMBER(KOL_Source_Data!$AR$18),KOL_Source_Data!$AR$18*Brand_Profile!$I$20,0)+IF(ISNUMBER(KOL_Source_Data!$AS$18),KOL_Source_Data!$AS$18*Brand_Profile!$I$21,0)+IF(ISNUMBER(KOL_Source_Data!$AT$18),KOL_Source_Data!$AT$18*Brand_Profile!$I$22,0)+IF(ISNUMBER(KOL_Source_Data!$AU$18),KOL_Source_Data!$AU$18*Brand_Profile!$I$23,0)+IF(ISNUMBER(KOL_Source_Data!$AV$18),KOL_Source_Data!$AV$18*Brand_Profile!$I$24,0)+IF(ISNUMBER(KOL_Source_Data!$AW$18),KOL_Source_Data!$AW$18*Brand_Profile!$I$25,0)+IF(ISNUMBER(KOL_Source_Data!$AX$18),KOL_Source_Data!$AX$18*Brand_Profile!$I$26,0)+IF(ISNUMBER(KOL_Source_Data!$AY$18),KOL_Source_Data!$AY$18*Brand_Profile!$I$27,0)+IF(ISNUMBER(KOL_Source_Data!$AZ$18),KOL_Source_Data!$AZ$18*Brand_Profile!$I$28,0)+IF(ISNUMBER(KOL_Source_Data!$BA$18),KOL_Source_Data!$BA$18*Brand_Profile!$I$29,0)+IF(ISNUMBER(KOL_Source_Data!$BB$18),KOL_Source_Data!$BB$18*Brand_Profile!$I$30,0)+IF(ISNUMBER(KOL_Source_Data!$BC$18),KOL_Source_Data!$BC$18*Brand_Profile!$I$31,0)+IF(ISNUMBER(KOL_Source_Data!$BD$18),KOL_Source_Data!$BD$18*Brand_Profile!$I$32,0)+IF(ISNUMBER(KOL_Source_Data!$BE$18),KOL_Source_Data!$BE$18*Brand_Profile!$I$33,0)+IF(ISNUMBER(KOL_Source_Data!$BF$18),KOL_Source_Data!$BF$18*Brand_Profile!$I$34,0))/Lookup_Lists!$D$318*100,0)))</f>
      </c>
      <c r="S114" s="29">
        <f>IF((IF(ISNUMBER(Matching_Engine!$O$114),Lookup_Lists!$D$113,0)+IF(ISNUMBER(Matching_Engine!$P$114),Lookup_Lists!$D$114,0)+IF(ISNUMBER(Matching_Engine!$Q$114),Lookup_Lists!$D$115,0)+IF(ISNUMBER(Matching_Engine!$R$114),Lookup_Lists!$D$116,0))=0,"N/A",ROUND((IF(ISNUMBER(Matching_Engine!$O$114),Matching_Engine!$O$114*Lookup_Lists!$D$113,0)+IF(ISNUMBER(Matching_Engine!$P$114),Matching_Engine!$P$114*Lookup_Lists!$D$114,0)+IF(ISNUMBER(Matching_Engine!$Q$114),Matching_Engine!$Q$114*Lookup_Lists!$D$115,0)+IF(ISNUMBER(Matching_Engine!$R$114),Matching_Engine!$R$114*Lookup_Lists!$D$116,0))/(IF(ISNUMBER(Matching_Engine!$O$114),Lookup_Lists!$D$113,0)+IF(ISNUMBER(Matching_Engine!$P$114),Lookup_Lists!$D$114,0)+IF(ISNUMBER(Matching_Engine!$Q$114),Lookup_Lists!$D$115,0)+IF(ISNUMBER(Matching_Engine!$R$114),Lookup_Lists!$D$116,0)),0))</f>
      </c>
      <c r="T114" s="11">
        <f>IF(ISNUMBER(Matching_Engine!$S$114),1,0)</f>
      </c>
      <c r="U114" s="18">
        <f>IF(NOT(AND(ISTEXT(KOL_Source_Data!$M$18),KOL_Source_Data!$M$18&lt;&gt;"N/A")),Lookup_Lists!$D$150,IF(Brand_Profile!$I$7=KOL_Source_Data!$M$18,100,IFERROR(INDEX(Lookup_Lists!$B$349:$J$357,MATCH(Brand_Profile!$I$7,Lookup_Lists!$A$349:$A$357,0),MATCH(KOL_Source_Data!$M$18,Lookup_Lists!$B$348:$J$348,0)),Lookup_Lists!$D$151)))</f>
      </c>
      <c r="V114" s="18">
        <f>IF(NOT(AND(ISTEXT(KOL_Source_Data!$P$18),KOL_Source_Data!$P$18&lt;&gt;"N/A")),"N/A",IFERROR(INDEX(Lookup_Lists!$B$349:$J$357,MATCH(Brand_Profile!$I$7,Lookup_Lists!$A$349:$A$357,0),MATCH(KOL_Source_Data!$P$18,Lookup_Lists!$B$348:$J$348,0)),Lookup_Lists!$D$151))</f>
      </c>
      <c r="W114" s="18">
        <f>IF(LEN(TRIM(SUBSTITUTE(Matching_Engine!$BE$114,"|","")))=0,"N/A",IF(Brand_Profile!$I$60=0,Lookup_Lists!$D$150,ROUND((IF(Brand_Profile!$I$54="",0,IF(ISNUMBER(SEARCH(Brand_Profile!$I$54,Matching_Engine!$BE$114)),1,0))+IF(Brand_Profile!$I$55="",0,IF(ISNUMBER(SEARCH(Brand_Profile!$I$55,Matching_Engine!$BE$114)),1,0))+IF(Brand_Profile!$I$56="",0,IF(ISNUMBER(SEARCH(Brand_Profile!$I$56,Matching_Engine!$BE$114)),1,0))+IF(Brand_Profile!$I$57="",0,IF(ISNUMBER(SEARCH(Brand_Profile!$I$57,Matching_Engine!$BE$114)),1,0))+IF(Brand_Profile!$I$58="",0,IF(ISNUMBER(SEARCH(Brand_Profile!$I$58,Matching_Engine!$BE$114)),1,0))+IF(Brand_Profile!$I$59="",0,IF(ISNUMBER(SEARCH(Brand_Profile!$I$59,Matching_Engine!$BE$114)),1,0)))/Brand_Profile!$I$60*100,0)))</f>
      </c>
      <c r="X114" s="18">
        <f>IF(NOT(AND(ISTEXT(KOL_Source_Data!$Q$18),KOL_Source_Data!$Q$18&lt;&gt;"N/A")),"N/A",Lookup_Lists!$D$150)</f>
      </c>
      <c r="Y114" s="29">
        <f>IF((IF(ISNUMBER(Matching_Engine!$U$114),Lookup_Lists!$D$335,0)+IF(ISNUMBER(Matching_Engine!$V$114),Lookup_Lists!$D$122,0)+IF(ISNUMBER(Matching_Engine!$W$114),Lookup_Lists!$D$336,0)+IF(ISNUMBER(Matching_Engine!$X$114),Lookup_Lists!$D$124,0))=0,"N/A",ROUND((IF(ISNUMBER(Matching_Engine!$U$114),Matching_Engine!$U$114*Lookup_Lists!$D$335,0)+IF(ISNUMBER(Matching_Engine!$V$114),Matching_Engine!$V$114*Lookup_Lists!$D$122,0)+IF(ISNUMBER(Matching_Engine!$W$114),Matching_Engine!$W$114*Lookup_Lists!$D$336,0)+IF(ISNUMBER(Matching_Engine!$X$114),Matching_Engine!$X$114*Lookup_Lists!$D$124,0))/(IF(ISNUMBER(Matching_Engine!$U$114),Lookup_Lists!$D$335,0)+IF(ISNUMBER(Matching_Engine!$V$114),Lookup_Lists!$D$122,0)+IF(ISNUMBER(Matching_Engine!$W$114),Lookup_Lists!$D$336,0)+IF(ISNUMBER(Matching_Engine!$X$114),Lookup_Lists!$D$124,0)),0))</f>
      </c>
      <c r="Z114" s="11">
        <f>IF(ISNUMBER(Matching_Engine!$Y$114),1,0)</f>
      </c>
      <c r="AA114" s="18">
        <f>IF(NOT(AND(ISTEXT(KOL_Source_Data!$Q$18),KOL_Source_Data!$Q$18&lt;&gt;"N/A")),"N/A",Lookup_Lists!$D$150)</f>
      </c>
      <c r="AB114" s="18">
        <f>IF(NOT(AND(ISTEXT(KOL_Source_Data!$Q$18),KOL_Source_Data!$Q$18&lt;&gt;"N/A")),"N/A",Lookup_Lists!$D$150)</f>
      </c>
      <c r="AC114" s="18">
        <f>"N/A"</f>
      </c>
      <c r="AD114" s="18">
        <f>IF(NOT(AND(ISTEXT(KOL_Source_Data!$Q$18),KOL_Source_Data!$Q$18&lt;&gt;"N/A")),"N/A",Lookup_Lists!$D$150)</f>
      </c>
      <c r="AE114" s="29">
        <f>IF((IF(ISNUMBER(Matching_Engine!$AA$114),Lookup_Lists!$D$125,0)+IF(ISNUMBER(Matching_Engine!$AB$114),Lookup_Lists!$D$126,0)+IF(ISNUMBER(Matching_Engine!$AC$114),Lookup_Lists!$D$127,0)+IF(ISNUMBER(Matching_Engine!$AD$114),Lookup_Lists!$D$128,0))=0,"N/A",ROUND((IF(ISNUMBER(Matching_Engine!$AA$114),Matching_Engine!$AA$114*Lookup_Lists!$D$125,0)+IF(ISNUMBER(Matching_Engine!$AB$114),Matching_Engine!$AB$114*Lookup_Lists!$D$126,0)+IF(ISNUMBER(Matching_Engine!$AC$114),Matching_Engine!$AC$114*Lookup_Lists!$D$127,0)+IF(ISNUMBER(Matching_Engine!$AD$114),Matching_Engine!$AD$114*Lookup_Lists!$D$128,0))/(IF(ISNUMBER(Matching_Engine!$AA$114),Lookup_Lists!$D$125,0)+IF(ISNUMBER(Matching_Engine!$AB$114),Lookup_Lists!$D$126,0)+IF(ISNUMBER(Matching_Engine!$AC$114),Lookup_Lists!$D$127,0)+IF(ISNUMBER(Matching_Engine!$AD$114),Lookup_Lists!$D$128,0)),0))</f>
      </c>
      <c r="AF114" s="11">
        <f>IF(ISNUMBER(Matching_Engine!$AE$114),1,0)</f>
      </c>
      <c r="AG114" s="18">
        <f>IF(NOT(ISNUMBER(KOL_Source_Data!$BG$18)),"N/A",MIN(100,ROUND(KOL_Source_Data!$BG$18/IFERROR(INDEX(Lookup_Lists!$B$340:$B$344,MATCH(KOL_Source_Data!$H$18,Lookup_Lists!$A$340:$A$344,0)),Lookup_Lists!$D$141)*100,0)))</f>
      </c>
      <c r="AH114" s="18">
        <f>IF(NOT(ISNUMBER(KOL_Source_Data!$BS$18)),"N/A",MIN(100,MAX(0,KOL_Source_Data!$BS$18)))</f>
      </c>
      <c r="AI114" s="18">
        <f>IF(OR(NOT(ISNUMBER(KOL_Source_Data!$BM$18)),NOT(ISNUMBER(KOL_Source_Data!$BN$18)),KOL_Source_Data!$BN$18&lt;Lookup_Lists!$D$320),"N/A",MIN(100,ROUND(KOL_Source_Data!$BM$18/Lookup_Lists!$D$319*100,0)))</f>
      </c>
      <c r="AJ114" s="18">
        <f>IF(NOT(ISNUMBER(KOL_Source_Data!$BR$18)),"N/A",KOL_Source_Data!$BR$18)</f>
      </c>
      <c r="AK114" s="18">
        <f>IF(NOT(ISNUMBER(KOL_Source_Data!$BK$18)),"N/A",MIN(100,ROUND(KOL_Source_Data!$BK$18/Lookup_Lists!$D$321*100,0)))</f>
      </c>
      <c r="AL114" s="18">
        <f>IF(NOT(ISNUMBER(KOL_Source_Data!$BP$18)),"N/A",MIN(100,MAX(0,ROUND((KOL_Source_Data!$BP$18+2)/(Lookup_Lists!$D$145+2)*100,0))))</f>
      </c>
      <c r="AM114" s="29">
        <f>IF((IF(ISNUMBER(Matching_Engine!$AG$114),Lookup_Lists!$D$129,0)+IF(ISNUMBER(Matching_Engine!$AH$114),Lookup_Lists!$D$130,0)+IF(ISNUMBER(Matching_Engine!$AI$114),Lookup_Lists!$D$131,0)+IF(ISNUMBER(Matching_Engine!$AJ$114),Lookup_Lists!$D$132,0)+IF(ISNUMBER(Matching_Engine!$AK$114),Lookup_Lists!$D$133,0)+IF(ISNUMBER(Matching_Engine!$AL$114),Lookup_Lists!$D$134,0))=0,"N/A",ROUND((IF(ISNUMBER(Matching_Engine!$AG$114),Matching_Engine!$AG$114*Lookup_Lists!$D$129,0)+IF(ISNUMBER(Matching_Engine!$AH$114),Matching_Engine!$AH$114*Lookup_Lists!$D$130,0)+IF(ISNUMBER(Matching_Engine!$AI$114),Matching_Engine!$AI$114*Lookup_Lists!$D$131,0)+IF(ISNUMBER(Matching_Engine!$AJ$114),Matching_Engine!$AJ$114*Lookup_Lists!$D$132,0)+IF(ISNUMBER(Matching_Engine!$AK$114),Matching_Engine!$AK$114*Lookup_Lists!$D$133,0)+IF(ISNUMBER(Matching_Engine!$AL$114),Matching_Engine!$AL$114*Lookup_Lists!$D$134,0))/(IF(ISNUMBER(Matching_Engine!$AG$114),Lookup_Lists!$D$129,0)+IF(ISNUMBER(Matching_Engine!$AH$114),Lookup_Lists!$D$130,0)+IF(ISNUMBER(Matching_Engine!$AI$114),Lookup_Lists!$D$131,0)+IF(ISNUMBER(Matching_Engine!$AJ$114),Lookup_Lists!$D$132,0)+IF(ISNUMBER(Matching_Engine!$AK$114),Lookup_Lists!$D$133,0)+IF(ISNUMBER(Matching_Engine!$AL$114),Lookup_Lists!$D$134,0)),0))</f>
      </c>
      <c r="AN114" s="11">
        <f>IF(ISNUMBER(Matching_Engine!$AM$114),1,0)</f>
      </c>
      <c r="AO114" s="18">
        <f>IF(NOT(ISNUMBER(KOL_Source_Data!$BT$18)),"N/A",MIN(100,MAX(0,KOL_Source_Data!$BT$18)))</f>
      </c>
      <c r="AP114" s="18">
        <f>IF(NOT(ISNUMBER(KOL_Source_Data!$BU$18)),"N/A",MIN(100,MAX(0,KOL_Source_Data!$BU$18)))</f>
      </c>
      <c r="AQ114" s="18">
        <f>IF(KOL_Source_Data!$I$18="Yes",Lookup_Lists!$D$326,IF(KOL_Source_Data!$I$18="No",Lookup_Lists!$D$327,"N/A"))</f>
      </c>
      <c r="AR114" s="18">
        <f>IF(NOT(ISNUMBER(KOL_Source_Data!$BQ$18)),"N/A",MAX(0,ROUND(100-KOL_Source_Data!$BQ$18/Lookup_Lists!$D$328*100,0)))</f>
      </c>
      <c r="AS114" s="18">
        <f>IF(NOT(AND(ISTEXT(KOL_Source_Data!$BV$18),KOL_Source_Data!$BV$18&lt;&gt;"N/A")),"N/A",KOL_Source_Data!$BV$18)</f>
      </c>
      <c r="AT114" s="29">
        <f>IF((IF(ISNUMBER(Matching_Engine!$AO$114),Lookup_Lists!$D$322,0)+IF(ISNUMBER(Matching_Engine!$AP$114),Lookup_Lists!$D$323,0)+IF(ISNUMBER(Matching_Engine!$AQ$114),Lookup_Lists!$D$324,0)+IF(ISNUMBER(Matching_Engine!$AR$114),Lookup_Lists!$D$325,0))=0,"N/A",ROUND((IF(ISNUMBER(Matching_Engine!$AO$114),Matching_Engine!$AO$114*Lookup_Lists!$D$322,0)+IF(ISNUMBER(Matching_Engine!$AP$114),Matching_Engine!$AP$114*Lookup_Lists!$D$323,0)+IF(ISNUMBER(Matching_Engine!$AQ$114),Matching_Engine!$AQ$114*Lookup_Lists!$D$324,0)+IF(ISNUMBER(Matching_Engine!$AR$114),Matching_Engine!$AR$114*Lookup_Lists!$D$325,0))/(IF(ISNUMBER(Matching_Engine!$AO$114),Lookup_Lists!$D$322,0)+IF(ISNUMBER(Matching_Engine!$AP$114),Lookup_Lists!$D$323,0)+IF(ISNUMBER(Matching_Engine!$AQ$114),Lookup_Lists!$D$324,0)+IF(ISNUMBER(Matching_Engine!$AR$114),Lookup_Lists!$D$325,0)),0))</f>
      </c>
      <c r="AU114" s="11">
        <f>IF(ISNUMBER(Matching_Engine!$AT$114),1,0)</f>
      </c>
      <c r="AV114" s="11">
        <f>IF(NOT(ISNUMBER(Matching_Engine!$AT$114)),"Not Screened",IF(Matching_Engine!$AT$114&gt;=Lookup_Lists!$D$329,"Low Risk",IF(Matching_Engine!$AT$114&gt;=Lookup_Lists!$D$330,"Moderate Risk",IF(Matching_Engine!$AT$114&gt;=Lookup_Lists!$D$331,"Elevated Risk","High Risk"))))</f>
      </c>
      <c r="AW114" s="11">
        <f>IF(NOT(ISNUMBER(Matching_Engine!$AT$114)),"No integrity signal: no audience-analysis row for this account.","Integrity screen only — no content-risk reading exists (comments_analysis: 0 rows). "&amp;IF(ISNUMBER(Matching_Engine!$AO$114),"Authenticity "&amp;Matching_Engine!$AO$114&amp;". ","Authenticity N/A. ")&amp;IF(ISNUMBER(Matching_Engine!$AP$114),"Follower quality "&amp;Matching_Engine!$AP$114&amp;". ","Follower quality N/A. ")&amp;IF(KOL_Source_Data!$I$18="Yes","Platform-verified.","Not platform-verified."))</f>
      </c>
      <c r="AX114" s="18">
        <f>Matching_Engine!$N$114*Lookup_Lists!$D$104+Matching_Engine!$T$114*Lookup_Lists!$D$105+Matching_Engine!$Z$114*Lookup_Lists!$D$106+Matching_Engine!$AF$114*Lookup_Lists!$D$107+Matching_Engine!$AN$114*Lookup_Lists!$D$108+Matching_Engine!$AU$114*Lookup_Lists!$D$109</f>
      </c>
      <c r="AY114" s="30">
        <f>IF(Matching_Engine!$AX$114=0,"N/A",ROUND((IF(Matching_Engine!$N$114=1,Matching_Engine!$M$114*Lookup_Lists!$D$104,0)+IF(Matching_Engine!$T$114=1,Matching_Engine!$S$114*Lookup_Lists!$D$105,0)+IF(Matching_Engine!$Z$114=1,Matching_Engine!$Y$114*Lookup_Lists!$D$106,0)+IF(Matching_Engine!$AF$114=1,Matching_Engine!$AE$114*Lookup_Lists!$D$107,0)+IF(Matching_Engine!$AN$114=1,Matching_Engine!$AM$114*Lookup_Lists!$D$108,0)+IF(Matching_Engine!$AU$114=1,Matching_Engine!$AT$114*Lookup_Lists!$D$109,0))/Matching_Engine!$AX$114,0))</f>
      </c>
      <c r="AZ114" s="11">
        <f>IF(NOT(ISNUMBER(Matching_Engine!$AY$114)),"Not Scored",IF(Matching_Engine!$AY$114&gt;=Lookup_Lists!$D$152,"Excellent Match",IF(Matching_Engine!$AY$114&gt;=Lookup_Lists!$D$153,"Strong Match",IF(Matching_Engine!$AY$114&gt;=Lookup_Lists!$D$154,"Good Match",IF(Matching_Engine!$AY$114&gt;=Lookup_Lists!$D$155,"Moderate Match","Low Match")))))</f>
      </c>
      <c r="BA114" s="18">
        <f>KOL_Source_Data!$BW$18</f>
      </c>
      <c r="BB114" s="11">
        <f>KOL_Source_Data!$BX$18</f>
      </c>
      <c r="BC114" s="18">
        <f>IF(NOT(ISNUMBER(Matching_Engine!$AY$114)),-1,Matching_Engine!$AY$114*1000+12)</f>
      </c>
      <c r="BD114" s="11">
        <f>IF(AND(ISTEXT(KOL_Source_Data!$S$18),KOL_Source_Data!$S$18&lt;&gt;"N/A"),KOL_Source_Data!$S$18,"")&amp;" | "&amp;IF(AND(ISTEXT(KOL_Source_Data!$T$18),KOL_Source_Data!$T$18&lt;&gt;"N/A"),KOL_Source_Data!$T$18,"")&amp;" | "&amp;IF(AND(ISTEXT(KOL_Source_Data!$N$18),KOL_Source_Data!$N$18&lt;&gt;"N/A"),KOL_Source_Data!$N$18,"")&amp;" | "&amp;IF(AND(ISTEXT(KOL_Source_Data!$K$18),KOL_Source_Data!$K$18&lt;&gt;"N/A"),KOL_Source_Data!$K$18,"")&amp;" | "&amp;IF(AND(ISTEXT(KOL_Source_Data!$J$18),KOL_Source_Data!$J$18&lt;&gt;"N/A"),KOL_Source_Data!$J$18,"")</f>
      </c>
      <c r="BE114" s="11">
        <f>IF(AND(ISTEXT(KOL_Source_Data!$T$18),KOL_Source_Data!$T$18&lt;&gt;"N/A"),KOL_Source_Data!$T$18,"")&amp;" | "&amp;IF(AND(ISTEXT(KOL_Source_Data!$N$18),KOL_Source_Data!$N$18&lt;&gt;"N/A"),KOL_Source_Data!$N$18,"")&amp;" | "&amp;IF(AND(ISTEXT(KOL_Source_Data!$O$18),KOL_Source_Data!$O$18&lt;&gt;"N/A"),KOL_Source_Data!$O$18,"")&amp;" | "&amp;IF(AND(ISTEXT(KOL_Source_Data!$S$18),KOL_Source_Data!$S$18&lt;&gt;"N/A"),KOL_Source_Data!$S$18,"")</f>
      </c>
      <c r="BF114" s="11">
        <f>IF(AND(ISTEXT(KOL_Source_Data!$U$18),KOL_Source_Data!$U$18&lt;&gt;"N/A"),KOL_Source_Data!$U$18,"")</f>
      </c>
      <c r="BG114" s="11">
        <f>Matching_Engine!$A$114&amp;"|"&amp;Matching_Engine!$C$114</f>
      </c>
    </row>
    <row r="115" spans="1:59" x14ac:dyDescent="0.25">
      <c r="A115" s="10" t="s">
        <v>394</v>
      </c>
      <c r="B115" s="11">
        <f>Brand_Profile!$I$6</f>
      </c>
      <c r="C115" s="11">
        <f>KOL_Source_Data!$A$19</f>
      </c>
      <c r="D115" s="11">
        <f>KOL_Source_Data!$C$19</f>
      </c>
      <c r="E115" s="11">
        <f>KOL_Source_Data!$D$19</f>
      </c>
      <c r="F115" s="11">
        <f>KOL_Source_Data!$E$19</f>
      </c>
      <c r="G115" s="11">
        <f>KOL_Source_Data!$K$19</f>
      </c>
      <c r="H115" s="12">
        <f>KOL_Source_Data!$G$19</f>
      </c>
      <c r="I115" s="14">
        <f>KOL_Source_Data!$BG$19</f>
      </c>
      <c r="J115" s="18">
        <f>IF(NOT(AND(ISTEXT(KOL_Source_Data!$K$19),KOL_Source_Data!$K$19&lt;&gt;"N/A")),Lookup_Lists!$D$150,IF(Brand_Profile!$I$7=KOL_Source_Data!$K$19,100,IFERROR(INDEX(Lookup_Lists!$B$349:$J$357,MATCH(Brand_Profile!$I$7,Lookup_Lists!$A$349:$A$357,0),MATCH(KOL_Source_Data!$K$19,Lookup_Lists!$B$348:$J$348,0)),Lookup_Lists!$D$151)))</f>
      </c>
      <c r="K115" s="18">
        <f>IF(LEN(TRIM(SUBSTITUTE(Matching_Engine!$BD$115,"|","")))=0,"N/A",IF(Brand_Profile!$I$47=0,Lookup_Lists!$D$150,ROUND((IF(Brand_Profile!$I$41="",0,IF(ISNUMBER(SEARCH(Brand_Profile!$I$41,Matching_Engine!$BD$115)),1,0))+IF(Brand_Profile!$I$42="",0,IF(ISNUMBER(SEARCH(Brand_Profile!$I$42,Matching_Engine!$BD$115)),1,0))+IF(Brand_Profile!$I$43="",0,IF(ISNUMBER(SEARCH(Brand_Profile!$I$43,Matching_Engine!$BD$115)),1,0))+IF(Brand_Profile!$I$44="",0,IF(ISNUMBER(SEARCH(Brand_Profile!$I$44,Matching_Engine!$BD$115)),1,0))+IF(Brand_Profile!$I$45="",0,IF(ISNUMBER(SEARCH(Brand_Profile!$I$45,Matching_Engine!$BD$115)),1,0))+IF(Brand_Profile!$I$46="",0,IF(ISNUMBER(SEARCH(Brand_Profile!$I$46,Matching_Engine!$BD$115)),1,0)))/Brand_Profile!$I$47*100,0)))</f>
      </c>
      <c r="L115" s="18">
        <f>IF(NOT(AND(ISTEXT(KOL_Source_Data!$U$19),KOL_Source_Data!$U$19&lt;&gt;"N/A")),"N/A",IF(Brand_Profile!$I$53=0,Lookup_Lists!$D$150,ROUND((IF(Brand_Profile!$I$48="",0,IF(ISNUMBER(SEARCH(Brand_Profile!$I$48,Matching_Engine!$BF$115)),1,0))+IF(Brand_Profile!$I$49="",0,IF(ISNUMBER(SEARCH(Brand_Profile!$I$49,Matching_Engine!$BF$115)),1,0))+IF(Brand_Profile!$I$50="",0,IF(ISNUMBER(SEARCH(Brand_Profile!$I$50,Matching_Engine!$BF$115)),1,0))+IF(Brand_Profile!$I$51="",0,IF(ISNUMBER(SEARCH(Brand_Profile!$I$51,Matching_Engine!$BF$115)),1,0))+IF(Brand_Profile!$I$52="",0,IF(ISNUMBER(SEARCH(Brand_Profile!$I$52,Matching_Engine!$BF$115)),1,0)))/Brand_Profile!$I$53*100,0)))</f>
      </c>
      <c r="M115" s="29">
        <f>IF((IF(ISNUMBER(Matching_Engine!$J$115),Lookup_Lists!$D$332,0)+IF(ISNUMBER(Matching_Engine!$K$115),Lookup_Lists!$D$333,0)+IF(ISNUMBER(Matching_Engine!$L$115),Lookup_Lists!$D$334,0))=0,"N/A",ROUND((IF(ISNUMBER(Matching_Engine!$J$115),Matching_Engine!$J$115*Lookup_Lists!$D$332,0)+IF(ISNUMBER(Matching_Engine!$K$115),Matching_Engine!$K$115*Lookup_Lists!$D$333,0)+IF(ISNUMBER(Matching_Engine!$L$115),Matching_Engine!$L$115*Lookup_Lists!$D$334,0))/(IF(ISNUMBER(Matching_Engine!$J$115),Lookup_Lists!$D$332,0)+IF(ISNUMBER(Matching_Engine!$K$115),Lookup_Lists!$D$333,0)+IF(ISNUMBER(Matching_Engine!$L$115),Lookup_Lists!$D$334,0)),0))</f>
      </c>
      <c r="N115" s="11">
        <f>IF(ISNUMBER(Matching_Engine!$M$115),1,0)</f>
      </c>
      <c r="O115" s="18">
        <f>IF(NOT(ISNUMBER(IFERROR(INDEX(KOL_Source_Data!$V$19:KOL_Source_Data!$Z$19,1,MATCH(Brand_Profile!$I$11,Lookup_Lists!$F$6:$F$10,0)),""))),"N/A",MIN(100,ROUND((IFERROR(INDEX(KOL_Source_Data!$V$19:KOL_Source_Data!$Z$19,1,MATCH(Brand_Profile!$I$11,Lookup_Lists!$F$6:$F$10,0)),"")+0.5*IF(ISNUMBER(IFERROR(INDEX(KOL_Source_Data!$V$19:KOL_Source_Data!$Z$19,1,MATCH(Brand_Profile!$I$12,Lookup_Lists!$F$6:$F$10,0)),"")),IFERROR(INDEX(KOL_Source_Data!$V$19:KOL_Source_Data!$Z$19,1,MATCH(Brand_Profile!$I$12,Lookup_Lists!$F$6:$F$10,0)),""),0))/Lookup_Lists!$D$142*100,0)))</f>
      </c>
      <c r="P115" s="18">
        <f>IF(Brand_Profile!$I$13="Any",100,IF(NOT(ISNUMBER(KOL_Source_Data!$AA$19)),"N/A",IF(Brand_Profile!$I$13="Female",MIN(100,ROUND(KOL_Source_Data!$AA$19/Lookup_Lists!$D$143*100,0)),IF(Brand_Profile!$I$13="Male",MIN(100,ROUND(IF(ISNUMBER(KOL_Source_Data!$AB$19),KOL_Source_Data!$AB$19,100-KOL_Source_Data!$AA$19)/Lookup_Lists!$D$143*100,0)),MAX(0,ROUND(100-ABS(KOL_Source_Data!$AA$19-50)*2,0))))))</f>
      </c>
      <c r="Q115" s="18">
        <f>IF((IF(ISNUMBER(IF(NOT(ISNUMBER(KOL_Source_Data!$AE$19)),"N/A",IF(KOL_Source_Data!$AD$19&lt;&gt;Brand_Profile!$I$14,Lookup_Lists!$D$151,MIN(100,ROUND(KOL_Source_Data!$AE$19/Lookup_Lists!$D$316*100,0))))),Lookup_Lists!$D$118,0)+IF(ISNUMBER(IF(NOT(ISNUMBER(KOL_Source_Data!$AM$19)),"N/A",MIN(100,ROUND((IF(KOL_Source_Data!$AG$19=Brand_Profile!$I$15,IF(ISNUMBER(KOL_Source_Data!$AH$19),KOL_Source_Data!$AH$19,0),0)+IF(KOL_Source_Data!$AI$19=Brand_Profile!$I$15,IF(ISNUMBER(KOL_Source_Data!$AJ$19),KOL_Source_Data!$AJ$19,0),0)+IF(KOL_Source_Data!$AK$19=Brand_Profile!$I$15,IF(ISNUMBER(KOL_Source_Data!$AL$19),KOL_Source_Data!$AL$19,0),0))/Lookup_Lists!$D$317*100,0)))),Lookup_Lists!$D$120,0))=0,"N/A",ROUND((IF(ISNUMBER(IF(NOT(ISNUMBER(KOL_Source_Data!$AE$19)),"N/A",IF(KOL_Source_Data!$AD$19&lt;&gt;Brand_Profile!$I$14,Lookup_Lists!$D$151,MIN(100,ROUND(KOL_Source_Data!$AE$19/Lookup_Lists!$D$316*100,0))))),IF(NOT(ISNUMBER(KOL_Source_Data!$AE$19)),"N/A",IF(KOL_Source_Data!$AD$19&lt;&gt;Brand_Profile!$I$14,Lookup_Lists!$D$151,MIN(100,ROUND(KOL_Source_Data!$AE$19/Lookup_Lists!$D$316*100,0))))*Lookup_Lists!$D$118,0)+IF(ISNUMBER(IF(NOT(ISNUMBER(KOL_Source_Data!$AM$19)),"N/A",MIN(100,ROUND((IF(KOL_Source_Data!$AG$19=Brand_Profile!$I$15,IF(ISNUMBER(KOL_Source_Data!$AH$19),KOL_Source_Data!$AH$19,0),0)+IF(KOL_Source_Data!$AI$19=Brand_Profile!$I$15,IF(ISNUMBER(KOL_Source_Data!$AJ$19),KOL_Source_Data!$AJ$19,0),0)+IF(KOL_Source_Data!$AK$19=Brand_Profile!$I$15,IF(ISNUMBER(KOL_Source_Data!$AL$19),KOL_Source_Data!$AL$19,0),0))/Lookup_Lists!$D$317*100,0)))),IF(NOT(ISNUMBER(KOL_Source_Data!$AM$19)),"N/A",MIN(100,ROUND((IF(KOL_Source_Data!$AG$19=Brand_Profile!$I$15,IF(ISNUMBER(KOL_Source_Data!$AH$19),KOL_Source_Data!$AH$19,0),0)+IF(KOL_Source_Data!$AI$19=Brand_Profile!$I$15,IF(ISNUMBER(KOL_Source_Data!$AJ$19),KOL_Source_Data!$AJ$19,0),0)+IF(KOL_Source_Data!$AK$19=Brand_Profile!$I$15,IF(ISNUMBER(KOL_Source_Data!$AL$19),KOL_Source_Data!$AL$19,0),0))/Lookup_Lists!$D$317*100,0)))*Lookup_Lists!$D$120,0))/(IF(ISNUMBER(IF(NOT(ISNUMBER(KOL_Source_Data!$AE$19)),"N/A",IF(KOL_Source_Data!$AD$19&lt;&gt;Brand_Profile!$I$14,Lookup_Lists!$D$151,MIN(100,ROUND(KOL_Source_Data!$AE$19/Lookup_Lists!$D$316*100,0))))),Lookup_Lists!$D$118,0)+IF(ISNUMBER(IF(NOT(ISNUMBER(KOL_Source_Data!$AM$19)),"N/A",MIN(100,ROUND((IF(KOL_Source_Data!$AG$19=Brand_Profile!$I$15,IF(ISNUMBER(KOL_Source_Data!$AH$19),KOL_Source_Data!$AH$19,0),0)+IF(KOL_Source_Data!$AI$19=Brand_Profile!$I$15,IF(ISNUMBER(KOL_Source_Data!$AJ$19),KOL_Source_Data!$AJ$19,0),0)+IF(KOL_Source_Data!$AK$19=Brand_Profile!$I$15,IF(ISNUMBER(KOL_Source_Data!$AL$19),KOL_Source_Data!$AL$19,0),0))/Lookup_Lists!$D$317*100,0)))),Lookup_Lists!$D$120,0)),0))</f>
      </c>
      <c r="R115" s="18">
        <f>IF(NOT(ISNUMBER(KOL_Source_Data!$AN$19)),"N/A",MIN(100,ROUND((IF(ISNUMBER(KOL_Source_Data!$AO$19),KOL_Source_Data!$AO$19*Brand_Profile!$I$17,0)+IF(ISNUMBER(KOL_Source_Data!$AP$19),KOL_Source_Data!$AP$19*Brand_Profile!$I$18,0)+IF(ISNUMBER(KOL_Source_Data!$AQ$19),KOL_Source_Data!$AQ$19*Brand_Profile!$I$19,0)+IF(ISNUMBER(KOL_Source_Data!$AR$19),KOL_Source_Data!$AR$19*Brand_Profile!$I$20,0)+IF(ISNUMBER(KOL_Source_Data!$AS$19),KOL_Source_Data!$AS$19*Brand_Profile!$I$21,0)+IF(ISNUMBER(KOL_Source_Data!$AT$19),KOL_Source_Data!$AT$19*Brand_Profile!$I$22,0)+IF(ISNUMBER(KOL_Source_Data!$AU$19),KOL_Source_Data!$AU$19*Brand_Profile!$I$23,0)+IF(ISNUMBER(KOL_Source_Data!$AV$19),KOL_Source_Data!$AV$19*Brand_Profile!$I$24,0)+IF(ISNUMBER(KOL_Source_Data!$AW$19),KOL_Source_Data!$AW$19*Brand_Profile!$I$25,0)+IF(ISNUMBER(KOL_Source_Data!$AX$19),KOL_Source_Data!$AX$19*Brand_Profile!$I$26,0)+IF(ISNUMBER(KOL_Source_Data!$AY$19),KOL_Source_Data!$AY$19*Brand_Profile!$I$27,0)+IF(ISNUMBER(KOL_Source_Data!$AZ$19),KOL_Source_Data!$AZ$19*Brand_Profile!$I$28,0)+IF(ISNUMBER(KOL_Source_Data!$BA$19),KOL_Source_Data!$BA$19*Brand_Profile!$I$29,0)+IF(ISNUMBER(KOL_Source_Data!$BB$19),KOL_Source_Data!$BB$19*Brand_Profile!$I$30,0)+IF(ISNUMBER(KOL_Source_Data!$BC$19),KOL_Source_Data!$BC$19*Brand_Profile!$I$31,0)+IF(ISNUMBER(KOL_Source_Data!$BD$19),KOL_Source_Data!$BD$19*Brand_Profile!$I$32,0)+IF(ISNUMBER(KOL_Source_Data!$BE$19),KOL_Source_Data!$BE$19*Brand_Profile!$I$33,0)+IF(ISNUMBER(KOL_Source_Data!$BF$19),KOL_Source_Data!$BF$19*Brand_Profile!$I$34,0))/Lookup_Lists!$D$318*100,0)))</f>
      </c>
      <c r="S115" s="29">
        <f>IF((IF(ISNUMBER(Matching_Engine!$O$115),Lookup_Lists!$D$113,0)+IF(ISNUMBER(Matching_Engine!$P$115),Lookup_Lists!$D$114,0)+IF(ISNUMBER(Matching_Engine!$Q$115),Lookup_Lists!$D$115,0)+IF(ISNUMBER(Matching_Engine!$R$115),Lookup_Lists!$D$116,0))=0,"N/A",ROUND((IF(ISNUMBER(Matching_Engine!$O$115),Matching_Engine!$O$115*Lookup_Lists!$D$113,0)+IF(ISNUMBER(Matching_Engine!$P$115),Matching_Engine!$P$115*Lookup_Lists!$D$114,0)+IF(ISNUMBER(Matching_Engine!$Q$115),Matching_Engine!$Q$115*Lookup_Lists!$D$115,0)+IF(ISNUMBER(Matching_Engine!$R$115),Matching_Engine!$R$115*Lookup_Lists!$D$116,0))/(IF(ISNUMBER(Matching_Engine!$O$115),Lookup_Lists!$D$113,0)+IF(ISNUMBER(Matching_Engine!$P$115),Lookup_Lists!$D$114,0)+IF(ISNUMBER(Matching_Engine!$Q$115),Lookup_Lists!$D$115,0)+IF(ISNUMBER(Matching_Engine!$R$115),Lookup_Lists!$D$116,0)),0))</f>
      </c>
      <c r="T115" s="11">
        <f>IF(ISNUMBER(Matching_Engine!$S$115),1,0)</f>
      </c>
      <c r="U115" s="18">
        <f>IF(NOT(AND(ISTEXT(KOL_Source_Data!$M$19),KOL_Source_Data!$M$19&lt;&gt;"N/A")),Lookup_Lists!$D$150,IF(Brand_Profile!$I$7=KOL_Source_Data!$M$19,100,IFERROR(INDEX(Lookup_Lists!$B$349:$J$357,MATCH(Brand_Profile!$I$7,Lookup_Lists!$A$349:$A$357,0),MATCH(KOL_Source_Data!$M$19,Lookup_Lists!$B$348:$J$348,0)),Lookup_Lists!$D$151)))</f>
      </c>
      <c r="V115" s="18">
        <f>IF(NOT(AND(ISTEXT(KOL_Source_Data!$P$19),KOL_Source_Data!$P$19&lt;&gt;"N/A")),"N/A",IFERROR(INDEX(Lookup_Lists!$B$349:$J$357,MATCH(Brand_Profile!$I$7,Lookup_Lists!$A$349:$A$357,0),MATCH(KOL_Source_Data!$P$19,Lookup_Lists!$B$348:$J$348,0)),Lookup_Lists!$D$151))</f>
      </c>
      <c r="W115" s="18">
        <f>IF(LEN(TRIM(SUBSTITUTE(Matching_Engine!$BE$115,"|","")))=0,"N/A",IF(Brand_Profile!$I$60=0,Lookup_Lists!$D$150,ROUND((IF(Brand_Profile!$I$54="",0,IF(ISNUMBER(SEARCH(Brand_Profile!$I$54,Matching_Engine!$BE$115)),1,0))+IF(Brand_Profile!$I$55="",0,IF(ISNUMBER(SEARCH(Brand_Profile!$I$55,Matching_Engine!$BE$115)),1,0))+IF(Brand_Profile!$I$56="",0,IF(ISNUMBER(SEARCH(Brand_Profile!$I$56,Matching_Engine!$BE$115)),1,0))+IF(Brand_Profile!$I$57="",0,IF(ISNUMBER(SEARCH(Brand_Profile!$I$57,Matching_Engine!$BE$115)),1,0))+IF(Brand_Profile!$I$58="",0,IF(ISNUMBER(SEARCH(Brand_Profile!$I$58,Matching_Engine!$BE$115)),1,0))+IF(Brand_Profile!$I$59="",0,IF(ISNUMBER(SEARCH(Brand_Profile!$I$59,Matching_Engine!$BE$115)),1,0)))/Brand_Profile!$I$60*100,0)))</f>
      </c>
      <c r="X115" s="18">
        <f>IF(NOT(AND(ISTEXT(KOL_Source_Data!$Q$19),KOL_Source_Data!$Q$19&lt;&gt;"N/A")),"N/A",Lookup_Lists!$D$150)</f>
      </c>
      <c r="Y115" s="29">
        <f>IF((IF(ISNUMBER(Matching_Engine!$U$115),Lookup_Lists!$D$335,0)+IF(ISNUMBER(Matching_Engine!$V$115),Lookup_Lists!$D$122,0)+IF(ISNUMBER(Matching_Engine!$W$115),Lookup_Lists!$D$336,0)+IF(ISNUMBER(Matching_Engine!$X$115),Lookup_Lists!$D$124,0))=0,"N/A",ROUND((IF(ISNUMBER(Matching_Engine!$U$115),Matching_Engine!$U$115*Lookup_Lists!$D$335,0)+IF(ISNUMBER(Matching_Engine!$V$115),Matching_Engine!$V$115*Lookup_Lists!$D$122,0)+IF(ISNUMBER(Matching_Engine!$W$115),Matching_Engine!$W$115*Lookup_Lists!$D$336,0)+IF(ISNUMBER(Matching_Engine!$X$115),Matching_Engine!$X$115*Lookup_Lists!$D$124,0))/(IF(ISNUMBER(Matching_Engine!$U$115),Lookup_Lists!$D$335,0)+IF(ISNUMBER(Matching_Engine!$V$115),Lookup_Lists!$D$122,0)+IF(ISNUMBER(Matching_Engine!$W$115),Lookup_Lists!$D$336,0)+IF(ISNUMBER(Matching_Engine!$X$115),Lookup_Lists!$D$124,0)),0))</f>
      </c>
      <c r="Z115" s="11">
        <f>IF(ISNUMBER(Matching_Engine!$Y$115),1,0)</f>
      </c>
      <c r="AA115" s="18">
        <f>IF(NOT(AND(ISTEXT(KOL_Source_Data!$Q$19),KOL_Source_Data!$Q$19&lt;&gt;"N/A")),"N/A",Lookup_Lists!$D$150)</f>
      </c>
      <c r="AB115" s="18">
        <f>IF(NOT(AND(ISTEXT(KOL_Source_Data!$Q$19),KOL_Source_Data!$Q$19&lt;&gt;"N/A")),"N/A",Lookup_Lists!$D$150)</f>
      </c>
      <c r="AC115" s="18">
        <f>"N/A"</f>
      </c>
      <c r="AD115" s="18">
        <f>IF(NOT(AND(ISTEXT(KOL_Source_Data!$Q$19),KOL_Source_Data!$Q$19&lt;&gt;"N/A")),"N/A",Lookup_Lists!$D$150)</f>
      </c>
      <c r="AE115" s="29">
        <f>IF((IF(ISNUMBER(Matching_Engine!$AA$115),Lookup_Lists!$D$125,0)+IF(ISNUMBER(Matching_Engine!$AB$115),Lookup_Lists!$D$126,0)+IF(ISNUMBER(Matching_Engine!$AC$115),Lookup_Lists!$D$127,0)+IF(ISNUMBER(Matching_Engine!$AD$115),Lookup_Lists!$D$128,0))=0,"N/A",ROUND((IF(ISNUMBER(Matching_Engine!$AA$115),Matching_Engine!$AA$115*Lookup_Lists!$D$125,0)+IF(ISNUMBER(Matching_Engine!$AB$115),Matching_Engine!$AB$115*Lookup_Lists!$D$126,0)+IF(ISNUMBER(Matching_Engine!$AC$115),Matching_Engine!$AC$115*Lookup_Lists!$D$127,0)+IF(ISNUMBER(Matching_Engine!$AD$115),Matching_Engine!$AD$115*Lookup_Lists!$D$128,0))/(IF(ISNUMBER(Matching_Engine!$AA$115),Lookup_Lists!$D$125,0)+IF(ISNUMBER(Matching_Engine!$AB$115),Lookup_Lists!$D$126,0)+IF(ISNUMBER(Matching_Engine!$AC$115),Lookup_Lists!$D$127,0)+IF(ISNUMBER(Matching_Engine!$AD$115),Lookup_Lists!$D$128,0)),0))</f>
      </c>
      <c r="AF115" s="11">
        <f>IF(ISNUMBER(Matching_Engine!$AE$115),1,0)</f>
      </c>
      <c r="AG115" s="18">
        <f>IF(NOT(ISNUMBER(KOL_Source_Data!$BG$19)),"N/A",MIN(100,ROUND(KOL_Source_Data!$BG$19/IFERROR(INDEX(Lookup_Lists!$B$340:$B$344,MATCH(KOL_Source_Data!$H$19,Lookup_Lists!$A$340:$A$344,0)),Lookup_Lists!$D$141)*100,0)))</f>
      </c>
      <c r="AH115" s="18">
        <f>IF(NOT(ISNUMBER(KOL_Source_Data!$BS$19)),"N/A",MIN(100,MAX(0,KOL_Source_Data!$BS$19)))</f>
      </c>
      <c r="AI115" s="18">
        <f>IF(OR(NOT(ISNUMBER(KOL_Source_Data!$BM$19)),NOT(ISNUMBER(KOL_Source_Data!$BN$19)),KOL_Source_Data!$BN$19&lt;Lookup_Lists!$D$320),"N/A",MIN(100,ROUND(KOL_Source_Data!$BM$19/Lookup_Lists!$D$319*100,0)))</f>
      </c>
      <c r="AJ115" s="18">
        <f>IF(NOT(ISNUMBER(KOL_Source_Data!$BR$19)),"N/A",KOL_Source_Data!$BR$19)</f>
      </c>
      <c r="AK115" s="18">
        <f>IF(NOT(ISNUMBER(KOL_Source_Data!$BK$19)),"N/A",MIN(100,ROUND(KOL_Source_Data!$BK$19/Lookup_Lists!$D$321*100,0)))</f>
      </c>
      <c r="AL115" s="18">
        <f>IF(NOT(ISNUMBER(KOL_Source_Data!$BP$19)),"N/A",MIN(100,MAX(0,ROUND((KOL_Source_Data!$BP$19+2)/(Lookup_Lists!$D$145+2)*100,0))))</f>
      </c>
      <c r="AM115" s="29">
        <f>IF((IF(ISNUMBER(Matching_Engine!$AG$115),Lookup_Lists!$D$129,0)+IF(ISNUMBER(Matching_Engine!$AH$115),Lookup_Lists!$D$130,0)+IF(ISNUMBER(Matching_Engine!$AI$115),Lookup_Lists!$D$131,0)+IF(ISNUMBER(Matching_Engine!$AJ$115),Lookup_Lists!$D$132,0)+IF(ISNUMBER(Matching_Engine!$AK$115),Lookup_Lists!$D$133,0)+IF(ISNUMBER(Matching_Engine!$AL$115),Lookup_Lists!$D$134,0))=0,"N/A",ROUND((IF(ISNUMBER(Matching_Engine!$AG$115),Matching_Engine!$AG$115*Lookup_Lists!$D$129,0)+IF(ISNUMBER(Matching_Engine!$AH$115),Matching_Engine!$AH$115*Lookup_Lists!$D$130,0)+IF(ISNUMBER(Matching_Engine!$AI$115),Matching_Engine!$AI$115*Lookup_Lists!$D$131,0)+IF(ISNUMBER(Matching_Engine!$AJ$115),Matching_Engine!$AJ$115*Lookup_Lists!$D$132,0)+IF(ISNUMBER(Matching_Engine!$AK$115),Matching_Engine!$AK$115*Lookup_Lists!$D$133,0)+IF(ISNUMBER(Matching_Engine!$AL$115),Matching_Engine!$AL$115*Lookup_Lists!$D$134,0))/(IF(ISNUMBER(Matching_Engine!$AG$115),Lookup_Lists!$D$129,0)+IF(ISNUMBER(Matching_Engine!$AH$115),Lookup_Lists!$D$130,0)+IF(ISNUMBER(Matching_Engine!$AI$115),Lookup_Lists!$D$131,0)+IF(ISNUMBER(Matching_Engine!$AJ$115),Lookup_Lists!$D$132,0)+IF(ISNUMBER(Matching_Engine!$AK$115),Lookup_Lists!$D$133,0)+IF(ISNUMBER(Matching_Engine!$AL$115),Lookup_Lists!$D$134,0)),0))</f>
      </c>
      <c r="AN115" s="11">
        <f>IF(ISNUMBER(Matching_Engine!$AM$115),1,0)</f>
      </c>
      <c r="AO115" s="18">
        <f>IF(NOT(ISNUMBER(KOL_Source_Data!$BT$19)),"N/A",MIN(100,MAX(0,KOL_Source_Data!$BT$19)))</f>
      </c>
      <c r="AP115" s="18">
        <f>IF(NOT(ISNUMBER(KOL_Source_Data!$BU$19)),"N/A",MIN(100,MAX(0,KOL_Source_Data!$BU$19)))</f>
      </c>
      <c r="AQ115" s="18">
        <f>IF(KOL_Source_Data!$I$19="Yes",Lookup_Lists!$D$326,IF(KOL_Source_Data!$I$19="No",Lookup_Lists!$D$327,"N/A"))</f>
      </c>
      <c r="AR115" s="18">
        <f>IF(NOT(ISNUMBER(KOL_Source_Data!$BQ$19)),"N/A",MAX(0,ROUND(100-KOL_Source_Data!$BQ$19/Lookup_Lists!$D$328*100,0)))</f>
      </c>
      <c r="AS115" s="18">
        <f>IF(NOT(AND(ISTEXT(KOL_Source_Data!$BV$19),KOL_Source_Data!$BV$19&lt;&gt;"N/A")),"N/A",KOL_Source_Data!$BV$19)</f>
      </c>
      <c r="AT115" s="29">
        <f>IF((IF(ISNUMBER(Matching_Engine!$AO$115),Lookup_Lists!$D$322,0)+IF(ISNUMBER(Matching_Engine!$AP$115),Lookup_Lists!$D$323,0)+IF(ISNUMBER(Matching_Engine!$AQ$115),Lookup_Lists!$D$324,0)+IF(ISNUMBER(Matching_Engine!$AR$115),Lookup_Lists!$D$325,0))=0,"N/A",ROUND((IF(ISNUMBER(Matching_Engine!$AO$115),Matching_Engine!$AO$115*Lookup_Lists!$D$322,0)+IF(ISNUMBER(Matching_Engine!$AP$115),Matching_Engine!$AP$115*Lookup_Lists!$D$323,0)+IF(ISNUMBER(Matching_Engine!$AQ$115),Matching_Engine!$AQ$115*Lookup_Lists!$D$324,0)+IF(ISNUMBER(Matching_Engine!$AR$115),Matching_Engine!$AR$115*Lookup_Lists!$D$325,0))/(IF(ISNUMBER(Matching_Engine!$AO$115),Lookup_Lists!$D$322,0)+IF(ISNUMBER(Matching_Engine!$AP$115),Lookup_Lists!$D$323,0)+IF(ISNUMBER(Matching_Engine!$AQ$115),Lookup_Lists!$D$324,0)+IF(ISNUMBER(Matching_Engine!$AR$115),Lookup_Lists!$D$325,0)),0))</f>
      </c>
      <c r="AU115" s="11">
        <f>IF(ISNUMBER(Matching_Engine!$AT$115),1,0)</f>
      </c>
      <c r="AV115" s="11">
        <f>IF(NOT(ISNUMBER(Matching_Engine!$AT$115)),"Not Screened",IF(Matching_Engine!$AT$115&gt;=Lookup_Lists!$D$329,"Low Risk",IF(Matching_Engine!$AT$115&gt;=Lookup_Lists!$D$330,"Moderate Risk",IF(Matching_Engine!$AT$115&gt;=Lookup_Lists!$D$331,"Elevated Risk","High Risk"))))</f>
      </c>
      <c r="AW115" s="11">
        <f>IF(NOT(ISNUMBER(Matching_Engine!$AT$115)),"No integrity signal: no audience-analysis row for this account.","Integrity screen only — no content-risk reading exists (comments_analysis: 0 rows). "&amp;IF(ISNUMBER(Matching_Engine!$AO$115),"Authenticity "&amp;Matching_Engine!$AO$115&amp;". ","Authenticity N/A. ")&amp;IF(ISNUMBER(Matching_Engine!$AP$115),"Follower quality "&amp;Matching_Engine!$AP$115&amp;". ","Follower quality N/A. ")&amp;IF(KOL_Source_Data!$I$19="Yes","Platform-verified.","Not platform-verified."))</f>
      </c>
      <c r="AX115" s="18">
        <f>Matching_Engine!$N$115*Lookup_Lists!$D$104+Matching_Engine!$T$115*Lookup_Lists!$D$105+Matching_Engine!$Z$115*Lookup_Lists!$D$106+Matching_Engine!$AF$115*Lookup_Lists!$D$107+Matching_Engine!$AN$115*Lookup_Lists!$D$108+Matching_Engine!$AU$115*Lookup_Lists!$D$109</f>
      </c>
      <c r="AY115" s="30">
        <f>IF(Matching_Engine!$AX$115=0,"N/A",ROUND((IF(Matching_Engine!$N$115=1,Matching_Engine!$M$115*Lookup_Lists!$D$104,0)+IF(Matching_Engine!$T$115=1,Matching_Engine!$S$115*Lookup_Lists!$D$105,0)+IF(Matching_Engine!$Z$115=1,Matching_Engine!$Y$115*Lookup_Lists!$D$106,0)+IF(Matching_Engine!$AF$115=1,Matching_Engine!$AE$115*Lookup_Lists!$D$107,0)+IF(Matching_Engine!$AN$115=1,Matching_Engine!$AM$115*Lookup_Lists!$D$108,0)+IF(Matching_Engine!$AU$115=1,Matching_Engine!$AT$115*Lookup_Lists!$D$109,0))/Matching_Engine!$AX$115,0))</f>
      </c>
      <c r="AZ115" s="11">
        <f>IF(NOT(ISNUMBER(Matching_Engine!$AY$115)),"Not Scored",IF(Matching_Engine!$AY$115&gt;=Lookup_Lists!$D$152,"Excellent Match",IF(Matching_Engine!$AY$115&gt;=Lookup_Lists!$D$153,"Strong Match",IF(Matching_Engine!$AY$115&gt;=Lookup_Lists!$D$154,"Good Match",IF(Matching_Engine!$AY$115&gt;=Lookup_Lists!$D$155,"Moderate Match","Low Match")))))</f>
      </c>
      <c r="BA115" s="18">
        <f>KOL_Source_Data!$BW$19</f>
      </c>
      <c r="BB115" s="11">
        <f>KOL_Source_Data!$BX$19</f>
      </c>
      <c r="BC115" s="18">
        <f>IF(NOT(ISNUMBER(Matching_Engine!$AY$115)),-1,Matching_Engine!$AY$115*1000+11)</f>
      </c>
      <c r="BD115" s="11">
        <f>IF(AND(ISTEXT(KOL_Source_Data!$S$19),KOL_Source_Data!$S$19&lt;&gt;"N/A"),KOL_Source_Data!$S$19,"")&amp;" | "&amp;IF(AND(ISTEXT(KOL_Source_Data!$T$19),KOL_Source_Data!$T$19&lt;&gt;"N/A"),KOL_Source_Data!$T$19,"")&amp;" | "&amp;IF(AND(ISTEXT(KOL_Source_Data!$N$19),KOL_Source_Data!$N$19&lt;&gt;"N/A"),KOL_Source_Data!$N$19,"")&amp;" | "&amp;IF(AND(ISTEXT(KOL_Source_Data!$K$19),KOL_Source_Data!$K$19&lt;&gt;"N/A"),KOL_Source_Data!$K$19,"")&amp;" | "&amp;IF(AND(ISTEXT(KOL_Source_Data!$J$19),KOL_Source_Data!$J$19&lt;&gt;"N/A"),KOL_Source_Data!$J$19,"")</f>
      </c>
      <c r="BE115" s="11">
        <f>IF(AND(ISTEXT(KOL_Source_Data!$T$19),KOL_Source_Data!$T$19&lt;&gt;"N/A"),KOL_Source_Data!$T$19,"")&amp;" | "&amp;IF(AND(ISTEXT(KOL_Source_Data!$N$19),KOL_Source_Data!$N$19&lt;&gt;"N/A"),KOL_Source_Data!$N$19,"")&amp;" | "&amp;IF(AND(ISTEXT(KOL_Source_Data!$O$19),KOL_Source_Data!$O$19&lt;&gt;"N/A"),KOL_Source_Data!$O$19,"")&amp;" | "&amp;IF(AND(ISTEXT(KOL_Source_Data!$S$19),KOL_Source_Data!$S$19&lt;&gt;"N/A"),KOL_Source_Data!$S$19,"")</f>
      </c>
      <c r="BF115" s="11">
        <f>IF(AND(ISTEXT(KOL_Source_Data!$U$19),KOL_Source_Data!$U$19&lt;&gt;"N/A"),KOL_Source_Data!$U$19,"")</f>
      </c>
      <c r="BG115" s="11">
        <f>Matching_Engine!$A$115&amp;"|"&amp;Matching_Engine!$C$115</f>
      </c>
    </row>
    <row r="116" spans="1:59" x14ac:dyDescent="0.25">
      <c r="A116" s="10" t="s">
        <v>394</v>
      </c>
      <c r="B116" s="11">
        <f>Brand_Profile!$I$6</f>
      </c>
      <c r="C116" s="11">
        <f>KOL_Source_Data!$A$20</f>
      </c>
      <c r="D116" s="11">
        <f>KOL_Source_Data!$C$20</f>
      </c>
      <c r="E116" s="11">
        <f>KOL_Source_Data!$D$20</f>
      </c>
      <c r="F116" s="11">
        <f>KOL_Source_Data!$E$20</f>
      </c>
      <c r="G116" s="11">
        <f>KOL_Source_Data!$K$20</f>
      </c>
      <c r="H116" s="12">
        <f>KOL_Source_Data!$G$20</f>
      </c>
      <c r="I116" s="14">
        <f>KOL_Source_Data!$BG$20</f>
      </c>
      <c r="J116" s="18">
        <f>IF(NOT(AND(ISTEXT(KOL_Source_Data!$K$20),KOL_Source_Data!$K$20&lt;&gt;"N/A")),Lookup_Lists!$D$150,IF(Brand_Profile!$I$7=KOL_Source_Data!$K$20,100,IFERROR(INDEX(Lookup_Lists!$B$349:$J$357,MATCH(Brand_Profile!$I$7,Lookup_Lists!$A$349:$A$357,0),MATCH(KOL_Source_Data!$K$20,Lookup_Lists!$B$348:$J$348,0)),Lookup_Lists!$D$151)))</f>
      </c>
      <c r="K116" s="18">
        <f>IF(LEN(TRIM(SUBSTITUTE(Matching_Engine!$BD$116,"|","")))=0,"N/A",IF(Brand_Profile!$I$47=0,Lookup_Lists!$D$150,ROUND((IF(Brand_Profile!$I$41="",0,IF(ISNUMBER(SEARCH(Brand_Profile!$I$41,Matching_Engine!$BD$116)),1,0))+IF(Brand_Profile!$I$42="",0,IF(ISNUMBER(SEARCH(Brand_Profile!$I$42,Matching_Engine!$BD$116)),1,0))+IF(Brand_Profile!$I$43="",0,IF(ISNUMBER(SEARCH(Brand_Profile!$I$43,Matching_Engine!$BD$116)),1,0))+IF(Brand_Profile!$I$44="",0,IF(ISNUMBER(SEARCH(Brand_Profile!$I$44,Matching_Engine!$BD$116)),1,0))+IF(Brand_Profile!$I$45="",0,IF(ISNUMBER(SEARCH(Brand_Profile!$I$45,Matching_Engine!$BD$116)),1,0))+IF(Brand_Profile!$I$46="",0,IF(ISNUMBER(SEARCH(Brand_Profile!$I$46,Matching_Engine!$BD$116)),1,0)))/Brand_Profile!$I$47*100,0)))</f>
      </c>
      <c r="L116" s="18">
        <f>IF(NOT(AND(ISTEXT(KOL_Source_Data!$U$20),KOL_Source_Data!$U$20&lt;&gt;"N/A")),"N/A",IF(Brand_Profile!$I$53=0,Lookup_Lists!$D$150,ROUND((IF(Brand_Profile!$I$48="",0,IF(ISNUMBER(SEARCH(Brand_Profile!$I$48,Matching_Engine!$BF$116)),1,0))+IF(Brand_Profile!$I$49="",0,IF(ISNUMBER(SEARCH(Brand_Profile!$I$49,Matching_Engine!$BF$116)),1,0))+IF(Brand_Profile!$I$50="",0,IF(ISNUMBER(SEARCH(Brand_Profile!$I$50,Matching_Engine!$BF$116)),1,0))+IF(Brand_Profile!$I$51="",0,IF(ISNUMBER(SEARCH(Brand_Profile!$I$51,Matching_Engine!$BF$116)),1,0))+IF(Brand_Profile!$I$52="",0,IF(ISNUMBER(SEARCH(Brand_Profile!$I$52,Matching_Engine!$BF$116)),1,0)))/Brand_Profile!$I$53*100,0)))</f>
      </c>
      <c r="M116" s="29">
        <f>IF((IF(ISNUMBER(Matching_Engine!$J$116),Lookup_Lists!$D$332,0)+IF(ISNUMBER(Matching_Engine!$K$116),Lookup_Lists!$D$333,0)+IF(ISNUMBER(Matching_Engine!$L$116),Lookup_Lists!$D$334,0))=0,"N/A",ROUND((IF(ISNUMBER(Matching_Engine!$J$116),Matching_Engine!$J$116*Lookup_Lists!$D$332,0)+IF(ISNUMBER(Matching_Engine!$K$116),Matching_Engine!$K$116*Lookup_Lists!$D$333,0)+IF(ISNUMBER(Matching_Engine!$L$116),Matching_Engine!$L$116*Lookup_Lists!$D$334,0))/(IF(ISNUMBER(Matching_Engine!$J$116),Lookup_Lists!$D$332,0)+IF(ISNUMBER(Matching_Engine!$K$116),Lookup_Lists!$D$333,0)+IF(ISNUMBER(Matching_Engine!$L$116),Lookup_Lists!$D$334,0)),0))</f>
      </c>
      <c r="N116" s="11">
        <f>IF(ISNUMBER(Matching_Engine!$M$116),1,0)</f>
      </c>
      <c r="O116" s="18">
        <f>IF(NOT(ISNUMBER(IFERROR(INDEX(KOL_Source_Data!$V$20:KOL_Source_Data!$Z$20,1,MATCH(Brand_Profile!$I$11,Lookup_Lists!$F$6:$F$10,0)),""))),"N/A",MIN(100,ROUND((IFERROR(INDEX(KOL_Source_Data!$V$20:KOL_Source_Data!$Z$20,1,MATCH(Brand_Profile!$I$11,Lookup_Lists!$F$6:$F$10,0)),"")+0.5*IF(ISNUMBER(IFERROR(INDEX(KOL_Source_Data!$V$20:KOL_Source_Data!$Z$20,1,MATCH(Brand_Profile!$I$12,Lookup_Lists!$F$6:$F$10,0)),"")),IFERROR(INDEX(KOL_Source_Data!$V$20:KOL_Source_Data!$Z$20,1,MATCH(Brand_Profile!$I$12,Lookup_Lists!$F$6:$F$10,0)),""),0))/Lookup_Lists!$D$142*100,0)))</f>
      </c>
      <c r="P116" s="18">
        <f>IF(Brand_Profile!$I$13="Any",100,IF(NOT(ISNUMBER(KOL_Source_Data!$AA$20)),"N/A",IF(Brand_Profile!$I$13="Female",MIN(100,ROUND(KOL_Source_Data!$AA$20/Lookup_Lists!$D$143*100,0)),IF(Brand_Profile!$I$13="Male",MIN(100,ROUND(IF(ISNUMBER(KOL_Source_Data!$AB$20),KOL_Source_Data!$AB$20,100-KOL_Source_Data!$AA$20)/Lookup_Lists!$D$143*100,0)),MAX(0,ROUND(100-ABS(KOL_Source_Data!$AA$20-50)*2,0))))))</f>
      </c>
      <c r="Q116" s="18">
        <f>IF((IF(ISNUMBER(IF(NOT(ISNUMBER(KOL_Source_Data!$AE$20)),"N/A",IF(KOL_Source_Data!$AD$20&lt;&gt;Brand_Profile!$I$14,Lookup_Lists!$D$151,MIN(100,ROUND(KOL_Source_Data!$AE$20/Lookup_Lists!$D$316*100,0))))),Lookup_Lists!$D$118,0)+IF(ISNUMBER(IF(NOT(ISNUMBER(KOL_Source_Data!$AM$20)),"N/A",MIN(100,ROUND((IF(KOL_Source_Data!$AG$20=Brand_Profile!$I$15,IF(ISNUMBER(KOL_Source_Data!$AH$20),KOL_Source_Data!$AH$20,0),0)+IF(KOL_Source_Data!$AI$20=Brand_Profile!$I$15,IF(ISNUMBER(KOL_Source_Data!$AJ$20),KOL_Source_Data!$AJ$20,0),0)+IF(KOL_Source_Data!$AK$20=Brand_Profile!$I$15,IF(ISNUMBER(KOL_Source_Data!$AL$20),KOL_Source_Data!$AL$20,0),0))/Lookup_Lists!$D$317*100,0)))),Lookup_Lists!$D$120,0))=0,"N/A",ROUND((IF(ISNUMBER(IF(NOT(ISNUMBER(KOL_Source_Data!$AE$20)),"N/A",IF(KOL_Source_Data!$AD$20&lt;&gt;Brand_Profile!$I$14,Lookup_Lists!$D$151,MIN(100,ROUND(KOL_Source_Data!$AE$20/Lookup_Lists!$D$316*100,0))))),IF(NOT(ISNUMBER(KOL_Source_Data!$AE$20)),"N/A",IF(KOL_Source_Data!$AD$20&lt;&gt;Brand_Profile!$I$14,Lookup_Lists!$D$151,MIN(100,ROUND(KOL_Source_Data!$AE$20/Lookup_Lists!$D$316*100,0))))*Lookup_Lists!$D$118,0)+IF(ISNUMBER(IF(NOT(ISNUMBER(KOL_Source_Data!$AM$20)),"N/A",MIN(100,ROUND((IF(KOL_Source_Data!$AG$20=Brand_Profile!$I$15,IF(ISNUMBER(KOL_Source_Data!$AH$20),KOL_Source_Data!$AH$20,0),0)+IF(KOL_Source_Data!$AI$20=Brand_Profile!$I$15,IF(ISNUMBER(KOL_Source_Data!$AJ$20),KOL_Source_Data!$AJ$20,0),0)+IF(KOL_Source_Data!$AK$20=Brand_Profile!$I$15,IF(ISNUMBER(KOL_Source_Data!$AL$20),KOL_Source_Data!$AL$20,0),0))/Lookup_Lists!$D$317*100,0)))),IF(NOT(ISNUMBER(KOL_Source_Data!$AM$20)),"N/A",MIN(100,ROUND((IF(KOL_Source_Data!$AG$20=Brand_Profile!$I$15,IF(ISNUMBER(KOL_Source_Data!$AH$20),KOL_Source_Data!$AH$20,0),0)+IF(KOL_Source_Data!$AI$20=Brand_Profile!$I$15,IF(ISNUMBER(KOL_Source_Data!$AJ$20),KOL_Source_Data!$AJ$20,0),0)+IF(KOL_Source_Data!$AK$20=Brand_Profile!$I$15,IF(ISNUMBER(KOL_Source_Data!$AL$20),KOL_Source_Data!$AL$20,0),0))/Lookup_Lists!$D$317*100,0)))*Lookup_Lists!$D$120,0))/(IF(ISNUMBER(IF(NOT(ISNUMBER(KOL_Source_Data!$AE$20)),"N/A",IF(KOL_Source_Data!$AD$20&lt;&gt;Brand_Profile!$I$14,Lookup_Lists!$D$151,MIN(100,ROUND(KOL_Source_Data!$AE$20/Lookup_Lists!$D$316*100,0))))),Lookup_Lists!$D$118,0)+IF(ISNUMBER(IF(NOT(ISNUMBER(KOL_Source_Data!$AM$20)),"N/A",MIN(100,ROUND((IF(KOL_Source_Data!$AG$20=Brand_Profile!$I$15,IF(ISNUMBER(KOL_Source_Data!$AH$20),KOL_Source_Data!$AH$20,0),0)+IF(KOL_Source_Data!$AI$20=Brand_Profile!$I$15,IF(ISNUMBER(KOL_Source_Data!$AJ$20),KOL_Source_Data!$AJ$20,0),0)+IF(KOL_Source_Data!$AK$20=Brand_Profile!$I$15,IF(ISNUMBER(KOL_Source_Data!$AL$20),KOL_Source_Data!$AL$20,0),0))/Lookup_Lists!$D$317*100,0)))),Lookup_Lists!$D$120,0)),0))</f>
      </c>
      <c r="R116" s="18">
        <f>IF(NOT(ISNUMBER(KOL_Source_Data!$AN$20)),"N/A",MIN(100,ROUND((IF(ISNUMBER(KOL_Source_Data!$AO$20),KOL_Source_Data!$AO$20*Brand_Profile!$I$17,0)+IF(ISNUMBER(KOL_Source_Data!$AP$20),KOL_Source_Data!$AP$20*Brand_Profile!$I$18,0)+IF(ISNUMBER(KOL_Source_Data!$AQ$20),KOL_Source_Data!$AQ$20*Brand_Profile!$I$19,0)+IF(ISNUMBER(KOL_Source_Data!$AR$20),KOL_Source_Data!$AR$20*Brand_Profile!$I$20,0)+IF(ISNUMBER(KOL_Source_Data!$AS$20),KOL_Source_Data!$AS$20*Brand_Profile!$I$21,0)+IF(ISNUMBER(KOL_Source_Data!$AT$20),KOL_Source_Data!$AT$20*Brand_Profile!$I$22,0)+IF(ISNUMBER(KOL_Source_Data!$AU$20),KOL_Source_Data!$AU$20*Brand_Profile!$I$23,0)+IF(ISNUMBER(KOL_Source_Data!$AV$20),KOL_Source_Data!$AV$20*Brand_Profile!$I$24,0)+IF(ISNUMBER(KOL_Source_Data!$AW$20),KOL_Source_Data!$AW$20*Brand_Profile!$I$25,0)+IF(ISNUMBER(KOL_Source_Data!$AX$20),KOL_Source_Data!$AX$20*Brand_Profile!$I$26,0)+IF(ISNUMBER(KOL_Source_Data!$AY$20),KOL_Source_Data!$AY$20*Brand_Profile!$I$27,0)+IF(ISNUMBER(KOL_Source_Data!$AZ$20),KOL_Source_Data!$AZ$20*Brand_Profile!$I$28,0)+IF(ISNUMBER(KOL_Source_Data!$BA$20),KOL_Source_Data!$BA$20*Brand_Profile!$I$29,0)+IF(ISNUMBER(KOL_Source_Data!$BB$20),KOL_Source_Data!$BB$20*Brand_Profile!$I$30,0)+IF(ISNUMBER(KOL_Source_Data!$BC$20),KOL_Source_Data!$BC$20*Brand_Profile!$I$31,0)+IF(ISNUMBER(KOL_Source_Data!$BD$20),KOL_Source_Data!$BD$20*Brand_Profile!$I$32,0)+IF(ISNUMBER(KOL_Source_Data!$BE$20),KOL_Source_Data!$BE$20*Brand_Profile!$I$33,0)+IF(ISNUMBER(KOL_Source_Data!$BF$20),KOL_Source_Data!$BF$20*Brand_Profile!$I$34,0))/Lookup_Lists!$D$318*100,0)))</f>
      </c>
      <c r="S116" s="29">
        <f>IF((IF(ISNUMBER(Matching_Engine!$O$116),Lookup_Lists!$D$113,0)+IF(ISNUMBER(Matching_Engine!$P$116),Lookup_Lists!$D$114,0)+IF(ISNUMBER(Matching_Engine!$Q$116),Lookup_Lists!$D$115,0)+IF(ISNUMBER(Matching_Engine!$R$116),Lookup_Lists!$D$116,0))=0,"N/A",ROUND((IF(ISNUMBER(Matching_Engine!$O$116),Matching_Engine!$O$116*Lookup_Lists!$D$113,0)+IF(ISNUMBER(Matching_Engine!$P$116),Matching_Engine!$P$116*Lookup_Lists!$D$114,0)+IF(ISNUMBER(Matching_Engine!$Q$116),Matching_Engine!$Q$116*Lookup_Lists!$D$115,0)+IF(ISNUMBER(Matching_Engine!$R$116),Matching_Engine!$R$116*Lookup_Lists!$D$116,0))/(IF(ISNUMBER(Matching_Engine!$O$116),Lookup_Lists!$D$113,0)+IF(ISNUMBER(Matching_Engine!$P$116),Lookup_Lists!$D$114,0)+IF(ISNUMBER(Matching_Engine!$Q$116),Lookup_Lists!$D$115,0)+IF(ISNUMBER(Matching_Engine!$R$116),Lookup_Lists!$D$116,0)),0))</f>
      </c>
      <c r="T116" s="11">
        <f>IF(ISNUMBER(Matching_Engine!$S$116),1,0)</f>
      </c>
      <c r="U116" s="18">
        <f>IF(NOT(AND(ISTEXT(KOL_Source_Data!$M$20),KOL_Source_Data!$M$20&lt;&gt;"N/A")),Lookup_Lists!$D$150,IF(Brand_Profile!$I$7=KOL_Source_Data!$M$20,100,IFERROR(INDEX(Lookup_Lists!$B$349:$J$357,MATCH(Brand_Profile!$I$7,Lookup_Lists!$A$349:$A$357,0),MATCH(KOL_Source_Data!$M$20,Lookup_Lists!$B$348:$J$348,0)),Lookup_Lists!$D$151)))</f>
      </c>
      <c r="V116" s="18">
        <f>IF(NOT(AND(ISTEXT(KOL_Source_Data!$P$20),KOL_Source_Data!$P$20&lt;&gt;"N/A")),"N/A",IFERROR(INDEX(Lookup_Lists!$B$349:$J$357,MATCH(Brand_Profile!$I$7,Lookup_Lists!$A$349:$A$357,0),MATCH(KOL_Source_Data!$P$20,Lookup_Lists!$B$348:$J$348,0)),Lookup_Lists!$D$151))</f>
      </c>
      <c r="W116" s="18">
        <f>IF(LEN(TRIM(SUBSTITUTE(Matching_Engine!$BE$116,"|","")))=0,"N/A",IF(Brand_Profile!$I$60=0,Lookup_Lists!$D$150,ROUND((IF(Brand_Profile!$I$54="",0,IF(ISNUMBER(SEARCH(Brand_Profile!$I$54,Matching_Engine!$BE$116)),1,0))+IF(Brand_Profile!$I$55="",0,IF(ISNUMBER(SEARCH(Brand_Profile!$I$55,Matching_Engine!$BE$116)),1,0))+IF(Brand_Profile!$I$56="",0,IF(ISNUMBER(SEARCH(Brand_Profile!$I$56,Matching_Engine!$BE$116)),1,0))+IF(Brand_Profile!$I$57="",0,IF(ISNUMBER(SEARCH(Brand_Profile!$I$57,Matching_Engine!$BE$116)),1,0))+IF(Brand_Profile!$I$58="",0,IF(ISNUMBER(SEARCH(Brand_Profile!$I$58,Matching_Engine!$BE$116)),1,0))+IF(Brand_Profile!$I$59="",0,IF(ISNUMBER(SEARCH(Brand_Profile!$I$59,Matching_Engine!$BE$116)),1,0)))/Brand_Profile!$I$60*100,0)))</f>
      </c>
      <c r="X116" s="18">
        <f>IF(NOT(AND(ISTEXT(KOL_Source_Data!$Q$20),KOL_Source_Data!$Q$20&lt;&gt;"N/A")),"N/A",Lookup_Lists!$D$150)</f>
      </c>
      <c r="Y116" s="29">
        <f>IF((IF(ISNUMBER(Matching_Engine!$U$116),Lookup_Lists!$D$335,0)+IF(ISNUMBER(Matching_Engine!$V$116),Lookup_Lists!$D$122,0)+IF(ISNUMBER(Matching_Engine!$W$116),Lookup_Lists!$D$336,0)+IF(ISNUMBER(Matching_Engine!$X$116),Lookup_Lists!$D$124,0))=0,"N/A",ROUND((IF(ISNUMBER(Matching_Engine!$U$116),Matching_Engine!$U$116*Lookup_Lists!$D$335,0)+IF(ISNUMBER(Matching_Engine!$V$116),Matching_Engine!$V$116*Lookup_Lists!$D$122,0)+IF(ISNUMBER(Matching_Engine!$W$116),Matching_Engine!$W$116*Lookup_Lists!$D$336,0)+IF(ISNUMBER(Matching_Engine!$X$116),Matching_Engine!$X$116*Lookup_Lists!$D$124,0))/(IF(ISNUMBER(Matching_Engine!$U$116),Lookup_Lists!$D$335,0)+IF(ISNUMBER(Matching_Engine!$V$116),Lookup_Lists!$D$122,0)+IF(ISNUMBER(Matching_Engine!$W$116),Lookup_Lists!$D$336,0)+IF(ISNUMBER(Matching_Engine!$X$116),Lookup_Lists!$D$124,0)),0))</f>
      </c>
      <c r="Z116" s="11">
        <f>IF(ISNUMBER(Matching_Engine!$Y$116),1,0)</f>
      </c>
      <c r="AA116" s="18">
        <f>IF(NOT(AND(ISTEXT(KOL_Source_Data!$Q$20),KOL_Source_Data!$Q$20&lt;&gt;"N/A")),"N/A",Lookup_Lists!$D$150)</f>
      </c>
      <c r="AB116" s="18">
        <f>IF(NOT(AND(ISTEXT(KOL_Source_Data!$Q$20),KOL_Source_Data!$Q$20&lt;&gt;"N/A")),"N/A",Lookup_Lists!$D$150)</f>
      </c>
      <c r="AC116" s="18">
        <f>"N/A"</f>
      </c>
      <c r="AD116" s="18">
        <f>IF(NOT(AND(ISTEXT(KOL_Source_Data!$Q$20),KOL_Source_Data!$Q$20&lt;&gt;"N/A")),"N/A",Lookup_Lists!$D$150)</f>
      </c>
      <c r="AE116" s="29">
        <f>IF((IF(ISNUMBER(Matching_Engine!$AA$116),Lookup_Lists!$D$125,0)+IF(ISNUMBER(Matching_Engine!$AB$116),Lookup_Lists!$D$126,0)+IF(ISNUMBER(Matching_Engine!$AC$116),Lookup_Lists!$D$127,0)+IF(ISNUMBER(Matching_Engine!$AD$116),Lookup_Lists!$D$128,0))=0,"N/A",ROUND((IF(ISNUMBER(Matching_Engine!$AA$116),Matching_Engine!$AA$116*Lookup_Lists!$D$125,0)+IF(ISNUMBER(Matching_Engine!$AB$116),Matching_Engine!$AB$116*Lookup_Lists!$D$126,0)+IF(ISNUMBER(Matching_Engine!$AC$116),Matching_Engine!$AC$116*Lookup_Lists!$D$127,0)+IF(ISNUMBER(Matching_Engine!$AD$116),Matching_Engine!$AD$116*Lookup_Lists!$D$128,0))/(IF(ISNUMBER(Matching_Engine!$AA$116),Lookup_Lists!$D$125,0)+IF(ISNUMBER(Matching_Engine!$AB$116),Lookup_Lists!$D$126,0)+IF(ISNUMBER(Matching_Engine!$AC$116),Lookup_Lists!$D$127,0)+IF(ISNUMBER(Matching_Engine!$AD$116),Lookup_Lists!$D$128,0)),0))</f>
      </c>
      <c r="AF116" s="11">
        <f>IF(ISNUMBER(Matching_Engine!$AE$116),1,0)</f>
      </c>
      <c r="AG116" s="18">
        <f>IF(NOT(ISNUMBER(KOL_Source_Data!$BG$20)),"N/A",MIN(100,ROUND(KOL_Source_Data!$BG$20/IFERROR(INDEX(Lookup_Lists!$B$340:$B$344,MATCH(KOL_Source_Data!$H$20,Lookup_Lists!$A$340:$A$344,0)),Lookup_Lists!$D$141)*100,0)))</f>
      </c>
      <c r="AH116" s="18">
        <f>IF(NOT(ISNUMBER(KOL_Source_Data!$BS$20)),"N/A",MIN(100,MAX(0,KOL_Source_Data!$BS$20)))</f>
      </c>
      <c r="AI116" s="18">
        <f>IF(OR(NOT(ISNUMBER(KOL_Source_Data!$BM$20)),NOT(ISNUMBER(KOL_Source_Data!$BN$20)),KOL_Source_Data!$BN$20&lt;Lookup_Lists!$D$320),"N/A",MIN(100,ROUND(KOL_Source_Data!$BM$20/Lookup_Lists!$D$319*100,0)))</f>
      </c>
      <c r="AJ116" s="18">
        <f>IF(NOT(ISNUMBER(KOL_Source_Data!$BR$20)),"N/A",KOL_Source_Data!$BR$20)</f>
      </c>
      <c r="AK116" s="18">
        <f>IF(NOT(ISNUMBER(KOL_Source_Data!$BK$20)),"N/A",MIN(100,ROUND(KOL_Source_Data!$BK$20/Lookup_Lists!$D$321*100,0)))</f>
      </c>
      <c r="AL116" s="18">
        <f>IF(NOT(ISNUMBER(KOL_Source_Data!$BP$20)),"N/A",MIN(100,MAX(0,ROUND((KOL_Source_Data!$BP$20+2)/(Lookup_Lists!$D$145+2)*100,0))))</f>
      </c>
      <c r="AM116" s="29">
        <f>IF((IF(ISNUMBER(Matching_Engine!$AG$116),Lookup_Lists!$D$129,0)+IF(ISNUMBER(Matching_Engine!$AH$116),Lookup_Lists!$D$130,0)+IF(ISNUMBER(Matching_Engine!$AI$116),Lookup_Lists!$D$131,0)+IF(ISNUMBER(Matching_Engine!$AJ$116),Lookup_Lists!$D$132,0)+IF(ISNUMBER(Matching_Engine!$AK$116),Lookup_Lists!$D$133,0)+IF(ISNUMBER(Matching_Engine!$AL$116),Lookup_Lists!$D$134,0))=0,"N/A",ROUND((IF(ISNUMBER(Matching_Engine!$AG$116),Matching_Engine!$AG$116*Lookup_Lists!$D$129,0)+IF(ISNUMBER(Matching_Engine!$AH$116),Matching_Engine!$AH$116*Lookup_Lists!$D$130,0)+IF(ISNUMBER(Matching_Engine!$AI$116),Matching_Engine!$AI$116*Lookup_Lists!$D$131,0)+IF(ISNUMBER(Matching_Engine!$AJ$116),Matching_Engine!$AJ$116*Lookup_Lists!$D$132,0)+IF(ISNUMBER(Matching_Engine!$AK$116),Matching_Engine!$AK$116*Lookup_Lists!$D$133,0)+IF(ISNUMBER(Matching_Engine!$AL$116),Matching_Engine!$AL$116*Lookup_Lists!$D$134,0))/(IF(ISNUMBER(Matching_Engine!$AG$116),Lookup_Lists!$D$129,0)+IF(ISNUMBER(Matching_Engine!$AH$116),Lookup_Lists!$D$130,0)+IF(ISNUMBER(Matching_Engine!$AI$116),Lookup_Lists!$D$131,0)+IF(ISNUMBER(Matching_Engine!$AJ$116),Lookup_Lists!$D$132,0)+IF(ISNUMBER(Matching_Engine!$AK$116),Lookup_Lists!$D$133,0)+IF(ISNUMBER(Matching_Engine!$AL$116),Lookup_Lists!$D$134,0)),0))</f>
      </c>
      <c r="AN116" s="11">
        <f>IF(ISNUMBER(Matching_Engine!$AM$116),1,0)</f>
      </c>
      <c r="AO116" s="18">
        <f>IF(NOT(ISNUMBER(KOL_Source_Data!$BT$20)),"N/A",MIN(100,MAX(0,KOL_Source_Data!$BT$20)))</f>
      </c>
      <c r="AP116" s="18">
        <f>IF(NOT(ISNUMBER(KOL_Source_Data!$BU$20)),"N/A",MIN(100,MAX(0,KOL_Source_Data!$BU$20)))</f>
      </c>
      <c r="AQ116" s="18">
        <f>IF(KOL_Source_Data!$I$20="Yes",Lookup_Lists!$D$326,IF(KOL_Source_Data!$I$20="No",Lookup_Lists!$D$327,"N/A"))</f>
      </c>
      <c r="AR116" s="18">
        <f>IF(NOT(ISNUMBER(KOL_Source_Data!$BQ$20)),"N/A",MAX(0,ROUND(100-KOL_Source_Data!$BQ$20/Lookup_Lists!$D$328*100,0)))</f>
      </c>
      <c r="AS116" s="18">
        <f>IF(NOT(AND(ISTEXT(KOL_Source_Data!$BV$20),KOL_Source_Data!$BV$20&lt;&gt;"N/A")),"N/A",KOL_Source_Data!$BV$20)</f>
      </c>
      <c r="AT116" s="29">
        <f>IF((IF(ISNUMBER(Matching_Engine!$AO$116),Lookup_Lists!$D$322,0)+IF(ISNUMBER(Matching_Engine!$AP$116),Lookup_Lists!$D$323,0)+IF(ISNUMBER(Matching_Engine!$AQ$116),Lookup_Lists!$D$324,0)+IF(ISNUMBER(Matching_Engine!$AR$116),Lookup_Lists!$D$325,0))=0,"N/A",ROUND((IF(ISNUMBER(Matching_Engine!$AO$116),Matching_Engine!$AO$116*Lookup_Lists!$D$322,0)+IF(ISNUMBER(Matching_Engine!$AP$116),Matching_Engine!$AP$116*Lookup_Lists!$D$323,0)+IF(ISNUMBER(Matching_Engine!$AQ$116),Matching_Engine!$AQ$116*Lookup_Lists!$D$324,0)+IF(ISNUMBER(Matching_Engine!$AR$116),Matching_Engine!$AR$116*Lookup_Lists!$D$325,0))/(IF(ISNUMBER(Matching_Engine!$AO$116),Lookup_Lists!$D$322,0)+IF(ISNUMBER(Matching_Engine!$AP$116),Lookup_Lists!$D$323,0)+IF(ISNUMBER(Matching_Engine!$AQ$116),Lookup_Lists!$D$324,0)+IF(ISNUMBER(Matching_Engine!$AR$116),Lookup_Lists!$D$325,0)),0))</f>
      </c>
      <c r="AU116" s="11">
        <f>IF(ISNUMBER(Matching_Engine!$AT$116),1,0)</f>
      </c>
      <c r="AV116" s="11">
        <f>IF(NOT(ISNUMBER(Matching_Engine!$AT$116)),"Not Screened",IF(Matching_Engine!$AT$116&gt;=Lookup_Lists!$D$329,"Low Risk",IF(Matching_Engine!$AT$116&gt;=Lookup_Lists!$D$330,"Moderate Risk",IF(Matching_Engine!$AT$116&gt;=Lookup_Lists!$D$331,"Elevated Risk","High Risk"))))</f>
      </c>
      <c r="AW116" s="11">
        <f>IF(NOT(ISNUMBER(Matching_Engine!$AT$116)),"No integrity signal: no audience-analysis row for this account.","Integrity screen only — no content-risk reading exists (comments_analysis: 0 rows). "&amp;IF(ISNUMBER(Matching_Engine!$AO$116),"Authenticity "&amp;Matching_Engine!$AO$116&amp;". ","Authenticity N/A. ")&amp;IF(ISNUMBER(Matching_Engine!$AP$116),"Follower quality "&amp;Matching_Engine!$AP$116&amp;". ","Follower quality N/A. ")&amp;IF(KOL_Source_Data!$I$20="Yes","Platform-verified.","Not platform-verified."))</f>
      </c>
      <c r="AX116" s="18">
        <f>Matching_Engine!$N$116*Lookup_Lists!$D$104+Matching_Engine!$T$116*Lookup_Lists!$D$105+Matching_Engine!$Z$116*Lookup_Lists!$D$106+Matching_Engine!$AF$116*Lookup_Lists!$D$107+Matching_Engine!$AN$116*Lookup_Lists!$D$108+Matching_Engine!$AU$116*Lookup_Lists!$D$109</f>
      </c>
      <c r="AY116" s="30">
        <f>IF(Matching_Engine!$AX$116=0,"N/A",ROUND((IF(Matching_Engine!$N$116=1,Matching_Engine!$M$116*Lookup_Lists!$D$104,0)+IF(Matching_Engine!$T$116=1,Matching_Engine!$S$116*Lookup_Lists!$D$105,0)+IF(Matching_Engine!$Z$116=1,Matching_Engine!$Y$116*Lookup_Lists!$D$106,0)+IF(Matching_Engine!$AF$116=1,Matching_Engine!$AE$116*Lookup_Lists!$D$107,0)+IF(Matching_Engine!$AN$116=1,Matching_Engine!$AM$116*Lookup_Lists!$D$108,0)+IF(Matching_Engine!$AU$116=1,Matching_Engine!$AT$116*Lookup_Lists!$D$109,0))/Matching_Engine!$AX$116,0))</f>
      </c>
      <c r="AZ116" s="11">
        <f>IF(NOT(ISNUMBER(Matching_Engine!$AY$116)),"Not Scored",IF(Matching_Engine!$AY$116&gt;=Lookup_Lists!$D$152,"Excellent Match",IF(Matching_Engine!$AY$116&gt;=Lookup_Lists!$D$153,"Strong Match",IF(Matching_Engine!$AY$116&gt;=Lookup_Lists!$D$154,"Good Match",IF(Matching_Engine!$AY$116&gt;=Lookup_Lists!$D$155,"Moderate Match","Low Match")))))</f>
      </c>
      <c r="BA116" s="18">
        <f>KOL_Source_Data!$BW$20</f>
      </c>
      <c r="BB116" s="11">
        <f>KOL_Source_Data!$BX$20</f>
      </c>
      <c r="BC116" s="18">
        <f>IF(NOT(ISNUMBER(Matching_Engine!$AY$116)),-1,Matching_Engine!$AY$116*1000+10)</f>
      </c>
      <c r="BD116" s="11">
        <f>IF(AND(ISTEXT(KOL_Source_Data!$S$20),KOL_Source_Data!$S$20&lt;&gt;"N/A"),KOL_Source_Data!$S$20,"")&amp;" | "&amp;IF(AND(ISTEXT(KOL_Source_Data!$T$20),KOL_Source_Data!$T$20&lt;&gt;"N/A"),KOL_Source_Data!$T$20,"")&amp;" | "&amp;IF(AND(ISTEXT(KOL_Source_Data!$N$20),KOL_Source_Data!$N$20&lt;&gt;"N/A"),KOL_Source_Data!$N$20,"")&amp;" | "&amp;IF(AND(ISTEXT(KOL_Source_Data!$K$20),KOL_Source_Data!$K$20&lt;&gt;"N/A"),KOL_Source_Data!$K$20,"")&amp;" | "&amp;IF(AND(ISTEXT(KOL_Source_Data!$J$20),KOL_Source_Data!$J$20&lt;&gt;"N/A"),KOL_Source_Data!$J$20,"")</f>
      </c>
      <c r="BE116" s="11">
        <f>IF(AND(ISTEXT(KOL_Source_Data!$T$20),KOL_Source_Data!$T$20&lt;&gt;"N/A"),KOL_Source_Data!$T$20,"")&amp;" | "&amp;IF(AND(ISTEXT(KOL_Source_Data!$N$20),KOL_Source_Data!$N$20&lt;&gt;"N/A"),KOL_Source_Data!$N$20,"")&amp;" | "&amp;IF(AND(ISTEXT(KOL_Source_Data!$O$20),KOL_Source_Data!$O$20&lt;&gt;"N/A"),KOL_Source_Data!$O$20,"")&amp;" | "&amp;IF(AND(ISTEXT(KOL_Source_Data!$S$20),KOL_Source_Data!$S$20&lt;&gt;"N/A"),KOL_Source_Data!$S$20,"")</f>
      </c>
      <c r="BF116" s="11">
        <f>IF(AND(ISTEXT(KOL_Source_Data!$U$20),KOL_Source_Data!$U$20&lt;&gt;"N/A"),KOL_Source_Data!$U$20,"")</f>
      </c>
      <c r="BG116" s="11">
        <f>Matching_Engine!$A$116&amp;"|"&amp;Matching_Engine!$C$116</f>
      </c>
    </row>
    <row r="117" spans="1:59" x14ac:dyDescent="0.25">
      <c r="A117" s="10" t="s">
        <v>394</v>
      </c>
      <c r="B117" s="11">
        <f>Brand_Profile!$I$6</f>
      </c>
      <c r="C117" s="11">
        <f>KOL_Source_Data!$A$21</f>
      </c>
      <c r="D117" s="11">
        <f>KOL_Source_Data!$C$21</f>
      </c>
      <c r="E117" s="11">
        <f>KOL_Source_Data!$D$21</f>
      </c>
      <c r="F117" s="11">
        <f>KOL_Source_Data!$E$21</f>
      </c>
      <c r="G117" s="11">
        <f>KOL_Source_Data!$K$21</f>
      </c>
      <c r="H117" s="12">
        <f>KOL_Source_Data!$G$21</f>
      </c>
      <c r="I117" s="14">
        <f>KOL_Source_Data!$BG$21</f>
      </c>
      <c r="J117" s="18">
        <f>IF(NOT(AND(ISTEXT(KOL_Source_Data!$K$21),KOL_Source_Data!$K$21&lt;&gt;"N/A")),Lookup_Lists!$D$150,IF(Brand_Profile!$I$7=KOL_Source_Data!$K$21,100,IFERROR(INDEX(Lookup_Lists!$B$349:$J$357,MATCH(Brand_Profile!$I$7,Lookup_Lists!$A$349:$A$357,0),MATCH(KOL_Source_Data!$K$21,Lookup_Lists!$B$348:$J$348,0)),Lookup_Lists!$D$151)))</f>
      </c>
      <c r="K117" s="18">
        <f>IF(LEN(TRIM(SUBSTITUTE(Matching_Engine!$BD$117,"|","")))=0,"N/A",IF(Brand_Profile!$I$47=0,Lookup_Lists!$D$150,ROUND((IF(Brand_Profile!$I$41="",0,IF(ISNUMBER(SEARCH(Brand_Profile!$I$41,Matching_Engine!$BD$117)),1,0))+IF(Brand_Profile!$I$42="",0,IF(ISNUMBER(SEARCH(Brand_Profile!$I$42,Matching_Engine!$BD$117)),1,0))+IF(Brand_Profile!$I$43="",0,IF(ISNUMBER(SEARCH(Brand_Profile!$I$43,Matching_Engine!$BD$117)),1,0))+IF(Brand_Profile!$I$44="",0,IF(ISNUMBER(SEARCH(Brand_Profile!$I$44,Matching_Engine!$BD$117)),1,0))+IF(Brand_Profile!$I$45="",0,IF(ISNUMBER(SEARCH(Brand_Profile!$I$45,Matching_Engine!$BD$117)),1,0))+IF(Brand_Profile!$I$46="",0,IF(ISNUMBER(SEARCH(Brand_Profile!$I$46,Matching_Engine!$BD$117)),1,0)))/Brand_Profile!$I$47*100,0)))</f>
      </c>
      <c r="L117" s="18">
        <f>IF(NOT(AND(ISTEXT(KOL_Source_Data!$U$21),KOL_Source_Data!$U$21&lt;&gt;"N/A")),"N/A",IF(Brand_Profile!$I$53=0,Lookup_Lists!$D$150,ROUND((IF(Brand_Profile!$I$48="",0,IF(ISNUMBER(SEARCH(Brand_Profile!$I$48,Matching_Engine!$BF$117)),1,0))+IF(Brand_Profile!$I$49="",0,IF(ISNUMBER(SEARCH(Brand_Profile!$I$49,Matching_Engine!$BF$117)),1,0))+IF(Brand_Profile!$I$50="",0,IF(ISNUMBER(SEARCH(Brand_Profile!$I$50,Matching_Engine!$BF$117)),1,0))+IF(Brand_Profile!$I$51="",0,IF(ISNUMBER(SEARCH(Brand_Profile!$I$51,Matching_Engine!$BF$117)),1,0))+IF(Brand_Profile!$I$52="",0,IF(ISNUMBER(SEARCH(Brand_Profile!$I$52,Matching_Engine!$BF$117)),1,0)))/Brand_Profile!$I$53*100,0)))</f>
      </c>
      <c r="M117" s="29">
        <f>IF((IF(ISNUMBER(Matching_Engine!$J$117),Lookup_Lists!$D$332,0)+IF(ISNUMBER(Matching_Engine!$K$117),Lookup_Lists!$D$333,0)+IF(ISNUMBER(Matching_Engine!$L$117),Lookup_Lists!$D$334,0))=0,"N/A",ROUND((IF(ISNUMBER(Matching_Engine!$J$117),Matching_Engine!$J$117*Lookup_Lists!$D$332,0)+IF(ISNUMBER(Matching_Engine!$K$117),Matching_Engine!$K$117*Lookup_Lists!$D$333,0)+IF(ISNUMBER(Matching_Engine!$L$117),Matching_Engine!$L$117*Lookup_Lists!$D$334,0))/(IF(ISNUMBER(Matching_Engine!$J$117),Lookup_Lists!$D$332,0)+IF(ISNUMBER(Matching_Engine!$K$117),Lookup_Lists!$D$333,0)+IF(ISNUMBER(Matching_Engine!$L$117),Lookup_Lists!$D$334,0)),0))</f>
      </c>
      <c r="N117" s="11">
        <f>IF(ISNUMBER(Matching_Engine!$M$117),1,0)</f>
      </c>
      <c r="O117" s="18">
        <f>IF(NOT(ISNUMBER(IFERROR(INDEX(KOL_Source_Data!$V$21:KOL_Source_Data!$Z$21,1,MATCH(Brand_Profile!$I$11,Lookup_Lists!$F$6:$F$10,0)),""))),"N/A",MIN(100,ROUND((IFERROR(INDEX(KOL_Source_Data!$V$21:KOL_Source_Data!$Z$21,1,MATCH(Brand_Profile!$I$11,Lookup_Lists!$F$6:$F$10,0)),"")+0.5*IF(ISNUMBER(IFERROR(INDEX(KOL_Source_Data!$V$21:KOL_Source_Data!$Z$21,1,MATCH(Brand_Profile!$I$12,Lookup_Lists!$F$6:$F$10,0)),"")),IFERROR(INDEX(KOL_Source_Data!$V$21:KOL_Source_Data!$Z$21,1,MATCH(Brand_Profile!$I$12,Lookup_Lists!$F$6:$F$10,0)),""),0))/Lookup_Lists!$D$142*100,0)))</f>
      </c>
      <c r="P117" s="18">
        <f>IF(Brand_Profile!$I$13="Any",100,IF(NOT(ISNUMBER(KOL_Source_Data!$AA$21)),"N/A",IF(Brand_Profile!$I$13="Female",MIN(100,ROUND(KOL_Source_Data!$AA$21/Lookup_Lists!$D$143*100,0)),IF(Brand_Profile!$I$13="Male",MIN(100,ROUND(IF(ISNUMBER(KOL_Source_Data!$AB$21),KOL_Source_Data!$AB$21,100-KOL_Source_Data!$AA$21)/Lookup_Lists!$D$143*100,0)),MAX(0,ROUND(100-ABS(KOL_Source_Data!$AA$21-50)*2,0))))))</f>
      </c>
      <c r="Q117" s="18">
        <f>IF((IF(ISNUMBER(IF(NOT(ISNUMBER(KOL_Source_Data!$AE$21)),"N/A",IF(KOL_Source_Data!$AD$21&lt;&gt;Brand_Profile!$I$14,Lookup_Lists!$D$151,MIN(100,ROUND(KOL_Source_Data!$AE$21/Lookup_Lists!$D$316*100,0))))),Lookup_Lists!$D$118,0)+IF(ISNUMBER(IF(NOT(ISNUMBER(KOL_Source_Data!$AM$21)),"N/A",MIN(100,ROUND((IF(KOL_Source_Data!$AG$21=Brand_Profile!$I$15,IF(ISNUMBER(KOL_Source_Data!$AH$21),KOL_Source_Data!$AH$21,0),0)+IF(KOL_Source_Data!$AI$21=Brand_Profile!$I$15,IF(ISNUMBER(KOL_Source_Data!$AJ$21),KOL_Source_Data!$AJ$21,0),0)+IF(KOL_Source_Data!$AK$21=Brand_Profile!$I$15,IF(ISNUMBER(KOL_Source_Data!$AL$21),KOL_Source_Data!$AL$21,0),0))/Lookup_Lists!$D$317*100,0)))),Lookup_Lists!$D$120,0))=0,"N/A",ROUND((IF(ISNUMBER(IF(NOT(ISNUMBER(KOL_Source_Data!$AE$21)),"N/A",IF(KOL_Source_Data!$AD$21&lt;&gt;Brand_Profile!$I$14,Lookup_Lists!$D$151,MIN(100,ROUND(KOL_Source_Data!$AE$21/Lookup_Lists!$D$316*100,0))))),IF(NOT(ISNUMBER(KOL_Source_Data!$AE$21)),"N/A",IF(KOL_Source_Data!$AD$21&lt;&gt;Brand_Profile!$I$14,Lookup_Lists!$D$151,MIN(100,ROUND(KOL_Source_Data!$AE$21/Lookup_Lists!$D$316*100,0))))*Lookup_Lists!$D$118,0)+IF(ISNUMBER(IF(NOT(ISNUMBER(KOL_Source_Data!$AM$21)),"N/A",MIN(100,ROUND((IF(KOL_Source_Data!$AG$21=Brand_Profile!$I$15,IF(ISNUMBER(KOL_Source_Data!$AH$21),KOL_Source_Data!$AH$21,0),0)+IF(KOL_Source_Data!$AI$21=Brand_Profile!$I$15,IF(ISNUMBER(KOL_Source_Data!$AJ$21),KOL_Source_Data!$AJ$21,0),0)+IF(KOL_Source_Data!$AK$21=Brand_Profile!$I$15,IF(ISNUMBER(KOL_Source_Data!$AL$21),KOL_Source_Data!$AL$21,0),0))/Lookup_Lists!$D$317*100,0)))),IF(NOT(ISNUMBER(KOL_Source_Data!$AM$21)),"N/A",MIN(100,ROUND((IF(KOL_Source_Data!$AG$21=Brand_Profile!$I$15,IF(ISNUMBER(KOL_Source_Data!$AH$21),KOL_Source_Data!$AH$21,0),0)+IF(KOL_Source_Data!$AI$21=Brand_Profile!$I$15,IF(ISNUMBER(KOL_Source_Data!$AJ$21),KOL_Source_Data!$AJ$21,0),0)+IF(KOL_Source_Data!$AK$21=Brand_Profile!$I$15,IF(ISNUMBER(KOL_Source_Data!$AL$21),KOL_Source_Data!$AL$21,0),0))/Lookup_Lists!$D$317*100,0)))*Lookup_Lists!$D$120,0))/(IF(ISNUMBER(IF(NOT(ISNUMBER(KOL_Source_Data!$AE$21)),"N/A",IF(KOL_Source_Data!$AD$21&lt;&gt;Brand_Profile!$I$14,Lookup_Lists!$D$151,MIN(100,ROUND(KOL_Source_Data!$AE$21/Lookup_Lists!$D$316*100,0))))),Lookup_Lists!$D$118,0)+IF(ISNUMBER(IF(NOT(ISNUMBER(KOL_Source_Data!$AM$21)),"N/A",MIN(100,ROUND((IF(KOL_Source_Data!$AG$21=Brand_Profile!$I$15,IF(ISNUMBER(KOL_Source_Data!$AH$21),KOL_Source_Data!$AH$21,0),0)+IF(KOL_Source_Data!$AI$21=Brand_Profile!$I$15,IF(ISNUMBER(KOL_Source_Data!$AJ$21),KOL_Source_Data!$AJ$21,0),0)+IF(KOL_Source_Data!$AK$21=Brand_Profile!$I$15,IF(ISNUMBER(KOL_Source_Data!$AL$21),KOL_Source_Data!$AL$21,0),0))/Lookup_Lists!$D$317*100,0)))),Lookup_Lists!$D$120,0)),0))</f>
      </c>
      <c r="R117" s="18">
        <f>IF(NOT(ISNUMBER(KOL_Source_Data!$AN$21)),"N/A",MIN(100,ROUND((IF(ISNUMBER(KOL_Source_Data!$AO$21),KOL_Source_Data!$AO$21*Brand_Profile!$I$17,0)+IF(ISNUMBER(KOL_Source_Data!$AP$21),KOL_Source_Data!$AP$21*Brand_Profile!$I$18,0)+IF(ISNUMBER(KOL_Source_Data!$AQ$21),KOL_Source_Data!$AQ$21*Brand_Profile!$I$19,0)+IF(ISNUMBER(KOL_Source_Data!$AR$21),KOL_Source_Data!$AR$21*Brand_Profile!$I$20,0)+IF(ISNUMBER(KOL_Source_Data!$AS$21),KOL_Source_Data!$AS$21*Brand_Profile!$I$21,0)+IF(ISNUMBER(KOL_Source_Data!$AT$21),KOL_Source_Data!$AT$21*Brand_Profile!$I$22,0)+IF(ISNUMBER(KOL_Source_Data!$AU$21),KOL_Source_Data!$AU$21*Brand_Profile!$I$23,0)+IF(ISNUMBER(KOL_Source_Data!$AV$21),KOL_Source_Data!$AV$21*Brand_Profile!$I$24,0)+IF(ISNUMBER(KOL_Source_Data!$AW$21),KOL_Source_Data!$AW$21*Brand_Profile!$I$25,0)+IF(ISNUMBER(KOL_Source_Data!$AX$21),KOL_Source_Data!$AX$21*Brand_Profile!$I$26,0)+IF(ISNUMBER(KOL_Source_Data!$AY$21),KOL_Source_Data!$AY$21*Brand_Profile!$I$27,0)+IF(ISNUMBER(KOL_Source_Data!$AZ$21),KOL_Source_Data!$AZ$21*Brand_Profile!$I$28,0)+IF(ISNUMBER(KOL_Source_Data!$BA$21),KOL_Source_Data!$BA$21*Brand_Profile!$I$29,0)+IF(ISNUMBER(KOL_Source_Data!$BB$21),KOL_Source_Data!$BB$21*Brand_Profile!$I$30,0)+IF(ISNUMBER(KOL_Source_Data!$BC$21),KOL_Source_Data!$BC$21*Brand_Profile!$I$31,0)+IF(ISNUMBER(KOL_Source_Data!$BD$21),KOL_Source_Data!$BD$21*Brand_Profile!$I$32,0)+IF(ISNUMBER(KOL_Source_Data!$BE$21),KOL_Source_Data!$BE$21*Brand_Profile!$I$33,0)+IF(ISNUMBER(KOL_Source_Data!$BF$21),KOL_Source_Data!$BF$21*Brand_Profile!$I$34,0))/Lookup_Lists!$D$318*100,0)))</f>
      </c>
      <c r="S117" s="29">
        <f>IF((IF(ISNUMBER(Matching_Engine!$O$117),Lookup_Lists!$D$113,0)+IF(ISNUMBER(Matching_Engine!$P$117),Lookup_Lists!$D$114,0)+IF(ISNUMBER(Matching_Engine!$Q$117),Lookup_Lists!$D$115,0)+IF(ISNUMBER(Matching_Engine!$R$117),Lookup_Lists!$D$116,0))=0,"N/A",ROUND((IF(ISNUMBER(Matching_Engine!$O$117),Matching_Engine!$O$117*Lookup_Lists!$D$113,0)+IF(ISNUMBER(Matching_Engine!$P$117),Matching_Engine!$P$117*Lookup_Lists!$D$114,0)+IF(ISNUMBER(Matching_Engine!$Q$117),Matching_Engine!$Q$117*Lookup_Lists!$D$115,0)+IF(ISNUMBER(Matching_Engine!$R$117),Matching_Engine!$R$117*Lookup_Lists!$D$116,0))/(IF(ISNUMBER(Matching_Engine!$O$117),Lookup_Lists!$D$113,0)+IF(ISNUMBER(Matching_Engine!$P$117),Lookup_Lists!$D$114,0)+IF(ISNUMBER(Matching_Engine!$Q$117),Lookup_Lists!$D$115,0)+IF(ISNUMBER(Matching_Engine!$R$117),Lookup_Lists!$D$116,0)),0))</f>
      </c>
      <c r="T117" s="11">
        <f>IF(ISNUMBER(Matching_Engine!$S$117),1,0)</f>
      </c>
      <c r="U117" s="18">
        <f>IF(NOT(AND(ISTEXT(KOL_Source_Data!$M$21),KOL_Source_Data!$M$21&lt;&gt;"N/A")),Lookup_Lists!$D$150,IF(Brand_Profile!$I$7=KOL_Source_Data!$M$21,100,IFERROR(INDEX(Lookup_Lists!$B$349:$J$357,MATCH(Brand_Profile!$I$7,Lookup_Lists!$A$349:$A$357,0),MATCH(KOL_Source_Data!$M$21,Lookup_Lists!$B$348:$J$348,0)),Lookup_Lists!$D$151)))</f>
      </c>
      <c r="V117" s="18">
        <f>IF(NOT(AND(ISTEXT(KOL_Source_Data!$P$21),KOL_Source_Data!$P$21&lt;&gt;"N/A")),"N/A",IFERROR(INDEX(Lookup_Lists!$B$349:$J$357,MATCH(Brand_Profile!$I$7,Lookup_Lists!$A$349:$A$357,0),MATCH(KOL_Source_Data!$P$21,Lookup_Lists!$B$348:$J$348,0)),Lookup_Lists!$D$151))</f>
      </c>
      <c r="W117" s="18">
        <f>IF(LEN(TRIM(SUBSTITUTE(Matching_Engine!$BE$117,"|","")))=0,"N/A",IF(Brand_Profile!$I$60=0,Lookup_Lists!$D$150,ROUND((IF(Brand_Profile!$I$54="",0,IF(ISNUMBER(SEARCH(Brand_Profile!$I$54,Matching_Engine!$BE$117)),1,0))+IF(Brand_Profile!$I$55="",0,IF(ISNUMBER(SEARCH(Brand_Profile!$I$55,Matching_Engine!$BE$117)),1,0))+IF(Brand_Profile!$I$56="",0,IF(ISNUMBER(SEARCH(Brand_Profile!$I$56,Matching_Engine!$BE$117)),1,0))+IF(Brand_Profile!$I$57="",0,IF(ISNUMBER(SEARCH(Brand_Profile!$I$57,Matching_Engine!$BE$117)),1,0))+IF(Brand_Profile!$I$58="",0,IF(ISNUMBER(SEARCH(Brand_Profile!$I$58,Matching_Engine!$BE$117)),1,0))+IF(Brand_Profile!$I$59="",0,IF(ISNUMBER(SEARCH(Brand_Profile!$I$59,Matching_Engine!$BE$117)),1,0)))/Brand_Profile!$I$60*100,0)))</f>
      </c>
      <c r="X117" s="18">
        <f>IF(NOT(AND(ISTEXT(KOL_Source_Data!$Q$21),KOL_Source_Data!$Q$21&lt;&gt;"N/A")),"N/A",Lookup_Lists!$D$150)</f>
      </c>
      <c r="Y117" s="29">
        <f>IF((IF(ISNUMBER(Matching_Engine!$U$117),Lookup_Lists!$D$335,0)+IF(ISNUMBER(Matching_Engine!$V$117),Lookup_Lists!$D$122,0)+IF(ISNUMBER(Matching_Engine!$W$117),Lookup_Lists!$D$336,0)+IF(ISNUMBER(Matching_Engine!$X$117),Lookup_Lists!$D$124,0))=0,"N/A",ROUND((IF(ISNUMBER(Matching_Engine!$U$117),Matching_Engine!$U$117*Lookup_Lists!$D$335,0)+IF(ISNUMBER(Matching_Engine!$V$117),Matching_Engine!$V$117*Lookup_Lists!$D$122,0)+IF(ISNUMBER(Matching_Engine!$W$117),Matching_Engine!$W$117*Lookup_Lists!$D$336,0)+IF(ISNUMBER(Matching_Engine!$X$117),Matching_Engine!$X$117*Lookup_Lists!$D$124,0))/(IF(ISNUMBER(Matching_Engine!$U$117),Lookup_Lists!$D$335,0)+IF(ISNUMBER(Matching_Engine!$V$117),Lookup_Lists!$D$122,0)+IF(ISNUMBER(Matching_Engine!$W$117),Lookup_Lists!$D$336,0)+IF(ISNUMBER(Matching_Engine!$X$117),Lookup_Lists!$D$124,0)),0))</f>
      </c>
      <c r="Z117" s="11">
        <f>IF(ISNUMBER(Matching_Engine!$Y$117),1,0)</f>
      </c>
      <c r="AA117" s="18">
        <f>IF(NOT(AND(ISTEXT(KOL_Source_Data!$Q$21),KOL_Source_Data!$Q$21&lt;&gt;"N/A")),"N/A",Lookup_Lists!$D$150)</f>
      </c>
      <c r="AB117" s="18">
        <f>IF(NOT(AND(ISTEXT(KOL_Source_Data!$Q$21),KOL_Source_Data!$Q$21&lt;&gt;"N/A")),"N/A",Lookup_Lists!$D$150)</f>
      </c>
      <c r="AC117" s="18">
        <f>"N/A"</f>
      </c>
      <c r="AD117" s="18">
        <f>IF(NOT(AND(ISTEXT(KOL_Source_Data!$Q$21),KOL_Source_Data!$Q$21&lt;&gt;"N/A")),"N/A",Lookup_Lists!$D$150)</f>
      </c>
      <c r="AE117" s="29">
        <f>IF((IF(ISNUMBER(Matching_Engine!$AA$117),Lookup_Lists!$D$125,0)+IF(ISNUMBER(Matching_Engine!$AB$117),Lookup_Lists!$D$126,0)+IF(ISNUMBER(Matching_Engine!$AC$117),Lookup_Lists!$D$127,0)+IF(ISNUMBER(Matching_Engine!$AD$117),Lookup_Lists!$D$128,0))=0,"N/A",ROUND((IF(ISNUMBER(Matching_Engine!$AA$117),Matching_Engine!$AA$117*Lookup_Lists!$D$125,0)+IF(ISNUMBER(Matching_Engine!$AB$117),Matching_Engine!$AB$117*Lookup_Lists!$D$126,0)+IF(ISNUMBER(Matching_Engine!$AC$117),Matching_Engine!$AC$117*Lookup_Lists!$D$127,0)+IF(ISNUMBER(Matching_Engine!$AD$117),Matching_Engine!$AD$117*Lookup_Lists!$D$128,0))/(IF(ISNUMBER(Matching_Engine!$AA$117),Lookup_Lists!$D$125,0)+IF(ISNUMBER(Matching_Engine!$AB$117),Lookup_Lists!$D$126,0)+IF(ISNUMBER(Matching_Engine!$AC$117),Lookup_Lists!$D$127,0)+IF(ISNUMBER(Matching_Engine!$AD$117),Lookup_Lists!$D$128,0)),0))</f>
      </c>
      <c r="AF117" s="11">
        <f>IF(ISNUMBER(Matching_Engine!$AE$117),1,0)</f>
      </c>
      <c r="AG117" s="18">
        <f>IF(NOT(ISNUMBER(KOL_Source_Data!$BG$21)),"N/A",MIN(100,ROUND(KOL_Source_Data!$BG$21/IFERROR(INDEX(Lookup_Lists!$B$340:$B$344,MATCH(KOL_Source_Data!$H$21,Lookup_Lists!$A$340:$A$344,0)),Lookup_Lists!$D$141)*100,0)))</f>
      </c>
      <c r="AH117" s="18">
        <f>IF(NOT(ISNUMBER(KOL_Source_Data!$BS$21)),"N/A",MIN(100,MAX(0,KOL_Source_Data!$BS$21)))</f>
      </c>
      <c r="AI117" s="18">
        <f>IF(OR(NOT(ISNUMBER(KOL_Source_Data!$BM$21)),NOT(ISNUMBER(KOL_Source_Data!$BN$21)),KOL_Source_Data!$BN$21&lt;Lookup_Lists!$D$320),"N/A",MIN(100,ROUND(KOL_Source_Data!$BM$21/Lookup_Lists!$D$319*100,0)))</f>
      </c>
      <c r="AJ117" s="18">
        <f>IF(NOT(ISNUMBER(KOL_Source_Data!$BR$21)),"N/A",KOL_Source_Data!$BR$21)</f>
      </c>
      <c r="AK117" s="18">
        <f>IF(NOT(ISNUMBER(KOL_Source_Data!$BK$21)),"N/A",MIN(100,ROUND(KOL_Source_Data!$BK$21/Lookup_Lists!$D$321*100,0)))</f>
      </c>
      <c r="AL117" s="18">
        <f>IF(NOT(ISNUMBER(KOL_Source_Data!$BP$21)),"N/A",MIN(100,MAX(0,ROUND((KOL_Source_Data!$BP$21+2)/(Lookup_Lists!$D$145+2)*100,0))))</f>
      </c>
      <c r="AM117" s="29">
        <f>IF((IF(ISNUMBER(Matching_Engine!$AG$117),Lookup_Lists!$D$129,0)+IF(ISNUMBER(Matching_Engine!$AH$117),Lookup_Lists!$D$130,0)+IF(ISNUMBER(Matching_Engine!$AI$117),Lookup_Lists!$D$131,0)+IF(ISNUMBER(Matching_Engine!$AJ$117),Lookup_Lists!$D$132,0)+IF(ISNUMBER(Matching_Engine!$AK$117),Lookup_Lists!$D$133,0)+IF(ISNUMBER(Matching_Engine!$AL$117),Lookup_Lists!$D$134,0))=0,"N/A",ROUND((IF(ISNUMBER(Matching_Engine!$AG$117),Matching_Engine!$AG$117*Lookup_Lists!$D$129,0)+IF(ISNUMBER(Matching_Engine!$AH$117),Matching_Engine!$AH$117*Lookup_Lists!$D$130,0)+IF(ISNUMBER(Matching_Engine!$AI$117),Matching_Engine!$AI$117*Lookup_Lists!$D$131,0)+IF(ISNUMBER(Matching_Engine!$AJ$117),Matching_Engine!$AJ$117*Lookup_Lists!$D$132,0)+IF(ISNUMBER(Matching_Engine!$AK$117),Matching_Engine!$AK$117*Lookup_Lists!$D$133,0)+IF(ISNUMBER(Matching_Engine!$AL$117),Matching_Engine!$AL$117*Lookup_Lists!$D$134,0))/(IF(ISNUMBER(Matching_Engine!$AG$117),Lookup_Lists!$D$129,0)+IF(ISNUMBER(Matching_Engine!$AH$117),Lookup_Lists!$D$130,0)+IF(ISNUMBER(Matching_Engine!$AI$117),Lookup_Lists!$D$131,0)+IF(ISNUMBER(Matching_Engine!$AJ$117),Lookup_Lists!$D$132,0)+IF(ISNUMBER(Matching_Engine!$AK$117),Lookup_Lists!$D$133,0)+IF(ISNUMBER(Matching_Engine!$AL$117),Lookup_Lists!$D$134,0)),0))</f>
      </c>
      <c r="AN117" s="11">
        <f>IF(ISNUMBER(Matching_Engine!$AM$117),1,0)</f>
      </c>
      <c r="AO117" s="18">
        <f>IF(NOT(ISNUMBER(KOL_Source_Data!$BT$21)),"N/A",MIN(100,MAX(0,KOL_Source_Data!$BT$21)))</f>
      </c>
      <c r="AP117" s="18">
        <f>IF(NOT(ISNUMBER(KOL_Source_Data!$BU$21)),"N/A",MIN(100,MAX(0,KOL_Source_Data!$BU$21)))</f>
      </c>
      <c r="AQ117" s="18">
        <f>IF(KOL_Source_Data!$I$21="Yes",Lookup_Lists!$D$326,IF(KOL_Source_Data!$I$21="No",Lookup_Lists!$D$327,"N/A"))</f>
      </c>
      <c r="AR117" s="18">
        <f>IF(NOT(ISNUMBER(KOL_Source_Data!$BQ$21)),"N/A",MAX(0,ROUND(100-KOL_Source_Data!$BQ$21/Lookup_Lists!$D$328*100,0)))</f>
      </c>
      <c r="AS117" s="18">
        <f>IF(NOT(AND(ISTEXT(KOL_Source_Data!$BV$21),KOL_Source_Data!$BV$21&lt;&gt;"N/A")),"N/A",KOL_Source_Data!$BV$21)</f>
      </c>
      <c r="AT117" s="29">
        <f>IF((IF(ISNUMBER(Matching_Engine!$AO$117),Lookup_Lists!$D$322,0)+IF(ISNUMBER(Matching_Engine!$AP$117),Lookup_Lists!$D$323,0)+IF(ISNUMBER(Matching_Engine!$AQ$117),Lookup_Lists!$D$324,0)+IF(ISNUMBER(Matching_Engine!$AR$117),Lookup_Lists!$D$325,0))=0,"N/A",ROUND((IF(ISNUMBER(Matching_Engine!$AO$117),Matching_Engine!$AO$117*Lookup_Lists!$D$322,0)+IF(ISNUMBER(Matching_Engine!$AP$117),Matching_Engine!$AP$117*Lookup_Lists!$D$323,0)+IF(ISNUMBER(Matching_Engine!$AQ$117),Matching_Engine!$AQ$117*Lookup_Lists!$D$324,0)+IF(ISNUMBER(Matching_Engine!$AR$117),Matching_Engine!$AR$117*Lookup_Lists!$D$325,0))/(IF(ISNUMBER(Matching_Engine!$AO$117),Lookup_Lists!$D$322,0)+IF(ISNUMBER(Matching_Engine!$AP$117),Lookup_Lists!$D$323,0)+IF(ISNUMBER(Matching_Engine!$AQ$117),Lookup_Lists!$D$324,0)+IF(ISNUMBER(Matching_Engine!$AR$117),Lookup_Lists!$D$325,0)),0))</f>
      </c>
      <c r="AU117" s="11">
        <f>IF(ISNUMBER(Matching_Engine!$AT$117),1,0)</f>
      </c>
      <c r="AV117" s="11">
        <f>IF(NOT(ISNUMBER(Matching_Engine!$AT$117)),"Not Screened",IF(Matching_Engine!$AT$117&gt;=Lookup_Lists!$D$329,"Low Risk",IF(Matching_Engine!$AT$117&gt;=Lookup_Lists!$D$330,"Moderate Risk",IF(Matching_Engine!$AT$117&gt;=Lookup_Lists!$D$331,"Elevated Risk","High Risk"))))</f>
      </c>
      <c r="AW117" s="11">
        <f>IF(NOT(ISNUMBER(Matching_Engine!$AT$117)),"No integrity signal: no audience-analysis row for this account.","Integrity screen only — no content-risk reading exists (comments_analysis: 0 rows). "&amp;IF(ISNUMBER(Matching_Engine!$AO$117),"Authenticity "&amp;Matching_Engine!$AO$117&amp;". ","Authenticity N/A. ")&amp;IF(ISNUMBER(Matching_Engine!$AP$117),"Follower quality "&amp;Matching_Engine!$AP$117&amp;". ","Follower quality N/A. ")&amp;IF(KOL_Source_Data!$I$21="Yes","Platform-verified.","Not platform-verified."))</f>
      </c>
      <c r="AX117" s="18">
        <f>Matching_Engine!$N$117*Lookup_Lists!$D$104+Matching_Engine!$T$117*Lookup_Lists!$D$105+Matching_Engine!$Z$117*Lookup_Lists!$D$106+Matching_Engine!$AF$117*Lookup_Lists!$D$107+Matching_Engine!$AN$117*Lookup_Lists!$D$108+Matching_Engine!$AU$117*Lookup_Lists!$D$109</f>
      </c>
      <c r="AY117" s="30">
        <f>IF(Matching_Engine!$AX$117=0,"N/A",ROUND((IF(Matching_Engine!$N$117=1,Matching_Engine!$M$117*Lookup_Lists!$D$104,0)+IF(Matching_Engine!$T$117=1,Matching_Engine!$S$117*Lookup_Lists!$D$105,0)+IF(Matching_Engine!$Z$117=1,Matching_Engine!$Y$117*Lookup_Lists!$D$106,0)+IF(Matching_Engine!$AF$117=1,Matching_Engine!$AE$117*Lookup_Lists!$D$107,0)+IF(Matching_Engine!$AN$117=1,Matching_Engine!$AM$117*Lookup_Lists!$D$108,0)+IF(Matching_Engine!$AU$117=1,Matching_Engine!$AT$117*Lookup_Lists!$D$109,0))/Matching_Engine!$AX$117,0))</f>
      </c>
      <c r="AZ117" s="11">
        <f>IF(NOT(ISNUMBER(Matching_Engine!$AY$117)),"Not Scored",IF(Matching_Engine!$AY$117&gt;=Lookup_Lists!$D$152,"Excellent Match",IF(Matching_Engine!$AY$117&gt;=Lookup_Lists!$D$153,"Strong Match",IF(Matching_Engine!$AY$117&gt;=Lookup_Lists!$D$154,"Good Match",IF(Matching_Engine!$AY$117&gt;=Lookup_Lists!$D$155,"Moderate Match","Low Match")))))</f>
      </c>
      <c r="BA117" s="18">
        <f>KOL_Source_Data!$BW$21</f>
      </c>
      <c r="BB117" s="11">
        <f>KOL_Source_Data!$BX$21</f>
      </c>
      <c r="BC117" s="18">
        <f>IF(NOT(ISNUMBER(Matching_Engine!$AY$117)),-1,Matching_Engine!$AY$117*1000+9)</f>
      </c>
      <c r="BD117" s="11">
        <f>IF(AND(ISTEXT(KOL_Source_Data!$S$21),KOL_Source_Data!$S$21&lt;&gt;"N/A"),KOL_Source_Data!$S$21,"")&amp;" | "&amp;IF(AND(ISTEXT(KOL_Source_Data!$T$21),KOL_Source_Data!$T$21&lt;&gt;"N/A"),KOL_Source_Data!$T$21,"")&amp;" | "&amp;IF(AND(ISTEXT(KOL_Source_Data!$N$21),KOL_Source_Data!$N$21&lt;&gt;"N/A"),KOL_Source_Data!$N$21,"")&amp;" | "&amp;IF(AND(ISTEXT(KOL_Source_Data!$K$21),KOL_Source_Data!$K$21&lt;&gt;"N/A"),KOL_Source_Data!$K$21,"")&amp;" | "&amp;IF(AND(ISTEXT(KOL_Source_Data!$J$21),KOL_Source_Data!$J$21&lt;&gt;"N/A"),KOL_Source_Data!$J$21,"")</f>
      </c>
      <c r="BE117" s="11">
        <f>IF(AND(ISTEXT(KOL_Source_Data!$T$21),KOL_Source_Data!$T$21&lt;&gt;"N/A"),KOL_Source_Data!$T$21,"")&amp;" | "&amp;IF(AND(ISTEXT(KOL_Source_Data!$N$21),KOL_Source_Data!$N$21&lt;&gt;"N/A"),KOL_Source_Data!$N$21,"")&amp;" | "&amp;IF(AND(ISTEXT(KOL_Source_Data!$O$21),KOL_Source_Data!$O$21&lt;&gt;"N/A"),KOL_Source_Data!$O$21,"")&amp;" | "&amp;IF(AND(ISTEXT(KOL_Source_Data!$S$21),KOL_Source_Data!$S$21&lt;&gt;"N/A"),KOL_Source_Data!$S$21,"")</f>
      </c>
      <c r="BF117" s="11">
        <f>IF(AND(ISTEXT(KOL_Source_Data!$U$21),KOL_Source_Data!$U$21&lt;&gt;"N/A"),KOL_Source_Data!$U$21,"")</f>
      </c>
      <c r="BG117" s="11">
        <f>Matching_Engine!$A$117&amp;"|"&amp;Matching_Engine!$C$117</f>
      </c>
    </row>
    <row r="118" spans="1:59" x14ac:dyDescent="0.25">
      <c r="A118" s="10" t="s">
        <v>394</v>
      </c>
      <c r="B118" s="11">
        <f>Brand_Profile!$I$6</f>
      </c>
      <c r="C118" s="11">
        <f>KOL_Source_Data!$A$22</f>
      </c>
      <c r="D118" s="11">
        <f>KOL_Source_Data!$C$22</f>
      </c>
      <c r="E118" s="11">
        <f>KOL_Source_Data!$D$22</f>
      </c>
      <c r="F118" s="11">
        <f>KOL_Source_Data!$E$22</f>
      </c>
      <c r="G118" s="11">
        <f>KOL_Source_Data!$K$22</f>
      </c>
      <c r="H118" s="12">
        <f>KOL_Source_Data!$G$22</f>
      </c>
      <c r="I118" s="14">
        <f>KOL_Source_Data!$BG$22</f>
      </c>
      <c r="J118" s="18">
        <f>IF(NOT(AND(ISTEXT(KOL_Source_Data!$K$22),KOL_Source_Data!$K$22&lt;&gt;"N/A")),Lookup_Lists!$D$150,IF(Brand_Profile!$I$7=KOL_Source_Data!$K$22,100,IFERROR(INDEX(Lookup_Lists!$B$349:$J$357,MATCH(Brand_Profile!$I$7,Lookup_Lists!$A$349:$A$357,0),MATCH(KOL_Source_Data!$K$22,Lookup_Lists!$B$348:$J$348,0)),Lookup_Lists!$D$151)))</f>
      </c>
      <c r="K118" s="18">
        <f>IF(LEN(TRIM(SUBSTITUTE(Matching_Engine!$BD$118,"|","")))=0,"N/A",IF(Brand_Profile!$I$47=0,Lookup_Lists!$D$150,ROUND((IF(Brand_Profile!$I$41="",0,IF(ISNUMBER(SEARCH(Brand_Profile!$I$41,Matching_Engine!$BD$118)),1,0))+IF(Brand_Profile!$I$42="",0,IF(ISNUMBER(SEARCH(Brand_Profile!$I$42,Matching_Engine!$BD$118)),1,0))+IF(Brand_Profile!$I$43="",0,IF(ISNUMBER(SEARCH(Brand_Profile!$I$43,Matching_Engine!$BD$118)),1,0))+IF(Brand_Profile!$I$44="",0,IF(ISNUMBER(SEARCH(Brand_Profile!$I$44,Matching_Engine!$BD$118)),1,0))+IF(Brand_Profile!$I$45="",0,IF(ISNUMBER(SEARCH(Brand_Profile!$I$45,Matching_Engine!$BD$118)),1,0))+IF(Brand_Profile!$I$46="",0,IF(ISNUMBER(SEARCH(Brand_Profile!$I$46,Matching_Engine!$BD$118)),1,0)))/Brand_Profile!$I$47*100,0)))</f>
      </c>
      <c r="L118" s="18">
        <f>IF(NOT(AND(ISTEXT(KOL_Source_Data!$U$22),KOL_Source_Data!$U$22&lt;&gt;"N/A")),"N/A",IF(Brand_Profile!$I$53=0,Lookup_Lists!$D$150,ROUND((IF(Brand_Profile!$I$48="",0,IF(ISNUMBER(SEARCH(Brand_Profile!$I$48,Matching_Engine!$BF$118)),1,0))+IF(Brand_Profile!$I$49="",0,IF(ISNUMBER(SEARCH(Brand_Profile!$I$49,Matching_Engine!$BF$118)),1,0))+IF(Brand_Profile!$I$50="",0,IF(ISNUMBER(SEARCH(Brand_Profile!$I$50,Matching_Engine!$BF$118)),1,0))+IF(Brand_Profile!$I$51="",0,IF(ISNUMBER(SEARCH(Brand_Profile!$I$51,Matching_Engine!$BF$118)),1,0))+IF(Brand_Profile!$I$52="",0,IF(ISNUMBER(SEARCH(Brand_Profile!$I$52,Matching_Engine!$BF$118)),1,0)))/Brand_Profile!$I$53*100,0)))</f>
      </c>
      <c r="M118" s="29">
        <f>IF((IF(ISNUMBER(Matching_Engine!$J$118),Lookup_Lists!$D$332,0)+IF(ISNUMBER(Matching_Engine!$K$118),Lookup_Lists!$D$333,0)+IF(ISNUMBER(Matching_Engine!$L$118),Lookup_Lists!$D$334,0))=0,"N/A",ROUND((IF(ISNUMBER(Matching_Engine!$J$118),Matching_Engine!$J$118*Lookup_Lists!$D$332,0)+IF(ISNUMBER(Matching_Engine!$K$118),Matching_Engine!$K$118*Lookup_Lists!$D$333,0)+IF(ISNUMBER(Matching_Engine!$L$118),Matching_Engine!$L$118*Lookup_Lists!$D$334,0))/(IF(ISNUMBER(Matching_Engine!$J$118),Lookup_Lists!$D$332,0)+IF(ISNUMBER(Matching_Engine!$K$118),Lookup_Lists!$D$333,0)+IF(ISNUMBER(Matching_Engine!$L$118),Lookup_Lists!$D$334,0)),0))</f>
      </c>
      <c r="N118" s="11">
        <f>IF(ISNUMBER(Matching_Engine!$M$118),1,0)</f>
      </c>
      <c r="O118" s="18">
        <f>IF(NOT(ISNUMBER(IFERROR(INDEX(KOL_Source_Data!$V$22:KOL_Source_Data!$Z$22,1,MATCH(Brand_Profile!$I$11,Lookup_Lists!$F$6:$F$10,0)),""))),"N/A",MIN(100,ROUND((IFERROR(INDEX(KOL_Source_Data!$V$22:KOL_Source_Data!$Z$22,1,MATCH(Brand_Profile!$I$11,Lookup_Lists!$F$6:$F$10,0)),"")+0.5*IF(ISNUMBER(IFERROR(INDEX(KOL_Source_Data!$V$22:KOL_Source_Data!$Z$22,1,MATCH(Brand_Profile!$I$12,Lookup_Lists!$F$6:$F$10,0)),"")),IFERROR(INDEX(KOL_Source_Data!$V$22:KOL_Source_Data!$Z$22,1,MATCH(Brand_Profile!$I$12,Lookup_Lists!$F$6:$F$10,0)),""),0))/Lookup_Lists!$D$142*100,0)))</f>
      </c>
      <c r="P118" s="18">
        <f>IF(Brand_Profile!$I$13="Any",100,IF(NOT(ISNUMBER(KOL_Source_Data!$AA$22)),"N/A",IF(Brand_Profile!$I$13="Female",MIN(100,ROUND(KOL_Source_Data!$AA$22/Lookup_Lists!$D$143*100,0)),IF(Brand_Profile!$I$13="Male",MIN(100,ROUND(IF(ISNUMBER(KOL_Source_Data!$AB$22),KOL_Source_Data!$AB$22,100-KOL_Source_Data!$AA$22)/Lookup_Lists!$D$143*100,0)),MAX(0,ROUND(100-ABS(KOL_Source_Data!$AA$22-50)*2,0))))))</f>
      </c>
      <c r="Q118" s="18">
        <f>IF((IF(ISNUMBER(IF(NOT(ISNUMBER(KOL_Source_Data!$AE$22)),"N/A",IF(KOL_Source_Data!$AD$22&lt;&gt;Brand_Profile!$I$14,Lookup_Lists!$D$151,MIN(100,ROUND(KOL_Source_Data!$AE$22/Lookup_Lists!$D$316*100,0))))),Lookup_Lists!$D$118,0)+IF(ISNUMBER(IF(NOT(ISNUMBER(KOL_Source_Data!$AM$22)),"N/A",MIN(100,ROUND((IF(KOL_Source_Data!$AG$22=Brand_Profile!$I$15,IF(ISNUMBER(KOL_Source_Data!$AH$22),KOL_Source_Data!$AH$22,0),0)+IF(KOL_Source_Data!$AI$22=Brand_Profile!$I$15,IF(ISNUMBER(KOL_Source_Data!$AJ$22),KOL_Source_Data!$AJ$22,0),0)+IF(KOL_Source_Data!$AK$22=Brand_Profile!$I$15,IF(ISNUMBER(KOL_Source_Data!$AL$22),KOL_Source_Data!$AL$22,0),0))/Lookup_Lists!$D$317*100,0)))),Lookup_Lists!$D$120,0))=0,"N/A",ROUND((IF(ISNUMBER(IF(NOT(ISNUMBER(KOL_Source_Data!$AE$22)),"N/A",IF(KOL_Source_Data!$AD$22&lt;&gt;Brand_Profile!$I$14,Lookup_Lists!$D$151,MIN(100,ROUND(KOL_Source_Data!$AE$22/Lookup_Lists!$D$316*100,0))))),IF(NOT(ISNUMBER(KOL_Source_Data!$AE$22)),"N/A",IF(KOL_Source_Data!$AD$22&lt;&gt;Brand_Profile!$I$14,Lookup_Lists!$D$151,MIN(100,ROUND(KOL_Source_Data!$AE$22/Lookup_Lists!$D$316*100,0))))*Lookup_Lists!$D$118,0)+IF(ISNUMBER(IF(NOT(ISNUMBER(KOL_Source_Data!$AM$22)),"N/A",MIN(100,ROUND((IF(KOL_Source_Data!$AG$22=Brand_Profile!$I$15,IF(ISNUMBER(KOL_Source_Data!$AH$22),KOL_Source_Data!$AH$22,0),0)+IF(KOL_Source_Data!$AI$22=Brand_Profile!$I$15,IF(ISNUMBER(KOL_Source_Data!$AJ$22),KOL_Source_Data!$AJ$22,0),0)+IF(KOL_Source_Data!$AK$22=Brand_Profile!$I$15,IF(ISNUMBER(KOL_Source_Data!$AL$22),KOL_Source_Data!$AL$22,0),0))/Lookup_Lists!$D$317*100,0)))),IF(NOT(ISNUMBER(KOL_Source_Data!$AM$22)),"N/A",MIN(100,ROUND((IF(KOL_Source_Data!$AG$22=Brand_Profile!$I$15,IF(ISNUMBER(KOL_Source_Data!$AH$22),KOL_Source_Data!$AH$22,0),0)+IF(KOL_Source_Data!$AI$22=Brand_Profile!$I$15,IF(ISNUMBER(KOL_Source_Data!$AJ$22),KOL_Source_Data!$AJ$22,0),0)+IF(KOL_Source_Data!$AK$22=Brand_Profile!$I$15,IF(ISNUMBER(KOL_Source_Data!$AL$22),KOL_Source_Data!$AL$22,0),0))/Lookup_Lists!$D$317*100,0)))*Lookup_Lists!$D$120,0))/(IF(ISNUMBER(IF(NOT(ISNUMBER(KOL_Source_Data!$AE$22)),"N/A",IF(KOL_Source_Data!$AD$22&lt;&gt;Brand_Profile!$I$14,Lookup_Lists!$D$151,MIN(100,ROUND(KOL_Source_Data!$AE$22/Lookup_Lists!$D$316*100,0))))),Lookup_Lists!$D$118,0)+IF(ISNUMBER(IF(NOT(ISNUMBER(KOL_Source_Data!$AM$22)),"N/A",MIN(100,ROUND((IF(KOL_Source_Data!$AG$22=Brand_Profile!$I$15,IF(ISNUMBER(KOL_Source_Data!$AH$22),KOL_Source_Data!$AH$22,0),0)+IF(KOL_Source_Data!$AI$22=Brand_Profile!$I$15,IF(ISNUMBER(KOL_Source_Data!$AJ$22),KOL_Source_Data!$AJ$22,0),0)+IF(KOL_Source_Data!$AK$22=Brand_Profile!$I$15,IF(ISNUMBER(KOL_Source_Data!$AL$22),KOL_Source_Data!$AL$22,0),0))/Lookup_Lists!$D$317*100,0)))),Lookup_Lists!$D$120,0)),0))</f>
      </c>
      <c r="R118" s="18">
        <f>IF(NOT(ISNUMBER(KOL_Source_Data!$AN$22)),"N/A",MIN(100,ROUND((IF(ISNUMBER(KOL_Source_Data!$AO$22),KOL_Source_Data!$AO$22*Brand_Profile!$I$17,0)+IF(ISNUMBER(KOL_Source_Data!$AP$22),KOL_Source_Data!$AP$22*Brand_Profile!$I$18,0)+IF(ISNUMBER(KOL_Source_Data!$AQ$22),KOL_Source_Data!$AQ$22*Brand_Profile!$I$19,0)+IF(ISNUMBER(KOL_Source_Data!$AR$22),KOL_Source_Data!$AR$22*Brand_Profile!$I$20,0)+IF(ISNUMBER(KOL_Source_Data!$AS$22),KOL_Source_Data!$AS$22*Brand_Profile!$I$21,0)+IF(ISNUMBER(KOL_Source_Data!$AT$22),KOL_Source_Data!$AT$22*Brand_Profile!$I$22,0)+IF(ISNUMBER(KOL_Source_Data!$AU$22),KOL_Source_Data!$AU$22*Brand_Profile!$I$23,0)+IF(ISNUMBER(KOL_Source_Data!$AV$22),KOL_Source_Data!$AV$22*Brand_Profile!$I$24,0)+IF(ISNUMBER(KOL_Source_Data!$AW$22),KOL_Source_Data!$AW$22*Brand_Profile!$I$25,0)+IF(ISNUMBER(KOL_Source_Data!$AX$22),KOL_Source_Data!$AX$22*Brand_Profile!$I$26,0)+IF(ISNUMBER(KOL_Source_Data!$AY$22),KOL_Source_Data!$AY$22*Brand_Profile!$I$27,0)+IF(ISNUMBER(KOL_Source_Data!$AZ$22),KOL_Source_Data!$AZ$22*Brand_Profile!$I$28,0)+IF(ISNUMBER(KOL_Source_Data!$BA$22),KOL_Source_Data!$BA$22*Brand_Profile!$I$29,0)+IF(ISNUMBER(KOL_Source_Data!$BB$22),KOL_Source_Data!$BB$22*Brand_Profile!$I$30,0)+IF(ISNUMBER(KOL_Source_Data!$BC$22),KOL_Source_Data!$BC$22*Brand_Profile!$I$31,0)+IF(ISNUMBER(KOL_Source_Data!$BD$22),KOL_Source_Data!$BD$22*Brand_Profile!$I$32,0)+IF(ISNUMBER(KOL_Source_Data!$BE$22),KOL_Source_Data!$BE$22*Brand_Profile!$I$33,0)+IF(ISNUMBER(KOL_Source_Data!$BF$22),KOL_Source_Data!$BF$22*Brand_Profile!$I$34,0))/Lookup_Lists!$D$318*100,0)))</f>
      </c>
      <c r="S118" s="29">
        <f>IF((IF(ISNUMBER(Matching_Engine!$O$118),Lookup_Lists!$D$113,0)+IF(ISNUMBER(Matching_Engine!$P$118),Lookup_Lists!$D$114,0)+IF(ISNUMBER(Matching_Engine!$Q$118),Lookup_Lists!$D$115,0)+IF(ISNUMBER(Matching_Engine!$R$118),Lookup_Lists!$D$116,0))=0,"N/A",ROUND((IF(ISNUMBER(Matching_Engine!$O$118),Matching_Engine!$O$118*Lookup_Lists!$D$113,0)+IF(ISNUMBER(Matching_Engine!$P$118),Matching_Engine!$P$118*Lookup_Lists!$D$114,0)+IF(ISNUMBER(Matching_Engine!$Q$118),Matching_Engine!$Q$118*Lookup_Lists!$D$115,0)+IF(ISNUMBER(Matching_Engine!$R$118),Matching_Engine!$R$118*Lookup_Lists!$D$116,0))/(IF(ISNUMBER(Matching_Engine!$O$118),Lookup_Lists!$D$113,0)+IF(ISNUMBER(Matching_Engine!$P$118),Lookup_Lists!$D$114,0)+IF(ISNUMBER(Matching_Engine!$Q$118),Lookup_Lists!$D$115,0)+IF(ISNUMBER(Matching_Engine!$R$118),Lookup_Lists!$D$116,0)),0))</f>
      </c>
      <c r="T118" s="11">
        <f>IF(ISNUMBER(Matching_Engine!$S$118),1,0)</f>
      </c>
      <c r="U118" s="18">
        <f>IF(NOT(AND(ISTEXT(KOL_Source_Data!$M$22),KOL_Source_Data!$M$22&lt;&gt;"N/A")),Lookup_Lists!$D$150,IF(Brand_Profile!$I$7=KOL_Source_Data!$M$22,100,IFERROR(INDEX(Lookup_Lists!$B$349:$J$357,MATCH(Brand_Profile!$I$7,Lookup_Lists!$A$349:$A$357,0),MATCH(KOL_Source_Data!$M$22,Lookup_Lists!$B$348:$J$348,0)),Lookup_Lists!$D$151)))</f>
      </c>
      <c r="V118" s="18">
        <f>IF(NOT(AND(ISTEXT(KOL_Source_Data!$P$22),KOL_Source_Data!$P$22&lt;&gt;"N/A")),"N/A",IFERROR(INDEX(Lookup_Lists!$B$349:$J$357,MATCH(Brand_Profile!$I$7,Lookup_Lists!$A$349:$A$357,0),MATCH(KOL_Source_Data!$P$22,Lookup_Lists!$B$348:$J$348,0)),Lookup_Lists!$D$151))</f>
      </c>
      <c r="W118" s="18">
        <f>IF(LEN(TRIM(SUBSTITUTE(Matching_Engine!$BE$118,"|","")))=0,"N/A",IF(Brand_Profile!$I$60=0,Lookup_Lists!$D$150,ROUND((IF(Brand_Profile!$I$54="",0,IF(ISNUMBER(SEARCH(Brand_Profile!$I$54,Matching_Engine!$BE$118)),1,0))+IF(Brand_Profile!$I$55="",0,IF(ISNUMBER(SEARCH(Brand_Profile!$I$55,Matching_Engine!$BE$118)),1,0))+IF(Brand_Profile!$I$56="",0,IF(ISNUMBER(SEARCH(Brand_Profile!$I$56,Matching_Engine!$BE$118)),1,0))+IF(Brand_Profile!$I$57="",0,IF(ISNUMBER(SEARCH(Brand_Profile!$I$57,Matching_Engine!$BE$118)),1,0))+IF(Brand_Profile!$I$58="",0,IF(ISNUMBER(SEARCH(Brand_Profile!$I$58,Matching_Engine!$BE$118)),1,0))+IF(Brand_Profile!$I$59="",0,IF(ISNUMBER(SEARCH(Brand_Profile!$I$59,Matching_Engine!$BE$118)),1,0)))/Brand_Profile!$I$60*100,0)))</f>
      </c>
      <c r="X118" s="18">
        <f>IF(NOT(AND(ISTEXT(KOL_Source_Data!$Q$22),KOL_Source_Data!$Q$22&lt;&gt;"N/A")),"N/A",Lookup_Lists!$D$150)</f>
      </c>
      <c r="Y118" s="29">
        <f>IF((IF(ISNUMBER(Matching_Engine!$U$118),Lookup_Lists!$D$335,0)+IF(ISNUMBER(Matching_Engine!$V$118),Lookup_Lists!$D$122,0)+IF(ISNUMBER(Matching_Engine!$W$118),Lookup_Lists!$D$336,0)+IF(ISNUMBER(Matching_Engine!$X$118),Lookup_Lists!$D$124,0))=0,"N/A",ROUND((IF(ISNUMBER(Matching_Engine!$U$118),Matching_Engine!$U$118*Lookup_Lists!$D$335,0)+IF(ISNUMBER(Matching_Engine!$V$118),Matching_Engine!$V$118*Lookup_Lists!$D$122,0)+IF(ISNUMBER(Matching_Engine!$W$118),Matching_Engine!$W$118*Lookup_Lists!$D$336,0)+IF(ISNUMBER(Matching_Engine!$X$118),Matching_Engine!$X$118*Lookup_Lists!$D$124,0))/(IF(ISNUMBER(Matching_Engine!$U$118),Lookup_Lists!$D$335,0)+IF(ISNUMBER(Matching_Engine!$V$118),Lookup_Lists!$D$122,0)+IF(ISNUMBER(Matching_Engine!$W$118),Lookup_Lists!$D$336,0)+IF(ISNUMBER(Matching_Engine!$X$118),Lookup_Lists!$D$124,0)),0))</f>
      </c>
      <c r="Z118" s="11">
        <f>IF(ISNUMBER(Matching_Engine!$Y$118),1,0)</f>
      </c>
      <c r="AA118" s="18">
        <f>IF(NOT(AND(ISTEXT(KOL_Source_Data!$Q$22),KOL_Source_Data!$Q$22&lt;&gt;"N/A")),"N/A",Lookup_Lists!$D$150)</f>
      </c>
      <c r="AB118" s="18">
        <f>IF(NOT(AND(ISTEXT(KOL_Source_Data!$Q$22),KOL_Source_Data!$Q$22&lt;&gt;"N/A")),"N/A",Lookup_Lists!$D$150)</f>
      </c>
      <c r="AC118" s="18">
        <f>"N/A"</f>
      </c>
      <c r="AD118" s="18">
        <f>IF(NOT(AND(ISTEXT(KOL_Source_Data!$Q$22),KOL_Source_Data!$Q$22&lt;&gt;"N/A")),"N/A",Lookup_Lists!$D$150)</f>
      </c>
      <c r="AE118" s="29">
        <f>IF((IF(ISNUMBER(Matching_Engine!$AA$118),Lookup_Lists!$D$125,0)+IF(ISNUMBER(Matching_Engine!$AB$118),Lookup_Lists!$D$126,0)+IF(ISNUMBER(Matching_Engine!$AC$118),Lookup_Lists!$D$127,0)+IF(ISNUMBER(Matching_Engine!$AD$118),Lookup_Lists!$D$128,0))=0,"N/A",ROUND((IF(ISNUMBER(Matching_Engine!$AA$118),Matching_Engine!$AA$118*Lookup_Lists!$D$125,0)+IF(ISNUMBER(Matching_Engine!$AB$118),Matching_Engine!$AB$118*Lookup_Lists!$D$126,0)+IF(ISNUMBER(Matching_Engine!$AC$118),Matching_Engine!$AC$118*Lookup_Lists!$D$127,0)+IF(ISNUMBER(Matching_Engine!$AD$118),Matching_Engine!$AD$118*Lookup_Lists!$D$128,0))/(IF(ISNUMBER(Matching_Engine!$AA$118),Lookup_Lists!$D$125,0)+IF(ISNUMBER(Matching_Engine!$AB$118),Lookup_Lists!$D$126,0)+IF(ISNUMBER(Matching_Engine!$AC$118),Lookup_Lists!$D$127,0)+IF(ISNUMBER(Matching_Engine!$AD$118),Lookup_Lists!$D$128,0)),0))</f>
      </c>
      <c r="AF118" s="11">
        <f>IF(ISNUMBER(Matching_Engine!$AE$118),1,0)</f>
      </c>
      <c r="AG118" s="18">
        <f>IF(NOT(ISNUMBER(KOL_Source_Data!$BG$22)),"N/A",MIN(100,ROUND(KOL_Source_Data!$BG$22/IFERROR(INDEX(Lookup_Lists!$B$340:$B$344,MATCH(KOL_Source_Data!$H$22,Lookup_Lists!$A$340:$A$344,0)),Lookup_Lists!$D$141)*100,0)))</f>
      </c>
      <c r="AH118" s="18">
        <f>IF(NOT(ISNUMBER(KOL_Source_Data!$BS$22)),"N/A",MIN(100,MAX(0,KOL_Source_Data!$BS$22)))</f>
      </c>
      <c r="AI118" s="18">
        <f>IF(OR(NOT(ISNUMBER(KOL_Source_Data!$BM$22)),NOT(ISNUMBER(KOL_Source_Data!$BN$22)),KOL_Source_Data!$BN$22&lt;Lookup_Lists!$D$320),"N/A",MIN(100,ROUND(KOL_Source_Data!$BM$22/Lookup_Lists!$D$319*100,0)))</f>
      </c>
      <c r="AJ118" s="18">
        <f>IF(NOT(ISNUMBER(KOL_Source_Data!$BR$22)),"N/A",KOL_Source_Data!$BR$22)</f>
      </c>
      <c r="AK118" s="18">
        <f>IF(NOT(ISNUMBER(KOL_Source_Data!$BK$22)),"N/A",MIN(100,ROUND(KOL_Source_Data!$BK$22/Lookup_Lists!$D$321*100,0)))</f>
      </c>
      <c r="AL118" s="18">
        <f>IF(NOT(ISNUMBER(KOL_Source_Data!$BP$22)),"N/A",MIN(100,MAX(0,ROUND((KOL_Source_Data!$BP$22+2)/(Lookup_Lists!$D$145+2)*100,0))))</f>
      </c>
      <c r="AM118" s="29">
        <f>IF((IF(ISNUMBER(Matching_Engine!$AG$118),Lookup_Lists!$D$129,0)+IF(ISNUMBER(Matching_Engine!$AH$118),Lookup_Lists!$D$130,0)+IF(ISNUMBER(Matching_Engine!$AI$118),Lookup_Lists!$D$131,0)+IF(ISNUMBER(Matching_Engine!$AJ$118),Lookup_Lists!$D$132,0)+IF(ISNUMBER(Matching_Engine!$AK$118),Lookup_Lists!$D$133,0)+IF(ISNUMBER(Matching_Engine!$AL$118),Lookup_Lists!$D$134,0))=0,"N/A",ROUND((IF(ISNUMBER(Matching_Engine!$AG$118),Matching_Engine!$AG$118*Lookup_Lists!$D$129,0)+IF(ISNUMBER(Matching_Engine!$AH$118),Matching_Engine!$AH$118*Lookup_Lists!$D$130,0)+IF(ISNUMBER(Matching_Engine!$AI$118),Matching_Engine!$AI$118*Lookup_Lists!$D$131,0)+IF(ISNUMBER(Matching_Engine!$AJ$118),Matching_Engine!$AJ$118*Lookup_Lists!$D$132,0)+IF(ISNUMBER(Matching_Engine!$AK$118),Matching_Engine!$AK$118*Lookup_Lists!$D$133,0)+IF(ISNUMBER(Matching_Engine!$AL$118),Matching_Engine!$AL$118*Lookup_Lists!$D$134,0))/(IF(ISNUMBER(Matching_Engine!$AG$118),Lookup_Lists!$D$129,0)+IF(ISNUMBER(Matching_Engine!$AH$118),Lookup_Lists!$D$130,0)+IF(ISNUMBER(Matching_Engine!$AI$118),Lookup_Lists!$D$131,0)+IF(ISNUMBER(Matching_Engine!$AJ$118),Lookup_Lists!$D$132,0)+IF(ISNUMBER(Matching_Engine!$AK$118),Lookup_Lists!$D$133,0)+IF(ISNUMBER(Matching_Engine!$AL$118),Lookup_Lists!$D$134,0)),0))</f>
      </c>
      <c r="AN118" s="11">
        <f>IF(ISNUMBER(Matching_Engine!$AM$118),1,0)</f>
      </c>
      <c r="AO118" s="18">
        <f>IF(NOT(ISNUMBER(KOL_Source_Data!$BT$22)),"N/A",MIN(100,MAX(0,KOL_Source_Data!$BT$22)))</f>
      </c>
      <c r="AP118" s="18">
        <f>IF(NOT(ISNUMBER(KOL_Source_Data!$BU$22)),"N/A",MIN(100,MAX(0,KOL_Source_Data!$BU$22)))</f>
      </c>
      <c r="AQ118" s="18">
        <f>IF(KOL_Source_Data!$I$22="Yes",Lookup_Lists!$D$326,IF(KOL_Source_Data!$I$22="No",Lookup_Lists!$D$327,"N/A"))</f>
      </c>
      <c r="AR118" s="18">
        <f>IF(NOT(ISNUMBER(KOL_Source_Data!$BQ$22)),"N/A",MAX(0,ROUND(100-KOL_Source_Data!$BQ$22/Lookup_Lists!$D$328*100,0)))</f>
      </c>
      <c r="AS118" s="18">
        <f>IF(NOT(AND(ISTEXT(KOL_Source_Data!$BV$22),KOL_Source_Data!$BV$22&lt;&gt;"N/A")),"N/A",KOL_Source_Data!$BV$22)</f>
      </c>
      <c r="AT118" s="29">
        <f>IF((IF(ISNUMBER(Matching_Engine!$AO$118),Lookup_Lists!$D$322,0)+IF(ISNUMBER(Matching_Engine!$AP$118),Lookup_Lists!$D$323,0)+IF(ISNUMBER(Matching_Engine!$AQ$118),Lookup_Lists!$D$324,0)+IF(ISNUMBER(Matching_Engine!$AR$118),Lookup_Lists!$D$325,0))=0,"N/A",ROUND((IF(ISNUMBER(Matching_Engine!$AO$118),Matching_Engine!$AO$118*Lookup_Lists!$D$322,0)+IF(ISNUMBER(Matching_Engine!$AP$118),Matching_Engine!$AP$118*Lookup_Lists!$D$323,0)+IF(ISNUMBER(Matching_Engine!$AQ$118),Matching_Engine!$AQ$118*Lookup_Lists!$D$324,0)+IF(ISNUMBER(Matching_Engine!$AR$118),Matching_Engine!$AR$118*Lookup_Lists!$D$325,0))/(IF(ISNUMBER(Matching_Engine!$AO$118),Lookup_Lists!$D$322,0)+IF(ISNUMBER(Matching_Engine!$AP$118),Lookup_Lists!$D$323,0)+IF(ISNUMBER(Matching_Engine!$AQ$118),Lookup_Lists!$D$324,0)+IF(ISNUMBER(Matching_Engine!$AR$118),Lookup_Lists!$D$325,0)),0))</f>
      </c>
      <c r="AU118" s="11">
        <f>IF(ISNUMBER(Matching_Engine!$AT$118),1,0)</f>
      </c>
      <c r="AV118" s="11">
        <f>IF(NOT(ISNUMBER(Matching_Engine!$AT$118)),"Not Screened",IF(Matching_Engine!$AT$118&gt;=Lookup_Lists!$D$329,"Low Risk",IF(Matching_Engine!$AT$118&gt;=Lookup_Lists!$D$330,"Moderate Risk",IF(Matching_Engine!$AT$118&gt;=Lookup_Lists!$D$331,"Elevated Risk","High Risk"))))</f>
      </c>
      <c r="AW118" s="11">
        <f>IF(NOT(ISNUMBER(Matching_Engine!$AT$118)),"No integrity signal: no audience-analysis row for this account.","Integrity screen only — no content-risk reading exists (comments_analysis: 0 rows). "&amp;IF(ISNUMBER(Matching_Engine!$AO$118),"Authenticity "&amp;Matching_Engine!$AO$118&amp;". ","Authenticity N/A. ")&amp;IF(ISNUMBER(Matching_Engine!$AP$118),"Follower quality "&amp;Matching_Engine!$AP$118&amp;". ","Follower quality N/A. ")&amp;IF(KOL_Source_Data!$I$22="Yes","Platform-verified.","Not platform-verified."))</f>
      </c>
      <c r="AX118" s="18">
        <f>Matching_Engine!$N$118*Lookup_Lists!$D$104+Matching_Engine!$T$118*Lookup_Lists!$D$105+Matching_Engine!$Z$118*Lookup_Lists!$D$106+Matching_Engine!$AF$118*Lookup_Lists!$D$107+Matching_Engine!$AN$118*Lookup_Lists!$D$108+Matching_Engine!$AU$118*Lookup_Lists!$D$109</f>
      </c>
      <c r="AY118" s="30">
        <f>IF(Matching_Engine!$AX$118=0,"N/A",ROUND((IF(Matching_Engine!$N$118=1,Matching_Engine!$M$118*Lookup_Lists!$D$104,0)+IF(Matching_Engine!$T$118=1,Matching_Engine!$S$118*Lookup_Lists!$D$105,0)+IF(Matching_Engine!$Z$118=1,Matching_Engine!$Y$118*Lookup_Lists!$D$106,0)+IF(Matching_Engine!$AF$118=1,Matching_Engine!$AE$118*Lookup_Lists!$D$107,0)+IF(Matching_Engine!$AN$118=1,Matching_Engine!$AM$118*Lookup_Lists!$D$108,0)+IF(Matching_Engine!$AU$118=1,Matching_Engine!$AT$118*Lookup_Lists!$D$109,0))/Matching_Engine!$AX$118,0))</f>
      </c>
      <c r="AZ118" s="11">
        <f>IF(NOT(ISNUMBER(Matching_Engine!$AY$118)),"Not Scored",IF(Matching_Engine!$AY$118&gt;=Lookup_Lists!$D$152,"Excellent Match",IF(Matching_Engine!$AY$118&gt;=Lookup_Lists!$D$153,"Strong Match",IF(Matching_Engine!$AY$118&gt;=Lookup_Lists!$D$154,"Good Match",IF(Matching_Engine!$AY$118&gt;=Lookup_Lists!$D$155,"Moderate Match","Low Match")))))</f>
      </c>
      <c r="BA118" s="18">
        <f>KOL_Source_Data!$BW$22</f>
      </c>
      <c r="BB118" s="11">
        <f>KOL_Source_Data!$BX$22</f>
      </c>
      <c r="BC118" s="18">
        <f>IF(NOT(ISNUMBER(Matching_Engine!$AY$118)),-1,Matching_Engine!$AY$118*1000+8)</f>
      </c>
      <c r="BD118" s="11">
        <f>IF(AND(ISTEXT(KOL_Source_Data!$S$22),KOL_Source_Data!$S$22&lt;&gt;"N/A"),KOL_Source_Data!$S$22,"")&amp;" | "&amp;IF(AND(ISTEXT(KOL_Source_Data!$T$22),KOL_Source_Data!$T$22&lt;&gt;"N/A"),KOL_Source_Data!$T$22,"")&amp;" | "&amp;IF(AND(ISTEXT(KOL_Source_Data!$N$22),KOL_Source_Data!$N$22&lt;&gt;"N/A"),KOL_Source_Data!$N$22,"")&amp;" | "&amp;IF(AND(ISTEXT(KOL_Source_Data!$K$22),KOL_Source_Data!$K$22&lt;&gt;"N/A"),KOL_Source_Data!$K$22,"")&amp;" | "&amp;IF(AND(ISTEXT(KOL_Source_Data!$J$22),KOL_Source_Data!$J$22&lt;&gt;"N/A"),KOL_Source_Data!$J$22,"")</f>
      </c>
      <c r="BE118" s="11">
        <f>IF(AND(ISTEXT(KOL_Source_Data!$T$22),KOL_Source_Data!$T$22&lt;&gt;"N/A"),KOL_Source_Data!$T$22,"")&amp;" | "&amp;IF(AND(ISTEXT(KOL_Source_Data!$N$22),KOL_Source_Data!$N$22&lt;&gt;"N/A"),KOL_Source_Data!$N$22,"")&amp;" | "&amp;IF(AND(ISTEXT(KOL_Source_Data!$O$22),KOL_Source_Data!$O$22&lt;&gt;"N/A"),KOL_Source_Data!$O$22,"")&amp;" | "&amp;IF(AND(ISTEXT(KOL_Source_Data!$S$22),KOL_Source_Data!$S$22&lt;&gt;"N/A"),KOL_Source_Data!$S$22,"")</f>
      </c>
      <c r="BF118" s="11">
        <f>IF(AND(ISTEXT(KOL_Source_Data!$U$22),KOL_Source_Data!$U$22&lt;&gt;"N/A"),KOL_Source_Data!$U$22,"")</f>
      </c>
      <c r="BG118" s="11">
        <f>Matching_Engine!$A$118&amp;"|"&amp;Matching_Engine!$C$118</f>
      </c>
    </row>
    <row r="119" spans="1:59" x14ac:dyDescent="0.25">
      <c r="A119" s="10" t="s">
        <v>394</v>
      </c>
      <c r="B119" s="11">
        <f>Brand_Profile!$I$6</f>
      </c>
      <c r="C119" s="11">
        <f>KOL_Source_Data!$A$23</f>
      </c>
      <c r="D119" s="11">
        <f>KOL_Source_Data!$C$23</f>
      </c>
      <c r="E119" s="11">
        <f>KOL_Source_Data!$D$23</f>
      </c>
      <c r="F119" s="11">
        <f>KOL_Source_Data!$E$23</f>
      </c>
      <c r="G119" s="11">
        <f>KOL_Source_Data!$K$23</f>
      </c>
      <c r="H119" s="12">
        <f>KOL_Source_Data!$G$23</f>
      </c>
      <c r="I119" s="14">
        <f>KOL_Source_Data!$BG$23</f>
      </c>
      <c r="J119" s="18">
        <f>IF(NOT(AND(ISTEXT(KOL_Source_Data!$K$23),KOL_Source_Data!$K$23&lt;&gt;"N/A")),Lookup_Lists!$D$150,IF(Brand_Profile!$I$7=KOL_Source_Data!$K$23,100,IFERROR(INDEX(Lookup_Lists!$B$349:$J$357,MATCH(Brand_Profile!$I$7,Lookup_Lists!$A$349:$A$357,0),MATCH(KOL_Source_Data!$K$23,Lookup_Lists!$B$348:$J$348,0)),Lookup_Lists!$D$151)))</f>
      </c>
      <c r="K119" s="18">
        <f>IF(LEN(TRIM(SUBSTITUTE(Matching_Engine!$BD$119,"|","")))=0,"N/A",IF(Brand_Profile!$I$47=0,Lookup_Lists!$D$150,ROUND((IF(Brand_Profile!$I$41="",0,IF(ISNUMBER(SEARCH(Brand_Profile!$I$41,Matching_Engine!$BD$119)),1,0))+IF(Brand_Profile!$I$42="",0,IF(ISNUMBER(SEARCH(Brand_Profile!$I$42,Matching_Engine!$BD$119)),1,0))+IF(Brand_Profile!$I$43="",0,IF(ISNUMBER(SEARCH(Brand_Profile!$I$43,Matching_Engine!$BD$119)),1,0))+IF(Brand_Profile!$I$44="",0,IF(ISNUMBER(SEARCH(Brand_Profile!$I$44,Matching_Engine!$BD$119)),1,0))+IF(Brand_Profile!$I$45="",0,IF(ISNUMBER(SEARCH(Brand_Profile!$I$45,Matching_Engine!$BD$119)),1,0))+IF(Brand_Profile!$I$46="",0,IF(ISNUMBER(SEARCH(Brand_Profile!$I$46,Matching_Engine!$BD$119)),1,0)))/Brand_Profile!$I$47*100,0)))</f>
      </c>
      <c r="L119" s="18">
        <f>IF(NOT(AND(ISTEXT(KOL_Source_Data!$U$23),KOL_Source_Data!$U$23&lt;&gt;"N/A")),"N/A",IF(Brand_Profile!$I$53=0,Lookup_Lists!$D$150,ROUND((IF(Brand_Profile!$I$48="",0,IF(ISNUMBER(SEARCH(Brand_Profile!$I$48,Matching_Engine!$BF$119)),1,0))+IF(Brand_Profile!$I$49="",0,IF(ISNUMBER(SEARCH(Brand_Profile!$I$49,Matching_Engine!$BF$119)),1,0))+IF(Brand_Profile!$I$50="",0,IF(ISNUMBER(SEARCH(Brand_Profile!$I$50,Matching_Engine!$BF$119)),1,0))+IF(Brand_Profile!$I$51="",0,IF(ISNUMBER(SEARCH(Brand_Profile!$I$51,Matching_Engine!$BF$119)),1,0))+IF(Brand_Profile!$I$52="",0,IF(ISNUMBER(SEARCH(Brand_Profile!$I$52,Matching_Engine!$BF$119)),1,0)))/Brand_Profile!$I$53*100,0)))</f>
      </c>
      <c r="M119" s="29">
        <f>IF((IF(ISNUMBER(Matching_Engine!$J$119),Lookup_Lists!$D$332,0)+IF(ISNUMBER(Matching_Engine!$K$119),Lookup_Lists!$D$333,0)+IF(ISNUMBER(Matching_Engine!$L$119),Lookup_Lists!$D$334,0))=0,"N/A",ROUND((IF(ISNUMBER(Matching_Engine!$J$119),Matching_Engine!$J$119*Lookup_Lists!$D$332,0)+IF(ISNUMBER(Matching_Engine!$K$119),Matching_Engine!$K$119*Lookup_Lists!$D$333,0)+IF(ISNUMBER(Matching_Engine!$L$119),Matching_Engine!$L$119*Lookup_Lists!$D$334,0))/(IF(ISNUMBER(Matching_Engine!$J$119),Lookup_Lists!$D$332,0)+IF(ISNUMBER(Matching_Engine!$K$119),Lookup_Lists!$D$333,0)+IF(ISNUMBER(Matching_Engine!$L$119),Lookup_Lists!$D$334,0)),0))</f>
      </c>
      <c r="N119" s="11">
        <f>IF(ISNUMBER(Matching_Engine!$M$119),1,0)</f>
      </c>
      <c r="O119" s="18">
        <f>IF(NOT(ISNUMBER(IFERROR(INDEX(KOL_Source_Data!$V$23:KOL_Source_Data!$Z$23,1,MATCH(Brand_Profile!$I$11,Lookup_Lists!$F$6:$F$10,0)),""))),"N/A",MIN(100,ROUND((IFERROR(INDEX(KOL_Source_Data!$V$23:KOL_Source_Data!$Z$23,1,MATCH(Brand_Profile!$I$11,Lookup_Lists!$F$6:$F$10,0)),"")+0.5*IF(ISNUMBER(IFERROR(INDEX(KOL_Source_Data!$V$23:KOL_Source_Data!$Z$23,1,MATCH(Brand_Profile!$I$12,Lookup_Lists!$F$6:$F$10,0)),"")),IFERROR(INDEX(KOL_Source_Data!$V$23:KOL_Source_Data!$Z$23,1,MATCH(Brand_Profile!$I$12,Lookup_Lists!$F$6:$F$10,0)),""),0))/Lookup_Lists!$D$142*100,0)))</f>
      </c>
      <c r="P119" s="18">
        <f>IF(Brand_Profile!$I$13="Any",100,IF(NOT(ISNUMBER(KOL_Source_Data!$AA$23)),"N/A",IF(Brand_Profile!$I$13="Female",MIN(100,ROUND(KOL_Source_Data!$AA$23/Lookup_Lists!$D$143*100,0)),IF(Brand_Profile!$I$13="Male",MIN(100,ROUND(IF(ISNUMBER(KOL_Source_Data!$AB$23),KOL_Source_Data!$AB$23,100-KOL_Source_Data!$AA$23)/Lookup_Lists!$D$143*100,0)),MAX(0,ROUND(100-ABS(KOL_Source_Data!$AA$23-50)*2,0))))))</f>
      </c>
      <c r="Q119" s="18">
        <f>IF((IF(ISNUMBER(IF(NOT(ISNUMBER(KOL_Source_Data!$AE$23)),"N/A",IF(KOL_Source_Data!$AD$23&lt;&gt;Brand_Profile!$I$14,Lookup_Lists!$D$151,MIN(100,ROUND(KOL_Source_Data!$AE$23/Lookup_Lists!$D$316*100,0))))),Lookup_Lists!$D$118,0)+IF(ISNUMBER(IF(NOT(ISNUMBER(KOL_Source_Data!$AM$23)),"N/A",MIN(100,ROUND((IF(KOL_Source_Data!$AG$23=Brand_Profile!$I$15,IF(ISNUMBER(KOL_Source_Data!$AH$23),KOL_Source_Data!$AH$23,0),0)+IF(KOL_Source_Data!$AI$23=Brand_Profile!$I$15,IF(ISNUMBER(KOL_Source_Data!$AJ$23),KOL_Source_Data!$AJ$23,0),0)+IF(KOL_Source_Data!$AK$23=Brand_Profile!$I$15,IF(ISNUMBER(KOL_Source_Data!$AL$23),KOL_Source_Data!$AL$23,0),0))/Lookup_Lists!$D$317*100,0)))),Lookup_Lists!$D$120,0))=0,"N/A",ROUND((IF(ISNUMBER(IF(NOT(ISNUMBER(KOL_Source_Data!$AE$23)),"N/A",IF(KOL_Source_Data!$AD$23&lt;&gt;Brand_Profile!$I$14,Lookup_Lists!$D$151,MIN(100,ROUND(KOL_Source_Data!$AE$23/Lookup_Lists!$D$316*100,0))))),IF(NOT(ISNUMBER(KOL_Source_Data!$AE$23)),"N/A",IF(KOL_Source_Data!$AD$23&lt;&gt;Brand_Profile!$I$14,Lookup_Lists!$D$151,MIN(100,ROUND(KOL_Source_Data!$AE$23/Lookup_Lists!$D$316*100,0))))*Lookup_Lists!$D$118,0)+IF(ISNUMBER(IF(NOT(ISNUMBER(KOL_Source_Data!$AM$23)),"N/A",MIN(100,ROUND((IF(KOL_Source_Data!$AG$23=Brand_Profile!$I$15,IF(ISNUMBER(KOL_Source_Data!$AH$23),KOL_Source_Data!$AH$23,0),0)+IF(KOL_Source_Data!$AI$23=Brand_Profile!$I$15,IF(ISNUMBER(KOL_Source_Data!$AJ$23),KOL_Source_Data!$AJ$23,0),0)+IF(KOL_Source_Data!$AK$23=Brand_Profile!$I$15,IF(ISNUMBER(KOL_Source_Data!$AL$23),KOL_Source_Data!$AL$23,0),0))/Lookup_Lists!$D$317*100,0)))),IF(NOT(ISNUMBER(KOL_Source_Data!$AM$23)),"N/A",MIN(100,ROUND((IF(KOL_Source_Data!$AG$23=Brand_Profile!$I$15,IF(ISNUMBER(KOL_Source_Data!$AH$23),KOL_Source_Data!$AH$23,0),0)+IF(KOL_Source_Data!$AI$23=Brand_Profile!$I$15,IF(ISNUMBER(KOL_Source_Data!$AJ$23),KOL_Source_Data!$AJ$23,0),0)+IF(KOL_Source_Data!$AK$23=Brand_Profile!$I$15,IF(ISNUMBER(KOL_Source_Data!$AL$23),KOL_Source_Data!$AL$23,0),0))/Lookup_Lists!$D$317*100,0)))*Lookup_Lists!$D$120,0))/(IF(ISNUMBER(IF(NOT(ISNUMBER(KOL_Source_Data!$AE$23)),"N/A",IF(KOL_Source_Data!$AD$23&lt;&gt;Brand_Profile!$I$14,Lookup_Lists!$D$151,MIN(100,ROUND(KOL_Source_Data!$AE$23/Lookup_Lists!$D$316*100,0))))),Lookup_Lists!$D$118,0)+IF(ISNUMBER(IF(NOT(ISNUMBER(KOL_Source_Data!$AM$23)),"N/A",MIN(100,ROUND((IF(KOL_Source_Data!$AG$23=Brand_Profile!$I$15,IF(ISNUMBER(KOL_Source_Data!$AH$23),KOL_Source_Data!$AH$23,0),0)+IF(KOL_Source_Data!$AI$23=Brand_Profile!$I$15,IF(ISNUMBER(KOL_Source_Data!$AJ$23),KOL_Source_Data!$AJ$23,0),0)+IF(KOL_Source_Data!$AK$23=Brand_Profile!$I$15,IF(ISNUMBER(KOL_Source_Data!$AL$23),KOL_Source_Data!$AL$23,0),0))/Lookup_Lists!$D$317*100,0)))),Lookup_Lists!$D$120,0)),0))</f>
      </c>
      <c r="R119" s="18">
        <f>IF(NOT(ISNUMBER(KOL_Source_Data!$AN$23)),"N/A",MIN(100,ROUND((IF(ISNUMBER(KOL_Source_Data!$AO$23),KOL_Source_Data!$AO$23*Brand_Profile!$I$17,0)+IF(ISNUMBER(KOL_Source_Data!$AP$23),KOL_Source_Data!$AP$23*Brand_Profile!$I$18,0)+IF(ISNUMBER(KOL_Source_Data!$AQ$23),KOL_Source_Data!$AQ$23*Brand_Profile!$I$19,0)+IF(ISNUMBER(KOL_Source_Data!$AR$23),KOL_Source_Data!$AR$23*Brand_Profile!$I$20,0)+IF(ISNUMBER(KOL_Source_Data!$AS$23),KOL_Source_Data!$AS$23*Brand_Profile!$I$21,0)+IF(ISNUMBER(KOL_Source_Data!$AT$23),KOL_Source_Data!$AT$23*Brand_Profile!$I$22,0)+IF(ISNUMBER(KOL_Source_Data!$AU$23),KOL_Source_Data!$AU$23*Brand_Profile!$I$23,0)+IF(ISNUMBER(KOL_Source_Data!$AV$23),KOL_Source_Data!$AV$23*Brand_Profile!$I$24,0)+IF(ISNUMBER(KOL_Source_Data!$AW$23),KOL_Source_Data!$AW$23*Brand_Profile!$I$25,0)+IF(ISNUMBER(KOL_Source_Data!$AX$23),KOL_Source_Data!$AX$23*Brand_Profile!$I$26,0)+IF(ISNUMBER(KOL_Source_Data!$AY$23),KOL_Source_Data!$AY$23*Brand_Profile!$I$27,0)+IF(ISNUMBER(KOL_Source_Data!$AZ$23),KOL_Source_Data!$AZ$23*Brand_Profile!$I$28,0)+IF(ISNUMBER(KOL_Source_Data!$BA$23),KOL_Source_Data!$BA$23*Brand_Profile!$I$29,0)+IF(ISNUMBER(KOL_Source_Data!$BB$23),KOL_Source_Data!$BB$23*Brand_Profile!$I$30,0)+IF(ISNUMBER(KOL_Source_Data!$BC$23),KOL_Source_Data!$BC$23*Brand_Profile!$I$31,0)+IF(ISNUMBER(KOL_Source_Data!$BD$23),KOL_Source_Data!$BD$23*Brand_Profile!$I$32,0)+IF(ISNUMBER(KOL_Source_Data!$BE$23),KOL_Source_Data!$BE$23*Brand_Profile!$I$33,0)+IF(ISNUMBER(KOL_Source_Data!$BF$23),KOL_Source_Data!$BF$23*Brand_Profile!$I$34,0))/Lookup_Lists!$D$318*100,0)))</f>
      </c>
      <c r="S119" s="29">
        <f>IF((IF(ISNUMBER(Matching_Engine!$O$119),Lookup_Lists!$D$113,0)+IF(ISNUMBER(Matching_Engine!$P$119),Lookup_Lists!$D$114,0)+IF(ISNUMBER(Matching_Engine!$Q$119),Lookup_Lists!$D$115,0)+IF(ISNUMBER(Matching_Engine!$R$119),Lookup_Lists!$D$116,0))=0,"N/A",ROUND((IF(ISNUMBER(Matching_Engine!$O$119),Matching_Engine!$O$119*Lookup_Lists!$D$113,0)+IF(ISNUMBER(Matching_Engine!$P$119),Matching_Engine!$P$119*Lookup_Lists!$D$114,0)+IF(ISNUMBER(Matching_Engine!$Q$119),Matching_Engine!$Q$119*Lookup_Lists!$D$115,0)+IF(ISNUMBER(Matching_Engine!$R$119),Matching_Engine!$R$119*Lookup_Lists!$D$116,0))/(IF(ISNUMBER(Matching_Engine!$O$119),Lookup_Lists!$D$113,0)+IF(ISNUMBER(Matching_Engine!$P$119),Lookup_Lists!$D$114,0)+IF(ISNUMBER(Matching_Engine!$Q$119),Lookup_Lists!$D$115,0)+IF(ISNUMBER(Matching_Engine!$R$119),Lookup_Lists!$D$116,0)),0))</f>
      </c>
      <c r="T119" s="11">
        <f>IF(ISNUMBER(Matching_Engine!$S$119),1,0)</f>
      </c>
      <c r="U119" s="18">
        <f>IF(NOT(AND(ISTEXT(KOL_Source_Data!$M$23),KOL_Source_Data!$M$23&lt;&gt;"N/A")),Lookup_Lists!$D$150,IF(Brand_Profile!$I$7=KOL_Source_Data!$M$23,100,IFERROR(INDEX(Lookup_Lists!$B$349:$J$357,MATCH(Brand_Profile!$I$7,Lookup_Lists!$A$349:$A$357,0),MATCH(KOL_Source_Data!$M$23,Lookup_Lists!$B$348:$J$348,0)),Lookup_Lists!$D$151)))</f>
      </c>
      <c r="V119" s="18">
        <f>IF(NOT(AND(ISTEXT(KOL_Source_Data!$P$23),KOL_Source_Data!$P$23&lt;&gt;"N/A")),"N/A",IFERROR(INDEX(Lookup_Lists!$B$349:$J$357,MATCH(Brand_Profile!$I$7,Lookup_Lists!$A$349:$A$357,0),MATCH(KOL_Source_Data!$P$23,Lookup_Lists!$B$348:$J$348,0)),Lookup_Lists!$D$151))</f>
      </c>
      <c r="W119" s="18">
        <f>IF(LEN(TRIM(SUBSTITUTE(Matching_Engine!$BE$119,"|","")))=0,"N/A",IF(Brand_Profile!$I$60=0,Lookup_Lists!$D$150,ROUND((IF(Brand_Profile!$I$54="",0,IF(ISNUMBER(SEARCH(Brand_Profile!$I$54,Matching_Engine!$BE$119)),1,0))+IF(Brand_Profile!$I$55="",0,IF(ISNUMBER(SEARCH(Brand_Profile!$I$55,Matching_Engine!$BE$119)),1,0))+IF(Brand_Profile!$I$56="",0,IF(ISNUMBER(SEARCH(Brand_Profile!$I$56,Matching_Engine!$BE$119)),1,0))+IF(Brand_Profile!$I$57="",0,IF(ISNUMBER(SEARCH(Brand_Profile!$I$57,Matching_Engine!$BE$119)),1,0))+IF(Brand_Profile!$I$58="",0,IF(ISNUMBER(SEARCH(Brand_Profile!$I$58,Matching_Engine!$BE$119)),1,0))+IF(Brand_Profile!$I$59="",0,IF(ISNUMBER(SEARCH(Brand_Profile!$I$59,Matching_Engine!$BE$119)),1,0)))/Brand_Profile!$I$60*100,0)))</f>
      </c>
      <c r="X119" s="18">
        <f>IF(NOT(AND(ISTEXT(KOL_Source_Data!$Q$23),KOL_Source_Data!$Q$23&lt;&gt;"N/A")),"N/A",Lookup_Lists!$D$150)</f>
      </c>
      <c r="Y119" s="29">
        <f>IF((IF(ISNUMBER(Matching_Engine!$U$119),Lookup_Lists!$D$335,0)+IF(ISNUMBER(Matching_Engine!$V$119),Lookup_Lists!$D$122,0)+IF(ISNUMBER(Matching_Engine!$W$119),Lookup_Lists!$D$336,0)+IF(ISNUMBER(Matching_Engine!$X$119),Lookup_Lists!$D$124,0))=0,"N/A",ROUND((IF(ISNUMBER(Matching_Engine!$U$119),Matching_Engine!$U$119*Lookup_Lists!$D$335,0)+IF(ISNUMBER(Matching_Engine!$V$119),Matching_Engine!$V$119*Lookup_Lists!$D$122,0)+IF(ISNUMBER(Matching_Engine!$W$119),Matching_Engine!$W$119*Lookup_Lists!$D$336,0)+IF(ISNUMBER(Matching_Engine!$X$119),Matching_Engine!$X$119*Lookup_Lists!$D$124,0))/(IF(ISNUMBER(Matching_Engine!$U$119),Lookup_Lists!$D$335,0)+IF(ISNUMBER(Matching_Engine!$V$119),Lookup_Lists!$D$122,0)+IF(ISNUMBER(Matching_Engine!$W$119),Lookup_Lists!$D$336,0)+IF(ISNUMBER(Matching_Engine!$X$119),Lookup_Lists!$D$124,0)),0))</f>
      </c>
      <c r="Z119" s="11">
        <f>IF(ISNUMBER(Matching_Engine!$Y$119),1,0)</f>
      </c>
      <c r="AA119" s="18">
        <f>IF(NOT(AND(ISTEXT(KOL_Source_Data!$Q$23),KOL_Source_Data!$Q$23&lt;&gt;"N/A")),"N/A",Lookup_Lists!$D$150)</f>
      </c>
      <c r="AB119" s="18">
        <f>IF(NOT(AND(ISTEXT(KOL_Source_Data!$Q$23),KOL_Source_Data!$Q$23&lt;&gt;"N/A")),"N/A",Lookup_Lists!$D$150)</f>
      </c>
      <c r="AC119" s="18">
        <f>"N/A"</f>
      </c>
      <c r="AD119" s="18">
        <f>IF(NOT(AND(ISTEXT(KOL_Source_Data!$Q$23),KOL_Source_Data!$Q$23&lt;&gt;"N/A")),"N/A",Lookup_Lists!$D$150)</f>
      </c>
      <c r="AE119" s="29">
        <f>IF((IF(ISNUMBER(Matching_Engine!$AA$119),Lookup_Lists!$D$125,0)+IF(ISNUMBER(Matching_Engine!$AB$119),Lookup_Lists!$D$126,0)+IF(ISNUMBER(Matching_Engine!$AC$119),Lookup_Lists!$D$127,0)+IF(ISNUMBER(Matching_Engine!$AD$119),Lookup_Lists!$D$128,0))=0,"N/A",ROUND((IF(ISNUMBER(Matching_Engine!$AA$119),Matching_Engine!$AA$119*Lookup_Lists!$D$125,0)+IF(ISNUMBER(Matching_Engine!$AB$119),Matching_Engine!$AB$119*Lookup_Lists!$D$126,0)+IF(ISNUMBER(Matching_Engine!$AC$119),Matching_Engine!$AC$119*Lookup_Lists!$D$127,0)+IF(ISNUMBER(Matching_Engine!$AD$119),Matching_Engine!$AD$119*Lookup_Lists!$D$128,0))/(IF(ISNUMBER(Matching_Engine!$AA$119),Lookup_Lists!$D$125,0)+IF(ISNUMBER(Matching_Engine!$AB$119),Lookup_Lists!$D$126,0)+IF(ISNUMBER(Matching_Engine!$AC$119),Lookup_Lists!$D$127,0)+IF(ISNUMBER(Matching_Engine!$AD$119),Lookup_Lists!$D$128,0)),0))</f>
      </c>
      <c r="AF119" s="11">
        <f>IF(ISNUMBER(Matching_Engine!$AE$119),1,0)</f>
      </c>
      <c r="AG119" s="18">
        <f>IF(NOT(ISNUMBER(KOL_Source_Data!$BG$23)),"N/A",MIN(100,ROUND(KOL_Source_Data!$BG$23/IFERROR(INDEX(Lookup_Lists!$B$340:$B$344,MATCH(KOL_Source_Data!$H$23,Lookup_Lists!$A$340:$A$344,0)),Lookup_Lists!$D$141)*100,0)))</f>
      </c>
      <c r="AH119" s="18">
        <f>IF(NOT(ISNUMBER(KOL_Source_Data!$BS$23)),"N/A",MIN(100,MAX(0,KOL_Source_Data!$BS$23)))</f>
      </c>
      <c r="AI119" s="18">
        <f>IF(OR(NOT(ISNUMBER(KOL_Source_Data!$BM$23)),NOT(ISNUMBER(KOL_Source_Data!$BN$23)),KOL_Source_Data!$BN$23&lt;Lookup_Lists!$D$320),"N/A",MIN(100,ROUND(KOL_Source_Data!$BM$23/Lookup_Lists!$D$319*100,0)))</f>
      </c>
      <c r="AJ119" s="18">
        <f>IF(NOT(ISNUMBER(KOL_Source_Data!$BR$23)),"N/A",KOL_Source_Data!$BR$23)</f>
      </c>
      <c r="AK119" s="18">
        <f>IF(NOT(ISNUMBER(KOL_Source_Data!$BK$23)),"N/A",MIN(100,ROUND(KOL_Source_Data!$BK$23/Lookup_Lists!$D$321*100,0)))</f>
      </c>
      <c r="AL119" s="18">
        <f>IF(NOT(ISNUMBER(KOL_Source_Data!$BP$23)),"N/A",MIN(100,MAX(0,ROUND((KOL_Source_Data!$BP$23+2)/(Lookup_Lists!$D$145+2)*100,0))))</f>
      </c>
      <c r="AM119" s="29">
        <f>IF((IF(ISNUMBER(Matching_Engine!$AG$119),Lookup_Lists!$D$129,0)+IF(ISNUMBER(Matching_Engine!$AH$119),Lookup_Lists!$D$130,0)+IF(ISNUMBER(Matching_Engine!$AI$119),Lookup_Lists!$D$131,0)+IF(ISNUMBER(Matching_Engine!$AJ$119),Lookup_Lists!$D$132,0)+IF(ISNUMBER(Matching_Engine!$AK$119),Lookup_Lists!$D$133,0)+IF(ISNUMBER(Matching_Engine!$AL$119),Lookup_Lists!$D$134,0))=0,"N/A",ROUND((IF(ISNUMBER(Matching_Engine!$AG$119),Matching_Engine!$AG$119*Lookup_Lists!$D$129,0)+IF(ISNUMBER(Matching_Engine!$AH$119),Matching_Engine!$AH$119*Lookup_Lists!$D$130,0)+IF(ISNUMBER(Matching_Engine!$AI$119),Matching_Engine!$AI$119*Lookup_Lists!$D$131,0)+IF(ISNUMBER(Matching_Engine!$AJ$119),Matching_Engine!$AJ$119*Lookup_Lists!$D$132,0)+IF(ISNUMBER(Matching_Engine!$AK$119),Matching_Engine!$AK$119*Lookup_Lists!$D$133,0)+IF(ISNUMBER(Matching_Engine!$AL$119),Matching_Engine!$AL$119*Lookup_Lists!$D$134,0))/(IF(ISNUMBER(Matching_Engine!$AG$119),Lookup_Lists!$D$129,0)+IF(ISNUMBER(Matching_Engine!$AH$119),Lookup_Lists!$D$130,0)+IF(ISNUMBER(Matching_Engine!$AI$119),Lookup_Lists!$D$131,0)+IF(ISNUMBER(Matching_Engine!$AJ$119),Lookup_Lists!$D$132,0)+IF(ISNUMBER(Matching_Engine!$AK$119),Lookup_Lists!$D$133,0)+IF(ISNUMBER(Matching_Engine!$AL$119),Lookup_Lists!$D$134,0)),0))</f>
      </c>
      <c r="AN119" s="11">
        <f>IF(ISNUMBER(Matching_Engine!$AM$119),1,0)</f>
      </c>
      <c r="AO119" s="18">
        <f>IF(NOT(ISNUMBER(KOL_Source_Data!$BT$23)),"N/A",MIN(100,MAX(0,KOL_Source_Data!$BT$23)))</f>
      </c>
      <c r="AP119" s="18">
        <f>IF(NOT(ISNUMBER(KOL_Source_Data!$BU$23)),"N/A",MIN(100,MAX(0,KOL_Source_Data!$BU$23)))</f>
      </c>
      <c r="AQ119" s="18">
        <f>IF(KOL_Source_Data!$I$23="Yes",Lookup_Lists!$D$326,IF(KOL_Source_Data!$I$23="No",Lookup_Lists!$D$327,"N/A"))</f>
      </c>
      <c r="AR119" s="18">
        <f>IF(NOT(ISNUMBER(KOL_Source_Data!$BQ$23)),"N/A",MAX(0,ROUND(100-KOL_Source_Data!$BQ$23/Lookup_Lists!$D$328*100,0)))</f>
      </c>
      <c r="AS119" s="18">
        <f>IF(NOT(AND(ISTEXT(KOL_Source_Data!$BV$23),KOL_Source_Data!$BV$23&lt;&gt;"N/A")),"N/A",KOL_Source_Data!$BV$23)</f>
      </c>
      <c r="AT119" s="29">
        <f>IF((IF(ISNUMBER(Matching_Engine!$AO$119),Lookup_Lists!$D$322,0)+IF(ISNUMBER(Matching_Engine!$AP$119),Lookup_Lists!$D$323,0)+IF(ISNUMBER(Matching_Engine!$AQ$119),Lookup_Lists!$D$324,0)+IF(ISNUMBER(Matching_Engine!$AR$119),Lookup_Lists!$D$325,0))=0,"N/A",ROUND((IF(ISNUMBER(Matching_Engine!$AO$119),Matching_Engine!$AO$119*Lookup_Lists!$D$322,0)+IF(ISNUMBER(Matching_Engine!$AP$119),Matching_Engine!$AP$119*Lookup_Lists!$D$323,0)+IF(ISNUMBER(Matching_Engine!$AQ$119),Matching_Engine!$AQ$119*Lookup_Lists!$D$324,0)+IF(ISNUMBER(Matching_Engine!$AR$119),Matching_Engine!$AR$119*Lookup_Lists!$D$325,0))/(IF(ISNUMBER(Matching_Engine!$AO$119),Lookup_Lists!$D$322,0)+IF(ISNUMBER(Matching_Engine!$AP$119),Lookup_Lists!$D$323,0)+IF(ISNUMBER(Matching_Engine!$AQ$119),Lookup_Lists!$D$324,0)+IF(ISNUMBER(Matching_Engine!$AR$119),Lookup_Lists!$D$325,0)),0))</f>
      </c>
      <c r="AU119" s="11">
        <f>IF(ISNUMBER(Matching_Engine!$AT$119),1,0)</f>
      </c>
      <c r="AV119" s="11">
        <f>IF(NOT(ISNUMBER(Matching_Engine!$AT$119)),"Not Screened",IF(Matching_Engine!$AT$119&gt;=Lookup_Lists!$D$329,"Low Risk",IF(Matching_Engine!$AT$119&gt;=Lookup_Lists!$D$330,"Moderate Risk",IF(Matching_Engine!$AT$119&gt;=Lookup_Lists!$D$331,"Elevated Risk","High Risk"))))</f>
      </c>
      <c r="AW119" s="11">
        <f>IF(NOT(ISNUMBER(Matching_Engine!$AT$119)),"No integrity signal: no audience-analysis row for this account.","Integrity screen only — no content-risk reading exists (comments_analysis: 0 rows). "&amp;IF(ISNUMBER(Matching_Engine!$AO$119),"Authenticity "&amp;Matching_Engine!$AO$119&amp;". ","Authenticity N/A. ")&amp;IF(ISNUMBER(Matching_Engine!$AP$119),"Follower quality "&amp;Matching_Engine!$AP$119&amp;". ","Follower quality N/A. ")&amp;IF(KOL_Source_Data!$I$23="Yes","Platform-verified.","Not platform-verified."))</f>
      </c>
      <c r="AX119" s="18">
        <f>Matching_Engine!$N$119*Lookup_Lists!$D$104+Matching_Engine!$T$119*Lookup_Lists!$D$105+Matching_Engine!$Z$119*Lookup_Lists!$D$106+Matching_Engine!$AF$119*Lookup_Lists!$D$107+Matching_Engine!$AN$119*Lookup_Lists!$D$108+Matching_Engine!$AU$119*Lookup_Lists!$D$109</f>
      </c>
      <c r="AY119" s="30">
        <f>IF(Matching_Engine!$AX$119=0,"N/A",ROUND((IF(Matching_Engine!$N$119=1,Matching_Engine!$M$119*Lookup_Lists!$D$104,0)+IF(Matching_Engine!$T$119=1,Matching_Engine!$S$119*Lookup_Lists!$D$105,0)+IF(Matching_Engine!$Z$119=1,Matching_Engine!$Y$119*Lookup_Lists!$D$106,0)+IF(Matching_Engine!$AF$119=1,Matching_Engine!$AE$119*Lookup_Lists!$D$107,0)+IF(Matching_Engine!$AN$119=1,Matching_Engine!$AM$119*Lookup_Lists!$D$108,0)+IF(Matching_Engine!$AU$119=1,Matching_Engine!$AT$119*Lookup_Lists!$D$109,0))/Matching_Engine!$AX$119,0))</f>
      </c>
      <c r="AZ119" s="11">
        <f>IF(NOT(ISNUMBER(Matching_Engine!$AY$119)),"Not Scored",IF(Matching_Engine!$AY$119&gt;=Lookup_Lists!$D$152,"Excellent Match",IF(Matching_Engine!$AY$119&gt;=Lookup_Lists!$D$153,"Strong Match",IF(Matching_Engine!$AY$119&gt;=Lookup_Lists!$D$154,"Good Match",IF(Matching_Engine!$AY$119&gt;=Lookup_Lists!$D$155,"Moderate Match","Low Match")))))</f>
      </c>
      <c r="BA119" s="18">
        <f>KOL_Source_Data!$BW$23</f>
      </c>
      <c r="BB119" s="11">
        <f>KOL_Source_Data!$BX$23</f>
      </c>
      <c r="BC119" s="18">
        <f>IF(NOT(ISNUMBER(Matching_Engine!$AY$119)),-1,Matching_Engine!$AY$119*1000+7)</f>
      </c>
      <c r="BD119" s="11">
        <f>IF(AND(ISTEXT(KOL_Source_Data!$S$23),KOL_Source_Data!$S$23&lt;&gt;"N/A"),KOL_Source_Data!$S$23,"")&amp;" | "&amp;IF(AND(ISTEXT(KOL_Source_Data!$T$23),KOL_Source_Data!$T$23&lt;&gt;"N/A"),KOL_Source_Data!$T$23,"")&amp;" | "&amp;IF(AND(ISTEXT(KOL_Source_Data!$N$23),KOL_Source_Data!$N$23&lt;&gt;"N/A"),KOL_Source_Data!$N$23,"")&amp;" | "&amp;IF(AND(ISTEXT(KOL_Source_Data!$K$23),KOL_Source_Data!$K$23&lt;&gt;"N/A"),KOL_Source_Data!$K$23,"")&amp;" | "&amp;IF(AND(ISTEXT(KOL_Source_Data!$J$23),KOL_Source_Data!$J$23&lt;&gt;"N/A"),KOL_Source_Data!$J$23,"")</f>
      </c>
      <c r="BE119" s="11">
        <f>IF(AND(ISTEXT(KOL_Source_Data!$T$23),KOL_Source_Data!$T$23&lt;&gt;"N/A"),KOL_Source_Data!$T$23,"")&amp;" | "&amp;IF(AND(ISTEXT(KOL_Source_Data!$N$23),KOL_Source_Data!$N$23&lt;&gt;"N/A"),KOL_Source_Data!$N$23,"")&amp;" | "&amp;IF(AND(ISTEXT(KOL_Source_Data!$O$23),KOL_Source_Data!$O$23&lt;&gt;"N/A"),KOL_Source_Data!$O$23,"")&amp;" | "&amp;IF(AND(ISTEXT(KOL_Source_Data!$S$23),KOL_Source_Data!$S$23&lt;&gt;"N/A"),KOL_Source_Data!$S$23,"")</f>
      </c>
      <c r="BF119" s="11">
        <f>IF(AND(ISTEXT(KOL_Source_Data!$U$23),KOL_Source_Data!$U$23&lt;&gt;"N/A"),KOL_Source_Data!$U$23,"")</f>
      </c>
      <c r="BG119" s="11">
        <f>Matching_Engine!$A$119&amp;"|"&amp;Matching_Engine!$C$119</f>
      </c>
    </row>
    <row r="120" spans="1:59" x14ac:dyDescent="0.25">
      <c r="A120" s="10" t="s">
        <v>394</v>
      </c>
      <c r="B120" s="11">
        <f>Brand_Profile!$I$6</f>
      </c>
      <c r="C120" s="11">
        <f>KOL_Source_Data!$A$24</f>
      </c>
      <c r="D120" s="11">
        <f>KOL_Source_Data!$C$24</f>
      </c>
      <c r="E120" s="11">
        <f>KOL_Source_Data!$D$24</f>
      </c>
      <c r="F120" s="11">
        <f>KOL_Source_Data!$E$24</f>
      </c>
      <c r="G120" s="11">
        <f>KOL_Source_Data!$K$24</f>
      </c>
      <c r="H120" s="12">
        <f>KOL_Source_Data!$G$24</f>
      </c>
      <c r="I120" s="14">
        <f>KOL_Source_Data!$BG$24</f>
      </c>
      <c r="J120" s="18">
        <f>IF(NOT(AND(ISTEXT(KOL_Source_Data!$K$24),KOL_Source_Data!$K$24&lt;&gt;"N/A")),Lookup_Lists!$D$150,IF(Brand_Profile!$I$7=KOL_Source_Data!$K$24,100,IFERROR(INDEX(Lookup_Lists!$B$349:$J$357,MATCH(Brand_Profile!$I$7,Lookup_Lists!$A$349:$A$357,0),MATCH(KOL_Source_Data!$K$24,Lookup_Lists!$B$348:$J$348,0)),Lookup_Lists!$D$151)))</f>
      </c>
      <c r="K120" s="18">
        <f>IF(LEN(TRIM(SUBSTITUTE(Matching_Engine!$BD$120,"|","")))=0,"N/A",IF(Brand_Profile!$I$47=0,Lookup_Lists!$D$150,ROUND((IF(Brand_Profile!$I$41="",0,IF(ISNUMBER(SEARCH(Brand_Profile!$I$41,Matching_Engine!$BD$120)),1,0))+IF(Brand_Profile!$I$42="",0,IF(ISNUMBER(SEARCH(Brand_Profile!$I$42,Matching_Engine!$BD$120)),1,0))+IF(Brand_Profile!$I$43="",0,IF(ISNUMBER(SEARCH(Brand_Profile!$I$43,Matching_Engine!$BD$120)),1,0))+IF(Brand_Profile!$I$44="",0,IF(ISNUMBER(SEARCH(Brand_Profile!$I$44,Matching_Engine!$BD$120)),1,0))+IF(Brand_Profile!$I$45="",0,IF(ISNUMBER(SEARCH(Brand_Profile!$I$45,Matching_Engine!$BD$120)),1,0))+IF(Brand_Profile!$I$46="",0,IF(ISNUMBER(SEARCH(Brand_Profile!$I$46,Matching_Engine!$BD$120)),1,0)))/Brand_Profile!$I$47*100,0)))</f>
      </c>
      <c r="L120" s="18">
        <f>IF(NOT(AND(ISTEXT(KOL_Source_Data!$U$24),KOL_Source_Data!$U$24&lt;&gt;"N/A")),"N/A",IF(Brand_Profile!$I$53=0,Lookup_Lists!$D$150,ROUND((IF(Brand_Profile!$I$48="",0,IF(ISNUMBER(SEARCH(Brand_Profile!$I$48,Matching_Engine!$BF$120)),1,0))+IF(Brand_Profile!$I$49="",0,IF(ISNUMBER(SEARCH(Brand_Profile!$I$49,Matching_Engine!$BF$120)),1,0))+IF(Brand_Profile!$I$50="",0,IF(ISNUMBER(SEARCH(Brand_Profile!$I$50,Matching_Engine!$BF$120)),1,0))+IF(Brand_Profile!$I$51="",0,IF(ISNUMBER(SEARCH(Brand_Profile!$I$51,Matching_Engine!$BF$120)),1,0))+IF(Brand_Profile!$I$52="",0,IF(ISNUMBER(SEARCH(Brand_Profile!$I$52,Matching_Engine!$BF$120)),1,0)))/Brand_Profile!$I$53*100,0)))</f>
      </c>
      <c r="M120" s="29">
        <f>IF((IF(ISNUMBER(Matching_Engine!$J$120),Lookup_Lists!$D$332,0)+IF(ISNUMBER(Matching_Engine!$K$120),Lookup_Lists!$D$333,0)+IF(ISNUMBER(Matching_Engine!$L$120),Lookup_Lists!$D$334,0))=0,"N/A",ROUND((IF(ISNUMBER(Matching_Engine!$J$120),Matching_Engine!$J$120*Lookup_Lists!$D$332,0)+IF(ISNUMBER(Matching_Engine!$K$120),Matching_Engine!$K$120*Lookup_Lists!$D$333,0)+IF(ISNUMBER(Matching_Engine!$L$120),Matching_Engine!$L$120*Lookup_Lists!$D$334,0))/(IF(ISNUMBER(Matching_Engine!$J$120),Lookup_Lists!$D$332,0)+IF(ISNUMBER(Matching_Engine!$K$120),Lookup_Lists!$D$333,0)+IF(ISNUMBER(Matching_Engine!$L$120),Lookup_Lists!$D$334,0)),0))</f>
      </c>
      <c r="N120" s="11">
        <f>IF(ISNUMBER(Matching_Engine!$M$120),1,0)</f>
      </c>
      <c r="O120" s="18">
        <f>IF(NOT(ISNUMBER(IFERROR(INDEX(KOL_Source_Data!$V$24:KOL_Source_Data!$Z$24,1,MATCH(Brand_Profile!$I$11,Lookup_Lists!$F$6:$F$10,0)),""))),"N/A",MIN(100,ROUND((IFERROR(INDEX(KOL_Source_Data!$V$24:KOL_Source_Data!$Z$24,1,MATCH(Brand_Profile!$I$11,Lookup_Lists!$F$6:$F$10,0)),"")+0.5*IF(ISNUMBER(IFERROR(INDEX(KOL_Source_Data!$V$24:KOL_Source_Data!$Z$24,1,MATCH(Brand_Profile!$I$12,Lookup_Lists!$F$6:$F$10,0)),"")),IFERROR(INDEX(KOL_Source_Data!$V$24:KOL_Source_Data!$Z$24,1,MATCH(Brand_Profile!$I$12,Lookup_Lists!$F$6:$F$10,0)),""),0))/Lookup_Lists!$D$142*100,0)))</f>
      </c>
      <c r="P120" s="18">
        <f>IF(Brand_Profile!$I$13="Any",100,IF(NOT(ISNUMBER(KOL_Source_Data!$AA$24)),"N/A",IF(Brand_Profile!$I$13="Female",MIN(100,ROUND(KOL_Source_Data!$AA$24/Lookup_Lists!$D$143*100,0)),IF(Brand_Profile!$I$13="Male",MIN(100,ROUND(IF(ISNUMBER(KOL_Source_Data!$AB$24),KOL_Source_Data!$AB$24,100-KOL_Source_Data!$AA$24)/Lookup_Lists!$D$143*100,0)),MAX(0,ROUND(100-ABS(KOL_Source_Data!$AA$24-50)*2,0))))))</f>
      </c>
      <c r="Q120" s="18">
        <f>IF((IF(ISNUMBER(IF(NOT(ISNUMBER(KOL_Source_Data!$AE$24)),"N/A",IF(KOL_Source_Data!$AD$24&lt;&gt;Brand_Profile!$I$14,Lookup_Lists!$D$151,MIN(100,ROUND(KOL_Source_Data!$AE$24/Lookup_Lists!$D$316*100,0))))),Lookup_Lists!$D$118,0)+IF(ISNUMBER(IF(NOT(ISNUMBER(KOL_Source_Data!$AM$24)),"N/A",MIN(100,ROUND((IF(KOL_Source_Data!$AG$24=Brand_Profile!$I$15,IF(ISNUMBER(KOL_Source_Data!$AH$24),KOL_Source_Data!$AH$24,0),0)+IF(KOL_Source_Data!$AI$24=Brand_Profile!$I$15,IF(ISNUMBER(KOL_Source_Data!$AJ$24),KOL_Source_Data!$AJ$24,0),0)+IF(KOL_Source_Data!$AK$24=Brand_Profile!$I$15,IF(ISNUMBER(KOL_Source_Data!$AL$24),KOL_Source_Data!$AL$24,0),0))/Lookup_Lists!$D$317*100,0)))),Lookup_Lists!$D$120,0))=0,"N/A",ROUND((IF(ISNUMBER(IF(NOT(ISNUMBER(KOL_Source_Data!$AE$24)),"N/A",IF(KOL_Source_Data!$AD$24&lt;&gt;Brand_Profile!$I$14,Lookup_Lists!$D$151,MIN(100,ROUND(KOL_Source_Data!$AE$24/Lookup_Lists!$D$316*100,0))))),IF(NOT(ISNUMBER(KOL_Source_Data!$AE$24)),"N/A",IF(KOL_Source_Data!$AD$24&lt;&gt;Brand_Profile!$I$14,Lookup_Lists!$D$151,MIN(100,ROUND(KOL_Source_Data!$AE$24/Lookup_Lists!$D$316*100,0))))*Lookup_Lists!$D$118,0)+IF(ISNUMBER(IF(NOT(ISNUMBER(KOL_Source_Data!$AM$24)),"N/A",MIN(100,ROUND((IF(KOL_Source_Data!$AG$24=Brand_Profile!$I$15,IF(ISNUMBER(KOL_Source_Data!$AH$24),KOL_Source_Data!$AH$24,0),0)+IF(KOL_Source_Data!$AI$24=Brand_Profile!$I$15,IF(ISNUMBER(KOL_Source_Data!$AJ$24),KOL_Source_Data!$AJ$24,0),0)+IF(KOL_Source_Data!$AK$24=Brand_Profile!$I$15,IF(ISNUMBER(KOL_Source_Data!$AL$24),KOL_Source_Data!$AL$24,0),0))/Lookup_Lists!$D$317*100,0)))),IF(NOT(ISNUMBER(KOL_Source_Data!$AM$24)),"N/A",MIN(100,ROUND((IF(KOL_Source_Data!$AG$24=Brand_Profile!$I$15,IF(ISNUMBER(KOL_Source_Data!$AH$24),KOL_Source_Data!$AH$24,0),0)+IF(KOL_Source_Data!$AI$24=Brand_Profile!$I$15,IF(ISNUMBER(KOL_Source_Data!$AJ$24),KOL_Source_Data!$AJ$24,0),0)+IF(KOL_Source_Data!$AK$24=Brand_Profile!$I$15,IF(ISNUMBER(KOL_Source_Data!$AL$24),KOL_Source_Data!$AL$24,0),0))/Lookup_Lists!$D$317*100,0)))*Lookup_Lists!$D$120,0))/(IF(ISNUMBER(IF(NOT(ISNUMBER(KOL_Source_Data!$AE$24)),"N/A",IF(KOL_Source_Data!$AD$24&lt;&gt;Brand_Profile!$I$14,Lookup_Lists!$D$151,MIN(100,ROUND(KOL_Source_Data!$AE$24/Lookup_Lists!$D$316*100,0))))),Lookup_Lists!$D$118,0)+IF(ISNUMBER(IF(NOT(ISNUMBER(KOL_Source_Data!$AM$24)),"N/A",MIN(100,ROUND((IF(KOL_Source_Data!$AG$24=Brand_Profile!$I$15,IF(ISNUMBER(KOL_Source_Data!$AH$24),KOL_Source_Data!$AH$24,0),0)+IF(KOL_Source_Data!$AI$24=Brand_Profile!$I$15,IF(ISNUMBER(KOL_Source_Data!$AJ$24),KOL_Source_Data!$AJ$24,0),0)+IF(KOL_Source_Data!$AK$24=Brand_Profile!$I$15,IF(ISNUMBER(KOL_Source_Data!$AL$24),KOL_Source_Data!$AL$24,0),0))/Lookup_Lists!$D$317*100,0)))),Lookup_Lists!$D$120,0)),0))</f>
      </c>
      <c r="R120" s="18">
        <f>IF(NOT(ISNUMBER(KOL_Source_Data!$AN$24)),"N/A",MIN(100,ROUND((IF(ISNUMBER(KOL_Source_Data!$AO$24),KOL_Source_Data!$AO$24*Brand_Profile!$I$17,0)+IF(ISNUMBER(KOL_Source_Data!$AP$24),KOL_Source_Data!$AP$24*Brand_Profile!$I$18,0)+IF(ISNUMBER(KOL_Source_Data!$AQ$24),KOL_Source_Data!$AQ$24*Brand_Profile!$I$19,0)+IF(ISNUMBER(KOL_Source_Data!$AR$24),KOL_Source_Data!$AR$24*Brand_Profile!$I$20,0)+IF(ISNUMBER(KOL_Source_Data!$AS$24),KOL_Source_Data!$AS$24*Brand_Profile!$I$21,0)+IF(ISNUMBER(KOL_Source_Data!$AT$24),KOL_Source_Data!$AT$24*Brand_Profile!$I$22,0)+IF(ISNUMBER(KOL_Source_Data!$AU$24),KOL_Source_Data!$AU$24*Brand_Profile!$I$23,0)+IF(ISNUMBER(KOL_Source_Data!$AV$24),KOL_Source_Data!$AV$24*Brand_Profile!$I$24,0)+IF(ISNUMBER(KOL_Source_Data!$AW$24),KOL_Source_Data!$AW$24*Brand_Profile!$I$25,0)+IF(ISNUMBER(KOL_Source_Data!$AX$24),KOL_Source_Data!$AX$24*Brand_Profile!$I$26,0)+IF(ISNUMBER(KOL_Source_Data!$AY$24),KOL_Source_Data!$AY$24*Brand_Profile!$I$27,0)+IF(ISNUMBER(KOL_Source_Data!$AZ$24),KOL_Source_Data!$AZ$24*Brand_Profile!$I$28,0)+IF(ISNUMBER(KOL_Source_Data!$BA$24),KOL_Source_Data!$BA$24*Brand_Profile!$I$29,0)+IF(ISNUMBER(KOL_Source_Data!$BB$24),KOL_Source_Data!$BB$24*Brand_Profile!$I$30,0)+IF(ISNUMBER(KOL_Source_Data!$BC$24),KOL_Source_Data!$BC$24*Brand_Profile!$I$31,0)+IF(ISNUMBER(KOL_Source_Data!$BD$24),KOL_Source_Data!$BD$24*Brand_Profile!$I$32,0)+IF(ISNUMBER(KOL_Source_Data!$BE$24),KOL_Source_Data!$BE$24*Brand_Profile!$I$33,0)+IF(ISNUMBER(KOL_Source_Data!$BF$24),KOL_Source_Data!$BF$24*Brand_Profile!$I$34,0))/Lookup_Lists!$D$318*100,0)))</f>
      </c>
      <c r="S120" s="29">
        <f>IF((IF(ISNUMBER(Matching_Engine!$O$120),Lookup_Lists!$D$113,0)+IF(ISNUMBER(Matching_Engine!$P$120),Lookup_Lists!$D$114,0)+IF(ISNUMBER(Matching_Engine!$Q$120),Lookup_Lists!$D$115,0)+IF(ISNUMBER(Matching_Engine!$R$120),Lookup_Lists!$D$116,0))=0,"N/A",ROUND((IF(ISNUMBER(Matching_Engine!$O$120),Matching_Engine!$O$120*Lookup_Lists!$D$113,0)+IF(ISNUMBER(Matching_Engine!$P$120),Matching_Engine!$P$120*Lookup_Lists!$D$114,0)+IF(ISNUMBER(Matching_Engine!$Q$120),Matching_Engine!$Q$120*Lookup_Lists!$D$115,0)+IF(ISNUMBER(Matching_Engine!$R$120),Matching_Engine!$R$120*Lookup_Lists!$D$116,0))/(IF(ISNUMBER(Matching_Engine!$O$120),Lookup_Lists!$D$113,0)+IF(ISNUMBER(Matching_Engine!$P$120),Lookup_Lists!$D$114,0)+IF(ISNUMBER(Matching_Engine!$Q$120),Lookup_Lists!$D$115,0)+IF(ISNUMBER(Matching_Engine!$R$120),Lookup_Lists!$D$116,0)),0))</f>
      </c>
      <c r="T120" s="11">
        <f>IF(ISNUMBER(Matching_Engine!$S$120),1,0)</f>
      </c>
      <c r="U120" s="18">
        <f>IF(NOT(AND(ISTEXT(KOL_Source_Data!$M$24),KOL_Source_Data!$M$24&lt;&gt;"N/A")),Lookup_Lists!$D$150,IF(Brand_Profile!$I$7=KOL_Source_Data!$M$24,100,IFERROR(INDEX(Lookup_Lists!$B$349:$J$357,MATCH(Brand_Profile!$I$7,Lookup_Lists!$A$349:$A$357,0),MATCH(KOL_Source_Data!$M$24,Lookup_Lists!$B$348:$J$348,0)),Lookup_Lists!$D$151)))</f>
      </c>
      <c r="V120" s="18">
        <f>IF(NOT(AND(ISTEXT(KOL_Source_Data!$P$24),KOL_Source_Data!$P$24&lt;&gt;"N/A")),"N/A",IFERROR(INDEX(Lookup_Lists!$B$349:$J$357,MATCH(Brand_Profile!$I$7,Lookup_Lists!$A$349:$A$357,0),MATCH(KOL_Source_Data!$P$24,Lookup_Lists!$B$348:$J$348,0)),Lookup_Lists!$D$151))</f>
      </c>
      <c r="W120" s="18">
        <f>IF(LEN(TRIM(SUBSTITUTE(Matching_Engine!$BE$120,"|","")))=0,"N/A",IF(Brand_Profile!$I$60=0,Lookup_Lists!$D$150,ROUND((IF(Brand_Profile!$I$54="",0,IF(ISNUMBER(SEARCH(Brand_Profile!$I$54,Matching_Engine!$BE$120)),1,0))+IF(Brand_Profile!$I$55="",0,IF(ISNUMBER(SEARCH(Brand_Profile!$I$55,Matching_Engine!$BE$120)),1,0))+IF(Brand_Profile!$I$56="",0,IF(ISNUMBER(SEARCH(Brand_Profile!$I$56,Matching_Engine!$BE$120)),1,0))+IF(Brand_Profile!$I$57="",0,IF(ISNUMBER(SEARCH(Brand_Profile!$I$57,Matching_Engine!$BE$120)),1,0))+IF(Brand_Profile!$I$58="",0,IF(ISNUMBER(SEARCH(Brand_Profile!$I$58,Matching_Engine!$BE$120)),1,0))+IF(Brand_Profile!$I$59="",0,IF(ISNUMBER(SEARCH(Brand_Profile!$I$59,Matching_Engine!$BE$120)),1,0)))/Brand_Profile!$I$60*100,0)))</f>
      </c>
      <c r="X120" s="18">
        <f>IF(NOT(AND(ISTEXT(KOL_Source_Data!$Q$24),KOL_Source_Data!$Q$24&lt;&gt;"N/A")),"N/A",Lookup_Lists!$D$150)</f>
      </c>
      <c r="Y120" s="29">
        <f>IF((IF(ISNUMBER(Matching_Engine!$U$120),Lookup_Lists!$D$335,0)+IF(ISNUMBER(Matching_Engine!$V$120),Lookup_Lists!$D$122,0)+IF(ISNUMBER(Matching_Engine!$W$120),Lookup_Lists!$D$336,0)+IF(ISNUMBER(Matching_Engine!$X$120),Lookup_Lists!$D$124,0))=0,"N/A",ROUND((IF(ISNUMBER(Matching_Engine!$U$120),Matching_Engine!$U$120*Lookup_Lists!$D$335,0)+IF(ISNUMBER(Matching_Engine!$V$120),Matching_Engine!$V$120*Lookup_Lists!$D$122,0)+IF(ISNUMBER(Matching_Engine!$W$120),Matching_Engine!$W$120*Lookup_Lists!$D$336,0)+IF(ISNUMBER(Matching_Engine!$X$120),Matching_Engine!$X$120*Lookup_Lists!$D$124,0))/(IF(ISNUMBER(Matching_Engine!$U$120),Lookup_Lists!$D$335,0)+IF(ISNUMBER(Matching_Engine!$V$120),Lookup_Lists!$D$122,0)+IF(ISNUMBER(Matching_Engine!$W$120),Lookup_Lists!$D$336,0)+IF(ISNUMBER(Matching_Engine!$X$120),Lookup_Lists!$D$124,0)),0))</f>
      </c>
      <c r="Z120" s="11">
        <f>IF(ISNUMBER(Matching_Engine!$Y$120),1,0)</f>
      </c>
      <c r="AA120" s="18">
        <f>IF(NOT(AND(ISTEXT(KOL_Source_Data!$Q$24),KOL_Source_Data!$Q$24&lt;&gt;"N/A")),"N/A",Lookup_Lists!$D$150)</f>
      </c>
      <c r="AB120" s="18">
        <f>IF(NOT(AND(ISTEXT(KOL_Source_Data!$Q$24),KOL_Source_Data!$Q$24&lt;&gt;"N/A")),"N/A",Lookup_Lists!$D$150)</f>
      </c>
      <c r="AC120" s="18">
        <f>"N/A"</f>
      </c>
      <c r="AD120" s="18">
        <f>IF(NOT(AND(ISTEXT(KOL_Source_Data!$Q$24),KOL_Source_Data!$Q$24&lt;&gt;"N/A")),"N/A",Lookup_Lists!$D$150)</f>
      </c>
      <c r="AE120" s="29">
        <f>IF((IF(ISNUMBER(Matching_Engine!$AA$120),Lookup_Lists!$D$125,0)+IF(ISNUMBER(Matching_Engine!$AB$120),Lookup_Lists!$D$126,0)+IF(ISNUMBER(Matching_Engine!$AC$120),Lookup_Lists!$D$127,0)+IF(ISNUMBER(Matching_Engine!$AD$120),Lookup_Lists!$D$128,0))=0,"N/A",ROUND((IF(ISNUMBER(Matching_Engine!$AA$120),Matching_Engine!$AA$120*Lookup_Lists!$D$125,0)+IF(ISNUMBER(Matching_Engine!$AB$120),Matching_Engine!$AB$120*Lookup_Lists!$D$126,0)+IF(ISNUMBER(Matching_Engine!$AC$120),Matching_Engine!$AC$120*Lookup_Lists!$D$127,0)+IF(ISNUMBER(Matching_Engine!$AD$120),Matching_Engine!$AD$120*Lookup_Lists!$D$128,0))/(IF(ISNUMBER(Matching_Engine!$AA$120),Lookup_Lists!$D$125,0)+IF(ISNUMBER(Matching_Engine!$AB$120),Lookup_Lists!$D$126,0)+IF(ISNUMBER(Matching_Engine!$AC$120),Lookup_Lists!$D$127,0)+IF(ISNUMBER(Matching_Engine!$AD$120),Lookup_Lists!$D$128,0)),0))</f>
      </c>
      <c r="AF120" s="11">
        <f>IF(ISNUMBER(Matching_Engine!$AE$120),1,0)</f>
      </c>
      <c r="AG120" s="18">
        <f>IF(NOT(ISNUMBER(KOL_Source_Data!$BG$24)),"N/A",MIN(100,ROUND(KOL_Source_Data!$BG$24/IFERROR(INDEX(Lookup_Lists!$B$340:$B$344,MATCH(KOL_Source_Data!$H$24,Lookup_Lists!$A$340:$A$344,0)),Lookup_Lists!$D$141)*100,0)))</f>
      </c>
      <c r="AH120" s="18">
        <f>IF(NOT(ISNUMBER(KOL_Source_Data!$BS$24)),"N/A",MIN(100,MAX(0,KOL_Source_Data!$BS$24)))</f>
      </c>
      <c r="AI120" s="18">
        <f>IF(OR(NOT(ISNUMBER(KOL_Source_Data!$BM$24)),NOT(ISNUMBER(KOL_Source_Data!$BN$24)),KOL_Source_Data!$BN$24&lt;Lookup_Lists!$D$320),"N/A",MIN(100,ROUND(KOL_Source_Data!$BM$24/Lookup_Lists!$D$319*100,0)))</f>
      </c>
      <c r="AJ120" s="18">
        <f>IF(NOT(ISNUMBER(KOL_Source_Data!$BR$24)),"N/A",KOL_Source_Data!$BR$24)</f>
      </c>
      <c r="AK120" s="18">
        <f>IF(NOT(ISNUMBER(KOL_Source_Data!$BK$24)),"N/A",MIN(100,ROUND(KOL_Source_Data!$BK$24/Lookup_Lists!$D$321*100,0)))</f>
      </c>
      <c r="AL120" s="18">
        <f>IF(NOT(ISNUMBER(KOL_Source_Data!$BP$24)),"N/A",MIN(100,MAX(0,ROUND((KOL_Source_Data!$BP$24+2)/(Lookup_Lists!$D$145+2)*100,0))))</f>
      </c>
      <c r="AM120" s="29">
        <f>IF((IF(ISNUMBER(Matching_Engine!$AG$120),Lookup_Lists!$D$129,0)+IF(ISNUMBER(Matching_Engine!$AH$120),Lookup_Lists!$D$130,0)+IF(ISNUMBER(Matching_Engine!$AI$120),Lookup_Lists!$D$131,0)+IF(ISNUMBER(Matching_Engine!$AJ$120),Lookup_Lists!$D$132,0)+IF(ISNUMBER(Matching_Engine!$AK$120),Lookup_Lists!$D$133,0)+IF(ISNUMBER(Matching_Engine!$AL$120),Lookup_Lists!$D$134,0))=0,"N/A",ROUND((IF(ISNUMBER(Matching_Engine!$AG$120),Matching_Engine!$AG$120*Lookup_Lists!$D$129,0)+IF(ISNUMBER(Matching_Engine!$AH$120),Matching_Engine!$AH$120*Lookup_Lists!$D$130,0)+IF(ISNUMBER(Matching_Engine!$AI$120),Matching_Engine!$AI$120*Lookup_Lists!$D$131,0)+IF(ISNUMBER(Matching_Engine!$AJ$120),Matching_Engine!$AJ$120*Lookup_Lists!$D$132,0)+IF(ISNUMBER(Matching_Engine!$AK$120),Matching_Engine!$AK$120*Lookup_Lists!$D$133,0)+IF(ISNUMBER(Matching_Engine!$AL$120),Matching_Engine!$AL$120*Lookup_Lists!$D$134,0))/(IF(ISNUMBER(Matching_Engine!$AG$120),Lookup_Lists!$D$129,0)+IF(ISNUMBER(Matching_Engine!$AH$120),Lookup_Lists!$D$130,0)+IF(ISNUMBER(Matching_Engine!$AI$120),Lookup_Lists!$D$131,0)+IF(ISNUMBER(Matching_Engine!$AJ$120),Lookup_Lists!$D$132,0)+IF(ISNUMBER(Matching_Engine!$AK$120),Lookup_Lists!$D$133,0)+IF(ISNUMBER(Matching_Engine!$AL$120),Lookup_Lists!$D$134,0)),0))</f>
      </c>
      <c r="AN120" s="11">
        <f>IF(ISNUMBER(Matching_Engine!$AM$120),1,0)</f>
      </c>
      <c r="AO120" s="18">
        <f>IF(NOT(ISNUMBER(KOL_Source_Data!$BT$24)),"N/A",MIN(100,MAX(0,KOL_Source_Data!$BT$24)))</f>
      </c>
      <c r="AP120" s="18">
        <f>IF(NOT(ISNUMBER(KOL_Source_Data!$BU$24)),"N/A",MIN(100,MAX(0,KOL_Source_Data!$BU$24)))</f>
      </c>
      <c r="AQ120" s="18">
        <f>IF(KOL_Source_Data!$I$24="Yes",Lookup_Lists!$D$326,IF(KOL_Source_Data!$I$24="No",Lookup_Lists!$D$327,"N/A"))</f>
      </c>
      <c r="AR120" s="18">
        <f>IF(NOT(ISNUMBER(KOL_Source_Data!$BQ$24)),"N/A",MAX(0,ROUND(100-KOL_Source_Data!$BQ$24/Lookup_Lists!$D$328*100,0)))</f>
      </c>
      <c r="AS120" s="18">
        <f>IF(NOT(AND(ISTEXT(KOL_Source_Data!$BV$24),KOL_Source_Data!$BV$24&lt;&gt;"N/A")),"N/A",KOL_Source_Data!$BV$24)</f>
      </c>
      <c r="AT120" s="29">
        <f>IF((IF(ISNUMBER(Matching_Engine!$AO$120),Lookup_Lists!$D$322,0)+IF(ISNUMBER(Matching_Engine!$AP$120),Lookup_Lists!$D$323,0)+IF(ISNUMBER(Matching_Engine!$AQ$120),Lookup_Lists!$D$324,0)+IF(ISNUMBER(Matching_Engine!$AR$120),Lookup_Lists!$D$325,0))=0,"N/A",ROUND((IF(ISNUMBER(Matching_Engine!$AO$120),Matching_Engine!$AO$120*Lookup_Lists!$D$322,0)+IF(ISNUMBER(Matching_Engine!$AP$120),Matching_Engine!$AP$120*Lookup_Lists!$D$323,0)+IF(ISNUMBER(Matching_Engine!$AQ$120),Matching_Engine!$AQ$120*Lookup_Lists!$D$324,0)+IF(ISNUMBER(Matching_Engine!$AR$120),Matching_Engine!$AR$120*Lookup_Lists!$D$325,0))/(IF(ISNUMBER(Matching_Engine!$AO$120),Lookup_Lists!$D$322,0)+IF(ISNUMBER(Matching_Engine!$AP$120),Lookup_Lists!$D$323,0)+IF(ISNUMBER(Matching_Engine!$AQ$120),Lookup_Lists!$D$324,0)+IF(ISNUMBER(Matching_Engine!$AR$120),Lookup_Lists!$D$325,0)),0))</f>
      </c>
      <c r="AU120" s="11">
        <f>IF(ISNUMBER(Matching_Engine!$AT$120),1,0)</f>
      </c>
      <c r="AV120" s="11">
        <f>IF(NOT(ISNUMBER(Matching_Engine!$AT$120)),"Not Screened",IF(Matching_Engine!$AT$120&gt;=Lookup_Lists!$D$329,"Low Risk",IF(Matching_Engine!$AT$120&gt;=Lookup_Lists!$D$330,"Moderate Risk",IF(Matching_Engine!$AT$120&gt;=Lookup_Lists!$D$331,"Elevated Risk","High Risk"))))</f>
      </c>
      <c r="AW120" s="11">
        <f>IF(NOT(ISNUMBER(Matching_Engine!$AT$120)),"No integrity signal: no audience-analysis row for this account.","Integrity screen only — no content-risk reading exists (comments_analysis: 0 rows). "&amp;IF(ISNUMBER(Matching_Engine!$AO$120),"Authenticity "&amp;Matching_Engine!$AO$120&amp;". ","Authenticity N/A. ")&amp;IF(ISNUMBER(Matching_Engine!$AP$120),"Follower quality "&amp;Matching_Engine!$AP$120&amp;". ","Follower quality N/A. ")&amp;IF(KOL_Source_Data!$I$24="Yes","Platform-verified.","Not platform-verified."))</f>
      </c>
      <c r="AX120" s="18">
        <f>Matching_Engine!$N$120*Lookup_Lists!$D$104+Matching_Engine!$T$120*Lookup_Lists!$D$105+Matching_Engine!$Z$120*Lookup_Lists!$D$106+Matching_Engine!$AF$120*Lookup_Lists!$D$107+Matching_Engine!$AN$120*Lookup_Lists!$D$108+Matching_Engine!$AU$120*Lookup_Lists!$D$109</f>
      </c>
      <c r="AY120" s="30">
        <f>IF(Matching_Engine!$AX$120=0,"N/A",ROUND((IF(Matching_Engine!$N$120=1,Matching_Engine!$M$120*Lookup_Lists!$D$104,0)+IF(Matching_Engine!$T$120=1,Matching_Engine!$S$120*Lookup_Lists!$D$105,0)+IF(Matching_Engine!$Z$120=1,Matching_Engine!$Y$120*Lookup_Lists!$D$106,0)+IF(Matching_Engine!$AF$120=1,Matching_Engine!$AE$120*Lookup_Lists!$D$107,0)+IF(Matching_Engine!$AN$120=1,Matching_Engine!$AM$120*Lookup_Lists!$D$108,0)+IF(Matching_Engine!$AU$120=1,Matching_Engine!$AT$120*Lookup_Lists!$D$109,0))/Matching_Engine!$AX$120,0))</f>
      </c>
      <c r="AZ120" s="11">
        <f>IF(NOT(ISNUMBER(Matching_Engine!$AY$120)),"Not Scored",IF(Matching_Engine!$AY$120&gt;=Lookup_Lists!$D$152,"Excellent Match",IF(Matching_Engine!$AY$120&gt;=Lookup_Lists!$D$153,"Strong Match",IF(Matching_Engine!$AY$120&gt;=Lookup_Lists!$D$154,"Good Match",IF(Matching_Engine!$AY$120&gt;=Lookup_Lists!$D$155,"Moderate Match","Low Match")))))</f>
      </c>
      <c r="BA120" s="18">
        <f>KOL_Source_Data!$BW$24</f>
      </c>
      <c r="BB120" s="11">
        <f>KOL_Source_Data!$BX$24</f>
      </c>
      <c r="BC120" s="18">
        <f>IF(NOT(ISNUMBER(Matching_Engine!$AY$120)),-1,Matching_Engine!$AY$120*1000+6)</f>
      </c>
      <c r="BD120" s="11">
        <f>IF(AND(ISTEXT(KOL_Source_Data!$S$24),KOL_Source_Data!$S$24&lt;&gt;"N/A"),KOL_Source_Data!$S$24,"")&amp;" | "&amp;IF(AND(ISTEXT(KOL_Source_Data!$T$24),KOL_Source_Data!$T$24&lt;&gt;"N/A"),KOL_Source_Data!$T$24,"")&amp;" | "&amp;IF(AND(ISTEXT(KOL_Source_Data!$N$24),KOL_Source_Data!$N$24&lt;&gt;"N/A"),KOL_Source_Data!$N$24,"")&amp;" | "&amp;IF(AND(ISTEXT(KOL_Source_Data!$K$24),KOL_Source_Data!$K$24&lt;&gt;"N/A"),KOL_Source_Data!$K$24,"")&amp;" | "&amp;IF(AND(ISTEXT(KOL_Source_Data!$J$24),KOL_Source_Data!$J$24&lt;&gt;"N/A"),KOL_Source_Data!$J$24,"")</f>
      </c>
      <c r="BE120" s="11">
        <f>IF(AND(ISTEXT(KOL_Source_Data!$T$24),KOL_Source_Data!$T$24&lt;&gt;"N/A"),KOL_Source_Data!$T$24,"")&amp;" | "&amp;IF(AND(ISTEXT(KOL_Source_Data!$N$24),KOL_Source_Data!$N$24&lt;&gt;"N/A"),KOL_Source_Data!$N$24,"")&amp;" | "&amp;IF(AND(ISTEXT(KOL_Source_Data!$O$24),KOL_Source_Data!$O$24&lt;&gt;"N/A"),KOL_Source_Data!$O$24,"")&amp;" | "&amp;IF(AND(ISTEXT(KOL_Source_Data!$S$24),KOL_Source_Data!$S$24&lt;&gt;"N/A"),KOL_Source_Data!$S$24,"")</f>
      </c>
      <c r="BF120" s="11">
        <f>IF(AND(ISTEXT(KOL_Source_Data!$U$24),KOL_Source_Data!$U$24&lt;&gt;"N/A"),KOL_Source_Data!$U$24,"")</f>
      </c>
      <c r="BG120" s="11">
        <f>Matching_Engine!$A$120&amp;"|"&amp;Matching_Engine!$C$120</f>
      </c>
    </row>
    <row r="121" spans="1:59" x14ac:dyDescent="0.25">
      <c r="A121" s="10" t="s">
        <v>394</v>
      </c>
      <c r="B121" s="11">
        <f>Brand_Profile!$I$6</f>
      </c>
      <c r="C121" s="11">
        <f>KOL_Source_Data!$A$25</f>
      </c>
      <c r="D121" s="11">
        <f>KOL_Source_Data!$C$25</f>
      </c>
      <c r="E121" s="11">
        <f>KOL_Source_Data!$D$25</f>
      </c>
      <c r="F121" s="11">
        <f>KOL_Source_Data!$E$25</f>
      </c>
      <c r="G121" s="11">
        <f>KOL_Source_Data!$K$25</f>
      </c>
      <c r="H121" s="12">
        <f>KOL_Source_Data!$G$25</f>
      </c>
      <c r="I121" s="14">
        <f>KOL_Source_Data!$BG$25</f>
      </c>
      <c r="J121" s="18">
        <f>IF(NOT(AND(ISTEXT(KOL_Source_Data!$K$25),KOL_Source_Data!$K$25&lt;&gt;"N/A")),Lookup_Lists!$D$150,IF(Brand_Profile!$I$7=KOL_Source_Data!$K$25,100,IFERROR(INDEX(Lookup_Lists!$B$349:$J$357,MATCH(Brand_Profile!$I$7,Lookup_Lists!$A$349:$A$357,0),MATCH(KOL_Source_Data!$K$25,Lookup_Lists!$B$348:$J$348,0)),Lookup_Lists!$D$151)))</f>
      </c>
      <c r="K121" s="18">
        <f>IF(LEN(TRIM(SUBSTITUTE(Matching_Engine!$BD$121,"|","")))=0,"N/A",IF(Brand_Profile!$I$47=0,Lookup_Lists!$D$150,ROUND((IF(Brand_Profile!$I$41="",0,IF(ISNUMBER(SEARCH(Brand_Profile!$I$41,Matching_Engine!$BD$121)),1,0))+IF(Brand_Profile!$I$42="",0,IF(ISNUMBER(SEARCH(Brand_Profile!$I$42,Matching_Engine!$BD$121)),1,0))+IF(Brand_Profile!$I$43="",0,IF(ISNUMBER(SEARCH(Brand_Profile!$I$43,Matching_Engine!$BD$121)),1,0))+IF(Brand_Profile!$I$44="",0,IF(ISNUMBER(SEARCH(Brand_Profile!$I$44,Matching_Engine!$BD$121)),1,0))+IF(Brand_Profile!$I$45="",0,IF(ISNUMBER(SEARCH(Brand_Profile!$I$45,Matching_Engine!$BD$121)),1,0))+IF(Brand_Profile!$I$46="",0,IF(ISNUMBER(SEARCH(Brand_Profile!$I$46,Matching_Engine!$BD$121)),1,0)))/Brand_Profile!$I$47*100,0)))</f>
      </c>
      <c r="L121" s="18">
        <f>IF(NOT(AND(ISTEXT(KOL_Source_Data!$U$25),KOL_Source_Data!$U$25&lt;&gt;"N/A")),"N/A",IF(Brand_Profile!$I$53=0,Lookup_Lists!$D$150,ROUND((IF(Brand_Profile!$I$48="",0,IF(ISNUMBER(SEARCH(Brand_Profile!$I$48,Matching_Engine!$BF$121)),1,0))+IF(Brand_Profile!$I$49="",0,IF(ISNUMBER(SEARCH(Brand_Profile!$I$49,Matching_Engine!$BF$121)),1,0))+IF(Brand_Profile!$I$50="",0,IF(ISNUMBER(SEARCH(Brand_Profile!$I$50,Matching_Engine!$BF$121)),1,0))+IF(Brand_Profile!$I$51="",0,IF(ISNUMBER(SEARCH(Brand_Profile!$I$51,Matching_Engine!$BF$121)),1,0))+IF(Brand_Profile!$I$52="",0,IF(ISNUMBER(SEARCH(Brand_Profile!$I$52,Matching_Engine!$BF$121)),1,0)))/Brand_Profile!$I$53*100,0)))</f>
      </c>
      <c r="M121" s="29">
        <f>IF((IF(ISNUMBER(Matching_Engine!$J$121),Lookup_Lists!$D$332,0)+IF(ISNUMBER(Matching_Engine!$K$121),Lookup_Lists!$D$333,0)+IF(ISNUMBER(Matching_Engine!$L$121),Lookup_Lists!$D$334,0))=0,"N/A",ROUND((IF(ISNUMBER(Matching_Engine!$J$121),Matching_Engine!$J$121*Lookup_Lists!$D$332,0)+IF(ISNUMBER(Matching_Engine!$K$121),Matching_Engine!$K$121*Lookup_Lists!$D$333,0)+IF(ISNUMBER(Matching_Engine!$L$121),Matching_Engine!$L$121*Lookup_Lists!$D$334,0))/(IF(ISNUMBER(Matching_Engine!$J$121),Lookup_Lists!$D$332,0)+IF(ISNUMBER(Matching_Engine!$K$121),Lookup_Lists!$D$333,0)+IF(ISNUMBER(Matching_Engine!$L$121),Lookup_Lists!$D$334,0)),0))</f>
      </c>
      <c r="N121" s="11">
        <f>IF(ISNUMBER(Matching_Engine!$M$121),1,0)</f>
      </c>
      <c r="O121" s="18">
        <f>IF(NOT(ISNUMBER(IFERROR(INDEX(KOL_Source_Data!$V$25:KOL_Source_Data!$Z$25,1,MATCH(Brand_Profile!$I$11,Lookup_Lists!$F$6:$F$10,0)),""))),"N/A",MIN(100,ROUND((IFERROR(INDEX(KOL_Source_Data!$V$25:KOL_Source_Data!$Z$25,1,MATCH(Brand_Profile!$I$11,Lookup_Lists!$F$6:$F$10,0)),"")+0.5*IF(ISNUMBER(IFERROR(INDEX(KOL_Source_Data!$V$25:KOL_Source_Data!$Z$25,1,MATCH(Brand_Profile!$I$12,Lookup_Lists!$F$6:$F$10,0)),"")),IFERROR(INDEX(KOL_Source_Data!$V$25:KOL_Source_Data!$Z$25,1,MATCH(Brand_Profile!$I$12,Lookup_Lists!$F$6:$F$10,0)),""),0))/Lookup_Lists!$D$142*100,0)))</f>
      </c>
      <c r="P121" s="18">
        <f>IF(Brand_Profile!$I$13="Any",100,IF(NOT(ISNUMBER(KOL_Source_Data!$AA$25)),"N/A",IF(Brand_Profile!$I$13="Female",MIN(100,ROUND(KOL_Source_Data!$AA$25/Lookup_Lists!$D$143*100,0)),IF(Brand_Profile!$I$13="Male",MIN(100,ROUND(IF(ISNUMBER(KOL_Source_Data!$AB$25),KOL_Source_Data!$AB$25,100-KOL_Source_Data!$AA$25)/Lookup_Lists!$D$143*100,0)),MAX(0,ROUND(100-ABS(KOL_Source_Data!$AA$25-50)*2,0))))))</f>
      </c>
      <c r="Q121" s="18">
        <f>IF((IF(ISNUMBER(IF(NOT(ISNUMBER(KOL_Source_Data!$AE$25)),"N/A",IF(KOL_Source_Data!$AD$25&lt;&gt;Brand_Profile!$I$14,Lookup_Lists!$D$151,MIN(100,ROUND(KOL_Source_Data!$AE$25/Lookup_Lists!$D$316*100,0))))),Lookup_Lists!$D$118,0)+IF(ISNUMBER(IF(NOT(ISNUMBER(KOL_Source_Data!$AM$25)),"N/A",MIN(100,ROUND((IF(KOL_Source_Data!$AG$25=Brand_Profile!$I$15,IF(ISNUMBER(KOL_Source_Data!$AH$25),KOL_Source_Data!$AH$25,0),0)+IF(KOL_Source_Data!$AI$25=Brand_Profile!$I$15,IF(ISNUMBER(KOL_Source_Data!$AJ$25),KOL_Source_Data!$AJ$25,0),0)+IF(KOL_Source_Data!$AK$25=Brand_Profile!$I$15,IF(ISNUMBER(KOL_Source_Data!$AL$25),KOL_Source_Data!$AL$25,0),0))/Lookup_Lists!$D$317*100,0)))),Lookup_Lists!$D$120,0))=0,"N/A",ROUND((IF(ISNUMBER(IF(NOT(ISNUMBER(KOL_Source_Data!$AE$25)),"N/A",IF(KOL_Source_Data!$AD$25&lt;&gt;Brand_Profile!$I$14,Lookup_Lists!$D$151,MIN(100,ROUND(KOL_Source_Data!$AE$25/Lookup_Lists!$D$316*100,0))))),IF(NOT(ISNUMBER(KOL_Source_Data!$AE$25)),"N/A",IF(KOL_Source_Data!$AD$25&lt;&gt;Brand_Profile!$I$14,Lookup_Lists!$D$151,MIN(100,ROUND(KOL_Source_Data!$AE$25/Lookup_Lists!$D$316*100,0))))*Lookup_Lists!$D$118,0)+IF(ISNUMBER(IF(NOT(ISNUMBER(KOL_Source_Data!$AM$25)),"N/A",MIN(100,ROUND((IF(KOL_Source_Data!$AG$25=Brand_Profile!$I$15,IF(ISNUMBER(KOL_Source_Data!$AH$25),KOL_Source_Data!$AH$25,0),0)+IF(KOL_Source_Data!$AI$25=Brand_Profile!$I$15,IF(ISNUMBER(KOL_Source_Data!$AJ$25),KOL_Source_Data!$AJ$25,0),0)+IF(KOL_Source_Data!$AK$25=Brand_Profile!$I$15,IF(ISNUMBER(KOL_Source_Data!$AL$25),KOL_Source_Data!$AL$25,0),0))/Lookup_Lists!$D$317*100,0)))),IF(NOT(ISNUMBER(KOL_Source_Data!$AM$25)),"N/A",MIN(100,ROUND((IF(KOL_Source_Data!$AG$25=Brand_Profile!$I$15,IF(ISNUMBER(KOL_Source_Data!$AH$25),KOL_Source_Data!$AH$25,0),0)+IF(KOL_Source_Data!$AI$25=Brand_Profile!$I$15,IF(ISNUMBER(KOL_Source_Data!$AJ$25),KOL_Source_Data!$AJ$25,0),0)+IF(KOL_Source_Data!$AK$25=Brand_Profile!$I$15,IF(ISNUMBER(KOL_Source_Data!$AL$25),KOL_Source_Data!$AL$25,0),0))/Lookup_Lists!$D$317*100,0)))*Lookup_Lists!$D$120,0))/(IF(ISNUMBER(IF(NOT(ISNUMBER(KOL_Source_Data!$AE$25)),"N/A",IF(KOL_Source_Data!$AD$25&lt;&gt;Brand_Profile!$I$14,Lookup_Lists!$D$151,MIN(100,ROUND(KOL_Source_Data!$AE$25/Lookup_Lists!$D$316*100,0))))),Lookup_Lists!$D$118,0)+IF(ISNUMBER(IF(NOT(ISNUMBER(KOL_Source_Data!$AM$25)),"N/A",MIN(100,ROUND((IF(KOL_Source_Data!$AG$25=Brand_Profile!$I$15,IF(ISNUMBER(KOL_Source_Data!$AH$25),KOL_Source_Data!$AH$25,0),0)+IF(KOL_Source_Data!$AI$25=Brand_Profile!$I$15,IF(ISNUMBER(KOL_Source_Data!$AJ$25),KOL_Source_Data!$AJ$25,0),0)+IF(KOL_Source_Data!$AK$25=Brand_Profile!$I$15,IF(ISNUMBER(KOL_Source_Data!$AL$25),KOL_Source_Data!$AL$25,0),0))/Lookup_Lists!$D$317*100,0)))),Lookup_Lists!$D$120,0)),0))</f>
      </c>
      <c r="R121" s="18">
        <f>IF(NOT(ISNUMBER(KOL_Source_Data!$AN$25)),"N/A",MIN(100,ROUND((IF(ISNUMBER(KOL_Source_Data!$AO$25),KOL_Source_Data!$AO$25*Brand_Profile!$I$17,0)+IF(ISNUMBER(KOL_Source_Data!$AP$25),KOL_Source_Data!$AP$25*Brand_Profile!$I$18,0)+IF(ISNUMBER(KOL_Source_Data!$AQ$25),KOL_Source_Data!$AQ$25*Brand_Profile!$I$19,0)+IF(ISNUMBER(KOL_Source_Data!$AR$25),KOL_Source_Data!$AR$25*Brand_Profile!$I$20,0)+IF(ISNUMBER(KOL_Source_Data!$AS$25),KOL_Source_Data!$AS$25*Brand_Profile!$I$21,0)+IF(ISNUMBER(KOL_Source_Data!$AT$25),KOL_Source_Data!$AT$25*Brand_Profile!$I$22,0)+IF(ISNUMBER(KOL_Source_Data!$AU$25),KOL_Source_Data!$AU$25*Brand_Profile!$I$23,0)+IF(ISNUMBER(KOL_Source_Data!$AV$25),KOL_Source_Data!$AV$25*Brand_Profile!$I$24,0)+IF(ISNUMBER(KOL_Source_Data!$AW$25),KOL_Source_Data!$AW$25*Brand_Profile!$I$25,0)+IF(ISNUMBER(KOL_Source_Data!$AX$25),KOL_Source_Data!$AX$25*Brand_Profile!$I$26,0)+IF(ISNUMBER(KOL_Source_Data!$AY$25),KOL_Source_Data!$AY$25*Brand_Profile!$I$27,0)+IF(ISNUMBER(KOL_Source_Data!$AZ$25),KOL_Source_Data!$AZ$25*Brand_Profile!$I$28,0)+IF(ISNUMBER(KOL_Source_Data!$BA$25),KOL_Source_Data!$BA$25*Brand_Profile!$I$29,0)+IF(ISNUMBER(KOL_Source_Data!$BB$25),KOL_Source_Data!$BB$25*Brand_Profile!$I$30,0)+IF(ISNUMBER(KOL_Source_Data!$BC$25),KOL_Source_Data!$BC$25*Brand_Profile!$I$31,0)+IF(ISNUMBER(KOL_Source_Data!$BD$25),KOL_Source_Data!$BD$25*Brand_Profile!$I$32,0)+IF(ISNUMBER(KOL_Source_Data!$BE$25),KOL_Source_Data!$BE$25*Brand_Profile!$I$33,0)+IF(ISNUMBER(KOL_Source_Data!$BF$25),KOL_Source_Data!$BF$25*Brand_Profile!$I$34,0))/Lookup_Lists!$D$318*100,0)))</f>
      </c>
      <c r="S121" s="29">
        <f>IF((IF(ISNUMBER(Matching_Engine!$O$121),Lookup_Lists!$D$113,0)+IF(ISNUMBER(Matching_Engine!$P$121),Lookup_Lists!$D$114,0)+IF(ISNUMBER(Matching_Engine!$Q$121),Lookup_Lists!$D$115,0)+IF(ISNUMBER(Matching_Engine!$R$121),Lookup_Lists!$D$116,0))=0,"N/A",ROUND((IF(ISNUMBER(Matching_Engine!$O$121),Matching_Engine!$O$121*Lookup_Lists!$D$113,0)+IF(ISNUMBER(Matching_Engine!$P$121),Matching_Engine!$P$121*Lookup_Lists!$D$114,0)+IF(ISNUMBER(Matching_Engine!$Q$121),Matching_Engine!$Q$121*Lookup_Lists!$D$115,0)+IF(ISNUMBER(Matching_Engine!$R$121),Matching_Engine!$R$121*Lookup_Lists!$D$116,0))/(IF(ISNUMBER(Matching_Engine!$O$121),Lookup_Lists!$D$113,0)+IF(ISNUMBER(Matching_Engine!$P$121),Lookup_Lists!$D$114,0)+IF(ISNUMBER(Matching_Engine!$Q$121),Lookup_Lists!$D$115,0)+IF(ISNUMBER(Matching_Engine!$R$121),Lookup_Lists!$D$116,0)),0))</f>
      </c>
      <c r="T121" s="11">
        <f>IF(ISNUMBER(Matching_Engine!$S$121),1,0)</f>
      </c>
      <c r="U121" s="18">
        <f>IF(NOT(AND(ISTEXT(KOL_Source_Data!$M$25),KOL_Source_Data!$M$25&lt;&gt;"N/A")),Lookup_Lists!$D$150,IF(Brand_Profile!$I$7=KOL_Source_Data!$M$25,100,IFERROR(INDEX(Lookup_Lists!$B$349:$J$357,MATCH(Brand_Profile!$I$7,Lookup_Lists!$A$349:$A$357,0),MATCH(KOL_Source_Data!$M$25,Lookup_Lists!$B$348:$J$348,0)),Lookup_Lists!$D$151)))</f>
      </c>
      <c r="V121" s="18">
        <f>IF(NOT(AND(ISTEXT(KOL_Source_Data!$P$25),KOL_Source_Data!$P$25&lt;&gt;"N/A")),"N/A",IFERROR(INDEX(Lookup_Lists!$B$349:$J$357,MATCH(Brand_Profile!$I$7,Lookup_Lists!$A$349:$A$357,0),MATCH(KOL_Source_Data!$P$25,Lookup_Lists!$B$348:$J$348,0)),Lookup_Lists!$D$151))</f>
      </c>
      <c r="W121" s="18">
        <f>IF(LEN(TRIM(SUBSTITUTE(Matching_Engine!$BE$121,"|","")))=0,"N/A",IF(Brand_Profile!$I$60=0,Lookup_Lists!$D$150,ROUND((IF(Brand_Profile!$I$54="",0,IF(ISNUMBER(SEARCH(Brand_Profile!$I$54,Matching_Engine!$BE$121)),1,0))+IF(Brand_Profile!$I$55="",0,IF(ISNUMBER(SEARCH(Brand_Profile!$I$55,Matching_Engine!$BE$121)),1,0))+IF(Brand_Profile!$I$56="",0,IF(ISNUMBER(SEARCH(Brand_Profile!$I$56,Matching_Engine!$BE$121)),1,0))+IF(Brand_Profile!$I$57="",0,IF(ISNUMBER(SEARCH(Brand_Profile!$I$57,Matching_Engine!$BE$121)),1,0))+IF(Brand_Profile!$I$58="",0,IF(ISNUMBER(SEARCH(Brand_Profile!$I$58,Matching_Engine!$BE$121)),1,0))+IF(Brand_Profile!$I$59="",0,IF(ISNUMBER(SEARCH(Brand_Profile!$I$59,Matching_Engine!$BE$121)),1,0)))/Brand_Profile!$I$60*100,0)))</f>
      </c>
      <c r="X121" s="18">
        <f>IF(NOT(AND(ISTEXT(KOL_Source_Data!$Q$25),KOL_Source_Data!$Q$25&lt;&gt;"N/A")),"N/A",Lookup_Lists!$D$150)</f>
      </c>
      <c r="Y121" s="29">
        <f>IF((IF(ISNUMBER(Matching_Engine!$U$121),Lookup_Lists!$D$335,0)+IF(ISNUMBER(Matching_Engine!$V$121),Lookup_Lists!$D$122,0)+IF(ISNUMBER(Matching_Engine!$W$121),Lookup_Lists!$D$336,0)+IF(ISNUMBER(Matching_Engine!$X$121),Lookup_Lists!$D$124,0))=0,"N/A",ROUND((IF(ISNUMBER(Matching_Engine!$U$121),Matching_Engine!$U$121*Lookup_Lists!$D$335,0)+IF(ISNUMBER(Matching_Engine!$V$121),Matching_Engine!$V$121*Lookup_Lists!$D$122,0)+IF(ISNUMBER(Matching_Engine!$W$121),Matching_Engine!$W$121*Lookup_Lists!$D$336,0)+IF(ISNUMBER(Matching_Engine!$X$121),Matching_Engine!$X$121*Lookup_Lists!$D$124,0))/(IF(ISNUMBER(Matching_Engine!$U$121),Lookup_Lists!$D$335,0)+IF(ISNUMBER(Matching_Engine!$V$121),Lookup_Lists!$D$122,0)+IF(ISNUMBER(Matching_Engine!$W$121),Lookup_Lists!$D$336,0)+IF(ISNUMBER(Matching_Engine!$X$121),Lookup_Lists!$D$124,0)),0))</f>
      </c>
      <c r="Z121" s="11">
        <f>IF(ISNUMBER(Matching_Engine!$Y$121),1,0)</f>
      </c>
      <c r="AA121" s="18">
        <f>IF(NOT(AND(ISTEXT(KOL_Source_Data!$Q$25),KOL_Source_Data!$Q$25&lt;&gt;"N/A")),"N/A",Lookup_Lists!$D$150)</f>
      </c>
      <c r="AB121" s="18">
        <f>IF(NOT(AND(ISTEXT(KOL_Source_Data!$Q$25),KOL_Source_Data!$Q$25&lt;&gt;"N/A")),"N/A",Lookup_Lists!$D$150)</f>
      </c>
      <c r="AC121" s="18">
        <f>"N/A"</f>
      </c>
      <c r="AD121" s="18">
        <f>IF(NOT(AND(ISTEXT(KOL_Source_Data!$Q$25),KOL_Source_Data!$Q$25&lt;&gt;"N/A")),"N/A",Lookup_Lists!$D$150)</f>
      </c>
      <c r="AE121" s="29">
        <f>IF((IF(ISNUMBER(Matching_Engine!$AA$121),Lookup_Lists!$D$125,0)+IF(ISNUMBER(Matching_Engine!$AB$121),Lookup_Lists!$D$126,0)+IF(ISNUMBER(Matching_Engine!$AC$121),Lookup_Lists!$D$127,0)+IF(ISNUMBER(Matching_Engine!$AD$121),Lookup_Lists!$D$128,0))=0,"N/A",ROUND((IF(ISNUMBER(Matching_Engine!$AA$121),Matching_Engine!$AA$121*Lookup_Lists!$D$125,0)+IF(ISNUMBER(Matching_Engine!$AB$121),Matching_Engine!$AB$121*Lookup_Lists!$D$126,0)+IF(ISNUMBER(Matching_Engine!$AC$121),Matching_Engine!$AC$121*Lookup_Lists!$D$127,0)+IF(ISNUMBER(Matching_Engine!$AD$121),Matching_Engine!$AD$121*Lookup_Lists!$D$128,0))/(IF(ISNUMBER(Matching_Engine!$AA$121),Lookup_Lists!$D$125,0)+IF(ISNUMBER(Matching_Engine!$AB$121),Lookup_Lists!$D$126,0)+IF(ISNUMBER(Matching_Engine!$AC$121),Lookup_Lists!$D$127,0)+IF(ISNUMBER(Matching_Engine!$AD$121),Lookup_Lists!$D$128,0)),0))</f>
      </c>
      <c r="AF121" s="11">
        <f>IF(ISNUMBER(Matching_Engine!$AE$121),1,0)</f>
      </c>
      <c r="AG121" s="18">
        <f>IF(NOT(ISNUMBER(KOL_Source_Data!$BG$25)),"N/A",MIN(100,ROUND(KOL_Source_Data!$BG$25/IFERROR(INDEX(Lookup_Lists!$B$340:$B$344,MATCH(KOL_Source_Data!$H$25,Lookup_Lists!$A$340:$A$344,0)),Lookup_Lists!$D$141)*100,0)))</f>
      </c>
      <c r="AH121" s="18">
        <f>IF(NOT(ISNUMBER(KOL_Source_Data!$BS$25)),"N/A",MIN(100,MAX(0,KOL_Source_Data!$BS$25)))</f>
      </c>
      <c r="AI121" s="18">
        <f>IF(OR(NOT(ISNUMBER(KOL_Source_Data!$BM$25)),NOT(ISNUMBER(KOL_Source_Data!$BN$25)),KOL_Source_Data!$BN$25&lt;Lookup_Lists!$D$320),"N/A",MIN(100,ROUND(KOL_Source_Data!$BM$25/Lookup_Lists!$D$319*100,0)))</f>
      </c>
      <c r="AJ121" s="18">
        <f>IF(NOT(ISNUMBER(KOL_Source_Data!$BR$25)),"N/A",KOL_Source_Data!$BR$25)</f>
      </c>
      <c r="AK121" s="18">
        <f>IF(NOT(ISNUMBER(KOL_Source_Data!$BK$25)),"N/A",MIN(100,ROUND(KOL_Source_Data!$BK$25/Lookup_Lists!$D$321*100,0)))</f>
      </c>
      <c r="AL121" s="18">
        <f>IF(NOT(ISNUMBER(KOL_Source_Data!$BP$25)),"N/A",MIN(100,MAX(0,ROUND((KOL_Source_Data!$BP$25+2)/(Lookup_Lists!$D$145+2)*100,0))))</f>
      </c>
      <c r="AM121" s="29">
        <f>IF((IF(ISNUMBER(Matching_Engine!$AG$121),Lookup_Lists!$D$129,0)+IF(ISNUMBER(Matching_Engine!$AH$121),Lookup_Lists!$D$130,0)+IF(ISNUMBER(Matching_Engine!$AI$121),Lookup_Lists!$D$131,0)+IF(ISNUMBER(Matching_Engine!$AJ$121),Lookup_Lists!$D$132,0)+IF(ISNUMBER(Matching_Engine!$AK$121),Lookup_Lists!$D$133,0)+IF(ISNUMBER(Matching_Engine!$AL$121),Lookup_Lists!$D$134,0))=0,"N/A",ROUND((IF(ISNUMBER(Matching_Engine!$AG$121),Matching_Engine!$AG$121*Lookup_Lists!$D$129,0)+IF(ISNUMBER(Matching_Engine!$AH$121),Matching_Engine!$AH$121*Lookup_Lists!$D$130,0)+IF(ISNUMBER(Matching_Engine!$AI$121),Matching_Engine!$AI$121*Lookup_Lists!$D$131,0)+IF(ISNUMBER(Matching_Engine!$AJ$121),Matching_Engine!$AJ$121*Lookup_Lists!$D$132,0)+IF(ISNUMBER(Matching_Engine!$AK$121),Matching_Engine!$AK$121*Lookup_Lists!$D$133,0)+IF(ISNUMBER(Matching_Engine!$AL$121),Matching_Engine!$AL$121*Lookup_Lists!$D$134,0))/(IF(ISNUMBER(Matching_Engine!$AG$121),Lookup_Lists!$D$129,0)+IF(ISNUMBER(Matching_Engine!$AH$121),Lookup_Lists!$D$130,0)+IF(ISNUMBER(Matching_Engine!$AI$121),Lookup_Lists!$D$131,0)+IF(ISNUMBER(Matching_Engine!$AJ$121),Lookup_Lists!$D$132,0)+IF(ISNUMBER(Matching_Engine!$AK$121),Lookup_Lists!$D$133,0)+IF(ISNUMBER(Matching_Engine!$AL$121),Lookup_Lists!$D$134,0)),0))</f>
      </c>
      <c r="AN121" s="11">
        <f>IF(ISNUMBER(Matching_Engine!$AM$121),1,0)</f>
      </c>
      <c r="AO121" s="18">
        <f>IF(NOT(ISNUMBER(KOL_Source_Data!$BT$25)),"N/A",MIN(100,MAX(0,KOL_Source_Data!$BT$25)))</f>
      </c>
      <c r="AP121" s="18">
        <f>IF(NOT(ISNUMBER(KOL_Source_Data!$BU$25)),"N/A",MIN(100,MAX(0,KOL_Source_Data!$BU$25)))</f>
      </c>
      <c r="AQ121" s="18">
        <f>IF(KOL_Source_Data!$I$25="Yes",Lookup_Lists!$D$326,IF(KOL_Source_Data!$I$25="No",Lookup_Lists!$D$327,"N/A"))</f>
      </c>
      <c r="AR121" s="18">
        <f>IF(NOT(ISNUMBER(KOL_Source_Data!$BQ$25)),"N/A",MAX(0,ROUND(100-KOL_Source_Data!$BQ$25/Lookup_Lists!$D$328*100,0)))</f>
      </c>
      <c r="AS121" s="18">
        <f>IF(NOT(AND(ISTEXT(KOL_Source_Data!$BV$25),KOL_Source_Data!$BV$25&lt;&gt;"N/A")),"N/A",KOL_Source_Data!$BV$25)</f>
      </c>
      <c r="AT121" s="29">
        <f>IF((IF(ISNUMBER(Matching_Engine!$AO$121),Lookup_Lists!$D$322,0)+IF(ISNUMBER(Matching_Engine!$AP$121),Lookup_Lists!$D$323,0)+IF(ISNUMBER(Matching_Engine!$AQ$121),Lookup_Lists!$D$324,0)+IF(ISNUMBER(Matching_Engine!$AR$121),Lookup_Lists!$D$325,0))=0,"N/A",ROUND((IF(ISNUMBER(Matching_Engine!$AO$121),Matching_Engine!$AO$121*Lookup_Lists!$D$322,0)+IF(ISNUMBER(Matching_Engine!$AP$121),Matching_Engine!$AP$121*Lookup_Lists!$D$323,0)+IF(ISNUMBER(Matching_Engine!$AQ$121),Matching_Engine!$AQ$121*Lookup_Lists!$D$324,0)+IF(ISNUMBER(Matching_Engine!$AR$121),Matching_Engine!$AR$121*Lookup_Lists!$D$325,0))/(IF(ISNUMBER(Matching_Engine!$AO$121),Lookup_Lists!$D$322,0)+IF(ISNUMBER(Matching_Engine!$AP$121),Lookup_Lists!$D$323,0)+IF(ISNUMBER(Matching_Engine!$AQ$121),Lookup_Lists!$D$324,0)+IF(ISNUMBER(Matching_Engine!$AR$121),Lookup_Lists!$D$325,0)),0))</f>
      </c>
      <c r="AU121" s="11">
        <f>IF(ISNUMBER(Matching_Engine!$AT$121),1,0)</f>
      </c>
      <c r="AV121" s="11">
        <f>IF(NOT(ISNUMBER(Matching_Engine!$AT$121)),"Not Screened",IF(Matching_Engine!$AT$121&gt;=Lookup_Lists!$D$329,"Low Risk",IF(Matching_Engine!$AT$121&gt;=Lookup_Lists!$D$330,"Moderate Risk",IF(Matching_Engine!$AT$121&gt;=Lookup_Lists!$D$331,"Elevated Risk","High Risk"))))</f>
      </c>
      <c r="AW121" s="11">
        <f>IF(NOT(ISNUMBER(Matching_Engine!$AT$121)),"No integrity signal: no audience-analysis row for this account.","Integrity screen only — no content-risk reading exists (comments_analysis: 0 rows). "&amp;IF(ISNUMBER(Matching_Engine!$AO$121),"Authenticity "&amp;Matching_Engine!$AO$121&amp;". ","Authenticity N/A. ")&amp;IF(ISNUMBER(Matching_Engine!$AP$121),"Follower quality "&amp;Matching_Engine!$AP$121&amp;". ","Follower quality N/A. ")&amp;IF(KOL_Source_Data!$I$25="Yes","Platform-verified.","Not platform-verified."))</f>
      </c>
      <c r="AX121" s="18">
        <f>Matching_Engine!$N$121*Lookup_Lists!$D$104+Matching_Engine!$T$121*Lookup_Lists!$D$105+Matching_Engine!$Z$121*Lookup_Lists!$D$106+Matching_Engine!$AF$121*Lookup_Lists!$D$107+Matching_Engine!$AN$121*Lookup_Lists!$D$108+Matching_Engine!$AU$121*Lookup_Lists!$D$109</f>
      </c>
      <c r="AY121" s="30">
        <f>IF(Matching_Engine!$AX$121=0,"N/A",ROUND((IF(Matching_Engine!$N$121=1,Matching_Engine!$M$121*Lookup_Lists!$D$104,0)+IF(Matching_Engine!$T$121=1,Matching_Engine!$S$121*Lookup_Lists!$D$105,0)+IF(Matching_Engine!$Z$121=1,Matching_Engine!$Y$121*Lookup_Lists!$D$106,0)+IF(Matching_Engine!$AF$121=1,Matching_Engine!$AE$121*Lookup_Lists!$D$107,0)+IF(Matching_Engine!$AN$121=1,Matching_Engine!$AM$121*Lookup_Lists!$D$108,0)+IF(Matching_Engine!$AU$121=1,Matching_Engine!$AT$121*Lookup_Lists!$D$109,0))/Matching_Engine!$AX$121,0))</f>
      </c>
      <c r="AZ121" s="11">
        <f>IF(NOT(ISNUMBER(Matching_Engine!$AY$121)),"Not Scored",IF(Matching_Engine!$AY$121&gt;=Lookup_Lists!$D$152,"Excellent Match",IF(Matching_Engine!$AY$121&gt;=Lookup_Lists!$D$153,"Strong Match",IF(Matching_Engine!$AY$121&gt;=Lookup_Lists!$D$154,"Good Match",IF(Matching_Engine!$AY$121&gt;=Lookup_Lists!$D$155,"Moderate Match","Low Match")))))</f>
      </c>
      <c r="BA121" s="18">
        <f>KOL_Source_Data!$BW$25</f>
      </c>
      <c r="BB121" s="11">
        <f>KOL_Source_Data!$BX$25</f>
      </c>
      <c r="BC121" s="18">
        <f>IF(NOT(ISNUMBER(Matching_Engine!$AY$121)),-1,Matching_Engine!$AY$121*1000+5)</f>
      </c>
      <c r="BD121" s="11">
        <f>IF(AND(ISTEXT(KOL_Source_Data!$S$25),KOL_Source_Data!$S$25&lt;&gt;"N/A"),KOL_Source_Data!$S$25,"")&amp;" | "&amp;IF(AND(ISTEXT(KOL_Source_Data!$T$25),KOL_Source_Data!$T$25&lt;&gt;"N/A"),KOL_Source_Data!$T$25,"")&amp;" | "&amp;IF(AND(ISTEXT(KOL_Source_Data!$N$25),KOL_Source_Data!$N$25&lt;&gt;"N/A"),KOL_Source_Data!$N$25,"")&amp;" | "&amp;IF(AND(ISTEXT(KOL_Source_Data!$K$25),KOL_Source_Data!$K$25&lt;&gt;"N/A"),KOL_Source_Data!$K$25,"")&amp;" | "&amp;IF(AND(ISTEXT(KOL_Source_Data!$J$25),KOL_Source_Data!$J$25&lt;&gt;"N/A"),KOL_Source_Data!$J$25,"")</f>
      </c>
      <c r="BE121" s="11">
        <f>IF(AND(ISTEXT(KOL_Source_Data!$T$25),KOL_Source_Data!$T$25&lt;&gt;"N/A"),KOL_Source_Data!$T$25,"")&amp;" | "&amp;IF(AND(ISTEXT(KOL_Source_Data!$N$25),KOL_Source_Data!$N$25&lt;&gt;"N/A"),KOL_Source_Data!$N$25,"")&amp;" | "&amp;IF(AND(ISTEXT(KOL_Source_Data!$O$25),KOL_Source_Data!$O$25&lt;&gt;"N/A"),KOL_Source_Data!$O$25,"")&amp;" | "&amp;IF(AND(ISTEXT(KOL_Source_Data!$S$25),KOL_Source_Data!$S$25&lt;&gt;"N/A"),KOL_Source_Data!$S$25,"")</f>
      </c>
      <c r="BF121" s="11">
        <f>IF(AND(ISTEXT(KOL_Source_Data!$U$25),KOL_Source_Data!$U$25&lt;&gt;"N/A"),KOL_Source_Data!$U$25,"")</f>
      </c>
      <c r="BG121" s="11">
        <f>Matching_Engine!$A$121&amp;"|"&amp;Matching_Engine!$C$121</f>
      </c>
    </row>
    <row r="122" spans="1:59" x14ac:dyDescent="0.25">
      <c r="A122" s="10" t="s">
        <v>394</v>
      </c>
      <c r="B122" s="11">
        <f>Brand_Profile!$I$6</f>
      </c>
      <c r="C122" s="11">
        <f>KOL_Source_Data!$A$26</f>
      </c>
      <c r="D122" s="11">
        <f>KOL_Source_Data!$C$26</f>
      </c>
      <c r="E122" s="11">
        <f>KOL_Source_Data!$D$26</f>
      </c>
      <c r="F122" s="11">
        <f>KOL_Source_Data!$E$26</f>
      </c>
      <c r="G122" s="11">
        <f>KOL_Source_Data!$K$26</f>
      </c>
      <c r="H122" s="12">
        <f>KOL_Source_Data!$G$26</f>
      </c>
      <c r="I122" s="14">
        <f>KOL_Source_Data!$BG$26</f>
      </c>
      <c r="J122" s="18">
        <f>IF(NOT(AND(ISTEXT(KOL_Source_Data!$K$26),KOL_Source_Data!$K$26&lt;&gt;"N/A")),Lookup_Lists!$D$150,IF(Brand_Profile!$I$7=KOL_Source_Data!$K$26,100,IFERROR(INDEX(Lookup_Lists!$B$349:$J$357,MATCH(Brand_Profile!$I$7,Lookup_Lists!$A$349:$A$357,0),MATCH(KOL_Source_Data!$K$26,Lookup_Lists!$B$348:$J$348,0)),Lookup_Lists!$D$151)))</f>
      </c>
      <c r="K122" s="18">
        <f>IF(LEN(TRIM(SUBSTITUTE(Matching_Engine!$BD$122,"|","")))=0,"N/A",IF(Brand_Profile!$I$47=0,Lookup_Lists!$D$150,ROUND((IF(Brand_Profile!$I$41="",0,IF(ISNUMBER(SEARCH(Brand_Profile!$I$41,Matching_Engine!$BD$122)),1,0))+IF(Brand_Profile!$I$42="",0,IF(ISNUMBER(SEARCH(Brand_Profile!$I$42,Matching_Engine!$BD$122)),1,0))+IF(Brand_Profile!$I$43="",0,IF(ISNUMBER(SEARCH(Brand_Profile!$I$43,Matching_Engine!$BD$122)),1,0))+IF(Brand_Profile!$I$44="",0,IF(ISNUMBER(SEARCH(Brand_Profile!$I$44,Matching_Engine!$BD$122)),1,0))+IF(Brand_Profile!$I$45="",0,IF(ISNUMBER(SEARCH(Brand_Profile!$I$45,Matching_Engine!$BD$122)),1,0))+IF(Brand_Profile!$I$46="",0,IF(ISNUMBER(SEARCH(Brand_Profile!$I$46,Matching_Engine!$BD$122)),1,0)))/Brand_Profile!$I$47*100,0)))</f>
      </c>
      <c r="L122" s="18">
        <f>IF(NOT(AND(ISTEXT(KOL_Source_Data!$U$26),KOL_Source_Data!$U$26&lt;&gt;"N/A")),"N/A",IF(Brand_Profile!$I$53=0,Lookup_Lists!$D$150,ROUND((IF(Brand_Profile!$I$48="",0,IF(ISNUMBER(SEARCH(Brand_Profile!$I$48,Matching_Engine!$BF$122)),1,0))+IF(Brand_Profile!$I$49="",0,IF(ISNUMBER(SEARCH(Brand_Profile!$I$49,Matching_Engine!$BF$122)),1,0))+IF(Brand_Profile!$I$50="",0,IF(ISNUMBER(SEARCH(Brand_Profile!$I$50,Matching_Engine!$BF$122)),1,0))+IF(Brand_Profile!$I$51="",0,IF(ISNUMBER(SEARCH(Brand_Profile!$I$51,Matching_Engine!$BF$122)),1,0))+IF(Brand_Profile!$I$52="",0,IF(ISNUMBER(SEARCH(Brand_Profile!$I$52,Matching_Engine!$BF$122)),1,0)))/Brand_Profile!$I$53*100,0)))</f>
      </c>
      <c r="M122" s="29">
        <f>IF((IF(ISNUMBER(Matching_Engine!$J$122),Lookup_Lists!$D$332,0)+IF(ISNUMBER(Matching_Engine!$K$122),Lookup_Lists!$D$333,0)+IF(ISNUMBER(Matching_Engine!$L$122),Lookup_Lists!$D$334,0))=0,"N/A",ROUND((IF(ISNUMBER(Matching_Engine!$J$122),Matching_Engine!$J$122*Lookup_Lists!$D$332,0)+IF(ISNUMBER(Matching_Engine!$K$122),Matching_Engine!$K$122*Lookup_Lists!$D$333,0)+IF(ISNUMBER(Matching_Engine!$L$122),Matching_Engine!$L$122*Lookup_Lists!$D$334,0))/(IF(ISNUMBER(Matching_Engine!$J$122),Lookup_Lists!$D$332,0)+IF(ISNUMBER(Matching_Engine!$K$122),Lookup_Lists!$D$333,0)+IF(ISNUMBER(Matching_Engine!$L$122),Lookup_Lists!$D$334,0)),0))</f>
      </c>
      <c r="N122" s="11">
        <f>IF(ISNUMBER(Matching_Engine!$M$122),1,0)</f>
      </c>
      <c r="O122" s="18">
        <f>IF(NOT(ISNUMBER(IFERROR(INDEX(KOL_Source_Data!$V$26:KOL_Source_Data!$Z$26,1,MATCH(Brand_Profile!$I$11,Lookup_Lists!$F$6:$F$10,0)),""))),"N/A",MIN(100,ROUND((IFERROR(INDEX(KOL_Source_Data!$V$26:KOL_Source_Data!$Z$26,1,MATCH(Brand_Profile!$I$11,Lookup_Lists!$F$6:$F$10,0)),"")+0.5*IF(ISNUMBER(IFERROR(INDEX(KOL_Source_Data!$V$26:KOL_Source_Data!$Z$26,1,MATCH(Brand_Profile!$I$12,Lookup_Lists!$F$6:$F$10,0)),"")),IFERROR(INDEX(KOL_Source_Data!$V$26:KOL_Source_Data!$Z$26,1,MATCH(Brand_Profile!$I$12,Lookup_Lists!$F$6:$F$10,0)),""),0))/Lookup_Lists!$D$142*100,0)))</f>
      </c>
      <c r="P122" s="18">
        <f>IF(Brand_Profile!$I$13="Any",100,IF(NOT(ISNUMBER(KOL_Source_Data!$AA$26)),"N/A",IF(Brand_Profile!$I$13="Female",MIN(100,ROUND(KOL_Source_Data!$AA$26/Lookup_Lists!$D$143*100,0)),IF(Brand_Profile!$I$13="Male",MIN(100,ROUND(IF(ISNUMBER(KOL_Source_Data!$AB$26),KOL_Source_Data!$AB$26,100-KOL_Source_Data!$AA$26)/Lookup_Lists!$D$143*100,0)),MAX(0,ROUND(100-ABS(KOL_Source_Data!$AA$26-50)*2,0))))))</f>
      </c>
      <c r="Q122" s="18">
        <f>IF((IF(ISNUMBER(IF(NOT(ISNUMBER(KOL_Source_Data!$AE$26)),"N/A",IF(KOL_Source_Data!$AD$26&lt;&gt;Brand_Profile!$I$14,Lookup_Lists!$D$151,MIN(100,ROUND(KOL_Source_Data!$AE$26/Lookup_Lists!$D$316*100,0))))),Lookup_Lists!$D$118,0)+IF(ISNUMBER(IF(NOT(ISNUMBER(KOL_Source_Data!$AM$26)),"N/A",MIN(100,ROUND((IF(KOL_Source_Data!$AG$26=Brand_Profile!$I$15,IF(ISNUMBER(KOL_Source_Data!$AH$26),KOL_Source_Data!$AH$26,0),0)+IF(KOL_Source_Data!$AI$26=Brand_Profile!$I$15,IF(ISNUMBER(KOL_Source_Data!$AJ$26),KOL_Source_Data!$AJ$26,0),0)+IF(KOL_Source_Data!$AK$26=Brand_Profile!$I$15,IF(ISNUMBER(KOL_Source_Data!$AL$26),KOL_Source_Data!$AL$26,0),0))/Lookup_Lists!$D$317*100,0)))),Lookup_Lists!$D$120,0))=0,"N/A",ROUND((IF(ISNUMBER(IF(NOT(ISNUMBER(KOL_Source_Data!$AE$26)),"N/A",IF(KOL_Source_Data!$AD$26&lt;&gt;Brand_Profile!$I$14,Lookup_Lists!$D$151,MIN(100,ROUND(KOL_Source_Data!$AE$26/Lookup_Lists!$D$316*100,0))))),IF(NOT(ISNUMBER(KOL_Source_Data!$AE$26)),"N/A",IF(KOL_Source_Data!$AD$26&lt;&gt;Brand_Profile!$I$14,Lookup_Lists!$D$151,MIN(100,ROUND(KOL_Source_Data!$AE$26/Lookup_Lists!$D$316*100,0))))*Lookup_Lists!$D$118,0)+IF(ISNUMBER(IF(NOT(ISNUMBER(KOL_Source_Data!$AM$26)),"N/A",MIN(100,ROUND((IF(KOL_Source_Data!$AG$26=Brand_Profile!$I$15,IF(ISNUMBER(KOL_Source_Data!$AH$26),KOL_Source_Data!$AH$26,0),0)+IF(KOL_Source_Data!$AI$26=Brand_Profile!$I$15,IF(ISNUMBER(KOL_Source_Data!$AJ$26),KOL_Source_Data!$AJ$26,0),0)+IF(KOL_Source_Data!$AK$26=Brand_Profile!$I$15,IF(ISNUMBER(KOL_Source_Data!$AL$26),KOL_Source_Data!$AL$26,0),0))/Lookup_Lists!$D$317*100,0)))),IF(NOT(ISNUMBER(KOL_Source_Data!$AM$26)),"N/A",MIN(100,ROUND((IF(KOL_Source_Data!$AG$26=Brand_Profile!$I$15,IF(ISNUMBER(KOL_Source_Data!$AH$26),KOL_Source_Data!$AH$26,0),0)+IF(KOL_Source_Data!$AI$26=Brand_Profile!$I$15,IF(ISNUMBER(KOL_Source_Data!$AJ$26),KOL_Source_Data!$AJ$26,0),0)+IF(KOL_Source_Data!$AK$26=Brand_Profile!$I$15,IF(ISNUMBER(KOL_Source_Data!$AL$26),KOL_Source_Data!$AL$26,0),0))/Lookup_Lists!$D$317*100,0)))*Lookup_Lists!$D$120,0))/(IF(ISNUMBER(IF(NOT(ISNUMBER(KOL_Source_Data!$AE$26)),"N/A",IF(KOL_Source_Data!$AD$26&lt;&gt;Brand_Profile!$I$14,Lookup_Lists!$D$151,MIN(100,ROUND(KOL_Source_Data!$AE$26/Lookup_Lists!$D$316*100,0))))),Lookup_Lists!$D$118,0)+IF(ISNUMBER(IF(NOT(ISNUMBER(KOL_Source_Data!$AM$26)),"N/A",MIN(100,ROUND((IF(KOL_Source_Data!$AG$26=Brand_Profile!$I$15,IF(ISNUMBER(KOL_Source_Data!$AH$26),KOL_Source_Data!$AH$26,0),0)+IF(KOL_Source_Data!$AI$26=Brand_Profile!$I$15,IF(ISNUMBER(KOL_Source_Data!$AJ$26),KOL_Source_Data!$AJ$26,0),0)+IF(KOL_Source_Data!$AK$26=Brand_Profile!$I$15,IF(ISNUMBER(KOL_Source_Data!$AL$26),KOL_Source_Data!$AL$26,0),0))/Lookup_Lists!$D$317*100,0)))),Lookup_Lists!$D$120,0)),0))</f>
      </c>
      <c r="R122" s="18">
        <f>IF(NOT(ISNUMBER(KOL_Source_Data!$AN$26)),"N/A",MIN(100,ROUND((IF(ISNUMBER(KOL_Source_Data!$AO$26),KOL_Source_Data!$AO$26*Brand_Profile!$I$17,0)+IF(ISNUMBER(KOL_Source_Data!$AP$26),KOL_Source_Data!$AP$26*Brand_Profile!$I$18,0)+IF(ISNUMBER(KOL_Source_Data!$AQ$26),KOL_Source_Data!$AQ$26*Brand_Profile!$I$19,0)+IF(ISNUMBER(KOL_Source_Data!$AR$26),KOL_Source_Data!$AR$26*Brand_Profile!$I$20,0)+IF(ISNUMBER(KOL_Source_Data!$AS$26),KOL_Source_Data!$AS$26*Brand_Profile!$I$21,0)+IF(ISNUMBER(KOL_Source_Data!$AT$26),KOL_Source_Data!$AT$26*Brand_Profile!$I$22,0)+IF(ISNUMBER(KOL_Source_Data!$AU$26),KOL_Source_Data!$AU$26*Brand_Profile!$I$23,0)+IF(ISNUMBER(KOL_Source_Data!$AV$26),KOL_Source_Data!$AV$26*Brand_Profile!$I$24,0)+IF(ISNUMBER(KOL_Source_Data!$AW$26),KOL_Source_Data!$AW$26*Brand_Profile!$I$25,0)+IF(ISNUMBER(KOL_Source_Data!$AX$26),KOL_Source_Data!$AX$26*Brand_Profile!$I$26,0)+IF(ISNUMBER(KOL_Source_Data!$AY$26),KOL_Source_Data!$AY$26*Brand_Profile!$I$27,0)+IF(ISNUMBER(KOL_Source_Data!$AZ$26),KOL_Source_Data!$AZ$26*Brand_Profile!$I$28,0)+IF(ISNUMBER(KOL_Source_Data!$BA$26),KOL_Source_Data!$BA$26*Brand_Profile!$I$29,0)+IF(ISNUMBER(KOL_Source_Data!$BB$26),KOL_Source_Data!$BB$26*Brand_Profile!$I$30,0)+IF(ISNUMBER(KOL_Source_Data!$BC$26),KOL_Source_Data!$BC$26*Brand_Profile!$I$31,0)+IF(ISNUMBER(KOL_Source_Data!$BD$26),KOL_Source_Data!$BD$26*Brand_Profile!$I$32,0)+IF(ISNUMBER(KOL_Source_Data!$BE$26),KOL_Source_Data!$BE$26*Brand_Profile!$I$33,0)+IF(ISNUMBER(KOL_Source_Data!$BF$26),KOL_Source_Data!$BF$26*Brand_Profile!$I$34,0))/Lookup_Lists!$D$318*100,0)))</f>
      </c>
      <c r="S122" s="29">
        <f>IF((IF(ISNUMBER(Matching_Engine!$O$122),Lookup_Lists!$D$113,0)+IF(ISNUMBER(Matching_Engine!$P$122),Lookup_Lists!$D$114,0)+IF(ISNUMBER(Matching_Engine!$Q$122),Lookup_Lists!$D$115,0)+IF(ISNUMBER(Matching_Engine!$R$122),Lookup_Lists!$D$116,0))=0,"N/A",ROUND((IF(ISNUMBER(Matching_Engine!$O$122),Matching_Engine!$O$122*Lookup_Lists!$D$113,0)+IF(ISNUMBER(Matching_Engine!$P$122),Matching_Engine!$P$122*Lookup_Lists!$D$114,0)+IF(ISNUMBER(Matching_Engine!$Q$122),Matching_Engine!$Q$122*Lookup_Lists!$D$115,0)+IF(ISNUMBER(Matching_Engine!$R$122),Matching_Engine!$R$122*Lookup_Lists!$D$116,0))/(IF(ISNUMBER(Matching_Engine!$O$122),Lookup_Lists!$D$113,0)+IF(ISNUMBER(Matching_Engine!$P$122),Lookup_Lists!$D$114,0)+IF(ISNUMBER(Matching_Engine!$Q$122),Lookup_Lists!$D$115,0)+IF(ISNUMBER(Matching_Engine!$R$122),Lookup_Lists!$D$116,0)),0))</f>
      </c>
      <c r="T122" s="11">
        <f>IF(ISNUMBER(Matching_Engine!$S$122),1,0)</f>
      </c>
      <c r="U122" s="18">
        <f>IF(NOT(AND(ISTEXT(KOL_Source_Data!$M$26),KOL_Source_Data!$M$26&lt;&gt;"N/A")),Lookup_Lists!$D$150,IF(Brand_Profile!$I$7=KOL_Source_Data!$M$26,100,IFERROR(INDEX(Lookup_Lists!$B$349:$J$357,MATCH(Brand_Profile!$I$7,Lookup_Lists!$A$349:$A$357,0),MATCH(KOL_Source_Data!$M$26,Lookup_Lists!$B$348:$J$348,0)),Lookup_Lists!$D$151)))</f>
      </c>
      <c r="V122" s="18">
        <f>IF(NOT(AND(ISTEXT(KOL_Source_Data!$P$26),KOL_Source_Data!$P$26&lt;&gt;"N/A")),"N/A",IFERROR(INDEX(Lookup_Lists!$B$349:$J$357,MATCH(Brand_Profile!$I$7,Lookup_Lists!$A$349:$A$357,0),MATCH(KOL_Source_Data!$P$26,Lookup_Lists!$B$348:$J$348,0)),Lookup_Lists!$D$151))</f>
      </c>
      <c r="W122" s="18">
        <f>IF(LEN(TRIM(SUBSTITUTE(Matching_Engine!$BE$122,"|","")))=0,"N/A",IF(Brand_Profile!$I$60=0,Lookup_Lists!$D$150,ROUND((IF(Brand_Profile!$I$54="",0,IF(ISNUMBER(SEARCH(Brand_Profile!$I$54,Matching_Engine!$BE$122)),1,0))+IF(Brand_Profile!$I$55="",0,IF(ISNUMBER(SEARCH(Brand_Profile!$I$55,Matching_Engine!$BE$122)),1,0))+IF(Brand_Profile!$I$56="",0,IF(ISNUMBER(SEARCH(Brand_Profile!$I$56,Matching_Engine!$BE$122)),1,0))+IF(Brand_Profile!$I$57="",0,IF(ISNUMBER(SEARCH(Brand_Profile!$I$57,Matching_Engine!$BE$122)),1,0))+IF(Brand_Profile!$I$58="",0,IF(ISNUMBER(SEARCH(Brand_Profile!$I$58,Matching_Engine!$BE$122)),1,0))+IF(Brand_Profile!$I$59="",0,IF(ISNUMBER(SEARCH(Brand_Profile!$I$59,Matching_Engine!$BE$122)),1,0)))/Brand_Profile!$I$60*100,0)))</f>
      </c>
      <c r="X122" s="18">
        <f>IF(NOT(AND(ISTEXT(KOL_Source_Data!$Q$26),KOL_Source_Data!$Q$26&lt;&gt;"N/A")),"N/A",Lookup_Lists!$D$150)</f>
      </c>
      <c r="Y122" s="29">
        <f>IF((IF(ISNUMBER(Matching_Engine!$U$122),Lookup_Lists!$D$335,0)+IF(ISNUMBER(Matching_Engine!$V$122),Lookup_Lists!$D$122,0)+IF(ISNUMBER(Matching_Engine!$W$122),Lookup_Lists!$D$336,0)+IF(ISNUMBER(Matching_Engine!$X$122),Lookup_Lists!$D$124,0))=0,"N/A",ROUND((IF(ISNUMBER(Matching_Engine!$U$122),Matching_Engine!$U$122*Lookup_Lists!$D$335,0)+IF(ISNUMBER(Matching_Engine!$V$122),Matching_Engine!$V$122*Lookup_Lists!$D$122,0)+IF(ISNUMBER(Matching_Engine!$W$122),Matching_Engine!$W$122*Lookup_Lists!$D$336,0)+IF(ISNUMBER(Matching_Engine!$X$122),Matching_Engine!$X$122*Lookup_Lists!$D$124,0))/(IF(ISNUMBER(Matching_Engine!$U$122),Lookup_Lists!$D$335,0)+IF(ISNUMBER(Matching_Engine!$V$122),Lookup_Lists!$D$122,0)+IF(ISNUMBER(Matching_Engine!$W$122),Lookup_Lists!$D$336,0)+IF(ISNUMBER(Matching_Engine!$X$122),Lookup_Lists!$D$124,0)),0))</f>
      </c>
      <c r="Z122" s="11">
        <f>IF(ISNUMBER(Matching_Engine!$Y$122),1,0)</f>
      </c>
      <c r="AA122" s="18">
        <f>IF(NOT(AND(ISTEXT(KOL_Source_Data!$Q$26),KOL_Source_Data!$Q$26&lt;&gt;"N/A")),"N/A",Lookup_Lists!$D$150)</f>
      </c>
      <c r="AB122" s="18">
        <f>IF(NOT(AND(ISTEXT(KOL_Source_Data!$Q$26),KOL_Source_Data!$Q$26&lt;&gt;"N/A")),"N/A",Lookup_Lists!$D$150)</f>
      </c>
      <c r="AC122" s="18">
        <f>"N/A"</f>
      </c>
      <c r="AD122" s="18">
        <f>IF(NOT(AND(ISTEXT(KOL_Source_Data!$Q$26),KOL_Source_Data!$Q$26&lt;&gt;"N/A")),"N/A",Lookup_Lists!$D$150)</f>
      </c>
      <c r="AE122" s="29">
        <f>IF((IF(ISNUMBER(Matching_Engine!$AA$122),Lookup_Lists!$D$125,0)+IF(ISNUMBER(Matching_Engine!$AB$122),Lookup_Lists!$D$126,0)+IF(ISNUMBER(Matching_Engine!$AC$122),Lookup_Lists!$D$127,0)+IF(ISNUMBER(Matching_Engine!$AD$122),Lookup_Lists!$D$128,0))=0,"N/A",ROUND((IF(ISNUMBER(Matching_Engine!$AA$122),Matching_Engine!$AA$122*Lookup_Lists!$D$125,0)+IF(ISNUMBER(Matching_Engine!$AB$122),Matching_Engine!$AB$122*Lookup_Lists!$D$126,0)+IF(ISNUMBER(Matching_Engine!$AC$122),Matching_Engine!$AC$122*Lookup_Lists!$D$127,0)+IF(ISNUMBER(Matching_Engine!$AD$122),Matching_Engine!$AD$122*Lookup_Lists!$D$128,0))/(IF(ISNUMBER(Matching_Engine!$AA$122),Lookup_Lists!$D$125,0)+IF(ISNUMBER(Matching_Engine!$AB$122),Lookup_Lists!$D$126,0)+IF(ISNUMBER(Matching_Engine!$AC$122),Lookup_Lists!$D$127,0)+IF(ISNUMBER(Matching_Engine!$AD$122),Lookup_Lists!$D$128,0)),0))</f>
      </c>
      <c r="AF122" s="11">
        <f>IF(ISNUMBER(Matching_Engine!$AE$122),1,0)</f>
      </c>
      <c r="AG122" s="18">
        <f>IF(NOT(ISNUMBER(KOL_Source_Data!$BG$26)),"N/A",MIN(100,ROUND(KOL_Source_Data!$BG$26/IFERROR(INDEX(Lookup_Lists!$B$340:$B$344,MATCH(KOL_Source_Data!$H$26,Lookup_Lists!$A$340:$A$344,0)),Lookup_Lists!$D$141)*100,0)))</f>
      </c>
      <c r="AH122" s="18">
        <f>IF(NOT(ISNUMBER(KOL_Source_Data!$BS$26)),"N/A",MIN(100,MAX(0,KOL_Source_Data!$BS$26)))</f>
      </c>
      <c r="AI122" s="18">
        <f>IF(OR(NOT(ISNUMBER(KOL_Source_Data!$BM$26)),NOT(ISNUMBER(KOL_Source_Data!$BN$26)),KOL_Source_Data!$BN$26&lt;Lookup_Lists!$D$320),"N/A",MIN(100,ROUND(KOL_Source_Data!$BM$26/Lookup_Lists!$D$319*100,0)))</f>
      </c>
      <c r="AJ122" s="18">
        <f>IF(NOT(ISNUMBER(KOL_Source_Data!$BR$26)),"N/A",KOL_Source_Data!$BR$26)</f>
      </c>
      <c r="AK122" s="18">
        <f>IF(NOT(ISNUMBER(KOL_Source_Data!$BK$26)),"N/A",MIN(100,ROUND(KOL_Source_Data!$BK$26/Lookup_Lists!$D$321*100,0)))</f>
      </c>
      <c r="AL122" s="18">
        <f>IF(NOT(ISNUMBER(KOL_Source_Data!$BP$26)),"N/A",MIN(100,MAX(0,ROUND((KOL_Source_Data!$BP$26+2)/(Lookup_Lists!$D$145+2)*100,0))))</f>
      </c>
      <c r="AM122" s="29">
        <f>IF((IF(ISNUMBER(Matching_Engine!$AG$122),Lookup_Lists!$D$129,0)+IF(ISNUMBER(Matching_Engine!$AH$122),Lookup_Lists!$D$130,0)+IF(ISNUMBER(Matching_Engine!$AI$122),Lookup_Lists!$D$131,0)+IF(ISNUMBER(Matching_Engine!$AJ$122),Lookup_Lists!$D$132,0)+IF(ISNUMBER(Matching_Engine!$AK$122),Lookup_Lists!$D$133,0)+IF(ISNUMBER(Matching_Engine!$AL$122),Lookup_Lists!$D$134,0))=0,"N/A",ROUND((IF(ISNUMBER(Matching_Engine!$AG$122),Matching_Engine!$AG$122*Lookup_Lists!$D$129,0)+IF(ISNUMBER(Matching_Engine!$AH$122),Matching_Engine!$AH$122*Lookup_Lists!$D$130,0)+IF(ISNUMBER(Matching_Engine!$AI$122),Matching_Engine!$AI$122*Lookup_Lists!$D$131,0)+IF(ISNUMBER(Matching_Engine!$AJ$122),Matching_Engine!$AJ$122*Lookup_Lists!$D$132,0)+IF(ISNUMBER(Matching_Engine!$AK$122),Matching_Engine!$AK$122*Lookup_Lists!$D$133,0)+IF(ISNUMBER(Matching_Engine!$AL$122),Matching_Engine!$AL$122*Lookup_Lists!$D$134,0))/(IF(ISNUMBER(Matching_Engine!$AG$122),Lookup_Lists!$D$129,0)+IF(ISNUMBER(Matching_Engine!$AH$122),Lookup_Lists!$D$130,0)+IF(ISNUMBER(Matching_Engine!$AI$122),Lookup_Lists!$D$131,0)+IF(ISNUMBER(Matching_Engine!$AJ$122),Lookup_Lists!$D$132,0)+IF(ISNUMBER(Matching_Engine!$AK$122),Lookup_Lists!$D$133,0)+IF(ISNUMBER(Matching_Engine!$AL$122),Lookup_Lists!$D$134,0)),0))</f>
      </c>
      <c r="AN122" s="11">
        <f>IF(ISNUMBER(Matching_Engine!$AM$122),1,0)</f>
      </c>
      <c r="AO122" s="18">
        <f>IF(NOT(ISNUMBER(KOL_Source_Data!$BT$26)),"N/A",MIN(100,MAX(0,KOL_Source_Data!$BT$26)))</f>
      </c>
      <c r="AP122" s="18">
        <f>IF(NOT(ISNUMBER(KOL_Source_Data!$BU$26)),"N/A",MIN(100,MAX(0,KOL_Source_Data!$BU$26)))</f>
      </c>
      <c r="AQ122" s="18">
        <f>IF(KOL_Source_Data!$I$26="Yes",Lookup_Lists!$D$326,IF(KOL_Source_Data!$I$26="No",Lookup_Lists!$D$327,"N/A"))</f>
      </c>
      <c r="AR122" s="18">
        <f>IF(NOT(ISNUMBER(KOL_Source_Data!$BQ$26)),"N/A",MAX(0,ROUND(100-KOL_Source_Data!$BQ$26/Lookup_Lists!$D$328*100,0)))</f>
      </c>
      <c r="AS122" s="18">
        <f>IF(NOT(AND(ISTEXT(KOL_Source_Data!$BV$26),KOL_Source_Data!$BV$26&lt;&gt;"N/A")),"N/A",KOL_Source_Data!$BV$26)</f>
      </c>
      <c r="AT122" s="29">
        <f>IF((IF(ISNUMBER(Matching_Engine!$AO$122),Lookup_Lists!$D$322,0)+IF(ISNUMBER(Matching_Engine!$AP$122),Lookup_Lists!$D$323,0)+IF(ISNUMBER(Matching_Engine!$AQ$122),Lookup_Lists!$D$324,0)+IF(ISNUMBER(Matching_Engine!$AR$122),Lookup_Lists!$D$325,0))=0,"N/A",ROUND((IF(ISNUMBER(Matching_Engine!$AO$122),Matching_Engine!$AO$122*Lookup_Lists!$D$322,0)+IF(ISNUMBER(Matching_Engine!$AP$122),Matching_Engine!$AP$122*Lookup_Lists!$D$323,0)+IF(ISNUMBER(Matching_Engine!$AQ$122),Matching_Engine!$AQ$122*Lookup_Lists!$D$324,0)+IF(ISNUMBER(Matching_Engine!$AR$122),Matching_Engine!$AR$122*Lookup_Lists!$D$325,0))/(IF(ISNUMBER(Matching_Engine!$AO$122),Lookup_Lists!$D$322,0)+IF(ISNUMBER(Matching_Engine!$AP$122),Lookup_Lists!$D$323,0)+IF(ISNUMBER(Matching_Engine!$AQ$122),Lookup_Lists!$D$324,0)+IF(ISNUMBER(Matching_Engine!$AR$122),Lookup_Lists!$D$325,0)),0))</f>
      </c>
      <c r="AU122" s="11">
        <f>IF(ISNUMBER(Matching_Engine!$AT$122),1,0)</f>
      </c>
      <c r="AV122" s="11">
        <f>IF(NOT(ISNUMBER(Matching_Engine!$AT$122)),"Not Screened",IF(Matching_Engine!$AT$122&gt;=Lookup_Lists!$D$329,"Low Risk",IF(Matching_Engine!$AT$122&gt;=Lookup_Lists!$D$330,"Moderate Risk",IF(Matching_Engine!$AT$122&gt;=Lookup_Lists!$D$331,"Elevated Risk","High Risk"))))</f>
      </c>
      <c r="AW122" s="11">
        <f>IF(NOT(ISNUMBER(Matching_Engine!$AT$122)),"No integrity signal: no audience-analysis row for this account.","Integrity screen only — no content-risk reading exists (comments_analysis: 0 rows). "&amp;IF(ISNUMBER(Matching_Engine!$AO$122),"Authenticity "&amp;Matching_Engine!$AO$122&amp;". ","Authenticity N/A. ")&amp;IF(ISNUMBER(Matching_Engine!$AP$122),"Follower quality "&amp;Matching_Engine!$AP$122&amp;". ","Follower quality N/A. ")&amp;IF(KOL_Source_Data!$I$26="Yes","Platform-verified.","Not platform-verified."))</f>
      </c>
      <c r="AX122" s="18">
        <f>Matching_Engine!$N$122*Lookup_Lists!$D$104+Matching_Engine!$T$122*Lookup_Lists!$D$105+Matching_Engine!$Z$122*Lookup_Lists!$D$106+Matching_Engine!$AF$122*Lookup_Lists!$D$107+Matching_Engine!$AN$122*Lookup_Lists!$D$108+Matching_Engine!$AU$122*Lookup_Lists!$D$109</f>
      </c>
      <c r="AY122" s="30">
        <f>IF(Matching_Engine!$AX$122=0,"N/A",ROUND((IF(Matching_Engine!$N$122=1,Matching_Engine!$M$122*Lookup_Lists!$D$104,0)+IF(Matching_Engine!$T$122=1,Matching_Engine!$S$122*Lookup_Lists!$D$105,0)+IF(Matching_Engine!$Z$122=1,Matching_Engine!$Y$122*Lookup_Lists!$D$106,0)+IF(Matching_Engine!$AF$122=1,Matching_Engine!$AE$122*Lookup_Lists!$D$107,0)+IF(Matching_Engine!$AN$122=1,Matching_Engine!$AM$122*Lookup_Lists!$D$108,0)+IF(Matching_Engine!$AU$122=1,Matching_Engine!$AT$122*Lookup_Lists!$D$109,0))/Matching_Engine!$AX$122,0))</f>
      </c>
      <c r="AZ122" s="11">
        <f>IF(NOT(ISNUMBER(Matching_Engine!$AY$122)),"Not Scored",IF(Matching_Engine!$AY$122&gt;=Lookup_Lists!$D$152,"Excellent Match",IF(Matching_Engine!$AY$122&gt;=Lookup_Lists!$D$153,"Strong Match",IF(Matching_Engine!$AY$122&gt;=Lookup_Lists!$D$154,"Good Match",IF(Matching_Engine!$AY$122&gt;=Lookup_Lists!$D$155,"Moderate Match","Low Match")))))</f>
      </c>
      <c r="BA122" s="18">
        <f>KOL_Source_Data!$BW$26</f>
      </c>
      <c r="BB122" s="11">
        <f>KOL_Source_Data!$BX$26</f>
      </c>
      <c r="BC122" s="18">
        <f>IF(NOT(ISNUMBER(Matching_Engine!$AY$122)),-1,Matching_Engine!$AY$122*1000+4)</f>
      </c>
      <c r="BD122" s="11">
        <f>IF(AND(ISTEXT(KOL_Source_Data!$S$26),KOL_Source_Data!$S$26&lt;&gt;"N/A"),KOL_Source_Data!$S$26,"")&amp;" | "&amp;IF(AND(ISTEXT(KOL_Source_Data!$T$26),KOL_Source_Data!$T$26&lt;&gt;"N/A"),KOL_Source_Data!$T$26,"")&amp;" | "&amp;IF(AND(ISTEXT(KOL_Source_Data!$N$26),KOL_Source_Data!$N$26&lt;&gt;"N/A"),KOL_Source_Data!$N$26,"")&amp;" | "&amp;IF(AND(ISTEXT(KOL_Source_Data!$K$26),KOL_Source_Data!$K$26&lt;&gt;"N/A"),KOL_Source_Data!$K$26,"")&amp;" | "&amp;IF(AND(ISTEXT(KOL_Source_Data!$J$26),KOL_Source_Data!$J$26&lt;&gt;"N/A"),KOL_Source_Data!$J$26,"")</f>
      </c>
      <c r="BE122" s="11">
        <f>IF(AND(ISTEXT(KOL_Source_Data!$T$26),KOL_Source_Data!$T$26&lt;&gt;"N/A"),KOL_Source_Data!$T$26,"")&amp;" | "&amp;IF(AND(ISTEXT(KOL_Source_Data!$N$26),KOL_Source_Data!$N$26&lt;&gt;"N/A"),KOL_Source_Data!$N$26,"")&amp;" | "&amp;IF(AND(ISTEXT(KOL_Source_Data!$O$26),KOL_Source_Data!$O$26&lt;&gt;"N/A"),KOL_Source_Data!$O$26,"")&amp;" | "&amp;IF(AND(ISTEXT(KOL_Source_Data!$S$26),KOL_Source_Data!$S$26&lt;&gt;"N/A"),KOL_Source_Data!$S$26,"")</f>
      </c>
      <c r="BF122" s="11">
        <f>IF(AND(ISTEXT(KOL_Source_Data!$U$26),KOL_Source_Data!$U$26&lt;&gt;"N/A"),KOL_Source_Data!$U$26,"")</f>
      </c>
      <c r="BG122" s="11">
        <f>Matching_Engine!$A$122&amp;"|"&amp;Matching_Engine!$C$122</f>
      </c>
    </row>
    <row r="123" spans="1:59" x14ac:dyDescent="0.25">
      <c r="A123" s="10" t="s">
        <v>394</v>
      </c>
      <c r="B123" s="11">
        <f>Brand_Profile!$I$6</f>
      </c>
      <c r="C123" s="11">
        <f>KOL_Source_Data!$A$27</f>
      </c>
      <c r="D123" s="11">
        <f>KOL_Source_Data!$C$27</f>
      </c>
      <c r="E123" s="11">
        <f>KOL_Source_Data!$D$27</f>
      </c>
      <c r="F123" s="11">
        <f>KOL_Source_Data!$E$27</f>
      </c>
      <c r="G123" s="11">
        <f>KOL_Source_Data!$K$27</f>
      </c>
      <c r="H123" s="12">
        <f>KOL_Source_Data!$G$27</f>
      </c>
      <c r="I123" s="14">
        <f>KOL_Source_Data!$BG$27</f>
      </c>
      <c r="J123" s="18">
        <f>IF(NOT(AND(ISTEXT(KOL_Source_Data!$K$27),KOL_Source_Data!$K$27&lt;&gt;"N/A")),Lookup_Lists!$D$150,IF(Brand_Profile!$I$7=KOL_Source_Data!$K$27,100,IFERROR(INDEX(Lookup_Lists!$B$349:$J$357,MATCH(Brand_Profile!$I$7,Lookup_Lists!$A$349:$A$357,0),MATCH(KOL_Source_Data!$K$27,Lookup_Lists!$B$348:$J$348,0)),Lookup_Lists!$D$151)))</f>
      </c>
      <c r="K123" s="18">
        <f>IF(LEN(TRIM(SUBSTITUTE(Matching_Engine!$BD$123,"|","")))=0,"N/A",IF(Brand_Profile!$I$47=0,Lookup_Lists!$D$150,ROUND((IF(Brand_Profile!$I$41="",0,IF(ISNUMBER(SEARCH(Brand_Profile!$I$41,Matching_Engine!$BD$123)),1,0))+IF(Brand_Profile!$I$42="",0,IF(ISNUMBER(SEARCH(Brand_Profile!$I$42,Matching_Engine!$BD$123)),1,0))+IF(Brand_Profile!$I$43="",0,IF(ISNUMBER(SEARCH(Brand_Profile!$I$43,Matching_Engine!$BD$123)),1,0))+IF(Brand_Profile!$I$44="",0,IF(ISNUMBER(SEARCH(Brand_Profile!$I$44,Matching_Engine!$BD$123)),1,0))+IF(Brand_Profile!$I$45="",0,IF(ISNUMBER(SEARCH(Brand_Profile!$I$45,Matching_Engine!$BD$123)),1,0))+IF(Brand_Profile!$I$46="",0,IF(ISNUMBER(SEARCH(Brand_Profile!$I$46,Matching_Engine!$BD$123)),1,0)))/Brand_Profile!$I$47*100,0)))</f>
      </c>
      <c r="L123" s="18">
        <f>IF(NOT(AND(ISTEXT(KOL_Source_Data!$U$27),KOL_Source_Data!$U$27&lt;&gt;"N/A")),"N/A",IF(Brand_Profile!$I$53=0,Lookup_Lists!$D$150,ROUND((IF(Brand_Profile!$I$48="",0,IF(ISNUMBER(SEARCH(Brand_Profile!$I$48,Matching_Engine!$BF$123)),1,0))+IF(Brand_Profile!$I$49="",0,IF(ISNUMBER(SEARCH(Brand_Profile!$I$49,Matching_Engine!$BF$123)),1,0))+IF(Brand_Profile!$I$50="",0,IF(ISNUMBER(SEARCH(Brand_Profile!$I$50,Matching_Engine!$BF$123)),1,0))+IF(Brand_Profile!$I$51="",0,IF(ISNUMBER(SEARCH(Brand_Profile!$I$51,Matching_Engine!$BF$123)),1,0))+IF(Brand_Profile!$I$52="",0,IF(ISNUMBER(SEARCH(Brand_Profile!$I$52,Matching_Engine!$BF$123)),1,0)))/Brand_Profile!$I$53*100,0)))</f>
      </c>
      <c r="M123" s="29">
        <f>IF((IF(ISNUMBER(Matching_Engine!$J$123),Lookup_Lists!$D$332,0)+IF(ISNUMBER(Matching_Engine!$K$123),Lookup_Lists!$D$333,0)+IF(ISNUMBER(Matching_Engine!$L$123),Lookup_Lists!$D$334,0))=0,"N/A",ROUND((IF(ISNUMBER(Matching_Engine!$J$123),Matching_Engine!$J$123*Lookup_Lists!$D$332,0)+IF(ISNUMBER(Matching_Engine!$K$123),Matching_Engine!$K$123*Lookup_Lists!$D$333,0)+IF(ISNUMBER(Matching_Engine!$L$123),Matching_Engine!$L$123*Lookup_Lists!$D$334,0))/(IF(ISNUMBER(Matching_Engine!$J$123),Lookup_Lists!$D$332,0)+IF(ISNUMBER(Matching_Engine!$K$123),Lookup_Lists!$D$333,0)+IF(ISNUMBER(Matching_Engine!$L$123),Lookup_Lists!$D$334,0)),0))</f>
      </c>
      <c r="N123" s="11">
        <f>IF(ISNUMBER(Matching_Engine!$M$123),1,0)</f>
      </c>
      <c r="O123" s="18">
        <f>IF(NOT(ISNUMBER(IFERROR(INDEX(KOL_Source_Data!$V$27:KOL_Source_Data!$Z$27,1,MATCH(Brand_Profile!$I$11,Lookup_Lists!$F$6:$F$10,0)),""))),"N/A",MIN(100,ROUND((IFERROR(INDEX(KOL_Source_Data!$V$27:KOL_Source_Data!$Z$27,1,MATCH(Brand_Profile!$I$11,Lookup_Lists!$F$6:$F$10,0)),"")+0.5*IF(ISNUMBER(IFERROR(INDEX(KOL_Source_Data!$V$27:KOL_Source_Data!$Z$27,1,MATCH(Brand_Profile!$I$12,Lookup_Lists!$F$6:$F$10,0)),"")),IFERROR(INDEX(KOL_Source_Data!$V$27:KOL_Source_Data!$Z$27,1,MATCH(Brand_Profile!$I$12,Lookup_Lists!$F$6:$F$10,0)),""),0))/Lookup_Lists!$D$142*100,0)))</f>
      </c>
      <c r="P123" s="18">
        <f>IF(Brand_Profile!$I$13="Any",100,IF(NOT(ISNUMBER(KOL_Source_Data!$AA$27)),"N/A",IF(Brand_Profile!$I$13="Female",MIN(100,ROUND(KOL_Source_Data!$AA$27/Lookup_Lists!$D$143*100,0)),IF(Brand_Profile!$I$13="Male",MIN(100,ROUND(IF(ISNUMBER(KOL_Source_Data!$AB$27),KOL_Source_Data!$AB$27,100-KOL_Source_Data!$AA$27)/Lookup_Lists!$D$143*100,0)),MAX(0,ROUND(100-ABS(KOL_Source_Data!$AA$27-50)*2,0))))))</f>
      </c>
      <c r="Q123" s="18">
        <f>IF((IF(ISNUMBER(IF(NOT(ISNUMBER(KOL_Source_Data!$AE$27)),"N/A",IF(KOL_Source_Data!$AD$27&lt;&gt;Brand_Profile!$I$14,Lookup_Lists!$D$151,MIN(100,ROUND(KOL_Source_Data!$AE$27/Lookup_Lists!$D$316*100,0))))),Lookup_Lists!$D$118,0)+IF(ISNUMBER(IF(NOT(ISNUMBER(KOL_Source_Data!$AM$27)),"N/A",MIN(100,ROUND((IF(KOL_Source_Data!$AG$27=Brand_Profile!$I$15,IF(ISNUMBER(KOL_Source_Data!$AH$27),KOL_Source_Data!$AH$27,0),0)+IF(KOL_Source_Data!$AI$27=Brand_Profile!$I$15,IF(ISNUMBER(KOL_Source_Data!$AJ$27),KOL_Source_Data!$AJ$27,0),0)+IF(KOL_Source_Data!$AK$27=Brand_Profile!$I$15,IF(ISNUMBER(KOL_Source_Data!$AL$27),KOL_Source_Data!$AL$27,0),0))/Lookup_Lists!$D$317*100,0)))),Lookup_Lists!$D$120,0))=0,"N/A",ROUND((IF(ISNUMBER(IF(NOT(ISNUMBER(KOL_Source_Data!$AE$27)),"N/A",IF(KOL_Source_Data!$AD$27&lt;&gt;Brand_Profile!$I$14,Lookup_Lists!$D$151,MIN(100,ROUND(KOL_Source_Data!$AE$27/Lookup_Lists!$D$316*100,0))))),IF(NOT(ISNUMBER(KOL_Source_Data!$AE$27)),"N/A",IF(KOL_Source_Data!$AD$27&lt;&gt;Brand_Profile!$I$14,Lookup_Lists!$D$151,MIN(100,ROUND(KOL_Source_Data!$AE$27/Lookup_Lists!$D$316*100,0))))*Lookup_Lists!$D$118,0)+IF(ISNUMBER(IF(NOT(ISNUMBER(KOL_Source_Data!$AM$27)),"N/A",MIN(100,ROUND((IF(KOL_Source_Data!$AG$27=Brand_Profile!$I$15,IF(ISNUMBER(KOL_Source_Data!$AH$27),KOL_Source_Data!$AH$27,0),0)+IF(KOL_Source_Data!$AI$27=Brand_Profile!$I$15,IF(ISNUMBER(KOL_Source_Data!$AJ$27),KOL_Source_Data!$AJ$27,0),0)+IF(KOL_Source_Data!$AK$27=Brand_Profile!$I$15,IF(ISNUMBER(KOL_Source_Data!$AL$27),KOL_Source_Data!$AL$27,0),0))/Lookup_Lists!$D$317*100,0)))),IF(NOT(ISNUMBER(KOL_Source_Data!$AM$27)),"N/A",MIN(100,ROUND((IF(KOL_Source_Data!$AG$27=Brand_Profile!$I$15,IF(ISNUMBER(KOL_Source_Data!$AH$27),KOL_Source_Data!$AH$27,0),0)+IF(KOL_Source_Data!$AI$27=Brand_Profile!$I$15,IF(ISNUMBER(KOL_Source_Data!$AJ$27),KOL_Source_Data!$AJ$27,0),0)+IF(KOL_Source_Data!$AK$27=Brand_Profile!$I$15,IF(ISNUMBER(KOL_Source_Data!$AL$27),KOL_Source_Data!$AL$27,0),0))/Lookup_Lists!$D$317*100,0)))*Lookup_Lists!$D$120,0))/(IF(ISNUMBER(IF(NOT(ISNUMBER(KOL_Source_Data!$AE$27)),"N/A",IF(KOL_Source_Data!$AD$27&lt;&gt;Brand_Profile!$I$14,Lookup_Lists!$D$151,MIN(100,ROUND(KOL_Source_Data!$AE$27/Lookup_Lists!$D$316*100,0))))),Lookup_Lists!$D$118,0)+IF(ISNUMBER(IF(NOT(ISNUMBER(KOL_Source_Data!$AM$27)),"N/A",MIN(100,ROUND((IF(KOL_Source_Data!$AG$27=Brand_Profile!$I$15,IF(ISNUMBER(KOL_Source_Data!$AH$27),KOL_Source_Data!$AH$27,0),0)+IF(KOL_Source_Data!$AI$27=Brand_Profile!$I$15,IF(ISNUMBER(KOL_Source_Data!$AJ$27),KOL_Source_Data!$AJ$27,0),0)+IF(KOL_Source_Data!$AK$27=Brand_Profile!$I$15,IF(ISNUMBER(KOL_Source_Data!$AL$27),KOL_Source_Data!$AL$27,0),0))/Lookup_Lists!$D$317*100,0)))),Lookup_Lists!$D$120,0)),0))</f>
      </c>
      <c r="R123" s="18">
        <f>IF(NOT(ISNUMBER(KOL_Source_Data!$AN$27)),"N/A",MIN(100,ROUND((IF(ISNUMBER(KOL_Source_Data!$AO$27),KOL_Source_Data!$AO$27*Brand_Profile!$I$17,0)+IF(ISNUMBER(KOL_Source_Data!$AP$27),KOL_Source_Data!$AP$27*Brand_Profile!$I$18,0)+IF(ISNUMBER(KOL_Source_Data!$AQ$27),KOL_Source_Data!$AQ$27*Brand_Profile!$I$19,0)+IF(ISNUMBER(KOL_Source_Data!$AR$27),KOL_Source_Data!$AR$27*Brand_Profile!$I$20,0)+IF(ISNUMBER(KOL_Source_Data!$AS$27),KOL_Source_Data!$AS$27*Brand_Profile!$I$21,0)+IF(ISNUMBER(KOL_Source_Data!$AT$27),KOL_Source_Data!$AT$27*Brand_Profile!$I$22,0)+IF(ISNUMBER(KOL_Source_Data!$AU$27),KOL_Source_Data!$AU$27*Brand_Profile!$I$23,0)+IF(ISNUMBER(KOL_Source_Data!$AV$27),KOL_Source_Data!$AV$27*Brand_Profile!$I$24,0)+IF(ISNUMBER(KOL_Source_Data!$AW$27),KOL_Source_Data!$AW$27*Brand_Profile!$I$25,0)+IF(ISNUMBER(KOL_Source_Data!$AX$27),KOL_Source_Data!$AX$27*Brand_Profile!$I$26,0)+IF(ISNUMBER(KOL_Source_Data!$AY$27),KOL_Source_Data!$AY$27*Brand_Profile!$I$27,0)+IF(ISNUMBER(KOL_Source_Data!$AZ$27),KOL_Source_Data!$AZ$27*Brand_Profile!$I$28,0)+IF(ISNUMBER(KOL_Source_Data!$BA$27),KOL_Source_Data!$BA$27*Brand_Profile!$I$29,0)+IF(ISNUMBER(KOL_Source_Data!$BB$27),KOL_Source_Data!$BB$27*Brand_Profile!$I$30,0)+IF(ISNUMBER(KOL_Source_Data!$BC$27),KOL_Source_Data!$BC$27*Brand_Profile!$I$31,0)+IF(ISNUMBER(KOL_Source_Data!$BD$27),KOL_Source_Data!$BD$27*Brand_Profile!$I$32,0)+IF(ISNUMBER(KOL_Source_Data!$BE$27),KOL_Source_Data!$BE$27*Brand_Profile!$I$33,0)+IF(ISNUMBER(KOL_Source_Data!$BF$27),KOL_Source_Data!$BF$27*Brand_Profile!$I$34,0))/Lookup_Lists!$D$318*100,0)))</f>
      </c>
      <c r="S123" s="29">
        <f>IF((IF(ISNUMBER(Matching_Engine!$O$123),Lookup_Lists!$D$113,0)+IF(ISNUMBER(Matching_Engine!$P$123),Lookup_Lists!$D$114,0)+IF(ISNUMBER(Matching_Engine!$Q$123),Lookup_Lists!$D$115,0)+IF(ISNUMBER(Matching_Engine!$R$123),Lookup_Lists!$D$116,0))=0,"N/A",ROUND((IF(ISNUMBER(Matching_Engine!$O$123),Matching_Engine!$O$123*Lookup_Lists!$D$113,0)+IF(ISNUMBER(Matching_Engine!$P$123),Matching_Engine!$P$123*Lookup_Lists!$D$114,0)+IF(ISNUMBER(Matching_Engine!$Q$123),Matching_Engine!$Q$123*Lookup_Lists!$D$115,0)+IF(ISNUMBER(Matching_Engine!$R$123),Matching_Engine!$R$123*Lookup_Lists!$D$116,0))/(IF(ISNUMBER(Matching_Engine!$O$123),Lookup_Lists!$D$113,0)+IF(ISNUMBER(Matching_Engine!$P$123),Lookup_Lists!$D$114,0)+IF(ISNUMBER(Matching_Engine!$Q$123),Lookup_Lists!$D$115,0)+IF(ISNUMBER(Matching_Engine!$R$123),Lookup_Lists!$D$116,0)),0))</f>
      </c>
      <c r="T123" s="11">
        <f>IF(ISNUMBER(Matching_Engine!$S$123),1,0)</f>
      </c>
      <c r="U123" s="18">
        <f>IF(NOT(AND(ISTEXT(KOL_Source_Data!$M$27),KOL_Source_Data!$M$27&lt;&gt;"N/A")),Lookup_Lists!$D$150,IF(Brand_Profile!$I$7=KOL_Source_Data!$M$27,100,IFERROR(INDEX(Lookup_Lists!$B$349:$J$357,MATCH(Brand_Profile!$I$7,Lookup_Lists!$A$349:$A$357,0),MATCH(KOL_Source_Data!$M$27,Lookup_Lists!$B$348:$J$348,0)),Lookup_Lists!$D$151)))</f>
      </c>
      <c r="V123" s="18">
        <f>IF(NOT(AND(ISTEXT(KOL_Source_Data!$P$27),KOL_Source_Data!$P$27&lt;&gt;"N/A")),"N/A",IFERROR(INDEX(Lookup_Lists!$B$349:$J$357,MATCH(Brand_Profile!$I$7,Lookup_Lists!$A$349:$A$357,0),MATCH(KOL_Source_Data!$P$27,Lookup_Lists!$B$348:$J$348,0)),Lookup_Lists!$D$151))</f>
      </c>
      <c r="W123" s="18">
        <f>IF(LEN(TRIM(SUBSTITUTE(Matching_Engine!$BE$123,"|","")))=0,"N/A",IF(Brand_Profile!$I$60=0,Lookup_Lists!$D$150,ROUND((IF(Brand_Profile!$I$54="",0,IF(ISNUMBER(SEARCH(Brand_Profile!$I$54,Matching_Engine!$BE$123)),1,0))+IF(Brand_Profile!$I$55="",0,IF(ISNUMBER(SEARCH(Brand_Profile!$I$55,Matching_Engine!$BE$123)),1,0))+IF(Brand_Profile!$I$56="",0,IF(ISNUMBER(SEARCH(Brand_Profile!$I$56,Matching_Engine!$BE$123)),1,0))+IF(Brand_Profile!$I$57="",0,IF(ISNUMBER(SEARCH(Brand_Profile!$I$57,Matching_Engine!$BE$123)),1,0))+IF(Brand_Profile!$I$58="",0,IF(ISNUMBER(SEARCH(Brand_Profile!$I$58,Matching_Engine!$BE$123)),1,0))+IF(Brand_Profile!$I$59="",0,IF(ISNUMBER(SEARCH(Brand_Profile!$I$59,Matching_Engine!$BE$123)),1,0)))/Brand_Profile!$I$60*100,0)))</f>
      </c>
      <c r="X123" s="18">
        <f>IF(NOT(AND(ISTEXT(KOL_Source_Data!$Q$27),KOL_Source_Data!$Q$27&lt;&gt;"N/A")),"N/A",Lookup_Lists!$D$150)</f>
      </c>
      <c r="Y123" s="29">
        <f>IF((IF(ISNUMBER(Matching_Engine!$U$123),Lookup_Lists!$D$335,0)+IF(ISNUMBER(Matching_Engine!$V$123),Lookup_Lists!$D$122,0)+IF(ISNUMBER(Matching_Engine!$W$123),Lookup_Lists!$D$336,0)+IF(ISNUMBER(Matching_Engine!$X$123),Lookup_Lists!$D$124,0))=0,"N/A",ROUND((IF(ISNUMBER(Matching_Engine!$U$123),Matching_Engine!$U$123*Lookup_Lists!$D$335,0)+IF(ISNUMBER(Matching_Engine!$V$123),Matching_Engine!$V$123*Lookup_Lists!$D$122,0)+IF(ISNUMBER(Matching_Engine!$W$123),Matching_Engine!$W$123*Lookup_Lists!$D$336,0)+IF(ISNUMBER(Matching_Engine!$X$123),Matching_Engine!$X$123*Lookup_Lists!$D$124,0))/(IF(ISNUMBER(Matching_Engine!$U$123),Lookup_Lists!$D$335,0)+IF(ISNUMBER(Matching_Engine!$V$123),Lookup_Lists!$D$122,0)+IF(ISNUMBER(Matching_Engine!$W$123),Lookup_Lists!$D$336,0)+IF(ISNUMBER(Matching_Engine!$X$123),Lookup_Lists!$D$124,0)),0))</f>
      </c>
      <c r="Z123" s="11">
        <f>IF(ISNUMBER(Matching_Engine!$Y$123),1,0)</f>
      </c>
      <c r="AA123" s="18">
        <f>IF(NOT(AND(ISTEXT(KOL_Source_Data!$Q$27),KOL_Source_Data!$Q$27&lt;&gt;"N/A")),"N/A",Lookup_Lists!$D$150)</f>
      </c>
      <c r="AB123" s="18">
        <f>IF(NOT(AND(ISTEXT(KOL_Source_Data!$Q$27),KOL_Source_Data!$Q$27&lt;&gt;"N/A")),"N/A",Lookup_Lists!$D$150)</f>
      </c>
      <c r="AC123" s="18">
        <f>"N/A"</f>
      </c>
      <c r="AD123" s="18">
        <f>IF(NOT(AND(ISTEXT(KOL_Source_Data!$Q$27),KOL_Source_Data!$Q$27&lt;&gt;"N/A")),"N/A",Lookup_Lists!$D$150)</f>
      </c>
      <c r="AE123" s="29">
        <f>IF((IF(ISNUMBER(Matching_Engine!$AA$123),Lookup_Lists!$D$125,0)+IF(ISNUMBER(Matching_Engine!$AB$123),Lookup_Lists!$D$126,0)+IF(ISNUMBER(Matching_Engine!$AC$123),Lookup_Lists!$D$127,0)+IF(ISNUMBER(Matching_Engine!$AD$123),Lookup_Lists!$D$128,0))=0,"N/A",ROUND((IF(ISNUMBER(Matching_Engine!$AA$123),Matching_Engine!$AA$123*Lookup_Lists!$D$125,0)+IF(ISNUMBER(Matching_Engine!$AB$123),Matching_Engine!$AB$123*Lookup_Lists!$D$126,0)+IF(ISNUMBER(Matching_Engine!$AC$123),Matching_Engine!$AC$123*Lookup_Lists!$D$127,0)+IF(ISNUMBER(Matching_Engine!$AD$123),Matching_Engine!$AD$123*Lookup_Lists!$D$128,0))/(IF(ISNUMBER(Matching_Engine!$AA$123),Lookup_Lists!$D$125,0)+IF(ISNUMBER(Matching_Engine!$AB$123),Lookup_Lists!$D$126,0)+IF(ISNUMBER(Matching_Engine!$AC$123),Lookup_Lists!$D$127,0)+IF(ISNUMBER(Matching_Engine!$AD$123),Lookup_Lists!$D$128,0)),0))</f>
      </c>
      <c r="AF123" s="11">
        <f>IF(ISNUMBER(Matching_Engine!$AE$123),1,0)</f>
      </c>
      <c r="AG123" s="18">
        <f>IF(NOT(ISNUMBER(KOL_Source_Data!$BG$27)),"N/A",MIN(100,ROUND(KOL_Source_Data!$BG$27/IFERROR(INDEX(Lookup_Lists!$B$340:$B$344,MATCH(KOL_Source_Data!$H$27,Lookup_Lists!$A$340:$A$344,0)),Lookup_Lists!$D$141)*100,0)))</f>
      </c>
      <c r="AH123" s="18">
        <f>IF(NOT(ISNUMBER(KOL_Source_Data!$BS$27)),"N/A",MIN(100,MAX(0,KOL_Source_Data!$BS$27)))</f>
      </c>
      <c r="AI123" s="18">
        <f>IF(OR(NOT(ISNUMBER(KOL_Source_Data!$BM$27)),NOT(ISNUMBER(KOL_Source_Data!$BN$27)),KOL_Source_Data!$BN$27&lt;Lookup_Lists!$D$320),"N/A",MIN(100,ROUND(KOL_Source_Data!$BM$27/Lookup_Lists!$D$319*100,0)))</f>
      </c>
      <c r="AJ123" s="18">
        <f>IF(NOT(ISNUMBER(KOL_Source_Data!$BR$27)),"N/A",KOL_Source_Data!$BR$27)</f>
      </c>
      <c r="AK123" s="18">
        <f>IF(NOT(ISNUMBER(KOL_Source_Data!$BK$27)),"N/A",MIN(100,ROUND(KOL_Source_Data!$BK$27/Lookup_Lists!$D$321*100,0)))</f>
      </c>
      <c r="AL123" s="18">
        <f>IF(NOT(ISNUMBER(KOL_Source_Data!$BP$27)),"N/A",MIN(100,MAX(0,ROUND((KOL_Source_Data!$BP$27+2)/(Lookup_Lists!$D$145+2)*100,0))))</f>
      </c>
      <c r="AM123" s="29">
        <f>IF((IF(ISNUMBER(Matching_Engine!$AG$123),Lookup_Lists!$D$129,0)+IF(ISNUMBER(Matching_Engine!$AH$123),Lookup_Lists!$D$130,0)+IF(ISNUMBER(Matching_Engine!$AI$123),Lookup_Lists!$D$131,0)+IF(ISNUMBER(Matching_Engine!$AJ$123),Lookup_Lists!$D$132,0)+IF(ISNUMBER(Matching_Engine!$AK$123),Lookup_Lists!$D$133,0)+IF(ISNUMBER(Matching_Engine!$AL$123),Lookup_Lists!$D$134,0))=0,"N/A",ROUND((IF(ISNUMBER(Matching_Engine!$AG$123),Matching_Engine!$AG$123*Lookup_Lists!$D$129,0)+IF(ISNUMBER(Matching_Engine!$AH$123),Matching_Engine!$AH$123*Lookup_Lists!$D$130,0)+IF(ISNUMBER(Matching_Engine!$AI$123),Matching_Engine!$AI$123*Lookup_Lists!$D$131,0)+IF(ISNUMBER(Matching_Engine!$AJ$123),Matching_Engine!$AJ$123*Lookup_Lists!$D$132,0)+IF(ISNUMBER(Matching_Engine!$AK$123),Matching_Engine!$AK$123*Lookup_Lists!$D$133,0)+IF(ISNUMBER(Matching_Engine!$AL$123),Matching_Engine!$AL$123*Lookup_Lists!$D$134,0))/(IF(ISNUMBER(Matching_Engine!$AG$123),Lookup_Lists!$D$129,0)+IF(ISNUMBER(Matching_Engine!$AH$123),Lookup_Lists!$D$130,0)+IF(ISNUMBER(Matching_Engine!$AI$123),Lookup_Lists!$D$131,0)+IF(ISNUMBER(Matching_Engine!$AJ$123),Lookup_Lists!$D$132,0)+IF(ISNUMBER(Matching_Engine!$AK$123),Lookup_Lists!$D$133,0)+IF(ISNUMBER(Matching_Engine!$AL$123),Lookup_Lists!$D$134,0)),0))</f>
      </c>
      <c r="AN123" s="11">
        <f>IF(ISNUMBER(Matching_Engine!$AM$123),1,0)</f>
      </c>
      <c r="AO123" s="18">
        <f>IF(NOT(ISNUMBER(KOL_Source_Data!$BT$27)),"N/A",MIN(100,MAX(0,KOL_Source_Data!$BT$27)))</f>
      </c>
      <c r="AP123" s="18">
        <f>IF(NOT(ISNUMBER(KOL_Source_Data!$BU$27)),"N/A",MIN(100,MAX(0,KOL_Source_Data!$BU$27)))</f>
      </c>
      <c r="AQ123" s="18">
        <f>IF(KOL_Source_Data!$I$27="Yes",Lookup_Lists!$D$326,IF(KOL_Source_Data!$I$27="No",Lookup_Lists!$D$327,"N/A"))</f>
      </c>
      <c r="AR123" s="18">
        <f>IF(NOT(ISNUMBER(KOL_Source_Data!$BQ$27)),"N/A",MAX(0,ROUND(100-KOL_Source_Data!$BQ$27/Lookup_Lists!$D$328*100,0)))</f>
      </c>
      <c r="AS123" s="18">
        <f>IF(NOT(AND(ISTEXT(KOL_Source_Data!$BV$27),KOL_Source_Data!$BV$27&lt;&gt;"N/A")),"N/A",KOL_Source_Data!$BV$27)</f>
      </c>
      <c r="AT123" s="29">
        <f>IF((IF(ISNUMBER(Matching_Engine!$AO$123),Lookup_Lists!$D$322,0)+IF(ISNUMBER(Matching_Engine!$AP$123),Lookup_Lists!$D$323,0)+IF(ISNUMBER(Matching_Engine!$AQ$123),Lookup_Lists!$D$324,0)+IF(ISNUMBER(Matching_Engine!$AR$123),Lookup_Lists!$D$325,0))=0,"N/A",ROUND((IF(ISNUMBER(Matching_Engine!$AO$123),Matching_Engine!$AO$123*Lookup_Lists!$D$322,0)+IF(ISNUMBER(Matching_Engine!$AP$123),Matching_Engine!$AP$123*Lookup_Lists!$D$323,0)+IF(ISNUMBER(Matching_Engine!$AQ$123),Matching_Engine!$AQ$123*Lookup_Lists!$D$324,0)+IF(ISNUMBER(Matching_Engine!$AR$123),Matching_Engine!$AR$123*Lookup_Lists!$D$325,0))/(IF(ISNUMBER(Matching_Engine!$AO$123),Lookup_Lists!$D$322,0)+IF(ISNUMBER(Matching_Engine!$AP$123),Lookup_Lists!$D$323,0)+IF(ISNUMBER(Matching_Engine!$AQ$123),Lookup_Lists!$D$324,0)+IF(ISNUMBER(Matching_Engine!$AR$123),Lookup_Lists!$D$325,0)),0))</f>
      </c>
      <c r="AU123" s="11">
        <f>IF(ISNUMBER(Matching_Engine!$AT$123),1,0)</f>
      </c>
      <c r="AV123" s="11">
        <f>IF(NOT(ISNUMBER(Matching_Engine!$AT$123)),"Not Screened",IF(Matching_Engine!$AT$123&gt;=Lookup_Lists!$D$329,"Low Risk",IF(Matching_Engine!$AT$123&gt;=Lookup_Lists!$D$330,"Moderate Risk",IF(Matching_Engine!$AT$123&gt;=Lookup_Lists!$D$331,"Elevated Risk","High Risk"))))</f>
      </c>
      <c r="AW123" s="11">
        <f>IF(NOT(ISNUMBER(Matching_Engine!$AT$123)),"No integrity signal: no audience-analysis row for this account.","Integrity screen only — no content-risk reading exists (comments_analysis: 0 rows). "&amp;IF(ISNUMBER(Matching_Engine!$AO$123),"Authenticity "&amp;Matching_Engine!$AO$123&amp;". ","Authenticity N/A. ")&amp;IF(ISNUMBER(Matching_Engine!$AP$123),"Follower quality "&amp;Matching_Engine!$AP$123&amp;". ","Follower quality N/A. ")&amp;IF(KOL_Source_Data!$I$27="Yes","Platform-verified.","Not platform-verified."))</f>
      </c>
      <c r="AX123" s="18">
        <f>Matching_Engine!$N$123*Lookup_Lists!$D$104+Matching_Engine!$T$123*Lookup_Lists!$D$105+Matching_Engine!$Z$123*Lookup_Lists!$D$106+Matching_Engine!$AF$123*Lookup_Lists!$D$107+Matching_Engine!$AN$123*Lookup_Lists!$D$108+Matching_Engine!$AU$123*Lookup_Lists!$D$109</f>
      </c>
      <c r="AY123" s="30">
        <f>IF(Matching_Engine!$AX$123=0,"N/A",ROUND((IF(Matching_Engine!$N$123=1,Matching_Engine!$M$123*Lookup_Lists!$D$104,0)+IF(Matching_Engine!$T$123=1,Matching_Engine!$S$123*Lookup_Lists!$D$105,0)+IF(Matching_Engine!$Z$123=1,Matching_Engine!$Y$123*Lookup_Lists!$D$106,0)+IF(Matching_Engine!$AF$123=1,Matching_Engine!$AE$123*Lookup_Lists!$D$107,0)+IF(Matching_Engine!$AN$123=1,Matching_Engine!$AM$123*Lookup_Lists!$D$108,0)+IF(Matching_Engine!$AU$123=1,Matching_Engine!$AT$123*Lookup_Lists!$D$109,0))/Matching_Engine!$AX$123,0))</f>
      </c>
      <c r="AZ123" s="11">
        <f>IF(NOT(ISNUMBER(Matching_Engine!$AY$123)),"Not Scored",IF(Matching_Engine!$AY$123&gt;=Lookup_Lists!$D$152,"Excellent Match",IF(Matching_Engine!$AY$123&gt;=Lookup_Lists!$D$153,"Strong Match",IF(Matching_Engine!$AY$123&gt;=Lookup_Lists!$D$154,"Good Match",IF(Matching_Engine!$AY$123&gt;=Lookup_Lists!$D$155,"Moderate Match","Low Match")))))</f>
      </c>
      <c r="BA123" s="18">
        <f>KOL_Source_Data!$BW$27</f>
      </c>
      <c r="BB123" s="11">
        <f>KOL_Source_Data!$BX$27</f>
      </c>
      <c r="BC123" s="18">
        <f>IF(NOT(ISNUMBER(Matching_Engine!$AY$123)),-1,Matching_Engine!$AY$123*1000+3)</f>
      </c>
      <c r="BD123" s="11">
        <f>IF(AND(ISTEXT(KOL_Source_Data!$S$27),KOL_Source_Data!$S$27&lt;&gt;"N/A"),KOL_Source_Data!$S$27,"")&amp;" | "&amp;IF(AND(ISTEXT(KOL_Source_Data!$T$27),KOL_Source_Data!$T$27&lt;&gt;"N/A"),KOL_Source_Data!$T$27,"")&amp;" | "&amp;IF(AND(ISTEXT(KOL_Source_Data!$N$27),KOL_Source_Data!$N$27&lt;&gt;"N/A"),KOL_Source_Data!$N$27,"")&amp;" | "&amp;IF(AND(ISTEXT(KOL_Source_Data!$K$27),KOL_Source_Data!$K$27&lt;&gt;"N/A"),KOL_Source_Data!$K$27,"")&amp;" | "&amp;IF(AND(ISTEXT(KOL_Source_Data!$J$27),KOL_Source_Data!$J$27&lt;&gt;"N/A"),KOL_Source_Data!$J$27,"")</f>
      </c>
      <c r="BE123" s="11">
        <f>IF(AND(ISTEXT(KOL_Source_Data!$T$27),KOL_Source_Data!$T$27&lt;&gt;"N/A"),KOL_Source_Data!$T$27,"")&amp;" | "&amp;IF(AND(ISTEXT(KOL_Source_Data!$N$27),KOL_Source_Data!$N$27&lt;&gt;"N/A"),KOL_Source_Data!$N$27,"")&amp;" | "&amp;IF(AND(ISTEXT(KOL_Source_Data!$O$27),KOL_Source_Data!$O$27&lt;&gt;"N/A"),KOL_Source_Data!$O$27,"")&amp;" | "&amp;IF(AND(ISTEXT(KOL_Source_Data!$S$27),KOL_Source_Data!$S$27&lt;&gt;"N/A"),KOL_Source_Data!$S$27,"")</f>
      </c>
      <c r="BF123" s="11">
        <f>IF(AND(ISTEXT(KOL_Source_Data!$U$27),KOL_Source_Data!$U$27&lt;&gt;"N/A"),KOL_Source_Data!$U$27,"")</f>
      </c>
      <c r="BG123" s="11">
        <f>Matching_Engine!$A$123&amp;"|"&amp;Matching_Engine!$C$123</f>
      </c>
    </row>
    <row r="124" spans="1:59" x14ac:dyDescent="0.25">
      <c r="A124" s="10" t="s">
        <v>394</v>
      </c>
      <c r="B124" s="11">
        <f>Brand_Profile!$I$6</f>
      </c>
      <c r="C124" s="11">
        <f>KOL_Source_Data!$A$28</f>
      </c>
      <c r="D124" s="11">
        <f>KOL_Source_Data!$C$28</f>
      </c>
      <c r="E124" s="11">
        <f>KOL_Source_Data!$D$28</f>
      </c>
      <c r="F124" s="11">
        <f>KOL_Source_Data!$E$28</f>
      </c>
      <c r="G124" s="11">
        <f>KOL_Source_Data!$K$28</f>
      </c>
      <c r="H124" s="12">
        <f>KOL_Source_Data!$G$28</f>
      </c>
      <c r="I124" s="14">
        <f>KOL_Source_Data!$BG$28</f>
      </c>
      <c r="J124" s="18">
        <f>IF(NOT(AND(ISTEXT(KOL_Source_Data!$K$28),KOL_Source_Data!$K$28&lt;&gt;"N/A")),Lookup_Lists!$D$150,IF(Brand_Profile!$I$7=KOL_Source_Data!$K$28,100,IFERROR(INDEX(Lookup_Lists!$B$349:$J$357,MATCH(Brand_Profile!$I$7,Lookup_Lists!$A$349:$A$357,0),MATCH(KOL_Source_Data!$K$28,Lookup_Lists!$B$348:$J$348,0)),Lookup_Lists!$D$151)))</f>
      </c>
      <c r="K124" s="18">
        <f>IF(LEN(TRIM(SUBSTITUTE(Matching_Engine!$BD$124,"|","")))=0,"N/A",IF(Brand_Profile!$I$47=0,Lookup_Lists!$D$150,ROUND((IF(Brand_Profile!$I$41="",0,IF(ISNUMBER(SEARCH(Brand_Profile!$I$41,Matching_Engine!$BD$124)),1,0))+IF(Brand_Profile!$I$42="",0,IF(ISNUMBER(SEARCH(Brand_Profile!$I$42,Matching_Engine!$BD$124)),1,0))+IF(Brand_Profile!$I$43="",0,IF(ISNUMBER(SEARCH(Brand_Profile!$I$43,Matching_Engine!$BD$124)),1,0))+IF(Brand_Profile!$I$44="",0,IF(ISNUMBER(SEARCH(Brand_Profile!$I$44,Matching_Engine!$BD$124)),1,0))+IF(Brand_Profile!$I$45="",0,IF(ISNUMBER(SEARCH(Brand_Profile!$I$45,Matching_Engine!$BD$124)),1,0))+IF(Brand_Profile!$I$46="",0,IF(ISNUMBER(SEARCH(Brand_Profile!$I$46,Matching_Engine!$BD$124)),1,0)))/Brand_Profile!$I$47*100,0)))</f>
      </c>
      <c r="L124" s="18">
        <f>IF(NOT(AND(ISTEXT(KOL_Source_Data!$U$28),KOL_Source_Data!$U$28&lt;&gt;"N/A")),"N/A",IF(Brand_Profile!$I$53=0,Lookup_Lists!$D$150,ROUND((IF(Brand_Profile!$I$48="",0,IF(ISNUMBER(SEARCH(Brand_Profile!$I$48,Matching_Engine!$BF$124)),1,0))+IF(Brand_Profile!$I$49="",0,IF(ISNUMBER(SEARCH(Brand_Profile!$I$49,Matching_Engine!$BF$124)),1,0))+IF(Brand_Profile!$I$50="",0,IF(ISNUMBER(SEARCH(Brand_Profile!$I$50,Matching_Engine!$BF$124)),1,0))+IF(Brand_Profile!$I$51="",0,IF(ISNUMBER(SEARCH(Brand_Profile!$I$51,Matching_Engine!$BF$124)),1,0))+IF(Brand_Profile!$I$52="",0,IF(ISNUMBER(SEARCH(Brand_Profile!$I$52,Matching_Engine!$BF$124)),1,0)))/Brand_Profile!$I$53*100,0)))</f>
      </c>
      <c r="M124" s="29">
        <f>IF((IF(ISNUMBER(Matching_Engine!$J$124),Lookup_Lists!$D$332,0)+IF(ISNUMBER(Matching_Engine!$K$124),Lookup_Lists!$D$333,0)+IF(ISNUMBER(Matching_Engine!$L$124),Lookup_Lists!$D$334,0))=0,"N/A",ROUND((IF(ISNUMBER(Matching_Engine!$J$124),Matching_Engine!$J$124*Lookup_Lists!$D$332,0)+IF(ISNUMBER(Matching_Engine!$K$124),Matching_Engine!$K$124*Lookup_Lists!$D$333,0)+IF(ISNUMBER(Matching_Engine!$L$124),Matching_Engine!$L$124*Lookup_Lists!$D$334,0))/(IF(ISNUMBER(Matching_Engine!$J$124),Lookup_Lists!$D$332,0)+IF(ISNUMBER(Matching_Engine!$K$124),Lookup_Lists!$D$333,0)+IF(ISNUMBER(Matching_Engine!$L$124),Lookup_Lists!$D$334,0)),0))</f>
      </c>
      <c r="N124" s="11">
        <f>IF(ISNUMBER(Matching_Engine!$M$124),1,0)</f>
      </c>
      <c r="O124" s="18">
        <f>IF(NOT(ISNUMBER(IFERROR(INDEX(KOL_Source_Data!$V$28:KOL_Source_Data!$Z$28,1,MATCH(Brand_Profile!$I$11,Lookup_Lists!$F$6:$F$10,0)),""))),"N/A",MIN(100,ROUND((IFERROR(INDEX(KOL_Source_Data!$V$28:KOL_Source_Data!$Z$28,1,MATCH(Brand_Profile!$I$11,Lookup_Lists!$F$6:$F$10,0)),"")+0.5*IF(ISNUMBER(IFERROR(INDEX(KOL_Source_Data!$V$28:KOL_Source_Data!$Z$28,1,MATCH(Brand_Profile!$I$12,Lookup_Lists!$F$6:$F$10,0)),"")),IFERROR(INDEX(KOL_Source_Data!$V$28:KOL_Source_Data!$Z$28,1,MATCH(Brand_Profile!$I$12,Lookup_Lists!$F$6:$F$10,0)),""),0))/Lookup_Lists!$D$142*100,0)))</f>
      </c>
      <c r="P124" s="18">
        <f>IF(Brand_Profile!$I$13="Any",100,IF(NOT(ISNUMBER(KOL_Source_Data!$AA$28)),"N/A",IF(Brand_Profile!$I$13="Female",MIN(100,ROUND(KOL_Source_Data!$AA$28/Lookup_Lists!$D$143*100,0)),IF(Brand_Profile!$I$13="Male",MIN(100,ROUND(IF(ISNUMBER(KOL_Source_Data!$AB$28),KOL_Source_Data!$AB$28,100-KOL_Source_Data!$AA$28)/Lookup_Lists!$D$143*100,0)),MAX(0,ROUND(100-ABS(KOL_Source_Data!$AA$28-50)*2,0))))))</f>
      </c>
      <c r="Q124" s="18">
        <f>IF((IF(ISNUMBER(IF(NOT(ISNUMBER(KOL_Source_Data!$AE$28)),"N/A",IF(KOL_Source_Data!$AD$28&lt;&gt;Brand_Profile!$I$14,Lookup_Lists!$D$151,MIN(100,ROUND(KOL_Source_Data!$AE$28/Lookup_Lists!$D$316*100,0))))),Lookup_Lists!$D$118,0)+IF(ISNUMBER(IF(NOT(ISNUMBER(KOL_Source_Data!$AM$28)),"N/A",MIN(100,ROUND((IF(KOL_Source_Data!$AG$28=Brand_Profile!$I$15,IF(ISNUMBER(KOL_Source_Data!$AH$28),KOL_Source_Data!$AH$28,0),0)+IF(KOL_Source_Data!$AI$28=Brand_Profile!$I$15,IF(ISNUMBER(KOL_Source_Data!$AJ$28),KOL_Source_Data!$AJ$28,0),0)+IF(KOL_Source_Data!$AK$28=Brand_Profile!$I$15,IF(ISNUMBER(KOL_Source_Data!$AL$28),KOL_Source_Data!$AL$28,0),0))/Lookup_Lists!$D$317*100,0)))),Lookup_Lists!$D$120,0))=0,"N/A",ROUND((IF(ISNUMBER(IF(NOT(ISNUMBER(KOL_Source_Data!$AE$28)),"N/A",IF(KOL_Source_Data!$AD$28&lt;&gt;Brand_Profile!$I$14,Lookup_Lists!$D$151,MIN(100,ROUND(KOL_Source_Data!$AE$28/Lookup_Lists!$D$316*100,0))))),IF(NOT(ISNUMBER(KOL_Source_Data!$AE$28)),"N/A",IF(KOL_Source_Data!$AD$28&lt;&gt;Brand_Profile!$I$14,Lookup_Lists!$D$151,MIN(100,ROUND(KOL_Source_Data!$AE$28/Lookup_Lists!$D$316*100,0))))*Lookup_Lists!$D$118,0)+IF(ISNUMBER(IF(NOT(ISNUMBER(KOL_Source_Data!$AM$28)),"N/A",MIN(100,ROUND((IF(KOL_Source_Data!$AG$28=Brand_Profile!$I$15,IF(ISNUMBER(KOL_Source_Data!$AH$28),KOL_Source_Data!$AH$28,0),0)+IF(KOL_Source_Data!$AI$28=Brand_Profile!$I$15,IF(ISNUMBER(KOL_Source_Data!$AJ$28),KOL_Source_Data!$AJ$28,0),0)+IF(KOL_Source_Data!$AK$28=Brand_Profile!$I$15,IF(ISNUMBER(KOL_Source_Data!$AL$28),KOL_Source_Data!$AL$28,0),0))/Lookup_Lists!$D$317*100,0)))),IF(NOT(ISNUMBER(KOL_Source_Data!$AM$28)),"N/A",MIN(100,ROUND((IF(KOL_Source_Data!$AG$28=Brand_Profile!$I$15,IF(ISNUMBER(KOL_Source_Data!$AH$28),KOL_Source_Data!$AH$28,0),0)+IF(KOL_Source_Data!$AI$28=Brand_Profile!$I$15,IF(ISNUMBER(KOL_Source_Data!$AJ$28),KOL_Source_Data!$AJ$28,0),0)+IF(KOL_Source_Data!$AK$28=Brand_Profile!$I$15,IF(ISNUMBER(KOL_Source_Data!$AL$28),KOL_Source_Data!$AL$28,0),0))/Lookup_Lists!$D$317*100,0)))*Lookup_Lists!$D$120,0))/(IF(ISNUMBER(IF(NOT(ISNUMBER(KOL_Source_Data!$AE$28)),"N/A",IF(KOL_Source_Data!$AD$28&lt;&gt;Brand_Profile!$I$14,Lookup_Lists!$D$151,MIN(100,ROUND(KOL_Source_Data!$AE$28/Lookup_Lists!$D$316*100,0))))),Lookup_Lists!$D$118,0)+IF(ISNUMBER(IF(NOT(ISNUMBER(KOL_Source_Data!$AM$28)),"N/A",MIN(100,ROUND((IF(KOL_Source_Data!$AG$28=Brand_Profile!$I$15,IF(ISNUMBER(KOL_Source_Data!$AH$28),KOL_Source_Data!$AH$28,0),0)+IF(KOL_Source_Data!$AI$28=Brand_Profile!$I$15,IF(ISNUMBER(KOL_Source_Data!$AJ$28),KOL_Source_Data!$AJ$28,0),0)+IF(KOL_Source_Data!$AK$28=Brand_Profile!$I$15,IF(ISNUMBER(KOL_Source_Data!$AL$28),KOL_Source_Data!$AL$28,0),0))/Lookup_Lists!$D$317*100,0)))),Lookup_Lists!$D$120,0)),0))</f>
      </c>
      <c r="R124" s="18">
        <f>IF(NOT(ISNUMBER(KOL_Source_Data!$AN$28)),"N/A",MIN(100,ROUND((IF(ISNUMBER(KOL_Source_Data!$AO$28),KOL_Source_Data!$AO$28*Brand_Profile!$I$17,0)+IF(ISNUMBER(KOL_Source_Data!$AP$28),KOL_Source_Data!$AP$28*Brand_Profile!$I$18,0)+IF(ISNUMBER(KOL_Source_Data!$AQ$28),KOL_Source_Data!$AQ$28*Brand_Profile!$I$19,0)+IF(ISNUMBER(KOL_Source_Data!$AR$28),KOL_Source_Data!$AR$28*Brand_Profile!$I$20,0)+IF(ISNUMBER(KOL_Source_Data!$AS$28),KOL_Source_Data!$AS$28*Brand_Profile!$I$21,0)+IF(ISNUMBER(KOL_Source_Data!$AT$28),KOL_Source_Data!$AT$28*Brand_Profile!$I$22,0)+IF(ISNUMBER(KOL_Source_Data!$AU$28),KOL_Source_Data!$AU$28*Brand_Profile!$I$23,0)+IF(ISNUMBER(KOL_Source_Data!$AV$28),KOL_Source_Data!$AV$28*Brand_Profile!$I$24,0)+IF(ISNUMBER(KOL_Source_Data!$AW$28),KOL_Source_Data!$AW$28*Brand_Profile!$I$25,0)+IF(ISNUMBER(KOL_Source_Data!$AX$28),KOL_Source_Data!$AX$28*Brand_Profile!$I$26,0)+IF(ISNUMBER(KOL_Source_Data!$AY$28),KOL_Source_Data!$AY$28*Brand_Profile!$I$27,0)+IF(ISNUMBER(KOL_Source_Data!$AZ$28),KOL_Source_Data!$AZ$28*Brand_Profile!$I$28,0)+IF(ISNUMBER(KOL_Source_Data!$BA$28),KOL_Source_Data!$BA$28*Brand_Profile!$I$29,0)+IF(ISNUMBER(KOL_Source_Data!$BB$28),KOL_Source_Data!$BB$28*Brand_Profile!$I$30,0)+IF(ISNUMBER(KOL_Source_Data!$BC$28),KOL_Source_Data!$BC$28*Brand_Profile!$I$31,0)+IF(ISNUMBER(KOL_Source_Data!$BD$28),KOL_Source_Data!$BD$28*Brand_Profile!$I$32,0)+IF(ISNUMBER(KOL_Source_Data!$BE$28),KOL_Source_Data!$BE$28*Brand_Profile!$I$33,0)+IF(ISNUMBER(KOL_Source_Data!$BF$28),KOL_Source_Data!$BF$28*Brand_Profile!$I$34,0))/Lookup_Lists!$D$318*100,0)))</f>
      </c>
      <c r="S124" s="29">
        <f>IF((IF(ISNUMBER(Matching_Engine!$O$124),Lookup_Lists!$D$113,0)+IF(ISNUMBER(Matching_Engine!$P$124),Lookup_Lists!$D$114,0)+IF(ISNUMBER(Matching_Engine!$Q$124),Lookup_Lists!$D$115,0)+IF(ISNUMBER(Matching_Engine!$R$124),Lookup_Lists!$D$116,0))=0,"N/A",ROUND((IF(ISNUMBER(Matching_Engine!$O$124),Matching_Engine!$O$124*Lookup_Lists!$D$113,0)+IF(ISNUMBER(Matching_Engine!$P$124),Matching_Engine!$P$124*Lookup_Lists!$D$114,0)+IF(ISNUMBER(Matching_Engine!$Q$124),Matching_Engine!$Q$124*Lookup_Lists!$D$115,0)+IF(ISNUMBER(Matching_Engine!$R$124),Matching_Engine!$R$124*Lookup_Lists!$D$116,0))/(IF(ISNUMBER(Matching_Engine!$O$124),Lookup_Lists!$D$113,0)+IF(ISNUMBER(Matching_Engine!$P$124),Lookup_Lists!$D$114,0)+IF(ISNUMBER(Matching_Engine!$Q$124),Lookup_Lists!$D$115,0)+IF(ISNUMBER(Matching_Engine!$R$124),Lookup_Lists!$D$116,0)),0))</f>
      </c>
      <c r="T124" s="11">
        <f>IF(ISNUMBER(Matching_Engine!$S$124),1,0)</f>
      </c>
      <c r="U124" s="18">
        <f>IF(NOT(AND(ISTEXT(KOL_Source_Data!$M$28),KOL_Source_Data!$M$28&lt;&gt;"N/A")),Lookup_Lists!$D$150,IF(Brand_Profile!$I$7=KOL_Source_Data!$M$28,100,IFERROR(INDEX(Lookup_Lists!$B$349:$J$357,MATCH(Brand_Profile!$I$7,Lookup_Lists!$A$349:$A$357,0),MATCH(KOL_Source_Data!$M$28,Lookup_Lists!$B$348:$J$348,0)),Lookup_Lists!$D$151)))</f>
      </c>
      <c r="V124" s="18">
        <f>IF(NOT(AND(ISTEXT(KOL_Source_Data!$P$28),KOL_Source_Data!$P$28&lt;&gt;"N/A")),"N/A",IFERROR(INDEX(Lookup_Lists!$B$349:$J$357,MATCH(Brand_Profile!$I$7,Lookup_Lists!$A$349:$A$357,0),MATCH(KOL_Source_Data!$P$28,Lookup_Lists!$B$348:$J$348,0)),Lookup_Lists!$D$151))</f>
      </c>
      <c r="W124" s="18">
        <f>IF(LEN(TRIM(SUBSTITUTE(Matching_Engine!$BE$124,"|","")))=0,"N/A",IF(Brand_Profile!$I$60=0,Lookup_Lists!$D$150,ROUND((IF(Brand_Profile!$I$54="",0,IF(ISNUMBER(SEARCH(Brand_Profile!$I$54,Matching_Engine!$BE$124)),1,0))+IF(Brand_Profile!$I$55="",0,IF(ISNUMBER(SEARCH(Brand_Profile!$I$55,Matching_Engine!$BE$124)),1,0))+IF(Brand_Profile!$I$56="",0,IF(ISNUMBER(SEARCH(Brand_Profile!$I$56,Matching_Engine!$BE$124)),1,0))+IF(Brand_Profile!$I$57="",0,IF(ISNUMBER(SEARCH(Brand_Profile!$I$57,Matching_Engine!$BE$124)),1,0))+IF(Brand_Profile!$I$58="",0,IF(ISNUMBER(SEARCH(Brand_Profile!$I$58,Matching_Engine!$BE$124)),1,0))+IF(Brand_Profile!$I$59="",0,IF(ISNUMBER(SEARCH(Brand_Profile!$I$59,Matching_Engine!$BE$124)),1,0)))/Brand_Profile!$I$60*100,0)))</f>
      </c>
      <c r="X124" s="18">
        <f>IF(NOT(AND(ISTEXT(KOL_Source_Data!$Q$28),KOL_Source_Data!$Q$28&lt;&gt;"N/A")),"N/A",Lookup_Lists!$D$150)</f>
      </c>
      <c r="Y124" s="29">
        <f>IF((IF(ISNUMBER(Matching_Engine!$U$124),Lookup_Lists!$D$335,0)+IF(ISNUMBER(Matching_Engine!$V$124),Lookup_Lists!$D$122,0)+IF(ISNUMBER(Matching_Engine!$W$124),Lookup_Lists!$D$336,0)+IF(ISNUMBER(Matching_Engine!$X$124),Lookup_Lists!$D$124,0))=0,"N/A",ROUND((IF(ISNUMBER(Matching_Engine!$U$124),Matching_Engine!$U$124*Lookup_Lists!$D$335,0)+IF(ISNUMBER(Matching_Engine!$V$124),Matching_Engine!$V$124*Lookup_Lists!$D$122,0)+IF(ISNUMBER(Matching_Engine!$W$124),Matching_Engine!$W$124*Lookup_Lists!$D$336,0)+IF(ISNUMBER(Matching_Engine!$X$124),Matching_Engine!$X$124*Lookup_Lists!$D$124,0))/(IF(ISNUMBER(Matching_Engine!$U$124),Lookup_Lists!$D$335,0)+IF(ISNUMBER(Matching_Engine!$V$124),Lookup_Lists!$D$122,0)+IF(ISNUMBER(Matching_Engine!$W$124),Lookup_Lists!$D$336,0)+IF(ISNUMBER(Matching_Engine!$X$124),Lookup_Lists!$D$124,0)),0))</f>
      </c>
      <c r="Z124" s="11">
        <f>IF(ISNUMBER(Matching_Engine!$Y$124),1,0)</f>
      </c>
      <c r="AA124" s="18">
        <f>IF(NOT(AND(ISTEXT(KOL_Source_Data!$Q$28),KOL_Source_Data!$Q$28&lt;&gt;"N/A")),"N/A",Lookup_Lists!$D$150)</f>
      </c>
      <c r="AB124" s="18">
        <f>IF(NOT(AND(ISTEXT(KOL_Source_Data!$Q$28),KOL_Source_Data!$Q$28&lt;&gt;"N/A")),"N/A",Lookup_Lists!$D$150)</f>
      </c>
      <c r="AC124" s="18">
        <f>"N/A"</f>
      </c>
      <c r="AD124" s="18">
        <f>IF(NOT(AND(ISTEXT(KOL_Source_Data!$Q$28),KOL_Source_Data!$Q$28&lt;&gt;"N/A")),"N/A",Lookup_Lists!$D$150)</f>
      </c>
      <c r="AE124" s="29">
        <f>IF((IF(ISNUMBER(Matching_Engine!$AA$124),Lookup_Lists!$D$125,0)+IF(ISNUMBER(Matching_Engine!$AB$124),Lookup_Lists!$D$126,0)+IF(ISNUMBER(Matching_Engine!$AC$124),Lookup_Lists!$D$127,0)+IF(ISNUMBER(Matching_Engine!$AD$124),Lookup_Lists!$D$128,0))=0,"N/A",ROUND((IF(ISNUMBER(Matching_Engine!$AA$124),Matching_Engine!$AA$124*Lookup_Lists!$D$125,0)+IF(ISNUMBER(Matching_Engine!$AB$124),Matching_Engine!$AB$124*Lookup_Lists!$D$126,0)+IF(ISNUMBER(Matching_Engine!$AC$124),Matching_Engine!$AC$124*Lookup_Lists!$D$127,0)+IF(ISNUMBER(Matching_Engine!$AD$124),Matching_Engine!$AD$124*Lookup_Lists!$D$128,0))/(IF(ISNUMBER(Matching_Engine!$AA$124),Lookup_Lists!$D$125,0)+IF(ISNUMBER(Matching_Engine!$AB$124),Lookup_Lists!$D$126,0)+IF(ISNUMBER(Matching_Engine!$AC$124),Lookup_Lists!$D$127,0)+IF(ISNUMBER(Matching_Engine!$AD$124),Lookup_Lists!$D$128,0)),0))</f>
      </c>
      <c r="AF124" s="11">
        <f>IF(ISNUMBER(Matching_Engine!$AE$124),1,0)</f>
      </c>
      <c r="AG124" s="18">
        <f>IF(NOT(ISNUMBER(KOL_Source_Data!$BG$28)),"N/A",MIN(100,ROUND(KOL_Source_Data!$BG$28/IFERROR(INDEX(Lookup_Lists!$B$340:$B$344,MATCH(KOL_Source_Data!$H$28,Lookup_Lists!$A$340:$A$344,0)),Lookup_Lists!$D$141)*100,0)))</f>
      </c>
      <c r="AH124" s="18">
        <f>IF(NOT(ISNUMBER(KOL_Source_Data!$BS$28)),"N/A",MIN(100,MAX(0,KOL_Source_Data!$BS$28)))</f>
      </c>
      <c r="AI124" s="18">
        <f>IF(OR(NOT(ISNUMBER(KOL_Source_Data!$BM$28)),NOT(ISNUMBER(KOL_Source_Data!$BN$28)),KOL_Source_Data!$BN$28&lt;Lookup_Lists!$D$320),"N/A",MIN(100,ROUND(KOL_Source_Data!$BM$28/Lookup_Lists!$D$319*100,0)))</f>
      </c>
      <c r="AJ124" s="18">
        <f>IF(NOT(ISNUMBER(KOL_Source_Data!$BR$28)),"N/A",KOL_Source_Data!$BR$28)</f>
      </c>
      <c r="AK124" s="18">
        <f>IF(NOT(ISNUMBER(KOL_Source_Data!$BK$28)),"N/A",MIN(100,ROUND(KOL_Source_Data!$BK$28/Lookup_Lists!$D$321*100,0)))</f>
      </c>
      <c r="AL124" s="18">
        <f>IF(NOT(ISNUMBER(KOL_Source_Data!$BP$28)),"N/A",MIN(100,MAX(0,ROUND((KOL_Source_Data!$BP$28+2)/(Lookup_Lists!$D$145+2)*100,0))))</f>
      </c>
      <c r="AM124" s="29">
        <f>IF((IF(ISNUMBER(Matching_Engine!$AG$124),Lookup_Lists!$D$129,0)+IF(ISNUMBER(Matching_Engine!$AH$124),Lookup_Lists!$D$130,0)+IF(ISNUMBER(Matching_Engine!$AI$124),Lookup_Lists!$D$131,0)+IF(ISNUMBER(Matching_Engine!$AJ$124),Lookup_Lists!$D$132,0)+IF(ISNUMBER(Matching_Engine!$AK$124),Lookup_Lists!$D$133,0)+IF(ISNUMBER(Matching_Engine!$AL$124),Lookup_Lists!$D$134,0))=0,"N/A",ROUND((IF(ISNUMBER(Matching_Engine!$AG$124),Matching_Engine!$AG$124*Lookup_Lists!$D$129,0)+IF(ISNUMBER(Matching_Engine!$AH$124),Matching_Engine!$AH$124*Lookup_Lists!$D$130,0)+IF(ISNUMBER(Matching_Engine!$AI$124),Matching_Engine!$AI$124*Lookup_Lists!$D$131,0)+IF(ISNUMBER(Matching_Engine!$AJ$124),Matching_Engine!$AJ$124*Lookup_Lists!$D$132,0)+IF(ISNUMBER(Matching_Engine!$AK$124),Matching_Engine!$AK$124*Lookup_Lists!$D$133,0)+IF(ISNUMBER(Matching_Engine!$AL$124),Matching_Engine!$AL$124*Lookup_Lists!$D$134,0))/(IF(ISNUMBER(Matching_Engine!$AG$124),Lookup_Lists!$D$129,0)+IF(ISNUMBER(Matching_Engine!$AH$124),Lookup_Lists!$D$130,0)+IF(ISNUMBER(Matching_Engine!$AI$124),Lookup_Lists!$D$131,0)+IF(ISNUMBER(Matching_Engine!$AJ$124),Lookup_Lists!$D$132,0)+IF(ISNUMBER(Matching_Engine!$AK$124),Lookup_Lists!$D$133,0)+IF(ISNUMBER(Matching_Engine!$AL$124),Lookup_Lists!$D$134,0)),0))</f>
      </c>
      <c r="AN124" s="11">
        <f>IF(ISNUMBER(Matching_Engine!$AM$124),1,0)</f>
      </c>
      <c r="AO124" s="18">
        <f>IF(NOT(ISNUMBER(KOL_Source_Data!$BT$28)),"N/A",MIN(100,MAX(0,KOL_Source_Data!$BT$28)))</f>
      </c>
      <c r="AP124" s="18">
        <f>IF(NOT(ISNUMBER(KOL_Source_Data!$BU$28)),"N/A",MIN(100,MAX(0,KOL_Source_Data!$BU$28)))</f>
      </c>
      <c r="AQ124" s="18">
        <f>IF(KOL_Source_Data!$I$28="Yes",Lookup_Lists!$D$326,IF(KOL_Source_Data!$I$28="No",Lookup_Lists!$D$327,"N/A"))</f>
      </c>
      <c r="AR124" s="18">
        <f>IF(NOT(ISNUMBER(KOL_Source_Data!$BQ$28)),"N/A",MAX(0,ROUND(100-KOL_Source_Data!$BQ$28/Lookup_Lists!$D$328*100,0)))</f>
      </c>
      <c r="AS124" s="18">
        <f>IF(NOT(AND(ISTEXT(KOL_Source_Data!$BV$28),KOL_Source_Data!$BV$28&lt;&gt;"N/A")),"N/A",KOL_Source_Data!$BV$28)</f>
      </c>
      <c r="AT124" s="29">
        <f>IF((IF(ISNUMBER(Matching_Engine!$AO$124),Lookup_Lists!$D$322,0)+IF(ISNUMBER(Matching_Engine!$AP$124),Lookup_Lists!$D$323,0)+IF(ISNUMBER(Matching_Engine!$AQ$124),Lookup_Lists!$D$324,0)+IF(ISNUMBER(Matching_Engine!$AR$124),Lookup_Lists!$D$325,0))=0,"N/A",ROUND((IF(ISNUMBER(Matching_Engine!$AO$124),Matching_Engine!$AO$124*Lookup_Lists!$D$322,0)+IF(ISNUMBER(Matching_Engine!$AP$124),Matching_Engine!$AP$124*Lookup_Lists!$D$323,0)+IF(ISNUMBER(Matching_Engine!$AQ$124),Matching_Engine!$AQ$124*Lookup_Lists!$D$324,0)+IF(ISNUMBER(Matching_Engine!$AR$124),Matching_Engine!$AR$124*Lookup_Lists!$D$325,0))/(IF(ISNUMBER(Matching_Engine!$AO$124),Lookup_Lists!$D$322,0)+IF(ISNUMBER(Matching_Engine!$AP$124),Lookup_Lists!$D$323,0)+IF(ISNUMBER(Matching_Engine!$AQ$124),Lookup_Lists!$D$324,0)+IF(ISNUMBER(Matching_Engine!$AR$124),Lookup_Lists!$D$325,0)),0))</f>
      </c>
      <c r="AU124" s="11">
        <f>IF(ISNUMBER(Matching_Engine!$AT$124),1,0)</f>
      </c>
      <c r="AV124" s="11">
        <f>IF(NOT(ISNUMBER(Matching_Engine!$AT$124)),"Not Screened",IF(Matching_Engine!$AT$124&gt;=Lookup_Lists!$D$329,"Low Risk",IF(Matching_Engine!$AT$124&gt;=Lookup_Lists!$D$330,"Moderate Risk",IF(Matching_Engine!$AT$124&gt;=Lookup_Lists!$D$331,"Elevated Risk","High Risk"))))</f>
      </c>
      <c r="AW124" s="11">
        <f>IF(NOT(ISNUMBER(Matching_Engine!$AT$124)),"No integrity signal: no audience-analysis row for this account.","Integrity screen only — no content-risk reading exists (comments_analysis: 0 rows). "&amp;IF(ISNUMBER(Matching_Engine!$AO$124),"Authenticity "&amp;Matching_Engine!$AO$124&amp;". ","Authenticity N/A. ")&amp;IF(ISNUMBER(Matching_Engine!$AP$124),"Follower quality "&amp;Matching_Engine!$AP$124&amp;". ","Follower quality N/A. ")&amp;IF(KOL_Source_Data!$I$28="Yes","Platform-verified.","Not platform-verified."))</f>
      </c>
      <c r="AX124" s="18">
        <f>Matching_Engine!$N$124*Lookup_Lists!$D$104+Matching_Engine!$T$124*Lookup_Lists!$D$105+Matching_Engine!$Z$124*Lookup_Lists!$D$106+Matching_Engine!$AF$124*Lookup_Lists!$D$107+Matching_Engine!$AN$124*Lookup_Lists!$D$108+Matching_Engine!$AU$124*Lookup_Lists!$D$109</f>
      </c>
      <c r="AY124" s="30">
        <f>IF(Matching_Engine!$AX$124=0,"N/A",ROUND((IF(Matching_Engine!$N$124=1,Matching_Engine!$M$124*Lookup_Lists!$D$104,0)+IF(Matching_Engine!$T$124=1,Matching_Engine!$S$124*Lookup_Lists!$D$105,0)+IF(Matching_Engine!$Z$124=1,Matching_Engine!$Y$124*Lookup_Lists!$D$106,0)+IF(Matching_Engine!$AF$124=1,Matching_Engine!$AE$124*Lookup_Lists!$D$107,0)+IF(Matching_Engine!$AN$124=1,Matching_Engine!$AM$124*Lookup_Lists!$D$108,0)+IF(Matching_Engine!$AU$124=1,Matching_Engine!$AT$124*Lookup_Lists!$D$109,0))/Matching_Engine!$AX$124,0))</f>
      </c>
      <c r="AZ124" s="11">
        <f>IF(NOT(ISNUMBER(Matching_Engine!$AY$124)),"Not Scored",IF(Matching_Engine!$AY$124&gt;=Lookup_Lists!$D$152,"Excellent Match",IF(Matching_Engine!$AY$124&gt;=Lookup_Lists!$D$153,"Strong Match",IF(Matching_Engine!$AY$124&gt;=Lookup_Lists!$D$154,"Good Match",IF(Matching_Engine!$AY$124&gt;=Lookup_Lists!$D$155,"Moderate Match","Low Match")))))</f>
      </c>
      <c r="BA124" s="18">
        <f>KOL_Source_Data!$BW$28</f>
      </c>
      <c r="BB124" s="11">
        <f>KOL_Source_Data!$BX$28</f>
      </c>
      <c r="BC124" s="18">
        <f>IF(NOT(ISNUMBER(Matching_Engine!$AY$124)),-1,Matching_Engine!$AY$124*1000+2)</f>
      </c>
      <c r="BD124" s="11">
        <f>IF(AND(ISTEXT(KOL_Source_Data!$S$28),KOL_Source_Data!$S$28&lt;&gt;"N/A"),KOL_Source_Data!$S$28,"")&amp;" | "&amp;IF(AND(ISTEXT(KOL_Source_Data!$T$28),KOL_Source_Data!$T$28&lt;&gt;"N/A"),KOL_Source_Data!$T$28,"")&amp;" | "&amp;IF(AND(ISTEXT(KOL_Source_Data!$N$28),KOL_Source_Data!$N$28&lt;&gt;"N/A"),KOL_Source_Data!$N$28,"")&amp;" | "&amp;IF(AND(ISTEXT(KOL_Source_Data!$K$28),KOL_Source_Data!$K$28&lt;&gt;"N/A"),KOL_Source_Data!$K$28,"")&amp;" | "&amp;IF(AND(ISTEXT(KOL_Source_Data!$J$28),KOL_Source_Data!$J$28&lt;&gt;"N/A"),KOL_Source_Data!$J$28,"")</f>
      </c>
      <c r="BE124" s="11">
        <f>IF(AND(ISTEXT(KOL_Source_Data!$T$28),KOL_Source_Data!$T$28&lt;&gt;"N/A"),KOL_Source_Data!$T$28,"")&amp;" | "&amp;IF(AND(ISTEXT(KOL_Source_Data!$N$28),KOL_Source_Data!$N$28&lt;&gt;"N/A"),KOL_Source_Data!$N$28,"")&amp;" | "&amp;IF(AND(ISTEXT(KOL_Source_Data!$O$28),KOL_Source_Data!$O$28&lt;&gt;"N/A"),KOL_Source_Data!$O$28,"")&amp;" | "&amp;IF(AND(ISTEXT(KOL_Source_Data!$S$28),KOL_Source_Data!$S$28&lt;&gt;"N/A"),KOL_Source_Data!$S$28,"")</f>
      </c>
      <c r="BF124" s="11">
        <f>IF(AND(ISTEXT(KOL_Source_Data!$U$28),KOL_Source_Data!$U$28&lt;&gt;"N/A"),KOL_Source_Data!$U$28,"")</f>
      </c>
      <c r="BG124" s="11">
        <f>Matching_Engine!$A$124&amp;"|"&amp;Matching_Engine!$C$124</f>
      </c>
    </row>
    <row r="125" spans="1:59" x14ac:dyDescent="0.25">
      <c r="A125" s="10" t="s">
        <v>394</v>
      </c>
      <c r="B125" s="11">
        <f>Brand_Profile!$I$6</f>
      </c>
      <c r="C125" s="11">
        <f>KOL_Source_Data!$A$29</f>
      </c>
      <c r="D125" s="11">
        <f>KOL_Source_Data!$C$29</f>
      </c>
      <c r="E125" s="11">
        <f>KOL_Source_Data!$D$29</f>
      </c>
      <c r="F125" s="11">
        <f>KOL_Source_Data!$E$29</f>
      </c>
      <c r="G125" s="11">
        <f>KOL_Source_Data!$K$29</f>
      </c>
      <c r="H125" s="12">
        <f>KOL_Source_Data!$G$29</f>
      </c>
      <c r="I125" s="14">
        <f>KOL_Source_Data!$BG$29</f>
      </c>
      <c r="J125" s="18">
        <f>IF(NOT(AND(ISTEXT(KOL_Source_Data!$K$29),KOL_Source_Data!$K$29&lt;&gt;"N/A")),Lookup_Lists!$D$150,IF(Brand_Profile!$I$7=KOL_Source_Data!$K$29,100,IFERROR(INDEX(Lookup_Lists!$B$349:$J$357,MATCH(Brand_Profile!$I$7,Lookup_Lists!$A$349:$A$357,0),MATCH(KOL_Source_Data!$K$29,Lookup_Lists!$B$348:$J$348,0)),Lookup_Lists!$D$151)))</f>
      </c>
      <c r="K125" s="18">
        <f>IF(LEN(TRIM(SUBSTITUTE(Matching_Engine!$BD$125,"|","")))=0,"N/A",IF(Brand_Profile!$I$47=0,Lookup_Lists!$D$150,ROUND((IF(Brand_Profile!$I$41="",0,IF(ISNUMBER(SEARCH(Brand_Profile!$I$41,Matching_Engine!$BD$125)),1,0))+IF(Brand_Profile!$I$42="",0,IF(ISNUMBER(SEARCH(Brand_Profile!$I$42,Matching_Engine!$BD$125)),1,0))+IF(Brand_Profile!$I$43="",0,IF(ISNUMBER(SEARCH(Brand_Profile!$I$43,Matching_Engine!$BD$125)),1,0))+IF(Brand_Profile!$I$44="",0,IF(ISNUMBER(SEARCH(Brand_Profile!$I$44,Matching_Engine!$BD$125)),1,0))+IF(Brand_Profile!$I$45="",0,IF(ISNUMBER(SEARCH(Brand_Profile!$I$45,Matching_Engine!$BD$125)),1,0))+IF(Brand_Profile!$I$46="",0,IF(ISNUMBER(SEARCH(Brand_Profile!$I$46,Matching_Engine!$BD$125)),1,0)))/Brand_Profile!$I$47*100,0)))</f>
      </c>
      <c r="L125" s="18">
        <f>IF(NOT(AND(ISTEXT(KOL_Source_Data!$U$29),KOL_Source_Data!$U$29&lt;&gt;"N/A")),"N/A",IF(Brand_Profile!$I$53=0,Lookup_Lists!$D$150,ROUND((IF(Brand_Profile!$I$48="",0,IF(ISNUMBER(SEARCH(Brand_Profile!$I$48,Matching_Engine!$BF$125)),1,0))+IF(Brand_Profile!$I$49="",0,IF(ISNUMBER(SEARCH(Brand_Profile!$I$49,Matching_Engine!$BF$125)),1,0))+IF(Brand_Profile!$I$50="",0,IF(ISNUMBER(SEARCH(Brand_Profile!$I$50,Matching_Engine!$BF$125)),1,0))+IF(Brand_Profile!$I$51="",0,IF(ISNUMBER(SEARCH(Brand_Profile!$I$51,Matching_Engine!$BF$125)),1,0))+IF(Brand_Profile!$I$52="",0,IF(ISNUMBER(SEARCH(Brand_Profile!$I$52,Matching_Engine!$BF$125)),1,0)))/Brand_Profile!$I$53*100,0)))</f>
      </c>
      <c r="M125" s="29">
        <f>IF((IF(ISNUMBER(Matching_Engine!$J$125),Lookup_Lists!$D$332,0)+IF(ISNUMBER(Matching_Engine!$K$125),Lookup_Lists!$D$333,0)+IF(ISNUMBER(Matching_Engine!$L$125),Lookup_Lists!$D$334,0))=0,"N/A",ROUND((IF(ISNUMBER(Matching_Engine!$J$125),Matching_Engine!$J$125*Lookup_Lists!$D$332,0)+IF(ISNUMBER(Matching_Engine!$K$125),Matching_Engine!$K$125*Lookup_Lists!$D$333,0)+IF(ISNUMBER(Matching_Engine!$L$125),Matching_Engine!$L$125*Lookup_Lists!$D$334,0))/(IF(ISNUMBER(Matching_Engine!$J$125),Lookup_Lists!$D$332,0)+IF(ISNUMBER(Matching_Engine!$K$125),Lookup_Lists!$D$333,0)+IF(ISNUMBER(Matching_Engine!$L$125),Lookup_Lists!$D$334,0)),0))</f>
      </c>
      <c r="N125" s="11">
        <f>IF(ISNUMBER(Matching_Engine!$M$125),1,0)</f>
      </c>
      <c r="O125" s="18">
        <f>IF(NOT(ISNUMBER(IFERROR(INDEX(KOL_Source_Data!$V$29:KOL_Source_Data!$Z$29,1,MATCH(Brand_Profile!$I$11,Lookup_Lists!$F$6:$F$10,0)),""))),"N/A",MIN(100,ROUND((IFERROR(INDEX(KOL_Source_Data!$V$29:KOL_Source_Data!$Z$29,1,MATCH(Brand_Profile!$I$11,Lookup_Lists!$F$6:$F$10,0)),"")+0.5*IF(ISNUMBER(IFERROR(INDEX(KOL_Source_Data!$V$29:KOL_Source_Data!$Z$29,1,MATCH(Brand_Profile!$I$12,Lookup_Lists!$F$6:$F$10,0)),"")),IFERROR(INDEX(KOL_Source_Data!$V$29:KOL_Source_Data!$Z$29,1,MATCH(Brand_Profile!$I$12,Lookup_Lists!$F$6:$F$10,0)),""),0))/Lookup_Lists!$D$142*100,0)))</f>
      </c>
      <c r="P125" s="18">
        <f>IF(Brand_Profile!$I$13="Any",100,IF(NOT(ISNUMBER(KOL_Source_Data!$AA$29)),"N/A",IF(Brand_Profile!$I$13="Female",MIN(100,ROUND(KOL_Source_Data!$AA$29/Lookup_Lists!$D$143*100,0)),IF(Brand_Profile!$I$13="Male",MIN(100,ROUND(IF(ISNUMBER(KOL_Source_Data!$AB$29),KOL_Source_Data!$AB$29,100-KOL_Source_Data!$AA$29)/Lookup_Lists!$D$143*100,0)),MAX(0,ROUND(100-ABS(KOL_Source_Data!$AA$29-50)*2,0))))))</f>
      </c>
      <c r="Q125" s="18">
        <f>IF((IF(ISNUMBER(IF(NOT(ISNUMBER(KOL_Source_Data!$AE$29)),"N/A",IF(KOL_Source_Data!$AD$29&lt;&gt;Brand_Profile!$I$14,Lookup_Lists!$D$151,MIN(100,ROUND(KOL_Source_Data!$AE$29/Lookup_Lists!$D$316*100,0))))),Lookup_Lists!$D$118,0)+IF(ISNUMBER(IF(NOT(ISNUMBER(KOL_Source_Data!$AM$29)),"N/A",MIN(100,ROUND((IF(KOL_Source_Data!$AG$29=Brand_Profile!$I$15,IF(ISNUMBER(KOL_Source_Data!$AH$29),KOL_Source_Data!$AH$29,0),0)+IF(KOL_Source_Data!$AI$29=Brand_Profile!$I$15,IF(ISNUMBER(KOL_Source_Data!$AJ$29),KOL_Source_Data!$AJ$29,0),0)+IF(KOL_Source_Data!$AK$29=Brand_Profile!$I$15,IF(ISNUMBER(KOL_Source_Data!$AL$29),KOL_Source_Data!$AL$29,0),0))/Lookup_Lists!$D$317*100,0)))),Lookup_Lists!$D$120,0))=0,"N/A",ROUND((IF(ISNUMBER(IF(NOT(ISNUMBER(KOL_Source_Data!$AE$29)),"N/A",IF(KOL_Source_Data!$AD$29&lt;&gt;Brand_Profile!$I$14,Lookup_Lists!$D$151,MIN(100,ROUND(KOL_Source_Data!$AE$29/Lookup_Lists!$D$316*100,0))))),IF(NOT(ISNUMBER(KOL_Source_Data!$AE$29)),"N/A",IF(KOL_Source_Data!$AD$29&lt;&gt;Brand_Profile!$I$14,Lookup_Lists!$D$151,MIN(100,ROUND(KOL_Source_Data!$AE$29/Lookup_Lists!$D$316*100,0))))*Lookup_Lists!$D$118,0)+IF(ISNUMBER(IF(NOT(ISNUMBER(KOL_Source_Data!$AM$29)),"N/A",MIN(100,ROUND((IF(KOL_Source_Data!$AG$29=Brand_Profile!$I$15,IF(ISNUMBER(KOL_Source_Data!$AH$29),KOL_Source_Data!$AH$29,0),0)+IF(KOL_Source_Data!$AI$29=Brand_Profile!$I$15,IF(ISNUMBER(KOL_Source_Data!$AJ$29),KOL_Source_Data!$AJ$29,0),0)+IF(KOL_Source_Data!$AK$29=Brand_Profile!$I$15,IF(ISNUMBER(KOL_Source_Data!$AL$29),KOL_Source_Data!$AL$29,0),0))/Lookup_Lists!$D$317*100,0)))),IF(NOT(ISNUMBER(KOL_Source_Data!$AM$29)),"N/A",MIN(100,ROUND((IF(KOL_Source_Data!$AG$29=Brand_Profile!$I$15,IF(ISNUMBER(KOL_Source_Data!$AH$29),KOL_Source_Data!$AH$29,0),0)+IF(KOL_Source_Data!$AI$29=Brand_Profile!$I$15,IF(ISNUMBER(KOL_Source_Data!$AJ$29),KOL_Source_Data!$AJ$29,0),0)+IF(KOL_Source_Data!$AK$29=Brand_Profile!$I$15,IF(ISNUMBER(KOL_Source_Data!$AL$29),KOL_Source_Data!$AL$29,0),0))/Lookup_Lists!$D$317*100,0)))*Lookup_Lists!$D$120,0))/(IF(ISNUMBER(IF(NOT(ISNUMBER(KOL_Source_Data!$AE$29)),"N/A",IF(KOL_Source_Data!$AD$29&lt;&gt;Brand_Profile!$I$14,Lookup_Lists!$D$151,MIN(100,ROUND(KOL_Source_Data!$AE$29/Lookup_Lists!$D$316*100,0))))),Lookup_Lists!$D$118,0)+IF(ISNUMBER(IF(NOT(ISNUMBER(KOL_Source_Data!$AM$29)),"N/A",MIN(100,ROUND((IF(KOL_Source_Data!$AG$29=Brand_Profile!$I$15,IF(ISNUMBER(KOL_Source_Data!$AH$29),KOL_Source_Data!$AH$29,0),0)+IF(KOL_Source_Data!$AI$29=Brand_Profile!$I$15,IF(ISNUMBER(KOL_Source_Data!$AJ$29),KOL_Source_Data!$AJ$29,0),0)+IF(KOL_Source_Data!$AK$29=Brand_Profile!$I$15,IF(ISNUMBER(KOL_Source_Data!$AL$29),KOL_Source_Data!$AL$29,0),0))/Lookup_Lists!$D$317*100,0)))),Lookup_Lists!$D$120,0)),0))</f>
      </c>
      <c r="R125" s="18">
        <f>IF(NOT(ISNUMBER(KOL_Source_Data!$AN$29)),"N/A",MIN(100,ROUND((IF(ISNUMBER(KOL_Source_Data!$AO$29),KOL_Source_Data!$AO$29*Brand_Profile!$I$17,0)+IF(ISNUMBER(KOL_Source_Data!$AP$29),KOL_Source_Data!$AP$29*Brand_Profile!$I$18,0)+IF(ISNUMBER(KOL_Source_Data!$AQ$29),KOL_Source_Data!$AQ$29*Brand_Profile!$I$19,0)+IF(ISNUMBER(KOL_Source_Data!$AR$29),KOL_Source_Data!$AR$29*Brand_Profile!$I$20,0)+IF(ISNUMBER(KOL_Source_Data!$AS$29),KOL_Source_Data!$AS$29*Brand_Profile!$I$21,0)+IF(ISNUMBER(KOL_Source_Data!$AT$29),KOL_Source_Data!$AT$29*Brand_Profile!$I$22,0)+IF(ISNUMBER(KOL_Source_Data!$AU$29),KOL_Source_Data!$AU$29*Brand_Profile!$I$23,0)+IF(ISNUMBER(KOL_Source_Data!$AV$29),KOL_Source_Data!$AV$29*Brand_Profile!$I$24,0)+IF(ISNUMBER(KOL_Source_Data!$AW$29),KOL_Source_Data!$AW$29*Brand_Profile!$I$25,0)+IF(ISNUMBER(KOL_Source_Data!$AX$29),KOL_Source_Data!$AX$29*Brand_Profile!$I$26,0)+IF(ISNUMBER(KOL_Source_Data!$AY$29),KOL_Source_Data!$AY$29*Brand_Profile!$I$27,0)+IF(ISNUMBER(KOL_Source_Data!$AZ$29),KOL_Source_Data!$AZ$29*Brand_Profile!$I$28,0)+IF(ISNUMBER(KOL_Source_Data!$BA$29),KOL_Source_Data!$BA$29*Brand_Profile!$I$29,0)+IF(ISNUMBER(KOL_Source_Data!$BB$29),KOL_Source_Data!$BB$29*Brand_Profile!$I$30,0)+IF(ISNUMBER(KOL_Source_Data!$BC$29),KOL_Source_Data!$BC$29*Brand_Profile!$I$31,0)+IF(ISNUMBER(KOL_Source_Data!$BD$29),KOL_Source_Data!$BD$29*Brand_Profile!$I$32,0)+IF(ISNUMBER(KOL_Source_Data!$BE$29),KOL_Source_Data!$BE$29*Brand_Profile!$I$33,0)+IF(ISNUMBER(KOL_Source_Data!$BF$29),KOL_Source_Data!$BF$29*Brand_Profile!$I$34,0))/Lookup_Lists!$D$318*100,0)))</f>
      </c>
      <c r="S125" s="29">
        <f>IF((IF(ISNUMBER(Matching_Engine!$O$125),Lookup_Lists!$D$113,0)+IF(ISNUMBER(Matching_Engine!$P$125),Lookup_Lists!$D$114,0)+IF(ISNUMBER(Matching_Engine!$Q$125),Lookup_Lists!$D$115,0)+IF(ISNUMBER(Matching_Engine!$R$125),Lookup_Lists!$D$116,0))=0,"N/A",ROUND((IF(ISNUMBER(Matching_Engine!$O$125),Matching_Engine!$O$125*Lookup_Lists!$D$113,0)+IF(ISNUMBER(Matching_Engine!$P$125),Matching_Engine!$P$125*Lookup_Lists!$D$114,0)+IF(ISNUMBER(Matching_Engine!$Q$125),Matching_Engine!$Q$125*Lookup_Lists!$D$115,0)+IF(ISNUMBER(Matching_Engine!$R$125),Matching_Engine!$R$125*Lookup_Lists!$D$116,0))/(IF(ISNUMBER(Matching_Engine!$O$125),Lookup_Lists!$D$113,0)+IF(ISNUMBER(Matching_Engine!$P$125),Lookup_Lists!$D$114,0)+IF(ISNUMBER(Matching_Engine!$Q$125),Lookup_Lists!$D$115,0)+IF(ISNUMBER(Matching_Engine!$R$125),Lookup_Lists!$D$116,0)),0))</f>
      </c>
      <c r="T125" s="11">
        <f>IF(ISNUMBER(Matching_Engine!$S$125),1,0)</f>
      </c>
      <c r="U125" s="18">
        <f>IF(NOT(AND(ISTEXT(KOL_Source_Data!$M$29),KOL_Source_Data!$M$29&lt;&gt;"N/A")),Lookup_Lists!$D$150,IF(Brand_Profile!$I$7=KOL_Source_Data!$M$29,100,IFERROR(INDEX(Lookup_Lists!$B$349:$J$357,MATCH(Brand_Profile!$I$7,Lookup_Lists!$A$349:$A$357,0),MATCH(KOL_Source_Data!$M$29,Lookup_Lists!$B$348:$J$348,0)),Lookup_Lists!$D$151)))</f>
      </c>
      <c r="V125" s="18">
        <f>IF(NOT(AND(ISTEXT(KOL_Source_Data!$P$29),KOL_Source_Data!$P$29&lt;&gt;"N/A")),"N/A",IFERROR(INDEX(Lookup_Lists!$B$349:$J$357,MATCH(Brand_Profile!$I$7,Lookup_Lists!$A$349:$A$357,0),MATCH(KOL_Source_Data!$P$29,Lookup_Lists!$B$348:$J$348,0)),Lookup_Lists!$D$151))</f>
      </c>
      <c r="W125" s="18">
        <f>IF(LEN(TRIM(SUBSTITUTE(Matching_Engine!$BE$125,"|","")))=0,"N/A",IF(Brand_Profile!$I$60=0,Lookup_Lists!$D$150,ROUND((IF(Brand_Profile!$I$54="",0,IF(ISNUMBER(SEARCH(Brand_Profile!$I$54,Matching_Engine!$BE$125)),1,0))+IF(Brand_Profile!$I$55="",0,IF(ISNUMBER(SEARCH(Brand_Profile!$I$55,Matching_Engine!$BE$125)),1,0))+IF(Brand_Profile!$I$56="",0,IF(ISNUMBER(SEARCH(Brand_Profile!$I$56,Matching_Engine!$BE$125)),1,0))+IF(Brand_Profile!$I$57="",0,IF(ISNUMBER(SEARCH(Brand_Profile!$I$57,Matching_Engine!$BE$125)),1,0))+IF(Brand_Profile!$I$58="",0,IF(ISNUMBER(SEARCH(Brand_Profile!$I$58,Matching_Engine!$BE$125)),1,0))+IF(Brand_Profile!$I$59="",0,IF(ISNUMBER(SEARCH(Brand_Profile!$I$59,Matching_Engine!$BE$125)),1,0)))/Brand_Profile!$I$60*100,0)))</f>
      </c>
      <c r="X125" s="18">
        <f>IF(NOT(AND(ISTEXT(KOL_Source_Data!$Q$29),KOL_Source_Data!$Q$29&lt;&gt;"N/A")),"N/A",Lookup_Lists!$D$150)</f>
      </c>
      <c r="Y125" s="29">
        <f>IF((IF(ISNUMBER(Matching_Engine!$U$125),Lookup_Lists!$D$335,0)+IF(ISNUMBER(Matching_Engine!$V$125),Lookup_Lists!$D$122,0)+IF(ISNUMBER(Matching_Engine!$W$125),Lookup_Lists!$D$336,0)+IF(ISNUMBER(Matching_Engine!$X$125),Lookup_Lists!$D$124,0))=0,"N/A",ROUND((IF(ISNUMBER(Matching_Engine!$U$125),Matching_Engine!$U$125*Lookup_Lists!$D$335,0)+IF(ISNUMBER(Matching_Engine!$V$125),Matching_Engine!$V$125*Lookup_Lists!$D$122,0)+IF(ISNUMBER(Matching_Engine!$W$125),Matching_Engine!$W$125*Lookup_Lists!$D$336,0)+IF(ISNUMBER(Matching_Engine!$X$125),Matching_Engine!$X$125*Lookup_Lists!$D$124,0))/(IF(ISNUMBER(Matching_Engine!$U$125),Lookup_Lists!$D$335,0)+IF(ISNUMBER(Matching_Engine!$V$125),Lookup_Lists!$D$122,0)+IF(ISNUMBER(Matching_Engine!$W$125),Lookup_Lists!$D$336,0)+IF(ISNUMBER(Matching_Engine!$X$125),Lookup_Lists!$D$124,0)),0))</f>
      </c>
      <c r="Z125" s="11">
        <f>IF(ISNUMBER(Matching_Engine!$Y$125),1,0)</f>
      </c>
      <c r="AA125" s="18">
        <f>IF(NOT(AND(ISTEXT(KOL_Source_Data!$Q$29),KOL_Source_Data!$Q$29&lt;&gt;"N/A")),"N/A",Lookup_Lists!$D$150)</f>
      </c>
      <c r="AB125" s="18">
        <f>IF(NOT(AND(ISTEXT(KOL_Source_Data!$Q$29),KOL_Source_Data!$Q$29&lt;&gt;"N/A")),"N/A",Lookup_Lists!$D$150)</f>
      </c>
      <c r="AC125" s="18">
        <f>"N/A"</f>
      </c>
      <c r="AD125" s="18">
        <f>IF(NOT(AND(ISTEXT(KOL_Source_Data!$Q$29),KOL_Source_Data!$Q$29&lt;&gt;"N/A")),"N/A",Lookup_Lists!$D$150)</f>
      </c>
      <c r="AE125" s="29">
        <f>IF((IF(ISNUMBER(Matching_Engine!$AA$125),Lookup_Lists!$D$125,0)+IF(ISNUMBER(Matching_Engine!$AB$125),Lookup_Lists!$D$126,0)+IF(ISNUMBER(Matching_Engine!$AC$125),Lookup_Lists!$D$127,0)+IF(ISNUMBER(Matching_Engine!$AD$125),Lookup_Lists!$D$128,0))=0,"N/A",ROUND((IF(ISNUMBER(Matching_Engine!$AA$125),Matching_Engine!$AA$125*Lookup_Lists!$D$125,0)+IF(ISNUMBER(Matching_Engine!$AB$125),Matching_Engine!$AB$125*Lookup_Lists!$D$126,0)+IF(ISNUMBER(Matching_Engine!$AC$125),Matching_Engine!$AC$125*Lookup_Lists!$D$127,0)+IF(ISNUMBER(Matching_Engine!$AD$125),Matching_Engine!$AD$125*Lookup_Lists!$D$128,0))/(IF(ISNUMBER(Matching_Engine!$AA$125),Lookup_Lists!$D$125,0)+IF(ISNUMBER(Matching_Engine!$AB$125),Lookup_Lists!$D$126,0)+IF(ISNUMBER(Matching_Engine!$AC$125),Lookup_Lists!$D$127,0)+IF(ISNUMBER(Matching_Engine!$AD$125),Lookup_Lists!$D$128,0)),0))</f>
      </c>
      <c r="AF125" s="11">
        <f>IF(ISNUMBER(Matching_Engine!$AE$125),1,0)</f>
      </c>
      <c r="AG125" s="18">
        <f>IF(NOT(ISNUMBER(KOL_Source_Data!$BG$29)),"N/A",MIN(100,ROUND(KOL_Source_Data!$BG$29/IFERROR(INDEX(Lookup_Lists!$B$340:$B$344,MATCH(KOL_Source_Data!$H$29,Lookup_Lists!$A$340:$A$344,0)),Lookup_Lists!$D$141)*100,0)))</f>
      </c>
      <c r="AH125" s="18">
        <f>IF(NOT(ISNUMBER(KOL_Source_Data!$BS$29)),"N/A",MIN(100,MAX(0,KOL_Source_Data!$BS$29)))</f>
      </c>
      <c r="AI125" s="18">
        <f>IF(OR(NOT(ISNUMBER(KOL_Source_Data!$BM$29)),NOT(ISNUMBER(KOL_Source_Data!$BN$29)),KOL_Source_Data!$BN$29&lt;Lookup_Lists!$D$320),"N/A",MIN(100,ROUND(KOL_Source_Data!$BM$29/Lookup_Lists!$D$319*100,0)))</f>
      </c>
      <c r="AJ125" s="18">
        <f>IF(NOT(ISNUMBER(KOL_Source_Data!$BR$29)),"N/A",KOL_Source_Data!$BR$29)</f>
      </c>
      <c r="AK125" s="18">
        <f>IF(NOT(ISNUMBER(KOL_Source_Data!$BK$29)),"N/A",MIN(100,ROUND(KOL_Source_Data!$BK$29/Lookup_Lists!$D$321*100,0)))</f>
      </c>
      <c r="AL125" s="18">
        <f>IF(NOT(ISNUMBER(KOL_Source_Data!$BP$29)),"N/A",MIN(100,MAX(0,ROUND((KOL_Source_Data!$BP$29+2)/(Lookup_Lists!$D$145+2)*100,0))))</f>
      </c>
      <c r="AM125" s="29">
        <f>IF((IF(ISNUMBER(Matching_Engine!$AG$125),Lookup_Lists!$D$129,0)+IF(ISNUMBER(Matching_Engine!$AH$125),Lookup_Lists!$D$130,0)+IF(ISNUMBER(Matching_Engine!$AI$125),Lookup_Lists!$D$131,0)+IF(ISNUMBER(Matching_Engine!$AJ$125),Lookup_Lists!$D$132,0)+IF(ISNUMBER(Matching_Engine!$AK$125),Lookup_Lists!$D$133,0)+IF(ISNUMBER(Matching_Engine!$AL$125),Lookup_Lists!$D$134,0))=0,"N/A",ROUND((IF(ISNUMBER(Matching_Engine!$AG$125),Matching_Engine!$AG$125*Lookup_Lists!$D$129,0)+IF(ISNUMBER(Matching_Engine!$AH$125),Matching_Engine!$AH$125*Lookup_Lists!$D$130,0)+IF(ISNUMBER(Matching_Engine!$AI$125),Matching_Engine!$AI$125*Lookup_Lists!$D$131,0)+IF(ISNUMBER(Matching_Engine!$AJ$125),Matching_Engine!$AJ$125*Lookup_Lists!$D$132,0)+IF(ISNUMBER(Matching_Engine!$AK$125),Matching_Engine!$AK$125*Lookup_Lists!$D$133,0)+IF(ISNUMBER(Matching_Engine!$AL$125),Matching_Engine!$AL$125*Lookup_Lists!$D$134,0))/(IF(ISNUMBER(Matching_Engine!$AG$125),Lookup_Lists!$D$129,0)+IF(ISNUMBER(Matching_Engine!$AH$125),Lookup_Lists!$D$130,0)+IF(ISNUMBER(Matching_Engine!$AI$125),Lookup_Lists!$D$131,0)+IF(ISNUMBER(Matching_Engine!$AJ$125),Lookup_Lists!$D$132,0)+IF(ISNUMBER(Matching_Engine!$AK$125),Lookup_Lists!$D$133,0)+IF(ISNUMBER(Matching_Engine!$AL$125),Lookup_Lists!$D$134,0)),0))</f>
      </c>
      <c r="AN125" s="11">
        <f>IF(ISNUMBER(Matching_Engine!$AM$125),1,0)</f>
      </c>
      <c r="AO125" s="18">
        <f>IF(NOT(ISNUMBER(KOL_Source_Data!$BT$29)),"N/A",MIN(100,MAX(0,KOL_Source_Data!$BT$29)))</f>
      </c>
      <c r="AP125" s="18">
        <f>IF(NOT(ISNUMBER(KOL_Source_Data!$BU$29)),"N/A",MIN(100,MAX(0,KOL_Source_Data!$BU$29)))</f>
      </c>
      <c r="AQ125" s="18">
        <f>IF(KOL_Source_Data!$I$29="Yes",Lookup_Lists!$D$326,IF(KOL_Source_Data!$I$29="No",Lookup_Lists!$D$327,"N/A"))</f>
      </c>
      <c r="AR125" s="18">
        <f>IF(NOT(ISNUMBER(KOL_Source_Data!$BQ$29)),"N/A",MAX(0,ROUND(100-KOL_Source_Data!$BQ$29/Lookup_Lists!$D$328*100,0)))</f>
      </c>
      <c r="AS125" s="18">
        <f>IF(NOT(AND(ISTEXT(KOL_Source_Data!$BV$29),KOL_Source_Data!$BV$29&lt;&gt;"N/A")),"N/A",KOL_Source_Data!$BV$29)</f>
      </c>
      <c r="AT125" s="29">
        <f>IF((IF(ISNUMBER(Matching_Engine!$AO$125),Lookup_Lists!$D$322,0)+IF(ISNUMBER(Matching_Engine!$AP$125),Lookup_Lists!$D$323,0)+IF(ISNUMBER(Matching_Engine!$AQ$125),Lookup_Lists!$D$324,0)+IF(ISNUMBER(Matching_Engine!$AR$125),Lookup_Lists!$D$325,0))=0,"N/A",ROUND((IF(ISNUMBER(Matching_Engine!$AO$125),Matching_Engine!$AO$125*Lookup_Lists!$D$322,0)+IF(ISNUMBER(Matching_Engine!$AP$125),Matching_Engine!$AP$125*Lookup_Lists!$D$323,0)+IF(ISNUMBER(Matching_Engine!$AQ$125),Matching_Engine!$AQ$125*Lookup_Lists!$D$324,0)+IF(ISNUMBER(Matching_Engine!$AR$125),Matching_Engine!$AR$125*Lookup_Lists!$D$325,0))/(IF(ISNUMBER(Matching_Engine!$AO$125),Lookup_Lists!$D$322,0)+IF(ISNUMBER(Matching_Engine!$AP$125),Lookup_Lists!$D$323,0)+IF(ISNUMBER(Matching_Engine!$AQ$125),Lookup_Lists!$D$324,0)+IF(ISNUMBER(Matching_Engine!$AR$125),Lookup_Lists!$D$325,0)),0))</f>
      </c>
      <c r="AU125" s="11">
        <f>IF(ISNUMBER(Matching_Engine!$AT$125),1,0)</f>
      </c>
      <c r="AV125" s="11">
        <f>IF(NOT(ISNUMBER(Matching_Engine!$AT$125)),"Not Screened",IF(Matching_Engine!$AT$125&gt;=Lookup_Lists!$D$329,"Low Risk",IF(Matching_Engine!$AT$125&gt;=Lookup_Lists!$D$330,"Moderate Risk",IF(Matching_Engine!$AT$125&gt;=Lookup_Lists!$D$331,"Elevated Risk","High Risk"))))</f>
      </c>
      <c r="AW125" s="11">
        <f>IF(NOT(ISNUMBER(Matching_Engine!$AT$125)),"No integrity signal: no audience-analysis row for this account.","Integrity screen only — no content-risk reading exists (comments_analysis: 0 rows). "&amp;IF(ISNUMBER(Matching_Engine!$AO$125),"Authenticity "&amp;Matching_Engine!$AO$125&amp;". ","Authenticity N/A. ")&amp;IF(ISNUMBER(Matching_Engine!$AP$125),"Follower quality "&amp;Matching_Engine!$AP$125&amp;". ","Follower quality N/A. ")&amp;IF(KOL_Source_Data!$I$29="Yes","Platform-verified.","Not platform-verified."))</f>
      </c>
      <c r="AX125" s="18">
        <f>Matching_Engine!$N$125*Lookup_Lists!$D$104+Matching_Engine!$T$125*Lookup_Lists!$D$105+Matching_Engine!$Z$125*Lookup_Lists!$D$106+Matching_Engine!$AF$125*Lookup_Lists!$D$107+Matching_Engine!$AN$125*Lookup_Lists!$D$108+Matching_Engine!$AU$125*Lookup_Lists!$D$109</f>
      </c>
      <c r="AY125" s="30">
        <f>IF(Matching_Engine!$AX$125=0,"N/A",ROUND((IF(Matching_Engine!$N$125=1,Matching_Engine!$M$125*Lookup_Lists!$D$104,0)+IF(Matching_Engine!$T$125=1,Matching_Engine!$S$125*Lookup_Lists!$D$105,0)+IF(Matching_Engine!$Z$125=1,Matching_Engine!$Y$125*Lookup_Lists!$D$106,0)+IF(Matching_Engine!$AF$125=1,Matching_Engine!$AE$125*Lookup_Lists!$D$107,0)+IF(Matching_Engine!$AN$125=1,Matching_Engine!$AM$125*Lookup_Lists!$D$108,0)+IF(Matching_Engine!$AU$125=1,Matching_Engine!$AT$125*Lookup_Lists!$D$109,0))/Matching_Engine!$AX$125,0))</f>
      </c>
      <c r="AZ125" s="11">
        <f>IF(NOT(ISNUMBER(Matching_Engine!$AY$125)),"Not Scored",IF(Matching_Engine!$AY$125&gt;=Lookup_Lists!$D$152,"Excellent Match",IF(Matching_Engine!$AY$125&gt;=Lookup_Lists!$D$153,"Strong Match",IF(Matching_Engine!$AY$125&gt;=Lookup_Lists!$D$154,"Good Match",IF(Matching_Engine!$AY$125&gt;=Lookup_Lists!$D$155,"Moderate Match","Low Match")))))</f>
      </c>
      <c r="BA125" s="18">
        <f>KOL_Source_Data!$BW$29</f>
      </c>
      <c r="BB125" s="11">
        <f>KOL_Source_Data!$BX$29</f>
      </c>
      <c r="BC125" s="18">
        <f>IF(NOT(ISNUMBER(Matching_Engine!$AY$125)),-1,Matching_Engine!$AY$125*1000+1)</f>
      </c>
      <c r="BD125" s="11">
        <f>IF(AND(ISTEXT(KOL_Source_Data!$S$29),KOL_Source_Data!$S$29&lt;&gt;"N/A"),KOL_Source_Data!$S$29,"")&amp;" | "&amp;IF(AND(ISTEXT(KOL_Source_Data!$T$29),KOL_Source_Data!$T$29&lt;&gt;"N/A"),KOL_Source_Data!$T$29,"")&amp;" | "&amp;IF(AND(ISTEXT(KOL_Source_Data!$N$29),KOL_Source_Data!$N$29&lt;&gt;"N/A"),KOL_Source_Data!$N$29,"")&amp;" | "&amp;IF(AND(ISTEXT(KOL_Source_Data!$K$29),KOL_Source_Data!$K$29&lt;&gt;"N/A"),KOL_Source_Data!$K$29,"")&amp;" | "&amp;IF(AND(ISTEXT(KOL_Source_Data!$J$29),KOL_Source_Data!$J$29&lt;&gt;"N/A"),KOL_Source_Data!$J$29,"")</f>
      </c>
      <c r="BE125" s="11">
        <f>IF(AND(ISTEXT(KOL_Source_Data!$T$29),KOL_Source_Data!$T$29&lt;&gt;"N/A"),KOL_Source_Data!$T$29,"")&amp;" | "&amp;IF(AND(ISTEXT(KOL_Source_Data!$N$29),KOL_Source_Data!$N$29&lt;&gt;"N/A"),KOL_Source_Data!$N$29,"")&amp;" | "&amp;IF(AND(ISTEXT(KOL_Source_Data!$O$29),KOL_Source_Data!$O$29&lt;&gt;"N/A"),KOL_Source_Data!$O$29,"")&amp;" | "&amp;IF(AND(ISTEXT(KOL_Source_Data!$S$29),KOL_Source_Data!$S$29&lt;&gt;"N/A"),KOL_Source_Data!$S$29,"")</f>
      </c>
      <c r="BF125" s="11">
        <f>IF(AND(ISTEXT(KOL_Source_Data!$U$29),KOL_Source_Data!$U$29&lt;&gt;"N/A"),KOL_Source_Data!$U$29,"")</f>
      </c>
      <c r="BG125" s="11">
        <f>Matching_Engine!$A$125&amp;"|"&amp;Matching_Engine!$C$125</f>
      </c>
    </row>
  </sheetData>
  <autoFilter ref="A5:BG5"/>
  <mergeCells count="11">
    <mergeCell ref="A1:BG1"/>
    <mergeCell ref="A2:BG2"/>
    <mergeCell ref="A4:I4"/>
    <mergeCell ref="J4:N4"/>
    <mergeCell ref="O4:T4"/>
    <mergeCell ref="U4:Z4"/>
    <mergeCell ref="AA4:AF4"/>
    <mergeCell ref="AG4:AN4"/>
    <mergeCell ref="AO4:AW4"/>
    <mergeCell ref="AX4:BC4"/>
    <mergeCell ref="BD4:BG4"/>
  </mergeCells>
  <conditionalFormatting sqref="AY6:AY125">
    <cfRule type="colorScale" priority="1">
      <colorScale>
        <cfvo type="num" val="30"/>
        <cfvo type="num" val="55"/>
        <cfvo type="num" val="80"/>
        <color rgb="FFF8696B"/>
        <color rgb="FFFFEB84"/>
        <color rgb="FF63BE7B"/>
      </colorScale>
    </cfRule>
  </conditionalFormatting>
  <conditionalFormatting sqref="AZ6:AZ125">
    <cfRule type="containsText" dxfId="0" priority="1" operator="containsText" text="Excellent">
      <formula>NOT(ISERROR(SEARCH("Excellent",AZ6)))</formula>
    </cfRule>
    <cfRule type="containsText" dxfId="1" priority="2" operator="containsText" text="Strong">
      <formula>NOT(ISERROR(SEARCH("Strong",AZ6)))</formula>
    </cfRule>
    <cfRule type="containsText" dxfId="2" priority="3" operator="containsText" text="Good">
      <formula>NOT(ISERROR(SEARCH("Good",AZ6)))</formula>
    </cfRule>
    <cfRule type="containsText" dxfId="3" priority="4" operator="containsText" text="Moderate">
      <formula>NOT(ISERROR(SEARCH("Moderate",AZ6)))</formula>
    </cfRule>
    <cfRule type="containsText" dxfId="4" priority="5" operator="containsText" text="Low">
      <formula>NOT(ISERROR(SEARCH("Low",AZ6)))</formula>
    </cfRule>
  </conditionalFormatting>
  <conditionalFormatting sqref="AV6:AV125">
    <cfRule type="containsText" dxfId="5" priority="1" operator="containsText" text="High Risk">
      <formula>NOT(ISERROR(SEARCH("High Risk",AV6)))</formula>
    </cfRule>
    <cfRule type="containsText" dxfId="6" priority="2" operator="containsText" text="Elevated">
      <formula>NOT(ISERROR(SEARCH("Elevated",AV6)))</formula>
    </cfRule>
    <cfRule type="containsText" dxfId="7" priority="3" operator="containsText" text="Low Risk">
      <formula>NOT(ISERROR(SEARCH("Low Risk",AV6)))</formula>
    </cfRule>
  </conditionalFormatting>
  <conditionalFormatting sqref="BB6:BB125">
    <cfRule type="containsText" dxfId="8" priority="1" operator="containsText" text="Limited">
      <formula>NOT(ISERROR(SEARCH("Limited",BB6)))</formula>
    </cfRule>
    <cfRule type="containsText" dxfId="9" priority="2" operator="containsText" text="Medium">
      <formula>NOT(ISERROR(SEARCH("Medium",BB6)))</formula>
    </cfRule>
    <cfRule type="containsText" dxfId="10" priority="3" operator="containsText" text="High">
      <formula>NOT(ISERROR(SEARCH("High",BB6)))</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5"/>
  <sheetViews>
    <sheetView workbookViewId="0">
      <pane xSplit="3" ySplit="5" topLeftCell="D6" activePane="bottomRight" state="frozen"/>
      <selection pane="bottomRight"/>
    </sheetView>
  </sheetViews>
  <sheetFormatPr defaultRowHeight="15" outlineLevelRow="0" outlineLevelCol="0" x14ac:dyDescent="55"/>
  <cols>
    <col min="1" max="3" width="10" customWidth="1"/>
    <col min="4" max="4" width="11" customWidth="1"/>
    <col min="5" max="5" width="12" customWidth="1"/>
    <col min="6" max="6" width="15" customWidth="1"/>
    <col min="7" max="10" width="17" customWidth="1"/>
    <col min="11" max="11" width="16" customWidth="1"/>
    <col min="12" max="13" width="20" customWidth="1"/>
    <col min="14" max="14" width="15" customWidth="1"/>
    <col min="15" max="15" width="19" customWidth="1"/>
    <col min="16" max="17" width="14" customWidth="1"/>
    <col min="18" max="18" width="13" customWidth="1"/>
  </cols>
  <sheetData>
    <row r="1" ht="24" customHeight="1" spans="1:18" x14ac:dyDescent="0.25">
      <c r="A1" s="1" t="s">
        <v>675</v>
      </c>
      <c r="B1" s="1"/>
      <c r="C1" s="1"/>
      <c r="D1" s="1"/>
      <c r="E1" s="1"/>
      <c r="F1" s="1"/>
      <c r="G1" s="1"/>
      <c r="H1" s="1"/>
      <c r="I1" s="1"/>
      <c r="J1" s="1"/>
      <c r="K1" s="1"/>
      <c r="L1" s="1"/>
      <c r="M1" s="1"/>
      <c r="N1" s="1"/>
      <c r="O1" s="1"/>
      <c r="P1" s="1"/>
      <c r="Q1" s="1"/>
      <c r="R1" s="1"/>
    </row>
    <row r="2" ht="30" customHeight="1" spans="1:18" x14ac:dyDescent="0.25">
      <c r="A2" s="2" t="s">
        <v>676</v>
      </c>
      <c r="B2" s="2"/>
      <c r="C2" s="2"/>
      <c r="D2" s="2"/>
      <c r="E2" s="2"/>
      <c r="F2" s="2"/>
      <c r="G2" s="2"/>
      <c r="H2" s="2"/>
      <c r="I2" s="2"/>
      <c r="J2" s="2"/>
      <c r="K2" s="2"/>
      <c r="L2" s="2"/>
      <c r="M2" s="2"/>
      <c r="N2" s="2"/>
      <c r="O2" s="2"/>
      <c r="P2" s="2"/>
      <c r="Q2" s="2"/>
      <c r="R2" s="2"/>
    </row>
    <row r="4" spans="1:18" x14ac:dyDescent="0.25">
      <c r="A4" s="9" t="s">
        <v>617</v>
      </c>
      <c r="B4" s="9"/>
      <c r="C4" s="9"/>
      <c r="D4" s="9"/>
      <c r="E4" s="9" t="s">
        <v>677</v>
      </c>
      <c r="F4" s="9"/>
      <c r="G4" s="9"/>
      <c r="H4" s="9"/>
      <c r="I4" s="9" t="s">
        <v>678</v>
      </c>
      <c r="J4" s="9"/>
      <c r="K4" s="9"/>
      <c r="L4" s="9"/>
      <c r="M4" s="9"/>
      <c r="N4" s="9"/>
      <c r="O4" s="9" t="s">
        <v>624</v>
      </c>
      <c r="P4" s="9"/>
      <c r="Q4" s="9"/>
      <c r="R4" s="9"/>
    </row>
    <row r="5" ht="40" customHeight="1" spans="1:18" x14ac:dyDescent="0.25">
      <c r="A5" s="6" t="s">
        <v>626</v>
      </c>
      <c r="B5" s="6" t="s">
        <v>627</v>
      </c>
      <c r="C5" s="6" t="s">
        <v>628</v>
      </c>
      <c r="D5" s="6" t="s">
        <v>103</v>
      </c>
      <c r="E5" s="6" t="s">
        <v>634</v>
      </c>
      <c r="F5" s="6" t="s">
        <v>635</v>
      </c>
      <c r="G5" s="6" t="s">
        <v>636</v>
      </c>
      <c r="H5" s="6" t="s">
        <v>637</v>
      </c>
      <c r="I5" s="6" t="s">
        <v>632</v>
      </c>
      <c r="J5" s="6" t="s">
        <v>638</v>
      </c>
      <c r="K5" s="6" t="s">
        <v>644</v>
      </c>
      <c r="L5" s="6" t="s">
        <v>650</v>
      </c>
      <c r="M5" s="6" t="s">
        <v>657</v>
      </c>
      <c r="N5" s="6" t="s">
        <v>664</v>
      </c>
      <c r="O5" s="6" t="s">
        <v>668</v>
      </c>
      <c r="P5" s="6" t="s">
        <v>679</v>
      </c>
      <c r="Q5" s="6" t="s">
        <v>669</v>
      </c>
      <c r="R5" s="6" t="s">
        <v>168</v>
      </c>
    </row>
    <row r="6" spans="1:18" x14ac:dyDescent="0.25">
      <c r="A6" s="11">
        <f>Matching_Engine!$B$6</f>
      </c>
      <c r="B6" s="11">
        <f>Matching_Engine!$D$6</f>
      </c>
      <c r="C6" s="11">
        <f>Matching_Engine!$E$6</f>
      </c>
      <c r="D6" s="11">
        <f>Matching_Engine!$G$6</f>
      </c>
      <c r="E6" s="18">
        <f>Matching_Engine!$O$6</f>
      </c>
      <c r="F6" s="18">
        <f>Matching_Engine!$P$6</f>
      </c>
      <c r="G6" s="18">
        <f>Matching_Engine!$Q$6</f>
      </c>
      <c r="H6" s="18">
        <f>Matching_Engine!$R$6</f>
      </c>
      <c r="I6" s="18">
        <f>Matching_Engine!$M$6</f>
      </c>
      <c r="J6" s="18">
        <f>Matching_Engine!$S$6</f>
      </c>
      <c r="K6" s="18">
        <f>Matching_Engine!$Y$6</f>
      </c>
      <c r="L6" s="18">
        <f>Matching_Engine!$AE$6</f>
      </c>
      <c r="M6" s="18">
        <f>Matching_Engine!$AM$6</f>
      </c>
      <c r="N6" s="18">
        <f>Matching_Engine!$AT$6</f>
      </c>
      <c r="O6" s="18">
        <f>Matching_Engine!$AX$6</f>
      </c>
      <c r="P6" s="29">
        <f>Matching_Engine!$AY$6</f>
      </c>
      <c r="Q6" s="11">
        <f>Matching_Engine!$AZ$6</f>
      </c>
      <c r="R6" s="11">
        <f>Matching_Engine!$BB$6</f>
      </c>
    </row>
    <row r="7" spans="1:18" x14ac:dyDescent="0.25">
      <c r="A7" s="11">
        <f>Matching_Engine!$B$7</f>
      </c>
      <c r="B7" s="11">
        <f>Matching_Engine!$D$7</f>
      </c>
      <c r="C7" s="11">
        <f>Matching_Engine!$E$7</f>
      </c>
      <c r="D7" s="11">
        <f>Matching_Engine!$G$7</f>
      </c>
      <c r="E7" s="18">
        <f>Matching_Engine!$O$7</f>
      </c>
      <c r="F7" s="18">
        <f>Matching_Engine!$P$7</f>
      </c>
      <c r="G7" s="18">
        <f>Matching_Engine!$Q$7</f>
      </c>
      <c r="H7" s="18">
        <f>Matching_Engine!$R$7</f>
      </c>
      <c r="I7" s="18">
        <f>Matching_Engine!$M$7</f>
      </c>
      <c r="J7" s="18">
        <f>Matching_Engine!$S$7</f>
      </c>
      <c r="K7" s="18">
        <f>Matching_Engine!$Y$7</f>
      </c>
      <c r="L7" s="18">
        <f>Matching_Engine!$AE$7</f>
      </c>
      <c r="M7" s="18">
        <f>Matching_Engine!$AM$7</f>
      </c>
      <c r="N7" s="18">
        <f>Matching_Engine!$AT$7</f>
      </c>
      <c r="O7" s="18">
        <f>Matching_Engine!$AX$7</f>
      </c>
      <c r="P7" s="29">
        <f>Matching_Engine!$AY$7</f>
      </c>
      <c r="Q7" s="11">
        <f>Matching_Engine!$AZ$7</f>
      </c>
      <c r="R7" s="11">
        <f>Matching_Engine!$BB$7</f>
      </c>
    </row>
    <row r="8" spans="1:18" x14ac:dyDescent="0.25">
      <c r="A8" s="11">
        <f>Matching_Engine!$B$8</f>
      </c>
      <c r="B8" s="11">
        <f>Matching_Engine!$D$8</f>
      </c>
      <c r="C8" s="11">
        <f>Matching_Engine!$E$8</f>
      </c>
      <c r="D8" s="11">
        <f>Matching_Engine!$G$8</f>
      </c>
      <c r="E8" s="18">
        <f>Matching_Engine!$O$8</f>
      </c>
      <c r="F8" s="18">
        <f>Matching_Engine!$P$8</f>
      </c>
      <c r="G8" s="18">
        <f>Matching_Engine!$Q$8</f>
      </c>
      <c r="H8" s="18">
        <f>Matching_Engine!$R$8</f>
      </c>
      <c r="I8" s="18">
        <f>Matching_Engine!$M$8</f>
      </c>
      <c r="J8" s="18">
        <f>Matching_Engine!$S$8</f>
      </c>
      <c r="K8" s="18">
        <f>Matching_Engine!$Y$8</f>
      </c>
      <c r="L8" s="18">
        <f>Matching_Engine!$AE$8</f>
      </c>
      <c r="M8" s="18">
        <f>Matching_Engine!$AM$8</f>
      </c>
      <c r="N8" s="18">
        <f>Matching_Engine!$AT$8</f>
      </c>
      <c r="O8" s="18">
        <f>Matching_Engine!$AX$8</f>
      </c>
      <c r="P8" s="29">
        <f>Matching_Engine!$AY$8</f>
      </c>
      <c r="Q8" s="11">
        <f>Matching_Engine!$AZ$8</f>
      </c>
      <c r="R8" s="11">
        <f>Matching_Engine!$BB$8</f>
      </c>
    </row>
    <row r="9" spans="1:18" x14ac:dyDescent="0.25">
      <c r="A9" s="11">
        <f>Matching_Engine!$B$9</f>
      </c>
      <c r="B9" s="11">
        <f>Matching_Engine!$D$9</f>
      </c>
      <c r="C9" s="11">
        <f>Matching_Engine!$E$9</f>
      </c>
      <c r="D9" s="11">
        <f>Matching_Engine!$G$9</f>
      </c>
      <c r="E9" s="18">
        <f>Matching_Engine!$O$9</f>
      </c>
      <c r="F9" s="18">
        <f>Matching_Engine!$P$9</f>
      </c>
      <c r="G9" s="18">
        <f>Matching_Engine!$Q$9</f>
      </c>
      <c r="H9" s="18">
        <f>Matching_Engine!$R$9</f>
      </c>
      <c r="I9" s="18">
        <f>Matching_Engine!$M$9</f>
      </c>
      <c r="J9" s="18">
        <f>Matching_Engine!$S$9</f>
      </c>
      <c r="K9" s="18">
        <f>Matching_Engine!$Y$9</f>
      </c>
      <c r="L9" s="18">
        <f>Matching_Engine!$AE$9</f>
      </c>
      <c r="M9" s="18">
        <f>Matching_Engine!$AM$9</f>
      </c>
      <c r="N9" s="18">
        <f>Matching_Engine!$AT$9</f>
      </c>
      <c r="O9" s="18">
        <f>Matching_Engine!$AX$9</f>
      </c>
      <c r="P9" s="29">
        <f>Matching_Engine!$AY$9</f>
      </c>
      <c r="Q9" s="11">
        <f>Matching_Engine!$AZ$9</f>
      </c>
      <c r="R9" s="11">
        <f>Matching_Engine!$BB$9</f>
      </c>
    </row>
    <row r="10" spans="1:18" x14ac:dyDescent="0.25">
      <c r="A10" s="11">
        <f>Matching_Engine!$B$10</f>
      </c>
      <c r="B10" s="11">
        <f>Matching_Engine!$D$10</f>
      </c>
      <c r="C10" s="11">
        <f>Matching_Engine!$E$10</f>
      </c>
      <c r="D10" s="11">
        <f>Matching_Engine!$G$10</f>
      </c>
      <c r="E10" s="18">
        <f>Matching_Engine!$O$10</f>
      </c>
      <c r="F10" s="18">
        <f>Matching_Engine!$P$10</f>
      </c>
      <c r="G10" s="18">
        <f>Matching_Engine!$Q$10</f>
      </c>
      <c r="H10" s="18">
        <f>Matching_Engine!$R$10</f>
      </c>
      <c r="I10" s="18">
        <f>Matching_Engine!$M$10</f>
      </c>
      <c r="J10" s="18">
        <f>Matching_Engine!$S$10</f>
      </c>
      <c r="K10" s="18">
        <f>Matching_Engine!$Y$10</f>
      </c>
      <c r="L10" s="18">
        <f>Matching_Engine!$AE$10</f>
      </c>
      <c r="M10" s="18">
        <f>Matching_Engine!$AM$10</f>
      </c>
      <c r="N10" s="18">
        <f>Matching_Engine!$AT$10</f>
      </c>
      <c r="O10" s="18">
        <f>Matching_Engine!$AX$10</f>
      </c>
      <c r="P10" s="29">
        <f>Matching_Engine!$AY$10</f>
      </c>
      <c r="Q10" s="11">
        <f>Matching_Engine!$AZ$10</f>
      </c>
      <c r="R10" s="11">
        <f>Matching_Engine!$BB$10</f>
      </c>
    </row>
    <row r="11" spans="1:18" x14ac:dyDescent="0.25">
      <c r="A11" s="11">
        <f>Matching_Engine!$B$11</f>
      </c>
      <c r="B11" s="11">
        <f>Matching_Engine!$D$11</f>
      </c>
      <c r="C11" s="11">
        <f>Matching_Engine!$E$11</f>
      </c>
      <c r="D11" s="11">
        <f>Matching_Engine!$G$11</f>
      </c>
      <c r="E11" s="18">
        <f>Matching_Engine!$O$11</f>
      </c>
      <c r="F11" s="18">
        <f>Matching_Engine!$P$11</f>
      </c>
      <c r="G11" s="18">
        <f>Matching_Engine!$Q$11</f>
      </c>
      <c r="H11" s="18">
        <f>Matching_Engine!$R$11</f>
      </c>
      <c r="I11" s="18">
        <f>Matching_Engine!$M$11</f>
      </c>
      <c r="J11" s="18">
        <f>Matching_Engine!$S$11</f>
      </c>
      <c r="K11" s="18">
        <f>Matching_Engine!$Y$11</f>
      </c>
      <c r="L11" s="18">
        <f>Matching_Engine!$AE$11</f>
      </c>
      <c r="M11" s="18">
        <f>Matching_Engine!$AM$11</f>
      </c>
      <c r="N11" s="18">
        <f>Matching_Engine!$AT$11</f>
      </c>
      <c r="O11" s="18">
        <f>Matching_Engine!$AX$11</f>
      </c>
      <c r="P11" s="29">
        <f>Matching_Engine!$AY$11</f>
      </c>
      <c r="Q11" s="11">
        <f>Matching_Engine!$AZ$11</f>
      </c>
      <c r="R11" s="11">
        <f>Matching_Engine!$BB$11</f>
      </c>
    </row>
    <row r="12" spans="1:18" x14ac:dyDescent="0.25">
      <c r="A12" s="11">
        <f>Matching_Engine!$B$12</f>
      </c>
      <c r="B12" s="11">
        <f>Matching_Engine!$D$12</f>
      </c>
      <c r="C12" s="11">
        <f>Matching_Engine!$E$12</f>
      </c>
      <c r="D12" s="11">
        <f>Matching_Engine!$G$12</f>
      </c>
      <c r="E12" s="18">
        <f>Matching_Engine!$O$12</f>
      </c>
      <c r="F12" s="18">
        <f>Matching_Engine!$P$12</f>
      </c>
      <c r="G12" s="18">
        <f>Matching_Engine!$Q$12</f>
      </c>
      <c r="H12" s="18">
        <f>Matching_Engine!$R$12</f>
      </c>
      <c r="I12" s="18">
        <f>Matching_Engine!$M$12</f>
      </c>
      <c r="J12" s="18">
        <f>Matching_Engine!$S$12</f>
      </c>
      <c r="K12" s="18">
        <f>Matching_Engine!$Y$12</f>
      </c>
      <c r="L12" s="18">
        <f>Matching_Engine!$AE$12</f>
      </c>
      <c r="M12" s="18">
        <f>Matching_Engine!$AM$12</f>
      </c>
      <c r="N12" s="18">
        <f>Matching_Engine!$AT$12</f>
      </c>
      <c r="O12" s="18">
        <f>Matching_Engine!$AX$12</f>
      </c>
      <c r="P12" s="29">
        <f>Matching_Engine!$AY$12</f>
      </c>
      <c r="Q12" s="11">
        <f>Matching_Engine!$AZ$12</f>
      </c>
      <c r="R12" s="11">
        <f>Matching_Engine!$BB$12</f>
      </c>
    </row>
    <row r="13" spans="1:18" x14ac:dyDescent="0.25">
      <c r="A13" s="11">
        <f>Matching_Engine!$B$13</f>
      </c>
      <c r="B13" s="11">
        <f>Matching_Engine!$D$13</f>
      </c>
      <c r="C13" s="11">
        <f>Matching_Engine!$E$13</f>
      </c>
      <c r="D13" s="11">
        <f>Matching_Engine!$G$13</f>
      </c>
      <c r="E13" s="18">
        <f>Matching_Engine!$O$13</f>
      </c>
      <c r="F13" s="18">
        <f>Matching_Engine!$P$13</f>
      </c>
      <c r="G13" s="18">
        <f>Matching_Engine!$Q$13</f>
      </c>
      <c r="H13" s="18">
        <f>Matching_Engine!$R$13</f>
      </c>
      <c r="I13" s="18">
        <f>Matching_Engine!$M$13</f>
      </c>
      <c r="J13" s="18">
        <f>Matching_Engine!$S$13</f>
      </c>
      <c r="K13" s="18">
        <f>Matching_Engine!$Y$13</f>
      </c>
      <c r="L13" s="18">
        <f>Matching_Engine!$AE$13</f>
      </c>
      <c r="M13" s="18">
        <f>Matching_Engine!$AM$13</f>
      </c>
      <c r="N13" s="18">
        <f>Matching_Engine!$AT$13</f>
      </c>
      <c r="O13" s="18">
        <f>Matching_Engine!$AX$13</f>
      </c>
      <c r="P13" s="29">
        <f>Matching_Engine!$AY$13</f>
      </c>
      <c r="Q13" s="11">
        <f>Matching_Engine!$AZ$13</f>
      </c>
      <c r="R13" s="11">
        <f>Matching_Engine!$BB$13</f>
      </c>
    </row>
    <row r="14" spans="1:18" x14ac:dyDescent="0.25">
      <c r="A14" s="11">
        <f>Matching_Engine!$B$14</f>
      </c>
      <c r="B14" s="11">
        <f>Matching_Engine!$D$14</f>
      </c>
      <c r="C14" s="11">
        <f>Matching_Engine!$E$14</f>
      </c>
      <c r="D14" s="11">
        <f>Matching_Engine!$G$14</f>
      </c>
      <c r="E14" s="18">
        <f>Matching_Engine!$O$14</f>
      </c>
      <c r="F14" s="18">
        <f>Matching_Engine!$P$14</f>
      </c>
      <c r="G14" s="18">
        <f>Matching_Engine!$Q$14</f>
      </c>
      <c r="H14" s="18">
        <f>Matching_Engine!$R$14</f>
      </c>
      <c r="I14" s="18">
        <f>Matching_Engine!$M$14</f>
      </c>
      <c r="J14" s="18">
        <f>Matching_Engine!$S$14</f>
      </c>
      <c r="K14" s="18">
        <f>Matching_Engine!$Y$14</f>
      </c>
      <c r="L14" s="18">
        <f>Matching_Engine!$AE$14</f>
      </c>
      <c r="M14" s="18">
        <f>Matching_Engine!$AM$14</f>
      </c>
      <c r="N14" s="18">
        <f>Matching_Engine!$AT$14</f>
      </c>
      <c r="O14" s="18">
        <f>Matching_Engine!$AX$14</f>
      </c>
      <c r="P14" s="29">
        <f>Matching_Engine!$AY$14</f>
      </c>
      <c r="Q14" s="11">
        <f>Matching_Engine!$AZ$14</f>
      </c>
      <c r="R14" s="11">
        <f>Matching_Engine!$BB$14</f>
      </c>
    </row>
    <row r="15" spans="1:18" x14ac:dyDescent="0.25">
      <c r="A15" s="11">
        <f>Matching_Engine!$B$15</f>
      </c>
      <c r="B15" s="11">
        <f>Matching_Engine!$D$15</f>
      </c>
      <c r="C15" s="11">
        <f>Matching_Engine!$E$15</f>
      </c>
      <c r="D15" s="11">
        <f>Matching_Engine!$G$15</f>
      </c>
      <c r="E15" s="18">
        <f>Matching_Engine!$O$15</f>
      </c>
      <c r="F15" s="18">
        <f>Matching_Engine!$P$15</f>
      </c>
      <c r="G15" s="18">
        <f>Matching_Engine!$Q$15</f>
      </c>
      <c r="H15" s="18">
        <f>Matching_Engine!$R$15</f>
      </c>
      <c r="I15" s="18">
        <f>Matching_Engine!$M$15</f>
      </c>
      <c r="J15" s="18">
        <f>Matching_Engine!$S$15</f>
      </c>
      <c r="K15" s="18">
        <f>Matching_Engine!$Y$15</f>
      </c>
      <c r="L15" s="18">
        <f>Matching_Engine!$AE$15</f>
      </c>
      <c r="M15" s="18">
        <f>Matching_Engine!$AM$15</f>
      </c>
      <c r="N15" s="18">
        <f>Matching_Engine!$AT$15</f>
      </c>
      <c r="O15" s="18">
        <f>Matching_Engine!$AX$15</f>
      </c>
      <c r="P15" s="29">
        <f>Matching_Engine!$AY$15</f>
      </c>
      <c r="Q15" s="11">
        <f>Matching_Engine!$AZ$15</f>
      </c>
      <c r="R15" s="11">
        <f>Matching_Engine!$BB$15</f>
      </c>
    </row>
    <row r="16" spans="1:18" x14ac:dyDescent="0.25">
      <c r="A16" s="11">
        <f>Matching_Engine!$B$16</f>
      </c>
      <c r="B16" s="11">
        <f>Matching_Engine!$D$16</f>
      </c>
      <c r="C16" s="11">
        <f>Matching_Engine!$E$16</f>
      </c>
      <c r="D16" s="11">
        <f>Matching_Engine!$G$16</f>
      </c>
      <c r="E16" s="18">
        <f>Matching_Engine!$O$16</f>
      </c>
      <c r="F16" s="18">
        <f>Matching_Engine!$P$16</f>
      </c>
      <c r="G16" s="18">
        <f>Matching_Engine!$Q$16</f>
      </c>
      <c r="H16" s="18">
        <f>Matching_Engine!$R$16</f>
      </c>
      <c r="I16" s="18">
        <f>Matching_Engine!$M$16</f>
      </c>
      <c r="J16" s="18">
        <f>Matching_Engine!$S$16</f>
      </c>
      <c r="K16" s="18">
        <f>Matching_Engine!$Y$16</f>
      </c>
      <c r="L16" s="18">
        <f>Matching_Engine!$AE$16</f>
      </c>
      <c r="M16" s="18">
        <f>Matching_Engine!$AM$16</f>
      </c>
      <c r="N16" s="18">
        <f>Matching_Engine!$AT$16</f>
      </c>
      <c r="O16" s="18">
        <f>Matching_Engine!$AX$16</f>
      </c>
      <c r="P16" s="29">
        <f>Matching_Engine!$AY$16</f>
      </c>
      <c r="Q16" s="11">
        <f>Matching_Engine!$AZ$16</f>
      </c>
      <c r="R16" s="11">
        <f>Matching_Engine!$BB$16</f>
      </c>
    </row>
    <row r="17" spans="1:18" x14ac:dyDescent="0.25">
      <c r="A17" s="11">
        <f>Matching_Engine!$B$17</f>
      </c>
      <c r="B17" s="11">
        <f>Matching_Engine!$D$17</f>
      </c>
      <c r="C17" s="11">
        <f>Matching_Engine!$E$17</f>
      </c>
      <c r="D17" s="11">
        <f>Matching_Engine!$G$17</f>
      </c>
      <c r="E17" s="18">
        <f>Matching_Engine!$O$17</f>
      </c>
      <c r="F17" s="18">
        <f>Matching_Engine!$P$17</f>
      </c>
      <c r="G17" s="18">
        <f>Matching_Engine!$Q$17</f>
      </c>
      <c r="H17" s="18">
        <f>Matching_Engine!$R$17</f>
      </c>
      <c r="I17" s="18">
        <f>Matching_Engine!$M$17</f>
      </c>
      <c r="J17" s="18">
        <f>Matching_Engine!$S$17</f>
      </c>
      <c r="K17" s="18">
        <f>Matching_Engine!$Y$17</f>
      </c>
      <c r="L17" s="18">
        <f>Matching_Engine!$AE$17</f>
      </c>
      <c r="M17" s="18">
        <f>Matching_Engine!$AM$17</f>
      </c>
      <c r="N17" s="18">
        <f>Matching_Engine!$AT$17</f>
      </c>
      <c r="O17" s="18">
        <f>Matching_Engine!$AX$17</f>
      </c>
      <c r="P17" s="29">
        <f>Matching_Engine!$AY$17</f>
      </c>
      <c r="Q17" s="11">
        <f>Matching_Engine!$AZ$17</f>
      </c>
      <c r="R17" s="11">
        <f>Matching_Engine!$BB$17</f>
      </c>
    </row>
    <row r="18" spans="1:18" x14ac:dyDescent="0.25">
      <c r="A18" s="11">
        <f>Matching_Engine!$B$18</f>
      </c>
      <c r="B18" s="11">
        <f>Matching_Engine!$D$18</f>
      </c>
      <c r="C18" s="11">
        <f>Matching_Engine!$E$18</f>
      </c>
      <c r="D18" s="11">
        <f>Matching_Engine!$G$18</f>
      </c>
      <c r="E18" s="18">
        <f>Matching_Engine!$O$18</f>
      </c>
      <c r="F18" s="18">
        <f>Matching_Engine!$P$18</f>
      </c>
      <c r="G18" s="18">
        <f>Matching_Engine!$Q$18</f>
      </c>
      <c r="H18" s="18">
        <f>Matching_Engine!$R$18</f>
      </c>
      <c r="I18" s="18">
        <f>Matching_Engine!$M$18</f>
      </c>
      <c r="J18" s="18">
        <f>Matching_Engine!$S$18</f>
      </c>
      <c r="K18" s="18">
        <f>Matching_Engine!$Y$18</f>
      </c>
      <c r="L18" s="18">
        <f>Matching_Engine!$AE$18</f>
      </c>
      <c r="M18" s="18">
        <f>Matching_Engine!$AM$18</f>
      </c>
      <c r="N18" s="18">
        <f>Matching_Engine!$AT$18</f>
      </c>
      <c r="O18" s="18">
        <f>Matching_Engine!$AX$18</f>
      </c>
      <c r="P18" s="29">
        <f>Matching_Engine!$AY$18</f>
      </c>
      <c r="Q18" s="11">
        <f>Matching_Engine!$AZ$18</f>
      </c>
      <c r="R18" s="11">
        <f>Matching_Engine!$BB$18</f>
      </c>
    </row>
    <row r="19" spans="1:18" x14ac:dyDescent="0.25">
      <c r="A19" s="11">
        <f>Matching_Engine!$B$19</f>
      </c>
      <c r="B19" s="11">
        <f>Matching_Engine!$D$19</f>
      </c>
      <c r="C19" s="11">
        <f>Matching_Engine!$E$19</f>
      </c>
      <c r="D19" s="11">
        <f>Matching_Engine!$G$19</f>
      </c>
      <c r="E19" s="18">
        <f>Matching_Engine!$O$19</f>
      </c>
      <c r="F19" s="18">
        <f>Matching_Engine!$P$19</f>
      </c>
      <c r="G19" s="18">
        <f>Matching_Engine!$Q$19</f>
      </c>
      <c r="H19" s="18">
        <f>Matching_Engine!$R$19</f>
      </c>
      <c r="I19" s="18">
        <f>Matching_Engine!$M$19</f>
      </c>
      <c r="J19" s="18">
        <f>Matching_Engine!$S$19</f>
      </c>
      <c r="K19" s="18">
        <f>Matching_Engine!$Y$19</f>
      </c>
      <c r="L19" s="18">
        <f>Matching_Engine!$AE$19</f>
      </c>
      <c r="M19" s="18">
        <f>Matching_Engine!$AM$19</f>
      </c>
      <c r="N19" s="18">
        <f>Matching_Engine!$AT$19</f>
      </c>
      <c r="O19" s="18">
        <f>Matching_Engine!$AX$19</f>
      </c>
      <c r="P19" s="29">
        <f>Matching_Engine!$AY$19</f>
      </c>
      <c r="Q19" s="11">
        <f>Matching_Engine!$AZ$19</f>
      </c>
      <c r="R19" s="11">
        <f>Matching_Engine!$BB$19</f>
      </c>
    </row>
    <row r="20" spans="1:18" x14ac:dyDescent="0.25">
      <c r="A20" s="11">
        <f>Matching_Engine!$B$20</f>
      </c>
      <c r="B20" s="11">
        <f>Matching_Engine!$D$20</f>
      </c>
      <c r="C20" s="11">
        <f>Matching_Engine!$E$20</f>
      </c>
      <c r="D20" s="11">
        <f>Matching_Engine!$G$20</f>
      </c>
      <c r="E20" s="18">
        <f>Matching_Engine!$O$20</f>
      </c>
      <c r="F20" s="18">
        <f>Matching_Engine!$P$20</f>
      </c>
      <c r="G20" s="18">
        <f>Matching_Engine!$Q$20</f>
      </c>
      <c r="H20" s="18">
        <f>Matching_Engine!$R$20</f>
      </c>
      <c r="I20" s="18">
        <f>Matching_Engine!$M$20</f>
      </c>
      <c r="J20" s="18">
        <f>Matching_Engine!$S$20</f>
      </c>
      <c r="K20" s="18">
        <f>Matching_Engine!$Y$20</f>
      </c>
      <c r="L20" s="18">
        <f>Matching_Engine!$AE$20</f>
      </c>
      <c r="M20" s="18">
        <f>Matching_Engine!$AM$20</f>
      </c>
      <c r="N20" s="18">
        <f>Matching_Engine!$AT$20</f>
      </c>
      <c r="O20" s="18">
        <f>Matching_Engine!$AX$20</f>
      </c>
      <c r="P20" s="29">
        <f>Matching_Engine!$AY$20</f>
      </c>
      <c r="Q20" s="11">
        <f>Matching_Engine!$AZ$20</f>
      </c>
      <c r="R20" s="11">
        <f>Matching_Engine!$BB$20</f>
      </c>
    </row>
    <row r="21" spans="1:18" x14ac:dyDescent="0.25">
      <c r="A21" s="11">
        <f>Matching_Engine!$B$21</f>
      </c>
      <c r="B21" s="11">
        <f>Matching_Engine!$D$21</f>
      </c>
      <c r="C21" s="11">
        <f>Matching_Engine!$E$21</f>
      </c>
      <c r="D21" s="11">
        <f>Matching_Engine!$G$21</f>
      </c>
      <c r="E21" s="18">
        <f>Matching_Engine!$O$21</f>
      </c>
      <c r="F21" s="18">
        <f>Matching_Engine!$P$21</f>
      </c>
      <c r="G21" s="18">
        <f>Matching_Engine!$Q$21</f>
      </c>
      <c r="H21" s="18">
        <f>Matching_Engine!$R$21</f>
      </c>
      <c r="I21" s="18">
        <f>Matching_Engine!$M$21</f>
      </c>
      <c r="J21" s="18">
        <f>Matching_Engine!$S$21</f>
      </c>
      <c r="K21" s="18">
        <f>Matching_Engine!$Y$21</f>
      </c>
      <c r="L21" s="18">
        <f>Matching_Engine!$AE$21</f>
      </c>
      <c r="M21" s="18">
        <f>Matching_Engine!$AM$21</f>
      </c>
      <c r="N21" s="18">
        <f>Matching_Engine!$AT$21</f>
      </c>
      <c r="O21" s="18">
        <f>Matching_Engine!$AX$21</f>
      </c>
      <c r="P21" s="29">
        <f>Matching_Engine!$AY$21</f>
      </c>
      <c r="Q21" s="11">
        <f>Matching_Engine!$AZ$21</f>
      </c>
      <c r="R21" s="11">
        <f>Matching_Engine!$BB$21</f>
      </c>
    </row>
    <row r="22" spans="1:18" x14ac:dyDescent="0.25">
      <c r="A22" s="11">
        <f>Matching_Engine!$B$22</f>
      </c>
      <c r="B22" s="11">
        <f>Matching_Engine!$D$22</f>
      </c>
      <c r="C22" s="11">
        <f>Matching_Engine!$E$22</f>
      </c>
      <c r="D22" s="11">
        <f>Matching_Engine!$G$22</f>
      </c>
      <c r="E22" s="18">
        <f>Matching_Engine!$O$22</f>
      </c>
      <c r="F22" s="18">
        <f>Matching_Engine!$P$22</f>
      </c>
      <c r="G22" s="18">
        <f>Matching_Engine!$Q$22</f>
      </c>
      <c r="H22" s="18">
        <f>Matching_Engine!$R$22</f>
      </c>
      <c r="I22" s="18">
        <f>Matching_Engine!$M$22</f>
      </c>
      <c r="J22" s="18">
        <f>Matching_Engine!$S$22</f>
      </c>
      <c r="K22" s="18">
        <f>Matching_Engine!$Y$22</f>
      </c>
      <c r="L22" s="18">
        <f>Matching_Engine!$AE$22</f>
      </c>
      <c r="M22" s="18">
        <f>Matching_Engine!$AM$22</f>
      </c>
      <c r="N22" s="18">
        <f>Matching_Engine!$AT$22</f>
      </c>
      <c r="O22" s="18">
        <f>Matching_Engine!$AX$22</f>
      </c>
      <c r="P22" s="29">
        <f>Matching_Engine!$AY$22</f>
      </c>
      <c r="Q22" s="11">
        <f>Matching_Engine!$AZ$22</f>
      </c>
      <c r="R22" s="11">
        <f>Matching_Engine!$BB$22</f>
      </c>
    </row>
    <row r="23" spans="1:18" x14ac:dyDescent="0.25">
      <c r="A23" s="11">
        <f>Matching_Engine!$B$23</f>
      </c>
      <c r="B23" s="11">
        <f>Matching_Engine!$D$23</f>
      </c>
      <c r="C23" s="11">
        <f>Matching_Engine!$E$23</f>
      </c>
      <c r="D23" s="11">
        <f>Matching_Engine!$G$23</f>
      </c>
      <c r="E23" s="18">
        <f>Matching_Engine!$O$23</f>
      </c>
      <c r="F23" s="18">
        <f>Matching_Engine!$P$23</f>
      </c>
      <c r="G23" s="18">
        <f>Matching_Engine!$Q$23</f>
      </c>
      <c r="H23" s="18">
        <f>Matching_Engine!$R$23</f>
      </c>
      <c r="I23" s="18">
        <f>Matching_Engine!$M$23</f>
      </c>
      <c r="J23" s="18">
        <f>Matching_Engine!$S$23</f>
      </c>
      <c r="K23" s="18">
        <f>Matching_Engine!$Y$23</f>
      </c>
      <c r="L23" s="18">
        <f>Matching_Engine!$AE$23</f>
      </c>
      <c r="M23" s="18">
        <f>Matching_Engine!$AM$23</f>
      </c>
      <c r="N23" s="18">
        <f>Matching_Engine!$AT$23</f>
      </c>
      <c r="O23" s="18">
        <f>Matching_Engine!$AX$23</f>
      </c>
      <c r="P23" s="29">
        <f>Matching_Engine!$AY$23</f>
      </c>
      <c r="Q23" s="11">
        <f>Matching_Engine!$AZ$23</f>
      </c>
      <c r="R23" s="11">
        <f>Matching_Engine!$BB$23</f>
      </c>
    </row>
    <row r="24" spans="1:18" x14ac:dyDescent="0.25">
      <c r="A24" s="11">
        <f>Matching_Engine!$B$24</f>
      </c>
      <c r="B24" s="11">
        <f>Matching_Engine!$D$24</f>
      </c>
      <c r="C24" s="11">
        <f>Matching_Engine!$E$24</f>
      </c>
      <c r="D24" s="11">
        <f>Matching_Engine!$G$24</f>
      </c>
      <c r="E24" s="18">
        <f>Matching_Engine!$O$24</f>
      </c>
      <c r="F24" s="18">
        <f>Matching_Engine!$P$24</f>
      </c>
      <c r="G24" s="18">
        <f>Matching_Engine!$Q$24</f>
      </c>
      <c r="H24" s="18">
        <f>Matching_Engine!$R$24</f>
      </c>
      <c r="I24" s="18">
        <f>Matching_Engine!$M$24</f>
      </c>
      <c r="J24" s="18">
        <f>Matching_Engine!$S$24</f>
      </c>
      <c r="K24" s="18">
        <f>Matching_Engine!$Y$24</f>
      </c>
      <c r="L24" s="18">
        <f>Matching_Engine!$AE$24</f>
      </c>
      <c r="M24" s="18">
        <f>Matching_Engine!$AM$24</f>
      </c>
      <c r="N24" s="18">
        <f>Matching_Engine!$AT$24</f>
      </c>
      <c r="O24" s="18">
        <f>Matching_Engine!$AX$24</f>
      </c>
      <c r="P24" s="29">
        <f>Matching_Engine!$AY$24</f>
      </c>
      <c r="Q24" s="11">
        <f>Matching_Engine!$AZ$24</f>
      </c>
      <c r="R24" s="11">
        <f>Matching_Engine!$BB$24</f>
      </c>
    </row>
    <row r="25" spans="1:18" x14ac:dyDescent="0.25">
      <c r="A25" s="11">
        <f>Matching_Engine!$B$25</f>
      </c>
      <c r="B25" s="11">
        <f>Matching_Engine!$D$25</f>
      </c>
      <c r="C25" s="11">
        <f>Matching_Engine!$E$25</f>
      </c>
      <c r="D25" s="11">
        <f>Matching_Engine!$G$25</f>
      </c>
      <c r="E25" s="18">
        <f>Matching_Engine!$O$25</f>
      </c>
      <c r="F25" s="18">
        <f>Matching_Engine!$P$25</f>
      </c>
      <c r="G25" s="18">
        <f>Matching_Engine!$Q$25</f>
      </c>
      <c r="H25" s="18">
        <f>Matching_Engine!$R$25</f>
      </c>
      <c r="I25" s="18">
        <f>Matching_Engine!$M$25</f>
      </c>
      <c r="J25" s="18">
        <f>Matching_Engine!$S$25</f>
      </c>
      <c r="K25" s="18">
        <f>Matching_Engine!$Y$25</f>
      </c>
      <c r="L25" s="18">
        <f>Matching_Engine!$AE$25</f>
      </c>
      <c r="M25" s="18">
        <f>Matching_Engine!$AM$25</f>
      </c>
      <c r="N25" s="18">
        <f>Matching_Engine!$AT$25</f>
      </c>
      <c r="O25" s="18">
        <f>Matching_Engine!$AX$25</f>
      </c>
      <c r="P25" s="29">
        <f>Matching_Engine!$AY$25</f>
      </c>
      <c r="Q25" s="11">
        <f>Matching_Engine!$AZ$25</f>
      </c>
      <c r="R25" s="11">
        <f>Matching_Engine!$BB$25</f>
      </c>
    </row>
    <row r="26" spans="1:18" x14ac:dyDescent="0.25">
      <c r="A26" s="11">
        <f>Matching_Engine!$B$26</f>
      </c>
      <c r="B26" s="11">
        <f>Matching_Engine!$D$26</f>
      </c>
      <c r="C26" s="11">
        <f>Matching_Engine!$E$26</f>
      </c>
      <c r="D26" s="11">
        <f>Matching_Engine!$G$26</f>
      </c>
      <c r="E26" s="18">
        <f>Matching_Engine!$O$26</f>
      </c>
      <c r="F26" s="18">
        <f>Matching_Engine!$P$26</f>
      </c>
      <c r="G26" s="18">
        <f>Matching_Engine!$Q$26</f>
      </c>
      <c r="H26" s="18">
        <f>Matching_Engine!$R$26</f>
      </c>
      <c r="I26" s="18">
        <f>Matching_Engine!$M$26</f>
      </c>
      <c r="J26" s="18">
        <f>Matching_Engine!$S$26</f>
      </c>
      <c r="K26" s="18">
        <f>Matching_Engine!$Y$26</f>
      </c>
      <c r="L26" s="18">
        <f>Matching_Engine!$AE$26</f>
      </c>
      <c r="M26" s="18">
        <f>Matching_Engine!$AM$26</f>
      </c>
      <c r="N26" s="18">
        <f>Matching_Engine!$AT$26</f>
      </c>
      <c r="O26" s="18">
        <f>Matching_Engine!$AX$26</f>
      </c>
      <c r="P26" s="29">
        <f>Matching_Engine!$AY$26</f>
      </c>
      <c r="Q26" s="11">
        <f>Matching_Engine!$AZ$26</f>
      </c>
      <c r="R26" s="11">
        <f>Matching_Engine!$BB$26</f>
      </c>
    </row>
    <row r="27" spans="1:18" x14ac:dyDescent="0.25">
      <c r="A27" s="11">
        <f>Matching_Engine!$B$27</f>
      </c>
      <c r="B27" s="11">
        <f>Matching_Engine!$D$27</f>
      </c>
      <c r="C27" s="11">
        <f>Matching_Engine!$E$27</f>
      </c>
      <c r="D27" s="11">
        <f>Matching_Engine!$G$27</f>
      </c>
      <c r="E27" s="18">
        <f>Matching_Engine!$O$27</f>
      </c>
      <c r="F27" s="18">
        <f>Matching_Engine!$P$27</f>
      </c>
      <c r="G27" s="18">
        <f>Matching_Engine!$Q$27</f>
      </c>
      <c r="H27" s="18">
        <f>Matching_Engine!$R$27</f>
      </c>
      <c r="I27" s="18">
        <f>Matching_Engine!$M$27</f>
      </c>
      <c r="J27" s="18">
        <f>Matching_Engine!$S$27</f>
      </c>
      <c r="K27" s="18">
        <f>Matching_Engine!$Y$27</f>
      </c>
      <c r="L27" s="18">
        <f>Matching_Engine!$AE$27</f>
      </c>
      <c r="M27" s="18">
        <f>Matching_Engine!$AM$27</f>
      </c>
      <c r="N27" s="18">
        <f>Matching_Engine!$AT$27</f>
      </c>
      <c r="O27" s="18">
        <f>Matching_Engine!$AX$27</f>
      </c>
      <c r="P27" s="29">
        <f>Matching_Engine!$AY$27</f>
      </c>
      <c r="Q27" s="11">
        <f>Matching_Engine!$AZ$27</f>
      </c>
      <c r="R27" s="11">
        <f>Matching_Engine!$BB$27</f>
      </c>
    </row>
    <row r="28" spans="1:18" x14ac:dyDescent="0.25">
      <c r="A28" s="11">
        <f>Matching_Engine!$B$28</f>
      </c>
      <c r="B28" s="11">
        <f>Matching_Engine!$D$28</f>
      </c>
      <c r="C28" s="11">
        <f>Matching_Engine!$E$28</f>
      </c>
      <c r="D28" s="11">
        <f>Matching_Engine!$G$28</f>
      </c>
      <c r="E28" s="18">
        <f>Matching_Engine!$O$28</f>
      </c>
      <c r="F28" s="18">
        <f>Matching_Engine!$P$28</f>
      </c>
      <c r="G28" s="18">
        <f>Matching_Engine!$Q$28</f>
      </c>
      <c r="H28" s="18">
        <f>Matching_Engine!$R$28</f>
      </c>
      <c r="I28" s="18">
        <f>Matching_Engine!$M$28</f>
      </c>
      <c r="J28" s="18">
        <f>Matching_Engine!$S$28</f>
      </c>
      <c r="K28" s="18">
        <f>Matching_Engine!$Y$28</f>
      </c>
      <c r="L28" s="18">
        <f>Matching_Engine!$AE$28</f>
      </c>
      <c r="M28" s="18">
        <f>Matching_Engine!$AM$28</f>
      </c>
      <c r="N28" s="18">
        <f>Matching_Engine!$AT$28</f>
      </c>
      <c r="O28" s="18">
        <f>Matching_Engine!$AX$28</f>
      </c>
      <c r="P28" s="29">
        <f>Matching_Engine!$AY$28</f>
      </c>
      <c r="Q28" s="11">
        <f>Matching_Engine!$AZ$28</f>
      </c>
      <c r="R28" s="11">
        <f>Matching_Engine!$BB$28</f>
      </c>
    </row>
    <row r="29" spans="1:18" x14ac:dyDescent="0.25">
      <c r="A29" s="11">
        <f>Matching_Engine!$B$29</f>
      </c>
      <c r="B29" s="11">
        <f>Matching_Engine!$D$29</f>
      </c>
      <c r="C29" s="11">
        <f>Matching_Engine!$E$29</f>
      </c>
      <c r="D29" s="11">
        <f>Matching_Engine!$G$29</f>
      </c>
      <c r="E29" s="18">
        <f>Matching_Engine!$O$29</f>
      </c>
      <c r="F29" s="18">
        <f>Matching_Engine!$P$29</f>
      </c>
      <c r="G29" s="18">
        <f>Matching_Engine!$Q$29</f>
      </c>
      <c r="H29" s="18">
        <f>Matching_Engine!$R$29</f>
      </c>
      <c r="I29" s="18">
        <f>Matching_Engine!$M$29</f>
      </c>
      <c r="J29" s="18">
        <f>Matching_Engine!$S$29</f>
      </c>
      <c r="K29" s="18">
        <f>Matching_Engine!$Y$29</f>
      </c>
      <c r="L29" s="18">
        <f>Matching_Engine!$AE$29</f>
      </c>
      <c r="M29" s="18">
        <f>Matching_Engine!$AM$29</f>
      </c>
      <c r="N29" s="18">
        <f>Matching_Engine!$AT$29</f>
      </c>
      <c r="O29" s="18">
        <f>Matching_Engine!$AX$29</f>
      </c>
      <c r="P29" s="29">
        <f>Matching_Engine!$AY$29</f>
      </c>
      <c r="Q29" s="11">
        <f>Matching_Engine!$AZ$29</f>
      </c>
      <c r="R29" s="11">
        <f>Matching_Engine!$BB$29</f>
      </c>
    </row>
    <row r="30" spans="1:18" x14ac:dyDescent="0.25">
      <c r="A30" s="11">
        <f>Matching_Engine!$B$30</f>
      </c>
      <c r="B30" s="11">
        <f>Matching_Engine!$D$30</f>
      </c>
      <c r="C30" s="11">
        <f>Matching_Engine!$E$30</f>
      </c>
      <c r="D30" s="11">
        <f>Matching_Engine!$G$30</f>
      </c>
      <c r="E30" s="18">
        <f>Matching_Engine!$O$30</f>
      </c>
      <c r="F30" s="18">
        <f>Matching_Engine!$P$30</f>
      </c>
      <c r="G30" s="18">
        <f>Matching_Engine!$Q$30</f>
      </c>
      <c r="H30" s="18">
        <f>Matching_Engine!$R$30</f>
      </c>
      <c r="I30" s="18">
        <f>Matching_Engine!$M$30</f>
      </c>
      <c r="J30" s="18">
        <f>Matching_Engine!$S$30</f>
      </c>
      <c r="K30" s="18">
        <f>Matching_Engine!$Y$30</f>
      </c>
      <c r="L30" s="18">
        <f>Matching_Engine!$AE$30</f>
      </c>
      <c r="M30" s="18">
        <f>Matching_Engine!$AM$30</f>
      </c>
      <c r="N30" s="18">
        <f>Matching_Engine!$AT$30</f>
      </c>
      <c r="O30" s="18">
        <f>Matching_Engine!$AX$30</f>
      </c>
      <c r="P30" s="29">
        <f>Matching_Engine!$AY$30</f>
      </c>
      <c r="Q30" s="11">
        <f>Matching_Engine!$AZ$30</f>
      </c>
      <c r="R30" s="11">
        <f>Matching_Engine!$BB$30</f>
      </c>
    </row>
    <row r="31" spans="1:18" x14ac:dyDescent="0.25">
      <c r="A31" s="11">
        <f>Matching_Engine!$B$31</f>
      </c>
      <c r="B31" s="11">
        <f>Matching_Engine!$D$31</f>
      </c>
      <c r="C31" s="11">
        <f>Matching_Engine!$E$31</f>
      </c>
      <c r="D31" s="11">
        <f>Matching_Engine!$G$31</f>
      </c>
      <c r="E31" s="18">
        <f>Matching_Engine!$O$31</f>
      </c>
      <c r="F31" s="18">
        <f>Matching_Engine!$P$31</f>
      </c>
      <c r="G31" s="18">
        <f>Matching_Engine!$Q$31</f>
      </c>
      <c r="H31" s="18">
        <f>Matching_Engine!$R$31</f>
      </c>
      <c r="I31" s="18">
        <f>Matching_Engine!$M$31</f>
      </c>
      <c r="J31" s="18">
        <f>Matching_Engine!$S$31</f>
      </c>
      <c r="K31" s="18">
        <f>Matching_Engine!$Y$31</f>
      </c>
      <c r="L31" s="18">
        <f>Matching_Engine!$AE$31</f>
      </c>
      <c r="M31" s="18">
        <f>Matching_Engine!$AM$31</f>
      </c>
      <c r="N31" s="18">
        <f>Matching_Engine!$AT$31</f>
      </c>
      <c r="O31" s="18">
        <f>Matching_Engine!$AX$31</f>
      </c>
      <c r="P31" s="29">
        <f>Matching_Engine!$AY$31</f>
      </c>
      <c r="Q31" s="11">
        <f>Matching_Engine!$AZ$31</f>
      </c>
      <c r="R31" s="11">
        <f>Matching_Engine!$BB$31</f>
      </c>
    </row>
    <row r="32" spans="1:18" x14ac:dyDescent="0.25">
      <c r="A32" s="11">
        <f>Matching_Engine!$B$32</f>
      </c>
      <c r="B32" s="11">
        <f>Matching_Engine!$D$32</f>
      </c>
      <c r="C32" s="11">
        <f>Matching_Engine!$E$32</f>
      </c>
      <c r="D32" s="11">
        <f>Matching_Engine!$G$32</f>
      </c>
      <c r="E32" s="18">
        <f>Matching_Engine!$O$32</f>
      </c>
      <c r="F32" s="18">
        <f>Matching_Engine!$P$32</f>
      </c>
      <c r="G32" s="18">
        <f>Matching_Engine!$Q$32</f>
      </c>
      <c r="H32" s="18">
        <f>Matching_Engine!$R$32</f>
      </c>
      <c r="I32" s="18">
        <f>Matching_Engine!$M$32</f>
      </c>
      <c r="J32" s="18">
        <f>Matching_Engine!$S$32</f>
      </c>
      <c r="K32" s="18">
        <f>Matching_Engine!$Y$32</f>
      </c>
      <c r="L32" s="18">
        <f>Matching_Engine!$AE$32</f>
      </c>
      <c r="M32" s="18">
        <f>Matching_Engine!$AM$32</f>
      </c>
      <c r="N32" s="18">
        <f>Matching_Engine!$AT$32</f>
      </c>
      <c r="O32" s="18">
        <f>Matching_Engine!$AX$32</f>
      </c>
      <c r="P32" s="29">
        <f>Matching_Engine!$AY$32</f>
      </c>
      <c r="Q32" s="11">
        <f>Matching_Engine!$AZ$32</f>
      </c>
      <c r="R32" s="11">
        <f>Matching_Engine!$BB$32</f>
      </c>
    </row>
    <row r="33" spans="1:18" x14ac:dyDescent="0.25">
      <c r="A33" s="11">
        <f>Matching_Engine!$B$33</f>
      </c>
      <c r="B33" s="11">
        <f>Matching_Engine!$D$33</f>
      </c>
      <c r="C33" s="11">
        <f>Matching_Engine!$E$33</f>
      </c>
      <c r="D33" s="11">
        <f>Matching_Engine!$G$33</f>
      </c>
      <c r="E33" s="18">
        <f>Matching_Engine!$O$33</f>
      </c>
      <c r="F33" s="18">
        <f>Matching_Engine!$P$33</f>
      </c>
      <c r="G33" s="18">
        <f>Matching_Engine!$Q$33</f>
      </c>
      <c r="H33" s="18">
        <f>Matching_Engine!$R$33</f>
      </c>
      <c r="I33" s="18">
        <f>Matching_Engine!$M$33</f>
      </c>
      <c r="J33" s="18">
        <f>Matching_Engine!$S$33</f>
      </c>
      <c r="K33" s="18">
        <f>Matching_Engine!$Y$33</f>
      </c>
      <c r="L33" s="18">
        <f>Matching_Engine!$AE$33</f>
      </c>
      <c r="M33" s="18">
        <f>Matching_Engine!$AM$33</f>
      </c>
      <c r="N33" s="18">
        <f>Matching_Engine!$AT$33</f>
      </c>
      <c r="O33" s="18">
        <f>Matching_Engine!$AX$33</f>
      </c>
      <c r="P33" s="29">
        <f>Matching_Engine!$AY$33</f>
      </c>
      <c r="Q33" s="11">
        <f>Matching_Engine!$AZ$33</f>
      </c>
      <c r="R33" s="11">
        <f>Matching_Engine!$BB$33</f>
      </c>
    </row>
    <row r="34" spans="1:18" x14ac:dyDescent="0.25">
      <c r="A34" s="11">
        <f>Matching_Engine!$B$34</f>
      </c>
      <c r="B34" s="11">
        <f>Matching_Engine!$D$34</f>
      </c>
      <c r="C34" s="11">
        <f>Matching_Engine!$E$34</f>
      </c>
      <c r="D34" s="11">
        <f>Matching_Engine!$G$34</f>
      </c>
      <c r="E34" s="18">
        <f>Matching_Engine!$O$34</f>
      </c>
      <c r="F34" s="18">
        <f>Matching_Engine!$P$34</f>
      </c>
      <c r="G34" s="18">
        <f>Matching_Engine!$Q$34</f>
      </c>
      <c r="H34" s="18">
        <f>Matching_Engine!$R$34</f>
      </c>
      <c r="I34" s="18">
        <f>Matching_Engine!$M$34</f>
      </c>
      <c r="J34" s="18">
        <f>Matching_Engine!$S$34</f>
      </c>
      <c r="K34" s="18">
        <f>Matching_Engine!$Y$34</f>
      </c>
      <c r="L34" s="18">
        <f>Matching_Engine!$AE$34</f>
      </c>
      <c r="M34" s="18">
        <f>Matching_Engine!$AM$34</f>
      </c>
      <c r="N34" s="18">
        <f>Matching_Engine!$AT$34</f>
      </c>
      <c r="O34" s="18">
        <f>Matching_Engine!$AX$34</f>
      </c>
      <c r="P34" s="29">
        <f>Matching_Engine!$AY$34</f>
      </c>
      <c r="Q34" s="11">
        <f>Matching_Engine!$AZ$34</f>
      </c>
      <c r="R34" s="11">
        <f>Matching_Engine!$BB$34</f>
      </c>
    </row>
    <row r="35" spans="1:18" x14ac:dyDescent="0.25">
      <c r="A35" s="11">
        <f>Matching_Engine!$B$35</f>
      </c>
      <c r="B35" s="11">
        <f>Matching_Engine!$D$35</f>
      </c>
      <c r="C35" s="11">
        <f>Matching_Engine!$E$35</f>
      </c>
      <c r="D35" s="11">
        <f>Matching_Engine!$G$35</f>
      </c>
      <c r="E35" s="18">
        <f>Matching_Engine!$O$35</f>
      </c>
      <c r="F35" s="18">
        <f>Matching_Engine!$P$35</f>
      </c>
      <c r="G35" s="18">
        <f>Matching_Engine!$Q$35</f>
      </c>
      <c r="H35" s="18">
        <f>Matching_Engine!$R$35</f>
      </c>
      <c r="I35" s="18">
        <f>Matching_Engine!$M$35</f>
      </c>
      <c r="J35" s="18">
        <f>Matching_Engine!$S$35</f>
      </c>
      <c r="K35" s="18">
        <f>Matching_Engine!$Y$35</f>
      </c>
      <c r="L35" s="18">
        <f>Matching_Engine!$AE$35</f>
      </c>
      <c r="M35" s="18">
        <f>Matching_Engine!$AM$35</f>
      </c>
      <c r="N35" s="18">
        <f>Matching_Engine!$AT$35</f>
      </c>
      <c r="O35" s="18">
        <f>Matching_Engine!$AX$35</f>
      </c>
      <c r="P35" s="29">
        <f>Matching_Engine!$AY$35</f>
      </c>
      <c r="Q35" s="11">
        <f>Matching_Engine!$AZ$35</f>
      </c>
      <c r="R35" s="11">
        <f>Matching_Engine!$BB$35</f>
      </c>
    </row>
    <row r="36" spans="1:18" x14ac:dyDescent="0.25">
      <c r="A36" s="11">
        <f>Matching_Engine!$B$36</f>
      </c>
      <c r="B36" s="11">
        <f>Matching_Engine!$D$36</f>
      </c>
      <c r="C36" s="11">
        <f>Matching_Engine!$E$36</f>
      </c>
      <c r="D36" s="11">
        <f>Matching_Engine!$G$36</f>
      </c>
      <c r="E36" s="18">
        <f>Matching_Engine!$O$36</f>
      </c>
      <c r="F36" s="18">
        <f>Matching_Engine!$P$36</f>
      </c>
      <c r="G36" s="18">
        <f>Matching_Engine!$Q$36</f>
      </c>
      <c r="H36" s="18">
        <f>Matching_Engine!$R$36</f>
      </c>
      <c r="I36" s="18">
        <f>Matching_Engine!$M$36</f>
      </c>
      <c r="J36" s="18">
        <f>Matching_Engine!$S$36</f>
      </c>
      <c r="K36" s="18">
        <f>Matching_Engine!$Y$36</f>
      </c>
      <c r="L36" s="18">
        <f>Matching_Engine!$AE$36</f>
      </c>
      <c r="M36" s="18">
        <f>Matching_Engine!$AM$36</f>
      </c>
      <c r="N36" s="18">
        <f>Matching_Engine!$AT$36</f>
      </c>
      <c r="O36" s="18">
        <f>Matching_Engine!$AX$36</f>
      </c>
      <c r="P36" s="29">
        <f>Matching_Engine!$AY$36</f>
      </c>
      <c r="Q36" s="11">
        <f>Matching_Engine!$AZ$36</f>
      </c>
      <c r="R36" s="11">
        <f>Matching_Engine!$BB$36</f>
      </c>
    </row>
    <row r="37" spans="1:18" x14ac:dyDescent="0.25">
      <c r="A37" s="11">
        <f>Matching_Engine!$B$37</f>
      </c>
      <c r="B37" s="11">
        <f>Matching_Engine!$D$37</f>
      </c>
      <c r="C37" s="11">
        <f>Matching_Engine!$E$37</f>
      </c>
      <c r="D37" s="11">
        <f>Matching_Engine!$G$37</f>
      </c>
      <c r="E37" s="18">
        <f>Matching_Engine!$O$37</f>
      </c>
      <c r="F37" s="18">
        <f>Matching_Engine!$P$37</f>
      </c>
      <c r="G37" s="18">
        <f>Matching_Engine!$Q$37</f>
      </c>
      <c r="H37" s="18">
        <f>Matching_Engine!$R$37</f>
      </c>
      <c r="I37" s="18">
        <f>Matching_Engine!$M$37</f>
      </c>
      <c r="J37" s="18">
        <f>Matching_Engine!$S$37</f>
      </c>
      <c r="K37" s="18">
        <f>Matching_Engine!$Y$37</f>
      </c>
      <c r="L37" s="18">
        <f>Matching_Engine!$AE$37</f>
      </c>
      <c r="M37" s="18">
        <f>Matching_Engine!$AM$37</f>
      </c>
      <c r="N37" s="18">
        <f>Matching_Engine!$AT$37</f>
      </c>
      <c r="O37" s="18">
        <f>Matching_Engine!$AX$37</f>
      </c>
      <c r="P37" s="29">
        <f>Matching_Engine!$AY$37</f>
      </c>
      <c r="Q37" s="11">
        <f>Matching_Engine!$AZ$37</f>
      </c>
      <c r="R37" s="11">
        <f>Matching_Engine!$BB$37</f>
      </c>
    </row>
    <row r="38" spans="1:18" x14ac:dyDescent="0.25">
      <c r="A38" s="11">
        <f>Matching_Engine!$B$38</f>
      </c>
      <c r="B38" s="11">
        <f>Matching_Engine!$D$38</f>
      </c>
      <c r="C38" s="11">
        <f>Matching_Engine!$E$38</f>
      </c>
      <c r="D38" s="11">
        <f>Matching_Engine!$G$38</f>
      </c>
      <c r="E38" s="18">
        <f>Matching_Engine!$O$38</f>
      </c>
      <c r="F38" s="18">
        <f>Matching_Engine!$P$38</f>
      </c>
      <c r="G38" s="18">
        <f>Matching_Engine!$Q$38</f>
      </c>
      <c r="H38" s="18">
        <f>Matching_Engine!$R$38</f>
      </c>
      <c r="I38" s="18">
        <f>Matching_Engine!$M$38</f>
      </c>
      <c r="J38" s="18">
        <f>Matching_Engine!$S$38</f>
      </c>
      <c r="K38" s="18">
        <f>Matching_Engine!$Y$38</f>
      </c>
      <c r="L38" s="18">
        <f>Matching_Engine!$AE$38</f>
      </c>
      <c r="M38" s="18">
        <f>Matching_Engine!$AM$38</f>
      </c>
      <c r="N38" s="18">
        <f>Matching_Engine!$AT$38</f>
      </c>
      <c r="O38" s="18">
        <f>Matching_Engine!$AX$38</f>
      </c>
      <c r="P38" s="29">
        <f>Matching_Engine!$AY$38</f>
      </c>
      <c r="Q38" s="11">
        <f>Matching_Engine!$AZ$38</f>
      </c>
      <c r="R38" s="11">
        <f>Matching_Engine!$BB$38</f>
      </c>
    </row>
    <row r="39" spans="1:18" x14ac:dyDescent="0.25">
      <c r="A39" s="11">
        <f>Matching_Engine!$B$39</f>
      </c>
      <c r="B39" s="11">
        <f>Matching_Engine!$D$39</f>
      </c>
      <c r="C39" s="11">
        <f>Matching_Engine!$E$39</f>
      </c>
      <c r="D39" s="11">
        <f>Matching_Engine!$G$39</f>
      </c>
      <c r="E39" s="18">
        <f>Matching_Engine!$O$39</f>
      </c>
      <c r="F39" s="18">
        <f>Matching_Engine!$P$39</f>
      </c>
      <c r="G39" s="18">
        <f>Matching_Engine!$Q$39</f>
      </c>
      <c r="H39" s="18">
        <f>Matching_Engine!$R$39</f>
      </c>
      <c r="I39" s="18">
        <f>Matching_Engine!$M$39</f>
      </c>
      <c r="J39" s="18">
        <f>Matching_Engine!$S$39</f>
      </c>
      <c r="K39" s="18">
        <f>Matching_Engine!$Y$39</f>
      </c>
      <c r="L39" s="18">
        <f>Matching_Engine!$AE$39</f>
      </c>
      <c r="M39" s="18">
        <f>Matching_Engine!$AM$39</f>
      </c>
      <c r="N39" s="18">
        <f>Matching_Engine!$AT$39</f>
      </c>
      <c r="O39" s="18">
        <f>Matching_Engine!$AX$39</f>
      </c>
      <c r="P39" s="29">
        <f>Matching_Engine!$AY$39</f>
      </c>
      <c r="Q39" s="11">
        <f>Matching_Engine!$AZ$39</f>
      </c>
      <c r="R39" s="11">
        <f>Matching_Engine!$BB$39</f>
      </c>
    </row>
    <row r="40" spans="1:18" x14ac:dyDescent="0.25">
      <c r="A40" s="11">
        <f>Matching_Engine!$B$40</f>
      </c>
      <c r="B40" s="11">
        <f>Matching_Engine!$D$40</f>
      </c>
      <c r="C40" s="11">
        <f>Matching_Engine!$E$40</f>
      </c>
      <c r="D40" s="11">
        <f>Matching_Engine!$G$40</f>
      </c>
      <c r="E40" s="18">
        <f>Matching_Engine!$O$40</f>
      </c>
      <c r="F40" s="18">
        <f>Matching_Engine!$P$40</f>
      </c>
      <c r="G40" s="18">
        <f>Matching_Engine!$Q$40</f>
      </c>
      <c r="H40" s="18">
        <f>Matching_Engine!$R$40</f>
      </c>
      <c r="I40" s="18">
        <f>Matching_Engine!$M$40</f>
      </c>
      <c r="J40" s="18">
        <f>Matching_Engine!$S$40</f>
      </c>
      <c r="K40" s="18">
        <f>Matching_Engine!$Y$40</f>
      </c>
      <c r="L40" s="18">
        <f>Matching_Engine!$AE$40</f>
      </c>
      <c r="M40" s="18">
        <f>Matching_Engine!$AM$40</f>
      </c>
      <c r="N40" s="18">
        <f>Matching_Engine!$AT$40</f>
      </c>
      <c r="O40" s="18">
        <f>Matching_Engine!$AX$40</f>
      </c>
      <c r="P40" s="29">
        <f>Matching_Engine!$AY$40</f>
      </c>
      <c r="Q40" s="11">
        <f>Matching_Engine!$AZ$40</f>
      </c>
      <c r="R40" s="11">
        <f>Matching_Engine!$BB$40</f>
      </c>
    </row>
    <row r="41" spans="1:18" x14ac:dyDescent="0.25">
      <c r="A41" s="11">
        <f>Matching_Engine!$B$41</f>
      </c>
      <c r="B41" s="11">
        <f>Matching_Engine!$D$41</f>
      </c>
      <c r="C41" s="11">
        <f>Matching_Engine!$E$41</f>
      </c>
      <c r="D41" s="11">
        <f>Matching_Engine!$G$41</f>
      </c>
      <c r="E41" s="18">
        <f>Matching_Engine!$O$41</f>
      </c>
      <c r="F41" s="18">
        <f>Matching_Engine!$P$41</f>
      </c>
      <c r="G41" s="18">
        <f>Matching_Engine!$Q$41</f>
      </c>
      <c r="H41" s="18">
        <f>Matching_Engine!$R$41</f>
      </c>
      <c r="I41" s="18">
        <f>Matching_Engine!$M$41</f>
      </c>
      <c r="J41" s="18">
        <f>Matching_Engine!$S$41</f>
      </c>
      <c r="K41" s="18">
        <f>Matching_Engine!$Y$41</f>
      </c>
      <c r="L41" s="18">
        <f>Matching_Engine!$AE$41</f>
      </c>
      <c r="M41" s="18">
        <f>Matching_Engine!$AM$41</f>
      </c>
      <c r="N41" s="18">
        <f>Matching_Engine!$AT$41</f>
      </c>
      <c r="O41" s="18">
        <f>Matching_Engine!$AX$41</f>
      </c>
      <c r="P41" s="29">
        <f>Matching_Engine!$AY$41</f>
      </c>
      <c r="Q41" s="11">
        <f>Matching_Engine!$AZ$41</f>
      </c>
      <c r="R41" s="11">
        <f>Matching_Engine!$BB$41</f>
      </c>
    </row>
    <row r="42" spans="1:18" x14ac:dyDescent="0.25">
      <c r="A42" s="11">
        <f>Matching_Engine!$B$42</f>
      </c>
      <c r="B42" s="11">
        <f>Matching_Engine!$D$42</f>
      </c>
      <c r="C42" s="11">
        <f>Matching_Engine!$E$42</f>
      </c>
      <c r="D42" s="11">
        <f>Matching_Engine!$G$42</f>
      </c>
      <c r="E42" s="18">
        <f>Matching_Engine!$O$42</f>
      </c>
      <c r="F42" s="18">
        <f>Matching_Engine!$P$42</f>
      </c>
      <c r="G42" s="18">
        <f>Matching_Engine!$Q$42</f>
      </c>
      <c r="H42" s="18">
        <f>Matching_Engine!$R$42</f>
      </c>
      <c r="I42" s="18">
        <f>Matching_Engine!$M$42</f>
      </c>
      <c r="J42" s="18">
        <f>Matching_Engine!$S$42</f>
      </c>
      <c r="K42" s="18">
        <f>Matching_Engine!$Y$42</f>
      </c>
      <c r="L42" s="18">
        <f>Matching_Engine!$AE$42</f>
      </c>
      <c r="M42" s="18">
        <f>Matching_Engine!$AM$42</f>
      </c>
      <c r="N42" s="18">
        <f>Matching_Engine!$AT$42</f>
      </c>
      <c r="O42" s="18">
        <f>Matching_Engine!$AX$42</f>
      </c>
      <c r="P42" s="29">
        <f>Matching_Engine!$AY$42</f>
      </c>
      <c r="Q42" s="11">
        <f>Matching_Engine!$AZ$42</f>
      </c>
      <c r="R42" s="11">
        <f>Matching_Engine!$BB$42</f>
      </c>
    </row>
    <row r="43" spans="1:18" x14ac:dyDescent="0.25">
      <c r="A43" s="11">
        <f>Matching_Engine!$B$43</f>
      </c>
      <c r="B43" s="11">
        <f>Matching_Engine!$D$43</f>
      </c>
      <c r="C43" s="11">
        <f>Matching_Engine!$E$43</f>
      </c>
      <c r="D43" s="11">
        <f>Matching_Engine!$G$43</f>
      </c>
      <c r="E43" s="18">
        <f>Matching_Engine!$O$43</f>
      </c>
      <c r="F43" s="18">
        <f>Matching_Engine!$P$43</f>
      </c>
      <c r="G43" s="18">
        <f>Matching_Engine!$Q$43</f>
      </c>
      <c r="H43" s="18">
        <f>Matching_Engine!$R$43</f>
      </c>
      <c r="I43" s="18">
        <f>Matching_Engine!$M$43</f>
      </c>
      <c r="J43" s="18">
        <f>Matching_Engine!$S$43</f>
      </c>
      <c r="K43" s="18">
        <f>Matching_Engine!$Y$43</f>
      </c>
      <c r="L43" s="18">
        <f>Matching_Engine!$AE$43</f>
      </c>
      <c r="M43" s="18">
        <f>Matching_Engine!$AM$43</f>
      </c>
      <c r="N43" s="18">
        <f>Matching_Engine!$AT$43</f>
      </c>
      <c r="O43" s="18">
        <f>Matching_Engine!$AX$43</f>
      </c>
      <c r="P43" s="29">
        <f>Matching_Engine!$AY$43</f>
      </c>
      <c r="Q43" s="11">
        <f>Matching_Engine!$AZ$43</f>
      </c>
      <c r="R43" s="11">
        <f>Matching_Engine!$BB$43</f>
      </c>
    </row>
    <row r="44" spans="1:18" x14ac:dyDescent="0.25">
      <c r="A44" s="11">
        <f>Matching_Engine!$B$44</f>
      </c>
      <c r="B44" s="11">
        <f>Matching_Engine!$D$44</f>
      </c>
      <c r="C44" s="11">
        <f>Matching_Engine!$E$44</f>
      </c>
      <c r="D44" s="11">
        <f>Matching_Engine!$G$44</f>
      </c>
      <c r="E44" s="18">
        <f>Matching_Engine!$O$44</f>
      </c>
      <c r="F44" s="18">
        <f>Matching_Engine!$P$44</f>
      </c>
      <c r="G44" s="18">
        <f>Matching_Engine!$Q$44</f>
      </c>
      <c r="H44" s="18">
        <f>Matching_Engine!$R$44</f>
      </c>
      <c r="I44" s="18">
        <f>Matching_Engine!$M$44</f>
      </c>
      <c r="J44" s="18">
        <f>Matching_Engine!$S$44</f>
      </c>
      <c r="K44" s="18">
        <f>Matching_Engine!$Y$44</f>
      </c>
      <c r="L44" s="18">
        <f>Matching_Engine!$AE$44</f>
      </c>
      <c r="M44" s="18">
        <f>Matching_Engine!$AM$44</f>
      </c>
      <c r="N44" s="18">
        <f>Matching_Engine!$AT$44</f>
      </c>
      <c r="O44" s="18">
        <f>Matching_Engine!$AX$44</f>
      </c>
      <c r="P44" s="29">
        <f>Matching_Engine!$AY$44</f>
      </c>
      <c r="Q44" s="11">
        <f>Matching_Engine!$AZ$44</f>
      </c>
      <c r="R44" s="11">
        <f>Matching_Engine!$BB$44</f>
      </c>
    </row>
    <row r="45" spans="1:18" x14ac:dyDescent="0.25">
      <c r="A45" s="11">
        <f>Matching_Engine!$B$45</f>
      </c>
      <c r="B45" s="11">
        <f>Matching_Engine!$D$45</f>
      </c>
      <c r="C45" s="11">
        <f>Matching_Engine!$E$45</f>
      </c>
      <c r="D45" s="11">
        <f>Matching_Engine!$G$45</f>
      </c>
      <c r="E45" s="18">
        <f>Matching_Engine!$O$45</f>
      </c>
      <c r="F45" s="18">
        <f>Matching_Engine!$P$45</f>
      </c>
      <c r="G45" s="18">
        <f>Matching_Engine!$Q$45</f>
      </c>
      <c r="H45" s="18">
        <f>Matching_Engine!$R$45</f>
      </c>
      <c r="I45" s="18">
        <f>Matching_Engine!$M$45</f>
      </c>
      <c r="J45" s="18">
        <f>Matching_Engine!$S$45</f>
      </c>
      <c r="K45" s="18">
        <f>Matching_Engine!$Y$45</f>
      </c>
      <c r="L45" s="18">
        <f>Matching_Engine!$AE$45</f>
      </c>
      <c r="M45" s="18">
        <f>Matching_Engine!$AM$45</f>
      </c>
      <c r="N45" s="18">
        <f>Matching_Engine!$AT$45</f>
      </c>
      <c r="O45" s="18">
        <f>Matching_Engine!$AX$45</f>
      </c>
      <c r="P45" s="29">
        <f>Matching_Engine!$AY$45</f>
      </c>
      <c r="Q45" s="11">
        <f>Matching_Engine!$AZ$45</f>
      </c>
      <c r="R45" s="11">
        <f>Matching_Engine!$BB$45</f>
      </c>
    </row>
    <row r="46" spans="1:18" x14ac:dyDescent="0.25">
      <c r="A46" s="11">
        <f>Matching_Engine!$B$46</f>
      </c>
      <c r="B46" s="11">
        <f>Matching_Engine!$D$46</f>
      </c>
      <c r="C46" s="11">
        <f>Matching_Engine!$E$46</f>
      </c>
      <c r="D46" s="11">
        <f>Matching_Engine!$G$46</f>
      </c>
      <c r="E46" s="18">
        <f>Matching_Engine!$O$46</f>
      </c>
      <c r="F46" s="18">
        <f>Matching_Engine!$P$46</f>
      </c>
      <c r="G46" s="18">
        <f>Matching_Engine!$Q$46</f>
      </c>
      <c r="H46" s="18">
        <f>Matching_Engine!$R$46</f>
      </c>
      <c r="I46" s="18">
        <f>Matching_Engine!$M$46</f>
      </c>
      <c r="J46" s="18">
        <f>Matching_Engine!$S$46</f>
      </c>
      <c r="K46" s="18">
        <f>Matching_Engine!$Y$46</f>
      </c>
      <c r="L46" s="18">
        <f>Matching_Engine!$AE$46</f>
      </c>
      <c r="M46" s="18">
        <f>Matching_Engine!$AM$46</f>
      </c>
      <c r="N46" s="18">
        <f>Matching_Engine!$AT$46</f>
      </c>
      <c r="O46" s="18">
        <f>Matching_Engine!$AX$46</f>
      </c>
      <c r="P46" s="29">
        <f>Matching_Engine!$AY$46</f>
      </c>
      <c r="Q46" s="11">
        <f>Matching_Engine!$AZ$46</f>
      </c>
      <c r="R46" s="11">
        <f>Matching_Engine!$BB$46</f>
      </c>
    </row>
    <row r="47" spans="1:18" x14ac:dyDescent="0.25">
      <c r="A47" s="11">
        <f>Matching_Engine!$B$47</f>
      </c>
      <c r="B47" s="11">
        <f>Matching_Engine!$D$47</f>
      </c>
      <c r="C47" s="11">
        <f>Matching_Engine!$E$47</f>
      </c>
      <c r="D47" s="11">
        <f>Matching_Engine!$G$47</f>
      </c>
      <c r="E47" s="18">
        <f>Matching_Engine!$O$47</f>
      </c>
      <c r="F47" s="18">
        <f>Matching_Engine!$P$47</f>
      </c>
      <c r="G47" s="18">
        <f>Matching_Engine!$Q$47</f>
      </c>
      <c r="H47" s="18">
        <f>Matching_Engine!$R$47</f>
      </c>
      <c r="I47" s="18">
        <f>Matching_Engine!$M$47</f>
      </c>
      <c r="J47" s="18">
        <f>Matching_Engine!$S$47</f>
      </c>
      <c r="K47" s="18">
        <f>Matching_Engine!$Y$47</f>
      </c>
      <c r="L47" s="18">
        <f>Matching_Engine!$AE$47</f>
      </c>
      <c r="M47" s="18">
        <f>Matching_Engine!$AM$47</f>
      </c>
      <c r="N47" s="18">
        <f>Matching_Engine!$AT$47</f>
      </c>
      <c r="O47" s="18">
        <f>Matching_Engine!$AX$47</f>
      </c>
      <c r="P47" s="29">
        <f>Matching_Engine!$AY$47</f>
      </c>
      <c r="Q47" s="11">
        <f>Matching_Engine!$AZ$47</f>
      </c>
      <c r="R47" s="11">
        <f>Matching_Engine!$BB$47</f>
      </c>
    </row>
    <row r="48" spans="1:18" x14ac:dyDescent="0.25">
      <c r="A48" s="11">
        <f>Matching_Engine!$B$48</f>
      </c>
      <c r="B48" s="11">
        <f>Matching_Engine!$D$48</f>
      </c>
      <c r="C48" s="11">
        <f>Matching_Engine!$E$48</f>
      </c>
      <c r="D48" s="11">
        <f>Matching_Engine!$G$48</f>
      </c>
      <c r="E48" s="18">
        <f>Matching_Engine!$O$48</f>
      </c>
      <c r="F48" s="18">
        <f>Matching_Engine!$P$48</f>
      </c>
      <c r="G48" s="18">
        <f>Matching_Engine!$Q$48</f>
      </c>
      <c r="H48" s="18">
        <f>Matching_Engine!$R$48</f>
      </c>
      <c r="I48" s="18">
        <f>Matching_Engine!$M$48</f>
      </c>
      <c r="J48" s="18">
        <f>Matching_Engine!$S$48</f>
      </c>
      <c r="K48" s="18">
        <f>Matching_Engine!$Y$48</f>
      </c>
      <c r="L48" s="18">
        <f>Matching_Engine!$AE$48</f>
      </c>
      <c r="M48" s="18">
        <f>Matching_Engine!$AM$48</f>
      </c>
      <c r="N48" s="18">
        <f>Matching_Engine!$AT$48</f>
      </c>
      <c r="O48" s="18">
        <f>Matching_Engine!$AX$48</f>
      </c>
      <c r="P48" s="29">
        <f>Matching_Engine!$AY$48</f>
      </c>
      <c r="Q48" s="11">
        <f>Matching_Engine!$AZ$48</f>
      </c>
      <c r="R48" s="11">
        <f>Matching_Engine!$BB$48</f>
      </c>
    </row>
    <row r="49" spans="1:18" x14ac:dyDescent="0.25">
      <c r="A49" s="11">
        <f>Matching_Engine!$B$49</f>
      </c>
      <c r="B49" s="11">
        <f>Matching_Engine!$D$49</f>
      </c>
      <c r="C49" s="11">
        <f>Matching_Engine!$E$49</f>
      </c>
      <c r="D49" s="11">
        <f>Matching_Engine!$G$49</f>
      </c>
      <c r="E49" s="18">
        <f>Matching_Engine!$O$49</f>
      </c>
      <c r="F49" s="18">
        <f>Matching_Engine!$P$49</f>
      </c>
      <c r="G49" s="18">
        <f>Matching_Engine!$Q$49</f>
      </c>
      <c r="H49" s="18">
        <f>Matching_Engine!$R$49</f>
      </c>
      <c r="I49" s="18">
        <f>Matching_Engine!$M$49</f>
      </c>
      <c r="J49" s="18">
        <f>Matching_Engine!$S$49</f>
      </c>
      <c r="K49" s="18">
        <f>Matching_Engine!$Y$49</f>
      </c>
      <c r="L49" s="18">
        <f>Matching_Engine!$AE$49</f>
      </c>
      <c r="M49" s="18">
        <f>Matching_Engine!$AM$49</f>
      </c>
      <c r="N49" s="18">
        <f>Matching_Engine!$AT$49</f>
      </c>
      <c r="O49" s="18">
        <f>Matching_Engine!$AX$49</f>
      </c>
      <c r="P49" s="29">
        <f>Matching_Engine!$AY$49</f>
      </c>
      <c r="Q49" s="11">
        <f>Matching_Engine!$AZ$49</f>
      </c>
      <c r="R49" s="11">
        <f>Matching_Engine!$BB$49</f>
      </c>
    </row>
    <row r="50" spans="1:18" x14ac:dyDescent="0.25">
      <c r="A50" s="11">
        <f>Matching_Engine!$B$50</f>
      </c>
      <c r="B50" s="11">
        <f>Matching_Engine!$D$50</f>
      </c>
      <c r="C50" s="11">
        <f>Matching_Engine!$E$50</f>
      </c>
      <c r="D50" s="11">
        <f>Matching_Engine!$G$50</f>
      </c>
      <c r="E50" s="18">
        <f>Matching_Engine!$O$50</f>
      </c>
      <c r="F50" s="18">
        <f>Matching_Engine!$P$50</f>
      </c>
      <c r="G50" s="18">
        <f>Matching_Engine!$Q$50</f>
      </c>
      <c r="H50" s="18">
        <f>Matching_Engine!$R$50</f>
      </c>
      <c r="I50" s="18">
        <f>Matching_Engine!$M$50</f>
      </c>
      <c r="J50" s="18">
        <f>Matching_Engine!$S$50</f>
      </c>
      <c r="K50" s="18">
        <f>Matching_Engine!$Y$50</f>
      </c>
      <c r="L50" s="18">
        <f>Matching_Engine!$AE$50</f>
      </c>
      <c r="M50" s="18">
        <f>Matching_Engine!$AM$50</f>
      </c>
      <c r="N50" s="18">
        <f>Matching_Engine!$AT$50</f>
      </c>
      <c r="O50" s="18">
        <f>Matching_Engine!$AX$50</f>
      </c>
      <c r="P50" s="29">
        <f>Matching_Engine!$AY$50</f>
      </c>
      <c r="Q50" s="11">
        <f>Matching_Engine!$AZ$50</f>
      </c>
      <c r="R50" s="11">
        <f>Matching_Engine!$BB$50</f>
      </c>
    </row>
    <row r="51" spans="1:18" x14ac:dyDescent="0.25">
      <c r="A51" s="11">
        <f>Matching_Engine!$B$51</f>
      </c>
      <c r="B51" s="11">
        <f>Matching_Engine!$D$51</f>
      </c>
      <c r="C51" s="11">
        <f>Matching_Engine!$E$51</f>
      </c>
      <c r="D51" s="11">
        <f>Matching_Engine!$G$51</f>
      </c>
      <c r="E51" s="18">
        <f>Matching_Engine!$O$51</f>
      </c>
      <c r="F51" s="18">
        <f>Matching_Engine!$P$51</f>
      </c>
      <c r="G51" s="18">
        <f>Matching_Engine!$Q$51</f>
      </c>
      <c r="H51" s="18">
        <f>Matching_Engine!$R$51</f>
      </c>
      <c r="I51" s="18">
        <f>Matching_Engine!$M$51</f>
      </c>
      <c r="J51" s="18">
        <f>Matching_Engine!$S$51</f>
      </c>
      <c r="K51" s="18">
        <f>Matching_Engine!$Y$51</f>
      </c>
      <c r="L51" s="18">
        <f>Matching_Engine!$AE$51</f>
      </c>
      <c r="M51" s="18">
        <f>Matching_Engine!$AM$51</f>
      </c>
      <c r="N51" s="18">
        <f>Matching_Engine!$AT$51</f>
      </c>
      <c r="O51" s="18">
        <f>Matching_Engine!$AX$51</f>
      </c>
      <c r="P51" s="29">
        <f>Matching_Engine!$AY$51</f>
      </c>
      <c r="Q51" s="11">
        <f>Matching_Engine!$AZ$51</f>
      </c>
      <c r="R51" s="11">
        <f>Matching_Engine!$BB$51</f>
      </c>
    </row>
    <row r="52" spans="1:18" x14ac:dyDescent="0.25">
      <c r="A52" s="11">
        <f>Matching_Engine!$B$52</f>
      </c>
      <c r="B52" s="11">
        <f>Matching_Engine!$D$52</f>
      </c>
      <c r="C52" s="11">
        <f>Matching_Engine!$E$52</f>
      </c>
      <c r="D52" s="11">
        <f>Matching_Engine!$G$52</f>
      </c>
      <c r="E52" s="18">
        <f>Matching_Engine!$O$52</f>
      </c>
      <c r="F52" s="18">
        <f>Matching_Engine!$P$52</f>
      </c>
      <c r="G52" s="18">
        <f>Matching_Engine!$Q$52</f>
      </c>
      <c r="H52" s="18">
        <f>Matching_Engine!$R$52</f>
      </c>
      <c r="I52" s="18">
        <f>Matching_Engine!$M$52</f>
      </c>
      <c r="J52" s="18">
        <f>Matching_Engine!$S$52</f>
      </c>
      <c r="K52" s="18">
        <f>Matching_Engine!$Y$52</f>
      </c>
      <c r="L52" s="18">
        <f>Matching_Engine!$AE$52</f>
      </c>
      <c r="M52" s="18">
        <f>Matching_Engine!$AM$52</f>
      </c>
      <c r="N52" s="18">
        <f>Matching_Engine!$AT$52</f>
      </c>
      <c r="O52" s="18">
        <f>Matching_Engine!$AX$52</f>
      </c>
      <c r="P52" s="29">
        <f>Matching_Engine!$AY$52</f>
      </c>
      <c r="Q52" s="11">
        <f>Matching_Engine!$AZ$52</f>
      </c>
      <c r="R52" s="11">
        <f>Matching_Engine!$BB$52</f>
      </c>
    </row>
    <row r="53" spans="1:18" x14ac:dyDescent="0.25">
      <c r="A53" s="11">
        <f>Matching_Engine!$B$53</f>
      </c>
      <c r="B53" s="11">
        <f>Matching_Engine!$D$53</f>
      </c>
      <c r="C53" s="11">
        <f>Matching_Engine!$E$53</f>
      </c>
      <c r="D53" s="11">
        <f>Matching_Engine!$G$53</f>
      </c>
      <c r="E53" s="18">
        <f>Matching_Engine!$O$53</f>
      </c>
      <c r="F53" s="18">
        <f>Matching_Engine!$P$53</f>
      </c>
      <c r="G53" s="18">
        <f>Matching_Engine!$Q$53</f>
      </c>
      <c r="H53" s="18">
        <f>Matching_Engine!$R$53</f>
      </c>
      <c r="I53" s="18">
        <f>Matching_Engine!$M$53</f>
      </c>
      <c r="J53" s="18">
        <f>Matching_Engine!$S$53</f>
      </c>
      <c r="K53" s="18">
        <f>Matching_Engine!$Y$53</f>
      </c>
      <c r="L53" s="18">
        <f>Matching_Engine!$AE$53</f>
      </c>
      <c r="M53" s="18">
        <f>Matching_Engine!$AM$53</f>
      </c>
      <c r="N53" s="18">
        <f>Matching_Engine!$AT$53</f>
      </c>
      <c r="O53" s="18">
        <f>Matching_Engine!$AX$53</f>
      </c>
      <c r="P53" s="29">
        <f>Matching_Engine!$AY$53</f>
      </c>
      <c r="Q53" s="11">
        <f>Matching_Engine!$AZ$53</f>
      </c>
      <c r="R53" s="11">
        <f>Matching_Engine!$BB$53</f>
      </c>
    </row>
    <row r="54" spans="1:18" x14ac:dyDescent="0.25">
      <c r="A54" s="11">
        <f>Matching_Engine!$B$54</f>
      </c>
      <c r="B54" s="11">
        <f>Matching_Engine!$D$54</f>
      </c>
      <c r="C54" s="11">
        <f>Matching_Engine!$E$54</f>
      </c>
      <c r="D54" s="11">
        <f>Matching_Engine!$G$54</f>
      </c>
      <c r="E54" s="18">
        <f>Matching_Engine!$O$54</f>
      </c>
      <c r="F54" s="18">
        <f>Matching_Engine!$P$54</f>
      </c>
      <c r="G54" s="18">
        <f>Matching_Engine!$Q$54</f>
      </c>
      <c r="H54" s="18">
        <f>Matching_Engine!$R$54</f>
      </c>
      <c r="I54" s="18">
        <f>Matching_Engine!$M$54</f>
      </c>
      <c r="J54" s="18">
        <f>Matching_Engine!$S$54</f>
      </c>
      <c r="K54" s="18">
        <f>Matching_Engine!$Y$54</f>
      </c>
      <c r="L54" s="18">
        <f>Matching_Engine!$AE$54</f>
      </c>
      <c r="M54" s="18">
        <f>Matching_Engine!$AM$54</f>
      </c>
      <c r="N54" s="18">
        <f>Matching_Engine!$AT$54</f>
      </c>
      <c r="O54" s="18">
        <f>Matching_Engine!$AX$54</f>
      </c>
      <c r="P54" s="29">
        <f>Matching_Engine!$AY$54</f>
      </c>
      <c r="Q54" s="11">
        <f>Matching_Engine!$AZ$54</f>
      </c>
      <c r="R54" s="11">
        <f>Matching_Engine!$BB$54</f>
      </c>
    </row>
    <row r="55" spans="1:18" x14ac:dyDescent="0.25">
      <c r="A55" s="11">
        <f>Matching_Engine!$B$55</f>
      </c>
      <c r="B55" s="11">
        <f>Matching_Engine!$D$55</f>
      </c>
      <c r="C55" s="11">
        <f>Matching_Engine!$E$55</f>
      </c>
      <c r="D55" s="11">
        <f>Matching_Engine!$G$55</f>
      </c>
      <c r="E55" s="18">
        <f>Matching_Engine!$O$55</f>
      </c>
      <c r="F55" s="18">
        <f>Matching_Engine!$P$55</f>
      </c>
      <c r="G55" s="18">
        <f>Matching_Engine!$Q$55</f>
      </c>
      <c r="H55" s="18">
        <f>Matching_Engine!$R$55</f>
      </c>
      <c r="I55" s="18">
        <f>Matching_Engine!$M$55</f>
      </c>
      <c r="J55" s="18">
        <f>Matching_Engine!$S$55</f>
      </c>
      <c r="K55" s="18">
        <f>Matching_Engine!$Y$55</f>
      </c>
      <c r="L55" s="18">
        <f>Matching_Engine!$AE$55</f>
      </c>
      <c r="M55" s="18">
        <f>Matching_Engine!$AM$55</f>
      </c>
      <c r="N55" s="18">
        <f>Matching_Engine!$AT$55</f>
      </c>
      <c r="O55" s="18">
        <f>Matching_Engine!$AX$55</f>
      </c>
      <c r="P55" s="29">
        <f>Matching_Engine!$AY$55</f>
      </c>
      <c r="Q55" s="11">
        <f>Matching_Engine!$AZ$55</f>
      </c>
      <c r="R55" s="11">
        <f>Matching_Engine!$BB$55</f>
      </c>
    </row>
    <row r="56" spans="1:18" x14ac:dyDescent="0.25">
      <c r="A56" s="11">
        <f>Matching_Engine!$B$56</f>
      </c>
      <c r="B56" s="11">
        <f>Matching_Engine!$D$56</f>
      </c>
      <c r="C56" s="11">
        <f>Matching_Engine!$E$56</f>
      </c>
      <c r="D56" s="11">
        <f>Matching_Engine!$G$56</f>
      </c>
      <c r="E56" s="18">
        <f>Matching_Engine!$O$56</f>
      </c>
      <c r="F56" s="18">
        <f>Matching_Engine!$P$56</f>
      </c>
      <c r="G56" s="18">
        <f>Matching_Engine!$Q$56</f>
      </c>
      <c r="H56" s="18">
        <f>Matching_Engine!$R$56</f>
      </c>
      <c r="I56" s="18">
        <f>Matching_Engine!$M$56</f>
      </c>
      <c r="J56" s="18">
        <f>Matching_Engine!$S$56</f>
      </c>
      <c r="K56" s="18">
        <f>Matching_Engine!$Y$56</f>
      </c>
      <c r="L56" s="18">
        <f>Matching_Engine!$AE$56</f>
      </c>
      <c r="M56" s="18">
        <f>Matching_Engine!$AM$56</f>
      </c>
      <c r="N56" s="18">
        <f>Matching_Engine!$AT$56</f>
      </c>
      <c r="O56" s="18">
        <f>Matching_Engine!$AX$56</f>
      </c>
      <c r="P56" s="29">
        <f>Matching_Engine!$AY$56</f>
      </c>
      <c r="Q56" s="11">
        <f>Matching_Engine!$AZ$56</f>
      </c>
      <c r="R56" s="11">
        <f>Matching_Engine!$BB$56</f>
      </c>
    </row>
    <row r="57" spans="1:18" x14ac:dyDescent="0.25">
      <c r="A57" s="11">
        <f>Matching_Engine!$B$57</f>
      </c>
      <c r="B57" s="11">
        <f>Matching_Engine!$D$57</f>
      </c>
      <c r="C57" s="11">
        <f>Matching_Engine!$E$57</f>
      </c>
      <c r="D57" s="11">
        <f>Matching_Engine!$G$57</f>
      </c>
      <c r="E57" s="18">
        <f>Matching_Engine!$O$57</f>
      </c>
      <c r="F57" s="18">
        <f>Matching_Engine!$P$57</f>
      </c>
      <c r="G57" s="18">
        <f>Matching_Engine!$Q$57</f>
      </c>
      <c r="H57" s="18">
        <f>Matching_Engine!$R$57</f>
      </c>
      <c r="I57" s="18">
        <f>Matching_Engine!$M$57</f>
      </c>
      <c r="J57" s="18">
        <f>Matching_Engine!$S$57</f>
      </c>
      <c r="K57" s="18">
        <f>Matching_Engine!$Y$57</f>
      </c>
      <c r="L57" s="18">
        <f>Matching_Engine!$AE$57</f>
      </c>
      <c r="M57" s="18">
        <f>Matching_Engine!$AM$57</f>
      </c>
      <c r="N57" s="18">
        <f>Matching_Engine!$AT$57</f>
      </c>
      <c r="O57" s="18">
        <f>Matching_Engine!$AX$57</f>
      </c>
      <c r="P57" s="29">
        <f>Matching_Engine!$AY$57</f>
      </c>
      <c r="Q57" s="11">
        <f>Matching_Engine!$AZ$57</f>
      </c>
      <c r="R57" s="11">
        <f>Matching_Engine!$BB$57</f>
      </c>
    </row>
    <row r="58" spans="1:18" x14ac:dyDescent="0.25">
      <c r="A58" s="11">
        <f>Matching_Engine!$B$58</f>
      </c>
      <c r="B58" s="11">
        <f>Matching_Engine!$D$58</f>
      </c>
      <c r="C58" s="11">
        <f>Matching_Engine!$E$58</f>
      </c>
      <c r="D58" s="11">
        <f>Matching_Engine!$G$58</f>
      </c>
      <c r="E58" s="18">
        <f>Matching_Engine!$O$58</f>
      </c>
      <c r="F58" s="18">
        <f>Matching_Engine!$P$58</f>
      </c>
      <c r="G58" s="18">
        <f>Matching_Engine!$Q$58</f>
      </c>
      <c r="H58" s="18">
        <f>Matching_Engine!$R$58</f>
      </c>
      <c r="I58" s="18">
        <f>Matching_Engine!$M$58</f>
      </c>
      <c r="J58" s="18">
        <f>Matching_Engine!$S$58</f>
      </c>
      <c r="K58" s="18">
        <f>Matching_Engine!$Y$58</f>
      </c>
      <c r="L58" s="18">
        <f>Matching_Engine!$AE$58</f>
      </c>
      <c r="M58" s="18">
        <f>Matching_Engine!$AM$58</f>
      </c>
      <c r="N58" s="18">
        <f>Matching_Engine!$AT$58</f>
      </c>
      <c r="O58" s="18">
        <f>Matching_Engine!$AX$58</f>
      </c>
      <c r="P58" s="29">
        <f>Matching_Engine!$AY$58</f>
      </c>
      <c r="Q58" s="11">
        <f>Matching_Engine!$AZ$58</f>
      </c>
      <c r="R58" s="11">
        <f>Matching_Engine!$BB$58</f>
      </c>
    </row>
    <row r="59" spans="1:18" x14ac:dyDescent="0.25">
      <c r="A59" s="11">
        <f>Matching_Engine!$B$59</f>
      </c>
      <c r="B59" s="11">
        <f>Matching_Engine!$D$59</f>
      </c>
      <c r="C59" s="11">
        <f>Matching_Engine!$E$59</f>
      </c>
      <c r="D59" s="11">
        <f>Matching_Engine!$G$59</f>
      </c>
      <c r="E59" s="18">
        <f>Matching_Engine!$O$59</f>
      </c>
      <c r="F59" s="18">
        <f>Matching_Engine!$P$59</f>
      </c>
      <c r="G59" s="18">
        <f>Matching_Engine!$Q$59</f>
      </c>
      <c r="H59" s="18">
        <f>Matching_Engine!$R$59</f>
      </c>
      <c r="I59" s="18">
        <f>Matching_Engine!$M$59</f>
      </c>
      <c r="J59" s="18">
        <f>Matching_Engine!$S$59</f>
      </c>
      <c r="K59" s="18">
        <f>Matching_Engine!$Y$59</f>
      </c>
      <c r="L59" s="18">
        <f>Matching_Engine!$AE$59</f>
      </c>
      <c r="M59" s="18">
        <f>Matching_Engine!$AM$59</f>
      </c>
      <c r="N59" s="18">
        <f>Matching_Engine!$AT$59</f>
      </c>
      <c r="O59" s="18">
        <f>Matching_Engine!$AX$59</f>
      </c>
      <c r="P59" s="29">
        <f>Matching_Engine!$AY$59</f>
      </c>
      <c r="Q59" s="11">
        <f>Matching_Engine!$AZ$59</f>
      </c>
      <c r="R59" s="11">
        <f>Matching_Engine!$BB$59</f>
      </c>
    </row>
    <row r="60" spans="1:18" x14ac:dyDescent="0.25">
      <c r="A60" s="11">
        <f>Matching_Engine!$B$60</f>
      </c>
      <c r="B60" s="11">
        <f>Matching_Engine!$D$60</f>
      </c>
      <c r="C60" s="11">
        <f>Matching_Engine!$E$60</f>
      </c>
      <c r="D60" s="11">
        <f>Matching_Engine!$G$60</f>
      </c>
      <c r="E60" s="18">
        <f>Matching_Engine!$O$60</f>
      </c>
      <c r="F60" s="18">
        <f>Matching_Engine!$P$60</f>
      </c>
      <c r="G60" s="18">
        <f>Matching_Engine!$Q$60</f>
      </c>
      <c r="H60" s="18">
        <f>Matching_Engine!$R$60</f>
      </c>
      <c r="I60" s="18">
        <f>Matching_Engine!$M$60</f>
      </c>
      <c r="J60" s="18">
        <f>Matching_Engine!$S$60</f>
      </c>
      <c r="K60" s="18">
        <f>Matching_Engine!$Y$60</f>
      </c>
      <c r="L60" s="18">
        <f>Matching_Engine!$AE$60</f>
      </c>
      <c r="M60" s="18">
        <f>Matching_Engine!$AM$60</f>
      </c>
      <c r="N60" s="18">
        <f>Matching_Engine!$AT$60</f>
      </c>
      <c r="O60" s="18">
        <f>Matching_Engine!$AX$60</f>
      </c>
      <c r="P60" s="29">
        <f>Matching_Engine!$AY$60</f>
      </c>
      <c r="Q60" s="11">
        <f>Matching_Engine!$AZ$60</f>
      </c>
      <c r="R60" s="11">
        <f>Matching_Engine!$BB$60</f>
      </c>
    </row>
    <row r="61" spans="1:18" x14ac:dyDescent="0.25">
      <c r="A61" s="11">
        <f>Matching_Engine!$B$61</f>
      </c>
      <c r="B61" s="11">
        <f>Matching_Engine!$D$61</f>
      </c>
      <c r="C61" s="11">
        <f>Matching_Engine!$E$61</f>
      </c>
      <c r="D61" s="11">
        <f>Matching_Engine!$G$61</f>
      </c>
      <c r="E61" s="18">
        <f>Matching_Engine!$O$61</f>
      </c>
      <c r="F61" s="18">
        <f>Matching_Engine!$P$61</f>
      </c>
      <c r="G61" s="18">
        <f>Matching_Engine!$Q$61</f>
      </c>
      <c r="H61" s="18">
        <f>Matching_Engine!$R$61</f>
      </c>
      <c r="I61" s="18">
        <f>Matching_Engine!$M$61</f>
      </c>
      <c r="J61" s="18">
        <f>Matching_Engine!$S$61</f>
      </c>
      <c r="K61" s="18">
        <f>Matching_Engine!$Y$61</f>
      </c>
      <c r="L61" s="18">
        <f>Matching_Engine!$AE$61</f>
      </c>
      <c r="M61" s="18">
        <f>Matching_Engine!$AM$61</f>
      </c>
      <c r="N61" s="18">
        <f>Matching_Engine!$AT$61</f>
      </c>
      <c r="O61" s="18">
        <f>Matching_Engine!$AX$61</f>
      </c>
      <c r="P61" s="29">
        <f>Matching_Engine!$AY$61</f>
      </c>
      <c r="Q61" s="11">
        <f>Matching_Engine!$AZ$61</f>
      </c>
      <c r="R61" s="11">
        <f>Matching_Engine!$BB$61</f>
      </c>
    </row>
    <row r="62" spans="1:18" x14ac:dyDescent="0.25">
      <c r="A62" s="11">
        <f>Matching_Engine!$B$62</f>
      </c>
      <c r="B62" s="11">
        <f>Matching_Engine!$D$62</f>
      </c>
      <c r="C62" s="11">
        <f>Matching_Engine!$E$62</f>
      </c>
      <c r="D62" s="11">
        <f>Matching_Engine!$G$62</f>
      </c>
      <c r="E62" s="18">
        <f>Matching_Engine!$O$62</f>
      </c>
      <c r="F62" s="18">
        <f>Matching_Engine!$P$62</f>
      </c>
      <c r="G62" s="18">
        <f>Matching_Engine!$Q$62</f>
      </c>
      <c r="H62" s="18">
        <f>Matching_Engine!$R$62</f>
      </c>
      <c r="I62" s="18">
        <f>Matching_Engine!$M$62</f>
      </c>
      <c r="J62" s="18">
        <f>Matching_Engine!$S$62</f>
      </c>
      <c r="K62" s="18">
        <f>Matching_Engine!$Y$62</f>
      </c>
      <c r="L62" s="18">
        <f>Matching_Engine!$AE$62</f>
      </c>
      <c r="M62" s="18">
        <f>Matching_Engine!$AM$62</f>
      </c>
      <c r="N62" s="18">
        <f>Matching_Engine!$AT$62</f>
      </c>
      <c r="O62" s="18">
        <f>Matching_Engine!$AX$62</f>
      </c>
      <c r="P62" s="29">
        <f>Matching_Engine!$AY$62</f>
      </c>
      <c r="Q62" s="11">
        <f>Matching_Engine!$AZ$62</f>
      </c>
      <c r="R62" s="11">
        <f>Matching_Engine!$BB$62</f>
      </c>
    </row>
    <row r="63" spans="1:18" x14ac:dyDescent="0.25">
      <c r="A63" s="11">
        <f>Matching_Engine!$B$63</f>
      </c>
      <c r="B63" s="11">
        <f>Matching_Engine!$D$63</f>
      </c>
      <c r="C63" s="11">
        <f>Matching_Engine!$E$63</f>
      </c>
      <c r="D63" s="11">
        <f>Matching_Engine!$G$63</f>
      </c>
      <c r="E63" s="18">
        <f>Matching_Engine!$O$63</f>
      </c>
      <c r="F63" s="18">
        <f>Matching_Engine!$P$63</f>
      </c>
      <c r="G63" s="18">
        <f>Matching_Engine!$Q$63</f>
      </c>
      <c r="H63" s="18">
        <f>Matching_Engine!$R$63</f>
      </c>
      <c r="I63" s="18">
        <f>Matching_Engine!$M$63</f>
      </c>
      <c r="J63" s="18">
        <f>Matching_Engine!$S$63</f>
      </c>
      <c r="K63" s="18">
        <f>Matching_Engine!$Y$63</f>
      </c>
      <c r="L63" s="18">
        <f>Matching_Engine!$AE$63</f>
      </c>
      <c r="M63" s="18">
        <f>Matching_Engine!$AM$63</f>
      </c>
      <c r="N63" s="18">
        <f>Matching_Engine!$AT$63</f>
      </c>
      <c r="O63" s="18">
        <f>Matching_Engine!$AX$63</f>
      </c>
      <c r="P63" s="29">
        <f>Matching_Engine!$AY$63</f>
      </c>
      <c r="Q63" s="11">
        <f>Matching_Engine!$AZ$63</f>
      </c>
      <c r="R63" s="11">
        <f>Matching_Engine!$BB$63</f>
      </c>
    </row>
    <row r="64" spans="1:18" x14ac:dyDescent="0.25">
      <c r="A64" s="11">
        <f>Matching_Engine!$B$64</f>
      </c>
      <c r="B64" s="11">
        <f>Matching_Engine!$D$64</f>
      </c>
      <c r="C64" s="11">
        <f>Matching_Engine!$E$64</f>
      </c>
      <c r="D64" s="11">
        <f>Matching_Engine!$G$64</f>
      </c>
      <c r="E64" s="18">
        <f>Matching_Engine!$O$64</f>
      </c>
      <c r="F64" s="18">
        <f>Matching_Engine!$P$64</f>
      </c>
      <c r="G64" s="18">
        <f>Matching_Engine!$Q$64</f>
      </c>
      <c r="H64" s="18">
        <f>Matching_Engine!$R$64</f>
      </c>
      <c r="I64" s="18">
        <f>Matching_Engine!$M$64</f>
      </c>
      <c r="J64" s="18">
        <f>Matching_Engine!$S$64</f>
      </c>
      <c r="K64" s="18">
        <f>Matching_Engine!$Y$64</f>
      </c>
      <c r="L64" s="18">
        <f>Matching_Engine!$AE$64</f>
      </c>
      <c r="M64" s="18">
        <f>Matching_Engine!$AM$64</f>
      </c>
      <c r="N64" s="18">
        <f>Matching_Engine!$AT$64</f>
      </c>
      <c r="O64" s="18">
        <f>Matching_Engine!$AX$64</f>
      </c>
      <c r="P64" s="29">
        <f>Matching_Engine!$AY$64</f>
      </c>
      <c r="Q64" s="11">
        <f>Matching_Engine!$AZ$64</f>
      </c>
      <c r="R64" s="11">
        <f>Matching_Engine!$BB$64</f>
      </c>
    </row>
    <row r="65" spans="1:18" x14ac:dyDescent="0.25">
      <c r="A65" s="11">
        <f>Matching_Engine!$B$65</f>
      </c>
      <c r="B65" s="11">
        <f>Matching_Engine!$D$65</f>
      </c>
      <c r="C65" s="11">
        <f>Matching_Engine!$E$65</f>
      </c>
      <c r="D65" s="11">
        <f>Matching_Engine!$G$65</f>
      </c>
      <c r="E65" s="18">
        <f>Matching_Engine!$O$65</f>
      </c>
      <c r="F65" s="18">
        <f>Matching_Engine!$P$65</f>
      </c>
      <c r="G65" s="18">
        <f>Matching_Engine!$Q$65</f>
      </c>
      <c r="H65" s="18">
        <f>Matching_Engine!$R$65</f>
      </c>
      <c r="I65" s="18">
        <f>Matching_Engine!$M$65</f>
      </c>
      <c r="J65" s="18">
        <f>Matching_Engine!$S$65</f>
      </c>
      <c r="K65" s="18">
        <f>Matching_Engine!$Y$65</f>
      </c>
      <c r="L65" s="18">
        <f>Matching_Engine!$AE$65</f>
      </c>
      <c r="M65" s="18">
        <f>Matching_Engine!$AM$65</f>
      </c>
      <c r="N65" s="18">
        <f>Matching_Engine!$AT$65</f>
      </c>
      <c r="O65" s="18">
        <f>Matching_Engine!$AX$65</f>
      </c>
      <c r="P65" s="29">
        <f>Matching_Engine!$AY$65</f>
      </c>
      <c r="Q65" s="11">
        <f>Matching_Engine!$AZ$65</f>
      </c>
      <c r="R65" s="11">
        <f>Matching_Engine!$BB$65</f>
      </c>
    </row>
    <row r="66" spans="1:18" x14ac:dyDescent="0.25">
      <c r="A66" s="11">
        <f>Matching_Engine!$B$66</f>
      </c>
      <c r="B66" s="11">
        <f>Matching_Engine!$D$66</f>
      </c>
      <c r="C66" s="11">
        <f>Matching_Engine!$E$66</f>
      </c>
      <c r="D66" s="11">
        <f>Matching_Engine!$G$66</f>
      </c>
      <c r="E66" s="18">
        <f>Matching_Engine!$O$66</f>
      </c>
      <c r="F66" s="18">
        <f>Matching_Engine!$P$66</f>
      </c>
      <c r="G66" s="18">
        <f>Matching_Engine!$Q$66</f>
      </c>
      <c r="H66" s="18">
        <f>Matching_Engine!$R$66</f>
      </c>
      <c r="I66" s="18">
        <f>Matching_Engine!$M$66</f>
      </c>
      <c r="J66" s="18">
        <f>Matching_Engine!$S$66</f>
      </c>
      <c r="K66" s="18">
        <f>Matching_Engine!$Y$66</f>
      </c>
      <c r="L66" s="18">
        <f>Matching_Engine!$AE$66</f>
      </c>
      <c r="M66" s="18">
        <f>Matching_Engine!$AM$66</f>
      </c>
      <c r="N66" s="18">
        <f>Matching_Engine!$AT$66</f>
      </c>
      <c r="O66" s="18">
        <f>Matching_Engine!$AX$66</f>
      </c>
      <c r="P66" s="29">
        <f>Matching_Engine!$AY$66</f>
      </c>
      <c r="Q66" s="11">
        <f>Matching_Engine!$AZ$66</f>
      </c>
      <c r="R66" s="11">
        <f>Matching_Engine!$BB$66</f>
      </c>
    </row>
    <row r="67" spans="1:18" x14ac:dyDescent="0.25">
      <c r="A67" s="11">
        <f>Matching_Engine!$B$67</f>
      </c>
      <c r="B67" s="11">
        <f>Matching_Engine!$D$67</f>
      </c>
      <c r="C67" s="11">
        <f>Matching_Engine!$E$67</f>
      </c>
      <c r="D67" s="11">
        <f>Matching_Engine!$G$67</f>
      </c>
      <c r="E67" s="18">
        <f>Matching_Engine!$O$67</f>
      </c>
      <c r="F67" s="18">
        <f>Matching_Engine!$P$67</f>
      </c>
      <c r="G67" s="18">
        <f>Matching_Engine!$Q$67</f>
      </c>
      <c r="H67" s="18">
        <f>Matching_Engine!$R$67</f>
      </c>
      <c r="I67" s="18">
        <f>Matching_Engine!$M$67</f>
      </c>
      <c r="J67" s="18">
        <f>Matching_Engine!$S$67</f>
      </c>
      <c r="K67" s="18">
        <f>Matching_Engine!$Y$67</f>
      </c>
      <c r="L67" s="18">
        <f>Matching_Engine!$AE$67</f>
      </c>
      <c r="M67" s="18">
        <f>Matching_Engine!$AM$67</f>
      </c>
      <c r="N67" s="18">
        <f>Matching_Engine!$AT$67</f>
      </c>
      <c r="O67" s="18">
        <f>Matching_Engine!$AX$67</f>
      </c>
      <c r="P67" s="29">
        <f>Matching_Engine!$AY$67</f>
      </c>
      <c r="Q67" s="11">
        <f>Matching_Engine!$AZ$67</f>
      </c>
      <c r="R67" s="11">
        <f>Matching_Engine!$BB$67</f>
      </c>
    </row>
    <row r="68" spans="1:18" x14ac:dyDescent="0.25">
      <c r="A68" s="11">
        <f>Matching_Engine!$B$68</f>
      </c>
      <c r="B68" s="11">
        <f>Matching_Engine!$D$68</f>
      </c>
      <c r="C68" s="11">
        <f>Matching_Engine!$E$68</f>
      </c>
      <c r="D68" s="11">
        <f>Matching_Engine!$G$68</f>
      </c>
      <c r="E68" s="18">
        <f>Matching_Engine!$O$68</f>
      </c>
      <c r="F68" s="18">
        <f>Matching_Engine!$P$68</f>
      </c>
      <c r="G68" s="18">
        <f>Matching_Engine!$Q$68</f>
      </c>
      <c r="H68" s="18">
        <f>Matching_Engine!$R$68</f>
      </c>
      <c r="I68" s="18">
        <f>Matching_Engine!$M$68</f>
      </c>
      <c r="J68" s="18">
        <f>Matching_Engine!$S$68</f>
      </c>
      <c r="K68" s="18">
        <f>Matching_Engine!$Y$68</f>
      </c>
      <c r="L68" s="18">
        <f>Matching_Engine!$AE$68</f>
      </c>
      <c r="M68" s="18">
        <f>Matching_Engine!$AM$68</f>
      </c>
      <c r="N68" s="18">
        <f>Matching_Engine!$AT$68</f>
      </c>
      <c r="O68" s="18">
        <f>Matching_Engine!$AX$68</f>
      </c>
      <c r="P68" s="29">
        <f>Matching_Engine!$AY$68</f>
      </c>
      <c r="Q68" s="11">
        <f>Matching_Engine!$AZ$68</f>
      </c>
      <c r="R68" s="11">
        <f>Matching_Engine!$BB$68</f>
      </c>
    </row>
    <row r="69" spans="1:18" x14ac:dyDescent="0.25">
      <c r="A69" s="11">
        <f>Matching_Engine!$B$69</f>
      </c>
      <c r="B69" s="11">
        <f>Matching_Engine!$D$69</f>
      </c>
      <c r="C69" s="11">
        <f>Matching_Engine!$E$69</f>
      </c>
      <c r="D69" s="11">
        <f>Matching_Engine!$G$69</f>
      </c>
      <c r="E69" s="18">
        <f>Matching_Engine!$O$69</f>
      </c>
      <c r="F69" s="18">
        <f>Matching_Engine!$P$69</f>
      </c>
      <c r="G69" s="18">
        <f>Matching_Engine!$Q$69</f>
      </c>
      <c r="H69" s="18">
        <f>Matching_Engine!$R$69</f>
      </c>
      <c r="I69" s="18">
        <f>Matching_Engine!$M$69</f>
      </c>
      <c r="J69" s="18">
        <f>Matching_Engine!$S$69</f>
      </c>
      <c r="K69" s="18">
        <f>Matching_Engine!$Y$69</f>
      </c>
      <c r="L69" s="18">
        <f>Matching_Engine!$AE$69</f>
      </c>
      <c r="M69" s="18">
        <f>Matching_Engine!$AM$69</f>
      </c>
      <c r="N69" s="18">
        <f>Matching_Engine!$AT$69</f>
      </c>
      <c r="O69" s="18">
        <f>Matching_Engine!$AX$69</f>
      </c>
      <c r="P69" s="29">
        <f>Matching_Engine!$AY$69</f>
      </c>
      <c r="Q69" s="11">
        <f>Matching_Engine!$AZ$69</f>
      </c>
      <c r="R69" s="11">
        <f>Matching_Engine!$BB$69</f>
      </c>
    </row>
    <row r="70" spans="1:18" x14ac:dyDescent="0.25">
      <c r="A70" s="11">
        <f>Matching_Engine!$B$70</f>
      </c>
      <c r="B70" s="11">
        <f>Matching_Engine!$D$70</f>
      </c>
      <c r="C70" s="11">
        <f>Matching_Engine!$E$70</f>
      </c>
      <c r="D70" s="11">
        <f>Matching_Engine!$G$70</f>
      </c>
      <c r="E70" s="18">
        <f>Matching_Engine!$O$70</f>
      </c>
      <c r="F70" s="18">
        <f>Matching_Engine!$P$70</f>
      </c>
      <c r="G70" s="18">
        <f>Matching_Engine!$Q$70</f>
      </c>
      <c r="H70" s="18">
        <f>Matching_Engine!$R$70</f>
      </c>
      <c r="I70" s="18">
        <f>Matching_Engine!$M$70</f>
      </c>
      <c r="J70" s="18">
        <f>Matching_Engine!$S$70</f>
      </c>
      <c r="K70" s="18">
        <f>Matching_Engine!$Y$70</f>
      </c>
      <c r="L70" s="18">
        <f>Matching_Engine!$AE$70</f>
      </c>
      <c r="M70" s="18">
        <f>Matching_Engine!$AM$70</f>
      </c>
      <c r="N70" s="18">
        <f>Matching_Engine!$AT$70</f>
      </c>
      <c r="O70" s="18">
        <f>Matching_Engine!$AX$70</f>
      </c>
      <c r="P70" s="29">
        <f>Matching_Engine!$AY$70</f>
      </c>
      <c r="Q70" s="11">
        <f>Matching_Engine!$AZ$70</f>
      </c>
      <c r="R70" s="11">
        <f>Matching_Engine!$BB$70</f>
      </c>
    </row>
    <row r="71" spans="1:18" x14ac:dyDescent="0.25">
      <c r="A71" s="11">
        <f>Matching_Engine!$B$71</f>
      </c>
      <c r="B71" s="11">
        <f>Matching_Engine!$D$71</f>
      </c>
      <c r="C71" s="11">
        <f>Matching_Engine!$E$71</f>
      </c>
      <c r="D71" s="11">
        <f>Matching_Engine!$G$71</f>
      </c>
      <c r="E71" s="18">
        <f>Matching_Engine!$O$71</f>
      </c>
      <c r="F71" s="18">
        <f>Matching_Engine!$P$71</f>
      </c>
      <c r="G71" s="18">
        <f>Matching_Engine!$Q$71</f>
      </c>
      <c r="H71" s="18">
        <f>Matching_Engine!$R$71</f>
      </c>
      <c r="I71" s="18">
        <f>Matching_Engine!$M$71</f>
      </c>
      <c r="J71" s="18">
        <f>Matching_Engine!$S$71</f>
      </c>
      <c r="K71" s="18">
        <f>Matching_Engine!$Y$71</f>
      </c>
      <c r="L71" s="18">
        <f>Matching_Engine!$AE$71</f>
      </c>
      <c r="M71" s="18">
        <f>Matching_Engine!$AM$71</f>
      </c>
      <c r="N71" s="18">
        <f>Matching_Engine!$AT$71</f>
      </c>
      <c r="O71" s="18">
        <f>Matching_Engine!$AX$71</f>
      </c>
      <c r="P71" s="29">
        <f>Matching_Engine!$AY$71</f>
      </c>
      <c r="Q71" s="11">
        <f>Matching_Engine!$AZ$71</f>
      </c>
      <c r="R71" s="11">
        <f>Matching_Engine!$BB$71</f>
      </c>
    </row>
    <row r="72" spans="1:18" x14ac:dyDescent="0.25">
      <c r="A72" s="11">
        <f>Matching_Engine!$B$72</f>
      </c>
      <c r="B72" s="11">
        <f>Matching_Engine!$D$72</f>
      </c>
      <c r="C72" s="11">
        <f>Matching_Engine!$E$72</f>
      </c>
      <c r="D72" s="11">
        <f>Matching_Engine!$G$72</f>
      </c>
      <c r="E72" s="18">
        <f>Matching_Engine!$O$72</f>
      </c>
      <c r="F72" s="18">
        <f>Matching_Engine!$P$72</f>
      </c>
      <c r="G72" s="18">
        <f>Matching_Engine!$Q$72</f>
      </c>
      <c r="H72" s="18">
        <f>Matching_Engine!$R$72</f>
      </c>
      <c r="I72" s="18">
        <f>Matching_Engine!$M$72</f>
      </c>
      <c r="J72" s="18">
        <f>Matching_Engine!$S$72</f>
      </c>
      <c r="K72" s="18">
        <f>Matching_Engine!$Y$72</f>
      </c>
      <c r="L72" s="18">
        <f>Matching_Engine!$AE$72</f>
      </c>
      <c r="M72" s="18">
        <f>Matching_Engine!$AM$72</f>
      </c>
      <c r="N72" s="18">
        <f>Matching_Engine!$AT$72</f>
      </c>
      <c r="O72" s="18">
        <f>Matching_Engine!$AX$72</f>
      </c>
      <c r="P72" s="29">
        <f>Matching_Engine!$AY$72</f>
      </c>
      <c r="Q72" s="11">
        <f>Matching_Engine!$AZ$72</f>
      </c>
      <c r="R72" s="11">
        <f>Matching_Engine!$BB$72</f>
      </c>
    </row>
    <row r="73" spans="1:18" x14ac:dyDescent="0.25">
      <c r="A73" s="11">
        <f>Matching_Engine!$B$73</f>
      </c>
      <c r="B73" s="11">
        <f>Matching_Engine!$D$73</f>
      </c>
      <c r="C73" s="11">
        <f>Matching_Engine!$E$73</f>
      </c>
      <c r="D73" s="11">
        <f>Matching_Engine!$G$73</f>
      </c>
      <c r="E73" s="18">
        <f>Matching_Engine!$O$73</f>
      </c>
      <c r="F73" s="18">
        <f>Matching_Engine!$P$73</f>
      </c>
      <c r="G73" s="18">
        <f>Matching_Engine!$Q$73</f>
      </c>
      <c r="H73" s="18">
        <f>Matching_Engine!$R$73</f>
      </c>
      <c r="I73" s="18">
        <f>Matching_Engine!$M$73</f>
      </c>
      <c r="J73" s="18">
        <f>Matching_Engine!$S$73</f>
      </c>
      <c r="K73" s="18">
        <f>Matching_Engine!$Y$73</f>
      </c>
      <c r="L73" s="18">
        <f>Matching_Engine!$AE$73</f>
      </c>
      <c r="M73" s="18">
        <f>Matching_Engine!$AM$73</f>
      </c>
      <c r="N73" s="18">
        <f>Matching_Engine!$AT$73</f>
      </c>
      <c r="O73" s="18">
        <f>Matching_Engine!$AX$73</f>
      </c>
      <c r="P73" s="29">
        <f>Matching_Engine!$AY$73</f>
      </c>
      <c r="Q73" s="11">
        <f>Matching_Engine!$AZ$73</f>
      </c>
      <c r="R73" s="11">
        <f>Matching_Engine!$BB$73</f>
      </c>
    </row>
    <row r="74" spans="1:18" x14ac:dyDescent="0.25">
      <c r="A74" s="11">
        <f>Matching_Engine!$B$74</f>
      </c>
      <c r="B74" s="11">
        <f>Matching_Engine!$D$74</f>
      </c>
      <c r="C74" s="11">
        <f>Matching_Engine!$E$74</f>
      </c>
      <c r="D74" s="11">
        <f>Matching_Engine!$G$74</f>
      </c>
      <c r="E74" s="18">
        <f>Matching_Engine!$O$74</f>
      </c>
      <c r="F74" s="18">
        <f>Matching_Engine!$P$74</f>
      </c>
      <c r="G74" s="18">
        <f>Matching_Engine!$Q$74</f>
      </c>
      <c r="H74" s="18">
        <f>Matching_Engine!$R$74</f>
      </c>
      <c r="I74" s="18">
        <f>Matching_Engine!$M$74</f>
      </c>
      <c r="J74" s="18">
        <f>Matching_Engine!$S$74</f>
      </c>
      <c r="K74" s="18">
        <f>Matching_Engine!$Y$74</f>
      </c>
      <c r="L74" s="18">
        <f>Matching_Engine!$AE$74</f>
      </c>
      <c r="M74" s="18">
        <f>Matching_Engine!$AM$74</f>
      </c>
      <c r="N74" s="18">
        <f>Matching_Engine!$AT$74</f>
      </c>
      <c r="O74" s="18">
        <f>Matching_Engine!$AX$74</f>
      </c>
      <c r="P74" s="29">
        <f>Matching_Engine!$AY$74</f>
      </c>
      <c r="Q74" s="11">
        <f>Matching_Engine!$AZ$74</f>
      </c>
      <c r="R74" s="11">
        <f>Matching_Engine!$BB$74</f>
      </c>
    </row>
    <row r="75" spans="1:18" x14ac:dyDescent="0.25">
      <c r="A75" s="11">
        <f>Matching_Engine!$B$75</f>
      </c>
      <c r="B75" s="11">
        <f>Matching_Engine!$D$75</f>
      </c>
      <c r="C75" s="11">
        <f>Matching_Engine!$E$75</f>
      </c>
      <c r="D75" s="11">
        <f>Matching_Engine!$G$75</f>
      </c>
      <c r="E75" s="18">
        <f>Matching_Engine!$O$75</f>
      </c>
      <c r="F75" s="18">
        <f>Matching_Engine!$P$75</f>
      </c>
      <c r="G75" s="18">
        <f>Matching_Engine!$Q$75</f>
      </c>
      <c r="H75" s="18">
        <f>Matching_Engine!$R$75</f>
      </c>
      <c r="I75" s="18">
        <f>Matching_Engine!$M$75</f>
      </c>
      <c r="J75" s="18">
        <f>Matching_Engine!$S$75</f>
      </c>
      <c r="K75" s="18">
        <f>Matching_Engine!$Y$75</f>
      </c>
      <c r="L75" s="18">
        <f>Matching_Engine!$AE$75</f>
      </c>
      <c r="M75" s="18">
        <f>Matching_Engine!$AM$75</f>
      </c>
      <c r="N75" s="18">
        <f>Matching_Engine!$AT$75</f>
      </c>
      <c r="O75" s="18">
        <f>Matching_Engine!$AX$75</f>
      </c>
      <c r="P75" s="29">
        <f>Matching_Engine!$AY$75</f>
      </c>
      <c r="Q75" s="11">
        <f>Matching_Engine!$AZ$75</f>
      </c>
      <c r="R75" s="11">
        <f>Matching_Engine!$BB$75</f>
      </c>
    </row>
    <row r="76" spans="1:18" x14ac:dyDescent="0.25">
      <c r="A76" s="11">
        <f>Matching_Engine!$B$76</f>
      </c>
      <c r="B76" s="11">
        <f>Matching_Engine!$D$76</f>
      </c>
      <c r="C76" s="11">
        <f>Matching_Engine!$E$76</f>
      </c>
      <c r="D76" s="11">
        <f>Matching_Engine!$G$76</f>
      </c>
      <c r="E76" s="18">
        <f>Matching_Engine!$O$76</f>
      </c>
      <c r="F76" s="18">
        <f>Matching_Engine!$P$76</f>
      </c>
      <c r="G76" s="18">
        <f>Matching_Engine!$Q$76</f>
      </c>
      <c r="H76" s="18">
        <f>Matching_Engine!$R$76</f>
      </c>
      <c r="I76" s="18">
        <f>Matching_Engine!$M$76</f>
      </c>
      <c r="J76" s="18">
        <f>Matching_Engine!$S$76</f>
      </c>
      <c r="K76" s="18">
        <f>Matching_Engine!$Y$76</f>
      </c>
      <c r="L76" s="18">
        <f>Matching_Engine!$AE$76</f>
      </c>
      <c r="M76" s="18">
        <f>Matching_Engine!$AM$76</f>
      </c>
      <c r="N76" s="18">
        <f>Matching_Engine!$AT$76</f>
      </c>
      <c r="O76" s="18">
        <f>Matching_Engine!$AX$76</f>
      </c>
      <c r="P76" s="29">
        <f>Matching_Engine!$AY$76</f>
      </c>
      <c r="Q76" s="11">
        <f>Matching_Engine!$AZ$76</f>
      </c>
      <c r="R76" s="11">
        <f>Matching_Engine!$BB$76</f>
      </c>
    </row>
    <row r="77" spans="1:18" x14ac:dyDescent="0.25">
      <c r="A77" s="11">
        <f>Matching_Engine!$B$77</f>
      </c>
      <c r="B77" s="11">
        <f>Matching_Engine!$D$77</f>
      </c>
      <c r="C77" s="11">
        <f>Matching_Engine!$E$77</f>
      </c>
      <c r="D77" s="11">
        <f>Matching_Engine!$G$77</f>
      </c>
      <c r="E77" s="18">
        <f>Matching_Engine!$O$77</f>
      </c>
      <c r="F77" s="18">
        <f>Matching_Engine!$P$77</f>
      </c>
      <c r="G77" s="18">
        <f>Matching_Engine!$Q$77</f>
      </c>
      <c r="H77" s="18">
        <f>Matching_Engine!$R$77</f>
      </c>
      <c r="I77" s="18">
        <f>Matching_Engine!$M$77</f>
      </c>
      <c r="J77" s="18">
        <f>Matching_Engine!$S$77</f>
      </c>
      <c r="K77" s="18">
        <f>Matching_Engine!$Y$77</f>
      </c>
      <c r="L77" s="18">
        <f>Matching_Engine!$AE$77</f>
      </c>
      <c r="M77" s="18">
        <f>Matching_Engine!$AM$77</f>
      </c>
      <c r="N77" s="18">
        <f>Matching_Engine!$AT$77</f>
      </c>
      <c r="O77" s="18">
        <f>Matching_Engine!$AX$77</f>
      </c>
      <c r="P77" s="29">
        <f>Matching_Engine!$AY$77</f>
      </c>
      <c r="Q77" s="11">
        <f>Matching_Engine!$AZ$77</f>
      </c>
      <c r="R77" s="11">
        <f>Matching_Engine!$BB$77</f>
      </c>
    </row>
    <row r="78" spans="1:18" x14ac:dyDescent="0.25">
      <c r="A78" s="11">
        <f>Matching_Engine!$B$78</f>
      </c>
      <c r="B78" s="11">
        <f>Matching_Engine!$D$78</f>
      </c>
      <c r="C78" s="11">
        <f>Matching_Engine!$E$78</f>
      </c>
      <c r="D78" s="11">
        <f>Matching_Engine!$G$78</f>
      </c>
      <c r="E78" s="18">
        <f>Matching_Engine!$O$78</f>
      </c>
      <c r="F78" s="18">
        <f>Matching_Engine!$P$78</f>
      </c>
      <c r="G78" s="18">
        <f>Matching_Engine!$Q$78</f>
      </c>
      <c r="H78" s="18">
        <f>Matching_Engine!$R$78</f>
      </c>
      <c r="I78" s="18">
        <f>Matching_Engine!$M$78</f>
      </c>
      <c r="J78" s="18">
        <f>Matching_Engine!$S$78</f>
      </c>
      <c r="K78" s="18">
        <f>Matching_Engine!$Y$78</f>
      </c>
      <c r="L78" s="18">
        <f>Matching_Engine!$AE$78</f>
      </c>
      <c r="M78" s="18">
        <f>Matching_Engine!$AM$78</f>
      </c>
      <c r="N78" s="18">
        <f>Matching_Engine!$AT$78</f>
      </c>
      <c r="O78" s="18">
        <f>Matching_Engine!$AX$78</f>
      </c>
      <c r="P78" s="29">
        <f>Matching_Engine!$AY$78</f>
      </c>
      <c r="Q78" s="11">
        <f>Matching_Engine!$AZ$78</f>
      </c>
      <c r="R78" s="11">
        <f>Matching_Engine!$BB$78</f>
      </c>
    </row>
    <row r="79" spans="1:18" x14ac:dyDescent="0.25">
      <c r="A79" s="11">
        <f>Matching_Engine!$B$79</f>
      </c>
      <c r="B79" s="11">
        <f>Matching_Engine!$D$79</f>
      </c>
      <c r="C79" s="11">
        <f>Matching_Engine!$E$79</f>
      </c>
      <c r="D79" s="11">
        <f>Matching_Engine!$G$79</f>
      </c>
      <c r="E79" s="18">
        <f>Matching_Engine!$O$79</f>
      </c>
      <c r="F79" s="18">
        <f>Matching_Engine!$P$79</f>
      </c>
      <c r="G79" s="18">
        <f>Matching_Engine!$Q$79</f>
      </c>
      <c r="H79" s="18">
        <f>Matching_Engine!$R$79</f>
      </c>
      <c r="I79" s="18">
        <f>Matching_Engine!$M$79</f>
      </c>
      <c r="J79" s="18">
        <f>Matching_Engine!$S$79</f>
      </c>
      <c r="K79" s="18">
        <f>Matching_Engine!$Y$79</f>
      </c>
      <c r="L79" s="18">
        <f>Matching_Engine!$AE$79</f>
      </c>
      <c r="M79" s="18">
        <f>Matching_Engine!$AM$79</f>
      </c>
      <c r="N79" s="18">
        <f>Matching_Engine!$AT$79</f>
      </c>
      <c r="O79" s="18">
        <f>Matching_Engine!$AX$79</f>
      </c>
      <c r="P79" s="29">
        <f>Matching_Engine!$AY$79</f>
      </c>
      <c r="Q79" s="11">
        <f>Matching_Engine!$AZ$79</f>
      </c>
      <c r="R79" s="11">
        <f>Matching_Engine!$BB$79</f>
      </c>
    </row>
    <row r="80" spans="1:18" x14ac:dyDescent="0.25">
      <c r="A80" s="11">
        <f>Matching_Engine!$B$80</f>
      </c>
      <c r="B80" s="11">
        <f>Matching_Engine!$D$80</f>
      </c>
      <c r="C80" s="11">
        <f>Matching_Engine!$E$80</f>
      </c>
      <c r="D80" s="11">
        <f>Matching_Engine!$G$80</f>
      </c>
      <c r="E80" s="18">
        <f>Matching_Engine!$O$80</f>
      </c>
      <c r="F80" s="18">
        <f>Matching_Engine!$P$80</f>
      </c>
      <c r="G80" s="18">
        <f>Matching_Engine!$Q$80</f>
      </c>
      <c r="H80" s="18">
        <f>Matching_Engine!$R$80</f>
      </c>
      <c r="I80" s="18">
        <f>Matching_Engine!$M$80</f>
      </c>
      <c r="J80" s="18">
        <f>Matching_Engine!$S$80</f>
      </c>
      <c r="K80" s="18">
        <f>Matching_Engine!$Y$80</f>
      </c>
      <c r="L80" s="18">
        <f>Matching_Engine!$AE$80</f>
      </c>
      <c r="M80" s="18">
        <f>Matching_Engine!$AM$80</f>
      </c>
      <c r="N80" s="18">
        <f>Matching_Engine!$AT$80</f>
      </c>
      <c r="O80" s="18">
        <f>Matching_Engine!$AX$80</f>
      </c>
      <c r="P80" s="29">
        <f>Matching_Engine!$AY$80</f>
      </c>
      <c r="Q80" s="11">
        <f>Matching_Engine!$AZ$80</f>
      </c>
      <c r="R80" s="11">
        <f>Matching_Engine!$BB$80</f>
      </c>
    </row>
    <row r="81" spans="1:18" x14ac:dyDescent="0.25">
      <c r="A81" s="11">
        <f>Matching_Engine!$B$81</f>
      </c>
      <c r="B81" s="11">
        <f>Matching_Engine!$D$81</f>
      </c>
      <c r="C81" s="11">
        <f>Matching_Engine!$E$81</f>
      </c>
      <c r="D81" s="11">
        <f>Matching_Engine!$G$81</f>
      </c>
      <c r="E81" s="18">
        <f>Matching_Engine!$O$81</f>
      </c>
      <c r="F81" s="18">
        <f>Matching_Engine!$P$81</f>
      </c>
      <c r="G81" s="18">
        <f>Matching_Engine!$Q$81</f>
      </c>
      <c r="H81" s="18">
        <f>Matching_Engine!$R$81</f>
      </c>
      <c r="I81" s="18">
        <f>Matching_Engine!$M$81</f>
      </c>
      <c r="J81" s="18">
        <f>Matching_Engine!$S$81</f>
      </c>
      <c r="K81" s="18">
        <f>Matching_Engine!$Y$81</f>
      </c>
      <c r="L81" s="18">
        <f>Matching_Engine!$AE$81</f>
      </c>
      <c r="M81" s="18">
        <f>Matching_Engine!$AM$81</f>
      </c>
      <c r="N81" s="18">
        <f>Matching_Engine!$AT$81</f>
      </c>
      <c r="O81" s="18">
        <f>Matching_Engine!$AX$81</f>
      </c>
      <c r="P81" s="29">
        <f>Matching_Engine!$AY$81</f>
      </c>
      <c r="Q81" s="11">
        <f>Matching_Engine!$AZ$81</f>
      </c>
      <c r="R81" s="11">
        <f>Matching_Engine!$BB$81</f>
      </c>
    </row>
    <row r="82" spans="1:18" x14ac:dyDescent="0.25">
      <c r="A82" s="11">
        <f>Matching_Engine!$B$82</f>
      </c>
      <c r="B82" s="11">
        <f>Matching_Engine!$D$82</f>
      </c>
      <c r="C82" s="11">
        <f>Matching_Engine!$E$82</f>
      </c>
      <c r="D82" s="11">
        <f>Matching_Engine!$G$82</f>
      </c>
      <c r="E82" s="18">
        <f>Matching_Engine!$O$82</f>
      </c>
      <c r="F82" s="18">
        <f>Matching_Engine!$P$82</f>
      </c>
      <c r="G82" s="18">
        <f>Matching_Engine!$Q$82</f>
      </c>
      <c r="H82" s="18">
        <f>Matching_Engine!$R$82</f>
      </c>
      <c r="I82" s="18">
        <f>Matching_Engine!$M$82</f>
      </c>
      <c r="J82" s="18">
        <f>Matching_Engine!$S$82</f>
      </c>
      <c r="K82" s="18">
        <f>Matching_Engine!$Y$82</f>
      </c>
      <c r="L82" s="18">
        <f>Matching_Engine!$AE$82</f>
      </c>
      <c r="M82" s="18">
        <f>Matching_Engine!$AM$82</f>
      </c>
      <c r="N82" s="18">
        <f>Matching_Engine!$AT$82</f>
      </c>
      <c r="O82" s="18">
        <f>Matching_Engine!$AX$82</f>
      </c>
      <c r="P82" s="29">
        <f>Matching_Engine!$AY$82</f>
      </c>
      <c r="Q82" s="11">
        <f>Matching_Engine!$AZ$82</f>
      </c>
      <c r="R82" s="11">
        <f>Matching_Engine!$BB$82</f>
      </c>
    </row>
    <row r="83" spans="1:18" x14ac:dyDescent="0.25">
      <c r="A83" s="11">
        <f>Matching_Engine!$B$83</f>
      </c>
      <c r="B83" s="11">
        <f>Matching_Engine!$D$83</f>
      </c>
      <c r="C83" s="11">
        <f>Matching_Engine!$E$83</f>
      </c>
      <c r="D83" s="11">
        <f>Matching_Engine!$G$83</f>
      </c>
      <c r="E83" s="18">
        <f>Matching_Engine!$O$83</f>
      </c>
      <c r="F83" s="18">
        <f>Matching_Engine!$P$83</f>
      </c>
      <c r="G83" s="18">
        <f>Matching_Engine!$Q$83</f>
      </c>
      <c r="H83" s="18">
        <f>Matching_Engine!$R$83</f>
      </c>
      <c r="I83" s="18">
        <f>Matching_Engine!$M$83</f>
      </c>
      <c r="J83" s="18">
        <f>Matching_Engine!$S$83</f>
      </c>
      <c r="K83" s="18">
        <f>Matching_Engine!$Y$83</f>
      </c>
      <c r="L83" s="18">
        <f>Matching_Engine!$AE$83</f>
      </c>
      <c r="M83" s="18">
        <f>Matching_Engine!$AM$83</f>
      </c>
      <c r="N83" s="18">
        <f>Matching_Engine!$AT$83</f>
      </c>
      <c r="O83" s="18">
        <f>Matching_Engine!$AX$83</f>
      </c>
      <c r="P83" s="29">
        <f>Matching_Engine!$AY$83</f>
      </c>
      <c r="Q83" s="11">
        <f>Matching_Engine!$AZ$83</f>
      </c>
      <c r="R83" s="11">
        <f>Matching_Engine!$BB$83</f>
      </c>
    </row>
    <row r="84" spans="1:18" x14ac:dyDescent="0.25">
      <c r="A84" s="11">
        <f>Matching_Engine!$B$84</f>
      </c>
      <c r="B84" s="11">
        <f>Matching_Engine!$D$84</f>
      </c>
      <c r="C84" s="11">
        <f>Matching_Engine!$E$84</f>
      </c>
      <c r="D84" s="11">
        <f>Matching_Engine!$G$84</f>
      </c>
      <c r="E84" s="18">
        <f>Matching_Engine!$O$84</f>
      </c>
      <c r="F84" s="18">
        <f>Matching_Engine!$P$84</f>
      </c>
      <c r="G84" s="18">
        <f>Matching_Engine!$Q$84</f>
      </c>
      <c r="H84" s="18">
        <f>Matching_Engine!$R$84</f>
      </c>
      <c r="I84" s="18">
        <f>Matching_Engine!$M$84</f>
      </c>
      <c r="J84" s="18">
        <f>Matching_Engine!$S$84</f>
      </c>
      <c r="K84" s="18">
        <f>Matching_Engine!$Y$84</f>
      </c>
      <c r="L84" s="18">
        <f>Matching_Engine!$AE$84</f>
      </c>
      <c r="M84" s="18">
        <f>Matching_Engine!$AM$84</f>
      </c>
      <c r="N84" s="18">
        <f>Matching_Engine!$AT$84</f>
      </c>
      <c r="O84" s="18">
        <f>Matching_Engine!$AX$84</f>
      </c>
      <c r="P84" s="29">
        <f>Matching_Engine!$AY$84</f>
      </c>
      <c r="Q84" s="11">
        <f>Matching_Engine!$AZ$84</f>
      </c>
      <c r="R84" s="11">
        <f>Matching_Engine!$BB$84</f>
      </c>
    </row>
    <row r="85" spans="1:18" x14ac:dyDescent="0.25">
      <c r="A85" s="11">
        <f>Matching_Engine!$B$85</f>
      </c>
      <c r="B85" s="11">
        <f>Matching_Engine!$D$85</f>
      </c>
      <c r="C85" s="11">
        <f>Matching_Engine!$E$85</f>
      </c>
      <c r="D85" s="11">
        <f>Matching_Engine!$G$85</f>
      </c>
      <c r="E85" s="18">
        <f>Matching_Engine!$O$85</f>
      </c>
      <c r="F85" s="18">
        <f>Matching_Engine!$P$85</f>
      </c>
      <c r="G85" s="18">
        <f>Matching_Engine!$Q$85</f>
      </c>
      <c r="H85" s="18">
        <f>Matching_Engine!$R$85</f>
      </c>
      <c r="I85" s="18">
        <f>Matching_Engine!$M$85</f>
      </c>
      <c r="J85" s="18">
        <f>Matching_Engine!$S$85</f>
      </c>
      <c r="K85" s="18">
        <f>Matching_Engine!$Y$85</f>
      </c>
      <c r="L85" s="18">
        <f>Matching_Engine!$AE$85</f>
      </c>
      <c r="M85" s="18">
        <f>Matching_Engine!$AM$85</f>
      </c>
      <c r="N85" s="18">
        <f>Matching_Engine!$AT$85</f>
      </c>
      <c r="O85" s="18">
        <f>Matching_Engine!$AX$85</f>
      </c>
      <c r="P85" s="29">
        <f>Matching_Engine!$AY$85</f>
      </c>
      <c r="Q85" s="11">
        <f>Matching_Engine!$AZ$85</f>
      </c>
      <c r="R85" s="11">
        <f>Matching_Engine!$BB$85</f>
      </c>
    </row>
    <row r="86" spans="1:18" x14ac:dyDescent="0.25">
      <c r="A86" s="11">
        <f>Matching_Engine!$B$86</f>
      </c>
      <c r="B86" s="11">
        <f>Matching_Engine!$D$86</f>
      </c>
      <c r="C86" s="11">
        <f>Matching_Engine!$E$86</f>
      </c>
      <c r="D86" s="11">
        <f>Matching_Engine!$G$86</f>
      </c>
      <c r="E86" s="18">
        <f>Matching_Engine!$O$86</f>
      </c>
      <c r="F86" s="18">
        <f>Matching_Engine!$P$86</f>
      </c>
      <c r="G86" s="18">
        <f>Matching_Engine!$Q$86</f>
      </c>
      <c r="H86" s="18">
        <f>Matching_Engine!$R$86</f>
      </c>
      <c r="I86" s="18">
        <f>Matching_Engine!$M$86</f>
      </c>
      <c r="J86" s="18">
        <f>Matching_Engine!$S$86</f>
      </c>
      <c r="K86" s="18">
        <f>Matching_Engine!$Y$86</f>
      </c>
      <c r="L86" s="18">
        <f>Matching_Engine!$AE$86</f>
      </c>
      <c r="M86" s="18">
        <f>Matching_Engine!$AM$86</f>
      </c>
      <c r="N86" s="18">
        <f>Matching_Engine!$AT$86</f>
      </c>
      <c r="O86" s="18">
        <f>Matching_Engine!$AX$86</f>
      </c>
      <c r="P86" s="29">
        <f>Matching_Engine!$AY$86</f>
      </c>
      <c r="Q86" s="11">
        <f>Matching_Engine!$AZ$86</f>
      </c>
      <c r="R86" s="11">
        <f>Matching_Engine!$BB$86</f>
      </c>
    </row>
    <row r="87" spans="1:18" x14ac:dyDescent="0.25">
      <c r="A87" s="11">
        <f>Matching_Engine!$B$87</f>
      </c>
      <c r="B87" s="11">
        <f>Matching_Engine!$D$87</f>
      </c>
      <c r="C87" s="11">
        <f>Matching_Engine!$E$87</f>
      </c>
      <c r="D87" s="11">
        <f>Matching_Engine!$G$87</f>
      </c>
      <c r="E87" s="18">
        <f>Matching_Engine!$O$87</f>
      </c>
      <c r="F87" s="18">
        <f>Matching_Engine!$P$87</f>
      </c>
      <c r="G87" s="18">
        <f>Matching_Engine!$Q$87</f>
      </c>
      <c r="H87" s="18">
        <f>Matching_Engine!$R$87</f>
      </c>
      <c r="I87" s="18">
        <f>Matching_Engine!$M$87</f>
      </c>
      <c r="J87" s="18">
        <f>Matching_Engine!$S$87</f>
      </c>
      <c r="K87" s="18">
        <f>Matching_Engine!$Y$87</f>
      </c>
      <c r="L87" s="18">
        <f>Matching_Engine!$AE$87</f>
      </c>
      <c r="M87" s="18">
        <f>Matching_Engine!$AM$87</f>
      </c>
      <c r="N87" s="18">
        <f>Matching_Engine!$AT$87</f>
      </c>
      <c r="O87" s="18">
        <f>Matching_Engine!$AX$87</f>
      </c>
      <c r="P87" s="29">
        <f>Matching_Engine!$AY$87</f>
      </c>
      <c r="Q87" s="11">
        <f>Matching_Engine!$AZ$87</f>
      </c>
      <c r="R87" s="11">
        <f>Matching_Engine!$BB$87</f>
      </c>
    </row>
    <row r="88" spans="1:18" x14ac:dyDescent="0.25">
      <c r="A88" s="11">
        <f>Matching_Engine!$B$88</f>
      </c>
      <c r="B88" s="11">
        <f>Matching_Engine!$D$88</f>
      </c>
      <c r="C88" s="11">
        <f>Matching_Engine!$E$88</f>
      </c>
      <c r="D88" s="11">
        <f>Matching_Engine!$G$88</f>
      </c>
      <c r="E88" s="18">
        <f>Matching_Engine!$O$88</f>
      </c>
      <c r="F88" s="18">
        <f>Matching_Engine!$P$88</f>
      </c>
      <c r="G88" s="18">
        <f>Matching_Engine!$Q$88</f>
      </c>
      <c r="H88" s="18">
        <f>Matching_Engine!$R$88</f>
      </c>
      <c r="I88" s="18">
        <f>Matching_Engine!$M$88</f>
      </c>
      <c r="J88" s="18">
        <f>Matching_Engine!$S$88</f>
      </c>
      <c r="K88" s="18">
        <f>Matching_Engine!$Y$88</f>
      </c>
      <c r="L88" s="18">
        <f>Matching_Engine!$AE$88</f>
      </c>
      <c r="M88" s="18">
        <f>Matching_Engine!$AM$88</f>
      </c>
      <c r="N88" s="18">
        <f>Matching_Engine!$AT$88</f>
      </c>
      <c r="O88" s="18">
        <f>Matching_Engine!$AX$88</f>
      </c>
      <c r="P88" s="29">
        <f>Matching_Engine!$AY$88</f>
      </c>
      <c r="Q88" s="11">
        <f>Matching_Engine!$AZ$88</f>
      </c>
      <c r="R88" s="11">
        <f>Matching_Engine!$BB$88</f>
      </c>
    </row>
    <row r="89" spans="1:18" x14ac:dyDescent="0.25">
      <c r="A89" s="11">
        <f>Matching_Engine!$B$89</f>
      </c>
      <c r="B89" s="11">
        <f>Matching_Engine!$D$89</f>
      </c>
      <c r="C89" s="11">
        <f>Matching_Engine!$E$89</f>
      </c>
      <c r="D89" s="11">
        <f>Matching_Engine!$G$89</f>
      </c>
      <c r="E89" s="18">
        <f>Matching_Engine!$O$89</f>
      </c>
      <c r="F89" s="18">
        <f>Matching_Engine!$P$89</f>
      </c>
      <c r="G89" s="18">
        <f>Matching_Engine!$Q$89</f>
      </c>
      <c r="H89" s="18">
        <f>Matching_Engine!$R$89</f>
      </c>
      <c r="I89" s="18">
        <f>Matching_Engine!$M$89</f>
      </c>
      <c r="J89" s="18">
        <f>Matching_Engine!$S$89</f>
      </c>
      <c r="K89" s="18">
        <f>Matching_Engine!$Y$89</f>
      </c>
      <c r="L89" s="18">
        <f>Matching_Engine!$AE$89</f>
      </c>
      <c r="M89" s="18">
        <f>Matching_Engine!$AM$89</f>
      </c>
      <c r="N89" s="18">
        <f>Matching_Engine!$AT$89</f>
      </c>
      <c r="O89" s="18">
        <f>Matching_Engine!$AX$89</f>
      </c>
      <c r="P89" s="29">
        <f>Matching_Engine!$AY$89</f>
      </c>
      <c r="Q89" s="11">
        <f>Matching_Engine!$AZ$89</f>
      </c>
      <c r="R89" s="11">
        <f>Matching_Engine!$BB$89</f>
      </c>
    </row>
    <row r="90" spans="1:18" x14ac:dyDescent="0.25">
      <c r="A90" s="11">
        <f>Matching_Engine!$B$90</f>
      </c>
      <c r="B90" s="11">
        <f>Matching_Engine!$D$90</f>
      </c>
      <c r="C90" s="11">
        <f>Matching_Engine!$E$90</f>
      </c>
      <c r="D90" s="11">
        <f>Matching_Engine!$G$90</f>
      </c>
      <c r="E90" s="18">
        <f>Matching_Engine!$O$90</f>
      </c>
      <c r="F90" s="18">
        <f>Matching_Engine!$P$90</f>
      </c>
      <c r="G90" s="18">
        <f>Matching_Engine!$Q$90</f>
      </c>
      <c r="H90" s="18">
        <f>Matching_Engine!$R$90</f>
      </c>
      <c r="I90" s="18">
        <f>Matching_Engine!$M$90</f>
      </c>
      <c r="J90" s="18">
        <f>Matching_Engine!$S$90</f>
      </c>
      <c r="K90" s="18">
        <f>Matching_Engine!$Y$90</f>
      </c>
      <c r="L90" s="18">
        <f>Matching_Engine!$AE$90</f>
      </c>
      <c r="M90" s="18">
        <f>Matching_Engine!$AM$90</f>
      </c>
      <c r="N90" s="18">
        <f>Matching_Engine!$AT$90</f>
      </c>
      <c r="O90" s="18">
        <f>Matching_Engine!$AX$90</f>
      </c>
      <c r="P90" s="29">
        <f>Matching_Engine!$AY$90</f>
      </c>
      <c r="Q90" s="11">
        <f>Matching_Engine!$AZ$90</f>
      </c>
      <c r="R90" s="11">
        <f>Matching_Engine!$BB$90</f>
      </c>
    </row>
    <row r="91" spans="1:18" x14ac:dyDescent="0.25">
      <c r="A91" s="11">
        <f>Matching_Engine!$B$91</f>
      </c>
      <c r="B91" s="11">
        <f>Matching_Engine!$D$91</f>
      </c>
      <c r="C91" s="11">
        <f>Matching_Engine!$E$91</f>
      </c>
      <c r="D91" s="11">
        <f>Matching_Engine!$G$91</f>
      </c>
      <c r="E91" s="18">
        <f>Matching_Engine!$O$91</f>
      </c>
      <c r="F91" s="18">
        <f>Matching_Engine!$P$91</f>
      </c>
      <c r="G91" s="18">
        <f>Matching_Engine!$Q$91</f>
      </c>
      <c r="H91" s="18">
        <f>Matching_Engine!$R$91</f>
      </c>
      <c r="I91" s="18">
        <f>Matching_Engine!$M$91</f>
      </c>
      <c r="J91" s="18">
        <f>Matching_Engine!$S$91</f>
      </c>
      <c r="K91" s="18">
        <f>Matching_Engine!$Y$91</f>
      </c>
      <c r="L91" s="18">
        <f>Matching_Engine!$AE$91</f>
      </c>
      <c r="M91" s="18">
        <f>Matching_Engine!$AM$91</f>
      </c>
      <c r="N91" s="18">
        <f>Matching_Engine!$AT$91</f>
      </c>
      <c r="O91" s="18">
        <f>Matching_Engine!$AX$91</f>
      </c>
      <c r="P91" s="29">
        <f>Matching_Engine!$AY$91</f>
      </c>
      <c r="Q91" s="11">
        <f>Matching_Engine!$AZ$91</f>
      </c>
      <c r="R91" s="11">
        <f>Matching_Engine!$BB$91</f>
      </c>
    </row>
    <row r="92" spans="1:18" x14ac:dyDescent="0.25">
      <c r="A92" s="11">
        <f>Matching_Engine!$B$92</f>
      </c>
      <c r="B92" s="11">
        <f>Matching_Engine!$D$92</f>
      </c>
      <c r="C92" s="11">
        <f>Matching_Engine!$E$92</f>
      </c>
      <c r="D92" s="11">
        <f>Matching_Engine!$G$92</f>
      </c>
      <c r="E92" s="18">
        <f>Matching_Engine!$O$92</f>
      </c>
      <c r="F92" s="18">
        <f>Matching_Engine!$P$92</f>
      </c>
      <c r="G92" s="18">
        <f>Matching_Engine!$Q$92</f>
      </c>
      <c r="H92" s="18">
        <f>Matching_Engine!$R$92</f>
      </c>
      <c r="I92" s="18">
        <f>Matching_Engine!$M$92</f>
      </c>
      <c r="J92" s="18">
        <f>Matching_Engine!$S$92</f>
      </c>
      <c r="K92" s="18">
        <f>Matching_Engine!$Y$92</f>
      </c>
      <c r="L92" s="18">
        <f>Matching_Engine!$AE$92</f>
      </c>
      <c r="M92" s="18">
        <f>Matching_Engine!$AM$92</f>
      </c>
      <c r="N92" s="18">
        <f>Matching_Engine!$AT$92</f>
      </c>
      <c r="O92" s="18">
        <f>Matching_Engine!$AX$92</f>
      </c>
      <c r="P92" s="29">
        <f>Matching_Engine!$AY$92</f>
      </c>
      <c r="Q92" s="11">
        <f>Matching_Engine!$AZ$92</f>
      </c>
      <c r="R92" s="11">
        <f>Matching_Engine!$BB$92</f>
      </c>
    </row>
    <row r="93" spans="1:18" x14ac:dyDescent="0.25">
      <c r="A93" s="11">
        <f>Matching_Engine!$B$93</f>
      </c>
      <c r="B93" s="11">
        <f>Matching_Engine!$D$93</f>
      </c>
      <c r="C93" s="11">
        <f>Matching_Engine!$E$93</f>
      </c>
      <c r="D93" s="11">
        <f>Matching_Engine!$G$93</f>
      </c>
      <c r="E93" s="18">
        <f>Matching_Engine!$O$93</f>
      </c>
      <c r="F93" s="18">
        <f>Matching_Engine!$P$93</f>
      </c>
      <c r="G93" s="18">
        <f>Matching_Engine!$Q$93</f>
      </c>
      <c r="H93" s="18">
        <f>Matching_Engine!$R$93</f>
      </c>
      <c r="I93" s="18">
        <f>Matching_Engine!$M$93</f>
      </c>
      <c r="J93" s="18">
        <f>Matching_Engine!$S$93</f>
      </c>
      <c r="K93" s="18">
        <f>Matching_Engine!$Y$93</f>
      </c>
      <c r="L93" s="18">
        <f>Matching_Engine!$AE$93</f>
      </c>
      <c r="M93" s="18">
        <f>Matching_Engine!$AM$93</f>
      </c>
      <c r="N93" s="18">
        <f>Matching_Engine!$AT$93</f>
      </c>
      <c r="O93" s="18">
        <f>Matching_Engine!$AX$93</f>
      </c>
      <c r="P93" s="29">
        <f>Matching_Engine!$AY$93</f>
      </c>
      <c r="Q93" s="11">
        <f>Matching_Engine!$AZ$93</f>
      </c>
      <c r="R93" s="11">
        <f>Matching_Engine!$BB$93</f>
      </c>
    </row>
    <row r="94" spans="1:18" x14ac:dyDescent="0.25">
      <c r="A94" s="11">
        <f>Matching_Engine!$B$94</f>
      </c>
      <c r="B94" s="11">
        <f>Matching_Engine!$D$94</f>
      </c>
      <c r="C94" s="11">
        <f>Matching_Engine!$E$94</f>
      </c>
      <c r="D94" s="11">
        <f>Matching_Engine!$G$94</f>
      </c>
      <c r="E94" s="18">
        <f>Matching_Engine!$O$94</f>
      </c>
      <c r="F94" s="18">
        <f>Matching_Engine!$P$94</f>
      </c>
      <c r="G94" s="18">
        <f>Matching_Engine!$Q$94</f>
      </c>
      <c r="H94" s="18">
        <f>Matching_Engine!$R$94</f>
      </c>
      <c r="I94" s="18">
        <f>Matching_Engine!$M$94</f>
      </c>
      <c r="J94" s="18">
        <f>Matching_Engine!$S$94</f>
      </c>
      <c r="K94" s="18">
        <f>Matching_Engine!$Y$94</f>
      </c>
      <c r="L94" s="18">
        <f>Matching_Engine!$AE$94</f>
      </c>
      <c r="M94" s="18">
        <f>Matching_Engine!$AM$94</f>
      </c>
      <c r="N94" s="18">
        <f>Matching_Engine!$AT$94</f>
      </c>
      <c r="O94" s="18">
        <f>Matching_Engine!$AX$94</f>
      </c>
      <c r="P94" s="29">
        <f>Matching_Engine!$AY$94</f>
      </c>
      <c r="Q94" s="11">
        <f>Matching_Engine!$AZ$94</f>
      </c>
      <c r="R94" s="11">
        <f>Matching_Engine!$BB$94</f>
      </c>
    </row>
    <row r="95" spans="1:18" x14ac:dyDescent="0.25">
      <c r="A95" s="11">
        <f>Matching_Engine!$B$95</f>
      </c>
      <c r="B95" s="11">
        <f>Matching_Engine!$D$95</f>
      </c>
      <c r="C95" s="11">
        <f>Matching_Engine!$E$95</f>
      </c>
      <c r="D95" s="11">
        <f>Matching_Engine!$G$95</f>
      </c>
      <c r="E95" s="18">
        <f>Matching_Engine!$O$95</f>
      </c>
      <c r="F95" s="18">
        <f>Matching_Engine!$P$95</f>
      </c>
      <c r="G95" s="18">
        <f>Matching_Engine!$Q$95</f>
      </c>
      <c r="H95" s="18">
        <f>Matching_Engine!$R$95</f>
      </c>
      <c r="I95" s="18">
        <f>Matching_Engine!$M$95</f>
      </c>
      <c r="J95" s="18">
        <f>Matching_Engine!$S$95</f>
      </c>
      <c r="K95" s="18">
        <f>Matching_Engine!$Y$95</f>
      </c>
      <c r="L95" s="18">
        <f>Matching_Engine!$AE$95</f>
      </c>
      <c r="M95" s="18">
        <f>Matching_Engine!$AM$95</f>
      </c>
      <c r="N95" s="18">
        <f>Matching_Engine!$AT$95</f>
      </c>
      <c r="O95" s="18">
        <f>Matching_Engine!$AX$95</f>
      </c>
      <c r="P95" s="29">
        <f>Matching_Engine!$AY$95</f>
      </c>
      <c r="Q95" s="11">
        <f>Matching_Engine!$AZ$95</f>
      </c>
      <c r="R95" s="11">
        <f>Matching_Engine!$BB$95</f>
      </c>
    </row>
    <row r="96" spans="1:18" x14ac:dyDescent="0.25">
      <c r="A96" s="11">
        <f>Matching_Engine!$B$96</f>
      </c>
      <c r="B96" s="11">
        <f>Matching_Engine!$D$96</f>
      </c>
      <c r="C96" s="11">
        <f>Matching_Engine!$E$96</f>
      </c>
      <c r="D96" s="11">
        <f>Matching_Engine!$G$96</f>
      </c>
      <c r="E96" s="18">
        <f>Matching_Engine!$O$96</f>
      </c>
      <c r="F96" s="18">
        <f>Matching_Engine!$P$96</f>
      </c>
      <c r="G96" s="18">
        <f>Matching_Engine!$Q$96</f>
      </c>
      <c r="H96" s="18">
        <f>Matching_Engine!$R$96</f>
      </c>
      <c r="I96" s="18">
        <f>Matching_Engine!$M$96</f>
      </c>
      <c r="J96" s="18">
        <f>Matching_Engine!$S$96</f>
      </c>
      <c r="K96" s="18">
        <f>Matching_Engine!$Y$96</f>
      </c>
      <c r="L96" s="18">
        <f>Matching_Engine!$AE$96</f>
      </c>
      <c r="M96" s="18">
        <f>Matching_Engine!$AM$96</f>
      </c>
      <c r="N96" s="18">
        <f>Matching_Engine!$AT$96</f>
      </c>
      <c r="O96" s="18">
        <f>Matching_Engine!$AX$96</f>
      </c>
      <c r="P96" s="29">
        <f>Matching_Engine!$AY$96</f>
      </c>
      <c r="Q96" s="11">
        <f>Matching_Engine!$AZ$96</f>
      </c>
      <c r="R96" s="11">
        <f>Matching_Engine!$BB$96</f>
      </c>
    </row>
    <row r="97" spans="1:18" x14ac:dyDescent="0.25">
      <c r="A97" s="11">
        <f>Matching_Engine!$B$97</f>
      </c>
      <c r="B97" s="11">
        <f>Matching_Engine!$D$97</f>
      </c>
      <c r="C97" s="11">
        <f>Matching_Engine!$E$97</f>
      </c>
      <c r="D97" s="11">
        <f>Matching_Engine!$G$97</f>
      </c>
      <c r="E97" s="18">
        <f>Matching_Engine!$O$97</f>
      </c>
      <c r="F97" s="18">
        <f>Matching_Engine!$P$97</f>
      </c>
      <c r="G97" s="18">
        <f>Matching_Engine!$Q$97</f>
      </c>
      <c r="H97" s="18">
        <f>Matching_Engine!$R$97</f>
      </c>
      <c r="I97" s="18">
        <f>Matching_Engine!$M$97</f>
      </c>
      <c r="J97" s="18">
        <f>Matching_Engine!$S$97</f>
      </c>
      <c r="K97" s="18">
        <f>Matching_Engine!$Y$97</f>
      </c>
      <c r="L97" s="18">
        <f>Matching_Engine!$AE$97</f>
      </c>
      <c r="M97" s="18">
        <f>Matching_Engine!$AM$97</f>
      </c>
      <c r="N97" s="18">
        <f>Matching_Engine!$AT$97</f>
      </c>
      <c r="O97" s="18">
        <f>Matching_Engine!$AX$97</f>
      </c>
      <c r="P97" s="29">
        <f>Matching_Engine!$AY$97</f>
      </c>
      <c r="Q97" s="11">
        <f>Matching_Engine!$AZ$97</f>
      </c>
      <c r="R97" s="11">
        <f>Matching_Engine!$BB$97</f>
      </c>
    </row>
    <row r="98" spans="1:18" x14ac:dyDescent="0.25">
      <c r="A98" s="11">
        <f>Matching_Engine!$B$98</f>
      </c>
      <c r="B98" s="11">
        <f>Matching_Engine!$D$98</f>
      </c>
      <c r="C98" s="11">
        <f>Matching_Engine!$E$98</f>
      </c>
      <c r="D98" s="11">
        <f>Matching_Engine!$G$98</f>
      </c>
      <c r="E98" s="18">
        <f>Matching_Engine!$O$98</f>
      </c>
      <c r="F98" s="18">
        <f>Matching_Engine!$P$98</f>
      </c>
      <c r="G98" s="18">
        <f>Matching_Engine!$Q$98</f>
      </c>
      <c r="H98" s="18">
        <f>Matching_Engine!$R$98</f>
      </c>
      <c r="I98" s="18">
        <f>Matching_Engine!$M$98</f>
      </c>
      <c r="J98" s="18">
        <f>Matching_Engine!$S$98</f>
      </c>
      <c r="K98" s="18">
        <f>Matching_Engine!$Y$98</f>
      </c>
      <c r="L98" s="18">
        <f>Matching_Engine!$AE$98</f>
      </c>
      <c r="M98" s="18">
        <f>Matching_Engine!$AM$98</f>
      </c>
      <c r="N98" s="18">
        <f>Matching_Engine!$AT$98</f>
      </c>
      <c r="O98" s="18">
        <f>Matching_Engine!$AX$98</f>
      </c>
      <c r="P98" s="29">
        <f>Matching_Engine!$AY$98</f>
      </c>
      <c r="Q98" s="11">
        <f>Matching_Engine!$AZ$98</f>
      </c>
      <c r="R98" s="11">
        <f>Matching_Engine!$BB$98</f>
      </c>
    </row>
    <row r="99" spans="1:18" x14ac:dyDescent="0.25">
      <c r="A99" s="11">
        <f>Matching_Engine!$B$99</f>
      </c>
      <c r="B99" s="11">
        <f>Matching_Engine!$D$99</f>
      </c>
      <c r="C99" s="11">
        <f>Matching_Engine!$E$99</f>
      </c>
      <c r="D99" s="11">
        <f>Matching_Engine!$G$99</f>
      </c>
      <c r="E99" s="18">
        <f>Matching_Engine!$O$99</f>
      </c>
      <c r="F99" s="18">
        <f>Matching_Engine!$P$99</f>
      </c>
      <c r="G99" s="18">
        <f>Matching_Engine!$Q$99</f>
      </c>
      <c r="H99" s="18">
        <f>Matching_Engine!$R$99</f>
      </c>
      <c r="I99" s="18">
        <f>Matching_Engine!$M$99</f>
      </c>
      <c r="J99" s="18">
        <f>Matching_Engine!$S$99</f>
      </c>
      <c r="K99" s="18">
        <f>Matching_Engine!$Y$99</f>
      </c>
      <c r="L99" s="18">
        <f>Matching_Engine!$AE$99</f>
      </c>
      <c r="M99" s="18">
        <f>Matching_Engine!$AM$99</f>
      </c>
      <c r="N99" s="18">
        <f>Matching_Engine!$AT$99</f>
      </c>
      <c r="O99" s="18">
        <f>Matching_Engine!$AX$99</f>
      </c>
      <c r="P99" s="29">
        <f>Matching_Engine!$AY$99</f>
      </c>
      <c r="Q99" s="11">
        <f>Matching_Engine!$AZ$99</f>
      </c>
      <c r="R99" s="11">
        <f>Matching_Engine!$BB$99</f>
      </c>
    </row>
    <row r="100" spans="1:18" x14ac:dyDescent="0.25">
      <c r="A100" s="11">
        <f>Matching_Engine!$B$100</f>
      </c>
      <c r="B100" s="11">
        <f>Matching_Engine!$D$100</f>
      </c>
      <c r="C100" s="11">
        <f>Matching_Engine!$E$100</f>
      </c>
      <c r="D100" s="11">
        <f>Matching_Engine!$G$100</f>
      </c>
      <c r="E100" s="18">
        <f>Matching_Engine!$O$100</f>
      </c>
      <c r="F100" s="18">
        <f>Matching_Engine!$P$100</f>
      </c>
      <c r="G100" s="18">
        <f>Matching_Engine!$Q$100</f>
      </c>
      <c r="H100" s="18">
        <f>Matching_Engine!$R$100</f>
      </c>
      <c r="I100" s="18">
        <f>Matching_Engine!$M$100</f>
      </c>
      <c r="J100" s="18">
        <f>Matching_Engine!$S$100</f>
      </c>
      <c r="K100" s="18">
        <f>Matching_Engine!$Y$100</f>
      </c>
      <c r="L100" s="18">
        <f>Matching_Engine!$AE$100</f>
      </c>
      <c r="M100" s="18">
        <f>Matching_Engine!$AM$100</f>
      </c>
      <c r="N100" s="18">
        <f>Matching_Engine!$AT$100</f>
      </c>
      <c r="O100" s="18">
        <f>Matching_Engine!$AX$100</f>
      </c>
      <c r="P100" s="29">
        <f>Matching_Engine!$AY$100</f>
      </c>
      <c r="Q100" s="11">
        <f>Matching_Engine!$AZ$100</f>
      </c>
      <c r="R100" s="11">
        <f>Matching_Engine!$BB$100</f>
      </c>
    </row>
    <row r="101" spans="1:18" x14ac:dyDescent="0.25">
      <c r="A101" s="11">
        <f>Matching_Engine!$B$101</f>
      </c>
      <c r="B101" s="11">
        <f>Matching_Engine!$D$101</f>
      </c>
      <c r="C101" s="11">
        <f>Matching_Engine!$E$101</f>
      </c>
      <c r="D101" s="11">
        <f>Matching_Engine!$G$101</f>
      </c>
      <c r="E101" s="18">
        <f>Matching_Engine!$O$101</f>
      </c>
      <c r="F101" s="18">
        <f>Matching_Engine!$P$101</f>
      </c>
      <c r="G101" s="18">
        <f>Matching_Engine!$Q$101</f>
      </c>
      <c r="H101" s="18">
        <f>Matching_Engine!$R$101</f>
      </c>
      <c r="I101" s="18">
        <f>Matching_Engine!$M$101</f>
      </c>
      <c r="J101" s="18">
        <f>Matching_Engine!$S$101</f>
      </c>
      <c r="K101" s="18">
        <f>Matching_Engine!$Y$101</f>
      </c>
      <c r="L101" s="18">
        <f>Matching_Engine!$AE$101</f>
      </c>
      <c r="M101" s="18">
        <f>Matching_Engine!$AM$101</f>
      </c>
      <c r="N101" s="18">
        <f>Matching_Engine!$AT$101</f>
      </c>
      <c r="O101" s="18">
        <f>Matching_Engine!$AX$101</f>
      </c>
      <c r="P101" s="29">
        <f>Matching_Engine!$AY$101</f>
      </c>
      <c r="Q101" s="11">
        <f>Matching_Engine!$AZ$101</f>
      </c>
      <c r="R101" s="11">
        <f>Matching_Engine!$BB$101</f>
      </c>
    </row>
    <row r="102" spans="1:18" x14ac:dyDescent="0.25">
      <c r="A102" s="11">
        <f>Matching_Engine!$B$102</f>
      </c>
      <c r="B102" s="11">
        <f>Matching_Engine!$D$102</f>
      </c>
      <c r="C102" s="11">
        <f>Matching_Engine!$E$102</f>
      </c>
      <c r="D102" s="11">
        <f>Matching_Engine!$G$102</f>
      </c>
      <c r="E102" s="18">
        <f>Matching_Engine!$O$102</f>
      </c>
      <c r="F102" s="18">
        <f>Matching_Engine!$P$102</f>
      </c>
      <c r="G102" s="18">
        <f>Matching_Engine!$Q$102</f>
      </c>
      <c r="H102" s="18">
        <f>Matching_Engine!$R$102</f>
      </c>
      <c r="I102" s="18">
        <f>Matching_Engine!$M$102</f>
      </c>
      <c r="J102" s="18">
        <f>Matching_Engine!$S$102</f>
      </c>
      <c r="K102" s="18">
        <f>Matching_Engine!$Y$102</f>
      </c>
      <c r="L102" s="18">
        <f>Matching_Engine!$AE$102</f>
      </c>
      <c r="M102" s="18">
        <f>Matching_Engine!$AM$102</f>
      </c>
      <c r="N102" s="18">
        <f>Matching_Engine!$AT$102</f>
      </c>
      <c r="O102" s="18">
        <f>Matching_Engine!$AX$102</f>
      </c>
      <c r="P102" s="29">
        <f>Matching_Engine!$AY$102</f>
      </c>
      <c r="Q102" s="11">
        <f>Matching_Engine!$AZ$102</f>
      </c>
      <c r="R102" s="11">
        <f>Matching_Engine!$BB$102</f>
      </c>
    </row>
    <row r="103" spans="1:18" x14ac:dyDescent="0.25">
      <c r="A103" s="11">
        <f>Matching_Engine!$B$103</f>
      </c>
      <c r="B103" s="11">
        <f>Matching_Engine!$D$103</f>
      </c>
      <c r="C103" s="11">
        <f>Matching_Engine!$E$103</f>
      </c>
      <c r="D103" s="11">
        <f>Matching_Engine!$G$103</f>
      </c>
      <c r="E103" s="18">
        <f>Matching_Engine!$O$103</f>
      </c>
      <c r="F103" s="18">
        <f>Matching_Engine!$P$103</f>
      </c>
      <c r="G103" s="18">
        <f>Matching_Engine!$Q$103</f>
      </c>
      <c r="H103" s="18">
        <f>Matching_Engine!$R$103</f>
      </c>
      <c r="I103" s="18">
        <f>Matching_Engine!$M$103</f>
      </c>
      <c r="J103" s="18">
        <f>Matching_Engine!$S$103</f>
      </c>
      <c r="K103" s="18">
        <f>Matching_Engine!$Y$103</f>
      </c>
      <c r="L103" s="18">
        <f>Matching_Engine!$AE$103</f>
      </c>
      <c r="M103" s="18">
        <f>Matching_Engine!$AM$103</f>
      </c>
      <c r="N103" s="18">
        <f>Matching_Engine!$AT$103</f>
      </c>
      <c r="O103" s="18">
        <f>Matching_Engine!$AX$103</f>
      </c>
      <c r="P103" s="29">
        <f>Matching_Engine!$AY$103</f>
      </c>
      <c r="Q103" s="11">
        <f>Matching_Engine!$AZ$103</f>
      </c>
      <c r="R103" s="11">
        <f>Matching_Engine!$BB$103</f>
      </c>
    </row>
    <row r="104" spans="1:18" x14ac:dyDescent="0.25">
      <c r="A104" s="11">
        <f>Matching_Engine!$B$104</f>
      </c>
      <c r="B104" s="11">
        <f>Matching_Engine!$D$104</f>
      </c>
      <c r="C104" s="11">
        <f>Matching_Engine!$E$104</f>
      </c>
      <c r="D104" s="11">
        <f>Matching_Engine!$G$104</f>
      </c>
      <c r="E104" s="18">
        <f>Matching_Engine!$O$104</f>
      </c>
      <c r="F104" s="18">
        <f>Matching_Engine!$P$104</f>
      </c>
      <c r="G104" s="18">
        <f>Matching_Engine!$Q$104</f>
      </c>
      <c r="H104" s="18">
        <f>Matching_Engine!$R$104</f>
      </c>
      <c r="I104" s="18">
        <f>Matching_Engine!$M$104</f>
      </c>
      <c r="J104" s="18">
        <f>Matching_Engine!$S$104</f>
      </c>
      <c r="K104" s="18">
        <f>Matching_Engine!$Y$104</f>
      </c>
      <c r="L104" s="18">
        <f>Matching_Engine!$AE$104</f>
      </c>
      <c r="M104" s="18">
        <f>Matching_Engine!$AM$104</f>
      </c>
      <c r="N104" s="18">
        <f>Matching_Engine!$AT$104</f>
      </c>
      <c r="O104" s="18">
        <f>Matching_Engine!$AX$104</f>
      </c>
      <c r="P104" s="29">
        <f>Matching_Engine!$AY$104</f>
      </c>
      <c r="Q104" s="11">
        <f>Matching_Engine!$AZ$104</f>
      </c>
      <c r="R104" s="11">
        <f>Matching_Engine!$BB$104</f>
      </c>
    </row>
    <row r="105" spans="1:18" x14ac:dyDescent="0.25">
      <c r="A105" s="11">
        <f>Matching_Engine!$B$105</f>
      </c>
      <c r="B105" s="11">
        <f>Matching_Engine!$D$105</f>
      </c>
      <c r="C105" s="11">
        <f>Matching_Engine!$E$105</f>
      </c>
      <c r="D105" s="11">
        <f>Matching_Engine!$G$105</f>
      </c>
      <c r="E105" s="18">
        <f>Matching_Engine!$O$105</f>
      </c>
      <c r="F105" s="18">
        <f>Matching_Engine!$P$105</f>
      </c>
      <c r="G105" s="18">
        <f>Matching_Engine!$Q$105</f>
      </c>
      <c r="H105" s="18">
        <f>Matching_Engine!$R$105</f>
      </c>
      <c r="I105" s="18">
        <f>Matching_Engine!$M$105</f>
      </c>
      <c r="J105" s="18">
        <f>Matching_Engine!$S$105</f>
      </c>
      <c r="K105" s="18">
        <f>Matching_Engine!$Y$105</f>
      </c>
      <c r="L105" s="18">
        <f>Matching_Engine!$AE$105</f>
      </c>
      <c r="M105" s="18">
        <f>Matching_Engine!$AM$105</f>
      </c>
      <c r="N105" s="18">
        <f>Matching_Engine!$AT$105</f>
      </c>
      <c r="O105" s="18">
        <f>Matching_Engine!$AX$105</f>
      </c>
      <c r="P105" s="29">
        <f>Matching_Engine!$AY$105</f>
      </c>
      <c r="Q105" s="11">
        <f>Matching_Engine!$AZ$105</f>
      </c>
      <c r="R105" s="11">
        <f>Matching_Engine!$BB$105</f>
      </c>
    </row>
    <row r="106" spans="1:18" x14ac:dyDescent="0.25">
      <c r="A106" s="11">
        <f>Matching_Engine!$B$106</f>
      </c>
      <c r="B106" s="11">
        <f>Matching_Engine!$D$106</f>
      </c>
      <c r="C106" s="11">
        <f>Matching_Engine!$E$106</f>
      </c>
      <c r="D106" s="11">
        <f>Matching_Engine!$G$106</f>
      </c>
      <c r="E106" s="18">
        <f>Matching_Engine!$O$106</f>
      </c>
      <c r="F106" s="18">
        <f>Matching_Engine!$P$106</f>
      </c>
      <c r="G106" s="18">
        <f>Matching_Engine!$Q$106</f>
      </c>
      <c r="H106" s="18">
        <f>Matching_Engine!$R$106</f>
      </c>
      <c r="I106" s="18">
        <f>Matching_Engine!$M$106</f>
      </c>
      <c r="J106" s="18">
        <f>Matching_Engine!$S$106</f>
      </c>
      <c r="K106" s="18">
        <f>Matching_Engine!$Y$106</f>
      </c>
      <c r="L106" s="18">
        <f>Matching_Engine!$AE$106</f>
      </c>
      <c r="M106" s="18">
        <f>Matching_Engine!$AM$106</f>
      </c>
      <c r="N106" s="18">
        <f>Matching_Engine!$AT$106</f>
      </c>
      <c r="O106" s="18">
        <f>Matching_Engine!$AX$106</f>
      </c>
      <c r="P106" s="29">
        <f>Matching_Engine!$AY$106</f>
      </c>
      <c r="Q106" s="11">
        <f>Matching_Engine!$AZ$106</f>
      </c>
      <c r="R106" s="11">
        <f>Matching_Engine!$BB$106</f>
      </c>
    </row>
    <row r="107" spans="1:18" x14ac:dyDescent="0.25">
      <c r="A107" s="11">
        <f>Matching_Engine!$B$107</f>
      </c>
      <c r="B107" s="11">
        <f>Matching_Engine!$D$107</f>
      </c>
      <c r="C107" s="11">
        <f>Matching_Engine!$E$107</f>
      </c>
      <c r="D107" s="11">
        <f>Matching_Engine!$G$107</f>
      </c>
      <c r="E107" s="18">
        <f>Matching_Engine!$O$107</f>
      </c>
      <c r="F107" s="18">
        <f>Matching_Engine!$P$107</f>
      </c>
      <c r="G107" s="18">
        <f>Matching_Engine!$Q$107</f>
      </c>
      <c r="H107" s="18">
        <f>Matching_Engine!$R$107</f>
      </c>
      <c r="I107" s="18">
        <f>Matching_Engine!$M$107</f>
      </c>
      <c r="J107" s="18">
        <f>Matching_Engine!$S$107</f>
      </c>
      <c r="K107" s="18">
        <f>Matching_Engine!$Y$107</f>
      </c>
      <c r="L107" s="18">
        <f>Matching_Engine!$AE$107</f>
      </c>
      <c r="M107" s="18">
        <f>Matching_Engine!$AM$107</f>
      </c>
      <c r="N107" s="18">
        <f>Matching_Engine!$AT$107</f>
      </c>
      <c r="O107" s="18">
        <f>Matching_Engine!$AX$107</f>
      </c>
      <c r="P107" s="29">
        <f>Matching_Engine!$AY$107</f>
      </c>
      <c r="Q107" s="11">
        <f>Matching_Engine!$AZ$107</f>
      </c>
      <c r="R107" s="11">
        <f>Matching_Engine!$BB$107</f>
      </c>
    </row>
    <row r="108" spans="1:18" x14ac:dyDescent="0.25">
      <c r="A108" s="11">
        <f>Matching_Engine!$B$108</f>
      </c>
      <c r="B108" s="11">
        <f>Matching_Engine!$D$108</f>
      </c>
      <c r="C108" s="11">
        <f>Matching_Engine!$E$108</f>
      </c>
      <c r="D108" s="11">
        <f>Matching_Engine!$G$108</f>
      </c>
      <c r="E108" s="18">
        <f>Matching_Engine!$O$108</f>
      </c>
      <c r="F108" s="18">
        <f>Matching_Engine!$P$108</f>
      </c>
      <c r="G108" s="18">
        <f>Matching_Engine!$Q$108</f>
      </c>
      <c r="H108" s="18">
        <f>Matching_Engine!$R$108</f>
      </c>
      <c r="I108" s="18">
        <f>Matching_Engine!$M$108</f>
      </c>
      <c r="J108" s="18">
        <f>Matching_Engine!$S$108</f>
      </c>
      <c r="K108" s="18">
        <f>Matching_Engine!$Y$108</f>
      </c>
      <c r="L108" s="18">
        <f>Matching_Engine!$AE$108</f>
      </c>
      <c r="M108" s="18">
        <f>Matching_Engine!$AM$108</f>
      </c>
      <c r="N108" s="18">
        <f>Matching_Engine!$AT$108</f>
      </c>
      <c r="O108" s="18">
        <f>Matching_Engine!$AX$108</f>
      </c>
      <c r="P108" s="29">
        <f>Matching_Engine!$AY$108</f>
      </c>
      <c r="Q108" s="11">
        <f>Matching_Engine!$AZ$108</f>
      </c>
      <c r="R108" s="11">
        <f>Matching_Engine!$BB$108</f>
      </c>
    </row>
    <row r="109" spans="1:18" x14ac:dyDescent="0.25">
      <c r="A109" s="11">
        <f>Matching_Engine!$B$109</f>
      </c>
      <c r="B109" s="11">
        <f>Matching_Engine!$D$109</f>
      </c>
      <c r="C109" s="11">
        <f>Matching_Engine!$E$109</f>
      </c>
      <c r="D109" s="11">
        <f>Matching_Engine!$G$109</f>
      </c>
      <c r="E109" s="18">
        <f>Matching_Engine!$O$109</f>
      </c>
      <c r="F109" s="18">
        <f>Matching_Engine!$P$109</f>
      </c>
      <c r="G109" s="18">
        <f>Matching_Engine!$Q$109</f>
      </c>
      <c r="H109" s="18">
        <f>Matching_Engine!$R$109</f>
      </c>
      <c r="I109" s="18">
        <f>Matching_Engine!$M$109</f>
      </c>
      <c r="J109" s="18">
        <f>Matching_Engine!$S$109</f>
      </c>
      <c r="K109" s="18">
        <f>Matching_Engine!$Y$109</f>
      </c>
      <c r="L109" s="18">
        <f>Matching_Engine!$AE$109</f>
      </c>
      <c r="M109" s="18">
        <f>Matching_Engine!$AM$109</f>
      </c>
      <c r="N109" s="18">
        <f>Matching_Engine!$AT$109</f>
      </c>
      <c r="O109" s="18">
        <f>Matching_Engine!$AX$109</f>
      </c>
      <c r="P109" s="29">
        <f>Matching_Engine!$AY$109</f>
      </c>
      <c r="Q109" s="11">
        <f>Matching_Engine!$AZ$109</f>
      </c>
      <c r="R109" s="11">
        <f>Matching_Engine!$BB$109</f>
      </c>
    </row>
    <row r="110" spans="1:18" x14ac:dyDescent="0.25">
      <c r="A110" s="11">
        <f>Matching_Engine!$B$110</f>
      </c>
      <c r="B110" s="11">
        <f>Matching_Engine!$D$110</f>
      </c>
      <c r="C110" s="11">
        <f>Matching_Engine!$E$110</f>
      </c>
      <c r="D110" s="11">
        <f>Matching_Engine!$G$110</f>
      </c>
      <c r="E110" s="18">
        <f>Matching_Engine!$O$110</f>
      </c>
      <c r="F110" s="18">
        <f>Matching_Engine!$P$110</f>
      </c>
      <c r="G110" s="18">
        <f>Matching_Engine!$Q$110</f>
      </c>
      <c r="H110" s="18">
        <f>Matching_Engine!$R$110</f>
      </c>
      <c r="I110" s="18">
        <f>Matching_Engine!$M$110</f>
      </c>
      <c r="J110" s="18">
        <f>Matching_Engine!$S$110</f>
      </c>
      <c r="K110" s="18">
        <f>Matching_Engine!$Y$110</f>
      </c>
      <c r="L110" s="18">
        <f>Matching_Engine!$AE$110</f>
      </c>
      <c r="M110" s="18">
        <f>Matching_Engine!$AM$110</f>
      </c>
      <c r="N110" s="18">
        <f>Matching_Engine!$AT$110</f>
      </c>
      <c r="O110" s="18">
        <f>Matching_Engine!$AX$110</f>
      </c>
      <c r="P110" s="29">
        <f>Matching_Engine!$AY$110</f>
      </c>
      <c r="Q110" s="11">
        <f>Matching_Engine!$AZ$110</f>
      </c>
      <c r="R110" s="11">
        <f>Matching_Engine!$BB$110</f>
      </c>
    </row>
    <row r="111" spans="1:18" x14ac:dyDescent="0.25">
      <c r="A111" s="11">
        <f>Matching_Engine!$B$111</f>
      </c>
      <c r="B111" s="11">
        <f>Matching_Engine!$D$111</f>
      </c>
      <c r="C111" s="11">
        <f>Matching_Engine!$E$111</f>
      </c>
      <c r="D111" s="11">
        <f>Matching_Engine!$G$111</f>
      </c>
      <c r="E111" s="18">
        <f>Matching_Engine!$O$111</f>
      </c>
      <c r="F111" s="18">
        <f>Matching_Engine!$P$111</f>
      </c>
      <c r="G111" s="18">
        <f>Matching_Engine!$Q$111</f>
      </c>
      <c r="H111" s="18">
        <f>Matching_Engine!$R$111</f>
      </c>
      <c r="I111" s="18">
        <f>Matching_Engine!$M$111</f>
      </c>
      <c r="J111" s="18">
        <f>Matching_Engine!$S$111</f>
      </c>
      <c r="K111" s="18">
        <f>Matching_Engine!$Y$111</f>
      </c>
      <c r="L111" s="18">
        <f>Matching_Engine!$AE$111</f>
      </c>
      <c r="M111" s="18">
        <f>Matching_Engine!$AM$111</f>
      </c>
      <c r="N111" s="18">
        <f>Matching_Engine!$AT$111</f>
      </c>
      <c r="O111" s="18">
        <f>Matching_Engine!$AX$111</f>
      </c>
      <c r="P111" s="29">
        <f>Matching_Engine!$AY$111</f>
      </c>
      <c r="Q111" s="11">
        <f>Matching_Engine!$AZ$111</f>
      </c>
      <c r="R111" s="11">
        <f>Matching_Engine!$BB$111</f>
      </c>
    </row>
    <row r="112" spans="1:18" x14ac:dyDescent="0.25">
      <c r="A112" s="11">
        <f>Matching_Engine!$B$112</f>
      </c>
      <c r="B112" s="11">
        <f>Matching_Engine!$D$112</f>
      </c>
      <c r="C112" s="11">
        <f>Matching_Engine!$E$112</f>
      </c>
      <c r="D112" s="11">
        <f>Matching_Engine!$G$112</f>
      </c>
      <c r="E112" s="18">
        <f>Matching_Engine!$O$112</f>
      </c>
      <c r="F112" s="18">
        <f>Matching_Engine!$P$112</f>
      </c>
      <c r="G112" s="18">
        <f>Matching_Engine!$Q$112</f>
      </c>
      <c r="H112" s="18">
        <f>Matching_Engine!$R$112</f>
      </c>
      <c r="I112" s="18">
        <f>Matching_Engine!$M$112</f>
      </c>
      <c r="J112" s="18">
        <f>Matching_Engine!$S$112</f>
      </c>
      <c r="K112" s="18">
        <f>Matching_Engine!$Y$112</f>
      </c>
      <c r="L112" s="18">
        <f>Matching_Engine!$AE$112</f>
      </c>
      <c r="M112" s="18">
        <f>Matching_Engine!$AM$112</f>
      </c>
      <c r="N112" s="18">
        <f>Matching_Engine!$AT$112</f>
      </c>
      <c r="O112" s="18">
        <f>Matching_Engine!$AX$112</f>
      </c>
      <c r="P112" s="29">
        <f>Matching_Engine!$AY$112</f>
      </c>
      <c r="Q112" s="11">
        <f>Matching_Engine!$AZ$112</f>
      </c>
      <c r="R112" s="11">
        <f>Matching_Engine!$BB$112</f>
      </c>
    </row>
    <row r="113" spans="1:18" x14ac:dyDescent="0.25">
      <c r="A113" s="11">
        <f>Matching_Engine!$B$113</f>
      </c>
      <c r="B113" s="11">
        <f>Matching_Engine!$D$113</f>
      </c>
      <c r="C113" s="11">
        <f>Matching_Engine!$E$113</f>
      </c>
      <c r="D113" s="11">
        <f>Matching_Engine!$G$113</f>
      </c>
      <c r="E113" s="18">
        <f>Matching_Engine!$O$113</f>
      </c>
      <c r="F113" s="18">
        <f>Matching_Engine!$P$113</f>
      </c>
      <c r="G113" s="18">
        <f>Matching_Engine!$Q$113</f>
      </c>
      <c r="H113" s="18">
        <f>Matching_Engine!$R$113</f>
      </c>
      <c r="I113" s="18">
        <f>Matching_Engine!$M$113</f>
      </c>
      <c r="J113" s="18">
        <f>Matching_Engine!$S$113</f>
      </c>
      <c r="K113" s="18">
        <f>Matching_Engine!$Y$113</f>
      </c>
      <c r="L113" s="18">
        <f>Matching_Engine!$AE$113</f>
      </c>
      <c r="M113" s="18">
        <f>Matching_Engine!$AM$113</f>
      </c>
      <c r="N113" s="18">
        <f>Matching_Engine!$AT$113</f>
      </c>
      <c r="O113" s="18">
        <f>Matching_Engine!$AX$113</f>
      </c>
      <c r="P113" s="29">
        <f>Matching_Engine!$AY$113</f>
      </c>
      <c r="Q113" s="11">
        <f>Matching_Engine!$AZ$113</f>
      </c>
      <c r="R113" s="11">
        <f>Matching_Engine!$BB$113</f>
      </c>
    </row>
    <row r="114" spans="1:18" x14ac:dyDescent="0.25">
      <c r="A114" s="11">
        <f>Matching_Engine!$B$114</f>
      </c>
      <c r="B114" s="11">
        <f>Matching_Engine!$D$114</f>
      </c>
      <c r="C114" s="11">
        <f>Matching_Engine!$E$114</f>
      </c>
      <c r="D114" s="11">
        <f>Matching_Engine!$G$114</f>
      </c>
      <c r="E114" s="18">
        <f>Matching_Engine!$O$114</f>
      </c>
      <c r="F114" s="18">
        <f>Matching_Engine!$P$114</f>
      </c>
      <c r="G114" s="18">
        <f>Matching_Engine!$Q$114</f>
      </c>
      <c r="H114" s="18">
        <f>Matching_Engine!$R$114</f>
      </c>
      <c r="I114" s="18">
        <f>Matching_Engine!$M$114</f>
      </c>
      <c r="J114" s="18">
        <f>Matching_Engine!$S$114</f>
      </c>
      <c r="K114" s="18">
        <f>Matching_Engine!$Y$114</f>
      </c>
      <c r="L114" s="18">
        <f>Matching_Engine!$AE$114</f>
      </c>
      <c r="M114" s="18">
        <f>Matching_Engine!$AM$114</f>
      </c>
      <c r="N114" s="18">
        <f>Matching_Engine!$AT$114</f>
      </c>
      <c r="O114" s="18">
        <f>Matching_Engine!$AX$114</f>
      </c>
      <c r="P114" s="29">
        <f>Matching_Engine!$AY$114</f>
      </c>
      <c r="Q114" s="11">
        <f>Matching_Engine!$AZ$114</f>
      </c>
      <c r="R114" s="11">
        <f>Matching_Engine!$BB$114</f>
      </c>
    </row>
    <row r="115" spans="1:18" x14ac:dyDescent="0.25">
      <c r="A115" s="11">
        <f>Matching_Engine!$B$115</f>
      </c>
      <c r="B115" s="11">
        <f>Matching_Engine!$D$115</f>
      </c>
      <c r="C115" s="11">
        <f>Matching_Engine!$E$115</f>
      </c>
      <c r="D115" s="11">
        <f>Matching_Engine!$G$115</f>
      </c>
      <c r="E115" s="18">
        <f>Matching_Engine!$O$115</f>
      </c>
      <c r="F115" s="18">
        <f>Matching_Engine!$P$115</f>
      </c>
      <c r="G115" s="18">
        <f>Matching_Engine!$Q$115</f>
      </c>
      <c r="H115" s="18">
        <f>Matching_Engine!$R$115</f>
      </c>
      <c r="I115" s="18">
        <f>Matching_Engine!$M$115</f>
      </c>
      <c r="J115" s="18">
        <f>Matching_Engine!$S$115</f>
      </c>
      <c r="K115" s="18">
        <f>Matching_Engine!$Y$115</f>
      </c>
      <c r="L115" s="18">
        <f>Matching_Engine!$AE$115</f>
      </c>
      <c r="M115" s="18">
        <f>Matching_Engine!$AM$115</f>
      </c>
      <c r="N115" s="18">
        <f>Matching_Engine!$AT$115</f>
      </c>
      <c r="O115" s="18">
        <f>Matching_Engine!$AX$115</f>
      </c>
      <c r="P115" s="29">
        <f>Matching_Engine!$AY$115</f>
      </c>
      <c r="Q115" s="11">
        <f>Matching_Engine!$AZ$115</f>
      </c>
      <c r="R115" s="11">
        <f>Matching_Engine!$BB$115</f>
      </c>
    </row>
    <row r="116" spans="1:18" x14ac:dyDescent="0.25">
      <c r="A116" s="11">
        <f>Matching_Engine!$B$116</f>
      </c>
      <c r="B116" s="11">
        <f>Matching_Engine!$D$116</f>
      </c>
      <c r="C116" s="11">
        <f>Matching_Engine!$E$116</f>
      </c>
      <c r="D116" s="11">
        <f>Matching_Engine!$G$116</f>
      </c>
      <c r="E116" s="18">
        <f>Matching_Engine!$O$116</f>
      </c>
      <c r="F116" s="18">
        <f>Matching_Engine!$P$116</f>
      </c>
      <c r="G116" s="18">
        <f>Matching_Engine!$Q$116</f>
      </c>
      <c r="H116" s="18">
        <f>Matching_Engine!$R$116</f>
      </c>
      <c r="I116" s="18">
        <f>Matching_Engine!$M$116</f>
      </c>
      <c r="J116" s="18">
        <f>Matching_Engine!$S$116</f>
      </c>
      <c r="K116" s="18">
        <f>Matching_Engine!$Y$116</f>
      </c>
      <c r="L116" s="18">
        <f>Matching_Engine!$AE$116</f>
      </c>
      <c r="M116" s="18">
        <f>Matching_Engine!$AM$116</f>
      </c>
      <c r="N116" s="18">
        <f>Matching_Engine!$AT$116</f>
      </c>
      <c r="O116" s="18">
        <f>Matching_Engine!$AX$116</f>
      </c>
      <c r="P116" s="29">
        <f>Matching_Engine!$AY$116</f>
      </c>
      <c r="Q116" s="11">
        <f>Matching_Engine!$AZ$116</f>
      </c>
      <c r="R116" s="11">
        <f>Matching_Engine!$BB$116</f>
      </c>
    </row>
    <row r="117" spans="1:18" x14ac:dyDescent="0.25">
      <c r="A117" s="11">
        <f>Matching_Engine!$B$117</f>
      </c>
      <c r="B117" s="11">
        <f>Matching_Engine!$D$117</f>
      </c>
      <c r="C117" s="11">
        <f>Matching_Engine!$E$117</f>
      </c>
      <c r="D117" s="11">
        <f>Matching_Engine!$G$117</f>
      </c>
      <c r="E117" s="18">
        <f>Matching_Engine!$O$117</f>
      </c>
      <c r="F117" s="18">
        <f>Matching_Engine!$P$117</f>
      </c>
      <c r="G117" s="18">
        <f>Matching_Engine!$Q$117</f>
      </c>
      <c r="H117" s="18">
        <f>Matching_Engine!$R$117</f>
      </c>
      <c r="I117" s="18">
        <f>Matching_Engine!$M$117</f>
      </c>
      <c r="J117" s="18">
        <f>Matching_Engine!$S$117</f>
      </c>
      <c r="K117" s="18">
        <f>Matching_Engine!$Y$117</f>
      </c>
      <c r="L117" s="18">
        <f>Matching_Engine!$AE$117</f>
      </c>
      <c r="M117" s="18">
        <f>Matching_Engine!$AM$117</f>
      </c>
      <c r="N117" s="18">
        <f>Matching_Engine!$AT$117</f>
      </c>
      <c r="O117" s="18">
        <f>Matching_Engine!$AX$117</f>
      </c>
      <c r="P117" s="29">
        <f>Matching_Engine!$AY$117</f>
      </c>
      <c r="Q117" s="11">
        <f>Matching_Engine!$AZ$117</f>
      </c>
      <c r="R117" s="11">
        <f>Matching_Engine!$BB$117</f>
      </c>
    </row>
    <row r="118" spans="1:18" x14ac:dyDescent="0.25">
      <c r="A118" s="11">
        <f>Matching_Engine!$B$118</f>
      </c>
      <c r="B118" s="11">
        <f>Matching_Engine!$D$118</f>
      </c>
      <c r="C118" s="11">
        <f>Matching_Engine!$E$118</f>
      </c>
      <c r="D118" s="11">
        <f>Matching_Engine!$G$118</f>
      </c>
      <c r="E118" s="18">
        <f>Matching_Engine!$O$118</f>
      </c>
      <c r="F118" s="18">
        <f>Matching_Engine!$P$118</f>
      </c>
      <c r="G118" s="18">
        <f>Matching_Engine!$Q$118</f>
      </c>
      <c r="H118" s="18">
        <f>Matching_Engine!$R$118</f>
      </c>
      <c r="I118" s="18">
        <f>Matching_Engine!$M$118</f>
      </c>
      <c r="J118" s="18">
        <f>Matching_Engine!$S$118</f>
      </c>
      <c r="K118" s="18">
        <f>Matching_Engine!$Y$118</f>
      </c>
      <c r="L118" s="18">
        <f>Matching_Engine!$AE$118</f>
      </c>
      <c r="M118" s="18">
        <f>Matching_Engine!$AM$118</f>
      </c>
      <c r="N118" s="18">
        <f>Matching_Engine!$AT$118</f>
      </c>
      <c r="O118" s="18">
        <f>Matching_Engine!$AX$118</f>
      </c>
      <c r="P118" s="29">
        <f>Matching_Engine!$AY$118</f>
      </c>
      <c r="Q118" s="11">
        <f>Matching_Engine!$AZ$118</f>
      </c>
      <c r="R118" s="11">
        <f>Matching_Engine!$BB$118</f>
      </c>
    </row>
    <row r="119" spans="1:18" x14ac:dyDescent="0.25">
      <c r="A119" s="11">
        <f>Matching_Engine!$B$119</f>
      </c>
      <c r="B119" s="11">
        <f>Matching_Engine!$D$119</f>
      </c>
      <c r="C119" s="11">
        <f>Matching_Engine!$E$119</f>
      </c>
      <c r="D119" s="11">
        <f>Matching_Engine!$G$119</f>
      </c>
      <c r="E119" s="18">
        <f>Matching_Engine!$O$119</f>
      </c>
      <c r="F119" s="18">
        <f>Matching_Engine!$P$119</f>
      </c>
      <c r="G119" s="18">
        <f>Matching_Engine!$Q$119</f>
      </c>
      <c r="H119" s="18">
        <f>Matching_Engine!$R$119</f>
      </c>
      <c r="I119" s="18">
        <f>Matching_Engine!$M$119</f>
      </c>
      <c r="J119" s="18">
        <f>Matching_Engine!$S$119</f>
      </c>
      <c r="K119" s="18">
        <f>Matching_Engine!$Y$119</f>
      </c>
      <c r="L119" s="18">
        <f>Matching_Engine!$AE$119</f>
      </c>
      <c r="M119" s="18">
        <f>Matching_Engine!$AM$119</f>
      </c>
      <c r="N119" s="18">
        <f>Matching_Engine!$AT$119</f>
      </c>
      <c r="O119" s="18">
        <f>Matching_Engine!$AX$119</f>
      </c>
      <c r="P119" s="29">
        <f>Matching_Engine!$AY$119</f>
      </c>
      <c r="Q119" s="11">
        <f>Matching_Engine!$AZ$119</f>
      </c>
      <c r="R119" s="11">
        <f>Matching_Engine!$BB$119</f>
      </c>
    </row>
    <row r="120" spans="1:18" x14ac:dyDescent="0.25">
      <c r="A120" s="11">
        <f>Matching_Engine!$B$120</f>
      </c>
      <c r="B120" s="11">
        <f>Matching_Engine!$D$120</f>
      </c>
      <c r="C120" s="11">
        <f>Matching_Engine!$E$120</f>
      </c>
      <c r="D120" s="11">
        <f>Matching_Engine!$G$120</f>
      </c>
      <c r="E120" s="18">
        <f>Matching_Engine!$O$120</f>
      </c>
      <c r="F120" s="18">
        <f>Matching_Engine!$P$120</f>
      </c>
      <c r="G120" s="18">
        <f>Matching_Engine!$Q$120</f>
      </c>
      <c r="H120" s="18">
        <f>Matching_Engine!$R$120</f>
      </c>
      <c r="I120" s="18">
        <f>Matching_Engine!$M$120</f>
      </c>
      <c r="J120" s="18">
        <f>Matching_Engine!$S$120</f>
      </c>
      <c r="K120" s="18">
        <f>Matching_Engine!$Y$120</f>
      </c>
      <c r="L120" s="18">
        <f>Matching_Engine!$AE$120</f>
      </c>
      <c r="M120" s="18">
        <f>Matching_Engine!$AM$120</f>
      </c>
      <c r="N120" s="18">
        <f>Matching_Engine!$AT$120</f>
      </c>
      <c r="O120" s="18">
        <f>Matching_Engine!$AX$120</f>
      </c>
      <c r="P120" s="29">
        <f>Matching_Engine!$AY$120</f>
      </c>
      <c r="Q120" s="11">
        <f>Matching_Engine!$AZ$120</f>
      </c>
      <c r="R120" s="11">
        <f>Matching_Engine!$BB$120</f>
      </c>
    </row>
    <row r="121" spans="1:18" x14ac:dyDescent="0.25">
      <c r="A121" s="11">
        <f>Matching_Engine!$B$121</f>
      </c>
      <c r="B121" s="11">
        <f>Matching_Engine!$D$121</f>
      </c>
      <c r="C121" s="11">
        <f>Matching_Engine!$E$121</f>
      </c>
      <c r="D121" s="11">
        <f>Matching_Engine!$G$121</f>
      </c>
      <c r="E121" s="18">
        <f>Matching_Engine!$O$121</f>
      </c>
      <c r="F121" s="18">
        <f>Matching_Engine!$P$121</f>
      </c>
      <c r="G121" s="18">
        <f>Matching_Engine!$Q$121</f>
      </c>
      <c r="H121" s="18">
        <f>Matching_Engine!$R$121</f>
      </c>
      <c r="I121" s="18">
        <f>Matching_Engine!$M$121</f>
      </c>
      <c r="J121" s="18">
        <f>Matching_Engine!$S$121</f>
      </c>
      <c r="K121" s="18">
        <f>Matching_Engine!$Y$121</f>
      </c>
      <c r="L121" s="18">
        <f>Matching_Engine!$AE$121</f>
      </c>
      <c r="M121" s="18">
        <f>Matching_Engine!$AM$121</f>
      </c>
      <c r="N121" s="18">
        <f>Matching_Engine!$AT$121</f>
      </c>
      <c r="O121" s="18">
        <f>Matching_Engine!$AX$121</f>
      </c>
      <c r="P121" s="29">
        <f>Matching_Engine!$AY$121</f>
      </c>
      <c r="Q121" s="11">
        <f>Matching_Engine!$AZ$121</f>
      </c>
      <c r="R121" s="11">
        <f>Matching_Engine!$BB$121</f>
      </c>
    </row>
    <row r="122" spans="1:18" x14ac:dyDescent="0.25">
      <c r="A122" s="11">
        <f>Matching_Engine!$B$122</f>
      </c>
      <c r="B122" s="11">
        <f>Matching_Engine!$D$122</f>
      </c>
      <c r="C122" s="11">
        <f>Matching_Engine!$E$122</f>
      </c>
      <c r="D122" s="11">
        <f>Matching_Engine!$G$122</f>
      </c>
      <c r="E122" s="18">
        <f>Matching_Engine!$O$122</f>
      </c>
      <c r="F122" s="18">
        <f>Matching_Engine!$P$122</f>
      </c>
      <c r="G122" s="18">
        <f>Matching_Engine!$Q$122</f>
      </c>
      <c r="H122" s="18">
        <f>Matching_Engine!$R$122</f>
      </c>
      <c r="I122" s="18">
        <f>Matching_Engine!$M$122</f>
      </c>
      <c r="J122" s="18">
        <f>Matching_Engine!$S$122</f>
      </c>
      <c r="K122" s="18">
        <f>Matching_Engine!$Y$122</f>
      </c>
      <c r="L122" s="18">
        <f>Matching_Engine!$AE$122</f>
      </c>
      <c r="M122" s="18">
        <f>Matching_Engine!$AM$122</f>
      </c>
      <c r="N122" s="18">
        <f>Matching_Engine!$AT$122</f>
      </c>
      <c r="O122" s="18">
        <f>Matching_Engine!$AX$122</f>
      </c>
      <c r="P122" s="29">
        <f>Matching_Engine!$AY$122</f>
      </c>
      <c r="Q122" s="11">
        <f>Matching_Engine!$AZ$122</f>
      </c>
      <c r="R122" s="11">
        <f>Matching_Engine!$BB$122</f>
      </c>
    </row>
    <row r="123" spans="1:18" x14ac:dyDescent="0.25">
      <c r="A123" s="11">
        <f>Matching_Engine!$B$123</f>
      </c>
      <c r="B123" s="11">
        <f>Matching_Engine!$D$123</f>
      </c>
      <c r="C123" s="11">
        <f>Matching_Engine!$E$123</f>
      </c>
      <c r="D123" s="11">
        <f>Matching_Engine!$G$123</f>
      </c>
      <c r="E123" s="18">
        <f>Matching_Engine!$O$123</f>
      </c>
      <c r="F123" s="18">
        <f>Matching_Engine!$P$123</f>
      </c>
      <c r="G123" s="18">
        <f>Matching_Engine!$Q$123</f>
      </c>
      <c r="H123" s="18">
        <f>Matching_Engine!$R$123</f>
      </c>
      <c r="I123" s="18">
        <f>Matching_Engine!$M$123</f>
      </c>
      <c r="J123" s="18">
        <f>Matching_Engine!$S$123</f>
      </c>
      <c r="K123" s="18">
        <f>Matching_Engine!$Y$123</f>
      </c>
      <c r="L123" s="18">
        <f>Matching_Engine!$AE$123</f>
      </c>
      <c r="M123" s="18">
        <f>Matching_Engine!$AM$123</f>
      </c>
      <c r="N123" s="18">
        <f>Matching_Engine!$AT$123</f>
      </c>
      <c r="O123" s="18">
        <f>Matching_Engine!$AX$123</f>
      </c>
      <c r="P123" s="29">
        <f>Matching_Engine!$AY$123</f>
      </c>
      <c r="Q123" s="11">
        <f>Matching_Engine!$AZ$123</f>
      </c>
      <c r="R123" s="11">
        <f>Matching_Engine!$BB$123</f>
      </c>
    </row>
    <row r="124" spans="1:18" x14ac:dyDescent="0.25">
      <c r="A124" s="11">
        <f>Matching_Engine!$B$124</f>
      </c>
      <c r="B124" s="11">
        <f>Matching_Engine!$D$124</f>
      </c>
      <c r="C124" s="11">
        <f>Matching_Engine!$E$124</f>
      </c>
      <c r="D124" s="11">
        <f>Matching_Engine!$G$124</f>
      </c>
      <c r="E124" s="18">
        <f>Matching_Engine!$O$124</f>
      </c>
      <c r="F124" s="18">
        <f>Matching_Engine!$P$124</f>
      </c>
      <c r="G124" s="18">
        <f>Matching_Engine!$Q$124</f>
      </c>
      <c r="H124" s="18">
        <f>Matching_Engine!$R$124</f>
      </c>
      <c r="I124" s="18">
        <f>Matching_Engine!$M$124</f>
      </c>
      <c r="J124" s="18">
        <f>Matching_Engine!$S$124</f>
      </c>
      <c r="K124" s="18">
        <f>Matching_Engine!$Y$124</f>
      </c>
      <c r="L124" s="18">
        <f>Matching_Engine!$AE$124</f>
      </c>
      <c r="M124" s="18">
        <f>Matching_Engine!$AM$124</f>
      </c>
      <c r="N124" s="18">
        <f>Matching_Engine!$AT$124</f>
      </c>
      <c r="O124" s="18">
        <f>Matching_Engine!$AX$124</f>
      </c>
      <c r="P124" s="29">
        <f>Matching_Engine!$AY$124</f>
      </c>
      <c r="Q124" s="11">
        <f>Matching_Engine!$AZ$124</f>
      </c>
      <c r="R124" s="11">
        <f>Matching_Engine!$BB$124</f>
      </c>
    </row>
    <row r="125" spans="1:18" x14ac:dyDescent="0.25">
      <c r="A125" s="11">
        <f>Matching_Engine!$B$125</f>
      </c>
      <c r="B125" s="11">
        <f>Matching_Engine!$D$125</f>
      </c>
      <c r="C125" s="11">
        <f>Matching_Engine!$E$125</f>
      </c>
      <c r="D125" s="11">
        <f>Matching_Engine!$G$125</f>
      </c>
      <c r="E125" s="18">
        <f>Matching_Engine!$O$125</f>
      </c>
      <c r="F125" s="18">
        <f>Matching_Engine!$P$125</f>
      </c>
      <c r="G125" s="18">
        <f>Matching_Engine!$Q$125</f>
      </c>
      <c r="H125" s="18">
        <f>Matching_Engine!$R$125</f>
      </c>
      <c r="I125" s="18">
        <f>Matching_Engine!$M$125</f>
      </c>
      <c r="J125" s="18">
        <f>Matching_Engine!$S$125</f>
      </c>
      <c r="K125" s="18">
        <f>Matching_Engine!$Y$125</f>
      </c>
      <c r="L125" s="18">
        <f>Matching_Engine!$AE$125</f>
      </c>
      <c r="M125" s="18">
        <f>Matching_Engine!$AM$125</f>
      </c>
      <c r="N125" s="18">
        <f>Matching_Engine!$AT$125</f>
      </c>
      <c r="O125" s="18">
        <f>Matching_Engine!$AX$125</f>
      </c>
      <c r="P125" s="29">
        <f>Matching_Engine!$AY$125</f>
      </c>
      <c r="Q125" s="11">
        <f>Matching_Engine!$AZ$125</f>
      </c>
      <c r="R125" s="11">
        <f>Matching_Engine!$BB$125</f>
      </c>
    </row>
  </sheetData>
  <autoFilter ref="A5:R5"/>
  <mergeCells count="6">
    <mergeCell ref="A1:R1"/>
    <mergeCell ref="A2:R2"/>
    <mergeCell ref="A4:D4"/>
    <mergeCell ref="E4:H4"/>
    <mergeCell ref="I4:N4"/>
    <mergeCell ref="O4:R4"/>
  </mergeCells>
  <conditionalFormatting sqref="P6:P125">
    <cfRule type="colorScale" priority="1">
      <colorScale>
        <cfvo type="num" val="30"/>
        <cfvo type="num" val="55"/>
        <cfvo type="num" val="80"/>
        <color rgb="FFF8696B"/>
        <color rgb="FFFFEB84"/>
        <color rgb="FF63BE7B"/>
      </colorScale>
    </cfRule>
  </conditionalFormatting>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5"/>
  <sheetViews>
    <sheetView workbookViewId="0">
      <pane xSplit="3" ySplit="5" topLeftCell="D6" activePane="bottomRight" state="frozen"/>
      <selection pane="bottomRight"/>
    </sheetView>
  </sheetViews>
  <sheetFormatPr defaultRowHeight="15" outlineLevelRow="0" outlineLevelCol="0" x14ac:dyDescent="55"/>
  <cols>
    <col min="1" max="5" width="18" customWidth="1"/>
    <col min="6" max="6" width="78" customWidth="1"/>
    <col min="7" max="8" width="18" customWidth="1"/>
    <col min="9" max="10" width="52" customWidth="1"/>
    <col min="11" max="11" width="18" customWidth="1"/>
    <col min="12" max="27" width="13" customWidth="1"/>
  </cols>
  <sheetData>
    <row r="1" ht="24" customHeight="1" spans="1:27" x14ac:dyDescent="0.25">
      <c r="A1" s="1" t="s">
        <v>680</v>
      </c>
      <c r="B1" s="1"/>
      <c r="C1" s="1"/>
      <c r="D1" s="1"/>
      <c r="E1" s="1"/>
      <c r="F1" s="1"/>
      <c r="G1" s="1"/>
      <c r="H1" s="1"/>
      <c r="I1" s="1"/>
      <c r="J1" s="1"/>
      <c r="K1" s="1"/>
      <c r="L1" s="1"/>
      <c r="M1" s="1"/>
      <c r="N1" s="1"/>
      <c r="O1" s="1"/>
      <c r="P1" s="1"/>
      <c r="Q1" s="1"/>
      <c r="R1" s="1"/>
      <c r="S1" s="1"/>
      <c r="T1" s="1"/>
      <c r="U1" s="1"/>
      <c r="V1" s="1"/>
      <c r="W1" s="1"/>
      <c r="X1" s="1"/>
      <c r="Y1" s="1"/>
      <c r="Z1" s="1"/>
      <c r="AA1" s="1"/>
    </row>
    <row r="2" ht="30" customHeight="1" spans="1:27" x14ac:dyDescent="0.25">
      <c r="A2" s="2" t="s">
        <v>681</v>
      </c>
      <c r="B2" s="2"/>
      <c r="C2" s="2"/>
      <c r="D2" s="2"/>
      <c r="E2" s="2"/>
      <c r="F2" s="2"/>
      <c r="G2" s="2"/>
      <c r="H2" s="2"/>
      <c r="I2" s="2"/>
      <c r="J2" s="2"/>
      <c r="K2" s="2"/>
      <c r="L2" s="2"/>
      <c r="M2" s="2"/>
      <c r="N2" s="2"/>
      <c r="O2" s="2"/>
      <c r="P2" s="2"/>
      <c r="Q2" s="2"/>
      <c r="R2" s="2"/>
      <c r="S2" s="2"/>
      <c r="T2" s="2"/>
      <c r="U2" s="2"/>
      <c r="V2" s="2"/>
      <c r="W2" s="2"/>
      <c r="X2" s="2"/>
      <c r="Y2" s="2"/>
      <c r="Z2" s="2"/>
      <c r="AA2" s="2"/>
    </row>
    <row r="4" spans="1:27" x14ac:dyDescent="0.25">
      <c r="A4" s="9" t="s">
        <v>682</v>
      </c>
      <c r="B4" s="9"/>
      <c r="C4" s="9"/>
      <c r="D4" s="9"/>
      <c r="E4" s="9"/>
      <c r="F4" s="9"/>
      <c r="G4" s="9"/>
      <c r="H4" s="9"/>
      <c r="I4" s="9"/>
      <c r="J4" s="9"/>
      <c r="K4" s="9"/>
      <c r="L4" s="31" t="s">
        <v>683</v>
      </c>
      <c r="M4" s="31"/>
      <c r="N4" s="31"/>
      <c r="O4" s="31"/>
      <c r="P4" s="31"/>
      <c r="Q4" s="31"/>
      <c r="R4" s="31"/>
      <c r="S4" s="31"/>
      <c r="T4" s="31"/>
      <c r="U4" s="31"/>
      <c r="V4" s="31"/>
      <c r="W4" s="31"/>
      <c r="X4" s="31"/>
      <c r="Y4" s="31"/>
      <c r="Z4" s="31"/>
      <c r="AA4" s="31"/>
    </row>
    <row r="5" ht="40" customHeight="1" spans="1:27" x14ac:dyDescent="0.25">
      <c r="A5" s="6" t="s">
        <v>626</v>
      </c>
      <c r="B5" s="6" t="s">
        <v>627</v>
      </c>
      <c r="C5" s="6" t="s">
        <v>628</v>
      </c>
      <c r="D5" s="6" t="s">
        <v>679</v>
      </c>
      <c r="E5" s="6" t="s">
        <v>669</v>
      </c>
      <c r="F5" s="6" t="s">
        <v>684</v>
      </c>
      <c r="G5" s="6" t="s">
        <v>685</v>
      </c>
      <c r="H5" s="6" t="s">
        <v>686</v>
      </c>
      <c r="I5" s="6" t="s">
        <v>687</v>
      </c>
      <c r="J5" s="6" t="s">
        <v>688</v>
      </c>
      <c r="K5" s="6" t="s">
        <v>689</v>
      </c>
      <c r="L5" s="6" t="s">
        <v>690</v>
      </c>
      <c r="M5" s="6" t="s">
        <v>691</v>
      </c>
      <c r="N5" s="6" t="s">
        <v>692</v>
      </c>
      <c r="O5" s="6" t="s">
        <v>693</v>
      </c>
      <c r="P5" s="6" t="s">
        <v>694</v>
      </c>
      <c r="Q5" s="6" t="s">
        <v>695</v>
      </c>
      <c r="R5" s="6" t="s">
        <v>696</v>
      </c>
      <c r="S5" s="6" t="s">
        <v>697</v>
      </c>
      <c r="T5" s="6" t="s">
        <v>698</v>
      </c>
      <c r="U5" s="6" t="s">
        <v>699</v>
      </c>
      <c r="V5" s="6" t="s">
        <v>700</v>
      </c>
      <c r="W5" s="6" t="s">
        <v>701</v>
      </c>
      <c r="X5" s="6" t="s">
        <v>702</v>
      </c>
      <c r="Y5" s="6" t="s">
        <v>703</v>
      </c>
      <c r="Z5" s="6" t="s">
        <v>704</v>
      </c>
      <c r="AA5" s="6" t="s">
        <v>705</v>
      </c>
    </row>
    <row r="6" spans="1:27" x14ac:dyDescent="0.25">
      <c r="A6" s="32">
        <f>Matching_Engine!$B$6</f>
      </c>
      <c r="B6" s="32">
        <f>Matching_Engine!$D$6</f>
      </c>
      <c r="C6" s="32">
        <f>Matching_Engine!$E$6</f>
      </c>
      <c r="D6" s="33">
        <f>Matching_Engine!$AY$6</f>
      </c>
      <c r="E6" s="32">
        <f>Matching_Engine!$AZ$6</f>
      </c>
      <c r="F6" s="32">
        <f>IF(NOT(ISNUMBER(Matching_Engine!$AY$6)),"Not scored: no component of the model had data for this account, so no match can be claimed either way.",Matching_Engine!$AZ$6&amp;" — "&amp;Matching_Engine!$AY$6&amp;"/100 against "&amp;Matching_Engine!$B$6&amp;". "&amp;"Strongest factor "&amp;$S$6&amp;" at "&amp;$R$6&amp;"; weakest "&amp;$AA$6&amp;" at "&amp;$Z$6&amp;". "&amp;IF(AND(ISTEXT(Matching_Engine!$G$6),Matching_Engine!$G$6&lt;&gt;"N/A"),"Tagged category "&amp;Matching_Engine!$G$6&amp;" scores "&amp;IF(ISNUMBER(Matching_Engine!$J$6),Matching_Engine!$J$6,0)&amp;" against the brand category "&amp;Matching_Engine!$B$6&amp;" targets. ","Creator carries no category on record, so the category-driven parts fall back to neutral rather than penalising the creator. ")&amp;IF(ISNUMBER(Matching_Engine!$R$6),"Audience-interest overlap "&amp;Matching_Engine!$R$6&amp;". ","Audience interests unmeasured. ")&amp;IF(Matching_Engine!$AX$6&lt;100,"Scored on "&amp;Matching_Engine!$AX$6&amp;" of the 100 nominal weight points; the rest had no data.",""))</f>
      </c>
      <c r="G6" s="32">
        <f>IF(NOT(ISNUMBER(Matching_Engine!$AY$6)),"N/A",$S$6&amp;" ("&amp;$R$6&amp;"/100)")</f>
      </c>
      <c r="H6" s="32">
        <f>IF(NOT(ISNUMBER(Matching_Engine!$AY$6)),"N/A",$AA$6&amp;" ("&amp;$Z$6&amp;"/100)")</f>
      </c>
      <c r="I6" s="32">
        <f>IF(NOT(ISNUMBER(Matching_Engine!$AY$6)),"No data to consider: this account has no measured signal.",IF($Z$6&lt;Lookup_Lists!$D$161,$AA$6&amp;" sits at "&amp;$Z$6&amp;", below the "&amp;Lookup_Lists!$D$161&amp;"-point consideration threshold"&amp;IF(Matching_Engine!$AF$6=0," · Brand Personality Fit could not be scored at all: no creator personality, tone, values or content-style column exists","")&amp;IF(Matching_Engine!$AI$6="N/A"," · posting cadence unusable, so Consistency is excluded from Performance","")&amp;".","No component falls below the "&amp;Lookup_Lists!$D$161&amp;"-point consideration threshold."))</f>
      </c>
      <c r="J6" s="32">
        <f>Matching_Engine!$AV$6&amp;" — "&amp;Matching_Engine!$AW$6&amp;IF(Matching_Engine!$BB$6="Limited Data"," Confidence is Limited Data: "&amp;Matching_Engine!$BA$6&amp;"% of tracked fields carry a value.","")</f>
      </c>
      <c r="K6" s="32">
        <f>IF(NOT(ISNUMBER(Matching_Engine!$AY$6)),"Do not shortlist on this data — re-scrape the account first.",IF(Matching_Engine!$AY$6&gt;=Lookup_Lists!$D$156,"Highly Recommended",IF(Matching_Engine!$AY$6&gt;=Lookup_Lists!$D$157,"Recommended",IF(Matching_Engine!$AY$6&gt;=Lookup_Lists!$D$158,"Consider","Low Priority")))&amp;IF(Matching_Engine!$AX$6&lt;100," (on partial data)",""))</f>
      </c>
      <c r="L6" s="34">
        <f>IF(ISNUMBER(Matching_Engine!$M$6),Matching_Engine!$M$6,-1)</f>
      </c>
      <c r="M6" s="34">
        <f>IF(ISNUMBER(Matching_Engine!$S$6),Matching_Engine!$S$6,-1)</f>
      </c>
      <c r="N6" s="34">
        <f>IF(ISNUMBER(Matching_Engine!$Y$6),Matching_Engine!$Y$6,-1)</f>
      </c>
      <c r="O6" s="34">
        <f>IF(ISNUMBER(Matching_Engine!$AE$6),Matching_Engine!$AE$6,-1)</f>
      </c>
      <c r="P6" s="34">
        <f>IF(ISNUMBER(Matching_Engine!$AM$6),Matching_Engine!$AM$6,-1)</f>
      </c>
      <c r="Q6" s="34">
        <f>IF(ISNUMBER(Matching_Engine!$AT$6),Matching_Engine!$AT$6,-1)</f>
      </c>
      <c r="R6" s="34">
        <f>MAX($L$6:$Q$6)</f>
      </c>
      <c r="S6" s="32">
        <f>INDEX({"Brand &amp; Business Relevance","Target Audience Relevance","Content &amp; Category Relevance","Brand Personality Fit","Performance Quality","Brand Safety"},MATCH($R$6,$L$6:$Q$6,0))</f>
      </c>
      <c r="T6" s="34">
        <f>IF(ISNUMBER(Matching_Engine!$M$6),Matching_Engine!$M$6,999)</f>
      </c>
      <c r="U6" s="34">
        <f>IF(ISNUMBER(Matching_Engine!$S$6),Matching_Engine!$S$6,999)</f>
      </c>
      <c r="V6" s="34">
        <f>IF(ISNUMBER(Matching_Engine!$Y$6),Matching_Engine!$Y$6,999)</f>
      </c>
      <c r="W6" s="34">
        <f>IF(ISNUMBER(Matching_Engine!$AE$6),Matching_Engine!$AE$6,999)</f>
      </c>
      <c r="X6" s="34">
        <f>IF(ISNUMBER(Matching_Engine!$AM$6),Matching_Engine!$AM$6,999)</f>
      </c>
      <c r="Y6" s="34">
        <f>IF(ISNUMBER(Matching_Engine!$AT$6),Matching_Engine!$AT$6,999)</f>
      </c>
      <c r="Z6" s="34">
        <f>MIN($T$6:$Y$6)</f>
      </c>
      <c r="AA6" s="32">
        <f>INDEX({"Brand &amp; Business Relevance","Target Audience Relevance","Content &amp; Category Relevance","Brand Personality Fit","Performance Quality","Brand Safety"},MATCH($Z$6,$T$6:$Y$6,0))</f>
      </c>
    </row>
    <row r="7" spans="1:27" x14ac:dyDescent="0.25">
      <c r="A7" s="32">
        <f>Matching_Engine!$B$7</f>
      </c>
      <c r="B7" s="32">
        <f>Matching_Engine!$D$7</f>
      </c>
      <c r="C7" s="32">
        <f>Matching_Engine!$E$7</f>
      </c>
      <c r="D7" s="33">
        <f>Matching_Engine!$AY$7</f>
      </c>
      <c r="E7" s="32">
        <f>Matching_Engine!$AZ$7</f>
      </c>
      <c r="F7" s="32">
        <f>IF(NOT(ISNUMBER(Matching_Engine!$AY$7)),"Not scored: no component of the model had data for this account, so no match can be claimed either way.",Matching_Engine!$AZ$7&amp;" — "&amp;Matching_Engine!$AY$7&amp;"/100 against "&amp;Matching_Engine!$B$7&amp;". "&amp;"Strongest factor "&amp;$S$7&amp;" at "&amp;$R$7&amp;"; weakest "&amp;$AA$7&amp;" at "&amp;$Z$7&amp;". "&amp;IF(AND(ISTEXT(Matching_Engine!$G$7),Matching_Engine!$G$7&lt;&gt;"N/A"),"Tagged category "&amp;Matching_Engine!$G$7&amp;" scores "&amp;IF(ISNUMBER(Matching_Engine!$J$7),Matching_Engine!$J$7,0)&amp;" against the brand category "&amp;Matching_Engine!$B$7&amp;" targets. ","Creator carries no category on record, so the category-driven parts fall back to neutral rather than penalising the creator. ")&amp;IF(ISNUMBER(Matching_Engine!$R$7),"Audience-interest overlap "&amp;Matching_Engine!$R$7&amp;". ","Audience interests unmeasured. ")&amp;IF(Matching_Engine!$AX$7&lt;100,"Scored on "&amp;Matching_Engine!$AX$7&amp;" of the 100 nominal weight points; the rest had no data.",""))</f>
      </c>
      <c r="G7" s="32">
        <f>IF(NOT(ISNUMBER(Matching_Engine!$AY$7)),"N/A",$S$7&amp;" ("&amp;$R$7&amp;"/100)")</f>
      </c>
      <c r="H7" s="32">
        <f>IF(NOT(ISNUMBER(Matching_Engine!$AY$7)),"N/A",$AA$7&amp;" ("&amp;$Z$7&amp;"/100)")</f>
      </c>
      <c r="I7" s="32">
        <f>IF(NOT(ISNUMBER(Matching_Engine!$AY$7)),"No data to consider: this account has no measured signal.",IF($Z$7&lt;Lookup_Lists!$D$161,$AA$7&amp;" sits at "&amp;$Z$7&amp;", below the "&amp;Lookup_Lists!$D$161&amp;"-point consideration threshold"&amp;IF(Matching_Engine!$AF$7=0," · Brand Personality Fit could not be scored at all: no creator personality, tone, values or content-style column exists","")&amp;IF(Matching_Engine!$AI$7="N/A"," · posting cadence unusable, so Consistency is excluded from Performance","")&amp;".","No component falls below the "&amp;Lookup_Lists!$D$161&amp;"-point consideration threshold."))</f>
      </c>
      <c r="J7" s="32">
        <f>Matching_Engine!$AV$7&amp;" — "&amp;Matching_Engine!$AW$7&amp;IF(Matching_Engine!$BB$7="Limited Data"," Confidence is Limited Data: "&amp;Matching_Engine!$BA$7&amp;"% of tracked fields carry a value.","")</f>
      </c>
      <c r="K7" s="32">
        <f>IF(NOT(ISNUMBER(Matching_Engine!$AY$7)),"Do not shortlist on this data — re-scrape the account first.",IF(Matching_Engine!$AY$7&gt;=Lookup_Lists!$D$156,"Highly Recommended",IF(Matching_Engine!$AY$7&gt;=Lookup_Lists!$D$157,"Recommended",IF(Matching_Engine!$AY$7&gt;=Lookup_Lists!$D$158,"Consider","Low Priority")))&amp;IF(Matching_Engine!$AX$7&lt;100," (on partial data)",""))</f>
      </c>
      <c r="L7" s="34">
        <f>IF(ISNUMBER(Matching_Engine!$M$7),Matching_Engine!$M$7,-1)</f>
      </c>
      <c r="M7" s="34">
        <f>IF(ISNUMBER(Matching_Engine!$S$7),Matching_Engine!$S$7,-1)</f>
      </c>
      <c r="N7" s="34">
        <f>IF(ISNUMBER(Matching_Engine!$Y$7),Matching_Engine!$Y$7,-1)</f>
      </c>
      <c r="O7" s="34">
        <f>IF(ISNUMBER(Matching_Engine!$AE$7),Matching_Engine!$AE$7,-1)</f>
      </c>
      <c r="P7" s="34">
        <f>IF(ISNUMBER(Matching_Engine!$AM$7),Matching_Engine!$AM$7,-1)</f>
      </c>
      <c r="Q7" s="34">
        <f>IF(ISNUMBER(Matching_Engine!$AT$7),Matching_Engine!$AT$7,-1)</f>
      </c>
      <c r="R7" s="34">
        <f>MAX($L$7:$Q$7)</f>
      </c>
      <c r="S7" s="32">
        <f>INDEX({"Brand &amp; Business Relevance","Target Audience Relevance","Content &amp; Category Relevance","Brand Personality Fit","Performance Quality","Brand Safety"},MATCH($R$7,$L$7:$Q$7,0))</f>
      </c>
      <c r="T7" s="34">
        <f>IF(ISNUMBER(Matching_Engine!$M$7),Matching_Engine!$M$7,999)</f>
      </c>
      <c r="U7" s="34">
        <f>IF(ISNUMBER(Matching_Engine!$S$7),Matching_Engine!$S$7,999)</f>
      </c>
      <c r="V7" s="34">
        <f>IF(ISNUMBER(Matching_Engine!$Y$7),Matching_Engine!$Y$7,999)</f>
      </c>
      <c r="W7" s="34">
        <f>IF(ISNUMBER(Matching_Engine!$AE$7),Matching_Engine!$AE$7,999)</f>
      </c>
      <c r="X7" s="34">
        <f>IF(ISNUMBER(Matching_Engine!$AM$7),Matching_Engine!$AM$7,999)</f>
      </c>
      <c r="Y7" s="34">
        <f>IF(ISNUMBER(Matching_Engine!$AT$7),Matching_Engine!$AT$7,999)</f>
      </c>
      <c r="Z7" s="34">
        <f>MIN($T$7:$Y$7)</f>
      </c>
      <c r="AA7" s="32">
        <f>INDEX({"Brand &amp; Business Relevance","Target Audience Relevance","Content &amp; Category Relevance","Brand Personality Fit","Performance Quality","Brand Safety"},MATCH($Z$7,$T$7:$Y$7,0))</f>
      </c>
    </row>
    <row r="8" spans="1:27" x14ac:dyDescent="0.25">
      <c r="A8" s="32">
        <f>Matching_Engine!$B$8</f>
      </c>
      <c r="B8" s="32">
        <f>Matching_Engine!$D$8</f>
      </c>
      <c r="C8" s="32">
        <f>Matching_Engine!$E$8</f>
      </c>
      <c r="D8" s="33">
        <f>Matching_Engine!$AY$8</f>
      </c>
      <c r="E8" s="32">
        <f>Matching_Engine!$AZ$8</f>
      </c>
      <c r="F8" s="32">
        <f>IF(NOT(ISNUMBER(Matching_Engine!$AY$8)),"Not scored: no component of the model had data for this account, so no match can be claimed either way.",Matching_Engine!$AZ$8&amp;" — "&amp;Matching_Engine!$AY$8&amp;"/100 against "&amp;Matching_Engine!$B$8&amp;". "&amp;"Strongest factor "&amp;$S$8&amp;" at "&amp;$R$8&amp;"; weakest "&amp;$AA$8&amp;" at "&amp;$Z$8&amp;". "&amp;IF(AND(ISTEXT(Matching_Engine!$G$8),Matching_Engine!$G$8&lt;&gt;"N/A"),"Tagged category "&amp;Matching_Engine!$G$8&amp;" scores "&amp;IF(ISNUMBER(Matching_Engine!$J$8),Matching_Engine!$J$8,0)&amp;" against the brand category "&amp;Matching_Engine!$B$8&amp;" targets. ","Creator carries no category on record, so the category-driven parts fall back to neutral rather than penalising the creator. ")&amp;IF(ISNUMBER(Matching_Engine!$R$8),"Audience-interest overlap "&amp;Matching_Engine!$R$8&amp;". ","Audience interests unmeasured. ")&amp;IF(Matching_Engine!$AX$8&lt;100,"Scored on "&amp;Matching_Engine!$AX$8&amp;" of the 100 nominal weight points; the rest had no data.",""))</f>
      </c>
      <c r="G8" s="32">
        <f>IF(NOT(ISNUMBER(Matching_Engine!$AY$8)),"N/A",$S$8&amp;" ("&amp;$R$8&amp;"/100)")</f>
      </c>
      <c r="H8" s="32">
        <f>IF(NOT(ISNUMBER(Matching_Engine!$AY$8)),"N/A",$AA$8&amp;" ("&amp;$Z$8&amp;"/100)")</f>
      </c>
      <c r="I8" s="32">
        <f>IF(NOT(ISNUMBER(Matching_Engine!$AY$8)),"No data to consider: this account has no measured signal.",IF($Z$8&lt;Lookup_Lists!$D$161,$AA$8&amp;" sits at "&amp;$Z$8&amp;", below the "&amp;Lookup_Lists!$D$161&amp;"-point consideration threshold"&amp;IF(Matching_Engine!$AF$8=0," · Brand Personality Fit could not be scored at all: no creator personality, tone, values or content-style column exists","")&amp;IF(Matching_Engine!$AI$8="N/A"," · posting cadence unusable, so Consistency is excluded from Performance","")&amp;".","No component falls below the "&amp;Lookup_Lists!$D$161&amp;"-point consideration threshold."))</f>
      </c>
      <c r="J8" s="32">
        <f>Matching_Engine!$AV$8&amp;" — "&amp;Matching_Engine!$AW$8&amp;IF(Matching_Engine!$BB$8="Limited Data"," Confidence is Limited Data: "&amp;Matching_Engine!$BA$8&amp;"% of tracked fields carry a value.","")</f>
      </c>
      <c r="K8" s="32">
        <f>IF(NOT(ISNUMBER(Matching_Engine!$AY$8)),"Do not shortlist on this data — re-scrape the account first.",IF(Matching_Engine!$AY$8&gt;=Lookup_Lists!$D$156,"Highly Recommended",IF(Matching_Engine!$AY$8&gt;=Lookup_Lists!$D$157,"Recommended",IF(Matching_Engine!$AY$8&gt;=Lookup_Lists!$D$158,"Consider","Low Priority")))&amp;IF(Matching_Engine!$AX$8&lt;100," (on partial data)",""))</f>
      </c>
      <c r="L8" s="34">
        <f>IF(ISNUMBER(Matching_Engine!$M$8),Matching_Engine!$M$8,-1)</f>
      </c>
      <c r="M8" s="34">
        <f>IF(ISNUMBER(Matching_Engine!$S$8),Matching_Engine!$S$8,-1)</f>
      </c>
      <c r="N8" s="34">
        <f>IF(ISNUMBER(Matching_Engine!$Y$8),Matching_Engine!$Y$8,-1)</f>
      </c>
      <c r="O8" s="34">
        <f>IF(ISNUMBER(Matching_Engine!$AE$8),Matching_Engine!$AE$8,-1)</f>
      </c>
      <c r="P8" s="34">
        <f>IF(ISNUMBER(Matching_Engine!$AM$8),Matching_Engine!$AM$8,-1)</f>
      </c>
      <c r="Q8" s="34">
        <f>IF(ISNUMBER(Matching_Engine!$AT$8),Matching_Engine!$AT$8,-1)</f>
      </c>
      <c r="R8" s="34">
        <f>MAX($L$8:$Q$8)</f>
      </c>
      <c r="S8" s="32">
        <f>INDEX({"Brand &amp; Business Relevance","Target Audience Relevance","Content &amp; Category Relevance","Brand Personality Fit","Performance Quality","Brand Safety"},MATCH($R$8,$L$8:$Q$8,0))</f>
      </c>
      <c r="T8" s="34">
        <f>IF(ISNUMBER(Matching_Engine!$M$8),Matching_Engine!$M$8,999)</f>
      </c>
      <c r="U8" s="34">
        <f>IF(ISNUMBER(Matching_Engine!$S$8),Matching_Engine!$S$8,999)</f>
      </c>
      <c r="V8" s="34">
        <f>IF(ISNUMBER(Matching_Engine!$Y$8),Matching_Engine!$Y$8,999)</f>
      </c>
      <c r="W8" s="34">
        <f>IF(ISNUMBER(Matching_Engine!$AE$8),Matching_Engine!$AE$8,999)</f>
      </c>
      <c r="X8" s="34">
        <f>IF(ISNUMBER(Matching_Engine!$AM$8),Matching_Engine!$AM$8,999)</f>
      </c>
      <c r="Y8" s="34">
        <f>IF(ISNUMBER(Matching_Engine!$AT$8),Matching_Engine!$AT$8,999)</f>
      </c>
      <c r="Z8" s="34">
        <f>MIN($T$8:$Y$8)</f>
      </c>
      <c r="AA8" s="32">
        <f>INDEX({"Brand &amp; Business Relevance","Target Audience Relevance","Content &amp; Category Relevance","Brand Personality Fit","Performance Quality","Brand Safety"},MATCH($Z$8,$T$8:$Y$8,0))</f>
      </c>
    </row>
    <row r="9" spans="1:27" x14ac:dyDescent="0.25">
      <c r="A9" s="32">
        <f>Matching_Engine!$B$9</f>
      </c>
      <c r="B9" s="32">
        <f>Matching_Engine!$D$9</f>
      </c>
      <c r="C9" s="32">
        <f>Matching_Engine!$E$9</f>
      </c>
      <c r="D9" s="33">
        <f>Matching_Engine!$AY$9</f>
      </c>
      <c r="E9" s="32">
        <f>Matching_Engine!$AZ$9</f>
      </c>
      <c r="F9" s="32">
        <f>IF(NOT(ISNUMBER(Matching_Engine!$AY$9)),"Not scored: no component of the model had data for this account, so no match can be claimed either way.",Matching_Engine!$AZ$9&amp;" — "&amp;Matching_Engine!$AY$9&amp;"/100 against "&amp;Matching_Engine!$B$9&amp;". "&amp;"Strongest factor "&amp;$S$9&amp;" at "&amp;$R$9&amp;"; weakest "&amp;$AA$9&amp;" at "&amp;$Z$9&amp;". "&amp;IF(AND(ISTEXT(Matching_Engine!$G$9),Matching_Engine!$G$9&lt;&gt;"N/A"),"Tagged category "&amp;Matching_Engine!$G$9&amp;" scores "&amp;IF(ISNUMBER(Matching_Engine!$J$9),Matching_Engine!$J$9,0)&amp;" against the brand category "&amp;Matching_Engine!$B$9&amp;" targets. ","Creator carries no category on record, so the category-driven parts fall back to neutral rather than penalising the creator. ")&amp;IF(ISNUMBER(Matching_Engine!$R$9),"Audience-interest overlap "&amp;Matching_Engine!$R$9&amp;". ","Audience interests unmeasured. ")&amp;IF(Matching_Engine!$AX$9&lt;100,"Scored on "&amp;Matching_Engine!$AX$9&amp;" of the 100 nominal weight points; the rest had no data.",""))</f>
      </c>
      <c r="G9" s="32">
        <f>IF(NOT(ISNUMBER(Matching_Engine!$AY$9)),"N/A",$S$9&amp;" ("&amp;$R$9&amp;"/100)")</f>
      </c>
      <c r="H9" s="32">
        <f>IF(NOT(ISNUMBER(Matching_Engine!$AY$9)),"N/A",$AA$9&amp;" ("&amp;$Z$9&amp;"/100)")</f>
      </c>
      <c r="I9" s="32">
        <f>IF(NOT(ISNUMBER(Matching_Engine!$AY$9)),"No data to consider: this account has no measured signal.",IF($Z$9&lt;Lookup_Lists!$D$161,$AA$9&amp;" sits at "&amp;$Z$9&amp;", below the "&amp;Lookup_Lists!$D$161&amp;"-point consideration threshold"&amp;IF(Matching_Engine!$AF$9=0," · Brand Personality Fit could not be scored at all: no creator personality, tone, values or content-style column exists","")&amp;IF(Matching_Engine!$AI$9="N/A"," · posting cadence unusable, so Consistency is excluded from Performance","")&amp;".","No component falls below the "&amp;Lookup_Lists!$D$161&amp;"-point consideration threshold."))</f>
      </c>
      <c r="J9" s="32">
        <f>Matching_Engine!$AV$9&amp;" — "&amp;Matching_Engine!$AW$9&amp;IF(Matching_Engine!$BB$9="Limited Data"," Confidence is Limited Data: "&amp;Matching_Engine!$BA$9&amp;"% of tracked fields carry a value.","")</f>
      </c>
      <c r="K9" s="32">
        <f>IF(NOT(ISNUMBER(Matching_Engine!$AY$9)),"Do not shortlist on this data — re-scrape the account first.",IF(Matching_Engine!$AY$9&gt;=Lookup_Lists!$D$156,"Highly Recommended",IF(Matching_Engine!$AY$9&gt;=Lookup_Lists!$D$157,"Recommended",IF(Matching_Engine!$AY$9&gt;=Lookup_Lists!$D$158,"Consider","Low Priority")))&amp;IF(Matching_Engine!$AX$9&lt;100," (on partial data)",""))</f>
      </c>
      <c r="L9" s="34">
        <f>IF(ISNUMBER(Matching_Engine!$M$9),Matching_Engine!$M$9,-1)</f>
      </c>
      <c r="M9" s="34">
        <f>IF(ISNUMBER(Matching_Engine!$S$9),Matching_Engine!$S$9,-1)</f>
      </c>
      <c r="N9" s="34">
        <f>IF(ISNUMBER(Matching_Engine!$Y$9),Matching_Engine!$Y$9,-1)</f>
      </c>
      <c r="O9" s="34">
        <f>IF(ISNUMBER(Matching_Engine!$AE$9),Matching_Engine!$AE$9,-1)</f>
      </c>
      <c r="P9" s="34">
        <f>IF(ISNUMBER(Matching_Engine!$AM$9),Matching_Engine!$AM$9,-1)</f>
      </c>
      <c r="Q9" s="34">
        <f>IF(ISNUMBER(Matching_Engine!$AT$9),Matching_Engine!$AT$9,-1)</f>
      </c>
      <c r="R9" s="34">
        <f>MAX($L$9:$Q$9)</f>
      </c>
      <c r="S9" s="32">
        <f>INDEX({"Brand &amp; Business Relevance","Target Audience Relevance","Content &amp; Category Relevance","Brand Personality Fit","Performance Quality","Brand Safety"},MATCH($R$9,$L$9:$Q$9,0))</f>
      </c>
      <c r="T9" s="34">
        <f>IF(ISNUMBER(Matching_Engine!$M$9),Matching_Engine!$M$9,999)</f>
      </c>
      <c r="U9" s="34">
        <f>IF(ISNUMBER(Matching_Engine!$S$9),Matching_Engine!$S$9,999)</f>
      </c>
      <c r="V9" s="34">
        <f>IF(ISNUMBER(Matching_Engine!$Y$9),Matching_Engine!$Y$9,999)</f>
      </c>
      <c r="W9" s="34">
        <f>IF(ISNUMBER(Matching_Engine!$AE$9),Matching_Engine!$AE$9,999)</f>
      </c>
      <c r="X9" s="34">
        <f>IF(ISNUMBER(Matching_Engine!$AM$9),Matching_Engine!$AM$9,999)</f>
      </c>
      <c r="Y9" s="34">
        <f>IF(ISNUMBER(Matching_Engine!$AT$9),Matching_Engine!$AT$9,999)</f>
      </c>
      <c r="Z9" s="34">
        <f>MIN($T$9:$Y$9)</f>
      </c>
      <c r="AA9" s="32">
        <f>INDEX({"Brand &amp; Business Relevance","Target Audience Relevance","Content &amp; Category Relevance","Brand Personality Fit","Performance Quality","Brand Safety"},MATCH($Z$9,$T$9:$Y$9,0))</f>
      </c>
    </row>
    <row r="10" spans="1:27" x14ac:dyDescent="0.25">
      <c r="A10" s="32">
        <f>Matching_Engine!$B$10</f>
      </c>
      <c r="B10" s="32">
        <f>Matching_Engine!$D$10</f>
      </c>
      <c r="C10" s="32">
        <f>Matching_Engine!$E$10</f>
      </c>
      <c r="D10" s="33">
        <f>Matching_Engine!$AY$10</f>
      </c>
      <c r="E10" s="32">
        <f>Matching_Engine!$AZ$10</f>
      </c>
      <c r="F10" s="32">
        <f>IF(NOT(ISNUMBER(Matching_Engine!$AY$10)),"Not scored: no component of the model had data for this account, so no match can be claimed either way.",Matching_Engine!$AZ$10&amp;" — "&amp;Matching_Engine!$AY$10&amp;"/100 against "&amp;Matching_Engine!$B$10&amp;". "&amp;"Strongest factor "&amp;$S$10&amp;" at "&amp;$R$10&amp;"; weakest "&amp;$AA$10&amp;" at "&amp;$Z$10&amp;". "&amp;IF(AND(ISTEXT(Matching_Engine!$G$10),Matching_Engine!$G$10&lt;&gt;"N/A"),"Tagged category "&amp;Matching_Engine!$G$10&amp;" scores "&amp;IF(ISNUMBER(Matching_Engine!$J$10),Matching_Engine!$J$10,0)&amp;" against the brand category "&amp;Matching_Engine!$B$10&amp;" targets. ","Creator carries no category on record, so the category-driven parts fall back to neutral rather than penalising the creator. ")&amp;IF(ISNUMBER(Matching_Engine!$R$10),"Audience-interest overlap "&amp;Matching_Engine!$R$10&amp;". ","Audience interests unmeasured. ")&amp;IF(Matching_Engine!$AX$10&lt;100,"Scored on "&amp;Matching_Engine!$AX$10&amp;" of the 100 nominal weight points; the rest had no data.",""))</f>
      </c>
      <c r="G10" s="32">
        <f>IF(NOT(ISNUMBER(Matching_Engine!$AY$10)),"N/A",$S$10&amp;" ("&amp;$R$10&amp;"/100)")</f>
      </c>
      <c r="H10" s="32">
        <f>IF(NOT(ISNUMBER(Matching_Engine!$AY$10)),"N/A",$AA$10&amp;" ("&amp;$Z$10&amp;"/100)")</f>
      </c>
      <c r="I10" s="32">
        <f>IF(NOT(ISNUMBER(Matching_Engine!$AY$10)),"No data to consider: this account has no measured signal.",IF($Z$10&lt;Lookup_Lists!$D$161,$AA$10&amp;" sits at "&amp;$Z$10&amp;", below the "&amp;Lookup_Lists!$D$161&amp;"-point consideration threshold"&amp;IF(Matching_Engine!$AF$10=0," · Brand Personality Fit could not be scored at all: no creator personality, tone, values or content-style column exists","")&amp;IF(Matching_Engine!$AI$10="N/A"," · posting cadence unusable, so Consistency is excluded from Performance","")&amp;".","No component falls below the "&amp;Lookup_Lists!$D$161&amp;"-point consideration threshold."))</f>
      </c>
      <c r="J10" s="32">
        <f>Matching_Engine!$AV$10&amp;" — "&amp;Matching_Engine!$AW$10&amp;IF(Matching_Engine!$BB$10="Limited Data"," Confidence is Limited Data: "&amp;Matching_Engine!$BA$10&amp;"% of tracked fields carry a value.","")</f>
      </c>
      <c r="K10" s="32">
        <f>IF(NOT(ISNUMBER(Matching_Engine!$AY$10)),"Do not shortlist on this data — re-scrape the account first.",IF(Matching_Engine!$AY$10&gt;=Lookup_Lists!$D$156,"Highly Recommended",IF(Matching_Engine!$AY$10&gt;=Lookup_Lists!$D$157,"Recommended",IF(Matching_Engine!$AY$10&gt;=Lookup_Lists!$D$158,"Consider","Low Priority")))&amp;IF(Matching_Engine!$AX$10&lt;100," (on partial data)",""))</f>
      </c>
      <c r="L10" s="34">
        <f>IF(ISNUMBER(Matching_Engine!$M$10),Matching_Engine!$M$10,-1)</f>
      </c>
      <c r="M10" s="34">
        <f>IF(ISNUMBER(Matching_Engine!$S$10),Matching_Engine!$S$10,-1)</f>
      </c>
      <c r="N10" s="34">
        <f>IF(ISNUMBER(Matching_Engine!$Y$10),Matching_Engine!$Y$10,-1)</f>
      </c>
      <c r="O10" s="34">
        <f>IF(ISNUMBER(Matching_Engine!$AE$10),Matching_Engine!$AE$10,-1)</f>
      </c>
      <c r="P10" s="34">
        <f>IF(ISNUMBER(Matching_Engine!$AM$10),Matching_Engine!$AM$10,-1)</f>
      </c>
      <c r="Q10" s="34">
        <f>IF(ISNUMBER(Matching_Engine!$AT$10),Matching_Engine!$AT$10,-1)</f>
      </c>
      <c r="R10" s="34">
        <f>MAX($L$10:$Q$10)</f>
      </c>
      <c r="S10" s="32">
        <f>INDEX({"Brand &amp; Business Relevance","Target Audience Relevance","Content &amp; Category Relevance","Brand Personality Fit","Performance Quality","Brand Safety"},MATCH($R$10,$L$10:$Q$10,0))</f>
      </c>
      <c r="T10" s="34">
        <f>IF(ISNUMBER(Matching_Engine!$M$10),Matching_Engine!$M$10,999)</f>
      </c>
      <c r="U10" s="34">
        <f>IF(ISNUMBER(Matching_Engine!$S$10),Matching_Engine!$S$10,999)</f>
      </c>
      <c r="V10" s="34">
        <f>IF(ISNUMBER(Matching_Engine!$Y$10),Matching_Engine!$Y$10,999)</f>
      </c>
      <c r="W10" s="34">
        <f>IF(ISNUMBER(Matching_Engine!$AE$10),Matching_Engine!$AE$10,999)</f>
      </c>
      <c r="X10" s="34">
        <f>IF(ISNUMBER(Matching_Engine!$AM$10),Matching_Engine!$AM$10,999)</f>
      </c>
      <c r="Y10" s="34">
        <f>IF(ISNUMBER(Matching_Engine!$AT$10),Matching_Engine!$AT$10,999)</f>
      </c>
      <c r="Z10" s="34">
        <f>MIN($T$10:$Y$10)</f>
      </c>
      <c r="AA10" s="32">
        <f>INDEX({"Brand &amp; Business Relevance","Target Audience Relevance","Content &amp; Category Relevance","Brand Personality Fit","Performance Quality","Brand Safety"},MATCH($Z$10,$T$10:$Y$10,0))</f>
      </c>
    </row>
    <row r="11" spans="1:27" x14ac:dyDescent="0.25">
      <c r="A11" s="32">
        <f>Matching_Engine!$B$11</f>
      </c>
      <c r="B11" s="32">
        <f>Matching_Engine!$D$11</f>
      </c>
      <c r="C11" s="32">
        <f>Matching_Engine!$E$11</f>
      </c>
      <c r="D11" s="33">
        <f>Matching_Engine!$AY$11</f>
      </c>
      <c r="E11" s="32">
        <f>Matching_Engine!$AZ$11</f>
      </c>
      <c r="F11" s="32">
        <f>IF(NOT(ISNUMBER(Matching_Engine!$AY$11)),"Not scored: no component of the model had data for this account, so no match can be claimed either way.",Matching_Engine!$AZ$11&amp;" — "&amp;Matching_Engine!$AY$11&amp;"/100 against "&amp;Matching_Engine!$B$11&amp;". "&amp;"Strongest factor "&amp;$S$11&amp;" at "&amp;$R$11&amp;"; weakest "&amp;$AA$11&amp;" at "&amp;$Z$11&amp;". "&amp;IF(AND(ISTEXT(Matching_Engine!$G$11),Matching_Engine!$G$11&lt;&gt;"N/A"),"Tagged category "&amp;Matching_Engine!$G$11&amp;" scores "&amp;IF(ISNUMBER(Matching_Engine!$J$11),Matching_Engine!$J$11,0)&amp;" against the brand category "&amp;Matching_Engine!$B$11&amp;" targets. ","Creator carries no category on record, so the category-driven parts fall back to neutral rather than penalising the creator. ")&amp;IF(ISNUMBER(Matching_Engine!$R$11),"Audience-interest overlap "&amp;Matching_Engine!$R$11&amp;". ","Audience interests unmeasured. ")&amp;IF(Matching_Engine!$AX$11&lt;100,"Scored on "&amp;Matching_Engine!$AX$11&amp;" of the 100 nominal weight points; the rest had no data.",""))</f>
      </c>
      <c r="G11" s="32">
        <f>IF(NOT(ISNUMBER(Matching_Engine!$AY$11)),"N/A",$S$11&amp;" ("&amp;$R$11&amp;"/100)")</f>
      </c>
      <c r="H11" s="32">
        <f>IF(NOT(ISNUMBER(Matching_Engine!$AY$11)),"N/A",$AA$11&amp;" ("&amp;$Z$11&amp;"/100)")</f>
      </c>
      <c r="I11" s="32">
        <f>IF(NOT(ISNUMBER(Matching_Engine!$AY$11)),"No data to consider: this account has no measured signal.",IF($Z$11&lt;Lookup_Lists!$D$161,$AA$11&amp;" sits at "&amp;$Z$11&amp;", below the "&amp;Lookup_Lists!$D$161&amp;"-point consideration threshold"&amp;IF(Matching_Engine!$AF$11=0," · Brand Personality Fit could not be scored at all: no creator personality, tone, values or content-style column exists","")&amp;IF(Matching_Engine!$AI$11="N/A"," · posting cadence unusable, so Consistency is excluded from Performance","")&amp;".","No component falls below the "&amp;Lookup_Lists!$D$161&amp;"-point consideration threshold."))</f>
      </c>
      <c r="J11" s="32">
        <f>Matching_Engine!$AV$11&amp;" — "&amp;Matching_Engine!$AW$11&amp;IF(Matching_Engine!$BB$11="Limited Data"," Confidence is Limited Data: "&amp;Matching_Engine!$BA$11&amp;"% of tracked fields carry a value.","")</f>
      </c>
      <c r="K11" s="32">
        <f>IF(NOT(ISNUMBER(Matching_Engine!$AY$11)),"Do not shortlist on this data — re-scrape the account first.",IF(Matching_Engine!$AY$11&gt;=Lookup_Lists!$D$156,"Highly Recommended",IF(Matching_Engine!$AY$11&gt;=Lookup_Lists!$D$157,"Recommended",IF(Matching_Engine!$AY$11&gt;=Lookup_Lists!$D$158,"Consider","Low Priority")))&amp;IF(Matching_Engine!$AX$11&lt;100," (on partial data)",""))</f>
      </c>
      <c r="L11" s="34">
        <f>IF(ISNUMBER(Matching_Engine!$M$11),Matching_Engine!$M$11,-1)</f>
      </c>
      <c r="M11" s="34">
        <f>IF(ISNUMBER(Matching_Engine!$S$11),Matching_Engine!$S$11,-1)</f>
      </c>
      <c r="N11" s="34">
        <f>IF(ISNUMBER(Matching_Engine!$Y$11),Matching_Engine!$Y$11,-1)</f>
      </c>
      <c r="O11" s="34">
        <f>IF(ISNUMBER(Matching_Engine!$AE$11),Matching_Engine!$AE$11,-1)</f>
      </c>
      <c r="P11" s="34">
        <f>IF(ISNUMBER(Matching_Engine!$AM$11),Matching_Engine!$AM$11,-1)</f>
      </c>
      <c r="Q11" s="34">
        <f>IF(ISNUMBER(Matching_Engine!$AT$11),Matching_Engine!$AT$11,-1)</f>
      </c>
      <c r="R11" s="34">
        <f>MAX($L$11:$Q$11)</f>
      </c>
      <c r="S11" s="32">
        <f>INDEX({"Brand &amp; Business Relevance","Target Audience Relevance","Content &amp; Category Relevance","Brand Personality Fit","Performance Quality","Brand Safety"},MATCH($R$11,$L$11:$Q$11,0))</f>
      </c>
      <c r="T11" s="34">
        <f>IF(ISNUMBER(Matching_Engine!$M$11),Matching_Engine!$M$11,999)</f>
      </c>
      <c r="U11" s="34">
        <f>IF(ISNUMBER(Matching_Engine!$S$11),Matching_Engine!$S$11,999)</f>
      </c>
      <c r="V11" s="34">
        <f>IF(ISNUMBER(Matching_Engine!$Y$11),Matching_Engine!$Y$11,999)</f>
      </c>
      <c r="W11" s="34">
        <f>IF(ISNUMBER(Matching_Engine!$AE$11),Matching_Engine!$AE$11,999)</f>
      </c>
      <c r="X11" s="34">
        <f>IF(ISNUMBER(Matching_Engine!$AM$11),Matching_Engine!$AM$11,999)</f>
      </c>
      <c r="Y11" s="34">
        <f>IF(ISNUMBER(Matching_Engine!$AT$11),Matching_Engine!$AT$11,999)</f>
      </c>
      <c r="Z11" s="34">
        <f>MIN($T$11:$Y$11)</f>
      </c>
      <c r="AA11" s="32">
        <f>INDEX({"Brand &amp; Business Relevance","Target Audience Relevance","Content &amp; Category Relevance","Brand Personality Fit","Performance Quality","Brand Safety"},MATCH($Z$11,$T$11:$Y$11,0))</f>
      </c>
    </row>
    <row r="12" spans="1:27" x14ac:dyDescent="0.25">
      <c r="A12" s="32">
        <f>Matching_Engine!$B$12</f>
      </c>
      <c r="B12" s="32">
        <f>Matching_Engine!$D$12</f>
      </c>
      <c r="C12" s="32">
        <f>Matching_Engine!$E$12</f>
      </c>
      <c r="D12" s="33">
        <f>Matching_Engine!$AY$12</f>
      </c>
      <c r="E12" s="32">
        <f>Matching_Engine!$AZ$12</f>
      </c>
      <c r="F12" s="32">
        <f>IF(NOT(ISNUMBER(Matching_Engine!$AY$12)),"Not scored: no component of the model had data for this account, so no match can be claimed either way.",Matching_Engine!$AZ$12&amp;" — "&amp;Matching_Engine!$AY$12&amp;"/100 against "&amp;Matching_Engine!$B$12&amp;". "&amp;"Strongest factor "&amp;$S$12&amp;" at "&amp;$R$12&amp;"; weakest "&amp;$AA$12&amp;" at "&amp;$Z$12&amp;". "&amp;IF(AND(ISTEXT(Matching_Engine!$G$12),Matching_Engine!$G$12&lt;&gt;"N/A"),"Tagged category "&amp;Matching_Engine!$G$12&amp;" scores "&amp;IF(ISNUMBER(Matching_Engine!$J$12),Matching_Engine!$J$12,0)&amp;" against the brand category "&amp;Matching_Engine!$B$12&amp;" targets. ","Creator carries no category on record, so the category-driven parts fall back to neutral rather than penalising the creator. ")&amp;IF(ISNUMBER(Matching_Engine!$R$12),"Audience-interest overlap "&amp;Matching_Engine!$R$12&amp;". ","Audience interests unmeasured. ")&amp;IF(Matching_Engine!$AX$12&lt;100,"Scored on "&amp;Matching_Engine!$AX$12&amp;" of the 100 nominal weight points; the rest had no data.",""))</f>
      </c>
      <c r="G12" s="32">
        <f>IF(NOT(ISNUMBER(Matching_Engine!$AY$12)),"N/A",$S$12&amp;" ("&amp;$R$12&amp;"/100)")</f>
      </c>
      <c r="H12" s="32">
        <f>IF(NOT(ISNUMBER(Matching_Engine!$AY$12)),"N/A",$AA$12&amp;" ("&amp;$Z$12&amp;"/100)")</f>
      </c>
      <c r="I12" s="32">
        <f>IF(NOT(ISNUMBER(Matching_Engine!$AY$12)),"No data to consider: this account has no measured signal.",IF($Z$12&lt;Lookup_Lists!$D$161,$AA$12&amp;" sits at "&amp;$Z$12&amp;", below the "&amp;Lookup_Lists!$D$161&amp;"-point consideration threshold"&amp;IF(Matching_Engine!$AF$12=0," · Brand Personality Fit could not be scored at all: no creator personality, tone, values or content-style column exists","")&amp;IF(Matching_Engine!$AI$12="N/A"," · posting cadence unusable, so Consistency is excluded from Performance","")&amp;".","No component falls below the "&amp;Lookup_Lists!$D$161&amp;"-point consideration threshold."))</f>
      </c>
      <c r="J12" s="32">
        <f>Matching_Engine!$AV$12&amp;" — "&amp;Matching_Engine!$AW$12&amp;IF(Matching_Engine!$BB$12="Limited Data"," Confidence is Limited Data: "&amp;Matching_Engine!$BA$12&amp;"% of tracked fields carry a value.","")</f>
      </c>
      <c r="K12" s="32">
        <f>IF(NOT(ISNUMBER(Matching_Engine!$AY$12)),"Do not shortlist on this data — re-scrape the account first.",IF(Matching_Engine!$AY$12&gt;=Lookup_Lists!$D$156,"Highly Recommended",IF(Matching_Engine!$AY$12&gt;=Lookup_Lists!$D$157,"Recommended",IF(Matching_Engine!$AY$12&gt;=Lookup_Lists!$D$158,"Consider","Low Priority")))&amp;IF(Matching_Engine!$AX$12&lt;100," (on partial data)",""))</f>
      </c>
      <c r="L12" s="34">
        <f>IF(ISNUMBER(Matching_Engine!$M$12),Matching_Engine!$M$12,-1)</f>
      </c>
      <c r="M12" s="34">
        <f>IF(ISNUMBER(Matching_Engine!$S$12),Matching_Engine!$S$12,-1)</f>
      </c>
      <c r="N12" s="34">
        <f>IF(ISNUMBER(Matching_Engine!$Y$12),Matching_Engine!$Y$12,-1)</f>
      </c>
      <c r="O12" s="34">
        <f>IF(ISNUMBER(Matching_Engine!$AE$12),Matching_Engine!$AE$12,-1)</f>
      </c>
      <c r="P12" s="34">
        <f>IF(ISNUMBER(Matching_Engine!$AM$12),Matching_Engine!$AM$12,-1)</f>
      </c>
      <c r="Q12" s="34">
        <f>IF(ISNUMBER(Matching_Engine!$AT$12),Matching_Engine!$AT$12,-1)</f>
      </c>
      <c r="R12" s="34">
        <f>MAX($L$12:$Q$12)</f>
      </c>
      <c r="S12" s="32">
        <f>INDEX({"Brand &amp; Business Relevance","Target Audience Relevance","Content &amp; Category Relevance","Brand Personality Fit","Performance Quality","Brand Safety"},MATCH($R$12,$L$12:$Q$12,0))</f>
      </c>
      <c r="T12" s="34">
        <f>IF(ISNUMBER(Matching_Engine!$M$12),Matching_Engine!$M$12,999)</f>
      </c>
      <c r="U12" s="34">
        <f>IF(ISNUMBER(Matching_Engine!$S$12),Matching_Engine!$S$12,999)</f>
      </c>
      <c r="V12" s="34">
        <f>IF(ISNUMBER(Matching_Engine!$Y$12),Matching_Engine!$Y$12,999)</f>
      </c>
      <c r="W12" s="34">
        <f>IF(ISNUMBER(Matching_Engine!$AE$12),Matching_Engine!$AE$12,999)</f>
      </c>
      <c r="X12" s="34">
        <f>IF(ISNUMBER(Matching_Engine!$AM$12),Matching_Engine!$AM$12,999)</f>
      </c>
      <c r="Y12" s="34">
        <f>IF(ISNUMBER(Matching_Engine!$AT$12),Matching_Engine!$AT$12,999)</f>
      </c>
      <c r="Z12" s="34">
        <f>MIN($T$12:$Y$12)</f>
      </c>
      <c r="AA12" s="32">
        <f>INDEX({"Brand &amp; Business Relevance","Target Audience Relevance","Content &amp; Category Relevance","Brand Personality Fit","Performance Quality","Brand Safety"},MATCH($Z$12,$T$12:$Y$12,0))</f>
      </c>
    </row>
    <row r="13" spans="1:27" x14ac:dyDescent="0.25">
      <c r="A13" s="32">
        <f>Matching_Engine!$B$13</f>
      </c>
      <c r="B13" s="32">
        <f>Matching_Engine!$D$13</f>
      </c>
      <c r="C13" s="32">
        <f>Matching_Engine!$E$13</f>
      </c>
      <c r="D13" s="33">
        <f>Matching_Engine!$AY$13</f>
      </c>
      <c r="E13" s="32">
        <f>Matching_Engine!$AZ$13</f>
      </c>
      <c r="F13" s="32">
        <f>IF(NOT(ISNUMBER(Matching_Engine!$AY$13)),"Not scored: no component of the model had data for this account, so no match can be claimed either way.",Matching_Engine!$AZ$13&amp;" — "&amp;Matching_Engine!$AY$13&amp;"/100 against "&amp;Matching_Engine!$B$13&amp;". "&amp;"Strongest factor "&amp;$S$13&amp;" at "&amp;$R$13&amp;"; weakest "&amp;$AA$13&amp;" at "&amp;$Z$13&amp;". "&amp;IF(AND(ISTEXT(Matching_Engine!$G$13),Matching_Engine!$G$13&lt;&gt;"N/A"),"Tagged category "&amp;Matching_Engine!$G$13&amp;" scores "&amp;IF(ISNUMBER(Matching_Engine!$J$13),Matching_Engine!$J$13,0)&amp;" against the brand category "&amp;Matching_Engine!$B$13&amp;" targets. ","Creator carries no category on record, so the category-driven parts fall back to neutral rather than penalising the creator. ")&amp;IF(ISNUMBER(Matching_Engine!$R$13),"Audience-interest overlap "&amp;Matching_Engine!$R$13&amp;". ","Audience interests unmeasured. ")&amp;IF(Matching_Engine!$AX$13&lt;100,"Scored on "&amp;Matching_Engine!$AX$13&amp;" of the 100 nominal weight points; the rest had no data.",""))</f>
      </c>
      <c r="G13" s="32">
        <f>IF(NOT(ISNUMBER(Matching_Engine!$AY$13)),"N/A",$S$13&amp;" ("&amp;$R$13&amp;"/100)")</f>
      </c>
      <c r="H13" s="32">
        <f>IF(NOT(ISNUMBER(Matching_Engine!$AY$13)),"N/A",$AA$13&amp;" ("&amp;$Z$13&amp;"/100)")</f>
      </c>
      <c r="I13" s="32">
        <f>IF(NOT(ISNUMBER(Matching_Engine!$AY$13)),"No data to consider: this account has no measured signal.",IF($Z$13&lt;Lookup_Lists!$D$161,$AA$13&amp;" sits at "&amp;$Z$13&amp;", below the "&amp;Lookup_Lists!$D$161&amp;"-point consideration threshold"&amp;IF(Matching_Engine!$AF$13=0," · Brand Personality Fit could not be scored at all: no creator personality, tone, values or content-style column exists","")&amp;IF(Matching_Engine!$AI$13="N/A"," · posting cadence unusable, so Consistency is excluded from Performance","")&amp;".","No component falls below the "&amp;Lookup_Lists!$D$161&amp;"-point consideration threshold."))</f>
      </c>
      <c r="J13" s="32">
        <f>Matching_Engine!$AV$13&amp;" — "&amp;Matching_Engine!$AW$13&amp;IF(Matching_Engine!$BB$13="Limited Data"," Confidence is Limited Data: "&amp;Matching_Engine!$BA$13&amp;"% of tracked fields carry a value.","")</f>
      </c>
      <c r="K13" s="32">
        <f>IF(NOT(ISNUMBER(Matching_Engine!$AY$13)),"Do not shortlist on this data — re-scrape the account first.",IF(Matching_Engine!$AY$13&gt;=Lookup_Lists!$D$156,"Highly Recommended",IF(Matching_Engine!$AY$13&gt;=Lookup_Lists!$D$157,"Recommended",IF(Matching_Engine!$AY$13&gt;=Lookup_Lists!$D$158,"Consider","Low Priority")))&amp;IF(Matching_Engine!$AX$13&lt;100," (on partial data)",""))</f>
      </c>
      <c r="L13" s="34">
        <f>IF(ISNUMBER(Matching_Engine!$M$13),Matching_Engine!$M$13,-1)</f>
      </c>
      <c r="M13" s="34">
        <f>IF(ISNUMBER(Matching_Engine!$S$13),Matching_Engine!$S$13,-1)</f>
      </c>
      <c r="N13" s="34">
        <f>IF(ISNUMBER(Matching_Engine!$Y$13),Matching_Engine!$Y$13,-1)</f>
      </c>
      <c r="O13" s="34">
        <f>IF(ISNUMBER(Matching_Engine!$AE$13),Matching_Engine!$AE$13,-1)</f>
      </c>
      <c r="P13" s="34">
        <f>IF(ISNUMBER(Matching_Engine!$AM$13),Matching_Engine!$AM$13,-1)</f>
      </c>
      <c r="Q13" s="34">
        <f>IF(ISNUMBER(Matching_Engine!$AT$13),Matching_Engine!$AT$13,-1)</f>
      </c>
      <c r="R13" s="34">
        <f>MAX($L$13:$Q$13)</f>
      </c>
      <c r="S13" s="32">
        <f>INDEX({"Brand &amp; Business Relevance","Target Audience Relevance","Content &amp; Category Relevance","Brand Personality Fit","Performance Quality","Brand Safety"},MATCH($R$13,$L$13:$Q$13,0))</f>
      </c>
      <c r="T13" s="34">
        <f>IF(ISNUMBER(Matching_Engine!$M$13),Matching_Engine!$M$13,999)</f>
      </c>
      <c r="U13" s="34">
        <f>IF(ISNUMBER(Matching_Engine!$S$13),Matching_Engine!$S$13,999)</f>
      </c>
      <c r="V13" s="34">
        <f>IF(ISNUMBER(Matching_Engine!$Y$13),Matching_Engine!$Y$13,999)</f>
      </c>
      <c r="W13" s="34">
        <f>IF(ISNUMBER(Matching_Engine!$AE$13),Matching_Engine!$AE$13,999)</f>
      </c>
      <c r="X13" s="34">
        <f>IF(ISNUMBER(Matching_Engine!$AM$13),Matching_Engine!$AM$13,999)</f>
      </c>
      <c r="Y13" s="34">
        <f>IF(ISNUMBER(Matching_Engine!$AT$13),Matching_Engine!$AT$13,999)</f>
      </c>
      <c r="Z13" s="34">
        <f>MIN($T$13:$Y$13)</f>
      </c>
      <c r="AA13" s="32">
        <f>INDEX({"Brand &amp; Business Relevance","Target Audience Relevance","Content &amp; Category Relevance","Brand Personality Fit","Performance Quality","Brand Safety"},MATCH($Z$13,$T$13:$Y$13,0))</f>
      </c>
    </row>
    <row r="14" spans="1:27" x14ac:dyDescent="0.25">
      <c r="A14" s="32">
        <f>Matching_Engine!$B$14</f>
      </c>
      <c r="B14" s="32">
        <f>Matching_Engine!$D$14</f>
      </c>
      <c r="C14" s="32">
        <f>Matching_Engine!$E$14</f>
      </c>
      <c r="D14" s="33">
        <f>Matching_Engine!$AY$14</f>
      </c>
      <c r="E14" s="32">
        <f>Matching_Engine!$AZ$14</f>
      </c>
      <c r="F14" s="32">
        <f>IF(NOT(ISNUMBER(Matching_Engine!$AY$14)),"Not scored: no component of the model had data for this account, so no match can be claimed either way.",Matching_Engine!$AZ$14&amp;" — "&amp;Matching_Engine!$AY$14&amp;"/100 against "&amp;Matching_Engine!$B$14&amp;". "&amp;"Strongest factor "&amp;$S$14&amp;" at "&amp;$R$14&amp;"; weakest "&amp;$AA$14&amp;" at "&amp;$Z$14&amp;". "&amp;IF(AND(ISTEXT(Matching_Engine!$G$14),Matching_Engine!$G$14&lt;&gt;"N/A"),"Tagged category "&amp;Matching_Engine!$G$14&amp;" scores "&amp;IF(ISNUMBER(Matching_Engine!$J$14),Matching_Engine!$J$14,0)&amp;" against the brand category "&amp;Matching_Engine!$B$14&amp;" targets. ","Creator carries no category on record, so the category-driven parts fall back to neutral rather than penalising the creator. ")&amp;IF(ISNUMBER(Matching_Engine!$R$14),"Audience-interest overlap "&amp;Matching_Engine!$R$14&amp;". ","Audience interests unmeasured. ")&amp;IF(Matching_Engine!$AX$14&lt;100,"Scored on "&amp;Matching_Engine!$AX$14&amp;" of the 100 nominal weight points; the rest had no data.",""))</f>
      </c>
      <c r="G14" s="32">
        <f>IF(NOT(ISNUMBER(Matching_Engine!$AY$14)),"N/A",$S$14&amp;" ("&amp;$R$14&amp;"/100)")</f>
      </c>
      <c r="H14" s="32">
        <f>IF(NOT(ISNUMBER(Matching_Engine!$AY$14)),"N/A",$AA$14&amp;" ("&amp;$Z$14&amp;"/100)")</f>
      </c>
      <c r="I14" s="32">
        <f>IF(NOT(ISNUMBER(Matching_Engine!$AY$14)),"No data to consider: this account has no measured signal.",IF($Z$14&lt;Lookup_Lists!$D$161,$AA$14&amp;" sits at "&amp;$Z$14&amp;", below the "&amp;Lookup_Lists!$D$161&amp;"-point consideration threshold"&amp;IF(Matching_Engine!$AF$14=0," · Brand Personality Fit could not be scored at all: no creator personality, tone, values or content-style column exists","")&amp;IF(Matching_Engine!$AI$14="N/A"," · posting cadence unusable, so Consistency is excluded from Performance","")&amp;".","No component falls below the "&amp;Lookup_Lists!$D$161&amp;"-point consideration threshold."))</f>
      </c>
      <c r="J14" s="32">
        <f>Matching_Engine!$AV$14&amp;" — "&amp;Matching_Engine!$AW$14&amp;IF(Matching_Engine!$BB$14="Limited Data"," Confidence is Limited Data: "&amp;Matching_Engine!$BA$14&amp;"% of tracked fields carry a value.","")</f>
      </c>
      <c r="K14" s="32">
        <f>IF(NOT(ISNUMBER(Matching_Engine!$AY$14)),"Do not shortlist on this data — re-scrape the account first.",IF(Matching_Engine!$AY$14&gt;=Lookup_Lists!$D$156,"Highly Recommended",IF(Matching_Engine!$AY$14&gt;=Lookup_Lists!$D$157,"Recommended",IF(Matching_Engine!$AY$14&gt;=Lookup_Lists!$D$158,"Consider","Low Priority")))&amp;IF(Matching_Engine!$AX$14&lt;100," (on partial data)",""))</f>
      </c>
      <c r="L14" s="34">
        <f>IF(ISNUMBER(Matching_Engine!$M$14),Matching_Engine!$M$14,-1)</f>
      </c>
      <c r="M14" s="34">
        <f>IF(ISNUMBER(Matching_Engine!$S$14),Matching_Engine!$S$14,-1)</f>
      </c>
      <c r="N14" s="34">
        <f>IF(ISNUMBER(Matching_Engine!$Y$14),Matching_Engine!$Y$14,-1)</f>
      </c>
      <c r="O14" s="34">
        <f>IF(ISNUMBER(Matching_Engine!$AE$14),Matching_Engine!$AE$14,-1)</f>
      </c>
      <c r="P14" s="34">
        <f>IF(ISNUMBER(Matching_Engine!$AM$14),Matching_Engine!$AM$14,-1)</f>
      </c>
      <c r="Q14" s="34">
        <f>IF(ISNUMBER(Matching_Engine!$AT$14),Matching_Engine!$AT$14,-1)</f>
      </c>
      <c r="R14" s="34">
        <f>MAX($L$14:$Q$14)</f>
      </c>
      <c r="S14" s="32">
        <f>INDEX({"Brand &amp; Business Relevance","Target Audience Relevance","Content &amp; Category Relevance","Brand Personality Fit","Performance Quality","Brand Safety"},MATCH($R$14,$L$14:$Q$14,0))</f>
      </c>
      <c r="T14" s="34">
        <f>IF(ISNUMBER(Matching_Engine!$M$14),Matching_Engine!$M$14,999)</f>
      </c>
      <c r="U14" s="34">
        <f>IF(ISNUMBER(Matching_Engine!$S$14),Matching_Engine!$S$14,999)</f>
      </c>
      <c r="V14" s="34">
        <f>IF(ISNUMBER(Matching_Engine!$Y$14),Matching_Engine!$Y$14,999)</f>
      </c>
      <c r="W14" s="34">
        <f>IF(ISNUMBER(Matching_Engine!$AE$14),Matching_Engine!$AE$14,999)</f>
      </c>
      <c r="X14" s="34">
        <f>IF(ISNUMBER(Matching_Engine!$AM$14),Matching_Engine!$AM$14,999)</f>
      </c>
      <c r="Y14" s="34">
        <f>IF(ISNUMBER(Matching_Engine!$AT$14),Matching_Engine!$AT$14,999)</f>
      </c>
      <c r="Z14" s="34">
        <f>MIN($T$14:$Y$14)</f>
      </c>
      <c r="AA14" s="32">
        <f>INDEX({"Brand &amp; Business Relevance","Target Audience Relevance","Content &amp; Category Relevance","Brand Personality Fit","Performance Quality","Brand Safety"},MATCH($Z$14,$T$14:$Y$14,0))</f>
      </c>
    </row>
    <row r="15" spans="1:27" x14ac:dyDescent="0.25">
      <c r="A15" s="32">
        <f>Matching_Engine!$B$15</f>
      </c>
      <c r="B15" s="32">
        <f>Matching_Engine!$D$15</f>
      </c>
      <c r="C15" s="32">
        <f>Matching_Engine!$E$15</f>
      </c>
      <c r="D15" s="33">
        <f>Matching_Engine!$AY$15</f>
      </c>
      <c r="E15" s="32">
        <f>Matching_Engine!$AZ$15</f>
      </c>
      <c r="F15" s="32">
        <f>IF(NOT(ISNUMBER(Matching_Engine!$AY$15)),"Not scored: no component of the model had data for this account, so no match can be claimed either way.",Matching_Engine!$AZ$15&amp;" — "&amp;Matching_Engine!$AY$15&amp;"/100 against "&amp;Matching_Engine!$B$15&amp;". "&amp;"Strongest factor "&amp;$S$15&amp;" at "&amp;$R$15&amp;"; weakest "&amp;$AA$15&amp;" at "&amp;$Z$15&amp;". "&amp;IF(AND(ISTEXT(Matching_Engine!$G$15),Matching_Engine!$G$15&lt;&gt;"N/A"),"Tagged category "&amp;Matching_Engine!$G$15&amp;" scores "&amp;IF(ISNUMBER(Matching_Engine!$J$15),Matching_Engine!$J$15,0)&amp;" against the brand category "&amp;Matching_Engine!$B$15&amp;" targets. ","Creator carries no category on record, so the category-driven parts fall back to neutral rather than penalising the creator. ")&amp;IF(ISNUMBER(Matching_Engine!$R$15),"Audience-interest overlap "&amp;Matching_Engine!$R$15&amp;". ","Audience interests unmeasured. ")&amp;IF(Matching_Engine!$AX$15&lt;100,"Scored on "&amp;Matching_Engine!$AX$15&amp;" of the 100 nominal weight points; the rest had no data.",""))</f>
      </c>
      <c r="G15" s="32">
        <f>IF(NOT(ISNUMBER(Matching_Engine!$AY$15)),"N/A",$S$15&amp;" ("&amp;$R$15&amp;"/100)")</f>
      </c>
      <c r="H15" s="32">
        <f>IF(NOT(ISNUMBER(Matching_Engine!$AY$15)),"N/A",$AA$15&amp;" ("&amp;$Z$15&amp;"/100)")</f>
      </c>
      <c r="I15" s="32">
        <f>IF(NOT(ISNUMBER(Matching_Engine!$AY$15)),"No data to consider: this account has no measured signal.",IF($Z$15&lt;Lookup_Lists!$D$161,$AA$15&amp;" sits at "&amp;$Z$15&amp;", below the "&amp;Lookup_Lists!$D$161&amp;"-point consideration threshold"&amp;IF(Matching_Engine!$AF$15=0," · Brand Personality Fit could not be scored at all: no creator personality, tone, values or content-style column exists","")&amp;IF(Matching_Engine!$AI$15="N/A"," · posting cadence unusable, so Consistency is excluded from Performance","")&amp;".","No component falls below the "&amp;Lookup_Lists!$D$161&amp;"-point consideration threshold."))</f>
      </c>
      <c r="J15" s="32">
        <f>Matching_Engine!$AV$15&amp;" — "&amp;Matching_Engine!$AW$15&amp;IF(Matching_Engine!$BB$15="Limited Data"," Confidence is Limited Data: "&amp;Matching_Engine!$BA$15&amp;"% of tracked fields carry a value.","")</f>
      </c>
      <c r="K15" s="32">
        <f>IF(NOT(ISNUMBER(Matching_Engine!$AY$15)),"Do not shortlist on this data — re-scrape the account first.",IF(Matching_Engine!$AY$15&gt;=Lookup_Lists!$D$156,"Highly Recommended",IF(Matching_Engine!$AY$15&gt;=Lookup_Lists!$D$157,"Recommended",IF(Matching_Engine!$AY$15&gt;=Lookup_Lists!$D$158,"Consider","Low Priority")))&amp;IF(Matching_Engine!$AX$15&lt;100," (on partial data)",""))</f>
      </c>
      <c r="L15" s="34">
        <f>IF(ISNUMBER(Matching_Engine!$M$15),Matching_Engine!$M$15,-1)</f>
      </c>
      <c r="M15" s="34">
        <f>IF(ISNUMBER(Matching_Engine!$S$15),Matching_Engine!$S$15,-1)</f>
      </c>
      <c r="N15" s="34">
        <f>IF(ISNUMBER(Matching_Engine!$Y$15),Matching_Engine!$Y$15,-1)</f>
      </c>
      <c r="O15" s="34">
        <f>IF(ISNUMBER(Matching_Engine!$AE$15),Matching_Engine!$AE$15,-1)</f>
      </c>
      <c r="P15" s="34">
        <f>IF(ISNUMBER(Matching_Engine!$AM$15),Matching_Engine!$AM$15,-1)</f>
      </c>
      <c r="Q15" s="34">
        <f>IF(ISNUMBER(Matching_Engine!$AT$15),Matching_Engine!$AT$15,-1)</f>
      </c>
      <c r="R15" s="34">
        <f>MAX($L$15:$Q$15)</f>
      </c>
      <c r="S15" s="32">
        <f>INDEX({"Brand &amp; Business Relevance","Target Audience Relevance","Content &amp; Category Relevance","Brand Personality Fit","Performance Quality","Brand Safety"},MATCH($R$15,$L$15:$Q$15,0))</f>
      </c>
      <c r="T15" s="34">
        <f>IF(ISNUMBER(Matching_Engine!$M$15),Matching_Engine!$M$15,999)</f>
      </c>
      <c r="U15" s="34">
        <f>IF(ISNUMBER(Matching_Engine!$S$15),Matching_Engine!$S$15,999)</f>
      </c>
      <c r="V15" s="34">
        <f>IF(ISNUMBER(Matching_Engine!$Y$15),Matching_Engine!$Y$15,999)</f>
      </c>
      <c r="W15" s="34">
        <f>IF(ISNUMBER(Matching_Engine!$AE$15),Matching_Engine!$AE$15,999)</f>
      </c>
      <c r="X15" s="34">
        <f>IF(ISNUMBER(Matching_Engine!$AM$15),Matching_Engine!$AM$15,999)</f>
      </c>
      <c r="Y15" s="34">
        <f>IF(ISNUMBER(Matching_Engine!$AT$15),Matching_Engine!$AT$15,999)</f>
      </c>
      <c r="Z15" s="34">
        <f>MIN($T$15:$Y$15)</f>
      </c>
      <c r="AA15" s="32">
        <f>INDEX({"Brand &amp; Business Relevance","Target Audience Relevance","Content &amp; Category Relevance","Brand Personality Fit","Performance Quality","Brand Safety"},MATCH($Z$15,$T$15:$Y$15,0))</f>
      </c>
    </row>
    <row r="16" spans="1:27" x14ac:dyDescent="0.25">
      <c r="A16" s="32">
        <f>Matching_Engine!$B$16</f>
      </c>
      <c r="B16" s="32">
        <f>Matching_Engine!$D$16</f>
      </c>
      <c r="C16" s="32">
        <f>Matching_Engine!$E$16</f>
      </c>
      <c r="D16" s="33">
        <f>Matching_Engine!$AY$16</f>
      </c>
      <c r="E16" s="32">
        <f>Matching_Engine!$AZ$16</f>
      </c>
      <c r="F16" s="32">
        <f>IF(NOT(ISNUMBER(Matching_Engine!$AY$16)),"Not scored: no component of the model had data for this account, so no match can be claimed either way.",Matching_Engine!$AZ$16&amp;" — "&amp;Matching_Engine!$AY$16&amp;"/100 against "&amp;Matching_Engine!$B$16&amp;". "&amp;"Strongest factor "&amp;$S$16&amp;" at "&amp;$R$16&amp;"; weakest "&amp;$AA$16&amp;" at "&amp;$Z$16&amp;". "&amp;IF(AND(ISTEXT(Matching_Engine!$G$16),Matching_Engine!$G$16&lt;&gt;"N/A"),"Tagged category "&amp;Matching_Engine!$G$16&amp;" scores "&amp;IF(ISNUMBER(Matching_Engine!$J$16),Matching_Engine!$J$16,0)&amp;" against the brand category "&amp;Matching_Engine!$B$16&amp;" targets. ","Creator carries no category on record, so the category-driven parts fall back to neutral rather than penalising the creator. ")&amp;IF(ISNUMBER(Matching_Engine!$R$16),"Audience-interest overlap "&amp;Matching_Engine!$R$16&amp;". ","Audience interests unmeasured. ")&amp;IF(Matching_Engine!$AX$16&lt;100,"Scored on "&amp;Matching_Engine!$AX$16&amp;" of the 100 nominal weight points; the rest had no data.",""))</f>
      </c>
      <c r="G16" s="32">
        <f>IF(NOT(ISNUMBER(Matching_Engine!$AY$16)),"N/A",$S$16&amp;" ("&amp;$R$16&amp;"/100)")</f>
      </c>
      <c r="H16" s="32">
        <f>IF(NOT(ISNUMBER(Matching_Engine!$AY$16)),"N/A",$AA$16&amp;" ("&amp;$Z$16&amp;"/100)")</f>
      </c>
      <c r="I16" s="32">
        <f>IF(NOT(ISNUMBER(Matching_Engine!$AY$16)),"No data to consider: this account has no measured signal.",IF($Z$16&lt;Lookup_Lists!$D$161,$AA$16&amp;" sits at "&amp;$Z$16&amp;", below the "&amp;Lookup_Lists!$D$161&amp;"-point consideration threshold"&amp;IF(Matching_Engine!$AF$16=0," · Brand Personality Fit could not be scored at all: no creator personality, tone, values or content-style column exists","")&amp;IF(Matching_Engine!$AI$16="N/A"," · posting cadence unusable, so Consistency is excluded from Performance","")&amp;".","No component falls below the "&amp;Lookup_Lists!$D$161&amp;"-point consideration threshold."))</f>
      </c>
      <c r="J16" s="32">
        <f>Matching_Engine!$AV$16&amp;" — "&amp;Matching_Engine!$AW$16&amp;IF(Matching_Engine!$BB$16="Limited Data"," Confidence is Limited Data: "&amp;Matching_Engine!$BA$16&amp;"% of tracked fields carry a value.","")</f>
      </c>
      <c r="K16" s="32">
        <f>IF(NOT(ISNUMBER(Matching_Engine!$AY$16)),"Do not shortlist on this data — re-scrape the account first.",IF(Matching_Engine!$AY$16&gt;=Lookup_Lists!$D$156,"Highly Recommended",IF(Matching_Engine!$AY$16&gt;=Lookup_Lists!$D$157,"Recommended",IF(Matching_Engine!$AY$16&gt;=Lookup_Lists!$D$158,"Consider","Low Priority")))&amp;IF(Matching_Engine!$AX$16&lt;100," (on partial data)",""))</f>
      </c>
      <c r="L16" s="34">
        <f>IF(ISNUMBER(Matching_Engine!$M$16),Matching_Engine!$M$16,-1)</f>
      </c>
      <c r="M16" s="34">
        <f>IF(ISNUMBER(Matching_Engine!$S$16),Matching_Engine!$S$16,-1)</f>
      </c>
      <c r="N16" s="34">
        <f>IF(ISNUMBER(Matching_Engine!$Y$16),Matching_Engine!$Y$16,-1)</f>
      </c>
      <c r="O16" s="34">
        <f>IF(ISNUMBER(Matching_Engine!$AE$16),Matching_Engine!$AE$16,-1)</f>
      </c>
      <c r="P16" s="34">
        <f>IF(ISNUMBER(Matching_Engine!$AM$16),Matching_Engine!$AM$16,-1)</f>
      </c>
      <c r="Q16" s="34">
        <f>IF(ISNUMBER(Matching_Engine!$AT$16),Matching_Engine!$AT$16,-1)</f>
      </c>
      <c r="R16" s="34">
        <f>MAX($L$16:$Q$16)</f>
      </c>
      <c r="S16" s="32">
        <f>INDEX({"Brand &amp; Business Relevance","Target Audience Relevance","Content &amp; Category Relevance","Brand Personality Fit","Performance Quality","Brand Safety"},MATCH($R$16,$L$16:$Q$16,0))</f>
      </c>
      <c r="T16" s="34">
        <f>IF(ISNUMBER(Matching_Engine!$M$16),Matching_Engine!$M$16,999)</f>
      </c>
      <c r="U16" s="34">
        <f>IF(ISNUMBER(Matching_Engine!$S$16),Matching_Engine!$S$16,999)</f>
      </c>
      <c r="V16" s="34">
        <f>IF(ISNUMBER(Matching_Engine!$Y$16),Matching_Engine!$Y$16,999)</f>
      </c>
      <c r="W16" s="34">
        <f>IF(ISNUMBER(Matching_Engine!$AE$16),Matching_Engine!$AE$16,999)</f>
      </c>
      <c r="X16" s="34">
        <f>IF(ISNUMBER(Matching_Engine!$AM$16),Matching_Engine!$AM$16,999)</f>
      </c>
      <c r="Y16" s="34">
        <f>IF(ISNUMBER(Matching_Engine!$AT$16),Matching_Engine!$AT$16,999)</f>
      </c>
      <c r="Z16" s="34">
        <f>MIN($T$16:$Y$16)</f>
      </c>
      <c r="AA16" s="32">
        <f>INDEX({"Brand &amp; Business Relevance","Target Audience Relevance","Content &amp; Category Relevance","Brand Personality Fit","Performance Quality","Brand Safety"},MATCH($Z$16,$T$16:$Y$16,0))</f>
      </c>
    </row>
    <row r="17" spans="1:27" x14ac:dyDescent="0.25">
      <c r="A17" s="32">
        <f>Matching_Engine!$B$17</f>
      </c>
      <c r="B17" s="32">
        <f>Matching_Engine!$D$17</f>
      </c>
      <c r="C17" s="32">
        <f>Matching_Engine!$E$17</f>
      </c>
      <c r="D17" s="33">
        <f>Matching_Engine!$AY$17</f>
      </c>
      <c r="E17" s="32">
        <f>Matching_Engine!$AZ$17</f>
      </c>
      <c r="F17" s="32">
        <f>IF(NOT(ISNUMBER(Matching_Engine!$AY$17)),"Not scored: no component of the model had data for this account, so no match can be claimed either way.",Matching_Engine!$AZ$17&amp;" — "&amp;Matching_Engine!$AY$17&amp;"/100 against "&amp;Matching_Engine!$B$17&amp;". "&amp;"Strongest factor "&amp;$S$17&amp;" at "&amp;$R$17&amp;"; weakest "&amp;$AA$17&amp;" at "&amp;$Z$17&amp;". "&amp;IF(AND(ISTEXT(Matching_Engine!$G$17),Matching_Engine!$G$17&lt;&gt;"N/A"),"Tagged category "&amp;Matching_Engine!$G$17&amp;" scores "&amp;IF(ISNUMBER(Matching_Engine!$J$17),Matching_Engine!$J$17,0)&amp;" against the brand category "&amp;Matching_Engine!$B$17&amp;" targets. ","Creator carries no category on record, so the category-driven parts fall back to neutral rather than penalising the creator. ")&amp;IF(ISNUMBER(Matching_Engine!$R$17),"Audience-interest overlap "&amp;Matching_Engine!$R$17&amp;". ","Audience interests unmeasured. ")&amp;IF(Matching_Engine!$AX$17&lt;100,"Scored on "&amp;Matching_Engine!$AX$17&amp;" of the 100 nominal weight points; the rest had no data.",""))</f>
      </c>
      <c r="G17" s="32">
        <f>IF(NOT(ISNUMBER(Matching_Engine!$AY$17)),"N/A",$S$17&amp;" ("&amp;$R$17&amp;"/100)")</f>
      </c>
      <c r="H17" s="32">
        <f>IF(NOT(ISNUMBER(Matching_Engine!$AY$17)),"N/A",$AA$17&amp;" ("&amp;$Z$17&amp;"/100)")</f>
      </c>
      <c r="I17" s="32">
        <f>IF(NOT(ISNUMBER(Matching_Engine!$AY$17)),"No data to consider: this account has no measured signal.",IF($Z$17&lt;Lookup_Lists!$D$161,$AA$17&amp;" sits at "&amp;$Z$17&amp;", below the "&amp;Lookup_Lists!$D$161&amp;"-point consideration threshold"&amp;IF(Matching_Engine!$AF$17=0," · Brand Personality Fit could not be scored at all: no creator personality, tone, values or content-style column exists","")&amp;IF(Matching_Engine!$AI$17="N/A"," · posting cadence unusable, so Consistency is excluded from Performance","")&amp;".","No component falls below the "&amp;Lookup_Lists!$D$161&amp;"-point consideration threshold."))</f>
      </c>
      <c r="J17" s="32">
        <f>Matching_Engine!$AV$17&amp;" — "&amp;Matching_Engine!$AW$17&amp;IF(Matching_Engine!$BB$17="Limited Data"," Confidence is Limited Data: "&amp;Matching_Engine!$BA$17&amp;"% of tracked fields carry a value.","")</f>
      </c>
      <c r="K17" s="32">
        <f>IF(NOT(ISNUMBER(Matching_Engine!$AY$17)),"Do not shortlist on this data — re-scrape the account first.",IF(Matching_Engine!$AY$17&gt;=Lookup_Lists!$D$156,"Highly Recommended",IF(Matching_Engine!$AY$17&gt;=Lookup_Lists!$D$157,"Recommended",IF(Matching_Engine!$AY$17&gt;=Lookup_Lists!$D$158,"Consider","Low Priority")))&amp;IF(Matching_Engine!$AX$17&lt;100," (on partial data)",""))</f>
      </c>
      <c r="L17" s="34">
        <f>IF(ISNUMBER(Matching_Engine!$M$17),Matching_Engine!$M$17,-1)</f>
      </c>
      <c r="M17" s="34">
        <f>IF(ISNUMBER(Matching_Engine!$S$17),Matching_Engine!$S$17,-1)</f>
      </c>
      <c r="N17" s="34">
        <f>IF(ISNUMBER(Matching_Engine!$Y$17),Matching_Engine!$Y$17,-1)</f>
      </c>
      <c r="O17" s="34">
        <f>IF(ISNUMBER(Matching_Engine!$AE$17),Matching_Engine!$AE$17,-1)</f>
      </c>
      <c r="P17" s="34">
        <f>IF(ISNUMBER(Matching_Engine!$AM$17),Matching_Engine!$AM$17,-1)</f>
      </c>
      <c r="Q17" s="34">
        <f>IF(ISNUMBER(Matching_Engine!$AT$17),Matching_Engine!$AT$17,-1)</f>
      </c>
      <c r="R17" s="34">
        <f>MAX($L$17:$Q$17)</f>
      </c>
      <c r="S17" s="32">
        <f>INDEX({"Brand &amp; Business Relevance","Target Audience Relevance","Content &amp; Category Relevance","Brand Personality Fit","Performance Quality","Brand Safety"},MATCH($R$17,$L$17:$Q$17,0))</f>
      </c>
      <c r="T17" s="34">
        <f>IF(ISNUMBER(Matching_Engine!$M$17),Matching_Engine!$M$17,999)</f>
      </c>
      <c r="U17" s="34">
        <f>IF(ISNUMBER(Matching_Engine!$S$17),Matching_Engine!$S$17,999)</f>
      </c>
      <c r="V17" s="34">
        <f>IF(ISNUMBER(Matching_Engine!$Y$17),Matching_Engine!$Y$17,999)</f>
      </c>
      <c r="W17" s="34">
        <f>IF(ISNUMBER(Matching_Engine!$AE$17),Matching_Engine!$AE$17,999)</f>
      </c>
      <c r="X17" s="34">
        <f>IF(ISNUMBER(Matching_Engine!$AM$17),Matching_Engine!$AM$17,999)</f>
      </c>
      <c r="Y17" s="34">
        <f>IF(ISNUMBER(Matching_Engine!$AT$17),Matching_Engine!$AT$17,999)</f>
      </c>
      <c r="Z17" s="34">
        <f>MIN($T$17:$Y$17)</f>
      </c>
      <c r="AA17" s="32">
        <f>INDEX({"Brand &amp; Business Relevance","Target Audience Relevance","Content &amp; Category Relevance","Brand Personality Fit","Performance Quality","Brand Safety"},MATCH($Z$17,$T$17:$Y$17,0))</f>
      </c>
    </row>
    <row r="18" spans="1:27" x14ac:dyDescent="0.25">
      <c r="A18" s="32">
        <f>Matching_Engine!$B$18</f>
      </c>
      <c r="B18" s="32">
        <f>Matching_Engine!$D$18</f>
      </c>
      <c r="C18" s="32">
        <f>Matching_Engine!$E$18</f>
      </c>
      <c r="D18" s="33">
        <f>Matching_Engine!$AY$18</f>
      </c>
      <c r="E18" s="32">
        <f>Matching_Engine!$AZ$18</f>
      </c>
      <c r="F18" s="32">
        <f>IF(NOT(ISNUMBER(Matching_Engine!$AY$18)),"Not scored: no component of the model had data for this account, so no match can be claimed either way.",Matching_Engine!$AZ$18&amp;" — "&amp;Matching_Engine!$AY$18&amp;"/100 against "&amp;Matching_Engine!$B$18&amp;". "&amp;"Strongest factor "&amp;$S$18&amp;" at "&amp;$R$18&amp;"; weakest "&amp;$AA$18&amp;" at "&amp;$Z$18&amp;". "&amp;IF(AND(ISTEXT(Matching_Engine!$G$18),Matching_Engine!$G$18&lt;&gt;"N/A"),"Tagged category "&amp;Matching_Engine!$G$18&amp;" scores "&amp;IF(ISNUMBER(Matching_Engine!$J$18),Matching_Engine!$J$18,0)&amp;" against the brand category "&amp;Matching_Engine!$B$18&amp;" targets. ","Creator carries no category on record, so the category-driven parts fall back to neutral rather than penalising the creator. ")&amp;IF(ISNUMBER(Matching_Engine!$R$18),"Audience-interest overlap "&amp;Matching_Engine!$R$18&amp;". ","Audience interests unmeasured. ")&amp;IF(Matching_Engine!$AX$18&lt;100,"Scored on "&amp;Matching_Engine!$AX$18&amp;" of the 100 nominal weight points; the rest had no data.",""))</f>
      </c>
      <c r="G18" s="32">
        <f>IF(NOT(ISNUMBER(Matching_Engine!$AY$18)),"N/A",$S$18&amp;" ("&amp;$R$18&amp;"/100)")</f>
      </c>
      <c r="H18" s="32">
        <f>IF(NOT(ISNUMBER(Matching_Engine!$AY$18)),"N/A",$AA$18&amp;" ("&amp;$Z$18&amp;"/100)")</f>
      </c>
      <c r="I18" s="32">
        <f>IF(NOT(ISNUMBER(Matching_Engine!$AY$18)),"No data to consider: this account has no measured signal.",IF($Z$18&lt;Lookup_Lists!$D$161,$AA$18&amp;" sits at "&amp;$Z$18&amp;", below the "&amp;Lookup_Lists!$D$161&amp;"-point consideration threshold"&amp;IF(Matching_Engine!$AF$18=0," · Brand Personality Fit could not be scored at all: no creator personality, tone, values or content-style column exists","")&amp;IF(Matching_Engine!$AI$18="N/A"," · posting cadence unusable, so Consistency is excluded from Performance","")&amp;".","No component falls below the "&amp;Lookup_Lists!$D$161&amp;"-point consideration threshold."))</f>
      </c>
      <c r="J18" s="32">
        <f>Matching_Engine!$AV$18&amp;" — "&amp;Matching_Engine!$AW$18&amp;IF(Matching_Engine!$BB$18="Limited Data"," Confidence is Limited Data: "&amp;Matching_Engine!$BA$18&amp;"% of tracked fields carry a value.","")</f>
      </c>
      <c r="K18" s="32">
        <f>IF(NOT(ISNUMBER(Matching_Engine!$AY$18)),"Do not shortlist on this data — re-scrape the account first.",IF(Matching_Engine!$AY$18&gt;=Lookup_Lists!$D$156,"Highly Recommended",IF(Matching_Engine!$AY$18&gt;=Lookup_Lists!$D$157,"Recommended",IF(Matching_Engine!$AY$18&gt;=Lookup_Lists!$D$158,"Consider","Low Priority")))&amp;IF(Matching_Engine!$AX$18&lt;100," (on partial data)",""))</f>
      </c>
      <c r="L18" s="34">
        <f>IF(ISNUMBER(Matching_Engine!$M$18),Matching_Engine!$M$18,-1)</f>
      </c>
      <c r="M18" s="34">
        <f>IF(ISNUMBER(Matching_Engine!$S$18),Matching_Engine!$S$18,-1)</f>
      </c>
      <c r="N18" s="34">
        <f>IF(ISNUMBER(Matching_Engine!$Y$18),Matching_Engine!$Y$18,-1)</f>
      </c>
      <c r="O18" s="34">
        <f>IF(ISNUMBER(Matching_Engine!$AE$18),Matching_Engine!$AE$18,-1)</f>
      </c>
      <c r="P18" s="34">
        <f>IF(ISNUMBER(Matching_Engine!$AM$18),Matching_Engine!$AM$18,-1)</f>
      </c>
      <c r="Q18" s="34">
        <f>IF(ISNUMBER(Matching_Engine!$AT$18),Matching_Engine!$AT$18,-1)</f>
      </c>
      <c r="R18" s="34">
        <f>MAX($L$18:$Q$18)</f>
      </c>
      <c r="S18" s="32">
        <f>INDEX({"Brand &amp; Business Relevance","Target Audience Relevance","Content &amp; Category Relevance","Brand Personality Fit","Performance Quality","Brand Safety"},MATCH($R$18,$L$18:$Q$18,0))</f>
      </c>
      <c r="T18" s="34">
        <f>IF(ISNUMBER(Matching_Engine!$M$18),Matching_Engine!$M$18,999)</f>
      </c>
      <c r="U18" s="34">
        <f>IF(ISNUMBER(Matching_Engine!$S$18),Matching_Engine!$S$18,999)</f>
      </c>
      <c r="V18" s="34">
        <f>IF(ISNUMBER(Matching_Engine!$Y$18),Matching_Engine!$Y$18,999)</f>
      </c>
      <c r="W18" s="34">
        <f>IF(ISNUMBER(Matching_Engine!$AE$18),Matching_Engine!$AE$18,999)</f>
      </c>
      <c r="X18" s="34">
        <f>IF(ISNUMBER(Matching_Engine!$AM$18),Matching_Engine!$AM$18,999)</f>
      </c>
      <c r="Y18" s="34">
        <f>IF(ISNUMBER(Matching_Engine!$AT$18),Matching_Engine!$AT$18,999)</f>
      </c>
      <c r="Z18" s="34">
        <f>MIN($T$18:$Y$18)</f>
      </c>
      <c r="AA18" s="32">
        <f>INDEX({"Brand &amp; Business Relevance","Target Audience Relevance","Content &amp; Category Relevance","Brand Personality Fit","Performance Quality","Brand Safety"},MATCH($Z$18,$T$18:$Y$18,0))</f>
      </c>
    </row>
    <row r="19" spans="1:27" x14ac:dyDescent="0.25">
      <c r="A19" s="32">
        <f>Matching_Engine!$B$19</f>
      </c>
      <c r="B19" s="32">
        <f>Matching_Engine!$D$19</f>
      </c>
      <c r="C19" s="32">
        <f>Matching_Engine!$E$19</f>
      </c>
      <c r="D19" s="33">
        <f>Matching_Engine!$AY$19</f>
      </c>
      <c r="E19" s="32">
        <f>Matching_Engine!$AZ$19</f>
      </c>
      <c r="F19" s="32">
        <f>IF(NOT(ISNUMBER(Matching_Engine!$AY$19)),"Not scored: no component of the model had data for this account, so no match can be claimed either way.",Matching_Engine!$AZ$19&amp;" — "&amp;Matching_Engine!$AY$19&amp;"/100 against "&amp;Matching_Engine!$B$19&amp;". "&amp;"Strongest factor "&amp;$S$19&amp;" at "&amp;$R$19&amp;"; weakest "&amp;$AA$19&amp;" at "&amp;$Z$19&amp;". "&amp;IF(AND(ISTEXT(Matching_Engine!$G$19),Matching_Engine!$G$19&lt;&gt;"N/A"),"Tagged category "&amp;Matching_Engine!$G$19&amp;" scores "&amp;IF(ISNUMBER(Matching_Engine!$J$19),Matching_Engine!$J$19,0)&amp;" against the brand category "&amp;Matching_Engine!$B$19&amp;" targets. ","Creator carries no category on record, so the category-driven parts fall back to neutral rather than penalising the creator. ")&amp;IF(ISNUMBER(Matching_Engine!$R$19),"Audience-interest overlap "&amp;Matching_Engine!$R$19&amp;". ","Audience interests unmeasured. ")&amp;IF(Matching_Engine!$AX$19&lt;100,"Scored on "&amp;Matching_Engine!$AX$19&amp;" of the 100 nominal weight points; the rest had no data.",""))</f>
      </c>
      <c r="G19" s="32">
        <f>IF(NOT(ISNUMBER(Matching_Engine!$AY$19)),"N/A",$S$19&amp;" ("&amp;$R$19&amp;"/100)")</f>
      </c>
      <c r="H19" s="32">
        <f>IF(NOT(ISNUMBER(Matching_Engine!$AY$19)),"N/A",$AA$19&amp;" ("&amp;$Z$19&amp;"/100)")</f>
      </c>
      <c r="I19" s="32">
        <f>IF(NOT(ISNUMBER(Matching_Engine!$AY$19)),"No data to consider: this account has no measured signal.",IF($Z$19&lt;Lookup_Lists!$D$161,$AA$19&amp;" sits at "&amp;$Z$19&amp;", below the "&amp;Lookup_Lists!$D$161&amp;"-point consideration threshold"&amp;IF(Matching_Engine!$AF$19=0," · Brand Personality Fit could not be scored at all: no creator personality, tone, values or content-style column exists","")&amp;IF(Matching_Engine!$AI$19="N/A"," · posting cadence unusable, so Consistency is excluded from Performance","")&amp;".","No component falls below the "&amp;Lookup_Lists!$D$161&amp;"-point consideration threshold."))</f>
      </c>
      <c r="J19" s="32">
        <f>Matching_Engine!$AV$19&amp;" — "&amp;Matching_Engine!$AW$19&amp;IF(Matching_Engine!$BB$19="Limited Data"," Confidence is Limited Data: "&amp;Matching_Engine!$BA$19&amp;"% of tracked fields carry a value.","")</f>
      </c>
      <c r="K19" s="32">
        <f>IF(NOT(ISNUMBER(Matching_Engine!$AY$19)),"Do not shortlist on this data — re-scrape the account first.",IF(Matching_Engine!$AY$19&gt;=Lookup_Lists!$D$156,"Highly Recommended",IF(Matching_Engine!$AY$19&gt;=Lookup_Lists!$D$157,"Recommended",IF(Matching_Engine!$AY$19&gt;=Lookup_Lists!$D$158,"Consider","Low Priority")))&amp;IF(Matching_Engine!$AX$19&lt;100," (on partial data)",""))</f>
      </c>
      <c r="L19" s="34">
        <f>IF(ISNUMBER(Matching_Engine!$M$19),Matching_Engine!$M$19,-1)</f>
      </c>
      <c r="M19" s="34">
        <f>IF(ISNUMBER(Matching_Engine!$S$19),Matching_Engine!$S$19,-1)</f>
      </c>
      <c r="N19" s="34">
        <f>IF(ISNUMBER(Matching_Engine!$Y$19),Matching_Engine!$Y$19,-1)</f>
      </c>
      <c r="O19" s="34">
        <f>IF(ISNUMBER(Matching_Engine!$AE$19),Matching_Engine!$AE$19,-1)</f>
      </c>
      <c r="P19" s="34">
        <f>IF(ISNUMBER(Matching_Engine!$AM$19),Matching_Engine!$AM$19,-1)</f>
      </c>
      <c r="Q19" s="34">
        <f>IF(ISNUMBER(Matching_Engine!$AT$19),Matching_Engine!$AT$19,-1)</f>
      </c>
      <c r="R19" s="34">
        <f>MAX($L$19:$Q$19)</f>
      </c>
      <c r="S19" s="32">
        <f>INDEX({"Brand &amp; Business Relevance","Target Audience Relevance","Content &amp; Category Relevance","Brand Personality Fit","Performance Quality","Brand Safety"},MATCH($R$19,$L$19:$Q$19,0))</f>
      </c>
      <c r="T19" s="34">
        <f>IF(ISNUMBER(Matching_Engine!$M$19),Matching_Engine!$M$19,999)</f>
      </c>
      <c r="U19" s="34">
        <f>IF(ISNUMBER(Matching_Engine!$S$19),Matching_Engine!$S$19,999)</f>
      </c>
      <c r="V19" s="34">
        <f>IF(ISNUMBER(Matching_Engine!$Y$19),Matching_Engine!$Y$19,999)</f>
      </c>
      <c r="W19" s="34">
        <f>IF(ISNUMBER(Matching_Engine!$AE$19),Matching_Engine!$AE$19,999)</f>
      </c>
      <c r="X19" s="34">
        <f>IF(ISNUMBER(Matching_Engine!$AM$19),Matching_Engine!$AM$19,999)</f>
      </c>
      <c r="Y19" s="34">
        <f>IF(ISNUMBER(Matching_Engine!$AT$19),Matching_Engine!$AT$19,999)</f>
      </c>
      <c r="Z19" s="34">
        <f>MIN($T$19:$Y$19)</f>
      </c>
      <c r="AA19" s="32">
        <f>INDEX({"Brand &amp; Business Relevance","Target Audience Relevance","Content &amp; Category Relevance","Brand Personality Fit","Performance Quality","Brand Safety"},MATCH($Z$19,$T$19:$Y$19,0))</f>
      </c>
    </row>
    <row r="20" spans="1:27" x14ac:dyDescent="0.25">
      <c r="A20" s="32">
        <f>Matching_Engine!$B$20</f>
      </c>
      <c r="B20" s="32">
        <f>Matching_Engine!$D$20</f>
      </c>
      <c r="C20" s="32">
        <f>Matching_Engine!$E$20</f>
      </c>
      <c r="D20" s="33">
        <f>Matching_Engine!$AY$20</f>
      </c>
      <c r="E20" s="32">
        <f>Matching_Engine!$AZ$20</f>
      </c>
      <c r="F20" s="32">
        <f>IF(NOT(ISNUMBER(Matching_Engine!$AY$20)),"Not scored: no component of the model had data for this account, so no match can be claimed either way.",Matching_Engine!$AZ$20&amp;" — "&amp;Matching_Engine!$AY$20&amp;"/100 against "&amp;Matching_Engine!$B$20&amp;". "&amp;"Strongest factor "&amp;$S$20&amp;" at "&amp;$R$20&amp;"; weakest "&amp;$AA$20&amp;" at "&amp;$Z$20&amp;". "&amp;IF(AND(ISTEXT(Matching_Engine!$G$20),Matching_Engine!$G$20&lt;&gt;"N/A"),"Tagged category "&amp;Matching_Engine!$G$20&amp;" scores "&amp;IF(ISNUMBER(Matching_Engine!$J$20),Matching_Engine!$J$20,0)&amp;" against the brand category "&amp;Matching_Engine!$B$20&amp;" targets. ","Creator carries no category on record, so the category-driven parts fall back to neutral rather than penalising the creator. ")&amp;IF(ISNUMBER(Matching_Engine!$R$20),"Audience-interest overlap "&amp;Matching_Engine!$R$20&amp;". ","Audience interests unmeasured. ")&amp;IF(Matching_Engine!$AX$20&lt;100,"Scored on "&amp;Matching_Engine!$AX$20&amp;" of the 100 nominal weight points; the rest had no data.",""))</f>
      </c>
      <c r="G20" s="32">
        <f>IF(NOT(ISNUMBER(Matching_Engine!$AY$20)),"N/A",$S$20&amp;" ("&amp;$R$20&amp;"/100)")</f>
      </c>
      <c r="H20" s="32">
        <f>IF(NOT(ISNUMBER(Matching_Engine!$AY$20)),"N/A",$AA$20&amp;" ("&amp;$Z$20&amp;"/100)")</f>
      </c>
      <c r="I20" s="32">
        <f>IF(NOT(ISNUMBER(Matching_Engine!$AY$20)),"No data to consider: this account has no measured signal.",IF($Z$20&lt;Lookup_Lists!$D$161,$AA$20&amp;" sits at "&amp;$Z$20&amp;", below the "&amp;Lookup_Lists!$D$161&amp;"-point consideration threshold"&amp;IF(Matching_Engine!$AF$20=0," · Brand Personality Fit could not be scored at all: no creator personality, tone, values or content-style column exists","")&amp;IF(Matching_Engine!$AI$20="N/A"," · posting cadence unusable, so Consistency is excluded from Performance","")&amp;".","No component falls below the "&amp;Lookup_Lists!$D$161&amp;"-point consideration threshold."))</f>
      </c>
      <c r="J20" s="32">
        <f>Matching_Engine!$AV$20&amp;" — "&amp;Matching_Engine!$AW$20&amp;IF(Matching_Engine!$BB$20="Limited Data"," Confidence is Limited Data: "&amp;Matching_Engine!$BA$20&amp;"% of tracked fields carry a value.","")</f>
      </c>
      <c r="K20" s="32">
        <f>IF(NOT(ISNUMBER(Matching_Engine!$AY$20)),"Do not shortlist on this data — re-scrape the account first.",IF(Matching_Engine!$AY$20&gt;=Lookup_Lists!$D$156,"Highly Recommended",IF(Matching_Engine!$AY$20&gt;=Lookup_Lists!$D$157,"Recommended",IF(Matching_Engine!$AY$20&gt;=Lookup_Lists!$D$158,"Consider","Low Priority")))&amp;IF(Matching_Engine!$AX$20&lt;100," (on partial data)",""))</f>
      </c>
      <c r="L20" s="34">
        <f>IF(ISNUMBER(Matching_Engine!$M$20),Matching_Engine!$M$20,-1)</f>
      </c>
      <c r="M20" s="34">
        <f>IF(ISNUMBER(Matching_Engine!$S$20),Matching_Engine!$S$20,-1)</f>
      </c>
      <c r="N20" s="34">
        <f>IF(ISNUMBER(Matching_Engine!$Y$20),Matching_Engine!$Y$20,-1)</f>
      </c>
      <c r="O20" s="34">
        <f>IF(ISNUMBER(Matching_Engine!$AE$20),Matching_Engine!$AE$20,-1)</f>
      </c>
      <c r="P20" s="34">
        <f>IF(ISNUMBER(Matching_Engine!$AM$20),Matching_Engine!$AM$20,-1)</f>
      </c>
      <c r="Q20" s="34">
        <f>IF(ISNUMBER(Matching_Engine!$AT$20),Matching_Engine!$AT$20,-1)</f>
      </c>
      <c r="R20" s="34">
        <f>MAX($L$20:$Q$20)</f>
      </c>
      <c r="S20" s="32">
        <f>INDEX({"Brand &amp; Business Relevance","Target Audience Relevance","Content &amp; Category Relevance","Brand Personality Fit","Performance Quality","Brand Safety"},MATCH($R$20,$L$20:$Q$20,0))</f>
      </c>
      <c r="T20" s="34">
        <f>IF(ISNUMBER(Matching_Engine!$M$20),Matching_Engine!$M$20,999)</f>
      </c>
      <c r="U20" s="34">
        <f>IF(ISNUMBER(Matching_Engine!$S$20),Matching_Engine!$S$20,999)</f>
      </c>
      <c r="V20" s="34">
        <f>IF(ISNUMBER(Matching_Engine!$Y$20),Matching_Engine!$Y$20,999)</f>
      </c>
      <c r="W20" s="34">
        <f>IF(ISNUMBER(Matching_Engine!$AE$20),Matching_Engine!$AE$20,999)</f>
      </c>
      <c r="X20" s="34">
        <f>IF(ISNUMBER(Matching_Engine!$AM$20),Matching_Engine!$AM$20,999)</f>
      </c>
      <c r="Y20" s="34">
        <f>IF(ISNUMBER(Matching_Engine!$AT$20),Matching_Engine!$AT$20,999)</f>
      </c>
      <c r="Z20" s="34">
        <f>MIN($T$20:$Y$20)</f>
      </c>
      <c r="AA20" s="32">
        <f>INDEX({"Brand &amp; Business Relevance","Target Audience Relevance","Content &amp; Category Relevance","Brand Personality Fit","Performance Quality","Brand Safety"},MATCH($Z$20,$T$20:$Y$20,0))</f>
      </c>
    </row>
    <row r="21" spans="1:27" x14ac:dyDescent="0.25">
      <c r="A21" s="32">
        <f>Matching_Engine!$B$21</f>
      </c>
      <c r="B21" s="32">
        <f>Matching_Engine!$D$21</f>
      </c>
      <c r="C21" s="32">
        <f>Matching_Engine!$E$21</f>
      </c>
      <c r="D21" s="33">
        <f>Matching_Engine!$AY$21</f>
      </c>
      <c r="E21" s="32">
        <f>Matching_Engine!$AZ$21</f>
      </c>
      <c r="F21" s="32">
        <f>IF(NOT(ISNUMBER(Matching_Engine!$AY$21)),"Not scored: no component of the model had data for this account, so no match can be claimed either way.",Matching_Engine!$AZ$21&amp;" — "&amp;Matching_Engine!$AY$21&amp;"/100 against "&amp;Matching_Engine!$B$21&amp;". "&amp;"Strongest factor "&amp;$S$21&amp;" at "&amp;$R$21&amp;"; weakest "&amp;$AA$21&amp;" at "&amp;$Z$21&amp;". "&amp;IF(AND(ISTEXT(Matching_Engine!$G$21),Matching_Engine!$G$21&lt;&gt;"N/A"),"Tagged category "&amp;Matching_Engine!$G$21&amp;" scores "&amp;IF(ISNUMBER(Matching_Engine!$J$21),Matching_Engine!$J$21,0)&amp;" against the brand category "&amp;Matching_Engine!$B$21&amp;" targets. ","Creator carries no category on record, so the category-driven parts fall back to neutral rather than penalising the creator. ")&amp;IF(ISNUMBER(Matching_Engine!$R$21),"Audience-interest overlap "&amp;Matching_Engine!$R$21&amp;". ","Audience interests unmeasured. ")&amp;IF(Matching_Engine!$AX$21&lt;100,"Scored on "&amp;Matching_Engine!$AX$21&amp;" of the 100 nominal weight points; the rest had no data.",""))</f>
      </c>
      <c r="G21" s="32">
        <f>IF(NOT(ISNUMBER(Matching_Engine!$AY$21)),"N/A",$S$21&amp;" ("&amp;$R$21&amp;"/100)")</f>
      </c>
      <c r="H21" s="32">
        <f>IF(NOT(ISNUMBER(Matching_Engine!$AY$21)),"N/A",$AA$21&amp;" ("&amp;$Z$21&amp;"/100)")</f>
      </c>
      <c r="I21" s="32">
        <f>IF(NOT(ISNUMBER(Matching_Engine!$AY$21)),"No data to consider: this account has no measured signal.",IF($Z$21&lt;Lookup_Lists!$D$161,$AA$21&amp;" sits at "&amp;$Z$21&amp;", below the "&amp;Lookup_Lists!$D$161&amp;"-point consideration threshold"&amp;IF(Matching_Engine!$AF$21=0," · Brand Personality Fit could not be scored at all: no creator personality, tone, values or content-style column exists","")&amp;IF(Matching_Engine!$AI$21="N/A"," · posting cadence unusable, so Consistency is excluded from Performance","")&amp;".","No component falls below the "&amp;Lookup_Lists!$D$161&amp;"-point consideration threshold."))</f>
      </c>
      <c r="J21" s="32">
        <f>Matching_Engine!$AV$21&amp;" — "&amp;Matching_Engine!$AW$21&amp;IF(Matching_Engine!$BB$21="Limited Data"," Confidence is Limited Data: "&amp;Matching_Engine!$BA$21&amp;"% of tracked fields carry a value.","")</f>
      </c>
      <c r="K21" s="32">
        <f>IF(NOT(ISNUMBER(Matching_Engine!$AY$21)),"Do not shortlist on this data — re-scrape the account first.",IF(Matching_Engine!$AY$21&gt;=Lookup_Lists!$D$156,"Highly Recommended",IF(Matching_Engine!$AY$21&gt;=Lookup_Lists!$D$157,"Recommended",IF(Matching_Engine!$AY$21&gt;=Lookup_Lists!$D$158,"Consider","Low Priority")))&amp;IF(Matching_Engine!$AX$21&lt;100," (on partial data)",""))</f>
      </c>
      <c r="L21" s="34">
        <f>IF(ISNUMBER(Matching_Engine!$M$21),Matching_Engine!$M$21,-1)</f>
      </c>
      <c r="M21" s="34">
        <f>IF(ISNUMBER(Matching_Engine!$S$21),Matching_Engine!$S$21,-1)</f>
      </c>
      <c r="N21" s="34">
        <f>IF(ISNUMBER(Matching_Engine!$Y$21),Matching_Engine!$Y$21,-1)</f>
      </c>
      <c r="O21" s="34">
        <f>IF(ISNUMBER(Matching_Engine!$AE$21),Matching_Engine!$AE$21,-1)</f>
      </c>
      <c r="P21" s="34">
        <f>IF(ISNUMBER(Matching_Engine!$AM$21),Matching_Engine!$AM$21,-1)</f>
      </c>
      <c r="Q21" s="34">
        <f>IF(ISNUMBER(Matching_Engine!$AT$21),Matching_Engine!$AT$21,-1)</f>
      </c>
      <c r="R21" s="34">
        <f>MAX($L$21:$Q$21)</f>
      </c>
      <c r="S21" s="32">
        <f>INDEX({"Brand &amp; Business Relevance","Target Audience Relevance","Content &amp; Category Relevance","Brand Personality Fit","Performance Quality","Brand Safety"},MATCH($R$21,$L$21:$Q$21,0))</f>
      </c>
      <c r="T21" s="34">
        <f>IF(ISNUMBER(Matching_Engine!$M$21),Matching_Engine!$M$21,999)</f>
      </c>
      <c r="U21" s="34">
        <f>IF(ISNUMBER(Matching_Engine!$S$21),Matching_Engine!$S$21,999)</f>
      </c>
      <c r="V21" s="34">
        <f>IF(ISNUMBER(Matching_Engine!$Y$21),Matching_Engine!$Y$21,999)</f>
      </c>
      <c r="W21" s="34">
        <f>IF(ISNUMBER(Matching_Engine!$AE$21),Matching_Engine!$AE$21,999)</f>
      </c>
      <c r="X21" s="34">
        <f>IF(ISNUMBER(Matching_Engine!$AM$21),Matching_Engine!$AM$21,999)</f>
      </c>
      <c r="Y21" s="34">
        <f>IF(ISNUMBER(Matching_Engine!$AT$21),Matching_Engine!$AT$21,999)</f>
      </c>
      <c r="Z21" s="34">
        <f>MIN($T$21:$Y$21)</f>
      </c>
      <c r="AA21" s="32">
        <f>INDEX({"Brand &amp; Business Relevance","Target Audience Relevance","Content &amp; Category Relevance","Brand Personality Fit","Performance Quality","Brand Safety"},MATCH($Z$21,$T$21:$Y$21,0))</f>
      </c>
    </row>
    <row r="22" spans="1:27" x14ac:dyDescent="0.25">
      <c r="A22" s="32">
        <f>Matching_Engine!$B$22</f>
      </c>
      <c r="B22" s="32">
        <f>Matching_Engine!$D$22</f>
      </c>
      <c r="C22" s="32">
        <f>Matching_Engine!$E$22</f>
      </c>
      <c r="D22" s="33">
        <f>Matching_Engine!$AY$22</f>
      </c>
      <c r="E22" s="32">
        <f>Matching_Engine!$AZ$22</f>
      </c>
      <c r="F22" s="32">
        <f>IF(NOT(ISNUMBER(Matching_Engine!$AY$22)),"Not scored: no component of the model had data for this account, so no match can be claimed either way.",Matching_Engine!$AZ$22&amp;" — "&amp;Matching_Engine!$AY$22&amp;"/100 against "&amp;Matching_Engine!$B$22&amp;". "&amp;"Strongest factor "&amp;$S$22&amp;" at "&amp;$R$22&amp;"; weakest "&amp;$AA$22&amp;" at "&amp;$Z$22&amp;". "&amp;IF(AND(ISTEXT(Matching_Engine!$G$22),Matching_Engine!$G$22&lt;&gt;"N/A"),"Tagged category "&amp;Matching_Engine!$G$22&amp;" scores "&amp;IF(ISNUMBER(Matching_Engine!$J$22),Matching_Engine!$J$22,0)&amp;" against the brand category "&amp;Matching_Engine!$B$22&amp;" targets. ","Creator carries no category on record, so the category-driven parts fall back to neutral rather than penalising the creator. ")&amp;IF(ISNUMBER(Matching_Engine!$R$22),"Audience-interest overlap "&amp;Matching_Engine!$R$22&amp;". ","Audience interests unmeasured. ")&amp;IF(Matching_Engine!$AX$22&lt;100,"Scored on "&amp;Matching_Engine!$AX$22&amp;" of the 100 nominal weight points; the rest had no data.",""))</f>
      </c>
      <c r="G22" s="32">
        <f>IF(NOT(ISNUMBER(Matching_Engine!$AY$22)),"N/A",$S$22&amp;" ("&amp;$R$22&amp;"/100)")</f>
      </c>
      <c r="H22" s="32">
        <f>IF(NOT(ISNUMBER(Matching_Engine!$AY$22)),"N/A",$AA$22&amp;" ("&amp;$Z$22&amp;"/100)")</f>
      </c>
      <c r="I22" s="32">
        <f>IF(NOT(ISNUMBER(Matching_Engine!$AY$22)),"No data to consider: this account has no measured signal.",IF($Z$22&lt;Lookup_Lists!$D$161,$AA$22&amp;" sits at "&amp;$Z$22&amp;", below the "&amp;Lookup_Lists!$D$161&amp;"-point consideration threshold"&amp;IF(Matching_Engine!$AF$22=0," · Brand Personality Fit could not be scored at all: no creator personality, tone, values or content-style column exists","")&amp;IF(Matching_Engine!$AI$22="N/A"," · posting cadence unusable, so Consistency is excluded from Performance","")&amp;".","No component falls below the "&amp;Lookup_Lists!$D$161&amp;"-point consideration threshold."))</f>
      </c>
      <c r="J22" s="32">
        <f>Matching_Engine!$AV$22&amp;" — "&amp;Matching_Engine!$AW$22&amp;IF(Matching_Engine!$BB$22="Limited Data"," Confidence is Limited Data: "&amp;Matching_Engine!$BA$22&amp;"% of tracked fields carry a value.","")</f>
      </c>
      <c r="K22" s="32">
        <f>IF(NOT(ISNUMBER(Matching_Engine!$AY$22)),"Do not shortlist on this data — re-scrape the account first.",IF(Matching_Engine!$AY$22&gt;=Lookup_Lists!$D$156,"Highly Recommended",IF(Matching_Engine!$AY$22&gt;=Lookup_Lists!$D$157,"Recommended",IF(Matching_Engine!$AY$22&gt;=Lookup_Lists!$D$158,"Consider","Low Priority")))&amp;IF(Matching_Engine!$AX$22&lt;100," (on partial data)",""))</f>
      </c>
      <c r="L22" s="34">
        <f>IF(ISNUMBER(Matching_Engine!$M$22),Matching_Engine!$M$22,-1)</f>
      </c>
      <c r="M22" s="34">
        <f>IF(ISNUMBER(Matching_Engine!$S$22),Matching_Engine!$S$22,-1)</f>
      </c>
      <c r="N22" s="34">
        <f>IF(ISNUMBER(Matching_Engine!$Y$22),Matching_Engine!$Y$22,-1)</f>
      </c>
      <c r="O22" s="34">
        <f>IF(ISNUMBER(Matching_Engine!$AE$22),Matching_Engine!$AE$22,-1)</f>
      </c>
      <c r="P22" s="34">
        <f>IF(ISNUMBER(Matching_Engine!$AM$22),Matching_Engine!$AM$22,-1)</f>
      </c>
      <c r="Q22" s="34">
        <f>IF(ISNUMBER(Matching_Engine!$AT$22),Matching_Engine!$AT$22,-1)</f>
      </c>
      <c r="R22" s="34">
        <f>MAX($L$22:$Q$22)</f>
      </c>
      <c r="S22" s="32">
        <f>INDEX({"Brand &amp; Business Relevance","Target Audience Relevance","Content &amp; Category Relevance","Brand Personality Fit","Performance Quality","Brand Safety"},MATCH($R$22,$L$22:$Q$22,0))</f>
      </c>
      <c r="T22" s="34">
        <f>IF(ISNUMBER(Matching_Engine!$M$22),Matching_Engine!$M$22,999)</f>
      </c>
      <c r="U22" s="34">
        <f>IF(ISNUMBER(Matching_Engine!$S$22),Matching_Engine!$S$22,999)</f>
      </c>
      <c r="V22" s="34">
        <f>IF(ISNUMBER(Matching_Engine!$Y$22),Matching_Engine!$Y$22,999)</f>
      </c>
      <c r="W22" s="34">
        <f>IF(ISNUMBER(Matching_Engine!$AE$22),Matching_Engine!$AE$22,999)</f>
      </c>
      <c r="X22" s="34">
        <f>IF(ISNUMBER(Matching_Engine!$AM$22),Matching_Engine!$AM$22,999)</f>
      </c>
      <c r="Y22" s="34">
        <f>IF(ISNUMBER(Matching_Engine!$AT$22),Matching_Engine!$AT$22,999)</f>
      </c>
      <c r="Z22" s="34">
        <f>MIN($T$22:$Y$22)</f>
      </c>
      <c r="AA22" s="32">
        <f>INDEX({"Brand &amp; Business Relevance","Target Audience Relevance","Content &amp; Category Relevance","Brand Personality Fit","Performance Quality","Brand Safety"},MATCH($Z$22,$T$22:$Y$22,0))</f>
      </c>
    </row>
    <row r="23" spans="1:27" x14ac:dyDescent="0.25">
      <c r="A23" s="32">
        <f>Matching_Engine!$B$23</f>
      </c>
      <c r="B23" s="32">
        <f>Matching_Engine!$D$23</f>
      </c>
      <c r="C23" s="32">
        <f>Matching_Engine!$E$23</f>
      </c>
      <c r="D23" s="33">
        <f>Matching_Engine!$AY$23</f>
      </c>
      <c r="E23" s="32">
        <f>Matching_Engine!$AZ$23</f>
      </c>
      <c r="F23" s="32">
        <f>IF(NOT(ISNUMBER(Matching_Engine!$AY$23)),"Not scored: no component of the model had data for this account, so no match can be claimed either way.",Matching_Engine!$AZ$23&amp;" — "&amp;Matching_Engine!$AY$23&amp;"/100 against "&amp;Matching_Engine!$B$23&amp;". "&amp;"Strongest factor "&amp;$S$23&amp;" at "&amp;$R$23&amp;"; weakest "&amp;$AA$23&amp;" at "&amp;$Z$23&amp;". "&amp;IF(AND(ISTEXT(Matching_Engine!$G$23),Matching_Engine!$G$23&lt;&gt;"N/A"),"Tagged category "&amp;Matching_Engine!$G$23&amp;" scores "&amp;IF(ISNUMBER(Matching_Engine!$J$23),Matching_Engine!$J$23,0)&amp;" against the brand category "&amp;Matching_Engine!$B$23&amp;" targets. ","Creator carries no category on record, so the category-driven parts fall back to neutral rather than penalising the creator. ")&amp;IF(ISNUMBER(Matching_Engine!$R$23),"Audience-interest overlap "&amp;Matching_Engine!$R$23&amp;". ","Audience interests unmeasured. ")&amp;IF(Matching_Engine!$AX$23&lt;100,"Scored on "&amp;Matching_Engine!$AX$23&amp;" of the 100 nominal weight points; the rest had no data.",""))</f>
      </c>
      <c r="G23" s="32">
        <f>IF(NOT(ISNUMBER(Matching_Engine!$AY$23)),"N/A",$S$23&amp;" ("&amp;$R$23&amp;"/100)")</f>
      </c>
      <c r="H23" s="32">
        <f>IF(NOT(ISNUMBER(Matching_Engine!$AY$23)),"N/A",$AA$23&amp;" ("&amp;$Z$23&amp;"/100)")</f>
      </c>
      <c r="I23" s="32">
        <f>IF(NOT(ISNUMBER(Matching_Engine!$AY$23)),"No data to consider: this account has no measured signal.",IF($Z$23&lt;Lookup_Lists!$D$161,$AA$23&amp;" sits at "&amp;$Z$23&amp;", below the "&amp;Lookup_Lists!$D$161&amp;"-point consideration threshold"&amp;IF(Matching_Engine!$AF$23=0," · Brand Personality Fit could not be scored at all: no creator personality, tone, values or content-style column exists","")&amp;IF(Matching_Engine!$AI$23="N/A"," · posting cadence unusable, so Consistency is excluded from Performance","")&amp;".","No component falls below the "&amp;Lookup_Lists!$D$161&amp;"-point consideration threshold."))</f>
      </c>
      <c r="J23" s="32">
        <f>Matching_Engine!$AV$23&amp;" — "&amp;Matching_Engine!$AW$23&amp;IF(Matching_Engine!$BB$23="Limited Data"," Confidence is Limited Data: "&amp;Matching_Engine!$BA$23&amp;"% of tracked fields carry a value.","")</f>
      </c>
      <c r="K23" s="32">
        <f>IF(NOT(ISNUMBER(Matching_Engine!$AY$23)),"Do not shortlist on this data — re-scrape the account first.",IF(Matching_Engine!$AY$23&gt;=Lookup_Lists!$D$156,"Highly Recommended",IF(Matching_Engine!$AY$23&gt;=Lookup_Lists!$D$157,"Recommended",IF(Matching_Engine!$AY$23&gt;=Lookup_Lists!$D$158,"Consider","Low Priority")))&amp;IF(Matching_Engine!$AX$23&lt;100," (on partial data)",""))</f>
      </c>
      <c r="L23" s="34">
        <f>IF(ISNUMBER(Matching_Engine!$M$23),Matching_Engine!$M$23,-1)</f>
      </c>
      <c r="M23" s="34">
        <f>IF(ISNUMBER(Matching_Engine!$S$23),Matching_Engine!$S$23,-1)</f>
      </c>
      <c r="N23" s="34">
        <f>IF(ISNUMBER(Matching_Engine!$Y$23),Matching_Engine!$Y$23,-1)</f>
      </c>
      <c r="O23" s="34">
        <f>IF(ISNUMBER(Matching_Engine!$AE$23),Matching_Engine!$AE$23,-1)</f>
      </c>
      <c r="P23" s="34">
        <f>IF(ISNUMBER(Matching_Engine!$AM$23),Matching_Engine!$AM$23,-1)</f>
      </c>
      <c r="Q23" s="34">
        <f>IF(ISNUMBER(Matching_Engine!$AT$23),Matching_Engine!$AT$23,-1)</f>
      </c>
      <c r="R23" s="34">
        <f>MAX($L$23:$Q$23)</f>
      </c>
      <c r="S23" s="32">
        <f>INDEX({"Brand &amp; Business Relevance","Target Audience Relevance","Content &amp; Category Relevance","Brand Personality Fit","Performance Quality","Brand Safety"},MATCH($R$23,$L$23:$Q$23,0))</f>
      </c>
      <c r="T23" s="34">
        <f>IF(ISNUMBER(Matching_Engine!$M$23),Matching_Engine!$M$23,999)</f>
      </c>
      <c r="U23" s="34">
        <f>IF(ISNUMBER(Matching_Engine!$S$23),Matching_Engine!$S$23,999)</f>
      </c>
      <c r="V23" s="34">
        <f>IF(ISNUMBER(Matching_Engine!$Y$23),Matching_Engine!$Y$23,999)</f>
      </c>
      <c r="W23" s="34">
        <f>IF(ISNUMBER(Matching_Engine!$AE$23),Matching_Engine!$AE$23,999)</f>
      </c>
      <c r="X23" s="34">
        <f>IF(ISNUMBER(Matching_Engine!$AM$23),Matching_Engine!$AM$23,999)</f>
      </c>
      <c r="Y23" s="34">
        <f>IF(ISNUMBER(Matching_Engine!$AT$23),Matching_Engine!$AT$23,999)</f>
      </c>
      <c r="Z23" s="34">
        <f>MIN($T$23:$Y$23)</f>
      </c>
      <c r="AA23" s="32">
        <f>INDEX({"Brand &amp; Business Relevance","Target Audience Relevance","Content &amp; Category Relevance","Brand Personality Fit","Performance Quality","Brand Safety"},MATCH($Z$23,$T$23:$Y$23,0))</f>
      </c>
    </row>
    <row r="24" spans="1:27" x14ac:dyDescent="0.25">
      <c r="A24" s="32">
        <f>Matching_Engine!$B$24</f>
      </c>
      <c r="B24" s="32">
        <f>Matching_Engine!$D$24</f>
      </c>
      <c r="C24" s="32">
        <f>Matching_Engine!$E$24</f>
      </c>
      <c r="D24" s="33">
        <f>Matching_Engine!$AY$24</f>
      </c>
      <c r="E24" s="32">
        <f>Matching_Engine!$AZ$24</f>
      </c>
      <c r="F24" s="32">
        <f>IF(NOT(ISNUMBER(Matching_Engine!$AY$24)),"Not scored: no component of the model had data for this account, so no match can be claimed either way.",Matching_Engine!$AZ$24&amp;" — "&amp;Matching_Engine!$AY$24&amp;"/100 against "&amp;Matching_Engine!$B$24&amp;". "&amp;"Strongest factor "&amp;$S$24&amp;" at "&amp;$R$24&amp;"; weakest "&amp;$AA$24&amp;" at "&amp;$Z$24&amp;". "&amp;IF(AND(ISTEXT(Matching_Engine!$G$24),Matching_Engine!$G$24&lt;&gt;"N/A"),"Tagged category "&amp;Matching_Engine!$G$24&amp;" scores "&amp;IF(ISNUMBER(Matching_Engine!$J$24),Matching_Engine!$J$24,0)&amp;" against the brand category "&amp;Matching_Engine!$B$24&amp;" targets. ","Creator carries no category on record, so the category-driven parts fall back to neutral rather than penalising the creator. ")&amp;IF(ISNUMBER(Matching_Engine!$R$24),"Audience-interest overlap "&amp;Matching_Engine!$R$24&amp;". ","Audience interests unmeasured. ")&amp;IF(Matching_Engine!$AX$24&lt;100,"Scored on "&amp;Matching_Engine!$AX$24&amp;" of the 100 nominal weight points; the rest had no data.",""))</f>
      </c>
      <c r="G24" s="32">
        <f>IF(NOT(ISNUMBER(Matching_Engine!$AY$24)),"N/A",$S$24&amp;" ("&amp;$R$24&amp;"/100)")</f>
      </c>
      <c r="H24" s="32">
        <f>IF(NOT(ISNUMBER(Matching_Engine!$AY$24)),"N/A",$AA$24&amp;" ("&amp;$Z$24&amp;"/100)")</f>
      </c>
      <c r="I24" s="32">
        <f>IF(NOT(ISNUMBER(Matching_Engine!$AY$24)),"No data to consider: this account has no measured signal.",IF($Z$24&lt;Lookup_Lists!$D$161,$AA$24&amp;" sits at "&amp;$Z$24&amp;", below the "&amp;Lookup_Lists!$D$161&amp;"-point consideration threshold"&amp;IF(Matching_Engine!$AF$24=0," · Brand Personality Fit could not be scored at all: no creator personality, tone, values or content-style column exists","")&amp;IF(Matching_Engine!$AI$24="N/A"," · posting cadence unusable, so Consistency is excluded from Performance","")&amp;".","No component falls below the "&amp;Lookup_Lists!$D$161&amp;"-point consideration threshold."))</f>
      </c>
      <c r="J24" s="32">
        <f>Matching_Engine!$AV$24&amp;" — "&amp;Matching_Engine!$AW$24&amp;IF(Matching_Engine!$BB$24="Limited Data"," Confidence is Limited Data: "&amp;Matching_Engine!$BA$24&amp;"% of tracked fields carry a value.","")</f>
      </c>
      <c r="K24" s="32">
        <f>IF(NOT(ISNUMBER(Matching_Engine!$AY$24)),"Do not shortlist on this data — re-scrape the account first.",IF(Matching_Engine!$AY$24&gt;=Lookup_Lists!$D$156,"Highly Recommended",IF(Matching_Engine!$AY$24&gt;=Lookup_Lists!$D$157,"Recommended",IF(Matching_Engine!$AY$24&gt;=Lookup_Lists!$D$158,"Consider","Low Priority")))&amp;IF(Matching_Engine!$AX$24&lt;100," (on partial data)",""))</f>
      </c>
      <c r="L24" s="34">
        <f>IF(ISNUMBER(Matching_Engine!$M$24),Matching_Engine!$M$24,-1)</f>
      </c>
      <c r="M24" s="34">
        <f>IF(ISNUMBER(Matching_Engine!$S$24),Matching_Engine!$S$24,-1)</f>
      </c>
      <c r="N24" s="34">
        <f>IF(ISNUMBER(Matching_Engine!$Y$24),Matching_Engine!$Y$24,-1)</f>
      </c>
      <c r="O24" s="34">
        <f>IF(ISNUMBER(Matching_Engine!$AE$24),Matching_Engine!$AE$24,-1)</f>
      </c>
      <c r="P24" s="34">
        <f>IF(ISNUMBER(Matching_Engine!$AM$24),Matching_Engine!$AM$24,-1)</f>
      </c>
      <c r="Q24" s="34">
        <f>IF(ISNUMBER(Matching_Engine!$AT$24),Matching_Engine!$AT$24,-1)</f>
      </c>
      <c r="R24" s="34">
        <f>MAX($L$24:$Q$24)</f>
      </c>
      <c r="S24" s="32">
        <f>INDEX({"Brand &amp; Business Relevance","Target Audience Relevance","Content &amp; Category Relevance","Brand Personality Fit","Performance Quality","Brand Safety"},MATCH($R$24,$L$24:$Q$24,0))</f>
      </c>
      <c r="T24" s="34">
        <f>IF(ISNUMBER(Matching_Engine!$M$24),Matching_Engine!$M$24,999)</f>
      </c>
      <c r="U24" s="34">
        <f>IF(ISNUMBER(Matching_Engine!$S$24),Matching_Engine!$S$24,999)</f>
      </c>
      <c r="V24" s="34">
        <f>IF(ISNUMBER(Matching_Engine!$Y$24),Matching_Engine!$Y$24,999)</f>
      </c>
      <c r="W24" s="34">
        <f>IF(ISNUMBER(Matching_Engine!$AE$24),Matching_Engine!$AE$24,999)</f>
      </c>
      <c r="X24" s="34">
        <f>IF(ISNUMBER(Matching_Engine!$AM$24),Matching_Engine!$AM$24,999)</f>
      </c>
      <c r="Y24" s="34">
        <f>IF(ISNUMBER(Matching_Engine!$AT$24),Matching_Engine!$AT$24,999)</f>
      </c>
      <c r="Z24" s="34">
        <f>MIN($T$24:$Y$24)</f>
      </c>
      <c r="AA24" s="32">
        <f>INDEX({"Brand &amp; Business Relevance","Target Audience Relevance","Content &amp; Category Relevance","Brand Personality Fit","Performance Quality","Brand Safety"},MATCH($Z$24,$T$24:$Y$24,0))</f>
      </c>
    </row>
    <row r="25" spans="1:27" x14ac:dyDescent="0.25">
      <c r="A25" s="32">
        <f>Matching_Engine!$B$25</f>
      </c>
      <c r="B25" s="32">
        <f>Matching_Engine!$D$25</f>
      </c>
      <c r="C25" s="32">
        <f>Matching_Engine!$E$25</f>
      </c>
      <c r="D25" s="33">
        <f>Matching_Engine!$AY$25</f>
      </c>
      <c r="E25" s="32">
        <f>Matching_Engine!$AZ$25</f>
      </c>
      <c r="F25" s="32">
        <f>IF(NOT(ISNUMBER(Matching_Engine!$AY$25)),"Not scored: no component of the model had data for this account, so no match can be claimed either way.",Matching_Engine!$AZ$25&amp;" — "&amp;Matching_Engine!$AY$25&amp;"/100 against "&amp;Matching_Engine!$B$25&amp;". "&amp;"Strongest factor "&amp;$S$25&amp;" at "&amp;$R$25&amp;"; weakest "&amp;$AA$25&amp;" at "&amp;$Z$25&amp;". "&amp;IF(AND(ISTEXT(Matching_Engine!$G$25),Matching_Engine!$G$25&lt;&gt;"N/A"),"Tagged category "&amp;Matching_Engine!$G$25&amp;" scores "&amp;IF(ISNUMBER(Matching_Engine!$J$25),Matching_Engine!$J$25,0)&amp;" against the brand category "&amp;Matching_Engine!$B$25&amp;" targets. ","Creator carries no category on record, so the category-driven parts fall back to neutral rather than penalising the creator. ")&amp;IF(ISNUMBER(Matching_Engine!$R$25),"Audience-interest overlap "&amp;Matching_Engine!$R$25&amp;". ","Audience interests unmeasured. ")&amp;IF(Matching_Engine!$AX$25&lt;100,"Scored on "&amp;Matching_Engine!$AX$25&amp;" of the 100 nominal weight points; the rest had no data.",""))</f>
      </c>
      <c r="G25" s="32">
        <f>IF(NOT(ISNUMBER(Matching_Engine!$AY$25)),"N/A",$S$25&amp;" ("&amp;$R$25&amp;"/100)")</f>
      </c>
      <c r="H25" s="32">
        <f>IF(NOT(ISNUMBER(Matching_Engine!$AY$25)),"N/A",$AA$25&amp;" ("&amp;$Z$25&amp;"/100)")</f>
      </c>
      <c r="I25" s="32">
        <f>IF(NOT(ISNUMBER(Matching_Engine!$AY$25)),"No data to consider: this account has no measured signal.",IF($Z$25&lt;Lookup_Lists!$D$161,$AA$25&amp;" sits at "&amp;$Z$25&amp;", below the "&amp;Lookup_Lists!$D$161&amp;"-point consideration threshold"&amp;IF(Matching_Engine!$AF$25=0," · Brand Personality Fit could not be scored at all: no creator personality, tone, values or content-style column exists","")&amp;IF(Matching_Engine!$AI$25="N/A"," · posting cadence unusable, so Consistency is excluded from Performance","")&amp;".","No component falls below the "&amp;Lookup_Lists!$D$161&amp;"-point consideration threshold."))</f>
      </c>
      <c r="J25" s="32">
        <f>Matching_Engine!$AV$25&amp;" — "&amp;Matching_Engine!$AW$25&amp;IF(Matching_Engine!$BB$25="Limited Data"," Confidence is Limited Data: "&amp;Matching_Engine!$BA$25&amp;"% of tracked fields carry a value.","")</f>
      </c>
      <c r="K25" s="32">
        <f>IF(NOT(ISNUMBER(Matching_Engine!$AY$25)),"Do not shortlist on this data — re-scrape the account first.",IF(Matching_Engine!$AY$25&gt;=Lookup_Lists!$D$156,"Highly Recommended",IF(Matching_Engine!$AY$25&gt;=Lookup_Lists!$D$157,"Recommended",IF(Matching_Engine!$AY$25&gt;=Lookup_Lists!$D$158,"Consider","Low Priority")))&amp;IF(Matching_Engine!$AX$25&lt;100," (on partial data)",""))</f>
      </c>
      <c r="L25" s="34">
        <f>IF(ISNUMBER(Matching_Engine!$M$25),Matching_Engine!$M$25,-1)</f>
      </c>
      <c r="M25" s="34">
        <f>IF(ISNUMBER(Matching_Engine!$S$25),Matching_Engine!$S$25,-1)</f>
      </c>
      <c r="N25" s="34">
        <f>IF(ISNUMBER(Matching_Engine!$Y$25),Matching_Engine!$Y$25,-1)</f>
      </c>
      <c r="O25" s="34">
        <f>IF(ISNUMBER(Matching_Engine!$AE$25),Matching_Engine!$AE$25,-1)</f>
      </c>
      <c r="P25" s="34">
        <f>IF(ISNUMBER(Matching_Engine!$AM$25),Matching_Engine!$AM$25,-1)</f>
      </c>
      <c r="Q25" s="34">
        <f>IF(ISNUMBER(Matching_Engine!$AT$25),Matching_Engine!$AT$25,-1)</f>
      </c>
      <c r="R25" s="34">
        <f>MAX($L$25:$Q$25)</f>
      </c>
      <c r="S25" s="32">
        <f>INDEX({"Brand &amp; Business Relevance","Target Audience Relevance","Content &amp; Category Relevance","Brand Personality Fit","Performance Quality","Brand Safety"},MATCH($R$25,$L$25:$Q$25,0))</f>
      </c>
      <c r="T25" s="34">
        <f>IF(ISNUMBER(Matching_Engine!$M$25),Matching_Engine!$M$25,999)</f>
      </c>
      <c r="U25" s="34">
        <f>IF(ISNUMBER(Matching_Engine!$S$25),Matching_Engine!$S$25,999)</f>
      </c>
      <c r="V25" s="34">
        <f>IF(ISNUMBER(Matching_Engine!$Y$25),Matching_Engine!$Y$25,999)</f>
      </c>
      <c r="W25" s="34">
        <f>IF(ISNUMBER(Matching_Engine!$AE$25),Matching_Engine!$AE$25,999)</f>
      </c>
      <c r="X25" s="34">
        <f>IF(ISNUMBER(Matching_Engine!$AM$25),Matching_Engine!$AM$25,999)</f>
      </c>
      <c r="Y25" s="34">
        <f>IF(ISNUMBER(Matching_Engine!$AT$25),Matching_Engine!$AT$25,999)</f>
      </c>
      <c r="Z25" s="34">
        <f>MIN($T$25:$Y$25)</f>
      </c>
      <c r="AA25" s="32">
        <f>INDEX({"Brand &amp; Business Relevance","Target Audience Relevance","Content &amp; Category Relevance","Brand Personality Fit","Performance Quality","Brand Safety"},MATCH($Z$25,$T$25:$Y$25,0))</f>
      </c>
    </row>
    <row r="26" spans="1:27" x14ac:dyDescent="0.25">
      <c r="A26" s="32">
        <f>Matching_Engine!$B$26</f>
      </c>
      <c r="B26" s="32">
        <f>Matching_Engine!$D$26</f>
      </c>
      <c r="C26" s="32">
        <f>Matching_Engine!$E$26</f>
      </c>
      <c r="D26" s="33">
        <f>Matching_Engine!$AY$26</f>
      </c>
      <c r="E26" s="32">
        <f>Matching_Engine!$AZ$26</f>
      </c>
      <c r="F26" s="32">
        <f>IF(NOT(ISNUMBER(Matching_Engine!$AY$26)),"Not scored: no component of the model had data for this account, so no match can be claimed either way.",Matching_Engine!$AZ$26&amp;" — "&amp;Matching_Engine!$AY$26&amp;"/100 against "&amp;Matching_Engine!$B$26&amp;". "&amp;"Strongest factor "&amp;$S$26&amp;" at "&amp;$R$26&amp;"; weakest "&amp;$AA$26&amp;" at "&amp;$Z$26&amp;". "&amp;IF(AND(ISTEXT(Matching_Engine!$G$26),Matching_Engine!$G$26&lt;&gt;"N/A"),"Tagged category "&amp;Matching_Engine!$G$26&amp;" scores "&amp;IF(ISNUMBER(Matching_Engine!$J$26),Matching_Engine!$J$26,0)&amp;" against the brand category "&amp;Matching_Engine!$B$26&amp;" targets. ","Creator carries no category on record, so the category-driven parts fall back to neutral rather than penalising the creator. ")&amp;IF(ISNUMBER(Matching_Engine!$R$26),"Audience-interest overlap "&amp;Matching_Engine!$R$26&amp;". ","Audience interests unmeasured. ")&amp;IF(Matching_Engine!$AX$26&lt;100,"Scored on "&amp;Matching_Engine!$AX$26&amp;" of the 100 nominal weight points; the rest had no data.",""))</f>
      </c>
      <c r="G26" s="32">
        <f>IF(NOT(ISNUMBER(Matching_Engine!$AY$26)),"N/A",$S$26&amp;" ("&amp;$R$26&amp;"/100)")</f>
      </c>
      <c r="H26" s="32">
        <f>IF(NOT(ISNUMBER(Matching_Engine!$AY$26)),"N/A",$AA$26&amp;" ("&amp;$Z$26&amp;"/100)")</f>
      </c>
      <c r="I26" s="32">
        <f>IF(NOT(ISNUMBER(Matching_Engine!$AY$26)),"No data to consider: this account has no measured signal.",IF($Z$26&lt;Lookup_Lists!$D$161,$AA$26&amp;" sits at "&amp;$Z$26&amp;", below the "&amp;Lookup_Lists!$D$161&amp;"-point consideration threshold"&amp;IF(Matching_Engine!$AF$26=0," · Brand Personality Fit could not be scored at all: no creator personality, tone, values or content-style column exists","")&amp;IF(Matching_Engine!$AI$26="N/A"," · posting cadence unusable, so Consistency is excluded from Performance","")&amp;".","No component falls below the "&amp;Lookup_Lists!$D$161&amp;"-point consideration threshold."))</f>
      </c>
      <c r="J26" s="32">
        <f>Matching_Engine!$AV$26&amp;" — "&amp;Matching_Engine!$AW$26&amp;IF(Matching_Engine!$BB$26="Limited Data"," Confidence is Limited Data: "&amp;Matching_Engine!$BA$26&amp;"% of tracked fields carry a value.","")</f>
      </c>
      <c r="K26" s="32">
        <f>IF(NOT(ISNUMBER(Matching_Engine!$AY$26)),"Do not shortlist on this data — re-scrape the account first.",IF(Matching_Engine!$AY$26&gt;=Lookup_Lists!$D$156,"Highly Recommended",IF(Matching_Engine!$AY$26&gt;=Lookup_Lists!$D$157,"Recommended",IF(Matching_Engine!$AY$26&gt;=Lookup_Lists!$D$158,"Consider","Low Priority")))&amp;IF(Matching_Engine!$AX$26&lt;100," (on partial data)",""))</f>
      </c>
      <c r="L26" s="34">
        <f>IF(ISNUMBER(Matching_Engine!$M$26),Matching_Engine!$M$26,-1)</f>
      </c>
      <c r="M26" s="34">
        <f>IF(ISNUMBER(Matching_Engine!$S$26),Matching_Engine!$S$26,-1)</f>
      </c>
      <c r="N26" s="34">
        <f>IF(ISNUMBER(Matching_Engine!$Y$26),Matching_Engine!$Y$26,-1)</f>
      </c>
      <c r="O26" s="34">
        <f>IF(ISNUMBER(Matching_Engine!$AE$26),Matching_Engine!$AE$26,-1)</f>
      </c>
      <c r="P26" s="34">
        <f>IF(ISNUMBER(Matching_Engine!$AM$26),Matching_Engine!$AM$26,-1)</f>
      </c>
      <c r="Q26" s="34">
        <f>IF(ISNUMBER(Matching_Engine!$AT$26),Matching_Engine!$AT$26,-1)</f>
      </c>
      <c r="R26" s="34">
        <f>MAX($L$26:$Q$26)</f>
      </c>
      <c r="S26" s="32">
        <f>INDEX({"Brand &amp; Business Relevance","Target Audience Relevance","Content &amp; Category Relevance","Brand Personality Fit","Performance Quality","Brand Safety"},MATCH($R$26,$L$26:$Q$26,0))</f>
      </c>
      <c r="T26" s="34">
        <f>IF(ISNUMBER(Matching_Engine!$M$26),Matching_Engine!$M$26,999)</f>
      </c>
      <c r="U26" s="34">
        <f>IF(ISNUMBER(Matching_Engine!$S$26),Matching_Engine!$S$26,999)</f>
      </c>
      <c r="V26" s="34">
        <f>IF(ISNUMBER(Matching_Engine!$Y$26),Matching_Engine!$Y$26,999)</f>
      </c>
      <c r="W26" s="34">
        <f>IF(ISNUMBER(Matching_Engine!$AE$26),Matching_Engine!$AE$26,999)</f>
      </c>
      <c r="X26" s="34">
        <f>IF(ISNUMBER(Matching_Engine!$AM$26),Matching_Engine!$AM$26,999)</f>
      </c>
      <c r="Y26" s="34">
        <f>IF(ISNUMBER(Matching_Engine!$AT$26),Matching_Engine!$AT$26,999)</f>
      </c>
      <c r="Z26" s="34">
        <f>MIN($T$26:$Y$26)</f>
      </c>
      <c r="AA26" s="32">
        <f>INDEX({"Brand &amp; Business Relevance","Target Audience Relevance","Content &amp; Category Relevance","Brand Personality Fit","Performance Quality","Brand Safety"},MATCH($Z$26,$T$26:$Y$26,0))</f>
      </c>
    </row>
    <row r="27" spans="1:27" x14ac:dyDescent="0.25">
      <c r="A27" s="32">
        <f>Matching_Engine!$B$27</f>
      </c>
      <c r="B27" s="32">
        <f>Matching_Engine!$D$27</f>
      </c>
      <c r="C27" s="32">
        <f>Matching_Engine!$E$27</f>
      </c>
      <c r="D27" s="33">
        <f>Matching_Engine!$AY$27</f>
      </c>
      <c r="E27" s="32">
        <f>Matching_Engine!$AZ$27</f>
      </c>
      <c r="F27" s="32">
        <f>IF(NOT(ISNUMBER(Matching_Engine!$AY$27)),"Not scored: no component of the model had data for this account, so no match can be claimed either way.",Matching_Engine!$AZ$27&amp;" — "&amp;Matching_Engine!$AY$27&amp;"/100 against "&amp;Matching_Engine!$B$27&amp;". "&amp;"Strongest factor "&amp;$S$27&amp;" at "&amp;$R$27&amp;"; weakest "&amp;$AA$27&amp;" at "&amp;$Z$27&amp;". "&amp;IF(AND(ISTEXT(Matching_Engine!$G$27),Matching_Engine!$G$27&lt;&gt;"N/A"),"Tagged category "&amp;Matching_Engine!$G$27&amp;" scores "&amp;IF(ISNUMBER(Matching_Engine!$J$27),Matching_Engine!$J$27,0)&amp;" against the brand category "&amp;Matching_Engine!$B$27&amp;" targets. ","Creator carries no category on record, so the category-driven parts fall back to neutral rather than penalising the creator. ")&amp;IF(ISNUMBER(Matching_Engine!$R$27),"Audience-interest overlap "&amp;Matching_Engine!$R$27&amp;". ","Audience interests unmeasured. ")&amp;IF(Matching_Engine!$AX$27&lt;100,"Scored on "&amp;Matching_Engine!$AX$27&amp;" of the 100 nominal weight points; the rest had no data.",""))</f>
      </c>
      <c r="G27" s="32">
        <f>IF(NOT(ISNUMBER(Matching_Engine!$AY$27)),"N/A",$S$27&amp;" ("&amp;$R$27&amp;"/100)")</f>
      </c>
      <c r="H27" s="32">
        <f>IF(NOT(ISNUMBER(Matching_Engine!$AY$27)),"N/A",$AA$27&amp;" ("&amp;$Z$27&amp;"/100)")</f>
      </c>
      <c r="I27" s="32">
        <f>IF(NOT(ISNUMBER(Matching_Engine!$AY$27)),"No data to consider: this account has no measured signal.",IF($Z$27&lt;Lookup_Lists!$D$161,$AA$27&amp;" sits at "&amp;$Z$27&amp;", below the "&amp;Lookup_Lists!$D$161&amp;"-point consideration threshold"&amp;IF(Matching_Engine!$AF$27=0," · Brand Personality Fit could not be scored at all: no creator personality, tone, values or content-style column exists","")&amp;IF(Matching_Engine!$AI$27="N/A"," · posting cadence unusable, so Consistency is excluded from Performance","")&amp;".","No component falls below the "&amp;Lookup_Lists!$D$161&amp;"-point consideration threshold."))</f>
      </c>
      <c r="J27" s="32">
        <f>Matching_Engine!$AV$27&amp;" — "&amp;Matching_Engine!$AW$27&amp;IF(Matching_Engine!$BB$27="Limited Data"," Confidence is Limited Data: "&amp;Matching_Engine!$BA$27&amp;"% of tracked fields carry a value.","")</f>
      </c>
      <c r="K27" s="32">
        <f>IF(NOT(ISNUMBER(Matching_Engine!$AY$27)),"Do not shortlist on this data — re-scrape the account first.",IF(Matching_Engine!$AY$27&gt;=Lookup_Lists!$D$156,"Highly Recommended",IF(Matching_Engine!$AY$27&gt;=Lookup_Lists!$D$157,"Recommended",IF(Matching_Engine!$AY$27&gt;=Lookup_Lists!$D$158,"Consider","Low Priority")))&amp;IF(Matching_Engine!$AX$27&lt;100," (on partial data)",""))</f>
      </c>
      <c r="L27" s="34">
        <f>IF(ISNUMBER(Matching_Engine!$M$27),Matching_Engine!$M$27,-1)</f>
      </c>
      <c r="M27" s="34">
        <f>IF(ISNUMBER(Matching_Engine!$S$27),Matching_Engine!$S$27,-1)</f>
      </c>
      <c r="N27" s="34">
        <f>IF(ISNUMBER(Matching_Engine!$Y$27),Matching_Engine!$Y$27,-1)</f>
      </c>
      <c r="O27" s="34">
        <f>IF(ISNUMBER(Matching_Engine!$AE$27),Matching_Engine!$AE$27,-1)</f>
      </c>
      <c r="P27" s="34">
        <f>IF(ISNUMBER(Matching_Engine!$AM$27),Matching_Engine!$AM$27,-1)</f>
      </c>
      <c r="Q27" s="34">
        <f>IF(ISNUMBER(Matching_Engine!$AT$27),Matching_Engine!$AT$27,-1)</f>
      </c>
      <c r="R27" s="34">
        <f>MAX($L$27:$Q$27)</f>
      </c>
      <c r="S27" s="32">
        <f>INDEX({"Brand &amp; Business Relevance","Target Audience Relevance","Content &amp; Category Relevance","Brand Personality Fit","Performance Quality","Brand Safety"},MATCH($R$27,$L$27:$Q$27,0))</f>
      </c>
      <c r="T27" s="34">
        <f>IF(ISNUMBER(Matching_Engine!$M$27),Matching_Engine!$M$27,999)</f>
      </c>
      <c r="U27" s="34">
        <f>IF(ISNUMBER(Matching_Engine!$S$27),Matching_Engine!$S$27,999)</f>
      </c>
      <c r="V27" s="34">
        <f>IF(ISNUMBER(Matching_Engine!$Y$27),Matching_Engine!$Y$27,999)</f>
      </c>
      <c r="W27" s="34">
        <f>IF(ISNUMBER(Matching_Engine!$AE$27),Matching_Engine!$AE$27,999)</f>
      </c>
      <c r="X27" s="34">
        <f>IF(ISNUMBER(Matching_Engine!$AM$27),Matching_Engine!$AM$27,999)</f>
      </c>
      <c r="Y27" s="34">
        <f>IF(ISNUMBER(Matching_Engine!$AT$27),Matching_Engine!$AT$27,999)</f>
      </c>
      <c r="Z27" s="34">
        <f>MIN($T$27:$Y$27)</f>
      </c>
      <c r="AA27" s="32">
        <f>INDEX({"Brand &amp; Business Relevance","Target Audience Relevance","Content &amp; Category Relevance","Brand Personality Fit","Performance Quality","Brand Safety"},MATCH($Z$27,$T$27:$Y$27,0))</f>
      </c>
    </row>
    <row r="28" spans="1:27" x14ac:dyDescent="0.25">
      <c r="A28" s="32">
        <f>Matching_Engine!$B$28</f>
      </c>
      <c r="B28" s="32">
        <f>Matching_Engine!$D$28</f>
      </c>
      <c r="C28" s="32">
        <f>Matching_Engine!$E$28</f>
      </c>
      <c r="D28" s="33">
        <f>Matching_Engine!$AY$28</f>
      </c>
      <c r="E28" s="32">
        <f>Matching_Engine!$AZ$28</f>
      </c>
      <c r="F28" s="32">
        <f>IF(NOT(ISNUMBER(Matching_Engine!$AY$28)),"Not scored: no component of the model had data for this account, so no match can be claimed either way.",Matching_Engine!$AZ$28&amp;" — "&amp;Matching_Engine!$AY$28&amp;"/100 against "&amp;Matching_Engine!$B$28&amp;". "&amp;"Strongest factor "&amp;$S$28&amp;" at "&amp;$R$28&amp;"; weakest "&amp;$AA$28&amp;" at "&amp;$Z$28&amp;". "&amp;IF(AND(ISTEXT(Matching_Engine!$G$28),Matching_Engine!$G$28&lt;&gt;"N/A"),"Tagged category "&amp;Matching_Engine!$G$28&amp;" scores "&amp;IF(ISNUMBER(Matching_Engine!$J$28),Matching_Engine!$J$28,0)&amp;" against the brand category "&amp;Matching_Engine!$B$28&amp;" targets. ","Creator carries no category on record, so the category-driven parts fall back to neutral rather than penalising the creator. ")&amp;IF(ISNUMBER(Matching_Engine!$R$28),"Audience-interest overlap "&amp;Matching_Engine!$R$28&amp;". ","Audience interests unmeasured. ")&amp;IF(Matching_Engine!$AX$28&lt;100,"Scored on "&amp;Matching_Engine!$AX$28&amp;" of the 100 nominal weight points; the rest had no data.",""))</f>
      </c>
      <c r="G28" s="32">
        <f>IF(NOT(ISNUMBER(Matching_Engine!$AY$28)),"N/A",$S$28&amp;" ("&amp;$R$28&amp;"/100)")</f>
      </c>
      <c r="H28" s="32">
        <f>IF(NOT(ISNUMBER(Matching_Engine!$AY$28)),"N/A",$AA$28&amp;" ("&amp;$Z$28&amp;"/100)")</f>
      </c>
      <c r="I28" s="32">
        <f>IF(NOT(ISNUMBER(Matching_Engine!$AY$28)),"No data to consider: this account has no measured signal.",IF($Z$28&lt;Lookup_Lists!$D$161,$AA$28&amp;" sits at "&amp;$Z$28&amp;", below the "&amp;Lookup_Lists!$D$161&amp;"-point consideration threshold"&amp;IF(Matching_Engine!$AF$28=0," · Brand Personality Fit could not be scored at all: no creator personality, tone, values or content-style column exists","")&amp;IF(Matching_Engine!$AI$28="N/A"," · posting cadence unusable, so Consistency is excluded from Performance","")&amp;".","No component falls below the "&amp;Lookup_Lists!$D$161&amp;"-point consideration threshold."))</f>
      </c>
      <c r="J28" s="32">
        <f>Matching_Engine!$AV$28&amp;" — "&amp;Matching_Engine!$AW$28&amp;IF(Matching_Engine!$BB$28="Limited Data"," Confidence is Limited Data: "&amp;Matching_Engine!$BA$28&amp;"% of tracked fields carry a value.","")</f>
      </c>
      <c r="K28" s="32">
        <f>IF(NOT(ISNUMBER(Matching_Engine!$AY$28)),"Do not shortlist on this data — re-scrape the account first.",IF(Matching_Engine!$AY$28&gt;=Lookup_Lists!$D$156,"Highly Recommended",IF(Matching_Engine!$AY$28&gt;=Lookup_Lists!$D$157,"Recommended",IF(Matching_Engine!$AY$28&gt;=Lookup_Lists!$D$158,"Consider","Low Priority")))&amp;IF(Matching_Engine!$AX$28&lt;100," (on partial data)",""))</f>
      </c>
      <c r="L28" s="34">
        <f>IF(ISNUMBER(Matching_Engine!$M$28),Matching_Engine!$M$28,-1)</f>
      </c>
      <c r="M28" s="34">
        <f>IF(ISNUMBER(Matching_Engine!$S$28),Matching_Engine!$S$28,-1)</f>
      </c>
      <c r="N28" s="34">
        <f>IF(ISNUMBER(Matching_Engine!$Y$28),Matching_Engine!$Y$28,-1)</f>
      </c>
      <c r="O28" s="34">
        <f>IF(ISNUMBER(Matching_Engine!$AE$28),Matching_Engine!$AE$28,-1)</f>
      </c>
      <c r="P28" s="34">
        <f>IF(ISNUMBER(Matching_Engine!$AM$28),Matching_Engine!$AM$28,-1)</f>
      </c>
      <c r="Q28" s="34">
        <f>IF(ISNUMBER(Matching_Engine!$AT$28),Matching_Engine!$AT$28,-1)</f>
      </c>
      <c r="R28" s="34">
        <f>MAX($L$28:$Q$28)</f>
      </c>
      <c r="S28" s="32">
        <f>INDEX({"Brand &amp; Business Relevance","Target Audience Relevance","Content &amp; Category Relevance","Brand Personality Fit","Performance Quality","Brand Safety"},MATCH($R$28,$L$28:$Q$28,0))</f>
      </c>
      <c r="T28" s="34">
        <f>IF(ISNUMBER(Matching_Engine!$M$28),Matching_Engine!$M$28,999)</f>
      </c>
      <c r="U28" s="34">
        <f>IF(ISNUMBER(Matching_Engine!$S$28),Matching_Engine!$S$28,999)</f>
      </c>
      <c r="V28" s="34">
        <f>IF(ISNUMBER(Matching_Engine!$Y$28),Matching_Engine!$Y$28,999)</f>
      </c>
      <c r="W28" s="34">
        <f>IF(ISNUMBER(Matching_Engine!$AE$28),Matching_Engine!$AE$28,999)</f>
      </c>
      <c r="X28" s="34">
        <f>IF(ISNUMBER(Matching_Engine!$AM$28),Matching_Engine!$AM$28,999)</f>
      </c>
      <c r="Y28" s="34">
        <f>IF(ISNUMBER(Matching_Engine!$AT$28),Matching_Engine!$AT$28,999)</f>
      </c>
      <c r="Z28" s="34">
        <f>MIN($T$28:$Y$28)</f>
      </c>
      <c r="AA28" s="32">
        <f>INDEX({"Brand &amp; Business Relevance","Target Audience Relevance","Content &amp; Category Relevance","Brand Personality Fit","Performance Quality","Brand Safety"},MATCH($Z$28,$T$28:$Y$28,0))</f>
      </c>
    </row>
    <row r="29" spans="1:27" x14ac:dyDescent="0.25">
      <c r="A29" s="32">
        <f>Matching_Engine!$B$29</f>
      </c>
      <c r="B29" s="32">
        <f>Matching_Engine!$D$29</f>
      </c>
      <c r="C29" s="32">
        <f>Matching_Engine!$E$29</f>
      </c>
      <c r="D29" s="33">
        <f>Matching_Engine!$AY$29</f>
      </c>
      <c r="E29" s="32">
        <f>Matching_Engine!$AZ$29</f>
      </c>
      <c r="F29" s="32">
        <f>IF(NOT(ISNUMBER(Matching_Engine!$AY$29)),"Not scored: no component of the model had data for this account, so no match can be claimed either way.",Matching_Engine!$AZ$29&amp;" — "&amp;Matching_Engine!$AY$29&amp;"/100 against "&amp;Matching_Engine!$B$29&amp;". "&amp;"Strongest factor "&amp;$S$29&amp;" at "&amp;$R$29&amp;"; weakest "&amp;$AA$29&amp;" at "&amp;$Z$29&amp;". "&amp;IF(AND(ISTEXT(Matching_Engine!$G$29),Matching_Engine!$G$29&lt;&gt;"N/A"),"Tagged category "&amp;Matching_Engine!$G$29&amp;" scores "&amp;IF(ISNUMBER(Matching_Engine!$J$29),Matching_Engine!$J$29,0)&amp;" against the brand category "&amp;Matching_Engine!$B$29&amp;" targets. ","Creator carries no category on record, so the category-driven parts fall back to neutral rather than penalising the creator. ")&amp;IF(ISNUMBER(Matching_Engine!$R$29),"Audience-interest overlap "&amp;Matching_Engine!$R$29&amp;". ","Audience interests unmeasured. ")&amp;IF(Matching_Engine!$AX$29&lt;100,"Scored on "&amp;Matching_Engine!$AX$29&amp;" of the 100 nominal weight points; the rest had no data.",""))</f>
      </c>
      <c r="G29" s="32">
        <f>IF(NOT(ISNUMBER(Matching_Engine!$AY$29)),"N/A",$S$29&amp;" ("&amp;$R$29&amp;"/100)")</f>
      </c>
      <c r="H29" s="32">
        <f>IF(NOT(ISNUMBER(Matching_Engine!$AY$29)),"N/A",$AA$29&amp;" ("&amp;$Z$29&amp;"/100)")</f>
      </c>
      <c r="I29" s="32">
        <f>IF(NOT(ISNUMBER(Matching_Engine!$AY$29)),"No data to consider: this account has no measured signal.",IF($Z$29&lt;Lookup_Lists!$D$161,$AA$29&amp;" sits at "&amp;$Z$29&amp;", below the "&amp;Lookup_Lists!$D$161&amp;"-point consideration threshold"&amp;IF(Matching_Engine!$AF$29=0," · Brand Personality Fit could not be scored at all: no creator personality, tone, values or content-style column exists","")&amp;IF(Matching_Engine!$AI$29="N/A"," · posting cadence unusable, so Consistency is excluded from Performance","")&amp;".","No component falls below the "&amp;Lookup_Lists!$D$161&amp;"-point consideration threshold."))</f>
      </c>
      <c r="J29" s="32">
        <f>Matching_Engine!$AV$29&amp;" — "&amp;Matching_Engine!$AW$29&amp;IF(Matching_Engine!$BB$29="Limited Data"," Confidence is Limited Data: "&amp;Matching_Engine!$BA$29&amp;"% of tracked fields carry a value.","")</f>
      </c>
      <c r="K29" s="32">
        <f>IF(NOT(ISNUMBER(Matching_Engine!$AY$29)),"Do not shortlist on this data — re-scrape the account first.",IF(Matching_Engine!$AY$29&gt;=Lookup_Lists!$D$156,"Highly Recommended",IF(Matching_Engine!$AY$29&gt;=Lookup_Lists!$D$157,"Recommended",IF(Matching_Engine!$AY$29&gt;=Lookup_Lists!$D$158,"Consider","Low Priority")))&amp;IF(Matching_Engine!$AX$29&lt;100," (on partial data)",""))</f>
      </c>
      <c r="L29" s="34">
        <f>IF(ISNUMBER(Matching_Engine!$M$29),Matching_Engine!$M$29,-1)</f>
      </c>
      <c r="M29" s="34">
        <f>IF(ISNUMBER(Matching_Engine!$S$29),Matching_Engine!$S$29,-1)</f>
      </c>
      <c r="N29" s="34">
        <f>IF(ISNUMBER(Matching_Engine!$Y$29),Matching_Engine!$Y$29,-1)</f>
      </c>
      <c r="O29" s="34">
        <f>IF(ISNUMBER(Matching_Engine!$AE$29),Matching_Engine!$AE$29,-1)</f>
      </c>
      <c r="P29" s="34">
        <f>IF(ISNUMBER(Matching_Engine!$AM$29),Matching_Engine!$AM$29,-1)</f>
      </c>
      <c r="Q29" s="34">
        <f>IF(ISNUMBER(Matching_Engine!$AT$29),Matching_Engine!$AT$29,-1)</f>
      </c>
      <c r="R29" s="34">
        <f>MAX($L$29:$Q$29)</f>
      </c>
      <c r="S29" s="32">
        <f>INDEX({"Brand &amp; Business Relevance","Target Audience Relevance","Content &amp; Category Relevance","Brand Personality Fit","Performance Quality","Brand Safety"},MATCH($R$29,$L$29:$Q$29,0))</f>
      </c>
      <c r="T29" s="34">
        <f>IF(ISNUMBER(Matching_Engine!$M$29),Matching_Engine!$M$29,999)</f>
      </c>
      <c r="U29" s="34">
        <f>IF(ISNUMBER(Matching_Engine!$S$29),Matching_Engine!$S$29,999)</f>
      </c>
      <c r="V29" s="34">
        <f>IF(ISNUMBER(Matching_Engine!$Y$29),Matching_Engine!$Y$29,999)</f>
      </c>
      <c r="W29" s="34">
        <f>IF(ISNUMBER(Matching_Engine!$AE$29),Matching_Engine!$AE$29,999)</f>
      </c>
      <c r="X29" s="34">
        <f>IF(ISNUMBER(Matching_Engine!$AM$29),Matching_Engine!$AM$29,999)</f>
      </c>
      <c r="Y29" s="34">
        <f>IF(ISNUMBER(Matching_Engine!$AT$29),Matching_Engine!$AT$29,999)</f>
      </c>
      <c r="Z29" s="34">
        <f>MIN($T$29:$Y$29)</f>
      </c>
      <c r="AA29" s="32">
        <f>INDEX({"Brand &amp; Business Relevance","Target Audience Relevance","Content &amp; Category Relevance","Brand Personality Fit","Performance Quality","Brand Safety"},MATCH($Z$29,$T$29:$Y$29,0))</f>
      </c>
    </row>
    <row r="30" spans="1:27" x14ac:dyDescent="0.25">
      <c r="A30" s="32">
        <f>Matching_Engine!$B$30</f>
      </c>
      <c r="B30" s="32">
        <f>Matching_Engine!$D$30</f>
      </c>
      <c r="C30" s="32">
        <f>Matching_Engine!$E$30</f>
      </c>
      <c r="D30" s="33">
        <f>Matching_Engine!$AY$30</f>
      </c>
      <c r="E30" s="32">
        <f>Matching_Engine!$AZ$30</f>
      </c>
      <c r="F30" s="32">
        <f>IF(NOT(ISNUMBER(Matching_Engine!$AY$30)),"Not scored: no component of the model had data for this account, so no match can be claimed either way.",Matching_Engine!$AZ$30&amp;" — "&amp;Matching_Engine!$AY$30&amp;"/100 against "&amp;Matching_Engine!$B$30&amp;". "&amp;"Strongest factor "&amp;$S$30&amp;" at "&amp;$R$30&amp;"; weakest "&amp;$AA$30&amp;" at "&amp;$Z$30&amp;". "&amp;IF(AND(ISTEXT(Matching_Engine!$G$30),Matching_Engine!$G$30&lt;&gt;"N/A"),"Tagged category "&amp;Matching_Engine!$G$30&amp;" scores "&amp;IF(ISNUMBER(Matching_Engine!$J$30),Matching_Engine!$J$30,0)&amp;" against the brand category "&amp;Matching_Engine!$B$30&amp;" targets. ","Creator carries no category on record, so the category-driven parts fall back to neutral rather than penalising the creator. ")&amp;IF(ISNUMBER(Matching_Engine!$R$30),"Audience-interest overlap "&amp;Matching_Engine!$R$30&amp;". ","Audience interests unmeasured. ")&amp;IF(Matching_Engine!$AX$30&lt;100,"Scored on "&amp;Matching_Engine!$AX$30&amp;" of the 100 nominal weight points; the rest had no data.",""))</f>
      </c>
      <c r="G30" s="32">
        <f>IF(NOT(ISNUMBER(Matching_Engine!$AY$30)),"N/A",$S$30&amp;" ("&amp;$R$30&amp;"/100)")</f>
      </c>
      <c r="H30" s="32">
        <f>IF(NOT(ISNUMBER(Matching_Engine!$AY$30)),"N/A",$AA$30&amp;" ("&amp;$Z$30&amp;"/100)")</f>
      </c>
      <c r="I30" s="32">
        <f>IF(NOT(ISNUMBER(Matching_Engine!$AY$30)),"No data to consider: this account has no measured signal.",IF($Z$30&lt;Lookup_Lists!$D$161,$AA$30&amp;" sits at "&amp;$Z$30&amp;", below the "&amp;Lookup_Lists!$D$161&amp;"-point consideration threshold"&amp;IF(Matching_Engine!$AF$30=0," · Brand Personality Fit could not be scored at all: no creator personality, tone, values or content-style column exists","")&amp;IF(Matching_Engine!$AI$30="N/A"," · posting cadence unusable, so Consistency is excluded from Performance","")&amp;".","No component falls below the "&amp;Lookup_Lists!$D$161&amp;"-point consideration threshold."))</f>
      </c>
      <c r="J30" s="32">
        <f>Matching_Engine!$AV$30&amp;" — "&amp;Matching_Engine!$AW$30&amp;IF(Matching_Engine!$BB$30="Limited Data"," Confidence is Limited Data: "&amp;Matching_Engine!$BA$30&amp;"% of tracked fields carry a value.","")</f>
      </c>
      <c r="K30" s="32">
        <f>IF(NOT(ISNUMBER(Matching_Engine!$AY$30)),"Do not shortlist on this data — re-scrape the account first.",IF(Matching_Engine!$AY$30&gt;=Lookup_Lists!$D$156,"Highly Recommended",IF(Matching_Engine!$AY$30&gt;=Lookup_Lists!$D$157,"Recommended",IF(Matching_Engine!$AY$30&gt;=Lookup_Lists!$D$158,"Consider","Low Priority")))&amp;IF(Matching_Engine!$AX$30&lt;100," (on partial data)",""))</f>
      </c>
      <c r="L30" s="34">
        <f>IF(ISNUMBER(Matching_Engine!$M$30),Matching_Engine!$M$30,-1)</f>
      </c>
      <c r="M30" s="34">
        <f>IF(ISNUMBER(Matching_Engine!$S$30),Matching_Engine!$S$30,-1)</f>
      </c>
      <c r="N30" s="34">
        <f>IF(ISNUMBER(Matching_Engine!$Y$30),Matching_Engine!$Y$30,-1)</f>
      </c>
      <c r="O30" s="34">
        <f>IF(ISNUMBER(Matching_Engine!$AE$30),Matching_Engine!$AE$30,-1)</f>
      </c>
      <c r="P30" s="34">
        <f>IF(ISNUMBER(Matching_Engine!$AM$30),Matching_Engine!$AM$30,-1)</f>
      </c>
      <c r="Q30" s="34">
        <f>IF(ISNUMBER(Matching_Engine!$AT$30),Matching_Engine!$AT$30,-1)</f>
      </c>
      <c r="R30" s="34">
        <f>MAX($L$30:$Q$30)</f>
      </c>
      <c r="S30" s="32">
        <f>INDEX({"Brand &amp; Business Relevance","Target Audience Relevance","Content &amp; Category Relevance","Brand Personality Fit","Performance Quality","Brand Safety"},MATCH($R$30,$L$30:$Q$30,0))</f>
      </c>
      <c r="T30" s="34">
        <f>IF(ISNUMBER(Matching_Engine!$M$30),Matching_Engine!$M$30,999)</f>
      </c>
      <c r="U30" s="34">
        <f>IF(ISNUMBER(Matching_Engine!$S$30),Matching_Engine!$S$30,999)</f>
      </c>
      <c r="V30" s="34">
        <f>IF(ISNUMBER(Matching_Engine!$Y$30),Matching_Engine!$Y$30,999)</f>
      </c>
      <c r="W30" s="34">
        <f>IF(ISNUMBER(Matching_Engine!$AE$30),Matching_Engine!$AE$30,999)</f>
      </c>
      <c r="X30" s="34">
        <f>IF(ISNUMBER(Matching_Engine!$AM$30),Matching_Engine!$AM$30,999)</f>
      </c>
      <c r="Y30" s="34">
        <f>IF(ISNUMBER(Matching_Engine!$AT$30),Matching_Engine!$AT$30,999)</f>
      </c>
      <c r="Z30" s="34">
        <f>MIN($T$30:$Y$30)</f>
      </c>
      <c r="AA30" s="32">
        <f>INDEX({"Brand &amp; Business Relevance","Target Audience Relevance","Content &amp; Category Relevance","Brand Personality Fit","Performance Quality","Brand Safety"},MATCH($Z$30,$T$30:$Y$30,0))</f>
      </c>
    </row>
    <row r="31" spans="1:27" x14ac:dyDescent="0.25">
      <c r="A31" s="32">
        <f>Matching_Engine!$B$31</f>
      </c>
      <c r="B31" s="32">
        <f>Matching_Engine!$D$31</f>
      </c>
      <c r="C31" s="32">
        <f>Matching_Engine!$E$31</f>
      </c>
      <c r="D31" s="33">
        <f>Matching_Engine!$AY$31</f>
      </c>
      <c r="E31" s="32">
        <f>Matching_Engine!$AZ$31</f>
      </c>
      <c r="F31" s="32">
        <f>IF(NOT(ISNUMBER(Matching_Engine!$AY$31)),"Not scored: no component of the model had data for this account, so no match can be claimed either way.",Matching_Engine!$AZ$31&amp;" — "&amp;Matching_Engine!$AY$31&amp;"/100 against "&amp;Matching_Engine!$B$31&amp;". "&amp;"Strongest factor "&amp;$S$31&amp;" at "&amp;$R$31&amp;"; weakest "&amp;$AA$31&amp;" at "&amp;$Z$31&amp;". "&amp;IF(AND(ISTEXT(Matching_Engine!$G$31),Matching_Engine!$G$31&lt;&gt;"N/A"),"Tagged category "&amp;Matching_Engine!$G$31&amp;" scores "&amp;IF(ISNUMBER(Matching_Engine!$J$31),Matching_Engine!$J$31,0)&amp;" against the brand category "&amp;Matching_Engine!$B$31&amp;" targets. ","Creator carries no category on record, so the category-driven parts fall back to neutral rather than penalising the creator. ")&amp;IF(ISNUMBER(Matching_Engine!$R$31),"Audience-interest overlap "&amp;Matching_Engine!$R$31&amp;". ","Audience interests unmeasured. ")&amp;IF(Matching_Engine!$AX$31&lt;100,"Scored on "&amp;Matching_Engine!$AX$31&amp;" of the 100 nominal weight points; the rest had no data.",""))</f>
      </c>
      <c r="G31" s="32">
        <f>IF(NOT(ISNUMBER(Matching_Engine!$AY$31)),"N/A",$S$31&amp;" ("&amp;$R$31&amp;"/100)")</f>
      </c>
      <c r="H31" s="32">
        <f>IF(NOT(ISNUMBER(Matching_Engine!$AY$31)),"N/A",$AA$31&amp;" ("&amp;$Z$31&amp;"/100)")</f>
      </c>
      <c r="I31" s="32">
        <f>IF(NOT(ISNUMBER(Matching_Engine!$AY$31)),"No data to consider: this account has no measured signal.",IF($Z$31&lt;Lookup_Lists!$D$161,$AA$31&amp;" sits at "&amp;$Z$31&amp;", below the "&amp;Lookup_Lists!$D$161&amp;"-point consideration threshold"&amp;IF(Matching_Engine!$AF$31=0," · Brand Personality Fit could not be scored at all: no creator personality, tone, values or content-style column exists","")&amp;IF(Matching_Engine!$AI$31="N/A"," · posting cadence unusable, so Consistency is excluded from Performance","")&amp;".","No component falls below the "&amp;Lookup_Lists!$D$161&amp;"-point consideration threshold."))</f>
      </c>
      <c r="J31" s="32">
        <f>Matching_Engine!$AV$31&amp;" — "&amp;Matching_Engine!$AW$31&amp;IF(Matching_Engine!$BB$31="Limited Data"," Confidence is Limited Data: "&amp;Matching_Engine!$BA$31&amp;"% of tracked fields carry a value.","")</f>
      </c>
      <c r="K31" s="32">
        <f>IF(NOT(ISNUMBER(Matching_Engine!$AY$31)),"Do not shortlist on this data — re-scrape the account first.",IF(Matching_Engine!$AY$31&gt;=Lookup_Lists!$D$156,"Highly Recommended",IF(Matching_Engine!$AY$31&gt;=Lookup_Lists!$D$157,"Recommended",IF(Matching_Engine!$AY$31&gt;=Lookup_Lists!$D$158,"Consider","Low Priority")))&amp;IF(Matching_Engine!$AX$31&lt;100," (on partial data)",""))</f>
      </c>
      <c r="L31" s="34">
        <f>IF(ISNUMBER(Matching_Engine!$M$31),Matching_Engine!$M$31,-1)</f>
      </c>
      <c r="M31" s="34">
        <f>IF(ISNUMBER(Matching_Engine!$S$31),Matching_Engine!$S$31,-1)</f>
      </c>
      <c r="N31" s="34">
        <f>IF(ISNUMBER(Matching_Engine!$Y$31),Matching_Engine!$Y$31,-1)</f>
      </c>
      <c r="O31" s="34">
        <f>IF(ISNUMBER(Matching_Engine!$AE$31),Matching_Engine!$AE$31,-1)</f>
      </c>
      <c r="P31" s="34">
        <f>IF(ISNUMBER(Matching_Engine!$AM$31),Matching_Engine!$AM$31,-1)</f>
      </c>
      <c r="Q31" s="34">
        <f>IF(ISNUMBER(Matching_Engine!$AT$31),Matching_Engine!$AT$31,-1)</f>
      </c>
      <c r="R31" s="34">
        <f>MAX($L$31:$Q$31)</f>
      </c>
      <c r="S31" s="32">
        <f>INDEX({"Brand &amp; Business Relevance","Target Audience Relevance","Content &amp; Category Relevance","Brand Personality Fit","Performance Quality","Brand Safety"},MATCH($R$31,$L$31:$Q$31,0))</f>
      </c>
      <c r="T31" s="34">
        <f>IF(ISNUMBER(Matching_Engine!$M$31),Matching_Engine!$M$31,999)</f>
      </c>
      <c r="U31" s="34">
        <f>IF(ISNUMBER(Matching_Engine!$S$31),Matching_Engine!$S$31,999)</f>
      </c>
      <c r="V31" s="34">
        <f>IF(ISNUMBER(Matching_Engine!$Y$31),Matching_Engine!$Y$31,999)</f>
      </c>
      <c r="W31" s="34">
        <f>IF(ISNUMBER(Matching_Engine!$AE$31),Matching_Engine!$AE$31,999)</f>
      </c>
      <c r="X31" s="34">
        <f>IF(ISNUMBER(Matching_Engine!$AM$31),Matching_Engine!$AM$31,999)</f>
      </c>
      <c r="Y31" s="34">
        <f>IF(ISNUMBER(Matching_Engine!$AT$31),Matching_Engine!$AT$31,999)</f>
      </c>
      <c r="Z31" s="34">
        <f>MIN($T$31:$Y$31)</f>
      </c>
      <c r="AA31" s="32">
        <f>INDEX({"Brand &amp; Business Relevance","Target Audience Relevance","Content &amp; Category Relevance","Brand Personality Fit","Performance Quality","Brand Safety"},MATCH($Z$31,$T$31:$Y$31,0))</f>
      </c>
    </row>
    <row r="32" spans="1:27" x14ac:dyDescent="0.25">
      <c r="A32" s="32">
        <f>Matching_Engine!$B$32</f>
      </c>
      <c r="B32" s="32">
        <f>Matching_Engine!$D$32</f>
      </c>
      <c r="C32" s="32">
        <f>Matching_Engine!$E$32</f>
      </c>
      <c r="D32" s="33">
        <f>Matching_Engine!$AY$32</f>
      </c>
      <c r="E32" s="32">
        <f>Matching_Engine!$AZ$32</f>
      </c>
      <c r="F32" s="32">
        <f>IF(NOT(ISNUMBER(Matching_Engine!$AY$32)),"Not scored: no component of the model had data for this account, so no match can be claimed either way.",Matching_Engine!$AZ$32&amp;" — "&amp;Matching_Engine!$AY$32&amp;"/100 against "&amp;Matching_Engine!$B$32&amp;". "&amp;"Strongest factor "&amp;$S$32&amp;" at "&amp;$R$32&amp;"; weakest "&amp;$AA$32&amp;" at "&amp;$Z$32&amp;". "&amp;IF(AND(ISTEXT(Matching_Engine!$G$32),Matching_Engine!$G$32&lt;&gt;"N/A"),"Tagged category "&amp;Matching_Engine!$G$32&amp;" scores "&amp;IF(ISNUMBER(Matching_Engine!$J$32),Matching_Engine!$J$32,0)&amp;" against the brand category "&amp;Matching_Engine!$B$32&amp;" targets. ","Creator carries no category on record, so the category-driven parts fall back to neutral rather than penalising the creator. ")&amp;IF(ISNUMBER(Matching_Engine!$R$32),"Audience-interest overlap "&amp;Matching_Engine!$R$32&amp;". ","Audience interests unmeasured. ")&amp;IF(Matching_Engine!$AX$32&lt;100,"Scored on "&amp;Matching_Engine!$AX$32&amp;" of the 100 nominal weight points; the rest had no data.",""))</f>
      </c>
      <c r="G32" s="32">
        <f>IF(NOT(ISNUMBER(Matching_Engine!$AY$32)),"N/A",$S$32&amp;" ("&amp;$R$32&amp;"/100)")</f>
      </c>
      <c r="H32" s="32">
        <f>IF(NOT(ISNUMBER(Matching_Engine!$AY$32)),"N/A",$AA$32&amp;" ("&amp;$Z$32&amp;"/100)")</f>
      </c>
      <c r="I32" s="32">
        <f>IF(NOT(ISNUMBER(Matching_Engine!$AY$32)),"No data to consider: this account has no measured signal.",IF($Z$32&lt;Lookup_Lists!$D$161,$AA$32&amp;" sits at "&amp;$Z$32&amp;", below the "&amp;Lookup_Lists!$D$161&amp;"-point consideration threshold"&amp;IF(Matching_Engine!$AF$32=0," · Brand Personality Fit could not be scored at all: no creator personality, tone, values or content-style column exists","")&amp;IF(Matching_Engine!$AI$32="N/A"," · posting cadence unusable, so Consistency is excluded from Performance","")&amp;".","No component falls below the "&amp;Lookup_Lists!$D$161&amp;"-point consideration threshold."))</f>
      </c>
      <c r="J32" s="32">
        <f>Matching_Engine!$AV$32&amp;" — "&amp;Matching_Engine!$AW$32&amp;IF(Matching_Engine!$BB$32="Limited Data"," Confidence is Limited Data: "&amp;Matching_Engine!$BA$32&amp;"% of tracked fields carry a value.","")</f>
      </c>
      <c r="K32" s="32">
        <f>IF(NOT(ISNUMBER(Matching_Engine!$AY$32)),"Do not shortlist on this data — re-scrape the account first.",IF(Matching_Engine!$AY$32&gt;=Lookup_Lists!$D$156,"Highly Recommended",IF(Matching_Engine!$AY$32&gt;=Lookup_Lists!$D$157,"Recommended",IF(Matching_Engine!$AY$32&gt;=Lookup_Lists!$D$158,"Consider","Low Priority")))&amp;IF(Matching_Engine!$AX$32&lt;100," (on partial data)",""))</f>
      </c>
      <c r="L32" s="34">
        <f>IF(ISNUMBER(Matching_Engine!$M$32),Matching_Engine!$M$32,-1)</f>
      </c>
      <c r="M32" s="34">
        <f>IF(ISNUMBER(Matching_Engine!$S$32),Matching_Engine!$S$32,-1)</f>
      </c>
      <c r="N32" s="34">
        <f>IF(ISNUMBER(Matching_Engine!$Y$32),Matching_Engine!$Y$32,-1)</f>
      </c>
      <c r="O32" s="34">
        <f>IF(ISNUMBER(Matching_Engine!$AE$32),Matching_Engine!$AE$32,-1)</f>
      </c>
      <c r="P32" s="34">
        <f>IF(ISNUMBER(Matching_Engine!$AM$32),Matching_Engine!$AM$32,-1)</f>
      </c>
      <c r="Q32" s="34">
        <f>IF(ISNUMBER(Matching_Engine!$AT$32),Matching_Engine!$AT$32,-1)</f>
      </c>
      <c r="R32" s="34">
        <f>MAX($L$32:$Q$32)</f>
      </c>
      <c r="S32" s="32">
        <f>INDEX({"Brand &amp; Business Relevance","Target Audience Relevance","Content &amp; Category Relevance","Brand Personality Fit","Performance Quality","Brand Safety"},MATCH($R$32,$L$32:$Q$32,0))</f>
      </c>
      <c r="T32" s="34">
        <f>IF(ISNUMBER(Matching_Engine!$M$32),Matching_Engine!$M$32,999)</f>
      </c>
      <c r="U32" s="34">
        <f>IF(ISNUMBER(Matching_Engine!$S$32),Matching_Engine!$S$32,999)</f>
      </c>
      <c r="V32" s="34">
        <f>IF(ISNUMBER(Matching_Engine!$Y$32),Matching_Engine!$Y$32,999)</f>
      </c>
      <c r="W32" s="34">
        <f>IF(ISNUMBER(Matching_Engine!$AE$32),Matching_Engine!$AE$32,999)</f>
      </c>
      <c r="X32" s="34">
        <f>IF(ISNUMBER(Matching_Engine!$AM$32),Matching_Engine!$AM$32,999)</f>
      </c>
      <c r="Y32" s="34">
        <f>IF(ISNUMBER(Matching_Engine!$AT$32),Matching_Engine!$AT$32,999)</f>
      </c>
      <c r="Z32" s="34">
        <f>MIN($T$32:$Y$32)</f>
      </c>
      <c r="AA32" s="32">
        <f>INDEX({"Brand &amp; Business Relevance","Target Audience Relevance","Content &amp; Category Relevance","Brand Personality Fit","Performance Quality","Brand Safety"},MATCH($Z$32,$T$32:$Y$32,0))</f>
      </c>
    </row>
    <row r="33" spans="1:27" x14ac:dyDescent="0.25">
      <c r="A33" s="32">
        <f>Matching_Engine!$B$33</f>
      </c>
      <c r="B33" s="32">
        <f>Matching_Engine!$D$33</f>
      </c>
      <c r="C33" s="32">
        <f>Matching_Engine!$E$33</f>
      </c>
      <c r="D33" s="33">
        <f>Matching_Engine!$AY$33</f>
      </c>
      <c r="E33" s="32">
        <f>Matching_Engine!$AZ$33</f>
      </c>
      <c r="F33" s="32">
        <f>IF(NOT(ISNUMBER(Matching_Engine!$AY$33)),"Not scored: no component of the model had data for this account, so no match can be claimed either way.",Matching_Engine!$AZ$33&amp;" — "&amp;Matching_Engine!$AY$33&amp;"/100 against "&amp;Matching_Engine!$B$33&amp;". "&amp;"Strongest factor "&amp;$S$33&amp;" at "&amp;$R$33&amp;"; weakest "&amp;$AA$33&amp;" at "&amp;$Z$33&amp;". "&amp;IF(AND(ISTEXT(Matching_Engine!$G$33),Matching_Engine!$G$33&lt;&gt;"N/A"),"Tagged category "&amp;Matching_Engine!$G$33&amp;" scores "&amp;IF(ISNUMBER(Matching_Engine!$J$33),Matching_Engine!$J$33,0)&amp;" against the brand category "&amp;Matching_Engine!$B$33&amp;" targets. ","Creator carries no category on record, so the category-driven parts fall back to neutral rather than penalising the creator. ")&amp;IF(ISNUMBER(Matching_Engine!$R$33),"Audience-interest overlap "&amp;Matching_Engine!$R$33&amp;". ","Audience interests unmeasured. ")&amp;IF(Matching_Engine!$AX$33&lt;100,"Scored on "&amp;Matching_Engine!$AX$33&amp;" of the 100 nominal weight points; the rest had no data.",""))</f>
      </c>
      <c r="G33" s="32">
        <f>IF(NOT(ISNUMBER(Matching_Engine!$AY$33)),"N/A",$S$33&amp;" ("&amp;$R$33&amp;"/100)")</f>
      </c>
      <c r="H33" s="32">
        <f>IF(NOT(ISNUMBER(Matching_Engine!$AY$33)),"N/A",$AA$33&amp;" ("&amp;$Z$33&amp;"/100)")</f>
      </c>
      <c r="I33" s="32">
        <f>IF(NOT(ISNUMBER(Matching_Engine!$AY$33)),"No data to consider: this account has no measured signal.",IF($Z$33&lt;Lookup_Lists!$D$161,$AA$33&amp;" sits at "&amp;$Z$33&amp;", below the "&amp;Lookup_Lists!$D$161&amp;"-point consideration threshold"&amp;IF(Matching_Engine!$AF$33=0," · Brand Personality Fit could not be scored at all: no creator personality, tone, values or content-style column exists","")&amp;IF(Matching_Engine!$AI$33="N/A"," · posting cadence unusable, so Consistency is excluded from Performance","")&amp;".","No component falls below the "&amp;Lookup_Lists!$D$161&amp;"-point consideration threshold."))</f>
      </c>
      <c r="J33" s="32">
        <f>Matching_Engine!$AV$33&amp;" — "&amp;Matching_Engine!$AW$33&amp;IF(Matching_Engine!$BB$33="Limited Data"," Confidence is Limited Data: "&amp;Matching_Engine!$BA$33&amp;"% of tracked fields carry a value.","")</f>
      </c>
      <c r="K33" s="32">
        <f>IF(NOT(ISNUMBER(Matching_Engine!$AY$33)),"Do not shortlist on this data — re-scrape the account first.",IF(Matching_Engine!$AY$33&gt;=Lookup_Lists!$D$156,"Highly Recommended",IF(Matching_Engine!$AY$33&gt;=Lookup_Lists!$D$157,"Recommended",IF(Matching_Engine!$AY$33&gt;=Lookup_Lists!$D$158,"Consider","Low Priority")))&amp;IF(Matching_Engine!$AX$33&lt;100," (on partial data)",""))</f>
      </c>
      <c r="L33" s="34">
        <f>IF(ISNUMBER(Matching_Engine!$M$33),Matching_Engine!$M$33,-1)</f>
      </c>
      <c r="M33" s="34">
        <f>IF(ISNUMBER(Matching_Engine!$S$33),Matching_Engine!$S$33,-1)</f>
      </c>
      <c r="N33" s="34">
        <f>IF(ISNUMBER(Matching_Engine!$Y$33),Matching_Engine!$Y$33,-1)</f>
      </c>
      <c r="O33" s="34">
        <f>IF(ISNUMBER(Matching_Engine!$AE$33),Matching_Engine!$AE$33,-1)</f>
      </c>
      <c r="P33" s="34">
        <f>IF(ISNUMBER(Matching_Engine!$AM$33),Matching_Engine!$AM$33,-1)</f>
      </c>
      <c r="Q33" s="34">
        <f>IF(ISNUMBER(Matching_Engine!$AT$33),Matching_Engine!$AT$33,-1)</f>
      </c>
      <c r="R33" s="34">
        <f>MAX($L$33:$Q$33)</f>
      </c>
      <c r="S33" s="32">
        <f>INDEX({"Brand &amp; Business Relevance","Target Audience Relevance","Content &amp; Category Relevance","Brand Personality Fit","Performance Quality","Brand Safety"},MATCH($R$33,$L$33:$Q$33,0))</f>
      </c>
      <c r="T33" s="34">
        <f>IF(ISNUMBER(Matching_Engine!$M$33),Matching_Engine!$M$33,999)</f>
      </c>
      <c r="U33" s="34">
        <f>IF(ISNUMBER(Matching_Engine!$S$33),Matching_Engine!$S$33,999)</f>
      </c>
      <c r="V33" s="34">
        <f>IF(ISNUMBER(Matching_Engine!$Y$33),Matching_Engine!$Y$33,999)</f>
      </c>
      <c r="W33" s="34">
        <f>IF(ISNUMBER(Matching_Engine!$AE$33),Matching_Engine!$AE$33,999)</f>
      </c>
      <c r="X33" s="34">
        <f>IF(ISNUMBER(Matching_Engine!$AM$33),Matching_Engine!$AM$33,999)</f>
      </c>
      <c r="Y33" s="34">
        <f>IF(ISNUMBER(Matching_Engine!$AT$33),Matching_Engine!$AT$33,999)</f>
      </c>
      <c r="Z33" s="34">
        <f>MIN($T$33:$Y$33)</f>
      </c>
      <c r="AA33" s="32">
        <f>INDEX({"Brand &amp; Business Relevance","Target Audience Relevance","Content &amp; Category Relevance","Brand Personality Fit","Performance Quality","Brand Safety"},MATCH($Z$33,$T$33:$Y$33,0))</f>
      </c>
    </row>
    <row r="34" spans="1:27" x14ac:dyDescent="0.25">
      <c r="A34" s="32">
        <f>Matching_Engine!$B$34</f>
      </c>
      <c r="B34" s="32">
        <f>Matching_Engine!$D$34</f>
      </c>
      <c r="C34" s="32">
        <f>Matching_Engine!$E$34</f>
      </c>
      <c r="D34" s="33">
        <f>Matching_Engine!$AY$34</f>
      </c>
      <c r="E34" s="32">
        <f>Matching_Engine!$AZ$34</f>
      </c>
      <c r="F34" s="32">
        <f>IF(NOT(ISNUMBER(Matching_Engine!$AY$34)),"Not scored: no component of the model had data for this account, so no match can be claimed either way.",Matching_Engine!$AZ$34&amp;" — "&amp;Matching_Engine!$AY$34&amp;"/100 against "&amp;Matching_Engine!$B$34&amp;". "&amp;"Strongest factor "&amp;$S$34&amp;" at "&amp;$R$34&amp;"; weakest "&amp;$AA$34&amp;" at "&amp;$Z$34&amp;". "&amp;IF(AND(ISTEXT(Matching_Engine!$G$34),Matching_Engine!$G$34&lt;&gt;"N/A"),"Tagged category "&amp;Matching_Engine!$G$34&amp;" scores "&amp;IF(ISNUMBER(Matching_Engine!$J$34),Matching_Engine!$J$34,0)&amp;" against the brand category "&amp;Matching_Engine!$B$34&amp;" targets. ","Creator carries no category on record, so the category-driven parts fall back to neutral rather than penalising the creator. ")&amp;IF(ISNUMBER(Matching_Engine!$R$34),"Audience-interest overlap "&amp;Matching_Engine!$R$34&amp;". ","Audience interests unmeasured. ")&amp;IF(Matching_Engine!$AX$34&lt;100,"Scored on "&amp;Matching_Engine!$AX$34&amp;" of the 100 nominal weight points; the rest had no data.",""))</f>
      </c>
      <c r="G34" s="32">
        <f>IF(NOT(ISNUMBER(Matching_Engine!$AY$34)),"N/A",$S$34&amp;" ("&amp;$R$34&amp;"/100)")</f>
      </c>
      <c r="H34" s="32">
        <f>IF(NOT(ISNUMBER(Matching_Engine!$AY$34)),"N/A",$AA$34&amp;" ("&amp;$Z$34&amp;"/100)")</f>
      </c>
      <c r="I34" s="32">
        <f>IF(NOT(ISNUMBER(Matching_Engine!$AY$34)),"No data to consider: this account has no measured signal.",IF($Z$34&lt;Lookup_Lists!$D$161,$AA$34&amp;" sits at "&amp;$Z$34&amp;", below the "&amp;Lookup_Lists!$D$161&amp;"-point consideration threshold"&amp;IF(Matching_Engine!$AF$34=0," · Brand Personality Fit could not be scored at all: no creator personality, tone, values or content-style column exists","")&amp;IF(Matching_Engine!$AI$34="N/A"," · posting cadence unusable, so Consistency is excluded from Performance","")&amp;".","No component falls below the "&amp;Lookup_Lists!$D$161&amp;"-point consideration threshold."))</f>
      </c>
      <c r="J34" s="32">
        <f>Matching_Engine!$AV$34&amp;" — "&amp;Matching_Engine!$AW$34&amp;IF(Matching_Engine!$BB$34="Limited Data"," Confidence is Limited Data: "&amp;Matching_Engine!$BA$34&amp;"% of tracked fields carry a value.","")</f>
      </c>
      <c r="K34" s="32">
        <f>IF(NOT(ISNUMBER(Matching_Engine!$AY$34)),"Do not shortlist on this data — re-scrape the account first.",IF(Matching_Engine!$AY$34&gt;=Lookup_Lists!$D$156,"Highly Recommended",IF(Matching_Engine!$AY$34&gt;=Lookup_Lists!$D$157,"Recommended",IF(Matching_Engine!$AY$34&gt;=Lookup_Lists!$D$158,"Consider","Low Priority")))&amp;IF(Matching_Engine!$AX$34&lt;100," (on partial data)",""))</f>
      </c>
      <c r="L34" s="34">
        <f>IF(ISNUMBER(Matching_Engine!$M$34),Matching_Engine!$M$34,-1)</f>
      </c>
      <c r="M34" s="34">
        <f>IF(ISNUMBER(Matching_Engine!$S$34),Matching_Engine!$S$34,-1)</f>
      </c>
      <c r="N34" s="34">
        <f>IF(ISNUMBER(Matching_Engine!$Y$34),Matching_Engine!$Y$34,-1)</f>
      </c>
      <c r="O34" s="34">
        <f>IF(ISNUMBER(Matching_Engine!$AE$34),Matching_Engine!$AE$34,-1)</f>
      </c>
      <c r="P34" s="34">
        <f>IF(ISNUMBER(Matching_Engine!$AM$34),Matching_Engine!$AM$34,-1)</f>
      </c>
      <c r="Q34" s="34">
        <f>IF(ISNUMBER(Matching_Engine!$AT$34),Matching_Engine!$AT$34,-1)</f>
      </c>
      <c r="R34" s="34">
        <f>MAX($L$34:$Q$34)</f>
      </c>
      <c r="S34" s="32">
        <f>INDEX({"Brand &amp; Business Relevance","Target Audience Relevance","Content &amp; Category Relevance","Brand Personality Fit","Performance Quality","Brand Safety"},MATCH($R$34,$L$34:$Q$34,0))</f>
      </c>
      <c r="T34" s="34">
        <f>IF(ISNUMBER(Matching_Engine!$M$34),Matching_Engine!$M$34,999)</f>
      </c>
      <c r="U34" s="34">
        <f>IF(ISNUMBER(Matching_Engine!$S$34),Matching_Engine!$S$34,999)</f>
      </c>
      <c r="V34" s="34">
        <f>IF(ISNUMBER(Matching_Engine!$Y$34),Matching_Engine!$Y$34,999)</f>
      </c>
      <c r="W34" s="34">
        <f>IF(ISNUMBER(Matching_Engine!$AE$34),Matching_Engine!$AE$34,999)</f>
      </c>
      <c r="X34" s="34">
        <f>IF(ISNUMBER(Matching_Engine!$AM$34),Matching_Engine!$AM$34,999)</f>
      </c>
      <c r="Y34" s="34">
        <f>IF(ISNUMBER(Matching_Engine!$AT$34),Matching_Engine!$AT$34,999)</f>
      </c>
      <c r="Z34" s="34">
        <f>MIN($T$34:$Y$34)</f>
      </c>
      <c r="AA34" s="32">
        <f>INDEX({"Brand &amp; Business Relevance","Target Audience Relevance","Content &amp; Category Relevance","Brand Personality Fit","Performance Quality","Brand Safety"},MATCH($Z$34,$T$34:$Y$34,0))</f>
      </c>
    </row>
    <row r="35" spans="1:27" x14ac:dyDescent="0.25">
      <c r="A35" s="32">
        <f>Matching_Engine!$B$35</f>
      </c>
      <c r="B35" s="32">
        <f>Matching_Engine!$D$35</f>
      </c>
      <c r="C35" s="32">
        <f>Matching_Engine!$E$35</f>
      </c>
      <c r="D35" s="33">
        <f>Matching_Engine!$AY$35</f>
      </c>
      <c r="E35" s="32">
        <f>Matching_Engine!$AZ$35</f>
      </c>
      <c r="F35" s="32">
        <f>IF(NOT(ISNUMBER(Matching_Engine!$AY$35)),"Not scored: no component of the model had data for this account, so no match can be claimed either way.",Matching_Engine!$AZ$35&amp;" — "&amp;Matching_Engine!$AY$35&amp;"/100 against "&amp;Matching_Engine!$B$35&amp;". "&amp;"Strongest factor "&amp;$S$35&amp;" at "&amp;$R$35&amp;"; weakest "&amp;$AA$35&amp;" at "&amp;$Z$35&amp;". "&amp;IF(AND(ISTEXT(Matching_Engine!$G$35),Matching_Engine!$G$35&lt;&gt;"N/A"),"Tagged category "&amp;Matching_Engine!$G$35&amp;" scores "&amp;IF(ISNUMBER(Matching_Engine!$J$35),Matching_Engine!$J$35,0)&amp;" against the brand category "&amp;Matching_Engine!$B$35&amp;" targets. ","Creator carries no category on record, so the category-driven parts fall back to neutral rather than penalising the creator. ")&amp;IF(ISNUMBER(Matching_Engine!$R$35),"Audience-interest overlap "&amp;Matching_Engine!$R$35&amp;". ","Audience interests unmeasured. ")&amp;IF(Matching_Engine!$AX$35&lt;100,"Scored on "&amp;Matching_Engine!$AX$35&amp;" of the 100 nominal weight points; the rest had no data.",""))</f>
      </c>
      <c r="G35" s="32">
        <f>IF(NOT(ISNUMBER(Matching_Engine!$AY$35)),"N/A",$S$35&amp;" ("&amp;$R$35&amp;"/100)")</f>
      </c>
      <c r="H35" s="32">
        <f>IF(NOT(ISNUMBER(Matching_Engine!$AY$35)),"N/A",$AA$35&amp;" ("&amp;$Z$35&amp;"/100)")</f>
      </c>
      <c r="I35" s="32">
        <f>IF(NOT(ISNUMBER(Matching_Engine!$AY$35)),"No data to consider: this account has no measured signal.",IF($Z$35&lt;Lookup_Lists!$D$161,$AA$35&amp;" sits at "&amp;$Z$35&amp;", below the "&amp;Lookup_Lists!$D$161&amp;"-point consideration threshold"&amp;IF(Matching_Engine!$AF$35=0," · Brand Personality Fit could not be scored at all: no creator personality, tone, values or content-style column exists","")&amp;IF(Matching_Engine!$AI$35="N/A"," · posting cadence unusable, so Consistency is excluded from Performance","")&amp;".","No component falls below the "&amp;Lookup_Lists!$D$161&amp;"-point consideration threshold."))</f>
      </c>
      <c r="J35" s="32">
        <f>Matching_Engine!$AV$35&amp;" — "&amp;Matching_Engine!$AW$35&amp;IF(Matching_Engine!$BB$35="Limited Data"," Confidence is Limited Data: "&amp;Matching_Engine!$BA$35&amp;"% of tracked fields carry a value.","")</f>
      </c>
      <c r="K35" s="32">
        <f>IF(NOT(ISNUMBER(Matching_Engine!$AY$35)),"Do not shortlist on this data — re-scrape the account first.",IF(Matching_Engine!$AY$35&gt;=Lookup_Lists!$D$156,"Highly Recommended",IF(Matching_Engine!$AY$35&gt;=Lookup_Lists!$D$157,"Recommended",IF(Matching_Engine!$AY$35&gt;=Lookup_Lists!$D$158,"Consider","Low Priority")))&amp;IF(Matching_Engine!$AX$35&lt;100," (on partial data)",""))</f>
      </c>
      <c r="L35" s="34">
        <f>IF(ISNUMBER(Matching_Engine!$M$35),Matching_Engine!$M$35,-1)</f>
      </c>
      <c r="M35" s="34">
        <f>IF(ISNUMBER(Matching_Engine!$S$35),Matching_Engine!$S$35,-1)</f>
      </c>
      <c r="N35" s="34">
        <f>IF(ISNUMBER(Matching_Engine!$Y$35),Matching_Engine!$Y$35,-1)</f>
      </c>
      <c r="O35" s="34">
        <f>IF(ISNUMBER(Matching_Engine!$AE$35),Matching_Engine!$AE$35,-1)</f>
      </c>
      <c r="P35" s="34">
        <f>IF(ISNUMBER(Matching_Engine!$AM$35),Matching_Engine!$AM$35,-1)</f>
      </c>
      <c r="Q35" s="34">
        <f>IF(ISNUMBER(Matching_Engine!$AT$35),Matching_Engine!$AT$35,-1)</f>
      </c>
      <c r="R35" s="34">
        <f>MAX($L$35:$Q$35)</f>
      </c>
      <c r="S35" s="32">
        <f>INDEX({"Brand &amp; Business Relevance","Target Audience Relevance","Content &amp; Category Relevance","Brand Personality Fit","Performance Quality","Brand Safety"},MATCH($R$35,$L$35:$Q$35,0))</f>
      </c>
      <c r="T35" s="34">
        <f>IF(ISNUMBER(Matching_Engine!$M$35),Matching_Engine!$M$35,999)</f>
      </c>
      <c r="U35" s="34">
        <f>IF(ISNUMBER(Matching_Engine!$S$35),Matching_Engine!$S$35,999)</f>
      </c>
      <c r="V35" s="34">
        <f>IF(ISNUMBER(Matching_Engine!$Y$35),Matching_Engine!$Y$35,999)</f>
      </c>
      <c r="W35" s="34">
        <f>IF(ISNUMBER(Matching_Engine!$AE$35),Matching_Engine!$AE$35,999)</f>
      </c>
      <c r="X35" s="34">
        <f>IF(ISNUMBER(Matching_Engine!$AM$35),Matching_Engine!$AM$35,999)</f>
      </c>
      <c r="Y35" s="34">
        <f>IF(ISNUMBER(Matching_Engine!$AT$35),Matching_Engine!$AT$35,999)</f>
      </c>
      <c r="Z35" s="34">
        <f>MIN($T$35:$Y$35)</f>
      </c>
      <c r="AA35" s="32">
        <f>INDEX({"Brand &amp; Business Relevance","Target Audience Relevance","Content &amp; Category Relevance","Brand Personality Fit","Performance Quality","Brand Safety"},MATCH($Z$35,$T$35:$Y$35,0))</f>
      </c>
    </row>
    <row r="36" spans="1:27" x14ac:dyDescent="0.25">
      <c r="A36" s="32">
        <f>Matching_Engine!$B$36</f>
      </c>
      <c r="B36" s="32">
        <f>Matching_Engine!$D$36</f>
      </c>
      <c r="C36" s="32">
        <f>Matching_Engine!$E$36</f>
      </c>
      <c r="D36" s="33">
        <f>Matching_Engine!$AY$36</f>
      </c>
      <c r="E36" s="32">
        <f>Matching_Engine!$AZ$36</f>
      </c>
      <c r="F36" s="32">
        <f>IF(NOT(ISNUMBER(Matching_Engine!$AY$36)),"Not scored: no component of the model had data for this account, so no match can be claimed either way.",Matching_Engine!$AZ$36&amp;" — "&amp;Matching_Engine!$AY$36&amp;"/100 against "&amp;Matching_Engine!$B$36&amp;". "&amp;"Strongest factor "&amp;$S$36&amp;" at "&amp;$R$36&amp;"; weakest "&amp;$AA$36&amp;" at "&amp;$Z$36&amp;". "&amp;IF(AND(ISTEXT(Matching_Engine!$G$36),Matching_Engine!$G$36&lt;&gt;"N/A"),"Tagged category "&amp;Matching_Engine!$G$36&amp;" scores "&amp;IF(ISNUMBER(Matching_Engine!$J$36),Matching_Engine!$J$36,0)&amp;" against the brand category "&amp;Matching_Engine!$B$36&amp;" targets. ","Creator carries no category on record, so the category-driven parts fall back to neutral rather than penalising the creator. ")&amp;IF(ISNUMBER(Matching_Engine!$R$36),"Audience-interest overlap "&amp;Matching_Engine!$R$36&amp;". ","Audience interests unmeasured. ")&amp;IF(Matching_Engine!$AX$36&lt;100,"Scored on "&amp;Matching_Engine!$AX$36&amp;" of the 100 nominal weight points; the rest had no data.",""))</f>
      </c>
      <c r="G36" s="32">
        <f>IF(NOT(ISNUMBER(Matching_Engine!$AY$36)),"N/A",$S$36&amp;" ("&amp;$R$36&amp;"/100)")</f>
      </c>
      <c r="H36" s="32">
        <f>IF(NOT(ISNUMBER(Matching_Engine!$AY$36)),"N/A",$AA$36&amp;" ("&amp;$Z$36&amp;"/100)")</f>
      </c>
      <c r="I36" s="32">
        <f>IF(NOT(ISNUMBER(Matching_Engine!$AY$36)),"No data to consider: this account has no measured signal.",IF($Z$36&lt;Lookup_Lists!$D$161,$AA$36&amp;" sits at "&amp;$Z$36&amp;", below the "&amp;Lookup_Lists!$D$161&amp;"-point consideration threshold"&amp;IF(Matching_Engine!$AF$36=0," · Brand Personality Fit could not be scored at all: no creator personality, tone, values or content-style column exists","")&amp;IF(Matching_Engine!$AI$36="N/A"," · posting cadence unusable, so Consistency is excluded from Performance","")&amp;".","No component falls below the "&amp;Lookup_Lists!$D$161&amp;"-point consideration threshold."))</f>
      </c>
      <c r="J36" s="32">
        <f>Matching_Engine!$AV$36&amp;" — "&amp;Matching_Engine!$AW$36&amp;IF(Matching_Engine!$BB$36="Limited Data"," Confidence is Limited Data: "&amp;Matching_Engine!$BA$36&amp;"% of tracked fields carry a value.","")</f>
      </c>
      <c r="K36" s="32">
        <f>IF(NOT(ISNUMBER(Matching_Engine!$AY$36)),"Do not shortlist on this data — re-scrape the account first.",IF(Matching_Engine!$AY$36&gt;=Lookup_Lists!$D$156,"Highly Recommended",IF(Matching_Engine!$AY$36&gt;=Lookup_Lists!$D$157,"Recommended",IF(Matching_Engine!$AY$36&gt;=Lookup_Lists!$D$158,"Consider","Low Priority")))&amp;IF(Matching_Engine!$AX$36&lt;100," (on partial data)",""))</f>
      </c>
      <c r="L36" s="34">
        <f>IF(ISNUMBER(Matching_Engine!$M$36),Matching_Engine!$M$36,-1)</f>
      </c>
      <c r="M36" s="34">
        <f>IF(ISNUMBER(Matching_Engine!$S$36),Matching_Engine!$S$36,-1)</f>
      </c>
      <c r="N36" s="34">
        <f>IF(ISNUMBER(Matching_Engine!$Y$36),Matching_Engine!$Y$36,-1)</f>
      </c>
      <c r="O36" s="34">
        <f>IF(ISNUMBER(Matching_Engine!$AE$36),Matching_Engine!$AE$36,-1)</f>
      </c>
      <c r="P36" s="34">
        <f>IF(ISNUMBER(Matching_Engine!$AM$36),Matching_Engine!$AM$36,-1)</f>
      </c>
      <c r="Q36" s="34">
        <f>IF(ISNUMBER(Matching_Engine!$AT$36),Matching_Engine!$AT$36,-1)</f>
      </c>
      <c r="R36" s="34">
        <f>MAX($L$36:$Q$36)</f>
      </c>
      <c r="S36" s="32">
        <f>INDEX({"Brand &amp; Business Relevance","Target Audience Relevance","Content &amp; Category Relevance","Brand Personality Fit","Performance Quality","Brand Safety"},MATCH($R$36,$L$36:$Q$36,0))</f>
      </c>
      <c r="T36" s="34">
        <f>IF(ISNUMBER(Matching_Engine!$M$36),Matching_Engine!$M$36,999)</f>
      </c>
      <c r="U36" s="34">
        <f>IF(ISNUMBER(Matching_Engine!$S$36),Matching_Engine!$S$36,999)</f>
      </c>
      <c r="V36" s="34">
        <f>IF(ISNUMBER(Matching_Engine!$Y$36),Matching_Engine!$Y$36,999)</f>
      </c>
      <c r="W36" s="34">
        <f>IF(ISNUMBER(Matching_Engine!$AE$36),Matching_Engine!$AE$36,999)</f>
      </c>
      <c r="X36" s="34">
        <f>IF(ISNUMBER(Matching_Engine!$AM$36),Matching_Engine!$AM$36,999)</f>
      </c>
      <c r="Y36" s="34">
        <f>IF(ISNUMBER(Matching_Engine!$AT$36),Matching_Engine!$AT$36,999)</f>
      </c>
      <c r="Z36" s="34">
        <f>MIN($T$36:$Y$36)</f>
      </c>
      <c r="AA36" s="32">
        <f>INDEX({"Brand &amp; Business Relevance","Target Audience Relevance","Content &amp; Category Relevance","Brand Personality Fit","Performance Quality","Brand Safety"},MATCH($Z$36,$T$36:$Y$36,0))</f>
      </c>
    </row>
    <row r="37" spans="1:27" x14ac:dyDescent="0.25">
      <c r="A37" s="32">
        <f>Matching_Engine!$B$37</f>
      </c>
      <c r="B37" s="32">
        <f>Matching_Engine!$D$37</f>
      </c>
      <c r="C37" s="32">
        <f>Matching_Engine!$E$37</f>
      </c>
      <c r="D37" s="33">
        <f>Matching_Engine!$AY$37</f>
      </c>
      <c r="E37" s="32">
        <f>Matching_Engine!$AZ$37</f>
      </c>
      <c r="F37" s="32">
        <f>IF(NOT(ISNUMBER(Matching_Engine!$AY$37)),"Not scored: no component of the model had data for this account, so no match can be claimed either way.",Matching_Engine!$AZ$37&amp;" — "&amp;Matching_Engine!$AY$37&amp;"/100 against "&amp;Matching_Engine!$B$37&amp;". "&amp;"Strongest factor "&amp;$S$37&amp;" at "&amp;$R$37&amp;"; weakest "&amp;$AA$37&amp;" at "&amp;$Z$37&amp;". "&amp;IF(AND(ISTEXT(Matching_Engine!$G$37),Matching_Engine!$G$37&lt;&gt;"N/A"),"Tagged category "&amp;Matching_Engine!$G$37&amp;" scores "&amp;IF(ISNUMBER(Matching_Engine!$J$37),Matching_Engine!$J$37,0)&amp;" against the brand category "&amp;Matching_Engine!$B$37&amp;" targets. ","Creator carries no category on record, so the category-driven parts fall back to neutral rather than penalising the creator. ")&amp;IF(ISNUMBER(Matching_Engine!$R$37),"Audience-interest overlap "&amp;Matching_Engine!$R$37&amp;". ","Audience interests unmeasured. ")&amp;IF(Matching_Engine!$AX$37&lt;100,"Scored on "&amp;Matching_Engine!$AX$37&amp;" of the 100 nominal weight points; the rest had no data.",""))</f>
      </c>
      <c r="G37" s="32">
        <f>IF(NOT(ISNUMBER(Matching_Engine!$AY$37)),"N/A",$S$37&amp;" ("&amp;$R$37&amp;"/100)")</f>
      </c>
      <c r="H37" s="32">
        <f>IF(NOT(ISNUMBER(Matching_Engine!$AY$37)),"N/A",$AA$37&amp;" ("&amp;$Z$37&amp;"/100)")</f>
      </c>
      <c r="I37" s="32">
        <f>IF(NOT(ISNUMBER(Matching_Engine!$AY$37)),"No data to consider: this account has no measured signal.",IF($Z$37&lt;Lookup_Lists!$D$161,$AA$37&amp;" sits at "&amp;$Z$37&amp;", below the "&amp;Lookup_Lists!$D$161&amp;"-point consideration threshold"&amp;IF(Matching_Engine!$AF$37=0," · Brand Personality Fit could not be scored at all: no creator personality, tone, values or content-style column exists","")&amp;IF(Matching_Engine!$AI$37="N/A"," · posting cadence unusable, so Consistency is excluded from Performance","")&amp;".","No component falls below the "&amp;Lookup_Lists!$D$161&amp;"-point consideration threshold."))</f>
      </c>
      <c r="J37" s="32">
        <f>Matching_Engine!$AV$37&amp;" — "&amp;Matching_Engine!$AW$37&amp;IF(Matching_Engine!$BB$37="Limited Data"," Confidence is Limited Data: "&amp;Matching_Engine!$BA$37&amp;"% of tracked fields carry a value.","")</f>
      </c>
      <c r="K37" s="32">
        <f>IF(NOT(ISNUMBER(Matching_Engine!$AY$37)),"Do not shortlist on this data — re-scrape the account first.",IF(Matching_Engine!$AY$37&gt;=Lookup_Lists!$D$156,"Highly Recommended",IF(Matching_Engine!$AY$37&gt;=Lookup_Lists!$D$157,"Recommended",IF(Matching_Engine!$AY$37&gt;=Lookup_Lists!$D$158,"Consider","Low Priority")))&amp;IF(Matching_Engine!$AX$37&lt;100," (on partial data)",""))</f>
      </c>
      <c r="L37" s="34">
        <f>IF(ISNUMBER(Matching_Engine!$M$37),Matching_Engine!$M$37,-1)</f>
      </c>
      <c r="M37" s="34">
        <f>IF(ISNUMBER(Matching_Engine!$S$37),Matching_Engine!$S$37,-1)</f>
      </c>
      <c r="N37" s="34">
        <f>IF(ISNUMBER(Matching_Engine!$Y$37),Matching_Engine!$Y$37,-1)</f>
      </c>
      <c r="O37" s="34">
        <f>IF(ISNUMBER(Matching_Engine!$AE$37),Matching_Engine!$AE$37,-1)</f>
      </c>
      <c r="P37" s="34">
        <f>IF(ISNUMBER(Matching_Engine!$AM$37),Matching_Engine!$AM$37,-1)</f>
      </c>
      <c r="Q37" s="34">
        <f>IF(ISNUMBER(Matching_Engine!$AT$37),Matching_Engine!$AT$37,-1)</f>
      </c>
      <c r="R37" s="34">
        <f>MAX($L$37:$Q$37)</f>
      </c>
      <c r="S37" s="32">
        <f>INDEX({"Brand &amp; Business Relevance","Target Audience Relevance","Content &amp; Category Relevance","Brand Personality Fit","Performance Quality","Brand Safety"},MATCH($R$37,$L$37:$Q$37,0))</f>
      </c>
      <c r="T37" s="34">
        <f>IF(ISNUMBER(Matching_Engine!$M$37),Matching_Engine!$M$37,999)</f>
      </c>
      <c r="U37" s="34">
        <f>IF(ISNUMBER(Matching_Engine!$S$37),Matching_Engine!$S$37,999)</f>
      </c>
      <c r="V37" s="34">
        <f>IF(ISNUMBER(Matching_Engine!$Y$37),Matching_Engine!$Y$37,999)</f>
      </c>
      <c r="W37" s="34">
        <f>IF(ISNUMBER(Matching_Engine!$AE$37),Matching_Engine!$AE$37,999)</f>
      </c>
      <c r="X37" s="34">
        <f>IF(ISNUMBER(Matching_Engine!$AM$37),Matching_Engine!$AM$37,999)</f>
      </c>
      <c r="Y37" s="34">
        <f>IF(ISNUMBER(Matching_Engine!$AT$37),Matching_Engine!$AT$37,999)</f>
      </c>
      <c r="Z37" s="34">
        <f>MIN($T$37:$Y$37)</f>
      </c>
      <c r="AA37" s="32">
        <f>INDEX({"Brand &amp; Business Relevance","Target Audience Relevance","Content &amp; Category Relevance","Brand Personality Fit","Performance Quality","Brand Safety"},MATCH($Z$37,$T$37:$Y$37,0))</f>
      </c>
    </row>
    <row r="38" spans="1:27" x14ac:dyDescent="0.25">
      <c r="A38" s="32">
        <f>Matching_Engine!$B$38</f>
      </c>
      <c r="B38" s="32">
        <f>Matching_Engine!$D$38</f>
      </c>
      <c r="C38" s="32">
        <f>Matching_Engine!$E$38</f>
      </c>
      <c r="D38" s="33">
        <f>Matching_Engine!$AY$38</f>
      </c>
      <c r="E38" s="32">
        <f>Matching_Engine!$AZ$38</f>
      </c>
      <c r="F38" s="32">
        <f>IF(NOT(ISNUMBER(Matching_Engine!$AY$38)),"Not scored: no component of the model had data for this account, so no match can be claimed either way.",Matching_Engine!$AZ$38&amp;" — "&amp;Matching_Engine!$AY$38&amp;"/100 against "&amp;Matching_Engine!$B$38&amp;". "&amp;"Strongest factor "&amp;$S$38&amp;" at "&amp;$R$38&amp;"; weakest "&amp;$AA$38&amp;" at "&amp;$Z$38&amp;". "&amp;IF(AND(ISTEXT(Matching_Engine!$G$38),Matching_Engine!$G$38&lt;&gt;"N/A"),"Tagged category "&amp;Matching_Engine!$G$38&amp;" scores "&amp;IF(ISNUMBER(Matching_Engine!$J$38),Matching_Engine!$J$38,0)&amp;" against the brand category "&amp;Matching_Engine!$B$38&amp;" targets. ","Creator carries no category on record, so the category-driven parts fall back to neutral rather than penalising the creator. ")&amp;IF(ISNUMBER(Matching_Engine!$R$38),"Audience-interest overlap "&amp;Matching_Engine!$R$38&amp;". ","Audience interests unmeasured. ")&amp;IF(Matching_Engine!$AX$38&lt;100,"Scored on "&amp;Matching_Engine!$AX$38&amp;" of the 100 nominal weight points; the rest had no data.",""))</f>
      </c>
      <c r="G38" s="32">
        <f>IF(NOT(ISNUMBER(Matching_Engine!$AY$38)),"N/A",$S$38&amp;" ("&amp;$R$38&amp;"/100)")</f>
      </c>
      <c r="H38" s="32">
        <f>IF(NOT(ISNUMBER(Matching_Engine!$AY$38)),"N/A",$AA$38&amp;" ("&amp;$Z$38&amp;"/100)")</f>
      </c>
      <c r="I38" s="32">
        <f>IF(NOT(ISNUMBER(Matching_Engine!$AY$38)),"No data to consider: this account has no measured signal.",IF($Z$38&lt;Lookup_Lists!$D$161,$AA$38&amp;" sits at "&amp;$Z$38&amp;", below the "&amp;Lookup_Lists!$D$161&amp;"-point consideration threshold"&amp;IF(Matching_Engine!$AF$38=0," · Brand Personality Fit could not be scored at all: no creator personality, tone, values or content-style column exists","")&amp;IF(Matching_Engine!$AI$38="N/A"," · posting cadence unusable, so Consistency is excluded from Performance","")&amp;".","No component falls below the "&amp;Lookup_Lists!$D$161&amp;"-point consideration threshold."))</f>
      </c>
      <c r="J38" s="32">
        <f>Matching_Engine!$AV$38&amp;" — "&amp;Matching_Engine!$AW$38&amp;IF(Matching_Engine!$BB$38="Limited Data"," Confidence is Limited Data: "&amp;Matching_Engine!$BA$38&amp;"% of tracked fields carry a value.","")</f>
      </c>
      <c r="K38" s="32">
        <f>IF(NOT(ISNUMBER(Matching_Engine!$AY$38)),"Do not shortlist on this data — re-scrape the account first.",IF(Matching_Engine!$AY$38&gt;=Lookup_Lists!$D$156,"Highly Recommended",IF(Matching_Engine!$AY$38&gt;=Lookup_Lists!$D$157,"Recommended",IF(Matching_Engine!$AY$38&gt;=Lookup_Lists!$D$158,"Consider","Low Priority")))&amp;IF(Matching_Engine!$AX$38&lt;100," (on partial data)",""))</f>
      </c>
      <c r="L38" s="34">
        <f>IF(ISNUMBER(Matching_Engine!$M$38),Matching_Engine!$M$38,-1)</f>
      </c>
      <c r="M38" s="34">
        <f>IF(ISNUMBER(Matching_Engine!$S$38),Matching_Engine!$S$38,-1)</f>
      </c>
      <c r="N38" s="34">
        <f>IF(ISNUMBER(Matching_Engine!$Y$38),Matching_Engine!$Y$38,-1)</f>
      </c>
      <c r="O38" s="34">
        <f>IF(ISNUMBER(Matching_Engine!$AE$38),Matching_Engine!$AE$38,-1)</f>
      </c>
      <c r="P38" s="34">
        <f>IF(ISNUMBER(Matching_Engine!$AM$38),Matching_Engine!$AM$38,-1)</f>
      </c>
      <c r="Q38" s="34">
        <f>IF(ISNUMBER(Matching_Engine!$AT$38),Matching_Engine!$AT$38,-1)</f>
      </c>
      <c r="R38" s="34">
        <f>MAX($L$38:$Q$38)</f>
      </c>
      <c r="S38" s="32">
        <f>INDEX({"Brand &amp; Business Relevance","Target Audience Relevance","Content &amp; Category Relevance","Brand Personality Fit","Performance Quality","Brand Safety"},MATCH($R$38,$L$38:$Q$38,0))</f>
      </c>
      <c r="T38" s="34">
        <f>IF(ISNUMBER(Matching_Engine!$M$38),Matching_Engine!$M$38,999)</f>
      </c>
      <c r="U38" s="34">
        <f>IF(ISNUMBER(Matching_Engine!$S$38),Matching_Engine!$S$38,999)</f>
      </c>
      <c r="V38" s="34">
        <f>IF(ISNUMBER(Matching_Engine!$Y$38),Matching_Engine!$Y$38,999)</f>
      </c>
      <c r="W38" s="34">
        <f>IF(ISNUMBER(Matching_Engine!$AE$38),Matching_Engine!$AE$38,999)</f>
      </c>
      <c r="X38" s="34">
        <f>IF(ISNUMBER(Matching_Engine!$AM$38),Matching_Engine!$AM$38,999)</f>
      </c>
      <c r="Y38" s="34">
        <f>IF(ISNUMBER(Matching_Engine!$AT$38),Matching_Engine!$AT$38,999)</f>
      </c>
      <c r="Z38" s="34">
        <f>MIN($T$38:$Y$38)</f>
      </c>
      <c r="AA38" s="32">
        <f>INDEX({"Brand &amp; Business Relevance","Target Audience Relevance","Content &amp; Category Relevance","Brand Personality Fit","Performance Quality","Brand Safety"},MATCH($Z$38,$T$38:$Y$38,0))</f>
      </c>
    </row>
    <row r="39" spans="1:27" x14ac:dyDescent="0.25">
      <c r="A39" s="32">
        <f>Matching_Engine!$B$39</f>
      </c>
      <c r="B39" s="32">
        <f>Matching_Engine!$D$39</f>
      </c>
      <c r="C39" s="32">
        <f>Matching_Engine!$E$39</f>
      </c>
      <c r="D39" s="33">
        <f>Matching_Engine!$AY$39</f>
      </c>
      <c r="E39" s="32">
        <f>Matching_Engine!$AZ$39</f>
      </c>
      <c r="F39" s="32">
        <f>IF(NOT(ISNUMBER(Matching_Engine!$AY$39)),"Not scored: no component of the model had data for this account, so no match can be claimed either way.",Matching_Engine!$AZ$39&amp;" — "&amp;Matching_Engine!$AY$39&amp;"/100 against "&amp;Matching_Engine!$B$39&amp;". "&amp;"Strongest factor "&amp;$S$39&amp;" at "&amp;$R$39&amp;"; weakest "&amp;$AA$39&amp;" at "&amp;$Z$39&amp;". "&amp;IF(AND(ISTEXT(Matching_Engine!$G$39),Matching_Engine!$G$39&lt;&gt;"N/A"),"Tagged category "&amp;Matching_Engine!$G$39&amp;" scores "&amp;IF(ISNUMBER(Matching_Engine!$J$39),Matching_Engine!$J$39,0)&amp;" against the brand category "&amp;Matching_Engine!$B$39&amp;" targets. ","Creator carries no category on record, so the category-driven parts fall back to neutral rather than penalising the creator. ")&amp;IF(ISNUMBER(Matching_Engine!$R$39),"Audience-interest overlap "&amp;Matching_Engine!$R$39&amp;". ","Audience interests unmeasured. ")&amp;IF(Matching_Engine!$AX$39&lt;100,"Scored on "&amp;Matching_Engine!$AX$39&amp;" of the 100 nominal weight points; the rest had no data.",""))</f>
      </c>
      <c r="G39" s="32">
        <f>IF(NOT(ISNUMBER(Matching_Engine!$AY$39)),"N/A",$S$39&amp;" ("&amp;$R$39&amp;"/100)")</f>
      </c>
      <c r="H39" s="32">
        <f>IF(NOT(ISNUMBER(Matching_Engine!$AY$39)),"N/A",$AA$39&amp;" ("&amp;$Z$39&amp;"/100)")</f>
      </c>
      <c r="I39" s="32">
        <f>IF(NOT(ISNUMBER(Matching_Engine!$AY$39)),"No data to consider: this account has no measured signal.",IF($Z$39&lt;Lookup_Lists!$D$161,$AA$39&amp;" sits at "&amp;$Z$39&amp;", below the "&amp;Lookup_Lists!$D$161&amp;"-point consideration threshold"&amp;IF(Matching_Engine!$AF$39=0," · Brand Personality Fit could not be scored at all: no creator personality, tone, values or content-style column exists","")&amp;IF(Matching_Engine!$AI$39="N/A"," · posting cadence unusable, so Consistency is excluded from Performance","")&amp;".","No component falls below the "&amp;Lookup_Lists!$D$161&amp;"-point consideration threshold."))</f>
      </c>
      <c r="J39" s="32">
        <f>Matching_Engine!$AV$39&amp;" — "&amp;Matching_Engine!$AW$39&amp;IF(Matching_Engine!$BB$39="Limited Data"," Confidence is Limited Data: "&amp;Matching_Engine!$BA$39&amp;"% of tracked fields carry a value.","")</f>
      </c>
      <c r="K39" s="32">
        <f>IF(NOT(ISNUMBER(Matching_Engine!$AY$39)),"Do not shortlist on this data — re-scrape the account first.",IF(Matching_Engine!$AY$39&gt;=Lookup_Lists!$D$156,"Highly Recommended",IF(Matching_Engine!$AY$39&gt;=Lookup_Lists!$D$157,"Recommended",IF(Matching_Engine!$AY$39&gt;=Lookup_Lists!$D$158,"Consider","Low Priority")))&amp;IF(Matching_Engine!$AX$39&lt;100," (on partial data)",""))</f>
      </c>
      <c r="L39" s="34">
        <f>IF(ISNUMBER(Matching_Engine!$M$39),Matching_Engine!$M$39,-1)</f>
      </c>
      <c r="M39" s="34">
        <f>IF(ISNUMBER(Matching_Engine!$S$39),Matching_Engine!$S$39,-1)</f>
      </c>
      <c r="N39" s="34">
        <f>IF(ISNUMBER(Matching_Engine!$Y$39),Matching_Engine!$Y$39,-1)</f>
      </c>
      <c r="O39" s="34">
        <f>IF(ISNUMBER(Matching_Engine!$AE$39),Matching_Engine!$AE$39,-1)</f>
      </c>
      <c r="P39" s="34">
        <f>IF(ISNUMBER(Matching_Engine!$AM$39),Matching_Engine!$AM$39,-1)</f>
      </c>
      <c r="Q39" s="34">
        <f>IF(ISNUMBER(Matching_Engine!$AT$39),Matching_Engine!$AT$39,-1)</f>
      </c>
      <c r="R39" s="34">
        <f>MAX($L$39:$Q$39)</f>
      </c>
      <c r="S39" s="32">
        <f>INDEX({"Brand &amp; Business Relevance","Target Audience Relevance","Content &amp; Category Relevance","Brand Personality Fit","Performance Quality","Brand Safety"},MATCH($R$39,$L$39:$Q$39,0))</f>
      </c>
      <c r="T39" s="34">
        <f>IF(ISNUMBER(Matching_Engine!$M$39),Matching_Engine!$M$39,999)</f>
      </c>
      <c r="U39" s="34">
        <f>IF(ISNUMBER(Matching_Engine!$S$39),Matching_Engine!$S$39,999)</f>
      </c>
      <c r="V39" s="34">
        <f>IF(ISNUMBER(Matching_Engine!$Y$39),Matching_Engine!$Y$39,999)</f>
      </c>
      <c r="W39" s="34">
        <f>IF(ISNUMBER(Matching_Engine!$AE$39),Matching_Engine!$AE$39,999)</f>
      </c>
      <c r="X39" s="34">
        <f>IF(ISNUMBER(Matching_Engine!$AM$39),Matching_Engine!$AM$39,999)</f>
      </c>
      <c r="Y39" s="34">
        <f>IF(ISNUMBER(Matching_Engine!$AT$39),Matching_Engine!$AT$39,999)</f>
      </c>
      <c r="Z39" s="34">
        <f>MIN($T$39:$Y$39)</f>
      </c>
      <c r="AA39" s="32">
        <f>INDEX({"Brand &amp; Business Relevance","Target Audience Relevance","Content &amp; Category Relevance","Brand Personality Fit","Performance Quality","Brand Safety"},MATCH($Z$39,$T$39:$Y$39,0))</f>
      </c>
    </row>
    <row r="40" spans="1:27" x14ac:dyDescent="0.25">
      <c r="A40" s="32">
        <f>Matching_Engine!$B$40</f>
      </c>
      <c r="B40" s="32">
        <f>Matching_Engine!$D$40</f>
      </c>
      <c r="C40" s="32">
        <f>Matching_Engine!$E$40</f>
      </c>
      <c r="D40" s="33">
        <f>Matching_Engine!$AY$40</f>
      </c>
      <c r="E40" s="32">
        <f>Matching_Engine!$AZ$40</f>
      </c>
      <c r="F40" s="32">
        <f>IF(NOT(ISNUMBER(Matching_Engine!$AY$40)),"Not scored: no component of the model had data for this account, so no match can be claimed either way.",Matching_Engine!$AZ$40&amp;" — "&amp;Matching_Engine!$AY$40&amp;"/100 against "&amp;Matching_Engine!$B$40&amp;". "&amp;"Strongest factor "&amp;$S$40&amp;" at "&amp;$R$40&amp;"; weakest "&amp;$AA$40&amp;" at "&amp;$Z$40&amp;". "&amp;IF(AND(ISTEXT(Matching_Engine!$G$40),Matching_Engine!$G$40&lt;&gt;"N/A"),"Tagged category "&amp;Matching_Engine!$G$40&amp;" scores "&amp;IF(ISNUMBER(Matching_Engine!$J$40),Matching_Engine!$J$40,0)&amp;" against the brand category "&amp;Matching_Engine!$B$40&amp;" targets. ","Creator carries no category on record, so the category-driven parts fall back to neutral rather than penalising the creator. ")&amp;IF(ISNUMBER(Matching_Engine!$R$40),"Audience-interest overlap "&amp;Matching_Engine!$R$40&amp;". ","Audience interests unmeasured. ")&amp;IF(Matching_Engine!$AX$40&lt;100,"Scored on "&amp;Matching_Engine!$AX$40&amp;" of the 100 nominal weight points; the rest had no data.",""))</f>
      </c>
      <c r="G40" s="32">
        <f>IF(NOT(ISNUMBER(Matching_Engine!$AY$40)),"N/A",$S$40&amp;" ("&amp;$R$40&amp;"/100)")</f>
      </c>
      <c r="H40" s="32">
        <f>IF(NOT(ISNUMBER(Matching_Engine!$AY$40)),"N/A",$AA$40&amp;" ("&amp;$Z$40&amp;"/100)")</f>
      </c>
      <c r="I40" s="32">
        <f>IF(NOT(ISNUMBER(Matching_Engine!$AY$40)),"No data to consider: this account has no measured signal.",IF($Z$40&lt;Lookup_Lists!$D$161,$AA$40&amp;" sits at "&amp;$Z$40&amp;", below the "&amp;Lookup_Lists!$D$161&amp;"-point consideration threshold"&amp;IF(Matching_Engine!$AF$40=0," · Brand Personality Fit could not be scored at all: no creator personality, tone, values or content-style column exists","")&amp;IF(Matching_Engine!$AI$40="N/A"," · posting cadence unusable, so Consistency is excluded from Performance","")&amp;".","No component falls below the "&amp;Lookup_Lists!$D$161&amp;"-point consideration threshold."))</f>
      </c>
      <c r="J40" s="32">
        <f>Matching_Engine!$AV$40&amp;" — "&amp;Matching_Engine!$AW$40&amp;IF(Matching_Engine!$BB$40="Limited Data"," Confidence is Limited Data: "&amp;Matching_Engine!$BA$40&amp;"% of tracked fields carry a value.","")</f>
      </c>
      <c r="K40" s="32">
        <f>IF(NOT(ISNUMBER(Matching_Engine!$AY$40)),"Do not shortlist on this data — re-scrape the account first.",IF(Matching_Engine!$AY$40&gt;=Lookup_Lists!$D$156,"Highly Recommended",IF(Matching_Engine!$AY$40&gt;=Lookup_Lists!$D$157,"Recommended",IF(Matching_Engine!$AY$40&gt;=Lookup_Lists!$D$158,"Consider","Low Priority")))&amp;IF(Matching_Engine!$AX$40&lt;100," (on partial data)",""))</f>
      </c>
      <c r="L40" s="34">
        <f>IF(ISNUMBER(Matching_Engine!$M$40),Matching_Engine!$M$40,-1)</f>
      </c>
      <c r="M40" s="34">
        <f>IF(ISNUMBER(Matching_Engine!$S$40),Matching_Engine!$S$40,-1)</f>
      </c>
      <c r="N40" s="34">
        <f>IF(ISNUMBER(Matching_Engine!$Y$40),Matching_Engine!$Y$40,-1)</f>
      </c>
      <c r="O40" s="34">
        <f>IF(ISNUMBER(Matching_Engine!$AE$40),Matching_Engine!$AE$40,-1)</f>
      </c>
      <c r="P40" s="34">
        <f>IF(ISNUMBER(Matching_Engine!$AM$40),Matching_Engine!$AM$40,-1)</f>
      </c>
      <c r="Q40" s="34">
        <f>IF(ISNUMBER(Matching_Engine!$AT$40),Matching_Engine!$AT$40,-1)</f>
      </c>
      <c r="R40" s="34">
        <f>MAX($L$40:$Q$40)</f>
      </c>
      <c r="S40" s="32">
        <f>INDEX({"Brand &amp; Business Relevance","Target Audience Relevance","Content &amp; Category Relevance","Brand Personality Fit","Performance Quality","Brand Safety"},MATCH($R$40,$L$40:$Q$40,0))</f>
      </c>
      <c r="T40" s="34">
        <f>IF(ISNUMBER(Matching_Engine!$M$40),Matching_Engine!$M$40,999)</f>
      </c>
      <c r="U40" s="34">
        <f>IF(ISNUMBER(Matching_Engine!$S$40),Matching_Engine!$S$40,999)</f>
      </c>
      <c r="V40" s="34">
        <f>IF(ISNUMBER(Matching_Engine!$Y$40),Matching_Engine!$Y$40,999)</f>
      </c>
      <c r="W40" s="34">
        <f>IF(ISNUMBER(Matching_Engine!$AE$40),Matching_Engine!$AE$40,999)</f>
      </c>
      <c r="X40" s="34">
        <f>IF(ISNUMBER(Matching_Engine!$AM$40),Matching_Engine!$AM$40,999)</f>
      </c>
      <c r="Y40" s="34">
        <f>IF(ISNUMBER(Matching_Engine!$AT$40),Matching_Engine!$AT$40,999)</f>
      </c>
      <c r="Z40" s="34">
        <f>MIN($T$40:$Y$40)</f>
      </c>
      <c r="AA40" s="32">
        <f>INDEX({"Brand &amp; Business Relevance","Target Audience Relevance","Content &amp; Category Relevance","Brand Personality Fit","Performance Quality","Brand Safety"},MATCH($Z$40,$T$40:$Y$40,0))</f>
      </c>
    </row>
    <row r="41" spans="1:27" x14ac:dyDescent="0.25">
      <c r="A41" s="32">
        <f>Matching_Engine!$B$41</f>
      </c>
      <c r="B41" s="32">
        <f>Matching_Engine!$D$41</f>
      </c>
      <c r="C41" s="32">
        <f>Matching_Engine!$E$41</f>
      </c>
      <c r="D41" s="33">
        <f>Matching_Engine!$AY$41</f>
      </c>
      <c r="E41" s="32">
        <f>Matching_Engine!$AZ$41</f>
      </c>
      <c r="F41" s="32">
        <f>IF(NOT(ISNUMBER(Matching_Engine!$AY$41)),"Not scored: no component of the model had data for this account, so no match can be claimed either way.",Matching_Engine!$AZ$41&amp;" — "&amp;Matching_Engine!$AY$41&amp;"/100 against "&amp;Matching_Engine!$B$41&amp;". "&amp;"Strongest factor "&amp;$S$41&amp;" at "&amp;$R$41&amp;"; weakest "&amp;$AA$41&amp;" at "&amp;$Z$41&amp;". "&amp;IF(AND(ISTEXT(Matching_Engine!$G$41),Matching_Engine!$G$41&lt;&gt;"N/A"),"Tagged category "&amp;Matching_Engine!$G$41&amp;" scores "&amp;IF(ISNUMBER(Matching_Engine!$J$41),Matching_Engine!$J$41,0)&amp;" against the brand category "&amp;Matching_Engine!$B$41&amp;" targets. ","Creator carries no category on record, so the category-driven parts fall back to neutral rather than penalising the creator. ")&amp;IF(ISNUMBER(Matching_Engine!$R$41),"Audience-interest overlap "&amp;Matching_Engine!$R$41&amp;". ","Audience interests unmeasured. ")&amp;IF(Matching_Engine!$AX$41&lt;100,"Scored on "&amp;Matching_Engine!$AX$41&amp;" of the 100 nominal weight points; the rest had no data.",""))</f>
      </c>
      <c r="G41" s="32">
        <f>IF(NOT(ISNUMBER(Matching_Engine!$AY$41)),"N/A",$S$41&amp;" ("&amp;$R$41&amp;"/100)")</f>
      </c>
      <c r="H41" s="32">
        <f>IF(NOT(ISNUMBER(Matching_Engine!$AY$41)),"N/A",$AA$41&amp;" ("&amp;$Z$41&amp;"/100)")</f>
      </c>
      <c r="I41" s="32">
        <f>IF(NOT(ISNUMBER(Matching_Engine!$AY$41)),"No data to consider: this account has no measured signal.",IF($Z$41&lt;Lookup_Lists!$D$161,$AA$41&amp;" sits at "&amp;$Z$41&amp;", below the "&amp;Lookup_Lists!$D$161&amp;"-point consideration threshold"&amp;IF(Matching_Engine!$AF$41=0," · Brand Personality Fit could not be scored at all: no creator personality, tone, values or content-style column exists","")&amp;IF(Matching_Engine!$AI$41="N/A"," · posting cadence unusable, so Consistency is excluded from Performance","")&amp;".","No component falls below the "&amp;Lookup_Lists!$D$161&amp;"-point consideration threshold."))</f>
      </c>
      <c r="J41" s="32">
        <f>Matching_Engine!$AV$41&amp;" — "&amp;Matching_Engine!$AW$41&amp;IF(Matching_Engine!$BB$41="Limited Data"," Confidence is Limited Data: "&amp;Matching_Engine!$BA$41&amp;"% of tracked fields carry a value.","")</f>
      </c>
      <c r="K41" s="32">
        <f>IF(NOT(ISNUMBER(Matching_Engine!$AY$41)),"Do not shortlist on this data — re-scrape the account first.",IF(Matching_Engine!$AY$41&gt;=Lookup_Lists!$D$156,"Highly Recommended",IF(Matching_Engine!$AY$41&gt;=Lookup_Lists!$D$157,"Recommended",IF(Matching_Engine!$AY$41&gt;=Lookup_Lists!$D$158,"Consider","Low Priority")))&amp;IF(Matching_Engine!$AX$41&lt;100," (on partial data)",""))</f>
      </c>
      <c r="L41" s="34">
        <f>IF(ISNUMBER(Matching_Engine!$M$41),Matching_Engine!$M$41,-1)</f>
      </c>
      <c r="M41" s="34">
        <f>IF(ISNUMBER(Matching_Engine!$S$41),Matching_Engine!$S$41,-1)</f>
      </c>
      <c r="N41" s="34">
        <f>IF(ISNUMBER(Matching_Engine!$Y$41),Matching_Engine!$Y$41,-1)</f>
      </c>
      <c r="O41" s="34">
        <f>IF(ISNUMBER(Matching_Engine!$AE$41),Matching_Engine!$AE$41,-1)</f>
      </c>
      <c r="P41" s="34">
        <f>IF(ISNUMBER(Matching_Engine!$AM$41),Matching_Engine!$AM$41,-1)</f>
      </c>
      <c r="Q41" s="34">
        <f>IF(ISNUMBER(Matching_Engine!$AT$41),Matching_Engine!$AT$41,-1)</f>
      </c>
      <c r="R41" s="34">
        <f>MAX($L$41:$Q$41)</f>
      </c>
      <c r="S41" s="32">
        <f>INDEX({"Brand &amp; Business Relevance","Target Audience Relevance","Content &amp; Category Relevance","Brand Personality Fit","Performance Quality","Brand Safety"},MATCH($R$41,$L$41:$Q$41,0))</f>
      </c>
      <c r="T41" s="34">
        <f>IF(ISNUMBER(Matching_Engine!$M$41),Matching_Engine!$M$41,999)</f>
      </c>
      <c r="U41" s="34">
        <f>IF(ISNUMBER(Matching_Engine!$S$41),Matching_Engine!$S$41,999)</f>
      </c>
      <c r="V41" s="34">
        <f>IF(ISNUMBER(Matching_Engine!$Y$41),Matching_Engine!$Y$41,999)</f>
      </c>
      <c r="W41" s="34">
        <f>IF(ISNUMBER(Matching_Engine!$AE$41),Matching_Engine!$AE$41,999)</f>
      </c>
      <c r="X41" s="34">
        <f>IF(ISNUMBER(Matching_Engine!$AM$41),Matching_Engine!$AM$41,999)</f>
      </c>
      <c r="Y41" s="34">
        <f>IF(ISNUMBER(Matching_Engine!$AT$41),Matching_Engine!$AT$41,999)</f>
      </c>
      <c r="Z41" s="34">
        <f>MIN($T$41:$Y$41)</f>
      </c>
      <c r="AA41" s="32">
        <f>INDEX({"Brand &amp; Business Relevance","Target Audience Relevance","Content &amp; Category Relevance","Brand Personality Fit","Performance Quality","Brand Safety"},MATCH($Z$41,$T$41:$Y$41,0))</f>
      </c>
    </row>
    <row r="42" spans="1:27" x14ac:dyDescent="0.25">
      <c r="A42" s="32">
        <f>Matching_Engine!$B$42</f>
      </c>
      <c r="B42" s="32">
        <f>Matching_Engine!$D$42</f>
      </c>
      <c r="C42" s="32">
        <f>Matching_Engine!$E$42</f>
      </c>
      <c r="D42" s="33">
        <f>Matching_Engine!$AY$42</f>
      </c>
      <c r="E42" s="32">
        <f>Matching_Engine!$AZ$42</f>
      </c>
      <c r="F42" s="32">
        <f>IF(NOT(ISNUMBER(Matching_Engine!$AY$42)),"Not scored: no component of the model had data for this account, so no match can be claimed either way.",Matching_Engine!$AZ$42&amp;" — "&amp;Matching_Engine!$AY$42&amp;"/100 against "&amp;Matching_Engine!$B$42&amp;". "&amp;"Strongest factor "&amp;$S$42&amp;" at "&amp;$R$42&amp;"; weakest "&amp;$AA$42&amp;" at "&amp;$Z$42&amp;". "&amp;IF(AND(ISTEXT(Matching_Engine!$G$42),Matching_Engine!$G$42&lt;&gt;"N/A"),"Tagged category "&amp;Matching_Engine!$G$42&amp;" scores "&amp;IF(ISNUMBER(Matching_Engine!$J$42),Matching_Engine!$J$42,0)&amp;" against the brand category "&amp;Matching_Engine!$B$42&amp;" targets. ","Creator carries no category on record, so the category-driven parts fall back to neutral rather than penalising the creator. ")&amp;IF(ISNUMBER(Matching_Engine!$R$42),"Audience-interest overlap "&amp;Matching_Engine!$R$42&amp;". ","Audience interests unmeasured. ")&amp;IF(Matching_Engine!$AX$42&lt;100,"Scored on "&amp;Matching_Engine!$AX$42&amp;" of the 100 nominal weight points; the rest had no data.",""))</f>
      </c>
      <c r="G42" s="32">
        <f>IF(NOT(ISNUMBER(Matching_Engine!$AY$42)),"N/A",$S$42&amp;" ("&amp;$R$42&amp;"/100)")</f>
      </c>
      <c r="H42" s="32">
        <f>IF(NOT(ISNUMBER(Matching_Engine!$AY$42)),"N/A",$AA$42&amp;" ("&amp;$Z$42&amp;"/100)")</f>
      </c>
      <c r="I42" s="32">
        <f>IF(NOT(ISNUMBER(Matching_Engine!$AY$42)),"No data to consider: this account has no measured signal.",IF($Z$42&lt;Lookup_Lists!$D$161,$AA$42&amp;" sits at "&amp;$Z$42&amp;", below the "&amp;Lookup_Lists!$D$161&amp;"-point consideration threshold"&amp;IF(Matching_Engine!$AF$42=0," · Brand Personality Fit could not be scored at all: no creator personality, tone, values or content-style column exists","")&amp;IF(Matching_Engine!$AI$42="N/A"," · posting cadence unusable, so Consistency is excluded from Performance","")&amp;".","No component falls below the "&amp;Lookup_Lists!$D$161&amp;"-point consideration threshold."))</f>
      </c>
      <c r="J42" s="32">
        <f>Matching_Engine!$AV$42&amp;" — "&amp;Matching_Engine!$AW$42&amp;IF(Matching_Engine!$BB$42="Limited Data"," Confidence is Limited Data: "&amp;Matching_Engine!$BA$42&amp;"% of tracked fields carry a value.","")</f>
      </c>
      <c r="K42" s="32">
        <f>IF(NOT(ISNUMBER(Matching_Engine!$AY$42)),"Do not shortlist on this data — re-scrape the account first.",IF(Matching_Engine!$AY$42&gt;=Lookup_Lists!$D$156,"Highly Recommended",IF(Matching_Engine!$AY$42&gt;=Lookup_Lists!$D$157,"Recommended",IF(Matching_Engine!$AY$42&gt;=Lookup_Lists!$D$158,"Consider","Low Priority")))&amp;IF(Matching_Engine!$AX$42&lt;100," (on partial data)",""))</f>
      </c>
      <c r="L42" s="34">
        <f>IF(ISNUMBER(Matching_Engine!$M$42),Matching_Engine!$M$42,-1)</f>
      </c>
      <c r="M42" s="34">
        <f>IF(ISNUMBER(Matching_Engine!$S$42),Matching_Engine!$S$42,-1)</f>
      </c>
      <c r="N42" s="34">
        <f>IF(ISNUMBER(Matching_Engine!$Y$42),Matching_Engine!$Y$42,-1)</f>
      </c>
      <c r="O42" s="34">
        <f>IF(ISNUMBER(Matching_Engine!$AE$42),Matching_Engine!$AE$42,-1)</f>
      </c>
      <c r="P42" s="34">
        <f>IF(ISNUMBER(Matching_Engine!$AM$42),Matching_Engine!$AM$42,-1)</f>
      </c>
      <c r="Q42" s="34">
        <f>IF(ISNUMBER(Matching_Engine!$AT$42),Matching_Engine!$AT$42,-1)</f>
      </c>
      <c r="R42" s="34">
        <f>MAX($L$42:$Q$42)</f>
      </c>
      <c r="S42" s="32">
        <f>INDEX({"Brand &amp; Business Relevance","Target Audience Relevance","Content &amp; Category Relevance","Brand Personality Fit","Performance Quality","Brand Safety"},MATCH($R$42,$L$42:$Q$42,0))</f>
      </c>
      <c r="T42" s="34">
        <f>IF(ISNUMBER(Matching_Engine!$M$42),Matching_Engine!$M$42,999)</f>
      </c>
      <c r="U42" s="34">
        <f>IF(ISNUMBER(Matching_Engine!$S$42),Matching_Engine!$S$42,999)</f>
      </c>
      <c r="V42" s="34">
        <f>IF(ISNUMBER(Matching_Engine!$Y$42),Matching_Engine!$Y$42,999)</f>
      </c>
      <c r="W42" s="34">
        <f>IF(ISNUMBER(Matching_Engine!$AE$42),Matching_Engine!$AE$42,999)</f>
      </c>
      <c r="X42" s="34">
        <f>IF(ISNUMBER(Matching_Engine!$AM$42),Matching_Engine!$AM$42,999)</f>
      </c>
      <c r="Y42" s="34">
        <f>IF(ISNUMBER(Matching_Engine!$AT$42),Matching_Engine!$AT$42,999)</f>
      </c>
      <c r="Z42" s="34">
        <f>MIN($T$42:$Y$42)</f>
      </c>
      <c r="AA42" s="32">
        <f>INDEX({"Brand &amp; Business Relevance","Target Audience Relevance","Content &amp; Category Relevance","Brand Personality Fit","Performance Quality","Brand Safety"},MATCH($Z$42,$T$42:$Y$42,0))</f>
      </c>
    </row>
    <row r="43" spans="1:27" x14ac:dyDescent="0.25">
      <c r="A43" s="32">
        <f>Matching_Engine!$B$43</f>
      </c>
      <c r="B43" s="32">
        <f>Matching_Engine!$D$43</f>
      </c>
      <c r="C43" s="32">
        <f>Matching_Engine!$E$43</f>
      </c>
      <c r="D43" s="33">
        <f>Matching_Engine!$AY$43</f>
      </c>
      <c r="E43" s="32">
        <f>Matching_Engine!$AZ$43</f>
      </c>
      <c r="F43" s="32">
        <f>IF(NOT(ISNUMBER(Matching_Engine!$AY$43)),"Not scored: no component of the model had data for this account, so no match can be claimed either way.",Matching_Engine!$AZ$43&amp;" — "&amp;Matching_Engine!$AY$43&amp;"/100 against "&amp;Matching_Engine!$B$43&amp;". "&amp;"Strongest factor "&amp;$S$43&amp;" at "&amp;$R$43&amp;"; weakest "&amp;$AA$43&amp;" at "&amp;$Z$43&amp;". "&amp;IF(AND(ISTEXT(Matching_Engine!$G$43),Matching_Engine!$G$43&lt;&gt;"N/A"),"Tagged category "&amp;Matching_Engine!$G$43&amp;" scores "&amp;IF(ISNUMBER(Matching_Engine!$J$43),Matching_Engine!$J$43,0)&amp;" against the brand category "&amp;Matching_Engine!$B$43&amp;" targets. ","Creator carries no category on record, so the category-driven parts fall back to neutral rather than penalising the creator. ")&amp;IF(ISNUMBER(Matching_Engine!$R$43),"Audience-interest overlap "&amp;Matching_Engine!$R$43&amp;". ","Audience interests unmeasured. ")&amp;IF(Matching_Engine!$AX$43&lt;100,"Scored on "&amp;Matching_Engine!$AX$43&amp;" of the 100 nominal weight points; the rest had no data.",""))</f>
      </c>
      <c r="G43" s="32">
        <f>IF(NOT(ISNUMBER(Matching_Engine!$AY$43)),"N/A",$S$43&amp;" ("&amp;$R$43&amp;"/100)")</f>
      </c>
      <c r="H43" s="32">
        <f>IF(NOT(ISNUMBER(Matching_Engine!$AY$43)),"N/A",$AA$43&amp;" ("&amp;$Z$43&amp;"/100)")</f>
      </c>
      <c r="I43" s="32">
        <f>IF(NOT(ISNUMBER(Matching_Engine!$AY$43)),"No data to consider: this account has no measured signal.",IF($Z$43&lt;Lookup_Lists!$D$161,$AA$43&amp;" sits at "&amp;$Z$43&amp;", below the "&amp;Lookup_Lists!$D$161&amp;"-point consideration threshold"&amp;IF(Matching_Engine!$AF$43=0," · Brand Personality Fit could not be scored at all: no creator personality, tone, values or content-style column exists","")&amp;IF(Matching_Engine!$AI$43="N/A"," · posting cadence unusable, so Consistency is excluded from Performance","")&amp;".","No component falls below the "&amp;Lookup_Lists!$D$161&amp;"-point consideration threshold."))</f>
      </c>
      <c r="J43" s="32">
        <f>Matching_Engine!$AV$43&amp;" — "&amp;Matching_Engine!$AW$43&amp;IF(Matching_Engine!$BB$43="Limited Data"," Confidence is Limited Data: "&amp;Matching_Engine!$BA$43&amp;"% of tracked fields carry a value.","")</f>
      </c>
      <c r="K43" s="32">
        <f>IF(NOT(ISNUMBER(Matching_Engine!$AY$43)),"Do not shortlist on this data — re-scrape the account first.",IF(Matching_Engine!$AY$43&gt;=Lookup_Lists!$D$156,"Highly Recommended",IF(Matching_Engine!$AY$43&gt;=Lookup_Lists!$D$157,"Recommended",IF(Matching_Engine!$AY$43&gt;=Lookup_Lists!$D$158,"Consider","Low Priority")))&amp;IF(Matching_Engine!$AX$43&lt;100," (on partial data)",""))</f>
      </c>
      <c r="L43" s="34">
        <f>IF(ISNUMBER(Matching_Engine!$M$43),Matching_Engine!$M$43,-1)</f>
      </c>
      <c r="M43" s="34">
        <f>IF(ISNUMBER(Matching_Engine!$S$43),Matching_Engine!$S$43,-1)</f>
      </c>
      <c r="N43" s="34">
        <f>IF(ISNUMBER(Matching_Engine!$Y$43),Matching_Engine!$Y$43,-1)</f>
      </c>
      <c r="O43" s="34">
        <f>IF(ISNUMBER(Matching_Engine!$AE$43),Matching_Engine!$AE$43,-1)</f>
      </c>
      <c r="P43" s="34">
        <f>IF(ISNUMBER(Matching_Engine!$AM$43),Matching_Engine!$AM$43,-1)</f>
      </c>
      <c r="Q43" s="34">
        <f>IF(ISNUMBER(Matching_Engine!$AT$43),Matching_Engine!$AT$43,-1)</f>
      </c>
      <c r="R43" s="34">
        <f>MAX($L$43:$Q$43)</f>
      </c>
      <c r="S43" s="32">
        <f>INDEX({"Brand &amp; Business Relevance","Target Audience Relevance","Content &amp; Category Relevance","Brand Personality Fit","Performance Quality","Brand Safety"},MATCH($R$43,$L$43:$Q$43,0))</f>
      </c>
      <c r="T43" s="34">
        <f>IF(ISNUMBER(Matching_Engine!$M$43),Matching_Engine!$M$43,999)</f>
      </c>
      <c r="U43" s="34">
        <f>IF(ISNUMBER(Matching_Engine!$S$43),Matching_Engine!$S$43,999)</f>
      </c>
      <c r="V43" s="34">
        <f>IF(ISNUMBER(Matching_Engine!$Y$43),Matching_Engine!$Y$43,999)</f>
      </c>
      <c r="W43" s="34">
        <f>IF(ISNUMBER(Matching_Engine!$AE$43),Matching_Engine!$AE$43,999)</f>
      </c>
      <c r="X43" s="34">
        <f>IF(ISNUMBER(Matching_Engine!$AM$43),Matching_Engine!$AM$43,999)</f>
      </c>
      <c r="Y43" s="34">
        <f>IF(ISNUMBER(Matching_Engine!$AT$43),Matching_Engine!$AT$43,999)</f>
      </c>
      <c r="Z43" s="34">
        <f>MIN($T$43:$Y$43)</f>
      </c>
      <c r="AA43" s="32">
        <f>INDEX({"Brand &amp; Business Relevance","Target Audience Relevance","Content &amp; Category Relevance","Brand Personality Fit","Performance Quality","Brand Safety"},MATCH($Z$43,$T$43:$Y$43,0))</f>
      </c>
    </row>
    <row r="44" spans="1:27" x14ac:dyDescent="0.25">
      <c r="A44" s="32">
        <f>Matching_Engine!$B$44</f>
      </c>
      <c r="B44" s="32">
        <f>Matching_Engine!$D$44</f>
      </c>
      <c r="C44" s="32">
        <f>Matching_Engine!$E$44</f>
      </c>
      <c r="D44" s="33">
        <f>Matching_Engine!$AY$44</f>
      </c>
      <c r="E44" s="32">
        <f>Matching_Engine!$AZ$44</f>
      </c>
      <c r="F44" s="32">
        <f>IF(NOT(ISNUMBER(Matching_Engine!$AY$44)),"Not scored: no component of the model had data for this account, so no match can be claimed either way.",Matching_Engine!$AZ$44&amp;" — "&amp;Matching_Engine!$AY$44&amp;"/100 against "&amp;Matching_Engine!$B$44&amp;". "&amp;"Strongest factor "&amp;$S$44&amp;" at "&amp;$R$44&amp;"; weakest "&amp;$AA$44&amp;" at "&amp;$Z$44&amp;". "&amp;IF(AND(ISTEXT(Matching_Engine!$G$44),Matching_Engine!$G$44&lt;&gt;"N/A"),"Tagged category "&amp;Matching_Engine!$G$44&amp;" scores "&amp;IF(ISNUMBER(Matching_Engine!$J$44),Matching_Engine!$J$44,0)&amp;" against the brand category "&amp;Matching_Engine!$B$44&amp;" targets. ","Creator carries no category on record, so the category-driven parts fall back to neutral rather than penalising the creator. ")&amp;IF(ISNUMBER(Matching_Engine!$R$44),"Audience-interest overlap "&amp;Matching_Engine!$R$44&amp;". ","Audience interests unmeasured. ")&amp;IF(Matching_Engine!$AX$44&lt;100,"Scored on "&amp;Matching_Engine!$AX$44&amp;" of the 100 nominal weight points; the rest had no data.",""))</f>
      </c>
      <c r="G44" s="32">
        <f>IF(NOT(ISNUMBER(Matching_Engine!$AY$44)),"N/A",$S$44&amp;" ("&amp;$R$44&amp;"/100)")</f>
      </c>
      <c r="H44" s="32">
        <f>IF(NOT(ISNUMBER(Matching_Engine!$AY$44)),"N/A",$AA$44&amp;" ("&amp;$Z$44&amp;"/100)")</f>
      </c>
      <c r="I44" s="32">
        <f>IF(NOT(ISNUMBER(Matching_Engine!$AY$44)),"No data to consider: this account has no measured signal.",IF($Z$44&lt;Lookup_Lists!$D$161,$AA$44&amp;" sits at "&amp;$Z$44&amp;", below the "&amp;Lookup_Lists!$D$161&amp;"-point consideration threshold"&amp;IF(Matching_Engine!$AF$44=0," · Brand Personality Fit could not be scored at all: no creator personality, tone, values or content-style column exists","")&amp;IF(Matching_Engine!$AI$44="N/A"," · posting cadence unusable, so Consistency is excluded from Performance","")&amp;".","No component falls below the "&amp;Lookup_Lists!$D$161&amp;"-point consideration threshold."))</f>
      </c>
      <c r="J44" s="32">
        <f>Matching_Engine!$AV$44&amp;" — "&amp;Matching_Engine!$AW$44&amp;IF(Matching_Engine!$BB$44="Limited Data"," Confidence is Limited Data: "&amp;Matching_Engine!$BA$44&amp;"% of tracked fields carry a value.","")</f>
      </c>
      <c r="K44" s="32">
        <f>IF(NOT(ISNUMBER(Matching_Engine!$AY$44)),"Do not shortlist on this data — re-scrape the account first.",IF(Matching_Engine!$AY$44&gt;=Lookup_Lists!$D$156,"Highly Recommended",IF(Matching_Engine!$AY$44&gt;=Lookup_Lists!$D$157,"Recommended",IF(Matching_Engine!$AY$44&gt;=Lookup_Lists!$D$158,"Consider","Low Priority")))&amp;IF(Matching_Engine!$AX$44&lt;100," (on partial data)",""))</f>
      </c>
      <c r="L44" s="34">
        <f>IF(ISNUMBER(Matching_Engine!$M$44),Matching_Engine!$M$44,-1)</f>
      </c>
      <c r="M44" s="34">
        <f>IF(ISNUMBER(Matching_Engine!$S$44),Matching_Engine!$S$44,-1)</f>
      </c>
      <c r="N44" s="34">
        <f>IF(ISNUMBER(Matching_Engine!$Y$44),Matching_Engine!$Y$44,-1)</f>
      </c>
      <c r="O44" s="34">
        <f>IF(ISNUMBER(Matching_Engine!$AE$44),Matching_Engine!$AE$44,-1)</f>
      </c>
      <c r="P44" s="34">
        <f>IF(ISNUMBER(Matching_Engine!$AM$44),Matching_Engine!$AM$44,-1)</f>
      </c>
      <c r="Q44" s="34">
        <f>IF(ISNUMBER(Matching_Engine!$AT$44),Matching_Engine!$AT$44,-1)</f>
      </c>
      <c r="R44" s="34">
        <f>MAX($L$44:$Q$44)</f>
      </c>
      <c r="S44" s="32">
        <f>INDEX({"Brand &amp; Business Relevance","Target Audience Relevance","Content &amp; Category Relevance","Brand Personality Fit","Performance Quality","Brand Safety"},MATCH($R$44,$L$44:$Q$44,0))</f>
      </c>
      <c r="T44" s="34">
        <f>IF(ISNUMBER(Matching_Engine!$M$44),Matching_Engine!$M$44,999)</f>
      </c>
      <c r="U44" s="34">
        <f>IF(ISNUMBER(Matching_Engine!$S$44),Matching_Engine!$S$44,999)</f>
      </c>
      <c r="V44" s="34">
        <f>IF(ISNUMBER(Matching_Engine!$Y$44),Matching_Engine!$Y$44,999)</f>
      </c>
      <c r="W44" s="34">
        <f>IF(ISNUMBER(Matching_Engine!$AE$44),Matching_Engine!$AE$44,999)</f>
      </c>
      <c r="X44" s="34">
        <f>IF(ISNUMBER(Matching_Engine!$AM$44),Matching_Engine!$AM$44,999)</f>
      </c>
      <c r="Y44" s="34">
        <f>IF(ISNUMBER(Matching_Engine!$AT$44),Matching_Engine!$AT$44,999)</f>
      </c>
      <c r="Z44" s="34">
        <f>MIN($T$44:$Y$44)</f>
      </c>
      <c r="AA44" s="32">
        <f>INDEX({"Brand &amp; Business Relevance","Target Audience Relevance","Content &amp; Category Relevance","Brand Personality Fit","Performance Quality","Brand Safety"},MATCH($Z$44,$T$44:$Y$44,0))</f>
      </c>
    </row>
    <row r="45" spans="1:27" x14ac:dyDescent="0.25">
      <c r="A45" s="32">
        <f>Matching_Engine!$B$45</f>
      </c>
      <c r="B45" s="32">
        <f>Matching_Engine!$D$45</f>
      </c>
      <c r="C45" s="32">
        <f>Matching_Engine!$E$45</f>
      </c>
      <c r="D45" s="33">
        <f>Matching_Engine!$AY$45</f>
      </c>
      <c r="E45" s="32">
        <f>Matching_Engine!$AZ$45</f>
      </c>
      <c r="F45" s="32">
        <f>IF(NOT(ISNUMBER(Matching_Engine!$AY$45)),"Not scored: no component of the model had data for this account, so no match can be claimed either way.",Matching_Engine!$AZ$45&amp;" — "&amp;Matching_Engine!$AY$45&amp;"/100 against "&amp;Matching_Engine!$B$45&amp;". "&amp;"Strongest factor "&amp;$S$45&amp;" at "&amp;$R$45&amp;"; weakest "&amp;$AA$45&amp;" at "&amp;$Z$45&amp;". "&amp;IF(AND(ISTEXT(Matching_Engine!$G$45),Matching_Engine!$G$45&lt;&gt;"N/A"),"Tagged category "&amp;Matching_Engine!$G$45&amp;" scores "&amp;IF(ISNUMBER(Matching_Engine!$J$45),Matching_Engine!$J$45,0)&amp;" against the brand category "&amp;Matching_Engine!$B$45&amp;" targets. ","Creator carries no category on record, so the category-driven parts fall back to neutral rather than penalising the creator. ")&amp;IF(ISNUMBER(Matching_Engine!$R$45),"Audience-interest overlap "&amp;Matching_Engine!$R$45&amp;". ","Audience interests unmeasured. ")&amp;IF(Matching_Engine!$AX$45&lt;100,"Scored on "&amp;Matching_Engine!$AX$45&amp;" of the 100 nominal weight points; the rest had no data.",""))</f>
      </c>
      <c r="G45" s="32">
        <f>IF(NOT(ISNUMBER(Matching_Engine!$AY$45)),"N/A",$S$45&amp;" ("&amp;$R$45&amp;"/100)")</f>
      </c>
      <c r="H45" s="32">
        <f>IF(NOT(ISNUMBER(Matching_Engine!$AY$45)),"N/A",$AA$45&amp;" ("&amp;$Z$45&amp;"/100)")</f>
      </c>
      <c r="I45" s="32">
        <f>IF(NOT(ISNUMBER(Matching_Engine!$AY$45)),"No data to consider: this account has no measured signal.",IF($Z$45&lt;Lookup_Lists!$D$161,$AA$45&amp;" sits at "&amp;$Z$45&amp;", below the "&amp;Lookup_Lists!$D$161&amp;"-point consideration threshold"&amp;IF(Matching_Engine!$AF$45=0," · Brand Personality Fit could not be scored at all: no creator personality, tone, values or content-style column exists","")&amp;IF(Matching_Engine!$AI$45="N/A"," · posting cadence unusable, so Consistency is excluded from Performance","")&amp;".","No component falls below the "&amp;Lookup_Lists!$D$161&amp;"-point consideration threshold."))</f>
      </c>
      <c r="J45" s="32">
        <f>Matching_Engine!$AV$45&amp;" — "&amp;Matching_Engine!$AW$45&amp;IF(Matching_Engine!$BB$45="Limited Data"," Confidence is Limited Data: "&amp;Matching_Engine!$BA$45&amp;"% of tracked fields carry a value.","")</f>
      </c>
      <c r="K45" s="32">
        <f>IF(NOT(ISNUMBER(Matching_Engine!$AY$45)),"Do not shortlist on this data — re-scrape the account first.",IF(Matching_Engine!$AY$45&gt;=Lookup_Lists!$D$156,"Highly Recommended",IF(Matching_Engine!$AY$45&gt;=Lookup_Lists!$D$157,"Recommended",IF(Matching_Engine!$AY$45&gt;=Lookup_Lists!$D$158,"Consider","Low Priority")))&amp;IF(Matching_Engine!$AX$45&lt;100," (on partial data)",""))</f>
      </c>
      <c r="L45" s="34">
        <f>IF(ISNUMBER(Matching_Engine!$M$45),Matching_Engine!$M$45,-1)</f>
      </c>
      <c r="M45" s="34">
        <f>IF(ISNUMBER(Matching_Engine!$S$45),Matching_Engine!$S$45,-1)</f>
      </c>
      <c r="N45" s="34">
        <f>IF(ISNUMBER(Matching_Engine!$Y$45),Matching_Engine!$Y$45,-1)</f>
      </c>
      <c r="O45" s="34">
        <f>IF(ISNUMBER(Matching_Engine!$AE$45),Matching_Engine!$AE$45,-1)</f>
      </c>
      <c r="P45" s="34">
        <f>IF(ISNUMBER(Matching_Engine!$AM$45),Matching_Engine!$AM$45,-1)</f>
      </c>
      <c r="Q45" s="34">
        <f>IF(ISNUMBER(Matching_Engine!$AT$45),Matching_Engine!$AT$45,-1)</f>
      </c>
      <c r="R45" s="34">
        <f>MAX($L$45:$Q$45)</f>
      </c>
      <c r="S45" s="32">
        <f>INDEX({"Brand &amp; Business Relevance","Target Audience Relevance","Content &amp; Category Relevance","Brand Personality Fit","Performance Quality","Brand Safety"},MATCH($R$45,$L$45:$Q$45,0))</f>
      </c>
      <c r="T45" s="34">
        <f>IF(ISNUMBER(Matching_Engine!$M$45),Matching_Engine!$M$45,999)</f>
      </c>
      <c r="U45" s="34">
        <f>IF(ISNUMBER(Matching_Engine!$S$45),Matching_Engine!$S$45,999)</f>
      </c>
      <c r="V45" s="34">
        <f>IF(ISNUMBER(Matching_Engine!$Y$45),Matching_Engine!$Y$45,999)</f>
      </c>
      <c r="W45" s="34">
        <f>IF(ISNUMBER(Matching_Engine!$AE$45),Matching_Engine!$AE$45,999)</f>
      </c>
      <c r="X45" s="34">
        <f>IF(ISNUMBER(Matching_Engine!$AM$45),Matching_Engine!$AM$45,999)</f>
      </c>
      <c r="Y45" s="34">
        <f>IF(ISNUMBER(Matching_Engine!$AT$45),Matching_Engine!$AT$45,999)</f>
      </c>
      <c r="Z45" s="34">
        <f>MIN($T$45:$Y$45)</f>
      </c>
      <c r="AA45" s="32">
        <f>INDEX({"Brand &amp; Business Relevance","Target Audience Relevance","Content &amp; Category Relevance","Brand Personality Fit","Performance Quality","Brand Safety"},MATCH($Z$45,$T$45:$Y$45,0))</f>
      </c>
    </row>
    <row r="46" spans="1:27" x14ac:dyDescent="0.25">
      <c r="A46" s="32">
        <f>Matching_Engine!$B$46</f>
      </c>
      <c r="B46" s="32">
        <f>Matching_Engine!$D$46</f>
      </c>
      <c r="C46" s="32">
        <f>Matching_Engine!$E$46</f>
      </c>
      <c r="D46" s="33">
        <f>Matching_Engine!$AY$46</f>
      </c>
      <c r="E46" s="32">
        <f>Matching_Engine!$AZ$46</f>
      </c>
      <c r="F46" s="32">
        <f>IF(NOT(ISNUMBER(Matching_Engine!$AY$46)),"Not scored: no component of the model had data for this account, so no match can be claimed either way.",Matching_Engine!$AZ$46&amp;" — "&amp;Matching_Engine!$AY$46&amp;"/100 against "&amp;Matching_Engine!$B$46&amp;". "&amp;"Strongest factor "&amp;$S$46&amp;" at "&amp;$R$46&amp;"; weakest "&amp;$AA$46&amp;" at "&amp;$Z$46&amp;". "&amp;IF(AND(ISTEXT(Matching_Engine!$G$46),Matching_Engine!$G$46&lt;&gt;"N/A"),"Tagged category "&amp;Matching_Engine!$G$46&amp;" scores "&amp;IF(ISNUMBER(Matching_Engine!$J$46),Matching_Engine!$J$46,0)&amp;" against the brand category "&amp;Matching_Engine!$B$46&amp;" targets. ","Creator carries no category on record, so the category-driven parts fall back to neutral rather than penalising the creator. ")&amp;IF(ISNUMBER(Matching_Engine!$R$46),"Audience-interest overlap "&amp;Matching_Engine!$R$46&amp;". ","Audience interests unmeasured. ")&amp;IF(Matching_Engine!$AX$46&lt;100,"Scored on "&amp;Matching_Engine!$AX$46&amp;" of the 100 nominal weight points; the rest had no data.",""))</f>
      </c>
      <c r="G46" s="32">
        <f>IF(NOT(ISNUMBER(Matching_Engine!$AY$46)),"N/A",$S$46&amp;" ("&amp;$R$46&amp;"/100)")</f>
      </c>
      <c r="H46" s="32">
        <f>IF(NOT(ISNUMBER(Matching_Engine!$AY$46)),"N/A",$AA$46&amp;" ("&amp;$Z$46&amp;"/100)")</f>
      </c>
      <c r="I46" s="32">
        <f>IF(NOT(ISNUMBER(Matching_Engine!$AY$46)),"No data to consider: this account has no measured signal.",IF($Z$46&lt;Lookup_Lists!$D$161,$AA$46&amp;" sits at "&amp;$Z$46&amp;", below the "&amp;Lookup_Lists!$D$161&amp;"-point consideration threshold"&amp;IF(Matching_Engine!$AF$46=0," · Brand Personality Fit could not be scored at all: no creator personality, tone, values or content-style column exists","")&amp;IF(Matching_Engine!$AI$46="N/A"," · posting cadence unusable, so Consistency is excluded from Performance","")&amp;".","No component falls below the "&amp;Lookup_Lists!$D$161&amp;"-point consideration threshold."))</f>
      </c>
      <c r="J46" s="32">
        <f>Matching_Engine!$AV$46&amp;" — "&amp;Matching_Engine!$AW$46&amp;IF(Matching_Engine!$BB$46="Limited Data"," Confidence is Limited Data: "&amp;Matching_Engine!$BA$46&amp;"% of tracked fields carry a value.","")</f>
      </c>
      <c r="K46" s="32">
        <f>IF(NOT(ISNUMBER(Matching_Engine!$AY$46)),"Do not shortlist on this data — re-scrape the account first.",IF(Matching_Engine!$AY$46&gt;=Lookup_Lists!$D$156,"Highly Recommended",IF(Matching_Engine!$AY$46&gt;=Lookup_Lists!$D$157,"Recommended",IF(Matching_Engine!$AY$46&gt;=Lookup_Lists!$D$158,"Consider","Low Priority")))&amp;IF(Matching_Engine!$AX$46&lt;100," (on partial data)",""))</f>
      </c>
      <c r="L46" s="34">
        <f>IF(ISNUMBER(Matching_Engine!$M$46),Matching_Engine!$M$46,-1)</f>
      </c>
      <c r="M46" s="34">
        <f>IF(ISNUMBER(Matching_Engine!$S$46),Matching_Engine!$S$46,-1)</f>
      </c>
      <c r="N46" s="34">
        <f>IF(ISNUMBER(Matching_Engine!$Y$46),Matching_Engine!$Y$46,-1)</f>
      </c>
      <c r="O46" s="34">
        <f>IF(ISNUMBER(Matching_Engine!$AE$46),Matching_Engine!$AE$46,-1)</f>
      </c>
      <c r="P46" s="34">
        <f>IF(ISNUMBER(Matching_Engine!$AM$46),Matching_Engine!$AM$46,-1)</f>
      </c>
      <c r="Q46" s="34">
        <f>IF(ISNUMBER(Matching_Engine!$AT$46),Matching_Engine!$AT$46,-1)</f>
      </c>
      <c r="R46" s="34">
        <f>MAX($L$46:$Q$46)</f>
      </c>
      <c r="S46" s="32">
        <f>INDEX({"Brand &amp; Business Relevance","Target Audience Relevance","Content &amp; Category Relevance","Brand Personality Fit","Performance Quality","Brand Safety"},MATCH($R$46,$L$46:$Q$46,0))</f>
      </c>
      <c r="T46" s="34">
        <f>IF(ISNUMBER(Matching_Engine!$M$46),Matching_Engine!$M$46,999)</f>
      </c>
      <c r="U46" s="34">
        <f>IF(ISNUMBER(Matching_Engine!$S$46),Matching_Engine!$S$46,999)</f>
      </c>
      <c r="V46" s="34">
        <f>IF(ISNUMBER(Matching_Engine!$Y$46),Matching_Engine!$Y$46,999)</f>
      </c>
      <c r="W46" s="34">
        <f>IF(ISNUMBER(Matching_Engine!$AE$46),Matching_Engine!$AE$46,999)</f>
      </c>
      <c r="X46" s="34">
        <f>IF(ISNUMBER(Matching_Engine!$AM$46),Matching_Engine!$AM$46,999)</f>
      </c>
      <c r="Y46" s="34">
        <f>IF(ISNUMBER(Matching_Engine!$AT$46),Matching_Engine!$AT$46,999)</f>
      </c>
      <c r="Z46" s="34">
        <f>MIN($T$46:$Y$46)</f>
      </c>
      <c r="AA46" s="32">
        <f>INDEX({"Brand &amp; Business Relevance","Target Audience Relevance","Content &amp; Category Relevance","Brand Personality Fit","Performance Quality","Brand Safety"},MATCH($Z$46,$T$46:$Y$46,0))</f>
      </c>
    </row>
    <row r="47" spans="1:27" x14ac:dyDescent="0.25">
      <c r="A47" s="32">
        <f>Matching_Engine!$B$47</f>
      </c>
      <c r="B47" s="32">
        <f>Matching_Engine!$D$47</f>
      </c>
      <c r="C47" s="32">
        <f>Matching_Engine!$E$47</f>
      </c>
      <c r="D47" s="33">
        <f>Matching_Engine!$AY$47</f>
      </c>
      <c r="E47" s="32">
        <f>Matching_Engine!$AZ$47</f>
      </c>
      <c r="F47" s="32">
        <f>IF(NOT(ISNUMBER(Matching_Engine!$AY$47)),"Not scored: no component of the model had data for this account, so no match can be claimed either way.",Matching_Engine!$AZ$47&amp;" — "&amp;Matching_Engine!$AY$47&amp;"/100 against "&amp;Matching_Engine!$B$47&amp;". "&amp;"Strongest factor "&amp;$S$47&amp;" at "&amp;$R$47&amp;"; weakest "&amp;$AA$47&amp;" at "&amp;$Z$47&amp;". "&amp;IF(AND(ISTEXT(Matching_Engine!$G$47),Matching_Engine!$G$47&lt;&gt;"N/A"),"Tagged category "&amp;Matching_Engine!$G$47&amp;" scores "&amp;IF(ISNUMBER(Matching_Engine!$J$47),Matching_Engine!$J$47,0)&amp;" against the brand category "&amp;Matching_Engine!$B$47&amp;" targets. ","Creator carries no category on record, so the category-driven parts fall back to neutral rather than penalising the creator. ")&amp;IF(ISNUMBER(Matching_Engine!$R$47),"Audience-interest overlap "&amp;Matching_Engine!$R$47&amp;". ","Audience interests unmeasured. ")&amp;IF(Matching_Engine!$AX$47&lt;100,"Scored on "&amp;Matching_Engine!$AX$47&amp;" of the 100 nominal weight points; the rest had no data.",""))</f>
      </c>
      <c r="G47" s="32">
        <f>IF(NOT(ISNUMBER(Matching_Engine!$AY$47)),"N/A",$S$47&amp;" ("&amp;$R$47&amp;"/100)")</f>
      </c>
      <c r="H47" s="32">
        <f>IF(NOT(ISNUMBER(Matching_Engine!$AY$47)),"N/A",$AA$47&amp;" ("&amp;$Z$47&amp;"/100)")</f>
      </c>
      <c r="I47" s="32">
        <f>IF(NOT(ISNUMBER(Matching_Engine!$AY$47)),"No data to consider: this account has no measured signal.",IF($Z$47&lt;Lookup_Lists!$D$161,$AA$47&amp;" sits at "&amp;$Z$47&amp;", below the "&amp;Lookup_Lists!$D$161&amp;"-point consideration threshold"&amp;IF(Matching_Engine!$AF$47=0," · Brand Personality Fit could not be scored at all: no creator personality, tone, values or content-style column exists","")&amp;IF(Matching_Engine!$AI$47="N/A"," · posting cadence unusable, so Consistency is excluded from Performance","")&amp;".","No component falls below the "&amp;Lookup_Lists!$D$161&amp;"-point consideration threshold."))</f>
      </c>
      <c r="J47" s="32">
        <f>Matching_Engine!$AV$47&amp;" — "&amp;Matching_Engine!$AW$47&amp;IF(Matching_Engine!$BB$47="Limited Data"," Confidence is Limited Data: "&amp;Matching_Engine!$BA$47&amp;"% of tracked fields carry a value.","")</f>
      </c>
      <c r="K47" s="32">
        <f>IF(NOT(ISNUMBER(Matching_Engine!$AY$47)),"Do not shortlist on this data — re-scrape the account first.",IF(Matching_Engine!$AY$47&gt;=Lookup_Lists!$D$156,"Highly Recommended",IF(Matching_Engine!$AY$47&gt;=Lookup_Lists!$D$157,"Recommended",IF(Matching_Engine!$AY$47&gt;=Lookup_Lists!$D$158,"Consider","Low Priority")))&amp;IF(Matching_Engine!$AX$47&lt;100," (on partial data)",""))</f>
      </c>
      <c r="L47" s="34">
        <f>IF(ISNUMBER(Matching_Engine!$M$47),Matching_Engine!$M$47,-1)</f>
      </c>
      <c r="M47" s="34">
        <f>IF(ISNUMBER(Matching_Engine!$S$47),Matching_Engine!$S$47,-1)</f>
      </c>
      <c r="N47" s="34">
        <f>IF(ISNUMBER(Matching_Engine!$Y$47),Matching_Engine!$Y$47,-1)</f>
      </c>
      <c r="O47" s="34">
        <f>IF(ISNUMBER(Matching_Engine!$AE$47),Matching_Engine!$AE$47,-1)</f>
      </c>
      <c r="P47" s="34">
        <f>IF(ISNUMBER(Matching_Engine!$AM$47),Matching_Engine!$AM$47,-1)</f>
      </c>
      <c r="Q47" s="34">
        <f>IF(ISNUMBER(Matching_Engine!$AT$47),Matching_Engine!$AT$47,-1)</f>
      </c>
      <c r="R47" s="34">
        <f>MAX($L$47:$Q$47)</f>
      </c>
      <c r="S47" s="32">
        <f>INDEX({"Brand &amp; Business Relevance","Target Audience Relevance","Content &amp; Category Relevance","Brand Personality Fit","Performance Quality","Brand Safety"},MATCH($R$47,$L$47:$Q$47,0))</f>
      </c>
      <c r="T47" s="34">
        <f>IF(ISNUMBER(Matching_Engine!$M$47),Matching_Engine!$M$47,999)</f>
      </c>
      <c r="U47" s="34">
        <f>IF(ISNUMBER(Matching_Engine!$S$47),Matching_Engine!$S$47,999)</f>
      </c>
      <c r="V47" s="34">
        <f>IF(ISNUMBER(Matching_Engine!$Y$47),Matching_Engine!$Y$47,999)</f>
      </c>
      <c r="W47" s="34">
        <f>IF(ISNUMBER(Matching_Engine!$AE$47),Matching_Engine!$AE$47,999)</f>
      </c>
      <c r="X47" s="34">
        <f>IF(ISNUMBER(Matching_Engine!$AM$47),Matching_Engine!$AM$47,999)</f>
      </c>
      <c r="Y47" s="34">
        <f>IF(ISNUMBER(Matching_Engine!$AT$47),Matching_Engine!$AT$47,999)</f>
      </c>
      <c r="Z47" s="34">
        <f>MIN($T$47:$Y$47)</f>
      </c>
      <c r="AA47" s="32">
        <f>INDEX({"Brand &amp; Business Relevance","Target Audience Relevance","Content &amp; Category Relevance","Brand Personality Fit","Performance Quality","Brand Safety"},MATCH($Z$47,$T$47:$Y$47,0))</f>
      </c>
    </row>
    <row r="48" spans="1:27" x14ac:dyDescent="0.25">
      <c r="A48" s="32">
        <f>Matching_Engine!$B$48</f>
      </c>
      <c r="B48" s="32">
        <f>Matching_Engine!$D$48</f>
      </c>
      <c r="C48" s="32">
        <f>Matching_Engine!$E$48</f>
      </c>
      <c r="D48" s="33">
        <f>Matching_Engine!$AY$48</f>
      </c>
      <c r="E48" s="32">
        <f>Matching_Engine!$AZ$48</f>
      </c>
      <c r="F48" s="32">
        <f>IF(NOT(ISNUMBER(Matching_Engine!$AY$48)),"Not scored: no component of the model had data for this account, so no match can be claimed either way.",Matching_Engine!$AZ$48&amp;" — "&amp;Matching_Engine!$AY$48&amp;"/100 against "&amp;Matching_Engine!$B$48&amp;". "&amp;"Strongest factor "&amp;$S$48&amp;" at "&amp;$R$48&amp;"; weakest "&amp;$AA$48&amp;" at "&amp;$Z$48&amp;". "&amp;IF(AND(ISTEXT(Matching_Engine!$G$48),Matching_Engine!$G$48&lt;&gt;"N/A"),"Tagged category "&amp;Matching_Engine!$G$48&amp;" scores "&amp;IF(ISNUMBER(Matching_Engine!$J$48),Matching_Engine!$J$48,0)&amp;" against the brand category "&amp;Matching_Engine!$B$48&amp;" targets. ","Creator carries no category on record, so the category-driven parts fall back to neutral rather than penalising the creator. ")&amp;IF(ISNUMBER(Matching_Engine!$R$48),"Audience-interest overlap "&amp;Matching_Engine!$R$48&amp;". ","Audience interests unmeasured. ")&amp;IF(Matching_Engine!$AX$48&lt;100,"Scored on "&amp;Matching_Engine!$AX$48&amp;" of the 100 nominal weight points; the rest had no data.",""))</f>
      </c>
      <c r="G48" s="32">
        <f>IF(NOT(ISNUMBER(Matching_Engine!$AY$48)),"N/A",$S$48&amp;" ("&amp;$R$48&amp;"/100)")</f>
      </c>
      <c r="H48" s="32">
        <f>IF(NOT(ISNUMBER(Matching_Engine!$AY$48)),"N/A",$AA$48&amp;" ("&amp;$Z$48&amp;"/100)")</f>
      </c>
      <c r="I48" s="32">
        <f>IF(NOT(ISNUMBER(Matching_Engine!$AY$48)),"No data to consider: this account has no measured signal.",IF($Z$48&lt;Lookup_Lists!$D$161,$AA$48&amp;" sits at "&amp;$Z$48&amp;", below the "&amp;Lookup_Lists!$D$161&amp;"-point consideration threshold"&amp;IF(Matching_Engine!$AF$48=0," · Brand Personality Fit could not be scored at all: no creator personality, tone, values or content-style column exists","")&amp;IF(Matching_Engine!$AI$48="N/A"," · posting cadence unusable, so Consistency is excluded from Performance","")&amp;".","No component falls below the "&amp;Lookup_Lists!$D$161&amp;"-point consideration threshold."))</f>
      </c>
      <c r="J48" s="32">
        <f>Matching_Engine!$AV$48&amp;" — "&amp;Matching_Engine!$AW$48&amp;IF(Matching_Engine!$BB$48="Limited Data"," Confidence is Limited Data: "&amp;Matching_Engine!$BA$48&amp;"% of tracked fields carry a value.","")</f>
      </c>
      <c r="K48" s="32">
        <f>IF(NOT(ISNUMBER(Matching_Engine!$AY$48)),"Do not shortlist on this data — re-scrape the account first.",IF(Matching_Engine!$AY$48&gt;=Lookup_Lists!$D$156,"Highly Recommended",IF(Matching_Engine!$AY$48&gt;=Lookup_Lists!$D$157,"Recommended",IF(Matching_Engine!$AY$48&gt;=Lookup_Lists!$D$158,"Consider","Low Priority")))&amp;IF(Matching_Engine!$AX$48&lt;100," (on partial data)",""))</f>
      </c>
      <c r="L48" s="34">
        <f>IF(ISNUMBER(Matching_Engine!$M$48),Matching_Engine!$M$48,-1)</f>
      </c>
      <c r="M48" s="34">
        <f>IF(ISNUMBER(Matching_Engine!$S$48),Matching_Engine!$S$48,-1)</f>
      </c>
      <c r="N48" s="34">
        <f>IF(ISNUMBER(Matching_Engine!$Y$48),Matching_Engine!$Y$48,-1)</f>
      </c>
      <c r="O48" s="34">
        <f>IF(ISNUMBER(Matching_Engine!$AE$48),Matching_Engine!$AE$48,-1)</f>
      </c>
      <c r="P48" s="34">
        <f>IF(ISNUMBER(Matching_Engine!$AM$48),Matching_Engine!$AM$48,-1)</f>
      </c>
      <c r="Q48" s="34">
        <f>IF(ISNUMBER(Matching_Engine!$AT$48),Matching_Engine!$AT$48,-1)</f>
      </c>
      <c r="R48" s="34">
        <f>MAX($L$48:$Q$48)</f>
      </c>
      <c r="S48" s="32">
        <f>INDEX({"Brand &amp; Business Relevance","Target Audience Relevance","Content &amp; Category Relevance","Brand Personality Fit","Performance Quality","Brand Safety"},MATCH($R$48,$L$48:$Q$48,0))</f>
      </c>
      <c r="T48" s="34">
        <f>IF(ISNUMBER(Matching_Engine!$M$48),Matching_Engine!$M$48,999)</f>
      </c>
      <c r="U48" s="34">
        <f>IF(ISNUMBER(Matching_Engine!$S$48),Matching_Engine!$S$48,999)</f>
      </c>
      <c r="V48" s="34">
        <f>IF(ISNUMBER(Matching_Engine!$Y$48),Matching_Engine!$Y$48,999)</f>
      </c>
      <c r="W48" s="34">
        <f>IF(ISNUMBER(Matching_Engine!$AE$48),Matching_Engine!$AE$48,999)</f>
      </c>
      <c r="X48" s="34">
        <f>IF(ISNUMBER(Matching_Engine!$AM$48),Matching_Engine!$AM$48,999)</f>
      </c>
      <c r="Y48" s="34">
        <f>IF(ISNUMBER(Matching_Engine!$AT$48),Matching_Engine!$AT$48,999)</f>
      </c>
      <c r="Z48" s="34">
        <f>MIN($T$48:$Y$48)</f>
      </c>
      <c r="AA48" s="32">
        <f>INDEX({"Brand &amp; Business Relevance","Target Audience Relevance","Content &amp; Category Relevance","Brand Personality Fit","Performance Quality","Brand Safety"},MATCH($Z$48,$T$48:$Y$48,0))</f>
      </c>
    </row>
    <row r="49" spans="1:27" x14ac:dyDescent="0.25">
      <c r="A49" s="32">
        <f>Matching_Engine!$B$49</f>
      </c>
      <c r="B49" s="32">
        <f>Matching_Engine!$D$49</f>
      </c>
      <c r="C49" s="32">
        <f>Matching_Engine!$E$49</f>
      </c>
      <c r="D49" s="33">
        <f>Matching_Engine!$AY$49</f>
      </c>
      <c r="E49" s="32">
        <f>Matching_Engine!$AZ$49</f>
      </c>
      <c r="F49" s="32">
        <f>IF(NOT(ISNUMBER(Matching_Engine!$AY$49)),"Not scored: no component of the model had data for this account, so no match can be claimed either way.",Matching_Engine!$AZ$49&amp;" — "&amp;Matching_Engine!$AY$49&amp;"/100 against "&amp;Matching_Engine!$B$49&amp;". "&amp;"Strongest factor "&amp;$S$49&amp;" at "&amp;$R$49&amp;"; weakest "&amp;$AA$49&amp;" at "&amp;$Z$49&amp;". "&amp;IF(AND(ISTEXT(Matching_Engine!$G$49),Matching_Engine!$G$49&lt;&gt;"N/A"),"Tagged category "&amp;Matching_Engine!$G$49&amp;" scores "&amp;IF(ISNUMBER(Matching_Engine!$J$49),Matching_Engine!$J$49,0)&amp;" against the brand category "&amp;Matching_Engine!$B$49&amp;" targets. ","Creator carries no category on record, so the category-driven parts fall back to neutral rather than penalising the creator. ")&amp;IF(ISNUMBER(Matching_Engine!$R$49),"Audience-interest overlap "&amp;Matching_Engine!$R$49&amp;". ","Audience interests unmeasured. ")&amp;IF(Matching_Engine!$AX$49&lt;100,"Scored on "&amp;Matching_Engine!$AX$49&amp;" of the 100 nominal weight points; the rest had no data.",""))</f>
      </c>
      <c r="G49" s="32">
        <f>IF(NOT(ISNUMBER(Matching_Engine!$AY$49)),"N/A",$S$49&amp;" ("&amp;$R$49&amp;"/100)")</f>
      </c>
      <c r="H49" s="32">
        <f>IF(NOT(ISNUMBER(Matching_Engine!$AY$49)),"N/A",$AA$49&amp;" ("&amp;$Z$49&amp;"/100)")</f>
      </c>
      <c r="I49" s="32">
        <f>IF(NOT(ISNUMBER(Matching_Engine!$AY$49)),"No data to consider: this account has no measured signal.",IF($Z$49&lt;Lookup_Lists!$D$161,$AA$49&amp;" sits at "&amp;$Z$49&amp;", below the "&amp;Lookup_Lists!$D$161&amp;"-point consideration threshold"&amp;IF(Matching_Engine!$AF$49=0," · Brand Personality Fit could not be scored at all: no creator personality, tone, values or content-style column exists","")&amp;IF(Matching_Engine!$AI$49="N/A"," · posting cadence unusable, so Consistency is excluded from Performance","")&amp;".","No component falls below the "&amp;Lookup_Lists!$D$161&amp;"-point consideration threshold."))</f>
      </c>
      <c r="J49" s="32">
        <f>Matching_Engine!$AV$49&amp;" — "&amp;Matching_Engine!$AW$49&amp;IF(Matching_Engine!$BB$49="Limited Data"," Confidence is Limited Data: "&amp;Matching_Engine!$BA$49&amp;"% of tracked fields carry a value.","")</f>
      </c>
      <c r="K49" s="32">
        <f>IF(NOT(ISNUMBER(Matching_Engine!$AY$49)),"Do not shortlist on this data — re-scrape the account first.",IF(Matching_Engine!$AY$49&gt;=Lookup_Lists!$D$156,"Highly Recommended",IF(Matching_Engine!$AY$49&gt;=Lookup_Lists!$D$157,"Recommended",IF(Matching_Engine!$AY$49&gt;=Lookup_Lists!$D$158,"Consider","Low Priority")))&amp;IF(Matching_Engine!$AX$49&lt;100," (on partial data)",""))</f>
      </c>
      <c r="L49" s="34">
        <f>IF(ISNUMBER(Matching_Engine!$M$49),Matching_Engine!$M$49,-1)</f>
      </c>
      <c r="M49" s="34">
        <f>IF(ISNUMBER(Matching_Engine!$S$49),Matching_Engine!$S$49,-1)</f>
      </c>
      <c r="N49" s="34">
        <f>IF(ISNUMBER(Matching_Engine!$Y$49),Matching_Engine!$Y$49,-1)</f>
      </c>
      <c r="O49" s="34">
        <f>IF(ISNUMBER(Matching_Engine!$AE$49),Matching_Engine!$AE$49,-1)</f>
      </c>
      <c r="P49" s="34">
        <f>IF(ISNUMBER(Matching_Engine!$AM$49),Matching_Engine!$AM$49,-1)</f>
      </c>
      <c r="Q49" s="34">
        <f>IF(ISNUMBER(Matching_Engine!$AT$49),Matching_Engine!$AT$49,-1)</f>
      </c>
      <c r="R49" s="34">
        <f>MAX($L$49:$Q$49)</f>
      </c>
      <c r="S49" s="32">
        <f>INDEX({"Brand &amp; Business Relevance","Target Audience Relevance","Content &amp; Category Relevance","Brand Personality Fit","Performance Quality","Brand Safety"},MATCH($R$49,$L$49:$Q$49,0))</f>
      </c>
      <c r="T49" s="34">
        <f>IF(ISNUMBER(Matching_Engine!$M$49),Matching_Engine!$M$49,999)</f>
      </c>
      <c r="U49" s="34">
        <f>IF(ISNUMBER(Matching_Engine!$S$49),Matching_Engine!$S$49,999)</f>
      </c>
      <c r="V49" s="34">
        <f>IF(ISNUMBER(Matching_Engine!$Y$49),Matching_Engine!$Y$49,999)</f>
      </c>
      <c r="W49" s="34">
        <f>IF(ISNUMBER(Matching_Engine!$AE$49),Matching_Engine!$AE$49,999)</f>
      </c>
      <c r="X49" s="34">
        <f>IF(ISNUMBER(Matching_Engine!$AM$49),Matching_Engine!$AM$49,999)</f>
      </c>
      <c r="Y49" s="34">
        <f>IF(ISNUMBER(Matching_Engine!$AT$49),Matching_Engine!$AT$49,999)</f>
      </c>
      <c r="Z49" s="34">
        <f>MIN($T$49:$Y$49)</f>
      </c>
      <c r="AA49" s="32">
        <f>INDEX({"Brand &amp; Business Relevance","Target Audience Relevance","Content &amp; Category Relevance","Brand Personality Fit","Performance Quality","Brand Safety"},MATCH($Z$49,$T$49:$Y$49,0))</f>
      </c>
    </row>
    <row r="50" spans="1:27" x14ac:dyDescent="0.25">
      <c r="A50" s="32">
        <f>Matching_Engine!$B$50</f>
      </c>
      <c r="B50" s="32">
        <f>Matching_Engine!$D$50</f>
      </c>
      <c r="C50" s="32">
        <f>Matching_Engine!$E$50</f>
      </c>
      <c r="D50" s="33">
        <f>Matching_Engine!$AY$50</f>
      </c>
      <c r="E50" s="32">
        <f>Matching_Engine!$AZ$50</f>
      </c>
      <c r="F50" s="32">
        <f>IF(NOT(ISNUMBER(Matching_Engine!$AY$50)),"Not scored: no component of the model had data for this account, so no match can be claimed either way.",Matching_Engine!$AZ$50&amp;" — "&amp;Matching_Engine!$AY$50&amp;"/100 against "&amp;Matching_Engine!$B$50&amp;". "&amp;"Strongest factor "&amp;$S$50&amp;" at "&amp;$R$50&amp;"; weakest "&amp;$AA$50&amp;" at "&amp;$Z$50&amp;". "&amp;IF(AND(ISTEXT(Matching_Engine!$G$50),Matching_Engine!$G$50&lt;&gt;"N/A"),"Tagged category "&amp;Matching_Engine!$G$50&amp;" scores "&amp;IF(ISNUMBER(Matching_Engine!$J$50),Matching_Engine!$J$50,0)&amp;" against the brand category "&amp;Matching_Engine!$B$50&amp;" targets. ","Creator carries no category on record, so the category-driven parts fall back to neutral rather than penalising the creator. ")&amp;IF(ISNUMBER(Matching_Engine!$R$50),"Audience-interest overlap "&amp;Matching_Engine!$R$50&amp;". ","Audience interests unmeasured. ")&amp;IF(Matching_Engine!$AX$50&lt;100,"Scored on "&amp;Matching_Engine!$AX$50&amp;" of the 100 nominal weight points; the rest had no data.",""))</f>
      </c>
      <c r="G50" s="32">
        <f>IF(NOT(ISNUMBER(Matching_Engine!$AY$50)),"N/A",$S$50&amp;" ("&amp;$R$50&amp;"/100)")</f>
      </c>
      <c r="H50" s="32">
        <f>IF(NOT(ISNUMBER(Matching_Engine!$AY$50)),"N/A",$AA$50&amp;" ("&amp;$Z$50&amp;"/100)")</f>
      </c>
      <c r="I50" s="32">
        <f>IF(NOT(ISNUMBER(Matching_Engine!$AY$50)),"No data to consider: this account has no measured signal.",IF($Z$50&lt;Lookup_Lists!$D$161,$AA$50&amp;" sits at "&amp;$Z$50&amp;", below the "&amp;Lookup_Lists!$D$161&amp;"-point consideration threshold"&amp;IF(Matching_Engine!$AF$50=0," · Brand Personality Fit could not be scored at all: no creator personality, tone, values or content-style column exists","")&amp;IF(Matching_Engine!$AI$50="N/A"," · posting cadence unusable, so Consistency is excluded from Performance","")&amp;".","No component falls below the "&amp;Lookup_Lists!$D$161&amp;"-point consideration threshold."))</f>
      </c>
      <c r="J50" s="32">
        <f>Matching_Engine!$AV$50&amp;" — "&amp;Matching_Engine!$AW$50&amp;IF(Matching_Engine!$BB$50="Limited Data"," Confidence is Limited Data: "&amp;Matching_Engine!$BA$50&amp;"% of tracked fields carry a value.","")</f>
      </c>
      <c r="K50" s="32">
        <f>IF(NOT(ISNUMBER(Matching_Engine!$AY$50)),"Do not shortlist on this data — re-scrape the account first.",IF(Matching_Engine!$AY$50&gt;=Lookup_Lists!$D$156,"Highly Recommended",IF(Matching_Engine!$AY$50&gt;=Lookup_Lists!$D$157,"Recommended",IF(Matching_Engine!$AY$50&gt;=Lookup_Lists!$D$158,"Consider","Low Priority")))&amp;IF(Matching_Engine!$AX$50&lt;100," (on partial data)",""))</f>
      </c>
      <c r="L50" s="34">
        <f>IF(ISNUMBER(Matching_Engine!$M$50),Matching_Engine!$M$50,-1)</f>
      </c>
      <c r="M50" s="34">
        <f>IF(ISNUMBER(Matching_Engine!$S$50),Matching_Engine!$S$50,-1)</f>
      </c>
      <c r="N50" s="34">
        <f>IF(ISNUMBER(Matching_Engine!$Y$50),Matching_Engine!$Y$50,-1)</f>
      </c>
      <c r="O50" s="34">
        <f>IF(ISNUMBER(Matching_Engine!$AE$50),Matching_Engine!$AE$50,-1)</f>
      </c>
      <c r="P50" s="34">
        <f>IF(ISNUMBER(Matching_Engine!$AM$50),Matching_Engine!$AM$50,-1)</f>
      </c>
      <c r="Q50" s="34">
        <f>IF(ISNUMBER(Matching_Engine!$AT$50),Matching_Engine!$AT$50,-1)</f>
      </c>
      <c r="R50" s="34">
        <f>MAX($L$50:$Q$50)</f>
      </c>
      <c r="S50" s="32">
        <f>INDEX({"Brand &amp; Business Relevance","Target Audience Relevance","Content &amp; Category Relevance","Brand Personality Fit","Performance Quality","Brand Safety"},MATCH($R$50,$L$50:$Q$50,0))</f>
      </c>
      <c r="T50" s="34">
        <f>IF(ISNUMBER(Matching_Engine!$M$50),Matching_Engine!$M$50,999)</f>
      </c>
      <c r="U50" s="34">
        <f>IF(ISNUMBER(Matching_Engine!$S$50),Matching_Engine!$S$50,999)</f>
      </c>
      <c r="V50" s="34">
        <f>IF(ISNUMBER(Matching_Engine!$Y$50),Matching_Engine!$Y$50,999)</f>
      </c>
      <c r="W50" s="34">
        <f>IF(ISNUMBER(Matching_Engine!$AE$50),Matching_Engine!$AE$50,999)</f>
      </c>
      <c r="X50" s="34">
        <f>IF(ISNUMBER(Matching_Engine!$AM$50),Matching_Engine!$AM$50,999)</f>
      </c>
      <c r="Y50" s="34">
        <f>IF(ISNUMBER(Matching_Engine!$AT$50),Matching_Engine!$AT$50,999)</f>
      </c>
      <c r="Z50" s="34">
        <f>MIN($T$50:$Y$50)</f>
      </c>
      <c r="AA50" s="32">
        <f>INDEX({"Brand &amp; Business Relevance","Target Audience Relevance","Content &amp; Category Relevance","Brand Personality Fit","Performance Quality","Brand Safety"},MATCH($Z$50,$T$50:$Y$50,0))</f>
      </c>
    </row>
    <row r="51" spans="1:27" x14ac:dyDescent="0.25">
      <c r="A51" s="32">
        <f>Matching_Engine!$B$51</f>
      </c>
      <c r="B51" s="32">
        <f>Matching_Engine!$D$51</f>
      </c>
      <c r="C51" s="32">
        <f>Matching_Engine!$E$51</f>
      </c>
      <c r="D51" s="33">
        <f>Matching_Engine!$AY$51</f>
      </c>
      <c r="E51" s="32">
        <f>Matching_Engine!$AZ$51</f>
      </c>
      <c r="F51" s="32">
        <f>IF(NOT(ISNUMBER(Matching_Engine!$AY$51)),"Not scored: no component of the model had data for this account, so no match can be claimed either way.",Matching_Engine!$AZ$51&amp;" — "&amp;Matching_Engine!$AY$51&amp;"/100 against "&amp;Matching_Engine!$B$51&amp;". "&amp;"Strongest factor "&amp;$S$51&amp;" at "&amp;$R$51&amp;"; weakest "&amp;$AA$51&amp;" at "&amp;$Z$51&amp;". "&amp;IF(AND(ISTEXT(Matching_Engine!$G$51),Matching_Engine!$G$51&lt;&gt;"N/A"),"Tagged category "&amp;Matching_Engine!$G$51&amp;" scores "&amp;IF(ISNUMBER(Matching_Engine!$J$51),Matching_Engine!$J$51,0)&amp;" against the brand category "&amp;Matching_Engine!$B$51&amp;" targets. ","Creator carries no category on record, so the category-driven parts fall back to neutral rather than penalising the creator. ")&amp;IF(ISNUMBER(Matching_Engine!$R$51),"Audience-interest overlap "&amp;Matching_Engine!$R$51&amp;". ","Audience interests unmeasured. ")&amp;IF(Matching_Engine!$AX$51&lt;100,"Scored on "&amp;Matching_Engine!$AX$51&amp;" of the 100 nominal weight points; the rest had no data.",""))</f>
      </c>
      <c r="G51" s="32">
        <f>IF(NOT(ISNUMBER(Matching_Engine!$AY$51)),"N/A",$S$51&amp;" ("&amp;$R$51&amp;"/100)")</f>
      </c>
      <c r="H51" s="32">
        <f>IF(NOT(ISNUMBER(Matching_Engine!$AY$51)),"N/A",$AA$51&amp;" ("&amp;$Z$51&amp;"/100)")</f>
      </c>
      <c r="I51" s="32">
        <f>IF(NOT(ISNUMBER(Matching_Engine!$AY$51)),"No data to consider: this account has no measured signal.",IF($Z$51&lt;Lookup_Lists!$D$161,$AA$51&amp;" sits at "&amp;$Z$51&amp;", below the "&amp;Lookup_Lists!$D$161&amp;"-point consideration threshold"&amp;IF(Matching_Engine!$AF$51=0," · Brand Personality Fit could not be scored at all: no creator personality, tone, values or content-style column exists","")&amp;IF(Matching_Engine!$AI$51="N/A"," · posting cadence unusable, so Consistency is excluded from Performance","")&amp;".","No component falls below the "&amp;Lookup_Lists!$D$161&amp;"-point consideration threshold."))</f>
      </c>
      <c r="J51" s="32">
        <f>Matching_Engine!$AV$51&amp;" — "&amp;Matching_Engine!$AW$51&amp;IF(Matching_Engine!$BB$51="Limited Data"," Confidence is Limited Data: "&amp;Matching_Engine!$BA$51&amp;"% of tracked fields carry a value.","")</f>
      </c>
      <c r="K51" s="32">
        <f>IF(NOT(ISNUMBER(Matching_Engine!$AY$51)),"Do not shortlist on this data — re-scrape the account first.",IF(Matching_Engine!$AY$51&gt;=Lookup_Lists!$D$156,"Highly Recommended",IF(Matching_Engine!$AY$51&gt;=Lookup_Lists!$D$157,"Recommended",IF(Matching_Engine!$AY$51&gt;=Lookup_Lists!$D$158,"Consider","Low Priority")))&amp;IF(Matching_Engine!$AX$51&lt;100," (on partial data)",""))</f>
      </c>
      <c r="L51" s="34">
        <f>IF(ISNUMBER(Matching_Engine!$M$51),Matching_Engine!$M$51,-1)</f>
      </c>
      <c r="M51" s="34">
        <f>IF(ISNUMBER(Matching_Engine!$S$51),Matching_Engine!$S$51,-1)</f>
      </c>
      <c r="N51" s="34">
        <f>IF(ISNUMBER(Matching_Engine!$Y$51),Matching_Engine!$Y$51,-1)</f>
      </c>
      <c r="O51" s="34">
        <f>IF(ISNUMBER(Matching_Engine!$AE$51),Matching_Engine!$AE$51,-1)</f>
      </c>
      <c r="P51" s="34">
        <f>IF(ISNUMBER(Matching_Engine!$AM$51),Matching_Engine!$AM$51,-1)</f>
      </c>
      <c r="Q51" s="34">
        <f>IF(ISNUMBER(Matching_Engine!$AT$51),Matching_Engine!$AT$51,-1)</f>
      </c>
      <c r="R51" s="34">
        <f>MAX($L$51:$Q$51)</f>
      </c>
      <c r="S51" s="32">
        <f>INDEX({"Brand &amp; Business Relevance","Target Audience Relevance","Content &amp; Category Relevance","Brand Personality Fit","Performance Quality","Brand Safety"},MATCH($R$51,$L$51:$Q$51,0))</f>
      </c>
      <c r="T51" s="34">
        <f>IF(ISNUMBER(Matching_Engine!$M$51),Matching_Engine!$M$51,999)</f>
      </c>
      <c r="U51" s="34">
        <f>IF(ISNUMBER(Matching_Engine!$S$51),Matching_Engine!$S$51,999)</f>
      </c>
      <c r="V51" s="34">
        <f>IF(ISNUMBER(Matching_Engine!$Y$51),Matching_Engine!$Y$51,999)</f>
      </c>
      <c r="W51" s="34">
        <f>IF(ISNUMBER(Matching_Engine!$AE$51),Matching_Engine!$AE$51,999)</f>
      </c>
      <c r="X51" s="34">
        <f>IF(ISNUMBER(Matching_Engine!$AM$51),Matching_Engine!$AM$51,999)</f>
      </c>
      <c r="Y51" s="34">
        <f>IF(ISNUMBER(Matching_Engine!$AT$51),Matching_Engine!$AT$51,999)</f>
      </c>
      <c r="Z51" s="34">
        <f>MIN($T$51:$Y$51)</f>
      </c>
      <c r="AA51" s="32">
        <f>INDEX({"Brand &amp; Business Relevance","Target Audience Relevance","Content &amp; Category Relevance","Brand Personality Fit","Performance Quality","Brand Safety"},MATCH($Z$51,$T$51:$Y$51,0))</f>
      </c>
    </row>
    <row r="52" spans="1:27" x14ac:dyDescent="0.25">
      <c r="A52" s="32">
        <f>Matching_Engine!$B$52</f>
      </c>
      <c r="B52" s="32">
        <f>Matching_Engine!$D$52</f>
      </c>
      <c r="C52" s="32">
        <f>Matching_Engine!$E$52</f>
      </c>
      <c r="D52" s="33">
        <f>Matching_Engine!$AY$52</f>
      </c>
      <c r="E52" s="32">
        <f>Matching_Engine!$AZ$52</f>
      </c>
      <c r="F52" s="32">
        <f>IF(NOT(ISNUMBER(Matching_Engine!$AY$52)),"Not scored: no component of the model had data for this account, so no match can be claimed either way.",Matching_Engine!$AZ$52&amp;" — "&amp;Matching_Engine!$AY$52&amp;"/100 against "&amp;Matching_Engine!$B$52&amp;". "&amp;"Strongest factor "&amp;$S$52&amp;" at "&amp;$R$52&amp;"; weakest "&amp;$AA$52&amp;" at "&amp;$Z$52&amp;". "&amp;IF(AND(ISTEXT(Matching_Engine!$G$52),Matching_Engine!$G$52&lt;&gt;"N/A"),"Tagged category "&amp;Matching_Engine!$G$52&amp;" scores "&amp;IF(ISNUMBER(Matching_Engine!$J$52),Matching_Engine!$J$52,0)&amp;" against the brand category "&amp;Matching_Engine!$B$52&amp;" targets. ","Creator carries no category on record, so the category-driven parts fall back to neutral rather than penalising the creator. ")&amp;IF(ISNUMBER(Matching_Engine!$R$52),"Audience-interest overlap "&amp;Matching_Engine!$R$52&amp;". ","Audience interests unmeasured. ")&amp;IF(Matching_Engine!$AX$52&lt;100,"Scored on "&amp;Matching_Engine!$AX$52&amp;" of the 100 nominal weight points; the rest had no data.",""))</f>
      </c>
      <c r="G52" s="32">
        <f>IF(NOT(ISNUMBER(Matching_Engine!$AY$52)),"N/A",$S$52&amp;" ("&amp;$R$52&amp;"/100)")</f>
      </c>
      <c r="H52" s="32">
        <f>IF(NOT(ISNUMBER(Matching_Engine!$AY$52)),"N/A",$AA$52&amp;" ("&amp;$Z$52&amp;"/100)")</f>
      </c>
      <c r="I52" s="32">
        <f>IF(NOT(ISNUMBER(Matching_Engine!$AY$52)),"No data to consider: this account has no measured signal.",IF($Z$52&lt;Lookup_Lists!$D$161,$AA$52&amp;" sits at "&amp;$Z$52&amp;", below the "&amp;Lookup_Lists!$D$161&amp;"-point consideration threshold"&amp;IF(Matching_Engine!$AF$52=0," · Brand Personality Fit could not be scored at all: no creator personality, tone, values or content-style column exists","")&amp;IF(Matching_Engine!$AI$52="N/A"," · posting cadence unusable, so Consistency is excluded from Performance","")&amp;".","No component falls below the "&amp;Lookup_Lists!$D$161&amp;"-point consideration threshold."))</f>
      </c>
      <c r="J52" s="32">
        <f>Matching_Engine!$AV$52&amp;" — "&amp;Matching_Engine!$AW$52&amp;IF(Matching_Engine!$BB$52="Limited Data"," Confidence is Limited Data: "&amp;Matching_Engine!$BA$52&amp;"% of tracked fields carry a value.","")</f>
      </c>
      <c r="K52" s="32">
        <f>IF(NOT(ISNUMBER(Matching_Engine!$AY$52)),"Do not shortlist on this data — re-scrape the account first.",IF(Matching_Engine!$AY$52&gt;=Lookup_Lists!$D$156,"Highly Recommended",IF(Matching_Engine!$AY$52&gt;=Lookup_Lists!$D$157,"Recommended",IF(Matching_Engine!$AY$52&gt;=Lookup_Lists!$D$158,"Consider","Low Priority")))&amp;IF(Matching_Engine!$AX$52&lt;100," (on partial data)",""))</f>
      </c>
      <c r="L52" s="34">
        <f>IF(ISNUMBER(Matching_Engine!$M$52),Matching_Engine!$M$52,-1)</f>
      </c>
      <c r="M52" s="34">
        <f>IF(ISNUMBER(Matching_Engine!$S$52),Matching_Engine!$S$52,-1)</f>
      </c>
      <c r="N52" s="34">
        <f>IF(ISNUMBER(Matching_Engine!$Y$52),Matching_Engine!$Y$52,-1)</f>
      </c>
      <c r="O52" s="34">
        <f>IF(ISNUMBER(Matching_Engine!$AE$52),Matching_Engine!$AE$52,-1)</f>
      </c>
      <c r="P52" s="34">
        <f>IF(ISNUMBER(Matching_Engine!$AM$52),Matching_Engine!$AM$52,-1)</f>
      </c>
      <c r="Q52" s="34">
        <f>IF(ISNUMBER(Matching_Engine!$AT$52),Matching_Engine!$AT$52,-1)</f>
      </c>
      <c r="R52" s="34">
        <f>MAX($L$52:$Q$52)</f>
      </c>
      <c r="S52" s="32">
        <f>INDEX({"Brand &amp; Business Relevance","Target Audience Relevance","Content &amp; Category Relevance","Brand Personality Fit","Performance Quality","Brand Safety"},MATCH($R$52,$L$52:$Q$52,0))</f>
      </c>
      <c r="T52" s="34">
        <f>IF(ISNUMBER(Matching_Engine!$M$52),Matching_Engine!$M$52,999)</f>
      </c>
      <c r="U52" s="34">
        <f>IF(ISNUMBER(Matching_Engine!$S$52),Matching_Engine!$S$52,999)</f>
      </c>
      <c r="V52" s="34">
        <f>IF(ISNUMBER(Matching_Engine!$Y$52),Matching_Engine!$Y$52,999)</f>
      </c>
      <c r="W52" s="34">
        <f>IF(ISNUMBER(Matching_Engine!$AE$52),Matching_Engine!$AE$52,999)</f>
      </c>
      <c r="X52" s="34">
        <f>IF(ISNUMBER(Matching_Engine!$AM$52),Matching_Engine!$AM$52,999)</f>
      </c>
      <c r="Y52" s="34">
        <f>IF(ISNUMBER(Matching_Engine!$AT$52),Matching_Engine!$AT$52,999)</f>
      </c>
      <c r="Z52" s="34">
        <f>MIN($T$52:$Y$52)</f>
      </c>
      <c r="AA52" s="32">
        <f>INDEX({"Brand &amp; Business Relevance","Target Audience Relevance","Content &amp; Category Relevance","Brand Personality Fit","Performance Quality","Brand Safety"},MATCH($Z$52,$T$52:$Y$52,0))</f>
      </c>
    </row>
    <row r="53" spans="1:27" x14ac:dyDescent="0.25">
      <c r="A53" s="32">
        <f>Matching_Engine!$B$53</f>
      </c>
      <c r="B53" s="32">
        <f>Matching_Engine!$D$53</f>
      </c>
      <c r="C53" s="32">
        <f>Matching_Engine!$E$53</f>
      </c>
      <c r="D53" s="33">
        <f>Matching_Engine!$AY$53</f>
      </c>
      <c r="E53" s="32">
        <f>Matching_Engine!$AZ$53</f>
      </c>
      <c r="F53" s="32">
        <f>IF(NOT(ISNUMBER(Matching_Engine!$AY$53)),"Not scored: no component of the model had data for this account, so no match can be claimed either way.",Matching_Engine!$AZ$53&amp;" — "&amp;Matching_Engine!$AY$53&amp;"/100 against "&amp;Matching_Engine!$B$53&amp;". "&amp;"Strongest factor "&amp;$S$53&amp;" at "&amp;$R$53&amp;"; weakest "&amp;$AA$53&amp;" at "&amp;$Z$53&amp;". "&amp;IF(AND(ISTEXT(Matching_Engine!$G$53),Matching_Engine!$G$53&lt;&gt;"N/A"),"Tagged category "&amp;Matching_Engine!$G$53&amp;" scores "&amp;IF(ISNUMBER(Matching_Engine!$J$53),Matching_Engine!$J$53,0)&amp;" against the brand category "&amp;Matching_Engine!$B$53&amp;" targets. ","Creator carries no category on record, so the category-driven parts fall back to neutral rather than penalising the creator. ")&amp;IF(ISNUMBER(Matching_Engine!$R$53),"Audience-interest overlap "&amp;Matching_Engine!$R$53&amp;". ","Audience interests unmeasured. ")&amp;IF(Matching_Engine!$AX$53&lt;100,"Scored on "&amp;Matching_Engine!$AX$53&amp;" of the 100 nominal weight points; the rest had no data.",""))</f>
      </c>
      <c r="G53" s="32">
        <f>IF(NOT(ISNUMBER(Matching_Engine!$AY$53)),"N/A",$S$53&amp;" ("&amp;$R$53&amp;"/100)")</f>
      </c>
      <c r="H53" s="32">
        <f>IF(NOT(ISNUMBER(Matching_Engine!$AY$53)),"N/A",$AA$53&amp;" ("&amp;$Z$53&amp;"/100)")</f>
      </c>
      <c r="I53" s="32">
        <f>IF(NOT(ISNUMBER(Matching_Engine!$AY$53)),"No data to consider: this account has no measured signal.",IF($Z$53&lt;Lookup_Lists!$D$161,$AA$53&amp;" sits at "&amp;$Z$53&amp;", below the "&amp;Lookup_Lists!$D$161&amp;"-point consideration threshold"&amp;IF(Matching_Engine!$AF$53=0," · Brand Personality Fit could not be scored at all: no creator personality, tone, values or content-style column exists","")&amp;IF(Matching_Engine!$AI$53="N/A"," · posting cadence unusable, so Consistency is excluded from Performance","")&amp;".","No component falls below the "&amp;Lookup_Lists!$D$161&amp;"-point consideration threshold."))</f>
      </c>
      <c r="J53" s="32">
        <f>Matching_Engine!$AV$53&amp;" — "&amp;Matching_Engine!$AW$53&amp;IF(Matching_Engine!$BB$53="Limited Data"," Confidence is Limited Data: "&amp;Matching_Engine!$BA$53&amp;"% of tracked fields carry a value.","")</f>
      </c>
      <c r="K53" s="32">
        <f>IF(NOT(ISNUMBER(Matching_Engine!$AY$53)),"Do not shortlist on this data — re-scrape the account first.",IF(Matching_Engine!$AY$53&gt;=Lookup_Lists!$D$156,"Highly Recommended",IF(Matching_Engine!$AY$53&gt;=Lookup_Lists!$D$157,"Recommended",IF(Matching_Engine!$AY$53&gt;=Lookup_Lists!$D$158,"Consider","Low Priority")))&amp;IF(Matching_Engine!$AX$53&lt;100," (on partial data)",""))</f>
      </c>
      <c r="L53" s="34">
        <f>IF(ISNUMBER(Matching_Engine!$M$53),Matching_Engine!$M$53,-1)</f>
      </c>
      <c r="M53" s="34">
        <f>IF(ISNUMBER(Matching_Engine!$S$53),Matching_Engine!$S$53,-1)</f>
      </c>
      <c r="N53" s="34">
        <f>IF(ISNUMBER(Matching_Engine!$Y$53),Matching_Engine!$Y$53,-1)</f>
      </c>
      <c r="O53" s="34">
        <f>IF(ISNUMBER(Matching_Engine!$AE$53),Matching_Engine!$AE$53,-1)</f>
      </c>
      <c r="P53" s="34">
        <f>IF(ISNUMBER(Matching_Engine!$AM$53),Matching_Engine!$AM$53,-1)</f>
      </c>
      <c r="Q53" s="34">
        <f>IF(ISNUMBER(Matching_Engine!$AT$53),Matching_Engine!$AT$53,-1)</f>
      </c>
      <c r="R53" s="34">
        <f>MAX($L$53:$Q$53)</f>
      </c>
      <c r="S53" s="32">
        <f>INDEX({"Brand &amp; Business Relevance","Target Audience Relevance","Content &amp; Category Relevance","Brand Personality Fit","Performance Quality","Brand Safety"},MATCH($R$53,$L$53:$Q$53,0))</f>
      </c>
      <c r="T53" s="34">
        <f>IF(ISNUMBER(Matching_Engine!$M$53),Matching_Engine!$M$53,999)</f>
      </c>
      <c r="U53" s="34">
        <f>IF(ISNUMBER(Matching_Engine!$S$53),Matching_Engine!$S$53,999)</f>
      </c>
      <c r="V53" s="34">
        <f>IF(ISNUMBER(Matching_Engine!$Y$53),Matching_Engine!$Y$53,999)</f>
      </c>
      <c r="W53" s="34">
        <f>IF(ISNUMBER(Matching_Engine!$AE$53),Matching_Engine!$AE$53,999)</f>
      </c>
      <c r="X53" s="34">
        <f>IF(ISNUMBER(Matching_Engine!$AM$53),Matching_Engine!$AM$53,999)</f>
      </c>
      <c r="Y53" s="34">
        <f>IF(ISNUMBER(Matching_Engine!$AT$53),Matching_Engine!$AT$53,999)</f>
      </c>
      <c r="Z53" s="34">
        <f>MIN($T$53:$Y$53)</f>
      </c>
      <c r="AA53" s="32">
        <f>INDEX({"Brand &amp; Business Relevance","Target Audience Relevance","Content &amp; Category Relevance","Brand Personality Fit","Performance Quality","Brand Safety"},MATCH($Z$53,$T$53:$Y$53,0))</f>
      </c>
    </row>
    <row r="54" spans="1:27" x14ac:dyDescent="0.25">
      <c r="A54" s="32">
        <f>Matching_Engine!$B$54</f>
      </c>
      <c r="B54" s="32">
        <f>Matching_Engine!$D$54</f>
      </c>
      <c r="C54" s="32">
        <f>Matching_Engine!$E$54</f>
      </c>
      <c r="D54" s="33">
        <f>Matching_Engine!$AY$54</f>
      </c>
      <c r="E54" s="32">
        <f>Matching_Engine!$AZ$54</f>
      </c>
      <c r="F54" s="32">
        <f>IF(NOT(ISNUMBER(Matching_Engine!$AY$54)),"Not scored: no component of the model had data for this account, so no match can be claimed either way.",Matching_Engine!$AZ$54&amp;" — "&amp;Matching_Engine!$AY$54&amp;"/100 against "&amp;Matching_Engine!$B$54&amp;". "&amp;"Strongest factor "&amp;$S$54&amp;" at "&amp;$R$54&amp;"; weakest "&amp;$AA$54&amp;" at "&amp;$Z$54&amp;". "&amp;IF(AND(ISTEXT(Matching_Engine!$G$54),Matching_Engine!$G$54&lt;&gt;"N/A"),"Tagged category "&amp;Matching_Engine!$G$54&amp;" scores "&amp;IF(ISNUMBER(Matching_Engine!$J$54),Matching_Engine!$J$54,0)&amp;" against the brand category "&amp;Matching_Engine!$B$54&amp;" targets. ","Creator carries no category on record, so the category-driven parts fall back to neutral rather than penalising the creator. ")&amp;IF(ISNUMBER(Matching_Engine!$R$54),"Audience-interest overlap "&amp;Matching_Engine!$R$54&amp;". ","Audience interests unmeasured. ")&amp;IF(Matching_Engine!$AX$54&lt;100,"Scored on "&amp;Matching_Engine!$AX$54&amp;" of the 100 nominal weight points; the rest had no data.",""))</f>
      </c>
      <c r="G54" s="32">
        <f>IF(NOT(ISNUMBER(Matching_Engine!$AY$54)),"N/A",$S$54&amp;" ("&amp;$R$54&amp;"/100)")</f>
      </c>
      <c r="H54" s="32">
        <f>IF(NOT(ISNUMBER(Matching_Engine!$AY$54)),"N/A",$AA$54&amp;" ("&amp;$Z$54&amp;"/100)")</f>
      </c>
      <c r="I54" s="32">
        <f>IF(NOT(ISNUMBER(Matching_Engine!$AY$54)),"No data to consider: this account has no measured signal.",IF($Z$54&lt;Lookup_Lists!$D$161,$AA$54&amp;" sits at "&amp;$Z$54&amp;", below the "&amp;Lookup_Lists!$D$161&amp;"-point consideration threshold"&amp;IF(Matching_Engine!$AF$54=0," · Brand Personality Fit could not be scored at all: no creator personality, tone, values or content-style column exists","")&amp;IF(Matching_Engine!$AI$54="N/A"," · posting cadence unusable, so Consistency is excluded from Performance","")&amp;".","No component falls below the "&amp;Lookup_Lists!$D$161&amp;"-point consideration threshold."))</f>
      </c>
      <c r="J54" s="32">
        <f>Matching_Engine!$AV$54&amp;" — "&amp;Matching_Engine!$AW$54&amp;IF(Matching_Engine!$BB$54="Limited Data"," Confidence is Limited Data: "&amp;Matching_Engine!$BA$54&amp;"% of tracked fields carry a value.","")</f>
      </c>
      <c r="K54" s="32">
        <f>IF(NOT(ISNUMBER(Matching_Engine!$AY$54)),"Do not shortlist on this data — re-scrape the account first.",IF(Matching_Engine!$AY$54&gt;=Lookup_Lists!$D$156,"Highly Recommended",IF(Matching_Engine!$AY$54&gt;=Lookup_Lists!$D$157,"Recommended",IF(Matching_Engine!$AY$54&gt;=Lookup_Lists!$D$158,"Consider","Low Priority")))&amp;IF(Matching_Engine!$AX$54&lt;100," (on partial data)",""))</f>
      </c>
      <c r="L54" s="34">
        <f>IF(ISNUMBER(Matching_Engine!$M$54),Matching_Engine!$M$54,-1)</f>
      </c>
      <c r="M54" s="34">
        <f>IF(ISNUMBER(Matching_Engine!$S$54),Matching_Engine!$S$54,-1)</f>
      </c>
      <c r="N54" s="34">
        <f>IF(ISNUMBER(Matching_Engine!$Y$54),Matching_Engine!$Y$54,-1)</f>
      </c>
      <c r="O54" s="34">
        <f>IF(ISNUMBER(Matching_Engine!$AE$54),Matching_Engine!$AE$54,-1)</f>
      </c>
      <c r="P54" s="34">
        <f>IF(ISNUMBER(Matching_Engine!$AM$54),Matching_Engine!$AM$54,-1)</f>
      </c>
      <c r="Q54" s="34">
        <f>IF(ISNUMBER(Matching_Engine!$AT$54),Matching_Engine!$AT$54,-1)</f>
      </c>
      <c r="R54" s="34">
        <f>MAX($L$54:$Q$54)</f>
      </c>
      <c r="S54" s="32">
        <f>INDEX({"Brand &amp; Business Relevance","Target Audience Relevance","Content &amp; Category Relevance","Brand Personality Fit","Performance Quality","Brand Safety"},MATCH($R$54,$L$54:$Q$54,0))</f>
      </c>
      <c r="T54" s="34">
        <f>IF(ISNUMBER(Matching_Engine!$M$54),Matching_Engine!$M$54,999)</f>
      </c>
      <c r="U54" s="34">
        <f>IF(ISNUMBER(Matching_Engine!$S$54),Matching_Engine!$S$54,999)</f>
      </c>
      <c r="V54" s="34">
        <f>IF(ISNUMBER(Matching_Engine!$Y$54),Matching_Engine!$Y$54,999)</f>
      </c>
      <c r="W54" s="34">
        <f>IF(ISNUMBER(Matching_Engine!$AE$54),Matching_Engine!$AE$54,999)</f>
      </c>
      <c r="X54" s="34">
        <f>IF(ISNUMBER(Matching_Engine!$AM$54),Matching_Engine!$AM$54,999)</f>
      </c>
      <c r="Y54" s="34">
        <f>IF(ISNUMBER(Matching_Engine!$AT$54),Matching_Engine!$AT$54,999)</f>
      </c>
      <c r="Z54" s="34">
        <f>MIN($T$54:$Y$54)</f>
      </c>
      <c r="AA54" s="32">
        <f>INDEX({"Brand &amp; Business Relevance","Target Audience Relevance","Content &amp; Category Relevance","Brand Personality Fit","Performance Quality","Brand Safety"},MATCH($Z$54,$T$54:$Y$54,0))</f>
      </c>
    </row>
    <row r="55" spans="1:27" x14ac:dyDescent="0.25">
      <c r="A55" s="32">
        <f>Matching_Engine!$B$55</f>
      </c>
      <c r="B55" s="32">
        <f>Matching_Engine!$D$55</f>
      </c>
      <c r="C55" s="32">
        <f>Matching_Engine!$E$55</f>
      </c>
      <c r="D55" s="33">
        <f>Matching_Engine!$AY$55</f>
      </c>
      <c r="E55" s="32">
        <f>Matching_Engine!$AZ$55</f>
      </c>
      <c r="F55" s="32">
        <f>IF(NOT(ISNUMBER(Matching_Engine!$AY$55)),"Not scored: no component of the model had data for this account, so no match can be claimed either way.",Matching_Engine!$AZ$55&amp;" — "&amp;Matching_Engine!$AY$55&amp;"/100 against "&amp;Matching_Engine!$B$55&amp;". "&amp;"Strongest factor "&amp;$S$55&amp;" at "&amp;$R$55&amp;"; weakest "&amp;$AA$55&amp;" at "&amp;$Z$55&amp;". "&amp;IF(AND(ISTEXT(Matching_Engine!$G$55),Matching_Engine!$G$55&lt;&gt;"N/A"),"Tagged category "&amp;Matching_Engine!$G$55&amp;" scores "&amp;IF(ISNUMBER(Matching_Engine!$J$55),Matching_Engine!$J$55,0)&amp;" against the brand category "&amp;Matching_Engine!$B$55&amp;" targets. ","Creator carries no category on record, so the category-driven parts fall back to neutral rather than penalising the creator. ")&amp;IF(ISNUMBER(Matching_Engine!$R$55),"Audience-interest overlap "&amp;Matching_Engine!$R$55&amp;". ","Audience interests unmeasured. ")&amp;IF(Matching_Engine!$AX$55&lt;100,"Scored on "&amp;Matching_Engine!$AX$55&amp;" of the 100 nominal weight points; the rest had no data.",""))</f>
      </c>
      <c r="G55" s="32">
        <f>IF(NOT(ISNUMBER(Matching_Engine!$AY$55)),"N/A",$S$55&amp;" ("&amp;$R$55&amp;"/100)")</f>
      </c>
      <c r="H55" s="32">
        <f>IF(NOT(ISNUMBER(Matching_Engine!$AY$55)),"N/A",$AA$55&amp;" ("&amp;$Z$55&amp;"/100)")</f>
      </c>
      <c r="I55" s="32">
        <f>IF(NOT(ISNUMBER(Matching_Engine!$AY$55)),"No data to consider: this account has no measured signal.",IF($Z$55&lt;Lookup_Lists!$D$161,$AA$55&amp;" sits at "&amp;$Z$55&amp;", below the "&amp;Lookup_Lists!$D$161&amp;"-point consideration threshold"&amp;IF(Matching_Engine!$AF$55=0," · Brand Personality Fit could not be scored at all: no creator personality, tone, values or content-style column exists","")&amp;IF(Matching_Engine!$AI$55="N/A"," · posting cadence unusable, so Consistency is excluded from Performance","")&amp;".","No component falls below the "&amp;Lookup_Lists!$D$161&amp;"-point consideration threshold."))</f>
      </c>
      <c r="J55" s="32">
        <f>Matching_Engine!$AV$55&amp;" — "&amp;Matching_Engine!$AW$55&amp;IF(Matching_Engine!$BB$55="Limited Data"," Confidence is Limited Data: "&amp;Matching_Engine!$BA$55&amp;"% of tracked fields carry a value.","")</f>
      </c>
      <c r="K55" s="32">
        <f>IF(NOT(ISNUMBER(Matching_Engine!$AY$55)),"Do not shortlist on this data — re-scrape the account first.",IF(Matching_Engine!$AY$55&gt;=Lookup_Lists!$D$156,"Highly Recommended",IF(Matching_Engine!$AY$55&gt;=Lookup_Lists!$D$157,"Recommended",IF(Matching_Engine!$AY$55&gt;=Lookup_Lists!$D$158,"Consider","Low Priority")))&amp;IF(Matching_Engine!$AX$55&lt;100," (on partial data)",""))</f>
      </c>
      <c r="L55" s="34">
        <f>IF(ISNUMBER(Matching_Engine!$M$55),Matching_Engine!$M$55,-1)</f>
      </c>
      <c r="M55" s="34">
        <f>IF(ISNUMBER(Matching_Engine!$S$55),Matching_Engine!$S$55,-1)</f>
      </c>
      <c r="N55" s="34">
        <f>IF(ISNUMBER(Matching_Engine!$Y$55),Matching_Engine!$Y$55,-1)</f>
      </c>
      <c r="O55" s="34">
        <f>IF(ISNUMBER(Matching_Engine!$AE$55),Matching_Engine!$AE$55,-1)</f>
      </c>
      <c r="P55" s="34">
        <f>IF(ISNUMBER(Matching_Engine!$AM$55),Matching_Engine!$AM$55,-1)</f>
      </c>
      <c r="Q55" s="34">
        <f>IF(ISNUMBER(Matching_Engine!$AT$55),Matching_Engine!$AT$55,-1)</f>
      </c>
      <c r="R55" s="34">
        <f>MAX($L$55:$Q$55)</f>
      </c>
      <c r="S55" s="32">
        <f>INDEX({"Brand &amp; Business Relevance","Target Audience Relevance","Content &amp; Category Relevance","Brand Personality Fit","Performance Quality","Brand Safety"},MATCH($R$55,$L$55:$Q$55,0))</f>
      </c>
      <c r="T55" s="34">
        <f>IF(ISNUMBER(Matching_Engine!$M$55),Matching_Engine!$M$55,999)</f>
      </c>
      <c r="U55" s="34">
        <f>IF(ISNUMBER(Matching_Engine!$S$55),Matching_Engine!$S$55,999)</f>
      </c>
      <c r="V55" s="34">
        <f>IF(ISNUMBER(Matching_Engine!$Y$55),Matching_Engine!$Y$55,999)</f>
      </c>
      <c r="W55" s="34">
        <f>IF(ISNUMBER(Matching_Engine!$AE$55),Matching_Engine!$AE$55,999)</f>
      </c>
      <c r="X55" s="34">
        <f>IF(ISNUMBER(Matching_Engine!$AM$55),Matching_Engine!$AM$55,999)</f>
      </c>
      <c r="Y55" s="34">
        <f>IF(ISNUMBER(Matching_Engine!$AT$55),Matching_Engine!$AT$55,999)</f>
      </c>
      <c r="Z55" s="34">
        <f>MIN($T$55:$Y$55)</f>
      </c>
      <c r="AA55" s="32">
        <f>INDEX({"Brand &amp; Business Relevance","Target Audience Relevance","Content &amp; Category Relevance","Brand Personality Fit","Performance Quality","Brand Safety"},MATCH($Z$55,$T$55:$Y$55,0))</f>
      </c>
    </row>
    <row r="56" spans="1:27" x14ac:dyDescent="0.25">
      <c r="A56" s="32">
        <f>Matching_Engine!$B$56</f>
      </c>
      <c r="B56" s="32">
        <f>Matching_Engine!$D$56</f>
      </c>
      <c r="C56" s="32">
        <f>Matching_Engine!$E$56</f>
      </c>
      <c r="D56" s="33">
        <f>Matching_Engine!$AY$56</f>
      </c>
      <c r="E56" s="32">
        <f>Matching_Engine!$AZ$56</f>
      </c>
      <c r="F56" s="32">
        <f>IF(NOT(ISNUMBER(Matching_Engine!$AY$56)),"Not scored: no component of the model had data for this account, so no match can be claimed either way.",Matching_Engine!$AZ$56&amp;" — "&amp;Matching_Engine!$AY$56&amp;"/100 against "&amp;Matching_Engine!$B$56&amp;". "&amp;"Strongest factor "&amp;$S$56&amp;" at "&amp;$R$56&amp;"; weakest "&amp;$AA$56&amp;" at "&amp;$Z$56&amp;". "&amp;IF(AND(ISTEXT(Matching_Engine!$G$56),Matching_Engine!$G$56&lt;&gt;"N/A"),"Tagged category "&amp;Matching_Engine!$G$56&amp;" scores "&amp;IF(ISNUMBER(Matching_Engine!$J$56),Matching_Engine!$J$56,0)&amp;" against the brand category "&amp;Matching_Engine!$B$56&amp;" targets. ","Creator carries no category on record, so the category-driven parts fall back to neutral rather than penalising the creator. ")&amp;IF(ISNUMBER(Matching_Engine!$R$56),"Audience-interest overlap "&amp;Matching_Engine!$R$56&amp;". ","Audience interests unmeasured. ")&amp;IF(Matching_Engine!$AX$56&lt;100,"Scored on "&amp;Matching_Engine!$AX$56&amp;" of the 100 nominal weight points; the rest had no data.",""))</f>
      </c>
      <c r="G56" s="32">
        <f>IF(NOT(ISNUMBER(Matching_Engine!$AY$56)),"N/A",$S$56&amp;" ("&amp;$R$56&amp;"/100)")</f>
      </c>
      <c r="H56" s="32">
        <f>IF(NOT(ISNUMBER(Matching_Engine!$AY$56)),"N/A",$AA$56&amp;" ("&amp;$Z$56&amp;"/100)")</f>
      </c>
      <c r="I56" s="32">
        <f>IF(NOT(ISNUMBER(Matching_Engine!$AY$56)),"No data to consider: this account has no measured signal.",IF($Z$56&lt;Lookup_Lists!$D$161,$AA$56&amp;" sits at "&amp;$Z$56&amp;", below the "&amp;Lookup_Lists!$D$161&amp;"-point consideration threshold"&amp;IF(Matching_Engine!$AF$56=0," · Brand Personality Fit could not be scored at all: no creator personality, tone, values or content-style column exists","")&amp;IF(Matching_Engine!$AI$56="N/A"," · posting cadence unusable, so Consistency is excluded from Performance","")&amp;".","No component falls below the "&amp;Lookup_Lists!$D$161&amp;"-point consideration threshold."))</f>
      </c>
      <c r="J56" s="32">
        <f>Matching_Engine!$AV$56&amp;" — "&amp;Matching_Engine!$AW$56&amp;IF(Matching_Engine!$BB$56="Limited Data"," Confidence is Limited Data: "&amp;Matching_Engine!$BA$56&amp;"% of tracked fields carry a value.","")</f>
      </c>
      <c r="K56" s="32">
        <f>IF(NOT(ISNUMBER(Matching_Engine!$AY$56)),"Do not shortlist on this data — re-scrape the account first.",IF(Matching_Engine!$AY$56&gt;=Lookup_Lists!$D$156,"Highly Recommended",IF(Matching_Engine!$AY$56&gt;=Lookup_Lists!$D$157,"Recommended",IF(Matching_Engine!$AY$56&gt;=Lookup_Lists!$D$158,"Consider","Low Priority")))&amp;IF(Matching_Engine!$AX$56&lt;100," (on partial data)",""))</f>
      </c>
      <c r="L56" s="34">
        <f>IF(ISNUMBER(Matching_Engine!$M$56),Matching_Engine!$M$56,-1)</f>
      </c>
      <c r="M56" s="34">
        <f>IF(ISNUMBER(Matching_Engine!$S$56),Matching_Engine!$S$56,-1)</f>
      </c>
      <c r="N56" s="34">
        <f>IF(ISNUMBER(Matching_Engine!$Y$56),Matching_Engine!$Y$56,-1)</f>
      </c>
      <c r="O56" s="34">
        <f>IF(ISNUMBER(Matching_Engine!$AE$56),Matching_Engine!$AE$56,-1)</f>
      </c>
      <c r="P56" s="34">
        <f>IF(ISNUMBER(Matching_Engine!$AM$56),Matching_Engine!$AM$56,-1)</f>
      </c>
      <c r="Q56" s="34">
        <f>IF(ISNUMBER(Matching_Engine!$AT$56),Matching_Engine!$AT$56,-1)</f>
      </c>
      <c r="R56" s="34">
        <f>MAX($L$56:$Q$56)</f>
      </c>
      <c r="S56" s="32">
        <f>INDEX({"Brand &amp; Business Relevance","Target Audience Relevance","Content &amp; Category Relevance","Brand Personality Fit","Performance Quality","Brand Safety"},MATCH($R$56,$L$56:$Q$56,0))</f>
      </c>
      <c r="T56" s="34">
        <f>IF(ISNUMBER(Matching_Engine!$M$56),Matching_Engine!$M$56,999)</f>
      </c>
      <c r="U56" s="34">
        <f>IF(ISNUMBER(Matching_Engine!$S$56),Matching_Engine!$S$56,999)</f>
      </c>
      <c r="V56" s="34">
        <f>IF(ISNUMBER(Matching_Engine!$Y$56),Matching_Engine!$Y$56,999)</f>
      </c>
      <c r="W56" s="34">
        <f>IF(ISNUMBER(Matching_Engine!$AE$56),Matching_Engine!$AE$56,999)</f>
      </c>
      <c r="X56" s="34">
        <f>IF(ISNUMBER(Matching_Engine!$AM$56),Matching_Engine!$AM$56,999)</f>
      </c>
      <c r="Y56" s="34">
        <f>IF(ISNUMBER(Matching_Engine!$AT$56),Matching_Engine!$AT$56,999)</f>
      </c>
      <c r="Z56" s="34">
        <f>MIN($T$56:$Y$56)</f>
      </c>
      <c r="AA56" s="32">
        <f>INDEX({"Brand &amp; Business Relevance","Target Audience Relevance","Content &amp; Category Relevance","Brand Personality Fit","Performance Quality","Brand Safety"},MATCH($Z$56,$T$56:$Y$56,0))</f>
      </c>
    </row>
    <row r="57" spans="1:27" x14ac:dyDescent="0.25">
      <c r="A57" s="32">
        <f>Matching_Engine!$B$57</f>
      </c>
      <c r="B57" s="32">
        <f>Matching_Engine!$D$57</f>
      </c>
      <c r="C57" s="32">
        <f>Matching_Engine!$E$57</f>
      </c>
      <c r="D57" s="33">
        <f>Matching_Engine!$AY$57</f>
      </c>
      <c r="E57" s="32">
        <f>Matching_Engine!$AZ$57</f>
      </c>
      <c r="F57" s="32">
        <f>IF(NOT(ISNUMBER(Matching_Engine!$AY$57)),"Not scored: no component of the model had data for this account, so no match can be claimed either way.",Matching_Engine!$AZ$57&amp;" — "&amp;Matching_Engine!$AY$57&amp;"/100 against "&amp;Matching_Engine!$B$57&amp;". "&amp;"Strongest factor "&amp;$S$57&amp;" at "&amp;$R$57&amp;"; weakest "&amp;$AA$57&amp;" at "&amp;$Z$57&amp;". "&amp;IF(AND(ISTEXT(Matching_Engine!$G$57),Matching_Engine!$G$57&lt;&gt;"N/A"),"Tagged category "&amp;Matching_Engine!$G$57&amp;" scores "&amp;IF(ISNUMBER(Matching_Engine!$J$57),Matching_Engine!$J$57,0)&amp;" against the brand category "&amp;Matching_Engine!$B$57&amp;" targets. ","Creator carries no category on record, so the category-driven parts fall back to neutral rather than penalising the creator. ")&amp;IF(ISNUMBER(Matching_Engine!$R$57),"Audience-interest overlap "&amp;Matching_Engine!$R$57&amp;". ","Audience interests unmeasured. ")&amp;IF(Matching_Engine!$AX$57&lt;100,"Scored on "&amp;Matching_Engine!$AX$57&amp;" of the 100 nominal weight points; the rest had no data.",""))</f>
      </c>
      <c r="G57" s="32">
        <f>IF(NOT(ISNUMBER(Matching_Engine!$AY$57)),"N/A",$S$57&amp;" ("&amp;$R$57&amp;"/100)")</f>
      </c>
      <c r="H57" s="32">
        <f>IF(NOT(ISNUMBER(Matching_Engine!$AY$57)),"N/A",$AA$57&amp;" ("&amp;$Z$57&amp;"/100)")</f>
      </c>
      <c r="I57" s="32">
        <f>IF(NOT(ISNUMBER(Matching_Engine!$AY$57)),"No data to consider: this account has no measured signal.",IF($Z$57&lt;Lookup_Lists!$D$161,$AA$57&amp;" sits at "&amp;$Z$57&amp;", below the "&amp;Lookup_Lists!$D$161&amp;"-point consideration threshold"&amp;IF(Matching_Engine!$AF$57=0," · Brand Personality Fit could not be scored at all: no creator personality, tone, values or content-style column exists","")&amp;IF(Matching_Engine!$AI$57="N/A"," · posting cadence unusable, so Consistency is excluded from Performance","")&amp;".","No component falls below the "&amp;Lookup_Lists!$D$161&amp;"-point consideration threshold."))</f>
      </c>
      <c r="J57" s="32">
        <f>Matching_Engine!$AV$57&amp;" — "&amp;Matching_Engine!$AW$57&amp;IF(Matching_Engine!$BB$57="Limited Data"," Confidence is Limited Data: "&amp;Matching_Engine!$BA$57&amp;"% of tracked fields carry a value.","")</f>
      </c>
      <c r="K57" s="32">
        <f>IF(NOT(ISNUMBER(Matching_Engine!$AY$57)),"Do not shortlist on this data — re-scrape the account first.",IF(Matching_Engine!$AY$57&gt;=Lookup_Lists!$D$156,"Highly Recommended",IF(Matching_Engine!$AY$57&gt;=Lookup_Lists!$D$157,"Recommended",IF(Matching_Engine!$AY$57&gt;=Lookup_Lists!$D$158,"Consider","Low Priority")))&amp;IF(Matching_Engine!$AX$57&lt;100," (on partial data)",""))</f>
      </c>
      <c r="L57" s="34">
        <f>IF(ISNUMBER(Matching_Engine!$M$57),Matching_Engine!$M$57,-1)</f>
      </c>
      <c r="M57" s="34">
        <f>IF(ISNUMBER(Matching_Engine!$S$57),Matching_Engine!$S$57,-1)</f>
      </c>
      <c r="N57" s="34">
        <f>IF(ISNUMBER(Matching_Engine!$Y$57),Matching_Engine!$Y$57,-1)</f>
      </c>
      <c r="O57" s="34">
        <f>IF(ISNUMBER(Matching_Engine!$AE$57),Matching_Engine!$AE$57,-1)</f>
      </c>
      <c r="P57" s="34">
        <f>IF(ISNUMBER(Matching_Engine!$AM$57),Matching_Engine!$AM$57,-1)</f>
      </c>
      <c r="Q57" s="34">
        <f>IF(ISNUMBER(Matching_Engine!$AT$57),Matching_Engine!$AT$57,-1)</f>
      </c>
      <c r="R57" s="34">
        <f>MAX($L$57:$Q$57)</f>
      </c>
      <c r="S57" s="32">
        <f>INDEX({"Brand &amp; Business Relevance","Target Audience Relevance","Content &amp; Category Relevance","Brand Personality Fit","Performance Quality","Brand Safety"},MATCH($R$57,$L$57:$Q$57,0))</f>
      </c>
      <c r="T57" s="34">
        <f>IF(ISNUMBER(Matching_Engine!$M$57),Matching_Engine!$M$57,999)</f>
      </c>
      <c r="U57" s="34">
        <f>IF(ISNUMBER(Matching_Engine!$S$57),Matching_Engine!$S$57,999)</f>
      </c>
      <c r="V57" s="34">
        <f>IF(ISNUMBER(Matching_Engine!$Y$57),Matching_Engine!$Y$57,999)</f>
      </c>
      <c r="W57" s="34">
        <f>IF(ISNUMBER(Matching_Engine!$AE$57),Matching_Engine!$AE$57,999)</f>
      </c>
      <c r="X57" s="34">
        <f>IF(ISNUMBER(Matching_Engine!$AM$57),Matching_Engine!$AM$57,999)</f>
      </c>
      <c r="Y57" s="34">
        <f>IF(ISNUMBER(Matching_Engine!$AT$57),Matching_Engine!$AT$57,999)</f>
      </c>
      <c r="Z57" s="34">
        <f>MIN($T$57:$Y$57)</f>
      </c>
      <c r="AA57" s="32">
        <f>INDEX({"Brand &amp; Business Relevance","Target Audience Relevance","Content &amp; Category Relevance","Brand Personality Fit","Performance Quality","Brand Safety"},MATCH($Z$57,$T$57:$Y$57,0))</f>
      </c>
    </row>
    <row r="58" spans="1:27" x14ac:dyDescent="0.25">
      <c r="A58" s="32">
        <f>Matching_Engine!$B$58</f>
      </c>
      <c r="B58" s="32">
        <f>Matching_Engine!$D$58</f>
      </c>
      <c r="C58" s="32">
        <f>Matching_Engine!$E$58</f>
      </c>
      <c r="D58" s="33">
        <f>Matching_Engine!$AY$58</f>
      </c>
      <c r="E58" s="32">
        <f>Matching_Engine!$AZ$58</f>
      </c>
      <c r="F58" s="32">
        <f>IF(NOT(ISNUMBER(Matching_Engine!$AY$58)),"Not scored: no component of the model had data for this account, so no match can be claimed either way.",Matching_Engine!$AZ$58&amp;" — "&amp;Matching_Engine!$AY$58&amp;"/100 against "&amp;Matching_Engine!$B$58&amp;". "&amp;"Strongest factor "&amp;$S$58&amp;" at "&amp;$R$58&amp;"; weakest "&amp;$AA$58&amp;" at "&amp;$Z$58&amp;". "&amp;IF(AND(ISTEXT(Matching_Engine!$G$58),Matching_Engine!$G$58&lt;&gt;"N/A"),"Tagged category "&amp;Matching_Engine!$G$58&amp;" scores "&amp;IF(ISNUMBER(Matching_Engine!$J$58),Matching_Engine!$J$58,0)&amp;" against the brand category "&amp;Matching_Engine!$B$58&amp;" targets. ","Creator carries no category on record, so the category-driven parts fall back to neutral rather than penalising the creator. ")&amp;IF(ISNUMBER(Matching_Engine!$R$58),"Audience-interest overlap "&amp;Matching_Engine!$R$58&amp;". ","Audience interests unmeasured. ")&amp;IF(Matching_Engine!$AX$58&lt;100,"Scored on "&amp;Matching_Engine!$AX$58&amp;" of the 100 nominal weight points; the rest had no data.",""))</f>
      </c>
      <c r="G58" s="32">
        <f>IF(NOT(ISNUMBER(Matching_Engine!$AY$58)),"N/A",$S$58&amp;" ("&amp;$R$58&amp;"/100)")</f>
      </c>
      <c r="H58" s="32">
        <f>IF(NOT(ISNUMBER(Matching_Engine!$AY$58)),"N/A",$AA$58&amp;" ("&amp;$Z$58&amp;"/100)")</f>
      </c>
      <c r="I58" s="32">
        <f>IF(NOT(ISNUMBER(Matching_Engine!$AY$58)),"No data to consider: this account has no measured signal.",IF($Z$58&lt;Lookup_Lists!$D$161,$AA$58&amp;" sits at "&amp;$Z$58&amp;", below the "&amp;Lookup_Lists!$D$161&amp;"-point consideration threshold"&amp;IF(Matching_Engine!$AF$58=0," · Brand Personality Fit could not be scored at all: no creator personality, tone, values or content-style column exists","")&amp;IF(Matching_Engine!$AI$58="N/A"," · posting cadence unusable, so Consistency is excluded from Performance","")&amp;".","No component falls below the "&amp;Lookup_Lists!$D$161&amp;"-point consideration threshold."))</f>
      </c>
      <c r="J58" s="32">
        <f>Matching_Engine!$AV$58&amp;" — "&amp;Matching_Engine!$AW$58&amp;IF(Matching_Engine!$BB$58="Limited Data"," Confidence is Limited Data: "&amp;Matching_Engine!$BA$58&amp;"% of tracked fields carry a value.","")</f>
      </c>
      <c r="K58" s="32">
        <f>IF(NOT(ISNUMBER(Matching_Engine!$AY$58)),"Do not shortlist on this data — re-scrape the account first.",IF(Matching_Engine!$AY$58&gt;=Lookup_Lists!$D$156,"Highly Recommended",IF(Matching_Engine!$AY$58&gt;=Lookup_Lists!$D$157,"Recommended",IF(Matching_Engine!$AY$58&gt;=Lookup_Lists!$D$158,"Consider","Low Priority")))&amp;IF(Matching_Engine!$AX$58&lt;100," (on partial data)",""))</f>
      </c>
      <c r="L58" s="34">
        <f>IF(ISNUMBER(Matching_Engine!$M$58),Matching_Engine!$M$58,-1)</f>
      </c>
      <c r="M58" s="34">
        <f>IF(ISNUMBER(Matching_Engine!$S$58),Matching_Engine!$S$58,-1)</f>
      </c>
      <c r="N58" s="34">
        <f>IF(ISNUMBER(Matching_Engine!$Y$58),Matching_Engine!$Y$58,-1)</f>
      </c>
      <c r="O58" s="34">
        <f>IF(ISNUMBER(Matching_Engine!$AE$58),Matching_Engine!$AE$58,-1)</f>
      </c>
      <c r="P58" s="34">
        <f>IF(ISNUMBER(Matching_Engine!$AM$58),Matching_Engine!$AM$58,-1)</f>
      </c>
      <c r="Q58" s="34">
        <f>IF(ISNUMBER(Matching_Engine!$AT$58),Matching_Engine!$AT$58,-1)</f>
      </c>
      <c r="R58" s="34">
        <f>MAX($L$58:$Q$58)</f>
      </c>
      <c r="S58" s="32">
        <f>INDEX({"Brand &amp; Business Relevance","Target Audience Relevance","Content &amp; Category Relevance","Brand Personality Fit","Performance Quality","Brand Safety"},MATCH($R$58,$L$58:$Q$58,0))</f>
      </c>
      <c r="T58" s="34">
        <f>IF(ISNUMBER(Matching_Engine!$M$58),Matching_Engine!$M$58,999)</f>
      </c>
      <c r="U58" s="34">
        <f>IF(ISNUMBER(Matching_Engine!$S$58),Matching_Engine!$S$58,999)</f>
      </c>
      <c r="V58" s="34">
        <f>IF(ISNUMBER(Matching_Engine!$Y$58),Matching_Engine!$Y$58,999)</f>
      </c>
      <c r="W58" s="34">
        <f>IF(ISNUMBER(Matching_Engine!$AE$58),Matching_Engine!$AE$58,999)</f>
      </c>
      <c r="X58" s="34">
        <f>IF(ISNUMBER(Matching_Engine!$AM$58),Matching_Engine!$AM$58,999)</f>
      </c>
      <c r="Y58" s="34">
        <f>IF(ISNUMBER(Matching_Engine!$AT$58),Matching_Engine!$AT$58,999)</f>
      </c>
      <c r="Z58" s="34">
        <f>MIN($T$58:$Y$58)</f>
      </c>
      <c r="AA58" s="32">
        <f>INDEX({"Brand &amp; Business Relevance","Target Audience Relevance","Content &amp; Category Relevance","Brand Personality Fit","Performance Quality","Brand Safety"},MATCH($Z$58,$T$58:$Y$58,0))</f>
      </c>
    </row>
    <row r="59" spans="1:27" x14ac:dyDescent="0.25">
      <c r="A59" s="32">
        <f>Matching_Engine!$B$59</f>
      </c>
      <c r="B59" s="32">
        <f>Matching_Engine!$D$59</f>
      </c>
      <c r="C59" s="32">
        <f>Matching_Engine!$E$59</f>
      </c>
      <c r="D59" s="33">
        <f>Matching_Engine!$AY$59</f>
      </c>
      <c r="E59" s="32">
        <f>Matching_Engine!$AZ$59</f>
      </c>
      <c r="F59" s="32">
        <f>IF(NOT(ISNUMBER(Matching_Engine!$AY$59)),"Not scored: no component of the model had data for this account, so no match can be claimed either way.",Matching_Engine!$AZ$59&amp;" — "&amp;Matching_Engine!$AY$59&amp;"/100 against "&amp;Matching_Engine!$B$59&amp;". "&amp;"Strongest factor "&amp;$S$59&amp;" at "&amp;$R$59&amp;"; weakest "&amp;$AA$59&amp;" at "&amp;$Z$59&amp;". "&amp;IF(AND(ISTEXT(Matching_Engine!$G$59),Matching_Engine!$G$59&lt;&gt;"N/A"),"Tagged category "&amp;Matching_Engine!$G$59&amp;" scores "&amp;IF(ISNUMBER(Matching_Engine!$J$59),Matching_Engine!$J$59,0)&amp;" against the brand category "&amp;Matching_Engine!$B$59&amp;" targets. ","Creator carries no category on record, so the category-driven parts fall back to neutral rather than penalising the creator. ")&amp;IF(ISNUMBER(Matching_Engine!$R$59),"Audience-interest overlap "&amp;Matching_Engine!$R$59&amp;". ","Audience interests unmeasured. ")&amp;IF(Matching_Engine!$AX$59&lt;100,"Scored on "&amp;Matching_Engine!$AX$59&amp;" of the 100 nominal weight points; the rest had no data.",""))</f>
      </c>
      <c r="G59" s="32">
        <f>IF(NOT(ISNUMBER(Matching_Engine!$AY$59)),"N/A",$S$59&amp;" ("&amp;$R$59&amp;"/100)")</f>
      </c>
      <c r="H59" s="32">
        <f>IF(NOT(ISNUMBER(Matching_Engine!$AY$59)),"N/A",$AA$59&amp;" ("&amp;$Z$59&amp;"/100)")</f>
      </c>
      <c r="I59" s="32">
        <f>IF(NOT(ISNUMBER(Matching_Engine!$AY$59)),"No data to consider: this account has no measured signal.",IF($Z$59&lt;Lookup_Lists!$D$161,$AA$59&amp;" sits at "&amp;$Z$59&amp;", below the "&amp;Lookup_Lists!$D$161&amp;"-point consideration threshold"&amp;IF(Matching_Engine!$AF$59=0," · Brand Personality Fit could not be scored at all: no creator personality, tone, values or content-style column exists","")&amp;IF(Matching_Engine!$AI$59="N/A"," · posting cadence unusable, so Consistency is excluded from Performance","")&amp;".","No component falls below the "&amp;Lookup_Lists!$D$161&amp;"-point consideration threshold."))</f>
      </c>
      <c r="J59" s="32">
        <f>Matching_Engine!$AV$59&amp;" — "&amp;Matching_Engine!$AW$59&amp;IF(Matching_Engine!$BB$59="Limited Data"," Confidence is Limited Data: "&amp;Matching_Engine!$BA$59&amp;"% of tracked fields carry a value.","")</f>
      </c>
      <c r="K59" s="32">
        <f>IF(NOT(ISNUMBER(Matching_Engine!$AY$59)),"Do not shortlist on this data — re-scrape the account first.",IF(Matching_Engine!$AY$59&gt;=Lookup_Lists!$D$156,"Highly Recommended",IF(Matching_Engine!$AY$59&gt;=Lookup_Lists!$D$157,"Recommended",IF(Matching_Engine!$AY$59&gt;=Lookup_Lists!$D$158,"Consider","Low Priority")))&amp;IF(Matching_Engine!$AX$59&lt;100," (on partial data)",""))</f>
      </c>
      <c r="L59" s="34">
        <f>IF(ISNUMBER(Matching_Engine!$M$59),Matching_Engine!$M$59,-1)</f>
      </c>
      <c r="M59" s="34">
        <f>IF(ISNUMBER(Matching_Engine!$S$59),Matching_Engine!$S$59,-1)</f>
      </c>
      <c r="N59" s="34">
        <f>IF(ISNUMBER(Matching_Engine!$Y$59),Matching_Engine!$Y$59,-1)</f>
      </c>
      <c r="O59" s="34">
        <f>IF(ISNUMBER(Matching_Engine!$AE$59),Matching_Engine!$AE$59,-1)</f>
      </c>
      <c r="P59" s="34">
        <f>IF(ISNUMBER(Matching_Engine!$AM$59),Matching_Engine!$AM$59,-1)</f>
      </c>
      <c r="Q59" s="34">
        <f>IF(ISNUMBER(Matching_Engine!$AT$59),Matching_Engine!$AT$59,-1)</f>
      </c>
      <c r="R59" s="34">
        <f>MAX($L$59:$Q$59)</f>
      </c>
      <c r="S59" s="32">
        <f>INDEX({"Brand &amp; Business Relevance","Target Audience Relevance","Content &amp; Category Relevance","Brand Personality Fit","Performance Quality","Brand Safety"},MATCH($R$59,$L$59:$Q$59,0))</f>
      </c>
      <c r="T59" s="34">
        <f>IF(ISNUMBER(Matching_Engine!$M$59),Matching_Engine!$M$59,999)</f>
      </c>
      <c r="U59" s="34">
        <f>IF(ISNUMBER(Matching_Engine!$S$59),Matching_Engine!$S$59,999)</f>
      </c>
      <c r="V59" s="34">
        <f>IF(ISNUMBER(Matching_Engine!$Y$59),Matching_Engine!$Y$59,999)</f>
      </c>
      <c r="W59" s="34">
        <f>IF(ISNUMBER(Matching_Engine!$AE$59),Matching_Engine!$AE$59,999)</f>
      </c>
      <c r="X59" s="34">
        <f>IF(ISNUMBER(Matching_Engine!$AM$59),Matching_Engine!$AM$59,999)</f>
      </c>
      <c r="Y59" s="34">
        <f>IF(ISNUMBER(Matching_Engine!$AT$59),Matching_Engine!$AT$59,999)</f>
      </c>
      <c r="Z59" s="34">
        <f>MIN($T$59:$Y$59)</f>
      </c>
      <c r="AA59" s="32">
        <f>INDEX({"Brand &amp; Business Relevance","Target Audience Relevance","Content &amp; Category Relevance","Brand Personality Fit","Performance Quality","Brand Safety"},MATCH($Z$59,$T$59:$Y$59,0))</f>
      </c>
    </row>
    <row r="60" spans="1:27" x14ac:dyDescent="0.25">
      <c r="A60" s="32">
        <f>Matching_Engine!$B$60</f>
      </c>
      <c r="B60" s="32">
        <f>Matching_Engine!$D$60</f>
      </c>
      <c r="C60" s="32">
        <f>Matching_Engine!$E$60</f>
      </c>
      <c r="D60" s="33">
        <f>Matching_Engine!$AY$60</f>
      </c>
      <c r="E60" s="32">
        <f>Matching_Engine!$AZ$60</f>
      </c>
      <c r="F60" s="32">
        <f>IF(NOT(ISNUMBER(Matching_Engine!$AY$60)),"Not scored: no component of the model had data for this account, so no match can be claimed either way.",Matching_Engine!$AZ$60&amp;" — "&amp;Matching_Engine!$AY$60&amp;"/100 against "&amp;Matching_Engine!$B$60&amp;". "&amp;"Strongest factor "&amp;$S$60&amp;" at "&amp;$R$60&amp;"; weakest "&amp;$AA$60&amp;" at "&amp;$Z$60&amp;". "&amp;IF(AND(ISTEXT(Matching_Engine!$G$60),Matching_Engine!$G$60&lt;&gt;"N/A"),"Tagged category "&amp;Matching_Engine!$G$60&amp;" scores "&amp;IF(ISNUMBER(Matching_Engine!$J$60),Matching_Engine!$J$60,0)&amp;" against the brand category "&amp;Matching_Engine!$B$60&amp;" targets. ","Creator carries no category on record, so the category-driven parts fall back to neutral rather than penalising the creator. ")&amp;IF(ISNUMBER(Matching_Engine!$R$60),"Audience-interest overlap "&amp;Matching_Engine!$R$60&amp;". ","Audience interests unmeasured. ")&amp;IF(Matching_Engine!$AX$60&lt;100,"Scored on "&amp;Matching_Engine!$AX$60&amp;" of the 100 nominal weight points; the rest had no data.",""))</f>
      </c>
      <c r="G60" s="32">
        <f>IF(NOT(ISNUMBER(Matching_Engine!$AY$60)),"N/A",$S$60&amp;" ("&amp;$R$60&amp;"/100)")</f>
      </c>
      <c r="H60" s="32">
        <f>IF(NOT(ISNUMBER(Matching_Engine!$AY$60)),"N/A",$AA$60&amp;" ("&amp;$Z$60&amp;"/100)")</f>
      </c>
      <c r="I60" s="32">
        <f>IF(NOT(ISNUMBER(Matching_Engine!$AY$60)),"No data to consider: this account has no measured signal.",IF($Z$60&lt;Lookup_Lists!$D$161,$AA$60&amp;" sits at "&amp;$Z$60&amp;", below the "&amp;Lookup_Lists!$D$161&amp;"-point consideration threshold"&amp;IF(Matching_Engine!$AF$60=0," · Brand Personality Fit could not be scored at all: no creator personality, tone, values or content-style column exists","")&amp;IF(Matching_Engine!$AI$60="N/A"," · posting cadence unusable, so Consistency is excluded from Performance","")&amp;".","No component falls below the "&amp;Lookup_Lists!$D$161&amp;"-point consideration threshold."))</f>
      </c>
      <c r="J60" s="32">
        <f>Matching_Engine!$AV$60&amp;" — "&amp;Matching_Engine!$AW$60&amp;IF(Matching_Engine!$BB$60="Limited Data"," Confidence is Limited Data: "&amp;Matching_Engine!$BA$60&amp;"% of tracked fields carry a value.","")</f>
      </c>
      <c r="K60" s="32">
        <f>IF(NOT(ISNUMBER(Matching_Engine!$AY$60)),"Do not shortlist on this data — re-scrape the account first.",IF(Matching_Engine!$AY$60&gt;=Lookup_Lists!$D$156,"Highly Recommended",IF(Matching_Engine!$AY$60&gt;=Lookup_Lists!$D$157,"Recommended",IF(Matching_Engine!$AY$60&gt;=Lookup_Lists!$D$158,"Consider","Low Priority")))&amp;IF(Matching_Engine!$AX$60&lt;100," (on partial data)",""))</f>
      </c>
      <c r="L60" s="34">
        <f>IF(ISNUMBER(Matching_Engine!$M$60),Matching_Engine!$M$60,-1)</f>
      </c>
      <c r="M60" s="34">
        <f>IF(ISNUMBER(Matching_Engine!$S$60),Matching_Engine!$S$60,-1)</f>
      </c>
      <c r="N60" s="34">
        <f>IF(ISNUMBER(Matching_Engine!$Y$60),Matching_Engine!$Y$60,-1)</f>
      </c>
      <c r="O60" s="34">
        <f>IF(ISNUMBER(Matching_Engine!$AE$60),Matching_Engine!$AE$60,-1)</f>
      </c>
      <c r="P60" s="34">
        <f>IF(ISNUMBER(Matching_Engine!$AM$60),Matching_Engine!$AM$60,-1)</f>
      </c>
      <c r="Q60" s="34">
        <f>IF(ISNUMBER(Matching_Engine!$AT$60),Matching_Engine!$AT$60,-1)</f>
      </c>
      <c r="R60" s="34">
        <f>MAX($L$60:$Q$60)</f>
      </c>
      <c r="S60" s="32">
        <f>INDEX({"Brand &amp; Business Relevance","Target Audience Relevance","Content &amp; Category Relevance","Brand Personality Fit","Performance Quality","Brand Safety"},MATCH($R$60,$L$60:$Q$60,0))</f>
      </c>
      <c r="T60" s="34">
        <f>IF(ISNUMBER(Matching_Engine!$M$60),Matching_Engine!$M$60,999)</f>
      </c>
      <c r="U60" s="34">
        <f>IF(ISNUMBER(Matching_Engine!$S$60),Matching_Engine!$S$60,999)</f>
      </c>
      <c r="V60" s="34">
        <f>IF(ISNUMBER(Matching_Engine!$Y$60),Matching_Engine!$Y$60,999)</f>
      </c>
      <c r="W60" s="34">
        <f>IF(ISNUMBER(Matching_Engine!$AE$60),Matching_Engine!$AE$60,999)</f>
      </c>
      <c r="X60" s="34">
        <f>IF(ISNUMBER(Matching_Engine!$AM$60),Matching_Engine!$AM$60,999)</f>
      </c>
      <c r="Y60" s="34">
        <f>IF(ISNUMBER(Matching_Engine!$AT$60),Matching_Engine!$AT$60,999)</f>
      </c>
      <c r="Z60" s="34">
        <f>MIN($T$60:$Y$60)</f>
      </c>
      <c r="AA60" s="32">
        <f>INDEX({"Brand &amp; Business Relevance","Target Audience Relevance","Content &amp; Category Relevance","Brand Personality Fit","Performance Quality","Brand Safety"},MATCH($Z$60,$T$60:$Y$60,0))</f>
      </c>
    </row>
    <row r="61" spans="1:27" x14ac:dyDescent="0.25">
      <c r="A61" s="32">
        <f>Matching_Engine!$B$61</f>
      </c>
      <c r="B61" s="32">
        <f>Matching_Engine!$D$61</f>
      </c>
      <c r="C61" s="32">
        <f>Matching_Engine!$E$61</f>
      </c>
      <c r="D61" s="33">
        <f>Matching_Engine!$AY$61</f>
      </c>
      <c r="E61" s="32">
        <f>Matching_Engine!$AZ$61</f>
      </c>
      <c r="F61" s="32">
        <f>IF(NOT(ISNUMBER(Matching_Engine!$AY$61)),"Not scored: no component of the model had data for this account, so no match can be claimed either way.",Matching_Engine!$AZ$61&amp;" — "&amp;Matching_Engine!$AY$61&amp;"/100 against "&amp;Matching_Engine!$B$61&amp;". "&amp;"Strongest factor "&amp;$S$61&amp;" at "&amp;$R$61&amp;"; weakest "&amp;$AA$61&amp;" at "&amp;$Z$61&amp;". "&amp;IF(AND(ISTEXT(Matching_Engine!$G$61),Matching_Engine!$G$61&lt;&gt;"N/A"),"Tagged category "&amp;Matching_Engine!$G$61&amp;" scores "&amp;IF(ISNUMBER(Matching_Engine!$J$61),Matching_Engine!$J$61,0)&amp;" against the brand category "&amp;Matching_Engine!$B$61&amp;" targets. ","Creator carries no category on record, so the category-driven parts fall back to neutral rather than penalising the creator. ")&amp;IF(ISNUMBER(Matching_Engine!$R$61),"Audience-interest overlap "&amp;Matching_Engine!$R$61&amp;". ","Audience interests unmeasured. ")&amp;IF(Matching_Engine!$AX$61&lt;100,"Scored on "&amp;Matching_Engine!$AX$61&amp;" of the 100 nominal weight points; the rest had no data.",""))</f>
      </c>
      <c r="G61" s="32">
        <f>IF(NOT(ISNUMBER(Matching_Engine!$AY$61)),"N/A",$S$61&amp;" ("&amp;$R$61&amp;"/100)")</f>
      </c>
      <c r="H61" s="32">
        <f>IF(NOT(ISNUMBER(Matching_Engine!$AY$61)),"N/A",$AA$61&amp;" ("&amp;$Z$61&amp;"/100)")</f>
      </c>
      <c r="I61" s="32">
        <f>IF(NOT(ISNUMBER(Matching_Engine!$AY$61)),"No data to consider: this account has no measured signal.",IF($Z$61&lt;Lookup_Lists!$D$161,$AA$61&amp;" sits at "&amp;$Z$61&amp;", below the "&amp;Lookup_Lists!$D$161&amp;"-point consideration threshold"&amp;IF(Matching_Engine!$AF$61=0," · Brand Personality Fit could not be scored at all: no creator personality, tone, values or content-style column exists","")&amp;IF(Matching_Engine!$AI$61="N/A"," · posting cadence unusable, so Consistency is excluded from Performance","")&amp;".","No component falls below the "&amp;Lookup_Lists!$D$161&amp;"-point consideration threshold."))</f>
      </c>
      <c r="J61" s="32">
        <f>Matching_Engine!$AV$61&amp;" — "&amp;Matching_Engine!$AW$61&amp;IF(Matching_Engine!$BB$61="Limited Data"," Confidence is Limited Data: "&amp;Matching_Engine!$BA$61&amp;"% of tracked fields carry a value.","")</f>
      </c>
      <c r="K61" s="32">
        <f>IF(NOT(ISNUMBER(Matching_Engine!$AY$61)),"Do not shortlist on this data — re-scrape the account first.",IF(Matching_Engine!$AY$61&gt;=Lookup_Lists!$D$156,"Highly Recommended",IF(Matching_Engine!$AY$61&gt;=Lookup_Lists!$D$157,"Recommended",IF(Matching_Engine!$AY$61&gt;=Lookup_Lists!$D$158,"Consider","Low Priority")))&amp;IF(Matching_Engine!$AX$61&lt;100," (on partial data)",""))</f>
      </c>
      <c r="L61" s="34">
        <f>IF(ISNUMBER(Matching_Engine!$M$61),Matching_Engine!$M$61,-1)</f>
      </c>
      <c r="M61" s="34">
        <f>IF(ISNUMBER(Matching_Engine!$S$61),Matching_Engine!$S$61,-1)</f>
      </c>
      <c r="N61" s="34">
        <f>IF(ISNUMBER(Matching_Engine!$Y$61),Matching_Engine!$Y$61,-1)</f>
      </c>
      <c r="O61" s="34">
        <f>IF(ISNUMBER(Matching_Engine!$AE$61),Matching_Engine!$AE$61,-1)</f>
      </c>
      <c r="P61" s="34">
        <f>IF(ISNUMBER(Matching_Engine!$AM$61),Matching_Engine!$AM$61,-1)</f>
      </c>
      <c r="Q61" s="34">
        <f>IF(ISNUMBER(Matching_Engine!$AT$61),Matching_Engine!$AT$61,-1)</f>
      </c>
      <c r="R61" s="34">
        <f>MAX($L$61:$Q$61)</f>
      </c>
      <c r="S61" s="32">
        <f>INDEX({"Brand &amp; Business Relevance","Target Audience Relevance","Content &amp; Category Relevance","Brand Personality Fit","Performance Quality","Brand Safety"},MATCH($R$61,$L$61:$Q$61,0))</f>
      </c>
      <c r="T61" s="34">
        <f>IF(ISNUMBER(Matching_Engine!$M$61),Matching_Engine!$M$61,999)</f>
      </c>
      <c r="U61" s="34">
        <f>IF(ISNUMBER(Matching_Engine!$S$61),Matching_Engine!$S$61,999)</f>
      </c>
      <c r="V61" s="34">
        <f>IF(ISNUMBER(Matching_Engine!$Y$61),Matching_Engine!$Y$61,999)</f>
      </c>
      <c r="W61" s="34">
        <f>IF(ISNUMBER(Matching_Engine!$AE$61),Matching_Engine!$AE$61,999)</f>
      </c>
      <c r="X61" s="34">
        <f>IF(ISNUMBER(Matching_Engine!$AM$61),Matching_Engine!$AM$61,999)</f>
      </c>
      <c r="Y61" s="34">
        <f>IF(ISNUMBER(Matching_Engine!$AT$61),Matching_Engine!$AT$61,999)</f>
      </c>
      <c r="Z61" s="34">
        <f>MIN($T$61:$Y$61)</f>
      </c>
      <c r="AA61" s="32">
        <f>INDEX({"Brand &amp; Business Relevance","Target Audience Relevance","Content &amp; Category Relevance","Brand Personality Fit","Performance Quality","Brand Safety"},MATCH($Z$61,$T$61:$Y$61,0))</f>
      </c>
    </row>
    <row r="62" spans="1:27" x14ac:dyDescent="0.25">
      <c r="A62" s="32">
        <f>Matching_Engine!$B$62</f>
      </c>
      <c r="B62" s="32">
        <f>Matching_Engine!$D$62</f>
      </c>
      <c r="C62" s="32">
        <f>Matching_Engine!$E$62</f>
      </c>
      <c r="D62" s="33">
        <f>Matching_Engine!$AY$62</f>
      </c>
      <c r="E62" s="32">
        <f>Matching_Engine!$AZ$62</f>
      </c>
      <c r="F62" s="32">
        <f>IF(NOT(ISNUMBER(Matching_Engine!$AY$62)),"Not scored: no component of the model had data for this account, so no match can be claimed either way.",Matching_Engine!$AZ$62&amp;" — "&amp;Matching_Engine!$AY$62&amp;"/100 against "&amp;Matching_Engine!$B$62&amp;". "&amp;"Strongest factor "&amp;$S$62&amp;" at "&amp;$R$62&amp;"; weakest "&amp;$AA$62&amp;" at "&amp;$Z$62&amp;". "&amp;IF(AND(ISTEXT(Matching_Engine!$G$62),Matching_Engine!$G$62&lt;&gt;"N/A"),"Tagged category "&amp;Matching_Engine!$G$62&amp;" scores "&amp;IF(ISNUMBER(Matching_Engine!$J$62),Matching_Engine!$J$62,0)&amp;" against the brand category "&amp;Matching_Engine!$B$62&amp;" targets. ","Creator carries no category on record, so the category-driven parts fall back to neutral rather than penalising the creator. ")&amp;IF(ISNUMBER(Matching_Engine!$R$62),"Audience-interest overlap "&amp;Matching_Engine!$R$62&amp;". ","Audience interests unmeasured. ")&amp;IF(Matching_Engine!$AX$62&lt;100,"Scored on "&amp;Matching_Engine!$AX$62&amp;" of the 100 nominal weight points; the rest had no data.",""))</f>
      </c>
      <c r="G62" s="32">
        <f>IF(NOT(ISNUMBER(Matching_Engine!$AY$62)),"N/A",$S$62&amp;" ("&amp;$R$62&amp;"/100)")</f>
      </c>
      <c r="H62" s="32">
        <f>IF(NOT(ISNUMBER(Matching_Engine!$AY$62)),"N/A",$AA$62&amp;" ("&amp;$Z$62&amp;"/100)")</f>
      </c>
      <c r="I62" s="32">
        <f>IF(NOT(ISNUMBER(Matching_Engine!$AY$62)),"No data to consider: this account has no measured signal.",IF($Z$62&lt;Lookup_Lists!$D$161,$AA$62&amp;" sits at "&amp;$Z$62&amp;", below the "&amp;Lookup_Lists!$D$161&amp;"-point consideration threshold"&amp;IF(Matching_Engine!$AF$62=0," · Brand Personality Fit could not be scored at all: no creator personality, tone, values or content-style column exists","")&amp;IF(Matching_Engine!$AI$62="N/A"," · posting cadence unusable, so Consistency is excluded from Performance","")&amp;".","No component falls below the "&amp;Lookup_Lists!$D$161&amp;"-point consideration threshold."))</f>
      </c>
      <c r="J62" s="32">
        <f>Matching_Engine!$AV$62&amp;" — "&amp;Matching_Engine!$AW$62&amp;IF(Matching_Engine!$BB$62="Limited Data"," Confidence is Limited Data: "&amp;Matching_Engine!$BA$62&amp;"% of tracked fields carry a value.","")</f>
      </c>
      <c r="K62" s="32">
        <f>IF(NOT(ISNUMBER(Matching_Engine!$AY$62)),"Do not shortlist on this data — re-scrape the account first.",IF(Matching_Engine!$AY$62&gt;=Lookup_Lists!$D$156,"Highly Recommended",IF(Matching_Engine!$AY$62&gt;=Lookup_Lists!$D$157,"Recommended",IF(Matching_Engine!$AY$62&gt;=Lookup_Lists!$D$158,"Consider","Low Priority")))&amp;IF(Matching_Engine!$AX$62&lt;100," (on partial data)",""))</f>
      </c>
      <c r="L62" s="34">
        <f>IF(ISNUMBER(Matching_Engine!$M$62),Matching_Engine!$M$62,-1)</f>
      </c>
      <c r="M62" s="34">
        <f>IF(ISNUMBER(Matching_Engine!$S$62),Matching_Engine!$S$62,-1)</f>
      </c>
      <c r="N62" s="34">
        <f>IF(ISNUMBER(Matching_Engine!$Y$62),Matching_Engine!$Y$62,-1)</f>
      </c>
      <c r="O62" s="34">
        <f>IF(ISNUMBER(Matching_Engine!$AE$62),Matching_Engine!$AE$62,-1)</f>
      </c>
      <c r="P62" s="34">
        <f>IF(ISNUMBER(Matching_Engine!$AM$62),Matching_Engine!$AM$62,-1)</f>
      </c>
      <c r="Q62" s="34">
        <f>IF(ISNUMBER(Matching_Engine!$AT$62),Matching_Engine!$AT$62,-1)</f>
      </c>
      <c r="R62" s="34">
        <f>MAX($L$62:$Q$62)</f>
      </c>
      <c r="S62" s="32">
        <f>INDEX({"Brand &amp; Business Relevance","Target Audience Relevance","Content &amp; Category Relevance","Brand Personality Fit","Performance Quality","Brand Safety"},MATCH($R$62,$L$62:$Q$62,0))</f>
      </c>
      <c r="T62" s="34">
        <f>IF(ISNUMBER(Matching_Engine!$M$62),Matching_Engine!$M$62,999)</f>
      </c>
      <c r="U62" s="34">
        <f>IF(ISNUMBER(Matching_Engine!$S$62),Matching_Engine!$S$62,999)</f>
      </c>
      <c r="V62" s="34">
        <f>IF(ISNUMBER(Matching_Engine!$Y$62),Matching_Engine!$Y$62,999)</f>
      </c>
      <c r="W62" s="34">
        <f>IF(ISNUMBER(Matching_Engine!$AE$62),Matching_Engine!$AE$62,999)</f>
      </c>
      <c r="X62" s="34">
        <f>IF(ISNUMBER(Matching_Engine!$AM$62),Matching_Engine!$AM$62,999)</f>
      </c>
      <c r="Y62" s="34">
        <f>IF(ISNUMBER(Matching_Engine!$AT$62),Matching_Engine!$AT$62,999)</f>
      </c>
      <c r="Z62" s="34">
        <f>MIN($T$62:$Y$62)</f>
      </c>
      <c r="AA62" s="32">
        <f>INDEX({"Brand &amp; Business Relevance","Target Audience Relevance","Content &amp; Category Relevance","Brand Personality Fit","Performance Quality","Brand Safety"},MATCH($Z$62,$T$62:$Y$62,0))</f>
      </c>
    </row>
    <row r="63" spans="1:27" x14ac:dyDescent="0.25">
      <c r="A63" s="32">
        <f>Matching_Engine!$B$63</f>
      </c>
      <c r="B63" s="32">
        <f>Matching_Engine!$D$63</f>
      </c>
      <c r="C63" s="32">
        <f>Matching_Engine!$E$63</f>
      </c>
      <c r="D63" s="33">
        <f>Matching_Engine!$AY$63</f>
      </c>
      <c r="E63" s="32">
        <f>Matching_Engine!$AZ$63</f>
      </c>
      <c r="F63" s="32">
        <f>IF(NOT(ISNUMBER(Matching_Engine!$AY$63)),"Not scored: no component of the model had data for this account, so no match can be claimed either way.",Matching_Engine!$AZ$63&amp;" — "&amp;Matching_Engine!$AY$63&amp;"/100 against "&amp;Matching_Engine!$B$63&amp;". "&amp;"Strongest factor "&amp;$S$63&amp;" at "&amp;$R$63&amp;"; weakest "&amp;$AA$63&amp;" at "&amp;$Z$63&amp;". "&amp;IF(AND(ISTEXT(Matching_Engine!$G$63),Matching_Engine!$G$63&lt;&gt;"N/A"),"Tagged category "&amp;Matching_Engine!$G$63&amp;" scores "&amp;IF(ISNUMBER(Matching_Engine!$J$63),Matching_Engine!$J$63,0)&amp;" against the brand category "&amp;Matching_Engine!$B$63&amp;" targets. ","Creator carries no category on record, so the category-driven parts fall back to neutral rather than penalising the creator. ")&amp;IF(ISNUMBER(Matching_Engine!$R$63),"Audience-interest overlap "&amp;Matching_Engine!$R$63&amp;". ","Audience interests unmeasured. ")&amp;IF(Matching_Engine!$AX$63&lt;100,"Scored on "&amp;Matching_Engine!$AX$63&amp;" of the 100 nominal weight points; the rest had no data.",""))</f>
      </c>
      <c r="G63" s="32">
        <f>IF(NOT(ISNUMBER(Matching_Engine!$AY$63)),"N/A",$S$63&amp;" ("&amp;$R$63&amp;"/100)")</f>
      </c>
      <c r="H63" s="32">
        <f>IF(NOT(ISNUMBER(Matching_Engine!$AY$63)),"N/A",$AA$63&amp;" ("&amp;$Z$63&amp;"/100)")</f>
      </c>
      <c r="I63" s="32">
        <f>IF(NOT(ISNUMBER(Matching_Engine!$AY$63)),"No data to consider: this account has no measured signal.",IF($Z$63&lt;Lookup_Lists!$D$161,$AA$63&amp;" sits at "&amp;$Z$63&amp;", below the "&amp;Lookup_Lists!$D$161&amp;"-point consideration threshold"&amp;IF(Matching_Engine!$AF$63=0," · Brand Personality Fit could not be scored at all: no creator personality, tone, values or content-style column exists","")&amp;IF(Matching_Engine!$AI$63="N/A"," · posting cadence unusable, so Consistency is excluded from Performance","")&amp;".","No component falls below the "&amp;Lookup_Lists!$D$161&amp;"-point consideration threshold."))</f>
      </c>
      <c r="J63" s="32">
        <f>Matching_Engine!$AV$63&amp;" — "&amp;Matching_Engine!$AW$63&amp;IF(Matching_Engine!$BB$63="Limited Data"," Confidence is Limited Data: "&amp;Matching_Engine!$BA$63&amp;"% of tracked fields carry a value.","")</f>
      </c>
      <c r="K63" s="32">
        <f>IF(NOT(ISNUMBER(Matching_Engine!$AY$63)),"Do not shortlist on this data — re-scrape the account first.",IF(Matching_Engine!$AY$63&gt;=Lookup_Lists!$D$156,"Highly Recommended",IF(Matching_Engine!$AY$63&gt;=Lookup_Lists!$D$157,"Recommended",IF(Matching_Engine!$AY$63&gt;=Lookup_Lists!$D$158,"Consider","Low Priority")))&amp;IF(Matching_Engine!$AX$63&lt;100," (on partial data)",""))</f>
      </c>
      <c r="L63" s="34">
        <f>IF(ISNUMBER(Matching_Engine!$M$63),Matching_Engine!$M$63,-1)</f>
      </c>
      <c r="M63" s="34">
        <f>IF(ISNUMBER(Matching_Engine!$S$63),Matching_Engine!$S$63,-1)</f>
      </c>
      <c r="N63" s="34">
        <f>IF(ISNUMBER(Matching_Engine!$Y$63),Matching_Engine!$Y$63,-1)</f>
      </c>
      <c r="O63" s="34">
        <f>IF(ISNUMBER(Matching_Engine!$AE$63),Matching_Engine!$AE$63,-1)</f>
      </c>
      <c r="P63" s="34">
        <f>IF(ISNUMBER(Matching_Engine!$AM$63),Matching_Engine!$AM$63,-1)</f>
      </c>
      <c r="Q63" s="34">
        <f>IF(ISNUMBER(Matching_Engine!$AT$63),Matching_Engine!$AT$63,-1)</f>
      </c>
      <c r="R63" s="34">
        <f>MAX($L$63:$Q$63)</f>
      </c>
      <c r="S63" s="32">
        <f>INDEX({"Brand &amp; Business Relevance","Target Audience Relevance","Content &amp; Category Relevance","Brand Personality Fit","Performance Quality","Brand Safety"},MATCH($R$63,$L$63:$Q$63,0))</f>
      </c>
      <c r="T63" s="34">
        <f>IF(ISNUMBER(Matching_Engine!$M$63),Matching_Engine!$M$63,999)</f>
      </c>
      <c r="U63" s="34">
        <f>IF(ISNUMBER(Matching_Engine!$S$63),Matching_Engine!$S$63,999)</f>
      </c>
      <c r="V63" s="34">
        <f>IF(ISNUMBER(Matching_Engine!$Y$63),Matching_Engine!$Y$63,999)</f>
      </c>
      <c r="W63" s="34">
        <f>IF(ISNUMBER(Matching_Engine!$AE$63),Matching_Engine!$AE$63,999)</f>
      </c>
      <c r="X63" s="34">
        <f>IF(ISNUMBER(Matching_Engine!$AM$63),Matching_Engine!$AM$63,999)</f>
      </c>
      <c r="Y63" s="34">
        <f>IF(ISNUMBER(Matching_Engine!$AT$63),Matching_Engine!$AT$63,999)</f>
      </c>
      <c r="Z63" s="34">
        <f>MIN($T$63:$Y$63)</f>
      </c>
      <c r="AA63" s="32">
        <f>INDEX({"Brand &amp; Business Relevance","Target Audience Relevance","Content &amp; Category Relevance","Brand Personality Fit","Performance Quality","Brand Safety"},MATCH($Z$63,$T$63:$Y$63,0))</f>
      </c>
    </row>
    <row r="64" spans="1:27" x14ac:dyDescent="0.25">
      <c r="A64" s="32">
        <f>Matching_Engine!$B$64</f>
      </c>
      <c r="B64" s="32">
        <f>Matching_Engine!$D$64</f>
      </c>
      <c r="C64" s="32">
        <f>Matching_Engine!$E$64</f>
      </c>
      <c r="D64" s="33">
        <f>Matching_Engine!$AY$64</f>
      </c>
      <c r="E64" s="32">
        <f>Matching_Engine!$AZ$64</f>
      </c>
      <c r="F64" s="32">
        <f>IF(NOT(ISNUMBER(Matching_Engine!$AY$64)),"Not scored: no component of the model had data for this account, so no match can be claimed either way.",Matching_Engine!$AZ$64&amp;" — "&amp;Matching_Engine!$AY$64&amp;"/100 against "&amp;Matching_Engine!$B$64&amp;". "&amp;"Strongest factor "&amp;$S$64&amp;" at "&amp;$R$64&amp;"; weakest "&amp;$AA$64&amp;" at "&amp;$Z$64&amp;". "&amp;IF(AND(ISTEXT(Matching_Engine!$G$64),Matching_Engine!$G$64&lt;&gt;"N/A"),"Tagged category "&amp;Matching_Engine!$G$64&amp;" scores "&amp;IF(ISNUMBER(Matching_Engine!$J$64),Matching_Engine!$J$64,0)&amp;" against the brand category "&amp;Matching_Engine!$B$64&amp;" targets. ","Creator carries no category on record, so the category-driven parts fall back to neutral rather than penalising the creator. ")&amp;IF(ISNUMBER(Matching_Engine!$R$64),"Audience-interest overlap "&amp;Matching_Engine!$R$64&amp;". ","Audience interests unmeasured. ")&amp;IF(Matching_Engine!$AX$64&lt;100,"Scored on "&amp;Matching_Engine!$AX$64&amp;" of the 100 nominal weight points; the rest had no data.",""))</f>
      </c>
      <c r="G64" s="32">
        <f>IF(NOT(ISNUMBER(Matching_Engine!$AY$64)),"N/A",$S$64&amp;" ("&amp;$R$64&amp;"/100)")</f>
      </c>
      <c r="H64" s="32">
        <f>IF(NOT(ISNUMBER(Matching_Engine!$AY$64)),"N/A",$AA$64&amp;" ("&amp;$Z$64&amp;"/100)")</f>
      </c>
      <c r="I64" s="32">
        <f>IF(NOT(ISNUMBER(Matching_Engine!$AY$64)),"No data to consider: this account has no measured signal.",IF($Z$64&lt;Lookup_Lists!$D$161,$AA$64&amp;" sits at "&amp;$Z$64&amp;", below the "&amp;Lookup_Lists!$D$161&amp;"-point consideration threshold"&amp;IF(Matching_Engine!$AF$64=0," · Brand Personality Fit could not be scored at all: no creator personality, tone, values or content-style column exists","")&amp;IF(Matching_Engine!$AI$64="N/A"," · posting cadence unusable, so Consistency is excluded from Performance","")&amp;".","No component falls below the "&amp;Lookup_Lists!$D$161&amp;"-point consideration threshold."))</f>
      </c>
      <c r="J64" s="32">
        <f>Matching_Engine!$AV$64&amp;" — "&amp;Matching_Engine!$AW$64&amp;IF(Matching_Engine!$BB$64="Limited Data"," Confidence is Limited Data: "&amp;Matching_Engine!$BA$64&amp;"% of tracked fields carry a value.","")</f>
      </c>
      <c r="K64" s="32">
        <f>IF(NOT(ISNUMBER(Matching_Engine!$AY$64)),"Do not shortlist on this data — re-scrape the account first.",IF(Matching_Engine!$AY$64&gt;=Lookup_Lists!$D$156,"Highly Recommended",IF(Matching_Engine!$AY$64&gt;=Lookup_Lists!$D$157,"Recommended",IF(Matching_Engine!$AY$64&gt;=Lookup_Lists!$D$158,"Consider","Low Priority")))&amp;IF(Matching_Engine!$AX$64&lt;100," (on partial data)",""))</f>
      </c>
      <c r="L64" s="34">
        <f>IF(ISNUMBER(Matching_Engine!$M$64),Matching_Engine!$M$64,-1)</f>
      </c>
      <c r="M64" s="34">
        <f>IF(ISNUMBER(Matching_Engine!$S$64),Matching_Engine!$S$64,-1)</f>
      </c>
      <c r="N64" s="34">
        <f>IF(ISNUMBER(Matching_Engine!$Y$64),Matching_Engine!$Y$64,-1)</f>
      </c>
      <c r="O64" s="34">
        <f>IF(ISNUMBER(Matching_Engine!$AE$64),Matching_Engine!$AE$64,-1)</f>
      </c>
      <c r="P64" s="34">
        <f>IF(ISNUMBER(Matching_Engine!$AM$64),Matching_Engine!$AM$64,-1)</f>
      </c>
      <c r="Q64" s="34">
        <f>IF(ISNUMBER(Matching_Engine!$AT$64),Matching_Engine!$AT$64,-1)</f>
      </c>
      <c r="R64" s="34">
        <f>MAX($L$64:$Q$64)</f>
      </c>
      <c r="S64" s="32">
        <f>INDEX({"Brand &amp; Business Relevance","Target Audience Relevance","Content &amp; Category Relevance","Brand Personality Fit","Performance Quality","Brand Safety"},MATCH($R$64,$L$64:$Q$64,0))</f>
      </c>
      <c r="T64" s="34">
        <f>IF(ISNUMBER(Matching_Engine!$M$64),Matching_Engine!$M$64,999)</f>
      </c>
      <c r="U64" s="34">
        <f>IF(ISNUMBER(Matching_Engine!$S$64),Matching_Engine!$S$64,999)</f>
      </c>
      <c r="V64" s="34">
        <f>IF(ISNUMBER(Matching_Engine!$Y$64),Matching_Engine!$Y$64,999)</f>
      </c>
      <c r="W64" s="34">
        <f>IF(ISNUMBER(Matching_Engine!$AE$64),Matching_Engine!$AE$64,999)</f>
      </c>
      <c r="X64" s="34">
        <f>IF(ISNUMBER(Matching_Engine!$AM$64),Matching_Engine!$AM$64,999)</f>
      </c>
      <c r="Y64" s="34">
        <f>IF(ISNUMBER(Matching_Engine!$AT$64),Matching_Engine!$AT$64,999)</f>
      </c>
      <c r="Z64" s="34">
        <f>MIN($T$64:$Y$64)</f>
      </c>
      <c r="AA64" s="32">
        <f>INDEX({"Brand &amp; Business Relevance","Target Audience Relevance","Content &amp; Category Relevance","Brand Personality Fit","Performance Quality","Brand Safety"},MATCH($Z$64,$T$64:$Y$64,0))</f>
      </c>
    </row>
    <row r="65" spans="1:27" x14ac:dyDescent="0.25">
      <c r="A65" s="32">
        <f>Matching_Engine!$B$65</f>
      </c>
      <c r="B65" s="32">
        <f>Matching_Engine!$D$65</f>
      </c>
      <c r="C65" s="32">
        <f>Matching_Engine!$E$65</f>
      </c>
      <c r="D65" s="33">
        <f>Matching_Engine!$AY$65</f>
      </c>
      <c r="E65" s="32">
        <f>Matching_Engine!$AZ$65</f>
      </c>
      <c r="F65" s="32">
        <f>IF(NOT(ISNUMBER(Matching_Engine!$AY$65)),"Not scored: no component of the model had data for this account, so no match can be claimed either way.",Matching_Engine!$AZ$65&amp;" — "&amp;Matching_Engine!$AY$65&amp;"/100 against "&amp;Matching_Engine!$B$65&amp;". "&amp;"Strongest factor "&amp;$S$65&amp;" at "&amp;$R$65&amp;"; weakest "&amp;$AA$65&amp;" at "&amp;$Z$65&amp;". "&amp;IF(AND(ISTEXT(Matching_Engine!$G$65),Matching_Engine!$G$65&lt;&gt;"N/A"),"Tagged category "&amp;Matching_Engine!$G$65&amp;" scores "&amp;IF(ISNUMBER(Matching_Engine!$J$65),Matching_Engine!$J$65,0)&amp;" against the brand category "&amp;Matching_Engine!$B$65&amp;" targets. ","Creator carries no category on record, so the category-driven parts fall back to neutral rather than penalising the creator. ")&amp;IF(ISNUMBER(Matching_Engine!$R$65),"Audience-interest overlap "&amp;Matching_Engine!$R$65&amp;". ","Audience interests unmeasured. ")&amp;IF(Matching_Engine!$AX$65&lt;100,"Scored on "&amp;Matching_Engine!$AX$65&amp;" of the 100 nominal weight points; the rest had no data.",""))</f>
      </c>
      <c r="G65" s="32">
        <f>IF(NOT(ISNUMBER(Matching_Engine!$AY$65)),"N/A",$S$65&amp;" ("&amp;$R$65&amp;"/100)")</f>
      </c>
      <c r="H65" s="32">
        <f>IF(NOT(ISNUMBER(Matching_Engine!$AY$65)),"N/A",$AA$65&amp;" ("&amp;$Z$65&amp;"/100)")</f>
      </c>
      <c r="I65" s="32">
        <f>IF(NOT(ISNUMBER(Matching_Engine!$AY$65)),"No data to consider: this account has no measured signal.",IF($Z$65&lt;Lookup_Lists!$D$161,$AA$65&amp;" sits at "&amp;$Z$65&amp;", below the "&amp;Lookup_Lists!$D$161&amp;"-point consideration threshold"&amp;IF(Matching_Engine!$AF$65=0," · Brand Personality Fit could not be scored at all: no creator personality, tone, values or content-style column exists","")&amp;IF(Matching_Engine!$AI$65="N/A"," · posting cadence unusable, so Consistency is excluded from Performance","")&amp;".","No component falls below the "&amp;Lookup_Lists!$D$161&amp;"-point consideration threshold."))</f>
      </c>
      <c r="J65" s="32">
        <f>Matching_Engine!$AV$65&amp;" — "&amp;Matching_Engine!$AW$65&amp;IF(Matching_Engine!$BB$65="Limited Data"," Confidence is Limited Data: "&amp;Matching_Engine!$BA$65&amp;"% of tracked fields carry a value.","")</f>
      </c>
      <c r="K65" s="32">
        <f>IF(NOT(ISNUMBER(Matching_Engine!$AY$65)),"Do not shortlist on this data — re-scrape the account first.",IF(Matching_Engine!$AY$65&gt;=Lookup_Lists!$D$156,"Highly Recommended",IF(Matching_Engine!$AY$65&gt;=Lookup_Lists!$D$157,"Recommended",IF(Matching_Engine!$AY$65&gt;=Lookup_Lists!$D$158,"Consider","Low Priority")))&amp;IF(Matching_Engine!$AX$65&lt;100," (on partial data)",""))</f>
      </c>
      <c r="L65" s="34">
        <f>IF(ISNUMBER(Matching_Engine!$M$65),Matching_Engine!$M$65,-1)</f>
      </c>
      <c r="M65" s="34">
        <f>IF(ISNUMBER(Matching_Engine!$S$65),Matching_Engine!$S$65,-1)</f>
      </c>
      <c r="N65" s="34">
        <f>IF(ISNUMBER(Matching_Engine!$Y$65),Matching_Engine!$Y$65,-1)</f>
      </c>
      <c r="O65" s="34">
        <f>IF(ISNUMBER(Matching_Engine!$AE$65),Matching_Engine!$AE$65,-1)</f>
      </c>
      <c r="P65" s="34">
        <f>IF(ISNUMBER(Matching_Engine!$AM$65),Matching_Engine!$AM$65,-1)</f>
      </c>
      <c r="Q65" s="34">
        <f>IF(ISNUMBER(Matching_Engine!$AT$65),Matching_Engine!$AT$65,-1)</f>
      </c>
      <c r="R65" s="34">
        <f>MAX($L$65:$Q$65)</f>
      </c>
      <c r="S65" s="32">
        <f>INDEX({"Brand &amp; Business Relevance","Target Audience Relevance","Content &amp; Category Relevance","Brand Personality Fit","Performance Quality","Brand Safety"},MATCH($R$65,$L$65:$Q$65,0))</f>
      </c>
      <c r="T65" s="34">
        <f>IF(ISNUMBER(Matching_Engine!$M$65),Matching_Engine!$M$65,999)</f>
      </c>
      <c r="U65" s="34">
        <f>IF(ISNUMBER(Matching_Engine!$S$65),Matching_Engine!$S$65,999)</f>
      </c>
      <c r="V65" s="34">
        <f>IF(ISNUMBER(Matching_Engine!$Y$65),Matching_Engine!$Y$65,999)</f>
      </c>
      <c r="W65" s="34">
        <f>IF(ISNUMBER(Matching_Engine!$AE$65),Matching_Engine!$AE$65,999)</f>
      </c>
      <c r="X65" s="34">
        <f>IF(ISNUMBER(Matching_Engine!$AM$65),Matching_Engine!$AM$65,999)</f>
      </c>
      <c r="Y65" s="34">
        <f>IF(ISNUMBER(Matching_Engine!$AT$65),Matching_Engine!$AT$65,999)</f>
      </c>
      <c r="Z65" s="34">
        <f>MIN($T$65:$Y$65)</f>
      </c>
      <c r="AA65" s="32">
        <f>INDEX({"Brand &amp; Business Relevance","Target Audience Relevance","Content &amp; Category Relevance","Brand Personality Fit","Performance Quality","Brand Safety"},MATCH($Z$65,$T$65:$Y$65,0))</f>
      </c>
    </row>
    <row r="66" spans="1:27" x14ac:dyDescent="0.25">
      <c r="A66" s="32">
        <f>Matching_Engine!$B$66</f>
      </c>
      <c r="B66" s="32">
        <f>Matching_Engine!$D$66</f>
      </c>
      <c r="C66" s="32">
        <f>Matching_Engine!$E$66</f>
      </c>
      <c r="D66" s="33">
        <f>Matching_Engine!$AY$66</f>
      </c>
      <c r="E66" s="32">
        <f>Matching_Engine!$AZ$66</f>
      </c>
      <c r="F66" s="32">
        <f>IF(NOT(ISNUMBER(Matching_Engine!$AY$66)),"Not scored: no component of the model had data for this account, so no match can be claimed either way.",Matching_Engine!$AZ$66&amp;" — "&amp;Matching_Engine!$AY$66&amp;"/100 against "&amp;Matching_Engine!$B$66&amp;". "&amp;"Strongest factor "&amp;$S$66&amp;" at "&amp;$R$66&amp;"; weakest "&amp;$AA$66&amp;" at "&amp;$Z$66&amp;". "&amp;IF(AND(ISTEXT(Matching_Engine!$G$66),Matching_Engine!$G$66&lt;&gt;"N/A"),"Tagged category "&amp;Matching_Engine!$G$66&amp;" scores "&amp;IF(ISNUMBER(Matching_Engine!$J$66),Matching_Engine!$J$66,0)&amp;" against the brand category "&amp;Matching_Engine!$B$66&amp;" targets. ","Creator carries no category on record, so the category-driven parts fall back to neutral rather than penalising the creator. ")&amp;IF(ISNUMBER(Matching_Engine!$R$66),"Audience-interest overlap "&amp;Matching_Engine!$R$66&amp;". ","Audience interests unmeasured. ")&amp;IF(Matching_Engine!$AX$66&lt;100,"Scored on "&amp;Matching_Engine!$AX$66&amp;" of the 100 nominal weight points; the rest had no data.",""))</f>
      </c>
      <c r="G66" s="32">
        <f>IF(NOT(ISNUMBER(Matching_Engine!$AY$66)),"N/A",$S$66&amp;" ("&amp;$R$66&amp;"/100)")</f>
      </c>
      <c r="H66" s="32">
        <f>IF(NOT(ISNUMBER(Matching_Engine!$AY$66)),"N/A",$AA$66&amp;" ("&amp;$Z$66&amp;"/100)")</f>
      </c>
      <c r="I66" s="32">
        <f>IF(NOT(ISNUMBER(Matching_Engine!$AY$66)),"No data to consider: this account has no measured signal.",IF($Z$66&lt;Lookup_Lists!$D$161,$AA$66&amp;" sits at "&amp;$Z$66&amp;", below the "&amp;Lookup_Lists!$D$161&amp;"-point consideration threshold"&amp;IF(Matching_Engine!$AF$66=0," · Brand Personality Fit could not be scored at all: no creator personality, tone, values or content-style column exists","")&amp;IF(Matching_Engine!$AI$66="N/A"," · posting cadence unusable, so Consistency is excluded from Performance","")&amp;".","No component falls below the "&amp;Lookup_Lists!$D$161&amp;"-point consideration threshold."))</f>
      </c>
      <c r="J66" s="32">
        <f>Matching_Engine!$AV$66&amp;" — "&amp;Matching_Engine!$AW$66&amp;IF(Matching_Engine!$BB$66="Limited Data"," Confidence is Limited Data: "&amp;Matching_Engine!$BA$66&amp;"% of tracked fields carry a value.","")</f>
      </c>
      <c r="K66" s="32">
        <f>IF(NOT(ISNUMBER(Matching_Engine!$AY$66)),"Do not shortlist on this data — re-scrape the account first.",IF(Matching_Engine!$AY$66&gt;=Lookup_Lists!$D$156,"Highly Recommended",IF(Matching_Engine!$AY$66&gt;=Lookup_Lists!$D$157,"Recommended",IF(Matching_Engine!$AY$66&gt;=Lookup_Lists!$D$158,"Consider","Low Priority")))&amp;IF(Matching_Engine!$AX$66&lt;100," (on partial data)",""))</f>
      </c>
      <c r="L66" s="34">
        <f>IF(ISNUMBER(Matching_Engine!$M$66),Matching_Engine!$M$66,-1)</f>
      </c>
      <c r="M66" s="34">
        <f>IF(ISNUMBER(Matching_Engine!$S$66),Matching_Engine!$S$66,-1)</f>
      </c>
      <c r="N66" s="34">
        <f>IF(ISNUMBER(Matching_Engine!$Y$66),Matching_Engine!$Y$66,-1)</f>
      </c>
      <c r="O66" s="34">
        <f>IF(ISNUMBER(Matching_Engine!$AE$66),Matching_Engine!$AE$66,-1)</f>
      </c>
      <c r="P66" s="34">
        <f>IF(ISNUMBER(Matching_Engine!$AM$66),Matching_Engine!$AM$66,-1)</f>
      </c>
      <c r="Q66" s="34">
        <f>IF(ISNUMBER(Matching_Engine!$AT$66),Matching_Engine!$AT$66,-1)</f>
      </c>
      <c r="R66" s="34">
        <f>MAX($L$66:$Q$66)</f>
      </c>
      <c r="S66" s="32">
        <f>INDEX({"Brand &amp; Business Relevance","Target Audience Relevance","Content &amp; Category Relevance","Brand Personality Fit","Performance Quality","Brand Safety"},MATCH($R$66,$L$66:$Q$66,0))</f>
      </c>
      <c r="T66" s="34">
        <f>IF(ISNUMBER(Matching_Engine!$M$66),Matching_Engine!$M$66,999)</f>
      </c>
      <c r="U66" s="34">
        <f>IF(ISNUMBER(Matching_Engine!$S$66),Matching_Engine!$S$66,999)</f>
      </c>
      <c r="V66" s="34">
        <f>IF(ISNUMBER(Matching_Engine!$Y$66),Matching_Engine!$Y$66,999)</f>
      </c>
      <c r="W66" s="34">
        <f>IF(ISNUMBER(Matching_Engine!$AE$66),Matching_Engine!$AE$66,999)</f>
      </c>
      <c r="X66" s="34">
        <f>IF(ISNUMBER(Matching_Engine!$AM$66),Matching_Engine!$AM$66,999)</f>
      </c>
      <c r="Y66" s="34">
        <f>IF(ISNUMBER(Matching_Engine!$AT$66),Matching_Engine!$AT$66,999)</f>
      </c>
      <c r="Z66" s="34">
        <f>MIN($T$66:$Y$66)</f>
      </c>
      <c r="AA66" s="32">
        <f>INDEX({"Brand &amp; Business Relevance","Target Audience Relevance","Content &amp; Category Relevance","Brand Personality Fit","Performance Quality","Brand Safety"},MATCH($Z$66,$T$66:$Y$66,0))</f>
      </c>
    </row>
    <row r="67" spans="1:27" x14ac:dyDescent="0.25">
      <c r="A67" s="32">
        <f>Matching_Engine!$B$67</f>
      </c>
      <c r="B67" s="32">
        <f>Matching_Engine!$D$67</f>
      </c>
      <c r="C67" s="32">
        <f>Matching_Engine!$E$67</f>
      </c>
      <c r="D67" s="33">
        <f>Matching_Engine!$AY$67</f>
      </c>
      <c r="E67" s="32">
        <f>Matching_Engine!$AZ$67</f>
      </c>
      <c r="F67" s="32">
        <f>IF(NOT(ISNUMBER(Matching_Engine!$AY$67)),"Not scored: no component of the model had data for this account, so no match can be claimed either way.",Matching_Engine!$AZ$67&amp;" — "&amp;Matching_Engine!$AY$67&amp;"/100 against "&amp;Matching_Engine!$B$67&amp;". "&amp;"Strongest factor "&amp;$S$67&amp;" at "&amp;$R$67&amp;"; weakest "&amp;$AA$67&amp;" at "&amp;$Z$67&amp;". "&amp;IF(AND(ISTEXT(Matching_Engine!$G$67),Matching_Engine!$G$67&lt;&gt;"N/A"),"Tagged category "&amp;Matching_Engine!$G$67&amp;" scores "&amp;IF(ISNUMBER(Matching_Engine!$J$67),Matching_Engine!$J$67,0)&amp;" against the brand category "&amp;Matching_Engine!$B$67&amp;" targets. ","Creator carries no category on record, so the category-driven parts fall back to neutral rather than penalising the creator. ")&amp;IF(ISNUMBER(Matching_Engine!$R$67),"Audience-interest overlap "&amp;Matching_Engine!$R$67&amp;". ","Audience interests unmeasured. ")&amp;IF(Matching_Engine!$AX$67&lt;100,"Scored on "&amp;Matching_Engine!$AX$67&amp;" of the 100 nominal weight points; the rest had no data.",""))</f>
      </c>
      <c r="G67" s="32">
        <f>IF(NOT(ISNUMBER(Matching_Engine!$AY$67)),"N/A",$S$67&amp;" ("&amp;$R$67&amp;"/100)")</f>
      </c>
      <c r="H67" s="32">
        <f>IF(NOT(ISNUMBER(Matching_Engine!$AY$67)),"N/A",$AA$67&amp;" ("&amp;$Z$67&amp;"/100)")</f>
      </c>
      <c r="I67" s="32">
        <f>IF(NOT(ISNUMBER(Matching_Engine!$AY$67)),"No data to consider: this account has no measured signal.",IF($Z$67&lt;Lookup_Lists!$D$161,$AA$67&amp;" sits at "&amp;$Z$67&amp;", below the "&amp;Lookup_Lists!$D$161&amp;"-point consideration threshold"&amp;IF(Matching_Engine!$AF$67=0," · Brand Personality Fit could not be scored at all: no creator personality, tone, values or content-style column exists","")&amp;IF(Matching_Engine!$AI$67="N/A"," · posting cadence unusable, so Consistency is excluded from Performance","")&amp;".","No component falls below the "&amp;Lookup_Lists!$D$161&amp;"-point consideration threshold."))</f>
      </c>
      <c r="J67" s="32">
        <f>Matching_Engine!$AV$67&amp;" — "&amp;Matching_Engine!$AW$67&amp;IF(Matching_Engine!$BB$67="Limited Data"," Confidence is Limited Data: "&amp;Matching_Engine!$BA$67&amp;"% of tracked fields carry a value.","")</f>
      </c>
      <c r="K67" s="32">
        <f>IF(NOT(ISNUMBER(Matching_Engine!$AY$67)),"Do not shortlist on this data — re-scrape the account first.",IF(Matching_Engine!$AY$67&gt;=Lookup_Lists!$D$156,"Highly Recommended",IF(Matching_Engine!$AY$67&gt;=Lookup_Lists!$D$157,"Recommended",IF(Matching_Engine!$AY$67&gt;=Lookup_Lists!$D$158,"Consider","Low Priority")))&amp;IF(Matching_Engine!$AX$67&lt;100," (on partial data)",""))</f>
      </c>
      <c r="L67" s="34">
        <f>IF(ISNUMBER(Matching_Engine!$M$67),Matching_Engine!$M$67,-1)</f>
      </c>
      <c r="M67" s="34">
        <f>IF(ISNUMBER(Matching_Engine!$S$67),Matching_Engine!$S$67,-1)</f>
      </c>
      <c r="N67" s="34">
        <f>IF(ISNUMBER(Matching_Engine!$Y$67),Matching_Engine!$Y$67,-1)</f>
      </c>
      <c r="O67" s="34">
        <f>IF(ISNUMBER(Matching_Engine!$AE$67),Matching_Engine!$AE$67,-1)</f>
      </c>
      <c r="P67" s="34">
        <f>IF(ISNUMBER(Matching_Engine!$AM$67),Matching_Engine!$AM$67,-1)</f>
      </c>
      <c r="Q67" s="34">
        <f>IF(ISNUMBER(Matching_Engine!$AT$67),Matching_Engine!$AT$67,-1)</f>
      </c>
      <c r="R67" s="34">
        <f>MAX($L$67:$Q$67)</f>
      </c>
      <c r="S67" s="32">
        <f>INDEX({"Brand &amp; Business Relevance","Target Audience Relevance","Content &amp; Category Relevance","Brand Personality Fit","Performance Quality","Brand Safety"},MATCH($R$67,$L$67:$Q$67,0))</f>
      </c>
      <c r="T67" s="34">
        <f>IF(ISNUMBER(Matching_Engine!$M$67),Matching_Engine!$M$67,999)</f>
      </c>
      <c r="U67" s="34">
        <f>IF(ISNUMBER(Matching_Engine!$S$67),Matching_Engine!$S$67,999)</f>
      </c>
      <c r="V67" s="34">
        <f>IF(ISNUMBER(Matching_Engine!$Y$67),Matching_Engine!$Y$67,999)</f>
      </c>
      <c r="W67" s="34">
        <f>IF(ISNUMBER(Matching_Engine!$AE$67),Matching_Engine!$AE$67,999)</f>
      </c>
      <c r="X67" s="34">
        <f>IF(ISNUMBER(Matching_Engine!$AM$67),Matching_Engine!$AM$67,999)</f>
      </c>
      <c r="Y67" s="34">
        <f>IF(ISNUMBER(Matching_Engine!$AT$67),Matching_Engine!$AT$67,999)</f>
      </c>
      <c r="Z67" s="34">
        <f>MIN($T$67:$Y$67)</f>
      </c>
      <c r="AA67" s="32">
        <f>INDEX({"Brand &amp; Business Relevance","Target Audience Relevance","Content &amp; Category Relevance","Brand Personality Fit","Performance Quality","Brand Safety"},MATCH($Z$67,$T$67:$Y$67,0))</f>
      </c>
    </row>
    <row r="68" spans="1:27" x14ac:dyDescent="0.25">
      <c r="A68" s="32">
        <f>Matching_Engine!$B$68</f>
      </c>
      <c r="B68" s="32">
        <f>Matching_Engine!$D$68</f>
      </c>
      <c r="C68" s="32">
        <f>Matching_Engine!$E$68</f>
      </c>
      <c r="D68" s="33">
        <f>Matching_Engine!$AY$68</f>
      </c>
      <c r="E68" s="32">
        <f>Matching_Engine!$AZ$68</f>
      </c>
      <c r="F68" s="32">
        <f>IF(NOT(ISNUMBER(Matching_Engine!$AY$68)),"Not scored: no component of the model had data for this account, so no match can be claimed either way.",Matching_Engine!$AZ$68&amp;" — "&amp;Matching_Engine!$AY$68&amp;"/100 against "&amp;Matching_Engine!$B$68&amp;". "&amp;"Strongest factor "&amp;$S$68&amp;" at "&amp;$R$68&amp;"; weakest "&amp;$AA$68&amp;" at "&amp;$Z$68&amp;". "&amp;IF(AND(ISTEXT(Matching_Engine!$G$68),Matching_Engine!$G$68&lt;&gt;"N/A"),"Tagged category "&amp;Matching_Engine!$G$68&amp;" scores "&amp;IF(ISNUMBER(Matching_Engine!$J$68),Matching_Engine!$J$68,0)&amp;" against the brand category "&amp;Matching_Engine!$B$68&amp;" targets. ","Creator carries no category on record, so the category-driven parts fall back to neutral rather than penalising the creator. ")&amp;IF(ISNUMBER(Matching_Engine!$R$68),"Audience-interest overlap "&amp;Matching_Engine!$R$68&amp;". ","Audience interests unmeasured. ")&amp;IF(Matching_Engine!$AX$68&lt;100,"Scored on "&amp;Matching_Engine!$AX$68&amp;" of the 100 nominal weight points; the rest had no data.",""))</f>
      </c>
      <c r="G68" s="32">
        <f>IF(NOT(ISNUMBER(Matching_Engine!$AY$68)),"N/A",$S$68&amp;" ("&amp;$R$68&amp;"/100)")</f>
      </c>
      <c r="H68" s="32">
        <f>IF(NOT(ISNUMBER(Matching_Engine!$AY$68)),"N/A",$AA$68&amp;" ("&amp;$Z$68&amp;"/100)")</f>
      </c>
      <c r="I68" s="32">
        <f>IF(NOT(ISNUMBER(Matching_Engine!$AY$68)),"No data to consider: this account has no measured signal.",IF($Z$68&lt;Lookup_Lists!$D$161,$AA$68&amp;" sits at "&amp;$Z$68&amp;", below the "&amp;Lookup_Lists!$D$161&amp;"-point consideration threshold"&amp;IF(Matching_Engine!$AF$68=0," · Brand Personality Fit could not be scored at all: no creator personality, tone, values or content-style column exists","")&amp;IF(Matching_Engine!$AI$68="N/A"," · posting cadence unusable, so Consistency is excluded from Performance","")&amp;".","No component falls below the "&amp;Lookup_Lists!$D$161&amp;"-point consideration threshold."))</f>
      </c>
      <c r="J68" s="32">
        <f>Matching_Engine!$AV$68&amp;" — "&amp;Matching_Engine!$AW$68&amp;IF(Matching_Engine!$BB$68="Limited Data"," Confidence is Limited Data: "&amp;Matching_Engine!$BA$68&amp;"% of tracked fields carry a value.","")</f>
      </c>
      <c r="K68" s="32">
        <f>IF(NOT(ISNUMBER(Matching_Engine!$AY$68)),"Do not shortlist on this data — re-scrape the account first.",IF(Matching_Engine!$AY$68&gt;=Lookup_Lists!$D$156,"Highly Recommended",IF(Matching_Engine!$AY$68&gt;=Lookup_Lists!$D$157,"Recommended",IF(Matching_Engine!$AY$68&gt;=Lookup_Lists!$D$158,"Consider","Low Priority")))&amp;IF(Matching_Engine!$AX$68&lt;100," (on partial data)",""))</f>
      </c>
      <c r="L68" s="34">
        <f>IF(ISNUMBER(Matching_Engine!$M$68),Matching_Engine!$M$68,-1)</f>
      </c>
      <c r="M68" s="34">
        <f>IF(ISNUMBER(Matching_Engine!$S$68),Matching_Engine!$S$68,-1)</f>
      </c>
      <c r="N68" s="34">
        <f>IF(ISNUMBER(Matching_Engine!$Y$68),Matching_Engine!$Y$68,-1)</f>
      </c>
      <c r="O68" s="34">
        <f>IF(ISNUMBER(Matching_Engine!$AE$68),Matching_Engine!$AE$68,-1)</f>
      </c>
      <c r="P68" s="34">
        <f>IF(ISNUMBER(Matching_Engine!$AM$68),Matching_Engine!$AM$68,-1)</f>
      </c>
      <c r="Q68" s="34">
        <f>IF(ISNUMBER(Matching_Engine!$AT$68),Matching_Engine!$AT$68,-1)</f>
      </c>
      <c r="R68" s="34">
        <f>MAX($L$68:$Q$68)</f>
      </c>
      <c r="S68" s="32">
        <f>INDEX({"Brand &amp; Business Relevance","Target Audience Relevance","Content &amp; Category Relevance","Brand Personality Fit","Performance Quality","Brand Safety"},MATCH($R$68,$L$68:$Q$68,0))</f>
      </c>
      <c r="T68" s="34">
        <f>IF(ISNUMBER(Matching_Engine!$M$68),Matching_Engine!$M$68,999)</f>
      </c>
      <c r="U68" s="34">
        <f>IF(ISNUMBER(Matching_Engine!$S$68),Matching_Engine!$S$68,999)</f>
      </c>
      <c r="V68" s="34">
        <f>IF(ISNUMBER(Matching_Engine!$Y$68),Matching_Engine!$Y$68,999)</f>
      </c>
      <c r="W68" s="34">
        <f>IF(ISNUMBER(Matching_Engine!$AE$68),Matching_Engine!$AE$68,999)</f>
      </c>
      <c r="X68" s="34">
        <f>IF(ISNUMBER(Matching_Engine!$AM$68),Matching_Engine!$AM$68,999)</f>
      </c>
      <c r="Y68" s="34">
        <f>IF(ISNUMBER(Matching_Engine!$AT$68),Matching_Engine!$AT$68,999)</f>
      </c>
      <c r="Z68" s="34">
        <f>MIN($T$68:$Y$68)</f>
      </c>
      <c r="AA68" s="32">
        <f>INDEX({"Brand &amp; Business Relevance","Target Audience Relevance","Content &amp; Category Relevance","Brand Personality Fit","Performance Quality","Brand Safety"},MATCH($Z$68,$T$68:$Y$68,0))</f>
      </c>
    </row>
    <row r="69" spans="1:27" x14ac:dyDescent="0.25">
      <c r="A69" s="32">
        <f>Matching_Engine!$B$69</f>
      </c>
      <c r="B69" s="32">
        <f>Matching_Engine!$D$69</f>
      </c>
      <c r="C69" s="32">
        <f>Matching_Engine!$E$69</f>
      </c>
      <c r="D69" s="33">
        <f>Matching_Engine!$AY$69</f>
      </c>
      <c r="E69" s="32">
        <f>Matching_Engine!$AZ$69</f>
      </c>
      <c r="F69" s="32">
        <f>IF(NOT(ISNUMBER(Matching_Engine!$AY$69)),"Not scored: no component of the model had data for this account, so no match can be claimed either way.",Matching_Engine!$AZ$69&amp;" — "&amp;Matching_Engine!$AY$69&amp;"/100 against "&amp;Matching_Engine!$B$69&amp;". "&amp;"Strongest factor "&amp;$S$69&amp;" at "&amp;$R$69&amp;"; weakest "&amp;$AA$69&amp;" at "&amp;$Z$69&amp;". "&amp;IF(AND(ISTEXT(Matching_Engine!$G$69),Matching_Engine!$G$69&lt;&gt;"N/A"),"Tagged category "&amp;Matching_Engine!$G$69&amp;" scores "&amp;IF(ISNUMBER(Matching_Engine!$J$69),Matching_Engine!$J$69,0)&amp;" against the brand category "&amp;Matching_Engine!$B$69&amp;" targets. ","Creator carries no category on record, so the category-driven parts fall back to neutral rather than penalising the creator. ")&amp;IF(ISNUMBER(Matching_Engine!$R$69),"Audience-interest overlap "&amp;Matching_Engine!$R$69&amp;". ","Audience interests unmeasured. ")&amp;IF(Matching_Engine!$AX$69&lt;100,"Scored on "&amp;Matching_Engine!$AX$69&amp;" of the 100 nominal weight points; the rest had no data.",""))</f>
      </c>
      <c r="G69" s="32">
        <f>IF(NOT(ISNUMBER(Matching_Engine!$AY$69)),"N/A",$S$69&amp;" ("&amp;$R$69&amp;"/100)")</f>
      </c>
      <c r="H69" s="32">
        <f>IF(NOT(ISNUMBER(Matching_Engine!$AY$69)),"N/A",$AA$69&amp;" ("&amp;$Z$69&amp;"/100)")</f>
      </c>
      <c r="I69" s="32">
        <f>IF(NOT(ISNUMBER(Matching_Engine!$AY$69)),"No data to consider: this account has no measured signal.",IF($Z$69&lt;Lookup_Lists!$D$161,$AA$69&amp;" sits at "&amp;$Z$69&amp;", below the "&amp;Lookup_Lists!$D$161&amp;"-point consideration threshold"&amp;IF(Matching_Engine!$AF$69=0," · Brand Personality Fit could not be scored at all: no creator personality, tone, values or content-style column exists","")&amp;IF(Matching_Engine!$AI$69="N/A"," · posting cadence unusable, so Consistency is excluded from Performance","")&amp;".","No component falls below the "&amp;Lookup_Lists!$D$161&amp;"-point consideration threshold."))</f>
      </c>
      <c r="J69" s="32">
        <f>Matching_Engine!$AV$69&amp;" — "&amp;Matching_Engine!$AW$69&amp;IF(Matching_Engine!$BB$69="Limited Data"," Confidence is Limited Data: "&amp;Matching_Engine!$BA$69&amp;"% of tracked fields carry a value.","")</f>
      </c>
      <c r="K69" s="32">
        <f>IF(NOT(ISNUMBER(Matching_Engine!$AY$69)),"Do not shortlist on this data — re-scrape the account first.",IF(Matching_Engine!$AY$69&gt;=Lookup_Lists!$D$156,"Highly Recommended",IF(Matching_Engine!$AY$69&gt;=Lookup_Lists!$D$157,"Recommended",IF(Matching_Engine!$AY$69&gt;=Lookup_Lists!$D$158,"Consider","Low Priority")))&amp;IF(Matching_Engine!$AX$69&lt;100," (on partial data)",""))</f>
      </c>
      <c r="L69" s="34">
        <f>IF(ISNUMBER(Matching_Engine!$M$69),Matching_Engine!$M$69,-1)</f>
      </c>
      <c r="M69" s="34">
        <f>IF(ISNUMBER(Matching_Engine!$S$69),Matching_Engine!$S$69,-1)</f>
      </c>
      <c r="N69" s="34">
        <f>IF(ISNUMBER(Matching_Engine!$Y$69),Matching_Engine!$Y$69,-1)</f>
      </c>
      <c r="O69" s="34">
        <f>IF(ISNUMBER(Matching_Engine!$AE$69),Matching_Engine!$AE$69,-1)</f>
      </c>
      <c r="P69" s="34">
        <f>IF(ISNUMBER(Matching_Engine!$AM$69),Matching_Engine!$AM$69,-1)</f>
      </c>
      <c r="Q69" s="34">
        <f>IF(ISNUMBER(Matching_Engine!$AT$69),Matching_Engine!$AT$69,-1)</f>
      </c>
      <c r="R69" s="34">
        <f>MAX($L$69:$Q$69)</f>
      </c>
      <c r="S69" s="32">
        <f>INDEX({"Brand &amp; Business Relevance","Target Audience Relevance","Content &amp; Category Relevance","Brand Personality Fit","Performance Quality","Brand Safety"},MATCH($R$69,$L$69:$Q$69,0))</f>
      </c>
      <c r="T69" s="34">
        <f>IF(ISNUMBER(Matching_Engine!$M$69),Matching_Engine!$M$69,999)</f>
      </c>
      <c r="U69" s="34">
        <f>IF(ISNUMBER(Matching_Engine!$S$69),Matching_Engine!$S$69,999)</f>
      </c>
      <c r="V69" s="34">
        <f>IF(ISNUMBER(Matching_Engine!$Y$69),Matching_Engine!$Y$69,999)</f>
      </c>
      <c r="W69" s="34">
        <f>IF(ISNUMBER(Matching_Engine!$AE$69),Matching_Engine!$AE$69,999)</f>
      </c>
      <c r="X69" s="34">
        <f>IF(ISNUMBER(Matching_Engine!$AM$69),Matching_Engine!$AM$69,999)</f>
      </c>
      <c r="Y69" s="34">
        <f>IF(ISNUMBER(Matching_Engine!$AT$69),Matching_Engine!$AT$69,999)</f>
      </c>
      <c r="Z69" s="34">
        <f>MIN($T$69:$Y$69)</f>
      </c>
      <c r="AA69" s="32">
        <f>INDEX({"Brand &amp; Business Relevance","Target Audience Relevance","Content &amp; Category Relevance","Brand Personality Fit","Performance Quality","Brand Safety"},MATCH($Z$69,$T$69:$Y$69,0))</f>
      </c>
    </row>
    <row r="70" spans="1:27" x14ac:dyDescent="0.25">
      <c r="A70" s="32">
        <f>Matching_Engine!$B$70</f>
      </c>
      <c r="B70" s="32">
        <f>Matching_Engine!$D$70</f>
      </c>
      <c r="C70" s="32">
        <f>Matching_Engine!$E$70</f>
      </c>
      <c r="D70" s="33">
        <f>Matching_Engine!$AY$70</f>
      </c>
      <c r="E70" s="32">
        <f>Matching_Engine!$AZ$70</f>
      </c>
      <c r="F70" s="32">
        <f>IF(NOT(ISNUMBER(Matching_Engine!$AY$70)),"Not scored: no component of the model had data for this account, so no match can be claimed either way.",Matching_Engine!$AZ$70&amp;" — "&amp;Matching_Engine!$AY$70&amp;"/100 against "&amp;Matching_Engine!$B$70&amp;". "&amp;"Strongest factor "&amp;$S$70&amp;" at "&amp;$R$70&amp;"; weakest "&amp;$AA$70&amp;" at "&amp;$Z$70&amp;". "&amp;IF(AND(ISTEXT(Matching_Engine!$G$70),Matching_Engine!$G$70&lt;&gt;"N/A"),"Tagged category "&amp;Matching_Engine!$G$70&amp;" scores "&amp;IF(ISNUMBER(Matching_Engine!$J$70),Matching_Engine!$J$70,0)&amp;" against the brand category "&amp;Matching_Engine!$B$70&amp;" targets. ","Creator carries no category on record, so the category-driven parts fall back to neutral rather than penalising the creator. ")&amp;IF(ISNUMBER(Matching_Engine!$R$70),"Audience-interest overlap "&amp;Matching_Engine!$R$70&amp;". ","Audience interests unmeasured. ")&amp;IF(Matching_Engine!$AX$70&lt;100,"Scored on "&amp;Matching_Engine!$AX$70&amp;" of the 100 nominal weight points; the rest had no data.",""))</f>
      </c>
      <c r="G70" s="32">
        <f>IF(NOT(ISNUMBER(Matching_Engine!$AY$70)),"N/A",$S$70&amp;" ("&amp;$R$70&amp;"/100)")</f>
      </c>
      <c r="H70" s="32">
        <f>IF(NOT(ISNUMBER(Matching_Engine!$AY$70)),"N/A",$AA$70&amp;" ("&amp;$Z$70&amp;"/100)")</f>
      </c>
      <c r="I70" s="32">
        <f>IF(NOT(ISNUMBER(Matching_Engine!$AY$70)),"No data to consider: this account has no measured signal.",IF($Z$70&lt;Lookup_Lists!$D$161,$AA$70&amp;" sits at "&amp;$Z$70&amp;", below the "&amp;Lookup_Lists!$D$161&amp;"-point consideration threshold"&amp;IF(Matching_Engine!$AF$70=0," · Brand Personality Fit could not be scored at all: no creator personality, tone, values or content-style column exists","")&amp;IF(Matching_Engine!$AI$70="N/A"," · posting cadence unusable, so Consistency is excluded from Performance","")&amp;".","No component falls below the "&amp;Lookup_Lists!$D$161&amp;"-point consideration threshold."))</f>
      </c>
      <c r="J70" s="32">
        <f>Matching_Engine!$AV$70&amp;" — "&amp;Matching_Engine!$AW$70&amp;IF(Matching_Engine!$BB$70="Limited Data"," Confidence is Limited Data: "&amp;Matching_Engine!$BA$70&amp;"% of tracked fields carry a value.","")</f>
      </c>
      <c r="K70" s="32">
        <f>IF(NOT(ISNUMBER(Matching_Engine!$AY$70)),"Do not shortlist on this data — re-scrape the account first.",IF(Matching_Engine!$AY$70&gt;=Lookup_Lists!$D$156,"Highly Recommended",IF(Matching_Engine!$AY$70&gt;=Lookup_Lists!$D$157,"Recommended",IF(Matching_Engine!$AY$70&gt;=Lookup_Lists!$D$158,"Consider","Low Priority")))&amp;IF(Matching_Engine!$AX$70&lt;100," (on partial data)",""))</f>
      </c>
      <c r="L70" s="34">
        <f>IF(ISNUMBER(Matching_Engine!$M$70),Matching_Engine!$M$70,-1)</f>
      </c>
      <c r="M70" s="34">
        <f>IF(ISNUMBER(Matching_Engine!$S$70),Matching_Engine!$S$70,-1)</f>
      </c>
      <c r="N70" s="34">
        <f>IF(ISNUMBER(Matching_Engine!$Y$70),Matching_Engine!$Y$70,-1)</f>
      </c>
      <c r="O70" s="34">
        <f>IF(ISNUMBER(Matching_Engine!$AE$70),Matching_Engine!$AE$70,-1)</f>
      </c>
      <c r="P70" s="34">
        <f>IF(ISNUMBER(Matching_Engine!$AM$70),Matching_Engine!$AM$70,-1)</f>
      </c>
      <c r="Q70" s="34">
        <f>IF(ISNUMBER(Matching_Engine!$AT$70),Matching_Engine!$AT$70,-1)</f>
      </c>
      <c r="R70" s="34">
        <f>MAX($L$70:$Q$70)</f>
      </c>
      <c r="S70" s="32">
        <f>INDEX({"Brand &amp; Business Relevance","Target Audience Relevance","Content &amp; Category Relevance","Brand Personality Fit","Performance Quality","Brand Safety"},MATCH($R$70,$L$70:$Q$70,0))</f>
      </c>
      <c r="T70" s="34">
        <f>IF(ISNUMBER(Matching_Engine!$M$70),Matching_Engine!$M$70,999)</f>
      </c>
      <c r="U70" s="34">
        <f>IF(ISNUMBER(Matching_Engine!$S$70),Matching_Engine!$S$70,999)</f>
      </c>
      <c r="V70" s="34">
        <f>IF(ISNUMBER(Matching_Engine!$Y$70),Matching_Engine!$Y$70,999)</f>
      </c>
      <c r="W70" s="34">
        <f>IF(ISNUMBER(Matching_Engine!$AE$70),Matching_Engine!$AE$70,999)</f>
      </c>
      <c r="X70" s="34">
        <f>IF(ISNUMBER(Matching_Engine!$AM$70),Matching_Engine!$AM$70,999)</f>
      </c>
      <c r="Y70" s="34">
        <f>IF(ISNUMBER(Matching_Engine!$AT$70),Matching_Engine!$AT$70,999)</f>
      </c>
      <c r="Z70" s="34">
        <f>MIN($T$70:$Y$70)</f>
      </c>
      <c r="AA70" s="32">
        <f>INDEX({"Brand &amp; Business Relevance","Target Audience Relevance","Content &amp; Category Relevance","Brand Personality Fit","Performance Quality","Brand Safety"},MATCH($Z$70,$T$70:$Y$70,0))</f>
      </c>
    </row>
    <row r="71" spans="1:27" x14ac:dyDescent="0.25">
      <c r="A71" s="32">
        <f>Matching_Engine!$B$71</f>
      </c>
      <c r="B71" s="32">
        <f>Matching_Engine!$D$71</f>
      </c>
      <c r="C71" s="32">
        <f>Matching_Engine!$E$71</f>
      </c>
      <c r="D71" s="33">
        <f>Matching_Engine!$AY$71</f>
      </c>
      <c r="E71" s="32">
        <f>Matching_Engine!$AZ$71</f>
      </c>
      <c r="F71" s="32">
        <f>IF(NOT(ISNUMBER(Matching_Engine!$AY$71)),"Not scored: no component of the model had data for this account, so no match can be claimed either way.",Matching_Engine!$AZ$71&amp;" — "&amp;Matching_Engine!$AY$71&amp;"/100 against "&amp;Matching_Engine!$B$71&amp;". "&amp;"Strongest factor "&amp;$S$71&amp;" at "&amp;$R$71&amp;"; weakest "&amp;$AA$71&amp;" at "&amp;$Z$71&amp;". "&amp;IF(AND(ISTEXT(Matching_Engine!$G$71),Matching_Engine!$G$71&lt;&gt;"N/A"),"Tagged category "&amp;Matching_Engine!$G$71&amp;" scores "&amp;IF(ISNUMBER(Matching_Engine!$J$71),Matching_Engine!$J$71,0)&amp;" against the brand category "&amp;Matching_Engine!$B$71&amp;" targets. ","Creator carries no category on record, so the category-driven parts fall back to neutral rather than penalising the creator. ")&amp;IF(ISNUMBER(Matching_Engine!$R$71),"Audience-interest overlap "&amp;Matching_Engine!$R$71&amp;". ","Audience interests unmeasured. ")&amp;IF(Matching_Engine!$AX$71&lt;100,"Scored on "&amp;Matching_Engine!$AX$71&amp;" of the 100 nominal weight points; the rest had no data.",""))</f>
      </c>
      <c r="G71" s="32">
        <f>IF(NOT(ISNUMBER(Matching_Engine!$AY$71)),"N/A",$S$71&amp;" ("&amp;$R$71&amp;"/100)")</f>
      </c>
      <c r="H71" s="32">
        <f>IF(NOT(ISNUMBER(Matching_Engine!$AY$71)),"N/A",$AA$71&amp;" ("&amp;$Z$71&amp;"/100)")</f>
      </c>
      <c r="I71" s="32">
        <f>IF(NOT(ISNUMBER(Matching_Engine!$AY$71)),"No data to consider: this account has no measured signal.",IF($Z$71&lt;Lookup_Lists!$D$161,$AA$71&amp;" sits at "&amp;$Z$71&amp;", below the "&amp;Lookup_Lists!$D$161&amp;"-point consideration threshold"&amp;IF(Matching_Engine!$AF$71=0," · Brand Personality Fit could not be scored at all: no creator personality, tone, values or content-style column exists","")&amp;IF(Matching_Engine!$AI$71="N/A"," · posting cadence unusable, so Consistency is excluded from Performance","")&amp;".","No component falls below the "&amp;Lookup_Lists!$D$161&amp;"-point consideration threshold."))</f>
      </c>
      <c r="J71" s="32">
        <f>Matching_Engine!$AV$71&amp;" — "&amp;Matching_Engine!$AW$71&amp;IF(Matching_Engine!$BB$71="Limited Data"," Confidence is Limited Data: "&amp;Matching_Engine!$BA$71&amp;"% of tracked fields carry a value.","")</f>
      </c>
      <c r="K71" s="32">
        <f>IF(NOT(ISNUMBER(Matching_Engine!$AY$71)),"Do not shortlist on this data — re-scrape the account first.",IF(Matching_Engine!$AY$71&gt;=Lookup_Lists!$D$156,"Highly Recommended",IF(Matching_Engine!$AY$71&gt;=Lookup_Lists!$D$157,"Recommended",IF(Matching_Engine!$AY$71&gt;=Lookup_Lists!$D$158,"Consider","Low Priority")))&amp;IF(Matching_Engine!$AX$71&lt;100," (on partial data)",""))</f>
      </c>
      <c r="L71" s="34">
        <f>IF(ISNUMBER(Matching_Engine!$M$71),Matching_Engine!$M$71,-1)</f>
      </c>
      <c r="M71" s="34">
        <f>IF(ISNUMBER(Matching_Engine!$S$71),Matching_Engine!$S$71,-1)</f>
      </c>
      <c r="N71" s="34">
        <f>IF(ISNUMBER(Matching_Engine!$Y$71),Matching_Engine!$Y$71,-1)</f>
      </c>
      <c r="O71" s="34">
        <f>IF(ISNUMBER(Matching_Engine!$AE$71),Matching_Engine!$AE$71,-1)</f>
      </c>
      <c r="P71" s="34">
        <f>IF(ISNUMBER(Matching_Engine!$AM$71),Matching_Engine!$AM$71,-1)</f>
      </c>
      <c r="Q71" s="34">
        <f>IF(ISNUMBER(Matching_Engine!$AT$71),Matching_Engine!$AT$71,-1)</f>
      </c>
      <c r="R71" s="34">
        <f>MAX($L$71:$Q$71)</f>
      </c>
      <c r="S71" s="32">
        <f>INDEX({"Brand &amp; Business Relevance","Target Audience Relevance","Content &amp; Category Relevance","Brand Personality Fit","Performance Quality","Brand Safety"},MATCH($R$71,$L$71:$Q$71,0))</f>
      </c>
      <c r="T71" s="34">
        <f>IF(ISNUMBER(Matching_Engine!$M$71),Matching_Engine!$M$71,999)</f>
      </c>
      <c r="U71" s="34">
        <f>IF(ISNUMBER(Matching_Engine!$S$71),Matching_Engine!$S$71,999)</f>
      </c>
      <c r="V71" s="34">
        <f>IF(ISNUMBER(Matching_Engine!$Y$71),Matching_Engine!$Y$71,999)</f>
      </c>
      <c r="W71" s="34">
        <f>IF(ISNUMBER(Matching_Engine!$AE$71),Matching_Engine!$AE$71,999)</f>
      </c>
      <c r="X71" s="34">
        <f>IF(ISNUMBER(Matching_Engine!$AM$71),Matching_Engine!$AM$71,999)</f>
      </c>
      <c r="Y71" s="34">
        <f>IF(ISNUMBER(Matching_Engine!$AT$71),Matching_Engine!$AT$71,999)</f>
      </c>
      <c r="Z71" s="34">
        <f>MIN($T$71:$Y$71)</f>
      </c>
      <c r="AA71" s="32">
        <f>INDEX({"Brand &amp; Business Relevance","Target Audience Relevance","Content &amp; Category Relevance","Brand Personality Fit","Performance Quality","Brand Safety"},MATCH($Z$71,$T$71:$Y$71,0))</f>
      </c>
    </row>
    <row r="72" spans="1:27" x14ac:dyDescent="0.25">
      <c r="A72" s="32">
        <f>Matching_Engine!$B$72</f>
      </c>
      <c r="B72" s="32">
        <f>Matching_Engine!$D$72</f>
      </c>
      <c r="C72" s="32">
        <f>Matching_Engine!$E$72</f>
      </c>
      <c r="D72" s="33">
        <f>Matching_Engine!$AY$72</f>
      </c>
      <c r="E72" s="32">
        <f>Matching_Engine!$AZ$72</f>
      </c>
      <c r="F72" s="32">
        <f>IF(NOT(ISNUMBER(Matching_Engine!$AY$72)),"Not scored: no component of the model had data for this account, so no match can be claimed either way.",Matching_Engine!$AZ$72&amp;" — "&amp;Matching_Engine!$AY$72&amp;"/100 against "&amp;Matching_Engine!$B$72&amp;". "&amp;"Strongest factor "&amp;$S$72&amp;" at "&amp;$R$72&amp;"; weakest "&amp;$AA$72&amp;" at "&amp;$Z$72&amp;". "&amp;IF(AND(ISTEXT(Matching_Engine!$G$72),Matching_Engine!$G$72&lt;&gt;"N/A"),"Tagged category "&amp;Matching_Engine!$G$72&amp;" scores "&amp;IF(ISNUMBER(Matching_Engine!$J$72),Matching_Engine!$J$72,0)&amp;" against the brand category "&amp;Matching_Engine!$B$72&amp;" targets. ","Creator carries no category on record, so the category-driven parts fall back to neutral rather than penalising the creator. ")&amp;IF(ISNUMBER(Matching_Engine!$R$72),"Audience-interest overlap "&amp;Matching_Engine!$R$72&amp;". ","Audience interests unmeasured. ")&amp;IF(Matching_Engine!$AX$72&lt;100,"Scored on "&amp;Matching_Engine!$AX$72&amp;" of the 100 nominal weight points; the rest had no data.",""))</f>
      </c>
      <c r="G72" s="32">
        <f>IF(NOT(ISNUMBER(Matching_Engine!$AY$72)),"N/A",$S$72&amp;" ("&amp;$R$72&amp;"/100)")</f>
      </c>
      <c r="H72" s="32">
        <f>IF(NOT(ISNUMBER(Matching_Engine!$AY$72)),"N/A",$AA$72&amp;" ("&amp;$Z$72&amp;"/100)")</f>
      </c>
      <c r="I72" s="32">
        <f>IF(NOT(ISNUMBER(Matching_Engine!$AY$72)),"No data to consider: this account has no measured signal.",IF($Z$72&lt;Lookup_Lists!$D$161,$AA$72&amp;" sits at "&amp;$Z$72&amp;", below the "&amp;Lookup_Lists!$D$161&amp;"-point consideration threshold"&amp;IF(Matching_Engine!$AF$72=0," · Brand Personality Fit could not be scored at all: no creator personality, tone, values or content-style column exists","")&amp;IF(Matching_Engine!$AI$72="N/A"," · posting cadence unusable, so Consistency is excluded from Performance","")&amp;".","No component falls below the "&amp;Lookup_Lists!$D$161&amp;"-point consideration threshold."))</f>
      </c>
      <c r="J72" s="32">
        <f>Matching_Engine!$AV$72&amp;" — "&amp;Matching_Engine!$AW$72&amp;IF(Matching_Engine!$BB$72="Limited Data"," Confidence is Limited Data: "&amp;Matching_Engine!$BA$72&amp;"% of tracked fields carry a value.","")</f>
      </c>
      <c r="K72" s="32">
        <f>IF(NOT(ISNUMBER(Matching_Engine!$AY$72)),"Do not shortlist on this data — re-scrape the account first.",IF(Matching_Engine!$AY$72&gt;=Lookup_Lists!$D$156,"Highly Recommended",IF(Matching_Engine!$AY$72&gt;=Lookup_Lists!$D$157,"Recommended",IF(Matching_Engine!$AY$72&gt;=Lookup_Lists!$D$158,"Consider","Low Priority")))&amp;IF(Matching_Engine!$AX$72&lt;100," (on partial data)",""))</f>
      </c>
      <c r="L72" s="34">
        <f>IF(ISNUMBER(Matching_Engine!$M$72),Matching_Engine!$M$72,-1)</f>
      </c>
      <c r="M72" s="34">
        <f>IF(ISNUMBER(Matching_Engine!$S$72),Matching_Engine!$S$72,-1)</f>
      </c>
      <c r="N72" s="34">
        <f>IF(ISNUMBER(Matching_Engine!$Y$72),Matching_Engine!$Y$72,-1)</f>
      </c>
      <c r="O72" s="34">
        <f>IF(ISNUMBER(Matching_Engine!$AE$72),Matching_Engine!$AE$72,-1)</f>
      </c>
      <c r="P72" s="34">
        <f>IF(ISNUMBER(Matching_Engine!$AM$72),Matching_Engine!$AM$72,-1)</f>
      </c>
      <c r="Q72" s="34">
        <f>IF(ISNUMBER(Matching_Engine!$AT$72),Matching_Engine!$AT$72,-1)</f>
      </c>
      <c r="R72" s="34">
        <f>MAX($L$72:$Q$72)</f>
      </c>
      <c r="S72" s="32">
        <f>INDEX({"Brand &amp; Business Relevance","Target Audience Relevance","Content &amp; Category Relevance","Brand Personality Fit","Performance Quality","Brand Safety"},MATCH($R$72,$L$72:$Q$72,0))</f>
      </c>
      <c r="T72" s="34">
        <f>IF(ISNUMBER(Matching_Engine!$M$72),Matching_Engine!$M$72,999)</f>
      </c>
      <c r="U72" s="34">
        <f>IF(ISNUMBER(Matching_Engine!$S$72),Matching_Engine!$S$72,999)</f>
      </c>
      <c r="V72" s="34">
        <f>IF(ISNUMBER(Matching_Engine!$Y$72),Matching_Engine!$Y$72,999)</f>
      </c>
      <c r="W72" s="34">
        <f>IF(ISNUMBER(Matching_Engine!$AE$72),Matching_Engine!$AE$72,999)</f>
      </c>
      <c r="X72" s="34">
        <f>IF(ISNUMBER(Matching_Engine!$AM$72),Matching_Engine!$AM$72,999)</f>
      </c>
      <c r="Y72" s="34">
        <f>IF(ISNUMBER(Matching_Engine!$AT$72),Matching_Engine!$AT$72,999)</f>
      </c>
      <c r="Z72" s="34">
        <f>MIN($T$72:$Y$72)</f>
      </c>
      <c r="AA72" s="32">
        <f>INDEX({"Brand &amp; Business Relevance","Target Audience Relevance","Content &amp; Category Relevance","Brand Personality Fit","Performance Quality","Brand Safety"},MATCH($Z$72,$T$72:$Y$72,0))</f>
      </c>
    </row>
    <row r="73" spans="1:27" x14ac:dyDescent="0.25">
      <c r="A73" s="32">
        <f>Matching_Engine!$B$73</f>
      </c>
      <c r="B73" s="32">
        <f>Matching_Engine!$D$73</f>
      </c>
      <c r="C73" s="32">
        <f>Matching_Engine!$E$73</f>
      </c>
      <c r="D73" s="33">
        <f>Matching_Engine!$AY$73</f>
      </c>
      <c r="E73" s="32">
        <f>Matching_Engine!$AZ$73</f>
      </c>
      <c r="F73" s="32">
        <f>IF(NOT(ISNUMBER(Matching_Engine!$AY$73)),"Not scored: no component of the model had data for this account, so no match can be claimed either way.",Matching_Engine!$AZ$73&amp;" — "&amp;Matching_Engine!$AY$73&amp;"/100 against "&amp;Matching_Engine!$B$73&amp;". "&amp;"Strongest factor "&amp;$S$73&amp;" at "&amp;$R$73&amp;"; weakest "&amp;$AA$73&amp;" at "&amp;$Z$73&amp;". "&amp;IF(AND(ISTEXT(Matching_Engine!$G$73),Matching_Engine!$G$73&lt;&gt;"N/A"),"Tagged category "&amp;Matching_Engine!$G$73&amp;" scores "&amp;IF(ISNUMBER(Matching_Engine!$J$73),Matching_Engine!$J$73,0)&amp;" against the brand category "&amp;Matching_Engine!$B$73&amp;" targets. ","Creator carries no category on record, so the category-driven parts fall back to neutral rather than penalising the creator. ")&amp;IF(ISNUMBER(Matching_Engine!$R$73),"Audience-interest overlap "&amp;Matching_Engine!$R$73&amp;". ","Audience interests unmeasured. ")&amp;IF(Matching_Engine!$AX$73&lt;100,"Scored on "&amp;Matching_Engine!$AX$73&amp;" of the 100 nominal weight points; the rest had no data.",""))</f>
      </c>
      <c r="G73" s="32">
        <f>IF(NOT(ISNUMBER(Matching_Engine!$AY$73)),"N/A",$S$73&amp;" ("&amp;$R$73&amp;"/100)")</f>
      </c>
      <c r="H73" s="32">
        <f>IF(NOT(ISNUMBER(Matching_Engine!$AY$73)),"N/A",$AA$73&amp;" ("&amp;$Z$73&amp;"/100)")</f>
      </c>
      <c r="I73" s="32">
        <f>IF(NOT(ISNUMBER(Matching_Engine!$AY$73)),"No data to consider: this account has no measured signal.",IF($Z$73&lt;Lookup_Lists!$D$161,$AA$73&amp;" sits at "&amp;$Z$73&amp;", below the "&amp;Lookup_Lists!$D$161&amp;"-point consideration threshold"&amp;IF(Matching_Engine!$AF$73=0," · Brand Personality Fit could not be scored at all: no creator personality, tone, values or content-style column exists","")&amp;IF(Matching_Engine!$AI$73="N/A"," · posting cadence unusable, so Consistency is excluded from Performance","")&amp;".","No component falls below the "&amp;Lookup_Lists!$D$161&amp;"-point consideration threshold."))</f>
      </c>
      <c r="J73" s="32">
        <f>Matching_Engine!$AV$73&amp;" — "&amp;Matching_Engine!$AW$73&amp;IF(Matching_Engine!$BB$73="Limited Data"," Confidence is Limited Data: "&amp;Matching_Engine!$BA$73&amp;"% of tracked fields carry a value.","")</f>
      </c>
      <c r="K73" s="32">
        <f>IF(NOT(ISNUMBER(Matching_Engine!$AY$73)),"Do not shortlist on this data — re-scrape the account first.",IF(Matching_Engine!$AY$73&gt;=Lookup_Lists!$D$156,"Highly Recommended",IF(Matching_Engine!$AY$73&gt;=Lookup_Lists!$D$157,"Recommended",IF(Matching_Engine!$AY$73&gt;=Lookup_Lists!$D$158,"Consider","Low Priority")))&amp;IF(Matching_Engine!$AX$73&lt;100," (on partial data)",""))</f>
      </c>
      <c r="L73" s="34">
        <f>IF(ISNUMBER(Matching_Engine!$M$73),Matching_Engine!$M$73,-1)</f>
      </c>
      <c r="M73" s="34">
        <f>IF(ISNUMBER(Matching_Engine!$S$73),Matching_Engine!$S$73,-1)</f>
      </c>
      <c r="N73" s="34">
        <f>IF(ISNUMBER(Matching_Engine!$Y$73),Matching_Engine!$Y$73,-1)</f>
      </c>
      <c r="O73" s="34">
        <f>IF(ISNUMBER(Matching_Engine!$AE$73),Matching_Engine!$AE$73,-1)</f>
      </c>
      <c r="P73" s="34">
        <f>IF(ISNUMBER(Matching_Engine!$AM$73),Matching_Engine!$AM$73,-1)</f>
      </c>
      <c r="Q73" s="34">
        <f>IF(ISNUMBER(Matching_Engine!$AT$73),Matching_Engine!$AT$73,-1)</f>
      </c>
      <c r="R73" s="34">
        <f>MAX($L$73:$Q$73)</f>
      </c>
      <c r="S73" s="32">
        <f>INDEX({"Brand &amp; Business Relevance","Target Audience Relevance","Content &amp; Category Relevance","Brand Personality Fit","Performance Quality","Brand Safety"},MATCH($R$73,$L$73:$Q$73,0))</f>
      </c>
      <c r="T73" s="34">
        <f>IF(ISNUMBER(Matching_Engine!$M$73),Matching_Engine!$M$73,999)</f>
      </c>
      <c r="U73" s="34">
        <f>IF(ISNUMBER(Matching_Engine!$S$73),Matching_Engine!$S$73,999)</f>
      </c>
      <c r="V73" s="34">
        <f>IF(ISNUMBER(Matching_Engine!$Y$73),Matching_Engine!$Y$73,999)</f>
      </c>
      <c r="W73" s="34">
        <f>IF(ISNUMBER(Matching_Engine!$AE$73),Matching_Engine!$AE$73,999)</f>
      </c>
      <c r="X73" s="34">
        <f>IF(ISNUMBER(Matching_Engine!$AM$73),Matching_Engine!$AM$73,999)</f>
      </c>
      <c r="Y73" s="34">
        <f>IF(ISNUMBER(Matching_Engine!$AT$73),Matching_Engine!$AT$73,999)</f>
      </c>
      <c r="Z73" s="34">
        <f>MIN($T$73:$Y$73)</f>
      </c>
      <c r="AA73" s="32">
        <f>INDEX({"Brand &amp; Business Relevance","Target Audience Relevance","Content &amp; Category Relevance","Brand Personality Fit","Performance Quality","Brand Safety"},MATCH($Z$73,$T$73:$Y$73,0))</f>
      </c>
    </row>
    <row r="74" spans="1:27" x14ac:dyDescent="0.25">
      <c r="A74" s="32">
        <f>Matching_Engine!$B$74</f>
      </c>
      <c r="B74" s="32">
        <f>Matching_Engine!$D$74</f>
      </c>
      <c r="C74" s="32">
        <f>Matching_Engine!$E$74</f>
      </c>
      <c r="D74" s="33">
        <f>Matching_Engine!$AY$74</f>
      </c>
      <c r="E74" s="32">
        <f>Matching_Engine!$AZ$74</f>
      </c>
      <c r="F74" s="32">
        <f>IF(NOT(ISNUMBER(Matching_Engine!$AY$74)),"Not scored: no component of the model had data for this account, so no match can be claimed either way.",Matching_Engine!$AZ$74&amp;" — "&amp;Matching_Engine!$AY$74&amp;"/100 against "&amp;Matching_Engine!$B$74&amp;". "&amp;"Strongest factor "&amp;$S$74&amp;" at "&amp;$R$74&amp;"; weakest "&amp;$AA$74&amp;" at "&amp;$Z$74&amp;". "&amp;IF(AND(ISTEXT(Matching_Engine!$G$74),Matching_Engine!$G$74&lt;&gt;"N/A"),"Tagged category "&amp;Matching_Engine!$G$74&amp;" scores "&amp;IF(ISNUMBER(Matching_Engine!$J$74),Matching_Engine!$J$74,0)&amp;" against the brand category "&amp;Matching_Engine!$B$74&amp;" targets. ","Creator carries no category on record, so the category-driven parts fall back to neutral rather than penalising the creator. ")&amp;IF(ISNUMBER(Matching_Engine!$R$74),"Audience-interest overlap "&amp;Matching_Engine!$R$74&amp;". ","Audience interests unmeasured. ")&amp;IF(Matching_Engine!$AX$74&lt;100,"Scored on "&amp;Matching_Engine!$AX$74&amp;" of the 100 nominal weight points; the rest had no data.",""))</f>
      </c>
      <c r="G74" s="32">
        <f>IF(NOT(ISNUMBER(Matching_Engine!$AY$74)),"N/A",$S$74&amp;" ("&amp;$R$74&amp;"/100)")</f>
      </c>
      <c r="H74" s="32">
        <f>IF(NOT(ISNUMBER(Matching_Engine!$AY$74)),"N/A",$AA$74&amp;" ("&amp;$Z$74&amp;"/100)")</f>
      </c>
      <c r="I74" s="32">
        <f>IF(NOT(ISNUMBER(Matching_Engine!$AY$74)),"No data to consider: this account has no measured signal.",IF($Z$74&lt;Lookup_Lists!$D$161,$AA$74&amp;" sits at "&amp;$Z$74&amp;", below the "&amp;Lookup_Lists!$D$161&amp;"-point consideration threshold"&amp;IF(Matching_Engine!$AF$74=0," · Brand Personality Fit could not be scored at all: no creator personality, tone, values or content-style column exists","")&amp;IF(Matching_Engine!$AI$74="N/A"," · posting cadence unusable, so Consistency is excluded from Performance","")&amp;".","No component falls below the "&amp;Lookup_Lists!$D$161&amp;"-point consideration threshold."))</f>
      </c>
      <c r="J74" s="32">
        <f>Matching_Engine!$AV$74&amp;" — "&amp;Matching_Engine!$AW$74&amp;IF(Matching_Engine!$BB$74="Limited Data"," Confidence is Limited Data: "&amp;Matching_Engine!$BA$74&amp;"% of tracked fields carry a value.","")</f>
      </c>
      <c r="K74" s="32">
        <f>IF(NOT(ISNUMBER(Matching_Engine!$AY$74)),"Do not shortlist on this data — re-scrape the account first.",IF(Matching_Engine!$AY$74&gt;=Lookup_Lists!$D$156,"Highly Recommended",IF(Matching_Engine!$AY$74&gt;=Lookup_Lists!$D$157,"Recommended",IF(Matching_Engine!$AY$74&gt;=Lookup_Lists!$D$158,"Consider","Low Priority")))&amp;IF(Matching_Engine!$AX$74&lt;100," (on partial data)",""))</f>
      </c>
      <c r="L74" s="34">
        <f>IF(ISNUMBER(Matching_Engine!$M$74),Matching_Engine!$M$74,-1)</f>
      </c>
      <c r="M74" s="34">
        <f>IF(ISNUMBER(Matching_Engine!$S$74),Matching_Engine!$S$74,-1)</f>
      </c>
      <c r="N74" s="34">
        <f>IF(ISNUMBER(Matching_Engine!$Y$74),Matching_Engine!$Y$74,-1)</f>
      </c>
      <c r="O74" s="34">
        <f>IF(ISNUMBER(Matching_Engine!$AE$74),Matching_Engine!$AE$74,-1)</f>
      </c>
      <c r="P74" s="34">
        <f>IF(ISNUMBER(Matching_Engine!$AM$74),Matching_Engine!$AM$74,-1)</f>
      </c>
      <c r="Q74" s="34">
        <f>IF(ISNUMBER(Matching_Engine!$AT$74),Matching_Engine!$AT$74,-1)</f>
      </c>
      <c r="R74" s="34">
        <f>MAX($L$74:$Q$74)</f>
      </c>
      <c r="S74" s="32">
        <f>INDEX({"Brand &amp; Business Relevance","Target Audience Relevance","Content &amp; Category Relevance","Brand Personality Fit","Performance Quality","Brand Safety"},MATCH($R$74,$L$74:$Q$74,0))</f>
      </c>
      <c r="T74" s="34">
        <f>IF(ISNUMBER(Matching_Engine!$M$74),Matching_Engine!$M$74,999)</f>
      </c>
      <c r="U74" s="34">
        <f>IF(ISNUMBER(Matching_Engine!$S$74),Matching_Engine!$S$74,999)</f>
      </c>
      <c r="V74" s="34">
        <f>IF(ISNUMBER(Matching_Engine!$Y$74),Matching_Engine!$Y$74,999)</f>
      </c>
      <c r="W74" s="34">
        <f>IF(ISNUMBER(Matching_Engine!$AE$74),Matching_Engine!$AE$74,999)</f>
      </c>
      <c r="X74" s="34">
        <f>IF(ISNUMBER(Matching_Engine!$AM$74),Matching_Engine!$AM$74,999)</f>
      </c>
      <c r="Y74" s="34">
        <f>IF(ISNUMBER(Matching_Engine!$AT$74),Matching_Engine!$AT$74,999)</f>
      </c>
      <c r="Z74" s="34">
        <f>MIN($T$74:$Y$74)</f>
      </c>
      <c r="AA74" s="32">
        <f>INDEX({"Brand &amp; Business Relevance","Target Audience Relevance","Content &amp; Category Relevance","Brand Personality Fit","Performance Quality","Brand Safety"},MATCH($Z$74,$T$74:$Y$74,0))</f>
      </c>
    </row>
    <row r="75" spans="1:27" x14ac:dyDescent="0.25">
      <c r="A75" s="32">
        <f>Matching_Engine!$B$75</f>
      </c>
      <c r="B75" s="32">
        <f>Matching_Engine!$D$75</f>
      </c>
      <c r="C75" s="32">
        <f>Matching_Engine!$E$75</f>
      </c>
      <c r="D75" s="33">
        <f>Matching_Engine!$AY$75</f>
      </c>
      <c r="E75" s="32">
        <f>Matching_Engine!$AZ$75</f>
      </c>
      <c r="F75" s="32">
        <f>IF(NOT(ISNUMBER(Matching_Engine!$AY$75)),"Not scored: no component of the model had data for this account, so no match can be claimed either way.",Matching_Engine!$AZ$75&amp;" — "&amp;Matching_Engine!$AY$75&amp;"/100 against "&amp;Matching_Engine!$B$75&amp;". "&amp;"Strongest factor "&amp;$S$75&amp;" at "&amp;$R$75&amp;"; weakest "&amp;$AA$75&amp;" at "&amp;$Z$75&amp;". "&amp;IF(AND(ISTEXT(Matching_Engine!$G$75),Matching_Engine!$G$75&lt;&gt;"N/A"),"Tagged category "&amp;Matching_Engine!$G$75&amp;" scores "&amp;IF(ISNUMBER(Matching_Engine!$J$75),Matching_Engine!$J$75,0)&amp;" against the brand category "&amp;Matching_Engine!$B$75&amp;" targets. ","Creator carries no category on record, so the category-driven parts fall back to neutral rather than penalising the creator. ")&amp;IF(ISNUMBER(Matching_Engine!$R$75),"Audience-interest overlap "&amp;Matching_Engine!$R$75&amp;". ","Audience interests unmeasured. ")&amp;IF(Matching_Engine!$AX$75&lt;100,"Scored on "&amp;Matching_Engine!$AX$75&amp;" of the 100 nominal weight points; the rest had no data.",""))</f>
      </c>
      <c r="G75" s="32">
        <f>IF(NOT(ISNUMBER(Matching_Engine!$AY$75)),"N/A",$S$75&amp;" ("&amp;$R$75&amp;"/100)")</f>
      </c>
      <c r="H75" s="32">
        <f>IF(NOT(ISNUMBER(Matching_Engine!$AY$75)),"N/A",$AA$75&amp;" ("&amp;$Z$75&amp;"/100)")</f>
      </c>
      <c r="I75" s="32">
        <f>IF(NOT(ISNUMBER(Matching_Engine!$AY$75)),"No data to consider: this account has no measured signal.",IF($Z$75&lt;Lookup_Lists!$D$161,$AA$75&amp;" sits at "&amp;$Z$75&amp;", below the "&amp;Lookup_Lists!$D$161&amp;"-point consideration threshold"&amp;IF(Matching_Engine!$AF$75=0," · Brand Personality Fit could not be scored at all: no creator personality, tone, values or content-style column exists","")&amp;IF(Matching_Engine!$AI$75="N/A"," · posting cadence unusable, so Consistency is excluded from Performance","")&amp;".","No component falls below the "&amp;Lookup_Lists!$D$161&amp;"-point consideration threshold."))</f>
      </c>
      <c r="J75" s="32">
        <f>Matching_Engine!$AV$75&amp;" — "&amp;Matching_Engine!$AW$75&amp;IF(Matching_Engine!$BB$75="Limited Data"," Confidence is Limited Data: "&amp;Matching_Engine!$BA$75&amp;"% of tracked fields carry a value.","")</f>
      </c>
      <c r="K75" s="32">
        <f>IF(NOT(ISNUMBER(Matching_Engine!$AY$75)),"Do not shortlist on this data — re-scrape the account first.",IF(Matching_Engine!$AY$75&gt;=Lookup_Lists!$D$156,"Highly Recommended",IF(Matching_Engine!$AY$75&gt;=Lookup_Lists!$D$157,"Recommended",IF(Matching_Engine!$AY$75&gt;=Lookup_Lists!$D$158,"Consider","Low Priority")))&amp;IF(Matching_Engine!$AX$75&lt;100," (on partial data)",""))</f>
      </c>
      <c r="L75" s="34">
        <f>IF(ISNUMBER(Matching_Engine!$M$75),Matching_Engine!$M$75,-1)</f>
      </c>
      <c r="M75" s="34">
        <f>IF(ISNUMBER(Matching_Engine!$S$75),Matching_Engine!$S$75,-1)</f>
      </c>
      <c r="N75" s="34">
        <f>IF(ISNUMBER(Matching_Engine!$Y$75),Matching_Engine!$Y$75,-1)</f>
      </c>
      <c r="O75" s="34">
        <f>IF(ISNUMBER(Matching_Engine!$AE$75),Matching_Engine!$AE$75,-1)</f>
      </c>
      <c r="P75" s="34">
        <f>IF(ISNUMBER(Matching_Engine!$AM$75),Matching_Engine!$AM$75,-1)</f>
      </c>
      <c r="Q75" s="34">
        <f>IF(ISNUMBER(Matching_Engine!$AT$75),Matching_Engine!$AT$75,-1)</f>
      </c>
      <c r="R75" s="34">
        <f>MAX($L$75:$Q$75)</f>
      </c>
      <c r="S75" s="32">
        <f>INDEX({"Brand &amp; Business Relevance","Target Audience Relevance","Content &amp; Category Relevance","Brand Personality Fit","Performance Quality","Brand Safety"},MATCH($R$75,$L$75:$Q$75,0))</f>
      </c>
      <c r="T75" s="34">
        <f>IF(ISNUMBER(Matching_Engine!$M$75),Matching_Engine!$M$75,999)</f>
      </c>
      <c r="U75" s="34">
        <f>IF(ISNUMBER(Matching_Engine!$S$75),Matching_Engine!$S$75,999)</f>
      </c>
      <c r="V75" s="34">
        <f>IF(ISNUMBER(Matching_Engine!$Y$75),Matching_Engine!$Y$75,999)</f>
      </c>
      <c r="W75" s="34">
        <f>IF(ISNUMBER(Matching_Engine!$AE$75),Matching_Engine!$AE$75,999)</f>
      </c>
      <c r="X75" s="34">
        <f>IF(ISNUMBER(Matching_Engine!$AM$75),Matching_Engine!$AM$75,999)</f>
      </c>
      <c r="Y75" s="34">
        <f>IF(ISNUMBER(Matching_Engine!$AT$75),Matching_Engine!$AT$75,999)</f>
      </c>
      <c r="Z75" s="34">
        <f>MIN($T$75:$Y$75)</f>
      </c>
      <c r="AA75" s="32">
        <f>INDEX({"Brand &amp; Business Relevance","Target Audience Relevance","Content &amp; Category Relevance","Brand Personality Fit","Performance Quality","Brand Safety"},MATCH($Z$75,$T$75:$Y$75,0))</f>
      </c>
    </row>
    <row r="76" spans="1:27" x14ac:dyDescent="0.25">
      <c r="A76" s="32">
        <f>Matching_Engine!$B$76</f>
      </c>
      <c r="B76" s="32">
        <f>Matching_Engine!$D$76</f>
      </c>
      <c r="C76" s="32">
        <f>Matching_Engine!$E$76</f>
      </c>
      <c r="D76" s="33">
        <f>Matching_Engine!$AY$76</f>
      </c>
      <c r="E76" s="32">
        <f>Matching_Engine!$AZ$76</f>
      </c>
      <c r="F76" s="32">
        <f>IF(NOT(ISNUMBER(Matching_Engine!$AY$76)),"Not scored: no component of the model had data for this account, so no match can be claimed either way.",Matching_Engine!$AZ$76&amp;" — "&amp;Matching_Engine!$AY$76&amp;"/100 against "&amp;Matching_Engine!$B$76&amp;". "&amp;"Strongest factor "&amp;$S$76&amp;" at "&amp;$R$76&amp;"; weakest "&amp;$AA$76&amp;" at "&amp;$Z$76&amp;". "&amp;IF(AND(ISTEXT(Matching_Engine!$G$76),Matching_Engine!$G$76&lt;&gt;"N/A"),"Tagged category "&amp;Matching_Engine!$G$76&amp;" scores "&amp;IF(ISNUMBER(Matching_Engine!$J$76),Matching_Engine!$J$76,0)&amp;" against the brand category "&amp;Matching_Engine!$B$76&amp;" targets. ","Creator carries no category on record, so the category-driven parts fall back to neutral rather than penalising the creator. ")&amp;IF(ISNUMBER(Matching_Engine!$R$76),"Audience-interest overlap "&amp;Matching_Engine!$R$76&amp;". ","Audience interests unmeasured. ")&amp;IF(Matching_Engine!$AX$76&lt;100,"Scored on "&amp;Matching_Engine!$AX$76&amp;" of the 100 nominal weight points; the rest had no data.",""))</f>
      </c>
      <c r="G76" s="32">
        <f>IF(NOT(ISNUMBER(Matching_Engine!$AY$76)),"N/A",$S$76&amp;" ("&amp;$R$76&amp;"/100)")</f>
      </c>
      <c r="H76" s="32">
        <f>IF(NOT(ISNUMBER(Matching_Engine!$AY$76)),"N/A",$AA$76&amp;" ("&amp;$Z$76&amp;"/100)")</f>
      </c>
      <c r="I76" s="32">
        <f>IF(NOT(ISNUMBER(Matching_Engine!$AY$76)),"No data to consider: this account has no measured signal.",IF($Z$76&lt;Lookup_Lists!$D$161,$AA$76&amp;" sits at "&amp;$Z$76&amp;", below the "&amp;Lookup_Lists!$D$161&amp;"-point consideration threshold"&amp;IF(Matching_Engine!$AF$76=0," · Brand Personality Fit could not be scored at all: no creator personality, tone, values or content-style column exists","")&amp;IF(Matching_Engine!$AI$76="N/A"," · posting cadence unusable, so Consistency is excluded from Performance","")&amp;".","No component falls below the "&amp;Lookup_Lists!$D$161&amp;"-point consideration threshold."))</f>
      </c>
      <c r="J76" s="32">
        <f>Matching_Engine!$AV$76&amp;" — "&amp;Matching_Engine!$AW$76&amp;IF(Matching_Engine!$BB$76="Limited Data"," Confidence is Limited Data: "&amp;Matching_Engine!$BA$76&amp;"% of tracked fields carry a value.","")</f>
      </c>
      <c r="K76" s="32">
        <f>IF(NOT(ISNUMBER(Matching_Engine!$AY$76)),"Do not shortlist on this data — re-scrape the account first.",IF(Matching_Engine!$AY$76&gt;=Lookup_Lists!$D$156,"Highly Recommended",IF(Matching_Engine!$AY$76&gt;=Lookup_Lists!$D$157,"Recommended",IF(Matching_Engine!$AY$76&gt;=Lookup_Lists!$D$158,"Consider","Low Priority")))&amp;IF(Matching_Engine!$AX$76&lt;100," (on partial data)",""))</f>
      </c>
      <c r="L76" s="34">
        <f>IF(ISNUMBER(Matching_Engine!$M$76),Matching_Engine!$M$76,-1)</f>
      </c>
      <c r="M76" s="34">
        <f>IF(ISNUMBER(Matching_Engine!$S$76),Matching_Engine!$S$76,-1)</f>
      </c>
      <c r="N76" s="34">
        <f>IF(ISNUMBER(Matching_Engine!$Y$76),Matching_Engine!$Y$76,-1)</f>
      </c>
      <c r="O76" s="34">
        <f>IF(ISNUMBER(Matching_Engine!$AE$76),Matching_Engine!$AE$76,-1)</f>
      </c>
      <c r="P76" s="34">
        <f>IF(ISNUMBER(Matching_Engine!$AM$76),Matching_Engine!$AM$76,-1)</f>
      </c>
      <c r="Q76" s="34">
        <f>IF(ISNUMBER(Matching_Engine!$AT$76),Matching_Engine!$AT$76,-1)</f>
      </c>
      <c r="R76" s="34">
        <f>MAX($L$76:$Q$76)</f>
      </c>
      <c r="S76" s="32">
        <f>INDEX({"Brand &amp; Business Relevance","Target Audience Relevance","Content &amp; Category Relevance","Brand Personality Fit","Performance Quality","Brand Safety"},MATCH($R$76,$L$76:$Q$76,0))</f>
      </c>
      <c r="T76" s="34">
        <f>IF(ISNUMBER(Matching_Engine!$M$76),Matching_Engine!$M$76,999)</f>
      </c>
      <c r="U76" s="34">
        <f>IF(ISNUMBER(Matching_Engine!$S$76),Matching_Engine!$S$76,999)</f>
      </c>
      <c r="V76" s="34">
        <f>IF(ISNUMBER(Matching_Engine!$Y$76),Matching_Engine!$Y$76,999)</f>
      </c>
      <c r="W76" s="34">
        <f>IF(ISNUMBER(Matching_Engine!$AE$76),Matching_Engine!$AE$76,999)</f>
      </c>
      <c r="X76" s="34">
        <f>IF(ISNUMBER(Matching_Engine!$AM$76),Matching_Engine!$AM$76,999)</f>
      </c>
      <c r="Y76" s="34">
        <f>IF(ISNUMBER(Matching_Engine!$AT$76),Matching_Engine!$AT$76,999)</f>
      </c>
      <c r="Z76" s="34">
        <f>MIN($T$76:$Y$76)</f>
      </c>
      <c r="AA76" s="32">
        <f>INDEX({"Brand &amp; Business Relevance","Target Audience Relevance","Content &amp; Category Relevance","Brand Personality Fit","Performance Quality","Brand Safety"},MATCH($Z$76,$T$76:$Y$76,0))</f>
      </c>
    </row>
    <row r="77" spans="1:27" x14ac:dyDescent="0.25">
      <c r="A77" s="32">
        <f>Matching_Engine!$B$77</f>
      </c>
      <c r="B77" s="32">
        <f>Matching_Engine!$D$77</f>
      </c>
      <c r="C77" s="32">
        <f>Matching_Engine!$E$77</f>
      </c>
      <c r="D77" s="33">
        <f>Matching_Engine!$AY$77</f>
      </c>
      <c r="E77" s="32">
        <f>Matching_Engine!$AZ$77</f>
      </c>
      <c r="F77" s="32">
        <f>IF(NOT(ISNUMBER(Matching_Engine!$AY$77)),"Not scored: no component of the model had data for this account, so no match can be claimed either way.",Matching_Engine!$AZ$77&amp;" — "&amp;Matching_Engine!$AY$77&amp;"/100 against "&amp;Matching_Engine!$B$77&amp;". "&amp;"Strongest factor "&amp;$S$77&amp;" at "&amp;$R$77&amp;"; weakest "&amp;$AA$77&amp;" at "&amp;$Z$77&amp;". "&amp;IF(AND(ISTEXT(Matching_Engine!$G$77),Matching_Engine!$G$77&lt;&gt;"N/A"),"Tagged category "&amp;Matching_Engine!$G$77&amp;" scores "&amp;IF(ISNUMBER(Matching_Engine!$J$77),Matching_Engine!$J$77,0)&amp;" against the brand category "&amp;Matching_Engine!$B$77&amp;" targets. ","Creator carries no category on record, so the category-driven parts fall back to neutral rather than penalising the creator. ")&amp;IF(ISNUMBER(Matching_Engine!$R$77),"Audience-interest overlap "&amp;Matching_Engine!$R$77&amp;". ","Audience interests unmeasured. ")&amp;IF(Matching_Engine!$AX$77&lt;100,"Scored on "&amp;Matching_Engine!$AX$77&amp;" of the 100 nominal weight points; the rest had no data.",""))</f>
      </c>
      <c r="G77" s="32">
        <f>IF(NOT(ISNUMBER(Matching_Engine!$AY$77)),"N/A",$S$77&amp;" ("&amp;$R$77&amp;"/100)")</f>
      </c>
      <c r="H77" s="32">
        <f>IF(NOT(ISNUMBER(Matching_Engine!$AY$77)),"N/A",$AA$77&amp;" ("&amp;$Z$77&amp;"/100)")</f>
      </c>
      <c r="I77" s="32">
        <f>IF(NOT(ISNUMBER(Matching_Engine!$AY$77)),"No data to consider: this account has no measured signal.",IF($Z$77&lt;Lookup_Lists!$D$161,$AA$77&amp;" sits at "&amp;$Z$77&amp;", below the "&amp;Lookup_Lists!$D$161&amp;"-point consideration threshold"&amp;IF(Matching_Engine!$AF$77=0," · Brand Personality Fit could not be scored at all: no creator personality, tone, values or content-style column exists","")&amp;IF(Matching_Engine!$AI$77="N/A"," · posting cadence unusable, so Consistency is excluded from Performance","")&amp;".","No component falls below the "&amp;Lookup_Lists!$D$161&amp;"-point consideration threshold."))</f>
      </c>
      <c r="J77" s="32">
        <f>Matching_Engine!$AV$77&amp;" — "&amp;Matching_Engine!$AW$77&amp;IF(Matching_Engine!$BB$77="Limited Data"," Confidence is Limited Data: "&amp;Matching_Engine!$BA$77&amp;"% of tracked fields carry a value.","")</f>
      </c>
      <c r="K77" s="32">
        <f>IF(NOT(ISNUMBER(Matching_Engine!$AY$77)),"Do not shortlist on this data — re-scrape the account first.",IF(Matching_Engine!$AY$77&gt;=Lookup_Lists!$D$156,"Highly Recommended",IF(Matching_Engine!$AY$77&gt;=Lookup_Lists!$D$157,"Recommended",IF(Matching_Engine!$AY$77&gt;=Lookup_Lists!$D$158,"Consider","Low Priority")))&amp;IF(Matching_Engine!$AX$77&lt;100," (on partial data)",""))</f>
      </c>
      <c r="L77" s="34">
        <f>IF(ISNUMBER(Matching_Engine!$M$77),Matching_Engine!$M$77,-1)</f>
      </c>
      <c r="M77" s="34">
        <f>IF(ISNUMBER(Matching_Engine!$S$77),Matching_Engine!$S$77,-1)</f>
      </c>
      <c r="N77" s="34">
        <f>IF(ISNUMBER(Matching_Engine!$Y$77),Matching_Engine!$Y$77,-1)</f>
      </c>
      <c r="O77" s="34">
        <f>IF(ISNUMBER(Matching_Engine!$AE$77),Matching_Engine!$AE$77,-1)</f>
      </c>
      <c r="P77" s="34">
        <f>IF(ISNUMBER(Matching_Engine!$AM$77),Matching_Engine!$AM$77,-1)</f>
      </c>
      <c r="Q77" s="34">
        <f>IF(ISNUMBER(Matching_Engine!$AT$77),Matching_Engine!$AT$77,-1)</f>
      </c>
      <c r="R77" s="34">
        <f>MAX($L$77:$Q$77)</f>
      </c>
      <c r="S77" s="32">
        <f>INDEX({"Brand &amp; Business Relevance","Target Audience Relevance","Content &amp; Category Relevance","Brand Personality Fit","Performance Quality","Brand Safety"},MATCH($R$77,$L$77:$Q$77,0))</f>
      </c>
      <c r="T77" s="34">
        <f>IF(ISNUMBER(Matching_Engine!$M$77),Matching_Engine!$M$77,999)</f>
      </c>
      <c r="U77" s="34">
        <f>IF(ISNUMBER(Matching_Engine!$S$77),Matching_Engine!$S$77,999)</f>
      </c>
      <c r="V77" s="34">
        <f>IF(ISNUMBER(Matching_Engine!$Y$77),Matching_Engine!$Y$77,999)</f>
      </c>
      <c r="W77" s="34">
        <f>IF(ISNUMBER(Matching_Engine!$AE$77),Matching_Engine!$AE$77,999)</f>
      </c>
      <c r="X77" s="34">
        <f>IF(ISNUMBER(Matching_Engine!$AM$77),Matching_Engine!$AM$77,999)</f>
      </c>
      <c r="Y77" s="34">
        <f>IF(ISNUMBER(Matching_Engine!$AT$77),Matching_Engine!$AT$77,999)</f>
      </c>
      <c r="Z77" s="34">
        <f>MIN($T$77:$Y$77)</f>
      </c>
      <c r="AA77" s="32">
        <f>INDEX({"Brand &amp; Business Relevance","Target Audience Relevance","Content &amp; Category Relevance","Brand Personality Fit","Performance Quality","Brand Safety"},MATCH($Z$77,$T$77:$Y$77,0))</f>
      </c>
    </row>
    <row r="78" spans="1:27" x14ac:dyDescent="0.25">
      <c r="A78" s="32">
        <f>Matching_Engine!$B$78</f>
      </c>
      <c r="B78" s="32">
        <f>Matching_Engine!$D$78</f>
      </c>
      <c r="C78" s="32">
        <f>Matching_Engine!$E$78</f>
      </c>
      <c r="D78" s="33">
        <f>Matching_Engine!$AY$78</f>
      </c>
      <c r="E78" s="32">
        <f>Matching_Engine!$AZ$78</f>
      </c>
      <c r="F78" s="32">
        <f>IF(NOT(ISNUMBER(Matching_Engine!$AY$78)),"Not scored: no component of the model had data for this account, so no match can be claimed either way.",Matching_Engine!$AZ$78&amp;" — "&amp;Matching_Engine!$AY$78&amp;"/100 against "&amp;Matching_Engine!$B$78&amp;". "&amp;"Strongest factor "&amp;$S$78&amp;" at "&amp;$R$78&amp;"; weakest "&amp;$AA$78&amp;" at "&amp;$Z$78&amp;". "&amp;IF(AND(ISTEXT(Matching_Engine!$G$78),Matching_Engine!$G$78&lt;&gt;"N/A"),"Tagged category "&amp;Matching_Engine!$G$78&amp;" scores "&amp;IF(ISNUMBER(Matching_Engine!$J$78),Matching_Engine!$J$78,0)&amp;" against the brand category "&amp;Matching_Engine!$B$78&amp;" targets. ","Creator carries no category on record, so the category-driven parts fall back to neutral rather than penalising the creator. ")&amp;IF(ISNUMBER(Matching_Engine!$R$78),"Audience-interest overlap "&amp;Matching_Engine!$R$78&amp;". ","Audience interests unmeasured. ")&amp;IF(Matching_Engine!$AX$78&lt;100,"Scored on "&amp;Matching_Engine!$AX$78&amp;" of the 100 nominal weight points; the rest had no data.",""))</f>
      </c>
      <c r="G78" s="32">
        <f>IF(NOT(ISNUMBER(Matching_Engine!$AY$78)),"N/A",$S$78&amp;" ("&amp;$R$78&amp;"/100)")</f>
      </c>
      <c r="H78" s="32">
        <f>IF(NOT(ISNUMBER(Matching_Engine!$AY$78)),"N/A",$AA$78&amp;" ("&amp;$Z$78&amp;"/100)")</f>
      </c>
      <c r="I78" s="32">
        <f>IF(NOT(ISNUMBER(Matching_Engine!$AY$78)),"No data to consider: this account has no measured signal.",IF($Z$78&lt;Lookup_Lists!$D$161,$AA$78&amp;" sits at "&amp;$Z$78&amp;", below the "&amp;Lookup_Lists!$D$161&amp;"-point consideration threshold"&amp;IF(Matching_Engine!$AF$78=0," · Brand Personality Fit could not be scored at all: no creator personality, tone, values or content-style column exists","")&amp;IF(Matching_Engine!$AI$78="N/A"," · posting cadence unusable, so Consistency is excluded from Performance","")&amp;".","No component falls below the "&amp;Lookup_Lists!$D$161&amp;"-point consideration threshold."))</f>
      </c>
      <c r="J78" s="32">
        <f>Matching_Engine!$AV$78&amp;" — "&amp;Matching_Engine!$AW$78&amp;IF(Matching_Engine!$BB$78="Limited Data"," Confidence is Limited Data: "&amp;Matching_Engine!$BA$78&amp;"% of tracked fields carry a value.","")</f>
      </c>
      <c r="K78" s="32">
        <f>IF(NOT(ISNUMBER(Matching_Engine!$AY$78)),"Do not shortlist on this data — re-scrape the account first.",IF(Matching_Engine!$AY$78&gt;=Lookup_Lists!$D$156,"Highly Recommended",IF(Matching_Engine!$AY$78&gt;=Lookup_Lists!$D$157,"Recommended",IF(Matching_Engine!$AY$78&gt;=Lookup_Lists!$D$158,"Consider","Low Priority")))&amp;IF(Matching_Engine!$AX$78&lt;100," (on partial data)",""))</f>
      </c>
      <c r="L78" s="34">
        <f>IF(ISNUMBER(Matching_Engine!$M$78),Matching_Engine!$M$78,-1)</f>
      </c>
      <c r="M78" s="34">
        <f>IF(ISNUMBER(Matching_Engine!$S$78),Matching_Engine!$S$78,-1)</f>
      </c>
      <c r="N78" s="34">
        <f>IF(ISNUMBER(Matching_Engine!$Y$78),Matching_Engine!$Y$78,-1)</f>
      </c>
      <c r="O78" s="34">
        <f>IF(ISNUMBER(Matching_Engine!$AE$78),Matching_Engine!$AE$78,-1)</f>
      </c>
      <c r="P78" s="34">
        <f>IF(ISNUMBER(Matching_Engine!$AM$78),Matching_Engine!$AM$78,-1)</f>
      </c>
      <c r="Q78" s="34">
        <f>IF(ISNUMBER(Matching_Engine!$AT$78),Matching_Engine!$AT$78,-1)</f>
      </c>
      <c r="R78" s="34">
        <f>MAX($L$78:$Q$78)</f>
      </c>
      <c r="S78" s="32">
        <f>INDEX({"Brand &amp; Business Relevance","Target Audience Relevance","Content &amp; Category Relevance","Brand Personality Fit","Performance Quality","Brand Safety"},MATCH($R$78,$L$78:$Q$78,0))</f>
      </c>
      <c r="T78" s="34">
        <f>IF(ISNUMBER(Matching_Engine!$M$78),Matching_Engine!$M$78,999)</f>
      </c>
      <c r="U78" s="34">
        <f>IF(ISNUMBER(Matching_Engine!$S$78),Matching_Engine!$S$78,999)</f>
      </c>
      <c r="V78" s="34">
        <f>IF(ISNUMBER(Matching_Engine!$Y$78),Matching_Engine!$Y$78,999)</f>
      </c>
      <c r="W78" s="34">
        <f>IF(ISNUMBER(Matching_Engine!$AE$78),Matching_Engine!$AE$78,999)</f>
      </c>
      <c r="X78" s="34">
        <f>IF(ISNUMBER(Matching_Engine!$AM$78),Matching_Engine!$AM$78,999)</f>
      </c>
      <c r="Y78" s="34">
        <f>IF(ISNUMBER(Matching_Engine!$AT$78),Matching_Engine!$AT$78,999)</f>
      </c>
      <c r="Z78" s="34">
        <f>MIN($T$78:$Y$78)</f>
      </c>
      <c r="AA78" s="32">
        <f>INDEX({"Brand &amp; Business Relevance","Target Audience Relevance","Content &amp; Category Relevance","Brand Personality Fit","Performance Quality","Brand Safety"},MATCH($Z$78,$T$78:$Y$78,0))</f>
      </c>
    </row>
    <row r="79" spans="1:27" x14ac:dyDescent="0.25">
      <c r="A79" s="32">
        <f>Matching_Engine!$B$79</f>
      </c>
      <c r="B79" s="32">
        <f>Matching_Engine!$D$79</f>
      </c>
      <c r="C79" s="32">
        <f>Matching_Engine!$E$79</f>
      </c>
      <c r="D79" s="33">
        <f>Matching_Engine!$AY$79</f>
      </c>
      <c r="E79" s="32">
        <f>Matching_Engine!$AZ$79</f>
      </c>
      <c r="F79" s="32">
        <f>IF(NOT(ISNUMBER(Matching_Engine!$AY$79)),"Not scored: no component of the model had data for this account, so no match can be claimed either way.",Matching_Engine!$AZ$79&amp;" — "&amp;Matching_Engine!$AY$79&amp;"/100 against "&amp;Matching_Engine!$B$79&amp;". "&amp;"Strongest factor "&amp;$S$79&amp;" at "&amp;$R$79&amp;"; weakest "&amp;$AA$79&amp;" at "&amp;$Z$79&amp;". "&amp;IF(AND(ISTEXT(Matching_Engine!$G$79),Matching_Engine!$G$79&lt;&gt;"N/A"),"Tagged category "&amp;Matching_Engine!$G$79&amp;" scores "&amp;IF(ISNUMBER(Matching_Engine!$J$79),Matching_Engine!$J$79,0)&amp;" against the brand category "&amp;Matching_Engine!$B$79&amp;" targets. ","Creator carries no category on record, so the category-driven parts fall back to neutral rather than penalising the creator. ")&amp;IF(ISNUMBER(Matching_Engine!$R$79),"Audience-interest overlap "&amp;Matching_Engine!$R$79&amp;". ","Audience interests unmeasured. ")&amp;IF(Matching_Engine!$AX$79&lt;100,"Scored on "&amp;Matching_Engine!$AX$79&amp;" of the 100 nominal weight points; the rest had no data.",""))</f>
      </c>
      <c r="G79" s="32">
        <f>IF(NOT(ISNUMBER(Matching_Engine!$AY$79)),"N/A",$S$79&amp;" ("&amp;$R$79&amp;"/100)")</f>
      </c>
      <c r="H79" s="32">
        <f>IF(NOT(ISNUMBER(Matching_Engine!$AY$79)),"N/A",$AA$79&amp;" ("&amp;$Z$79&amp;"/100)")</f>
      </c>
      <c r="I79" s="32">
        <f>IF(NOT(ISNUMBER(Matching_Engine!$AY$79)),"No data to consider: this account has no measured signal.",IF($Z$79&lt;Lookup_Lists!$D$161,$AA$79&amp;" sits at "&amp;$Z$79&amp;", below the "&amp;Lookup_Lists!$D$161&amp;"-point consideration threshold"&amp;IF(Matching_Engine!$AF$79=0," · Brand Personality Fit could not be scored at all: no creator personality, tone, values or content-style column exists","")&amp;IF(Matching_Engine!$AI$79="N/A"," · posting cadence unusable, so Consistency is excluded from Performance","")&amp;".","No component falls below the "&amp;Lookup_Lists!$D$161&amp;"-point consideration threshold."))</f>
      </c>
      <c r="J79" s="32">
        <f>Matching_Engine!$AV$79&amp;" — "&amp;Matching_Engine!$AW$79&amp;IF(Matching_Engine!$BB$79="Limited Data"," Confidence is Limited Data: "&amp;Matching_Engine!$BA$79&amp;"% of tracked fields carry a value.","")</f>
      </c>
      <c r="K79" s="32">
        <f>IF(NOT(ISNUMBER(Matching_Engine!$AY$79)),"Do not shortlist on this data — re-scrape the account first.",IF(Matching_Engine!$AY$79&gt;=Lookup_Lists!$D$156,"Highly Recommended",IF(Matching_Engine!$AY$79&gt;=Lookup_Lists!$D$157,"Recommended",IF(Matching_Engine!$AY$79&gt;=Lookup_Lists!$D$158,"Consider","Low Priority")))&amp;IF(Matching_Engine!$AX$79&lt;100," (on partial data)",""))</f>
      </c>
      <c r="L79" s="34">
        <f>IF(ISNUMBER(Matching_Engine!$M$79),Matching_Engine!$M$79,-1)</f>
      </c>
      <c r="M79" s="34">
        <f>IF(ISNUMBER(Matching_Engine!$S$79),Matching_Engine!$S$79,-1)</f>
      </c>
      <c r="N79" s="34">
        <f>IF(ISNUMBER(Matching_Engine!$Y$79),Matching_Engine!$Y$79,-1)</f>
      </c>
      <c r="O79" s="34">
        <f>IF(ISNUMBER(Matching_Engine!$AE$79),Matching_Engine!$AE$79,-1)</f>
      </c>
      <c r="P79" s="34">
        <f>IF(ISNUMBER(Matching_Engine!$AM$79),Matching_Engine!$AM$79,-1)</f>
      </c>
      <c r="Q79" s="34">
        <f>IF(ISNUMBER(Matching_Engine!$AT$79),Matching_Engine!$AT$79,-1)</f>
      </c>
      <c r="R79" s="34">
        <f>MAX($L$79:$Q$79)</f>
      </c>
      <c r="S79" s="32">
        <f>INDEX({"Brand &amp; Business Relevance","Target Audience Relevance","Content &amp; Category Relevance","Brand Personality Fit","Performance Quality","Brand Safety"},MATCH($R$79,$L$79:$Q$79,0))</f>
      </c>
      <c r="T79" s="34">
        <f>IF(ISNUMBER(Matching_Engine!$M$79),Matching_Engine!$M$79,999)</f>
      </c>
      <c r="U79" s="34">
        <f>IF(ISNUMBER(Matching_Engine!$S$79),Matching_Engine!$S$79,999)</f>
      </c>
      <c r="V79" s="34">
        <f>IF(ISNUMBER(Matching_Engine!$Y$79),Matching_Engine!$Y$79,999)</f>
      </c>
      <c r="W79" s="34">
        <f>IF(ISNUMBER(Matching_Engine!$AE$79),Matching_Engine!$AE$79,999)</f>
      </c>
      <c r="X79" s="34">
        <f>IF(ISNUMBER(Matching_Engine!$AM$79),Matching_Engine!$AM$79,999)</f>
      </c>
      <c r="Y79" s="34">
        <f>IF(ISNUMBER(Matching_Engine!$AT$79),Matching_Engine!$AT$79,999)</f>
      </c>
      <c r="Z79" s="34">
        <f>MIN($T$79:$Y$79)</f>
      </c>
      <c r="AA79" s="32">
        <f>INDEX({"Brand &amp; Business Relevance","Target Audience Relevance","Content &amp; Category Relevance","Brand Personality Fit","Performance Quality","Brand Safety"},MATCH($Z$79,$T$79:$Y$79,0))</f>
      </c>
    </row>
    <row r="80" spans="1:27" x14ac:dyDescent="0.25">
      <c r="A80" s="32">
        <f>Matching_Engine!$B$80</f>
      </c>
      <c r="B80" s="32">
        <f>Matching_Engine!$D$80</f>
      </c>
      <c r="C80" s="32">
        <f>Matching_Engine!$E$80</f>
      </c>
      <c r="D80" s="33">
        <f>Matching_Engine!$AY$80</f>
      </c>
      <c r="E80" s="32">
        <f>Matching_Engine!$AZ$80</f>
      </c>
      <c r="F80" s="32">
        <f>IF(NOT(ISNUMBER(Matching_Engine!$AY$80)),"Not scored: no component of the model had data for this account, so no match can be claimed either way.",Matching_Engine!$AZ$80&amp;" — "&amp;Matching_Engine!$AY$80&amp;"/100 against "&amp;Matching_Engine!$B$80&amp;". "&amp;"Strongest factor "&amp;$S$80&amp;" at "&amp;$R$80&amp;"; weakest "&amp;$AA$80&amp;" at "&amp;$Z$80&amp;". "&amp;IF(AND(ISTEXT(Matching_Engine!$G$80),Matching_Engine!$G$80&lt;&gt;"N/A"),"Tagged category "&amp;Matching_Engine!$G$80&amp;" scores "&amp;IF(ISNUMBER(Matching_Engine!$J$80),Matching_Engine!$J$80,0)&amp;" against the brand category "&amp;Matching_Engine!$B$80&amp;" targets. ","Creator carries no category on record, so the category-driven parts fall back to neutral rather than penalising the creator. ")&amp;IF(ISNUMBER(Matching_Engine!$R$80),"Audience-interest overlap "&amp;Matching_Engine!$R$80&amp;". ","Audience interests unmeasured. ")&amp;IF(Matching_Engine!$AX$80&lt;100,"Scored on "&amp;Matching_Engine!$AX$80&amp;" of the 100 nominal weight points; the rest had no data.",""))</f>
      </c>
      <c r="G80" s="32">
        <f>IF(NOT(ISNUMBER(Matching_Engine!$AY$80)),"N/A",$S$80&amp;" ("&amp;$R$80&amp;"/100)")</f>
      </c>
      <c r="H80" s="32">
        <f>IF(NOT(ISNUMBER(Matching_Engine!$AY$80)),"N/A",$AA$80&amp;" ("&amp;$Z$80&amp;"/100)")</f>
      </c>
      <c r="I80" s="32">
        <f>IF(NOT(ISNUMBER(Matching_Engine!$AY$80)),"No data to consider: this account has no measured signal.",IF($Z$80&lt;Lookup_Lists!$D$161,$AA$80&amp;" sits at "&amp;$Z$80&amp;", below the "&amp;Lookup_Lists!$D$161&amp;"-point consideration threshold"&amp;IF(Matching_Engine!$AF$80=0," · Brand Personality Fit could not be scored at all: no creator personality, tone, values or content-style column exists","")&amp;IF(Matching_Engine!$AI$80="N/A"," · posting cadence unusable, so Consistency is excluded from Performance","")&amp;".","No component falls below the "&amp;Lookup_Lists!$D$161&amp;"-point consideration threshold."))</f>
      </c>
      <c r="J80" s="32">
        <f>Matching_Engine!$AV$80&amp;" — "&amp;Matching_Engine!$AW$80&amp;IF(Matching_Engine!$BB$80="Limited Data"," Confidence is Limited Data: "&amp;Matching_Engine!$BA$80&amp;"% of tracked fields carry a value.","")</f>
      </c>
      <c r="K80" s="32">
        <f>IF(NOT(ISNUMBER(Matching_Engine!$AY$80)),"Do not shortlist on this data — re-scrape the account first.",IF(Matching_Engine!$AY$80&gt;=Lookup_Lists!$D$156,"Highly Recommended",IF(Matching_Engine!$AY$80&gt;=Lookup_Lists!$D$157,"Recommended",IF(Matching_Engine!$AY$80&gt;=Lookup_Lists!$D$158,"Consider","Low Priority")))&amp;IF(Matching_Engine!$AX$80&lt;100," (on partial data)",""))</f>
      </c>
      <c r="L80" s="34">
        <f>IF(ISNUMBER(Matching_Engine!$M$80),Matching_Engine!$M$80,-1)</f>
      </c>
      <c r="M80" s="34">
        <f>IF(ISNUMBER(Matching_Engine!$S$80),Matching_Engine!$S$80,-1)</f>
      </c>
      <c r="N80" s="34">
        <f>IF(ISNUMBER(Matching_Engine!$Y$80),Matching_Engine!$Y$80,-1)</f>
      </c>
      <c r="O80" s="34">
        <f>IF(ISNUMBER(Matching_Engine!$AE$80),Matching_Engine!$AE$80,-1)</f>
      </c>
      <c r="P80" s="34">
        <f>IF(ISNUMBER(Matching_Engine!$AM$80),Matching_Engine!$AM$80,-1)</f>
      </c>
      <c r="Q80" s="34">
        <f>IF(ISNUMBER(Matching_Engine!$AT$80),Matching_Engine!$AT$80,-1)</f>
      </c>
      <c r="R80" s="34">
        <f>MAX($L$80:$Q$80)</f>
      </c>
      <c r="S80" s="32">
        <f>INDEX({"Brand &amp; Business Relevance","Target Audience Relevance","Content &amp; Category Relevance","Brand Personality Fit","Performance Quality","Brand Safety"},MATCH($R$80,$L$80:$Q$80,0))</f>
      </c>
      <c r="T80" s="34">
        <f>IF(ISNUMBER(Matching_Engine!$M$80),Matching_Engine!$M$80,999)</f>
      </c>
      <c r="U80" s="34">
        <f>IF(ISNUMBER(Matching_Engine!$S$80),Matching_Engine!$S$80,999)</f>
      </c>
      <c r="V80" s="34">
        <f>IF(ISNUMBER(Matching_Engine!$Y$80),Matching_Engine!$Y$80,999)</f>
      </c>
      <c r="W80" s="34">
        <f>IF(ISNUMBER(Matching_Engine!$AE$80),Matching_Engine!$AE$80,999)</f>
      </c>
      <c r="X80" s="34">
        <f>IF(ISNUMBER(Matching_Engine!$AM$80),Matching_Engine!$AM$80,999)</f>
      </c>
      <c r="Y80" s="34">
        <f>IF(ISNUMBER(Matching_Engine!$AT$80),Matching_Engine!$AT$80,999)</f>
      </c>
      <c r="Z80" s="34">
        <f>MIN($T$80:$Y$80)</f>
      </c>
      <c r="AA80" s="32">
        <f>INDEX({"Brand &amp; Business Relevance","Target Audience Relevance","Content &amp; Category Relevance","Brand Personality Fit","Performance Quality","Brand Safety"},MATCH($Z$80,$T$80:$Y$80,0))</f>
      </c>
    </row>
    <row r="81" spans="1:27" x14ac:dyDescent="0.25">
      <c r="A81" s="32">
        <f>Matching_Engine!$B$81</f>
      </c>
      <c r="B81" s="32">
        <f>Matching_Engine!$D$81</f>
      </c>
      <c r="C81" s="32">
        <f>Matching_Engine!$E$81</f>
      </c>
      <c r="D81" s="33">
        <f>Matching_Engine!$AY$81</f>
      </c>
      <c r="E81" s="32">
        <f>Matching_Engine!$AZ$81</f>
      </c>
      <c r="F81" s="32">
        <f>IF(NOT(ISNUMBER(Matching_Engine!$AY$81)),"Not scored: no component of the model had data for this account, so no match can be claimed either way.",Matching_Engine!$AZ$81&amp;" — "&amp;Matching_Engine!$AY$81&amp;"/100 against "&amp;Matching_Engine!$B$81&amp;". "&amp;"Strongest factor "&amp;$S$81&amp;" at "&amp;$R$81&amp;"; weakest "&amp;$AA$81&amp;" at "&amp;$Z$81&amp;". "&amp;IF(AND(ISTEXT(Matching_Engine!$G$81),Matching_Engine!$G$81&lt;&gt;"N/A"),"Tagged category "&amp;Matching_Engine!$G$81&amp;" scores "&amp;IF(ISNUMBER(Matching_Engine!$J$81),Matching_Engine!$J$81,0)&amp;" against the brand category "&amp;Matching_Engine!$B$81&amp;" targets. ","Creator carries no category on record, so the category-driven parts fall back to neutral rather than penalising the creator. ")&amp;IF(ISNUMBER(Matching_Engine!$R$81),"Audience-interest overlap "&amp;Matching_Engine!$R$81&amp;". ","Audience interests unmeasured. ")&amp;IF(Matching_Engine!$AX$81&lt;100,"Scored on "&amp;Matching_Engine!$AX$81&amp;" of the 100 nominal weight points; the rest had no data.",""))</f>
      </c>
      <c r="G81" s="32">
        <f>IF(NOT(ISNUMBER(Matching_Engine!$AY$81)),"N/A",$S$81&amp;" ("&amp;$R$81&amp;"/100)")</f>
      </c>
      <c r="H81" s="32">
        <f>IF(NOT(ISNUMBER(Matching_Engine!$AY$81)),"N/A",$AA$81&amp;" ("&amp;$Z$81&amp;"/100)")</f>
      </c>
      <c r="I81" s="32">
        <f>IF(NOT(ISNUMBER(Matching_Engine!$AY$81)),"No data to consider: this account has no measured signal.",IF($Z$81&lt;Lookup_Lists!$D$161,$AA$81&amp;" sits at "&amp;$Z$81&amp;", below the "&amp;Lookup_Lists!$D$161&amp;"-point consideration threshold"&amp;IF(Matching_Engine!$AF$81=0," · Brand Personality Fit could not be scored at all: no creator personality, tone, values or content-style column exists","")&amp;IF(Matching_Engine!$AI$81="N/A"," · posting cadence unusable, so Consistency is excluded from Performance","")&amp;".","No component falls below the "&amp;Lookup_Lists!$D$161&amp;"-point consideration threshold."))</f>
      </c>
      <c r="J81" s="32">
        <f>Matching_Engine!$AV$81&amp;" — "&amp;Matching_Engine!$AW$81&amp;IF(Matching_Engine!$BB$81="Limited Data"," Confidence is Limited Data: "&amp;Matching_Engine!$BA$81&amp;"% of tracked fields carry a value.","")</f>
      </c>
      <c r="K81" s="32">
        <f>IF(NOT(ISNUMBER(Matching_Engine!$AY$81)),"Do not shortlist on this data — re-scrape the account first.",IF(Matching_Engine!$AY$81&gt;=Lookup_Lists!$D$156,"Highly Recommended",IF(Matching_Engine!$AY$81&gt;=Lookup_Lists!$D$157,"Recommended",IF(Matching_Engine!$AY$81&gt;=Lookup_Lists!$D$158,"Consider","Low Priority")))&amp;IF(Matching_Engine!$AX$81&lt;100," (on partial data)",""))</f>
      </c>
      <c r="L81" s="34">
        <f>IF(ISNUMBER(Matching_Engine!$M$81),Matching_Engine!$M$81,-1)</f>
      </c>
      <c r="M81" s="34">
        <f>IF(ISNUMBER(Matching_Engine!$S$81),Matching_Engine!$S$81,-1)</f>
      </c>
      <c r="N81" s="34">
        <f>IF(ISNUMBER(Matching_Engine!$Y$81),Matching_Engine!$Y$81,-1)</f>
      </c>
      <c r="O81" s="34">
        <f>IF(ISNUMBER(Matching_Engine!$AE$81),Matching_Engine!$AE$81,-1)</f>
      </c>
      <c r="P81" s="34">
        <f>IF(ISNUMBER(Matching_Engine!$AM$81),Matching_Engine!$AM$81,-1)</f>
      </c>
      <c r="Q81" s="34">
        <f>IF(ISNUMBER(Matching_Engine!$AT$81),Matching_Engine!$AT$81,-1)</f>
      </c>
      <c r="R81" s="34">
        <f>MAX($L$81:$Q$81)</f>
      </c>
      <c r="S81" s="32">
        <f>INDEX({"Brand &amp; Business Relevance","Target Audience Relevance","Content &amp; Category Relevance","Brand Personality Fit","Performance Quality","Brand Safety"},MATCH($R$81,$L$81:$Q$81,0))</f>
      </c>
      <c r="T81" s="34">
        <f>IF(ISNUMBER(Matching_Engine!$M$81),Matching_Engine!$M$81,999)</f>
      </c>
      <c r="U81" s="34">
        <f>IF(ISNUMBER(Matching_Engine!$S$81),Matching_Engine!$S$81,999)</f>
      </c>
      <c r="V81" s="34">
        <f>IF(ISNUMBER(Matching_Engine!$Y$81),Matching_Engine!$Y$81,999)</f>
      </c>
      <c r="W81" s="34">
        <f>IF(ISNUMBER(Matching_Engine!$AE$81),Matching_Engine!$AE$81,999)</f>
      </c>
      <c r="X81" s="34">
        <f>IF(ISNUMBER(Matching_Engine!$AM$81),Matching_Engine!$AM$81,999)</f>
      </c>
      <c r="Y81" s="34">
        <f>IF(ISNUMBER(Matching_Engine!$AT$81),Matching_Engine!$AT$81,999)</f>
      </c>
      <c r="Z81" s="34">
        <f>MIN($T$81:$Y$81)</f>
      </c>
      <c r="AA81" s="32">
        <f>INDEX({"Brand &amp; Business Relevance","Target Audience Relevance","Content &amp; Category Relevance","Brand Personality Fit","Performance Quality","Brand Safety"},MATCH($Z$81,$T$81:$Y$81,0))</f>
      </c>
    </row>
    <row r="82" spans="1:27" x14ac:dyDescent="0.25">
      <c r="A82" s="32">
        <f>Matching_Engine!$B$82</f>
      </c>
      <c r="B82" s="32">
        <f>Matching_Engine!$D$82</f>
      </c>
      <c r="C82" s="32">
        <f>Matching_Engine!$E$82</f>
      </c>
      <c r="D82" s="33">
        <f>Matching_Engine!$AY$82</f>
      </c>
      <c r="E82" s="32">
        <f>Matching_Engine!$AZ$82</f>
      </c>
      <c r="F82" s="32">
        <f>IF(NOT(ISNUMBER(Matching_Engine!$AY$82)),"Not scored: no component of the model had data for this account, so no match can be claimed either way.",Matching_Engine!$AZ$82&amp;" — "&amp;Matching_Engine!$AY$82&amp;"/100 against "&amp;Matching_Engine!$B$82&amp;". "&amp;"Strongest factor "&amp;$S$82&amp;" at "&amp;$R$82&amp;"; weakest "&amp;$AA$82&amp;" at "&amp;$Z$82&amp;". "&amp;IF(AND(ISTEXT(Matching_Engine!$G$82),Matching_Engine!$G$82&lt;&gt;"N/A"),"Tagged category "&amp;Matching_Engine!$G$82&amp;" scores "&amp;IF(ISNUMBER(Matching_Engine!$J$82),Matching_Engine!$J$82,0)&amp;" against the brand category "&amp;Matching_Engine!$B$82&amp;" targets. ","Creator carries no category on record, so the category-driven parts fall back to neutral rather than penalising the creator. ")&amp;IF(ISNUMBER(Matching_Engine!$R$82),"Audience-interest overlap "&amp;Matching_Engine!$R$82&amp;". ","Audience interests unmeasured. ")&amp;IF(Matching_Engine!$AX$82&lt;100,"Scored on "&amp;Matching_Engine!$AX$82&amp;" of the 100 nominal weight points; the rest had no data.",""))</f>
      </c>
      <c r="G82" s="32">
        <f>IF(NOT(ISNUMBER(Matching_Engine!$AY$82)),"N/A",$S$82&amp;" ("&amp;$R$82&amp;"/100)")</f>
      </c>
      <c r="H82" s="32">
        <f>IF(NOT(ISNUMBER(Matching_Engine!$AY$82)),"N/A",$AA$82&amp;" ("&amp;$Z$82&amp;"/100)")</f>
      </c>
      <c r="I82" s="32">
        <f>IF(NOT(ISNUMBER(Matching_Engine!$AY$82)),"No data to consider: this account has no measured signal.",IF($Z$82&lt;Lookup_Lists!$D$161,$AA$82&amp;" sits at "&amp;$Z$82&amp;", below the "&amp;Lookup_Lists!$D$161&amp;"-point consideration threshold"&amp;IF(Matching_Engine!$AF$82=0," · Brand Personality Fit could not be scored at all: no creator personality, tone, values or content-style column exists","")&amp;IF(Matching_Engine!$AI$82="N/A"," · posting cadence unusable, so Consistency is excluded from Performance","")&amp;".","No component falls below the "&amp;Lookup_Lists!$D$161&amp;"-point consideration threshold."))</f>
      </c>
      <c r="J82" s="32">
        <f>Matching_Engine!$AV$82&amp;" — "&amp;Matching_Engine!$AW$82&amp;IF(Matching_Engine!$BB$82="Limited Data"," Confidence is Limited Data: "&amp;Matching_Engine!$BA$82&amp;"% of tracked fields carry a value.","")</f>
      </c>
      <c r="K82" s="32">
        <f>IF(NOT(ISNUMBER(Matching_Engine!$AY$82)),"Do not shortlist on this data — re-scrape the account first.",IF(Matching_Engine!$AY$82&gt;=Lookup_Lists!$D$156,"Highly Recommended",IF(Matching_Engine!$AY$82&gt;=Lookup_Lists!$D$157,"Recommended",IF(Matching_Engine!$AY$82&gt;=Lookup_Lists!$D$158,"Consider","Low Priority")))&amp;IF(Matching_Engine!$AX$82&lt;100," (on partial data)",""))</f>
      </c>
      <c r="L82" s="34">
        <f>IF(ISNUMBER(Matching_Engine!$M$82),Matching_Engine!$M$82,-1)</f>
      </c>
      <c r="M82" s="34">
        <f>IF(ISNUMBER(Matching_Engine!$S$82),Matching_Engine!$S$82,-1)</f>
      </c>
      <c r="N82" s="34">
        <f>IF(ISNUMBER(Matching_Engine!$Y$82),Matching_Engine!$Y$82,-1)</f>
      </c>
      <c r="O82" s="34">
        <f>IF(ISNUMBER(Matching_Engine!$AE$82),Matching_Engine!$AE$82,-1)</f>
      </c>
      <c r="P82" s="34">
        <f>IF(ISNUMBER(Matching_Engine!$AM$82),Matching_Engine!$AM$82,-1)</f>
      </c>
      <c r="Q82" s="34">
        <f>IF(ISNUMBER(Matching_Engine!$AT$82),Matching_Engine!$AT$82,-1)</f>
      </c>
      <c r="R82" s="34">
        <f>MAX($L$82:$Q$82)</f>
      </c>
      <c r="S82" s="32">
        <f>INDEX({"Brand &amp; Business Relevance","Target Audience Relevance","Content &amp; Category Relevance","Brand Personality Fit","Performance Quality","Brand Safety"},MATCH($R$82,$L$82:$Q$82,0))</f>
      </c>
      <c r="T82" s="34">
        <f>IF(ISNUMBER(Matching_Engine!$M$82),Matching_Engine!$M$82,999)</f>
      </c>
      <c r="U82" s="34">
        <f>IF(ISNUMBER(Matching_Engine!$S$82),Matching_Engine!$S$82,999)</f>
      </c>
      <c r="V82" s="34">
        <f>IF(ISNUMBER(Matching_Engine!$Y$82),Matching_Engine!$Y$82,999)</f>
      </c>
      <c r="W82" s="34">
        <f>IF(ISNUMBER(Matching_Engine!$AE$82),Matching_Engine!$AE$82,999)</f>
      </c>
      <c r="X82" s="34">
        <f>IF(ISNUMBER(Matching_Engine!$AM$82),Matching_Engine!$AM$82,999)</f>
      </c>
      <c r="Y82" s="34">
        <f>IF(ISNUMBER(Matching_Engine!$AT$82),Matching_Engine!$AT$82,999)</f>
      </c>
      <c r="Z82" s="34">
        <f>MIN($T$82:$Y$82)</f>
      </c>
      <c r="AA82" s="32">
        <f>INDEX({"Brand &amp; Business Relevance","Target Audience Relevance","Content &amp; Category Relevance","Brand Personality Fit","Performance Quality","Brand Safety"},MATCH($Z$82,$T$82:$Y$82,0))</f>
      </c>
    </row>
    <row r="83" spans="1:27" x14ac:dyDescent="0.25">
      <c r="A83" s="32">
        <f>Matching_Engine!$B$83</f>
      </c>
      <c r="B83" s="32">
        <f>Matching_Engine!$D$83</f>
      </c>
      <c r="C83" s="32">
        <f>Matching_Engine!$E$83</f>
      </c>
      <c r="D83" s="33">
        <f>Matching_Engine!$AY$83</f>
      </c>
      <c r="E83" s="32">
        <f>Matching_Engine!$AZ$83</f>
      </c>
      <c r="F83" s="32">
        <f>IF(NOT(ISNUMBER(Matching_Engine!$AY$83)),"Not scored: no component of the model had data for this account, so no match can be claimed either way.",Matching_Engine!$AZ$83&amp;" — "&amp;Matching_Engine!$AY$83&amp;"/100 against "&amp;Matching_Engine!$B$83&amp;". "&amp;"Strongest factor "&amp;$S$83&amp;" at "&amp;$R$83&amp;"; weakest "&amp;$AA$83&amp;" at "&amp;$Z$83&amp;". "&amp;IF(AND(ISTEXT(Matching_Engine!$G$83),Matching_Engine!$G$83&lt;&gt;"N/A"),"Tagged category "&amp;Matching_Engine!$G$83&amp;" scores "&amp;IF(ISNUMBER(Matching_Engine!$J$83),Matching_Engine!$J$83,0)&amp;" against the brand category "&amp;Matching_Engine!$B$83&amp;" targets. ","Creator carries no category on record, so the category-driven parts fall back to neutral rather than penalising the creator. ")&amp;IF(ISNUMBER(Matching_Engine!$R$83),"Audience-interest overlap "&amp;Matching_Engine!$R$83&amp;". ","Audience interests unmeasured. ")&amp;IF(Matching_Engine!$AX$83&lt;100,"Scored on "&amp;Matching_Engine!$AX$83&amp;" of the 100 nominal weight points; the rest had no data.",""))</f>
      </c>
      <c r="G83" s="32">
        <f>IF(NOT(ISNUMBER(Matching_Engine!$AY$83)),"N/A",$S$83&amp;" ("&amp;$R$83&amp;"/100)")</f>
      </c>
      <c r="H83" s="32">
        <f>IF(NOT(ISNUMBER(Matching_Engine!$AY$83)),"N/A",$AA$83&amp;" ("&amp;$Z$83&amp;"/100)")</f>
      </c>
      <c r="I83" s="32">
        <f>IF(NOT(ISNUMBER(Matching_Engine!$AY$83)),"No data to consider: this account has no measured signal.",IF($Z$83&lt;Lookup_Lists!$D$161,$AA$83&amp;" sits at "&amp;$Z$83&amp;", below the "&amp;Lookup_Lists!$D$161&amp;"-point consideration threshold"&amp;IF(Matching_Engine!$AF$83=0," · Brand Personality Fit could not be scored at all: no creator personality, tone, values or content-style column exists","")&amp;IF(Matching_Engine!$AI$83="N/A"," · posting cadence unusable, so Consistency is excluded from Performance","")&amp;".","No component falls below the "&amp;Lookup_Lists!$D$161&amp;"-point consideration threshold."))</f>
      </c>
      <c r="J83" s="32">
        <f>Matching_Engine!$AV$83&amp;" — "&amp;Matching_Engine!$AW$83&amp;IF(Matching_Engine!$BB$83="Limited Data"," Confidence is Limited Data: "&amp;Matching_Engine!$BA$83&amp;"% of tracked fields carry a value.","")</f>
      </c>
      <c r="K83" s="32">
        <f>IF(NOT(ISNUMBER(Matching_Engine!$AY$83)),"Do not shortlist on this data — re-scrape the account first.",IF(Matching_Engine!$AY$83&gt;=Lookup_Lists!$D$156,"Highly Recommended",IF(Matching_Engine!$AY$83&gt;=Lookup_Lists!$D$157,"Recommended",IF(Matching_Engine!$AY$83&gt;=Lookup_Lists!$D$158,"Consider","Low Priority")))&amp;IF(Matching_Engine!$AX$83&lt;100," (on partial data)",""))</f>
      </c>
      <c r="L83" s="34">
        <f>IF(ISNUMBER(Matching_Engine!$M$83),Matching_Engine!$M$83,-1)</f>
      </c>
      <c r="M83" s="34">
        <f>IF(ISNUMBER(Matching_Engine!$S$83),Matching_Engine!$S$83,-1)</f>
      </c>
      <c r="N83" s="34">
        <f>IF(ISNUMBER(Matching_Engine!$Y$83),Matching_Engine!$Y$83,-1)</f>
      </c>
      <c r="O83" s="34">
        <f>IF(ISNUMBER(Matching_Engine!$AE$83),Matching_Engine!$AE$83,-1)</f>
      </c>
      <c r="P83" s="34">
        <f>IF(ISNUMBER(Matching_Engine!$AM$83),Matching_Engine!$AM$83,-1)</f>
      </c>
      <c r="Q83" s="34">
        <f>IF(ISNUMBER(Matching_Engine!$AT$83),Matching_Engine!$AT$83,-1)</f>
      </c>
      <c r="R83" s="34">
        <f>MAX($L$83:$Q$83)</f>
      </c>
      <c r="S83" s="32">
        <f>INDEX({"Brand &amp; Business Relevance","Target Audience Relevance","Content &amp; Category Relevance","Brand Personality Fit","Performance Quality","Brand Safety"},MATCH($R$83,$L$83:$Q$83,0))</f>
      </c>
      <c r="T83" s="34">
        <f>IF(ISNUMBER(Matching_Engine!$M$83),Matching_Engine!$M$83,999)</f>
      </c>
      <c r="U83" s="34">
        <f>IF(ISNUMBER(Matching_Engine!$S$83),Matching_Engine!$S$83,999)</f>
      </c>
      <c r="V83" s="34">
        <f>IF(ISNUMBER(Matching_Engine!$Y$83),Matching_Engine!$Y$83,999)</f>
      </c>
      <c r="W83" s="34">
        <f>IF(ISNUMBER(Matching_Engine!$AE$83),Matching_Engine!$AE$83,999)</f>
      </c>
      <c r="X83" s="34">
        <f>IF(ISNUMBER(Matching_Engine!$AM$83),Matching_Engine!$AM$83,999)</f>
      </c>
      <c r="Y83" s="34">
        <f>IF(ISNUMBER(Matching_Engine!$AT$83),Matching_Engine!$AT$83,999)</f>
      </c>
      <c r="Z83" s="34">
        <f>MIN($T$83:$Y$83)</f>
      </c>
      <c r="AA83" s="32">
        <f>INDEX({"Brand &amp; Business Relevance","Target Audience Relevance","Content &amp; Category Relevance","Brand Personality Fit","Performance Quality","Brand Safety"},MATCH($Z$83,$T$83:$Y$83,0))</f>
      </c>
    </row>
    <row r="84" spans="1:27" x14ac:dyDescent="0.25">
      <c r="A84" s="32">
        <f>Matching_Engine!$B$84</f>
      </c>
      <c r="B84" s="32">
        <f>Matching_Engine!$D$84</f>
      </c>
      <c r="C84" s="32">
        <f>Matching_Engine!$E$84</f>
      </c>
      <c r="D84" s="33">
        <f>Matching_Engine!$AY$84</f>
      </c>
      <c r="E84" s="32">
        <f>Matching_Engine!$AZ$84</f>
      </c>
      <c r="F84" s="32">
        <f>IF(NOT(ISNUMBER(Matching_Engine!$AY$84)),"Not scored: no component of the model had data for this account, so no match can be claimed either way.",Matching_Engine!$AZ$84&amp;" — "&amp;Matching_Engine!$AY$84&amp;"/100 against "&amp;Matching_Engine!$B$84&amp;". "&amp;"Strongest factor "&amp;$S$84&amp;" at "&amp;$R$84&amp;"; weakest "&amp;$AA$84&amp;" at "&amp;$Z$84&amp;". "&amp;IF(AND(ISTEXT(Matching_Engine!$G$84),Matching_Engine!$G$84&lt;&gt;"N/A"),"Tagged category "&amp;Matching_Engine!$G$84&amp;" scores "&amp;IF(ISNUMBER(Matching_Engine!$J$84),Matching_Engine!$J$84,0)&amp;" against the brand category "&amp;Matching_Engine!$B$84&amp;" targets. ","Creator carries no category on record, so the category-driven parts fall back to neutral rather than penalising the creator. ")&amp;IF(ISNUMBER(Matching_Engine!$R$84),"Audience-interest overlap "&amp;Matching_Engine!$R$84&amp;". ","Audience interests unmeasured. ")&amp;IF(Matching_Engine!$AX$84&lt;100,"Scored on "&amp;Matching_Engine!$AX$84&amp;" of the 100 nominal weight points; the rest had no data.",""))</f>
      </c>
      <c r="G84" s="32">
        <f>IF(NOT(ISNUMBER(Matching_Engine!$AY$84)),"N/A",$S$84&amp;" ("&amp;$R$84&amp;"/100)")</f>
      </c>
      <c r="H84" s="32">
        <f>IF(NOT(ISNUMBER(Matching_Engine!$AY$84)),"N/A",$AA$84&amp;" ("&amp;$Z$84&amp;"/100)")</f>
      </c>
      <c r="I84" s="32">
        <f>IF(NOT(ISNUMBER(Matching_Engine!$AY$84)),"No data to consider: this account has no measured signal.",IF($Z$84&lt;Lookup_Lists!$D$161,$AA$84&amp;" sits at "&amp;$Z$84&amp;", below the "&amp;Lookup_Lists!$D$161&amp;"-point consideration threshold"&amp;IF(Matching_Engine!$AF$84=0," · Brand Personality Fit could not be scored at all: no creator personality, tone, values or content-style column exists","")&amp;IF(Matching_Engine!$AI$84="N/A"," · posting cadence unusable, so Consistency is excluded from Performance","")&amp;".","No component falls below the "&amp;Lookup_Lists!$D$161&amp;"-point consideration threshold."))</f>
      </c>
      <c r="J84" s="32">
        <f>Matching_Engine!$AV$84&amp;" — "&amp;Matching_Engine!$AW$84&amp;IF(Matching_Engine!$BB$84="Limited Data"," Confidence is Limited Data: "&amp;Matching_Engine!$BA$84&amp;"% of tracked fields carry a value.","")</f>
      </c>
      <c r="K84" s="32">
        <f>IF(NOT(ISNUMBER(Matching_Engine!$AY$84)),"Do not shortlist on this data — re-scrape the account first.",IF(Matching_Engine!$AY$84&gt;=Lookup_Lists!$D$156,"Highly Recommended",IF(Matching_Engine!$AY$84&gt;=Lookup_Lists!$D$157,"Recommended",IF(Matching_Engine!$AY$84&gt;=Lookup_Lists!$D$158,"Consider","Low Priority")))&amp;IF(Matching_Engine!$AX$84&lt;100," (on partial data)",""))</f>
      </c>
      <c r="L84" s="34">
        <f>IF(ISNUMBER(Matching_Engine!$M$84),Matching_Engine!$M$84,-1)</f>
      </c>
      <c r="M84" s="34">
        <f>IF(ISNUMBER(Matching_Engine!$S$84),Matching_Engine!$S$84,-1)</f>
      </c>
      <c r="N84" s="34">
        <f>IF(ISNUMBER(Matching_Engine!$Y$84),Matching_Engine!$Y$84,-1)</f>
      </c>
      <c r="O84" s="34">
        <f>IF(ISNUMBER(Matching_Engine!$AE$84),Matching_Engine!$AE$84,-1)</f>
      </c>
      <c r="P84" s="34">
        <f>IF(ISNUMBER(Matching_Engine!$AM$84),Matching_Engine!$AM$84,-1)</f>
      </c>
      <c r="Q84" s="34">
        <f>IF(ISNUMBER(Matching_Engine!$AT$84),Matching_Engine!$AT$84,-1)</f>
      </c>
      <c r="R84" s="34">
        <f>MAX($L$84:$Q$84)</f>
      </c>
      <c r="S84" s="32">
        <f>INDEX({"Brand &amp; Business Relevance","Target Audience Relevance","Content &amp; Category Relevance","Brand Personality Fit","Performance Quality","Brand Safety"},MATCH($R$84,$L$84:$Q$84,0))</f>
      </c>
      <c r="T84" s="34">
        <f>IF(ISNUMBER(Matching_Engine!$M$84),Matching_Engine!$M$84,999)</f>
      </c>
      <c r="U84" s="34">
        <f>IF(ISNUMBER(Matching_Engine!$S$84),Matching_Engine!$S$84,999)</f>
      </c>
      <c r="V84" s="34">
        <f>IF(ISNUMBER(Matching_Engine!$Y$84),Matching_Engine!$Y$84,999)</f>
      </c>
      <c r="W84" s="34">
        <f>IF(ISNUMBER(Matching_Engine!$AE$84),Matching_Engine!$AE$84,999)</f>
      </c>
      <c r="X84" s="34">
        <f>IF(ISNUMBER(Matching_Engine!$AM$84),Matching_Engine!$AM$84,999)</f>
      </c>
      <c r="Y84" s="34">
        <f>IF(ISNUMBER(Matching_Engine!$AT$84),Matching_Engine!$AT$84,999)</f>
      </c>
      <c r="Z84" s="34">
        <f>MIN($T$84:$Y$84)</f>
      </c>
      <c r="AA84" s="32">
        <f>INDEX({"Brand &amp; Business Relevance","Target Audience Relevance","Content &amp; Category Relevance","Brand Personality Fit","Performance Quality","Brand Safety"},MATCH($Z$84,$T$84:$Y$84,0))</f>
      </c>
    </row>
    <row r="85" spans="1:27" x14ac:dyDescent="0.25">
      <c r="A85" s="32">
        <f>Matching_Engine!$B$85</f>
      </c>
      <c r="B85" s="32">
        <f>Matching_Engine!$D$85</f>
      </c>
      <c r="C85" s="32">
        <f>Matching_Engine!$E$85</f>
      </c>
      <c r="D85" s="33">
        <f>Matching_Engine!$AY$85</f>
      </c>
      <c r="E85" s="32">
        <f>Matching_Engine!$AZ$85</f>
      </c>
      <c r="F85" s="32">
        <f>IF(NOT(ISNUMBER(Matching_Engine!$AY$85)),"Not scored: no component of the model had data for this account, so no match can be claimed either way.",Matching_Engine!$AZ$85&amp;" — "&amp;Matching_Engine!$AY$85&amp;"/100 against "&amp;Matching_Engine!$B$85&amp;". "&amp;"Strongest factor "&amp;$S$85&amp;" at "&amp;$R$85&amp;"; weakest "&amp;$AA$85&amp;" at "&amp;$Z$85&amp;". "&amp;IF(AND(ISTEXT(Matching_Engine!$G$85),Matching_Engine!$G$85&lt;&gt;"N/A"),"Tagged category "&amp;Matching_Engine!$G$85&amp;" scores "&amp;IF(ISNUMBER(Matching_Engine!$J$85),Matching_Engine!$J$85,0)&amp;" against the brand category "&amp;Matching_Engine!$B$85&amp;" targets. ","Creator carries no category on record, so the category-driven parts fall back to neutral rather than penalising the creator. ")&amp;IF(ISNUMBER(Matching_Engine!$R$85),"Audience-interest overlap "&amp;Matching_Engine!$R$85&amp;". ","Audience interests unmeasured. ")&amp;IF(Matching_Engine!$AX$85&lt;100,"Scored on "&amp;Matching_Engine!$AX$85&amp;" of the 100 nominal weight points; the rest had no data.",""))</f>
      </c>
      <c r="G85" s="32">
        <f>IF(NOT(ISNUMBER(Matching_Engine!$AY$85)),"N/A",$S$85&amp;" ("&amp;$R$85&amp;"/100)")</f>
      </c>
      <c r="H85" s="32">
        <f>IF(NOT(ISNUMBER(Matching_Engine!$AY$85)),"N/A",$AA$85&amp;" ("&amp;$Z$85&amp;"/100)")</f>
      </c>
      <c r="I85" s="32">
        <f>IF(NOT(ISNUMBER(Matching_Engine!$AY$85)),"No data to consider: this account has no measured signal.",IF($Z$85&lt;Lookup_Lists!$D$161,$AA$85&amp;" sits at "&amp;$Z$85&amp;", below the "&amp;Lookup_Lists!$D$161&amp;"-point consideration threshold"&amp;IF(Matching_Engine!$AF$85=0," · Brand Personality Fit could not be scored at all: no creator personality, tone, values or content-style column exists","")&amp;IF(Matching_Engine!$AI$85="N/A"," · posting cadence unusable, so Consistency is excluded from Performance","")&amp;".","No component falls below the "&amp;Lookup_Lists!$D$161&amp;"-point consideration threshold."))</f>
      </c>
      <c r="J85" s="32">
        <f>Matching_Engine!$AV$85&amp;" — "&amp;Matching_Engine!$AW$85&amp;IF(Matching_Engine!$BB$85="Limited Data"," Confidence is Limited Data: "&amp;Matching_Engine!$BA$85&amp;"% of tracked fields carry a value.","")</f>
      </c>
      <c r="K85" s="32">
        <f>IF(NOT(ISNUMBER(Matching_Engine!$AY$85)),"Do not shortlist on this data — re-scrape the account first.",IF(Matching_Engine!$AY$85&gt;=Lookup_Lists!$D$156,"Highly Recommended",IF(Matching_Engine!$AY$85&gt;=Lookup_Lists!$D$157,"Recommended",IF(Matching_Engine!$AY$85&gt;=Lookup_Lists!$D$158,"Consider","Low Priority")))&amp;IF(Matching_Engine!$AX$85&lt;100," (on partial data)",""))</f>
      </c>
      <c r="L85" s="34">
        <f>IF(ISNUMBER(Matching_Engine!$M$85),Matching_Engine!$M$85,-1)</f>
      </c>
      <c r="M85" s="34">
        <f>IF(ISNUMBER(Matching_Engine!$S$85),Matching_Engine!$S$85,-1)</f>
      </c>
      <c r="N85" s="34">
        <f>IF(ISNUMBER(Matching_Engine!$Y$85),Matching_Engine!$Y$85,-1)</f>
      </c>
      <c r="O85" s="34">
        <f>IF(ISNUMBER(Matching_Engine!$AE$85),Matching_Engine!$AE$85,-1)</f>
      </c>
      <c r="P85" s="34">
        <f>IF(ISNUMBER(Matching_Engine!$AM$85),Matching_Engine!$AM$85,-1)</f>
      </c>
      <c r="Q85" s="34">
        <f>IF(ISNUMBER(Matching_Engine!$AT$85),Matching_Engine!$AT$85,-1)</f>
      </c>
      <c r="R85" s="34">
        <f>MAX($L$85:$Q$85)</f>
      </c>
      <c r="S85" s="32">
        <f>INDEX({"Brand &amp; Business Relevance","Target Audience Relevance","Content &amp; Category Relevance","Brand Personality Fit","Performance Quality","Brand Safety"},MATCH($R$85,$L$85:$Q$85,0))</f>
      </c>
      <c r="T85" s="34">
        <f>IF(ISNUMBER(Matching_Engine!$M$85),Matching_Engine!$M$85,999)</f>
      </c>
      <c r="U85" s="34">
        <f>IF(ISNUMBER(Matching_Engine!$S$85),Matching_Engine!$S$85,999)</f>
      </c>
      <c r="V85" s="34">
        <f>IF(ISNUMBER(Matching_Engine!$Y$85),Matching_Engine!$Y$85,999)</f>
      </c>
      <c r="W85" s="34">
        <f>IF(ISNUMBER(Matching_Engine!$AE$85),Matching_Engine!$AE$85,999)</f>
      </c>
      <c r="X85" s="34">
        <f>IF(ISNUMBER(Matching_Engine!$AM$85),Matching_Engine!$AM$85,999)</f>
      </c>
      <c r="Y85" s="34">
        <f>IF(ISNUMBER(Matching_Engine!$AT$85),Matching_Engine!$AT$85,999)</f>
      </c>
      <c r="Z85" s="34">
        <f>MIN($T$85:$Y$85)</f>
      </c>
      <c r="AA85" s="32">
        <f>INDEX({"Brand &amp; Business Relevance","Target Audience Relevance","Content &amp; Category Relevance","Brand Personality Fit","Performance Quality","Brand Safety"},MATCH($Z$85,$T$85:$Y$85,0))</f>
      </c>
    </row>
    <row r="86" spans="1:27" x14ac:dyDescent="0.25">
      <c r="A86" s="32">
        <f>Matching_Engine!$B$86</f>
      </c>
      <c r="B86" s="32">
        <f>Matching_Engine!$D$86</f>
      </c>
      <c r="C86" s="32">
        <f>Matching_Engine!$E$86</f>
      </c>
      <c r="D86" s="33">
        <f>Matching_Engine!$AY$86</f>
      </c>
      <c r="E86" s="32">
        <f>Matching_Engine!$AZ$86</f>
      </c>
      <c r="F86" s="32">
        <f>IF(NOT(ISNUMBER(Matching_Engine!$AY$86)),"Not scored: no component of the model had data for this account, so no match can be claimed either way.",Matching_Engine!$AZ$86&amp;" — "&amp;Matching_Engine!$AY$86&amp;"/100 against "&amp;Matching_Engine!$B$86&amp;". "&amp;"Strongest factor "&amp;$S$86&amp;" at "&amp;$R$86&amp;"; weakest "&amp;$AA$86&amp;" at "&amp;$Z$86&amp;". "&amp;IF(AND(ISTEXT(Matching_Engine!$G$86),Matching_Engine!$G$86&lt;&gt;"N/A"),"Tagged category "&amp;Matching_Engine!$G$86&amp;" scores "&amp;IF(ISNUMBER(Matching_Engine!$J$86),Matching_Engine!$J$86,0)&amp;" against the brand category "&amp;Matching_Engine!$B$86&amp;" targets. ","Creator carries no category on record, so the category-driven parts fall back to neutral rather than penalising the creator. ")&amp;IF(ISNUMBER(Matching_Engine!$R$86),"Audience-interest overlap "&amp;Matching_Engine!$R$86&amp;". ","Audience interests unmeasured. ")&amp;IF(Matching_Engine!$AX$86&lt;100,"Scored on "&amp;Matching_Engine!$AX$86&amp;" of the 100 nominal weight points; the rest had no data.",""))</f>
      </c>
      <c r="G86" s="32">
        <f>IF(NOT(ISNUMBER(Matching_Engine!$AY$86)),"N/A",$S$86&amp;" ("&amp;$R$86&amp;"/100)")</f>
      </c>
      <c r="H86" s="32">
        <f>IF(NOT(ISNUMBER(Matching_Engine!$AY$86)),"N/A",$AA$86&amp;" ("&amp;$Z$86&amp;"/100)")</f>
      </c>
      <c r="I86" s="32">
        <f>IF(NOT(ISNUMBER(Matching_Engine!$AY$86)),"No data to consider: this account has no measured signal.",IF($Z$86&lt;Lookup_Lists!$D$161,$AA$86&amp;" sits at "&amp;$Z$86&amp;", below the "&amp;Lookup_Lists!$D$161&amp;"-point consideration threshold"&amp;IF(Matching_Engine!$AF$86=0," · Brand Personality Fit could not be scored at all: no creator personality, tone, values or content-style column exists","")&amp;IF(Matching_Engine!$AI$86="N/A"," · posting cadence unusable, so Consistency is excluded from Performance","")&amp;".","No component falls below the "&amp;Lookup_Lists!$D$161&amp;"-point consideration threshold."))</f>
      </c>
      <c r="J86" s="32">
        <f>Matching_Engine!$AV$86&amp;" — "&amp;Matching_Engine!$AW$86&amp;IF(Matching_Engine!$BB$86="Limited Data"," Confidence is Limited Data: "&amp;Matching_Engine!$BA$86&amp;"% of tracked fields carry a value.","")</f>
      </c>
      <c r="K86" s="32">
        <f>IF(NOT(ISNUMBER(Matching_Engine!$AY$86)),"Do not shortlist on this data — re-scrape the account first.",IF(Matching_Engine!$AY$86&gt;=Lookup_Lists!$D$156,"Highly Recommended",IF(Matching_Engine!$AY$86&gt;=Lookup_Lists!$D$157,"Recommended",IF(Matching_Engine!$AY$86&gt;=Lookup_Lists!$D$158,"Consider","Low Priority")))&amp;IF(Matching_Engine!$AX$86&lt;100," (on partial data)",""))</f>
      </c>
      <c r="L86" s="34">
        <f>IF(ISNUMBER(Matching_Engine!$M$86),Matching_Engine!$M$86,-1)</f>
      </c>
      <c r="M86" s="34">
        <f>IF(ISNUMBER(Matching_Engine!$S$86),Matching_Engine!$S$86,-1)</f>
      </c>
      <c r="N86" s="34">
        <f>IF(ISNUMBER(Matching_Engine!$Y$86),Matching_Engine!$Y$86,-1)</f>
      </c>
      <c r="O86" s="34">
        <f>IF(ISNUMBER(Matching_Engine!$AE$86),Matching_Engine!$AE$86,-1)</f>
      </c>
      <c r="P86" s="34">
        <f>IF(ISNUMBER(Matching_Engine!$AM$86),Matching_Engine!$AM$86,-1)</f>
      </c>
      <c r="Q86" s="34">
        <f>IF(ISNUMBER(Matching_Engine!$AT$86),Matching_Engine!$AT$86,-1)</f>
      </c>
      <c r="R86" s="34">
        <f>MAX($L$86:$Q$86)</f>
      </c>
      <c r="S86" s="32">
        <f>INDEX({"Brand &amp; Business Relevance","Target Audience Relevance","Content &amp; Category Relevance","Brand Personality Fit","Performance Quality","Brand Safety"},MATCH($R$86,$L$86:$Q$86,0))</f>
      </c>
      <c r="T86" s="34">
        <f>IF(ISNUMBER(Matching_Engine!$M$86),Matching_Engine!$M$86,999)</f>
      </c>
      <c r="U86" s="34">
        <f>IF(ISNUMBER(Matching_Engine!$S$86),Matching_Engine!$S$86,999)</f>
      </c>
      <c r="V86" s="34">
        <f>IF(ISNUMBER(Matching_Engine!$Y$86),Matching_Engine!$Y$86,999)</f>
      </c>
      <c r="W86" s="34">
        <f>IF(ISNUMBER(Matching_Engine!$AE$86),Matching_Engine!$AE$86,999)</f>
      </c>
      <c r="X86" s="34">
        <f>IF(ISNUMBER(Matching_Engine!$AM$86),Matching_Engine!$AM$86,999)</f>
      </c>
      <c r="Y86" s="34">
        <f>IF(ISNUMBER(Matching_Engine!$AT$86),Matching_Engine!$AT$86,999)</f>
      </c>
      <c r="Z86" s="34">
        <f>MIN($T$86:$Y$86)</f>
      </c>
      <c r="AA86" s="32">
        <f>INDEX({"Brand &amp; Business Relevance","Target Audience Relevance","Content &amp; Category Relevance","Brand Personality Fit","Performance Quality","Brand Safety"},MATCH($Z$86,$T$86:$Y$86,0))</f>
      </c>
    </row>
    <row r="87" spans="1:27" x14ac:dyDescent="0.25">
      <c r="A87" s="32">
        <f>Matching_Engine!$B$87</f>
      </c>
      <c r="B87" s="32">
        <f>Matching_Engine!$D$87</f>
      </c>
      <c r="C87" s="32">
        <f>Matching_Engine!$E$87</f>
      </c>
      <c r="D87" s="33">
        <f>Matching_Engine!$AY$87</f>
      </c>
      <c r="E87" s="32">
        <f>Matching_Engine!$AZ$87</f>
      </c>
      <c r="F87" s="32">
        <f>IF(NOT(ISNUMBER(Matching_Engine!$AY$87)),"Not scored: no component of the model had data for this account, so no match can be claimed either way.",Matching_Engine!$AZ$87&amp;" — "&amp;Matching_Engine!$AY$87&amp;"/100 against "&amp;Matching_Engine!$B$87&amp;". "&amp;"Strongest factor "&amp;$S$87&amp;" at "&amp;$R$87&amp;"; weakest "&amp;$AA$87&amp;" at "&amp;$Z$87&amp;". "&amp;IF(AND(ISTEXT(Matching_Engine!$G$87),Matching_Engine!$G$87&lt;&gt;"N/A"),"Tagged category "&amp;Matching_Engine!$G$87&amp;" scores "&amp;IF(ISNUMBER(Matching_Engine!$J$87),Matching_Engine!$J$87,0)&amp;" against the brand category "&amp;Matching_Engine!$B$87&amp;" targets. ","Creator carries no category on record, so the category-driven parts fall back to neutral rather than penalising the creator. ")&amp;IF(ISNUMBER(Matching_Engine!$R$87),"Audience-interest overlap "&amp;Matching_Engine!$R$87&amp;". ","Audience interests unmeasured. ")&amp;IF(Matching_Engine!$AX$87&lt;100,"Scored on "&amp;Matching_Engine!$AX$87&amp;" of the 100 nominal weight points; the rest had no data.",""))</f>
      </c>
      <c r="G87" s="32">
        <f>IF(NOT(ISNUMBER(Matching_Engine!$AY$87)),"N/A",$S$87&amp;" ("&amp;$R$87&amp;"/100)")</f>
      </c>
      <c r="H87" s="32">
        <f>IF(NOT(ISNUMBER(Matching_Engine!$AY$87)),"N/A",$AA$87&amp;" ("&amp;$Z$87&amp;"/100)")</f>
      </c>
      <c r="I87" s="32">
        <f>IF(NOT(ISNUMBER(Matching_Engine!$AY$87)),"No data to consider: this account has no measured signal.",IF($Z$87&lt;Lookup_Lists!$D$161,$AA$87&amp;" sits at "&amp;$Z$87&amp;", below the "&amp;Lookup_Lists!$D$161&amp;"-point consideration threshold"&amp;IF(Matching_Engine!$AF$87=0," · Brand Personality Fit could not be scored at all: no creator personality, tone, values or content-style column exists","")&amp;IF(Matching_Engine!$AI$87="N/A"," · posting cadence unusable, so Consistency is excluded from Performance","")&amp;".","No component falls below the "&amp;Lookup_Lists!$D$161&amp;"-point consideration threshold."))</f>
      </c>
      <c r="J87" s="32">
        <f>Matching_Engine!$AV$87&amp;" — "&amp;Matching_Engine!$AW$87&amp;IF(Matching_Engine!$BB$87="Limited Data"," Confidence is Limited Data: "&amp;Matching_Engine!$BA$87&amp;"% of tracked fields carry a value.","")</f>
      </c>
      <c r="K87" s="32">
        <f>IF(NOT(ISNUMBER(Matching_Engine!$AY$87)),"Do not shortlist on this data — re-scrape the account first.",IF(Matching_Engine!$AY$87&gt;=Lookup_Lists!$D$156,"Highly Recommended",IF(Matching_Engine!$AY$87&gt;=Lookup_Lists!$D$157,"Recommended",IF(Matching_Engine!$AY$87&gt;=Lookup_Lists!$D$158,"Consider","Low Priority")))&amp;IF(Matching_Engine!$AX$87&lt;100," (on partial data)",""))</f>
      </c>
      <c r="L87" s="34">
        <f>IF(ISNUMBER(Matching_Engine!$M$87),Matching_Engine!$M$87,-1)</f>
      </c>
      <c r="M87" s="34">
        <f>IF(ISNUMBER(Matching_Engine!$S$87),Matching_Engine!$S$87,-1)</f>
      </c>
      <c r="N87" s="34">
        <f>IF(ISNUMBER(Matching_Engine!$Y$87),Matching_Engine!$Y$87,-1)</f>
      </c>
      <c r="O87" s="34">
        <f>IF(ISNUMBER(Matching_Engine!$AE$87),Matching_Engine!$AE$87,-1)</f>
      </c>
      <c r="P87" s="34">
        <f>IF(ISNUMBER(Matching_Engine!$AM$87),Matching_Engine!$AM$87,-1)</f>
      </c>
      <c r="Q87" s="34">
        <f>IF(ISNUMBER(Matching_Engine!$AT$87),Matching_Engine!$AT$87,-1)</f>
      </c>
      <c r="R87" s="34">
        <f>MAX($L$87:$Q$87)</f>
      </c>
      <c r="S87" s="32">
        <f>INDEX({"Brand &amp; Business Relevance","Target Audience Relevance","Content &amp; Category Relevance","Brand Personality Fit","Performance Quality","Brand Safety"},MATCH($R$87,$L$87:$Q$87,0))</f>
      </c>
      <c r="T87" s="34">
        <f>IF(ISNUMBER(Matching_Engine!$M$87),Matching_Engine!$M$87,999)</f>
      </c>
      <c r="U87" s="34">
        <f>IF(ISNUMBER(Matching_Engine!$S$87),Matching_Engine!$S$87,999)</f>
      </c>
      <c r="V87" s="34">
        <f>IF(ISNUMBER(Matching_Engine!$Y$87),Matching_Engine!$Y$87,999)</f>
      </c>
      <c r="W87" s="34">
        <f>IF(ISNUMBER(Matching_Engine!$AE$87),Matching_Engine!$AE$87,999)</f>
      </c>
      <c r="X87" s="34">
        <f>IF(ISNUMBER(Matching_Engine!$AM$87),Matching_Engine!$AM$87,999)</f>
      </c>
      <c r="Y87" s="34">
        <f>IF(ISNUMBER(Matching_Engine!$AT$87),Matching_Engine!$AT$87,999)</f>
      </c>
      <c r="Z87" s="34">
        <f>MIN($T$87:$Y$87)</f>
      </c>
      <c r="AA87" s="32">
        <f>INDEX({"Brand &amp; Business Relevance","Target Audience Relevance","Content &amp; Category Relevance","Brand Personality Fit","Performance Quality","Brand Safety"},MATCH($Z$87,$T$87:$Y$87,0))</f>
      </c>
    </row>
    <row r="88" spans="1:27" x14ac:dyDescent="0.25">
      <c r="A88" s="32">
        <f>Matching_Engine!$B$88</f>
      </c>
      <c r="B88" s="32">
        <f>Matching_Engine!$D$88</f>
      </c>
      <c r="C88" s="32">
        <f>Matching_Engine!$E$88</f>
      </c>
      <c r="D88" s="33">
        <f>Matching_Engine!$AY$88</f>
      </c>
      <c r="E88" s="32">
        <f>Matching_Engine!$AZ$88</f>
      </c>
      <c r="F88" s="32">
        <f>IF(NOT(ISNUMBER(Matching_Engine!$AY$88)),"Not scored: no component of the model had data for this account, so no match can be claimed either way.",Matching_Engine!$AZ$88&amp;" — "&amp;Matching_Engine!$AY$88&amp;"/100 against "&amp;Matching_Engine!$B$88&amp;". "&amp;"Strongest factor "&amp;$S$88&amp;" at "&amp;$R$88&amp;"; weakest "&amp;$AA$88&amp;" at "&amp;$Z$88&amp;". "&amp;IF(AND(ISTEXT(Matching_Engine!$G$88),Matching_Engine!$G$88&lt;&gt;"N/A"),"Tagged category "&amp;Matching_Engine!$G$88&amp;" scores "&amp;IF(ISNUMBER(Matching_Engine!$J$88),Matching_Engine!$J$88,0)&amp;" against the brand category "&amp;Matching_Engine!$B$88&amp;" targets. ","Creator carries no category on record, so the category-driven parts fall back to neutral rather than penalising the creator. ")&amp;IF(ISNUMBER(Matching_Engine!$R$88),"Audience-interest overlap "&amp;Matching_Engine!$R$88&amp;". ","Audience interests unmeasured. ")&amp;IF(Matching_Engine!$AX$88&lt;100,"Scored on "&amp;Matching_Engine!$AX$88&amp;" of the 100 nominal weight points; the rest had no data.",""))</f>
      </c>
      <c r="G88" s="32">
        <f>IF(NOT(ISNUMBER(Matching_Engine!$AY$88)),"N/A",$S$88&amp;" ("&amp;$R$88&amp;"/100)")</f>
      </c>
      <c r="H88" s="32">
        <f>IF(NOT(ISNUMBER(Matching_Engine!$AY$88)),"N/A",$AA$88&amp;" ("&amp;$Z$88&amp;"/100)")</f>
      </c>
      <c r="I88" s="32">
        <f>IF(NOT(ISNUMBER(Matching_Engine!$AY$88)),"No data to consider: this account has no measured signal.",IF($Z$88&lt;Lookup_Lists!$D$161,$AA$88&amp;" sits at "&amp;$Z$88&amp;", below the "&amp;Lookup_Lists!$D$161&amp;"-point consideration threshold"&amp;IF(Matching_Engine!$AF$88=0," · Brand Personality Fit could not be scored at all: no creator personality, tone, values or content-style column exists","")&amp;IF(Matching_Engine!$AI$88="N/A"," · posting cadence unusable, so Consistency is excluded from Performance","")&amp;".","No component falls below the "&amp;Lookup_Lists!$D$161&amp;"-point consideration threshold."))</f>
      </c>
      <c r="J88" s="32">
        <f>Matching_Engine!$AV$88&amp;" — "&amp;Matching_Engine!$AW$88&amp;IF(Matching_Engine!$BB$88="Limited Data"," Confidence is Limited Data: "&amp;Matching_Engine!$BA$88&amp;"% of tracked fields carry a value.","")</f>
      </c>
      <c r="K88" s="32">
        <f>IF(NOT(ISNUMBER(Matching_Engine!$AY$88)),"Do not shortlist on this data — re-scrape the account first.",IF(Matching_Engine!$AY$88&gt;=Lookup_Lists!$D$156,"Highly Recommended",IF(Matching_Engine!$AY$88&gt;=Lookup_Lists!$D$157,"Recommended",IF(Matching_Engine!$AY$88&gt;=Lookup_Lists!$D$158,"Consider","Low Priority")))&amp;IF(Matching_Engine!$AX$88&lt;100," (on partial data)",""))</f>
      </c>
      <c r="L88" s="34">
        <f>IF(ISNUMBER(Matching_Engine!$M$88),Matching_Engine!$M$88,-1)</f>
      </c>
      <c r="M88" s="34">
        <f>IF(ISNUMBER(Matching_Engine!$S$88),Matching_Engine!$S$88,-1)</f>
      </c>
      <c r="N88" s="34">
        <f>IF(ISNUMBER(Matching_Engine!$Y$88),Matching_Engine!$Y$88,-1)</f>
      </c>
      <c r="O88" s="34">
        <f>IF(ISNUMBER(Matching_Engine!$AE$88),Matching_Engine!$AE$88,-1)</f>
      </c>
      <c r="P88" s="34">
        <f>IF(ISNUMBER(Matching_Engine!$AM$88),Matching_Engine!$AM$88,-1)</f>
      </c>
      <c r="Q88" s="34">
        <f>IF(ISNUMBER(Matching_Engine!$AT$88),Matching_Engine!$AT$88,-1)</f>
      </c>
      <c r="R88" s="34">
        <f>MAX($L$88:$Q$88)</f>
      </c>
      <c r="S88" s="32">
        <f>INDEX({"Brand &amp; Business Relevance","Target Audience Relevance","Content &amp; Category Relevance","Brand Personality Fit","Performance Quality","Brand Safety"},MATCH($R$88,$L$88:$Q$88,0))</f>
      </c>
      <c r="T88" s="34">
        <f>IF(ISNUMBER(Matching_Engine!$M$88),Matching_Engine!$M$88,999)</f>
      </c>
      <c r="U88" s="34">
        <f>IF(ISNUMBER(Matching_Engine!$S$88),Matching_Engine!$S$88,999)</f>
      </c>
      <c r="V88" s="34">
        <f>IF(ISNUMBER(Matching_Engine!$Y$88),Matching_Engine!$Y$88,999)</f>
      </c>
      <c r="W88" s="34">
        <f>IF(ISNUMBER(Matching_Engine!$AE$88),Matching_Engine!$AE$88,999)</f>
      </c>
      <c r="X88" s="34">
        <f>IF(ISNUMBER(Matching_Engine!$AM$88),Matching_Engine!$AM$88,999)</f>
      </c>
      <c r="Y88" s="34">
        <f>IF(ISNUMBER(Matching_Engine!$AT$88),Matching_Engine!$AT$88,999)</f>
      </c>
      <c r="Z88" s="34">
        <f>MIN($T$88:$Y$88)</f>
      </c>
      <c r="AA88" s="32">
        <f>INDEX({"Brand &amp; Business Relevance","Target Audience Relevance","Content &amp; Category Relevance","Brand Personality Fit","Performance Quality","Brand Safety"},MATCH($Z$88,$T$88:$Y$88,0))</f>
      </c>
    </row>
    <row r="89" spans="1:27" x14ac:dyDescent="0.25">
      <c r="A89" s="32">
        <f>Matching_Engine!$B$89</f>
      </c>
      <c r="B89" s="32">
        <f>Matching_Engine!$D$89</f>
      </c>
      <c r="C89" s="32">
        <f>Matching_Engine!$E$89</f>
      </c>
      <c r="D89" s="33">
        <f>Matching_Engine!$AY$89</f>
      </c>
      <c r="E89" s="32">
        <f>Matching_Engine!$AZ$89</f>
      </c>
      <c r="F89" s="32">
        <f>IF(NOT(ISNUMBER(Matching_Engine!$AY$89)),"Not scored: no component of the model had data for this account, so no match can be claimed either way.",Matching_Engine!$AZ$89&amp;" — "&amp;Matching_Engine!$AY$89&amp;"/100 against "&amp;Matching_Engine!$B$89&amp;". "&amp;"Strongest factor "&amp;$S$89&amp;" at "&amp;$R$89&amp;"; weakest "&amp;$AA$89&amp;" at "&amp;$Z$89&amp;". "&amp;IF(AND(ISTEXT(Matching_Engine!$G$89),Matching_Engine!$G$89&lt;&gt;"N/A"),"Tagged category "&amp;Matching_Engine!$G$89&amp;" scores "&amp;IF(ISNUMBER(Matching_Engine!$J$89),Matching_Engine!$J$89,0)&amp;" against the brand category "&amp;Matching_Engine!$B$89&amp;" targets. ","Creator carries no category on record, so the category-driven parts fall back to neutral rather than penalising the creator. ")&amp;IF(ISNUMBER(Matching_Engine!$R$89),"Audience-interest overlap "&amp;Matching_Engine!$R$89&amp;". ","Audience interests unmeasured. ")&amp;IF(Matching_Engine!$AX$89&lt;100,"Scored on "&amp;Matching_Engine!$AX$89&amp;" of the 100 nominal weight points; the rest had no data.",""))</f>
      </c>
      <c r="G89" s="32">
        <f>IF(NOT(ISNUMBER(Matching_Engine!$AY$89)),"N/A",$S$89&amp;" ("&amp;$R$89&amp;"/100)")</f>
      </c>
      <c r="H89" s="32">
        <f>IF(NOT(ISNUMBER(Matching_Engine!$AY$89)),"N/A",$AA$89&amp;" ("&amp;$Z$89&amp;"/100)")</f>
      </c>
      <c r="I89" s="32">
        <f>IF(NOT(ISNUMBER(Matching_Engine!$AY$89)),"No data to consider: this account has no measured signal.",IF($Z$89&lt;Lookup_Lists!$D$161,$AA$89&amp;" sits at "&amp;$Z$89&amp;", below the "&amp;Lookup_Lists!$D$161&amp;"-point consideration threshold"&amp;IF(Matching_Engine!$AF$89=0," · Brand Personality Fit could not be scored at all: no creator personality, tone, values or content-style column exists","")&amp;IF(Matching_Engine!$AI$89="N/A"," · posting cadence unusable, so Consistency is excluded from Performance","")&amp;".","No component falls below the "&amp;Lookup_Lists!$D$161&amp;"-point consideration threshold."))</f>
      </c>
      <c r="J89" s="32">
        <f>Matching_Engine!$AV$89&amp;" — "&amp;Matching_Engine!$AW$89&amp;IF(Matching_Engine!$BB$89="Limited Data"," Confidence is Limited Data: "&amp;Matching_Engine!$BA$89&amp;"% of tracked fields carry a value.","")</f>
      </c>
      <c r="K89" s="32">
        <f>IF(NOT(ISNUMBER(Matching_Engine!$AY$89)),"Do not shortlist on this data — re-scrape the account first.",IF(Matching_Engine!$AY$89&gt;=Lookup_Lists!$D$156,"Highly Recommended",IF(Matching_Engine!$AY$89&gt;=Lookup_Lists!$D$157,"Recommended",IF(Matching_Engine!$AY$89&gt;=Lookup_Lists!$D$158,"Consider","Low Priority")))&amp;IF(Matching_Engine!$AX$89&lt;100," (on partial data)",""))</f>
      </c>
      <c r="L89" s="34">
        <f>IF(ISNUMBER(Matching_Engine!$M$89),Matching_Engine!$M$89,-1)</f>
      </c>
      <c r="M89" s="34">
        <f>IF(ISNUMBER(Matching_Engine!$S$89),Matching_Engine!$S$89,-1)</f>
      </c>
      <c r="N89" s="34">
        <f>IF(ISNUMBER(Matching_Engine!$Y$89),Matching_Engine!$Y$89,-1)</f>
      </c>
      <c r="O89" s="34">
        <f>IF(ISNUMBER(Matching_Engine!$AE$89),Matching_Engine!$AE$89,-1)</f>
      </c>
      <c r="P89" s="34">
        <f>IF(ISNUMBER(Matching_Engine!$AM$89),Matching_Engine!$AM$89,-1)</f>
      </c>
      <c r="Q89" s="34">
        <f>IF(ISNUMBER(Matching_Engine!$AT$89),Matching_Engine!$AT$89,-1)</f>
      </c>
      <c r="R89" s="34">
        <f>MAX($L$89:$Q$89)</f>
      </c>
      <c r="S89" s="32">
        <f>INDEX({"Brand &amp; Business Relevance","Target Audience Relevance","Content &amp; Category Relevance","Brand Personality Fit","Performance Quality","Brand Safety"},MATCH($R$89,$L$89:$Q$89,0))</f>
      </c>
      <c r="T89" s="34">
        <f>IF(ISNUMBER(Matching_Engine!$M$89),Matching_Engine!$M$89,999)</f>
      </c>
      <c r="U89" s="34">
        <f>IF(ISNUMBER(Matching_Engine!$S$89),Matching_Engine!$S$89,999)</f>
      </c>
      <c r="V89" s="34">
        <f>IF(ISNUMBER(Matching_Engine!$Y$89),Matching_Engine!$Y$89,999)</f>
      </c>
      <c r="W89" s="34">
        <f>IF(ISNUMBER(Matching_Engine!$AE$89),Matching_Engine!$AE$89,999)</f>
      </c>
      <c r="X89" s="34">
        <f>IF(ISNUMBER(Matching_Engine!$AM$89),Matching_Engine!$AM$89,999)</f>
      </c>
      <c r="Y89" s="34">
        <f>IF(ISNUMBER(Matching_Engine!$AT$89),Matching_Engine!$AT$89,999)</f>
      </c>
      <c r="Z89" s="34">
        <f>MIN($T$89:$Y$89)</f>
      </c>
      <c r="AA89" s="32">
        <f>INDEX({"Brand &amp; Business Relevance","Target Audience Relevance","Content &amp; Category Relevance","Brand Personality Fit","Performance Quality","Brand Safety"},MATCH($Z$89,$T$89:$Y$89,0))</f>
      </c>
    </row>
    <row r="90" spans="1:27" x14ac:dyDescent="0.25">
      <c r="A90" s="32">
        <f>Matching_Engine!$B$90</f>
      </c>
      <c r="B90" s="32">
        <f>Matching_Engine!$D$90</f>
      </c>
      <c r="C90" s="32">
        <f>Matching_Engine!$E$90</f>
      </c>
      <c r="D90" s="33">
        <f>Matching_Engine!$AY$90</f>
      </c>
      <c r="E90" s="32">
        <f>Matching_Engine!$AZ$90</f>
      </c>
      <c r="F90" s="32">
        <f>IF(NOT(ISNUMBER(Matching_Engine!$AY$90)),"Not scored: no component of the model had data for this account, so no match can be claimed either way.",Matching_Engine!$AZ$90&amp;" — "&amp;Matching_Engine!$AY$90&amp;"/100 against "&amp;Matching_Engine!$B$90&amp;". "&amp;"Strongest factor "&amp;$S$90&amp;" at "&amp;$R$90&amp;"; weakest "&amp;$AA$90&amp;" at "&amp;$Z$90&amp;". "&amp;IF(AND(ISTEXT(Matching_Engine!$G$90),Matching_Engine!$G$90&lt;&gt;"N/A"),"Tagged category "&amp;Matching_Engine!$G$90&amp;" scores "&amp;IF(ISNUMBER(Matching_Engine!$J$90),Matching_Engine!$J$90,0)&amp;" against the brand category "&amp;Matching_Engine!$B$90&amp;" targets. ","Creator carries no category on record, so the category-driven parts fall back to neutral rather than penalising the creator. ")&amp;IF(ISNUMBER(Matching_Engine!$R$90),"Audience-interest overlap "&amp;Matching_Engine!$R$90&amp;". ","Audience interests unmeasured. ")&amp;IF(Matching_Engine!$AX$90&lt;100,"Scored on "&amp;Matching_Engine!$AX$90&amp;" of the 100 nominal weight points; the rest had no data.",""))</f>
      </c>
      <c r="G90" s="32">
        <f>IF(NOT(ISNUMBER(Matching_Engine!$AY$90)),"N/A",$S$90&amp;" ("&amp;$R$90&amp;"/100)")</f>
      </c>
      <c r="H90" s="32">
        <f>IF(NOT(ISNUMBER(Matching_Engine!$AY$90)),"N/A",$AA$90&amp;" ("&amp;$Z$90&amp;"/100)")</f>
      </c>
      <c r="I90" s="32">
        <f>IF(NOT(ISNUMBER(Matching_Engine!$AY$90)),"No data to consider: this account has no measured signal.",IF($Z$90&lt;Lookup_Lists!$D$161,$AA$90&amp;" sits at "&amp;$Z$90&amp;", below the "&amp;Lookup_Lists!$D$161&amp;"-point consideration threshold"&amp;IF(Matching_Engine!$AF$90=0," · Brand Personality Fit could not be scored at all: no creator personality, tone, values or content-style column exists","")&amp;IF(Matching_Engine!$AI$90="N/A"," · posting cadence unusable, so Consistency is excluded from Performance","")&amp;".","No component falls below the "&amp;Lookup_Lists!$D$161&amp;"-point consideration threshold."))</f>
      </c>
      <c r="J90" s="32">
        <f>Matching_Engine!$AV$90&amp;" — "&amp;Matching_Engine!$AW$90&amp;IF(Matching_Engine!$BB$90="Limited Data"," Confidence is Limited Data: "&amp;Matching_Engine!$BA$90&amp;"% of tracked fields carry a value.","")</f>
      </c>
      <c r="K90" s="32">
        <f>IF(NOT(ISNUMBER(Matching_Engine!$AY$90)),"Do not shortlist on this data — re-scrape the account first.",IF(Matching_Engine!$AY$90&gt;=Lookup_Lists!$D$156,"Highly Recommended",IF(Matching_Engine!$AY$90&gt;=Lookup_Lists!$D$157,"Recommended",IF(Matching_Engine!$AY$90&gt;=Lookup_Lists!$D$158,"Consider","Low Priority")))&amp;IF(Matching_Engine!$AX$90&lt;100," (on partial data)",""))</f>
      </c>
      <c r="L90" s="34">
        <f>IF(ISNUMBER(Matching_Engine!$M$90),Matching_Engine!$M$90,-1)</f>
      </c>
      <c r="M90" s="34">
        <f>IF(ISNUMBER(Matching_Engine!$S$90),Matching_Engine!$S$90,-1)</f>
      </c>
      <c r="N90" s="34">
        <f>IF(ISNUMBER(Matching_Engine!$Y$90),Matching_Engine!$Y$90,-1)</f>
      </c>
      <c r="O90" s="34">
        <f>IF(ISNUMBER(Matching_Engine!$AE$90),Matching_Engine!$AE$90,-1)</f>
      </c>
      <c r="P90" s="34">
        <f>IF(ISNUMBER(Matching_Engine!$AM$90),Matching_Engine!$AM$90,-1)</f>
      </c>
      <c r="Q90" s="34">
        <f>IF(ISNUMBER(Matching_Engine!$AT$90),Matching_Engine!$AT$90,-1)</f>
      </c>
      <c r="R90" s="34">
        <f>MAX($L$90:$Q$90)</f>
      </c>
      <c r="S90" s="32">
        <f>INDEX({"Brand &amp; Business Relevance","Target Audience Relevance","Content &amp; Category Relevance","Brand Personality Fit","Performance Quality","Brand Safety"},MATCH($R$90,$L$90:$Q$90,0))</f>
      </c>
      <c r="T90" s="34">
        <f>IF(ISNUMBER(Matching_Engine!$M$90),Matching_Engine!$M$90,999)</f>
      </c>
      <c r="U90" s="34">
        <f>IF(ISNUMBER(Matching_Engine!$S$90),Matching_Engine!$S$90,999)</f>
      </c>
      <c r="V90" s="34">
        <f>IF(ISNUMBER(Matching_Engine!$Y$90),Matching_Engine!$Y$90,999)</f>
      </c>
      <c r="W90" s="34">
        <f>IF(ISNUMBER(Matching_Engine!$AE$90),Matching_Engine!$AE$90,999)</f>
      </c>
      <c r="X90" s="34">
        <f>IF(ISNUMBER(Matching_Engine!$AM$90),Matching_Engine!$AM$90,999)</f>
      </c>
      <c r="Y90" s="34">
        <f>IF(ISNUMBER(Matching_Engine!$AT$90),Matching_Engine!$AT$90,999)</f>
      </c>
      <c r="Z90" s="34">
        <f>MIN($T$90:$Y$90)</f>
      </c>
      <c r="AA90" s="32">
        <f>INDEX({"Brand &amp; Business Relevance","Target Audience Relevance","Content &amp; Category Relevance","Brand Personality Fit","Performance Quality","Brand Safety"},MATCH($Z$90,$T$90:$Y$90,0))</f>
      </c>
    </row>
    <row r="91" spans="1:27" x14ac:dyDescent="0.25">
      <c r="A91" s="32">
        <f>Matching_Engine!$B$91</f>
      </c>
      <c r="B91" s="32">
        <f>Matching_Engine!$D$91</f>
      </c>
      <c r="C91" s="32">
        <f>Matching_Engine!$E$91</f>
      </c>
      <c r="D91" s="33">
        <f>Matching_Engine!$AY$91</f>
      </c>
      <c r="E91" s="32">
        <f>Matching_Engine!$AZ$91</f>
      </c>
      <c r="F91" s="32">
        <f>IF(NOT(ISNUMBER(Matching_Engine!$AY$91)),"Not scored: no component of the model had data for this account, so no match can be claimed either way.",Matching_Engine!$AZ$91&amp;" — "&amp;Matching_Engine!$AY$91&amp;"/100 against "&amp;Matching_Engine!$B$91&amp;". "&amp;"Strongest factor "&amp;$S$91&amp;" at "&amp;$R$91&amp;"; weakest "&amp;$AA$91&amp;" at "&amp;$Z$91&amp;". "&amp;IF(AND(ISTEXT(Matching_Engine!$G$91),Matching_Engine!$G$91&lt;&gt;"N/A"),"Tagged category "&amp;Matching_Engine!$G$91&amp;" scores "&amp;IF(ISNUMBER(Matching_Engine!$J$91),Matching_Engine!$J$91,0)&amp;" against the brand category "&amp;Matching_Engine!$B$91&amp;" targets. ","Creator carries no category on record, so the category-driven parts fall back to neutral rather than penalising the creator. ")&amp;IF(ISNUMBER(Matching_Engine!$R$91),"Audience-interest overlap "&amp;Matching_Engine!$R$91&amp;". ","Audience interests unmeasured. ")&amp;IF(Matching_Engine!$AX$91&lt;100,"Scored on "&amp;Matching_Engine!$AX$91&amp;" of the 100 nominal weight points; the rest had no data.",""))</f>
      </c>
      <c r="G91" s="32">
        <f>IF(NOT(ISNUMBER(Matching_Engine!$AY$91)),"N/A",$S$91&amp;" ("&amp;$R$91&amp;"/100)")</f>
      </c>
      <c r="H91" s="32">
        <f>IF(NOT(ISNUMBER(Matching_Engine!$AY$91)),"N/A",$AA$91&amp;" ("&amp;$Z$91&amp;"/100)")</f>
      </c>
      <c r="I91" s="32">
        <f>IF(NOT(ISNUMBER(Matching_Engine!$AY$91)),"No data to consider: this account has no measured signal.",IF($Z$91&lt;Lookup_Lists!$D$161,$AA$91&amp;" sits at "&amp;$Z$91&amp;", below the "&amp;Lookup_Lists!$D$161&amp;"-point consideration threshold"&amp;IF(Matching_Engine!$AF$91=0," · Brand Personality Fit could not be scored at all: no creator personality, tone, values or content-style column exists","")&amp;IF(Matching_Engine!$AI$91="N/A"," · posting cadence unusable, so Consistency is excluded from Performance","")&amp;".","No component falls below the "&amp;Lookup_Lists!$D$161&amp;"-point consideration threshold."))</f>
      </c>
      <c r="J91" s="32">
        <f>Matching_Engine!$AV$91&amp;" — "&amp;Matching_Engine!$AW$91&amp;IF(Matching_Engine!$BB$91="Limited Data"," Confidence is Limited Data: "&amp;Matching_Engine!$BA$91&amp;"% of tracked fields carry a value.","")</f>
      </c>
      <c r="K91" s="32">
        <f>IF(NOT(ISNUMBER(Matching_Engine!$AY$91)),"Do not shortlist on this data — re-scrape the account first.",IF(Matching_Engine!$AY$91&gt;=Lookup_Lists!$D$156,"Highly Recommended",IF(Matching_Engine!$AY$91&gt;=Lookup_Lists!$D$157,"Recommended",IF(Matching_Engine!$AY$91&gt;=Lookup_Lists!$D$158,"Consider","Low Priority")))&amp;IF(Matching_Engine!$AX$91&lt;100," (on partial data)",""))</f>
      </c>
      <c r="L91" s="34">
        <f>IF(ISNUMBER(Matching_Engine!$M$91),Matching_Engine!$M$91,-1)</f>
      </c>
      <c r="M91" s="34">
        <f>IF(ISNUMBER(Matching_Engine!$S$91),Matching_Engine!$S$91,-1)</f>
      </c>
      <c r="N91" s="34">
        <f>IF(ISNUMBER(Matching_Engine!$Y$91),Matching_Engine!$Y$91,-1)</f>
      </c>
      <c r="O91" s="34">
        <f>IF(ISNUMBER(Matching_Engine!$AE$91),Matching_Engine!$AE$91,-1)</f>
      </c>
      <c r="P91" s="34">
        <f>IF(ISNUMBER(Matching_Engine!$AM$91),Matching_Engine!$AM$91,-1)</f>
      </c>
      <c r="Q91" s="34">
        <f>IF(ISNUMBER(Matching_Engine!$AT$91),Matching_Engine!$AT$91,-1)</f>
      </c>
      <c r="R91" s="34">
        <f>MAX($L$91:$Q$91)</f>
      </c>
      <c r="S91" s="32">
        <f>INDEX({"Brand &amp; Business Relevance","Target Audience Relevance","Content &amp; Category Relevance","Brand Personality Fit","Performance Quality","Brand Safety"},MATCH($R$91,$L$91:$Q$91,0))</f>
      </c>
      <c r="T91" s="34">
        <f>IF(ISNUMBER(Matching_Engine!$M$91),Matching_Engine!$M$91,999)</f>
      </c>
      <c r="U91" s="34">
        <f>IF(ISNUMBER(Matching_Engine!$S$91),Matching_Engine!$S$91,999)</f>
      </c>
      <c r="V91" s="34">
        <f>IF(ISNUMBER(Matching_Engine!$Y$91),Matching_Engine!$Y$91,999)</f>
      </c>
      <c r="W91" s="34">
        <f>IF(ISNUMBER(Matching_Engine!$AE$91),Matching_Engine!$AE$91,999)</f>
      </c>
      <c r="X91" s="34">
        <f>IF(ISNUMBER(Matching_Engine!$AM$91),Matching_Engine!$AM$91,999)</f>
      </c>
      <c r="Y91" s="34">
        <f>IF(ISNUMBER(Matching_Engine!$AT$91),Matching_Engine!$AT$91,999)</f>
      </c>
      <c r="Z91" s="34">
        <f>MIN($T$91:$Y$91)</f>
      </c>
      <c r="AA91" s="32">
        <f>INDEX({"Brand &amp; Business Relevance","Target Audience Relevance","Content &amp; Category Relevance","Brand Personality Fit","Performance Quality","Brand Safety"},MATCH($Z$91,$T$91:$Y$91,0))</f>
      </c>
    </row>
    <row r="92" spans="1:27" x14ac:dyDescent="0.25">
      <c r="A92" s="32">
        <f>Matching_Engine!$B$92</f>
      </c>
      <c r="B92" s="32">
        <f>Matching_Engine!$D$92</f>
      </c>
      <c r="C92" s="32">
        <f>Matching_Engine!$E$92</f>
      </c>
      <c r="D92" s="33">
        <f>Matching_Engine!$AY$92</f>
      </c>
      <c r="E92" s="32">
        <f>Matching_Engine!$AZ$92</f>
      </c>
      <c r="F92" s="32">
        <f>IF(NOT(ISNUMBER(Matching_Engine!$AY$92)),"Not scored: no component of the model had data for this account, so no match can be claimed either way.",Matching_Engine!$AZ$92&amp;" — "&amp;Matching_Engine!$AY$92&amp;"/100 against "&amp;Matching_Engine!$B$92&amp;". "&amp;"Strongest factor "&amp;$S$92&amp;" at "&amp;$R$92&amp;"; weakest "&amp;$AA$92&amp;" at "&amp;$Z$92&amp;". "&amp;IF(AND(ISTEXT(Matching_Engine!$G$92),Matching_Engine!$G$92&lt;&gt;"N/A"),"Tagged category "&amp;Matching_Engine!$G$92&amp;" scores "&amp;IF(ISNUMBER(Matching_Engine!$J$92),Matching_Engine!$J$92,0)&amp;" against the brand category "&amp;Matching_Engine!$B$92&amp;" targets. ","Creator carries no category on record, so the category-driven parts fall back to neutral rather than penalising the creator. ")&amp;IF(ISNUMBER(Matching_Engine!$R$92),"Audience-interest overlap "&amp;Matching_Engine!$R$92&amp;". ","Audience interests unmeasured. ")&amp;IF(Matching_Engine!$AX$92&lt;100,"Scored on "&amp;Matching_Engine!$AX$92&amp;" of the 100 nominal weight points; the rest had no data.",""))</f>
      </c>
      <c r="G92" s="32">
        <f>IF(NOT(ISNUMBER(Matching_Engine!$AY$92)),"N/A",$S$92&amp;" ("&amp;$R$92&amp;"/100)")</f>
      </c>
      <c r="H92" s="32">
        <f>IF(NOT(ISNUMBER(Matching_Engine!$AY$92)),"N/A",$AA$92&amp;" ("&amp;$Z$92&amp;"/100)")</f>
      </c>
      <c r="I92" s="32">
        <f>IF(NOT(ISNUMBER(Matching_Engine!$AY$92)),"No data to consider: this account has no measured signal.",IF($Z$92&lt;Lookup_Lists!$D$161,$AA$92&amp;" sits at "&amp;$Z$92&amp;", below the "&amp;Lookup_Lists!$D$161&amp;"-point consideration threshold"&amp;IF(Matching_Engine!$AF$92=0," · Brand Personality Fit could not be scored at all: no creator personality, tone, values or content-style column exists","")&amp;IF(Matching_Engine!$AI$92="N/A"," · posting cadence unusable, so Consistency is excluded from Performance","")&amp;".","No component falls below the "&amp;Lookup_Lists!$D$161&amp;"-point consideration threshold."))</f>
      </c>
      <c r="J92" s="32">
        <f>Matching_Engine!$AV$92&amp;" — "&amp;Matching_Engine!$AW$92&amp;IF(Matching_Engine!$BB$92="Limited Data"," Confidence is Limited Data: "&amp;Matching_Engine!$BA$92&amp;"% of tracked fields carry a value.","")</f>
      </c>
      <c r="K92" s="32">
        <f>IF(NOT(ISNUMBER(Matching_Engine!$AY$92)),"Do not shortlist on this data — re-scrape the account first.",IF(Matching_Engine!$AY$92&gt;=Lookup_Lists!$D$156,"Highly Recommended",IF(Matching_Engine!$AY$92&gt;=Lookup_Lists!$D$157,"Recommended",IF(Matching_Engine!$AY$92&gt;=Lookup_Lists!$D$158,"Consider","Low Priority")))&amp;IF(Matching_Engine!$AX$92&lt;100," (on partial data)",""))</f>
      </c>
      <c r="L92" s="34">
        <f>IF(ISNUMBER(Matching_Engine!$M$92),Matching_Engine!$M$92,-1)</f>
      </c>
      <c r="M92" s="34">
        <f>IF(ISNUMBER(Matching_Engine!$S$92),Matching_Engine!$S$92,-1)</f>
      </c>
      <c r="N92" s="34">
        <f>IF(ISNUMBER(Matching_Engine!$Y$92),Matching_Engine!$Y$92,-1)</f>
      </c>
      <c r="O92" s="34">
        <f>IF(ISNUMBER(Matching_Engine!$AE$92),Matching_Engine!$AE$92,-1)</f>
      </c>
      <c r="P92" s="34">
        <f>IF(ISNUMBER(Matching_Engine!$AM$92),Matching_Engine!$AM$92,-1)</f>
      </c>
      <c r="Q92" s="34">
        <f>IF(ISNUMBER(Matching_Engine!$AT$92),Matching_Engine!$AT$92,-1)</f>
      </c>
      <c r="R92" s="34">
        <f>MAX($L$92:$Q$92)</f>
      </c>
      <c r="S92" s="32">
        <f>INDEX({"Brand &amp; Business Relevance","Target Audience Relevance","Content &amp; Category Relevance","Brand Personality Fit","Performance Quality","Brand Safety"},MATCH($R$92,$L$92:$Q$92,0))</f>
      </c>
      <c r="T92" s="34">
        <f>IF(ISNUMBER(Matching_Engine!$M$92),Matching_Engine!$M$92,999)</f>
      </c>
      <c r="U92" s="34">
        <f>IF(ISNUMBER(Matching_Engine!$S$92),Matching_Engine!$S$92,999)</f>
      </c>
      <c r="V92" s="34">
        <f>IF(ISNUMBER(Matching_Engine!$Y$92),Matching_Engine!$Y$92,999)</f>
      </c>
      <c r="W92" s="34">
        <f>IF(ISNUMBER(Matching_Engine!$AE$92),Matching_Engine!$AE$92,999)</f>
      </c>
      <c r="X92" s="34">
        <f>IF(ISNUMBER(Matching_Engine!$AM$92),Matching_Engine!$AM$92,999)</f>
      </c>
      <c r="Y92" s="34">
        <f>IF(ISNUMBER(Matching_Engine!$AT$92),Matching_Engine!$AT$92,999)</f>
      </c>
      <c r="Z92" s="34">
        <f>MIN($T$92:$Y$92)</f>
      </c>
      <c r="AA92" s="32">
        <f>INDEX({"Brand &amp; Business Relevance","Target Audience Relevance","Content &amp; Category Relevance","Brand Personality Fit","Performance Quality","Brand Safety"},MATCH($Z$92,$T$92:$Y$92,0))</f>
      </c>
    </row>
    <row r="93" spans="1:27" x14ac:dyDescent="0.25">
      <c r="A93" s="32">
        <f>Matching_Engine!$B$93</f>
      </c>
      <c r="B93" s="32">
        <f>Matching_Engine!$D$93</f>
      </c>
      <c r="C93" s="32">
        <f>Matching_Engine!$E$93</f>
      </c>
      <c r="D93" s="33">
        <f>Matching_Engine!$AY$93</f>
      </c>
      <c r="E93" s="32">
        <f>Matching_Engine!$AZ$93</f>
      </c>
      <c r="F93" s="32">
        <f>IF(NOT(ISNUMBER(Matching_Engine!$AY$93)),"Not scored: no component of the model had data for this account, so no match can be claimed either way.",Matching_Engine!$AZ$93&amp;" — "&amp;Matching_Engine!$AY$93&amp;"/100 against "&amp;Matching_Engine!$B$93&amp;". "&amp;"Strongest factor "&amp;$S$93&amp;" at "&amp;$R$93&amp;"; weakest "&amp;$AA$93&amp;" at "&amp;$Z$93&amp;". "&amp;IF(AND(ISTEXT(Matching_Engine!$G$93),Matching_Engine!$G$93&lt;&gt;"N/A"),"Tagged category "&amp;Matching_Engine!$G$93&amp;" scores "&amp;IF(ISNUMBER(Matching_Engine!$J$93),Matching_Engine!$J$93,0)&amp;" against the brand category "&amp;Matching_Engine!$B$93&amp;" targets. ","Creator carries no category on record, so the category-driven parts fall back to neutral rather than penalising the creator. ")&amp;IF(ISNUMBER(Matching_Engine!$R$93),"Audience-interest overlap "&amp;Matching_Engine!$R$93&amp;". ","Audience interests unmeasured. ")&amp;IF(Matching_Engine!$AX$93&lt;100,"Scored on "&amp;Matching_Engine!$AX$93&amp;" of the 100 nominal weight points; the rest had no data.",""))</f>
      </c>
      <c r="G93" s="32">
        <f>IF(NOT(ISNUMBER(Matching_Engine!$AY$93)),"N/A",$S$93&amp;" ("&amp;$R$93&amp;"/100)")</f>
      </c>
      <c r="H93" s="32">
        <f>IF(NOT(ISNUMBER(Matching_Engine!$AY$93)),"N/A",$AA$93&amp;" ("&amp;$Z$93&amp;"/100)")</f>
      </c>
      <c r="I93" s="32">
        <f>IF(NOT(ISNUMBER(Matching_Engine!$AY$93)),"No data to consider: this account has no measured signal.",IF($Z$93&lt;Lookup_Lists!$D$161,$AA$93&amp;" sits at "&amp;$Z$93&amp;", below the "&amp;Lookup_Lists!$D$161&amp;"-point consideration threshold"&amp;IF(Matching_Engine!$AF$93=0," · Brand Personality Fit could not be scored at all: no creator personality, tone, values or content-style column exists","")&amp;IF(Matching_Engine!$AI$93="N/A"," · posting cadence unusable, so Consistency is excluded from Performance","")&amp;".","No component falls below the "&amp;Lookup_Lists!$D$161&amp;"-point consideration threshold."))</f>
      </c>
      <c r="J93" s="32">
        <f>Matching_Engine!$AV$93&amp;" — "&amp;Matching_Engine!$AW$93&amp;IF(Matching_Engine!$BB$93="Limited Data"," Confidence is Limited Data: "&amp;Matching_Engine!$BA$93&amp;"% of tracked fields carry a value.","")</f>
      </c>
      <c r="K93" s="32">
        <f>IF(NOT(ISNUMBER(Matching_Engine!$AY$93)),"Do not shortlist on this data — re-scrape the account first.",IF(Matching_Engine!$AY$93&gt;=Lookup_Lists!$D$156,"Highly Recommended",IF(Matching_Engine!$AY$93&gt;=Lookup_Lists!$D$157,"Recommended",IF(Matching_Engine!$AY$93&gt;=Lookup_Lists!$D$158,"Consider","Low Priority")))&amp;IF(Matching_Engine!$AX$93&lt;100," (on partial data)",""))</f>
      </c>
      <c r="L93" s="34">
        <f>IF(ISNUMBER(Matching_Engine!$M$93),Matching_Engine!$M$93,-1)</f>
      </c>
      <c r="M93" s="34">
        <f>IF(ISNUMBER(Matching_Engine!$S$93),Matching_Engine!$S$93,-1)</f>
      </c>
      <c r="N93" s="34">
        <f>IF(ISNUMBER(Matching_Engine!$Y$93),Matching_Engine!$Y$93,-1)</f>
      </c>
      <c r="O93" s="34">
        <f>IF(ISNUMBER(Matching_Engine!$AE$93),Matching_Engine!$AE$93,-1)</f>
      </c>
      <c r="P93" s="34">
        <f>IF(ISNUMBER(Matching_Engine!$AM$93),Matching_Engine!$AM$93,-1)</f>
      </c>
      <c r="Q93" s="34">
        <f>IF(ISNUMBER(Matching_Engine!$AT$93),Matching_Engine!$AT$93,-1)</f>
      </c>
      <c r="R93" s="34">
        <f>MAX($L$93:$Q$93)</f>
      </c>
      <c r="S93" s="32">
        <f>INDEX({"Brand &amp; Business Relevance","Target Audience Relevance","Content &amp; Category Relevance","Brand Personality Fit","Performance Quality","Brand Safety"},MATCH($R$93,$L$93:$Q$93,0))</f>
      </c>
      <c r="T93" s="34">
        <f>IF(ISNUMBER(Matching_Engine!$M$93),Matching_Engine!$M$93,999)</f>
      </c>
      <c r="U93" s="34">
        <f>IF(ISNUMBER(Matching_Engine!$S$93),Matching_Engine!$S$93,999)</f>
      </c>
      <c r="V93" s="34">
        <f>IF(ISNUMBER(Matching_Engine!$Y$93),Matching_Engine!$Y$93,999)</f>
      </c>
      <c r="W93" s="34">
        <f>IF(ISNUMBER(Matching_Engine!$AE$93),Matching_Engine!$AE$93,999)</f>
      </c>
      <c r="X93" s="34">
        <f>IF(ISNUMBER(Matching_Engine!$AM$93),Matching_Engine!$AM$93,999)</f>
      </c>
      <c r="Y93" s="34">
        <f>IF(ISNUMBER(Matching_Engine!$AT$93),Matching_Engine!$AT$93,999)</f>
      </c>
      <c r="Z93" s="34">
        <f>MIN($T$93:$Y$93)</f>
      </c>
      <c r="AA93" s="32">
        <f>INDEX({"Brand &amp; Business Relevance","Target Audience Relevance","Content &amp; Category Relevance","Brand Personality Fit","Performance Quality","Brand Safety"},MATCH($Z$93,$T$93:$Y$93,0))</f>
      </c>
    </row>
    <row r="94" spans="1:27" x14ac:dyDescent="0.25">
      <c r="A94" s="32">
        <f>Matching_Engine!$B$94</f>
      </c>
      <c r="B94" s="32">
        <f>Matching_Engine!$D$94</f>
      </c>
      <c r="C94" s="32">
        <f>Matching_Engine!$E$94</f>
      </c>
      <c r="D94" s="33">
        <f>Matching_Engine!$AY$94</f>
      </c>
      <c r="E94" s="32">
        <f>Matching_Engine!$AZ$94</f>
      </c>
      <c r="F94" s="32">
        <f>IF(NOT(ISNUMBER(Matching_Engine!$AY$94)),"Not scored: no component of the model had data for this account, so no match can be claimed either way.",Matching_Engine!$AZ$94&amp;" — "&amp;Matching_Engine!$AY$94&amp;"/100 against "&amp;Matching_Engine!$B$94&amp;". "&amp;"Strongest factor "&amp;$S$94&amp;" at "&amp;$R$94&amp;"; weakest "&amp;$AA$94&amp;" at "&amp;$Z$94&amp;". "&amp;IF(AND(ISTEXT(Matching_Engine!$G$94),Matching_Engine!$G$94&lt;&gt;"N/A"),"Tagged category "&amp;Matching_Engine!$G$94&amp;" scores "&amp;IF(ISNUMBER(Matching_Engine!$J$94),Matching_Engine!$J$94,0)&amp;" against the brand category "&amp;Matching_Engine!$B$94&amp;" targets. ","Creator carries no category on record, so the category-driven parts fall back to neutral rather than penalising the creator. ")&amp;IF(ISNUMBER(Matching_Engine!$R$94),"Audience-interest overlap "&amp;Matching_Engine!$R$94&amp;". ","Audience interests unmeasured. ")&amp;IF(Matching_Engine!$AX$94&lt;100,"Scored on "&amp;Matching_Engine!$AX$94&amp;" of the 100 nominal weight points; the rest had no data.",""))</f>
      </c>
      <c r="G94" s="32">
        <f>IF(NOT(ISNUMBER(Matching_Engine!$AY$94)),"N/A",$S$94&amp;" ("&amp;$R$94&amp;"/100)")</f>
      </c>
      <c r="H94" s="32">
        <f>IF(NOT(ISNUMBER(Matching_Engine!$AY$94)),"N/A",$AA$94&amp;" ("&amp;$Z$94&amp;"/100)")</f>
      </c>
      <c r="I94" s="32">
        <f>IF(NOT(ISNUMBER(Matching_Engine!$AY$94)),"No data to consider: this account has no measured signal.",IF($Z$94&lt;Lookup_Lists!$D$161,$AA$94&amp;" sits at "&amp;$Z$94&amp;", below the "&amp;Lookup_Lists!$D$161&amp;"-point consideration threshold"&amp;IF(Matching_Engine!$AF$94=0," · Brand Personality Fit could not be scored at all: no creator personality, tone, values or content-style column exists","")&amp;IF(Matching_Engine!$AI$94="N/A"," · posting cadence unusable, so Consistency is excluded from Performance","")&amp;".","No component falls below the "&amp;Lookup_Lists!$D$161&amp;"-point consideration threshold."))</f>
      </c>
      <c r="J94" s="32">
        <f>Matching_Engine!$AV$94&amp;" — "&amp;Matching_Engine!$AW$94&amp;IF(Matching_Engine!$BB$94="Limited Data"," Confidence is Limited Data: "&amp;Matching_Engine!$BA$94&amp;"% of tracked fields carry a value.","")</f>
      </c>
      <c r="K94" s="32">
        <f>IF(NOT(ISNUMBER(Matching_Engine!$AY$94)),"Do not shortlist on this data — re-scrape the account first.",IF(Matching_Engine!$AY$94&gt;=Lookup_Lists!$D$156,"Highly Recommended",IF(Matching_Engine!$AY$94&gt;=Lookup_Lists!$D$157,"Recommended",IF(Matching_Engine!$AY$94&gt;=Lookup_Lists!$D$158,"Consider","Low Priority")))&amp;IF(Matching_Engine!$AX$94&lt;100," (on partial data)",""))</f>
      </c>
      <c r="L94" s="34">
        <f>IF(ISNUMBER(Matching_Engine!$M$94),Matching_Engine!$M$94,-1)</f>
      </c>
      <c r="M94" s="34">
        <f>IF(ISNUMBER(Matching_Engine!$S$94),Matching_Engine!$S$94,-1)</f>
      </c>
      <c r="N94" s="34">
        <f>IF(ISNUMBER(Matching_Engine!$Y$94),Matching_Engine!$Y$94,-1)</f>
      </c>
      <c r="O94" s="34">
        <f>IF(ISNUMBER(Matching_Engine!$AE$94),Matching_Engine!$AE$94,-1)</f>
      </c>
      <c r="P94" s="34">
        <f>IF(ISNUMBER(Matching_Engine!$AM$94),Matching_Engine!$AM$94,-1)</f>
      </c>
      <c r="Q94" s="34">
        <f>IF(ISNUMBER(Matching_Engine!$AT$94),Matching_Engine!$AT$94,-1)</f>
      </c>
      <c r="R94" s="34">
        <f>MAX($L$94:$Q$94)</f>
      </c>
      <c r="S94" s="32">
        <f>INDEX({"Brand &amp; Business Relevance","Target Audience Relevance","Content &amp; Category Relevance","Brand Personality Fit","Performance Quality","Brand Safety"},MATCH($R$94,$L$94:$Q$94,0))</f>
      </c>
      <c r="T94" s="34">
        <f>IF(ISNUMBER(Matching_Engine!$M$94),Matching_Engine!$M$94,999)</f>
      </c>
      <c r="U94" s="34">
        <f>IF(ISNUMBER(Matching_Engine!$S$94),Matching_Engine!$S$94,999)</f>
      </c>
      <c r="V94" s="34">
        <f>IF(ISNUMBER(Matching_Engine!$Y$94),Matching_Engine!$Y$94,999)</f>
      </c>
      <c r="W94" s="34">
        <f>IF(ISNUMBER(Matching_Engine!$AE$94),Matching_Engine!$AE$94,999)</f>
      </c>
      <c r="X94" s="34">
        <f>IF(ISNUMBER(Matching_Engine!$AM$94),Matching_Engine!$AM$94,999)</f>
      </c>
      <c r="Y94" s="34">
        <f>IF(ISNUMBER(Matching_Engine!$AT$94),Matching_Engine!$AT$94,999)</f>
      </c>
      <c r="Z94" s="34">
        <f>MIN($T$94:$Y$94)</f>
      </c>
      <c r="AA94" s="32">
        <f>INDEX({"Brand &amp; Business Relevance","Target Audience Relevance","Content &amp; Category Relevance","Brand Personality Fit","Performance Quality","Brand Safety"},MATCH($Z$94,$T$94:$Y$94,0))</f>
      </c>
    </row>
    <row r="95" spans="1:27" x14ac:dyDescent="0.25">
      <c r="A95" s="32">
        <f>Matching_Engine!$B$95</f>
      </c>
      <c r="B95" s="32">
        <f>Matching_Engine!$D$95</f>
      </c>
      <c r="C95" s="32">
        <f>Matching_Engine!$E$95</f>
      </c>
      <c r="D95" s="33">
        <f>Matching_Engine!$AY$95</f>
      </c>
      <c r="E95" s="32">
        <f>Matching_Engine!$AZ$95</f>
      </c>
      <c r="F95" s="32">
        <f>IF(NOT(ISNUMBER(Matching_Engine!$AY$95)),"Not scored: no component of the model had data for this account, so no match can be claimed either way.",Matching_Engine!$AZ$95&amp;" — "&amp;Matching_Engine!$AY$95&amp;"/100 against "&amp;Matching_Engine!$B$95&amp;". "&amp;"Strongest factor "&amp;$S$95&amp;" at "&amp;$R$95&amp;"; weakest "&amp;$AA$95&amp;" at "&amp;$Z$95&amp;". "&amp;IF(AND(ISTEXT(Matching_Engine!$G$95),Matching_Engine!$G$95&lt;&gt;"N/A"),"Tagged category "&amp;Matching_Engine!$G$95&amp;" scores "&amp;IF(ISNUMBER(Matching_Engine!$J$95),Matching_Engine!$J$95,0)&amp;" against the brand category "&amp;Matching_Engine!$B$95&amp;" targets. ","Creator carries no category on record, so the category-driven parts fall back to neutral rather than penalising the creator. ")&amp;IF(ISNUMBER(Matching_Engine!$R$95),"Audience-interest overlap "&amp;Matching_Engine!$R$95&amp;". ","Audience interests unmeasured. ")&amp;IF(Matching_Engine!$AX$95&lt;100,"Scored on "&amp;Matching_Engine!$AX$95&amp;" of the 100 nominal weight points; the rest had no data.",""))</f>
      </c>
      <c r="G95" s="32">
        <f>IF(NOT(ISNUMBER(Matching_Engine!$AY$95)),"N/A",$S$95&amp;" ("&amp;$R$95&amp;"/100)")</f>
      </c>
      <c r="H95" s="32">
        <f>IF(NOT(ISNUMBER(Matching_Engine!$AY$95)),"N/A",$AA$95&amp;" ("&amp;$Z$95&amp;"/100)")</f>
      </c>
      <c r="I95" s="32">
        <f>IF(NOT(ISNUMBER(Matching_Engine!$AY$95)),"No data to consider: this account has no measured signal.",IF($Z$95&lt;Lookup_Lists!$D$161,$AA$95&amp;" sits at "&amp;$Z$95&amp;", below the "&amp;Lookup_Lists!$D$161&amp;"-point consideration threshold"&amp;IF(Matching_Engine!$AF$95=0," · Brand Personality Fit could not be scored at all: no creator personality, tone, values or content-style column exists","")&amp;IF(Matching_Engine!$AI$95="N/A"," · posting cadence unusable, so Consistency is excluded from Performance","")&amp;".","No component falls below the "&amp;Lookup_Lists!$D$161&amp;"-point consideration threshold."))</f>
      </c>
      <c r="J95" s="32">
        <f>Matching_Engine!$AV$95&amp;" — "&amp;Matching_Engine!$AW$95&amp;IF(Matching_Engine!$BB$95="Limited Data"," Confidence is Limited Data: "&amp;Matching_Engine!$BA$95&amp;"% of tracked fields carry a value.","")</f>
      </c>
      <c r="K95" s="32">
        <f>IF(NOT(ISNUMBER(Matching_Engine!$AY$95)),"Do not shortlist on this data — re-scrape the account first.",IF(Matching_Engine!$AY$95&gt;=Lookup_Lists!$D$156,"Highly Recommended",IF(Matching_Engine!$AY$95&gt;=Lookup_Lists!$D$157,"Recommended",IF(Matching_Engine!$AY$95&gt;=Lookup_Lists!$D$158,"Consider","Low Priority")))&amp;IF(Matching_Engine!$AX$95&lt;100," (on partial data)",""))</f>
      </c>
      <c r="L95" s="34">
        <f>IF(ISNUMBER(Matching_Engine!$M$95),Matching_Engine!$M$95,-1)</f>
      </c>
      <c r="M95" s="34">
        <f>IF(ISNUMBER(Matching_Engine!$S$95),Matching_Engine!$S$95,-1)</f>
      </c>
      <c r="N95" s="34">
        <f>IF(ISNUMBER(Matching_Engine!$Y$95),Matching_Engine!$Y$95,-1)</f>
      </c>
      <c r="O95" s="34">
        <f>IF(ISNUMBER(Matching_Engine!$AE$95),Matching_Engine!$AE$95,-1)</f>
      </c>
      <c r="P95" s="34">
        <f>IF(ISNUMBER(Matching_Engine!$AM$95),Matching_Engine!$AM$95,-1)</f>
      </c>
      <c r="Q95" s="34">
        <f>IF(ISNUMBER(Matching_Engine!$AT$95),Matching_Engine!$AT$95,-1)</f>
      </c>
      <c r="R95" s="34">
        <f>MAX($L$95:$Q$95)</f>
      </c>
      <c r="S95" s="32">
        <f>INDEX({"Brand &amp; Business Relevance","Target Audience Relevance","Content &amp; Category Relevance","Brand Personality Fit","Performance Quality","Brand Safety"},MATCH($R$95,$L$95:$Q$95,0))</f>
      </c>
      <c r="T95" s="34">
        <f>IF(ISNUMBER(Matching_Engine!$M$95),Matching_Engine!$M$95,999)</f>
      </c>
      <c r="U95" s="34">
        <f>IF(ISNUMBER(Matching_Engine!$S$95),Matching_Engine!$S$95,999)</f>
      </c>
      <c r="V95" s="34">
        <f>IF(ISNUMBER(Matching_Engine!$Y$95),Matching_Engine!$Y$95,999)</f>
      </c>
      <c r="W95" s="34">
        <f>IF(ISNUMBER(Matching_Engine!$AE$95),Matching_Engine!$AE$95,999)</f>
      </c>
      <c r="X95" s="34">
        <f>IF(ISNUMBER(Matching_Engine!$AM$95),Matching_Engine!$AM$95,999)</f>
      </c>
      <c r="Y95" s="34">
        <f>IF(ISNUMBER(Matching_Engine!$AT$95),Matching_Engine!$AT$95,999)</f>
      </c>
      <c r="Z95" s="34">
        <f>MIN($T$95:$Y$95)</f>
      </c>
      <c r="AA95" s="32">
        <f>INDEX({"Brand &amp; Business Relevance","Target Audience Relevance","Content &amp; Category Relevance","Brand Personality Fit","Performance Quality","Brand Safety"},MATCH($Z$95,$T$95:$Y$95,0))</f>
      </c>
    </row>
    <row r="96" spans="1:27" x14ac:dyDescent="0.25">
      <c r="A96" s="32">
        <f>Matching_Engine!$B$96</f>
      </c>
      <c r="B96" s="32">
        <f>Matching_Engine!$D$96</f>
      </c>
      <c r="C96" s="32">
        <f>Matching_Engine!$E$96</f>
      </c>
      <c r="D96" s="33">
        <f>Matching_Engine!$AY$96</f>
      </c>
      <c r="E96" s="32">
        <f>Matching_Engine!$AZ$96</f>
      </c>
      <c r="F96" s="32">
        <f>IF(NOT(ISNUMBER(Matching_Engine!$AY$96)),"Not scored: no component of the model had data for this account, so no match can be claimed either way.",Matching_Engine!$AZ$96&amp;" — "&amp;Matching_Engine!$AY$96&amp;"/100 against "&amp;Matching_Engine!$B$96&amp;". "&amp;"Strongest factor "&amp;$S$96&amp;" at "&amp;$R$96&amp;"; weakest "&amp;$AA$96&amp;" at "&amp;$Z$96&amp;". "&amp;IF(AND(ISTEXT(Matching_Engine!$G$96),Matching_Engine!$G$96&lt;&gt;"N/A"),"Tagged category "&amp;Matching_Engine!$G$96&amp;" scores "&amp;IF(ISNUMBER(Matching_Engine!$J$96),Matching_Engine!$J$96,0)&amp;" against the brand category "&amp;Matching_Engine!$B$96&amp;" targets. ","Creator carries no category on record, so the category-driven parts fall back to neutral rather than penalising the creator. ")&amp;IF(ISNUMBER(Matching_Engine!$R$96),"Audience-interest overlap "&amp;Matching_Engine!$R$96&amp;". ","Audience interests unmeasured. ")&amp;IF(Matching_Engine!$AX$96&lt;100,"Scored on "&amp;Matching_Engine!$AX$96&amp;" of the 100 nominal weight points; the rest had no data.",""))</f>
      </c>
      <c r="G96" s="32">
        <f>IF(NOT(ISNUMBER(Matching_Engine!$AY$96)),"N/A",$S$96&amp;" ("&amp;$R$96&amp;"/100)")</f>
      </c>
      <c r="H96" s="32">
        <f>IF(NOT(ISNUMBER(Matching_Engine!$AY$96)),"N/A",$AA$96&amp;" ("&amp;$Z$96&amp;"/100)")</f>
      </c>
      <c r="I96" s="32">
        <f>IF(NOT(ISNUMBER(Matching_Engine!$AY$96)),"No data to consider: this account has no measured signal.",IF($Z$96&lt;Lookup_Lists!$D$161,$AA$96&amp;" sits at "&amp;$Z$96&amp;", below the "&amp;Lookup_Lists!$D$161&amp;"-point consideration threshold"&amp;IF(Matching_Engine!$AF$96=0," · Brand Personality Fit could not be scored at all: no creator personality, tone, values or content-style column exists","")&amp;IF(Matching_Engine!$AI$96="N/A"," · posting cadence unusable, so Consistency is excluded from Performance","")&amp;".","No component falls below the "&amp;Lookup_Lists!$D$161&amp;"-point consideration threshold."))</f>
      </c>
      <c r="J96" s="32">
        <f>Matching_Engine!$AV$96&amp;" — "&amp;Matching_Engine!$AW$96&amp;IF(Matching_Engine!$BB$96="Limited Data"," Confidence is Limited Data: "&amp;Matching_Engine!$BA$96&amp;"% of tracked fields carry a value.","")</f>
      </c>
      <c r="K96" s="32">
        <f>IF(NOT(ISNUMBER(Matching_Engine!$AY$96)),"Do not shortlist on this data — re-scrape the account first.",IF(Matching_Engine!$AY$96&gt;=Lookup_Lists!$D$156,"Highly Recommended",IF(Matching_Engine!$AY$96&gt;=Lookup_Lists!$D$157,"Recommended",IF(Matching_Engine!$AY$96&gt;=Lookup_Lists!$D$158,"Consider","Low Priority")))&amp;IF(Matching_Engine!$AX$96&lt;100," (on partial data)",""))</f>
      </c>
      <c r="L96" s="34">
        <f>IF(ISNUMBER(Matching_Engine!$M$96),Matching_Engine!$M$96,-1)</f>
      </c>
      <c r="M96" s="34">
        <f>IF(ISNUMBER(Matching_Engine!$S$96),Matching_Engine!$S$96,-1)</f>
      </c>
      <c r="N96" s="34">
        <f>IF(ISNUMBER(Matching_Engine!$Y$96),Matching_Engine!$Y$96,-1)</f>
      </c>
      <c r="O96" s="34">
        <f>IF(ISNUMBER(Matching_Engine!$AE$96),Matching_Engine!$AE$96,-1)</f>
      </c>
      <c r="P96" s="34">
        <f>IF(ISNUMBER(Matching_Engine!$AM$96),Matching_Engine!$AM$96,-1)</f>
      </c>
      <c r="Q96" s="34">
        <f>IF(ISNUMBER(Matching_Engine!$AT$96),Matching_Engine!$AT$96,-1)</f>
      </c>
      <c r="R96" s="34">
        <f>MAX($L$96:$Q$96)</f>
      </c>
      <c r="S96" s="32">
        <f>INDEX({"Brand &amp; Business Relevance","Target Audience Relevance","Content &amp; Category Relevance","Brand Personality Fit","Performance Quality","Brand Safety"},MATCH($R$96,$L$96:$Q$96,0))</f>
      </c>
      <c r="T96" s="34">
        <f>IF(ISNUMBER(Matching_Engine!$M$96),Matching_Engine!$M$96,999)</f>
      </c>
      <c r="U96" s="34">
        <f>IF(ISNUMBER(Matching_Engine!$S$96),Matching_Engine!$S$96,999)</f>
      </c>
      <c r="V96" s="34">
        <f>IF(ISNUMBER(Matching_Engine!$Y$96),Matching_Engine!$Y$96,999)</f>
      </c>
      <c r="W96" s="34">
        <f>IF(ISNUMBER(Matching_Engine!$AE$96),Matching_Engine!$AE$96,999)</f>
      </c>
      <c r="X96" s="34">
        <f>IF(ISNUMBER(Matching_Engine!$AM$96),Matching_Engine!$AM$96,999)</f>
      </c>
      <c r="Y96" s="34">
        <f>IF(ISNUMBER(Matching_Engine!$AT$96),Matching_Engine!$AT$96,999)</f>
      </c>
      <c r="Z96" s="34">
        <f>MIN($T$96:$Y$96)</f>
      </c>
      <c r="AA96" s="32">
        <f>INDEX({"Brand &amp; Business Relevance","Target Audience Relevance","Content &amp; Category Relevance","Brand Personality Fit","Performance Quality","Brand Safety"},MATCH($Z$96,$T$96:$Y$96,0))</f>
      </c>
    </row>
    <row r="97" spans="1:27" x14ac:dyDescent="0.25">
      <c r="A97" s="32">
        <f>Matching_Engine!$B$97</f>
      </c>
      <c r="B97" s="32">
        <f>Matching_Engine!$D$97</f>
      </c>
      <c r="C97" s="32">
        <f>Matching_Engine!$E$97</f>
      </c>
      <c r="D97" s="33">
        <f>Matching_Engine!$AY$97</f>
      </c>
      <c r="E97" s="32">
        <f>Matching_Engine!$AZ$97</f>
      </c>
      <c r="F97" s="32">
        <f>IF(NOT(ISNUMBER(Matching_Engine!$AY$97)),"Not scored: no component of the model had data for this account, so no match can be claimed either way.",Matching_Engine!$AZ$97&amp;" — "&amp;Matching_Engine!$AY$97&amp;"/100 against "&amp;Matching_Engine!$B$97&amp;". "&amp;"Strongest factor "&amp;$S$97&amp;" at "&amp;$R$97&amp;"; weakest "&amp;$AA$97&amp;" at "&amp;$Z$97&amp;". "&amp;IF(AND(ISTEXT(Matching_Engine!$G$97),Matching_Engine!$G$97&lt;&gt;"N/A"),"Tagged category "&amp;Matching_Engine!$G$97&amp;" scores "&amp;IF(ISNUMBER(Matching_Engine!$J$97),Matching_Engine!$J$97,0)&amp;" against the brand category "&amp;Matching_Engine!$B$97&amp;" targets. ","Creator carries no category on record, so the category-driven parts fall back to neutral rather than penalising the creator. ")&amp;IF(ISNUMBER(Matching_Engine!$R$97),"Audience-interest overlap "&amp;Matching_Engine!$R$97&amp;". ","Audience interests unmeasured. ")&amp;IF(Matching_Engine!$AX$97&lt;100,"Scored on "&amp;Matching_Engine!$AX$97&amp;" of the 100 nominal weight points; the rest had no data.",""))</f>
      </c>
      <c r="G97" s="32">
        <f>IF(NOT(ISNUMBER(Matching_Engine!$AY$97)),"N/A",$S$97&amp;" ("&amp;$R$97&amp;"/100)")</f>
      </c>
      <c r="H97" s="32">
        <f>IF(NOT(ISNUMBER(Matching_Engine!$AY$97)),"N/A",$AA$97&amp;" ("&amp;$Z$97&amp;"/100)")</f>
      </c>
      <c r="I97" s="32">
        <f>IF(NOT(ISNUMBER(Matching_Engine!$AY$97)),"No data to consider: this account has no measured signal.",IF($Z$97&lt;Lookup_Lists!$D$161,$AA$97&amp;" sits at "&amp;$Z$97&amp;", below the "&amp;Lookup_Lists!$D$161&amp;"-point consideration threshold"&amp;IF(Matching_Engine!$AF$97=0," · Brand Personality Fit could not be scored at all: no creator personality, tone, values or content-style column exists","")&amp;IF(Matching_Engine!$AI$97="N/A"," · posting cadence unusable, so Consistency is excluded from Performance","")&amp;".","No component falls below the "&amp;Lookup_Lists!$D$161&amp;"-point consideration threshold."))</f>
      </c>
      <c r="J97" s="32">
        <f>Matching_Engine!$AV$97&amp;" — "&amp;Matching_Engine!$AW$97&amp;IF(Matching_Engine!$BB$97="Limited Data"," Confidence is Limited Data: "&amp;Matching_Engine!$BA$97&amp;"% of tracked fields carry a value.","")</f>
      </c>
      <c r="K97" s="32">
        <f>IF(NOT(ISNUMBER(Matching_Engine!$AY$97)),"Do not shortlist on this data — re-scrape the account first.",IF(Matching_Engine!$AY$97&gt;=Lookup_Lists!$D$156,"Highly Recommended",IF(Matching_Engine!$AY$97&gt;=Lookup_Lists!$D$157,"Recommended",IF(Matching_Engine!$AY$97&gt;=Lookup_Lists!$D$158,"Consider","Low Priority")))&amp;IF(Matching_Engine!$AX$97&lt;100," (on partial data)",""))</f>
      </c>
      <c r="L97" s="34">
        <f>IF(ISNUMBER(Matching_Engine!$M$97),Matching_Engine!$M$97,-1)</f>
      </c>
      <c r="M97" s="34">
        <f>IF(ISNUMBER(Matching_Engine!$S$97),Matching_Engine!$S$97,-1)</f>
      </c>
      <c r="N97" s="34">
        <f>IF(ISNUMBER(Matching_Engine!$Y$97),Matching_Engine!$Y$97,-1)</f>
      </c>
      <c r="O97" s="34">
        <f>IF(ISNUMBER(Matching_Engine!$AE$97),Matching_Engine!$AE$97,-1)</f>
      </c>
      <c r="P97" s="34">
        <f>IF(ISNUMBER(Matching_Engine!$AM$97),Matching_Engine!$AM$97,-1)</f>
      </c>
      <c r="Q97" s="34">
        <f>IF(ISNUMBER(Matching_Engine!$AT$97),Matching_Engine!$AT$97,-1)</f>
      </c>
      <c r="R97" s="34">
        <f>MAX($L$97:$Q$97)</f>
      </c>
      <c r="S97" s="32">
        <f>INDEX({"Brand &amp; Business Relevance","Target Audience Relevance","Content &amp; Category Relevance","Brand Personality Fit","Performance Quality","Brand Safety"},MATCH($R$97,$L$97:$Q$97,0))</f>
      </c>
      <c r="T97" s="34">
        <f>IF(ISNUMBER(Matching_Engine!$M$97),Matching_Engine!$M$97,999)</f>
      </c>
      <c r="U97" s="34">
        <f>IF(ISNUMBER(Matching_Engine!$S$97),Matching_Engine!$S$97,999)</f>
      </c>
      <c r="V97" s="34">
        <f>IF(ISNUMBER(Matching_Engine!$Y$97),Matching_Engine!$Y$97,999)</f>
      </c>
      <c r="W97" s="34">
        <f>IF(ISNUMBER(Matching_Engine!$AE$97),Matching_Engine!$AE$97,999)</f>
      </c>
      <c r="X97" s="34">
        <f>IF(ISNUMBER(Matching_Engine!$AM$97),Matching_Engine!$AM$97,999)</f>
      </c>
      <c r="Y97" s="34">
        <f>IF(ISNUMBER(Matching_Engine!$AT$97),Matching_Engine!$AT$97,999)</f>
      </c>
      <c r="Z97" s="34">
        <f>MIN($T$97:$Y$97)</f>
      </c>
      <c r="AA97" s="32">
        <f>INDEX({"Brand &amp; Business Relevance","Target Audience Relevance","Content &amp; Category Relevance","Brand Personality Fit","Performance Quality","Brand Safety"},MATCH($Z$97,$T$97:$Y$97,0))</f>
      </c>
    </row>
    <row r="98" spans="1:27" x14ac:dyDescent="0.25">
      <c r="A98" s="32">
        <f>Matching_Engine!$B$98</f>
      </c>
      <c r="B98" s="32">
        <f>Matching_Engine!$D$98</f>
      </c>
      <c r="C98" s="32">
        <f>Matching_Engine!$E$98</f>
      </c>
      <c r="D98" s="33">
        <f>Matching_Engine!$AY$98</f>
      </c>
      <c r="E98" s="32">
        <f>Matching_Engine!$AZ$98</f>
      </c>
      <c r="F98" s="32">
        <f>IF(NOT(ISNUMBER(Matching_Engine!$AY$98)),"Not scored: no component of the model had data for this account, so no match can be claimed either way.",Matching_Engine!$AZ$98&amp;" — "&amp;Matching_Engine!$AY$98&amp;"/100 against "&amp;Matching_Engine!$B$98&amp;". "&amp;"Strongest factor "&amp;$S$98&amp;" at "&amp;$R$98&amp;"; weakest "&amp;$AA$98&amp;" at "&amp;$Z$98&amp;". "&amp;IF(AND(ISTEXT(Matching_Engine!$G$98),Matching_Engine!$G$98&lt;&gt;"N/A"),"Tagged category "&amp;Matching_Engine!$G$98&amp;" scores "&amp;IF(ISNUMBER(Matching_Engine!$J$98),Matching_Engine!$J$98,0)&amp;" against the brand category "&amp;Matching_Engine!$B$98&amp;" targets. ","Creator carries no category on record, so the category-driven parts fall back to neutral rather than penalising the creator. ")&amp;IF(ISNUMBER(Matching_Engine!$R$98),"Audience-interest overlap "&amp;Matching_Engine!$R$98&amp;". ","Audience interests unmeasured. ")&amp;IF(Matching_Engine!$AX$98&lt;100,"Scored on "&amp;Matching_Engine!$AX$98&amp;" of the 100 nominal weight points; the rest had no data.",""))</f>
      </c>
      <c r="G98" s="32">
        <f>IF(NOT(ISNUMBER(Matching_Engine!$AY$98)),"N/A",$S$98&amp;" ("&amp;$R$98&amp;"/100)")</f>
      </c>
      <c r="H98" s="32">
        <f>IF(NOT(ISNUMBER(Matching_Engine!$AY$98)),"N/A",$AA$98&amp;" ("&amp;$Z$98&amp;"/100)")</f>
      </c>
      <c r="I98" s="32">
        <f>IF(NOT(ISNUMBER(Matching_Engine!$AY$98)),"No data to consider: this account has no measured signal.",IF($Z$98&lt;Lookup_Lists!$D$161,$AA$98&amp;" sits at "&amp;$Z$98&amp;", below the "&amp;Lookup_Lists!$D$161&amp;"-point consideration threshold"&amp;IF(Matching_Engine!$AF$98=0," · Brand Personality Fit could not be scored at all: no creator personality, tone, values or content-style column exists","")&amp;IF(Matching_Engine!$AI$98="N/A"," · posting cadence unusable, so Consistency is excluded from Performance","")&amp;".","No component falls below the "&amp;Lookup_Lists!$D$161&amp;"-point consideration threshold."))</f>
      </c>
      <c r="J98" s="32">
        <f>Matching_Engine!$AV$98&amp;" — "&amp;Matching_Engine!$AW$98&amp;IF(Matching_Engine!$BB$98="Limited Data"," Confidence is Limited Data: "&amp;Matching_Engine!$BA$98&amp;"% of tracked fields carry a value.","")</f>
      </c>
      <c r="K98" s="32">
        <f>IF(NOT(ISNUMBER(Matching_Engine!$AY$98)),"Do not shortlist on this data — re-scrape the account first.",IF(Matching_Engine!$AY$98&gt;=Lookup_Lists!$D$156,"Highly Recommended",IF(Matching_Engine!$AY$98&gt;=Lookup_Lists!$D$157,"Recommended",IF(Matching_Engine!$AY$98&gt;=Lookup_Lists!$D$158,"Consider","Low Priority")))&amp;IF(Matching_Engine!$AX$98&lt;100," (on partial data)",""))</f>
      </c>
      <c r="L98" s="34">
        <f>IF(ISNUMBER(Matching_Engine!$M$98),Matching_Engine!$M$98,-1)</f>
      </c>
      <c r="M98" s="34">
        <f>IF(ISNUMBER(Matching_Engine!$S$98),Matching_Engine!$S$98,-1)</f>
      </c>
      <c r="N98" s="34">
        <f>IF(ISNUMBER(Matching_Engine!$Y$98),Matching_Engine!$Y$98,-1)</f>
      </c>
      <c r="O98" s="34">
        <f>IF(ISNUMBER(Matching_Engine!$AE$98),Matching_Engine!$AE$98,-1)</f>
      </c>
      <c r="P98" s="34">
        <f>IF(ISNUMBER(Matching_Engine!$AM$98),Matching_Engine!$AM$98,-1)</f>
      </c>
      <c r="Q98" s="34">
        <f>IF(ISNUMBER(Matching_Engine!$AT$98),Matching_Engine!$AT$98,-1)</f>
      </c>
      <c r="R98" s="34">
        <f>MAX($L$98:$Q$98)</f>
      </c>
      <c r="S98" s="32">
        <f>INDEX({"Brand &amp; Business Relevance","Target Audience Relevance","Content &amp; Category Relevance","Brand Personality Fit","Performance Quality","Brand Safety"},MATCH($R$98,$L$98:$Q$98,0))</f>
      </c>
      <c r="T98" s="34">
        <f>IF(ISNUMBER(Matching_Engine!$M$98),Matching_Engine!$M$98,999)</f>
      </c>
      <c r="U98" s="34">
        <f>IF(ISNUMBER(Matching_Engine!$S$98),Matching_Engine!$S$98,999)</f>
      </c>
      <c r="V98" s="34">
        <f>IF(ISNUMBER(Matching_Engine!$Y$98),Matching_Engine!$Y$98,999)</f>
      </c>
      <c r="W98" s="34">
        <f>IF(ISNUMBER(Matching_Engine!$AE$98),Matching_Engine!$AE$98,999)</f>
      </c>
      <c r="X98" s="34">
        <f>IF(ISNUMBER(Matching_Engine!$AM$98),Matching_Engine!$AM$98,999)</f>
      </c>
      <c r="Y98" s="34">
        <f>IF(ISNUMBER(Matching_Engine!$AT$98),Matching_Engine!$AT$98,999)</f>
      </c>
      <c r="Z98" s="34">
        <f>MIN($T$98:$Y$98)</f>
      </c>
      <c r="AA98" s="32">
        <f>INDEX({"Brand &amp; Business Relevance","Target Audience Relevance","Content &amp; Category Relevance","Brand Personality Fit","Performance Quality","Brand Safety"},MATCH($Z$98,$T$98:$Y$98,0))</f>
      </c>
    </row>
    <row r="99" spans="1:27" x14ac:dyDescent="0.25">
      <c r="A99" s="32">
        <f>Matching_Engine!$B$99</f>
      </c>
      <c r="B99" s="32">
        <f>Matching_Engine!$D$99</f>
      </c>
      <c r="C99" s="32">
        <f>Matching_Engine!$E$99</f>
      </c>
      <c r="D99" s="33">
        <f>Matching_Engine!$AY$99</f>
      </c>
      <c r="E99" s="32">
        <f>Matching_Engine!$AZ$99</f>
      </c>
      <c r="F99" s="32">
        <f>IF(NOT(ISNUMBER(Matching_Engine!$AY$99)),"Not scored: no component of the model had data for this account, so no match can be claimed either way.",Matching_Engine!$AZ$99&amp;" — "&amp;Matching_Engine!$AY$99&amp;"/100 against "&amp;Matching_Engine!$B$99&amp;". "&amp;"Strongest factor "&amp;$S$99&amp;" at "&amp;$R$99&amp;"; weakest "&amp;$AA$99&amp;" at "&amp;$Z$99&amp;". "&amp;IF(AND(ISTEXT(Matching_Engine!$G$99),Matching_Engine!$G$99&lt;&gt;"N/A"),"Tagged category "&amp;Matching_Engine!$G$99&amp;" scores "&amp;IF(ISNUMBER(Matching_Engine!$J$99),Matching_Engine!$J$99,0)&amp;" against the brand category "&amp;Matching_Engine!$B$99&amp;" targets. ","Creator carries no category on record, so the category-driven parts fall back to neutral rather than penalising the creator. ")&amp;IF(ISNUMBER(Matching_Engine!$R$99),"Audience-interest overlap "&amp;Matching_Engine!$R$99&amp;". ","Audience interests unmeasured. ")&amp;IF(Matching_Engine!$AX$99&lt;100,"Scored on "&amp;Matching_Engine!$AX$99&amp;" of the 100 nominal weight points; the rest had no data.",""))</f>
      </c>
      <c r="G99" s="32">
        <f>IF(NOT(ISNUMBER(Matching_Engine!$AY$99)),"N/A",$S$99&amp;" ("&amp;$R$99&amp;"/100)")</f>
      </c>
      <c r="H99" s="32">
        <f>IF(NOT(ISNUMBER(Matching_Engine!$AY$99)),"N/A",$AA$99&amp;" ("&amp;$Z$99&amp;"/100)")</f>
      </c>
      <c r="I99" s="32">
        <f>IF(NOT(ISNUMBER(Matching_Engine!$AY$99)),"No data to consider: this account has no measured signal.",IF($Z$99&lt;Lookup_Lists!$D$161,$AA$99&amp;" sits at "&amp;$Z$99&amp;", below the "&amp;Lookup_Lists!$D$161&amp;"-point consideration threshold"&amp;IF(Matching_Engine!$AF$99=0," · Brand Personality Fit could not be scored at all: no creator personality, tone, values or content-style column exists","")&amp;IF(Matching_Engine!$AI$99="N/A"," · posting cadence unusable, so Consistency is excluded from Performance","")&amp;".","No component falls below the "&amp;Lookup_Lists!$D$161&amp;"-point consideration threshold."))</f>
      </c>
      <c r="J99" s="32">
        <f>Matching_Engine!$AV$99&amp;" — "&amp;Matching_Engine!$AW$99&amp;IF(Matching_Engine!$BB$99="Limited Data"," Confidence is Limited Data: "&amp;Matching_Engine!$BA$99&amp;"% of tracked fields carry a value.","")</f>
      </c>
      <c r="K99" s="32">
        <f>IF(NOT(ISNUMBER(Matching_Engine!$AY$99)),"Do not shortlist on this data — re-scrape the account first.",IF(Matching_Engine!$AY$99&gt;=Lookup_Lists!$D$156,"Highly Recommended",IF(Matching_Engine!$AY$99&gt;=Lookup_Lists!$D$157,"Recommended",IF(Matching_Engine!$AY$99&gt;=Lookup_Lists!$D$158,"Consider","Low Priority")))&amp;IF(Matching_Engine!$AX$99&lt;100," (on partial data)",""))</f>
      </c>
      <c r="L99" s="34">
        <f>IF(ISNUMBER(Matching_Engine!$M$99),Matching_Engine!$M$99,-1)</f>
      </c>
      <c r="M99" s="34">
        <f>IF(ISNUMBER(Matching_Engine!$S$99),Matching_Engine!$S$99,-1)</f>
      </c>
      <c r="N99" s="34">
        <f>IF(ISNUMBER(Matching_Engine!$Y$99),Matching_Engine!$Y$99,-1)</f>
      </c>
      <c r="O99" s="34">
        <f>IF(ISNUMBER(Matching_Engine!$AE$99),Matching_Engine!$AE$99,-1)</f>
      </c>
      <c r="P99" s="34">
        <f>IF(ISNUMBER(Matching_Engine!$AM$99),Matching_Engine!$AM$99,-1)</f>
      </c>
      <c r="Q99" s="34">
        <f>IF(ISNUMBER(Matching_Engine!$AT$99),Matching_Engine!$AT$99,-1)</f>
      </c>
      <c r="R99" s="34">
        <f>MAX($L$99:$Q$99)</f>
      </c>
      <c r="S99" s="32">
        <f>INDEX({"Brand &amp; Business Relevance","Target Audience Relevance","Content &amp; Category Relevance","Brand Personality Fit","Performance Quality","Brand Safety"},MATCH($R$99,$L$99:$Q$99,0))</f>
      </c>
      <c r="T99" s="34">
        <f>IF(ISNUMBER(Matching_Engine!$M$99),Matching_Engine!$M$99,999)</f>
      </c>
      <c r="U99" s="34">
        <f>IF(ISNUMBER(Matching_Engine!$S$99),Matching_Engine!$S$99,999)</f>
      </c>
      <c r="V99" s="34">
        <f>IF(ISNUMBER(Matching_Engine!$Y$99),Matching_Engine!$Y$99,999)</f>
      </c>
      <c r="W99" s="34">
        <f>IF(ISNUMBER(Matching_Engine!$AE$99),Matching_Engine!$AE$99,999)</f>
      </c>
      <c r="X99" s="34">
        <f>IF(ISNUMBER(Matching_Engine!$AM$99),Matching_Engine!$AM$99,999)</f>
      </c>
      <c r="Y99" s="34">
        <f>IF(ISNUMBER(Matching_Engine!$AT$99),Matching_Engine!$AT$99,999)</f>
      </c>
      <c r="Z99" s="34">
        <f>MIN($T$99:$Y$99)</f>
      </c>
      <c r="AA99" s="32">
        <f>INDEX({"Brand &amp; Business Relevance","Target Audience Relevance","Content &amp; Category Relevance","Brand Personality Fit","Performance Quality","Brand Safety"},MATCH($Z$99,$T$99:$Y$99,0))</f>
      </c>
    </row>
    <row r="100" spans="1:27" x14ac:dyDescent="0.25">
      <c r="A100" s="32">
        <f>Matching_Engine!$B$100</f>
      </c>
      <c r="B100" s="32">
        <f>Matching_Engine!$D$100</f>
      </c>
      <c r="C100" s="32">
        <f>Matching_Engine!$E$100</f>
      </c>
      <c r="D100" s="33">
        <f>Matching_Engine!$AY$100</f>
      </c>
      <c r="E100" s="32">
        <f>Matching_Engine!$AZ$100</f>
      </c>
      <c r="F100" s="32">
        <f>IF(NOT(ISNUMBER(Matching_Engine!$AY$100)),"Not scored: no component of the model had data for this account, so no match can be claimed either way.",Matching_Engine!$AZ$100&amp;" — "&amp;Matching_Engine!$AY$100&amp;"/100 against "&amp;Matching_Engine!$B$100&amp;". "&amp;"Strongest factor "&amp;$S$100&amp;" at "&amp;$R$100&amp;"; weakest "&amp;$AA$100&amp;" at "&amp;$Z$100&amp;". "&amp;IF(AND(ISTEXT(Matching_Engine!$G$100),Matching_Engine!$G$100&lt;&gt;"N/A"),"Tagged category "&amp;Matching_Engine!$G$100&amp;" scores "&amp;IF(ISNUMBER(Matching_Engine!$J$100),Matching_Engine!$J$100,0)&amp;" against the brand category "&amp;Matching_Engine!$B$100&amp;" targets. ","Creator carries no category on record, so the category-driven parts fall back to neutral rather than penalising the creator. ")&amp;IF(ISNUMBER(Matching_Engine!$R$100),"Audience-interest overlap "&amp;Matching_Engine!$R$100&amp;". ","Audience interests unmeasured. ")&amp;IF(Matching_Engine!$AX$100&lt;100,"Scored on "&amp;Matching_Engine!$AX$100&amp;" of the 100 nominal weight points; the rest had no data.",""))</f>
      </c>
      <c r="G100" s="32">
        <f>IF(NOT(ISNUMBER(Matching_Engine!$AY$100)),"N/A",$S$100&amp;" ("&amp;$R$100&amp;"/100)")</f>
      </c>
      <c r="H100" s="32">
        <f>IF(NOT(ISNUMBER(Matching_Engine!$AY$100)),"N/A",$AA$100&amp;" ("&amp;$Z$100&amp;"/100)")</f>
      </c>
      <c r="I100" s="32">
        <f>IF(NOT(ISNUMBER(Matching_Engine!$AY$100)),"No data to consider: this account has no measured signal.",IF($Z$100&lt;Lookup_Lists!$D$161,$AA$100&amp;" sits at "&amp;$Z$100&amp;", below the "&amp;Lookup_Lists!$D$161&amp;"-point consideration threshold"&amp;IF(Matching_Engine!$AF$100=0," · Brand Personality Fit could not be scored at all: no creator personality, tone, values or content-style column exists","")&amp;IF(Matching_Engine!$AI$100="N/A"," · posting cadence unusable, so Consistency is excluded from Performance","")&amp;".","No component falls below the "&amp;Lookup_Lists!$D$161&amp;"-point consideration threshold."))</f>
      </c>
      <c r="J100" s="32">
        <f>Matching_Engine!$AV$100&amp;" — "&amp;Matching_Engine!$AW$100&amp;IF(Matching_Engine!$BB$100="Limited Data"," Confidence is Limited Data: "&amp;Matching_Engine!$BA$100&amp;"% of tracked fields carry a value.","")</f>
      </c>
      <c r="K100" s="32">
        <f>IF(NOT(ISNUMBER(Matching_Engine!$AY$100)),"Do not shortlist on this data — re-scrape the account first.",IF(Matching_Engine!$AY$100&gt;=Lookup_Lists!$D$156,"Highly Recommended",IF(Matching_Engine!$AY$100&gt;=Lookup_Lists!$D$157,"Recommended",IF(Matching_Engine!$AY$100&gt;=Lookup_Lists!$D$158,"Consider","Low Priority")))&amp;IF(Matching_Engine!$AX$100&lt;100," (on partial data)",""))</f>
      </c>
      <c r="L100" s="34">
        <f>IF(ISNUMBER(Matching_Engine!$M$100),Matching_Engine!$M$100,-1)</f>
      </c>
      <c r="M100" s="34">
        <f>IF(ISNUMBER(Matching_Engine!$S$100),Matching_Engine!$S$100,-1)</f>
      </c>
      <c r="N100" s="34">
        <f>IF(ISNUMBER(Matching_Engine!$Y$100),Matching_Engine!$Y$100,-1)</f>
      </c>
      <c r="O100" s="34">
        <f>IF(ISNUMBER(Matching_Engine!$AE$100),Matching_Engine!$AE$100,-1)</f>
      </c>
      <c r="P100" s="34">
        <f>IF(ISNUMBER(Matching_Engine!$AM$100),Matching_Engine!$AM$100,-1)</f>
      </c>
      <c r="Q100" s="34">
        <f>IF(ISNUMBER(Matching_Engine!$AT$100),Matching_Engine!$AT$100,-1)</f>
      </c>
      <c r="R100" s="34">
        <f>MAX($L$100:$Q$100)</f>
      </c>
      <c r="S100" s="32">
        <f>INDEX({"Brand &amp; Business Relevance","Target Audience Relevance","Content &amp; Category Relevance","Brand Personality Fit","Performance Quality","Brand Safety"},MATCH($R$100,$L$100:$Q$100,0))</f>
      </c>
      <c r="T100" s="34">
        <f>IF(ISNUMBER(Matching_Engine!$M$100),Matching_Engine!$M$100,999)</f>
      </c>
      <c r="U100" s="34">
        <f>IF(ISNUMBER(Matching_Engine!$S$100),Matching_Engine!$S$100,999)</f>
      </c>
      <c r="V100" s="34">
        <f>IF(ISNUMBER(Matching_Engine!$Y$100),Matching_Engine!$Y$100,999)</f>
      </c>
      <c r="W100" s="34">
        <f>IF(ISNUMBER(Matching_Engine!$AE$100),Matching_Engine!$AE$100,999)</f>
      </c>
      <c r="X100" s="34">
        <f>IF(ISNUMBER(Matching_Engine!$AM$100),Matching_Engine!$AM$100,999)</f>
      </c>
      <c r="Y100" s="34">
        <f>IF(ISNUMBER(Matching_Engine!$AT$100),Matching_Engine!$AT$100,999)</f>
      </c>
      <c r="Z100" s="34">
        <f>MIN($T$100:$Y$100)</f>
      </c>
      <c r="AA100" s="32">
        <f>INDEX({"Brand &amp; Business Relevance","Target Audience Relevance","Content &amp; Category Relevance","Brand Personality Fit","Performance Quality","Brand Safety"},MATCH($Z$100,$T$100:$Y$100,0))</f>
      </c>
    </row>
    <row r="101" spans="1:27" x14ac:dyDescent="0.25">
      <c r="A101" s="32">
        <f>Matching_Engine!$B$101</f>
      </c>
      <c r="B101" s="32">
        <f>Matching_Engine!$D$101</f>
      </c>
      <c r="C101" s="32">
        <f>Matching_Engine!$E$101</f>
      </c>
      <c r="D101" s="33">
        <f>Matching_Engine!$AY$101</f>
      </c>
      <c r="E101" s="32">
        <f>Matching_Engine!$AZ$101</f>
      </c>
      <c r="F101" s="32">
        <f>IF(NOT(ISNUMBER(Matching_Engine!$AY$101)),"Not scored: no component of the model had data for this account, so no match can be claimed either way.",Matching_Engine!$AZ$101&amp;" — "&amp;Matching_Engine!$AY$101&amp;"/100 against "&amp;Matching_Engine!$B$101&amp;". "&amp;"Strongest factor "&amp;$S$101&amp;" at "&amp;$R$101&amp;"; weakest "&amp;$AA$101&amp;" at "&amp;$Z$101&amp;". "&amp;IF(AND(ISTEXT(Matching_Engine!$G$101),Matching_Engine!$G$101&lt;&gt;"N/A"),"Tagged category "&amp;Matching_Engine!$G$101&amp;" scores "&amp;IF(ISNUMBER(Matching_Engine!$J$101),Matching_Engine!$J$101,0)&amp;" against the brand category "&amp;Matching_Engine!$B$101&amp;" targets. ","Creator carries no category on record, so the category-driven parts fall back to neutral rather than penalising the creator. ")&amp;IF(ISNUMBER(Matching_Engine!$R$101),"Audience-interest overlap "&amp;Matching_Engine!$R$101&amp;". ","Audience interests unmeasured. ")&amp;IF(Matching_Engine!$AX$101&lt;100,"Scored on "&amp;Matching_Engine!$AX$101&amp;" of the 100 nominal weight points; the rest had no data.",""))</f>
      </c>
      <c r="G101" s="32">
        <f>IF(NOT(ISNUMBER(Matching_Engine!$AY$101)),"N/A",$S$101&amp;" ("&amp;$R$101&amp;"/100)")</f>
      </c>
      <c r="H101" s="32">
        <f>IF(NOT(ISNUMBER(Matching_Engine!$AY$101)),"N/A",$AA$101&amp;" ("&amp;$Z$101&amp;"/100)")</f>
      </c>
      <c r="I101" s="32">
        <f>IF(NOT(ISNUMBER(Matching_Engine!$AY$101)),"No data to consider: this account has no measured signal.",IF($Z$101&lt;Lookup_Lists!$D$161,$AA$101&amp;" sits at "&amp;$Z$101&amp;", below the "&amp;Lookup_Lists!$D$161&amp;"-point consideration threshold"&amp;IF(Matching_Engine!$AF$101=0," · Brand Personality Fit could not be scored at all: no creator personality, tone, values or content-style column exists","")&amp;IF(Matching_Engine!$AI$101="N/A"," · posting cadence unusable, so Consistency is excluded from Performance","")&amp;".","No component falls below the "&amp;Lookup_Lists!$D$161&amp;"-point consideration threshold."))</f>
      </c>
      <c r="J101" s="32">
        <f>Matching_Engine!$AV$101&amp;" — "&amp;Matching_Engine!$AW$101&amp;IF(Matching_Engine!$BB$101="Limited Data"," Confidence is Limited Data: "&amp;Matching_Engine!$BA$101&amp;"% of tracked fields carry a value.","")</f>
      </c>
      <c r="K101" s="32">
        <f>IF(NOT(ISNUMBER(Matching_Engine!$AY$101)),"Do not shortlist on this data — re-scrape the account first.",IF(Matching_Engine!$AY$101&gt;=Lookup_Lists!$D$156,"Highly Recommended",IF(Matching_Engine!$AY$101&gt;=Lookup_Lists!$D$157,"Recommended",IF(Matching_Engine!$AY$101&gt;=Lookup_Lists!$D$158,"Consider","Low Priority")))&amp;IF(Matching_Engine!$AX$101&lt;100," (on partial data)",""))</f>
      </c>
      <c r="L101" s="34">
        <f>IF(ISNUMBER(Matching_Engine!$M$101),Matching_Engine!$M$101,-1)</f>
      </c>
      <c r="M101" s="34">
        <f>IF(ISNUMBER(Matching_Engine!$S$101),Matching_Engine!$S$101,-1)</f>
      </c>
      <c r="N101" s="34">
        <f>IF(ISNUMBER(Matching_Engine!$Y$101),Matching_Engine!$Y$101,-1)</f>
      </c>
      <c r="O101" s="34">
        <f>IF(ISNUMBER(Matching_Engine!$AE$101),Matching_Engine!$AE$101,-1)</f>
      </c>
      <c r="P101" s="34">
        <f>IF(ISNUMBER(Matching_Engine!$AM$101),Matching_Engine!$AM$101,-1)</f>
      </c>
      <c r="Q101" s="34">
        <f>IF(ISNUMBER(Matching_Engine!$AT$101),Matching_Engine!$AT$101,-1)</f>
      </c>
      <c r="R101" s="34">
        <f>MAX($L$101:$Q$101)</f>
      </c>
      <c r="S101" s="32">
        <f>INDEX({"Brand &amp; Business Relevance","Target Audience Relevance","Content &amp; Category Relevance","Brand Personality Fit","Performance Quality","Brand Safety"},MATCH($R$101,$L$101:$Q$101,0))</f>
      </c>
      <c r="T101" s="34">
        <f>IF(ISNUMBER(Matching_Engine!$M$101),Matching_Engine!$M$101,999)</f>
      </c>
      <c r="U101" s="34">
        <f>IF(ISNUMBER(Matching_Engine!$S$101),Matching_Engine!$S$101,999)</f>
      </c>
      <c r="V101" s="34">
        <f>IF(ISNUMBER(Matching_Engine!$Y$101),Matching_Engine!$Y$101,999)</f>
      </c>
      <c r="W101" s="34">
        <f>IF(ISNUMBER(Matching_Engine!$AE$101),Matching_Engine!$AE$101,999)</f>
      </c>
      <c r="X101" s="34">
        <f>IF(ISNUMBER(Matching_Engine!$AM$101),Matching_Engine!$AM$101,999)</f>
      </c>
      <c r="Y101" s="34">
        <f>IF(ISNUMBER(Matching_Engine!$AT$101),Matching_Engine!$AT$101,999)</f>
      </c>
      <c r="Z101" s="34">
        <f>MIN($T$101:$Y$101)</f>
      </c>
      <c r="AA101" s="32">
        <f>INDEX({"Brand &amp; Business Relevance","Target Audience Relevance","Content &amp; Category Relevance","Brand Personality Fit","Performance Quality","Brand Safety"},MATCH($Z$101,$T$101:$Y$101,0))</f>
      </c>
    </row>
    <row r="102" spans="1:27" x14ac:dyDescent="0.25">
      <c r="A102" s="32">
        <f>Matching_Engine!$B$102</f>
      </c>
      <c r="B102" s="32">
        <f>Matching_Engine!$D$102</f>
      </c>
      <c r="C102" s="32">
        <f>Matching_Engine!$E$102</f>
      </c>
      <c r="D102" s="33">
        <f>Matching_Engine!$AY$102</f>
      </c>
      <c r="E102" s="32">
        <f>Matching_Engine!$AZ$102</f>
      </c>
      <c r="F102" s="32">
        <f>IF(NOT(ISNUMBER(Matching_Engine!$AY$102)),"Not scored: no component of the model had data for this account, so no match can be claimed either way.",Matching_Engine!$AZ$102&amp;" — "&amp;Matching_Engine!$AY$102&amp;"/100 against "&amp;Matching_Engine!$B$102&amp;". "&amp;"Strongest factor "&amp;$S$102&amp;" at "&amp;$R$102&amp;"; weakest "&amp;$AA$102&amp;" at "&amp;$Z$102&amp;". "&amp;IF(AND(ISTEXT(Matching_Engine!$G$102),Matching_Engine!$G$102&lt;&gt;"N/A"),"Tagged category "&amp;Matching_Engine!$G$102&amp;" scores "&amp;IF(ISNUMBER(Matching_Engine!$J$102),Matching_Engine!$J$102,0)&amp;" against the brand category "&amp;Matching_Engine!$B$102&amp;" targets. ","Creator carries no category on record, so the category-driven parts fall back to neutral rather than penalising the creator. ")&amp;IF(ISNUMBER(Matching_Engine!$R$102),"Audience-interest overlap "&amp;Matching_Engine!$R$102&amp;". ","Audience interests unmeasured. ")&amp;IF(Matching_Engine!$AX$102&lt;100,"Scored on "&amp;Matching_Engine!$AX$102&amp;" of the 100 nominal weight points; the rest had no data.",""))</f>
      </c>
      <c r="G102" s="32">
        <f>IF(NOT(ISNUMBER(Matching_Engine!$AY$102)),"N/A",$S$102&amp;" ("&amp;$R$102&amp;"/100)")</f>
      </c>
      <c r="H102" s="32">
        <f>IF(NOT(ISNUMBER(Matching_Engine!$AY$102)),"N/A",$AA$102&amp;" ("&amp;$Z$102&amp;"/100)")</f>
      </c>
      <c r="I102" s="32">
        <f>IF(NOT(ISNUMBER(Matching_Engine!$AY$102)),"No data to consider: this account has no measured signal.",IF($Z$102&lt;Lookup_Lists!$D$161,$AA$102&amp;" sits at "&amp;$Z$102&amp;", below the "&amp;Lookup_Lists!$D$161&amp;"-point consideration threshold"&amp;IF(Matching_Engine!$AF$102=0," · Brand Personality Fit could not be scored at all: no creator personality, tone, values or content-style column exists","")&amp;IF(Matching_Engine!$AI$102="N/A"," · posting cadence unusable, so Consistency is excluded from Performance","")&amp;".","No component falls below the "&amp;Lookup_Lists!$D$161&amp;"-point consideration threshold."))</f>
      </c>
      <c r="J102" s="32">
        <f>Matching_Engine!$AV$102&amp;" — "&amp;Matching_Engine!$AW$102&amp;IF(Matching_Engine!$BB$102="Limited Data"," Confidence is Limited Data: "&amp;Matching_Engine!$BA$102&amp;"% of tracked fields carry a value.","")</f>
      </c>
      <c r="K102" s="32">
        <f>IF(NOT(ISNUMBER(Matching_Engine!$AY$102)),"Do not shortlist on this data — re-scrape the account first.",IF(Matching_Engine!$AY$102&gt;=Lookup_Lists!$D$156,"Highly Recommended",IF(Matching_Engine!$AY$102&gt;=Lookup_Lists!$D$157,"Recommended",IF(Matching_Engine!$AY$102&gt;=Lookup_Lists!$D$158,"Consider","Low Priority")))&amp;IF(Matching_Engine!$AX$102&lt;100," (on partial data)",""))</f>
      </c>
      <c r="L102" s="34">
        <f>IF(ISNUMBER(Matching_Engine!$M$102),Matching_Engine!$M$102,-1)</f>
      </c>
      <c r="M102" s="34">
        <f>IF(ISNUMBER(Matching_Engine!$S$102),Matching_Engine!$S$102,-1)</f>
      </c>
      <c r="N102" s="34">
        <f>IF(ISNUMBER(Matching_Engine!$Y$102),Matching_Engine!$Y$102,-1)</f>
      </c>
      <c r="O102" s="34">
        <f>IF(ISNUMBER(Matching_Engine!$AE$102),Matching_Engine!$AE$102,-1)</f>
      </c>
      <c r="P102" s="34">
        <f>IF(ISNUMBER(Matching_Engine!$AM$102),Matching_Engine!$AM$102,-1)</f>
      </c>
      <c r="Q102" s="34">
        <f>IF(ISNUMBER(Matching_Engine!$AT$102),Matching_Engine!$AT$102,-1)</f>
      </c>
      <c r="R102" s="34">
        <f>MAX($L$102:$Q$102)</f>
      </c>
      <c r="S102" s="32">
        <f>INDEX({"Brand &amp; Business Relevance","Target Audience Relevance","Content &amp; Category Relevance","Brand Personality Fit","Performance Quality","Brand Safety"},MATCH($R$102,$L$102:$Q$102,0))</f>
      </c>
      <c r="T102" s="34">
        <f>IF(ISNUMBER(Matching_Engine!$M$102),Matching_Engine!$M$102,999)</f>
      </c>
      <c r="U102" s="34">
        <f>IF(ISNUMBER(Matching_Engine!$S$102),Matching_Engine!$S$102,999)</f>
      </c>
      <c r="V102" s="34">
        <f>IF(ISNUMBER(Matching_Engine!$Y$102),Matching_Engine!$Y$102,999)</f>
      </c>
      <c r="W102" s="34">
        <f>IF(ISNUMBER(Matching_Engine!$AE$102),Matching_Engine!$AE$102,999)</f>
      </c>
      <c r="X102" s="34">
        <f>IF(ISNUMBER(Matching_Engine!$AM$102),Matching_Engine!$AM$102,999)</f>
      </c>
      <c r="Y102" s="34">
        <f>IF(ISNUMBER(Matching_Engine!$AT$102),Matching_Engine!$AT$102,999)</f>
      </c>
      <c r="Z102" s="34">
        <f>MIN($T$102:$Y$102)</f>
      </c>
      <c r="AA102" s="32">
        <f>INDEX({"Brand &amp; Business Relevance","Target Audience Relevance","Content &amp; Category Relevance","Brand Personality Fit","Performance Quality","Brand Safety"},MATCH($Z$102,$T$102:$Y$102,0))</f>
      </c>
    </row>
    <row r="103" spans="1:27" x14ac:dyDescent="0.25">
      <c r="A103" s="32">
        <f>Matching_Engine!$B$103</f>
      </c>
      <c r="B103" s="32">
        <f>Matching_Engine!$D$103</f>
      </c>
      <c r="C103" s="32">
        <f>Matching_Engine!$E$103</f>
      </c>
      <c r="D103" s="33">
        <f>Matching_Engine!$AY$103</f>
      </c>
      <c r="E103" s="32">
        <f>Matching_Engine!$AZ$103</f>
      </c>
      <c r="F103" s="32">
        <f>IF(NOT(ISNUMBER(Matching_Engine!$AY$103)),"Not scored: no component of the model had data for this account, so no match can be claimed either way.",Matching_Engine!$AZ$103&amp;" — "&amp;Matching_Engine!$AY$103&amp;"/100 against "&amp;Matching_Engine!$B$103&amp;". "&amp;"Strongest factor "&amp;$S$103&amp;" at "&amp;$R$103&amp;"; weakest "&amp;$AA$103&amp;" at "&amp;$Z$103&amp;". "&amp;IF(AND(ISTEXT(Matching_Engine!$G$103),Matching_Engine!$G$103&lt;&gt;"N/A"),"Tagged category "&amp;Matching_Engine!$G$103&amp;" scores "&amp;IF(ISNUMBER(Matching_Engine!$J$103),Matching_Engine!$J$103,0)&amp;" against the brand category "&amp;Matching_Engine!$B$103&amp;" targets. ","Creator carries no category on record, so the category-driven parts fall back to neutral rather than penalising the creator. ")&amp;IF(ISNUMBER(Matching_Engine!$R$103),"Audience-interest overlap "&amp;Matching_Engine!$R$103&amp;". ","Audience interests unmeasured. ")&amp;IF(Matching_Engine!$AX$103&lt;100,"Scored on "&amp;Matching_Engine!$AX$103&amp;" of the 100 nominal weight points; the rest had no data.",""))</f>
      </c>
      <c r="G103" s="32">
        <f>IF(NOT(ISNUMBER(Matching_Engine!$AY$103)),"N/A",$S$103&amp;" ("&amp;$R$103&amp;"/100)")</f>
      </c>
      <c r="H103" s="32">
        <f>IF(NOT(ISNUMBER(Matching_Engine!$AY$103)),"N/A",$AA$103&amp;" ("&amp;$Z$103&amp;"/100)")</f>
      </c>
      <c r="I103" s="32">
        <f>IF(NOT(ISNUMBER(Matching_Engine!$AY$103)),"No data to consider: this account has no measured signal.",IF($Z$103&lt;Lookup_Lists!$D$161,$AA$103&amp;" sits at "&amp;$Z$103&amp;", below the "&amp;Lookup_Lists!$D$161&amp;"-point consideration threshold"&amp;IF(Matching_Engine!$AF$103=0," · Brand Personality Fit could not be scored at all: no creator personality, tone, values or content-style column exists","")&amp;IF(Matching_Engine!$AI$103="N/A"," · posting cadence unusable, so Consistency is excluded from Performance","")&amp;".","No component falls below the "&amp;Lookup_Lists!$D$161&amp;"-point consideration threshold."))</f>
      </c>
      <c r="J103" s="32">
        <f>Matching_Engine!$AV$103&amp;" — "&amp;Matching_Engine!$AW$103&amp;IF(Matching_Engine!$BB$103="Limited Data"," Confidence is Limited Data: "&amp;Matching_Engine!$BA$103&amp;"% of tracked fields carry a value.","")</f>
      </c>
      <c r="K103" s="32">
        <f>IF(NOT(ISNUMBER(Matching_Engine!$AY$103)),"Do not shortlist on this data — re-scrape the account first.",IF(Matching_Engine!$AY$103&gt;=Lookup_Lists!$D$156,"Highly Recommended",IF(Matching_Engine!$AY$103&gt;=Lookup_Lists!$D$157,"Recommended",IF(Matching_Engine!$AY$103&gt;=Lookup_Lists!$D$158,"Consider","Low Priority")))&amp;IF(Matching_Engine!$AX$103&lt;100," (on partial data)",""))</f>
      </c>
      <c r="L103" s="34">
        <f>IF(ISNUMBER(Matching_Engine!$M$103),Matching_Engine!$M$103,-1)</f>
      </c>
      <c r="M103" s="34">
        <f>IF(ISNUMBER(Matching_Engine!$S$103),Matching_Engine!$S$103,-1)</f>
      </c>
      <c r="N103" s="34">
        <f>IF(ISNUMBER(Matching_Engine!$Y$103),Matching_Engine!$Y$103,-1)</f>
      </c>
      <c r="O103" s="34">
        <f>IF(ISNUMBER(Matching_Engine!$AE$103),Matching_Engine!$AE$103,-1)</f>
      </c>
      <c r="P103" s="34">
        <f>IF(ISNUMBER(Matching_Engine!$AM$103),Matching_Engine!$AM$103,-1)</f>
      </c>
      <c r="Q103" s="34">
        <f>IF(ISNUMBER(Matching_Engine!$AT$103),Matching_Engine!$AT$103,-1)</f>
      </c>
      <c r="R103" s="34">
        <f>MAX($L$103:$Q$103)</f>
      </c>
      <c r="S103" s="32">
        <f>INDEX({"Brand &amp; Business Relevance","Target Audience Relevance","Content &amp; Category Relevance","Brand Personality Fit","Performance Quality","Brand Safety"},MATCH($R$103,$L$103:$Q$103,0))</f>
      </c>
      <c r="T103" s="34">
        <f>IF(ISNUMBER(Matching_Engine!$M$103),Matching_Engine!$M$103,999)</f>
      </c>
      <c r="U103" s="34">
        <f>IF(ISNUMBER(Matching_Engine!$S$103),Matching_Engine!$S$103,999)</f>
      </c>
      <c r="V103" s="34">
        <f>IF(ISNUMBER(Matching_Engine!$Y$103),Matching_Engine!$Y$103,999)</f>
      </c>
      <c r="W103" s="34">
        <f>IF(ISNUMBER(Matching_Engine!$AE$103),Matching_Engine!$AE$103,999)</f>
      </c>
      <c r="X103" s="34">
        <f>IF(ISNUMBER(Matching_Engine!$AM$103),Matching_Engine!$AM$103,999)</f>
      </c>
      <c r="Y103" s="34">
        <f>IF(ISNUMBER(Matching_Engine!$AT$103),Matching_Engine!$AT$103,999)</f>
      </c>
      <c r="Z103" s="34">
        <f>MIN($T$103:$Y$103)</f>
      </c>
      <c r="AA103" s="32">
        <f>INDEX({"Brand &amp; Business Relevance","Target Audience Relevance","Content &amp; Category Relevance","Brand Personality Fit","Performance Quality","Brand Safety"},MATCH($Z$103,$T$103:$Y$103,0))</f>
      </c>
    </row>
    <row r="104" spans="1:27" x14ac:dyDescent="0.25">
      <c r="A104" s="32">
        <f>Matching_Engine!$B$104</f>
      </c>
      <c r="B104" s="32">
        <f>Matching_Engine!$D$104</f>
      </c>
      <c r="C104" s="32">
        <f>Matching_Engine!$E$104</f>
      </c>
      <c r="D104" s="33">
        <f>Matching_Engine!$AY$104</f>
      </c>
      <c r="E104" s="32">
        <f>Matching_Engine!$AZ$104</f>
      </c>
      <c r="F104" s="32">
        <f>IF(NOT(ISNUMBER(Matching_Engine!$AY$104)),"Not scored: no component of the model had data for this account, so no match can be claimed either way.",Matching_Engine!$AZ$104&amp;" — "&amp;Matching_Engine!$AY$104&amp;"/100 against "&amp;Matching_Engine!$B$104&amp;". "&amp;"Strongest factor "&amp;$S$104&amp;" at "&amp;$R$104&amp;"; weakest "&amp;$AA$104&amp;" at "&amp;$Z$104&amp;". "&amp;IF(AND(ISTEXT(Matching_Engine!$G$104),Matching_Engine!$G$104&lt;&gt;"N/A"),"Tagged category "&amp;Matching_Engine!$G$104&amp;" scores "&amp;IF(ISNUMBER(Matching_Engine!$J$104),Matching_Engine!$J$104,0)&amp;" against the brand category "&amp;Matching_Engine!$B$104&amp;" targets. ","Creator carries no category on record, so the category-driven parts fall back to neutral rather than penalising the creator. ")&amp;IF(ISNUMBER(Matching_Engine!$R$104),"Audience-interest overlap "&amp;Matching_Engine!$R$104&amp;". ","Audience interests unmeasured. ")&amp;IF(Matching_Engine!$AX$104&lt;100,"Scored on "&amp;Matching_Engine!$AX$104&amp;" of the 100 nominal weight points; the rest had no data.",""))</f>
      </c>
      <c r="G104" s="32">
        <f>IF(NOT(ISNUMBER(Matching_Engine!$AY$104)),"N/A",$S$104&amp;" ("&amp;$R$104&amp;"/100)")</f>
      </c>
      <c r="H104" s="32">
        <f>IF(NOT(ISNUMBER(Matching_Engine!$AY$104)),"N/A",$AA$104&amp;" ("&amp;$Z$104&amp;"/100)")</f>
      </c>
      <c r="I104" s="32">
        <f>IF(NOT(ISNUMBER(Matching_Engine!$AY$104)),"No data to consider: this account has no measured signal.",IF($Z$104&lt;Lookup_Lists!$D$161,$AA$104&amp;" sits at "&amp;$Z$104&amp;", below the "&amp;Lookup_Lists!$D$161&amp;"-point consideration threshold"&amp;IF(Matching_Engine!$AF$104=0," · Brand Personality Fit could not be scored at all: no creator personality, tone, values or content-style column exists","")&amp;IF(Matching_Engine!$AI$104="N/A"," · posting cadence unusable, so Consistency is excluded from Performance","")&amp;".","No component falls below the "&amp;Lookup_Lists!$D$161&amp;"-point consideration threshold."))</f>
      </c>
      <c r="J104" s="32">
        <f>Matching_Engine!$AV$104&amp;" — "&amp;Matching_Engine!$AW$104&amp;IF(Matching_Engine!$BB$104="Limited Data"," Confidence is Limited Data: "&amp;Matching_Engine!$BA$104&amp;"% of tracked fields carry a value.","")</f>
      </c>
      <c r="K104" s="32">
        <f>IF(NOT(ISNUMBER(Matching_Engine!$AY$104)),"Do not shortlist on this data — re-scrape the account first.",IF(Matching_Engine!$AY$104&gt;=Lookup_Lists!$D$156,"Highly Recommended",IF(Matching_Engine!$AY$104&gt;=Lookup_Lists!$D$157,"Recommended",IF(Matching_Engine!$AY$104&gt;=Lookup_Lists!$D$158,"Consider","Low Priority")))&amp;IF(Matching_Engine!$AX$104&lt;100," (on partial data)",""))</f>
      </c>
      <c r="L104" s="34">
        <f>IF(ISNUMBER(Matching_Engine!$M$104),Matching_Engine!$M$104,-1)</f>
      </c>
      <c r="M104" s="34">
        <f>IF(ISNUMBER(Matching_Engine!$S$104),Matching_Engine!$S$104,-1)</f>
      </c>
      <c r="N104" s="34">
        <f>IF(ISNUMBER(Matching_Engine!$Y$104),Matching_Engine!$Y$104,-1)</f>
      </c>
      <c r="O104" s="34">
        <f>IF(ISNUMBER(Matching_Engine!$AE$104),Matching_Engine!$AE$104,-1)</f>
      </c>
      <c r="P104" s="34">
        <f>IF(ISNUMBER(Matching_Engine!$AM$104),Matching_Engine!$AM$104,-1)</f>
      </c>
      <c r="Q104" s="34">
        <f>IF(ISNUMBER(Matching_Engine!$AT$104),Matching_Engine!$AT$104,-1)</f>
      </c>
      <c r="R104" s="34">
        <f>MAX($L$104:$Q$104)</f>
      </c>
      <c r="S104" s="32">
        <f>INDEX({"Brand &amp; Business Relevance","Target Audience Relevance","Content &amp; Category Relevance","Brand Personality Fit","Performance Quality","Brand Safety"},MATCH($R$104,$L$104:$Q$104,0))</f>
      </c>
      <c r="T104" s="34">
        <f>IF(ISNUMBER(Matching_Engine!$M$104),Matching_Engine!$M$104,999)</f>
      </c>
      <c r="U104" s="34">
        <f>IF(ISNUMBER(Matching_Engine!$S$104),Matching_Engine!$S$104,999)</f>
      </c>
      <c r="V104" s="34">
        <f>IF(ISNUMBER(Matching_Engine!$Y$104),Matching_Engine!$Y$104,999)</f>
      </c>
      <c r="W104" s="34">
        <f>IF(ISNUMBER(Matching_Engine!$AE$104),Matching_Engine!$AE$104,999)</f>
      </c>
      <c r="X104" s="34">
        <f>IF(ISNUMBER(Matching_Engine!$AM$104),Matching_Engine!$AM$104,999)</f>
      </c>
      <c r="Y104" s="34">
        <f>IF(ISNUMBER(Matching_Engine!$AT$104),Matching_Engine!$AT$104,999)</f>
      </c>
      <c r="Z104" s="34">
        <f>MIN($T$104:$Y$104)</f>
      </c>
      <c r="AA104" s="32">
        <f>INDEX({"Brand &amp; Business Relevance","Target Audience Relevance","Content &amp; Category Relevance","Brand Personality Fit","Performance Quality","Brand Safety"},MATCH($Z$104,$T$104:$Y$104,0))</f>
      </c>
    </row>
    <row r="105" spans="1:27" x14ac:dyDescent="0.25">
      <c r="A105" s="32">
        <f>Matching_Engine!$B$105</f>
      </c>
      <c r="B105" s="32">
        <f>Matching_Engine!$D$105</f>
      </c>
      <c r="C105" s="32">
        <f>Matching_Engine!$E$105</f>
      </c>
      <c r="D105" s="33">
        <f>Matching_Engine!$AY$105</f>
      </c>
      <c r="E105" s="32">
        <f>Matching_Engine!$AZ$105</f>
      </c>
      <c r="F105" s="32">
        <f>IF(NOT(ISNUMBER(Matching_Engine!$AY$105)),"Not scored: no component of the model had data for this account, so no match can be claimed either way.",Matching_Engine!$AZ$105&amp;" — "&amp;Matching_Engine!$AY$105&amp;"/100 against "&amp;Matching_Engine!$B$105&amp;". "&amp;"Strongest factor "&amp;$S$105&amp;" at "&amp;$R$105&amp;"; weakest "&amp;$AA$105&amp;" at "&amp;$Z$105&amp;". "&amp;IF(AND(ISTEXT(Matching_Engine!$G$105),Matching_Engine!$G$105&lt;&gt;"N/A"),"Tagged category "&amp;Matching_Engine!$G$105&amp;" scores "&amp;IF(ISNUMBER(Matching_Engine!$J$105),Matching_Engine!$J$105,0)&amp;" against the brand category "&amp;Matching_Engine!$B$105&amp;" targets. ","Creator carries no category on record, so the category-driven parts fall back to neutral rather than penalising the creator. ")&amp;IF(ISNUMBER(Matching_Engine!$R$105),"Audience-interest overlap "&amp;Matching_Engine!$R$105&amp;". ","Audience interests unmeasured. ")&amp;IF(Matching_Engine!$AX$105&lt;100,"Scored on "&amp;Matching_Engine!$AX$105&amp;" of the 100 nominal weight points; the rest had no data.",""))</f>
      </c>
      <c r="G105" s="32">
        <f>IF(NOT(ISNUMBER(Matching_Engine!$AY$105)),"N/A",$S$105&amp;" ("&amp;$R$105&amp;"/100)")</f>
      </c>
      <c r="H105" s="32">
        <f>IF(NOT(ISNUMBER(Matching_Engine!$AY$105)),"N/A",$AA$105&amp;" ("&amp;$Z$105&amp;"/100)")</f>
      </c>
      <c r="I105" s="32">
        <f>IF(NOT(ISNUMBER(Matching_Engine!$AY$105)),"No data to consider: this account has no measured signal.",IF($Z$105&lt;Lookup_Lists!$D$161,$AA$105&amp;" sits at "&amp;$Z$105&amp;", below the "&amp;Lookup_Lists!$D$161&amp;"-point consideration threshold"&amp;IF(Matching_Engine!$AF$105=0," · Brand Personality Fit could not be scored at all: no creator personality, tone, values or content-style column exists","")&amp;IF(Matching_Engine!$AI$105="N/A"," · posting cadence unusable, so Consistency is excluded from Performance","")&amp;".","No component falls below the "&amp;Lookup_Lists!$D$161&amp;"-point consideration threshold."))</f>
      </c>
      <c r="J105" s="32">
        <f>Matching_Engine!$AV$105&amp;" — "&amp;Matching_Engine!$AW$105&amp;IF(Matching_Engine!$BB$105="Limited Data"," Confidence is Limited Data: "&amp;Matching_Engine!$BA$105&amp;"% of tracked fields carry a value.","")</f>
      </c>
      <c r="K105" s="32">
        <f>IF(NOT(ISNUMBER(Matching_Engine!$AY$105)),"Do not shortlist on this data — re-scrape the account first.",IF(Matching_Engine!$AY$105&gt;=Lookup_Lists!$D$156,"Highly Recommended",IF(Matching_Engine!$AY$105&gt;=Lookup_Lists!$D$157,"Recommended",IF(Matching_Engine!$AY$105&gt;=Lookup_Lists!$D$158,"Consider","Low Priority")))&amp;IF(Matching_Engine!$AX$105&lt;100," (on partial data)",""))</f>
      </c>
      <c r="L105" s="34">
        <f>IF(ISNUMBER(Matching_Engine!$M$105),Matching_Engine!$M$105,-1)</f>
      </c>
      <c r="M105" s="34">
        <f>IF(ISNUMBER(Matching_Engine!$S$105),Matching_Engine!$S$105,-1)</f>
      </c>
      <c r="N105" s="34">
        <f>IF(ISNUMBER(Matching_Engine!$Y$105),Matching_Engine!$Y$105,-1)</f>
      </c>
      <c r="O105" s="34">
        <f>IF(ISNUMBER(Matching_Engine!$AE$105),Matching_Engine!$AE$105,-1)</f>
      </c>
      <c r="P105" s="34">
        <f>IF(ISNUMBER(Matching_Engine!$AM$105),Matching_Engine!$AM$105,-1)</f>
      </c>
      <c r="Q105" s="34">
        <f>IF(ISNUMBER(Matching_Engine!$AT$105),Matching_Engine!$AT$105,-1)</f>
      </c>
      <c r="R105" s="34">
        <f>MAX($L$105:$Q$105)</f>
      </c>
      <c r="S105" s="32">
        <f>INDEX({"Brand &amp; Business Relevance","Target Audience Relevance","Content &amp; Category Relevance","Brand Personality Fit","Performance Quality","Brand Safety"},MATCH($R$105,$L$105:$Q$105,0))</f>
      </c>
      <c r="T105" s="34">
        <f>IF(ISNUMBER(Matching_Engine!$M$105),Matching_Engine!$M$105,999)</f>
      </c>
      <c r="U105" s="34">
        <f>IF(ISNUMBER(Matching_Engine!$S$105),Matching_Engine!$S$105,999)</f>
      </c>
      <c r="V105" s="34">
        <f>IF(ISNUMBER(Matching_Engine!$Y$105),Matching_Engine!$Y$105,999)</f>
      </c>
      <c r="W105" s="34">
        <f>IF(ISNUMBER(Matching_Engine!$AE$105),Matching_Engine!$AE$105,999)</f>
      </c>
      <c r="X105" s="34">
        <f>IF(ISNUMBER(Matching_Engine!$AM$105),Matching_Engine!$AM$105,999)</f>
      </c>
      <c r="Y105" s="34">
        <f>IF(ISNUMBER(Matching_Engine!$AT$105),Matching_Engine!$AT$105,999)</f>
      </c>
      <c r="Z105" s="34">
        <f>MIN($T$105:$Y$105)</f>
      </c>
      <c r="AA105" s="32">
        <f>INDEX({"Brand &amp; Business Relevance","Target Audience Relevance","Content &amp; Category Relevance","Brand Personality Fit","Performance Quality","Brand Safety"},MATCH($Z$105,$T$105:$Y$105,0))</f>
      </c>
    </row>
    <row r="106" spans="1:27" x14ac:dyDescent="0.25">
      <c r="A106" s="32">
        <f>Matching_Engine!$B$106</f>
      </c>
      <c r="B106" s="32">
        <f>Matching_Engine!$D$106</f>
      </c>
      <c r="C106" s="32">
        <f>Matching_Engine!$E$106</f>
      </c>
      <c r="D106" s="33">
        <f>Matching_Engine!$AY$106</f>
      </c>
      <c r="E106" s="32">
        <f>Matching_Engine!$AZ$106</f>
      </c>
      <c r="F106" s="32">
        <f>IF(NOT(ISNUMBER(Matching_Engine!$AY$106)),"Not scored: no component of the model had data for this account, so no match can be claimed either way.",Matching_Engine!$AZ$106&amp;" — "&amp;Matching_Engine!$AY$106&amp;"/100 against "&amp;Matching_Engine!$B$106&amp;". "&amp;"Strongest factor "&amp;$S$106&amp;" at "&amp;$R$106&amp;"; weakest "&amp;$AA$106&amp;" at "&amp;$Z$106&amp;". "&amp;IF(AND(ISTEXT(Matching_Engine!$G$106),Matching_Engine!$G$106&lt;&gt;"N/A"),"Tagged category "&amp;Matching_Engine!$G$106&amp;" scores "&amp;IF(ISNUMBER(Matching_Engine!$J$106),Matching_Engine!$J$106,0)&amp;" against the brand category "&amp;Matching_Engine!$B$106&amp;" targets. ","Creator carries no category on record, so the category-driven parts fall back to neutral rather than penalising the creator. ")&amp;IF(ISNUMBER(Matching_Engine!$R$106),"Audience-interest overlap "&amp;Matching_Engine!$R$106&amp;". ","Audience interests unmeasured. ")&amp;IF(Matching_Engine!$AX$106&lt;100,"Scored on "&amp;Matching_Engine!$AX$106&amp;" of the 100 nominal weight points; the rest had no data.",""))</f>
      </c>
      <c r="G106" s="32">
        <f>IF(NOT(ISNUMBER(Matching_Engine!$AY$106)),"N/A",$S$106&amp;" ("&amp;$R$106&amp;"/100)")</f>
      </c>
      <c r="H106" s="32">
        <f>IF(NOT(ISNUMBER(Matching_Engine!$AY$106)),"N/A",$AA$106&amp;" ("&amp;$Z$106&amp;"/100)")</f>
      </c>
      <c r="I106" s="32">
        <f>IF(NOT(ISNUMBER(Matching_Engine!$AY$106)),"No data to consider: this account has no measured signal.",IF($Z$106&lt;Lookup_Lists!$D$161,$AA$106&amp;" sits at "&amp;$Z$106&amp;", below the "&amp;Lookup_Lists!$D$161&amp;"-point consideration threshold"&amp;IF(Matching_Engine!$AF$106=0," · Brand Personality Fit could not be scored at all: no creator personality, tone, values or content-style column exists","")&amp;IF(Matching_Engine!$AI$106="N/A"," · posting cadence unusable, so Consistency is excluded from Performance","")&amp;".","No component falls below the "&amp;Lookup_Lists!$D$161&amp;"-point consideration threshold."))</f>
      </c>
      <c r="J106" s="32">
        <f>Matching_Engine!$AV$106&amp;" — "&amp;Matching_Engine!$AW$106&amp;IF(Matching_Engine!$BB$106="Limited Data"," Confidence is Limited Data: "&amp;Matching_Engine!$BA$106&amp;"% of tracked fields carry a value.","")</f>
      </c>
      <c r="K106" s="32">
        <f>IF(NOT(ISNUMBER(Matching_Engine!$AY$106)),"Do not shortlist on this data — re-scrape the account first.",IF(Matching_Engine!$AY$106&gt;=Lookup_Lists!$D$156,"Highly Recommended",IF(Matching_Engine!$AY$106&gt;=Lookup_Lists!$D$157,"Recommended",IF(Matching_Engine!$AY$106&gt;=Lookup_Lists!$D$158,"Consider","Low Priority")))&amp;IF(Matching_Engine!$AX$106&lt;100," (on partial data)",""))</f>
      </c>
      <c r="L106" s="34">
        <f>IF(ISNUMBER(Matching_Engine!$M$106),Matching_Engine!$M$106,-1)</f>
      </c>
      <c r="M106" s="34">
        <f>IF(ISNUMBER(Matching_Engine!$S$106),Matching_Engine!$S$106,-1)</f>
      </c>
      <c r="N106" s="34">
        <f>IF(ISNUMBER(Matching_Engine!$Y$106),Matching_Engine!$Y$106,-1)</f>
      </c>
      <c r="O106" s="34">
        <f>IF(ISNUMBER(Matching_Engine!$AE$106),Matching_Engine!$AE$106,-1)</f>
      </c>
      <c r="P106" s="34">
        <f>IF(ISNUMBER(Matching_Engine!$AM$106),Matching_Engine!$AM$106,-1)</f>
      </c>
      <c r="Q106" s="34">
        <f>IF(ISNUMBER(Matching_Engine!$AT$106),Matching_Engine!$AT$106,-1)</f>
      </c>
      <c r="R106" s="34">
        <f>MAX($L$106:$Q$106)</f>
      </c>
      <c r="S106" s="32">
        <f>INDEX({"Brand &amp; Business Relevance","Target Audience Relevance","Content &amp; Category Relevance","Brand Personality Fit","Performance Quality","Brand Safety"},MATCH($R$106,$L$106:$Q$106,0))</f>
      </c>
      <c r="T106" s="34">
        <f>IF(ISNUMBER(Matching_Engine!$M$106),Matching_Engine!$M$106,999)</f>
      </c>
      <c r="U106" s="34">
        <f>IF(ISNUMBER(Matching_Engine!$S$106),Matching_Engine!$S$106,999)</f>
      </c>
      <c r="V106" s="34">
        <f>IF(ISNUMBER(Matching_Engine!$Y$106),Matching_Engine!$Y$106,999)</f>
      </c>
      <c r="W106" s="34">
        <f>IF(ISNUMBER(Matching_Engine!$AE$106),Matching_Engine!$AE$106,999)</f>
      </c>
      <c r="X106" s="34">
        <f>IF(ISNUMBER(Matching_Engine!$AM$106),Matching_Engine!$AM$106,999)</f>
      </c>
      <c r="Y106" s="34">
        <f>IF(ISNUMBER(Matching_Engine!$AT$106),Matching_Engine!$AT$106,999)</f>
      </c>
      <c r="Z106" s="34">
        <f>MIN($T$106:$Y$106)</f>
      </c>
      <c r="AA106" s="32">
        <f>INDEX({"Brand &amp; Business Relevance","Target Audience Relevance","Content &amp; Category Relevance","Brand Personality Fit","Performance Quality","Brand Safety"},MATCH($Z$106,$T$106:$Y$106,0))</f>
      </c>
    </row>
    <row r="107" spans="1:27" x14ac:dyDescent="0.25">
      <c r="A107" s="32">
        <f>Matching_Engine!$B$107</f>
      </c>
      <c r="B107" s="32">
        <f>Matching_Engine!$D$107</f>
      </c>
      <c r="C107" s="32">
        <f>Matching_Engine!$E$107</f>
      </c>
      <c r="D107" s="33">
        <f>Matching_Engine!$AY$107</f>
      </c>
      <c r="E107" s="32">
        <f>Matching_Engine!$AZ$107</f>
      </c>
      <c r="F107" s="32">
        <f>IF(NOT(ISNUMBER(Matching_Engine!$AY$107)),"Not scored: no component of the model had data for this account, so no match can be claimed either way.",Matching_Engine!$AZ$107&amp;" — "&amp;Matching_Engine!$AY$107&amp;"/100 against "&amp;Matching_Engine!$B$107&amp;". "&amp;"Strongest factor "&amp;$S$107&amp;" at "&amp;$R$107&amp;"; weakest "&amp;$AA$107&amp;" at "&amp;$Z$107&amp;". "&amp;IF(AND(ISTEXT(Matching_Engine!$G$107),Matching_Engine!$G$107&lt;&gt;"N/A"),"Tagged category "&amp;Matching_Engine!$G$107&amp;" scores "&amp;IF(ISNUMBER(Matching_Engine!$J$107),Matching_Engine!$J$107,0)&amp;" against the brand category "&amp;Matching_Engine!$B$107&amp;" targets. ","Creator carries no category on record, so the category-driven parts fall back to neutral rather than penalising the creator. ")&amp;IF(ISNUMBER(Matching_Engine!$R$107),"Audience-interest overlap "&amp;Matching_Engine!$R$107&amp;". ","Audience interests unmeasured. ")&amp;IF(Matching_Engine!$AX$107&lt;100,"Scored on "&amp;Matching_Engine!$AX$107&amp;" of the 100 nominal weight points; the rest had no data.",""))</f>
      </c>
      <c r="G107" s="32">
        <f>IF(NOT(ISNUMBER(Matching_Engine!$AY$107)),"N/A",$S$107&amp;" ("&amp;$R$107&amp;"/100)")</f>
      </c>
      <c r="H107" s="32">
        <f>IF(NOT(ISNUMBER(Matching_Engine!$AY$107)),"N/A",$AA$107&amp;" ("&amp;$Z$107&amp;"/100)")</f>
      </c>
      <c r="I107" s="32">
        <f>IF(NOT(ISNUMBER(Matching_Engine!$AY$107)),"No data to consider: this account has no measured signal.",IF($Z$107&lt;Lookup_Lists!$D$161,$AA$107&amp;" sits at "&amp;$Z$107&amp;", below the "&amp;Lookup_Lists!$D$161&amp;"-point consideration threshold"&amp;IF(Matching_Engine!$AF$107=0," · Brand Personality Fit could not be scored at all: no creator personality, tone, values or content-style column exists","")&amp;IF(Matching_Engine!$AI$107="N/A"," · posting cadence unusable, so Consistency is excluded from Performance","")&amp;".","No component falls below the "&amp;Lookup_Lists!$D$161&amp;"-point consideration threshold."))</f>
      </c>
      <c r="J107" s="32">
        <f>Matching_Engine!$AV$107&amp;" — "&amp;Matching_Engine!$AW$107&amp;IF(Matching_Engine!$BB$107="Limited Data"," Confidence is Limited Data: "&amp;Matching_Engine!$BA$107&amp;"% of tracked fields carry a value.","")</f>
      </c>
      <c r="K107" s="32">
        <f>IF(NOT(ISNUMBER(Matching_Engine!$AY$107)),"Do not shortlist on this data — re-scrape the account first.",IF(Matching_Engine!$AY$107&gt;=Lookup_Lists!$D$156,"Highly Recommended",IF(Matching_Engine!$AY$107&gt;=Lookup_Lists!$D$157,"Recommended",IF(Matching_Engine!$AY$107&gt;=Lookup_Lists!$D$158,"Consider","Low Priority")))&amp;IF(Matching_Engine!$AX$107&lt;100," (on partial data)",""))</f>
      </c>
      <c r="L107" s="34">
        <f>IF(ISNUMBER(Matching_Engine!$M$107),Matching_Engine!$M$107,-1)</f>
      </c>
      <c r="M107" s="34">
        <f>IF(ISNUMBER(Matching_Engine!$S$107),Matching_Engine!$S$107,-1)</f>
      </c>
      <c r="N107" s="34">
        <f>IF(ISNUMBER(Matching_Engine!$Y$107),Matching_Engine!$Y$107,-1)</f>
      </c>
      <c r="O107" s="34">
        <f>IF(ISNUMBER(Matching_Engine!$AE$107),Matching_Engine!$AE$107,-1)</f>
      </c>
      <c r="P107" s="34">
        <f>IF(ISNUMBER(Matching_Engine!$AM$107),Matching_Engine!$AM$107,-1)</f>
      </c>
      <c r="Q107" s="34">
        <f>IF(ISNUMBER(Matching_Engine!$AT$107),Matching_Engine!$AT$107,-1)</f>
      </c>
      <c r="R107" s="34">
        <f>MAX($L$107:$Q$107)</f>
      </c>
      <c r="S107" s="32">
        <f>INDEX({"Brand &amp; Business Relevance","Target Audience Relevance","Content &amp; Category Relevance","Brand Personality Fit","Performance Quality","Brand Safety"},MATCH($R$107,$L$107:$Q$107,0))</f>
      </c>
      <c r="T107" s="34">
        <f>IF(ISNUMBER(Matching_Engine!$M$107),Matching_Engine!$M$107,999)</f>
      </c>
      <c r="U107" s="34">
        <f>IF(ISNUMBER(Matching_Engine!$S$107),Matching_Engine!$S$107,999)</f>
      </c>
      <c r="V107" s="34">
        <f>IF(ISNUMBER(Matching_Engine!$Y$107),Matching_Engine!$Y$107,999)</f>
      </c>
      <c r="W107" s="34">
        <f>IF(ISNUMBER(Matching_Engine!$AE$107),Matching_Engine!$AE$107,999)</f>
      </c>
      <c r="X107" s="34">
        <f>IF(ISNUMBER(Matching_Engine!$AM$107),Matching_Engine!$AM$107,999)</f>
      </c>
      <c r="Y107" s="34">
        <f>IF(ISNUMBER(Matching_Engine!$AT$107),Matching_Engine!$AT$107,999)</f>
      </c>
      <c r="Z107" s="34">
        <f>MIN($T$107:$Y$107)</f>
      </c>
      <c r="AA107" s="32">
        <f>INDEX({"Brand &amp; Business Relevance","Target Audience Relevance","Content &amp; Category Relevance","Brand Personality Fit","Performance Quality","Brand Safety"},MATCH($Z$107,$T$107:$Y$107,0))</f>
      </c>
    </row>
    <row r="108" spans="1:27" x14ac:dyDescent="0.25">
      <c r="A108" s="32">
        <f>Matching_Engine!$B$108</f>
      </c>
      <c r="B108" s="32">
        <f>Matching_Engine!$D$108</f>
      </c>
      <c r="C108" s="32">
        <f>Matching_Engine!$E$108</f>
      </c>
      <c r="D108" s="33">
        <f>Matching_Engine!$AY$108</f>
      </c>
      <c r="E108" s="32">
        <f>Matching_Engine!$AZ$108</f>
      </c>
      <c r="F108" s="32">
        <f>IF(NOT(ISNUMBER(Matching_Engine!$AY$108)),"Not scored: no component of the model had data for this account, so no match can be claimed either way.",Matching_Engine!$AZ$108&amp;" — "&amp;Matching_Engine!$AY$108&amp;"/100 against "&amp;Matching_Engine!$B$108&amp;". "&amp;"Strongest factor "&amp;$S$108&amp;" at "&amp;$R$108&amp;"; weakest "&amp;$AA$108&amp;" at "&amp;$Z$108&amp;". "&amp;IF(AND(ISTEXT(Matching_Engine!$G$108),Matching_Engine!$G$108&lt;&gt;"N/A"),"Tagged category "&amp;Matching_Engine!$G$108&amp;" scores "&amp;IF(ISNUMBER(Matching_Engine!$J$108),Matching_Engine!$J$108,0)&amp;" against the brand category "&amp;Matching_Engine!$B$108&amp;" targets. ","Creator carries no category on record, so the category-driven parts fall back to neutral rather than penalising the creator. ")&amp;IF(ISNUMBER(Matching_Engine!$R$108),"Audience-interest overlap "&amp;Matching_Engine!$R$108&amp;". ","Audience interests unmeasured. ")&amp;IF(Matching_Engine!$AX$108&lt;100,"Scored on "&amp;Matching_Engine!$AX$108&amp;" of the 100 nominal weight points; the rest had no data.",""))</f>
      </c>
      <c r="G108" s="32">
        <f>IF(NOT(ISNUMBER(Matching_Engine!$AY$108)),"N/A",$S$108&amp;" ("&amp;$R$108&amp;"/100)")</f>
      </c>
      <c r="H108" s="32">
        <f>IF(NOT(ISNUMBER(Matching_Engine!$AY$108)),"N/A",$AA$108&amp;" ("&amp;$Z$108&amp;"/100)")</f>
      </c>
      <c r="I108" s="32">
        <f>IF(NOT(ISNUMBER(Matching_Engine!$AY$108)),"No data to consider: this account has no measured signal.",IF($Z$108&lt;Lookup_Lists!$D$161,$AA$108&amp;" sits at "&amp;$Z$108&amp;", below the "&amp;Lookup_Lists!$D$161&amp;"-point consideration threshold"&amp;IF(Matching_Engine!$AF$108=0," · Brand Personality Fit could not be scored at all: no creator personality, tone, values or content-style column exists","")&amp;IF(Matching_Engine!$AI$108="N/A"," · posting cadence unusable, so Consistency is excluded from Performance","")&amp;".","No component falls below the "&amp;Lookup_Lists!$D$161&amp;"-point consideration threshold."))</f>
      </c>
      <c r="J108" s="32">
        <f>Matching_Engine!$AV$108&amp;" — "&amp;Matching_Engine!$AW$108&amp;IF(Matching_Engine!$BB$108="Limited Data"," Confidence is Limited Data: "&amp;Matching_Engine!$BA$108&amp;"% of tracked fields carry a value.","")</f>
      </c>
      <c r="K108" s="32">
        <f>IF(NOT(ISNUMBER(Matching_Engine!$AY$108)),"Do not shortlist on this data — re-scrape the account first.",IF(Matching_Engine!$AY$108&gt;=Lookup_Lists!$D$156,"Highly Recommended",IF(Matching_Engine!$AY$108&gt;=Lookup_Lists!$D$157,"Recommended",IF(Matching_Engine!$AY$108&gt;=Lookup_Lists!$D$158,"Consider","Low Priority")))&amp;IF(Matching_Engine!$AX$108&lt;100," (on partial data)",""))</f>
      </c>
      <c r="L108" s="34">
        <f>IF(ISNUMBER(Matching_Engine!$M$108),Matching_Engine!$M$108,-1)</f>
      </c>
      <c r="M108" s="34">
        <f>IF(ISNUMBER(Matching_Engine!$S$108),Matching_Engine!$S$108,-1)</f>
      </c>
      <c r="N108" s="34">
        <f>IF(ISNUMBER(Matching_Engine!$Y$108),Matching_Engine!$Y$108,-1)</f>
      </c>
      <c r="O108" s="34">
        <f>IF(ISNUMBER(Matching_Engine!$AE$108),Matching_Engine!$AE$108,-1)</f>
      </c>
      <c r="P108" s="34">
        <f>IF(ISNUMBER(Matching_Engine!$AM$108),Matching_Engine!$AM$108,-1)</f>
      </c>
      <c r="Q108" s="34">
        <f>IF(ISNUMBER(Matching_Engine!$AT$108),Matching_Engine!$AT$108,-1)</f>
      </c>
      <c r="R108" s="34">
        <f>MAX($L$108:$Q$108)</f>
      </c>
      <c r="S108" s="32">
        <f>INDEX({"Brand &amp; Business Relevance","Target Audience Relevance","Content &amp; Category Relevance","Brand Personality Fit","Performance Quality","Brand Safety"},MATCH($R$108,$L$108:$Q$108,0))</f>
      </c>
      <c r="T108" s="34">
        <f>IF(ISNUMBER(Matching_Engine!$M$108),Matching_Engine!$M$108,999)</f>
      </c>
      <c r="U108" s="34">
        <f>IF(ISNUMBER(Matching_Engine!$S$108),Matching_Engine!$S$108,999)</f>
      </c>
      <c r="V108" s="34">
        <f>IF(ISNUMBER(Matching_Engine!$Y$108),Matching_Engine!$Y$108,999)</f>
      </c>
      <c r="W108" s="34">
        <f>IF(ISNUMBER(Matching_Engine!$AE$108),Matching_Engine!$AE$108,999)</f>
      </c>
      <c r="X108" s="34">
        <f>IF(ISNUMBER(Matching_Engine!$AM$108),Matching_Engine!$AM$108,999)</f>
      </c>
      <c r="Y108" s="34">
        <f>IF(ISNUMBER(Matching_Engine!$AT$108),Matching_Engine!$AT$108,999)</f>
      </c>
      <c r="Z108" s="34">
        <f>MIN($T$108:$Y$108)</f>
      </c>
      <c r="AA108" s="32">
        <f>INDEX({"Brand &amp; Business Relevance","Target Audience Relevance","Content &amp; Category Relevance","Brand Personality Fit","Performance Quality","Brand Safety"},MATCH($Z$108,$T$108:$Y$108,0))</f>
      </c>
    </row>
    <row r="109" spans="1:27" x14ac:dyDescent="0.25">
      <c r="A109" s="32">
        <f>Matching_Engine!$B$109</f>
      </c>
      <c r="B109" s="32">
        <f>Matching_Engine!$D$109</f>
      </c>
      <c r="C109" s="32">
        <f>Matching_Engine!$E$109</f>
      </c>
      <c r="D109" s="33">
        <f>Matching_Engine!$AY$109</f>
      </c>
      <c r="E109" s="32">
        <f>Matching_Engine!$AZ$109</f>
      </c>
      <c r="F109" s="32">
        <f>IF(NOT(ISNUMBER(Matching_Engine!$AY$109)),"Not scored: no component of the model had data for this account, so no match can be claimed either way.",Matching_Engine!$AZ$109&amp;" — "&amp;Matching_Engine!$AY$109&amp;"/100 against "&amp;Matching_Engine!$B$109&amp;". "&amp;"Strongest factor "&amp;$S$109&amp;" at "&amp;$R$109&amp;"; weakest "&amp;$AA$109&amp;" at "&amp;$Z$109&amp;". "&amp;IF(AND(ISTEXT(Matching_Engine!$G$109),Matching_Engine!$G$109&lt;&gt;"N/A"),"Tagged category "&amp;Matching_Engine!$G$109&amp;" scores "&amp;IF(ISNUMBER(Matching_Engine!$J$109),Matching_Engine!$J$109,0)&amp;" against the brand category "&amp;Matching_Engine!$B$109&amp;" targets. ","Creator carries no category on record, so the category-driven parts fall back to neutral rather than penalising the creator. ")&amp;IF(ISNUMBER(Matching_Engine!$R$109),"Audience-interest overlap "&amp;Matching_Engine!$R$109&amp;". ","Audience interests unmeasured. ")&amp;IF(Matching_Engine!$AX$109&lt;100,"Scored on "&amp;Matching_Engine!$AX$109&amp;" of the 100 nominal weight points; the rest had no data.",""))</f>
      </c>
      <c r="G109" s="32">
        <f>IF(NOT(ISNUMBER(Matching_Engine!$AY$109)),"N/A",$S$109&amp;" ("&amp;$R$109&amp;"/100)")</f>
      </c>
      <c r="H109" s="32">
        <f>IF(NOT(ISNUMBER(Matching_Engine!$AY$109)),"N/A",$AA$109&amp;" ("&amp;$Z$109&amp;"/100)")</f>
      </c>
      <c r="I109" s="32">
        <f>IF(NOT(ISNUMBER(Matching_Engine!$AY$109)),"No data to consider: this account has no measured signal.",IF($Z$109&lt;Lookup_Lists!$D$161,$AA$109&amp;" sits at "&amp;$Z$109&amp;", below the "&amp;Lookup_Lists!$D$161&amp;"-point consideration threshold"&amp;IF(Matching_Engine!$AF$109=0," · Brand Personality Fit could not be scored at all: no creator personality, tone, values or content-style column exists","")&amp;IF(Matching_Engine!$AI$109="N/A"," · posting cadence unusable, so Consistency is excluded from Performance","")&amp;".","No component falls below the "&amp;Lookup_Lists!$D$161&amp;"-point consideration threshold."))</f>
      </c>
      <c r="J109" s="32">
        <f>Matching_Engine!$AV$109&amp;" — "&amp;Matching_Engine!$AW$109&amp;IF(Matching_Engine!$BB$109="Limited Data"," Confidence is Limited Data: "&amp;Matching_Engine!$BA$109&amp;"% of tracked fields carry a value.","")</f>
      </c>
      <c r="K109" s="32">
        <f>IF(NOT(ISNUMBER(Matching_Engine!$AY$109)),"Do not shortlist on this data — re-scrape the account first.",IF(Matching_Engine!$AY$109&gt;=Lookup_Lists!$D$156,"Highly Recommended",IF(Matching_Engine!$AY$109&gt;=Lookup_Lists!$D$157,"Recommended",IF(Matching_Engine!$AY$109&gt;=Lookup_Lists!$D$158,"Consider","Low Priority")))&amp;IF(Matching_Engine!$AX$109&lt;100," (on partial data)",""))</f>
      </c>
      <c r="L109" s="34">
        <f>IF(ISNUMBER(Matching_Engine!$M$109),Matching_Engine!$M$109,-1)</f>
      </c>
      <c r="M109" s="34">
        <f>IF(ISNUMBER(Matching_Engine!$S$109),Matching_Engine!$S$109,-1)</f>
      </c>
      <c r="N109" s="34">
        <f>IF(ISNUMBER(Matching_Engine!$Y$109),Matching_Engine!$Y$109,-1)</f>
      </c>
      <c r="O109" s="34">
        <f>IF(ISNUMBER(Matching_Engine!$AE$109),Matching_Engine!$AE$109,-1)</f>
      </c>
      <c r="P109" s="34">
        <f>IF(ISNUMBER(Matching_Engine!$AM$109),Matching_Engine!$AM$109,-1)</f>
      </c>
      <c r="Q109" s="34">
        <f>IF(ISNUMBER(Matching_Engine!$AT$109),Matching_Engine!$AT$109,-1)</f>
      </c>
      <c r="R109" s="34">
        <f>MAX($L$109:$Q$109)</f>
      </c>
      <c r="S109" s="32">
        <f>INDEX({"Brand &amp; Business Relevance","Target Audience Relevance","Content &amp; Category Relevance","Brand Personality Fit","Performance Quality","Brand Safety"},MATCH($R$109,$L$109:$Q$109,0))</f>
      </c>
      <c r="T109" s="34">
        <f>IF(ISNUMBER(Matching_Engine!$M$109),Matching_Engine!$M$109,999)</f>
      </c>
      <c r="U109" s="34">
        <f>IF(ISNUMBER(Matching_Engine!$S$109),Matching_Engine!$S$109,999)</f>
      </c>
      <c r="V109" s="34">
        <f>IF(ISNUMBER(Matching_Engine!$Y$109),Matching_Engine!$Y$109,999)</f>
      </c>
      <c r="W109" s="34">
        <f>IF(ISNUMBER(Matching_Engine!$AE$109),Matching_Engine!$AE$109,999)</f>
      </c>
      <c r="X109" s="34">
        <f>IF(ISNUMBER(Matching_Engine!$AM$109),Matching_Engine!$AM$109,999)</f>
      </c>
      <c r="Y109" s="34">
        <f>IF(ISNUMBER(Matching_Engine!$AT$109),Matching_Engine!$AT$109,999)</f>
      </c>
      <c r="Z109" s="34">
        <f>MIN($T$109:$Y$109)</f>
      </c>
      <c r="AA109" s="32">
        <f>INDEX({"Brand &amp; Business Relevance","Target Audience Relevance","Content &amp; Category Relevance","Brand Personality Fit","Performance Quality","Brand Safety"},MATCH($Z$109,$T$109:$Y$109,0))</f>
      </c>
    </row>
    <row r="110" spans="1:27" x14ac:dyDescent="0.25">
      <c r="A110" s="32">
        <f>Matching_Engine!$B$110</f>
      </c>
      <c r="B110" s="32">
        <f>Matching_Engine!$D$110</f>
      </c>
      <c r="C110" s="32">
        <f>Matching_Engine!$E$110</f>
      </c>
      <c r="D110" s="33">
        <f>Matching_Engine!$AY$110</f>
      </c>
      <c r="E110" s="32">
        <f>Matching_Engine!$AZ$110</f>
      </c>
      <c r="F110" s="32">
        <f>IF(NOT(ISNUMBER(Matching_Engine!$AY$110)),"Not scored: no component of the model had data for this account, so no match can be claimed either way.",Matching_Engine!$AZ$110&amp;" — "&amp;Matching_Engine!$AY$110&amp;"/100 against "&amp;Matching_Engine!$B$110&amp;". "&amp;"Strongest factor "&amp;$S$110&amp;" at "&amp;$R$110&amp;"; weakest "&amp;$AA$110&amp;" at "&amp;$Z$110&amp;". "&amp;IF(AND(ISTEXT(Matching_Engine!$G$110),Matching_Engine!$G$110&lt;&gt;"N/A"),"Tagged category "&amp;Matching_Engine!$G$110&amp;" scores "&amp;IF(ISNUMBER(Matching_Engine!$J$110),Matching_Engine!$J$110,0)&amp;" against the brand category "&amp;Matching_Engine!$B$110&amp;" targets. ","Creator carries no category on record, so the category-driven parts fall back to neutral rather than penalising the creator. ")&amp;IF(ISNUMBER(Matching_Engine!$R$110),"Audience-interest overlap "&amp;Matching_Engine!$R$110&amp;". ","Audience interests unmeasured. ")&amp;IF(Matching_Engine!$AX$110&lt;100,"Scored on "&amp;Matching_Engine!$AX$110&amp;" of the 100 nominal weight points; the rest had no data.",""))</f>
      </c>
      <c r="G110" s="32">
        <f>IF(NOT(ISNUMBER(Matching_Engine!$AY$110)),"N/A",$S$110&amp;" ("&amp;$R$110&amp;"/100)")</f>
      </c>
      <c r="H110" s="32">
        <f>IF(NOT(ISNUMBER(Matching_Engine!$AY$110)),"N/A",$AA$110&amp;" ("&amp;$Z$110&amp;"/100)")</f>
      </c>
      <c r="I110" s="32">
        <f>IF(NOT(ISNUMBER(Matching_Engine!$AY$110)),"No data to consider: this account has no measured signal.",IF($Z$110&lt;Lookup_Lists!$D$161,$AA$110&amp;" sits at "&amp;$Z$110&amp;", below the "&amp;Lookup_Lists!$D$161&amp;"-point consideration threshold"&amp;IF(Matching_Engine!$AF$110=0," · Brand Personality Fit could not be scored at all: no creator personality, tone, values or content-style column exists","")&amp;IF(Matching_Engine!$AI$110="N/A"," · posting cadence unusable, so Consistency is excluded from Performance","")&amp;".","No component falls below the "&amp;Lookup_Lists!$D$161&amp;"-point consideration threshold."))</f>
      </c>
      <c r="J110" s="32">
        <f>Matching_Engine!$AV$110&amp;" — "&amp;Matching_Engine!$AW$110&amp;IF(Matching_Engine!$BB$110="Limited Data"," Confidence is Limited Data: "&amp;Matching_Engine!$BA$110&amp;"% of tracked fields carry a value.","")</f>
      </c>
      <c r="K110" s="32">
        <f>IF(NOT(ISNUMBER(Matching_Engine!$AY$110)),"Do not shortlist on this data — re-scrape the account first.",IF(Matching_Engine!$AY$110&gt;=Lookup_Lists!$D$156,"Highly Recommended",IF(Matching_Engine!$AY$110&gt;=Lookup_Lists!$D$157,"Recommended",IF(Matching_Engine!$AY$110&gt;=Lookup_Lists!$D$158,"Consider","Low Priority")))&amp;IF(Matching_Engine!$AX$110&lt;100," (on partial data)",""))</f>
      </c>
      <c r="L110" s="34">
        <f>IF(ISNUMBER(Matching_Engine!$M$110),Matching_Engine!$M$110,-1)</f>
      </c>
      <c r="M110" s="34">
        <f>IF(ISNUMBER(Matching_Engine!$S$110),Matching_Engine!$S$110,-1)</f>
      </c>
      <c r="N110" s="34">
        <f>IF(ISNUMBER(Matching_Engine!$Y$110),Matching_Engine!$Y$110,-1)</f>
      </c>
      <c r="O110" s="34">
        <f>IF(ISNUMBER(Matching_Engine!$AE$110),Matching_Engine!$AE$110,-1)</f>
      </c>
      <c r="P110" s="34">
        <f>IF(ISNUMBER(Matching_Engine!$AM$110),Matching_Engine!$AM$110,-1)</f>
      </c>
      <c r="Q110" s="34">
        <f>IF(ISNUMBER(Matching_Engine!$AT$110),Matching_Engine!$AT$110,-1)</f>
      </c>
      <c r="R110" s="34">
        <f>MAX($L$110:$Q$110)</f>
      </c>
      <c r="S110" s="32">
        <f>INDEX({"Brand &amp; Business Relevance","Target Audience Relevance","Content &amp; Category Relevance","Brand Personality Fit","Performance Quality","Brand Safety"},MATCH($R$110,$L$110:$Q$110,0))</f>
      </c>
      <c r="T110" s="34">
        <f>IF(ISNUMBER(Matching_Engine!$M$110),Matching_Engine!$M$110,999)</f>
      </c>
      <c r="U110" s="34">
        <f>IF(ISNUMBER(Matching_Engine!$S$110),Matching_Engine!$S$110,999)</f>
      </c>
      <c r="V110" s="34">
        <f>IF(ISNUMBER(Matching_Engine!$Y$110),Matching_Engine!$Y$110,999)</f>
      </c>
      <c r="W110" s="34">
        <f>IF(ISNUMBER(Matching_Engine!$AE$110),Matching_Engine!$AE$110,999)</f>
      </c>
      <c r="X110" s="34">
        <f>IF(ISNUMBER(Matching_Engine!$AM$110),Matching_Engine!$AM$110,999)</f>
      </c>
      <c r="Y110" s="34">
        <f>IF(ISNUMBER(Matching_Engine!$AT$110),Matching_Engine!$AT$110,999)</f>
      </c>
      <c r="Z110" s="34">
        <f>MIN($T$110:$Y$110)</f>
      </c>
      <c r="AA110" s="32">
        <f>INDEX({"Brand &amp; Business Relevance","Target Audience Relevance","Content &amp; Category Relevance","Brand Personality Fit","Performance Quality","Brand Safety"},MATCH($Z$110,$T$110:$Y$110,0))</f>
      </c>
    </row>
    <row r="111" spans="1:27" x14ac:dyDescent="0.25">
      <c r="A111" s="32">
        <f>Matching_Engine!$B$111</f>
      </c>
      <c r="B111" s="32">
        <f>Matching_Engine!$D$111</f>
      </c>
      <c r="C111" s="32">
        <f>Matching_Engine!$E$111</f>
      </c>
      <c r="D111" s="33">
        <f>Matching_Engine!$AY$111</f>
      </c>
      <c r="E111" s="32">
        <f>Matching_Engine!$AZ$111</f>
      </c>
      <c r="F111" s="32">
        <f>IF(NOT(ISNUMBER(Matching_Engine!$AY$111)),"Not scored: no component of the model had data for this account, so no match can be claimed either way.",Matching_Engine!$AZ$111&amp;" — "&amp;Matching_Engine!$AY$111&amp;"/100 against "&amp;Matching_Engine!$B$111&amp;". "&amp;"Strongest factor "&amp;$S$111&amp;" at "&amp;$R$111&amp;"; weakest "&amp;$AA$111&amp;" at "&amp;$Z$111&amp;". "&amp;IF(AND(ISTEXT(Matching_Engine!$G$111),Matching_Engine!$G$111&lt;&gt;"N/A"),"Tagged category "&amp;Matching_Engine!$G$111&amp;" scores "&amp;IF(ISNUMBER(Matching_Engine!$J$111),Matching_Engine!$J$111,0)&amp;" against the brand category "&amp;Matching_Engine!$B$111&amp;" targets. ","Creator carries no category on record, so the category-driven parts fall back to neutral rather than penalising the creator. ")&amp;IF(ISNUMBER(Matching_Engine!$R$111),"Audience-interest overlap "&amp;Matching_Engine!$R$111&amp;". ","Audience interests unmeasured. ")&amp;IF(Matching_Engine!$AX$111&lt;100,"Scored on "&amp;Matching_Engine!$AX$111&amp;" of the 100 nominal weight points; the rest had no data.",""))</f>
      </c>
      <c r="G111" s="32">
        <f>IF(NOT(ISNUMBER(Matching_Engine!$AY$111)),"N/A",$S$111&amp;" ("&amp;$R$111&amp;"/100)")</f>
      </c>
      <c r="H111" s="32">
        <f>IF(NOT(ISNUMBER(Matching_Engine!$AY$111)),"N/A",$AA$111&amp;" ("&amp;$Z$111&amp;"/100)")</f>
      </c>
      <c r="I111" s="32">
        <f>IF(NOT(ISNUMBER(Matching_Engine!$AY$111)),"No data to consider: this account has no measured signal.",IF($Z$111&lt;Lookup_Lists!$D$161,$AA$111&amp;" sits at "&amp;$Z$111&amp;", below the "&amp;Lookup_Lists!$D$161&amp;"-point consideration threshold"&amp;IF(Matching_Engine!$AF$111=0," · Brand Personality Fit could not be scored at all: no creator personality, tone, values or content-style column exists","")&amp;IF(Matching_Engine!$AI$111="N/A"," · posting cadence unusable, so Consistency is excluded from Performance","")&amp;".","No component falls below the "&amp;Lookup_Lists!$D$161&amp;"-point consideration threshold."))</f>
      </c>
      <c r="J111" s="32">
        <f>Matching_Engine!$AV$111&amp;" — "&amp;Matching_Engine!$AW$111&amp;IF(Matching_Engine!$BB$111="Limited Data"," Confidence is Limited Data: "&amp;Matching_Engine!$BA$111&amp;"% of tracked fields carry a value.","")</f>
      </c>
      <c r="K111" s="32">
        <f>IF(NOT(ISNUMBER(Matching_Engine!$AY$111)),"Do not shortlist on this data — re-scrape the account first.",IF(Matching_Engine!$AY$111&gt;=Lookup_Lists!$D$156,"Highly Recommended",IF(Matching_Engine!$AY$111&gt;=Lookup_Lists!$D$157,"Recommended",IF(Matching_Engine!$AY$111&gt;=Lookup_Lists!$D$158,"Consider","Low Priority")))&amp;IF(Matching_Engine!$AX$111&lt;100," (on partial data)",""))</f>
      </c>
      <c r="L111" s="34">
        <f>IF(ISNUMBER(Matching_Engine!$M$111),Matching_Engine!$M$111,-1)</f>
      </c>
      <c r="M111" s="34">
        <f>IF(ISNUMBER(Matching_Engine!$S$111),Matching_Engine!$S$111,-1)</f>
      </c>
      <c r="N111" s="34">
        <f>IF(ISNUMBER(Matching_Engine!$Y$111),Matching_Engine!$Y$111,-1)</f>
      </c>
      <c r="O111" s="34">
        <f>IF(ISNUMBER(Matching_Engine!$AE$111),Matching_Engine!$AE$111,-1)</f>
      </c>
      <c r="P111" s="34">
        <f>IF(ISNUMBER(Matching_Engine!$AM$111),Matching_Engine!$AM$111,-1)</f>
      </c>
      <c r="Q111" s="34">
        <f>IF(ISNUMBER(Matching_Engine!$AT$111),Matching_Engine!$AT$111,-1)</f>
      </c>
      <c r="R111" s="34">
        <f>MAX($L$111:$Q$111)</f>
      </c>
      <c r="S111" s="32">
        <f>INDEX({"Brand &amp; Business Relevance","Target Audience Relevance","Content &amp; Category Relevance","Brand Personality Fit","Performance Quality","Brand Safety"},MATCH($R$111,$L$111:$Q$111,0))</f>
      </c>
      <c r="T111" s="34">
        <f>IF(ISNUMBER(Matching_Engine!$M$111),Matching_Engine!$M$111,999)</f>
      </c>
      <c r="U111" s="34">
        <f>IF(ISNUMBER(Matching_Engine!$S$111),Matching_Engine!$S$111,999)</f>
      </c>
      <c r="V111" s="34">
        <f>IF(ISNUMBER(Matching_Engine!$Y$111),Matching_Engine!$Y$111,999)</f>
      </c>
      <c r="W111" s="34">
        <f>IF(ISNUMBER(Matching_Engine!$AE$111),Matching_Engine!$AE$111,999)</f>
      </c>
      <c r="X111" s="34">
        <f>IF(ISNUMBER(Matching_Engine!$AM$111),Matching_Engine!$AM$111,999)</f>
      </c>
      <c r="Y111" s="34">
        <f>IF(ISNUMBER(Matching_Engine!$AT$111),Matching_Engine!$AT$111,999)</f>
      </c>
      <c r="Z111" s="34">
        <f>MIN($T$111:$Y$111)</f>
      </c>
      <c r="AA111" s="32">
        <f>INDEX({"Brand &amp; Business Relevance","Target Audience Relevance","Content &amp; Category Relevance","Brand Personality Fit","Performance Quality","Brand Safety"},MATCH($Z$111,$T$111:$Y$111,0))</f>
      </c>
    </row>
    <row r="112" spans="1:27" x14ac:dyDescent="0.25">
      <c r="A112" s="32">
        <f>Matching_Engine!$B$112</f>
      </c>
      <c r="B112" s="32">
        <f>Matching_Engine!$D$112</f>
      </c>
      <c r="C112" s="32">
        <f>Matching_Engine!$E$112</f>
      </c>
      <c r="D112" s="33">
        <f>Matching_Engine!$AY$112</f>
      </c>
      <c r="E112" s="32">
        <f>Matching_Engine!$AZ$112</f>
      </c>
      <c r="F112" s="32">
        <f>IF(NOT(ISNUMBER(Matching_Engine!$AY$112)),"Not scored: no component of the model had data for this account, so no match can be claimed either way.",Matching_Engine!$AZ$112&amp;" — "&amp;Matching_Engine!$AY$112&amp;"/100 against "&amp;Matching_Engine!$B$112&amp;". "&amp;"Strongest factor "&amp;$S$112&amp;" at "&amp;$R$112&amp;"; weakest "&amp;$AA$112&amp;" at "&amp;$Z$112&amp;". "&amp;IF(AND(ISTEXT(Matching_Engine!$G$112),Matching_Engine!$G$112&lt;&gt;"N/A"),"Tagged category "&amp;Matching_Engine!$G$112&amp;" scores "&amp;IF(ISNUMBER(Matching_Engine!$J$112),Matching_Engine!$J$112,0)&amp;" against the brand category "&amp;Matching_Engine!$B$112&amp;" targets. ","Creator carries no category on record, so the category-driven parts fall back to neutral rather than penalising the creator. ")&amp;IF(ISNUMBER(Matching_Engine!$R$112),"Audience-interest overlap "&amp;Matching_Engine!$R$112&amp;". ","Audience interests unmeasured. ")&amp;IF(Matching_Engine!$AX$112&lt;100,"Scored on "&amp;Matching_Engine!$AX$112&amp;" of the 100 nominal weight points; the rest had no data.",""))</f>
      </c>
      <c r="G112" s="32">
        <f>IF(NOT(ISNUMBER(Matching_Engine!$AY$112)),"N/A",$S$112&amp;" ("&amp;$R$112&amp;"/100)")</f>
      </c>
      <c r="H112" s="32">
        <f>IF(NOT(ISNUMBER(Matching_Engine!$AY$112)),"N/A",$AA$112&amp;" ("&amp;$Z$112&amp;"/100)")</f>
      </c>
      <c r="I112" s="32">
        <f>IF(NOT(ISNUMBER(Matching_Engine!$AY$112)),"No data to consider: this account has no measured signal.",IF($Z$112&lt;Lookup_Lists!$D$161,$AA$112&amp;" sits at "&amp;$Z$112&amp;", below the "&amp;Lookup_Lists!$D$161&amp;"-point consideration threshold"&amp;IF(Matching_Engine!$AF$112=0," · Brand Personality Fit could not be scored at all: no creator personality, tone, values or content-style column exists","")&amp;IF(Matching_Engine!$AI$112="N/A"," · posting cadence unusable, so Consistency is excluded from Performance","")&amp;".","No component falls below the "&amp;Lookup_Lists!$D$161&amp;"-point consideration threshold."))</f>
      </c>
      <c r="J112" s="32">
        <f>Matching_Engine!$AV$112&amp;" — "&amp;Matching_Engine!$AW$112&amp;IF(Matching_Engine!$BB$112="Limited Data"," Confidence is Limited Data: "&amp;Matching_Engine!$BA$112&amp;"% of tracked fields carry a value.","")</f>
      </c>
      <c r="K112" s="32">
        <f>IF(NOT(ISNUMBER(Matching_Engine!$AY$112)),"Do not shortlist on this data — re-scrape the account first.",IF(Matching_Engine!$AY$112&gt;=Lookup_Lists!$D$156,"Highly Recommended",IF(Matching_Engine!$AY$112&gt;=Lookup_Lists!$D$157,"Recommended",IF(Matching_Engine!$AY$112&gt;=Lookup_Lists!$D$158,"Consider","Low Priority")))&amp;IF(Matching_Engine!$AX$112&lt;100," (on partial data)",""))</f>
      </c>
      <c r="L112" s="34">
        <f>IF(ISNUMBER(Matching_Engine!$M$112),Matching_Engine!$M$112,-1)</f>
      </c>
      <c r="M112" s="34">
        <f>IF(ISNUMBER(Matching_Engine!$S$112),Matching_Engine!$S$112,-1)</f>
      </c>
      <c r="N112" s="34">
        <f>IF(ISNUMBER(Matching_Engine!$Y$112),Matching_Engine!$Y$112,-1)</f>
      </c>
      <c r="O112" s="34">
        <f>IF(ISNUMBER(Matching_Engine!$AE$112),Matching_Engine!$AE$112,-1)</f>
      </c>
      <c r="P112" s="34">
        <f>IF(ISNUMBER(Matching_Engine!$AM$112),Matching_Engine!$AM$112,-1)</f>
      </c>
      <c r="Q112" s="34">
        <f>IF(ISNUMBER(Matching_Engine!$AT$112),Matching_Engine!$AT$112,-1)</f>
      </c>
      <c r="R112" s="34">
        <f>MAX($L$112:$Q$112)</f>
      </c>
      <c r="S112" s="32">
        <f>INDEX({"Brand &amp; Business Relevance","Target Audience Relevance","Content &amp; Category Relevance","Brand Personality Fit","Performance Quality","Brand Safety"},MATCH($R$112,$L$112:$Q$112,0))</f>
      </c>
      <c r="T112" s="34">
        <f>IF(ISNUMBER(Matching_Engine!$M$112),Matching_Engine!$M$112,999)</f>
      </c>
      <c r="U112" s="34">
        <f>IF(ISNUMBER(Matching_Engine!$S$112),Matching_Engine!$S$112,999)</f>
      </c>
      <c r="V112" s="34">
        <f>IF(ISNUMBER(Matching_Engine!$Y$112),Matching_Engine!$Y$112,999)</f>
      </c>
      <c r="W112" s="34">
        <f>IF(ISNUMBER(Matching_Engine!$AE$112),Matching_Engine!$AE$112,999)</f>
      </c>
      <c r="X112" s="34">
        <f>IF(ISNUMBER(Matching_Engine!$AM$112),Matching_Engine!$AM$112,999)</f>
      </c>
      <c r="Y112" s="34">
        <f>IF(ISNUMBER(Matching_Engine!$AT$112),Matching_Engine!$AT$112,999)</f>
      </c>
      <c r="Z112" s="34">
        <f>MIN($T$112:$Y$112)</f>
      </c>
      <c r="AA112" s="32">
        <f>INDEX({"Brand &amp; Business Relevance","Target Audience Relevance","Content &amp; Category Relevance","Brand Personality Fit","Performance Quality","Brand Safety"},MATCH($Z$112,$T$112:$Y$112,0))</f>
      </c>
    </row>
    <row r="113" spans="1:27" x14ac:dyDescent="0.25">
      <c r="A113" s="32">
        <f>Matching_Engine!$B$113</f>
      </c>
      <c r="B113" s="32">
        <f>Matching_Engine!$D$113</f>
      </c>
      <c r="C113" s="32">
        <f>Matching_Engine!$E$113</f>
      </c>
      <c r="D113" s="33">
        <f>Matching_Engine!$AY$113</f>
      </c>
      <c r="E113" s="32">
        <f>Matching_Engine!$AZ$113</f>
      </c>
      <c r="F113" s="32">
        <f>IF(NOT(ISNUMBER(Matching_Engine!$AY$113)),"Not scored: no component of the model had data for this account, so no match can be claimed either way.",Matching_Engine!$AZ$113&amp;" — "&amp;Matching_Engine!$AY$113&amp;"/100 against "&amp;Matching_Engine!$B$113&amp;". "&amp;"Strongest factor "&amp;$S$113&amp;" at "&amp;$R$113&amp;"; weakest "&amp;$AA$113&amp;" at "&amp;$Z$113&amp;". "&amp;IF(AND(ISTEXT(Matching_Engine!$G$113),Matching_Engine!$G$113&lt;&gt;"N/A"),"Tagged category "&amp;Matching_Engine!$G$113&amp;" scores "&amp;IF(ISNUMBER(Matching_Engine!$J$113),Matching_Engine!$J$113,0)&amp;" against the brand category "&amp;Matching_Engine!$B$113&amp;" targets. ","Creator carries no category on record, so the category-driven parts fall back to neutral rather than penalising the creator. ")&amp;IF(ISNUMBER(Matching_Engine!$R$113),"Audience-interest overlap "&amp;Matching_Engine!$R$113&amp;". ","Audience interests unmeasured. ")&amp;IF(Matching_Engine!$AX$113&lt;100,"Scored on "&amp;Matching_Engine!$AX$113&amp;" of the 100 nominal weight points; the rest had no data.",""))</f>
      </c>
      <c r="G113" s="32">
        <f>IF(NOT(ISNUMBER(Matching_Engine!$AY$113)),"N/A",$S$113&amp;" ("&amp;$R$113&amp;"/100)")</f>
      </c>
      <c r="H113" s="32">
        <f>IF(NOT(ISNUMBER(Matching_Engine!$AY$113)),"N/A",$AA$113&amp;" ("&amp;$Z$113&amp;"/100)")</f>
      </c>
      <c r="I113" s="32">
        <f>IF(NOT(ISNUMBER(Matching_Engine!$AY$113)),"No data to consider: this account has no measured signal.",IF($Z$113&lt;Lookup_Lists!$D$161,$AA$113&amp;" sits at "&amp;$Z$113&amp;", below the "&amp;Lookup_Lists!$D$161&amp;"-point consideration threshold"&amp;IF(Matching_Engine!$AF$113=0," · Brand Personality Fit could not be scored at all: no creator personality, tone, values or content-style column exists","")&amp;IF(Matching_Engine!$AI$113="N/A"," · posting cadence unusable, so Consistency is excluded from Performance","")&amp;".","No component falls below the "&amp;Lookup_Lists!$D$161&amp;"-point consideration threshold."))</f>
      </c>
      <c r="J113" s="32">
        <f>Matching_Engine!$AV$113&amp;" — "&amp;Matching_Engine!$AW$113&amp;IF(Matching_Engine!$BB$113="Limited Data"," Confidence is Limited Data: "&amp;Matching_Engine!$BA$113&amp;"% of tracked fields carry a value.","")</f>
      </c>
      <c r="K113" s="32">
        <f>IF(NOT(ISNUMBER(Matching_Engine!$AY$113)),"Do not shortlist on this data — re-scrape the account first.",IF(Matching_Engine!$AY$113&gt;=Lookup_Lists!$D$156,"Highly Recommended",IF(Matching_Engine!$AY$113&gt;=Lookup_Lists!$D$157,"Recommended",IF(Matching_Engine!$AY$113&gt;=Lookup_Lists!$D$158,"Consider","Low Priority")))&amp;IF(Matching_Engine!$AX$113&lt;100," (on partial data)",""))</f>
      </c>
      <c r="L113" s="34">
        <f>IF(ISNUMBER(Matching_Engine!$M$113),Matching_Engine!$M$113,-1)</f>
      </c>
      <c r="M113" s="34">
        <f>IF(ISNUMBER(Matching_Engine!$S$113),Matching_Engine!$S$113,-1)</f>
      </c>
      <c r="N113" s="34">
        <f>IF(ISNUMBER(Matching_Engine!$Y$113),Matching_Engine!$Y$113,-1)</f>
      </c>
      <c r="O113" s="34">
        <f>IF(ISNUMBER(Matching_Engine!$AE$113),Matching_Engine!$AE$113,-1)</f>
      </c>
      <c r="P113" s="34">
        <f>IF(ISNUMBER(Matching_Engine!$AM$113),Matching_Engine!$AM$113,-1)</f>
      </c>
      <c r="Q113" s="34">
        <f>IF(ISNUMBER(Matching_Engine!$AT$113),Matching_Engine!$AT$113,-1)</f>
      </c>
      <c r="R113" s="34">
        <f>MAX($L$113:$Q$113)</f>
      </c>
      <c r="S113" s="32">
        <f>INDEX({"Brand &amp; Business Relevance","Target Audience Relevance","Content &amp; Category Relevance","Brand Personality Fit","Performance Quality","Brand Safety"},MATCH($R$113,$L$113:$Q$113,0))</f>
      </c>
      <c r="T113" s="34">
        <f>IF(ISNUMBER(Matching_Engine!$M$113),Matching_Engine!$M$113,999)</f>
      </c>
      <c r="U113" s="34">
        <f>IF(ISNUMBER(Matching_Engine!$S$113),Matching_Engine!$S$113,999)</f>
      </c>
      <c r="V113" s="34">
        <f>IF(ISNUMBER(Matching_Engine!$Y$113),Matching_Engine!$Y$113,999)</f>
      </c>
      <c r="W113" s="34">
        <f>IF(ISNUMBER(Matching_Engine!$AE$113),Matching_Engine!$AE$113,999)</f>
      </c>
      <c r="X113" s="34">
        <f>IF(ISNUMBER(Matching_Engine!$AM$113),Matching_Engine!$AM$113,999)</f>
      </c>
      <c r="Y113" s="34">
        <f>IF(ISNUMBER(Matching_Engine!$AT$113),Matching_Engine!$AT$113,999)</f>
      </c>
      <c r="Z113" s="34">
        <f>MIN($T$113:$Y$113)</f>
      </c>
      <c r="AA113" s="32">
        <f>INDEX({"Brand &amp; Business Relevance","Target Audience Relevance","Content &amp; Category Relevance","Brand Personality Fit","Performance Quality","Brand Safety"},MATCH($Z$113,$T$113:$Y$113,0))</f>
      </c>
    </row>
    <row r="114" spans="1:27" x14ac:dyDescent="0.25">
      <c r="A114" s="32">
        <f>Matching_Engine!$B$114</f>
      </c>
      <c r="B114" s="32">
        <f>Matching_Engine!$D$114</f>
      </c>
      <c r="C114" s="32">
        <f>Matching_Engine!$E$114</f>
      </c>
      <c r="D114" s="33">
        <f>Matching_Engine!$AY$114</f>
      </c>
      <c r="E114" s="32">
        <f>Matching_Engine!$AZ$114</f>
      </c>
      <c r="F114" s="32">
        <f>IF(NOT(ISNUMBER(Matching_Engine!$AY$114)),"Not scored: no component of the model had data for this account, so no match can be claimed either way.",Matching_Engine!$AZ$114&amp;" — "&amp;Matching_Engine!$AY$114&amp;"/100 against "&amp;Matching_Engine!$B$114&amp;". "&amp;"Strongest factor "&amp;$S$114&amp;" at "&amp;$R$114&amp;"; weakest "&amp;$AA$114&amp;" at "&amp;$Z$114&amp;". "&amp;IF(AND(ISTEXT(Matching_Engine!$G$114),Matching_Engine!$G$114&lt;&gt;"N/A"),"Tagged category "&amp;Matching_Engine!$G$114&amp;" scores "&amp;IF(ISNUMBER(Matching_Engine!$J$114),Matching_Engine!$J$114,0)&amp;" against the brand category "&amp;Matching_Engine!$B$114&amp;" targets. ","Creator carries no category on record, so the category-driven parts fall back to neutral rather than penalising the creator. ")&amp;IF(ISNUMBER(Matching_Engine!$R$114),"Audience-interest overlap "&amp;Matching_Engine!$R$114&amp;". ","Audience interests unmeasured. ")&amp;IF(Matching_Engine!$AX$114&lt;100,"Scored on "&amp;Matching_Engine!$AX$114&amp;" of the 100 nominal weight points; the rest had no data.",""))</f>
      </c>
      <c r="G114" s="32">
        <f>IF(NOT(ISNUMBER(Matching_Engine!$AY$114)),"N/A",$S$114&amp;" ("&amp;$R$114&amp;"/100)")</f>
      </c>
      <c r="H114" s="32">
        <f>IF(NOT(ISNUMBER(Matching_Engine!$AY$114)),"N/A",$AA$114&amp;" ("&amp;$Z$114&amp;"/100)")</f>
      </c>
      <c r="I114" s="32">
        <f>IF(NOT(ISNUMBER(Matching_Engine!$AY$114)),"No data to consider: this account has no measured signal.",IF($Z$114&lt;Lookup_Lists!$D$161,$AA$114&amp;" sits at "&amp;$Z$114&amp;", below the "&amp;Lookup_Lists!$D$161&amp;"-point consideration threshold"&amp;IF(Matching_Engine!$AF$114=0," · Brand Personality Fit could not be scored at all: no creator personality, tone, values or content-style column exists","")&amp;IF(Matching_Engine!$AI$114="N/A"," · posting cadence unusable, so Consistency is excluded from Performance","")&amp;".","No component falls below the "&amp;Lookup_Lists!$D$161&amp;"-point consideration threshold."))</f>
      </c>
      <c r="J114" s="32">
        <f>Matching_Engine!$AV$114&amp;" — "&amp;Matching_Engine!$AW$114&amp;IF(Matching_Engine!$BB$114="Limited Data"," Confidence is Limited Data: "&amp;Matching_Engine!$BA$114&amp;"% of tracked fields carry a value.","")</f>
      </c>
      <c r="K114" s="32">
        <f>IF(NOT(ISNUMBER(Matching_Engine!$AY$114)),"Do not shortlist on this data — re-scrape the account first.",IF(Matching_Engine!$AY$114&gt;=Lookup_Lists!$D$156,"Highly Recommended",IF(Matching_Engine!$AY$114&gt;=Lookup_Lists!$D$157,"Recommended",IF(Matching_Engine!$AY$114&gt;=Lookup_Lists!$D$158,"Consider","Low Priority")))&amp;IF(Matching_Engine!$AX$114&lt;100," (on partial data)",""))</f>
      </c>
      <c r="L114" s="34">
        <f>IF(ISNUMBER(Matching_Engine!$M$114),Matching_Engine!$M$114,-1)</f>
      </c>
      <c r="M114" s="34">
        <f>IF(ISNUMBER(Matching_Engine!$S$114),Matching_Engine!$S$114,-1)</f>
      </c>
      <c r="N114" s="34">
        <f>IF(ISNUMBER(Matching_Engine!$Y$114),Matching_Engine!$Y$114,-1)</f>
      </c>
      <c r="O114" s="34">
        <f>IF(ISNUMBER(Matching_Engine!$AE$114),Matching_Engine!$AE$114,-1)</f>
      </c>
      <c r="P114" s="34">
        <f>IF(ISNUMBER(Matching_Engine!$AM$114),Matching_Engine!$AM$114,-1)</f>
      </c>
      <c r="Q114" s="34">
        <f>IF(ISNUMBER(Matching_Engine!$AT$114),Matching_Engine!$AT$114,-1)</f>
      </c>
      <c r="R114" s="34">
        <f>MAX($L$114:$Q$114)</f>
      </c>
      <c r="S114" s="32">
        <f>INDEX({"Brand &amp; Business Relevance","Target Audience Relevance","Content &amp; Category Relevance","Brand Personality Fit","Performance Quality","Brand Safety"},MATCH($R$114,$L$114:$Q$114,0))</f>
      </c>
      <c r="T114" s="34">
        <f>IF(ISNUMBER(Matching_Engine!$M$114),Matching_Engine!$M$114,999)</f>
      </c>
      <c r="U114" s="34">
        <f>IF(ISNUMBER(Matching_Engine!$S$114),Matching_Engine!$S$114,999)</f>
      </c>
      <c r="V114" s="34">
        <f>IF(ISNUMBER(Matching_Engine!$Y$114),Matching_Engine!$Y$114,999)</f>
      </c>
      <c r="W114" s="34">
        <f>IF(ISNUMBER(Matching_Engine!$AE$114),Matching_Engine!$AE$114,999)</f>
      </c>
      <c r="X114" s="34">
        <f>IF(ISNUMBER(Matching_Engine!$AM$114),Matching_Engine!$AM$114,999)</f>
      </c>
      <c r="Y114" s="34">
        <f>IF(ISNUMBER(Matching_Engine!$AT$114),Matching_Engine!$AT$114,999)</f>
      </c>
      <c r="Z114" s="34">
        <f>MIN($T$114:$Y$114)</f>
      </c>
      <c r="AA114" s="32">
        <f>INDEX({"Brand &amp; Business Relevance","Target Audience Relevance","Content &amp; Category Relevance","Brand Personality Fit","Performance Quality","Brand Safety"},MATCH($Z$114,$T$114:$Y$114,0))</f>
      </c>
    </row>
    <row r="115" spans="1:27" x14ac:dyDescent="0.25">
      <c r="A115" s="32">
        <f>Matching_Engine!$B$115</f>
      </c>
      <c r="B115" s="32">
        <f>Matching_Engine!$D$115</f>
      </c>
      <c r="C115" s="32">
        <f>Matching_Engine!$E$115</f>
      </c>
      <c r="D115" s="33">
        <f>Matching_Engine!$AY$115</f>
      </c>
      <c r="E115" s="32">
        <f>Matching_Engine!$AZ$115</f>
      </c>
      <c r="F115" s="32">
        <f>IF(NOT(ISNUMBER(Matching_Engine!$AY$115)),"Not scored: no component of the model had data for this account, so no match can be claimed either way.",Matching_Engine!$AZ$115&amp;" — "&amp;Matching_Engine!$AY$115&amp;"/100 against "&amp;Matching_Engine!$B$115&amp;". "&amp;"Strongest factor "&amp;$S$115&amp;" at "&amp;$R$115&amp;"; weakest "&amp;$AA$115&amp;" at "&amp;$Z$115&amp;". "&amp;IF(AND(ISTEXT(Matching_Engine!$G$115),Matching_Engine!$G$115&lt;&gt;"N/A"),"Tagged category "&amp;Matching_Engine!$G$115&amp;" scores "&amp;IF(ISNUMBER(Matching_Engine!$J$115),Matching_Engine!$J$115,0)&amp;" against the brand category "&amp;Matching_Engine!$B$115&amp;" targets. ","Creator carries no category on record, so the category-driven parts fall back to neutral rather than penalising the creator. ")&amp;IF(ISNUMBER(Matching_Engine!$R$115),"Audience-interest overlap "&amp;Matching_Engine!$R$115&amp;". ","Audience interests unmeasured. ")&amp;IF(Matching_Engine!$AX$115&lt;100,"Scored on "&amp;Matching_Engine!$AX$115&amp;" of the 100 nominal weight points; the rest had no data.",""))</f>
      </c>
      <c r="G115" s="32">
        <f>IF(NOT(ISNUMBER(Matching_Engine!$AY$115)),"N/A",$S$115&amp;" ("&amp;$R$115&amp;"/100)")</f>
      </c>
      <c r="H115" s="32">
        <f>IF(NOT(ISNUMBER(Matching_Engine!$AY$115)),"N/A",$AA$115&amp;" ("&amp;$Z$115&amp;"/100)")</f>
      </c>
      <c r="I115" s="32">
        <f>IF(NOT(ISNUMBER(Matching_Engine!$AY$115)),"No data to consider: this account has no measured signal.",IF($Z$115&lt;Lookup_Lists!$D$161,$AA$115&amp;" sits at "&amp;$Z$115&amp;", below the "&amp;Lookup_Lists!$D$161&amp;"-point consideration threshold"&amp;IF(Matching_Engine!$AF$115=0," · Brand Personality Fit could not be scored at all: no creator personality, tone, values or content-style column exists","")&amp;IF(Matching_Engine!$AI$115="N/A"," · posting cadence unusable, so Consistency is excluded from Performance","")&amp;".","No component falls below the "&amp;Lookup_Lists!$D$161&amp;"-point consideration threshold."))</f>
      </c>
      <c r="J115" s="32">
        <f>Matching_Engine!$AV$115&amp;" — "&amp;Matching_Engine!$AW$115&amp;IF(Matching_Engine!$BB$115="Limited Data"," Confidence is Limited Data: "&amp;Matching_Engine!$BA$115&amp;"% of tracked fields carry a value.","")</f>
      </c>
      <c r="K115" s="32">
        <f>IF(NOT(ISNUMBER(Matching_Engine!$AY$115)),"Do not shortlist on this data — re-scrape the account first.",IF(Matching_Engine!$AY$115&gt;=Lookup_Lists!$D$156,"Highly Recommended",IF(Matching_Engine!$AY$115&gt;=Lookup_Lists!$D$157,"Recommended",IF(Matching_Engine!$AY$115&gt;=Lookup_Lists!$D$158,"Consider","Low Priority")))&amp;IF(Matching_Engine!$AX$115&lt;100," (on partial data)",""))</f>
      </c>
      <c r="L115" s="34">
        <f>IF(ISNUMBER(Matching_Engine!$M$115),Matching_Engine!$M$115,-1)</f>
      </c>
      <c r="M115" s="34">
        <f>IF(ISNUMBER(Matching_Engine!$S$115),Matching_Engine!$S$115,-1)</f>
      </c>
      <c r="N115" s="34">
        <f>IF(ISNUMBER(Matching_Engine!$Y$115),Matching_Engine!$Y$115,-1)</f>
      </c>
      <c r="O115" s="34">
        <f>IF(ISNUMBER(Matching_Engine!$AE$115),Matching_Engine!$AE$115,-1)</f>
      </c>
      <c r="P115" s="34">
        <f>IF(ISNUMBER(Matching_Engine!$AM$115),Matching_Engine!$AM$115,-1)</f>
      </c>
      <c r="Q115" s="34">
        <f>IF(ISNUMBER(Matching_Engine!$AT$115),Matching_Engine!$AT$115,-1)</f>
      </c>
      <c r="R115" s="34">
        <f>MAX($L$115:$Q$115)</f>
      </c>
      <c r="S115" s="32">
        <f>INDEX({"Brand &amp; Business Relevance","Target Audience Relevance","Content &amp; Category Relevance","Brand Personality Fit","Performance Quality","Brand Safety"},MATCH($R$115,$L$115:$Q$115,0))</f>
      </c>
      <c r="T115" s="34">
        <f>IF(ISNUMBER(Matching_Engine!$M$115),Matching_Engine!$M$115,999)</f>
      </c>
      <c r="U115" s="34">
        <f>IF(ISNUMBER(Matching_Engine!$S$115),Matching_Engine!$S$115,999)</f>
      </c>
      <c r="V115" s="34">
        <f>IF(ISNUMBER(Matching_Engine!$Y$115),Matching_Engine!$Y$115,999)</f>
      </c>
      <c r="W115" s="34">
        <f>IF(ISNUMBER(Matching_Engine!$AE$115),Matching_Engine!$AE$115,999)</f>
      </c>
      <c r="X115" s="34">
        <f>IF(ISNUMBER(Matching_Engine!$AM$115),Matching_Engine!$AM$115,999)</f>
      </c>
      <c r="Y115" s="34">
        <f>IF(ISNUMBER(Matching_Engine!$AT$115),Matching_Engine!$AT$115,999)</f>
      </c>
      <c r="Z115" s="34">
        <f>MIN($T$115:$Y$115)</f>
      </c>
      <c r="AA115" s="32">
        <f>INDEX({"Brand &amp; Business Relevance","Target Audience Relevance","Content &amp; Category Relevance","Brand Personality Fit","Performance Quality","Brand Safety"},MATCH($Z$115,$T$115:$Y$115,0))</f>
      </c>
    </row>
    <row r="116" spans="1:27" x14ac:dyDescent="0.25">
      <c r="A116" s="32">
        <f>Matching_Engine!$B$116</f>
      </c>
      <c r="B116" s="32">
        <f>Matching_Engine!$D$116</f>
      </c>
      <c r="C116" s="32">
        <f>Matching_Engine!$E$116</f>
      </c>
      <c r="D116" s="33">
        <f>Matching_Engine!$AY$116</f>
      </c>
      <c r="E116" s="32">
        <f>Matching_Engine!$AZ$116</f>
      </c>
      <c r="F116" s="32">
        <f>IF(NOT(ISNUMBER(Matching_Engine!$AY$116)),"Not scored: no component of the model had data for this account, so no match can be claimed either way.",Matching_Engine!$AZ$116&amp;" — "&amp;Matching_Engine!$AY$116&amp;"/100 against "&amp;Matching_Engine!$B$116&amp;". "&amp;"Strongest factor "&amp;$S$116&amp;" at "&amp;$R$116&amp;"; weakest "&amp;$AA$116&amp;" at "&amp;$Z$116&amp;". "&amp;IF(AND(ISTEXT(Matching_Engine!$G$116),Matching_Engine!$G$116&lt;&gt;"N/A"),"Tagged category "&amp;Matching_Engine!$G$116&amp;" scores "&amp;IF(ISNUMBER(Matching_Engine!$J$116),Matching_Engine!$J$116,0)&amp;" against the brand category "&amp;Matching_Engine!$B$116&amp;" targets. ","Creator carries no category on record, so the category-driven parts fall back to neutral rather than penalising the creator. ")&amp;IF(ISNUMBER(Matching_Engine!$R$116),"Audience-interest overlap "&amp;Matching_Engine!$R$116&amp;". ","Audience interests unmeasured. ")&amp;IF(Matching_Engine!$AX$116&lt;100,"Scored on "&amp;Matching_Engine!$AX$116&amp;" of the 100 nominal weight points; the rest had no data.",""))</f>
      </c>
      <c r="G116" s="32">
        <f>IF(NOT(ISNUMBER(Matching_Engine!$AY$116)),"N/A",$S$116&amp;" ("&amp;$R$116&amp;"/100)")</f>
      </c>
      <c r="H116" s="32">
        <f>IF(NOT(ISNUMBER(Matching_Engine!$AY$116)),"N/A",$AA$116&amp;" ("&amp;$Z$116&amp;"/100)")</f>
      </c>
      <c r="I116" s="32">
        <f>IF(NOT(ISNUMBER(Matching_Engine!$AY$116)),"No data to consider: this account has no measured signal.",IF($Z$116&lt;Lookup_Lists!$D$161,$AA$116&amp;" sits at "&amp;$Z$116&amp;", below the "&amp;Lookup_Lists!$D$161&amp;"-point consideration threshold"&amp;IF(Matching_Engine!$AF$116=0," · Brand Personality Fit could not be scored at all: no creator personality, tone, values or content-style column exists","")&amp;IF(Matching_Engine!$AI$116="N/A"," · posting cadence unusable, so Consistency is excluded from Performance","")&amp;".","No component falls below the "&amp;Lookup_Lists!$D$161&amp;"-point consideration threshold."))</f>
      </c>
      <c r="J116" s="32">
        <f>Matching_Engine!$AV$116&amp;" — "&amp;Matching_Engine!$AW$116&amp;IF(Matching_Engine!$BB$116="Limited Data"," Confidence is Limited Data: "&amp;Matching_Engine!$BA$116&amp;"% of tracked fields carry a value.","")</f>
      </c>
      <c r="K116" s="32">
        <f>IF(NOT(ISNUMBER(Matching_Engine!$AY$116)),"Do not shortlist on this data — re-scrape the account first.",IF(Matching_Engine!$AY$116&gt;=Lookup_Lists!$D$156,"Highly Recommended",IF(Matching_Engine!$AY$116&gt;=Lookup_Lists!$D$157,"Recommended",IF(Matching_Engine!$AY$116&gt;=Lookup_Lists!$D$158,"Consider","Low Priority")))&amp;IF(Matching_Engine!$AX$116&lt;100," (on partial data)",""))</f>
      </c>
      <c r="L116" s="34">
        <f>IF(ISNUMBER(Matching_Engine!$M$116),Matching_Engine!$M$116,-1)</f>
      </c>
      <c r="M116" s="34">
        <f>IF(ISNUMBER(Matching_Engine!$S$116),Matching_Engine!$S$116,-1)</f>
      </c>
      <c r="N116" s="34">
        <f>IF(ISNUMBER(Matching_Engine!$Y$116),Matching_Engine!$Y$116,-1)</f>
      </c>
      <c r="O116" s="34">
        <f>IF(ISNUMBER(Matching_Engine!$AE$116),Matching_Engine!$AE$116,-1)</f>
      </c>
      <c r="P116" s="34">
        <f>IF(ISNUMBER(Matching_Engine!$AM$116),Matching_Engine!$AM$116,-1)</f>
      </c>
      <c r="Q116" s="34">
        <f>IF(ISNUMBER(Matching_Engine!$AT$116),Matching_Engine!$AT$116,-1)</f>
      </c>
      <c r="R116" s="34">
        <f>MAX($L$116:$Q$116)</f>
      </c>
      <c r="S116" s="32">
        <f>INDEX({"Brand &amp; Business Relevance","Target Audience Relevance","Content &amp; Category Relevance","Brand Personality Fit","Performance Quality","Brand Safety"},MATCH($R$116,$L$116:$Q$116,0))</f>
      </c>
      <c r="T116" s="34">
        <f>IF(ISNUMBER(Matching_Engine!$M$116),Matching_Engine!$M$116,999)</f>
      </c>
      <c r="U116" s="34">
        <f>IF(ISNUMBER(Matching_Engine!$S$116),Matching_Engine!$S$116,999)</f>
      </c>
      <c r="V116" s="34">
        <f>IF(ISNUMBER(Matching_Engine!$Y$116),Matching_Engine!$Y$116,999)</f>
      </c>
      <c r="W116" s="34">
        <f>IF(ISNUMBER(Matching_Engine!$AE$116),Matching_Engine!$AE$116,999)</f>
      </c>
      <c r="X116" s="34">
        <f>IF(ISNUMBER(Matching_Engine!$AM$116),Matching_Engine!$AM$116,999)</f>
      </c>
      <c r="Y116" s="34">
        <f>IF(ISNUMBER(Matching_Engine!$AT$116),Matching_Engine!$AT$116,999)</f>
      </c>
      <c r="Z116" s="34">
        <f>MIN($T$116:$Y$116)</f>
      </c>
      <c r="AA116" s="32">
        <f>INDEX({"Brand &amp; Business Relevance","Target Audience Relevance","Content &amp; Category Relevance","Brand Personality Fit","Performance Quality","Brand Safety"},MATCH($Z$116,$T$116:$Y$116,0))</f>
      </c>
    </row>
    <row r="117" spans="1:27" x14ac:dyDescent="0.25">
      <c r="A117" s="32">
        <f>Matching_Engine!$B$117</f>
      </c>
      <c r="B117" s="32">
        <f>Matching_Engine!$D$117</f>
      </c>
      <c r="C117" s="32">
        <f>Matching_Engine!$E$117</f>
      </c>
      <c r="D117" s="33">
        <f>Matching_Engine!$AY$117</f>
      </c>
      <c r="E117" s="32">
        <f>Matching_Engine!$AZ$117</f>
      </c>
      <c r="F117" s="32">
        <f>IF(NOT(ISNUMBER(Matching_Engine!$AY$117)),"Not scored: no component of the model had data for this account, so no match can be claimed either way.",Matching_Engine!$AZ$117&amp;" — "&amp;Matching_Engine!$AY$117&amp;"/100 against "&amp;Matching_Engine!$B$117&amp;". "&amp;"Strongest factor "&amp;$S$117&amp;" at "&amp;$R$117&amp;"; weakest "&amp;$AA$117&amp;" at "&amp;$Z$117&amp;". "&amp;IF(AND(ISTEXT(Matching_Engine!$G$117),Matching_Engine!$G$117&lt;&gt;"N/A"),"Tagged category "&amp;Matching_Engine!$G$117&amp;" scores "&amp;IF(ISNUMBER(Matching_Engine!$J$117),Matching_Engine!$J$117,0)&amp;" against the brand category "&amp;Matching_Engine!$B$117&amp;" targets. ","Creator carries no category on record, so the category-driven parts fall back to neutral rather than penalising the creator. ")&amp;IF(ISNUMBER(Matching_Engine!$R$117),"Audience-interest overlap "&amp;Matching_Engine!$R$117&amp;". ","Audience interests unmeasured. ")&amp;IF(Matching_Engine!$AX$117&lt;100,"Scored on "&amp;Matching_Engine!$AX$117&amp;" of the 100 nominal weight points; the rest had no data.",""))</f>
      </c>
      <c r="G117" s="32">
        <f>IF(NOT(ISNUMBER(Matching_Engine!$AY$117)),"N/A",$S$117&amp;" ("&amp;$R$117&amp;"/100)")</f>
      </c>
      <c r="H117" s="32">
        <f>IF(NOT(ISNUMBER(Matching_Engine!$AY$117)),"N/A",$AA$117&amp;" ("&amp;$Z$117&amp;"/100)")</f>
      </c>
      <c r="I117" s="32">
        <f>IF(NOT(ISNUMBER(Matching_Engine!$AY$117)),"No data to consider: this account has no measured signal.",IF($Z$117&lt;Lookup_Lists!$D$161,$AA$117&amp;" sits at "&amp;$Z$117&amp;", below the "&amp;Lookup_Lists!$D$161&amp;"-point consideration threshold"&amp;IF(Matching_Engine!$AF$117=0," · Brand Personality Fit could not be scored at all: no creator personality, tone, values or content-style column exists","")&amp;IF(Matching_Engine!$AI$117="N/A"," · posting cadence unusable, so Consistency is excluded from Performance","")&amp;".","No component falls below the "&amp;Lookup_Lists!$D$161&amp;"-point consideration threshold."))</f>
      </c>
      <c r="J117" s="32">
        <f>Matching_Engine!$AV$117&amp;" — "&amp;Matching_Engine!$AW$117&amp;IF(Matching_Engine!$BB$117="Limited Data"," Confidence is Limited Data: "&amp;Matching_Engine!$BA$117&amp;"% of tracked fields carry a value.","")</f>
      </c>
      <c r="K117" s="32">
        <f>IF(NOT(ISNUMBER(Matching_Engine!$AY$117)),"Do not shortlist on this data — re-scrape the account first.",IF(Matching_Engine!$AY$117&gt;=Lookup_Lists!$D$156,"Highly Recommended",IF(Matching_Engine!$AY$117&gt;=Lookup_Lists!$D$157,"Recommended",IF(Matching_Engine!$AY$117&gt;=Lookup_Lists!$D$158,"Consider","Low Priority")))&amp;IF(Matching_Engine!$AX$117&lt;100," (on partial data)",""))</f>
      </c>
      <c r="L117" s="34">
        <f>IF(ISNUMBER(Matching_Engine!$M$117),Matching_Engine!$M$117,-1)</f>
      </c>
      <c r="M117" s="34">
        <f>IF(ISNUMBER(Matching_Engine!$S$117),Matching_Engine!$S$117,-1)</f>
      </c>
      <c r="N117" s="34">
        <f>IF(ISNUMBER(Matching_Engine!$Y$117),Matching_Engine!$Y$117,-1)</f>
      </c>
      <c r="O117" s="34">
        <f>IF(ISNUMBER(Matching_Engine!$AE$117),Matching_Engine!$AE$117,-1)</f>
      </c>
      <c r="P117" s="34">
        <f>IF(ISNUMBER(Matching_Engine!$AM$117),Matching_Engine!$AM$117,-1)</f>
      </c>
      <c r="Q117" s="34">
        <f>IF(ISNUMBER(Matching_Engine!$AT$117),Matching_Engine!$AT$117,-1)</f>
      </c>
      <c r="R117" s="34">
        <f>MAX($L$117:$Q$117)</f>
      </c>
      <c r="S117" s="32">
        <f>INDEX({"Brand &amp; Business Relevance","Target Audience Relevance","Content &amp; Category Relevance","Brand Personality Fit","Performance Quality","Brand Safety"},MATCH($R$117,$L$117:$Q$117,0))</f>
      </c>
      <c r="T117" s="34">
        <f>IF(ISNUMBER(Matching_Engine!$M$117),Matching_Engine!$M$117,999)</f>
      </c>
      <c r="U117" s="34">
        <f>IF(ISNUMBER(Matching_Engine!$S$117),Matching_Engine!$S$117,999)</f>
      </c>
      <c r="V117" s="34">
        <f>IF(ISNUMBER(Matching_Engine!$Y$117),Matching_Engine!$Y$117,999)</f>
      </c>
      <c r="W117" s="34">
        <f>IF(ISNUMBER(Matching_Engine!$AE$117),Matching_Engine!$AE$117,999)</f>
      </c>
      <c r="X117" s="34">
        <f>IF(ISNUMBER(Matching_Engine!$AM$117),Matching_Engine!$AM$117,999)</f>
      </c>
      <c r="Y117" s="34">
        <f>IF(ISNUMBER(Matching_Engine!$AT$117),Matching_Engine!$AT$117,999)</f>
      </c>
      <c r="Z117" s="34">
        <f>MIN($T$117:$Y$117)</f>
      </c>
      <c r="AA117" s="32">
        <f>INDEX({"Brand &amp; Business Relevance","Target Audience Relevance","Content &amp; Category Relevance","Brand Personality Fit","Performance Quality","Brand Safety"},MATCH($Z$117,$T$117:$Y$117,0))</f>
      </c>
    </row>
    <row r="118" spans="1:27" x14ac:dyDescent="0.25">
      <c r="A118" s="32">
        <f>Matching_Engine!$B$118</f>
      </c>
      <c r="B118" s="32">
        <f>Matching_Engine!$D$118</f>
      </c>
      <c r="C118" s="32">
        <f>Matching_Engine!$E$118</f>
      </c>
      <c r="D118" s="33">
        <f>Matching_Engine!$AY$118</f>
      </c>
      <c r="E118" s="32">
        <f>Matching_Engine!$AZ$118</f>
      </c>
      <c r="F118" s="32">
        <f>IF(NOT(ISNUMBER(Matching_Engine!$AY$118)),"Not scored: no component of the model had data for this account, so no match can be claimed either way.",Matching_Engine!$AZ$118&amp;" — "&amp;Matching_Engine!$AY$118&amp;"/100 against "&amp;Matching_Engine!$B$118&amp;". "&amp;"Strongest factor "&amp;$S$118&amp;" at "&amp;$R$118&amp;"; weakest "&amp;$AA$118&amp;" at "&amp;$Z$118&amp;". "&amp;IF(AND(ISTEXT(Matching_Engine!$G$118),Matching_Engine!$G$118&lt;&gt;"N/A"),"Tagged category "&amp;Matching_Engine!$G$118&amp;" scores "&amp;IF(ISNUMBER(Matching_Engine!$J$118),Matching_Engine!$J$118,0)&amp;" against the brand category "&amp;Matching_Engine!$B$118&amp;" targets. ","Creator carries no category on record, so the category-driven parts fall back to neutral rather than penalising the creator. ")&amp;IF(ISNUMBER(Matching_Engine!$R$118),"Audience-interest overlap "&amp;Matching_Engine!$R$118&amp;". ","Audience interests unmeasured. ")&amp;IF(Matching_Engine!$AX$118&lt;100,"Scored on "&amp;Matching_Engine!$AX$118&amp;" of the 100 nominal weight points; the rest had no data.",""))</f>
      </c>
      <c r="G118" s="32">
        <f>IF(NOT(ISNUMBER(Matching_Engine!$AY$118)),"N/A",$S$118&amp;" ("&amp;$R$118&amp;"/100)")</f>
      </c>
      <c r="H118" s="32">
        <f>IF(NOT(ISNUMBER(Matching_Engine!$AY$118)),"N/A",$AA$118&amp;" ("&amp;$Z$118&amp;"/100)")</f>
      </c>
      <c r="I118" s="32">
        <f>IF(NOT(ISNUMBER(Matching_Engine!$AY$118)),"No data to consider: this account has no measured signal.",IF($Z$118&lt;Lookup_Lists!$D$161,$AA$118&amp;" sits at "&amp;$Z$118&amp;", below the "&amp;Lookup_Lists!$D$161&amp;"-point consideration threshold"&amp;IF(Matching_Engine!$AF$118=0," · Brand Personality Fit could not be scored at all: no creator personality, tone, values or content-style column exists","")&amp;IF(Matching_Engine!$AI$118="N/A"," · posting cadence unusable, so Consistency is excluded from Performance","")&amp;".","No component falls below the "&amp;Lookup_Lists!$D$161&amp;"-point consideration threshold."))</f>
      </c>
      <c r="J118" s="32">
        <f>Matching_Engine!$AV$118&amp;" — "&amp;Matching_Engine!$AW$118&amp;IF(Matching_Engine!$BB$118="Limited Data"," Confidence is Limited Data: "&amp;Matching_Engine!$BA$118&amp;"% of tracked fields carry a value.","")</f>
      </c>
      <c r="K118" s="32">
        <f>IF(NOT(ISNUMBER(Matching_Engine!$AY$118)),"Do not shortlist on this data — re-scrape the account first.",IF(Matching_Engine!$AY$118&gt;=Lookup_Lists!$D$156,"Highly Recommended",IF(Matching_Engine!$AY$118&gt;=Lookup_Lists!$D$157,"Recommended",IF(Matching_Engine!$AY$118&gt;=Lookup_Lists!$D$158,"Consider","Low Priority")))&amp;IF(Matching_Engine!$AX$118&lt;100," (on partial data)",""))</f>
      </c>
      <c r="L118" s="34">
        <f>IF(ISNUMBER(Matching_Engine!$M$118),Matching_Engine!$M$118,-1)</f>
      </c>
      <c r="M118" s="34">
        <f>IF(ISNUMBER(Matching_Engine!$S$118),Matching_Engine!$S$118,-1)</f>
      </c>
      <c r="N118" s="34">
        <f>IF(ISNUMBER(Matching_Engine!$Y$118),Matching_Engine!$Y$118,-1)</f>
      </c>
      <c r="O118" s="34">
        <f>IF(ISNUMBER(Matching_Engine!$AE$118),Matching_Engine!$AE$118,-1)</f>
      </c>
      <c r="P118" s="34">
        <f>IF(ISNUMBER(Matching_Engine!$AM$118),Matching_Engine!$AM$118,-1)</f>
      </c>
      <c r="Q118" s="34">
        <f>IF(ISNUMBER(Matching_Engine!$AT$118),Matching_Engine!$AT$118,-1)</f>
      </c>
      <c r="R118" s="34">
        <f>MAX($L$118:$Q$118)</f>
      </c>
      <c r="S118" s="32">
        <f>INDEX({"Brand &amp; Business Relevance","Target Audience Relevance","Content &amp; Category Relevance","Brand Personality Fit","Performance Quality","Brand Safety"},MATCH($R$118,$L$118:$Q$118,0))</f>
      </c>
      <c r="T118" s="34">
        <f>IF(ISNUMBER(Matching_Engine!$M$118),Matching_Engine!$M$118,999)</f>
      </c>
      <c r="U118" s="34">
        <f>IF(ISNUMBER(Matching_Engine!$S$118),Matching_Engine!$S$118,999)</f>
      </c>
      <c r="V118" s="34">
        <f>IF(ISNUMBER(Matching_Engine!$Y$118),Matching_Engine!$Y$118,999)</f>
      </c>
      <c r="W118" s="34">
        <f>IF(ISNUMBER(Matching_Engine!$AE$118),Matching_Engine!$AE$118,999)</f>
      </c>
      <c r="X118" s="34">
        <f>IF(ISNUMBER(Matching_Engine!$AM$118),Matching_Engine!$AM$118,999)</f>
      </c>
      <c r="Y118" s="34">
        <f>IF(ISNUMBER(Matching_Engine!$AT$118),Matching_Engine!$AT$118,999)</f>
      </c>
      <c r="Z118" s="34">
        <f>MIN($T$118:$Y$118)</f>
      </c>
      <c r="AA118" s="32">
        <f>INDEX({"Brand &amp; Business Relevance","Target Audience Relevance","Content &amp; Category Relevance","Brand Personality Fit","Performance Quality","Brand Safety"},MATCH($Z$118,$T$118:$Y$118,0))</f>
      </c>
    </row>
    <row r="119" spans="1:27" x14ac:dyDescent="0.25">
      <c r="A119" s="32">
        <f>Matching_Engine!$B$119</f>
      </c>
      <c r="B119" s="32">
        <f>Matching_Engine!$D$119</f>
      </c>
      <c r="C119" s="32">
        <f>Matching_Engine!$E$119</f>
      </c>
      <c r="D119" s="33">
        <f>Matching_Engine!$AY$119</f>
      </c>
      <c r="E119" s="32">
        <f>Matching_Engine!$AZ$119</f>
      </c>
      <c r="F119" s="32">
        <f>IF(NOT(ISNUMBER(Matching_Engine!$AY$119)),"Not scored: no component of the model had data for this account, so no match can be claimed either way.",Matching_Engine!$AZ$119&amp;" — "&amp;Matching_Engine!$AY$119&amp;"/100 against "&amp;Matching_Engine!$B$119&amp;". "&amp;"Strongest factor "&amp;$S$119&amp;" at "&amp;$R$119&amp;"; weakest "&amp;$AA$119&amp;" at "&amp;$Z$119&amp;". "&amp;IF(AND(ISTEXT(Matching_Engine!$G$119),Matching_Engine!$G$119&lt;&gt;"N/A"),"Tagged category "&amp;Matching_Engine!$G$119&amp;" scores "&amp;IF(ISNUMBER(Matching_Engine!$J$119),Matching_Engine!$J$119,0)&amp;" against the brand category "&amp;Matching_Engine!$B$119&amp;" targets. ","Creator carries no category on record, so the category-driven parts fall back to neutral rather than penalising the creator. ")&amp;IF(ISNUMBER(Matching_Engine!$R$119),"Audience-interest overlap "&amp;Matching_Engine!$R$119&amp;". ","Audience interests unmeasured. ")&amp;IF(Matching_Engine!$AX$119&lt;100,"Scored on "&amp;Matching_Engine!$AX$119&amp;" of the 100 nominal weight points; the rest had no data.",""))</f>
      </c>
      <c r="G119" s="32">
        <f>IF(NOT(ISNUMBER(Matching_Engine!$AY$119)),"N/A",$S$119&amp;" ("&amp;$R$119&amp;"/100)")</f>
      </c>
      <c r="H119" s="32">
        <f>IF(NOT(ISNUMBER(Matching_Engine!$AY$119)),"N/A",$AA$119&amp;" ("&amp;$Z$119&amp;"/100)")</f>
      </c>
      <c r="I119" s="32">
        <f>IF(NOT(ISNUMBER(Matching_Engine!$AY$119)),"No data to consider: this account has no measured signal.",IF($Z$119&lt;Lookup_Lists!$D$161,$AA$119&amp;" sits at "&amp;$Z$119&amp;", below the "&amp;Lookup_Lists!$D$161&amp;"-point consideration threshold"&amp;IF(Matching_Engine!$AF$119=0," · Brand Personality Fit could not be scored at all: no creator personality, tone, values or content-style column exists","")&amp;IF(Matching_Engine!$AI$119="N/A"," · posting cadence unusable, so Consistency is excluded from Performance","")&amp;".","No component falls below the "&amp;Lookup_Lists!$D$161&amp;"-point consideration threshold."))</f>
      </c>
      <c r="J119" s="32">
        <f>Matching_Engine!$AV$119&amp;" — "&amp;Matching_Engine!$AW$119&amp;IF(Matching_Engine!$BB$119="Limited Data"," Confidence is Limited Data: "&amp;Matching_Engine!$BA$119&amp;"% of tracked fields carry a value.","")</f>
      </c>
      <c r="K119" s="32">
        <f>IF(NOT(ISNUMBER(Matching_Engine!$AY$119)),"Do not shortlist on this data — re-scrape the account first.",IF(Matching_Engine!$AY$119&gt;=Lookup_Lists!$D$156,"Highly Recommended",IF(Matching_Engine!$AY$119&gt;=Lookup_Lists!$D$157,"Recommended",IF(Matching_Engine!$AY$119&gt;=Lookup_Lists!$D$158,"Consider","Low Priority")))&amp;IF(Matching_Engine!$AX$119&lt;100," (on partial data)",""))</f>
      </c>
      <c r="L119" s="34">
        <f>IF(ISNUMBER(Matching_Engine!$M$119),Matching_Engine!$M$119,-1)</f>
      </c>
      <c r="M119" s="34">
        <f>IF(ISNUMBER(Matching_Engine!$S$119),Matching_Engine!$S$119,-1)</f>
      </c>
      <c r="N119" s="34">
        <f>IF(ISNUMBER(Matching_Engine!$Y$119),Matching_Engine!$Y$119,-1)</f>
      </c>
      <c r="O119" s="34">
        <f>IF(ISNUMBER(Matching_Engine!$AE$119),Matching_Engine!$AE$119,-1)</f>
      </c>
      <c r="P119" s="34">
        <f>IF(ISNUMBER(Matching_Engine!$AM$119),Matching_Engine!$AM$119,-1)</f>
      </c>
      <c r="Q119" s="34">
        <f>IF(ISNUMBER(Matching_Engine!$AT$119),Matching_Engine!$AT$119,-1)</f>
      </c>
      <c r="R119" s="34">
        <f>MAX($L$119:$Q$119)</f>
      </c>
      <c r="S119" s="32">
        <f>INDEX({"Brand &amp; Business Relevance","Target Audience Relevance","Content &amp; Category Relevance","Brand Personality Fit","Performance Quality","Brand Safety"},MATCH($R$119,$L$119:$Q$119,0))</f>
      </c>
      <c r="T119" s="34">
        <f>IF(ISNUMBER(Matching_Engine!$M$119),Matching_Engine!$M$119,999)</f>
      </c>
      <c r="U119" s="34">
        <f>IF(ISNUMBER(Matching_Engine!$S$119),Matching_Engine!$S$119,999)</f>
      </c>
      <c r="V119" s="34">
        <f>IF(ISNUMBER(Matching_Engine!$Y$119),Matching_Engine!$Y$119,999)</f>
      </c>
      <c r="W119" s="34">
        <f>IF(ISNUMBER(Matching_Engine!$AE$119),Matching_Engine!$AE$119,999)</f>
      </c>
      <c r="X119" s="34">
        <f>IF(ISNUMBER(Matching_Engine!$AM$119),Matching_Engine!$AM$119,999)</f>
      </c>
      <c r="Y119" s="34">
        <f>IF(ISNUMBER(Matching_Engine!$AT$119),Matching_Engine!$AT$119,999)</f>
      </c>
      <c r="Z119" s="34">
        <f>MIN($T$119:$Y$119)</f>
      </c>
      <c r="AA119" s="32">
        <f>INDEX({"Brand &amp; Business Relevance","Target Audience Relevance","Content &amp; Category Relevance","Brand Personality Fit","Performance Quality","Brand Safety"},MATCH($Z$119,$T$119:$Y$119,0))</f>
      </c>
    </row>
    <row r="120" spans="1:27" x14ac:dyDescent="0.25">
      <c r="A120" s="32">
        <f>Matching_Engine!$B$120</f>
      </c>
      <c r="B120" s="32">
        <f>Matching_Engine!$D$120</f>
      </c>
      <c r="C120" s="32">
        <f>Matching_Engine!$E$120</f>
      </c>
      <c r="D120" s="33">
        <f>Matching_Engine!$AY$120</f>
      </c>
      <c r="E120" s="32">
        <f>Matching_Engine!$AZ$120</f>
      </c>
      <c r="F120" s="32">
        <f>IF(NOT(ISNUMBER(Matching_Engine!$AY$120)),"Not scored: no component of the model had data for this account, so no match can be claimed either way.",Matching_Engine!$AZ$120&amp;" — "&amp;Matching_Engine!$AY$120&amp;"/100 against "&amp;Matching_Engine!$B$120&amp;". "&amp;"Strongest factor "&amp;$S$120&amp;" at "&amp;$R$120&amp;"; weakest "&amp;$AA$120&amp;" at "&amp;$Z$120&amp;". "&amp;IF(AND(ISTEXT(Matching_Engine!$G$120),Matching_Engine!$G$120&lt;&gt;"N/A"),"Tagged category "&amp;Matching_Engine!$G$120&amp;" scores "&amp;IF(ISNUMBER(Matching_Engine!$J$120),Matching_Engine!$J$120,0)&amp;" against the brand category "&amp;Matching_Engine!$B$120&amp;" targets. ","Creator carries no category on record, so the category-driven parts fall back to neutral rather than penalising the creator. ")&amp;IF(ISNUMBER(Matching_Engine!$R$120),"Audience-interest overlap "&amp;Matching_Engine!$R$120&amp;". ","Audience interests unmeasured. ")&amp;IF(Matching_Engine!$AX$120&lt;100,"Scored on "&amp;Matching_Engine!$AX$120&amp;" of the 100 nominal weight points; the rest had no data.",""))</f>
      </c>
      <c r="G120" s="32">
        <f>IF(NOT(ISNUMBER(Matching_Engine!$AY$120)),"N/A",$S$120&amp;" ("&amp;$R$120&amp;"/100)")</f>
      </c>
      <c r="H120" s="32">
        <f>IF(NOT(ISNUMBER(Matching_Engine!$AY$120)),"N/A",$AA$120&amp;" ("&amp;$Z$120&amp;"/100)")</f>
      </c>
      <c r="I120" s="32">
        <f>IF(NOT(ISNUMBER(Matching_Engine!$AY$120)),"No data to consider: this account has no measured signal.",IF($Z$120&lt;Lookup_Lists!$D$161,$AA$120&amp;" sits at "&amp;$Z$120&amp;", below the "&amp;Lookup_Lists!$D$161&amp;"-point consideration threshold"&amp;IF(Matching_Engine!$AF$120=0," · Brand Personality Fit could not be scored at all: no creator personality, tone, values or content-style column exists","")&amp;IF(Matching_Engine!$AI$120="N/A"," · posting cadence unusable, so Consistency is excluded from Performance","")&amp;".","No component falls below the "&amp;Lookup_Lists!$D$161&amp;"-point consideration threshold."))</f>
      </c>
      <c r="J120" s="32">
        <f>Matching_Engine!$AV$120&amp;" — "&amp;Matching_Engine!$AW$120&amp;IF(Matching_Engine!$BB$120="Limited Data"," Confidence is Limited Data: "&amp;Matching_Engine!$BA$120&amp;"% of tracked fields carry a value.","")</f>
      </c>
      <c r="K120" s="32">
        <f>IF(NOT(ISNUMBER(Matching_Engine!$AY$120)),"Do not shortlist on this data — re-scrape the account first.",IF(Matching_Engine!$AY$120&gt;=Lookup_Lists!$D$156,"Highly Recommended",IF(Matching_Engine!$AY$120&gt;=Lookup_Lists!$D$157,"Recommended",IF(Matching_Engine!$AY$120&gt;=Lookup_Lists!$D$158,"Consider","Low Priority")))&amp;IF(Matching_Engine!$AX$120&lt;100," (on partial data)",""))</f>
      </c>
      <c r="L120" s="34">
        <f>IF(ISNUMBER(Matching_Engine!$M$120),Matching_Engine!$M$120,-1)</f>
      </c>
      <c r="M120" s="34">
        <f>IF(ISNUMBER(Matching_Engine!$S$120),Matching_Engine!$S$120,-1)</f>
      </c>
      <c r="N120" s="34">
        <f>IF(ISNUMBER(Matching_Engine!$Y$120),Matching_Engine!$Y$120,-1)</f>
      </c>
      <c r="O120" s="34">
        <f>IF(ISNUMBER(Matching_Engine!$AE$120),Matching_Engine!$AE$120,-1)</f>
      </c>
      <c r="P120" s="34">
        <f>IF(ISNUMBER(Matching_Engine!$AM$120),Matching_Engine!$AM$120,-1)</f>
      </c>
      <c r="Q120" s="34">
        <f>IF(ISNUMBER(Matching_Engine!$AT$120),Matching_Engine!$AT$120,-1)</f>
      </c>
      <c r="R120" s="34">
        <f>MAX($L$120:$Q$120)</f>
      </c>
      <c r="S120" s="32">
        <f>INDEX({"Brand &amp; Business Relevance","Target Audience Relevance","Content &amp; Category Relevance","Brand Personality Fit","Performance Quality","Brand Safety"},MATCH($R$120,$L$120:$Q$120,0))</f>
      </c>
      <c r="T120" s="34">
        <f>IF(ISNUMBER(Matching_Engine!$M$120),Matching_Engine!$M$120,999)</f>
      </c>
      <c r="U120" s="34">
        <f>IF(ISNUMBER(Matching_Engine!$S$120),Matching_Engine!$S$120,999)</f>
      </c>
      <c r="V120" s="34">
        <f>IF(ISNUMBER(Matching_Engine!$Y$120),Matching_Engine!$Y$120,999)</f>
      </c>
      <c r="W120" s="34">
        <f>IF(ISNUMBER(Matching_Engine!$AE$120),Matching_Engine!$AE$120,999)</f>
      </c>
      <c r="X120" s="34">
        <f>IF(ISNUMBER(Matching_Engine!$AM$120),Matching_Engine!$AM$120,999)</f>
      </c>
      <c r="Y120" s="34">
        <f>IF(ISNUMBER(Matching_Engine!$AT$120),Matching_Engine!$AT$120,999)</f>
      </c>
      <c r="Z120" s="34">
        <f>MIN($T$120:$Y$120)</f>
      </c>
      <c r="AA120" s="32">
        <f>INDEX({"Brand &amp; Business Relevance","Target Audience Relevance","Content &amp; Category Relevance","Brand Personality Fit","Performance Quality","Brand Safety"},MATCH($Z$120,$T$120:$Y$120,0))</f>
      </c>
    </row>
    <row r="121" spans="1:27" x14ac:dyDescent="0.25">
      <c r="A121" s="32">
        <f>Matching_Engine!$B$121</f>
      </c>
      <c r="B121" s="32">
        <f>Matching_Engine!$D$121</f>
      </c>
      <c r="C121" s="32">
        <f>Matching_Engine!$E$121</f>
      </c>
      <c r="D121" s="33">
        <f>Matching_Engine!$AY$121</f>
      </c>
      <c r="E121" s="32">
        <f>Matching_Engine!$AZ$121</f>
      </c>
      <c r="F121" s="32">
        <f>IF(NOT(ISNUMBER(Matching_Engine!$AY$121)),"Not scored: no component of the model had data for this account, so no match can be claimed either way.",Matching_Engine!$AZ$121&amp;" — "&amp;Matching_Engine!$AY$121&amp;"/100 against "&amp;Matching_Engine!$B$121&amp;". "&amp;"Strongest factor "&amp;$S$121&amp;" at "&amp;$R$121&amp;"; weakest "&amp;$AA$121&amp;" at "&amp;$Z$121&amp;". "&amp;IF(AND(ISTEXT(Matching_Engine!$G$121),Matching_Engine!$G$121&lt;&gt;"N/A"),"Tagged category "&amp;Matching_Engine!$G$121&amp;" scores "&amp;IF(ISNUMBER(Matching_Engine!$J$121),Matching_Engine!$J$121,0)&amp;" against the brand category "&amp;Matching_Engine!$B$121&amp;" targets. ","Creator carries no category on record, so the category-driven parts fall back to neutral rather than penalising the creator. ")&amp;IF(ISNUMBER(Matching_Engine!$R$121),"Audience-interest overlap "&amp;Matching_Engine!$R$121&amp;". ","Audience interests unmeasured. ")&amp;IF(Matching_Engine!$AX$121&lt;100,"Scored on "&amp;Matching_Engine!$AX$121&amp;" of the 100 nominal weight points; the rest had no data.",""))</f>
      </c>
      <c r="G121" s="32">
        <f>IF(NOT(ISNUMBER(Matching_Engine!$AY$121)),"N/A",$S$121&amp;" ("&amp;$R$121&amp;"/100)")</f>
      </c>
      <c r="H121" s="32">
        <f>IF(NOT(ISNUMBER(Matching_Engine!$AY$121)),"N/A",$AA$121&amp;" ("&amp;$Z$121&amp;"/100)")</f>
      </c>
      <c r="I121" s="32">
        <f>IF(NOT(ISNUMBER(Matching_Engine!$AY$121)),"No data to consider: this account has no measured signal.",IF($Z$121&lt;Lookup_Lists!$D$161,$AA$121&amp;" sits at "&amp;$Z$121&amp;", below the "&amp;Lookup_Lists!$D$161&amp;"-point consideration threshold"&amp;IF(Matching_Engine!$AF$121=0," · Brand Personality Fit could not be scored at all: no creator personality, tone, values or content-style column exists","")&amp;IF(Matching_Engine!$AI$121="N/A"," · posting cadence unusable, so Consistency is excluded from Performance","")&amp;".","No component falls below the "&amp;Lookup_Lists!$D$161&amp;"-point consideration threshold."))</f>
      </c>
      <c r="J121" s="32">
        <f>Matching_Engine!$AV$121&amp;" — "&amp;Matching_Engine!$AW$121&amp;IF(Matching_Engine!$BB$121="Limited Data"," Confidence is Limited Data: "&amp;Matching_Engine!$BA$121&amp;"% of tracked fields carry a value.","")</f>
      </c>
      <c r="K121" s="32">
        <f>IF(NOT(ISNUMBER(Matching_Engine!$AY$121)),"Do not shortlist on this data — re-scrape the account first.",IF(Matching_Engine!$AY$121&gt;=Lookup_Lists!$D$156,"Highly Recommended",IF(Matching_Engine!$AY$121&gt;=Lookup_Lists!$D$157,"Recommended",IF(Matching_Engine!$AY$121&gt;=Lookup_Lists!$D$158,"Consider","Low Priority")))&amp;IF(Matching_Engine!$AX$121&lt;100," (on partial data)",""))</f>
      </c>
      <c r="L121" s="34">
        <f>IF(ISNUMBER(Matching_Engine!$M$121),Matching_Engine!$M$121,-1)</f>
      </c>
      <c r="M121" s="34">
        <f>IF(ISNUMBER(Matching_Engine!$S$121),Matching_Engine!$S$121,-1)</f>
      </c>
      <c r="N121" s="34">
        <f>IF(ISNUMBER(Matching_Engine!$Y$121),Matching_Engine!$Y$121,-1)</f>
      </c>
      <c r="O121" s="34">
        <f>IF(ISNUMBER(Matching_Engine!$AE$121),Matching_Engine!$AE$121,-1)</f>
      </c>
      <c r="P121" s="34">
        <f>IF(ISNUMBER(Matching_Engine!$AM$121),Matching_Engine!$AM$121,-1)</f>
      </c>
      <c r="Q121" s="34">
        <f>IF(ISNUMBER(Matching_Engine!$AT$121),Matching_Engine!$AT$121,-1)</f>
      </c>
      <c r="R121" s="34">
        <f>MAX($L$121:$Q$121)</f>
      </c>
      <c r="S121" s="32">
        <f>INDEX({"Brand &amp; Business Relevance","Target Audience Relevance","Content &amp; Category Relevance","Brand Personality Fit","Performance Quality","Brand Safety"},MATCH($R$121,$L$121:$Q$121,0))</f>
      </c>
      <c r="T121" s="34">
        <f>IF(ISNUMBER(Matching_Engine!$M$121),Matching_Engine!$M$121,999)</f>
      </c>
      <c r="U121" s="34">
        <f>IF(ISNUMBER(Matching_Engine!$S$121),Matching_Engine!$S$121,999)</f>
      </c>
      <c r="V121" s="34">
        <f>IF(ISNUMBER(Matching_Engine!$Y$121),Matching_Engine!$Y$121,999)</f>
      </c>
      <c r="W121" s="34">
        <f>IF(ISNUMBER(Matching_Engine!$AE$121),Matching_Engine!$AE$121,999)</f>
      </c>
      <c r="X121" s="34">
        <f>IF(ISNUMBER(Matching_Engine!$AM$121),Matching_Engine!$AM$121,999)</f>
      </c>
      <c r="Y121" s="34">
        <f>IF(ISNUMBER(Matching_Engine!$AT$121),Matching_Engine!$AT$121,999)</f>
      </c>
      <c r="Z121" s="34">
        <f>MIN($T$121:$Y$121)</f>
      </c>
      <c r="AA121" s="32">
        <f>INDEX({"Brand &amp; Business Relevance","Target Audience Relevance","Content &amp; Category Relevance","Brand Personality Fit","Performance Quality","Brand Safety"},MATCH($Z$121,$T$121:$Y$121,0))</f>
      </c>
    </row>
    <row r="122" spans="1:27" x14ac:dyDescent="0.25">
      <c r="A122" s="32">
        <f>Matching_Engine!$B$122</f>
      </c>
      <c r="B122" s="32">
        <f>Matching_Engine!$D$122</f>
      </c>
      <c r="C122" s="32">
        <f>Matching_Engine!$E$122</f>
      </c>
      <c r="D122" s="33">
        <f>Matching_Engine!$AY$122</f>
      </c>
      <c r="E122" s="32">
        <f>Matching_Engine!$AZ$122</f>
      </c>
      <c r="F122" s="32">
        <f>IF(NOT(ISNUMBER(Matching_Engine!$AY$122)),"Not scored: no component of the model had data for this account, so no match can be claimed either way.",Matching_Engine!$AZ$122&amp;" — "&amp;Matching_Engine!$AY$122&amp;"/100 against "&amp;Matching_Engine!$B$122&amp;". "&amp;"Strongest factor "&amp;$S$122&amp;" at "&amp;$R$122&amp;"; weakest "&amp;$AA$122&amp;" at "&amp;$Z$122&amp;". "&amp;IF(AND(ISTEXT(Matching_Engine!$G$122),Matching_Engine!$G$122&lt;&gt;"N/A"),"Tagged category "&amp;Matching_Engine!$G$122&amp;" scores "&amp;IF(ISNUMBER(Matching_Engine!$J$122),Matching_Engine!$J$122,0)&amp;" against the brand category "&amp;Matching_Engine!$B$122&amp;" targets. ","Creator carries no category on record, so the category-driven parts fall back to neutral rather than penalising the creator. ")&amp;IF(ISNUMBER(Matching_Engine!$R$122),"Audience-interest overlap "&amp;Matching_Engine!$R$122&amp;". ","Audience interests unmeasured. ")&amp;IF(Matching_Engine!$AX$122&lt;100,"Scored on "&amp;Matching_Engine!$AX$122&amp;" of the 100 nominal weight points; the rest had no data.",""))</f>
      </c>
      <c r="G122" s="32">
        <f>IF(NOT(ISNUMBER(Matching_Engine!$AY$122)),"N/A",$S$122&amp;" ("&amp;$R$122&amp;"/100)")</f>
      </c>
      <c r="H122" s="32">
        <f>IF(NOT(ISNUMBER(Matching_Engine!$AY$122)),"N/A",$AA$122&amp;" ("&amp;$Z$122&amp;"/100)")</f>
      </c>
      <c r="I122" s="32">
        <f>IF(NOT(ISNUMBER(Matching_Engine!$AY$122)),"No data to consider: this account has no measured signal.",IF($Z$122&lt;Lookup_Lists!$D$161,$AA$122&amp;" sits at "&amp;$Z$122&amp;", below the "&amp;Lookup_Lists!$D$161&amp;"-point consideration threshold"&amp;IF(Matching_Engine!$AF$122=0," · Brand Personality Fit could not be scored at all: no creator personality, tone, values or content-style column exists","")&amp;IF(Matching_Engine!$AI$122="N/A"," · posting cadence unusable, so Consistency is excluded from Performance","")&amp;".","No component falls below the "&amp;Lookup_Lists!$D$161&amp;"-point consideration threshold."))</f>
      </c>
      <c r="J122" s="32">
        <f>Matching_Engine!$AV$122&amp;" — "&amp;Matching_Engine!$AW$122&amp;IF(Matching_Engine!$BB$122="Limited Data"," Confidence is Limited Data: "&amp;Matching_Engine!$BA$122&amp;"% of tracked fields carry a value.","")</f>
      </c>
      <c r="K122" s="32">
        <f>IF(NOT(ISNUMBER(Matching_Engine!$AY$122)),"Do not shortlist on this data — re-scrape the account first.",IF(Matching_Engine!$AY$122&gt;=Lookup_Lists!$D$156,"Highly Recommended",IF(Matching_Engine!$AY$122&gt;=Lookup_Lists!$D$157,"Recommended",IF(Matching_Engine!$AY$122&gt;=Lookup_Lists!$D$158,"Consider","Low Priority")))&amp;IF(Matching_Engine!$AX$122&lt;100," (on partial data)",""))</f>
      </c>
      <c r="L122" s="34">
        <f>IF(ISNUMBER(Matching_Engine!$M$122),Matching_Engine!$M$122,-1)</f>
      </c>
      <c r="M122" s="34">
        <f>IF(ISNUMBER(Matching_Engine!$S$122),Matching_Engine!$S$122,-1)</f>
      </c>
      <c r="N122" s="34">
        <f>IF(ISNUMBER(Matching_Engine!$Y$122),Matching_Engine!$Y$122,-1)</f>
      </c>
      <c r="O122" s="34">
        <f>IF(ISNUMBER(Matching_Engine!$AE$122),Matching_Engine!$AE$122,-1)</f>
      </c>
      <c r="P122" s="34">
        <f>IF(ISNUMBER(Matching_Engine!$AM$122),Matching_Engine!$AM$122,-1)</f>
      </c>
      <c r="Q122" s="34">
        <f>IF(ISNUMBER(Matching_Engine!$AT$122),Matching_Engine!$AT$122,-1)</f>
      </c>
      <c r="R122" s="34">
        <f>MAX($L$122:$Q$122)</f>
      </c>
      <c r="S122" s="32">
        <f>INDEX({"Brand &amp; Business Relevance","Target Audience Relevance","Content &amp; Category Relevance","Brand Personality Fit","Performance Quality","Brand Safety"},MATCH($R$122,$L$122:$Q$122,0))</f>
      </c>
      <c r="T122" s="34">
        <f>IF(ISNUMBER(Matching_Engine!$M$122),Matching_Engine!$M$122,999)</f>
      </c>
      <c r="U122" s="34">
        <f>IF(ISNUMBER(Matching_Engine!$S$122),Matching_Engine!$S$122,999)</f>
      </c>
      <c r="V122" s="34">
        <f>IF(ISNUMBER(Matching_Engine!$Y$122),Matching_Engine!$Y$122,999)</f>
      </c>
      <c r="W122" s="34">
        <f>IF(ISNUMBER(Matching_Engine!$AE$122),Matching_Engine!$AE$122,999)</f>
      </c>
      <c r="X122" s="34">
        <f>IF(ISNUMBER(Matching_Engine!$AM$122),Matching_Engine!$AM$122,999)</f>
      </c>
      <c r="Y122" s="34">
        <f>IF(ISNUMBER(Matching_Engine!$AT$122),Matching_Engine!$AT$122,999)</f>
      </c>
      <c r="Z122" s="34">
        <f>MIN($T$122:$Y$122)</f>
      </c>
      <c r="AA122" s="32">
        <f>INDEX({"Brand &amp; Business Relevance","Target Audience Relevance","Content &amp; Category Relevance","Brand Personality Fit","Performance Quality","Brand Safety"},MATCH($Z$122,$T$122:$Y$122,0))</f>
      </c>
    </row>
    <row r="123" spans="1:27" x14ac:dyDescent="0.25">
      <c r="A123" s="32">
        <f>Matching_Engine!$B$123</f>
      </c>
      <c r="B123" s="32">
        <f>Matching_Engine!$D$123</f>
      </c>
      <c r="C123" s="32">
        <f>Matching_Engine!$E$123</f>
      </c>
      <c r="D123" s="33">
        <f>Matching_Engine!$AY$123</f>
      </c>
      <c r="E123" s="32">
        <f>Matching_Engine!$AZ$123</f>
      </c>
      <c r="F123" s="32">
        <f>IF(NOT(ISNUMBER(Matching_Engine!$AY$123)),"Not scored: no component of the model had data for this account, so no match can be claimed either way.",Matching_Engine!$AZ$123&amp;" — "&amp;Matching_Engine!$AY$123&amp;"/100 against "&amp;Matching_Engine!$B$123&amp;". "&amp;"Strongest factor "&amp;$S$123&amp;" at "&amp;$R$123&amp;"; weakest "&amp;$AA$123&amp;" at "&amp;$Z$123&amp;". "&amp;IF(AND(ISTEXT(Matching_Engine!$G$123),Matching_Engine!$G$123&lt;&gt;"N/A"),"Tagged category "&amp;Matching_Engine!$G$123&amp;" scores "&amp;IF(ISNUMBER(Matching_Engine!$J$123),Matching_Engine!$J$123,0)&amp;" against the brand category "&amp;Matching_Engine!$B$123&amp;" targets. ","Creator carries no category on record, so the category-driven parts fall back to neutral rather than penalising the creator. ")&amp;IF(ISNUMBER(Matching_Engine!$R$123),"Audience-interest overlap "&amp;Matching_Engine!$R$123&amp;". ","Audience interests unmeasured. ")&amp;IF(Matching_Engine!$AX$123&lt;100,"Scored on "&amp;Matching_Engine!$AX$123&amp;" of the 100 nominal weight points; the rest had no data.",""))</f>
      </c>
      <c r="G123" s="32">
        <f>IF(NOT(ISNUMBER(Matching_Engine!$AY$123)),"N/A",$S$123&amp;" ("&amp;$R$123&amp;"/100)")</f>
      </c>
      <c r="H123" s="32">
        <f>IF(NOT(ISNUMBER(Matching_Engine!$AY$123)),"N/A",$AA$123&amp;" ("&amp;$Z$123&amp;"/100)")</f>
      </c>
      <c r="I123" s="32">
        <f>IF(NOT(ISNUMBER(Matching_Engine!$AY$123)),"No data to consider: this account has no measured signal.",IF($Z$123&lt;Lookup_Lists!$D$161,$AA$123&amp;" sits at "&amp;$Z$123&amp;", below the "&amp;Lookup_Lists!$D$161&amp;"-point consideration threshold"&amp;IF(Matching_Engine!$AF$123=0," · Brand Personality Fit could not be scored at all: no creator personality, tone, values or content-style column exists","")&amp;IF(Matching_Engine!$AI$123="N/A"," · posting cadence unusable, so Consistency is excluded from Performance","")&amp;".","No component falls below the "&amp;Lookup_Lists!$D$161&amp;"-point consideration threshold."))</f>
      </c>
      <c r="J123" s="32">
        <f>Matching_Engine!$AV$123&amp;" — "&amp;Matching_Engine!$AW$123&amp;IF(Matching_Engine!$BB$123="Limited Data"," Confidence is Limited Data: "&amp;Matching_Engine!$BA$123&amp;"% of tracked fields carry a value.","")</f>
      </c>
      <c r="K123" s="32">
        <f>IF(NOT(ISNUMBER(Matching_Engine!$AY$123)),"Do not shortlist on this data — re-scrape the account first.",IF(Matching_Engine!$AY$123&gt;=Lookup_Lists!$D$156,"Highly Recommended",IF(Matching_Engine!$AY$123&gt;=Lookup_Lists!$D$157,"Recommended",IF(Matching_Engine!$AY$123&gt;=Lookup_Lists!$D$158,"Consider","Low Priority")))&amp;IF(Matching_Engine!$AX$123&lt;100," (on partial data)",""))</f>
      </c>
      <c r="L123" s="34">
        <f>IF(ISNUMBER(Matching_Engine!$M$123),Matching_Engine!$M$123,-1)</f>
      </c>
      <c r="M123" s="34">
        <f>IF(ISNUMBER(Matching_Engine!$S$123),Matching_Engine!$S$123,-1)</f>
      </c>
      <c r="N123" s="34">
        <f>IF(ISNUMBER(Matching_Engine!$Y$123),Matching_Engine!$Y$123,-1)</f>
      </c>
      <c r="O123" s="34">
        <f>IF(ISNUMBER(Matching_Engine!$AE$123),Matching_Engine!$AE$123,-1)</f>
      </c>
      <c r="P123" s="34">
        <f>IF(ISNUMBER(Matching_Engine!$AM$123),Matching_Engine!$AM$123,-1)</f>
      </c>
      <c r="Q123" s="34">
        <f>IF(ISNUMBER(Matching_Engine!$AT$123),Matching_Engine!$AT$123,-1)</f>
      </c>
      <c r="R123" s="34">
        <f>MAX($L$123:$Q$123)</f>
      </c>
      <c r="S123" s="32">
        <f>INDEX({"Brand &amp; Business Relevance","Target Audience Relevance","Content &amp; Category Relevance","Brand Personality Fit","Performance Quality","Brand Safety"},MATCH($R$123,$L$123:$Q$123,0))</f>
      </c>
      <c r="T123" s="34">
        <f>IF(ISNUMBER(Matching_Engine!$M$123),Matching_Engine!$M$123,999)</f>
      </c>
      <c r="U123" s="34">
        <f>IF(ISNUMBER(Matching_Engine!$S$123),Matching_Engine!$S$123,999)</f>
      </c>
      <c r="V123" s="34">
        <f>IF(ISNUMBER(Matching_Engine!$Y$123),Matching_Engine!$Y$123,999)</f>
      </c>
      <c r="W123" s="34">
        <f>IF(ISNUMBER(Matching_Engine!$AE$123),Matching_Engine!$AE$123,999)</f>
      </c>
      <c r="X123" s="34">
        <f>IF(ISNUMBER(Matching_Engine!$AM$123),Matching_Engine!$AM$123,999)</f>
      </c>
      <c r="Y123" s="34">
        <f>IF(ISNUMBER(Matching_Engine!$AT$123),Matching_Engine!$AT$123,999)</f>
      </c>
      <c r="Z123" s="34">
        <f>MIN($T$123:$Y$123)</f>
      </c>
      <c r="AA123" s="32">
        <f>INDEX({"Brand &amp; Business Relevance","Target Audience Relevance","Content &amp; Category Relevance","Brand Personality Fit","Performance Quality","Brand Safety"},MATCH($Z$123,$T$123:$Y$123,0))</f>
      </c>
    </row>
    <row r="124" spans="1:27" x14ac:dyDescent="0.25">
      <c r="A124" s="32">
        <f>Matching_Engine!$B$124</f>
      </c>
      <c r="B124" s="32">
        <f>Matching_Engine!$D$124</f>
      </c>
      <c r="C124" s="32">
        <f>Matching_Engine!$E$124</f>
      </c>
      <c r="D124" s="33">
        <f>Matching_Engine!$AY$124</f>
      </c>
      <c r="E124" s="32">
        <f>Matching_Engine!$AZ$124</f>
      </c>
      <c r="F124" s="32">
        <f>IF(NOT(ISNUMBER(Matching_Engine!$AY$124)),"Not scored: no component of the model had data for this account, so no match can be claimed either way.",Matching_Engine!$AZ$124&amp;" — "&amp;Matching_Engine!$AY$124&amp;"/100 against "&amp;Matching_Engine!$B$124&amp;". "&amp;"Strongest factor "&amp;$S$124&amp;" at "&amp;$R$124&amp;"; weakest "&amp;$AA$124&amp;" at "&amp;$Z$124&amp;". "&amp;IF(AND(ISTEXT(Matching_Engine!$G$124),Matching_Engine!$G$124&lt;&gt;"N/A"),"Tagged category "&amp;Matching_Engine!$G$124&amp;" scores "&amp;IF(ISNUMBER(Matching_Engine!$J$124),Matching_Engine!$J$124,0)&amp;" against the brand category "&amp;Matching_Engine!$B$124&amp;" targets. ","Creator carries no category on record, so the category-driven parts fall back to neutral rather than penalising the creator. ")&amp;IF(ISNUMBER(Matching_Engine!$R$124),"Audience-interest overlap "&amp;Matching_Engine!$R$124&amp;". ","Audience interests unmeasured. ")&amp;IF(Matching_Engine!$AX$124&lt;100,"Scored on "&amp;Matching_Engine!$AX$124&amp;" of the 100 nominal weight points; the rest had no data.",""))</f>
      </c>
      <c r="G124" s="32">
        <f>IF(NOT(ISNUMBER(Matching_Engine!$AY$124)),"N/A",$S$124&amp;" ("&amp;$R$124&amp;"/100)")</f>
      </c>
      <c r="H124" s="32">
        <f>IF(NOT(ISNUMBER(Matching_Engine!$AY$124)),"N/A",$AA$124&amp;" ("&amp;$Z$124&amp;"/100)")</f>
      </c>
      <c r="I124" s="32">
        <f>IF(NOT(ISNUMBER(Matching_Engine!$AY$124)),"No data to consider: this account has no measured signal.",IF($Z$124&lt;Lookup_Lists!$D$161,$AA$124&amp;" sits at "&amp;$Z$124&amp;", below the "&amp;Lookup_Lists!$D$161&amp;"-point consideration threshold"&amp;IF(Matching_Engine!$AF$124=0," · Brand Personality Fit could not be scored at all: no creator personality, tone, values or content-style column exists","")&amp;IF(Matching_Engine!$AI$124="N/A"," · posting cadence unusable, so Consistency is excluded from Performance","")&amp;".","No component falls below the "&amp;Lookup_Lists!$D$161&amp;"-point consideration threshold."))</f>
      </c>
      <c r="J124" s="32">
        <f>Matching_Engine!$AV$124&amp;" — "&amp;Matching_Engine!$AW$124&amp;IF(Matching_Engine!$BB$124="Limited Data"," Confidence is Limited Data: "&amp;Matching_Engine!$BA$124&amp;"% of tracked fields carry a value.","")</f>
      </c>
      <c r="K124" s="32">
        <f>IF(NOT(ISNUMBER(Matching_Engine!$AY$124)),"Do not shortlist on this data — re-scrape the account first.",IF(Matching_Engine!$AY$124&gt;=Lookup_Lists!$D$156,"Highly Recommended",IF(Matching_Engine!$AY$124&gt;=Lookup_Lists!$D$157,"Recommended",IF(Matching_Engine!$AY$124&gt;=Lookup_Lists!$D$158,"Consider","Low Priority")))&amp;IF(Matching_Engine!$AX$124&lt;100," (on partial data)",""))</f>
      </c>
      <c r="L124" s="34">
        <f>IF(ISNUMBER(Matching_Engine!$M$124),Matching_Engine!$M$124,-1)</f>
      </c>
      <c r="M124" s="34">
        <f>IF(ISNUMBER(Matching_Engine!$S$124),Matching_Engine!$S$124,-1)</f>
      </c>
      <c r="N124" s="34">
        <f>IF(ISNUMBER(Matching_Engine!$Y$124),Matching_Engine!$Y$124,-1)</f>
      </c>
      <c r="O124" s="34">
        <f>IF(ISNUMBER(Matching_Engine!$AE$124),Matching_Engine!$AE$124,-1)</f>
      </c>
      <c r="P124" s="34">
        <f>IF(ISNUMBER(Matching_Engine!$AM$124),Matching_Engine!$AM$124,-1)</f>
      </c>
      <c r="Q124" s="34">
        <f>IF(ISNUMBER(Matching_Engine!$AT$124),Matching_Engine!$AT$124,-1)</f>
      </c>
      <c r="R124" s="34">
        <f>MAX($L$124:$Q$124)</f>
      </c>
      <c r="S124" s="32">
        <f>INDEX({"Brand &amp; Business Relevance","Target Audience Relevance","Content &amp; Category Relevance","Brand Personality Fit","Performance Quality","Brand Safety"},MATCH($R$124,$L$124:$Q$124,0))</f>
      </c>
      <c r="T124" s="34">
        <f>IF(ISNUMBER(Matching_Engine!$M$124),Matching_Engine!$M$124,999)</f>
      </c>
      <c r="U124" s="34">
        <f>IF(ISNUMBER(Matching_Engine!$S$124),Matching_Engine!$S$124,999)</f>
      </c>
      <c r="V124" s="34">
        <f>IF(ISNUMBER(Matching_Engine!$Y$124),Matching_Engine!$Y$124,999)</f>
      </c>
      <c r="W124" s="34">
        <f>IF(ISNUMBER(Matching_Engine!$AE$124),Matching_Engine!$AE$124,999)</f>
      </c>
      <c r="X124" s="34">
        <f>IF(ISNUMBER(Matching_Engine!$AM$124),Matching_Engine!$AM$124,999)</f>
      </c>
      <c r="Y124" s="34">
        <f>IF(ISNUMBER(Matching_Engine!$AT$124),Matching_Engine!$AT$124,999)</f>
      </c>
      <c r="Z124" s="34">
        <f>MIN($T$124:$Y$124)</f>
      </c>
      <c r="AA124" s="32">
        <f>INDEX({"Brand &amp; Business Relevance","Target Audience Relevance","Content &amp; Category Relevance","Brand Personality Fit","Performance Quality","Brand Safety"},MATCH($Z$124,$T$124:$Y$124,0))</f>
      </c>
    </row>
    <row r="125" spans="1:27" x14ac:dyDescent="0.25">
      <c r="A125" s="32">
        <f>Matching_Engine!$B$125</f>
      </c>
      <c r="B125" s="32">
        <f>Matching_Engine!$D$125</f>
      </c>
      <c r="C125" s="32">
        <f>Matching_Engine!$E$125</f>
      </c>
      <c r="D125" s="33">
        <f>Matching_Engine!$AY$125</f>
      </c>
      <c r="E125" s="32">
        <f>Matching_Engine!$AZ$125</f>
      </c>
      <c r="F125" s="32">
        <f>IF(NOT(ISNUMBER(Matching_Engine!$AY$125)),"Not scored: no component of the model had data for this account, so no match can be claimed either way.",Matching_Engine!$AZ$125&amp;" — "&amp;Matching_Engine!$AY$125&amp;"/100 against "&amp;Matching_Engine!$B$125&amp;". "&amp;"Strongest factor "&amp;$S$125&amp;" at "&amp;$R$125&amp;"; weakest "&amp;$AA$125&amp;" at "&amp;$Z$125&amp;". "&amp;IF(AND(ISTEXT(Matching_Engine!$G$125),Matching_Engine!$G$125&lt;&gt;"N/A"),"Tagged category "&amp;Matching_Engine!$G$125&amp;" scores "&amp;IF(ISNUMBER(Matching_Engine!$J$125),Matching_Engine!$J$125,0)&amp;" against the brand category "&amp;Matching_Engine!$B$125&amp;" targets. ","Creator carries no category on record, so the category-driven parts fall back to neutral rather than penalising the creator. ")&amp;IF(ISNUMBER(Matching_Engine!$R$125),"Audience-interest overlap "&amp;Matching_Engine!$R$125&amp;". ","Audience interests unmeasured. ")&amp;IF(Matching_Engine!$AX$125&lt;100,"Scored on "&amp;Matching_Engine!$AX$125&amp;" of the 100 nominal weight points; the rest had no data.",""))</f>
      </c>
      <c r="G125" s="32">
        <f>IF(NOT(ISNUMBER(Matching_Engine!$AY$125)),"N/A",$S$125&amp;" ("&amp;$R$125&amp;"/100)")</f>
      </c>
      <c r="H125" s="32">
        <f>IF(NOT(ISNUMBER(Matching_Engine!$AY$125)),"N/A",$AA$125&amp;" ("&amp;$Z$125&amp;"/100)")</f>
      </c>
      <c r="I125" s="32">
        <f>IF(NOT(ISNUMBER(Matching_Engine!$AY$125)),"No data to consider: this account has no measured signal.",IF($Z$125&lt;Lookup_Lists!$D$161,$AA$125&amp;" sits at "&amp;$Z$125&amp;", below the "&amp;Lookup_Lists!$D$161&amp;"-point consideration threshold"&amp;IF(Matching_Engine!$AF$125=0," · Brand Personality Fit could not be scored at all: no creator personality, tone, values or content-style column exists","")&amp;IF(Matching_Engine!$AI$125="N/A"," · posting cadence unusable, so Consistency is excluded from Performance","")&amp;".","No component falls below the "&amp;Lookup_Lists!$D$161&amp;"-point consideration threshold."))</f>
      </c>
      <c r="J125" s="32">
        <f>Matching_Engine!$AV$125&amp;" — "&amp;Matching_Engine!$AW$125&amp;IF(Matching_Engine!$BB$125="Limited Data"," Confidence is Limited Data: "&amp;Matching_Engine!$BA$125&amp;"% of tracked fields carry a value.","")</f>
      </c>
      <c r="K125" s="32">
        <f>IF(NOT(ISNUMBER(Matching_Engine!$AY$125)),"Do not shortlist on this data — re-scrape the account first.",IF(Matching_Engine!$AY$125&gt;=Lookup_Lists!$D$156,"Highly Recommended",IF(Matching_Engine!$AY$125&gt;=Lookup_Lists!$D$157,"Recommended",IF(Matching_Engine!$AY$125&gt;=Lookup_Lists!$D$158,"Consider","Low Priority")))&amp;IF(Matching_Engine!$AX$125&lt;100," (on partial data)",""))</f>
      </c>
      <c r="L125" s="34">
        <f>IF(ISNUMBER(Matching_Engine!$M$125),Matching_Engine!$M$125,-1)</f>
      </c>
      <c r="M125" s="34">
        <f>IF(ISNUMBER(Matching_Engine!$S$125),Matching_Engine!$S$125,-1)</f>
      </c>
      <c r="N125" s="34">
        <f>IF(ISNUMBER(Matching_Engine!$Y$125),Matching_Engine!$Y$125,-1)</f>
      </c>
      <c r="O125" s="34">
        <f>IF(ISNUMBER(Matching_Engine!$AE$125),Matching_Engine!$AE$125,-1)</f>
      </c>
      <c r="P125" s="34">
        <f>IF(ISNUMBER(Matching_Engine!$AM$125),Matching_Engine!$AM$125,-1)</f>
      </c>
      <c r="Q125" s="34">
        <f>IF(ISNUMBER(Matching_Engine!$AT$125),Matching_Engine!$AT$125,-1)</f>
      </c>
      <c r="R125" s="34">
        <f>MAX($L$125:$Q$125)</f>
      </c>
      <c r="S125" s="32">
        <f>INDEX({"Brand &amp; Business Relevance","Target Audience Relevance","Content &amp; Category Relevance","Brand Personality Fit","Performance Quality","Brand Safety"},MATCH($R$125,$L$125:$Q$125,0))</f>
      </c>
      <c r="T125" s="34">
        <f>IF(ISNUMBER(Matching_Engine!$M$125),Matching_Engine!$M$125,999)</f>
      </c>
      <c r="U125" s="34">
        <f>IF(ISNUMBER(Matching_Engine!$S$125),Matching_Engine!$S$125,999)</f>
      </c>
      <c r="V125" s="34">
        <f>IF(ISNUMBER(Matching_Engine!$Y$125),Matching_Engine!$Y$125,999)</f>
      </c>
      <c r="W125" s="34">
        <f>IF(ISNUMBER(Matching_Engine!$AE$125),Matching_Engine!$AE$125,999)</f>
      </c>
      <c r="X125" s="34">
        <f>IF(ISNUMBER(Matching_Engine!$AM$125),Matching_Engine!$AM$125,999)</f>
      </c>
      <c r="Y125" s="34">
        <f>IF(ISNUMBER(Matching_Engine!$AT$125),Matching_Engine!$AT$125,999)</f>
      </c>
      <c r="Z125" s="34">
        <f>MIN($T$125:$Y$125)</f>
      </c>
      <c r="AA125" s="32">
        <f>INDEX({"Brand &amp; Business Relevance","Target Audience Relevance","Content &amp; Category Relevance","Brand Personality Fit","Performance Quality","Brand Safety"},MATCH($Z$125,$T$125:$Y$125,0))</f>
      </c>
    </row>
  </sheetData>
  <autoFilter ref="A5:K5"/>
  <mergeCells count="4">
    <mergeCell ref="A1:AA1"/>
    <mergeCell ref="A2:AA2"/>
    <mergeCell ref="A4:K4"/>
    <mergeCell ref="L4:AA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pane xSplit="2" ySplit="5" topLeftCell="C6" activePane="bottomRight" state="frozen"/>
      <selection pane="bottomRight"/>
    </sheetView>
  </sheetViews>
  <sheetFormatPr defaultRowHeight="15" outlineLevelRow="0" outlineLevelCol="0" x14ac:dyDescent="55"/>
  <cols>
    <col min="2" max="3" width="22" customWidth="1"/>
    <col min="4" max="4" width="11" customWidth="1"/>
    <col min="5" max="5" width="15" customWidth="1"/>
    <col min="6" max="10" width="13" customWidth="1"/>
    <col min="11" max="11" width="15" customWidth="1"/>
    <col min="12" max="12" width="11" customWidth="1"/>
    <col min="13" max="13" width="16" customWidth="1"/>
  </cols>
  <sheetData>
    <row r="1" ht="24" customHeight="1" spans="1:13" x14ac:dyDescent="0.25">
      <c r="A1" s="1" t="s">
        <v>706</v>
      </c>
      <c r="B1" s="1"/>
      <c r="C1" s="1"/>
      <c r="D1" s="1"/>
      <c r="E1" s="1"/>
      <c r="F1" s="1"/>
      <c r="G1" s="1"/>
      <c r="H1" s="1"/>
      <c r="I1" s="1"/>
      <c r="J1" s="1"/>
      <c r="K1" s="1"/>
      <c r="L1" s="1"/>
      <c r="M1" s="1"/>
    </row>
    <row r="2" ht="30" customHeight="1" spans="1:13" x14ac:dyDescent="0.25">
      <c r="A2" s="2" t="s">
        <v>707</v>
      </c>
      <c r="B2" s="2"/>
      <c r="C2" s="2"/>
      <c r="D2" s="2"/>
      <c r="E2" s="2"/>
      <c r="F2" s="2"/>
      <c r="G2" s="2"/>
      <c r="H2" s="2"/>
      <c r="I2" s="2"/>
      <c r="J2" s="2"/>
      <c r="K2" s="2"/>
      <c r="L2" s="2"/>
      <c r="M2" s="2"/>
    </row>
    <row r="5" ht="34" customHeight="1" spans="1:13" x14ac:dyDescent="0.25">
      <c r="A5" s="6" t="s">
        <v>93</v>
      </c>
      <c r="B5" s="6" t="s">
        <v>627</v>
      </c>
      <c r="C5" s="6" t="s">
        <v>628</v>
      </c>
      <c r="D5" s="6" t="s">
        <v>97</v>
      </c>
      <c r="E5" s="6" t="s">
        <v>103</v>
      </c>
      <c r="F5" s="6" t="s">
        <v>381</v>
      </c>
      <c r="G5" s="6" t="s">
        <v>382</v>
      </c>
      <c r="H5" s="6" t="s">
        <v>383</v>
      </c>
      <c r="I5" s="6" t="s">
        <v>384</v>
      </c>
      <c r="J5" s="6" t="s">
        <v>385</v>
      </c>
      <c r="K5" s="6" t="s">
        <v>708</v>
      </c>
      <c r="L5" s="6" t="s">
        <v>709</v>
      </c>
      <c r="M5" s="6" t="s">
        <v>710</v>
      </c>
    </row>
    <row r="6" spans="1:13" x14ac:dyDescent="0.25">
      <c r="A6" s="10">
        <f>KOL_Source_Data!$A$6</f>
      </c>
      <c r="B6" s="11">
        <f>KOL_Source_Data!$C$6</f>
      </c>
      <c r="C6" s="11">
        <f>KOL_Source_Data!$D$6</f>
      </c>
      <c r="D6" s="11">
        <f>KOL_Source_Data!$E$6</f>
      </c>
      <c r="E6" s="11">
        <f>KOL_Source_Data!$K$6</f>
      </c>
      <c r="F6" s="18">
        <f>IFERROR(INDEX(Matching_Engine!$AY$6:$AY$125,MATCH("BR-01|"&amp;$A6,Matching_Engine!$BG$6:$BG$125,0)),"N/A")</f>
      </c>
      <c r="G6" s="18">
        <f>IFERROR(INDEX(Matching_Engine!$AY$6:$AY$125,MATCH("BR-02|"&amp;$A6,Matching_Engine!$BG$6:$BG$125,0)),"N/A")</f>
      </c>
      <c r="H6" s="18">
        <f>IFERROR(INDEX(Matching_Engine!$AY$6:$AY$125,MATCH("BR-03|"&amp;$A6,Matching_Engine!$BG$6:$BG$125,0)),"N/A")</f>
      </c>
      <c r="I6" s="18">
        <f>IFERROR(INDEX(Matching_Engine!$AY$6:$AY$125,MATCH("BR-04|"&amp;$A6,Matching_Engine!$BG$6:$BG$125,0)),"N/A")</f>
      </c>
      <c r="J6" s="18">
        <f>IFERROR(INDEX(Matching_Engine!$AY$6:$AY$125,MATCH("BR-05|"&amp;$A6,Matching_Engine!$BG$6:$BG$125,0)),"N/A")</f>
      </c>
      <c r="K6" s="11">
        <f>IF(NOT(COUNT($F6:$J6)&gt;0),"N/A",INDEX({"NovaTech","LumiSkin","DailyBite","MoveFit","UrbanMuse"},MATCH(MAX($F6:$J6),$F6:$J6,0)))</f>
      </c>
      <c r="L6" s="18">
        <f>IF(NOT(COUNT($F6:$J6)&gt;0),"N/A",MAX($F6:$J6))</f>
      </c>
      <c r="M6" s="29">
        <f>IF(NOT(COUNT($F6:$J6)&gt;0),"N/A",MAX($F6:$J6)-MIN($F6:$J6))</f>
      </c>
    </row>
    <row r="7" spans="1:13" x14ac:dyDescent="0.25">
      <c r="A7" s="10">
        <f>KOL_Source_Data!$A$7</f>
      </c>
      <c r="B7" s="11">
        <f>KOL_Source_Data!$C$7</f>
      </c>
      <c r="C7" s="11">
        <f>KOL_Source_Data!$D$7</f>
      </c>
      <c r="D7" s="11">
        <f>KOL_Source_Data!$E$7</f>
      </c>
      <c r="E7" s="11">
        <f>KOL_Source_Data!$K$7</f>
      </c>
      <c r="F7" s="18">
        <f>IFERROR(INDEX(Matching_Engine!$AY$6:$AY$125,MATCH("BR-01|"&amp;$A7,Matching_Engine!$BG$6:$BG$125,0)),"N/A")</f>
      </c>
      <c r="G7" s="18">
        <f>IFERROR(INDEX(Matching_Engine!$AY$6:$AY$125,MATCH("BR-02|"&amp;$A7,Matching_Engine!$BG$6:$BG$125,0)),"N/A")</f>
      </c>
      <c r="H7" s="18">
        <f>IFERROR(INDEX(Matching_Engine!$AY$6:$AY$125,MATCH("BR-03|"&amp;$A7,Matching_Engine!$BG$6:$BG$125,0)),"N/A")</f>
      </c>
      <c r="I7" s="18">
        <f>IFERROR(INDEX(Matching_Engine!$AY$6:$AY$125,MATCH("BR-04|"&amp;$A7,Matching_Engine!$BG$6:$BG$125,0)),"N/A")</f>
      </c>
      <c r="J7" s="18">
        <f>IFERROR(INDEX(Matching_Engine!$AY$6:$AY$125,MATCH("BR-05|"&amp;$A7,Matching_Engine!$BG$6:$BG$125,0)),"N/A")</f>
      </c>
      <c r="K7" s="11">
        <f>IF(NOT(COUNT($F7:$J7)&gt;0),"N/A",INDEX({"NovaTech","LumiSkin","DailyBite","MoveFit","UrbanMuse"},MATCH(MAX($F7:$J7),$F7:$J7,0)))</f>
      </c>
      <c r="L7" s="18">
        <f>IF(NOT(COUNT($F7:$J7)&gt;0),"N/A",MAX($F7:$J7))</f>
      </c>
      <c r="M7" s="29">
        <f>IF(NOT(COUNT($F7:$J7)&gt;0),"N/A",MAX($F7:$J7)-MIN($F7:$J7))</f>
      </c>
    </row>
    <row r="8" spans="1:13" x14ac:dyDescent="0.25">
      <c r="A8" s="10">
        <f>KOL_Source_Data!$A$8</f>
      </c>
      <c r="B8" s="11">
        <f>KOL_Source_Data!$C$8</f>
      </c>
      <c r="C8" s="11">
        <f>KOL_Source_Data!$D$8</f>
      </c>
      <c r="D8" s="11">
        <f>KOL_Source_Data!$E$8</f>
      </c>
      <c r="E8" s="11">
        <f>KOL_Source_Data!$K$8</f>
      </c>
      <c r="F8" s="18">
        <f>IFERROR(INDEX(Matching_Engine!$AY$6:$AY$125,MATCH("BR-01|"&amp;$A8,Matching_Engine!$BG$6:$BG$125,0)),"N/A")</f>
      </c>
      <c r="G8" s="18">
        <f>IFERROR(INDEX(Matching_Engine!$AY$6:$AY$125,MATCH("BR-02|"&amp;$A8,Matching_Engine!$BG$6:$BG$125,0)),"N/A")</f>
      </c>
      <c r="H8" s="18">
        <f>IFERROR(INDEX(Matching_Engine!$AY$6:$AY$125,MATCH("BR-03|"&amp;$A8,Matching_Engine!$BG$6:$BG$125,0)),"N/A")</f>
      </c>
      <c r="I8" s="18">
        <f>IFERROR(INDEX(Matching_Engine!$AY$6:$AY$125,MATCH("BR-04|"&amp;$A8,Matching_Engine!$BG$6:$BG$125,0)),"N/A")</f>
      </c>
      <c r="J8" s="18">
        <f>IFERROR(INDEX(Matching_Engine!$AY$6:$AY$125,MATCH("BR-05|"&amp;$A8,Matching_Engine!$BG$6:$BG$125,0)),"N/A")</f>
      </c>
      <c r="K8" s="11">
        <f>IF(NOT(COUNT($F8:$J8)&gt;0),"N/A",INDEX({"NovaTech","LumiSkin","DailyBite","MoveFit","UrbanMuse"},MATCH(MAX($F8:$J8),$F8:$J8,0)))</f>
      </c>
      <c r="L8" s="18">
        <f>IF(NOT(COUNT($F8:$J8)&gt;0),"N/A",MAX($F8:$J8))</f>
      </c>
      <c r="M8" s="29">
        <f>IF(NOT(COUNT($F8:$J8)&gt;0),"N/A",MAX($F8:$J8)-MIN($F8:$J8))</f>
      </c>
    </row>
    <row r="9" spans="1:13" x14ac:dyDescent="0.25">
      <c r="A9" s="10">
        <f>KOL_Source_Data!$A$9</f>
      </c>
      <c r="B9" s="11">
        <f>KOL_Source_Data!$C$9</f>
      </c>
      <c r="C9" s="11">
        <f>KOL_Source_Data!$D$9</f>
      </c>
      <c r="D9" s="11">
        <f>KOL_Source_Data!$E$9</f>
      </c>
      <c r="E9" s="11">
        <f>KOL_Source_Data!$K$9</f>
      </c>
      <c r="F9" s="18">
        <f>IFERROR(INDEX(Matching_Engine!$AY$6:$AY$125,MATCH("BR-01|"&amp;$A9,Matching_Engine!$BG$6:$BG$125,0)),"N/A")</f>
      </c>
      <c r="G9" s="18">
        <f>IFERROR(INDEX(Matching_Engine!$AY$6:$AY$125,MATCH("BR-02|"&amp;$A9,Matching_Engine!$BG$6:$BG$125,0)),"N/A")</f>
      </c>
      <c r="H9" s="18">
        <f>IFERROR(INDEX(Matching_Engine!$AY$6:$AY$125,MATCH("BR-03|"&amp;$A9,Matching_Engine!$BG$6:$BG$125,0)),"N/A")</f>
      </c>
      <c r="I9" s="18">
        <f>IFERROR(INDEX(Matching_Engine!$AY$6:$AY$125,MATCH("BR-04|"&amp;$A9,Matching_Engine!$BG$6:$BG$125,0)),"N/A")</f>
      </c>
      <c r="J9" s="18">
        <f>IFERROR(INDEX(Matching_Engine!$AY$6:$AY$125,MATCH("BR-05|"&amp;$A9,Matching_Engine!$BG$6:$BG$125,0)),"N/A")</f>
      </c>
      <c r="K9" s="11">
        <f>IF(NOT(COUNT($F9:$J9)&gt;0),"N/A",INDEX({"NovaTech","LumiSkin","DailyBite","MoveFit","UrbanMuse"},MATCH(MAX($F9:$J9),$F9:$J9,0)))</f>
      </c>
      <c r="L9" s="18">
        <f>IF(NOT(COUNT($F9:$J9)&gt;0),"N/A",MAX($F9:$J9))</f>
      </c>
      <c r="M9" s="29">
        <f>IF(NOT(COUNT($F9:$J9)&gt;0),"N/A",MAX($F9:$J9)-MIN($F9:$J9))</f>
      </c>
    </row>
    <row r="10" spans="1:13" x14ac:dyDescent="0.25">
      <c r="A10" s="10">
        <f>KOL_Source_Data!$A$10</f>
      </c>
      <c r="B10" s="11">
        <f>KOL_Source_Data!$C$10</f>
      </c>
      <c r="C10" s="11">
        <f>KOL_Source_Data!$D$10</f>
      </c>
      <c r="D10" s="11">
        <f>KOL_Source_Data!$E$10</f>
      </c>
      <c r="E10" s="11">
        <f>KOL_Source_Data!$K$10</f>
      </c>
      <c r="F10" s="18">
        <f>IFERROR(INDEX(Matching_Engine!$AY$6:$AY$125,MATCH("BR-01|"&amp;$A10,Matching_Engine!$BG$6:$BG$125,0)),"N/A")</f>
      </c>
      <c r="G10" s="18">
        <f>IFERROR(INDEX(Matching_Engine!$AY$6:$AY$125,MATCH("BR-02|"&amp;$A10,Matching_Engine!$BG$6:$BG$125,0)),"N/A")</f>
      </c>
      <c r="H10" s="18">
        <f>IFERROR(INDEX(Matching_Engine!$AY$6:$AY$125,MATCH("BR-03|"&amp;$A10,Matching_Engine!$BG$6:$BG$125,0)),"N/A")</f>
      </c>
      <c r="I10" s="18">
        <f>IFERROR(INDEX(Matching_Engine!$AY$6:$AY$125,MATCH("BR-04|"&amp;$A10,Matching_Engine!$BG$6:$BG$125,0)),"N/A")</f>
      </c>
      <c r="J10" s="18">
        <f>IFERROR(INDEX(Matching_Engine!$AY$6:$AY$125,MATCH("BR-05|"&amp;$A10,Matching_Engine!$BG$6:$BG$125,0)),"N/A")</f>
      </c>
      <c r="K10" s="11">
        <f>IF(NOT(COUNT($F10:$J10)&gt;0),"N/A",INDEX({"NovaTech","LumiSkin","DailyBite","MoveFit","UrbanMuse"},MATCH(MAX($F10:$J10),$F10:$J10,0)))</f>
      </c>
      <c r="L10" s="18">
        <f>IF(NOT(COUNT($F10:$J10)&gt;0),"N/A",MAX($F10:$J10))</f>
      </c>
      <c r="M10" s="29">
        <f>IF(NOT(COUNT($F10:$J10)&gt;0),"N/A",MAX($F10:$J10)-MIN($F10:$J10))</f>
      </c>
    </row>
    <row r="11" spans="1:13" x14ac:dyDescent="0.25">
      <c r="A11" s="10">
        <f>KOL_Source_Data!$A$11</f>
      </c>
      <c r="B11" s="11">
        <f>KOL_Source_Data!$C$11</f>
      </c>
      <c r="C11" s="11">
        <f>KOL_Source_Data!$D$11</f>
      </c>
      <c r="D11" s="11">
        <f>KOL_Source_Data!$E$11</f>
      </c>
      <c r="E11" s="11">
        <f>KOL_Source_Data!$K$11</f>
      </c>
      <c r="F11" s="18">
        <f>IFERROR(INDEX(Matching_Engine!$AY$6:$AY$125,MATCH("BR-01|"&amp;$A11,Matching_Engine!$BG$6:$BG$125,0)),"N/A")</f>
      </c>
      <c r="G11" s="18">
        <f>IFERROR(INDEX(Matching_Engine!$AY$6:$AY$125,MATCH("BR-02|"&amp;$A11,Matching_Engine!$BG$6:$BG$125,0)),"N/A")</f>
      </c>
      <c r="H11" s="18">
        <f>IFERROR(INDEX(Matching_Engine!$AY$6:$AY$125,MATCH("BR-03|"&amp;$A11,Matching_Engine!$BG$6:$BG$125,0)),"N/A")</f>
      </c>
      <c r="I11" s="18">
        <f>IFERROR(INDEX(Matching_Engine!$AY$6:$AY$125,MATCH("BR-04|"&amp;$A11,Matching_Engine!$BG$6:$BG$125,0)),"N/A")</f>
      </c>
      <c r="J11" s="18">
        <f>IFERROR(INDEX(Matching_Engine!$AY$6:$AY$125,MATCH("BR-05|"&amp;$A11,Matching_Engine!$BG$6:$BG$125,0)),"N/A")</f>
      </c>
      <c r="K11" s="11">
        <f>IF(NOT(COUNT($F11:$J11)&gt;0),"N/A",INDEX({"NovaTech","LumiSkin","DailyBite","MoveFit","UrbanMuse"},MATCH(MAX($F11:$J11),$F11:$J11,0)))</f>
      </c>
      <c r="L11" s="18">
        <f>IF(NOT(COUNT($F11:$J11)&gt;0),"N/A",MAX($F11:$J11))</f>
      </c>
      <c r="M11" s="29">
        <f>IF(NOT(COUNT($F11:$J11)&gt;0),"N/A",MAX($F11:$J11)-MIN($F11:$J11))</f>
      </c>
    </row>
    <row r="12" spans="1:13" x14ac:dyDescent="0.25">
      <c r="A12" s="10">
        <f>KOL_Source_Data!$A$12</f>
      </c>
      <c r="B12" s="11">
        <f>KOL_Source_Data!$C$12</f>
      </c>
      <c r="C12" s="11">
        <f>KOL_Source_Data!$D$12</f>
      </c>
      <c r="D12" s="11">
        <f>KOL_Source_Data!$E$12</f>
      </c>
      <c r="E12" s="11">
        <f>KOL_Source_Data!$K$12</f>
      </c>
      <c r="F12" s="18">
        <f>IFERROR(INDEX(Matching_Engine!$AY$6:$AY$125,MATCH("BR-01|"&amp;$A12,Matching_Engine!$BG$6:$BG$125,0)),"N/A")</f>
      </c>
      <c r="G12" s="18">
        <f>IFERROR(INDEX(Matching_Engine!$AY$6:$AY$125,MATCH("BR-02|"&amp;$A12,Matching_Engine!$BG$6:$BG$125,0)),"N/A")</f>
      </c>
      <c r="H12" s="18">
        <f>IFERROR(INDEX(Matching_Engine!$AY$6:$AY$125,MATCH("BR-03|"&amp;$A12,Matching_Engine!$BG$6:$BG$125,0)),"N/A")</f>
      </c>
      <c r="I12" s="18">
        <f>IFERROR(INDEX(Matching_Engine!$AY$6:$AY$125,MATCH("BR-04|"&amp;$A12,Matching_Engine!$BG$6:$BG$125,0)),"N/A")</f>
      </c>
      <c r="J12" s="18">
        <f>IFERROR(INDEX(Matching_Engine!$AY$6:$AY$125,MATCH("BR-05|"&amp;$A12,Matching_Engine!$BG$6:$BG$125,0)),"N/A")</f>
      </c>
      <c r="K12" s="11">
        <f>IF(NOT(COUNT($F12:$J12)&gt;0),"N/A",INDEX({"NovaTech","LumiSkin","DailyBite","MoveFit","UrbanMuse"},MATCH(MAX($F12:$J12),$F12:$J12,0)))</f>
      </c>
      <c r="L12" s="18">
        <f>IF(NOT(COUNT($F12:$J12)&gt;0),"N/A",MAX($F12:$J12))</f>
      </c>
      <c r="M12" s="29">
        <f>IF(NOT(COUNT($F12:$J12)&gt;0),"N/A",MAX($F12:$J12)-MIN($F12:$J12))</f>
      </c>
    </row>
    <row r="13" spans="1:13" x14ac:dyDescent="0.25">
      <c r="A13" s="10">
        <f>KOL_Source_Data!$A$13</f>
      </c>
      <c r="B13" s="11">
        <f>KOL_Source_Data!$C$13</f>
      </c>
      <c r="C13" s="11">
        <f>KOL_Source_Data!$D$13</f>
      </c>
      <c r="D13" s="11">
        <f>KOL_Source_Data!$E$13</f>
      </c>
      <c r="E13" s="11">
        <f>KOL_Source_Data!$K$13</f>
      </c>
      <c r="F13" s="18">
        <f>IFERROR(INDEX(Matching_Engine!$AY$6:$AY$125,MATCH("BR-01|"&amp;$A13,Matching_Engine!$BG$6:$BG$125,0)),"N/A")</f>
      </c>
      <c r="G13" s="18">
        <f>IFERROR(INDEX(Matching_Engine!$AY$6:$AY$125,MATCH("BR-02|"&amp;$A13,Matching_Engine!$BG$6:$BG$125,0)),"N/A")</f>
      </c>
      <c r="H13" s="18">
        <f>IFERROR(INDEX(Matching_Engine!$AY$6:$AY$125,MATCH("BR-03|"&amp;$A13,Matching_Engine!$BG$6:$BG$125,0)),"N/A")</f>
      </c>
      <c r="I13" s="18">
        <f>IFERROR(INDEX(Matching_Engine!$AY$6:$AY$125,MATCH("BR-04|"&amp;$A13,Matching_Engine!$BG$6:$BG$125,0)),"N/A")</f>
      </c>
      <c r="J13" s="18">
        <f>IFERROR(INDEX(Matching_Engine!$AY$6:$AY$125,MATCH("BR-05|"&amp;$A13,Matching_Engine!$BG$6:$BG$125,0)),"N/A")</f>
      </c>
      <c r="K13" s="11">
        <f>IF(NOT(COUNT($F13:$J13)&gt;0),"N/A",INDEX({"NovaTech","LumiSkin","DailyBite","MoveFit","UrbanMuse"},MATCH(MAX($F13:$J13),$F13:$J13,0)))</f>
      </c>
      <c r="L13" s="18">
        <f>IF(NOT(COUNT($F13:$J13)&gt;0),"N/A",MAX($F13:$J13))</f>
      </c>
      <c r="M13" s="29">
        <f>IF(NOT(COUNT($F13:$J13)&gt;0),"N/A",MAX($F13:$J13)-MIN($F13:$J13))</f>
      </c>
    </row>
    <row r="14" spans="1:13" x14ac:dyDescent="0.25">
      <c r="A14" s="10">
        <f>KOL_Source_Data!$A$14</f>
      </c>
      <c r="B14" s="11">
        <f>KOL_Source_Data!$C$14</f>
      </c>
      <c r="C14" s="11">
        <f>KOL_Source_Data!$D$14</f>
      </c>
      <c r="D14" s="11">
        <f>KOL_Source_Data!$E$14</f>
      </c>
      <c r="E14" s="11">
        <f>KOL_Source_Data!$K$14</f>
      </c>
      <c r="F14" s="18">
        <f>IFERROR(INDEX(Matching_Engine!$AY$6:$AY$125,MATCH("BR-01|"&amp;$A14,Matching_Engine!$BG$6:$BG$125,0)),"N/A")</f>
      </c>
      <c r="G14" s="18">
        <f>IFERROR(INDEX(Matching_Engine!$AY$6:$AY$125,MATCH("BR-02|"&amp;$A14,Matching_Engine!$BG$6:$BG$125,0)),"N/A")</f>
      </c>
      <c r="H14" s="18">
        <f>IFERROR(INDEX(Matching_Engine!$AY$6:$AY$125,MATCH("BR-03|"&amp;$A14,Matching_Engine!$BG$6:$BG$125,0)),"N/A")</f>
      </c>
      <c r="I14" s="18">
        <f>IFERROR(INDEX(Matching_Engine!$AY$6:$AY$125,MATCH("BR-04|"&amp;$A14,Matching_Engine!$BG$6:$BG$125,0)),"N/A")</f>
      </c>
      <c r="J14" s="18">
        <f>IFERROR(INDEX(Matching_Engine!$AY$6:$AY$125,MATCH("BR-05|"&amp;$A14,Matching_Engine!$BG$6:$BG$125,0)),"N/A")</f>
      </c>
      <c r="K14" s="11">
        <f>IF(NOT(COUNT($F14:$J14)&gt;0),"N/A",INDEX({"NovaTech","LumiSkin","DailyBite","MoveFit","UrbanMuse"},MATCH(MAX($F14:$J14),$F14:$J14,0)))</f>
      </c>
      <c r="L14" s="18">
        <f>IF(NOT(COUNT($F14:$J14)&gt;0),"N/A",MAX($F14:$J14))</f>
      </c>
      <c r="M14" s="29">
        <f>IF(NOT(COUNT($F14:$J14)&gt;0),"N/A",MAX($F14:$J14)-MIN($F14:$J14))</f>
      </c>
    </row>
    <row r="15" spans="1:13" x14ac:dyDescent="0.25">
      <c r="A15" s="10">
        <f>KOL_Source_Data!$A$15</f>
      </c>
      <c r="B15" s="11">
        <f>KOL_Source_Data!$C$15</f>
      </c>
      <c r="C15" s="11">
        <f>KOL_Source_Data!$D$15</f>
      </c>
      <c r="D15" s="11">
        <f>KOL_Source_Data!$E$15</f>
      </c>
      <c r="E15" s="11">
        <f>KOL_Source_Data!$K$15</f>
      </c>
      <c r="F15" s="18">
        <f>IFERROR(INDEX(Matching_Engine!$AY$6:$AY$125,MATCH("BR-01|"&amp;$A15,Matching_Engine!$BG$6:$BG$125,0)),"N/A")</f>
      </c>
      <c r="G15" s="18">
        <f>IFERROR(INDEX(Matching_Engine!$AY$6:$AY$125,MATCH("BR-02|"&amp;$A15,Matching_Engine!$BG$6:$BG$125,0)),"N/A")</f>
      </c>
      <c r="H15" s="18">
        <f>IFERROR(INDEX(Matching_Engine!$AY$6:$AY$125,MATCH("BR-03|"&amp;$A15,Matching_Engine!$BG$6:$BG$125,0)),"N/A")</f>
      </c>
      <c r="I15" s="18">
        <f>IFERROR(INDEX(Matching_Engine!$AY$6:$AY$125,MATCH("BR-04|"&amp;$A15,Matching_Engine!$BG$6:$BG$125,0)),"N/A")</f>
      </c>
      <c r="J15" s="18">
        <f>IFERROR(INDEX(Matching_Engine!$AY$6:$AY$125,MATCH("BR-05|"&amp;$A15,Matching_Engine!$BG$6:$BG$125,0)),"N/A")</f>
      </c>
      <c r="K15" s="11">
        <f>IF(NOT(COUNT($F15:$J15)&gt;0),"N/A",INDEX({"NovaTech","LumiSkin","DailyBite","MoveFit","UrbanMuse"},MATCH(MAX($F15:$J15),$F15:$J15,0)))</f>
      </c>
      <c r="L15" s="18">
        <f>IF(NOT(COUNT($F15:$J15)&gt;0),"N/A",MAX($F15:$J15))</f>
      </c>
      <c r="M15" s="29">
        <f>IF(NOT(COUNT($F15:$J15)&gt;0),"N/A",MAX($F15:$J15)-MIN($F15:$J15))</f>
      </c>
    </row>
    <row r="16" spans="1:13" x14ac:dyDescent="0.25">
      <c r="A16" s="10">
        <f>KOL_Source_Data!$A$16</f>
      </c>
      <c r="B16" s="11">
        <f>KOL_Source_Data!$C$16</f>
      </c>
      <c r="C16" s="11">
        <f>KOL_Source_Data!$D$16</f>
      </c>
      <c r="D16" s="11">
        <f>KOL_Source_Data!$E$16</f>
      </c>
      <c r="E16" s="11">
        <f>KOL_Source_Data!$K$16</f>
      </c>
      <c r="F16" s="18">
        <f>IFERROR(INDEX(Matching_Engine!$AY$6:$AY$125,MATCH("BR-01|"&amp;$A16,Matching_Engine!$BG$6:$BG$125,0)),"N/A")</f>
      </c>
      <c r="G16" s="18">
        <f>IFERROR(INDEX(Matching_Engine!$AY$6:$AY$125,MATCH("BR-02|"&amp;$A16,Matching_Engine!$BG$6:$BG$125,0)),"N/A")</f>
      </c>
      <c r="H16" s="18">
        <f>IFERROR(INDEX(Matching_Engine!$AY$6:$AY$125,MATCH("BR-03|"&amp;$A16,Matching_Engine!$BG$6:$BG$125,0)),"N/A")</f>
      </c>
      <c r="I16" s="18">
        <f>IFERROR(INDEX(Matching_Engine!$AY$6:$AY$125,MATCH("BR-04|"&amp;$A16,Matching_Engine!$BG$6:$BG$125,0)),"N/A")</f>
      </c>
      <c r="J16" s="18">
        <f>IFERROR(INDEX(Matching_Engine!$AY$6:$AY$125,MATCH("BR-05|"&amp;$A16,Matching_Engine!$BG$6:$BG$125,0)),"N/A")</f>
      </c>
      <c r="K16" s="11">
        <f>IF(NOT(COUNT($F16:$J16)&gt;0),"N/A",INDEX({"NovaTech","LumiSkin","DailyBite","MoveFit","UrbanMuse"},MATCH(MAX($F16:$J16),$F16:$J16,0)))</f>
      </c>
      <c r="L16" s="18">
        <f>IF(NOT(COUNT($F16:$J16)&gt;0),"N/A",MAX($F16:$J16))</f>
      </c>
      <c r="M16" s="29">
        <f>IF(NOT(COUNT($F16:$J16)&gt;0),"N/A",MAX($F16:$J16)-MIN($F16:$J16))</f>
      </c>
    </row>
    <row r="17" spans="1:13" x14ac:dyDescent="0.25">
      <c r="A17" s="10">
        <f>KOL_Source_Data!$A$17</f>
      </c>
      <c r="B17" s="11">
        <f>KOL_Source_Data!$C$17</f>
      </c>
      <c r="C17" s="11">
        <f>KOL_Source_Data!$D$17</f>
      </c>
      <c r="D17" s="11">
        <f>KOL_Source_Data!$E$17</f>
      </c>
      <c r="E17" s="11">
        <f>KOL_Source_Data!$K$17</f>
      </c>
      <c r="F17" s="18">
        <f>IFERROR(INDEX(Matching_Engine!$AY$6:$AY$125,MATCH("BR-01|"&amp;$A17,Matching_Engine!$BG$6:$BG$125,0)),"N/A")</f>
      </c>
      <c r="G17" s="18">
        <f>IFERROR(INDEX(Matching_Engine!$AY$6:$AY$125,MATCH("BR-02|"&amp;$A17,Matching_Engine!$BG$6:$BG$125,0)),"N/A")</f>
      </c>
      <c r="H17" s="18">
        <f>IFERROR(INDEX(Matching_Engine!$AY$6:$AY$125,MATCH("BR-03|"&amp;$A17,Matching_Engine!$BG$6:$BG$125,0)),"N/A")</f>
      </c>
      <c r="I17" s="18">
        <f>IFERROR(INDEX(Matching_Engine!$AY$6:$AY$125,MATCH("BR-04|"&amp;$A17,Matching_Engine!$BG$6:$BG$125,0)),"N/A")</f>
      </c>
      <c r="J17" s="18">
        <f>IFERROR(INDEX(Matching_Engine!$AY$6:$AY$125,MATCH("BR-05|"&amp;$A17,Matching_Engine!$BG$6:$BG$125,0)),"N/A")</f>
      </c>
      <c r="K17" s="11">
        <f>IF(NOT(COUNT($F17:$J17)&gt;0),"N/A",INDEX({"NovaTech","LumiSkin","DailyBite","MoveFit","UrbanMuse"},MATCH(MAX($F17:$J17),$F17:$J17,0)))</f>
      </c>
      <c r="L17" s="18">
        <f>IF(NOT(COUNT($F17:$J17)&gt;0),"N/A",MAX($F17:$J17))</f>
      </c>
      <c r="M17" s="29">
        <f>IF(NOT(COUNT($F17:$J17)&gt;0),"N/A",MAX($F17:$J17)-MIN($F17:$J17))</f>
      </c>
    </row>
    <row r="18" spans="1:13" x14ac:dyDescent="0.25">
      <c r="A18" s="10">
        <f>KOL_Source_Data!$A$18</f>
      </c>
      <c r="B18" s="11">
        <f>KOL_Source_Data!$C$18</f>
      </c>
      <c r="C18" s="11">
        <f>KOL_Source_Data!$D$18</f>
      </c>
      <c r="D18" s="11">
        <f>KOL_Source_Data!$E$18</f>
      </c>
      <c r="E18" s="11">
        <f>KOL_Source_Data!$K$18</f>
      </c>
      <c r="F18" s="18">
        <f>IFERROR(INDEX(Matching_Engine!$AY$6:$AY$125,MATCH("BR-01|"&amp;$A18,Matching_Engine!$BG$6:$BG$125,0)),"N/A")</f>
      </c>
      <c r="G18" s="18">
        <f>IFERROR(INDEX(Matching_Engine!$AY$6:$AY$125,MATCH("BR-02|"&amp;$A18,Matching_Engine!$BG$6:$BG$125,0)),"N/A")</f>
      </c>
      <c r="H18" s="18">
        <f>IFERROR(INDEX(Matching_Engine!$AY$6:$AY$125,MATCH("BR-03|"&amp;$A18,Matching_Engine!$BG$6:$BG$125,0)),"N/A")</f>
      </c>
      <c r="I18" s="18">
        <f>IFERROR(INDEX(Matching_Engine!$AY$6:$AY$125,MATCH("BR-04|"&amp;$A18,Matching_Engine!$BG$6:$BG$125,0)),"N/A")</f>
      </c>
      <c r="J18" s="18">
        <f>IFERROR(INDEX(Matching_Engine!$AY$6:$AY$125,MATCH("BR-05|"&amp;$A18,Matching_Engine!$BG$6:$BG$125,0)),"N/A")</f>
      </c>
      <c r="K18" s="11">
        <f>IF(NOT(COUNT($F18:$J18)&gt;0),"N/A",INDEX({"NovaTech","LumiSkin","DailyBite","MoveFit","UrbanMuse"},MATCH(MAX($F18:$J18),$F18:$J18,0)))</f>
      </c>
      <c r="L18" s="18">
        <f>IF(NOT(COUNT($F18:$J18)&gt;0),"N/A",MAX($F18:$J18))</f>
      </c>
      <c r="M18" s="29">
        <f>IF(NOT(COUNT($F18:$J18)&gt;0),"N/A",MAX($F18:$J18)-MIN($F18:$J18))</f>
      </c>
    </row>
    <row r="19" spans="1:13" x14ac:dyDescent="0.25">
      <c r="A19" s="10">
        <f>KOL_Source_Data!$A$19</f>
      </c>
      <c r="B19" s="11">
        <f>KOL_Source_Data!$C$19</f>
      </c>
      <c r="C19" s="11">
        <f>KOL_Source_Data!$D$19</f>
      </c>
      <c r="D19" s="11">
        <f>KOL_Source_Data!$E$19</f>
      </c>
      <c r="E19" s="11">
        <f>KOL_Source_Data!$K$19</f>
      </c>
      <c r="F19" s="18">
        <f>IFERROR(INDEX(Matching_Engine!$AY$6:$AY$125,MATCH("BR-01|"&amp;$A19,Matching_Engine!$BG$6:$BG$125,0)),"N/A")</f>
      </c>
      <c r="G19" s="18">
        <f>IFERROR(INDEX(Matching_Engine!$AY$6:$AY$125,MATCH("BR-02|"&amp;$A19,Matching_Engine!$BG$6:$BG$125,0)),"N/A")</f>
      </c>
      <c r="H19" s="18">
        <f>IFERROR(INDEX(Matching_Engine!$AY$6:$AY$125,MATCH("BR-03|"&amp;$A19,Matching_Engine!$BG$6:$BG$125,0)),"N/A")</f>
      </c>
      <c r="I19" s="18">
        <f>IFERROR(INDEX(Matching_Engine!$AY$6:$AY$125,MATCH("BR-04|"&amp;$A19,Matching_Engine!$BG$6:$BG$125,0)),"N/A")</f>
      </c>
      <c r="J19" s="18">
        <f>IFERROR(INDEX(Matching_Engine!$AY$6:$AY$125,MATCH("BR-05|"&amp;$A19,Matching_Engine!$BG$6:$BG$125,0)),"N/A")</f>
      </c>
      <c r="K19" s="11">
        <f>IF(NOT(COUNT($F19:$J19)&gt;0),"N/A",INDEX({"NovaTech","LumiSkin","DailyBite","MoveFit","UrbanMuse"},MATCH(MAX($F19:$J19),$F19:$J19,0)))</f>
      </c>
      <c r="L19" s="18">
        <f>IF(NOT(COUNT($F19:$J19)&gt;0),"N/A",MAX($F19:$J19))</f>
      </c>
      <c r="M19" s="29">
        <f>IF(NOT(COUNT($F19:$J19)&gt;0),"N/A",MAX($F19:$J19)-MIN($F19:$J19))</f>
      </c>
    </row>
    <row r="20" spans="1:13" x14ac:dyDescent="0.25">
      <c r="A20" s="10">
        <f>KOL_Source_Data!$A$20</f>
      </c>
      <c r="B20" s="11">
        <f>KOL_Source_Data!$C$20</f>
      </c>
      <c r="C20" s="11">
        <f>KOL_Source_Data!$D$20</f>
      </c>
      <c r="D20" s="11">
        <f>KOL_Source_Data!$E$20</f>
      </c>
      <c r="E20" s="11">
        <f>KOL_Source_Data!$K$20</f>
      </c>
      <c r="F20" s="18">
        <f>IFERROR(INDEX(Matching_Engine!$AY$6:$AY$125,MATCH("BR-01|"&amp;$A20,Matching_Engine!$BG$6:$BG$125,0)),"N/A")</f>
      </c>
      <c r="G20" s="18">
        <f>IFERROR(INDEX(Matching_Engine!$AY$6:$AY$125,MATCH("BR-02|"&amp;$A20,Matching_Engine!$BG$6:$BG$125,0)),"N/A")</f>
      </c>
      <c r="H20" s="18">
        <f>IFERROR(INDEX(Matching_Engine!$AY$6:$AY$125,MATCH("BR-03|"&amp;$A20,Matching_Engine!$BG$6:$BG$125,0)),"N/A")</f>
      </c>
      <c r="I20" s="18">
        <f>IFERROR(INDEX(Matching_Engine!$AY$6:$AY$125,MATCH("BR-04|"&amp;$A20,Matching_Engine!$BG$6:$BG$125,0)),"N/A")</f>
      </c>
      <c r="J20" s="18">
        <f>IFERROR(INDEX(Matching_Engine!$AY$6:$AY$125,MATCH("BR-05|"&amp;$A20,Matching_Engine!$BG$6:$BG$125,0)),"N/A")</f>
      </c>
      <c r="K20" s="11">
        <f>IF(NOT(COUNT($F20:$J20)&gt;0),"N/A",INDEX({"NovaTech","LumiSkin","DailyBite","MoveFit","UrbanMuse"},MATCH(MAX($F20:$J20),$F20:$J20,0)))</f>
      </c>
      <c r="L20" s="18">
        <f>IF(NOT(COUNT($F20:$J20)&gt;0),"N/A",MAX($F20:$J20))</f>
      </c>
      <c r="M20" s="29">
        <f>IF(NOT(COUNT($F20:$J20)&gt;0),"N/A",MAX($F20:$J20)-MIN($F20:$J20))</f>
      </c>
    </row>
    <row r="21" spans="1:13" x14ac:dyDescent="0.25">
      <c r="A21" s="10">
        <f>KOL_Source_Data!$A$21</f>
      </c>
      <c r="B21" s="11">
        <f>KOL_Source_Data!$C$21</f>
      </c>
      <c r="C21" s="11">
        <f>KOL_Source_Data!$D$21</f>
      </c>
      <c r="D21" s="11">
        <f>KOL_Source_Data!$E$21</f>
      </c>
      <c r="E21" s="11">
        <f>KOL_Source_Data!$K$21</f>
      </c>
      <c r="F21" s="18">
        <f>IFERROR(INDEX(Matching_Engine!$AY$6:$AY$125,MATCH("BR-01|"&amp;$A21,Matching_Engine!$BG$6:$BG$125,0)),"N/A")</f>
      </c>
      <c r="G21" s="18">
        <f>IFERROR(INDEX(Matching_Engine!$AY$6:$AY$125,MATCH("BR-02|"&amp;$A21,Matching_Engine!$BG$6:$BG$125,0)),"N/A")</f>
      </c>
      <c r="H21" s="18">
        <f>IFERROR(INDEX(Matching_Engine!$AY$6:$AY$125,MATCH("BR-03|"&amp;$A21,Matching_Engine!$BG$6:$BG$125,0)),"N/A")</f>
      </c>
      <c r="I21" s="18">
        <f>IFERROR(INDEX(Matching_Engine!$AY$6:$AY$125,MATCH("BR-04|"&amp;$A21,Matching_Engine!$BG$6:$BG$125,0)),"N/A")</f>
      </c>
      <c r="J21" s="18">
        <f>IFERROR(INDEX(Matching_Engine!$AY$6:$AY$125,MATCH("BR-05|"&amp;$A21,Matching_Engine!$BG$6:$BG$125,0)),"N/A")</f>
      </c>
      <c r="K21" s="11">
        <f>IF(NOT(COUNT($F21:$J21)&gt;0),"N/A",INDEX({"NovaTech","LumiSkin","DailyBite","MoveFit","UrbanMuse"},MATCH(MAX($F21:$J21),$F21:$J21,0)))</f>
      </c>
      <c r="L21" s="18">
        <f>IF(NOT(COUNT($F21:$J21)&gt;0),"N/A",MAX($F21:$J21))</f>
      </c>
      <c r="M21" s="29">
        <f>IF(NOT(COUNT($F21:$J21)&gt;0),"N/A",MAX($F21:$J21)-MIN($F21:$J21))</f>
      </c>
    </row>
    <row r="22" spans="1:13" x14ac:dyDescent="0.25">
      <c r="A22" s="10">
        <f>KOL_Source_Data!$A$22</f>
      </c>
      <c r="B22" s="11">
        <f>KOL_Source_Data!$C$22</f>
      </c>
      <c r="C22" s="11">
        <f>KOL_Source_Data!$D$22</f>
      </c>
      <c r="D22" s="11">
        <f>KOL_Source_Data!$E$22</f>
      </c>
      <c r="E22" s="11">
        <f>KOL_Source_Data!$K$22</f>
      </c>
      <c r="F22" s="18">
        <f>IFERROR(INDEX(Matching_Engine!$AY$6:$AY$125,MATCH("BR-01|"&amp;$A22,Matching_Engine!$BG$6:$BG$125,0)),"N/A")</f>
      </c>
      <c r="G22" s="18">
        <f>IFERROR(INDEX(Matching_Engine!$AY$6:$AY$125,MATCH("BR-02|"&amp;$A22,Matching_Engine!$BG$6:$BG$125,0)),"N/A")</f>
      </c>
      <c r="H22" s="18">
        <f>IFERROR(INDEX(Matching_Engine!$AY$6:$AY$125,MATCH("BR-03|"&amp;$A22,Matching_Engine!$BG$6:$BG$125,0)),"N/A")</f>
      </c>
      <c r="I22" s="18">
        <f>IFERROR(INDEX(Matching_Engine!$AY$6:$AY$125,MATCH("BR-04|"&amp;$A22,Matching_Engine!$BG$6:$BG$125,0)),"N/A")</f>
      </c>
      <c r="J22" s="18">
        <f>IFERROR(INDEX(Matching_Engine!$AY$6:$AY$125,MATCH("BR-05|"&amp;$A22,Matching_Engine!$BG$6:$BG$125,0)),"N/A")</f>
      </c>
      <c r="K22" s="11">
        <f>IF(NOT(COUNT($F22:$J22)&gt;0),"N/A",INDEX({"NovaTech","LumiSkin","DailyBite","MoveFit","UrbanMuse"},MATCH(MAX($F22:$J22),$F22:$J22,0)))</f>
      </c>
      <c r="L22" s="18">
        <f>IF(NOT(COUNT($F22:$J22)&gt;0),"N/A",MAX($F22:$J22))</f>
      </c>
      <c r="M22" s="29">
        <f>IF(NOT(COUNT($F22:$J22)&gt;0),"N/A",MAX($F22:$J22)-MIN($F22:$J22))</f>
      </c>
    </row>
    <row r="23" spans="1:13" x14ac:dyDescent="0.25">
      <c r="A23" s="10">
        <f>KOL_Source_Data!$A$23</f>
      </c>
      <c r="B23" s="11">
        <f>KOL_Source_Data!$C$23</f>
      </c>
      <c r="C23" s="11">
        <f>KOL_Source_Data!$D$23</f>
      </c>
      <c r="D23" s="11">
        <f>KOL_Source_Data!$E$23</f>
      </c>
      <c r="E23" s="11">
        <f>KOL_Source_Data!$K$23</f>
      </c>
      <c r="F23" s="18">
        <f>IFERROR(INDEX(Matching_Engine!$AY$6:$AY$125,MATCH("BR-01|"&amp;$A23,Matching_Engine!$BG$6:$BG$125,0)),"N/A")</f>
      </c>
      <c r="G23" s="18">
        <f>IFERROR(INDEX(Matching_Engine!$AY$6:$AY$125,MATCH("BR-02|"&amp;$A23,Matching_Engine!$BG$6:$BG$125,0)),"N/A")</f>
      </c>
      <c r="H23" s="18">
        <f>IFERROR(INDEX(Matching_Engine!$AY$6:$AY$125,MATCH("BR-03|"&amp;$A23,Matching_Engine!$BG$6:$BG$125,0)),"N/A")</f>
      </c>
      <c r="I23" s="18">
        <f>IFERROR(INDEX(Matching_Engine!$AY$6:$AY$125,MATCH("BR-04|"&amp;$A23,Matching_Engine!$BG$6:$BG$125,0)),"N/A")</f>
      </c>
      <c r="J23" s="18">
        <f>IFERROR(INDEX(Matching_Engine!$AY$6:$AY$125,MATCH("BR-05|"&amp;$A23,Matching_Engine!$BG$6:$BG$125,0)),"N/A")</f>
      </c>
      <c r="K23" s="11">
        <f>IF(NOT(COUNT($F23:$J23)&gt;0),"N/A",INDEX({"NovaTech","LumiSkin","DailyBite","MoveFit","UrbanMuse"},MATCH(MAX($F23:$J23),$F23:$J23,0)))</f>
      </c>
      <c r="L23" s="18">
        <f>IF(NOT(COUNT($F23:$J23)&gt;0),"N/A",MAX($F23:$J23))</f>
      </c>
      <c r="M23" s="29">
        <f>IF(NOT(COUNT($F23:$J23)&gt;0),"N/A",MAX($F23:$J23)-MIN($F23:$J23))</f>
      </c>
    </row>
    <row r="24" spans="1:13" x14ac:dyDescent="0.25">
      <c r="A24" s="10">
        <f>KOL_Source_Data!$A$24</f>
      </c>
      <c r="B24" s="11">
        <f>KOL_Source_Data!$C$24</f>
      </c>
      <c r="C24" s="11">
        <f>KOL_Source_Data!$D$24</f>
      </c>
      <c r="D24" s="11">
        <f>KOL_Source_Data!$E$24</f>
      </c>
      <c r="E24" s="11">
        <f>KOL_Source_Data!$K$24</f>
      </c>
      <c r="F24" s="18">
        <f>IFERROR(INDEX(Matching_Engine!$AY$6:$AY$125,MATCH("BR-01|"&amp;$A24,Matching_Engine!$BG$6:$BG$125,0)),"N/A")</f>
      </c>
      <c r="G24" s="18">
        <f>IFERROR(INDEX(Matching_Engine!$AY$6:$AY$125,MATCH("BR-02|"&amp;$A24,Matching_Engine!$BG$6:$BG$125,0)),"N/A")</f>
      </c>
      <c r="H24" s="18">
        <f>IFERROR(INDEX(Matching_Engine!$AY$6:$AY$125,MATCH("BR-03|"&amp;$A24,Matching_Engine!$BG$6:$BG$125,0)),"N/A")</f>
      </c>
      <c r="I24" s="18">
        <f>IFERROR(INDEX(Matching_Engine!$AY$6:$AY$125,MATCH("BR-04|"&amp;$A24,Matching_Engine!$BG$6:$BG$125,0)),"N/A")</f>
      </c>
      <c r="J24" s="18">
        <f>IFERROR(INDEX(Matching_Engine!$AY$6:$AY$125,MATCH("BR-05|"&amp;$A24,Matching_Engine!$BG$6:$BG$125,0)),"N/A")</f>
      </c>
      <c r="K24" s="11">
        <f>IF(NOT(COUNT($F24:$J24)&gt;0),"N/A",INDEX({"NovaTech","LumiSkin","DailyBite","MoveFit","UrbanMuse"},MATCH(MAX($F24:$J24),$F24:$J24,0)))</f>
      </c>
      <c r="L24" s="18">
        <f>IF(NOT(COUNT($F24:$J24)&gt;0),"N/A",MAX($F24:$J24))</f>
      </c>
      <c r="M24" s="29">
        <f>IF(NOT(COUNT($F24:$J24)&gt;0),"N/A",MAX($F24:$J24)-MIN($F24:$J24))</f>
      </c>
    </row>
    <row r="25" spans="1:13" x14ac:dyDescent="0.25">
      <c r="A25" s="10">
        <f>KOL_Source_Data!$A$25</f>
      </c>
      <c r="B25" s="11">
        <f>KOL_Source_Data!$C$25</f>
      </c>
      <c r="C25" s="11">
        <f>KOL_Source_Data!$D$25</f>
      </c>
      <c r="D25" s="11">
        <f>KOL_Source_Data!$E$25</f>
      </c>
      <c r="E25" s="11">
        <f>KOL_Source_Data!$K$25</f>
      </c>
      <c r="F25" s="18">
        <f>IFERROR(INDEX(Matching_Engine!$AY$6:$AY$125,MATCH("BR-01|"&amp;$A25,Matching_Engine!$BG$6:$BG$125,0)),"N/A")</f>
      </c>
      <c r="G25" s="18">
        <f>IFERROR(INDEX(Matching_Engine!$AY$6:$AY$125,MATCH("BR-02|"&amp;$A25,Matching_Engine!$BG$6:$BG$125,0)),"N/A")</f>
      </c>
      <c r="H25" s="18">
        <f>IFERROR(INDEX(Matching_Engine!$AY$6:$AY$125,MATCH("BR-03|"&amp;$A25,Matching_Engine!$BG$6:$BG$125,0)),"N/A")</f>
      </c>
      <c r="I25" s="18">
        <f>IFERROR(INDEX(Matching_Engine!$AY$6:$AY$125,MATCH("BR-04|"&amp;$A25,Matching_Engine!$BG$6:$BG$125,0)),"N/A")</f>
      </c>
      <c r="J25" s="18">
        <f>IFERROR(INDEX(Matching_Engine!$AY$6:$AY$125,MATCH("BR-05|"&amp;$A25,Matching_Engine!$BG$6:$BG$125,0)),"N/A")</f>
      </c>
      <c r="K25" s="11">
        <f>IF(NOT(COUNT($F25:$J25)&gt;0),"N/A",INDEX({"NovaTech","LumiSkin","DailyBite","MoveFit","UrbanMuse"},MATCH(MAX($F25:$J25),$F25:$J25,0)))</f>
      </c>
      <c r="L25" s="18">
        <f>IF(NOT(COUNT($F25:$J25)&gt;0),"N/A",MAX($F25:$J25))</f>
      </c>
      <c r="M25" s="29">
        <f>IF(NOT(COUNT($F25:$J25)&gt;0),"N/A",MAX($F25:$J25)-MIN($F25:$J25))</f>
      </c>
    </row>
    <row r="26" spans="1:13" x14ac:dyDescent="0.25">
      <c r="A26" s="10">
        <f>KOL_Source_Data!$A$26</f>
      </c>
      <c r="B26" s="11">
        <f>KOL_Source_Data!$C$26</f>
      </c>
      <c r="C26" s="11">
        <f>KOL_Source_Data!$D$26</f>
      </c>
      <c r="D26" s="11">
        <f>KOL_Source_Data!$E$26</f>
      </c>
      <c r="E26" s="11">
        <f>KOL_Source_Data!$K$26</f>
      </c>
      <c r="F26" s="18">
        <f>IFERROR(INDEX(Matching_Engine!$AY$6:$AY$125,MATCH("BR-01|"&amp;$A26,Matching_Engine!$BG$6:$BG$125,0)),"N/A")</f>
      </c>
      <c r="G26" s="18">
        <f>IFERROR(INDEX(Matching_Engine!$AY$6:$AY$125,MATCH("BR-02|"&amp;$A26,Matching_Engine!$BG$6:$BG$125,0)),"N/A")</f>
      </c>
      <c r="H26" s="18">
        <f>IFERROR(INDEX(Matching_Engine!$AY$6:$AY$125,MATCH("BR-03|"&amp;$A26,Matching_Engine!$BG$6:$BG$125,0)),"N/A")</f>
      </c>
      <c r="I26" s="18">
        <f>IFERROR(INDEX(Matching_Engine!$AY$6:$AY$125,MATCH("BR-04|"&amp;$A26,Matching_Engine!$BG$6:$BG$125,0)),"N/A")</f>
      </c>
      <c r="J26" s="18">
        <f>IFERROR(INDEX(Matching_Engine!$AY$6:$AY$125,MATCH("BR-05|"&amp;$A26,Matching_Engine!$BG$6:$BG$125,0)),"N/A")</f>
      </c>
      <c r="K26" s="11">
        <f>IF(NOT(COUNT($F26:$J26)&gt;0),"N/A",INDEX({"NovaTech","LumiSkin","DailyBite","MoveFit","UrbanMuse"},MATCH(MAX($F26:$J26),$F26:$J26,0)))</f>
      </c>
      <c r="L26" s="18">
        <f>IF(NOT(COUNT($F26:$J26)&gt;0),"N/A",MAX($F26:$J26))</f>
      </c>
      <c r="M26" s="29">
        <f>IF(NOT(COUNT($F26:$J26)&gt;0),"N/A",MAX($F26:$J26)-MIN($F26:$J26))</f>
      </c>
    </row>
    <row r="27" spans="1:13" x14ac:dyDescent="0.25">
      <c r="A27" s="10">
        <f>KOL_Source_Data!$A$27</f>
      </c>
      <c r="B27" s="11">
        <f>KOL_Source_Data!$C$27</f>
      </c>
      <c r="C27" s="11">
        <f>KOL_Source_Data!$D$27</f>
      </c>
      <c r="D27" s="11">
        <f>KOL_Source_Data!$E$27</f>
      </c>
      <c r="E27" s="11">
        <f>KOL_Source_Data!$K$27</f>
      </c>
      <c r="F27" s="18">
        <f>IFERROR(INDEX(Matching_Engine!$AY$6:$AY$125,MATCH("BR-01|"&amp;$A27,Matching_Engine!$BG$6:$BG$125,0)),"N/A")</f>
      </c>
      <c r="G27" s="18">
        <f>IFERROR(INDEX(Matching_Engine!$AY$6:$AY$125,MATCH("BR-02|"&amp;$A27,Matching_Engine!$BG$6:$BG$125,0)),"N/A")</f>
      </c>
      <c r="H27" s="18">
        <f>IFERROR(INDEX(Matching_Engine!$AY$6:$AY$125,MATCH("BR-03|"&amp;$A27,Matching_Engine!$BG$6:$BG$125,0)),"N/A")</f>
      </c>
      <c r="I27" s="18">
        <f>IFERROR(INDEX(Matching_Engine!$AY$6:$AY$125,MATCH("BR-04|"&amp;$A27,Matching_Engine!$BG$6:$BG$125,0)),"N/A")</f>
      </c>
      <c r="J27" s="18">
        <f>IFERROR(INDEX(Matching_Engine!$AY$6:$AY$125,MATCH("BR-05|"&amp;$A27,Matching_Engine!$BG$6:$BG$125,0)),"N/A")</f>
      </c>
      <c r="K27" s="11">
        <f>IF(NOT(COUNT($F27:$J27)&gt;0),"N/A",INDEX({"NovaTech","LumiSkin","DailyBite","MoveFit","UrbanMuse"},MATCH(MAX($F27:$J27),$F27:$J27,0)))</f>
      </c>
      <c r="L27" s="18">
        <f>IF(NOT(COUNT($F27:$J27)&gt;0),"N/A",MAX($F27:$J27))</f>
      </c>
      <c r="M27" s="29">
        <f>IF(NOT(COUNT($F27:$J27)&gt;0),"N/A",MAX($F27:$J27)-MIN($F27:$J27))</f>
      </c>
    </row>
    <row r="28" spans="1:13" x14ac:dyDescent="0.25">
      <c r="A28" s="10">
        <f>KOL_Source_Data!$A$28</f>
      </c>
      <c r="B28" s="11">
        <f>KOL_Source_Data!$C$28</f>
      </c>
      <c r="C28" s="11">
        <f>KOL_Source_Data!$D$28</f>
      </c>
      <c r="D28" s="11">
        <f>KOL_Source_Data!$E$28</f>
      </c>
      <c r="E28" s="11">
        <f>KOL_Source_Data!$K$28</f>
      </c>
      <c r="F28" s="18">
        <f>IFERROR(INDEX(Matching_Engine!$AY$6:$AY$125,MATCH("BR-01|"&amp;$A28,Matching_Engine!$BG$6:$BG$125,0)),"N/A")</f>
      </c>
      <c r="G28" s="18">
        <f>IFERROR(INDEX(Matching_Engine!$AY$6:$AY$125,MATCH("BR-02|"&amp;$A28,Matching_Engine!$BG$6:$BG$125,0)),"N/A")</f>
      </c>
      <c r="H28" s="18">
        <f>IFERROR(INDEX(Matching_Engine!$AY$6:$AY$125,MATCH("BR-03|"&amp;$A28,Matching_Engine!$BG$6:$BG$125,0)),"N/A")</f>
      </c>
      <c r="I28" s="18">
        <f>IFERROR(INDEX(Matching_Engine!$AY$6:$AY$125,MATCH("BR-04|"&amp;$A28,Matching_Engine!$BG$6:$BG$125,0)),"N/A")</f>
      </c>
      <c r="J28" s="18">
        <f>IFERROR(INDEX(Matching_Engine!$AY$6:$AY$125,MATCH("BR-05|"&amp;$A28,Matching_Engine!$BG$6:$BG$125,0)),"N/A")</f>
      </c>
      <c r="K28" s="11">
        <f>IF(NOT(COUNT($F28:$J28)&gt;0),"N/A",INDEX({"NovaTech","LumiSkin","DailyBite","MoveFit","UrbanMuse"},MATCH(MAX($F28:$J28),$F28:$J28,0)))</f>
      </c>
      <c r="L28" s="18">
        <f>IF(NOT(COUNT($F28:$J28)&gt;0),"N/A",MAX($F28:$J28))</f>
      </c>
      <c r="M28" s="29">
        <f>IF(NOT(COUNT($F28:$J28)&gt;0),"N/A",MAX($F28:$J28)-MIN($F28:$J28))</f>
      </c>
    </row>
    <row r="29" spans="1:13" x14ac:dyDescent="0.25">
      <c r="A29" s="10">
        <f>KOL_Source_Data!$A$29</f>
      </c>
      <c r="B29" s="11">
        <f>KOL_Source_Data!$C$29</f>
      </c>
      <c r="C29" s="11">
        <f>KOL_Source_Data!$D$29</f>
      </c>
      <c r="D29" s="11">
        <f>KOL_Source_Data!$E$29</f>
      </c>
      <c r="E29" s="11">
        <f>KOL_Source_Data!$K$29</f>
      </c>
      <c r="F29" s="18">
        <f>IFERROR(INDEX(Matching_Engine!$AY$6:$AY$125,MATCH("BR-01|"&amp;$A29,Matching_Engine!$BG$6:$BG$125,0)),"N/A")</f>
      </c>
      <c r="G29" s="18">
        <f>IFERROR(INDEX(Matching_Engine!$AY$6:$AY$125,MATCH("BR-02|"&amp;$A29,Matching_Engine!$BG$6:$BG$125,0)),"N/A")</f>
      </c>
      <c r="H29" s="18">
        <f>IFERROR(INDEX(Matching_Engine!$AY$6:$AY$125,MATCH("BR-03|"&amp;$A29,Matching_Engine!$BG$6:$BG$125,0)),"N/A")</f>
      </c>
      <c r="I29" s="18">
        <f>IFERROR(INDEX(Matching_Engine!$AY$6:$AY$125,MATCH("BR-04|"&amp;$A29,Matching_Engine!$BG$6:$BG$125,0)),"N/A")</f>
      </c>
      <c r="J29" s="18">
        <f>IFERROR(INDEX(Matching_Engine!$AY$6:$AY$125,MATCH("BR-05|"&amp;$A29,Matching_Engine!$BG$6:$BG$125,0)),"N/A")</f>
      </c>
      <c r="K29" s="11">
        <f>IF(NOT(COUNT($F29:$J29)&gt;0),"N/A",INDEX({"NovaTech","LumiSkin","DailyBite","MoveFit","UrbanMuse"},MATCH(MAX($F29:$J29),$F29:$J29,0)))</f>
      </c>
      <c r="L29" s="18">
        <f>IF(NOT(COUNT($F29:$J29)&gt;0),"N/A",MAX($F29:$J29))</f>
      </c>
      <c r="M29" s="29">
        <f>IF(NOT(COUNT($F29:$J29)&gt;0),"N/A",MAX($F29:$J29)-MIN($F29:$J29))</f>
      </c>
    </row>
  </sheetData>
  <mergeCells count="2">
    <mergeCell ref="A1:M1"/>
    <mergeCell ref="A2:M2"/>
  </mergeCells>
  <conditionalFormatting sqref="F6:J29">
    <cfRule type="colorScale" priority="1">
      <colorScale>
        <cfvo type="num" val="30"/>
        <cfvo type="num" val="55"/>
        <cfvo type="num" val="80"/>
        <color rgb="FFF8696B"/>
        <color rgb="FFFFEB84"/>
        <color rgb="FF63BE7B"/>
      </colorScale>
    </cfRule>
  </conditionalFormatting>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
  <sheetViews>
    <sheetView workbookViewId="0">
      <pane ySplit="4" topLeftCell="A5" activePane="bottomLeft" state="frozen"/>
      <selection pane="bottomLeft"/>
    </sheetView>
  </sheetViews>
  <sheetFormatPr defaultRowHeight="15" outlineLevelRow="0" outlineLevelCol="0" x14ac:dyDescent="55"/>
  <cols>
    <col min="1" max="1" width="5" customWidth="1"/>
    <col min="2" max="3" width="22" customWidth="1"/>
    <col min="4" max="4" width="15" customWidth="1"/>
    <col min="5" max="5" width="12" customWidth="1"/>
    <col min="6" max="6" width="16" customWidth="1"/>
    <col min="7" max="7" width="13" customWidth="1"/>
    <col min="8" max="8" width="40" customWidth="1"/>
  </cols>
  <sheetData>
    <row r="1" ht="24" customHeight="1" spans="1:8" x14ac:dyDescent="0.25">
      <c r="A1" s="1" t="s">
        <v>711</v>
      </c>
      <c r="B1" s="1"/>
      <c r="C1" s="1"/>
      <c r="D1" s="1"/>
      <c r="E1" s="1"/>
      <c r="F1" s="1"/>
      <c r="G1" s="1"/>
      <c r="H1" s="1"/>
    </row>
    <row r="2" ht="30" customHeight="1" spans="1:8" x14ac:dyDescent="0.25">
      <c r="A2" s="2" t="s">
        <v>712</v>
      </c>
      <c r="B2" s="2"/>
      <c r="C2" s="2"/>
      <c r="D2" s="2"/>
      <c r="E2" s="2"/>
      <c r="F2" s="2"/>
      <c r="G2" s="2"/>
      <c r="H2" s="2"/>
    </row>
    <row r="4" ht="18" customHeight="1" spans="1:8" x14ac:dyDescent="0.25">
      <c r="A4" s="3" t="s">
        <v>713</v>
      </c>
      <c r="B4" s="3"/>
      <c r="C4" s="3"/>
      <c r="D4" s="3"/>
      <c r="E4" s="3"/>
      <c r="F4" s="3"/>
      <c r="G4" s="3"/>
      <c r="H4" s="3"/>
    </row>
    <row r="5" ht="24" customHeight="1" spans="1:8" x14ac:dyDescent="0.25">
      <c r="A5" s="6" t="s">
        <v>714</v>
      </c>
      <c r="B5" s="6" t="s">
        <v>627</v>
      </c>
      <c r="C5" s="6" t="s">
        <v>628</v>
      </c>
      <c r="D5" s="6" t="s">
        <v>103</v>
      </c>
      <c r="E5" s="6" t="s">
        <v>679</v>
      </c>
      <c r="F5" s="6" t="s">
        <v>669</v>
      </c>
      <c r="G5" s="6" t="s">
        <v>168</v>
      </c>
      <c r="H5" s="6" t="s">
        <v>685</v>
      </c>
    </row>
    <row r="6" spans="1:8" x14ac:dyDescent="0.25">
      <c r="A6" s="35">
        <v>1</v>
      </c>
      <c r="B6" s="11">
        <f>IFERROR(INDEX(Matching_Engine!$D$6:$D$29,MATCH(LARGE(Matching_Engine!$BC$6:$BC$29,1),Matching_Engine!$BC$6:$BC$29,0)),"")</f>
      </c>
      <c r="C6" s="11">
        <f>IFERROR(INDEX(Matching_Engine!$E$6:$E$29,MATCH(LARGE(Matching_Engine!$BC$6:$BC$29,1),Matching_Engine!$BC$6:$BC$29,0)),"")</f>
      </c>
      <c r="D6" s="11">
        <f>IFERROR(INDEX(Matching_Engine!$G$6:$G$29,MATCH(LARGE(Matching_Engine!$BC$6:$BC$29,1),Matching_Engine!$BC$6:$BC$29,0)),"")</f>
      </c>
      <c r="E6" s="29">
        <f>IFERROR(INDEX(Matching_Engine!$AY$6:$AY$29,MATCH(LARGE(Matching_Engine!$BC$6:$BC$29,1),Matching_Engine!$BC$6:$BC$29,0)),"N/A")</f>
      </c>
      <c r="F6" s="11">
        <f>IFERROR(INDEX(Matching_Engine!$AZ$6:$AZ$29,MATCH(LARGE(Matching_Engine!$BC$6:$BC$29,1),Matching_Engine!$BC$6:$BC$29,0)),"")</f>
      </c>
      <c r="G6" s="11">
        <f>IFERROR(INDEX(Matching_Engine!$BB$6:$BB$29,MATCH(LARGE(Matching_Engine!$BC$6:$BC$29,1),Matching_Engine!$BC$6:$BC$29,0)),"")</f>
      </c>
      <c r="H6" s="11">
        <f>IFERROR(INDEX(Match_Explanation!$G$6:$G$125,MATCH("BR-01|"&amp;INDEX(Matching_Engine!$C$6:$C$29,MATCH(LARGE(Matching_Engine!$BC$6:$BC$29,1),Matching_Engine!$BC$6:$BC$29,0)),Matching_Engine!$BG$6:$BG$125,0)),"")</f>
      </c>
    </row>
    <row r="7" spans="1:8" x14ac:dyDescent="0.25">
      <c r="A7" s="35">
        <v>2</v>
      </c>
      <c r="B7" s="11">
        <f>IFERROR(INDEX(Matching_Engine!$D$6:$D$29,MATCH(LARGE(Matching_Engine!$BC$6:$BC$29,2),Matching_Engine!$BC$6:$BC$29,0)),"")</f>
      </c>
      <c r="C7" s="11">
        <f>IFERROR(INDEX(Matching_Engine!$E$6:$E$29,MATCH(LARGE(Matching_Engine!$BC$6:$BC$29,2),Matching_Engine!$BC$6:$BC$29,0)),"")</f>
      </c>
      <c r="D7" s="11">
        <f>IFERROR(INDEX(Matching_Engine!$G$6:$G$29,MATCH(LARGE(Matching_Engine!$BC$6:$BC$29,2),Matching_Engine!$BC$6:$BC$29,0)),"")</f>
      </c>
      <c r="E7" s="29">
        <f>IFERROR(INDEX(Matching_Engine!$AY$6:$AY$29,MATCH(LARGE(Matching_Engine!$BC$6:$BC$29,2),Matching_Engine!$BC$6:$BC$29,0)),"N/A")</f>
      </c>
      <c r="F7" s="11">
        <f>IFERROR(INDEX(Matching_Engine!$AZ$6:$AZ$29,MATCH(LARGE(Matching_Engine!$BC$6:$BC$29,2),Matching_Engine!$BC$6:$BC$29,0)),"")</f>
      </c>
      <c r="G7" s="11">
        <f>IFERROR(INDEX(Matching_Engine!$BB$6:$BB$29,MATCH(LARGE(Matching_Engine!$BC$6:$BC$29,2),Matching_Engine!$BC$6:$BC$29,0)),"")</f>
      </c>
      <c r="H7" s="11">
        <f>IFERROR(INDEX(Match_Explanation!$G$6:$G$125,MATCH("BR-01|"&amp;INDEX(Matching_Engine!$C$6:$C$29,MATCH(LARGE(Matching_Engine!$BC$6:$BC$29,2),Matching_Engine!$BC$6:$BC$29,0)),Matching_Engine!$BG$6:$BG$125,0)),"")</f>
      </c>
    </row>
    <row r="8" spans="1:8" x14ac:dyDescent="0.25">
      <c r="A8" s="35">
        <v>3</v>
      </c>
      <c r="B8" s="11">
        <f>IFERROR(INDEX(Matching_Engine!$D$6:$D$29,MATCH(LARGE(Matching_Engine!$BC$6:$BC$29,3),Matching_Engine!$BC$6:$BC$29,0)),"")</f>
      </c>
      <c r="C8" s="11">
        <f>IFERROR(INDEX(Matching_Engine!$E$6:$E$29,MATCH(LARGE(Matching_Engine!$BC$6:$BC$29,3),Matching_Engine!$BC$6:$BC$29,0)),"")</f>
      </c>
      <c r="D8" s="11">
        <f>IFERROR(INDEX(Matching_Engine!$G$6:$G$29,MATCH(LARGE(Matching_Engine!$BC$6:$BC$29,3),Matching_Engine!$BC$6:$BC$29,0)),"")</f>
      </c>
      <c r="E8" s="29">
        <f>IFERROR(INDEX(Matching_Engine!$AY$6:$AY$29,MATCH(LARGE(Matching_Engine!$BC$6:$BC$29,3),Matching_Engine!$BC$6:$BC$29,0)),"N/A")</f>
      </c>
      <c r="F8" s="11">
        <f>IFERROR(INDEX(Matching_Engine!$AZ$6:$AZ$29,MATCH(LARGE(Matching_Engine!$BC$6:$BC$29,3),Matching_Engine!$BC$6:$BC$29,0)),"")</f>
      </c>
      <c r="G8" s="11">
        <f>IFERROR(INDEX(Matching_Engine!$BB$6:$BB$29,MATCH(LARGE(Matching_Engine!$BC$6:$BC$29,3),Matching_Engine!$BC$6:$BC$29,0)),"")</f>
      </c>
      <c r="H8" s="11">
        <f>IFERROR(INDEX(Match_Explanation!$G$6:$G$125,MATCH("BR-01|"&amp;INDEX(Matching_Engine!$C$6:$C$29,MATCH(LARGE(Matching_Engine!$BC$6:$BC$29,3),Matching_Engine!$BC$6:$BC$29,0)),Matching_Engine!$BG$6:$BG$125,0)),"")</f>
      </c>
    </row>
    <row r="9" spans="1:8" x14ac:dyDescent="0.25">
      <c r="A9" s="35">
        <v>4</v>
      </c>
      <c r="B9" s="11">
        <f>IFERROR(INDEX(Matching_Engine!$D$6:$D$29,MATCH(LARGE(Matching_Engine!$BC$6:$BC$29,4),Matching_Engine!$BC$6:$BC$29,0)),"")</f>
      </c>
      <c r="C9" s="11">
        <f>IFERROR(INDEX(Matching_Engine!$E$6:$E$29,MATCH(LARGE(Matching_Engine!$BC$6:$BC$29,4),Matching_Engine!$BC$6:$BC$29,0)),"")</f>
      </c>
      <c r="D9" s="11">
        <f>IFERROR(INDEX(Matching_Engine!$G$6:$G$29,MATCH(LARGE(Matching_Engine!$BC$6:$BC$29,4),Matching_Engine!$BC$6:$BC$29,0)),"")</f>
      </c>
      <c r="E9" s="29">
        <f>IFERROR(INDEX(Matching_Engine!$AY$6:$AY$29,MATCH(LARGE(Matching_Engine!$BC$6:$BC$29,4),Matching_Engine!$BC$6:$BC$29,0)),"N/A")</f>
      </c>
      <c r="F9" s="11">
        <f>IFERROR(INDEX(Matching_Engine!$AZ$6:$AZ$29,MATCH(LARGE(Matching_Engine!$BC$6:$BC$29,4),Matching_Engine!$BC$6:$BC$29,0)),"")</f>
      </c>
      <c r="G9" s="11">
        <f>IFERROR(INDEX(Matching_Engine!$BB$6:$BB$29,MATCH(LARGE(Matching_Engine!$BC$6:$BC$29,4),Matching_Engine!$BC$6:$BC$29,0)),"")</f>
      </c>
      <c r="H9" s="11">
        <f>IFERROR(INDEX(Match_Explanation!$G$6:$G$125,MATCH("BR-01|"&amp;INDEX(Matching_Engine!$C$6:$C$29,MATCH(LARGE(Matching_Engine!$BC$6:$BC$29,4),Matching_Engine!$BC$6:$BC$29,0)),Matching_Engine!$BG$6:$BG$125,0)),"")</f>
      </c>
    </row>
    <row r="10" spans="1:8" x14ac:dyDescent="0.25">
      <c r="A10" s="35">
        <v>5</v>
      </c>
      <c r="B10" s="11">
        <f>IFERROR(INDEX(Matching_Engine!$D$6:$D$29,MATCH(LARGE(Matching_Engine!$BC$6:$BC$29,5),Matching_Engine!$BC$6:$BC$29,0)),"")</f>
      </c>
      <c r="C10" s="11">
        <f>IFERROR(INDEX(Matching_Engine!$E$6:$E$29,MATCH(LARGE(Matching_Engine!$BC$6:$BC$29,5),Matching_Engine!$BC$6:$BC$29,0)),"")</f>
      </c>
      <c r="D10" s="11">
        <f>IFERROR(INDEX(Matching_Engine!$G$6:$G$29,MATCH(LARGE(Matching_Engine!$BC$6:$BC$29,5),Matching_Engine!$BC$6:$BC$29,0)),"")</f>
      </c>
      <c r="E10" s="29">
        <f>IFERROR(INDEX(Matching_Engine!$AY$6:$AY$29,MATCH(LARGE(Matching_Engine!$BC$6:$BC$29,5),Matching_Engine!$BC$6:$BC$29,0)),"N/A")</f>
      </c>
      <c r="F10" s="11">
        <f>IFERROR(INDEX(Matching_Engine!$AZ$6:$AZ$29,MATCH(LARGE(Matching_Engine!$BC$6:$BC$29,5),Matching_Engine!$BC$6:$BC$29,0)),"")</f>
      </c>
      <c r="G10" s="11">
        <f>IFERROR(INDEX(Matching_Engine!$BB$6:$BB$29,MATCH(LARGE(Matching_Engine!$BC$6:$BC$29,5),Matching_Engine!$BC$6:$BC$29,0)),"")</f>
      </c>
      <c r="H10" s="11">
        <f>IFERROR(INDEX(Match_Explanation!$G$6:$G$125,MATCH("BR-01|"&amp;INDEX(Matching_Engine!$C$6:$C$29,MATCH(LARGE(Matching_Engine!$BC$6:$BC$29,5),Matching_Engine!$BC$6:$BC$29,0)),Matching_Engine!$BG$6:$BG$125,0)),"")</f>
      </c>
    </row>
    <row r="11" spans="1:8" x14ac:dyDescent="0.25">
      <c r="A11" s="35">
        <v>6</v>
      </c>
      <c r="B11" s="11">
        <f>IFERROR(INDEX(Matching_Engine!$D$6:$D$29,MATCH(LARGE(Matching_Engine!$BC$6:$BC$29,6),Matching_Engine!$BC$6:$BC$29,0)),"")</f>
      </c>
      <c r="C11" s="11">
        <f>IFERROR(INDEX(Matching_Engine!$E$6:$E$29,MATCH(LARGE(Matching_Engine!$BC$6:$BC$29,6),Matching_Engine!$BC$6:$BC$29,0)),"")</f>
      </c>
      <c r="D11" s="11">
        <f>IFERROR(INDEX(Matching_Engine!$G$6:$G$29,MATCH(LARGE(Matching_Engine!$BC$6:$BC$29,6),Matching_Engine!$BC$6:$BC$29,0)),"")</f>
      </c>
      <c r="E11" s="29">
        <f>IFERROR(INDEX(Matching_Engine!$AY$6:$AY$29,MATCH(LARGE(Matching_Engine!$BC$6:$BC$29,6),Matching_Engine!$BC$6:$BC$29,0)),"N/A")</f>
      </c>
      <c r="F11" s="11">
        <f>IFERROR(INDEX(Matching_Engine!$AZ$6:$AZ$29,MATCH(LARGE(Matching_Engine!$BC$6:$BC$29,6),Matching_Engine!$BC$6:$BC$29,0)),"")</f>
      </c>
      <c r="G11" s="11">
        <f>IFERROR(INDEX(Matching_Engine!$BB$6:$BB$29,MATCH(LARGE(Matching_Engine!$BC$6:$BC$29,6),Matching_Engine!$BC$6:$BC$29,0)),"")</f>
      </c>
      <c r="H11" s="11">
        <f>IFERROR(INDEX(Match_Explanation!$G$6:$G$125,MATCH("BR-01|"&amp;INDEX(Matching_Engine!$C$6:$C$29,MATCH(LARGE(Matching_Engine!$BC$6:$BC$29,6),Matching_Engine!$BC$6:$BC$29,0)),Matching_Engine!$BG$6:$BG$125,0)),"")</f>
      </c>
    </row>
    <row r="12" spans="1:8" x14ac:dyDescent="0.25">
      <c r="A12" s="35">
        <v>7</v>
      </c>
      <c r="B12" s="11">
        <f>IFERROR(INDEX(Matching_Engine!$D$6:$D$29,MATCH(LARGE(Matching_Engine!$BC$6:$BC$29,7),Matching_Engine!$BC$6:$BC$29,0)),"")</f>
      </c>
      <c r="C12" s="11">
        <f>IFERROR(INDEX(Matching_Engine!$E$6:$E$29,MATCH(LARGE(Matching_Engine!$BC$6:$BC$29,7),Matching_Engine!$BC$6:$BC$29,0)),"")</f>
      </c>
      <c r="D12" s="11">
        <f>IFERROR(INDEX(Matching_Engine!$G$6:$G$29,MATCH(LARGE(Matching_Engine!$BC$6:$BC$29,7),Matching_Engine!$BC$6:$BC$29,0)),"")</f>
      </c>
      <c r="E12" s="29">
        <f>IFERROR(INDEX(Matching_Engine!$AY$6:$AY$29,MATCH(LARGE(Matching_Engine!$BC$6:$BC$29,7),Matching_Engine!$BC$6:$BC$29,0)),"N/A")</f>
      </c>
      <c r="F12" s="11">
        <f>IFERROR(INDEX(Matching_Engine!$AZ$6:$AZ$29,MATCH(LARGE(Matching_Engine!$BC$6:$BC$29,7),Matching_Engine!$BC$6:$BC$29,0)),"")</f>
      </c>
      <c r="G12" s="11">
        <f>IFERROR(INDEX(Matching_Engine!$BB$6:$BB$29,MATCH(LARGE(Matching_Engine!$BC$6:$BC$29,7),Matching_Engine!$BC$6:$BC$29,0)),"")</f>
      </c>
      <c r="H12" s="11">
        <f>IFERROR(INDEX(Match_Explanation!$G$6:$G$125,MATCH("BR-01|"&amp;INDEX(Matching_Engine!$C$6:$C$29,MATCH(LARGE(Matching_Engine!$BC$6:$BC$29,7),Matching_Engine!$BC$6:$BC$29,0)),Matching_Engine!$BG$6:$BG$125,0)),"")</f>
      </c>
    </row>
    <row r="13" spans="1:8" x14ac:dyDescent="0.25">
      <c r="A13" s="35">
        <v>8</v>
      </c>
      <c r="B13" s="11">
        <f>IFERROR(INDEX(Matching_Engine!$D$6:$D$29,MATCH(LARGE(Matching_Engine!$BC$6:$BC$29,8),Matching_Engine!$BC$6:$BC$29,0)),"")</f>
      </c>
      <c r="C13" s="11">
        <f>IFERROR(INDEX(Matching_Engine!$E$6:$E$29,MATCH(LARGE(Matching_Engine!$BC$6:$BC$29,8),Matching_Engine!$BC$6:$BC$29,0)),"")</f>
      </c>
      <c r="D13" s="11">
        <f>IFERROR(INDEX(Matching_Engine!$G$6:$G$29,MATCH(LARGE(Matching_Engine!$BC$6:$BC$29,8),Matching_Engine!$BC$6:$BC$29,0)),"")</f>
      </c>
      <c r="E13" s="29">
        <f>IFERROR(INDEX(Matching_Engine!$AY$6:$AY$29,MATCH(LARGE(Matching_Engine!$BC$6:$BC$29,8),Matching_Engine!$BC$6:$BC$29,0)),"N/A")</f>
      </c>
      <c r="F13" s="11">
        <f>IFERROR(INDEX(Matching_Engine!$AZ$6:$AZ$29,MATCH(LARGE(Matching_Engine!$BC$6:$BC$29,8),Matching_Engine!$BC$6:$BC$29,0)),"")</f>
      </c>
      <c r="G13" s="11">
        <f>IFERROR(INDEX(Matching_Engine!$BB$6:$BB$29,MATCH(LARGE(Matching_Engine!$BC$6:$BC$29,8),Matching_Engine!$BC$6:$BC$29,0)),"")</f>
      </c>
      <c r="H13" s="11">
        <f>IFERROR(INDEX(Match_Explanation!$G$6:$G$125,MATCH("BR-01|"&amp;INDEX(Matching_Engine!$C$6:$C$29,MATCH(LARGE(Matching_Engine!$BC$6:$BC$29,8),Matching_Engine!$BC$6:$BC$29,0)),Matching_Engine!$BG$6:$BG$125,0)),"")</f>
      </c>
    </row>
    <row r="14" spans="1:8" x14ac:dyDescent="0.25">
      <c r="A14" s="35">
        <v>9</v>
      </c>
      <c r="B14" s="11">
        <f>IFERROR(INDEX(Matching_Engine!$D$6:$D$29,MATCH(LARGE(Matching_Engine!$BC$6:$BC$29,9),Matching_Engine!$BC$6:$BC$29,0)),"")</f>
      </c>
      <c r="C14" s="11">
        <f>IFERROR(INDEX(Matching_Engine!$E$6:$E$29,MATCH(LARGE(Matching_Engine!$BC$6:$BC$29,9),Matching_Engine!$BC$6:$BC$29,0)),"")</f>
      </c>
      <c r="D14" s="11">
        <f>IFERROR(INDEX(Matching_Engine!$G$6:$G$29,MATCH(LARGE(Matching_Engine!$BC$6:$BC$29,9),Matching_Engine!$BC$6:$BC$29,0)),"")</f>
      </c>
      <c r="E14" s="29">
        <f>IFERROR(INDEX(Matching_Engine!$AY$6:$AY$29,MATCH(LARGE(Matching_Engine!$BC$6:$BC$29,9),Matching_Engine!$BC$6:$BC$29,0)),"N/A")</f>
      </c>
      <c r="F14" s="11">
        <f>IFERROR(INDEX(Matching_Engine!$AZ$6:$AZ$29,MATCH(LARGE(Matching_Engine!$BC$6:$BC$29,9),Matching_Engine!$BC$6:$BC$29,0)),"")</f>
      </c>
      <c r="G14" s="11">
        <f>IFERROR(INDEX(Matching_Engine!$BB$6:$BB$29,MATCH(LARGE(Matching_Engine!$BC$6:$BC$29,9),Matching_Engine!$BC$6:$BC$29,0)),"")</f>
      </c>
      <c r="H14" s="11">
        <f>IFERROR(INDEX(Match_Explanation!$G$6:$G$125,MATCH("BR-01|"&amp;INDEX(Matching_Engine!$C$6:$C$29,MATCH(LARGE(Matching_Engine!$BC$6:$BC$29,9),Matching_Engine!$BC$6:$BC$29,0)),Matching_Engine!$BG$6:$BG$125,0)),"")</f>
      </c>
    </row>
    <row r="15" spans="1:8" x14ac:dyDescent="0.25">
      <c r="A15" s="35">
        <v>10</v>
      </c>
      <c r="B15" s="11">
        <f>IFERROR(INDEX(Matching_Engine!$D$6:$D$29,MATCH(LARGE(Matching_Engine!$BC$6:$BC$29,10),Matching_Engine!$BC$6:$BC$29,0)),"")</f>
      </c>
      <c r="C15" s="11">
        <f>IFERROR(INDEX(Matching_Engine!$E$6:$E$29,MATCH(LARGE(Matching_Engine!$BC$6:$BC$29,10),Matching_Engine!$BC$6:$BC$29,0)),"")</f>
      </c>
      <c r="D15" s="11">
        <f>IFERROR(INDEX(Matching_Engine!$G$6:$G$29,MATCH(LARGE(Matching_Engine!$BC$6:$BC$29,10),Matching_Engine!$BC$6:$BC$29,0)),"")</f>
      </c>
      <c r="E15" s="29">
        <f>IFERROR(INDEX(Matching_Engine!$AY$6:$AY$29,MATCH(LARGE(Matching_Engine!$BC$6:$BC$29,10),Matching_Engine!$BC$6:$BC$29,0)),"N/A")</f>
      </c>
      <c r="F15" s="11">
        <f>IFERROR(INDEX(Matching_Engine!$AZ$6:$AZ$29,MATCH(LARGE(Matching_Engine!$BC$6:$BC$29,10),Matching_Engine!$BC$6:$BC$29,0)),"")</f>
      </c>
      <c r="G15" s="11">
        <f>IFERROR(INDEX(Matching_Engine!$BB$6:$BB$29,MATCH(LARGE(Matching_Engine!$BC$6:$BC$29,10),Matching_Engine!$BC$6:$BC$29,0)),"")</f>
      </c>
      <c r="H15" s="11">
        <f>IFERROR(INDEX(Match_Explanation!$G$6:$G$125,MATCH("BR-01|"&amp;INDEX(Matching_Engine!$C$6:$C$29,MATCH(LARGE(Matching_Engine!$BC$6:$BC$29,10),Matching_Engine!$BC$6:$BC$29,0)),Matching_Engine!$BG$6:$BG$125,0)),"")</f>
      </c>
    </row>
    <row r="16" spans="1:8" x14ac:dyDescent="0.25">
      <c r="A16" s="35">
        <v>11</v>
      </c>
      <c r="B16" s="11">
        <f>IFERROR(INDEX(Matching_Engine!$D$6:$D$29,MATCH(LARGE(Matching_Engine!$BC$6:$BC$29,11),Matching_Engine!$BC$6:$BC$29,0)),"")</f>
      </c>
      <c r="C16" s="11">
        <f>IFERROR(INDEX(Matching_Engine!$E$6:$E$29,MATCH(LARGE(Matching_Engine!$BC$6:$BC$29,11),Matching_Engine!$BC$6:$BC$29,0)),"")</f>
      </c>
      <c r="D16" s="11">
        <f>IFERROR(INDEX(Matching_Engine!$G$6:$G$29,MATCH(LARGE(Matching_Engine!$BC$6:$BC$29,11),Matching_Engine!$BC$6:$BC$29,0)),"")</f>
      </c>
      <c r="E16" s="29">
        <f>IFERROR(INDEX(Matching_Engine!$AY$6:$AY$29,MATCH(LARGE(Matching_Engine!$BC$6:$BC$29,11),Matching_Engine!$BC$6:$BC$29,0)),"N/A")</f>
      </c>
      <c r="F16" s="11">
        <f>IFERROR(INDEX(Matching_Engine!$AZ$6:$AZ$29,MATCH(LARGE(Matching_Engine!$BC$6:$BC$29,11),Matching_Engine!$BC$6:$BC$29,0)),"")</f>
      </c>
      <c r="G16" s="11">
        <f>IFERROR(INDEX(Matching_Engine!$BB$6:$BB$29,MATCH(LARGE(Matching_Engine!$BC$6:$BC$29,11),Matching_Engine!$BC$6:$BC$29,0)),"")</f>
      </c>
      <c r="H16" s="11">
        <f>IFERROR(INDEX(Match_Explanation!$G$6:$G$125,MATCH("BR-01|"&amp;INDEX(Matching_Engine!$C$6:$C$29,MATCH(LARGE(Matching_Engine!$BC$6:$BC$29,11),Matching_Engine!$BC$6:$BC$29,0)),Matching_Engine!$BG$6:$BG$125,0)),"")</f>
      </c>
    </row>
    <row r="17" spans="1:8" x14ac:dyDescent="0.25">
      <c r="A17" s="35">
        <v>12</v>
      </c>
      <c r="B17" s="11">
        <f>IFERROR(INDEX(Matching_Engine!$D$6:$D$29,MATCH(LARGE(Matching_Engine!$BC$6:$BC$29,12),Matching_Engine!$BC$6:$BC$29,0)),"")</f>
      </c>
      <c r="C17" s="11">
        <f>IFERROR(INDEX(Matching_Engine!$E$6:$E$29,MATCH(LARGE(Matching_Engine!$BC$6:$BC$29,12),Matching_Engine!$BC$6:$BC$29,0)),"")</f>
      </c>
      <c r="D17" s="11">
        <f>IFERROR(INDEX(Matching_Engine!$G$6:$G$29,MATCH(LARGE(Matching_Engine!$BC$6:$BC$29,12),Matching_Engine!$BC$6:$BC$29,0)),"")</f>
      </c>
      <c r="E17" s="29">
        <f>IFERROR(INDEX(Matching_Engine!$AY$6:$AY$29,MATCH(LARGE(Matching_Engine!$BC$6:$BC$29,12),Matching_Engine!$BC$6:$BC$29,0)),"N/A")</f>
      </c>
      <c r="F17" s="11">
        <f>IFERROR(INDEX(Matching_Engine!$AZ$6:$AZ$29,MATCH(LARGE(Matching_Engine!$BC$6:$BC$29,12),Matching_Engine!$BC$6:$BC$29,0)),"")</f>
      </c>
      <c r="G17" s="11">
        <f>IFERROR(INDEX(Matching_Engine!$BB$6:$BB$29,MATCH(LARGE(Matching_Engine!$BC$6:$BC$29,12),Matching_Engine!$BC$6:$BC$29,0)),"")</f>
      </c>
      <c r="H17" s="11">
        <f>IFERROR(INDEX(Match_Explanation!$G$6:$G$125,MATCH("BR-01|"&amp;INDEX(Matching_Engine!$C$6:$C$29,MATCH(LARGE(Matching_Engine!$BC$6:$BC$29,12),Matching_Engine!$BC$6:$BC$29,0)),Matching_Engine!$BG$6:$BG$125,0)),"")</f>
      </c>
    </row>
    <row r="18" spans="1:8" x14ac:dyDescent="0.25">
      <c r="A18" s="35">
        <v>13</v>
      </c>
      <c r="B18" s="11">
        <f>IFERROR(INDEX(Matching_Engine!$D$6:$D$29,MATCH(LARGE(Matching_Engine!$BC$6:$BC$29,13),Matching_Engine!$BC$6:$BC$29,0)),"")</f>
      </c>
      <c r="C18" s="11">
        <f>IFERROR(INDEX(Matching_Engine!$E$6:$E$29,MATCH(LARGE(Matching_Engine!$BC$6:$BC$29,13),Matching_Engine!$BC$6:$BC$29,0)),"")</f>
      </c>
      <c r="D18" s="11">
        <f>IFERROR(INDEX(Matching_Engine!$G$6:$G$29,MATCH(LARGE(Matching_Engine!$BC$6:$BC$29,13),Matching_Engine!$BC$6:$BC$29,0)),"")</f>
      </c>
      <c r="E18" s="29">
        <f>IFERROR(INDEX(Matching_Engine!$AY$6:$AY$29,MATCH(LARGE(Matching_Engine!$BC$6:$BC$29,13),Matching_Engine!$BC$6:$BC$29,0)),"N/A")</f>
      </c>
      <c r="F18" s="11">
        <f>IFERROR(INDEX(Matching_Engine!$AZ$6:$AZ$29,MATCH(LARGE(Matching_Engine!$BC$6:$BC$29,13),Matching_Engine!$BC$6:$BC$29,0)),"")</f>
      </c>
      <c r="G18" s="11">
        <f>IFERROR(INDEX(Matching_Engine!$BB$6:$BB$29,MATCH(LARGE(Matching_Engine!$BC$6:$BC$29,13),Matching_Engine!$BC$6:$BC$29,0)),"")</f>
      </c>
      <c r="H18" s="11">
        <f>IFERROR(INDEX(Match_Explanation!$G$6:$G$125,MATCH("BR-01|"&amp;INDEX(Matching_Engine!$C$6:$C$29,MATCH(LARGE(Matching_Engine!$BC$6:$BC$29,13),Matching_Engine!$BC$6:$BC$29,0)),Matching_Engine!$BG$6:$BG$125,0)),"")</f>
      </c>
    </row>
    <row r="19" spans="1:8" x14ac:dyDescent="0.25">
      <c r="A19" s="35">
        <v>14</v>
      </c>
      <c r="B19" s="11">
        <f>IFERROR(INDEX(Matching_Engine!$D$6:$D$29,MATCH(LARGE(Matching_Engine!$BC$6:$BC$29,14),Matching_Engine!$BC$6:$BC$29,0)),"")</f>
      </c>
      <c r="C19" s="11">
        <f>IFERROR(INDEX(Matching_Engine!$E$6:$E$29,MATCH(LARGE(Matching_Engine!$BC$6:$BC$29,14),Matching_Engine!$BC$6:$BC$29,0)),"")</f>
      </c>
      <c r="D19" s="11">
        <f>IFERROR(INDEX(Matching_Engine!$G$6:$G$29,MATCH(LARGE(Matching_Engine!$BC$6:$BC$29,14),Matching_Engine!$BC$6:$BC$29,0)),"")</f>
      </c>
      <c r="E19" s="29">
        <f>IFERROR(INDEX(Matching_Engine!$AY$6:$AY$29,MATCH(LARGE(Matching_Engine!$BC$6:$BC$29,14),Matching_Engine!$BC$6:$BC$29,0)),"N/A")</f>
      </c>
      <c r="F19" s="11">
        <f>IFERROR(INDEX(Matching_Engine!$AZ$6:$AZ$29,MATCH(LARGE(Matching_Engine!$BC$6:$BC$29,14),Matching_Engine!$BC$6:$BC$29,0)),"")</f>
      </c>
      <c r="G19" s="11">
        <f>IFERROR(INDEX(Matching_Engine!$BB$6:$BB$29,MATCH(LARGE(Matching_Engine!$BC$6:$BC$29,14),Matching_Engine!$BC$6:$BC$29,0)),"")</f>
      </c>
      <c r="H19" s="11">
        <f>IFERROR(INDEX(Match_Explanation!$G$6:$G$125,MATCH("BR-01|"&amp;INDEX(Matching_Engine!$C$6:$C$29,MATCH(LARGE(Matching_Engine!$BC$6:$BC$29,14),Matching_Engine!$BC$6:$BC$29,0)),Matching_Engine!$BG$6:$BG$125,0)),"")</f>
      </c>
    </row>
    <row r="20" spans="1:8" x14ac:dyDescent="0.25">
      <c r="A20" s="35">
        <v>15</v>
      </c>
      <c r="B20" s="11">
        <f>IFERROR(INDEX(Matching_Engine!$D$6:$D$29,MATCH(LARGE(Matching_Engine!$BC$6:$BC$29,15),Matching_Engine!$BC$6:$BC$29,0)),"")</f>
      </c>
      <c r="C20" s="11">
        <f>IFERROR(INDEX(Matching_Engine!$E$6:$E$29,MATCH(LARGE(Matching_Engine!$BC$6:$BC$29,15),Matching_Engine!$BC$6:$BC$29,0)),"")</f>
      </c>
      <c r="D20" s="11">
        <f>IFERROR(INDEX(Matching_Engine!$G$6:$G$29,MATCH(LARGE(Matching_Engine!$BC$6:$BC$29,15),Matching_Engine!$BC$6:$BC$29,0)),"")</f>
      </c>
      <c r="E20" s="29">
        <f>IFERROR(INDEX(Matching_Engine!$AY$6:$AY$29,MATCH(LARGE(Matching_Engine!$BC$6:$BC$29,15),Matching_Engine!$BC$6:$BC$29,0)),"N/A")</f>
      </c>
      <c r="F20" s="11">
        <f>IFERROR(INDEX(Matching_Engine!$AZ$6:$AZ$29,MATCH(LARGE(Matching_Engine!$BC$6:$BC$29,15),Matching_Engine!$BC$6:$BC$29,0)),"")</f>
      </c>
      <c r="G20" s="11">
        <f>IFERROR(INDEX(Matching_Engine!$BB$6:$BB$29,MATCH(LARGE(Matching_Engine!$BC$6:$BC$29,15),Matching_Engine!$BC$6:$BC$29,0)),"")</f>
      </c>
      <c r="H20" s="11">
        <f>IFERROR(INDEX(Match_Explanation!$G$6:$G$125,MATCH("BR-01|"&amp;INDEX(Matching_Engine!$C$6:$C$29,MATCH(LARGE(Matching_Engine!$BC$6:$BC$29,15),Matching_Engine!$BC$6:$BC$29,0)),Matching_Engine!$BG$6:$BG$125,0)),"")</f>
      </c>
    </row>
    <row r="21" spans="1:8" x14ac:dyDescent="0.25">
      <c r="A21" s="35">
        <v>16</v>
      </c>
      <c r="B21" s="11">
        <f>IFERROR(INDEX(Matching_Engine!$D$6:$D$29,MATCH(LARGE(Matching_Engine!$BC$6:$BC$29,16),Matching_Engine!$BC$6:$BC$29,0)),"")</f>
      </c>
      <c r="C21" s="11">
        <f>IFERROR(INDEX(Matching_Engine!$E$6:$E$29,MATCH(LARGE(Matching_Engine!$BC$6:$BC$29,16),Matching_Engine!$BC$6:$BC$29,0)),"")</f>
      </c>
      <c r="D21" s="11">
        <f>IFERROR(INDEX(Matching_Engine!$G$6:$G$29,MATCH(LARGE(Matching_Engine!$BC$6:$BC$29,16),Matching_Engine!$BC$6:$BC$29,0)),"")</f>
      </c>
      <c r="E21" s="29">
        <f>IFERROR(INDEX(Matching_Engine!$AY$6:$AY$29,MATCH(LARGE(Matching_Engine!$BC$6:$BC$29,16),Matching_Engine!$BC$6:$BC$29,0)),"N/A")</f>
      </c>
      <c r="F21" s="11">
        <f>IFERROR(INDEX(Matching_Engine!$AZ$6:$AZ$29,MATCH(LARGE(Matching_Engine!$BC$6:$BC$29,16),Matching_Engine!$BC$6:$BC$29,0)),"")</f>
      </c>
      <c r="G21" s="11">
        <f>IFERROR(INDEX(Matching_Engine!$BB$6:$BB$29,MATCH(LARGE(Matching_Engine!$BC$6:$BC$29,16),Matching_Engine!$BC$6:$BC$29,0)),"")</f>
      </c>
      <c r="H21" s="11">
        <f>IFERROR(INDEX(Match_Explanation!$G$6:$G$125,MATCH("BR-01|"&amp;INDEX(Matching_Engine!$C$6:$C$29,MATCH(LARGE(Matching_Engine!$BC$6:$BC$29,16),Matching_Engine!$BC$6:$BC$29,0)),Matching_Engine!$BG$6:$BG$125,0)),"")</f>
      </c>
    </row>
    <row r="22" spans="1:8" x14ac:dyDescent="0.25">
      <c r="A22" s="35">
        <v>17</v>
      </c>
      <c r="B22" s="11">
        <f>IFERROR(INDEX(Matching_Engine!$D$6:$D$29,MATCH(LARGE(Matching_Engine!$BC$6:$BC$29,17),Matching_Engine!$BC$6:$BC$29,0)),"")</f>
      </c>
      <c r="C22" s="11">
        <f>IFERROR(INDEX(Matching_Engine!$E$6:$E$29,MATCH(LARGE(Matching_Engine!$BC$6:$BC$29,17),Matching_Engine!$BC$6:$BC$29,0)),"")</f>
      </c>
      <c r="D22" s="11">
        <f>IFERROR(INDEX(Matching_Engine!$G$6:$G$29,MATCH(LARGE(Matching_Engine!$BC$6:$BC$29,17),Matching_Engine!$BC$6:$BC$29,0)),"")</f>
      </c>
      <c r="E22" s="29">
        <f>IFERROR(INDEX(Matching_Engine!$AY$6:$AY$29,MATCH(LARGE(Matching_Engine!$BC$6:$BC$29,17),Matching_Engine!$BC$6:$BC$29,0)),"N/A")</f>
      </c>
      <c r="F22" s="11">
        <f>IFERROR(INDEX(Matching_Engine!$AZ$6:$AZ$29,MATCH(LARGE(Matching_Engine!$BC$6:$BC$29,17),Matching_Engine!$BC$6:$BC$29,0)),"")</f>
      </c>
      <c r="G22" s="11">
        <f>IFERROR(INDEX(Matching_Engine!$BB$6:$BB$29,MATCH(LARGE(Matching_Engine!$BC$6:$BC$29,17),Matching_Engine!$BC$6:$BC$29,0)),"")</f>
      </c>
      <c r="H22" s="11">
        <f>IFERROR(INDEX(Match_Explanation!$G$6:$G$125,MATCH("BR-01|"&amp;INDEX(Matching_Engine!$C$6:$C$29,MATCH(LARGE(Matching_Engine!$BC$6:$BC$29,17),Matching_Engine!$BC$6:$BC$29,0)),Matching_Engine!$BG$6:$BG$125,0)),"")</f>
      </c>
    </row>
    <row r="23" spans="1:8" x14ac:dyDescent="0.25">
      <c r="A23" s="35">
        <v>18</v>
      </c>
      <c r="B23" s="11">
        <f>IFERROR(INDEX(Matching_Engine!$D$6:$D$29,MATCH(LARGE(Matching_Engine!$BC$6:$BC$29,18),Matching_Engine!$BC$6:$BC$29,0)),"")</f>
      </c>
      <c r="C23" s="11">
        <f>IFERROR(INDEX(Matching_Engine!$E$6:$E$29,MATCH(LARGE(Matching_Engine!$BC$6:$BC$29,18),Matching_Engine!$BC$6:$BC$29,0)),"")</f>
      </c>
      <c r="D23" s="11">
        <f>IFERROR(INDEX(Matching_Engine!$G$6:$G$29,MATCH(LARGE(Matching_Engine!$BC$6:$BC$29,18),Matching_Engine!$BC$6:$BC$29,0)),"")</f>
      </c>
      <c r="E23" s="29">
        <f>IFERROR(INDEX(Matching_Engine!$AY$6:$AY$29,MATCH(LARGE(Matching_Engine!$BC$6:$BC$29,18),Matching_Engine!$BC$6:$BC$29,0)),"N/A")</f>
      </c>
      <c r="F23" s="11">
        <f>IFERROR(INDEX(Matching_Engine!$AZ$6:$AZ$29,MATCH(LARGE(Matching_Engine!$BC$6:$BC$29,18),Matching_Engine!$BC$6:$BC$29,0)),"")</f>
      </c>
      <c r="G23" s="11">
        <f>IFERROR(INDEX(Matching_Engine!$BB$6:$BB$29,MATCH(LARGE(Matching_Engine!$BC$6:$BC$29,18),Matching_Engine!$BC$6:$BC$29,0)),"")</f>
      </c>
      <c r="H23" s="11">
        <f>IFERROR(INDEX(Match_Explanation!$G$6:$G$125,MATCH("BR-01|"&amp;INDEX(Matching_Engine!$C$6:$C$29,MATCH(LARGE(Matching_Engine!$BC$6:$BC$29,18),Matching_Engine!$BC$6:$BC$29,0)),Matching_Engine!$BG$6:$BG$125,0)),"")</f>
      </c>
    </row>
    <row r="24" spans="1:8" x14ac:dyDescent="0.25">
      <c r="A24" s="35">
        <v>19</v>
      </c>
      <c r="B24" s="11">
        <f>IFERROR(INDEX(Matching_Engine!$D$6:$D$29,MATCH(LARGE(Matching_Engine!$BC$6:$BC$29,19),Matching_Engine!$BC$6:$BC$29,0)),"")</f>
      </c>
      <c r="C24" s="11">
        <f>IFERROR(INDEX(Matching_Engine!$E$6:$E$29,MATCH(LARGE(Matching_Engine!$BC$6:$BC$29,19),Matching_Engine!$BC$6:$BC$29,0)),"")</f>
      </c>
      <c r="D24" s="11">
        <f>IFERROR(INDEX(Matching_Engine!$G$6:$G$29,MATCH(LARGE(Matching_Engine!$BC$6:$BC$29,19),Matching_Engine!$BC$6:$BC$29,0)),"")</f>
      </c>
      <c r="E24" s="29">
        <f>IFERROR(INDEX(Matching_Engine!$AY$6:$AY$29,MATCH(LARGE(Matching_Engine!$BC$6:$BC$29,19),Matching_Engine!$BC$6:$BC$29,0)),"N/A")</f>
      </c>
      <c r="F24" s="11">
        <f>IFERROR(INDEX(Matching_Engine!$AZ$6:$AZ$29,MATCH(LARGE(Matching_Engine!$BC$6:$BC$29,19),Matching_Engine!$BC$6:$BC$29,0)),"")</f>
      </c>
      <c r="G24" s="11">
        <f>IFERROR(INDEX(Matching_Engine!$BB$6:$BB$29,MATCH(LARGE(Matching_Engine!$BC$6:$BC$29,19),Matching_Engine!$BC$6:$BC$29,0)),"")</f>
      </c>
      <c r="H24" s="11">
        <f>IFERROR(INDEX(Match_Explanation!$G$6:$G$125,MATCH("BR-01|"&amp;INDEX(Matching_Engine!$C$6:$C$29,MATCH(LARGE(Matching_Engine!$BC$6:$BC$29,19),Matching_Engine!$BC$6:$BC$29,0)),Matching_Engine!$BG$6:$BG$125,0)),"")</f>
      </c>
    </row>
    <row r="25" spans="1:8" x14ac:dyDescent="0.25">
      <c r="A25" s="35">
        <v>20</v>
      </c>
      <c r="B25" s="11">
        <f>IFERROR(INDEX(Matching_Engine!$D$6:$D$29,MATCH(LARGE(Matching_Engine!$BC$6:$BC$29,20),Matching_Engine!$BC$6:$BC$29,0)),"")</f>
      </c>
      <c r="C25" s="11">
        <f>IFERROR(INDEX(Matching_Engine!$E$6:$E$29,MATCH(LARGE(Matching_Engine!$BC$6:$BC$29,20),Matching_Engine!$BC$6:$BC$29,0)),"")</f>
      </c>
      <c r="D25" s="11">
        <f>IFERROR(INDEX(Matching_Engine!$G$6:$G$29,MATCH(LARGE(Matching_Engine!$BC$6:$BC$29,20),Matching_Engine!$BC$6:$BC$29,0)),"")</f>
      </c>
      <c r="E25" s="29">
        <f>IFERROR(INDEX(Matching_Engine!$AY$6:$AY$29,MATCH(LARGE(Matching_Engine!$BC$6:$BC$29,20),Matching_Engine!$BC$6:$BC$29,0)),"N/A")</f>
      </c>
      <c r="F25" s="11">
        <f>IFERROR(INDEX(Matching_Engine!$AZ$6:$AZ$29,MATCH(LARGE(Matching_Engine!$BC$6:$BC$29,20),Matching_Engine!$BC$6:$BC$29,0)),"")</f>
      </c>
      <c r="G25" s="11">
        <f>IFERROR(INDEX(Matching_Engine!$BB$6:$BB$29,MATCH(LARGE(Matching_Engine!$BC$6:$BC$29,20),Matching_Engine!$BC$6:$BC$29,0)),"")</f>
      </c>
      <c r="H25" s="11">
        <f>IFERROR(INDEX(Match_Explanation!$G$6:$G$125,MATCH("BR-01|"&amp;INDEX(Matching_Engine!$C$6:$C$29,MATCH(LARGE(Matching_Engine!$BC$6:$BC$29,20),Matching_Engine!$BC$6:$BC$29,0)),Matching_Engine!$BG$6:$BG$125,0)),"")</f>
      </c>
    </row>
    <row r="26" spans="1:8" x14ac:dyDescent="0.25">
      <c r="A26" s="35">
        <v>21</v>
      </c>
      <c r="B26" s="11">
        <f>IFERROR(INDEX(Matching_Engine!$D$6:$D$29,MATCH(LARGE(Matching_Engine!$BC$6:$BC$29,21),Matching_Engine!$BC$6:$BC$29,0)),"")</f>
      </c>
      <c r="C26" s="11">
        <f>IFERROR(INDEX(Matching_Engine!$E$6:$E$29,MATCH(LARGE(Matching_Engine!$BC$6:$BC$29,21),Matching_Engine!$BC$6:$BC$29,0)),"")</f>
      </c>
      <c r="D26" s="11">
        <f>IFERROR(INDEX(Matching_Engine!$G$6:$G$29,MATCH(LARGE(Matching_Engine!$BC$6:$BC$29,21),Matching_Engine!$BC$6:$BC$29,0)),"")</f>
      </c>
      <c r="E26" s="29">
        <f>IFERROR(INDEX(Matching_Engine!$AY$6:$AY$29,MATCH(LARGE(Matching_Engine!$BC$6:$BC$29,21),Matching_Engine!$BC$6:$BC$29,0)),"N/A")</f>
      </c>
      <c r="F26" s="11">
        <f>IFERROR(INDEX(Matching_Engine!$AZ$6:$AZ$29,MATCH(LARGE(Matching_Engine!$BC$6:$BC$29,21),Matching_Engine!$BC$6:$BC$29,0)),"")</f>
      </c>
      <c r="G26" s="11">
        <f>IFERROR(INDEX(Matching_Engine!$BB$6:$BB$29,MATCH(LARGE(Matching_Engine!$BC$6:$BC$29,21),Matching_Engine!$BC$6:$BC$29,0)),"")</f>
      </c>
      <c r="H26" s="11">
        <f>IFERROR(INDEX(Match_Explanation!$G$6:$G$125,MATCH("BR-01|"&amp;INDEX(Matching_Engine!$C$6:$C$29,MATCH(LARGE(Matching_Engine!$BC$6:$BC$29,21),Matching_Engine!$BC$6:$BC$29,0)),Matching_Engine!$BG$6:$BG$125,0)),"")</f>
      </c>
    </row>
    <row r="27" spans="1:8" x14ac:dyDescent="0.25">
      <c r="A27" s="35">
        <v>22</v>
      </c>
      <c r="B27" s="11">
        <f>IFERROR(INDEX(Matching_Engine!$D$6:$D$29,MATCH(LARGE(Matching_Engine!$BC$6:$BC$29,22),Matching_Engine!$BC$6:$BC$29,0)),"")</f>
      </c>
      <c r="C27" s="11">
        <f>IFERROR(INDEX(Matching_Engine!$E$6:$E$29,MATCH(LARGE(Matching_Engine!$BC$6:$BC$29,22),Matching_Engine!$BC$6:$BC$29,0)),"")</f>
      </c>
      <c r="D27" s="11">
        <f>IFERROR(INDEX(Matching_Engine!$G$6:$G$29,MATCH(LARGE(Matching_Engine!$BC$6:$BC$29,22),Matching_Engine!$BC$6:$BC$29,0)),"")</f>
      </c>
      <c r="E27" s="29">
        <f>IFERROR(INDEX(Matching_Engine!$AY$6:$AY$29,MATCH(LARGE(Matching_Engine!$BC$6:$BC$29,22),Matching_Engine!$BC$6:$BC$29,0)),"N/A")</f>
      </c>
      <c r="F27" s="11">
        <f>IFERROR(INDEX(Matching_Engine!$AZ$6:$AZ$29,MATCH(LARGE(Matching_Engine!$BC$6:$BC$29,22),Matching_Engine!$BC$6:$BC$29,0)),"")</f>
      </c>
      <c r="G27" s="11">
        <f>IFERROR(INDEX(Matching_Engine!$BB$6:$BB$29,MATCH(LARGE(Matching_Engine!$BC$6:$BC$29,22),Matching_Engine!$BC$6:$BC$29,0)),"")</f>
      </c>
      <c r="H27" s="11">
        <f>IFERROR(INDEX(Match_Explanation!$G$6:$G$125,MATCH("BR-01|"&amp;INDEX(Matching_Engine!$C$6:$C$29,MATCH(LARGE(Matching_Engine!$BC$6:$BC$29,22),Matching_Engine!$BC$6:$BC$29,0)),Matching_Engine!$BG$6:$BG$125,0)),"")</f>
      </c>
    </row>
    <row r="28" spans="1:8" x14ac:dyDescent="0.25">
      <c r="A28" s="35">
        <v>23</v>
      </c>
      <c r="B28" s="11">
        <f>IFERROR(INDEX(Matching_Engine!$D$6:$D$29,MATCH(LARGE(Matching_Engine!$BC$6:$BC$29,23),Matching_Engine!$BC$6:$BC$29,0)),"")</f>
      </c>
      <c r="C28" s="11">
        <f>IFERROR(INDEX(Matching_Engine!$E$6:$E$29,MATCH(LARGE(Matching_Engine!$BC$6:$BC$29,23),Matching_Engine!$BC$6:$BC$29,0)),"")</f>
      </c>
      <c r="D28" s="11">
        <f>IFERROR(INDEX(Matching_Engine!$G$6:$G$29,MATCH(LARGE(Matching_Engine!$BC$6:$BC$29,23),Matching_Engine!$BC$6:$BC$29,0)),"")</f>
      </c>
      <c r="E28" s="29">
        <f>IFERROR(INDEX(Matching_Engine!$AY$6:$AY$29,MATCH(LARGE(Matching_Engine!$BC$6:$BC$29,23),Matching_Engine!$BC$6:$BC$29,0)),"N/A")</f>
      </c>
      <c r="F28" s="11">
        <f>IFERROR(INDEX(Matching_Engine!$AZ$6:$AZ$29,MATCH(LARGE(Matching_Engine!$BC$6:$BC$29,23),Matching_Engine!$BC$6:$BC$29,0)),"")</f>
      </c>
      <c r="G28" s="11">
        <f>IFERROR(INDEX(Matching_Engine!$BB$6:$BB$29,MATCH(LARGE(Matching_Engine!$BC$6:$BC$29,23),Matching_Engine!$BC$6:$BC$29,0)),"")</f>
      </c>
      <c r="H28" s="11">
        <f>IFERROR(INDEX(Match_Explanation!$G$6:$G$125,MATCH("BR-01|"&amp;INDEX(Matching_Engine!$C$6:$C$29,MATCH(LARGE(Matching_Engine!$BC$6:$BC$29,23),Matching_Engine!$BC$6:$BC$29,0)),Matching_Engine!$BG$6:$BG$125,0)),"")</f>
      </c>
    </row>
    <row r="29" spans="1:8" x14ac:dyDescent="0.25">
      <c r="A29" s="35">
        <v>24</v>
      </c>
      <c r="B29" s="11">
        <f>IFERROR(INDEX(Matching_Engine!$D$6:$D$29,MATCH(LARGE(Matching_Engine!$BC$6:$BC$29,24),Matching_Engine!$BC$6:$BC$29,0)),"")</f>
      </c>
      <c r="C29" s="11">
        <f>IFERROR(INDEX(Matching_Engine!$E$6:$E$29,MATCH(LARGE(Matching_Engine!$BC$6:$BC$29,24),Matching_Engine!$BC$6:$BC$29,0)),"")</f>
      </c>
      <c r="D29" s="11">
        <f>IFERROR(INDEX(Matching_Engine!$G$6:$G$29,MATCH(LARGE(Matching_Engine!$BC$6:$BC$29,24),Matching_Engine!$BC$6:$BC$29,0)),"")</f>
      </c>
      <c r="E29" s="29">
        <f>IFERROR(INDEX(Matching_Engine!$AY$6:$AY$29,MATCH(LARGE(Matching_Engine!$BC$6:$BC$29,24),Matching_Engine!$BC$6:$BC$29,0)),"N/A")</f>
      </c>
      <c r="F29" s="11">
        <f>IFERROR(INDEX(Matching_Engine!$AZ$6:$AZ$29,MATCH(LARGE(Matching_Engine!$BC$6:$BC$29,24),Matching_Engine!$BC$6:$BC$29,0)),"")</f>
      </c>
      <c r="G29" s="11">
        <f>IFERROR(INDEX(Matching_Engine!$BB$6:$BB$29,MATCH(LARGE(Matching_Engine!$BC$6:$BC$29,24),Matching_Engine!$BC$6:$BC$29,0)),"")</f>
      </c>
      <c r="H29" s="11">
        <f>IFERROR(INDEX(Match_Explanation!$G$6:$G$125,MATCH("BR-01|"&amp;INDEX(Matching_Engine!$C$6:$C$29,MATCH(LARGE(Matching_Engine!$BC$6:$BC$29,24),Matching_Engine!$BC$6:$BC$29,0)),Matching_Engine!$BG$6:$BG$125,0)),"")</f>
      </c>
    </row>
    <row r="32" ht="18" customHeight="1" spans="1:8" x14ac:dyDescent="0.25">
      <c r="A32" s="3" t="s">
        <v>715</v>
      </c>
      <c r="B32" s="3"/>
      <c r="C32" s="3"/>
      <c r="D32" s="3"/>
      <c r="E32" s="3"/>
      <c r="F32" s="3"/>
      <c r="G32" s="3"/>
      <c r="H32" s="3"/>
    </row>
    <row r="33" ht="24" customHeight="1" spans="1:8" x14ac:dyDescent="0.25">
      <c r="A33" s="6" t="s">
        <v>714</v>
      </c>
      <c r="B33" s="6" t="s">
        <v>627</v>
      </c>
      <c r="C33" s="6" t="s">
        <v>628</v>
      </c>
      <c r="D33" s="6" t="s">
        <v>103</v>
      </c>
      <c r="E33" s="6" t="s">
        <v>679</v>
      </c>
      <c r="F33" s="6" t="s">
        <v>669</v>
      </c>
      <c r="G33" s="6" t="s">
        <v>168</v>
      </c>
      <c r="H33" s="6" t="s">
        <v>685</v>
      </c>
    </row>
    <row r="34" spans="1:8" x14ac:dyDescent="0.25">
      <c r="A34" s="35">
        <v>1</v>
      </c>
      <c r="B34" s="11">
        <f>IFERROR(INDEX(Matching_Engine!$D$30:$D$53,MATCH(LARGE(Matching_Engine!$BC$30:$BC$53,1),Matching_Engine!$BC$30:$BC$53,0)),"")</f>
      </c>
      <c r="C34" s="11">
        <f>IFERROR(INDEX(Matching_Engine!$E$30:$E$53,MATCH(LARGE(Matching_Engine!$BC$30:$BC$53,1),Matching_Engine!$BC$30:$BC$53,0)),"")</f>
      </c>
      <c r="D34" s="11">
        <f>IFERROR(INDEX(Matching_Engine!$G$30:$G$53,MATCH(LARGE(Matching_Engine!$BC$30:$BC$53,1),Matching_Engine!$BC$30:$BC$53,0)),"")</f>
      </c>
      <c r="E34" s="29">
        <f>IFERROR(INDEX(Matching_Engine!$AY$30:$AY$53,MATCH(LARGE(Matching_Engine!$BC$30:$BC$53,1),Matching_Engine!$BC$30:$BC$53,0)),"N/A")</f>
      </c>
      <c r="F34" s="11">
        <f>IFERROR(INDEX(Matching_Engine!$AZ$30:$AZ$53,MATCH(LARGE(Matching_Engine!$BC$30:$BC$53,1),Matching_Engine!$BC$30:$BC$53,0)),"")</f>
      </c>
      <c r="G34" s="11">
        <f>IFERROR(INDEX(Matching_Engine!$BB$30:$BB$53,MATCH(LARGE(Matching_Engine!$BC$30:$BC$53,1),Matching_Engine!$BC$30:$BC$53,0)),"")</f>
      </c>
      <c r="H34" s="11">
        <f>IFERROR(INDEX(Match_Explanation!$G$6:$G$125,MATCH("BR-02|"&amp;INDEX(Matching_Engine!$C$30:$C$53,MATCH(LARGE(Matching_Engine!$BC$30:$BC$53,1),Matching_Engine!$BC$30:$BC$53,0)),Matching_Engine!$BG$6:$BG$125,0)),"")</f>
      </c>
    </row>
    <row r="35" spans="1:8" x14ac:dyDescent="0.25">
      <c r="A35" s="35">
        <v>2</v>
      </c>
      <c r="B35" s="11">
        <f>IFERROR(INDEX(Matching_Engine!$D$30:$D$53,MATCH(LARGE(Matching_Engine!$BC$30:$BC$53,2),Matching_Engine!$BC$30:$BC$53,0)),"")</f>
      </c>
      <c r="C35" s="11">
        <f>IFERROR(INDEX(Matching_Engine!$E$30:$E$53,MATCH(LARGE(Matching_Engine!$BC$30:$BC$53,2),Matching_Engine!$BC$30:$BC$53,0)),"")</f>
      </c>
      <c r="D35" s="11">
        <f>IFERROR(INDEX(Matching_Engine!$G$30:$G$53,MATCH(LARGE(Matching_Engine!$BC$30:$BC$53,2),Matching_Engine!$BC$30:$BC$53,0)),"")</f>
      </c>
      <c r="E35" s="29">
        <f>IFERROR(INDEX(Matching_Engine!$AY$30:$AY$53,MATCH(LARGE(Matching_Engine!$BC$30:$BC$53,2),Matching_Engine!$BC$30:$BC$53,0)),"N/A")</f>
      </c>
      <c r="F35" s="11">
        <f>IFERROR(INDEX(Matching_Engine!$AZ$30:$AZ$53,MATCH(LARGE(Matching_Engine!$BC$30:$BC$53,2),Matching_Engine!$BC$30:$BC$53,0)),"")</f>
      </c>
      <c r="G35" s="11">
        <f>IFERROR(INDEX(Matching_Engine!$BB$30:$BB$53,MATCH(LARGE(Matching_Engine!$BC$30:$BC$53,2),Matching_Engine!$BC$30:$BC$53,0)),"")</f>
      </c>
      <c r="H35" s="11">
        <f>IFERROR(INDEX(Match_Explanation!$G$6:$G$125,MATCH("BR-02|"&amp;INDEX(Matching_Engine!$C$30:$C$53,MATCH(LARGE(Matching_Engine!$BC$30:$BC$53,2),Matching_Engine!$BC$30:$BC$53,0)),Matching_Engine!$BG$6:$BG$125,0)),"")</f>
      </c>
    </row>
    <row r="36" spans="1:8" x14ac:dyDescent="0.25">
      <c r="A36" s="35">
        <v>3</v>
      </c>
      <c r="B36" s="11">
        <f>IFERROR(INDEX(Matching_Engine!$D$30:$D$53,MATCH(LARGE(Matching_Engine!$BC$30:$BC$53,3),Matching_Engine!$BC$30:$BC$53,0)),"")</f>
      </c>
      <c r="C36" s="11">
        <f>IFERROR(INDEX(Matching_Engine!$E$30:$E$53,MATCH(LARGE(Matching_Engine!$BC$30:$BC$53,3),Matching_Engine!$BC$30:$BC$53,0)),"")</f>
      </c>
      <c r="D36" s="11">
        <f>IFERROR(INDEX(Matching_Engine!$G$30:$G$53,MATCH(LARGE(Matching_Engine!$BC$30:$BC$53,3),Matching_Engine!$BC$30:$BC$53,0)),"")</f>
      </c>
      <c r="E36" s="29">
        <f>IFERROR(INDEX(Matching_Engine!$AY$30:$AY$53,MATCH(LARGE(Matching_Engine!$BC$30:$BC$53,3),Matching_Engine!$BC$30:$BC$53,0)),"N/A")</f>
      </c>
      <c r="F36" s="11">
        <f>IFERROR(INDEX(Matching_Engine!$AZ$30:$AZ$53,MATCH(LARGE(Matching_Engine!$BC$30:$BC$53,3),Matching_Engine!$BC$30:$BC$53,0)),"")</f>
      </c>
      <c r="G36" s="11">
        <f>IFERROR(INDEX(Matching_Engine!$BB$30:$BB$53,MATCH(LARGE(Matching_Engine!$BC$30:$BC$53,3),Matching_Engine!$BC$30:$BC$53,0)),"")</f>
      </c>
      <c r="H36" s="11">
        <f>IFERROR(INDEX(Match_Explanation!$G$6:$G$125,MATCH("BR-02|"&amp;INDEX(Matching_Engine!$C$30:$C$53,MATCH(LARGE(Matching_Engine!$BC$30:$BC$53,3),Matching_Engine!$BC$30:$BC$53,0)),Matching_Engine!$BG$6:$BG$125,0)),"")</f>
      </c>
    </row>
    <row r="37" spans="1:8" x14ac:dyDescent="0.25">
      <c r="A37" s="35">
        <v>4</v>
      </c>
      <c r="B37" s="11">
        <f>IFERROR(INDEX(Matching_Engine!$D$30:$D$53,MATCH(LARGE(Matching_Engine!$BC$30:$BC$53,4),Matching_Engine!$BC$30:$BC$53,0)),"")</f>
      </c>
      <c r="C37" s="11">
        <f>IFERROR(INDEX(Matching_Engine!$E$30:$E$53,MATCH(LARGE(Matching_Engine!$BC$30:$BC$53,4),Matching_Engine!$BC$30:$BC$53,0)),"")</f>
      </c>
      <c r="D37" s="11">
        <f>IFERROR(INDEX(Matching_Engine!$G$30:$G$53,MATCH(LARGE(Matching_Engine!$BC$30:$BC$53,4),Matching_Engine!$BC$30:$BC$53,0)),"")</f>
      </c>
      <c r="E37" s="29">
        <f>IFERROR(INDEX(Matching_Engine!$AY$30:$AY$53,MATCH(LARGE(Matching_Engine!$BC$30:$BC$53,4),Matching_Engine!$BC$30:$BC$53,0)),"N/A")</f>
      </c>
      <c r="F37" s="11">
        <f>IFERROR(INDEX(Matching_Engine!$AZ$30:$AZ$53,MATCH(LARGE(Matching_Engine!$BC$30:$BC$53,4),Matching_Engine!$BC$30:$BC$53,0)),"")</f>
      </c>
      <c r="G37" s="11">
        <f>IFERROR(INDEX(Matching_Engine!$BB$30:$BB$53,MATCH(LARGE(Matching_Engine!$BC$30:$BC$53,4),Matching_Engine!$BC$30:$BC$53,0)),"")</f>
      </c>
      <c r="H37" s="11">
        <f>IFERROR(INDEX(Match_Explanation!$G$6:$G$125,MATCH("BR-02|"&amp;INDEX(Matching_Engine!$C$30:$C$53,MATCH(LARGE(Matching_Engine!$BC$30:$BC$53,4),Matching_Engine!$BC$30:$BC$53,0)),Matching_Engine!$BG$6:$BG$125,0)),"")</f>
      </c>
    </row>
    <row r="38" spans="1:8" x14ac:dyDescent="0.25">
      <c r="A38" s="35">
        <v>5</v>
      </c>
      <c r="B38" s="11">
        <f>IFERROR(INDEX(Matching_Engine!$D$30:$D$53,MATCH(LARGE(Matching_Engine!$BC$30:$BC$53,5),Matching_Engine!$BC$30:$BC$53,0)),"")</f>
      </c>
      <c r="C38" s="11">
        <f>IFERROR(INDEX(Matching_Engine!$E$30:$E$53,MATCH(LARGE(Matching_Engine!$BC$30:$BC$53,5),Matching_Engine!$BC$30:$BC$53,0)),"")</f>
      </c>
      <c r="D38" s="11">
        <f>IFERROR(INDEX(Matching_Engine!$G$30:$G$53,MATCH(LARGE(Matching_Engine!$BC$30:$BC$53,5),Matching_Engine!$BC$30:$BC$53,0)),"")</f>
      </c>
      <c r="E38" s="29">
        <f>IFERROR(INDEX(Matching_Engine!$AY$30:$AY$53,MATCH(LARGE(Matching_Engine!$BC$30:$BC$53,5),Matching_Engine!$BC$30:$BC$53,0)),"N/A")</f>
      </c>
      <c r="F38" s="11">
        <f>IFERROR(INDEX(Matching_Engine!$AZ$30:$AZ$53,MATCH(LARGE(Matching_Engine!$BC$30:$BC$53,5),Matching_Engine!$BC$30:$BC$53,0)),"")</f>
      </c>
      <c r="G38" s="11">
        <f>IFERROR(INDEX(Matching_Engine!$BB$30:$BB$53,MATCH(LARGE(Matching_Engine!$BC$30:$BC$53,5),Matching_Engine!$BC$30:$BC$53,0)),"")</f>
      </c>
      <c r="H38" s="11">
        <f>IFERROR(INDEX(Match_Explanation!$G$6:$G$125,MATCH("BR-02|"&amp;INDEX(Matching_Engine!$C$30:$C$53,MATCH(LARGE(Matching_Engine!$BC$30:$BC$53,5),Matching_Engine!$BC$30:$BC$53,0)),Matching_Engine!$BG$6:$BG$125,0)),"")</f>
      </c>
    </row>
    <row r="39" spans="1:8" x14ac:dyDescent="0.25">
      <c r="A39" s="35">
        <v>6</v>
      </c>
      <c r="B39" s="11">
        <f>IFERROR(INDEX(Matching_Engine!$D$30:$D$53,MATCH(LARGE(Matching_Engine!$BC$30:$BC$53,6),Matching_Engine!$BC$30:$BC$53,0)),"")</f>
      </c>
      <c r="C39" s="11">
        <f>IFERROR(INDEX(Matching_Engine!$E$30:$E$53,MATCH(LARGE(Matching_Engine!$BC$30:$BC$53,6),Matching_Engine!$BC$30:$BC$53,0)),"")</f>
      </c>
      <c r="D39" s="11">
        <f>IFERROR(INDEX(Matching_Engine!$G$30:$G$53,MATCH(LARGE(Matching_Engine!$BC$30:$BC$53,6),Matching_Engine!$BC$30:$BC$53,0)),"")</f>
      </c>
      <c r="E39" s="29">
        <f>IFERROR(INDEX(Matching_Engine!$AY$30:$AY$53,MATCH(LARGE(Matching_Engine!$BC$30:$BC$53,6),Matching_Engine!$BC$30:$BC$53,0)),"N/A")</f>
      </c>
      <c r="F39" s="11">
        <f>IFERROR(INDEX(Matching_Engine!$AZ$30:$AZ$53,MATCH(LARGE(Matching_Engine!$BC$30:$BC$53,6),Matching_Engine!$BC$30:$BC$53,0)),"")</f>
      </c>
      <c r="G39" s="11">
        <f>IFERROR(INDEX(Matching_Engine!$BB$30:$BB$53,MATCH(LARGE(Matching_Engine!$BC$30:$BC$53,6),Matching_Engine!$BC$30:$BC$53,0)),"")</f>
      </c>
      <c r="H39" s="11">
        <f>IFERROR(INDEX(Match_Explanation!$G$6:$G$125,MATCH("BR-02|"&amp;INDEX(Matching_Engine!$C$30:$C$53,MATCH(LARGE(Matching_Engine!$BC$30:$BC$53,6),Matching_Engine!$BC$30:$BC$53,0)),Matching_Engine!$BG$6:$BG$125,0)),"")</f>
      </c>
    </row>
    <row r="40" spans="1:8" x14ac:dyDescent="0.25">
      <c r="A40" s="35">
        <v>7</v>
      </c>
      <c r="B40" s="11">
        <f>IFERROR(INDEX(Matching_Engine!$D$30:$D$53,MATCH(LARGE(Matching_Engine!$BC$30:$BC$53,7),Matching_Engine!$BC$30:$BC$53,0)),"")</f>
      </c>
      <c r="C40" s="11">
        <f>IFERROR(INDEX(Matching_Engine!$E$30:$E$53,MATCH(LARGE(Matching_Engine!$BC$30:$BC$53,7),Matching_Engine!$BC$30:$BC$53,0)),"")</f>
      </c>
      <c r="D40" s="11">
        <f>IFERROR(INDEX(Matching_Engine!$G$30:$G$53,MATCH(LARGE(Matching_Engine!$BC$30:$BC$53,7),Matching_Engine!$BC$30:$BC$53,0)),"")</f>
      </c>
      <c r="E40" s="29">
        <f>IFERROR(INDEX(Matching_Engine!$AY$30:$AY$53,MATCH(LARGE(Matching_Engine!$BC$30:$BC$53,7),Matching_Engine!$BC$30:$BC$53,0)),"N/A")</f>
      </c>
      <c r="F40" s="11">
        <f>IFERROR(INDEX(Matching_Engine!$AZ$30:$AZ$53,MATCH(LARGE(Matching_Engine!$BC$30:$BC$53,7),Matching_Engine!$BC$30:$BC$53,0)),"")</f>
      </c>
      <c r="G40" s="11">
        <f>IFERROR(INDEX(Matching_Engine!$BB$30:$BB$53,MATCH(LARGE(Matching_Engine!$BC$30:$BC$53,7),Matching_Engine!$BC$30:$BC$53,0)),"")</f>
      </c>
      <c r="H40" s="11">
        <f>IFERROR(INDEX(Match_Explanation!$G$6:$G$125,MATCH("BR-02|"&amp;INDEX(Matching_Engine!$C$30:$C$53,MATCH(LARGE(Matching_Engine!$BC$30:$BC$53,7),Matching_Engine!$BC$30:$BC$53,0)),Matching_Engine!$BG$6:$BG$125,0)),"")</f>
      </c>
    </row>
    <row r="41" spans="1:8" x14ac:dyDescent="0.25">
      <c r="A41" s="35">
        <v>8</v>
      </c>
      <c r="B41" s="11">
        <f>IFERROR(INDEX(Matching_Engine!$D$30:$D$53,MATCH(LARGE(Matching_Engine!$BC$30:$BC$53,8),Matching_Engine!$BC$30:$BC$53,0)),"")</f>
      </c>
      <c r="C41" s="11">
        <f>IFERROR(INDEX(Matching_Engine!$E$30:$E$53,MATCH(LARGE(Matching_Engine!$BC$30:$BC$53,8),Matching_Engine!$BC$30:$BC$53,0)),"")</f>
      </c>
      <c r="D41" s="11">
        <f>IFERROR(INDEX(Matching_Engine!$G$30:$G$53,MATCH(LARGE(Matching_Engine!$BC$30:$BC$53,8),Matching_Engine!$BC$30:$BC$53,0)),"")</f>
      </c>
      <c r="E41" s="29">
        <f>IFERROR(INDEX(Matching_Engine!$AY$30:$AY$53,MATCH(LARGE(Matching_Engine!$BC$30:$BC$53,8),Matching_Engine!$BC$30:$BC$53,0)),"N/A")</f>
      </c>
      <c r="F41" s="11">
        <f>IFERROR(INDEX(Matching_Engine!$AZ$30:$AZ$53,MATCH(LARGE(Matching_Engine!$BC$30:$BC$53,8),Matching_Engine!$BC$30:$BC$53,0)),"")</f>
      </c>
      <c r="G41" s="11">
        <f>IFERROR(INDEX(Matching_Engine!$BB$30:$BB$53,MATCH(LARGE(Matching_Engine!$BC$30:$BC$53,8),Matching_Engine!$BC$30:$BC$53,0)),"")</f>
      </c>
      <c r="H41" s="11">
        <f>IFERROR(INDEX(Match_Explanation!$G$6:$G$125,MATCH("BR-02|"&amp;INDEX(Matching_Engine!$C$30:$C$53,MATCH(LARGE(Matching_Engine!$BC$30:$BC$53,8),Matching_Engine!$BC$30:$BC$53,0)),Matching_Engine!$BG$6:$BG$125,0)),"")</f>
      </c>
    </row>
    <row r="42" spans="1:8" x14ac:dyDescent="0.25">
      <c r="A42" s="35">
        <v>9</v>
      </c>
      <c r="B42" s="11">
        <f>IFERROR(INDEX(Matching_Engine!$D$30:$D$53,MATCH(LARGE(Matching_Engine!$BC$30:$BC$53,9),Matching_Engine!$BC$30:$BC$53,0)),"")</f>
      </c>
      <c r="C42" s="11">
        <f>IFERROR(INDEX(Matching_Engine!$E$30:$E$53,MATCH(LARGE(Matching_Engine!$BC$30:$BC$53,9),Matching_Engine!$BC$30:$BC$53,0)),"")</f>
      </c>
      <c r="D42" s="11">
        <f>IFERROR(INDEX(Matching_Engine!$G$30:$G$53,MATCH(LARGE(Matching_Engine!$BC$30:$BC$53,9),Matching_Engine!$BC$30:$BC$53,0)),"")</f>
      </c>
      <c r="E42" s="29">
        <f>IFERROR(INDEX(Matching_Engine!$AY$30:$AY$53,MATCH(LARGE(Matching_Engine!$BC$30:$BC$53,9),Matching_Engine!$BC$30:$BC$53,0)),"N/A")</f>
      </c>
      <c r="F42" s="11">
        <f>IFERROR(INDEX(Matching_Engine!$AZ$30:$AZ$53,MATCH(LARGE(Matching_Engine!$BC$30:$BC$53,9),Matching_Engine!$BC$30:$BC$53,0)),"")</f>
      </c>
      <c r="G42" s="11">
        <f>IFERROR(INDEX(Matching_Engine!$BB$30:$BB$53,MATCH(LARGE(Matching_Engine!$BC$30:$BC$53,9),Matching_Engine!$BC$30:$BC$53,0)),"")</f>
      </c>
      <c r="H42" s="11">
        <f>IFERROR(INDEX(Match_Explanation!$G$6:$G$125,MATCH("BR-02|"&amp;INDEX(Matching_Engine!$C$30:$C$53,MATCH(LARGE(Matching_Engine!$BC$30:$BC$53,9),Matching_Engine!$BC$30:$BC$53,0)),Matching_Engine!$BG$6:$BG$125,0)),"")</f>
      </c>
    </row>
    <row r="43" spans="1:8" x14ac:dyDescent="0.25">
      <c r="A43" s="35">
        <v>10</v>
      </c>
      <c r="B43" s="11">
        <f>IFERROR(INDEX(Matching_Engine!$D$30:$D$53,MATCH(LARGE(Matching_Engine!$BC$30:$BC$53,10),Matching_Engine!$BC$30:$BC$53,0)),"")</f>
      </c>
      <c r="C43" s="11">
        <f>IFERROR(INDEX(Matching_Engine!$E$30:$E$53,MATCH(LARGE(Matching_Engine!$BC$30:$BC$53,10),Matching_Engine!$BC$30:$BC$53,0)),"")</f>
      </c>
      <c r="D43" s="11">
        <f>IFERROR(INDEX(Matching_Engine!$G$30:$G$53,MATCH(LARGE(Matching_Engine!$BC$30:$BC$53,10),Matching_Engine!$BC$30:$BC$53,0)),"")</f>
      </c>
      <c r="E43" s="29">
        <f>IFERROR(INDEX(Matching_Engine!$AY$30:$AY$53,MATCH(LARGE(Matching_Engine!$BC$30:$BC$53,10),Matching_Engine!$BC$30:$BC$53,0)),"N/A")</f>
      </c>
      <c r="F43" s="11">
        <f>IFERROR(INDEX(Matching_Engine!$AZ$30:$AZ$53,MATCH(LARGE(Matching_Engine!$BC$30:$BC$53,10),Matching_Engine!$BC$30:$BC$53,0)),"")</f>
      </c>
      <c r="G43" s="11">
        <f>IFERROR(INDEX(Matching_Engine!$BB$30:$BB$53,MATCH(LARGE(Matching_Engine!$BC$30:$BC$53,10),Matching_Engine!$BC$30:$BC$53,0)),"")</f>
      </c>
      <c r="H43" s="11">
        <f>IFERROR(INDEX(Match_Explanation!$G$6:$G$125,MATCH("BR-02|"&amp;INDEX(Matching_Engine!$C$30:$C$53,MATCH(LARGE(Matching_Engine!$BC$30:$BC$53,10),Matching_Engine!$BC$30:$BC$53,0)),Matching_Engine!$BG$6:$BG$125,0)),"")</f>
      </c>
    </row>
    <row r="44" spans="1:8" x14ac:dyDescent="0.25">
      <c r="A44" s="35">
        <v>11</v>
      </c>
      <c r="B44" s="11">
        <f>IFERROR(INDEX(Matching_Engine!$D$30:$D$53,MATCH(LARGE(Matching_Engine!$BC$30:$BC$53,11),Matching_Engine!$BC$30:$BC$53,0)),"")</f>
      </c>
      <c r="C44" s="11">
        <f>IFERROR(INDEX(Matching_Engine!$E$30:$E$53,MATCH(LARGE(Matching_Engine!$BC$30:$BC$53,11),Matching_Engine!$BC$30:$BC$53,0)),"")</f>
      </c>
      <c r="D44" s="11">
        <f>IFERROR(INDEX(Matching_Engine!$G$30:$G$53,MATCH(LARGE(Matching_Engine!$BC$30:$BC$53,11),Matching_Engine!$BC$30:$BC$53,0)),"")</f>
      </c>
      <c r="E44" s="29">
        <f>IFERROR(INDEX(Matching_Engine!$AY$30:$AY$53,MATCH(LARGE(Matching_Engine!$BC$30:$BC$53,11),Matching_Engine!$BC$30:$BC$53,0)),"N/A")</f>
      </c>
      <c r="F44" s="11">
        <f>IFERROR(INDEX(Matching_Engine!$AZ$30:$AZ$53,MATCH(LARGE(Matching_Engine!$BC$30:$BC$53,11),Matching_Engine!$BC$30:$BC$53,0)),"")</f>
      </c>
      <c r="G44" s="11">
        <f>IFERROR(INDEX(Matching_Engine!$BB$30:$BB$53,MATCH(LARGE(Matching_Engine!$BC$30:$BC$53,11),Matching_Engine!$BC$30:$BC$53,0)),"")</f>
      </c>
      <c r="H44" s="11">
        <f>IFERROR(INDEX(Match_Explanation!$G$6:$G$125,MATCH("BR-02|"&amp;INDEX(Matching_Engine!$C$30:$C$53,MATCH(LARGE(Matching_Engine!$BC$30:$BC$53,11),Matching_Engine!$BC$30:$BC$53,0)),Matching_Engine!$BG$6:$BG$125,0)),"")</f>
      </c>
    </row>
    <row r="45" spans="1:8" x14ac:dyDescent="0.25">
      <c r="A45" s="35">
        <v>12</v>
      </c>
      <c r="B45" s="11">
        <f>IFERROR(INDEX(Matching_Engine!$D$30:$D$53,MATCH(LARGE(Matching_Engine!$BC$30:$BC$53,12),Matching_Engine!$BC$30:$BC$53,0)),"")</f>
      </c>
      <c r="C45" s="11">
        <f>IFERROR(INDEX(Matching_Engine!$E$30:$E$53,MATCH(LARGE(Matching_Engine!$BC$30:$BC$53,12),Matching_Engine!$BC$30:$BC$53,0)),"")</f>
      </c>
      <c r="D45" s="11">
        <f>IFERROR(INDEX(Matching_Engine!$G$30:$G$53,MATCH(LARGE(Matching_Engine!$BC$30:$BC$53,12),Matching_Engine!$BC$30:$BC$53,0)),"")</f>
      </c>
      <c r="E45" s="29">
        <f>IFERROR(INDEX(Matching_Engine!$AY$30:$AY$53,MATCH(LARGE(Matching_Engine!$BC$30:$BC$53,12),Matching_Engine!$BC$30:$BC$53,0)),"N/A")</f>
      </c>
      <c r="F45" s="11">
        <f>IFERROR(INDEX(Matching_Engine!$AZ$30:$AZ$53,MATCH(LARGE(Matching_Engine!$BC$30:$BC$53,12),Matching_Engine!$BC$30:$BC$53,0)),"")</f>
      </c>
      <c r="G45" s="11">
        <f>IFERROR(INDEX(Matching_Engine!$BB$30:$BB$53,MATCH(LARGE(Matching_Engine!$BC$30:$BC$53,12),Matching_Engine!$BC$30:$BC$53,0)),"")</f>
      </c>
      <c r="H45" s="11">
        <f>IFERROR(INDEX(Match_Explanation!$G$6:$G$125,MATCH("BR-02|"&amp;INDEX(Matching_Engine!$C$30:$C$53,MATCH(LARGE(Matching_Engine!$BC$30:$BC$53,12),Matching_Engine!$BC$30:$BC$53,0)),Matching_Engine!$BG$6:$BG$125,0)),"")</f>
      </c>
    </row>
    <row r="46" spans="1:8" x14ac:dyDescent="0.25">
      <c r="A46" s="35">
        <v>13</v>
      </c>
      <c r="B46" s="11">
        <f>IFERROR(INDEX(Matching_Engine!$D$30:$D$53,MATCH(LARGE(Matching_Engine!$BC$30:$BC$53,13),Matching_Engine!$BC$30:$BC$53,0)),"")</f>
      </c>
      <c r="C46" s="11">
        <f>IFERROR(INDEX(Matching_Engine!$E$30:$E$53,MATCH(LARGE(Matching_Engine!$BC$30:$BC$53,13),Matching_Engine!$BC$30:$BC$53,0)),"")</f>
      </c>
      <c r="D46" s="11">
        <f>IFERROR(INDEX(Matching_Engine!$G$30:$G$53,MATCH(LARGE(Matching_Engine!$BC$30:$BC$53,13),Matching_Engine!$BC$30:$BC$53,0)),"")</f>
      </c>
      <c r="E46" s="29">
        <f>IFERROR(INDEX(Matching_Engine!$AY$30:$AY$53,MATCH(LARGE(Matching_Engine!$BC$30:$BC$53,13),Matching_Engine!$BC$30:$BC$53,0)),"N/A")</f>
      </c>
      <c r="F46" s="11">
        <f>IFERROR(INDEX(Matching_Engine!$AZ$30:$AZ$53,MATCH(LARGE(Matching_Engine!$BC$30:$BC$53,13),Matching_Engine!$BC$30:$BC$53,0)),"")</f>
      </c>
      <c r="G46" s="11">
        <f>IFERROR(INDEX(Matching_Engine!$BB$30:$BB$53,MATCH(LARGE(Matching_Engine!$BC$30:$BC$53,13),Matching_Engine!$BC$30:$BC$53,0)),"")</f>
      </c>
      <c r="H46" s="11">
        <f>IFERROR(INDEX(Match_Explanation!$G$6:$G$125,MATCH("BR-02|"&amp;INDEX(Matching_Engine!$C$30:$C$53,MATCH(LARGE(Matching_Engine!$BC$30:$BC$53,13),Matching_Engine!$BC$30:$BC$53,0)),Matching_Engine!$BG$6:$BG$125,0)),"")</f>
      </c>
    </row>
    <row r="47" spans="1:8" x14ac:dyDescent="0.25">
      <c r="A47" s="35">
        <v>14</v>
      </c>
      <c r="B47" s="11">
        <f>IFERROR(INDEX(Matching_Engine!$D$30:$D$53,MATCH(LARGE(Matching_Engine!$BC$30:$BC$53,14),Matching_Engine!$BC$30:$BC$53,0)),"")</f>
      </c>
      <c r="C47" s="11">
        <f>IFERROR(INDEX(Matching_Engine!$E$30:$E$53,MATCH(LARGE(Matching_Engine!$BC$30:$BC$53,14),Matching_Engine!$BC$30:$BC$53,0)),"")</f>
      </c>
      <c r="D47" s="11">
        <f>IFERROR(INDEX(Matching_Engine!$G$30:$G$53,MATCH(LARGE(Matching_Engine!$BC$30:$BC$53,14),Matching_Engine!$BC$30:$BC$53,0)),"")</f>
      </c>
      <c r="E47" s="29">
        <f>IFERROR(INDEX(Matching_Engine!$AY$30:$AY$53,MATCH(LARGE(Matching_Engine!$BC$30:$BC$53,14),Matching_Engine!$BC$30:$BC$53,0)),"N/A")</f>
      </c>
      <c r="F47" s="11">
        <f>IFERROR(INDEX(Matching_Engine!$AZ$30:$AZ$53,MATCH(LARGE(Matching_Engine!$BC$30:$BC$53,14),Matching_Engine!$BC$30:$BC$53,0)),"")</f>
      </c>
      <c r="G47" s="11">
        <f>IFERROR(INDEX(Matching_Engine!$BB$30:$BB$53,MATCH(LARGE(Matching_Engine!$BC$30:$BC$53,14),Matching_Engine!$BC$30:$BC$53,0)),"")</f>
      </c>
      <c r="H47" s="11">
        <f>IFERROR(INDEX(Match_Explanation!$G$6:$G$125,MATCH("BR-02|"&amp;INDEX(Matching_Engine!$C$30:$C$53,MATCH(LARGE(Matching_Engine!$BC$30:$BC$53,14),Matching_Engine!$BC$30:$BC$53,0)),Matching_Engine!$BG$6:$BG$125,0)),"")</f>
      </c>
    </row>
    <row r="48" spans="1:8" x14ac:dyDescent="0.25">
      <c r="A48" s="35">
        <v>15</v>
      </c>
      <c r="B48" s="11">
        <f>IFERROR(INDEX(Matching_Engine!$D$30:$D$53,MATCH(LARGE(Matching_Engine!$BC$30:$BC$53,15),Matching_Engine!$BC$30:$BC$53,0)),"")</f>
      </c>
      <c r="C48" s="11">
        <f>IFERROR(INDEX(Matching_Engine!$E$30:$E$53,MATCH(LARGE(Matching_Engine!$BC$30:$BC$53,15),Matching_Engine!$BC$30:$BC$53,0)),"")</f>
      </c>
      <c r="D48" s="11">
        <f>IFERROR(INDEX(Matching_Engine!$G$30:$G$53,MATCH(LARGE(Matching_Engine!$BC$30:$BC$53,15),Matching_Engine!$BC$30:$BC$53,0)),"")</f>
      </c>
      <c r="E48" s="29">
        <f>IFERROR(INDEX(Matching_Engine!$AY$30:$AY$53,MATCH(LARGE(Matching_Engine!$BC$30:$BC$53,15),Matching_Engine!$BC$30:$BC$53,0)),"N/A")</f>
      </c>
      <c r="F48" s="11">
        <f>IFERROR(INDEX(Matching_Engine!$AZ$30:$AZ$53,MATCH(LARGE(Matching_Engine!$BC$30:$BC$53,15),Matching_Engine!$BC$30:$BC$53,0)),"")</f>
      </c>
      <c r="G48" s="11">
        <f>IFERROR(INDEX(Matching_Engine!$BB$30:$BB$53,MATCH(LARGE(Matching_Engine!$BC$30:$BC$53,15),Matching_Engine!$BC$30:$BC$53,0)),"")</f>
      </c>
      <c r="H48" s="11">
        <f>IFERROR(INDEX(Match_Explanation!$G$6:$G$125,MATCH("BR-02|"&amp;INDEX(Matching_Engine!$C$30:$C$53,MATCH(LARGE(Matching_Engine!$BC$30:$BC$53,15),Matching_Engine!$BC$30:$BC$53,0)),Matching_Engine!$BG$6:$BG$125,0)),"")</f>
      </c>
    </row>
    <row r="49" spans="1:8" x14ac:dyDescent="0.25">
      <c r="A49" s="35">
        <v>16</v>
      </c>
      <c r="B49" s="11">
        <f>IFERROR(INDEX(Matching_Engine!$D$30:$D$53,MATCH(LARGE(Matching_Engine!$BC$30:$BC$53,16),Matching_Engine!$BC$30:$BC$53,0)),"")</f>
      </c>
      <c r="C49" s="11">
        <f>IFERROR(INDEX(Matching_Engine!$E$30:$E$53,MATCH(LARGE(Matching_Engine!$BC$30:$BC$53,16),Matching_Engine!$BC$30:$BC$53,0)),"")</f>
      </c>
      <c r="D49" s="11">
        <f>IFERROR(INDEX(Matching_Engine!$G$30:$G$53,MATCH(LARGE(Matching_Engine!$BC$30:$BC$53,16),Matching_Engine!$BC$30:$BC$53,0)),"")</f>
      </c>
      <c r="E49" s="29">
        <f>IFERROR(INDEX(Matching_Engine!$AY$30:$AY$53,MATCH(LARGE(Matching_Engine!$BC$30:$BC$53,16),Matching_Engine!$BC$30:$BC$53,0)),"N/A")</f>
      </c>
      <c r="F49" s="11">
        <f>IFERROR(INDEX(Matching_Engine!$AZ$30:$AZ$53,MATCH(LARGE(Matching_Engine!$BC$30:$BC$53,16),Matching_Engine!$BC$30:$BC$53,0)),"")</f>
      </c>
      <c r="G49" s="11">
        <f>IFERROR(INDEX(Matching_Engine!$BB$30:$BB$53,MATCH(LARGE(Matching_Engine!$BC$30:$BC$53,16),Matching_Engine!$BC$30:$BC$53,0)),"")</f>
      </c>
      <c r="H49" s="11">
        <f>IFERROR(INDEX(Match_Explanation!$G$6:$G$125,MATCH("BR-02|"&amp;INDEX(Matching_Engine!$C$30:$C$53,MATCH(LARGE(Matching_Engine!$BC$30:$BC$53,16),Matching_Engine!$BC$30:$BC$53,0)),Matching_Engine!$BG$6:$BG$125,0)),"")</f>
      </c>
    </row>
    <row r="50" spans="1:8" x14ac:dyDescent="0.25">
      <c r="A50" s="35">
        <v>17</v>
      </c>
      <c r="B50" s="11">
        <f>IFERROR(INDEX(Matching_Engine!$D$30:$D$53,MATCH(LARGE(Matching_Engine!$BC$30:$BC$53,17),Matching_Engine!$BC$30:$BC$53,0)),"")</f>
      </c>
      <c r="C50" s="11">
        <f>IFERROR(INDEX(Matching_Engine!$E$30:$E$53,MATCH(LARGE(Matching_Engine!$BC$30:$BC$53,17),Matching_Engine!$BC$30:$BC$53,0)),"")</f>
      </c>
      <c r="D50" s="11">
        <f>IFERROR(INDEX(Matching_Engine!$G$30:$G$53,MATCH(LARGE(Matching_Engine!$BC$30:$BC$53,17),Matching_Engine!$BC$30:$BC$53,0)),"")</f>
      </c>
      <c r="E50" s="29">
        <f>IFERROR(INDEX(Matching_Engine!$AY$30:$AY$53,MATCH(LARGE(Matching_Engine!$BC$30:$BC$53,17),Matching_Engine!$BC$30:$BC$53,0)),"N/A")</f>
      </c>
      <c r="F50" s="11">
        <f>IFERROR(INDEX(Matching_Engine!$AZ$30:$AZ$53,MATCH(LARGE(Matching_Engine!$BC$30:$BC$53,17),Matching_Engine!$BC$30:$BC$53,0)),"")</f>
      </c>
      <c r="G50" s="11">
        <f>IFERROR(INDEX(Matching_Engine!$BB$30:$BB$53,MATCH(LARGE(Matching_Engine!$BC$30:$BC$53,17),Matching_Engine!$BC$30:$BC$53,0)),"")</f>
      </c>
      <c r="H50" s="11">
        <f>IFERROR(INDEX(Match_Explanation!$G$6:$G$125,MATCH("BR-02|"&amp;INDEX(Matching_Engine!$C$30:$C$53,MATCH(LARGE(Matching_Engine!$BC$30:$BC$53,17),Matching_Engine!$BC$30:$BC$53,0)),Matching_Engine!$BG$6:$BG$125,0)),"")</f>
      </c>
    </row>
    <row r="51" spans="1:8" x14ac:dyDescent="0.25">
      <c r="A51" s="35">
        <v>18</v>
      </c>
      <c r="B51" s="11">
        <f>IFERROR(INDEX(Matching_Engine!$D$30:$D$53,MATCH(LARGE(Matching_Engine!$BC$30:$BC$53,18),Matching_Engine!$BC$30:$BC$53,0)),"")</f>
      </c>
      <c r="C51" s="11">
        <f>IFERROR(INDEX(Matching_Engine!$E$30:$E$53,MATCH(LARGE(Matching_Engine!$BC$30:$BC$53,18),Matching_Engine!$BC$30:$BC$53,0)),"")</f>
      </c>
      <c r="D51" s="11">
        <f>IFERROR(INDEX(Matching_Engine!$G$30:$G$53,MATCH(LARGE(Matching_Engine!$BC$30:$BC$53,18),Matching_Engine!$BC$30:$BC$53,0)),"")</f>
      </c>
      <c r="E51" s="29">
        <f>IFERROR(INDEX(Matching_Engine!$AY$30:$AY$53,MATCH(LARGE(Matching_Engine!$BC$30:$BC$53,18),Matching_Engine!$BC$30:$BC$53,0)),"N/A")</f>
      </c>
      <c r="F51" s="11">
        <f>IFERROR(INDEX(Matching_Engine!$AZ$30:$AZ$53,MATCH(LARGE(Matching_Engine!$BC$30:$BC$53,18),Matching_Engine!$BC$30:$BC$53,0)),"")</f>
      </c>
      <c r="G51" s="11">
        <f>IFERROR(INDEX(Matching_Engine!$BB$30:$BB$53,MATCH(LARGE(Matching_Engine!$BC$30:$BC$53,18),Matching_Engine!$BC$30:$BC$53,0)),"")</f>
      </c>
      <c r="H51" s="11">
        <f>IFERROR(INDEX(Match_Explanation!$G$6:$G$125,MATCH("BR-02|"&amp;INDEX(Matching_Engine!$C$30:$C$53,MATCH(LARGE(Matching_Engine!$BC$30:$BC$53,18),Matching_Engine!$BC$30:$BC$53,0)),Matching_Engine!$BG$6:$BG$125,0)),"")</f>
      </c>
    </row>
    <row r="52" spans="1:8" x14ac:dyDescent="0.25">
      <c r="A52" s="35">
        <v>19</v>
      </c>
      <c r="B52" s="11">
        <f>IFERROR(INDEX(Matching_Engine!$D$30:$D$53,MATCH(LARGE(Matching_Engine!$BC$30:$BC$53,19),Matching_Engine!$BC$30:$BC$53,0)),"")</f>
      </c>
      <c r="C52" s="11">
        <f>IFERROR(INDEX(Matching_Engine!$E$30:$E$53,MATCH(LARGE(Matching_Engine!$BC$30:$BC$53,19),Matching_Engine!$BC$30:$BC$53,0)),"")</f>
      </c>
      <c r="D52" s="11">
        <f>IFERROR(INDEX(Matching_Engine!$G$30:$G$53,MATCH(LARGE(Matching_Engine!$BC$30:$BC$53,19),Matching_Engine!$BC$30:$BC$53,0)),"")</f>
      </c>
      <c r="E52" s="29">
        <f>IFERROR(INDEX(Matching_Engine!$AY$30:$AY$53,MATCH(LARGE(Matching_Engine!$BC$30:$BC$53,19),Matching_Engine!$BC$30:$BC$53,0)),"N/A")</f>
      </c>
      <c r="F52" s="11">
        <f>IFERROR(INDEX(Matching_Engine!$AZ$30:$AZ$53,MATCH(LARGE(Matching_Engine!$BC$30:$BC$53,19),Matching_Engine!$BC$30:$BC$53,0)),"")</f>
      </c>
      <c r="G52" s="11">
        <f>IFERROR(INDEX(Matching_Engine!$BB$30:$BB$53,MATCH(LARGE(Matching_Engine!$BC$30:$BC$53,19),Matching_Engine!$BC$30:$BC$53,0)),"")</f>
      </c>
      <c r="H52" s="11">
        <f>IFERROR(INDEX(Match_Explanation!$G$6:$G$125,MATCH("BR-02|"&amp;INDEX(Matching_Engine!$C$30:$C$53,MATCH(LARGE(Matching_Engine!$BC$30:$BC$53,19),Matching_Engine!$BC$30:$BC$53,0)),Matching_Engine!$BG$6:$BG$125,0)),"")</f>
      </c>
    </row>
    <row r="53" spans="1:8" x14ac:dyDescent="0.25">
      <c r="A53" s="35">
        <v>20</v>
      </c>
      <c r="B53" s="11">
        <f>IFERROR(INDEX(Matching_Engine!$D$30:$D$53,MATCH(LARGE(Matching_Engine!$BC$30:$BC$53,20),Matching_Engine!$BC$30:$BC$53,0)),"")</f>
      </c>
      <c r="C53" s="11">
        <f>IFERROR(INDEX(Matching_Engine!$E$30:$E$53,MATCH(LARGE(Matching_Engine!$BC$30:$BC$53,20),Matching_Engine!$BC$30:$BC$53,0)),"")</f>
      </c>
      <c r="D53" s="11">
        <f>IFERROR(INDEX(Matching_Engine!$G$30:$G$53,MATCH(LARGE(Matching_Engine!$BC$30:$BC$53,20),Matching_Engine!$BC$30:$BC$53,0)),"")</f>
      </c>
      <c r="E53" s="29">
        <f>IFERROR(INDEX(Matching_Engine!$AY$30:$AY$53,MATCH(LARGE(Matching_Engine!$BC$30:$BC$53,20),Matching_Engine!$BC$30:$BC$53,0)),"N/A")</f>
      </c>
      <c r="F53" s="11">
        <f>IFERROR(INDEX(Matching_Engine!$AZ$30:$AZ$53,MATCH(LARGE(Matching_Engine!$BC$30:$BC$53,20),Matching_Engine!$BC$30:$BC$53,0)),"")</f>
      </c>
      <c r="G53" s="11">
        <f>IFERROR(INDEX(Matching_Engine!$BB$30:$BB$53,MATCH(LARGE(Matching_Engine!$BC$30:$BC$53,20),Matching_Engine!$BC$30:$BC$53,0)),"")</f>
      </c>
      <c r="H53" s="11">
        <f>IFERROR(INDEX(Match_Explanation!$G$6:$G$125,MATCH("BR-02|"&amp;INDEX(Matching_Engine!$C$30:$C$53,MATCH(LARGE(Matching_Engine!$BC$30:$BC$53,20),Matching_Engine!$BC$30:$BC$53,0)),Matching_Engine!$BG$6:$BG$125,0)),"")</f>
      </c>
    </row>
    <row r="54" spans="1:8" x14ac:dyDescent="0.25">
      <c r="A54" s="35">
        <v>21</v>
      </c>
      <c r="B54" s="11">
        <f>IFERROR(INDEX(Matching_Engine!$D$30:$D$53,MATCH(LARGE(Matching_Engine!$BC$30:$BC$53,21),Matching_Engine!$BC$30:$BC$53,0)),"")</f>
      </c>
      <c r="C54" s="11">
        <f>IFERROR(INDEX(Matching_Engine!$E$30:$E$53,MATCH(LARGE(Matching_Engine!$BC$30:$BC$53,21),Matching_Engine!$BC$30:$BC$53,0)),"")</f>
      </c>
      <c r="D54" s="11">
        <f>IFERROR(INDEX(Matching_Engine!$G$30:$G$53,MATCH(LARGE(Matching_Engine!$BC$30:$BC$53,21),Matching_Engine!$BC$30:$BC$53,0)),"")</f>
      </c>
      <c r="E54" s="29">
        <f>IFERROR(INDEX(Matching_Engine!$AY$30:$AY$53,MATCH(LARGE(Matching_Engine!$BC$30:$BC$53,21),Matching_Engine!$BC$30:$BC$53,0)),"N/A")</f>
      </c>
      <c r="F54" s="11">
        <f>IFERROR(INDEX(Matching_Engine!$AZ$30:$AZ$53,MATCH(LARGE(Matching_Engine!$BC$30:$BC$53,21),Matching_Engine!$BC$30:$BC$53,0)),"")</f>
      </c>
      <c r="G54" s="11">
        <f>IFERROR(INDEX(Matching_Engine!$BB$30:$BB$53,MATCH(LARGE(Matching_Engine!$BC$30:$BC$53,21),Matching_Engine!$BC$30:$BC$53,0)),"")</f>
      </c>
      <c r="H54" s="11">
        <f>IFERROR(INDEX(Match_Explanation!$G$6:$G$125,MATCH("BR-02|"&amp;INDEX(Matching_Engine!$C$30:$C$53,MATCH(LARGE(Matching_Engine!$BC$30:$BC$53,21),Matching_Engine!$BC$30:$BC$53,0)),Matching_Engine!$BG$6:$BG$125,0)),"")</f>
      </c>
    </row>
    <row r="55" spans="1:8" x14ac:dyDescent="0.25">
      <c r="A55" s="35">
        <v>22</v>
      </c>
      <c r="B55" s="11">
        <f>IFERROR(INDEX(Matching_Engine!$D$30:$D$53,MATCH(LARGE(Matching_Engine!$BC$30:$BC$53,22),Matching_Engine!$BC$30:$BC$53,0)),"")</f>
      </c>
      <c r="C55" s="11">
        <f>IFERROR(INDEX(Matching_Engine!$E$30:$E$53,MATCH(LARGE(Matching_Engine!$BC$30:$BC$53,22),Matching_Engine!$BC$30:$BC$53,0)),"")</f>
      </c>
      <c r="D55" s="11">
        <f>IFERROR(INDEX(Matching_Engine!$G$30:$G$53,MATCH(LARGE(Matching_Engine!$BC$30:$BC$53,22),Matching_Engine!$BC$30:$BC$53,0)),"")</f>
      </c>
      <c r="E55" s="29">
        <f>IFERROR(INDEX(Matching_Engine!$AY$30:$AY$53,MATCH(LARGE(Matching_Engine!$BC$30:$BC$53,22),Matching_Engine!$BC$30:$BC$53,0)),"N/A")</f>
      </c>
      <c r="F55" s="11">
        <f>IFERROR(INDEX(Matching_Engine!$AZ$30:$AZ$53,MATCH(LARGE(Matching_Engine!$BC$30:$BC$53,22),Matching_Engine!$BC$30:$BC$53,0)),"")</f>
      </c>
      <c r="G55" s="11">
        <f>IFERROR(INDEX(Matching_Engine!$BB$30:$BB$53,MATCH(LARGE(Matching_Engine!$BC$30:$BC$53,22),Matching_Engine!$BC$30:$BC$53,0)),"")</f>
      </c>
      <c r="H55" s="11">
        <f>IFERROR(INDEX(Match_Explanation!$G$6:$G$125,MATCH("BR-02|"&amp;INDEX(Matching_Engine!$C$30:$C$53,MATCH(LARGE(Matching_Engine!$BC$30:$BC$53,22),Matching_Engine!$BC$30:$BC$53,0)),Matching_Engine!$BG$6:$BG$125,0)),"")</f>
      </c>
    </row>
    <row r="56" spans="1:8" x14ac:dyDescent="0.25">
      <c r="A56" s="35">
        <v>23</v>
      </c>
      <c r="B56" s="11">
        <f>IFERROR(INDEX(Matching_Engine!$D$30:$D$53,MATCH(LARGE(Matching_Engine!$BC$30:$BC$53,23),Matching_Engine!$BC$30:$BC$53,0)),"")</f>
      </c>
      <c r="C56" s="11">
        <f>IFERROR(INDEX(Matching_Engine!$E$30:$E$53,MATCH(LARGE(Matching_Engine!$BC$30:$BC$53,23),Matching_Engine!$BC$30:$BC$53,0)),"")</f>
      </c>
      <c r="D56" s="11">
        <f>IFERROR(INDEX(Matching_Engine!$G$30:$G$53,MATCH(LARGE(Matching_Engine!$BC$30:$BC$53,23),Matching_Engine!$BC$30:$BC$53,0)),"")</f>
      </c>
      <c r="E56" s="29">
        <f>IFERROR(INDEX(Matching_Engine!$AY$30:$AY$53,MATCH(LARGE(Matching_Engine!$BC$30:$BC$53,23),Matching_Engine!$BC$30:$BC$53,0)),"N/A")</f>
      </c>
      <c r="F56" s="11">
        <f>IFERROR(INDEX(Matching_Engine!$AZ$30:$AZ$53,MATCH(LARGE(Matching_Engine!$BC$30:$BC$53,23),Matching_Engine!$BC$30:$BC$53,0)),"")</f>
      </c>
      <c r="G56" s="11">
        <f>IFERROR(INDEX(Matching_Engine!$BB$30:$BB$53,MATCH(LARGE(Matching_Engine!$BC$30:$BC$53,23),Matching_Engine!$BC$30:$BC$53,0)),"")</f>
      </c>
      <c r="H56" s="11">
        <f>IFERROR(INDEX(Match_Explanation!$G$6:$G$125,MATCH("BR-02|"&amp;INDEX(Matching_Engine!$C$30:$C$53,MATCH(LARGE(Matching_Engine!$BC$30:$BC$53,23),Matching_Engine!$BC$30:$BC$53,0)),Matching_Engine!$BG$6:$BG$125,0)),"")</f>
      </c>
    </row>
    <row r="57" spans="1:8" x14ac:dyDescent="0.25">
      <c r="A57" s="35">
        <v>24</v>
      </c>
      <c r="B57" s="11">
        <f>IFERROR(INDEX(Matching_Engine!$D$30:$D$53,MATCH(LARGE(Matching_Engine!$BC$30:$BC$53,24),Matching_Engine!$BC$30:$BC$53,0)),"")</f>
      </c>
      <c r="C57" s="11">
        <f>IFERROR(INDEX(Matching_Engine!$E$30:$E$53,MATCH(LARGE(Matching_Engine!$BC$30:$BC$53,24),Matching_Engine!$BC$30:$BC$53,0)),"")</f>
      </c>
      <c r="D57" s="11">
        <f>IFERROR(INDEX(Matching_Engine!$G$30:$G$53,MATCH(LARGE(Matching_Engine!$BC$30:$BC$53,24),Matching_Engine!$BC$30:$BC$53,0)),"")</f>
      </c>
      <c r="E57" s="29">
        <f>IFERROR(INDEX(Matching_Engine!$AY$30:$AY$53,MATCH(LARGE(Matching_Engine!$BC$30:$BC$53,24),Matching_Engine!$BC$30:$BC$53,0)),"N/A")</f>
      </c>
      <c r="F57" s="11">
        <f>IFERROR(INDEX(Matching_Engine!$AZ$30:$AZ$53,MATCH(LARGE(Matching_Engine!$BC$30:$BC$53,24),Matching_Engine!$BC$30:$BC$53,0)),"")</f>
      </c>
      <c r="G57" s="11">
        <f>IFERROR(INDEX(Matching_Engine!$BB$30:$BB$53,MATCH(LARGE(Matching_Engine!$BC$30:$BC$53,24),Matching_Engine!$BC$30:$BC$53,0)),"")</f>
      </c>
      <c r="H57" s="11">
        <f>IFERROR(INDEX(Match_Explanation!$G$6:$G$125,MATCH("BR-02|"&amp;INDEX(Matching_Engine!$C$30:$C$53,MATCH(LARGE(Matching_Engine!$BC$30:$BC$53,24),Matching_Engine!$BC$30:$BC$53,0)),Matching_Engine!$BG$6:$BG$125,0)),"")</f>
      </c>
    </row>
    <row r="60" ht="18" customHeight="1" spans="1:8" x14ac:dyDescent="0.25">
      <c r="A60" s="3" t="s">
        <v>716</v>
      </c>
      <c r="B60" s="3"/>
      <c r="C60" s="3"/>
      <c r="D60" s="3"/>
      <c r="E60" s="3"/>
      <c r="F60" s="3"/>
      <c r="G60" s="3"/>
      <c r="H60" s="3"/>
    </row>
    <row r="61" ht="24" customHeight="1" spans="1:8" x14ac:dyDescent="0.25">
      <c r="A61" s="6" t="s">
        <v>714</v>
      </c>
      <c r="B61" s="6" t="s">
        <v>627</v>
      </c>
      <c r="C61" s="6" t="s">
        <v>628</v>
      </c>
      <c r="D61" s="6" t="s">
        <v>103</v>
      </c>
      <c r="E61" s="6" t="s">
        <v>679</v>
      </c>
      <c r="F61" s="6" t="s">
        <v>669</v>
      </c>
      <c r="G61" s="6" t="s">
        <v>168</v>
      </c>
      <c r="H61" s="6" t="s">
        <v>685</v>
      </c>
    </row>
    <row r="62" spans="1:8" x14ac:dyDescent="0.25">
      <c r="A62" s="35">
        <v>1</v>
      </c>
      <c r="B62" s="11">
        <f>IFERROR(INDEX(Matching_Engine!$D$54:$D$77,MATCH(LARGE(Matching_Engine!$BC$54:$BC$77,1),Matching_Engine!$BC$54:$BC$77,0)),"")</f>
      </c>
      <c r="C62" s="11">
        <f>IFERROR(INDEX(Matching_Engine!$E$54:$E$77,MATCH(LARGE(Matching_Engine!$BC$54:$BC$77,1),Matching_Engine!$BC$54:$BC$77,0)),"")</f>
      </c>
      <c r="D62" s="11">
        <f>IFERROR(INDEX(Matching_Engine!$G$54:$G$77,MATCH(LARGE(Matching_Engine!$BC$54:$BC$77,1),Matching_Engine!$BC$54:$BC$77,0)),"")</f>
      </c>
      <c r="E62" s="29">
        <f>IFERROR(INDEX(Matching_Engine!$AY$54:$AY$77,MATCH(LARGE(Matching_Engine!$BC$54:$BC$77,1),Matching_Engine!$BC$54:$BC$77,0)),"N/A")</f>
      </c>
      <c r="F62" s="11">
        <f>IFERROR(INDEX(Matching_Engine!$AZ$54:$AZ$77,MATCH(LARGE(Matching_Engine!$BC$54:$BC$77,1),Matching_Engine!$BC$54:$BC$77,0)),"")</f>
      </c>
      <c r="G62" s="11">
        <f>IFERROR(INDEX(Matching_Engine!$BB$54:$BB$77,MATCH(LARGE(Matching_Engine!$BC$54:$BC$77,1),Matching_Engine!$BC$54:$BC$77,0)),"")</f>
      </c>
      <c r="H62" s="11">
        <f>IFERROR(INDEX(Match_Explanation!$G$6:$G$125,MATCH("BR-03|"&amp;INDEX(Matching_Engine!$C$54:$C$77,MATCH(LARGE(Matching_Engine!$BC$54:$BC$77,1),Matching_Engine!$BC$54:$BC$77,0)),Matching_Engine!$BG$6:$BG$125,0)),"")</f>
      </c>
    </row>
    <row r="63" spans="1:8" x14ac:dyDescent="0.25">
      <c r="A63" s="35">
        <v>2</v>
      </c>
      <c r="B63" s="11">
        <f>IFERROR(INDEX(Matching_Engine!$D$54:$D$77,MATCH(LARGE(Matching_Engine!$BC$54:$BC$77,2),Matching_Engine!$BC$54:$BC$77,0)),"")</f>
      </c>
      <c r="C63" s="11">
        <f>IFERROR(INDEX(Matching_Engine!$E$54:$E$77,MATCH(LARGE(Matching_Engine!$BC$54:$BC$77,2),Matching_Engine!$BC$54:$BC$77,0)),"")</f>
      </c>
      <c r="D63" s="11">
        <f>IFERROR(INDEX(Matching_Engine!$G$54:$G$77,MATCH(LARGE(Matching_Engine!$BC$54:$BC$77,2),Matching_Engine!$BC$54:$BC$77,0)),"")</f>
      </c>
      <c r="E63" s="29">
        <f>IFERROR(INDEX(Matching_Engine!$AY$54:$AY$77,MATCH(LARGE(Matching_Engine!$BC$54:$BC$77,2),Matching_Engine!$BC$54:$BC$77,0)),"N/A")</f>
      </c>
      <c r="F63" s="11">
        <f>IFERROR(INDEX(Matching_Engine!$AZ$54:$AZ$77,MATCH(LARGE(Matching_Engine!$BC$54:$BC$77,2),Matching_Engine!$BC$54:$BC$77,0)),"")</f>
      </c>
      <c r="G63" s="11">
        <f>IFERROR(INDEX(Matching_Engine!$BB$54:$BB$77,MATCH(LARGE(Matching_Engine!$BC$54:$BC$77,2),Matching_Engine!$BC$54:$BC$77,0)),"")</f>
      </c>
      <c r="H63" s="11">
        <f>IFERROR(INDEX(Match_Explanation!$G$6:$G$125,MATCH("BR-03|"&amp;INDEX(Matching_Engine!$C$54:$C$77,MATCH(LARGE(Matching_Engine!$BC$54:$BC$77,2),Matching_Engine!$BC$54:$BC$77,0)),Matching_Engine!$BG$6:$BG$125,0)),"")</f>
      </c>
    </row>
    <row r="64" spans="1:8" x14ac:dyDescent="0.25">
      <c r="A64" s="35">
        <v>3</v>
      </c>
      <c r="B64" s="11">
        <f>IFERROR(INDEX(Matching_Engine!$D$54:$D$77,MATCH(LARGE(Matching_Engine!$BC$54:$BC$77,3),Matching_Engine!$BC$54:$BC$77,0)),"")</f>
      </c>
      <c r="C64" s="11">
        <f>IFERROR(INDEX(Matching_Engine!$E$54:$E$77,MATCH(LARGE(Matching_Engine!$BC$54:$BC$77,3),Matching_Engine!$BC$54:$BC$77,0)),"")</f>
      </c>
      <c r="D64" s="11">
        <f>IFERROR(INDEX(Matching_Engine!$G$54:$G$77,MATCH(LARGE(Matching_Engine!$BC$54:$BC$77,3),Matching_Engine!$BC$54:$BC$77,0)),"")</f>
      </c>
      <c r="E64" s="29">
        <f>IFERROR(INDEX(Matching_Engine!$AY$54:$AY$77,MATCH(LARGE(Matching_Engine!$BC$54:$BC$77,3),Matching_Engine!$BC$54:$BC$77,0)),"N/A")</f>
      </c>
      <c r="F64" s="11">
        <f>IFERROR(INDEX(Matching_Engine!$AZ$54:$AZ$77,MATCH(LARGE(Matching_Engine!$BC$54:$BC$77,3),Matching_Engine!$BC$54:$BC$77,0)),"")</f>
      </c>
      <c r="G64" s="11">
        <f>IFERROR(INDEX(Matching_Engine!$BB$54:$BB$77,MATCH(LARGE(Matching_Engine!$BC$54:$BC$77,3),Matching_Engine!$BC$54:$BC$77,0)),"")</f>
      </c>
      <c r="H64" s="11">
        <f>IFERROR(INDEX(Match_Explanation!$G$6:$G$125,MATCH("BR-03|"&amp;INDEX(Matching_Engine!$C$54:$C$77,MATCH(LARGE(Matching_Engine!$BC$54:$BC$77,3),Matching_Engine!$BC$54:$BC$77,0)),Matching_Engine!$BG$6:$BG$125,0)),"")</f>
      </c>
    </row>
    <row r="65" spans="1:8" x14ac:dyDescent="0.25">
      <c r="A65" s="35">
        <v>4</v>
      </c>
      <c r="B65" s="11">
        <f>IFERROR(INDEX(Matching_Engine!$D$54:$D$77,MATCH(LARGE(Matching_Engine!$BC$54:$BC$77,4),Matching_Engine!$BC$54:$BC$77,0)),"")</f>
      </c>
      <c r="C65" s="11">
        <f>IFERROR(INDEX(Matching_Engine!$E$54:$E$77,MATCH(LARGE(Matching_Engine!$BC$54:$BC$77,4),Matching_Engine!$BC$54:$BC$77,0)),"")</f>
      </c>
      <c r="D65" s="11">
        <f>IFERROR(INDEX(Matching_Engine!$G$54:$G$77,MATCH(LARGE(Matching_Engine!$BC$54:$BC$77,4),Matching_Engine!$BC$54:$BC$77,0)),"")</f>
      </c>
      <c r="E65" s="29">
        <f>IFERROR(INDEX(Matching_Engine!$AY$54:$AY$77,MATCH(LARGE(Matching_Engine!$BC$54:$BC$77,4),Matching_Engine!$BC$54:$BC$77,0)),"N/A")</f>
      </c>
      <c r="F65" s="11">
        <f>IFERROR(INDEX(Matching_Engine!$AZ$54:$AZ$77,MATCH(LARGE(Matching_Engine!$BC$54:$BC$77,4),Matching_Engine!$BC$54:$BC$77,0)),"")</f>
      </c>
      <c r="G65" s="11">
        <f>IFERROR(INDEX(Matching_Engine!$BB$54:$BB$77,MATCH(LARGE(Matching_Engine!$BC$54:$BC$77,4),Matching_Engine!$BC$54:$BC$77,0)),"")</f>
      </c>
      <c r="H65" s="11">
        <f>IFERROR(INDEX(Match_Explanation!$G$6:$G$125,MATCH("BR-03|"&amp;INDEX(Matching_Engine!$C$54:$C$77,MATCH(LARGE(Matching_Engine!$BC$54:$BC$77,4),Matching_Engine!$BC$54:$BC$77,0)),Matching_Engine!$BG$6:$BG$125,0)),"")</f>
      </c>
    </row>
    <row r="66" spans="1:8" x14ac:dyDescent="0.25">
      <c r="A66" s="35">
        <v>5</v>
      </c>
      <c r="B66" s="11">
        <f>IFERROR(INDEX(Matching_Engine!$D$54:$D$77,MATCH(LARGE(Matching_Engine!$BC$54:$BC$77,5),Matching_Engine!$BC$54:$BC$77,0)),"")</f>
      </c>
      <c r="C66" s="11">
        <f>IFERROR(INDEX(Matching_Engine!$E$54:$E$77,MATCH(LARGE(Matching_Engine!$BC$54:$BC$77,5),Matching_Engine!$BC$54:$BC$77,0)),"")</f>
      </c>
      <c r="D66" s="11">
        <f>IFERROR(INDEX(Matching_Engine!$G$54:$G$77,MATCH(LARGE(Matching_Engine!$BC$54:$BC$77,5),Matching_Engine!$BC$54:$BC$77,0)),"")</f>
      </c>
      <c r="E66" s="29">
        <f>IFERROR(INDEX(Matching_Engine!$AY$54:$AY$77,MATCH(LARGE(Matching_Engine!$BC$54:$BC$77,5),Matching_Engine!$BC$54:$BC$77,0)),"N/A")</f>
      </c>
      <c r="F66" s="11">
        <f>IFERROR(INDEX(Matching_Engine!$AZ$54:$AZ$77,MATCH(LARGE(Matching_Engine!$BC$54:$BC$77,5),Matching_Engine!$BC$54:$BC$77,0)),"")</f>
      </c>
      <c r="G66" s="11">
        <f>IFERROR(INDEX(Matching_Engine!$BB$54:$BB$77,MATCH(LARGE(Matching_Engine!$BC$54:$BC$77,5),Matching_Engine!$BC$54:$BC$77,0)),"")</f>
      </c>
      <c r="H66" s="11">
        <f>IFERROR(INDEX(Match_Explanation!$G$6:$G$125,MATCH("BR-03|"&amp;INDEX(Matching_Engine!$C$54:$C$77,MATCH(LARGE(Matching_Engine!$BC$54:$BC$77,5),Matching_Engine!$BC$54:$BC$77,0)),Matching_Engine!$BG$6:$BG$125,0)),"")</f>
      </c>
    </row>
    <row r="67" spans="1:8" x14ac:dyDescent="0.25">
      <c r="A67" s="35">
        <v>6</v>
      </c>
      <c r="B67" s="11">
        <f>IFERROR(INDEX(Matching_Engine!$D$54:$D$77,MATCH(LARGE(Matching_Engine!$BC$54:$BC$77,6),Matching_Engine!$BC$54:$BC$77,0)),"")</f>
      </c>
      <c r="C67" s="11">
        <f>IFERROR(INDEX(Matching_Engine!$E$54:$E$77,MATCH(LARGE(Matching_Engine!$BC$54:$BC$77,6),Matching_Engine!$BC$54:$BC$77,0)),"")</f>
      </c>
      <c r="D67" s="11">
        <f>IFERROR(INDEX(Matching_Engine!$G$54:$G$77,MATCH(LARGE(Matching_Engine!$BC$54:$BC$77,6),Matching_Engine!$BC$54:$BC$77,0)),"")</f>
      </c>
      <c r="E67" s="29">
        <f>IFERROR(INDEX(Matching_Engine!$AY$54:$AY$77,MATCH(LARGE(Matching_Engine!$BC$54:$BC$77,6),Matching_Engine!$BC$54:$BC$77,0)),"N/A")</f>
      </c>
      <c r="F67" s="11">
        <f>IFERROR(INDEX(Matching_Engine!$AZ$54:$AZ$77,MATCH(LARGE(Matching_Engine!$BC$54:$BC$77,6),Matching_Engine!$BC$54:$BC$77,0)),"")</f>
      </c>
      <c r="G67" s="11">
        <f>IFERROR(INDEX(Matching_Engine!$BB$54:$BB$77,MATCH(LARGE(Matching_Engine!$BC$54:$BC$77,6),Matching_Engine!$BC$54:$BC$77,0)),"")</f>
      </c>
      <c r="H67" s="11">
        <f>IFERROR(INDEX(Match_Explanation!$G$6:$G$125,MATCH("BR-03|"&amp;INDEX(Matching_Engine!$C$54:$C$77,MATCH(LARGE(Matching_Engine!$BC$54:$BC$77,6),Matching_Engine!$BC$54:$BC$77,0)),Matching_Engine!$BG$6:$BG$125,0)),"")</f>
      </c>
    </row>
    <row r="68" spans="1:8" x14ac:dyDescent="0.25">
      <c r="A68" s="35">
        <v>7</v>
      </c>
      <c r="B68" s="11">
        <f>IFERROR(INDEX(Matching_Engine!$D$54:$D$77,MATCH(LARGE(Matching_Engine!$BC$54:$BC$77,7),Matching_Engine!$BC$54:$BC$77,0)),"")</f>
      </c>
      <c r="C68" s="11">
        <f>IFERROR(INDEX(Matching_Engine!$E$54:$E$77,MATCH(LARGE(Matching_Engine!$BC$54:$BC$77,7),Matching_Engine!$BC$54:$BC$77,0)),"")</f>
      </c>
      <c r="D68" s="11">
        <f>IFERROR(INDEX(Matching_Engine!$G$54:$G$77,MATCH(LARGE(Matching_Engine!$BC$54:$BC$77,7),Matching_Engine!$BC$54:$BC$77,0)),"")</f>
      </c>
      <c r="E68" s="29">
        <f>IFERROR(INDEX(Matching_Engine!$AY$54:$AY$77,MATCH(LARGE(Matching_Engine!$BC$54:$BC$77,7),Matching_Engine!$BC$54:$BC$77,0)),"N/A")</f>
      </c>
      <c r="F68" s="11">
        <f>IFERROR(INDEX(Matching_Engine!$AZ$54:$AZ$77,MATCH(LARGE(Matching_Engine!$BC$54:$BC$77,7),Matching_Engine!$BC$54:$BC$77,0)),"")</f>
      </c>
      <c r="G68" s="11">
        <f>IFERROR(INDEX(Matching_Engine!$BB$54:$BB$77,MATCH(LARGE(Matching_Engine!$BC$54:$BC$77,7),Matching_Engine!$BC$54:$BC$77,0)),"")</f>
      </c>
      <c r="H68" s="11">
        <f>IFERROR(INDEX(Match_Explanation!$G$6:$G$125,MATCH("BR-03|"&amp;INDEX(Matching_Engine!$C$54:$C$77,MATCH(LARGE(Matching_Engine!$BC$54:$BC$77,7),Matching_Engine!$BC$54:$BC$77,0)),Matching_Engine!$BG$6:$BG$125,0)),"")</f>
      </c>
    </row>
    <row r="69" spans="1:8" x14ac:dyDescent="0.25">
      <c r="A69" s="35">
        <v>8</v>
      </c>
      <c r="B69" s="11">
        <f>IFERROR(INDEX(Matching_Engine!$D$54:$D$77,MATCH(LARGE(Matching_Engine!$BC$54:$BC$77,8),Matching_Engine!$BC$54:$BC$77,0)),"")</f>
      </c>
      <c r="C69" s="11">
        <f>IFERROR(INDEX(Matching_Engine!$E$54:$E$77,MATCH(LARGE(Matching_Engine!$BC$54:$BC$77,8),Matching_Engine!$BC$54:$BC$77,0)),"")</f>
      </c>
      <c r="D69" s="11">
        <f>IFERROR(INDEX(Matching_Engine!$G$54:$G$77,MATCH(LARGE(Matching_Engine!$BC$54:$BC$77,8),Matching_Engine!$BC$54:$BC$77,0)),"")</f>
      </c>
      <c r="E69" s="29">
        <f>IFERROR(INDEX(Matching_Engine!$AY$54:$AY$77,MATCH(LARGE(Matching_Engine!$BC$54:$BC$77,8),Matching_Engine!$BC$54:$BC$77,0)),"N/A")</f>
      </c>
      <c r="F69" s="11">
        <f>IFERROR(INDEX(Matching_Engine!$AZ$54:$AZ$77,MATCH(LARGE(Matching_Engine!$BC$54:$BC$77,8),Matching_Engine!$BC$54:$BC$77,0)),"")</f>
      </c>
      <c r="G69" s="11">
        <f>IFERROR(INDEX(Matching_Engine!$BB$54:$BB$77,MATCH(LARGE(Matching_Engine!$BC$54:$BC$77,8),Matching_Engine!$BC$54:$BC$77,0)),"")</f>
      </c>
      <c r="H69" s="11">
        <f>IFERROR(INDEX(Match_Explanation!$G$6:$G$125,MATCH("BR-03|"&amp;INDEX(Matching_Engine!$C$54:$C$77,MATCH(LARGE(Matching_Engine!$BC$54:$BC$77,8),Matching_Engine!$BC$54:$BC$77,0)),Matching_Engine!$BG$6:$BG$125,0)),"")</f>
      </c>
    </row>
    <row r="70" spans="1:8" x14ac:dyDescent="0.25">
      <c r="A70" s="35">
        <v>9</v>
      </c>
      <c r="B70" s="11">
        <f>IFERROR(INDEX(Matching_Engine!$D$54:$D$77,MATCH(LARGE(Matching_Engine!$BC$54:$BC$77,9),Matching_Engine!$BC$54:$BC$77,0)),"")</f>
      </c>
      <c r="C70" s="11">
        <f>IFERROR(INDEX(Matching_Engine!$E$54:$E$77,MATCH(LARGE(Matching_Engine!$BC$54:$BC$77,9),Matching_Engine!$BC$54:$BC$77,0)),"")</f>
      </c>
      <c r="D70" s="11">
        <f>IFERROR(INDEX(Matching_Engine!$G$54:$G$77,MATCH(LARGE(Matching_Engine!$BC$54:$BC$77,9),Matching_Engine!$BC$54:$BC$77,0)),"")</f>
      </c>
      <c r="E70" s="29">
        <f>IFERROR(INDEX(Matching_Engine!$AY$54:$AY$77,MATCH(LARGE(Matching_Engine!$BC$54:$BC$77,9),Matching_Engine!$BC$54:$BC$77,0)),"N/A")</f>
      </c>
      <c r="F70" s="11">
        <f>IFERROR(INDEX(Matching_Engine!$AZ$54:$AZ$77,MATCH(LARGE(Matching_Engine!$BC$54:$BC$77,9),Matching_Engine!$BC$54:$BC$77,0)),"")</f>
      </c>
      <c r="G70" s="11">
        <f>IFERROR(INDEX(Matching_Engine!$BB$54:$BB$77,MATCH(LARGE(Matching_Engine!$BC$54:$BC$77,9),Matching_Engine!$BC$54:$BC$77,0)),"")</f>
      </c>
      <c r="H70" s="11">
        <f>IFERROR(INDEX(Match_Explanation!$G$6:$G$125,MATCH("BR-03|"&amp;INDEX(Matching_Engine!$C$54:$C$77,MATCH(LARGE(Matching_Engine!$BC$54:$BC$77,9),Matching_Engine!$BC$54:$BC$77,0)),Matching_Engine!$BG$6:$BG$125,0)),"")</f>
      </c>
    </row>
    <row r="71" spans="1:8" x14ac:dyDescent="0.25">
      <c r="A71" s="35">
        <v>10</v>
      </c>
      <c r="B71" s="11">
        <f>IFERROR(INDEX(Matching_Engine!$D$54:$D$77,MATCH(LARGE(Matching_Engine!$BC$54:$BC$77,10),Matching_Engine!$BC$54:$BC$77,0)),"")</f>
      </c>
      <c r="C71" s="11">
        <f>IFERROR(INDEX(Matching_Engine!$E$54:$E$77,MATCH(LARGE(Matching_Engine!$BC$54:$BC$77,10),Matching_Engine!$BC$54:$BC$77,0)),"")</f>
      </c>
      <c r="D71" s="11">
        <f>IFERROR(INDEX(Matching_Engine!$G$54:$G$77,MATCH(LARGE(Matching_Engine!$BC$54:$BC$77,10),Matching_Engine!$BC$54:$BC$77,0)),"")</f>
      </c>
      <c r="E71" s="29">
        <f>IFERROR(INDEX(Matching_Engine!$AY$54:$AY$77,MATCH(LARGE(Matching_Engine!$BC$54:$BC$77,10),Matching_Engine!$BC$54:$BC$77,0)),"N/A")</f>
      </c>
      <c r="F71" s="11">
        <f>IFERROR(INDEX(Matching_Engine!$AZ$54:$AZ$77,MATCH(LARGE(Matching_Engine!$BC$54:$BC$77,10),Matching_Engine!$BC$54:$BC$77,0)),"")</f>
      </c>
      <c r="G71" s="11">
        <f>IFERROR(INDEX(Matching_Engine!$BB$54:$BB$77,MATCH(LARGE(Matching_Engine!$BC$54:$BC$77,10),Matching_Engine!$BC$54:$BC$77,0)),"")</f>
      </c>
      <c r="H71" s="11">
        <f>IFERROR(INDEX(Match_Explanation!$G$6:$G$125,MATCH("BR-03|"&amp;INDEX(Matching_Engine!$C$54:$C$77,MATCH(LARGE(Matching_Engine!$BC$54:$BC$77,10),Matching_Engine!$BC$54:$BC$77,0)),Matching_Engine!$BG$6:$BG$125,0)),"")</f>
      </c>
    </row>
    <row r="72" spans="1:8" x14ac:dyDescent="0.25">
      <c r="A72" s="35">
        <v>11</v>
      </c>
      <c r="B72" s="11">
        <f>IFERROR(INDEX(Matching_Engine!$D$54:$D$77,MATCH(LARGE(Matching_Engine!$BC$54:$BC$77,11),Matching_Engine!$BC$54:$BC$77,0)),"")</f>
      </c>
      <c r="C72" s="11">
        <f>IFERROR(INDEX(Matching_Engine!$E$54:$E$77,MATCH(LARGE(Matching_Engine!$BC$54:$BC$77,11),Matching_Engine!$BC$54:$BC$77,0)),"")</f>
      </c>
      <c r="D72" s="11">
        <f>IFERROR(INDEX(Matching_Engine!$G$54:$G$77,MATCH(LARGE(Matching_Engine!$BC$54:$BC$77,11),Matching_Engine!$BC$54:$BC$77,0)),"")</f>
      </c>
      <c r="E72" s="29">
        <f>IFERROR(INDEX(Matching_Engine!$AY$54:$AY$77,MATCH(LARGE(Matching_Engine!$BC$54:$BC$77,11),Matching_Engine!$BC$54:$BC$77,0)),"N/A")</f>
      </c>
      <c r="F72" s="11">
        <f>IFERROR(INDEX(Matching_Engine!$AZ$54:$AZ$77,MATCH(LARGE(Matching_Engine!$BC$54:$BC$77,11),Matching_Engine!$BC$54:$BC$77,0)),"")</f>
      </c>
      <c r="G72" s="11">
        <f>IFERROR(INDEX(Matching_Engine!$BB$54:$BB$77,MATCH(LARGE(Matching_Engine!$BC$54:$BC$77,11),Matching_Engine!$BC$54:$BC$77,0)),"")</f>
      </c>
      <c r="H72" s="11">
        <f>IFERROR(INDEX(Match_Explanation!$G$6:$G$125,MATCH("BR-03|"&amp;INDEX(Matching_Engine!$C$54:$C$77,MATCH(LARGE(Matching_Engine!$BC$54:$BC$77,11),Matching_Engine!$BC$54:$BC$77,0)),Matching_Engine!$BG$6:$BG$125,0)),"")</f>
      </c>
    </row>
    <row r="73" spans="1:8" x14ac:dyDescent="0.25">
      <c r="A73" s="35">
        <v>12</v>
      </c>
      <c r="B73" s="11">
        <f>IFERROR(INDEX(Matching_Engine!$D$54:$D$77,MATCH(LARGE(Matching_Engine!$BC$54:$BC$77,12),Matching_Engine!$BC$54:$BC$77,0)),"")</f>
      </c>
      <c r="C73" s="11">
        <f>IFERROR(INDEX(Matching_Engine!$E$54:$E$77,MATCH(LARGE(Matching_Engine!$BC$54:$BC$77,12),Matching_Engine!$BC$54:$BC$77,0)),"")</f>
      </c>
      <c r="D73" s="11">
        <f>IFERROR(INDEX(Matching_Engine!$G$54:$G$77,MATCH(LARGE(Matching_Engine!$BC$54:$BC$77,12),Matching_Engine!$BC$54:$BC$77,0)),"")</f>
      </c>
      <c r="E73" s="29">
        <f>IFERROR(INDEX(Matching_Engine!$AY$54:$AY$77,MATCH(LARGE(Matching_Engine!$BC$54:$BC$77,12),Matching_Engine!$BC$54:$BC$77,0)),"N/A")</f>
      </c>
      <c r="F73" s="11">
        <f>IFERROR(INDEX(Matching_Engine!$AZ$54:$AZ$77,MATCH(LARGE(Matching_Engine!$BC$54:$BC$77,12),Matching_Engine!$BC$54:$BC$77,0)),"")</f>
      </c>
      <c r="G73" s="11">
        <f>IFERROR(INDEX(Matching_Engine!$BB$54:$BB$77,MATCH(LARGE(Matching_Engine!$BC$54:$BC$77,12),Matching_Engine!$BC$54:$BC$77,0)),"")</f>
      </c>
      <c r="H73" s="11">
        <f>IFERROR(INDEX(Match_Explanation!$G$6:$G$125,MATCH("BR-03|"&amp;INDEX(Matching_Engine!$C$54:$C$77,MATCH(LARGE(Matching_Engine!$BC$54:$BC$77,12),Matching_Engine!$BC$54:$BC$77,0)),Matching_Engine!$BG$6:$BG$125,0)),"")</f>
      </c>
    </row>
    <row r="74" spans="1:8" x14ac:dyDescent="0.25">
      <c r="A74" s="35">
        <v>13</v>
      </c>
      <c r="B74" s="11">
        <f>IFERROR(INDEX(Matching_Engine!$D$54:$D$77,MATCH(LARGE(Matching_Engine!$BC$54:$BC$77,13),Matching_Engine!$BC$54:$BC$77,0)),"")</f>
      </c>
      <c r="C74" s="11">
        <f>IFERROR(INDEX(Matching_Engine!$E$54:$E$77,MATCH(LARGE(Matching_Engine!$BC$54:$BC$77,13),Matching_Engine!$BC$54:$BC$77,0)),"")</f>
      </c>
      <c r="D74" s="11">
        <f>IFERROR(INDEX(Matching_Engine!$G$54:$G$77,MATCH(LARGE(Matching_Engine!$BC$54:$BC$77,13),Matching_Engine!$BC$54:$BC$77,0)),"")</f>
      </c>
      <c r="E74" s="29">
        <f>IFERROR(INDEX(Matching_Engine!$AY$54:$AY$77,MATCH(LARGE(Matching_Engine!$BC$54:$BC$77,13),Matching_Engine!$BC$54:$BC$77,0)),"N/A")</f>
      </c>
      <c r="F74" s="11">
        <f>IFERROR(INDEX(Matching_Engine!$AZ$54:$AZ$77,MATCH(LARGE(Matching_Engine!$BC$54:$BC$77,13),Matching_Engine!$BC$54:$BC$77,0)),"")</f>
      </c>
      <c r="G74" s="11">
        <f>IFERROR(INDEX(Matching_Engine!$BB$54:$BB$77,MATCH(LARGE(Matching_Engine!$BC$54:$BC$77,13),Matching_Engine!$BC$54:$BC$77,0)),"")</f>
      </c>
      <c r="H74" s="11">
        <f>IFERROR(INDEX(Match_Explanation!$G$6:$G$125,MATCH("BR-03|"&amp;INDEX(Matching_Engine!$C$54:$C$77,MATCH(LARGE(Matching_Engine!$BC$54:$BC$77,13),Matching_Engine!$BC$54:$BC$77,0)),Matching_Engine!$BG$6:$BG$125,0)),"")</f>
      </c>
    </row>
    <row r="75" spans="1:8" x14ac:dyDescent="0.25">
      <c r="A75" s="35">
        <v>14</v>
      </c>
      <c r="B75" s="11">
        <f>IFERROR(INDEX(Matching_Engine!$D$54:$D$77,MATCH(LARGE(Matching_Engine!$BC$54:$BC$77,14),Matching_Engine!$BC$54:$BC$77,0)),"")</f>
      </c>
      <c r="C75" s="11">
        <f>IFERROR(INDEX(Matching_Engine!$E$54:$E$77,MATCH(LARGE(Matching_Engine!$BC$54:$BC$77,14),Matching_Engine!$BC$54:$BC$77,0)),"")</f>
      </c>
      <c r="D75" s="11">
        <f>IFERROR(INDEX(Matching_Engine!$G$54:$G$77,MATCH(LARGE(Matching_Engine!$BC$54:$BC$77,14),Matching_Engine!$BC$54:$BC$77,0)),"")</f>
      </c>
      <c r="E75" s="29">
        <f>IFERROR(INDEX(Matching_Engine!$AY$54:$AY$77,MATCH(LARGE(Matching_Engine!$BC$54:$BC$77,14),Matching_Engine!$BC$54:$BC$77,0)),"N/A")</f>
      </c>
      <c r="F75" s="11">
        <f>IFERROR(INDEX(Matching_Engine!$AZ$54:$AZ$77,MATCH(LARGE(Matching_Engine!$BC$54:$BC$77,14),Matching_Engine!$BC$54:$BC$77,0)),"")</f>
      </c>
      <c r="G75" s="11">
        <f>IFERROR(INDEX(Matching_Engine!$BB$54:$BB$77,MATCH(LARGE(Matching_Engine!$BC$54:$BC$77,14),Matching_Engine!$BC$54:$BC$77,0)),"")</f>
      </c>
      <c r="H75" s="11">
        <f>IFERROR(INDEX(Match_Explanation!$G$6:$G$125,MATCH("BR-03|"&amp;INDEX(Matching_Engine!$C$54:$C$77,MATCH(LARGE(Matching_Engine!$BC$54:$BC$77,14),Matching_Engine!$BC$54:$BC$77,0)),Matching_Engine!$BG$6:$BG$125,0)),"")</f>
      </c>
    </row>
    <row r="76" spans="1:8" x14ac:dyDescent="0.25">
      <c r="A76" s="35">
        <v>15</v>
      </c>
      <c r="B76" s="11">
        <f>IFERROR(INDEX(Matching_Engine!$D$54:$D$77,MATCH(LARGE(Matching_Engine!$BC$54:$BC$77,15),Matching_Engine!$BC$54:$BC$77,0)),"")</f>
      </c>
      <c r="C76" s="11">
        <f>IFERROR(INDEX(Matching_Engine!$E$54:$E$77,MATCH(LARGE(Matching_Engine!$BC$54:$BC$77,15),Matching_Engine!$BC$54:$BC$77,0)),"")</f>
      </c>
      <c r="D76" s="11">
        <f>IFERROR(INDEX(Matching_Engine!$G$54:$G$77,MATCH(LARGE(Matching_Engine!$BC$54:$BC$77,15),Matching_Engine!$BC$54:$BC$77,0)),"")</f>
      </c>
      <c r="E76" s="29">
        <f>IFERROR(INDEX(Matching_Engine!$AY$54:$AY$77,MATCH(LARGE(Matching_Engine!$BC$54:$BC$77,15),Matching_Engine!$BC$54:$BC$77,0)),"N/A")</f>
      </c>
      <c r="F76" s="11">
        <f>IFERROR(INDEX(Matching_Engine!$AZ$54:$AZ$77,MATCH(LARGE(Matching_Engine!$BC$54:$BC$77,15),Matching_Engine!$BC$54:$BC$77,0)),"")</f>
      </c>
      <c r="G76" s="11">
        <f>IFERROR(INDEX(Matching_Engine!$BB$54:$BB$77,MATCH(LARGE(Matching_Engine!$BC$54:$BC$77,15),Matching_Engine!$BC$54:$BC$77,0)),"")</f>
      </c>
      <c r="H76" s="11">
        <f>IFERROR(INDEX(Match_Explanation!$G$6:$G$125,MATCH("BR-03|"&amp;INDEX(Matching_Engine!$C$54:$C$77,MATCH(LARGE(Matching_Engine!$BC$54:$BC$77,15),Matching_Engine!$BC$54:$BC$77,0)),Matching_Engine!$BG$6:$BG$125,0)),"")</f>
      </c>
    </row>
    <row r="77" spans="1:8" x14ac:dyDescent="0.25">
      <c r="A77" s="35">
        <v>16</v>
      </c>
      <c r="B77" s="11">
        <f>IFERROR(INDEX(Matching_Engine!$D$54:$D$77,MATCH(LARGE(Matching_Engine!$BC$54:$BC$77,16),Matching_Engine!$BC$54:$BC$77,0)),"")</f>
      </c>
      <c r="C77" s="11">
        <f>IFERROR(INDEX(Matching_Engine!$E$54:$E$77,MATCH(LARGE(Matching_Engine!$BC$54:$BC$77,16),Matching_Engine!$BC$54:$BC$77,0)),"")</f>
      </c>
      <c r="D77" s="11">
        <f>IFERROR(INDEX(Matching_Engine!$G$54:$G$77,MATCH(LARGE(Matching_Engine!$BC$54:$BC$77,16),Matching_Engine!$BC$54:$BC$77,0)),"")</f>
      </c>
      <c r="E77" s="29">
        <f>IFERROR(INDEX(Matching_Engine!$AY$54:$AY$77,MATCH(LARGE(Matching_Engine!$BC$54:$BC$77,16),Matching_Engine!$BC$54:$BC$77,0)),"N/A")</f>
      </c>
      <c r="F77" s="11">
        <f>IFERROR(INDEX(Matching_Engine!$AZ$54:$AZ$77,MATCH(LARGE(Matching_Engine!$BC$54:$BC$77,16),Matching_Engine!$BC$54:$BC$77,0)),"")</f>
      </c>
      <c r="G77" s="11">
        <f>IFERROR(INDEX(Matching_Engine!$BB$54:$BB$77,MATCH(LARGE(Matching_Engine!$BC$54:$BC$77,16),Matching_Engine!$BC$54:$BC$77,0)),"")</f>
      </c>
      <c r="H77" s="11">
        <f>IFERROR(INDEX(Match_Explanation!$G$6:$G$125,MATCH("BR-03|"&amp;INDEX(Matching_Engine!$C$54:$C$77,MATCH(LARGE(Matching_Engine!$BC$54:$BC$77,16),Matching_Engine!$BC$54:$BC$77,0)),Matching_Engine!$BG$6:$BG$125,0)),"")</f>
      </c>
    </row>
    <row r="78" spans="1:8" x14ac:dyDescent="0.25">
      <c r="A78" s="35">
        <v>17</v>
      </c>
      <c r="B78" s="11">
        <f>IFERROR(INDEX(Matching_Engine!$D$54:$D$77,MATCH(LARGE(Matching_Engine!$BC$54:$BC$77,17),Matching_Engine!$BC$54:$BC$77,0)),"")</f>
      </c>
      <c r="C78" s="11">
        <f>IFERROR(INDEX(Matching_Engine!$E$54:$E$77,MATCH(LARGE(Matching_Engine!$BC$54:$BC$77,17),Matching_Engine!$BC$54:$BC$77,0)),"")</f>
      </c>
      <c r="D78" s="11">
        <f>IFERROR(INDEX(Matching_Engine!$G$54:$G$77,MATCH(LARGE(Matching_Engine!$BC$54:$BC$77,17),Matching_Engine!$BC$54:$BC$77,0)),"")</f>
      </c>
      <c r="E78" s="29">
        <f>IFERROR(INDEX(Matching_Engine!$AY$54:$AY$77,MATCH(LARGE(Matching_Engine!$BC$54:$BC$77,17),Matching_Engine!$BC$54:$BC$77,0)),"N/A")</f>
      </c>
      <c r="F78" s="11">
        <f>IFERROR(INDEX(Matching_Engine!$AZ$54:$AZ$77,MATCH(LARGE(Matching_Engine!$BC$54:$BC$77,17),Matching_Engine!$BC$54:$BC$77,0)),"")</f>
      </c>
      <c r="G78" s="11">
        <f>IFERROR(INDEX(Matching_Engine!$BB$54:$BB$77,MATCH(LARGE(Matching_Engine!$BC$54:$BC$77,17),Matching_Engine!$BC$54:$BC$77,0)),"")</f>
      </c>
      <c r="H78" s="11">
        <f>IFERROR(INDEX(Match_Explanation!$G$6:$G$125,MATCH("BR-03|"&amp;INDEX(Matching_Engine!$C$54:$C$77,MATCH(LARGE(Matching_Engine!$BC$54:$BC$77,17),Matching_Engine!$BC$54:$BC$77,0)),Matching_Engine!$BG$6:$BG$125,0)),"")</f>
      </c>
    </row>
    <row r="79" spans="1:8" x14ac:dyDescent="0.25">
      <c r="A79" s="35">
        <v>18</v>
      </c>
      <c r="B79" s="11">
        <f>IFERROR(INDEX(Matching_Engine!$D$54:$D$77,MATCH(LARGE(Matching_Engine!$BC$54:$BC$77,18),Matching_Engine!$BC$54:$BC$77,0)),"")</f>
      </c>
      <c r="C79" s="11">
        <f>IFERROR(INDEX(Matching_Engine!$E$54:$E$77,MATCH(LARGE(Matching_Engine!$BC$54:$BC$77,18),Matching_Engine!$BC$54:$BC$77,0)),"")</f>
      </c>
      <c r="D79" s="11">
        <f>IFERROR(INDEX(Matching_Engine!$G$54:$G$77,MATCH(LARGE(Matching_Engine!$BC$54:$BC$77,18),Matching_Engine!$BC$54:$BC$77,0)),"")</f>
      </c>
      <c r="E79" s="29">
        <f>IFERROR(INDEX(Matching_Engine!$AY$54:$AY$77,MATCH(LARGE(Matching_Engine!$BC$54:$BC$77,18),Matching_Engine!$BC$54:$BC$77,0)),"N/A")</f>
      </c>
      <c r="F79" s="11">
        <f>IFERROR(INDEX(Matching_Engine!$AZ$54:$AZ$77,MATCH(LARGE(Matching_Engine!$BC$54:$BC$77,18),Matching_Engine!$BC$54:$BC$77,0)),"")</f>
      </c>
      <c r="G79" s="11">
        <f>IFERROR(INDEX(Matching_Engine!$BB$54:$BB$77,MATCH(LARGE(Matching_Engine!$BC$54:$BC$77,18),Matching_Engine!$BC$54:$BC$77,0)),"")</f>
      </c>
      <c r="H79" s="11">
        <f>IFERROR(INDEX(Match_Explanation!$G$6:$G$125,MATCH("BR-03|"&amp;INDEX(Matching_Engine!$C$54:$C$77,MATCH(LARGE(Matching_Engine!$BC$54:$BC$77,18),Matching_Engine!$BC$54:$BC$77,0)),Matching_Engine!$BG$6:$BG$125,0)),"")</f>
      </c>
    </row>
    <row r="80" spans="1:8" x14ac:dyDescent="0.25">
      <c r="A80" s="35">
        <v>19</v>
      </c>
      <c r="B80" s="11">
        <f>IFERROR(INDEX(Matching_Engine!$D$54:$D$77,MATCH(LARGE(Matching_Engine!$BC$54:$BC$77,19),Matching_Engine!$BC$54:$BC$77,0)),"")</f>
      </c>
      <c r="C80" s="11">
        <f>IFERROR(INDEX(Matching_Engine!$E$54:$E$77,MATCH(LARGE(Matching_Engine!$BC$54:$BC$77,19),Matching_Engine!$BC$54:$BC$77,0)),"")</f>
      </c>
      <c r="D80" s="11">
        <f>IFERROR(INDEX(Matching_Engine!$G$54:$G$77,MATCH(LARGE(Matching_Engine!$BC$54:$BC$77,19),Matching_Engine!$BC$54:$BC$77,0)),"")</f>
      </c>
      <c r="E80" s="29">
        <f>IFERROR(INDEX(Matching_Engine!$AY$54:$AY$77,MATCH(LARGE(Matching_Engine!$BC$54:$BC$77,19),Matching_Engine!$BC$54:$BC$77,0)),"N/A")</f>
      </c>
      <c r="F80" s="11">
        <f>IFERROR(INDEX(Matching_Engine!$AZ$54:$AZ$77,MATCH(LARGE(Matching_Engine!$BC$54:$BC$77,19),Matching_Engine!$BC$54:$BC$77,0)),"")</f>
      </c>
      <c r="G80" s="11">
        <f>IFERROR(INDEX(Matching_Engine!$BB$54:$BB$77,MATCH(LARGE(Matching_Engine!$BC$54:$BC$77,19),Matching_Engine!$BC$54:$BC$77,0)),"")</f>
      </c>
      <c r="H80" s="11">
        <f>IFERROR(INDEX(Match_Explanation!$G$6:$G$125,MATCH("BR-03|"&amp;INDEX(Matching_Engine!$C$54:$C$77,MATCH(LARGE(Matching_Engine!$BC$54:$BC$77,19),Matching_Engine!$BC$54:$BC$77,0)),Matching_Engine!$BG$6:$BG$125,0)),"")</f>
      </c>
    </row>
    <row r="81" spans="1:8" x14ac:dyDescent="0.25">
      <c r="A81" s="35">
        <v>20</v>
      </c>
      <c r="B81" s="11">
        <f>IFERROR(INDEX(Matching_Engine!$D$54:$D$77,MATCH(LARGE(Matching_Engine!$BC$54:$BC$77,20),Matching_Engine!$BC$54:$BC$77,0)),"")</f>
      </c>
      <c r="C81" s="11">
        <f>IFERROR(INDEX(Matching_Engine!$E$54:$E$77,MATCH(LARGE(Matching_Engine!$BC$54:$BC$77,20),Matching_Engine!$BC$54:$BC$77,0)),"")</f>
      </c>
      <c r="D81" s="11">
        <f>IFERROR(INDEX(Matching_Engine!$G$54:$G$77,MATCH(LARGE(Matching_Engine!$BC$54:$BC$77,20),Matching_Engine!$BC$54:$BC$77,0)),"")</f>
      </c>
      <c r="E81" s="29">
        <f>IFERROR(INDEX(Matching_Engine!$AY$54:$AY$77,MATCH(LARGE(Matching_Engine!$BC$54:$BC$77,20),Matching_Engine!$BC$54:$BC$77,0)),"N/A")</f>
      </c>
      <c r="F81" s="11">
        <f>IFERROR(INDEX(Matching_Engine!$AZ$54:$AZ$77,MATCH(LARGE(Matching_Engine!$BC$54:$BC$77,20),Matching_Engine!$BC$54:$BC$77,0)),"")</f>
      </c>
      <c r="G81" s="11">
        <f>IFERROR(INDEX(Matching_Engine!$BB$54:$BB$77,MATCH(LARGE(Matching_Engine!$BC$54:$BC$77,20),Matching_Engine!$BC$54:$BC$77,0)),"")</f>
      </c>
      <c r="H81" s="11">
        <f>IFERROR(INDEX(Match_Explanation!$G$6:$G$125,MATCH("BR-03|"&amp;INDEX(Matching_Engine!$C$54:$C$77,MATCH(LARGE(Matching_Engine!$BC$54:$BC$77,20),Matching_Engine!$BC$54:$BC$77,0)),Matching_Engine!$BG$6:$BG$125,0)),"")</f>
      </c>
    </row>
    <row r="82" spans="1:8" x14ac:dyDescent="0.25">
      <c r="A82" s="35">
        <v>21</v>
      </c>
      <c r="B82" s="11">
        <f>IFERROR(INDEX(Matching_Engine!$D$54:$D$77,MATCH(LARGE(Matching_Engine!$BC$54:$BC$77,21),Matching_Engine!$BC$54:$BC$77,0)),"")</f>
      </c>
      <c r="C82" s="11">
        <f>IFERROR(INDEX(Matching_Engine!$E$54:$E$77,MATCH(LARGE(Matching_Engine!$BC$54:$BC$77,21),Matching_Engine!$BC$54:$BC$77,0)),"")</f>
      </c>
      <c r="D82" s="11">
        <f>IFERROR(INDEX(Matching_Engine!$G$54:$G$77,MATCH(LARGE(Matching_Engine!$BC$54:$BC$77,21),Matching_Engine!$BC$54:$BC$77,0)),"")</f>
      </c>
      <c r="E82" s="29">
        <f>IFERROR(INDEX(Matching_Engine!$AY$54:$AY$77,MATCH(LARGE(Matching_Engine!$BC$54:$BC$77,21),Matching_Engine!$BC$54:$BC$77,0)),"N/A")</f>
      </c>
      <c r="F82" s="11">
        <f>IFERROR(INDEX(Matching_Engine!$AZ$54:$AZ$77,MATCH(LARGE(Matching_Engine!$BC$54:$BC$77,21),Matching_Engine!$BC$54:$BC$77,0)),"")</f>
      </c>
      <c r="G82" s="11">
        <f>IFERROR(INDEX(Matching_Engine!$BB$54:$BB$77,MATCH(LARGE(Matching_Engine!$BC$54:$BC$77,21),Matching_Engine!$BC$54:$BC$77,0)),"")</f>
      </c>
      <c r="H82" s="11">
        <f>IFERROR(INDEX(Match_Explanation!$G$6:$G$125,MATCH("BR-03|"&amp;INDEX(Matching_Engine!$C$54:$C$77,MATCH(LARGE(Matching_Engine!$BC$54:$BC$77,21),Matching_Engine!$BC$54:$BC$77,0)),Matching_Engine!$BG$6:$BG$125,0)),"")</f>
      </c>
    </row>
    <row r="83" spans="1:8" x14ac:dyDescent="0.25">
      <c r="A83" s="35">
        <v>22</v>
      </c>
      <c r="B83" s="11">
        <f>IFERROR(INDEX(Matching_Engine!$D$54:$D$77,MATCH(LARGE(Matching_Engine!$BC$54:$BC$77,22),Matching_Engine!$BC$54:$BC$77,0)),"")</f>
      </c>
      <c r="C83" s="11">
        <f>IFERROR(INDEX(Matching_Engine!$E$54:$E$77,MATCH(LARGE(Matching_Engine!$BC$54:$BC$77,22),Matching_Engine!$BC$54:$BC$77,0)),"")</f>
      </c>
      <c r="D83" s="11">
        <f>IFERROR(INDEX(Matching_Engine!$G$54:$G$77,MATCH(LARGE(Matching_Engine!$BC$54:$BC$77,22),Matching_Engine!$BC$54:$BC$77,0)),"")</f>
      </c>
      <c r="E83" s="29">
        <f>IFERROR(INDEX(Matching_Engine!$AY$54:$AY$77,MATCH(LARGE(Matching_Engine!$BC$54:$BC$77,22),Matching_Engine!$BC$54:$BC$77,0)),"N/A")</f>
      </c>
      <c r="F83" s="11">
        <f>IFERROR(INDEX(Matching_Engine!$AZ$54:$AZ$77,MATCH(LARGE(Matching_Engine!$BC$54:$BC$77,22),Matching_Engine!$BC$54:$BC$77,0)),"")</f>
      </c>
      <c r="G83" s="11">
        <f>IFERROR(INDEX(Matching_Engine!$BB$54:$BB$77,MATCH(LARGE(Matching_Engine!$BC$54:$BC$77,22),Matching_Engine!$BC$54:$BC$77,0)),"")</f>
      </c>
      <c r="H83" s="11">
        <f>IFERROR(INDEX(Match_Explanation!$G$6:$G$125,MATCH("BR-03|"&amp;INDEX(Matching_Engine!$C$54:$C$77,MATCH(LARGE(Matching_Engine!$BC$54:$BC$77,22),Matching_Engine!$BC$54:$BC$77,0)),Matching_Engine!$BG$6:$BG$125,0)),"")</f>
      </c>
    </row>
    <row r="84" spans="1:8" x14ac:dyDescent="0.25">
      <c r="A84" s="35">
        <v>23</v>
      </c>
      <c r="B84" s="11">
        <f>IFERROR(INDEX(Matching_Engine!$D$54:$D$77,MATCH(LARGE(Matching_Engine!$BC$54:$BC$77,23),Matching_Engine!$BC$54:$BC$77,0)),"")</f>
      </c>
      <c r="C84" s="11">
        <f>IFERROR(INDEX(Matching_Engine!$E$54:$E$77,MATCH(LARGE(Matching_Engine!$BC$54:$BC$77,23),Matching_Engine!$BC$54:$BC$77,0)),"")</f>
      </c>
      <c r="D84" s="11">
        <f>IFERROR(INDEX(Matching_Engine!$G$54:$G$77,MATCH(LARGE(Matching_Engine!$BC$54:$BC$77,23),Matching_Engine!$BC$54:$BC$77,0)),"")</f>
      </c>
      <c r="E84" s="29">
        <f>IFERROR(INDEX(Matching_Engine!$AY$54:$AY$77,MATCH(LARGE(Matching_Engine!$BC$54:$BC$77,23),Matching_Engine!$BC$54:$BC$77,0)),"N/A")</f>
      </c>
      <c r="F84" s="11">
        <f>IFERROR(INDEX(Matching_Engine!$AZ$54:$AZ$77,MATCH(LARGE(Matching_Engine!$BC$54:$BC$77,23),Matching_Engine!$BC$54:$BC$77,0)),"")</f>
      </c>
      <c r="G84" s="11">
        <f>IFERROR(INDEX(Matching_Engine!$BB$54:$BB$77,MATCH(LARGE(Matching_Engine!$BC$54:$BC$77,23),Matching_Engine!$BC$54:$BC$77,0)),"")</f>
      </c>
      <c r="H84" s="11">
        <f>IFERROR(INDEX(Match_Explanation!$G$6:$G$125,MATCH("BR-03|"&amp;INDEX(Matching_Engine!$C$54:$C$77,MATCH(LARGE(Matching_Engine!$BC$54:$BC$77,23),Matching_Engine!$BC$54:$BC$77,0)),Matching_Engine!$BG$6:$BG$125,0)),"")</f>
      </c>
    </row>
    <row r="85" spans="1:8" x14ac:dyDescent="0.25">
      <c r="A85" s="35">
        <v>24</v>
      </c>
      <c r="B85" s="11">
        <f>IFERROR(INDEX(Matching_Engine!$D$54:$D$77,MATCH(LARGE(Matching_Engine!$BC$54:$BC$77,24),Matching_Engine!$BC$54:$BC$77,0)),"")</f>
      </c>
      <c r="C85" s="11">
        <f>IFERROR(INDEX(Matching_Engine!$E$54:$E$77,MATCH(LARGE(Matching_Engine!$BC$54:$BC$77,24),Matching_Engine!$BC$54:$BC$77,0)),"")</f>
      </c>
      <c r="D85" s="11">
        <f>IFERROR(INDEX(Matching_Engine!$G$54:$G$77,MATCH(LARGE(Matching_Engine!$BC$54:$BC$77,24),Matching_Engine!$BC$54:$BC$77,0)),"")</f>
      </c>
      <c r="E85" s="29">
        <f>IFERROR(INDEX(Matching_Engine!$AY$54:$AY$77,MATCH(LARGE(Matching_Engine!$BC$54:$BC$77,24),Matching_Engine!$BC$54:$BC$77,0)),"N/A")</f>
      </c>
      <c r="F85" s="11">
        <f>IFERROR(INDEX(Matching_Engine!$AZ$54:$AZ$77,MATCH(LARGE(Matching_Engine!$BC$54:$BC$77,24),Matching_Engine!$BC$54:$BC$77,0)),"")</f>
      </c>
      <c r="G85" s="11">
        <f>IFERROR(INDEX(Matching_Engine!$BB$54:$BB$77,MATCH(LARGE(Matching_Engine!$BC$54:$BC$77,24),Matching_Engine!$BC$54:$BC$77,0)),"")</f>
      </c>
      <c r="H85" s="11">
        <f>IFERROR(INDEX(Match_Explanation!$G$6:$G$125,MATCH("BR-03|"&amp;INDEX(Matching_Engine!$C$54:$C$77,MATCH(LARGE(Matching_Engine!$BC$54:$BC$77,24),Matching_Engine!$BC$54:$BC$77,0)),Matching_Engine!$BG$6:$BG$125,0)),"")</f>
      </c>
    </row>
    <row r="88" ht="18" customHeight="1" spans="1:8" x14ac:dyDescent="0.25">
      <c r="A88" s="3" t="s">
        <v>717</v>
      </c>
      <c r="B88" s="3"/>
      <c r="C88" s="3"/>
      <c r="D88" s="3"/>
      <c r="E88" s="3"/>
      <c r="F88" s="3"/>
      <c r="G88" s="3"/>
      <c r="H88" s="3"/>
    </row>
    <row r="89" ht="24" customHeight="1" spans="1:8" x14ac:dyDescent="0.25">
      <c r="A89" s="6" t="s">
        <v>714</v>
      </c>
      <c r="B89" s="6" t="s">
        <v>627</v>
      </c>
      <c r="C89" s="6" t="s">
        <v>628</v>
      </c>
      <c r="D89" s="6" t="s">
        <v>103</v>
      </c>
      <c r="E89" s="6" t="s">
        <v>679</v>
      </c>
      <c r="F89" s="6" t="s">
        <v>669</v>
      </c>
      <c r="G89" s="6" t="s">
        <v>168</v>
      </c>
      <c r="H89" s="6" t="s">
        <v>685</v>
      </c>
    </row>
    <row r="90" spans="1:8" x14ac:dyDescent="0.25">
      <c r="A90" s="35">
        <v>1</v>
      </c>
      <c r="B90" s="11">
        <f>IFERROR(INDEX(Matching_Engine!$D$78:$D$101,MATCH(LARGE(Matching_Engine!$BC$78:$BC$101,1),Matching_Engine!$BC$78:$BC$101,0)),"")</f>
      </c>
      <c r="C90" s="11">
        <f>IFERROR(INDEX(Matching_Engine!$E$78:$E$101,MATCH(LARGE(Matching_Engine!$BC$78:$BC$101,1),Matching_Engine!$BC$78:$BC$101,0)),"")</f>
      </c>
      <c r="D90" s="11">
        <f>IFERROR(INDEX(Matching_Engine!$G$78:$G$101,MATCH(LARGE(Matching_Engine!$BC$78:$BC$101,1),Matching_Engine!$BC$78:$BC$101,0)),"")</f>
      </c>
      <c r="E90" s="29">
        <f>IFERROR(INDEX(Matching_Engine!$AY$78:$AY$101,MATCH(LARGE(Matching_Engine!$BC$78:$BC$101,1),Matching_Engine!$BC$78:$BC$101,0)),"N/A")</f>
      </c>
      <c r="F90" s="11">
        <f>IFERROR(INDEX(Matching_Engine!$AZ$78:$AZ$101,MATCH(LARGE(Matching_Engine!$BC$78:$BC$101,1),Matching_Engine!$BC$78:$BC$101,0)),"")</f>
      </c>
      <c r="G90" s="11">
        <f>IFERROR(INDEX(Matching_Engine!$BB$78:$BB$101,MATCH(LARGE(Matching_Engine!$BC$78:$BC$101,1),Matching_Engine!$BC$78:$BC$101,0)),"")</f>
      </c>
      <c r="H90" s="11">
        <f>IFERROR(INDEX(Match_Explanation!$G$6:$G$125,MATCH("BR-04|"&amp;INDEX(Matching_Engine!$C$78:$C$101,MATCH(LARGE(Matching_Engine!$BC$78:$BC$101,1),Matching_Engine!$BC$78:$BC$101,0)),Matching_Engine!$BG$6:$BG$125,0)),"")</f>
      </c>
    </row>
    <row r="91" spans="1:8" x14ac:dyDescent="0.25">
      <c r="A91" s="35">
        <v>2</v>
      </c>
      <c r="B91" s="11">
        <f>IFERROR(INDEX(Matching_Engine!$D$78:$D$101,MATCH(LARGE(Matching_Engine!$BC$78:$BC$101,2),Matching_Engine!$BC$78:$BC$101,0)),"")</f>
      </c>
      <c r="C91" s="11">
        <f>IFERROR(INDEX(Matching_Engine!$E$78:$E$101,MATCH(LARGE(Matching_Engine!$BC$78:$BC$101,2),Matching_Engine!$BC$78:$BC$101,0)),"")</f>
      </c>
      <c r="D91" s="11">
        <f>IFERROR(INDEX(Matching_Engine!$G$78:$G$101,MATCH(LARGE(Matching_Engine!$BC$78:$BC$101,2),Matching_Engine!$BC$78:$BC$101,0)),"")</f>
      </c>
      <c r="E91" s="29">
        <f>IFERROR(INDEX(Matching_Engine!$AY$78:$AY$101,MATCH(LARGE(Matching_Engine!$BC$78:$BC$101,2),Matching_Engine!$BC$78:$BC$101,0)),"N/A")</f>
      </c>
      <c r="F91" s="11">
        <f>IFERROR(INDEX(Matching_Engine!$AZ$78:$AZ$101,MATCH(LARGE(Matching_Engine!$BC$78:$BC$101,2),Matching_Engine!$BC$78:$BC$101,0)),"")</f>
      </c>
      <c r="G91" s="11">
        <f>IFERROR(INDEX(Matching_Engine!$BB$78:$BB$101,MATCH(LARGE(Matching_Engine!$BC$78:$BC$101,2),Matching_Engine!$BC$78:$BC$101,0)),"")</f>
      </c>
      <c r="H91" s="11">
        <f>IFERROR(INDEX(Match_Explanation!$G$6:$G$125,MATCH("BR-04|"&amp;INDEX(Matching_Engine!$C$78:$C$101,MATCH(LARGE(Matching_Engine!$BC$78:$BC$101,2),Matching_Engine!$BC$78:$BC$101,0)),Matching_Engine!$BG$6:$BG$125,0)),"")</f>
      </c>
    </row>
    <row r="92" spans="1:8" x14ac:dyDescent="0.25">
      <c r="A92" s="35">
        <v>3</v>
      </c>
      <c r="B92" s="11">
        <f>IFERROR(INDEX(Matching_Engine!$D$78:$D$101,MATCH(LARGE(Matching_Engine!$BC$78:$BC$101,3),Matching_Engine!$BC$78:$BC$101,0)),"")</f>
      </c>
      <c r="C92" s="11">
        <f>IFERROR(INDEX(Matching_Engine!$E$78:$E$101,MATCH(LARGE(Matching_Engine!$BC$78:$BC$101,3),Matching_Engine!$BC$78:$BC$101,0)),"")</f>
      </c>
      <c r="D92" s="11">
        <f>IFERROR(INDEX(Matching_Engine!$G$78:$G$101,MATCH(LARGE(Matching_Engine!$BC$78:$BC$101,3),Matching_Engine!$BC$78:$BC$101,0)),"")</f>
      </c>
      <c r="E92" s="29">
        <f>IFERROR(INDEX(Matching_Engine!$AY$78:$AY$101,MATCH(LARGE(Matching_Engine!$BC$78:$BC$101,3),Matching_Engine!$BC$78:$BC$101,0)),"N/A")</f>
      </c>
      <c r="F92" s="11">
        <f>IFERROR(INDEX(Matching_Engine!$AZ$78:$AZ$101,MATCH(LARGE(Matching_Engine!$BC$78:$BC$101,3),Matching_Engine!$BC$78:$BC$101,0)),"")</f>
      </c>
      <c r="G92" s="11">
        <f>IFERROR(INDEX(Matching_Engine!$BB$78:$BB$101,MATCH(LARGE(Matching_Engine!$BC$78:$BC$101,3),Matching_Engine!$BC$78:$BC$101,0)),"")</f>
      </c>
      <c r="H92" s="11">
        <f>IFERROR(INDEX(Match_Explanation!$G$6:$G$125,MATCH("BR-04|"&amp;INDEX(Matching_Engine!$C$78:$C$101,MATCH(LARGE(Matching_Engine!$BC$78:$BC$101,3),Matching_Engine!$BC$78:$BC$101,0)),Matching_Engine!$BG$6:$BG$125,0)),"")</f>
      </c>
    </row>
    <row r="93" spans="1:8" x14ac:dyDescent="0.25">
      <c r="A93" s="35">
        <v>4</v>
      </c>
      <c r="B93" s="11">
        <f>IFERROR(INDEX(Matching_Engine!$D$78:$D$101,MATCH(LARGE(Matching_Engine!$BC$78:$BC$101,4),Matching_Engine!$BC$78:$BC$101,0)),"")</f>
      </c>
      <c r="C93" s="11">
        <f>IFERROR(INDEX(Matching_Engine!$E$78:$E$101,MATCH(LARGE(Matching_Engine!$BC$78:$BC$101,4),Matching_Engine!$BC$78:$BC$101,0)),"")</f>
      </c>
      <c r="D93" s="11">
        <f>IFERROR(INDEX(Matching_Engine!$G$78:$G$101,MATCH(LARGE(Matching_Engine!$BC$78:$BC$101,4),Matching_Engine!$BC$78:$BC$101,0)),"")</f>
      </c>
      <c r="E93" s="29">
        <f>IFERROR(INDEX(Matching_Engine!$AY$78:$AY$101,MATCH(LARGE(Matching_Engine!$BC$78:$BC$101,4),Matching_Engine!$BC$78:$BC$101,0)),"N/A")</f>
      </c>
      <c r="F93" s="11">
        <f>IFERROR(INDEX(Matching_Engine!$AZ$78:$AZ$101,MATCH(LARGE(Matching_Engine!$BC$78:$BC$101,4),Matching_Engine!$BC$78:$BC$101,0)),"")</f>
      </c>
      <c r="G93" s="11">
        <f>IFERROR(INDEX(Matching_Engine!$BB$78:$BB$101,MATCH(LARGE(Matching_Engine!$BC$78:$BC$101,4),Matching_Engine!$BC$78:$BC$101,0)),"")</f>
      </c>
      <c r="H93" s="11">
        <f>IFERROR(INDEX(Match_Explanation!$G$6:$G$125,MATCH("BR-04|"&amp;INDEX(Matching_Engine!$C$78:$C$101,MATCH(LARGE(Matching_Engine!$BC$78:$BC$101,4),Matching_Engine!$BC$78:$BC$101,0)),Matching_Engine!$BG$6:$BG$125,0)),"")</f>
      </c>
    </row>
    <row r="94" spans="1:8" x14ac:dyDescent="0.25">
      <c r="A94" s="35">
        <v>5</v>
      </c>
      <c r="B94" s="11">
        <f>IFERROR(INDEX(Matching_Engine!$D$78:$D$101,MATCH(LARGE(Matching_Engine!$BC$78:$BC$101,5),Matching_Engine!$BC$78:$BC$101,0)),"")</f>
      </c>
      <c r="C94" s="11">
        <f>IFERROR(INDEX(Matching_Engine!$E$78:$E$101,MATCH(LARGE(Matching_Engine!$BC$78:$BC$101,5),Matching_Engine!$BC$78:$BC$101,0)),"")</f>
      </c>
      <c r="D94" s="11">
        <f>IFERROR(INDEX(Matching_Engine!$G$78:$G$101,MATCH(LARGE(Matching_Engine!$BC$78:$BC$101,5),Matching_Engine!$BC$78:$BC$101,0)),"")</f>
      </c>
      <c r="E94" s="29">
        <f>IFERROR(INDEX(Matching_Engine!$AY$78:$AY$101,MATCH(LARGE(Matching_Engine!$BC$78:$BC$101,5),Matching_Engine!$BC$78:$BC$101,0)),"N/A")</f>
      </c>
      <c r="F94" s="11">
        <f>IFERROR(INDEX(Matching_Engine!$AZ$78:$AZ$101,MATCH(LARGE(Matching_Engine!$BC$78:$BC$101,5),Matching_Engine!$BC$78:$BC$101,0)),"")</f>
      </c>
      <c r="G94" s="11">
        <f>IFERROR(INDEX(Matching_Engine!$BB$78:$BB$101,MATCH(LARGE(Matching_Engine!$BC$78:$BC$101,5),Matching_Engine!$BC$78:$BC$101,0)),"")</f>
      </c>
      <c r="H94" s="11">
        <f>IFERROR(INDEX(Match_Explanation!$G$6:$G$125,MATCH("BR-04|"&amp;INDEX(Matching_Engine!$C$78:$C$101,MATCH(LARGE(Matching_Engine!$BC$78:$BC$101,5),Matching_Engine!$BC$78:$BC$101,0)),Matching_Engine!$BG$6:$BG$125,0)),"")</f>
      </c>
    </row>
    <row r="95" spans="1:8" x14ac:dyDescent="0.25">
      <c r="A95" s="35">
        <v>6</v>
      </c>
      <c r="B95" s="11">
        <f>IFERROR(INDEX(Matching_Engine!$D$78:$D$101,MATCH(LARGE(Matching_Engine!$BC$78:$BC$101,6),Matching_Engine!$BC$78:$BC$101,0)),"")</f>
      </c>
      <c r="C95" s="11">
        <f>IFERROR(INDEX(Matching_Engine!$E$78:$E$101,MATCH(LARGE(Matching_Engine!$BC$78:$BC$101,6),Matching_Engine!$BC$78:$BC$101,0)),"")</f>
      </c>
      <c r="D95" s="11">
        <f>IFERROR(INDEX(Matching_Engine!$G$78:$G$101,MATCH(LARGE(Matching_Engine!$BC$78:$BC$101,6),Matching_Engine!$BC$78:$BC$101,0)),"")</f>
      </c>
      <c r="E95" s="29">
        <f>IFERROR(INDEX(Matching_Engine!$AY$78:$AY$101,MATCH(LARGE(Matching_Engine!$BC$78:$BC$101,6),Matching_Engine!$BC$78:$BC$101,0)),"N/A")</f>
      </c>
      <c r="F95" s="11">
        <f>IFERROR(INDEX(Matching_Engine!$AZ$78:$AZ$101,MATCH(LARGE(Matching_Engine!$BC$78:$BC$101,6),Matching_Engine!$BC$78:$BC$101,0)),"")</f>
      </c>
      <c r="G95" s="11">
        <f>IFERROR(INDEX(Matching_Engine!$BB$78:$BB$101,MATCH(LARGE(Matching_Engine!$BC$78:$BC$101,6),Matching_Engine!$BC$78:$BC$101,0)),"")</f>
      </c>
      <c r="H95" s="11">
        <f>IFERROR(INDEX(Match_Explanation!$G$6:$G$125,MATCH("BR-04|"&amp;INDEX(Matching_Engine!$C$78:$C$101,MATCH(LARGE(Matching_Engine!$BC$78:$BC$101,6),Matching_Engine!$BC$78:$BC$101,0)),Matching_Engine!$BG$6:$BG$125,0)),"")</f>
      </c>
    </row>
    <row r="96" spans="1:8" x14ac:dyDescent="0.25">
      <c r="A96" s="35">
        <v>7</v>
      </c>
      <c r="B96" s="11">
        <f>IFERROR(INDEX(Matching_Engine!$D$78:$D$101,MATCH(LARGE(Matching_Engine!$BC$78:$BC$101,7),Matching_Engine!$BC$78:$BC$101,0)),"")</f>
      </c>
      <c r="C96" s="11">
        <f>IFERROR(INDEX(Matching_Engine!$E$78:$E$101,MATCH(LARGE(Matching_Engine!$BC$78:$BC$101,7),Matching_Engine!$BC$78:$BC$101,0)),"")</f>
      </c>
      <c r="D96" s="11">
        <f>IFERROR(INDEX(Matching_Engine!$G$78:$G$101,MATCH(LARGE(Matching_Engine!$BC$78:$BC$101,7),Matching_Engine!$BC$78:$BC$101,0)),"")</f>
      </c>
      <c r="E96" s="29">
        <f>IFERROR(INDEX(Matching_Engine!$AY$78:$AY$101,MATCH(LARGE(Matching_Engine!$BC$78:$BC$101,7),Matching_Engine!$BC$78:$BC$101,0)),"N/A")</f>
      </c>
      <c r="F96" s="11">
        <f>IFERROR(INDEX(Matching_Engine!$AZ$78:$AZ$101,MATCH(LARGE(Matching_Engine!$BC$78:$BC$101,7),Matching_Engine!$BC$78:$BC$101,0)),"")</f>
      </c>
      <c r="G96" s="11">
        <f>IFERROR(INDEX(Matching_Engine!$BB$78:$BB$101,MATCH(LARGE(Matching_Engine!$BC$78:$BC$101,7),Matching_Engine!$BC$78:$BC$101,0)),"")</f>
      </c>
      <c r="H96" s="11">
        <f>IFERROR(INDEX(Match_Explanation!$G$6:$G$125,MATCH("BR-04|"&amp;INDEX(Matching_Engine!$C$78:$C$101,MATCH(LARGE(Matching_Engine!$BC$78:$BC$101,7),Matching_Engine!$BC$78:$BC$101,0)),Matching_Engine!$BG$6:$BG$125,0)),"")</f>
      </c>
    </row>
    <row r="97" spans="1:8" x14ac:dyDescent="0.25">
      <c r="A97" s="35">
        <v>8</v>
      </c>
      <c r="B97" s="11">
        <f>IFERROR(INDEX(Matching_Engine!$D$78:$D$101,MATCH(LARGE(Matching_Engine!$BC$78:$BC$101,8),Matching_Engine!$BC$78:$BC$101,0)),"")</f>
      </c>
      <c r="C97" s="11">
        <f>IFERROR(INDEX(Matching_Engine!$E$78:$E$101,MATCH(LARGE(Matching_Engine!$BC$78:$BC$101,8),Matching_Engine!$BC$78:$BC$101,0)),"")</f>
      </c>
      <c r="D97" s="11">
        <f>IFERROR(INDEX(Matching_Engine!$G$78:$G$101,MATCH(LARGE(Matching_Engine!$BC$78:$BC$101,8),Matching_Engine!$BC$78:$BC$101,0)),"")</f>
      </c>
      <c r="E97" s="29">
        <f>IFERROR(INDEX(Matching_Engine!$AY$78:$AY$101,MATCH(LARGE(Matching_Engine!$BC$78:$BC$101,8),Matching_Engine!$BC$78:$BC$101,0)),"N/A")</f>
      </c>
      <c r="F97" s="11">
        <f>IFERROR(INDEX(Matching_Engine!$AZ$78:$AZ$101,MATCH(LARGE(Matching_Engine!$BC$78:$BC$101,8),Matching_Engine!$BC$78:$BC$101,0)),"")</f>
      </c>
      <c r="G97" s="11">
        <f>IFERROR(INDEX(Matching_Engine!$BB$78:$BB$101,MATCH(LARGE(Matching_Engine!$BC$78:$BC$101,8),Matching_Engine!$BC$78:$BC$101,0)),"")</f>
      </c>
      <c r="H97" s="11">
        <f>IFERROR(INDEX(Match_Explanation!$G$6:$G$125,MATCH("BR-04|"&amp;INDEX(Matching_Engine!$C$78:$C$101,MATCH(LARGE(Matching_Engine!$BC$78:$BC$101,8),Matching_Engine!$BC$78:$BC$101,0)),Matching_Engine!$BG$6:$BG$125,0)),"")</f>
      </c>
    </row>
    <row r="98" spans="1:8" x14ac:dyDescent="0.25">
      <c r="A98" s="35">
        <v>9</v>
      </c>
      <c r="B98" s="11">
        <f>IFERROR(INDEX(Matching_Engine!$D$78:$D$101,MATCH(LARGE(Matching_Engine!$BC$78:$BC$101,9),Matching_Engine!$BC$78:$BC$101,0)),"")</f>
      </c>
      <c r="C98" s="11">
        <f>IFERROR(INDEX(Matching_Engine!$E$78:$E$101,MATCH(LARGE(Matching_Engine!$BC$78:$BC$101,9),Matching_Engine!$BC$78:$BC$101,0)),"")</f>
      </c>
      <c r="D98" s="11">
        <f>IFERROR(INDEX(Matching_Engine!$G$78:$G$101,MATCH(LARGE(Matching_Engine!$BC$78:$BC$101,9),Matching_Engine!$BC$78:$BC$101,0)),"")</f>
      </c>
      <c r="E98" s="29">
        <f>IFERROR(INDEX(Matching_Engine!$AY$78:$AY$101,MATCH(LARGE(Matching_Engine!$BC$78:$BC$101,9),Matching_Engine!$BC$78:$BC$101,0)),"N/A")</f>
      </c>
      <c r="F98" s="11">
        <f>IFERROR(INDEX(Matching_Engine!$AZ$78:$AZ$101,MATCH(LARGE(Matching_Engine!$BC$78:$BC$101,9),Matching_Engine!$BC$78:$BC$101,0)),"")</f>
      </c>
      <c r="G98" s="11">
        <f>IFERROR(INDEX(Matching_Engine!$BB$78:$BB$101,MATCH(LARGE(Matching_Engine!$BC$78:$BC$101,9),Matching_Engine!$BC$78:$BC$101,0)),"")</f>
      </c>
      <c r="H98" s="11">
        <f>IFERROR(INDEX(Match_Explanation!$G$6:$G$125,MATCH("BR-04|"&amp;INDEX(Matching_Engine!$C$78:$C$101,MATCH(LARGE(Matching_Engine!$BC$78:$BC$101,9),Matching_Engine!$BC$78:$BC$101,0)),Matching_Engine!$BG$6:$BG$125,0)),"")</f>
      </c>
    </row>
    <row r="99" spans="1:8" x14ac:dyDescent="0.25">
      <c r="A99" s="35">
        <v>10</v>
      </c>
      <c r="B99" s="11">
        <f>IFERROR(INDEX(Matching_Engine!$D$78:$D$101,MATCH(LARGE(Matching_Engine!$BC$78:$BC$101,10),Matching_Engine!$BC$78:$BC$101,0)),"")</f>
      </c>
      <c r="C99" s="11">
        <f>IFERROR(INDEX(Matching_Engine!$E$78:$E$101,MATCH(LARGE(Matching_Engine!$BC$78:$BC$101,10),Matching_Engine!$BC$78:$BC$101,0)),"")</f>
      </c>
      <c r="D99" s="11">
        <f>IFERROR(INDEX(Matching_Engine!$G$78:$G$101,MATCH(LARGE(Matching_Engine!$BC$78:$BC$101,10),Matching_Engine!$BC$78:$BC$101,0)),"")</f>
      </c>
      <c r="E99" s="29">
        <f>IFERROR(INDEX(Matching_Engine!$AY$78:$AY$101,MATCH(LARGE(Matching_Engine!$BC$78:$BC$101,10),Matching_Engine!$BC$78:$BC$101,0)),"N/A")</f>
      </c>
      <c r="F99" s="11">
        <f>IFERROR(INDEX(Matching_Engine!$AZ$78:$AZ$101,MATCH(LARGE(Matching_Engine!$BC$78:$BC$101,10),Matching_Engine!$BC$78:$BC$101,0)),"")</f>
      </c>
      <c r="G99" s="11">
        <f>IFERROR(INDEX(Matching_Engine!$BB$78:$BB$101,MATCH(LARGE(Matching_Engine!$BC$78:$BC$101,10),Matching_Engine!$BC$78:$BC$101,0)),"")</f>
      </c>
      <c r="H99" s="11">
        <f>IFERROR(INDEX(Match_Explanation!$G$6:$G$125,MATCH("BR-04|"&amp;INDEX(Matching_Engine!$C$78:$C$101,MATCH(LARGE(Matching_Engine!$BC$78:$BC$101,10),Matching_Engine!$BC$78:$BC$101,0)),Matching_Engine!$BG$6:$BG$125,0)),"")</f>
      </c>
    </row>
    <row r="100" spans="1:8" x14ac:dyDescent="0.25">
      <c r="A100" s="35">
        <v>11</v>
      </c>
      <c r="B100" s="11">
        <f>IFERROR(INDEX(Matching_Engine!$D$78:$D$101,MATCH(LARGE(Matching_Engine!$BC$78:$BC$101,11),Matching_Engine!$BC$78:$BC$101,0)),"")</f>
      </c>
      <c r="C100" s="11">
        <f>IFERROR(INDEX(Matching_Engine!$E$78:$E$101,MATCH(LARGE(Matching_Engine!$BC$78:$BC$101,11),Matching_Engine!$BC$78:$BC$101,0)),"")</f>
      </c>
      <c r="D100" s="11">
        <f>IFERROR(INDEX(Matching_Engine!$G$78:$G$101,MATCH(LARGE(Matching_Engine!$BC$78:$BC$101,11),Matching_Engine!$BC$78:$BC$101,0)),"")</f>
      </c>
      <c r="E100" s="29">
        <f>IFERROR(INDEX(Matching_Engine!$AY$78:$AY$101,MATCH(LARGE(Matching_Engine!$BC$78:$BC$101,11),Matching_Engine!$BC$78:$BC$101,0)),"N/A")</f>
      </c>
      <c r="F100" s="11">
        <f>IFERROR(INDEX(Matching_Engine!$AZ$78:$AZ$101,MATCH(LARGE(Matching_Engine!$BC$78:$BC$101,11),Matching_Engine!$BC$78:$BC$101,0)),"")</f>
      </c>
      <c r="G100" s="11">
        <f>IFERROR(INDEX(Matching_Engine!$BB$78:$BB$101,MATCH(LARGE(Matching_Engine!$BC$78:$BC$101,11),Matching_Engine!$BC$78:$BC$101,0)),"")</f>
      </c>
      <c r="H100" s="11">
        <f>IFERROR(INDEX(Match_Explanation!$G$6:$G$125,MATCH("BR-04|"&amp;INDEX(Matching_Engine!$C$78:$C$101,MATCH(LARGE(Matching_Engine!$BC$78:$BC$101,11),Matching_Engine!$BC$78:$BC$101,0)),Matching_Engine!$BG$6:$BG$125,0)),"")</f>
      </c>
    </row>
    <row r="101" spans="1:8" x14ac:dyDescent="0.25">
      <c r="A101" s="35">
        <v>12</v>
      </c>
      <c r="B101" s="11">
        <f>IFERROR(INDEX(Matching_Engine!$D$78:$D$101,MATCH(LARGE(Matching_Engine!$BC$78:$BC$101,12),Matching_Engine!$BC$78:$BC$101,0)),"")</f>
      </c>
      <c r="C101" s="11">
        <f>IFERROR(INDEX(Matching_Engine!$E$78:$E$101,MATCH(LARGE(Matching_Engine!$BC$78:$BC$101,12),Matching_Engine!$BC$78:$BC$101,0)),"")</f>
      </c>
      <c r="D101" s="11">
        <f>IFERROR(INDEX(Matching_Engine!$G$78:$G$101,MATCH(LARGE(Matching_Engine!$BC$78:$BC$101,12),Matching_Engine!$BC$78:$BC$101,0)),"")</f>
      </c>
      <c r="E101" s="29">
        <f>IFERROR(INDEX(Matching_Engine!$AY$78:$AY$101,MATCH(LARGE(Matching_Engine!$BC$78:$BC$101,12),Matching_Engine!$BC$78:$BC$101,0)),"N/A")</f>
      </c>
      <c r="F101" s="11">
        <f>IFERROR(INDEX(Matching_Engine!$AZ$78:$AZ$101,MATCH(LARGE(Matching_Engine!$BC$78:$BC$101,12),Matching_Engine!$BC$78:$BC$101,0)),"")</f>
      </c>
      <c r="G101" s="11">
        <f>IFERROR(INDEX(Matching_Engine!$BB$78:$BB$101,MATCH(LARGE(Matching_Engine!$BC$78:$BC$101,12),Matching_Engine!$BC$78:$BC$101,0)),"")</f>
      </c>
      <c r="H101" s="11">
        <f>IFERROR(INDEX(Match_Explanation!$G$6:$G$125,MATCH("BR-04|"&amp;INDEX(Matching_Engine!$C$78:$C$101,MATCH(LARGE(Matching_Engine!$BC$78:$BC$101,12),Matching_Engine!$BC$78:$BC$101,0)),Matching_Engine!$BG$6:$BG$125,0)),"")</f>
      </c>
    </row>
    <row r="102" spans="1:8" x14ac:dyDescent="0.25">
      <c r="A102" s="35">
        <v>13</v>
      </c>
      <c r="B102" s="11">
        <f>IFERROR(INDEX(Matching_Engine!$D$78:$D$101,MATCH(LARGE(Matching_Engine!$BC$78:$BC$101,13),Matching_Engine!$BC$78:$BC$101,0)),"")</f>
      </c>
      <c r="C102" s="11">
        <f>IFERROR(INDEX(Matching_Engine!$E$78:$E$101,MATCH(LARGE(Matching_Engine!$BC$78:$BC$101,13),Matching_Engine!$BC$78:$BC$101,0)),"")</f>
      </c>
      <c r="D102" s="11">
        <f>IFERROR(INDEX(Matching_Engine!$G$78:$G$101,MATCH(LARGE(Matching_Engine!$BC$78:$BC$101,13),Matching_Engine!$BC$78:$BC$101,0)),"")</f>
      </c>
      <c r="E102" s="29">
        <f>IFERROR(INDEX(Matching_Engine!$AY$78:$AY$101,MATCH(LARGE(Matching_Engine!$BC$78:$BC$101,13),Matching_Engine!$BC$78:$BC$101,0)),"N/A")</f>
      </c>
      <c r="F102" s="11">
        <f>IFERROR(INDEX(Matching_Engine!$AZ$78:$AZ$101,MATCH(LARGE(Matching_Engine!$BC$78:$BC$101,13),Matching_Engine!$BC$78:$BC$101,0)),"")</f>
      </c>
      <c r="G102" s="11">
        <f>IFERROR(INDEX(Matching_Engine!$BB$78:$BB$101,MATCH(LARGE(Matching_Engine!$BC$78:$BC$101,13),Matching_Engine!$BC$78:$BC$101,0)),"")</f>
      </c>
      <c r="H102" s="11">
        <f>IFERROR(INDEX(Match_Explanation!$G$6:$G$125,MATCH("BR-04|"&amp;INDEX(Matching_Engine!$C$78:$C$101,MATCH(LARGE(Matching_Engine!$BC$78:$BC$101,13),Matching_Engine!$BC$78:$BC$101,0)),Matching_Engine!$BG$6:$BG$125,0)),"")</f>
      </c>
    </row>
    <row r="103" spans="1:8" x14ac:dyDescent="0.25">
      <c r="A103" s="35">
        <v>14</v>
      </c>
      <c r="B103" s="11">
        <f>IFERROR(INDEX(Matching_Engine!$D$78:$D$101,MATCH(LARGE(Matching_Engine!$BC$78:$BC$101,14),Matching_Engine!$BC$78:$BC$101,0)),"")</f>
      </c>
      <c r="C103" s="11">
        <f>IFERROR(INDEX(Matching_Engine!$E$78:$E$101,MATCH(LARGE(Matching_Engine!$BC$78:$BC$101,14),Matching_Engine!$BC$78:$BC$101,0)),"")</f>
      </c>
      <c r="D103" s="11">
        <f>IFERROR(INDEX(Matching_Engine!$G$78:$G$101,MATCH(LARGE(Matching_Engine!$BC$78:$BC$101,14),Matching_Engine!$BC$78:$BC$101,0)),"")</f>
      </c>
      <c r="E103" s="29">
        <f>IFERROR(INDEX(Matching_Engine!$AY$78:$AY$101,MATCH(LARGE(Matching_Engine!$BC$78:$BC$101,14),Matching_Engine!$BC$78:$BC$101,0)),"N/A")</f>
      </c>
      <c r="F103" s="11">
        <f>IFERROR(INDEX(Matching_Engine!$AZ$78:$AZ$101,MATCH(LARGE(Matching_Engine!$BC$78:$BC$101,14),Matching_Engine!$BC$78:$BC$101,0)),"")</f>
      </c>
      <c r="G103" s="11">
        <f>IFERROR(INDEX(Matching_Engine!$BB$78:$BB$101,MATCH(LARGE(Matching_Engine!$BC$78:$BC$101,14),Matching_Engine!$BC$78:$BC$101,0)),"")</f>
      </c>
      <c r="H103" s="11">
        <f>IFERROR(INDEX(Match_Explanation!$G$6:$G$125,MATCH("BR-04|"&amp;INDEX(Matching_Engine!$C$78:$C$101,MATCH(LARGE(Matching_Engine!$BC$78:$BC$101,14),Matching_Engine!$BC$78:$BC$101,0)),Matching_Engine!$BG$6:$BG$125,0)),"")</f>
      </c>
    </row>
    <row r="104" spans="1:8" x14ac:dyDescent="0.25">
      <c r="A104" s="35">
        <v>15</v>
      </c>
      <c r="B104" s="11">
        <f>IFERROR(INDEX(Matching_Engine!$D$78:$D$101,MATCH(LARGE(Matching_Engine!$BC$78:$BC$101,15),Matching_Engine!$BC$78:$BC$101,0)),"")</f>
      </c>
      <c r="C104" s="11">
        <f>IFERROR(INDEX(Matching_Engine!$E$78:$E$101,MATCH(LARGE(Matching_Engine!$BC$78:$BC$101,15),Matching_Engine!$BC$78:$BC$101,0)),"")</f>
      </c>
      <c r="D104" s="11">
        <f>IFERROR(INDEX(Matching_Engine!$G$78:$G$101,MATCH(LARGE(Matching_Engine!$BC$78:$BC$101,15),Matching_Engine!$BC$78:$BC$101,0)),"")</f>
      </c>
      <c r="E104" s="29">
        <f>IFERROR(INDEX(Matching_Engine!$AY$78:$AY$101,MATCH(LARGE(Matching_Engine!$BC$78:$BC$101,15),Matching_Engine!$BC$78:$BC$101,0)),"N/A")</f>
      </c>
      <c r="F104" s="11">
        <f>IFERROR(INDEX(Matching_Engine!$AZ$78:$AZ$101,MATCH(LARGE(Matching_Engine!$BC$78:$BC$101,15),Matching_Engine!$BC$78:$BC$101,0)),"")</f>
      </c>
      <c r="G104" s="11">
        <f>IFERROR(INDEX(Matching_Engine!$BB$78:$BB$101,MATCH(LARGE(Matching_Engine!$BC$78:$BC$101,15),Matching_Engine!$BC$78:$BC$101,0)),"")</f>
      </c>
      <c r="H104" s="11">
        <f>IFERROR(INDEX(Match_Explanation!$G$6:$G$125,MATCH("BR-04|"&amp;INDEX(Matching_Engine!$C$78:$C$101,MATCH(LARGE(Matching_Engine!$BC$78:$BC$101,15),Matching_Engine!$BC$78:$BC$101,0)),Matching_Engine!$BG$6:$BG$125,0)),"")</f>
      </c>
    </row>
    <row r="105" spans="1:8" x14ac:dyDescent="0.25">
      <c r="A105" s="35">
        <v>16</v>
      </c>
      <c r="B105" s="11">
        <f>IFERROR(INDEX(Matching_Engine!$D$78:$D$101,MATCH(LARGE(Matching_Engine!$BC$78:$BC$101,16),Matching_Engine!$BC$78:$BC$101,0)),"")</f>
      </c>
      <c r="C105" s="11">
        <f>IFERROR(INDEX(Matching_Engine!$E$78:$E$101,MATCH(LARGE(Matching_Engine!$BC$78:$BC$101,16),Matching_Engine!$BC$78:$BC$101,0)),"")</f>
      </c>
      <c r="D105" s="11">
        <f>IFERROR(INDEX(Matching_Engine!$G$78:$G$101,MATCH(LARGE(Matching_Engine!$BC$78:$BC$101,16),Matching_Engine!$BC$78:$BC$101,0)),"")</f>
      </c>
      <c r="E105" s="29">
        <f>IFERROR(INDEX(Matching_Engine!$AY$78:$AY$101,MATCH(LARGE(Matching_Engine!$BC$78:$BC$101,16),Matching_Engine!$BC$78:$BC$101,0)),"N/A")</f>
      </c>
      <c r="F105" s="11">
        <f>IFERROR(INDEX(Matching_Engine!$AZ$78:$AZ$101,MATCH(LARGE(Matching_Engine!$BC$78:$BC$101,16),Matching_Engine!$BC$78:$BC$101,0)),"")</f>
      </c>
      <c r="G105" s="11">
        <f>IFERROR(INDEX(Matching_Engine!$BB$78:$BB$101,MATCH(LARGE(Matching_Engine!$BC$78:$BC$101,16),Matching_Engine!$BC$78:$BC$101,0)),"")</f>
      </c>
      <c r="H105" s="11">
        <f>IFERROR(INDEX(Match_Explanation!$G$6:$G$125,MATCH("BR-04|"&amp;INDEX(Matching_Engine!$C$78:$C$101,MATCH(LARGE(Matching_Engine!$BC$78:$BC$101,16),Matching_Engine!$BC$78:$BC$101,0)),Matching_Engine!$BG$6:$BG$125,0)),"")</f>
      </c>
    </row>
    <row r="106" spans="1:8" x14ac:dyDescent="0.25">
      <c r="A106" s="35">
        <v>17</v>
      </c>
      <c r="B106" s="11">
        <f>IFERROR(INDEX(Matching_Engine!$D$78:$D$101,MATCH(LARGE(Matching_Engine!$BC$78:$BC$101,17),Matching_Engine!$BC$78:$BC$101,0)),"")</f>
      </c>
      <c r="C106" s="11">
        <f>IFERROR(INDEX(Matching_Engine!$E$78:$E$101,MATCH(LARGE(Matching_Engine!$BC$78:$BC$101,17),Matching_Engine!$BC$78:$BC$101,0)),"")</f>
      </c>
      <c r="D106" s="11">
        <f>IFERROR(INDEX(Matching_Engine!$G$78:$G$101,MATCH(LARGE(Matching_Engine!$BC$78:$BC$101,17),Matching_Engine!$BC$78:$BC$101,0)),"")</f>
      </c>
      <c r="E106" s="29">
        <f>IFERROR(INDEX(Matching_Engine!$AY$78:$AY$101,MATCH(LARGE(Matching_Engine!$BC$78:$BC$101,17),Matching_Engine!$BC$78:$BC$101,0)),"N/A")</f>
      </c>
      <c r="F106" s="11">
        <f>IFERROR(INDEX(Matching_Engine!$AZ$78:$AZ$101,MATCH(LARGE(Matching_Engine!$BC$78:$BC$101,17),Matching_Engine!$BC$78:$BC$101,0)),"")</f>
      </c>
      <c r="G106" s="11">
        <f>IFERROR(INDEX(Matching_Engine!$BB$78:$BB$101,MATCH(LARGE(Matching_Engine!$BC$78:$BC$101,17),Matching_Engine!$BC$78:$BC$101,0)),"")</f>
      </c>
      <c r="H106" s="11">
        <f>IFERROR(INDEX(Match_Explanation!$G$6:$G$125,MATCH("BR-04|"&amp;INDEX(Matching_Engine!$C$78:$C$101,MATCH(LARGE(Matching_Engine!$BC$78:$BC$101,17),Matching_Engine!$BC$78:$BC$101,0)),Matching_Engine!$BG$6:$BG$125,0)),"")</f>
      </c>
    </row>
    <row r="107" spans="1:8" x14ac:dyDescent="0.25">
      <c r="A107" s="35">
        <v>18</v>
      </c>
      <c r="B107" s="11">
        <f>IFERROR(INDEX(Matching_Engine!$D$78:$D$101,MATCH(LARGE(Matching_Engine!$BC$78:$BC$101,18),Matching_Engine!$BC$78:$BC$101,0)),"")</f>
      </c>
      <c r="C107" s="11">
        <f>IFERROR(INDEX(Matching_Engine!$E$78:$E$101,MATCH(LARGE(Matching_Engine!$BC$78:$BC$101,18),Matching_Engine!$BC$78:$BC$101,0)),"")</f>
      </c>
      <c r="D107" s="11">
        <f>IFERROR(INDEX(Matching_Engine!$G$78:$G$101,MATCH(LARGE(Matching_Engine!$BC$78:$BC$101,18),Matching_Engine!$BC$78:$BC$101,0)),"")</f>
      </c>
      <c r="E107" s="29">
        <f>IFERROR(INDEX(Matching_Engine!$AY$78:$AY$101,MATCH(LARGE(Matching_Engine!$BC$78:$BC$101,18),Matching_Engine!$BC$78:$BC$101,0)),"N/A")</f>
      </c>
      <c r="F107" s="11">
        <f>IFERROR(INDEX(Matching_Engine!$AZ$78:$AZ$101,MATCH(LARGE(Matching_Engine!$BC$78:$BC$101,18),Matching_Engine!$BC$78:$BC$101,0)),"")</f>
      </c>
      <c r="G107" s="11">
        <f>IFERROR(INDEX(Matching_Engine!$BB$78:$BB$101,MATCH(LARGE(Matching_Engine!$BC$78:$BC$101,18),Matching_Engine!$BC$78:$BC$101,0)),"")</f>
      </c>
      <c r="H107" s="11">
        <f>IFERROR(INDEX(Match_Explanation!$G$6:$G$125,MATCH("BR-04|"&amp;INDEX(Matching_Engine!$C$78:$C$101,MATCH(LARGE(Matching_Engine!$BC$78:$BC$101,18),Matching_Engine!$BC$78:$BC$101,0)),Matching_Engine!$BG$6:$BG$125,0)),"")</f>
      </c>
    </row>
    <row r="108" spans="1:8" x14ac:dyDescent="0.25">
      <c r="A108" s="35">
        <v>19</v>
      </c>
      <c r="B108" s="11">
        <f>IFERROR(INDEX(Matching_Engine!$D$78:$D$101,MATCH(LARGE(Matching_Engine!$BC$78:$BC$101,19),Matching_Engine!$BC$78:$BC$101,0)),"")</f>
      </c>
      <c r="C108" s="11">
        <f>IFERROR(INDEX(Matching_Engine!$E$78:$E$101,MATCH(LARGE(Matching_Engine!$BC$78:$BC$101,19),Matching_Engine!$BC$78:$BC$101,0)),"")</f>
      </c>
      <c r="D108" s="11">
        <f>IFERROR(INDEX(Matching_Engine!$G$78:$G$101,MATCH(LARGE(Matching_Engine!$BC$78:$BC$101,19),Matching_Engine!$BC$78:$BC$101,0)),"")</f>
      </c>
      <c r="E108" s="29">
        <f>IFERROR(INDEX(Matching_Engine!$AY$78:$AY$101,MATCH(LARGE(Matching_Engine!$BC$78:$BC$101,19),Matching_Engine!$BC$78:$BC$101,0)),"N/A")</f>
      </c>
      <c r="F108" s="11">
        <f>IFERROR(INDEX(Matching_Engine!$AZ$78:$AZ$101,MATCH(LARGE(Matching_Engine!$BC$78:$BC$101,19),Matching_Engine!$BC$78:$BC$101,0)),"")</f>
      </c>
      <c r="G108" s="11">
        <f>IFERROR(INDEX(Matching_Engine!$BB$78:$BB$101,MATCH(LARGE(Matching_Engine!$BC$78:$BC$101,19),Matching_Engine!$BC$78:$BC$101,0)),"")</f>
      </c>
      <c r="H108" s="11">
        <f>IFERROR(INDEX(Match_Explanation!$G$6:$G$125,MATCH("BR-04|"&amp;INDEX(Matching_Engine!$C$78:$C$101,MATCH(LARGE(Matching_Engine!$BC$78:$BC$101,19),Matching_Engine!$BC$78:$BC$101,0)),Matching_Engine!$BG$6:$BG$125,0)),"")</f>
      </c>
    </row>
    <row r="109" spans="1:8" x14ac:dyDescent="0.25">
      <c r="A109" s="35">
        <v>20</v>
      </c>
      <c r="B109" s="11">
        <f>IFERROR(INDEX(Matching_Engine!$D$78:$D$101,MATCH(LARGE(Matching_Engine!$BC$78:$BC$101,20),Matching_Engine!$BC$78:$BC$101,0)),"")</f>
      </c>
      <c r="C109" s="11">
        <f>IFERROR(INDEX(Matching_Engine!$E$78:$E$101,MATCH(LARGE(Matching_Engine!$BC$78:$BC$101,20),Matching_Engine!$BC$78:$BC$101,0)),"")</f>
      </c>
      <c r="D109" s="11">
        <f>IFERROR(INDEX(Matching_Engine!$G$78:$G$101,MATCH(LARGE(Matching_Engine!$BC$78:$BC$101,20),Matching_Engine!$BC$78:$BC$101,0)),"")</f>
      </c>
      <c r="E109" s="29">
        <f>IFERROR(INDEX(Matching_Engine!$AY$78:$AY$101,MATCH(LARGE(Matching_Engine!$BC$78:$BC$101,20),Matching_Engine!$BC$78:$BC$101,0)),"N/A")</f>
      </c>
      <c r="F109" s="11">
        <f>IFERROR(INDEX(Matching_Engine!$AZ$78:$AZ$101,MATCH(LARGE(Matching_Engine!$BC$78:$BC$101,20),Matching_Engine!$BC$78:$BC$101,0)),"")</f>
      </c>
      <c r="G109" s="11">
        <f>IFERROR(INDEX(Matching_Engine!$BB$78:$BB$101,MATCH(LARGE(Matching_Engine!$BC$78:$BC$101,20),Matching_Engine!$BC$78:$BC$101,0)),"")</f>
      </c>
      <c r="H109" s="11">
        <f>IFERROR(INDEX(Match_Explanation!$G$6:$G$125,MATCH("BR-04|"&amp;INDEX(Matching_Engine!$C$78:$C$101,MATCH(LARGE(Matching_Engine!$BC$78:$BC$101,20),Matching_Engine!$BC$78:$BC$101,0)),Matching_Engine!$BG$6:$BG$125,0)),"")</f>
      </c>
    </row>
    <row r="110" spans="1:8" x14ac:dyDescent="0.25">
      <c r="A110" s="35">
        <v>21</v>
      </c>
      <c r="B110" s="11">
        <f>IFERROR(INDEX(Matching_Engine!$D$78:$D$101,MATCH(LARGE(Matching_Engine!$BC$78:$BC$101,21),Matching_Engine!$BC$78:$BC$101,0)),"")</f>
      </c>
      <c r="C110" s="11">
        <f>IFERROR(INDEX(Matching_Engine!$E$78:$E$101,MATCH(LARGE(Matching_Engine!$BC$78:$BC$101,21),Matching_Engine!$BC$78:$BC$101,0)),"")</f>
      </c>
      <c r="D110" s="11">
        <f>IFERROR(INDEX(Matching_Engine!$G$78:$G$101,MATCH(LARGE(Matching_Engine!$BC$78:$BC$101,21),Matching_Engine!$BC$78:$BC$101,0)),"")</f>
      </c>
      <c r="E110" s="29">
        <f>IFERROR(INDEX(Matching_Engine!$AY$78:$AY$101,MATCH(LARGE(Matching_Engine!$BC$78:$BC$101,21),Matching_Engine!$BC$78:$BC$101,0)),"N/A")</f>
      </c>
      <c r="F110" s="11">
        <f>IFERROR(INDEX(Matching_Engine!$AZ$78:$AZ$101,MATCH(LARGE(Matching_Engine!$BC$78:$BC$101,21),Matching_Engine!$BC$78:$BC$101,0)),"")</f>
      </c>
      <c r="G110" s="11">
        <f>IFERROR(INDEX(Matching_Engine!$BB$78:$BB$101,MATCH(LARGE(Matching_Engine!$BC$78:$BC$101,21),Matching_Engine!$BC$78:$BC$101,0)),"")</f>
      </c>
      <c r="H110" s="11">
        <f>IFERROR(INDEX(Match_Explanation!$G$6:$G$125,MATCH("BR-04|"&amp;INDEX(Matching_Engine!$C$78:$C$101,MATCH(LARGE(Matching_Engine!$BC$78:$BC$101,21),Matching_Engine!$BC$78:$BC$101,0)),Matching_Engine!$BG$6:$BG$125,0)),"")</f>
      </c>
    </row>
    <row r="111" spans="1:8" x14ac:dyDescent="0.25">
      <c r="A111" s="35">
        <v>22</v>
      </c>
      <c r="B111" s="11">
        <f>IFERROR(INDEX(Matching_Engine!$D$78:$D$101,MATCH(LARGE(Matching_Engine!$BC$78:$BC$101,22),Matching_Engine!$BC$78:$BC$101,0)),"")</f>
      </c>
      <c r="C111" s="11">
        <f>IFERROR(INDEX(Matching_Engine!$E$78:$E$101,MATCH(LARGE(Matching_Engine!$BC$78:$BC$101,22),Matching_Engine!$BC$78:$BC$101,0)),"")</f>
      </c>
      <c r="D111" s="11">
        <f>IFERROR(INDEX(Matching_Engine!$G$78:$G$101,MATCH(LARGE(Matching_Engine!$BC$78:$BC$101,22),Matching_Engine!$BC$78:$BC$101,0)),"")</f>
      </c>
      <c r="E111" s="29">
        <f>IFERROR(INDEX(Matching_Engine!$AY$78:$AY$101,MATCH(LARGE(Matching_Engine!$BC$78:$BC$101,22),Matching_Engine!$BC$78:$BC$101,0)),"N/A")</f>
      </c>
      <c r="F111" s="11">
        <f>IFERROR(INDEX(Matching_Engine!$AZ$78:$AZ$101,MATCH(LARGE(Matching_Engine!$BC$78:$BC$101,22),Matching_Engine!$BC$78:$BC$101,0)),"")</f>
      </c>
      <c r="G111" s="11">
        <f>IFERROR(INDEX(Matching_Engine!$BB$78:$BB$101,MATCH(LARGE(Matching_Engine!$BC$78:$BC$101,22),Matching_Engine!$BC$78:$BC$101,0)),"")</f>
      </c>
      <c r="H111" s="11">
        <f>IFERROR(INDEX(Match_Explanation!$G$6:$G$125,MATCH("BR-04|"&amp;INDEX(Matching_Engine!$C$78:$C$101,MATCH(LARGE(Matching_Engine!$BC$78:$BC$101,22),Matching_Engine!$BC$78:$BC$101,0)),Matching_Engine!$BG$6:$BG$125,0)),"")</f>
      </c>
    </row>
    <row r="112" spans="1:8" x14ac:dyDescent="0.25">
      <c r="A112" s="35">
        <v>23</v>
      </c>
      <c r="B112" s="11">
        <f>IFERROR(INDEX(Matching_Engine!$D$78:$D$101,MATCH(LARGE(Matching_Engine!$BC$78:$BC$101,23),Matching_Engine!$BC$78:$BC$101,0)),"")</f>
      </c>
      <c r="C112" s="11">
        <f>IFERROR(INDEX(Matching_Engine!$E$78:$E$101,MATCH(LARGE(Matching_Engine!$BC$78:$BC$101,23),Matching_Engine!$BC$78:$BC$101,0)),"")</f>
      </c>
      <c r="D112" s="11">
        <f>IFERROR(INDEX(Matching_Engine!$G$78:$G$101,MATCH(LARGE(Matching_Engine!$BC$78:$BC$101,23),Matching_Engine!$BC$78:$BC$101,0)),"")</f>
      </c>
      <c r="E112" s="29">
        <f>IFERROR(INDEX(Matching_Engine!$AY$78:$AY$101,MATCH(LARGE(Matching_Engine!$BC$78:$BC$101,23),Matching_Engine!$BC$78:$BC$101,0)),"N/A")</f>
      </c>
      <c r="F112" s="11">
        <f>IFERROR(INDEX(Matching_Engine!$AZ$78:$AZ$101,MATCH(LARGE(Matching_Engine!$BC$78:$BC$101,23),Matching_Engine!$BC$78:$BC$101,0)),"")</f>
      </c>
      <c r="G112" s="11">
        <f>IFERROR(INDEX(Matching_Engine!$BB$78:$BB$101,MATCH(LARGE(Matching_Engine!$BC$78:$BC$101,23),Matching_Engine!$BC$78:$BC$101,0)),"")</f>
      </c>
      <c r="H112" s="11">
        <f>IFERROR(INDEX(Match_Explanation!$G$6:$G$125,MATCH("BR-04|"&amp;INDEX(Matching_Engine!$C$78:$C$101,MATCH(LARGE(Matching_Engine!$BC$78:$BC$101,23),Matching_Engine!$BC$78:$BC$101,0)),Matching_Engine!$BG$6:$BG$125,0)),"")</f>
      </c>
    </row>
    <row r="113" spans="1:8" x14ac:dyDescent="0.25">
      <c r="A113" s="35">
        <v>24</v>
      </c>
      <c r="B113" s="11">
        <f>IFERROR(INDEX(Matching_Engine!$D$78:$D$101,MATCH(LARGE(Matching_Engine!$BC$78:$BC$101,24),Matching_Engine!$BC$78:$BC$101,0)),"")</f>
      </c>
      <c r="C113" s="11">
        <f>IFERROR(INDEX(Matching_Engine!$E$78:$E$101,MATCH(LARGE(Matching_Engine!$BC$78:$BC$101,24),Matching_Engine!$BC$78:$BC$101,0)),"")</f>
      </c>
      <c r="D113" s="11">
        <f>IFERROR(INDEX(Matching_Engine!$G$78:$G$101,MATCH(LARGE(Matching_Engine!$BC$78:$BC$101,24),Matching_Engine!$BC$78:$BC$101,0)),"")</f>
      </c>
      <c r="E113" s="29">
        <f>IFERROR(INDEX(Matching_Engine!$AY$78:$AY$101,MATCH(LARGE(Matching_Engine!$BC$78:$BC$101,24),Matching_Engine!$BC$78:$BC$101,0)),"N/A")</f>
      </c>
      <c r="F113" s="11">
        <f>IFERROR(INDEX(Matching_Engine!$AZ$78:$AZ$101,MATCH(LARGE(Matching_Engine!$BC$78:$BC$101,24),Matching_Engine!$BC$78:$BC$101,0)),"")</f>
      </c>
      <c r="G113" s="11">
        <f>IFERROR(INDEX(Matching_Engine!$BB$78:$BB$101,MATCH(LARGE(Matching_Engine!$BC$78:$BC$101,24),Matching_Engine!$BC$78:$BC$101,0)),"")</f>
      </c>
      <c r="H113" s="11">
        <f>IFERROR(INDEX(Match_Explanation!$G$6:$G$125,MATCH("BR-04|"&amp;INDEX(Matching_Engine!$C$78:$C$101,MATCH(LARGE(Matching_Engine!$BC$78:$BC$101,24),Matching_Engine!$BC$78:$BC$101,0)),Matching_Engine!$BG$6:$BG$125,0)),"")</f>
      </c>
    </row>
    <row r="116" ht="18" customHeight="1" spans="1:8" x14ac:dyDescent="0.25">
      <c r="A116" s="3" t="s">
        <v>718</v>
      </c>
      <c r="B116" s="3"/>
      <c r="C116" s="3"/>
      <c r="D116" s="3"/>
      <c r="E116" s="3"/>
      <c r="F116" s="3"/>
      <c r="G116" s="3"/>
      <c r="H116" s="3"/>
    </row>
    <row r="117" ht="24" customHeight="1" spans="1:8" x14ac:dyDescent="0.25">
      <c r="A117" s="6" t="s">
        <v>714</v>
      </c>
      <c r="B117" s="6" t="s">
        <v>627</v>
      </c>
      <c r="C117" s="6" t="s">
        <v>628</v>
      </c>
      <c r="D117" s="6" t="s">
        <v>103</v>
      </c>
      <c r="E117" s="6" t="s">
        <v>679</v>
      </c>
      <c r="F117" s="6" t="s">
        <v>669</v>
      </c>
      <c r="G117" s="6" t="s">
        <v>168</v>
      </c>
      <c r="H117" s="6" t="s">
        <v>685</v>
      </c>
    </row>
    <row r="118" spans="1:8" x14ac:dyDescent="0.25">
      <c r="A118" s="35">
        <v>1</v>
      </c>
      <c r="B118" s="11">
        <f>IFERROR(INDEX(Matching_Engine!$D$102:$D$125,MATCH(LARGE(Matching_Engine!$BC$102:$BC$125,1),Matching_Engine!$BC$102:$BC$125,0)),"")</f>
      </c>
      <c r="C118" s="11">
        <f>IFERROR(INDEX(Matching_Engine!$E$102:$E$125,MATCH(LARGE(Matching_Engine!$BC$102:$BC$125,1),Matching_Engine!$BC$102:$BC$125,0)),"")</f>
      </c>
      <c r="D118" s="11">
        <f>IFERROR(INDEX(Matching_Engine!$G$102:$G$125,MATCH(LARGE(Matching_Engine!$BC$102:$BC$125,1),Matching_Engine!$BC$102:$BC$125,0)),"")</f>
      </c>
      <c r="E118" s="29">
        <f>IFERROR(INDEX(Matching_Engine!$AY$102:$AY$125,MATCH(LARGE(Matching_Engine!$BC$102:$BC$125,1),Matching_Engine!$BC$102:$BC$125,0)),"N/A")</f>
      </c>
      <c r="F118" s="11">
        <f>IFERROR(INDEX(Matching_Engine!$AZ$102:$AZ$125,MATCH(LARGE(Matching_Engine!$BC$102:$BC$125,1),Matching_Engine!$BC$102:$BC$125,0)),"")</f>
      </c>
      <c r="G118" s="11">
        <f>IFERROR(INDEX(Matching_Engine!$BB$102:$BB$125,MATCH(LARGE(Matching_Engine!$BC$102:$BC$125,1),Matching_Engine!$BC$102:$BC$125,0)),"")</f>
      </c>
      <c r="H118" s="11">
        <f>IFERROR(INDEX(Match_Explanation!$G$6:$G$125,MATCH("BR-05|"&amp;INDEX(Matching_Engine!$C$102:$C$125,MATCH(LARGE(Matching_Engine!$BC$102:$BC$125,1),Matching_Engine!$BC$102:$BC$125,0)),Matching_Engine!$BG$6:$BG$125,0)),"")</f>
      </c>
    </row>
    <row r="119" spans="1:8" x14ac:dyDescent="0.25">
      <c r="A119" s="35">
        <v>2</v>
      </c>
      <c r="B119" s="11">
        <f>IFERROR(INDEX(Matching_Engine!$D$102:$D$125,MATCH(LARGE(Matching_Engine!$BC$102:$BC$125,2),Matching_Engine!$BC$102:$BC$125,0)),"")</f>
      </c>
      <c r="C119" s="11">
        <f>IFERROR(INDEX(Matching_Engine!$E$102:$E$125,MATCH(LARGE(Matching_Engine!$BC$102:$BC$125,2),Matching_Engine!$BC$102:$BC$125,0)),"")</f>
      </c>
      <c r="D119" s="11">
        <f>IFERROR(INDEX(Matching_Engine!$G$102:$G$125,MATCH(LARGE(Matching_Engine!$BC$102:$BC$125,2),Matching_Engine!$BC$102:$BC$125,0)),"")</f>
      </c>
      <c r="E119" s="29">
        <f>IFERROR(INDEX(Matching_Engine!$AY$102:$AY$125,MATCH(LARGE(Matching_Engine!$BC$102:$BC$125,2),Matching_Engine!$BC$102:$BC$125,0)),"N/A")</f>
      </c>
      <c r="F119" s="11">
        <f>IFERROR(INDEX(Matching_Engine!$AZ$102:$AZ$125,MATCH(LARGE(Matching_Engine!$BC$102:$BC$125,2),Matching_Engine!$BC$102:$BC$125,0)),"")</f>
      </c>
      <c r="G119" s="11">
        <f>IFERROR(INDEX(Matching_Engine!$BB$102:$BB$125,MATCH(LARGE(Matching_Engine!$BC$102:$BC$125,2),Matching_Engine!$BC$102:$BC$125,0)),"")</f>
      </c>
      <c r="H119" s="11">
        <f>IFERROR(INDEX(Match_Explanation!$G$6:$G$125,MATCH("BR-05|"&amp;INDEX(Matching_Engine!$C$102:$C$125,MATCH(LARGE(Matching_Engine!$BC$102:$BC$125,2),Matching_Engine!$BC$102:$BC$125,0)),Matching_Engine!$BG$6:$BG$125,0)),"")</f>
      </c>
    </row>
    <row r="120" spans="1:8" x14ac:dyDescent="0.25">
      <c r="A120" s="35">
        <v>3</v>
      </c>
      <c r="B120" s="11">
        <f>IFERROR(INDEX(Matching_Engine!$D$102:$D$125,MATCH(LARGE(Matching_Engine!$BC$102:$BC$125,3),Matching_Engine!$BC$102:$BC$125,0)),"")</f>
      </c>
      <c r="C120" s="11">
        <f>IFERROR(INDEX(Matching_Engine!$E$102:$E$125,MATCH(LARGE(Matching_Engine!$BC$102:$BC$125,3),Matching_Engine!$BC$102:$BC$125,0)),"")</f>
      </c>
      <c r="D120" s="11">
        <f>IFERROR(INDEX(Matching_Engine!$G$102:$G$125,MATCH(LARGE(Matching_Engine!$BC$102:$BC$125,3),Matching_Engine!$BC$102:$BC$125,0)),"")</f>
      </c>
      <c r="E120" s="29">
        <f>IFERROR(INDEX(Matching_Engine!$AY$102:$AY$125,MATCH(LARGE(Matching_Engine!$BC$102:$BC$125,3),Matching_Engine!$BC$102:$BC$125,0)),"N/A")</f>
      </c>
      <c r="F120" s="11">
        <f>IFERROR(INDEX(Matching_Engine!$AZ$102:$AZ$125,MATCH(LARGE(Matching_Engine!$BC$102:$BC$125,3),Matching_Engine!$BC$102:$BC$125,0)),"")</f>
      </c>
      <c r="G120" s="11">
        <f>IFERROR(INDEX(Matching_Engine!$BB$102:$BB$125,MATCH(LARGE(Matching_Engine!$BC$102:$BC$125,3),Matching_Engine!$BC$102:$BC$125,0)),"")</f>
      </c>
      <c r="H120" s="11">
        <f>IFERROR(INDEX(Match_Explanation!$G$6:$G$125,MATCH("BR-05|"&amp;INDEX(Matching_Engine!$C$102:$C$125,MATCH(LARGE(Matching_Engine!$BC$102:$BC$125,3),Matching_Engine!$BC$102:$BC$125,0)),Matching_Engine!$BG$6:$BG$125,0)),"")</f>
      </c>
    </row>
    <row r="121" spans="1:8" x14ac:dyDescent="0.25">
      <c r="A121" s="35">
        <v>4</v>
      </c>
      <c r="B121" s="11">
        <f>IFERROR(INDEX(Matching_Engine!$D$102:$D$125,MATCH(LARGE(Matching_Engine!$BC$102:$BC$125,4),Matching_Engine!$BC$102:$BC$125,0)),"")</f>
      </c>
      <c r="C121" s="11">
        <f>IFERROR(INDEX(Matching_Engine!$E$102:$E$125,MATCH(LARGE(Matching_Engine!$BC$102:$BC$125,4),Matching_Engine!$BC$102:$BC$125,0)),"")</f>
      </c>
      <c r="D121" s="11">
        <f>IFERROR(INDEX(Matching_Engine!$G$102:$G$125,MATCH(LARGE(Matching_Engine!$BC$102:$BC$125,4),Matching_Engine!$BC$102:$BC$125,0)),"")</f>
      </c>
      <c r="E121" s="29">
        <f>IFERROR(INDEX(Matching_Engine!$AY$102:$AY$125,MATCH(LARGE(Matching_Engine!$BC$102:$BC$125,4),Matching_Engine!$BC$102:$BC$125,0)),"N/A")</f>
      </c>
      <c r="F121" s="11">
        <f>IFERROR(INDEX(Matching_Engine!$AZ$102:$AZ$125,MATCH(LARGE(Matching_Engine!$BC$102:$BC$125,4),Matching_Engine!$BC$102:$BC$125,0)),"")</f>
      </c>
      <c r="G121" s="11">
        <f>IFERROR(INDEX(Matching_Engine!$BB$102:$BB$125,MATCH(LARGE(Matching_Engine!$BC$102:$BC$125,4),Matching_Engine!$BC$102:$BC$125,0)),"")</f>
      </c>
      <c r="H121" s="11">
        <f>IFERROR(INDEX(Match_Explanation!$G$6:$G$125,MATCH("BR-05|"&amp;INDEX(Matching_Engine!$C$102:$C$125,MATCH(LARGE(Matching_Engine!$BC$102:$BC$125,4),Matching_Engine!$BC$102:$BC$125,0)),Matching_Engine!$BG$6:$BG$125,0)),"")</f>
      </c>
    </row>
    <row r="122" spans="1:8" x14ac:dyDescent="0.25">
      <c r="A122" s="35">
        <v>5</v>
      </c>
      <c r="B122" s="11">
        <f>IFERROR(INDEX(Matching_Engine!$D$102:$D$125,MATCH(LARGE(Matching_Engine!$BC$102:$BC$125,5),Matching_Engine!$BC$102:$BC$125,0)),"")</f>
      </c>
      <c r="C122" s="11">
        <f>IFERROR(INDEX(Matching_Engine!$E$102:$E$125,MATCH(LARGE(Matching_Engine!$BC$102:$BC$125,5),Matching_Engine!$BC$102:$BC$125,0)),"")</f>
      </c>
      <c r="D122" s="11">
        <f>IFERROR(INDEX(Matching_Engine!$G$102:$G$125,MATCH(LARGE(Matching_Engine!$BC$102:$BC$125,5),Matching_Engine!$BC$102:$BC$125,0)),"")</f>
      </c>
      <c r="E122" s="29">
        <f>IFERROR(INDEX(Matching_Engine!$AY$102:$AY$125,MATCH(LARGE(Matching_Engine!$BC$102:$BC$125,5),Matching_Engine!$BC$102:$BC$125,0)),"N/A")</f>
      </c>
      <c r="F122" s="11">
        <f>IFERROR(INDEX(Matching_Engine!$AZ$102:$AZ$125,MATCH(LARGE(Matching_Engine!$BC$102:$BC$125,5),Matching_Engine!$BC$102:$BC$125,0)),"")</f>
      </c>
      <c r="G122" s="11">
        <f>IFERROR(INDEX(Matching_Engine!$BB$102:$BB$125,MATCH(LARGE(Matching_Engine!$BC$102:$BC$125,5),Matching_Engine!$BC$102:$BC$125,0)),"")</f>
      </c>
      <c r="H122" s="11">
        <f>IFERROR(INDEX(Match_Explanation!$G$6:$G$125,MATCH("BR-05|"&amp;INDEX(Matching_Engine!$C$102:$C$125,MATCH(LARGE(Matching_Engine!$BC$102:$BC$125,5),Matching_Engine!$BC$102:$BC$125,0)),Matching_Engine!$BG$6:$BG$125,0)),"")</f>
      </c>
    </row>
    <row r="123" spans="1:8" x14ac:dyDescent="0.25">
      <c r="A123" s="35">
        <v>6</v>
      </c>
      <c r="B123" s="11">
        <f>IFERROR(INDEX(Matching_Engine!$D$102:$D$125,MATCH(LARGE(Matching_Engine!$BC$102:$BC$125,6),Matching_Engine!$BC$102:$BC$125,0)),"")</f>
      </c>
      <c r="C123" s="11">
        <f>IFERROR(INDEX(Matching_Engine!$E$102:$E$125,MATCH(LARGE(Matching_Engine!$BC$102:$BC$125,6),Matching_Engine!$BC$102:$BC$125,0)),"")</f>
      </c>
      <c r="D123" s="11">
        <f>IFERROR(INDEX(Matching_Engine!$G$102:$G$125,MATCH(LARGE(Matching_Engine!$BC$102:$BC$125,6),Matching_Engine!$BC$102:$BC$125,0)),"")</f>
      </c>
      <c r="E123" s="29">
        <f>IFERROR(INDEX(Matching_Engine!$AY$102:$AY$125,MATCH(LARGE(Matching_Engine!$BC$102:$BC$125,6),Matching_Engine!$BC$102:$BC$125,0)),"N/A")</f>
      </c>
      <c r="F123" s="11">
        <f>IFERROR(INDEX(Matching_Engine!$AZ$102:$AZ$125,MATCH(LARGE(Matching_Engine!$BC$102:$BC$125,6),Matching_Engine!$BC$102:$BC$125,0)),"")</f>
      </c>
      <c r="G123" s="11">
        <f>IFERROR(INDEX(Matching_Engine!$BB$102:$BB$125,MATCH(LARGE(Matching_Engine!$BC$102:$BC$125,6),Matching_Engine!$BC$102:$BC$125,0)),"")</f>
      </c>
      <c r="H123" s="11">
        <f>IFERROR(INDEX(Match_Explanation!$G$6:$G$125,MATCH("BR-05|"&amp;INDEX(Matching_Engine!$C$102:$C$125,MATCH(LARGE(Matching_Engine!$BC$102:$BC$125,6),Matching_Engine!$BC$102:$BC$125,0)),Matching_Engine!$BG$6:$BG$125,0)),"")</f>
      </c>
    </row>
    <row r="124" spans="1:8" x14ac:dyDescent="0.25">
      <c r="A124" s="35">
        <v>7</v>
      </c>
      <c r="B124" s="11">
        <f>IFERROR(INDEX(Matching_Engine!$D$102:$D$125,MATCH(LARGE(Matching_Engine!$BC$102:$BC$125,7),Matching_Engine!$BC$102:$BC$125,0)),"")</f>
      </c>
      <c r="C124" s="11">
        <f>IFERROR(INDEX(Matching_Engine!$E$102:$E$125,MATCH(LARGE(Matching_Engine!$BC$102:$BC$125,7),Matching_Engine!$BC$102:$BC$125,0)),"")</f>
      </c>
      <c r="D124" s="11">
        <f>IFERROR(INDEX(Matching_Engine!$G$102:$G$125,MATCH(LARGE(Matching_Engine!$BC$102:$BC$125,7),Matching_Engine!$BC$102:$BC$125,0)),"")</f>
      </c>
      <c r="E124" s="29">
        <f>IFERROR(INDEX(Matching_Engine!$AY$102:$AY$125,MATCH(LARGE(Matching_Engine!$BC$102:$BC$125,7),Matching_Engine!$BC$102:$BC$125,0)),"N/A")</f>
      </c>
      <c r="F124" s="11">
        <f>IFERROR(INDEX(Matching_Engine!$AZ$102:$AZ$125,MATCH(LARGE(Matching_Engine!$BC$102:$BC$125,7),Matching_Engine!$BC$102:$BC$125,0)),"")</f>
      </c>
      <c r="G124" s="11">
        <f>IFERROR(INDEX(Matching_Engine!$BB$102:$BB$125,MATCH(LARGE(Matching_Engine!$BC$102:$BC$125,7),Matching_Engine!$BC$102:$BC$125,0)),"")</f>
      </c>
      <c r="H124" s="11">
        <f>IFERROR(INDEX(Match_Explanation!$G$6:$G$125,MATCH("BR-05|"&amp;INDEX(Matching_Engine!$C$102:$C$125,MATCH(LARGE(Matching_Engine!$BC$102:$BC$125,7),Matching_Engine!$BC$102:$BC$125,0)),Matching_Engine!$BG$6:$BG$125,0)),"")</f>
      </c>
    </row>
    <row r="125" spans="1:8" x14ac:dyDescent="0.25">
      <c r="A125" s="35">
        <v>8</v>
      </c>
      <c r="B125" s="11">
        <f>IFERROR(INDEX(Matching_Engine!$D$102:$D$125,MATCH(LARGE(Matching_Engine!$BC$102:$BC$125,8),Matching_Engine!$BC$102:$BC$125,0)),"")</f>
      </c>
      <c r="C125" s="11">
        <f>IFERROR(INDEX(Matching_Engine!$E$102:$E$125,MATCH(LARGE(Matching_Engine!$BC$102:$BC$125,8),Matching_Engine!$BC$102:$BC$125,0)),"")</f>
      </c>
      <c r="D125" s="11">
        <f>IFERROR(INDEX(Matching_Engine!$G$102:$G$125,MATCH(LARGE(Matching_Engine!$BC$102:$BC$125,8),Matching_Engine!$BC$102:$BC$125,0)),"")</f>
      </c>
      <c r="E125" s="29">
        <f>IFERROR(INDEX(Matching_Engine!$AY$102:$AY$125,MATCH(LARGE(Matching_Engine!$BC$102:$BC$125,8),Matching_Engine!$BC$102:$BC$125,0)),"N/A")</f>
      </c>
      <c r="F125" s="11">
        <f>IFERROR(INDEX(Matching_Engine!$AZ$102:$AZ$125,MATCH(LARGE(Matching_Engine!$BC$102:$BC$125,8),Matching_Engine!$BC$102:$BC$125,0)),"")</f>
      </c>
      <c r="G125" s="11">
        <f>IFERROR(INDEX(Matching_Engine!$BB$102:$BB$125,MATCH(LARGE(Matching_Engine!$BC$102:$BC$125,8),Matching_Engine!$BC$102:$BC$125,0)),"")</f>
      </c>
      <c r="H125" s="11">
        <f>IFERROR(INDEX(Match_Explanation!$G$6:$G$125,MATCH("BR-05|"&amp;INDEX(Matching_Engine!$C$102:$C$125,MATCH(LARGE(Matching_Engine!$BC$102:$BC$125,8),Matching_Engine!$BC$102:$BC$125,0)),Matching_Engine!$BG$6:$BG$125,0)),"")</f>
      </c>
    </row>
    <row r="126" spans="1:8" x14ac:dyDescent="0.25">
      <c r="A126" s="35">
        <v>9</v>
      </c>
      <c r="B126" s="11">
        <f>IFERROR(INDEX(Matching_Engine!$D$102:$D$125,MATCH(LARGE(Matching_Engine!$BC$102:$BC$125,9),Matching_Engine!$BC$102:$BC$125,0)),"")</f>
      </c>
      <c r="C126" s="11">
        <f>IFERROR(INDEX(Matching_Engine!$E$102:$E$125,MATCH(LARGE(Matching_Engine!$BC$102:$BC$125,9),Matching_Engine!$BC$102:$BC$125,0)),"")</f>
      </c>
      <c r="D126" s="11">
        <f>IFERROR(INDEX(Matching_Engine!$G$102:$G$125,MATCH(LARGE(Matching_Engine!$BC$102:$BC$125,9),Matching_Engine!$BC$102:$BC$125,0)),"")</f>
      </c>
      <c r="E126" s="29">
        <f>IFERROR(INDEX(Matching_Engine!$AY$102:$AY$125,MATCH(LARGE(Matching_Engine!$BC$102:$BC$125,9),Matching_Engine!$BC$102:$BC$125,0)),"N/A")</f>
      </c>
      <c r="F126" s="11">
        <f>IFERROR(INDEX(Matching_Engine!$AZ$102:$AZ$125,MATCH(LARGE(Matching_Engine!$BC$102:$BC$125,9),Matching_Engine!$BC$102:$BC$125,0)),"")</f>
      </c>
      <c r="G126" s="11">
        <f>IFERROR(INDEX(Matching_Engine!$BB$102:$BB$125,MATCH(LARGE(Matching_Engine!$BC$102:$BC$125,9),Matching_Engine!$BC$102:$BC$125,0)),"")</f>
      </c>
      <c r="H126" s="11">
        <f>IFERROR(INDEX(Match_Explanation!$G$6:$G$125,MATCH("BR-05|"&amp;INDEX(Matching_Engine!$C$102:$C$125,MATCH(LARGE(Matching_Engine!$BC$102:$BC$125,9),Matching_Engine!$BC$102:$BC$125,0)),Matching_Engine!$BG$6:$BG$125,0)),"")</f>
      </c>
    </row>
    <row r="127" spans="1:8" x14ac:dyDescent="0.25">
      <c r="A127" s="35">
        <v>10</v>
      </c>
      <c r="B127" s="11">
        <f>IFERROR(INDEX(Matching_Engine!$D$102:$D$125,MATCH(LARGE(Matching_Engine!$BC$102:$BC$125,10),Matching_Engine!$BC$102:$BC$125,0)),"")</f>
      </c>
      <c r="C127" s="11">
        <f>IFERROR(INDEX(Matching_Engine!$E$102:$E$125,MATCH(LARGE(Matching_Engine!$BC$102:$BC$125,10),Matching_Engine!$BC$102:$BC$125,0)),"")</f>
      </c>
      <c r="D127" s="11">
        <f>IFERROR(INDEX(Matching_Engine!$G$102:$G$125,MATCH(LARGE(Matching_Engine!$BC$102:$BC$125,10),Matching_Engine!$BC$102:$BC$125,0)),"")</f>
      </c>
      <c r="E127" s="29">
        <f>IFERROR(INDEX(Matching_Engine!$AY$102:$AY$125,MATCH(LARGE(Matching_Engine!$BC$102:$BC$125,10),Matching_Engine!$BC$102:$BC$125,0)),"N/A")</f>
      </c>
      <c r="F127" s="11">
        <f>IFERROR(INDEX(Matching_Engine!$AZ$102:$AZ$125,MATCH(LARGE(Matching_Engine!$BC$102:$BC$125,10),Matching_Engine!$BC$102:$BC$125,0)),"")</f>
      </c>
      <c r="G127" s="11">
        <f>IFERROR(INDEX(Matching_Engine!$BB$102:$BB$125,MATCH(LARGE(Matching_Engine!$BC$102:$BC$125,10),Matching_Engine!$BC$102:$BC$125,0)),"")</f>
      </c>
      <c r="H127" s="11">
        <f>IFERROR(INDEX(Match_Explanation!$G$6:$G$125,MATCH("BR-05|"&amp;INDEX(Matching_Engine!$C$102:$C$125,MATCH(LARGE(Matching_Engine!$BC$102:$BC$125,10),Matching_Engine!$BC$102:$BC$125,0)),Matching_Engine!$BG$6:$BG$125,0)),"")</f>
      </c>
    </row>
    <row r="128" spans="1:8" x14ac:dyDescent="0.25">
      <c r="A128" s="35">
        <v>11</v>
      </c>
      <c r="B128" s="11">
        <f>IFERROR(INDEX(Matching_Engine!$D$102:$D$125,MATCH(LARGE(Matching_Engine!$BC$102:$BC$125,11),Matching_Engine!$BC$102:$BC$125,0)),"")</f>
      </c>
      <c r="C128" s="11">
        <f>IFERROR(INDEX(Matching_Engine!$E$102:$E$125,MATCH(LARGE(Matching_Engine!$BC$102:$BC$125,11),Matching_Engine!$BC$102:$BC$125,0)),"")</f>
      </c>
      <c r="D128" s="11">
        <f>IFERROR(INDEX(Matching_Engine!$G$102:$G$125,MATCH(LARGE(Matching_Engine!$BC$102:$BC$125,11),Matching_Engine!$BC$102:$BC$125,0)),"")</f>
      </c>
      <c r="E128" s="29">
        <f>IFERROR(INDEX(Matching_Engine!$AY$102:$AY$125,MATCH(LARGE(Matching_Engine!$BC$102:$BC$125,11),Matching_Engine!$BC$102:$BC$125,0)),"N/A")</f>
      </c>
      <c r="F128" s="11">
        <f>IFERROR(INDEX(Matching_Engine!$AZ$102:$AZ$125,MATCH(LARGE(Matching_Engine!$BC$102:$BC$125,11),Matching_Engine!$BC$102:$BC$125,0)),"")</f>
      </c>
      <c r="G128" s="11">
        <f>IFERROR(INDEX(Matching_Engine!$BB$102:$BB$125,MATCH(LARGE(Matching_Engine!$BC$102:$BC$125,11),Matching_Engine!$BC$102:$BC$125,0)),"")</f>
      </c>
      <c r="H128" s="11">
        <f>IFERROR(INDEX(Match_Explanation!$G$6:$G$125,MATCH("BR-05|"&amp;INDEX(Matching_Engine!$C$102:$C$125,MATCH(LARGE(Matching_Engine!$BC$102:$BC$125,11),Matching_Engine!$BC$102:$BC$125,0)),Matching_Engine!$BG$6:$BG$125,0)),"")</f>
      </c>
    </row>
    <row r="129" spans="1:8" x14ac:dyDescent="0.25">
      <c r="A129" s="35">
        <v>12</v>
      </c>
      <c r="B129" s="11">
        <f>IFERROR(INDEX(Matching_Engine!$D$102:$D$125,MATCH(LARGE(Matching_Engine!$BC$102:$BC$125,12),Matching_Engine!$BC$102:$BC$125,0)),"")</f>
      </c>
      <c r="C129" s="11">
        <f>IFERROR(INDEX(Matching_Engine!$E$102:$E$125,MATCH(LARGE(Matching_Engine!$BC$102:$BC$125,12),Matching_Engine!$BC$102:$BC$125,0)),"")</f>
      </c>
      <c r="D129" s="11">
        <f>IFERROR(INDEX(Matching_Engine!$G$102:$G$125,MATCH(LARGE(Matching_Engine!$BC$102:$BC$125,12),Matching_Engine!$BC$102:$BC$125,0)),"")</f>
      </c>
      <c r="E129" s="29">
        <f>IFERROR(INDEX(Matching_Engine!$AY$102:$AY$125,MATCH(LARGE(Matching_Engine!$BC$102:$BC$125,12),Matching_Engine!$BC$102:$BC$125,0)),"N/A")</f>
      </c>
      <c r="F129" s="11">
        <f>IFERROR(INDEX(Matching_Engine!$AZ$102:$AZ$125,MATCH(LARGE(Matching_Engine!$BC$102:$BC$125,12),Matching_Engine!$BC$102:$BC$125,0)),"")</f>
      </c>
      <c r="G129" s="11">
        <f>IFERROR(INDEX(Matching_Engine!$BB$102:$BB$125,MATCH(LARGE(Matching_Engine!$BC$102:$BC$125,12),Matching_Engine!$BC$102:$BC$125,0)),"")</f>
      </c>
      <c r="H129" s="11">
        <f>IFERROR(INDEX(Match_Explanation!$G$6:$G$125,MATCH("BR-05|"&amp;INDEX(Matching_Engine!$C$102:$C$125,MATCH(LARGE(Matching_Engine!$BC$102:$BC$125,12),Matching_Engine!$BC$102:$BC$125,0)),Matching_Engine!$BG$6:$BG$125,0)),"")</f>
      </c>
    </row>
    <row r="130" spans="1:8" x14ac:dyDescent="0.25">
      <c r="A130" s="35">
        <v>13</v>
      </c>
      <c r="B130" s="11">
        <f>IFERROR(INDEX(Matching_Engine!$D$102:$D$125,MATCH(LARGE(Matching_Engine!$BC$102:$BC$125,13),Matching_Engine!$BC$102:$BC$125,0)),"")</f>
      </c>
      <c r="C130" s="11">
        <f>IFERROR(INDEX(Matching_Engine!$E$102:$E$125,MATCH(LARGE(Matching_Engine!$BC$102:$BC$125,13),Matching_Engine!$BC$102:$BC$125,0)),"")</f>
      </c>
      <c r="D130" s="11">
        <f>IFERROR(INDEX(Matching_Engine!$G$102:$G$125,MATCH(LARGE(Matching_Engine!$BC$102:$BC$125,13),Matching_Engine!$BC$102:$BC$125,0)),"")</f>
      </c>
      <c r="E130" s="29">
        <f>IFERROR(INDEX(Matching_Engine!$AY$102:$AY$125,MATCH(LARGE(Matching_Engine!$BC$102:$BC$125,13),Matching_Engine!$BC$102:$BC$125,0)),"N/A")</f>
      </c>
      <c r="F130" s="11">
        <f>IFERROR(INDEX(Matching_Engine!$AZ$102:$AZ$125,MATCH(LARGE(Matching_Engine!$BC$102:$BC$125,13),Matching_Engine!$BC$102:$BC$125,0)),"")</f>
      </c>
      <c r="G130" s="11">
        <f>IFERROR(INDEX(Matching_Engine!$BB$102:$BB$125,MATCH(LARGE(Matching_Engine!$BC$102:$BC$125,13),Matching_Engine!$BC$102:$BC$125,0)),"")</f>
      </c>
      <c r="H130" s="11">
        <f>IFERROR(INDEX(Match_Explanation!$G$6:$G$125,MATCH("BR-05|"&amp;INDEX(Matching_Engine!$C$102:$C$125,MATCH(LARGE(Matching_Engine!$BC$102:$BC$125,13),Matching_Engine!$BC$102:$BC$125,0)),Matching_Engine!$BG$6:$BG$125,0)),"")</f>
      </c>
    </row>
    <row r="131" spans="1:8" x14ac:dyDescent="0.25">
      <c r="A131" s="35">
        <v>14</v>
      </c>
      <c r="B131" s="11">
        <f>IFERROR(INDEX(Matching_Engine!$D$102:$D$125,MATCH(LARGE(Matching_Engine!$BC$102:$BC$125,14),Matching_Engine!$BC$102:$BC$125,0)),"")</f>
      </c>
      <c r="C131" s="11">
        <f>IFERROR(INDEX(Matching_Engine!$E$102:$E$125,MATCH(LARGE(Matching_Engine!$BC$102:$BC$125,14),Matching_Engine!$BC$102:$BC$125,0)),"")</f>
      </c>
      <c r="D131" s="11">
        <f>IFERROR(INDEX(Matching_Engine!$G$102:$G$125,MATCH(LARGE(Matching_Engine!$BC$102:$BC$125,14),Matching_Engine!$BC$102:$BC$125,0)),"")</f>
      </c>
      <c r="E131" s="29">
        <f>IFERROR(INDEX(Matching_Engine!$AY$102:$AY$125,MATCH(LARGE(Matching_Engine!$BC$102:$BC$125,14),Matching_Engine!$BC$102:$BC$125,0)),"N/A")</f>
      </c>
      <c r="F131" s="11">
        <f>IFERROR(INDEX(Matching_Engine!$AZ$102:$AZ$125,MATCH(LARGE(Matching_Engine!$BC$102:$BC$125,14),Matching_Engine!$BC$102:$BC$125,0)),"")</f>
      </c>
      <c r="G131" s="11">
        <f>IFERROR(INDEX(Matching_Engine!$BB$102:$BB$125,MATCH(LARGE(Matching_Engine!$BC$102:$BC$125,14),Matching_Engine!$BC$102:$BC$125,0)),"")</f>
      </c>
      <c r="H131" s="11">
        <f>IFERROR(INDEX(Match_Explanation!$G$6:$G$125,MATCH("BR-05|"&amp;INDEX(Matching_Engine!$C$102:$C$125,MATCH(LARGE(Matching_Engine!$BC$102:$BC$125,14),Matching_Engine!$BC$102:$BC$125,0)),Matching_Engine!$BG$6:$BG$125,0)),"")</f>
      </c>
    </row>
    <row r="132" spans="1:8" x14ac:dyDescent="0.25">
      <c r="A132" s="35">
        <v>15</v>
      </c>
      <c r="B132" s="11">
        <f>IFERROR(INDEX(Matching_Engine!$D$102:$D$125,MATCH(LARGE(Matching_Engine!$BC$102:$BC$125,15),Matching_Engine!$BC$102:$BC$125,0)),"")</f>
      </c>
      <c r="C132" s="11">
        <f>IFERROR(INDEX(Matching_Engine!$E$102:$E$125,MATCH(LARGE(Matching_Engine!$BC$102:$BC$125,15),Matching_Engine!$BC$102:$BC$125,0)),"")</f>
      </c>
      <c r="D132" s="11">
        <f>IFERROR(INDEX(Matching_Engine!$G$102:$G$125,MATCH(LARGE(Matching_Engine!$BC$102:$BC$125,15),Matching_Engine!$BC$102:$BC$125,0)),"")</f>
      </c>
      <c r="E132" s="29">
        <f>IFERROR(INDEX(Matching_Engine!$AY$102:$AY$125,MATCH(LARGE(Matching_Engine!$BC$102:$BC$125,15),Matching_Engine!$BC$102:$BC$125,0)),"N/A")</f>
      </c>
      <c r="F132" s="11">
        <f>IFERROR(INDEX(Matching_Engine!$AZ$102:$AZ$125,MATCH(LARGE(Matching_Engine!$BC$102:$BC$125,15),Matching_Engine!$BC$102:$BC$125,0)),"")</f>
      </c>
      <c r="G132" s="11">
        <f>IFERROR(INDEX(Matching_Engine!$BB$102:$BB$125,MATCH(LARGE(Matching_Engine!$BC$102:$BC$125,15),Matching_Engine!$BC$102:$BC$125,0)),"")</f>
      </c>
      <c r="H132" s="11">
        <f>IFERROR(INDEX(Match_Explanation!$G$6:$G$125,MATCH("BR-05|"&amp;INDEX(Matching_Engine!$C$102:$C$125,MATCH(LARGE(Matching_Engine!$BC$102:$BC$125,15),Matching_Engine!$BC$102:$BC$125,0)),Matching_Engine!$BG$6:$BG$125,0)),"")</f>
      </c>
    </row>
    <row r="133" spans="1:8" x14ac:dyDescent="0.25">
      <c r="A133" s="35">
        <v>16</v>
      </c>
      <c r="B133" s="11">
        <f>IFERROR(INDEX(Matching_Engine!$D$102:$D$125,MATCH(LARGE(Matching_Engine!$BC$102:$BC$125,16),Matching_Engine!$BC$102:$BC$125,0)),"")</f>
      </c>
      <c r="C133" s="11">
        <f>IFERROR(INDEX(Matching_Engine!$E$102:$E$125,MATCH(LARGE(Matching_Engine!$BC$102:$BC$125,16),Matching_Engine!$BC$102:$BC$125,0)),"")</f>
      </c>
      <c r="D133" s="11">
        <f>IFERROR(INDEX(Matching_Engine!$G$102:$G$125,MATCH(LARGE(Matching_Engine!$BC$102:$BC$125,16),Matching_Engine!$BC$102:$BC$125,0)),"")</f>
      </c>
      <c r="E133" s="29">
        <f>IFERROR(INDEX(Matching_Engine!$AY$102:$AY$125,MATCH(LARGE(Matching_Engine!$BC$102:$BC$125,16),Matching_Engine!$BC$102:$BC$125,0)),"N/A")</f>
      </c>
      <c r="F133" s="11">
        <f>IFERROR(INDEX(Matching_Engine!$AZ$102:$AZ$125,MATCH(LARGE(Matching_Engine!$BC$102:$BC$125,16),Matching_Engine!$BC$102:$BC$125,0)),"")</f>
      </c>
      <c r="G133" s="11">
        <f>IFERROR(INDEX(Matching_Engine!$BB$102:$BB$125,MATCH(LARGE(Matching_Engine!$BC$102:$BC$125,16),Matching_Engine!$BC$102:$BC$125,0)),"")</f>
      </c>
      <c r="H133" s="11">
        <f>IFERROR(INDEX(Match_Explanation!$G$6:$G$125,MATCH("BR-05|"&amp;INDEX(Matching_Engine!$C$102:$C$125,MATCH(LARGE(Matching_Engine!$BC$102:$BC$125,16),Matching_Engine!$BC$102:$BC$125,0)),Matching_Engine!$BG$6:$BG$125,0)),"")</f>
      </c>
    </row>
    <row r="134" spans="1:8" x14ac:dyDescent="0.25">
      <c r="A134" s="35">
        <v>17</v>
      </c>
      <c r="B134" s="11">
        <f>IFERROR(INDEX(Matching_Engine!$D$102:$D$125,MATCH(LARGE(Matching_Engine!$BC$102:$BC$125,17),Matching_Engine!$BC$102:$BC$125,0)),"")</f>
      </c>
      <c r="C134" s="11">
        <f>IFERROR(INDEX(Matching_Engine!$E$102:$E$125,MATCH(LARGE(Matching_Engine!$BC$102:$BC$125,17),Matching_Engine!$BC$102:$BC$125,0)),"")</f>
      </c>
      <c r="D134" s="11">
        <f>IFERROR(INDEX(Matching_Engine!$G$102:$G$125,MATCH(LARGE(Matching_Engine!$BC$102:$BC$125,17),Matching_Engine!$BC$102:$BC$125,0)),"")</f>
      </c>
      <c r="E134" s="29">
        <f>IFERROR(INDEX(Matching_Engine!$AY$102:$AY$125,MATCH(LARGE(Matching_Engine!$BC$102:$BC$125,17),Matching_Engine!$BC$102:$BC$125,0)),"N/A")</f>
      </c>
      <c r="F134" s="11">
        <f>IFERROR(INDEX(Matching_Engine!$AZ$102:$AZ$125,MATCH(LARGE(Matching_Engine!$BC$102:$BC$125,17),Matching_Engine!$BC$102:$BC$125,0)),"")</f>
      </c>
      <c r="G134" s="11">
        <f>IFERROR(INDEX(Matching_Engine!$BB$102:$BB$125,MATCH(LARGE(Matching_Engine!$BC$102:$BC$125,17),Matching_Engine!$BC$102:$BC$125,0)),"")</f>
      </c>
      <c r="H134" s="11">
        <f>IFERROR(INDEX(Match_Explanation!$G$6:$G$125,MATCH("BR-05|"&amp;INDEX(Matching_Engine!$C$102:$C$125,MATCH(LARGE(Matching_Engine!$BC$102:$BC$125,17),Matching_Engine!$BC$102:$BC$125,0)),Matching_Engine!$BG$6:$BG$125,0)),"")</f>
      </c>
    </row>
    <row r="135" spans="1:8" x14ac:dyDescent="0.25">
      <c r="A135" s="35">
        <v>18</v>
      </c>
      <c r="B135" s="11">
        <f>IFERROR(INDEX(Matching_Engine!$D$102:$D$125,MATCH(LARGE(Matching_Engine!$BC$102:$BC$125,18),Matching_Engine!$BC$102:$BC$125,0)),"")</f>
      </c>
      <c r="C135" s="11">
        <f>IFERROR(INDEX(Matching_Engine!$E$102:$E$125,MATCH(LARGE(Matching_Engine!$BC$102:$BC$125,18),Matching_Engine!$BC$102:$BC$125,0)),"")</f>
      </c>
      <c r="D135" s="11">
        <f>IFERROR(INDEX(Matching_Engine!$G$102:$G$125,MATCH(LARGE(Matching_Engine!$BC$102:$BC$125,18),Matching_Engine!$BC$102:$BC$125,0)),"")</f>
      </c>
      <c r="E135" s="29">
        <f>IFERROR(INDEX(Matching_Engine!$AY$102:$AY$125,MATCH(LARGE(Matching_Engine!$BC$102:$BC$125,18),Matching_Engine!$BC$102:$BC$125,0)),"N/A")</f>
      </c>
      <c r="F135" s="11">
        <f>IFERROR(INDEX(Matching_Engine!$AZ$102:$AZ$125,MATCH(LARGE(Matching_Engine!$BC$102:$BC$125,18),Matching_Engine!$BC$102:$BC$125,0)),"")</f>
      </c>
      <c r="G135" s="11">
        <f>IFERROR(INDEX(Matching_Engine!$BB$102:$BB$125,MATCH(LARGE(Matching_Engine!$BC$102:$BC$125,18),Matching_Engine!$BC$102:$BC$125,0)),"")</f>
      </c>
      <c r="H135" s="11">
        <f>IFERROR(INDEX(Match_Explanation!$G$6:$G$125,MATCH("BR-05|"&amp;INDEX(Matching_Engine!$C$102:$C$125,MATCH(LARGE(Matching_Engine!$BC$102:$BC$125,18),Matching_Engine!$BC$102:$BC$125,0)),Matching_Engine!$BG$6:$BG$125,0)),"")</f>
      </c>
    </row>
    <row r="136" spans="1:8" x14ac:dyDescent="0.25">
      <c r="A136" s="35">
        <v>19</v>
      </c>
      <c r="B136" s="11">
        <f>IFERROR(INDEX(Matching_Engine!$D$102:$D$125,MATCH(LARGE(Matching_Engine!$BC$102:$BC$125,19),Matching_Engine!$BC$102:$BC$125,0)),"")</f>
      </c>
      <c r="C136" s="11">
        <f>IFERROR(INDEX(Matching_Engine!$E$102:$E$125,MATCH(LARGE(Matching_Engine!$BC$102:$BC$125,19),Matching_Engine!$BC$102:$BC$125,0)),"")</f>
      </c>
      <c r="D136" s="11">
        <f>IFERROR(INDEX(Matching_Engine!$G$102:$G$125,MATCH(LARGE(Matching_Engine!$BC$102:$BC$125,19),Matching_Engine!$BC$102:$BC$125,0)),"")</f>
      </c>
      <c r="E136" s="29">
        <f>IFERROR(INDEX(Matching_Engine!$AY$102:$AY$125,MATCH(LARGE(Matching_Engine!$BC$102:$BC$125,19),Matching_Engine!$BC$102:$BC$125,0)),"N/A")</f>
      </c>
      <c r="F136" s="11">
        <f>IFERROR(INDEX(Matching_Engine!$AZ$102:$AZ$125,MATCH(LARGE(Matching_Engine!$BC$102:$BC$125,19),Matching_Engine!$BC$102:$BC$125,0)),"")</f>
      </c>
      <c r="G136" s="11">
        <f>IFERROR(INDEX(Matching_Engine!$BB$102:$BB$125,MATCH(LARGE(Matching_Engine!$BC$102:$BC$125,19),Matching_Engine!$BC$102:$BC$125,0)),"")</f>
      </c>
      <c r="H136" s="11">
        <f>IFERROR(INDEX(Match_Explanation!$G$6:$G$125,MATCH("BR-05|"&amp;INDEX(Matching_Engine!$C$102:$C$125,MATCH(LARGE(Matching_Engine!$BC$102:$BC$125,19),Matching_Engine!$BC$102:$BC$125,0)),Matching_Engine!$BG$6:$BG$125,0)),"")</f>
      </c>
    </row>
    <row r="137" spans="1:8" x14ac:dyDescent="0.25">
      <c r="A137" s="35">
        <v>20</v>
      </c>
      <c r="B137" s="11">
        <f>IFERROR(INDEX(Matching_Engine!$D$102:$D$125,MATCH(LARGE(Matching_Engine!$BC$102:$BC$125,20),Matching_Engine!$BC$102:$BC$125,0)),"")</f>
      </c>
      <c r="C137" s="11">
        <f>IFERROR(INDEX(Matching_Engine!$E$102:$E$125,MATCH(LARGE(Matching_Engine!$BC$102:$BC$125,20),Matching_Engine!$BC$102:$BC$125,0)),"")</f>
      </c>
      <c r="D137" s="11">
        <f>IFERROR(INDEX(Matching_Engine!$G$102:$G$125,MATCH(LARGE(Matching_Engine!$BC$102:$BC$125,20),Matching_Engine!$BC$102:$BC$125,0)),"")</f>
      </c>
      <c r="E137" s="29">
        <f>IFERROR(INDEX(Matching_Engine!$AY$102:$AY$125,MATCH(LARGE(Matching_Engine!$BC$102:$BC$125,20),Matching_Engine!$BC$102:$BC$125,0)),"N/A")</f>
      </c>
      <c r="F137" s="11">
        <f>IFERROR(INDEX(Matching_Engine!$AZ$102:$AZ$125,MATCH(LARGE(Matching_Engine!$BC$102:$BC$125,20),Matching_Engine!$BC$102:$BC$125,0)),"")</f>
      </c>
      <c r="G137" s="11">
        <f>IFERROR(INDEX(Matching_Engine!$BB$102:$BB$125,MATCH(LARGE(Matching_Engine!$BC$102:$BC$125,20),Matching_Engine!$BC$102:$BC$125,0)),"")</f>
      </c>
      <c r="H137" s="11">
        <f>IFERROR(INDEX(Match_Explanation!$G$6:$G$125,MATCH("BR-05|"&amp;INDEX(Matching_Engine!$C$102:$C$125,MATCH(LARGE(Matching_Engine!$BC$102:$BC$125,20),Matching_Engine!$BC$102:$BC$125,0)),Matching_Engine!$BG$6:$BG$125,0)),"")</f>
      </c>
    </row>
    <row r="138" spans="1:8" x14ac:dyDescent="0.25">
      <c r="A138" s="35">
        <v>21</v>
      </c>
      <c r="B138" s="11">
        <f>IFERROR(INDEX(Matching_Engine!$D$102:$D$125,MATCH(LARGE(Matching_Engine!$BC$102:$BC$125,21),Matching_Engine!$BC$102:$BC$125,0)),"")</f>
      </c>
      <c r="C138" s="11">
        <f>IFERROR(INDEX(Matching_Engine!$E$102:$E$125,MATCH(LARGE(Matching_Engine!$BC$102:$BC$125,21),Matching_Engine!$BC$102:$BC$125,0)),"")</f>
      </c>
      <c r="D138" s="11">
        <f>IFERROR(INDEX(Matching_Engine!$G$102:$G$125,MATCH(LARGE(Matching_Engine!$BC$102:$BC$125,21),Matching_Engine!$BC$102:$BC$125,0)),"")</f>
      </c>
      <c r="E138" s="29">
        <f>IFERROR(INDEX(Matching_Engine!$AY$102:$AY$125,MATCH(LARGE(Matching_Engine!$BC$102:$BC$125,21),Matching_Engine!$BC$102:$BC$125,0)),"N/A")</f>
      </c>
      <c r="F138" s="11">
        <f>IFERROR(INDEX(Matching_Engine!$AZ$102:$AZ$125,MATCH(LARGE(Matching_Engine!$BC$102:$BC$125,21),Matching_Engine!$BC$102:$BC$125,0)),"")</f>
      </c>
      <c r="G138" s="11">
        <f>IFERROR(INDEX(Matching_Engine!$BB$102:$BB$125,MATCH(LARGE(Matching_Engine!$BC$102:$BC$125,21),Matching_Engine!$BC$102:$BC$125,0)),"")</f>
      </c>
      <c r="H138" s="11">
        <f>IFERROR(INDEX(Match_Explanation!$G$6:$G$125,MATCH("BR-05|"&amp;INDEX(Matching_Engine!$C$102:$C$125,MATCH(LARGE(Matching_Engine!$BC$102:$BC$125,21),Matching_Engine!$BC$102:$BC$125,0)),Matching_Engine!$BG$6:$BG$125,0)),"")</f>
      </c>
    </row>
    <row r="139" spans="1:8" x14ac:dyDescent="0.25">
      <c r="A139" s="35">
        <v>22</v>
      </c>
      <c r="B139" s="11">
        <f>IFERROR(INDEX(Matching_Engine!$D$102:$D$125,MATCH(LARGE(Matching_Engine!$BC$102:$BC$125,22),Matching_Engine!$BC$102:$BC$125,0)),"")</f>
      </c>
      <c r="C139" s="11">
        <f>IFERROR(INDEX(Matching_Engine!$E$102:$E$125,MATCH(LARGE(Matching_Engine!$BC$102:$BC$125,22),Matching_Engine!$BC$102:$BC$125,0)),"")</f>
      </c>
      <c r="D139" s="11">
        <f>IFERROR(INDEX(Matching_Engine!$G$102:$G$125,MATCH(LARGE(Matching_Engine!$BC$102:$BC$125,22),Matching_Engine!$BC$102:$BC$125,0)),"")</f>
      </c>
      <c r="E139" s="29">
        <f>IFERROR(INDEX(Matching_Engine!$AY$102:$AY$125,MATCH(LARGE(Matching_Engine!$BC$102:$BC$125,22),Matching_Engine!$BC$102:$BC$125,0)),"N/A")</f>
      </c>
      <c r="F139" s="11">
        <f>IFERROR(INDEX(Matching_Engine!$AZ$102:$AZ$125,MATCH(LARGE(Matching_Engine!$BC$102:$BC$125,22),Matching_Engine!$BC$102:$BC$125,0)),"")</f>
      </c>
      <c r="G139" s="11">
        <f>IFERROR(INDEX(Matching_Engine!$BB$102:$BB$125,MATCH(LARGE(Matching_Engine!$BC$102:$BC$125,22),Matching_Engine!$BC$102:$BC$125,0)),"")</f>
      </c>
      <c r="H139" s="11">
        <f>IFERROR(INDEX(Match_Explanation!$G$6:$G$125,MATCH("BR-05|"&amp;INDEX(Matching_Engine!$C$102:$C$125,MATCH(LARGE(Matching_Engine!$BC$102:$BC$125,22),Matching_Engine!$BC$102:$BC$125,0)),Matching_Engine!$BG$6:$BG$125,0)),"")</f>
      </c>
    </row>
    <row r="140" spans="1:8" x14ac:dyDescent="0.25">
      <c r="A140" s="35">
        <v>23</v>
      </c>
      <c r="B140" s="11">
        <f>IFERROR(INDEX(Matching_Engine!$D$102:$D$125,MATCH(LARGE(Matching_Engine!$BC$102:$BC$125,23),Matching_Engine!$BC$102:$BC$125,0)),"")</f>
      </c>
      <c r="C140" s="11">
        <f>IFERROR(INDEX(Matching_Engine!$E$102:$E$125,MATCH(LARGE(Matching_Engine!$BC$102:$BC$125,23),Matching_Engine!$BC$102:$BC$125,0)),"")</f>
      </c>
      <c r="D140" s="11">
        <f>IFERROR(INDEX(Matching_Engine!$G$102:$G$125,MATCH(LARGE(Matching_Engine!$BC$102:$BC$125,23),Matching_Engine!$BC$102:$BC$125,0)),"")</f>
      </c>
      <c r="E140" s="29">
        <f>IFERROR(INDEX(Matching_Engine!$AY$102:$AY$125,MATCH(LARGE(Matching_Engine!$BC$102:$BC$125,23),Matching_Engine!$BC$102:$BC$125,0)),"N/A")</f>
      </c>
      <c r="F140" s="11">
        <f>IFERROR(INDEX(Matching_Engine!$AZ$102:$AZ$125,MATCH(LARGE(Matching_Engine!$BC$102:$BC$125,23),Matching_Engine!$BC$102:$BC$125,0)),"")</f>
      </c>
      <c r="G140" s="11">
        <f>IFERROR(INDEX(Matching_Engine!$BB$102:$BB$125,MATCH(LARGE(Matching_Engine!$BC$102:$BC$125,23),Matching_Engine!$BC$102:$BC$125,0)),"")</f>
      </c>
      <c r="H140" s="11">
        <f>IFERROR(INDEX(Match_Explanation!$G$6:$G$125,MATCH("BR-05|"&amp;INDEX(Matching_Engine!$C$102:$C$125,MATCH(LARGE(Matching_Engine!$BC$102:$BC$125,23),Matching_Engine!$BC$102:$BC$125,0)),Matching_Engine!$BG$6:$BG$125,0)),"")</f>
      </c>
    </row>
    <row r="141" spans="1:8" x14ac:dyDescent="0.25">
      <c r="A141" s="35">
        <v>24</v>
      </c>
      <c r="B141" s="11">
        <f>IFERROR(INDEX(Matching_Engine!$D$102:$D$125,MATCH(LARGE(Matching_Engine!$BC$102:$BC$125,24),Matching_Engine!$BC$102:$BC$125,0)),"")</f>
      </c>
      <c r="C141" s="11">
        <f>IFERROR(INDEX(Matching_Engine!$E$102:$E$125,MATCH(LARGE(Matching_Engine!$BC$102:$BC$125,24),Matching_Engine!$BC$102:$BC$125,0)),"")</f>
      </c>
      <c r="D141" s="11">
        <f>IFERROR(INDEX(Matching_Engine!$G$102:$G$125,MATCH(LARGE(Matching_Engine!$BC$102:$BC$125,24),Matching_Engine!$BC$102:$BC$125,0)),"")</f>
      </c>
      <c r="E141" s="29">
        <f>IFERROR(INDEX(Matching_Engine!$AY$102:$AY$125,MATCH(LARGE(Matching_Engine!$BC$102:$BC$125,24),Matching_Engine!$BC$102:$BC$125,0)),"N/A")</f>
      </c>
      <c r="F141" s="11">
        <f>IFERROR(INDEX(Matching_Engine!$AZ$102:$AZ$125,MATCH(LARGE(Matching_Engine!$BC$102:$BC$125,24),Matching_Engine!$BC$102:$BC$125,0)),"")</f>
      </c>
      <c r="G141" s="11">
        <f>IFERROR(INDEX(Matching_Engine!$BB$102:$BB$125,MATCH(LARGE(Matching_Engine!$BC$102:$BC$125,24),Matching_Engine!$BC$102:$BC$125,0)),"")</f>
      </c>
      <c r="H141" s="11">
        <f>IFERROR(INDEX(Match_Explanation!$G$6:$G$125,MATCH("BR-05|"&amp;INDEX(Matching_Engine!$C$102:$C$125,MATCH(LARGE(Matching_Engine!$BC$102:$BC$125,24),Matching_Engine!$BC$102:$BC$125,0)),Matching_Engine!$BG$6:$BG$125,0)),"")</f>
      </c>
    </row>
  </sheetData>
  <mergeCells count="7">
    <mergeCell ref="A1:H1"/>
    <mergeCell ref="A2:H2"/>
    <mergeCell ref="A4:H4"/>
    <mergeCell ref="A32:H32"/>
    <mergeCell ref="A60:H60"/>
    <mergeCell ref="A88:H88"/>
    <mergeCell ref="A116:H116"/>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workbookViewId="0">
      <pane ySplit="4" topLeftCell="A5" activePane="bottomLeft" state="frozen"/>
      <selection pane="bottomLeft"/>
    </sheetView>
  </sheetViews>
  <sheetFormatPr defaultRowHeight="15" outlineLevelRow="0" outlineLevelCol="0" x14ac:dyDescent="55"/>
  <cols>
    <col min="1" max="1" width="11" customWidth="1"/>
    <col min="2" max="2" width="5" customWidth="1"/>
    <col min="3" max="3" width="22" customWidth="1"/>
    <col min="5" max="5" width="74" customWidth="1"/>
    <col min="6" max="7" width="30" customWidth="1"/>
  </cols>
  <sheetData>
    <row r="1" ht="24" customHeight="1" spans="1:7" x14ac:dyDescent="0.25">
      <c r="A1" s="1" t="s">
        <v>719</v>
      </c>
      <c r="B1" s="1"/>
      <c r="C1" s="1"/>
      <c r="D1" s="1"/>
      <c r="E1" s="1"/>
      <c r="F1" s="1"/>
      <c r="G1" s="1"/>
    </row>
    <row r="2" ht="30" customHeight="1" spans="1:7" x14ac:dyDescent="0.25">
      <c r="A2" s="2" t="s">
        <v>720</v>
      </c>
      <c r="B2" s="2"/>
      <c r="C2" s="2"/>
      <c r="D2" s="2"/>
      <c r="E2" s="2"/>
      <c r="F2" s="2"/>
      <c r="G2" s="2"/>
    </row>
    <row r="4" ht="18" customHeight="1" spans="1:7" x14ac:dyDescent="0.25">
      <c r="A4" s="3" t="s">
        <v>721</v>
      </c>
      <c r="B4" s="3"/>
      <c r="C4" s="3"/>
      <c r="D4" s="3"/>
      <c r="E4" s="3"/>
      <c r="F4" s="3"/>
      <c r="G4" s="3"/>
    </row>
    <row r="5" ht="24" customHeight="1" spans="1:7" x14ac:dyDescent="0.25">
      <c r="A5" s="6" t="s">
        <v>722</v>
      </c>
      <c r="B5" s="6" t="s">
        <v>714</v>
      </c>
      <c r="C5" s="6" t="s">
        <v>627</v>
      </c>
      <c r="D5" s="6" t="s">
        <v>723</v>
      </c>
      <c r="E5" s="6" t="s">
        <v>724</v>
      </c>
      <c r="F5" s="6" t="s">
        <v>725</v>
      </c>
      <c r="G5" s="6" t="s">
        <v>726</v>
      </c>
    </row>
    <row r="6" spans="1:7" x14ac:dyDescent="0.25">
      <c r="A6" s="36" t="s">
        <v>727</v>
      </c>
      <c r="B6" s="35">
        <v>1</v>
      </c>
      <c r="C6" s="37">
        <f>Brand_Ranking!$B$6</f>
      </c>
      <c r="D6" s="38">
        <f>Brand_Ranking!$E$6</f>
      </c>
      <c r="E6" s="32">
        <f>IFERROR(INDEX(Match_Explanation!$F$6:$F$125,MATCH("BR-01|"&amp;INDEX(Matching_Engine!$C$6:$C$29,MATCH(LARGE(Matching_Engine!$BC$6:$BC$29,1),Matching_Engine!$BC$6:$BC$29,0)),Matching_Engine!$BG$6:$BG$125,0)),"")</f>
      </c>
      <c r="F6" s="32">
        <f>IFERROR(INDEX(Match_Explanation!$G$6:$G$125,MATCH("BR-01|"&amp;INDEX(Matching_Engine!$C$6:$C$29,MATCH(LARGE(Matching_Engine!$BC$6:$BC$29,1),Matching_Engine!$BC$6:$BC$29,0)),Matching_Engine!$BG$6:$BG$125,0)),"")</f>
      </c>
      <c r="G6" s="32">
        <f>IFERROR(INDEX(Match_Explanation!$H$6:$H$125,MATCH("BR-01|"&amp;INDEX(Matching_Engine!$C$6:$C$29,MATCH(LARGE(Matching_Engine!$BC$6:$BC$29,1),Matching_Engine!$BC$6:$BC$29,0)),Matching_Engine!$BG$6:$BG$125,0)),"")</f>
      </c>
    </row>
    <row r="7" spans="1:7" x14ac:dyDescent="0.25">
      <c r="A7" s="36" t="s">
        <v>727</v>
      </c>
      <c r="B7" s="35">
        <v>2</v>
      </c>
      <c r="C7" s="37">
        <f>Brand_Ranking!$B$7</f>
      </c>
      <c r="D7" s="38">
        <f>Brand_Ranking!$E$7</f>
      </c>
      <c r="E7" s="32">
        <f>IFERROR(INDEX(Match_Explanation!$F$6:$F$125,MATCH("BR-01|"&amp;INDEX(Matching_Engine!$C$6:$C$29,MATCH(LARGE(Matching_Engine!$BC$6:$BC$29,2),Matching_Engine!$BC$6:$BC$29,0)),Matching_Engine!$BG$6:$BG$125,0)),"")</f>
      </c>
      <c r="F7" s="32">
        <f>IFERROR(INDEX(Match_Explanation!$G$6:$G$125,MATCH("BR-01|"&amp;INDEX(Matching_Engine!$C$6:$C$29,MATCH(LARGE(Matching_Engine!$BC$6:$BC$29,2),Matching_Engine!$BC$6:$BC$29,0)),Matching_Engine!$BG$6:$BG$125,0)),"")</f>
      </c>
      <c r="G7" s="32">
        <f>IFERROR(INDEX(Match_Explanation!$H$6:$H$125,MATCH("BR-01|"&amp;INDEX(Matching_Engine!$C$6:$C$29,MATCH(LARGE(Matching_Engine!$BC$6:$BC$29,2),Matching_Engine!$BC$6:$BC$29,0)),Matching_Engine!$BG$6:$BG$125,0)),"")</f>
      </c>
    </row>
    <row r="8" spans="1:7" x14ac:dyDescent="0.25">
      <c r="A8" s="36" t="s">
        <v>727</v>
      </c>
      <c r="B8" s="35">
        <v>3</v>
      </c>
      <c r="C8" s="37">
        <f>Brand_Ranking!$B$8</f>
      </c>
      <c r="D8" s="38">
        <f>Brand_Ranking!$E$8</f>
      </c>
      <c r="E8" s="32">
        <f>IFERROR(INDEX(Match_Explanation!$F$6:$F$125,MATCH("BR-01|"&amp;INDEX(Matching_Engine!$C$6:$C$29,MATCH(LARGE(Matching_Engine!$BC$6:$BC$29,3),Matching_Engine!$BC$6:$BC$29,0)),Matching_Engine!$BG$6:$BG$125,0)),"")</f>
      </c>
      <c r="F8" s="32">
        <f>IFERROR(INDEX(Match_Explanation!$G$6:$G$125,MATCH("BR-01|"&amp;INDEX(Matching_Engine!$C$6:$C$29,MATCH(LARGE(Matching_Engine!$BC$6:$BC$29,3),Matching_Engine!$BC$6:$BC$29,0)),Matching_Engine!$BG$6:$BG$125,0)),"")</f>
      </c>
      <c r="G8" s="32">
        <f>IFERROR(INDEX(Match_Explanation!$H$6:$H$125,MATCH("BR-01|"&amp;INDEX(Matching_Engine!$C$6:$C$29,MATCH(LARGE(Matching_Engine!$BC$6:$BC$29,3),Matching_Engine!$BC$6:$BC$29,0)),Matching_Engine!$BG$6:$BG$125,0)),"")</f>
      </c>
    </row>
    <row r="9" spans="1:7" x14ac:dyDescent="0.25">
      <c r="A9" s="36" t="s">
        <v>727</v>
      </c>
      <c r="B9" s="35">
        <v>4</v>
      </c>
      <c r="C9" s="37">
        <f>Brand_Ranking!$B$9</f>
      </c>
      <c r="D9" s="38">
        <f>Brand_Ranking!$E$9</f>
      </c>
      <c r="E9" s="32">
        <f>IFERROR(INDEX(Match_Explanation!$F$6:$F$125,MATCH("BR-01|"&amp;INDEX(Matching_Engine!$C$6:$C$29,MATCH(LARGE(Matching_Engine!$BC$6:$BC$29,4),Matching_Engine!$BC$6:$BC$29,0)),Matching_Engine!$BG$6:$BG$125,0)),"")</f>
      </c>
      <c r="F9" s="32">
        <f>IFERROR(INDEX(Match_Explanation!$G$6:$G$125,MATCH("BR-01|"&amp;INDEX(Matching_Engine!$C$6:$C$29,MATCH(LARGE(Matching_Engine!$BC$6:$BC$29,4),Matching_Engine!$BC$6:$BC$29,0)),Matching_Engine!$BG$6:$BG$125,0)),"")</f>
      </c>
      <c r="G9" s="32">
        <f>IFERROR(INDEX(Match_Explanation!$H$6:$H$125,MATCH("BR-01|"&amp;INDEX(Matching_Engine!$C$6:$C$29,MATCH(LARGE(Matching_Engine!$BC$6:$BC$29,4),Matching_Engine!$BC$6:$BC$29,0)),Matching_Engine!$BG$6:$BG$125,0)),"")</f>
      </c>
    </row>
    <row r="10" spans="1:7" x14ac:dyDescent="0.25">
      <c r="A10" s="36" t="s">
        <v>727</v>
      </c>
      <c r="B10" s="35">
        <v>5</v>
      </c>
      <c r="C10" s="37">
        <f>Brand_Ranking!$B$10</f>
      </c>
      <c r="D10" s="38">
        <f>Brand_Ranking!$E$10</f>
      </c>
      <c r="E10" s="32">
        <f>IFERROR(INDEX(Match_Explanation!$F$6:$F$125,MATCH("BR-01|"&amp;INDEX(Matching_Engine!$C$6:$C$29,MATCH(LARGE(Matching_Engine!$BC$6:$BC$29,5),Matching_Engine!$BC$6:$BC$29,0)),Matching_Engine!$BG$6:$BG$125,0)),"")</f>
      </c>
      <c r="F10" s="32">
        <f>IFERROR(INDEX(Match_Explanation!$G$6:$G$125,MATCH("BR-01|"&amp;INDEX(Matching_Engine!$C$6:$C$29,MATCH(LARGE(Matching_Engine!$BC$6:$BC$29,5),Matching_Engine!$BC$6:$BC$29,0)),Matching_Engine!$BG$6:$BG$125,0)),"")</f>
      </c>
      <c r="G10" s="32">
        <f>IFERROR(INDEX(Match_Explanation!$H$6:$H$125,MATCH("BR-01|"&amp;INDEX(Matching_Engine!$C$6:$C$29,MATCH(LARGE(Matching_Engine!$BC$6:$BC$29,5),Matching_Engine!$BC$6:$BC$29,0)),Matching_Engine!$BG$6:$BG$125,0)),"")</f>
      </c>
    </row>
    <row r="11" spans="1:7" x14ac:dyDescent="0.25">
      <c r="A11" s="36" t="s">
        <v>728</v>
      </c>
      <c r="B11" s="35">
        <v>20</v>
      </c>
      <c r="C11" s="37">
        <f>Brand_Ranking!$B$25</f>
      </c>
      <c r="D11" s="38">
        <f>Brand_Ranking!$E$25</f>
      </c>
      <c r="E11" s="32">
        <f>IFERROR(INDEX(Match_Explanation!$F$6:$F$125,MATCH("BR-01|"&amp;INDEX(Matching_Engine!$C$6:$C$29,MATCH(LARGE(Matching_Engine!$BC$6:$BC$29,20),Matching_Engine!$BC$6:$BC$29,0)),Matching_Engine!$BG$6:$BG$125,0)),"")</f>
      </c>
      <c r="F11" s="32">
        <f>IFERROR(INDEX(Match_Explanation!$G$6:$G$125,MATCH("BR-01|"&amp;INDEX(Matching_Engine!$C$6:$C$29,MATCH(LARGE(Matching_Engine!$BC$6:$BC$29,20),Matching_Engine!$BC$6:$BC$29,0)),Matching_Engine!$BG$6:$BG$125,0)),"")</f>
      </c>
      <c r="G11" s="32">
        <f>IFERROR(INDEX(Match_Explanation!$H$6:$H$125,MATCH("BR-01|"&amp;INDEX(Matching_Engine!$C$6:$C$29,MATCH(LARGE(Matching_Engine!$BC$6:$BC$29,20),Matching_Engine!$BC$6:$BC$29,0)),Matching_Engine!$BG$6:$BG$125,0)),"")</f>
      </c>
    </row>
    <row r="12" spans="1:7" x14ac:dyDescent="0.25">
      <c r="A12" s="36" t="s">
        <v>728</v>
      </c>
      <c r="B12" s="35">
        <v>21</v>
      </c>
      <c r="C12" s="37">
        <f>Brand_Ranking!$B$26</f>
      </c>
      <c r="D12" s="38">
        <f>Brand_Ranking!$E$26</f>
      </c>
      <c r="E12" s="32">
        <f>IFERROR(INDEX(Match_Explanation!$F$6:$F$125,MATCH("BR-01|"&amp;INDEX(Matching_Engine!$C$6:$C$29,MATCH(LARGE(Matching_Engine!$BC$6:$BC$29,21),Matching_Engine!$BC$6:$BC$29,0)),Matching_Engine!$BG$6:$BG$125,0)),"")</f>
      </c>
      <c r="F12" s="32">
        <f>IFERROR(INDEX(Match_Explanation!$G$6:$G$125,MATCH("BR-01|"&amp;INDEX(Matching_Engine!$C$6:$C$29,MATCH(LARGE(Matching_Engine!$BC$6:$BC$29,21),Matching_Engine!$BC$6:$BC$29,0)),Matching_Engine!$BG$6:$BG$125,0)),"")</f>
      </c>
      <c r="G12" s="32">
        <f>IFERROR(INDEX(Match_Explanation!$H$6:$H$125,MATCH("BR-01|"&amp;INDEX(Matching_Engine!$C$6:$C$29,MATCH(LARGE(Matching_Engine!$BC$6:$BC$29,21),Matching_Engine!$BC$6:$BC$29,0)),Matching_Engine!$BG$6:$BG$125,0)),"")</f>
      </c>
    </row>
    <row r="13" spans="1:7" x14ac:dyDescent="0.25">
      <c r="A13" s="36" t="s">
        <v>728</v>
      </c>
      <c r="B13" s="35">
        <v>22</v>
      </c>
      <c r="C13" s="37">
        <f>Brand_Ranking!$B$27</f>
      </c>
      <c r="D13" s="38">
        <f>Brand_Ranking!$E$27</f>
      </c>
      <c r="E13" s="32">
        <f>IFERROR(INDEX(Match_Explanation!$F$6:$F$125,MATCH("BR-01|"&amp;INDEX(Matching_Engine!$C$6:$C$29,MATCH(LARGE(Matching_Engine!$BC$6:$BC$29,22),Matching_Engine!$BC$6:$BC$29,0)),Matching_Engine!$BG$6:$BG$125,0)),"")</f>
      </c>
      <c r="F13" s="32">
        <f>IFERROR(INDEX(Match_Explanation!$G$6:$G$125,MATCH("BR-01|"&amp;INDEX(Matching_Engine!$C$6:$C$29,MATCH(LARGE(Matching_Engine!$BC$6:$BC$29,22),Matching_Engine!$BC$6:$BC$29,0)),Matching_Engine!$BG$6:$BG$125,0)),"")</f>
      </c>
      <c r="G13" s="32">
        <f>IFERROR(INDEX(Match_Explanation!$H$6:$H$125,MATCH("BR-01|"&amp;INDEX(Matching_Engine!$C$6:$C$29,MATCH(LARGE(Matching_Engine!$BC$6:$BC$29,22),Matching_Engine!$BC$6:$BC$29,0)),Matching_Engine!$BG$6:$BG$125,0)),"")</f>
      </c>
    </row>
    <row r="14" spans="1:7" x14ac:dyDescent="0.25">
      <c r="A14" s="36" t="s">
        <v>728</v>
      </c>
      <c r="B14" s="35">
        <v>23</v>
      </c>
      <c r="C14" s="37">
        <f>Brand_Ranking!$B$28</f>
      </c>
      <c r="D14" s="38">
        <f>Brand_Ranking!$E$28</f>
      </c>
      <c r="E14" s="32">
        <f>IFERROR(INDEX(Match_Explanation!$F$6:$F$125,MATCH("BR-01|"&amp;INDEX(Matching_Engine!$C$6:$C$29,MATCH(LARGE(Matching_Engine!$BC$6:$BC$29,23),Matching_Engine!$BC$6:$BC$29,0)),Matching_Engine!$BG$6:$BG$125,0)),"")</f>
      </c>
      <c r="F14" s="32">
        <f>IFERROR(INDEX(Match_Explanation!$G$6:$G$125,MATCH("BR-01|"&amp;INDEX(Matching_Engine!$C$6:$C$29,MATCH(LARGE(Matching_Engine!$BC$6:$BC$29,23),Matching_Engine!$BC$6:$BC$29,0)),Matching_Engine!$BG$6:$BG$125,0)),"")</f>
      </c>
      <c r="G14" s="32">
        <f>IFERROR(INDEX(Match_Explanation!$H$6:$H$125,MATCH("BR-01|"&amp;INDEX(Matching_Engine!$C$6:$C$29,MATCH(LARGE(Matching_Engine!$BC$6:$BC$29,23),Matching_Engine!$BC$6:$BC$29,0)),Matching_Engine!$BG$6:$BG$125,0)),"")</f>
      </c>
    </row>
    <row r="15" spans="1:7" x14ac:dyDescent="0.25">
      <c r="A15" s="36" t="s">
        <v>728</v>
      </c>
      <c r="B15" s="35">
        <v>24</v>
      </c>
      <c r="C15" s="37">
        <f>Brand_Ranking!$B$29</f>
      </c>
      <c r="D15" s="38">
        <f>Brand_Ranking!$E$29</f>
      </c>
      <c r="E15" s="32">
        <f>IFERROR(INDEX(Match_Explanation!$F$6:$F$125,MATCH("BR-01|"&amp;INDEX(Matching_Engine!$C$6:$C$29,MATCH(LARGE(Matching_Engine!$BC$6:$BC$29,24),Matching_Engine!$BC$6:$BC$29,0)),Matching_Engine!$BG$6:$BG$125,0)),"")</f>
      </c>
      <c r="F15" s="32">
        <f>IFERROR(INDEX(Match_Explanation!$G$6:$G$125,MATCH("BR-01|"&amp;INDEX(Matching_Engine!$C$6:$C$29,MATCH(LARGE(Matching_Engine!$BC$6:$BC$29,24),Matching_Engine!$BC$6:$BC$29,0)),Matching_Engine!$BG$6:$BG$125,0)),"")</f>
      </c>
      <c r="G15" s="32">
        <f>IFERROR(INDEX(Match_Explanation!$H$6:$H$125,MATCH("BR-01|"&amp;INDEX(Matching_Engine!$C$6:$C$29,MATCH(LARGE(Matching_Engine!$BC$6:$BC$29,24),Matching_Engine!$BC$6:$BC$29,0)),Matching_Engine!$BG$6:$BG$125,0)),"")</f>
      </c>
    </row>
    <row r="18" ht="18" customHeight="1" spans="1:7" x14ac:dyDescent="0.25">
      <c r="A18" s="3" t="s">
        <v>729</v>
      </c>
      <c r="B18" s="3"/>
      <c r="C18" s="3"/>
      <c r="D18" s="3"/>
      <c r="E18" s="3"/>
      <c r="F18" s="3"/>
      <c r="G18" s="3"/>
    </row>
    <row r="19" ht="24" customHeight="1" spans="1:7" x14ac:dyDescent="0.25">
      <c r="A19" s="6" t="s">
        <v>722</v>
      </c>
      <c r="B19" s="6" t="s">
        <v>714</v>
      </c>
      <c r="C19" s="6" t="s">
        <v>627</v>
      </c>
      <c r="D19" s="6" t="s">
        <v>723</v>
      </c>
      <c r="E19" s="6" t="s">
        <v>724</v>
      </c>
      <c r="F19" s="6" t="s">
        <v>725</v>
      </c>
      <c r="G19" s="6" t="s">
        <v>726</v>
      </c>
    </row>
    <row r="20" spans="1:7" x14ac:dyDescent="0.25">
      <c r="A20" s="36" t="s">
        <v>727</v>
      </c>
      <c r="B20" s="35">
        <v>1</v>
      </c>
      <c r="C20" s="37">
        <f>Brand_Ranking!$B$33</f>
      </c>
      <c r="D20" s="38">
        <f>Brand_Ranking!$E$33</f>
      </c>
      <c r="E20" s="32">
        <f>IFERROR(INDEX(Match_Explanation!$F$6:$F$125,MATCH("BR-02|"&amp;INDEX(Matching_Engine!$C$30:$C$53,MATCH(LARGE(Matching_Engine!$BC$30:$BC$53,1),Matching_Engine!$BC$30:$BC$53,0)),Matching_Engine!$BG$6:$BG$125,0)),"")</f>
      </c>
      <c r="F20" s="32">
        <f>IFERROR(INDEX(Match_Explanation!$G$6:$G$125,MATCH("BR-02|"&amp;INDEX(Matching_Engine!$C$30:$C$53,MATCH(LARGE(Matching_Engine!$BC$30:$BC$53,1),Matching_Engine!$BC$30:$BC$53,0)),Matching_Engine!$BG$6:$BG$125,0)),"")</f>
      </c>
      <c r="G20" s="32">
        <f>IFERROR(INDEX(Match_Explanation!$H$6:$H$125,MATCH("BR-02|"&amp;INDEX(Matching_Engine!$C$30:$C$53,MATCH(LARGE(Matching_Engine!$BC$30:$BC$53,1),Matching_Engine!$BC$30:$BC$53,0)),Matching_Engine!$BG$6:$BG$125,0)),"")</f>
      </c>
    </row>
    <row r="21" spans="1:7" x14ac:dyDescent="0.25">
      <c r="A21" s="36" t="s">
        <v>727</v>
      </c>
      <c r="B21" s="35">
        <v>2</v>
      </c>
      <c r="C21" s="37">
        <f>Brand_Ranking!$B$34</f>
      </c>
      <c r="D21" s="38">
        <f>Brand_Ranking!$E$34</f>
      </c>
      <c r="E21" s="32">
        <f>IFERROR(INDEX(Match_Explanation!$F$6:$F$125,MATCH("BR-02|"&amp;INDEX(Matching_Engine!$C$30:$C$53,MATCH(LARGE(Matching_Engine!$BC$30:$BC$53,2),Matching_Engine!$BC$30:$BC$53,0)),Matching_Engine!$BG$6:$BG$125,0)),"")</f>
      </c>
      <c r="F21" s="32">
        <f>IFERROR(INDEX(Match_Explanation!$G$6:$G$125,MATCH("BR-02|"&amp;INDEX(Matching_Engine!$C$30:$C$53,MATCH(LARGE(Matching_Engine!$BC$30:$BC$53,2),Matching_Engine!$BC$30:$BC$53,0)),Matching_Engine!$BG$6:$BG$125,0)),"")</f>
      </c>
      <c r="G21" s="32">
        <f>IFERROR(INDEX(Match_Explanation!$H$6:$H$125,MATCH("BR-02|"&amp;INDEX(Matching_Engine!$C$30:$C$53,MATCH(LARGE(Matching_Engine!$BC$30:$BC$53,2),Matching_Engine!$BC$30:$BC$53,0)),Matching_Engine!$BG$6:$BG$125,0)),"")</f>
      </c>
    </row>
    <row r="22" spans="1:7" x14ac:dyDescent="0.25">
      <c r="A22" s="36" t="s">
        <v>727</v>
      </c>
      <c r="B22" s="35">
        <v>3</v>
      </c>
      <c r="C22" s="37">
        <f>Brand_Ranking!$B$35</f>
      </c>
      <c r="D22" s="38">
        <f>Brand_Ranking!$E$35</f>
      </c>
      <c r="E22" s="32">
        <f>IFERROR(INDEX(Match_Explanation!$F$6:$F$125,MATCH("BR-02|"&amp;INDEX(Matching_Engine!$C$30:$C$53,MATCH(LARGE(Matching_Engine!$BC$30:$BC$53,3),Matching_Engine!$BC$30:$BC$53,0)),Matching_Engine!$BG$6:$BG$125,0)),"")</f>
      </c>
      <c r="F22" s="32">
        <f>IFERROR(INDEX(Match_Explanation!$G$6:$G$125,MATCH("BR-02|"&amp;INDEX(Matching_Engine!$C$30:$C$53,MATCH(LARGE(Matching_Engine!$BC$30:$BC$53,3),Matching_Engine!$BC$30:$BC$53,0)),Matching_Engine!$BG$6:$BG$125,0)),"")</f>
      </c>
      <c r="G22" s="32">
        <f>IFERROR(INDEX(Match_Explanation!$H$6:$H$125,MATCH("BR-02|"&amp;INDEX(Matching_Engine!$C$30:$C$53,MATCH(LARGE(Matching_Engine!$BC$30:$BC$53,3),Matching_Engine!$BC$30:$BC$53,0)),Matching_Engine!$BG$6:$BG$125,0)),"")</f>
      </c>
    </row>
    <row r="23" spans="1:7" x14ac:dyDescent="0.25">
      <c r="A23" s="36" t="s">
        <v>727</v>
      </c>
      <c r="B23" s="35">
        <v>4</v>
      </c>
      <c r="C23" s="37">
        <f>Brand_Ranking!$B$36</f>
      </c>
      <c r="D23" s="38">
        <f>Brand_Ranking!$E$36</f>
      </c>
      <c r="E23" s="32">
        <f>IFERROR(INDEX(Match_Explanation!$F$6:$F$125,MATCH("BR-02|"&amp;INDEX(Matching_Engine!$C$30:$C$53,MATCH(LARGE(Matching_Engine!$BC$30:$BC$53,4),Matching_Engine!$BC$30:$BC$53,0)),Matching_Engine!$BG$6:$BG$125,0)),"")</f>
      </c>
      <c r="F23" s="32">
        <f>IFERROR(INDEX(Match_Explanation!$G$6:$G$125,MATCH("BR-02|"&amp;INDEX(Matching_Engine!$C$30:$C$53,MATCH(LARGE(Matching_Engine!$BC$30:$BC$53,4),Matching_Engine!$BC$30:$BC$53,0)),Matching_Engine!$BG$6:$BG$125,0)),"")</f>
      </c>
      <c r="G23" s="32">
        <f>IFERROR(INDEX(Match_Explanation!$H$6:$H$125,MATCH("BR-02|"&amp;INDEX(Matching_Engine!$C$30:$C$53,MATCH(LARGE(Matching_Engine!$BC$30:$BC$53,4),Matching_Engine!$BC$30:$BC$53,0)),Matching_Engine!$BG$6:$BG$125,0)),"")</f>
      </c>
    </row>
    <row r="24" spans="1:7" x14ac:dyDescent="0.25">
      <c r="A24" s="36" t="s">
        <v>727</v>
      </c>
      <c r="B24" s="35">
        <v>5</v>
      </c>
      <c r="C24" s="37">
        <f>Brand_Ranking!$B$37</f>
      </c>
      <c r="D24" s="38">
        <f>Brand_Ranking!$E$37</f>
      </c>
      <c r="E24" s="32">
        <f>IFERROR(INDEX(Match_Explanation!$F$6:$F$125,MATCH("BR-02|"&amp;INDEX(Matching_Engine!$C$30:$C$53,MATCH(LARGE(Matching_Engine!$BC$30:$BC$53,5),Matching_Engine!$BC$30:$BC$53,0)),Matching_Engine!$BG$6:$BG$125,0)),"")</f>
      </c>
      <c r="F24" s="32">
        <f>IFERROR(INDEX(Match_Explanation!$G$6:$G$125,MATCH("BR-02|"&amp;INDEX(Matching_Engine!$C$30:$C$53,MATCH(LARGE(Matching_Engine!$BC$30:$BC$53,5),Matching_Engine!$BC$30:$BC$53,0)),Matching_Engine!$BG$6:$BG$125,0)),"")</f>
      </c>
      <c r="G24" s="32">
        <f>IFERROR(INDEX(Match_Explanation!$H$6:$H$125,MATCH("BR-02|"&amp;INDEX(Matching_Engine!$C$30:$C$53,MATCH(LARGE(Matching_Engine!$BC$30:$BC$53,5),Matching_Engine!$BC$30:$BC$53,0)),Matching_Engine!$BG$6:$BG$125,0)),"")</f>
      </c>
    </row>
    <row r="25" spans="1:7" x14ac:dyDescent="0.25">
      <c r="A25" s="36" t="s">
        <v>728</v>
      </c>
      <c r="B25" s="35">
        <v>20</v>
      </c>
      <c r="C25" s="37">
        <f>Brand_Ranking!$B$52</f>
      </c>
      <c r="D25" s="38">
        <f>Brand_Ranking!$E$52</f>
      </c>
      <c r="E25" s="32">
        <f>IFERROR(INDEX(Match_Explanation!$F$6:$F$125,MATCH("BR-02|"&amp;INDEX(Matching_Engine!$C$30:$C$53,MATCH(LARGE(Matching_Engine!$BC$30:$BC$53,20),Matching_Engine!$BC$30:$BC$53,0)),Matching_Engine!$BG$6:$BG$125,0)),"")</f>
      </c>
      <c r="F25" s="32">
        <f>IFERROR(INDEX(Match_Explanation!$G$6:$G$125,MATCH("BR-02|"&amp;INDEX(Matching_Engine!$C$30:$C$53,MATCH(LARGE(Matching_Engine!$BC$30:$BC$53,20),Matching_Engine!$BC$30:$BC$53,0)),Matching_Engine!$BG$6:$BG$125,0)),"")</f>
      </c>
      <c r="G25" s="32">
        <f>IFERROR(INDEX(Match_Explanation!$H$6:$H$125,MATCH("BR-02|"&amp;INDEX(Matching_Engine!$C$30:$C$53,MATCH(LARGE(Matching_Engine!$BC$30:$BC$53,20),Matching_Engine!$BC$30:$BC$53,0)),Matching_Engine!$BG$6:$BG$125,0)),"")</f>
      </c>
    </row>
    <row r="26" spans="1:7" x14ac:dyDescent="0.25">
      <c r="A26" s="36" t="s">
        <v>728</v>
      </c>
      <c r="B26" s="35">
        <v>21</v>
      </c>
      <c r="C26" s="37">
        <f>Brand_Ranking!$B$53</f>
      </c>
      <c r="D26" s="38">
        <f>Brand_Ranking!$E$53</f>
      </c>
      <c r="E26" s="32">
        <f>IFERROR(INDEX(Match_Explanation!$F$6:$F$125,MATCH("BR-02|"&amp;INDEX(Matching_Engine!$C$30:$C$53,MATCH(LARGE(Matching_Engine!$BC$30:$BC$53,21),Matching_Engine!$BC$30:$BC$53,0)),Matching_Engine!$BG$6:$BG$125,0)),"")</f>
      </c>
      <c r="F26" s="32">
        <f>IFERROR(INDEX(Match_Explanation!$G$6:$G$125,MATCH("BR-02|"&amp;INDEX(Matching_Engine!$C$30:$C$53,MATCH(LARGE(Matching_Engine!$BC$30:$BC$53,21),Matching_Engine!$BC$30:$BC$53,0)),Matching_Engine!$BG$6:$BG$125,0)),"")</f>
      </c>
      <c r="G26" s="32">
        <f>IFERROR(INDEX(Match_Explanation!$H$6:$H$125,MATCH("BR-02|"&amp;INDEX(Matching_Engine!$C$30:$C$53,MATCH(LARGE(Matching_Engine!$BC$30:$BC$53,21),Matching_Engine!$BC$30:$BC$53,0)),Matching_Engine!$BG$6:$BG$125,0)),"")</f>
      </c>
    </row>
    <row r="27" spans="1:7" x14ac:dyDescent="0.25">
      <c r="A27" s="36" t="s">
        <v>728</v>
      </c>
      <c r="B27" s="35">
        <v>22</v>
      </c>
      <c r="C27" s="37">
        <f>Brand_Ranking!$B$54</f>
      </c>
      <c r="D27" s="38">
        <f>Brand_Ranking!$E$54</f>
      </c>
      <c r="E27" s="32">
        <f>IFERROR(INDEX(Match_Explanation!$F$6:$F$125,MATCH("BR-02|"&amp;INDEX(Matching_Engine!$C$30:$C$53,MATCH(LARGE(Matching_Engine!$BC$30:$BC$53,22),Matching_Engine!$BC$30:$BC$53,0)),Matching_Engine!$BG$6:$BG$125,0)),"")</f>
      </c>
      <c r="F27" s="32">
        <f>IFERROR(INDEX(Match_Explanation!$G$6:$G$125,MATCH("BR-02|"&amp;INDEX(Matching_Engine!$C$30:$C$53,MATCH(LARGE(Matching_Engine!$BC$30:$BC$53,22),Matching_Engine!$BC$30:$BC$53,0)),Matching_Engine!$BG$6:$BG$125,0)),"")</f>
      </c>
      <c r="G27" s="32">
        <f>IFERROR(INDEX(Match_Explanation!$H$6:$H$125,MATCH("BR-02|"&amp;INDEX(Matching_Engine!$C$30:$C$53,MATCH(LARGE(Matching_Engine!$BC$30:$BC$53,22),Matching_Engine!$BC$30:$BC$53,0)),Matching_Engine!$BG$6:$BG$125,0)),"")</f>
      </c>
    </row>
    <row r="28" spans="1:7" x14ac:dyDescent="0.25">
      <c r="A28" s="36" t="s">
        <v>728</v>
      </c>
      <c r="B28" s="35">
        <v>23</v>
      </c>
      <c r="C28" s="37">
        <f>Brand_Ranking!$B$55</f>
      </c>
      <c r="D28" s="38">
        <f>Brand_Ranking!$E$55</f>
      </c>
      <c r="E28" s="32">
        <f>IFERROR(INDEX(Match_Explanation!$F$6:$F$125,MATCH("BR-02|"&amp;INDEX(Matching_Engine!$C$30:$C$53,MATCH(LARGE(Matching_Engine!$BC$30:$BC$53,23),Matching_Engine!$BC$30:$BC$53,0)),Matching_Engine!$BG$6:$BG$125,0)),"")</f>
      </c>
      <c r="F28" s="32">
        <f>IFERROR(INDEX(Match_Explanation!$G$6:$G$125,MATCH("BR-02|"&amp;INDEX(Matching_Engine!$C$30:$C$53,MATCH(LARGE(Matching_Engine!$BC$30:$BC$53,23),Matching_Engine!$BC$30:$BC$53,0)),Matching_Engine!$BG$6:$BG$125,0)),"")</f>
      </c>
      <c r="G28" s="32">
        <f>IFERROR(INDEX(Match_Explanation!$H$6:$H$125,MATCH("BR-02|"&amp;INDEX(Matching_Engine!$C$30:$C$53,MATCH(LARGE(Matching_Engine!$BC$30:$BC$53,23),Matching_Engine!$BC$30:$BC$53,0)),Matching_Engine!$BG$6:$BG$125,0)),"")</f>
      </c>
    </row>
    <row r="29" spans="1:7" x14ac:dyDescent="0.25">
      <c r="A29" s="36" t="s">
        <v>728</v>
      </c>
      <c r="B29" s="35">
        <v>24</v>
      </c>
      <c r="C29" s="37">
        <f>Brand_Ranking!$B$56</f>
      </c>
      <c r="D29" s="38">
        <f>Brand_Ranking!$E$56</f>
      </c>
      <c r="E29" s="32">
        <f>IFERROR(INDEX(Match_Explanation!$F$6:$F$125,MATCH("BR-02|"&amp;INDEX(Matching_Engine!$C$30:$C$53,MATCH(LARGE(Matching_Engine!$BC$30:$BC$53,24),Matching_Engine!$BC$30:$BC$53,0)),Matching_Engine!$BG$6:$BG$125,0)),"")</f>
      </c>
      <c r="F29" s="32">
        <f>IFERROR(INDEX(Match_Explanation!$G$6:$G$125,MATCH("BR-02|"&amp;INDEX(Matching_Engine!$C$30:$C$53,MATCH(LARGE(Matching_Engine!$BC$30:$BC$53,24),Matching_Engine!$BC$30:$BC$53,0)),Matching_Engine!$BG$6:$BG$125,0)),"")</f>
      </c>
      <c r="G29" s="32">
        <f>IFERROR(INDEX(Match_Explanation!$H$6:$H$125,MATCH("BR-02|"&amp;INDEX(Matching_Engine!$C$30:$C$53,MATCH(LARGE(Matching_Engine!$BC$30:$BC$53,24),Matching_Engine!$BC$30:$BC$53,0)),Matching_Engine!$BG$6:$BG$125,0)),"")</f>
      </c>
    </row>
    <row r="32" ht="18" customHeight="1" spans="1:7" x14ac:dyDescent="0.25">
      <c r="A32" s="3" t="s">
        <v>730</v>
      </c>
      <c r="B32" s="3"/>
      <c r="C32" s="3"/>
      <c r="D32" s="3"/>
      <c r="E32" s="3"/>
      <c r="F32" s="3"/>
      <c r="G32" s="3"/>
    </row>
    <row r="33" ht="24" customHeight="1" spans="1:7" x14ac:dyDescent="0.25">
      <c r="A33" s="6" t="s">
        <v>722</v>
      </c>
      <c r="B33" s="6" t="s">
        <v>714</v>
      </c>
      <c r="C33" s="6" t="s">
        <v>627</v>
      </c>
      <c r="D33" s="6" t="s">
        <v>723</v>
      </c>
      <c r="E33" s="6" t="s">
        <v>724</v>
      </c>
      <c r="F33" s="6" t="s">
        <v>725</v>
      </c>
      <c r="G33" s="6" t="s">
        <v>726</v>
      </c>
    </row>
    <row r="34" spans="1:7" x14ac:dyDescent="0.25">
      <c r="A34" s="36" t="s">
        <v>727</v>
      </c>
      <c r="B34" s="35">
        <v>1</v>
      </c>
      <c r="C34" s="37">
        <f>Brand_Ranking!$B$60</f>
      </c>
      <c r="D34" s="38">
        <f>Brand_Ranking!$E$60</f>
      </c>
      <c r="E34" s="32">
        <f>IFERROR(INDEX(Match_Explanation!$F$6:$F$125,MATCH("BR-03|"&amp;INDEX(Matching_Engine!$C$54:$C$77,MATCH(LARGE(Matching_Engine!$BC$54:$BC$77,1),Matching_Engine!$BC$54:$BC$77,0)),Matching_Engine!$BG$6:$BG$125,0)),"")</f>
      </c>
      <c r="F34" s="32">
        <f>IFERROR(INDEX(Match_Explanation!$G$6:$G$125,MATCH("BR-03|"&amp;INDEX(Matching_Engine!$C$54:$C$77,MATCH(LARGE(Matching_Engine!$BC$54:$BC$77,1),Matching_Engine!$BC$54:$BC$77,0)),Matching_Engine!$BG$6:$BG$125,0)),"")</f>
      </c>
      <c r="G34" s="32">
        <f>IFERROR(INDEX(Match_Explanation!$H$6:$H$125,MATCH("BR-03|"&amp;INDEX(Matching_Engine!$C$54:$C$77,MATCH(LARGE(Matching_Engine!$BC$54:$BC$77,1),Matching_Engine!$BC$54:$BC$77,0)),Matching_Engine!$BG$6:$BG$125,0)),"")</f>
      </c>
    </row>
    <row r="35" spans="1:7" x14ac:dyDescent="0.25">
      <c r="A35" s="36" t="s">
        <v>727</v>
      </c>
      <c r="B35" s="35">
        <v>2</v>
      </c>
      <c r="C35" s="37">
        <f>Brand_Ranking!$B$61</f>
      </c>
      <c r="D35" s="38">
        <f>Brand_Ranking!$E$61</f>
      </c>
      <c r="E35" s="32">
        <f>IFERROR(INDEX(Match_Explanation!$F$6:$F$125,MATCH("BR-03|"&amp;INDEX(Matching_Engine!$C$54:$C$77,MATCH(LARGE(Matching_Engine!$BC$54:$BC$77,2),Matching_Engine!$BC$54:$BC$77,0)),Matching_Engine!$BG$6:$BG$125,0)),"")</f>
      </c>
      <c r="F35" s="32">
        <f>IFERROR(INDEX(Match_Explanation!$G$6:$G$125,MATCH("BR-03|"&amp;INDEX(Matching_Engine!$C$54:$C$77,MATCH(LARGE(Matching_Engine!$BC$54:$BC$77,2),Matching_Engine!$BC$54:$BC$77,0)),Matching_Engine!$BG$6:$BG$125,0)),"")</f>
      </c>
      <c r="G35" s="32">
        <f>IFERROR(INDEX(Match_Explanation!$H$6:$H$125,MATCH("BR-03|"&amp;INDEX(Matching_Engine!$C$54:$C$77,MATCH(LARGE(Matching_Engine!$BC$54:$BC$77,2),Matching_Engine!$BC$54:$BC$77,0)),Matching_Engine!$BG$6:$BG$125,0)),"")</f>
      </c>
    </row>
    <row r="36" spans="1:7" x14ac:dyDescent="0.25">
      <c r="A36" s="36" t="s">
        <v>727</v>
      </c>
      <c r="B36" s="35">
        <v>3</v>
      </c>
      <c r="C36" s="37">
        <f>Brand_Ranking!$B$62</f>
      </c>
      <c r="D36" s="38">
        <f>Brand_Ranking!$E$62</f>
      </c>
      <c r="E36" s="32">
        <f>IFERROR(INDEX(Match_Explanation!$F$6:$F$125,MATCH("BR-03|"&amp;INDEX(Matching_Engine!$C$54:$C$77,MATCH(LARGE(Matching_Engine!$BC$54:$BC$77,3),Matching_Engine!$BC$54:$BC$77,0)),Matching_Engine!$BG$6:$BG$125,0)),"")</f>
      </c>
      <c r="F36" s="32">
        <f>IFERROR(INDEX(Match_Explanation!$G$6:$G$125,MATCH("BR-03|"&amp;INDEX(Matching_Engine!$C$54:$C$77,MATCH(LARGE(Matching_Engine!$BC$54:$BC$77,3),Matching_Engine!$BC$54:$BC$77,0)),Matching_Engine!$BG$6:$BG$125,0)),"")</f>
      </c>
      <c r="G36" s="32">
        <f>IFERROR(INDEX(Match_Explanation!$H$6:$H$125,MATCH("BR-03|"&amp;INDEX(Matching_Engine!$C$54:$C$77,MATCH(LARGE(Matching_Engine!$BC$54:$BC$77,3),Matching_Engine!$BC$54:$BC$77,0)),Matching_Engine!$BG$6:$BG$125,0)),"")</f>
      </c>
    </row>
    <row r="37" spans="1:7" x14ac:dyDescent="0.25">
      <c r="A37" s="36" t="s">
        <v>727</v>
      </c>
      <c r="B37" s="35">
        <v>4</v>
      </c>
      <c r="C37" s="37">
        <f>Brand_Ranking!$B$63</f>
      </c>
      <c r="D37" s="38">
        <f>Brand_Ranking!$E$63</f>
      </c>
      <c r="E37" s="32">
        <f>IFERROR(INDEX(Match_Explanation!$F$6:$F$125,MATCH("BR-03|"&amp;INDEX(Matching_Engine!$C$54:$C$77,MATCH(LARGE(Matching_Engine!$BC$54:$BC$77,4),Matching_Engine!$BC$54:$BC$77,0)),Matching_Engine!$BG$6:$BG$125,0)),"")</f>
      </c>
      <c r="F37" s="32">
        <f>IFERROR(INDEX(Match_Explanation!$G$6:$G$125,MATCH("BR-03|"&amp;INDEX(Matching_Engine!$C$54:$C$77,MATCH(LARGE(Matching_Engine!$BC$54:$BC$77,4),Matching_Engine!$BC$54:$BC$77,0)),Matching_Engine!$BG$6:$BG$125,0)),"")</f>
      </c>
      <c r="G37" s="32">
        <f>IFERROR(INDEX(Match_Explanation!$H$6:$H$125,MATCH("BR-03|"&amp;INDEX(Matching_Engine!$C$54:$C$77,MATCH(LARGE(Matching_Engine!$BC$54:$BC$77,4),Matching_Engine!$BC$54:$BC$77,0)),Matching_Engine!$BG$6:$BG$125,0)),"")</f>
      </c>
    </row>
    <row r="38" spans="1:7" x14ac:dyDescent="0.25">
      <c r="A38" s="36" t="s">
        <v>727</v>
      </c>
      <c r="B38" s="35">
        <v>5</v>
      </c>
      <c r="C38" s="37">
        <f>Brand_Ranking!$B$64</f>
      </c>
      <c r="D38" s="38">
        <f>Brand_Ranking!$E$64</f>
      </c>
      <c r="E38" s="32">
        <f>IFERROR(INDEX(Match_Explanation!$F$6:$F$125,MATCH("BR-03|"&amp;INDEX(Matching_Engine!$C$54:$C$77,MATCH(LARGE(Matching_Engine!$BC$54:$BC$77,5),Matching_Engine!$BC$54:$BC$77,0)),Matching_Engine!$BG$6:$BG$125,0)),"")</f>
      </c>
      <c r="F38" s="32">
        <f>IFERROR(INDEX(Match_Explanation!$G$6:$G$125,MATCH("BR-03|"&amp;INDEX(Matching_Engine!$C$54:$C$77,MATCH(LARGE(Matching_Engine!$BC$54:$BC$77,5),Matching_Engine!$BC$54:$BC$77,0)),Matching_Engine!$BG$6:$BG$125,0)),"")</f>
      </c>
      <c r="G38" s="32">
        <f>IFERROR(INDEX(Match_Explanation!$H$6:$H$125,MATCH("BR-03|"&amp;INDEX(Matching_Engine!$C$54:$C$77,MATCH(LARGE(Matching_Engine!$BC$54:$BC$77,5),Matching_Engine!$BC$54:$BC$77,0)),Matching_Engine!$BG$6:$BG$125,0)),"")</f>
      </c>
    </row>
    <row r="39" spans="1:7" x14ac:dyDescent="0.25">
      <c r="A39" s="36" t="s">
        <v>728</v>
      </c>
      <c r="B39" s="35">
        <v>20</v>
      </c>
      <c r="C39" s="37">
        <f>Brand_Ranking!$B$79</f>
      </c>
      <c r="D39" s="38">
        <f>Brand_Ranking!$E$79</f>
      </c>
      <c r="E39" s="32">
        <f>IFERROR(INDEX(Match_Explanation!$F$6:$F$125,MATCH("BR-03|"&amp;INDEX(Matching_Engine!$C$54:$C$77,MATCH(LARGE(Matching_Engine!$BC$54:$BC$77,20),Matching_Engine!$BC$54:$BC$77,0)),Matching_Engine!$BG$6:$BG$125,0)),"")</f>
      </c>
      <c r="F39" s="32">
        <f>IFERROR(INDEX(Match_Explanation!$G$6:$G$125,MATCH("BR-03|"&amp;INDEX(Matching_Engine!$C$54:$C$77,MATCH(LARGE(Matching_Engine!$BC$54:$BC$77,20),Matching_Engine!$BC$54:$BC$77,0)),Matching_Engine!$BG$6:$BG$125,0)),"")</f>
      </c>
      <c r="G39" s="32">
        <f>IFERROR(INDEX(Match_Explanation!$H$6:$H$125,MATCH("BR-03|"&amp;INDEX(Matching_Engine!$C$54:$C$77,MATCH(LARGE(Matching_Engine!$BC$54:$BC$77,20),Matching_Engine!$BC$54:$BC$77,0)),Matching_Engine!$BG$6:$BG$125,0)),"")</f>
      </c>
    </row>
    <row r="40" spans="1:7" x14ac:dyDescent="0.25">
      <c r="A40" s="36" t="s">
        <v>728</v>
      </c>
      <c r="B40" s="35">
        <v>21</v>
      </c>
      <c r="C40" s="37">
        <f>Brand_Ranking!$B$80</f>
      </c>
      <c r="D40" s="38">
        <f>Brand_Ranking!$E$80</f>
      </c>
      <c r="E40" s="32">
        <f>IFERROR(INDEX(Match_Explanation!$F$6:$F$125,MATCH("BR-03|"&amp;INDEX(Matching_Engine!$C$54:$C$77,MATCH(LARGE(Matching_Engine!$BC$54:$BC$77,21),Matching_Engine!$BC$54:$BC$77,0)),Matching_Engine!$BG$6:$BG$125,0)),"")</f>
      </c>
      <c r="F40" s="32">
        <f>IFERROR(INDEX(Match_Explanation!$G$6:$G$125,MATCH("BR-03|"&amp;INDEX(Matching_Engine!$C$54:$C$77,MATCH(LARGE(Matching_Engine!$BC$54:$BC$77,21),Matching_Engine!$BC$54:$BC$77,0)),Matching_Engine!$BG$6:$BG$125,0)),"")</f>
      </c>
      <c r="G40" s="32">
        <f>IFERROR(INDEX(Match_Explanation!$H$6:$H$125,MATCH("BR-03|"&amp;INDEX(Matching_Engine!$C$54:$C$77,MATCH(LARGE(Matching_Engine!$BC$54:$BC$77,21),Matching_Engine!$BC$54:$BC$77,0)),Matching_Engine!$BG$6:$BG$125,0)),"")</f>
      </c>
    </row>
    <row r="41" spans="1:7" x14ac:dyDescent="0.25">
      <c r="A41" s="36" t="s">
        <v>728</v>
      </c>
      <c r="B41" s="35">
        <v>22</v>
      </c>
      <c r="C41" s="37">
        <f>Brand_Ranking!$B$81</f>
      </c>
      <c r="D41" s="38">
        <f>Brand_Ranking!$E$81</f>
      </c>
      <c r="E41" s="32">
        <f>IFERROR(INDEX(Match_Explanation!$F$6:$F$125,MATCH("BR-03|"&amp;INDEX(Matching_Engine!$C$54:$C$77,MATCH(LARGE(Matching_Engine!$BC$54:$BC$77,22),Matching_Engine!$BC$54:$BC$77,0)),Matching_Engine!$BG$6:$BG$125,0)),"")</f>
      </c>
      <c r="F41" s="32">
        <f>IFERROR(INDEX(Match_Explanation!$G$6:$G$125,MATCH("BR-03|"&amp;INDEX(Matching_Engine!$C$54:$C$77,MATCH(LARGE(Matching_Engine!$BC$54:$BC$77,22),Matching_Engine!$BC$54:$BC$77,0)),Matching_Engine!$BG$6:$BG$125,0)),"")</f>
      </c>
      <c r="G41" s="32">
        <f>IFERROR(INDEX(Match_Explanation!$H$6:$H$125,MATCH("BR-03|"&amp;INDEX(Matching_Engine!$C$54:$C$77,MATCH(LARGE(Matching_Engine!$BC$54:$BC$77,22),Matching_Engine!$BC$54:$BC$77,0)),Matching_Engine!$BG$6:$BG$125,0)),"")</f>
      </c>
    </row>
    <row r="42" spans="1:7" x14ac:dyDescent="0.25">
      <c r="A42" s="36" t="s">
        <v>728</v>
      </c>
      <c r="B42" s="35">
        <v>23</v>
      </c>
      <c r="C42" s="37">
        <f>Brand_Ranking!$B$82</f>
      </c>
      <c r="D42" s="38">
        <f>Brand_Ranking!$E$82</f>
      </c>
      <c r="E42" s="32">
        <f>IFERROR(INDEX(Match_Explanation!$F$6:$F$125,MATCH("BR-03|"&amp;INDEX(Matching_Engine!$C$54:$C$77,MATCH(LARGE(Matching_Engine!$BC$54:$BC$77,23),Matching_Engine!$BC$54:$BC$77,0)),Matching_Engine!$BG$6:$BG$125,0)),"")</f>
      </c>
      <c r="F42" s="32">
        <f>IFERROR(INDEX(Match_Explanation!$G$6:$G$125,MATCH("BR-03|"&amp;INDEX(Matching_Engine!$C$54:$C$77,MATCH(LARGE(Matching_Engine!$BC$54:$BC$77,23),Matching_Engine!$BC$54:$BC$77,0)),Matching_Engine!$BG$6:$BG$125,0)),"")</f>
      </c>
      <c r="G42" s="32">
        <f>IFERROR(INDEX(Match_Explanation!$H$6:$H$125,MATCH("BR-03|"&amp;INDEX(Matching_Engine!$C$54:$C$77,MATCH(LARGE(Matching_Engine!$BC$54:$BC$77,23),Matching_Engine!$BC$54:$BC$77,0)),Matching_Engine!$BG$6:$BG$125,0)),"")</f>
      </c>
    </row>
    <row r="43" spans="1:7" x14ac:dyDescent="0.25">
      <c r="A43" s="36" t="s">
        <v>728</v>
      </c>
      <c r="B43" s="35">
        <v>24</v>
      </c>
      <c r="C43" s="37">
        <f>Brand_Ranking!$B$83</f>
      </c>
      <c r="D43" s="38">
        <f>Brand_Ranking!$E$83</f>
      </c>
      <c r="E43" s="32">
        <f>IFERROR(INDEX(Match_Explanation!$F$6:$F$125,MATCH("BR-03|"&amp;INDEX(Matching_Engine!$C$54:$C$77,MATCH(LARGE(Matching_Engine!$BC$54:$BC$77,24),Matching_Engine!$BC$54:$BC$77,0)),Matching_Engine!$BG$6:$BG$125,0)),"")</f>
      </c>
      <c r="F43" s="32">
        <f>IFERROR(INDEX(Match_Explanation!$G$6:$G$125,MATCH("BR-03|"&amp;INDEX(Matching_Engine!$C$54:$C$77,MATCH(LARGE(Matching_Engine!$BC$54:$BC$77,24),Matching_Engine!$BC$54:$BC$77,0)),Matching_Engine!$BG$6:$BG$125,0)),"")</f>
      </c>
      <c r="G43" s="32">
        <f>IFERROR(INDEX(Match_Explanation!$H$6:$H$125,MATCH("BR-03|"&amp;INDEX(Matching_Engine!$C$54:$C$77,MATCH(LARGE(Matching_Engine!$BC$54:$BC$77,24),Matching_Engine!$BC$54:$BC$77,0)),Matching_Engine!$BG$6:$BG$125,0)),"")</f>
      </c>
    </row>
    <row r="46" ht="18" customHeight="1" spans="1:7" x14ac:dyDescent="0.25">
      <c r="A46" s="3" t="s">
        <v>731</v>
      </c>
      <c r="B46" s="3"/>
      <c r="C46" s="3"/>
      <c r="D46" s="3"/>
      <c r="E46" s="3"/>
      <c r="F46" s="3"/>
      <c r="G46" s="3"/>
    </row>
    <row r="47" ht="24" customHeight="1" spans="1:7" x14ac:dyDescent="0.25">
      <c r="A47" s="6" t="s">
        <v>722</v>
      </c>
      <c r="B47" s="6" t="s">
        <v>714</v>
      </c>
      <c r="C47" s="6" t="s">
        <v>627</v>
      </c>
      <c r="D47" s="6" t="s">
        <v>723</v>
      </c>
      <c r="E47" s="6" t="s">
        <v>724</v>
      </c>
      <c r="F47" s="6" t="s">
        <v>725</v>
      </c>
      <c r="G47" s="6" t="s">
        <v>726</v>
      </c>
    </row>
    <row r="48" spans="1:7" x14ac:dyDescent="0.25">
      <c r="A48" s="36" t="s">
        <v>727</v>
      </c>
      <c r="B48" s="35">
        <v>1</v>
      </c>
      <c r="C48" s="37">
        <f>Brand_Ranking!$B$87</f>
      </c>
      <c r="D48" s="38">
        <f>Brand_Ranking!$E$87</f>
      </c>
      <c r="E48" s="32">
        <f>IFERROR(INDEX(Match_Explanation!$F$6:$F$125,MATCH("BR-04|"&amp;INDEX(Matching_Engine!$C$78:$C$101,MATCH(LARGE(Matching_Engine!$BC$78:$BC$101,1),Matching_Engine!$BC$78:$BC$101,0)),Matching_Engine!$BG$6:$BG$125,0)),"")</f>
      </c>
      <c r="F48" s="32">
        <f>IFERROR(INDEX(Match_Explanation!$G$6:$G$125,MATCH("BR-04|"&amp;INDEX(Matching_Engine!$C$78:$C$101,MATCH(LARGE(Matching_Engine!$BC$78:$BC$101,1),Matching_Engine!$BC$78:$BC$101,0)),Matching_Engine!$BG$6:$BG$125,0)),"")</f>
      </c>
      <c r="G48" s="32">
        <f>IFERROR(INDEX(Match_Explanation!$H$6:$H$125,MATCH("BR-04|"&amp;INDEX(Matching_Engine!$C$78:$C$101,MATCH(LARGE(Matching_Engine!$BC$78:$BC$101,1),Matching_Engine!$BC$78:$BC$101,0)),Matching_Engine!$BG$6:$BG$125,0)),"")</f>
      </c>
    </row>
    <row r="49" spans="1:7" x14ac:dyDescent="0.25">
      <c r="A49" s="36" t="s">
        <v>727</v>
      </c>
      <c r="B49" s="35">
        <v>2</v>
      </c>
      <c r="C49" s="37">
        <f>Brand_Ranking!$B$88</f>
      </c>
      <c r="D49" s="38">
        <f>Brand_Ranking!$E$88</f>
      </c>
      <c r="E49" s="32">
        <f>IFERROR(INDEX(Match_Explanation!$F$6:$F$125,MATCH("BR-04|"&amp;INDEX(Matching_Engine!$C$78:$C$101,MATCH(LARGE(Matching_Engine!$BC$78:$BC$101,2),Matching_Engine!$BC$78:$BC$101,0)),Matching_Engine!$BG$6:$BG$125,0)),"")</f>
      </c>
      <c r="F49" s="32">
        <f>IFERROR(INDEX(Match_Explanation!$G$6:$G$125,MATCH("BR-04|"&amp;INDEX(Matching_Engine!$C$78:$C$101,MATCH(LARGE(Matching_Engine!$BC$78:$BC$101,2),Matching_Engine!$BC$78:$BC$101,0)),Matching_Engine!$BG$6:$BG$125,0)),"")</f>
      </c>
      <c r="G49" s="32">
        <f>IFERROR(INDEX(Match_Explanation!$H$6:$H$125,MATCH("BR-04|"&amp;INDEX(Matching_Engine!$C$78:$C$101,MATCH(LARGE(Matching_Engine!$BC$78:$BC$101,2),Matching_Engine!$BC$78:$BC$101,0)),Matching_Engine!$BG$6:$BG$125,0)),"")</f>
      </c>
    </row>
    <row r="50" spans="1:7" x14ac:dyDescent="0.25">
      <c r="A50" s="36" t="s">
        <v>727</v>
      </c>
      <c r="B50" s="35">
        <v>3</v>
      </c>
      <c r="C50" s="37">
        <f>Brand_Ranking!$B$89</f>
      </c>
      <c r="D50" s="38">
        <f>Brand_Ranking!$E$89</f>
      </c>
      <c r="E50" s="32">
        <f>IFERROR(INDEX(Match_Explanation!$F$6:$F$125,MATCH("BR-04|"&amp;INDEX(Matching_Engine!$C$78:$C$101,MATCH(LARGE(Matching_Engine!$BC$78:$BC$101,3),Matching_Engine!$BC$78:$BC$101,0)),Matching_Engine!$BG$6:$BG$125,0)),"")</f>
      </c>
      <c r="F50" s="32">
        <f>IFERROR(INDEX(Match_Explanation!$G$6:$G$125,MATCH("BR-04|"&amp;INDEX(Matching_Engine!$C$78:$C$101,MATCH(LARGE(Matching_Engine!$BC$78:$BC$101,3),Matching_Engine!$BC$78:$BC$101,0)),Matching_Engine!$BG$6:$BG$125,0)),"")</f>
      </c>
      <c r="G50" s="32">
        <f>IFERROR(INDEX(Match_Explanation!$H$6:$H$125,MATCH("BR-04|"&amp;INDEX(Matching_Engine!$C$78:$C$101,MATCH(LARGE(Matching_Engine!$BC$78:$BC$101,3),Matching_Engine!$BC$78:$BC$101,0)),Matching_Engine!$BG$6:$BG$125,0)),"")</f>
      </c>
    </row>
    <row r="51" spans="1:7" x14ac:dyDescent="0.25">
      <c r="A51" s="36" t="s">
        <v>727</v>
      </c>
      <c r="B51" s="35">
        <v>4</v>
      </c>
      <c r="C51" s="37">
        <f>Brand_Ranking!$B$90</f>
      </c>
      <c r="D51" s="38">
        <f>Brand_Ranking!$E$90</f>
      </c>
      <c r="E51" s="32">
        <f>IFERROR(INDEX(Match_Explanation!$F$6:$F$125,MATCH("BR-04|"&amp;INDEX(Matching_Engine!$C$78:$C$101,MATCH(LARGE(Matching_Engine!$BC$78:$BC$101,4),Matching_Engine!$BC$78:$BC$101,0)),Matching_Engine!$BG$6:$BG$125,0)),"")</f>
      </c>
      <c r="F51" s="32">
        <f>IFERROR(INDEX(Match_Explanation!$G$6:$G$125,MATCH("BR-04|"&amp;INDEX(Matching_Engine!$C$78:$C$101,MATCH(LARGE(Matching_Engine!$BC$78:$BC$101,4),Matching_Engine!$BC$78:$BC$101,0)),Matching_Engine!$BG$6:$BG$125,0)),"")</f>
      </c>
      <c r="G51" s="32">
        <f>IFERROR(INDEX(Match_Explanation!$H$6:$H$125,MATCH("BR-04|"&amp;INDEX(Matching_Engine!$C$78:$C$101,MATCH(LARGE(Matching_Engine!$BC$78:$BC$101,4),Matching_Engine!$BC$78:$BC$101,0)),Matching_Engine!$BG$6:$BG$125,0)),"")</f>
      </c>
    </row>
    <row r="52" spans="1:7" x14ac:dyDescent="0.25">
      <c r="A52" s="36" t="s">
        <v>727</v>
      </c>
      <c r="B52" s="35">
        <v>5</v>
      </c>
      <c r="C52" s="37">
        <f>Brand_Ranking!$B$91</f>
      </c>
      <c r="D52" s="38">
        <f>Brand_Ranking!$E$91</f>
      </c>
      <c r="E52" s="32">
        <f>IFERROR(INDEX(Match_Explanation!$F$6:$F$125,MATCH("BR-04|"&amp;INDEX(Matching_Engine!$C$78:$C$101,MATCH(LARGE(Matching_Engine!$BC$78:$BC$101,5),Matching_Engine!$BC$78:$BC$101,0)),Matching_Engine!$BG$6:$BG$125,0)),"")</f>
      </c>
      <c r="F52" s="32">
        <f>IFERROR(INDEX(Match_Explanation!$G$6:$G$125,MATCH("BR-04|"&amp;INDEX(Matching_Engine!$C$78:$C$101,MATCH(LARGE(Matching_Engine!$BC$78:$BC$101,5),Matching_Engine!$BC$78:$BC$101,0)),Matching_Engine!$BG$6:$BG$125,0)),"")</f>
      </c>
      <c r="G52" s="32">
        <f>IFERROR(INDEX(Match_Explanation!$H$6:$H$125,MATCH("BR-04|"&amp;INDEX(Matching_Engine!$C$78:$C$101,MATCH(LARGE(Matching_Engine!$BC$78:$BC$101,5),Matching_Engine!$BC$78:$BC$101,0)),Matching_Engine!$BG$6:$BG$125,0)),"")</f>
      </c>
    </row>
    <row r="53" spans="1:7" x14ac:dyDescent="0.25">
      <c r="A53" s="36" t="s">
        <v>728</v>
      </c>
      <c r="B53" s="35">
        <v>20</v>
      </c>
      <c r="C53" s="37">
        <f>Brand_Ranking!$B$106</f>
      </c>
      <c r="D53" s="38">
        <f>Brand_Ranking!$E$106</f>
      </c>
      <c r="E53" s="32">
        <f>IFERROR(INDEX(Match_Explanation!$F$6:$F$125,MATCH("BR-04|"&amp;INDEX(Matching_Engine!$C$78:$C$101,MATCH(LARGE(Matching_Engine!$BC$78:$BC$101,20),Matching_Engine!$BC$78:$BC$101,0)),Matching_Engine!$BG$6:$BG$125,0)),"")</f>
      </c>
      <c r="F53" s="32">
        <f>IFERROR(INDEX(Match_Explanation!$G$6:$G$125,MATCH("BR-04|"&amp;INDEX(Matching_Engine!$C$78:$C$101,MATCH(LARGE(Matching_Engine!$BC$78:$BC$101,20),Matching_Engine!$BC$78:$BC$101,0)),Matching_Engine!$BG$6:$BG$125,0)),"")</f>
      </c>
      <c r="G53" s="32">
        <f>IFERROR(INDEX(Match_Explanation!$H$6:$H$125,MATCH("BR-04|"&amp;INDEX(Matching_Engine!$C$78:$C$101,MATCH(LARGE(Matching_Engine!$BC$78:$BC$101,20),Matching_Engine!$BC$78:$BC$101,0)),Matching_Engine!$BG$6:$BG$125,0)),"")</f>
      </c>
    </row>
    <row r="54" spans="1:7" x14ac:dyDescent="0.25">
      <c r="A54" s="36" t="s">
        <v>728</v>
      </c>
      <c r="B54" s="35">
        <v>21</v>
      </c>
      <c r="C54" s="37">
        <f>Brand_Ranking!$B$107</f>
      </c>
      <c r="D54" s="38">
        <f>Brand_Ranking!$E$107</f>
      </c>
      <c r="E54" s="32">
        <f>IFERROR(INDEX(Match_Explanation!$F$6:$F$125,MATCH("BR-04|"&amp;INDEX(Matching_Engine!$C$78:$C$101,MATCH(LARGE(Matching_Engine!$BC$78:$BC$101,21),Matching_Engine!$BC$78:$BC$101,0)),Matching_Engine!$BG$6:$BG$125,0)),"")</f>
      </c>
      <c r="F54" s="32">
        <f>IFERROR(INDEX(Match_Explanation!$G$6:$G$125,MATCH("BR-04|"&amp;INDEX(Matching_Engine!$C$78:$C$101,MATCH(LARGE(Matching_Engine!$BC$78:$BC$101,21),Matching_Engine!$BC$78:$BC$101,0)),Matching_Engine!$BG$6:$BG$125,0)),"")</f>
      </c>
      <c r="G54" s="32">
        <f>IFERROR(INDEX(Match_Explanation!$H$6:$H$125,MATCH("BR-04|"&amp;INDEX(Matching_Engine!$C$78:$C$101,MATCH(LARGE(Matching_Engine!$BC$78:$BC$101,21),Matching_Engine!$BC$78:$BC$101,0)),Matching_Engine!$BG$6:$BG$125,0)),"")</f>
      </c>
    </row>
    <row r="55" spans="1:7" x14ac:dyDescent="0.25">
      <c r="A55" s="36" t="s">
        <v>728</v>
      </c>
      <c r="B55" s="35">
        <v>22</v>
      </c>
      <c r="C55" s="37">
        <f>Brand_Ranking!$B$108</f>
      </c>
      <c r="D55" s="38">
        <f>Brand_Ranking!$E$108</f>
      </c>
      <c r="E55" s="32">
        <f>IFERROR(INDEX(Match_Explanation!$F$6:$F$125,MATCH("BR-04|"&amp;INDEX(Matching_Engine!$C$78:$C$101,MATCH(LARGE(Matching_Engine!$BC$78:$BC$101,22),Matching_Engine!$BC$78:$BC$101,0)),Matching_Engine!$BG$6:$BG$125,0)),"")</f>
      </c>
      <c r="F55" s="32">
        <f>IFERROR(INDEX(Match_Explanation!$G$6:$G$125,MATCH("BR-04|"&amp;INDEX(Matching_Engine!$C$78:$C$101,MATCH(LARGE(Matching_Engine!$BC$78:$BC$101,22),Matching_Engine!$BC$78:$BC$101,0)),Matching_Engine!$BG$6:$BG$125,0)),"")</f>
      </c>
      <c r="G55" s="32">
        <f>IFERROR(INDEX(Match_Explanation!$H$6:$H$125,MATCH("BR-04|"&amp;INDEX(Matching_Engine!$C$78:$C$101,MATCH(LARGE(Matching_Engine!$BC$78:$BC$101,22),Matching_Engine!$BC$78:$BC$101,0)),Matching_Engine!$BG$6:$BG$125,0)),"")</f>
      </c>
    </row>
    <row r="56" spans="1:7" x14ac:dyDescent="0.25">
      <c r="A56" s="36" t="s">
        <v>728</v>
      </c>
      <c r="B56" s="35">
        <v>23</v>
      </c>
      <c r="C56" s="37">
        <f>Brand_Ranking!$B$109</f>
      </c>
      <c r="D56" s="38">
        <f>Brand_Ranking!$E$109</f>
      </c>
      <c r="E56" s="32">
        <f>IFERROR(INDEX(Match_Explanation!$F$6:$F$125,MATCH("BR-04|"&amp;INDEX(Matching_Engine!$C$78:$C$101,MATCH(LARGE(Matching_Engine!$BC$78:$BC$101,23),Matching_Engine!$BC$78:$BC$101,0)),Matching_Engine!$BG$6:$BG$125,0)),"")</f>
      </c>
      <c r="F56" s="32">
        <f>IFERROR(INDEX(Match_Explanation!$G$6:$G$125,MATCH("BR-04|"&amp;INDEX(Matching_Engine!$C$78:$C$101,MATCH(LARGE(Matching_Engine!$BC$78:$BC$101,23),Matching_Engine!$BC$78:$BC$101,0)),Matching_Engine!$BG$6:$BG$125,0)),"")</f>
      </c>
      <c r="G56" s="32">
        <f>IFERROR(INDEX(Match_Explanation!$H$6:$H$125,MATCH("BR-04|"&amp;INDEX(Matching_Engine!$C$78:$C$101,MATCH(LARGE(Matching_Engine!$BC$78:$BC$101,23),Matching_Engine!$BC$78:$BC$101,0)),Matching_Engine!$BG$6:$BG$125,0)),"")</f>
      </c>
    </row>
    <row r="57" spans="1:7" x14ac:dyDescent="0.25">
      <c r="A57" s="36" t="s">
        <v>728</v>
      </c>
      <c r="B57" s="35">
        <v>24</v>
      </c>
      <c r="C57" s="37">
        <f>Brand_Ranking!$B$110</f>
      </c>
      <c r="D57" s="38">
        <f>Brand_Ranking!$E$110</f>
      </c>
      <c r="E57" s="32">
        <f>IFERROR(INDEX(Match_Explanation!$F$6:$F$125,MATCH("BR-04|"&amp;INDEX(Matching_Engine!$C$78:$C$101,MATCH(LARGE(Matching_Engine!$BC$78:$BC$101,24),Matching_Engine!$BC$78:$BC$101,0)),Matching_Engine!$BG$6:$BG$125,0)),"")</f>
      </c>
      <c r="F57" s="32">
        <f>IFERROR(INDEX(Match_Explanation!$G$6:$G$125,MATCH("BR-04|"&amp;INDEX(Matching_Engine!$C$78:$C$101,MATCH(LARGE(Matching_Engine!$BC$78:$BC$101,24),Matching_Engine!$BC$78:$BC$101,0)),Matching_Engine!$BG$6:$BG$125,0)),"")</f>
      </c>
      <c r="G57" s="32">
        <f>IFERROR(INDEX(Match_Explanation!$H$6:$H$125,MATCH("BR-04|"&amp;INDEX(Matching_Engine!$C$78:$C$101,MATCH(LARGE(Matching_Engine!$BC$78:$BC$101,24),Matching_Engine!$BC$78:$BC$101,0)),Matching_Engine!$BG$6:$BG$125,0)),"")</f>
      </c>
    </row>
    <row r="60" ht="18" customHeight="1" spans="1:7" x14ac:dyDescent="0.25">
      <c r="A60" s="3" t="s">
        <v>732</v>
      </c>
      <c r="B60" s="3"/>
      <c r="C60" s="3"/>
      <c r="D60" s="3"/>
      <c r="E60" s="3"/>
      <c r="F60" s="3"/>
      <c r="G60" s="3"/>
    </row>
    <row r="61" ht="24" customHeight="1" spans="1:7" x14ac:dyDescent="0.25">
      <c r="A61" s="6" t="s">
        <v>722</v>
      </c>
      <c r="B61" s="6" t="s">
        <v>714</v>
      </c>
      <c r="C61" s="6" t="s">
        <v>627</v>
      </c>
      <c r="D61" s="6" t="s">
        <v>723</v>
      </c>
      <c r="E61" s="6" t="s">
        <v>724</v>
      </c>
      <c r="F61" s="6" t="s">
        <v>725</v>
      </c>
      <c r="G61" s="6" t="s">
        <v>726</v>
      </c>
    </row>
    <row r="62" spans="1:7" x14ac:dyDescent="0.25">
      <c r="A62" s="36" t="s">
        <v>727</v>
      </c>
      <c r="B62" s="35">
        <v>1</v>
      </c>
      <c r="C62" s="37">
        <f>Brand_Ranking!$B$114</f>
      </c>
      <c r="D62" s="38">
        <f>Brand_Ranking!$E$114</f>
      </c>
      <c r="E62" s="32">
        <f>IFERROR(INDEX(Match_Explanation!$F$6:$F$125,MATCH("BR-05|"&amp;INDEX(Matching_Engine!$C$102:$C$125,MATCH(LARGE(Matching_Engine!$BC$102:$BC$125,1),Matching_Engine!$BC$102:$BC$125,0)),Matching_Engine!$BG$6:$BG$125,0)),"")</f>
      </c>
      <c r="F62" s="32">
        <f>IFERROR(INDEX(Match_Explanation!$G$6:$G$125,MATCH("BR-05|"&amp;INDEX(Matching_Engine!$C$102:$C$125,MATCH(LARGE(Matching_Engine!$BC$102:$BC$125,1),Matching_Engine!$BC$102:$BC$125,0)),Matching_Engine!$BG$6:$BG$125,0)),"")</f>
      </c>
      <c r="G62" s="32">
        <f>IFERROR(INDEX(Match_Explanation!$H$6:$H$125,MATCH("BR-05|"&amp;INDEX(Matching_Engine!$C$102:$C$125,MATCH(LARGE(Matching_Engine!$BC$102:$BC$125,1),Matching_Engine!$BC$102:$BC$125,0)),Matching_Engine!$BG$6:$BG$125,0)),"")</f>
      </c>
    </row>
    <row r="63" spans="1:7" x14ac:dyDescent="0.25">
      <c r="A63" s="36" t="s">
        <v>727</v>
      </c>
      <c r="B63" s="35">
        <v>2</v>
      </c>
      <c r="C63" s="37">
        <f>Brand_Ranking!$B$115</f>
      </c>
      <c r="D63" s="38">
        <f>Brand_Ranking!$E$115</f>
      </c>
      <c r="E63" s="32">
        <f>IFERROR(INDEX(Match_Explanation!$F$6:$F$125,MATCH("BR-05|"&amp;INDEX(Matching_Engine!$C$102:$C$125,MATCH(LARGE(Matching_Engine!$BC$102:$BC$125,2),Matching_Engine!$BC$102:$BC$125,0)),Matching_Engine!$BG$6:$BG$125,0)),"")</f>
      </c>
      <c r="F63" s="32">
        <f>IFERROR(INDEX(Match_Explanation!$G$6:$G$125,MATCH("BR-05|"&amp;INDEX(Matching_Engine!$C$102:$C$125,MATCH(LARGE(Matching_Engine!$BC$102:$BC$125,2),Matching_Engine!$BC$102:$BC$125,0)),Matching_Engine!$BG$6:$BG$125,0)),"")</f>
      </c>
      <c r="G63" s="32">
        <f>IFERROR(INDEX(Match_Explanation!$H$6:$H$125,MATCH("BR-05|"&amp;INDEX(Matching_Engine!$C$102:$C$125,MATCH(LARGE(Matching_Engine!$BC$102:$BC$125,2),Matching_Engine!$BC$102:$BC$125,0)),Matching_Engine!$BG$6:$BG$125,0)),"")</f>
      </c>
    </row>
    <row r="64" spans="1:7" x14ac:dyDescent="0.25">
      <c r="A64" s="36" t="s">
        <v>727</v>
      </c>
      <c r="B64" s="35">
        <v>3</v>
      </c>
      <c r="C64" s="37">
        <f>Brand_Ranking!$B$116</f>
      </c>
      <c r="D64" s="38">
        <f>Brand_Ranking!$E$116</f>
      </c>
      <c r="E64" s="32">
        <f>IFERROR(INDEX(Match_Explanation!$F$6:$F$125,MATCH("BR-05|"&amp;INDEX(Matching_Engine!$C$102:$C$125,MATCH(LARGE(Matching_Engine!$BC$102:$BC$125,3),Matching_Engine!$BC$102:$BC$125,0)),Matching_Engine!$BG$6:$BG$125,0)),"")</f>
      </c>
      <c r="F64" s="32">
        <f>IFERROR(INDEX(Match_Explanation!$G$6:$G$125,MATCH("BR-05|"&amp;INDEX(Matching_Engine!$C$102:$C$125,MATCH(LARGE(Matching_Engine!$BC$102:$BC$125,3),Matching_Engine!$BC$102:$BC$125,0)),Matching_Engine!$BG$6:$BG$125,0)),"")</f>
      </c>
      <c r="G64" s="32">
        <f>IFERROR(INDEX(Match_Explanation!$H$6:$H$125,MATCH("BR-05|"&amp;INDEX(Matching_Engine!$C$102:$C$125,MATCH(LARGE(Matching_Engine!$BC$102:$BC$125,3),Matching_Engine!$BC$102:$BC$125,0)),Matching_Engine!$BG$6:$BG$125,0)),"")</f>
      </c>
    </row>
    <row r="65" spans="1:7" x14ac:dyDescent="0.25">
      <c r="A65" s="36" t="s">
        <v>727</v>
      </c>
      <c r="B65" s="35">
        <v>4</v>
      </c>
      <c r="C65" s="37">
        <f>Brand_Ranking!$B$117</f>
      </c>
      <c r="D65" s="38">
        <f>Brand_Ranking!$E$117</f>
      </c>
      <c r="E65" s="32">
        <f>IFERROR(INDEX(Match_Explanation!$F$6:$F$125,MATCH("BR-05|"&amp;INDEX(Matching_Engine!$C$102:$C$125,MATCH(LARGE(Matching_Engine!$BC$102:$BC$125,4),Matching_Engine!$BC$102:$BC$125,0)),Matching_Engine!$BG$6:$BG$125,0)),"")</f>
      </c>
      <c r="F65" s="32">
        <f>IFERROR(INDEX(Match_Explanation!$G$6:$G$125,MATCH("BR-05|"&amp;INDEX(Matching_Engine!$C$102:$C$125,MATCH(LARGE(Matching_Engine!$BC$102:$BC$125,4),Matching_Engine!$BC$102:$BC$125,0)),Matching_Engine!$BG$6:$BG$125,0)),"")</f>
      </c>
      <c r="G65" s="32">
        <f>IFERROR(INDEX(Match_Explanation!$H$6:$H$125,MATCH("BR-05|"&amp;INDEX(Matching_Engine!$C$102:$C$125,MATCH(LARGE(Matching_Engine!$BC$102:$BC$125,4),Matching_Engine!$BC$102:$BC$125,0)),Matching_Engine!$BG$6:$BG$125,0)),"")</f>
      </c>
    </row>
    <row r="66" spans="1:7" x14ac:dyDescent="0.25">
      <c r="A66" s="36" t="s">
        <v>727</v>
      </c>
      <c r="B66" s="35">
        <v>5</v>
      </c>
      <c r="C66" s="37">
        <f>Brand_Ranking!$B$118</f>
      </c>
      <c r="D66" s="38">
        <f>Brand_Ranking!$E$118</f>
      </c>
      <c r="E66" s="32">
        <f>IFERROR(INDEX(Match_Explanation!$F$6:$F$125,MATCH("BR-05|"&amp;INDEX(Matching_Engine!$C$102:$C$125,MATCH(LARGE(Matching_Engine!$BC$102:$BC$125,5),Matching_Engine!$BC$102:$BC$125,0)),Matching_Engine!$BG$6:$BG$125,0)),"")</f>
      </c>
      <c r="F66" s="32">
        <f>IFERROR(INDEX(Match_Explanation!$G$6:$G$125,MATCH("BR-05|"&amp;INDEX(Matching_Engine!$C$102:$C$125,MATCH(LARGE(Matching_Engine!$BC$102:$BC$125,5),Matching_Engine!$BC$102:$BC$125,0)),Matching_Engine!$BG$6:$BG$125,0)),"")</f>
      </c>
      <c r="G66" s="32">
        <f>IFERROR(INDEX(Match_Explanation!$H$6:$H$125,MATCH("BR-05|"&amp;INDEX(Matching_Engine!$C$102:$C$125,MATCH(LARGE(Matching_Engine!$BC$102:$BC$125,5),Matching_Engine!$BC$102:$BC$125,0)),Matching_Engine!$BG$6:$BG$125,0)),"")</f>
      </c>
    </row>
    <row r="67" spans="1:7" x14ac:dyDescent="0.25">
      <c r="A67" s="36" t="s">
        <v>728</v>
      </c>
      <c r="B67" s="35">
        <v>20</v>
      </c>
      <c r="C67" s="37">
        <f>Brand_Ranking!$B$133</f>
      </c>
      <c r="D67" s="38">
        <f>Brand_Ranking!$E$133</f>
      </c>
      <c r="E67" s="32">
        <f>IFERROR(INDEX(Match_Explanation!$F$6:$F$125,MATCH("BR-05|"&amp;INDEX(Matching_Engine!$C$102:$C$125,MATCH(LARGE(Matching_Engine!$BC$102:$BC$125,20),Matching_Engine!$BC$102:$BC$125,0)),Matching_Engine!$BG$6:$BG$125,0)),"")</f>
      </c>
      <c r="F67" s="32">
        <f>IFERROR(INDEX(Match_Explanation!$G$6:$G$125,MATCH("BR-05|"&amp;INDEX(Matching_Engine!$C$102:$C$125,MATCH(LARGE(Matching_Engine!$BC$102:$BC$125,20),Matching_Engine!$BC$102:$BC$125,0)),Matching_Engine!$BG$6:$BG$125,0)),"")</f>
      </c>
      <c r="G67" s="32">
        <f>IFERROR(INDEX(Match_Explanation!$H$6:$H$125,MATCH("BR-05|"&amp;INDEX(Matching_Engine!$C$102:$C$125,MATCH(LARGE(Matching_Engine!$BC$102:$BC$125,20),Matching_Engine!$BC$102:$BC$125,0)),Matching_Engine!$BG$6:$BG$125,0)),"")</f>
      </c>
    </row>
    <row r="68" spans="1:7" x14ac:dyDescent="0.25">
      <c r="A68" s="36" t="s">
        <v>728</v>
      </c>
      <c r="B68" s="35">
        <v>21</v>
      </c>
      <c r="C68" s="37">
        <f>Brand_Ranking!$B$134</f>
      </c>
      <c r="D68" s="38">
        <f>Brand_Ranking!$E$134</f>
      </c>
      <c r="E68" s="32">
        <f>IFERROR(INDEX(Match_Explanation!$F$6:$F$125,MATCH("BR-05|"&amp;INDEX(Matching_Engine!$C$102:$C$125,MATCH(LARGE(Matching_Engine!$BC$102:$BC$125,21),Matching_Engine!$BC$102:$BC$125,0)),Matching_Engine!$BG$6:$BG$125,0)),"")</f>
      </c>
      <c r="F68" s="32">
        <f>IFERROR(INDEX(Match_Explanation!$G$6:$G$125,MATCH("BR-05|"&amp;INDEX(Matching_Engine!$C$102:$C$125,MATCH(LARGE(Matching_Engine!$BC$102:$BC$125,21),Matching_Engine!$BC$102:$BC$125,0)),Matching_Engine!$BG$6:$BG$125,0)),"")</f>
      </c>
      <c r="G68" s="32">
        <f>IFERROR(INDEX(Match_Explanation!$H$6:$H$125,MATCH("BR-05|"&amp;INDEX(Matching_Engine!$C$102:$C$125,MATCH(LARGE(Matching_Engine!$BC$102:$BC$125,21),Matching_Engine!$BC$102:$BC$125,0)),Matching_Engine!$BG$6:$BG$125,0)),"")</f>
      </c>
    </row>
    <row r="69" spans="1:7" x14ac:dyDescent="0.25">
      <c r="A69" s="36" t="s">
        <v>728</v>
      </c>
      <c r="B69" s="35">
        <v>22</v>
      </c>
      <c r="C69" s="37">
        <f>Brand_Ranking!$B$135</f>
      </c>
      <c r="D69" s="38">
        <f>Brand_Ranking!$E$135</f>
      </c>
      <c r="E69" s="32">
        <f>IFERROR(INDEX(Match_Explanation!$F$6:$F$125,MATCH("BR-05|"&amp;INDEX(Matching_Engine!$C$102:$C$125,MATCH(LARGE(Matching_Engine!$BC$102:$BC$125,22),Matching_Engine!$BC$102:$BC$125,0)),Matching_Engine!$BG$6:$BG$125,0)),"")</f>
      </c>
      <c r="F69" s="32">
        <f>IFERROR(INDEX(Match_Explanation!$G$6:$G$125,MATCH("BR-05|"&amp;INDEX(Matching_Engine!$C$102:$C$125,MATCH(LARGE(Matching_Engine!$BC$102:$BC$125,22),Matching_Engine!$BC$102:$BC$125,0)),Matching_Engine!$BG$6:$BG$125,0)),"")</f>
      </c>
      <c r="G69" s="32">
        <f>IFERROR(INDEX(Match_Explanation!$H$6:$H$125,MATCH("BR-05|"&amp;INDEX(Matching_Engine!$C$102:$C$125,MATCH(LARGE(Matching_Engine!$BC$102:$BC$125,22),Matching_Engine!$BC$102:$BC$125,0)),Matching_Engine!$BG$6:$BG$125,0)),"")</f>
      </c>
    </row>
    <row r="70" spans="1:7" x14ac:dyDescent="0.25">
      <c r="A70" s="36" t="s">
        <v>728</v>
      </c>
      <c r="B70" s="35">
        <v>23</v>
      </c>
      <c r="C70" s="37">
        <f>Brand_Ranking!$B$136</f>
      </c>
      <c r="D70" s="38">
        <f>Brand_Ranking!$E$136</f>
      </c>
      <c r="E70" s="32">
        <f>IFERROR(INDEX(Match_Explanation!$F$6:$F$125,MATCH("BR-05|"&amp;INDEX(Matching_Engine!$C$102:$C$125,MATCH(LARGE(Matching_Engine!$BC$102:$BC$125,23),Matching_Engine!$BC$102:$BC$125,0)),Matching_Engine!$BG$6:$BG$125,0)),"")</f>
      </c>
      <c r="F70" s="32">
        <f>IFERROR(INDEX(Match_Explanation!$G$6:$G$125,MATCH("BR-05|"&amp;INDEX(Matching_Engine!$C$102:$C$125,MATCH(LARGE(Matching_Engine!$BC$102:$BC$125,23),Matching_Engine!$BC$102:$BC$125,0)),Matching_Engine!$BG$6:$BG$125,0)),"")</f>
      </c>
      <c r="G70" s="32">
        <f>IFERROR(INDEX(Match_Explanation!$H$6:$H$125,MATCH("BR-05|"&amp;INDEX(Matching_Engine!$C$102:$C$125,MATCH(LARGE(Matching_Engine!$BC$102:$BC$125,23),Matching_Engine!$BC$102:$BC$125,0)),Matching_Engine!$BG$6:$BG$125,0)),"")</f>
      </c>
    </row>
    <row r="71" spans="1:7" x14ac:dyDescent="0.25">
      <c r="A71" s="36" t="s">
        <v>728</v>
      </c>
      <c r="B71" s="35">
        <v>24</v>
      </c>
      <c r="C71" s="37">
        <f>Brand_Ranking!$B$137</f>
      </c>
      <c r="D71" s="38">
        <f>Brand_Ranking!$E$137</f>
      </c>
      <c r="E71" s="32">
        <f>IFERROR(INDEX(Match_Explanation!$F$6:$F$125,MATCH("BR-05|"&amp;INDEX(Matching_Engine!$C$102:$C$125,MATCH(LARGE(Matching_Engine!$BC$102:$BC$125,24),Matching_Engine!$BC$102:$BC$125,0)),Matching_Engine!$BG$6:$BG$125,0)),"")</f>
      </c>
      <c r="F71" s="32">
        <f>IFERROR(INDEX(Match_Explanation!$G$6:$G$125,MATCH("BR-05|"&amp;INDEX(Matching_Engine!$C$102:$C$125,MATCH(LARGE(Matching_Engine!$BC$102:$BC$125,24),Matching_Engine!$BC$102:$BC$125,0)),Matching_Engine!$BG$6:$BG$125,0)),"")</f>
      </c>
      <c r="G71" s="32">
        <f>IFERROR(INDEX(Match_Explanation!$H$6:$H$125,MATCH("BR-05|"&amp;INDEX(Matching_Engine!$C$102:$C$125,MATCH(LARGE(Matching_Engine!$BC$102:$BC$125,24),Matching_Engine!$BC$102:$BC$125,0)),Matching_Engine!$BG$6:$BG$125,0)),"")</f>
      </c>
    </row>
  </sheetData>
  <mergeCells count="7">
    <mergeCell ref="A1:G1"/>
    <mergeCell ref="A2:G2"/>
    <mergeCell ref="A4:G4"/>
    <mergeCell ref="A18:G18"/>
    <mergeCell ref="A32:G32"/>
    <mergeCell ref="A46:G46"/>
    <mergeCell ref="A60:G60"/>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4" customWidth="1"/>
    <col min="3" max="3" width="26" customWidth="1"/>
    <col min="4" max="4" width="22" customWidth="1"/>
    <col min="5" max="5" width="24" customWidth="1"/>
    <col min="6" max="6" width="28" customWidth="1"/>
    <col min="7" max="7" width="17" customWidth="1"/>
    <col min="8" max="8" width="62" customWidth="1"/>
  </cols>
  <sheetData>
    <row r="1" ht="24" customHeight="1" spans="1:8" x14ac:dyDescent="0.25">
      <c r="A1" s="1" t="s">
        <v>733</v>
      </c>
      <c r="B1" s="1"/>
      <c r="C1" s="1"/>
      <c r="D1" s="1"/>
      <c r="E1" s="1"/>
      <c r="F1" s="1"/>
      <c r="G1" s="1"/>
      <c r="H1" s="1"/>
    </row>
    <row r="2" ht="30" customHeight="1" spans="1:8" x14ac:dyDescent="0.25">
      <c r="A2" s="2" t="s">
        <v>734</v>
      </c>
      <c r="B2" s="2"/>
      <c r="C2" s="2"/>
      <c r="D2" s="2"/>
      <c r="E2" s="2"/>
      <c r="F2" s="2"/>
      <c r="G2" s="2"/>
      <c r="H2" s="2"/>
    </row>
    <row r="4" ht="18" customHeight="1" spans="1:8" x14ac:dyDescent="0.25">
      <c r="A4" s="3" t="s">
        <v>735</v>
      </c>
      <c r="B4" s="3"/>
      <c r="C4" s="3"/>
      <c r="D4" s="3"/>
      <c r="E4" s="3"/>
      <c r="F4" s="3"/>
      <c r="G4" s="3"/>
      <c r="H4" s="3"/>
    </row>
    <row r="5" ht="30" customHeight="1" spans="1:8" x14ac:dyDescent="0.25">
      <c r="A5" s="6" t="s">
        <v>736</v>
      </c>
      <c r="B5" s="6" t="s">
        <v>737</v>
      </c>
      <c r="C5" s="6" t="s">
        <v>379</v>
      </c>
      <c r="D5" s="6" t="s">
        <v>738</v>
      </c>
      <c r="E5" s="6" t="s">
        <v>739</v>
      </c>
      <c r="F5" s="6" t="s">
        <v>740</v>
      </c>
      <c r="G5" s="6" t="s">
        <v>741</v>
      </c>
      <c r="H5" s="6" t="s">
        <v>742</v>
      </c>
    </row>
    <row r="6" spans="1:8" x14ac:dyDescent="0.25">
      <c r="A6" s="7" t="s">
        <v>743</v>
      </c>
      <c r="B6" s="22" t="s">
        <v>744</v>
      </c>
      <c r="C6" s="20" t="s">
        <v>745</v>
      </c>
      <c r="D6" s="20" t="s">
        <v>746</v>
      </c>
      <c r="E6" s="20" t="s">
        <v>747</v>
      </c>
      <c r="F6" s="22" t="s">
        <v>96</v>
      </c>
      <c r="G6" s="22" t="s">
        <v>748</v>
      </c>
      <c r="H6" s="39" t="s">
        <v>749</v>
      </c>
    </row>
    <row r="7" spans="1:8" x14ac:dyDescent="0.25">
      <c r="A7" s="7" t="s">
        <v>743</v>
      </c>
      <c r="B7" s="22" t="s">
        <v>95</v>
      </c>
      <c r="C7" s="20" t="s">
        <v>750</v>
      </c>
      <c r="D7" s="20" t="s">
        <v>751</v>
      </c>
      <c r="E7" s="20" t="s">
        <v>747</v>
      </c>
      <c r="F7" s="22" t="s">
        <v>95</v>
      </c>
      <c r="G7" s="22" t="s">
        <v>748</v>
      </c>
      <c r="H7" s="39" t="s">
        <v>752</v>
      </c>
    </row>
    <row r="8" spans="1:8" x14ac:dyDescent="0.25">
      <c r="A8" s="7" t="s">
        <v>743</v>
      </c>
      <c r="B8" s="22" t="s">
        <v>753</v>
      </c>
      <c r="C8" s="20" t="s">
        <v>754</v>
      </c>
      <c r="D8" s="20" t="s">
        <v>751</v>
      </c>
      <c r="E8" s="20" t="s">
        <v>410</v>
      </c>
      <c r="F8" s="22" t="s">
        <v>755</v>
      </c>
      <c r="G8" s="7" t="s">
        <v>756</v>
      </c>
      <c r="H8" s="39" t="s">
        <v>757</v>
      </c>
    </row>
    <row r="9" spans="1:8" x14ac:dyDescent="0.25">
      <c r="A9" s="7" t="s">
        <v>758</v>
      </c>
      <c r="B9" s="22" t="s">
        <v>173</v>
      </c>
      <c r="C9" s="20" t="s">
        <v>759</v>
      </c>
      <c r="D9" s="20" t="s">
        <v>760</v>
      </c>
      <c r="E9" s="20" t="s">
        <v>761</v>
      </c>
      <c r="F9" s="22" t="s">
        <v>97</v>
      </c>
      <c r="G9" s="22" t="s">
        <v>748</v>
      </c>
      <c r="H9" s="39">
        <f>COUNTIF(KOL_Source_Data!$E$6:$E$29,"TikTok")&amp;" of 24 would be removed by an Instagram-only filter"</f>
      </c>
    </row>
    <row r="10" spans="1:8" x14ac:dyDescent="0.25">
      <c r="A10" s="7" t="s">
        <v>758</v>
      </c>
      <c r="B10" s="22" t="s">
        <v>231</v>
      </c>
      <c r="C10" s="20" t="s">
        <v>762</v>
      </c>
      <c r="D10" s="20" t="s">
        <v>760</v>
      </c>
      <c r="E10" s="20" t="s">
        <v>761</v>
      </c>
      <c r="F10" s="22" t="s">
        <v>97</v>
      </c>
      <c r="G10" s="22" t="s">
        <v>748</v>
      </c>
      <c r="H10" s="39">
        <f>COUNTIF(KOL_Source_Data!$E$6:$E$29,"Instagram")&amp;" of 24 would be removed by a TikTok-only filter"</f>
      </c>
    </row>
    <row r="11" spans="1:8" x14ac:dyDescent="0.25">
      <c r="A11" s="7" t="s">
        <v>763</v>
      </c>
      <c r="B11" s="22" t="s">
        <v>103</v>
      </c>
      <c r="C11" s="20" t="s">
        <v>764</v>
      </c>
      <c r="D11" s="20" t="s">
        <v>765</v>
      </c>
      <c r="E11" s="20" t="s">
        <v>766</v>
      </c>
      <c r="F11" s="22" t="s">
        <v>103</v>
      </c>
      <c r="G11" s="22" t="s">
        <v>748</v>
      </c>
      <c r="H11" s="39">
        <f>COUNTIF(KOL_Source_Data!$K$6:$K$29,"N/A")&amp;" of 24 carry no category at all and would be removed by any category requirement"</f>
      </c>
    </row>
    <row r="12" spans="1:8" x14ac:dyDescent="0.25">
      <c r="A12" s="7" t="s">
        <v>763</v>
      </c>
      <c r="B12" s="22" t="s">
        <v>100</v>
      </c>
      <c r="C12" s="20" t="s">
        <v>767</v>
      </c>
      <c r="D12" s="20" t="s">
        <v>765</v>
      </c>
      <c r="E12" s="20" t="s">
        <v>768</v>
      </c>
      <c r="F12" s="22" t="s">
        <v>100</v>
      </c>
      <c r="G12" s="22" t="s">
        <v>748</v>
      </c>
      <c r="H12" s="39">
        <f>COUNTIF(KOL_Source_Data!$H$6:$H$29,"N/A")&amp;" of 24 carry no tier"</f>
      </c>
    </row>
    <row r="13" spans="1:8" x14ac:dyDescent="0.25">
      <c r="A13" s="7" t="s">
        <v>763</v>
      </c>
      <c r="B13" s="22" t="s">
        <v>99</v>
      </c>
      <c r="C13" s="20" t="s">
        <v>769</v>
      </c>
      <c r="D13" s="20" t="s">
        <v>770</v>
      </c>
      <c r="E13" s="20" t="s">
        <v>771</v>
      </c>
      <c r="F13" s="22" t="s">
        <v>99</v>
      </c>
      <c r="G13" s="22" t="s">
        <v>748</v>
      </c>
      <c r="H13" s="39">
        <f>COUNTIF(KOL_Source_Data!$G$6:$G$29,"&lt;1000000")&amp;" of 24 sit below 1M followers"</f>
      </c>
    </row>
    <row r="14" spans="1:8" x14ac:dyDescent="0.25">
      <c r="A14" s="7" t="s">
        <v>763</v>
      </c>
      <c r="B14" s="22" t="s">
        <v>772</v>
      </c>
      <c r="C14" s="20" t="s">
        <v>773</v>
      </c>
      <c r="D14" s="20" t="s">
        <v>774</v>
      </c>
      <c r="E14" s="20" t="s">
        <v>775</v>
      </c>
      <c r="F14" s="22" t="s">
        <v>772</v>
      </c>
      <c r="G14" s="22" t="s">
        <v>748</v>
      </c>
      <c r="H14" s="39">
        <f>COUNTIF(KOL_Source_Data!$BG$6:$BG$29,"&lt;1")+COUNTIF(KOL_Source_Data!$BG$6:$BG$29,"N/A")&amp;" of 24 would be removed at Minimum ER = 1%"</f>
      </c>
    </row>
    <row r="15" spans="1:8" x14ac:dyDescent="0.25">
      <c r="A15" s="7" t="s">
        <v>763</v>
      </c>
      <c r="B15" s="22" t="s">
        <v>776</v>
      </c>
      <c r="C15" s="20" t="s">
        <v>777</v>
      </c>
      <c r="D15" s="20" t="s">
        <v>778</v>
      </c>
      <c r="E15" s="20" t="s">
        <v>747</v>
      </c>
      <c r="F15" s="22" t="s">
        <v>776</v>
      </c>
      <c r="G15" s="7" t="s">
        <v>779</v>
      </c>
      <c r="H15" s="39">
        <f>"removes all 24 — no creator on this server has completed the OAuth connect flow"</f>
      </c>
    </row>
    <row r="16" spans="1:8" x14ac:dyDescent="0.25">
      <c r="A16" s="7" t="s">
        <v>89</v>
      </c>
      <c r="B16" s="22" t="s">
        <v>122</v>
      </c>
      <c r="C16" s="20" t="s">
        <v>780</v>
      </c>
      <c r="D16" s="20" t="s">
        <v>781</v>
      </c>
      <c r="E16" s="20" t="s">
        <v>440</v>
      </c>
      <c r="F16" s="22" t="s">
        <v>122</v>
      </c>
      <c r="G16" s="7" t="s">
        <v>779</v>
      </c>
      <c r="H16" s="39" t="s">
        <v>782</v>
      </c>
    </row>
    <row r="17" spans="1:8" x14ac:dyDescent="0.25">
      <c r="A17" s="7" t="s">
        <v>89</v>
      </c>
      <c r="B17" s="22" t="s">
        <v>163</v>
      </c>
      <c r="C17" s="20" t="s">
        <v>783</v>
      </c>
      <c r="D17" s="20" t="s">
        <v>784</v>
      </c>
      <c r="E17" s="20" t="s">
        <v>785</v>
      </c>
      <c r="F17" s="22" t="s">
        <v>163</v>
      </c>
      <c r="G17" s="7" t="s">
        <v>779</v>
      </c>
      <c r="H17" s="39">
        <f>COUNTIF(KOL_Source_Data!$BS$6:$BS$29,"N/A")&amp;" of 24 have no audience-quality reading and would be removed by any minimum"</f>
      </c>
    </row>
    <row r="18" spans="1:8" x14ac:dyDescent="0.25">
      <c r="A18" s="7" t="s">
        <v>90</v>
      </c>
      <c r="B18" s="22" t="s">
        <v>772</v>
      </c>
      <c r="C18" s="20" t="s">
        <v>773</v>
      </c>
      <c r="D18" s="20" t="s">
        <v>786</v>
      </c>
      <c r="E18" s="20" t="s">
        <v>775</v>
      </c>
      <c r="F18" s="22" t="s">
        <v>772</v>
      </c>
      <c r="G18" s="22" t="s">
        <v>748</v>
      </c>
      <c r="H18" s="39">
        <f>COUNTIF(KOL_Source_Data!$BG$6:$BG$29,"&lt;1")+COUNTIF(KOL_Source_Data!$BG$6:$BG$29,"N/A")&amp;" of 24 would be removed at Minimum ER = 1%"</f>
      </c>
    </row>
    <row r="19" spans="1:8" x14ac:dyDescent="0.25">
      <c r="A19" s="7" t="s">
        <v>787</v>
      </c>
      <c r="B19" s="22" t="s">
        <v>788</v>
      </c>
      <c r="C19" s="20" t="s">
        <v>789</v>
      </c>
      <c r="D19" s="20" t="s">
        <v>790</v>
      </c>
      <c r="E19" s="20" t="s">
        <v>747</v>
      </c>
      <c r="F19" s="22" t="s">
        <v>791</v>
      </c>
      <c r="G19" s="7" t="s">
        <v>779</v>
      </c>
      <c r="H19" s="39" t="s">
        <v>792</v>
      </c>
    </row>
    <row r="20" spans="1:8" x14ac:dyDescent="0.25">
      <c r="A20" s="7" t="s">
        <v>793</v>
      </c>
      <c r="B20" s="22" t="s">
        <v>794</v>
      </c>
      <c r="C20" s="20" t="s">
        <v>795</v>
      </c>
      <c r="D20" s="20" t="s">
        <v>784</v>
      </c>
      <c r="E20" s="20" t="s">
        <v>796</v>
      </c>
      <c r="F20" s="22" t="s">
        <v>797</v>
      </c>
      <c r="G20" s="7" t="s">
        <v>779</v>
      </c>
      <c r="H20" s="39" t="s">
        <v>798</v>
      </c>
    </row>
    <row r="21" spans="1:8" x14ac:dyDescent="0.25">
      <c r="A21" s="7" t="s">
        <v>799</v>
      </c>
      <c r="B21" s="22" t="s">
        <v>800</v>
      </c>
      <c r="C21" s="20" t="s">
        <v>801</v>
      </c>
      <c r="D21" s="20" t="s">
        <v>778</v>
      </c>
      <c r="E21" s="20" t="s">
        <v>801</v>
      </c>
      <c r="F21" s="22" t="s">
        <v>800</v>
      </c>
      <c r="G21" s="22" t="s">
        <v>748</v>
      </c>
      <c r="H21" s="39" t="s">
        <v>802</v>
      </c>
    </row>
    <row r="22" spans="1:8" x14ac:dyDescent="0.25">
      <c r="A22" s="7" t="s">
        <v>799</v>
      </c>
      <c r="B22" s="22" t="s">
        <v>803</v>
      </c>
      <c r="C22" s="20" t="s">
        <v>804</v>
      </c>
      <c r="D22" s="20" t="s">
        <v>778</v>
      </c>
      <c r="E22" s="20" t="s">
        <v>804</v>
      </c>
      <c r="F22" s="22" t="s">
        <v>805</v>
      </c>
      <c r="G22" s="22" t="s">
        <v>748</v>
      </c>
      <c r="H22" s="39" t="s">
        <v>806</v>
      </c>
    </row>
    <row r="23" spans="1:8" x14ac:dyDescent="0.25">
      <c r="A23" s="7" t="s">
        <v>799</v>
      </c>
      <c r="B23" s="22" t="s">
        <v>807</v>
      </c>
      <c r="C23" s="20" t="s">
        <v>808</v>
      </c>
      <c r="D23" s="20" t="s">
        <v>778</v>
      </c>
      <c r="E23" s="20" t="s">
        <v>808</v>
      </c>
      <c r="F23" s="22" t="s">
        <v>807</v>
      </c>
      <c r="G23" s="7" t="s">
        <v>779</v>
      </c>
      <c r="H23" s="39" t="s">
        <v>809</v>
      </c>
    </row>
    <row r="24" spans="1:8" x14ac:dyDescent="0.25">
      <c r="A24" s="7" t="s">
        <v>799</v>
      </c>
      <c r="B24" s="22" t="s">
        <v>810</v>
      </c>
      <c r="C24" s="20" t="s">
        <v>811</v>
      </c>
      <c r="D24" s="20" t="s">
        <v>778</v>
      </c>
      <c r="E24" s="20" t="s">
        <v>811</v>
      </c>
      <c r="F24" s="22" t="s">
        <v>810</v>
      </c>
      <c r="G24" s="7" t="s">
        <v>812</v>
      </c>
      <c r="H24" s="39" t="s">
        <v>813</v>
      </c>
    </row>
    <row r="25" spans="1:8" x14ac:dyDescent="0.25">
      <c r="A25" s="7" t="s">
        <v>799</v>
      </c>
      <c r="B25" s="22" t="s">
        <v>814</v>
      </c>
      <c r="C25" s="20" t="s">
        <v>815</v>
      </c>
      <c r="D25" s="20" t="s">
        <v>816</v>
      </c>
      <c r="E25" s="20" t="s">
        <v>815</v>
      </c>
      <c r="F25" s="22" t="s">
        <v>817</v>
      </c>
      <c r="G25" s="7" t="s">
        <v>779</v>
      </c>
      <c r="H25" s="39" t="s">
        <v>818</v>
      </c>
    </row>
    <row r="26" spans="1:8" x14ac:dyDescent="0.25">
      <c r="A26" s="7" t="s">
        <v>799</v>
      </c>
      <c r="B26" s="22" t="s">
        <v>819</v>
      </c>
      <c r="C26" s="20" t="s">
        <v>796</v>
      </c>
      <c r="D26" s="20" t="s">
        <v>786</v>
      </c>
      <c r="E26" s="20" t="s">
        <v>796</v>
      </c>
      <c r="F26" s="22" t="s">
        <v>797</v>
      </c>
      <c r="G26" s="7" t="s">
        <v>779</v>
      </c>
      <c r="H26" s="39" t="s">
        <v>818</v>
      </c>
    </row>
    <row r="29" ht="18" customHeight="1" spans="1:8" x14ac:dyDescent="0.25">
      <c r="A29" s="3" t="s">
        <v>820</v>
      </c>
      <c r="B29" s="3"/>
      <c r="C29" s="3"/>
      <c r="D29" s="3"/>
      <c r="E29" s="3"/>
      <c r="F29" s="3"/>
      <c r="G29" s="3"/>
      <c r="H29" s="3"/>
    </row>
    <row r="30" ht="30" customHeight="1" spans="1:8" x14ac:dyDescent="0.25">
      <c r="A30" s="6" t="s">
        <v>736</v>
      </c>
      <c r="B30" s="6" t="s">
        <v>737</v>
      </c>
      <c r="C30" s="6" t="s">
        <v>379</v>
      </c>
      <c r="D30" s="6" t="s">
        <v>738</v>
      </c>
      <c r="E30" s="6" t="s">
        <v>739</v>
      </c>
      <c r="F30" s="6" t="s">
        <v>740</v>
      </c>
      <c r="G30" s="6" t="s">
        <v>741</v>
      </c>
      <c r="H30" s="6" t="s">
        <v>742</v>
      </c>
    </row>
    <row r="31" spans="1:8" x14ac:dyDescent="0.25">
      <c r="A31" s="7" t="s">
        <v>743</v>
      </c>
      <c r="B31" s="22" t="s">
        <v>821</v>
      </c>
      <c r="C31" s="20" t="s">
        <v>822</v>
      </c>
      <c r="D31" s="20" t="s">
        <v>823</v>
      </c>
      <c r="E31" s="20" t="s">
        <v>824</v>
      </c>
      <c r="F31" s="22" t="s">
        <v>106</v>
      </c>
      <c r="G31" s="7" t="s">
        <v>779</v>
      </c>
      <c r="H31" s="39" t="s">
        <v>825</v>
      </c>
    </row>
    <row r="32" spans="1:8" x14ac:dyDescent="0.25">
      <c r="A32" s="7" t="s">
        <v>763</v>
      </c>
      <c r="B32" s="22" t="s">
        <v>108</v>
      </c>
      <c r="C32" s="20" t="s">
        <v>826</v>
      </c>
      <c r="D32" s="20" t="s">
        <v>765</v>
      </c>
      <c r="E32" s="20" t="s">
        <v>827</v>
      </c>
      <c r="F32" s="22" t="s">
        <v>108</v>
      </c>
      <c r="G32" s="7" t="s">
        <v>779</v>
      </c>
      <c r="H32" s="39" t="s">
        <v>828</v>
      </c>
    </row>
    <row r="33" spans="1:8" x14ac:dyDescent="0.25">
      <c r="A33" s="7" t="s">
        <v>763</v>
      </c>
      <c r="B33" s="22" t="s">
        <v>829</v>
      </c>
      <c r="C33" s="20" t="s">
        <v>830</v>
      </c>
      <c r="D33" s="20" t="s">
        <v>781</v>
      </c>
      <c r="E33" s="20" t="s">
        <v>443</v>
      </c>
      <c r="F33" s="22" t="s">
        <v>110</v>
      </c>
      <c r="G33" s="7" t="s">
        <v>779</v>
      </c>
      <c r="H33" s="39" t="s">
        <v>831</v>
      </c>
    </row>
    <row r="34" spans="1:8" x14ac:dyDescent="0.25">
      <c r="A34" s="7" t="s">
        <v>89</v>
      </c>
      <c r="B34" s="22" t="s">
        <v>832</v>
      </c>
      <c r="C34" s="20" t="s">
        <v>833</v>
      </c>
      <c r="D34" s="20" t="s">
        <v>781</v>
      </c>
      <c r="E34" s="20" t="s">
        <v>834</v>
      </c>
      <c r="F34" s="22" t="s">
        <v>832</v>
      </c>
      <c r="G34" s="7" t="s">
        <v>779</v>
      </c>
      <c r="H34" s="39" t="s">
        <v>835</v>
      </c>
    </row>
    <row r="35" spans="1:8" x14ac:dyDescent="0.25">
      <c r="A35" s="7" t="s">
        <v>89</v>
      </c>
      <c r="B35" s="22" t="s">
        <v>836</v>
      </c>
      <c r="C35" s="20" t="s">
        <v>837</v>
      </c>
      <c r="D35" s="20" t="s">
        <v>781</v>
      </c>
      <c r="E35" s="20" t="s">
        <v>443</v>
      </c>
      <c r="F35" s="22" t="s">
        <v>836</v>
      </c>
      <c r="G35" s="7" t="s">
        <v>779</v>
      </c>
      <c r="H35" s="39" t="s">
        <v>838</v>
      </c>
    </row>
    <row r="36" spans="1:8" x14ac:dyDescent="0.25">
      <c r="A36" s="7" t="s">
        <v>89</v>
      </c>
      <c r="B36" s="22" t="s">
        <v>839</v>
      </c>
      <c r="C36" s="20" t="s">
        <v>840</v>
      </c>
      <c r="D36" s="20" t="s">
        <v>841</v>
      </c>
      <c r="E36" s="20" t="s">
        <v>842</v>
      </c>
      <c r="F36" s="22" t="s">
        <v>843</v>
      </c>
      <c r="G36" s="7" t="s">
        <v>779</v>
      </c>
      <c r="H36" s="39" t="s">
        <v>844</v>
      </c>
    </row>
    <row r="37" spans="1:8" x14ac:dyDescent="0.25">
      <c r="A37" s="7" t="s">
        <v>89</v>
      </c>
      <c r="B37" s="22" t="s">
        <v>845</v>
      </c>
      <c r="C37" s="20" t="s">
        <v>846</v>
      </c>
      <c r="D37" s="20" t="s">
        <v>847</v>
      </c>
      <c r="E37" s="20" t="s">
        <v>435</v>
      </c>
      <c r="F37" s="22" t="s">
        <v>848</v>
      </c>
      <c r="G37" s="7" t="s">
        <v>779</v>
      </c>
      <c r="H37" s="39" t="s">
        <v>849</v>
      </c>
    </row>
    <row r="38" spans="1:8" x14ac:dyDescent="0.25">
      <c r="A38" s="7" t="s">
        <v>89</v>
      </c>
      <c r="B38" s="22" t="s">
        <v>445</v>
      </c>
      <c r="C38" s="20" t="s">
        <v>850</v>
      </c>
      <c r="D38" s="20" t="s">
        <v>823</v>
      </c>
      <c r="E38" s="20" t="s">
        <v>851</v>
      </c>
      <c r="F38" s="22" t="s">
        <v>445</v>
      </c>
      <c r="G38" s="7" t="s">
        <v>779</v>
      </c>
      <c r="H38" s="39" t="s">
        <v>852</v>
      </c>
    </row>
    <row r="39" spans="1:8" x14ac:dyDescent="0.25">
      <c r="A39" s="7" t="s">
        <v>89</v>
      </c>
      <c r="B39" s="22" t="s">
        <v>853</v>
      </c>
      <c r="C39" s="20" t="s">
        <v>854</v>
      </c>
      <c r="D39" s="20" t="s">
        <v>784</v>
      </c>
      <c r="E39" s="20" t="s">
        <v>747</v>
      </c>
      <c r="F39" s="22" t="s">
        <v>853</v>
      </c>
      <c r="G39" s="7" t="s">
        <v>779</v>
      </c>
      <c r="H39" s="39" t="s">
        <v>855</v>
      </c>
    </row>
    <row r="40" spans="1:8" x14ac:dyDescent="0.25">
      <c r="A40" s="7" t="s">
        <v>89</v>
      </c>
      <c r="B40" s="22" t="s">
        <v>856</v>
      </c>
      <c r="C40" s="20" t="s">
        <v>857</v>
      </c>
      <c r="D40" s="20" t="s">
        <v>781</v>
      </c>
      <c r="E40" s="20" t="s">
        <v>747</v>
      </c>
      <c r="F40" s="22" t="s">
        <v>856</v>
      </c>
      <c r="G40" s="7" t="s">
        <v>812</v>
      </c>
      <c r="H40" s="39" t="s">
        <v>813</v>
      </c>
    </row>
    <row r="41" spans="1:8" x14ac:dyDescent="0.25">
      <c r="A41" s="7" t="s">
        <v>90</v>
      </c>
      <c r="B41" s="22" t="s">
        <v>153</v>
      </c>
      <c r="C41" s="20" t="s">
        <v>858</v>
      </c>
      <c r="D41" s="20" t="s">
        <v>786</v>
      </c>
      <c r="E41" s="20" t="s">
        <v>747</v>
      </c>
      <c r="F41" s="22" t="s">
        <v>153</v>
      </c>
      <c r="G41" s="7" t="s">
        <v>756</v>
      </c>
      <c r="H41" s="39" t="s">
        <v>859</v>
      </c>
    </row>
    <row r="42" spans="1:8" x14ac:dyDescent="0.25">
      <c r="A42" s="7" t="s">
        <v>90</v>
      </c>
      <c r="B42" s="22" t="s">
        <v>154</v>
      </c>
      <c r="C42" s="20" t="s">
        <v>860</v>
      </c>
      <c r="D42" s="20" t="s">
        <v>786</v>
      </c>
      <c r="E42" s="20" t="s">
        <v>747</v>
      </c>
      <c r="F42" s="22" t="s">
        <v>154</v>
      </c>
      <c r="G42" s="7" t="s">
        <v>812</v>
      </c>
      <c r="H42" s="39" t="s">
        <v>813</v>
      </c>
    </row>
    <row r="43" spans="1:8" x14ac:dyDescent="0.25">
      <c r="A43" s="7" t="s">
        <v>90</v>
      </c>
      <c r="B43" s="22" t="s">
        <v>861</v>
      </c>
      <c r="C43" s="20" t="s">
        <v>862</v>
      </c>
      <c r="D43" s="20" t="s">
        <v>786</v>
      </c>
      <c r="E43" s="20" t="s">
        <v>747</v>
      </c>
      <c r="F43" s="22" t="s">
        <v>861</v>
      </c>
      <c r="G43" s="7" t="s">
        <v>756</v>
      </c>
      <c r="H43" s="39" t="s">
        <v>863</v>
      </c>
    </row>
    <row r="44" spans="1:8" x14ac:dyDescent="0.25">
      <c r="A44" s="7" t="s">
        <v>90</v>
      </c>
      <c r="B44" s="22" t="s">
        <v>864</v>
      </c>
      <c r="C44" s="20" t="s">
        <v>865</v>
      </c>
      <c r="D44" s="20" t="s">
        <v>786</v>
      </c>
      <c r="E44" s="20" t="s">
        <v>747</v>
      </c>
      <c r="F44" s="22" t="s">
        <v>864</v>
      </c>
      <c r="G44" s="7" t="s">
        <v>756</v>
      </c>
      <c r="H44" s="39" t="s">
        <v>866</v>
      </c>
    </row>
    <row r="45" spans="1:8" x14ac:dyDescent="0.25">
      <c r="A45" s="7" t="s">
        <v>90</v>
      </c>
      <c r="B45" s="22" t="s">
        <v>867</v>
      </c>
      <c r="C45" s="20" t="s">
        <v>868</v>
      </c>
      <c r="D45" s="20" t="s">
        <v>786</v>
      </c>
      <c r="E45" s="20" t="s">
        <v>747</v>
      </c>
      <c r="F45" s="22" t="s">
        <v>654</v>
      </c>
      <c r="G45" s="7" t="s">
        <v>779</v>
      </c>
      <c r="H45" s="39" t="s">
        <v>869</v>
      </c>
    </row>
    <row r="46" spans="1:8" x14ac:dyDescent="0.25">
      <c r="A46" s="7" t="s">
        <v>90</v>
      </c>
      <c r="B46" s="22" t="s">
        <v>870</v>
      </c>
      <c r="C46" s="20" t="s">
        <v>871</v>
      </c>
      <c r="D46" s="20" t="s">
        <v>872</v>
      </c>
      <c r="E46" s="20" t="s">
        <v>747</v>
      </c>
      <c r="F46" s="22" t="s">
        <v>873</v>
      </c>
      <c r="G46" s="7" t="s">
        <v>756</v>
      </c>
      <c r="H46" s="39" t="s">
        <v>874</v>
      </c>
    </row>
    <row r="47" spans="1:8" x14ac:dyDescent="0.25">
      <c r="A47" s="7" t="s">
        <v>90</v>
      </c>
      <c r="B47" s="22" t="s">
        <v>875</v>
      </c>
      <c r="C47" s="20" t="s">
        <v>876</v>
      </c>
      <c r="D47" s="20" t="s">
        <v>786</v>
      </c>
      <c r="E47" s="20" t="s">
        <v>747</v>
      </c>
      <c r="F47" s="22" t="s">
        <v>875</v>
      </c>
      <c r="G47" s="7" t="s">
        <v>779</v>
      </c>
      <c r="H47" s="39" t="s">
        <v>877</v>
      </c>
    </row>
    <row r="48" spans="1:8" x14ac:dyDescent="0.25">
      <c r="A48" s="7" t="s">
        <v>90</v>
      </c>
      <c r="B48" s="22" t="s">
        <v>878</v>
      </c>
      <c r="C48" s="20" t="s">
        <v>879</v>
      </c>
      <c r="D48" s="20" t="s">
        <v>786</v>
      </c>
      <c r="E48" s="20" t="s">
        <v>747</v>
      </c>
      <c r="F48" s="22" t="s">
        <v>878</v>
      </c>
      <c r="G48" s="7" t="s">
        <v>779</v>
      </c>
      <c r="H48" s="39" t="s">
        <v>880</v>
      </c>
    </row>
    <row r="49" spans="1:8" x14ac:dyDescent="0.25">
      <c r="A49" s="7" t="s">
        <v>90</v>
      </c>
      <c r="B49" s="22" t="s">
        <v>155</v>
      </c>
      <c r="C49" s="20" t="s">
        <v>881</v>
      </c>
      <c r="D49" s="20" t="s">
        <v>786</v>
      </c>
      <c r="E49" s="20" t="s">
        <v>747</v>
      </c>
      <c r="F49" s="22" t="s">
        <v>155</v>
      </c>
      <c r="G49" s="7" t="s">
        <v>756</v>
      </c>
      <c r="H49" s="39" t="s">
        <v>882</v>
      </c>
    </row>
    <row r="50" spans="1:8" x14ac:dyDescent="0.25">
      <c r="A50" s="7" t="s">
        <v>787</v>
      </c>
      <c r="B50" s="22" t="s">
        <v>883</v>
      </c>
      <c r="C50" s="20" t="s">
        <v>884</v>
      </c>
      <c r="D50" s="20" t="s">
        <v>786</v>
      </c>
      <c r="E50" s="20" t="s">
        <v>747</v>
      </c>
      <c r="F50" s="22" t="s">
        <v>883</v>
      </c>
      <c r="G50" s="7" t="s">
        <v>779</v>
      </c>
      <c r="H50" s="39" t="s">
        <v>885</v>
      </c>
    </row>
    <row r="51" spans="1:8" x14ac:dyDescent="0.25">
      <c r="A51" s="7" t="s">
        <v>787</v>
      </c>
      <c r="B51" s="22" t="s">
        <v>886</v>
      </c>
      <c r="C51" s="20" t="s">
        <v>887</v>
      </c>
      <c r="D51" s="20" t="s">
        <v>786</v>
      </c>
      <c r="E51" s="20" t="s">
        <v>747</v>
      </c>
      <c r="F51" s="22" t="s">
        <v>886</v>
      </c>
      <c r="G51" s="7" t="s">
        <v>779</v>
      </c>
      <c r="H51" s="39" t="s">
        <v>888</v>
      </c>
    </row>
    <row r="52" spans="1:8" x14ac:dyDescent="0.25">
      <c r="A52" s="7" t="s">
        <v>787</v>
      </c>
      <c r="B52" s="22" t="s">
        <v>889</v>
      </c>
      <c r="C52" s="20" t="s">
        <v>890</v>
      </c>
      <c r="D52" s="20" t="s">
        <v>786</v>
      </c>
      <c r="E52" s="20" t="s">
        <v>747</v>
      </c>
      <c r="F52" s="22" t="s">
        <v>889</v>
      </c>
      <c r="G52" s="7" t="s">
        <v>779</v>
      </c>
      <c r="H52" s="39" t="s">
        <v>891</v>
      </c>
    </row>
    <row r="53" spans="1:8" x14ac:dyDescent="0.25">
      <c r="A53" s="7" t="s">
        <v>787</v>
      </c>
      <c r="B53" s="22" t="s">
        <v>892</v>
      </c>
      <c r="C53" s="20" t="s">
        <v>893</v>
      </c>
      <c r="D53" s="20" t="s">
        <v>786</v>
      </c>
      <c r="E53" s="20" t="s">
        <v>747</v>
      </c>
      <c r="F53" s="22" t="s">
        <v>892</v>
      </c>
      <c r="G53" s="7" t="s">
        <v>779</v>
      </c>
      <c r="H53" s="39" t="s">
        <v>894</v>
      </c>
    </row>
    <row r="54" spans="1:8" x14ac:dyDescent="0.25">
      <c r="A54" s="7" t="s">
        <v>787</v>
      </c>
      <c r="B54" s="22" t="s">
        <v>895</v>
      </c>
      <c r="C54" s="20" t="s">
        <v>896</v>
      </c>
      <c r="D54" s="20" t="s">
        <v>786</v>
      </c>
      <c r="E54" s="20" t="s">
        <v>747</v>
      </c>
      <c r="F54" s="22" t="s">
        <v>895</v>
      </c>
      <c r="G54" s="7" t="s">
        <v>779</v>
      </c>
      <c r="H54" s="39" t="s">
        <v>897</v>
      </c>
    </row>
    <row r="55" spans="1:8" x14ac:dyDescent="0.25">
      <c r="A55" s="7" t="s">
        <v>793</v>
      </c>
      <c r="B55" s="22" t="s">
        <v>898</v>
      </c>
      <c r="C55" s="20" t="s">
        <v>899</v>
      </c>
      <c r="D55" s="20" t="s">
        <v>784</v>
      </c>
      <c r="E55" s="20" t="s">
        <v>900</v>
      </c>
      <c r="F55" s="22" t="s">
        <v>28</v>
      </c>
      <c r="G55" s="7" t="s">
        <v>812</v>
      </c>
      <c r="H55" s="39" t="s">
        <v>813</v>
      </c>
    </row>
    <row r="56" spans="1:8" x14ac:dyDescent="0.25">
      <c r="A56" s="7" t="s">
        <v>793</v>
      </c>
      <c r="B56" s="22" t="s">
        <v>901</v>
      </c>
      <c r="C56" s="20" t="s">
        <v>902</v>
      </c>
      <c r="D56" s="20" t="s">
        <v>784</v>
      </c>
      <c r="E56" s="20" t="s">
        <v>747</v>
      </c>
      <c r="F56" s="22" t="s">
        <v>903</v>
      </c>
      <c r="G56" s="7" t="s">
        <v>779</v>
      </c>
      <c r="H56" s="39" t="s">
        <v>904</v>
      </c>
    </row>
    <row r="57" spans="1:8" x14ac:dyDescent="0.25">
      <c r="A57" s="7" t="s">
        <v>793</v>
      </c>
      <c r="B57" s="22" t="s">
        <v>905</v>
      </c>
      <c r="C57" s="20" t="s">
        <v>906</v>
      </c>
      <c r="D57" s="20" t="s">
        <v>784</v>
      </c>
      <c r="E57" s="20" t="s">
        <v>747</v>
      </c>
      <c r="F57" s="22" t="s">
        <v>905</v>
      </c>
      <c r="G57" s="7" t="s">
        <v>812</v>
      </c>
      <c r="H57" s="39" t="s">
        <v>813</v>
      </c>
    </row>
    <row r="58" spans="1:8" x14ac:dyDescent="0.25">
      <c r="A58" s="7" t="s">
        <v>793</v>
      </c>
      <c r="B58" s="22" t="s">
        <v>907</v>
      </c>
      <c r="C58" s="20" t="s">
        <v>908</v>
      </c>
      <c r="D58" s="20" t="s">
        <v>784</v>
      </c>
      <c r="E58" s="20" t="s">
        <v>824</v>
      </c>
      <c r="F58" s="22" t="s">
        <v>909</v>
      </c>
      <c r="G58" s="7" t="s">
        <v>812</v>
      </c>
      <c r="H58" s="39" t="s">
        <v>813</v>
      </c>
    </row>
    <row r="59" spans="1:8" x14ac:dyDescent="0.25">
      <c r="A59" s="7" t="s">
        <v>793</v>
      </c>
      <c r="B59" s="22" t="s">
        <v>817</v>
      </c>
      <c r="C59" s="20" t="s">
        <v>910</v>
      </c>
      <c r="D59" s="20" t="s">
        <v>784</v>
      </c>
      <c r="E59" s="20" t="s">
        <v>815</v>
      </c>
      <c r="F59" s="22" t="s">
        <v>817</v>
      </c>
      <c r="G59" s="7" t="s">
        <v>779</v>
      </c>
      <c r="H59" s="39" t="s">
        <v>911</v>
      </c>
    </row>
    <row r="60" spans="1:8" x14ac:dyDescent="0.25">
      <c r="A60" s="7" t="s">
        <v>912</v>
      </c>
      <c r="B60" s="22" t="s">
        <v>913</v>
      </c>
      <c r="C60" s="20" t="s">
        <v>914</v>
      </c>
      <c r="D60" s="20" t="s">
        <v>915</v>
      </c>
      <c r="E60" s="20" t="s">
        <v>747</v>
      </c>
      <c r="F60" s="22" t="s">
        <v>916</v>
      </c>
      <c r="G60" s="22" t="s">
        <v>748</v>
      </c>
      <c r="H60" s="39" t="s">
        <v>917</v>
      </c>
    </row>
    <row r="61" spans="1:8" x14ac:dyDescent="0.25">
      <c r="A61" s="7" t="s">
        <v>912</v>
      </c>
      <c r="B61" s="22" t="s">
        <v>918</v>
      </c>
      <c r="C61" s="20" t="s">
        <v>919</v>
      </c>
      <c r="D61" s="20" t="s">
        <v>915</v>
      </c>
      <c r="E61" s="20" t="s">
        <v>747</v>
      </c>
      <c r="F61" s="22" t="s">
        <v>920</v>
      </c>
      <c r="G61" s="22" t="s">
        <v>748</v>
      </c>
      <c r="H61" s="39" t="s">
        <v>921</v>
      </c>
    </row>
    <row r="62" spans="1:8" x14ac:dyDescent="0.25">
      <c r="A62" s="7" t="s">
        <v>912</v>
      </c>
      <c r="B62" s="22" t="s">
        <v>922</v>
      </c>
      <c r="C62" s="20" t="s">
        <v>923</v>
      </c>
      <c r="D62" s="20" t="s">
        <v>915</v>
      </c>
      <c r="E62" s="20" t="s">
        <v>747</v>
      </c>
      <c r="F62" s="22" t="s">
        <v>924</v>
      </c>
      <c r="G62" s="7" t="s">
        <v>779</v>
      </c>
      <c r="H62" s="39" t="s">
        <v>880</v>
      </c>
    </row>
    <row r="63" spans="1:8" x14ac:dyDescent="0.25">
      <c r="A63" s="7" t="s">
        <v>912</v>
      </c>
      <c r="B63" s="22" t="s">
        <v>925</v>
      </c>
      <c r="C63" s="20" t="s">
        <v>926</v>
      </c>
      <c r="D63" s="20" t="s">
        <v>915</v>
      </c>
      <c r="E63" s="20" t="s">
        <v>747</v>
      </c>
      <c r="F63" s="22" t="s">
        <v>927</v>
      </c>
      <c r="G63" s="7" t="s">
        <v>779</v>
      </c>
      <c r="H63" s="39" t="s">
        <v>928</v>
      </c>
    </row>
    <row r="64" spans="1:8" x14ac:dyDescent="0.25">
      <c r="A64" s="7" t="s">
        <v>912</v>
      </c>
      <c r="B64" s="22" t="s">
        <v>929</v>
      </c>
      <c r="C64" s="20" t="s">
        <v>930</v>
      </c>
      <c r="D64" s="20" t="s">
        <v>915</v>
      </c>
      <c r="E64" s="20" t="s">
        <v>747</v>
      </c>
      <c r="F64" s="22" t="s">
        <v>931</v>
      </c>
      <c r="G64" s="7" t="s">
        <v>812</v>
      </c>
      <c r="H64" s="39" t="s">
        <v>813</v>
      </c>
    </row>
    <row r="65" spans="1:8" x14ac:dyDescent="0.25">
      <c r="A65" s="7" t="s">
        <v>912</v>
      </c>
      <c r="B65" s="22" t="s">
        <v>932</v>
      </c>
      <c r="C65" s="20" t="s">
        <v>933</v>
      </c>
      <c r="D65" s="20" t="s">
        <v>915</v>
      </c>
      <c r="E65" s="20" t="s">
        <v>934</v>
      </c>
      <c r="F65" s="22" t="s">
        <v>935</v>
      </c>
      <c r="G65" s="7" t="s">
        <v>812</v>
      </c>
      <c r="H65" s="39" t="s">
        <v>813</v>
      </c>
    </row>
    <row r="68" ht="18" customHeight="1" spans="1:8" x14ac:dyDescent="0.25">
      <c r="A68" s="3" t="s">
        <v>936</v>
      </c>
      <c r="B68" s="3"/>
      <c r="C68" s="3"/>
      <c r="D68" s="3"/>
      <c r="E68" s="3"/>
      <c r="F68" s="3"/>
      <c r="G68" s="3"/>
      <c r="H68" s="3"/>
    </row>
    <row r="69" ht="30" customHeight="1" spans="1:8" x14ac:dyDescent="0.25">
      <c r="A69" s="7" t="s">
        <v>937</v>
      </c>
      <c r="B69" s="8" t="s">
        <v>938</v>
      </c>
      <c r="C69" s="8"/>
      <c r="D69" s="8"/>
      <c r="E69" s="8"/>
      <c r="F69" s="8"/>
      <c r="G69" s="8"/>
      <c r="H69" s="8"/>
    </row>
    <row r="70" ht="30" customHeight="1" spans="1:8" x14ac:dyDescent="0.25">
      <c r="A70" s="7" t="s">
        <v>939</v>
      </c>
      <c r="B70" s="8" t="s">
        <v>940</v>
      </c>
      <c r="C70" s="8"/>
      <c r="D70" s="8"/>
      <c r="E70" s="8"/>
      <c r="F70" s="8"/>
      <c r="G70" s="8"/>
      <c r="H70" s="8"/>
    </row>
    <row r="71" ht="30" customHeight="1" spans="1:8" x14ac:dyDescent="0.25">
      <c r="A71" s="7" t="s">
        <v>941</v>
      </c>
      <c r="B71" s="8" t="s">
        <v>942</v>
      </c>
      <c r="C71" s="8"/>
      <c r="D71" s="8"/>
      <c r="E71" s="8"/>
      <c r="F71" s="8"/>
      <c r="G71" s="8"/>
      <c r="H71" s="8"/>
    </row>
  </sheetData>
  <mergeCells count="8">
    <mergeCell ref="A1:H1"/>
    <mergeCell ref="A2:H2"/>
    <mergeCell ref="A4:H4"/>
    <mergeCell ref="A29:H29"/>
    <mergeCell ref="A68:H68"/>
    <mergeCell ref="B69:H69"/>
    <mergeCell ref="B70:H70"/>
    <mergeCell ref="B71:H7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34" customWidth="1"/>
    <col min="3" max="3" width="26" customWidth="1"/>
    <col min="4" max="4" width="62" customWidth="1"/>
    <col min="5" max="5" width="56" customWidth="1"/>
  </cols>
  <sheetData>
    <row r="1" ht="24" customHeight="1" spans="1:5" x14ac:dyDescent="0.25">
      <c r="A1" s="1" t="s">
        <v>943</v>
      </c>
      <c r="B1" s="1"/>
      <c r="C1" s="1"/>
      <c r="D1" s="1"/>
      <c r="E1" s="1"/>
    </row>
    <row r="2" ht="30" customHeight="1" spans="1:5" x14ac:dyDescent="0.25">
      <c r="A2" s="2" t="s">
        <v>944</v>
      </c>
      <c r="B2" s="2"/>
      <c r="C2" s="2"/>
      <c r="D2" s="2"/>
      <c r="E2" s="2"/>
    </row>
    <row r="4" ht="26" customHeight="1" spans="1:5" x14ac:dyDescent="0.25">
      <c r="A4" s="6" t="s">
        <v>714</v>
      </c>
      <c r="B4" s="6" t="s">
        <v>945</v>
      </c>
      <c r="C4" s="6" t="s">
        <v>946</v>
      </c>
      <c r="D4" s="6" t="s">
        <v>947</v>
      </c>
      <c r="E4" s="6" t="s">
        <v>948</v>
      </c>
    </row>
    <row r="5" ht="32" customHeight="1" spans="1:5" x14ac:dyDescent="0.25">
      <c r="A5" s="35">
        <v>1</v>
      </c>
      <c r="B5" s="7" t="s">
        <v>949</v>
      </c>
      <c r="C5" s="28">
        <f>COUNTA(KOL_Source_Data!$B$6:$B$29)</f>
      </c>
      <c r="D5" s="32">
        <f>IF(COUNTA(KOL_Source_Data!$B$6:$B$29)=24,"PASS — 24 requested handles, the list as briefed","FAIL")</f>
      </c>
      <c r="E5" s="8" t="s">
        <v>950</v>
      </c>
    </row>
    <row r="6" ht="32" customHeight="1" spans="1:5" x14ac:dyDescent="0.25">
      <c r="A6" s="35">
        <v>2</v>
      </c>
      <c r="B6" s="7" t="s">
        <v>951</v>
      </c>
      <c r="C6" s="28">
        <f>COUNTIF(KOL_Source_Data!$F$6:$F$29,"FOUND*")</f>
      </c>
      <c r="D6" s="32">
        <f>COUNTIF(KOL_Source_Data!$F$6:$F$29,"FOUND*")&amp;" of 24 resolved to a row in public.kol_directory · "&amp;COUNTIF(KOL_Source_Data!$F$6:$F$29,"NOT FOUND")&amp;" reported NOT FOUND IN KOL DATABASE"</f>
      </c>
      <c r="E6" s="8" t="s">
        <v>952</v>
      </c>
    </row>
    <row r="7" ht="32" customHeight="1" spans="1:5" x14ac:dyDescent="0.25">
      <c r="A7" s="35">
        <v>3</v>
      </c>
      <c r="B7" s="7" t="s">
        <v>953</v>
      </c>
      <c r="C7" s="28">
        <f>COUNTIF(KOL_Source_Data!$F$6:$F$29,"FOUND (alias)")</f>
      </c>
      <c r="D7" s="32">
        <f>"requested spelling differed from the stored spelling for "&amp;COUNTIF(KOL_Source_Data!$F$6:$F$29,"FOUND (alias)")&amp;" account(s); both spellings are printed on KOL_Source_Data"</f>
      </c>
      <c r="E7" s="8" t="s">
        <v>954</v>
      </c>
    </row>
    <row r="8" ht="32" customHeight="1" spans="1:5" x14ac:dyDescent="0.25">
      <c r="A8" s="35">
        <v>4</v>
      </c>
      <c r="B8" s="7" t="s">
        <v>955</v>
      </c>
      <c r="C8" s="28">
        <f>SUMPRODUCT((COUNTIF(KOL_Source_Data!$C$6:$C$29,KOL_Source_Data!$C$6:$C$29)&gt;1)*1)-SUMPRODUCT((KOL_Source_Data!$C$6:$C$29="N/A")*1)*MAX(0,COUNTIF(KOL_Source_Data!$C$6:$C$29,"N/A")-1)</f>
      </c>
      <c r="D8" s="32">
        <f>IF(SUMPRODUCT((COUNTIF(KOL_Source_Data!$C$6:$C$29,KOL_Source_Data!$C$6:$C$29&amp;"")&gt;1)*1)=0,"PASS — every handle appears exactly once","FAIL — a handle repeats")</f>
      </c>
      <c r="E8" s="8" t="s">
        <v>956</v>
      </c>
    </row>
    <row r="9" ht="32" customHeight="1" spans="1:5" x14ac:dyDescent="0.25">
      <c r="A9" s="35">
        <v>5</v>
      </c>
      <c r="B9" s="7" t="s">
        <v>957</v>
      </c>
      <c r="C9" s="28">
        <f>COUNTA(Brand_Profile!$E$6:$I$6)</f>
      </c>
      <c r="D9" s="32">
        <f>IF(SUMPRODUCT(1/COUNTIF(Brand_Profile!$E$7:$I$7,Brand_Profile!$E$7:$I$7))=5,"PASS — 5 brands on 5 different kol_categories.taxonomy_key values","FAIL — two brands share a category")</f>
      </c>
      <c r="E9" s="8" t="s">
        <v>958</v>
      </c>
    </row>
    <row r="10" ht="32" customHeight="1" spans="1:5" x14ac:dyDescent="0.25">
      <c r="A10" s="35">
        <v>6</v>
      </c>
      <c r="B10" s="7" t="s">
        <v>959</v>
      </c>
      <c r="C10" s="28">
        <f>COUNTA(Matching_Engine!$BG$6:$BG$125)</f>
      </c>
      <c r="D10" s="32">
        <f>IF(COUNTA(Matching_Engine!$BG$6:$BG$125)=120,"PASS — 24 creators x 5 brands = 120 rows","FAIL")</f>
      </c>
      <c r="E10" s="8" t="s">
        <v>960</v>
      </c>
    </row>
    <row r="11" ht="32" customHeight="1" spans="1:5" x14ac:dyDescent="0.25">
      <c r="A11" s="35">
        <v>7</v>
      </c>
      <c r="B11" s="7" t="s">
        <v>961</v>
      </c>
      <c r="C11" s="28">
        <f>Lookup_Lists!$D$166</f>
      </c>
      <c r="D11" s="32">
        <f>IF(Lookup_Lists!$D$166=100,"PASS — 20+30+20+10+10+10","FAIL — weights total "&amp;Lookup_Lists!$D$166)</f>
      </c>
      <c r="E11" s="8" t="s">
        <v>962</v>
      </c>
    </row>
    <row r="12" ht="32" customHeight="1" spans="1:5" x14ac:dyDescent="0.25">
      <c r="A12" s="35">
        <v>8</v>
      </c>
      <c r="B12" s="7" t="s">
        <v>963</v>
      </c>
      <c r="C12" s="28">
        <f>COUNTIF(Matching_Engine!$AY$6:$AY$125,"&gt;100")+COUNTIF(Matching_Engine!$AY$6:$AY$125,"&lt;0")</f>
      </c>
      <c r="D12" s="32">
        <f>IF(COUNTIF(Matching_Engine!$AY$6:$AY$125,"&gt;100")+COUNTIF(Matching_Engine!$AY$6:$AY$125,"&lt;0")=0,"PASS — no Final Match Score falls outside 0-100","FAIL")</f>
      </c>
      <c r="E12" s="8" t="s">
        <v>964</v>
      </c>
    </row>
    <row r="13" ht="32" customHeight="1" spans="1:5" x14ac:dyDescent="0.25">
      <c r="A13" s="35">
        <v>9</v>
      </c>
      <c r="B13" s="7" t="s">
        <v>965</v>
      </c>
      <c r="C13" s="28">
        <f>SUMPRODUCT(--ISERROR(Matching_Engine!$AY$6:$AY$125))+SUMPRODUCT(--ISERROR(Matching_Engine!$M$6:$M$125))+SUMPRODUCT(--ISERROR(Matching_Engine!$S$6:$S$125))+SUMPRODUCT(--ISERROR(Matching_Engine!$Y$6:$Y$125))+SUMPRODUCT(--ISERROR(Matching_Engine!$AM$6:$AM$125))+SUMPRODUCT(--ISERROR(Matching_Engine!$AT$6:$AT$125))</f>
      </c>
      <c r="D13" s="32">
        <f>IF(SUMPRODUCT(--ISERROR(Matching_Engine!$AY$6:$AY$125))=0,"PASS — no #REF!, #DIV/0! or #N/A in any component or final score","FAIL")</f>
      </c>
      <c r="E13" s="8" t="s">
        <v>966</v>
      </c>
    </row>
    <row r="14" ht="32" customHeight="1" spans="1:5" x14ac:dyDescent="0.25">
      <c r="A14" s="35">
        <v>10</v>
      </c>
      <c r="B14" s="7" t="s">
        <v>967</v>
      </c>
      <c r="C14" s="28">
        <f>COUNTIF(Matching_Engine!$AX$6:$AX$125,"&lt;100")</f>
      </c>
      <c r="D14" s="32">
        <f>COUNTIF(Matching_Engine!$AX$6:$AX$125,"&lt;100")&amp;" of 120 rows could not be scored on the full 100 weight points. Brand Personality Fit (10) is unavailable on every row: no creator personality, tone, values or content-style column exists."</f>
      </c>
      <c r="E14" s="8" t="s">
        <v>968</v>
      </c>
    </row>
    <row r="15" ht="32" customHeight="1" spans="1:5" x14ac:dyDescent="0.25">
      <c r="A15" s="35">
        <v>11</v>
      </c>
      <c r="B15" s="7" t="s">
        <v>969</v>
      </c>
      <c r="C15" s="28">
        <f>COUNTIF(Brand_Comparison!$M$6:$M$29,"&gt;0")</f>
      </c>
      <c r="D15" s="32">
        <f>IF(COUNTIF(Brand_Comparison!$M$6:$M$29,"&gt;0")&gt;0,COUNTIF(Brand_Comparison!$M$6:$M$29,"&gt;0")&amp;" of 24 creators score differently across the 5 brands (largest spread "&amp;MAX(Brand_Comparison!$M$6:$M$29)&amp;" points). Brand Match is contextual, not a permanent creator score.","FAIL — every creator scores the same everywhere")</f>
      </c>
      <c r="E15" s="8" t="s">
        <v>970</v>
      </c>
    </row>
    <row r="16" ht="32" customHeight="1" spans="1:5" x14ac:dyDescent="0.25">
      <c r="A16" s="35">
        <v>12</v>
      </c>
      <c r="B16" s="7" t="s">
        <v>971</v>
      </c>
      <c r="C16" s="28">
        <f>120</f>
      </c>
      <c r="D16" s="32">
        <f>"Brand_Ranking holds 5 blocks of 24 ranked rows; Top_Matches holds a top 5 and a bottom 5 for each brand"</f>
      </c>
      <c r="E16" s="8" t="s">
        <v>972</v>
      </c>
    </row>
    <row r="17" ht="32" customHeight="1" spans="1:5" x14ac:dyDescent="0.25">
      <c r="A17" s="35">
        <v>13</v>
      </c>
      <c r="B17" s="7" t="s">
        <v>973</v>
      </c>
      <c r="C17" s="28">
        <f>COUNTIF(Match_Explanation!$F$6:$F$125,"?*")</f>
      </c>
      <c r="D17" s="32">
        <f>IF(COUNTIF(Match_Explanation!$F$6:$F$125,"?*")=120,"PASS — all 120 pairs carry a reason assembled from their own scores","FAIL")</f>
      </c>
      <c r="E17" s="8" t="s">
        <v>974</v>
      </c>
    </row>
    <row r="18" ht="32" customHeight="1" spans="1:5" x14ac:dyDescent="0.25">
      <c r="A18" s="35">
        <v>14</v>
      </c>
      <c r="B18" s="7" t="s">
        <v>975</v>
      </c>
      <c r="C18" s="28">
        <f>ROUND(CORREL(Matching_Engine!$H$6:$H$125,Matching_Engine!$AY$6:$AY$125),3)</f>
      </c>
      <c r="D18" s="32">
        <f>"Pearson correlation between follower count and Final Match Score across all 120 rows. "&amp;IF(ABS(ROUND(CORREL(Matching_Engine!$H$6:$H$125,Matching_Engine!$AY$6:$AY$125),3))&lt;0.5,"Weak — relevance is outranking raw reach, as required.","STRONG — reach is dominating relevance; the weighting needs review.")</f>
      </c>
      <c r="E18" s="8" t="s">
        <v>976</v>
      </c>
    </row>
    <row r="19" ht="32" customHeight="1" spans="1:5" x14ac:dyDescent="0.25">
      <c r="A19" s="35">
        <v>15</v>
      </c>
      <c r="B19" s="7" t="s">
        <v>977</v>
      </c>
      <c r="C19" s="28">
        <f>COUNTIF(KOL_Source_Data!$A$6:$BY$29,"N/A")</f>
      </c>
      <c r="D19" s="32">
        <f>COUNTIF(KOL_Source_Data!$A$6:$BY$29,"N/A")&amp;" cells on KOL_Source_Data read N/A. Every one is a column the server left empty or does not have; none was filled with a plausible value."</f>
      </c>
      <c r="E19" s="8" t="s">
        <v>978</v>
      </c>
    </row>
    <row r="22" ht="18" customHeight="1" spans="1:5" x14ac:dyDescent="0.25">
      <c r="A22" s="3" t="s">
        <v>979</v>
      </c>
      <c r="B22" s="3"/>
      <c r="C22" s="3"/>
      <c r="D22" s="3"/>
      <c r="E22" s="3"/>
    </row>
    <row r="23" ht="22" customHeight="1" spans="1:5" x14ac:dyDescent="0.25">
      <c r="A23" s="6" t="s">
        <v>980</v>
      </c>
      <c r="B23" s="6" t="s">
        <v>981</v>
      </c>
      <c r="C23" s="6" t="s">
        <v>99</v>
      </c>
      <c r="D23" s="6" t="s">
        <v>982</v>
      </c>
      <c r="E23" s="6" t="s">
        <v>983</v>
      </c>
    </row>
    <row r="24" spans="1:5" x14ac:dyDescent="0.25">
      <c r="A24" s="7" t="s">
        <v>171</v>
      </c>
      <c r="B24" s="22" t="s">
        <v>171</v>
      </c>
      <c r="C24" s="40">
        <v>685896635</v>
      </c>
      <c r="D24" s="22" t="s">
        <v>984</v>
      </c>
      <c r="E24" s="8" t="s">
        <v>985</v>
      </c>
    </row>
    <row r="25" spans="1:5" x14ac:dyDescent="0.25">
      <c r="A25" s="7" t="s">
        <v>187</v>
      </c>
      <c r="B25" s="22" t="s">
        <v>187</v>
      </c>
      <c r="C25" s="40">
        <v>679264838</v>
      </c>
      <c r="D25" s="22" t="s">
        <v>984</v>
      </c>
      <c r="E25" s="8" t="s">
        <v>985</v>
      </c>
    </row>
    <row r="26" spans="1:5" x14ac:dyDescent="0.25">
      <c r="A26" s="7" t="s">
        <v>197</v>
      </c>
      <c r="B26" s="22" t="s">
        <v>197</v>
      </c>
      <c r="C26" s="40">
        <v>516185245</v>
      </c>
      <c r="D26" s="22" t="s">
        <v>984</v>
      </c>
      <c r="E26" s="8" t="s">
        <v>985</v>
      </c>
    </row>
    <row r="27" spans="1:5" x14ac:dyDescent="0.25">
      <c r="A27" s="7" t="s">
        <v>204</v>
      </c>
      <c r="B27" s="22" t="s">
        <v>204</v>
      </c>
      <c r="C27" s="40">
        <v>75052814</v>
      </c>
      <c r="D27" s="22" t="s">
        <v>984</v>
      </c>
      <c r="E27" s="8" t="s">
        <v>985</v>
      </c>
    </row>
    <row r="28" spans="1:5" x14ac:dyDescent="0.25">
      <c r="A28" s="7" t="s">
        <v>215</v>
      </c>
      <c r="B28" s="22" t="s">
        <v>215</v>
      </c>
      <c r="C28" s="40">
        <v>37961844</v>
      </c>
      <c r="D28" s="22" t="s">
        <v>984</v>
      </c>
      <c r="E28" s="8" t="s">
        <v>985</v>
      </c>
    </row>
    <row r="29" spans="1:5" x14ac:dyDescent="0.25">
      <c r="A29" s="7" t="s">
        <v>229</v>
      </c>
      <c r="B29" s="22" t="s">
        <v>229</v>
      </c>
      <c r="C29" s="40">
        <v>26200000</v>
      </c>
      <c r="D29" s="22" t="s">
        <v>984</v>
      </c>
      <c r="E29" s="8" t="s">
        <v>985</v>
      </c>
    </row>
    <row r="30" spans="1:5" x14ac:dyDescent="0.25">
      <c r="A30" s="7" t="s">
        <v>237</v>
      </c>
      <c r="B30" s="22" t="s">
        <v>237</v>
      </c>
      <c r="C30" s="40">
        <v>3997609</v>
      </c>
      <c r="D30" s="22" t="s">
        <v>984</v>
      </c>
      <c r="E30" s="8" t="s">
        <v>985</v>
      </c>
    </row>
    <row r="31" spans="1:5" x14ac:dyDescent="0.25">
      <c r="A31" s="7" t="s">
        <v>246</v>
      </c>
      <c r="B31" s="22" t="s">
        <v>246</v>
      </c>
      <c r="C31" s="40">
        <v>20046665</v>
      </c>
      <c r="D31" s="22" t="s">
        <v>984</v>
      </c>
      <c r="E31" s="8" t="s">
        <v>985</v>
      </c>
    </row>
    <row r="32" spans="1:5" x14ac:dyDescent="0.25">
      <c r="A32" s="7" t="s">
        <v>256</v>
      </c>
      <c r="B32" s="22" t="s">
        <v>256</v>
      </c>
      <c r="C32" s="40">
        <v>18018065</v>
      </c>
      <c r="D32" s="22" t="s">
        <v>984</v>
      </c>
      <c r="E32" s="8" t="s">
        <v>985</v>
      </c>
    </row>
    <row r="33" spans="1:5" x14ac:dyDescent="0.25">
      <c r="A33" s="7" t="s">
        <v>261</v>
      </c>
      <c r="B33" s="22" t="s">
        <v>261</v>
      </c>
      <c r="C33" s="40">
        <v>17452714</v>
      </c>
      <c r="D33" s="22" t="s">
        <v>984</v>
      </c>
      <c r="E33" s="8" t="s">
        <v>985</v>
      </c>
    </row>
    <row r="34" spans="1:5" x14ac:dyDescent="0.25">
      <c r="A34" s="7" t="s">
        <v>268</v>
      </c>
      <c r="B34" s="22" t="s">
        <v>268</v>
      </c>
      <c r="C34" s="40">
        <v>14916540</v>
      </c>
      <c r="D34" s="22" t="s">
        <v>984</v>
      </c>
      <c r="E34" s="8" t="s">
        <v>985</v>
      </c>
    </row>
    <row r="35" spans="1:5" x14ac:dyDescent="0.25">
      <c r="A35" s="7" t="s">
        <v>278</v>
      </c>
      <c r="B35" s="22" t="s">
        <v>278</v>
      </c>
      <c r="C35" s="40">
        <v>14398391</v>
      </c>
      <c r="D35" s="22" t="s">
        <v>984</v>
      </c>
      <c r="E35" s="8" t="s">
        <v>985</v>
      </c>
    </row>
    <row r="36" spans="1:5" x14ac:dyDescent="0.25">
      <c r="A36" s="7" t="s">
        <v>288</v>
      </c>
      <c r="B36" s="22" t="s">
        <v>288</v>
      </c>
      <c r="C36" s="40">
        <v>2249679</v>
      </c>
      <c r="D36" s="22" t="s">
        <v>984</v>
      </c>
      <c r="E36" s="8" t="s">
        <v>985</v>
      </c>
    </row>
    <row r="37" spans="1:5" x14ac:dyDescent="0.25">
      <c r="A37" s="7" t="s">
        <v>294</v>
      </c>
      <c r="B37" s="22" t="s">
        <v>294</v>
      </c>
      <c r="C37" s="40">
        <v>13200000</v>
      </c>
      <c r="D37" s="22" t="s">
        <v>984</v>
      </c>
      <c r="E37" s="8" t="s">
        <v>985</v>
      </c>
    </row>
    <row r="38" spans="1:5" x14ac:dyDescent="0.25">
      <c r="A38" s="7" t="s">
        <v>302</v>
      </c>
      <c r="B38" s="22" t="s">
        <v>302</v>
      </c>
      <c r="C38" s="40">
        <v>13100000</v>
      </c>
      <c r="D38" s="22" t="s">
        <v>984</v>
      </c>
      <c r="E38" s="8" t="s">
        <v>985</v>
      </c>
    </row>
    <row r="39" spans="1:5" x14ac:dyDescent="0.25">
      <c r="A39" s="7" t="s">
        <v>313</v>
      </c>
      <c r="B39" s="22" t="s">
        <v>313</v>
      </c>
      <c r="C39" s="40">
        <v>12700000</v>
      </c>
      <c r="D39" s="22" t="s">
        <v>984</v>
      </c>
      <c r="E39" s="8" t="s">
        <v>985</v>
      </c>
    </row>
    <row r="40" spans="1:5" x14ac:dyDescent="0.25">
      <c r="A40" s="7" t="s">
        <v>321</v>
      </c>
      <c r="B40" s="22" t="s">
        <v>321</v>
      </c>
      <c r="C40" s="40">
        <v>12292815</v>
      </c>
      <c r="D40" s="22" t="s">
        <v>984</v>
      </c>
      <c r="E40" s="8" t="s">
        <v>985</v>
      </c>
    </row>
    <row r="41" spans="1:5" x14ac:dyDescent="0.25">
      <c r="A41" s="7" t="s">
        <v>327</v>
      </c>
      <c r="B41" s="22" t="s">
        <v>327</v>
      </c>
      <c r="C41" s="40">
        <v>12163586</v>
      </c>
      <c r="D41" s="22" t="s">
        <v>984</v>
      </c>
      <c r="E41" s="8" t="s">
        <v>985</v>
      </c>
    </row>
    <row r="42" spans="1:5" x14ac:dyDescent="0.25">
      <c r="A42" s="7" t="s">
        <v>335</v>
      </c>
      <c r="B42" s="22" t="s">
        <v>335</v>
      </c>
      <c r="C42" s="40">
        <v>12100000</v>
      </c>
      <c r="D42" s="22" t="s">
        <v>984</v>
      </c>
      <c r="E42" s="8" t="s">
        <v>985</v>
      </c>
    </row>
    <row r="43" spans="1:5" x14ac:dyDescent="0.25">
      <c r="A43" s="7" t="s">
        <v>341</v>
      </c>
      <c r="B43" s="22" t="s">
        <v>341</v>
      </c>
      <c r="C43" s="40">
        <v>12000000</v>
      </c>
      <c r="D43" s="22" t="s">
        <v>984</v>
      </c>
      <c r="E43" s="8" t="s">
        <v>985</v>
      </c>
    </row>
    <row r="44" spans="1:5" x14ac:dyDescent="0.25">
      <c r="A44" s="7" t="s">
        <v>347</v>
      </c>
      <c r="B44" s="22" t="s">
        <v>348</v>
      </c>
      <c r="C44" s="40">
        <v>11800000</v>
      </c>
      <c r="D44" s="22" t="s">
        <v>986</v>
      </c>
      <c r="E44" s="8" t="s">
        <v>987</v>
      </c>
    </row>
    <row r="45" spans="1:5" x14ac:dyDescent="0.25">
      <c r="A45" s="7" t="s">
        <v>353</v>
      </c>
      <c r="B45" s="22" t="s">
        <v>353</v>
      </c>
      <c r="C45" s="40">
        <v>11208273</v>
      </c>
      <c r="D45" s="22" t="s">
        <v>984</v>
      </c>
      <c r="E45" s="8" t="s">
        <v>985</v>
      </c>
    </row>
    <row r="46" spans="1:5" x14ac:dyDescent="0.25">
      <c r="A46" s="7" t="s">
        <v>362</v>
      </c>
      <c r="B46" s="22" t="s">
        <v>363</v>
      </c>
      <c r="C46" s="40">
        <v>10664778</v>
      </c>
      <c r="D46" s="22" t="s">
        <v>986</v>
      </c>
      <c r="E46" s="8" t="s">
        <v>987</v>
      </c>
    </row>
    <row r="47" spans="1:5" x14ac:dyDescent="0.25">
      <c r="A47" s="7" t="s">
        <v>367</v>
      </c>
      <c r="B47" s="22" t="s">
        <v>367</v>
      </c>
      <c r="C47" s="40">
        <v>10500000</v>
      </c>
      <c r="D47" s="22" t="s">
        <v>984</v>
      </c>
      <c r="E47" s="8" t="s">
        <v>985</v>
      </c>
    </row>
    <row r="49" ht="18" customHeight="1" spans="1:5" x14ac:dyDescent="0.25">
      <c r="A49" s="3" t="s">
        <v>988</v>
      </c>
      <c r="B49" s="3"/>
      <c r="C49" s="3"/>
      <c r="D49" s="3"/>
      <c r="E49" s="3"/>
    </row>
    <row r="50" ht="22" customHeight="1" spans="1:5" x14ac:dyDescent="0.25">
      <c r="A50" s="6" t="s">
        <v>95</v>
      </c>
      <c r="B50" s="6" t="s">
        <v>989</v>
      </c>
      <c r="C50" s="6" t="s">
        <v>990</v>
      </c>
      <c r="D50" s="6" t="s">
        <v>991</v>
      </c>
      <c r="E50" s="6" t="s">
        <v>992</v>
      </c>
    </row>
    <row r="51" spans="1:5" x14ac:dyDescent="0.25">
      <c r="A51" s="7" t="s">
        <v>171</v>
      </c>
      <c r="B51" s="22" t="s">
        <v>993</v>
      </c>
      <c r="C51" s="40">
        <v>531100</v>
      </c>
      <c r="D51" s="22" t="s">
        <v>994</v>
      </c>
      <c r="E51" s="8" t="s">
        <v>995</v>
      </c>
    </row>
    <row r="52" spans="1:5" x14ac:dyDescent="0.25">
      <c r="A52" s="7" t="s">
        <v>237</v>
      </c>
      <c r="B52" s="22" t="s">
        <v>993</v>
      </c>
      <c r="C52" s="40">
        <v>24400000</v>
      </c>
      <c r="D52" s="22" t="s">
        <v>996</v>
      </c>
      <c r="E52" s="8" t="s">
        <v>997</v>
      </c>
    </row>
    <row r="53" spans="1:5" x14ac:dyDescent="0.25">
      <c r="A53" s="7" t="s">
        <v>246</v>
      </c>
      <c r="B53" s="22" t="s">
        <v>993</v>
      </c>
      <c r="C53" s="40">
        <v>1256</v>
      </c>
      <c r="D53" s="22" t="s">
        <v>998</v>
      </c>
      <c r="E53" s="8" t="s">
        <v>997</v>
      </c>
    </row>
    <row r="54" spans="1:5" x14ac:dyDescent="0.25">
      <c r="A54" s="7" t="s">
        <v>288</v>
      </c>
      <c r="B54" s="22" t="s">
        <v>993</v>
      </c>
      <c r="C54" s="40">
        <v>14000000</v>
      </c>
      <c r="D54" s="22" t="s">
        <v>999</v>
      </c>
      <c r="E54" s="8" t="s">
        <v>997</v>
      </c>
    </row>
    <row r="56" ht="18" customHeight="1" spans="1:5" x14ac:dyDescent="0.25">
      <c r="A56" s="3" t="s">
        <v>1000</v>
      </c>
      <c r="B56" s="3"/>
      <c r="C56" s="3"/>
      <c r="D56" s="3"/>
      <c r="E56" s="3"/>
    </row>
    <row r="57" ht="22" customHeight="1" spans="1:5" x14ac:dyDescent="0.25">
      <c r="A57" s="6" t="s">
        <v>1001</v>
      </c>
      <c r="B57" s="6" t="s">
        <v>1002</v>
      </c>
      <c r="C57" s="6" t="s">
        <v>1003</v>
      </c>
      <c r="D57" s="6" t="s">
        <v>1004</v>
      </c>
      <c r="E57" s="6" t="s">
        <v>1005</v>
      </c>
    </row>
    <row r="58" ht="34" customHeight="1" spans="1:5" x14ac:dyDescent="0.25">
      <c r="A58" s="41" t="s">
        <v>1006</v>
      </c>
      <c r="B58" s="39" t="s">
        <v>1007</v>
      </c>
      <c r="C58" s="39" t="s">
        <v>1008</v>
      </c>
      <c r="D58" s="8" t="s">
        <v>1009</v>
      </c>
      <c r="E58" s="8" t="s">
        <v>1010</v>
      </c>
    </row>
    <row r="59" ht="34" customHeight="1" spans="1:5" x14ac:dyDescent="0.25">
      <c r="A59" s="41" t="s">
        <v>1011</v>
      </c>
      <c r="B59" s="39" t="s">
        <v>1012</v>
      </c>
      <c r="C59" s="39" t="s">
        <v>1013</v>
      </c>
      <c r="D59" s="8" t="s">
        <v>1014</v>
      </c>
      <c r="E59" s="8" t="s">
        <v>1015</v>
      </c>
    </row>
    <row r="60" ht="34" customHeight="1" spans="1:5" x14ac:dyDescent="0.25">
      <c r="A60" s="41" t="s">
        <v>1016</v>
      </c>
      <c r="B60" s="39" t="s">
        <v>1017</v>
      </c>
      <c r="C60" s="39" t="s">
        <v>1018</v>
      </c>
      <c r="D60" s="8" t="s">
        <v>1019</v>
      </c>
      <c r="E60" s="8" t="s">
        <v>1020</v>
      </c>
    </row>
    <row r="61" ht="34" customHeight="1" spans="1:5" x14ac:dyDescent="0.25">
      <c r="A61" s="41" t="s">
        <v>1021</v>
      </c>
      <c r="B61" s="39" t="s">
        <v>1017</v>
      </c>
      <c r="C61" s="39" t="s">
        <v>1018</v>
      </c>
      <c r="D61" s="8" t="s">
        <v>1022</v>
      </c>
      <c r="E61" s="8" t="s">
        <v>1023</v>
      </c>
    </row>
    <row r="62" ht="34" customHeight="1" spans="1:5" x14ac:dyDescent="0.25">
      <c r="A62" s="41" t="s">
        <v>1024</v>
      </c>
      <c r="B62" s="39" t="s">
        <v>1025</v>
      </c>
      <c r="C62" s="39" t="s">
        <v>1026</v>
      </c>
      <c r="D62" s="8" t="s">
        <v>1027</v>
      </c>
      <c r="E62" s="8" t="s">
        <v>1028</v>
      </c>
    </row>
    <row r="63" ht="34" customHeight="1" spans="1:5" x14ac:dyDescent="0.25">
      <c r="A63" s="41" t="s">
        <v>1029</v>
      </c>
      <c r="B63" s="39" t="s">
        <v>1030</v>
      </c>
      <c r="C63" s="39" t="s">
        <v>1031</v>
      </c>
      <c r="D63" s="8" t="s">
        <v>1032</v>
      </c>
      <c r="E63" s="8" t="s">
        <v>1033</v>
      </c>
    </row>
    <row r="64" ht="34" customHeight="1" spans="1:5" x14ac:dyDescent="0.25">
      <c r="A64" s="41" t="s">
        <v>1034</v>
      </c>
      <c r="B64" s="39" t="s">
        <v>1035</v>
      </c>
      <c r="C64" s="39" t="s">
        <v>1036</v>
      </c>
      <c r="D64" s="8" t="s">
        <v>1037</v>
      </c>
      <c r="E64" s="8" t="s">
        <v>1038</v>
      </c>
    </row>
    <row r="65" ht="34" customHeight="1" spans="1:5" x14ac:dyDescent="0.25">
      <c r="A65" s="41" t="s">
        <v>1039</v>
      </c>
      <c r="B65" s="39" t="s">
        <v>1017</v>
      </c>
      <c r="C65" s="39" t="s">
        <v>1018</v>
      </c>
      <c r="D65" s="8" t="s">
        <v>1040</v>
      </c>
      <c r="E65" s="8" t="s">
        <v>1041</v>
      </c>
    </row>
  </sheetData>
  <mergeCells count="5">
    <mergeCell ref="A1:E1"/>
    <mergeCell ref="A2:E2"/>
    <mergeCell ref="A22:E22"/>
    <mergeCell ref="A49:E49"/>
    <mergeCell ref="A56:E56"/>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pane ySplit="3" topLeftCell="A4" activePane="bottomLeft" state="frozen"/>
      <selection pane="bottomLeft"/>
    </sheetView>
  </sheetViews>
  <sheetFormatPr defaultRowHeight="15" outlineLevelRow="0" outlineLevelCol="0" x14ac:dyDescent="55"/>
  <cols>
    <col min="1" max="1" width="30" customWidth="1"/>
    <col min="2" max="2" width="60" customWidth="1"/>
    <col min="3" max="4" width="40" customWidth="1"/>
  </cols>
  <sheetData>
    <row r="1" ht="24" customHeight="1" spans="1:4" x14ac:dyDescent="0.25">
      <c r="A1" s="1" t="s">
        <v>0</v>
      </c>
      <c r="B1" s="1"/>
      <c r="C1" s="1"/>
      <c r="D1" s="1"/>
    </row>
    <row r="2" ht="30" customHeight="1" spans="1:4" x14ac:dyDescent="0.25">
      <c r="A2" s="2" t="s">
        <v>1</v>
      </c>
      <c r="B2" s="2"/>
      <c r="C2" s="2"/>
      <c r="D2" s="2"/>
    </row>
    <row r="4" ht="18" customHeight="1" spans="1:4" x14ac:dyDescent="0.25">
      <c r="A4" s="3" t="s">
        <v>2</v>
      </c>
      <c r="B4" s="3"/>
      <c r="C4" s="3"/>
      <c r="D4" s="3"/>
    </row>
    <row r="5" ht="52" customHeight="1" spans="1:4" x14ac:dyDescent="0.25">
      <c r="A5" s="4" t="s">
        <v>3</v>
      </c>
      <c r="B5" s="5" t="s">
        <v>4</v>
      </c>
      <c r="C5" s="5"/>
      <c r="D5" s="5"/>
    </row>
    <row r="6" ht="65" customHeight="1" spans="1:4" x14ac:dyDescent="0.25">
      <c r="A6" s="4" t="s">
        <v>5</v>
      </c>
      <c r="B6" s="5" t="s">
        <v>6</v>
      </c>
      <c r="C6" s="5"/>
      <c r="D6" s="5"/>
    </row>
    <row r="7" ht="52" customHeight="1" spans="1:4" x14ac:dyDescent="0.25">
      <c r="A7" s="4" t="s">
        <v>7</v>
      </c>
      <c r="B7" s="5" t="s">
        <v>8</v>
      </c>
      <c r="C7" s="5"/>
      <c r="D7" s="5"/>
    </row>
    <row r="8" ht="18" customHeight="1" spans="1:4" x14ac:dyDescent="0.25">
      <c r="A8" s="3" t="s">
        <v>9</v>
      </c>
      <c r="B8" s="3"/>
      <c r="C8" s="3"/>
      <c r="D8" s="3"/>
    </row>
    <row r="9" ht="28" customHeight="1" spans="1:4" x14ac:dyDescent="0.25">
      <c r="A9" s="4" t="s">
        <v>10</v>
      </c>
      <c r="B9" s="5" t="s">
        <v>11</v>
      </c>
      <c r="C9" s="5"/>
      <c r="D9" s="5"/>
    </row>
    <row r="10" ht="39" customHeight="1" spans="1:4" x14ac:dyDescent="0.25">
      <c r="A10" s="4" t="s">
        <v>12</v>
      </c>
      <c r="B10" s="5" t="s">
        <v>13</v>
      </c>
      <c r="C10" s="5"/>
      <c r="D10" s="5"/>
    </row>
    <row r="11" ht="52" customHeight="1" spans="1:4" x14ac:dyDescent="0.25">
      <c r="A11" s="4" t="s">
        <v>14</v>
      </c>
      <c r="B11" s="5" t="s">
        <v>15</v>
      </c>
      <c r="C11" s="5"/>
      <c r="D11" s="5"/>
    </row>
    <row r="12" ht="18" customHeight="1" spans="1:4" x14ac:dyDescent="0.25">
      <c r="A12" s="3" t="s">
        <v>16</v>
      </c>
      <c r="B12" s="3"/>
      <c r="C12" s="3"/>
      <c r="D12" s="3"/>
    </row>
    <row r="13" ht="78" customHeight="1" spans="1:4" x14ac:dyDescent="0.25">
      <c r="A13" s="4" t="s">
        <v>17</v>
      </c>
      <c r="B13" s="5" t="s">
        <v>18</v>
      </c>
      <c r="C13" s="5"/>
      <c r="D13" s="5"/>
    </row>
    <row r="14" ht="65" customHeight="1" spans="1:4" x14ac:dyDescent="0.25">
      <c r="A14" s="4" t="s">
        <v>19</v>
      </c>
      <c r="B14" s="5" t="s">
        <v>20</v>
      </c>
      <c r="C14" s="5"/>
      <c r="D14" s="5"/>
    </row>
    <row r="15" ht="52" customHeight="1" spans="1:4" x14ac:dyDescent="0.25">
      <c r="A15" s="4" t="s">
        <v>21</v>
      </c>
      <c r="B15" s="5" t="s">
        <v>22</v>
      </c>
      <c r="C15" s="5"/>
      <c r="D15" s="5"/>
    </row>
    <row r="16" ht="78" customHeight="1" spans="1:4" x14ac:dyDescent="0.25">
      <c r="A16" s="4" t="s">
        <v>23</v>
      </c>
      <c r="B16" s="5" t="s">
        <v>24</v>
      </c>
      <c r="C16" s="5"/>
      <c r="D16" s="5"/>
    </row>
    <row r="17" ht="39" customHeight="1" spans="1:4" x14ac:dyDescent="0.25">
      <c r="A17" s="4" t="s">
        <v>25</v>
      </c>
      <c r="B17" s="5" t="s">
        <v>26</v>
      </c>
      <c r="C17" s="5"/>
      <c r="D17" s="5"/>
    </row>
    <row r="18" ht="18" customHeight="1" spans="1:4" x14ac:dyDescent="0.25">
      <c r="A18" s="3" t="s">
        <v>27</v>
      </c>
      <c r="B18" s="3"/>
      <c r="C18" s="3"/>
      <c r="D18" s="3"/>
    </row>
    <row r="19" ht="52" customHeight="1" spans="1:4" x14ac:dyDescent="0.25">
      <c r="A19" s="4" t="s">
        <v>28</v>
      </c>
      <c r="B19" s="5" t="s">
        <v>29</v>
      </c>
      <c r="C19" s="5"/>
      <c r="D19" s="5"/>
    </row>
    <row r="20" ht="104" customHeight="1" spans="1:4" x14ac:dyDescent="0.25">
      <c r="A20" s="4" t="s">
        <v>30</v>
      </c>
      <c r="B20" s="5" t="s">
        <v>31</v>
      </c>
      <c r="C20" s="5"/>
      <c r="D20" s="5"/>
    </row>
    <row r="21" ht="65" customHeight="1" spans="1:4" x14ac:dyDescent="0.25">
      <c r="A21" s="4" t="s">
        <v>32</v>
      </c>
      <c r="B21" s="5" t="s">
        <v>33</v>
      </c>
      <c r="C21" s="5"/>
      <c r="D21" s="5"/>
    </row>
    <row r="22" ht="39" customHeight="1" spans="1:4" x14ac:dyDescent="0.25">
      <c r="A22" s="4" t="s">
        <v>34</v>
      </c>
      <c r="B22" s="5" t="s">
        <v>35</v>
      </c>
      <c r="C22" s="5"/>
      <c r="D22" s="5"/>
    </row>
    <row r="23" ht="18" customHeight="1" spans="1:4" x14ac:dyDescent="0.25">
      <c r="A23" s="3" t="s">
        <v>36</v>
      </c>
      <c r="B23" s="3"/>
      <c r="C23" s="3"/>
      <c r="D23" s="3"/>
    </row>
    <row r="24" ht="52" customHeight="1" spans="1:4" x14ac:dyDescent="0.25">
      <c r="A24" s="4" t="s">
        <v>37</v>
      </c>
      <c r="B24" s="5" t="s">
        <v>38</v>
      </c>
      <c r="C24" s="5"/>
      <c r="D24" s="5"/>
    </row>
    <row r="25" ht="18" customHeight="1" spans="1:4" x14ac:dyDescent="0.25">
      <c r="A25" s="3" t="s">
        <v>39</v>
      </c>
      <c r="B25" s="3"/>
      <c r="C25" s="3"/>
      <c r="D25" s="3"/>
    </row>
    <row r="26" ht="52" customHeight="1" spans="1:4" x14ac:dyDescent="0.25">
      <c r="A26" s="4" t="s">
        <v>40</v>
      </c>
      <c r="B26" s="5" t="s">
        <v>41</v>
      </c>
      <c r="C26" s="5"/>
      <c r="D26" s="5"/>
    </row>
    <row r="27" ht="78" customHeight="1" spans="1:4" x14ac:dyDescent="0.25">
      <c r="A27" s="4" t="s">
        <v>42</v>
      </c>
      <c r="B27" s="5" t="s">
        <v>43</v>
      </c>
      <c r="C27" s="5"/>
      <c r="D27" s="5"/>
    </row>
    <row r="28" ht="65" customHeight="1" spans="1:4" x14ac:dyDescent="0.25">
      <c r="A28" s="4" t="s">
        <v>44</v>
      </c>
      <c r="B28" s="5" t="s">
        <v>45</v>
      </c>
      <c r="C28" s="5"/>
      <c r="D28" s="5"/>
    </row>
    <row r="29" ht="52" customHeight="1" spans="1:4" x14ac:dyDescent="0.25">
      <c r="A29" s="4" t="s">
        <v>46</v>
      </c>
      <c r="B29" s="5" t="s">
        <v>47</v>
      </c>
      <c r="C29" s="5"/>
      <c r="D29" s="5"/>
    </row>
    <row r="30" ht="52" customHeight="1" spans="1:4" x14ac:dyDescent="0.25">
      <c r="A30" s="4" t="s">
        <v>48</v>
      </c>
      <c r="B30" s="5" t="s">
        <v>49</v>
      </c>
      <c r="C30" s="5"/>
      <c r="D30" s="5"/>
    </row>
    <row r="31" ht="65" customHeight="1" spans="1:4" x14ac:dyDescent="0.25">
      <c r="A31" s="4" t="s">
        <v>50</v>
      </c>
      <c r="B31" s="5" t="s">
        <v>51</v>
      </c>
      <c r="C31" s="5"/>
      <c r="D31" s="5"/>
    </row>
    <row r="32" ht="104" customHeight="1" spans="1:4" x14ac:dyDescent="0.25">
      <c r="A32" s="4" t="s">
        <v>52</v>
      </c>
      <c r="B32" s="5" t="s">
        <v>53</v>
      </c>
      <c r="C32" s="5"/>
      <c r="D32" s="5"/>
    </row>
    <row r="33" ht="18" customHeight="1" spans="1:4" x14ac:dyDescent="0.25">
      <c r="A33" s="3" t="s">
        <v>54</v>
      </c>
      <c r="B33" s="3"/>
      <c r="C33" s="3"/>
      <c r="D33" s="3"/>
    </row>
    <row r="34" ht="20" customHeight="1" spans="1:4" x14ac:dyDescent="0.25">
      <c r="A34" s="6" t="s">
        <v>55</v>
      </c>
      <c r="B34" s="6" t="s">
        <v>56</v>
      </c>
      <c r="C34" s="6" t="s">
        <v>57</v>
      </c>
      <c r="D34" s="6" t="s">
        <v>57</v>
      </c>
    </row>
    <row r="35" spans="1:4" x14ac:dyDescent="0.25">
      <c r="A35" s="7" t="s">
        <v>58</v>
      </c>
      <c r="B35" s="8" t="s">
        <v>59</v>
      </c>
      <c r="C35" s="8"/>
      <c r="D35" s="8"/>
    </row>
    <row r="36" spans="1:4" x14ac:dyDescent="0.25">
      <c r="A36" s="7" t="s">
        <v>60</v>
      </c>
      <c r="B36" s="8" t="s">
        <v>61</v>
      </c>
      <c r="C36" s="8"/>
      <c r="D36" s="8"/>
    </row>
    <row r="37" spans="1:4" x14ac:dyDescent="0.25">
      <c r="A37" s="7" t="s">
        <v>62</v>
      </c>
      <c r="B37" s="8" t="s">
        <v>63</v>
      </c>
      <c r="C37" s="8"/>
      <c r="D37" s="8"/>
    </row>
    <row r="38" spans="1:4" x14ac:dyDescent="0.25">
      <c r="A38" s="7" t="s">
        <v>64</v>
      </c>
      <c r="B38" s="8" t="s">
        <v>65</v>
      </c>
      <c r="C38" s="8"/>
      <c r="D38" s="8"/>
    </row>
    <row r="39" spans="1:4" x14ac:dyDescent="0.25">
      <c r="A39" s="7" t="s">
        <v>66</v>
      </c>
      <c r="B39" s="8" t="s">
        <v>67</v>
      </c>
      <c r="C39" s="8"/>
      <c r="D39" s="8"/>
    </row>
    <row r="40" spans="1:4" x14ac:dyDescent="0.25">
      <c r="A40" s="7" t="s">
        <v>68</v>
      </c>
      <c r="B40" s="8" t="s">
        <v>69</v>
      </c>
      <c r="C40" s="8"/>
      <c r="D40" s="8"/>
    </row>
    <row r="41" spans="1:4" x14ac:dyDescent="0.25">
      <c r="A41" s="7" t="s">
        <v>70</v>
      </c>
      <c r="B41" s="8" t="s">
        <v>71</v>
      </c>
      <c r="C41" s="8"/>
      <c r="D41" s="8"/>
    </row>
    <row r="42" spans="1:4" x14ac:dyDescent="0.25">
      <c r="A42" s="7" t="s">
        <v>72</v>
      </c>
      <c r="B42" s="8" t="s">
        <v>73</v>
      </c>
      <c r="C42" s="8"/>
      <c r="D42" s="8"/>
    </row>
    <row r="43" spans="1:4" x14ac:dyDescent="0.25">
      <c r="A43" s="7" t="s">
        <v>74</v>
      </c>
      <c r="B43" s="8" t="s">
        <v>75</v>
      </c>
      <c r="C43" s="8"/>
      <c r="D43" s="8"/>
    </row>
    <row r="44" spans="1:4" x14ac:dyDescent="0.25">
      <c r="A44" s="7" t="s">
        <v>76</v>
      </c>
      <c r="B44" s="8" t="s">
        <v>77</v>
      </c>
      <c r="C44" s="8"/>
      <c r="D44" s="8"/>
    </row>
    <row r="45" spans="1:4" x14ac:dyDescent="0.25">
      <c r="A45" s="7" t="s">
        <v>78</v>
      </c>
      <c r="B45" s="8" t="s">
        <v>79</v>
      </c>
      <c r="C45" s="8"/>
      <c r="D45" s="8"/>
    </row>
    <row r="46" spans="1:4" x14ac:dyDescent="0.25">
      <c r="A46" s="7" t="s">
        <v>80</v>
      </c>
      <c r="B46" s="8" t="s">
        <v>81</v>
      </c>
      <c r="C46" s="8"/>
      <c r="D46" s="8"/>
    </row>
    <row r="47" ht="18" customHeight="1" spans="1:4" x14ac:dyDescent="0.25">
      <c r="A47" s="3" t="s">
        <v>82</v>
      </c>
      <c r="B47" s="3"/>
      <c r="C47" s="3"/>
      <c r="D47" s="3"/>
    </row>
    <row r="48" ht="39" customHeight="1" spans="1:4" x14ac:dyDescent="0.25">
      <c r="A48" s="4" t="s">
        <v>83</v>
      </c>
      <c r="B48" s="5" t="s">
        <v>84</v>
      </c>
      <c r="C48" s="5"/>
      <c r="D48" s="5"/>
    </row>
  </sheetData>
  <mergeCells count="46">
    <mergeCell ref="A1:D1"/>
    <mergeCell ref="A2:D2"/>
    <mergeCell ref="A4:D4"/>
    <mergeCell ref="B5:D5"/>
    <mergeCell ref="B6:D6"/>
    <mergeCell ref="B7:D7"/>
    <mergeCell ref="A8:D8"/>
    <mergeCell ref="B9:D9"/>
    <mergeCell ref="B10:D10"/>
    <mergeCell ref="B11:D11"/>
    <mergeCell ref="A12:D12"/>
    <mergeCell ref="B13:D13"/>
    <mergeCell ref="B14:D14"/>
    <mergeCell ref="B15:D15"/>
    <mergeCell ref="B16:D16"/>
    <mergeCell ref="B17:D17"/>
    <mergeCell ref="A18:D18"/>
    <mergeCell ref="B19:D19"/>
    <mergeCell ref="B20:D20"/>
    <mergeCell ref="B21:D21"/>
    <mergeCell ref="B22:D22"/>
    <mergeCell ref="A23:D23"/>
    <mergeCell ref="B24:D24"/>
    <mergeCell ref="A25:D25"/>
    <mergeCell ref="B26:D26"/>
    <mergeCell ref="B27:D27"/>
    <mergeCell ref="B28:D28"/>
    <mergeCell ref="B29:D29"/>
    <mergeCell ref="B30:D30"/>
    <mergeCell ref="B31:D31"/>
    <mergeCell ref="B32:D32"/>
    <mergeCell ref="A33:D33"/>
    <mergeCell ref="B35:D35"/>
    <mergeCell ref="B36:D36"/>
    <mergeCell ref="B37:D37"/>
    <mergeCell ref="B38:D38"/>
    <mergeCell ref="B39:D39"/>
    <mergeCell ref="B40:D40"/>
    <mergeCell ref="B41:D41"/>
    <mergeCell ref="B42:D42"/>
    <mergeCell ref="B43:D43"/>
    <mergeCell ref="B44:D44"/>
    <mergeCell ref="B45:D45"/>
    <mergeCell ref="B46:D46"/>
    <mergeCell ref="A47:D47"/>
    <mergeCell ref="B48:D4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KOL_Source_Data</vt:lpstr>
      <vt:lpstr>Brand_Profile</vt:lpstr>
      <vt:lpstr>Matching_Engine</vt:lpstr>
      <vt:lpstr>Score_Breakdown</vt:lpstr>
      <vt:lpstr>Match_Explanation</vt:lpstr>
      <vt:lpstr>Brand_Comparison</vt:lpstr>
      <vt:lpstr>Brand_Ranking</vt:lpstr>
      <vt:lpstr>Top_Matches</vt:lpstr>
      <vt:lpstr>Hard_vs_Soft_Filter</vt:lpstr>
      <vt:lpstr>Validation</vt:lpstr>
      <vt:lpstr>Lookup_Lists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Autometric — Brand Match comparison generator</dc:creator>
  <dc:title/>
  <dc:subject/>
  <dc:description/>
  <cp:keywords/>
  <cp:category/>
  <cp:lastModifiedBy>scripts/build-brand-match-comparison.mjs</cp:lastModifiedBy>
  <dcterms:created xsi:type="dcterms:W3CDTF">2026-09-10T07:06:25Z</dcterms:created>
  <dcterms:modified xsi:type="dcterms:W3CDTF">2026-09-10T07:06:25Z</dcterms:modified>
</cp:coreProperties>
</file>